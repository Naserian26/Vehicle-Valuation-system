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Pictures\"/>
    </mc:Choice>
  </mc:AlternateContent>
  <bookViews>
    <workbookView xWindow="0" yWindow="0" windowWidth="20490" windowHeight="8820" activeTab="3"/>
  </bookViews>
  <sheets>
    <sheet name="CRSP 2025" sheetId="1" r:id="rId1"/>
    <sheet name="CRSP 2020" sheetId="4" r:id="rId2"/>
    <sheet name="VALUATION TEMPLATE" sheetId="2" r:id="rId3"/>
    <sheet name="VALUATION RULINGS" sheetId="5" r:id="rId4"/>
  </sheets>
  <calcPr calcId="162913"/>
</workbook>
</file>

<file path=xl/calcChain.xml><?xml version="1.0" encoding="utf-8"?>
<calcChain xmlns="http://schemas.openxmlformats.org/spreadsheetml/2006/main">
  <c r="K196" i="2" l="1"/>
  <c r="K197" i="2" s="1"/>
  <c r="K198" i="2" s="1"/>
  <c r="K192" i="2"/>
  <c r="D192" i="2"/>
  <c r="D199" i="2" s="1"/>
  <c r="D182" i="2"/>
  <c r="K180" i="2"/>
  <c r="K181" i="2" s="1"/>
  <c r="K175" i="2"/>
  <c r="D175" i="2"/>
  <c r="D181" i="2" s="1"/>
  <c r="D166" i="2"/>
  <c r="D165" i="2"/>
  <c r="K159" i="2"/>
  <c r="D159" i="2"/>
  <c r="K143" i="2"/>
  <c r="D143" i="2"/>
  <c r="D150" i="2" s="1"/>
  <c r="K127" i="2"/>
  <c r="K128" i="2" s="1"/>
  <c r="D127" i="2"/>
  <c r="D134" i="2" s="1"/>
  <c r="K111" i="2"/>
  <c r="D111" i="2"/>
  <c r="D118" i="2" s="1"/>
  <c r="K94" i="2"/>
  <c r="K93" i="2"/>
  <c r="D93" i="2"/>
  <c r="D100" i="2" s="1"/>
  <c r="K77" i="2"/>
  <c r="D77" i="2"/>
  <c r="K61" i="2"/>
  <c r="D61" i="2"/>
  <c r="K44" i="2"/>
  <c r="K45" i="2" s="1"/>
  <c r="D44" i="2"/>
  <c r="D51" i="2" s="1"/>
  <c r="K27" i="2"/>
  <c r="D27" i="2"/>
  <c r="M25" i="2"/>
  <c r="F25" i="2"/>
  <c r="K133" i="2" l="1"/>
  <c r="K115" i="2"/>
  <c r="K116" i="2" s="1"/>
  <c r="D149" i="2"/>
  <c r="D62" i="2"/>
  <c r="D128" i="2"/>
  <c r="K62" i="2"/>
  <c r="K63" i="2" s="1"/>
  <c r="K64" i="2" s="1"/>
  <c r="K112" i="2"/>
  <c r="K144" i="2"/>
  <c r="D196" i="2"/>
  <c r="D197" i="2" s="1"/>
  <c r="D83" i="2"/>
  <c r="D115" i="2"/>
  <c r="D116" i="2" s="1"/>
  <c r="D131" i="2"/>
  <c r="D132" i="2" s="1"/>
  <c r="D145" i="2"/>
  <c r="K97" i="2"/>
  <c r="K98" i="2" s="1"/>
  <c r="K99" i="2" s="1"/>
  <c r="K131" i="2"/>
  <c r="K132" i="2" s="1"/>
  <c r="D28" i="2"/>
  <c r="D29" i="2" s="1"/>
  <c r="D30" i="2" s="1"/>
  <c r="D34" i="2"/>
  <c r="D78" i="2"/>
  <c r="D84" i="2"/>
  <c r="D160" i="2"/>
  <c r="D179" i="2"/>
  <c r="D180" i="2" s="1"/>
  <c r="D183" i="2" s="1"/>
  <c r="K28" i="2"/>
  <c r="K78" i="2"/>
  <c r="K79" i="2" s="1"/>
  <c r="K80" i="2" s="1"/>
  <c r="K160" i="2"/>
  <c r="K163" i="2" s="1"/>
  <c r="K164" i="2" s="1"/>
  <c r="D198" i="2"/>
  <c r="D67" i="2"/>
  <c r="K46" i="2"/>
  <c r="K47" i="2" s="1"/>
  <c r="K95" i="2"/>
  <c r="K96" i="2" s="1"/>
  <c r="D68" i="2"/>
  <c r="D112" i="2"/>
  <c r="D144" i="2"/>
  <c r="D33" i="2"/>
  <c r="D50" i="2"/>
  <c r="D99" i="2"/>
  <c r="D117" i="2"/>
  <c r="D133" i="2"/>
  <c r="D45" i="2"/>
  <c r="D94" i="2"/>
  <c r="K48" i="2" l="1"/>
  <c r="K49" i="2" s="1"/>
  <c r="K50" i="2" s="1"/>
  <c r="D146" i="2"/>
  <c r="D147" i="2" s="1"/>
  <c r="D148" i="2" s="1"/>
  <c r="D151" i="2" s="1"/>
  <c r="K29" i="2"/>
  <c r="K30" i="2" s="1"/>
  <c r="K31" i="2" s="1"/>
  <c r="K32" i="2" s="1"/>
  <c r="D63" i="2"/>
  <c r="D64" i="2" s="1"/>
  <c r="D167" i="2"/>
  <c r="D119" i="2"/>
  <c r="D200" i="2"/>
  <c r="D79" i="2"/>
  <c r="D80" i="2" s="1"/>
  <c r="D81" i="2" s="1"/>
  <c r="D82" i="2" s="1"/>
  <c r="D85" i="2" s="1"/>
  <c r="D31" i="2"/>
  <c r="D32" i="2" s="1"/>
  <c r="D35" i="2" s="1"/>
  <c r="K117" i="2"/>
  <c r="D163" i="2"/>
  <c r="D164" i="2" s="1"/>
  <c r="D95" i="2"/>
  <c r="D96" i="2" s="1"/>
  <c r="D97" i="2"/>
  <c r="D98" i="2" s="1"/>
  <c r="D101" i="2"/>
  <c r="K145" i="2"/>
  <c r="K146" i="2" s="1"/>
  <c r="K147" i="2" s="1"/>
  <c r="K148" i="2" s="1"/>
  <c r="K149" i="2" s="1"/>
  <c r="K65" i="2"/>
  <c r="K66" i="2" s="1"/>
  <c r="K67" i="2" s="1"/>
  <c r="D46" i="2"/>
  <c r="D47" i="2" s="1"/>
  <c r="D48" i="2"/>
  <c r="D49" i="2" s="1"/>
  <c r="D52" i="2" s="1"/>
  <c r="D135" i="2"/>
  <c r="K165" i="2"/>
  <c r="K81" i="2"/>
  <c r="K82" i="2" s="1"/>
  <c r="K83" i="2" s="1"/>
  <c r="K33" i="2" l="1"/>
  <c r="D65" i="2"/>
  <c r="D66" i="2" s="1"/>
  <c r="D69" i="2" s="1"/>
</calcChain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8"/>
            <color indexed="48"/>
            <rFont val="Tahoma"/>
            <family val="2"/>
          </rPr>
          <t>Author:</t>
        </r>
        <r>
          <rPr>
            <sz val="8"/>
            <color indexed="48"/>
            <rFont val="Tahoma"/>
            <family val="2"/>
          </rPr>
          <t xml:space="preserve">
Revised:15/5/12
Jobisaac Muriu</t>
        </r>
      </text>
    </comment>
  </commentList>
</comments>
</file>

<file path=xl/sharedStrings.xml><?xml version="1.0" encoding="utf-8"?>
<sst xmlns="http://schemas.openxmlformats.org/spreadsheetml/2006/main" count="50554" uniqueCount="9950">
  <si>
    <r>
      <rPr>
        <b/>
        <sz val="11"/>
        <rFont val="Georgia"/>
        <family val="1"/>
      </rPr>
      <t>Make</t>
    </r>
  </si>
  <si>
    <r>
      <rPr>
        <b/>
        <sz val="11"/>
        <rFont val="Georgia"/>
        <family val="1"/>
      </rPr>
      <t>Model</t>
    </r>
  </si>
  <si>
    <r>
      <rPr>
        <b/>
        <sz val="11"/>
        <rFont val="Georgia"/>
        <family val="1"/>
      </rPr>
      <t xml:space="preserve">Model
</t>
    </r>
    <r>
      <rPr>
        <b/>
        <sz val="11"/>
        <rFont val="Georgia"/>
        <family val="1"/>
      </rPr>
      <t>number</t>
    </r>
  </si>
  <si>
    <r>
      <rPr>
        <b/>
        <sz val="11"/>
        <rFont val="Georgia"/>
        <family val="1"/>
      </rPr>
      <t>Transmission</t>
    </r>
  </si>
  <si>
    <r>
      <rPr>
        <b/>
        <sz val="11"/>
        <rFont val="Georgia"/>
        <family val="1"/>
      </rPr>
      <t xml:space="preserve">Drive
</t>
    </r>
    <r>
      <rPr>
        <b/>
        <sz val="11"/>
        <rFont val="Georgia"/>
        <family val="1"/>
      </rPr>
      <t>Configuration</t>
    </r>
  </si>
  <si>
    <r>
      <rPr>
        <b/>
        <sz val="11"/>
        <rFont val="Georgia"/>
        <family val="1"/>
      </rPr>
      <t xml:space="preserve">Engine
</t>
    </r>
    <r>
      <rPr>
        <b/>
        <sz val="11"/>
        <rFont val="Georgia"/>
        <family val="1"/>
      </rPr>
      <t>Capacity</t>
    </r>
  </si>
  <si>
    <r>
      <rPr>
        <b/>
        <sz val="11"/>
        <rFont val="Georgia"/>
        <family val="1"/>
      </rPr>
      <t xml:space="preserve">Body
</t>
    </r>
    <r>
      <rPr>
        <b/>
        <sz val="11"/>
        <rFont val="Georgia"/>
        <family val="1"/>
      </rPr>
      <t>Type</t>
    </r>
  </si>
  <si>
    <r>
      <rPr>
        <b/>
        <sz val="11"/>
        <rFont val="Georgia"/>
        <family val="1"/>
      </rPr>
      <t>GVW</t>
    </r>
  </si>
  <si>
    <r>
      <rPr>
        <b/>
        <sz val="11"/>
        <rFont val="Georgia"/>
        <family val="1"/>
      </rPr>
      <t>Seating</t>
    </r>
  </si>
  <si>
    <r>
      <rPr>
        <b/>
        <sz val="11"/>
        <rFont val="Georgia"/>
        <family val="1"/>
      </rPr>
      <t>Fuel</t>
    </r>
  </si>
  <si>
    <r>
      <rPr>
        <b/>
        <sz val="11"/>
        <rFont val="Georgia"/>
        <family val="1"/>
      </rPr>
      <t>CRSP (KES.)</t>
    </r>
  </si>
  <si>
    <r>
      <rPr>
        <sz val="11"/>
        <rFont val="Georgia"/>
        <family val="1"/>
      </rPr>
      <t>AIWAYS</t>
    </r>
  </si>
  <si>
    <r>
      <rPr>
        <sz val="11"/>
        <rFont val="Georgia"/>
        <family val="1"/>
      </rPr>
      <t>U5</t>
    </r>
  </si>
  <si>
    <r>
      <rPr>
        <sz val="11"/>
        <rFont val="Georgia"/>
        <family val="1"/>
      </rPr>
      <t>AT</t>
    </r>
  </si>
  <si>
    <r>
      <rPr>
        <sz val="11"/>
        <rFont val="Georgia"/>
        <family val="1"/>
      </rPr>
      <t>FWD</t>
    </r>
  </si>
  <si>
    <r>
      <rPr>
        <sz val="11"/>
        <rFont val="Georgia"/>
        <family val="1"/>
      </rPr>
      <t>63 kWh</t>
    </r>
  </si>
  <si>
    <r>
      <rPr>
        <sz val="11"/>
        <rFont val="Georgia"/>
        <family val="1"/>
      </rPr>
      <t>SUV</t>
    </r>
  </si>
  <si>
    <r>
      <rPr>
        <sz val="11"/>
        <rFont val="Georgia"/>
        <family val="1"/>
      </rPr>
      <t>ELECTRIC</t>
    </r>
  </si>
  <si>
    <r>
      <rPr>
        <sz val="11"/>
        <rFont val="Georgia"/>
        <family val="1"/>
      </rPr>
      <t>U6</t>
    </r>
  </si>
  <si>
    <r>
      <rPr>
        <sz val="11"/>
        <rFont val="Georgia"/>
        <family val="1"/>
      </rPr>
      <t>AUDI</t>
    </r>
  </si>
  <si>
    <r>
      <rPr>
        <sz val="11"/>
        <rFont val="Georgia"/>
        <family val="1"/>
      </rPr>
      <t>3.0TFSI QUATTRO S LINE PACKAGE</t>
    </r>
  </si>
  <si>
    <r>
      <rPr>
        <sz val="11"/>
        <rFont val="Georgia"/>
        <family val="1"/>
      </rPr>
      <t>WAUZZZ4M8JD01</t>
    </r>
  </si>
  <si>
    <r>
      <rPr>
        <sz val="11"/>
        <rFont val="Georgia"/>
        <family val="1"/>
      </rPr>
      <t>4WD</t>
    </r>
  </si>
  <si>
    <r>
      <rPr>
        <sz val="11"/>
        <rFont val="Georgia"/>
        <family val="1"/>
      </rPr>
      <t>GASOLINE</t>
    </r>
  </si>
  <si>
    <r>
      <rPr>
        <sz val="11"/>
        <rFont val="Georgia"/>
        <family val="1"/>
      </rPr>
      <t>A1 SPORTBACK 1.0 TFSI</t>
    </r>
  </si>
  <si>
    <r>
      <rPr>
        <sz val="11"/>
        <rFont val="Georgia"/>
        <family val="1"/>
      </rPr>
      <t>DBA-8XCHZ</t>
    </r>
  </si>
  <si>
    <r>
      <rPr>
        <sz val="11"/>
        <rFont val="Georgia"/>
        <family val="1"/>
      </rPr>
      <t>2WD</t>
    </r>
  </si>
  <si>
    <r>
      <rPr>
        <sz val="11"/>
        <rFont val="Georgia"/>
        <family val="1"/>
      </rPr>
      <t>HATCHBACK</t>
    </r>
  </si>
  <si>
    <r>
      <rPr>
        <sz val="11"/>
        <rFont val="Georgia"/>
        <family val="1"/>
      </rPr>
      <t>A1 SPORTBACK 1ST EDITION</t>
    </r>
  </si>
  <si>
    <r>
      <rPr>
        <sz val="11"/>
        <rFont val="Georgia"/>
        <family val="1"/>
      </rPr>
      <t>3BA-GBDAD</t>
    </r>
  </si>
  <si>
    <r>
      <rPr>
        <sz val="11"/>
        <rFont val="Georgia"/>
        <family val="1"/>
      </rPr>
      <t>A1 SPORTBACK 25 TFSI</t>
    </r>
  </si>
  <si>
    <r>
      <rPr>
        <sz val="11"/>
        <rFont val="Georgia"/>
        <family val="1"/>
      </rPr>
      <t>3BA-GBDKL</t>
    </r>
  </si>
  <si>
    <r>
      <rPr>
        <sz val="11"/>
        <rFont val="Georgia"/>
        <family val="1"/>
      </rPr>
      <t>A1 SPORTBACK 25 TFSI ADVANCED</t>
    </r>
  </si>
  <si>
    <r>
      <rPr>
        <sz val="11"/>
        <rFont val="Georgia"/>
        <family val="1"/>
      </rPr>
      <t>WAUZZZGB4NR02</t>
    </r>
  </si>
  <si>
    <r>
      <rPr>
        <sz val="11"/>
        <rFont val="Georgia"/>
        <family val="1"/>
      </rPr>
      <t>A1 SPORTBACK 25 TFSI S LINE</t>
    </r>
  </si>
  <si>
    <r>
      <rPr>
        <sz val="11"/>
        <rFont val="Georgia"/>
        <family val="1"/>
      </rPr>
      <t>A1 SPORTBACK 35 TFSI ADVANCED</t>
    </r>
  </si>
  <si>
    <r>
      <rPr>
        <sz val="11"/>
        <rFont val="Georgia"/>
        <family val="1"/>
      </rPr>
      <t>WAUZZZGB8LR00</t>
    </r>
  </si>
  <si>
    <r>
      <rPr>
        <sz val="11"/>
        <rFont val="Georgia"/>
        <family val="1"/>
      </rPr>
      <t>A1 SPORTBACK 35 TFSI S LINE</t>
    </r>
  </si>
  <si>
    <r>
      <rPr>
        <sz val="11"/>
        <rFont val="Georgia"/>
        <family val="1"/>
      </rPr>
      <t>A1 SPORTBACK CITYCARVER BLACK STYLE PLUS</t>
    </r>
  </si>
  <si>
    <r>
      <rPr>
        <sz val="11"/>
        <rFont val="Georgia"/>
        <family val="1"/>
      </rPr>
      <t>3BA-GBDKR</t>
    </r>
  </si>
  <si>
    <r>
      <rPr>
        <sz val="11"/>
        <rFont val="Georgia"/>
        <family val="1"/>
      </rPr>
      <t>A1 SPORTBACK CITYCARVER LIMITED EDITION</t>
    </r>
  </si>
  <si>
    <r>
      <rPr>
        <sz val="11"/>
        <rFont val="Georgia"/>
        <family val="1"/>
      </rPr>
      <t>A1 SPORTBACK MIDNIGHT LIMITED</t>
    </r>
  </si>
  <si>
    <r>
      <rPr>
        <sz val="11"/>
        <rFont val="Georgia"/>
        <family val="1"/>
      </rPr>
      <t>A3 SEDAN 1.4 TFSI</t>
    </r>
  </si>
  <si>
    <r>
      <rPr>
        <sz val="11"/>
        <rFont val="Georgia"/>
        <family val="1"/>
      </rPr>
      <t>WAUZZZ8V1J109</t>
    </r>
  </si>
  <si>
    <r>
      <rPr>
        <sz val="11"/>
        <rFont val="Georgia"/>
        <family val="1"/>
      </rPr>
      <t>SEDAN</t>
    </r>
  </si>
  <si>
    <r>
      <rPr>
        <sz val="11"/>
        <rFont val="Georgia"/>
        <family val="1"/>
      </rPr>
      <t>A3 SEDAN 1.4 TFSI SPORT S LINE PACKAGE</t>
    </r>
  </si>
  <si>
    <r>
      <rPr>
        <sz val="11"/>
        <rFont val="Georgia"/>
        <family val="1"/>
      </rPr>
      <t>8VCXSL</t>
    </r>
  </si>
  <si>
    <r>
      <rPr>
        <sz val="11"/>
        <rFont val="Georgia"/>
        <family val="1"/>
      </rPr>
      <t>A3 SEDAN 30 TFSI ADVANCED</t>
    </r>
  </si>
  <si>
    <r>
      <rPr>
        <sz val="11"/>
        <rFont val="Georgia"/>
        <family val="1"/>
      </rPr>
      <t>WAUZZZGYXMA10</t>
    </r>
  </si>
  <si>
    <r>
      <rPr>
        <sz val="11"/>
        <rFont val="Georgia"/>
        <family val="1"/>
      </rPr>
      <t>A3 SEDAN 30 TFSI SPORT</t>
    </r>
  </si>
  <si>
    <r>
      <rPr>
        <sz val="11"/>
        <rFont val="Georgia"/>
        <family val="1"/>
      </rPr>
      <t>DBA-8VCXSL</t>
    </r>
  </si>
  <si>
    <r>
      <rPr>
        <sz val="11"/>
        <rFont val="Georgia"/>
        <family val="1"/>
      </rPr>
      <t>A3 SEDAN 40 TFSI QUATTRO S LINE</t>
    </r>
  </si>
  <si>
    <r>
      <rPr>
        <sz val="11"/>
        <rFont val="Georgia"/>
        <family val="1"/>
      </rPr>
      <t>WAUZZZGY8PA09</t>
    </r>
  </si>
  <si>
    <r>
      <rPr>
        <sz val="11"/>
        <rFont val="Georgia"/>
        <family val="1"/>
      </rPr>
      <t>A3 SEDAN 40 TFSI QUATTRO SIGNATURE EDITI</t>
    </r>
  </si>
  <si>
    <r>
      <rPr>
        <sz val="11"/>
        <rFont val="Georgia"/>
        <family val="1"/>
      </rPr>
      <t>ABA-8VCZPL</t>
    </r>
  </si>
  <si>
    <r>
      <rPr>
        <sz val="11"/>
        <rFont val="Georgia"/>
        <family val="1"/>
      </rPr>
      <t>A3 SEDAN S LINE BLACK STYLING</t>
    </r>
  </si>
  <si>
    <r>
      <rPr>
        <sz val="11"/>
        <rFont val="Georgia"/>
        <family val="1"/>
      </rPr>
      <t>WAUZZZ8V8KA09</t>
    </r>
  </si>
  <si>
    <r>
      <rPr>
        <sz val="11"/>
        <rFont val="Georgia"/>
        <family val="1"/>
      </rPr>
      <t>A3 SEDAN S LINE TECHNO LIMITED</t>
    </r>
  </si>
  <si>
    <r>
      <rPr>
        <sz val="11"/>
        <rFont val="Georgia"/>
        <family val="1"/>
      </rPr>
      <t>A3 SPORTBACK 30 TFSI</t>
    </r>
  </si>
  <si>
    <r>
      <rPr>
        <sz val="11"/>
        <rFont val="Georgia"/>
        <family val="1"/>
      </rPr>
      <t>WAUZZZ8V9LA04</t>
    </r>
  </si>
  <si>
    <r>
      <rPr>
        <sz val="11"/>
        <rFont val="Georgia"/>
        <family val="1"/>
      </rPr>
      <t>A3 SPORTBACK 30 TFSI ADVANCED</t>
    </r>
  </si>
  <si>
    <r>
      <rPr>
        <sz val="11"/>
        <rFont val="Georgia"/>
        <family val="1"/>
      </rPr>
      <t>WAUZZZGY4NA06</t>
    </r>
  </si>
  <si>
    <r>
      <rPr>
        <sz val="11"/>
        <rFont val="Georgia"/>
        <family val="1"/>
      </rPr>
      <t>A3 SPORTBACK 30 TFSI S LINE</t>
    </r>
  </si>
  <si>
    <r>
      <rPr>
        <sz val="11"/>
        <rFont val="Georgia"/>
        <family val="1"/>
      </rPr>
      <t>WAUZZZGY0NA08</t>
    </r>
  </si>
  <si>
    <r>
      <rPr>
        <sz val="11"/>
        <rFont val="Georgia"/>
        <family val="1"/>
      </rPr>
      <t>A3 SPORTBACK 30 TFSI SPORT</t>
    </r>
  </si>
  <si>
    <r>
      <rPr>
        <sz val="11"/>
        <rFont val="Georgia"/>
        <family val="1"/>
      </rPr>
      <t>WAUZZZ8VXLA05</t>
    </r>
  </si>
  <si>
    <r>
      <rPr>
        <sz val="11"/>
        <rFont val="Georgia"/>
        <family val="1"/>
      </rPr>
      <t>A3 SPORTBACK 30 TFSI SPORT SIGNATURE EDIT</t>
    </r>
  </si>
  <si>
    <r>
      <rPr>
        <sz val="11"/>
        <rFont val="Georgia"/>
        <family val="1"/>
      </rPr>
      <t>WAUZZZ8V8LA05</t>
    </r>
  </si>
  <si>
    <r>
      <rPr>
        <sz val="11"/>
        <rFont val="Georgia"/>
        <family val="1"/>
      </rPr>
      <t>A3 SPORTBACK 40 TFSI QUATTRO ADVANCED</t>
    </r>
  </si>
  <si>
    <r>
      <rPr>
        <sz val="11"/>
        <rFont val="Georgia"/>
        <family val="1"/>
      </rPr>
      <t>WAUZZZGY4PA07</t>
    </r>
  </si>
  <si>
    <r>
      <rPr>
        <sz val="11"/>
        <rFont val="Georgia"/>
        <family val="1"/>
      </rPr>
      <t>WAGON</t>
    </r>
  </si>
  <si>
    <r>
      <rPr>
        <sz val="11"/>
        <rFont val="Georgia"/>
        <family val="1"/>
      </rPr>
      <t>A3 SPORTBACK 40 TFSI QUATTRO S LINE</t>
    </r>
  </si>
  <si>
    <r>
      <rPr>
        <sz val="11"/>
        <rFont val="Georgia"/>
        <family val="1"/>
      </rPr>
      <t>WAUZZZGY4PA06</t>
    </r>
  </si>
  <si>
    <r>
      <rPr>
        <sz val="11"/>
        <rFont val="Georgia"/>
        <family val="1"/>
      </rPr>
      <t>A3 SPORTBACK S LINE TECHNO LIMITED</t>
    </r>
  </si>
  <si>
    <r>
      <rPr>
        <sz val="11"/>
        <rFont val="Georgia"/>
        <family val="1"/>
      </rPr>
      <t>WAUZZZ8V8JA10</t>
    </r>
  </si>
  <si>
    <r>
      <rPr>
        <sz val="11"/>
        <rFont val="Georgia"/>
        <family val="1"/>
      </rPr>
      <t>A4 2.0TFSI QUATTRO TUXEDO STYLE</t>
    </r>
  </si>
  <si>
    <r>
      <rPr>
        <sz val="11"/>
        <rFont val="Georgia"/>
        <family val="1"/>
      </rPr>
      <t>DBA-8WCYRF</t>
    </r>
  </si>
  <si>
    <r>
      <rPr>
        <sz val="11"/>
        <rFont val="Georgia"/>
        <family val="1"/>
      </rPr>
      <t>A4 35TDI S-LINE</t>
    </r>
  </si>
  <si>
    <r>
      <rPr>
        <sz val="11"/>
        <rFont val="Georgia"/>
        <family val="1"/>
      </rPr>
      <t>WAUZZZF41RA09</t>
    </r>
  </si>
  <si>
    <r>
      <rPr>
        <sz val="11"/>
        <rFont val="Georgia"/>
        <family val="1"/>
      </rPr>
      <t>A4 35TFSI ADVANCED</t>
    </r>
  </si>
  <si>
    <r>
      <rPr>
        <sz val="11"/>
        <rFont val="Georgia"/>
        <family val="1"/>
      </rPr>
      <t>3AA-8WDEM</t>
    </r>
  </si>
  <si>
    <r>
      <rPr>
        <sz val="11"/>
        <rFont val="Georgia"/>
        <family val="1"/>
      </rPr>
      <t>A4 35TFSI MEISTERSTUECK</t>
    </r>
  </si>
  <si>
    <r>
      <rPr>
        <sz val="11"/>
        <rFont val="Georgia"/>
        <family val="1"/>
      </rPr>
      <t>WAUZZZF44KA12</t>
    </r>
  </si>
  <si>
    <r>
      <rPr>
        <sz val="11"/>
        <rFont val="Georgia"/>
        <family val="1"/>
      </rPr>
      <t>WAUZZZF43SA00</t>
    </r>
  </si>
  <si>
    <r>
      <rPr>
        <sz val="11"/>
        <rFont val="Georgia"/>
        <family val="1"/>
      </rPr>
      <t>A4 35TFSI SPORT</t>
    </r>
  </si>
  <si>
    <r>
      <rPr>
        <sz val="11"/>
        <rFont val="Georgia"/>
        <family val="1"/>
      </rPr>
      <t>ABA-8WCVN</t>
    </r>
  </si>
  <si>
    <r>
      <rPr>
        <sz val="11"/>
        <rFont val="Georgia"/>
        <family val="1"/>
      </rPr>
      <t>A4 40TFSI MEISTERSTUECK S LINE PACKAGE</t>
    </r>
  </si>
  <si>
    <r>
      <rPr>
        <sz val="11"/>
        <rFont val="Georgia"/>
        <family val="1"/>
      </rPr>
      <t>WAUZZZF43KA12</t>
    </r>
  </si>
  <si>
    <r>
      <rPr>
        <sz val="11"/>
        <rFont val="Georgia"/>
        <family val="1"/>
      </rPr>
      <t>A4 45TFSI QUATTRO ADVANCED</t>
    </r>
  </si>
  <si>
    <r>
      <rPr>
        <sz val="11"/>
        <rFont val="Georgia"/>
        <family val="1"/>
      </rPr>
      <t>WAUZZZF41NA00</t>
    </r>
  </si>
  <si>
    <r>
      <rPr>
        <sz val="11"/>
        <rFont val="Georgia"/>
        <family val="1"/>
      </rPr>
      <t>A4 45TFSI QUATTRO S-LINE</t>
    </r>
  </si>
  <si>
    <r>
      <rPr>
        <sz val="11"/>
        <rFont val="Georgia"/>
        <family val="1"/>
      </rPr>
      <t>WAUZZZF48MA02</t>
    </r>
  </si>
  <si>
    <r>
      <rPr>
        <sz val="11"/>
        <rFont val="Georgia"/>
        <family val="1"/>
      </rPr>
      <t>A4 45TFSI QUATTRO SPORT S LINE PACKAGE</t>
    </r>
  </si>
  <si>
    <r>
      <rPr>
        <sz val="11"/>
        <rFont val="Georgia"/>
        <family val="1"/>
      </rPr>
      <t>WAUZZZF42KA04</t>
    </r>
  </si>
  <si>
    <r>
      <rPr>
        <sz val="11"/>
        <rFont val="Georgia"/>
        <family val="1"/>
      </rPr>
      <t>A4 ALLROAD QUATTRO</t>
    </r>
  </si>
  <si>
    <r>
      <rPr>
        <sz val="11"/>
        <rFont val="Georgia"/>
        <family val="1"/>
      </rPr>
      <t>8WDDWA</t>
    </r>
  </si>
  <si>
    <r>
      <rPr>
        <sz val="11"/>
        <rFont val="Georgia"/>
        <family val="1"/>
      </rPr>
      <t>HYBRID</t>
    </r>
  </si>
  <si>
    <r>
      <rPr>
        <sz val="11"/>
        <rFont val="Georgia"/>
        <family val="1"/>
      </rPr>
      <t>A4 ALLROAD QUATTRO ABSOLUTE</t>
    </r>
  </si>
  <si>
    <r>
      <rPr>
        <sz val="11"/>
        <rFont val="Georgia"/>
        <family val="1"/>
      </rPr>
      <t>ABA-8WCYRA</t>
    </r>
  </si>
  <si>
    <r>
      <rPr>
        <sz val="11"/>
        <rFont val="Georgia"/>
        <family val="1"/>
      </rPr>
      <t>A4 ALLROAD QUATTRO BASE GRADE</t>
    </r>
  </si>
  <si>
    <r>
      <rPr>
        <sz val="11"/>
        <rFont val="Georgia"/>
        <family val="1"/>
      </rPr>
      <t>WAUZZZF48PA08</t>
    </r>
  </si>
  <si>
    <r>
      <rPr>
        <sz val="11"/>
        <rFont val="Georgia"/>
        <family val="1"/>
      </rPr>
      <t>A4 AVANT 1.4TFSI TUXEDO STYLE</t>
    </r>
  </si>
  <si>
    <r>
      <rPr>
        <sz val="11"/>
        <rFont val="Georgia"/>
        <family val="1"/>
      </rPr>
      <t>A4 AVANT 35 TDI ADVANCED</t>
    </r>
  </si>
  <si>
    <r>
      <rPr>
        <sz val="11"/>
        <rFont val="Georgia"/>
        <family val="1"/>
      </rPr>
      <t>WAUZZZF49PA00</t>
    </r>
  </si>
  <si>
    <r>
      <rPr>
        <sz val="11"/>
        <rFont val="Georgia"/>
        <family val="1"/>
      </rPr>
      <t>A4 AVANT 35 TDI S-LINE</t>
    </r>
  </si>
  <si>
    <r>
      <rPr>
        <sz val="11"/>
        <rFont val="Georgia"/>
        <family val="1"/>
      </rPr>
      <t>WAUZZZF43RA04</t>
    </r>
  </si>
  <si>
    <r>
      <rPr>
        <sz val="11"/>
        <rFont val="Georgia"/>
        <family val="1"/>
      </rPr>
      <t>DIESEL</t>
    </r>
  </si>
  <si>
    <r>
      <rPr>
        <sz val="11"/>
        <rFont val="Georgia"/>
        <family val="1"/>
      </rPr>
      <t>A4 AVANT 35 TFSI SPORT</t>
    </r>
  </si>
  <si>
    <r>
      <rPr>
        <sz val="11"/>
        <rFont val="Georgia"/>
        <family val="1"/>
      </rPr>
      <t>WAUZZZF47KA03</t>
    </r>
  </si>
  <si>
    <r>
      <rPr>
        <sz val="11"/>
        <rFont val="Georgia"/>
        <family val="1"/>
      </rPr>
      <t>A4 AVANT 45 TFSI QUATTRO MEISTERSTUECK</t>
    </r>
  </si>
  <si>
    <r>
      <rPr>
        <sz val="11"/>
        <rFont val="Georgia"/>
        <family val="1"/>
      </rPr>
      <t>WAUZZZF48KA09</t>
    </r>
  </si>
  <si>
    <r>
      <rPr>
        <sz val="11"/>
        <rFont val="Georgia"/>
        <family val="1"/>
      </rPr>
      <t>A4 AVANT BLACK STYLE PLUS</t>
    </r>
  </si>
  <si>
    <r>
      <rPr>
        <sz val="11"/>
        <rFont val="Georgia"/>
        <family val="1"/>
      </rPr>
      <t>WAUZZZF47PA05</t>
    </r>
  </si>
  <si>
    <r>
      <rPr>
        <sz val="11"/>
        <rFont val="Georgia"/>
        <family val="1"/>
      </rPr>
      <t>A4 BLACK STYLE PLUS</t>
    </r>
  </si>
  <si>
    <r>
      <rPr>
        <sz val="11"/>
        <rFont val="Georgia"/>
        <family val="1"/>
      </rPr>
      <t>WAUZZZF40PA03</t>
    </r>
  </si>
  <si>
    <r>
      <rPr>
        <sz val="11"/>
        <rFont val="Georgia"/>
        <family val="1"/>
      </rPr>
      <t>A5 45TFSI QUATTRO SPORT</t>
    </r>
  </si>
  <si>
    <r>
      <rPr>
        <sz val="11"/>
        <rFont val="Georgia"/>
        <family val="1"/>
      </rPr>
      <t>DBA-F5CYRF</t>
    </r>
  </si>
  <si>
    <r>
      <rPr>
        <sz val="11"/>
        <rFont val="Georgia"/>
        <family val="1"/>
      </rPr>
      <t>A5 CABRIOLET 2.0TFSI QUATTRO SPORT</t>
    </r>
  </si>
  <si>
    <r>
      <rPr>
        <sz val="11"/>
        <rFont val="Georgia"/>
        <family val="1"/>
      </rPr>
      <t>ABA-F5CYRC</t>
    </r>
  </si>
  <si>
    <r>
      <rPr>
        <sz val="11"/>
        <rFont val="Georgia"/>
        <family val="1"/>
      </rPr>
      <t>CONVERTIBLE</t>
    </r>
  </si>
  <si>
    <r>
      <rPr>
        <sz val="11"/>
        <rFont val="Georgia"/>
        <family val="1"/>
      </rPr>
      <t>A5 SPORTBACK 40TFSI SPORT</t>
    </r>
  </si>
  <si>
    <r>
      <rPr>
        <sz val="11"/>
        <rFont val="Georgia"/>
        <family val="1"/>
      </rPr>
      <t>WAUZZZF56KA09</t>
    </r>
  </si>
  <si>
    <r>
      <rPr>
        <sz val="11"/>
        <rFont val="Georgia"/>
        <family val="1"/>
      </rPr>
      <t>A5 SPORTBACK 45TFSI QUATTRO S LINE</t>
    </r>
  </si>
  <si>
    <r>
      <rPr>
        <sz val="11"/>
        <rFont val="Georgia"/>
        <family val="1"/>
      </rPr>
      <t>WAUZZZF5XMA04</t>
    </r>
  </si>
  <si>
    <r>
      <rPr>
        <sz val="11"/>
        <rFont val="Georgia"/>
        <family val="1"/>
      </rPr>
      <t>A5 SPORTBACK 45TFSI QUATTRO SPORT</t>
    </r>
  </si>
  <si>
    <r>
      <rPr>
        <sz val="11"/>
        <rFont val="Georgia"/>
        <family val="1"/>
      </rPr>
      <t>WAUZZZF56KA06</t>
    </r>
  </si>
  <si>
    <r>
      <rPr>
        <sz val="11"/>
        <rFont val="Georgia"/>
        <family val="1"/>
      </rPr>
      <t>A5 SPORTBACK BLACK STYLE PLUS</t>
    </r>
  </si>
  <si>
    <r>
      <rPr>
        <sz val="11"/>
        <rFont val="Georgia"/>
        <family val="1"/>
      </rPr>
      <t>WAUZZZF58PA03</t>
    </r>
  </si>
  <si>
    <r>
      <rPr>
        <sz val="11"/>
        <rFont val="Georgia"/>
        <family val="1"/>
      </rPr>
      <t>A5 SPORTBACK S LINE COMPETITION PLUS</t>
    </r>
  </si>
  <si>
    <r>
      <rPr>
        <sz val="11"/>
        <rFont val="Georgia"/>
        <family val="1"/>
      </rPr>
      <t>3AA-F5DDWL</t>
    </r>
  </si>
  <si>
    <r>
      <rPr>
        <sz val="11"/>
        <rFont val="Georgia"/>
        <family val="1"/>
      </rPr>
      <t>A6 2.0 TFSI QUATTRO S LINE PACKAGE</t>
    </r>
  </si>
  <si>
    <r>
      <rPr>
        <sz val="11"/>
        <rFont val="Georgia"/>
        <family val="1"/>
      </rPr>
      <t>WAUZZZ4GXJN00</t>
    </r>
  </si>
  <si>
    <r>
      <rPr>
        <sz val="11"/>
        <rFont val="Georgia"/>
        <family val="1"/>
      </rPr>
      <t>A6 45 TFSI QUATTRO</t>
    </r>
  </si>
  <si>
    <r>
      <rPr>
        <sz val="11"/>
        <rFont val="Georgia"/>
        <family val="1"/>
      </rPr>
      <t>WAUZZZF26LN02</t>
    </r>
  </si>
  <si>
    <r>
      <rPr>
        <sz val="11"/>
        <rFont val="Georgia"/>
        <family val="1"/>
      </rPr>
      <t>A6 45 TFSI QUATTRO SPORT</t>
    </r>
  </si>
  <si>
    <r>
      <rPr>
        <sz val="11"/>
        <rFont val="Georgia"/>
        <family val="1"/>
      </rPr>
      <t>WAUZZZF2XNN06</t>
    </r>
  </si>
  <si>
    <r>
      <rPr>
        <sz val="11"/>
        <rFont val="Georgia"/>
        <family val="1"/>
      </rPr>
      <t>A6 45 TFSI QUATTRO SPORT S LINE PACKAGE</t>
    </r>
  </si>
  <si>
    <r>
      <rPr>
        <sz val="11"/>
        <rFont val="Georgia"/>
        <family val="1"/>
      </rPr>
      <t>WAUZZZF2XLN05</t>
    </r>
  </si>
  <si>
    <r>
      <rPr>
        <sz val="11"/>
        <rFont val="Georgia"/>
        <family val="1"/>
      </rPr>
      <t>WAUZZZF29MN09</t>
    </r>
  </si>
  <si>
    <r>
      <rPr>
        <sz val="11"/>
        <rFont val="Georgia"/>
        <family val="1"/>
      </rPr>
      <t>A6 55 TFSI QUATTRO DEBUT PACKAGE</t>
    </r>
  </si>
  <si>
    <r>
      <rPr>
        <sz val="11"/>
        <rFont val="Georgia"/>
        <family val="1"/>
      </rPr>
      <t>WAUZZZF2XKN05</t>
    </r>
  </si>
  <si>
    <r>
      <rPr>
        <sz val="11"/>
        <rFont val="Georgia"/>
        <family val="1"/>
      </rPr>
      <t>A6 55 TFSI QUATTRO S LINE</t>
    </r>
  </si>
  <si>
    <r>
      <rPr>
        <sz val="11"/>
        <rFont val="Georgia"/>
        <family val="1"/>
      </rPr>
      <t>WAUZZZF21LN08</t>
    </r>
  </si>
  <si>
    <r>
      <rPr>
        <sz val="11"/>
        <rFont val="Georgia"/>
        <family val="1"/>
      </rPr>
      <t>A6 AVANT</t>
    </r>
  </si>
  <si>
    <r>
      <rPr>
        <sz val="11"/>
        <rFont val="Georgia"/>
        <family val="1"/>
      </rPr>
      <t>WAUZZZF21NN04</t>
    </r>
  </si>
  <si>
    <r>
      <rPr>
        <sz val="11"/>
        <rFont val="Georgia"/>
        <family val="1"/>
      </rPr>
      <t>A6 AVANT 40 TDI QUATTRO S LINE</t>
    </r>
  </si>
  <si>
    <r>
      <rPr>
        <sz val="11"/>
        <rFont val="Georgia"/>
        <family val="1"/>
      </rPr>
      <t>WAUZZZF20LN06</t>
    </r>
  </si>
  <si>
    <r>
      <rPr>
        <sz val="11"/>
        <rFont val="Georgia"/>
        <family val="1"/>
      </rPr>
      <t>A6 AVANT 40 TDI QUATTRO SPORT</t>
    </r>
  </si>
  <si>
    <r>
      <rPr>
        <sz val="11"/>
        <rFont val="Georgia"/>
        <family val="1"/>
      </rPr>
      <t>WAUZZZF28NN01</t>
    </r>
  </si>
  <si>
    <r>
      <rPr>
        <sz val="11"/>
        <rFont val="Georgia"/>
        <family val="1"/>
      </rPr>
      <t>A6 AVANT 40 TDI QUATTRO SPORT S LINE PACK</t>
    </r>
  </si>
  <si>
    <r>
      <rPr>
        <sz val="11"/>
        <rFont val="Georgia"/>
        <family val="1"/>
      </rPr>
      <t>WAUZZZF24MN06</t>
    </r>
  </si>
  <si>
    <r>
      <rPr>
        <sz val="11"/>
        <rFont val="Georgia"/>
        <family val="1"/>
      </rPr>
      <t>A6 AVANT 45 TFSI QUATTRO S LINE</t>
    </r>
  </si>
  <si>
    <r>
      <rPr>
        <sz val="11"/>
        <rFont val="Georgia"/>
        <family val="1"/>
      </rPr>
      <t>A6 AVANT 45 TFSI QUATTRO SPORT</t>
    </r>
  </si>
  <si>
    <r>
      <rPr>
        <sz val="11"/>
        <rFont val="Georgia"/>
        <family val="1"/>
      </rPr>
      <t>WAUZZZF23LN05</t>
    </r>
  </si>
  <si>
    <r>
      <rPr>
        <sz val="11"/>
        <rFont val="Georgia"/>
        <family val="1"/>
      </rPr>
      <t>A6 AVANT 45 TFSI QUATTRO SPORT S LINE PAC</t>
    </r>
  </si>
  <si>
    <r>
      <rPr>
        <sz val="11"/>
        <rFont val="Georgia"/>
        <family val="1"/>
      </rPr>
      <t>WAUZZZF24NN03</t>
    </r>
  </si>
  <si>
    <r>
      <rPr>
        <sz val="11"/>
        <rFont val="Georgia"/>
        <family val="1"/>
      </rPr>
      <t>A7 SPORTBACK</t>
    </r>
  </si>
  <si>
    <r>
      <rPr>
        <sz val="11"/>
        <rFont val="Georgia"/>
        <family val="1"/>
      </rPr>
      <t>WAUZZZF28KN0226497</t>
    </r>
  </si>
  <si>
    <r>
      <rPr>
        <sz val="11"/>
        <rFont val="Georgia"/>
        <family val="1"/>
      </rPr>
      <t>A7 SPORTBACK 2.0 TFSI QUATTRO</t>
    </r>
  </si>
  <si>
    <r>
      <rPr>
        <sz val="11"/>
        <rFont val="Georgia"/>
        <family val="1"/>
      </rPr>
      <t>WAUZZZ4G9JN02</t>
    </r>
  </si>
  <si>
    <r>
      <rPr>
        <sz val="11"/>
        <rFont val="Georgia"/>
        <family val="1"/>
      </rPr>
      <t>A7 SPORTBACK 40TDI QUATTRO S LINE PACKAG</t>
    </r>
  </si>
  <si>
    <r>
      <rPr>
        <sz val="11"/>
        <rFont val="Georgia"/>
        <family val="1"/>
      </rPr>
      <t>WAUZZZF28LN05</t>
    </r>
  </si>
  <si>
    <r>
      <rPr>
        <sz val="11"/>
        <rFont val="Georgia"/>
        <family val="1"/>
      </rPr>
      <t>A7 SPORTBACK 45TFSI QUATTRO</t>
    </r>
  </si>
  <si>
    <r>
      <rPr>
        <sz val="11"/>
        <rFont val="Georgia"/>
        <family val="1"/>
      </rPr>
      <t>WAUZZZF24PN03</t>
    </r>
  </si>
  <si>
    <r>
      <rPr>
        <sz val="11"/>
        <rFont val="Georgia"/>
        <family val="1"/>
      </rPr>
      <t>A7 SPORTBACK 45TFSI QUATTRO S LINE PACKA</t>
    </r>
  </si>
  <si>
    <r>
      <rPr>
        <sz val="11"/>
        <rFont val="Georgia"/>
        <family val="1"/>
      </rPr>
      <t>WAUZZZF28LN07</t>
    </r>
  </si>
  <si>
    <r>
      <rPr>
        <sz val="11"/>
        <rFont val="Georgia"/>
        <family val="1"/>
      </rPr>
      <t>A7 SPORTBACK 55 TFSI QUATTRO 1ST EDITION</t>
    </r>
  </si>
  <si>
    <r>
      <rPr>
        <sz val="11"/>
        <rFont val="Georgia"/>
        <family val="1"/>
      </rPr>
      <t>AAA-F2DLZS</t>
    </r>
  </si>
  <si>
    <r>
      <rPr>
        <sz val="11"/>
        <rFont val="Georgia"/>
        <family val="1"/>
      </rPr>
      <t>A7 SPORTBACK 55 TFSI QUATTRO S LINE</t>
    </r>
  </si>
  <si>
    <r>
      <rPr>
        <sz val="11"/>
        <rFont val="Georgia"/>
        <family val="1"/>
      </rPr>
      <t>WAUZZZF24KN05</t>
    </r>
  </si>
  <si>
    <r>
      <rPr>
        <sz val="11"/>
        <rFont val="Georgia"/>
        <family val="1"/>
      </rPr>
      <t>A8</t>
    </r>
  </si>
  <si>
    <r>
      <rPr>
        <sz val="11"/>
        <rFont val="Georgia"/>
        <family val="1"/>
      </rPr>
      <t>WAUZZZF85JN01</t>
    </r>
  </si>
  <si>
    <r>
      <rPr>
        <sz val="11"/>
        <rFont val="Georgia"/>
        <family val="1"/>
      </rPr>
      <t>A8 55TFSI QUATTRO</t>
    </r>
  </si>
  <si>
    <r>
      <rPr>
        <sz val="11"/>
        <rFont val="Georgia"/>
        <family val="1"/>
      </rPr>
      <t>WAUZZZF81NN00</t>
    </r>
  </si>
  <si>
    <r>
      <rPr>
        <sz val="11"/>
        <rFont val="Georgia"/>
        <family val="1"/>
      </rPr>
      <t>A8 60TFSI E QUATTRO</t>
    </r>
  </si>
  <si>
    <r>
      <rPr>
        <sz val="11"/>
        <rFont val="Georgia"/>
        <family val="1"/>
      </rPr>
      <t>WAUZZZF81PN01</t>
    </r>
  </si>
  <si>
    <r>
      <rPr>
        <sz val="11"/>
        <rFont val="Georgia"/>
        <family val="1"/>
      </rPr>
      <t>PLUG-IN HYBRID</t>
    </r>
  </si>
  <si>
    <r>
      <rPr>
        <sz val="11"/>
        <rFont val="Georgia"/>
        <family val="1"/>
      </rPr>
      <t>A8 60TFSI QUATTRO</t>
    </r>
  </si>
  <si>
    <r>
      <rPr>
        <sz val="11"/>
        <rFont val="Georgia"/>
        <family val="1"/>
      </rPr>
      <t>WAUZZZF82KN00</t>
    </r>
  </si>
  <si>
    <r>
      <rPr>
        <sz val="11"/>
        <rFont val="Georgia"/>
        <family val="1"/>
      </rPr>
      <t>E-TRON 50 QUATTRO ADVANCED</t>
    </r>
  </si>
  <si>
    <r>
      <rPr>
        <sz val="11"/>
        <rFont val="Georgia"/>
        <family val="1"/>
      </rPr>
      <t>WAUZZZGE8MB01</t>
    </r>
  </si>
  <si>
    <r>
      <rPr>
        <sz val="11"/>
        <rFont val="Georgia"/>
        <family val="1"/>
      </rPr>
      <t>EV</t>
    </r>
  </si>
  <si>
    <r>
      <rPr>
        <sz val="11"/>
        <rFont val="Georgia"/>
        <family val="1"/>
      </rPr>
      <t>E-TRON 50 QUATTRO S LINE</t>
    </r>
  </si>
  <si>
    <r>
      <rPr>
        <sz val="11"/>
        <rFont val="Georgia"/>
        <family val="1"/>
      </rPr>
      <t>ZAA-GEEASB</t>
    </r>
  </si>
  <si>
    <r>
      <rPr>
        <sz val="11"/>
        <rFont val="Georgia"/>
        <family val="1"/>
      </rPr>
      <t>E-TRON 55 QUATTRO S LINE</t>
    </r>
  </si>
  <si>
    <r>
      <rPr>
        <sz val="11"/>
        <rFont val="Georgia"/>
        <family val="1"/>
      </rPr>
      <t>ZAA-GEEAS</t>
    </r>
  </si>
  <si>
    <r>
      <rPr>
        <sz val="11"/>
        <rFont val="Georgia"/>
        <family val="1"/>
      </rPr>
      <t>E-TRON S SPORTBACK</t>
    </r>
  </si>
  <si>
    <r>
      <rPr>
        <sz val="11"/>
        <rFont val="Georgia"/>
        <family val="1"/>
      </rPr>
      <t>ZAA-GEEAV</t>
    </r>
  </si>
  <si>
    <r>
      <rPr>
        <sz val="11"/>
        <rFont val="Georgia"/>
        <family val="1"/>
      </rPr>
      <t>Q2 1.0TFSI SPORT</t>
    </r>
  </si>
  <si>
    <r>
      <rPr>
        <sz val="11"/>
        <rFont val="Georgia"/>
        <family val="1"/>
      </rPr>
      <t>ABA-GACHZ</t>
    </r>
  </si>
  <si>
    <r>
      <rPr>
        <sz val="11"/>
        <rFont val="Georgia"/>
        <family val="1"/>
      </rPr>
      <t>Q2 1.4 TFSI CYLINDER ON DEMAND SPORT</t>
    </r>
  </si>
  <si>
    <r>
      <rPr>
        <sz val="11"/>
        <rFont val="Georgia"/>
        <family val="1"/>
      </rPr>
      <t>ABA-GACZE</t>
    </r>
  </si>
  <si>
    <r>
      <rPr>
        <sz val="11"/>
        <rFont val="Georgia"/>
        <family val="1"/>
      </rPr>
      <t>Q2 30TFSI SPORT</t>
    </r>
  </si>
  <si>
    <r>
      <rPr>
        <sz val="11"/>
        <rFont val="Georgia"/>
        <family val="1"/>
      </rPr>
      <t>WAUZZZGA4LA03</t>
    </r>
  </si>
  <si>
    <r>
      <rPr>
        <sz val="11"/>
        <rFont val="Georgia"/>
        <family val="1"/>
      </rPr>
      <t>Q2 35TFSI ADVANCED</t>
    </r>
  </si>
  <si>
    <r>
      <rPr>
        <sz val="11"/>
        <rFont val="Georgia"/>
        <family val="1"/>
      </rPr>
      <t>WAUZZZGAXNA04</t>
    </r>
  </si>
  <si>
    <r>
      <rPr>
        <sz val="11"/>
        <rFont val="Georgia"/>
        <family val="1"/>
      </rPr>
      <t>Q2 HASHTAG BLACK ELEGANCE</t>
    </r>
  </si>
  <si>
    <r>
      <rPr>
        <sz val="11"/>
        <rFont val="Georgia"/>
        <family val="1"/>
      </rPr>
      <t>WAUZZZGA5KA07</t>
    </r>
  </si>
  <si>
    <r>
      <rPr>
        <sz val="11"/>
        <rFont val="Georgia"/>
        <family val="1"/>
      </rPr>
      <t>Q2 HASHTAG CONTRAST STYLING</t>
    </r>
  </si>
  <si>
    <r>
      <rPr>
        <sz val="11"/>
        <rFont val="Georgia"/>
        <family val="1"/>
      </rPr>
      <t>WAUZZZGA7LA00</t>
    </r>
  </si>
  <si>
    <r>
      <rPr>
        <sz val="11"/>
        <rFont val="Georgia"/>
        <family val="1"/>
      </rPr>
      <t>Q3 2.0TFSI QUATTRO 180PS</t>
    </r>
  </si>
  <si>
    <r>
      <rPr>
        <sz val="11"/>
        <rFont val="Georgia"/>
        <family val="1"/>
      </rPr>
      <t>ABA-8UCULB</t>
    </r>
  </si>
  <si>
    <r>
      <rPr>
        <sz val="11"/>
        <rFont val="Georgia"/>
        <family val="1"/>
      </rPr>
      <t>Q3 35 TDI QUATTRO ADVANCED</t>
    </r>
  </si>
  <si>
    <r>
      <rPr>
        <sz val="11"/>
        <rFont val="Georgia"/>
        <family val="1"/>
      </rPr>
      <t>WAUZZZF39M105</t>
    </r>
  </si>
  <si>
    <r>
      <rPr>
        <sz val="11"/>
        <rFont val="Georgia"/>
        <family val="1"/>
      </rPr>
      <t>Q3 35 TDI QUATTRO S LINE</t>
    </r>
  </si>
  <si>
    <r>
      <rPr>
        <sz val="11"/>
        <rFont val="Georgia"/>
        <family val="1"/>
      </rPr>
      <t>3DA-F3DFGF</t>
    </r>
  </si>
  <si>
    <r>
      <rPr>
        <sz val="11"/>
        <rFont val="Georgia"/>
        <family val="1"/>
      </rPr>
      <t>Q3 35 TFSI ADVANCED</t>
    </r>
  </si>
  <si>
    <r>
      <rPr>
        <sz val="11"/>
        <rFont val="Georgia"/>
        <family val="1"/>
      </rPr>
      <t>WAUZZZF3XL112</t>
    </r>
  </si>
  <si>
    <r>
      <rPr>
        <sz val="11"/>
        <rFont val="Georgia"/>
        <family val="1"/>
      </rPr>
      <t>Q3 35 TFSI S LINE</t>
    </r>
  </si>
  <si>
    <r>
      <rPr>
        <sz val="11"/>
        <rFont val="Georgia"/>
        <family val="1"/>
      </rPr>
      <t>3AA-F3DFY</t>
    </r>
  </si>
  <si>
    <r>
      <rPr>
        <sz val="11"/>
        <rFont val="Georgia"/>
        <family val="1"/>
      </rPr>
      <t>Q3 SPORTBACK 35 TDI QUATTRO S LINE</t>
    </r>
  </si>
  <si>
    <r>
      <rPr>
        <sz val="11"/>
        <rFont val="Georgia"/>
        <family val="1"/>
      </rPr>
      <t>WAUZZZF32P102</t>
    </r>
  </si>
  <si>
    <r>
      <rPr>
        <sz val="11"/>
        <rFont val="Georgia"/>
        <family val="1"/>
      </rPr>
      <t>Q3 SPORTBACK 35 TFSI</t>
    </r>
  </si>
  <si>
    <r>
      <rPr>
        <sz val="11"/>
        <rFont val="Georgia"/>
        <family val="1"/>
      </rPr>
      <t>WAUZZZF37N105</t>
    </r>
  </si>
  <si>
    <r>
      <rPr>
        <sz val="11"/>
        <rFont val="Georgia"/>
        <family val="1"/>
      </rPr>
      <t>Q3 SPORTBACK 35 TFSI S LINE</t>
    </r>
  </si>
  <si>
    <r>
      <rPr>
        <sz val="11"/>
        <rFont val="Georgia"/>
        <family val="1"/>
      </rPr>
      <t>WAUZZZF35N110</t>
    </r>
  </si>
  <si>
    <r>
      <rPr>
        <sz val="11"/>
        <rFont val="Georgia"/>
        <family val="1"/>
      </rPr>
      <t>Q3 SPORTBACK HIGH STYLE</t>
    </r>
  </si>
  <si>
    <r>
      <rPr>
        <sz val="11"/>
        <rFont val="Georgia"/>
        <family val="1"/>
      </rPr>
      <t>WAUZZZF39R104</t>
    </r>
  </si>
  <si>
    <r>
      <rPr>
        <sz val="11"/>
        <rFont val="Georgia"/>
        <family val="1"/>
      </rPr>
      <t>Q4 E-TRON 40 E-TRON</t>
    </r>
  </si>
  <si>
    <r>
      <rPr>
        <sz val="11"/>
        <rFont val="Georgia"/>
        <family val="1"/>
      </rPr>
      <t>WAUZZZFZ5PP07</t>
    </r>
  </si>
  <si>
    <r>
      <rPr>
        <sz val="11"/>
        <rFont val="Georgia"/>
        <family val="1"/>
      </rPr>
      <t>Q4 E-TRON 40 E-TRON ADVANCED</t>
    </r>
  </si>
  <si>
    <r>
      <rPr>
        <sz val="11"/>
        <rFont val="Georgia"/>
        <family val="1"/>
      </rPr>
      <t>WAUZZZFZ6NP05</t>
    </r>
  </si>
  <si>
    <r>
      <rPr>
        <sz val="11"/>
        <rFont val="Georgia"/>
        <family val="1"/>
      </rPr>
      <t>Q4 E-TRON 40 E-TRON S LINE</t>
    </r>
  </si>
  <si>
    <r>
      <rPr>
        <sz val="11"/>
        <rFont val="Georgia"/>
        <family val="1"/>
      </rPr>
      <t>WAUZZZFZ7PP07</t>
    </r>
  </si>
  <si>
    <r>
      <rPr>
        <sz val="11"/>
        <rFont val="Georgia"/>
        <family val="1"/>
      </rPr>
      <t>Q4 SPORTBACK E-TRON</t>
    </r>
  </si>
  <si>
    <r>
      <rPr>
        <sz val="11"/>
        <rFont val="Georgia"/>
        <family val="1"/>
      </rPr>
      <t>WAUZZZFZ6PP07</t>
    </r>
  </si>
  <si>
    <r>
      <rPr>
        <sz val="11"/>
        <rFont val="Georgia"/>
        <family val="1"/>
      </rPr>
      <t>Q4 SPORTBACK E-TRON 40 E-TRON ADVANCED</t>
    </r>
  </si>
  <si>
    <r>
      <rPr>
        <sz val="11"/>
        <rFont val="Georgia"/>
        <family val="1"/>
      </rPr>
      <t>WAUZZZFZ2NP05</t>
    </r>
  </si>
  <si>
    <r>
      <rPr>
        <sz val="11"/>
        <rFont val="Georgia"/>
        <family val="1"/>
      </rPr>
      <t>ZAA-FZEBJ</t>
    </r>
  </si>
  <si>
    <r>
      <rPr>
        <sz val="11"/>
        <rFont val="Georgia"/>
        <family val="1"/>
      </rPr>
      <t>Q4 SPORTBACK E-TRON 40 E-TRON S LINE</t>
    </r>
  </si>
  <si>
    <r>
      <rPr>
        <sz val="11"/>
        <rFont val="Georgia"/>
        <family val="1"/>
      </rPr>
      <t>Q5</t>
    </r>
  </si>
  <si>
    <r>
      <rPr>
        <sz val="11"/>
        <rFont val="Georgia"/>
        <family val="1"/>
      </rPr>
      <t>WAUZZZFYXJ221</t>
    </r>
  </si>
  <si>
    <r>
      <rPr>
        <sz val="11"/>
        <rFont val="Georgia"/>
        <family val="1"/>
      </rPr>
      <t>Q5 2.0TFSI QUATTRO</t>
    </r>
  </si>
  <si>
    <r>
      <rPr>
        <sz val="11"/>
        <rFont val="Georgia"/>
        <family val="1"/>
      </rPr>
      <t>DBA-FYDAXS</t>
    </r>
  </si>
  <si>
    <r>
      <rPr>
        <sz val="11"/>
        <rFont val="Georgia"/>
        <family val="1"/>
      </rPr>
      <t>Q5 40TDI QUATTRO</t>
    </r>
  </si>
  <si>
    <r>
      <rPr>
        <sz val="11"/>
        <rFont val="Georgia"/>
        <family val="1"/>
      </rPr>
      <t>LDA-FYDETS</t>
    </r>
  </si>
  <si>
    <r>
      <rPr>
        <sz val="11"/>
        <rFont val="Georgia"/>
        <family val="1"/>
      </rPr>
      <t>Q5 40TDI QUATTRO ADVANCED</t>
    </r>
  </si>
  <si>
    <r>
      <rPr>
        <sz val="11"/>
        <rFont val="Georgia"/>
        <family val="1"/>
      </rPr>
      <t>WAUZZZFY1N201</t>
    </r>
  </si>
  <si>
    <r>
      <rPr>
        <sz val="11"/>
        <rFont val="Georgia"/>
        <family val="1"/>
      </rPr>
      <t>Q5 40TDI QUATTRO S LINE</t>
    </r>
  </si>
  <si>
    <r>
      <rPr>
        <sz val="11"/>
        <rFont val="Georgia"/>
        <family val="1"/>
      </rPr>
      <t>WAUZZZFY6R207</t>
    </r>
  </si>
  <si>
    <r>
      <rPr>
        <sz val="11"/>
        <rFont val="Georgia"/>
        <family val="1"/>
      </rPr>
      <t>WAUZZZFY5M208</t>
    </r>
  </si>
  <si>
    <r>
      <rPr>
        <sz val="11"/>
        <rFont val="Georgia"/>
        <family val="1"/>
      </rPr>
      <t>WAUZZZFY3M208</t>
    </r>
  </si>
  <si>
    <r>
      <rPr>
        <sz val="11"/>
        <rFont val="Georgia"/>
        <family val="1"/>
      </rPr>
      <t>Q5 40TDI QUATTRO SPORT</t>
    </r>
  </si>
  <si>
    <r>
      <rPr>
        <sz val="11"/>
        <rFont val="Georgia"/>
        <family val="1"/>
      </rPr>
      <t>Q5 45TFSI QUATTRO SPORT S LINE PACKAGE</t>
    </r>
  </si>
  <si>
    <r>
      <rPr>
        <sz val="11"/>
        <rFont val="Georgia"/>
        <family val="1"/>
      </rPr>
      <t>WAUZZZFY0J220</t>
    </r>
  </si>
  <si>
    <r>
      <rPr>
        <sz val="11"/>
        <rFont val="Georgia"/>
        <family val="1"/>
      </rPr>
      <t>Q5 BLACK EDITION</t>
    </r>
  </si>
  <si>
    <r>
      <rPr>
        <sz val="11"/>
        <rFont val="Georgia"/>
        <family val="1"/>
      </rPr>
      <t>Q5 S LINE DYNAMIC LIMITED</t>
    </r>
  </si>
  <si>
    <r>
      <rPr>
        <sz val="11"/>
        <rFont val="Georgia"/>
        <family val="1"/>
      </rPr>
      <t>Q5 TDI 1ST EDITION BLACK STYLING</t>
    </r>
  </si>
  <si>
    <r>
      <rPr>
        <sz val="11"/>
        <rFont val="Georgia"/>
        <family val="1"/>
      </rPr>
      <t>WAUZZZFY0K203</t>
    </r>
  </si>
  <si>
    <r>
      <rPr>
        <sz val="11"/>
        <rFont val="Georgia"/>
        <family val="1"/>
      </rPr>
      <t>Q7</t>
    </r>
  </si>
  <si>
    <r>
      <rPr>
        <sz val="11"/>
        <rFont val="Georgia"/>
        <family val="1"/>
      </rPr>
      <t>WAUZZZ4M3KD01</t>
    </r>
  </si>
  <si>
    <r>
      <rPr>
        <sz val="11"/>
        <rFont val="Georgia"/>
        <family val="1"/>
      </rPr>
      <t>Q7 3.0TFSI QUATTRO</t>
    </r>
  </si>
  <si>
    <r>
      <rPr>
        <sz val="11"/>
        <rFont val="Georgia"/>
        <family val="1"/>
      </rPr>
      <t>WAUZZZ4M1JD02</t>
    </r>
  </si>
  <si>
    <r>
      <rPr>
        <sz val="11"/>
        <rFont val="Georgia"/>
        <family val="1"/>
      </rPr>
      <t>Q7 45 S LINE LIMITED</t>
    </r>
  </si>
  <si>
    <r>
      <rPr>
        <sz val="11"/>
        <rFont val="Georgia"/>
        <family val="1"/>
      </rPr>
      <t>ABA-4MCYRA</t>
    </r>
  </si>
  <si>
    <r>
      <rPr>
        <sz val="11"/>
        <rFont val="Georgia"/>
        <family val="1"/>
      </rPr>
      <t>Q7 50TDI QUATTRO S LINE</t>
    </r>
  </si>
  <si>
    <r>
      <rPr>
        <sz val="11"/>
        <rFont val="Georgia"/>
        <family val="1"/>
      </rPr>
      <t>3DA-4MCVMA</t>
    </r>
  </si>
  <si>
    <r>
      <rPr>
        <sz val="11"/>
        <rFont val="Georgia"/>
        <family val="1"/>
      </rPr>
      <t>Q8</t>
    </r>
  </si>
  <si>
    <r>
      <rPr>
        <sz val="11"/>
        <rFont val="Georgia"/>
        <family val="1"/>
      </rPr>
      <t>WAUZZZF13LD01</t>
    </r>
  </si>
  <si>
    <r>
      <rPr>
        <sz val="11"/>
        <rFont val="Georgia"/>
        <family val="1"/>
      </rPr>
      <t>Q8 55TFSI QUATTRO</t>
    </r>
  </si>
  <si>
    <r>
      <rPr>
        <sz val="11"/>
        <rFont val="Georgia"/>
        <family val="1"/>
      </rPr>
      <t>WAUZZZF1XMD01</t>
    </r>
  </si>
  <si>
    <r>
      <rPr>
        <sz val="11"/>
        <rFont val="Georgia"/>
        <family val="1"/>
      </rPr>
      <t>Q8 55TFSI QUATTRO DEBUT PACKAGE LUXURY</t>
    </r>
  </si>
  <si>
    <r>
      <rPr>
        <sz val="11"/>
        <rFont val="Georgia"/>
        <family val="1"/>
      </rPr>
      <t>WAUZZZF12LD00</t>
    </r>
  </si>
  <si>
    <r>
      <rPr>
        <sz val="11"/>
        <rFont val="Georgia"/>
        <family val="1"/>
      </rPr>
      <t>Q8 55TFSI QUATTRO DEBUT PACKAGE S LINE</t>
    </r>
  </si>
  <si>
    <r>
      <rPr>
        <sz val="11"/>
        <rFont val="Georgia"/>
        <family val="1"/>
      </rPr>
      <t>Q8 55TFSI QUATTRO S LINE</t>
    </r>
  </si>
  <si>
    <r>
      <rPr>
        <sz val="11"/>
        <rFont val="Georgia"/>
        <family val="1"/>
      </rPr>
      <t>WAUZZZF16PD04</t>
    </r>
  </si>
  <si>
    <r>
      <rPr>
        <sz val="11"/>
        <rFont val="Georgia"/>
        <family val="1"/>
      </rPr>
      <t>Q8 BRONZE EDITION</t>
    </r>
  </si>
  <si>
    <r>
      <rPr>
        <sz val="11"/>
        <rFont val="Georgia"/>
        <family val="1"/>
      </rPr>
      <t>3DA-F1CVMA</t>
    </r>
  </si>
  <si>
    <r>
      <rPr>
        <sz val="11"/>
        <rFont val="Georgia"/>
        <family val="1"/>
      </rPr>
      <t>Q8 E-TRON 55 E-TRON QUATTRO S LINE</t>
    </r>
  </si>
  <si>
    <r>
      <rPr>
        <sz val="11"/>
        <rFont val="Georgia"/>
        <family val="1"/>
      </rPr>
      <t>ZAA-GEEDE</t>
    </r>
  </si>
  <si>
    <r>
      <rPr>
        <sz val="11"/>
        <rFont val="Georgia"/>
        <family val="1"/>
      </rPr>
      <t>Q8 SPORTBACK E-TRON 55 E-TRON QUATTRO S</t>
    </r>
  </si>
  <si>
    <r>
      <rPr>
        <sz val="11"/>
        <rFont val="Georgia"/>
        <family val="1"/>
      </rPr>
      <t>COUPE</t>
    </r>
  </si>
  <si>
    <r>
      <rPr>
        <sz val="11"/>
        <rFont val="Georgia"/>
        <family val="1"/>
      </rPr>
      <t>R8</t>
    </r>
  </si>
  <si>
    <r>
      <rPr>
        <sz val="11"/>
        <rFont val="Georgia"/>
        <family val="1"/>
      </rPr>
      <t>7BA-4SDMWF</t>
    </r>
  </si>
  <si>
    <r>
      <rPr>
        <sz val="11"/>
        <rFont val="Georgia"/>
        <family val="1"/>
      </rPr>
      <t>R8 JAPAN FINAL EDITION</t>
    </r>
  </si>
  <si>
    <r>
      <rPr>
        <sz val="11"/>
        <rFont val="Georgia"/>
        <family val="1"/>
      </rPr>
      <t>WUAZZZFX0L790</t>
    </r>
  </si>
  <si>
    <r>
      <rPr>
        <sz val="11"/>
        <rFont val="Georgia"/>
        <family val="1"/>
      </rPr>
      <t>R8 SPYDER BASEGRADE</t>
    </r>
  </si>
  <si>
    <r>
      <rPr>
        <sz val="11"/>
        <rFont val="Georgia"/>
        <family val="1"/>
      </rPr>
      <t>ABA-4SDKAF</t>
    </r>
  </si>
  <si>
    <r>
      <rPr>
        <sz val="11"/>
        <rFont val="Georgia"/>
        <family val="1"/>
      </rPr>
      <t>R8 SPYDER V10 PERFORMANCE 5.2 FSI QUATTR</t>
    </r>
  </si>
  <si>
    <r>
      <rPr>
        <sz val="11"/>
        <rFont val="Georgia"/>
        <family val="1"/>
      </rPr>
      <t>WUAZZZFX3N790</t>
    </r>
  </si>
  <si>
    <r>
      <rPr>
        <sz val="11"/>
        <rFont val="Georgia"/>
        <family val="1"/>
      </rPr>
      <t>R8 V10 COUPE PERFORMANCE 5.2 FSI QUATTRO</t>
    </r>
  </si>
  <si>
    <r>
      <rPr>
        <sz val="11"/>
        <rFont val="Georgia"/>
        <family val="1"/>
      </rPr>
      <t>RS E-TRON GT</t>
    </r>
  </si>
  <si>
    <r>
      <rPr>
        <sz val="11"/>
        <rFont val="Georgia"/>
        <family val="1"/>
      </rPr>
      <t>FWEBGE</t>
    </r>
  </si>
  <si>
    <r>
      <rPr>
        <sz val="11"/>
        <rFont val="Georgia"/>
        <family val="1"/>
      </rPr>
      <t>RS E-TRON GT BASE GRADE</t>
    </r>
  </si>
  <si>
    <r>
      <rPr>
        <sz val="11"/>
        <rFont val="Georgia"/>
        <family val="1"/>
      </rPr>
      <t>WAUZZZFW2N790</t>
    </r>
  </si>
  <si>
    <r>
      <rPr>
        <sz val="11"/>
        <rFont val="Georgia"/>
        <family val="1"/>
      </rPr>
      <t>RS Q3</t>
    </r>
  </si>
  <si>
    <r>
      <rPr>
        <sz val="11"/>
        <rFont val="Georgia"/>
        <family val="1"/>
      </rPr>
      <t>3BA-F3DNWF</t>
    </r>
  </si>
  <si>
    <r>
      <rPr>
        <sz val="11"/>
        <rFont val="Georgia"/>
        <family val="1"/>
      </rPr>
      <t>RS Q3 BASE GRADE</t>
    </r>
  </si>
  <si>
    <r>
      <rPr>
        <sz val="11"/>
        <rFont val="Georgia"/>
        <family val="1"/>
      </rPr>
      <t>WAUZZZF36N190</t>
    </r>
  </si>
  <si>
    <r>
      <rPr>
        <sz val="11"/>
        <rFont val="Georgia"/>
        <family val="1"/>
      </rPr>
      <t>RS Q3 SPORTBACK</t>
    </r>
  </si>
  <si>
    <r>
      <rPr>
        <sz val="11"/>
        <rFont val="Georgia"/>
        <family val="1"/>
      </rPr>
      <t>WUAZZZF39P190</t>
    </r>
  </si>
  <si>
    <r>
      <rPr>
        <sz val="11"/>
        <rFont val="Georgia"/>
        <family val="1"/>
      </rPr>
      <t>RS Q3 SPORTBACK BASE GRADE</t>
    </r>
  </si>
  <si>
    <r>
      <rPr>
        <sz val="11"/>
        <rFont val="Georgia"/>
        <family val="1"/>
      </rPr>
      <t>WUAZZZF33M190</t>
    </r>
  </si>
  <si>
    <r>
      <rPr>
        <sz val="11"/>
        <rFont val="Georgia"/>
        <family val="1"/>
      </rPr>
      <t>RS Q8</t>
    </r>
  </si>
  <si>
    <r>
      <rPr>
        <sz val="11"/>
        <rFont val="Georgia"/>
        <family val="1"/>
      </rPr>
      <t>WUAZZZF19MD02</t>
    </r>
  </si>
  <si>
    <r>
      <rPr>
        <sz val="11"/>
        <rFont val="Georgia"/>
        <family val="1"/>
      </rPr>
      <t>RS Q8 BASE GRADE</t>
    </r>
  </si>
  <si>
    <r>
      <rPr>
        <sz val="11"/>
        <rFont val="Georgia"/>
        <family val="1"/>
      </rPr>
      <t>WUAZZZF14MD02</t>
    </r>
  </si>
  <si>
    <r>
      <rPr>
        <sz val="11"/>
        <rFont val="Georgia"/>
        <family val="1"/>
      </rPr>
      <t>RS3</t>
    </r>
  </si>
  <si>
    <r>
      <rPr>
        <sz val="11"/>
        <rFont val="Georgia"/>
        <family val="1"/>
      </rPr>
      <t>WUAZZZGY0PA90</t>
    </r>
  </si>
  <si>
    <r>
      <rPr>
        <sz val="11"/>
        <rFont val="Georgia"/>
        <family val="1"/>
      </rPr>
      <t>RS3 BASE GRADE</t>
    </r>
  </si>
  <si>
    <r>
      <rPr>
        <sz val="11"/>
        <rFont val="Georgia"/>
        <family val="1"/>
      </rPr>
      <t>ABA-8VDAZL</t>
    </r>
  </si>
  <si>
    <r>
      <rPr>
        <sz val="11"/>
        <rFont val="Georgia"/>
        <family val="1"/>
      </rPr>
      <t>RS3 SPORTBACK</t>
    </r>
  </si>
  <si>
    <r>
      <rPr>
        <sz val="11"/>
        <rFont val="Georgia"/>
        <family val="1"/>
      </rPr>
      <t>WUAZZZGYXPA90</t>
    </r>
  </si>
  <si>
    <r>
      <rPr>
        <sz val="11"/>
        <rFont val="Georgia"/>
        <family val="1"/>
      </rPr>
      <t>RS3 SPORTBACK BASE GRADE</t>
    </r>
  </si>
  <si>
    <r>
      <rPr>
        <sz val="11"/>
        <rFont val="Georgia"/>
        <family val="1"/>
      </rPr>
      <t>ABA-8VDAZF</t>
    </r>
  </si>
  <si>
    <r>
      <rPr>
        <sz val="11"/>
        <rFont val="Georgia"/>
        <family val="1"/>
      </rPr>
      <t>RS4 AVANT</t>
    </r>
  </si>
  <si>
    <r>
      <rPr>
        <sz val="11"/>
        <rFont val="Georgia"/>
        <family val="1"/>
      </rPr>
      <t>WUAZZZF46PA90</t>
    </r>
  </si>
  <si>
    <r>
      <rPr>
        <sz val="11"/>
        <rFont val="Georgia"/>
        <family val="1"/>
      </rPr>
      <t>RS4 AVANT BASE GRADE</t>
    </r>
  </si>
  <si>
    <r>
      <rPr>
        <sz val="11"/>
        <rFont val="Georgia"/>
        <family val="1"/>
      </rPr>
      <t>WUAZZZF47PA90</t>
    </r>
  </si>
  <si>
    <r>
      <rPr>
        <sz val="11"/>
        <rFont val="Georgia"/>
        <family val="1"/>
      </rPr>
      <t>RS5</t>
    </r>
  </si>
  <si>
    <r>
      <rPr>
        <sz val="11"/>
        <rFont val="Georgia"/>
        <family val="1"/>
      </rPr>
      <t>F5DECF</t>
    </r>
  </si>
  <si>
    <r>
      <rPr>
        <sz val="11"/>
        <rFont val="Georgia"/>
        <family val="1"/>
      </rPr>
      <t>RS5 BASE GRADE</t>
    </r>
  </si>
  <si>
    <r>
      <rPr>
        <sz val="11"/>
        <rFont val="Georgia"/>
        <family val="1"/>
      </rPr>
      <t>ABA-F5DECF</t>
    </r>
  </si>
  <si>
    <r>
      <rPr>
        <sz val="11"/>
        <rFont val="Georgia"/>
        <family val="1"/>
      </rPr>
      <t>RS5 SPORTBACK BASE GRADE</t>
    </r>
  </si>
  <si>
    <r>
      <rPr>
        <sz val="11"/>
        <rFont val="Georgia"/>
        <family val="1"/>
      </rPr>
      <t>WUAZZZF54KA90</t>
    </r>
  </si>
  <si>
    <r>
      <rPr>
        <sz val="11"/>
        <rFont val="Georgia"/>
        <family val="1"/>
      </rPr>
      <t>RS6 AVANT BASE GRADE</t>
    </r>
  </si>
  <si>
    <r>
      <rPr>
        <sz val="11"/>
        <rFont val="Georgia"/>
        <family val="1"/>
      </rPr>
      <t>WUAZZZF26MN90</t>
    </r>
  </si>
  <si>
    <r>
      <rPr>
        <sz val="11"/>
        <rFont val="Georgia"/>
        <family val="1"/>
      </rPr>
      <t>RS6 AVANT PERFORMANCE BASE GRADE</t>
    </r>
  </si>
  <si>
    <r>
      <rPr>
        <sz val="11"/>
        <rFont val="Georgia"/>
        <family val="1"/>
      </rPr>
      <t>WUAZZZF23RN90</t>
    </r>
  </si>
  <si>
    <r>
      <rPr>
        <sz val="11"/>
        <rFont val="Georgia"/>
        <family val="1"/>
      </rPr>
      <t>RS7 SPORTBACK BASE GRADE</t>
    </r>
  </si>
  <si>
    <r>
      <rPr>
        <sz val="11"/>
        <rFont val="Georgia"/>
        <family val="1"/>
      </rPr>
      <t>WUAZZZF22MN90</t>
    </r>
  </si>
  <si>
    <r>
      <rPr>
        <sz val="11"/>
        <rFont val="Georgia"/>
        <family val="1"/>
      </rPr>
      <t>RS7 SPORTBACK PERFORMANCE BASE GRADE</t>
    </r>
  </si>
  <si>
    <r>
      <rPr>
        <sz val="11"/>
        <rFont val="Georgia"/>
        <family val="1"/>
      </rPr>
      <t>WAUZZZ4G8GN90</t>
    </r>
  </si>
  <si>
    <r>
      <rPr>
        <sz val="11"/>
        <rFont val="Georgia"/>
        <family val="1"/>
      </rPr>
      <t>S3 SEDAN</t>
    </r>
  </si>
  <si>
    <r>
      <rPr>
        <sz val="11"/>
        <rFont val="Georgia"/>
        <family val="1"/>
      </rPr>
      <t>3BA-GYDNFF</t>
    </r>
  </si>
  <si>
    <r>
      <rPr>
        <sz val="11"/>
        <rFont val="Georgia"/>
        <family val="1"/>
      </rPr>
      <t>S3 SEDAN BASE GRADE</t>
    </r>
  </si>
  <si>
    <r>
      <rPr>
        <sz val="11"/>
        <rFont val="Georgia"/>
        <family val="1"/>
      </rPr>
      <t>WAUZZZ8V4KA09</t>
    </r>
  </si>
  <si>
    <r>
      <rPr>
        <sz val="11"/>
        <rFont val="Georgia"/>
        <family val="1"/>
      </rPr>
      <t>S3 SPORTBACK</t>
    </r>
  </si>
  <si>
    <r>
      <rPr>
        <sz val="11"/>
        <rFont val="Georgia"/>
        <family val="1"/>
      </rPr>
      <t>WAUZZZ8V2LA05</t>
    </r>
  </si>
  <si>
    <r>
      <rPr>
        <sz val="11"/>
        <rFont val="Georgia"/>
        <family val="1"/>
      </rPr>
      <t>S4 AVANT BASE GRADE</t>
    </r>
  </si>
  <si>
    <r>
      <rPr>
        <sz val="11"/>
        <rFont val="Georgia"/>
        <family val="1"/>
      </rPr>
      <t>WAUZZZF47PA06</t>
    </r>
  </si>
  <si>
    <r>
      <rPr>
        <sz val="11"/>
        <rFont val="Georgia"/>
        <family val="1"/>
      </rPr>
      <t>S4 BASE GRADE</t>
    </r>
  </si>
  <si>
    <r>
      <rPr>
        <sz val="11"/>
        <rFont val="Georgia"/>
        <family val="1"/>
      </rPr>
      <t>WAUZZZF48LA07</t>
    </r>
  </si>
  <si>
    <r>
      <rPr>
        <sz val="11"/>
        <rFont val="Georgia"/>
        <family val="1"/>
      </rPr>
      <t>S5 CABRIOLET</t>
    </r>
  </si>
  <si>
    <r>
      <rPr>
        <sz val="11"/>
        <rFont val="Georgia"/>
        <family val="1"/>
      </rPr>
      <t>F5CWGC</t>
    </r>
  </si>
  <si>
    <r>
      <rPr>
        <sz val="11"/>
        <rFont val="Georgia"/>
        <family val="1"/>
      </rPr>
      <t>S5 CABRIOLET BASE GRADE</t>
    </r>
  </si>
  <si>
    <r>
      <rPr>
        <sz val="11"/>
        <rFont val="Georgia"/>
        <family val="1"/>
      </rPr>
      <t>WAUZZZF59JN01</t>
    </r>
  </si>
  <si>
    <r>
      <rPr>
        <sz val="11"/>
        <rFont val="Georgia"/>
        <family val="1"/>
      </rPr>
      <t>S5 SPORTBACK BASE GRADE</t>
    </r>
  </si>
  <si>
    <r>
      <rPr>
        <sz val="11"/>
        <rFont val="Georgia"/>
        <family val="1"/>
      </rPr>
      <t>WAUZZZF55JA06</t>
    </r>
  </si>
  <si>
    <r>
      <rPr>
        <sz val="11"/>
        <rFont val="Georgia"/>
        <family val="1"/>
      </rPr>
      <t>S6 BASE GRADE</t>
    </r>
  </si>
  <si>
    <r>
      <rPr>
        <sz val="11"/>
        <rFont val="Georgia"/>
        <family val="1"/>
      </rPr>
      <t>WAUZZZF22MN06</t>
    </r>
  </si>
  <si>
    <r>
      <rPr>
        <sz val="11"/>
        <rFont val="Georgia"/>
        <family val="1"/>
      </rPr>
      <t>S7 SPORTBACK</t>
    </r>
  </si>
  <si>
    <r>
      <rPr>
        <sz val="11"/>
        <rFont val="Georgia"/>
        <family val="1"/>
      </rPr>
      <t>WAUZZZF24NN02</t>
    </r>
  </si>
  <si>
    <r>
      <rPr>
        <sz val="11"/>
        <rFont val="Georgia"/>
        <family val="1"/>
      </rPr>
      <t>S7 SPORTBACK BASE GRADE</t>
    </r>
  </si>
  <si>
    <r>
      <rPr>
        <sz val="11"/>
        <rFont val="Georgia"/>
        <family val="1"/>
      </rPr>
      <t>WAUZZZF2XNN01</t>
    </r>
  </si>
  <si>
    <r>
      <rPr>
        <sz val="11"/>
        <rFont val="Georgia"/>
        <family val="1"/>
      </rPr>
      <t>S8 BASE GRADE</t>
    </r>
  </si>
  <si>
    <r>
      <rPr>
        <sz val="11"/>
        <rFont val="Georgia"/>
        <family val="1"/>
      </rPr>
      <t>WAUZZZF80RN00</t>
    </r>
  </si>
  <si>
    <r>
      <rPr>
        <sz val="11"/>
        <rFont val="Georgia"/>
        <family val="1"/>
      </rPr>
      <t>SQ2</t>
    </r>
  </si>
  <si>
    <r>
      <rPr>
        <sz val="11"/>
        <rFont val="Georgia"/>
        <family val="1"/>
      </rPr>
      <t>WAUZZZGA1PA01</t>
    </r>
  </si>
  <si>
    <r>
      <rPr>
        <sz val="11"/>
        <rFont val="Georgia"/>
        <family val="1"/>
      </rPr>
      <t>SQ2 BASE GRADE</t>
    </r>
  </si>
  <si>
    <r>
      <rPr>
        <sz val="11"/>
        <rFont val="Georgia"/>
        <family val="1"/>
      </rPr>
      <t>3BA-GADNUF</t>
    </r>
  </si>
  <si>
    <r>
      <rPr>
        <sz val="11"/>
        <rFont val="Georgia"/>
        <family val="1"/>
      </rPr>
      <t>SQ5</t>
    </r>
  </si>
  <si>
    <r>
      <rPr>
        <sz val="11"/>
        <rFont val="Georgia"/>
        <family val="1"/>
      </rPr>
      <t>FYCWGS</t>
    </r>
  </si>
  <si>
    <r>
      <rPr>
        <sz val="11"/>
        <rFont val="Georgia"/>
        <family val="1"/>
      </rPr>
      <t>SQ5 BASE GRADE</t>
    </r>
  </si>
  <si>
    <r>
      <rPr>
        <sz val="11"/>
        <rFont val="Georgia"/>
        <family val="1"/>
      </rPr>
      <t>WAUZZZFY2N208</t>
    </r>
  </si>
  <si>
    <r>
      <rPr>
        <sz val="11"/>
        <rFont val="Georgia"/>
        <family val="1"/>
      </rPr>
      <t>SQ5 SPORTBACK</t>
    </r>
  </si>
  <si>
    <r>
      <rPr>
        <sz val="11"/>
        <rFont val="Georgia"/>
        <family val="1"/>
      </rPr>
      <t>WAUZZZFY8N204</t>
    </r>
  </si>
  <si>
    <r>
      <rPr>
        <sz val="11"/>
        <rFont val="Georgia"/>
        <family val="1"/>
      </rPr>
      <t>SQ5 SPORTBACK BASE GRADE</t>
    </r>
  </si>
  <si>
    <r>
      <rPr>
        <sz val="11"/>
        <rFont val="Georgia"/>
        <family val="1"/>
      </rPr>
      <t>3BA-FYCWGA</t>
    </r>
  </si>
  <si>
    <r>
      <rPr>
        <sz val="11"/>
        <rFont val="Georgia"/>
        <family val="1"/>
      </rPr>
      <t>SQ7</t>
    </r>
  </si>
  <si>
    <r>
      <rPr>
        <sz val="11"/>
        <rFont val="Georgia"/>
        <family val="1"/>
      </rPr>
      <t>3BA-4MDWRA</t>
    </r>
  </si>
  <si>
    <r>
      <rPr>
        <sz val="11"/>
        <rFont val="Georgia"/>
        <family val="1"/>
      </rPr>
      <t>SQ8</t>
    </r>
  </si>
  <si>
    <r>
      <rPr>
        <sz val="11"/>
        <rFont val="Georgia"/>
        <family val="1"/>
      </rPr>
      <t>WAUZZZF10PD03</t>
    </r>
  </si>
  <si>
    <r>
      <rPr>
        <sz val="11"/>
        <rFont val="Georgia"/>
        <family val="1"/>
      </rPr>
      <t>SQ8 BASE GRADE</t>
    </r>
  </si>
  <si>
    <r>
      <rPr>
        <sz val="11"/>
        <rFont val="Georgia"/>
        <family val="1"/>
      </rPr>
      <t>3BA-F1DWRA</t>
    </r>
  </si>
  <si>
    <r>
      <rPr>
        <sz val="11"/>
        <rFont val="Georgia"/>
        <family val="1"/>
      </rPr>
      <t>TT COUPE 2.0TFSI QUATTRO</t>
    </r>
  </si>
  <si>
    <r>
      <rPr>
        <sz val="11"/>
        <rFont val="Georgia"/>
        <family val="1"/>
      </rPr>
      <t>ABA-FVCHHF</t>
    </r>
  </si>
  <si>
    <r>
      <rPr>
        <sz val="11"/>
        <rFont val="Georgia"/>
        <family val="1"/>
      </rPr>
      <t>TT COUPE 40TFSI</t>
    </r>
  </si>
  <si>
    <r>
      <rPr>
        <sz val="11"/>
        <rFont val="Georgia"/>
        <family val="1"/>
      </rPr>
      <t>TRUZZZFV1P100</t>
    </r>
  </si>
  <si>
    <r>
      <rPr>
        <sz val="11"/>
        <rFont val="Georgia"/>
        <family val="1"/>
      </rPr>
      <t>TT COUPE 40TFSI S LINE PACKAGE</t>
    </r>
  </si>
  <si>
    <r>
      <rPr>
        <sz val="11"/>
        <rFont val="Georgia"/>
        <family val="1"/>
      </rPr>
      <t>TRUZZZFV9N100</t>
    </r>
  </si>
  <si>
    <r>
      <rPr>
        <sz val="11"/>
        <rFont val="Georgia"/>
        <family val="1"/>
      </rPr>
      <t>TT COUPE 45TFSI QUATTRO S LINE PACKAGE</t>
    </r>
  </si>
  <si>
    <r>
      <rPr>
        <sz val="11"/>
        <rFont val="Georgia"/>
        <family val="1"/>
      </rPr>
      <t>TRUZZZFVXP100</t>
    </r>
  </si>
  <si>
    <r>
      <rPr>
        <sz val="11"/>
        <rFont val="Georgia"/>
        <family val="1"/>
      </rPr>
      <t>TT COUPE FINAL EDITION</t>
    </r>
  </si>
  <si>
    <r>
      <rPr>
        <sz val="11"/>
        <rFont val="Georgia"/>
        <family val="1"/>
      </rPr>
      <t>3BA-FVDNPF</t>
    </r>
  </si>
  <si>
    <r>
      <rPr>
        <sz val="11"/>
        <rFont val="Georgia"/>
        <family val="1"/>
      </rPr>
      <t>TT COUPE S LINE DYNAMIC LIMITED</t>
    </r>
  </si>
  <si>
    <r>
      <rPr>
        <sz val="11"/>
        <rFont val="Georgia"/>
        <family val="1"/>
      </rPr>
      <t>ABA-FVCJS</t>
    </r>
  </si>
  <si>
    <r>
      <rPr>
        <sz val="11"/>
        <rFont val="Georgia"/>
        <family val="1"/>
      </rPr>
      <t>TT COUPE S-LINE COMPETITION PLUS</t>
    </r>
  </si>
  <si>
    <r>
      <rPr>
        <sz val="11"/>
        <rFont val="Georgia"/>
        <family val="1"/>
      </rPr>
      <t>TT ROADSTER 45 TFSI QUATTRO S LINE PACKAG</t>
    </r>
  </si>
  <si>
    <r>
      <rPr>
        <sz val="11"/>
        <rFont val="Georgia"/>
        <family val="1"/>
      </rPr>
      <t>TT ROADSTER FINAL EDITION</t>
    </r>
  </si>
  <si>
    <r>
      <rPr>
        <sz val="11"/>
        <rFont val="Georgia"/>
        <family val="1"/>
      </rPr>
      <t>TRUZZZFV2L100</t>
    </r>
  </si>
  <si>
    <r>
      <rPr>
        <sz val="11"/>
        <rFont val="Georgia"/>
        <family val="1"/>
      </rPr>
      <t>TT RS COUPE BASE GRADE</t>
    </r>
  </si>
  <si>
    <r>
      <rPr>
        <sz val="11"/>
        <rFont val="Georgia"/>
        <family val="1"/>
      </rPr>
      <t>TTS COUPE</t>
    </r>
  </si>
  <si>
    <r>
      <rPr>
        <sz val="11"/>
        <rFont val="Georgia"/>
        <family val="1"/>
      </rPr>
      <t>ABA-FVCJXF</t>
    </r>
  </si>
  <si>
    <r>
      <rPr>
        <sz val="11"/>
        <rFont val="Georgia"/>
        <family val="1"/>
      </rPr>
      <t>TTS COUPE BASE GRADE</t>
    </r>
  </si>
  <si>
    <r>
      <rPr>
        <sz val="11"/>
        <rFont val="Georgia"/>
        <family val="1"/>
      </rPr>
      <t>3BA-FVDNFF</t>
    </r>
  </si>
  <si>
    <r>
      <rPr>
        <sz val="11"/>
        <rFont val="Georgia"/>
        <family val="1"/>
      </rPr>
      <t>TTS COUPE MEMORIAL EDITION</t>
    </r>
  </si>
  <si>
    <r>
      <rPr>
        <sz val="11"/>
        <rFont val="Georgia"/>
        <family val="1"/>
      </rPr>
      <t>BENTLEY</t>
    </r>
  </si>
  <si>
    <r>
      <rPr>
        <sz val="11"/>
        <rFont val="Georgia"/>
        <family val="1"/>
      </rPr>
      <t>BENTAYGA BASEGRADE</t>
    </r>
  </si>
  <si>
    <r>
      <rPr>
        <sz val="11"/>
        <rFont val="Georgia"/>
        <family val="1"/>
      </rPr>
      <t>BENTAYGA</t>
    </r>
  </si>
  <si>
    <r>
      <rPr>
        <sz val="11"/>
        <rFont val="Georgia"/>
        <family val="1"/>
      </rPr>
      <t>BENTAYGA AZURE</t>
    </r>
  </si>
  <si>
    <r>
      <rPr>
        <sz val="11"/>
        <rFont val="Georgia"/>
        <family val="1"/>
      </rPr>
      <t>7BA-BADCU</t>
    </r>
  </si>
  <si>
    <r>
      <rPr>
        <sz val="11"/>
        <rFont val="Georgia"/>
        <family val="1"/>
      </rPr>
      <t>BENTAYGA EWB AZURE</t>
    </r>
  </si>
  <si>
    <r>
      <rPr>
        <sz val="11"/>
        <rFont val="Georgia"/>
        <family val="1"/>
      </rPr>
      <t>BENTAYGA HYBRID</t>
    </r>
  </si>
  <si>
    <r>
      <rPr>
        <sz val="11"/>
        <rFont val="Georgia"/>
        <family val="1"/>
      </rPr>
      <t>BENTAYGA S</t>
    </r>
  </si>
  <si>
    <r>
      <rPr>
        <sz val="11"/>
        <rFont val="Georgia"/>
        <family val="1"/>
      </rPr>
      <t>BENTAYGA V8</t>
    </r>
  </si>
  <si>
    <r>
      <rPr>
        <sz val="11"/>
        <rFont val="Georgia"/>
        <family val="1"/>
      </rPr>
      <t>CONTINENTAL GT</t>
    </r>
  </si>
  <si>
    <r>
      <rPr>
        <sz val="11"/>
        <rFont val="Georgia"/>
        <family val="1"/>
      </rPr>
      <t>CONTINENTAL GT CONVERTIBLE</t>
    </r>
  </si>
  <si>
    <r>
      <rPr>
        <sz val="11"/>
        <rFont val="Georgia"/>
        <family val="1"/>
      </rPr>
      <t>CONTINENTAL GT MULLINER CONVERTIBLE</t>
    </r>
  </si>
  <si>
    <r>
      <rPr>
        <sz val="11"/>
        <rFont val="Georgia"/>
        <family val="1"/>
      </rPr>
      <t>7BA-BDDDB</t>
    </r>
  </si>
  <si>
    <r>
      <rPr>
        <sz val="11"/>
        <rFont val="Georgia"/>
        <family val="1"/>
      </rPr>
      <t>CONVRTIBLE</t>
    </r>
  </si>
  <si>
    <r>
      <rPr>
        <sz val="11"/>
        <rFont val="Georgia"/>
        <family val="1"/>
      </rPr>
      <t>CONTINENTAL GT SPEED COUPE</t>
    </r>
  </si>
  <si>
    <r>
      <rPr>
        <sz val="11"/>
        <rFont val="Georgia"/>
        <family val="1"/>
      </rPr>
      <t>CONTINENTAL GT V8 AZURE</t>
    </r>
  </si>
  <si>
    <r>
      <rPr>
        <sz val="11"/>
        <rFont val="Georgia"/>
        <family val="1"/>
      </rPr>
      <t>7BA-BCCVD</t>
    </r>
  </si>
  <si>
    <r>
      <rPr>
        <sz val="11"/>
        <rFont val="Georgia"/>
        <family val="1"/>
      </rPr>
      <t>CONTINENTAL GT V8 COUPE</t>
    </r>
  </si>
  <si>
    <r>
      <rPr>
        <sz val="11"/>
        <rFont val="Georgia"/>
        <family val="1"/>
      </rPr>
      <t>FLYING SPUR BASEGRADE</t>
    </r>
  </si>
  <si>
    <r>
      <rPr>
        <sz val="11"/>
        <rFont val="Georgia"/>
        <family val="1"/>
      </rPr>
      <t>FLYING SPUR S</t>
    </r>
  </si>
  <si>
    <r>
      <rPr>
        <sz val="11"/>
        <rFont val="Georgia"/>
        <family val="1"/>
      </rPr>
      <t>ABA-BECYC</t>
    </r>
  </si>
  <si>
    <r>
      <rPr>
        <sz val="11"/>
        <rFont val="Georgia"/>
        <family val="1"/>
      </rPr>
      <t>FLYING SPUR V8</t>
    </r>
  </si>
  <si>
    <r>
      <rPr>
        <sz val="11"/>
        <rFont val="Georgia"/>
        <family val="1"/>
      </rPr>
      <t>FLYING SPUR V8 AZURE</t>
    </r>
  </si>
  <si>
    <r>
      <rPr>
        <sz val="11"/>
        <rFont val="Georgia"/>
        <family val="1"/>
      </rPr>
      <t>FLYING SPUR V8 S</t>
    </r>
  </si>
  <si>
    <r>
      <rPr>
        <sz val="11"/>
        <rFont val="Georgia"/>
        <family val="1"/>
      </rPr>
      <t>MULSANNE SPEED</t>
    </r>
  </si>
  <si>
    <r>
      <rPr>
        <sz val="11"/>
        <rFont val="Georgia"/>
        <family val="1"/>
      </rPr>
      <t>BMW</t>
    </r>
  </si>
  <si>
    <r>
      <rPr>
        <sz val="11"/>
        <rFont val="Georgia"/>
        <family val="1"/>
      </rPr>
      <t>BMW 3 SERIES 320D X DRIVE M-SPORT</t>
    </r>
  </si>
  <si>
    <r>
      <rPr>
        <sz val="11"/>
        <rFont val="Georgia"/>
        <family val="1"/>
      </rPr>
      <t>BMW 3 SERIES 320D X DRIVE M-SPORT EDITION JOY+</t>
    </r>
  </si>
  <si>
    <r>
      <rPr>
        <sz val="11"/>
        <rFont val="Georgia"/>
        <family val="1"/>
      </rPr>
      <t>BMW 3 SERIES 320D X DRIVE M-SPORT EDITIO</t>
    </r>
  </si>
  <si>
    <r>
      <rPr>
        <sz val="11"/>
        <rFont val="Georgia"/>
        <family val="1"/>
      </rPr>
      <t>3DA-5V20</t>
    </r>
  </si>
  <si>
    <r>
      <rPr>
        <sz val="11"/>
        <rFont val="Georgia"/>
        <family val="1"/>
      </rPr>
      <t>BMW 3 SERIES 320D X DRIVE M-SPORT HI-LINE PACKAGE</t>
    </r>
  </si>
  <si>
    <r>
      <rPr>
        <sz val="11"/>
        <rFont val="Georgia"/>
        <family val="1"/>
      </rPr>
      <t>BMW 3 SERIES 320D X DRIVE TOURING M-SPORT</t>
    </r>
  </si>
  <si>
    <r>
      <rPr>
        <sz val="11"/>
        <rFont val="Georgia"/>
        <family val="1"/>
      </rPr>
      <t>4WDD</t>
    </r>
  </si>
  <si>
    <r>
      <rPr>
        <sz val="11"/>
        <rFont val="Georgia"/>
        <family val="1"/>
      </rPr>
      <t>BMW 3 SERIES 320i</t>
    </r>
  </si>
  <si>
    <r>
      <rPr>
        <sz val="11"/>
        <rFont val="Georgia"/>
        <family val="1"/>
      </rPr>
      <t>BMW 3 SERIES 320i HI-LINE PACKAGE</t>
    </r>
  </si>
  <si>
    <r>
      <rPr>
        <sz val="11"/>
        <rFont val="Georgia"/>
        <family val="1"/>
      </rPr>
      <t>BMW 3 SERIES 320i M-SPORT</t>
    </r>
  </si>
  <si>
    <r>
      <rPr>
        <sz val="11"/>
        <rFont val="Georgia"/>
        <family val="1"/>
      </rPr>
      <t>BMW 3 SERIES 320I STYLE MEISTER</t>
    </r>
  </si>
  <si>
    <r>
      <rPr>
        <sz val="11"/>
        <rFont val="Georgia"/>
        <family val="1"/>
      </rPr>
      <t>DBA-8A20</t>
    </r>
  </si>
  <si>
    <r>
      <rPr>
        <sz val="11"/>
        <rFont val="Georgia"/>
        <family val="1"/>
      </rPr>
      <t>BMW 3 SERIES 330E M-SPORT</t>
    </r>
  </si>
  <si>
    <r>
      <rPr>
        <sz val="11"/>
        <rFont val="Georgia"/>
        <family val="1"/>
      </rPr>
      <t>BMW 4 SERIES 420D X DRIVE GRAN COUPE M SPORT</t>
    </r>
  </si>
  <si>
    <r>
      <rPr>
        <sz val="11"/>
        <rFont val="Georgia"/>
        <family val="1"/>
      </rPr>
      <t>BMW 4 SERIES 420D X DRIVE GRAN COUPE M SPORT HI-LINE PACKAGE</t>
    </r>
  </si>
  <si>
    <r>
      <rPr>
        <sz val="11"/>
        <rFont val="Georgia"/>
        <family val="1"/>
      </rPr>
      <t>BMW 4 SERIES 420I CABRIOLET M SPORT</t>
    </r>
  </si>
  <si>
    <r>
      <rPr>
        <sz val="11"/>
        <rFont val="Georgia"/>
        <family val="1"/>
      </rPr>
      <t>BMW 4 SERIES 420i COUPE M SPORT</t>
    </r>
  </si>
  <si>
    <r>
      <rPr>
        <sz val="11"/>
        <rFont val="Georgia"/>
        <family val="1"/>
      </rPr>
      <t>12AP20-CL6</t>
    </r>
  </si>
  <si>
    <r>
      <rPr>
        <sz val="11"/>
        <rFont val="Georgia"/>
        <family val="1"/>
      </rPr>
      <t>BMW 4 SERIES 420i GRAN COUPE IN STYLE SPO</t>
    </r>
  </si>
  <si>
    <r>
      <rPr>
        <sz val="11"/>
        <rFont val="Georgia"/>
        <family val="1"/>
      </rPr>
      <t>DBA-4D20</t>
    </r>
  </si>
  <si>
    <r>
      <rPr>
        <sz val="11"/>
        <rFont val="Georgia"/>
        <family val="1"/>
      </rPr>
      <t>BMW 4 SERIES 420i GRAN COUPE LUXURY</t>
    </r>
  </si>
  <si>
    <r>
      <rPr>
        <sz val="11"/>
        <rFont val="Georgia"/>
        <family val="1"/>
      </rPr>
      <t>BMW 4 SERIES 420i GRAN COUPE M SPIRIT</t>
    </r>
  </si>
  <si>
    <r>
      <rPr>
        <sz val="11"/>
        <rFont val="Georgia"/>
        <family val="1"/>
      </rPr>
      <t>4D20-BP2</t>
    </r>
  </si>
  <si>
    <r>
      <rPr>
        <sz val="11"/>
        <rFont val="Georgia"/>
        <family val="1"/>
      </rPr>
      <t>BMW 4 SERIES 420i GRAN COUPE M SPORT</t>
    </r>
  </si>
  <si>
    <r>
      <rPr>
        <sz val="11"/>
        <rFont val="Georgia"/>
        <family val="1"/>
      </rPr>
      <t>BMW 4 SERIES 420I GRAN COUPE M SPORT EDI</t>
    </r>
  </si>
  <si>
    <r>
      <rPr>
        <sz val="11"/>
        <rFont val="Georgia"/>
        <family val="1"/>
      </rPr>
      <t>3BA-12AV20</t>
    </r>
  </si>
  <si>
    <r>
      <rPr>
        <sz val="11"/>
        <rFont val="Georgia"/>
        <family val="1"/>
      </rPr>
      <t>BMW 4 SERIES 420i GRAN COUPE M SPORT HI-LINE PACKAGE</t>
    </r>
  </si>
  <si>
    <r>
      <rPr>
        <sz val="11"/>
        <rFont val="Georgia"/>
        <family val="1"/>
      </rPr>
      <t>BMW 4 SERIES M 440i X DRIVE COUPE</t>
    </r>
  </si>
  <si>
    <r>
      <rPr>
        <sz val="11"/>
        <rFont val="Georgia"/>
        <family val="1"/>
      </rPr>
      <t>BMW 4 SERIES M440i X DRIVE GRAN COUPE</t>
    </r>
  </si>
  <si>
    <r>
      <rPr>
        <sz val="11"/>
        <rFont val="Georgia"/>
        <family val="1"/>
      </rPr>
      <t>BMW 5 SERIES 523D M SPORT</t>
    </r>
  </si>
  <si>
    <r>
      <rPr>
        <sz val="11"/>
        <rFont val="Georgia"/>
        <family val="1"/>
      </rPr>
      <t>BMW 5 SERIES 523D TOURING M-SPORT</t>
    </r>
  </si>
  <si>
    <r>
      <rPr>
        <sz val="11"/>
        <rFont val="Georgia"/>
        <family val="1"/>
      </rPr>
      <t>BMW 5 SERIES 523D X DRIVE TOURING M-SPORT</t>
    </r>
  </si>
  <si>
    <r>
      <rPr>
        <sz val="11"/>
        <rFont val="Georgia"/>
        <family val="1"/>
      </rPr>
      <t>BMW 6 SERIES 623D GRAN TURISMO M-SPORT</t>
    </r>
  </si>
  <si>
    <r>
      <rPr>
        <sz val="11"/>
        <rFont val="Georgia"/>
        <family val="1"/>
      </rPr>
      <t>BMW 6 SERIES 630I GRAN TURISMO M-SPORT</t>
    </r>
  </si>
  <si>
    <r>
      <rPr>
        <sz val="11"/>
        <rFont val="Georgia"/>
        <family val="1"/>
      </rPr>
      <t>BMW 6 SERIES 640i GRAN COUPE M-SPORT</t>
    </r>
  </si>
  <si>
    <r>
      <rPr>
        <sz val="11"/>
        <rFont val="Georgia"/>
        <family val="1"/>
      </rPr>
      <t>BMW 6 SERIES 640I X DRIVE GRAN TURISMO M-SPORT</t>
    </r>
  </si>
  <si>
    <r>
      <rPr>
        <sz val="11"/>
        <rFont val="Georgia"/>
        <family val="1"/>
      </rPr>
      <t>BMW 7 SERIES 740D X DRIVE EXCELLENCE</t>
    </r>
  </si>
  <si>
    <r>
      <rPr>
        <sz val="11"/>
        <rFont val="Georgia"/>
        <family val="1"/>
      </rPr>
      <t>BMW 7 SERIES 740D X DRIVE M-SPORT</t>
    </r>
  </si>
  <si>
    <r>
      <rPr>
        <sz val="11"/>
        <rFont val="Georgia"/>
        <family val="1"/>
      </rPr>
      <t>BMW 7 SERIES 740E IPERFORMANCE M-SPORT</t>
    </r>
  </si>
  <si>
    <r>
      <rPr>
        <sz val="11"/>
        <rFont val="Georgia"/>
        <family val="1"/>
      </rPr>
      <t>BMW 7 SERIES 740i M-SPORT</t>
    </r>
  </si>
  <si>
    <r>
      <rPr>
        <sz val="11"/>
        <rFont val="Georgia"/>
        <family val="1"/>
      </rPr>
      <t>BMW 7 SERIES 740I M-SPORT THE FIRST EDITIO</t>
    </r>
  </si>
  <si>
    <r>
      <rPr>
        <sz val="11"/>
        <rFont val="Georgia"/>
        <family val="1"/>
      </rPr>
      <t>3AA-22EH30</t>
    </r>
  </si>
  <si>
    <r>
      <rPr>
        <sz val="11"/>
        <rFont val="Georgia"/>
        <family val="1"/>
      </rPr>
      <t>BMW 7 SERIES 740LI EXCELLENCE</t>
    </r>
  </si>
  <si>
    <r>
      <rPr>
        <sz val="11"/>
        <rFont val="Georgia"/>
        <family val="1"/>
      </rPr>
      <t>BMW 7 SERIES 745E LUXURY</t>
    </r>
  </si>
  <si>
    <r>
      <rPr>
        <sz val="11"/>
        <rFont val="Georgia"/>
        <family val="1"/>
      </rPr>
      <t>BMW 7 SERIES 750Li M-SPORT PACKAGE</t>
    </r>
  </si>
  <si>
    <r>
      <rPr>
        <sz val="11"/>
        <rFont val="Georgia"/>
        <family val="1"/>
      </rPr>
      <t>BMW 7 SERIES M760Li X DRIVE</t>
    </r>
  </si>
  <si>
    <r>
      <rPr>
        <sz val="11"/>
        <rFont val="Georgia"/>
        <family val="1"/>
      </rPr>
      <t>BMW 7 SERIES M760Li X DRIVE V12 EXCELLENCE</t>
    </r>
  </si>
  <si>
    <r>
      <rPr>
        <sz val="11"/>
        <rFont val="Georgia"/>
        <family val="1"/>
      </rPr>
      <t>BMW 8 SERIES</t>
    </r>
  </si>
  <si>
    <r>
      <rPr>
        <sz val="11"/>
        <rFont val="Georgia"/>
        <family val="1"/>
      </rPr>
      <t>BMW 8 SERIES 840D X DRIVE GRAN COUPE EXCLUSIVE M SPORT</t>
    </r>
  </si>
  <si>
    <r>
      <rPr>
        <sz val="11"/>
        <rFont val="Georgia"/>
        <family val="1"/>
      </rPr>
      <t>BMW 8 SERIES 840D X DRIVE GRAN COUPE M SPORT</t>
    </r>
  </si>
  <si>
    <r>
      <rPr>
        <sz val="11"/>
        <rFont val="Georgia"/>
        <family val="1"/>
      </rPr>
      <t>2000cc</t>
    </r>
  </si>
  <si>
    <r>
      <rPr>
        <sz val="11"/>
        <rFont val="Georgia"/>
        <family val="1"/>
      </rPr>
      <t>BMW 8 SERIES 840I CABRIOLET EXCLUSIVE M SPORT</t>
    </r>
  </si>
  <si>
    <r>
      <rPr>
        <sz val="11"/>
        <rFont val="Georgia"/>
        <family val="1"/>
      </rPr>
      <t>BMW 8 SERIES 840I COUPE EXCLUSIVE M SPORT</t>
    </r>
  </si>
  <si>
    <r>
      <rPr>
        <sz val="11"/>
        <rFont val="Georgia"/>
        <family val="1"/>
      </rPr>
      <t>3000cc</t>
    </r>
  </si>
  <si>
    <r>
      <rPr>
        <sz val="11"/>
        <rFont val="Georgia"/>
        <family val="1"/>
      </rPr>
      <t>BMW 8 SERIES 840I GRAN COUPE</t>
    </r>
  </si>
  <si>
    <r>
      <rPr>
        <sz val="11"/>
        <rFont val="Georgia"/>
        <family val="1"/>
      </rPr>
      <t>BMW 8 SERIES 840I GRAN COUPE EXCLUSIVE M SPORT</t>
    </r>
  </si>
  <si>
    <r>
      <rPr>
        <sz val="11"/>
        <rFont val="Georgia"/>
        <family val="1"/>
      </rPr>
      <t>BMW 8 SERIES 840I GRAN COUPE M SPORT</t>
    </r>
  </si>
  <si>
    <r>
      <rPr>
        <sz val="11"/>
        <rFont val="Georgia"/>
        <family val="1"/>
      </rPr>
      <t>GV30-CF4</t>
    </r>
  </si>
  <si>
    <r>
      <rPr>
        <sz val="11"/>
        <rFont val="Georgia"/>
        <family val="1"/>
      </rPr>
      <t>BMW 8 SERIES M 850i X DRIVE CABRIOLET</t>
    </r>
  </si>
  <si>
    <r>
      <rPr>
        <sz val="11"/>
        <rFont val="Georgia"/>
        <family val="1"/>
      </rPr>
      <t>BMW 8 SERIES M 850i X DRIVE COUPE</t>
    </r>
  </si>
  <si>
    <r>
      <rPr>
        <sz val="11"/>
        <rFont val="Georgia"/>
        <family val="1"/>
      </rPr>
      <t>BMW 8 SERIES M 850i X DRIVE GRAN COUPE</t>
    </r>
  </si>
  <si>
    <r>
      <rPr>
        <sz val="11"/>
        <rFont val="Georgia"/>
        <family val="1"/>
      </rPr>
      <t>BMW i3</t>
    </r>
  </si>
  <si>
    <r>
      <rPr>
        <sz val="11"/>
        <rFont val="Georgia"/>
        <family val="1"/>
      </rPr>
      <t>BMW i3 ATELIER RANGE EXTENDER</t>
    </r>
  </si>
  <si>
    <r>
      <rPr>
        <sz val="11"/>
        <rFont val="Georgia"/>
        <family val="1"/>
      </rPr>
      <t>BMW i3 BASE GRADE</t>
    </r>
  </si>
  <si>
    <r>
      <rPr>
        <sz val="11"/>
        <rFont val="Georgia"/>
        <family val="1"/>
      </rPr>
      <t>ZAA-8P00</t>
    </r>
  </si>
  <si>
    <r>
      <rPr>
        <sz val="11"/>
        <rFont val="Georgia"/>
        <family val="1"/>
      </rPr>
      <t>BMW i3 LODGE RANGE EXTENDER</t>
    </r>
  </si>
  <si>
    <r>
      <rPr>
        <sz val="11"/>
        <rFont val="Georgia"/>
        <family val="1"/>
      </rPr>
      <t>BMW i3 SUITE RANGE EXTENDER</t>
    </r>
  </si>
  <si>
    <r>
      <rPr>
        <sz val="11"/>
        <rFont val="Georgia"/>
        <family val="1"/>
      </rPr>
      <t>BMW i4 E DRIVE 35 M SPORT</t>
    </r>
  </si>
  <si>
    <r>
      <rPr>
        <sz val="11"/>
        <rFont val="Georgia"/>
        <family val="1"/>
      </rPr>
      <t>ZAA-42AW44</t>
    </r>
  </si>
  <si>
    <r>
      <rPr>
        <sz val="11"/>
        <rFont val="Georgia"/>
        <family val="1"/>
      </rPr>
      <t>ELECCTRIC</t>
    </r>
  </si>
  <si>
    <r>
      <rPr>
        <sz val="11"/>
        <rFont val="Georgia"/>
        <family val="1"/>
      </rPr>
      <t>BMW i4 E DRIVE 40 M SPORT</t>
    </r>
  </si>
  <si>
    <r>
      <rPr>
        <sz val="11"/>
        <rFont val="Georgia"/>
        <family val="1"/>
      </rPr>
      <t>72AW44-FS6</t>
    </r>
  </si>
  <si>
    <r>
      <rPr>
        <sz val="11"/>
        <rFont val="Georgia"/>
        <family val="1"/>
      </rPr>
      <t>BMW i4 E DRIVE 40 M SPORT HI-LINE PACKAGE</t>
    </r>
  </si>
  <si>
    <r>
      <rPr>
        <sz val="11"/>
        <rFont val="Georgia"/>
        <family val="1"/>
      </rPr>
      <t>BMW i4 M50</t>
    </r>
  </si>
  <si>
    <r>
      <rPr>
        <sz val="11"/>
        <rFont val="Georgia"/>
        <family val="1"/>
      </rPr>
      <t>BMW i4 M50 X DRIVE</t>
    </r>
  </si>
  <si>
    <r>
      <rPr>
        <sz val="11"/>
        <rFont val="Georgia"/>
        <family val="1"/>
      </rPr>
      <t>ZAA-32AW89</t>
    </r>
  </si>
  <si>
    <r>
      <rPr>
        <sz val="11"/>
        <rFont val="Georgia"/>
        <family val="1"/>
      </rPr>
      <t>BMW i5 E DRIVE 40 EXCELLENCE</t>
    </r>
  </si>
  <si>
    <r>
      <rPr>
        <sz val="11"/>
        <rFont val="Georgia"/>
        <family val="1"/>
      </rPr>
      <t>ZAA-32FK45</t>
    </r>
  </si>
  <si>
    <r>
      <rPr>
        <sz val="11"/>
        <rFont val="Georgia"/>
        <family val="1"/>
      </rPr>
      <t>BMW i5 E DRIVE 40 M-SPORT</t>
    </r>
  </si>
  <si>
    <r>
      <rPr>
        <sz val="11"/>
        <rFont val="Georgia"/>
        <family val="1"/>
      </rPr>
      <t>BMW i5 E DRIVE 40 THE FIRST EDITION</t>
    </r>
  </si>
  <si>
    <r>
      <rPr>
        <sz val="11"/>
        <rFont val="Georgia"/>
        <family val="1"/>
      </rPr>
      <t>BMW i5 E DRIVE 40 TOURING EXCELLENCE</t>
    </r>
  </si>
  <si>
    <r>
      <rPr>
        <sz val="11"/>
        <rFont val="Georgia"/>
        <family val="1"/>
      </rPr>
      <t>ZAA-12HH45</t>
    </r>
  </si>
  <si>
    <r>
      <rPr>
        <sz val="11"/>
        <rFont val="Georgia"/>
        <family val="1"/>
      </rPr>
      <t>BMW i5 E DRIVE 40 TOURING M-SPORT</t>
    </r>
  </si>
  <si>
    <r>
      <rPr>
        <sz val="11"/>
        <rFont val="Georgia"/>
        <family val="1"/>
      </rPr>
      <t>BMW i5 M60 X DRIVE</t>
    </r>
  </si>
  <si>
    <r>
      <rPr>
        <sz val="11"/>
        <rFont val="Georgia"/>
        <family val="1"/>
      </rPr>
      <t>BMW i5 M60 X DRIVE TOURING</t>
    </r>
  </si>
  <si>
    <r>
      <rPr>
        <sz val="11"/>
        <rFont val="Georgia"/>
        <family val="1"/>
      </rPr>
      <t>ZAA-32HH89</t>
    </r>
  </si>
  <si>
    <r>
      <rPr>
        <sz val="11"/>
        <rFont val="Georgia"/>
        <family val="1"/>
      </rPr>
      <t>BMW i7 E DRIVE 50 M-SPORT</t>
    </r>
  </si>
  <si>
    <r>
      <rPr>
        <sz val="11"/>
        <rFont val="Georgia"/>
        <family val="1"/>
      </rPr>
      <t>ZAA-42EJ49</t>
    </r>
  </si>
  <si>
    <r>
      <rPr>
        <sz val="11"/>
        <rFont val="Georgia"/>
        <family val="1"/>
      </rPr>
      <t>BMW i7 M70 X DRIVE</t>
    </r>
  </si>
  <si>
    <r>
      <rPr>
        <sz val="11"/>
        <rFont val="Georgia"/>
        <family val="1"/>
      </rPr>
      <t>BMW i7 X DRIVE 60 EXCELLENCE</t>
    </r>
  </si>
  <si>
    <r>
      <rPr>
        <sz val="11"/>
        <rFont val="Georgia"/>
        <family val="1"/>
      </rPr>
      <t>BMW i7 X DRIVE 60 M-SPORT</t>
    </r>
  </si>
  <si>
    <r>
      <rPr>
        <sz val="11"/>
        <rFont val="Georgia"/>
        <family val="1"/>
      </rPr>
      <t>52EJ89-CP7</t>
    </r>
  </si>
  <si>
    <r>
      <rPr>
        <sz val="11"/>
        <rFont val="Georgia"/>
        <family val="1"/>
      </rPr>
      <t>BMW i8 ROADSTER</t>
    </r>
  </si>
  <si>
    <r>
      <rPr>
        <sz val="11"/>
        <rFont val="Georgia"/>
        <family val="1"/>
      </rPr>
      <t>CLA-2Z15U</t>
    </r>
  </si>
  <si>
    <r>
      <rPr>
        <sz val="11"/>
        <rFont val="Georgia"/>
        <family val="1"/>
      </rPr>
      <t>BMW iX M60</t>
    </r>
  </si>
  <si>
    <r>
      <rPr>
        <sz val="11"/>
        <rFont val="Georgia"/>
        <family val="1"/>
      </rPr>
      <t>BMW iX X DRIVE 40</t>
    </r>
  </si>
  <si>
    <r>
      <rPr>
        <sz val="11"/>
        <rFont val="Georgia"/>
        <family val="1"/>
      </rPr>
      <t>BMW iX X DRIVE 50</t>
    </r>
  </si>
  <si>
    <r>
      <rPr>
        <sz val="11"/>
        <rFont val="Georgia"/>
        <family val="1"/>
      </rPr>
      <t>ZAA-22CF89A</t>
    </r>
  </si>
  <si>
    <r>
      <rPr>
        <sz val="11"/>
        <rFont val="Georgia"/>
        <family val="1"/>
      </rPr>
      <t>BMW iX2 X DRIVE 30 M SPORT</t>
    </r>
  </si>
  <si>
    <r>
      <rPr>
        <sz val="11"/>
        <rFont val="Georgia"/>
        <family val="1"/>
      </rPr>
      <t>ZAA-72GM67</t>
    </r>
  </si>
  <si>
    <r>
      <rPr>
        <sz val="11"/>
        <rFont val="Georgia"/>
        <family val="1"/>
      </rPr>
      <t>BMW iX2 X DRIVE 30 M SPORT HI-LINE PACKAGE</t>
    </r>
  </si>
  <si>
    <r>
      <rPr>
        <sz val="11"/>
        <rFont val="Georgia"/>
        <family val="1"/>
      </rPr>
      <t>BMW iX3 M SPORT</t>
    </r>
  </si>
  <si>
    <r>
      <rPr>
        <sz val="11"/>
        <rFont val="Georgia"/>
        <family val="1"/>
      </rPr>
      <t>ZAA-42DU44</t>
    </r>
  </si>
  <si>
    <r>
      <rPr>
        <sz val="11"/>
        <rFont val="Georgia"/>
        <family val="1"/>
      </rPr>
      <t>BMW X1</t>
    </r>
  </si>
  <si>
    <r>
      <rPr>
        <sz val="11"/>
        <rFont val="Georgia"/>
        <family val="1"/>
      </rPr>
      <t>1500cc</t>
    </r>
  </si>
  <si>
    <r>
      <rPr>
        <sz val="11"/>
        <rFont val="Georgia"/>
        <family val="1"/>
      </rPr>
      <t>BMW X3 M COMPETITION</t>
    </r>
  </si>
  <si>
    <r>
      <rPr>
        <sz val="11"/>
        <rFont val="Georgia"/>
        <family val="1"/>
      </rPr>
      <t>BMW X4 M BASE GRADE</t>
    </r>
  </si>
  <si>
    <r>
      <rPr>
        <sz val="11"/>
        <rFont val="Georgia"/>
        <family val="1"/>
      </rPr>
      <t>suv</t>
    </r>
  </si>
  <si>
    <r>
      <rPr>
        <sz val="11"/>
        <rFont val="Georgia"/>
        <family val="1"/>
      </rPr>
      <t>BMW X4 M COMPETITION</t>
    </r>
  </si>
  <si>
    <r>
      <rPr>
        <sz val="11"/>
        <rFont val="Georgia"/>
        <family val="1"/>
      </rPr>
      <t>BMW X4 M40I</t>
    </r>
  </si>
  <si>
    <r>
      <rPr>
        <sz val="11"/>
        <rFont val="Georgia"/>
        <family val="1"/>
      </rPr>
      <t>CBA-UJ30</t>
    </r>
  </si>
  <si>
    <r>
      <rPr>
        <sz val="11"/>
        <rFont val="Georgia"/>
        <family val="1"/>
      </rPr>
      <t>BMW X4 X DRIVE 20D M SPORT</t>
    </r>
  </si>
  <si>
    <r>
      <rPr>
        <sz val="11"/>
        <rFont val="Georgia"/>
        <family val="1"/>
      </rPr>
      <t>VJ20-9T9</t>
    </r>
  </si>
  <si>
    <r>
      <rPr>
        <sz val="11"/>
        <rFont val="Georgia"/>
        <family val="1"/>
      </rPr>
      <t>4wd</t>
    </r>
  </si>
  <si>
    <r>
      <rPr>
        <sz val="11"/>
        <rFont val="Georgia"/>
        <family val="1"/>
      </rPr>
      <t>BMW X4 X DRIVE 28I M SPORT</t>
    </r>
  </si>
  <si>
    <r>
      <rPr>
        <sz val="11"/>
        <rFont val="Georgia"/>
        <family val="1"/>
      </rPr>
      <t>BMW X4 X DRIVE 30I M SPORT</t>
    </r>
  </si>
  <si>
    <r>
      <rPr>
        <sz val="11"/>
        <rFont val="Georgia"/>
        <family val="1"/>
      </rPr>
      <t>BMW X5 LIMITED BLACK</t>
    </r>
  </si>
  <si>
    <r>
      <rPr>
        <sz val="11"/>
        <rFont val="Georgia"/>
        <family val="1"/>
      </rPr>
      <t>BMW X5 LIMITED WHITE</t>
    </r>
  </si>
  <si>
    <r>
      <rPr>
        <sz val="11"/>
        <rFont val="Georgia"/>
        <family val="1"/>
      </rPr>
      <t>BMW X5 M COMPETITION</t>
    </r>
  </si>
  <si>
    <r>
      <rPr>
        <sz val="11"/>
        <rFont val="Georgia"/>
        <family val="1"/>
      </rPr>
      <t>3BA-JU44M</t>
    </r>
  </si>
  <si>
    <r>
      <rPr>
        <sz val="11"/>
        <rFont val="Georgia"/>
        <family val="1"/>
      </rPr>
      <t>BMW X5 M50I</t>
    </r>
  </si>
  <si>
    <r>
      <rPr>
        <sz val="11"/>
        <rFont val="Georgia"/>
        <family val="1"/>
      </rPr>
      <t>BMW X5 X DRIVE 35D</t>
    </r>
  </si>
  <si>
    <r>
      <rPr>
        <sz val="11"/>
        <rFont val="Georgia"/>
        <family val="1"/>
      </rPr>
      <t>BMW X5 X DRIVE 35D EDITION X</t>
    </r>
  </si>
  <si>
    <r>
      <rPr>
        <sz val="11"/>
        <rFont val="Georgia"/>
        <family val="1"/>
      </rPr>
      <t>3CA-12EV30A</t>
    </r>
  </si>
  <si>
    <r>
      <rPr>
        <sz val="11"/>
        <rFont val="Georgia"/>
        <family val="1"/>
      </rPr>
      <t>BMW X5 X DRIVE 35D M-SPORT</t>
    </r>
  </si>
  <si>
    <r>
      <rPr>
        <sz val="11"/>
        <rFont val="Georgia"/>
        <family val="1"/>
      </rPr>
      <t>BMW X5 X DRIVE 35D M-SPORT HI-LINE PACKAGE</t>
    </r>
  </si>
  <si>
    <r>
      <rPr>
        <sz val="11"/>
        <rFont val="Georgia"/>
        <family val="1"/>
      </rPr>
      <t>BMW X5 X DRIVE 35D PLEASURE3 EDITION</t>
    </r>
  </si>
  <si>
    <r>
      <rPr>
        <sz val="11"/>
        <rFont val="Georgia"/>
        <family val="1"/>
      </rPr>
      <t>3CA-JU8230A</t>
    </r>
  </si>
  <si>
    <r>
      <rPr>
        <sz val="11"/>
        <rFont val="Georgia"/>
        <family val="1"/>
      </rPr>
      <t>BMW X5 X DRIVE 40D M-SPORT</t>
    </r>
  </si>
  <si>
    <r>
      <rPr>
        <sz val="11"/>
        <rFont val="Georgia"/>
        <family val="1"/>
      </rPr>
      <t>JU8230A-9R2</t>
    </r>
  </si>
  <si>
    <r>
      <rPr>
        <sz val="11"/>
        <rFont val="Georgia"/>
        <family val="1"/>
      </rPr>
      <t>BMW X5 X DRIVE 45E</t>
    </r>
  </si>
  <si>
    <r>
      <rPr>
        <sz val="11"/>
        <rFont val="Georgia"/>
        <family val="1"/>
      </rPr>
      <t>3LA-TA30</t>
    </r>
  </si>
  <si>
    <r>
      <rPr>
        <sz val="11"/>
        <rFont val="Georgia"/>
        <family val="1"/>
      </rPr>
      <t>BMW X5 X DRIVE 45E M-SPORT</t>
    </r>
  </si>
  <si>
    <r>
      <rPr>
        <sz val="11"/>
        <rFont val="Georgia"/>
        <family val="1"/>
      </rPr>
      <t>BMW X5 X DRIVE 50E M-SPORT</t>
    </r>
  </si>
  <si>
    <r>
      <rPr>
        <sz val="11"/>
        <rFont val="Georgia"/>
        <family val="1"/>
      </rPr>
      <t>BMW X6 M COMPETITION</t>
    </r>
  </si>
  <si>
    <r>
      <rPr>
        <sz val="11"/>
        <rFont val="Georgia"/>
        <family val="1"/>
      </rPr>
      <t>3AA-12ET44</t>
    </r>
  </si>
  <si>
    <r>
      <rPr>
        <sz val="11"/>
        <rFont val="Georgia"/>
        <family val="1"/>
      </rPr>
      <t>BMW X6 M50I</t>
    </r>
  </si>
  <si>
    <r>
      <rPr>
        <sz val="11"/>
        <rFont val="Georgia"/>
        <family val="1"/>
      </rPr>
      <t>3BA-CY44</t>
    </r>
  </si>
  <si>
    <r>
      <rPr>
        <sz val="11"/>
        <rFont val="Georgia"/>
        <family val="1"/>
      </rPr>
      <t>BMW X6 X DRIVE 35D</t>
    </r>
  </si>
  <si>
    <r>
      <rPr>
        <sz val="11"/>
        <rFont val="Georgia"/>
        <family val="1"/>
      </rPr>
      <t>BMW X6 X DRIVE 35D M SPORT</t>
    </r>
  </si>
  <si>
    <r>
      <rPr>
        <sz val="11"/>
        <rFont val="Georgia"/>
        <family val="1"/>
      </rPr>
      <t>4W</t>
    </r>
  </si>
  <si>
    <r>
      <rPr>
        <sz val="11"/>
        <rFont val="Georgia"/>
        <family val="1"/>
      </rPr>
      <t>BMW X6 X DRIVE 35D M SPORT HI-LINE PACKAGE</t>
    </r>
  </si>
  <si>
    <r>
      <rPr>
        <sz val="11"/>
        <rFont val="Georgia"/>
        <family val="1"/>
      </rPr>
      <t>BMW X7 M50I</t>
    </r>
  </si>
  <si>
    <r>
      <rPr>
        <sz val="11"/>
        <rFont val="Georgia"/>
        <family val="1"/>
      </rPr>
      <t>BMW X7 M60I X DRIVE</t>
    </r>
  </si>
  <si>
    <r>
      <rPr>
        <sz val="11"/>
        <rFont val="Georgia"/>
        <family val="1"/>
      </rPr>
      <t>BMW X7 X DRIVE 35D DESIGN PURE EXCELLENCE</t>
    </r>
  </si>
  <si>
    <r>
      <rPr>
        <sz val="11"/>
        <rFont val="Georgia"/>
        <family val="1"/>
      </rPr>
      <t>BMW X7 X DRIVE 35D M SPORT</t>
    </r>
  </si>
  <si>
    <r>
      <rPr>
        <sz val="11"/>
        <rFont val="Georgia"/>
        <family val="1"/>
      </rPr>
      <t>BMW X7 X DRIVE 40D EXCELLENCE</t>
    </r>
  </si>
  <si>
    <r>
      <rPr>
        <sz val="11"/>
        <rFont val="Georgia"/>
        <family val="1"/>
      </rPr>
      <t>BMW X7 X DRIVE 40D M SPORT</t>
    </r>
  </si>
  <si>
    <r>
      <rPr>
        <sz val="11"/>
        <rFont val="Georgia"/>
        <family val="1"/>
      </rPr>
      <t>BMW XM BASE GRADE</t>
    </r>
  </si>
  <si>
    <r>
      <rPr>
        <sz val="11"/>
        <rFont val="Georgia"/>
        <family val="1"/>
      </rPr>
      <t>3LA-22CS44</t>
    </r>
  </si>
  <si>
    <r>
      <rPr>
        <sz val="11"/>
        <rFont val="Georgia"/>
        <family val="1"/>
      </rPr>
      <t>BMW XM LABEL RED</t>
    </r>
  </si>
  <si>
    <r>
      <rPr>
        <sz val="11"/>
        <rFont val="Georgia"/>
        <family val="1"/>
      </rPr>
      <t>BMW Z4 M40I</t>
    </r>
  </si>
  <si>
    <r>
      <rPr>
        <sz val="11"/>
        <rFont val="Georgia"/>
        <family val="1"/>
      </rPr>
      <t>BMW Z4 S DRIVE 20I M-SPORT EDITION SUNRIS</t>
    </r>
  </si>
  <si>
    <r>
      <rPr>
        <sz val="11"/>
        <rFont val="Georgia"/>
        <family val="1"/>
      </rPr>
      <t>3BA-HF20</t>
    </r>
  </si>
  <si>
    <r>
      <rPr>
        <sz val="11"/>
        <rFont val="Georgia"/>
        <family val="1"/>
      </rPr>
      <t>BMW Z4 S DRIVE 20I SPORT</t>
    </r>
  </si>
  <si>
    <r>
      <rPr>
        <sz val="11"/>
        <rFont val="Georgia"/>
        <family val="1"/>
      </rPr>
      <t>i3 BASE GRADE</t>
    </r>
  </si>
  <si>
    <r>
      <rPr>
        <sz val="11"/>
        <rFont val="Georgia"/>
        <family val="1"/>
      </rPr>
      <t>ELECTRIC(EV)</t>
    </r>
  </si>
  <si>
    <r>
      <rPr>
        <sz val="11"/>
        <rFont val="Georgia"/>
        <family val="1"/>
      </rPr>
      <t>i3 LODGE RANGE EXTENDER</t>
    </r>
  </si>
  <si>
    <r>
      <rPr>
        <sz val="11"/>
        <rFont val="Georgia"/>
        <family val="1"/>
      </rPr>
      <t>i3 RANGE EXTENDER</t>
    </r>
  </si>
  <si>
    <r>
      <rPr>
        <sz val="11"/>
        <rFont val="Georgia"/>
        <family val="1"/>
      </rPr>
      <t>3LA-8P06</t>
    </r>
  </si>
  <si>
    <r>
      <rPr>
        <sz val="11"/>
        <rFont val="Georgia"/>
        <family val="1"/>
      </rPr>
      <t>650cc</t>
    </r>
  </si>
  <si>
    <r>
      <rPr>
        <sz val="11"/>
        <rFont val="Georgia"/>
        <family val="1"/>
      </rPr>
      <t>i3 SUITE RANGE EXTENDER</t>
    </r>
  </si>
  <si>
    <r>
      <rPr>
        <sz val="11"/>
        <rFont val="Georgia"/>
        <family val="1"/>
      </rPr>
      <t>i4 E DRIVE 40 HI-LINE PACKAGE</t>
    </r>
  </si>
  <si>
    <r>
      <rPr>
        <sz val="11"/>
        <rFont val="Georgia"/>
        <family val="1"/>
      </rPr>
      <t>i4 E DRIVE 40 M SPORT HI-LINE PACKAGE</t>
    </r>
  </si>
  <si>
    <r>
      <rPr>
        <sz val="11"/>
        <rFont val="Georgia"/>
        <family val="1"/>
      </rPr>
      <t>i4 M50 X DRIVE</t>
    </r>
  </si>
  <si>
    <r>
      <rPr>
        <sz val="11"/>
        <rFont val="Georgia"/>
        <family val="1"/>
      </rPr>
      <t>i5 E DRIVE 40 M-SPORT</t>
    </r>
  </si>
  <si>
    <r>
      <rPr>
        <sz val="11"/>
        <rFont val="Georgia"/>
        <family val="1"/>
      </rPr>
      <t>i5 E DRIVE 40 THE FIRST EDITION</t>
    </r>
  </si>
  <si>
    <r>
      <rPr>
        <sz val="11"/>
        <rFont val="Georgia"/>
        <family val="1"/>
      </rPr>
      <t>i5 E DRIVE 40 TOURING EXCELLENCE</t>
    </r>
  </si>
  <si>
    <r>
      <rPr>
        <sz val="11"/>
        <rFont val="Georgia"/>
        <family val="1"/>
      </rPr>
      <t>i5 E DRIVE 40 TOURING M-SPORT</t>
    </r>
  </si>
  <si>
    <r>
      <rPr>
        <sz val="11"/>
        <rFont val="Georgia"/>
        <family val="1"/>
      </rPr>
      <t>i5 M60 X DRIVE</t>
    </r>
  </si>
  <si>
    <r>
      <rPr>
        <sz val="11"/>
        <rFont val="Georgia"/>
        <family val="1"/>
      </rPr>
      <t>i5 M60 X DRIVE TOURING</t>
    </r>
  </si>
  <si>
    <r>
      <rPr>
        <sz val="11"/>
        <rFont val="Georgia"/>
        <family val="1"/>
      </rPr>
      <t>i7 E DRIVE 50 M-SPORT</t>
    </r>
  </si>
  <si>
    <r>
      <rPr>
        <sz val="11"/>
        <rFont val="Georgia"/>
        <family val="1"/>
      </rPr>
      <t>i7 M70 X DRIVE</t>
    </r>
  </si>
  <si>
    <r>
      <rPr>
        <sz val="11"/>
        <rFont val="Georgia"/>
        <family val="1"/>
      </rPr>
      <t>iX M60</t>
    </r>
  </si>
  <si>
    <r>
      <rPr>
        <sz val="11"/>
        <rFont val="Georgia"/>
        <family val="1"/>
      </rPr>
      <t>iX X DRIVE 50</t>
    </r>
  </si>
  <si>
    <r>
      <rPr>
        <sz val="11"/>
        <rFont val="Georgia"/>
        <family val="1"/>
      </rPr>
      <t>iX1 E DRIVE 20 M SPORT</t>
    </r>
  </si>
  <si>
    <r>
      <rPr>
        <sz val="11"/>
        <rFont val="Georgia"/>
        <family val="1"/>
      </rPr>
      <t>ZAA-72EG33</t>
    </r>
  </si>
  <si>
    <r>
      <rPr>
        <sz val="11"/>
        <rFont val="Georgia"/>
        <family val="1"/>
      </rPr>
      <t>iX1 X DRIVE 30 X LINE</t>
    </r>
  </si>
  <si>
    <r>
      <rPr>
        <sz val="11"/>
        <rFont val="Georgia"/>
        <family val="1"/>
      </rPr>
      <t>iX2 X DRIVE 30 M SPORT</t>
    </r>
  </si>
  <si>
    <r>
      <rPr>
        <sz val="11"/>
        <rFont val="Georgia"/>
        <family val="1"/>
      </rPr>
      <t>iX2 X DRIVE 30 M SPORT HI-LINE PACKAGE</t>
    </r>
  </si>
  <si>
    <r>
      <rPr>
        <sz val="11"/>
        <rFont val="Georgia"/>
        <family val="1"/>
      </rPr>
      <t>iX3 M SPORT</t>
    </r>
  </si>
  <si>
    <r>
      <rPr>
        <sz val="11"/>
        <rFont val="Georgia"/>
        <family val="1"/>
      </rPr>
      <t>M2 BASE GRADE</t>
    </r>
  </si>
  <si>
    <r>
      <rPr>
        <sz val="11"/>
        <rFont val="Georgia"/>
        <family val="1"/>
      </rPr>
      <t>M2 BASE GRADE HI-LINE PACKAGE</t>
    </r>
  </si>
  <si>
    <r>
      <rPr>
        <sz val="11"/>
        <rFont val="Georgia"/>
        <family val="1"/>
      </rPr>
      <t>4400cc</t>
    </r>
  </si>
  <si>
    <r>
      <rPr>
        <sz val="11"/>
        <rFont val="Georgia"/>
        <family val="1"/>
      </rPr>
      <t>M2 COMPETITION</t>
    </r>
  </si>
  <si>
    <r>
      <rPr>
        <sz val="11"/>
        <rFont val="Georgia"/>
        <family val="1"/>
      </rPr>
      <t>M2 CS</t>
    </r>
  </si>
  <si>
    <r>
      <rPr>
        <sz val="11"/>
        <rFont val="Georgia"/>
        <family val="1"/>
      </rPr>
      <t>MT</t>
    </r>
  </si>
  <si>
    <r>
      <rPr>
        <sz val="11"/>
        <rFont val="Georgia"/>
        <family val="1"/>
      </rPr>
      <t>M2 EDITION BLACK SHADOW</t>
    </r>
  </si>
  <si>
    <r>
      <rPr>
        <sz val="11"/>
        <rFont val="Georgia"/>
        <family val="1"/>
      </rPr>
      <t>CBA-1H30G</t>
    </r>
  </si>
  <si>
    <r>
      <rPr>
        <sz val="11"/>
        <rFont val="Georgia"/>
        <family val="1"/>
      </rPr>
      <t>M3 M3 50TH ANNIVERSARY LIMITED</t>
    </r>
  </si>
  <si>
    <r>
      <rPr>
        <sz val="11"/>
        <rFont val="Georgia"/>
        <family val="1"/>
      </rPr>
      <t>3BA-32AY30</t>
    </r>
  </si>
  <si>
    <r>
      <rPr>
        <sz val="11"/>
        <rFont val="Georgia"/>
        <family val="1"/>
      </rPr>
      <t>M3 M3 MT FINAL EDITION</t>
    </r>
  </si>
  <si>
    <r>
      <rPr>
        <sz val="11"/>
        <rFont val="Georgia"/>
        <family val="1"/>
      </rPr>
      <t>M3 M3 SEDAN COMPETITION</t>
    </r>
  </si>
  <si>
    <r>
      <rPr>
        <sz val="11"/>
        <rFont val="Georgia"/>
        <family val="1"/>
      </rPr>
      <t>M3 M3 SEDAN COMPETITION M X DRIVE</t>
    </r>
  </si>
  <si>
    <r>
      <rPr>
        <sz val="11"/>
        <rFont val="Georgia"/>
        <family val="1"/>
      </rPr>
      <t>M3 M3 TOURING COMPETITION M X DRIVE</t>
    </r>
  </si>
  <si>
    <r>
      <rPr>
        <sz val="11"/>
        <rFont val="Georgia"/>
        <family val="1"/>
      </rPr>
      <t>M4 CABRIOLET COMPETITION M X DRIVE</t>
    </r>
  </si>
  <si>
    <r>
      <rPr>
        <sz val="11"/>
        <rFont val="Georgia"/>
        <family val="1"/>
      </rPr>
      <t>M4 COUPE COMPETITION M X DRIVE</t>
    </r>
  </si>
  <si>
    <r>
      <rPr>
        <sz val="11"/>
        <rFont val="Georgia"/>
        <family val="1"/>
      </rPr>
      <t>M4 COUPE COMPETITION M X DRIVE TRACK PACKAGE</t>
    </r>
  </si>
  <si>
    <r>
      <rPr>
        <sz val="11"/>
        <rFont val="Georgia"/>
        <family val="1"/>
      </rPr>
      <t>M4 COUPE EDITION HERITAGE</t>
    </r>
  </si>
  <si>
    <r>
      <rPr>
        <sz val="11"/>
        <rFont val="Georgia"/>
        <family val="1"/>
      </rPr>
      <t>CBA-3C30</t>
    </r>
  </si>
  <si>
    <r>
      <rPr>
        <sz val="11"/>
        <rFont val="Georgia"/>
        <family val="1"/>
      </rPr>
      <t>M4 CSL</t>
    </r>
  </si>
  <si>
    <r>
      <rPr>
        <sz val="11"/>
        <rFont val="Georgia"/>
        <family val="1"/>
      </rPr>
      <t>3BA-52AZ30</t>
    </r>
  </si>
  <si>
    <r>
      <rPr>
        <sz val="11"/>
        <rFont val="Georgia"/>
        <family val="1"/>
      </rPr>
      <t>M4 DTM CHAMPION EDITION</t>
    </r>
  </si>
  <si>
    <r>
      <rPr>
        <sz val="11"/>
        <rFont val="Georgia"/>
        <family val="1"/>
      </rPr>
      <t>M4 M4 COUPE</t>
    </r>
  </si>
  <si>
    <r>
      <rPr>
        <sz val="11"/>
        <rFont val="Georgia"/>
        <family val="1"/>
      </rPr>
      <t>M4 M4 COUPE COMPETITION</t>
    </r>
  </si>
  <si>
    <r>
      <rPr>
        <sz val="11"/>
        <rFont val="Georgia"/>
        <family val="1"/>
      </rPr>
      <t>M4 M4 CS</t>
    </r>
  </si>
  <si>
    <r>
      <rPr>
        <sz val="11"/>
        <rFont val="Georgia"/>
        <family val="1"/>
      </rPr>
      <t>M5</t>
    </r>
  </si>
  <si>
    <r>
      <rPr>
        <sz val="11"/>
        <rFont val="Georgia"/>
        <family val="1"/>
      </rPr>
      <t>M5 COMPETITION</t>
    </r>
  </si>
  <si>
    <r>
      <rPr>
        <sz val="11"/>
        <rFont val="Georgia"/>
        <family val="1"/>
      </rPr>
      <t>M5 M5</t>
    </r>
  </si>
  <si>
    <r>
      <rPr>
        <sz val="11"/>
        <rFont val="Georgia"/>
        <family val="1"/>
      </rPr>
      <t>3LA-82FK44</t>
    </r>
  </si>
  <si>
    <r>
      <rPr>
        <sz val="11"/>
        <rFont val="Georgia"/>
        <family val="1"/>
      </rPr>
      <t>M8 M8 CABRIOLET COMPETITION</t>
    </r>
  </si>
  <si>
    <r>
      <rPr>
        <sz val="11"/>
        <rFont val="Georgia"/>
        <family val="1"/>
      </rPr>
      <t>M8 M8 COUPE COMPETITION</t>
    </r>
  </si>
  <si>
    <r>
      <rPr>
        <sz val="11"/>
        <rFont val="Georgia"/>
        <family val="1"/>
      </rPr>
      <t>X1 M35I X DRIVE</t>
    </r>
  </si>
  <si>
    <r>
      <rPr>
        <sz val="11"/>
        <rFont val="Georgia"/>
        <family val="1"/>
      </rPr>
      <t>3BA-12EF20</t>
    </r>
  </si>
  <si>
    <r>
      <rPr>
        <sz val="11"/>
        <rFont val="Georgia"/>
        <family val="1"/>
      </rPr>
      <t>X1 S DRIVE 18I</t>
    </r>
  </si>
  <si>
    <r>
      <rPr>
        <sz val="11"/>
        <rFont val="Georgia"/>
        <family val="1"/>
      </rPr>
      <t>X1 S DRIVE 18I M SPORT</t>
    </r>
  </si>
  <si>
    <r>
      <rPr>
        <sz val="11"/>
        <rFont val="Georgia"/>
        <family val="1"/>
      </rPr>
      <t>3BA-AA15</t>
    </r>
  </si>
  <si>
    <r>
      <rPr>
        <sz val="11"/>
        <rFont val="Georgia"/>
        <family val="1"/>
      </rPr>
      <t>X1 S DRIVE 18I X LINE</t>
    </r>
  </si>
  <si>
    <r>
      <rPr>
        <sz val="11"/>
        <rFont val="Georgia"/>
        <family val="1"/>
      </rPr>
      <t>X1 S DRIVE 18I X LINE HI-LINE PACKAGE</t>
    </r>
  </si>
  <si>
    <r>
      <rPr>
        <sz val="11"/>
        <rFont val="Georgia"/>
        <family val="1"/>
      </rPr>
      <t>X1 X DRIVE 18D M SPORT</t>
    </r>
  </si>
  <si>
    <r>
      <rPr>
        <sz val="11"/>
        <rFont val="Georgia"/>
        <family val="1"/>
      </rPr>
      <t>X1 X DRIVE 18D X LINE</t>
    </r>
  </si>
  <si>
    <r>
      <rPr>
        <sz val="11"/>
        <rFont val="Georgia"/>
        <family val="1"/>
      </rPr>
      <t>X1 X DRIVE 18D X LINE EDITION JOY+</t>
    </r>
  </si>
  <si>
    <r>
      <rPr>
        <sz val="11"/>
        <rFont val="Georgia"/>
        <family val="1"/>
      </rPr>
      <t>3DA-AD20</t>
    </r>
  </si>
  <si>
    <r>
      <rPr>
        <sz val="11"/>
        <rFont val="Georgia"/>
        <family val="1"/>
      </rPr>
      <t>X1 X DRIVE 18D X LINE EDITION JOY+ HI-LINE PACKAGE</t>
    </r>
  </si>
  <si>
    <r>
      <rPr>
        <sz val="11"/>
        <rFont val="Georgia"/>
        <family val="1"/>
      </rPr>
      <t>X1 X DRIVE 20D X LINE</t>
    </r>
  </si>
  <si>
    <r>
      <rPr>
        <sz val="11"/>
        <rFont val="Georgia"/>
        <family val="1"/>
      </rPr>
      <t>X1 X DRIVE 20I M SPORT</t>
    </r>
  </si>
  <si>
    <r>
      <rPr>
        <sz val="11"/>
        <rFont val="Georgia"/>
        <family val="1"/>
      </rPr>
      <t>X1 X DRIVE 20I X LINE</t>
    </r>
  </si>
  <si>
    <r>
      <rPr>
        <sz val="11"/>
        <rFont val="Georgia"/>
        <family val="1"/>
      </rPr>
      <t>X2 M35I</t>
    </r>
  </si>
  <si>
    <r>
      <rPr>
        <sz val="11"/>
        <rFont val="Georgia"/>
        <family val="1"/>
      </rPr>
      <t>X2 M35I X DRIVE</t>
    </r>
  </si>
  <si>
    <r>
      <rPr>
        <sz val="11"/>
        <rFont val="Georgia"/>
        <family val="1"/>
      </rPr>
      <t>3BA-82GM20</t>
    </r>
  </si>
  <si>
    <r>
      <rPr>
        <sz val="11"/>
        <rFont val="Georgia"/>
        <family val="1"/>
      </rPr>
      <t>X2 S DRIVE 18I</t>
    </r>
  </si>
  <si>
    <r>
      <rPr>
        <sz val="11"/>
        <rFont val="Georgia"/>
        <family val="1"/>
      </rPr>
      <t>X2 S DRIVE 18I M SPORT X</t>
    </r>
  </si>
  <si>
    <r>
      <rPr>
        <sz val="11"/>
        <rFont val="Georgia"/>
        <family val="1"/>
      </rPr>
      <t>DBA-YH15</t>
    </r>
  </si>
  <si>
    <r>
      <rPr>
        <sz val="11"/>
        <rFont val="Georgia"/>
        <family val="1"/>
      </rPr>
      <t>X2 X DRIVE 18D M SPORT EDITION SUNRISE</t>
    </r>
  </si>
  <si>
    <r>
      <rPr>
        <sz val="11"/>
        <rFont val="Georgia"/>
        <family val="1"/>
      </rPr>
      <t>3DA-YK20</t>
    </r>
  </si>
  <si>
    <r>
      <rPr>
        <sz val="11"/>
        <rFont val="Georgia"/>
        <family val="1"/>
      </rPr>
      <t>X2 X DRIVE 18D M SPORT X</t>
    </r>
  </si>
  <si>
    <r>
      <rPr>
        <sz val="11"/>
        <rFont val="Georgia"/>
        <family val="1"/>
      </rPr>
      <t>X2 X DRIVE 20I</t>
    </r>
  </si>
  <si>
    <r>
      <rPr>
        <sz val="11"/>
        <rFont val="Georgia"/>
        <family val="1"/>
      </rPr>
      <t>ABA-YH20</t>
    </r>
  </si>
  <si>
    <r>
      <rPr>
        <sz val="11"/>
        <rFont val="Georgia"/>
        <family val="1"/>
      </rPr>
      <t>X2 X DRIVE 20I M SPORT</t>
    </r>
  </si>
  <si>
    <r>
      <rPr>
        <sz val="11"/>
        <rFont val="Georgia"/>
        <family val="1"/>
      </rPr>
      <t>X2 X DRIVE 20I M SPORT HI-LINE PACKAGE</t>
    </r>
  </si>
  <si>
    <r>
      <rPr>
        <sz val="11"/>
        <rFont val="Georgia"/>
        <family val="1"/>
      </rPr>
      <t>X2 X DRIVE 20I M SPORT X</t>
    </r>
  </si>
  <si>
    <r>
      <rPr>
        <sz val="11"/>
        <rFont val="Georgia"/>
        <family val="1"/>
      </rPr>
      <t>X3</t>
    </r>
  </si>
  <si>
    <r>
      <rPr>
        <sz val="11"/>
        <rFont val="Georgia"/>
        <family val="1"/>
      </rPr>
      <t>X3 20 X DRIVE X LINE</t>
    </r>
  </si>
  <si>
    <r>
      <rPr>
        <sz val="11"/>
        <rFont val="Georgia"/>
        <family val="1"/>
      </rPr>
      <t>3AA-32GP20</t>
    </r>
  </si>
  <si>
    <r>
      <rPr>
        <sz val="11"/>
        <rFont val="Georgia"/>
        <family val="1"/>
      </rPr>
      <t>X3 M40D</t>
    </r>
  </si>
  <si>
    <r>
      <rPr>
        <sz val="11"/>
        <rFont val="Georgia"/>
        <family val="1"/>
      </rPr>
      <t>X3 M40D M SPORT EDITION</t>
    </r>
  </si>
  <si>
    <r>
      <rPr>
        <sz val="11"/>
        <rFont val="Georgia"/>
        <family val="1"/>
      </rPr>
      <t>X3 MIDNIGHT EDITION</t>
    </r>
  </si>
  <si>
    <r>
      <rPr>
        <sz val="11"/>
        <rFont val="Georgia"/>
        <family val="1"/>
      </rPr>
      <t>LDA-TX20</t>
    </r>
  </si>
  <si>
    <r>
      <rPr>
        <sz val="11"/>
        <rFont val="Georgia"/>
        <family val="1"/>
      </rPr>
      <t>X3 X DRIVE 20D</t>
    </r>
  </si>
  <si>
    <r>
      <rPr>
        <sz val="11"/>
        <rFont val="Georgia"/>
        <family val="1"/>
      </rPr>
      <t>3DA-UZ20</t>
    </r>
  </si>
  <si>
    <r>
      <rPr>
        <sz val="11"/>
        <rFont val="Georgia"/>
        <family val="1"/>
      </rPr>
      <t>X3 X DRIVE 20D M SPORT</t>
    </r>
  </si>
  <si>
    <r>
      <rPr>
        <sz val="11"/>
        <rFont val="Georgia"/>
        <family val="1"/>
      </rPr>
      <t>X3 X DRIVE 20D X LINE</t>
    </r>
  </si>
  <si>
    <r>
      <rPr>
        <sz val="11"/>
        <rFont val="Georgia"/>
        <family val="1"/>
      </rPr>
      <t>X3 X DRIVE 20D X LINE HI-LINE PACKAGE</t>
    </r>
  </si>
  <si>
    <r>
      <rPr>
        <sz val="11"/>
        <rFont val="Georgia"/>
        <family val="1"/>
      </rPr>
      <t>X3 X DRIVE 20I</t>
    </r>
  </si>
  <si>
    <r>
      <rPr>
        <sz val="11"/>
        <rFont val="Georgia"/>
        <family val="1"/>
      </rPr>
      <t>X3 X DRIVE 30E M SPORT EDITION JOY+</t>
    </r>
  </si>
  <si>
    <r>
      <rPr>
        <sz val="11"/>
        <rFont val="Georgia"/>
        <family val="1"/>
      </rPr>
      <t>X4 M40I</t>
    </r>
  </si>
  <si>
    <r>
      <rPr>
        <sz val="11"/>
        <rFont val="Georgia"/>
        <family val="1"/>
      </rPr>
      <t>X4 X DRIVE 20D M SPORT</t>
    </r>
  </si>
  <si>
    <r>
      <rPr>
        <sz val="11"/>
        <rFont val="Georgia"/>
        <family val="1"/>
      </rPr>
      <t>X4 X DRIVE 28I M SPORT</t>
    </r>
  </si>
  <si>
    <r>
      <rPr>
        <sz val="11"/>
        <rFont val="Georgia"/>
        <family val="1"/>
      </rPr>
      <t>X4 X DRIVE 30I M SPORT</t>
    </r>
  </si>
  <si>
    <r>
      <rPr>
        <sz val="11"/>
        <rFont val="Georgia"/>
        <family val="1"/>
      </rPr>
      <t>X5 LIMITED BLACK</t>
    </r>
  </si>
  <si>
    <r>
      <rPr>
        <sz val="11"/>
        <rFont val="Georgia"/>
        <family val="1"/>
      </rPr>
      <t>X5 LIMITED WHITE</t>
    </r>
  </si>
  <si>
    <r>
      <rPr>
        <sz val="11"/>
        <rFont val="Georgia"/>
        <family val="1"/>
      </rPr>
      <t>X5 X DRIVE 35D</t>
    </r>
  </si>
  <si>
    <r>
      <rPr>
        <sz val="11"/>
        <rFont val="Georgia"/>
        <family val="1"/>
      </rPr>
      <t>X5 X DRIVE 35D EDITION X</t>
    </r>
  </si>
  <si>
    <r>
      <rPr>
        <sz val="11"/>
        <rFont val="Georgia"/>
        <family val="1"/>
      </rPr>
      <t>X5 X DRIVE 35D M-SPORT</t>
    </r>
  </si>
  <si>
    <r>
      <rPr>
        <sz val="11"/>
        <rFont val="Georgia"/>
        <family val="1"/>
      </rPr>
      <t>X5 X DRIVE 35D M-SPORT HI-LINE PACKAGE</t>
    </r>
  </si>
  <si>
    <r>
      <rPr>
        <sz val="11"/>
        <rFont val="Georgia"/>
        <family val="1"/>
      </rPr>
      <t>X5 X DRIVE 35D PLEASURE3 EDITION</t>
    </r>
  </si>
  <si>
    <r>
      <rPr>
        <sz val="11"/>
        <rFont val="Georgia"/>
        <family val="1"/>
      </rPr>
      <t>X5 X DRIVE 40D M-SPORT</t>
    </r>
  </si>
  <si>
    <r>
      <rPr>
        <sz val="11"/>
        <rFont val="Georgia"/>
        <family val="1"/>
      </rPr>
      <t>X5 X DRIVE 45E</t>
    </r>
  </si>
  <si>
    <r>
      <rPr>
        <sz val="11"/>
        <rFont val="Georgia"/>
        <family val="1"/>
      </rPr>
      <t>X5 X DRIVE 50E M-SPORT</t>
    </r>
  </si>
  <si>
    <r>
      <rPr>
        <sz val="11"/>
        <rFont val="Georgia"/>
        <family val="1"/>
      </rPr>
      <t>X5 X DRIVE 50I M-SPORT</t>
    </r>
  </si>
  <si>
    <r>
      <rPr>
        <sz val="11"/>
        <rFont val="Georgia"/>
        <family val="1"/>
      </rPr>
      <t>X6 M50I</t>
    </r>
  </si>
  <si>
    <r>
      <rPr>
        <sz val="11"/>
        <rFont val="Georgia"/>
        <family val="1"/>
      </rPr>
      <t>X6 X DRIVE 35D</t>
    </r>
  </si>
  <si>
    <r>
      <rPr>
        <sz val="11"/>
        <rFont val="Georgia"/>
        <family val="1"/>
      </rPr>
      <t>X6 X DRIVE 35D M SPORT</t>
    </r>
  </si>
  <si>
    <r>
      <rPr>
        <sz val="11"/>
        <rFont val="Georgia"/>
        <family val="1"/>
      </rPr>
      <t>X6 X DRIVE 35D M SPORT HI-LINE PACKAGE</t>
    </r>
  </si>
  <si>
    <r>
      <rPr>
        <sz val="11"/>
        <rFont val="Georgia"/>
        <family val="1"/>
      </rPr>
      <t>X6 X DRIVE 35I M SPORT</t>
    </r>
  </si>
  <si>
    <r>
      <rPr>
        <sz val="11"/>
        <rFont val="Georgia"/>
        <family val="1"/>
      </rPr>
      <t>X7 M50I</t>
    </r>
  </si>
  <si>
    <r>
      <rPr>
        <sz val="11"/>
        <rFont val="Georgia"/>
        <family val="1"/>
      </rPr>
      <t>X7 M60I X DRIVE</t>
    </r>
  </si>
  <si>
    <r>
      <rPr>
        <sz val="11"/>
        <rFont val="Georgia"/>
        <family val="1"/>
      </rPr>
      <t>X7 X DRIVE 35D DESIGN PURE EXCELLENCE</t>
    </r>
  </si>
  <si>
    <r>
      <rPr>
        <sz val="11"/>
        <rFont val="Georgia"/>
        <family val="1"/>
      </rPr>
      <t>X7 X DRIVE 35D M SPORT</t>
    </r>
  </si>
  <si>
    <r>
      <rPr>
        <sz val="11"/>
        <rFont val="Georgia"/>
        <family val="1"/>
      </rPr>
      <t>X7 X DRIVE 40D EXCELLENCE</t>
    </r>
  </si>
  <si>
    <r>
      <rPr>
        <sz val="11"/>
        <rFont val="Georgia"/>
        <family val="1"/>
      </rPr>
      <t>X7 X DRIVE 40D M SPORT</t>
    </r>
  </si>
  <si>
    <r>
      <rPr>
        <sz val="11"/>
        <rFont val="Georgia"/>
        <family val="1"/>
      </rPr>
      <t>Z4 M40I</t>
    </r>
  </si>
  <si>
    <r>
      <rPr>
        <sz val="11"/>
        <rFont val="Georgia"/>
        <family val="1"/>
      </rPr>
      <t>Z4 S DRIVE 20I</t>
    </r>
  </si>
  <si>
    <r>
      <rPr>
        <sz val="11"/>
        <rFont val="Georgia"/>
        <family val="1"/>
      </rPr>
      <t>Z4 S DRIVE 20I M-SPORT</t>
    </r>
  </si>
  <si>
    <r>
      <rPr>
        <sz val="11"/>
        <rFont val="Georgia"/>
        <family val="1"/>
      </rPr>
      <t>Z4 S DRIVE 20I M-SPORT EDITION SUNRISE</t>
    </r>
  </si>
  <si>
    <r>
      <rPr>
        <sz val="11"/>
        <rFont val="Georgia"/>
        <family val="1"/>
      </rPr>
      <t>Z4 S DRIVE 20I SPORT</t>
    </r>
  </si>
  <si>
    <r>
      <rPr>
        <sz val="11"/>
        <rFont val="Georgia"/>
        <family val="1"/>
      </rPr>
      <t>BRABUS</t>
    </r>
  </si>
  <si>
    <r>
      <rPr>
        <sz val="11"/>
        <rFont val="Georgia"/>
        <family val="1"/>
      </rPr>
      <t>GLE 63 S COUPÉ</t>
    </r>
  </si>
  <si>
    <r>
      <rPr>
        <sz val="11"/>
        <rFont val="Georgia"/>
        <family val="1"/>
      </rPr>
      <t>AWD</t>
    </r>
  </si>
  <si>
    <r>
      <rPr>
        <sz val="11"/>
        <rFont val="Georgia"/>
        <family val="1"/>
      </rPr>
      <t>PETROL</t>
    </r>
  </si>
  <si>
    <r>
      <rPr>
        <sz val="11"/>
        <rFont val="Georgia"/>
        <family val="1"/>
      </rPr>
      <t>900 DEEP BLUE</t>
    </r>
  </si>
  <si>
    <r>
      <rPr>
        <sz val="11"/>
        <rFont val="Georgia"/>
        <family val="1"/>
      </rPr>
      <t>GLS 63 4MATIC</t>
    </r>
  </si>
  <si>
    <r>
      <rPr>
        <sz val="11"/>
        <rFont val="Georgia"/>
        <family val="1"/>
      </rPr>
      <t>900 MASTERPIECE BICHROMATIC</t>
    </r>
  </si>
  <si>
    <r>
      <rPr>
        <sz val="11"/>
        <rFont val="Georgia"/>
        <family val="1"/>
      </rPr>
      <t>GLS 63 S 4MATIC</t>
    </r>
  </si>
  <si>
    <r>
      <rPr>
        <sz val="11"/>
        <rFont val="Georgia"/>
        <family val="1"/>
      </rPr>
      <t>900 ROCKET EDITION</t>
    </r>
  </si>
  <si>
    <r>
      <rPr>
        <sz val="11"/>
        <rFont val="Georgia"/>
        <family val="1"/>
      </rPr>
      <t>GLE 63 S 4MATIC+</t>
    </r>
  </si>
  <si>
    <r>
      <rPr>
        <sz val="11"/>
        <rFont val="Georgia"/>
        <family val="1"/>
      </rPr>
      <t>900 SUPERBLACK</t>
    </r>
  </si>
  <si>
    <r>
      <rPr>
        <sz val="11"/>
        <rFont val="Georgia"/>
        <family val="1"/>
      </rPr>
      <t>W463A</t>
    </r>
  </si>
  <si>
    <r>
      <rPr>
        <sz val="11"/>
        <rFont val="Georgia"/>
        <family val="1"/>
      </rPr>
      <t>GLS 63 4MATIC+</t>
    </r>
  </si>
  <si>
    <r>
      <rPr>
        <sz val="11"/>
        <rFont val="Georgia"/>
        <family val="1"/>
      </rPr>
      <t>900 XLP</t>
    </r>
  </si>
  <si>
    <r>
      <rPr>
        <sz val="11"/>
        <rFont val="Georgia"/>
        <family val="1"/>
      </rPr>
      <t>PICKUP</t>
    </r>
  </si>
  <si>
    <r>
      <rPr>
        <sz val="11"/>
        <rFont val="Georgia"/>
        <family val="1"/>
      </rPr>
      <t>BYD</t>
    </r>
  </si>
  <si>
    <r>
      <rPr>
        <sz val="11"/>
        <rFont val="Georgia"/>
        <family val="1"/>
      </rPr>
      <t>ATTO 3</t>
    </r>
  </si>
  <si>
    <r>
      <rPr>
        <sz val="11"/>
        <rFont val="Georgia"/>
        <family val="1"/>
      </rPr>
      <t>60.5 kWh</t>
    </r>
  </si>
  <si>
    <r>
      <rPr>
        <sz val="11"/>
        <rFont val="Georgia"/>
        <family val="1"/>
      </rPr>
      <t>TANG</t>
    </r>
  </si>
  <si>
    <r>
      <rPr>
        <sz val="11"/>
        <rFont val="Georgia"/>
        <family val="1"/>
      </rPr>
      <t>86.4 kWh</t>
    </r>
  </si>
  <si>
    <r>
      <rPr>
        <sz val="11"/>
        <rFont val="Georgia"/>
        <family val="1"/>
      </rPr>
      <t>DOLPHIN 60.4 KWH</t>
    </r>
  </si>
  <si>
    <r>
      <rPr>
        <sz val="11"/>
        <rFont val="Georgia"/>
        <family val="1"/>
      </rPr>
      <t>SEAL 82.5 AWD EXCELLENCE</t>
    </r>
  </si>
  <si>
    <r>
      <rPr>
        <sz val="11"/>
        <rFont val="Georgia"/>
        <family val="1"/>
      </rPr>
      <t>82.5 kWh</t>
    </r>
  </si>
  <si>
    <r>
      <rPr>
        <sz val="11"/>
        <rFont val="Georgia"/>
        <family val="1"/>
      </rPr>
      <t>HAN</t>
    </r>
  </si>
  <si>
    <r>
      <rPr>
        <sz val="11"/>
        <rFont val="Georgia"/>
        <family val="1"/>
      </rPr>
      <t>85.4 kWh</t>
    </r>
  </si>
  <si>
    <r>
      <rPr>
        <sz val="11"/>
        <rFont val="Georgia"/>
        <family val="1"/>
      </rPr>
      <t>SEAL 82.5 RWD DESIGN</t>
    </r>
  </si>
  <si>
    <r>
      <rPr>
        <sz val="11"/>
        <rFont val="Georgia"/>
        <family val="1"/>
      </rPr>
      <t>RWD</t>
    </r>
  </si>
  <si>
    <r>
      <rPr>
        <sz val="11"/>
        <rFont val="Georgia"/>
        <family val="1"/>
      </rPr>
      <t>DOLPHIN 44.9 ACTIVE</t>
    </r>
  </si>
  <si>
    <r>
      <rPr>
        <sz val="11"/>
        <rFont val="Georgia"/>
        <family val="1"/>
      </rPr>
      <t>44.9 kWh</t>
    </r>
  </si>
  <si>
    <r>
      <rPr>
        <sz val="11"/>
        <rFont val="Georgia"/>
        <family val="1"/>
      </rPr>
      <t>DOLPHIN 44.9 BOOST</t>
    </r>
  </si>
  <si>
    <r>
      <rPr>
        <sz val="11"/>
        <rFont val="Georgia"/>
        <family val="1"/>
      </rPr>
      <t>SEALION 7 91.3 AWD EXCELLENCE</t>
    </r>
  </si>
  <si>
    <r>
      <rPr>
        <sz val="11"/>
        <rFont val="Georgia"/>
        <family val="1"/>
      </rPr>
      <t>91.3 kWh</t>
    </r>
  </si>
  <si>
    <r>
      <rPr>
        <sz val="11"/>
        <rFont val="Georgia"/>
        <family val="1"/>
      </rPr>
      <t>TANG FLAGSHIP</t>
    </r>
  </si>
  <si>
    <r>
      <rPr>
        <sz val="11"/>
        <rFont val="Georgia"/>
        <family val="1"/>
      </rPr>
      <t>108.8 kWh</t>
    </r>
  </si>
  <si>
    <r>
      <rPr>
        <sz val="11"/>
        <rFont val="Georgia"/>
        <family val="1"/>
      </rPr>
      <t>SEALION 7 82.5 RWD COMFORT</t>
    </r>
  </si>
  <si>
    <r>
      <rPr>
        <sz val="11"/>
        <rFont val="Georgia"/>
        <family val="1"/>
      </rPr>
      <t>SEAL U 87 KWH DESIGN</t>
    </r>
  </si>
  <si>
    <r>
      <rPr>
        <sz val="11"/>
        <rFont val="Georgia"/>
        <family val="1"/>
      </rPr>
      <t>87.0 kWh</t>
    </r>
  </si>
  <si>
    <r>
      <rPr>
        <sz val="11"/>
        <rFont val="Georgia"/>
        <family val="1"/>
      </rPr>
      <t>SEAL U 71.8 COMFORT</t>
    </r>
  </si>
  <si>
    <r>
      <rPr>
        <sz val="11"/>
        <rFont val="Georgia"/>
        <family val="1"/>
      </rPr>
      <t>71.8 kWh</t>
    </r>
  </si>
  <si>
    <r>
      <rPr>
        <sz val="11"/>
        <rFont val="Georgia"/>
        <family val="1"/>
      </rPr>
      <t>SEALION 7 82.5 AWD DESIGN</t>
    </r>
  </si>
  <si>
    <r>
      <rPr>
        <sz val="11"/>
        <rFont val="Georgia"/>
        <family val="1"/>
      </rPr>
      <t>ATTO 2</t>
    </r>
  </si>
  <si>
    <r>
      <rPr>
        <sz val="11"/>
        <rFont val="Georgia"/>
        <family val="1"/>
      </rPr>
      <t>45.1 kWh</t>
    </r>
  </si>
  <si>
    <r>
      <rPr>
        <sz val="11"/>
        <rFont val="Georgia"/>
        <family val="1"/>
      </rPr>
      <t>CROSSOVER</t>
    </r>
  </si>
  <si>
    <r>
      <rPr>
        <sz val="11"/>
        <rFont val="Georgia"/>
        <family val="1"/>
      </rPr>
      <t>SEAL 61.4 RWD COMFORT</t>
    </r>
  </si>
  <si>
    <r>
      <rPr>
        <sz val="11"/>
        <rFont val="Georgia"/>
        <family val="1"/>
      </rPr>
      <t>61.4 kWh</t>
    </r>
  </si>
  <si>
    <r>
      <rPr>
        <sz val="11"/>
        <rFont val="Georgia"/>
        <family val="1"/>
      </rPr>
      <t>CADILLAC</t>
    </r>
  </si>
  <si>
    <r>
      <rPr>
        <sz val="11"/>
        <rFont val="Georgia"/>
        <family val="1"/>
      </rPr>
      <t>CT5 PLATINUM</t>
    </r>
  </si>
  <si>
    <r>
      <rPr>
        <sz val="11"/>
        <rFont val="Georgia"/>
        <family val="1"/>
      </rPr>
      <t>7BA-A2LL</t>
    </r>
  </si>
  <si>
    <r>
      <rPr>
        <sz val="11"/>
        <rFont val="Georgia"/>
        <family val="1"/>
      </rPr>
      <t>CT5 SPORT</t>
    </r>
  </si>
  <si>
    <r>
      <rPr>
        <sz val="11"/>
        <rFont val="Georgia"/>
        <family val="1"/>
      </rPr>
      <t>CT6 PLATINUM</t>
    </r>
  </si>
  <si>
    <r>
      <rPr>
        <sz val="11"/>
        <rFont val="Georgia"/>
        <family val="1"/>
      </rPr>
      <t>3600cc</t>
    </r>
  </si>
  <si>
    <r>
      <rPr>
        <sz val="11"/>
        <rFont val="Georgia"/>
        <family val="1"/>
      </rPr>
      <t>ESCALADE PLATINUM</t>
    </r>
  </si>
  <si>
    <r>
      <rPr>
        <sz val="11"/>
        <rFont val="Georgia"/>
        <family val="1"/>
      </rPr>
      <t>7BA-T1UL</t>
    </r>
  </si>
  <si>
    <r>
      <rPr>
        <sz val="11"/>
        <rFont val="Georgia"/>
        <family val="1"/>
      </rPr>
      <t>6200cc</t>
    </r>
  </si>
  <si>
    <r>
      <rPr>
        <sz val="11"/>
        <rFont val="Georgia"/>
        <family val="1"/>
      </rPr>
      <t>XT4 PLATINUM</t>
    </r>
  </si>
  <si>
    <r>
      <rPr>
        <sz val="11"/>
        <rFont val="Georgia"/>
        <family val="1"/>
      </rPr>
      <t>XT4 PREMIUM</t>
    </r>
  </si>
  <si>
    <r>
      <rPr>
        <sz val="11"/>
        <rFont val="Georgia"/>
        <family val="1"/>
      </rPr>
      <t>7BA-E2UL</t>
    </r>
  </si>
  <si>
    <r>
      <rPr>
        <sz val="11"/>
        <rFont val="Georgia"/>
        <family val="1"/>
      </rPr>
      <t>XT4 SPORT</t>
    </r>
  </si>
  <si>
    <r>
      <rPr>
        <sz val="11"/>
        <rFont val="Georgia"/>
        <family val="1"/>
      </rPr>
      <t>XT5 CROSSOVER LUXURY</t>
    </r>
  </si>
  <si>
    <r>
      <rPr>
        <sz val="11"/>
        <rFont val="Georgia"/>
        <family val="1"/>
      </rPr>
      <t>ABA-C1UL</t>
    </r>
  </si>
  <si>
    <r>
      <rPr>
        <sz val="11"/>
        <rFont val="Georgia"/>
        <family val="1"/>
      </rPr>
      <t>XT5 CROSSOVER PLATINUM</t>
    </r>
  </si>
  <si>
    <r>
      <rPr>
        <sz val="11"/>
        <rFont val="Georgia"/>
        <family val="1"/>
      </rPr>
      <t>XT5 CROSSOVER URBAN BLACK SPECIAL</t>
    </r>
  </si>
  <si>
    <r>
      <rPr>
        <sz val="11"/>
        <rFont val="Georgia"/>
        <family val="1"/>
      </rPr>
      <t>XT5 MIDNIGHT SKY EDITION</t>
    </r>
  </si>
  <si>
    <r>
      <rPr>
        <sz val="11"/>
        <rFont val="Georgia"/>
        <family val="1"/>
      </rPr>
      <t>7BA-C1UL</t>
    </r>
  </si>
  <si>
    <r>
      <rPr>
        <sz val="11"/>
        <rFont val="Georgia"/>
        <family val="1"/>
      </rPr>
      <t>XT5 PLATINUM SPORT</t>
    </r>
  </si>
  <si>
    <r>
      <rPr>
        <sz val="11"/>
        <rFont val="Georgia"/>
        <family val="1"/>
      </rPr>
      <t>XT5 PREMIUM</t>
    </r>
  </si>
  <si>
    <r>
      <rPr>
        <sz val="11"/>
        <rFont val="Georgia"/>
        <family val="1"/>
      </rPr>
      <t>XT6 NIGHT CRUISE EDITION</t>
    </r>
  </si>
  <si>
    <r>
      <rPr>
        <sz val="11"/>
        <rFont val="Georgia"/>
        <family val="1"/>
      </rPr>
      <t>7BA-C1TL</t>
    </r>
  </si>
  <si>
    <r>
      <rPr>
        <sz val="11"/>
        <rFont val="Georgia"/>
        <family val="1"/>
      </rPr>
      <t>XT6 PLATINUM</t>
    </r>
  </si>
  <si>
    <r>
      <rPr>
        <sz val="11"/>
        <rFont val="Georgia"/>
        <family val="1"/>
      </rPr>
      <t>CHERY</t>
    </r>
  </si>
  <si>
    <r>
      <rPr>
        <sz val="11"/>
        <rFont val="Georgia"/>
        <family val="1"/>
      </rPr>
      <t>TIGGO 4 PRO ULTIMATE</t>
    </r>
  </si>
  <si>
    <r>
      <rPr>
        <sz val="11"/>
        <rFont val="Georgia"/>
        <family val="1"/>
      </rPr>
      <t>CVT</t>
    </r>
  </si>
  <si>
    <r>
      <rPr>
        <sz val="11"/>
        <rFont val="Georgia"/>
        <family val="1"/>
      </rPr>
      <t>TIGGO 4 PRO URBAN</t>
    </r>
  </si>
  <si>
    <r>
      <rPr>
        <sz val="11"/>
        <rFont val="Georgia"/>
        <family val="1"/>
      </rPr>
      <t>TIGGO 4 ULTIMATE</t>
    </r>
  </si>
  <si>
    <r>
      <rPr>
        <sz val="11"/>
        <rFont val="Georgia"/>
        <family val="1"/>
      </rPr>
      <t>TIGGO 4 URBAN</t>
    </r>
  </si>
  <si>
    <r>
      <rPr>
        <sz val="11"/>
        <rFont val="Georgia"/>
        <family val="1"/>
      </rPr>
      <t>TIGGO 7 PRO ELITE 2WD</t>
    </r>
  </si>
  <si>
    <r>
      <rPr>
        <sz val="11"/>
        <rFont val="Georgia"/>
        <family val="1"/>
      </rPr>
      <t>7AT</t>
    </r>
  </si>
  <si>
    <r>
      <rPr>
        <sz val="11"/>
        <rFont val="Georgia"/>
        <family val="1"/>
      </rPr>
      <t>TIGGO 7 PRO SE</t>
    </r>
  </si>
  <si>
    <r>
      <rPr>
        <sz val="11"/>
        <rFont val="Georgia"/>
        <family val="1"/>
      </rPr>
      <t>TIGGO 7 PRO SE+</t>
    </r>
  </si>
  <si>
    <r>
      <rPr>
        <sz val="11"/>
        <rFont val="Georgia"/>
        <family val="1"/>
      </rPr>
      <t>TIGGO 7 PRO ULTIMATE AWD</t>
    </r>
  </si>
  <si>
    <r>
      <rPr>
        <sz val="11"/>
        <rFont val="Georgia"/>
        <family val="1"/>
      </rPr>
      <t>TIGGO 7 PRO URBAN 2WD</t>
    </r>
  </si>
  <si>
    <r>
      <rPr>
        <sz val="11"/>
        <rFont val="Georgia"/>
        <family val="1"/>
      </rPr>
      <t>TIGGO 8 PRO MAX ELITE 2WD</t>
    </r>
  </si>
  <si>
    <r>
      <rPr>
        <sz val="11"/>
        <rFont val="Georgia"/>
        <family val="1"/>
      </rPr>
      <t>TIGGO 8 PRO MAX ULTIMATE AWD</t>
    </r>
  </si>
  <si>
    <r>
      <rPr>
        <sz val="11"/>
        <rFont val="Georgia"/>
        <family val="1"/>
      </rPr>
      <t>TIGGO 8 PRO MAX URBAN 2WD</t>
    </r>
  </si>
  <si>
    <r>
      <rPr>
        <sz val="11"/>
        <rFont val="Georgia"/>
        <family val="1"/>
      </rPr>
      <t>OMODA5</t>
    </r>
  </si>
  <si>
    <r>
      <rPr>
        <sz val="11"/>
        <rFont val="Georgia"/>
        <family val="1"/>
      </rPr>
      <t>BX (BASIC VERSION)</t>
    </r>
  </si>
  <si>
    <r>
      <rPr>
        <sz val="11"/>
        <rFont val="Georgia"/>
        <family val="1"/>
      </rPr>
      <t>EX (HIGH VERSION)</t>
    </r>
  </si>
  <si>
    <r>
      <rPr>
        <sz val="11"/>
        <rFont val="Georgia"/>
        <family val="1"/>
      </rPr>
      <t>GT</t>
    </r>
  </si>
  <si>
    <r>
      <rPr>
        <sz val="11"/>
        <rFont val="Georgia"/>
        <family val="1"/>
      </rPr>
      <t>CHEVROLET</t>
    </r>
  </si>
  <si>
    <r>
      <rPr>
        <sz val="11"/>
        <rFont val="Georgia"/>
        <family val="1"/>
      </rPr>
      <t>BELAIR</t>
    </r>
  </si>
  <si>
    <r>
      <rPr>
        <sz val="11"/>
        <rFont val="Georgia"/>
        <family val="1"/>
      </rPr>
      <t>C-10</t>
    </r>
  </si>
  <si>
    <r>
      <rPr>
        <sz val="11"/>
        <rFont val="Georgia"/>
        <family val="1"/>
      </rPr>
      <t>CAPTIVA BASE GRADE</t>
    </r>
  </si>
  <si>
    <r>
      <rPr>
        <sz val="11"/>
        <rFont val="Georgia"/>
        <family val="1"/>
      </rPr>
      <t>CAPTIVA</t>
    </r>
  </si>
  <si>
    <r>
      <rPr>
        <sz val="11"/>
        <rFont val="Georgia"/>
        <family val="1"/>
      </rPr>
      <t>COLORADO CREW CAB SHORT Z2</t>
    </r>
  </si>
  <si>
    <r>
      <rPr>
        <sz val="11"/>
        <rFont val="Georgia"/>
        <family val="1"/>
      </rPr>
      <t>D/CAB</t>
    </r>
  </si>
  <si>
    <r>
      <rPr>
        <sz val="11"/>
        <rFont val="Georgia"/>
        <family val="1"/>
      </rPr>
      <t>CAMARO CONVERTIBLE HERITAGE EDITION</t>
    </r>
  </si>
  <si>
    <r>
      <rPr>
        <sz val="11"/>
        <rFont val="Georgia"/>
        <family val="1"/>
      </rPr>
      <t>CAMARO SS</t>
    </r>
  </si>
  <si>
    <r>
      <rPr>
        <sz val="11"/>
        <rFont val="Georgia"/>
        <family val="1"/>
      </rPr>
      <t>CAMARO ZL1</t>
    </r>
  </si>
  <si>
    <r>
      <rPr>
        <sz val="11"/>
        <rFont val="Georgia"/>
        <family val="1"/>
      </rPr>
      <t>CAMARO LT RS</t>
    </r>
  </si>
  <si>
    <r>
      <rPr>
        <sz val="11"/>
        <rFont val="Georgia"/>
        <family val="1"/>
      </rPr>
      <t>CAMARO FINAL EDITION</t>
    </r>
  </si>
  <si>
    <r>
      <rPr>
        <sz val="11"/>
        <rFont val="Georgia"/>
        <family val="1"/>
      </rPr>
      <t>CAMARO CONVERTIBLE</t>
    </r>
  </si>
  <si>
    <r>
      <rPr>
        <sz val="11"/>
        <rFont val="Georgia"/>
        <family val="1"/>
      </rPr>
      <t>7BA-A1XC</t>
    </r>
  </si>
  <si>
    <r>
      <rPr>
        <sz val="11"/>
        <rFont val="Georgia"/>
        <family val="1"/>
      </rPr>
      <t>CAMARO LT RS HERITAGE EDITION</t>
    </r>
  </si>
  <si>
    <r>
      <rPr>
        <sz val="11"/>
        <rFont val="Georgia"/>
        <family val="1"/>
      </rPr>
      <t>ABA-A1XC</t>
    </r>
  </si>
  <si>
    <r>
      <rPr>
        <sz val="11"/>
        <rFont val="Georgia"/>
        <family val="1"/>
      </rPr>
      <t>CHEVELLE MARIBU</t>
    </r>
  </si>
  <si>
    <r>
      <rPr>
        <sz val="11"/>
        <rFont val="Georgia"/>
        <family val="1"/>
      </rPr>
      <t>S. WAGON</t>
    </r>
  </si>
  <si>
    <r>
      <rPr>
        <sz val="11"/>
        <rFont val="Georgia"/>
        <family val="1"/>
      </rPr>
      <t>CORVETTE 3LT</t>
    </r>
  </si>
  <si>
    <r>
      <rPr>
        <sz val="11"/>
        <rFont val="Georgia"/>
        <family val="1"/>
      </rPr>
      <t>CORVETTE</t>
    </r>
  </si>
  <si>
    <r>
      <rPr>
        <sz val="11"/>
        <rFont val="Georgia"/>
        <family val="1"/>
      </rPr>
      <t>CORVETTE CONVERTIBLE EDITION CERV I</t>
    </r>
  </si>
  <si>
    <r>
      <rPr>
        <sz val="11"/>
        <rFont val="Georgia"/>
        <family val="1"/>
      </rPr>
      <t>7BA-Y2XC</t>
    </r>
  </si>
  <si>
    <r>
      <rPr>
        <sz val="11"/>
        <rFont val="Georgia"/>
        <family val="1"/>
      </rPr>
      <t>CORVETTE 2LT</t>
    </r>
  </si>
  <si>
    <r>
      <rPr>
        <sz val="11"/>
        <rFont val="Georgia"/>
        <family val="1"/>
      </rPr>
      <t>CORVETTE CONVERTIBLE</t>
    </r>
  </si>
  <si>
    <r>
      <rPr>
        <sz val="11"/>
        <rFont val="Georgia"/>
        <family val="1"/>
      </rPr>
      <t>CORVETTE Z06</t>
    </r>
  </si>
  <si>
    <r>
      <rPr>
        <sz val="11"/>
        <rFont val="Georgia"/>
        <family val="1"/>
      </rPr>
      <t>CORVETTE Z06 3LZ</t>
    </r>
  </si>
  <si>
    <r>
      <rPr>
        <sz val="11"/>
        <rFont val="Georgia"/>
        <family val="1"/>
      </rPr>
      <t>CHEVY VAN</t>
    </r>
  </si>
  <si>
    <r>
      <rPr>
        <sz val="11"/>
        <rFont val="Georgia"/>
        <family val="1"/>
      </rPr>
      <t>VAN</t>
    </r>
  </si>
  <si>
    <r>
      <rPr>
        <sz val="11"/>
        <rFont val="Georgia"/>
        <family val="1"/>
      </rPr>
      <t>CAMARO 2SS</t>
    </r>
  </si>
  <si>
    <r>
      <rPr>
        <sz val="11"/>
        <rFont val="Georgia"/>
        <family val="1"/>
      </rPr>
      <t>CORVETTE STINGRAY</t>
    </r>
  </si>
  <si>
    <r>
      <rPr>
        <sz val="11"/>
        <rFont val="Georgia"/>
        <family val="1"/>
      </rPr>
      <t>ATM</t>
    </r>
  </si>
  <si>
    <r>
      <rPr>
        <sz val="11"/>
        <rFont val="Georgia"/>
        <family val="1"/>
      </rPr>
      <t>CORVETTE  E-RAY 3LZ</t>
    </r>
  </si>
  <si>
    <r>
      <rPr>
        <sz val="11"/>
        <rFont val="Georgia"/>
        <family val="1"/>
      </rPr>
      <t>SILVERADO 1500 LT Trail Boss</t>
    </r>
  </si>
  <si>
    <r>
      <rPr>
        <sz val="11"/>
        <rFont val="Georgia"/>
        <family val="1"/>
      </rPr>
      <t>SILVERADO 1500 LTZ Premium Tech Pack</t>
    </r>
  </si>
  <si>
    <r>
      <rPr>
        <sz val="11"/>
        <rFont val="Georgia"/>
        <family val="1"/>
      </rPr>
      <t>SILVERADO 2500 HD LTZ Premium</t>
    </r>
  </si>
  <si>
    <r>
      <rPr>
        <sz val="11"/>
        <rFont val="Georgia"/>
        <family val="1"/>
      </rPr>
      <t>SILVERADO 1500 LTZ Premium</t>
    </r>
  </si>
  <si>
    <r>
      <rPr>
        <sz val="11"/>
        <rFont val="Georgia"/>
        <family val="1"/>
      </rPr>
      <t>SILVERADO 1500 ZR2</t>
    </r>
  </si>
  <si>
    <r>
      <rPr>
        <sz val="11"/>
        <rFont val="Georgia"/>
        <family val="1"/>
      </rPr>
      <t>SILVERADO HD LTZ Premium (NB1)</t>
    </r>
  </si>
  <si>
    <r>
      <rPr>
        <sz val="11"/>
        <rFont val="Georgia"/>
        <family val="1"/>
      </rPr>
      <t>SILVERADO HD LTZ Premium (NB2)</t>
    </r>
  </si>
  <si>
    <r>
      <rPr>
        <sz val="11"/>
        <rFont val="Georgia"/>
        <family val="1"/>
      </rPr>
      <t>CHRYSLER</t>
    </r>
  </si>
  <si>
    <r>
      <rPr>
        <sz val="11"/>
        <rFont val="Georgia"/>
        <family val="1"/>
      </rPr>
      <t>CHRYSLER 300</t>
    </r>
  </si>
  <si>
    <r>
      <rPr>
        <sz val="11"/>
        <rFont val="Georgia"/>
        <family val="1"/>
      </rPr>
      <t>ABA-LX36</t>
    </r>
  </si>
  <si>
    <r>
      <rPr>
        <sz val="11"/>
        <rFont val="Georgia"/>
        <family val="1"/>
      </rPr>
      <t>CITROEN</t>
    </r>
  </si>
  <si>
    <r>
      <rPr>
        <sz val="11"/>
        <rFont val="Georgia"/>
        <family val="1"/>
      </rPr>
      <t>BERLINGO DEBUT EDITION</t>
    </r>
  </si>
  <si>
    <r>
      <rPr>
        <sz val="11"/>
        <rFont val="Georgia"/>
        <family val="1"/>
      </rPr>
      <t>BERLINGO FEEL</t>
    </r>
  </si>
  <si>
    <r>
      <rPr>
        <sz val="11"/>
        <rFont val="Georgia"/>
        <family val="1"/>
      </rPr>
      <t>BERLINGO MAX BLUE HDI</t>
    </r>
  </si>
  <si>
    <r>
      <rPr>
        <sz val="11"/>
        <rFont val="Georgia"/>
        <family val="1"/>
      </rPr>
      <t>BERLINGO SHINE</t>
    </r>
  </si>
  <si>
    <r>
      <rPr>
        <sz val="11"/>
        <rFont val="Georgia"/>
        <family val="1"/>
      </rPr>
      <t>3DA-K9CYH01</t>
    </r>
  </si>
  <si>
    <r>
      <rPr>
        <sz val="11"/>
        <rFont val="Georgia"/>
        <family val="1"/>
      </rPr>
      <t>BERLINGO SHINE BLUE HDI</t>
    </r>
  </si>
  <si>
    <r>
      <rPr>
        <sz val="11"/>
        <rFont val="Georgia"/>
        <family val="1"/>
      </rPr>
      <t>BERLINGO SHINE XTR PACK</t>
    </r>
  </si>
  <si>
    <r>
      <rPr>
        <sz val="11"/>
        <rFont val="Georgia"/>
        <family val="1"/>
      </rPr>
      <t>BERLINGO SURF EDITION BY RIP CURL</t>
    </r>
  </si>
  <si>
    <r>
      <rPr>
        <sz val="11"/>
        <rFont val="Georgia"/>
        <family val="1"/>
      </rPr>
      <t>C3 AIRCROSS SURF EDITION BY RIP CURL</t>
    </r>
  </si>
  <si>
    <r>
      <rPr>
        <sz val="11"/>
        <rFont val="Georgia"/>
        <family val="1"/>
      </rPr>
      <t>C5 AIRCROSS SHINE</t>
    </r>
  </si>
  <si>
    <r>
      <rPr>
        <sz val="11"/>
        <rFont val="Georgia"/>
        <family val="1"/>
      </rPr>
      <t>C3 AIRCROSS</t>
    </r>
  </si>
  <si>
    <r>
      <rPr>
        <sz val="11"/>
        <rFont val="Georgia"/>
        <family val="1"/>
      </rPr>
      <t>C3 AIRCROSS CUIR</t>
    </r>
  </si>
  <si>
    <r>
      <rPr>
        <sz val="11"/>
        <rFont val="Georgia"/>
        <family val="1"/>
      </rPr>
      <t>C3 AIRCROSS EDITION  HDI</t>
    </r>
  </si>
  <si>
    <r>
      <rPr>
        <sz val="11"/>
        <rFont val="Georgia"/>
        <family val="1"/>
      </rPr>
      <t>C3 AIRCROSS HDI</t>
    </r>
  </si>
  <si>
    <r>
      <rPr>
        <sz val="11"/>
        <rFont val="Georgia"/>
        <family val="1"/>
      </rPr>
      <t>C3 AIRCROSS SHINE PACK</t>
    </r>
  </si>
  <si>
    <r>
      <rPr>
        <sz val="11"/>
        <rFont val="Georgia"/>
        <family val="1"/>
      </rPr>
      <t>C3 EDITION 2021</t>
    </r>
  </si>
  <si>
    <r>
      <rPr>
        <sz val="11"/>
        <rFont val="Georgia"/>
        <family val="1"/>
      </rPr>
      <t>5BA-B6HN05</t>
    </r>
  </si>
  <si>
    <r>
      <rPr>
        <sz val="11"/>
        <rFont val="Georgia"/>
        <family val="1"/>
      </rPr>
      <t>C3 ELLE</t>
    </r>
  </si>
  <si>
    <r>
      <rPr>
        <sz val="11"/>
        <rFont val="Georgia"/>
        <family val="1"/>
      </rPr>
      <t>C3 JCC+</t>
    </r>
  </si>
  <si>
    <r>
      <rPr>
        <sz val="11"/>
        <rFont val="Georgia"/>
        <family val="1"/>
      </rPr>
      <t>ABA-B6HN01</t>
    </r>
  </si>
  <si>
    <r>
      <rPr>
        <sz val="11"/>
        <rFont val="Georgia"/>
        <family val="1"/>
      </rPr>
      <t>C3 ORIGINS</t>
    </r>
  </si>
  <si>
    <r>
      <rPr>
        <sz val="11"/>
        <rFont val="Georgia"/>
        <family val="1"/>
      </rPr>
      <t>C3 SHINE</t>
    </r>
  </si>
  <si>
    <r>
      <rPr>
        <sz val="11"/>
        <rFont val="Georgia"/>
        <family val="1"/>
      </rPr>
      <t>3BA-B6HN05</t>
    </r>
  </si>
  <si>
    <r>
      <rPr>
        <sz val="11"/>
        <rFont val="Georgia"/>
        <family val="1"/>
      </rPr>
      <t>C4 CACTUS</t>
    </r>
  </si>
  <si>
    <r>
      <rPr>
        <sz val="11"/>
        <rFont val="Georgia"/>
        <family val="1"/>
      </rPr>
      <t>C4 FEEL</t>
    </r>
  </si>
  <si>
    <r>
      <rPr>
        <sz val="11"/>
        <rFont val="Georgia"/>
        <family val="1"/>
      </rPr>
      <t>C4 MAX BLUE HDI</t>
    </r>
  </si>
  <si>
    <r>
      <rPr>
        <sz val="11"/>
        <rFont val="Georgia"/>
        <family val="1"/>
      </rPr>
      <t>C4 PICASSO SHINE BLUE HDI</t>
    </r>
  </si>
  <si>
    <r>
      <rPr>
        <sz val="11"/>
        <rFont val="Georgia"/>
        <family val="1"/>
      </rPr>
      <t>LDA-B78AH01</t>
    </r>
  </si>
  <si>
    <r>
      <rPr>
        <sz val="11"/>
        <rFont val="Georgia"/>
        <family val="1"/>
      </rPr>
      <t>C4 SHINE</t>
    </r>
  </si>
  <si>
    <r>
      <rPr>
        <sz val="11"/>
        <rFont val="Georgia"/>
        <family val="1"/>
      </rPr>
      <t>C4 SHINE BLUE HDI</t>
    </r>
  </si>
  <si>
    <r>
      <rPr>
        <sz val="11"/>
        <rFont val="Georgia"/>
        <family val="1"/>
      </rPr>
      <t>C5 AIRCROSS MAX PLUG-IN HYBRID</t>
    </r>
  </si>
  <si>
    <r>
      <rPr>
        <sz val="11"/>
        <rFont val="Georgia"/>
        <family val="1"/>
      </rPr>
      <t>C5 AIRCROSS PLUG-IN HYBRID</t>
    </r>
  </si>
  <si>
    <r>
      <rPr>
        <sz val="11"/>
        <rFont val="Georgia"/>
        <family val="1"/>
      </rPr>
      <t>C5 AIRCROSS PLUG-IN HYBRID EDITION NOIRE</t>
    </r>
  </si>
  <si>
    <r>
      <rPr>
        <sz val="11"/>
        <rFont val="Georgia"/>
        <family val="1"/>
      </rPr>
      <t>3LA-C845G06H</t>
    </r>
  </si>
  <si>
    <r>
      <rPr>
        <sz val="11"/>
        <rFont val="Georgia"/>
        <family val="1"/>
      </rPr>
      <t>C5 AIRCROSS SHINE NAPPA LEATHER PACKAGE</t>
    </r>
  </si>
  <si>
    <r>
      <rPr>
        <sz val="11"/>
        <rFont val="Georgia"/>
        <family val="1"/>
      </rPr>
      <t>C5 AIRCROSS SHINE PACK BLUE HDI</t>
    </r>
  </si>
  <si>
    <r>
      <rPr>
        <sz val="11"/>
        <rFont val="Georgia"/>
        <family val="1"/>
      </rPr>
      <t>C5 X HYPNOS PLUG-IN HYBRID</t>
    </r>
  </si>
  <si>
    <r>
      <rPr>
        <sz val="11"/>
        <rFont val="Georgia"/>
        <family val="1"/>
      </rPr>
      <t>3LA-E435G06H</t>
    </r>
  </si>
  <si>
    <r>
      <rPr>
        <sz val="11"/>
        <rFont val="Georgia"/>
        <family val="1"/>
      </rPr>
      <t>C5 X SHINE PACK</t>
    </r>
  </si>
  <si>
    <r>
      <rPr>
        <sz val="11"/>
        <rFont val="Georgia"/>
        <family val="1"/>
      </rPr>
      <t>E-C4 MAX</t>
    </r>
  </si>
  <si>
    <r>
      <rPr>
        <sz val="11"/>
        <rFont val="Georgia"/>
        <family val="1"/>
      </rPr>
      <t>E-C4 SHINE</t>
    </r>
  </si>
  <si>
    <r>
      <rPr>
        <sz val="11"/>
        <rFont val="Georgia"/>
        <family val="1"/>
      </rPr>
      <t>ZAA-C41ZK01</t>
    </r>
  </si>
  <si>
    <r>
      <rPr>
        <sz val="11"/>
        <rFont val="Georgia"/>
        <family val="1"/>
      </rPr>
      <t>GRAND C4 PICASSO DUNE BEIGE</t>
    </r>
  </si>
  <si>
    <r>
      <rPr>
        <sz val="11"/>
        <rFont val="Georgia"/>
        <family val="1"/>
      </rPr>
      <t>LDA-B787AH01</t>
    </r>
  </si>
  <si>
    <r>
      <rPr>
        <sz val="11"/>
        <rFont val="Georgia"/>
        <family val="1"/>
      </rPr>
      <t>GRAND C4 PICASSO SHINE BLUE HDI</t>
    </r>
  </si>
  <si>
    <r>
      <rPr>
        <sz val="11"/>
        <rFont val="Georgia"/>
        <family val="1"/>
      </rPr>
      <t>GRAND C4 PICASSO WILD BLUE</t>
    </r>
  </si>
  <si>
    <r>
      <rPr>
        <sz val="11"/>
        <rFont val="Georgia"/>
        <family val="1"/>
      </rPr>
      <t>GRAND C4 SPACETOURER SHINE</t>
    </r>
  </si>
  <si>
    <r>
      <rPr>
        <sz val="11"/>
        <rFont val="Georgia"/>
        <family val="1"/>
      </rPr>
      <t>GRAND C4 SPACETOURER SHINE BLUE HDI</t>
    </r>
  </si>
  <si>
    <r>
      <rPr>
        <sz val="11"/>
        <rFont val="Georgia"/>
        <family val="1"/>
      </rPr>
      <t>DAIHATSU</t>
    </r>
  </si>
  <si>
    <r>
      <rPr>
        <sz val="11"/>
        <rFont val="Georgia"/>
        <family val="1"/>
      </rPr>
      <t>ALTIS G</t>
    </r>
  </si>
  <si>
    <r>
      <rPr>
        <sz val="11"/>
        <rFont val="Georgia"/>
        <family val="1"/>
      </rPr>
      <t>6AA-AXVH70N-DEXNB</t>
    </r>
  </si>
  <si>
    <r>
      <rPr>
        <sz val="11"/>
        <rFont val="Georgia"/>
        <family val="1"/>
      </rPr>
      <t>DAA-AXVH70N-DEXNB</t>
    </r>
  </si>
  <si>
    <r>
      <rPr>
        <sz val="11"/>
        <rFont val="Georgia"/>
        <family val="1"/>
      </rPr>
      <t>ATRAI</t>
    </r>
  </si>
  <si>
    <r>
      <rPr>
        <sz val="11"/>
        <rFont val="Georgia"/>
        <family val="1"/>
      </rPr>
      <t>ABA-S331G-ZQCZ</t>
    </r>
  </si>
  <si>
    <r>
      <rPr>
        <sz val="11"/>
        <rFont val="Georgia"/>
        <family val="1"/>
      </rPr>
      <t>ATRAI "SA III"</t>
    </r>
  </si>
  <si>
    <r>
      <rPr>
        <sz val="11"/>
        <rFont val="Georgia"/>
        <family val="1"/>
      </rPr>
      <t>3BA-S331G-ZQCZ</t>
    </r>
  </si>
  <si>
    <r>
      <rPr>
        <sz val="11"/>
        <rFont val="Georgia"/>
        <family val="1"/>
      </rPr>
      <t>ATRAI RAR SEAT LIFT</t>
    </r>
  </si>
  <si>
    <r>
      <rPr>
        <sz val="11"/>
        <rFont val="Georgia"/>
        <family val="1"/>
      </rPr>
      <t>4AT</t>
    </r>
  </si>
  <si>
    <r>
      <rPr>
        <sz val="11"/>
        <rFont val="Georgia"/>
        <family val="1"/>
      </rPr>
      <t>ATRAI RS</t>
    </r>
  </si>
  <si>
    <r>
      <rPr>
        <sz val="11"/>
        <rFont val="Georgia"/>
        <family val="1"/>
      </rPr>
      <t>3BD-S700V-ZBXZ</t>
    </r>
  </si>
  <si>
    <r>
      <rPr>
        <sz val="11"/>
        <rFont val="Georgia"/>
        <family val="1"/>
      </rPr>
      <t>ATRAI SLOPER</t>
    </r>
  </si>
  <si>
    <r>
      <rPr>
        <sz val="11"/>
        <rFont val="Georgia"/>
        <family val="1"/>
      </rPr>
      <t>3BD-S710V-ZBXZ</t>
    </r>
  </si>
  <si>
    <r>
      <rPr>
        <sz val="11"/>
        <rFont val="Georgia"/>
        <family val="1"/>
      </rPr>
      <t>3BD-S710-ZBXZ</t>
    </r>
  </si>
  <si>
    <r>
      <rPr>
        <sz val="11"/>
        <rFont val="Georgia"/>
        <family val="1"/>
      </rPr>
      <t>ATRAI SLOPER WITH REAR SEAT</t>
    </r>
  </si>
  <si>
    <r>
      <rPr>
        <sz val="11"/>
        <rFont val="Georgia"/>
        <family val="1"/>
      </rPr>
      <t>ATRAI WAGON CUSTOM TURBO RS</t>
    </r>
  </si>
  <si>
    <r>
      <rPr>
        <sz val="11"/>
        <rFont val="Georgia"/>
        <family val="1"/>
      </rPr>
      <t>ABA-S321G-ZQXZ</t>
    </r>
  </si>
  <si>
    <r>
      <rPr>
        <sz val="11"/>
        <rFont val="Georgia"/>
        <family val="1"/>
      </rPr>
      <t>ATRAI WAGON CUSTOM TURBO RS LIMITED</t>
    </r>
  </si>
  <si>
    <r>
      <rPr>
        <sz val="11"/>
        <rFont val="Georgia"/>
        <family val="1"/>
      </rPr>
      <t>3BA-S321G-ZQXZ</t>
    </r>
  </si>
  <si>
    <r>
      <rPr>
        <sz val="11"/>
        <rFont val="Georgia"/>
        <family val="1"/>
      </rPr>
      <t>ATRAI WAGON RS</t>
    </r>
  </si>
  <si>
    <r>
      <rPr>
        <sz val="11"/>
        <rFont val="Georgia"/>
        <family val="1"/>
      </rPr>
      <t>BOON  STYLE"SA III"</t>
    </r>
  </si>
  <si>
    <r>
      <rPr>
        <sz val="11"/>
        <rFont val="Georgia"/>
        <family val="1"/>
      </rPr>
      <t>5BA-M700S-GBSE</t>
    </r>
  </si>
  <si>
    <r>
      <rPr>
        <sz val="11"/>
        <rFont val="Georgia"/>
        <family val="1"/>
      </rPr>
      <t>BOON  X"L SA III"</t>
    </r>
  </si>
  <si>
    <r>
      <rPr>
        <sz val="11"/>
        <rFont val="Georgia"/>
        <family val="1"/>
      </rPr>
      <t>5BA-M700S-GBNE</t>
    </r>
  </si>
  <si>
    <r>
      <rPr>
        <sz val="11"/>
        <rFont val="Georgia"/>
        <family val="1"/>
      </rPr>
      <t>BOON CILQ</t>
    </r>
  </si>
  <si>
    <r>
      <rPr>
        <sz val="11"/>
        <rFont val="Georgia"/>
        <family val="1"/>
      </rPr>
      <t>BOON CILQ "G PACKAGEV SA III 2WD"</t>
    </r>
  </si>
  <si>
    <r>
      <rPr>
        <sz val="11"/>
        <rFont val="Georgia"/>
        <family val="1"/>
      </rPr>
      <t>BOON CILQ"G SA II</t>
    </r>
  </si>
  <si>
    <r>
      <rPr>
        <sz val="11"/>
        <rFont val="Georgia"/>
        <family val="1"/>
      </rPr>
      <t>DBA-M700S-GBSE</t>
    </r>
  </si>
  <si>
    <r>
      <rPr>
        <sz val="11"/>
        <rFont val="Georgia"/>
        <family val="1"/>
      </rPr>
      <t>BOON CLIQ "G SA III"</t>
    </r>
  </si>
  <si>
    <r>
      <rPr>
        <sz val="11"/>
        <rFont val="Georgia"/>
        <family val="1"/>
      </rPr>
      <t>BOON STYLE</t>
    </r>
  </si>
  <si>
    <r>
      <rPr>
        <sz val="11"/>
        <rFont val="Georgia"/>
        <family val="1"/>
      </rPr>
      <t>BOON STYLE"SA III"</t>
    </r>
  </si>
  <si>
    <r>
      <rPr>
        <sz val="11"/>
        <rFont val="Georgia"/>
        <family val="1"/>
      </rPr>
      <t>BOON X</t>
    </r>
  </si>
  <si>
    <r>
      <rPr>
        <sz val="11"/>
        <rFont val="Georgia"/>
        <family val="1"/>
      </rPr>
      <t>BOON X L PACKAGE</t>
    </r>
  </si>
  <si>
    <r>
      <rPr>
        <sz val="11"/>
        <rFont val="Georgia"/>
        <family val="1"/>
      </rPr>
      <t>BOON X"L SA II"</t>
    </r>
  </si>
  <si>
    <r>
      <rPr>
        <sz val="11"/>
        <rFont val="Georgia"/>
        <family val="1"/>
      </rPr>
      <t>DBA-M700S-GBNE</t>
    </r>
  </si>
  <si>
    <r>
      <rPr>
        <sz val="11"/>
        <rFont val="Georgia"/>
        <family val="1"/>
      </rPr>
      <t>CAST ACTIVA G</t>
    </r>
  </si>
  <si>
    <r>
      <rPr>
        <sz val="11"/>
        <rFont val="Georgia"/>
        <family val="1"/>
      </rPr>
      <t>DBA-LA250S-GBGF</t>
    </r>
  </si>
  <si>
    <r>
      <rPr>
        <sz val="11"/>
        <rFont val="Georgia"/>
        <family val="1"/>
      </rPr>
      <t>CAST ACTIVA G"SA III"</t>
    </r>
  </si>
  <si>
    <r>
      <rPr>
        <sz val="11"/>
        <rFont val="Georgia"/>
        <family val="1"/>
      </rPr>
      <t>DBA-LAS250S-GBGF</t>
    </r>
  </si>
  <si>
    <r>
      <rPr>
        <sz val="11"/>
        <rFont val="Georgia"/>
        <family val="1"/>
      </rPr>
      <t>CAST SPORT</t>
    </r>
  </si>
  <si>
    <r>
      <rPr>
        <sz val="11"/>
        <rFont val="Georgia"/>
        <family val="1"/>
      </rPr>
      <t>DBA-LA250S-GBSZ</t>
    </r>
  </si>
  <si>
    <r>
      <rPr>
        <sz val="11"/>
        <rFont val="Georgia"/>
        <family val="1"/>
      </rPr>
      <t>CAST SPORT SPORT "SA III"</t>
    </r>
  </si>
  <si>
    <r>
      <rPr>
        <sz val="11"/>
        <rFont val="Georgia"/>
        <family val="1"/>
      </rPr>
      <t>DBA-LAS25S-GBSZ</t>
    </r>
  </si>
  <si>
    <r>
      <rPr>
        <sz val="11"/>
        <rFont val="Georgia"/>
        <family val="1"/>
      </rPr>
      <t>CAST STYLE G</t>
    </r>
  </si>
  <si>
    <r>
      <rPr>
        <sz val="11"/>
        <rFont val="Georgia"/>
        <family val="1"/>
      </rPr>
      <t>5BA-LA250S-GBVF</t>
    </r>
  </si>
  <si>
    <r>
      <rPr>
        <sz val="11"/>
        <rFont val="Georgia"/>
        <family val="1"/>
      </rPr>
      <t>DBA-LA250S-GBVF</t>
    </r>
  </si>
  <si>
    <r>
      <rPr>
        <sz val="11"/>
        <rFont val="Georgia"/>
        <family val="1"/>
      </rPr>
      <t>CAST STYLE G"SA III"</t>
    </r>
  </si>
  <si>
    <r>
      <rPr>
        <sz val="11"/>
        <rFont val="Georgia"/>
        <family val="1"/>
      </rPr>
      <t>DBA-LAS250S-GBVF</t>
    </r>
  </si>
  <si>
    <r>
      <rPr>
        <sz val="11"/>
        <rFont val="Georgia"/>
        <family val="1"/>
      </rPr>
      <t>COPEN CERO</t>
    </r>
  </si>
  <si>
    <r>
      <rPr>
        <sz val="11"/>
        <rFont val="Georgia"/>
        <family val="1"/>
      </rPr>
      <t>3BA-LA400K-KBPZ</t>
    </r>
  </si>
  <si>
    <r>
      <rPr>
        <sz val="11"/>
        <rFont val="Georgia"/>
        <family val="1"/>
      </rPr>
      <t>DBA-LA400K-KBPZ</t>
    </r>
  </si>
  <si>
    <r>
      <rPr>
        <sz val="11"/>
        <rFont val="Georgia"/>
        <family val="1"/>
      </rPr>
      <t>COPEN CLIQ "G SA III"</t>
    </r>
  </si>
  <si>
    <r>
      <rPr>
        <sz val="11"/>
        <rFont val="Georgia"/>
        <family val="1"/>
      </rPr>
      <t>COPEN G</t>
    </r>
  </si>
  <si>
    <r>
      <rPr>
        <sz val="11"/>
        <rFont val="Georgia"/>
        <family val="1"/>
      </rPr>
      <t>COPEN GR</t>
    </r>
  </si>
  <si>
    <r>
      <rPr>
        <sz val="11"/>
        <rFont val="Georgia"/>
        <family val="1"/>
      </rPr>
      <t>3BA-LA400K-KBVZ</t>
    </r>
  </si>
  <si>
    <r>
      <rPr>
        <sz val="11"/>
        <rFont val="Georgia"/>
        <family val="1"/>
      </rPr>
      <t>DBA-LA400K-KBVZ</t>
    </r>
  </si>
  <si>
    <r>
      <rPr>
        <sz val="11"/>
        <rFont val="Georgia"/>
        <family val="1"/>
      </rPr>
      <t>COPEN GR SPORT</t>
    </r>
  </si>
  <si>
    <r>
      <rPr>
        <sz val="11"/>
        <rFont val="Georgia"/>
        <family val="1"/>
      </rPr>
      <t>COPEN ROBE</t>
    </r>
  </si>
  <si>
    <r>
      <rPr>
        <sz val="11"/>
        <rFont val="Georgia"/>
        <family val="1"/>
      </rPr>
      <t>COPEN STYLE "SA III"</t>
    </r>
  </si>
  <si>
    <r>
      <rPr>
        <sz val="11"/>
        <rFont val="Georgia"/>
        <family val="1"/>
      </rPr>
      <t>COPEN X "L SA III"</t>
    </r>
  </si>
  <si>
    <r>
      <rPr>
        <sz val="11"/>
        <rFont val="Georgia"/>
        <family val="1"/>
      </rPr>
      <t>COPEN XPLAY</t>
    </r>
  </si>
  <si>
    <r>
      <rPr>
        <sz val="11"/>
        <rFont val="Georgia"/>
        <family val="1"/>
      </rPr>
      <t>GRAN MAX</t>
    </r>
  </si>
  <si>
    <r>
      <rPr>
        <sz val="11"/>
        <rFont val="Georgia"/>
        <family val="1"/>
      </rPr>
      <t>5BF-S413V-ZQDFJD</t>
    </r>
  </si>
  <si>
    <r>
      <rPr>
        <sz val="11"/>
        <rFont val="Georgia"/>
        <family val="1"/>
      </rPr>
      <t>GRAN MAX CARGO GL</t>
    </r>
  </si>
  <si>
    <r>
      <rPr>
        <sz val="11"/>
        <rFont val="Georgia"/>
        <family val="1"/>
      </rPr>
      <t>GRAN MAX GL</t>
    </r>
  </si>
  <si>
    <r>
      <rPr>
        <sz val="11"/>
        <rFont val="Georgia"/>
        <family val="1"/>
      </rPr>
      <t>5BF-S413P-TQDFJD</t>
    </r>
  </si>
  <si>
    <r>
      <rPr>
        <sz val="11"/>
        <rFont val="Georgia"/>
        <family val="1"/>
      </rPr>
      <t>TRUCK</t>
    </r>
  </si>
  <si>
    <r>
      <rPr>
        <sz val="11"/>
        <rFont val="Georgia"/>
        <family val="1"/>
      </rPr>
      <t>GRAN MAXV GL</t>
    </r>
  </si>
  <si>
    <r>
      <rPr>
        <sz val="11"/>
        <rFont val="Georgia"/>
        <family val="1"/>
      </rPr>
      <t>5BF-S413P-TQDJD</t>
    </r>
  </si>
  <si>
    <r>
      <rPr>
        <sz val="11"/>
        <rFont val="Georgia"/>
        <family val="1"/>
      </rPr>
      <t>HIJET CADDIE D</t>
    </r>
  </si>
  <si>
    <r>
      <rPr>
        <sz val="11"/>
        <rFont val="Georgia"/>
        <family val="1"/>
      </rPr>
      <t>HBD-LA700V-GBDF</t>
    </r>
  </si>
  <si>
    <r>
      <rPr>
        <sz val="11"/>
        <rFont val="Georgia"/>
        <family val="1"/>
      </rPr>
      <t>HIJET CADDIE D DELUXE</t>
    </r>
  </si>
  <si>
    <r>
      <rPr>
        <sz val="11"/>
        <rFont val="Georgia"/>
        <family val="1"/>
      </rPr>
      <t>HIJET CADDLE D DELUXE</t>
    </r>
  </si>
  <si>
    <r>
      <rPr>
        <sz val="11"/>
        <rFont val="Georgia"/>
        <family val="1"/>
      </rPr>
      <t>GBD700V-GBDF</t>
    </r>
  </si>
  <si>
    <r>
      <rPr>
        <sz val="11"/>
        <rFont val="Georgia"/>
        <family val="1"/>
      </rPr>
      <t>HIJET CARGO DECKVAN</t>
    </r>
  </si>
  <si>
    <r>
      <rPr>
        <sz val="11"/>
        <rFont val="Georgia"/>
        <family val="1"/>
      </rPr>
      <t>3BD-S331W-ZQRF</t>
    </r>
  </si>
  <si>
    <r>
      <rPr>
        <sz val="11"/>
        <rFont val="Georgia"/>
        <family val="1"/>
      </rPr>
      <t>HIJET CARGO DECKVAN G</t>
    </r>
  </si>
  <si>
    <r>
      <rPr>
        <sz val="11"/>
        <rFont val="Georgia"/>
        <family val="1"/>
      </rPr>
      <t>3BD-S710W-ZBGF</t>
    </r>
  </si>
  <si>
    <r>
      <rPr>
        <sz val="11"/>
        <rFont val="Georgia"/>
        <family val="1"/>
      </rPr>
      <t>EBD-S331W-ZQRF</t>
    </r>
  </si>
  <si>
    <r>
      <rPr>
        <sz val="11"/>
        <rFont val="Georgia"/>
        <family val="1"/>
      </rPr>
      <t>HIJET CARGO DECKVAN GL</t>
    </r>
  </si>
  <si>
    <r>
      <rPr>
        <sz val="11"/>
        <rFont val="Georgia"/>
        <family val="1"/>
      </rPr>
      <t>HIJET CARGO DELUXE</t>
    </r>
  </si>
  <si>
    <r>
      <rPr>
        <sz val="11"/>
        <rFont val="Georgia"/>
        <family val="1"/>
      </rPr>
      <t>3BD-S321V-ZQDF</t>
    </r>
  </si>
  <si>
    <r>
      <rPr>
        <sz val="11"/>
        <rFont val="Georgia"/>
        <family val="1"/>
      </rPr>
      <t>3BD-S700V-ZBDF</t>
    </r>
  </si>
  <si>
    <r>
      <rPr>
        <sz val="11"/>
        <rFont val="Georgia"/>
        <family val="1"/>
      </rPr>
      <t>EBD-S321V-ZMDF</t>
    </r>
  </si>
  <si>
    <r>
      <rPr>
        <sz val="11"/>
        <rFont val="Georgia"/>
        <family val="1"/>
      </rPr>
      <t>5MT</t>
    </r>
  </si>
  <si>
    <r>
      <rPr>
        <sz val="11"/>
        <rFont val="Georgia"/>
        <family val="1"/>
      </rPr>
      <t>2(4)</t>
    </r>
  </si>
  <si>
    <r>
      <rPr>
        <sz val="11"/>
        <rFont val="Georgia"/>
        <family val="1"/>
      </rPr>
      <t>EBD-S321V-ZQDF</t>
    </r>
  </si>
  <si>
    <r>
      <rPr>
        <sz val="11"/>
        <rFont val="Georgia"/>
        <family val="1"/>
      </rPr>
      <t>HIJET JUMBO</t>
    </r>
  </si>
  <si>
    <r>
      <rPr>
        <sz val="11"/>
        <rFont val="Georgia"/>
        <family val="1"/>
      </rPr>
      <t>EBD-S500P-ZQJF</t>
    </r>
  </si>
  <si>
    <r>
      <rPr>
        <sz val="11"/>
        <rFont val="Georgia"/>
        <family val="1"/>
      </rPr>
      <t>HIJET SLOPER</t>
    </r>
  </si>
  <si>
    <r>
      <rPr>
        <sz val="11"/>
        <rFont val="Georgia"/>
        <family val="1"/>
      </rPr>
      <t>3BD-S331V-ZQDF</t>
    </r>
  </si>
  <si>
    <r>
      <rPr>
        <sz val="11"/>
        <rFont val="Georgia"/>
        <family val="1"/>
      </rPr>
      <t>3BD-S710V-ZBDF</t>
    </r>
  </si>
  <si>
    <r>
      <rPr>
        <sz val="11"/>
        <rFont val="Georgia"/>
        <family val="1"/>
      </rPr>
      <t>EBD-S331V-ZQDF</t>
    </r>
  </si>
  <si>
    <r>
      <rPr>
        <sz val="11"/>
        <rFont val="Georgia"/>
        <family val="1"/>
      </rPr>
      <t>HIJET TRUCK</t>
    </r>
  </si>
  <si>
    <r>
      <rPr>
        <sz val="11"/>
        <rFont val="Georgia"/>
        <family val="1"/>
      </rPr>
      <t>3BD-S510P-TMRF</t>
    </r>
  </si>
  <si>
    <r>
      <rPr>
        <sz val="11"/>
        <rFont val="Georgia"/>
        <family val="1"/>
      </rPr>
      <t>3BD-S510P-ZQRF-ZQRF</t>
    </r>
  </si>
  <si>
    <r>
      <rPr>
        <sz val="11"/>
        <rFont val="Georgia"/>
        <family val="1"/>
      </rPr>
      <t>EBD-S510P-ZQRF</t>
    </r>
  </si>
  <si>
    <r>
      <rPr>
        <sz val="11"/>
        <rFont val="Georgia"/>
        <family val="1"/>
      </rPr>
      <t>HIJET TRUCK ALUMINIUM MODERATE TEMP R</t>
    </r>
  </si>
  <si>
    <r>
      <rPr>
        <sz val="11"/>
        <rFont val="Georgia"/>
        <family val="1"/>
      </rPr>
      <t>3BD-S510P-ZBRF</t>
    </r>
  </si>
  <si>
    <r>
      <rPr>
        <sz val="11"/>
        <rFont val="Georgia"/>
        <family val="1"/>
      </rPr>
      <t>HIJET TRUCK COLOR ALUMINIUM MODERATE</t>
    </r>
  </si>
  <si>
    <r>
      <rPr>
        <sz val="11"/>
        <rFont val="Georgia"/>
        <family val="1"/>
      </rPr>
      <t>HIJET TRUCK Color Alumiunium Moderate Tempe</t>
    </r>
  </si>
  <si>
    <r>
      <rPr>
        <sz val="11"/>
        <rFont val="Georgia"/>
        <family val="1"/>
      </rPr>
      <t>3BD-S510P-ZQRF</t>
    </r>
  </si>
  <si>
    <r>
      <rPr>
        <sz val="11"/>
        <rFont val="Georgia"/>
        <family val="1"/>
      </rPr>
      <t>HIJET TRUCK COLOR MODERATE TEMPERATUR</t>
    </r>
  </si>
  <si>
    <r>
      <rPr>
        <sz val="11"/>
        <rFont val="Georgia"/>
        <family val="1"/>
      </rPr>
      <t>HIJET TRUCK EXTRA</t>
    </r>
  </si>
  <si>
    <r>
      <rPr>
        <sz val="11"/>
        <rFont val="Georgia"/>
        <family val="1"/>
      </rPr>
      <t>3BD-S500P-TMNF</t>
    </r>
  </si>
  <si>
    <r>
      <rPr>
        <sz val="11"/>
        <rFont val="Georgia"/>
        <family val="1"/>
      </rPr>
      <t>3BD-S510P-TBNF</t>
    </r>
  </si>
  <si>
    <r>
      <rPr>
        <sz val="11"/>
        <rFont val="Georgia"/>
        <family val="1"/>
      </rPr>
      <t>EBD-S500P-TMNF</t>
    </r>
  </si>
  <si>
    <r>
      <rPr>
        <sz val="11"/>
        <rFont val="Georgia"/>
        <family val="1"/>
      </rPr>
      <t>HIJET TRUCK JUMBO</t>
    </r>
  </si>
  <si>
    <r>
      <rPr>
        <sz val="11"/>
        <rFont val="Georgia"/>
        <family val="1"/>
      </rPr>
      <t>3BD-S500P-ZMJF</t>
    </r>
  </si>
  <si>
    <r>
      <rPr>
        <sz val="11"/>
        <rFont val="Georgia"/>
        <family val="1"/>
      </rPr>
      <t>3BD-S510P-ZBGF</t>
    </r>
  </si>
  <si>
    <r>
      <rPr>
        <sz val="11"/>
        <rFont val="Georgia"/>
        <family val="1"/>
      </rPr>
      <t>HIJET TRUCK JUMBO EXTRA</t>
    </r>
  </si>
  <si>
    <r>
      <rPr>
        <sz val="11"/>
        <rFont val="Georgia"/>
        <family val="1"/>
      </rPr>
      <t>HIJET TRUCK MODERATE TEMPERATURE REFR</t>
    </r>
  </si>
  <si>
    <r>
      <rPr>
        <sz val="11"/>
        <rFont val="Georgia"/>
        <family val="1"/>
      </rPr>
      <t>HIJET TRUCK MULTIPURPOSE DUMP</t>
    </r>
  </si>
  <si>
    <r>
      <rPr>
        <sz val="11"/>
        <rFont val="Georgia"/>
        <family val="1"/>
      </rPr>
      <t>EBD-S510P-TMRF</t>
    </r>
  </si>
  <si>
    <r>
      <rPr>
        <sz val="11"/>
        <rFont val="Georgia"/>
        <family val="1"/>
      </rPr>
      <t>HIJET TRUCK PANEL VAN</t>
    </r>
  </si>
  <si>
    <r>
      <rPr>
        <sz val="11"/>
        <rFont val="Georgia"/>
        <family val="1"/>
      </rPr>
      <t>3BD-S510P-TQRF</t>
    </r>
  </si>
  <si>
    <r>
      <rPr>
        <sz val="11"/>
        <rFont val="Georgia"/>
        <family val="1"/>
      </rPr>
      <t>EBD-S510P-TQRF</t>
    </r>
  </si>
  <si>
    <r>
      <rPr>
        <sz val="11"/>
        <rFont val="Georgia"/>
        <family val="1"/>
      </rPr>
      <t>HIJET TRUCK PTO</t>
    </r>
  </si>
  <si>
    <r>
      <rPr>
        <sz val="11"/>
        <rFont val="Georgia"/>
        <family val="1"/>
      </rPr>
      <t>HIJET TRUCK VEHICLE TAIL</t>
    </r>
  </si>
  <si>
    <r>
      <rPr>
        <sz val="11"/>
        <rFont val="Georgia"/>
        <family val="1"/>
      </rPr>
      <t>3BDS510P-TMRF</t>
    </r>
  </si>
  <si>
    <r>
      <rPr>
        <sz val="11"/>
        <rFont val="Georgia"/>
        <family val="1"/>
      </rPr>
      <t>HIJET TRUCK VERTICAL LIFT</t>
    </r>
  </si>
  <si>
    <r>
      <rPr>
        <sz val="11"/>
        <rFont val="Georgia"/>
        <family val="1"/>
      </rPr>
      <t>HIJET TRUCK VERTICAL TAIL LIFT</t>
    </r>
  </si>
  <si>
    <r>
      <rPr>
        <sz val="11"/>
        <rFont val="Georgia"/>
        <family val="1"/>
      </rPr>
      <t>HUJET TRUCK JUMBO</t>
    </r>
  </si>
  <si>
    <r>
      <rPr>
        <sz val="11"/>
        <rFont val="Georgia"/>
        <family val="1"/>
      </rPr>
      <t>MEBIUS S</t>
    </r>
  </si>
  <si>
    <r>
      <rPr>
        <sz val="11"/>
        <rFont val="Georgia"/>
        <family val="1"/>
      </rPr>
      <t>DAA-ZVW41N-BXXB(T)</t>
    </r>
  </si>
  <si>
    <r>
      <rPr>
        <sz val="11"/>
        <rFont val="Georgia"/>
        <family val="1"/>
      </rPr>
      <t>MEBIUS S TOURING</t>
    </r>
  </si>
  <si>
    <r>
      <rPr>
        <sz val="11"/>
        <rFont val="Georgia"/>
        <family val="1"/>
      </rPr>
      <t>6AA-ZVW41N-BXXEB(T)</t>
    </r>
  </si>
  <si>
    <r>
      <rPr>
        <sz val="11"/>
        <rFont val="Georgia"/>
        <family val="1"/>
      </rPr>
      <t>MEBIUS S"TOURING SELECTION"</t>
    </r>
  </si>
  <si>
    <r>
      <rPr>
        <sz val="11"/>
        <rFont val="Georgia"/>
        <family val="1"/>
      </rPr>
      <t>DAA-ZVW41N-BXXEB (T)</t>
    </r>
  </si>
  <si>
    <r>
      <rPr>
        <sz val="11"/>
        <rFont val="Georgia"/>
        <family val="1"/>
      </rPr>
      <t>MIRA</t>
    </r>
  </si>
  <si>
    <r>
      <rPr>
        <sz val="11"/>
        <rFont val="Georgia"/>
        <family val="1"/>
      </rPr>
      <t>DBA-L275S-GMMF</t>
    </r>
  </si>
  <si>
    <r>
      <rPr>
        <sz val="11"/>
        <rFont val="Georgia"/>
        <family val="1"/>
      </rPr>
      <t>MIRA COCOA</t>
    </r>
  </si>
  <si>
    <r>
      <rPr>
        <sz val="11"/>
        <rFont val="Georgia"/>
        <family val="1"/>
      </rPr>
      <t>DBA-L675S-GBXF</t>
    </r>
  </si>
  <si>
    <r>
      <rPr>
        <sz val="11"/>
        <rFont val="Georgia"/>
        <family val="1"/>
      </rPr>
      <t>MIRA E:S</t>
    </r>
  </si>
  <si>
    <r>
      <rPr>
        <sz val="11"/>
        <rFont val="Georgia"/>
        <family val="1"/>
      </rPr>
      <t>5BA-LA350S-GBPF</t>
    </r>
  </si>
  <si>
    <r>
      <rPr>
        <sz val="11"/>
        <rFont val="Georgia"/>
        <family val="1"/>
      </rPr>
      <t>MIRA E:S G</t>
    </r>
  </si>
  <si>
    <r>
      <rPr>
        <sz val="11"/>
        <rFont val="Georgia"/>
        <family val="1"/>
      </rPr>
      <t>MIRA G</t>
    </r>
  </si>
  <si>
    <r>
      <rPr>
        <sz val="11"/>
        <rFont val="Georgia"/>
        <family val="1"/>
      </rPr>
      <t>MIRA TOCOT G</t>
    </r>
  </si>
  <si>
    <r>
      <rPr>
        <sz val="11"/>
        <rFont val="Georgia"/>
        <family val="1"/>
      </rPr>
      <t>5BA-LA550S-GBVF</t>
    </r>
  </si>
  <si>
    <r>
      <rPr>
        <sz val="11"/>
        <rFont val="Georgia"/>
        <family val="1"/>
      </rPr>
      <t>5BA-LA650S-GBVF</t>
    </r>
  </si>
  <si>
    <r>
      <rPr>
        <sz val="11"/>
        <rFont val="Georgia"/>
        <family val="1"/>
      </rPr>
      <t>DBA-LA550S-GBVF</t>
    </r>
  </si>
  <si>
    <r>
      <rPr>
        <sz val="11"/>
        <rFont val="Georgia"/>
        <family val="1"/>
      </rPr>
      <t>MIRA VAN TX</t>
    </r>
  </si>
  <si>
    <r>
      <rPr>
        <sz val="11"/>
        <rFont val="Georgia"/>
        <family val="1"/>
      </rPr>
      <t>HBD-L275V-FBRF</t>
    </r>
  </si>
  <si>
    <r>
      <rPr>
        <sz val="11"/>
        <rFont val="Georgia"/>
        <family val="1"/>
      </rPr>
      <t>MOVE CANBUS</t>
    </r>
  </si>
  <si>
    <r>
      <rPr>
        <sz val="11"/>
        <rFont val="Georgia"/>
        <family val="1"/>
      </rPr>
      <t>3BA-LA800S-GBVF</t>
    </r>
  </si>
  <si>
    <r>
      <rPr>
        <sz val="11"/>
        <rFont val="Georgia"/>
        <family val="1"/>
      </rPr>
      <t>MOVE CANBUS G</t>
    </r>
  </si>
  <si>
    <r>
      <rPr>
        <sz val="11"/>
        <rFont val="Georgia"/>
        <family val="1"/>
      </rPr>
      <t>5BA-LA800S-GBVF</t>
    </r>
  </si>
  <si>
    <r>
      <rPr>
        <sz val="11"/>
        <rFont val="Georgia"/>
        <family val="1"/>
      </rPr>
      <t>MOVE CANBUS G"MAKE SA" III</t>
    </r>
  </si>
  <si>
    <r>
      <rPr>
        <sz val="11"/>
        <rFont val="Georgia"/>
        <family val="1"/>
      </rPr>
      <t>DBA-LAS8000S-GBVF</t>
    </r>
  </si>
  <si>
    <r>
      <rPr>
        <sz val="11"/>
        <rFont val="Georgia"/>
        <family val="1"/>
      </rPr>
      <t>MOVE CANBUS STRIPES G</t>
    </r>
  </si>
  <si>
    <r>
      <rPr>
        <sz val="11"/>
        <rFont val="Georgia"/>
        <family val="1"/>
      </rPr>
      <t>5BA-LA850S-GBPF</t>
    </r>
  </si>
  <si>
    <r>
      <rPr>
        <sz val="11"/>
        <rFont val="Georgia"/>
        <family val="1"/>
      </rPr>
      <t>MOVE CANBUS THEORY G</t>
    </r>
  </si>
  <si>
    <r>
      <rPr>
        <sz val="11"/>
        <rFont val="Georgia"/>
        <family val="1"/>
      </rPr>
      <t>5BA-LA850S-GBPZ</t>
    </r>
  </si>
  <si>
    <r>
      <rPr>
        <sz val="11"/>
        <rFont val="Georgia"/>
        <family val="1"/>
      </rPr>
      <t>MOVE CANBUSV G</t>
    </r>
  </si>
  <si>
    <r>
      <rPr>
        <sz val="11"/>
        <rFont val="Georgia"/>
        <family val="1"/>
      </rPr>
      <t>MOVE CUSTOM RS</t>
    </r>
  </si>
  <si>
    <r>
      <rPr>
        <sz val="11"/>
        <rFont val="Georgia"/>
        <family val="1"/>
      </rPr>
      <t>3BA-LA150S-GBVZ</t>
    </r>
  </si>
  <si>
    <r>
      <rPr>
        <sz val="11"/>
        <rFont val="Georgia"/>
        <family val="1"/>
      </rPr>
      <t>DBA-LA150S-GBVZ</t>
    </r>
  </si>
  <si>
    <r>
      <rPr>
        <sz val="11"/>
        <rFont val="Georgia"/>
        <family val="1"/>
      </rPr>
      <t>MOVE CUSTOM RS"HYPER SA II"</t>
    </r>
  </si>
  <si>
    <r>
      <rPr>
        <sz val="11"/>
        <rFont val="Georgia"/>
        <family val="1"/>
      </rPr>
      <t>MOVE CUSTOM X</t>
    </r>
  </si>
  <si>
    <r>
      <rPr>
        <sz val="11"/>
        <rFont val="Georgia"/>
        <family val="1"/>
      </rPr>
      <t>5BA-LA150S-GBVF</t>
    </r>
  </si>
  <si>
    <r>
      <rPr>
        <sz val="11"/>
        <rFont val="Georgia"/>
        <family val="1"/>
      </rPr>
      <t>DBA-LA150S-GBVF</t>
    </r>
  </si>
  <si>
    <r>
      <rPr>
        <sz val="11"/>
        <rFont val="Georgia"/>
        <family val="1"/>
      </rPr>
      <t>MOVE CUSTOM X"LIMITED SA III"</t>
    </r>
  </si>
  <si>
    <r>
      <rPr>
        <sz val="11"/>
        <rFont val="Georgia"/>
        <family val="1"/>
      </rPr>
      <t>MOVE CUSTOM"SA III"</t>
    </r>
  </si>
  <si>
    <r>
      <rPr>
        <sz val="11"/>
        <rFont val="Georgia"/>
        <family val="1"/>
      </rPr>
      <t>MOVE L</t>
    </r>
  </si>
  <si>
    <r>
      <rPr>
        <sz val="11"/>
        <rFont val="Georgia"/>
        <family val="1"/>
      </rPr>
      <t>5BA-LA150S-GBMF</t>
    </r>
  </si>
  <si>
    <r>
      <rPr>
        <sz val="11"/>
        <rFont val="Georgia"/>
        <family val="1"/>
      </rPr>
      <t>DBA-LA150S-GBMF</t>
    </r>
  </si>
  <si>
    <r>
      <rPr>
        <sz val="11"/>
        <rFont val="Georgia"/>
        <family val="1"/>
      </rPr>
      <t>MOVE L "SA III"</t>
    </r>
  </si>
  <si>
    <r>
      <rPr>
        <sz val="11"/>
        <rFont val="Georgia"/>
        <family val="1"/>
      </rPr>
      <t>5BA-LA650-GBMF</t>
    </r>
  </si>
  <si>
    <r>
      <rPr>
        <sz val="11"/>
        <rFont val="Georgia"/>
        <family val="1"/>
      </rPr>
      <t>MOVE L"SA III"</t>
    </r>
  </si>
  <si>
    <r>
      <rPr>
        <sz val="11"/>
        <rFont val="Georgia"/>
        <family val="1"/>
      </rPr>
      <t>MOVE RS</t>
    </r>
  </si>
  <si>
    <r>
      <rPr>
        <sz val="11"/>
        <rFont val="Georgia"/>
        <family val="1"/>
      </rPr>
      <t>MOVE X</t>
    </r>
  </si>
  <si>
    <r>
      <rPr>
        <sz val="11"/>
        <rFont val="Georgia"/>
        <family val="1"/>
      </rPr>
      <t>5BA-LA50S-GBGF</t>
    </r>
  </si>
  <si>
    <r>
      <rPr>
        <sz val="11"/>
        <rFont val="Georgia"/>
        <family val="1"/>
      </rPr>
      <t>DBA-LA150S-GBGF</t>
    </r>
  </si>
  <si>
    <r>
      <rPr>
        <sz val="11"/>
        <rFont val="Georgia"/>
        <family val="1"/>
      </rPr>
      <t>MOVE x"SA II"</t>
    </r>
  </si>
  <si>
    <r>
      <rPr>
        <sz val="11"/>
        <rFont val="Georgia"/>
        <family val="1"/>
      </rPr>
      <t>ROCKY G</t>
    </r>
  </si>
  <si>
    <r>
      <rPr>
        <sz val="11"/>
        <rFont val="Georgia"/>
        <family val="1"/>
      </rPr>
      <t>5BA-A200S-GBSV</t>
    </r>
  </si>
  <si>
    <r>
      <rPr>
        <sz val="11"/>
        <rFont val="Georgia"/>
        <family val="1"/>
      </rPr>
      <t>5BA-A299S-GBSV</t>
    </r>
  </si>
  <si>
    <r>
      <rPr>
        <sz val="11"/>
        <rFont val="Georgia"/>
        <family val="1"/>
      </rPr>
      <t>ROCKY PREMIUM G</t>
    </r>
  </si>
  <si>
    <r>
      <rPr>
        <sz val="11"/>
        <rFont val="Georgia"/>
        <family val="1"/>
      </rPr>
      <t>5BA-A201S-GBSF</t>
    </r>
  </si>
  <si>
    <r>
      <rPr>
        <sz val="11"/>
        <rFont val="Georgia"/>
        <family val="1"/>
      </rPr>
      <t>ROCKY PREMIUM G HEV</t>
    </r>
  </si>
  <si>
    <r>
      <rPr>
        <sz val="11"/>
        <rFont val="Georgia"/>
        <family val="1"/>
      </rPr>
      <t>5AA-A202S-GBSH</t>
    </r>
  </si>
  <si>
    <r>
      <rPr>
        <sz val="11"/>
        <rFont val="Georgia"/>
        <family val="1"/>
      </rPr>
      <t>TAFT 2</t>
    </r>
  </si>
  <si>
    <r>
      <rPr>
        <sz val="11"/>
        <rFont val="Georgia"/>
        <family val="1"/>
      </rPr>
      <t>2BA-LA900S-GBGF</t>
    </r>
  </si>
  <si>
    <r>
      <rPr>
        <sz val="11"/>
        <rFont val="Georgia"/>
        <family val="1"/>
      </rPr>
      <t>TAFT G</t>
    </r>
  </si>
  <si>
    <r>
      <rPr>
        <sz val="11"/>
        <rFont val="Georgia"/>
        <family val="1"/>
      </rPr>
      <t>5BA-LA900S-GBGF</t>
    </r>
  </si>
  <si>
    <r>
      <rPr>
        <sz val="11"/>
        <rFont val="Georgia"/>
        <family val="1"/>
      </rPr>
      <t>6BA-LA900S-GBGF</t>
    </r>
  </si>
  <si>
    <r>
      <rPr>
        <sz val="11"/>
        <rFont val="Georgia"/>
        <family val="1"/>
      </rPr>
      <t>TANT X</t>
    </r>
  </si>
  <si>
    <r>
      <rPr>
        <sz val="11"/>
        <rFont val="Georgia"/>
        <family val="1"/>
      </rPr>
      <t>6BA-LA650S-GBLF</t>
    </r>
  </si>
  <si>
    <r>
      <rPr>
        <sz val="11"/>
        <rFont val="Georgia"/>
        <family val="1"/>
      </rPr>
      <t>TANTO</t>
    </r>
  </si>
  <si>
    <r>
      <rPr>
        <sz val="11"/>
        <rFont val="Georgia"/>
        <family val="1"/>
      </rPr>
      <t>3BA-LA650S-GBLF</t>
    </r>
  </si>
  <si>
    <r>
      <rPr>
        <sz val="11"/>
        <rFont val="Georgia"/>
        <family val="1"/>
      </rPr>
      <t>TANTO  SLOPER X</t>
    </r>
  </si>
  <si>
    <r>
      <rPr>
        <sz val="11"/>
        <rFont val="Georgia"/>
        <family val="1"/>
      </rPr>
      <t>DBA-LA600S-GBLF</t>
    </r>
  </si>
  <si>
    <r>
      <rPr>
        <sz val="11"/>
        <rFont val="Georgia"/>
        <family val="1"/>
      </rPr>
      <t>TANTO CUSTOM RS</t>
    </r>
  </si>
  <si>
    <r>
      <rPr>
        <sz val="11"/>
        <rFont val="Georgia"/>
        <family val="1"/>
      </rPr>
      <t>5BA-LA650S-GBMZ</t>
    </r>
  </si>
  <si>
    <r>
      <rPr>
        <sz val="11"/>
        <rFont val="Georgia"/>
        <family val="1"/>
      </rPr>
      <t>5BA-LA650S-GBVZ</t>
    </r>
  </si>
  <si>
    <r>
      <rPr>
        <sz val="11"/>
        <rFont val="Georgia"/>
        <family val="1"/>
      </rPr>
      <t>DBA-LA600S-GBVZ</t>
    </r>
  </si>
  <si>
    <r>
      <rPr>
        <sz val="11"/>
        <rFont val="Georgia"/>
        <family val="1"/>
      </rPr>
      <t>TANTO CUSTOM RS "TOP EDITION SA II"</t>
    </r>
  </si>
  <si>
    <r>
      <rPr>
        <sz val="11"/>
        <rFont val="Georgia"/>
        <family val="1"/>
      </rPr>
      <t>TANTO CUSTOM SLOPER CUSTOM RS</t>
    </r>
  </si>
  <si>
    <r>
      <rPr>
        <sz val="11"/>
        <rFont val="Georgia"/>
        <family val="1"/>
      </rPr>
      <t>TANTO CUSTOM SLOPER X</t>
    </r>
  </si>
  <si>
    <r>
      <rPr>
        <sz val="11"/>
        <rFont val="Georgia"/>
        <family val="1"/>
      </rPr>
      <t>DBA-A600S-GBMF</t>
    </r>
  </si>
  <si>
    <r>
      <rPr>
        <sz val="11"/>
        <rFont val="Georgia"/>
        <family val="1"/>
      </rPr>
      <t>TANTO CUSTOM SLOPER X"SA III"</t>
    </r>
  </si>
  <si>
    <r>
      <rPr>
        <sz val="11"/>
        <rFont val="Georgia"/>
        <family val="1"/>
      </rPr>
      <t>DBA-LA600S-GBMF</t>
    </r>
  </si>
  <si>
    <r>
      <rPr>
        <sz val="11"/>
        <rFont val="Georgia"/>
        <family val="1"/>
      </rPr>
      <t>TANTO CUSTOM WELCOME SEAT X"SA III"</t>
    </r>
  </si>
  <si>
    <r>
      <rPr>
        <sz val="11"/>
        <rFont val="Georgia"/>
        <family val="1"/>
      </rPr>
      <t>DBA-LA600S-GBVF</t>
    </r>
  </si>
  <si>
    <r>
      <rPr>
        <sz val="11"/>
        <rFont val="Georgia"/>
        <family val="1"/>
      </rPr>
      <t>TANTO CUSTOM X</t>
    </r>
  </si>
  <si>
    <r>
      <rPr>
        <sz val="11"/>
        <rFont val="Georgia"/>
        <family val="1"/>
      </rPr>
      <t>TANTO FUNCROSS TURBO</t>
    </r>
  </si>
  <si>
    <r>
      <rPr>
        <sz val="11"/>
        <rFont val="Georgia"/>
        <family val="1"/>
      </rPr>
      <t>5BA-LA650S-GBQZ</t>
    </r>
  </si>
  <si>
    <r>
      <rPr>
        <sz val="11"/>
        <rFont val="Georgia"/>
        <family val="1"/>
      </rPr>
      <t>TANTO SLOPE X</t>
    </r>
  </si>
  <si>
    <r>
      <rPr>
        <sz val="11"/>
        <rFont val="Georgia"/>
        <family val="1"/>
      </rPr>
      <t>5BA-LA650S-GBLF</t>
    </r>
  </si>
  <si>
    <r>
      <rPr>
        <sz val="11"/>
        <rFont val="Georgia"/>
        <family val="1"/>
      </rPr>
      <t>TANTO SLOPER CUSTOM RS</t>
    </r>
  </si>
  <si>
    <r>
      <rPr>
        <sz val="11"/>
        <rFont val="Georgia"/>
        <family val="1"/>
      </rPr>
      <t>TANTO SLOPER X</t>
    </r>
  </si>
  <si>
    <r>
      <rPr>
        <sz val="11"/>
        <rFont val="Georgia"/>
        <family val="1"/>
      </rPr>
      <t>TANTO WELCOME SEAT IFT  CUSTOM RS</t>
    </r>
  </si>
  <si>
    <r>
      <rPr>
        <sz val="11"/>
        <rFont val="Georgia"/>
        <family val="1"/>
      </rPr>
      <t>5BA-LA1650S-GBMF</t>
    </r>
  </si>
  <si>
    <r>
      <rPr>
        <sz val="11"/>
        <rFont val="Georgia"/>
        <family val="1"/>
      </rPr>
      <t>TANTO WELCOME SEAT X"SA III"</t>
    </r>
  </si>
  <si>
    <r>
      <rPr>
        <sz val="11"/>
        <rFont val="Georgia"/>
        <family val="1"/>
      </rPr>
      <t>DBA-LA600S-GBGF</t>
    </r>
  </si>
  <si>
    <r>
      <rPr>
        <sz val="11"/>
        <rFont val="Georgia"/>
        <family val="1"/>
      </rPr>
      <t>TANTO X</t>
    </r>
  </si>
  <si>
    <r>
      <rPr>
        <sz val="11"/>
        <rFont val="Georgia"/>
        <family val="1"/>
      </rPr>
      <t>5BA-ALA650S-GBGF</t>
    </r>
  </si>
  <si>
    <r>
      <rPr>
        <sz val="11"/>
        <rFont val="Georgia"/>
        <family val="1"/>
      </rPr>
      <t>TANTO X"SA II"</t>
    </r>
  </si>
  <si>
    <r>
      <rPr>
        <sz val="11"/>
        <rFont val="Georgia"/>
        <family val="1"/>
      </rPr>
      <t>TANTO XWLECOME SEAT LIFT X</t>
    </r>
  </si>
  <si>
    <r>
      <rPr>
        <sz val="11"/>
        <rFont val="Georgia"/>
        <family val="1"/>
      </rPr>
      <t>6BA-LA650S-GBVZ</t>
    </r>
  </si>
  <si>
    <r>
      <rPr>
        <sz val="11"/>
        <rFont val="Georgia"/>
        <family val="1"/>
      </rPr>
      <t>THOR  G</t>
    </r>
  </si>
  <si>
    <r>
      <rPr>
        <sz val="11"/>
        <rFont val="Georgia"/>
        <family val="1"/>
      </rPr>
      <t>4BA-M900S-GBVJ</t>
    </r>
  </si>
  <si>
    <r>
      <rPr>
        <sz val="11"/>
        <rFont val="Georgia"/>
        <family val="1"/>
      </rPr>
      <t>MINIVAN</t>
    </r>
  </si>
  <si>
    <r>
      <rPr>
        <sz val="11"/>
        <rFont val="Georgia"/>
        <family val="1"/>
      </rPr>
      <t>5BA-M900S-GBGE</t>
    </r>
  </si>
  <si>
    <r>
      <rPr>
        <sz val="11"/>
        <rFont val="Georgia"/>
        <family val="1"/>
      </rPr>
      <t>THOR CUSTOM G</t>
    </r>
  </si>
  <si>
    <r>
      <rPr>
        <sz val="11"/>
        <rFont val="Georgia"/>
        <family val="1"/>
      </rPr>
      <t>5BA-M900S-GBVE</t>
    </r>
  </si>
  <si>
    <r>
      <rPr>
        <sz val="11"/>
        <rFont val="Georgia"/>
        <family val="1"/>
      </rPr>
      <t>DBA-M900S-GBVJ</t>
    </r>
  </si>
  <si>
    <r>
      <rPr>
        <sz val="11"/>
        <rFont val="Georgia"/>
        <family val="1"/>
      </rPr>
      <t>THOR CUSTOM G TURBO "SA II"</t>
    </r>
  </si>
  <si>
    <r>
      <rPr>
        <sz val="11"/>
        <rFont val="Georgia"/>
        <family val="1"/>
      </rPr>
      <t>THOR G</t>
    </r>
  </si>
  <si>
    <r>
      <rPr>
        <sz val="11"/>
        <rFont val="Georgia"/>
        <family val="1"/>
      </rPr>
      <t>DBA-M900S-GBGE</t>
    </r>
  </si>
  <si>
    <r>
      <rPr>
        <sz val="11"/>
        <rFont val="Georgia"/>
        <family val="1"/>
      </rPr>
      <t>THOR G"SA II"</t>
    </r>
  </si>
  <si>
    <r>
      <rPr>
        <sz val="11"/>
        <rFont val="Georgia"/>
        <family val="1"/>
      </rPr>
      <t>WAKE G</t>
    </r>
  </si>
  <si>
    <r>
      <rPr>
        <sz val="11"/>
        <rFont val="Georgia"/>
        <family val="1"/>
      </rPr>
      <t>3BA-LA700S-GBVZ</t>
    </r>
  </si>
  <si>
    <r>
      <rPr>
        <sz val="11"/>
        <rFont val="Georgia"/>
        <family val="1"/>
      </rPr>
      <t>WAKE G TURBO</t>
    </r>
  </si>
  <si>
    <r>
      <rPr>
        <sz val="11"/>
        <rFont val="Georgia"/>
        <family val="1"/>
      </rPr>
      <t>DBA-LA700S-GBVZ</t>
    </r>
  </si>
  <si>
    <r>
      <rPr>
        <sz val="11"/>
        <rFont val="Georgia"/>
        <family val="1"/>
      </rPr>
      <t>WAKE G TURBO LEISURE EDITION</t>
    </r>
  </si>
  <si>
    <r>
      <rPr>
        <sz val="11"/>
        <rFont val="Georgia"/>
        <family val="1"/>
      </rPr>
      <t>5BA-LA700S-GBVZ</t>
    </r>
  </si>
  <si>
    <r>
      <rPr>
        <sz val="11"/>
        <rFont val="Georgia"/>
        <family val="1"/>
      </rPr>
      <t>WAKE G TURBO"SA II"</t>
    </r>
  </si>
  <si>
    <r>
      <rPr>
        <sz val="11"/>
        <rFont val="Georgia"/>
        <family val="1"/>
      </rPr>
      <t>WAKE TURBO</t>
    </r>
  </si>
  <si>
    <r>
      <rPr>
        <sz val="11"/>
        <rFont val="Georgia"/>
        <family val="1"/>
      </rPr>
      <t>DODGE</t>
    </r>
  </si>
  <si>
    <r>
      <rPr>
        <sz val="11"/>
        <rFont val="Georgia"/>
        <family val="1"/>
      </rPr>
      <t>HORNET PLUG-IN HYBRID R/T</t>
    </r>
  </si>
  <si>
    <r>
      <rPr>
        <sz val="11"/>
        <rFont val="Georgia"/>
        <family val="1"/>
      </rPr>
      <t>HORNET PLUG-IN HYBRID R/T PLUS</t>
    </r>
  </si>
  <si>
    <r>
      <rPr>
        <sz val="11"/>
        <rFont val="Georgia"/>
        <family val="1"/>
      </rPr>
      <t>HORNET GT</t>
    </r>
  </si>
  <si>
    <r>
      <rPr>
        <sz val="11"/>
        <rFont val="Georgia"/>
        <family val="1"/>
      </rPr>
      <t>HORNET GT PLUS</t>
    </r>
  </si>
  <si>
    <r>
      <rPr>
        <sz val="11"/>
        <rFont val="Georgia"/>
        <family val="1"/>
      </rPr>
      <t>DURANGO CITADEL</t>
    </r>
  </si>
  <si>
    <r>
      <rPr>
        <sz val="11"/>
        <rFont val="Georgia"/>
        <family val="1"/>
      </rPr>
      <t>DURANGO GT</t>
    </r>
  </si>
  <si>
    <r>
      <rPr>
        <sz val="11"/>
        <rFont val="Georgia"/>
        <family val="1"/>
      </rPr>
      <t>DURANGO GT PLUS</t>
    </r>
  </si>
  <si>
    <r>
      <rPr>
        <sz val="11"/>
        <rFont val="Georgia"/>
        <family val="1"/>
      </rPr>
      <t>DURANGO GT PREMIUM</t>
    </r>
  </si>
  <si>
    <r>
      <rPr>
        <sz val="11"/>
        <rFont val="Georgia"/>
        <family val="1"/>
      </rPr>
      <t>DURANGO SXT</t>
    </r>
  </si>
  <si>
    <r>
      <rPr>
        <sz val="11"/>
        <rFont val="Georgia"/>
        <family val="1"/>
      </rPr>
      <t>DURANGO SXT PLUS</t>
    </r>
  </si>
  <si>
    <r>
      <rPr>
        <sz val="11"/>
        <rFont val="Georgia"/>
        <family val="1"/>
      </rPr>
      <t>CHARGER DAYTONA R/T</t>
    </r>
  </si>
  <si>
    <r>
      <rPr>
        <sz val="11"/>
        <rFont val="Georgia"/>
        <family val="1"/>
      </rPr>
      <t>CHARGER DAYTONA R/T SCAT PACK</t>
    </r>
  </si>
  <si>
    <r>
      <rPr>
        <sz val="11"/>
        <rFont val="Georgia"/>
        <family val="1"/>
      </rPr>
      <t>DURANGO R/T</t>
    </r>
  </si>
  <si>
    <r>
      <rPr>
        <sz val="11"/>
        <rFont val="Georgia"/>
        <family val="1"/>
      </rPr>
      <t>DURANGO R/T 20TH ANNIVERSARY PLUS</t>
    </r>
  </si>
  <si>
    <r>
      <rPr>
        <sz val="11"/>
        <rFont val="Georgia"/>
        <family val="1"/>
      </rPr>
      <t>DURANGO R/T 20TH ANNIVERSARY PREMIUM</t>
    </r>
  </si>
  <si>
    <r>
      <rPr>
        <sz val="11"/>
        <rFont val="Georgia"/>
        <family val="1"/>
      </rPr>
      <t>DURANGO R/T PLUS</t>
    </r>
  </si>
  <si>
    <r>
      <rPr>
        <sz val="11"/>
        <rFont val="Georgia"/>
        <family val="1"/>
      </rPr>
      <t>DURANGO R/T PREMIUM</t>
    </r>
  </si>
  <si>
    <r>
      <rPr>
        <sz val="11"/>
        <rFont val="Georgia"/>
        <family val="1"/>
      </rPr>
      <t>DURANGO SRT HELLCAT</t>
    </r>
  </si>
  <si>
    <r>
      <rPr>
        <sz val="11"/>
        <rFont val="Georgia"/>
        <family val="1"/>
      </rPr>
      <t>DURANGO SRT HELLCAT HAMMERHEAD</t>
    </r>
  </si>
  <si>
    <r>
      <rPr>
        <sz val="11"/>
        <rFont val="Georgia"/>
        <family val="1"/>
      </rPr>
      <t>DURANGO SRT HELLCAT PLUS</t>
    </r>
  </si>
  <si>
    <r>
      <rPr>
        <sz val="11"/>
        <rFont val="Georgia"/>
        <family val="1"/>
      </rPr>
      <t>DURANGO SRT HELLCAT PREMIUM</t>
    </r>
  </si>
  <si>
    <r>
      <rPr>
        <sz val="11"/>
        <rFont val="Georgia"/>
        <family val="1"/>
      </rPr>
      <t>DURANGO SRT HELLCAT SILVER BULLET</t>
    </r>
  </si>
  <si>
    <r>
      <rPr>
        <sz val="11"/>
        <rFont val="Georgia"/>
        <family val="1"/>
      </rPr>
      <t>DURANGO SRT 392</t>
    </r>
  </si>
  <si>
    <r>
      <rPr>
        <sz val="11"/>
        <rFont val="Georgia"/>
        <family val="1"/>
      </rPr>
      <t>DURANGO SRT 392 PLUS</t>
    </r>
  </si>
  <si>
    <r>
      <rPr>
        <sz val="11"/>
        <rFont val="Georgia"/>
        <family val="1"/>
      </rPr>
      <t>DURANGO SRT 392 PREMIUM</t>
    </r>
  </si>
  <si>
    <r>
      <rPr>
        <sz val="11"/>
        <rFont val="Georgia"/>
        <family val="1"/>
      </rPr>
      <t>2C3CDZBT3MH58</t>
    </r>
  </si>
  <si>
    <r>
      <rPr>
        <sz val="11"/>
        <rFont val="Georgia"/>
        <family val="1"/>
      </rPr>
      <t>2C3CDZFJ2JH30</t>
    </r>
  </si>
  <si>
    <r>
      <rPr>
        <sz val="11"/>
        <rFont val="Georgia"/>
        <family val="1"/>
      </rPr>
      <t>CHARENGER</t>
    </r>
  </si>
  <si>
    <r>
      <rPr>
        <sz val="11"/>
        <rFont val="Georgia"/>
        <family val="1"/>
      </rPr>
      <t>2C3CDZBT4JH30</t>
    </r>
  </si>
  <si>
    <r>
      <rPr>
        <sz val="11"/>
        <rFont val="Georgia"/>
        <family val="1"/>
      </rPr>
      <t>2C3CDZC90LH10</t>
    </r>
  </si>
  <si>
    <r>
      <rPr>
        <sz val="11"/>
        <rFont val="Georgia"/>
        <family val="1"/>
      </rPr>
      <t>2C3CDZFJ0JH13</t>
    </r>
  </si>
  <si>
    <r>
      <rPr>
        <sz val="11"/>
        <rFont val="Georgia"/>
        <family val="1"/>
      </rPr>
      <t>2C3CDZFJ9KH62</t>
    </r>
  </si>
  <si>
    <r>
      <rPr>
        <sz val="11"/>
        <rFont val="Georgia"/>
        <family val="1"/>
      </rPr>
      <t>2C3CDZFJ4JH17</t>
    </r>
  </si>
  <si>
    <r>
      <rPr>
        <sz val="11"/>
        <rFont val="Georgia"/>
        <family val="1"/>
      </rPr>
      <t>2C3CDZFJ4NH23</t>
    </r>
  </si>
  <si>
    <r>
      <rPr>
        <sz val="11"/>
        <rFont val="Georgia"/>
        <family val="1"/>
      </rPr>
      <t>2C3CDZFJ8NH15</t>
    </r>
  </si>
  <si>
    <r>
      <rPr>
        <sz val="11"/>
        <rFont val="Georgia"/>
        <family val="1"/>
      </rPr>
      <t>2C3CDZFJ9PH58</t>
    </r>
  </si>
  <si>
    <r>
      <rPr>
        <sz val="11"/>
        <rFont val="Georgia"/>
        <family val="1"/>
      </rPr>
      <t>2C3CDZFJ1LH13</t>
    </r>
  </si>
  <si>
    <r>
      <rPr>
        <sz val="11"/>
        <rFont val="Georgia"/>
        <family val="1"/>
      </rPr>
      <t>CHARENGER 392 SRT8</t>
    </r>
  </si>
  <si>
    <r>
      <rPr>
        <sz val="11"/>
        <rFont val="Georgia"/>
        <family val="1"/>
      </rPr>
      <t>2C3CDZFJ9LH20</t>
    </r>
  </si>
  <si>
    <r>
      <rPr>
        <sz val="11"/>
        <rFont val="Georgia"/>
        <family val="1"/>
      </rPr>
      <t>2C3CDZFJ7MH57</t>
    </r>
  </si>
  <si>
    <r>
      <rPr>
        <sz val="11"/>
        <rFont val="Georgia"/>
        <family val="1"/>
      </rPr>
      <t>CHARENGER R/T</t>
    </r>
  </si>
  <si>
    <r>
      <rPr>
        <sz val="11"/>
        <rFont val="Georgia"/>
        <family val="1"/>
      </rPr>
      <t>2C3CDZBTXKH65</t>
    </r>
  </si>
  <si>
    <r>
      <rPr>
        <sz val="11"/>
        <rFont val="Georgia"/>
        <family val="1"/>
      </rPr>
      <t>2C3CDZBT7MH59</t>
    </r>
  </si>
  <si>
    <r>
      <rPr>
        <sz val="11"/>
        <rFont val="Georgia"/>
        <family val="1"/>
      </rPr>
      <t>2C3CDZBT7KH65</t>
    </r>
  </si>
  <si>
    <r>
      <rPr>
        <sz val="11"/>
        <rFont val="Georgia"/>
        <family val="1"/>
      </rPr>
      <t>2C3CDZFJ9HH50</t>
    </r>
  </si>
  <si>
    <r>
      <rPr>
        <sz val="11"/>
        <rFont val="Georgia"/>
        <family val="1"/>
      </rPr>
      <t>2C3CDZFJXKH55</t>
    </r>
  </si>
  <si>
    <r>
      <rPr>
        <sz val="11"/>
        <rFont val="Georgia"/>
        <family val="1"/>
      </rPr>
      <t>2C3CDZFJXKH56</t>
    </r>
  </si>
  <si>
    <r>
      <rPr>
        <sz val="11"/>
        <rFont val="Georgia"/>
        <family val="1"/>
      </rPr>
      <t>2C3CDZFJ2MH55</t>
    </r>
  </si>
  <si>
    <r>
      <rPr>
        <sz val="11"/>
        <rFont val="Georgia"/>
        <family val="1"/>
      </rPr>
      <t>2C3CDZFJ0NH25</t>
    </r>
  </si>
  <si>
    <r>
      <rPr>
        <sz val="11"/>
        <rFont val="Georgia"/>
        <family val="1"/>
      </rPr>
      <t>2C3CDZFJ1PH58</t>
    </r>
  </si>
  <si>
    <r>
      <rPr>
        <sz val="11"/>
        <rFont val="Georgia"/>
        <family val="1"/>
      </rPr>
      <t>2C3CDZFJ0PH68</t>
    </r>
  </si>
  <si>
    <r>
      <rPr>
        <sz val="11"/>
        <rFont val="Georgia"/>
        <family val="1"/>
      </rPr>
      <t>2C3CDZFJ3PH67</t>
    </r>
  </si>
  <si>
    <r>
      <rPr>
        <sz val="11"/>
        <rFont val="Georgia"/>
        <family val="1"/>
      </rPr>
      <t>2C3CDZF2PH68*</t>
    </r>
  </si>
  <si>
    <r>
      <rPr>
        <sz val="11"/>
        <rFont val="Georgia"/>
        <family val="1"/>
      </rPr>
      <t>CHARENGER R/T PLUS</t>
    </r>
  </si>
  <si>
    <r>
      <rPr>
        <sz val="11"/>
        <rFont val="Georgia"/>
        <family val="1"/>
      </rPr>
      <t>2C3CDZBT6KH57</t>
    </r>
  </si>
  <si>
    <r>
      <rPr>
        <sz val="11"/>
        <rFont val="Georgia"/>
        <family val="1"/>
      </rPr>
      <t>2C3CDZBT0KH52</t>
    </r>
  </si>
  <si>
    <r>
      <rPr>
        <sz val="11"/>
        <rFont val="Georgia"/>
        <family val="1"/>
      </rPr>
      <t>2C3CDZBT0MH56</t>
    </r>
  </si>
  <si>
    <r>
      <rPr>
        <sz val="11"/>
        <rFont val="Georgia"/>
        <family val="1"/>
      </rPr>
      <t>2C3CDZBT3NH21</t>
    </r>
  </si>
  <si>
    <r>
      <rPr>
        <sz val="11"/>
        <rFont val="Georgia"/>
        <family val="1"/>
      </rPr>
      <t>H60</t>
    </r>
  </si>
  <si>
    <r>
      <rPr>
        <sz val="11"/>
        <rFont val="Georgia"/>
        <family val="1"/>
      </rPr>
      <t>mt</t>
    </r>
  </si>
  <si>
    <r>
      <rPr>
        <sz val="11"/>
        <rFont val="Georgia"/>
        <family val="1"/>
      </rPr>
      <t>2C3CDZBT8PH65</t>
    </r>
  </si>
  <si>
    <r>
      <rPr>
        <sz val="11"/>
        <rFont val="Georgia"/>
        <family val="1"/>
      </rPr>
      <t>CHARENGER SRT HELLCA</t>
    </r>
  </si>
  <si>
    <r>
      <rPr>
        <sz val="11"/>
        <rFont val="Georgia"/>
        <family val="1"/>
      </rPr>
      <t>2C3CDZC96PH54</t>
    </r>
  </si>
  <si>
    <r>
      <rPr>
        <sz val="11"/>
        <rFont val="Georgia"/>
        <family val="1"/>
      </rPr>
      <t>CHARENGER SRT HELLCAT</t>
    </r>
  </si>
  <si>
    <r>
      <rPr>
        <sz val="11"/>
        <rFont val="Georgia"/>
        <family val="1"/>
      </rPr>
      <t>2C3CDZL97KH53</t>
    </r>
  </si>
  <si>
    <r>
      <rPr>
        <sz val="11"/>
        <rFont val="Georgia"/>
        <family val="1"/>
      </rPr>
      <t>2C3CDZC96GH15</t>
    </r>
  </si>
  <si>
    <r>
      <rPr>
        <sz val="11"/>
        <rFont val="Georgia"/>
        <family val="1"/>
      </rPr>
      <t>2C3CDZC90KH58</t>
    </r>
  </si>
  <si>
    <r>
      <rPr>
        <sz val="11"/>
        <rFont val="Georgia"/>
        <family val="1"/>
      </rPr>
      <t>2C3CDZC95KH61</t>
    </r>
  </si>
  <si>
    <r>
      <rPr>
        <sz val="11"/>
        <rFont val="Georgia"/>
        <family val="1"/>
      </rPr>
      <t>2C3CDZL97MH62</t>
    </r>
  </si>
  <si>
    <r>
      <rPr>
        <sz val="11"/>
        <rFont val="Georgia"/>
        <family val="1"/>
      </rPr>
      <t>2C3CDZC94LH25</t>
    </r>
  </si>
  <si>
    <r>
      <rPr>
        <sz val="11"/>
        <rFont val="Georgia"/>
        <family val="1"/>
      </rPr>
      <t>2C3CDZC9XPH52</t>
    </r>
  </si>
  <si>
    <r>
      <rPr>
        <sz val="11"/>
        <rFont val="Georgia"/>
        <family val="1"/>
      </rPr>
      <t>A</t>
    </r>
  </si>
  <si>
    <r>
      <rPr>
        <sz val="11"/>
        <rFont val="Georgia"/>
        <family val="1"/>
      </rPr>
      <t>2C3CDZC96PH62</t>
    </r>
  </si>
  <si>
    <r>
      <rPr>
        <sz val="11"/>
        <rFont val="Georgia"/>
        <family val="1"/>
      </rPr>
      <t>2C3CDZC91PH69</t>
    </r>
  </si>
  <si>
    <r>
      <rPr>
        <sz val="11"/>
        <rFont val="Georgia"/>
        <family val="1"/>
      </rPr>
      <t>CHARENGER SXT</t>
    </r>
  </si>
  <si>
    <r>
      <rPr>
        <sz val="11"/>
        <rFont val="Georgia"/>
        <family val="1"/>
      </rPr>
      <t>2C3CDZAGXHH56</t>
    </r>
  </si>
  <si>
    <r>
      <rPr>
        <sz val="11"/>
        <rFont val="Georgia"/>
        <family val="1"/>
      </rPr>
      <t>2C3CDZAG6KH53</t>
    </r>
  </si>
  <si>
    <r>
      <rPr>
        <sz val="11"/>
        <rFont val="Georgia"/>
        <family val="1"/>
      </rPr>
      <t>2C3CDZAG9LH11</t>
    </r>
  </si>
  <si>
    <r>
      <rPr>
        <sz val="11"/>
        <rFont val="Georgia"/>
        <family val="1"/>
      </rPr>
      <t>2C3CDZAG8JH30</t>
    </r>
  </si>
  <si>
    <r>
      <rPr>
        <sz val="11"/>
        <rFont val="Georgia"/>
        <family val="1"/>
      </rPr>
      <t>CHARENGER SXT PLUS</t>
    </r>
  </si>
  <si>
    <r>
      <rPr>
        <sz val="11"/>
        <rFont val="Georgia"/>
        <family val="1"/>
      </rPr>
      <t>2C3CDZAG6GH10</t>
    </r>
  </si>
  <si>
    <r>
      <rPr>
        <sz val="11"/>
        <rFont val="Georgia"/>
        <family val="1"/>
      </rPr>
      <t>2C3CDZAG5MH66</t>
    </r>
  </si>
  <si>
    <r>
      <rPr>
        <sz val="11"/>
        <rFont val="Georgia"/>
        <family val="1"/>
      </rPr>
      <t>CHARGER</t>
    </r>
  </si>
  <si>
    <r>
      <rPr>
        <sz val="11"/>
        <rFont val="Georgia"/>
        <family val="1"/>
      </rPr>
      <t>2C3CDXL99MH61</t>
    </r>
  </si>
  <si>
    <r>
      <rPr>
        <sz val="11"/>
        <rFont val="Georgia"/>
        <family val="1"/>
      </rPr>
      <t>2C3CDXL99PH58</t>
    </r>
  </si>
  <si>
    <r>
      <rPr>
        <sz val="11"/>
        <rFont val="Georgia"/>
        <family val="1"/>
      </rPr>
      <t>2C3CDXEJ1JH29</t>
    </r>
  </si>
  <si>
    <r>
      <rPr>
        <sz val="11"/>
        <rFont val="Georgia"/>
        <family val="1"/>
      </rPr>
      <t>2C3CDXGJXPH63</t>
    </r>
  </si>
  <si>
    <r>
      <rPr>
        <sz val="11"/>
        <rFont val="Georgia"/>
        <family val="1"/>
      </rPr>
      <t>CHARGER SXT</t>
    </r>
  </si>
  <si>
    <r>
      <rPr>
        <sz val="11"/>
        <rFont val="Georgia"/>
        <family val="1"/>
      </rPr>
      <t>2C3CDXHG6JH17</t>
    </r>
  </si>
  <si>
    <r>
      <rPr>
        <sz val="11"/>
        <rFont val="Georgia"/>
        <family val="1"/>
      </rPr>
      <t>2C3CDXJG0KH74</t>
    </r>
  </si>
  <si>
    <r>
      <rPr>
        <sz val="11"/>
        <rFont val="Georgia"/>
        <family val="1"/>
      </rPr>
      <t>DURANGO</t>
    </r>
  </si>
  <si>
    <r>
      <rPr>
        <sz val="11"/>
        <rFont val="Georgia"/>
        <family val="1"/>
      </rPr>
      <t>1C4SDJGJ0JC46</t>
    </r>
  </si>
  <si>
    <r>
      <rPr>
        <sz val="11"/>
        <rFont val="Georgia"/>
        <family val="1"/>
      </rPr>
      <t>1C4SDJET5KC82</t>
    </r>
  </si>
  <si>
    <r>
      <rPr>
        <sz val="11"/>
        <rFont val="Georgia"/>
        <family val="1"/>
      </rPr>
      <t>DURANGO RT</t>
    </r>
  </si>
  <si>
    <r>
      <rPr>
        <sz val="11"/>
        <rFont val="Georgia"/>
        <family val="1"/>
      </rPr>
      <t>1C4SDJCT9KC77</t>
    </r>
  </si>
  <si>
    <r>
      <rPr>
        <sz val="11"/>
        <rFont val="Georgia"/>
        <family val="1"/>
      </rPr>
      <t>RAM</t>
    </r>
  </si>
  <si>
    <r>
      <rPr>
        <sz val="11"/>
        <rFont val="Georgia"/>
        <family val="1"/>
      </rPr>
      <t>1C6RREFT9KN55</t>
    </r>
  </si>
  <si>
    <r>
      <rPr>
        <sz val="11"/>
        <rFont val="Georgia"/>
        <family val="1"/>
      </rPr>
      <t>1C6SRFLT1KN83</t>
    </r>
  </si>
  <si>
    <r>
      <rPr>
        <sz val="11"/>
        <rFont val="Georgia"/>
        <family val="1"/>
      </rPr>
      <t>RAM BASE GRADE</t>
    </r>
  </si>
  <si>
    <r>
      <rPr>
        <sz val="11"/>
        <rFont val="Georgia"/>
        <family val="1"/>
      </rPr>
      <t>2B6HB21Y9LK71</t>
    </r>
  </si>
  <si>
    <r>
      <rPr>
        <sz val="11"/>
        <rFont val="Georgia"/>
        <family val="1"/>
      </rPr>
      <t>RAM RARAMY</t>
    </r>
  </si>
  <si>
    <r>
      <rPr>
        <sz val="11"/>
        <rFont val="Georgia"/>
        <family val="1"/>
      </rPr>
      <t>1C6RR7PT7HS81</t>
    </r>
  </si>
  <si>
    <r>
      <rPr>
        <sz val="11"/>
        <rFont val="Georgia"/>
        <family val="1"/>
      </rPr>
      <t>1C6SRFJT8KN72</t>
    </r>
  </si>
  <si>
    <r>
      <rPr>
        <sz val="11"/>
        <rFont val="Georgia"/>
        <family val="1"/>
      </rPr>
      <t>DONGFENG</t>
    </r>
  </si>
  <si>
    <r>
      <rPr>
        <sz val="11"/>
        <rFont val="Georgia"/>
        <family val="1"/>
      </rPr>
      <t>FENGSHEN E70</t>
    </r>
  </si>
  <si>
    <r>
      <rPr>
        <sz val="11"/>
        <rFont val="Georgia"/>
        <family val="1"/>
      </rPr>
      <t>50.8 kWh</t>
    </r>
  </si>
  <si>
    <r>
      <rPr>
        <sz val="11"/>
        <rFont val="Georgia"/>
        <family val="1"/>
      </rPr>
      <t>FORTHING T5 EVO</t>
    </r>
  </si>
  <si>
    <r>
      <rPr>
        <sz val="11"/>
        <rFont val="Georgia"/>
        <family val="1"/>
      </rPr>
      <t>FENGON E3 EV</t>
    </r>
  </si>
  <si>
    <r>
      <rPr>
        <sz val="11"/>
        <rFont val="Georgia"/>
        <family val="1"/>
      </rPr>
      <t>53.6 kWh</t>
    </r>
  </si>
  <si>
    <r>
      <rPr>
        <sz val="11"/>
        <rFont val="Georgia"/>
        <family val="1"/>
      </rPr>
      <t>EX1 NANO BOX</t>
    </r>
  </si>
  <si>
    <r>
      <rPr>
        <sz val="11"/>
        <rFont val="Georgia"/>
        <family val="1"/>
      </rPr>
      <t>33.1 kWh</t>
    </r>
  </si>
  <si>
    <r>
      <rPr>
        <sz val="11"/>
        <rFont val="Georgia"/>
        <family val="1"/>
      </rPr>
      <t>EΠ 007</t>
    </r>
  </si>
  <si>
    <r>
      <rPr>
        <sz val="11"/>
        <rFont val="Georgia"/>
        <family val="1"/>
      </rPr>
      <t>RWD/AWD</t>
    </r>
  </si>
  <si>
    <r>
      <rPr>
        <sz val="11"/>
        <rFont val="Georgia"/>
        <family val="1"/>
      </rPr>
      <t>28.39–70.26 kWh</t>
    </r>
  </si>
  <si>
    <r>
      <rPr>
        <sz val="11"/>
        <rFont val="Georgia"/>
        <family val="1"/>
      </rPr>
      <t>NAMMI 01</t>
    </r>
  </si>
  <si>
    <r>
      <rPr>
        <sz val="11"/>
        <rFont val="Georgia"/>
        <family val="1"/>
      </rPr>
      <t>31.45–42.3 kWh</t>
    </r>
  </si>
  <si>
    <r>
      <rPr>
        <sz val="11"/>
        <rFont val="Georgia"/>
        <family val="1"/>
      </rPr>
      <t>LINGXI L</t>
    </r>
  </si>
  <si>
    <r>
      <rPr>
        <sz val="11"/>
        <rFont val="Georgia"/>
        <family val="1"/>
      </rPr>
      <t>59 kWh</t>
    </r>
  </si>
  <si>
    <r>
      <rPr>
        <sz val="11"/>
        <rFont val="Georgia"/>
        <family val="1"/>
      </rPr>
      <t>EΠ 008</t>
    </r>
  </si>
  <si>
    <r>
      <rPr>
        <sz val="11"/>
        <rFont val="Georgia"/>
        <family val="1"/>
      </rPr>
      <t>34.3–82.3 kWh</t>
    </r>
  </si>
  <si>
    <r>
      <rPr>
        <sz val="11"/>
        <rFont val="Georgia"/>
        <family val="1"/>
      </rPr>
      <t>5–6</t>
    </r>
  </si>
  <si>
    <r>
      <rPr>
        <sz val="11"/>
        <rFont val="Georgia"/>
        <family val="1"/>
      </rPr>
      <t>AEOLUS SKY EV01</t>
    </r>
  </si>
  <si>
    <r>
      <rPr>
        <sz val="11"/>
        <rFont val="Georgia"/>
        <family val="1"/>
      </rPr>
      <t>50.8–61.2 kWh</t>
    </r>
  </si>
  <si>
    <r>
      <rPr>
        <sz val="11"/>
        <rFont val="Georgia"/>
        <family val="1"/>
      </rPr>
      <t>FORTHING XINGHAI S7</t>
    </r>
  </si>
  <si>
    <r>
      <rPr>
        <sz val="11"/>
        <rFont val="Georgia"/>
        <family val="1"/>
      </rPr>
      <t>Li-ion</t>
    </r>
  </si>
  <si>
    <r>
      <rPr>
        <sz val="11"/>
        <rFont val="Georgia"/>
        <family val="1"/>
      </rPr>
      <t>EICHER</t>
    </r>
  </si>
  <si>
    <r>
      <rPr>
        <sz val="11"/>
        <rFont val="Georgia"/>
        <family val="1"/>
      </rPr>
      <t>PRO 6042HT TRUCK</t>
    </r>
  </si>
  <si>
    <r>
      <rPr>
        <sz val="11"/>
        <rFont val="Georgia"/>
        <family val="1"/>
      </rPr>
      <t>MAN</t>
    </r>
  </si>
  <si>
    <r>
      <rPr>
        <sz val="11"/>
        <rFont val="Georgia"/>
        <family val="1"/>
      </rPr>
      <t>260 HP</t>
    </r>
  </si>
  <si>
    <r>
      <rPr>
        <sz val="11"/>
        <rFont val="Georgia"/>
        <family val="1"/>
      </rPr>
      <t>HEAVY DUTY TRUCK</t>
    </r>
  </si>
  <si>
    <r>
      <rPr>
        <sz val="11"/>
        <rFont val="Georgia"/>
        <family val="1"/>
      </rPr>
      <t>PRO 60</t>
    </r>
  </si>
  <si>
    <r>
      <rPr>
        <sz val="11"/>
        <rFont val="Georgia"/>
        <family val="1"/>
      </rPr>
      <t>PRO 6028</t>
    </r>
  </si>
  <si>
    <r>
      <rPr>
        <sz val="11"/>
        <rFont val="Georgia"/>
        <family val="1"/>
      </rPr>
      <t>PRO 6019</t>
    </r>
  </si>
  <si>
    <r>
      <rPr>
        <sz val="11"/>
        <rFont val="Georgia"/>
        <family val="1"/>
      </rPr>
      <t>PRO 6035T</t>
    </r>
  </si>
  <si>
    <r>
      <rPr>
        <sz val="11"/>
        <rFont val="Georgia"/>
        <family val="1"/>
      </rPr>
      <t>191HP</t>
    </r>
  </si>
  <si>
    <r>
      <rPr>
        <sz val="11"/>
        <rFont val="Georgia"/>
        <family val="1"/>
      </rPr>
      <t>PRO 6035TM</t>
    </r>
  </si>
  <si>
    <r>
      <rPr>
        <sz val="11"/>
        <rFont val="Georgia"/>
        <family val="1"/>
      </rPr>
      <t>PRO 6042HT</t>
    </r>
  </si>
  <si>
    <r>
      <rPr>
        <sz val="11"/>
        <rFont val="Georgia"/>
        <family val="1"/>
      </rPr>
      <t>PRO 8028XM</t>
    </r>
  </si>
  <si>
    <r>
      <rPr>
        <sz val="11"/>
        <rFont val="Georgia"/>
        <family val="1"/>
      </rPr>
      <t>258HP</t>
    </r>
  </si>
  <si>
    <r>
      <rPr>
        <sz val="11"/>
        <rFont val="Georgia"/>
        <family val="1"/>
      </rPr>
      <t>PRO 8035XM</t>
    </r>
  </si>
  <si>
    <r>
      <rPr>
        <sz val="11"/>
        <rFont val="Georgia"/>
        <family val="1"/>
      </rPr>
      <t>PRO 6019T</t>
    </r>
  </si>
  <si>
    <r>
      <rPr>
        <sz val="11"/>
        <rFont val="Georgia"/>
        <family val="1"/>
      </rPr>
      <t>154.5HP</t>
    </r>
  </si>
  <si>
    <r>
      <rPr>
        <sz val="11"/>
        <rFont val="Georgia"/>
        <family val="1"/>
      </rPr>
      <t>PRO 6028T</t>
    </r>
  </si>
  <si>
    <r>
      <rPr>
        <sz val="11"/>
        <rFont val="Georgia"/>
        <family val="1"/>
      </rPr>
      <t>ICHER PRO 6055 4X2</t>
    </r>
  </si>
  <si>
    <r>
      <rPr>
        <sz val="11"/>
        <rFont val="Georgia"/>
        <family val="1"/>
      </rPr>
      <t>PRO 8055</t>
    </r>
  </si>
  <si>
    <r>
      <rPr>
        <sz val="11"/>
        <rFont val="Georgia"/>
        <family val="1"/>
      </rPr>
      <t>248HP</t>
    </r>
  </si>
  <si>
    <r>
      <rPr>
        <sz val="11"/>
        <rFont val="Georgia"/>
        <family val="1"/>
      </rPr>
      <t>PRO 2049</t>
    </r>
  </si>
  <si>
    <r>
      <rPr>
        <sz val="11"/>
        <rFont val="Georgia"/>
        <family val="1"/>
      </rPr>
      <t>75HP</t>
    </r>
  </si>
  <si>
    <r>
      <rPr>
        <sz val="11"/>
        <rFont val="Georgia"/>
        <family val="1"/>
      </rPr>
      <t>PRO 2049CNG</t>
    </r>
  </si>
  <si>
    <r>
      <rPr>
        <sz val="11"/>
        <rFont val="Georgia"/>
        <family val="1"/>
      </rPr>
      <t>PRO 2050</t>
    </r>
  </si>
  <si>
    <r>
      <rPr>
        <sz val="11"/>
        <rFont val="Georgia"/>
        <family val="1"/>
      </rPr>
      <t>285HP</t>
    </r>
  </si>
  <si>
    <r>
      <rPr>
        <sz val="11"/>
        <rFont val="Georgia"/>
        <family val="1"/>
      </rPr>
      <t>PRO 2055</t>
    </r>
  </si>
  <si>
    <r>
      <rPr>
        <sz val="11"/>
        <rFont val="Georgia"/>
        <family val="1"/>
      </rPr>
      <t>70HP</t>
    </r>
  </si>
  <si>
    <r>
      <rPr>
        <sz val="11"/>
        <rFont val="Georgia"/>
        <family val="1"/>
      </rPr>
      <t>PRO 2050 CNG</t>
    </r>
  </si>
  <si>
    <r>
      <rPr>
        <sz val="11"/>
        <rFont val="Georgia"/>
        <family val="1"/>
      </rPr>
      <t>PRO 2055DSD</t>
    </r>
  </si>
  <si>
    <r>
      <rPr>
        <sz val="11"/>
        <rFont val="Georgia"/>
        <family val="1"/>
      </rPr>
      <t>90HP</t>
    </r>
  </si>
  <si>
    <r>
      <rPr>
        <sz val="11"/>
        <rFont val="Georgia"/>
        <family val="1"/>
      </rPr>
      <t>PRO 2055K</t>
    </r>
  </si>
  <si>
    <r>
      <rPr>
        <sz val="11"/>
        <rFont val="Georgia"/>
        <family val="1"/>
      </rPr>
      <t>PRO 2059</t>
    </r>
  </si>
  <si>
    <r>
      <rPr>
        <sz val="11"/>
        <rFont val="Georgia"/>
        <family val="1"/>
      </rPr>
      <t>PRO 2059 CNG</t>
    </r>
  </si>
  <si>
    <r>
      <rPr>
        <sz val="11"/>
        <rFont val="Georgia"/>
        <family val="1"/>
      </rPr>
      <t>PRO 2059XP</t>
    </r>
  </si>
  <si>
    <r>
      <rPr>
        <sz val="11"/>
        <rFont val="Georgia"/>
        <family val="1"/>
      </rPr>
      <t>PRO 2059XP CNG</t>
    </r>
  </si>
  <si>
    <r>
      <rPr>
        <sz val="11"/>
        <rFont val="Georgia"/>
        <family val="1"/>
      </rPr>
      <t>PRO 2075</t>
    </r>
  </si>
  <si>
    <r>
      <rPr>
        <sz val="11"/>
        <rFont val="Georgia"/>
        <family val="1"/>
      </rPr>
      <t>PRO 2075 CNG</t>
    </r>
  </si>
  <si>
    <r>
      <rPr>
        <sz val="11"/>
        <rFont val="Georgia"/>
        <family val="1"/>
      </rPr>
      <t>PRO 2080XP</t>
    </r>
  </si>
  <si>
    <r>
      <rPr>
        <sz val="11"/>
        <rFont val="Georgia"/>
        <family val="1"/>
      </rPr>
      <t>PRO 2090</t>
    </r>
  </si>
  <si>
    <r>
      <rPr>
        <sz val="11"/>
        <rFont val="Georgia"/>
        <family val="1"/>
      </rPr>
      <t>PRO 2095</t>
    </r>
  </si>
  <si>
    <r>
      <rPr>
        <sz val="11"/>
        <rFont val="Georgia"/>
        <family val="1"/>
      </rPr>
      <t>PRO 2095XP</t>
    </r>
  </si>
  <si>
    <r>
      <rPr>
        <sz val="11"/>
        <rFont val="Georgia"/>
        <family val="1"/>
      </rPr>
      <t>2095XP CNG</t>
    </r>
  </si>
  <si>
    <r>
      <rPr>
        <sz val="11"/>
        <rFont val="Georgia"/>
        <family val="1"/>
      </rPr>
      <t>FAW</t>
    </r>
  </si>
  <si>
    <r>
      <rPr>
        <sz val="11"/>
        <rFont val="Georgia"/>
        <family val="1"/>
      </rPr>
      <t>CAMINHÃO TIPPER CA3312P2K2 HLQ</t>
    </r>
  </si>
  <si>
    <r>
      <rPr>
        <sz val="11"/>
        <rFont val="Georgia"/>
        <family val="1"/>
      </rPr>
      <t>8X4</t>
    </r>
  </si>
  <si>
    <r>
      <rPr>
        <sz val="11"/>
        <rFont val="Georgia"/>
        <family val="1"/>
      </rPr>
      <t>340 HP</t>
    </r>
  </si>
  <si>
    <r>
      <rPr>
        <sz val="11"/>
        <rFont val="Georgia"/>
        <family val="1"/>
      </rPr>
      <t>TRK</t>
    </r>
  </si>
  <si>
    <r>
      <rPr>
        <sz val="11"/>
        <rFont val="Georgia"/>
        <family val="1"/>
      </rPr>
      <t>BACK DUMPER CA3252P2K2 J5P</t>
    </r>
  </si>
  <si>
    <r>
      <rPr>
        <sz val="11"/>
        <rFont val="Georgia"/>
        <family val="1"/>
      </rPr>
      <t>6X4</t>
    </r>
  </si>
  <si>
    <r>
      <rPr>
        <sz val="11"/>
        <rFont val="Georgia"/>
        <family val="1"/>
      </rPr>
      <t>CA3310P6</t>
    </r>
  </si>
  <si>
    <r>
      <rPr>
        <sz val="11"/>
        <rFont val="Georgia"/>
        <family val="1"/>
      </rPr>
      <t>CA3120PK</t>
    </r>
  </si>
  <si>
    <r>
      <rPr>
        <sz val="11"/>
        <rFont val="Georgia"/>
        <family val="1"/>
      </rPr>
      <t>4X4</t>
    </r>
  </si>
  <si>
    <r>
      <rPr>
        <sz val="11"/>
        <rFont val="Georgia"/>
        <family val="1"/>
      </rPr>
      <t>CA6371</t>
    </r>
  </si>
  <si>
    <r>
      <rPr>
        <sz val="11"/>
        <rFont val="Georgia"/>
        <family val="1"/>
      </rPr>
      <t>CA1024V MINI</t>
    </r>
  </si>
  <si>
    <r>
      <rPr>
        <sz val="11"/>
        <rFont val="Georgia"/>
        <family val="1"/>
      </rPr>
      <t>S/CAB</t>
    </r>
  </si>
  <si>
    <r>
      <rPr>
        <sz val="11"/>
        <rFont val="Georgia"/>
        <family val="1"/>
      </rPr>
      <t>CA1021 DJA ADMIRAL</t>
    </r>
  </si>
  <si>
    <r>
      <rPr>
        <sz val="11"/>
        <rFont val="Georgia"/>
        <family val="1"/>
      </rPr>
      <t>DOUBLE  CAB</t>
    </r>
  </si>
  <si>
    <r>
      <rPr>
        <sz val="11"/>
        <rFont val="Georgia"/>
        <family val="1"/>
      </rPr>
      <t>BQ2023 GRAND TIGER</t>
    </r>
  </si>
  <si>
    <r>
      <rPr>
        <sz val="11"/>
        <rFont val="Georgia"/>
        <family val="1"/>
      </rPr>
      <t>CA1223</t>
    </r>
  </si>
  <si>
    <r>
      <rPr>
        <sz val="11"/>
        <rFont val="Georgia"/>
        <family val="1"/>
      </rPr>
      <t>CA3250</t>
    </r>
  </si>
  <si>
    <r>
      <rPr>
        <sz val="11"/>
        <rFont val="Georgia"/>
        <family val="1"/>
      </rPr>
      <t>TIPPER</t>
    </r>
  </si>
  <si>
    <r>
      <rPr>
        <sz val="11"/>
        <rFont val="Georgia"/>
        <family val="1"/>
      </rPr>
      <t>CA3320</t>
    </r>
  </si>
  <si>
    <r>
      <rPr>
        <sz val="11"/>
        <rFont val="Georgia"/>
        <family val="1"/>
      </rPr>
      <t>CA1041K2L2Y</t>
    </r>
  </si>
  <si>
    <r>
      <rPr>
        <sz val="11"/>
        <rFont val="Georgia"/>
        <family val="1"/>
      </rPr>
      <t>CA1075 CHASSIS ONLY</t>
    </r>
  </si>
  <si>
    <r>
      <rPr>
        <sz val="11"/>
        <rFont val="Georgia"/>
        <family val="1"/>
      </rPr>
      <t>CA1081 FAW FIGHTER CHASSIS ONLY</t>
    </r>
  </si>
  <si>
    <r>
      <rPr>
        <sz val="11"/>
        <rFont val="Georgia"/>
        <family val="1"/>
      </rPr>
      <t>CA1170</t>
    </r>
  </si>
  <si>
    <r>
      <rPr>
        <sz val="11"/>
        <rFont val="Georgia"/>
        <family val="1"/>
      </rPr>
      <t>6X2</t>
    </r>
  </si>
  <si>
    <r>
      <rPr>
        <sz val="11"/>
        <rFont val="Georgia"/>
        <family val="1"/>
      </rPr>
      <t>CA1320 CEMENT MIXER J5P</t>
    </r>
  </si>
  <si>
    <r>
      <rPr>
        <sz val="11"/>
        <rFont val="Georgia"/>
        <family val="1"/>
      </rPr>
      <t>MIXER</t>
    </r>
  </si>
  <si>
    <r>
      <rPr>
        <sz val="11"/>
        <rFont val="Georgia"/>
        <family val="1"/>
      </rPr>
      <t>CA1311</t>
    </r>
  </si>
  <si>
    <r>
      <rPr>
        <sz val="11"/>
        <rFont val="Georgia"/>
        <family val="1"/>
      </rPr>
      <t>8*4</t>
    </r>
  </si>
  <si>
    <r>
      <rPr>
        <sz val="11"/>
        <rFont val="Georgia"/>
        <family val="1"/>
      </rPr>
      <t>CA1083 TANKER</t>
    </r>
  </si>
  <si>
    <r>
      <rPr>
        <sz val="11"/>
        <rFont val="Georgia"/>
        <family val="1"/>
      </rPr>
      <t>280HP</t>
    </r>
  </si>
  <si>
    <r>
      <rPr>
        <sz val="11"/>
        <rFont val="Georgia"/>
        <family val="1"/>
      </rPr>
      <t>CA1074 FBU</t>
    </r>
  </si>
  <si>
    <r>
      <rPr>
        <sz val="11"/>
        <rFont val="Georgia"/>
        <family val="1"/>
      </rPr>
      <t>140HP</t>
    </r>
  </si>
  <si>
    <r>
      <rPr>
        <sz val="11"/>
        <rFont val="Georgia"/>
        <family val="1"/>
      </rPr>
      <t>BUS</t>
    </r>
  </si>
  <si>
    <r>
      <rPr>
        <sz val="11"/>
        <rFont val="Georgia"/>
        <family val="1"/>
      </rPr>
      <t>CA1074 CHASSIS CAB</t>
    </r>
  </si>
  <si>
    <r>
      <rPr>
        <sz val="11"/>
        <rFont val="Georgia"/>
        <family val="1"/>
      </rPr>
      <t>CA6680</t>
    </r>
  </si>
  <si>
    <r>
      <rPr>
        <sz val="11"/>
        <rFont val="Georgia"/>
        <family val="1"/>
      </rPr>
      <t>CA1044</t>
    </r>
  </si>
  <si>
    <r>
      <rPr>
        <sz val="11"/>
        <rFont val="Georgia"/>
        <family val="1"/>
      </rPr>
      <t>CA1081</t>
    </r>
  </si>
  <si>
    <r>
      <rPr>
        <sz val="11"/>
        <rFont val="Georgia"/>
        <family val="1"/>
      </rPr>
      <t>CA1083</t>
    </r>
  </si>
  <si>
    <r>
      <rPr>
        <sz val="11"/>
        <rFont val="Georgia"/>
        <family val="1"/>
      </rPr>
      <t>XQ6751TQ2 LUXURY BUS</t>
    </r>
  </si>
  <si>
    <r>
      <rPr>
        <sz val="11"/>
        <rFont val="Georgia"/>
        <family val="1"/>
      </rPr>
      <t>XQ6100MH2 LUXURY BUS</t>
    </r>
  </si>
  <si>
    <r>
      <rPr>
        <sz val="11"/>
        <rFont val="Georgia"/>
        <family val="1"/>
      </rPr>
      <t>CA6413 SIRUS</t>
    </r>
  </si>
  <si>
    <r>
      <rPr>
        <sz val="11"/>
        <rFont val="Georgia"/>
        <family val="1"/>
      </rPr>
      <t>SAL</t>
    </r>
  </si>
  <si>
    <r>
      <rPr>
        <sz val="11"/>
        <rFont val="Georgia"/>
        <family val="1"/>
      </rPr>
      <t>CA1223 LONG CHASSIS</t>
    </r>
  </si>
  <si>
    <r>
      <rPr>
        <sz val="11"/>
        <rFont val="Georgia"/>
        <family val="1"/>
      </rPr>
      <t>CA1128</t>
    </r>
  </si>
  <si>
    <r>
      <rPr>
        <sz val="11"/>
        <rFont val="Georgia"/>
        <family val="1"/>
      </rPr>
      <t>CA3223</t>
    </r>
  </si>
  <si>
    <r>
      <rPr>
        <sz val="11"/>
        <rFont val="Georgia"/>
        <family val="1"/>
      </rPr>
      <t>CA3075</t>
    </r>
  </si>
  <si>
    <r>
      <rPr>
        <sz val="11"/>
        <rFont val="Georgia"/>
        <family val="1"/>
      </rPr>
      <t>230HP</t>
    </r>
  </si>
  <si>
    <r>
      <rPr>
        <sz val="11"/>
        <rFont val="Georgia"/>
        <family val="1"/>
      </rPr>
      <t>CA3120</t>
    </r>
  </si>
  <si>
    <r>
      <rPr>
        <sz val="11"/>
        <rFont val="Georgia"/>
        <family val="1"/>
      </rPr>
      <t>130HP</t>
    </r>
  </si>
  <si>
    <r>
      <rPr>
        <sz val="11"/>
        <rFont val="Georgia"/>
        <family val="1"/>
      </rPr>
      <t>CA4258 J5</t>
    </r>
  </si>
  <si>
    <r>
      <rPr>
        <sz val="11"/>
        <rFont val="Georgia"/>
        <family val="1"/>
      </rPr>
      <t>290HP</t>
    </r>
  </si>
  <si>
    <r>
      <rPr>
        <sz val="11"/>
        <rFont val="Georgia"/>
        <family val="1"/>
      </rPr>
      <t>PM</t>
    </r>
  </si>
  <si>
    <r>
      <rPr>
        <sz val="11"/>
        <rFont val="Georgia"/>
        <family val="1"/>
      </rPr>
      <t>CA4250 J6</t>
    </r>
  </si>
  <si>
    <r>
      <rPr>
        <sz val="11"/>
        <rFont val="Georgia"/>
        <family val="1"/>
      </rPr>
      <t>420HP</t>
    </r>
  </si>
  <si>
    <r>
      <rPr>
        <sz val="11"/>
        <rFont val="Georgia"/>
        <family val="1"/>
      </rPr>
      <t>CA4322P2K15TIA82</t>
    </r>
  </si>
  <si>
    <r>
      <rPr>
        <sz val="11"/>
        <rFont val="Georgia"/>
        <family val="1"/>
      </rPr>
      <t>CA4161</t>
    </r>
  </si>
  <si>
    <r>
      <rPr>
        <sz val="11"/>
        <rFont val="Georgia"/>
        <family val="1"/>
      </rPr>
      <t>6*4</t>
    </r>
  </si>
  <si>
    <r>
      <rPr>
        <sz val="11"/>
        <rFont val="Georgia"/>
        <family val="1"/>
      </rPr>
      <t>380HP</t>
    </r>
  </si>
  <si>
    <r>
      <rPr>
        <sz val="11"/>
        <rFont val="Georgia"/>
        <family val="1"/>
      </rPr>
      <t>CA4080</t>
    </r>
  </si>
  <si>
    <r>
      <rPr>
        <sz val="11"/>
        <rFont val="Georgia"/>
        <family val="1"/>
      </rPr>
      <t>CA1120 SWB</t>
    </r>
  </si>
  <si>
    <r>
      <rPr>
        <sz val="11"/>
        <rFont val="Georgia"/>
        <family val="1"/>
      </rPr>
      <t>CA1120 LWB</t>
    </r>
  </si>
  <si>
    <r>
      <rPr>
        <sz val="11"/>
        <rFont val="Georgia"/>
        <family val="1"/>
      </rPr>
      <t>CA1150 LWB</t>
    </r>
  </si>
  <si>
    <r>
      <rPr>
        <sz val="11"/>
        <rFont val="Georgia"/>
        <family val="1"/>
      </rPr>
      <t>CA5150 CEMENT MIXER 3.5M</t>
    </r>
  </si>
  <si>
    <r>
      <rPr>
        <sz val="11"/>
        <rFont val="Georgia"/>
        <family val="1"/>
      </rPr>
      <t>CA5250 CEMENT MIXER 8 CBM</t>
    </r>
  </si>
  <si>
    <r>
      <rPr>
        <sz val="11"/>
        <rFont val="Georgia"/>
        <family val="1"/>
      </rPr>
      <t>CA 2160 FIGHTER</t>
    </r>
  </si>
  <si>
    <r>
      <rPr>
        <sz val="11"/>
        <rFont val="Georgia"/>
        <family val="1"/>
      </rPr>
      <t>FERRARI</t>
    </r>
  </si>
  <si>
    <r>
      <rPr>
        <sz val="11"/>
        <rFont val="Georgia"/>
        <family val="1"/>
      </rPr>
      <t>FERRARI 488 GTB BASE GRADE</t>
    </r>
  </si>
  <si>
    <r>
      <rPr>
        <sz val="11"/>
        <rFont val="Georgia"/>
        <family val="1"/>
      </rPr>
      <t>ZFF79AMJ00023</t>
    </r>
  </si>
  <si>
    <r>
      <rPr>
        <sz val="11"/>
        <rFont val="Georgia"/>
        <family val="1"/>
      </rPr>
      <t>2wd</t>
    </r>
  </si>
  <si>
    <r>
      <rPr>
        <sz val="11"/>
        <rFont val="Georgia"/>
        <family val="1"/>
      </rPr>
      <t>FERRARI 488 SPIDER BASE GRADE</t>
    </r>
  </si>
  <si>
    <r>
      <rPr>
        <sz val="11"/>
        <rFont val="Georgia"/>
        <family val="1"/>
      </rPr>
      <t>ZFF80AMJ00023</t>
    </r>
  </si>
  <si>
    <r>
      <rPr>
        <sz val="11"/>
        <rFont val="Georgia"/>
        <family val="1"/>
      </rPr>
      <t>FERRARI 488 SPIDER</t>
    </r>
  </si>
  <si>
    <r>
      <rPr>
        <sz val="11"/>
        <rFont val="Georgia"/>
        <family val="1"/>
      </rPr>
      <t>ZFF80AMC00023</t>
    </r>
  </si>
  <si>
    <r>
      <rPr>
        <sz val="11"/>
        <rFont val="Georgia"/>
        <family val="1"/>
      </rPr>
      <t>FERRARI 812 SUPERFAST BASE GRADE</t>
    </r>
  </si>
  <si>
    <r>
      <rPr>
        <sz val="11"/>
        <rFont val="Georgia"/>
        <family val="1"/>
      </rPr>
      <t>ZFF83CMJ00023</t>
    </r>
  </si>
  <si>
    <r>
      <rPr>
        <sz val="11"/>
        <rFont val="Georgia"/>
        <family val="1"/>
      </rPr>
      <t>FERRARI GTC4 LUSSO BASE GRADE</t>
    </r>
  </si>
  <si>
    <r>
      <rPr>
        <sz val="11"/>
        <rFont val="Georgia"/>
        <family val="1"/>
      </rPr>
      <t>ABA-F151BME</t>
    </r>
  </si>
  <si>
    <r>
      <rPr>
        <sz val="11"/>
        <rFont val="Georgia"/>
        <family val="1"/>
      </rPr>
      <t>FERRARI GTC4 LUSSO</t>
    </r>
  </si>
  <si>
    <r>
      <rPr>
        <sz val="11"/>
        <rFont val="Georgia"/>
        <family val="1"/>
      </rPr>
      <t>FERRARI 488PISTA BASE GRADE</t>
    </r>
  </si>
  <si>
    <r>
      <rPr>
        <sz val="11"/>
        <rFont val="Georgia"/>
        <family val="1"/>
      </rPr>
      <t>ZFF90HMJ00024</t>
    </r>
  </si>
  <si>
    <r>
      <rPr>
        <sz val="11"/>
        <rFont val="Georgia"/>
        <family val="1"/>
      </rPr>
      <t>FERRARI 488PISTA SPIDER BASE GRADE</t>
    </r>
  </si>
  <si>
    <r>
      <rPr>
        <sz val="11"/>
        <rFont val="Georgia"/>
        <family val="1"/>
      </rPr>
      <t>ZFF91HMJ00024</t>
    </r>
  </si>
  <si>
    <r>
      <rPr>
        <sz val="11"/>
        <rFont val="Georgia"/>
        <family val="1"/>
      </rPr>
      <t>ABA-F142B</t>
    </r>
  </si>
  <si>
    <r>
      <rPr>
        <sz val="11"/>
        <rFont val="Georgia"/>
        <family val="1"/>
      </rPr>
      <t>ZFF83CMJ00024</t>
    </r>
  </si>
  <si>
    <r>
      <rPr>
        <sz val="11"/>
        <rFont val="Georgia"/>
        <family val="1"/>
      </rPr>
      <t>FERRARI 812 SUPERFAST</t>
    </r>
  </si>
  <si>
    <r>
      <rPr>
        <sz val="11"/>
        <rFont val="Georgia"/>
        <family val="1"/>
      </rPr>
      <t>FERRARI PORTOFINO BASE GRADE</t>
    </r>
  </si>
  <si>
    <r>
      <rPr>
        <sz val="11"/>
        <rFont val="Georgia"/>
        <family val="1"/>
      </rPr>
      <t>ZFF89FPC00024</t>
    </r>
  </si>
  <si>
    <r>
      <rPr>
        <sz val="11"/>
        <rFont val="Georgia"/>
        <family val="1"/>
      </rPr>
      <t>FERRARI GTC4 LUSSO T</t>
    </r>
  </si>
  <si>
    <r>
      <rPr>
        <sz val="11"/>
        <rFont val="Georgia"/>
        <family val="1"/>
      </rPr>
      <t>ABA-F151CME</t>
    </r>
  </si>
  <si>
    <r>
      <rPr>
        <sz val="11"/>
        <rFont val="Georgia"/>
        <family val="1"/>
      </rPr>
      <t>FERRARI PORTOFINO</t>
    </r>
  </si>
  <si>
    <r>
      <rPr>
        <sz val="11"/>
        <rFont val="Georgia"/>
        <family val="1"/>
      </rPr>
      <t>ABA-F164BCA</t>
    </r>
  </si>
  <si>
    <r>
      <rPr>
        <sz val="11"/>
        <rFont val="Georgia"/>
        <family val="1"/>
      </rPr>
      <t>FERRARI F8 SPIDER</t>
    </r>
  </si>
  <si>
    <r>
      <rPr>
        <sz val="11"/>
        <rFont val="Georgia"/>
        <family val="1"/>
      </rPr>
      <t>7BA-F142CE</t>
    </r>
  </si>
  <si>
    <r>
      <rPr>
        <sz val="11"/>
        <rFont val="Georgia"/>
        <family val="1"/>
      </rPr>
      <t>FERRARI F8 TRIBUTO BASE GRADE</t>
    </r>
  </si>
  <si>
    <r>
      <rPr>
        <sz val="11"/>
        <rFont val="Georgia"/>
        <family val="1"/>
      </rPr>
      <t>F142CE</t>
    </r>
  </si>
  <si>
    <r>
      <rPr>
        <sz val="11"/>
        <rFont val="Georgia"/>
        <family val="1"/>
      </rPr>
      <t>FERRARI SF90 STRADALE BASE GRADE</t>
    </r>
  </si>
  <si>
    <r>
      <rPr>
        <sz val="11"/>
        <rFont val="Georgia"/>
        <family val="1"/>
      </rPr>
      <t>7LA-173H</t>
    </r>
  </si>
  <si>
    <r>
      <rPr>
        <sz val="11"/>
        <rFont val="Georgia"/>
        <family val="1"/>
      </rPr>
      <t>FERRARI F8 TRIBUTO</t>
    </r>
  </si>
  <si>
    <r>
      <rPr>
        <sz val="11"/>
        <rFont val="Georgia"/>
        <family val="1"/>
      </rPr>
      <t>FERRARI PORTOFINO M BASE GRADE</t>
    </r>
  </si>
  <si>
    <r>
      <rPr>
        <sz val="11"/>
        <rFont val="Georgia"/>
        <family val="1"/>
      </rPr>
      <t>7BA-F164BCA</t>
    </r>
  </si>
  <si>
    <r>
      <rPr>
        <sz val="11"/>
        <rFont val="Georgia"/>
        <family val="1"/>
      </rPr>
      <t>FERRARI PORTOFINO M</t>
    </r>
  </si>
  <si>
    <r>
      <rPr>
        <sz val="11"/>
        <rFont val="Georgia"/>
        <family val="1"/>
      </rPr>
      <t>FERRARI ROMA</t>
    </r>
  </si>
  <si>
    <r>
      <rPr>
        <sz val="11"/>
        <rFont val="Georgia"/>
        <family val="1"/>
      </rPr>
      <t>7BA-F164BAA</t>
    </r>
  </si>
  <si>
    <r>
      <rPr>
        <sz val="11"/>
        <rFont val="Georgia"/>
        <family val="1"/>
      </rPr>
      <t>FERRARI SF90 SPIDER</t>
    </r>
  </si>
  <si>
    <r>
      <rPr>
        <sz val="11"/>
        <rFont val="Georgia"/>
        <family val="1"/>
      </rPr>
      <t>FERRARI SF90 STRADALE</t>
    </r>
  </si>
  <si>
    <r>
      <rPr>
        <sz val="11"/>
        <rFont val="Georgia"/>
        <family val="1"/>
      </rPr>
      <t>FERRARI F8 SPIDER BASE GRADE</t>
    </r>
  </si>
  <si>
    <r>
      <rPr>
        <sz val="11"/>
        <rFont val="Georgia"/>
        <family val="1"/>
      </rPr>
      <t>FERRARI ROMA BASE GRADE</t>
    </r>
  </si>
  <si>
    <r>
      <rPr>
        <sz val="11"/>
        <rFont val="Georgia"/>
        <family val="1"/>
      </rPr>
      <t>FERRARI 296GTB BASE GRADE</t>
    </r>
  </si>
  <si>
    <r>
      <rPr>
        <sz val="11"/>
        <rFont val="Georgia"/>
        <family val="1"/>
      </rPr>
      <t>ZFF99SMJ00030</t>
    </r>
  </si>
  <si>
    <r>
      <rPr>
        <sz val="11"/>
        <rFont val="Georgia"/>
        <family val="1"/>
      </rPr>
      <t>PLUG-IN-HYBRID</t>
    </r>
  </si>
  <si>
    <r>
      <rPr>
        <sz val="11"/>
        <rFont val="Georgia"/>
        <family val="1"/>
      </rPr>
      <t>FERRARI 296GTB</t>
    </r>
  </si>
  <si>
    <r>
      <rPr>
        <sz val="11"/>
        <rFont val="Georgia"/>
        <family val="1"/>
      </rPr>
      <t>ZFF99SMJ00031</t>
    </r>
  </si>
  <si>
    <r>
      <rPr>
        <sz val="11"/>
        <rFont val="Georgia"/>
        <family val="1"/>
      </rPr>
      <t>FERRARI 296GTS BASE GRADE</t>
    </r>
  </si>
  <si>
    <r>
      <rPr>
        <sz val="11"/>
        <rFont val="Georgia"/>
        <family val="1"/>
      </rPr>
      <t>ZFF01SMJ00030</t>
    </r>
  </si>
  <si>
    <r>
      <rPr>
        <sz val="11"/>
        <rFont val="Georgia"/>
        <family val="1"/>
      </rPr>
      <t>FERRARI 296GTS</t>
    </r>
  </si>
  <si>
    <r>
      <rPr>
        <sz val="11"/>
        <rFont val="Georgia"/>
        <family val="1"/>
      </rPr>
      <t>FERRARI SF90 SPIDER BASE GRADE</t>
    </r>
  </si>
  <si>
    <r>
      <rPr>
        <sz val="11"/>
        <rFont val="Georgia"/>
        <family val="1"/>
      </rPr>
      <t>296GTB</t>
    </r>
  </si>
  <si>
    <r>
      <rPr>
        <sz val="11"/>
        <rFont val="Georgia"/>
        <family val="1"/>
      </rPr>
      <t>296GTB BASE GRADE</t>
    </r>
  </si>
  <si>
    <r>
      <rPr>
        <sz val="11"/>
        <rFont val="Georgia"/>
        <family val="1"/>
      </rPr>
      <t>296GTS</t>
    </r>
  </si>
  <si>
    <r>
      <rPr>
        <sz val="11"/>
        <rFont val="Georgia"/>
        <family val="1"/>
      </rPr>
      <t>296GTS BASE GRADE</t>
    </r>
  </si>
  <si>
    <r>
      <rPr>
        <sz val="11"/>
        <rFont val="Georgia"/>
        <family val="1"/>
      </rPr>
      <t>488 SPIDER</t>
    </r>
  </si>
  <si>
    <r>
      <rPr>
        <sz val="11"/>
        <rFont val="Georgia"/>
        <family val="1"/>
      </rPr>
      <t>488 SPIDER BASE GRADE</t>
    </r>
  </si>
  <si>
    <r>
      <rPr>
        <sz val="11"/>
        <rFont val="Georgia"/>
        <family val="1"/>
      </rPr>
      <t>488PISTA BASE GRADE</t>
    </r>
  </si>
  <si>
    <r>
      <rPr>
        <sz val="11"/>
        <rFont val="Georgia"/>
        <family val="1"/>
      </rPr>
      <t>488PISTA SPIDER BASE GRADE</t>
    </r>
  </si>
  <si>
    <r>
      <rPr>
        <sz val="11"/>
        <rFont val="Georgia"/>
        <family val="1"/>
      </rPr>
      <t>812 SUPERFAST</t>
    </r>
  </si>
  <si>
    <r>
      <rPr>
        <sz val="11"/>
        <rFont val="Georgia"/>
        <family val="1"/>
      </rPr>
      <t>812 SUPERFAST BASE GRADE</t>
    </r>
  </si>
  <si>
    <r>
      <rPr>
        <sz val="11"/>
        <rFont val="Georgia"/>
        <family val="1"/>
      </rPr>
      <t>F8 SPIDER</t>
    </r>
  </si>
  <si>
    <r>
      <rPr>
        <sz val="11"/>
        <rFont val="Georgia"/>
        <family val="1"/>
      </rPr>
      <t>F8 SPIDER BASE GRADE</t>
    </r>
  </si>
  <si>
    <r>
      <rPr>
        <sz val="11"/>
        <rFont val="Georgia"/>
        <family val="1"/>
      </rPr>
      <t>F8 TRIBUTO</t>
    </r>
  </si>
  <si>
    <r>
      <rPr>
        <sz val="11"/>
        <rFont val="Georgia"/>
        <family val="1"/>
      </rPr>
      <t>F8 TRIBUTO BASE GRADE</t>
    </r>
  </si>
  <si>
    <r>
      <rPr>
        <sz val="11"/>
        <rFont val="Georgia"/>
        <family val="1"/>
      </rPr>
      <t>GTC4 LUSSO</t>
    </r>
  </si>
  <si>
    <r>
      <rPr>
        <sz val="11"/>
        <rFont val="Georgia"/>
        <family val="1"/>
      </rPr>
      <t>GTC4 LUSSO BASE GRADE</t>
    </r>
  </si>
  <si>
    <r>
      <rPr>
        <sz val="11"/>
        <rFont val="Georgia"/>
        <family val="1"/>
      </rPr>
      <t>GTC4 LUSSO T</t>
    </r>
  </si>
  <si>
    <r>
      <rPr>
        <sz val="11"/>
        <rFont val="Georgia"/>
        <family val="1"/>
      </rPr>
      <t>PORTOFINO</t>
    </r>
  </si>
  <si>
    <r>
      <rPr>
        <sz val="11"/>
        <rFont val="Georgia"/>
        <family val="1"/>
      </rPr>
      <t>PORTOFINO BASE GRADE</t>
    </r>
  </si>
  <si>
    <r>
      <rPr>
        <sz val="11"/>
        <rFont val="Georgia"/>
        <family val="1"/>
      </rPr>
      <t>PORTOFINO M</t>
    </r>
  </si>
  <si>
    <r>
      <rPr>
        <sz val="11"/>
        <rFont val="Georgia"/>
        <family val="1"/>
      </rPr>
      <t>PORTOFINO M BASE GRADE</t>
    </r>
  </si>
  <si>
    <r>
      <rPr>
        <sz val="11"/>
        <rFont val="Georgia"/>
        <family val="1"/>
      </rPr>
      <t>ROMA</t>
    </r>
  </si>
  <si>
    <r>
      <rPr>
        <sz val="11"/>
        <rFont val="Georgia"/>
        <family val="1"/>
      </rPr>
      <t>ROMA BASE GRADE</t>
    </r>
  </si>
  <si>
    <r>
      <rPr>
        <sz val="11"/>
        <rFont val="Georgia"/>
        <family val="1"/>
      </rPr>
      <t>SF90 SPIDER</t>
    </r>
  </si>
  <si>
    <r>
      <rPr>
        <sz val="11"/>
        <rFont val="Georgia"/>
        <family val="1"/>
      </rPr>
      <t>SF90 SPIDER BASE GRADE</t>
    </r>
  </si>
  <si>
    <r>
      <rPr>
        <sz val="11"/>
        <rFont val="Georgia"/>
        <family val="1"/>
      </rPr>
      <t>SF90 STRADALE</t>
    </r>
  </si>
  <si>
    <r>
      <rPr>
        <sz val="11"/>
        <rFont val="Georgia"/>
        <family val="1"/>
      </rPr>
      <t>SF90 STRADALE BASE GRADE</t>
    </r>
  </si>
  <si>
    <r>
      <rPr>
        <sz val="11"/>
        <rFont val="Georgia"/>
        <family val="1"/>
      </rPr>
      <t>FIAT</t>
    </r>
  </si>
  <si>
    <r>
      <rPr>
        <sz val="11"/>
        <rFont val="Georgia"/>
        <family val="1"/>
      </rPr>
      <t>126 BASE GRADE</t>
    </r>
  </si>
  <si>
    <r>
      <rPr>
        <sz val="11"/>
        <rFont val="Georgia"/>
        <family val="1"/>
      </rPr>
      <t>FIAT126A606</t>
    </r>
  </si>
  <si>
    <r>
      <rPr>
        <sz val="11"/>
        <rFont val="Georgia"/>
        <family val="1"/>
      </rPr>
      <t>500 1.2 POP</t>
    </r>
  </si>
  <si>
    <r>
      <rPr>
        <sz val="11"/>
        <rFont val="Georgia"/>
        <family val="1"/>
      </rPr>
      <t>ZFA3120000JD8</t>
    </r>
  </si>
  <si>
    <r>
      <rPr>
        <sz val="11"/>
        <rFont val="Georgia"/>
        <family val="1"/>
      </rPr>
      <t>500 MIMOSA</t>
    </r>
  </si>
  <si>
    <r>
      <rPr>
        <sz val="11"/>
        <rFont val="Georgia"/>
        <family val="1"/>
      </rPr>
      <t>ABA-31212</t>
    </r>
  </si>
  <si>
    <r>
      <rPr>
        <sz val="11"/>
        <rFont val="Georgia"/>
        <family val="1"/>
      </rPr>
      <t>500 TWIN AIR CULT</t>
    </r>
  </si>
  <si>
    <r>
      <rPr>
        <sz val="11"/>
        <rFont val="Georgia"/>
        <family val="1"/>
      </rPr>
      <t>ZFABF1B86NJG1</t>
    </r>
  </si>
  <si>
    <r>
      <rPr>
        <sz val="11"/>
        <rFont val="Georgia"/>
        <family val="1"/>
      </rPr>
      <t>500 TWIN AIR LOUNGE</t>
    </r>
  </si>
  <si>
    <r>
      <rPr>
        <sz val="11"/>
        <rFont val="Georgia"/>
        <family val="1"/>
      </rPr>
      <t>ABA-31209</t>
    </r>
  </si>
  <si>
    <r>
      <rPr>
        <sz val="11"/>
        <rFont val="Georgia"/>
        <family val="1"/>
      </rPr>
      <t>500 TWIN AIR POP</t>
    </r>
  </si>
  <si>
    <r>
      <rPr>
        <sz val="11"/>
        <rFont val="Georgia"/>
        <family val="1"/>
      </rPr>
      <t>500C 1.2 DOLCEVITA</t>
    </r>
  </si>
  <si>
    <r>
      <rPr>
        <sz val="11"/>
        <rFont val="Georgia"/>
        <family val="1"/>
      </rPr>
      <t>3BA-31212</t>
    </r>
  </si>
  <si>
    <r>
      <rPr>
        <sz val="11"/>
        <rFont val="Georgia"/>
        <family val="1"/>
      </rPr>
      <t>500C 120TH TUXEDO</t>
    </r>
  </si>
  <si>
    <r>
      <rPr>
        <sz val="11"/>
        <rFont val="Georgia"/>
        <family val="1"/>
      </rPr>
      <t>500C TWIN AIR DOLCEVITA</t>
    </r>
  </si>
  <si>
    <r>
      <rPr>
        <sz val="11"/>
        <rFont val="Georgia"/>
        <family val="1"/>
      </rPr>
      <t>ZFABF1C85NJF9</t>
    </r>
  </si>
  <si>
    <r>
      <rPr>
        <sz val="11"/>
        <rFont val="Georgia"/>
        <family val="1"/>
      </rPr>
      <t>ZFABF1C88NJG9</t>
    </r>
  </si>
  <si>
    <r>
      <rPr>
        <sz val="11"/>
        <rFont val="Georgia"/>
        <family val="1"/>
      </rPr>
      <t>500E ICON</t>
    </r>
  </si>
  <si>
    <r>
      <rPr>
        <sz val="11"/>
        <rFont val="Georgia"/>
        <family val="1"/>
      </rPr>
      <t>ZFAEFAA43PX13</t>
    </r>
  </si>
  <si>
    <r>
      <rPr>
        <sz val="11"/>
        <rFont val="Georgia"/>
        <family val="1"/>
      </rPr>
      <t>500E OPEN</t>
    </r>
  </si>
  <si>
    <r>
      <rPr>
        <sz val="11"/>
        <rFont val="Georgia"/>
        <family val="1"/>
      </rPr>
      <t>ZFAEFAJ49NX09</t>
    </r>
  </si>
  <si>
    <r>
      <rPr>
        <sz val="11"/>
        <rFont val="Georgia"/>
        <family val="1"/>
      </rPr>
      <t>500E POP</t>
    </r>
  </si>
  <si>
    <r>
      <rPr>
        <sz val="11"/>
        <rFont val="Georgia"/>
        <family val="1"/>
      </rPr>
      <t>ZFAEFAC48NX07</t>
    </r>
  </si>
  <si>
    <r>
      <rPr>
        <sz val="11"/>
        <rFont val="Georgia"/>
        <family val="1"/>
      </rPr>
      <t>500X BASE GRADE</t>
    </r>
  </si>
  <si>
    <r>
      <rPr>
        <sz val="11"/>
        <rFont val="Georgia"/>
        <family val="1"/>
      </rPr>
      <t>ZFANF2D18MP95</t>
    </r>
  </si>
  <si>
    <r>
      <rPr>
        <sz val="11"/>
        <rFont val="Georgia"/>
        <family val="1"/>
      </rPr>
      <t>ZFANF2D16MP94</t>
    </r>
  </si>
  <si>
    <r>
      <rPr>
        <sz val="11"/>
        <rFont val="Georgia"/>
        <family val="1"/>
      </rPr>
      <t>500X CLUB</t>
    </r>
  </si>
  <si>
    <r>
      <rPr>
        <sz val="11"/>
        <rFont val="Georgia"/>
        <family val="1"/>
      </rPr>
      <t>3BA-33413PM</t>
    </r>
  </si>
  <si>
    <r>
      <rPr>
        <sz val="11"/>
        <rFont val="Georgia"/>
        <family val="1"/>
      </rPr>
      <t>500X CROSS</t>
    </r>
  </si>
  <si>
    <r>
      <rPr>
        <sz val="11"/>
        <rFont val="Georgia"/>
        <family val="1"/>
      </rPr>
      <t>ZFA3340000P85</t>
    </r>
  </si>
  <si>
    <r>
      <rPr>
        <sz val="11"/>
        <rFont val="Georgia"/>
        <family val="1"/>
      </rPr>
      <t>ZFA3340000P84</t>
    </r>
  </si>
  <si>
    <r>
      <rPr>
        <sz val="11"/>
        <rFont val="Georgia"/>
        <family val="1"/>
      </rPr>
      <t>ZFANF2D13NP97</t>
    </r>
  </si>
  <si>
    <r>
      <rPr>
        <sz val="11"/>
        <rFont val="Georgia"/>
        <family val="1"/>
      </rPr>
      <t>500X INDIGO</t>
    </r>
  </si>
  <si>
    <r>
      <rPr>
        <sz val="11"/>
        <rFont val="Georgia"/>
        <family val="1"/>
      </rPr>
      <t>VYFECYHZ3PJ78</t>
    </r>
  </si>
  <si>
    <r>
      <rPr>
        <sz val="11"/>
        <rFont val="Georgia"/>
        <family val="1"/>
      </rPr>
      <t>500X INFINITO</t>
    </r>
  </si>
  <si>
    <r>
      <rPr>
        <sz val="11"/>
        <rFont val="Georgia"/>
        <family val="1"/>
      </rPr>
      <t>CINQUECENTO</t>
    </r>
  </si>
  <si>
    <r>
      <rPr>
        <sz val="11"/>
        <rFont val="Georgia"/>
        <family val="1"/>
      </rPr>
      <t>00FIAT110F121</t>
    </r>
  </si>
  <si>
    <r>
      <rPr>
        <sz val="11"/>
        <rFont val="Georgia"/>
        <family val="1"/>
      </rPr>
      <t>CINQUECENTO BASE GRADE</t>
    </r>
  </si>
  <si>
    <r>
      <rPr>
        <sz val="11"/>
        <rFont val="Georgia"/>
        <family val="1"/>
      </rPr>
      <t>FIAT110F256</t>
    </r>
  </si>
  <si>
    <r>
      <rPr>
        <sz val="11"/>
        <rFont val="Georgia"/>
        <family val="1"/>
      </rPr>
      <t>FIAT110F516</t>
    </r>
  </si>
  <si>
    <r>
      <rPr>
        <sz val="11"/>
        <rFont val="Georgia"/>
        <family val="1"/>
      </rPr>
      <t>DOBLO BASE GRADE</t>
    </r>
  </si>
  <si>
    <r>
      <rPr>
        <sz val="11"/>
        <rFont val="Georgia"/>
        <family val="1"/>
      </rPr>
      <t>VYFEBYHZ7SJ56</t>
    </r>
  </si>
  <si>
    <r>
      <rPr>
        <sz val="11"/>
        <rFont val="Georgia"/>
        <family val="1"/>
      </rPr>
      <t>DOBLO MAXI</t>
    </r>
  </si>
  <si>
    <r>
      <rPr>
        <sz val="11"/>
        <rFont val="Georgia"/>
        <family val="1"/>
      </rPr>
      <t>VYFECYHZ3RJ53</t>
    </r>
  </si>
  <si>
    <r>
      <rPr>
        <sz val="11"/>
        <rFont val="Georgia"/>
        <family val="1"/>
      </rPr>
      <t>DUCATO</t>
    </r>
  </si>
  <si>
    <r>
      <rPr>
        <sz val="11"/>
        <rFont val="Georgia"/>
        <family val="1"/>
      </rPr>
      <t>ZFA25000002W9</t>
    </r>
  </si>
  <si>
    <r>
      <rPr>
        <sz val="11"/>
        <rFont val="Georgia"/>
        <family val="1"/>
      </rPr>
      <t>ZFA25000002H9</t>
    </r>
  </si>
  <si>
    <r>
      <rPr>
        <sz val="11"/>
        <rFont val="Georgia"/>
        <family val="1"/>
      </rPr>
      <t>DUCATO L2H2</t>
    </r>
  </si>
  <si>
    <r>
      <rPr>
        <sz val="11"/>
        <rFont val="Georgia"/>
        <family val="1"/>
      </rPr>
      <t>ZAF25000002W5</t>
    </r>
  </si>
  <si>
    <r>
      <rPr>
        <sz val="11"/>
        <rFont val="Georgia"/>
        <family val="1"/>
      </rPr>
      <t>FIAT FIAT OTHER</t>
    </r>
  </si>
  <si>
    <r>
      <rPr>
        <sz val="11"/>
        <rFont val="Georgia"/>
        <family val="1"/>
      </rPr>
      <t>ZFA25000002Y4</t>
    </r>
  </si>
  <si>
    <r>
      <rPr>
        <sz val="11"/>
        <rFont val="Georgia"/>
        <family val="1"/>
      </rPr>
      <t>PANDA 30</t>
    </r>
  </si>
  <si>
    <r>
      <rPr>
        <sz val="11"/>
        <rFont val="Georgia"/>
        <family val="1"/>
      </rPr>
      <t>ZFA141A000573</t>
    </r>
  </si>
  <si>
    <r>
      <rPr>
        <sz val="11"/>
        <rFont val="Georgia"/>
        <family val="1"/>
      </rPr>
      <t>PANDA 4X4 FORESTA</t>
    </r>
  </si>
  <si>
    <r>
      <rPr>
        <sz val="11"/>
        <rFont val="Georgia"/>
        <family val="1"/>
      </rPr>
      <t>ABA-13909</t>
    </r>
  </si>
  <si>
    <r>
      <rPr>
        <sz val="11"/>
        <rFont val="Georgia"/>
        <family val="1"/>
      </rPr>
      <t>PANDA 4X4 SUCCOSA</t>
    </r>
  </si>
  <si>
    <r>
      <rPr>
        <sz val="11"/>
        <rFont val="Georgia"/>
        <family val="1"/>
      </rPr>
      <t>ZFA31200003C5</t>
    </r>
  </si>
  <si>
    <r>
      <rPr>
        <sz val="11"/>
        <rFont val="Georgia"/>
        <family val="1"/>
      </rPr>
      <t>PANDA COMFORT</t>
    </r>
  </si>
  <si>
    <r>
      <rPr>
        <sz val="11"/>
        <rFont val="Georgia"/>
        <family val="1"/>
      </rPr>
      <t>PANDA CROSS 4X4</t>
    </r>
  </si>
  <si>
    <r>
      <rPr>
        <sz val="11"/>
        <rFont val="Georgia"/>
        <family val="1"/>
      </rPr>
      <t>ZFABF6G84M3G1</t>
    </r>
  </si>
  <si>
    <r>
      <rPr>
        <sz val="11"/>
        <rFont val="Georgia"/>
        <family val="1"/>
      </rPr>
      <t>PANDA EASY</t>
    </r>
  </si>
  <si>
    <r>
      <rPr>
        <sz val="11"/>
        <rFont val="Georgia"/>
        <family val="1"/>
      </rPr>
      <t>ZFA31200003A3</t>
    </r>
  </si>
  <si>
    <r>
      <rPr>
        <sz val="11"/>
        <rFont val="Georgia"/>
        <family val="1"/>
      </rPr>
      <t>PANDA STREET 4X4</t>
    </r>
  </si>
  <si>
    <r>
      <rPr>
        <sz val="11"/>
        <rFont val="Georgia"/>
        <family val="1"/>
      </rPr>
      <t>7BA-13909</t>
    </r>
  </si>
  <si>
    <r>
      <rPr>
        <sz val="11"/>
        <rFont val="Georgia"/>
        <family val="1"/>
      </rPr>
      <t>SCUDO LWB</t>
    </r>
  </si>
  <si>
    <r>
      <rPr>
        <sz val="11"/>
        <rFont val="Georgia"/>
        <family val="1"/>
      </rPr>
      <t>DOBLO</t>
    </r>
  </si>
  <si>
    <r>
      <rPr>
        <sz val="11"/>
        <rFont val="Georgia"/>
        <family val="1"/>
      </rPr>
      <t>SWB (LOW)</t>
    </r>
  </si>
  <si>
    <r>
      <rPr>
        <sz val="11"/>
        <rFont val="Georgia"/>
        <family val="1"/>
      </rPr>
      <t>AUT</t>
    </r>
  </si>
  <si>
    <r>
      <rPr>
        <sz val="11"/>
        <rFont val="Georgia"/>
        <family val="1"/>
      </rPr>
      <t>MAXI LWB (LOW)</t>
    </r>
  </si>
  <si>
    <r>
      <rPr>
        <sz val="11"/>
        <rFont val="Georgia"/>
        <family val="1"/>
      </rPr>
      <t>DOLCEVITA</t>
    </r>
  </si>
  <si>
    <r>
      <rPr>
        <sz val="11"/>
        <rFont val="Georgia"/>
        <family val="1"/>
      </rPr>
      <t>500C</t>
    </r>
  </si>
  <si>
    <r>
      <rPr>
        <sz val="11"/>
        <rFont val="Georgia"/>
        <family val="1"/>
      </rPr>
      <t>POP</t>
    </r>
  </si>
  <si>
    <r>
      <rPr>
        <sz val="11"/>
        <rFont val="Georgia"/>
        <family val="1"/>
      </rPr>
      <t>500X</t>
    </r>
  </si>
  <si>
    <r>
      <rPr>
        <sz val="11"/>
        <rFont val="Georgia"/>
        <family val="1"/>
      </rPr>
      <t>POP STAR</t>
    </r>
  </si>
  <si>
    <r>
      <rPr>
        <sz val="11"/>
        <rFont val="Georgia"/>
        <family val="1"/>
      </rPr>
      <t>LWB\MR</t>
    </r>
  </si>
  <si>
    <r>
      <rPr>
        <sz val="11"/>
        <rFont val="Georgia"/>
        <family val="1"/>
      </rPr>
      <t>MWB\MR</t>
    </r>
  </si>
  <si>
    <r>
      <rPr>
        <sz val="11"/>
        <rFont val="Georgia"/>
        <family val="1"/>
      </rPr>
      <t>XLWB\MR</t>
    </r>
  </si>
  <si>
    <r>
      <rPr>
        <sz val="11"/>
        <rFont val="Georgia"/>
        <family val="1"/>
      </rPr>
      <t>LA PRIMA</t>
    </r>
  </si>
  <si>
    <r>
      <rPr>
        <sz val="11"/>
        <rFont val="Georgia"/>
        <family val="1"/>
      </rPr>
      <t>500E</t>
    </r>
  </si>
  <si>
    <r>
      <rPr>
        <sz val="11"/>
        <rFont val="Georgia"/>
        <family val="1"/>
      </rPr>
      <t>FORD</t>
    </r>
  </si>
  <si>
    <r>
      <rPr>
        <sz val="11"/>
        <rFont val="Georgia"/>
        <family val="1"/>
      </rPr>
      <t>ECOSPORT</t>
    </r>
  </si>
  <si>
    <r>
      <rPr>
        <sz val="11"/>
        <rFont val="Georgia"/>
        <family val="1"/>
      </rPr>
      <t>TITANIUM</t>
    </r>
  </si>
  <si>
    <r>
      <rPr>
        <sz val="11"/>
        <rFont val="Georgia"/>
        <family val="1"/>
      </rPr>
      <t>TREND</t>
    </r>
  </si>
  <si>
    <r>
      <rPr>
        <sz val="11"/>
        <rFont val="Georgia"/>
        <family val="1"/>
      </rPr>
      <t>PUMA</t>
    </r>
  </si>
  <si>
    <r>
      <rPr>
        <sz val="11"/>
        <rFont val="Georgia"/>
        <family val="1"/>
      </rPr>
      <t>BASE</t>
    </r>
  </si>
  <si>
    <r>
      <rPr>
        <sz val="11"/>
        <rFont val="Georgia"/>
        <family val="1"/>
      </rPr>
      <t>ST-LINE</t>
    </r>
  </si>
  <si>
    <r>
      <rPr>
        <sz val="11"/>
        <rFont val="Georgia"/>
        <family val="1"/>
      </rPr>
      <t>ST-LINE V</t>
    </r>
  </si>
  <si>
    <r>
      <rPr>
        <sz val="11"/>
        <rFont val="Georgia"/>
        <family val="1"/>
      </rPr>
      <t>AMBIENTE</t>
    </r>
  </si>
  <si>
    <r>
      <rPr>
        <sz val="11"/>
        <rFont val="Georgia"/>
        <family val="1"/>
      </rPr>
      <t>FIESTA</t>
    </r>
  </si>
  <si>
    <r>
      <rPr>
        <sz val="11"/>
        <rFont val="Georgia"/>
        <family val="1"/>
      </rPr>
      <t>ST</t>
    </r>
  </si>
  <si>
    <r>
      <rPr>
        <sz val="11"/>
        <rFont val="Georgia"/>
        <family val="1"/>
      </rPr>
      <t>ENDURA</t>
    </r>
  </si>
  <si>
    <r>
      <rPr>
        <sz val="11"/>
        <rFont val="Georgia"/>
        <family val="1"/>
      </rPr>
      <t>ST-LINE (AWD)</t>
    </r>
  </si>
  <si>
    <r>
      <rPr>
        <sz val="11"/>
        <rFont val="Georgia"/>
        <family val="1"/>
      </rPr>
      <t>ST-LINE (FWD)</t>
    </r>
  </si>
  <si>
    <r>
      <rPr>
        <sz val="11"/>
        <rFont val="Georgia"/>
        <family val="1"/>
      </rPr>
      <t>TITANIUM (AWD)</t>
    </r>
  </si>
  <si>
    <r>
      <rPr>
        <sz val="11"/>
        <rFont val="Georgia"/>
        <family val="1"/>
      </rPr>
      <t>TITANIUM (FWD)</t>
    </r>
  </si>
  <si>
    <r>
      <rPr>
        <sz val="11"/>
        <rFont val="Georgia"/>
        <family val="1"/>
      </rPr>
      <t>TREND (AWD)</t>
    </r>
  </si>
  <si>
    <r>
      <rPr>
        <sz val="11"/>
        <rFont val="Georgia"/>
        <family val="1"/>
      </rPr>
      <t>ESCAPE</t>
    </r>
  </si>
  <si>
    <r>
      <rPr>
        <sz val="11"/>
        <rFont val="Georgia"/>
        <family val="1"/>
      </rPr>
      <t>(FWD)</t>
    </r>
  </si>
  <si>
    <r>
      <rPr>
        <sz val="11"/>
        <rFont val="Georgia"/>
        <family val="1"/>
      </rPr>
      <t>VIGNALE (AWD)</t>
    </r>
  </si>
  <si>
    <r>
      <rPr>
        <sz val="11"/>
        <rFont val="Georgia"/>
        <family val="1"/>
      </rPr>
      <t>VIGNALE (FWD)</t>
    </r>
  </si>
  <si>
    <r>
      <rPr>
        <sz val="11"/>
        <rFont val="Georgia"/>
        <family val="1"/>
      </rPr>
      <t>EVEREST</t>
    </r>
  </si>
  <si>
    <r>
      <rPr>
        <sz val="11"/>
        <rFont val="Georgia"/>
        <family val="1"/>
      </rPr>
      <t>AMBIENTE (4WD)</t>
    </r>
  </si>
  <si>
    <r>
      <rPr>
        <sz val="11"/>
        <rFont val="Georgia"/>
        <family val="1"/>
      </rPr>
      <t>AMBIENTE (RWD)</t>
    </r>
  </si>
  <si>
    <r>
      <rPr>
        <sz val="11"/>
        <rFont val="Georgia"/>
        <family val="1"/>
      </rPr>
      <t>SPORT (RWD)</t>
    </r>
  </si>
  <si>
    <r>
      <rPr>
        <sz val="11"/>
        <rFont val="Georgia"/>
        <family val="1"/>
      </rPr>
      <t>TREND (4WD)</t>
    </r>
  </si>
  <si>
    <r>
      <rPr>
        <sz val="11"/>
        <rFont val="Georgia"/>
        <family val="1"/>
      </rPr>
      <t>MONDEO</t>
    </r>
  </si>
  <si>
    <r>
      <rPr>
        <sz val="11"/>
        <rFont val="Georgia"/>
        <family val="1"/>
      </rPr>
      <t>AMBIENTE TDCI</t>
    </r>
  </si>
  <si>
    <r>
      <rPr>
        <sz val="11"/>
        <rFont val="Georgia"/>
        <family val="1"/>
      </rPr>
      <t>STATION WAGON</t>
    </r>
  </si>
  <si>
    <r>
      <rPr>
        <sz val="11"/>
        <rFont val="Georgia"/>
        <family val="1"/>
      </rPr>
      <t>RANGER</t>
    </r>
  </si>
  <si>
    <r>
      <rPr>
        <sz val="11"/>
        <rFont val="Georgia"/>
        <family val="1"/>
      </rPr>
      <t>XL 2.0 (4X4)</t>
    </r>
  </si>
  <si>
    <r>
      <rPr>
        <sz val="11"/>
        <rFont val="Georgia"/>
        <family val="1"/>
      </rPr>
      <t>4*4</t>
    </r>
  </si>
  <si>
    <r>
      <rPr>
        <sz val="11"/>
        <rFont val="Georgia"/>
        <family val="1"/>
      </rPr>
      <t>DOUBLE CABIN</t>
    </r>
  </si>
  <si>
    <r>
      <rPr>
        <sz val="11"/>
        <rFont val="Georgia"/>
        <family val="1"/>
      </rPr>
      <t>SINGLE CABIN</t>
    </r>
  </si>
  <si>
    <r>
      <rPr>
        <sz val="11"/>
        <rFont val="Georgia"/>
        <family val="1"/>
      </rPr>
      <t>XL 2.0 HI-RIDER (4X2)</t>
    </r>
  </si>
  <si>
    <r>
      <rPr>
        <sz val="11"/>
        <rFont val="Georgia"/>
        <family val="1"/>
      </rPr>
      <t>4*2</t>
    </r>
  </si>
  <si>
    <r>
      <rPr>
        <sz val="11"/>
        <rFont val="Georgia"/>
        <family val="1"/>
      </rPr>
      <t>SPORT 2.0 (4X4)</t>
    </r>
  </si>
  <si>
    <r>
      <rPr>
        <sz val="11"/>
        <rFont val="Georgia"/>
        <family val="1"/>
      </rPr>
      <t>WILDTRAK 2.0 (4X4)</t>
    </r>
  </si>
  <si>
    <r>
      <rPr>
        <sz val="11"/>
        <rFont val="Georgia"/>
        <family val="1"/>
      </rPr>
      <t>WILDTRAK X 2.0 (4X4)</t>
    </r>
  </si>
  <si>
    <r>
      <rPr>
        <sz val="11"/>
        <rFont val="Georgia"/>
        <family val="1"/>
      </rPr>
      <t>XLS 2.0 (4X4)</t>
    </r>
  </si>
  <si>
    <r>
      <rPr>
        <sz val="11"/>
        <rFont val="Georgia"/>
        <family val="1"/>
      </rPr>
      <t>XLT</t>
    </r>
  </si>
  <si>
    <r>
      <rPr>
        <sz val="11"/>
        <rFont val="Georgia"/>
        <family val="1"/>
      </rPr>
      <t>XLT HI-RIDER</t>
    </r>
  </si>
  <si>
    <r>
      <rPr>
        <sz val="11"/>
        <rFont val="Georgia"/>
        <family val="1"/>
      </rPr>
      <t>TOURNEO CUSTOM</t>
    </r>
  </si>
  <si>
    <r>
      <rPr>
        <sz val="11"/>
        <rFont val="Georgia"/>
        <family val="1"/>
      </rPr>
      <t>ACTIVE (LWB)</t>
    </r>
  </si>
  <si>
    <r>
      <rPr>
        <sz val="11"/>
        <rFont val="Georgia"/>
        <family val="1"/>
      </rPr>
      <t>ACTIVE (SWB)</t>
    </r>
  </si>
  <si>
    <r>
      <rPr>
        <sz val="11"/>
        <rFont val="Georgia"/>
        <family val="1"/>
      </rPr>
      <t>TITANIUM X (LWB)</t>
    </r>
  </si>
  <si>
    <r>
      <rPr>
        <sz val="11"/>
        <rFont val="Georgia"/>
        <family val="1"/>
      </rPr>
      <t>TITANIUM X (SWB)</t>
    </r>
  </si>
  <si>
    <r>
      <rPr>
        <sz val="11"/>
        <rFont val="Georgia"/>
        <family val="1"/>
      </rPr>
      <t>TRANSIT</t>
    </r>
  </si>
  <si>
    <r>
      <rPr>
        <sz val="11"/>
        <rFont val="Georgia"/>
        <family val="1"/>
      </rPr>
      <t>410L (RWD) SRW</t>
    </r>
  </si>
  <si>
    <r>
      <rPr>
        <sz val="11"/>
        <rFont val="Georgia"/>
        <family val="1"/>
      </rPr>
      <t>PEOPLE MOVER</t>
    </r>
  </si>
  <si>
    <r>
      <rPr>
        <sz val="11"/>
        <rFont val="Georgia"/>
        <family val="1"/>
      </rPr>
      <t>430E ELWB (RWD) DRW</t>
    </r>
  </si>
  <si>
    <r>
      <rPr>
        <sz val="11"/>
        <rFont val="Georgia"/>
        <family val="1"/>
      </rPr>
      <t>350L LWB (FWD) SRW</t>
    </r>
  </si>
  <si>
    <r>
      <rPr>
        <sz val="11"/>
        <rFont val="Georgia"/>
        <family val="1"/>
      </rPr>
      <t>350L LWB (RWD) SRW</t>
    </r>
  </si>
  <si>
    <r>
      <rPr>
        <sz val="11"/>
        <rFont val="Georgia"/>
        <family val="1"/>
      </rPr>
      <t>430E LWB (RWD) JUMBO DRW</t>
    </r>
  </si>
  <si>
    <r>
      <rPr>
        <sz val="11"/>
        <rFont val="Georgia"/>
        <family val="1"/>
      </rPr>
      <t>TRANSIT CUSTOM</t>
    </r>
  </si>
  <si>
    <r>
      <rPr>
        <sz val="11"/>
        <rFont val="Georgia"/>
        <family val="1"/>
      </rPr>
      <t>SPORT DCIV (LWB)</t>
    </r>
  </si>
  <si>
    <r>
      <rPr>
        <sz val="11"/>
        <rFont val="Georgia"/>
        <family val="1"/>
      </rPr>
      <t>SPORT (SWB)</t>
    </r>
  </si>
  <si>
    <r>
      <rPr>
        <sz val="11"/>
        <rFont val="Georgia"/>
        <family val="1"/>
      </rPr>
      <t>TREND (LWB)</t>
    </r>
  </si>
  <si>
    <r>
      <rPr>
        <sz val="11"/>
        <rFont val="Georgia"/>
        <family val="1"/>
      </rPr>
      <t>TREND (SWB)</t>
    </r>
  </si>
  <si>
    <r>
      <rPr>
        <sz val="11"/>
        <rFont val="Georgia"/>
        <family val="1"/>
      </rPr>
      <t>FOCUS</t>
    </r>
  </si>
  <si>
    <r>
      <rPr>
        <sz val="11"/>
        <rFont val="Georgia"/>
        <family val="1"/>
      </rPr>
      <t>ST X</t>
    </r>
  </si>
  <si>
    <r>
      <rPr>
        <sz val="11"/>
        <rFont val="Georgia"/>
        <family val="1"/>
      </rPr>
      <t>PHEV SPORT (4X4)</t>
    </r>
  </si>
  <si>
    <r>
      <rPr>
        <sz val="11"/>
        <rFont val="Georgia"/>
        <family val="1"/>
      </rPr>
      <t>PHEV STORMTRAK (4X4)</t>
    </r>
  </si>
  <si>
    <r>
      <rPr>
        <sz val="11"/>
        <rFont val="Georgia"/>
        <family val="1"/>
      </rPr>
      <t>PHEV WILDTRAK (4X4)</t>
    </r>
  </si>
  <si>
    <r>
      <rPr>
        <sz val="11"/>
        <rFont val="Georgia"/>
        <family val="1"/>
      </rPr>
      <t>PHEV XLT (4X4)</t>
    </r>
  </si>
  <si>
    <r>
      <rPr>
        <sz val="11"/>
        <rFont val="Georgia"/>
        <family val="1"/>
      </rPr>
      <t>ST-LINE PHEV (FWD)</t>
    </r>
  </si>
  <si>
    <r>
      <rPr>
        <sz val="11"/>
        <rFont val="Georgia"/>
        <family val="1"/>
      </rPr>
      <t>WILDTRAK SPECIAL EDITION (4WD)</t>
    </r>
  </si>
  <si>
    <r>
      <rPr>
        <sz val="11"/>
        <rFont val="Georgia"/>
        <family val="1"/>
      </rPr>
      <t>PLATINUM (4WD)</t>
    </r>
  </si>
  <si>
    <r>
      <rPr>
        <sz val="11"/>
        <rFont val="Georgia"/>
        <family val="1"/>
      </rPr>
      <t>SPORT (4WD)</t>
    </r>
  </si>
  <si>
    <r>
      <rPr>
        <sz val="11"/>
        <rFont val="Georgia"/>
        <family val="1"/>
      </rPr>
      <t>TREMOR (4WD)</t>
    </r>
  </si>
  <si>
    <r>
      <rPr>
        <sz val="11"/>
        <rFont val="Georgia"/>
        <family val="1"/>
      </rPr>
      <t>WILDTRAK (4WD)</t>
    </r>
  </si>
  <si>
    <r>
      <rPr>
        <sz val="11"/>
        <rFont val="Georgia"/>
        <family val="1"/>
      </rPr>
      <t>PLATINUM 3.0 (4X4)</t>
    </r>
  </si>
  <si>
    <r>
      <rPr>
        <sz val="11"/>
        <rFont val="Georgia"/>
        <family val="1"/>
      </rPr>
      <t>RAPTOR 3.0 (4X4)</t>
    </r>
  </si>
  <si>
    <r>
      <rPr>
        <sz val="11"/>
        <rFont val="Georgia"/>
        <family val="1"/>
      </rPr>
      <t>SPORT 3.0 (4X4)</t>
    </r>
  </si>
  <si>
    <r>
      <rPr>
        <sz val="11"/>
        <rFont val="Georgia"/>
        <family val="1"/>
      </rPr>
      <t>WILDTRAK 3.0 (4X4)</t>
    </r>
  </si>
  <si>
    <r>
      <rPr>
        <sz val="11"/>
        <rFont val="Georgia"/>
        <family val="1"/>
      </rPr>
      <t>XLT 3.0 (4X4)</t>
    </r>
  </si>
  <si>
    <r>
      <rPr>
        <sz val="11"/>
        <rFont val="Georgia"/>
        <family val="1"/>
      </rPr>
      <t>F150</t>
    </r>
  </si>
  <si>
    <r>
      <rPr>
        <sz val="11"/>
        <rFont val="Georgia"/>
        <family val="1"/>
      </rPr>
      <t>LARIAT LWB (4WD)</t>
    </r>
  </si>
  <si>
    <r>
      <rPr>
        <sz val="11"/>
        <rFont val="Georgia"/>
        <family val="1"/>
      </rPr>
      <t>DUAL CAB</t>
    </r>
  </si>
  <si>
    <r>
      <rPr>
        <sz val="11"/>
        <rFont val="Georgia"/>
        <family val="1"/>
      </rPr>
      <t>LARIAT SWB (4WD)</t>
    </r>
  </si>
  <si>
    <r>
      <rPr>
        <sz val="11"/>
        <rFont val="Georgia"/>
        <family val="1"/>
      </rPr>
      <t>XLT LWB (4X4)</t>
    </r>
  </si>
  <si>
    <r>
      <rPr>
        <sz val="11"/>
        <rFont val="Georgia"/>
        <family val="1"/>
      </rPr>
      <t>XLT SWB (4X4)</t>
    </r>
  </si>
  <si>
    <r>
      <rPr>
        <sz val="11"/>
        <rFont val="Georgia"/>
        <family val="1"/>
      </rPr>
      <t>MUSTANG</t>
    </r>
  </si>
  <si>
    <r>
      <rPr>
        <sz val="11"/>
        <rFont val="Georgia"/>
        <family val="1"/>
      </rPr>
      <t>GT 5.0 V8</t>
    </r>
  </si>
  <si>
    <r>
      <rPr>
        <sz val="11"/>
        <rFont val="Georgia"/>
        <family val="1"/>
      </rPr>
      <t>FOTON</t>
    </r>
  </si>
  <si>
    <r>
      <rPr>
        <sz val="11"/>
        <rFont val="Georgia"/>
        <family val="1"/>
      </rPr>
      <t>SAUVANA</t>
    </r>
  </si>
  <si>
    <r>
      <rPr>
        <sz val="11"/>
        <rFont val="Georgia"/>
        <family val="1"/>
      </rPr>
      <t>VIEW CS2</t>
    </r>
  </si>
  <si>
    <r>
      <rPr>
        <sz val="11"/>
        <rFont val="Georgia"/>
        <family val="1"/>
      </rPr>
      <t>TUNLAND S</t>
    </r>
  </si>
  <si>
    <r>
      <rPr>
        <sz val="11"/>
        <rFont val="Georgia"/>
        <family val="1"/>
      </rPr>
      <t>(4X4)</t>
    </r>
  </si>
  <si>
    <r>
      <rPr>
        <sz val="11"/>
        <rFont val="Georgia"/>
        <family val="1"/>
      </rPr>
      <t>GREAT WALL</t>
    </r>
  </si>
  <si>
    <r>
      <rPr>
        <sz val="11"/>
        <rFont val="Georgia"/>
        <family val="1"/>
      </rPr>
      <t>GREAT WALL STEED</t>
    </r>
  </si>
  <si>
    <r>
      <rPr>
        <sz val="11"/>
        <rFont val="Georgia"/>
        <family val="1"/>
      </rPr>
      <t>MANUAL</t>
    </r>
  </si>
  <si>
    <r>
      <rPr>
        <sz val="11"/>
        <rFont val="Georgia"/>
        <family val="1"/>
      </rPr>
      <t>GREAT WALL V240</t>
    </r>
  </si>
  <si>
    <r>
      <rPr>
        <sz val="11"/>
        <rFont val="Georgia"/>
        <family val="1"/>
      </rPr>
      <t>GREAT WALL V200</t>
    </r>
  </si>
  <si>
    <r>
      <rPr>
        <sz val="11"/>
        <rFont val="Georgia"/>
        <family val="1"/>
      </rPr>
      <t>GREAT WALL X200</t>
    </r>
  </si>
  <si>
    <r>
      <rPr>
        <sz val="11"/>
        <rFont val="Georgia"/>
        <family val="1"/>
      </rPr>
      <t>MTM</t>
    </r>
  </si>
  <si>
    <r>
      <rPr>
        <sz val="11"/>
        <rFont val="Georgia"/>
        <family val="1"/>
      </rPr>
      <t>HAVAL</t>
    </r>
  </si>
  <si>
    <r>
      <rPr>
        <sz val="11"/>
        <rFont val="Georgia"/>
        <family val="1"/>
      </rPr>
      <t>CITY</t>
    </r>
  </si>
  <si>
    <r>
      <rPr>
        <sz val="11"/>
        <rFont val="Georgia"/>
        <family val="1"/>
      </rPr>
      <t>H2</t>
    </r>
  </si>
  <si>
    <r>
      <rPr>
        <sz val="11"/>
        <rFont val="Georgia"/>
        <family val="1"/>
      </rPr>
      <t>CITY 2WD</t>
    </r>
  </si>
  <si>
    <r>
      <rPr>
        <sz val="11"/>
        <rFont val="Georgia"/>
        <family val="1"/>
      </rPr>
      <t>LUXURY</t>
    </r>
  </si>
  <si>
    <r>
      <rPr>
        <sz val="11"/>
        <rFont val="Georgia"/>
        <family val="1"/>
      </rPr>
      <t>H6</t>
    </r>
  </si>
  <si>
    <r>
      <rPr>
        <sz val="11"/>
        <rFont val="Georgia"/>
        <family val="1"/>
      </rPr>
      <t>H9</t>
    </r>
  </si>
  <si>
    <r>
      <rPr>
        <sz val="11"/>
        <rFont val="Georgia"/>
        <family val="1"/>
      </rPr>
      <t>H8</t>
    </r>
  </si>
  <si>
    <r>
      <rPr>
        <sz val="11"/>
        <rFont val="Georgia"/>
        <family val="1"/>
      </rPr>
      <t>PREMIUM</t>
    </r>
  </si>
  <si>
    <r>
      <rPr>
        <sz val="11"/>
        <rFont val="Georgia"/>
        <family val="1"/>
      </rPr>
      <t>ULTRA</t>
    </r>
  </si>
  <si>
    <r>
      <rPr>
        <sz val="11"/>
        <rFont val="Georgia"/>
        <family val="1"/>
      </rPr>
      <t>HINO</t>
    </r>
  </si>
  <si>
    <r>
      <rPr>
        <sz val="11"/>
        <rFont val="Georgia"/>
        <family val="1"/>
      </rPr>
      <t>16 3870 WIDE CREW ALLOY TRAY</t>
    </r>
  </si>
  <si>
    <r>
      <rPr>
        <sz val="11"/>
        <rFont val="Georgia"/>
        <family val="1"/>
      </rPr>
      <t>616 3870 WIDE CREW TRADEACE</t>
    </r>
  </si>
  <si>
    <r>
      <rPr>
        <sz val="11"/>
        <rFont val="Georgia"/>
        <family val="1"/>
      </rPr>
      <t>721 4400 WIDE CREW ALLOY TRAY</t>
    </r>
  </si>
  <si>
    <r>
      <rPr>
        <sz val="11"/>
        <rFont val="Georgia"/>
        <family val="1"/>
      </rPr>
      <t>721 4400 WIDE CREW TRADEACE</t>
    </r>
  </si>
  <si>
    <r>
      <rPr>
        <sz val="11"/>
        <rFont val="Georgia"/>
        <family val="1"/>
      </rPr>
      <t>16 2525 STD ALLOY TRAY</t>
    </r>
  </si>
  <si>
    <r>
      <rPr>
        <sz val="11"/>
        <rFont val="Georgia"/>
        <family val="1"/>
      </rPr>
      <t>616 2525 STD TRADEACE</t>
    </r>
  </si>
  <si>
    <r>
      <rPr>
        <sz val="11"/>
        <rFont val="Georgia"/>
        <family val="1"/>
      </rPr>
      <t>616 2525 STD ALLOY TRAY</t>
    </r>
  </si>
  <si>
    <r>
      <rPr>
        <sz val="11"/>
        <rFont val="Georgia"/>
        <family val="1"/>
      </rPr>
      <t>616 2810 WIDE ALLOY TRAY</t>
    </r>
  </si>
  <si>
    <r>
      <rPr>
        <sz val="11"/>
        <rFont val="Georgia"/>
        <family val="1"/>
      </rPr>
      <t>616 2810 WIDE TRADEACE</t>
    </r>
  </si>
  <si>
    <r>
      <rPr>
        <sz val="11"/>
        <rFont val="Georgia"/>
        <family val="1"/>
      </rPr>
      <t>616 3375 STD ALLOY TRAY</t>
    </r>
  </si>
  <si>
    <r>
      <rPr>
        <sz val="11"/>
        <rFont val="Georgia"/>
        <family val="1"/>
      </rPr>
      <t>616 3375 STD TRADEACE</t>
    </r>
  </si>
  <si>
    <r>
      <rPr>
        <sz val="11"/>
        <rFont val="Georgia"/>
        <family val="1"/>
      </rPr>
      <t>616 3430 WIDE ALLOY TRAY</t>
    </r>
  </si>
  <si>
    <r>
      <rPr>
        <sz val="11"/>
        <rFont val="Georgia"/>
        <family val="1"/>
      </rPr>
      <t>616 3430 WIDE STEELACE</t>
    </r>
  </si>
  <si>
    <r>
      <rPr>
        <sz val="11"/>
        <rFont val="Georgia"/>
        <family val="1"/>
      </rPr>
      <t>616 3430 WIDE TRADEACE</t>
    </r>
  </si>
  <si>
    <r>
      <rPr>
        <sz val="11"/>
        <rFont val="Georgia"/>
        <family val="1"/>
      </rPr>
      <t>617 2810 WIDE ALLOY TRAY</t>
    </r>
  </si>
  <si>
    <r>
      <rPr>
        <sz val="11"/>
        <rFont val="Georgia"/>
        <family val="1"/>
      </rPr>
      <t>617 2810 WIDE TRADEACE</t>
    </r>
  </si>
  <si>
    <r>
      <rPr>
        <sz val="11"/>
        <rFont val="Georgia"/>
        <family val="1"/>
      </rPr>
      <t>617 3430 WIDE ALLOY TRAY</t>
    </r>
  </si>
  <si>
    <r>
      <rPr>
        <sz val="11"/>
        <rFont val="Georgia"/>
        <family val="1"/>
      </rPr>
      <t>617 3430 WIDE STEELACE</t>
    </r>
  </si>
  <si>
    <r>
      <rPr>
        <sz val="11"/>
        <rFont val="Georgia"/>
        <family val="1"/>
      </rPr>
      <t>617 3430 WIDE TRADEACE</t>
    </r>
  </si>
  <si>
    <r>
      <rPr>
        <sz val="11"/>
        <rFont val="Georgia"/>
        <family val="1"/>
      </rPr>
      <t>716 3430 WIDE STEELACE</t>
    </r>
  </si>
  <si>
    <r>
      <rPr>
        <sz val="11"/>
        <rFont val="Georgia"/>
        <family val="1"/>
      </rPr>
      <t>717 3430 WIDE STEELACE</t>
    </r>
  </si>
  <si>
    <r>
      <rPr>
        <sz val="11"/>
        <rFont val="Georgia"/>
        <family val="1"/>
      </rPr>
      <t>721 3500 WIDE ALLOY TRAY</t>
    </r>
  </si>
  <si>
    <r>
      <rPr>
        <sz val="11"/>
        <rFont val="Georgia"/>
        <family val="1"/>
      </rPr>
      <t>721 3500 WIDE TRADEACE</t>
    </r>
  </si>
  <si>
    <r>
      <rPr>
        <sz val="11"/>
        <rFont val="Georgia"/>
        <family val="1"/>
      </rPr>
      <t>8DUTRO ROUTE VAN</t>
    </r>
  </si>
  <si>
    <r>
      <rPr>
        <sz val="11"/>
        <rFont val="Georgia"/>
        <family val="1"/>
      </rPr>
      <t>XZC605</t>
    </r>
  </si>
  <si>
    <r>
      <rPr>
        <sz val="11"/>
        <rFont val="Georgia"/>
        <family val="1"/>
      </rPr>
      <t>DUTRO</t>
    </r>
  </si>
  <si>
    <r>
      <rPr>
        <sz val="11"/>
        <rFont val="Georgia"/>
        <family val="1"/>
      </rPr>
      <t>XZU605</t>
    </r>
  </si>
  <si>
    <r>
      <rPr>
        <sz val="11"/>
        <rFont val="Georgia"/>
        <family val="1"/>
      </rPr>
      <t>XZU710</t>
    </r>
  </si>
  <si>
    <r>
      <rPr>
        <sz val="11"/>
        <rFont val="Georgia"/>
        <family val="1"/>
      </rPr>
      <t>XZU655</t>
    </r>
  </si>
  <si>
    <r>
      <rPr>
        <sz val="11"/>
        <rFont val="Georgia"/>
        <family val="1"/>
      </rPr>
      <t>XZC645</t>
    </r>
  </si>
  <si>
    <r>
      <rPr>
        <sz val="11"/>
        <rFont val="Georgia"/>
        <family val="1"/>
      </rPr>
      <t>XZU720</t>
    </r>
  </si>
  <si>
    <r>
      <rPr>
        <sz val="11"/>
        <rFont val="Georgia"/>
        <family val="1"/>
      </rPr>
      <t>XZU712</t>
    </r>
  </si>
  <si>
    <r>
      <rPr>
        <sz val="11"/>
        <rFont val="Georgia"/>
        <family val="1"/>
      </rPr>
      <t>XZU722</t>
    </r>
  </si>
  <si>
    <r>
      <rPr>
        <sz val="11"/>
        <rFont val="Georgia"/>
        <family val="1"/>
      </rPr>
      <t>XZU675</t>
    </r>
  </si>
  <si>
    <r>
      <rPr>
        <sz val="11"/>
        <rFont val="Georgia"/>
        <family val="1"/>
      </rPr>
      <t>XZU775</t>
    </r>
  </si>
  <si>
    <r>
      <rPr>
        <sz val="11"/>
        <rFont val="Georgia"/>
        <family val="1"/>
      </rPr>
      <t>DUTRO ALL LOW FLOOR</t>
    </r>
  </si>
  <si>
    <r>
      <rPr>
        <sz val="11"/>
        <rFont val="Georgia"/>
        <family val="1"/>
      </rPr>
      <t>DUTRO ALL LOW FLOOR BUILD-UP DUMP</t>
    </r>
  </si>
  <si>
    <r>
      <rPr>
        <sz val="11"/>
        <rFont val="Georgia"/>
        <family val="1"/>
      </rPr>
      <t>XZC610</t>
    </r>
  </si>
  <si>
    <r>
      <rPr>
        <sz val="11"/>
        <rFont val="Georgia"/>
        <family val="1"/>
      </rPr>
      <t>XZU620</t>
    </r>
  </si>
  <si>
    <r>
      <rPr>
        <sz val="11"/>
        <rFont val="Georgia"/>
        <family val="1"/>
      </rPr>
      <t>XZC610001</t>
    </r>
  </si>
  <si>
    <r>
      <rPr>
        <sz val="11"/>
        <rFont val="Georgia"/>
        <family val="1"/>
      </rPr>
      <t>DUTRO ALL LOW FLOOR DUMP</t>
    </r>
  </si>
  <si>
    <r>
      <rPr>
        <sz val="11"/>
        <rFont val="Georgia"/>
        <family val="1"/>
      </rPr>
      <t>XZU600-004</t>
    </r>
  </si>
  <si>
    <r>
      <rPr>
        <sz val="11"/>
        <rFont val="Georgia"/>
        <family val="1"/>
      </rPr>
      <t>XZU600</t>
    </r>
  </si>
  <si>
    <r>
      <rPr>
        <sz val="11"/>
        <rFont val="Georgia"/>
        <family val="1"/>
      </rPr>
      <t>DUTRO ALL LOW FLOOR SUPER YOKOZUNA DU</t>
    </r>
  </si>
  <si>
    <r>
      <rPr>
        <sz val="11"/>
        <rFont val="Georgia"/>
        <family val="1"/>
      </rPr>
      <t>DUTRO BASEGRADE</t>
    </r>
  </si>
  <si>
    <r>
      <rPr>
        <sz val="11"/>
        <rFont val="Georgia"/>
        <family val="1"/>
      </rPr>
      <t>DUTRO DOUBLE CAB</t>
    </r>
  </si>
  <si>
    <r>
      <rPr>
        <sz val="11"/>
        <rFont val="Georgia"/>
        <family val="1"/>
      </rPr>
      <t>DUTRO DUMP</t>
    </r>
  </si>
  <si>
    <r>
      <rPr>
        <sz val="11"/>
        <rFont val="Georgia"/>
        <family val="1"/>
      </rPr>
      <t>XZU600-003</t>
    </r>
  </si>
  <si>
    <r>
      <rPr>
        <sz val="11"/>
        <rFont val="Georgia"/>
        <family val="1"/>
      </rPr>
      <t>XZU700</t>
    </r>
  </si>
  <si>
    <r>
      <rPr>
        <sz val="11"/>
        <rFont val="Georgia"/>
        <family val="1"/>
      </rPr>
      <t>DUTRO HIGH FLOOR BUILD-UP MULTI TREND</t>
    </r>
  </si>
  <si>
    <r>
      <rPr>
        <sz val="11"/>
        <rFont val="Georgia"/>
        <family val="1"/>
      </rPr>
      <t>XZU610</t>
    </r>
  </si>
  <si>
    <r>
      <rPr>
        <sz val="11"/>
        <rFont val="Georgia"/>
        <family val="1"/>
      </rPr>
      <t>DUTRO HIGH FLOOR DUMP</t>
    </r>
  </si>
  <si>
    <r>
      <rPr>
        <sz val="11"/>
        <rFont val="Georgia"/>
        <family val="1"/>
      </rPr>
      <t>DUTRO HYBRID</t>
    </r>
  </si>
  <si>
    <r>
      <rPr>
        <sz val="11"/>
        <rFont val="Georgia"/>
        <family val="1"/>
      </rPr>
      <t>XKU645</t>
    </r>
  </si>
  <si>
    <r>
      <rPr>
        <sz val="11"/>
        <rFont val="Georgia"/>
        <family val="1"/>
      </rPr>
      <t>XKU605</t>
    </r>
  </si>
  <si>
    <r>
      <rPr>
        <sz val="11"/>
        <rFont val="Georgia"/>
        <family val="1"/>
      </rPr>
      <t>DUTRO LONG</t>
    </r>
  </si>
  <si>
    <r>
      <rPr>
        <sz val="11"/>
        <rFont val="Georgia"/>
        <family val="1"/>
      </rPr>
      <t>XZC710</t>
    </r>
  </si>
  <si>
    <r>
      <rPr>
        <sz val="11"/>
        <rFont val="Georgia"/>
        <family val="1"/>
      </rPr>
      <t>DUTRO LONG ALL LOW FLOOR</t>
    </r>
  </si>
  <si>
    <r>
      <rPr>
        <sz val="11"/>
        <rFont val="Georgia"/>
        <family val="1"/>
      </rPr>
      <t>XZU645</t>
    </r>
  </si>
  <si>
    <r>
      <rPr>
        <sz val="11"/>
        <rFont val="Georgia"/>
        <family val="1"/>
      </rPr>
      <t>DUTRO LONG ALL LOW FLOOR TURBO</t>
    </r>
  </si>
  <si>
    <r>
      <rPr>
        <sz val="11"/>
        <rFont val="Georgia"/>
        <family val="1"/>
      </rPr>
      <t>DUTRO ROUTE VAN</t>
    </r>
  </si>
  <si>
    <r>
      <rPr>
        <sz val="11"/>
        <rFont val="Georgia"/>
        <family val="1"/>
      </rPr>
      <t>DUTRO SEMI LONG ALL LOW FLOOR</t>
    </r>
  </si>
  <si>
    <r>
      <rPr>
        <sz val="11"/>
        <rFont val="Georgia"/>
        <family val="1"/>
      </rPr>
      <t>DUTRO SEMI LONG DOUBLE CAB HIGH FLOOR</t>
    </r>
  </si>
  <si>
    <r>
      <rPr>
        <sz val="11"/>
        <rFont val="Georgia"/>
        <family val="1"/>
      </rPr>
      <t>XZU685</t>
    </r>
  </si>
  <si>
    <r>
      <rPr>
        <sz val="11"/>
        <rFont val="Georgia"/>
        <family val="1"/>
      </rPr>
      <t>DUTRO SEMI LONG HIGH FLOOR</t>
    </r>
  </si>
  <si>
    <r>
      <rPr>
        <sz val="11"/>
        <rFont val="Georgia"/>
        <family val="1"/>
      </rPr>
      <t>DUTRO WIDE CAB SUPER LONG ALL LOW FLOO</t>
    </r>
  </si>
  <si>
    <r>
      <rPr>
        <sz val="11"/>
        <rFont val="Georgia"/>
        <family val="1"/>
      </rPr>
      <t>XZU720M</t>
    </r>
  </si>
  <si>
    <r>
      <rPr>
        <sz val="11"/>
        <rFont val="Georgia"/>
        <family val="1"/>
      </rPr>
      <t>DUTRO WIDE CAB SUPER LONG HIGH FLOOR</t>
    </r>
  </si>
  <si>
    <r>
      <rPr>
        <sz val="11"/>
        <rFont val="Georgia"/>
        <family val="1"/>
      </rPr>
      <t>MELPHA</t>
    </r>
  </si>
  <si>
    <r>
      <rPr>
        <sz val="11"/>
        <rFont val="Georgia"/>
        <family val="1"/>
      </rPr>
      <t>RR2AJD</t>
    </r>
  </si>
  <si>
    <r>
      <rPr>
        <sz val="11"/>
        <rFont val="Georgia"/>
        <family val="1"/>
      </rPr>
      <t>PONCHO</t>
    </r>
  </si>
  <si>
    <r>
      <rPr>
        <sz val="11"/>
        <rFont val="Georgia"/>
        <family val="1"/>
      </rPr>
      <t>HX9JHC</t>
    </r>
  </si>
  <si>
    <r>
      <rPr>
        <sz val="11"/>
        <rFont val="Georgia"/>
        <family val="1"/>
      </rPr>
      <t>PROFIA</t>
    </r>
  </si>
  <si>
    <r>
      <rPr>
        <sz val="11"/>
        <rFont val="Georgia"/>
        <family val="1"/>
      </rPr>
      <t>FR1AH</t>
    </r>
  </si>
  <si>
    <r>
      <rPr>
        <sz val="11"/>
        <rFont val="Georgia"/>
        <family val="1"/>
      </rPr>
      <t>FS1AG</t>
    </r>
  </si>
  <si>
    <r>
      <rPr>
        <sz val="11"/>
        <rFont val="Georgia"/>
        <family val="1"/>
      </rPr>
      <t>FW1AH</t>
    </r>
  </si>
  <si>
    <r>
      <rPr>
        <sz val="11"/>
        <rFont val="Georgia"/>
        <family val="1"/>
      </rPr>
      <t>PROFIA BASEGRADE</t>
    </r>
  </si>
  <si>
    <r>
      <rPr>
        <sz val="11"/>
        <rFont val="Georgia"/>
        <family val="1"/>
      </rPr>
      <t>FD2AB</t>
    </r>
  </si>
  <si>
    <r>
      <rPr>
        <sz val="11"/>
        <rFont val="Georgia"/>
        <family val="1"/>
      </rPr>
      <t>FC2AB</t>
    </r>
  </si>
  <si>
    <r>
      <rPr>
        <sz val="11"/>
        <rFont val="Georgia"/>
        <family val="1"/>
      </rPr>
      <t>FD2JKBA</t>
    </r>
  </si>
  <si>
    <r>
      <rPr>
        <sz val="11"/>
        <rFont val="Georgia"/>
        <family val="1"/>
      </rPr>
      <t>FX1AB</t>
    </r>
  </si>
  <si>
    <r>
      <rPr>
        <sz val="11"/>
        <rFont val="Georgia"/>
        <family val="1"/>
      </rPr>
      <t>RANGER BASEGRADE</t>
    </r>
  </si>
  <si>
    <r>
      <rPr>
        <sz val="11"/>
        <rFont val="Georgia"/>
        <family val="1"/>
      </rPr>
      <t>FE2AB</t>
    </r>
  </si>
  <si>
    <r>
      <rPr>
        <sz val="11"/>
        <rFont val="Georgia"/>
        <family val="1"/>
      </rPr>
      <t>RANGER DUMP</t>
    </r>
  </si>
  <si>
    <r>
      <rPr>
        <sz val="11"/>
        <rFont val="Georgia"/>
        <family val="1"/>
      </rPr>
      <t>RANGER PRO</t>
    </r>
  </si>
  <si>
    <r>
      <rPr>
        <sz val="11"/>
        <rFont val="Georgia"/>
        <family val="1"/>
      </rPr>
      <t>FE2AC</t>
    </r>
  </si>
  <si>
    <r>
      <rPr>
        <sz val="11"/>
        <rFont val="Georgia"/>
        <family val="1"/>
      </rPr>
      <t>RIESSE</t>
    </r>
  </si>
  <si>
    <r>
      <rPr>
        <sz val="11"/>
        <rFont val="Georgia"/>
        <family val="1"/>
      </rPr>
      <t>GDB70</t>
    </r>
  </si>
  <si>
    <r>
      <rPr>
        <sz val="11"/>
        <rFont val="Georgia"/>
        <family val="1"/>
      </rPr>
      <t>RIESSE II</t>
    </r>
  </si>
  <si>
    <r>
      <rPr>
        <sz val="11"/>
        <rFont val="Georgia"/>
        <family val="1"/>
      </rPr>
      <t>XZB70M</t>
    </r>
  </si>
  <si>
    <r>
      <rPr>
        <sz val="11"/>
        <rFont val="Georgia"/>
        <family val="1"/>
      </rPr>
      <t>RIESSE II GX TURBO</t>
    </r>
  </si>
  <si>
    <r>
      <rPr>
        <sz val="11"/>
        <rFont val="Georgia"/>
        <family val="1"/>
      </rPr>
      <t>XZB70</t>
    </r>
  </si>
  <si>
    <r>
      <rPr>
        <sz val="11"/>
        <rFont val="Georgia"/>
        <family val="1"/>
      </rPr>
      <t>RIESSE II LX</t>
    </r>
  </si>
  <si>
    <r>
      <rPr>
        <sz val="11"/>
        <rFont val="Georgia"/>
        <family val="1"/>
      </rPr>
      <t>XZB60</t>
    </r>
  </si>
  <si>
    <r>
      <rPr>
        <sz val="11"/>
        <rFont val="Georgia"/>
        <family val="1"/>
      </rPr>
      <t>RIESSE II LX TURBO</t>
    </r>
  </si>
  <si>
    <r>
      <rPr>
        <sz val="11"/>
        <rFont val="Georgia"/>
        <family val="1"/>
      </rPr>
      <t>HONDA</t>
    </r>
  </si>
  <si>
    <r>
      <rPr>
        <sz val="11"/>
        <rFont val="Georgia"/>
        <family val="1"/>
      </rPr>
      <t>ACCORD E:HEV</t>
    </r>
  </si>
  <si>
    <r>
      <rPr>
        <sz val="11"/>
        <rFont val="Georgia"/>
        <family val="1"/>
      </rPr>
      <t>6AA-CY2</t>
    </r>
  </si>
  <si>
    <r>
      <rPr>
        <sz val="11"/>
        <rFont val="Georgia"/>
        <family val="1"/>
      </rPr>
      <t>ACCORD EX</t>
    </r>
  </si>
  <si>
    <r>
      <rPr>
        <sz val="11"/>
        <rFont val="Georgia"/>
        <family val="1"/>
      </rPr>
      <t>6AA-CV3</t>
    </r>
  </si>
  <si>
    <r>
      <rPr>
        <sz val="11"/>
        <rFont val="Georgia"/>
        <family val="1"/>
      </rPr>
      <t>6MT</t>
    </r>
  </si>
  <si>
    <r>
      <rPr>
        <sz val="11"/>
        <rFont val="Georgia"/>
        <family val="1"/>
      </rPr>
      <t>ACCORD HYBRID EX</t>
    </r>
  </si>
  <si>
    <r>
      <rPr>
        <sz val="11"/>
        <rFont val="Georgia"/>
        <family val="1"/>
      </rPr>
      <t>DAA-CR7</t>
    </r>
  </si>
  <si>
    <r>
      <rPr>
        <sz val="11"/>
        <rFont val="Georgia"/>
        <family val="1"/>
      </rPr>
      <t>ACTY DUMP FRAME TORII</t>
    </r>
  </si>
  <si>
    <r>
      <rPr>
        <sz val="11"/>
        <rFont val="Georgia"/>
        <family val="1"/>
      </rPr>
      <t>EBD-HA9</t>
    </r>
  </si>
  <si>
    <r>
      <rPr>
        <sz val="11"/>
        <rFont val="Georgia"/>
        <family val="1"/>
      </rPr>
      <t>ACTY TRUCK</t>
    </r>
  </si>
  <si>
    <r>
      <rPr>
        <sz val="11"/>
        <rFont val="Georgia"/>
        <family val="1"/>
      </rPr>
      <t>ACTYB TRUCK FREEZING VAN</t>
    </r>
  </si>
  <si>
    <r>
      <rPr>
        <sz val="11"/>
        <rFont val="Georgia"/>
        <family val="1"/>
      </rPr>
      <t>AWD/4WD</t>
    </r>
  </si>
  <si>
    <r>
      <rPr>
        <sz val="11"/>
        <rFont val="Georgia"/>
        <family val="1"/>
      </rPr>
      <t>ACTY TRUCK LIFTER</t>
    </r>
  </si>
  <si>
    <r>
      <rPr>
        <sz val="11"/>
        <rFont val="Georgia"/>
        <family val="1"/>
      </rPr>
      <t>ACTY TRUCK LIFTER V</t>
    </r>
  </si>
  <si>
    <r>
      <rPr>
        <sz val="11"/>
        <rFont val="Georgia"/>
        <family val="1"/>
      </rPr>
      <t>ACTY TRUCK SDX</t>
    </r>
  </si>
  <si>
    <r>
      <rPr>
        <sz val="11"/>
        <rFont val="Georgia"/>
        <family val="1"/>
      </rPr>
      <t>4WD/AWD</t>
    </r>
  </si>
  <si>
    <r>
      <rPr>
        <sz val="11"/>
        <rFont val="Georgia"/>
        <family val="1"/>
      </rPr>
      <t>CIVIC</t>
    </r>
  </si>
  <si>
    <r>
      <rPr>
        <sz val="11"/>
        <rFont val="Georgia"/>
        <family val="1"/>
      </rPr>
      <t>DBA-FC1</t>
    </r>
  </si>
  <si>
    <r>
      <rPr>
        <sz val="11"/>
        <rFont val="Georgia"/>
        <family val="1"/>
      </rPr>
      <t>CIVIC  EX</t>
    </r>
  </si>
  <si>
    <r>
      <rPr>
        <sz val="11"/>
        <rFont val="Georgia"/>
        <family val="1"/>
      </rPr>
      <t>6BA-FLT1</t>
    </r>
  </si>
  <si>
    <r>
      <rPr>
        <sz val="11"/>
        <rFont val="Georgia"/>
        <family val="1"/>
      </rPr>
      <t>DBA-FK7</t>
    </r>
  </si>
  <si>
    <r>
      <rPr>
        <sz val="11"/>
        <rFont val="Georgia"/>
        <family val="1"/>
      </rPr>
      <t>CIVIC E:HEV</t>
    </r>
  </si>
  <si>
    <r>
      <rPr>
        <sz val="11"/>
        <rFont val="Georgia"/>
        <family val="1"/>
      </rPr>
      <t>6AA-FL4</t>
    </r>
  </si>
  <si>
    <r>
      <rPr>
        <sz val="11"/>
        <rFont val="Georgia"/>
        <family val="1"/>
      </rPr>
      <t>CIVIC E:HEV EX</t>
    </r>
  </si>
  <si>
    <r>
      <rPr>
        <sz val="11"/>
        <rFont val="Georgia"/>
        <family val="1"/>
      </rPr>
      <t>CIVIC EX</t>
    </r>
  </si>
  <si>
    <r>
      <rPr>
        <sz val="11"/>
        <rFont val="Georgia"/>
        <family val="1"/>
      </rPr>
      <t>6BA-FL1</t>
    </r>
  </si>
  <si>
    <r>
      <rPr>
        <sz val="11"/>
        <rFont val="Georgia"/>
        <family val="1"/>
      </rPr>
      <t>CIVIC HATCHBACK</t>
    </r>
  </si>
  <si>
    <r>
      <rPr>
        <sz val="11"/>
        <rFont val="Georgia"/>
        <family val="1"/>
      </rPr>
      <t>6BA-FK7</t>
    </r>
  </si>
  <si>
    <r>
      <rPr>
        <sz val="11"/>
        <rFont val="Georgia"/>
        <family val="1"/>
      </rPr>
      <t>CIVIC RS</t>
    </r>
  </si>
  <si>
    <r>
      <rPr>
        <sz val="11"/>
        <rFont val="Georgia"/>
        <family val="1"/>
      </rPr>
      <t>5BA-FL1</t>
    </r>
  </si>
  <si>
    <r>
      <rPr>
        <sz val="11"/>
        <rFont val="Georgia"/>
        <family val="1"/>
      </rPr>
      <t>CIVIC SEDAN</t>
    </r>
  </si>
  <si>
    <r>
      <rPr>
        <sz val="11"/>
        <rFont val="Georgia"/>
        <family val="1"/>
      </rPr>
      <t>CIVIC TYPE R</t>
    </r>
  </si>
  <si>
    <r>
      <rPr>
        <sz val="11"/>
        <rFont val="Georgia"/>
        <family val="1"/>
      </rPr>
      <t>6BA-FL5</t>
    </r>
  </si>
  <si>
    <r>
      <rPr>
        <sz val="11"/>
        <rFont val="Georgia"/>
        <family val="1"/>
      </rPr>
      <t>DBA-FK8</t>
    </r>
  </si>
  <si>
    <r>
      <rPr>
        <sz val="11"/>
        <rFont val="Georgia"/>
        <family val="1"/>
      </rPr>
      <t>CLARITY FUEL CELL</t>
    </r>
  </si>
  <si>
    <r>
      <rPr>
        <sz val="11"/>
        <rFont val="Georgia"/>
        <family val="1"/>
      </rPr>
      <t>ZBA-ZC4</t>
    </r>
  </si>
  <si>
    <r>
      <rPr>
        <sz val="11"/>
        <rFont val="Georgia"/>
        <family val="1"/>
      </rPr>
      <t>CLARITY PHEV EX</t>
    </r>
  </si>
  <si>
    <r>
      <rPr>
        <sz val="11"/>
        <rFont val="Georgia"/>
        <family val="1"/>
      </rPr>
      <t>6LA-ZC5</t>
    </r>
  </si>
  <si>
    <r>
      <rPr>
        <sz val="11"/>
        <rFont val="Georgia"/>
        <family val="1"/>
      </rPr>
      <t>CR-V E"HEV EX MASTERPIECE</t>
    </r>
  </si>
  <si>
    <r>
      <rPr>
        <sz val="11"/>
        <rFont val="Georgia"/>
        <family val="1"/>
      </rPr>
      <t>6AA-RT5</t>
    </r>
  </si>
  <si>
    <r>
      <rPr>
        <sz val="11"/>
        <rFont val="Georgia"/>
        <family val="1"/>
      </rPr>
      <t>CR-V E:FCEV</t>
    </r>
  </si>
  <si>
    <r>
      <rPr>
        <sz val="11"/>
        <rFont val="Georgia"/>
        <family val="1"/>
      </rPr>
      <t>ZBA-ZC8</t>
    </r>
  </si>
  <si>
    <r>
      <rPr>
        <sz val="11"/>
        <rFont val="Georgia"/>
        <family val="1"/>
      </rPr>
      <t>CR-V HYBRID EX</t>
    </r>
  </si>
  <si>
    <r>
      <rPr>
        <sz val="11"/>
        <rFont val="Georgia"/>
        <family val="1"/>
      </rPr>
      <t>Fit 13G.F</t>
    </r>
  </si>
  <si>
    <r>
      <rPr>
        <sz val="11"/>
        <rFont val="Georgia"/>
        <family val="1"/>
      </rPr>
      <t>DBA-GK3</t>
    </r>
  </si>
  <si>
    <r>
      <rPr>
        <sz val="11"/>
        <rFont val="Georgia"/>
        <family val="1"/>
      </rPr>
      <t>(FF/CVT)</t>
    </r>
  </si>
  <si>
    <r>
      <rPr>
        <sz val="11"/>
        <rFont val="Georgia"/>
        <family val="1"/>
      </rPr>
      <t>FIT E:HEV BASIC</t>
    </r>
  </si>
  <si>
    <r>
      <rPr>
        <sz val="11"/>
        <rFont val="Georgia"/>
        <family val="1"/>
      </rPr>
      <t>6AA-GR3</t>
    </r>
  </si>
  <si>
    <r>
      <rPr>
        <sz val="11"/>
        <rFont val="Georgia"/>
        <family val="1"/>
      </rPr>
      <t>FIT E:HEV HOME</t>
    </r>
  </si>
  <si>
    <r>
      <rPr>
        <sz val="11"/>
        <rFont val="Georgia"/>
        <family val="1"/>
      </rPr>
      <t>FIT E:HVE BASIC</t>
    </r>
  </si>
  <si>
    <r>
      <rPr>
        <sz val="11"/>
        <rFont val="Georgia"/>
        <family val="1"/>
      </rPr>
      <t>FIT HYBRID</t>
    </r>
  </si>
  <si>
    <r>
      <rPr>
        <sz val="11"/>
        <rFont val="Georgia"/>
        <family val="1"/>
      </rPr>
      <t>DAA-GP5</t>
    </r>
  </si>
  <si>
    <r>
      <rPr>
        <sz val="11"/>
        <rFont val="Georgia"/>
        <family val="1"/>
      </rPr>
      <t>FIT HYBRID F</t>
    </r>
  </si>
  <si>
    <r>
      <rPr>
        <sz val="11"/>
        <rFont val="Georgia"/>
        <family val="1"/>
      </rPr>
      <t>FIT HYBRID MODULE</t>
    </r>
  </si>
  <si>
    <r>
      <rPr>
        <sz val="11"/>
        <rFont val="Georgia"/>
        <family val="1"/>
      </rPr>
      <t>FIT HYBRID S</t>
    </r>
  </si>
  <si>
    <r>
      <rPr>
        <sz val="11"/>
        <rFont val="Georgia"/>
        <family val="1"/>
      </rPr>
      <t>DAA-GP7</t>
    </r>
  </si>
  <si>
    <r>
      <rPr>
        <sz val="11"/>
        <rFont val="Georgia"/>
        <family val="1"/>
      </rPr>
      <t>FIT HYBRID S SENSING</t>
    </r>
  </si>
  <si>
    <r>
      <rPr>
        <sz val="11"/>
        <rFont val="Georgia"/>
        <family val="1"/>
      </rPr>
      <t>FREED CROSSTAR</t>
    </r>
  </si>
  <si>
    <r>
      <rPr>
        <sz val="11"/>
        <rFont val="Georgia"/>
        <family val="1"/>
      </rPr>
      <t>5BA-GT2</t>
    </r>
  </si>
  <si>
    <r>
      <rPr>
        <sz val="11"/>
        <rFont val="Georgia"/>
        <family val="1"/>
      </rPr>
      <t>FREED E:HEV AIR EX</t>
    </r>
  </si>
  <si>
    <r>
      <rPr>
        <sz val="11"/>
        <rFont val="Georgia"/>
        <family val="1"/>
      </rPr>
      <t>6AA-GT5</t>
    </r>
  </si>
  <si>
    <r>
      <rPr>
        <sz val="11"/>
        <rFont val="Georgia"/>
        <family val="1"/>
      </rPr>
      <t>FREED E:HEV CROSSTAR SLOPE</t>
    </r>
  </si>
  <si>
    <r>
      <rPr>
        <sz val="11"/>
        <rFont val="Georgia"/>
        <family val="1"/>
      </rPr>
      <t>6AA-GT6</t>
    </r>
  </si>
  <si>
    <r>
      <rPr>
        <sz val="11"/>
        <rFont val="Georgia"/>
        <family val="1"/>
      </rPr>
      <t>FREED G</t>
    </r>
  </si>
  <si>
    <r>
      <rPr>
        <sz val="11"/>
        <rFont val="Georgia"/>
        <family val="1"/>
      </rPr>
      <t>5BA-GB5</t>
    </r>
  </si>
  <si>
    <r>
      <rPr>
        <sz val="11"/>
        <rFont val="Georgia"/>
        <family val="1"/>
      </rPr>
      <t>DBA-GB5</t>
    </r>
  </si>
  <si>
    <r>
      <rPr>
        <sz val="11"/>
        <rFont val="Georgia"/>
        <family val="1"/>
      </rPr>
      <t>FREED G HONDA SENSING</t>
    </r>
  </si>
  <si>
    <r>
      <rPr>
        <sz val="11"/>
        <rFont val="Georgia"/>
        <family val="1"/>
      </rPr>
      <t>6BA-GB5</t>
    </r>
  </si>
  <si>
    <r>
      <rPr>
        <sz val="11"/>
        <rFont val="Georgia"/>
        <family val="1"/>
      </rPr>
      <t>FREED HYBRID G</t>
    </r>
  </si>
  <si>
    <r>
      <rPr>
        <sz val="11"/>
        <rFont val="Georgia"/>
        <family val="1"/>
      </rPr>
      <t>6AA-GB7</t>
    </r>
  </si>
  <si>
    <r>
      <rPr>
        <sz val="11"/>
        <rFont val="Georgia"/>
        <family val="1"/>
      </rPr>
      <t>DAA-GB7</t>
    </r>
  </si>
  <si>
    <r>
      <rPr>
        <sz val="11"/>
        <rFont val="Georgia"/>
        <family val="1"/>
      </rPr>
      <t>FREED HYBRID MODULO X</t>
    </r>
  </si>
  <si>
    <r>
      <rPr>
        <sz val="11"/>
        <rFont val="Georgia"/>
        <family val="1"/>
      </rPr>
      <t>FREED+ HYBRID G</t>
    </r>
  </si>
  <si>
    <r>
      <rPr>
        <sz val="11"/>
        <rFont val="Georgia"/>
        <family val="1"/>
      </rPr>
      <t>FREED+ HYBRID G. HONDA SENSING</t>
    </r>
  </si>
  <si>
    <r>
      <rPr>
        <sz val="11"/>
        <rFont val="Georgia"/>
        <family val="1"/>
      </rPr>
      <t>GRACE HYBRID DX</t>
    </r>
  </si>
  <si>
    <r>
      <rPr>
        <sz val="11"/>
        <rFont val="Georgia"/>
        <family val="1"/>
      </rPr>
      <t>DAA-GM4</t>
    </r>
  </si>
  <si>
    <r>
      <rPr>
        <sz val="11"/>
        <rFont val="Georgia"/>
        <family val="1"/>
      </rPr>
      <t>GRACE HYBRID EX</t>
    </r>
  </si>
  <si>
    <r>
      <rPr>
        <sz val="11"/>
        <rFont val="Georgia"/>
        <family val="1"/>
      </rPr>
      <t>GRACE LX</t>
    </r>
  </si>
  <si>
    <r>
      <rPr>
        <sz val="11"/>
        <rFont val="Georgia"/>
        <family val="1"/>
      </rPr>
      <t>DBA-GM6</t>
    </r>
  </si>
  <si>
    <r>
      <rPr>
        <sz val="11"/>
        <rFont val="Georgia"/>
        <family val="1"/>
      </rPr>
      <t>HONDA E</t>
    </r>
  </si>
  <si>
    <r>
      <rPr>
        <sz val="11"/>
        <rFont val="Georgia"/>
        <family val="1"/>
      </rPr>
      <t>ZAA-ZC7</t>
    </r>
  </si>
  <si>
    <r>
      <rPr>
        <sz val="11"/>
        <rFont val="Georgia"/>
        <family val="1"/>
      </rPr>
      <t>HONDA E ADVANCE</t>
    </r>
  </si>
  <si>
    <r>
      <rPr>
        <sz val="11"/>
        <rFont val="Georgia"/>
        <family val="1"/>
      </rPr>
      <t>INSIGHT EX-BLACK STYLE</t>
    </r>
  </si>
  <si>
    <r>
      <rPr>
        <sz val="11"/>
        <rFont val="Georgia"/>
        <family val="1"/>
      </rPr>
      <t>6AA-ZE4</t>
    </r>
  </si>
  <si>
    <r>
      <rPr>
        <sz val="11"/>
        <rFont val="Georgia"/>
        <family val="1"/>
      </rPr>
      <t>JADE HYBRID RS</t>
    </r>
  </si>
  <si>
    <r>
      <rPr>
        <sz val="11"/>
        <rFont val="Georgia"/>
        <family val="1"/>
      </rPr>
      <t>DBA-FR4</t>
    </r>
  </si>
  <si>
    <r>
      <rPr>
        <sz val="11"/>
        <rFont val="Georgia"/>
        <family val="1"/>
      </rPr>
      <t>JADE HYBRID X</t>
    </r>
  </si>
  <si>
    <r>
      <rPr>
        <sz val="11"/>
        <rFont val="Georgia"/>
        <family val="1"/>
      </rPr>
      <t>DAA-FR4</t>
    </r>
  </si>
  <si>
    <r>
      <rPr>
        <sz val="11"/>
        <rFont val="Georgia"/>
        <family val="1"/>
      </rPr>
      <t>JADE RS</t>
    </r>
  </si>
  <si>
    <r>
      <rPr>
        <sz val="11"/>
        <rFont val="Georgia"/>
        <family val="1"/>
      </rPr>
      <t>DBA-FR5</t>
    </r>
  </si>
  <si>
    <r>
      <rPr>
        <sz val="11"/>
        <rFont val="Georgia"/>
        <family val="1"/>
      </rPr>
      <t>LEGEND HYBRID EX</t>
    </r>
  </si>
  <si>
    <r>
      <rPr>
        <sz val="11"/>
        <rFont val="Georgia"/>
        <family val="1"/>
      </rPr>
      <t>DAA-KC2</t>
    </r>
  </si>
  <si>
    <r>
      <rPr>
        <sz val="11"/>
        <rFont val="Georgia"/>
        <family val="1"/>
      </rPr>
      <t>LEGEND HYBRID X</t>
    </r>
  </si>
  <si>
    <r>
      <rPr>
        <sz val="11"/>
        <rFont val="Georgia"/>
        <family val="1"/>
      </rPr>
      <t>N-B0X EX</t>
    </r>
  </si>
  <si>
    <r>
      <rPr>
        <sz val="11"/>
        <rFont val="Georgia"/>
        <family val="1"/>
      </rPr>
      <t>6BA-JF3</t>
    </r>
  </si>
  <si>
    <r>
      <rPr>
        <sz val="11"/>
        <rFont val="Georgia"/>
        <family val="1"/>
      </rPr>
      <t>N-BOX</t>
    </r>
  </si>
  <si>
    <r>
      <rPr>
        <sz val="11"/>
        <rFont val="Georgia"/>
        <family val="1"/>
      </rPr>
      <t>6BA-JF5</t>
    </r>
  </si>
  <si>
    <r>
      <rPr>
        <sz val="11"/>
        <rFont val="Georgia"/>
        <family val="1"/>
      </rPr>
      <t>N-BOX CUSTOM G</t>
    </r>
  </si>
  <si>
    <r>
      <rPr>
        <sz val="11"/>
        <rFont val="Georgia"/>
        <family val="1"/>
      </rPr>
      <t>DBA-JF3</t>
    </r>
  </si>
  <si>
    <r>
      <rPr>
        <sz val="11"/>
        <rFont val="Georgia"/>
        <family val="1"/>
      </rPr>
      <t>N-Box Custom G.EX</t>
    </r>
  </si>
  <si>
    <r>
      <rPr>
        <sz val="11"/>
        <rFont val="Georgia"/>
        <family val="1"/>
      </rPr>
      <t>N-BOX CUSTOM G.EX TURBO</t>
    </r>
  </si>
  <si>
    <r>
      <rPr>
        <sz val="11"/>
        <rFont val="Georgia"/>
        <family val="1"/>
      </rPr>
      <t>N-BOX CUSTOM SLOPE</t>
    </r>
  </si>
  <si>
    <r>
      <rPr>
        <sz val="11"/>
        <rFont val="Georgia"/>
        <family val="1"/>
      </rPr>
      <t>N-BOX EX</t>
    </r>
  </si>
  <si>
    <r>
      <rPr>
        <sz val="11"/>
        <rFont val="Georgia"/>
        <family val="1"/>
      </rPr>
      <t>N-BOX G</t>
    </r>
  </si>
  <si>
    <r>
      <rPr>
        <sz val="11"/>
        <rFont val="Georgia"/>
        <family val="1"/>
      </rPr>
      <t>N-BOX G SLOPE L</t>
    </r>
  </si>
  <si>
    <r>
      <rPr>
        <sz val="11"/>
        <rFont val="Georgia"/>
        <family val="1"/>
      </rPr>
      <t>N-Box G.EX</t>
    </r>
  </si>
  <si>
    <r>
      <rPr>
        <sz val="11"/>
        <rFont val="Georgia"/>
        <family val="1"/>
      </rPr>
      <t>N-BOX G.L</t>
    </r>
  </si>
  <si>
    <r>
      <rPr>
        <sz val="11"/>
        <rFont val="Georgia"/>
        <family val="1"/>
      </rPr>
      <t>DBA-JF1</t>
    </r>
  </si>
  <si>
    <r>
      <rPr>
        <sz val="11"/>
        <rFont val="Georgia"/>
        <family val="1"/>
      </rPr>
      <t>N-BOX G-EX TURBO</t>
    </r>
  </si>
  <si>
    <r>
      <rPr>
        <sz val="11"/>
        <rFont val="Georgia"/>
        <family val="1"/>
      </rPr>
      <t>N-BOX JOY TURBO</t>
    </r>
  </si>
  <si>
    <r>
      <rPr>
        <sz val="11"/>
        <rFont val="Georgia"/>
        <family val="1"/>
      </rPr>
      <t>N-BOX L</t>
    </r>
  </si>
  <si>
    <r>
      <rPr>
        <sz val="11"/>
        <rFont val="Georgia"/>
        <family val="1"/>
      </rPr>
      <t>N-BOX SLASH G</t>
    </r>
  </si>
  <si>
    <r>
      <rPr>
        <sz val="11"/>
        <rFont val="Georgia"/>
        <family val="1"/>
      </rPr>
      <t>N-BOX SLASH X</t>
    </r>
  </si>
  <si>
    <r>
      <rPr>
        <sz val="11"/>
        <rFont val="Georgia"/>
        <family val="1"/>
      </rPr>
      <t>N-ONE G.L</t>
    </r>
  </si>
  <si>
    <r>
      <rPr>
        <sz val="11"/>
        <rFont val="Georgia"/>
        <family val="1"/>
      </rPr>
      <t>DBA-JG1</t>
    </r>
  </si>
  <si>
    <r>
      <rPr>
        <sz val="11"/>
        <rFont val="Georgia"/>
        <family val="1"/>
      </rPr>
      <t>N-ONE MODULO X</t>
    </r>
  </si>
  <si>
    <r>
      <rPr>
        <sz val="11"/>
        <rFont val="Georgia"/>
        <family val="1"/>
      </rPr>
      <t>N-ONE ORIGINAL</t>
    </r>
  </si>
  <si>
    <r>
      <rPr>
        <sz val="11"/>
        <rFont val="Georgia"/>
        <family val="1"/>
      </rPr>
      <t>6BA-JG3</t>
    </r>
  </si>
  <si>
    <r>
      <rPr>
        <sz val="11"/>
        <rFont val="Georgia"/>
        <family val="1"/>
      </rPr>
      <t>N-ONE PREMIUM TOURER</t>
    </r>
  </si>
  <si>
    <r>
      <rPr>
        <sz val="11"/>
        <rFont val="Georgia"/>
        <family val="1"/>
      </rPr>
      <t>N-ONE PRMIUM</t>
    </r>
  </si>
  <si>
    <r>
      <rPr>
        <sz val="11"/>
        <rFont val="Georgia"/>
        <family val="1"/>
      </rPr>
      <t>N-ONE RS</t>
    </r>
  </si>
  <si>
    <r>
      <rPr>
        <sz val="11"/>
        <rFont val="Georgia"/>
        <family val="1"/>
      </rPr>
      <t>N-ONE SELECT</t>
    </r>
  </si>
  <si>
    <r>
      <rPr>
        <sz val="11"/>
        <rFont val="Georgia"/>
        <family val="1"/>
      </rPr>
      <t>N-ONE STANDARD</t>
    </r>
  </si>
  <si>
    <r>
      <rPr>
        <sz val="11"/>
        <rFont val="Georgia"/>
        <family val="1"/>
      </rPr>
      <t>N-ONE STANDARD. L</t>
    </r>
  </si>
  <si>
    <r>
      <rPr>
        <sz val="11"/>
        <rFont val="Georgia"/>
        <family val="1"/>
      </rPr>
      <t>NSX</t>
    </r>
  </si>
  <si>
    <r>
      <rPr>
        <sz val="11"/>
        <rFont val="Georgia"/>
        <family val="1"/>
      </rPr>
      <t>5AA-NC1</t>
    </r>
  </si>
  <si>
    <r>
      <rPr>
        <sz val="11"/>
        <rFont val="Georgia"/>
        <family val="1"/>
      </rPr>
      <t>CAA-NC1</t>
    </r>
  </si>
  <si>
    <r>
      <rPr>
        <sz val="11"/>
        <rFont val="Georgia"/>
        <family val="1"/>
      </rPr>
      <t>9AT</t>
    </r>
  </si>
  <si>
    <r>
      <rPr>
        <sz val="11"/>
        <rFont val="Georgia"/>
        <family val="1"/>
      </rPr>
      <t>N-VAN</t>
    </r>
  </si>
  <si>
    <r>
      <rPr>
        <sz val="11"/>
        <rFont val="Georgia"/>
        <family val="1"/>
      </rPr>
      <t>5BD-JJ1</t>
    </r>
  </si>
  <si>
    <r>
      <rPr>
        <sz val="11"/>
        <rFont val="Georgia"/>
        <family val="1"/>
      </rPr>
      <t>N-VAN E (EV) E:L4</t>
    </r>
  </si>
  <si>
    <r>
      <rPr>
        <sz val="11"/>
        <rFont val="Georgia"/>
        <family val="1"/>
      </rPr>
      <t>ZAB-JJ3</t>
    </r>
  </si>
  <si>
    <r>
      <rPr>
        <sz val="11"/>
        <rFont val="Georgia"/>
        <family val="1"/>
      </rPr>
      <t>N-VAN L</t>
    </r>
  </si>
  <si>
    <r>
      <rPr>
        <sz val="11"/>
        <rFont val="Georgia"/>
        <family val="1"/>
      </rPr>
      <t>GBD-JJ1</t>
    </r>
  </si>
  <si>
    <r>
      <rPr>
        <sz val="11"/>
        <rFont val="Georgia"/>
        <family val="1"/>
      </rPr>
      <t>HBD-JJ1</t>
    </r>
  </si>
  <si>
    <r>
      <rPr>
        <sz val="11"/>
        <rFont val="Georgia"/>
        <family val="1"/>
      </rPr>
      <t>N-WGN  C</t>
    </r>
  </si>
  <si>
    <r>
      <rPr>
        <sz val="11"/>
        <rFont val="Georgia"/>
        <family val="1"/>
      </rPr>
      <t>DBA-JH1</t>
    </r>
  </si>
  <si>
    <r>
      <rPr>
        <sz val="11"/>
        <rFont val="Georgia"/>
        <family val="1"/>
      </rPr>
      <t>N-WGN CUSTOM</t>
    </r>
  </si>
  <si>
    <r>
      <rPr>
        <sz val="11"/>
        <rFont val="Georgia"/>
        <family val="1"/>
      </rPr>
      <t>6BA-JH3</t>
    </r>
  </si>
  <si>
    <r>
      <rPr>
        <sz val="11"/>
        <rFont val="Georgia"/>
        <family val="1"/>
      </rPr>
      <t>N-WGN Custom G.L</t>
    </r>
  </si>
  <si>
    <r>
      <rPr>
        <sz val="11"/>
        <rFont val="Georgia"/>
        <family val="1"/>
      </rPr>
      <t>N-WGN CUSTOM L</t>
    </r>
  </si>
  <si>
    <r>
      <rPr>
        <sz val="11"/>
        <rFont val="Georgia"/>
        <family val="1"/>
      </rPr>
      <t>N-WGN E:HEV HOME</t>
    </r>
  </si>
  <si>
    <r>
      <rPr>
        <sz val="11"/>
        <rFont val="Georgia"/>
        <family val="1"/>
      </rPr>
      <t>N-WGN G</t>
    </r>
  </si>
  <si>
    <r>
      <rPr>
        <sz val="11"/>
        <rFont val="Georgia"/>
        <family val="1"/>
      </rPr>
      <t>N-WGN G. HONDA SENSING</t>
    </r>
  </si>
  <si>
    <r>
      <rPr>
        <sz val="11"/>
        <rFont val="Georgia"/>
        <family val="1"/>
      </rPr>
      <t>N-WGN G.L</t>
    </r>
  </si>
  <si>
    <r>
      <rPr>
        <sz val="11"/>
        <rFont val="Georgia"/>
        <family val="1"/>
      </rPr>
      <t>N-WGN G.L PACKAGE</t>
    </r>
  </si>
  <si>
    <r>
      <rPr>
        <sz val="11"/>
        <rFont val="Georgia"/>
        <family val="1"/>
      </rPr>
      <t>N-WGN L</t>
    </r>
  </si>
  <si>
    <r>
      <rPr>
        <sz val="11"/>
        <rFont val="Georgia"/>
        <family val="1"/>
      </rPr>
      <t>N-WGN L HONDA SENSING</t>
    </r>
  </si>
  <si>
    <r>
      <rPr>
        <sz val="11"/>
        <rFont val="Georgia"/>
        <family val="1"/>
      </rPr>
      <t>Odssey Absolute X</t>
    </r>
  </si>
  <si>
    <r>
      <rPr>
        <sz val="11"/>
        <rFont val="Georgia"/>
        <family val="1"/>
      </rPr>
      <t>DBA-RC1</t>
    </r>
  </si>
  <si>
    <r>
      <rPr>
        <sz val="11"/>
        <rFont val="Georgia"/>
        <family val="1"/>
      </rPr>
      <t>ODSSEY E:HEV ABSOLUTE BLACK EDITION</t>
    </r>
  </si>
  <si>
    <r>
      <rPr>
        <sz val="11"/>
        <rFont val="Georgia"/>
        <family val="1"/>
      </rPr>
      <t>6AA-RC5</t>
    </r>
  </si>
  <si>
    <r>
      <rPr>
        <sz val="11"/>
        <rFont val="Georgia"/>
        <family val="1"/>
      </rPr>
      <t>ODSSEY G</t>
    </r>
  </si>
  <si>
    <r>
      <rPr>
        <sz val="11"/>
        <rFont val="Georgia"/>
        <family val="1"/>
      </rPr>
      <t>Odssey G</t>
    </r>
  </si>
  <si>
    <r>
      <rPr>
        <sz val="11"/>
        <rFont val="Georgia"/>
        <family val="1"/>
      </rPr>
      <t>DBA-RC21</t>
    </r>
  </si>
  <si>
    <r>
      <rPr>
        <sz val="11"/>
        <rFont val="Georgia"/>
        <family val="1"/>
      </rPr>
      <t>Odssey Hybrid Absolute Sensing EX</t>
    </r>
  </si>
  <si>
    <r>
      <rPr>
        <sz val="11"/>
        <rFont val="Georgia"/>
        <family val="1"/>
      </rPr>
      <t>DAA-RC4</t>
    </r>
  </si>
  <si>
    <r>
      <rPr>
        <sz val="11"/>
        <rFont val="Georgia"/>
        <family val="1"/>
      </rPr>
      <t>ODYSSEY G</t>
    </r>
  </si>
  <si>
    <r>
      <rPr>
        <sz val="11"/>
        <rFont val="Georgia"/>
        <family val="1"/>
      </rPr>
      <t>ODYSSEY G AERO</t>
    </r>
  </si>
  <si>
    <r>
      <rPr>
        <sz val="11"/>
        <rFont val="Georgia"/>
        <family val="1"/>
      </rPr>
      <t>6BA-RC1</t>
    </r>
  </si>
  <si>
    <r>
      <rPr>
        <sz val="11"/>
        <rFont val="Georgia"/>
        <family val="1"/>
      </rPr>
      <t>ODYSSEY G.AERO</t>
    </r>
  </si>
  <si>
    <r>
      <rPr>
        <sz val="11"/>
        <rFont val="Georgia"/>
        <family val="1"/>
      </rPr>
      <t>Odyssey Hybrid</t>
    </r>
  </si>
  <si>
    <r>
      <rPr>
        <sz val="11"/>
        <rFont val="Georgia"/>
        <family val="1"/>
      </rPr>
      <t>ODYSSEY HYBRID ABSOLUTE</t>
    </r>
  </si>
  <si>
    <r>
      <rPr>
        <sz val="11"/>
        <rFont val="Georgia"/>
        <family val="1"/>
      </rPr>
      <t>6AA-RC4</t>
    </r>
  </si>
  <si>
    <r>
      <rPr>
        <sz val="11"/>
        <rFont val="Georgia"/>
        <family val="1"/>
      </rPr>
      <t>ODYSSEY HYBRID ABSOLUTE EX</t>
    </r>
  </si>
  <si>
    <r>
      <rPr>
        <sz val="11"/>
        <rFont val="Georgia"/>
        <family val="1"/>
      </rPr>
      <t>S660</t>
    </r>
  </si>
  <si>
    <r>
      <rPr>
        <sz val="11"/>
        <rFont val="Georgia"/>
        <family val="1"/>
      </rPr>
      <t>3BA-JWS</t>
    </r>
  </si>
  <si>
    <r>
      <rPr>
        <sz val="11"/>
        <rFont val="Georgia"/>
        <family val="1"/>
      </rPr>
      <t>DBA-JW5</t>
    </r>
  </si>
  <si>
    <r>
      <rPr>
        <sz val="11"/>
        <rFont val="Georgia"/>
        <family val="1"/>
      </rPr>
      <t>S669 MODULO X</t>
    </r>
  </si>
  <si>
    <r>
      <rPr>
        <sz val="11"/>
        <rFont val="Georgia"/>
        <family val="1"/>
      </rPr>
      <t>Shutte Hybrid Sensing (FF)</t>
    </r>
  </si>
  <si>
    <r>
      <rPr>
        <sz val="11"/>
        <rFont val="Georgia"/>
        <family val="1"/>
      </rPr>
      <t>Shuttle Hybrid</t>
    </r>
  </si>
  <si>
    <r>
      <rPr>
        <sz val="11"/>
        <rFont val="Georgia"/>
        <family val="1"/>
      </rPr>
      <t>SHUTTLE HYBRID Z</t>
    </r>
  </si>
  <si>
    <r>
      <rPr>
        <sz val="11"/>
        <rFont val="Georgia"/>
        <family val="1"/>
      </rPr>
      <t>6AA-GP7</t>
    </r>
  </si>
  <si>
    <r>
      <rPr>
        <sz val="11"/>
        <rFont val="Georgia"/>
        <family val="1"/>
      </rPr>
      <t>SHUTTLE HYBRID Z HONDA SENSING</t>
    </r>
  </si>
  <si>
    <r>
      <rPr>
        <sz val="11"/>
        <rFont val="Georgia"/>
        <family val="1"/>
      </rPr>
      <t>ShuttleG Sensing (FF)</t>
    </r>
  </si>
  <si>
    <r>
      <rPr>
        <sz val="11"/>
        <rFont val="Georgia"/>
        <family val="1"/>
      </rPr>
      <t>DBA-GK8</t>
    </r>
  </si>
  <si>
    <r>
      <rPr>
        <sz val="11"/>
        <rFont val="Georgia"/>
        <family val="1"/>
      </rPr>
      <t>STEP WGN  SPADA</t>
    </r>
  </si>
  <si>
    <r>
      <rPr>
        <sz val="11"/>
        <rFont val="Georgia"/>
        <family val="1"/>
      </rPr>
      <t>5BA-RP6</t>
    </r>
  </si>
  <si>
    <r>
      <rPr>
        <sz val="11"/>
        <rFont val="Georgia"/>
        <family val="1"/>
      </rPr>
      <t>STEP WGN E:HEV SPADA</t>
    </r>
  </si>
  <si>
    <r>
      <rPr>
        <sz val="11"/>
        <rFont val="Georgia"/>
        <family val="1"/>
      </rPr>
      <t>6AA-RP8</t>
    </r>
  </si>
  <si>
    <r>
      <rPr>
        <sz val="11"/>
        <rFont val="Georgia"/>
        <family val="1"/>
      </rPr>
      <t>6AA-RP6</t>
    </r>
  </si>
  <si>
    <r>
      <rPr>
        <sz val="11"/>
        <rFont val="Georgia"/>
        <family val="1"/>
      </rPr>
      <t>STEP WGN E:HEV SPADA G</t>
    </r>
  </si>
  <si>
    <r>
      <rPr>
        <sz val="11"/>
        <rFont val="Georgia"/>
        <family val="1"/>
      </rPr>
      <t>6AA-RP5</t>
    </r>
  </si>
  <si>
    <r>
      <rPr>
        <sz val="11"/>
        <rFont val="Georgia"/>
        <family val="1"/>
      </rPr>
      <t>STEP WGN G</t>
    </r>
  </si>
  <si>
    <r>
      <rPr>
        <sz val="11"/>
        <rFont val="Georgia"/>
        <family val="1"/>
      </rPr>
      <t>DBA-RP1</t>
    </r>
  </si>
  <si>
    <r>
      <rPr>
        <sz val="11"/>
        <rFont val="Georgia"/>
        <family val="1"/>
      </rPr>
      <t>6BA-RP1</t>
    </r>
  </si>
  <si>
    <r>
      <rPr>
        <sz val="11"/>
        <rFont val="Georgia"/>
        <family val="1"/>
      </rPr>
      <t>66A-RP1</t>
    </r>
  </si>
  <si>
    <r>
      <rPr>
        <sz val="11"/>
        <rFont val="Georgia"/>
        <family val="1"/>
      </rPr>
      <t>STEP WGN G. HONDA SENSING</t>
    </r>
  </si>
  <si>
    <r>
      <rPr>
        <sz val="11"/>
        <rFont val="Georgia"/>
        <family val="1"/>
      </rPr>
      <t>STEP WGN G-EX</t>
    </r>
  </si>
  <si>
    <r>
      <rPr>
        <sz val="11"/>
        <rFont val="Georgia"/>
        <family val="1"/>
      </rPr>
      <t>STEP WGN MODULO X</t>
    </r>
  </si>
  <si>
    <r>
      <rPr>
        <sz val="11"/>
        <rFont val="Georgia"/>
        <family val="1"/>
      </rPr>
      <t>DBA-RP3</t>
    </r>
  </si>
  <si>
    <r>
      <rPr>
        <sz val="11"/>
        <rFont val="Georgia"/>
        <family val="1"/>
      </rPr>
      <t>STEP WGN SPADA</t>
    </r>
  </si>
  <si>
    <r>
      <rPr>
        <sz val="11"/>
        <rFont val="Georgia"/>
        <family val="1"/>
      </rPr>
      <t>Step WGN Spada</t>
    </r>
  </si>
  <si>
    <r>
      <rPr>
        <sz val="11"/>
        <rFont val="Georgia"/>
        <family val="1"/>
      </rPr>
      <t>STEP WGN SPADA HYBRID G</t>
    </r>
  </si>
  <si>
    <r>
      <rPr>
        <sz val="11"/>
        <rFont val="Georgia"/>
        <family val="1"/>
      </rPr>
      <t>STEP WGN SPADA HYBRID G.EX</t>
    </r>
  </si>
  <si>
    <r>
      <rPr>
        <sz val="11"/>
        <rFont val="Georgia"/>
        <family val="1"/>
      </rPr>
      <t>VEZEL E:HEV Z</t>
    </r>
  </si>
  <si>
    <r>
      <rPr>
        <sz val="11"/>
        <rFont val="Georgia"/>
        <family val="1"/>
      </rPr>
      <t>6AA-RV5</t>
    </r>
  </si>
  <si>
    <r>
      <rPr>
        <sz val="11"/>
        <rFont val="Georgia"/>
        <family val="1"/>
      </rPr>
      <t>VEZEL HYBRID RS</t>
    </r>
  </si>
  <si>
    <r>
      <rPr>
        <sz val="11"/>
        <rFont val="Georgia"/>
        <family val="1"/>
      </rPr>
      <t>DAA-RU3</t>
    </r>
  </si>
  <si>
    <r>
      <rPr>
        <sz val="11"/>
        <rFont val="Georgia"/>
        <family val="1"/>
      </rPr>
      <t>VEZEL HYBRID RS HONDA SENSING</t>
    </r>
  </si>
  <si>
    <r>
      <rPr>
        <sz val="11"/>
        <rFont val="Georgia"/>
        <family val="1"/>
      </rPr>
      <t>6AA-RU3</t>
    </r>
  </si>
  <si>
    <r>
      <rPr>
        <sz val="11"/>
        <rFont val="Georgia"/>
        <family val="1"/>
      </rPr>
      <t>WR-V Z+</t>
    </r>
  </si>
  <si>
    <r>
      <rPr>
        <sz val="11"/>
        <rFont val="Georgia"/>
        <family val="1"/>
      </rPr>
      <t>5BA-DGS</t>
    </r>
  </si>
  <si>
    <r>
      <rPr>
        <sz val="11"/>
        <rFont val="Georgia"/>
        <family val="1"/>
      </rPr>
      <t>ZR-V  E:HEV</t>
    </r>
  </si>
  <si>
    <r>
      <rPr>
        <sz val="11"/>
        <rFont val="Georgia"/>
        <family val="1"/>
      </rPr>
      <t>6AA-RZ4</t>
    </r>
  </si>
  <si>
    <r>
      <rPr>
        <sz val="11"/>
        <rFont val="Georgia"/>
        <family val="1"/>
      </rPr>
      <t>HUMMER</t>
    </r>
  </si>
  <si>
    <r>
      <rPr>
        <sz val="11"/>
        <rFont val="Georgia"/>
        <family val="1"/>
      </rPr>
      <t>GMC HUMMER EV 2X</t>
    </r>
  </si>
  <si>
    <r>
      <rPr>
        <sz val="11"/>
        <rFont val="Georgia"/>
        <family val="1"/>
      </rPr>
      <t>1,000 hp</t>
    </r>
  </si>
  <si>
    <r>
      <rPr>
        <sz val="11"/>
        <rFont val="Georgia"/>
        <family val="1"/>
      </rPr>
      <t>CREW CAB</t>
    </r>
  </si>
  <si>
    <r>
      <rPr>
        <sz val="11"/>
        <rFont val="Georgia"/>
        <family val="1"/>
      </rPr>
      <t>GMC HUMMER EV 3X</t>
    </r>
  </si>
  <si>
    <r>
      <rPr>
        <sz val="11"/>
        <rFont val="Georgia"/>
        <family val="1"/>
      </rPr>
      <t>HUMMER EV 2X</t>
    </r>
  </si>
  <si>
    <r>
      <rPr>
        <sz val="11"/>
        <rFont val="Georgia"/>
        <family val="1"/>
      </rPr>
      <t>570 hp</t>
    </r>
  </si>
  <si>
    <r>
      <rPr>
        <sz val="11"/>
        <rFont val="Georgia"/>
        <family val="1"/>
      </rPr>
      <t>HUMMER EV 3X</t>
    </r>
  </si>
  <si>
    <r>
      <rPr>
        <sz val="11"/>
        <rFont val="Georgia"/>
        <family val="1"/>
      </rPr>
      <t>HUMMER EV EDITION 1</t>
    </r>
  </si>
  <si>
    <r>
      <rPr>
        <sz val="11"/>
        <rFont val="Georgia"/>
        <family val="1"/>
      </rPr>
      <t>HUMMER EV 3X OMEGA LIMITED EDITION</t>
    </r>
  </si>
  <si>
    <r>
      <rPr>
        <sz val="11"/>
        <rFont val="Georgia"/>
        <family val="1"/>
      </rPr>
      <t>HUMMER EV SUV EV2</t>
    </r>
  </si>
  <si>
    <r>
      <rPr>
        <sz val="11"/>
        <rFont val="Georgia"/>
        <family val="1"/>
      </rPr>
      <t>625 hp</t>
    </r>
  </si>
  <si>
    <r>
      <rPr>
        <sz val="11"/>
        <rFont val="Georgia"/>
        <family val="1"/>
      </rPr>
      <t>800 hp</t>
    </r>
  </si>
  <si>
    <r>
      <rPr>
        <sz val="11"/>
        <rFont val="Georgia"/>
        <family val="1"/>
      </rPr>
      <t>HYUNDAI</t>
    </r>
  </si>
  <si>
    <r>
      <rPr>
        <sz val="11"/>
        <rFont val="Georgia"/>
        <family val="1"/>
      </rPr>
      <t>I30 N LINE MHEV</t>
    </r>
  </si>
  <si>
    <r>
      <rPr>
        <sz val="11"/>
        <rFont val="Georgia"/>
        <family val="1"/>
      </rPr>
      <t>N LINE MHEV</t>
    </r>
  </si>
  <si>
    <r>
      <rPr>
        <sz val="11"/>
        <rFont val="Georgia"/>
        <family val="1"/>
      </rPr>
      <t>I30 N LINE PRM MHEV</t>
    </r>
  </si>
  <si>
    <r>
      <rPr>
        <sz val="11"/>
        <rFont val="Georgia"/>
        <family val="1"/>
      </rPr>
      <t>N LINE PRM MHEV</t>
    </r>
  </si>
  <si>
    <r>
      <rPr>
        <sz val="11"/>
        <rFont val="Georgia"/>
        <family val="1"/>
      </rPr>
      <t>ACCENT SPORT</t>
    </r>
  </si>
  <si>
    <r>
      <rPr>
        <sz val="11"/>
        <rFont val="Georgia"/>
        <family val="1"/>
      </rPr>
      <t>SPORT</t>
    </r>
  </si>
  <si>
    <r>
      <rPr>
        <sz val="11"/>
        <rFont val="Georgia"/>
        <family val="1"/>
      </rPr>
      <t>ELANTRA SPORT (BLACK)</t>
    </r>
  </si>
  <si>
    <r>
      <rPr>
        <sz val="11"/>
        <rFont val="Georgia"/>
        <family val="1"/>
      </rPr>
      <t>SPORT (BLACK)</t>
    </r>
  </si>
  <si>
    <r>
      <rPr>
        <sz val="11"/>
        <rFont val="Georgia"/>
        <family val="1"/>
      </rPr>
      <t>ELANTRA SPORT (RED)</t>
    </r>
  </si>
  <si>
    <r>
      <rPr>
        <sz val="11"/>
        <rFont val="Georgia"/>
        <family val="1"/>
      </rPr>
      <t>SPORT (RED)</t>
    </r>
  </si>
  <si>
    <r>
      <rPr>
        <sz val="11"/>
        <rFont val="Georgia"/>
        <family val="1"/>
      </rPr>
      <t>ELANTRA SPORT PREMIUM (BLACK)</t>
    </r>
  </si>
  <si>
    <r>
      <rPr>
        <sz val="11"/>
        <rFont val="Georgia"/>
        <family val="1"/>
      </rPr>
      <t>SPORT PREMIUM (BLACK)</t>
    </r>
  </si>
  <si>
    <r>
      <rPr>
        <sz val="11"/>
        <rFont val="Georgia"/>
        <family val="1"/>
      </rPr>
      <t>ELANTRA SPORT PREMIUM (RED)</t>
    </r>
  </si>
  <si>
    <r>
      <rPr>
        <sz val="11"/>
        <rFont val="Georgia"/>
        <family val="1"/>
      </rPr>
      <t>SPORT PREMIUM (RED)</t>
    </r>
  </si>
  <si>
    <r>
      <rPr>
        <sz val="11"/>
        <rFont val="Georgia"/>
        <family val="1"/>
      </rPr>
      <t>I20 N</t>
    </r>
  </si>
  <si>
    <r>
      <rPr>
        <sz val="11"/>
        <rFont val="Georgia"/>
        <family val="1"/>
      </rPr>
      <t>N</t>
    </r>
  </si>
  <si>
    <r>
      <rPr>
        <sz val="11"/>
        <rFont val="Georgia"/>
        <family val="1"/>
      </rPr>
      <t>I20 N TTR</t>
    </r>
  </si>
  <si>
    <r>
      <rPr>
        <sz val="11"/>
        <rFont val="Georgia"/>
        <family val="1"/>
      </rPr>
      <t>N TTR</t>
    </r>
  </si>
  <si>
    <r>
      <rPr>
        <sz val="11"/>
        <rFont val="Georgia"/>
        <family val="1"/>
      </rPr>
      <t>I30 ELITE HEV 1.6P DCT</t>
    </r>
  </si>
  <si>
    <r>
      <rPr>
        <sz val="11"/>
        <rFont val="Georgia"/>
        <family val="1"/>
      </rPr>
      <t>ELITE HEV 1.6P DCT</t>
    </r>
  </si>
  <si>
    <r>
      <rPr>
        <sz val="11"/>
        <rFont val="Georgia"/>
        <family val="1"/>
      </rPr>
      <t>I30 HEV 1.6P DCT</t>
    </r>
  </si>
  <si>
    <r>
      <rPr>
        <sz val="11"/>
        <rFont val="Georgia"/>
        <family val="1"/>
      </rPr>
      <t>HEV 1.6P DCT</t>
    </r>
  </si>
  <si>
    <r>
      <rPr>
        <sz val="11"/>
        <rFont val="Georgia"/>
        <family val="1"/>
      </rPr>
      <t>I30 N LINE</t>
    </r>
  </si>
  <si>
    <r>
      <rPr>
        <sz val="11"/>
        <rFont val="Georgia"/>
        <family val="1"/>
      </rPr>
      <t>N LINE</t>
    </r>
  </si>
  <si>
    <r>
      <rPr>
        <sz val="11"/>
        <rFont val="Georgia"/>
        <family val="1"/>
      </rPr>
      <t>I30 N LINE PREMIUM</t>
    </r>
  </si>
  <si>
    <r>
      <rPr>
        <sz val="11"/>
        <rFont val="Georgia"/>
        <family val="1"/>
      </rPr>
      <t>N LINE PREMIUM</t>
    </r>
  </si>
  <si>
    <r>
      <rPr>
        <sz val="11"/>
        <rFont val="Georgia"/>
        <family val="1"/>
      </rPr>
      <t>IONIQ HYBRID PREMIUM</t>
    </r>
  </si>
  <si>
    <r>
      <rPr>
        <sz val="11"/>
        <rFont val="Georgia"/>
        <family val="1"/>
      </rPr>
      <t>IONIQ PLUG-IN HYBRID PREMIUM</t>
    </r>
  </si>
  <si>
    <r>
      <rPr>
        <sz val="11"/>
        <rFont val="Georgia"/>
        <family val="1"/>
      </rPr>
      <t>KONA HYBRID</t>
    </r>
  </si>
  <si>
    <r>
      <rPr>
        <sz val="11"/>
        <rFont val="Georgia"/>
        <family val="1"/>
      </rPr>
      <t>KONA HYBRID N LINE</t>
    </r>
  </si>
  <si>
    <r>
      <rPr>
        <sz val="11"/>
        <rFont val="Georgia"/>
        <family val="1"/>
      </rPr>
      <t>KONA HYBRID PREMIUM</t>
    </r>
  </si>
  <si>
    <r>
      <rPr>
        <sz val="11"/>
        <rFont val="Georgia"/>
        <family val="1"/>
      </rPr>
      <t>KONA HYBRID PREMIUM N LINE</t>
    </r>
  </si>
  <si>
    <r>
      <rPr>
        <sz val="11"/>
        <rFont val="Georgia"/>
        <family val="1"/>
      </rPr>
      <t>KONA HYBRID PREMIUM N LINE SUNROOF</t>
    </r>
  </si>
  <si>
    <r>
      <rPr>
        <sz val="11"/>
        <rFont val="Georgia"/>
        <family val="1"/>
      </rPr>
      <t>KONA HYBRID PREMIUM SUNROOF</t>
    </r>
  </si>
  <si>
    <r>
      <rPr>
        <sz val="11"/>
        <rFont val="Georgia"/>
        <family val="1"/>
      </rPr>
      <t>KONA N LINE</t>
    </r>
  </si>
  <si>
    <r>
      <rPr>
        <sz val="11"/>
        <rFont val="Georgia"/>
        <family val="1"/>
      </rPr>
      <t>KONA PREMIUM N LINE</t>
    </r>
  </si>
  <si>
    <r>
      <rPr>
        <sz val="11"/>
        <rFont val="Georgia"/>
        <family val="1"/>
      </rPr>
      <t>KONA PREMIUM N LINE SUNROOF</t>
    </r>
  </si>
  <si>
    <r>
      <rPr>
        <sz val="11"/>
        <rFont val="Georgia"/>
        <family val="1"/>
      </rPr>
      <t>SANTA FE CALIGRAPHY (6 SEAT)</t>
    </r>
  </si>
  <si>
    <r>
      <rPr>
        <sz val="11"/>
        <rFont val="Georgia"/>
        <family val="1"/>
      </rPr>
      <t>SANTA FE CALIGRAPHY (7 SEAT)</t>
    </r>
  </si>
  <si>
    <r>
      <rPr>
        <sz val="11"/>
        <rFont val="Georgia"/>
        <family val="1"/>
      </rPr>
      <t>SANTA FE ELITE HEV (7 SEAT)</t>
    </r>
  </si>
  <si>
    <r>
      <rPr>
        <sz val="11"/>
        <rFont val="Georgia"/>
        <family val="1"/>
      </rPr>
      <t>SANTA FE HEV (2WD)</t>
    </r>
  </si>
  <si>
    <r>
      <rPr>
        <sz val="11"/>
        <rFont val="Georgia"/>
        <family val="1"/>
      </rPr>
      <t>SANTA FE HEV (AWD)</t>
    </r>
  </si>
  <si>
    <r>
      <rPr>
        <sz val="11"/>
        <rFont val="Georgia"/>
        <family val="1"/>
      </rPr>
      <t>TUCSON ELITE (AWD)</t>
    </r>
  </si>
  <si>
    <r>
      <rPr>
        <sz val="11"/>
        <rFont val="Georgia"/>
        <family val="1"/>
      </rPr>
      <t>TUCSON ELITE (FWD)</t>
    </r>
  </si>
  <si>
    <r>
      <rPr>
        <sz val="11"/>
        <rFont val="Georgia"/>
        <family val="1"/>
      </rPr>
      <t>TUCSON ELITE HYBRID (AWD)</t>
    </r>
  </si>
  <si>
    <r>
      <rPr>
        <sz val="11"/>
        <rFont val="Georgia"/>
        <family val="1"/>
      </rPr>
      <t>TUCSON ELITE HYBRID (FWD)</t>
    </r>
  </si>
  <si>
    <r>
      <rPr>
        <sz val="11"/>
        <rFont val="Georgia"/>
        <family val="1"/>
      </rPr>
      <t>TUCSON ELITE HYBRID N LINE (AWD)</t>
    </r>
  </si>
  <si>
    <r>
      <rPr>
        <sz val="11"/>
        <rFont val="Georgia"/>
        <family val="1"/>
      </rPr>
      <t>TUCSON ELITE HYBRID N LINE (FWD)</t>
    </r>
  </si>
  <si>
    <r>
      <rPr>
        <sz val="11"/>
        <rFont val="Georgia"/>
        <family val="1"/>
      </rPr>
      <t>TUCSON ELITE N LINE (AWD)</t>
    </r>
  </si>
  <si>
    <r>
      <rPr>
        <sz val="11"/>
        <rFont val="Georgia"/>
        <family val="1"/>
      </rPr>
      <t>TUCSON ELITE N LINE (FWD)</t>
    </r>
  </si>
  <si>
    <r>
      <rPr>
        <sz val="11"/>
        <rFont val="Georgia"/>
        <family val="1"/>
      </rPr>
      <t>TUCSON HIGHLANDER (AWD)</t>
    </r>
  </si>
  <si>
    <r>
      <rPr>
        <sz val="11"/>
        <rFont val="Georgia"/>
        <family val="1"/>
      </rPr>
      <t>TUCSON HIGHLANDER (AWD) NO SRF</t>
    </r>
  </si>
  <si>
    <r>
      <rPr>
        <sz val="11"/>
        <rFont val="Georgia"/>
        <family val="1"/>
      </rPr>
      <t>TUCSON HIGHLANDER N LINE (AWD)</t>
    </r>
  </si>
  <si>
    <r>
      <rPr>
        <sz val="11"/>
        <rFont val="Georgia"/>
        <family val="1"/>
      </rPr>
      <t>HIGHLANDER N LINE (AWD)</t>
    </r>
  </si>
  <si>
    <r>
      <rPr>
        <sz val="11"/>
        <rFont val="Georgia"/>
        <family val="1"/>
      </rPr>
      <t>TUCSON HIGHLANDER N LINE (AWD) NO SRF</t>
    </r>
  </si>
  <si>
    <r>
      <rPr>
        <sz val="11"/>
        <rFont val="Georgia"/>
        <family val="1"/>
      </rPr>
      <t>HIGHLANDER N LINE (AWD) NO SRF</t>
    </r>
  </si>
  <si>
    <r>
      <rPr>
        <sz val="11"/>
        <rFont val="Georgia"/>
        <family val="1"/>
      </rPr>
      <t>TUCSON HYBRID (FWD)</t>
    </r>
  </si>
  <si>
    <r>
      <rPr>
        <sz val="11"/>
        <rFont val="Georgia"/>
        <family val="1"/>
      </rPr>
      <t>TUCSON HYBRID N LINE (FWD)</t>
    </r>
  </si>
  <si>
    <r>
      <rPr>
        <sz val="11"/>
        <rFont val="Georgia"/>
        <family val="1"/>
      </rPr>
      <t>TUCSON PREMIUM HYBRID (AWD)</t>
    </r>
  </si>
  <si>
    <r>
      <rPr>
        <sz val="11"/>
        <rFont val="Georgia"/>
        <family val="1"/>
      </rPr>
      <t>TUCSON PREMIUM N LINE HYBRID (AWD)</t>
    </r>
  </si>
  <si>
    <r>
      <rPr>
        <sz val="11"/>
        <rFont val="Georgia"/>
        <family val="1"/>
      </rPr>
      <t>VELOSTER TURBO</t>
    </r>
  </si>
  <si>
    <r>
      <rPr>
        <sz val="11"/>
        <rFont val="Georgia"/>
        <family val="1"/>
      </rPr>
      <t>TURBO</t>
    </r>
  </si>
  <si>
    <r>
      <rPr>
        <sz val="11"/>
        <rFont val="Georgia"/>
        <family val="1"/>
      </rPr>
      <t>VELOSTER TURBO PREMIUM</t>
    </r>
  </si>
  <si>
    <r>
      <rPr>
        <sz val="11"/>
        <rFont val="Georgia"/>
        <family val="1"/>
      </rPr>
      <t>TURBO PREMIUM</t>
    </r>
  </si>
  <si>
    <r>
      <rPr>
        <sz val="11"/>
        <rFont val="Georgia"/>
        <family val="1"/>
      </rPr>
      <t>VELOSTER TURBO PREMIUM TTR</t>
    </r>
  </si>
  <si>
    <r>
      <rPr>
        <sz val="11"/>
        <rFont val="Georgia"/>
        <family val="1"/>
      </rPr>
      <t>TURBO PREMIUM TTR</t>
    </r>
  </si>
  <si>
    <r>
      <rPr>
        <sz val="11"/>
        <rFont val="Georgia"/>
        <family val="1"/>
      </rPr>
      <t>VENUE (BASE)</t>
    </r>
  </si>
  <si>
    <r>
      <rPr>
        <sz val="11"/>
        <rFont val="Georgia"/>
        <family val="1"/>
      </rPr>
      <t>(BASE)</t>
    </r>
  </si>
  <si>
    <r>
      <rPr>
        <sz val="11"/>
        <rFont val="Georgia"/>
        <family val="1"/>
      </rPr>
      <t>VENUE ACTIVE</t>
    </r>
  </si>
  <si>
    <r>
      <rPr>
        <sz val="11"/>
        <rFont val="Georgia"/>
        <family val="1"/>
      </rPr>
      <t>ACTIVE</t>
    </r>
  </si>
  <si>
    <r>
      <rPr>
        <sz val="11"/>
        <rFont val="Georgia"/>
        <family val="1"/>
      </rPr>
      <t>VENUE ELITE (BLACK) SUNROOF</t>
    </r>
  </si>
  <si>
    <r>
      <rPr>
        <sz val="11"/>
        <rFont val="Georgia"/>
        <family val="1"/>
      </rPr>
      <t>ELITE (BLACK) SUNROOF</t>
    </r>
  </si>
  <si>
    <r>
      <rPr>
        <sz val="11"/>
        <rFont val="Georgia"/>
        <family val="1"/>
      </rPr>
      <t>VENUE ELITE (BLACK) TWO-TONE ROOF</t>
    </r>
  </si>
  <si>
    <r>
      <rPr>
        <sz val="11"/>
        <rFont val="Georgia"/>
        <family val="1"/>
      </rPr>
      <t>ELITE (BLACK) TWO-TONE ROOF</t>
    </r>
  </si>
  <si>
    <r>
      <rPr>
        <sz val="11"/>
        <rFont val="Georgia"/>
        <family val="1"/>
      </rPr>
      <t>VENUE ELITE (DENIM) TWO-TONE ROOF</t>
    </r>
  </si>
  <si>
    <r>
      <rPr>
        <sz val="11"/>
        <rFont val="Georgia"/>
        <family val="1"/>
      </rPr>
      <t>ELITE (DENIM) TWO-TONE ROOF</t>
    </r>
  </si>
  <si>
    <r>
      <rPr>
        <sz val="11"/>
        <rFont val="Georgia"/>
        <family val="1"/>
      </rPr>
      <t>I40 ACTIVE</t>
    </r>
  </si>
  <si>
    <r>
      <rPr>
        <sz val="11"/>
        <rFont val="Georgia"/>
        <family val="1"/>
      </rPr>
      <t>I40 ACTIVE TOURER</t>
    </r>
  </si>
  <si>
    <r>
      <rPr>
        <sz val="11"/>
        <rFont val="Georgia"/>
        <family val="1"/>
      </rPr>
      <t>ACTIVE TOURER</t>
    </r>
  </si>
  <si>
    <r>
      <rPr>
        <sz val="11"/>
        <rFont val="Georgia"/>
        <family val="1"/>
      </rPr>
      <t>I40 PREMIUM</t>
    </r>
  </si>
  <si>
    <r>
      <rPr>
        <sz val="11"/>
        <rFont val="Georgia"/>
        <family val="1"/>
      </rPr>
      <t>I40 PREMIUM TOURER</t>
    </r>
  </si>
  <si>
    <r>
      <rPr>
        <sz val="11"/>
        <rFont val="Georgia"/>
        <family val="1"/>
      </rPr>
      <t>PREMIUM TOURER</t>
    </r>
  </si>
  <si>
    <r>
      <rPr>
        <sz val="11"/>
        <rFont val="Georgia"/>
        <family val="1"/>
      </rPr>
      <t>ELANTRA ACTIVE</t>
    </r>
  </si>
  <si>
    <r>
      <rPr>
        <sz val="11"/>
        <rFont val="Georgia"/>
        <family val="1"/>
      </rPr>
      <t>ELANTRA ACTIVE SMARTSENSE</t>
    </r>
  </si>
  <si>
    <r>
      <rPr>
        <sz val="11"/>
        <rFont val="Georgia"/>
        <family val="1"/>
      </rPr>
      <t>ACTIVE SMARTSENSE</t>
    </r>
  </si>
  <si>
    <r>
      <rPr>
        <sz val="11"/>
        <rFont val="Georgia"/>
        <family val="1"/>
      </rPr>
      <t>ELANTRA GO</t>
    </r>
  </si>
  <si>
    <r>
      <rPr>
        <sz val="11"/>
        <rFont val="Georgia"/>
        <family val="1"/>
      </rPr>
      <t>GO</t>
    </r>
  </si>
  <si>
    <r>
      <rPr>
        <sz val="11"/>
        <rFont val="Georgia"/>
        <family val="1"/>
      </rPr>
      <t>ELANTRA GO SMARTSENSE</t>
    </r>
  </si>
  <si>
    <r>
      <rPr>
        <sz val="11"/>
        <rFont val="Georgia"/>
        <family val="1"/>
      </rPr>
      <t>GO SMARTSENSE</t>
    </r>
  </si>
  <si>
    <r>
      <rPr>
        <sz val="11"/>
        <rFont val="Georgia"/>
        <family val="1"/>
      </rPr>
      <t>I30 (BASE)</t>
    </r>
  </si>
  <si>
    <r>
      <rPr>
        <sz val="11"/>
        <rFont val="Georgia"/>
        <family val="1"/>
      </rPr>
      <t>I30 ACTIVE</t>
    </r>
  </si>
  <si>
    <r>
      <rPr>
        <sz val="11"/>
        <rFont val="Georgia"/>
        <family val="1"/>
      </rPr>
      <t>I30 ELITE</t>
    </r>
  </si>
  <si>
    <r>
      <rPr>
        <sz val="11"/>
        <rFont val="Georgia"/>
        <family val="1"/>
      </rPr>
      <t>ELITE</t>
    </r>
  </si>
  <si>
    <r>
      <rPr>
        <sz val="11"/>
        <rFont val="Georgia"/>
        <family val="1"/>
      </rPr>
      <t>I30 N</t>
    </r>
  </si>
  <si>
    <r>
      <rPr>
        <sz val="11"/>
        <rFont val="Georgia"/>
        <family val="1"/>
      </rPr>
      <t>I30 N PREMIUM</t>
    </r>
  </si>
  <si>
    <r>
      <rPr>
        <sz val="11"/>
        <rFont val="Georgia"/>
        <family val="1"/>
      </rPr>
      <t>N PREMIUM</t>
    </r>
  </si>
  <si>
    <r>
      <rPr>
        <sz val="11"/>
        <rFont val="Georgia"/>
        <family val="1"/>
      </rPr>
      <t>I30 N PREMIUM WITH SUNROOF</t>
    </r>
  </si>
  <si>
    <r>
      <rPr>
        <sz val="11"/>
        <rFont val="Georgia"/>
        <family val="1"/>
      </rPr>
      <t>N PREMIUM WITH SUNROOF</t>
    </r>
  </si>
  <si>
    <r>
      <rPr>
        <sz val="11"/>
        <rFont val="Georgia"/>
        <family val="1"/>
      </rPr>
      <t>I30 PREMIUM</t>
    </r>
  </si>
  <si>
    <r>
      <rPr>
        <sz val="11"/>
        <rFont val="Georgia"/>
        <family val="1"/>
      </rPr>
      <t>KONA (BASE)</t>
    </r>
  </si>
  <si>
    <r>
      <rPr>
        <sz val="11"/>
        <rFont val="Georgia"/>
        <family val="1"/>
      </rPr>
      <t>KONA PREMIUM</t>
    </r>
  </si>
  <si>
    <r>
      <rPr>
        <sz val="11"/>
        <rFont val="Georgia"/>
        <family val="1"/>
      </rPr>
      <t>KONA PREMIUM SUNROOF</t>
    </r>
  </si>
  <si>
    <r>
      <rPr>
        <sz val="11"/>
        <rFont val="Georgia"/>
        <family val="1"/>
      </rPr>
      <t>TUCSON (FWD)</t>
    </r>
  </si>
  <si>
    <r>
      <rPr>
        <sz val="11"/>
        <rFont val="Georgia"/>
        <family val="1"/>
      </rPr>
      <t>ELITE (AWD)</t>
    </r>
  </si>
  <si>
    <r>
      <rPr>
        <sz val="11"/>
        <rFont val="Georgia"/>
        <family val="1"/>
      </rPr>
      <t>ELITE N LINE (AWD)</t>
    </r>
  </si>
  <si>
    <r>
      <rPr>
        <sz val="11"/>
        <rFont val="Georgia"/>
        <family val="1"/>
      </rPr>
      <t>HIGHLANDER (AWD)</t>
    </r>
  </si>
  <si>
    <r>
      <rPr>
        <sz val="11"/>
        <rFont val="Georgia"/>
        <family val="1"/>
      </rPr>
      <t>HIGHLANDER (AWD) NO SRF</t>
    </r>
  </si>
  <si>
    <r>
      <rPr>
        <sz val="11"/>
        <rFont val="Georgia"/>
        <family val="1"/>
      </rPr>
      <t>TUCSON HIGHLANDER (FWD)</t>
    </r>
  </si>
  <si>
    <r>
      <rPr>
        <sz val="11"/>
        <rFont val="Georgia"/>
        <family val="1"/>
      </rPr>
      <t>HIGHLANDER (FWD)</t>
    </r>
  </si>
  <si>
    <r>
      <rPr>
        <sz val="11"/>
        <rFont val="Georgia"/>
        <family val="1"/>
      </rPr>
      <t>TUCSON HIGHLANDER (FWD) NO SRF</t>
    </r>
  </si>
  <si>
    <r>
      <rPr>
        <sz val="11"/>
        <rFont val="Georgia"/>
        <family val="1"/>
      </rPr>
      <t>HIGHLANDER (FWD) NO SRF</t>
    </r>
  </si>
  <si>
    <r>
      <rPr>
        <sz val="11"/>
        <rFont val="Georgia"/>
        <family val="1"/>
      </rPr>
      <t>TUCSON HIGHLANDER N LINE (FWD)</t>
    </r>
  </si>
  <si>
    <r>
      <rPr>
        <sz val="11"/>
        <rFont val="Georgia"/>
        <family val="1"/>
      </rPr>
      <t>HIGHLANDER N LINE (FWD)</t>
    </r>
  </si>
  <si>
    <r>
      <rPr>
        <sz val="11"/>
        <rFont val="Georgia"/>
        <family val="1"/>
      </rPr>
      <t>TUCSON HIGHLANDER N LINE (FWD) NO SRF</t>
    </r>
  </si>
  <si>
    <r>
      <rPr>
        <sz val="11"/>
        <rFont val="Georgia"/>
        <family val="1"/>
      </rPr>
      <t>HIGHLANDER N LINE (FWD) NO SRF</t>
    </r>
  </si>
  <si>
    <r>
      <rPr>
        <sz val="11"/>
        <rFont val="Georgia"/>
        <family val="1"/>
      </rPr>
      <t>TUCSON N LINE (FWD)</t>
    </r>
  </si>
  <si>
    <r>
      <rPr>
        <sz val="11"/>
        <rFont val="Georgia"/>
        <family val="1"/>
      </rPr>
      <t>N LINE (FWD)</t>
    </r>
  </si>
  <si>
    <r>
      <rPr>
        <sz val="11"/>
        <rFont val="Georgia"/>
        <family val="1"/>
      </rPr>
      <t>TUCSON PREMIUM (AWD)</t>
    </r>
  </si>
  <si>
    <r>
      <rPr>
        <sz val="11"/>
        <rFont val="Georgia"/>
        <family val="1"/>
      </rPr>
      <t>PREMIUM (AWD)</t>
    </r>
  </si>
  <si>
    <r>
      <rPr>
        <sz val="11"/>
        <rFont val="Georgia"/>
        <family val="1"/>
      </rPr>
      <t>TUCSON PREMIUM N LINE (AWD)</t>
    </r>
  </si>
  <si>
    <r>
      <rPr>
        <sz val="11"/>
        <rFont val="Georgia"/>
        <family val="1"/>
      </rPr>
      <t>PREMIUM N LINE (AWD)</t>
    </r>
  </si>
  <si>
    <r>
      <rPr>
        <sz val="11"/>
        <rFont val="Georgia"/>
        <family val="1"/>
      </rPr>
      <t>VELOSTER (BASE)</t>
    </r>
  </si>
  <si>
    <r>
      <rPr>
        <sz val="11"/>
        <rFont val="Georgia"/>
        <family val="1"/>
      </rPr>
      <t>PALISADE CALLIGRAPHY (7 SEAT)</t>
    </r>
  </si>
  <si>
    <r>
      <rPr>
        <sz val="11"/>
        <rFont val="Georgia"/>
        <family val="1"/>
      </rPr>
      <t>PALISADE CALLIGRAPHY (8 SEAT)</t>
    </r>
  </si>
  <si>
    <r>
      <rPr>
        <sz val="11"/>
        <rFont val="Georgia"/>
        <family val="1"/>
      </rPr>
      <t>PALISADE CALLIGRAPHY BLACK INK (7 SEAT)</t>
    </r>
  </si>
  <si>
    <r>
      <rPr>
        <sz val="11"/>
        <rFont val="Georgia"/>
        <family val="1"/>
      </rPr>
      <t>PALISADE CALLIGRAPHY BLACK INK (8 SEAT)</t>
    </r>
  </si>
  <si>
    <r>
      <rPr>
        <sz val="11"/>
        <rFont val="Georgia"/>
        <family val="1"/>
      </rPr>
      <t>PALISADE ELITE (7 SEAT)</t>
    </r>
  </si>
  <si>
    <r>
      <rPr>
        <sz val="11"/>
        <rFont val="Georgia"/>
        <family val="1"/>
      </rPr>
      <t>PALISADE ELITE (8 SEAT)</t>
    </r>
  </si>
  <si>
    <r>
      <rPr>
        <sz val="11"/>
        <rFont val="Georgia"/>
        <family val="1"/>
      </rPr>
      <t>STARIA (BASE)</t>
    </r>
  </si>
  <si>
    <r>
      <rPr>
        <sz val="11"/>
        <rFont val="Georgia"/>
        <family val="1"/>
      </rPr>
      <t>STARIA ELITE</t>
    </r>
  </si>
  <si>
    <r>
      <rPr>
        <sz val="11"/>
        <rFont val="Georgia"/>
        <family val="1"/>
      </rPr>
      <t>STARIA HIGHLANDER</t>
    </r>
  </si>
  <si>
    <r>
      <rPr>
        <sz val="11"/>
        <rFont val="Georgia"/>
        <family val="1"/>
      </rPr>
      <t>STARIA LOAD 2S 2.2D LIFTBACK</t>
    </r>
  </si>
  <si>
    <r>
      <rPr>
        <sz val="11"/>
        <rFont val="Georgia"/>
        <family val="1"/>
      </rPr>
      <t>STARIA LOAD 2S 2.2D TWIN SWING</t>
    </r>
  </si>
  <si>
    <r>
      <rPr>
        <sz val="11"/>
        <rFont val="Georgia"/>
        <family val="1"/>
      </rPr>
      <t>STARIA LOAD 5S 2.2D LIFTBACK</t>
    </r>
  </si>
  <si>
    <r>
      <rPr>
        <sz val="11"/>
        <rFont val="Georgia"/>
        <family val="1"/>
      </rPr>
      <t>OTHER</t>
    </r>
  </si>
  <si>
    <r>
      <rPr>
        <sz val="11"/>
        <rFont val="Georgia"/>
        <family val="1"/>
      </rPr>
      <t>STARIA LOAD 5S 2.2D TWIN SWING</t>
    </r>
  </si>
  <si>
    <r>
      <rPr>
        <sz val="11"/>
        <rFont val="Georgia"/>
        <family val="1"/>
      </rPr>
      <t>STARIA LOAD PREMIUM 2S 2.2D LIFTBACK</t>
    </r>
  </si>
  <si>
    <r>
      <rPr>
        <sz val="11"/>
        <rFont val="Georgia"/>
        <family val="1"/>
      </rPr>
      <t>6S LIFTBACK</t>
    </r>
  </si>
  <si>
    <r>
      <rPr>
        <sz val="11"/>
        <rFont val="Georgia"/>
        <family val="1"/>
      </rPr>
      <t>LIFTBACK</t>
    </r>
  </si>
  <si>
    <r>
      <rPr>
        <sz val="11"/>
        <rFont val="Georgia"/>
        <family val="1"/>
      </rPr>
      <t>6S TWIN SWING</t>
    </r>
  </si>
  <si>
    <r>
      <rPr>
        <sz val="11"/>
        <rFont val="Georgia"/>
        <family val="1"/>
      </rPr>
      <t>TWIN SWING</t>
    </r>
  </si>
  <si>
    <r>
      <rPr>
        <sz val="11"/>
        <rFont val="Georgia"/>
        <family val="1"/>
      </rPr>
      <t>ILOAD 3S LIFTBACK</t>
    </r>
  </si>
  <si>
    <r>
      <rPr>
        <sz val="11"/>
        <rFont val="Georgia"/>
        <family val="1"/>
      </rPr>
      <t>3S LIFTBACK</t>
    </r>
  </si>
  <si>
    <r>
      <rPr>
        <sz val="11"/>
        <rFont val="Georgia"/>
        <family val="1"/>
      </rPr>
      <t>ILOAD 3S TWIN SWING</t>
    </r>
  </si>
  <si>
    <r>
      <rPr>
        <sz val="11"/>
        <rFont val="Georgia"/>
        <family val="1"/>
      </rPr>
      <t>3S TWIN SWING</t>
    </r>
  </si>
  <si>
    <r>
      <rPr>
        <sz val="11"/>
        <rFont val="Georgia"/>
        <family val="1"/>
      </rPr>
      <t>IMAX ACTIVE</t>
    </r>
  </si>
  <si>
    <r>
      <rPr>
        <sz val="11"/>
        <rFont val="Georgia"/>
        <family val="1"/>
      </rPr>
      <t>IMAX ELITE</t>
    </r>
  </si>
  <si>
    <r>
      <rPr>
        <sz val="11"/>
        <rFont val="Georgia"/>
        <family val="1"/>
      </rPr>
      <t>SANTA FE (7 SEAT) (2WD)</t>
    </r>
  </si>
  <si>
    <r>
      <rPr>
        <sz val="11"/>
        <rFont val="Georgia"/>
        <family val="1"/>
      </rPr>
      <t>SANTA FE (7 SEAT) (AWD)</t>
    </r>
  </si>
  <si>
    <r>
      <rPr>
        <sz val="11"/>
        <rFont val="Georgia"/>
        <family val="1"/>
      </rPr>
      <t>SANTA FE CALLIGRAPHY (6 SEAT)</t>
    </r>
  </si>
  <si>
    <r>
      <rPr>
        <sz val="11"/>
        <rFont val="Georgia"/>
        <family val="1"/>
      </rPr>
      <t>SANTA FE CALLIGRAPHY (7 SEAT)</t>
    </r>
  </si>
  <si>
    <r>
      <rPr>
        <sz val="11"/>
        <rFont val="Georgia"/>
        <family val="1"/>
      </rPr>
      <t>SANTA FE ELITE (7 SEAT)</t>
    </r>
  </si>
  <si>
    <r>
      <rPr>
        <sz val="11"/>
        <rFont val="Georgia"/>
        <family val="1"/>
      </rPr>
      <t>GENESIS BASE</t>
    </r>
  </si>
  <si>
    <r>
      <rPr>
        <sz val="11"/>
        <rFont val="Georgia"/>
        <family val="1"/>
      </rPr>
      <t>GENESIS ULTIMATE PACK</t>
    </r>
  </si>
  <si>
    <r>
      <rPr>
        <sz val="11"/>
        <rFont val="Georgia"/>
        <family val="1"/>
      </rPr>
      <t>ULTIMATE PACK</t>
    </r>
  </si>
  <si>
    <r>
      <rPr>
        <sz val="11"/>
        <rFont val="Georgia"/>
        <family val="1"/>
      </rPr>
      <t>PALISADECALLIGRAPHY BLACK INK (8 SEAT)</t>
    </r>
  </si>
  <si>
    <r>
      <rPr>
        <sz val="11"/>
        <rFont val="Georgia"/>
        <family val="1"/>
      </rPr>
      <t>S/CABIN</t>
    </r>
  </si>
  <si>
    <r>
      <rPr>
        <sz val="11"/>
        <rFont val="Georgia"/>
        <family val="1"/>
      </rPr>
      <t>EX4 (MWB)</t>
    </r>
  </si>
  <si>
    <r>
      <rPr>
        <sz val="11"/>
        <rFont val="Georgia"/>
        <family val="1"/>
      </rPr>
      <t>EX4 (SWB)</t>
    </r>
  </si>
  <si>
    <r>
      <rPr>
        <sz val="11"/>
        <rFont val="Georgia"/>
        <family val="1"/>
      </rPr>
      <t>EX4 CHILLER (MWB)</t>
    </r>
  </si>
  <si>
    <r>
      <rPr>
        <sz val="11"/>
        <rFont val="Georgia"/>
        <family val="1"/>
      </rPr>
      <t>EX4 CHILLER (SWB)</t>
    </r>
  </si>
  <si>
    <r>
      <rPr>
        <sz val="11"/>
        <rFont val="Georgia"/>
        <family val="1"/>
      </rPr>
      <t>EX4 FREEZER (MWB)</t>
    </r>
  </si>
  <si>
    <r>
      <rPr>
        <sz val="11"/>
        <rFont val="Georgia"/>
        <family val="1"/>
      </rPr>
      <t>EX4 FREEZER (SWB)</t>
    </r>
  </si>
  <si>
    <r>
      <rPr>
        <sz val="11"/>
        <rFont val="Georgia"/>
        <family val="1"/>
      </rPr>
      <t>EX4 PREMIUM FREEZER (MWB)</t>
    </r>
  </si>
  <si>
    <r>
      <rPr>
        <sz val="11"/>
        <rFont val="Georgia"/>
        <family val="1"/>
      </rPr>
      <t>EX4 PREMIUM FREEZER (SWB)</t>
    </r>
  </si>
  <si>
    <r>
      <rPr>
        <sz val="11"/>
        <rFont val="Georgia"/>
        <family val="1"/>
      </rPr>
      <t>EX4 PREMIUM PLUS FREEZER (MWB)</t>
    </r>
  </si>
  <si>
    <r>
      <rPr>
        <sz val="11"/>
        <rFont val="Georgia"/>
        <family val="1"/>
      </rPr>
      <t>EX4 STANDARD CAB (LWB)</t>
    </r>
  </si>
  <si>
    <r>
      <rPr>
        <sz val="11"/>
        <rFont val="Georgia"/>
        <family val="1"/>
      </rPr>
      <t>EX4 STANDARD CAB (MWB)</t>
    </r>
  </si>
  <si>
    <r>
      <rPr>
        <sz val="11"/>
        <rFont val="Georgia"/>
        <family val="1"/>
      </rPr>
      <t>EX4 STANDARD CAB (SWB)</t>
    </r>
  </si>
  <si>
    <r>
      <rPr>
        <sz val="11"/>
        <rFont val="Georgia"/>
        <family val="1"/>
      </rPr>
      <t>EX4 STEEL TRAY (MWB)</t>
    </r>
  </si>
  <si>
    <r>
      <rPr>
        <sz val="11"/>
        <rFont val="Georgia"/>
        <family val="1"/>
      </rPr>
      <t>EX4 STEEL TRAY (SWB)</t>
    </r>
  </si>
  <si>
    <r>
      <rPr>
        <sz val="11"/>
        <rFont val="Georgia"/>
        <family val="1"/>
      </rPr>
      <t>EX4 SUPER CAB (LWB)</t>
    </r>
  </si>
  <si>
    <r>
      <rPr>
        <sz val="11"/>
        <rFont val="Georgia"/>
        <family val="1"/>
      </rPr>
      <t>EX4 SUPER CAB (MWB)</t>
    </r>
  </si>
  <si>
    <r>
      <rPr>
        <sz val="11"/>
        <rFont val="Georgia"/>
        <family val="1"/>
      </rPr>
      <t>EX6 (MWB)</t>
    </r>
  </si>
  <si>
    <r>
      <rPr>
        <sz val="11"/>
        <rFont val="Georgia"/>
        <family val="1"/>
      </rPr>
      <t>EX6 (SWB)</t>
    </r>
  </si>
  <si>
    <r>
      <rPr>
        <sz val="11"/>
        <rFont val="Georgia"/>
        <family val="1"/>
      </rPr>
      <t>EX6 CHILLER (MWB)</t>
    </r>
  </si>
  <si>
    <r>
      <rPr>
        <sz val="11"/>
        <rFont val="Georgia"/>
        <family val="1"/>
      </rPr>
      <t>EX6 CHILLER (SWB)</t>
    </r>
  </si>
  <si>
    <r>
      <rPr>
        <sz val="11"/>
        <rFont val="Georgia"/>
        <family val="1"/>
      </rPr>
      <t>EX6 FREEZER (MWB)</t>
    </r>
  </si>
  <si>
    <r>
      <rPr>
        <sz val="11"/>
        <rFont val="Georgia"/>
        <family val="1"/>
      </rPr>
      <t>EX6 FREEZER (SWB)</t>
    </r>
  </si>
  <si>
    <r>
      <rPr>
        <sz val="11"/>
        <rFont val="Georgia"/>
        <family val="1"/>
      </rPr>
      <t>EX6 PREMIUM FREEZER (MWB)</t>
    </r>
  </si>
  <si>
    <r>
      <rPr>
        <sz val="11"/>
        <rFont val="Georgia"/>
        <family val="1"/>
      </rPr>
      <t>EX6 PREMIUM FREEZER (SWB)</t>
    </r>
  </si>
  <si>
    <r>
      <rPr>
        <sz val="11"/>
        <rFont val="Georgia"/>
        <family val="1"/>
      </rPr>
      <t>EX6 PREMIUM PLUS FREEZER (MWB)</t>
    </r>
  </si>
  <si>
    <r>
      <rPr>
        <sz val="11"/>
        <rFont val="Georgia"/>
        <family val="1"/>
      </rPr>
      <t>EX6 STANDARD CAB (LWB)</t>
    </r>
  </si>
  <si>
    <r>
      <rPr>
        <sz val="11"/>
        <rFont val="Georgia"/>
        <family val="1"/>
      </rPr>
      <t>EX6 STANDARD CAB (MWB)</t>
    </r>
  </si>
  <si>
    <r>
      <rPr>
        <sz val="11"/>
        <rFont val="Georgia"/>
        <family val="1"/>
      </rPr>
      <t>EX6 STANDARD CAB (SWB)</t>
    </r>
  </si>
  <si>
    <r>
      <rPr>
        <sz val="11"/>
        <rFont val="Georgia"/>
        <family val="1"/>
      </rPr>
      <t>EX6 STEEL TRAY (MWB)</t>
    </r>
  </si>
  <si>
    <r>
      <rPr>
        <sz val="11"/>
        <rFont val="Georgia"/>
        <family val="1"/>
      </rPr>
      <t>EX6 STEEL TRAY (SWB)</t>
    </r>
  </si>
  <si>
    <r>
      <rPr>
        <sz val="11"/>
        <rFont val="Georgia"/>
        <family val="1"/>
      </rPr>
      <t>EX6 SUPER CAB (LWB)</t>
    </r>
  </si>
  <si>
    <r>
      <rPr>
        <sz val="11"/>
        <rFont val="Georgia"/>
        <family val="1"/>
      </rPr>
      <t>EX6 SUPER CAB (MWB)</t>
    </r>
  </si>
  <si>
    <r>
      <rPr>
        <sz val="11"/>
        <rFont val="Georgia"/>
        <family val="1"/>
      </rPr>
      <t>EX8 SUPER CAB (ELWB)</t>
    </r>
  </si>
  <si>
    <r>
      <rPr>
        <sz val="11"/>
        <rFont val="Georgia"/>
        <family val="1"/>
      </rPr>
      <t>EX8 SUPER CAB (LWB)</t>
    </r>
  </si>
  <si>
    <r>
      <rPr>
        <sz val="11"/>
        <rFont val="Georgia"/>
        <family val="1"/>
      </rPr>
      <t>EX8 SUPER CAB FLAT DECK (ELWB)</t>
    </r>
  </si>
  <si>
    <r>
      <rPr>
        <sz val="11"/>
        <rFont val="Georgia"/>
        <family val="1"/>
      </rPr>
      <t>EX8 SUPER CAB FLAT DECK (LWB)</t>
    </r>
  </si>
  <si>
    <r>
      <rPr>
        <sz val="11"/>
        <rFont val="Georgia"/>
        <family val="1"/>
      </rPr>
      <t>SONATA N LINE</t>
    </r>
  </si>
  <si>
    <r>
      <rPr>
        <sz val="11"/>
        <rFont val="Georgia"/>
        <family val="1"/>
      </rPr>
      <t>IONIQ 6 IONIQ 6 2WD (53.0KWH)</t>
    </r>
  </si>
  <si>
    <r>
      <rPr>
        <sz val="11"/>
        <rFont val="Georgia"/>
        <family val="1"/>
      </rPr>
      <t>(53.0Kwh)</t>
    </r>
  </si>
  <si>
    <r>
      <rPr>
        <sz val="11"/>
        <rFont val="Georgia"/>
        <family val="1"/>
      </rPr>
      <t>IONIQ 5 IONIQ 5 2WD (63KWH)</t>
    </r>
  </si>
  <si>
    <r>
      <rPr>
        <sz val="11"/>
        <rFont val="Georgia"/>
        <family val="1"/>
      </rPr>
      <t>(63Kwh)</t>
    </r>
  </si>
  <si>
    <r>
      <rPr>
        <sz val="11"/>
        <rFont val="Georgia"/>
        <family val="1"/>
      </rPr>
      <t>IONIQ 6 2WD (77.4KWH)</t>
    </r>
  </si>
  <si>
    <r>
      <rPr>
        <sz val="11"/>
        <rFont val="Georgia"/>
        <family val="1"/>
      </rPr>
      <t>(77.4Kwh)</t>
    </r>
  </si>
  <si>
    <r>
      <rPr>
        <sz val="11"/>
        <rFont val="Georgia"/>
        <family val="1"/>
      </rPr>
      <t>IONIQ 6 DYNAMIQ 2WD (77.4KWH)</t>
    </r>
  </si>
  <si>
    <r>
      <rPr>
        <sz val="11"/>
        <rFont val="Georgia"/>
        <family val="1"/>
      </rPr>
      <t>IONIQ 6 DYNAMIQ AWD (77.4KWH)</t>
    </r>
  </si>
  <si>
    <r>
      <rPr>
        <sz val="11"/>
        <rFont val="Georgia"/>
        <family val="1"/>
      </rPr>
      <t>IONIQ 6 EPIQ 2WD (77.4KWH)</t>
    </r>
  </si>
  <si>
    <r>
      <rPr>
        <sz val="11"/>
        <rFont val="Georgia"/>
        <family val="1"/>
      </rPr>
      <t>IONIQ 6 EPIQ AWD (77.4KWH)</t>
    </r>
  </si>
  <si>
    <r>
      <rPr>
        <sz val="11"/>
        <rFont val="Georgia"/>
        <family val="1"/>
      </rPr>
      <t>IONIQ 6 EPIQ DSM 2WD (77.4KWH)</t>
    </r>
  </si>
  <si>
    <r>
      <rPr>
        <sz val="11"/>
        <rFont val="Georgia"/>
        <family val="1"/>
      </rPr>
      <t>IONIQ 6 EPIQ DSM AWD (77.4KWH)</t>
    </r>
  </si>
  <si>
    <r>
      <rPr>
        <sz val="11"/>
        <rFont val="Georgia"/>
        <family val="1"/>
      </rPr>
      <t>IONIQ 5 2WD (84KWH)</t>
    </r>
  </si>
  <si>
    <r>
      <rPr>
        <sz val="11"/>
        <rFont val="Georgia"/>
        <family val="1"/>
      </rPr>
      <t>(84Kwh)</t>
    </r>
  </si>
  <si>
    <r>
      <rPr>
        <sz val="11"/>
        <rFont val="Georgia"/>
        <family val="1"/>
      </rPr>
      <t>IONIQ 5 DYNAMIQ 2WD (84KWH)</t>
    </r>
  </si>
  <si>
    <r>
      <rPr>
        <sz val="11"/>
        <rFont val="Georgia"/>
        <family val="1"/>
      </rPr>
      <t>IONIQ 5 DYNAMIQ AWD (84KWH)</t>
    </r>
  </si>
  <si>
    <r>
      <rPr>
        <sz val="11"/>
        <rFont val="Georgia"/>
        <family val="1"/>
      </rPr>
      <t>IONIQ 5 DYNAMIQ N LINE 2WD (84KWH)</t>
    </r>
  </si>
  <si>
    <r>
      <rPr>
        <sz val="11"/>
        <rFont val="Georgia"/>
        <family val="1"/>
      </rPr>
      <t>IONIQ 5 DYNAMIQ N LINE AWD (84KWH)</t>
    </r>
  </si>
  <si>
    <r>
      <rPr>
        <sz val="11"/>
        <rFont val="Georgia"/>
        <family val="1"/>
      </rPr>
      <t>IONIQ 5 EPIQ 2WD (84KWH)</t>
    </r>
  </si>
  <si>
    <r>
      <rPr>
        <sz val="11"/>
        <rFont val="Georgia"/>
        <family val="1"/>
      </rPr>
      <t>IONIQ 5 EPIQ AWD (84KWH)</t>
    </r>
  </si>
  <si>
    <r>
      <rPr>
        <sz val="11"/>
        <rFont val="Georgia"/>
        <family val="1"/>
      </rPr>
      <t>IONIQ 5 EPIQ DSM 2WD (84KWH)</t>
    </r>
  </si>
  <si>
    <r>
      <rPr>
        <sz val="11"/>
        <rFont val="Georgia"/>
        <family val="1"/>
      </rPr>
      <t>IONIQ 5 EPIQ DSM AWD (84KWH)</t>
    </r>
  </si>
  <si>
    <r>
      <rPr>
        <sz val="11"/>
        <rFont val="Georgia"/>
        <family val="1"/>
      </rPr>
      <t>IONIQ 5 EPIQ N LINE 2WD (84KWH)</t>
    </r>
  </si>
  <si>
    <r>
      <rPr>
        <sz val="11"/>
        <rFont val="Georgia"/>
        <family val="1"/>
      </rPr>
      <t>IONIQ 5 EPIQ N LINE AWD (84KWH)</t>
    </r>
  </si>
  <si>
    <r>
      <rPr>
        <sz val="11"/>
        <rFont val="Georgia"/>
        <family val="1"/>
      </rPr>
      <t>IONIQ 5 EPIQ N LINE DSM 2WD (84KWH)</t>
    </r>
  </si>
  <si>
    <r>
      <rPr>
        <sz val="11"/>
        <rFont val="Georgia"/>
        <family val="1"/>
      </rPr>
      <t>IONIQ 5 EPIQ N LINE DSM AWD (84KWH)</t>
    </r>
  </si>
  <si>
    <r>
      <rPr>
        <sz val="11"/>
        <rFont val="Georgia"/>
        <family val="1"/>
      </rPr>
      <t>IONIQ 5 N (84.0KWH)</t>
    </r>
  </si>
  <si>
    <r>
      <rPr>
        <sz val="11"/>
        <rFont val="Georgia"/>
        <family val="1"/>
      </rPr>
      <t>IONIQ 5 N SRF (84.0KWH)</t>
    </r>
  </si>
  <si>
    <r>
      <rPr>
        <sz val="11"/>
        <rFont val="Georgia"/>
        <family val="1"/>
      </rPr>
      <t>INSTER  2WD (42KWH)</t>
    </r>
  </si>
  <si>
    <r>
      <rPr>
        <sz val="11"/>
        <rFont val="Georgia"/>
        <family val="1"/>
      </rPr>
      <t>42Kwh</t>
    </r>
  </si>
  <si>
    <r>
      <rPr>
        <sz val="11"/>
        <rFont val="Georgia"/>
        <family val="1"/>
      </rPr>
      <t>INSTER  2WD (49KWH)</t>
    </r>
  </si>
  <si>
    <r>
      <rPr>
        <sz val="11"/>
        <rFont val="Georgia"/>
        <family val="1"/>
      </rPr>
      <t>49Kwh</t>
    </r>
  </si>
  <si>
    <r>
      <rPr>
        <sz val="11"/>
        <rFont val="Georgia"/>
        <family val="1"/>
      </rPr>
      <t>INSTER  CROSS ROOF BASKET 2WD (49KWH)</t>
    </r>
  </si>
  <si>
    <r>
      <rPr>
        <sz val="11"/>
        <rFont val="Georgia"/>
        <family val="1"/>
      </rPr>
      <t>INSTER  CROSS SRF 2WD (49KWH)</t>
    </r>
  </si>
  <si>
    <r>
      <rPr>
        <sz val="11"/>
        <rFont val="Georgia"/>
        <family val="1"/>
      </rPr>
      <t>IONIQ  ELECTRIC ELITE</t>
    </r>
  </si>
  <si>
    <r>
      <rPr>
        <sz val="11"/>
        <rFont val="Georgia"/>
        <family val="1"/>
      </rPr>
      <t>IONIQ  ELECTRIC PREMIUM</t>
    </r>
  </si>
  <si>
    <r>
      <rPr>
        <sz val="11"/>
        <rFont val="Georgia"/>
        <family val="1"/>
      </rPr>
      <t>KONA ELECTRIC EXT RANGE</t>
    </r>
  </si>
  <si>
    <r>
      <rPr>
        <sz val="11"/>
        <rFont val="Georgia"/>
        <family val="1"/>
      </rPr>
      <t>KONA ELECTRIC N LINE</t>
    </r>
  </si>
  <si>
    <r>
      <rPr>
        <sz val="11"/>
        <rFont val="Georgia"/>
        <family val="1"/>
      </rPr>
      <t>KONA ELECTRIC PREMIUM EXT RANGE</t>
    </r>
  </si>
  <si>
    <r>
      <rPr>
        <sz val="11"/>
        <rFont val="Georgia"/>
        <family val="1"/>
      </rPr>
      <t>KONA ELECTRIC PREMIUM N LINE</t>
    </r>
  </si>
  <si>
    <r>
      <rPr>
        <sz val="11"/>
        <rFont val="Georgia"/>
        <family val="1"/>
      </rPr>
      <t>KONA ELECTRIC STD RANGE</t>
    </r>
  </si>
  <si>
    <r>
      <rPr>
        <sz val="11"/>
        <rFont val="Georgia"/>
        <family val="1"/>
      </rPr>
      <t>IONIQ 5 LOUNGE</t>
    </r>
  </si>
  <si>
    <r>
      <rPr>
        <sz val="11"/>
        <rFont val="Georgia"/>
        <family val="1"/>
      </rPr>
      <t>ZAA-NE2LRG</t>
    </r>
  </si>
  <si>
    <r>
      <rPr>
        <sz val="11"/>
        <rFont val="Georgia"/>
        <family val="1"/>
      </rPr>
      <t>KMHKP81AUNU14</t>
    </r>
  </si>
  <si>
    <r>
      <rPr>
        <sz val="11"/>
        <rFont val="Georgia"/>
        <family val="1"/>
      </rPr>
      <t>IONIQ 5 LOUNGE AWD</t>
    </r>
  </si>
  <si>
    <r>
      <rPr>
        <sz val="11"/>
        <rFont val="Georgia"/>
        <family val="1"/>
      </rPr>
      <t>ZAA-NE4LRG</t>
    </r>
  </si>
  <si>
    <r>
      <rPr>
        <sz val="11"/>
        <rFont val="Georgia"/>
        <family val="1"/>
      </rPr>
      <t>IONIQ 5 LOUNGE AWD LIMITED EDITION</t>
    </r>
  </si>
  <si>
    <r>
      <rPr>
        <sz val="11"/>
        <rFont val="Georgia"/>
        <family val="1"/>
      </rPr>
      <t>IONIQ 5 VOYAGE</t>
    </r>
  </si>
  <si>
    <r>
      <rPr>
        <sz val="11"/>
        <rFont val="Georgia"/>
        <family val="1"/>
      </rPr>
      <t>KONA LOUNGE TWO-TONE</t>
    </r>
  </si>
  <si>
    <r>
      <rPr>
        <sz val="11"/>
        <rFont val="Georgia"/>
        <family val="1"/>
      </rPr>
      <t>ZAA-SX2LRG</t>
    </r>
  </si>
  <si>
    <r>
      <rPr>
        <sz val="11"/>
        <rFont val="Georgia"/>
        <family val="1"/>
      </rPr>
      <t>ISUZU</t>
    </r>
  </si>
  <si>
    <r>
      <rPr>
        <sz val="11"/>
        <rFont val="Georgia"/>
        <family val="1"/>
      </rPr>
      <t>D-MAX BLADE</t>
    </r>
  </si>
  <si>
    <r>
      <rPr>
        <sz val="11"/>
        <rFont val="Georgia"/>
        <family val="1"/>
      </rPr>
      <t>6AT</t>
    </r>
  </si>
  <si>
    <r>
      <rPr>
        <sz val="11"/>
        <rFont val="Georgia"/>
        <family val="1"/>
      </rPr>
      <t>D-MAX EX (4WD)</t>
    </r>
  </si>
  <si>
    <r>
      <rPr>
        <sz val="11"/>
        <rFont val="Georgia"/>
        <family val="1"/>
      </rPr>
      <t>SINGLE CAB</t>
    </r>
  </si>
  <si>
    <r>
      <rPr>
        <sz val="11"/>
        <rFont val="Georgia"/>
        <family val="1"/>
      </rPr>
      <t>D-MAX LS-M (4WD)</t>
    </r>
  </si>
  <si>
    <r>
      <rPr>
        <sz val="11"/>
        <rFont val="Georgia"/>
        <family val="1"/>
      </rPr>
      <t>D-MAX LS-M HI-RIDE (4WD)</t>
    </r>
  </si>
  <si>
    <r>
      <rPr>
        <sz val="11"/>
        <rFont val="Georgia"/>
        <family val="1"/>
      </rPr>
      <t>D-MAX LS-T (4WD)</t>
    </r>
  </si>
  <si>
    <r>
      <rPr>
        <sz val="11"/>
        <rFont val="Georgia"/>
        <family val="1"/>
      </rPr>
      <t>D-MAX LS-T HIGH-RIDE (2WD)</t>
    </r>
  </si>
  <si>
    <r>
      <rPr>
        <sz val="11"/>
        <rFont val="Georgia"/>
        <family val="1"/>
      </rPr>
      <t>D-MAX LS-TERRAIN HI-RIDE (4WD)</t>
    </r>
  </si>
  <si>
    <r>
      <rPr>
        <sz val="11"/>
        <rFont val="Georgia"/>
        <family val="1"/>
      </rPr>
      <t>D-MAX LS-U (2WD)</t>
    </r>
  </si>
  <si>
    <r>
      <rPr>
        <sz val="11"/>
        <rFont val="Georgia"/>
        <family val="1"/>
      </rPr>
      <t>D-MAX LS-U (2WD) HIGH-RIDE</t>
    </r>
  </si>
  <si>
    <r>
      <rPr>
        <sz val="11"/>
        <rFont val="Georgia"/>
        <family val="1"/>
      </rPr>
      <t>D-MAX LS-U (4WD)</t>
    </r>
  </si>
  <si>
    <r>
      <rPr>
        <sz val="11"/>
        <rFont val="Georgia"/>
        <family val="1"/>
      </rPr>
      <t>D-MAX LS-U HI-RIDE (2WD)</t>
    </r>
  </si>
  <si>
    <r>
      <rPr>
        <sz val="11"/>
        <rFont val="Georgia"/>
        <family val="1"/>
      </rPr>
      <t>D-MAX LS-U HI-RIDE (4WD)</t>
    </r>
  </si>
  <si>
    <r>
      <rPr>
        <sz val="11"/>
        <rFont val="Georgia"/>
        <family val="1"/>
      </rPr>
      <t>D-MAX LS-U+ (4WD)</t>
    </r>
  </si>
  <si>
    <r>
      <rPr>
        <sz val="11"/>
        <rFont val="Georgia"/>
        <family val="1"/>
      </rPr>
      <t>D-MAX SX (2WD)</t>
    </r>
  </si>
  <si>
    <r>
      <rPr>
        <sz val="11"/>
        <rFont val="Georgia"/>
        <family val="1"/>
      </rPr>
      <t>D-MAX SX (2WD) HIGH-RIDE</t>
    </r>
  </si>
  <si>
    <r>
      <rPr>
        <sz val="11"/>
        <rFont val="Georgia"/>
        <family val="1"/>
      </rPr>
      <t>D-MAX SX (4WD)</t>
    </r>
  </si>
  <si>
    <r>
      <rPr>
        <sz val="11"/>
        <rFont val="Georgia"/>
        <family val="1"/>
      </rPr>
      <t>D-MAX SX LOW-RIDE (2WD)</t>
    </r>
  </si>
  <si>
    <r>
      <rPr>
        <sz val="11"/>
        <rFont val="Georgia"/>
        <family val="1"/>
      </rPr>
      <t>D-MAX X-RIDER (4WD)</t>
    </r>
  </si>
  <si>
    <r>
      <rPr>
        <sz val="11"/>
        <rFont val="Georgia"/>
        <family val="1"/>
      </rPr>
      <t>D-MAX X-RIDER LIMITED EDITION (4WD)</t>
    </r>
  </si>
  <si>
    <r>
      <rPr>
        <sz val="11"/>
        <rFont val="Georgia"/>
        <family val="1"/>
      </rPr>
      <t>D-MAX X-RUNNER LTD ED (4WD)</t>
    </r>
  </si>
  <si>
    <r>
      <rPr>
        <sz val="11"/>
        <rFont val="Georgia"/>
        <family val="1"/>
      </rPr>
      <t>D-MAX X-TERRAIN (4WD)</t>
    </r>
  </si>
  <si>
    <r>
      <rPr>
        <sz val="11"/>
        <rFont val="Georgia"/>
        <family val="1"/>
      </rPr>
      <t>FRD 110-240 (XLWB)</t>
    </r>
  </si>
  <si>
    <r>
      <rPr>
        <sz val="11"/>
        <rFont val="Georgia"/>
        <family val="1"/>
      </rPr>
      <t>6AT-MT</t>
    </r>
  </si>
  <si>
    <r>
      <rPr>
        <sz val="11"/>
        <rFont val="Georgia"/>
        <family val="1"/>
      </rPr>
      <t>FRD 110-260 (LWB)</t>
    </r>
  </si>
  <si>
    <r>
      <rPr>
        <sz val="11"/>
        <rFont val="Georgia"/>
        <family val="1"/>
      </rPr>
      <t>FRD 110-260 (LWB) AW</t>
    </r>
  </si>
  <si>
    <r>
      <rPr>
        <sz val="11"/>
        <rFont val="Georgia"/>
        <family val="1"/>
      </rPr>
      <t>FRR 110-240 (LWB)</t>
    </r>
  </si>
  <si>
    <r>
      <rPr>
        <sz val="11"/>
        <rFont val="Georgia"/>
        <family val="1"/>
      </rPr>
      <t>FRR 110-240 (MLWB)</t>
    </r>
  </si>
  <si>
    <r>
      <rPr>
        <sz val="11"/>
        <rFont val="Georgia"/>
        <family val="1"/>
      </rPr>
      <t>FRR 110-240 (MWB)</t>
    </r>
  </si>
  <si>
    <r>
      <rPr>
        <sz val="11"/>
        <rFont val="Georgia"/>
        <family val="1"/>
      </rPr>
      <t>FRR 110-240 (SWB) PTO</t>
    </r>
  </si>
  <si>
    <r>
      <rPr>
        <sz val="11"/>
        <rFont val="Georgia"/>
        <family val="1"/>
      </rPr>
      <t>FRR 110-240 (XLWB)</t>
    </r>
  </si>
  <si>
    <r>
      <rPr>
        <sz val="11"/>
        <rFont val="Georgia"/>
        <family val="1"/>
      </rPr>
      <t>FRR 110-260</t>
    </r>
  </si>
  <si>
    <r>
      <rPr>
        <sz val="11"/>
        <rFont val="Georgia"/>
        <family val="1"/>
      </rPr>
      <t>FRR 110-260 (LWB)</t>
    </r>
  </si>
  <si>
    <r>
      <rPr>
        <sz val="11"/>
        <rFont val="Georgia"/>
        <family val="1"/>
      </rPr>
      <t>FRR 110-260 (MWB)</t>
    </r>
  </si>
  <si>
    <r>
      <rPr>
        <sz val="11"/>
        <rFont val="Georgia"/>
        <family val="1"/>
      </rPr>
      <t>FRR 110-260 (XLWB)</t>
    </r>
  </si>
  <si>
    <r>
      <rPr>
        <sz val="11"/>
        <rFont val="Georgia"/>
        <family val="1"/>
      </rPr>
      <t>FSD 140/120-260 (LWB)</t>
    </r>
  </si>
  <si>
    <r>
      <rPr>
        <sz val="11"/>
        <rFont val="Georgia"/>
        <family val="1"/>
      </rPr>
      <t>FSD 140/120-260 (LWB) AW</t>
    </r>
  </si>
  <si>
    <r>
      <rPr>
        <sz val="11"/>
        <rFont val="Georgia"/>
        <family val="1"/>
      </rPr>
      <t>FSR 120-260 (SWB)</t>
    </r>
  </si>
  <si>
    <r>
      <rPr>
        <sz val="11"/>
        <rFont val="Georgia"/>
        <family val="1"/>
      </rPr>
      <t>FSR 120-260 DC</t>
    </r>
  </si>
  <si>
    <r>
      <rPr>
        <sz val="11"/>
        <rFont val="Georgia"/>
        <family val="1"/>
      </rPr>
      <t>FSR 140/120-240 (LWB)</t>
    </r>
  </si>
  <si>
    <r>
      <rPr>
        <sz val="11"/>
        <rFont val="Georgia"/>
        <family val="1"/>
      </rPr>
      <t>FSR 140/120-240 (SWB)</t>
    </r>
  </si>
  <si>
    <r>
      <rPr>
        <sz val="11"/>
        <rFont val="Georgia"/>
        <family val="1"/>
      </rPr>
      <t>FSR 140/120-260 (LWB)</t>
    </r>
  </si>
  <si>
    <r>
      <rPr>
        <sz val="11"/>
        <rFont val="Georgia"/>
        <family val="1"/>
      </rPr>
      <t>FSR 140/120-260 (MWB)</t>
    </r>
  </si>
  <si>
    <r>
      <rPr>
        <sz val="11"/>
        <rFont val="Georgia"/>
        <family val="1"/>
      </rPr>
      <t>FSR 140/120-260 (XLWB)</t>
    </r>
  </si>
  <si>
    <r>
      <rPr>
        <sz val="11"/>
        <rFont val="Georgia"/>
        <family val="1"/>
      </rPr>
      <t>FSS 110-210 (4WD)</t>
    </r>
  </si>
  <si>
    <r>
      <rPr>
        <sz val="11"/>
        <rFont val="Georgia"/>
        <family val="1"/>
      </rPr>
      <t>FTR 150-260 (LWB)</t>
    </r>
  </si>
  <si>
    <r>
      <rPr>
        <sz val="11"/>
        <rFont val="Georgia"/>
        <family val="1"/>
      </rPr>
      <t>FTR 150-260 (MLWB)</t>
    </r>
  </si>
  <si>
    <r>
      <rPr>
        <sz val="11"/>
        <rFont val="Georgia"/>
        <family val="1"/>
      </rPr>
      <t>FTR 150-260 (MWB)</t>
    </r>
  </si>
  <si>
    <r>
      <rPr>
        <sz val="11"/>
        <rFont val="Georgia"/>
        <family val="1"/>
      </rPr>
      <t>FTS 139-260 (4WD)</t>
    </r>
  </si>
  <si>
    <r>
      <rPr>
        <sz val="11"/>
        <rFont val="Georgia"/>
        <family val="1"/>
      </rPr>
      <t>FVD 165-260</t>
    </r>
  </si>
  <si>
    <r>
      <rPr>
        <sz val="11"/>
        <rFont val="Georgia"/>
        <family val="1"/>
      </rPr>
      <t>FVD 165-300 (LWB)</t>
    </r>
  </si>
  <si>
    <r>
      <rPr>
        <sz val="11"/>
        <rFont val="Georgia"/>
        <family val="1"/>
      </rPr>
      <t>FVD 165-300 (MLWB)</t>
    </r>
  </si>
  <si>
    <r>
      <rPr>
        <sz val="11"/>
        <rFont val="Georgia"/>
        <family val="1"/>
      </rPr>
      <t>FVD 165-300 (MLWB) DC</t>
    </r>
  </si>
  <si>
    <r>
      <rPr>
        <sz val="11"/>
        <rFont val="Georgia"/>
        <family val="1"/>
      </rPr>
      <t>FVL 240-300 (LWB)</t>
    </r>
  </si>
  <si>
    <r>
      <rPr>
        <sz val="11"/>
        <rFont val="Georgia"/>
        <family val="1"/>
      </rPr>
      <t>FVR 165-300 (LWB)</t>
    </r>
  </si>
  <si>
    <r>
      <rPr>
        <sz val="11"/>
        <rFont val="Georgia"/>
        <family val="1"/>
      </rPr>
      <t>9MT</t>
    </r>
  </si>
  <si>
    <r>
      <rPr>
        <sz val="11"/>
        <rFont val="Georgia"/>
        <family val="1"/>
      </rPr>
      <t>FVR 165-300 (MLWB)</t>
    </r>
  </si>
  <si>
    <r>
      <rPr>
        <sz val="11"/>
        <rFont val="Georgia"/>
        <family val="1"/>
      </rPr>
      <t>FVR 165-300 (MWB)</t>
    </r>
  </si>
  <si>
    <r>
      <rPr>
        <sz val="11"/>
        <rFont val="Georgia"/>
        <family val="1"/>
      </rPr>
      <t>FVY 240-300 (LWB)</t>
    </r>
  </si>
  <si>
    <r>
      <rPr>
        <sz val="11"/>
        <rFont val="Georgia"/>
        <family val="1"/>
      </rPr>
      <t>FVY 240-300 (LWB) DC</t>
    </r>
  </si>
  <si>
    <r>
      <rPr>
        <sz val="11"/>
        <rFont val="Georgia"/>
        <family val="1"/>
      </rPr>
      <t>FVY 240-300 (MWB) AW</t>
    </r>
  </si>
  <si>
    <r>
      <rPr>
        <sz val="11"/>
        <rFont val="Georgia"/>
        <family val="1"/>
      </rPr>
      <t>FVY 240-300 (MWB) DC</t>
    </r>
  </si>
  <si>
    <r>
      <rPr>
        <sz val="11"/>
        <rFont val="Georgia"/>
        <family val="1"/>
      </rPr>
      <t>FVZ 240-300 (LWB)</t>
    </r>
  </si>
  <si>
    <r>
      <rPr>
        <sz val="11"/>
        <rFont val="Georgia"/>
        <family val="1"/>
      </rPr>
      <t>FVZ 240-300 (MLWB)</t>
    </r>
  </si>
  <si>
    <r>
      <rPr>
        <sz val="11"/>
        <rFont val="Georgia"/>
        <family val="1"/>
      </rPr>
      <t>FVZ 240-300 (MLWB) DC</t>
    </r>
  </si>
  <si>
    <r>
      <rPr>
        <sz val="11"/>
        <rFont val="Georgia"/>
        <family val="1"/>
      </rPr>
      <t>FVZ 240-300 (MWB)</t>
    </r>
  </si>
  <si>
    <r>
      <rPr>
        <sz val="11"/>
        <rFont val="Georgia"/>
        <family val="1"/>
      </rPr>
      <t>FVZ 240-300 (MWB) DC</t>
    </r>
  </si>
  <si>
    <r>
      <rPr>
        <sz val="11"/>
        <rFont val="Georgia"/>
        <family val="1"/>
      </rPr>
      <t>FXD 165-350 (LWB)</t>
    </r>
  </si>
  <si>
    <r>
      <rPr>
        <sz val="11"/>
        <rFont val="Georgia"/>
        <family val="1"/>
      </rPr>
      <t>FXD 165-350 (XLWB)</t>
    </r>
  </si>
  <si>
    <r>
      <rPr>
        <sz val="11"/>
        <rFont val="Georgia"/>
        <family val="1"/>
      </rPr>
      <t>FXL 240-350 (LWB)</t>
    </r>
  </si>
  <si>
    <r>
      <rPr>
        <sz val="11"/>
        <rFont val="Georgia"/>
        <family val="1"/>
      </rPr>
      <t>FXZ 240-350 (LWB)</t>
    </r>
  </si>
  <si>
    <r>
      <rPr>
        <sz val="11"/>
        <rFont val="Georgia"/>
        <family val="1"/>
      </rPr>
      <t>FXZ 240-350 (MLWB)</t>
    </r>
  </si>
  <si>
    <r>
      <rPr>
        <sz val="11"/>
        <rFont val="Georgia"/>
        <family val="1"/>
      </rPr>
      <t>FYH 300-350 (LWB)</t>
    </r>
  </si>
  <si>
    <r>
      <rPr>
        <sz val="11"/>
        <rFont val="Georgia"/>
        <family val="1"/>
      </rPr>
      <t>FYH 300-350 (MWB)</t>
    </r>
  </si>
  <si>
    <r>
      <rPr>
        <sz val="11"/>
        <rFont val="Georgia"/>
        <family val="1"/>
      </rPr>
      <t>FYJ 300-350 (LWB)</t>
    </r>
  </si>
  <si>
    <r>
      <rPr>
        <sz val="11"/>
        <rFont val="Georgia"/>
        <family val="1"/>
      </rPr>
      <t>FYJ 300-350 (MWB)</t>
    </r>
  </si>
  <si>
    <r>
      <rPr>
        <sz val="11"/>
        <rFont val="Georgia"/>
        <family val="1"/>
      </rPr>
      <t>FYJ 300-350 (XLWB)</t>
    </r>
  </si>
  <si>
    <r>
      <rPr>
        <sz val="11"/>
        <rFont val="Georgia"/>
        <family val="1"/>
      </rPr>
      <t>FYJ 300-350 AGITATOR</t>
    </r>
  </si>
  <si>
    <r>
      <rPr>
        <sz val="11"/>
        <rFont val="Georgia"/>
        <family val="1"/>
      </rPr>
      <t>FYX 350-350</t>
    </r>
  </si>
  <si>
    <r>
      <rPr>
        <sz val="11"/>
        <rFont val="Georgia"/>
        <family val="1"/>
      </rPr>
      <t>5AT</t>
    </r>
  </si>
  <si>
    <r>
      <rPr>
        <sz val="11"/>
        <rFont val="Georgia"/>
        <family val="1"/>
      </rPr>
      <t>MU-X LS-M (2WD)</t>
    </r>
  </si>
  <si>
    <r>
      <rPr>
        <sz val="11"/>
        <rFont val="Georgia"/>
        <family val="1"/>
      </rPr>
      <t>MU-X LS-M (4WD)</t>
    </r>
  </si>
  <si>
    <r>
      <rPr>
        <sz val="11"/>
        <rFont val="Georgia"/>
        <family val="1"/>
      </rPr>
      <t>MU-X LS-T (2WD)</t>
    </r>
  </si>
  <si>
    <r>
      <rPr>
        <sz val="11"/>
        <rFont val="Georgia"/>
        <family val="1"/>
      </rPr>
      <t>MU-X LS-T (4WD)</t>
    </r>
  </si>
  <si>
    <r>
      <rPr>
        <sz val="11"/>
        <rFont val="Georgia"/>
        <family val="1"/>
      </rPr>
      <t>MU-X LS-U (2WD)</t>
    </r>
  </si>
  <si>
    <r>
      <rPr>
        <sz val="11"/>
        <rFont val="Georgia"/>
        <family val="1"/>
      </rPr>
      <t>MU-X LS-U (4WD)</t>
    </r>
  </si>
  <si>
    <r>
      <rPr>
        <sz val="11"/>
        <rFont val="Georgia"/>
        <family val="1"/>
      </rPr>
      <t>MU-X X-TERRAIN (4WD)</t>
    </r>
  </si>
  <si>
    <r>
      <rPr>
        <sz val="11"/>
        <rFont val="Georgia"/>
        <family val="1"/>
      </rPr>
      <t>NLR 45-140 (SWB) SERVICEPACK-X</t>
    </r>
  </si>
  <si>
    <r>
      <rPr>
        <sz val="11"/>
        <rFont val="Georgia"/>
        <family val="1"/>
      </rPr>
      <t>NLR 45-150 (MWB)</t>
    </r>
  </si>
  <si>
    <r>
      <rPr>
        <sz val="11"/>
        <rFont val="Georgia"/>
        <family val="1"/>
      </rPr>
      <t>NLR 45-150 (MWB) TRAYPACK</t>
    </r>
  </si>
  <si>
    <r>
      <rPr>
        <sz val="11"/>
        <rFont val="Georgia"/>
        <family val="1"/>
      </rPr>
      <t>NLR 45-150 (SWB)</t>
    </r>
  </si>
  <si>
    <r>
      <rPr>
        <sz val="11"/>
        <rFont val="Georgia"/>
        <family val="1"/>
      </rPr>
      <t>NLR 45-150 (SWB) SERVICEPACK</t>
    </r>
  </si>
  <si>
    <r>
      <rPr>
        <sz val="11"/>
        <rFont val="Georgia"/>
        <family val="1"/>
      </rPr>
      <t>NLR 45-150 (SWB) TRAYPACK</t>
    </r>
  </si>
  <si>
    <r>
      <rPr>
        <sz val="11"/>
        <rFont val="Georgia"/>
        <family val="1"/>
      </rPr>
      <t>NLS 45-150 (AWD)</t>
    </r>
  </si>
  <si>
    <r>
      <rPr>
        <sz val="11"/>
        <rFont val="Georgia"/>
        <family val="1"/>
      </rPr>
      <t>NLS 45-150 AWD SERVICEPACK-X</t>
    </r>
  </si>
  <si>
    <r>
      <rPr>
        <sz val="11"/>
        <rFont val="Georgia"/>
        <family val="1"/>
      </rPr>
      <t>NLS 45-150 AWD TRAYPACK</t>
    </r>
  </si>
  <si>
    <r>
      <rPr>
        <sz val="11"/>
        <rFont val="Georgia"/>
        <family val="1"/>
      </rPr>
      <t>NNR 45-150 (MWB)</t>
    </r>
  </si>
  <si>
    <r>
      <rPr>
        <sz val="11"/>
        <rFont val="Georgia"/>
        <family val="1"/>
      </rPr>
      <t>NNR 45-150 (MWB) VANPACK</t>
    </r>
  </si>
  <si>
    <r>
      <rPr>
        <sz val="11"/>
        <rFont val="Georgia"/>
        <family val="1"/>
      </rPr>
      <t>NNR 45-150 (SWB)</t>
    </r>
  </si>
  <si>
    <r>
      <rPr>
        <sz val="11"/>
        <rFont val="Georgia"/>
        <family val="1"/>
      </rPr>
      <t>NNR 45-150 CREW IFS TRAYPACK</t>
    </r>
  </si>
  <si>
    <r>
      <rPr>
        <sz val="11"/>
        <rFont val="Georgia"/>
        <family val="1"/>
      </rPr>
      <t>NNR 45-150 IFS</t>
    </r>
  </si>
  <si>
    <r>
      <rPr>
        <sz val="11"/>
        <rFont val="Georgia"/>
        <family val="1"/>
      </rPr>
      <t>NNR 55/45-150 (MWB) IFS TRAYPACK</t>
    </r>
  </si>
  <si>
    <r>
      <rPr>
        <sz val="11"/>
        <rFont val="Georgia"/>
        <family val="1"/>
      </rPr>
      <t>NNR 55/45-150 IFS (MWB)</t>
    </r>
  </si>
  <si>
    <r>
      <rPr>
        <sz val="11"/>
        <rFont val="Georgia"/>
        <family val="1"/>
      </rPr>
      <t>NNR 55/45-150 IFS (SWB)</t>
    </r>
  </si>
  <si>
    <r>
      <rPr>
        <sz val="11"/>
        <rFont val="Georgia"/>
        <family val="1"/>
      </rPr>
      <t>NNR 65-150 IFS (MWB)</t>
    </r>
  </si>
  <si>
    <r>
      <rPr>
        <sz val="11"/>
        <rFont val="Georgia"/>
        <family val="1"/>
      </rPr>
      <t>NPR 45/55-155 (MWB)</t>
    </r>
  </si>
  <si>
    <r>
      <rPr>
        <sz val="11"/>
        <rFont val="Georgia"/>
        <family val="1"/>
      </rPr>
      <t>NPR 45/55-155 (MWB) SERVICEPACK-X</t>
    </r>
  </si>
  <si>
    <r>
      <rPr>
        <sz val="11"/>
        <rFont val="Georgia"/>
        <family val="1"/>
      </rPr>
      <t>NPR 45/55-155 (MWB) TRADEPACK</t>
    </r>
  </si>
  <si>
    <r>
      <rPr>
        <sz val="11"/>
        <rFont val="Georgia"/>
        <family val="1"/>
      </rPr>
      <t>NPR 45/55-155 (MWB) TRADEPACK PREM</t>
    </r>
  </si>
  <si>
    <r>
      <rPr>
        <sz val="11"/>
        <rFont val="Georgia"/>
        <family val="1"/>
      </rPr>
      <t>NPR 45/55-155 (SWB)</t>
    </r>
  </si>
  <si>
    <r>
      <rPr>
        <sz val="11"/>
        <rFont val="Georgia"/>
        <family val="1"/>
      </rPr>
      <t>NPR 45/55-155 (SWB) SERVICEPACK</t>
    </r>
  </si>
  <si>
    <r>
      <rPr>
        <sz val="11"/>
        <rFont val="Georgia"/>
        <family val="1"/>
      </rPr>
      <t>NPR 45/55-155 (SWB) TRADEPACK</t>
    </r>
  </si>
  <si>
    <r>
      <rPr>
        <sz val="11"/>
        <rFont val="Georgia"/>
        <family val="1"/>
      </rPr>
      <t>NPR 45/55-155 (SWB) TRADEPACK PREM</t>
    </r>
  </si>
  <si>
    <r>
      <rPr>
        <sz val="11"/>
        <rFont val="Georgia"/>
        <family val="1"/>
      </rPr>
      <t>NPR 65/45-190</t>
    </r>
  </si>
  <si>
    <r>
      <rPr>
        <sz val="11"/>
        <rFont val="Georgia"/>
        <family val="1"/>
      </rPr>
      <t>NPR 65/45-190 (MWB)</t>
    </r>
  </si>
  <si>
    <r>
      <rPr>
        <sz val="11"/>
        <rFont val="Georgia"/>
        <family val="1"/>
      </rPr>
      <t>NPR 75-190</t>
    </r>
  </si>
  <si>
    <r>
      <rPr>
        <sz val="11"/>
        <rFont val="Georgia"/>
        <family val="1"/>
      </rPr>
      <t>NPR 75-190 (LWB)</t>
    </r>
  </si>
  <si>
    <r>
      <rPr>
        <sz val="11"/>
        <rFont val="Georgia"/>
        <family val="1"/>
      </rPr>
      <t>NPR 75-190 (MLWB)</t>
    </r>
  </si>
  <si>
    <r>
      <rPr>
        <sz val="11"/>
        <rFont val="Georgia"/>
        <family val="1"/>
      </rPr>
      <t>NPR 75-190 (MWB)</t>
    </r>
  </si>
  <si>
    <r>
      <rPr>
        <sz val="11"/>
        <rFont val="Georgia"/>
        <family val="1"/>
      </rPr>
      <t>NPS 75/45-155 (4WD)</t>
    </r>
  </si>
  <si>
    <r>
      <rPr>
        <sz val="11"/>
        <rFont val="Georgia"/>
        <family val="1"/>
      </rPr>
      <t>NPS 75-155 4WD SERVICEPACK-X</t>
    </r>
  </si>
  <si>
    <r>
      <rPr>
        <sz val="11"/>
        <rFont val="Georgia"/>
        <family val="1"/>
      </rPr>
      <t>5AT-MT</t>
    </r>
  </si>
  <si>
    <r>
      <rPr>
        <sz val="11"/>
        <rFont val="Georgia"/>
        <family val="1"/>
      </rPr>
      <t>ISUZU ELF TRUCK FULL FLATLOW DUMP</t>
    </r>
  </si>
  <si>
    <r>
      <rPr>
        <sz val="11"/>
        <rFont val="Georgia"/>
        <family val="1"/>
      </rPr>
      <t>NJR85-707</t>
    </r>
  </si>
  <si>
    <r>
      <rPr>
        <sz val="11"/>
        <rFont val="Georgia"/>
        <family val="1"/>
      </rPr>
      <t>ISUZU ELF TRUCK LONG HIGH FLOOR</t>
    </r>
  </si>
  <si>
    <r>
      <rPr>
        <sz val="11"/>
        <rFont val="Georgia"/>
        <family val="1"/>
      </rPr>
      <t>NLR88-700</t>
    </r>
  </si>
  <si>
    <r>
      <rPr>
        <sz val="11"/>
        <rFont val="Georgia"/>
        <family val="1"/>
      </rPr>
      <t>ISUZU ELF TRUCK</t>
    </r>
  </si>
  <si>
    <r>
      <rPr>
        <sz val="11"/>
        <rFont val="Georgia"/>
        <family val="1"/>
      </rPr>
      <t>NJR88-700</t>
    </r>
  </si>
  <si>
    <r>
      <rPr>
        <sz val="11"/>
        <rFont val="Georgia"/>
        <family val="1"/>
      </rPr>
      <t>ISUZU ELF TRUCK FULL FLATLOW</t>
    </r>
  </si>
  <si>
    <r>
      <rPr>
        <sz val="11"/>
        <rFont val="Georgia"/>
        <family val="1"/>
      </rPr>
      <t>ISUZU FORWARD</t>
    </r>
  </si>
  <si>
    <r>
      <rPr>
        <sz val="11"/>
        <rFont val="Georgia"/>
        <family val="1"/>
      </rPr>
      <t>FRR90-713</t>
    </r>
  </si>
  <si>
    <r>
      <rPr>
        <sz val="11"/>
        <rFont val="Georgia"/>
        <family val="1"/>
      </rPr>
      <t>FRR90-716</t>
    </r>
  </si>
  <si>
    <r>
      <rPr>
        <sz val="11"/>
        <rFont val="Georgia"/>
        <family val="1"/>
      </rPr>
      <t>ISUZU FORWARD BASEGRADE</t>
    </r>
  </si>
  <si>
    <r>
      <rPr>
        <sz val="11"/>
        <rFont val="Georgia"/>
        <family val="1"/>
      </rPr>
      <t>FRR90-715</t>
    </r>
  </si>
  <si>
    <r>
      <rPr>
        <sz val="11"/>
        <rFont val="Georgia"/>
        <family val="1"/>
      </rPr>
      <t>FRR90-717</t>
    </r>
  </si>
  <si>
    <r>
      <rPr>
        <sz val="11"/>
        <rFont val="Georgia"/>
        <family val="1"/>
      </rPr>
      <t>IVECO DAILY</t>
    </r>
  </si>
  <si>
    <r>
      <rPr>
        <sz val="11"/>
        <rFont val="Georgia"/>
        <family val="1"/>
      </rPr>
      <t>E6 35S14V H1 SRW (WB3000)</t>
    </r>
  </si>
  <si>
    <r>
      <rPr>
        <sz val="11"/>
        <rFont val="Georgia"/>
        <family val="1"/>
      </rPr>
      <t>E6 35S14V H1 SRW (WB3520)</t>
    </r>
  </si>
  <si>
    <r>
      <rPr>
        <sz val="11"/>
        <rFont val="Georgia"/>
        <family val="1"/>
      </rPr>
      <t>E6 35S14V H2 SRW (WB3520L)</t>
    </r>
  </si>
  <si>
    <r>
      <rPr>
        <sz val="11"/>
        <rFont val="Georgia"/>
        <family val="1"/>
      </rPr>
      <t>E6 35S14V H2 SRW (WB4100)</t>
    </r>
  </si>
  <si>
    <r>
      <rPr>
        <sz val="11"/>
        <rFont val="Georgia"/>
        <family val="1"/>
      </rPr>
      <t>8AT</t>
    </r>
  </si>
  <si>
    <r>
      <rPr>
        <sz val="11"/>
        <rFont val="Georgia"/>
        <family val="1"/>
      </rPr>
      <t>E6 50C18 DRW (WB3450)</t>
    </r>
  </si>
  <si>
    <r>
      <rPr>
        <sz val="11"/>
        <rFont val="Georgia"/>
        <family val="1"/>
      </rPr>
      <t>E6 50C18 DRW (WB3750)</t>
    </r>
  </si>
  <si>
    <r>
      <rPr>
        <sz val="11"/>
        <rFont val="Georgia"/>
        <family val="1"/>
      </rPr>
      <t>E6 50C18 DRW (WB4100)</t>
    </r>
  </si>
  <si>
    <r>
      <rPr>
        <sz val="11"/>
        <rFont val="Georgia"/>
        <family val="1"/>
      </rPr>
      <t>E6 50C18 DRW (WB4350)</t>
    </r>
  </si>
  <si>
    <r>
      <rPr>
        <sz val="11"/>
        <rFont val="Georgia"/>
        <family val="1"/>
      </rPr>
      <t>E6 70C18 DRW (WB3750)</t>
    </r>
  </si>
  <si>
    <r>
      <rPr>
        <sz val="11"/>
        <rFont val="Georgia"/>
        <family val="1"/>
      </rPr>
      <t>E6 70C18 DRW (WB4100)</t>
    </r>
  </si>
  <si>
    <r>
      <rPr>
        <sz val="11"/>
        <rFont val="Georgia"/>
        <family val="1"/>
      </rPr>
      <t>E6 70C18 DRW (WB4350)</t>
    </r>
  </si>
  <si>
    <r>
      <rPr>
        <sz val="11"/>
        <rFont val="Georgia"/>
        <family val="1"/>
      </rPr>
      <t>E6 70C18 DRW (WB4750)</t>
    </r>
  </si>
  <si>
    <r>
      <rPr>
        <sz val="11"/>
        <rFont val="Georgia"/>
        <family val="1"/>
      </rPr>
      <t>E6 50C21 DRW (WB3450)</t>
    </r>
  </si>
  <si>
    <r>
      <rPr>
        <sz val="11"/>
        <rFont val="Georgia"/>
        <family val="1"/>
      </rPr>
      <t>E6 50C21 DRW (WB3750)</t>
    </r>
  </si>
  <si>
    <r>
      <rPr>
        <sz val="11"/>
        <rFont val="Georgia"/>
        <family val="1"/>
      </rPr>
      <t>E6 50C21 DRW (WB4100)</t>
    </r>
  </si>
  <si>
    <r>
      <rPr>
        <sz val="11"/>
        <rFont val="Georgia"/>
        <family val="1"/>
      </rPr>
      <t>E6 50C21 DRW (WB4350)</t>
    </r>
  </si>
  <si>
    <r>
      <rPr>
        <sz val="11"/>
        <rFont val="Georgia"/>
        <family val="1"/>
      </rPr>
      <t>E6 70C21 DRW (WB4100)</t>
    </r>
  </si>
  <si>
    <r>
      <rPr>
        <sz val="11"/>
        <rFont val="Georgia"/>
        <family val="1"/>
      </rPr>
      <t>E6 70C21 DRW (WB4350)</t>
    </r>
  </si>
  <si>
    <r>
      <rPr>
        <sz val="11"/>
        <rFont val="Georgia"/>
        <family val="1"/>
      </rPr>
      <t>E6 70C21 DRW (WB4750)</t>
    </r>
  </si>
  <si>
    <r>
      <rPr>
        <sz val="11"/>
        <rFont val="Georgia"/>
        <family val="1"/>
      </rPr>
      <t>E6 50C18 DRW (WB4750)</t>
    </r>
  </si>
  <si>
    <r>
      <rPr>
        <sz val="11"/>
        <rFont val="Georgia"/>
        <family val="1"/>
      </rPr>
      <t>E6 45C18 TRADIE MADE 3173 TRAY</t>
    </r>
  </si>
  <si>
    <r>
      <rPr>
        <sz val="11"/>
        <rFont val="Georgia"/>
        <family val="1"/>
      </rPr>
      <t>E6 45C18 TRADIE MADE 4223 TRAY</t>
    </r>
  </si>
  <si>
    <r>
      <rPr>
        <sz val="11"/>
        <rFont val="Georgia"/>
        <family val="1"/>
      </rPr>
      <t>E6 50C21 DRW (WB4750)</t>
    </r>
  </si>
  <si>
    <r>
      <rPr>
        <sz val="11"/>
        <rFont val="Georgia"/>
        <family val="1"/>
      </rPr>
      <t>E6 70C21 DRW (WB3750)</t>
    </r>
  </si>
  <si>
    <r>
      <rPr>
        <sz val="11"/>
        <rFont val="Georgia"/>
        <family val="1"/>
      </rPr>
      <t>E6 35S18V H1 SRW (WB3520)</t>
    </r>
  </si>
  <si>
    <r>
      <rPr>
        <sz val="11"/>
        <rFont val="Georgia"/>
        <family val="1"/>
      </rPr>
      <t>E6 35S18V H2 SRW (WB3520L)</t>
    </r>
  </si>
  <si>
    <r>
      <rPr>
        <sz val="11"/>
        <rFont val="Georgia"/>
        <family val="1"/>
      </rPr>
      <t>E6 35S18V H2 SRW (WB4100)</t>
    </r>
  </si>
  <si>
    <r>
      <rPr>
        <sz val="11"/>
        <rFont val="Georgia"/>
        <family val="1"/>
      </rPr>
      <t>E6 35S21V H1 SRW (WB3520)</t>
    </r>
  </si>
  <si>
    <r>
      <rPr>
        <sz val="11"/>
        <rFont val="Georgia"/>
        <family val="1"/>
      </rPr>
      <t>E6 35S21V H2 SRW (WB3520L)</t>
    </r>
  </si>
  <si>
    <r>
      <rPr>
        <sz val="11"/>
        <rFont val="Georgia"/>
        <family val="1"/>
      </rPr>
      <t>E6 35S21V H2 SRW (WB4100)</t>
    </r>
  </si>
  <si>
    <r>
      <rPr>
        <sz val="11"/>
        <rFont val="Georgia"/>
        <family val="1"/>
      </rPr>
      <t>E6 50C18V H2 DRW (WB3520L)</t>
    </r>
  </si>
  <si>
    <r>
      <rPr>
        <sz val="11"/>
        <rFont val="Georgia"/>
        <family val="1"/>
      </rPr>
      <t>E6 50C18V H2 DRW (WB4100)</t>
    </r>
  </si>
  <si>
    <r>
      <rPr>
        <sz val="11"/>
        <rFont val="Georgia"/>
        <family val="1"/>
      </rPr>
      <t>E6 50C18V H3 DRW (WB4100)</t>
    </r>
  </si>
  <si>
    <r>
      <rPr>
        <sz val="11"/>
        <rFont val="Georgia"/>
        <family val="1"/>
      </rPr>
      <t>E6 50C18V H3 DRW (WB4100L)</t>
    </r>
  </si>
  <si>
    <r>
      <rPr>
        <sz val="11"/>
        <rFont val="Georgia"/>
        <family val="1"/>
      </rPr>
      <t>E6 50C21V H2 DRW (WB3520L)</t>
    </r>
  </si>
  <si>
    <r>
      <rPr>
        <sz val="11"/>
        <rFont val="Georgia"/>
        <family val="1"/>
      </rPr>
      <t>E6 50C21V H2 DRW (WB4100)</t>
    </r>
  </si>
  <si>
    <r>
      <rPr>
        <sz val="11"/>
        <rFont val="Georgia"/>
        <family val="1"/>
      </rPr>
      <t>E6 50C21V H3 DRW (WB4100)</t>
    </r>
  </si>
  <si>
    <r>
      <rPr>
        <sz val="11"/>
        <rFont val="Georgia"/>
        <family val="1"/>
      </rPr>
      <t>E6 50C21V H3 DRW (WB4100L)</t>
    </r>
  </si>
  <si>
    <r>
      <rPr>
        <sz val="11"/>
        <rFont val="Georgia"/>
        <family val="1"/>
      </rPr>
      <t>E6 70C18V H3 DRW (WB4100)</t>
    </r>
  </si>
  <si>
    <r>
      <rPr>
        <sz val="11"/>
        <rFont val="Georgia"/>
        <family val="1"/>
      </rPr>
      <t>E6 70C18V H3 DRW (WB4100L)</t>
    </r>
  </si>
  <si>
    <r>
      <rPr>
        <sz val="11"/>
        <rFont val="Georgia"/>
        <family val="1"/>
      </rPr>
      <t>E6 70C21V H3 DRW (WB4100)</t>
    </r>
  </si>
  <si>
    <r>
      <rPr>
        <sz val="11"/>
        <rFont val="Georgia"/>
        <family val="1"/>
      </rPr>
      <t>E6 70C21V H3 DRW (WB4100L)</t>
    </r>
  </si>
  <si>
    <r>
      <rPr>
        <sz val="11"/>
        <rFont val="Georgia"/>
        <family val="1"/>
      </rPr>
      <t>JAC</t>
    </r>
  </si>
  <si>
    <r>
      <rPr>
        <sz val="11"/>
        <rFont val="Georgia"/>
        <family val="1"/>
      </rPr>
      <t>HFC4251KR1</t>
    </r>
  </si>
  <si>
    <r>
      <rPr>
        <sz val="11"/>
        <rFont val="Georgia"/>
        <family val="1"/>
      </rPr>
      <t>6×4</t>
    </r>
  </si>
  <si>
    <r>
      <rPr>
        <sz val="11"/>
        <rFont val="Georgia"/>
        <family val="1"/>
      </rPr>
      <t>HFC4251KR1 4X2</t>
    </r>
  </si>
  <si>
    <r>
      <rPr>
        <sz val="11"/>
        <rFont val="Georgia"/>
        <family val="1"/>
      </rPr>
      <t>4×2</t>
    </r>
  </si>
  <si>
    <r>
      <rPr>
        <sz val="11"/>
        <rFont val="Georgia"/>
        <family val="1"/>
      </rPr>
      <t>HFC4251KR1 6X2</t>
    </r>
  </si>
  <si>
    <r>
      <rPr>
        <sz val="11"/>
        <rFont val="Georgia"/>
        <family val="1"/>
      </rPr>
      <t>6×2</t>
    </r>
  </si>
  <si>
    <r>
      <rPr>
        <sz val="11"/>
        <rFont val="Georgia"/>
        <family val="1"/>
      </rPr>
      <t>HFC4251KR1 8X4</t>
    </r>
  </si>
  <si>
    <r>
      <rPr>
        <sz val="11"/>
        <rFont val="Georgia"/>
        <family val="1"/>
      </rPr>
      <t>8×4</t>
    </r>
  </si>
  <si>
    <r>
      <rPr>
        <sz val="11"/>
        <rFont val="Georgia"/>
        <family val="1"/>
      </rPr>
      <t>HFC4251KR1 AUTO</t>
    </r>
  </si>
  <si>
    <r>
      <rPr>
        <sz val="11"/>
        <rFont val="Georgia"/>
        <family val="1"/>
      </rPr>
      <t>HFC4251KR1 CNG</t>
    </r>
  </si>
  <si>
    <r>
      <rPr>
        <sz val="11"/>
        <rFont val="Georgia"/>
        <family val="1"/>
      </rPr>
      <t>HFC4251KR1CNG</t>
    </r>
  </si>
  <si>
    <r>
      <rPr>
        <sz val="11"/>
        <rFont val="Georgia"/>
        <family val="1"/>
      </rPr>
      <t>CNG</t>
    </r>
  </si>
  <si>
    <r>
      <rPr>
        <sz val="11"/>
        <rFont val="Georgia"/>
        <family val="1"/>
      </rPr>
      <t>HFC4251KR1 DAYCAB</t>
    </r>
  </si>
  <si>
    <r>
      <rPr>
        <sz val="11"/>
        <rFont val="Georgia"/>
        <family val="1"/>
      </rPr>
      <t>HFC4251KR1 EURO5</t>
    </r>
  </si>
  <si>
    <r>
      <rPr>
        <sz val="11"/>
        <rFont val="Georgia"/>
        <family val="1"/>
      </rPr>
      <t>HFC4251KR1 EURO6</t>
    </r>
  </si>
  <si>
    <r>
      <rPr>
        <sz val="11"/>
        <rFont val="Georgia"/>
        <family val="1"/>
      </rPr>
      <t>HFC4251KR1 EV</t>
    </r>
  </si>
  <si>
    <r>
      <rPr>
        <sz val="11"/>
        <rFont val="Georgia"/>
        <family val="1"/>
      </rPr>
      <t>HFC4251KR1EV</t>
    </r>
  </si>
  <si>
    <r>
      <rPr>
        <sz val="11"/>
        <rFont val="Georgia"/>
        <family val="1"/>
      </rPr>
      <t>HFC4251KR1 HIGHCAB</t>
    </r>
  </si>
  <si>
    <r>
      <rPr>
        <sz val="11"/>
        <rFont val="Georgia"/>
        <family val="1"/>
      </rPr>
      <t>HFC4251KR1 LNG</t>
    </r>
  </si>
  <si>
    <r>
      <rPr>
        <sz val="11"/>
        <rFont val="Georgia"/>
        <family val="1"/>
      </rPr>
      <t>HFC4251KR1LNG</t>
    </r>
  </si>
  <si>
    <r>
      <rPr>
        <sz val="11"/>
        <rFont val="Georgia"/>
        <family val="1"/>
      </rPr>
      <t>LNG</t>
    </r>
  </si>
  <si>
    <r>
      <rPr>
        <sz val="11"/>
        <rFont val="Georgia"/>
        <family val="1"/>
      </rPr>
      <t>HFC4251KR1 LOWCAB</t>
    </r>
  </si>
  <si>
    <r>
      <rPr>
        <sz val="11"/>
        <rFont val="Georgia"/>
        <family val="1"/>
      </rPr>
      <t>HFC4251KR1 MANUAL</t>
    </r>
  </si>
  <si>
    <r>
      <rPr>
        <sz val="11"/>
        <rFont val="Georgia"/>
        <family val="1"/>
      </rPr>
      <t>HFC4251KR1 SLEEPER</t>
    </r>
  </si>
  <si>
    <r>
      <rPr>
        <sz val="11"/>
        <rFont val="Georgia"/>
        <family val="1"/>
      </rPr>
      <t>JAGUAR</t>
    </r>
  </si>
  <si>
    <r>
      <rPr>
        <sz val="11"/>
        <rFont val="Georgia"/>
        <family val="1"/>
      </rPr>
      <t>XF SPORTBRAKE XF SPORTBRAKE R-SPORT</t>
    </r>
  </si>
  <si>
    <r>
      <rPr>
        <sz val="11"/>
        <rFont val="Georgia"/>
        <family val="1"/>
      </rPr>
      <t>SAJBA2AN9LCY8</t>
    </r>
  </si>
  <si>
    <r>
      <rPr>
        <sz val="11"/>
        <rFont val="Georgia"/>
        <family val="1"/>
      </rPr>
      <t>XF PRESTIGE</t>
    </r>
  </si>
  <si>
    <r>
      <rPr>
        <sz val="11"/>
        <rFont val="Georgia"/>
        <family val="1"/>
      </rPr>
      <t>SAJBB4AX8LCY8</t>
    </r>
  </si>
  <si>
    <r>
      <rPr>
        <sz val="11"/>
        <rFont val="Georgia"/>
        <family val="1"/>
      </rPr>
      <t>I-PACE HSE</t>
    </r>
  </si>
  <si>
    <r>
      <rPr>
        <sz val="11"/>
        <rFont val="Georgia"/>
        <family val="1"/>
      </rPr>
      <t>SADHA2A19L1F7</t>
    </r>
  </si>
  <si>
    <r>
      <rPr>
        <sz val="11"/>
        <rFont val="Georgia"/>
        <family val="1"/>
      </rPr>
      <t>F-TYPE R-DYNAMIC COUPE</t>
    </r>
  </si>
  <si>
    <r>
      <rPr>
        <sz val="11"/>
        <rFont val="Georgia"/>
        <family val="1"/>
      </rPr>
      <t>3BA-J60XC</t>
    </r>
  </si>
  <si>
    <r>
      <rPr>
        <sz val="11"/>
        <rFont val="Georgia"/>
        <family val="1"/>
      </rPr>
      <t>F-TYPE HERITAGE 60 EDITION</t>
    </r>
  </si>
  <si>
    <r>
      <rPr>
        <sz val="11"/>
        <rFont val="Georgia"/>
        <family val="1"/>
      </rPr>
      <t>3BA-J60MC</t>
    </r>
  </si>
  <si>
    <r>
      <rPr>
        <sz val="11"/>
        <rFont val="Georgia"/>
        <family val="1"/>
      </rPr>
      <t>F-PACE SVR JAPAN SV EDITION</t>
    </r>
  </si>
  <si>
    <r>
      <rPr>
        <sz val="11"/>
        <rFont val="Georgia"/>
        <family val="1"/>
      </rPr>
      <t>7BA-DC5SC</t>
    </r>
  </si>
  <si>
    <r>
      <rPr>
        <sz val="11"/>
        <rFont val="Georgia"/>
        <family val="1"/>
      </rPr>
      <t>F-PACE S P250</t>
    </r>
  </si>
  <si>
    <r>
      <rPr>
        <sz val="11"/>
        <rFont val="Georgia"/>
        <family val="1"/>
      </rPr>
      <t>3BA-DC2XC</t>
    </r>
  </si>
  <si>
    <r>
      <rPr>
        <sz val="11"/>
        <rFont val="Georgia"/>
        <family val="1"/>
      </rPr>
      <t>F-PACE S D200</t>
    </r>
  </si>
  <si>
    <r>
      <rPr>
        <sz val="11"/>
        <rFont val="Georgia"/>
        <family val="1"/>
      </rPr>
      <t>SADCA2AN6PA71</t>
    </r>
  </si>
  <si>
    <r>
      <rPr>
        <sz val="11"/>
        <rFont val="Georgia"/>
        <family val="1"/>
      </rPr>
      <t>F-PACE R-DYNAMIC SE D200</t>
    </r>
  </si>
  <si>
    <r>
      <rPr>
        <sz val="11"/>
        <rFont val="Georgia"/>
        <family val="1"/>
      </rPr>
      <t>PA71</t>
    </r>
  </si>
  <si>
    <r>
      <rPr>
        <sz val="11"/>
        <rFont val="Georgia"/>
        <family val="1"/>
      </rPr>
      <t>F-PACE PRESTIGE</t>
    </r>
  </si>
  <si>
    <r>
      <rPr>
        <sz val="11"/>
        <rFont val="Georgia"/>
        <family val="1"/>
      </rPr>
      <t>SADCA2AX7KA60</t>
    </r>
  </si>
  <si>
    <r>
      <rPr>
        <sz val="11"/>
        <rFont val="Georgia"/>
        <family val="1"/>
      </rPr>
      <t>F-PACE PORTFOLIO</t>
    </r>
  </si>
  <si>
    <r>
      <rPr>
        <sz val="11"/>
        <rFont val="Georgia"/>
        <family val="1"/>
      </rPr>
      <t>SADCA2AX7KA35</t>
    </r>
  </si>
  <si>
    <r>
      <rPr>
        <sz val="11"/>
        <rFont val="Georgia"/>
        <family val="1"/>
      </rPr>
      <t>E-PACE SENSORY PERFORMANCE EDITION</t>
    </r>
  </si>
  <si>
    <r>
      <rPr>
        <sz val="11"/>
        <rFont val="Georgia"/>
        <family val="1"/>
      </rPr>
      <t>SADFA2AN0L1Z7</t>
    </r>
  </si>
  <si>
    <r>
      <rPr>
        <sz val="11"/>
        <rFont val="Georgia"/>
        <family val="1"/>
      </rPr>
      <t>E-PACE R-DYNAMIC SE D200</t>
    </r>
  </si>
  <si>
    <r>
      <rPr>
        <sz val="11"/>
        <rFont val="Georgia"/>
        <family val="1"/>
      </rPr>
      <t>SADFA2AN6P103</t>
    </r>
  </si>
  <si>
    <r>
      <rPr>
        <sz val="11"/>
        <rFont val="Georgia"/>
        <family val="1"/>
      </rPr>
      <t>E-PACE R-DYNAMIC HSE P250</t>
    </r>
  </si>
  <si>
    <r>
      <rPr>
        <sz val="11"/>
        <rFont val="Georgia"/>
        <family val="1"/>
      </rPr>
      <t>SADFA2AX2N103</t>
    </r>
  </si>
  <si>
    <r>
      <rPr>
        <sz val="11"/>
        <rFont val="Georgia"/>
        <family val="1"/>
      </rPr>
      <t>E-PACE BASE GRADE 180PS</t>
    </r>
  </si>
  <si>
    <r>
      <rPr>
        <sz val="11"/>
        <rFont val="Georgia"/>
        <family val="1"/>
      </rPr>
      <t>SADFA2AN8J1Z3</t>
    </r>
  </si>
  <si>
    <r>
      <rPr>
        <sz val="11"/>
        <rFont val="Georgia"/>
        <family val="1"/>
      </rPr>
      <t>XJ XJ R-SPORT</t>
    </r>
  </si>
  <si>
    <r>
      <rPr>
        <sz val="11"/>
        <rFont val="Georgia"/>
        <family val="1"/>
      </rPr>
      <t>SAJKC1682J8W1</t>
    </r>
  </si>
  <si>
    <r>
      <rPr>
        <sz val="11"/>
        <rFont val="Georgia"/>
        <family val="1"/>
      </rPr>
      <t>XJ PREMIUM LUXURY</t>
    </r>
  </si>
  <si>
    <r>
      <rPr>
        <sz val="11"/>
        <rFont val="Georgia"/>
        <family val="1"/>
      </rPr>
      <t>CBA-J128B</t>
    </r>
  </si>
  <si>
    <r>
      <rPr>
        <sz val="11"/>
        <rFont val="Georgia"/>
        <family val="1"/>
      </rPr>
      <t>XF SPORTBRAKE XF SPORTBRAKE PRESTIGE</t>
    </r>
  </si>
  <si>
    <r>
      <rPr>
        <sz val="11"/>
        <rFont val="Georgia"/>
        <family val="1"/>
      </rPr>
      <t>SAJBB2AN4JCY6</t>
    </r>
  </si>
  <si>
    <r>
      <rPr>
        <sz val="11"/>
        <rFont val="Georgia"/>
        <family val="1"/>
      </rPr>
      <t>XF R-DYNAMIC HSE P250</t>
    </r>
  </si>
  <si>
    <r>
      <rPr>
        <sz val="11"/>
        <rFont val="Georgia"/>
        <family val="1"/>
      </rPr>
      <t>3BA-JB2XD</t>
    </r>
  </si>
  <si>
    <r>
      <rPr>
        <sz val="11"/>
        <rFont val="Georgia"/>
        <family val="1"/>
      </rPr>
      <t>SAJBB4AX0JCY7</t>
    </r>
  </si>
  <si>
    <r>
      <rPr>
        <sz val="11"/>
        <rFont val="Georgia"/>
        <family val="1"/>
      </rPr>
      <t>I-PACE FIRST EDITION</t>
    </r>
  </si>
  <si>
    <r>
      <rPr>
        <sz val="11"/>
        <rFont val="Georgia"/>
        <family val="1"/>
      </rPr>
      <t>ZAA-DH1AA</t>
    </r>
  </si>
  <si>
    <r>
      <rPr>
        <sz val="11"/>
        <rFont val="Georgia"/>
        <family val="1"/>
      </rPr>
      <t>I-PACE BLACK EDITION</t>
    </r>
  </si>
  <si>
    <r>
      <rPr>
        <sz val="11"/>
        <rFont val="Georgia"/>
        <family val="1"/>
      </rPr>
      <t>ZAA-DH1CA</t>
    </r>
  </si>
  <si>
    <r>
      <rPr>
        <sz val="11"/>
        <rFont val="Georgia"/>
        <family val="1"/>
      </rPr>
      <t>F-TYPE R-DYNAMIC CONVERTIBLE</t>
    </r>
  </si>
  <si>
    <r>
      <rPr>
        <sz val="11"/>
        <rFont val="Georgia"/>
        <family val="1"/>
      </rPr>
      <t>SAJDB5AX0PCK8</t>
    </r>
  </si>
  <si>
    <r>
      <rPr>
        <sz val="11"/>
        <rFont val="Georgia"/>
        <family val="1"/>
      </rPr>
      <t>F-TYPE R-DYNAMIC BLACK CURATED FOR JAPA</t>
    </r>
  </si>
  <si>
    <r>
      <rPr>
        <sz val="11"/>
        <rFont val="Georgia"/>
        <family val="1"/>
      </rPr>
      <t>7BA-J60MD</t>
    </r>
  </si>
  <si>
    <r>
      <rPr>
        <sz val="11"/>
        <rFont val="Georgia"/>
        <family val="1"/>
      </rPr>
      <t>F-TYPE R75 COUPE P575</t>
    </r>
  </si>
  <si>
    <r>
      <rPr>
        <sz val="11"/>
        <rFont val="Georgia"/>
        <family val="1"/>
      </rPr>
      <t>F-TYPE R AWD COUPE</t>
    </r>
  </si>
  <si>
    <r>
      <rPr>
        <sz val="11"/>
        <rFont val="Georgia"/>
        <family val="1"/>
      </rPr>
      <t>SAJDA1AE2KCK6</t>
    </r>
  </si>
  <si>
    <r>
      <rPr>
        <sz val="11"/>
        <rFont val="Georgia"/>
        <family val="1"/>
      </rPr>
      <t>F-TYPE COUPE</t>
    </r>
  </si>
  <si>
    <r>
      <rPr>
        <sz val="11"/>
        <rFont val="Georgia"/>
        <family val="1"/>
      </rPr>
      <t>DBA-J60XB</t>
    </r>
  </si>
  <si>
    <r>
      <rPr>
        <sz val="11"/>
        <rFont val="Georgia"/>
        <family val="1"/>
      </rPr>
      <t>F-PACE SVR</t>
    </r>
  </si>
  <si>
    <r>
      <rPr>
        <sz val="11"/>
        <rFont val="Georgia"/>
        <family val="1"/>
      </rPr>
      <t>F-PACE S</t>
    </r>
  </si>
  <si>
    <r>
      <rPr>
        <sz val="11"/>
        <rFont val="Georgia"/>
        <family val="1"/>
      </rPr>
      <t>SADCA2AV7JA29</t>
    </r>
  </si>
  <si>
    <r>
      <rPr>
        <sz val="11"/>
        <rFont val="Georgia"/>
        <family val="1"/>
      </rPr>
      <t>F-PACE R-SPORT</t>
    </r>
  </si>
  <si>
    <r>
      <rPr>
        <sz val="11"/>
        <rFont val="Georgia"/>
        <family val="1"/>
      </rPr>
      <t>JAGUAR F-PACE PURE</t>
    </r>
  </si>
  <si>
    <r>
      <rPr>
        <sz val="11"/>
        <rFont val="Georgia"/>
        <family val="1"/>
      </rPr>
      <t>F-PACE R-DYNAMIC SE P250</t>
    </r>
  </si>
  <si>
    <r>
      <rPr>
        <sz val="11"/>
        <rFont val="Georgia"/>
        <family val="1"/>
      </rPr>
      <t>SADCA2AX3NA70</t>
    </r>
  </si>
  <si>
    <r>
      <rPr>
        <sz val="11"/>
        <rFont val="Georgia"/>
        <family val="1"/>
      </rPr>
      <t>F-PACE PURE</t>
    </r>
  </si>
  <si>
    <r>
      <rPr>
        <sz val="11"/>
        <rFont val="Georgia"/>
        <family val="1"/>
      </rPr>
      <t>SADCA2AX6KA60</t>
    </r>
  </si>
  <si>
    <r>
      <rPr>
        <sz val="11"/>
        <rFont val="Georgia"/>
        <family val="1"/>
      </rPr>
      <t>F-PACE BASE GRADE D200</t>
    </r>
  </si>
  <si>
    <r>
      <rPr>
        <sz val="11"/>
        <rFont val="Georgia"/>
        <family val="1"/>
      </rPr>
      <t>SADCA2AN2NA69</t>
    </r>
  </si>
  <si>
    <r>
      <rPr>
        <sz val="11"/>
        <rFont val="Georgia"/>
        <family val="1"/>
      </rPr>
      <t>E-PACE S P200</t>
    </r>
  </si>
  <si>
    <r>
      <rPr>
        <sz val="11"/>
        <rFont val="Georgia"/>
        <family val="1"/>
      </rPr>
      <t>3BA-DF2XB</t>
    </r>
  </si>
  <si>
    <r>
      <rPr>
        <sz val="11"/>
        <rFont val="Georgia"/>
        <family val="1"/>
      </rPr>
      <t>E-PACE S 250PS</t>
    </r>
  </si>
  <si>
    <r>
      <rPr>
        <sz val="11"/>
        <rFont val="Georgia"/>
        <family val="1"/>
      </rPr>
      <t>DBA-DF2XA</t>
    </r>
  </si>
  <si>
    <r>
      <rPr>
        <sz val="11"/>
        <rFont val="Georgia"/>
        <family val="1"/>
      </rPr>
      <t>E-PACE S 180PS</t>
    </r>
  </si>
  <si>
    <r>
      <rPr>
        <sz val="11"/>
        <rFont val="Georgia"/>
        <family val="1"/>
      </rPr>
      <t>SADFA2AN8J1Z2</t>
    </r>
  </si>
  <si>
    <r>
      <rPr>
        <sz val="11"/>
        <rFont val="Georgia"/>
        <family val="1"/>
      </rPr>
      <t>E-PACE R-DYNAMIC SE P250</t>
    </r>
  </si>
  <si>
    <r>
      <rPr>
        <sz val="11"/>
        <rFont val="Georgia"/>
        <family val="1"/>
      </rPr>
      <t>E-PACE R-DYNAMIC SE 300PS</t>
    </r>
  </si>
  <si>
    <r>
      <rPr>
        <sz val="11"/>
        <rFont val="Georgia"/>
        <family val="1"/>
      </rPr>
      <t>SADFA2AX1J1Z0</t>
    </r>
  </si>
  <si>
    <r>
      <rPr>
        <sz val="11"/>
        <rFont val="Georgia"/>
        <family val="1"/>
      </rPr>
      <t>E-PACE R-DYNAMIC HSE 300PS</t>
    </r>
  </si>
  <si>
    <r>
      <rPr>
        <sz val="11"/>
        <rFont val="Georgia"/>
        <family val="1"/>
      </rPr>
      <t>SADFA2AX0J1Z2</t>
    </r>
  </si>
  <si>
    <r>
      <rPr>
        <sz val="11"/>
        <rFont val="Georgia"/>
        <family val="1"/>
      </rPr>
      <t>JEEP</t>
    </r>
  </si>
  <si>
    <r>
      <rPr>
        <sz val="11"/>
        <rFont val="Georgia"/>
        <family val="1"/>
      </rPr>
      <t>CHRYSLER  AVENGER</t>
    </r>
  </si>
  <si>
    <r>
      <rPr>
        <sz val="11"/>
        <rFont val="Georgia"/>
        <family val="1"/>
      </rPr>
      <t>ZACNJAC55RJK9</t>
    </r>
  </si>
  <si>
    <r>
      <rPr>
        <sz val="11"/>
        <rFont val="Georgia"/>
        <family val="1"/>
      </rPr>
      <t>CHRYSLER  AVENGER ALTITUDE</t>
    </r>
  </si>
  <si>
    <r>
      <rPr>
        <sz val="11"/>
        <rFont val="Georgia"/>
        <family val="1"/>
      </rPr>
      <t>ZAA-FH1JE</t>
    </r>
  </si>
  <si>
    <r>
      <rPr>
        <sz val="11"/>
        <rFont val="Georgia"/>
        <family val="1"/>
      </rPr>
      <t>CHRYSLER  CHEROKEE 80TH ANNIVERSARY ED</t>
    </r>
  </si>
  <si>
    <r>
      <rPr>
        <sz val="11"/>
        <rFont val="Georgia"/>
        <family val="1"/>
      </rPr>
      <t>3BA-KL20L</t>
    </r>
  </si>
  <si>
    <r>
      <rPr>
        <sz val="11"/>
        <rFont val="Georgia"/>
        <family val="1"/>
      </rPr>
      <t>CHRYSLER  CHEROKEE LIMITED</t>
    </r>
  </si>
  <si>
    <r>
      <rPr>
        <sz val="11"/>
        <rFont val="Georgia"/>
        <family val="1"/>
      </rPr>
      <t>KL20L-1C4PJMHN2KD42</t>
    </r>
  </si>
  <si>
    <r>
      <rPr>
        <sz val="11"/>
        <rFont val="Georgia"/>
        <family val="1"/>
      </rPr>
      <t>CHRYSLER  CHEROKEE LONGITUDE LAUNCH E</t>
    </r>
  </si>
  <si>
    <r>
      <rPr>
        <sz val="11"/>
        <rFont val="Georgia"/>
        <family val="1"/>
      </rPr>
      <t>ABA-KL24</t>
    </r>
  </si>
  <si>
    <r>
      <rPr>
        <sz val="11"/>
        <rFont val="Georgia"/>
        <family val="1"/>
      </rPr>
      <t>CHRYSLER  CHEROKEE NIGHT EAGLE</t>
    </r>
  </si>
  <si>
    <r>
      <rPr>
        <sz val="11"/>
        <rFont val="Georgia"/>
        <family val="1"/>
      </rPr>
      <t>ABA-KL32L</t>
    </r>
  </si>
  <si>
    <r>
      <rPr>
        <sz val="11"/>
        <rFont val="Georgia"/>
        <family val="1"/>
      </rPr>
      <t>CHRYSLER  CHEROKEE TRAILHAWK</t>
    </r>
  </si>
  <si>
    <r>
      <rPr>
        <sz val="11"/>
        <rFont val="Georgia"/>
        <family val="1"/>
      </rPr>
      <t>CHRYSLER  COMMANDER LIMITED</t>
    </r>
  </si>
  <si>
    <r>
      <rPr>
        <sz val="11"/>
        <rFont val="Georgia"/>
        <family val="1"/>
      </rPr>
      <t>3DA-H620</t>
    </r>
  </si>
  <si>
    <r>
      <rPr>
        <sz val="11"/>
        <rFont val="Georgia"/>
        <family val="1"/>
      </rPr>
      <t>CHRYSLER  COMPASS 80TH ANNIVERSARY EDIT</t>
    </r>
  </si>
  <si>
    <r>
      <rPr>
        <sz val="11"/>
        <rFont val="Georgia"/>
        <family val="1"/>
      </rPr>
      <t>3BA-M624</t>
    </r>
  </si>
  <si>
    <r>
      <rPr>
        <sz val="11"/>
        <rFont val="Georgia"/>
        <family val="1"/>
      </rPr>
      <t>CHRYSLER  COMPASS LIMITED</t>
    </r>
  </si>
  <si>
    <r>
      <rPr>
        <sz val="11"/>
        <rFont val="Georgia"/>
        <family val="1"/>
      </rPr>
      <t>ABA-M624</t>
    </r>
  </si>
  <si>
    <r>
      <rPr>
        <sz val="11"/>
        <rFont val="Georgia"/>
        <family val="1"/>
      </rPr>
      <t>CHRYSLER  COMPASS S MODEL</t>
    </r>
  </si>
  <si>
    <r>
      <rPr>
        <sz val="11"/>
        <rFont val="Georgia"/>
        <family val="1"/>
      </rPr>
      <t>CHRYSLER  GRAND CHEROKEE 4XE LIMITED 4X</t>
    </r>
  </si>
  <si>
    <r>
      <rPr>
        <sz val="11"/>
        <rFont val="Georgia"/>
        <family val="1"/>
      </rPr>
      <t>1C4RJYK64P876</t>
    </r>
  </si>
  <si>
    <r>
      <rPr>
        <sz val="11"/>
        <rFont val="Georgia"/>
        <family val="1"/>
      </rPr>
      <t>CHRYSLER  GRAND CHEROKEE 4XE SUMMIT RE</t>
    </r>
  </si>
  <si>
    <r>
      <rPr>
        <sz val="11"/>
        <rFont val="Georgia"/>
        <family val="1"/>
      </rPr>
      <t>1C4RJYN68P876</t>
    </r>
  </si>
  <si>
    <r>
      <rPr>
        <sz val="11"/>
        <rFont val="Georgia"/>
        <family val="1"/>
      </rPr>
      <t>CHRYSLER  GRAND CHEROKEE ALTITUDE</t>
    </r>
  </si>
  <si>
    <r>
      <rPr>
        <sz val="11"/>
        <rFont val="Georgia"/>
        <family val="1"/>
      </rPr>
      <t>DBA-WK36TA</t>
    </r>
  </si>
  <si>
    <r>
      <rPr>
        <sz val="11"/>
        <rFont val="Georgia"/>
        <family val="1"/>
      </rPr>
      <t>CHRYSLER  GRAND CHEROKEE L LIMITED</t>
    </r>
  </si>
  <si>
    <r>
      <rPr>
        <sz val="11"/>
        <rFont val="Georgia"/>
        <family val="1"/>
      </rPr>
      <t>1C4RJKKG4P876</t>
    </r>
  </si>
  <si>
    <r>
      <rPr>
        <sz val="11"/>
        <rFont val="Georgia"/>
        <family val="1"/>
      </rPr>
      <t>CHRYSLER  GRAND CHEROKEE L SUMMIT RESE</t>
    </r>
  </si>
  <si>
    <r>
      <rPr>
        <sz val="11"/>
        <rFont val="Georgia"/>
        <family val="1"/>
      </rPr>
      <t>1C4RJKNG6P880</t>
    </r>
  </si>
  <si>
    <r>
      <rPr>
        <sz val="11"/>
        <rFont val="Georgia"/>
        <family val="1"/>
      </rPr>
      <t>CHRYSLER  GRAND CHEROKEE SRT8</t>
    </r>
  </si>
  <si>
    <r>
      <rPr>
        <sz val="11"/>
        <rFont val="Georgia"/>
        <family val="1"/>
      </rPr>
      <t>1C4RJFHJ4HC92</t>
    </r>
  </si>
  <si>
    <r>
      <rPr>
        <sz val="11"/>
        <rFont val="Georgia"/>
        <family val="1"/>
      </rPr>
      <t>CHRYSLER  GRAND CHEROKEE STERLING EDIT</t>
    </r>
  </si>
  <si>
    <r>
      <rPr>
        <sz val="11"/>
        <rFont val="Georgia"/>
        <family val="1"/>
      </rPr>
      <t>CHRYSLER  GRAND CHEROKEE SUMMIT</t>
    </r>
  </si>
  <si>
    <r>
      <rPr>
        <sz val="11"/>
        <rFont val="Georgia"/>
        <family val="1"/>
      </rPr>
      <t>1C4RJFKG8JC47</t>
    </r>
  </si>
  <si>
    <r>
      <rPr>
        <sz val="11"/>
        <rFont val="Georgia"/>
        <family val="1"/>
      </rPr>
      <t>CHRYSLER  GRAND CHEROKEE TRACKHAWK</t>
    </r>
  </si>
  <si>
    <r>
      <rPr>
        <sz val="11"/>
        <rFont val="Georgia"/>
        <family val="1"/>
      </rPr>
      <t>1C4RJFP92JC35</t>
    </r>
  </si>
  <si>
    <r>
      <rPr>
        <sz val="11"/>
        <rFont val="Georgia"/>
        <family val="1"/>
      </rPr>
      <t>CHRYSLER  RENEGADE LIMITED</t>
    </r>
  </si>
  <si>
    <r>
      <rPr>
        <sz val="11"/>
        <rFont val="Georgia"/>
        <family val="1"/>
      </rPr>
      <t>1C4BU0000KPJ9</t>
    </r>
  </si>
  <si>
    <r>
      <rPr>
        <sz val="11"/>
        <rFont val="Georgia"/>
        <family val="1"/>
      </rPr>
      <t>CHRYSLER  RENEGADE LONGITUDE</t>
    </r>
  </si>
  <si>
    <r>
      <rPr>
        <sz val="11"/>
        <rFont val="Georgia"/>
        <family val="1"/>
      </rPr>
      <t>1C4BU000KPJ9</t>
    </r>
  </si>
  <si>
    <r>
      <rPr>
        <sz val="11"/>
        <rFont val="Georgia"/>
        <family val="1"/>
      </rPr>
      <t>CHRYSLER  RENEGADE NIGHT EAGLE</t>
    </r>
  </si>
  <si>
    <r>
      <rPr>
        <sz val="11"/>
        <rFont val="Georgia"/>
        <family val="1"/>
      </rPr>
      <t>3BA-BV13PM</t>
    </r>
  </si>
  <si>
    <r>
      <rPr>
        <sz val="11"/>
        <rFont val="Georgia"/>
        <family val="1"/>
      </rPr>
      <t>CHRYSLER  RENEGADE TRAILHAWK</t>
    </r>
  </si>
  <si>
    <r>
      <rPr>
        <sz val="11"/>
        <rFont val="Georgia"/>
        <family val="1"/>
      </rPr>
      <t>1C4BU0000JPH9</t>
    </r>
  </si>
  <si>
    <r>
      <rPr>
        <sz val="11"/>
        <rFont val="Georgia"/>
        <family val="1"/>
      </rPr>
      <t>CHRYSLER  TRAILHAWK</t>
    </r>
  </si>
  <si>
    <r>
      <rPr>
        <sz val="11"/>
        <rFont val="Georgia"/>
        <family val="1"/>
      </rPr>
      <t>MCANJRDB1KFA5</t>
    </r>
  </si>
  <si>
    <r>
      <rPr>
        <sz val="11"/>
        <rFont val="Georgia"/>
        <family val="1"/>
      </rPr>
      <t>CHRYSLER  WRANGLER</t>
    </r>
  </si>
  <si>
    <r>
      <rPr>
        <sz val="11"/>
        <rFont val="Georgia"/>
        <family val="1"/>
      </rPr>
      <t>1C4HJXGG2LW15</t>
    </r>
  </si>
  <si>
    <r>
      <rPr>
        <sz val="11"/>
        <rFont val="Georgia"/>
        <family val="1"/>
      </rPr>
      <t>CHRYSLER  WRANGLER OVERLAND NACHO</t>
    </r>
  </si>
  <si>
    <r>
      <rPr>
        <sz val="11"/>
        <rFont val="Georgia"/>
        <family val="1"/>
      </rPr>
      <t>1C4HJXHG8MW70</t>
    </r>
  </si>
  <si>
    <r>
      <rPr>
        <sz val="11"/>
        <rFont val="Georgia"/>
        <family val="1"/>
      </rPr>
      <t>CHRYSLER  WRANGLER RUBICON</t>
    </r>
  </si>
  <si>
    <r>
      <rPr>
        <sz val="11"/>
        <rFont val="Georgia"/>
        <family val="1"/>
      </rPr>
      <t>7BA-JL36S</t>
    </r>
  </si>
  <si>
    <r>
      <rPr>
        <sz val="11"/>
        <rFont val="Georgia"/>
        <family val="1"/>
      </rPr>
      <t>CHRYSLER  WRANGLER RUBICON SOFT TOP</t>
    </r>
  </si>
  <si>
    <r>
      <rPr>
        <sz val="11"/>
        <rFont val="Georgia"/>
        <family val="1"/>
      </rPr>
      <t>CHRYSLER  WRANGLER SPORTS</t>
    </r>
  </si>
  <si>
    <r>
      <rPr>
        <sz val="11"/>
        <rFont val="Georgia"/>
        <family val="1"/>
      </rPr>
      <t>1C4HJXGG6KW60</t>
    </r>
  </si>
  <si>
    <r>
      <rPr>
        <sz val="11"/>
        <rFont val="Georgia"/>
        <family val="1"/>
      </rPr>
      <t>CHRYSLER  WRANGLER UNLIMITED BLACK&amp;TA</t>
    </r>
  </si>
  <si>
    <r>
      <rPr>
        <sz val="11"/>
        <rFont val="Georgia"/>
        <family val="1"/>
      </rPr>
      <t>ABA-JL36L</t>
    </r>
  </si>
  <si>
    <r>
      <rPr>
        <sz val="11"/>
        <rFont val="Georgia"/>
        <family val="1"/>
      </rPr>
      <t>CHRYSLER  WRANGLER UNLIMITED LIMITED E</t>
    </r>
  </si>
  <si>
    <r>
      <rPr>
        <sz val="11"/>
        <rFont val="Georgia"/>
        <family val="1"/>
      </rPr>
      <t>7BA-JL36L</t>
    </r>
  </si>
  <si>
    <r>
      <rPr>
        <sz val="11"/>
        <rFont val="Georgia"/>
        <family val="1"/>
      </rPr>
      <t>CHRYSLER  WRANGLER UNLIMITED RUBICON P</t>
    </r>
  </si>
  <si>
    <r>
      <rPr>
        <sz val="11"/>
        <rFont val="Georgia"/>
        <family val="1"/>
      </rPr>
      <t>3BA-JL20L</t>
    </r>
  </si>
  <si>
    <r>
      <rPr>
        <sz val="11"/>
        <rFont val="Georgia"/>
        <family val="1"/>
      </rPr>
      <t>CHRYSLER  WRANGLER UNLIMITED SAHARA</t>
    </r>
  </si>
  <si>
    <r>
      <rPr>
        <sz val="11"/>
        <rFont val="Georgia"/>
        <family val="1"/>
      </rPr>
      <t>1C4HJXEGXKW59</t>
    </r>
  </si>
  <si>
    <r>
      <rPr>
        <sz val="11"/>
        <rFont val="Georgia"/>
        <family val="1"/>
      </rPr>
      <t>CHRYSLER  WRANGLER UNLIMITED WILLYS</t>
    </r>
  </si>
  <si>
    <r>
      <rPr>
        <sz val="11"/>
        <rFont val="Georgia"/>
        <family val="1"/>
      </rPr>
      <t>CHRYSLER COMPASS LONGITUDE</t>
    </r>
  </si>
  <si>
    <r>
      <rPr>
        <sz val="11"/>
        <rFont val="Georgia"/>
        <family val="1"/>
      </rPr>
      <t>CHRYSLER GLADIATOR</t>
    </r>
  </si>
  <si>
    <r>
      <rPr>
        <sz val="11"/>
        <rFont val="Georgia"/>
        <family val="1"/>
      </rPr>
      <t>1C6HJTAG2ML61</t>
    </r>
  </si>
  <si>
    <r>
      <rPr>
        <sz val="11"/>
        <rFont val="Georgia"/>
        <family val="1"/>
      </rPr>
      <t>CHRYSLER GLADIATOR RUBICON</t>
    </r>
  </si>
  <si>
    <r>
      <rPr>
        <sz val="11"/>
        <rFont val="Georgia"/>
        <family val="1"/>
      </rPr>
      <t>7BF-JT36</t>
    </r>
  </si>
  <si>
    <r>
      <rPr>
        <sz val="11"/>
        <rFont val="Georgia"/>
        <family val="1"/>
      </rPr>
      <t>CHRYSLER GRAND CHEROKEE</t>
    </r>
  </si>
  <si>
    <r>
      <rPr>
        <sz val="11"/>
        <rFont val="Georgia"/>
        <family val="1"/>
      </rPr>
      <t>1C4RJFEG9KC75</t>
    </r>
  </si>
  <si>
    <r>
      <rPr>
        <sz val="11"/>
        <rFont val="Georgia"/>
        <family val="1"/>
      </rPr>
      <t>CHRYSLER GRAND CHEROKEE LIMITED</t>
    </r>
  </si>
  <si>
    <r>
      <rPr>
        <sz val="11"/>
        <rFont val="Georgia"/>
        <family val="1"/>
      </rPr>
      <t>1C4PJHKN2P877</t>
    </r>
  </si>
  <si>
    <r>
      <rPr>
        <sz val="11"/>
        <rFont val="Georgia"/>
        <family val="1"/>
      </rPr>
      <t>CHRYSLER OTHER</t>
    </r>
  </si>
  <si>
    <r>
      <rPr>
        <sz val="11"/>
        <rFont val="Georgia"/>
        <family val="1"/>
      </rPr>
      <t>1C6HATAG3LL11</t>
    </r>
  </si>
  <si>
    <r>
      <rPr>
        <sz val="11"/>
        <rFont val="Georgia"/>
        <family val="1"/>
      </rPr>
      <t>CHRYSLER RENEGADE 4XE TRAILHAWK 4XE</t>
    </r>
  </si>
  <si>
    <r>
      <rPr>
        <sz val="11"/>
        <rFont val="Georgia"/>
        <family val="1"/>
      </rPr>
      <t>1C4PJDCW3PP03</t>
    </r>
  </si>
  <si>
    <r>
      <rPr>
        <sz val="11"/>
        <rFont val="Georgia"/>
        <family val="1"/>
      </rPr>
      <t>CHRYSLER WRANGLER</t>
    </r>
  </si>
  <si>
    <r>
      <rPr>
        <sz val="11"/>
        <rFont val="Georgia"/>
        <family val="1"/>
      </rPr>
      <t>CHRYSLER WRANGLER RUBICON SOFT TOP</t>
    </r>
  </si>
  <si>
    <r>
      <rPr>
        <sz val="11"/>
        <rFont val="Georgia"/>
        <family val="1"/>
      </rPr>
      <t>CHRYSLER WRANGLER UNLIMITED RUBICON</t>
    </r>
  </si>
  <si>
    <r>
      <rPr>
        <sz val="11"/>
        <rFont val="Georgia"/>
        <family val="1"/>
      </rPr>
      <t>1C4JJXFG7PW54</t>
    </r>
  </si>
  <si>
    <r>
      <rPr>
        <sz val="11"/>
        <rFont val="Georgia"/>
        <family val="1"/>
      </rPr>
      <t>CHRYSLER WRANGLER UNLIMITED RUBICON L</t>
    </r>
  </si>
  <si>
    <r>
      <rPr>
        <sz val="11"/>
        <rFont val="Georgia"/>
        <family val="1"/>
      </rPr>
      <t>CHRYSLER WRANGLER UNLIMITED RUBICON S</t>
    </r>
  </si>
  <si>
    <r>
      <rPr>
        <sz val="11"/>
        <rFont val="Georgia"/>
        <family val="1"/>
      </rPr>
      <t>1C4HJXMG5KW59</t>
    </r>
  </si>
  <si>
    <r>
      <rPr>
        <sz val="11"/>
        <rFont val="Georgia"/>
        <family val="1"/>
      </rPr>
      <t>CHRYSLER WRANGLER UNLIMITED SAHARA LA</t>
    </r>
  </si>
  <si>
    <r>
      <rPr>
        <sz val="11"/>
        <rFont val="Georgia"/>
        <family val="1"/>
      </rPr>
      <t>CHRYSLER WRANGLER UNLIMITED SPORT</t>
    </r>
  </si>
  <si>
    <r>
      <rPr>
        <sz val="11"/>
        <rFont val="Georgia"/>
        <family val="1"/>
      </rPr>
      <t>CHRYSLER WRANGLER UNLIMITED SPORT ALT</t>
    </r>
  </si>
  <si>
    <r>
      <rPr>
        <sz val="11"/>
        <rFont val="Georgia"/>
        <family val="1"/>
      </rPr>
      <t>KIA</t>
    </r>
  </si>
  <si>
    <r>
      <rPr>
        <sz val="11"/>
        <rFont val="Georgia"/>
        <family val="1"/>
      </rPr>
      <t>CARNIVAL</t>
    </r>
  </si>
  <si>
    <r>
      <rPr>
        <sz val="11"/>
        <rFont val="Georgia"/>
        <family val="1"/>
      </rPr>
      <t>SPORT+ HEV</t>
    </r>
  </si>
  <si>
    <r>
      <rPr>
        <sz val="11"/>
        <rFont val="Georgia"/>
        <family val="1"/>
      </rPr>
      <t>Auto</t>
    </r>
  </si>
  <si>
    <r>
      <rPr>
        <sz val="11"/>
        <rFont val="Georgia"/>
        <family val="1"/>
      </rPr>
      <t>GT-LINE HEV</t>
    </r>
  </si>
  <si>
    <r>
      <rPr>
        <sz val="11"/>
        <rFont val="Georgia"/>
        <family val="1"/>
      </rPr>
      <t>GT-LINE</t>
    </r>
  </si>
  <si>
    <r>
      <rPr>
        <sz val="11"/>
        <rFont val="Georgia"/>
        <family val="1"/>
      </rPr>
      <t>GT-LINE LITE</t>
    </r>
  </si>
  <si>
    <r>
      <rPr>
        <sz val="11"/>
        <rFont val="Georgia"/>
        <family val="1"/>
      </rPr>
      <t>S</t>
    </r>
  </si>
  <si>
    <r>
      <rPr>
        <sz val="11"/>
        <rFont val="Georgia"/>
        <family val="1"/>
      </rPr>
      <t>SPECIAL EDITION</t>
    </r>
  </si>
  <si>
    <r>
      <rPr>
        <sz val="11"/>
        <rFont val="Georgia"/>
        <family val="1"/>
      </rPr>
      <t>SPORT+</t>
    </r>
  </si>
  <si>
    <r>
      <rPr>
        <sz val="11"/>
        <rFont val="Georgia"/>
        <family val="1"/>
      </rPr>
      <t>CERATO</t>
    </r>
  </si>
  <si>
    <r>
      <rPr>
        <sz val="11"/>
        <rFont val="Georgia"/>
        <family val="1"/>
      </rPr>
      <t>S SAFETY PACK</t>
    </r>
  </si>
  <si>
    <r>
      <rPr>
        <sz val="11"/>
        <rFont val="Georgia"/>
        <family val="1"/>
      </rPr>
      <t>SPORT SAFETY PACK</t>
    </r>
  </si>
  <si>
    <r>
      <rPr>
        <sz val="11"/>
        <rFont val="Georgia"/>
        <family val="1"/>
      </rPr>
      <t>EV3</t>
    </r>
  </si>
  <si>
    <r>
      <rPr>
        <sz val="11"/>
        <rFont val="Georgia"/>
        <family val="1"/>
      </rPr>
      <t>AIR 2WD LR</t>
    </r>
  </si>
  <si>
    <r>
      <rPr>
        <sz val="11"/>
        <rFont val="Georgia"/>
        <family val="1"/>
      </rPr>
      <t>AIR 2WD SR</t>
    </r>
  </si>
  <si>
    <r>
      <rPr>
        <sz val="11"/>
        <rFont val="Georgia"/>
        <family val="1"/>
      </rPr>
      <t>EARTH 2WD LR SUBTLE GREY</t>
    </r>
  </si>
  <si>
    <r>
      <rPr>
        <sz val="11"/>
        <rFont val="Georgia"/>
        <family val="1"/>
      </rPr>
      <t>EARTH 2WD LR WARM GREY</t>
    </r>
  </si>
  <si>
    <r>
      <rPr>
        <sz val="11"/>
        <rFont val="Georgia"/>
        <family val="1"/>
      </rPr>
      <t>GT-LINE 2WD LR</t>
    </r>
  </si>
  <si>
    <r>
      <rPr>
        <sz val="11"/>
        <rFont val="Georgia"/>
        <family val="1"/>
      </rPr>
      <t>EV5</t>
    </r>
  </si>
  <si>
    <r>
      <rPr>
        <sz val="11"/>
        <rFont val="Georgia"/>
        <family val="1"/>
      </rPr>
      <t>EARTH AWD LR BLACK</t>
    </r>
  </si>
  <si>
    <r>
      <rPr>
        <sz val="11"/>
        <rFont val="Georgia"/>
        <family val="1"/>
      </rPr>
      <t>EARTH AWD LR NOUGAT</t>
    </r>
  </si>
  <si>
    <r>
      <rPr>
        <sz val="11"/>
        <rFont val="Georgia"/>
        <family val="1"/>
      </rPr>
      <t>GT-LINE AWD LR</t>
    </r>
  </si>
  <si>
    <r>
      <rPr>
        <sz val="11"/>
        <rFont val="Georgia"/>
        <family val="1"/>
      </rPr>
      <t>EV6</t>
    </r>
  </si>
  <si>
    <r>
      <rPr>
        <sz val="11"/>
        <rFont val="Georgia"/>
        <family val="1"/>
      </rPr>
      <t>AIR RWD</t>
    </r>
  </si>
  <si>
    <r>
      <rPr>
        <sz val="11"/>
        <rFont val="Georgia"/>
        <family val="1"/>
      </rPr>
      <t>GT AWD</t>
    </r>
  </si>
  <si>
    <r>
      <rPr>
        <sz val="11"/>
        <rFont val="Georgia"/>
        <family val="1"/>
      </rPr>
      <t>GT-LINE AWD</t>
    </r>
  </si>
  <si>
    <r>
      <rPr>
        <sz val="11"/>
        <rFont val="Georgia"/>
        <family val="1"/>
      </rPr>
      <t>GT-LINE RWD</t>
    </r>
  </si>
  <si>
    <r>
      <rPr>
        <sz val="11"/>
        <rFont val="Georgia"/>
        <family val="1"/>
      </rPr>
      <t>EV9</t>
    </r>
  </si>
  <si>
    <r>
      <rPr>
        <sz val="11"/>
        <rFont val="Georgia"/>
        <family val="1"/>
      </rPr>
      <t>AIR</t>
    </r>
  </si>
  <si>
    <r>
      <rPr>
        <sz val="11"/>
        <rFont val="Georgia"/>
        <family val="1"/>
      </rPr>
      <t>EARTH</t>
    </r>
  </si>
  <si>
    <r>
      <rPr>
        <sz val="11"/>
        <rFont val="Georgia"/>
        <family val="1"/>
      </rPr>
      <t>GT LINE</t>
    </r>
  </si>
  <si>
    <r>
      <rPr>
        <sz val="11"/>
        <rFont val="Georgia"/>
        <family val="1"/>
      </rPr>
      <t>K4</t>
    </r>
  </si>
  <si>
    <r>
      <rPr>
        <sz val="11"/>
        <rFont val="Georgia"/>
        <family val="1"/>
      </rPr>
      <t>NIRO</t>
    </r>
  </si>
  <si>
    <r>
      <rPr>
        <sz val="11"/>
        <rFont val="Georgia"/>
        <family val="1"/>
      </rPr>
      <t>EV GT-LINE BLACK C PILLAR</t>
    </r>
  </si>
  <si>
    <r>
      <rPr>
        <sz val="11"/>
        <rFont val="Georgia"/>
        <family val="1"/>
      </rPr>
      <t>EV GT-LINE BODY C PILLAR</t>
    </r>
  </si>
  <si>
    <r>
      <rPr>
        <sz val="11"/>
        <rFont val="Georgia"/>
        <family val="1"/>
      </rPr>
      <t>EV GT-LINE GREY C PILLAR</t>
    </r>
  </si>
  <si>
    <r>
      <rPr>
        <sz val="11"/>
        <rFont val="Georgia"/>
        <family val="1"/>
      </rPr>
      <t>EV S</t>
    </r>
  </si>
  <si>
    <r>
      <rPr>
        <sz val="11"/>
        <rFont val="Georgia"/>
        <family val="1"/>
      </rPr>
      <t>HEV GT-LINE BLK C PILLAR (HYB)</t>
    </r>
  </si>
  <si>
    <r>
      <rPr>
        <sz val="11"/>
        <rFont val="Georgia"/>
        <family val="1"/>
      </rPr>
      <t>PETROL/ELECTRIC</t>
    </r>
  </si>
  <si>
    <r>
      <rPr>
        <sz val="11"/>
        <rFont val="Georgia"/>
        <family val="1"/>
      </rPr>
      <t>HEV GT-LINE BODY C PILL (HYB)</t>
    </r>
  </si>
  <si>
    <r>
      <rPr>
        <sz val="11"/>
        <rFont val="Georgia"/>
        <family val="1"/>
      </rPr>
      <t>HEV S (HYBRID)</t>
    </r>
  </si>
  <si>
    <r>
      <rPr>
        <sz val="11"/>
        <rFont val="Georgia"/>
        <family val="1"/>
      </rPr>
      <t>OPTIMA</t>
    </r>
  </si>
  <si>
    <r>
      <rPr>
        <sz val="11"/>
        <rFont val="Georgia"/>
        <family val="1"/>
      </rPr>
      <t>GT NAV (BLACK LEATHER)</t>
    </r>
  </si>
  <si>
    <r>
      <rPr>
        <sz val="11"/>
        <rFont val="Georgia"/>
        <family val="1"/>
      </rPr>
      <t>GT NAV (BLACK LEATHER) SUNROOF</t>
    </r>
  </si>
  <si>
    <r>
      <rPr>
        <sz val="11"/>
        <rFont val="Georgia"/>
        <family val="1"/>
      </rPr>
      <t>SI</t>
    </r>
  </si>
  <si>
    <r>
      <rPr>
        <sz val="11"/>
        <rFont val="Georgia"/>
        <family val="1"/>
      </rPr>
      <t>PICANTO</t>
    </r>
  </si>
  <si>
    <r>
      <rPr>
        <sz val="11"/>
        <rFont val="Georgia"/>
        <family val="1"/>
      </rPr>
      <t>GT LINE (PE2)</t>
    </r>
  </si>
  <si>
    <r>
      <rPr>
        <sz val="11"/>
        <rFont val="Georgia"/>
        <family val="1"/>
      </rPr>
      <t>SPORT (PE2)</t>
    </r>
  </si>
  <si>
    <r>
      <rPr>
        <sz val="11"/>
        <rFont val="Georgia"/>
        <family val="1"/>
      </rPr>
      <t>RIO</t>
    </r>
  </si>
  <si>
    <r>
      <rPr>
        <sz val="11"/>
        <rFont val="Georgia"/>
        <family val="1"/>
      </rPr>
      <t>SELTOS</t>
    </r>
  </si>
  <si>
    <r>
      <rPr>
        <sz val="11"/>
        <rFont val="Georgia"/>
        <family val="1"/>
      </rPr>
      <t>GT-LINE (AWD) (SUNROOF)</t>
    </r>
  </si>
  <si>
    <r>
      <rPr>
        <sz val="11"/>
        <rFont val="Georgia"/>
        <family val="1"/>
      </rPr>
      <t>GT-LINE (AWD) (TWO-TONE)</t>
    </r>
  </si>
  <si>
    <r>
      <rPr>
        <sz val="11"/>
        <rFont val="Georgia"/>
        <family val="1"/>
      </rPr>
      <t>SPORT+ (AWD)</t>
    </r>
  </si>
  <si>
    <r>
      <rPr>
        <sz val="11"/>
        <rFont val="Georgia"/>
        <family val="1"/>
      </rPr>
      <t>GT-LINE (FWD) (SUNROOF)</t>
    </r>
  </si>
  <si>
    <r>
      <rPr>
        <sz val="11"/>
        <rFont val="Georgia"/>
        <family val="1"/>
      </rPr>
      <t>GT-LINE (FWD) (TWO-TONE)</t>
    </r>
  </si>
  <si>
    <r>
      <rPr>
        <sz val="11"/>
        <rFont val="Georgia"/>
        <family val="1"/>
      </rPr>
      <t>S (FWD)</t>
    </r>
  </si>
  <si>
    <r>
      <rPr>
        <sz val="11"/>
        <rFont val="Georgia"/>
        <family val="1"/>
      </rPr>
      <t>SPORT (FWD)</t>
    </r>
  </si>
  <si>
    <r>
      <rPr>
        <sz val="11"/>
        <rFont val="Georgia"/>
        <family val="1"/>
      </rPr>
      <t>SPORT+ (FWD)</t>
    </r>
  </si>
  <si>
    <r>
      <rPr>
        <sz val="11"/>
        <rFont val="Georgia"/>
        <family val="1"/>
      </rPr>
      <t>SORENTO</t>
    </r>
  </si>
  <si>
    <r>
      <rPr>
        <sz val="11"/>
        <rFont val="Georgia"/>
        <family val="1"/>
      </rPr>
      <t>GT-LINE 7 SEAT PHEV AWD</t>
    </r>
  </si>
  <si>
    <r>
      <rPr>
        <sz val="11"/>
        <rFont val="Georgia"/>
        <family val="1"/>
      </rPr>
      <t>GT-LINE HEV AWD</t>
    </r>
  </si>
  <si>
    <r>
      <rPr>
        <sz val="11"/>
        <rFont val="Georgia"/>
        <family val="1"/>
      </rPr>
      <t>GT-LINE HEV FWD</t>
    </r>
  </si>
  <si>
    <r>
      <rPr>
        <sz val="11"/>
        <rFont val="Georgia"/>
        <family val="1"/>
      </rPr>
      <t>GT-LINE 7 SEAT</t>
    </r>
  </si>
  <si>
    <r>
      <rPr>
        <sz val="11"/>
        <rFont val="Georgia"/>
        <family val="1"/>
      </rPr>
      <t>S 7 SEAT</t>
    </r>
  </si>
  <si>
    <r>
      <rPr>
        <sz val="11"/>
        <rFont val="Georgia"/>
        <family val="1"/>
      </rPr>
      <t>SPORT 7 SEAT</t>
    </r>
  </si>
  <si>
    <r>
      <rPr>
        <sz val="11"/>
        <rFont val="Georgia"/>
        <family val="1"/>
      </rPr>
      <t>SPORT+ 7 SEAT</t>
    </r>
  </si>
  <si>
    <r>
      <rPr>
        <sz val="11"/>
        <rFont val="Georgia"/>
        <family val="1"/>
      </rPr>
      <t>SOUL</t>
    </r>
  </si>
  <si>
    <r>
      <rPr>
        <sz val="11"/>
        <rFont val="Georgia"/>
        <family val="1"/>
      </rPr>
      <t>SPORTAGE</t>
    </r>
  </si>
  <si>
    <r>
      <rPr>
        <sz val="11"/>
        <rFont val="Georgia"/>
        <family val="1"/>
      </rPr>
      <t>GT-LINE HEV (FWD)</t>
    </r>
  </si>
  <si>
    <r>
      <rPr>
        <sz val="11"/>
        <rFont val="Georgia"/>
        <family val="1"/>
      </rPr>
      <t>SX HEV (FWD)</t>
    </r>
  </si>
  <si>
    <r>
      <rPr>
        <sz val="11"/>
        <rFont val="Georgia"/>
        <family val="1"/>
      </rPr>
      <t>GT-LINE (AWD)</t>
    </r>
  </si>
  <si>
    <r>
      <rPr>
        <sz val="11"/>
        <rFont val="Georgia"/>
        <family val="1"/>
      </rPr>
      <t>SX+ (AWD)</t>
    </r>
  </si>
  <si>
    <r>
      <rPr>
        <sz val="11"/>
        <rFont val="Georgia"/>
        <family val="1"/>
      </rPr>
      <t>SX (FWD)</t>
    </r>
  </si>
  <si>
    <r>
      <rPr>
        <sz val="11"/>
        <rFont val="Georgia"/>
        <family val="1"/>
      </rPr>
      <t>SX+ (FWD)</t>
    </r>
  </si>
  <si>
    <r>
      <rPr>
        <sz val="11"/>
        <rFont val="Georgia"/>
        <family val="1"/>
      </rPr>
      <t>S (AWD)</t>
    </r>
  </si>
  <si>
    <r>
      <rPr>
        <sz val="11"/>
        <rFont val="Georgia"/>
        <family val="1"/>
      </rPr>
      <t>SX (AWD)</t>
    </r>
  </si>
  <si>
    <r>
      <rPr>
        <sz val="11"/>
        <rFont val="Georgia"/>
        <family val="1"/>
      </rPr>
      <t>STINGER</t>
    </r>
  </si>
  <si>
    <r>
      <rPr>
        <sz val="11"/>
        <rFont val="Georgia"/>
        <family val="1"/>
      </rPr>
      <t>2.0 GT-LINE</t>
    </r>
  </si>
  <si>
    <r>
      <rPr>
        <sz val="11"/>
        <rFont val="Georgia"/>
        <family val="1"/>
      </rPr>
      <t>2.0 GT-LINE (RED LEATHER)</t>
    </r>
  </si>
  <si>
    <r>
      <rPr>
        <sz val="11"/>
        <rFont val="Georgia"/>
        <family val="1"/>
      </rPr>
      <t>200S</t>
    </r>
  </si>
  <si>
    <r>
      <rPr>
        <sz val="11"/>
        <rFont val="Georgia"/>
        <family val="1"/>
      </rPr>
      <t>3.3 GT (RED LEATHER)</t>
    </r>
  </si>
  <si>
    <r>
      <rPr>
        <sz val="11"/>
        <rFont val="Georgia"/>
        <family val="1"/>
      </rPr>
      <t>330S</t>
    </r>
  </si>
  <si>
    <r>
      <rPr>
        <sz val="11"/>
        <rFont val="Georgia"/>
        <family val="1"/>
      </rPr>
      <t>STONIC</t>
    </r>
  </si>
  <si>
    <r>
      <rPr>
        <sz val="11"/>
        <rFont val="Georgia"/>
        <family val="1"/>
      </rPr>
      <t>LANDROVER</t>
    </r>
  </si>
  <si>
    <r>
      <rPr>
        <sz val="11"/>
        <rFont val="Georgia"/>
        <family val="1"/>
      </rPr>
      <t>DEFENDER  T/C  3 DOOR  300PS</t>
    </r>
  </si>
  <si>
    <r>
      <rPr>
        <sz val="11"/>
        <rFont val="Georgia"/>
        <family val="1"/>
      </rPr>
      <t>S/WAGON</t>
    </r>
  </si>
  <si>
    <r>
      <rPr>
        <sz val="11"/>
        <rFont val="Georgia"/>
        <family val="1"/>
      </rPr>
      <t>DEFENDER  T/C  3 DOOR  300PS S</t>
    </r>
  </si>
  <si>
    <r>
      <rPr>
        <sz val="11"/>
        <rFont val="Georgia"/>
        <family val="1"/>
      </rPr>
      <t>DEFENDER  T/C  3 DOOR 300PS X-DYNAMIC SE</t>
    </r>
  </si>
  <si>
    <r>
      <rPr>
        <sz val="11"/>
        <rFont val="Georgia"/>
        <family val="1"/>
      </rPr>
      <t>DEFENDER  T/C  5 DOOR  300PS X-DYNAMIC HSE</t>
    </r>
  </si>
  <si>
    <r>
      <rPr>
        <sz val="11"/>
        <rFont val="Georgia"/>
        <family val="1"/>
      </rPr>
      <t>DEFENDER  T/C  5 DOOR 300PS</t>
    </r>
  </si>
  <si>
    <r>
      <rPr>
        <sz val="11"/>
        <rFont val="Georgia"/>
        <family val="1"/>
      </rPr>
      <t>DEFENDER  T/C  AWD 3 DOOR 300PS X-DYNAMIC S</t>
    </r>
  </si>
  <si>
    <r>
      <rPr>
        <sz val="11"/>
        <rFont val="Georgia"/>
        <family val="1"/>
      </rPr>
      <t>DEFENDER  T/C  MHEV 3 DOOR 400PS S</t>
    </r>
  </si>
  <si>
    <r>
      <rPr>
        <sz val="11"/>
        <rFont val="Georgia"/>
        <family val="1"/>
      </rPr>
      <t>MHEV</t>
    </r>
  </si>
  <si>
    <r>
      <rPr>
        <sz val="11"/>
        <rFont val="Georgia"/>
        <family val="1"/>
      </rPr>
      <t>DEFENDER  T/C  PHEV  5 DOOR 404PS X-DYNAMIC HSE</t>
    </r>
  </si>
  <si>
    <r>
      <rPr>
        <sz val="11"/>
        <rFont val="Georgia"/>
        <family val="1"/>
      </rPr>
      <t>PHEV</t>
    </r>
  </si>
  <si>
    <r>
      <rPr>
        <sz val="11"/>
        <rFont val="Georgia"/>
        <family val="1"/>
      </rPr>
      <t>DEFENDER  T/C  PHEV 5 DOOR  404PS S</t>
    </r>
  </si>
  <si>
    <r>
      <rPr>
        <sz val="11"/>
        <rFont val="Georgia"/>
        <family val="1"/>
      </rPr>
      <t>DEFENDER  T/C  PHEV 5 DOOR  404PS X-DYNAMIC S</t>
    </r>
  </si>
  <si>
    <r>
      <rPr>
        <sz val="11"/>
        <rFont val="Georgia"/>
        <family val="1"/>
      </rPr>
      <t>DEFENDER  T/C  PHEV 5 DOOR 404PS S</t>
    </r>
  </si>
  <si>
    <r>
      <rPr>
        <sz val="11"/>
        <rFont val="Georgia"/>
        <family val="1"/>
      </rPr>
      <t>DEFENDER  T/C  PHEV 5 DOOR 404PS X-DYNAMIC SE</t>
    </r>
  </si>
  <si>
    <r>
      <rPr>
        <sz val="11"/>
        <rFont val="Georgia"/>
        <family val="1"/>
      </rPr>
      <t>DEFENDER  T/C 3 DOOR  300PS X-DYNAMIC HSE</t>
    </r>
  </si>
  <si>
    <r>
      <rPr>
        <sz val="11"/>
        <rFont val="Georgia"/>
        <family val="1"/>
      </rPr>
      <t>DEFENDER  T/C 3 DOOR 300PS S</t>
    </r>
  </si>
  <si>
    <r>
      <rPr>
        <sz val="11"/>
        <rFont val="Georgia"/>
        <family val="1"/>
      </rPr>
      <t>DEFENDER  T/C 3 DOOR 300PS X-DYNAMIC SE</t>
    </r>
  </si>
  <si>
    <r>
      <rPr>
        <sz val="11"/>
        <rFont val="Georgia"/>
        <family val="1"/>
      </rPr>
      <t>DEFENDER  T/C 5 DOOR 300PS X-DYNAMIC SE</t>
    </r>
  </si>
  <si>
    <r>
      <rPr>
        <sz val="11"/>
        <rFont val="Georgia"/>
        <family val="1"/>
      </rPr>
      <t>DEFENDER  T/C3 DOOR  300PS X-DYNAMIC HSE</t>
    </r>
  </si>
  <si>
    <r>
      <rPr>
        <sz val="11"/>
        <rFont val="Georgia"/>
        <family val="1"/>
      </rPr>
      <t>DEFENDER T/C  5 DOOR  300PS S</t>
    </r>
  </si>
  <si>
    <r>
      <rPr>
        <sz val="11"/>
        <rFont val="Georgia"/>
        <family val="1"/>
      </rPr>
      <t>DEFENDER T/C  5 DOOR 300PS X-DYNAMIC SE</t>
    </r>
  </si>
  <si>
    <r>
      <rPr>
        <sz val="11"/>
        <rFont val="Georgia"/>
        <family val="1"/>
      </rPr>
      <t>DEFENDER T/C  AWD 5 DOOR  300PS S</t>
    </r>
  </si>
  <si>
    <r>
      <rPr>
        <sz val="11"/>
        <rFont val="Georgia"/>
        <family val="1"/>
      </rPr>
      <t>DEFENDER T/C  PHEV 5 DOOR  404PS X</t>
    </r>
  </si>
  <si>
    <r>
      <rPr>
        <sz val="11"/>
        <rFont val="Georgia"/>
        <family val="1"/>
      </rPr>
      <t>DEFENDER T/C  PHEV 5 DOOR 404PS X-DYNAMIC HSE</t>
    </r>
  </si>
  <si>
    <r>
      <rPr>
        <sz val="11"/>
        <rFont val="Georgia"/>
        <family val="1"/>
      </rPr>
      <t>DEFENDER T/C  PHEV 5 DOOR 404PS X-DYNAMIC SE</t>
    </r>
  </si>
  <si>
    <r>
      <rPr>
        <sz val="11"/>
        <rFont val="Georgia"/>
        <family val="1"/>
      </rPr>
      <t>DEFENDER T/C 5 DOOR 300PS S</t>
    </r>
  </si>
  <si>
    <r>
      <rPr>
        <sz val="11"/>
        <rFont val="Georgia"/>
        <family val="1"/>
      </rPr>
      <t>DEFENDER T/C 5 DOOR 300PS X-DYNAMIC HSE</t>
    </r>
  </si>
  <si>
    <r>
      <rPr>
        <sz val="11"/>
        <rFont val="Georgia"/>
        <family val="1"/>
      </rPr>
      <t>DEFENDER T/C 5 DOOR 300PS X-DYNAMIC S</t>
    </r>
  </si>
  <si>
    <r>
      <rPr>
        <sz val="11"/>
        <rFont val="Georgia"/>
        <family val="1"/>
      </rPr>
      <t>DEFENDER T/C PHEV 5 DOOR  404PS X</t>
    </r>
  </si>
  <si>
    <r>
      <rPr>
        <sz val="11"/>
        <rFont val="Georgia"/>
        <family val="1"/>
      </rPr>
      <t>DISCOVERY SPORT  5 DOOR 250PS URBAN EDITION</t>
    </r>
  </si>
  <si>
    <r>
      <rPr>
        <sz val="11"/>
        <rFont val="Georgia"/>
        <family val="1"/>
      </rPr>
      <t>DISCOVERY SPORT  T/C 249PS  5 DOOR  R-DYNAMIC HSE</t>
    </r>
  </si>
  <si>
    <r>
      <rPr>
        <sz val="11"/>
        <rFont val="Georgia"/>
        <family val="1"/>
      </rPr>
      <t>DISCOVERY SPORT  T/C 249PS  5 DOOR  S</t>
    </r>
  </si>
  <si>
    <r>
      <rPr>
        <sz val="11"/>
        <rFont val="Georgia"/>
        <family val="1"/>
      </rPr>
      <t>DISCOVERY SPORT  T/C 249PS  5 DOOR R-DYNAMIC SE</t>
    </r>
  </si>
  <si>
    <r>
      <rPr>
        <sz val="11"/>
        <rFont val="Georgia"/>
        <family val="1"/>
      </rPr>
      <t>DISCOVERY SPORT  T/C 249PS 5 DOOR  R-DYNAMIC S</t>
    </r>
  </si>
  <si>
    <r>
      <rPr>
        <sz val="11"/>
        <rFont val="Georgia"/>
        <family val="1"/>
      </rPr>
      <t>DISCOVERY SPORT  T/C 249PS 5 DOOR R-DYNAMIC SE</t>
    </r>
  </si>
  <si>
    <r>
      <rPr>
        <sz val="11"/>
        <rFont val="Georgia"/>
        <family val="1"/>
      </rPr>
      <t>DISCOVERY SPORT  T/C 5 DOOR 249PS</t>
    </r>
  </si>
  <si>
    <r>
      <rPr>
        <sz val="11"/>
        <rFont val="Georgia"/>
        <family val="1"/>
      </rPr>
      <t>DISCOVERY SPORT 249PS 5 DOOR  R-DYNAMIC HSE</t>
    </r>
  </si>
  <si>
    <r>
      <rPr>
        <sz val="11"/>
        <rFont val="Georgia"/>
        <family val="1"/>
      </rPr>
      <t>DISCOVERY SPORT T/C  5 DOOR 250PS URBAN EDITION</t>
    </r>
  </si>
  <si>
    <r>
      <rPr>
        <sz val="11"/>
        <rFont val="Georgia"/>
        <family val="1"/>
      </rPr>
      <t>DISCOVERY SPORT T/C 249PS 5 DOOR  R-DYNAMIC SE</t>
    </r>
  </si>
  <si>
    <r>
      <rPr>
        <sz val="11"/>
        <rFont val="Georgia"/>
        <family val="1"/>
      </rPr>
      <t>DISCOVERY SPORT T/C 249PS 5 DOOR  S</t>
    </r>
  </si>
  <si>
    <r>
      <rPr>
        <sz val="11"/>
        <rFont val="Georgia"/>
        <family val="1"/>
      </rPr>
      <t>DISCOVERY SPORT T/C 249PS 5 DOOR R-DYNAMIC HSE</t>
    </r>
  </si>
  <si>
    <r>
      <rPr>
        <sz val="11"/>
        <rFont val="Georgia"/>
        <family val="1"/>
      </rPr>
      <t>DISCOVERY SPORT T/C 249PS 5 DOOR S</t>
    </r>
  </si>
  <si>
    <r>
      <rPr>
        <sz val="11"/>
        <rFont val="Georgia"/>
        <family val="1"/>
      </rPr>
      <t>RANGE ROVER EVOQUE  T/C  5 DOOR  249PS AUTOBIOGRAPHY</t>
    </r>
  </si>
  <si>
    <r>
      <rPr>
        <sz val="11"/>
        <rFont val="Georgia"/>
        <family val="1"/>
      </rPr>
      <t>RANGE ROVER EVOQUE  T/C  5 DOOR  249PS R-DYNAMIC S</t>
    </r>
  </si>
  <si>
    <r>
      <rPr>
        <sz val="11"/>
        <rFont val="Georgia"/>
        <family val="1"/>
      </rPr>
      <t>RANGE ROVER EVOQUE  T/C  5 DOOR  249PS R-DYNAMIC SE</t>
    </r>
  </si>
  <si>
    <r>
      <rPr>
        <sz val="11"/>
        <rFont val="Georgia"/>
        <family val="1"/>
      </rPr>
      <t>RANGE ROVER EVOQUE  T/C  5 DOOR  249PS S</t>
    </r>
  </si>
  <si>
    <r>
      <rPr>
        <sz val="11"/>
        <rFont val="Georgia"/>
        <family val="1"/>
      </rPr>
      <t>RANGE ROVER EVOQUE  T/C  5 DOOR 249PS AUTOBIOGRAPHY</t>
    </r>
  </si>
  <si>
    <r>
      <rPr>
        <sz val="11"/>
        <rFont val="Georgia"/>
        <family val="1"/>
      </rPr>
      <t>RANGE ROVER EVOQUE  T/C 249PS  5 DOOR  S</t>
    </r>
  </si>
  <si>
    <r>
      <rPr>
        <sz val="11"/>
        <rFont val="Georgia"/>
        <family val="1"/>
      </rPr>
      <t>RANGE ROVER EVOQUE  T/C 249PS  5 DOOR R-DYNAMIC SE</t>
    </r>
  </si>
  <si>
    <r>
      <rPr>
        <sz val="11"/>
        <rFont val="Georgia"/>
        <family val="1"/>
      </rPr>
      <t>RANGE ROVER EVOQUE  T/C 249PS 5 DOOR</t>
    </r>
  </si>
  <si>
    <r>
      <rPr>
        <sz val="11"/>
        <rFont val="Georgia"/>
        <family val="1"/>
      </rPr>
      <t>RANGE ROVER EVOQUE  T/C 249PS 5 DOOR  R-DYNAMIC HSE</t>
    </r>
  </si>
  <si>
    <r>
      <rPr>
        <sz val="11"/>
        <rFont val="Georgia"/>
        <family val="1"/>
      </rPr>
      <t>RANGE ROVER EVOQUE  T/C 5 DOOR 249PS BRONZE COLLECTION</t>
    </r>
  </si>
  <si>
    <r>
      <rPr>
        <sz val="11"/>
        <rFont val="Georgia"/>
        <family val="1"/>
      </rPr>
      <t>RANGE ROVER EVOQUE  T/C AWD 5 DOOR 249PS R-DYNAMIC HSE</t>
    </r>
  </si>
  <si>
    <r>
      <rPr>
        <sz val="11"/>
        <rFont val="Georgia"/>
        <family val="1"/>
      </rPr>
      <t>RANGE ROVER EVOQUE T/C  5 DOOR 249PS BRONZE COLLECTION</t>
    </r>
  </si>
  <si>
    <r>
      <rPr>
        <sz val="11"/>
        <rFont val="Georgia"/>
        <family val="1"/>
      </rPr>
      <t>RANGE ROVER EVOQUE T/C 249PS 5 DOOR R-DYNAMIC HSE</t>
    </r>
  </si>
  <si>
    <r>
      <rPr>
        <sz val="11"/>
        <rFont val="Georgia"/>
        <family val="1"/>
      </rPr>
      <t>RANGE ROVER VELAR  T/C  5 DOOR  250PS R-DYNAMIC HSE</t>
    </r>
  </si>
  <si>
    <r>
      <rPr>
        <sz val="11"/>
        <rFont val="Georgia"/>
        <family val="1"/>
      </rPr>
      <t>RANGE ROVER VELAR  T/C  5 DOOR  250PS R-DYNAMIC LIMITED EDITION</t>
    </r>
  </si>
  <si>
    <r>
      <rPr>
        <sz val="11"/>
        <rFont val="Georgia"/>
        <family val="1"/>
      </rPr>
      <t>RANGE ROVER VELAR  T/C  5 DOOR 250PS LIMITED EDITION</t>
    </r>
  </si>
  <si>
    <r>
      <rPr>
        <sz val="11"/>
        <rFont val="Georgia"/>
        <family val="1"/>
      </rPr>
      <t>RANGE ROVER VELAR  T/C  5 DOOR 250PS R-DYNAMIC SE</t>
    </r>
  </si>
  <si>
    <r>
      <rPr>
        <sz val="11"/>
        <rFont val="Georgia"/>
        <family val="1"/>
      </rPr>
      <t>RANGE ROVER VELAR  T/C 250PS  5 DOOR AUTO R-DYNAMIC SE</t>
    </r>
  </si>
  <si>
    <r>
      <rPr>
        <sz val="11"/>
        <rFont val="Georgia"/>
        <family val="1"/>
      </rPr>
      <t>RANGE ROVER VELAR  T/C 250PS  5 DOOR R-DYNAMIC HSE</t>
    </r>
  </si>
  <si>
    <r>
      <rPr>
        <sz val="11"/>
        <rFont val="Georgia"/>
        <family val="1"/>
      </rPr>
      <t>RANGE ROVER VELAR  T/C 250PS  5 R-DYNAMIC SE</t>
    </r>
  </si>
  <si>
    <r>
      <rPr>
        <sz val="11"/>
        <rFont val="Georgia"/>
        <family val="1"/>
      </rPr>
      <t>RANGE ROVER VELAR  T/C 5 DOOR 250PS R-DYNAMIC LE</t>
    </r>
  </si>
  <si>
    <r>
      <rPr>
        <sz val="11"/>
        <rFont val="Georgia"/>
        <family val="1"/>
      </rPr>
      <t>RANGE ROVER VELAR T/C   5 DOOR  250PS S</t>
    </r>
  </si>
  <si>
    <r>
      <rPr>
        <sz val="11"/>
        <rFont val="Georgia"/>
        <family val="1"/>
      </rPr>
      <t>RANGE ROVER VELAR T/C 250PS  5 DOOR AUTO S</t>
    </r>
  </si>
  <si>
    <r>
      <rPr>
        <sz val="11"/>
        <rFont val="Georgia"/>
        <family val="1"/>
      </rPr>
      <t>RANGE ROVER VELAR T/C 250PS 5 DOOR  R-DYNAMIC S</t>
    </r>
  </si>
  <si>
    <r>
      <rPr>
        <sz val="11"/>
        <rFont val="Georgia"/>
        <family val="1"/>
      </rPr>
      <t>RANGE ROVER VELAR T/C 250PS 5 DOOR R-DYNAMIC HSE</t>
    </r>
  </si>
  <si>
    <r>
      <rPr>
        <sz val="11"/>
        <rFont val="Georgia"/>
        <family val="1"/>
      </rPr>
      <t>DEFENDER  T/C   5 DOOR 200PS X-DYNAMIC SE</t>
    </r>
  </si>
  <si>
    <r>
      <rPr>
        <sz val="11"/>
        <rFont val="Georgia"/>
        <family val="1"/>
      </rPr>
      <t>DEFENDER  T/C  3 DOOR  240PS FIRST EDITION 90</t>
    </r>
  </si>
  <si>
    <r>
      <rPr>
        <sz val="11"/>
        <rFont val="Georgia"/>
        <family val="1"/>
      </rPr>
      <t>DEFENDER  T/C  3 DOOR 240PS</t>
    </r>
  </si>
  <si>
    <r>
      <rPr>
        <sz val="11"/>
        <rFont val="Georgia"/>
        <family val="1"/>
      </rPr>
      <t>DEFENDER  T/C  3 DOOR 240PS X-DYNAMIC HSE</t>
    </r>
  </si>
  <si>
    <r>
      <rPr>
        <sz val="11"/>
        <rFont val="Georgia"/>
        <family val="1"/>
      </rPr>
      <t>DEFENDER  T/C  3 DOOR 240PS X-DYNAMIC SE</t>
    </r>
  </si>
  <si>
    <r>
      <rPr>
        <sz val="11"/>
        <rFont val="Georgia"/>
        <family val="1"/>
      </rPr>
      <t>DEFENDER  T/C  3 DOOR 300PS</t>
    </r>
  </si>
  <si>
    <r>
      <rPr>
        <sz val="11"/>
        <rFont val="Georgia"/>
        <family val="1"/>
      </rPr>
      <t>DEFENDER  T/C  5 DOOR 200PS S</t>
    </r>
  </si>
  <si>
    <r>
      <rPr>
        <sz val="11"/>
        <rFont val="Georgia"/>
        <family val="1"/>
      </rPr>
      <t>DEFENDER  T/C  5 DOOR 200PS X-DYNAMIC HSE</t>
    </r>
  </si>
  <si>
    <r>
      <rPr>
        <sz val="11"/>
        <rFont val="Georgia"/>
        <family val="1"/>
      </rPr>
      <t>DEFENDER  T/C  5 DOOR 240PS S</t>
    </r>
  </si>
  <si>
    <r>
      <rPr>
        <sz val="11"/>
        <rFont val="Georgia"/>
        <family val="1"/>
      </rPr>
      <t>DEFENDER  T/C  5 DOOR 300PS XS EDITION</t>
    </r>
  </si>
  <si>
    <r>
      <rPr>
        <sz val="11"/>
        <rFont val="Georgia"/>
        <family val="1"/>
      </rPr>
      <t>DEFENDER  T/C 3 DOOR 240PS X-DYNAMIC HSE</t>
    </r>
  </si>
  <si>
    <r>
      <rPr>
        <sz val="11"/>
        <rFont val="Georgia"/>
        <family val="1"/>
      </rPr>
      <t>DEFENDER  T/C 3 DOOR 240PS X-DYNAMIC SE</t>
    </r>
  </si>
  <si>
    <r>
      <rPr>
        <sz val="11"/>
        <rFont val="Georgia"/>
        <family val="1"/>
      </rPr>
      <t>DEFENDER  T/C 5 DOOR  240PS X-DYNAMIC S</t>
    </r>
  </si>
  <si>
    <r>
      <rPr>
        <sz val="11"/>
        <rFont val="Georgia"/>
        <family val="1"/>
      </rPr>
      <t>DEFENDER  T/C 5 DOOR 240PS</t>
    </r>
  </si>
  <si>
    <r>
      <rPr>
        <sz val="11"/>
        <rFont val="Georgia"/>
        <family val="1"/>
      </rPr>
      <t>DEFENDER  T/C 5 DOOR 240PS S</t>
    </r>
  </si>
  <si>
    <r>
      <rPr>
        <sz val="11"/>
        <rFont val="Georgia"/>
        <family val="1"/>
      </rPr>
      <t>DEFENDER  T/C 5 DOOR 240PS X-DYNAMIC SE</t>
    </r>
  </si>
  <si>
    <r>
      <rPr>
        <sz val="11"/>
        <rFont val="Georgia"/>
        <family val="1"/>
      </rPr>
      <t>DEFENDER T/C  5 DOOR 240PS FIRST EDITION 110</t>
    </r>
  </si>
  <si>
    <r>
      <rPr>
        <sz val="11"/>
        <rFont val="Georgia"/>
        <family val="1"/>
      </rPr>
      <t>DEFENDER T/C  5 DOOR 240PS X-DYNAMIC HSE</t>
    </r>
  </si>
  <si>
    <r>
      <rPr>
        <sz val="11"/>
        <rFont val="Georgia"/>
        <family val="1"/>
      </rPr>
      <t>DEFENDER T/C  AWD 3 DOOR 300PS XS EDITION</t>
    </r>
  </si>
  <si>
    <r>
      <rPr>
        <sz val="11"/>
        <rFont val="Georgia"/>
        <family val="1"/>
      </rPr>
      <t>DEFENDER T/C  AWD 5 DOOR  200PS X-DYNAMIC S</t>
    </r>
  </si>
  <si>
    <r>
      <rPr>
        <sz val="11"/>
        <rFont val="Georgia"/>
        <family val="1"/>
      </rPr>
      <t>DEFENDER T/C 3 DOOR  240PS S</t>
    </r>
  </si>
  <si>
    <r>
      <rPr>
        <sz val="11"/>
        <rFont val="Georgia"/>
        <family val="1"/>
      </rPr>
      <t>DEFENDER T/C 3 DOOR 240PS S</t>
    </r>
  </si>
  <si>
    <r>
      <rPr>
        <sz val="11"/>
        <rFont val="Georgia"/>
        <family val="1"/>
      </rPr>
      <t>DEFENDER T/C 5 DOOR  240PS X-DYNAMIC HSE</t>
    </r>
  </si>
  <si>
    <r>
      <rPr>
        <sz val="11"/>
        <rFont val="Georgia"/>
        <family val="1"/>
      </rPr>
      <t>DEFENDER T/C 5 DOOR  240PS X-DYNAMIC SE</t>
    </r>
  </si>
  <si>
    <r>
      <rPr>
        <sz val="11"/>
        <rFont val="Georgia"/>
        <family val="1"/>
      </rPr>
      <t>DISCOVERY SPORT  T/C  5 DOOR  199PS</t>
    </r>
  </si>
  <si>
    <r>
      <rPr>
        <sz val="11"/>
        <rFont val="Georgia"/>
        <family val="1"/>
      </rPr>
      <t>DISCOVERY SPORT  T/C  5 DOOR  199PS R-DYNAMIC S</t>
    </r>
  </si>
  <si>
    <r>
      <rPr>
        <sz val="11"/>
        <rFont val="Georgia"/>
        <family val="1"/>
      </rPr>
      <t>DISCOVERY SPORT  T/C  5 DOOR 199PS R-DYNAMIC HSE</t>
    </r>
  </si>
  <si>
    <r>
      <rPr>
        <sz val="11"/>
        <rFont val="Georgia"/>
        <family val="1"/>
      </rPr>
      <t>DISCOVERY SPORT  T/C  5 DOOR 199PS S</t>
    </r>
  </si>
  <si>
    <r>
      <rPr>
        <sz val="11"/>
        <rFont val="Georgia"/>
        <family val="1"/>
      </rPr>
      <t>DISCOVERY SPORT  T/C  5 DOOR 199PS URBAN EDITION</t>
    </r>
  </si>
  <si>
    <r>
      <rPr>
        <sz val="11"/>
        <rFont val="Georgia"/>
        <family val="1"/>
      </rPr>
      <t>DISCOVERY SPORT  T/C 5 DOOR 199PS R-DYNAMIC HSE</t>
    </r>
  </si>
  <si>
    <r>
      <rPr>
        <sz val="11"/>
        <rFont val="Georgia"/>
        <family val="1"/>
      </rPr>
      <t>DISCOVERY SPORT  T/C 5 DOOR AUTO 199PS R-DYNAMIC HSE</t>
    </r>
  </si>
  <si>
    <r>
      <rPr>
        <sz val="11"/>
        <rFont val="Georgia"/>
        <family val="1"/>
      </rPr>
      <t>DISCOVERY SPORT T/C  5 DOOR  199PS R-DYNAMIC SE</t>
    </r>
  </si>
  <si>
    <r>
      <rPr>
        <sz val="11"/>
        <rFont val="Georgia"/>
        <family val="1"/>
      </rPr>
      <t>DISCOVERY SPORT T/C  5 DOOR  199PS S</t>
    </r>
  </si>
  <si>
    <r>
      <rPr>
        <sz val="11"/>
        <rFont val="Georgia"/>
        <family val="1"/>
      </rPr>
      <t>DISCOVERY SPORT T/C  5 DOOR 199PS R-DYNAMIC SE</t>
    </r>
  </si>
  <si>
    <r>
      <rPr>
        <sz val="11"/>
        <rFont val="Georgia"/>
        <family val="1"/>
      </rPr>
      <t>DISCOVERY SPORT T/C 5 DOOR 199PS R-DYNAMIC SE</t>
    </r>
  </si>
  <si>
    <r>
      <rPr>
        <sz val="11"/>
        <rFont val="Georgia"/>
        <family val="1"/>
      </rPr>
      <t>DISCOVERY SPORT T/C 5 DOOR 199PS S</t>
    </r>
  </si>
  <si>
    <r>
      <rPr>
        <sz val="11"/>
        <rFont val="Georgia"/>
        <family val="1"/>
      </rPr>
      <t>DISCOVERY SPORT T/C 5 DOOR AUTO 199PS URBAN EDITION</t>
    </r>
  </si>
  <si>
    <r>
      <rPr>
        <sz val="11"/>
        <rFont val="Georgia"/>
        <family val="1"/>
      </rPr>
      <t>RANGE ROVER EVOQUE  T/C  5 DOOR  199PS R-DYNAMIC S</t>
    </r>
  </si>
  <si>
    <r>
      <rPr>
        <sz val="11"/>
        <rFont val="Georgia"/>
        <family val="1"/>
      </rPr>
      <t>RANGE ROVER EVOQUE  T/C  5 DOOR 199PS LAFAYETTE EDITION</t>
    </r>
  </si>
  <si>
    <r>
      <rPr>
        <sz val="11"/>
        <rFont val="Georgia"/>
        <family val="1"/>
      </rPr>
      <t>RANGE ROVER EVOQUE  T/C  5 DOOR 199PS R-DYNAMIC HSE</t>
    </r>
  </si>
  <si>
    <r>
      <rPr>
        <sz val="11"/>
        <rFont val="Georgia"/>
        <family val="1"/>
      </rPr>
      <t>RANGE ROVER EVOQUE  T/C  5 DOOR 199PS R-DYNAMIC SE</t>
    </r>
  </si>
  <si>
    <r>
      <rPr>
        <sz val="11"/>
        <rFont val="Georgia"/>
        <family val="1"/>
      </rPr>
      <t>RANGE ROVER EVOQUE  T/C  AWD 5 DOOR 199PS AUTOBIOGRAPHY</t>
    </r>
  </si>
  <si>
    <r>
      <rPr>
        <sz val="11"/>
        <rFont val="Georgia"/>
        <family val="1"/>
      </rPr>
      <t>RANGE ROVER EVOQUE  T/C 5 DOOR  199PS BRONZE COLLECTION</t>
    </r>
  </si>
  <si>
    <r>
      <rPr>
        <sz val="11"/>
        <rFont val="Georgia"/>
        <family val="1"/>
      </rPr>
      <t>RANGE ROVER EVOQUE  T/C 5 DOOR  199PS R-DYNAMIC HSE</t>
    </r>
  </si>
  <si>
    <r>
      <rPr>
        <sz val="11"/>
        <rFont val="Georgia"/>
        <family val="1"/>
      </rPr>
      <t>RANGE ROVER EVOQUE  T/C 5 DOOR 199PS AUTOBIOGRAPHY</t>
    </r>
  </si>
  <si>
    <r>
      <rPr>
        <sz val="11"/>
        <rFont val="Georgia"/>
        <family val="1"/>
      </rPr>
      <t>RANGE ROVER EVOQUE  T/C 5 DOOR 199PS BRONZE COLLECTION</t>
    </r>
  </si>
  <si>
    <r>
      <rPr>
        <sz val="11"/>
        <rFont val="Georgia"/>
        <family val="1"/>
      </rPr>
      <t>RANGE ROVER EVOQUE  T/C 5 DOOR 199PS R-DYNAMIC SE</t>
    </r>
  </si>
  <si>
    <r>
      <rPr>
        <sz val="11"/>
        <rFont val="Georgia"/>
        <family val="1"/>
      </rPr>
      <t>RANGE ROVER EVOQUE  T/C 5 DOOR 199PS S</t>
    </r>
  </si>
  <si>
    <r>
      <rPr>
        <sz val="11"/>
        <rFont val="Georgia"/>
        <family val="1"/>
      </rPr>
      <t>RANGE ROVER EVOQUE  T/C DIESEL  5 DOOR  199PS S</t>
    </r>
  </si>
  <si>
    <r>
      <rPr>
        <sz val="11"/>
        <rFont val="Georgia"/>
        <family val="1"/>
      </rPr>
      <t>RANGE ROVER EVOQUE 1999CC T/C DIESEL AWD 5 DOOR 199PS R-DYNAMIC SE</t>
    </r>
  </si>
  <si>
    <r>
      <rPr>
        <sz val="11"/>
        <rFont val="Georgia"/>
        <family val="1"/>
      </rPr>
      <t>RANGE ROVER EVOQUE T/C  5 DOOR 199PS</t>
    </r>
  </si>
  <si>
    <r>
      <rPr>
        <sz val="11"/>
        <rFont val="Georgia"/>
        <family val="1"/>
      </rPr>
      <t>RANGE ROVER EVOQUE T/C  5 DOOR 199PS AUTOBIOGRAPHY</t>
    </r>
  </si>
  <si>
    <r>
      <rPr>
        <sz val="11"/>
        <rFont val="Georgia"/>
        <family val="1"/>
      </rPr>
      <t>RANGE ROVER EVOQUE T/C  5 DOOR 199PS S</t>
    </r>
  </si>
  <si>
    <r>
      <rPr>
        <sz val="11"/>
        <rFont val="Georgia"/>
        <family val="1"/>
      </rPr>
      <t>RANGE ROVER EVOQUE T/C DIESEL  5 DOOR 199PS R-DYNAMIC HSE</t>
    </r>
  </si>
  <si>
    <r>
      <rPr>
        <sz val="11"/>
        <rFont val="Georgia"/>
        <family val="1"/>
      </rPr>
      <t>RANGE ROVER VELAR  T/C   5 DOOR 199PS R-DYNAMIC HSE</t>
    </r>
  </si>
  <si>
    <r>
      <rPr>
        <sz val="11"/>
        <rFont val="Georgia"/>
        <family val="1"/>
      </rPr>
      <t>RANGE ROVER VELAR  T/C  5 DOOR  199PS R-DYNAMIC SE</t>
    </r>
  </si>
  <si>
    <r>
      <rPr>
        <sz val="11"/>
        <rFont val="Georgia"/>
        <family val="1"/>
      </rPr>
      <t>RANGE ROVER VELAR  T/C  5 DOOR  199PS S</t>
    </r>
  </si>
  <si>
    <r>
      <rPr>
        <sz val="11"/>
        <rFont val="Georgia"/>
        <family val="1"/>
      </rPr>
      <t>RANGE ROVER VELAR  T/C  5 DOOR 199PS LIMITED EDITION</t>
    </r>
  </si>
  <si>
    <r>
      <rPr>
        <sz val="11"/>
        <rFont val="Georgia"/>
        <family val="1"/>
      </rPr>
      <t>RANGE ROVER VELAR  T/C  5 DOOR 199PS R-DYNAMIC LE</t>
    </r>
  </si>
  <si>
    <r>
      <rPr>
        <sz val="11"/>
        <rFont val="Georgia"/>
        <family val="1"/>
      </rPr>
      <t>RANGE ROVER VELAR  T/C  5 DOOR 199PS R-DYNAMIC SE</t>
    </r>
  </si>
  <si>
    <r>
      <rPr>
        <sz val="11"/>
        <rFont val="Georgia"/>
        <family val="1"/>
      </rPr>
      <t>RANGE ROVER VELAR  T/C  5 DOOR 199PS S</t>
    </r>
  </si>
  <si>
    <r>
      <rPr>
        <sz val="11"/>
        <rFont val="Georgia"/>
        <family val="1"/>
      </rPr>
      <t>RANGE ROVER VELAR  T/C 5 DOOR  199PS R-DYNAMIC HSE</t>
    </r>
  </si>
  <si>
    <r>
      <rPr>
        <sz val="11"/>
        <rFont val="Georgia"/>
        <family val="1"/>
      </rPr>
      <t>RANGE ROVER VELAR  T/C AWD 5 DOOR 199PS R-DYNAMIC LIMITED EDITION</t>
    </r>
  </si>
  <si>
    <r>
      <rPr>
        <sz val="11"/>
        <rFont val="Georgia"/>
        <family val="1"/>
      </rPr>
      <t>RANGE ROVER VELAR T/C  5 DOOR 199PS R-DYNAMIC S</t>
    </r>
  </si>
  <si>
    <r>
      <rPr>
        <sz val="11"/>
        <rFont val="Georgia"/>
        <family val="1"/>
      </rPr>
      <t>RANGE ROVER VELAR T/C 5 DOOR 199PS R-DYNAMIC HSE</t>
    </r>
  </si>
  <si>
    <r>
      <rPr>
        <sz val="11"/>
        <rFont val="Georgia"/>
        <family val="1"/>
      </rPr>
      <t>RANGE ROVER VELAR T/C 5 DOOR 199PS R-DYNAMIC SE</t>
    </r>
  </si>
  <si>
    <r>
      <rPr>
        <sz val="11"/>
        <rFont val="Georgia"/>
        <family val="1"/>
      </rPr>
      <t>DISCOVERY SPORT  HSE</t>
    </r>
  </si>
  <si>
    <r>
      <rPr>
        <sz val="11"/>
        <rFont val="Georgia"/>
        <family val="1"/>
      </rPr>
      <t>DISCOVERY SPORT  HSE 286HP</t>
    </r>
  </si>
  <si>
    <r>
      <rPr>
        <sz val="11"/>
        <rFont val="Georgia"/>
        <family val="1"/>
      </rPr>
      <t>DISCOVERY SPORT  HSE LUXURY</t>
    </r>
  </si>
  <si>
    <r>
      <rPr>
        <sz val="11"/>
        <rFont val="Georgia"/>
        <family val="1"/>
      </rPr>
      <t>DISCOVERY SPORT  HSE LUXURY 286HP</t>
    </r>
  </si>
  <si>
    <r>
      <rPr>
        <sz val="11"/>
        <rFont val="Georgia"/>
        <family val="1"/>
      </rPr>
      <t>DISCOVERY SPORT  HSE R-DYNAMIC</t>
    </r>
  </si>
  <si>
    <r>
      <rPr>
        <sz val="11"/>
        <rFont val="Georgia"/>
        <family val="1"/>
      </rPr>
      <t>DISCOVERY SPORT  S</t>
    </r>
  </si>
  <si>
    <r>
      <rPr>
        <sz val="11"/>
        <rFont val="Georgia"/>
        <family val="1"/>
      </rPr>
      <t>DISCOVERY SPORT  S R- DYNAMIC</t>
    </r>
  </si>
  <si>
    <r>
      <rPr>
        <sz val="11"/>
        <rFont val="Georgia"/>
        <family val="1"/>
      </rPr>
      <t>DISCOVERY SPORT  SE</t>
    </r>
  </si>
  <si>
    <r>
      <rPr>
        <sz val="11"/>
        <rFont val="Georgia"/>
        <family val="1"/>
      </rPr>
      <t>DISCOVERY SPORT  SE R-DYNAMIC</t>
    </r>
  </si>
  <si>
    <r>
      <rPr>
        <sz val="11"/>
        <rFont val="Georgia"/>
        <family val="1"/>
      </rPr>
      <t>DISCOVERY SPORT  SR- DYNAMIC</t>
    </r>
  </si>
  <si>
    <r>
      <rPr>
        <sz val="11"/>
        <rFont val="Georgia"/>
        <family val="1"/>
      </rPr>
      <t>DISCOVERY SPORT  STANDARD</t>
    </r>
  </si>
  <si>
    <r>
      <rPr>
        <sz val="11"/>
        <rFont val="Georgia"/>
        <family val="1"/>
      </rPr>
      <t>DISCOVERY SPORT HSE</t>
    </r>
  </si>
  <si>
    <r>
      <rPr>
        <sz val="11"/>
        <rFont val="Georgia"/>
        <family val="1"/>
      </rPr>
      <t>DISCOVERY SPORT HSE LUXURY</t>
    </r>
  </si>
  <si>
    <r>
      <rPr>
        <sz val="11"/>
        <rFont val="Georgia"/>
        <family val="1"/>
      </rPr>
      <t>DISCOVERY SPORT LANDMARK</t>
    </r>
  </si>
  <si>
    <r>
      <rPr>
        <sz val="11"/>
        <rFont val="Georgia"/>
        <family val="1"/>
      </rPr>
      <t>DISCOVERY SPORT SE</t>
    </r>
  </si>
  <si>
    <r>
      <rPr>
        <sz val="11"/>
        <rFont val="Georgia"/>
        <family val="1"/>
      </rPr>
      <t>RANGE ROVER  DEFENDER 110</t>
    </r>
  </si>
  <si>
    <r>
      <rPr>
        <sz val="11"/>
        <rFont val="Georgia"/>
        <family val="1"/>
      </rPr>
      <t>RANGE ROVER  DEFENDER 110 S</t>
    </r>
  </si>
  <si>
    <r>
      <rPr>
        <sz val="11"/>
        <rFont val="Georgia"/>
        <family val="1"/>
      </rPr>
      <t>RANGE ROVER  DEFENDER 90</t>
    </r>
  </si>
  <si>
    <r>
      <rPr>
        <sz val="11"/>
        <rFont val="Georgia"/>
        <family val="1"/>
      </rPr>
      <t>RANGE ROVER  DEFENDER 90 S</t>
    </r>
  </si>
  <si>
    <r>
      <rPr>
        <sz val="11"/>
        <rFont val="Georgia"/>
        <family val="1"/>
      </rPr>
      <t>RANGE ROVER  EVOQUE  P250 FIRST EDITION</t>
    </r>
  </si>
  <si>
    <r>
      <rPr>
        <sz val="11"/>
        <rFont val="Georgia"/>
        <family val="1"/>
      </rPr>
      <t>RANGE ROVER  EVOQUE 286HP AUT.BIO</t>
    </r>
  </si>
  <si>
    <r>
      <rPr>
        <sz val="11"/>
        <rFont val="Georgia"/>
        <family val="1"/>
      </rPr>
      <t>RANGE ROVER  EVOQUE 286HP HSE DYNAMIC</t>
    </r>
  </si>
  <si>
    <r>
      <rPr>
        <sz val="11"/>
        <rFont val="Georgia"/>
        <family val="1"/>
      </rPr>
      <t>RANGE ROVER  EVOQUE AUT.BIO</t>
    </r>
  </si>
  <si>
    <r>
      <rPr>
        <sz val="11"/>
        <rFont val="Georgia"/>
        <family val="1"/>
      </rPr>
      <t>RANGE ROVER  EVOQUE CONVERTIBLE HSE DYNAMIC</t>
    </r>
  </si>
  <si>
    <r>
      <rPr>
        <sz val="11"/>
        <rFont val="Georgia"/>
        <family val="1"/>
      </rPr>
      <t>RANGE ROVER  EVOQUE CONVERTIBLE SE DYNAMIC</t>
    </r>
  </si>
  <si>
    <r>
      <rPr>
        <sz val="11"/>
        <rFont val="Georgia"/>
        <family val="1"/>
      </rPr>
      <t>RANGE ROVER  EVOQUE HSE</t>
    </r>
  </si>
  <si>
    <r>
      <rPr>
        <sz val="11"/>
        <rFont val="Georgia"/>
        <family val="1"/>
      </rPr>
      <t>RANGE ROVER  EVOQUE HSE DYNAMIC</t>
    </r>
  </si>
  <si>
    <r>
      <rPr>
        <sz val="11"/>
        <rFont val="Georgia"/>
        <family val="1"/>
      </rPr>
      <t>RANGE ROVER  EVOQUE LANDMARK EDITION</t>
    </r>
  </si>
  <si>
    <r>
      <rPr>
        <sz val="11"/>
        <rFont val="Georgia"/>
        <family val="1"/>
      </rPr>
      <t>RANGE ROVER  EVOQUE P250 S</t>
    </r>
  </si>
  <si>
    <r>
      <rPr>
        <sz val="11"/>
        <rFont val="Georgia"/>
        <family val="1"/>
      </rPr>
      <t>RANGE ROVER  EVOQUE P250 SE</t>
    </r>
  </si>
  <si>
    <r>
      <rPr>
        <sz val="11"/>
        <rFont val="Georgia"/>
        <family val="1"/>
      </rPr>
      <t>RANGE ROVER  EVOQUE P300 R-DYNAMIC HSE</t>
    </r>
  </si>
  <si>
    <r>
      <rPr>
        <sz val="11"/>
        <rFont val="Georgia"/>
        <family val="1"/>
      </rPr>
      <t>RANGE ROVER  EVOQUE P300 R-DYNAMIC S</t>
    </r>
  </si>
  <si>
    <r>
      <rPr>
        <sz val="11"/>
        <rFont val="Georgia"/>
        <family val="1"/>
      </rPr>
      <t>RANGE ROVER  EVOQUE P300 R-DYNAMIC SE</t>
    </r>
  </si>
  <si>
    <r>
      <rPr>
        <sz val="11"/>
        <rFont val="Georgia"/>
        <family val="1"/>
      </rPr>
      <t>RANGE ROVER  EVOQUE R-DYNAMIC HSE</t>
    </r>
  </si>
  <si>
    <r>
      <rPr>
        <sz val="11"/>
        <rFont val="Georgia"/>
        <family val="1"/>
      </rPr>
      <t>RANGE ROVER  EVOQUE R-DYNAMIC S</t>
    </r>
  </si>
  <si>
    <r>
      <rPr>
        <sz val="11"/>
        <rFont val="Georgia"/>
        <family val="1"/>
      </rPr>
      <t>RANGE ROVER  EVOQUE R-DYNAMIC SE</t>
    </r>
  </si>
  <si>
    <r>
      <rPr>
        <sz val="11"/>
        <rFont val="Georgia"/>
        <family val="1"/>
      </rPr>
      <t>RANGE ROVER  EVOQUE S</t>
    </r>
  </si>
  <si>
    <r>
      <rPr>
        <sz val="11"/>
        <rFont val="Georgia"/>
        <family val="1"/>
      </rPr>
      <t>RANGE ROVER  EVOQUE SE</t>
    </r>
  </si>
  <si>
    <r>
      <rPr>
        <sz val="11"/>
        <rFont val="Georgia"/>
        <family val="1"/>
      </rPr>
      <t>RANGE ROVER  EVOQUE SE PREMIUM</t>
    </r>
  </si>
  <si>
    <r>
      <rPr>
        <sz val="11"/>
        <rFont val="Georgia"/>
        <family val="1"/>
      </rPr>
      <t>RANGE ROVER  PHEV  AUT.BIO</t>
    </r>
  </si>
  <si>
    <r>
      <rPr>
        <sz val="11"/>
        <rFont val="Georgia"/>
        <family val="1"/>
      </rPr>
      <t>RANGE ROVER  PHEV HSE</t>
    </r>
  </si>
  <si>
    <r>
      <rPr>
        <sz val="11"/>
        <rFont val="Georgia"/>
        <family val="1"/>
      </rPr>
      <t>RANGE ROVER  SPORT PHEV AUT.BIO.</t>
    </r>
  </si>
  <si>
    <r>
      <rPr>
        <sz val="11"/>
        <rFont val="Georgia"/>
        <family val="1"/>
      </rPr>
      <t>RANGE ROVER  SPORT PHEV HSE</t>
    </r>
  </si>
  <si>
    <r>
      <rPr>
        <sz val="11"/>
        <rFont val="Georgia"/>
        <family val="1"/>
      </rPr>
      <t>RANGE ROVER  SPORT PHEV HSE SILVER EDITION</t>
    </r>
  </si>
  <si>
    <r>
      <rPr>
        <sz val="11"/>
        <rFont val="Georgia"/>
        <family val="1"/>
      </rPr>
      <t>RANGE ROVER EVOQUE  HSE DYNAMIC</t>
    </r>
  </si>
  <si>
    <r>
      <rPr>
        <sz val="11"/>
        <rFont val="Georgia"/>
        <family val="1"/>
      </rPr>
      <t>RANGE ROVER EVOQUE  HSE DYNAMIC CONVERTIBLE</t>
    </r>
  </si>
  <si>
    <r>
      <rPr>
        <sz val="11"/>
        <rFont val="Georgia"/>
        <family val="1"/>
      </rPr>
      <t>RANGE ROVER EVOQUE AUTOBIOGRAPHY</t>
    </r>
  </si>
  <si>
    <r>
      <rPr>
        <sz val="11"/>
        <rFont val="Georgia"/>
        <family val="1"/>
      </rPr>
      <t>RANGE ROVER EVOQUE HSE</t>
    </r>
  </si>
  <si>
    <r>
      <rPr>
        <sz val="11"/>
        <rFont val="Georgia"/>
        <family val="1"/>
      </rPr>
      <t>RANGE ROVER EVOQUE LAND MARK EDITION</t>
    </r>
  </si>
  <si>
    <r>
      <rPr>
        <sz val="11"/>
        <rFont val="Georgia"/>
        <family val="1"/>
      </rPr>
      <t>RANGE ROVER EVOQUE SE</t>
    </r>
  </si>
  <si>
    <r>
      <rPr>
        <sz val="11"/>
        <rFont val="Georgia"/>
        <family val="1"/>
      </rPr>
      <t>RANGE ROVER EVOQUE SE DYNAMIC</t>
    </r>
  </si>
  <si>
    <r>
      <rPr>
        <sz val="11"/>
        <rFont val="Georgia"/>
        <family val="1"/>
      </rPr>
      <t>RANGE ROVER EVOQUE SE PREMIUM</t>
    </r>
  </si>
  <si>
    <r>
      <rPr>
        <sz val="11"/>
        <rFont val="Georgia"/>
        <family val="1"/>
      </rPr>
      <t>RANGE ROVER VELAR 250</t>
    </r>
  </si>
  <si>
    <r>
      <rPr>
        <sz val="11"/>
        <rFont val="Georgia"/>
        <family val="1"/>
      </rPr>
      <t>RANGE ROVER SPORT  T/C 258PS  5 DOOR HSE</t>
    </r>
  </si>
  <si>
    <r>
      <rPr>
        <sz val="11"/>
        <rFont val="Georgia"/>
        <family val="1"/>
      </rPr>
      <t>RANGE ROVER SPORT  T/C 258PS 5 DOOR  S</t>
    </r>
  </si>
  <si>
    <r>
      <rPr>
        <sz val="11"/>
        <rFont val="Georgia"/>
        <family val="1"/>
      </rPr>
      <t>RANGE ROVER T/C 258PS 5 DOOR  VOGUE</t>
    </r>
  </si>
  <si>
    <r>
      <rPr>
        <sz val="11"/>
        <rFont val="Georgia"/>
        <family val="1"/>
      </rPr>
      <t>RANGE ROVER T/C 258PS 5 DOOR AUTO VOGUE</t>
    </r>
  </si>
  <si>
    <r>
      <rPr>
        <sz val="11"/>
        <rFont val="Georgia"/>
        <family val="1"/>
      </rPr>
      <t>DEFENDER  T/C  3 DOOR 300PS X</t>
    </r>
  </si>
  <si>
    <r>
      <rPr>
        <sz val="11"/>
        <rFont val="Georgia"/>
        <family val="1"/>
      </rPr>
      <t>DEFENDER  T/C  5 DOOR 300PS S</t>
    </r>
  </si>
  <si>
    <r>
      <rPr>
        <sz val="11"/>
        <rFont val="Georgia"/>
        <family val="1"/>
      </rPr>
      <t>DEFENDER  T/C  5 DOOR 300PS X-DYNAMIC HSE</t>
    </r>
  </si>
  <si>
    <r>
      <rPr>
        <sz val="11"/>
        <rFont val="Georgia"/>
        <family val="1"/>
      </rPr>
      <t>DEFENDER  T/C  5 DOOR 300PS X-DYNAMIC S</t>
    </r>
  </si>
  <si>
    <r>
      <rPr>
        <sz val="11"/>
        <rFont val="Georgia"/>
        <family val="1"/>
      </rPr>
      <t>DEFENDER  T/C  AWD 3 DOOR 300PS S</t>
    </r>
  </si>
  <si>
    <r>
      <rPr>
        <sz val="11"/>
        <rFont val="Georgia"/>
        <family val="1"/>
      </rPr>
      <t>DEFENDER  T/C  MHEV  5 DOOR 400PS FIRST EDITION 110</t>
    </r>
  </si>
  <si>
    <r>
      <rPr>
        <sz val="11"/>
        <rFont val="Georgia"/>
        <family val="1"/>
      </rPr>
      <t>DEFENDER  T/C  MHEV  5 DOOR 400PS S</t>
    </r>
  </si>
  <si>
    <r>
      <rPr>
        <sz val="11"/>
        <rFont val="Georgia"/>
        <family val="1"/>
      </rPr>
      <t>DEFENDER  T/C  MHEV 3 DOOR  400PS X-DYNAMIC HSE</t>
    </r>
  </si>
  <si>
    <r>
      <rPr>
        <sz val="11"/>
        <rFont val="Georgia"/>
        <family val="1"/>
      </rPr>
      <t>DEFENDER  T/C  MHEV 3 DOOR  400PS XS EDITION</t>
    </r>
  </si>
  <si>
    <r>
      <rPr>
        <sz val="11"/>
        <rFont val="Georgia"/>
        <family val="1"/>
      </rPr>
      <t>DEFENDER  T/C  MHEV 3 DOOR 400PS X</t>
    </r>
  </si>
  <si>
    <r>
      <rPr>
        <sz val="11"/>
        <rFont val="Georgia"/>
        <family val="1"/>
      </rPr>
      <t>DEFENDER  T/C  MHEV 3 DOOR 400PS X-DYNAMIC HSE</t>
    </r>
  </si>
  <si>
    <r>
      <rPr>
        <sz val="11"/>
        <rFont val="Georgia"/>
        <family val="1"/>
      </rPr>
      <t>DEFENDER  T/C  MHEV 3 DOOR 400PS X-DYNAMIC SE</t>
    </r>
  </si>
  <si>
    <r>
      <rPr>
        <sz val="11"/>
        <rFont val="Georgia"/>
        <family val="1"/>
      </rPr>
      <t>DEFENDER  T/C  MHEV 5 DOOR  400PS X</t>
    </r>
  </si>
  <si>
    <r>
      <rPr>
        <sz val="11"/>
        <rFont val="Georgia"/>
        <family val="1"/>
      </rPr>
      <t>DEFENDER  T/C  MHEV 5 DOOR  400PS X-DYNAMIC HSE</t>
    </r>
  </si>
  <si>
    <r>
      <rPr>
        <sz val="11"/>
        <rFont val="Georgia"/>
        <family val="1"/>
      </rPr>
      <t>DEFENDER  T/C  MHEV 5 DOOR  400PS X-DYNAMIC S</t>
    </r>
  </si>
  <si>
    <r>
      <rPr>
        <sz val="11"/>
        <rFont val="Georgia"/>
        <family val="1"/>
      </rPr>
      <t>DEFENDER  T/C  MHEV 5 DOOR  400PS X-DYNAMIC SE</t>
    </r>
  </si>
  <si>
    <r>
      <rPr>
        <sz val="11"/>
        <rFont val="Georgia"/>
        <family val="1"/>
      </rPr>
      <t>DEFENDER  T/C  MHEV 5 DOOR  400PS XS EDITION</t>
    </r>
  </si>
  <si>
    <r>
      <rPr>
        <sz val="11"/>
        <rFont val="Georgia"/>
        <family val="1"/>
      </rPr>
      <t>DEFENDER  T/C  MHEV 5 DOOR 400PS X</t>
    </r>
  </si>
  <si>
    <r>
      <rPr>
        <sz val="11"/>
        <rFont val="Georgia"/>
        <family val="1"/>
      </rPr>
      <t>DEFENDER  T/C  MHEV 5 DOOR 400PS X-DYNAMIC HSE</t>
    </r>
  </si>
  <si>
    <r>
      <rPr>
        <sz val="11"/>
        <rFont val="Georgia"/>
        <family val="1"/>
      </rPr>
      <t>DEFENDER  T/C  MHEV AWD  5 DOOR 400PS S</t>
    </r>
  </si>
  <si>
    <r>
      <rPr>
        <sz val="11"/>
        <rFont val="Georgia"/>
        <family val="1"/>
      </rPr>
      <t>DEFENDER  T/C  MHEV AWD 3 DOOR 400PS S</t>
    </r>
  </si>
  <si>
    <r>
      <rPr>
        <sz val="11"/>
        <rFont val="Georgia"/>
        <family val="1"/>
      </rPr>
      <t>DEFENDER  T/C  MHEV AWD 3 DOOR 400PS XS EDITION</t>
    </r>
  </si>
  <si>
    <r>
      <rPr>
        <sz val="11"/>
        <rFont val="Georgia"/>
        <family val="1"/>
      </rPr>
      <t>DEFENDER  T/C 3  300PS X-DYNAMIC S</t>
    </r>
  </si>
  <si>
    <r>
      <rPr>
        <sz val="11"/>
        <rFont val="Georgia"/>
        <family val="1"/>
      </rPr>
      <t>DEFENDER  T/C 3 DOOR  300PS X</t>
    </r>
  </si>
  <si>
    <r>
      <rPr>
        <sz val="11"/>
        <rFont val="Georgia"/>
        <family val="1"/>
      </rPr>
      <t>DEFENDER  T/C 3 DOOR  300PS X-DYNAMIC SE</t>
    </r>
  </si>
  <si>
    <r>
      <rPr>
        <sz val="11"/>
        <rFont val="Georgia"/>
        <family val="1"/>
      </rPr>
      <t>DEFENDER  T/C 3 DOOR 300PS X-DYNAMIC HSE</t>
    </r>
  </si>
  <si>
    <r>
      <rPr>
        <sz val="11"/>
        <rFont val="Georgia"/>
        <family val="1"/>
      </rPr>
      <t>DEFENDER  T/C 5 DOOR  300PS 75TH ANNIVERSARY EDITION</t>
    </r>
  </si>
  <si>
    <r>
      <rPr>
        <sz val="11"/>
        <rFont val="Georgia"/>
        <family val="1"/>
      </rPr>
      <t>DEFENDER  T/C 5 DOOR  300PS X-DYNAMIC HSE</t>
    </r>
  </si>
  <si>
    <r>
      <rPr>
        <sz val="11"/>
        <rFont val="Georgia"/>
        <family val="1"/>
      </rPr>
      <t>DEFENDER  T/C 5 DOOR  LWB 300PS X-DYNAMIC HSE</t>
    </r>
  </si>
  <si>
    <r>
      <rPr>
        <sz val="11"/>
        <rFont val="Georgia"/>
        <family val="1"/>
      </rPr>
      <t>DEFENDER  T/C DIESEL  5 DOOR LWB 300PS X</t>
    </r>
  </si>
  <si>
    <r>
      <rPr>
        <sz val="11"/>
        <rFont val="Georgia"/>
        <family val="1"/>
      </rPr>
      <t>DEFENDER  T/C DIESEL 5 DOOR  300PS X-DYNAMIC HSE</t>
    </r>
  </si>
  <si>
    <r>
      <rPr>
        <sz val="11"/>
        <rFont val="Georgia"/>
        <family val="1"/>
      </rPr>
      <t>DEFENDER  T/C MHEV 3 DOOR  400PS X</t>
    </r>
  </si>
  <si>
    <r>
      <rPr>
        <sz val="11"/>
        <rFont val="Georgia"/>
        <family val="1"/>
      </rPr>
      <t>DEFENDER  T/C MHEV 3 DOOR 400PS X-DYNAMIC S</t>
    </r>
  </si>
  <si>
    <r>
      <rPr>
        <sz val="11"/>
        <rFont val="Georgia"/>
        <family val="1"/>
      </rPr>
      <t>DEFENDER  T/C MHEV 5 DOOR 400PS S</t>
    </r>
  </si>
  <si>
    <r>
      <rPr>
        <sz val="11"/>
        <rFont val="Georgia"/>
        <family val="1"/>
      </rPr>
      <t>DEFENDER  T/C MHEV 5 DOOR 400PS X-DYNAMIC SE</t>
    </r>
  </si>
  <si>
    <r>
      <rPr>
        <sz val="11"/>
        <rFont val="Georgia"/>
        <family val="1"/>
      </rPr>
      <t>DEFENDER  T/C MHEV AWD 5 DOOR 400PS 75TH ANNIVERSARY EDITION</t>
    </r>
  </si>
  <si>
    <r>
      <rPr>
        <sz val="11"/>
        <rFont val="Georgia"/>
        <family val="1"/>
      </rPr>
      <t>DEFENDER  T/C MHEV DOOR LWB 400PS X</t>
    </r>
  </si>
  <si>
    <r>
      <rPr>
        <sz val="11"/>
        <rFont val="Georgia"/>
        <family val="1"/>
      </rPr>
      <t>DEFENDER 2996C T/C DIESEL AWD 3 DOOR AUTO 300PS X-DYNAMIC SE</t>
    </r>
  </si>
  <si>
    <r>
      <rPr>
        <sz val="11"/>
        <rFont val="Georgia"/>
        <family val="1"/>
      </rPr>
      <t>DEFENDER T/C  5 DOOR 300PS S</t>
    </r>
  </si>
  <si>
    <r>
      <rPr>
        <sz val="11"/>
        <rFont val="Georgia"/>
        <family val="1"/>
      </rPr>
      <t>DEFENDER T/C  5 DOOR 300PS X</t>
    </r>
  </si>
  <si>
    <r>
      <rPr>
        <sz val="11"/>
        <rFont val="Georgia"/>
        <family val="1"/>
      </rPr>
      <t>DEFENDER T/C  AWD 5 DOOR  300PS X</t>
    </r>
  </si>
  <si>
    <r>
      <rPr>
        <sz val="11"/>
        <rFont val="Georgia"/>
        <family val="1"/>
      </rPr>
      <t>DEFENDER T/C  MHEV 3 DOOR  400PS 75TH ANNIVERSARY EDITION</t>
    </r>
  </si>
  <si>
    <r>
      <rPr>
        <sz val="11"/>
        <rFont val="Georgia"/>
        <family val="1"/>
      </rPr>
      <t>DEFENDER T/C  MHEV 3 DOOR  400PS X-DYNAMIC HSE</t>
    </r>
  </si>
  <si>
    <r>
      <rPr>
        <sz val="11"/>
        <rFont val="Georgia"/>
        <family val="1"/>
      </rPr>
      <t>DEFENDER T/C  MHEV 3 DOOR 400PS FIRST EDITION 90</t>
    </r>
  </si>
  <si>
    <r>
      <rPr>
        <sz val="11"/>
        <rFont val="Georgia"/>
        <family val="1"/>
      </rPr>
      <t>DEFENDER T/C  MHEV 3 DOOR 400PS X</t>
    </r>
  </si>
  <si>
    <r>
      <rPr>
        <sz val="11"/>
        <rFont val="Georgia"/>
        <family val="1"/>
      </rPr>
      <t>DEFENDER T/C  MHEV 3 DOOR 400PS X-DYNAMIC SE</t>
    </r>
  </si>
  <si>
    <r>
      <rPr>
        <sz val="11"/>
        <rFont val="Georgia"/>
        <family val="1"/>
      </rPr>
      <t>DEFENDER T/C  MHEV 5 DOOR 400PS X</t>
    </r>
  </si>
  <si>
    <r>
      <rPr>
        <sz val="11"/>
        <rFont val="Georgia"/>
        <family val="1"/>
      </rPr>
      <t>DEFENDER T/C  MHEV 5 DOOR 400PS X-DYNAMIC S</t>
    </r>
  </si>
  <si>
    <r>
      <rPr>
        <sz val="11"/>
        <rFont val="Georgia"/>
        <family val="1"/>
      </rPr>
      <t>DEFENDER T/C  MHEV AWD 5 DOOR LWB 400PS X-DYNAMIC HSE</t>
    </r>
  </si>
  <si>
    <r>
      <rPr>
        <sz val="11"/>
        <rFont val="Georgia"/>
        <family val="1"/>
      </rPr>
      <t>DEFENDER T/C 3 DOOR  300PS S</t>
    </r>
  </si>
  <si>
    <r>
      <rPr>
        <sz val="11"/>
        <rFont val="Georgia"/>
        <family val="1"/>
      </rPr>
      <t>DEFENDER T/C 3 DOOR  300PS X-DYNAMIC SE</t>
    </r>
  </si>
  <si>
    <r>
      <rPr>
        <sz val="11"/>
        <rFont val="Georgia"/>
        <family val="1"/>
      </rPr>
      <t>DEFENDER T/C 3 DOOR 300PS X</t>
    </r>
  </si>
  <si>
    <r>
      <rPr>
        <sz val="11"/>
        <rFont val="Georgia"/>
        <family val="1"/>
      </rPr>
      <t>DEFENDER T/C 3 DOOR 300PS X-DYNAMIC HSE</t>
    </r>
  </si>
  <si>
    <r>
      <rPr>
        <sz val="11"/>
        <rFont val="Georgia"/>
        <family val="1"/>
      </rPr>
      <t>DEFENDER T/C 5 DOOR  300PS X-DYNAMIC SE</t>
    </r>
  </si>
  <si>
    <r>
      <rPr>
        <sz val="11"/>
        <rFont val="Georgia"/>
        <family val="1"/>
      </rPr>
      <t>DEFENDER T/C 5 DOOR 300PS X</t>
    </r>
  </si>
  <si>
    <r>
      <rPr>
        <sz val="11"/>
        <rFont val="Georgia"/>
        <family val="1"/>
      </rPr>
      <t>DEFENDER T/C MHEV 5 DOOR  400PS X-DYNAMIC SE</t>
    </r>
  </si>
  <si>
    <r>
      <rPr>
        <sz val="11"/>
        <rFont val="Georgia"/>
        <family val="1"/>
      </rPr>
      <t>DEFENDER T/C MHEV 5 DOOR 400PS XS EDITION</t>
    </r>
  </si>
  <si>
    <r>
      <rPr>
        <sz val="11"/>
        <rFont val="Georgia"/>
        <family val="1"/>
      </rPr>
      <t>DISCOVERY  T/C  5 DOOR 300PS R-DYNAMIC HSE</t>
    </r>
  </si>
  <si>
    <r>
      <rPr>
        <sz val="11"/>
        <rFont val="Georgia"/>
        <family val="1"/>
      </rPr>
      <t>DISCOVERY  T/C 300PS  5 DOOR  S</t>
    </r>
  </si>
  <si>
    <r>
      <rPr>
        <sz val="11"/>
        <rFont val="Georgia"/>
        <family val="1"/>
      </rPr>
      <t>DISCOVERY  T/C 300PS  5 DOOR S</t>
    </r>
  </si>
  <si>
    <r>
      <rPr>
        <sz val="11"/>
        <rFont val="Georgia"/>
        <family val="1"/>
      </rPr>
      <t>DISCOVERY  T/C 300PS 5 DOOR  R-DYNAMIC SE</t>
    </r>
  </si>
  <si>
    <r>
      <rPr>
        <sz val="11"/>
        <rFont val="Georgia"/>
        <family val="1"/>
      </rPr>
      <t>DISCOVERY  T/C 360PS  5 DOOR R-DYNAMIC SE</t>
    </r>
  </si>
  <si>
    <r>
      <rPr>
        <sz val="11"/>
        <rFont val="Georgia"/>
        <family val="1"/>
      </rPr>
      <t>DISCOVERY  T/C 360PS  5 DOOR S</t>
    </r>
  </si>
  <si>
    <r>
      <rPr>
        <sz val="11"/>
        <rFont val="Georgia"/>
        <family val="1"/>
      </rPr>
      <t>DISCOVERY  T/C 360PS 5 DOOR  R-DYNAMIC SE</t>
    </r>
  </si>
  <si>
    <r>
      <rPr>
        <sz val="11"/>
        <rFont val="Georgia"/>
        <family val="1"/>
      </rPr>
      <t>DISCOVERY  T/C 360PS 5 DOOR S</t>
    </r>
  </si>
  <si>
    <r>
      <rPr>
        <sz val="11"/>
        <rFont val="Georgia"/>
        <family val="1"/>
      </rPr>
      <t>DISCOVERY  T/C 5 DOOR 300PS R-DYNAMIC HSE</t>
    </r>
  </si>
  <si>
    <r>
      <rPr>
        <sz val="11"/>
        <rFont val="Georgia"/>
        <family val="1"/>
      </rPr>
      <t>DISCOVERY T/C  MHEV 5 DOOR 360PS METROPOLITAN EDITION</t>
    </r>
  </si>
  <si>
    <r>
      <rPr>
        <sz val="11"/>
        <rFont val="Georgia"/>
        <family val="1"/>
      </rPr>
      <t>DISCOVERY T/C 300PS  5 DOOR R-DYNAMIC SE</t>
    </r>
  </si>
  <si>
    <r>
      <rPr>
        <sz val="11"/>
        <rFont val="Georgia"/>
        <family val="1"/>
      </rPr>
      <t>DISCOVERY T/C 300PS 5 DOOR  S</t>
    </r>
  </si>
  <si>
    <r>
      <rPr>
        <sz val="11"/>
        <rFont val="Georgia"/>
        <family val="1"/>
      </rPr>
      <t>DISCOVERY T/C 300PS 5 DOOR R-DYNAMIC SE</t>
    </r>
  </si>
  <si>
    <r>
      <rPr>
        <sz val="11"/>
        <rFont val="Georgia"/>
        <family val="1"/>
      </rPr>
      <t>DISCOVERY T/C 360PS  5 DOOR R-DYNAMIC HSE</t>
    </r>
  </si>
  <si>
    <r>
      <rPr>
        <sz val="11"/>
        <rFont val="Georgia"/>
        <family val="1"/>
      </rPr>
      <t>DISCOVERY T/C 360PS MHEV 5 DOOR R-DYNAMIC SE</t>
    </r>
  </si>
  <si>
    <r>
      <rPr>
        <sz val="11"/>
        <rFont val="Georgia"/>
        <family val="1"/>
      </rPr>
      <t>DISCOVERY T/C 360PS MHEV 5 DOOR S</t>
    </r>
  </si>
  <si>
    <r>
      <rPr>
        <sz val="11"/>
        <rFont val="Georgia"/>
        <family val="1"/>
      </rPr>
      <t>DISCOVERY T/C 360PS MHEV DOOR R-DYNAMIC HSE</t>
    </r>
  </si>
  <si>
    <r>
      <rPr>
        <sz val="11"/>
        <rFont val="Georgia"/>
        <family val="1"/>
      </rPr>
      <t>DISCOVERY T/C 360PS PETROL AWD 5 DOOR AUTO R-DYNAMIC HSE</t>
    </r>
  </si>
  <si>
    <r>
      <rPr>
        <sz val="11"/>
        <rFont val="Georgia"/>
        <family val="1"/>
      </rPr>
      <t>DISCOVERY T/C 5 DOOR 300PS METROPOLITAN EDITION</t>
    </r>
  </si>
  <si>
    <r>
      <rPr>
        <sz val="11"/>
        <rFont val="Georgia"/>
        <family val="1"/>
      </rPr>
      <t>DISCOVERY T/C 5 DOOR 300PS R-DYNAMIC HSE</t>
    </r>
  </si>
  <si>
    <r>
      <rPr>
        <sz val="11"/>
        <rFont val="Georgia"/>
        <family val="1"/>
      </rPr>
      <t>RANG+A3:A39E ROVER  T/C 400PS  5 DOOR VOGUE SE</t>
    </r>
  </si>
  <si>
    <r>
      <rPr>
        <sz val="11"/>
        <rFont val="Georgia"/>
        <family val="1"/>
      </rPr>
      <t>RANGE ROVER  T/C  5 DOOR 350PS AUTOBIOGRAPHY</t>
    </r>
  </si>
  <si>
    <r>
      <rPr>
        <sz val="11"/>
        <rFont val="Georgia"/>
        <family val="1"/>
      </rPr>
      <t>RANGE ROVER  T/C  5 DOOR LWB 350PS HSE</t>
    </r>
  </si>
  <si>
    <r>
      <rPr>
        <sz val="11"/>
        <rFont val="Georgia"/>
        <family val="1"/>
      </rPr>
      <t>RANGE ROVER  T/C  AWD 5 DOOR LWB 350PS FIRST EDITION</t>
    </r>
  </si>
  <si>
    <r>
      <rPr>
        <sz val="11"/>
        <rFont val="Georgia"/>
        <family val="1"/>
      </rPr>
      <t>RANGE ROVER  T/C  MHEV 5 DOOR 360PS SE</t>
    </r>
  </si>
  <si>
    <r>
      <rPr>
        <sz val="11"/>
        <rFont val="Georgia"/>
        <family val="1"/>
      </rPr>
      <t>RANGE ROVER  T/C  MHEV AWD 5 DOOR 360PS</t>
    </r>
  </si>
  <si>
    <r>
      <rPr>
        <sz val="11"/>
        <rFont val="Georgia"/>
        <family val="1"/>
      </rPr>
      <t>RANGE ROVER  T/C 400PS  5 DOOR AUTOBIOGRAPHY</t>
    </r>
  </si>
  <si>
    <r>
      <rPr>
        <sz val="11"/>
        <rFont val="Georgia"/>
        <family val="1"/>
      </rPr>
      <t>RANGE ROVER  T/C 5 DOOR  350PS HSE</t>
    </r>
  </si>
  <si>
    <r>
      <rPr>
        <sz val="11"/>
        <rFont val="Georgia"/>
        <family val="1"/>
      </rPr>
      <t>RANGE ROVER  T/C 5 DOOR 350PS AUTOBIOGRAPHY</t>
    </r>
  </si>
  <si>
    <r>
      <rPr>
        <sz val="11"/>
        <rFont val="Georgia"/>
        <family val="1"/>
      </rPr>
      <t>RANGE ROVER  T/C AWD 5 DOOR LWB 350PS HSE</t>
    </r>
  </si>
  <si>
    <r>
      <rPr>
        <sz val="11"/>
        <rFont val="Georgia"/>
        <family val="1"/>
      </rPr>
      <t>RANGE ROVER  T/C AWD 5 DOOR LWB 350PS HSE 7 SEATS</t>
    </r>
  </si>
  <si>
    <r>
      <rPr>
        <sz val="11"/>
        <rFont val="Georgia"/>
        <family val="1"/>
      </rPr>
      <t>RANGE ROVER  T/C MHEV  5 DOOR LWB  360PS HSE 7 SEATS</t>
    </r>
  </si>
  <si>
    <r>
      <rPr>
        <sz val="11"/>
        <rFont val="Georgia"/>
        <family val="1"/>
      </rPr>
      <t>RANGE ROVER  T/C MHEV 5 DOOR  400PS FIRST EDITION</t>
    </r>
  </si>
  <si>
    <r>
      <rPr>
        <sz val="11"/>
        <rFont val="Georgia"/>
        <family val="1"/>
      </rPr>
      <t>RANGE ROVER  T/C MHEV 5 DOOR AUTO 360PS AUTOBIOGRAPHY</t>
    </r>
  </si>
  <si>
    <r>
      <rPr>
        <sz val="11"/>
        <rFont val="Georgia"/>
        <family val="1"/>
      </rPr>
      <t>RANGE ROVER SPORT  T/C  5 DOOR  350PS AUTOBIOGRAPHY</t>
    </r>
  </si>
  <si>
    <r>
      <rPr>
        <sz val="11"/>
        <rFont val="Georgia"/>
        <family val="1"/>
      </rPr>
      <t>RANGE ROVER SPORT  T/C  5 DOOR 350PS DYNAMIC S</t>
    </r>
  </si>
  <si>
    <r>
      <rPr>
        <sz val="11"/>
        <rFont val="Georgia"/>
        <family val="1"/>
      </rPr>
      <t>RANGE ROVER SPORT  T/C  5 DOOR 350PS FIRST EDITION</t>
    </r>
  </si>
  <si>
    <r>
      <rPr>
        <sz val="11"/>
        <rFont val="Georgia"/>
        <family val="1"/>
      </rPr>
      <t>RANGE ROVER SPORT  T/C  5 DOOR 360PS HSE SILVER</t>
    </r>
  </si>
  <si>
    <r>
      <rPr>
        <sz val="11"/>
        <rFont val="Georgia"/>
        <family val="1"/>
      </rPr>
      <t>RANGE ROVER SPORT  T/C  MHEV  5 DOOR 400PS DYNAMIC SE</t>
    </r>
  </si>
  <si>
    <r>
      <rPr>
        <sz val="11"/>
        <rFont val="Georgia"/>
        <family val="1"/>
      </rPr>
      <t>RANGE ROVER SPORT  T/C 249PS 5 DOOR S</t>
    </r>
  </si>
  <si>
    <r>
      <rPr>
        <sz val="11"/>
        <rFont val="Georgia"/>
        <family val="1"/>
      </rPr>
      <t>RANGE ROVER SPORT  T/C 249PS 5 DOOR SE</t>
    </r>
  </si>
  <si>
    <r>
      <rPr>
        <sz val="11"/>
        <rFont val="Georgia"/>
        <family val="1"/>
      </rPr>
      <t>RANGE ROVER SPORT  T/C 258PS 5 DOOR SE</t>
    </r>
  </si>
  <si>
    <r>
      <rPr>
        <sz val="11"/>
        <rFont val="Georgia"/>
        <family val="1"/>
      </rPr>
      <t>RANGE ROVER SPORT  T/C 300PS  5 DOOR S</t>
    </r>
  </si>
  <si>
    <r>
      <rPr>
        <sz val="11"/>
        <rFont val="Georgia"/>
        <family val="1"/>
      </rPr>
      <t>RANGE ROVER SPORT  T/C 360PS 5 DOOR  HSE</t>
    </r>
  </si>
  <si>
    <r>
      <rPr>
        <sz val="11"/>
        <rFont val="Georgia"/>
        <family val="1"/>
      </rPr>
      <t>RANGE ROVER SPORT  T/C 360PS 5 DOOR S</t>
    </r>
  </si>
  <si>
    <r>
      <rPr>
        <sz val="11"/>
        <rFont val="Georgia"/>
        <family val="1"/>
      </rPr>
      <t>RANGE ROVER SPORT  T/C 400PS  5 DOOR HST</t>
    </r>
  </si>
  <si>
    <r>
      <rPr>
        <sz val="11"/>
        <rFont val="Georgia"/>
        <family val="1"/>
      </rPr>
      <t>RANGE ROVER SPORT  T/C 5 DOOR  350PS DYNAMIC HSE</t>
    </r>
  </si>
  <si>
    <r>
      <rPr>
        <sz val="11"/>
        <rFont val="Georgia"/>
        <family val="1"/>
      </rPr>
      <t>RANGE ROVER SPORT  T/C 5 DOOR  350PS DYNAMIC SE</t>
    </r>
  </si>
  <si>
    <r>
      <rPr>
        <sz val="11"/>
        <rFont val="Georgia"/>
        <family val="1"/>
      </rPr>
      <t>RANGE ROVER SPORT T/C  5 DOOR  360PS HSE SILVER</t>
    </r>
  </si>
  <si>
    <r>
      <rPr>
        <sz val="11"/>
        <rFont val="Georgia"/>
        <family val="1"/>
      </rPr>
      <t>RANGE ROVER SPORT T/C  5 DOOR 350PS HSE DYNAMIC BLACK</t>
    </r>
  </si>
  <si>
    <r>
      <rPr>
        <sz val="11"/>
        <rFont val="Georgia"/>
        <family val="1"/>
      </rPr>
      <t>RANGE ROVER SPORT T/C  MHEV 5 DOOR  400PS DYNAMIC S</t>
    </r>
  </si>
  <si>
    <r>
      <rPr>
        <sz val="11"/>
        <rFont val="Georgia"/>
        <family val="1"/>
      </rPr>
      <t>RANGE ROVER SPORT T/C 249PS 5 DOOR HSE</t>
    </r>
  </si>
  <si>
    <r>
      <rPr>
        <sz val="11"/>
        <rFont val="Georgia"/>
        <family val="1"/>
      </rPr>
      <t>RANGE ROVER SPORT T/C 258PS  5 DOOR HSE</t>
    </r>
  </si>
  <si>
    <r>
      <rPr>
        <sz val="11"/>
        <rFont val="Georgia"/>
        <family val="1"/>
      </rPr>
      <t>RANGE ROVER SPORT T/C 258PS 5 DOOR S</t>
    </r>
  </si>
  <si>
    <r>
      <rPr>
        <sz val="11"/>
        <rFont val="Georgia"/>
        <family val="1"/>
      </rPr>
      <t>RANGE ROVER SPORT T/C 300PS 5 DOOR HSE</t>
    </r>
  </si>
  <si>
    <r>
      <rPr>
        <sz val="11"/>
        <rFont val="Georgia"/>
        <family val="1"/>
      </rPr>
      <t>RANGE ROVER SPORT T/C 300PS 5 DOOR SE</t>
    </r>
  </si>
  <si>
    <r>
      <rPr>
        <sz val="11"/>
        <rFont val="Georgia"/>
        <family val="1"/>
      </rPr>
      <t>RANGE ROVER SPORT T/C 350PS 5 DOOR HSE DYNAMIC</t>
    </r>
  </si>
  <si>
    <r>
      <rPr>
        <sz val="11"/>
        <rFont val="Georgia"/>
        <family val="1"/>
      </rPr>
      <t>RANGE ROVER SPORT T/C 360PS 5 DOOR  SE</t>
    </r>
  </si>
  <si>
    <r>
      <rPr>
        <sz val="11"/>
        <rFont val="Georgia"/>
        <family val="1"/>
      </rPr>
      <t>RANGE ROVER SPORT T/C 360PS 5 DOOR HSE</t>
    </r>
  </si>
  <si>
    <r>
      <rPr>
        <sz val="11"/>
        <rFont val="Georgia"/>
        <family val="1"/>
      </rPr>
      <t>RANGE ROVER SPORT T/C 360PS 5 DOOR S</t>
    </r>
  </si>
  <si>
    <r>
      <rPr>
        <sz val="11"/>
        <rFont val="Georgia"/>
        <family val="1"/>
      </rPr>
      <t>RANGE ROVER SPORT T/C 360PS 5 DOOR SE</t>
    </r>
  </si>
  <si>
    <r>
      <rPr>
        <sz val="11"/>
        <rFont val="Georgia"/>
        <family val="1"/>
      </rPr>
      <t>RANGE ROVER SPORT T/C 400PS 5 DOOR HST</t>
    </r>
  </si>
  <si>
    <r>
      <rPr>
        <sz val="11"/>
        <rFont val="Georgia"/>
        <family val="1"/>
      </rPr>
      <t>RANGE ROVER SPORT T/C 5 DOOR 350PS HST</t>
    </r>
  </si>
  <si>
    <r>
      <rPr>
        <sz val="11"/>
        <rFont val="Georgia"/>
        <family val="1"/>
      </rPr>
      <t>RANGE ROVER T/C   5 DOOR LWB  350PS AUTOBIOGRAPHY 7 SEATS</t>
    </r>
  </si>
  <si>
    <r>
      <rPr>
        <sz val="11"/>
        <rFont val="Georgia"/>
        <family val="1"/>
      </rPr>
      <t>RANGE ROVER T/C  5 DOOR  350PS FIRST EDITION</t>
    </r>
  </si>
  <si>
    <r>
      <rPr>
        <sz val="11"/>
        <rFont val="Georgia"/>
        <family val="1"/>
      </rPr>
      <t>RANGE ROVER T/C  5 DOOR 350PS FIRST EDITION</t>
    </r>
  </si>
  <si>
    <r>
      <rPr>
        <sz val="11"/>
        <rFont val="Georgia"/>
        <family val="1"/>
      </rPr>
      <t>RANGE ROVER T/C  5 DOOR 350PS SE</t>
    </r>
  </si>
  <si>
    <r>
      <rPr>
        <sz val="11"/>
        <rFont val="Georgia"/>
        <family val="1"/>
      </rPr>
      <t>RANGE ROVER T/C  5 DOOR 350PS SV</t>
    </r>
  </si>
  <si>
    <r>
      <rPr>
        <sz val="11"/>
        <rFont val="Georgia"/>
        <family val="1"/>
      </rPr>
      <t>RANGE ROVER T/C  5 DOOR LWB 350PS AUTOBIOGRAPHY</t>
    </r>
  </si>
  <si>
    <r>
      <rPr>
        <sz val="11"/>
        <rFont val="Georgia"/>
        <family val="1"/>
      </rPr>
      <t>RANGE ROVER T/C  5 DOOR LWB 350PS HSE 7 SEATS</t>
    </r>
  </si>
  <si>
    <r>
      <rPr>
        <sz val="11"/>
        <rFont val="Georgia"/>
        <family val="1"/>
      </rPr>
      <t>RANGE ROVER T/C  5 DOOR LWB 350PS SV</t>
    </r>
  </si>
  <si>
    <r>
      <rPr>
        <sz val="11"/>
        <rFont val="Georgia"/>
        <family val="1"/>
      </rPr>
      <t>RANGE ROVER T/C  MHEV 5 DOOR  360PS HSE</t>
    </r>
  </si>
  <si>
    <r>
      <rPr>
        <sz val="11"/>
        <rFont val="Georgia"/>
        <family val="1"/>
      </rPr>
      <t>RANGE ROVER T/C  MHEV 5 DOOR 360PS HSE</t>
    </r>
  </si>
  <si>
    <r>
      <rPr>
        <sz val="11"/>
        <rFont val="Georgia"/>
        <family val="1"/>
      </rPr>
      <t>RANGE ROVER T/C  MHEV 5 DOOR 400PS FIRST EDITION</t>
    </r>
  </si>
  <si>
    <r>
      <rPr>
        <sz val="11"/>
        <rFont val="Georgia"/>
        <family val="1"/>
      </rPr>
      <t>RANGE ROVER T/C  MHEV 5 DOOR LWB 360PS HSE</t>
    </r>
  </si>
  <si>
    <r>
      <rPr>
        <sz val="11"/>
        <rFont val="Georgia"/>
        <family val="1"/>
      </rPr>
      <t>RANGE ROVER T/C  MHEV AWD 5 DOOR LWB 360PS AUTOBIOGRAPHY</t>
    </r>
  </si>
  <si>
    <r>
      <rPr>
        <sz val="11"/>
        <rFont val="Georgia"/>
        <family val="1"/>
      </rPr>
      <t>RANGE ROVER T/C  MHEV AWD 5 DOOR LWB 360PS HSE</t>
    </r>
  </si>
  <si>
    <r>
      <rPr>
        <sz val="11"/>
        <rFont val="Georgia"/>
        <family val="1"/>
      </rPr>
      <t>RANGE ROVER T/C 360PS 5 DOOR VOGUE</t>
    </r>
  </si>
  <si>
    <r>
      <rPr>
        <sz val="11"/>
        <rFont val="Georgia"/>
        <family val="1"/>
      </rPr>
      <t>RANGE ROVER T/C 360PS PETROL 5 DOOR VOGUE</t>
    </r>
  </si>
  <si>
    <r>
      <rPr>
        <sz val="11"/>
        <rFont val="Georgia"/>
        <family val="1"/>
      </rPr>
      <t>RANGE ROVER T/C 400PS  5 DOOR SVAUTOBIOGRAPHY</t>
    </r>
  </si>
  <si>
    <r>
      <rPr>
        <sz val="11"/>
        <rFont val="Georgia"/>
        <family val="1"/>
      </rPr>
      <t>RANGE ROVER T/C 400PS  5 DOOR VOGUE SE</t>
    </r>
  </si>
  <si>
    <r>
      <rPr>
        <sz val="11"/>
        <rFont val="Georgia"/>
        <family val="1"/>
      </rPr>
      <t>RANGE ROVER T/C 400PS 5 DOOR AUTOBIOGRAPHY</t>
    </r>
  </si>
  <si>
    <r>
      <rPr>
        <sz val="11"/>
        <rFont val="Georgia"/>
        <family val="1"/>
      </rPr>
      <t>RANGE ROVER T/C 400PS 5 DOOR LWB  VOGUE SE</t>
    </r>
  </si>
  <si>
    <r>
      <rPr>
        <sz val="11"/>
        <rFont val="Georgia"/>
        <family val="1"/>
      </rPr>
      <t>RANGE ROVER T/C 400PS 5 DOOR LWB AUTOBIOGRAPHY</t>
    </r>
  </si>
  <si>
    <r>
      <rPr>
        <sz val="11"/>
        <rFont val="Georgia"/>
        <family val="1"/>
      </rPr>
      <t>RANGE ROVER T/C 400PS 5 DOOR LWB SVAUTOBIOGRAPHY</t>
    </r>
  </si>
  <si>
    <r>
      <rPr>
        <sz val="11"/>
        <rFont val="Georgia"/>
        <family val="1"/>
      </rPr>
      <t>RANGE ROVER T/C 5 DOOR 350PS HSE</t>
    </r>
  </si>
  <si>
    <r>
      <rPr>
        <sz val="11"/>
        <rFont val="Georgia"/>
        <family val="1"/>
      </rPr>
      <t>RANGE ROVER T/C 5 DOOR LWB 350PS AUTOBIOGRAPHY</t>
    </r>
  </si>
  <si>
    <r>
      <rPr>
        <sz val="11"/>
        <rFont val="Georgia"/>
        <family val="1"/>
      </rPr>
      <t>RANGE ROVER T/C 5 DOOR LWB 350PS AUTOBIOGRAPHY 7 SEATS</t>
    </r>
  </si>
  <si>
    <r>
      <rPr>
        <sz val="11"/>
        <rFont val="Georgia"/>
        <family val="1"/>
      </rPr>
      <t>RANGE ROVER T/C 5 DOOR LWB 350PS FIRST EDITION</t>
    </r>
  </si>
  <si>
    <r>
      <rPr>
        <sz val="11"/>
        <rFont val="Georgia"/>
        <family val="1"/>
      </rPr>
      <t>RANGE ROVER T/C MHEV 5 DOOR 360PS AUTOBIOGRAPHY</t>
    </r>
  </si>
  <si>
    <r>
      <rPr>
        <sz val="11"/>
        <rFont val="Georgia"/>
        <family val="1"/>
      </rPr>
      <t>RANGE ROVER T/C MHEV 5 DOOR LWB  360PS AUTOBIOGRAPHY</t>
    </r>
  </si>
  <si>
    <r>
      <rPr>
        <sz val="11"/>
        <rFont val="Georgia"/>
        <family val="1"/>
      </rPr>
      <t>RANGE ROVER T/C MHEV 5 DOOR LWB 360PS AUTOBIOGRAPHY 7 SEATS</t>
    </r>
  </si>
  <si>
    <r>
      <rPr>
        <sz val="11"/>
        <rFont val="Georgia"/>
        <family val="1"/>
      </rPr>
      <t>RANGE ROVER T/C MHEV 5 DOOR LWB 360PS HSE 7 SEATS</t>
    </r>
  </si>
  <si>
    <r>
      <rPr>
        <sz val="11"/>
        <rFont val="Georgia"/>
        <family val="1"/>
      </rPr>
      <t>RANGE ROVER VELAR  T/C  5 DOOR 300PS R-DYNAMIC HSE</t>
    </r>
  </si>
  <si>
    <r>
      <rPr>
        <sz val="11"/>
        <rFont val="Georgia"/>
        <family val="1"/>
      </rPr>
      <t>RANGE ROVER VELAR  T/C  5 DOOR 300PS R-DYNAMIC LE</t>
    </r>
  </si>
  <si>
    <r>
      <rPr>
        <sz val="11"/>
        <rFont val="Georgia"/>
        <family val="1"/>
      </rPr>
      <t>RANGE ROVER VELAR  T/C  5 DOOR 300PS R-DYNAMIC S</t>
    </r>
  </si>
  <si>
    <r>
      <rPr>
        <sz val="11"/>
        <rFont val="Georgia"/>
        <family val="1"/>
      </rPr>
      <t>RANGE ROVER VELAR  T/C  5 DOOR 300PS S</t>
    </r>
  </si>
  <si>
    <r>
      <rPr>
        <sz val="11"/>
        <rFont val="Georgia"/>
        <family val="1"/>
      </rPr>
      <t>RANGE ROVER VELAR  T/C  5 DOOR 340PS S</t>
    </r>
  </si>
  <si>
    <r>
      <rPr>
        <sz val="11"/>
        <rFont val="Georgia"/>
        <family val="1"/>
      </rPr>
      <t>RANGE ROVER VELAR  T/C  MHEV 5 DOOR 340PS R-DYNAMIC LE</t>
    </r>
  </si>
  <si>
    <r>
      <rPr>
        <sz val="11"/>
        <rFont val="Georgia"/>
        <family val="1"/>
      </rPr>
      <t>RANGE ROVER VELAR  T/C  MHEV 5 DOOR 340PS R-DYNAMIC S</t>
    </r>
  </si>
  <si>
    <r>
      <rPr>
        <sz val="11"/>
        <rFont val="Georgia"/>
        <family val="1"/>
      </rPr>
      <t>RANGE ROVER VELAR  T/C  MHEV AWD  5 DOOR 340PS S</t>
    </r>
  </si>
  <si>
    <r>
      <rPr>
        <sz val="11"/>
        <rFont val="Georgia"/>
        <family val="1"/>
      </rPr>
      <t>RANGE ROVER VELAR  T/C MHEV   5 DOOR 340PS R-DYNAMIC HSE</t>
    </r>
  </si>
  <si>
    <r>
      <rPr>
        <sz val="11"/>
        <rFont val="Georgia"/>
        <family val="1"/>
      </rPr>
      <t>RANGE ROVER VELAR T/C  5 DOOR 300PS R-DYNAMIC LIMITED EDITION</t>
    </r>
  </si>
  <si>
    <r>
      <rPr>
        <sz val="11"/>
        <rFont val="Georgia"/>
        <family val="1"/>
      </rPr>
      <t>RANGE ROVER VELAR T/C  5 DOOR 340PS LIMITED EDITION</t>
    </r>
  </si>
  <si>
    <r>
      <rPr>
        <sz val="11"/>
        <rFont val="Georgia"/>
        <family val="1"/>
      </rPr>
      <t>RANGE ROVER VELAR T/C  MHEV 5 340PS R-DYNAMIC HSE</t>
    </r>
  </si>
  <si>
    <r>
      <rPr>
        <sz val="11"/>
        <rFont val="Georgia"/>
        <family val="1"/>
      </rPr>
      <t>RANGE ROVER VELAR T/C  MHEV AWD 5 DOOR 340PS R-DYNAMIC SE</t>
    </r>
  </si>
  <si>
    <r>
      <rPr>
        <sz val="11"/>
        <rFont val="Georgia"/>
        <family val="1"/>
      </rPr>
      <t>RANGE ROVER VELAR T/C 5 DOOR 300PS R-DYNAMIC HSE</t>
    </r>
  </si>
  <si>
    <r>
      <rPr>
        <sz val="11"/>
        <rFont val="Georgia"/>
        <family val="1"/>
      </rPr>
      <t>RANGE ROVER VELAR T/C 5 DOOR 300PS R-DYNAMIC SE</t>
    </r>
  </si>
  <si>
    <r>
      <rPr>
        <sz val="11"/>
        <rFont val="Georgia"/>
        <family val="1"/>
      </rPr>
      <t>RANGE ROVER VELAR T/C 5 DOOR 300PS S</t>
    </r>
  </si>
  <si>
    <r>
      <rPr>
        <sz val="11"/>
        <rFont val="Georgia"/>
        <family val="1"/>
      </rPr>
      <t>RANGE ROVER VELAR T/C 5 DOOR 340PS R-DYNAMIC HSE</t>
    </r>
  </si>
  <si>
    <r>
      <rPr>
        <sz val="11"/>
        <rFont val="Georgia"/>
        <family val="1"/>
      </rPr>
      <t>RANGE ROVER VELAR T/C 5 DOOR 340PS R-DYNAMIC SE</t>
    </r>
  </si>
  <si>
    <r>
      <rPr>
        <sz val="11"/>
        <rFont val="Georgia"/>
        <family val="1"/>
      </rPr>
      <t>RANGE ROVER VELAR T/C DIESEL AWD 5 DOOR 300PS LIMITED EDITION</t>
    </r>
  </si>
  <si>
    <r>
      <rPr>
        <sz val="11"/>
        <rFont val="Georgia"/>
        <family val="1"/>
      </rPr>
      <t>RANGE ROVER VELAR T/C MHEV 5 DOOR  340PS R-DYNAMIC LIMITED EDITION</t>
    </r>
  </si>
  <si>
    <r>
      <rPr>
        <sz val="11"/>
        <rFont val="Georgia"/>
        <family val="1"/>
      </rPr>
      <t>RANGE ROVER VELAR T/C MHEV 5 DOOR 340PS R-DYNAMIC SE</t>
    </r>
  </si>
  <si>
    <r>
      <rPr>
        <sz val="11"/>
        <rFont val="Georgia"/>
        <family val="1"/>
      </rPr>
      <t>DISCOVERY FIRST EDITION</t>
    </r>
  </si>
  <si>
    <r>
      <rPr>
        <sz val="11"/>
        <rFont val="Georgia"/>
        <family val="1"/>
      </rPr>
      <t>DISCOVERY HSE</t>
    </r>
  </si>
  <si>
    <r>
      <rPr>
        <sz val="11"/>
        <rFont val="Georgia"/>
        <family val="1"/>
      </rPr>
      <t>DISCOVERY HSE LUXURY</t>
    </r>
  </si>
  <si>
    <r>
      <rPr>
        <sz val="11"/>
        <rFont val="Georgia"/>
        <family val="1"/>
      </rPr>
      <t>DISCOVERY SE</t>
    </r>
  </si>
  <si>
    <r>
      <rPr>
        <sz val="11"/>
        <rFont val="Georgia"/>
        <family val="1"/>
      </rPr>
      <t>RANGE ROVER  DEFENDER 110  HSE</t>
    </r>
  </si>
  <si>
    <r>
      <rPr>
        <sz val="11"/>
        <rFont val="Georgia"/>
        <family val="1"/>
      </rPr>
      <t>RANGE ROVER  DEFENDER 110 FIRST EDITION</t>
    </r>
  </si>
  <si>
    <r>
      <rPr>
        <sz val="11"/>
        <rFont val="Georgia"/>
        <family val="1"/>
      </rPr>
      <t>RANGE ROVER  DEFENDER 110 SE</t>
    </r>
  </si>
  <si>
    <r>
      <rPr>
        <sz val="11"/>
        <rFont val="Georgia"/>
        <family val="1"/>
      </rPr>
      <t>RANGE ROVER  DEFENDER 110 X</t>
    </r>
  </si>
  <si>
    <r>
      <rPr>
        <sz val="11"/>
        <rFont val="Georgia"/>
        <family val="1"/>
      </rPr>
      <t>RANGE ROVER  DEFENDER 110 X-DYNAMIC  HSE</t>
    </r>
  </si>
  <si>
    <r>
      <rPr>
        <sz val="11"/>
        <rFont val="Georgia"/>
        <family val="1"/>
      </rPr>
      <t>RANGE ROVER  DEFENDER 110 X-DYNAMIC  SE</t>
    </r>
  </si>
  <si>
    <r>
      <rPr>
        <sz val="11"/>
        <rFont val="Georgia"/>
        <family val="1"/>
      </rPr>
      <t>RANGE ROVER  DEFENDER 90 X</t>
    </r>
  </si>
  <si>
    <r>
      <rPr>
        <sz val="11"/>
        <rFont val="Georgia"/>
        <family val="1"/>
      </rPr>
      <t>RANGE ROVER  DEFENDER 90 X-DYNAMIC S</t>
    </r>
  </si>
  <si>
    <r>
      <rPr>
        <sz val="11"/>
        <rFont val="Georgia"/>
        <family val="1"/>
      </rPr>
      <t>RANGE ROVER  SPORT HSE</t>
    </r>
  </si>
  <si>
    <r>
      <rPr>
        <sz val="11"/>
        <rFont val="Georgia"/>
        <family val="1"/>
      </rPr>
      <t>RANGE ROVER  SPORT HSE SILVER EDITION</t>
    </r>
  </si>
  <si>
    <r>
      <rPr>
        <sz val="11"/>
        <rFont val="Georgia"/>
        <family val="1"/>
      </rPr>
      <t>RANGE ROVER  SPORT MHEV HSE</t>
    </r>
  </si>
  <si>
    <r>
      <rPr>
        <sz val="11"/>
        <rFont val="Georgia"/>
        <family val="1"/>
      </rPr>
      <t>RANGE ROVER  SPORT MHEV HSE SILVER EDITION</t>
    </r>
  </si>
  <si>
    <r>
      <rPr>
        <sz val="11"/>
        <rFont val="Georgia"/>
        <family val="1"/>
      </rPr>
      <t>RANGE ROVER  SPORT MHEV HST</t>
    </r>
  </si>
  <si>
    <r>
      <rPr>
        <sz val="11"/>
        <rFont val="Georgia"/>
        <family val="1"/>
      </rPr>
      <t>RANGE ROVER  SPORT MHEV SE</t>
    </r>
  </si>
  <si>
    <r>
      <rPr>
        <sz val="11"/>
        <rFont val="Georgia"/>
        <family val="1"/>
      </rPr>
      <t>RANGE ROVER  SPORT SE</t>
    </r>
  </si>
  <si>
    <r>
      <rPr>
        <sz val="11"/>
        <rFont val="Georgia"/>
        <family val="1"/>
      </rPr>
      <t>RANGE ROVER  SPORT SUPER. HSE</t>
    </r>
  </si>
  <si>
    <r>
      <rPr>
        <sz val="11"/>
        <rFont val="Georgia"/>
        <family val="1"/>
      </rPr>
      <t>RANGE ROVER  SPORT SUPER. HSE DYNAMIC</t>
    </r>
  </si>
  <si>
    <r>
      <rPr>
        <sz val="11"/>
        <rFont val="Georgia"/>
        <family val="1"/>
      </rPr>
      <t>RANGE ROVER  SPORT SUPER. SE</t>
    </r>
  </si>
  <si>
    <r>
      <rPr>
        <sz val="11"/>
        <rFont val="Georgia"/>
        <family val="1"/>
      </rPr>
      <t>RANGE ROVER SUPER. HSE SWB</t>
    </r>
  </si>
  <si>
    <r>
      <rPr>
        <sz val="11"/>
        <rFont val="Georgia"/>
        <family val="1"/>
      </rPr>
      <t>RANGE ROVER SUPER. SWB</t>
    </r>
  </si>
  <si>
    <r>
      <rPr>
        <sz val="11"/>
        <rFont val="Georgia"/>
        <family val="1"/>
      </rPr>
      <t>RANGE ROVER SUPERCHARGED</t>
    </r>
  </si>
  <si>
    <r>
      <rPr>
        <sz val="11"/>
        <rFont val="Georgia"/>
        <family val="1"/>
      </rPr>
      <t>RANGE ROVER SUPERCHARGED HSE</t>
    </r>
  </si>
  <si>
    <r>
      <rPr>
        <sz val="11"/>
        <rFont val="Georgia"/>
        <family val="1"/>
      </rPr>
      <t>RANGE ROVER SWB</t>
    </r>
  </si>
  <si>
    <r>
      <rPr>
        <sz val="11"/>
        <rFont val="Georgia"/>
        <family val="1"/>
      </rPr>
      <t>RANGE ROVER TURBOCHARGED TD6</t>
    </r>
  </si>
  <si>
    <r>
      <rPr>
        <sz val="11"/>
        <rFont val="Georgia"/>
        <family val="1"/>
      </rPr>
      <t>RANGE ROVER TURBOCHARGED TD6 HSE</t>
    </r>
  </si>
  <si>
    <r>
      <rPr>
        <sz val="11"/>
        <rFont val="Georgia"/>
        <family val="1"/>
      </rPr>
      <t>RANGE ROVER  T/C 339PS 5 DOOR AUTOBIOGRAPHY</t>
    </r>
  </si>
  <si>
    <r>
      <rPr>
        <sz val="11"/>
        <rFont val="Georgia"/>
        <family val="1"/>
      </rPr>
      <t>RANGE ROVER  T/C 339PS 5 DOOR VOGUE SE</t>
    </r>
  </si>
  <si>
    <r>
      <rPr>
        <sz val="11"/>
        <rFont val="Georgia"/>
        <family val="1"/>
      </rPr>
      <t>RANGE ROVER  T/C  5 DOOR  530PS FIRST EDITION</t>
    </r>
  </si>
  <si>
    <r>
      <rPr>
        <sz val="11"/>
        <rFont val="Georgia"/>
        <family val="1"/>
      </rPr>
      <t>RANGE ROVER  T/C  5 DOOR 530PS AUTOBIOGRAPHY</t>
    </r>
  </si>
  <si>
    <r>
      <rPr>
        <sz val="11"/>
        <rFont val="Georgia"/>
        <family val="1"/>
      </rPr>
      <t>RANGE ROVER  T/C  5 DOOR LWB 530PS AUTOBIGRAPHY 7 SEATS</t>
    </r>
  </si>
  <si>
    <r>
      <rPr>
        <sz val="11"/>
        <rFont val="Georgia"/>
        <family val="1"/>
      </rPr>
      <t>RANGE ROVER  T/C  5 DOOR LWB 530PS HSE</t>
    </r>
  </si>
  <si>
    <r>
      <rPr>
        <sz val="11"/>
        <rFont val="Georgia"/>
        <family val="1"/>
      </rPr>
      <t>RANGE ROVER  T/C 339PS 5 DOOR  VOGUE SE</t>
    </r>
  </si>
  <si>
    <r>
      <rPr>
        <sz val="11"/>
        <rFont val="Georgia"/>
        <family val="1"/>
      </rPr>
      <t>RANGE ROVER  T/C 339PS 5 DOOR LWB SVAUTOBIOGRAPHY</t>
    </r>
  </si>
  <si>
    <r>
      <rPr>
        <sz val="11"/>
        <rFont val="Georgia"/>
        <family val="1"/>
      </rPr>
      <t>RANGE ROVER  T/C 339PS 5 DOOR SVAUTOBIOGRAPHY</t>
    </r>
  </si>
  <si>
    <r>
      <rPr>
        <sz val="11"/>
        <rFont val="Georgia"/>
        <family val="1"/>
      </rPr>
      <t>RANGE ROVER  T/C 5 DOOR 530PS SV</t>
    </r>
  </si>
  <si>
    <r>
      <rPr>
        <sz val="11"/>
        <rFont val="Georgia"/>
        <family val="1"/>
      </rPr>
      <t>RANGE ROVER  T/C 5 DOOR AUTO 530PS FIRST EDITION</t>
    </r>
  </si>
  <si>
    <r>
      <rPr>
        <sz val="11"/>
        <rFont val="Georgia"/>
        <family val="1"/>
      </rPr>
      <t>RANGE ROVER  T/C 5 DOOR LWB 530PS AUTOBIOGRAPHY</t>
    </r>
  </si>
  <si>
    <r>
      <rPr>
        <sz val="11"/>
        <rFont val="Georgia"/>
        <family val="1"/>
      </rPr>
      <t>RANGE ROVER SPORT  T/C  5 DOOR 530PS FIRST EDITION</t>
    </r>
  </si>
  <si>
    <r>
      <rPr>
        <sz val="11"/>
        <rFont val="Georgia"/>
        <family val="1"/>
      </rPr>
      <t>RANGE ROVER SPORT  T/C 5 DOOR 530PS AUTOBIOGRAPHY</t>
    </r>
  </si>
  <si>
    <r>
      <rPr>
        <sz val="11"/>
        <rFont val="Georgia"/>
        <family val="1"/>
      </rPr>
      <t>RANGE ROVER SPORT  T/C 5 DOOR 530PS DYNAMIC HSE</t>
    </r>
  </si>
  <si>
    <r>
      <rPr>
        <sz val="11"/>
        <rFont val="Georgia"/>
        <family val="1"/>
      </rPr>
      <t>RANGE ROVER T/C  5 DOOR  530PS AUTOBIOGRAPHY</t>
    </r>
  </si>
  <si>
    <r>
      <rPr>
        <sz val="11"/>
        <rFont val="Georgia"/>
        <family val="1"/>
      </rPr>
      <t>RANGE ROVER T/C  5 DOOR 530PS HSE</t>
    </r>
  </si>
  <si>
    <r>
      <rPr>
        <sz val="11"/>
        <rFont val="Georgia"/>
        <family val="1"/>
      </rPr>
      <t>RANGE ROVER T/C  5 DOOR LWB  530PS HSE 7 SEATS</t>
    </r>
  </si>
  <si>
    <r>
      <rPr>
        <sz val="11"/>
        <rFont val="Georgia"/>
        <family val="1"/>
      </rPr>
      <t>RANGE ROVER T/C  5 DOOR LWB 530PS SV</t>
    </r>
  </si>
  <si>
    <r>
      <rPr>
        <sz val="11"/>
        <rFont val="Georgia"/>
        <family val="1"/>
      </rPr>
      <t>RANGE ROVER T/C  AWD 5 DOOR LWB  530PS FIRST EDITION</t>
    </r>
  </si>
  <si>
    <r>
      <rPr>
        <sz val="11"/>
        <rFont val="Georgia"/>
        <family val="1"/>
      </rPr>
      <t>RANGE ROVER T/C  AWD 5 DOOR LWB 530PS HSE 7 SEATS</t>
    </r>
  </si>
  <si>
    <r>
      <rPr>
        <sz val="11"/>
        <rFont val="Georgia"/>
        <family val="1"/>
      </rPr>
      <t>RANGE ROVER T/C 339PS 5 DOOR  AUTOBIOGRAPHY</t>
    </r>
  </si>
  <si>
    <r>
      <rPr>
        <sz val="11"/>
        <rFont val="Georgia"/>
        <family val="1"/>
      </rPr>
      <t>RANGE ROVER T/C 339PS 5 DOOR AUTOBIOGRAPHY</t>
    </r>
  </si>
  <si>
    <r>
      <rPr>
        <sz val="11"/>
        <rFont val="Georgia"/>
        <family val="1"/>
      </rPr>
      <t>RANGE ROVER T/C 339PS 5 DOOR LWB AUTOBIOGRAPHY</t>
    </r>
  </si>
  <si>
    <r>
      <rPr>
        <sz val="11"/>
        <rFont val="Georgia"/>
        <family val="1"/>
      </rPr>
      <t>RANGE ROVER T/C 339PS 5 DOOR LWB VOGUE SE</t>
    </r>
  </si>
  <si>
    <r>
      <rPr>
        <sz val="11"/>
        <rFont val="Georgia"/>
        <family val="1"/>
      </rPr>
      <t>RANGE ROVER T/C 339PS 5 DOOR VOGUE SE</t>
    </r>
  </si>
  <si>
    <r>
      <rPr>
        <sz val="11"/>
        <rFont val="Georgia"/>
        <family val="1"/>
      </rPr>
      <t>RANGE ROVER T/C 5 DOOR 530PS HSE</t>
    </r>
  </si>
  <si>
    <r>
      <rPr>
        <sz val="11"/>
        <rFont val="Georgia"/>
        <family val="1"/>
      </rPr>
      <t>RANGE ROVER T/C 5 DOOR LWB 530PS AUTOBIOGRAPHY</t>
    </r>
  </si>
  <si>
    <r>
      <rPr>
        <sz val="11"/>
        <rFont val="Georgia"/>
        <family val="1"/>
      </rPr>
      <t>RANGE ROVER T/C 5 DOOR LWB 530PS FIRST EDITION</t>
    </r>
  </si>
  <si>
    <r>
      <rPr>
        <sz val="11"/>
        <rFont val="Georgia"/>
        <family val="1"/>
      </rPr>
      <t>RANGE ROVER  AUT.BIOGRAPHY LWB</t>
    </r>
  </si>
  <si>
    <r>
      <rPr>
        <sz val="11"/>
        <rFont val="Georgia"/>
        <family val="1"/>
      </rPr>
      <t>RANGE ROVER  S/C  5 DOOR 525PS FIFTY</t>
    </r>
  </si>
  <si>
    <r>
      <rPr>
        <sz val="11"/>
        <rFont val="Georgia"/>
        <family val="1"/>
      </rPr>
      <t>RANGE ROVER  S/C  5 DOOR 525PS WESTMINSTER BLACK</t>
    </r>
  </si>
  <si>
    <r>
      <rPr>
        <sz val="11"/>
        <rFont val="Georgia"/>
        <family val="1"/>
      </rPr>
      <t>RANGE ROVER  S/C 5 DOOR 525PS WESTMINSTER</t>
    </r>
  </si>
  <si>
    <r>
      <rPr>
        <sz val="11"/>
        <rFont val="Georgia"/>
        <family val="1"/>
      </rPr>
      <t>RANGE ROVER  S/C 525PS  5 DOOR  VOGUE SE</t>
    </r>
  </si>
  <si>
    <r>
      <rPr>
        <sz val="11"/>
        <rFont val="Georgia"/>
        <family val="1"/>
      </rPr>
      <t>RANGE ROVER  S/C 525PS  5 DOOR LWB  VOGUE SE</t>
    </r>
  </si>
  <si>
    <r>
      <rPr>
        <sz val="11"/>
        <rFont val="Georgia"/>
        <family val="1"/>
      </rPr>
      <t>RANGE ROVER  SPORT SUPER. AUTO. BIO</t>
    </r>
  </si>
  <si>
    <r>
      <rPr>
        <sz val="11"/>
        <rFont val="Georgia"/>
        <family val="1"/>
      </rPr>
      <t>RANGE ROVER  SPORT SUPER. AUTO.BIO.</t>
    </r>
  </si>
  <si>
    <r>
      <rPr>
        <sz val="11"/>
        <rFont val="Georgia"/>
        <family val="1"/>
      </rPr>
      <t>RANGE ROVER  SPORT SUPER. DYNAMIC</t>
    </r>
  </si>
  <si>
    <r>
      <rPr>
        <sz val="11"/>
        <rFont val="Georgia"/>
        <family val="1"/>
      </rPr>
      <t>RANGE ROVER  SPORT SUPER. SVR</t>
    </r>
  </si>
  <si>
    <r>
      <rPr>
        <sz val="11"/>
        <rFont val="Georgia"/>
        <family val="1"/>
      </rPr>
      <t>RANGE ROVER  SPORT SUPER. SVR CARBON EDITION</t>
    </r>
  </si>
  <si>
    <r>
      <rPr>
        <sz val="11"/>
        <rFont val="Georgia"/>
        <family val="1"/>
      </rPr>
      <t>RANGE ROVER AUT.BIO SWB</t>
    </r>
  </si>
  <si>
    <r>
      <rPr>
        <sz val="11"/>
        <rFont val="Georgia"/>
        <family val="1"/>
      </rPr>
      <t>RANGE ROVER FIFTY   LWB</t>
    </r>
  </si>
  <si>
    <r>
      <rPr>
        <sz val="11"/>
        <rFont val="Georgia"/>
        <family val="1"/>
      </rPr>
      <t>RANGE ROVER FIFTY   SWB</t>
    </r>
  </si>
  <si>
    <r>
      <rPr>
        <sz val="11"/>
        <rFont val="Georgia"/>
        <family val="1"/>
      </rPr>
      <t>RANGE ROVER HSE SWB</t>
    </r>
  </si>
  <si>
    <r>
      <rPr>
        <sz val="11"/>
        <rFont val="Georgia"/>
        <family val="1"/>
      </rPr>
      <t>RANGE ROVER P525 HSE LWB</t>
    </r>
  </si>
  <si>
    <r>
      <rPr>
        <sz val="11"/>
        <rFont val="Georgia"/>
        <family val="1"/>
      </rPr>
      <t>RANGE ROVER P525 HSE SWB</t>
    </r>
  </si>
  <si>
    <r>
      <rPr>
        <sz val="11"/>
        <rFont val="Georgia"/>
        <family val="1"/>
      </rPr>
      <t>RANGE ROVER P525 WESTMINSTER LWB</t>
    </r>
  </si>
  <si>
    <r>
      <rPr>
        <sz val="11"/>
        <rFont val="Georgia"/>
        <family val="1"/>
      </rPr>
      <t>RANGE ROVER P525 WESTMINSTER SWB</t>
    </r>
  </si>
  <si>
    <r>
      <rPr>
        <sz val="11"/>
        <rFont val="Georgia"/>
        <family val="1"/>
      </rPr>
      <t>RANGE ROVER S/C 5 DOOR  525PS WESTMINSTER</t>
    </r>
  </si>
  <si>
    <r>
      <rPr>
        <sz val="11"/>
        <rFont val="Georgia"/>
        <family val="1"/>
      </rPr>
      <t>RANGE ROVER S/C 5 DOOR 525PS FIFTY</t>
    </r>
  </si>
  <si>
    <r>
      <rPr>
        <sz val="11"/>
        <rFont val="Georgia"/>
        <family val="1"/>
      </rPr>
      <t>RANGE ROVER S/C 5 DOOR 525PS WESTMINSTER BLACK</t>
    </r>
  </si>
  <si>
    <r>
      <rPr>
        <sz val="11"/>
        <rFont val="Georgia"/>
        <family val="1"/>
      </rPr>
      <t>RANGE ROVER S/C 525PS   5 DOOR  VOGUE SE</t>
    </r>
  </si>
  <si>
    <r>
      <rPr>
        <sz val="11"/>
        <rFont val="Georgia"/>
        <family val="1"/>
      </rPr>
      <t>RANGE ROVER S/C 525PS  5 DOOR AUTOBIOGRAPHY</t>
    </r>
  </si>
  <si>
    <r>
      <rPr>
        <sz val="11"/>
        <rFont val="Georgia"/>
        <family val="1"/>
      </rPr>
      <t>RANGE ROVER S/C 525PS  5 DOOR LWB AUTOBIOGRAPHY</t>
    </r>
  </si>
  <si>
    <r>
      <rPr>
        <sz val="11"/>
        <rFont val="Georgia"/>
        <family val="1"/>
      </rPr>
      <t>RANGE ROVER S/C 525PS 5 DOOR AUTOBIOGRAPHY</t>
    </r>
  </si>
  <si>
    <r>
      <rPr>
        <sz val="11"/>
        <rFont val="Georgia"/>
        <family val="1"/>
      </rPr>
      <t>RANGE ROVER S/C 525PS 5 DOOR VOGUE SE</t>
    </r>
  </si>
  <si>
    <r>
      <rPr>
        <sz val="11"/>
        <rFont val="Georgia"/>
        <family val="1"/>
      </rPr>
      <t>RANGE ROVER S/C 565PS  5 DOOR DYNAMIC SVAUTOBIOGRAPHY</t>
    </r>
  </si>
  <si>
    <r>
      <rPr>
        <sz val="11"/>
        <rFont val="Georgia"/>
        <family val="1"/>
      </rPr>
      <t>RANGE ROVER S/C 565PS  5 DOOR SVAUTOBIOGRAPHY DYNAMIC</t>
    </r>
  </si>
  <si>
    <r>
      <rPr>
        <sz val="11"/>
        <rFont val="Georgia"/>
        <family val="1"/>
      </rPr>
      <t>RANGE ROVER S/C 565PS 5 DOOR SVAUTOBIOGRAPHY</t>
    </r>
  </si>
  <si>
    <r>
      <rPr>
        <sz val="11"/>
        <rFont val="Georgia"/>
        <family val="1"/>
      </rPr>
      <t>RANGE ROVER S/C 565PS 5 DOOR SVAUTOBIOGRAPHY DYNAMIC BLACK</t>
    </r>
  </si>
  <si>
    <r>
      <rPr>
        <sz val="11"/>
        <rFont val="Georgia"/>
        <family val="1"/>
      </rPr>
      <t>RANGE ROVER SPORT  S/C 525PS  5 DOOR AUTO HSE DYNAMIC BLACK</t>
    </r>
  </si>
  <si>
    <r>
      <rPr>
        <sz val="11"/>
        <rFont val="Georgia"/>
        <family val="1"/>
      </rPr>
      <t>RANGE ROVER SPORT  S/C 525PS  5 DOOR AUTOBIOGRAPHY DYNAMIC</t>
    </r>
  </si>
  <si>
    <r>
      <rPr>
        <sz val="11"/>
        <rFont val="Georgia"/>
        <family val="1"/>
      </rPr>
      <t>RANGE ROVER SPORT  S/C 575PS  5 DOOR AUTO SVR</t>
    </r>
  </si>
  <si>
    <r>
      <rPr>
        <sz val="11"/>
        <rFont val="Georgia"/>
        <family val="1"/>
      </rPr>
      <t>RANGE ROVER SPORT S/C 525PS  5 DOOR DYNAMIC HSE</t>
    </r>
  </si>
  <si>
    <r>
      <rPr>
        <sz val="11"/>
        <rFont val="Georgia"/>
        <family val="1"/>
      </rPr>
      <t>RANGE ROVER SPORT S/C 525PS  5 DOOR HSE DYNAMIC BLACK</t>
    </r>
  </si>
  <si>
    <r>
      <rPr>
        <sz val="11"/>
        <rFont val="Georgia"/>
        <family val="1"/>
      </rPr>
      <t>RANGE ROVER SPORT S/C 525PS 5 DOOR AUTOBIOGRAPHY DYNAMIC</t>
    </r>
  </si>
  <si>
    <r>
      <rPr>
        <sz val="11"/>
        <rFont val="Georgia"/>
        <family val="1"/>
      </rPr>
      <t>RANGE ROVER SPORT S/C 525PS 5 DOOR DYNAMIC HSE</t>
    </r>
  </si>
  <si>
    <r>
      <rPr>
        <sz val="11"/>
        <rFont val="Georgia"/>
        <family val="1"/>
      </rPr>
      <t>RANGE ROVER SPORT S/C 575PS  5 DOOR SVR</t>
    </r>
  </si>
  <si>
    <r>
      <rPr>
        <sz val="11"/>
        <rFont val="Georgia"/>
        <family val="1"/>
      </rPr>
      <t>RANGE ROVER SPORT S/C 575PS  5 DOOR SVR CARBON EDITION</t>
    </r>
  </si>
  <si>
    <r>
      <rPr>
        <sz val="11"/>
        <rFont val="Georgia"/>
        <family val="1"/>
      </rPr>
      <t>RANGE ROVER SPORT S/C 575PS 5 DOOR SVR CARBON EDITION</t>
    </r>
  </si>
  <si>
    <r>
      <rPr>
        <sz val="11"/>
        <rFont val="Georgia"/>
        <family val="1"/>
      </rPr>
      <t>RANGE ROVER SUPER. AUTO.BIO. LWB</t>
    </r>
  </si>
  <si>
    <r>
      <rPr>
        <sz val="11"/>
        <rFont val="Georgia"/>
        <family val="1"/>
      </rPr>
      <t>RANGE ROVER SUPER. AUTO.BIO. SWB</t>
    </r>
  </si>
  <si>
    <r>
      <rPr>
        <sz val="11"/>
        <rFont val="Georgia"/>
        <family val="1"/>
      </rPr>
      <t>RANGE ROVER SUPERCHARGED AUTOBIOGRAPHY</t>
    </r>
  </si>
  <si>
    <r>
      <rPr>
        <sz val="11"/>
        <rFont val="Georgia"/>
        <family val="1"/>
      </rPr>
      <t>RANGE ROVER SUPERCHARGED AUTOBIOGRAPHY LWB</t>
    </r>
  </si>
  <si>
    <r>
      <rPr>
        <sz val="11"/>
        <rFont val="Georgia"/>
        <family val="1"/>
      </rPr>
      <t>RANGE ROVER SUPERCHARGED AUTOBIOGRAPHY SV DYNAMIC</t>
    </r>
  </si>
  <si>
    <r>
      <rPr>
        <sz val="11"/>
        <rFont val="Georgia"/>
        <family val="1"/>
      </rPr>
      <t>RANGE ROVER  S/C 565PS  5 DOOR LWB SVAUTOBIOGRAPHY</t>
    </r>
  </si>
  <si>
    <r>
      <rPr>
        <sz val="11"/>
        <rFont val="Georgia"/>
        <family val="1"/>
      </rPr>
      <t>RANGE ROVER SUPERCHARGED AUTOBIOGRAPHY SV LWB</t>
    </r>
  </si>
  <si>
    <r>
      <rPr>
        <sz val="11"/>
        <rFont val="Georgia"/>
        <family val="1"/>
      </rPr>
      <t>RANGE ROVER SUPERCHARGED LWB</t>
    </r>
  </si>
  <si>
    <r>
      <rPr>
        <sz val="11"/>
        <rFont val="Georgia"/>
        <family val="1"/>
      </rPr>
      <t>RANGE ROVER SV  AUTO.BIO. DYNAMIC SWB</t>
    </r>
  </si>
  <si>
    <r>
      <rPr>
        <sz val="11"/>
        <rFont val="Georgia"/>
        <family val="1"/>
      </rPr>
      <t>RANGE ROVER SV AUTO.BIO. LWB</t>
    </r>
  </si>
  <si>
    <r>
      <rPr>
        <sz val="11"/>
        <rFont val="Georgia"/>
        <family val="1"/>
      </rPr>
      <t>RANGE ROVER TD6 DIESEL HSE SWB</t>
    </r>
  </si>
  <si>
    <r>
      <rPr>
        <sz val="11"/>
        <rFont val="Georgia"/>
        <family val="1"/>
      </rPr>
      <t>RANGE ROVER TD6 DIESEL SWB</t>
    </r>
  </si>
  <si>
    <r>
      <rPr>
        <sz val="11"/>
        <rFont val="Georgia"/>
        <family val="1"/>
      </rPr>
      <t>LEXUS</t>
    </r>
  </si>
  <si>
    <r>
      <rPr>
        <sz val="11"/>
        <rFont val="Georgia"/>
        <family val="1"/>
      </rPr>
      <t>CT200H</t>
    </r>
  </si>
  <si>
    <r>
      <rPr>
        <sz val="11"/>
        <rFont val="Georgia"/>
        <family val="1"/>
      </rPr>
      <t>DAA-ZWA10-AHXBB(L)</t>
    </r>
  </si>
  <si>
    <r>
      <rPr>
        <sz val="11"/>
        <rFont val="Georgia"/>
        <family val="1"/>
      </rPr>
      <t>CT200H VERSION L</t>
    </r>
  </si>
  <si>
    <r>
      <rPr>
        <sz val="11"/>
        <rFont val="Georgia"/>
        <family val="1"/>
      </rPr>
      <t>6AA-ZWA10-AHXBB(L)</t>
    </r>
  </si>
  <si>
    <r>
      <rPr>
        <sz val="11"/>
        <rFont val="Georgia"/>
        <family val="1"/>
      </rPr>
      <t>ES300H</t>
    </r>
  </si>
  <si>
    <r>
      <rPr>
        <sz val="11"/>
        <rFont val="Georgia"/>
        <family val="1"/>
      </rPr>
      <t>6AA-AXZH10-AEXGB</t>
    </r>
  </si>
  <si>
    <r>
      <rPr>
        <sz val="11"/>
        <rFont val="Georgia"/>
        <family val="1"/>
      </rPr>
      <t>6AA-AXZH11-AEXGB</t>
    </r>
  </si>
  <si>
    <r>
      <rPr>
        <sz val="11"/>
        <rFont val="Georgia"/>
        <family val="1"/>
      </rPr>
      <t>ES300H ES300H F SPORT</t>
    </r>
  </si>
  <si>
    <r>
      <rPr>
        <sz val="11"/>
        <rFont val="Georgia"/>
        <family val="1"/>
      </rPr>
      <t>6AA-AXZH11-AEXGB(F)</t>
    </r>
  </si>
  <si>
    <r>
      <rPr>
        <sz val="11"/>
        <rFont val="Georgia"/>
        <family val="1"/>
      </rPr>
      <t>ES300H F SPORT</t>
    </r>
  </si>
  <si>
    <r>
      <rPr>
        <sz val="11"/>
        <rFont val="Georgia"/>
        <family val="1"/>
      </rPr>
      <t>6AA-AXZH10-AEXGB(F)</t>
    </r>
  </si>
  <si>
    <r>
      <rPr>
        <sz val="11"/>
        <rFont val="Georgia"/>
        <family val="1"/>
      </rPr>
      <t>ES300H VERSION L</t>
    </r>
  </si>
  <si>
    <r>
      <rPr>
        <sz val="11"/>
        <rFont val="Georgia"/>
        <family val="1"/>
      </rPr>
      <t>6AA-AXH10-AEXGB(L)</t>
    </r>
  </si>
  <si>
    <r>
      <rPr>
        <sz val="11"/>
        <rFont val="Georgia"/>
        <family val="1"/>
      </rPr>
      <t>6AA-AXZH11-AEXGB(L)</t>
    </r>
  </si>
  <si>
    <r>
      <rPr>
        <sz val="11"/>
        <rFont val="Georgia"/>
        <family val="1"/>
      </rPr>
      <t>GS F</t>
    </r>
  </si>
  <si>
    <r>
      <rPr>
        <sz val="11"/>
        <rFont val="Georgia"/>
        <family val="1"/>
      </rPr>
      <t>DBA-URL10-FEZRH</t>
    </r>
  </si>
  <si>
    <r>
      <rPr>
        <sz val="11"/>
        <rFont val="Georgia"/>
        <family val="1"/>
      </rPr>
      <t>GS300 VERSION L</t>
    </r>
  </si>
  <si>
    <r>
      <rPr>
        <sz val="11"/>
        <rFont val="Georgia"/>
        <family val="1"/>
      </rPr>
      <t>DBA-ARL10-BEZQT(L)</t>
    </r>
  </si>
  <si>
    <r>
      <rPr>
        <sz val="11"/>
        <rFont val="Georgia"/>
        <family val="1"/>
      </rPr>
      <t>GS300H VERSION L</t>
    </r>
  </si>
  <si>
    <r>
      <rPr>
        <sz val="11"/>
        <rFont val="Georgia"/>
        <family val="1"/>
      </rPr>
      <t>DAA-AWL10-BEXQH(L)</t>
    </r>
  </si>
  <si>
    <r>
      <rPr>
        <sz val="11"/>
        <rFont val="Georgia"/>
        <family val="1"/>
      </rPr>
      <t>GS350 F Sport</t>
    </r>
  </si>
  <si>
    <r>
      <rPr>
        <sz val="11"/>
        <rFont val="Georgia"/>
        <family val="1"/>
      </rPr>
      <t>DBA-GRL12-BEZQH(F)</t>
    </r>
  </si>
  <si>
    <r>
      <rPr>
        <sz val="11"/>
        <rFont val="Georgia"/>
        <family val="1"/>
      </rPr>
      <t>GS350H F SPORT</t>
    </r>
  </si>
  <si>
    <r>
      <rPr>
        <sz val="11"/>
        <rFont val="Georgia"/>
        <family val="1"/>
      </rPr>
      <t>GS450 Version L</t>
    </r>
  </si>
  <si>
    <r>
      <rPr>
        <sz val="11"/>
        <rFont val="Georgia"/>
        <family val="1"/>
      </rPr>
      <t>DAA-GWL10-BEXQB(L)</t>
    </r>
  </si>
  <si>
    <r>
      <rPr>
        <sz val="11"/>
        <rFont val="Georgia"/>
        <family val="1"/>
      </rPr>
      <t>GS450H VERSION L</t>
    </r>
  </si>
  <si>
    <r>
      <rPr>
        <sz val="11"/>
        <rFont val="Georgia"/>
        <family val="1"/>
      </rPr>
      <t>HS250h</t>
    </r>
  </si>
  <si>
    <r>
      <rPr>
        <sz val="11"/>
        <rFont val="Georgia"/>
        <family val="1"/>
      </rPr>
      <t>DAA-ANF10-AEXVB(L)</t>
    </r>
  </si>
  <si>
    <r>
      <rPr>
        <sz val="11"/>
        <rFont val="Georgia"/>
        <family val="1"/>
      </rPr>
      <t>IS300</t>
    </r>
  </si>
  <si>
    <r>
      <rPr>
        <sz val="11"/>
        <rFont val="Georgia"/>
        <family val="1"/>
      </rPr>
      <t>DBA-ASE30-AEZLZ(F)</t>
    </r>
  </si>
  <si>
    <r>
      <rPr>
        <sz val="11"/>
        <rFont val="Georgia"/>
        <family val="1"/>
      </rPr>
      <t>IS300 F SPORT</t>
    </r>
  </si>
  <si>
    <r>
      <rPr>
        <sz val="11"/>
        <rFont val="Georgia"/>
        <family val="1"/>
      </rPr>
      <t>10AT</t>
    </r>
  </si>
  <si>
    <r>
      <rPr>
        <sz val="11"/>
        <rFont val="Georgia"/>
        <family val="1"/>
      </rPr>
      <t>IS300 VERSION L</t>
    </r>
  </si>
  <si>
    <r>
      <rPr>
        <sz val="11"/>
        <rFont val="Georgia"/>
        <family val="1"/>
      </rPr>
      <t>3BA-ASE30-BEZLZ(L)</t>
    </r>
  </si>
  <si>
    <r>
      <rPr>
        <sz val="11"/>
        <rFont val="Georgia"/>
        <family val="1"/>
      </rPr>
      <t>2WD/4WD</t>
    </r>
  </si>
  <si>
    <r>
      <rPr>
        <sz val="11"/>
        <rFont val="Georgia"/>
        <family val="1"/>
      </rPr>
      <t>IS300H</t>
    </r>
  </si>
  <si>
    <r>
      <rPr>
        <sz val="11"/>
        <rFont val="Georgia"/>
        <family val="1"/>
      </rPr>
      <t>DAA-AV30-AEXLH(L)</t>
    </r>
  </si>
  <si>
    <r>
      <rPr>
        <sz val="11"/>
        <rFont val="Georgia"/>
        <family val="1"/>
      </rPr>
      <t>6AA-AVE30-BEXLH(L)</t>
    </r>
  </si>
  <si>
    <r>
      <rPr>
        <sz val="11"/>
        <rFont val="Georgia"/>
        <family val="1"/>
      </rPr>
      <t>IS300H VERSION L</t>
    </r>
  </si>
  <si>
    <r>
      <rPr>
        <sz val="11"/>
        <rFont val="Georgia"/>
        <family val="1"/>
      </rPr>
      <t>DAA-AVE30-AEXLH(L)</t>
    </r>
  </si>
  <si>
    <r>
      <rPr>
        <sz val="11"/>
        <rFont val="Georgia"/>
        <family val="1"/>
      </rPr>
      <t>IS350</t>
    </r>
  </si>
  <si>
    <r>
      <rPr>
        <sz val="11"/>
        <rFont val="Georgia"/>
        <family val="1"/>
      </rPr>
      <t>DBA-GSE31-AEZLH(L)</t>
    </r>
  </si>
  <si>
    <r>
      <rPr>
        <sz val="11"/>
        <rFont val="Georgia"/>
        <family val="1"/>
      </rPr>
      <t>IS350 F SPORT</t>
    </r>
  </si>
  <si>
    <r>
      <rPr>
        <sz val="11"/>
        <rFont val="Georgia"/>
        <family val="1"/>
      </rPr>
      <t>3BA-GSE31-BEZLH(F)</t>
    </r>
  </si>
  <si>
    <r>
      <rPr>
        <sz val="11"/>
        <rFont val="Georgia"/>
        <family val="1"/>
      </rPr>
      <t>IS350 VERSION L</t>
    </r>
  </si>
  <si>
    <r>
      <rPr>
        <sz val="11"/>
        <rFont val="Georgia"/>
        <family val="1"/>
      </rPr>
      <t>IS500 F SPORT</t>
    </r>
  </si>
  <si>
    <r>
      <rPr>
        <sz val="11"/>
        <rFont val="Georgia"/>
        <family val="1"/>
      </rPr>
      <t>5BA-USE30-BEZLH</t>
    </r>
  </si>
  <si>
    <r>
      <rPr>
        <sz val="11"/>
        <rFont val="Georgia"/>
        <family val="1"/>
      </rPr>
      <t>IS500 F SPORT PERFORMANCE</t>
    </r>
  </si>
  <si>
    <r>
      <rPr>
        <sz val="11"/>
        <rFont val="Georgia"/>
        <family val="1"/>
      </rPr>
      <t>LC300 L PACKAGE</t>
    </r>
  </si>
  <si>
    <r>
      <rPr>
        <sz val="11"/>
        <rFont val="Georgia"/>
        <family val="1"/>
      </rPr>
      <t>5BA-URZ100-ACUBH(L)</t>
    </r>
  </si>
  <si>
    <r>
      <rPr>
        <sz val="11"/>
        <rFont val="Georgia"/>
        <family val="1"/>
      </rPr>
      <t>LC500 CONVERTIBLE</t>
    </r>
  </si>
  <si>
    <r>
      <rPr>
        <sz val="11"/>
        <rFont val="Georgia"/>
        <family val="1"/>
      </rPr>
      <t>5BA-URZ100-AKUBH</t>
    </r>
  </si>
  <si>
    <r>
      <rPr>
        <sz val="11"/>
        <rFont val="Georgia"/>
        <family val="1"/>
      </rPr>
      <t>5BA-URZ100-ACUBH</t>
    </r>
  </si>
  <si>
    <r>
      <rPr>
        <sz val="11"/>
        <rFont val="Georgia"/>
        <family val="1"/>
      </rPr>
      <t>5BA-UR100-AKUBH</t>
    </r>
  </si>
  <si>
    <r>
      <rPr>
        <sz val="11"/>
        <rFont val="Georgia"/>
        <family val="1"/>
      </rPr>
      <t>LC500 L PACKAGE</t>
    </r>
  </si>
  <si>
    <r>
      <rPr>
        <sz val="11"/>
        <rFont val="Georgia"/>
        <family val="1"/>
      </rPr>
      <t>DBA-URZ100-ACUBH(L)</t>
    </r>
  </si>
  <si>
    <r>
      <rPr>
        <sz val="11"/>
        <rFont val="Georgia"/>
        <family val="1"/>
      </rPr>
      <t>LC500H S PACKAGE</t>
    </r>
  </si>
  <si>
    <r>
      <rPr>
        <sz val="11"/>
        <rFont val="Georgia"/>
        <family val="1"/>
      </rPr>
      <t>6AA-GWZ100-ACVBB(S)</t>
    </r>
  </si>
  <si>
    <r>
      <rPr>
        <sz val="11"/>
        <rFont val="Georgia"/>
        <family val="1"/>
      </rPr>
      <t>LM500H EXECUTIVE</t>
    </r>
  </si>
  <si>
    <r>
      <rPr>
        <sz val="11"/>
        <rFont val="Georgia"/>
        <family val="1"/>
      </rPr>
      <t>5AA-TAWH15W-LNTXT</t>
    </r>
  </si>
  <si>
    <r>
      <rPr>
        <sz val="11"/>
        <rFont val="Georgia"/>
        <family val="1"/>
      </rPr>
      <t>LM500H VERSION L</t>
    </r>
  </si>
  <si>
    <r>
      <rPr>
        <sz val="11"/>
        <rFont val="Georgia"/>
        <family val="1"/>
      </rPr>
      <t>5AA-TAWH15WLPTVT</t>
    </r>
  </si>
  <si>
    <r>
      <rPr>
        <sz val="11"/>
        <rFont val="Georgia"/>
        <family val="1"/>
      </rPr>
      <t>LS500 F SPORT</t>
    </r>
  </si>
  <si>
    <r>
      <rPr>
        <sz val="11"/>
        <rFont val="Georgia"/>
        <family val="1"/>
      </rPr>
      <t>3BA-VXFA50-AEUQT(F)</t>
    </r>
  </si>
  <si>
    <r>
      <rPr>
        <sz val="11"/>
        <rFont val="Georgia"/>
        <family val="1"/>
      </rPr>
      <t>LS500 I PACKAGE</t>
    </r>
  </si>
  <si>
    <r>
      <rPr>
        <sz val="11"/>
        <rFont val="Georgia"/>
        <family val="1"/>
      </rPr>
      <t>6AA-GVF50-AEQH(I)</t>
    </r>
  </si>
  <si>
    <r>
      <rPr>
        <sz val="11"/>
        <rFont val="Georgia"/>
        <family val="1"/>
      </rPr>
      <t>LS500H</t>
    </r>
  </si>
  <si>
    <r>
      <rPr>
        <sz val="11"/>
        <rFont val="Georgia"/>
        <family val="1"/>
      </rPr>
      <t>6AA-GVF50-AEVQH</t>
    </r>
  </si>
  <si>
    <r>
      <rPr>
        <sz val="11"/>
        <rFont val="Georgia"/>
        <family val="1"/>
      </rPr>
      <t>DAA-GVF50-AEVHQ</t>
    </r>
  </si>
  <si>
    <r>
      <rPr>
        <sz val="11"/>
        <rFont val="Georgia"/>
        <family val="1"/>
      </rPr>
      <t>LS500H EXECUTIVE</t>
    </r>
  </si>
  <si>
    <r>
      <rPr>
        <sz val="11"/>
        <rFont val="Georgia"/>
        <family val="1"/>
      </rPr>
      <t>6AA-GVF50-AEVQH(E)</t>
    </r>
  </si>
  <si>
    <r>
      <rPr>
        <sz val="11"/>
        <rFont val="Georgia"/>
        <family val="1"/>
      </rPr>
      <t>DAA-GVF50-AEVQH€</t>
    </r>
  </si>
  <si>
    <r>
      <rPr>
        <sz val="11"/>
        <rFont val="Georgia"/>
        <family val="1"/>
      </rPr>
      <t>LS500H EXECUTIVE ADVANCED DRIVE</t>
    </r>
  </si>
  <si>
    <r>
      <rPr>
        <sz val="11"/>
        <rFont val="Georgia"/>
        <family val="1"/>
      </rPr>
      <t>6AA-GVF-AEVQH(X)</t>
    </r>
  </si>
  <si>
    <r>
      <rPr>
        <sz val="11"/>
        <rFont val="Georgia"/>
        <family val="1"/>
      </rPr>
      <t>6AA-GVF55-AEVQH(X)</t>
    </r>
  </si>
  <si>
    <r>
      <rPr>
        <sz val="11"/>
        <rFont val="Georgia"/>
        <family val="1"/>
      </rPr>
      <t>LS500H F SPORT</t>
    </r>
  </si>
  <si>
    <r>
      <rPr>
        <sz val="11"/>
        <rFont val="Georgia"/>
        <family val="1"/>
      </rPr>
      <t>6AA-GVF50-AEVQH(F)</t>
    </r>
  </si>
  <si>
    <r>
      <rPr>
        <sz val="11"/>
        <rFont val="Georgia"/>
        <family val="1"/>
      </rPr>
      <t>LS500H I PACKAGE</t>
    </r>
  </si>
  <si>
    <r>
      <rPr>
        <sz val="11"/>
        <rFont val="Georgia"/>
        <family val="1"/>
      </rPr>
      <t>6AA-GVF50-AEVQH(I)</t>
    </r>
  </si>
  <si>
    <r>
      <rPr>
        <sz val="11"/>
        <rFont val="Georgia"/>
        <family val="1"/>
      </rPr>
      <t>DAA-GVF50-AEVHQ(I)</t>
    </r>
  </si>
  <si>
    <r>
      <rPr>
        <sz val="11"/>
        <rFont val="Georgia"/>
        <family val="1"/>
      </rPr>
      <t>LS500H VERSION L</t>
    </r>
  </si>
  <si>
    <r>
      <rPr>
        <sz val="11"/>
        <rFont val="Georgia"/>
        <family val="1"/>
      </rPr>
      <t>6AA-GVF50-AEVQH(L)</t>
    </r>
  </si>
  <si>
    <r>
      <rPr>
        <sz val="11"/>
        <rFont val="Georgia"/>
        <family val="1"/>
      </rPr>
      <t>DAA-GVF50-AEVQH (L)</t>
    </r>
  </si>
  <si>
    <r>
      <rPr>
        <sz val="11"/>
        <rFont val="Georgia"/>
        <family val="1"/>
      </rPr>
      <t>LX570</t>
    </r>
  </si>
  <si>
    <r>
      <rPr>
        <sz val="11"/>
        <rFont val="Georgia"/>
        <family val="1"/>
      </rPr>
      <t>DBA-URJ201W-GNZGK</t>
    </r>
  </si>
  <si>
    <r>
      <rPr>
        <sz val="11"/>
        <rFont val="Georgia"/>
        <family val="1"/>
      </rPr>
      <t>3BA-URJ201W-GNZGK</t>
    </r>
  </si>
  <si>
    <r>
      <rPr>
        <sz val="11"/>
        <rFont val="Georgia"/>
        <family val="1"/>
      </rPr>
      <t>LX600</t>
    </r>
  </si>
  <si>
    <r>
      <rPr>
        <sz val="11"/>
        <rFont val="Georgia"/>
        <family val="1"/>
      </rPr>
      <t>3BA-VJA310W-GKULZ</t>
    </r>
  </si>
  <si>
    <r>
      <rPr>
        <sz val="11"/>
        <rFont val="Georgia"/>
        <family val="1"/>
      </rPr>
      <t>3BA-VJA310-GKULZ</t>
    </r>
  </si>
  <si>
    <r>
      <rPr>
        <sz val="11"/>
        <rFont val="Georgia"/>
        <family val="1"/>
      </rPr>
      <t>NX250</t>
    </r>
  </si>
  <si>
    <r>
      <rPr>
        <sz val="11"/>
        <rFont val="Georgia"/>
        <family val="1"/>
      </rPr>
      <t>5BA-AAZA20-AWZLB</t>
    </r>
  </si>
  <si>
    <r>
      <rPr>
        <sz val="11"/>
        <rFont val="Georgia"/>
        <family val="1"/>
      </rPr>
      <t>NX300</t>
    </r>
  </si>
  <si>
    <r>
      <rPr>
        <sz val="11"/>
        <rFont val="Georgia"/>
        <family val="1"/>
      </rPr>
      <t>DBA-AGZ10-AWTLT</t>
    </r>
  </si>
  <si>
    <r>
      <rPr>
        <sz val="11"/>
        <rFont val="Georgia"/>
        <family val="1"/>
      </rPr>
      <t>3BA-AGZ10-AWTLT</t>
    </r>
  </si>
  <si>
    <r>
      <rPr>
        <sz val="11"/>
        <rFont val="Georgia"/>
        <family val="1"/>
      </rPr>
      <t>NX300H</t>
    </r>
  </si>
  <si>
    <r>
      <rPr>
        <sz val="11"/>
        <rFont val="Georgia"/>
        <family val="1"/>
      </rPr>
      <t>NX300H VERSION L</t>
    </r>
  </si>
  <si>
    <r>
      <rPr>
        <sz val="11"/>
        <rFont val="Georgia"/>
        <family val="1"/>
      </rPr>
      <t>6AA-AYZ10-AWXLB(L)</t>
    </r>
  </si>
  <si>
    <r>
      <rPr>
        <sz val="11"/>
        <rFont val="Georgia"/>
        <family val="1"/>
      </rPr>
      <t>DAA-AYZ10-AWXLB(L)</t>
    </r>
  </si>
  <si>
    <r>
      <rPr>
        <sz val="11"/>
        <rFont val="Georgia"/>
        <family val="1"/>
      </rPr>
      <t>NX350 F SPORT</t>
    </r>
  </si>
  <si>
    <r>
      <rPr>
        <sz val="11"/>
        <rFont val="Georgia"/>
        <family val="1"/>
      </rPr>
      <t>5BA-TAZA25-AWZLT(F)</t>
    </r>
  </si>
  <si>
    <r>
      <rPr>
        <sz val="11"/>
        <rFont val="Georgia"/>
        <family val="1"/>
      </rPr>
      <t>NX350H VERSION L</t>
    </r>
  </si>
  <si>
    <r>
      <rPr>
        <sz val="11"/>
        <rFont val="Georgia"/>
        <family val="1"/>
      </rPr>
      <t>6AA-AAZH20-AWXLB(L)</t>
    </r>
  </si>
  <si>
    <r>
      <rPr>
        <sz val="11"/>
        <rFont val="Georgia"/>
        <family val="1"/>
      </rPr>
      <t>NX450H+ VERSION L</t>
    </r>
  </si>
  <si>
    <r>
      <rPr>
        <sz val="11"/>
        <rFont val="Georgia"/>
        <family val="1"/>
      </rPr>
      <t>6LA-AAZH26-AWXLB(L)</t>
    </r>
  </si>
  <si>
    <r>
      <rPr>
        <sz val="11"/>
        <rFont val="Georgia"/>
        <family val="1"/>
      </rPr>
      <t>RC F</t>
    </r>
  </si>
  <si>
    <r>
      <rPr>
        <sz val="11"/>
        <rFont val="Georgia"/>
        <family val="1"/>
      </rPr>
      <t>5BA-USC10-FCZRH</t>
    </r>
  </si>
  <si>
    <r>
      <rPr>
        <sz val="11"/>
        <rFont val="Georgia"/>
        <family val="1"/>
      </rPr>
      <t>DBA-USC10-FCZRH</t>
    </r>
  </si>
  <si>
    <r>
      <rPr>
        <sz val="11"/>
        <rFont val="Georgia"/>
        <family val="1"/>
      </rPr>
      <t>RC200T</t>
    </r>
  </si>
  <si>
    <r>
      <rPr>
        <sz val="11"/>
        <rFont val="Georgia"/>
        <family val="1"/>
      </rPr>
      <t>DBA-ASC10-RCZL(F)</t>
    </r>
  </si>
  <si>
    <r>
      <rPr>
        <sz val="11"/>
        <rFont val="Georgia"/>
        <family val="1"/>
      </rPr>
      <t>RC300 F SPORT</t>
    </r>
  </si>
  <si>
    <r>
      <rPr>
        <sz val="11"/>
        <rFont val="Georgia"/>
        <family val="1"/>
      </rPr>
      <t>3BA-ASC10-RCZLZ(F)</t>
    </r>
  </si>
  <si>
    <r>
      <rPr>
        <sz val="11"/>
        <rFont val="Georgia"/>
        <family val="1"/>
      </rPr>
      <t>RC300 FSPORT</t>
    </r>
  </si>
  <si>
    <r>
      <rPr>
        <sz val="11"/>
        <rFont val="Georgia"/>
        <family val="1"/>
      </rPr>
      <t>DBA-ASC10-RCZLZ(F)</t>
    </r>
  </si>
  <si>
    <r>
      <rPr>
        <sz val="11"/>
        <rFont val="Georgia"/>
        <family val="1"/>
      </rPr>
      <t>RC300H</t>
    </r>
  </si>
  <si>
    <r>
      <rPr>
        <sz val="11"/>
        <rFont val="Georgia"/>
        <family val="1"/>
      </rPr>
      <t>DAA-AVC10-RCXLH(F)</t>
    </r>
  </si>
  <si>
    <r>
      <rPr>
        <sz val="11"/>
        <rFont val="Georgia"/>
        <family val="1"/>
      </rPr>
      <t>RC300H F SPORT</t>
    </r>
  </si>
  <si>
    <r>
      <rPr>
        <sz val="11"/>
        <rFont val="Georgia"/>
        <family val="1"/>
      </rPr>
      <t>6AA-AVC10-RCXLH(F)</t>
    </r>
  </si>
  <si>
    <r>
      <rPr>
        <sz val="11"/>
        <rFont val="Georgia"/>
        <family val="1"/>
      </rPr>
      <t>RC350</t>
    </r>
  </si>
  <si>
    <r>
      <rPr>
        <sz val="11"/>
        <rFont val="Georgia"/>
        <family val="1"/>
      </rPr>
      <t>DBA-GSC10-RCZLH(L)</t>
    </r>
  </si>
  <si>
    <r>
      <rPr>
        <sz val="11"/>
        <rFont val="Georgia"/>
        <family val="1"/>
      </rPr>
      <t>RC350 VERSION L</t>
    </r>
  </si>
  <si>
    <r>
      <rPr>
        <sz val="11"/>
        <rFont val="Georgia"/>
        <family val="1"/>
      </rPr>
      <t>DBA-GSC10-RCZH(L)</t>
    </r>
  </si>
  <si>
    <r>
      <rPr>
        <sz val="11"/>
        <rFont val="Georgia"/>
        <family val="1"/>
      </rPr>
      <t>3BA-GSC10-RCZLH(L)</t>
    </r>
  </si>
  <si>
    <r>
      <rPr>
        <sz val="11"/>
        <rFont val="Georgia"/>
        <family val="1"/>
      </rPr>
      <t>RX200T F SPORT</t>
    </r>
  </si>
  <si>
    <r>
      <rPr>
        <sz val="11"/>
        <rFont val="Georgia"/>
        <family val="1"/>
      </rPr>
      <t>DBA-AG=L20W-AWTGZ(F)</t>
    </r>
  </si>
  <si>
    <r>
      <rPr>
        <sz val="11"/>
        <rFont val="Georgia"/>
        <family val="1"/>
      </rPr>
      <t>RX300 F SPORT</t>
    </r>
  </si>
  <si>
    <r>
      <rPr>
        <sz val="11"/>
        <rFont val="Georgia"/>
        <family val="1"/>
      </rPr>
      <t>3BA-AGL20W-AWTGZ(F)</t>
    </r>
  </si>
  <si>
    <r>
      <rPr>
        <sz val="11"/>
        <rFont val="Georgia"/>
        <family val="1"/>
      </rPr>
      <t>DBA-AGL20W-AWTGZ(F)</t>
    </r>
  </si>
  <si>
    <r>
      <rPr>
        <sz val="11"/>
        <rFont val="Georgia"/>
        <family val="1"/>
      </rPr>
      <t>RX350 F SPORT</t>
    </r>
  </si>
  <si>
    <r>
      <rPr>
        <sz val="11"/>
        <rFont val="Georgia"/>
        <family val="1"/>
      </rPr>
      <t>5BA-TALA15-AWZGT(F)</t>
    </r>
  </si>
  <si>
    <r>
      <rPr>
        <sz val="11"/>
        <rFont val="Georgia"/>
        <family val="1"/>
      </rPr>
      <t>RX350H VERSION L</t>
    </r>
  </si>
  <si>
    <r>
      <rPr>
        <sz val="11"/>
        <rFont val="Georgia"/>
        <family val="1"/>
      </rPr>
      <t>6AA-AALH10-AWXGB(L)</t>
    </r>
  </si>
  <si>
    <r>
      <rPr>
        <sz val="11"/>
        <rFont val="Georgia"/>
        <family val="1"/>
      </rPr>
      <t>RX450 VERSION L</t>
    </r>
  </si>
  <si>
    <r>
      <rPr>
        <sz val="11"/>
        <rFont val="Georgia"/>
        <family val="1"/>
      </rPr>
      <t>6AA-GYL20W-AWXGB(L)</t>
    </r>
  </si>
  <si>
    <r>
      <rPr>
        <sz val="11"/>
        <rFont val="Georgia"/>
        <family val="1"/>
      </rPr>
      <t>RX450H L</t>
    </r>
  </si>
  <si>
    <r>
      <rPr>
        <sz val="11"/>
        <rFont val="Georgia"/>
        <family val="1"/>
      </rPr>
      <t>6AA-GYL26W-ARXGB</t>
    </r>
  </si>
  <si>
    <r>
      <rPr>
        <sz val="11"/>
        <rFont val="Georgia"/>
        <family val="1"/>
      </rPr>
      <t>DBA-GYL26W-ARXGB</t>
    </r>
  </si>
  <si>
    <r>
      <rPr>
        <sz val="11"/>
        <rFont val="Georgia"/>
        <family val="1"/>
      </rPr>
      <t>RX450H VERSION L</t>
    </r>
  </si>
  <si>
    <r>
      <rPr>
        <sz val="11"/>
        <rFont val="Georgia"/>
        <family val="1"/>
      </rPr>
      <t>DAA-GYL20W-AWXGB(L)</t>
    </r>
  </si>
  <si>
    <r>
      <rPr>
        <sz val="11"/>
        <rFont val="Georgia"/>
        <family val="1"/>
      </rPr>
      <t>RX450H+ VERSION L</t>
    </r>
  </si>
  <si>
    <r>
      <rPr>
        <sz val="11"/>
        <rFont val="Georgia"/>
        <family val="1"/>
      </rPr>
      <t>6LA-AALH16-AWXGB(L)</t>
    </r>
  </si>
  <si>
    <r>
      <rPr>
        <sz val="11"/>
        <rFont val="Georgia"/>
        <family val="1"/>
      </rPr>
      <t>RX450HL</t>
    </r>
  </si>
  <si>
    <r>
      <rPr>
        <sz val="11"/>
        <rFont val="Georgia"/>
        <family val="1"/>
      </rPr>
      <t>DAA-GYL26W-ARXGB</t>
    </r>
  </si>
  <si>
    <r>
      <rPr>
        <sz val="11"/>
        <rFont val="Georgia"/>
        <family val="1"/>
      </rPr>
      <t>RX500H F SPORT</t>
    </r>
  </si>
  <si>
    <r>
      <rPr>
        <sz val="11"/>
        <rFont val="Georgia"/>
        <family val="1"/>
      </rPr>
      <t>5AA-TALH17-AWTGT(P)</t>
    </r>
  </si>
  <si>
    <r>
      <rPr>
        <sz val="11"/>
        <rFont val="Georgia"/>
        <family val="1"/>
      </rPr>
      <t>RX500H F SPORT PERFORMANCE</t>
    </r>
  </si>
  <si>
    <r>
      <rPr>
        <sz val="11"/>
        <rFont val="Georgia"/>
        <family val="1"/>
      </rPr>
      <t>5AA-TALH17-AWTG(P)</t>
    </r>
  </si>
  <si>
    <r>
      <rPr>
        <sz val="11"/>
        <rFont val="Georgia"/>
        <family val="1"/>
      </rPr>
      <t>RX5450H+ VERSION L</t>
    </r>
  </si>
  <si>
    <r>
      <rPr>
        <sz val="11"/>
        <rFont val="Georgia"/>
        <family val="1"/>
      </rPr>
      <t>6LA-AALH6-AWXGB(L)</t>
    </r>
  </si>
  <si>
    <r>
      <rPr>
        <sz val="11"/>
        <rFont val="Georgia"/>
        <family val="1"/>
      </rPr>
      <t>RZ450E VERSION L</t>
    </r>
  </si>
  <si>
    <r>
      <rPr>
        <sz val="11"/>
        <rFont val="Georgia"/>
        <family val="1"/>
      </rPr>
      <t>ZAA-XEBM15-AWDLS</t>
    </r>
  </si>
  <si>
    <r>
      <rPr>
        <sz val="11"/>
        <rFont val="Georgia"/>
        <family val="1"/>
      </rPr>
      <t>UX200 VERSION C</t>
    </r>
  </si>
  <si>
    <r>
      <rPr>
        <sz val="11"/>
        <rFont val="Georgia"/>
        <family val="1"/>
      </rPr>
      <t>6AA-MZAH10-AWXBB(F)</t>
    </r>
  </si>
  <si>
    <r>
      <rPr>
        <sz val="11"/>
        <rFont val="Georgia"/>
        <family val="1"/>
      </rPr>
      <t>6BA-MZAA10-AWXBB©</t>
    </r>
  </si>
  <si>
    <r>
      <rPr>
        <sz val="11"/>
        <rFont val="Georgia"/>
        <family val="1"/>
      </rPr>
      <t>6BA-MZAA10-AWXBB(C)</t>
    </r>
  </si>
  <si>
    <r>
      <rPr>
        <sz val="11"/>
        <rFont val="Georgia"/>
        <family val="1"/>
      </rPr>
      <t>UX250H</t>
    </r>
  </si>
  <si>
    <r>
      <rPr>
        <sz val="11"/>
        <rFont val="Georgia"/>
        <family val="1"/>
      </rPr>
      <t>6AA-MZAH10-AWDBB(L)</t>
    </r>
  </si>
  <si>
    <r>
      <rPr>
        <sz val="11"/>
        <rFont val="Georgia"/>
        <family val="1"/>
      </rPr>
      <t>UX250H F SPORT</t>
    </r>
  </si>
  <si>
    <r>
      <rPr>
        <sz val="11"/>
        <rFont val="Georgia"/>
        <family val="1"/>
      </rPr>
      <t>UX250H VERSION L</t>
    </r>
  </si>
  <si>
    <r>
      <rPr>
        <sz val="11"/>
        <rFont val="Georgia"/>
        <family val="1"/>
      </rPr>
      <t>6AA-MZAH10-AWXBB(L)</t>
    </r>
  </si>
  <si>
    <r>
      <rPr>
        <sz val="11"/>
        <rFont val="Georgia"/>
        <family val="1"/>
      </rPr>
      <t>5AA-MZAH10-AWXBB(L)</t>
    </r>
  </si>
  <si>
    <r>
      <rPr>
        <sz val="11"/>
        <rFont val="Georgia"/>
        <family val="1"/>
      </rPr>
      <t>UX300E VERSION L</t>
    </r>
  </si>
  <si>
    <r>
      <rPr>
        <sz val="11"/>
        <rFont val="Georgia"/>
        <family val="1"/>
      </rPr>
      <t>ZAA-KMA10-AWDBS(L)</t>
    </r>
  </si>
  <si>
    <r>
      <rPr>
        <sz val="11"/>
        <rFont val="Georgia"/>
        <family val="1"/>
      </rPr>
      <t>COPMA ZDS 11 SZLIFIEKRA DO SZYN WORKSHO</t>
    </r>
  </si>
  <si>
    <r>
      <rPr>
        <sz val="11"/>
        <rFont val="Georgia"/>
        <family val="1"/>
      </rPr>
      <t>4X2</t>
    </r>
  </si>
  <si>
    <r>
      <rPr>
        <sz val="11"/>
        <rFont val="Georgia"/>
        <family val="1"/>
      </rPr>
      <t>TGE  DUMP TRUCK</t>
    </r>
  </si>
  <si>
    <r>
      <rPr>
        <sz val="11"/>
        <rFont val="Georgia"/>
        <family val="1"/>
      </rPr>
      <t>177 HP</t>
    </r>
  </si>
  <si>
    <r>
      <rPr>
        <sz val="11"/>
        <rFont val="Georgia"/>
        <family val="1"/>
      </rPr>
      <t>TGL 12.220</t>
    </r>
  </si>
  <si>
    <r>
      <rPr>
        <sz val="11"/>
        <rFont val="Georgia"/>
        <family val="1"/>
      </rPr>
      <t>TGL 12.25 TILT TRUCK</t>
    </r>
  </si>
  <si>
    <r>
      <rPr>
        <sz val="11"/>
        <rFont val="Georgia"/>
        <family val="1"/>
      </rPr>
      <t>289 HP</t>
    </r>
  </si>
  <si>
    <r>
      <rPr>
        <sz val="11"/>
        <rFont val="Georgia"/>
        <family val="1"/>
      </rPr>
      <t>TGM 15.250 HOOK LIFT TRUCK</t>
    </r>
  </si>
  <si>
    <r>
      <rPr>
        <sz val="11"/>
        <rFont val="Georgia"/>
        <family val="1"/>
      </rPr>
      <t>250 HP</t>
    </r>
  </si>
  <si>
    <r>
      <rPr>
        <sz val="11"/>
        <rFont val="Georgia"/>
        <family val="1"/>
      </rPr>
      <t>TGM 18.250 DUMP TRUCK</t>
    </r>
  </si>
  <si>
    <r>
      <rPr>
        <sz val="11"/>
        <rFont val="Georgia"/>
        <family val="1"/>
      </rPr>
      <t>TGM 18.250 REFRIGERATED</t>
    </r>
  </si>
  <si>
    <r>
      <rPr>
        <sz val="11"/>
        <rFont val="Georgia"/>
        <family val="1"/>
      </rPr>
      <t>TGM 18.290 DUMP TRUCK</t>
    </r>
  </si>
  <si>
    <r>
      <rPr>
        <sz val="11"/>
        <rFont val="Georgia"/>
        <family val="1"/>
      </rPr>
      <t>TGM 18.320 4X4 EURO GE EUROMIX 3-SEITEN-K</t>
    </r>
  </si>
  <si>
    <r>
      <rPr>
        <sz val="11"/>
        <rFont val="Georgia"/>
        <family val="1"/>
      </rPr>
      <t>320 HP</t>
    </r>
  </si>
  <si>
    <r>
      <rPr>
        <sz val="11"/>
        <rFont val="Georgia"/>
        <family val="1"/>
      </rPr>
      <t>TGM 18.320 4X4 FLAT FLATBED</t>
    </r>
  </si>
  <si>
    <r>
      <rPr>
        <sz val="11"/>
        <rFont val="Georgia"/>
        <family val="1"/>
      </rPr>
      <t>325 HP</t>
    </r>
  </si>
  <si>
    <r>
      <rPr>
        <sz val="11"/>
        <rFont val="Georgia"/>
        <family val="1"/>
      </rPr>
      <t>TGM 18.320 DUMP TRUCK</t>
    </r>
  </si>
  <si>
    <r>
      <rPr>
        <sz val="11"/>
        <rFont val="Georgia"/>
        <family val="1"/>
      </rPr>
      <t>TGM 18.320 HOOK LFIT TURCK</t>
    </r>
  </si>
  <si>
    <r>
      <rPr>
        <sz val="11"/>
        <rFont val="Georgia"/>
        <family val="1"/>
      </rPr>
      <t>TGM 18.320 HOOK LIFT TRUCK</t>
    </r>
  </si>
  <si>
    <r>
      <rPr>
        <sz val="11"/>
        <rFont val="Georgia"/>
        <family val="1"/>
      </rPr>
      <t>TGM 18.320 PLATTFORM TRUCK</t>
    </r>
  </si>
  <si>
    <r>
      <rPr>
        <sz val="11"/>
        <rFont val="Georgia"/>
        <family val="1"/>
      </rPr>
      <t>TGS  41.480 DUMP TRUCK</t>
    </r>
  </si>
  <si>
    <r>
      <rPr>
        <sz val="11"/>
        <rFont val="Georgia"/>
        <family val="1"/>
      </rPr>
      <t>479 HP</t>
    </r>
  </si>
  <si>
    <r>
      <rPr>
        <sz val="11"/>
        <rFont val="Georgia"/>
        <family val="1"/>
      </rPr>
      <t>TGS 26.470 HOOK LIFT TRUCK</t>
    </r>
  </si>
  <si>
    <r>
      <rPr>
        <sz val="11"/>
        <rFont val="Georgia"/>
        <family val="1"/>
      </rPr>
      <t>470 HP</t>
    </r>
  </si>
  <si>
    <r>
      <rPr>
        <sz val="11"/>
        <rFont val="Georgia"/>
        <family val="1"/>
      </rPr>
      <t>TGS 28.440 DUMP TRUCK</t>
    </r>
  </si>
  <si>
    <r>
      <rPr>
        <sz val="11"/>
        <rFont val="Georgia"/>
        <family val="1"/>
      </rPr>
      <t>441 HP</t>
    </r>
  </si>
  <si>
    <r>
      <rPr>
        <sz val="11"/>
        <rFont val="Georgia"/>
        <family val="1"/>
      </rPr>
      <t>TGS 33 TIMBER TUCK</t>
    </r>
  </si>
  <si>
    <r>
      <rPr>
        <sz val="11"/>
        <rFont val="Georgia"/>
        <family val="1"/>
      </rPr>
      <t>510 HP</t>
    </r>
  </si>
  <si>
    <r>
      <rPr>
        <sz val="11"/>
        <rFont val="Georgia"/>
        <family val="1"/>
      </rPr>
      <t>TGS 35.430 HOOK LIFT TRUCK</t>
    </r>
  </si>
  <si>
    <r>
      <rPr>
        <sz val="11"/>
        <rFont val="Georgia"/>
        <family val="1"/>
      </rPr>
      <t>430 HP</t>
    </r>
  </si>
  <si>
    <r>
      <rPr>
        <sz val="11"/>
        <rFont val="Georgia"/>
        <family val="1"/>
      </rPr>
      <t>TGS 35.440 DUMP TRUCK</t>
    </r>
  </si>
  <si>
    <r>
      <rPr>
        <sz val="11"/>
        <rFont val="Georgia"/>
        <family val="1"/>
      </rPr>
      <t>TGS 41.400 BB CHASSIS TRUCK</t>
    </r>
  </si>
  <si>
    <r>
      <rPr>
        <sz val="11"/>
        <rFont val="Georgia"/>
        <family val="1"/>
      </rPr>
      <t>519 HP</t>
    </r>
  </si>
  <si>
    <r>
      <rPr>
        <sz val="11"/>
        <rFont val="Georgia"/>
        <family val="1"/>
      </rPr>
      <t>TGS 41.440</t>
    </r>
  </si>
  <si>
    <r>
      <rPr>
        <sz val="11"/>
        <rFont val="Georgia"/>
        <family val="1"/>
      </rPr>
      <t>440 HP</t>
    </r>
  </si>
  <si>
    <r>
      <rPr>
        <sz val="11"/>
        <rFont val="Georgia"/>
        <family val="1"/>
      </rPr>
      <t>TGS 41.440 DUMP TRUCK</t>
    </r>
  </si>
  <si>
    <r>
      <rPr>
        <sz val="11"/>
        <rFont val="Georgia"/>
        <family val="1"/>
      </rPr>
      <t>480 HP</t>
    </r>
  </si>
  <si>
    <r>
      <rPr>
        <sz val="11"/>
        <rFont val="Georgia"/>
        <family val="1"/>
      </rPr>
      <t>TGS 41.480 480HP DUMP TRUCK</t>
    </r>
  </si>
  <si>
    <r>
      <rPr>
        <sz val="11"/>
        <rFont val="Georgia"/>
        <family val="1"/>
      </rPr>
      <t>8X6</t>
    </r>
  </si>
  <si>
    <r>
      <rPr>
        <sz val="11"/>
        <rFont val="Georgia"/>
        <family val="1"/>
      </rPr>
      <t>TGS 41.480 DUMP TRUCK</t>
    </r>
  </si>
  <si>
    <r>
      <rPr>
        <sz val="11"/>
        <rFont val="Georgia"/>
        <family val="1"/>
      </rPr>
      <t>TGS 41.520 DUMP TRUCK</t>
    </r>
  </si>
  <si>
    <r>
      <rPr>
        <sz val="11"/>
        <rFont val="Georgia"/>
        <family val="1"/>
      </rPr>
      <t>520 HP</t>
    </r>
  </si>
  <si>
    <r>
      <rPr>
        <sz val="11"/>
        <rFont val="Georgia"/>
        <family val="1"/>
      </rPr>
      <t>TGS 44.400 DUMP TUCK</t>
    </r>
  </si>
  <si>
    <r>
      <rPr>
        <sz val="11"/>
        <rFont val="Georgia"/>
        <family val="1"/>
      </rPr>
      <t>400 HP</t>
    </r>
  </si>
  <si>
    <r>
      <rPr>
        <sz val="11"/>
        <rFont val="Georgia"/>
        <family val="1"/>
      </rPr>
      <t>TGS 50.480 BB 10X4, 2X VORHANDEN</t>
    </r>
  </si>
  <si>
    <r>
      <rPr>
        <sz val="11"/>
        <rFont val="Georgia"/>
        <family val="1"/>
      </rPr>
      <t>TGS DUMP TRUCK</t>
    </r>
  </si>
  <si>
    <r>
      <rPr>
        <sz val="11"/>
        <rFont val="Georgia"/>
        <family val="1"/>
      </rPr>
      <t>TGX 26.480</t>
    </r>
  </si>
  <si>
    <r>
      <rPr>
        <sz val="11"/>
        <rFont val="Georgia"/>
        <family val="1"/>
      </rPr>
      <t>TGX 26.510 FLATBED TUCK</t>
    </r>
  </si>
  <si>
    <r>
      <rPr>
        <sz val="11"/>
        <rFont val="Georgia"/>
        <family val="1"/>
      </rPr>
      <t>TGX 26.520 FLATBED TRUCK</t>
    </r>
  </si>
  <si>
    <r>
      <rPr>
        <sz val="11"/>
        <rFont val="Georgia"/>
        <family val="1"/>
      </rPr>
      <t>TGX XXL 480 CV</t>
    </r>
  </si>
  <si>
    <r>
      <rPr>
        <sz val="11"/>
        <rFont val="Georgia"/>
        <family val="1"/>
      </rPr>
      <t>ZABUDOWA AUTO KLAPA HYDRAULICZ DMC 26</t>
    </r>
  </si>
  <si>
    <r>
      <rPr>
        <sz val="11"/>
        <rFont val="Georgia"/>
        <family val="1"/>
      </rPr>
      <t>MARUTI SUZUKI</t>
    </r>
  </si>
  <si>
    <r>
      <rPr>
        <sz val="11"/>
        <rFont val="Georgia"/>
        <family val="1"/>
      </rPr>
      <t>APV (BASE)</t>
    </r>
  </si>
  <si>
    <r>
      <rPr>
        <sz val="11"/>
        <rFont val="Georgia"/>
        <family val="1"/>
      </rPr>
      <t>BALENO GL</t>
    </r>
  </si>
  <si>
    <r>
      <rPr>
        <sz val="11"/>
        <rFont val="Georgia"/>
        <family val="1"/>
      </rPr>
      <t>BALENO GL (QLD)</t>
    </r>
  </si>
  <si>
    <r>
      <rPr>
        <sz val="11"/>
        <rFont val="Georgia"/>
        <family val="1"/>
      </rPr>
      <t>BALENO GL SHADOW</t>
    </r>
  </si>
  <si>
    <r>
      <rPr>
        <sz val="11"/>
        <rFont val="Georgia"/>
        <family val="1"/>
      </rPr>
      <t>BALENO GLX</t>
    </r>
  </si>
  <si>
    <r>
      <rPr>
        <sz val="11"/>
        <rFont val="Georgia"/>
        <family val="1"/>
      </rPr>
      <t>BALENO GLX (QLD)</t>
    </r>
  </si>
  <si>
    <r>
      <rPr>
        <sz val="11"/>
        <rFont val="Georgia"/>
        <family val="1"/>
      </rPr>
      <t>BALENO GLX TURBO</t>
    </r>
  </si>
  <si>
    <r>
      <rPr>
        <sz val="11"/>
        <rFont val="Georgia"/>
        <family val="1"/>
      </rPr>
      <t>CELERIO (BASE)</t>
    </r>
  </si>
  <si>
    <r>
      <rPr>
        <sz val="11"/>
        <rFont val="Georgia"/>
        <family val="1"/>
      </rPr>
      <t>GRAND VITARA (4X4)</t>
    </r>
  </si>
  <si>
    <r>
      <rPr>
        <sz val="11"/>
        <rFont val="Georgia"/>
        <family val="1"/>
      </rPr>
      <t>GRAND VITARA ADVENTURE</t>
    </r>
  </si>
  <si>
    <r>
      <rPr>
        <sz val="11"/>
        <rFont val="Georgia"/>
        <family val="1"/>
      </rPr>
      <t>GRAND VITARA NAVIGATOR (4X2)</t>
    </r>
  </si>
  <si>
    <r>
      <rPr>
        <sz val="11"/>
        <rFont val="Georgia"/>
        <family val="1"/>
      </rPr>
      <t>GRAND VITARA NAVIGATOR (4X4)</t>
    </r>
  </si>
  <si>
    <r>
      <rPr>
        <sz val="11"/>
        <rFont val="Georgia"/>
        <family val="1"/>
      </rPr>
      <t>GRAND VITARA PRESTIGE (4X4)</t>
    </r>
  </si>
  <si>
    <r>
      <rPr>
        <sz val="11"/>
        <rFont val="Georgia"/>
        <family val="1"/>
      </rPr>
      <t>GRAND VITARA SPORTS (4X4)</t>
    </r>
  </si>
  <si>
    <r>
      <rPr>
        <sz val="11"/>
        <rFont val="Georgia"/>
        <family val="1"/>
      </rPr>
      <t>GRAND VITARA URBAN (4X4)</t>
    </r>
  </si>
  <si>
    <r>
      <rPr>
        <sz val="11"/>
        <rFont val="Georgia"/>
        <family val="1"/>
      </rPr>
      <t>GRAND VITARA URBAN SE (4X2)</t>
    </r>
  </si>
  <si>
    <r>
      <rPr>
        <sz val="11"/>
        <rFont val="Georgia"/>
        <family val="1"/>
      </rPr>
      <t>IGNIS GL</t>
    </r>
  </si>
  <si>
    <r>
      <rPr>
        <sz val="11"/>
        <rFont val="Georgia"/>
        <family val="1"/>
      </rPr>
      <t>IGNIS GL (QLD)</t>
    </r>
  </si>
  <si>
    <r>
      <rPr>
        <sz val="11"/>
        <rFont val="Georgia"/>
        <family val="1"/>
      </rPr>
      <t>IGNIS GLX</t>
    </r>
  </si>
  <si>
    <r>
      <rPr>
        <sz val="11"/>
        <rFont val="Georgia"/>
        <family val="1"/>
      </rPr>
      <t>IGNIS GLX (QLD)</t>
    </r>
  </si>
  <si>
    <r>
      <rPr>
        <sz val="11"/>
        <rFont val="Georgia"/>
        <family val="1"/>
      </rPr>
      <t>IGNIS GLX SHADOW</t>
    </r>
  </si>
  <si>
    <r>
      <rPr>
        <sz val="11"/>
        <rFont val="Georgia"/>
        <family val="1"/>
      </rPr>
      <t>JIMNY GL LITE (QLD)</t>
    </r>
  </si>
  <si>
    <r>
      <rPr>
        <sz val="11"/>
        <rFont val="Georgia"/>
        <family val="1"/>
      </rPr>
      <t>JIMNY GLX</t>
    </r>
  </si>
  <si>
    <r>
      <rPr>
        <sz val="11"/>
        <rFont val="Georgia"/>
        <family val="1"/>
      </rPr>
      <t>JIMNY GLX (QLD)</t>
    </r>
  </si>
  <si>
    <r>
      <rPr>
        <sz val="11"/>
        <rFont val="Georgia"/>
        <family val="1"/>
      </rPr>
      <t>JIMNY LITE</t>
    </r>
  </si>
  <si>
    <r>
      <rPr>
        <sz val="11"/>
        <rFont val="Georgia"/>
        <family val="1"/>
      </rPr>
      <t>JIMNY XL</t>
    </r>
  </si>
  <si>
    <r>
      <rPr>
        <sz val="11"/>
        <rFont val="Georgia"/>
        <family val="1"/>
      </rPr>
      <t>JIMNY XL HERITAGE EDITION</t>
    </r>
  </si>
  <si>
    <r>
      <rPr>
        <sz val="11"/>
        <rFont val="Georgia"/>
        <family val="1"/>
      </rPr>
      <t>S-CROSS 2WD</t>
    </r>
  </si>
  <si>
    <r>
      <rPr>
        <sz val="11"/>
        <rFont val="Georgia"/>
        <family val="1"/>
      </rPr>
      <t>S-CROSS ALLGRIP</t>
    </r>
  </si>
  <si>
    <r>
      <rPr>
        <sz val="11"/>
        <rFont val="Georgia"/>
        <family val="1"/>
      </rPr>
      <t>S-CROSS ALLGRIP PRESTIGE</t>
    </r>
  </si>
  <si>
    <r>
      <rPr>
        <sz val="11"/>
        <rFont val="Georgia"/>
        <family val="1"/>
      </rPr>
      <t>S-CROSS GLP 2WD (QLD)</t>
    </r>
  </si>
  <si>
    <r>
      <rPr>
        <sz val="11"/>
        <rFont val="Georgia"/>
        <family val="1"/>
      </rPr>
      <t>S-CROSS GLX 2WD (QLD)</t>
    </r>
  </si>
  <si>
    <r>
      <rPr>
        <sz val="11"/>
        <rFont val="Georgia"/>
        <family val="1"/>
      </rPr>
      <t>S-CROSS PLUS 2WD</t>
    </r>
  </si>
  <si>
    <r>
      <rPr>
        <sz val="11"/>
        <rFont val="Georgia"/>
        <family val="1"/>
      </rPr>
      <t>S-CROSS TURBO GL+ (QLD)</t>
    </r>
  </si>
  <si>
    <r>
      <rPr>
        <sz val="11"/>
        <rFont val="Georgia"/>
        <family val="1"/>
      </rPr>
      <t>S-CROSS TURBO GLX (QLD)</t>
    </r>
  </si>
  <si>
    <r>
      <rPr>
        <sz val="11"/>
        <rFont val="Georgia"/>
        <family val="1"/>
      </rPr>
      <t>S-CROSS TURBO GLXS (QLD)</t>
    </r>
  </si>
  <si>
    <r>
      <rPr>
        <sz val="11"/>
        <rFont val="Georgia"/>
        <family val="1"/>
      </rPr>
      <t>SWIFT GL (QLD)</t>
    </r>
  </si>
  <si>
    <r>
      <rPr>
        <sz val="11"/>
        <rFont val="Georgia"/>
        <family val="1"/>
      </rPr>
      <t>SWIFT GL NAVI</t>
    </r>
  </si>
  <si>
    <r>
      <rPr>
        <sz val="11"/>
        <rFont val="Georgia"/>
        <family val="1"/>
      </rPr>
      <t>SWIFT GL NAVI (QLD)</t>
    </r>
  </si>
  <si>
    <r>
      <rPr>
        <sz val="11"/>
        <rFont val="Georgia"/>
        <family val="1"/>
      </rPr>
      <t>SWIFT GL NAVI PLUS</t>
    </r>
  </si>
  <si>
    <r>
      <rPr>
        <sz val="11"/>
        <rFont val="Georgia"/>
        <family val="1"/>
      </rPr>
      <t>SWIFT GL PLUS (QLD)</t>
    </r>
  </si>
  <si>
    <r>
      <rPr>
        <sz val="11"/>
        <rFont val="Georgia"/>
        <family val="1"/>
      </rPr>
      <t>SWIFT GL PLUS SPECIAL EDITION (QLD)</t>
    </r>
  </si>
  <si>
    <r>
      <rPr>
        <sz val="11"/>
        <rFont val="Georgia"/>
        <family val="1"/>
      </rPr>
      <t>SWIFT GL S</t>
    </r>
  </si>
  <si>
    <r>
      <rPr>
        <sz val="11"/>
        <rFont val="Georgia"/>
        <family val="1"/>
      </rPr>
      <t>SWIFT GL S PLUS</t>
    </r>
  </si>
  <si>
    <r>
      <rPr>
        <sz val="11"/>
        <rFont val="Georgia"/>
        <family val="1"/>
      </rPr>
      <t>SWIFT GL SHADOW</t>
    </r>
  </si>
  <si>
    <r>
      <rPr>
        <sz val="11"/>
        <rFont val="Georgia"/>
        <family val="1"/>
      </rPr>
      <t>SWIFT GL SPECIAL EDITION (QLD)</t>
    </r>
  </si>
  <si>
    <r>
      <rPr>
        <sz val="11"/>
        <rFont val="Georgia"/>
        <family val="1"/>
      </rPr>
      <t>SWIFT GLX (QLD)</t>
    </r>
  </si>
  <si>
    <r>
      <rPr>
        <sz val="11"/>
        <rFont val="Georgia"/>
        <family val="1"/>
      </rPr>
      <t>SWIFT GLX SHADOW</t>
    </r>
  </si>
  <si>
    <r>
      <rPr>
        <sz val="11"/>
        <rFont val="Georgia"/>
        <family val="1"/>
      </rPr>
      <t>SWIFT GLX TURBO</t>
    </r>
  </si>
  <si>
    <r>
      <rPr>
        <sz val="11"/>
        <rFont val="Georgia"/>
        <family val="1"/>
      </rPr>
      <t>SWIFT HYBRID</t>
    </r>
  </si>
  <si>
    <r>
      <rPr>
        <sz val="11"/>
        <rFont val="Georgia"/>
        <family val="1"/>
      </rPr>
      <t>SWIFT HYBRID GLX</t>
    </r>
  </si>
  <si>
    <r>
      <rPr>
        <sz val="11"/>
        <rFont val="Georgia"/>
        <family val="1"/>
      </rPr>
      <t>SWIFT HYBRID PLUS</t>
    </r>
  </si>
  <si>
    <r>
      <rPr>
        <sz val="11"/>
        <rFont val="Georgia"/>
        <family val="1"/>
      </rPr>
      <t>SWIFT SPORT TURBO</t>
    </r>
  </si>
  <si>
    <r>
      <rPr>
        <sz val="11"/>
        <rFont val="Georgia"/>
        <family val="1"/>
      </rPr>
      <t>SWIFT SPORT TURBO (QLD)</t>
    </r>
  </si>
  <si>
    <r>
      <rPr>
        <sz val="11"/>
        <rFont val="Georgia"/>
        <family val="1"/>
      </rPr>
      <t>VITARA 1.6L</t>
    </r>
  </si>
  <si>
    <r>
      <rPr>
        <sz val="11"/>
        <rFont val="Georgia"/>
        <family val="1"/>
      </rPr>
      <t>VITARA BEAT</t>
    </r>
  </si>
  <si>
    <r>
      <rPr>
        <sz val="11"/>
        <rFont val="Georgia"/>
        <family val="1"/>
      </rPr>
      <t>VITARA GL+ (QLD)</t>
    </r>
  </si>
  <si>
    <r>
      <rPr>
        <sz val="11"/>
        <rFont val="Georgia"/>
        <family val="1"/>
      </rPr>
      <t>VITARA SHADOW</t>
    </r>
  </si>
  <si>
    <r>
      <rPr>
        <sz val="11"/>
        <rFont val="Georgia"/>
        <family val="1"/>
      </rPr>
      <t>VITARA S-TURBO (2WD) (QLD)</t>
    </r>
  </si>
  <si>
    <r>
      <rPr>
        <sz val="11"/>
        <rFont val="Georgia"/>
        <family val="1"/>
      </rPr>
      <t>VITARA S-TURBO SUNROOF (4WD) (QLD)</t>
    </r>
  </si>
  <si>
    <r>
      <rPr>
        <sz val="11"/>
        <rFont val="Georgia"/>
        <family val="1"/>
      </rPr>
      <t>VITARA TURBO</t>
    </r>
  </si>
  <si>
    <r>
      <rPr>
        <sz val="11"/>
        <rFont val="Georgia"/>
        <family val="1"/>
      </rPr>
      <t>VITARA TURBO ALLGRIP</t>
    </r>
  </si>
  <si>
    <r>
      <rPr>
        <sz val="11"/>
        <rFont val="Georgia"/>
        <family val="1"/>
      </rPr>
      <t>VITARA TURBO BEAT</t>
    </r>
  </si>
  <si>
    <r>
      <rPr>
        <sz val="11"/>
        <rFont val="Georgia"/>
        <family val="1"/>
      </rPr>
      <t>VITARA TURBO SHADOW</t>
    </r>
  </si>
  <si>
    <r>
      <rPr>
        <sz val="11"/>
        <rFont val="Georgia"/>
        <family val="1"/>
      </rPr>
      <t>MAZDA</t>
    </r>
  </si>
  <si>
    <r>
      <rPr>
        <sz val="11"/>
        <rFont val="Georgia"/>
        <family val="1"/>
      </rPr>
      <t>TOURING STYLE HYBRID XT</t>
    </r>
  </si>
  <si>
    <r>
      <rPr>
        <sz val="11"/>
        <rFont val="Georgia"/>
        <family val="1"/>
      </rPr>
      <t>4AA-MM53S</t>
    </r>
  </si>
  <si>
    <r>
      <rPr>
        <sz val="11"/>
        <rFont val="Georgia"/>
        <family val="1"/>
      </rPr>
      <t>ATENZA SEDAN 25S L PACKAGE</t>
    </r>
  </si>
  <si>
    <r>
      <rPr>
        <sz val="11"/>
        <rFont val="Georgia"/>
        <family val="1"/>
      </rPr>
      <t>6BA-GJ5FP</t>
    </r>
  </si>
  <si>
    <r>
      <rPr>
        <sz val="11"/>
        <rFont val="Georgia"/>
        <family val="1"/>
      </rPr>
      <t>ATENZA WAGON XD L PACKAGE</t>
    </r>
  </si>
  <si>
    <r>
      <rPr>
        <sz val="11"/>
        <rFont val="Georgia"/>
        <family val="1"/>
      </rPr>
      <t>3DA-GJ2AW</t>
    </r>
  </si>
  <si>
    <r>
      <rPr>
        <sz val="11"/>
        <rFont val="Georgia"/>
        <family val="1"/>
      </rPr>
      <t>AW</t>
    </r>
  </si>
  <si>
    <r>
      <rPr>
        <sz val="11"/>
        <rFont val="Georgia"/>
        <family val="1"/>
      </rPr>
      <t>ATENZA ZD L PACKAGE</t>
    </r>
  </si>
  <si>
    <r>
      <rPr>
        <sz val="11"/>
        <rFont val="Georgia"/>
        <family val="1"/>
      </rPr>
      <t>LDA-GJ2FP</t>
    </r>
  </si>
  <si>
    <r>
      <rPr>
        <sz val="11"/>
        <rFont val="Georgia"/>
        <family val="1"/>
      </rPr>
      <t>AXELA 15S PROACTIVE</t>
    </r>
  </si>
  <si>
    <r>
      <rPr>
        <sz val="11"/>
        <rFont val="Georgia"/>
        <family val="1"/>
      </rPr>
      <t>DBA-BM5FP</t>
    </r>
  </si>
  <si>
    <r>
      <rPr>
        <sz val="11"/>
        <rFont val="Georgia"/>
        <family val="1"/>
      </rPr>
      <t>AXELA HYBRID-S L PACKAGE</t>
    </r>
  </si>
  <si>
    <r>
      <rPr>
        <sz val="11"/>
        <rFont val="Georgia"/>
        <family val="1"/>
      </rPr>
      <t>DAA-BYEEP</t>
    </r>
  </si>
  <si>
    <r>
      <rPr>
        <sz val="11"/>
        <rFont val="Georgia"/>
        <family val="1"/>
      </rPr>
      <t>AXELA SPORT 15XD L PACKAGE</t>
    </r>
  </si>
  <si>
    <r>
      <rPr>
        <sz val="11"/>
        <rFont val="Georgia"/>
        <family val="1"/>
      </rPr>
      <t>LDA-BMLFS</t>
    </r>
  </si>
  <si>
    <r>
      <rPr>
        <sz val="11"/>
        <rFont val="Georgia"/>
        <family val="1"/>
      </rPr>
      <t>AXELA SPORT 22XD L PACKAGE</t>
    </r>
  </si>
  <si>
    <r>
      <rPr>
        <sz val="11"/>
        <rFont val="Georgia"/>
        <family val="1"/>
      </rPr>
      <t>LDA-BM2FS</t>
    </r>
  </si>
  <si>
    <r>
      <rPr>
        <sz val="11"/>
        <rFont val="Georgia"/>
        <family val="1"/>
      </rPr>
      <t>BONGO BRAWNY GL</t>
    </r>
  </si>
  <si>
    <r>
      <rPr>
        <sz val="11"/>
        <rFont val="Georgia"/>
        <family val="1"/>
      </rPr>
      <t>3BF-TRH200M</t>
    </r>
  </si>
  <si>
    <r>
      <rPr>
        <sz val="11"/>
        <rFont val="Georgia"/>
        <family val="1"/>
      </rPr>
      <t>BONGO BRAWNY VAN GL</t>
    </r>
  </si>
  <si>
    <r>
      <rPr>
        <sz val="11"/>
        <rFont val="Georgia"/>
        <family val="1"/>
      </rPr>
      <t>CBF-TRH200M</t>
    </r>
  </si>
  <si>
    <r>
      <rPr>
        <sz val="11"/>
        <rFont val="Georgia"/>
        <family val="1"/>
      </rPr>
      <t>BONGO TRUCK DX</t>
    </r>
  </si>
  <si>
    <r>
      <rPr>
        <sz val="11"/>
        <rFont val="Georgia"/>
        <family val="1"/>
      </rPr>
      <t>5BF-S413F</t>
    </r>
  </si>
  <si>
    <r>
      <rPr>
        <sz val="11"/>
        <rFont val="Georgia"/>
        <family val="1"/>
      </rPr>
      <t>BONGO TRUCK GL</t>
    </r>
  </si>
  <si>
    <r>
      <rPr>
        <sz val="11"/>
        <rFont val="Georgia"/>
        <family val="1"/>
      </rPr>
      <t>DBF-SLP2T</t>
    </r>
  </si>
  <si>
    <r>
      <rPr>
        <sz val="11"/>
        <rFont val="Georgia"/>
        <family val="1"/>
      </rPr>
      <t>BONGO VAN BUSTER</t>
    </r>
  </si>
  <si>
    <r>
      <rPr>
        <sz val="11"/>
        <rFont val="Georgia"/>
        <family val="1"/>
      </rPr>
      <t>HBD-DG17V</t>
    </r>
  </si>
  <si>
    <r>
      <rPr>
        <sz val="11"/>
        <rFont val="Georgia"/>
        <family val="1"/>
      </rPr>
      <t>5AMT</t>
    </r>
  </si>
  <si>
    <r>
      <rPr>
        <sz val="11"/>
        <rFont val="Georgia"/>
        <family val="1"/>
      </rPr>
      <t>BONGO VAN DX</t>
    </r>
  </si>
  <si>
    <r>
      <rPr>
        <sz val="11"/>
        <rFont val="Georgia"/>
        <family val="1"/>
      </rPr>
      <t>5BF-S413Z</t>
    </r>
  </si>
  <si>
    <r>
      <rPr>
        <sz val="11"/>
        <rFont val="Georgia"/>
        <family val="1"/>
      </rPr>
      <t>2WD/AWD</t>
    </r>
  </si>
  <si>
    <r>
      <rPr>
        <sz val="11"/>
        <rFont val="Georgia"/>
        <family val="1"/>
      </rPr>
      <t>5GF-S413Z</t>
    </r>
  </si>
  <si>
    <r>
      <rPr>
        <sz val="11"/>
        <rFont val="Georgia"/>
        <family val="1"/>
      </rPr>
      <t>BONGO VAN GL</t>
    </r>
  </si>
  <si>
    <r>
      <rPr>
        <sz val="11"/>
        <rFont val="Georgia"/>
        <family val="1"/>
      </rPr>
      <t>DBF-SLP2V</t>
    </r>
  </si>
  <si>
    <r>
      <rPr>
        <sz val="11"/>
        <rFont val="Georgia"/>
        <family val="1"/>
      </rPr>
      <t>CAROL GS</t>
    </r>
  </si>
  <si>
    <r>
      <rPr>
        <sz val="11"/>
        <rFont val="Georgia"/>
        <family val="1"/>
      </rPr>
      <t>DBA-HB36S</t>
    </r>
  </si>
  <si>
    <r>
      <rPr>
        <sz val="11"/>
        <rFont val="Georgia"/>
        <family val="1"/>
      </rPr>
      <t>5BA-DKLFW</t>
    </r>
  </si>
  <si>
    <r>
      <rPr>
        <sz val="11"/>
        <rFont val="Georgia"/>
        <family val="1"/>
      </rPr>
      <t>DBA-DBHB36S</t>
    </r>
  </si>
  <si>
    <r>
      <rPr>
        <sz val="11"/>
        <rFont val="Georgia"/>
        <family val="1"/>
      </rPr>
      <t>CAROL HYBRID GS</t>
    </r>
  </si>
  <si>
    <r>
      <rPr>
        <sz val="11"/>
        <rFont val="Georgia"/>
        <family val="1"/>
      </rPr>
      <t>5AA-HB97S</t>
    </r>
  </si>
  <si>
    <r>
      <rPr>
        <sz val="11"/>
        <rFont val="Georgia"/>
        <family val="1"/>
      </rPr>
      <t>CX-3 15S</t>
    </r>
  </si>
  <si>
    <r>
      <rPr>
        <sz val="11"/>
        <rFont val="Georgia"/>
        <family val="1"/>
      </rPr>
      <t>CX-3 15S TOURING</t>
    </r>
  </si>
  <si>
    <r>
      <rPr>
        <sz val="11"/>
        <rFont val="Georgia"/>
        <family val="1"/>
      </rPr>
      <t>CX-3 15S URBAN DRESSER</t>
    </r>
  </si>
  <si>
    <r>
      <rPr>
        <sz val="11"/>
        <rFont val="Georgia"/>
        <family val="1"/>
      </rPr>
      <t>5BA-DKLFY</t>
    </r>
  </si>
  <si>
    <r>
      <rPr>
        <sz val="11"/>
        <rFont val="Georgia"/>
        <family val="1"/>
      </rPr>
      <t>CX-3 20S</t>
    </r>
  </si>
  <si>
    <r>
      <rPr>
        <sz val="11"/>
        <rFont val="Georgia"/>
        <family val="1"/>
      </rPr>
      <t>6BA-DKEFW</t>
    </r>
  </si>
  <si>
    <r>
      <rPr>
        <sz val="11"/>
        <rFont val="Georgia"/>
        <family val="1"/>
      </rPr>
      <t>CX-3 20S Proactive</t>
    </r>
  </si>
  <si>
    <r>
      <rPr>
        <sz val="11"/>
        <rFont val="Georgia"/>
        <family val="1"/>
      </rPr>
      <t>CX-3 XD L Package</t>
    </r>
  </si>
  <si>
    <r>
      <rPr>
        <sz val="11"/>
        <rFont val="Georgia"/>
        <family val="1"/>
      </rPr>
      <t>LDA-DKEFW</t>
    </r>
  </si>
  <si>
    <r>
      <rPr>
        <sz val="11"/>
        <rFont val="Georgia"/>
        <family val="1"/>
      </rPr>
      <t>CX-3 XD PROACTIVE SPACKAGE</t>
    </r>
  </si>
  <si>
    <r>
      <rPr>
        <sz val="11"/>
        <rFont val="Georgia"/>
        <family val="1"/>
      </rPr>
      <t>3DA-DK8FW</t>
    </r>
  </si>
  <si>
    <r>
      <rPr>
        <sz val="11"/>
        <rFont val="Georgia"/>
        <family val="1"/>
      </rPr>
      <t>CX-3 XD TOURING</t>
    </r>
  </si>
  <si>
    <r>
      <rPr>
        <sz val="11"/>
        <rFont val="Georgia"/>
        <family val="1"/>
      </rPr>
      <t>3DA-DK8FY</t>
    </r>
  </si>
  <si>
    <r>
      <rPr>
        <sz val="11"/>
        <rFont val="Georgia"/>
        <family val="1"/>
      </rPr>
      <t>CX-3 XD TOUTING</t>
    </r>
  </si>
  <si>
    <r>
      <rPr>
        <sz val="11"/>
        <rFont val="Georgia"/>
        <family val="1"/>
      </rPr>
      <t>CX-3 XD VIVID MONOTONE</t>
    </r>
  </si>
  <si>
    <r>
      <rPr>
        <sz val="11"/>
        <rFont val="Georgia"/>
        <family val="1"/>
      </rPr>
      <t>CX-30 20S</t>
    </r>
  </si>
  <si>
    <r>
      <rPr>
        <sz val="11"/>
        <rFont val="Georgia"/>
        <family val="1"/>
      </rPr>
      <t>5BA-DMEP</t>
    </r>
  </si>
  <si>
    <r>
      <rPr>
        <sz val="11"/>
        <rFont val="Georgia"/>
        <family val="1"/>
      </rPr>
      <t>CX-30 20S PROACTIVE TOURING SELECTION</t>
    </r>
  </si>
  <si>
    <r>
      <rPr>
        <sz val="11"/>
        <rFont val="Georgia"/>
        <family val="1"/>
      </rPr>
      <t>5AA-DMEJ3R</t>
    </r>
  </si>
  <si>
    <r>
      <rPr>
        <sz val="11"/>
        <rFont val="Georgia"/>
        <family val="1"/>
      </rPr>
      <t>CX-30 20S RETRO SPORTS EDITION</t>
    </r>
  </si>
  <si>
    <r>
      <rPr>
        <sz val="11"/>
        <rFont val="Georgia"/>
        <family val="1"/>
      </rPr>
      <t>CX-30 X L PACKAGE</t>
    </r>
  </si>
  <si>
    <r>
      <rPr>
        <sz val="11"/>
        <rFont val="Georgia"/>
        <family val="1"/>
      </rPr>
      <t>5AA-DMFP</t>
    </r>
  </si>
  <si>
    <r>
      <rPr>
        <sz val="11"/>
        <rFont val="Georgia"/>
        <family val="1"/>
      </rPr>
      <t>3AA-DMFP</t>
    </r>
  </si>
  <si>
    <r>
      <rPr>
        <sz val="11"/>
        <rFont val="Georgia"/>
        <family val="1"/>
      </rPr>
      <t>CX-30 XD PROACTIVE</t>
    </r>
  </si>
  <si>
    <r>
      <rPr>
        <sz val="11"/>
        <rFont val="Georgia"/>
        <family val="1"/>
      </rPr>
      <t>3DA-DM8R</t>
    </r>
  </si>
  <si>
    <r>
      <rPr>
        <sz val="11"/>
        <rFont val="Georgia"/>
        <family val="1"/>
      </rPr>
      <t>3DA-DM8P</t>
    </r>
  </si>
  <si>
    <r>
      <rPr>
        <sz val="11"/>
        <rFont val="Georgia"/>
        <family val="1"/>
      </rPr>
      <t>CX-30 XD TOURING</t>
    </r>
  </si>
  <si>
    <r>
      <rPr>
        <sz val="11"/>
        <rFont val="Georgia"/>
        <family val="1"/>
      </rPr>
      <t>CX-5 20S</t>
    </r>
  </si>
  <si>
    <r>
      <rPr>
        <sz val="11"/>
        <rFont val="Georgia"/>
        <family val="1"/>
      </rPr>
      <t>6BA-KFEP</t>
    </r>
  </si>
  <si>
    <r>
      <rPr>
        <sz val="11"/>
        <rFont val="Georgia"/>
        <family val="1"/>
      </rPr>
      <t>CX-5 20S BLACK TONE EDITION</t>
    </r>
  </si>
  <si>
    <r>
      <rPr>
        <sz val="11"/>
        <rFont val="Georgia"/>
        <family val="1"/>
      </rPr>
      <t>Cx-5 20S PROACTIVE</t>
    </r>
  </si>
  <si>
    <r>
      <rPr>
        <sz val="11"/>
        <rFont val="Georgia"/>
        <family val="1"/>
      </rPr>
      <t>DBA-KFEP</t>
    </r>
  </si>
  <si>
    <r>
      <rPr>
        <sz val="11"/>
        <rFont val="Georgia"/>
        <family val="1"/>
      </rPr>
      <t>CX-5 20S PROACTIVE</t>
    </r>
  </si>
  <si>
    <r>
      <rPr>
        <sz val="11"/>
        <rFont val="Georgia"/>
        <family val="1"/>
      </rPr>
      <t>5BA-KFEP</t>
    </r>
  </si>
  <si>
    <r>
      <rPr>
        <sz val="11"/>
        <rFont val="Georgia"/>
        <family val="1"/>
      </rPr>
      <t>CX-5 25S</t>
    </r>
  </si>
  <si>
    <r>
      <rPr>
        <sz val="11"/>
        <rFont val="Georgia"/>
        <family val="1"/>
      </rPr>
      <t>6BA-KF5P</t>
    </r>
  </si>
  <si>
    <r>
      <rPr>
        <sz val="11"/>
        <rFont val="Georgia"/>
        <family val="1"/>
      </rPr>
      <t>CX-5 25S  L PACKAGE</t>
    </r>
  </si>
  <si>
    <r>
      <rPr>
        <sz val="11"/>
        <rFont val="Georgia"/>
        <family val="1"/>
      </rPr>
      <t>CX-5 25S L PACKAGE</t>
    </r>
  </si>
  <si>
    <r>
      <rPr>
        <sz val="11"/>
        <rFont val="Georgia"/>
        <family val="1"/>
      </rPr>
      <t>CX-5 25S SPORTS APPEARANCE</t>
    </r>
  </si>
  <si>
    <r>
      <rPr>
        <sz val="11"/>
        <rFont val="Georgia"/>
        <family val="1"/>
      </rPr>
      <t>CX-5 25T L PACKAGE</t>
    </r>
  </si>
  <si>
    <r>
      <rPr>
        <sz val="11"/>
        <rFont val="Georgia"/>
        <family val="1"/>
      </rPr>
      <t>5BA-KF5P</t>
    </r>
  </si>
  <si>
    <r>
      <rPr>
        <sz val="11"/>
        <rFont val="Georgia"/>
        <family val="1"/>
      </rPr>
      <t>CX-5 XD</t>
    </r>
  </si>
  <si>
    <r>
      <rPr>
        <sz val="11"/>
        <rFont val="Georgia"/>
        <family val="1"/>
      </rPr>
      <t>3DA-KF2P</t>
    </r>
  </si>
  <si>
    <r>
      <rPr>
        <sz val="11"/>
        <rFont val="Georgia"/>
        <family val="1"/>
      </rPr>
      <t>CX-5 XD CX-5 XD L PACKAGE</t>
    </r>
  </si>
  <si>
    <r>
      <rPr>
        <sz val="11"/>
        <rFont val="Georgia"/>
        <family val="1"/>
      </rPr>
      <t>CX-5 XD EXCLUSIVE MODE</t>
    </r>
  </si>
  <si>
    <r>
      <rPr>
        <sz val="11"/>
        <rFont val="Georgia"/>
        <family val="1"/>
      </rPr>
      <t>CX-5 XD L PACKAGE</t>
    </r>
  </si>
  <si>
    <r>
      <rPr>
        <sz val="11"/>
        <rFont val="Georgia"/>
        <family val="1"/>
      </rPr>
      <t>LDA-KF2P</t>
    </r>
  </si>
  <si>
    <r>
      <rPr>
        <sz val="11"/>
        <rFont val="Georgia"/>
        <family val="1"/>
      </rPr>
      <t>CX-5 XD Passenger Lift-up</t>
    </r>
  </si>
  <si>
    <r>
      <rPr>
        <sz val="11"/>
        <rFont val="Georgia"/>
        <family val="1"/>
      </rPr>
      <t>CX-6 XD L PACKAGE</t>
    </r>
  </si>
  <si>
    <r>
      <rPr>
        <sz val="11"/>
        <rFont val="Georgia"/>
        <family val="1"/>
      </rPr>
      <t>3DA-KG2P</t>
    </r>
  </si>
  <si>
    <r>
      <rPr>
        <sz val="11"/>
        <rFont val="Georgia"/>
        <family val="1"/>
      </rPr>
      <t>CX-60 25S EXCLUSIVE MODE</t>
    </r>
  </si>
  <si>
    <r>
      <rPr>
        <sz val="11"/>
        <rFont val="Georgia"/>
        <family val="1"/>
      </rPr>
      <t>5BA-KH5P</t>
    </r>
  </si>
  <si>
    <r>
      <rPr>
        <sz val="11"/>
        <rFont val="Georgia"/>
        <family val="1"/>
      </rPr>
      <t>CX-60 PHEV MODERN</t>
    </r>
  </si>
  <si>
    <r>
      <rPr>
        <sz val="11"/>
        <rFont val="Georgia"/>
        <family val="1"/>
      </rPr>
      <t>5LA-KH5S3P</t>
    </r>
  </si>
  <si>
    <r>
      <rPr>
        <sz val="11"/>
        <rFont val="Georgia"/>
        <family val="1"/>
      </rPr>
      <t>CX-60 XD EXCLUSIVE MODE</t>
    </r>
  </si>
  <si>
    <r>
      <rPr>
        <sz val="11"/>
        <rFont val="Georgia"/>
        <family val="1"/>
      </rPr>
      <t>3DA-KH3P</t>
    </r>
  </si>
  <si>
    <r>
      <rPr>
        <sz val="11"/>
        <rFont val="Georgia"/>
        <family val="1"/>
      </rPr>
      <t>3BA-KH3P</t>
    </r>
  </si>
  <si>
    <r>
      <rPr>
        <sz val="11"/>
        <rFont val="Georgia"/>
        <family val="1"/>
      </rPr>
      <t>CX-60 XD HYBRID EXCLUSIVE MODERN</t>
    </r>
  </si>
  <si>
    <r>
      <rPr>
        <sz val="11"/>
        <rFont val="Georgia"/>
        <family val="1"/>
      </rPr>
      <t>3CA-KH3R3P</t>
    </r>
  </si>
  <si>
    <r>
      <rPr>
        <sz val="11"/>
        <rFont val="Georgia"/>
        <family val="1"/>
      </rPr>
      <t>CX-60 XD HYBRID PREMIUM MODE</t>
    </r>
  </si>
  <si>
    <r>
      <rPr>
        <sz val="11"/>
        <rFont val="Georgia"/>
        <family val="1"/>
      </rPr>
      <t>CX-60 XD HYBRID PREMIUM MODERN</t>
    </r>
  </si>
  <si>
    <r>
      <rPr>
        <sz val="11"/>
        <rFont val="Georgia"/>
        <family val="1"/>
      </rPr>
      <t>CX-60 XD HYRBID EXCLUSIVE MODE</t>
    </r>
  </si>
  <si>
    <r>
      <rPr>
        <sz val="11"/>
        <rFont val="Georgia"/>
        <family val="1"/>
      </rPr>
      <t>CX-60 XD PREMIUM SPORTS</t>
    </r>
  </si>
  <si>
    <r>
      <rPr>
        <sz val="11"/>
        <rFont val="Georgia"/>
        <family val="1"/>
      </rPr>
      <t>CX-8 25ST L PACKAGE</t>
    </r>
  </si>
  <si>
    <r>
      <rPr>
        <sz val="11"/>
        <rFont val="Georgia"/>
        <family val="1"/>
      </rPr>
      <t>5BA-KG5P</t>
    </r>
  </si>
  <si>
    <r>
      <rPr>
        <sz val="11"/>
        <rFont val="Georgia"/>
        <family val="1"/>
      </rPr>
      <t>CX-8 25T EXCLUSIVE MODE</t>
    </r>
  </si>
  <si>
    <r>
      <rPr>
        <sz val="11"/>
        <rFont val="Georgia"/>
        <family val="1"/>
      </rPr>
      <t>CX-8 25T L PACKAGE</t>
    </r>
  </si>
  <si>
    <r>
      <rPr>
        <sz val="11"/>
        <rFont val="Georgia"/>
        <family val="1"/>
      </rPr>
      <t>CX-8 XD EXCLUSIVE MODE</t>
    </r>
  </si>
  <si>
    <r>
      <rPr>
        <sz val="11"/>
        <rFont val="Georgia"/>
        <family val="1"/>
      </rPr>
      <t>CX-8 XD L PACKAGE</t>
    </r>
  </si>
  <si>
    <r>
      <rPr>
        <sz val="11"/>
        <rFont val="Georgia"/>
        <family val="1"/>
      </rPr>
      <t>CX-80 PHEV PREMIUM MODERN</t>
    </r>
  </si>
  <si>
    <r>
      <rPr>
        <sz val="11"/>
        <rFont val="Georgia"/>
        <family val="1"/>
      </rPr>
      <t>5KA-KH5S3P</t>
    </r>
  </si>
  <si>
    <r>
      <rPr>
        <sz val="11"/>
        <rFont val="Georgia"/>
        <family val="1"/>
      </rPr>
      <t>CX-80 PHEV PREMIUM SPORTS</t>
    </r>
  </si>
  <si>
    <r>
      <rPr>
        <sz val="11"/>
        <rFont val="Georgia"/>
        <family val="1"/>
      </rPr>
      <t>CX-80 XD EXECUTIVE</t>
    </r>
  </si>
  <si>
    <r>
      <rPr>
        <sz val="11"/>
        <rFont val="Georgia"/>
        <family val="1"/>
      </rPr>
      <t>3DA-KL3P</t>
    </r>
  </si>
  <si>
    <r>
      <rPr>
        <sz val="11"/>
        <rFont val="Georgia"/>
        <family val="1"/>
      </rPr>
      <t>CX-80 XD-HYBRID EXECUTIVE MODERN</t>
    </r>
  </si>
  <si>
    <r>
      <rPr>
        <sz val="11"/>
        <rFont val="Georgia"/>
        <family val="1"/>
      </rPr>
      <t>3CA-KL3R3P</t>
    </r>
  </si>
  <si>
    <r>
      <rPr>
        <sz val="11"/>
        <rFont val="Georgia"/>
        <family val="1"/>
      </rPr>
      <t>CX-3 XD L PACKAGE</t>
    </r>
  </si>
  <si>
    <r>
      <rPr>
        <sz val="11"/>
        <rFont val="Georgia"/>
        <family val="1"/>
      </rPr>
      <t>Demio 13S Passenger Swivel</t>
    </r>
  </si>
  <si>
    <r>
      <rPr>
        <sz val="11"/>
        <rFont val="Georgia"/>
        <family val="1"/>
      </rPr>
      <t>DBA-DJ3FS</t>
    </r>
  </si>
  <si>
    <r>
      <rPr>
        <sz val="11"/>
        <rFont val="Georgia"/>
        <family val="1"/>
      </rPr>
      <t>Demio 13S Touring L Package</t>
    </r>
  </si>
  <si>
    <r>
      <rPr>
        <sz val="11"/>
        <rFont val="Georgia"/>
        <family val="1"/>
      </rPr>
      <t>DEMIO 15S TOURING L PACKAGE</t>
    </r>
  </si>
  <si>
    <r>
      <rPr>
        <sz val="11"/>
        <rFont val="Georgia"/>
        <family val="1"/>
      </rPr>
      <t>6BA-DJFS</t>
    </r>
  </si>
  <si>
    <r>
      <rPr>
        <sz val="11"/>
        <rFont val="Georgia"/>
        <family val="1"/>
      </rPr>
      <t>DEMIO XD TOURING L PACKAGE</t>
    </r>
  </si>
  <si>
    <r>
      <rPr>
        <sz val="11"/>
        <rFont val="Georgia"/>
        <family val="1"/>
      </rPr>
      <t>LDA-DJ5FS</t>
    </r>
  </si>
  <si>
    <r>
      <rPr>
        <sz val="11"/>
        <rFont val="Georgia"/>
        <family val="1"/>
      </rPr>
      <t>FAMILIA VAN GX</t>
    </r>
  </si>
  <si>
    <r>
      <rPr>
        <sz val="11"/>
        <rFont val="Georgia"/>
        <family val="1"/>
      </rPr>
      <t>6AE-NHP160M</t>
    </r>
  </si>
  <si>
    <r>
      <rPr>
        <sz val="11"/>
        <rFont val="Georgia"/>
        <family val="1"/>
      </rPr>
      <t>DBE-NCP160M</t>
    </r>
  </si>
  <si>
    <r>
      <rPr>
        <sz val="11"/>
        <rFont val="Georgia"/>
        <family val="1"/>
      </rPr>
      <t>5BE-NCP160M</t>
    </r>
  </si>
  <si>
    <r>
      <rPr>
        <sz val="11"/>
        <rFont val="Georgia"/>
        <family val="1"/>
      </rPr>
      <t>FLAIR CROSSOVER HYBRID XT</t>
    </r>
  </si>
  <si>
    <r>
      <rPr>
        <sz val="11"/>
        <rFont val="Georgia"/>
        <family val="1"/>
      </rPr>
      <t>4AA-MS52S</t>
    </r>
  </si>
  <si>
    <r>
      <rPr>
        <sz val="11"/>
        <rFont val="Georgia"/>
        <family val="1"/>
      </rPr>
      <t>FLAIR CROSSOVER XT</t>
    </r>
  </si>
  <si>
    <r>
      <rPr>
        <sz val="11"/>
        <rFont val="Georgia"/>
        <family val="1"/>
      </rPr>
      <t>DAA-MS41S</t>
    </r>
  </si>
  <si>
    <r>
      <rPr>
        <sz val="11"/>
        <rFont val="Georgia"/>
        <family val="1"/>
      </rPr>
      <t>FLAIR CROSSOVER ZS</t>
    </r>
  </si>
  <si>
    <r>
      <rPr>
        <sz val="11"/>
        <rFont val="Georgia"/>
        <family val="1"/>
      </rPr>
      <t>5AA-MS92S</t>
    </r>
  </si>
  <si>
    <r>
      <rPr>
        <sz val="11"/>
        <rFont val="Georgia"/>
        <family val="1"/>
      </rPr>
      <t>Flair Custom Style XS</t>
    </r>
  </si>
  <si>
    <r>
      <rPr>
        <sz val="11"/>
        <rFont val="Georgia"/>
        <family val="1"/>
      </rPr>
      <t>DAA-MM42S</t>
    </r>
  </si>
  <si>
    <r>
      <rPr>
        <sz val="11"/>
        <rFont val="Georgia"/>
        <family val="1"/>
      </rPr>
      <t>FLAIR HYBRID XS</t>
    </r>
  </si>
  <si>
    <r>
      <rPr>
        <sz val="11"/>
        <rFont val="Georgia"/>
        <family val="1"/>
      </rPr>
      <t>5AA-MJ95S</t>
    </r>
  </si>
  <si>
    <r>
      <rPr>
        <sz val="11"/>
        <rFont val="Georgia"/>
        <family val="1"/>
      </rPr>
      <t>DAA-MJ55S</t>
    </r>
  </si>
  <si>
    <r>
      <rPr>
        <sz val="11"/>
        <rFont val="Georgia"/>
        <family val="1"/>
      </rPr>
      <t>FLAIR STYLE HYBRID XT</t>
    </r>
  </si>
  <si>
    <r>
      <rPr>
        <sz val="11"/>
        <rFont val="Georgia"/>
        <family val="1"/>
      </rPr>
      <t>FLAIR WAGON CUSTOM STYLE HYBRID XT</t>
    </r>
  </si>
  <si>
    <r>
      <rPr>
        <sz val="11"/>
        <rFont val="Georgia"/>
        <family val="1"/>
      </rPr>
      <t>DAA-MM53S</t>
    </r>
  </si>
  <si>
    <r>
      <rPr>
        <sz val="11"/>
        <rFont val="Georgia"/>
        <family val="1"/>
      </rPr>
      <t>FLAIR WAGON CUSTOM STYLE XT</t>
    </r>
  </si>
  <si>
    <r>
      <rPr>
        <sz val="11"/>
        <rFont val="Georgia"/>
        <family val="1"/>
      </rPr>
      <t>4AA-MM54S</t>
    </r>
  </si>
  <si>
    <r>
      <rPr>
        <sz val="11"/>
        <rFont val="Georgia"/>
        <family val="1"/>
      </rPr>
      <t>FLAIR WAGON GYBRID XG</t>
    </r>
  </si>
  <si>
    <r>
      <rPr>
        <sz val="11"/>
        <rFont val="Georgia"/>
        <family val="1"/>
      </rPr>
      <t>4AAMM53S</t>
    </r>
  </si>
  <si>
    <r>
      <rPr>
        <sz val="11"/>
        <rFont val="Georgia"/>
        <family val="1"/>
      </rPr>
      <t>FLAIR WAGON HYBRID XG</t>
    </r>
  </si>
  <si>
    <r>
      <rPr>
        <sz val="11"/>
        <rFont val="Georgia"/>
        <family val="1"/>
      </rPr>
      <t>5AA-MM53S</t>
    </r>
  </si>
  <si>
    <r>
      <rPr>
        <sz val="11"/>
        <rFont val="Georgia"/>
        <family val="1"/>
      </rPr>
      <t>FLAIR WAGON HYBRID XS</t>
    </r>
  </si>
  <si>
    <r>
      <rPr>
        <sz val="11"/>
        <rFont val="Georgia"/>
        <family val="1"/>
      </rPr>
      <t>FLAIR WAGON STYLE HYBRID XT</t>
    </r>
  </si>
  <si>
    <r>
      <rPr>
        <sz val="11"/>
        <rFont val="Georgia"/>
        <family val="1"/>
      </rPr>
      <t>FLAIR WAGON TOUGH  STYLE HYBRID XT</t>
    </r>
  </si>
  <si>
    <r>
      <rPr>
        <sz val="11"/>
        <rFont val="Georgia"/>
        <family val="1"/>
      </rPr>
      <t>FLAIR WAGON TOUGH STYLE HYBRID XT</t>
    </r>
  </si>
  <si>
    <r>
      <rPr>
        <sz val="11"/>
        <rFont val="Georgia"/>
        <family val="1"/>
      </rPr>
      <t>flair wagon XE</t>
    </r>
  </si>
  <si>
    <r>
      <rPr>
        <sz val="11"/>
        <rFont val="Georgia"/>
        <family val="1"/>
      </rPr>
      <t>DBA-MM32S</t>
    </r>
  </si>
  <si>
    <r>
      <rPr>
        <sz val="11"/>
        <rFont val="Georgia"/>
        <family val="1"/>
      </rPr>
      <t>FLAIR WAGON XG</t>
    </r>
  </si>
  <si>
    <r>
      <rPr>
        <sz val="11"/>
        <rFont val="Georgia"/>
        <family val="1"/>
      </rPr>
      <t>5AA-MM94S</t>
    </r>
  </si>
  <si>
    <r>
      <rPr>
        <sz val="11"/>
        <rFont val="Georgia"/>
        <family val="1"/>
      </rPr>
      <t>FLAIR WAGONCUSTOM STYLE HYBRID XT</t>
    </r>
  </si>
  <si>
    <r>
      <rPr>
        <sz val="11"/>
        <rFont val="Georgia"/>
        <family val="1"/>
      </rPr>
      <t>FLAIR WAGOON HYBRID XG</t>
    </r>
  </si>
  <si>
    <r>
      <rPr>
        <sz val="11"/>
        <rFont val="Georgia"/>
        <family val="1"/>
      </rPr>
      <t>1130(1045)</t>
    </r>
  </si>
  <si>
    <r>
      <rPr>
        <sz val="11"/>
        <rFont val="Georgia"/>
        <family val="1"/>
      </rPr>
      <t>4(3)</t>
    </r>
  </si>
  <si>
    <r>
      <rPr>
        <sz val="11"/>
        <rFont val="Georgia"/>
        <family val="1"/>
      </rPr>
      <t>Flair XS</t>
    </r>
  </si>
  <si>
    <r>
      <rPr>
        <sz val="11"/>
        <rFont val="Georgia"/>
        <family val="1"/>
      </rPr>
      <t>FLAIRCROSSOVER HYBRID XT</t>
    </r>
  </si>
  <si>
    <r>
      <rPr>
        <sz val="11"/>
        <rFont val="Georgia"/>
        <family val="1"/>
      </rPr>
      <t>FLAIRCROSSOVER XS</t>
    </r>
  </si>
  <si>
    <r>
      <rPr>
        <sz val="11"/>
        <rFont val="Georgia"/>
        <family val="1"/>
      </rPr>
      <t>MAXZDA X PROACTIVETOURING SELECTION</t>
    </r>
  </si>
  <si>
    <r>
      <rPr>
        <sz val="11"/>
        <rFont val="Georgia"/>
        <family val="1"/>
      </rPr>
      <t>5AA-BPEK3R</t>
    </r>
  </si>
  <si>
    <r>
      <rPr>
        <sz val="11"/>
        <rFont val="Georgia"/>
        <family val="1"/>
      </rPr>
      <t>MAZDA CX-5 XD PACKAGE</t>
    </r>
  </si>
  <si>
    <r>
      <rPr>
        <sz val="11"/>
        <rFont val="Georgia"/>
        <family val="1"/>
      </rPr>
      <t>MAZDA FLAIR HYBRID HYBRID XS</t>
    </r>
  </si>
  <si>
    <r>
      <rPr>
        <sz val="11"/>
        <rFont val="Georgia"/>
        <family val="1"/>
      </rPr>
      <t>MAZDA FLAIR WAGON HYBRID XG</t>
    </r>
  </si>
  <si>
    <r>
      <rPr>
        <sz val="11"/>
        <rFont val="Georgia"/>
        <family val="1"/>
      </rPr>
      <t>MAZDA ROADSTER S RF VS BURGUNDY SELECT</t>
    </r>
  </si>
  <si>
    <r>
      <rPr>
        <sz val="11"/>
        <rFont val="Georgia"/>
        <family val="1"/>
      </rPr>
      <t>5BA-NDERC</t>
    </r>
  </si>
  <si>
    <r>
      <rPr>
        <sz val="11"/>
        <rFont val="Georgia"/>
        <family val="1"/>
      </rPr>
      <t>MAZDA ROADSTER S SPECIAL PACKAGE</t>
    </r>
  </si>
  <si>
    <r>
      <rPr>
        <sz val="11"/>
        <rFont val="Georgia"/>
        <family val="1"/>
      </rPr>
      <t>5BA-ND5RC</t>
    </r>
  </si>
  <si>
    <r>
      <rPr>
        <sz val="11"/>
        <rFont val="Georgia"/>
        <family val="1"/>
      </rPr>
      <t>MAZDA TITAN</t>
    </r>
  </si>
  <si>
    <r>
      <rPr>
        <sz val="11"/>
        <rFont val="Georgia"/>
        <family val="1"/>
      </rPr>
      <t>2RG-LHR88A</t>
    </r>
  </si>
  <si>
    <r>
      <rPr>
        <sz val="11"/>
        <rFont val="Georgia"/>
        <family val="1"/>
      </rPr>
      <t>6AMT</t>
    </r>
  </si>
  <si>
    <r>
      <rPr>
        <sz val="11"/>
        <rFont val="Georgia"/>
        <family val="1"/>
      </rPr>
      <t>2RG-LHR88AR</t>
    </r>
  </si>
  <si>
    <r>
      <rPr>
        <sz val="11"/>
        <rFont val="Georgia"/>
        <family val="1"/>
      </rPr>
      <t>MAZDA2  XD SPORT+</t>
    </r>
  </si>
  <si>
    <r>
      <rPr>
        <sz val="11"/>
        <rFont val="Georgia"/>
        <family val="1"/>
      </rPr>
      <t>3DA-DJ5FS</t>
    </r>
  </si>
  <si>
    <r>
      <rPr>
        <sz val="11"/>
        <rFont val="Georgia"/>
        <family val="1"/>
      </rPr>
      <t>MAZDA2 15 BD</t>
    </r>
  </si>
  <si>
    <r>
      <rPr>
        <sz val="11"/>
        <rFont val="Georgia"/>
        <family val="1"/>
      </rPr>
      <t>5BA-DJLFS</t>
    </r>
  </si>
  <si>
    <r>
      <rPr>
        <sz val="11"/>
        <rFont val="Georgia"/>
        <family val="1"/>
      </rPr>
      <t>MAZDA2 15BD</t>
    </r>
  </si>
  <si>
    <r>
      <rPr>
        <sz val="11"/>
        <rFont val="Georgia"/>
        <family val="1"/>
      </rPr>
      <t>MAZDA2 15S</t>
    </r>
  </si>
  <si>
    <r>
      <rPr>
        <sz val="11"/>
        <rFont val="Georgia"/>
        <family val="1"/>
      </rPr>
      <t>6BA-DJLFS</t>
    </r>
  </si>
  <si>
    <r>
      <rPr>
        <sz val="11"/>
        <rFont val="Georgia"/>
        <family val="1"/>
      </rPr>
      <t>MAZDA2 15S L PACKAGE</t>
    </r>
  </si>
  <si>
    <r>
      <rPr>
        <sz val="11"/>
        <rFont val="Georgia"/>
        <family val="1"/>
      </rPr>
      <t>MAZDA2 XD</t>
    </r>
  </si>
  <si>
    <r>
      <rPr>
        <sz val="11"/>
        <rFont val="Georgia"/>
        <family val="1"/>
      </rPr>
      <t>3DA-DG17W</t>
    </r>
  </si>
  <si>
    <r>
      <rPr>
        <sz val="11"/>
        <rFont val="Georgia"/>
        <family val="1"/>
      </rPr>
      <t>MAZDA2 XD L PACKAGE</t>
    </r>
  </si>
  <si>
    <r>
      <rPr>
        <sz val="11"/>
        <rFont val="Georgia"/>
        <family val="1"/>
      </rPr>
      <t>MAZDA3   SEDAN X L PACKAGE</t>
    </r>
  </si>
  <si>
    <r>
      <rPr>
        <sz val="11"/>
        <rFont val="Georgia"/>
        <family val="1"/>
      </rPr>
      <t>3DA-BP8P</t>
    </r>
  </si>
  <si>
    <r>
      <rPr>
        <sz val="11"/>
        <rFont val="Georgia"/>
        <family val="1"/>
      </rPr>
      <t>MAZDA3 20S RETRO SPORTS EDITION</t>
    </r>
  </si>
  <si>
    <r>
      <rPr>
        <sz val="11"/>
        <rFont val="Georgia"/>
        <family val="1"/>
      </rPr>
      <t>5AA-BPFJ3R</t>
    </r>
  </si>
  <si>
    <r>
      <rPr>
        <sz val="11"/>
        <rFont val="Georgia"/>
        <family val="1"/>
      </rPr>
      <t>MAZDA3 FASTBACK  20S PROACTIVE TOURING</t>
    </r>
  </si>
  <si>
    <r>
      <rPr>
        <sz val="11"/>
        <rFont val="Georgia"/>
        <family val="1"/>
      </rPr>
      <t>5BA-BPFP</t>
    </r>
  </si>
  <si>
    <r>
      <rPr>
        <sz val="11"/>
        <rFont val="Georgia"/>
        <family val="1"/>
      </rPr>
      <t>MAZDA3 FASTBACK  X BURGUNDY SELECTION</t>
    </r>
  </si>
  <si>
    <r>
      <rPr>
        <sz val="11"/>
        <rFont val="Georgia"/>
        <family val="1"/>
      </rPr>
      <t>5AA-BPEP</t>
    </r>
  </si>
  <si>
    <r>
      <rPr>
        <sz val="11"/>
        <rFont val="Georgia"/>
        <family val="1"/>
      </rPr>
      <t>MAZDA3 FASTBACK 15S</t>
    </r>
  </si>
  <si>
    <r>
      <rPr>
        <sz val="11"/>
        <rFont val="Georgia"/>
        <family val="1"/>
      </rPr>
      <t>6BA-BP5P</t>
    </r>
  </si>
  <si>
    <r>
      <rPr>
        <sz val="11"/>
        <rFont val="Georgia"/>
        <family val="1"/>
      </rPr>
      <t>MAZDA3 FASTBACK 15S TOURING</t>
    </r>
  </si>
  <si>
    <r>
      <rPr>
        <sz val="11"/>
        <rFont val="Georgia"/>
        <family val="1"/>
      </rPr>
      <t>MAZDA3 FASTBACK 20S PROACTIVE TOURING D</t>
    </r>
  </si>
  <si>
    <r>
      <rPr>
        <sz val="11"/>
        <rFont val="Georgia"/>
        <family val="1"/>
      </rPr>
      <t>MAZDA3 FASTBACK 20S PROACTIVE TOURING S</t>
    </r>
  </si>
  <si>
    <r>
      <rPr>
        <sz val="11"/>
        <rFont val="Georgia"/>
        <family val="1"/>
      </rPr>
      <t>MAZDA3 FASTBACK 20S RETRO SPORTS EDITIO</t>
    </r>
  </si>
  <si>
    <r>
      <rPr>
        <sz val="11"/>
        <rFont val="Georgia"/>
        <family val="1"/>
      </rPr>
      <t>MAZDA3 FASTBACK PROACTIVE TOURING SELE</t>
    </r>
  </si>
  <si>
    <r>
      <rPr>
        <sz val="11"/>
        <rFont val="Georgia"/>
        <family val="1"/>
      </rPr>
      <t>5AA-BPFJ3P</t>
    </r>
  </si>
  <si>
    <r>
      <rPr>
        <sz val="11"/>
        <rFont val="Georgia"/>
        <family val="1"/>
      </rPr>
      <t>MAZDA3 FASTBACK X BURGUNDAY SELECTION</t>
    </r>
  </si>
  <si>
    <r>
      <rPr>
        <sz val="11"/>
        <rFont val="Georgia"/>
        <family val="1"/>
      </rPr>
      <t>MAZDA3 FASTBACK X BURGUNDY SELECTION</t>
    </r>
  </si>
  <si>
    <r>
      <rPr>
        <sz val="11"/>
        <rFont val="Georgia"/>
        <family val="1"/>
      </rPr>
      <t>3AA-BPEP</t>
    </r>
  </si>
  <si>
    <r>
      <rPr>
        <sz val="11"/>
        <rFont val="Georgia"/>
        <family val="1"/>
      </rPr>
      <t>MAZDA3 FASTBACK XD TOURING</t>
    </r>
  </si>
  <si>
    <r>
      <rPr>
        <sz val="11"/>
        <rFont val="Georgia"/>
        <family val="1"/>
      </rPr>
      <t>3DA-BP8R</t>
    </r>
  </si>
  <si>
    <r>
      <rPr>
        <sz val="11"/>
        <rFont val="Georgia"/>
        <family val="1"/>
      </rPr>
      <t>MAZDA3 SEDAN 20S PROACTIVE TOURING SELE</t>
    </r>
  </si>
  <si>
    <r>
      <rPr>
        <sz val="11"/>
        <rFont val="Georgia"/>
        <family val="1"/>
      </rPr>
      <t>5AA-BPFJR</t>
    </r>
  </si>
  <si>
    <r>
      <rPr>
        <sz val="11"/>
        <rFont val="Georgia"/>
        <family val="1"/>
      </rPr>
      <t>MAZDA3 SEDAN X L PACKAGE</t>
    </r>
  </si>
  <si>
    <r>
      <rPr>
        <sz val="11"/>
        <rFont val="Georgia"/>
        <family val="1"/>
      </rPr>
      <t>3JAA-BPEP</t>
    </r>
  </si>
  <si>
    <r>
      <rPr>
        <sz val="11"/>
        <rFont val="Georgia"/>
        <family val="1"/>
      </rPr>
      <t>MAZDA3 SEDAN XD BLACK TONE EDITION</t>
    </r>
  </si>
  <si>
    <r>
      <rPr>
        <sz val="11"/>
        <rFont val="Georgia"/>
        <family val="1"/>
      </rPr>
      <t>MAZDA3 SEDAN XD L PACKAGE</t>
    </r>
  </si>
  <si>
    <r>
      <rPr>
        <sz val="11"/>
        <rFont val="Georgia"/>
        <family val="1"/>
      </rPr>
      <t>MAZDA3 XD BLACK TONE EDITION</t>
    </r>
  </si>
  <si>
    <r>
      <rPr>
        <sz val="11"/>
        <rFont val="Georgia"/>
        <family val="1"/>
      </rPr>
      <t>MAZDA3 XD TOURING</t>
    </r>
  </si>
  <si>
    <r>
      <rPr>
        <sz val="11"/>
        <rFont val="Georgia"/>
        <family val="1"/>
      </rPr>
      <t>MAZDA3BACK  15S TOURING</t>
    </r>
  </si>
  <si>
    <r>
      <rPr>
        <sz val="11"/>
        <rFont val="Georgia"/>
        <family val="1"/>
      </rPr>
      <t>MAZDA6 25T S PACKAGE</t>
    </r>
  </si>
  <si>
    <r>
      <rPr>
        <sz val="11"/>
        <rFont val="Georgia"/>
        <family val="1"/>
      </rPr>
      <t>5BA-GJ5FP</t>
    </r>
  </si>
  <si>
    <r>
      <rPr>
        <sz val="11"/>
        <rFont val="Georgia"/>
        <family val="1"/>
      </rPr>
      <t>MAZDA6 SEDAN 20S</t>
    </r>
  </si>
  <si>
    <r>
      <rPr>
        <sz val="11"/>
        <rFont val="Georgia"/>
        <family val="1"/>
      </rPr>
      <t>6BA-GJEEP</t>
    </r>
  </si>
  <si>
    <r>
      <rPr>
        <sz val="11"/>
        <rFont val="Georgia"/>
        <family val="1"/>
      </rPr>
      <t>MAZDA6 SEDAN 25T S PACKAGE</t>
    </r>
  </si>
  <si>
    <r>
      <rPr>
        <sz val="11"/>
        <rFont val="Georgia"/>
        <family val="1"/>
      </rPr>
      <t>MAZDA6 WAGON XD L PACKAGE</t>
    </r>
  </si>
  <si>
    <r>
      <rPr>
        <sz val="11"/>
        <rFont val="Georgia"/>
        <family val="1"/>
      </rPr>
      <t>5BA-GJ2AW</t>
    </r>
  </si>
  <si>
    <r>
      <rPr>
        <sz val="11"/>
        <rFont val="Georgia"/>
        <family val="1"/>
      </rPr>
      <t>MAZDA6 WAGON XD PACKAGE</t>
    </r>
  </si>
  <si>
    <r>
      <rPr>
        <sz val="11"/>
        <rFont val="Georgia"/>
        <family val="1"/>
      </rPr>
      <t>MX-30</t>
    </r>
  </si>
  <si>
    <r>
      <rPr>
        <sz val="11"/>
        <rFont val="Georgia"/>
        <family val="1"/>
      </rPr>
      <t>5AA-DREJ3P</t>
    </r>
  </si>
  <si>
    <r>
      <rPr>
        <sz val="11"/>
        <rFont val="Georgia"/>
        <family val="1"/>
      </rPr>
      <t>MX-30 EV MODEL</t>
    </r>
  </si>
  <si>
    <r>
      <rPr>
        <sz val="11"/>
        <rFont val="Georgia"/>
        <family val="1"/>
      </rPr>
      <t>ZAA-DRH3P</t>
    </r>
  </si>
  <si>
    <r>
      <rPr>
        <sz val="11"/>
        <rFont val="Georgia"/>
        <family val="1"/>
      </rPr>
      <t>MX-30 EV MODEL EV HIGHEST SET</t>
    </r>
  </si>
  <si>
    <r>
      <rPr>
        <sz val="11"/>
        <rFont val="Georgia"/>
        <family val="1"/>
      </rPr>
      <t>MX-30 INDUSTRIAL CLASSIC</t>
    </r>
  </si>
  <si>
    <r>
      <rPr>
        <sz val="11"/>
        <rFont val="Georgia"/>
        <family val="1"/>
      </rPr>
      <t>MX-30 MODEL EV HIGHEST SET</t>
    </r>
  </si>
  <si>
    <r>
      <rPr>
        <sz val="11"/>
        <rFont val="Georgia"/>
        <family val="1"/>
      </rPr>
      <t>MX-30 ROTART-EV EDITION R</t>
    </r>
  </si>
  <si>
    <r>
      <rPr>
        <sz val="11"/>
        <rFont val="Georgia"/>
        <family val="1"/>
      </rPr>
      <t>3LA-DR8V3P</t>
    </r>
  </si>
  <si>
    <r>
      <rPr>
        <sz val="11"/>
        <rFont val="Georgia"/>
        <family val="1"/>
      </rPr>
      <t>MX-30 ROTARY EV EDITION R</t>
    </r>
  </si>
  <si>
    <r>
      <rPr>
        <sz val="11"/>
        <rFont val="Georgia"/>
        <family val="1"/>
      </rPr>
      <t>MX-30 SEDV EV HIGHEST SEAT</t>
    </r>
  </si>
  <si>
    <r>
      <rPr>
        <sz val="11"/>
        <rFont val="Georgia"/>
        <family val="1"/>
      </rPr>
      <t>MX-30 SEDV EV HIGHEST SET</t>
    </r>
  </si>
  <si>
    <r>
      <rPr>
        <sz val="11"/>
        <rFont val="Georgia"/>
        <family val="1"/>
      </rPr>
      <t>Premacy 20S-Skyactive L Package</t>
    </r>
  </si>
  <si>
    <r>
      <rPr>
        <sz val="11"/>
        <rFont val="Georgia"/>
        <family val="1"/>
      </rPr>
      <t>DBA-CWFFW</t>
    </r>
  </si>
  <si>
    <r>
      <rPr>
        <sz val="11"/>
        <rFont val="Georgia"/>
        <family val="1"/>
      </rPr>
      <t>Premacy 20S-Skyactive Passenger Liftup Seat</t>
    </r>
  </si>
  <si>
    <r>
      <rPr>
        <sz val="11"/>
        <rFont val="Georgia"/>
        <family val="1"/>
      </rPr>
      <t>ROADSTER RF VS</t>
    </r>
  </si>
  <si>
    <r>
      <rPr>
        <sz val="11"/>
        <rFont val="Georgia"/>
        <family val="1"/>
      </rPr>
      <t>DBA-NDERC</t>
    </r>
  </si>
  <si>
    <r>
      <rPr>
        <sz val="11"/>
        <rFont val="Georgia"/>
        <family val="1"/>
      </rPr>
      <t>Roadster S leather</t>
    </r>
  </si>
  <si>
    <r>
      <rPr>
        <sz val="11"/>
        <rFont val="Georgia"/>
        <family val="1"/>
      </rPr>
      <t>DBA-ND5RC</t>
    </r>
  </si>
  <si>
    <r>
      <rPr>
        <sz val="11"/>
        <rFont val="Georgia"/>
        <family val="1"/>
      </rPr>
      <t>ROADSTER S LEATHER PACKAGE</t>
    </r>
  </si>
  <si>
    <r>
      <rPr>
        <sz val="11"/>
        <rFont val="Georgia"/>
        <family val="1"/>
      </rPr>
      <t>5BA-ND5RE</t>
    </r>
  </si>
  <si>
    <r>
      <rPr>
        <sz val="11"/>
        <rFont val="Georgia"/>
        <family val="1"/>
      </rPr>
      <t>ROADSTER S PACKAGE</t>
    </r>
  </si>
  <si>
    <r>
      <rPr>
        <sz val="11"/>
        <rFont val="Georgia"/>
        <family val="1"/>
      </rPr>
      <t>ROADSTER S SPECIAL PACKAGE</t>
    </r>
  </si>
  <si>
    <r>
      <rPr>
        <sz val="11"/>
        <rFont val="Georgia"/>
        <family val="1"/>
      </rPr>
      <t>SCRUM BUSTER</t>
    </r>
  </si>
  <si>
    <r>
      <rPr>
        <sz val="11"/>
        <rFont val="Georgia"/>
        <family val="1"/>
      </rPr>
      <t>5BD-DG17V</t>
    </r>
  </si>
  <si>
    <r>
      <rPr>
        <sz val="11"/>
        <rFont val="Georgia"/>
        <family val="1"/>
      </rPr>
      <t>Scrum PZ Turbo Special</t>
    </r>
  </si>
  <si>
    <r>
      <rPr>
        <sz val="11"/>
        <rFont val="Georgia"/>
        <family val="1"/>
      </rPr>
      <t>ABA-DG17W</t>
    </r>
  </si>
  <si>
    <r>
      <rPr>
        <sz val="11"/>
        <rFont val="Georgia"/>
        <family val="1"/>
      </rPr>
      <t>SCRUM TRUCK KC</t>
    </r>
  </si>
  <si>
    <r>
      <rPr>
        <sz val="11"/>
        <rFont val="Georgia"/>
        <family val="1"/>
      </rPr>
      <t>3BD-DG16T</t>
    </r>
  </si>
  <si>
    <r>
      <rPr>
        <sz val="11"/>
        <rFont val="Georgia"/>
        <family val="1"/>
      </rPr>
      <t>3AT</t>
    </r>
  </si>
  <si>
    <r>
      <rPr>
        <sz val="11"/>
        <rFont val="Georgia"/>
        <family val="1"/>
      </rPr>
      <t>EBD-DG16T</t>
    </r>
  </si>
  <si>
    <r>
      <rPr>
        <sz val="11"/>
        <rFont val="Georgia"/>
        <family val="1"/>
      </rPr>
      <t>SCRUM VAN  BUSTER</t>
    </r>
  </si>
  <si>
    <r>
      <rPr>
        <sz val="11"/>
        <rFont val="Georgia"/>
        <family val="1"/>
      </rPr>
      <t>SCRUM VAN BUSTER</t>
    </r>
  </si>
  <si>
    <r>
      <rPr>
        <sz val="11"/>
        <rFont val="Georgia"/>
        <family val="1"/>
      </rPr>
      <t>SCRUM WAGON PZ TURBO SPECIAL</t>
    </r>
  </si>
  <si>
    <r>
      <rPr>
        <sz val="11"/>
        <rFont val="Georgia"/>
        <family val="1"/>
      </rPr>
      <t>3BA-DG17W</t>
    </r>
  </si>
  <si>
    <r>
      <rPr>
        <sz val="11"/>
        <rFont val="Georgia"/>
        <family val="1"/>
      </rPr>
      <t>SCRUM WAGON PZ-S</t>
    </r>
  </si>
  <si>
    <r>
      <rPr>
        <sz val="11"/>
        <rFont val="Georgia"/>
        <family val="1"/>
      </rPr>
      <t>SCRUMWAGON PZ TURBO SPECIAL</t>
    </r>
  </si>
  <si>
    <r>
      <rPr>
        <sz val="11"/>
        <rFont val="Georgia"/>
        <family val="1"/>
      </rPr>
      <t>TITAN</t>
    </r>
  </si>
  <si>
    <r>
      <rPr>
        <sz val="11"/>
        <rFont val="Georgia"/>
        <family val="1"/>
      </rPr>
      <t>2RG-LLR88AR</t>
    </r>
  </si>
  <si>
    <r>
      <rPr>
        <sz val="11"/>
        <rFont val="Georgia"/>
        <family val="1"/>
      </rPr>
      <t>TRG-LLR85AR</t>
    </r>
  </si>
  <si>
    <r>
      <rPr>
        <sz val="11"/>
        <rFont val="Georgia"/>
        <family val="1"/>
      </rPr>
      <t>TITAN DUMP</t>
    </r>
  </si>
  <si>
    <r>
      <rPr>
        <sz val="11"/>
        <rFont val="Georgia"/>
        <family val="1"/>
      </rPr>
      <t>TRG-LJR85AD</t>
    </r>
  </si>
  <si>
    <r>
      <rPr>
        <sz val="11"/>
        <rFont val="Georgia"/>
        <family val="1"/>
      </rPr>
      <t>MERCEDES</t>
    </r>
  </si>
  <si>
    <r>
      <rPr>
        <sz val="11"/>
        <rFont val="Georgia"/>
        <family val="1"/>
      </rPr>
      <t>A-CLASS A180</t>
    </r>
  </si>
  <si>
    <r>
      <rPr>
        <sz val="11"/>
        <rFont val="Georgia"/>
        <family val="1"/>
      </rPr>
      <t>A-CLASS A180 EDITION 1</t>
    </r>
  </si>
  <si>
    <r>
      <rPr>
        <sz val="11"/>
        <rFont val="Georgia"/>
        <family val="1"/>
      </rPr>
      <t>5BA-177084</t>
    </r>
  </si>
  <si>
    <r>
      <rPr>
        <sz val="11"/>
        <rFont val="Georgia"/>
        <family val="1"/>
      </rPr>
      <t>A-CLASS A180 STYLE</t>
    </r>
  </si>
  <si>
    <r>
      <rPr>
        <sz val="11"/>
        <rFont val="Georgia"/>
        <family val="1"/>
      </rPr>
      <t>A-CLASS A180 STYLE AMG LEATHER EXCLUSIVE PACKAGE</t>
    </r>
  </si>
  <si>
    <r>
      <rPr>
        <sz val="11"/>
        <rFont val="Georgia"/>
        <family val="1"/>
      </rPr>
      <t>A-CLASS A180 STYLE AMG LINE</t>
    </r>
  </si>
  <si>
    <r>
      <rPr>
        <sz val="11"/>
        <rFont val="Georgia"/>
        <family val="1"/>
      </rPr>
      <t>A-CLASS A200D</t>
    </r>
  </si>
  <si>
    <r>
      <rPr>
        <sz val="11"/>
        <rFont val="Georgia"/>
        <family val="1"/>
      </rPr>
      <t>A-CLASS A200D AMG LINE</t>
    </r>
  </si>
  <si>
    <r>
      <rPr>
        <sz val="11"/>
        <rFont val="Georgia"/>
        <family val="1"/>
      </rPr>
      <t>A-CLASS A200D AMG LINE PACKAGE</t>
    </r>
  </si>
  <si>
    <r>
      <rPr>
        <sz val="11"/>
        <rFont val="Georgia"/>
        <family val="1"/>
      </rPr>
      <t>A-CLASS SEDAN</t>
    </r>
  </si>
  <si>
    <r>
      <rPr>
        <sz val="11"/>
        <rFont val="Georgia"/>
        <family val="1"/>
      </rPr>
      <t>A-CLASS SEDAN A180 SEDAN</t>
    </r>
  </si>
  <si>
    <r>
      <rPr>
        <sz val="11"/>
        <rFont val="Georgia"/>
        <family val="1"/>
      </rPr>
      <t>A-CLASS SEDAN A180 SEDAN AMG LINE PACKAGE</t>
    </r>
  </si>
  <si>
    <r>
      <rPr>
        <sz val="11"/>
        <rFont val="Georgia"/>
        <family val="1"/>
      </rPr>
      <t>A-CLASS SEDAN A180 STYLE SEDAN AMG LEATHER EXCLUSIVE PACKAGE</t>
    </r>
  </si>
  <si>
    <r>
      <rPr>
        <sz val="11"/>
        <rFont val="Georgia"/>
        <family val="1"/>
      </rPr>
      <t>A-CLASS SEDAN A180 STYLE SEDAN AMG LINE</t>
    </r>
  </si>
  <si>
    <r>
      <rPr>
        <sz val="11"/>
        <rFont val="Georgia"/>
        <family val="1"/>
      </rPr>
      <t>A-CLASS SEDAN A200D SEDAN</t>
    </r>
  </si>
  <si>
    <r>
      <rPr>
        <sz val="11"/>
        <rFont val="Georgia"/>
        <family val="1"/>
      </rPr>
      <t>A-CLASS SEDAN A200D SEDAN AMG LEATHER EXCLUSIVE PACKAGE</t>
    </r>
  </si>
  <si>
    <r>
      <rPr>
        <sz val="11"/>
        <rFont val="Georgia"/>
        <family val="1"/>
      </rPr>
      <t>A-CLASS SEDAN A200D SEDAN AMG LINE</t>
    </r>
  </si>
  <si>
    <r>
      <rPr>
        <sz val="11"/>
        <rFont val="Georgia"/>
        <family val="1"/>
      </rPr>
      <t>A-CLASS SEDAN A200D SEDAN AMG LINE PACKAGE</t>
    </r>
  </si>
  <si>
    <r>
      <rPr>
        <sz val="11"/>
        <rFont val="Georgia"/>
        <family val="1"/>
      </rPr>
      <t>A-CLASS SEDAN A250 4MATIC EDITION 1 SEDAN</t>
    </r>
  </si>
  <si>
    <r>
      <rPr>
        <sz val="11"/>
        <rFont val="Georgia"/>
        <family val="1"/>
      </rPr>
      <t>A-CLASS SEDAN A250 4MATIC SEDAN</t>
    </r>
  </si>
  <si>
    <r>
      <rPr>
        <sz val="11"/>
        <rFont val="Georgia"/>
        <family val="1"/>
      </rPr>
      <t>A-CLASS SEDAN A250 4MATIC SEDAN AMG LEATHER EXCLUSIVE PACKAGE</t>
    </r>
  </si>
  <si>
    <r>
      <rPr>
        <sz val="11"/>
        <rFont val="Georgia"/>
        <family val="1"/>
      </rPr>
      <t>A-CLASS SEDAN A250 4MATIC SEDAN AMG LINE</t>
    </r>
  </si>
  <si>
    <r>
      <rPr>
        <sz val="11"/>
        <rFont val="Georgia"/>
        <family val="1"/>
      </rPr>
      <t>AMG A-CLASS A35 4MATIC</t>
    </r>
  </si>
  <si>
    <r>
      <rPr>
        <sz val="11"/>
        <rFont val="Georgia"/>
        <family val="1"/>
      </rPr>
      <t>4BA-177051M</t>
    </r>
  </si>
  <si>
    <r>
      <rPr>
        <sz val="11"/>
        <rFont val="Georgia"/>
        <family val="1"/>
      </rPr>
      <t>AMG A-CLASS A45 S 4MATIC+</t>
    </r>
  </si>
  <si>
    <r>
      <rPr>
        <sz val="11"/>
        <rFont val="Georgia"/>
        <family val="1"/>
      </rPr>
      <t>AMG CLS-CLASS CLS53 4MATIC+</t>
    </r>
  </si>
  <si>
    <r>
      <rPr>
        <sz val="11"/>
        <rFont val="Georgia"/>
        <family val="1"/>
      </rPr>
      <t>AMG E-CLASS E63 S 4MATIC+</t>
    </r>
  </si>
  <si>
    <r>
      <rPr>
        <sz val="11"/>
        <rFont val="Georgia"/>
        <family val="1"/>
      </rPr>
      <t>AMG E-CLASS STATIONWAGON E53 4MATIC+ STATIONWAGON</t>
    </r>
  </si>
  <si>
    <r>
      <rPr>
        <sz val="11"/>
        <rFont val="Georgia"/>
        <family val="1"/>
      </rPr>
      <t>AMG EQE EQE53 4MATIC+</t>
    </r>
  </si>
  <si>
    <r>
      <rPr>
        <sz val="11"/>
        <rFont val="Georgia"/>
        <family val="1"/>
      </rPr>
      <t>ZAA-297155</t>
    </r>
  </si>
  <si>
    <r>
      <rPr>
        <sz val="11"/>
        <rFont val="Georgia"/>
        <family val="1"/>
      </rPr>
      <t>AMG GLA-CLASS GLA35 4MATIC</t>
    </r>
  </si>
  <si>
    <r>
      <rPr>
        <sz val="11"/>
        <rFont val="Georgia"/>
        <family val="1"/>
      </rPr>
      <t>AMG GLA-CLASS GLA45 S 4MATIC+</t>
    </r>
  </si>
  <si>
    <r>
      <rPr>
        <sz val="11"/>
        <rFont val="Georgia"/>
        <family val="1"/>
      </rPr>
      <t>4BA-247754M</t>
    </r>
  </si>
  <si>
    <r>
      <rPr>
        <sz val="11"/>
        <rFont val="Georgia"/>
        <family val="1"/>
      </rPr>
      <t>AMG GLB GLB35 4MATIC</t>
    </r>
  </si>
  <si>
    <r>
      <rPr>
        <sz val="11"/>
        <rFont val="Georgia"/>
        <family val="1"/>
      </rPr>
      <t>AMG GLC GLC43 4MATIC</t>
    </r>
  </si>
  <si>
    <r>
      <rPr>
        <sz val="11"/>
        <rFont val="Georgia"/>
        <family val="1"/>
      </rPr>
      <t>AMG GLC GLC63 S 4MATIC+</t>
    </r>
  </si>
  <si>
    <r>
      <rPr>
        <sz val="11"/>
        <rFont val="Georgia"/>
        <family val="1"/>
      </rPr>
      <t>AMG SL SL43</t>
    </r>
  </si>
  <si>
    <r>
      <rPr>
        <sz val="11"/>
        <rFont val="Georgia"/>
        <family val="1"/>
      </rPr>
      <t>AMG SL SL63 4MATIC+</t>
    </r>
  </si>
  <si>
    <r>
      <rPr>
        <sz val="11"/>
        <rFont val="Georgia"/>
        <family val="1"/>
      </rPr>
      <t>B-CLASS</t>
    </r>
  </si>
  <si>
    <r>
      <rPr>
        <sz val="11"/>
        <rFont val="Georgia"/>
        <family val="1"/>
      </rPr>
      <t>B-CLASS B180</t>
    </r>
  </si>
  <si>
    <r>
      <rPr>
        <sz val="11"/>
        <rFont val="Georgia"/>
        <family val="1"/>
      </rPr>
      <t>B-CLASS B180 AMG LEATHER EXCLUSIVE PACKAGE</t>
    </r>
  </si>
  <si>
    <r>
      <rPr>
        <sz val="11"/>
        <rFont val="Georgia"/>
        <family val="1"/>
      </rPr>
      <t>B-CLASS B180 AMG LINE</t>
    </r>
  </si>
  <si>
    <r>
      <rPr>
        <sz val="11"/>
        <rFont val="Georgia"/>
        <family val="1"/>
      </rPr>
      <t>B-CLASS B200D</t>
    </r>
  </si>
  <si>
    <r>
      <rPr>
        <sz val="11"/>
        <rFont val="Georgia"/>
        <family val="1"/>
      </rPr>
      <t>B-CLASS B200D AMG LEATHER EXCLUSIVE PACKAGE</t>
    </r>
  </si>
  <si>
    <r>
      <rPr>
        <sz val="11"/>
        <rFont val="Georgia"/>
        <family val="1"/>
      </rPr>
      <t>B-CLASS B200D AMG LINE</t>
    </r>
  </si>
  <si>
    <r>
      <rPr>
        <sz val="11"/>
        <rFont val="Georgia"/>
        <family val="1"/>
      </rPr>
      <t>B-CLASS B200D AMG LINE PACKAGE</t>
    </r>
  </si>
  <si>
    <r>
      <rPr>
        <sz val="11"/>
        <rFont val="Georgia"/>
        <family val="1"/>
      </rPr>
      <t>C-CLASS ALL TERRAIN C220D 4MATIC ALL TERRAIN</t>
    </r>
  </si>
  <si>
    <r>
      <rPr>
        <sz val="11"/>
        <rFont val="Georgia"/>
        <family val="1"/>
      </rPr>
      <t>C-CLASS C180 AVANTGARDE</t>
    </r>
  </si>
  <si>
    <r>
      <rPr>
        <sz val="11"/>
        <rFont val="Georgia"/>
        <family val="1"/>
      </rPr>
      <t>C-CLASS C180 AVANTGARDE AMG LINE</t>
    </r>
  </si>
  <si>
    <r>
      <rPr>
        <sz val="11"/>
        <rFont val="Georgia"/>
        <family val="1"/>
      </rPr>
      <t>C-CLASS C180 CABRIOLET SPORTS</t>
    </r>
  </si>
  <si>
    <r>
      <rPr>
        <sz val="11"/>
        <rFont val="Georgia"/>
        <family val="1"/>
      </rPr>
      <t>C-CLASS C180 CABRIOLET SPORTS LEATHER EXCLUSIVE PACKAGE</t>
    </r>
  </si>
  <si>
    <r>
      <rPr>
        <sz val="11"/>
        <rFont val="Georgia"/>
        <family val="1"/>
      </rPr>
      <t>C-CLASS C180 COUPE SPORTS</t>
    </r>
  </si>
  <si>
    <r>
      <rPr>
        <sz val="11"/>
        <rFont val="Georgia"/>
        <family val="1"/>
      </rPr>
      <t>C-CLASS C180 COUPE SPORTS LEATHER EXCLUSIVE PACKAGE</t>
    </r>
  </si>
  <si>
    <r>
      <rPr>
        <sz val="11"/>
        <rFont val="Georgia"/>
        <family val="1"/>
      </rPr>
      <t>1600cc</t>
    </r>
  </si>
  <si>
    <r>
      <rPr>
        <sz val="11"/>
        <rFont val="Georgia"/>
        <family val="1"/>
      </rPr>
      <t>C-CLASS C180 LAUREUS EDITION</t>
    </r>
  </si>
  <si>
    <r>
      <rPr>
        <sz val="11"/>
        <rFont val="Georgia"/>
        <family val="1"/>
      </rPr>
      <t>DBA-205040C</t>
    </r>
  </si>
  <si>
    <r>
      <rPr>
        <sz val="11"/>
        <rFont val="Georgia"/>
        <family val="1"/>
      </rPr>
      <t>C-CLASS C200 AVANTGARDE AMG LINE</t>
    </r>
  </si>
  <si>
    <r>
      <rPr>
        <sz val="11"/>
        <rFont val="Georgia"/>
        <family val="1"/>
      </rPr>
      <t>C-CLASS C200 LAUREUS EDITION SPORTS PLUS</t>
    </r>
  </si>
  <si>
    <r>
      <rPr>
        <sz val="11"/>
        <rFont val="Georgia"/>
        <family val="1"/>
      </rPr>
      <t>5AA-205077</t>
    </r>
  </si>
  <si>
    <r>
      <rPr>
        <sz val="11"/>
        <rFont val="Georgia"/>
        <family val="1"/>
      </rPr>
      <t>C-CLASS C200 LAUREUS EDITION SPORTS PLUS PACKAGE</t>
    </r>
  </si>
  <si>
    <r>
      <rPr>
        <sz val="11"/>
        <rFont val="Georgia"/>
        <family val="1"/>
      </rPr>
      <t>C-CLASS C220D AVANTGARDE</t>
    </r>
  </si>
  <si>
    <r>
      <rPr>
        <sz val="11"/>
        <rFont val="Georgia"/>
        <family val="1"/>
      </rPr>
      <t>C-CLASS C220D AVANTGARDE AMG LINE</t>
    </r>
  </si>
  <si>
    <r>
      <rPr>
        <sz val="11"/>
        <rFont val="Georgia"/>
        <family val="1"/>
      </rPr>
      <t>C-CLASS C220D AVANTGARDE AMG LINE PACKAGE</t>
    </r>
  </si>
  <si>
    <r>
      <rPr>
        <sz val="11"/>
        <rFont val="Georgia"/>
        <family val="1"/>
      </rPr>
      <t>C-CLASS C220D LAUREUS EDITION</t>
    </r>
  </si>
  <si>
    <r>
      <rPr>
        <sz val="11"/>
        <rFont val="Georgia"/>
        <family val="1"/>
      </rPr>
      <t>LDA-205004</t>
    </r>
  </si>
  <si>
    <r>
      <rPr>
        <sz val="11"/>
        <rFont val="Georgia"/>
        <family val="1"/>
      </rPr>
      <t>C-CLASS C220D LAUREUS EDITION SPORTS PLU</t>
    </r>
  </si>
  <si>
    <r>
      <rPr>
        <sz val="11"/>
        <rFont val="Georgia"/>
        <family val="1"/>
      </rPr>
      <t>3DA-205014</t>
    </r>
  </si>
  <si>
    <r>
      <rPr>
        <sz val="11"/>
        <rFont val="Georgia"/>
        <family val="1"/>
      </rPr>
      <t>C-CLASS C350 E SPORTS</t>
    </r>
  </si>
  <si>
    <r>
      <rPr>
        <sz val="11"/>
        <rFont val="Georgia"/>
        <family val="1"/>
      </rPr>
      <t>5LA-206054C</t>
    </r>
  </si>
  <si>
    <r>
      <rPr>
        <sz val="11"/>
        <rFont val="Georgia"/>
        <family val="1"/>
      </rPr>
      <t>C-CLASS STATIONWAGON C180 STATIONWAGON AVANTGARDE</t>
    </r>
  </si>
  <si>
    <r>
      <rPr>
        <sz val="11"/>
        <rFont val="Georgia"/>
        <family val="1"/>
      </rPr>
      <t>C-CLASS STATIONWAGON C180 STATIONWAGO</t>
    </r>
  </si>
  <si>
    <r>
      <rPr>
        <sz val="11"/>
        <rFont val="Georgia"/>
        <family val="1"/>
      </rPr>
      <t>DBA-205240C</t>
    </r>
  </si>
  <si>
    <r>
      <rPr>
        <sz val="11"/>
        <rFont val="Georgia"/>
        <family val="1"/>
      </rPr>
      <t>C-CLASS STATIONWAGON C200 4MATIC STATIONWAGON AVANTGARDE AMG LINE</t>
    </r>
  </si>
  <si>
    <r>
      <rPr>
        <sz val="11"/>
        <rFont val="Georgia"/>
        <family val="1"/>
      </rPr>
      <t>C-CLASS STATIONWAGON C200 4MATIC STATIO</t>
    </r>
  </si>
  <si>
    <r>
      <rPr>
        <sz val="11"/>
        <rFont val="Georgia"/>
        <family val="1"/>
      </rPr>
      <t>5AA-205278</t>
    </r>
  </si>
  <si>
    <r>
      <rPr>
        <sz val="11"/>
        <rFont val="Georgia"/>
        <family val="1"/>
      </rPr>
      <t>DBA-205243</t>
    </r>
  </si>
  <si>
    <r>
      <rPr>
        <sz val="11"/>
        <rFont val="Georgia"/>
        <family val="1"/>
      </rPr>
      <t>C-CLASS STATIONWAGON C200 STATIONWAGON AVANTGARDE AMG LINE</t>
    </r>
  </si>
  <si>
    <r>
      <rPr>
        <sz val="11"/>
        <rFont val="Georgia"/>
        <family val="1"/>
      </rPr>
      <t>C-CLASS STATIONWAGON C200 STATIONWAGO</t>
    </r>
  </si>
  <si>
    <r>
      <rPr>
        <sz val="11"/>
        <rFont val="Georgia"/>
        <family val="1"/>
      </rPr>
      <t>5AA-205277</t>
    </r>
  </si>
  <si>
    <r>
      <rPr>
        <sz val="11"/>
        <rFont val="Georgia"/>
        <family val="1"/>
      </rPr>
      <t>C-CLASS STATIONWAGON C220D STATIONWAGON AVANTGARDE AMG LINE</t>
    </r>
  </si>
  <si>
    <r>
      <rPr>
        <sz val="11"/>
        <rFont val="Georgia"/>
        <family val="1"/>
      </rPr>
      <t>C-CLASS STATIONWAGON C220D STATIONWAGON AVANTGARDE AMG LINE PACKAGE</t>
    </r>
  </si>
  <si>
    <r>
      <rPr>
        <sz val="11"/>
        <rFont val="Georgia"/>
        <family val="1"/>
      </rPr>
      <t>C-CLASS STATIONWAGON C220D STATIONWAG</t>
    </r>
  </si>
  <si>
    <r>
      <rPr>
        <sz val="11"/>
        <rFont val="Georgia"/>
        <family val="1"/>
      </rPr>
      <t>LDA-205204</t>
    </r>
  </si>
  <si>
    <r>
      <rPr>
        <sz val="11"/>
        <rFont val="Georgia"/>
        <family val="1"/>
      </rPr>
      <t>CLA-CLASS CLA180 AMG LINE PACKAGE</t>
    </r>
  </si>
  <si>
    <r>
      <rPr>
        <sz val="11"/>
        <rFont val="Georgia"/>
        <family val="1"/>
      </rPr>
      <t>CLA-CLASS CLA180 AMG STYLE</t>
    </r>
  </si>
  <si>
    <r>
      <rPr>
        <sz val="11"/>
        <rFont val="Georgia"/>
        <family val="1"/>
      </rPr>
      <t>CLA-CLASS CLA200D</t>
    </r>
  </si>
  <si>
    <r>
      <rPr>
        <sz val="11"/>
        <rFont val="Georgia"/>
        <family val="1"/>
      </rPr>
      <t>CLA-CLASS CLA200D AMG LEATHER EXCLUSIVE PACKAGE</t>
    </r>
  </si>
  <si>
    <r>
      <rPr>
        <sz val="11"/>
        <rFont val="Georgia"/>
        <family val="1"/>
      </rPr>
      <t>CLA-CLASS CLA200D AMG LINE</t>
    </r>
  </si>
  <si>
    <r>
      <rPr>
        <sz val="11"/>
        <rFont val="Georgia"/>
        <family val="1"/>
      </rPr>
      <t>CLA-CLASS CLA200D AMG LINE PACKAGE</t>
    </r>
  </si>
  <si>
    <r>
      <rPr>
        <sz val="11"/>
        <rFont val="Georgia"/>
        <family val="1"/>
      </rPr>
      <t>CLA-CLASS CLA250 4MATIC AMG LEATHER EXCLUSIVE PACKAGE</t>
    </r>
  </si>
  <si>
    <r>
      <rPr>
        <sz val="11"/>
        <rFont val="Georgia"/>
        <family val="1"/>
      </rPr>
      <t>CLA-CLASS CLA250 SPORT 4MATIC</t>
    </r>
  </si>
  <si>
    <r>
      <rPr>
        <sz val="11"/>
        <rFont val="Georgia"/>
        <family val="1"/>
      </rPr>
      <t>CLA-CLASS SHOOTING BRAKE CLA180 SHOOTING BRAKE AMG STYLE</t>
    </r>
  </si>
  <si>
    <r>
      <rPr>
        <sz val="11"/>
        <rFont val="Georgia"/>
        <family val="1"/>
      </rPr>
      <t>CLA-CLASS SHOOTING BRAKE CLA200D SHOOTING BRAKE AMG LEATHER EXCLUSIVE PACKAGE</t>
    </r>
  </si>
  <si>
    <r>
      <rPr>
        <sz val="11"/>
        <rFont val="Georgia"/>
        <family val="1"/>
      </rPr>
      <t>CLA-CLASS SHOOTING BRAKE CLA200D SHOOTING BRAKE AMG LINE</t>
    </r>
  </si>
  <si>
    <r>
      <rPr>
        <sz val="11"/>
        <rFont val="Georgia"/>
        <family val="1"/>
      </rPr>
      <t>CLA-CLASS SHOOTING BRAKE CLA200D SHOOTING BRAKE AMG LINE PACKAGE</t>
    </r>
  </si>
  <si>
    <r>
      <rPr>
        <sz val="11"/>
        <rFont val="Georgia"/>
        <family val="1"/>
      </rPr>
      <t>CLA-CLASS SHOOTING BRAKE CLA220 4MATIC SHOOTING BRAKE</t>
    </r>
  </si>
  <si>
    <r>
      <rPr>
        <sz val="11"/>
        <rFont val="Georgia"/>
        <family val="1"/>
      </rPr>
      <t>CLA-CLASS SHOOTING BRAKE CLA250 4MATIC SHOOTING BRAKE AMG LINE</t>
    </r>
  </si>
  <si>
    <r>
      <rPr>
        <sz val="11"/>
        <rFont val="Georgia"/>
        <family val="1"/>
      </rPr>
      <t>CLASS ALL TEEEAIN E220D 4MATIC ALL TERRAIN</t>
    </r>
  </si>
  <si>
    <r>
      <rPr>
        <sz val="11"/>
        <rFont val="Georgia"/>
        <family val="1"/>
      </rPr>
      <t>CLE CLE200 CABRIOLET SPORT</t>
    </r>
  </si>
  <si>
    <r>
      <rPr>
        <sz val="11"/>
        <rFont val="Georgia"/>
        <family val="1"/>
      </rPr>
      <t>CLE CLE200 COUPE SPORT</t>
    </r>
  </si>
  <si>
    <r>
      <rPr>
        <sz val="11"/>
        <rFont val="Georgia"/>
        <family val="1"/>
      </rPr>
      <t>4AA-236350C</t>
    </r>
  </si>
  <si>
    <r>
      <rPr>
        <sz val="11"/>
        <rFont val="Georgia"/>
        <family val="1"/>
      </rPr>
      <t>CLS-CLASS CLS220D SPORTS</t>
    </r>
  </si>
  <si>
    <r>
      <rPr>
        <sz val="11"/>
        <rFont val="Georgia"/>
        <family val="1"/>
      </rPr>
      <t>CLS-CLASS CLS220D SPORTS EXCLUSIVE PACKA</t>
    </r>
  </si>
  <si>
    <r>
      <rPr>
        <sz val="11"/>
        <rFont val="Georgia"/>
        <family val="1"/>
      </rPr>
      <t>LDA-257314</t>
    </r>
  </si>
  <si>
    <r>
      <rPr>
        <sz val="11"/>
        <rFont val="Georgia"/>
        <family val="1"/>
      </rPr>
      <t>CLS-CLASS CLS450 4MATIC SPORT</t>
    </r>
  </si>
  <si>
    <r>
      <rPr>
        <sz val="11"/>
        <rFont val="Georgia"/>
        <family val="1"/>
      </rPr>
      <t>DAA-257359</t>
    </r>
  </si>
  <si>
    <r>
      <rPr>
        <sz val="11"/>
        <rFont val="Georgia"/>
        <family val="1"/>
      </rPr>
      <t>E-CLASS ALL TEEEAIN</t>
    </r>
  </si>
  <si>
    <r>
      <rPr>
        <sz val="11"/>
        <rFont val="Georgia"/>
        <family val="1"/>
      </rPr>
      <t>E-CLASS ALL TEEEAIN E220D 4MATIC ALL TERRAIN</t>
    </r>
  </si>
  <si>
    <r>
      <rPr>
        <sz val="11"/>
        <rFont val="Georgia"/>
        <family val="1"/>
      </rPr>
      <t>E-CLASS ALL TEEEAIN E220D 4MATIC ALL TERR</t>
    </r>
  </si>
  <si>
    <r>
      <rPr>
        <sz val="11"/>
        <rFont val="Georgia"/>
        <family val="1"/>
      </rPr>
      <t>LDA-213217</t>
    </r>
  </si>
  <si>
    <r>
      <rPr>
        <sz val="11"/>
        <rFont val="Georgia"/>
        <family val="1"/>
      </rPr>
      <t>E-CLASS E200 4MATIC AVANTGARDE</t>
    </r>
  </si>
  <si>
    <r>
      <rPr>
        <sz val="11"/>
        <rFont val="Georgia"/>
        <family val="1"/>
      </rPr>
      <t>E-CLASS E200 AVANTGARDE AMG LINE PACKAGE</t>
    </r>
  </si>
  <si>
    <r>
      <rPr>
        <sz val="11"/>
        <rFont val="Georgia"/>
        <family val="1"/>
      </rPr>
      <t>E-CLASS E200 CABRIOLET SPORTS</t>
    </r>
  </si>
  <si>
    <r>
      <rPr>
        <sz val="11"/>
        <rFont val="Georgia"/>
        <family val="1"/>
      </rPr>
      <t>E-CLASS E200 COUPE SPORT</t>
    </r>
  </si>
  <si>
    <r>
      <rPr>
        <sz val="11"/>
        <rFont val="Georgia"/>
        <family val="1"/>
      </rPr>
      <t>E-CLASS E200 SPORT</t>
    </r>
  </si>
  <si>
    <r>
      <rPr>
        <sz val="11"/>
        <rFont val="Georgia"/>
        <family val="1"/>
      </rPr>
      <t>E-CLASS E220D AVANTGARDE</t>
    </r>
  </si>
  <si>
    <r>
      <rPr>
        <sz val="11"/>
        <rFont val="Georgia"/>
        <family val="1"/>
      </rPr>
      <t>LDA-213004C</t>
    </r>
  </si>
  <si>
    <r>
      <rPr>
        <sz val="11"/>
        <rFont val="Georgia"/>
        <family val="1"/>
      </rPr>
      <t>E-CLASS E220D AVANTGARDE AMG LINE</t>
    </r>
  </si>
  <si>
    <r>
      <rPr>
        <sz val="11"/>
        <rFont val="Georgia"/>
        <family val="1"/>
      </rPr>
      <t>E-CLASS E220D AVANTGARDE AMG LINE PACKAGE</t>
    </r>
  </si>
  <si>
    <r>
      <rPr>
        <sz val="11"/>
        <rFont val="Georgia"/>
        <family val="1"/>
      </rPr>
      <t>E-CLASS E220D AVANTGARDE SPORT</t>
    </r>
  </si>
  <si>
    <r>
      <rPr>
        <sz val="11"/>
        <rFont val="Georgia"/>
        <family val="1"/>
      </rPr>
      <t>E-CLASS E220D LAUREUS EDITION</t>
    </r>
  </si>
  <si>
    <r>
      <rPr>
        <sz val="11"/>
        <rFont val="Georgia"/>
        <family val="1"/>
      </rPr>
      <t>E-CLASS E250 AVANTGARDE SPORT</t>
    </r>
  </si>
  <si>
    <r>
      <rPr>
        <sz val="11"/>
        <rFont val="Georgia"/>
        <family val="1"/>
      </rPr>
      <t>E-CLASS E300 AVANTGARDE SPORT</t>
    </r>
  </si>
  <si>
    <r>
      <rPr>
        <sz val="11"/>
        <rFont val="Georgia"/>
        <family val="1"/>
      </rPr>
      <t>E-CLASS E300 COUPE SPORT</t>
    </r>
  </si>
  <si>
    <r>
      <rPr>
        <sz val="11"/>
        <rFont val="Georgia"/>
        <family val="1"/>
      </rPr>
      <t>5BA-238383C</t>
    </r>
  </si>
  <si>
    <r>
      <rPr>
        <sz val="11"/>
        <rFont val="Georgia"/>
        <family val="1"/>
      </rPr>
      <t>E-CLASS E300 EXCLUSIVE AMG LINE PACKAGE</t>
    </r>
  </si>
  <si>
    <r>
      <rPr>
        <sz val="11"/>
        <rFont val="Georgia"/>
        <family val="1"/>
      </rPr>
      <t>E-CLASS E300 SPORT</t>
    </r>
  </si>
  <si>
    <r>
      <rPr>
        <sz val="11"/>
        <rFont val="Georgia"/>
        <family val="1"/>
      </rPr>
      <t>E-CLASS E450 4MATIC CABRIOLET SPORTS</t>
    </r>
  </si>
  <si>
    <r>
      <rPr>
        <sz val="11"/>
        <rFont val="Georgia"/>
        <family val="1"/>
      </rPr>
      <t>DBA-238468</t>
    </r>
  </si>
  <si>
    <r>
      <rPr>
        <sz val="11"/>
        <rFont val="Georgia"/>
        <family val="1"/>
      </rPr>
      <t>E-CLASS E450 4MATIC COUPE SPORT</t>
    </r>
  </si>
  <si>
    <r>
      <rPr>
        <sz val="11"/>
        <rFont val="Georgia"/>
        <family val="1"/>
      </rPr>
      <t>E-CLASS E450 4MATIC EXCLUSIVE</t>
    </r>
  </si>
  <si>
    <r>
      <rPr>
        <sz val="11"/>
        <rFont val="Georgia"/>
        <family val="1"/>
      </rPr>
      <t>E-CLASS STATION WAGON E220D STATIONWAGON AVANTGARDE AMG LINE PACKAGE</t>
    </r>
  </si>
  <si>
    <r>
      <rPr>
        <sz val="11"/>
        <rFont val="Georgia"/>
        <family val="1"/>
      </rPr>
      <t>E-CLASS STATION WAGON E220D STATIONWAGON AVANTGARDE SPORTS LEATHER VERSION</t>
    </r>
  </si>
  <si>
    <r>
      <rPr>
        <sz val="11"/>
        <rFont val="Georgia"/>
        <family val="1"/>
      </rPr>
      <t>E-CLASS STATION WAGON E220D STATIONWAGON SPORT</t>
    </r>
  </si>
  <si>
    <r>
      <rPr>
        <sz val="11"/>
        <rFont val="Georgia"/>
        <family val="1"/>
      </rPr>
      <t>E-CLASS STATION WAGON E250 STATIONWAGON AVANTGARDE SPORTS LEATHER VERSION</t>
    </r>
  </si>
  <si>
    <r>
      <rPr>
        <sz val="11"/>
        <rFont val="Georgia"/>
        <family val="1"/>
      </rPr>
      <t>E-CLASS STATION WAGON E300 STATIONWAGON AVANTGARDE SPORT</t>
    </r>
  </si>
  <si>
    <r>
      <rPr>
        <sz val="11"/>
        <rFont val="Georgia"/>
        <family val="1"/>
      </rPr>
      <t>E-CLASS STATION WAGON E450 4MATIC STATIO</t>
    </r>
  </si>
  <si>
    <r>
      <rPr>
        <sz val="11"/>
        <rFont val="Georgia"/>
        <family val="1"/>
      </rPr>
      <t>5AA-213259</t>
    </r>
  </si>
  <si>
    <r>
      <rPr>
        <sz val="11"/>
        <rFont val="Georgia"/>
        <family val="1"/>
      </rPr>
      <t>E-CLASS STATIONWAGON E200 4MATIC STATIONWAGON AVANTGARDE AMG LINE</t>
    </r>
  </si>
  <si>
    <r>
      <rPr>
        <sz val="11"/>
        <rFont val="Georgia"/>
        <family val="1"/>
      </rPr>
      <t>E-CLASS STATIONWAGON E200 4MATIC STATIO</t>
    </r>
  </si>
  <si>
    <r>
      <rPr>
        <sz val="11"/>
        <rFont val="Georgia"/>
        <family val="1"/>
      </rPr>
      <t>4AA-213278C</t>
    </r>
  </si>
  <si>
    <r>
      <rPr>
        <sz val="11"/>
        <rFont val="Georgia"/>
        <family val="1"/>
      </rPr>
      <t>E-CLASS STATIONWAGON E200 STATIONWAGON AVANTGARDE</t>
    </r>
  </si>
  <si>
    <r>
      <rPr>
        <sz val="11"/>
        <rFont val="Georgia"/>
        <family val="1"/>
      </rPr>
      <t>E-CLASS STATIONWAGON E200 STATIONWAGON AVANTGARDE AMG LINE PACKAGE</t>
    </r>
  </si>
  <si>
    <r>
      <rPr>
        <sz val="11"/>
        <rFont val="Georgia"/>
        <family val="1"/>
      </rPr>
      <t>E-CLASS STATIONWAGON E200 STATIONWAGON AVANTGARDE SPORTS LEATHER VERSION</t>
    </r>
  </si>
  <si>
    <r>
      <rPr>
        <sz val="11"/>
        <rFont val="Georgia"/>
        <family val="1"/>
      </rPr>
      <t>E-CLASS STATIONWAGON E200 STATIONWAGO</t>
    </r>
  </si>
  <si>
    <r>
      <rPr>
        <sz val="11"/>
        <rFont val="Georgia"/>
        <family val="1"/>
      </rPr>
      <t>4AA-213277C</t>
    </r>
  </si>
  <si>
    <r>
      <rPr>
        <sz val="11"/>
        <rFont val="Georgia"/>
        <family val="1"/>
      </rPr>
      <t>E-CLASS STATIONWAGON E220D STATIONWAGON AVANTGARDE</t>
    </r>
  </si>
  <si>
    <r>
      <rPr>
        <sz val="11"/>
        <rFont val="Georgia"/>
        <family val="1"/>
      </rPr>
      <t>E-CLASS STATIONWAGON E220D STATIONWAGON AVANTGARDE AMG LINE</t>
    </r>
  </si>
  <si>
    <r>
      <rPr>
        <sz val="11"/>
        <rFont val="Georgia"/>
        <family val="1"/>
      </rPr>
      <t>E-CLASS STATIONWAGON E220D STATIONWAGON AVANTGARDE AMG LINE PACKAGE</t>
    </r>
  </si>
  <si>
    <r>
      <rPr>
        <sz val="11"/>
        <rFont val="Georgia"/>
        <family val="1"/>
      </rPr>
      <t>E-CLASS STATIONWAGON E220D STATIONWAGON AVANTGARDE SPORTS LEATHER VERSION</t>
    </r>
  </si>
  <si>
    <r>
      <rPr>
        <sz val="11"/>
        <rFont val="Georgia"/>
        <family val="1"/>
      </rPr>
      <t>E-CLASS STATIONWAGON E220D STATIONWAGON SPORT</t>
    </r>
  </si>
  <si>
    <r>
      <rPr>
        <sz val="11"/>
        <rFont val="Georgia"/>
        <family val="1"/>
      </rPr>
      <t>E-CLASS STATIONWAGON E250 STATIONWAGON AVANTGARDE SPORTS LEATHER VERSION</t>
    </r>
  </si>
  <si>
    <r>
      <rPr>
        <sz val="11"/>
        <rFont val="Georgia"/>
        <family val="1"/>
      </rPr>
      <t>E-CLASS STATIONWAGON E300 STATIONWAGON AVANTGARDE SPORT</t>
    </r>
  </si>
  <si>
    <r>
      <rPr>
        <sz val="11"/>
        <rFont val="Georgia"/>
        <family val="1"/>
      </rPr>
      <t>E-CLASS STATIONWAGON E400 4MATIC STATIONWAGON EXCLUSIVE</t>
    </r>
  </si>
  <si>
    <r>
      <rPr>
        <sz val="11"/>
        <rFont val="Georgia"/>
        <family val="1"/>
      </rPr>
      <t>E-CLASS STATIONWAGON E450 4MATIC STATIO</t>
    </r>
  </si>
  <si>
    <r>
      <rPr>
        <sz val="11"/>
        <rFont val="Georgia"/>
        <family val="1"/>
      </rPr>
      <t>EQA EQA250</t>
    </r>
  </si>
  <si>
    <r>
      <rPr>
        <sz val="11"/>
        <rFont val="Georgia"/>
        <family val="1"/>
      </rPr>
      <t>EQA EQA250 AMG LEATHER EXCLUSIVE PACKAGE</t>
    </r>
  </si>
  <si>
    <r>
      <rPr>
        <sz val="11"/>
        <rFont val="Georgia"/>
        <family val="1"/>
      </rPr>
      <t>EQA EQA250 AMG LINE</t>
    </r>
  </si>
  <si>
    <r>
      <rPr>
        <sz val="11"/>
        <rFont val="Georgia"/>
        <family val="1"/>
      </rPr>
      <t>EQA EQA250 AMG LINE PACKAGE</t>
    </r>
  </si>
  <si>
    <r>
      <rPr>
        <sz val="11"/>
        <rFont val="Georgia"/>
        <family val="1"/>
      </rPr>
      <t>EQA EQA250 EDITION 1</t>
    </r>
  </si>
  <si>
    <r>
      <rPr>
        <sz val="11"/>
        <rFont val="Georgia"/>
        <family val="1"/>
      </rPr>
      <t>ZAA-243701C</t>
    </r>
  </si>
  <si>
    <r>
      <rPr>
        <sz val="11"/>
        <rFont val="Georgia"/>
        <family val="1"/>
      </rPr>
      <t>EQB EQB250</t>
    </r>
  </si>
  <si>
    <r>
      <rPr>
        <sz val="11"/>
        <rFont val="Georgia"/>
        <family val="1"/>
      </rPr>
      <t>EQB EQB250 AMG LINE PACKAGE</t>
    </r>
  </si>
  <si>
    <r>
      <rPr>
        <sz val="11"/>
        <rFont val="Georgia"/>
        <family val="1"/>
      </rPr>
      <t>EQB EQB250+ AMG LINE PACKAGE</t>
    </r>
  </si>
  <si>
    <r>
      <rPr>
        <sz val="11"/>
        <rFont val="Georgia"/>
        <family val="1"/>
      </rPr>
      <t>EQB EQB350 4MATIC</t>
    </r>
  </si>
  <si>
    <r>
      <rPr>
        <sz val="11"/>
        <rFont val="Georgia"/>
        <family val="1"/>
      </rPr>
      <t>EQB EQB350 4MATIC AMG LINE PACKAGE</t>
    </r>
  </si>
  <si>
    <r>
      <rPr>
        <sz val="11"/>
        <rFont val="Georgia"/>
        <family val="1"/>
      </rPr>
      <t>EQC EQC400 4MATIC AMG LINE</t>
    </r>
  </si>
  <si>
    <r>
      <rPr>
        <sz val="11"/>
        <rFont val="Georgia"/>
        <family val="1"/>
      </rPr>
      <t>EQC EQC400 4MATIC AMG LINE PACKAGE</t>
    </r>
  </si>
  <si>
    <r>
      <rPr>
        <sz val="11"/>
        <rFont val="Georgia"/>
        <family val="1"/>
      </rPr>
      <t>EQE EQE350+ AMG LINE PACKAGE</t>
    </r>
  </si>
  <si>
    <r>
      <rPr>
        <sz val="11"/>
        <rFont val="Georgia"/>
        <family val="1"/>
      </rPr>
      <t>EQE SUV EQE350 4MATIC SUV AMG LINE PACKAGE</t>
    </r>
  </si>
  <si>
    <r>
      <rPr>
        <sz val="11"/>
        <rFont val="Georgia"/>
        <family val="1"/>
      </rPr>
      <t>EQE SUV EQE350 4MATIC SUV LAUNCH EDITIO</t>
    </r>
  </si>
  <si>
    <r>
      <rPr>
        <sz val="11"/>
        <rFont val="Georgia"/>
        <family val="1"/>
      </rPr>
      <t>ZAA-294612</t>
    </r>
  </si>
  <si>
    <r>
      <rPr>
        <sz val="11"/>
        <rFont val="Georgia"/>
        <family val="1"/>
      </rPr>
      <t>EQS EQS450+</t>
    </r>
  </si>
  <si>
    <r>
      <rPr>
        <sz val="11"/>
        <rFont val="Georgia"/>
        <family val="1"/>
      </rPr>
      <t>ZAA-297123</t>
    </r>
  </si>
  <si>
    <r>
      <rPr>
        <sz val="11"/>
        <rFont val="Georgia"/>
        <family val="1"/>
      </rPr>
      <t>EQS EQS450+ AMG LINE PACKAGE</t>
    </r>
  </si>
  <si>
    <r>
      <rPr>
        <sz val="11"/>
        <rFont val="Georgia"/>
        <family val="1"/>
      </rPr>
      <t>EQS SUV EQS450 4MATIC SUV AMG LINE PACKAGE</t>
    </r>
  </si>
  <si>
    <r>
      <rPr>
        <sz val="11"/>
        <rFont val="Georgia"/>
        <family val="1"/>
      </rPr>
      <t>EQS SUV EQS580 4MATIC SUV SPORT</t>
    </r>
  </si>
  <si>
    <r>
      <rPr>
        <sz val="11"/>
        <rFont val="Georgia"/>
        <family val="1"/>
      </rPr>
      <t>ZAA-296644</t>
    </r>
  </si>
  <si>
    <r>
      <rPr>
        <sz val="11"/>
        <rFont val="Georgia"/>
        <family val="1"/>
      </rPr>
      <t>G-CLASS G350D</t>
    </r>
  </si>
  <si>
    <r>
      <rPr>
        <sz val="11"/>
        <rFont val="Georgia"/>
        <family val="1"/>
      </rPr>
      <t>G-CLASS G350D AMG LINE</t>
    </r>
  </si>
  <si>
    <r>
      <rPr>
        <sz val="11"/>
        <rFont val="Georgia"/>
        <family val="1"/>
      </rPr>
      <t>G-CLASS G350D HERITAGE EDITION</t>
    </r>
  </si>
  <si>
    <r>
      <rPr>
        <sz val="11"/>
        <rFont val="Georgia"/>
        <family val="1"/>
      </rPr>
      <t>LDA-463348</t>
    </r>
  </si>
  <si>
    <r>
      <rPr>
        <sz val="11"/>
        <rFont val="Georgia"/>
        <family val="1"/>
      </rPr>
      <t>G-CLASS G400D</t>
    </r>
  </si>
  <si>
    <r>
      <rPr>
        <sz val="11"/>
        <rFont val="Georgia"/>
        <family val="1"/>
      </rPr>
      <t>3DA-463350</t>
    </r>
  </si>
  <si>
    <r>
      <rPr>
        <sz val="11"/>
        <rFont val="Georgia"/>
        <family val="1"/>
      </rPr>
      <t>G-CLASS G400D AMG LINE</t>
    </r>
  </si>
  <si>
    <r>
      <rPr>
        <sz val="11"/>
        <rFont val="Georgia"/>
        <family val="1"/>
      </rPr>
      <t>G-CLASS G400D MANUFAKTUR EDITION</t>
    </r>
  </si>
  <si>
    <r>
      <rPr>
        <sz val="11"/>
        <rFont val="Georgia"/>
        <family val="1"/>
      </rPr>
      <t>G-CLASS G450D LAUNCH EDITION</t>
    </r>
  </si>
  <si>
    <r>
      <rPr>
        <sz val="11"/>
        <rFont val="Georgia"/>
        <family val="1"/>
      </rPr>
      <t>7CA-465310C</t>
    </r>
  </si>
  <si>
    <r>
      <rPr>
        <sz val="11"/>
        <rFont val="Georgia"/>
        <family val="1"/>
      </rPr>
      <t>G-CLASS G550 AMG LINE</t>
    </r>
  </si>
  <si>
    <r>
      <rPr>
        <sz val="11"/>
        <rFont val="Georgia"/>
        <family val="1"/>
      </rPr>
      <t>GLA-CLASS GLA180</t>
    </r>
  </si>
  <si>
    <r>
      <rPr>
        <sz val="11"/>
        <rFont val="Georgia"/>
        <family val="1"/>
      </rPr>
      <t>GLA-CLASS GLA180 AMG LINE PACKAGE</t>
    </r>
  </si>
  <si>
    <r>
      <rPr>
        <sz val="11"/>
        <rFont val="Georgia"/>
        <family val="1"/>
      </rPr>
      <t>GLA-CLASS GLA200D 4MATIC</t>
    </r>
  </si>
  <si>
    <r>
      <rPr>
        <sz val="11"/>
        <rFont val="Georgia"/>
        <family val="1"/>
      </rPr>
      <t>3DA-247713M</t>
    </r>
  </si>
  <si>
    <r>
      <rPr>
        <sz val="11"/>
        <rFont val="Georgia"/>
        <family val="1"/>
      </rPr>
      <t>GLA-CLASS GLA200D 4MATIC AMG LINE</t>
    </r>
  </si>
  <si>
    <r>
      <rPr>
        <sz val="11"/>
        <rFont val="Georgia"/>
        <family val="1"/>
      </rPr>
      <t>GLA-CLASS GLA200D 4MATIC AMG LINE PACKAGE</t>
    </r>
  </si>
  <si>
    <r>
      <rPr>
        <sz val="11"/>
        <rFont val="Georgia"/>
        <family val="1"/>
      </rPr>
      <t>GLA-CLASS GLA220 4MATIC</t>
    </r>
  </si>
  <si>
    <r>
      <rPr>
        <sz val="11"/>
        <rFont val="Georgia"/>
        <family val="1"/>
      </rPr>
      <t>GLB GLB180</t>
    </r>
  </si>
  <si>
    <r>
      <rPr>
        <sz val="11"/>
        <rFont val="Georgia"/>
        <family val="1"/>
      </rPr>
      <t>GLB GLB180 AMG LEATHER EXCLUSIVE PACKAGE</t>
    </r>
  </si>
  <si>
    <r>
      <rPr>
        <sz val="11"/>
        <rFont val="Georgia"/>
        <family val="1"/>
      </rPr>
      <t>GLB GLB180 AMG LINE</t>
    </r>
  </si>
  <si>
    <r>
      <rPr>
        <sz val="11"/>
        <rFont val="Georgia"/>
        <family val="1"/>
      </rPr>
      <t>GLB GLB180 AMG LINE PACKAGE</t>
    </r>
  </si>
  <si>
    <r>
      <rPr>
        <sz val="11"/>
        <rFont val="Georgia"/>
        <family val="1"/>
      </rPr>
      <t>GLB GLB200D</t>
    </r>
  </si>
  <si>
    <r>
      <rPr>
        <sz val="11"/>
        <rFont val="Georgia"/>
        <family val="1"/>
      </rPr>
      <t>3DA-247612M</t>
    </r>
  </si>
  <si>
    <r>
      <rPr>
        <sz val="11"/>
        <rFont val="Georgia"/>
        <family val="1"/>
      </rPr>
      <t>GLB GLB200D 4MATIC</t>
    </r>
  </si>
  <si>
    <r>
      <rPr>
        <sz val="11"/>
        <rFont val="Georgia"/>
        <family val="1"/>
      </rPr>
      <t>GLB GLB200D 4MATIC AMG LEATHER EXCLUSIVE PACKAGE</t>
    </r>
  </si>
  <si>
    <r>
      <rPr>
        <sz val="11"/>
        <rFont val="Georgia"/>
        <family val="1"/>
      </rPr>
      <t>GLB GLB200D 4MATIC AMG LINE</t>
    </r>
  </si>
  <si>
    <r>
      <rPr>
        <sz val="11"/>
        <rFont val="Georgia"/>
        <family val="1"/>
      </rPr>
      <t>GLB GLB200D 4MATIC AMG LINE PACKAGE</t>
    </r>
  </si>
  <si>
    <r>
      <rPr>
        <sz val="11"/>
        <rFont val="Georgia"/>
        <family val="1"/>
      </rPr>
      <t>GLB GLB200D 4MATIC EDITION BLACK STARS</t>
    </r>
  </si>
  <si>
    <r>
      <rPr>
        <sz val="11"/>
        <rFont val="Georgia"/>
        <family val="1"/>
      </rPr>
      <t>3DA-247613M</t>
    </r>
  </si>
  <si>
    <r>
      <rPr>
        <sz val="11"/>
        <rFont val="Georgia"/>
        <family val="1"/>
      </rPr>
      <t>GLB GLB200D 4MATIC NIGHT EDITION</t>
    </r>
  </si>
  <si>
    <r>
      <rPr>
        <sz val="11"/>
        <rFont val="Georgia"/>
        <family val="1"/>
      </rPr>
      <t>GLB GLB200D AMG LINE</t>
    </r>
  </si>
  <si>
    <r>
      <rPr>
        <sz val="11"/>
        <rFont val="Georgia"/>
        <family val="1"/>
      </rPr>
      <t>GLB GLB250 4MATIC SPORTS</t>
    </r>
  </si>
  <si>
    <r>
      <rPr>
        <sz val="11"/>
        <rFont val="Georgia"/>
        <family val="1"/>
      </rPr>
      <t>GLC-CLASS GLC200 SPORTS</t>
    </r>
  </si>
  <si>
    <r>
      <rPr>
        <sz val="11"/>
        <rFont val="Georgia"/>
        <family val="1"/>
      </rPr>
      <t>GLC-CLASS GLC220D 4MATIC AMG LINE</t>
    </r>
  </si>
  <si>
    <r>
      <rPr>
        <sz val="11"/>
        <rFont val="Georgia"/>
        <family val="1"/>
      </rPr>
      <t>GLC-CLASS GLC220D 4MATIC COUPE</t>
    </r>
  </si>
  <si>
    <r>
      <rPr>
        <sz val="11"/>
        <rFont val="Georgia"/>
        <family val="1"/>
      </rPr>
      <t>3DA-253315C</t>
    </r>
  </si>
  <si>
    <r>
      <rPr>
        <sz val="11"/>
        <rFont val="Georgia"/>
        <family val="1"/>
      </rPr>
      <t>GLC-CLASS GLC220D 4MATIC COUPE AMG LINE</t>
    </r>
  </si>
  <si>
    <r>
      <rPr>
        <sz val="11"/>
        <rFont val="Georgia"/>
        <family val="1"/>
      </rPr>
      <t>GLC-CLASS GLC220D 4MATIC COUPE AMG LINE PACKAGE</t>
    </r>
  </si>
  <si>
    <r>
      <rPr>
        <sz val="11"/>
        <rFont val="Georgia"/>
        <family val="1"/>
      </rPr>
      <t>GLC-CLASS GLC220D 4MATIC COUPE DRIVERS P</t>
    </r>
  </si>
  <si>
    <r>
      <rPr>
        <sz val="11"/>
        <rFont val="Georgia"/>
        <family val="1"/>
      </rPr>
      <t>3CA-254305</t>
    </r>
  </si>
  <si>
    <r>
      <rPr>
        <sz val="11"/>
        <rFont val="Georgia"/>
        <family val="1"/>
      </rPr>
      <t>GLC-CLASS GLC220D 4MATIC COUPE SPORTS</t>
    </r>
  </si>
  <si>
    <r>
      <rPr>
        <sz val="11"/>
        <rFont val="Georgia"/>
        <family val="1"/>
      </rPr>
      <t>GLC-CLASS GLC220D 4MATIC COUPE SPORTS(LEATHER VERSION)</t>
    </r>
  </si>
  <si>
    <r>
      <rPr>
        <sz val="11"/>
        <rFont val="Georgia"/>
        <family val="1"/>
      </rPr>
      <t>GLC-CLASS GLC220D 4MATIC DRIVERS PACKAGE</t>
    </r>
  </si>
  <si>
    <r>
      <rPr>
        <sz val="11"/>
        <rFont val="Georgia"/>
        <family val="1"/>
      </rPr>
      <t>GLC-CLASS GLC220D 4MATIC LAUREUS EDITIO</t>
    </r>
  </si>
  <si>
    <r>
      <rPr>
        <sz val="11"/>
        <rFont val="Georgia"/>
        <family val="1"/>
      </rPr>
      <t>LDA-253905C</t>
    </r>
  </si>
  <si>
    <r>
      <rPr>
        <sz val="11"/>
        <rFont val="Georgia"/>
        <family val="1"/>
      </rPr>
      <t>GLC-CLASS GLC220D 4MATIC SPORTS</t>
    </r>
  </si>
  <si>
    <r>
      <rPr>
        <sz val="11"/>
        <rFont val="Georgia"/>
        <family val="1"/>
      </rPr>
      <t>GLC-CLASS GLC300 4MATIC</t>
    </r>
  </si>
  <si>
    <r>
      <rPr>
        <sz val="11"/>
        <rFont val="Georgia"/>
        <family val="1"/>
      </rPr>
      <t>GLC-CLASS GLC300 4MATIC COUPE AMG LINE</t>
    </r>
  </si>
  <si>
    <r>
      <rPr>
        <sz val="11"/>
        <rFont val="Georgia"/>
        <family val="1"/>
      </rPr>
      <t>GLC-CLASS GLC350 E 4MATIC COUPE SPORTS ED STAR AMG LEATHER EXCLUSIVE PAC</t>
    </r>
  </si>
  <si>
    <r>
      <rPr>
        <sz val="11"/>
        <rFont val="Georgia"/>
        <family val="1"/>
      </rPr>
      <t>GLC-CLASS GLC350 E 4MATIC SPORTS EDITION STAR</t>
    </r>
  </si>
  <si>
    <r>
      <rPr>
        <sz val="11"/>
        <rFont val="Georgia"/>
        <family val="1"/>
      </rPr>
      <t>GLC-CLASS GLC350E 4M SPORTS ED STAR AMG LEATHER EXCLUSIVE PACKAGE</t>
    </r>
  </si>
  <si>
    <r>
      <rPr>
        <sz val="11"/>
        <rFont val="Georgia"/>
        <family val="1"/>
      </rPr>
      <t>GLE</t>
    </r>
  </si>
  <si>
    <r>
      <rPr>
        <sz val="11"/>
        <rFont val="Georgia"/>
        <family val="1"/>
      </rPr>
      <t>GLE GLE300D 4MATIC AMG LINE</t>
    </r>
  </si>
  <si>
    <r>
      <rPr>
        <sz val="11"/>
        <rFont val="Georgia"/>
        <family val="1"/>
      </rPr>
      <t>GLE GLE300D 4MATIC AMG LINE PACKAGE</t>
    </r>
  </si>
  <si>
    <r>
      <rPr>
        <sz val="11"/>
        <rFont val="Georgia"/>
        <family val="1"/>
      </rPr>
      <t>GLE GLE350D 4MATIC COUPE SPORTS</t>
    </r>
  </si>
  <si>
    <r>
      <rPr>
        <sz val="11"/>
        <rFont val="Georgia"/>
        <family val="1"/>
      </rPr>
      <t>GLE GLE400D 4MATIC COUPE SPORTS</t>
    </r>
  </si>
  <si>
    <r>
      <rPr>
        <sz val="11"/>
        <rFont val="Georgia"/>
        <family val="1"/>
      </rPr>
      <t>GLE GLE400D 4MATIC SPORTS</t>
    </r>
  </si>
  <si>
    <r>
      <rPr>
        <sz val="11"/>
        <rFont val="Georgia"/>
        <family val="1"/>
      </rPr>
      <t>GLE GLE450 4MATIC SPORTS</t>
    </r>
  </si>
  <si>
    <r>
      <rPr>
        <sz val="11"/>
        <rFont val="Georgia"/>
        <family val="1"/>
      </rPr>
      <t>GLE GLE450D 4MATIC COUPE SPORTS</t>
    </r>
  </si>
  <si>
    <r>
      <rPr>
        <sz val="11"/>
        <rFont val="Georgia"/>
        <family val="1"/>
      </rPr>
      <t>GLS GLS400D 4MATIC</t>
    </r>
  </si>
  <si>
    <r>
      <rPr>
        <sz val="11"/>
        <rFont val="Georgia"/>
        <family val="1"/>
      </rPr>
      <t>3DA-167923</t>
    </r>
  </si>
  <si>
    <r>
      <rPr>
        <sz val="11"/>
        <rFont val="Georgia"/>
        <family val="1"/>
      </rPr>
      <t>GLS GLS400D 4MATIC AMG LINE</t>
    </r>
  </si>
  <si>
    <r>
      <rPr>
        <sz val="11"/>
        <rFont val="Georgia"/>
        <family val="1"/>
      </rPr>
      <t>GLS GLS400D 4MATIC AMG LINE PACKAGE</t>
    </r>
  </si>
  <si>
    <r>
      <rPr>
        <sz val="11"/>
        <rFont val="Georgia"/>
        <family val="1"/>
      </rPr>
      <t>GLS GLS450D 4MATIC AMG LINE PACKAGE</t>
    </r>
  </si>
  <si>
    <r>
      <rPr>
        <sz val="11"/>
        <rFont val="Georgia"/>
        <family val="1"/>
      </rPr>
      <t>S-CLASS</t>
    </r>
  </si>
  <si>
    <r>
      <rPr>
        <sz val="11"/>
        <rFont val="Georgia"/>
        <family val="1"/>
      </rPr>
      <t>S-CLASS S400D 4 MATIC</t>
    </r>
  </si>
  <si>
    <r>
      <rPr>
        <sz val="11"/>
        <rFont val="Georgia"/>
        <family val="1"/>
      </rPr>
      <t>S-CLASS S400D 4 MATIC AMG LINE</t>
    </r>
  </si>
  <si>
    <r>
      <rPr>
        <sz val="11"/>
        <rFont val="Georgia"/>
        <family val="1"/>
      </rPr>
      <t>S-CLASS S400D 4 MATIC AMG LINE PACKAGE</t>
    </r>
  </si>
  <si>
    <r>
      <rPr>
        <sz val="11"/>
        <rFont val="Georgia"/>
        <family val="1"/>
      </rPr>
      <t>S-CLASS S400D SPORTS LIMITED</t>
    </r>
  </si>
  <si>
    <r>
      <rPr>
        <sz val="11"/>
        <rFont val="Georgia"/>
        <family val="1"/>
      </rPr>
      <t>LDA-222034</t>
    </r>
  </si>
  <si>
    <r>
      <rPr>
        <sz val="11"/>
        <rFont val="Georgia"/>
        <family val="1"/>
      </rPr>
      <t>S-CLASS S450 AMG LINE</t>
    </r>
  </si>
  <si>
    <r>
      <rPr>
        <sz val="11"/>
        <rFont val="Georgia"/>
        <family val="1"/>
      </rPr>
      <t>S-CLASS S450 EXCLUSIVE AMG LINE</t>
    </r>
  </si>
  <si>
    <r>
      <rPr>
        <sz val="11"/>
        <rFont val="Georgia"/>
        <family val="1"/>
      </rPr>
      <t>S-CLASS S450D 4 MATIC AMG LINE PACKAGE</t>
    </r>
  </si>
  <si>
    <r>
      <rPr>
        <sz val="11"/>
        <rFont val="Georgia"/>
        <family val="1"/>
      </rPr>
      <t>S-CLASS S500 4 MATIC</t>
    </r>
  </si>
  <si>
    <r>
      <rPr>
        <sz val="11"/>
        <rFont val="Georgia"/>
        <family val="1"/>
      </rPr>
      <t>S-CLASS S500 4 MATIC AMG LINE</t>
    </r>
  </si>
  <si>
    <r>
      <rPr>
        <sz val="11"/>
        <rFont val="Georgia"/>
        <family val="1"/>
      </rPr>
      <t>S-CLASS S500 4 MATIC LONG AMG LINE</t>
    </r>
  </si>
  <si>
    <r>
      <rPr>
        <sz val="11"/>
        <rFont val="Georgia"/>
        <family val="1"/>
      </rPr>
      <t>S-CLASS S500 4 MATIC LONG FIRST EDITION</t>
    </r>
  </si>
  <si>
    <r>
      <rPr>
        <sz val="11"/>
        <rFont val="Georgia"/>
        <family val="1"/>
      </rPr>
      <t>5AA-223163</t>
    </r>
  </si>
  <si>
    <r>
      <rPr>
        <sz val="11"/>
        <rFont val="Georgia"/>
        <family val="1"/>
      </rPr>
      <t>S-CLASS S500 4 MATIC LONG FIRST EDITION AM</t>
    </r>
  </si>
  <si>
    <r>
      <rPr>
        <sz val="11"/>
        <rFont val="Georgia"/>
        <family val="1"/>
      </rPr>
      <t>S-CLASS S550 CABRIOLET</t>
    </r>
  </si>
  <si>
    <r>
      <rPr>
        <sz val="11"/>
        <rFont val="Georgia"/>
        <family val="1"/>
      </rPr>
      <t>DBA-217482</t>
    </r>
  </si>
  <si>
    <r>
      <rPr>
        <sz val="11"/>
        <rFont val="Georgia"/>
        <family val="1"/>
      </rPr>
      <t>S-CLASS S560 COUPE AMG LINE</t>
    </r>
  </si>
  <si>
    <r>
      <rPr>
        <sz val="11"/>
        <rFont val="Georgia"/>
        <family val="1"/>
      </rPr>
      <t>DBA-217383C</t>
    </r>
  </si>
  <si>
    <r>
      <rPr>
        <sz val="11"/>
        <rFont val="Georgia"/>
        <family val="1"/>
      </rPr>
      <t>S-CLASS S560 LONG</t>
    </r>
  </si>
  <si>
    <r>
      <rPr>
        <sz val="11"/>
        <rFont val="Georgia"/>
        <family val="1"/>
      </rPr>
      <t>S-CLASS S560 LONG AMG LINE</t>
    </r>
  </si>
  <si>
    <r>
      <rPr>
        <sz val="11"/>
        <rFont val="Georgia"/>
        <family val="1"/>
      </rPr>
      <t>S-CLASS S560 LONG CHAUFFEURED LIMITED</t>
    </r>
  </si>
  <si>
    <r>
      <rPr>
        <sz val="11"/>
        <rFont val="Georgia"/>
        <family val="1"/>
      </rPr>
      <t>DBA-222183</t>
    </r>
  </si>
  <si>
    <r>
      <rPr>
        <sz val="11"/>
        <rFont val="Georgia"/>
        <family val="1"/>
      </rPr>
      <t>S-CLASS S560 LONG SPORTS LIMITED</t>
    </r>
  </si>
  <si>
    <r>
      <rPr>
        <sz val="11"/>
        <rFont val="Georgia"/>
        <family val="1"/>
      </rPr>
      <t>S-CLASS S560E LONG</t>
    </r>
  </si>
  <si>
    <r>
      <rPr>
        <sz val="11"/>
        <rFont val="Georgia"/>
        <family val="1"/>
      </rPr>
      <t>DLA-222173</t>
    </r>
  </si>
  <si>
    <r>
      <rPr>
        <sz val="11"/>
        <rFont val="Georgia"/>
        <family val="1"/>
      </rPr>
      <t>S-CLASS S580 4 MATIC AMG LINE</t>
    </r>
  </si>
  <si>
    <r>
      <rPr>
        <sz val="11"/>
        <rFont val="Georgia"/>
        <family val="1"/>
      </rPr>
      <t>S-CLASS S580 4 MATIC LONG AMG LINE</t>
    </r>
  </si>
  <si>
    <r>
      <rPr>
        <sz val="11"/>
        <rFont val="Georgia"/>
        <family val="1"/>
      </rPr>
      <t>SL SL400</t>
    </r>
  </si>
  <si>
    <r>
      <rPr>
        <sz val="11"/>
        <rFont val="Georgia"/>
        <family val="1"/>
      </rPr>
      <t>SLC SLC180 SPORTS</t>
    </r>
  </si>
  <si>
    <r>
      <rPr>
        <sz val="11"/>
        <rFont val="Georgia"/>
        <family val="1"/>
      </rPr>
      <t>SLC SLC180 SPORTS FINAL EDITION</t>
    </r>
  </si>
  <si>
    <r>
      <rPr>
        <sz val="11"/>
        <rFont val="Georgia"/>
        <family val="1"/>
      </rPr>
      <t>TRANSPORTER 207D</t>
    </r>
  </si>
  <si>
    <r>
      <rPr>
        <sz val="11"/>
        <rFont val="Georgia"/>
        <family val="1"/>
      </rPr>
      <t>V-CLASS</t>
    </r>
  </si>
  <si>
    <r>
      <rPr>
        <sz val="11"/>
        <rFont val="Georgia"/>
        <family val="1"/>
      </rPr>
      <t>LDA-447811</t>
    </r>
  </si>
  <si>
    <r>
      <rPr>
        <sz val="11"/>
        <rFont val="Georgia"/>
        <family val="1"/>
      </rPr>
      <t>V-CLASS V 220 D EXCLUSIVE LONG PLATINUM SUITE</t>
    </r>
  </si>
  <si>
    <r>
      <rPr>
        <sz val="11"/>
        <rFont val="Georgia"/>
        <family val="1"/>
      </rPr>
      <t>V-CLASS V220D</t>
    </r>
  </si>
  <si>
    <r>
      <rPr>
        <sz val="11"/>
        <rFont val="Georgia"/>
        <family val="1"/>
      </rPr>
      <t>V-CLASS V220D AVANTGARDE</t>
    </r>
  </si>
  <si>
    <r>
      <rPr>
        <sz val="11"/>
        <rFont val="Georgia"/>
        <family val="1"/>
      </rPr>
      <t>V-CLASS V220D AVANTGARDE AMG LINE</t>
    </r>
  </si>
  <si>
    <r>
      <rPr>
        <sz val="11"/>
        <rFont val="Georgia"/>
        <family val="1"/>
      </rPr>
      <t>V-CLASS V220D AVANTGARDE AMG LINE PACKAGE</t>
    </r>
  </si>
  <si>
    <r>
      <rPr>
        <sz val="11"/>
        <rFont val="Georgia"/>
        <family val="1"/>
      </rPr>
      <t>V-CLASS V220D AVANTGARDE EXTRA LONG BLACK SUITE</t>
    </r>
  </si>
  <si>
    <r>
      <rPr>
        <sz val="11"/>
        <rFont val="Georgia"/>
        <family val="1"/>
      </rPr>
      <t>V-CLASS V220D AVANTGARDE LONG</t>
    </r>
  </si>
  <si>
    <r>
      <rPr>
        <sz val="11"/>
        <rFont val="Georgia"/>
        <family val="1"/>
      </rPr>
      <t>V-CLASS V220D AVANTGARDE LONG AMG LINE</t>
    </r>
  </si>
  <si>
    <r>
      <rPr>
        <sz val="11"/>
        <rFont val="Georgia"/>
        <family val="1"/>
      </rPr>
      <t>V-CLASS V220D AVANTGARDE LONG AMG LINE PACKAGE</t>
    </r>
  </si>
  <si>
    <r>
      <rPr>
        <sz val="11"/>
        <rFont val="Georgia"/>
        <family val="1"/>
      </rPr>
      <t>V-CLASS V220D MARCO POLO HORIZON</t>
    </r>
  </si>
  <si>
    <r>
      <rPr>
        <sz val="11"/>
        <rFont val="Georgia"/>
        <family val="1"/>
      </rPr>
      <t>V-CLASS V220D SPORTS</t>
    </r>
  </si>
  <si>
    <r>
      <rPr>
        <sz val="11"/>
        <rFont val="Georgia"/>
        <family val="1"/>
      </rPr>
      <t>V-CLASS V260 AVANTGARDE LONG</t>
    </r>
  </si>
  <si>
    <r>
      <rPr>
        <sz val="11"/>
        <rFont val="Georgia"/>
        <family val="1"/>
      </rPr>
      <t>ABA-447813</t>
    </r>
  </si>
  <si>
    <r>
      <rPr>
        <sz val="11"/>
        <rFont val="Georgia"/>
        <family val="1"/>
      </rPr>
      <t>GLA 35 4MATIC</t>
    </r>
  </si>
  <si>
    <r>
      <rPr>
        <sz val="11"/>
        <rFont val="Georgia"/>
        <family val="1"/>
      </rPr>
      <t>DCT - 8G</t>
    </r>
  </si>
  <si>
    <r>
      <rPr>
        <sz val="11"/>
        <rFont val="Georgia"/>
        <family val="1"/>
      </rPr>
      <t>GLA 35 4MATIC PREMIUM</t>
    </r>
  </si>
  <si>
    <r>
      <rPr>
        <sz val="11"/>
        <rFont val="Georgia"/>
        <family val="1"/>
      </rPr>
      <t>GLA 35 4MATIC PREMIUM PLUS</t>
    </r>
  </si>
  <si>
    <r>
      <rPr>
        <sz val="11"/>
        <rFont val="Georgia"/>
        <family val="1"/>
      </rPr>
      <t>GLA 45 S 4MATIC +</t>
    </r>
  </si>
  <si>
    <r>
      <rPr>
        <sz val="11"/>
        <rFont val="Georgia"/>
        <family val="1"/>
      </rPr>
      <t>CBA-156952</t>
    </r>
  </si>
  <si>
    <r>
      <rPr>
        <sz val="11"/>
        <rFont val="Georgia"/>
        <family val="1"/>
      </rPr>
      <t>GLA 45 S 4MATIC + PLUS</t>
    </r>
  </si>
  <si>
    <r>
      <rPr>
        <sz val="11"/>
        <rFont val="Georgia"/>
        <family val="1"/>
      </rPr>
      <t>GLA 45 S 4MATIC + PLUS(NIGHT PKG)</t>
    </r>
  </si>
  <si>
    <r>
      <rPr>
        <sz val="11"/>
        <rFont val="Georgia"/>
        <family val="1"/>
      </rPr>
      <t>MERCEDES-BENZ</t>
    </r>
  </si>
  <si>
    <r>
      <rPr>
        <sz val="11"/>
        <rFont val="Georgia"/>
        <family val="1"/>
      </rPr>
      <t>ACTROS 3340S</t>
    </r>
  </si>
  <si>
    <r>
      <rPr>
        <sz val="11"/>
        <rFont val="Georgia"/>
        <family val="1"/>
      </rPr>
      <t>3340S</t>
    </r>
  </si>
  <si>
    <r>
      <rPr>
        <sz val="11"/>
        <rFont val="Georgia"/>
        <family val="1"/>
      </rPr>
      <t>ACTROS 2640LS</t>
    </r>
  </si>
  <si>
    <r>
      <rPr>
        <sz val="11"/>
        <rFont val="Georgia"/>
        <family val="1"/>
      </rPr>
      <t>2640LS</t>
    </r>
  </si>
  <si>
    <r>
      <rPr>
        <sz val="11"/>
        <rFont val="Georgia"/>
        <family val="1"/>
      </rPr>
      <t>ACTROS 3340LS</t>
    </r>
  </si>
  <si>
    <r>
      <rPr>
        <sz val="11"/>
        <rFont val="Georgia"/>
        <family val="1"/>
      </rPr>
      <t>3340LS</t>
    </r>
  </si>
  <si>
    <r>
      <rPr>
        <sz val="11"/>
        <rFont val="Georgia"/>
        <family val="1"/>
      </rPr>
      <t>ACTROS 3341</t>
    </r>
  </si>
  <si>
    <r>
      <rPr>
        <sz val="11"/>
        <rFont val="Georgia"/>
        <family val="1"/>
      </rPr>
      <t>ACTROS 4148</t>
    </r>
  </si>
  <si>
    <r>
      <rPr>
        <sz val="11"/>
        <rFont val="Georgia"/>
        <family val="1"/>
      </rPr>
      <t>ACTROS 5044</t>
    </r>
  </si>
  <si>
    <r>
      <rPr>
        <sz val="11"/>
        <rFont val="Georgia"/>
        <family val="1"/>
      </rPr>
      <t>ACTROS 2653</t>
    </r>
  </si>
  <si>
    <r>
      <rPr>
        <sz val="11"/>
        <rFont val="Georgia"/>
        <family val="1"/>
      </rPr>
      <t>ACTROS 1845</t>
    </r>
  </si>
  <si>
    <r>
      <rPr>
        <sz val="11"/>
        <rFont val="Georgia"/>
        <family val="1"/>
      </rPr>
      <t>ACTROS 2545</t>
    </r>
  </si>
  <si>
    <r>
      <rPr>
        <sz val="11"/>
        <rFont val="Georgia"/>
        <family val="1"/>
      </rPr>
      <t>ACTROS 3345</t>
    </r>
  </si>
  <si>
    <r>
      <rPr>
        <sz val="11"/>
        <rFont val="Georgia"/>
        <family val="1"/>
      </rPr>
      <t>ACTROS 4163</t>
    </r>
  </si>
  <si>
    <r>
      <rPr>
        <sz val="11"/>
        <rFont val="Georgia"/>
        <family val="1"/>
      </rPr>
      <t>ACTROS 2651</t>
    </r>
  </si>
  <si>
    <r>
      <rPr>
        <sz val="11"/>
        <rFont val="Georgia"/>
        <family val="1"/>
      </rPr>
      <t>ACTROS 1848</t>
    </r>
  </si>
  <si>
    <r>
      <rPr>
        <sz val="11"/>
        <rFont val="Georgia"/>
        <family val="1"/>
      </rPr>
      <t>ACTROS 2548</t>
    </r>
  </si>
  <si>
    <r>
      <rPr>
        <sz val="11"/>
        <rFont val="Georgia"/>
        <family val="1"/>
      </rPr>
      <t>ACTROS 3348</t>
    </r>
  </si>
  <si>
    <r>
      <rPr>
        <sz val="11"/>
        <rFont val="Georgia"/>
        <family val="1"/>
      </rPr>
      <t>MINI</t>
    </r>
  </si>
  <si>
    <r>
      <rPr>
        <sz val="11"/>
        <rFont val="Georgia"/>
        <family val="1"/>
      </rPr>
      <t>COOPER D CROSSOVER ALL4 CORNWALL EDITI</t>
    </r>
  </si>
  <si>
    <r>
      <rPr>
        <sz val="11"/>
        <rFont val="Georgia"/>
        <family val="1"/>
      </rPr>
      <t>LDA-YT20</t>
    </r>
  </si>
  <si>
    <r>
      <rPr>
        <sz val="11"/>
        <rFont val="Georgia"/>
        <family val="1"/>
      </rPr>
      <t>COOPER</t>
    </r>
  </si>
  <si>
    <r>
      <rPr>
        <sz val="11"/>
        <rFont val="Georgia"/>
        <family val="1"/>
      </rPr>
      <t>WMWXR320X0TL9</t>
    </r>
  </si>
  <si>
    <r>
      <rPr>
        <sz val="11"/>
        <rFont val="Georgia"/>
        <family val="1"/>
      </rPr>
      <t>COOPER 60 YEARS EDITION</t>
    </r>
  </si>
  <si>
    <r>
      <rPr>
        <sz val="11"/>
        <rFont val="Georgia"/>
        <family val="1"/>
      </rPr>
      <t>MWMXU720702L0</t>
    </r>
  </si>
  <si>
    <r>
      <rPr>
        <sz val="11"/>
        <rFont val="Georgia"/>
        <family val="1"/>
      </rPr>
      <t>COOPER CONVERTIBLE</t>
    </r>
  </si>
  <si>
    <r>
      <rPr>
        <sz val="11"/>
        <rFont val="Georgia"/>
        <family val="1"/>
      </rPr>
      <t>WMWWJ320803G4</t>
    </r>
  </si>
  <si>
    <r>
      <rPr>
        <sz val="11"/>
        <rFont val="Georgia"/>
        <family val="1"/>
      </rPr>
      <t>COOPER CROSSOVER</t>
    </r>
  </si>
  <si>
    <r>
      <rPr>
        <sz val="11"/>
        <rFont val="Georgia"/>
        <family val="1"/>
      </rPr>
      <t>3BA-YW15</t>
    </r>
  </si>
  <si>
    <r>
      <rPr>
        <sz val="11"/>
        <rFont val="Georgia"/>
        <family val="1"/>
      </rPr>
      <t>COOPER D</t>
    </r>
  </si>
  <si>
    <r>
      <rPr>
        <sz val="11"/>
        <rFont val="Georgia"/>
        <family val="1"/>
      </rPr>
      <t>3DA-XY15MW</t>
    </r>
  </si>
  <si>
    <r>
      <rPr>
        <sz val="11"/>
        <rFont val="Georgia"/>
        <family val="1"/>
      </rPr>
      <t>COOPER D CLUBMAN</t>
    </r>
  </si>
  <si>
    <r>
      <rPr>
        <sz val="11"/>
        <rFont val="Georgia"/>
        <family val="1"/>
      </rPr>
      <t>3DA-BB20M</t>
    </r>
  </si>
  <si>
    <r>
      <rPr>
        <sz val="11"/>
        <rFont val="Georgia"/>
        <family val="1"/>
      </rPr>
      <t>COOPER D CROSSOVER</t>
    </r>
  </si>
  <si>
    <r>
      <rPr>
        <sz val="11"/>
        <rFont val="Georgia"/>
        <family val="1"/>
      </rPr>
      <t>WMWYT920103H9</t>
    </r>
  </si>
  <si>
    <r>
      <rPr>
        <sz val="11"/>
        <rFont val="Georgia"/>
        <family val="1"/>
      </rPr>
      <t>COOPER D CROSSOVER UNTAMED EDITION</t>
    </r>
  </si>
  <si>
    <r>
      <rPr>
        <sz val="11"/>
        <rFont val="Georgia"/>
        <family val="1"/>
      </rPr>
      <t>42BT20-3P5</t>
    </r>
  </si>
  <si>
    <r>
      <rPr>
        <sz val="11"/>
        <rFont val="Georgia"/>
        <family val="1"/>
      </rPr>
      <t>COOPER D PREMIUM PLUS PACKAGE CLASSIC T</t>
    </r>
  </si>
  <si>
    <r>
      <rPr>
        <sz val="11"/>
        <rFont val="Georgia"/>
        <family val="1"/>
      </rPr>
      <t>WMW22DJ0402U1</t>
    </r>
  </si>
  <si>
    <r>
      <rPr>
        <sz val="11"/>
        <rFont val="Georgia"/>
        <family val="1"/>
      </rPr>
      <t>COOPER S CLASSIC TRIM</t>
    </r>
  </si>
  <si>
    <r>
      <rPr>
        <sz val="11"/>
        <rFont val="Georgia"/>
        <family val="1"/>
      </rPr>
      <t>22GD20-WMW22GD0902W2</t>
    </r>
  </si>
  <si>
    <r>
      <rPr>
        <sz val="11"/>
        <rFont val="Georgia"/>
        <family val="1"/>
      </rPr>
      <t>COOPER S CLUBMAN</t>
    </r>
  </si>
  <si>
    <r>
      <rPr>
        <sz val="11"/>
        <rFont val="Georgia"/>
        <family val="1"/>
      </rPr>
      <t>WMWLV720902L4</t>
    </r>
  </si>
  <si>
    <r>
      <rPr>
        <sz val="11"/>
        <rFont val="Georgia"/>
        <family val="1"/>
      </rPr>
      <t>COOPER S CONVERTIBLE</t>
    </r>
  </si>
  <si>
    <r>
      <rPr>
        <sz val="11"/>
        <rFont val="Georgia"/>
        <family val="1"/>
      </rPr>
      <t>WMWWJ520603G4</t>
    </r>
  </si>
  <si>
    <r>
      <rPr>
        <sz val="11"/>
        <rFont val="Georgia"/>
        <family val="1"/>
      </rPr>
      <t>COOPER S PREMIUM PLUS PACKAGE CLASSIC T</t>
    </r>
  </si>
  <si>
    <r>
      <rPr>
        <sz val="11"/>
        <rFont val="Georgia"/>
        <family val="1"/>
      </rPr>
      <t>COOPER SD</t>
    </r>
  </si>
  <si>
    <r>
      <rPr>
        <sz val="11"/>
        <rFont val="Georgia"/>
        <family val="1"/>
      </rPr>
      <t>WMWXT720802H1</t>
    </r>
  </si>
  <si>
    <r>
      <rPr>
        <sz val="11"/>
        <rFont val="Georgia"/>
        <family val="1"/>
      </rPr>
      <t>COOPER SD CLUBMAN</t>
    </r>
  </si>
  <si>
    <r>
      <rPr>
        <sz val="11"/>
        <rFont val="Georgia"/>
        <family val="1"/>
      </rPr>
      <t>COOPER SD CROSSOVER ALL4</t>
    </r>
  </si>
  <si>
    <r>
      <rPr>
        <sz val="11"/>
        <rFont val="Georgia"/>
        <family val="1"/>
      </rPr>
      <t>3DA-42BT20</t>
    </r>
  </si>
  <si>
    <r>
      <rPr>
        <sz val="11"/>
        <rFont val="Georgia"/>
        <family val="1"/>
      </rPr>
      <t>COUNTRYMAN D CLASSIC TRIM</t>
    </r>
  </si>
  <si>
    <r>
      <rPr>
        <sz val="11"/>
        <rFont val="Georgia"/>
        <family val="1"/>
      </rPr>
      <t>WMW62GA0407N7</t>
    </r>
  </si>
  <si>
    <r>
      <rPr>
        <sz val="11"/>
        <rFont val="Georgia"/>
        <family val="1"/>
      </rPr>
      <t>JOHN COOPER WORKS</t>
    </r>
  </si>
  <si>
    <r>
      <rPr>
        <sz val="11"/>
        <rFont val="Georgia"/>
        <family val="1"/>
      </rPr>
      <t>WMWXP92000TP2</t>
    </r>
  </si>
  <si>
    <r>
      <rPr>
        <sz val="11"/>
        <rFont val="Georgia"/>
        <family val="1"/>
      </rPr>
      <t>MITSUBISHI</t>
    </r>
  </si>
  <si>
    <r>
      <rPr>
        <sz val="11"/>
        <rFont val="Georgia"/>
        <family val="1"/>
      </rPr>
      <t>D:5 P</t>
    </r>
  </si>
  <si>
    <r>
      <rPr>
        <sz val="11"/>
        <rFont val="Georgia"/>
        <family val="1"/>
      </rPr>
      <t>3DA-CV1W-LUXEZ</t>
    </r>
  </si>
  <si>
    <r>
      <rPr>
        <sz val="11"/>
        <rFont val="Georgia"/>
        <family val="1"/>
      </rPr>
      <t>MINVAN</t>
    </r>
  </si>
  <si>
    <r>
      <rPr>
        <sz val="11"/>
        <rFont val="Georgia"/>
        <family val="1"/>
      </rPr>
      <t>DELCA D:2 HYBRID MZ</t>
    </r>
  </si>
  <si>
    <r>
      <rPr>
        <sz val="11"/>
        <rFont val="Georgia"/>
        <family val="1"/>
      </rPr>
      <t>DAA-MB36S-MBZBM</t>
    </r>
  </si>
  <si>
    <r>
      <rPr>
        <sz val="11"/>
        <rFont val="Georgia"/>
        <family val="1"/>
      </rPr>
      <t>DELCA D:5 P</t>
    </r>
  </si>
  <si>
    <r>
      <rPr>
        <sz val="11"/>
        <rFont val="Georgia"/>
        <family val="1"/>
      </rPr>
      <t>3DA-CV1W-LUXFZ</t>
    </r>
  </si>
  <si>
    <r>
      <rPr>
        <sz val="11"/>
        <rFont val="Georgia"/>
        <family val="1"/>
      </rPr>
      <t>DELICA  MINI G PREMIUM</t>
    </r>
  </si>
  <si>
    <r>
      <rPr>
        <sz val="11"/>
        <rFont val="Georgia"/>
        <family val="1"/>
      </rPr>
      <t>5AA-B34A-HXTG</t>
    </r>
  </si>
  <si>
    <r>
      <rPr>
        <sz val="11"/>
        <rFont val="Georgia"/>
        <family val="1"/>
      </rPr>
      <t>DELICA D:2</t>
    </r>
  </si>
  <si>
    <r>
      <rPr>
        <sz val="11"/>
        <rFont val="Georgia"/>
        <family val="1"/>
      </rPr>
      <t>5AA-MB37S-MSVBJRM</t>
    </r>
  </si>
  <si>
    <r>
      <rPr>
        <sz val="11"/>
        <rFont val="Georgia"/>
        <family val="1"/>
      </rPr>
      <t>3DA-CV1W-LUHFZ</t>
    </r>
  </si>
  <si>
    <r>
      <rPr>
        <sz val="11"/>
        <rFont val="Georgia"/>
        <family val="1"/>
      </rPr>
      <t>DELICA D:2 CUSTOM HYBRID MV</t>
    </r>
  </si>
  <si>
    <r>
      <rPr>
        <sz val="11"/>
        <rFont val="Georgia"/>
        <family val="1"/>
      </rPr>
      <t>DELICA D:2 CUSTOM HYBRID SV</t>
    </r>
  </si>
  <si>
    <r>
      <rPr>
        <sz val="11"/>
        <rFont val="Georgia"/>
        <family val="1"/>
      </rPr>
      <t>DAA-MB46S-MSVHRM</t>
    </r>
  </si>
  <si>
    <r>
      <rPr>
        <sz val="11"/>
        <rFont val="Georgia"/>
        <family val="1"/>
      </rPr>
      <t>Delica D:2 Custom Hybrid SV Navi Package</t>
    </r>
  </si>
  <si>
    <r>
      <rPr>
        <sz val="11"/>
        <rFont val="Georgia"/>
        <family val="1"/>
      </rPr>
      <t>DAA-MB46S-MSVHRN</t>
    </r>
  </si>
  <si>
    <r>
      <rPr>
        <sz val="11"/>
        <rFont val="Georgia"/>
        <family val="1"/>
      </rPr>
      <t>DELICA D:2 GS</t>
    </r>
  </si>
  <si>
    <r>
      <rPr>
        <sz val="11"/>
        <rFont val="Georgia"/>
        <family val="1"/>
      </rPr>
      <t>DELICA D:2 HYBRID MZ</t>
    </r>
  </si>
  <si>
    <r>
      <rPr>
        <sz val="11"/>
        <rFont val="Georgia"/>
        <family val="1"/>
      </rPr>
      <t>5AA-MB37S-MBZBJ</t>
    </r>
  </si>
  <si>
    <r>
      <rPr>
        <sz val="11"/>
        <rFont val="Georgia"/>
        <family val="1"/>
      </rPr>
      <t>Delica D:2 Hybrid Mz Navi Package</t>
    </r>
  </si>
  <si>
    <r>
      <rPr>
        <sz val="11"/>
        <rFont val="Georgia"/>
        <family val="1"/>
      </rPr>
      <t>DAA-MB36S-MBZBN</t>
    </r>
  </si>
  <si>
    <r>
      <rPr>
        <sz val="11"/>
        <rFont val="Georgia"/>
        <family val="1"/>
      </rPr>
      <t>DELICA D:2 HYBRID XT</t>
    </r>
  </si>
  <si>
    <r>
      <rPr>
        <sz val="11"/>
        <rFont val="Georgia"/>
        <family val="1"/>
      </rPr>
      <t>Delica D:3 G</t>
    </r>
  </si>
  <si>
    <r>
      <rPr>
        <sz val="11"/>
        <rFont val="Georgia"/>
        <family val="1"/>
      </rPr>
      <t>DBA-BM20 WPBM</t>
    </r>
  </si>
  <si>
    <r>
      <rPr>
        <sz val="11"/>
        <rFont val="Georgia"/>
        <family val="1"/>
      </rPr>
      <t>DELICA D:5</t>
    </r>
  </si>
  <si>
    <r>
      <rPr>
        <sz val="11"/>
        <rFont val="Georgia"/>
        <family val="1"/>
      </rPr>
      <t>DELICA D:5 D</t>
    </r>
  </si>
  <si>
    <r>
      <rPr>
        <sz val="11"/>
        <rFont val="Georgia"/>
        <family val="1"/>
      </rPr>
      <t>DBA-CV5W-LTHHZ3</t>
    </r>
  </si>
  <si>
    <r>
      <rPr>
        <sz val="11"/>
        <rFont val="Georgia"/>
        <family val="1"/>
      </rPr>
      <t>DELICA D:5 D-POWER PACKAGE</t>
    </r>
  </si>
  <si>
    <r>
      <rPr>
        <sz val="11"/>
        <rFont val="Georgia"/>
        <family val="1"/>
      </rPr>
      <t>LDA-CV1W-LLHFZ</t>
    </r>
  </si>
  <si>
    <r>
      <rPr>
        <sz val="11"/>
        <rFont val="Georgia"/>
        <family val="1"/>
      </rPr>
      <t>DEISEL</t>
    </r>
  </si>
  <si>
    <r>
      <rPr>
        <sz val="11"/>
        <rFont val="Georgia"/>
        <family val="1"/>
      </rPr>
      <t>Delica D:5 D-premium</t>
    </r>
  </si>
  <si>
    <r>
      <rPr>
        <sz val="11"/>
        <rFont val="Georgia"/>
        <family val="1"/>
      </rPr>
      <t>LDA-CV1W-LLXFZ</t>
    </r>
  </si>
  <si>
    <r>
      <rPr>
        <sz val="11"/>
        <rFont val="Georgia"/>
        <family val="1"/>
      </rPr>
      <t>DELICA D:5 P</t>
    </r>
  </si>
  <si>
    <r>
      <rPr>
        <sz val="11"/>
        <rFont val="Georgia"/>
        <family val="1"/>
      </rPr>
      <t>Delica D:5 Roadest G-Power Package</t>
    </r>
  </si>
  <si>
    <r>
      <rPr>
        <sz val="11"/>
        <rFont val="Georgia"/>
        <family val="1"/>
      </rPr>
      <t>DBA-CV2W-LTHH5</t>
    </r>
  </si>
  <si>
    <r>
      <rPr>
        <sz val="11"/>
        <rFont val="Georgia"/>
        <family val="1"/>
      </rPr>
      <t>DELICA D:5 URBAN GEAR G-POWER PACKAGE</t>
    </r>
  </si>
  <si>
    <r>
      <rPr>
        <sz val="11"/>
        <rFont val="Georgia"/>
        <family val="1"/>
      </rPr>
      <t>3DA-CV1W-LUFFZ</t>
    </r>
  </si>
  <si>
    <r>
      <rPr>
        <sz val="11"/>
        <rFont val="Georgia"/>
        <family val="1"/>
      </rPr>
      <t>DELICA MINI T PREMIUM</t>
    </r>
  </si>
  <si>
    <r>
      <rPr>
        <sz val="11"/>
        <rFont val="Georgia"/>
        <family val="1"/>
      </rPr>
      <t>4AA-B38A-HXTTZZ</t>
    </r>
  </si>
  <si>
    <r>
      <rPr>
        <sz val="11"/>
        <rFont val="Georgia"/>
        <family val="1"/>
      </rPr>
      <t>DELICA VAN GX</t>
    </r>
  </si>
  <si>
    <r>
      <rPr>
        <sz val="11"/>
        <rFont val="Georgia"/>
        <family val="1"/>
      </rPr>
      <t>DBF-BVM20-VHBM</t>
    </r>
  </si>
  <si>
    <r>
      <rPr>
        <sz val="11"/>
        <rFont val="Georgia"/>
        <family val="1"/>
      </rPr>
      <t>DelicaD:5</t>
    </r>
  </si>
  <si>
    <r>
      <rPr>
        <sz val="11"/>
        <rFont val="Georgia"/>
        <family val="1"/>
      </rPr>
      <t>DBA-CV5W-LTHZ3</t>
    </r>
  </si>
  <si>
    <r>
      <rPr>
        <sz val="11"/>
        <rFont val="Georgia"/>
        <family val="1"/>
      </rPr>
      <t>ECLIPSE CROSS</t>
    </r>
  </si>
  <si>
    <r>
      <rPr>
        <sz val="11"/>
        <rFont val="Georgia"/>
        <family val="1"/>
      </rPr>
      <t>5BA-GK1W-XTPXZ</t>
    </r>
  </si>
  <si>
    <r>
      <rPr>
        <sz val="11"/>
        <rFont val="Georgia"/>
        <family val="1"/>
      </rPr>
      <t>ECLIPSE CROSS (PHEV)</t>
    </r>
  </si>
  <si>
    <r>
      <rPr>
        <sz val="11"/>
        <rFont val="Georgia"/>
        <family val="1"/>
      </rPr>
      <t>5LA-GL3W-XDPHZ</t>
    </r>
  </si>
  <si>
    <r>
      <rPr>
        <sz val="11"/>
        <rFont val="Georgia"/>
        <family val="1"/>
      </rPr>
      <t>ECLIPSE CROSS (PHEV) G</t>
    </r>
  </si>
  <si>
    <r>
      <rPr>
        <sz val="11"/>
        <rFont val="Georgia"/>
        <family val="1"/>
      </rPr>
      <t>ECLIPSE CROSS (PHEV) P</t>
    </r>
  </si>
  <si>
    <r>
      <rPr>
        <sz val="11"/>
        <rFont val="Georgia"/>
        <family val="1"/>
      </rPr>
      <t>ECLIPSE CROSS G PLUS</t>
    </r>
  </si>
  <si>
    <r>
      <rPr>
        <sz val="11"/>
        <rFont val="Georgia"/>
        <family val="1"/>
      </rPr>
      <t>DBA-GK1W-XTPXZ</t>
    </r>
  </si>
  <si>
    <r>
      <rPr>
        <sz val="11"/>
        <rFont val="Georgia"/>
        <family val="1"/>
      </rPr>
      <t>ECLIPSE CROSS G PLUS PACKAE</t>
    </r>
  </si>
  <si>
    <r>
      <rPr>
        <sz val="11"/>
        <rFont val="Georgia"/>
        <family val="1"/>
      </rPr>
      <t>EK CUSTOM</t>
    </r>
  </si>
  <si>
    <r>
      <rPr>
        <sz val="11"/>
        <rFont val="Georgia"/>
        <family val="1"/>
      </rPr>
      <t>DBA-B11W-LTHTF1</t>
    </r>
  </si>
  <si>
    <r>
      <rPr>
        <sz val="11"/>
        <rFont val="Georgia"/>
        <family val="1"/>
      </rPr>
      <t>EK CUSTOMS T SAFETY PACKAGE</t>
    </r>
  </si>
  <si>
    <r>
      <rPr>
        <sz val="11"/>
        <rFont val="Georgia"/>
        <family val="1"/>
      </rPr>
      <t>DBA-B11W-LTHF1</t>
    </r>
  </si>
  <si>
    <r>
      <rPr>
        <sz val="11"/>
        <rFont val="Georgia"/>
        <family val="1"/>
      </rPr>
      <t>EK K</t>
    </r>
  </si>
  <si>
    <r>
      <rPr>
        <sz val="11"/>
        <rFont val="Georgia"/>
        <family val="1"/>
      </rPr>
      <t>4AA-B38W-LTTZZ</t>
    </r>
  </si>
  <si>
    <r>
      <rPr>
        <sz val="11"/>
        <rFont val="Georgia"/>
        <family val="1"/>
      </rPr>
      <t>EK SPACE</t>
    </r>
  </si>
  <si>
    <r>
      <rPr>
        <sz val="11"/>
        <rFont val="Georgia"/>
        <family val="1"/>
      </rPr>
      <t>5AA-B34A-HXTCG</t>
    </r>
  </si>
  <si>
    <r>
      <rPr>
        <sz val="11"/>
        <rFont val="Georgia"/>
        <family val="1"/>
      </rPr>
      <t>4AA-B35A-HXTHZ</t>
    </r>
  </si>
  <si>
    <r>
      <rPr>
        <sz val="11"/>
        <rFont val="Georgia"/>
        <family val="1"/>
      </rPr>
      <t>DBA-B11A-HXTHF2</t>
    </r>
  </si>
  <si>
    <r>
      <rPr>
        <sz val="11"/>
        <rFont val="Georgia"/>
        <family val="1"/>
      </rPr>
      <t>EK SPACE CUSTOMS T SAFETY PACKAGE</t>
    </r>
  </si>
  <si>
    <r>
      <rPr>
        <sz val="11"/>
        <rFont val="Georgia"/>
        <family val="1"/>
      </rPr>
      <t>DBA-B11A-HXTHF1</t>
    </r>
  </si>
  <si>
    <r>
      <rPr>
        <sz val="11"/>
        <rFont val="Georgia"/>
        <family val="1"/>
      </rPr>
      <t>EK SPACE G</t>
    </r>
  </si>
  <si>
    <r>
      <rPr>
        <sz val="11"/>
        <rFont val="Georgia"/>
        <family val="1"/>
      </rPr>
      <t>5AA-B34A-HXTDG</t>
    </r>
  </si>
  <si>
    <r>
      <rPr>
        <sz val="11"/>
        <rFont val="Georgia"/>
        <family val="1"/>
      </rPr>
      <t>EK SPACE G SAFETY PACKAGE</t>
    </r>
  </si>
  <si>
    <r>
      <rPr>
        <sz val="11"/>
        <rFont val="Georgia"/>
        <family val="1"/>
      </rPr>
      <t>DBA-B11A-HXTMX1</t>
    </r>
  </si>
  <si>
    <r>
      <rPr>
        <sz val="11"/>
        <rFont val="Georgia"/>
        <family val="1"/>
      </rPr>
      <t>EK SPACE M</t>
    </r>
  </si>
  <si>
    <r>
      <rPr>
        <sz val="11"/>
        <rFont val="Georgia"/>
        <family val="1"/>
      </rPr>
      <t>EK SPACE T</t>
    </r>
  </si>
  <si>
    <r>
      <rPr>
        <sz val="11"/>
        <rFont val="Georgia"/>
        <family val="1"/>
      </rPr>
      <t>EK WAGON</t>
    </r>
  </si>
  <si>
    <r>
      <rPr>
        <sz val="11"/>
        <rFont val="Georgia"/>
        <family val="1"/>
      </rPr>
      <t>5BA-B33W-LTDE</t>
    </r>
  </si>
  <si>
    <r>
      <rPr>
        <sz val="11"/>
        <rFont val="Georgia"/>
        <family val="1"/>
      </rPr>
      <t>DBA-B11W-LTMX</t>
    </r>
  </si>
  <si>
    <r>
      <rPr>
        <sz val="11"/>
        <rFont val="Georgia"/>
        <family val="1"/>
      </rPr>
      <t>EK WAGON G</t>
    </r>
  </si>
  <si>
    <r>
      <rPr>
        <sz val="11"/>
        <rFont val="Georgia"/>
        <family val="1"/>
      </rPr>
      <t>DBA-B11W-LTDXT1</t>
    </r>
  </si>
  <si>
    <r>
      <rPr>
        <sz val="11"/>
        <rFont val="Georgia"/>
        <family val="1"/>
      </rPr>
      <t>EK WAGON G SAFETY</t>
    </r>
  </si>
  <si>
    <r>
      <rPr>
        <sz val="11"/>
        <rFont val="Georgia"/>
        <family val="1"/>
      </rPr>
      <t>EK WAGON G SAFETY PACKAGE</t>
    </r>
  </si>
  <si>
    <r>
      <rPr>
        <sz val="11"/>
        <rFont val="Georgia"/>
        <family val="1"/>
      </rPr>
      <t>DBA-B11W-LTDX1</t>
    </r>
  </si>
  <si>
    <r>
      <rPr>
        <sz val="11"/>
        <rFont val="Georgia"/>
        <family val="1"/>
      </rPr>
      <t>EK X EV</t>
    </r>
  </si>
  <si>
    <r>
      <rPr>
        <sz val="11"/>
        <rFont val="Georgia"/>
        <family val="1"/>
      </rPr>
      <t>ZAA-B5AW-LDEB</t>
    </r>
  </si>
  <si>
    <r>
      <rPr>
        <sz val="11"/>
        <rFont val="Georgia"/>
        <family val="1"/>
      </rPr>
      <t>EK X EV P</t>
    </r>
  </si>
  <si>
    <r>
      <rPr>
        <sz val="11"/>
        <rFont val="Georgia"/>
        <family val="1"/>
      </rPr>
      <t>EK X SPACE</t>
    </r>
  </si>
  <si>
    <r>
      <rPr>
        <sz val="11"/>
        <rFont val="Georgia"/>
        <family val="1"/>
      </rPr>
      <t>4AA-B35A-HXTTZ</t>
    </r>
  </si>
  <si>
    <r>
      <rPr>
        <sz val="11"/>
        <rFont val="Georgia"/>
        <family val="1"/>
      </rPr>
      <t>EK X SPACE T</t>
    </r>
  </si>
  <si>
    <r>
      <rPr>
        <sz val="11"/>
        <rFont val="Georgia"/>
        <family val="1"/>
      </rPr>
      <t>EK X T</t>
    </r>
  </si>
  <si>
    <r>
      <rPr>
        <sz val="11"/>
        <rFont val="Georgia"/>
        <family val="1"/>
      </rPr>
      <t>HYBRID MZ</t>
    </r>
  </si>
  <si>
    <r>
      <rPr>
        <sz val="11"/>
        <rFont val="Georgia"/>
        <family val="1"/>
      </rPr>
      <t>I MIEV X</t>
    </r>
  </si>
  <si>
    <r>
      <rPr>
        <sz val="11"/>
        <rFont val="Georgia"/>
        <family val="1"/>
      </rPr>
      <t>ZAA-HD4W-LDD</t>
    </r>
  </si>
  <si>
    <r>
      <rPr>
        <sz val="11"/>
        <rFont val="Georgia"/>
        <family val="1"/>
      </rPr>
      <t>ZAA-HA4W-LDO</t>
    </r>
  </si>
  <si>
    <r>
      <rPr>
        <sz val="11"/>
        <rFont val="Georgia"/>
        <family val="1"/>
      </rPr>
      <t>I-MIEV X</t>
    </r>
  </si>
  <si>
    <r>
      <rPr>
        <sz val="11"/>
        <rFont val="Georgia"/>
        <family val="1"/>
      </rPr>
      <t>LANCER CARGO 15M</t>
    </r>
  </si>
  <si>
    <r>
      <rPr>
        <sz val="11"/>
        <rFont val="Georgia"/>
        <family val="1"/>
      </rPr>
      <t>DBF-CVY12-CMM</t>
    </r>
  </si>
  <si>
    <r>
      <rPr>
        <sz val="11"/>
        <rFont val="Georgia"/>
        <family val="1"/>
      </rPr>
      <t>1700(1715)</t>
    </r>
  </si>
  <si>
    <r>
      <rPr>
        <sz val="11"/>
        <rFont val="Georgia"/>
        <family val="1"/>
      </rPr>
      <t>2(5)</t>
    </r>
  </si>
  <si>
    <r>
      <rPr>
        <sz val="11"/>
        <rFont val="Georgia"/>
        <family val="1"/>
      </rPr>
      <t>MINICAB EV CD</t>
    </r>
  </si>
  <si>
    <r>
      <rPr>
        <sz val="11"/>
        <rFont val="Georgia"/>
        <family val="1"/>
      </rPr>
      <t>ZAB-U69V-HLDDI</t>
    </r>
  </si>
  <si>
    <r>
      <rPr>
        <sz val="11"/>
        <rFont val="Georgia"/>
        <family val="1"/>
      </rPr>
      <t>MINICAB G</t>
    </r>
  </si>
  <si>
    <r>
      <rPr>
        <sz val="11"/>
        <rFont val="Georgia"/>
        <family val="1"/>
      </rPr>
      <t>HBD-DS17V-LVBDJ3</t>
    </r>
  </si>
  <si>
    <r>
      <rPr>
        <sz val="11"/>
        <rFont val="Georgia"/>
        <family val="1"/>
      </rPr>
      <t>MINICAB MIEV CD</t>
    </r>
  </si>
  <si>
    <r>
      <rPr>
        <sz val="11"/>
        <rFont val="Georgia"/>
        <family val="1"/>
      </rPr>
      <t>ZAB-568V-HLDDD</t>
    </r>
  </si>
  <si>
    <r>
      <rPr>
        <sz val="11"/>
        <rFont val="Georgia"/>
        <family val="1"/>
      </rPr>
      <t>ZAB-U68V-HLDDD</t>
    </r>
  </si>
  <si>
    <r>
      <rPr>
        <sz val="11"/>
        <rFont val="Georgia"/>
        <family val="1"/>
      </rPr>
      <t>MINICAB MIEV VAN CD</t>
    </r>
  </si>
  <si>
    <r>
      <rPr>
        <sz val="11"/>
        <rFont val="Georgia"/>
        <family val="1"/>
      </rPr>
      <t>ZAB-U68V-HLDDA</t>
    </r>
  </si>
  <si>
    <r>
      <rPr>
        <sz val="11"/>
        <rFont val="Georgia"/>
        <family val="1"/>
      </rPr>
      <t>MINICAB TRUCK</t>
    </r>
  </si>
  <si>
    <r>
      <rPr>
        <sz val="11"/>
        <rFont val="Georgia"/>
        <family val="1"/>
      </rPr>
      <t>EBD-DS16T-SKXJJ4</t>
    </r>
  </si>
  <si>
    <r>
      <rPr>
        <sz val="11"/>
        <rFont val="Georgia"/>
        <family val="1"/>
      </rPr>
      <t>MINICAB TRUCK G</t>
    </r>
  </si>
  <si>
    <r>
      <rPr>
        <sz val="11"/>
        <rFont val="Georgia"/>
        <family val="1"/>
      </rPr>
      <t>3BD-DS16T-SKXJH</t>
    </r>
  </si>
  <si>
    <r>
      <rPr>
        <sz val="11"/>
        <rFont val="Georgia"/>
        <family val="1"/>
      </rPr>
      <t>3BD-DS16T-SKXJ6</t>
    </r>
  </si>
  <si>
    <r>
      <rPr>
        <sz val="11"/>
        <rFont val="Georgia"/>
        <family val="1"/>
      </rPr>
      <t>3BD-DS16T-SKXJJ5</t>
    </r>
  </si>
  <si>
    <r>
      <rPr>
        <sz val="11"/>
        <rFont val="Georgia"/>
        <family val="1"/>
      </rPr>
      <t>MINICAB TRUCK M</t>
    </r>
  </si>
  <si>
    <r>
      <rPr>
        <sz val="11"/>
        <rFont val="Georgia"/>
        <family val="1"/>
      </rPr>
      <t>EBD-DS16T-SKCFG</t>
    </r>
  </si>
  <si>
    <r>
      <rPr>
        <sz val="11"/>
        <rFont val="Georgia"/>
        <family val="1"/>
      </rPr>
      <t>MINICAB VAN G</t>
    </r>
  </si>
  <si>
    <r>
      <rPr>
        <sz val="11"/>
        <rFont val="Georgia"/>
        <family val="1"/>
      </rPr>
      <t>5BD-DS17V-LVBEH</t>
    </r>
  </si>
  <si>
    <r>
      <rPr>
        <sz val="11"/>
        <rFont val="Georgia"/>
        <family val="1"/>
      </rPr>
      <t>5BD-DS17V-LVBDJ5</t>
    </r>
  </si>
  <si>
    <r>
      <rPr>
        <sz val="11"/>
        <rFont val="Georgia"/>
        <family val="1"/>
      </rPr>
      <t>5BA-DS17V-LVBDJ4</t>
    </r>
  </si>
  <si>
    <r>
      <rPr>
        <sz val="11"/>
        <rFont val="Georgia"/>
        <family val="1"/>
      </rPr>
      <t>HBD-DS17V-LVBND2</t>
    </r>
  </si>
  <si>
    <r>
      <rPr>
        <sz val="11"/>
        <rFont val="Georgia"/>
        <family val="1"/>
      </rPr>
      <t>MINICAB-MIEV VAN  CD</t>
    </r>
  </si>
  <si>
    <r>
      <rPr>
        <sz val="11"/>
        <rFont val="Georgia"/>
        <family val="1"/>
      </rPr>
      <t>ZAB-UV68V-HLDDA</t>
    </r>
  </si>
  <si>
    <r>
      <rPr>
        <sz val="11"/>
        <rFont val="Georgia"/>
        <family val="1"/>
      </rPr>
      <t>MIRAGE</t>
    </r>
  </si>
  <si>
    <r>
      <rPr>
        <sz val="11"/>
        <rFont val="Georgia"/>
        <family val="1"/>
      </rPr>
      <t>5BA-A034A-XTHX</t>
    </r>
  </si>
  <si>
    <r>
      <rPr>
        <sz val="11"/>
        <rFont val="Georgia"/>
        <family val="1"/>
      </rPr>
      <t>MIRAGE G</t>
    </r>
  </si>
  <si>
    <r>
      <rPr>
        <sz val="11"/>
        <rFont val="Georgia"/>
        <family val="1"/>
      </rPr>
      <t>5BA-A03A-XTHX</t>
    </r>
  </si>
  <si>
    <r>
      <rPr>
        <sz val="11"/>
        <rFont val="Georgia"/>
        <family val="1"/>
      </rPr>
      <t>DBA-A03A-XTNX</t>
    </r>
  </si>
  <si>
    <r>
      <rPr>
        <sz val="11"/>
        <rFont val="Georgia"/>
        <family val="1"/>
      </rPr>
      <t>Outlander 24G Navi Package</t>
    </r>
  </si>
  <si>
    <r>
      <rPr>
        <sz val="11"/>
        <rFont val="Georgia"/>
        <family val="1"/>
      </rPr>
      <t>DBA-GF8W-XTXXZ</t>
    </r>
  </si>
  <si>
    <r>
      <rPr>
        <sz val="11"/>
        <rFont val="Georgia"/>
        <family val="1"/>
      </rPr>
      <t>OUTLANDER 24G PLUS PACKAGE</t>
    </r>
  </si>
  <si>
    <r>
      <rPr>
        <sz val="11"/>
        <rFont val="Georgia"/>
        <family val="1"/>
      </rPr>
      <t>OUTLANDER PHEV P</t>
    </r>
  </si>
  <si>
    <r>
      <rPr>
        <sz val="11"/>
        <rFont val="Georgia"/>
        <family val="1"/>
      </rPr>
      <t>5LA-GNOW-XDHUZ</t>
    </r>
  </si>
  <si>
    <r>
      <rPr>
        <sz val="11"/>
        <rFont val="Georgia"/>
        <family val="1"/>
      </rPr>
      <t>Outlander Phev S Edition</t>
    </r>
  </si>
  <si>
    <r>
      <rPr>
        <sz val="11"/>
        <rFont val="Georgia"/>
        <family val="1"/>
      </rPr>
      <t>DLA-XDPHZ</t>
    </r>
  </si>
  <si>
    <r>
      <rPr>
        <sz val="11"/>
        <rFont val="Georgia"/>
        <family val="1"/>
      </rPr>
      <t>OUTLANDER PHEV S EDITION</t>
    </r>
  </si>
  <si>
    <r>
      <rPr>
        <sz val="11"/>
        <rFont val="Georgia"/>
        <family val="1"/>
      </rPr>
      <t>5LA-GG3W-XDPHZ</t>
    </r>
  </si>
  <si>
    <r>
      <rPr>
        <sz val="11"/>
        <rFont val="Georgia"/>
        <family val="1"/>
      </rPr>
      <t>Pajero Long Super Exceed</t>
    </r>
  </si>
  <si>
    <r>
      <rPr>
        <sz val="11"/>
        <rFont val="Georgia"/>
        <family val="1"/>
      </rPr>
      <t>LDA-V98W-LYXJ</t>
    </r>
  </si>
  <si>
    <r>
      <rPr>
        <sz val="11"/>
        <rFont val="Georgia"/>
        <family val="1"/>
      </rPr>
      <t>Pajero Short VR-II</t>
    </r>
  </si>
  <si>
    <r>
      <rPr>
        <sz val="11"/>
        <rFont val="Georgia"/>
        <family val="1"/>
      </rPr>
      <t>LDA-V88W-MYXJ</t>
    </r>
  </si>
  <si>
    <r>
      <rPr>
        <sz val="11"/>
        <rFont val="Georgia"/>
        <family val="1"/>
      </rPr>
      <t>PAJERO SUPER  LONG EXCEED</t>
    </r>
  </si>
  <si>
    <r>
      <rPr>
        <sz val="11"/>
        <rFont val="Georgia"/>
        <family val="1"/>
      </rPr>
      <t>RVR</t>
    </r>
  </si>
  <si>
    <r>
      <rPr>
        <sz val="11"/>
        <rFont val="Georgia"/>
        <family val="1"/>
      </rPr>
      <t>5BA-GA4W-XTHXZ</t>
    </r>
  </si>
  <si>
    <r>
      <rPr>
        <sz val="11"/>
        <rFont val="Georgia"/>
        <family val="1"/>
      </rPr>
      <t>RVR G</t>
    </r>
  </si>
  <si>
    <r>
      <rPr>
        <sz val="11"/>
        <rFont val="Georgia"/>
        <family val="1"/>
      </rPr>
      <t>5BA-GA4W-XTHZ</t>
    </r>
  </si>
  <si>
    <r>
      <rPr>
        <sz val="11"/>
        <rFont val="Georgia"/>
        <family val="1"/>
      </rPr>
      <t>DBA-GA4W-XTHZ</t>
    </r>
  </si>
  <si>
    <r>
      <rPr>
        <sz val="11"/>
        <rFont val="Georgia"/>
        <family val="1"/>
      </rPr>
      <t>TOWN BOX</t>
    </r>
  </si>
  <si>
    <r>
      <rPr>
        <sz val="11"/>
        <rFont val="Georgia"/>
        <family val="1"/>
      </rPr>
      <t>3BA-DS17W-LHCD5</t>
    </r>
  </si>
  <si>
    <r>
      <rPr>
        <sz val="11"/>
        <rFont val="Georgia"/>
        <family val="1"/>
      </rPr>
      <t>TOWN BOX G</t>
    </r>
  </si>
  <si>
    <r>
      <rPr>
        <sz val="11"/>
        <rFont val="Georgia"/>
        <family val="1"/>
      </rPr>
      <t>3BA-DS17W-LHCE</t>
    </r>
  </si>
  <si>
    <r>
      <rPr>
        <sz val="11"/>
        <rFont val="Georgia"/>
        <family val="1"/>
      </rPr>
      <t>3BA-DS17W-LHCD4</t>
    </r>
  </si>
  <si>
    <r>
      <rPr>
        <sz val="11"/>
        <rFont val="Georgia"/>
        <family val="1"/>
      </rPr>
      <t>ABA-DS17W-LHCSQ3</t>
    </r>
  </si>
  <si>
    <r>
      <rPr>
        <sz val="11"/>
        <rFont val="Georgia"/>
        <family val="1"/>
      </rPr>
      <t>ABA-DS17W-LHCD2</t>
    </r>
  </si>
  <si>
    <r>
      <rPr>
        <sz val="11"/>
        <rFont val="Georgia"/>
        <family val="1"/>
      </rPr>
      <t>TRITON GSR</t>
    </r>
  </si>
  <si>
    <r>
      <rPr>
        <sz val="11"/>
        <rFont val="Georgia"/>
        <family val="1"/>
      </rPr>
      <t>3DF-LC2T-JLPRD</t>
    </r>
  </si>
  <si>
    <r>
      <rPr>
        <sz val="11"/>
        <rFont val="Georgia"/>
        <family val="1"/>
      </rPr>
      <t>NETA</t>
    </r>
  </si>
  <si>
    <r>
      <rPr>
        <sz val="11"/>
        <rFont val="Georgia"/>
        <family val="1"/>
      </rPr>
      <t>NETA N01</t>
    </r>
  </si>
  <si>
    <r>
      <rPr>
        <sz val="11"/>
        <rFont val="Georgia"/>
        <family val="1"/>
      </rPr>
      <t>35 kWh</t>
    </r>
  </si>
  <si>
    <r>
      <rPr>
        <sz val="11"/>
        <rFont val="Georgia"/>
        <family val="1"/>
      </rPr>
      <t>NETA V</t>
    </r>
  </si>
  <si>
    <r>
      <rPr>
        <sz val="11"/>
        <rFont val="Georgia"/>
        <family val="1"/>
      </rPr>
      <t>38.5 kWh</t>
    </r>
  </si>
  <si>
    <r>
      <rPr>
        <sz val="11"/>
        <rFont val="Georgia"/>
        <family val="1"/>
      </rPr>
      <t>NETA U PRO</t>
    </r>
  </si>
  <si>
    <r>
      <rPr>
        <sz val="11"/>
        <rFont val="Georgia"/>
        <family val="1"/>
      </rPr>
      <t>FWD/AWD</t>
    </r>
  </si>
  <si>
    <r>
      <rPr>
        <sz val="11"/>
        <rFont val="Georgia"/>
        <family val="1"/>
      </rPr>
      <t>54.3–81.57 kWh</t>
    </r>
  </si>
  <si>
    <r>
      <rPr>
        <sz val="11"/>
        <rFont val="Georgia"/>
        <family val="1"/>
      </rPr>
      <t>NETA S</t>
    </r>
  </si>
  <si>
    <r>
      <rPr>
        <sz val="11"/>
        <rFont val="Georgia"/>
        <family val="1"/>
      </rPr>
      <t>85–91 kWh / 1.5L EREV</t>
    </r>
  </si>
  <si>
    <r>
      <rPr>
        <sz val="11"/>
        <rFont val="Georgia"/>
        <family val="1"/>
      </rPr>
      <t>NETA GT</t>
    </r>
  </si>
  <si>
    <r>
      <rPr>
        <sz val="11"/>
        <rFont val="Georgia"/>
        <family val="1"/>
      </rPr>
      <t>228–456 hp</t>
    </r>
  </si>
  <si>
    <r>
      <rPr>
        <sz val="11"/>
        <rFont val="Georgia"/>
        <family val="1"/>
      </rPr>
      <t>NETA V-II</t>
    </r>
  </si>
  <si>
    <r>
      <rPr>
        <sz val="11"/>
        <rFont val="Georgia"/>
        <family val="1"/>
      </rPr>
      <t>NIO</t>
    </r>
  </si>
  <si>
    <r>
      <rPr>
        <sz val="11"/>
        <rFont val="Georgia"/>
        <family val="1"/>
      </rPr>
      <t>ES8</t>
    </r>
  </si>
  <si>
    <r>
      <rPr>
        <sz val="11"/>
        <rFont val="Georgia"/>
        <family val="1"/>
      </rPr>
      <t>75–100 kWh</t>
    </r>
  </si>
  <si>
    <r>
      <rPr>
        <sz val="11"/>
        <rFont val="Georgia"/>
        <family val="1"/>
      </rPr>
      <t>6–7</t>
    </r>
  </si>
  <si>
    <r>
      <rPr>
        <sz val="11"/>
        <rFont val="Georgia"/>
        <family val="1"/>
      </rPr>
      <t>ES6</t>
    </r>
  </si>
  <si>
    <r>
      <rPr>
        <sz val="11"/>
        <rFont val="Georgia"/>
        <family val="1"/>
      </rPr>
      <t>EC6</t>
    </r>
  </si>
  <si>
    <r>
      <rPr>
        <sz val="11"/>
        <rFont val="Georgia"/>
        <family val="1"/>
      </rPr>
      <t>70–100 kWh</t>
    </r>
  </si>
  <si>
    <r>
      <rPr>
        <sz val="11"/>
        <rFont val="Georgia"/>
        <family val="1"/>
      </rPr>
      <t>SUV-COUPE</t>
    </r>
  </si>
  <si>
    <r>
      <rPr>
        <sz val="11"/>
        <rFont val="Georgia"/>
        <family val="1"/>
      </rPr>
      <t>ET5</t>
    </r>
  </si>
  <si>
    <r>
      <rPr>
        <sz val="11"/>
        <rFont val="Georgia"/>
        <family val="1"/>
      </rPr>
      <t>75–150 kWh</t>
    </r>
  </si>
  <si>
    <r>
      <rPr>
        <sz val="11"/>
        <rFont val="Georgia"/>
        <family val="1"/>
      </rPr>
      <t>ET7</t>
    </r>
  </si>
  <si>
    <r>
      <rPr>
        <sz val="11"/>
        <rFont val="Georgia"/>
        <family val="1"/>
      </rPr>
      <t>ES7 (EL7 IN EUROPE)</t>
    </r>
  </si>
  <si>
    <r>
      <rPr>
        <sz val="11"/>
        <rFont val="Georgia"/>
        <family val="1"/>
      </rPr>
      <t>EC7</t>
    </r>
  </si>
  <si>
    <r>
      <rPr>
        <sz val="11"/>
        <rFont val="Georgia"/>
        <family val="1"/>
      </rPr>
      <t>EL6 (ES6 IN EUROPE)</t>
    </r>
  </si>
  <si>
    <r>
      <rPr>
        <sz val="11"/>
        <rFont val="Georgia"/>
        <family val="1"/>
      </rPr>
      <t>ET5 TOURING</t>
    </r>
  </si>
  <si>
    <r>
      <rPr>
        <sz val="11"/>
        <rFont val="Georgia"/>
        <family val="1"/>
      </rPr>
      <t>ET9</t>
    </r>
  </si>
  <si>
    <r>
      <rPr>
        <sz val="11"/>
        <rFont val="Georgia"/>
        <family val="1"/>
      </rPr>
      <t>100 kWh</t>
    </r>
  </si>
  <si>
    <r>
      <rPr>
        <sz val="11"/>
        <rFont val="Georgia"/>
        <family val="1"/>
      </rPr>
      <t>NISSAN</t>
    </r>
  </si>
  <si>
    <r>
      <rPr>
        <sz val="11"/>
        <rFont val="Georgia"/>
        <family val="1"/>
      </rPr>
      <t>AD VE</t>
    </r>
  </si>
  <si>
    <r>
      <rPr>
        <sz val="11"/>
        <rFont val="Georgia"/>
        <family val="1"/>
      </rPr>
      <t>5BF-VY12</t>
    </r>
  </si>
  <si>
    <r>
      <rPr>
        <sz val="11"/>
        <rFont val="Georgia"/>
        <family val="1"/>
      </rPr>
      <t>ARIYA B6</t>
    </r>
  </si>
  <si>
    <r>
      <rPr>
        <sz val="11"/>
        <rFont val="Georgia"/>
        <family val="1"/>
      </rPr>
      <t>ZAA-FE0</t>
    </r>
  </si>
  <si>
    <r>
      <rPr>
        <sz val="11"/>
        <rFont val="Georgia"/>
        <family val="1"/>
      </rPr>
      <t>ARIYA B9 E-4ORCE</t>
    </r>
  </si>
  <si>
    <r>
      <rPr>
        <sz val="11"/>
        <rFont val="Georgia"/>
        <family val="1"/>
      </rPr>
      <t>ATLAS DIESEL DX</t>
    </r>
  </si>
  <si>
    <r>
      <rPr>
        <sz val="11"/>
        <rFont val="Georgia"/>
        <family val="1"/>
      </rPr>
      <t>2RG-AHR88A</t>
    </r>
  </si>
  <si>
    <r>
      <rPr>
        <sz val="11"/>
        <rFont val="Georgia"/>
        <family val="1"/>
      </rPr>
      <t>2RG-AHS88A</t>
    </r>
  </si>
  <si>
    <r>
      <rPr>
        <sz val="11"/>
        <rFont val="Georgia"/>
        <family val="1"/>
      </rPr>
      <t>ATLAS DIESEL DX DOUBLE CAB</t>
    </r>
  </si>
  <si>
    <r>
      <rPr>
        <sz val="11"/>
        <rFont val="Georgia"/>
        <family val="1"/>
      </rPr>
      <t>ATLAS DIESEL DX S/CAB</t>
    </r>
  </si>
  <si>
    <r>
      <rPr>
        <sz val="11"/>
        <rFont val="Georgia"/>
        <family val="1"/>
      </rPr>
      <t>ATLAS F24 D/CAB DX</t>
    </r>
  </si>
  <si>
    <r>
      <rPr>
        <sz val="11"/>
        <rFont val="Georgia"/>
        <family val="1"/>
      </rPr>
      <t>CBF-SQ2F24</t>
    </r>
  </si>
  <si>
    <r>
      <rPr>
        <sz val="11"/>
        <rFont val="Georgia"/>
        <family val="1"/>
      </rPr>
      <t>ATLAS GASOLIN</t>
    </r>
  </si>
  <si>
    <r>
      <rPr>
        <sz val="11"/>
        <rFont val="Georgia"/>
        <family val="1"/>
      </rPr>
      <t>ATLAS GASOLIN DOUBLE CAB</t>
    </r>
  </si>
  <si>
    <r>
      <rPr>
        <sz val="11"/>
        <rFont val="Georgia"/>
        <family val="1"/>
      </rPr>
      <t>AURA E-POWER G</t>
    </r>
  </si>
  <si>
    <r>
      <rPr>
        <sz val="11"/>
        <rFont val="Georgia"/>
        <family val="1"/>
      </rPr>
      <t>6AA-FE13</t>
    </r>
  </si>
  <si>
    <r>
      <rPr>
        <sz val="11"/>
        <rFont val="Georgia"/>
        <family val="1"/>
      </rPr>
      <t>AURA E-POWER G LEATHER EDITION</t>
    </r>
  </si>
  <si>
    <r>
      <rPr>
        <sz val="11"/>
        <rFont val="Georgia"/>
        <family val="1"/>
      </rPr>
      <t>CARAVAN</t>
    </r>
  </si>
  <si>
    <r>
      <rPr>
        <sz val="11"/>
        <rFont val="Georgia"/>
        <family val="1"/>
      </rPr>
      <t>3BF-CSE26</t>
    </r>
  </si>
  <si>
    <r>
      <rPr>
        <sz val="11"/>
        <rFont val="Georgia"/>
        <family val="1"/>
      </rPr>
      <t>3BF-DS4E26</t>
    </r>
  </si>
  <si>
    <r>
      <rPr>
        <sz val="11"/>
        <rFont val="Georgia"/>
        <family val="1"/>
      </rPr>
      <t>7M-AT</t>
    </r>
  </si>
  <si>
    <r>
      <rPr>
        <sz val="11"/>
        <rFont val="Georgia"/>
        <family val="1"/>
      </rPr>
      <t>3BF-CS4E26</t>
    </r>
  </si>
  <si>
    <r>
      <rPr>
        <sz val="11"/>
        <rFont val="Georgia"/>
        <family val="1"/>
      </rPr>
      <t>3BF-VR2E26</t>
    </r>
  </si>
  <si>
    <r>
      <rPr>
        <sz val="11"/>
        <rFont val="Georgia"/>
        <family val="1"/>
      </rPr>
      <t>CARAVAN CHAIR CAB</t>
    </r>
  </si>
  <si>
    <r>
      <rPr>
        <sz val="11"/>
        <rFont val="Georgia"/>
        <family val="1"/>
      </rPr>
      <t>CARAVAN EXCLUSIVE KINDERGARTEN VEHICL</t>
    </r>
  </si>
  <si>
    <r>
      <rPr>
        <sz val="11"/>
        <rFont val="Georgia"/>
        <family val="1"/>
      </rPr>
      <t>3BA-KS2E26</t>
    </r>
  </si>
  <si>
    <r>
      <rPr>
        <sz val="11"/>
        <rFont val="Georgia"/>
        <family val="1"/>
      </rPr>
      <t xml:space="preserve">CARAVAN EXCLUSIVE KINDERGARTEN
</t>
    </r>
    <r>
      <rPr>
        <sz val="11"/>
        <rFont val="Georgia"/>
        <family val="1"/>
      </rPr>
      <t>VEHICLE FOR ATTENDING</t>
    </r>
  </si>
  <si>
    <r>
      <rPr>
        <sz val="11"/>
        <rFont val="Georgia"/>
        <family val="1"/>
      </rPr>
      <t>CARAVAN GRAND GX</t>
    </r>
  </si>
  <si>
    <r>
      <rPr>
        <sz val="11"/>
        <rFont val="Georgia"/>
        <family val="1"/>
      </rPr>
      <t>CARAVAN GRAND PREMIUM GX</t>
    </r>
  </si>
  <si>
    <r>
      <rPr>
        <sz val="11"/>
        <rFont val="Georgia"/>
        <family val="1"/>
      </rPr>
      <t>CARAVAN GX</t>
    </r>
  </si>
  <si>
    <r>
      <rPr>
        <sz val="11"/>
        <rFont val="Georgia"/>
        <family val="1"/>
      </rPr>
      <t>7MT-AT</t>
    </r>
  </si>
  <si>
    <r>
      <rPr>
        <sz val="11"/>
        <rFont val="Georgia"/>
        <family val="1"/>
      </rPr>
      <t>CARAVAN REFRIDGERATING DX</t>
    </r>
  </si>
  <si>
    <r>
      <rPr>
        <sz val="11"/>
        <rFont val="Georgia"/>
        <family val="1"/>
      </rPr>
      <t>CARAVAN REFRIGERATING VAN DX</t>
    </r>
  </si>
  <si>
    <r>
      <rPr>
        <sz val="11"/>
        <rFont val="Georgia"/>
        <family val="1"/>
      </rPr>
      <t>CARAVAN WAGON WIDEBODY</t>
    </r>
  </si>
  <si>
    <r>
      <rPr>
        <sz val="11"/>
        <rFont val="Georgia"/>
        <family val="1"/>
      </rPr>
      <t>CIMA HYBRID VIP G</t>
    </r>
  </si>
  <si>
    <r>
      <rPr>
        <sz val="11"/>
        <rFont val="Georgia"/>
        <family val="1"/>
      </rPr>
      <t>DAA-HGY51</t>
    </r>
  </si>
  <si>
    <r>
      <rPr>
        <sz val="11"/>
        <rFont val="Georgia"/>
        <family val="1"/>
      </rPr>
      <t>5AA-HGY51</t>
    </r>
  </si>
  <si>
    <r>
      <rPr>
        <sz val="11"/>
        <rFont val="Georgia"/>
        <family val="1"/>
      </rPr>
      <t>CIVILIAN GL</t>
    </r>
  </si>
  <si>
    <r>
      <rPr>
        <sz val="11"/>
        <rFont val="Georgia"/>
        <family val="1"/>
      </rPr>
      <t>ABG-DJW41</t>
    </r>
  </si>
  <si>
    <r>
      <rPr>
        <sz val="11"/>
        <rFont val="Georgia"/>
        <family val="1"/>
      </rPr>
      <t>CLIPPER DX GL</t>
    </r>
  </si>
  <si>
    <r>
      <rPr>
        <sz val="11"/>
        <rFont val="Georgia"/>
        <family val="1"/>
      </rPr>
      <t>5BD-DR17V[3BD-DR17V]</t>
    </r>
  </si>
  <si>
    <r>
      <rPr>
        <sz val="11"/>
        <rFont val="Georgia"/>
        <family val="1"/>
      </rPr>
      <t>CLIPPER RIO</t>
    </r>
  </si>
  <si>
    <r>
      <rPr>
        <sz val="11"/>
        <rFont val="Georgia"/>
        <family val="1"/>
      </rPr>
      <t>3BA-DR17W</t>
    </r>
  </si>
  <si>
    <r>
      <rPr>
        <sz val="11"/>
        <rFont val="Georgia"/>
        <family val="1"/>
      </rPr>
      <t>CLIPPER TRUCK</t>
    </r>
  </si>
  <si>
    <r>
      <rPr>
        <sz val="11"/>
        <rFont val="Georgia"/>
        <family val="1"/>
      </rPr>
      <t>3BD-DR16T</t>
    </r>
  </si>
  <si>
    <r>
      <rPr>
        <sz val="11"/>
        <rFont val="Georgia"/>
        <family val="1"/>
      </rPr>
      <t>CLIPPER TRUCK DX</t>
    </r>
  </si>
  <si>
    <r>
      <rPr>
        <sz val="11"/>
        <rFont val="Georgia"/>
        <family val="1"/>
      </rPr>
      <t>CUBE 15X V</t>
    </r>
  </si>
  <si>
    <r>
      <rPr>
        <sz val="11"/>
        <rFont val="Georgia"/>
        <family val="1"/>
      </rPr>
      <t>DBA-Z12</t>
    </r>
  </si>
  <si>
    <r>
      <rPr>
        <sz val="11"/>
        <rFont val="Georgia"/>
        <family val="1"/>
      </rPr>
      <t>CUBE 15X V SELECTION</t>
    </r>
  </si>
  <si>
    <r>
      <rPr>
        <sz val="11"/>
        <rFont val="Georgia"/>
        <family val="1"/>
      </rPr>
      <t>DAY ROOX HIGHWAY STAR X G</t>
    </r>
  </si>
  <si>
    <r>
      <rPr>
        <sz val="11"/>
        <rFont val="Georgia"/>
        <family val="1"/>
      </rPr>
      <t>DBAB21A</t>
    </r>
  </si>
  <si>
    <r>
      <rPr>
        <sz val="11"/>
        <rFont val="Georgia"/>
        <family val="1"/>
      </rPr>
      <t>DAYZ G</t>
    </r>
  </si>
  <si>
    <r>
      <rPr>
        <sz val="11"/>
        <rFont val="Georgia"/>
        <family val="1"/>
      </rPr>
      <t>4AA-B45W</t>
    </r>
  </si>
  <si>
    <r>
      <rPr>
        <sz val="11"/>
        <rFont val="Georgia"/>
        <family val="1"/>
      </rPr>
      <t>5AA-B44W</t>
    </r>
  </si>
  <si>
    <r>
      <rPr>
        <sz val="11"/>
        <rFont val="Georgia"/>
        <family val="1"/>
      </rPr>
      <t>DAYZ HIGHWAY STAR G</t>
    </r>
  </si>
  <si>
    <r>
      <rPr>
        <sz val="11"/>
        <rFont val="Georgia"/>
        <family val="1"/>
      </rPr>
      <t>DBA-B21W</t>
    </r>
  </si>
  <si>
    <r>
      <rPr>
        <sz val="11"/>
        <rFont val="Georgia"/>
        <family val="1"/>
      </rPr>
      <t>Dayz Highway Star G Turbo (2WD)</t>
    </r>
  </si>
  <si>
    <r>
      <rPr>
        <sz val="11"/>
        <rFont val="Georgia"/>
        <family val="1"/>
      </rPr>
      <t>DAYZ HIGHWAY STAR X G PACKAGE</t>
    </r>
  </si>
  <si>
    <r>
      <rPr>
        <sz val="11"/>
        <rFont val="Georgia"/>
        <family val="1"/>
      </rPr>
      <t>DBA-B21A</t>
    </r>
  </si>
  <si>
    <r>
      <rPr>
        <sz val="11"/>
        <rFont val="Georgia"/>
        <family val="1"/>
      </rPr>
      <t>Dayz Highway Star x G-Package (2WD)</t>
    </r>
  </si>
  <si>
    <r>
      <rPr>
        <sz val="11"/>
        <rFont val="Georgia"/>
        <family val="1"/>
      </rPr>
      <t>DAYZ HIGHWAY STAR X PROPILOT EDITION</t>
    </r>
  </si>
  <si>
    <r>
      <rPr>
        <sz val="11"/>
        <rFont val="Georgia"/>
        <family val="1"/>
      </rPr>
      <t>BR06-SM21</t>
    </r>
  </si>
  <si>
    <r>
      <rPr>
        <sz val="11"/>
        <rFont val="Georgia"/>
        <family val="1"/>
      </rPr>
      <t>DAYZ ROOX HIGHWAY STAR X G-PACKAGE</t>
    </r>
  </si>
  <si>
    <r>
      <rPr>
        <sz val="11"/>
        <rFont val="Georgia"/>
        <family val="1"/>
      </rPr>
      <t>DAYZ X</t>
    </r>
  </si>
  <si>
    <r>
      <rPr>
        <sz val="11"/>
        <rFont val="Georgia"/>
        <family val="1"/>
      </rPr>
      <t>DAYZ X HIGHWAY STAR X PROPILOT EDITION</t>
    </r>
  </si>
  <si>
    <r>
      <rPr>
        <sz val="11"/>
        <rFont val="Georgia"/>
        <family val="1"/>
      </rPr>
      <t>DAYZV IGHWAY STAR G TURBO PROPILOT EDTI</t>
    </r>
  </si>
  <si>
    <r>
      <rPr>
        <sz val="11"/>
        <rFont val="Georgia"/>
        <family val="1"/>
      </rPr>
      <t>ELGRAND 250</t>
    </r>
  </si>
  <si>
    <r>
      <rPr>
        <sz val="11"/>
        <rFont val="Georgia"/>
        <family val="1"/>
      </rPr>
      <t>5BA-TE52</t>
    </r>
  </si>
  <si>
    <r>
      <rPr>
        <sz val="11"/>
        <rFont val="Georgia"/>
        <family val="1"/>
      </rPr>
      <t>ELGRAND 250 HIGHWAY STAR</t>
    </r>
  </si>
  <si>
    <r>
      <rPr>
        <sz val="11"/>
        <rFont val="Georgia"/>
        <family val="1"/>
      </rPr>
      <t>DBA-TE52</t>
    </r>
  </si>
  <si>
    <r>
      <rPr>
        <sz val="11"/>
        <rFont val="Georgia"/>
        <family val="1"/>
      </rPr>
      <t>ELGRAND 250 HIGHWAY STAR PREMIUM URBA</t>
    </r>
  </si>
  <si>
    <r>
      <rPr>
        <sz val="11"/>
        <rFont val="Georgia"/>
        <family val="1"/>
      </rPr>
      <t>CVT-M6</t>
    </r>
  </si>
  <si>
    <r>
      <rPr>
        <sz val="11"/>
        <rFont val="Georgia"/>
        <family val="1"/>
      </rPr>
      <t>ELGRAND 250 HIGHWAY STAR S</t>
    </r>
  </si>
  <si>
    <r>
      <rPr>
        <sz val="11"/>
        <rFont val="Georgia"/>
        <family val="1"/>
      </rPr>
      <t>ELGRAND 250 HIGHWAY STAR SECOND SLIDE-</t>
    </r>
  </si>
  <si>
    <r>
      <rPr>
        <sz val="11"/>
        <rFont val="Georgia"/>
        <family val="1"/>
      </rPr>
      <t>E-NV200</t>
    </r>
  </si>
  <si>
    <r>
      <rPr>
        <sz val="11"/>
        <rFont val="Georgia"/>
        <family val="1"/>
      </rPr>
      <t>MI ZAB-VME0</t>
    </r>
  </si>
  <si>
    <r>
      <rPr>
        <sz val="11"/>
        <rFont val="Georgia"/>
        <family val="1"/>
      </rPr>
      <t>E-NV200 VAN GX</t>
    </r>
  </si>
  <si>
    <r>
      <rPr>
        <sz val="11"/>
        <rFont val="Georgia"/>
        <family val="1"/>
      </rPr>
      <t>MT ZAB-VME0</t>
    </r>
  </si>
  <si>
    <r>
      <rPr>
        <sz val="11"/>
        <rFont val="Georgia"/>
        <family val="1"/>
      </rPr>
      <t>E-NV200 Van GX 5</t>
    </r>
  </si>
  <si>
    <r>
      <rPr>
        <sz val="11"/>
        <rFont val="Georgia"/>
        <family val="1"/>
      </rPr>
      <t>FAIRLADY Z</t>
    </r>
  </si>
  <si>
    <r>
      <rPr>
        <sz val="11"/>
        <rFont val="Georgia"/>
        <family val="1"/>
      </rPr>
      <t>3BA-RZ34</t>
    </r>
  </si>
  <si>
    <r>
      <rPr>
        <sz val="11"/>
        <rFont val="Georgia"/>
        <family val="1"/>
      </rPr>
      <t>CBA-Z34</t>
    </r>
  </si>
  <si>
    <r>
      <rPr>
        <sz val="11"/>
        <rFont val="Georgia"/>
        <family val="1"/>
      </rPr>
      <t>FAIRLADY Z VERSION ST</t>
    </r>
  </si>
  <si>
    <r>
      <rPr>
        <sz val="11"/>
        <rFont val="Georgia"/>
        <family val="1"/>
      </rPr>
      <t>4BA-Z34</t>
    </r>
  </si>
  <si>
    <r>
      <rPr>
        <sz val="11"/>
        <rFont val="Georgia"/>
        <family val="1"/>
      </rPr>
      <t>FUGA 370G TYPE S</t>
    </r>
  </si>
  <si>
    <r>
      <rPr>
        <sz val="11"/>
        <rFont val="Georgia"/>
        <family val="1"/>
      </rPr>
      <t>DBA-KY51</t>
    </r>
  </si>
  <si>
    <r>
      <rPr>
        <sz val="11"/>
        <rFont val="Georgia"/>
        <family val="1"/>
      </rPr>
      <t>FUGA 370GT TYPE S</t>
    </r>
  </si>
  <si>
    <r>
      <rPr>
        <sz val="11"/>
        <rFont val="Georgia"/>
        <family val="1"/>
      </rPr>
      <t>5BA-KY51</t>
    </r>
  </si>
  <si>
    <r>
      <rPr>
        <sz val="11"/>
        <rFont val="Georgia"/>
        <family val="1"/>
      </rPr>
      <t>FUGA HYBRID</t>
    </r>
  </si>
  <si>
    <r>
      <rPr>
        <sz val="11"/>
        <rFont val="Georgia"/>
        <family val="1"/>
      </rPr>
      <t>DAA-HY51</t>
    </r>
  </si>
  <si>
    <r>
      <rPr>
        <sz val="11"/>
        <rFont val="Georgia"/>
        <family val="1"/>
      </rPr>
      <t>5AA-HY51</t>
    </r>
  </si>
  <si>
    <r>
      <rPr>
        <sz val="11"/>
        <rFont val="Georgia"/>
        <family val="1"/>
      </rPr>
      <t>Fuga370GT Type S cool Exclusive</t>
    </r>
  </si>
  <si>
    <r>
      <rPr>
        <sz val="11"/>
        <rFont val="Georgia"/>
        <family val="1"/>
      </rPr>
      <t>GT-R</t>
    </r>
  </si>
  <si>
    <r>
      <rPr>
        <sz val="11"/>
        <rFont val="Georgia"/>
        <family val="1"/>
      </rPr>
      <t>5BA-R35</t>
    </r>
  </si>
  <si>
    <r>
      <rPr>
        <sz val="11"/>
        <rFont val="Georgia"/>
        <family val="1"/>
      </rPr>
      <t>GT-R PREMIUM EDITION</t>
    </r>
  </si>
  <si>
    <r>
      <rPr>
        <sz val="11"/>
        <rFont val="Georgia"/>
        <family val="1"/>
      </rPr>
      <t>4BA-R35</t>
    </r>
  </si>
  <si>
    <r>
      <rPr>
        <sz val="11"/>
        <rFont val="Georgia"/>
        <family val="1"/>
      </rPr>
      <t>DBA-R35</t>
    </r>
  </si>
  <si>
    <r>
      <rPr>
        <sz val="11"/>
        <rFont val="Georgia"/>
        <family val="1"/>
      </rPr>
      <t>GT-R PRIMIUM EDITION T-SPEC</t>
    </r>
  </si>
  <si>
    <r>
      <rPr>
        <sz val="11"/>
        <rFont val="Georgia"/>
        <family val="1"/>
      </rPr>
      <t>JUKE 15RX V</t>
    </r>
  </si>
  <si>
    <r>
      <rPr>
        <sz val="11"/>
        <rFont val="Georgia"/>
        <family val="1"/>
      </rPr>
      <t>DBA-YF15</t>
    </r>
  </si>
  <si>
    <r>
      <rPr>
        <sz val="11"/>
        <rFont val="Georgia"/>
        <family val="1"/>
      </rPr>
      <t>JUKE 15RX V SELECTION PERSONALIZATION</t>
    </r>
  </si>
  <si>
    <r>
      <rPr>
        <sz val="11"/>
        <rFont val="Georgia"/>
        <family val="1"/>
      </rPr>
      <t>KICKS X</t>
    </r>
  </si>
  <si>
    <r>
      <rPr>
        <sz val="11"/>
        <rFont val="Georgia"/>
        <family val="1"/>
      </rPr>
      <t>6AA-RP15</t>
    </r>
  </si>
  <si>
    <r>
      <rPr>
        <sz val="11"/>
        <rFont val="Georgia"/>
        <family val="1"/>
      </rPr>
      <t>MT 6AA-P15</t>
    </r>
  </si>
  <si>
    <r>
      <rPr>
        <sz val="11"/>
        <rFont val="Georgia"/>
        <family val="1"/>
      </rPr>
      <t>KICKS X FOUR</t>
    </r>
  </si>
  <si>
    <r>
      <rPr>
        <sz val="11"/>
        <rFont val="Georgia"/>
        <family val="1"/>
      </rPr>
      <t>MT 6AA-RP15</t>
    </r>
  </si>
  <si>
    <r>
      <rPr>
        <sz val="11"/>
        <rFont val="Georgia"/>
        <family val="1"/>
      </rPr>
      <t>Lafesta Highway Star G Supremo</t>
    </r>
  </si>
  <si>
    <r>
      <rPr>
        <sz val="11"/>
        <rFont val="Georgia"/>
        <family val="1"/>
      </rPr>
      <t>DBA-CWFFN</t>
    </r>
  </si>
  <si>
    <r>
      <rPr>
        <sz val="11"/>
        <rFont val="Georgia"/>
        <family val="1"/>
      </rPr>
      <t>LEAF E+ G</t>
    </r>
  </si>
  <si>
    <r>
      <rPr>
        <sz val="11"/>
        <rFont val="Georgia"/>
        <family val="1"/>
      </rPr>
      <t>ZAA-ZE1</t>
    </r>
  </si>
  <si>
    <r>
      <rPr>
        <sz val="11"/>
        <rFont val="Georgia"/>
        <family val="1"/>
      </rPr>
      <t>LEAF G</t>
    </r>
  </si>
  <si>
    <r>
      <rPr>
        <sz val="11"/>
        <rFont val="Georgia"/>
        <family val="1"/>
      </rPr>
      <t>MARCH G</t>
    </r>
  </si>
  <si>
    <r>
      <rPr>
        <sz val="11"/>
        <rFont val="Georgia"/>
        <family val="1"/>
      </rPr>
      <t>MT DBA-K13</t>
    </r>
  </si>
  <si>
    <r>
      <rPr>
        <sz val="11"/>
        <rFont val="Georgia"/>
        <family val="1"/>
      </rPr>
      <t>MT 5BA-K13</t>
    </r>
  </si>
  <si>
    <r>
      <rPr>
        <sz val="11"/>
        <rFont val="Georgia"/>
        <family val="1"/>
      </rPr>
      <t>5BA-K13</t>
    </r>
  </si>
  <si>
    <r>
      <rPr>
        <sz val="11"/>
        <rFont val="Georgia"/>
        <family val="1"/>
      </rPr>
      <t>NOTE E-POWER MEDALIST BLACKARROW</t>
    </r>
  </si>
  <si>
    <r>
      <rPr>
        <sz val="11"/>
        <rFont val="Georgia"/>
        <family val="1"/>
      </rPr>
      <t>DAA-HE12</t>
    </r>
  </si>
  <si>
    <r>
      <rPr>
        <sz val="11"/>
        <rFont val="Georgia"/>
        <family val="1"/>
      </rPr>
      <t>NOTE E-POWER X</t>
    </r>
  </si>
  <si>
    <r>
      <rPr>
        <sz val="11"/>
        <rFont val="Georgia"/>
        <family val="1"/>
      </rPr>
      <t>NOTE X</t>
    </r>
  </si>
  <si>
    <r>
      <rPr>
        <sz val="11"/>
        <rFont val="Georgia"/>
        <family val="1"/>
      </rPr>
      <t>6AA-E13</t>
    </r>
  </si>
  <si>
    <r>
      <rPr>
        <sz val="11"/>
        <rFont val="Georgia"/>
        <family val="1"/>
      </rPr>
      <t>NT100 CLIPPER</t>
    </r>
  </si>
  <si>
    <r>
      <rPr>
        <sz val="11"/>
        <rFont val="Georgia"/>
        <family val="1"/>
      </rPr>
      <t>NT100 CLIPPER DX</t>
    </r>
  </si>
  <si>
    <r>
      <rPr>
        <sz val="11"/>
        <rFont val="Georgia"/>
        <family val="1"/>
      </rPr>
      <t>EBD-DR16T</t>
    </r>
  </si>
  <si>
    <r>
      <rPr>
        <sz val="11"/>
        <rFont val="Georgia"/>
        <family val="1"/>
      </rPr>
      <t>5MT/4AT</t>
    </r>
  </si>
  <si>
    <r>
      <rPr>
        <sz val="11"/>
        <rFont val="Georgia"/>
        <family val="1"/>
      </rPr>
      <t>NT450 ATLAS DX D/CAB</t>
    </r>
  </si>
  <si>
    <r>
      <rPr>
        <sz val="11"/>
        <rFont val="Georgia"/>
        <family val="1"/>
      </rPr>
      <t>TRG-FEA2W</t>
    </r>
  </si>
  <si>
    <r>
      <rPr>
        <sz val="11"/>
        <rFont val="Georgia"/>
        <family val="1"/>
      </rPr>
      <t>NT450 ATLAS DX S/CAB</t>
    </r>
  </si>
  <si>
    <r>
      <rPr>
        <sz val="11"/>
        <rFont val="Georgia"/>
        <family val="1"/>
      </rPr>
      <t>TRG-FBA5W</t>
    </r>
  </si>
  <si>
    <r>
      <rPr>
        <sz val="11"/>
        <rFont val="Georgia"/>
        <family val="1"/>
      </rPr>
      <t>NT450 ATLAS REINFORCED DUMP</t>
    </r>
  </si>
  <si>
    <r>
      <rPr>
        <sz val="11"/>
        <rFont val="Georgia"/>
        <family val="1"/>
      </rPr>
      <t>TRG-FBA3W</t>
    </r>
  </si>
  <si>
    <r>
      <rPr>
        <sz val="11"/>
        <rFont val="Georgia"/>
        <family val="1"/>
      </rPr>
      <t>TRG-FDA4W</t>
    </r>
  </si>
  <si>
    <r>
      <rPr>
        <sz val="11"/>
        <rFont val="Georgia"/>
        <family val="1"/>
      </rPr>
      <t>NT450 ATLAS S/CAB</t>
    </r>
  </si>
  <si>
    <r>
      <rPr>
        <sz val="11"/>
        <rFont val="Georgia"/>
        <family val="1"/>
      </rPr>
      <t>NV100 CLIPPER G</t>
    </r>
  </si>
  <si>
    <r>
      <rPr>
        <sz val="11"/>
        <rFont val="Georgia"/>
        <family val="1"/>
      </rPr>
      <t>NV100 CLIPPER GX</t>
    </r>
  </si>
  <si>
    <r>
      <rPr>
        <sz val="11"/>
        <rFont val="Georgia"/>
        <family val="1"/>
      </rPr>
      <t>3BD-DR17V</t>
    </r>
  </si>
  <si>
    <r>
      <rPr>
        <sz val="11"/>
        <rFont val="Georgia"/>
        <family val="1"/>
      </rPr>
      <t>3BD-DR17VV</t>
    </r>
  </si>
  <si>
    <r>
      <rPr>
        <sz val="11"/>
        <rFont val="Georgia"/>
        <family val="1"/>
      </rPr>
      <t>HBD-DR17V</t>
    </r>
  </si>
  <si>
    <r>
      <rPr>
        <sz val="11"/>
        <rFont val="Georgia"/>
        <family val="1"/>
      </rPr>
      <t>5BD-DR17V</t>
    </r>
  </si>
  <si>
    <r>
      <rPr>
        <sz val="11"/>
        <rFont val="Georgia"/>
        <family val="1"/>
      </rPr>
      <t>NV100 CLIPPER RIO</t>
    </r>
  </si>
  <si>
    <r>
      <rPr>
        <sz val="11"/>
        <rFont val="Georgia"/>
        <family val="1"/>
      </rPr>
      <t>ABA-DR17W</t>
    </r>
  </si>
  <si>
    <r>
      <rPr>
        <sz val="11"/>
        <rFont val="Georgia"/>
        <family val="1"/>
      </rPr>
      <t>NV100 CLIPPER RIO CHAIR CAB</t>
    </r>
  </si>
  <si>
    <r>
      <rPr>
        <sz val="11"/>
        <rFont val="Georgia"/>
        <family val="1"/>
      </rPr>
      <t>NV100 CLIPPER RIO G</t>
    </r>
  </si>
  <si>
    <r>
      <rPr>
        <sz val="11"/>
        <rFont val="Georgia"/>
        <family val="1"/>
      </rPr>
      <t>NV100 Clipper Rio G (2WD)</t>
    </r>
  </si>
  <si>
    <r>
      <rPr>
        <sz val="11"/>
        <rFont val="Georgia"/>
        <family val="1"/>
      </rPr>
      <t>NV150 AD 1.5 VE</t>
    </r>
  </si>
  <si>
    <r>
      <rPr>
        <sz val="11"/>
        <rFont val="Georgia"/>
        <family val="1"/>
      </rPr>
      <t>DBF-VY12</t>
    </r>
  </si>
  <si>
    <r>
      <rPr>
        <sz val="11"/>
        <rFont val="Georgia"/>
        <family val="1"/>
      </rPr>
      <t>NV150 AD VE</t>
    </r>
  </si>
  <si>
    <r>
      <rPr>
        <sz val="11"/>
        <rFont val="Georgia"/>
        <family val="1"/>
      </rPr>
      <t>NV200</t>
    </r>
  </si>
  <si>
    <r>
      <rPr>
        <sz val="11"/>
        <rFont val="Georgia"/>
        <family val="1"/>
      </rPr>
      <t>5BA-VM20</t>
    </r>
  </si>
  <si>
    <r>
      <rPr>
        <sz val="11"/>
        <rFont val="Georgia"/>
        <family val="1"/>
      </rPr>
      <t>NV200 16X-2R</t>
    </r>
  </si>
  <si>
    <r>
      <rPr>
        <sz val="11"/>
        <rFont val="Georgia"/>
        <family val="1"/>
      </rPr>
      <t>3BA-M20</t>
    </r>
  </si>
  <si>
    <r>
      <rPr>
        <sz val="11"/>
        <rFont val="Georgia"/>
        <family val="1"/>
      </rPr>
      <t>NV200 VANETTE</t>
    </r>
  </si>
  <si>
    <r>
      <rPr>
        <sz val="11"/>
        <rFont val="Georgia"/>
        <family val="1"/>
      </rPr>
      <t>DBA-M20</t>
    </r>
  </si>
  <si>
    <r>
      <rPr>
        <sz val="11"/>
        <rFont val="Georgia"/>
        <family val="1"/>
      </rPr>
      <t>DBF-VM20</t>
    </r>
  </si>
  <si>
    <r>
      <rPr>
        <sz val="11"/>
        <rFont val="Georgia"/>
        <family val="1"/>
      </rPr>
      <t>5BF-VM20</t>
    </r>
  </si>
  <si>
    <r>
      <rPr>
        <sz val="11"/>
        <rFont val="Georgia"/>
        <family val="1"/>
      </rPr>
      <t>NV200 VANETTE  MULTI BED WAGON</t>
    </r>
  </si>
  <si>
    <r>
      <rPr>
        <sz val="11"/>
        <rFont val="Georgia"/>
        <family val="1"/>
      </rPr>
      <t>NV200 VANETTE 16X-2R</t>
    </r>
  </si>
  <si>
    <r>
      <rPr>
        <sz val="11"/>
        <rFont val="Georgia"/>
        <family val="1"/>
      </rPr>
      <t>NV200 VANETTE CHAIR CAB 2-WHEELCHAIR</t>
    </r>
  </si>
  <si>
    <r>
      <rPr>
        <sz val="11"/>
        <rFont val="Georgia"/>
        <family val="1"/>
      </rPr>
      <t>NV200 VANETTE FREEZING VAN</t>
    </r>
  </si>
  <si>
    <r>
      <rPr>
        <sz val="11"/>
        <rFont val="Georgia"/>
        <family val="1"/>
      </rPr>
      <t>NV200 VANETTE GX</t>
    </r>
  </si>
  <si>
    <r>
      <rPr>
        <sz val="11"/>
        <rFont val="Georgia"/>
        <family val="1"/>
      </rPr>
      <t>3BF-VNM20</t>
    </r>
  </si>
  <si>
    <r>
      <rPr>
        <sz val="11"/>
        <rFont val="Georgia"/>
        <family val="1"/>
      </rPr>
      <t>E-AT</t>
    </r>
  </si>
  <si>
    <r>
      <rPr>
        <sz val="11"/>
        <rFont val="Georgia"/>
        <family val="1"/>
      </rPr>
      <t>NV200 VANETTE MULTIBED VAN</t>
    </r>
  </si>
  <si>
    <r>
      <rPr>
        <sz val="11"/>
        <rFont val="Georgia"/>
        <family val="1"/>
      </rPr>
      <t>NV200 VANETTE ROUTE VAN</t>
    </r>
  </si>
  <si>
    <r>
      <rPr>
        <sz val="11"/>
        <rFont val="Georgia"/>
        <family val="1"/>
      </rPr>
      <t>NV200 VANETTE VAN GX</t>
    </r>
  </si>
  <si>
    <r>
      <rPr>
        <sz val="11"/>
        <rFont val="Georgia"/>
        <family val="1"/>
      </rPr>
      <t>NV200 VANETTE VAN WITH LIFTER</t>
    </r>
  </si>
  <si>
    <r>
      <rPr>
        <sz val="11"/>
        <rFont val="Georgia"/>
        <family val="1"/>
      </rPr>
      <t>NV200 VANETTE VX</t>
    </r>
  </si>
  <si>
    <r>
      <rPr>
        <sz val="11"/>
        <rFont val="Georgia"/>
        <family val="1"/>
      </rPr>
      <t>NV350 CARAVAN</t>
    </r>
  </si>
  <si>
    <r>
      <rPr>
        <sz val="11"/>
        <rFont val="Georgia"/>
        <family val="1"/>
      </rPr>
      <t>CBF-DS4E26</t>
    </r>
  </si>
  <si>
    <r>
      <rPr>
        <sz val="11"/>
        <rFont val="Georgia"/>
        <family val="1"/>
      </rPr>
      <t>CBF-CS4E26</t>
    </r>
  </si>
  <si>
    <r>
      <rPr>
        <sz val="11"/>
        <rFont val="Georgia"/>
        <family val="1"/>
      </rPr>
      <t>CBA-KS26</t>
    </r>
  </si>
  <si>
    <r>
      <rPr>
        <sz val="11"/>
        <rFont val="Georgia"/>
        <family val="1"/>
      </rPr>
      <t>CBF-DS8E26</t>
    </r>
  </si>
  <si>
    <r>
      <rPr>
        <sz val="11"/>
        <rFont val="Georgia"/>
        <family val="1"/>
      </rPr>
      <t>cVT</t>
    </r>
  </si>
  <si>
    <r>
      <rPr>
        <sz val="11"/>
        <rFont val="Georgia"/>
        <family val="1"/>
      </rPr>
      <t>NV350 CARAVAN DX</t>
    </r>
  </si>
  <si>
    <r>
      <rPr>
        <sz val="11"/>
        <rFont val="Georgia"/>
        <family val="1"/>
      </rPr>
      <t>CBF-VR2E26</t>
    </r>
  </si>
  <si>
    <r>
      <rPr>
        <sz val="11"/>
        <rFont val="Georgia"/>
        <family val="1"/>
      </rPr>
      <t>5E-AT</t>
    </r>
  </si>
  <si>
    <r>
      <rPr>
        <sz val="11"/>
        <rFont val="Georgia"/>
        <family val="1"/>
      </rPr>
      <t>CBF-CS2E26</t>
    </r>
  </si>
  <si>
    <r>
      <rPr>
        <sz val="11"/>
        <rFont val="Georgia"/>
        <family val="1"/>
      </rPr>
      <t>3155(3085)</t>
    </r>
  </si>
  <si>
    <r>
      <rPr>
        <sz val="11"/>
        <rFont val="Georgia"/>
        <family val="1"/>
      </rPr>
      <t>NV350 CARAVAN GX</t>
    </r>
  </si>
  <si>
    <r>
      <rPr>
        <sz val="11"/>
        <rFont val="Georgia"/>
        <family val="1"/>
      </rPr>
      <t>2920(2925)</t>
    </r>
  </si>
  <si>
    <r>
      <rPr>
        <sz val="11"/>
        <rFont val="Georgia"/>
        <family val="1"/>
      </rPr>
      <t>NV350 CARAVAN PREMIUM GX</t>
    </r>
  </si>
  <si>
    <r>
      <rPr>
        <sz val="11"/>
        <rFont val="Georgia"/>
        <family val="1"/>
      </rPr>
      <t>NV350 CARAVAN WAGON WIDE BODY</t>
    </r>
  </si>
  <si>
    <r>
      <rPr>
        <sz val="11"/>
        <rFont val="Georgia"/>
        <family val="1"/>
      </rPr>
      <t>ROOX</t>
    </r>
  </si>
  <si>
    <r>
      <rPr>
        <sz val="11"/>
        <rFont val="Georgia"/>
        <family val="1"/>
      </rPr>
      <t>44A-B45A</t>
    </r>
  </si>
  <si>
    <r>
      <rPr>
        <sz val="11"/>
        <rFont val="Georgia"/>
        <family val="1"/>
      </rPr>
      <t>ROOX G</t>
    </r>
  </si>
  <si>
    <r>
      <rPr>
        <sz val="11"/>
        <rFont val="Georgia"/>
        <family val="1"/>
      </rPr>
      <t>ROOX HIGHWAY STAR G TURBO PROPILOT EDT</t>
    </r>
  </si>
  <si>
    <r>
      <rPr>
        <sz val="11"/>
        <rFont val="Georgia"/>
        <family val="1"/>
      </rPr>
      <t>4AA-B45A</t>
    </r>
  </si>
  <si>
    <r>
      <rPr>
        <sz val="11"/>
        <rFont val="Georgia"/>
        <family val="1"/>
      </rPr>
      <t>ROOX HUGHWAY STAR G TURBO</t>
    </r>
  </si>
  <si>
    <r>
      <rPr>
        <sz val="11"/>
        <rFont val="Georgia"/>
        <family val="1"/>
      </rPr>
      <t>ROOX HUGHWAY STAR X</t>
    </r>
  </si>
  <si>
    <r>
      <rPr>
        <sz val="11"/>
        <rFont val="Georgia"/>
        <family val="1"/>
      </rPr>
      <t>DAA-B44A</t>
    </r>
  </si>
  <si>
    <r>
      <rPr>
        <sz val="11"/>
        <rFont val="Georgia"/>
        <family val="1"/>
      </rPr>
      <t>ROOX X</t>
    </r>
  </si>
  <si>
    <r>
      <rPr>
        <sz val="11"/>
        <rFont val="Georgia"/>
        <family val="1"/>
      </rPr>
      <t>5AA-B44A</t>
    </r>
  </si>
  <si>
    <r>
      <rPr>
        <sz val="11"/>
        <rFont val="Georgia"/>
        <family val="1"/>
      </rPr>
      <t>ROOX X SLIDE-UP SEAT</t>
    </r>
  </si>
  <si>
    <r>
      <rPr>
        <sz val="11"/>
        <rFont val="Georgia"/>
        <family val="1"/>
      </rPr>
      <t>SAKURA G</t>
    </r>
  </si>
  <si>
    <r>
      <rPr>
        <sz val="11"/>
        <rFont val="Georgia"/>
        <family val="1"/>
      </rPr>
      <t>ZAA-B6AW</t>
    </r>
  </si>
  <si>
    <r>
      <rPr>
        <sz val="11"/>
        <rFont val="Georgia"/>
        <family val="1"/>
      </rPr>
      <t>SERENA CHAIR CAB</t>
    </r>
  </si>
  <si>
    <r>
      <rPr>
        <sz val="11"/>
        <rFont val="Georgia"/>
        <family val="1"/>
      </rPr>
      <t>6AA-GFC28</t>
    </r>
  </si>
  <si>
    <r>
      <rPr>
        <sz val="11"/>
        <rFont val="Georgia"/>
        <family val="1"/>
      </rPr>
      <t>SERENA E-POWER</t>
    </r>
  </si>
  <si>
    <r>
      <rPr>
        <sz val="11"/>
        <rFont val="Georgia"/>
        <family val="1"/>
      </rPr>
      <t>DAA-HFC27</t>
    </r>
  </si>
  <si>
    <r>
      <rPr>
        <sz val="11"/>
        <rFont val="Georgia"/>
        <family val="1"/>
      </rPr>
      <t>6AA-HFC27</t>
    </r>
  </si>
  <si>
    <r>
      <rPr>
        <sz val="11"/>
        <rFont val="Georgia"/>
        <family val="1"/>
      </rPr>
      <t>SERENA E-POWER HIGHWAY STAR CHAIR CAB</t>
    </r>
  </si>
  <si>
    <r>
      <rPr>
        <sz val="11"/>
        <rFont val="Georgia"/>
        <family val="1"/>
      </rPr>
      <t>SERENA E-POWER HIGHWAY STAR V</t>
    </r>
  </si>
  <si>
    <r>
      <rPr>
        <sz val="11"/>
        <rFont val="Georgia"/>
        <family val="1"/>
      </rPr>
      <t>SERENA E-POWER HIGHWAY STAR V SECOND S</t>
    </r>
  </si>
  <si>
    <r>
      <rPr>
        <sz val="11"/>
        <rFont val="Georgia"/>
        <family val="1"/>
      </rPr>
      <t>SERENA E-POWER HIGHWAY STAR V STEP TYPE</t>
    </r>
  </si>
  <si>
    <r>
      <rPr>
        <sz val="11"/>
        <rFont val="Georgia"/>
        <family val="1"/>
      </rPr>
      <t>SERENA E-POWER LUXION</t>
    </r>
  </si>
  <si>
    <r>
      <rPr>
        <sz val="11"/>
        <rFont val="Georgia"/>
        <family val="1"/>
      </rPr>
      <t>SERENA E-POWER STAR V</t>
    </r>
  </si>
  <si>
    <r>
      <rPr>
        <sz val="11"/>
        <rFont val="Georgia"/>
        <family val="1"/>
      </rPr>
      <t>Serena Highway Star</t>
    </r>
  </si>
  <si>
    <r>
      <rPr>
        <sz val="11"/>
        <rFont val="Georgia"/>
        <family val="1"/>
      </rPr>
      <t>DAA-GF C27</t>
    </r>
  </si>
  <si>
    <r>
      <rPr>
        <sz val="11"/>
        <rFont val="Georgia"/>
        <family val="1"/>
      </rPr>
      <t>Serena Highway Star V</t>
    </r>
  </si>
  <si>
    <r>
      <rPr>
        <sz val="11"/>
        <rFont val="Georgia"/>
        <family val="1"/>
      </rPr>
      <t>SERENA MULTIBED</t>
    </r>
  </si>
  <si>
    <r>
      <rPr>
        <sz val="11"/>
        <rFont val="Georgia"/>
        <family val="1"/>
      </rPr>
      <t>5BA-FC28</t>
    </r>
  </si>
  <si>
    <r>
      <rPr>
        <sz val="11"/>
        <rFont val="Georgia"/>
        <family val="1"/>
      </rPr>
      <t>SERENA V</t>
    </r>
  </si>
  <si>
    <r>
      <rPr>
        <sz val="11"/>
        <rFont val="Georgia"/>
        <family val="1"/>
      </rPr>
      <t>SKYLINE 350GT HYBRID TYPE SP</t>
    </r>
  </si>
  <si>
    <r>
      <rPr>
        <sz val="11"/>
        <rFont val="Georgia"/>
        <family val="1"/>
      </rPr>
      <t>DAA-HV37</t>
    </r>
  </si>
  <si>
    <r>
      <rPr>
        <sz val="11"/>
        <rFont val="Georgia"/>
        <family val="1"/>
      </rPr>
      <t>SKYLINE 400R</t>
    </r>
  </si>
  <si>
    <r>
      <rPr>
        <sz val="11"/>
        <rFont val="Georgia"/>
        <family val="1"/>
      </rPr>
      <t>5BA-RV37</t>
    </r>
  </si>
  <si>
    <r>
      <rPr>
        <sz val="11"/>
        <rFont val="Georgia"/>
        <family val="1"/>
      </rPr>
      <t>SKYLINE GT TYPE SP (HYBRID)</t>
    </r>
  </si>
  <si>
    <r>
      <rPr>
        <sz val="11"/>
        <rFont val="Georgia"/>
        <family val="1"/>
      </rPr>
      <t>5AA-HV37</t>
    </r>
  </si>
  <si>
    <r>
      <rPr>
        <sz val="11"/>
        <rFont val="Georgia"/>
        <family val="1"/>
      </rPr>
      <t>SKYLINE NISMO</t>
    </r>
  </si>
  <si>
    <r>
      <rPr>
        <sz val="11"/>
        <rFont val="Georgia"/>
        <family val="1"/>
      </rPr>
      <t>7MT</t>
    </r>
  </si>
  <si>
    <r>
      <rPr>
        <sz val="11"/>
        <rFont val="Georgia"/>
        <family val="1"/>
      </rPr>
      <t>SYLPHY G</t>
    </r>
  </si>
  <si>
    <r>
      <rPr>
        <sz val="11"/>
        <rFont val="Georgia"/>
        <family val="1"/>
      </rPr>
      <t>DBA-TB17</t>
    </r>
  </si>
  <si>
    <r>
      <rPr>
        <sz val="11"/>
        <rFont val="Georgia"/>
        <family val="1"/>
      </rPr>
      <t>Sylphy X Passenger's Swivel Seat (2WD)</t>
    </r>
  </si>
  <si>
    <r>
      <rPr>
        <sz val="11"/>
        <rFont val="Georgia"/>
        <family val="1"/>
      </rPr>
      <t>Teana XV Navi AVM Package</t>
    </r>
  </si>
  <si>
    <r>
      <rPr>
        <sz val="11"/>
        <rFont val="Georgia"/>
        <family val="1"/>
      </rPr>
      <t>DBA-L33</t>
    </r>
  </si>
  <si>
    <r>
      <rPr>
        <sz val="11"/>
        <rFont val="Georgia"/>
        <family val="1"/>
      </rPr>
      <t>TEANA XV NAVI AVM PACKAGE</t>
    </r>
  </si>
  <si>
    <r>
      <rPr>
        <sz val="11"/>
        <rFont val="Georgia"/>
        <family val="1"/>
      </rPr>
      <t>VANETTE 16X-2R</t>
    </r>
  </si>
  <si>
    <r>
      <rPr>
        <sz val="11"/>
        <rFont val="Georgia"/>
        <family val="1"/>
      </rPr>
      <t>WingRoad 15M</t>
    </r>
  </si>
  <si>
    <r>
      <rPr>
        <sz val="11"/>
        <rFont val="Georgia"/>
        <family val="1"/>
      </rPr>
      <t>DBA-Y12</t>
    </r>
  </si>
  <si>
    <r>
      <rPr>
        <sz val="11"/>
        <rFont val="Georgia"/>
        <family val="1"/>
      </rPr>
      <t>X-Trail 20X</t>
    </r>
  </si>
  <si>
    <r>
      <rPr>
        <sz val="11"/>
        <rFont val="Georgia"/>
        <family val="1"/>
      </rPr>
      <t>DBA-NT32</t>
    </r>
  </si>
  <si>
    <r>
      <rPr>
        <sz val="11"/>
        <rFont val="Georgia"/>
        <family val="1"/>
      </rPr>
      <t>X-TRAil 20X Hybrid</t>
    </r>
  </si>
  <si>
    <r>
      <rPr>
        <sz val="11"/>
        <rFont val="Georgia"/>
        <family val="1"/>
      </rPr>
      <t>DAA-HNT32</t>
    </r>
  </si>
  <si>
    <r>
      <rPr>
        <sz val="11"/>
        <rFont val="Georgia"/>
        <family val="1"/>
      </rPr>
      <t>X-TRAIL 20XI</t>
    </r>
  </si>
  <si>
    <r>
      <rPr>
        <sz val="11"/>
        <rFont val="Georgia"/>
        <family val="1"/>
      </rPr>
      <t>5BA-NT32</t>
    </r>
  </si>
  <si>
    <r>
      <rPr>
        <sz val="11"/>
        <rFont val="Georgia"/>
        <family val="1"/>
      </rPr>
      <t>X-TRAIL 20XI HYBRID</t>
    </r>
  </si>
  <si>
    <r>
      <rPr>
        <sz val="11"/>
        <rFont val="Georgia"/>
        <family val="1"/>
      </rPr>
      <t>DAA-NT32</t>
    </r>
  </si>
  <si>
    <r>
      <rPr>
        <sz val="11"/>
        <rFont val="Georgia"/>
        <family val="1"/>
      </rPr>
      <t>X-TRAIL 20Xi HYBRID</t>
    </r>
  </si>
  <si>
    <r>
      <rPr>
        <sz val="11"/>
        <rFont val="Georgia"/>
        <family val="1"/>
      </rPr>
      <t>DBA-HNT32</t>
    </r>
  </si>
  <si>
    <r>
      <rPr>
        <sz val="11"/>
        <rFont val="Georgia"/>
        <family val="1"/>
      </rPr>
      <t>X-TRAIL 20Xi X-TREAMER X</t>
    </r>
  </si>
  <si>
    <r>
      <rPr>
        <sz val="11"/>
        <rFont val="Georgia"/>
        <family val="1"/>
      </rPr>
      <t>X-TRAIL 20XI X-TREMER X</t>
    </r>
  </si>
  <si>
    <r>
      <rPr>
        <sz val="11"/>
        <rFont val="Georgia"/>
        <family val="1"/>
      </rPr>
      <t>X-Trail Slide up seat 20X X-Tremer X (4WD 2Row)</t>
    </r>
  </si>
  <si>
    <r>
      <rPr>
        <sz val="11"/>
        <rFont val="Georgia"/>
        <family val="1"/>
      </rPr>
      <t>X-TRAIL X E-4ORCE</t>
    </r>
  </si>
  <si>
    <r>
      <rPr>
        <sz val="11"/>
        <rFont val="Georgia"/>
        <family val="1"/>
      </rPr>
      <t>6AA-SNT33</t>
    </r>
  </si>
  <si>
    <r>
      <rPr>
        <sz val="11"/>
        <rFont val="Georgia"/>
        <family val="1"/>
      </rPr>
      <t>NAVARA SL</t>
    </r>
  </si>
  <si>
    <r>
      <rPr>
        <sz val="11"/>
        <rFont val="Georgia"/>
        <family val="1"/>
      </rPr>
      <t>NAVARA ST</t>
    </r>
  </si>
  <si>
    <r>
      <rPr>
        <sz val="11"/>
        <rFont val="Georgia"/>
        <family val="1"/>
      </rPr>
      <t>NAVARA ST-X  CLOTH/NO SUNROOF</t>
    </r>
  </si>
  <si>
    <r>
      <rPr>
        <sz val="11"/>
        <rFont val="Georgia"/>
        <family val="1"/>
      </rPr>
      <t>NAVARA ST-X  LEATHER/NO SUNROOF</t>
    </r>
  </si>
  <si>
    <r>
      <rPr>
        <sz val="11"/>
        <rFont val="Georgia"/>
        <family val="1"/>
      </rPr>
      <t>NAVARA ST-X  LEATHER/SUNROOF</t>
    </r>
  </si>
  <si>
    <r>
      <rPr>
        <sz val="11"/>
        <rFont val="Georgia"/>
        <family val="1"/>
      </rPr>
      <t>NAVARA PRO-4X</t>
    </r>
  </si>
  <si>
    <r>
      <rPr>
        <sz val="11"/>
        <rFont val="Georgia"/>
        <family val="1"/>
      </rPr>
      <t>NAVARA SL WARRIOR</t>
    </r>
  </si>
  <si>
    <r>
      <rPr>
        <sz val="11"/>
        <rFont val="Georgia"/>
        <family val="1"/>
      </rPr>
      <t>NAVARA BLACK EDITION</t>
    </r>
  </si>
  <si>
    <r>
      <rPr>
        <sz val="11"/>
        <rFont val="Georgia"/>
        <family val="1"/>
      </rPr>
      <t>NAVARA BLACK EDITION HSP</t>
    </r>
  </si>
  <si>
    <r>
      <rPr>
        <sz val="11"/>
        <rFont val="Georgia"/>
        <family val="1"/>
      </rPr>
      <t>NAVARA PRO-4X WARRIOR</t>
    </r>
  </si>
  <si>
    <r>
      <rPr>
        <sz val="11"/>
        <rFont val="Georgia"/>
        <family val="1"/>
      </rPr>
      <t>NISSAN DIESEL/UD</t>
    </r>
  </si>
  <si>
    <r>
      <rPr>
        <sz val="11"/>
        <rFont val="Georgia"/>
        <family val="1"/>
      </rPr>
      <t>TRUCKS KAZET</t>
    </r>
  </si>
  <si>
    <r>
      <rPr>
        <sz val="11"/>
        <rFont val="Georgia"/>
        <family val="1"/>
      </rPr>
      <t>FBA2Y-58</t>
    </r>
  </si>
  <si>
    <r>
      <rPr>
        <sz val="11"/>
        <rFont val="Georgia"/>
        <family val="1"/>
      </rPr>
      <t>TRUCKS CONDOR</t>
    </r>
  </si>
  <si>
    <r>
      <rPr>
        <sz val="11"/>
        <rFont val="Georgia"/>
        <family val="1"/>
      </rPr>
      <t>BRR90-700</t>
    </r>
  </si>
  <si>
    <r>
      <rPr>
        <sz val="11"/>
        <rFont val="Georgia"/>
        <family val="1"/>
      </rPr>
      <t>5200cc</t>
    </r>
  </si>
  <si>
    <r>
      <rPr>
        <sz val="11"/>
        <rFont val="Georgia"/>
        <family val="1"/>
      </rPr>
      <t>TRUCKS QUON</t>
    </r>
  </si>
  <si>
    <r>
      <rPr>
        <sz val="11"/>
        <rFont val="Georgia"/>
        <family val="1"/>
      </rPr>
      <t>JNCMCG0D9PU07</t>
    </r>
  </si>
  <si>
    <r>
      <rPr>
        <sz val="11"/>
        <rFont val="Georgia"/>
        <family val="1"/>
      </rPr>
      <t>9900cc</t>
    </r>
  </si>
  <si>
    <r>
      <rPr>
        <sz val="11"/>
        <rFont val="Georgia"/>
        <family val="1"/>
      </rPr>
      <t>JNCMB02G3JU02</t>
    </r>
  </si>
  <si>
    <r>
      <rPr>
        <sz val="11"/>
        <rFont val="Georgia"/>
        <family val="1"/>
      </rPr>
      <t>10800cc</t>
    </r>
  </si>
  <si>
    <r>
      <rPr>
        <sz val="11"/>
        <rFont val="Georgia"/>
        <family val="1"/>
      </rPr>
      <t>TRUCKS QUON BASEGRADE</t>
    </r>
  </si>
  <si>
    <r>
      <rPr>
        <sz val="11"/>
        <rFont val="Georgia"/>
        <family val="1"/>
      </rPr>
      <t>JNCMC90D6RU08</t>
    </r>
  </si>
  <si>
    <r>
      <rPr>
        <sz val="11"/>
        <rFont val="Georgia"/>
        <family val="1"/>
      </rPr>
      <t>12770cc</t>
    </r>
  </si>
  <si>
    <r>
      <rPr>
        <sz val="11"/>
        <rFont val="Georgia"/>
        <family val="1"/>
      </rPr>
      <t>JNCMC10GXSU10</t>
    </r>
  </si>
  <si>
    <r>
      <rPr>
        <sz val="11"/>
        <rFont val="Georgia"/>
        <family val="1"/>
      </rPr>
      <t>OPEL</t>
    </r>
  </si>
  <si>
    <r>
      <rPr>
        <sz val="11"/>
        <rFont val="Georgia"/>
        <family val="1"/>
      </rPr>
      <t>ASTRA 1.4</t>
    </r>
  </si>
  <si>
    <r>
      <rPr>
        <sz val="11"/>
        <rFont val="Georgia"/>
        <family val="1"/>
      </rPr>
      <t>ASTRA 1.4 SPORTS TOURER</t>
    </r>
  </si>
  <si>
    <r>
      <rPr>
        <sz val="11"/>
        <rFont val="Georgia"/>
        <family val="1"/>
      </rPr>
      <t>ASTRA 1.6 SELECT</t>
    </r>
  </si>
  <si>
    <r>
      <rPr>
        <sz val="11"/>
        <rFont val="Georgia"/>
        <family val="1"/>
      </rPr>
      <t>ASTRA 1.6 SELECT SPORTS TOURER</t>
    </r>
  </si>
  <si>
    <r>
      <rPr>
        <sz val="11"/>
        <rFont val="Georgia"/>
        <family val="1"/>
      </rPr>
      <t>ASTRA 1.6 SPORTS</t>
    </r>
  </si>
  <si>
    <r>
      <rPr>
        <sz val="11"/>
        <rFont val="Georgia"/>
        <family val="1"/>
      </rPr>
      <t>ASTRA CDTI</t>
    </r>
  </si>
  <si>
    <r>
      <rPr>
        <sz val="11"/>
        <rFont val="Georgia"/>
        <family val="1"/>
      </rPr>
      <t>ASTRA CDTI SELECT</t>
    </r>
  </si>
  <si>
    <r>
      <rPr>
        <sz val="11"/>
        <rFont val="Georgia"/>
        <family val="1"/>
      </rPr>
      <t>ASTRA CDTI SELECT SPORTS TOURER</t>
    </r>
  </si>
  <si>
    <r>
      <rPr>
        <sz val="11"/>
        <rFont val="Georgia"/>
        <family val="1"/>
      </rPr>
      <t>ASTRA CDTI SPORTS TOURER</t>
    </r>
  </si>
  <si>
    <r>
      <rPr>
        <sz val="11"/>
        <rFont val="Georgia"/>
        <family val="1"/>
      </rPr>
      <t>ASTRA GTC 1.4</t>
    </r>
  </si>
  <si>
    <r>
      <rPr>
        <sz val="11"/>
        <rFont val="Georgia"/>
        <family val="1"/>
      </rPr>
      <t>ASTRA GTC 1.6 SPORT</t>
    </r>
  </si>
  <si>
    <r>
      <rPr>
        <sz val="11"/>
        <rFont val="Georgia"/>
        <family val="1"/>
      </rPr>
      <t>ASTRA OPC</t>
    </r>
  </si>
  <si>
    <r>
      <rPr>
        <sz val="11"/>
        <rFont val="Georgia"/>
        <family val="1"/>
      </rPr>
      <t>CORSA (BASE)</t>
    </r>
  </si>
  <si>
    <r>
      <rPr>
        <sz val="11"/>
        <rFont val="Georgia"/>
        <family val="1"/>
      </rPr>
      <t>CORSA COLOUR</t>
    </r>
  </si>
  <si>
    <r>
      <rPr>
        <sz val="11"/>
        <rFont val="Georgia"/>
        <family val="1"/>
      </rPr>
      <t>CORSA ENJOY</t>
    </r>
  </si>
  <si>
    <r>
      <rPr>
        <sz val="11"/>
        <rFont val="Georgia"/>
        <family val="1"/>
      </rPr>
      <t>CORSA OPC</t>
    </r>
  </si>
  <si>
    <r>
      <rPr>
        <sz val="11"/>
        <rFont val="Georgia"/>
        <family val="1"/>
      </rPr>
      <t>INSIGNIA (BASE)</t>
    </r>
  </si>
  <si>
    <r>
      <rPr>
        <sz val="11"/>
        <rFont val="Georgia"/>
        <family val="1"/>
      </rPr>
      <t>INSIGNIA CDTI</t>
    </r>
  </si>
  <si>
    <r>
      <rPr>
        <sz val="11"/>
        <rFont val="Georgia"/>
        <family val="1"/>
      </rPr>
      <t>INSIGNIA CDTI SELECT</t>
    </r>
  </si>
  <si>
    <r>
      <rPr>
        <sz val="11"/>
        <rFont val="Georgia"/>
        <family val="1"/>
      </rPr>
      <t>INSIGNIA CDTI SELECT SPORTS TOURER</t>
    </r>
  </si>
  <si>
    <r>
      <rPr>
        <sz val="11"/>
        <rFont val="Georgia"/>
        <family val="1"/>
      </rPr>
      <t>INSIGNIA CDTI SPORTS TOURER</t>
    </r>
  </si>
  <si>
    <r>
      <rPr>
        <sz val="11"/>
        <rFont val="Georgia"/>
        <family val="1"/>
      </rPr>
      <t>INSIGNIA OPC</t>
    </r>
  </si>
  <si>
    <r>
      <rPr>
        <sz val="11"/>
        <rFont val="Georgia"/>
        <family val="1"/>
      </rPr>
      <t>INSIGNIA SELECT</t>
    </r>
  </si>
  <si>
    <r>
      <rPr>
        <sz val="11"/>
        <rFont val="Georgia"/>
        <family val="1"/>
      </rPr>
      <t>INSIGNIA SELECT SPORTS TOURER</t>
    </r>
  </si>
  <si>
    <r>
      <rPr>
        <sz val="11"/>
        <rFont val="Georgia"/>
        <family val="1"/>
      </rPr>
      <t>INSIGNIA SPORTS TOURER</t>
    </r>
  </si>
  <si>
    <r>
      <rPr>
        <sz val="11"/>
        <rFont val="Georgia"/>
        <family val="1"/>
      </rPr>
      <t>ZAFIRA TOURER</t>
    </r>
  </si>
  <si>
    <r>
      <rPr>
        <sz val="11"/>
        <rFont val="Georgia"/>
        <family val="1"/>
      </rPr>
      <t>ZAFIRA TOURER LUXURY</t>
    </r>
  </si>
  <si>
    <r>
      <rPr>
        <sz val="11"/>
        <rFont val="Georgia"/>
        <family val="1"/>
      </rPr>
      <t>PEUGEOT</t>
    </r>
  </si>
  <si>
    <r>
      <rPr>
        <sz val="11"/>
        <rFont val="Georgia"/>
        <family val="1"/>
      </rPr>
      <t>2008 ALLURE</t>
    </r>
  </si>
  <si>
    <r>
      <rPr>
        <sz val="11"/>
        <rFont val="Georgia"/>
        <family val="1"/>
      </rPr>
      <t>2008 ALLURE HYBRID</t>
    </r>
  </si>
  <si>
    <r>
      <rPr>
        <sz val="11"/>
        <rFont val="Georgia"/>
        <family val="1"/>
      </rPr>
      <t>2008 GT</t>
    </r>
  </si>
  <si>
    <r>
      <rPr>
        <sz val="11"/>
        <rFont val="Georgia"/>
        <family val="1"/>
      </rPr>
      <t>2008 GT HYBRID</t>
    </r>
  </si>
  <si>
    <r>
      <rPr>
        <sz val="11"/>
        <rFont val="Georgia"/>
        <family val="1"/>
      </rPr>
      <t>3008 ALLURE 1.6 THP</t>
    </r>
  </si>
  <si>
    <r>
      <rPr>
        <sz val="11"/>
        <rFont val="Georgia"/>
        <family val="1"/>
      </rPr>
      <t>3008 ALLURE HYBRID</t>
    </r>
  </si>
  <si>
    <r>
      <rPr>
        <sz val="11"/>
        <rFont val="Georgia"/>
        <family val="1"/>
      </rPr>
      <t>3008 GT 1.6 THP</t>
    </r>
  </si>
  <si>
    <r>
      <rPr>
        <sz val="11"/>
        <rFont val="Georgia"/>
        <family val="1"/>
      </rPr>
      <t>3008 GT PREMIUM HYBRID</t>
    </r>
  </si>
  <si>
    <r>
      <rPr>
        <sz val="11"/>
        <rFont val="Georgia"/>
        <family val="1"/>
      </rPr>
      <t>3008 GT SPORT 1.6 THP</t>
    </r>
  </si>
  <si>
    <r>
      <rPr>
        <sz val="11"/>
        <rFont val="Georgia"/>
        <family val="1"/>
      </rPr>
      <t>3008 GT SPORT 1.6L THP AWD PHEV</t>
    </r>
  </si>
  <si>
    <r>
      <rPr>
        <sz val="11"/>
        <rFont val="Georgia"/>
        <family val="1"/>
      </rPr>
      <t>308 GT</t>
    </r>
  </si>
  <si>
    <r>
      <rPr>
        <sz val="11"/>
        <rFont val="Georgia"/>
        <family val="1"/>
      </rPr>
      <t>308 GT HYBRID</t>
    </r>
  </si>
  <si>
    <r>
      <rPr>
        <sz val="11"/>
        <rFont val="Georgia"/>
        <family val="1"/>
      </rPr>
      <t>308 GT PREMIUM</t>
    </r>
  </si>
  <si>
    <r>
      <rPr>
        <sz val="11"/>
        <rFont val="Georgia"/>
        <family val="1"/>
      </rPr>
      <t>308 GT SPORT PHEV</t>
    </r>
  </si>
  <si>
    <r>
      <rPr>
        <sz val="11"/>
        <rFont val="Georgia"/>
        <family val="1"/>
      </rPr>
      <t>408 GT PHEV</t>
    </r>
  </si>
  <si>
    <r>
      <rPr>
        <sz val="11"/>
        <rFont val="Georgia"/>
        <family val="1"/>
      </rPr>
      <t>408 GT PREMIUM HYBRID</t>
    </r>
  </si>
  <si>
    <r>
      <rPr>
        <sz val="11"/>
        <rFont val="Georgia"/>
        <family val="1"/>
      </rPr>
      <t>508 GT PHEV</t>
    </r>
  </si>
  <si>
    <r>
      <rPr>
        <sz val="11"/>
        <rFont val="Georgia"/>
        <family val="1"/>
      </rPr>
      <t>BOXER PRO LWB</t>
    </r>
  </si>
  <si>
    <r>
      <rPr>
        <sz val="11"/>
        <rFont val="Georgia"/>
        <family val="1"/>
      </rPr>
      <t>E-2008 GT</t>
    </r>
  </si>
  <si>
    <r>
      <rPr>
        <sz val="11"/>
        <rFont val="Georgia"/>
        <family val="1"/>
      </rPr>
      <t>1AT</t>
    </r>
  </si>
  <si>
    <r>
      <rPr>
        <sz val="11"/>
        <rFont val="Georgia"/>
        <family val="1"/>
      </rPr>
      <t>E-208 GT</t>
    </r>
  </si>
  <si>
    <r>
      <rPr>
        <sz val="11"/>
        <rFont val="Georgia"/>
        <family val="1"/>
      </rPr>
      <t>E-308 GT</t>
    </r>
  </si>
  <si>
    <r>
      <rPr>
        <sz val="11"/>
        <rFont val="Georgia"/>
        <family val="1"/>
      </rPr>
      <t>E-EXPERT PRO LONG</t>
    </r>
  </si>
  <si>
    <r>
      <rPr>
        <sz val="11"/>
        <rFont val="Georgia"/>
        <family val="1"/>
      </rPr>
      <t>E-PARTNER PRO LONG</t>
    </r>
  </si>
  <si>
    <r>
      <rPr>
        <sz val="11"/>
        <rFont val="Georgia"/>
        <family val="1"/>
      </rPr>
      <t>EXPERT CITY SHORT</t>
    </r>
  </si>
  <si>
    <r>
      <rPr>
        <sz val="11"/>
        <rFont val="Georgia"/>
        <family val="1"/>
      </rPr>
      <t>EXPERT PREMIUM LONG</t>
    </r>
  </si>
  <si>
    <r>
      <rPr>
        <sz val="11"/>
        <rFont val="Georgia"/>
        <family val="1"/>
      </rPr>
      <t>EXPERT PREMIUM SHORT</t>
    </r>
  </si>
  <si>
    <r>
      <rPr>
        <sz val="11"/>
        <rFont val="Georgia"/>
        <family val="1"/>
      </rPr>
      <t>EXPERT PRO LONG</t>
    </r>
  </si>
  <si>
    <r>
      <rPr>
        <sz val="11"/>
        <rFont val="Georgia"/>
        <family val="1"/>
      </rPr>
      <t>EXPERT PRO SHORT</t>
    </r>
  </si>
  <si>
    <r>
      <rPr>
        <sz val="11"/>
        <rFont val="Georgia"/>
        <family val="1"/>
      </rPr>
      <t>PARTNER CITY SHORT</t>
    </r>
  </si>
  <si>
    <r>
      <rPr>
        <sz val="11"/>
        <rFont val="Georgia"/>
        <family val="1"/>
      </rPr>
      <t>PARTNER PREMIUM LONG</t>
    </r>
  </si>
  <si>
    <r>
      <rPr>
        <sz val="11"/>
        <rFont val="Georgia"/>
        <family val="1"/>
      </rPr>
      <t>PARTNER PREMIUM SHORT</t>
    </r>
  </si>
  <si>
    <r>
      <rPr>
        <sz val="11"/>
        <rFont val="Georgia"/>
        <family val="1"/>
      </rPr>
      <t>PARTNER PRO LONG</t>
    </r>
  </si>
  <si>
    <r>
      <rPr>
        <sz val="11"/>
        <rFont val="Georgia"/>
        <family val="1"/>
      </rPr>
      <t>PARTNER PRO SHORT</t>
    </r>
  </si>
  <si>
    <r>
      <rPr>
        <sz val="11"/>
        <rFont val="Georgia"/>
        <family val="1"/>
      </rPr>
      <t>208 TECH PACK EDITION</t>
    </r>
  </si>
  <si>
    <r>
      <rPr>
        <sz val="11"/>
        <rFont val="Georgia"/>
        <family val="1"/>
      </rPr>
      <t>ABA-A9HN01</t>
    </r>
  </si>
  <si>
    <r>
      <rPr>
        <sz val="11"/>
        <rFont val="Georgia"/>
        <family val="1"/>
      </rPr>
      <t>2008 CROSSCITY</t>
    </r>
  </si>
  <si>
    <r>
      <rPr>
        <sz val="11"/>
        <rFont val="Georgia"/>
        <family val="1"/>
      </rPr>
      <t>VF3CUHNZTHY15</t>
    </r>
  </si>
  <si>
    <r>
      <rPr>
        <sz val="11"/>
        <rFont val="Georgia"/>
        <family val="1"/>
      </rPr>
      <t>VF3CUHNZTJY21</t>
    </r>
  </si>
  <si>
    <r>
      <rPr>
        <sz val="11"/>
        <rFont val="Georgia"/>
        <family val="1"/>
      </rPr>
      <t>208 ALLURE FUN EDITION</t>
    </r>
  </si>
  <si>
    <r>
      <rPr>
        <sz val="11"/>
        <rFont val="Georgia"/>
        <family val="1"/>
      </rPr>
      <t>VF3CCHNZTKW10</t>
    </r>
  </si>
  <si>
    <r>
      <rPr>
        <sz val="11"/>
        <rFont val="Georgia"/>
        <family val="1"/>
      </rPr>
      <t>208 ALLURE CIELO PACKAGE</t>
    </r>
  </si>
  <si>
    <r>
      <rPr>
        <sz val="11"/>
        <rFont val="Georgia"/>
        <family val="1"/>
      </rPr>
      <t>208 STYLE</t>
    </r>
  </si>
  <si>
    <r>
      <rPr>
        <sz val="11"/>
        <rFont val="Georgia"/>
        <family val="1"/>
      </rPr>
      <t>VR3UPHNKSNT00</t>
    </r>
  </si>
  <si>
    <r>
      <rPr>
        <sz val="11"/>
        <rFont val="Georgia"/>
        <family val="1"/>
      </rPr>
      <t>308 TECH PACK EDITION</t>
    </r>
  </si>
  <si>
    <r>
      <rPr>
        <sz val="11"/>
        <rFont val="Georgia"/>
        <family val="1"/>
      </rPr>
      <t>VF3LPHNSRKS30</t>
    </r>
  </si>
  <si>
    <r>
      <rPr>
        <sz val="11"/>
        <rFont val="Georgia"/>
        <family val="1"/>
      </rPr>
      <t>308 SW ALLURE BLUE HDI</t>
    </r>
  </si>
  <si>
    <r>
      <rPr>
        <sz val="11"/>
        <rFont val="Georgia"/>
        <family val="1"/>
      </rPr>
      <t>VF3LCYHZRJS41</t>
    </r>
  </si>
  <si>
    <r>
      <rPr>
        <sz val="11"/>
        <rFont val="Georgia"/>
        <family val="1"/>
      </rPr>
      <t>2008 GT LINE BLACK PACK</t>
    </r>
  </si>
  <si>
    <r>
      <rPr>
        <sz val="11"/>
        <rFont val="Georgia"/>
        <family val="1"/>
      </rPr>
      <t>ABA-A94HN01</t>
    </r>
  </si>
  <si>
    <r>
      <rPr>
        <sz val="11"/>
        <rFont val="Georgia"/>
        <family val="1"/>
      </rPr>
      <t>308 SW ALLURE SPECIAL EDITION</t>
    </r>
  </si>
  <si>
    <r>
      <rPr>
        <sz val="11"/>
        <rFont val="Georgia"/>
        <family val="1"/>
      </rPr>
      <t>ABA-T9WHN02</t>
    </r>
  </si>
  <si>
    <r>
      <rPr>
        <sz val="11"/>
        <rFont val="Georgia"/>
        <family val="1"/>
      </rPr>
      <t>208 GT</t>
    </r>
  </si>
  <si>
    <r>
      <rPr>
        <sz val="11"/>
        <rFont val="Georgia"/>
        <family val="1"/>
      </rPr>
      <t>VR3UPHNKSPT55</t>
    </r>
  </si>
  <si>
    <r>
      <rPr>
        <sz val="11"/>
        <rFont val="Georgia"/>
        <family val="1"/>
      </rPr>
      <t>VR3USHNSSLJ79</t>
    </r>
  </si>
  <si>
    <r>
      <rPr>
        <sz val="11"/>
        <rFont val="Georgia"/>
        <family val="1"/>
      </rPr>
      <t>208 ALLURE</t>
    </r>
  </si>
  <si>
    <r>
      <rPr>
        <sz val="11"/>
        <rFont val="Georgia"/>
        <family val="1"/>
      </rPr>
      <t>3BA-P21HN05</t>
    </r>
  </si>
  <si>
    <r>
      <rPr>
        <sz val="11"/>
        <rFont val="Georgia"/>
        <family val="1"/>
      </rPr>
      <t>308 ALLURE</t>
    </r>
  </si>
  <si>
    <r>
      <rPr>
        <sz val="11"/>
        <rFont val="Georgia"/>
        <family val="1"/>
      </rPr>
      <t>VR3FPHNSTPY62</t>
    </r>
  </si>
  <si>
    <r>
      <rPr>
        <sz val="11"/>
        <rFont val="Georgia"/>
        <family val="1"/>
      </rPr>
      <t>308 ALLURE BLUE HDI SPECIAL EDITION</t>
    </r>
  </si>
  <si>
    <r>
      <rPr>
        <sz val="11"/>
        <rFont val="Georgia"/>
        <family val="1"/>
      </rPr>
      <t>LDA-T9BH01</t>
    </r>
  </si>
  <si>
    <r>
      <rPr>
        <sz val="11"/>
        <rFont val="Georgia"/>
        <family val="1"/>
      </rPr>
      <t>308 TECH PACK EDITION BLUE HDI</t>
    </r>
  </si>
  <si>
    <r>
      <rPr>
        <sz val="11"/>
        <rFont val="Georgia"/>
        <family val="1"/>
      </rPr>
      <t>VF3LBYHZRKS38</t>
    </r>
  </si>
  <si>
    <r>
      <rPr>
        <sz val="11"/>
        <rFont val="Georgia"/>
        <family val="1"/>
      </rPr>
      <t>5008 CROSSCITY</t>
    </r>
  </si>
  <si>
    <r>
      <rPr>
        <sz val="11"/>
        <rFont val="Georgia"/>
        <family val="1"/>
      </rPr>
      <t>ABA-P875G01</t>
    </r>
  </si>
  <si>
    <r>
      <rPr>
        <sz val="11"/>
        <rFont val="Georgia"/>
        <family val="1"/>
      </rPr>
      <t>VR3UHZKXZPT50</t>
    </r>
  </si>
  <si>
    <r>
      <rPr>
        <sz val="11"/>
        <rFont val="Georgia"/>
        <family val="1"/>
      </rPr>
      <t>2008 GT PACK BLUE HDI</t>
    </r>
  </si>
  <si>
    <r>
      <rPr>
        <sz val="11"/>
        <rFont val="Georgia"/>
        <family val="1"/>
      </rPr>
      <t>VR3UDYHZSNJ56</t>
    </r>
  </si>
  <si>
    <r>
      <rPr>
        <sz val="11"/>
        <rFont val="Georgia"/>
        <family val="1"/>
      </rPr>
      <t>308 SW GT LINE BLUE HDI BLACK PACK</t>
    </r>
  </si>
  <si>
    <r>
      <rPr>
        <sz val="11"/>
        <rFont val="Georgia"/>
        <family val="1"/>
      </rPr>
      <t>LDA-T9WYH01</t>
    </r>
  </si>
  <si>
    <r>
      <rPr>
        <sz val="11"/>
        <rFont val="Georgia"/>
        <family val="1"/>
      </rPr>
      <t>308 SW GT LINE BLUE HDI</t>
    </r>
  </si>
  <si>
    <r>
      <rPr>
        <sz val="11"/>
        <rFont val="Georgia"/>
        <family val="1"/>
      </rPr>
      <t>VF3LCYHZRKS26</t>
    </r>
  </si>
  <si>
    <r>
      <rPr>
        <sz val="11"/>
        <rFont val="Georgia"/>
        <family val="1"/>
      </rPr>
      <t>3008 GT LINE</t>
    </r>
  </si>
  <si>
    <r>
      <rPr>
        <sz val="11"/>
        <rFont val="Georgia"/>
        <family val="1"/>
      </rPr>
      <t>VF3M45GFRKS49</t>
    </r>
  </si>
  <si>
    <r>
      <rPr>
        <sz val="11"/>
        <rFont val="Georgia"/>
        <family val="1"/>
      </rPr>
      <t>E-208 GT LINE</t>
    </r>
  </si>
  <si>
    <r>
      <rPr>
        <sz val="11"/>
        <rFont val="Georgia"/>
        <family val="1"/>
      </rPr>
      <t>ZAA-P21ZK01</t>
    </r>
  </si>
  <si>
    <r>
      <rPr>
        <sz val="11"/>
        <rFont val="Georgia"/>
        <family val="1"/>
      </rPr>
      <t>308 SW ROADTRIP</t>
    </r>
  </si>
  <si>
    <r>
      <rPr>
        <sz val="11"/>
        <rFont val="Georgia"/>
        <family val="1"/>
      </rPr>
      <t>3BA-T9WHN05</t>
    </r>
  </si>
  <si>
    <r>
      <rPr>
        <sz val="11"/>
        <rFont val="Georgia"/>
        <family val="1"/>
      </rPr>
      <t>208 GT LINE</t>
    </r>
  </si>
  <si>
    <r>
      <rPr>
        <sz val="11"/>
        <rFont val="Georgia"/>
        <family val="1"/>
      </rPr>
      <t>308 GT PURETECH EDITION</t>
    </r>
  </si>
  <si>
    <r>
      <rPr>
        <sz val="11"/>
        <rFont val="Georgia"/>
        <family val="1"/>
      </rPr>
      <t>VR3FPHNSTPY60</t>
    </r>
  </si>
  <si>
    <r>
      <rPr>
        <sz val="11"/>
        <rFont val="Georgia"/>
        <family val="1"/>
      </rPr>
      <t>PY50</t>
    </r>
  </si>
  <si>
    <r>
      <rPr>
        <sz val="11"/>
        <rFont val="Georgia"/>
        <family val="1"/>
      </rPr>
      <t>PY61</t>
    </r>
  </si>
  <si>
    <r>
      <rPr>
        <sz val="11"/>
        <rFont val="Georgia"/>
        <family val="1"/>
      </rPr>
      <t>2008 GT BLUE HDI DEBUT EDITION</t>
    </r>
  </si>
  <si>
    <r>
      <rPr>
        <sz val="11"/>
        <rFont val="Georgia"/>
        <family val="1"/>
      </rPr>
      <t>VR3UDYHZSPJ83</t>
    </r>
  </si>
  <si>
    <r>
      <rPr>
        <sz val="11"/>
        <rFont val="Georgia"/>
        <family val="1"/>
      </rPr>
      <t>5008 ALLURE</t>
    </r>
  </si>
  <si>
    <r>
      <rPr>
        <sz val="11"/>
        <rFont val="Georgia"/>
        <family val="1"/>
      </rPr>
      <t>VF3M45GZWJL00</t>
    </r>
  </si>
  <si>
    <r>
      <rPr>
        <sz val="11"/>
        <rFont val="Georgia"/>
        <family val="1"/>
      </rPr>
      <t>VR3USHNSSPJ77</t>
    </r>
  </si>
  <si>
    <r>
      <rPr>
        <sz val="11"/>
        <rFont val="Georgia"/>
        <family val="1"/>
      </rPr>
      <t>VR3UKZKXZMJ55</t>
    </r>
  </si>
  <si>
    <r>
      <rPr>
        <sz val="11"/>
        <rFont val="Georgia"/>
        <family val="1"/>
      </rPr>
      <t>308 GT HYBRID SPECIAL EDITION</t>
    </r>
  </si>
  <si>
    <r>
      <rPr>
        <sz val="11"/>
        <rFont val="Georgia"/>
        <family val="1"/>
      </rPr>
      <t>3LA-P515G06H</t>
    </r>
  </si>
  <si>
    <r>
      <rPr>
        <sz val="11"/>
        <rFont val="Georgia"/>
        <family val="1"/>
      </rPr>
      <t>508 SW ALLURE</t>
    </r>
  </si>
  <si>
    <r>
      <rPr>
        <sz val="11"/>
        <rFont val="Georgia"/>
        <family val="1"/>
      </rPr>
      <t>VR3F45GFRLY00</t>
    </r>
  </si>
  <si>
    <r>
      <rPr>
        <sz val="11"/>
        <rFont val="Georgia"/>
        <family val="1"/>
      </rPr>
      <t>308 GT BLUE HDI</t>
    </r>
  </si>
  <si>
    <r>
      <rPr>
        <sz val="11"/>
        <rFont val="Georgia"/>
        <family val="1"/>
      </rPr>
      <t>VF3LHAHWWHS24</t>
    </r>
  </si>
  <si>
    <r>
      <rPr>
        <sz val="11"/>
        <rFont val="Georgia"/>
        <family val="1"/>
      </rPr>
      <t>RIFTER DEBUT EDITION</t>
    </r>
  </si>
  <si>
    <r>
      <rPr>
        <sz val="11"/>
        <rFont val="Georgia"/>
        <family val="1"/>
      </rPr>
      <t>VR3ECYHZRKJ83</t>
    </r>
  </si>
  <si>
    <r>
      <rPr>
        <sz val="11"/>
        <rFont val="Georgia"/>
        <family val="1"/>
      </rPr>
      <t>408 ALLURE</t>
    </r>
  </si>
  <si>
    <r>
      <rPr>
        <sz val="11"/>
        <rFont val="Georgia"/>
        <family val="1"/>
      </rPr>
      <t>3BA-P54HN05</t>
    </r>
  </si>
  <si>
    <r>
      <rPr>
        <sz val="11"/>
        <rFont val="Georgia"/>
        <family val="1"/>
      </rPr>
      <t>2008 GT BLUE HDI</t>
    </r>
  </si>
  <si>
    <r>
      <rPr>
        <sz val="11"/>
        <rFont val="Georgia"/>
        <family val="1"/>
      </rPr>
      <t>VR3UDYHZSNJ70</t>
    </r>
  </si>
  <si>
    <r>
      <rPr>
        <sz val="11"/>
        <rFont val="Georgia"/>
        <family val="1"/>
      </rPr>
      <t>308 ALLURE BLUE HDI</t>
    </r>
  </si>
  <si>
    <r>
      <rPr>
        <sz val="11"/>
        <rFont val="Georgia"/>
        <family val="1"/>
      </rPr>
      <t>VR3FBYHZTNY58</t>
    </r>
  </si>
  <si>
    <r>
      <rPr>
        <sz val="11"/>
        <rFont val="Georgia"/>
        <family val="1"/>
      </rPr>
      <t>RIFTER GT</t>
    </r>
  </si>
  <si>
    <r>
      <rPr>
        <sz val="11"/>
        <rFont val="Georgia"/>
        <family val="1"/>
      </rPr>
      <t>VR3ECYHZ3NJ71</t>
    </r>
  </si>
  <si>
    <r>
      <rPr>
        <sz val="11"/>
        <rFont val="Georgia"/>
        <family val="1"/>
      </rPr>
      <t>VR3FBYHZTRY50</t>
    </r>
  </si>
  <si>
    <r>
      <rPr>
        <sz val="11"/>
        <rFont val="Georgia"/>
        <family val="1"/>
      </rPr>
      <t>3008 BLUE HDI SPECIAL EDITION</t>
    </r>
  </si>
  <si>
    <r>
      <rPr>
        <sz val="11"/>
        <rFont val="Georgia"/>
        <family val="1"/>
      </rPr>
      <t>LDA-P84AH01</t>
    </r>
  </si>
  <si>
    <r>
      <rPr>
        <sz val="11"/>
        <rFont val="Georgia"/>
        <family val="1"/>
      </rPr>
      <t>RIFTER</t>
    </r>
  </si>
  <si>
    <r>
      <rPr>
        <sz val="11"/>
        <rFont val="Georgia"/>
        <family val="1"/>
      </rPr>
      <t>3008 ALLURE LED PACKAGE</t>
    </r>
  </si>
  <si>
    <r>
      <rPr>
        <sz val="11"/>
        <rFont val="Georgia"/>
        <family val="1"/>
      </rPr>
      <t>VF3M45GZWJS14</t>
    </r>
  </si>
  <si>
    <r>
      <rPr>
        <sz val="11"/>
        <rFont val="Georgia"/>
        <family val="1"/>
      </rPr>
      <t>RIFTER ALLURE</t>
    </r>
  </si>
  <si>
    <r>
      <rPr>
        <sz val="11"/>
        <rFont val="Georgia"/>
        <family val="1"/>
      </rPr>
      <t>VR3ECYHZRMJ84</t>
    </r>
  </si>
  <si>
    <r>
      <rPr>
        <sz val="11"/>
        <rFont val="Georgia"/>
        <family val="1"/>
      </rPr>
      <t>E-2008 GT LINE</t>
    </r>
  </si>
  <si>
    <r>
      <rPr>
        <sz val="11"/>
        <rFont val="Georgia"/>
        <family val="1"/>
      </rPr>
      <t>ZAA-P24ZK01</t>
    </r>
  </si>
  <si>
    <r>
      <rPr>
        <sz val="11"/>
        <rFont val="Georgia"/>
        <family val="1"/>
      </rPr>
      <t>3008 GT BLUE HDI</t>
    </r>
  </si>
  <si>
    <r>
      <rPr>
        <sz val="11"/>
        <rFont val="Georgia"/>
        <family val="1"/>
      </rPr>
      <t>VF3MJEHZRKS26</t>
    </r>
  </si>
  <si>
    <r>
      <rPr>
        <sz val="11"/>
        <rFont val="Georgia"/>
        <family val="1"/>
      </rPr>
      <t>E-208 ALLURE</t>
    </r>
  </si>
  <si>
    <r>
      <rPr>
        <sz val="11"/>
        <rFont val="Georgia"/>
        <family val="1"/>
      </rPr>
      <t>VR3UHZKXZLT00</t>
    </r>
  </si>
  <si>
    <r>
      <rPr>
        <sz val="11"/>
        <rFont val="Georgia"/>
        <family val="1"/>
      </rPr>
      <t>408 GT</t>
    </r>
  </si>
  <si>
    <r>
      <rPr>
        <sz val="11"/>
        <rFont val="Georgia"/>
        <family val="1"/>
      </rPr>
      <t>VR3FPHNSTPY54</t>
    </r>
  </si>
  <si>
    <r>
      <rPr>
        <sz val="11"/>
        <rFont val="Georgia"/>
        <family val="1"/>
      </rPr>
      <t>508 GT BLUE HDI PREMIUM LEATHER EDITION</t>
    </r>
  </si>
  <si>
    <r>
      <rPr>
        <sz val="11"/>
        <rFont val="Georgia"/>
        <family val="1"/>
      </rPr>
      <t>VR3FHEHZRLY03</t>
    </r>
  </si>
  <si>
    <r>
      <rPr>
        <sz val="11"/>
        <rFont val="Georgia"/>
        <family val="1"/>
      </rPr>
      <t>3008 GT</t>
    </r>
  </si>
  <si>
    <r>
      <rPr>
        <sz val="11"/>
        <rFont val="Georgia"/>
        <family val="1"/>
      </rPr>
      <t>VF3M45GFUPS01</t>
    </r>
  </si>
  <si>
    <r>
      <rPr>
        <sz val="11"/>
        <rFont val="Georgia"/>
        <family val="1"/>
      </rPr>
      <t>VF3MJEHZRKS51</t>
    </r>
  </si>
  <si>
    <r>
      <rPr>
        <sz val="11"/>
        <rFont val="Georgia"/>
        <family val="1"/>
      </rPr>
      <t>2008 GT DRIVE EDITION</t>
    </r>
  </si>
  <si>
    <r>
      <rPr>
        <sz val="11"/>
        <rFont val="Georgia"/>
        <family val="1"/>
      </rPr>
      <t>VR3USHNSSMJ71</t>
    </r>
  </si>
  <si>
    <r>
      <rPr>
        <sz val="11"/>
        <rFont val="Georgia"/>
        <family val="1"/>
      </rPr>
      <t>RIFTER LONG GT</t>
    </r>
  </si>
  <si>
    <r>
      <rPr>
        <sz val="11"/>
        <rFont val="Georgia"/>
        <family val="1"/>
      </rPr>
      <t>VR3EBYHZ4RJ69</t>
    </r>
  </si>
  <si>
    <r>
      <rPr>
        <sz val="11"/>
        <rFont val="Georgia"/>
        <family val="1"/>
      </rPr>
      <t>3008 CROSSCITY</t>
    </r>
  </si>
  <si>
    <r>
      <rPr>
        <sz val="11"/>
        <rFont val="Georgia"/>
        <family val="1"/>
      </rPr>
      <t>ABA-P845G01</t>
    </r>
  </si>
  <si>
    <r>
      <rPr>
        <sz val="11"/>
        <rFont val="Georgia"/>
        <family val="1"/>
      </rPr>
      <t>508 GT BLUE HDI</t>
    </r>
  </si>
  <si>
    <r>
      <rPr>
        <sz val="11"/>
        <rFont val="Georgia"/>
        <family val="1"/>
      </rPr>
      <t>VR3FHEHZRKY07</t>
    </r>
  </si>
  <si>
    <r>
      <rPr>
        <sz val="11"/>
        <rFont val="Georgia"/>
        <family val="1"/>
      </rPr>
      <t>VR3FHEHZRLY05</t>
    </r>
  </si>
  <si>
    <r>
      <rPr>
        <sz val="11"/>
        <rFont val="Georgia"/>
        <family val="1"/>
      </rPr>
      <t>3008 BLUE HDI CLEAN EDITION</t>
    </r>
  </si>
  <si>
    <r>
      <rPr>
        <sz val="11"/>
        <rFont val="Georgia"/>
        <family val="1"/>
      </rPr>
      <t>508 GT LINE</t>
    </r>
  </si>
  <si>
    <r>
      <rPr>
        <sz val="11"/>
        <rFont val="Georgia"/>
        <family val="1"/>
      </rPr>
      <t>VR3F45GFRKY21</t>
    </r>
  </si>
  <si>
    <r>
      <rPr>
        <sz val="11"/>
        <rFont val="Georgia"/>
        <family val="1"/>
      </rPr>
      <t>308 SW GT BLUE HDI</t>
    </r>
  </si>
  <si>
    <r>
      <rPr>
        <sz val="11"/>
        <rFont val="Georgia"/>
        <family val="1"/>
      </rPr>
      <t>VR3FCYHZTNY57</t>
    </r>
  </si>
  <si>
    <r>
      <rPr>
        <sz val="11"/>
        <rFont val="Georgia"/>
        <family val="1"/>
      </rPr>
      <t>2008 GT LINE</t>
    </r>
  </si>
  <si>
    <r>
      <rPr>
        <sz val="11"/>
        <rFont val="Georgia"/>
        <family val="1"/>
      </rPr>
      <t>5BA-P24HN05</t>
    </r>
  </si>
  <si>
    <r>
      <rPr>
        <sz val="11"/>
        <rFont val="Georgia"/>
        <family val="1"/>
      </rPr>
      <t>5008 GT LINE BLUE HDI</t>
    </r>
  </si>
  <si>
    <r>
      <rPr>
        <sz val="11"/>
        <rFont val="Georgia"/>
        <family val="1"/>
      </rPr>
      <t>VF3MJEHZRLS07</t>
    </r>
  </si>
  <si>
    <r>
      <rPr>
        <sz val="11"/>
        <rFont val="Georgia"/>
        <family val="1"/>
      </rPr>
      <t>508 GT</t>
    </r>
  </si>
  <si>
    <r>
      <rPr>
        <sz val="11"/>
        <rFont val="Georgia"/>
        <family val="1"/>
      </rPr>
      <t>VR3F35GFTMY00</t>
    </r>
  </si>
  <si>
    <r>
      <rPr>
        <sz val="11"/>
        <rFont val="Georgia"/>
        <family val="1"/>
      </rPr>
      <t>3008 GT BLUE HDI RED NAPPA</t>
    </r>
  </si>
  <si>
    <r>
      <rPr>
        <sz val="11"/>
        <rFont val="Georgia"/>
        <family val="1"/>
      </rPr>
      <t>VF3MJEHZRMS17</t>
    </r>
  </si>
  <si>
    <r>
      <rPr>
        <sz val="11"/>
        <rFont val="Georgia"/>
        <family val="1"/>
      </rPr>
      <t>508 SW GT LINE</t>
    </r>
  </si>
  <si>
    <r>
      <rPr>
        <sz val="11"/>
        <rFont val="Georgia"/>
        <family val="1"/>
      </rPr>
      <t>RIFTER GT LINE FIRST LIMITED</t>
    </r>
  </si>
  <si>
    <r>
      <rPr>
        <sz val="11"/>
        <rFont val="Georgia"/>
        <family val="1"/>
      </rPr>
      <t>3DA-K9PYH01</t>
    </r>
  </si>
  <si>
    <r>
      <rPr>
        <sz val="11"/>
        <rFont val="Georgia"/>
        <family val="1"/>
      </rPr>
      <t>3008 GT BLUE HDI BLACK PACK</t>
    </r>
  </si>
  <si>
    <r>
      <rPr>
        <sz val="11"/>
        <rFont val="Georgia"/>
        <family val="1"/>
      </rPr>
      <t>3DA-P84AH01</t>
    </r>
  </si>
  <si>
    <r>
      <rPr>
        <sz val="11"/>
        <rFont val="Georgia"/>
        <family val="1"/>
      </rPr>
      <t>308 GTI BY SPORT</t>
    </r>
  </si>
  <si>
    <r>
      <rPr>
        <sz val="11"/>
        <rFont val="Georgia"/>
        <family val="1"/>
      </rPr>
      <t>VF3L35GNHKS05</t>
    </r>
  </si>
  <si>
    <r>
      <rPr>
        <sz val="11"/>
        <rFont val="Georgia"/>
        <family val="1"/>
      </rPr>
      <t>5008 GT</t>
    </r>
  </si>
  <si>
    <r>
      <rPr>
        <sz val="11"/>
        <rFont val="Georgia"/>
        <family val="1"/>
      </rPr>
      <t>5BA-P875G06</t>
    </r>
  </si>
  <si>
    <r>
      <rPr>
        <sz val="11"/>
        <rFont val="Georgia"/>
        <family val="1"/>
      </rPr>
      <t>508 SW GT BLUE HDI</t>
    </r>
  </si>
  <si>
    <r>
      <rPr>
        <sz val="11"/>
        <rFont val="Georgia"/>
        <family val="1"/>
      </rPr>
      <t>VR3FJEHZRKY17</t>
    </r>
  </si>
  <si>
    <r>
      <rPr>
        <sz val="11"/>
        <rFont val="Georgia"/>
        <family val="1"/>
      </rPr>
      <t>VR3F45GFRKY04</t>
    </r>
  </si>
  <si>
    <r>
      <rPr>
        <sz val="11"/>
        <rFont val="Georgia"/>
        <family val="1"/>
      </rPr>
      <t>VR3F3DGYTRY50</t>
    </r>
  </si>
  <si>
    <r>
      <rPr>
        <sz val="11"/>
        <rFont val="Georgia"/>
        <family val="1"/>
      </rPr>
      <t>308 SW GT HYBRID</t>
    </r>
  </si>
  <si>
    <r>
      <rPr>
        <sz val="11"/>
        <rFont val="Georgia"/>
        <family val="1"/>
      </rPr>
      <t>VR3F4DGYTPY54</t>
    </r>
  </si>
  <si>
    <r>
      <rPr>
        <sz val="11"/>
        <rFont val="Georgia"/>
        <family val="1"/>
      </rPr>
      <t>5008 GT EXECUTIVE EDITION</t>
    </r>
  </si>
  <si>
    <r>
      <rPr>
        <sz val="11"/>
        <rFont val="Georgia"/>
        <family val="1"/>
      </rPr>
      <t>VF3MJAHWWJS10</t>
    </r>
  </si>
  <si>
    <r>
      <rPr>
        <sz val="11"/>
        <rFont val="Georgia"/>
        <family val="1"/>
      </rPr>
      <t>5008 GT BLUE HDI</t>
    </r>
  </si>
  <si>
    <r>
      <rPr>
        <sz val="11"/>
        <rFont val="Georgia"/>
        <family val="1"/>
      </rPr>
      <t>VF3MJAHWWHL07</t>
    </r>
  </si>
  <si>
    <r>
      <rPr>
        <sz val="11"/>
        <rFont val="Georgia"/>
        <family val="1"/>
      </rPr>
      <t>3008 GT EXECUTIVE EDITION</t>
    </r>
  </si>
  <si>
    <r>
      <rPr>
        <sz val="11"/>
        <rFont val="Georgia"/>
        <family val="1"/>
      </rPr>
      <t>5BA-P845G06</t>
    </r>
  </si>
  <si>
    <r>
      <rPr>
        <sz val="11"/>
        <rFont val="Georgia"/>
        <family val="1"/>
      </rPr>
      <t>5008 CROSSCITY BLUE HDI</t>
    </r>
  </si>
  <si>
    <r>
      <rPr>
        <sz val="11"/>
        <rFont val="Georgia"/>
        <family val="1"/>
      </rPr>
      <t>VF3MJEHZRLS10</t>
    </r>
  </si>
  <si>
    <r>
      <rPr>
        <sz val="11"/>
        <rFont val="Georgia"/>
        <family val="1"/>
      </rPr>
      <t>508 SW GT HYBRID</t>
    </r>
  </si>
  <si>
    <r>
      <rPr>
        <sz val="11"/>
        <rFont val="Georgia"/>
        <family val="1"/>
      </rPr>
      <t>3LA-R85G06H</t>
    </r>
  </si>
  <si>
    <r>
      <rPr>
        <sz val="11"/>
        <rFont val="Georgia"/>
        <family val="1"/>
      </rPr>
      <t>3008 GT HYBRID4</t>
    </r>
  </si>
  <si>
    <r>
      <rPr>
        <sz val="11"/>
        <rFont val="Georgia"/>
        <family val="1"/>
      </rPr>
      <t>VF3M45GBUMS02</t>
    </r>
  </si>
  <si>
    <r>
      <rPr>
        <sz val="11"/>
        <rFont val="Georgia"/>
        <family val="1"/>
      </rPr>
      <t>5008 GT BLUE HDI RED NAPPA</t>
    </r>
  </si>
  <si>
    <r>
      <rPr>
        <sz val="11"/>
        <rFont val="Georgia"/>
        <family val="1"/>
      </rPr>
      <t>VF3MJEHZRMS20</t>
    </r>
  </si>
  <si>
    <r>
      <rPr>
        <sz val="11"/>
        <rFont val="Georgia"/>
        <family val="1"/>
      </rPr>
      <t>408 GT HYBRID</t>
    </r>
  </si>
  <si>
    <r>
      <rPr>
        <sz val="11"/>
        <rFont val="Georgia"/>
        <family val="1"/>
      </rPr>
      <t>3LA-P545G06H</t>
    </r>
  </si>
  <si>
    <r>
      <rPr>
        <sz val="11"/>
        <rFont val="Georgia"/>
        <family val="1"/>
      </rPr>
      <t>508 GT HYBRID</t>
    </r>
  </si>
  <si>
    <r>
      <rPr>
        <sz val="11"/>
        <rFont val="Georgia"/>
        <family val="1"/>
      </rPr>
      <t>VR3F4DGZTMY50</t>
    </r>
  </si>
  <si>
    <r>
      <rPr>
        <sz val="11"/>
        <rFont val="Georgia"/>
        <family val="1"/>
      </rPr>
      <t>2008 GT DEBUT EDITION</t>
    </r>
  </si>
  <si>
    <r>
      <rPr>
        <sz val="11"/>
        <rFont val="Georgia"/>
        <family val="1"/>
      </rPr>
      <t>VR3USHNSSPJ84</t>
    </r>
  </si>
  <si>
    <r>
      <rPr>
        <sz val="11"/>
        <rFont val="Georgia"/>
        <family val="1"/>
      </rPr>
      <t>PORSCHE</t>
    </r>
  </si>
  <si>
    <r>
      <rPr>
        <sz val="11"/>
        <rFont val="Georgia"/>
        <family val="1"/>
      </rPr>
      <t>718 BOXSTER</t>
    </r>
  </si>
  <si>
    <r>
      <rPr>
        <sz val="11"/>
        <rFont val="Georgia"/>
        <family val="1"/>
      </rPr>
      <t>6 MT</t>
    </r>
  </si>
  <si>
    <r>
      <rPr>
        <sz val="11"/>
        <rFont val="Georgia"/>
        <family val="1"/>
      </rPr>
      <t>7 AT</t>
    </r>
  </si>
  <si>
    <r>
      <rPr>
        <sz val="11"/>
        <rFont val="Georgia"/>
        <family val="1"/>
      </rPr>
      <t>718 BOXSTER GTS 4.0</t>
    </r>
  </si>
  <si>
    <r>
      <rPr>
        <sz val="11"/>
        <rFont val="Georgia"/>
        <family val="1"/>
      </rPr>
      <t>718 BOXSTER S</t>
    </r>
  </si>
  <si>
    <r>
      <rPr>
        <sz val="11"/>
        <rFont val="Georgia"/>
        <family val="1"/>
      </rPr>
      <t>718 BOXSTER STYLE EDITION</t>
    </r>
  </si>
  <si>
    <r>
      <rPr>
        <sz val="11"/>
        <rFont val="Georgia"/>
        <family val="1"/>
      </rPr>
      <t>718 CAYMAN</t>
    </r>
  </si>
  <si>
    <r>
      <rPr>
        <sz val="11"/>
        <rFont val="Georgia"/>
        <family val="1"/>
      </rPr>
      <t>718 CAYMAN GT4 RS</t>
    </r>
  </si>
  <si>
    <r>
      <rPr>
        <sz val="11"/>
        <rFont val="Georgia"/>
        <family val="1"/>
      </rPr>
      <t>718 CAYMAN GTS 4.0</t>
    </r>
  </si>
  <si>
    <r>
      <rPr>
        <sz val="11"/>
        <rFont val="Georgia"/>
        <family val="1"/>
      </rPr>
      <t>718 CAYMAN S</t>
    </r>
  </si>
  <si>
    <r>
      <rPr>
        <sz val="11"/>
        <rFont val="Georgia"/>
        <family val="1"/>
      </rPr>
      <t>718 CAYMAN STYLE EDITION</t>
    </r>
  </si>
  <si>
    <r>
      <rPr>
        <sz val="11"/>
        <rFont val="Georgia"/>
        <family val="1"/>
      </rPr>
      <t>718 SPYDER RS</t>
    </r>
  </si>
  <si>
    <r>
      <rPr>
        <sz val="11"/>
        <rFont val="Georgia"/>
        <family val="1"/>
      </rPr>
      <t>911 CARRERA</t>
    </r>
  </si>
  <si>
    <r>
      <rPr>
        <sz val="11"/>
        <rFont val="Georgia"/>
        <family val="1"/>
      </rPr>
      <t>911 CARRERA 4</t>
    </r>
  </si>
  <si>
    <r>
      <rPr>
        <sz val="11"/>
        <rFont val="Georgia"/>
        <family val="1"/>
      </rPr>
      <t>911 CARRERA 4 GTS</t>
    </r>
  </si>
  <si>
    <r>
      <rPr>
        <sz val="11"/>
        <rFont val="Georgia"/>
        <family val="1"/>
      </rPr>
      <t>911 CARRERA 4S</t>
    </r>
  </si>
  <si>
    <r>
      <rPr>
        <sz val="11"/>
        <rFont val="Georgia"/>
        <family val="1"/>
      </rPr>
      <t>911 CARRERA GTS</t>
    </r>
  </si>
  <si>
    <r>
      <rPr>
        <sz val="11"/>
        <rFont val="Georgia"/>
        <family val="1"/>
      </rPr>
      <t>911 CARRERA S</t>
    </r>
  </si>
  <si>
    <r>
      <rPr>
        <sz val="11"/>
        <rFont val="Georgia"/>
        <family val="1"/>
      </rPr>
      <t>911 CARRERA T</t>
    </r>
  </si>
  <si>
    <r>
      <rPr>
        <sz val="11"/>
        <rFont val="Georgia"/>
        <family val="1"/>
      </rPr>
      <t>911 DAKAR</t>
    </r>
  </si>
  <si>
    <r>
      <rPr>
        <sz val="11"/>
        <rFont val="Georgia"/>
        <family val="1"/>
      </rPr>
      <t>911 EDITION 50 YRS PORSCHE DESIGN</t>
    </r>
  </si>
  <si>
    <r>
      <rPr>
        <sz val="11"/>
        <rFont val="Georgia"/>
        <family val="1"/>
      </rPr>
      <t>911 GT3</t>
    </r>
  </si>
  <si>
    <r>
      <rPr>
        <sz val="11"/>
        <rFont val="Georgia"/>
        <family val="1"/>
      </rPr>
      <t>911 GT3 RS</t>
    </r>
  </si>
  <si>
    <r>
      <rPr>
        <sz val="11"/>
        <rFont val="Georgia"/>
        <family val="1"/>
      </rPr>
      <t>911 GT3 TOURING PACKAGE</t>
    </r>
  </si>
  <si>
    <r>
      <rPr>
        <sz val="11"/>
        <rFont val="Georgia"/>
        <family val="1"/>
      </rPr>
      <t>911 S/T</t>
    </r>
  </si>
  <si>
    <r>
      <rPr>
        <sz val="11"/>
        <rFont val="Georgia"/>
        <family val="1"/>
      </rPr>
      <t>911 TARGA 4</t>
    </r>
  </si>
  <si>
    <r>
      <rPr>
        <sz val="11"/>
        <rFont val="Georgia"/>
        <family val="1"/>
      </rPr>
      <t>911 TARGA 4 GTS</t>
    </r>
  </si>
  <si>
    <r>
      <rPr>
        <sz val="11"/>
        <rFont val="Georgia"/>
        <family val="1"/>
      </rPr>
      <t>911 TARGA 4S</t>
    </r>
  </si>
  <si>
    <r>
      <rPr>
        <sz val="11"/>
        <rFont val="Georgia"/>
        <family val="1"/>
      </rPr>
      <t>911 TURBO</t>
    </r>
  </si>
  <si>
    <r>
      <rPr>
        <sz val="11"/>
        <rFont val="Georgia"/>
        <family val="1"/>
      </rPr>
      <t>911 TURBO S</t>
    </r>
  </si>
  <si>
    <r>
      <rPr>
        <sz val="11"/>
        <rFont val="Georgia"/>
        <family val="1"/>
      </rPr>
      <t>CAYEN</t>
    </r>
  </si>
  <si>
    <r>
      <rPr>
        <sz val="11"/>
        <rFont val="Georgia"/>
        <family val="1"/>
      </rPr>
      <t>MACAN (BASE)</t>
    </r>
  </si>
  <si>
    <r>
      <rPr>
        <sz val="11"/>
        <rFont val="Georgia"/>
        <family val="1"/>
      </rPr>
      <t>MACAN ELECTRIC</t>
    </r>
  </si>
  <si>
    <r>
      <rPr>
        <sz val="11"/>
        <rFont val="Georgia"/>
        <family val="1"/>
      </rPr>
      <t>1 AT</t>
    </r>
  </si>
  <si>
    <r>
      <rPr>
        <sz val="11"/>
        <rFont val="Georgia"/>
        <family val="1"/>
      </rPr>
      <t>MACAN ELECTRIC 4</t>
    </r>
  </si>
  <si>
    <r>
      <rPr>
        <sz val="11"/>
        <rFont val="Georgia"/>
        <family val="1"/>
      </rPr>
      <t>MACAN ELECTRIC 4S</t>
    </r>
  </si>
  <si>
    <r>
      <rPr>
        <sz val="11"/>
        <rFont val="Georgia"/>
        <family val="1"/>
      </rPr>
      <t>MACAN ELECTRIC TURBO</t>
    </r>
  </si>
  <si>
    <r>
      <rPr>
        <sz val="11"/>
        <rFont val="Georgia"/>
        <family val="1"/>
      </rPr>
      <t>MACAN GTS</t>
    </r>
  </si>
  <si>
    <r>
      <rPr>
        <sz val="11"/>
        <rFont val="Georgia"/>
        <family val="1"/>
      </rPr>
      <t>MACAN S</t>
    </r>
  </si>
  <si>
    <r>
      <rPr>
        <sz val="11"/>
        <rFont val="Georgia"/>
        <family val="1"/>
      </rPr>
      <t>MACAN T</t>
    </r>
  </si>
  <si>
    <r>
      <rPr>
        <sz val="11"/>
        <rFont val="Georgia"/>
        <family val="1"/>
      </rPr>
      <t>PANAMERA (BASE)</t>
    </r>
  </si>
  <si>
    <r>
      <rPr>
        <sz val="11"/>
        <rFont val="Georgia"/>
        <family val="1"/>
      </rPr>
      <t>8 AT</t>
    </r>
  </si>
  <si>
    <r>
      <rPr>
        <sz val="11"/>
        <rFont val="Georgia"/>
        <family val="1"/>
      </rPr>
      <t>PANAMERA 4</t>
    </r>
  </si>
  <si>
    <r>
      <rPr>
        <sz val="11"/>
        <rFont val="Georgia"/>
        <family val="1"/>
      </rPr>
      <t>PANAMERA 4 E-HYBRID</t>
    </r>
  </si>
  <si>
    <r>
      <rPr>
        <sz val="11"/>
        <rFont val="Georgia"/>
        <family val="1"/>
      </rPr>
      <t>PANAMERA 4 E-HYBRID EXECUTIVE</t>
    </r>
  </si>
  <si>
    <r>
      <rPr>
        <sz val="11"/>
        <rFont val="Georgia"/>
        <family val="1"/>
      </rPr>
      <t>PANAMERA 4 E-HYBRID PLATINUM EDITION</t>
    </r>
  </si>
  <si>
    <r>
      <rPr>
        <sz val="11"/>
        <rFont val="Georgia"/>
        <family val="1"/>
      </rPr>
      <t>PANAMERA 4 E-HYBRID SPORT TURISMO</t>
    </r>
  </si>
  <si>
    <r>
      <rPr>
        <sz val="11"/>
        <rFont val="Georgia"/>
        <family val="1"/>
      </rPr>
      <t>PANAMERA 4 EXECUTIVE</t>
    </r>
  </si>
  <si>
    <r>
      <rPr>
        <sz val="11"/>
        <rFont val="Georgia"/>
        <family val="1"/>
      </rPr>
      <t>PANAMERA 4 PLATINUM EDITION</t>
    </r>
  </si>
  <si>
    <r>
      <rPr>
        <sz val="11"/>
        <rFont val="Georgia"/>
        <family val="1"/>
      </rPr>
      <t>PANAMERA 4 SPORT TURISMO</t>
    </r>
  </si>
  <si>
    <r>
      <rPr>
        <sz val="11"/>
        <rFont val="Georgia"/>
        <family val="1"/>
      </rPr>
      <t>PANAMERA 4S E-HYBRID</t>
    </r>
  </si>
  <si>
    <r>
      <rPr>
        <sz val="11"/>
        <rFont val="Georgia"/>
        <family val="1"/>
      </rPr>
      <t>PANAMERA GTS</t>
    </r>
  </si>
  <si>
    <r>
      <rPr>
        <sz val="11"/>
        <rFont val="Georgia"/>
        <family val="1"/>
      </rPr>
      <t>PANAMERA GTS SPORT TURISMO</t>
    </r>
  </si>
  <si>
    <r>
      <rPr>
        <sz val="11"/>
        <rFont val="Georgia"/>
        <family val="1"/>
      </rPr>
      <t>PANAMERA PLATINUM EDITION</t>
    </r>
  </si>
  <si>
    <r>
      <rPr>
        <sz val="11"/>
        <rFont val="Georgia"/>
        <family val="1"/>
      </rPr>
      <t>PANAMERA TURBO S</t>
    </r>
  </si>
  <si>
    <r>
      <rPr>
        <sz val="11"/>
        <rFont val="Georgia"/>
        <family val="1"/>
      </rPr>
      <t>PANAMERA TURBO S E-HYBRID</t>
    </r>
  </si>
  <si>
    <r>
      <rPr>
        <sz val="11"/>
        <rFont val="Georgia"/>
        <family val="1"/>
      </rPr>
      <t>TAYCAN (BASE)</t>
    </r>
  </si>
  <si>
    <r>
      <rPr>
        <sz val="11"/>
        <rFont val="Georgia"/>
        <family val="1"/>
      </rPr>
      <t>2 AT</t>
    </r>
  </si>
  <si>
    <r>
      <rPr>
        <sz val="11"/>
        <rFont val="Georgia"/>
        <family val="1"/>
      </rPr>
      <t>TAYCAN 4</t>
    </r>
  </si>
  <si>
    <r>
      <rPr>
        <sz val="11"/>
        <rFont val="Georgia"/>
        <family val="1"/>
      </rPr>
      <t>TAYCAN 4 CROSS TURISMO</t>
    </r>
  </si>
  <si>
    <r>
      <rPr>
        <sz val="11"/>
        <rFont val="Georgia"/>
        <family val="1"/>
      </rPr>
      <t>TAYCAN 4S</t>
    </r>
  </si>
  <si>
    <r>
      <rPr>
        <sz val="11"/>
        <rFont val="Georgia"/>
        <family val="1"/>
      </rPr>
      <t>TAYCAN 4S CROSS TURISMO</t>
    </r>
  </si>
  <si>
    <r>
      <rPr>
        <sz val="11"/>
        <rFont val="Georgia"/>
        <family val="1"/>
      </rPr>
      <t>TAYCAN GT</t>
    </r>
  </si>
  <si>
    <r>
      <rPr>
        <sz val="11"/>
        <rFont val="Georgia"/>
        <family val="1"/>
      </rPr>
      <t>TAYCAN GTS</t>
    </r>
  </si>
  <si>
    <r>
      <rPr>
        <sz val="11"/>
        <rFont val="Georgia"/>
        <family val="1"/>
      </rPr>
      <t>TAYCAN TURBO</t>
    </r>
  </si>
  <si>
    <r>
      <rPr>
        <sz val="11"/>
        <rFont val="Georgia"/>
        <family val="1"/>
      </rPr>
      <t>TAYCAN TURBO CROSS TURISMO</t>
    </r>
  </si>
  <si>
    <r>
      <rPr>
        <sz val="11"/>
        <rFont val="Georgia"/>
        <family val="1"/>
      </rPr>
      <t>TAYCAN TURBO S</t>
    </r>
  </si>
  <si>
    <r>
      <rPr>
        <sz val="11"/>
        <rFont val="Georgia"/>
        <family val="1"/>
      </rPr>
      <t>912 BASE GRADE</t>
    </r>
  </si>
  <si>
    <r>
      <rPr>
        <sz val="11"/>
        <rFont val="Georgia"/>
        <family val="1"/>
      </rPr>
      <t>718 BOXSTER 718 BOXSTER</t>
    </r>
  </si>
  <si>
    <r>
      <rPr>
        <sz val="11"/>
        <rFont val="Georgia"/>
        <family val="1"/>
      </rPr>
      <t>WP0ZZZ98ZKS20</t>
    </r>
  </si>
  <si>
    <r>
      <rPr>
        <sz val="11"/>
        <rFont val="Georgia"/>
        <family val="1"/>
      </rPr>
      <t>MACAN MACAN</t>
    </r>
  </si>
  <si>
    <r>
      <rPr>
        <sz val="11"/>
        <rFont val="Georgia"/>
        <family val="1"/>
      </rPr>
      <t>WP1ZZZ95ZJLB1</t>
    </r>
  </si>
  <si>
    <r>
      <rPr>
        <sz val="11"/>
        <rFont val="Georgia"/>
        <family val="1"/>
      </rPr>
      <t>718 CAYMAN 718 CAYMAN</t>
    </r>
  </si>
  <si>
    <r>
      <rPr>
        <sz val="11"/>
        <rFont val="Georgia"/>
        <family val="1"/>
      </rPr>
      <t>WP0ZZZ98ZJK25</t>
    </r>
  </si>
  <si>
    <r>
      <rPr>
        <sz val="11"/>
        <rFont val="Georgia"/>
        <family val="1"/>
      </rPr>
      <t>718 CAYMAN 718 CAYMAN T</t>
    </r>
  </si>
  <si>
    <r>
      <rPr>
        <sz val="11"/>
        <rFont val="Georgia"/>
        <family val="1"/>
      </rPr>
      <t>WP0ZZZ98ZMS25</t>
    </r>
  </si>
  <si>
    <r>
      <rPr>
        <sz val="11"/>
        <rFont val="Georgia"/>
        <family val="1"/>
      </rPr>
      <t>718 BOXSTER 718 BOXSTER T</t>
    </r>
  </si>
  <si>
    <r>
      <rPr>
        <sz val="11"/>
        <rFont val="Georgia"/>
        <family val="1"/>
      </rPr>
      <t>WP0ZZZ98ZPS20</t>
    </r>
  </si>
  <si>
    <r>
      <rPr>
        <sz val="11"/>
        <rFont val="Georgia"/>
        <family val="1"/>
      </rPr>
      <t>718 CAYMAN 718 CAYMAN STYLE EDITION</t>
    </r>
  </si>
  <si>
    <r>
      <rPr>
        <sz val="11"/>
        <rFont val="Georgia"/>
        <family val="1"/>
      </rPr>
      <t>WP0ZZZ98ZPS25</t>
    </r>
  </si>
  <si>
    <r>
      <rPr>
        <sz val="11"/>
        <rFont val="Georgia"/>
        <family val="1"/>
      </rPr>
      <t>718 BOXSTER 718 BOXSTER STYLE EDITION</t>
    </r>
  </si>
  <si>
    <r>
      <rPr>
        <sz val="11"/>
        <rFont val="Georgia"/>
        <family val="1"/>
      </rPr>
      <t>WP0ZZZ98ZRK20</t>
    </r>
  </si>
  <si>
    <r>
      <rPr>
        <sz val="11"/>
        <rFont val="Georgia"/>
        <family val="1"/>
      </rPr>
      <t>MACAN MACAN T</t>
    </r>
  </si>
  <si>
    <r>
      <rPr>
        <sz val="11"/>
        <rFont val="Georgia"/>
        <family val="1"/>
      </rPr>
      <t>WP1ZZZ95ZRLB0</t>
    </r>
  </si>
  <si>
    <r>
      <rPr>
        <sz val="11"/>
        <rFont val="Georgia"/>
        <family val="1"/>
      </rPr>
      <t>7BA-982SA</t>
    </r>
  </si>
  <si>
    <r>
      <rPr>
        <sz val="11"/>
        <rFont val="Georgia"/>
        <family val="1"/>
      </rPr>
      <t>718 BOXSTER 718 BOXSTER S</t>
    </r>
  </si>
  <si>
    <r>
      <rPr>
        <sz val="11"/>
        <rFont val="Georgia"/>
        <family val="1"/>
      </rPr>
      <t>WP0ZZZ98ZJS22</t>
    </r>
  </si>
  <si>
    <r>
      <rPr>
        <sz val="11"/>
        <rFont val="Georgia"/>
        <family val="1"/>
      </rPr>
      <t>718 BOXSTER 718 BOXSTER GTS</t>
    </r>
  </si>
  <si>
    <r>
      <rPr>
        <sz val="11"/>
        <rFont val="Georgia"/>
        <family val="1"/>
      </rPr>
      <t>WP0ZZZ98ZKS22</t>
    </r>
  </si>
  <si>
    <r>
      <rPr>
        <sz val="11"/>
        <rFont val="Georgia"/>
        <family val="1"/>
      </rPr>
      <t>718 CAYMAN 718 CAYMAN GTS</t>
    </r>
  </si>
  <si>
    <r>
      <rPr>
        <sz val="11"/>
        <rFont val="Georgia"/>
        <family val="1"/>
      </rPr>
      <t>WP0ZZZ98ZKS27</t>
    </r>
  </si>
  <si>
    <r>
      <rPr>
        <sz val="11"/>
        <rFont val="Georgia"/>
        <family val="1"/>
      </rPr>
      <t>718 CAYMAN 718 CAYMAN S</t>
    </r>
  </si>
  <si>
    <r>
      <rPr>
        <sz val="11"/>
        <rFont val="Georgia"/>
        <family val="1"/>
      </rPr>
      <t>WP0ZZZ98ZJS27</t>
    </r>
  </si>
  <si>
    <r>
      <rPr>
        <sz val="11"/>
        <rFont val="Georgia"/>
        <family val="1"/>
      </rPr>
      <t>CAYENNE S</t>
    </r>
  </si>
  <si>
    <r>
      <rPr>
        <sz val="11"/>
        <rFont val="Georgia"/>
        <family val="1"/>
      </rPr>
      <t>ABA-E3K29</t>
    </r>
  </si>
  <si>
    <r>
      <rPr>
        <sz val="11"/>
        <rFont val="Georgia"/>
        <family val="1"/>
      </rPr>
      <t>ALA-G2J29A</t>
    </r>
  </si>
  <si>
    <r>
      <rPr>
        <sz val="11"/>
        <rFont val="Georgia"/>
        <family val="1"/>
      </rPr>
      <t>PANAMERA 4S SPORT TURISMO</t>
    </r>
  </si>
  <si>
    <r>
      <rPr>
        <sz val="11"/>
        <rFont val="Georgia"/>
        <family val="1"/>
      </rPr>
      <t>ABA-G2J29A</t>
    </r>
  </si>
  <si>
    <r>
      <rPr>
        <sz val="11"/>
        <rFont val="Georgia"/>
        <family val="1"/>
      </rPr>
      <t>CAYENNE COUPE CAYENNE S COUPE</t>
    </r>
  </si>
  <si>
    <r>
      <rPr>
        <sz val="11"/>
        <rFont val="Georgia"/>
        <family val="1"/>
      </rPr>
      <t>WP1ZZZ9YZLDA7</t>
    </r>
  </si>
  <si>
    <r>
      <rPr>
        <sz val="11"/>
        <rFont val="Georgia"/>
        <family val="1"/>
      </rPr>
      <t>WPOZZZ97ZML11</t>
    </r>
  </si>
  <si>
    <r>
      <rPr>
        <sz val="11"/>
        <rFont val="Georgia"/>
        <family val="1"/>
      </rPr>
      <t>3LA-G2NM</t>
    </r>
  </si>
  <si>
    <r>
      <rPr>
        <sz val="11"/>
        <rFont val="Georgia"/>
        <family val="1"/>
      </rPr>
      <t>WP0ZZZ97ZPL15</t>
    </r>
  </si>
  <si>
    <r>
      <rPr>
        <sz val="11"/>
        <rFont val="Georgia"/>
        <family val="1"/>
      </rPr>
      <t>PANAMERA BASE GRADE</t>
    </r>
  </si>
  <si>
    <r>
      <rPr>
        <sz val="11"/>
        <rFont val="Georgia"/>
        <family val="1"/>
      </rPr>
      <t>WP0ZZZ97ZJL11</t>
    </r>
  </si>
  <si>
    <r>
      <rPr>
        <sz val="11"/>
        <rFont val="Georgia"/>
        <family val="1"/>
      </rPr>
      <t>WP0ZZZ97ZJL15</t>
    </r>
  </si>
  <si>
    <r>
      <rPr>
        <sz val="11"/>
        <rFont val="Georgia"/>
        <family val="1"/>
      </rPr>
      <t>WP0ZZZ99ZJS14</t>
    </r>
  </si>
  <si>
    <r>
      <rPr>
        <sz val="11"/>
        <rFont val="Georgia"/>
        <family val="1"/>
      </rPr>
      <t>911 911 CARRERA S</t>
    </r>
  </si>
  <si>
    <r>
      <rPr>
        <sz val="11"/>
        <rFont val="Georgia"/>
        <family val="1"/>
      </rPr>
      <t>WP0ZZZ99ZLS21</t>
    </r>
  </si>
  <si>
    <r>
      <rPr>
        <sz val="11"/>
        <rFont val="Georgia"/>
        <family val="1"/>
      </rPr>
      <t>911 911 CARRERA</t>
    </r>
  </si>
  <si>
    <r>
      <rPr>
        <sz val="11"/>
        <rFont val="Georgia"/>
        <family val="1"/>
      </rPr>
      <t>WP0ZZZ99ZKS10</t>
    </r>
  </si>
  <si>
    <r>
      <rPr>
        <sz val="11"/>
        <rFont val="Georgia"/>
        <family val="1"/>
      </rPr>
      <t>MACAN MACAN S</t>
    </r>
  </si>
  <si>
    <r>
      <rPr>
        <sz val="11"/>
        <rFont val="Georgia"/>
        <family val="1"/>
      </rPr>
      <t>WP1ZZZ95ZLLB3</t>
    </r>
  </si>
  <si>
    <r>
      <rPr>
        <sz val="11"/>
        <rFont val="Georgia"/>
        <family val="1"/>
      </rPr>
      <t>WPOZZZ97ZJL18</t>
    </r>
  </si>
  <si>
    <r>
      <rPr>
        <sz val="11"/>
        <rFont val="Georgia"/>
        <family val="1"/>
      </rPr>
      <t>911 911 CARRERA 4</t>
    </r>
  </si>
  <si>
    <r>
      <rPr>
        <sz val="11"/>
        <rFont val="Georgia"/>
        <family val="1"/>
      </rPr>
      <t>3BA-992L30</t>
    </r>
  </si>
  <si>
    <r>
      <rPr>
        <sz val="11"/>
        <rFont val="Georgia"/>
        <family val="1"/>
      </rPr>
      <t>911 911 CARRERA CABRIOLET</t>
    </r>
  </si>
  <si>
    <r>
      <rPr>
        <sz val="11"/>
        <rFont val="Georgia"/>
        <family val="1"/>
      </rPr>
      <t>WP0ZZZ99ZLS24</t>
    </r>
  </si>
  <si>
    <r>
      <rPr>
        <sz val="11"/>
        <rFont val="Georgia"/>
        <family val="1"/>
      </rPr>
      <t>WP0ZZZ99ZLS20</t>
    </r>
  </si>
  <si>
    <r>
      <rPr>
        <sz val="11"/>
        <rFont val="Georgia"/>
        <family val="1"/>
      </rPr>
      <t>CAYENNE COUPE CAYENNE E-HYBRID COUPE</t>
    </r>
  </si>
  <si>
    <r>
      <rPr>
        <sz val="11"/>
        <rFont val="Georgia"/>
        <family val="1"/>
      </rPr>
      <t>911 911 CARRERA 4S</t>
    </r>
  </si>
  <si>
    <r>
      <rPr>
        <sz val="11"/>
        <rFont val="Georgia"/>
        <family val="1"/>
      </rPr>
      <t>3BA-992NA2</t>
    </r>
  </si>
  <si>
    <r>
      <rPr>
        <sz val="11"/>
        <rFont val="Georgia"/>
        <family val="1"/>
      </rPr>
      <t>CAYENNE BASEGRADE</t>
    </r>
  </si>
  <si>
    <r>
      <rPr>
        <sz val="11"/>
        <rFont val="Georgia"/>
        <family val="1"/>
      </rPr>
      <t>WP1ZZZ9YZNDA0</t>
    </r>
  </si>
  <si>
    <r>
      <rPr>
        <sz val="11"/>
        <rFont val="Georgia"/>
        <family val="1"/>
      </rPr>
      <t>PANAMERA</t>
    </r>
  </si>
  <si>
    <r>
      <rPr>
        <sz val="11"/>
        <rFont val="Georgia"/>
        <family val="1"/>
      </rPr>
      <t>WP0ZZZ97ZPL10</t>
    </r>
  </si>
  <si>
    <r>
      <rPr>
        <sz val="11"/>
        <rFont val="Georgia"/>
        <family val="1"/>
      </rPr>
      <t>911 911 TARGA 4 GTS</t>
    </r>
  </si>
  <si>
    <r>
      <rPr>
        <sz val="11"/>
        <rFont val="Georgia"/>
        <family val="1"/>
      </rPr>
      <t>WP0ZZZ99ZPS23</t>
    </r>
  </si>
  <si>
    <r>
      <rPr>
        <sz val="11"/>
        <rFont val="Georgia"/>
        <family val="1"/>
      </rPr>
      <t>CAYENNE COUPE CAYENNE COUPE PLATINUM</t>
    </r>
  </si>
  <si>
    <r>
      <rPr>
        <sz val="11"/>
        <rFont val="Georgia"/>
        <family val="1"/>
      </rPr>
      <t>WP1ZZZ9YZPDA2</t>
    </r>
  </si>
  <si>
    <r>
      <rPr>
        <sz val="11"/>
        <rFont val="Georgia"/>
        <family val="1"/>
      </rPr>
      <t>CAYENNE COUPE BASE GRADE</t>
    </r>
  </si>
  <si>
    <r>
      <rPr>
        <sz val="11"/>
        <rFont val="Georgia"/>
        <family val="1"/>
      </rPr>
      <t>WP1ZZZ9YZRDA4</t>
    </r>
  </si>
  <si>
    <r>
      <rPr>
        <sz val="11"/>
        <rFont val="Georgia"/>
        <family val="1"/>
      </rPr>
      <t>CAYENNE COUPE</t>
    </r>
  </si>
  <si>
    <r>
      <rPr>
        <sz val="11"/>
        <rFont val="Georgia"/>
        <family val="1"/>
      </rPr>
      <t>7BA-992SK1</t>
    </r>
  </si>
  <si>
    <r>
      <rPr>
        <sz val="11"/>
        <rFont val="Georgia"/>
        <family val="1"/>
      </rPr>
      <t>911 911 CARRERA GTS</t>
    </r>
  </si>
  <si>
    <r>
      <rPr>
        <sz val="11"/>
        <rFont val="Georgia"/>
        <family val="1"/>
      </rPr>
      <t>WP0ZZZ99ZRS27</t>
    </r>
  </si>
  <si>
    <r>
      <rPr>
        <sz val="11"/>
        <rFont val="Georgia"/>
        <family val="1"/>
      </rPr>
      <t>911 911 TARGA 4</t>
    </r>
  </si>
  <si>
    <r>
      <rPr>
        <sz val="11"/>
        <rFont val="Georgia"/>
        <family val="1"/>
      </rPr>
      <t>WP0ZZZ99ZRS22</t>
    </r>
  </si>
  <si>
    <r>
      <rPr>
        <sz val="11"/>
        <rFont val="Georgia"/>
        <family val="1"/>
      </rPr>
      <t>CAYENNE E-HYBRID</t>
    </r>
  </si>
  <si>
    <r>
      <rPr>
        <sz val="11"/>
        <rFont val="Georgia"/>
        <family val="1"/>
      </rPr>
      <t>WP1ZZZ9YZRDA2</t>
    </r>
  </si>
  <si>
    <r>
      <rPr>
        <sz val="11"/>
        <rFont val="Georgia"/>
        <family val="1"/>
      </rPr>
      <t>911 911 CARRERA T</t>
    </r>
  </si>
  <si>
    <r>
      <rPr>
        <sz val="11"/>
        <rFont val="Georgia"/>
        <family val="1"/>
      </rPr>
      <t>WP0ZZZ99ZSS20</t>
    </r>
  </si>
  <si>
    <r>
      <rPr>
        <sz val="11"/>
        <rFont val="Georgia"/>
        <family val="1"/>
      </rPr>
      <t>CAYENNE PLATINUM EDITION</t>
    </r>
  </si>
  <si>
    <r>
      <rPr>
        <sz val="11"/>
        <rFont val="Georgia"/>
        <family val="1"/>
      </rPr>
      <t>ABA-92ACEY</t>
    </r>
  </si>
  <si>
    <r>
      <rPr>
        <sz val="11"/>
        <rFont val="Georgia"/>
        <family val="1"/>
      </rPr>
      <t>911 911 SPORT CLASSIC</t>
    </r>
  </si>
  <si>
    <r>
      <rPr>
        <sz val="11"/>
        <rFont val="Georgia"/>
        <family val="1"/>
      </rPr>
      <t>WP0ZZZ99ZPS25</t>
    </r>
  </si>
  <si>
    <r>
      <rPr>
        <sz val="11"/>
        <rFont val="Georgia"/>
        <family val="1"/>
      </rPr>
      <t>911 911GT2 RS</t>
    </r>
  </si>
  <si>
    <r>
      <rPr>
        <sz val="11"/>
        <rFont val="Georgia"/>
        <family val="1"/>
      </rPr>
      <t>WP0ZZZ99ZKS15</t>
    </r>
  </si>
  <si>
    <r>
      <rPr>
        <sz val="11"/>
        <rFont val="Georgia"/>
        <family val="1"/>
      </rPr>
      <t>911 911 TURBO</t>
    </r>
  </si>
  <si>
    <r>
      <rPr>
        <sz val="11"/>
        <rFont val="Georgia"/>
        <family val="1"/>
      </rPr>
      <t>3BA-992NE</t>
    </r>
  </si>
  <si>
    <r>
      <rPr>
        <sz val="11"/>
        <rFont val="Georgia"/>
        <family val="1"/>
      </rPr>
      <t>911 911 TURBO CABRIOLET</t>
    </r>
  </si>
  <si>
    <r>
      <rPr>
        <sz val="11"/>
        <rFont val="Georgia"/>
        <family val="1"/>
      </rPr>
      <t>WP0ZZZ99ZPS26</t>
    </r>
  </si>
  <si>
    <r>
      <rPr>
        <sz val="11"/>
        <rFont val="Georgia"/>
        <family val="1"/>
      </rPr>
      <t>911 911 TURBO S CABRIOLET</t>
    </r>
  </si>
  <si>
    <r>
      <rPr>
        <sz val="11"/>
        <rFont val="Georgia"/>
        <family val="1"/>
      </rPr>
      <t>WP0ZZZ99ZRS25</t>
    </r>
  </si>
  <si>
    <r>
      <rPr>
        <sz val="11"/>
        <rFont val="Georgia"/>
        <family val="1"/>
      </rPr>
      <t>CAYENNE TURBO</t>
    </r>
  </si>
  <si>
    <r>
      <rPr>
        <sz val="11"/>
        <rFont val="Georgia"/>
        <family val="1"/>
      </rPr>
      <t>WP1ZZZ9YZKDA9</t>
    </r>
  </si>
  <si>
    <r>
      <rPr>
        <sz val="11"/>
        <rFont val="Georgia"/>
        <family val="1"/>
      </rPr>
      <t>ALA-G2J40A</t>
    </r>
  </si>
  <si>
    <r>
      <rPr>
        <sz val="11"/>
        <rFont val="Georgia"/>
        <family val="1"/>
      </rPr>
      <t>PANAMERA TURBO SPORT TURISMO</t>
    </r>
  </si>
  <si>
    <r>
      <rPr>
        <sz val="11"/>
        <rFont val="Georgia"/>
        <family val="1"/>
      </rPr>
      <t>WP0ZZZ97ZJL19</t>
    </r>
  </si>
  <si>
    <r>
      <rPr>
        <sz val="11"/>
        <rFont val="Georgia"/>
        <family val="1"/>
      </rPr>
      <t>MACAN MACAN TURBO</t>
    </r>
  </si>
  <si>
    <r>
      <rPr>
        <sz val="11"/>
        <rFont val="Georgia"/>
        <family val="1"/>
      </rPr>
      <t>WP1ZZZ95ZLLB7</t>
    </r>
  </si>
  <si>
    <r>
      <rPr>
        <sz val="11"/>
        <rFont val="Georgia"/>
        <family val="1"/>
      </rPr>
      <t>PANAMERA TURBO</t>
    </r>
  </si>
  <si>
    <r>
      <rPr>
        <sz val="11"/>
        <rFont val="Georgia"/>
        <family val="1"/>
      </rPr>
      <t>WP0ZZZ97ZJL14</t>
    </r>
  </si>
  <si>
    <r>
      <rPr>
        <sz val="11"/>
        <rFont val="Georgia"/>
        <family val="1"/>
      </rPr>
      <t>718 SPYDER 718 SPYDER</t>
    </r>
  </si>
  <si>
    <r>
      <rPr>
        <sz val="11"/>
        <rFont val="Georgia"/>
        <family val="1"/>
      </rPr>
      <t>WP0ZZZ98ZLS23</t>
    </r>
  </si>
  <si>
    <r>
      <rPr>
        <sz val="11"/>
        <rFont val="Georgia"/>
        <family val="1"/>
      </rPr>
      <t>718 SPYDER</t>
    </r>
  </si>
  <si>
    <r>
      <rPr>
        <sz val="11"/>
        <rFont val="Georgia"/>
        <family val="1"/>
      </rPr>
      <t>CAYENNE GTS</t>
    </r>
  </si>
  <si>
    <r>
      <rPr>
        <sz val="11"/>
        <rFont val="Georgia"/>
        <family val="1"/>
      </rPr>
      <t>3BA-E3M40</t>
    </r>
  </si>
  <si>
    <r>
      <rPr>
        <sz val="11"/>
        <rFont val="Georgia"/>
        <family val="1"/>
      </rPr>
      <t>CAYENNE COUPE CAYENNE TURBO COUPE</t>
    </r>
  </si>
  <si>
    <r>
      <rPr>
        <sz val="11"/>
        <rFont val="Georgia"/>
        <family val="1"/>
      </rPr>
      <t>WP1ZZZ9YZLDA8</t>
    </r>
  </si>
  <si>
    <r>
      <rPr>
        <sz val="11"/>
        <rFont val="Georgia"/>
        <family val="1"/>
      </rPr>
      <t>3BA-G2K40A</t>
    </r>
  </si>
  <si>
    <r>
      <rPr>
        <sz val="11"/>
        <rFont val="Georgia"/>
        <family val="1"/>
      </rPr>
      <t>718 CAYMAN 718 CAYMAN GTS 4.0</t>
    </r>
  </si>
  <si>
    <r>
      <rPr>
        <sz val="11"/>
        <rFont val="Georgia"/>
        <family val="1"/>
      </rPr>
      <t>WP0ZZZ98ZMS27</t>
    </r>
  </si>
  <si>
    <r>
      <rPr>
        <sz val="11"/>
        <rFont val="Georgia"/>
        <family val="1"/>
      </rPr>
      <t>CAYENNE COUPE CAYENNE GTS COUPE</t>
    </r>
  </si>
  <si>
    <r>
      <rPr>
        <sz val="11"/>
        <rFont val="Georgia"/>
        <family val="1"/>
      </rPr>
      <t>WP1ZZZ9YZMDA6</t>
    </r>
  </si>
  <si>
    <r>
      <rPr>
        <sz val="11"/>
        <rFont val="Georgia"/>
        <family val="1"/>
      </rPr>
      <t>718 CAYMAN 718 CAYMAN GT4</t>
    </r>
  </si>
  <si>
    <r>
      <rPr>
        <sz val="11"/>
        <rFont val="Georgia"/>
        <family val="1"/>
      </rPr>
      <t>WP0ZZZ98ZNS27</t>
    </r>
  </si>
  <si>
    <r>
      <rPr>
        <sz val="11"/>
        <rFont val="Georgia"/>
        <family val="1"/>
      </rPr>
      <t>911 911GT3</t>
    </r>
  </si>
  <si>
    <r>
      <rPr>
        <sz val="11"/>
        <rFont val="Georgia"/>
        <family val="1"/>
      </rPr>
      <t>WP0ZZZ99ZNS26</t>
    </r>
  </si>
  <si>
    <r>
      <rPr>
        <sz val="11"/>
        <rFont val="Georgia"/>
        <family val="1"/>
      </rPr>
      <t>911 911GT3 TOURING PACKAGE</t>
    </r>
  </si>
  <si>
    <r>
      <rPr>
        <sz val="11"/>
        <rFont val="Georgia"/>
        <family val="1"/>
      </rPr>
      <t>CAYENNE E-HYBRID PLATINUM EDITION</t>
    </r>
  </si>
  <si>
    <r>
      <rPr>
        <sz val="11"/>
        <rFont val="Georgia"/>
        <family val="1"/>
      </rPr>
      <t>3LA-E3NF</t>
    </r>
  </si>
  <si>
    <r>
      <rPr>
        <sz val="11"/>
        <rFont val="Georgia"/>
        <family val="1"/>
      </rPr>
      <t>CAYENNE COUPE CAYENNE TURBO GT COUPE</t>
    </r>
  </si>
  <si>
    <r>
      <rPr>
        <sz val="11"/>
        <rFont val="Georgia"/>
        <family val="1"/>
      </rPr>
      <t>WP1ZZZ9YZNDA5</t>
    </r>
  </si>
  <si>
    <r>
      <rPr>
        <sz val="11"/>
        <rFont val="Georgia"/>
        <family val="1"/>
      </rPr>
      <t>718 CAYMAN 718 CAYMAN GT4 RS</t>
    </r>
  </si>
  <si>
    <r>
      <rPr>
        <sz val="11"/>
        <rFont val="Georgia"/>
        <family val="1"/>
      </rPr>
      <t>WP0ZZZ98ZPS27</t>
    </r>
  </si>
  <si>
    <r>
      <rPr>
        <sz val="11"/>
        <rFont val="Georgia"/>
        <family val="1"/>
      </rPr>
      <t>911 911GT3RS</t>
    </r>
  </si>
  <si>
    <r>
      <rPr>
        <sz val="11"/>
        <rFont val="Georgia"/>
        <family val="1"/>
      </rPr>
      <t>WP0ZZZ99ZPS27</t>
    </r>
  </si>
  <si>
    <r>
      <rPr>
        <sz val="11"/>
        <rFont val="Georgia"/>
        <family val="1"/>
      </rPr>
      <t>7BA-E3RM</t>
    </r>
  </si>
  <si>
    <r>
      <rPr>
        <sz val="11"/>
        <rFont val="Georgia"/>
        <family val="1"/>
      </rPr>
      <t>718 BOXSTER 718 BOXSTER GTS 4.0</t>
    </r>
  </si>
  <si>
    <r>
      <rPr>
        <sz val="11"/>
        <rFont val="Georgia"/>
        <family val="1"/>
      </rPr>
      <t>WP0ZZZ98ZRK22</t>
    </r>
  </si>
  <si>
    <r>
      <rPr>
        <sz val="11"/>
        <rFont val="Georgia"/>
        <family val="1"/>
      </rPr>
      <t>718 SPYDER 718 SPYDER RS</t>
    </r>
  </si>
  <si>
    <r>
      <rPr>
        <sz val="11"/>
        <rFont val="Georgia"/>
        <family val="1"/>
      </rPr>
      <t>WP0ZZZ98ZRK23</t>
    </r>
  </si>
  <si>
    <r>
      <rPr>
        <sz val="11"/>
        <rFont val="Georgia"/>
        <family val="1"/>
      </rPr>
      <t>CAYENNE COUPE CAYENNE TURBO E-HYBRID C</t>
    </r>
  </si>
  <si>
    <r>
      <rPr>
        <sz val="11"/>
        <rFont val="Georgia"/>
        <family val="1"/>
      </rPr>
      <t>WP1ZZZ9YZRDA8</t>
    </r>
  </si>
  <si>
    <r>
      <rPr>
        <sz val="11"/>
        <rFont val="Georgia"/>
        <family val="1"/>
      </rPr>
      <t>MACAN MACAN GTS</t>
    </r>
  </si>
  <si>
    <r>
      <rPr>
        <sz val="11"/>
        <rFont val="Georgia"/>
        <family val="1"/>
      </rPr>
      <t>WP1ZZZ95ZRLB4</t>
    </r>
  </si>
  <si>
    <r>
      <rPr>
        <sz val="11"/>
        <rFont val="Georgia"/>
        <family val="1"/>
      </rPr>
      <t>TAYCAN TAYCAN TURBO</t>
    </r>
  </si>
  <si>
    <r>
      <rPr>
        <sz val="11"/>
        <rFont val="Georgia"/>
        <family val="1"/>
      </rPr>
      <t>ZAA-J1MC</t>
    </r>
  </si>
  <si>
    <r>
      <rPr>
        <sz val="11"/>
        <rFont val="Georgia"/>
        <family val="1"/>
      </rPr>
      <t>TAYCAN TAYCAN 4S</t>
    </r>
  </si>
  <si>
    <r>
      <rPr>
        <sz val="11"/>
        <rFont val="Georgia"/>
        <family val="1"/>
      </rPr>
      <t>WP0ZZZY1ZMSA2</t>
    </r>
  </si>
  <si>
    <r>
      <rPr>
        <sz val="11"/>
        <rFont val="Georgia"/>
        <family val="1"/>
      </rPr>
      <t>TAYCAN TAYCAN TURBO S</t>
    </r>
  </si>
  <si>
    <r>
      <rPr>
        <sz val="11"/>
        <rFont val="Georgia"/>
        <family val="1"/>
      </rPr>
      <t>WP0ZZZY1ZMSA5</t>
    </r>
  </si>
  <si>
    <r>
      <rPr>
        <sz val="11"/>
        <rFont val="Georgia"/>
        <family val="1"/>
      </rPr>
      <t>TAYCAN TAYCAN GTS</t>
    </r>
  </si>
  <si>
    <r>
      <rPr>
        <sz val="11"/>
        <rFont val="Georgia"/>
        <family val="1"/>
      </rPr>
      <t>WP0ZZZY1ZRSA4</t>
    </r>
  </si>
  <si>
    <r>
      <rPr>
        <sz val="11"/>
        <rFont val="Georgia"/>
        <family val="1"/>
      </rPr>
      <t>TAYCAN CROSS TURISMO TAYCAN 4 CROSS TUR</t>
    </r>
  </si>
  <si>
    <r>
      <rPr>
        <sz val="11"/>
        <rFont val="Georgia"/>
        <family val="1"/>
      </rPr>
      <t>WP0ZZZY1ZPSA5</t>
    </r>
  </si>
  <si>
    <r>
      <rPr>
        <sz val="11"/>
        <rFont val="Georgia"/>
        <family val="1"/>
      </rPr>
      <t>TAYCAN CROSS TURISMO TAYCAN TURBO CROS</t>
    </r>
  </si>
  <si>
    <r>
      <rPr>
        <sz val="11"/>
        <rFont val="Georgia"/>
        <family val="1"/>
      </rPr>
      <t>WPOZZZY1ZSSA7</t>
    </r>
  </si>
  <si>
    <r>
      <rPr>
        <sz val="11"/>
        <rFont val="Georgia"/>
        <family val="1"/>
      </rPr>
      <t>MACAN ELECTRIC MACAN</t>
    </r>
  </si>
  <si>
    <r>
      <rPr>
        <sz val="11"/>
        <rFont val="Georgia"/>
        <family val="1"/>
      </rPr>
      <t>ZAA-H2SA12</t>
    </r>
  </si>
  <si>
    <r>
      <rPr>
        <sz val="11"/>
        <rFont val="Georgia"/>
        <family val="1"/>
      </rPr>
      <t>MACAN ELECTRIC MACAN 4</t>
    </r>
  </si>
  <si>
    <r>
      <rPr>
        <sz val="11"/>
        <rFont val="Georgia"/>
        <family val="1"/>
      </rPr>
      <t>ZAA-H2SA22</t>
    </r>
  </si>
  <si>
    <r>
      <rPr>
        <sz val="11"/>
        <rFont val="Georgia"/>
        <family val="1"/>
      </rPr>
      <t>TAYCAN CROSS TURISMO TAYCAN 4S CROSS TU</t>
    </r>
  </si>
  <si>
    <r>
      <rPr>
        <sz val="11"/>
        <rFont val="Georgia"/>
        <family val="1"/>
      </rPr>
      <t>WP0ZZZY1ZSSA6</t>
    </r>
  </si>
  <si>
    <r>
      <rPr>
        <sz val="11"/>
        <rFont val="Georgia"/>
        <family val="1"/>
      </rPr>
      <t>TAYCAN TAYCAN</t>
    </r>
  </si>
  <si>
    <r>
      <rPr>
        <sz val="11"/>
        <rFont val="Georgia"/>
        <family val="1"/>
      </rPr>
      <t>WP0ZZZY1ZPSA0</t>
    </r>
  </si>
  <si>
    <r>
      <rPr>
        <sz val="11"/>
        <rFont val="Georgia"/>
        <family val="1"/>
      </rPr>
      <t>WEV</t>
    </r>
  </si>
  <si>
    <r>
      <rPr>
        <sz val="11"/>
        <rFont val="Georgia"/>
        <family val="1"/>
      </rPr>
      <t>RENAULT</t>
    </r>
  </si>
  <si>
    <r>
      <rPr>
        <sz val="11"/>
        <rFont val="Georgia"/>
        <family val="1"/>
      </rPr>
      <t>ARKANA ESPIRIT ALPINE</t>
    </r>
  </si>
  <si>
    <r>
      <rPr>
        <sz val="11"/>
        <rFont val="Georgia"/>
        <family val="1"/>
      </rPr>
      <t>ARKANA INTENS</t>
    </r>
  </si>
  <si>
    <r>
      <rPr>
        <sz val="11"/>
        <rFont val="Georgia"/>
        <family val="1"/>
      </rPr>
      <t>ARKANA R.S. LINE</t>
    </r>
  </si>
  <si>
    <r>
      <rPr>
        <sz val="11"/>
        <rFont val="Georgia"/>
        <family val="1"/>
      </rPr>
      <t>ARKANA TECHNO</t>
    </r>
  </si>
  <si>
    <r>
      <rPr>
        <sz val="11"/>
        <rFont val="Georgia"/>
        <family val="1"/>
      </rPr>
      <t>ARKANA ZEN</t>
    </r>
  </si>
  <si>
    <r>
      <rPr>
        <sz val="11"/>
        <rFont val="Georgia"/>
        <family val="1"/>
      </rPr>
      <t>CAPTUR INTENS</t>
    </r>
  </si>
  <si>
    <r>
      <rPr>
        <sz val="11"/>
        <rFont val="Georgia"/>
        <family val="1"/>
      </rPr>
      <t>CAPTUR LIFE</t>
    </r>
  </si>
  <si>
    <r>
      <rPr>
        <sz val="11"/>
        <rFont val="Georgia"/>
        <family val="1"/>
      </rPr>
      <t>CAPTUR R.S. LINE</t>
    </r>
  </si>
  <si>
    <r>
      <rPr>
        <sz val="11"/>
        <rFont val="Georgia"/>
        <family val="1"/>
      </rPr>
      <t>CAPTUR ZEN</t>
    </r>
  </si>
  <si>
    <r>
      <rPr>
        <sz val="11"/>
        <rFont val="Georgia"/>
        <family val="1"/>
      </rPr>
      <t>KANGOO E-TECH SWB EV45</t>
    </r>
  </si>
  <si>
    <r>
      <rPr>
        <sz val="11"/>
        <rFont val="Georgia"/>
        <family val="1"/>
      </rPr>
      <t>KANGOO PETROL LWB</t>
    </r>
  </si>
  <si>
    <r>
      <rPr>
        <sz val="11"/>
        <rFont val="Georgia"/>
        <family val="1"/>
      </rPr>
      <t>KANGOO PETROL SWB</t>
    </r>
  </si>
  <si>
    <r>
      <rPr>
        <sz val="11"/>
        <rFont val="Georgia"/>
        <family val="1"/>
      </rPr>
      <t>KOLEOS INTENS</t>
    </r>
  </si>
  <si>
    <r>
      <rPr>
        <sz val="11"/>
        <rFont val="Georgia"/>
        <family val="1"/>
      </rPr>
      <t>KOLEOS LIFE</t>
    </r>
  </si>
  <si>
    <r>
      <rPr>
        <sz val="11"/>
        <rFont val="Georgia"/>
        <family val="1"/>
      </rPr>
      <t>KOLEOS ZEN</t>
    </r>
  </si>
  <si>
    <r>
      <rPr>
        <sz val="11"/>
        <rFont val="Georgia"/>
        <family val="1"/>
      </rPr>
      <t>MASTER LWB FWD PLATFORM CAB (110KW)</t>
    </r>
  </si>
  <si>
    <r>
      <rPr>
        <sz val="11"/>
        <rFont val="Georgia"/>
        <family val="1"/>
      </rPr>
      <t>MASTER PRO ELWB RWD (120KW) L4H3</t>
    </r>
  </si>
  <si>
    <r>
      <rPr>
        <sz val="11"/>
        <rFont val="Georgia"/>
        <family val="1"/>
      </rPr>
      <t>MASTER PRO LWB FWD (110KW) L3H2</t>
    </r>
  </si>
  <si>
    <r>
      <rPr>
        <sz val="11"/>
        <rFont val="Georgia"/>
        <family val="1"/>
      </rPr>
      <t>MASTER PRO LWB FWD (120KW) L3H2</t>
    </r>
  </si>
  <si>
    <r>
      <rPr>
        <sz val="11"/>
        <rFont val="Georgia"/>
        <family val="1"/>
      </rPr>
      <t>MASTER PRO LWB RWD (120KW) L3H2</t>
    </r>
  </si>
  <si>
    <r>
      <rPr>
        <sz val="11"/>
        <rFont val="Georgia"/>
        <family val="1"/>
      </rPr>
      <t>MASTER PRO MWB FWD (110KW) L2H2</t>
    </r>
  </si>
  <si>
    <r>
      <rPr>
        <sz val="11"/>
        <rFont val="Georgia"/>
        <family val="1"/>
      </rPr>
      <t>MASTER PRO MWB FWD (120KW) L2H2</t>
    </r>
  </si>
  <si>
    <r>
      <rPr>
        <sz val="11"/>
        <rFont val="Georgia"/>
        <family val="1"/>
      </rPr>
      <t>MASTER PRO SWB FWD (110KW) L1H1</t>
    </r>
  </si>
  <si>
    <r>
      <rPr>
        <sz val="11"/>
        <rFont val="Georgia"/>
        <family val="1"/>
      </rPr>
      <t>MEGANE E-TECH TECHNC1:C73</t>
    </r>
  </si>
  <si>
    <r>
      <rPr>
        <sz val="11"/>
        <rFont val="Georgia"/>
        <family val="1"/>
      </rPr>
      <t>MEGANE E-TECH TECHNO EV60</t>
    </r>
  </si>
  <si>
    <r>
      <rPr>
        <sz val="11"/>
        <rFont val="Georgia"/>
        <family val="1"/>
      </rPr>
      <t>MEGANE R.S. TROPHY</t>
    </r>
  </si>
  <si>
    <r>
      <rPr>
        <sz val="11"/>
        <rFont val="Georgia"/>
        <family val="1"/>
      </rPr>
      <t>MEGANE R.S. ULTIME</t>
    </r>
  </si>
  <si>
    <r>
      <rPr>
        <sz val="11"/>
        <rFont val="Georgia"/>
        <family val="1"/>
      </rPr>
      <t>TRAFIC L1 SWB PREMIUM</t>
    </r>
  </si>
  <si>
    <r>
      <rPr>
        <sz val="11"/>
        <rFont val="Georgia"/>
        <family val="1"/>
      </rPr>
      <t>TRAFIC L1 SWB PRO</t>
    </r>
  </si>
  <si>
    <r>
      <rPr>
        <sz val="11"/>
        <rFont val="Georgia"/>
        <family val="1"/>
      </rPr>
      <t>TRAFIC L2 LWB CREW LIFESTYLE</t>
    </r>
  </si>
  <si>
    <r>
      <rPr>
        <sz val="11"/>
        <rFont val="Georgia"/>
        <family val="1"/>
      </rPr>
      <t>TRAFIC L2 LWB CREW PRO</t>
    </r>
  </si>
  <si>
    <r>
      <rPr>
        <sz val="11"/>
        <rFont val="Georgia"/>
        <family val="1"/>
      </rPr>
      <t>TRAFIC L2 LWB PREMIUM</t>
    </r>
  </si>
  <si>
    <r>
      <rPr>
        <sz val="11"/>
        <rFont val="Georgia"/>
        <family val="1"/>
      </rPr>
      <t>TRAFIC L2 LWB PRO</t>
    </r>
  </si>
  <si>
    <r>
      <rPr>
        <sz val="11"/>
        <rFont val="Georgia"/>
        <family val="1"/>
      </rPr>
      <t>TWINGO TEMPO</t>
    </r>
  </si>
  <si>
    <r>
      <rPr>
        <sz val="11"/>
        <rFont val="Georgia"/>
        <family val="1"/>
      </rPr>
      <t>DBA-AHH4B</t>
    </r>
  </si>
  <si>
    <r>
      <rPr>
        <sz val="11"/>
        <rFont val="Georgia"/>
        <family val="1"/>
      </rPr>
      <t>TWINGO GT</t>
    </r>
  </si>
  <si>
    <r>
      <rPr>
        <sz val="11"/>
        <rFont val="Georgia"/>
        <family val="1"/>
      </rPr>
      <t>VF1AHB55AJ078</t>
    </r>
  </si>
  <si>
    <r>
      <rPr>
        <sz val="11"/>
        <rFont val="Georgia"/>
        <family val="1"/>
      </rPr>
      <t>TWINGO ZEN</t>
    </r>
  </si>
  <si>
    <r>
      <rPr>
        <sz val="11"/>
        <rFont val="Georgia"/>
        <family val="1"/>
      </rPr>
      <t>VF1AHB115H076</t>
    </r>
  </si>
  <si>
    <r>
      <rPr>
        <sz val="11"/>
        <rFont val="Georgia"/>
        <family val="1"/>
      </rPr>
      <t>TWINGO LE COQ SPORTIF</t>
    </r>
  </si>
  <si>
    <r>
      <rPr>
        <sz val="11"/>
        <rFont val="Georgia"/>
        <family val="1"/>
      </rPr>
      <t>VF1AH0008K080</t>
    </r>
  </si>
  <si>
    <r>
      <rPr>
        <sz val="11"/>
        <rFont val="Georgia"/>
        <family val="1"/>
      </rPr>
      <t>TWINGO PLAY</t>
    </r>
  </si>
  <si>
    <r>
      <rPr>
        <sz val="11"/>
        <rFont val="Georgia"/>
        <family val="1"/>
      </rPr>
      <t>TWINGO GT BLANC</t>
    </r>
  </si>
  <si>
    <r>
      <rPr>
        <sz val="11"/>
        <rFont val="Georgia"/>
        <family val="1"/>
      </rPr>
      <t>VF1AHB55AJ077</t>
    </r>
  </si>
  <si>
    <r>
      <rPr>
        <sz val="11"/>
        <rFont val="Georgia"/>
        <family val="1"/>
      </rPr>
      <t>TWINGO</t>
    </r>
  </si>
  <si>
    <r>
      <rPr>
        <sz val="11"/>
        <rFont val="Georgia"/>
        <family val="1"/>
      </rPr>
      <t>TWINGO EDC CANVAS TOP</t>
    </r>
  </si>
  <si>
    <r>
      <rPr>
        <sz val="11"/>
        <rFont val="Georgia"/>
        <family val="1"/>
      </rPr>
      <t>VF1AHB22AK078</t>
    </r>
  </si>
  <si>
    <r>
      <rPr>
        <sz val="11"/>
        <rFont val="Georgia"/>
        <family val="1"/>
      </rPr>
      <t>TWINGO CIEL</t>
    </r>
  </si>
  <si>
    <r>
      <rPr>
        <sz val="11"/>
        <rFont val="Georgia"/>
        <family val="1"/>
      </rPr>
      <t>3BA-AHH4B</t>
    </r>
  </si>
  <si>
    <r>
      <rPr>
        <sz val="11"/>
        <rFont val="Georgia"/>
        <family val="1"/>
      </rPr>
      <t>TWINGO SIGNATURE</t>
    </r>
  </si>
  <si>
    <r>
      <rPr>
        <sz val="11"/>
        <rFont val="Georgia"/>
        <family val="1"/>
      </rPr>
      <t>VF1AH0006L080</t>
    </r>
  </si>
  <si>
    <r>
      <rPr>
        <sz val="11"/>
        <rFont val="Georgia"/>
        <family val="1"/>
      </rPr>
      <t>TWINGO S</t>
    </r>
  </si>
  <si>
    <r>
      <rPr>
        <sz val="11"/>
        <rFont val="Georgia"/>
        <family val="1"/>
      </rPr>
      <t>7BA-AHB4D</t>
    </r>
  </si>
  <si>
    <r>
      <rPr>
        <sz val="11"/>
        <rFont val="Georgia"/>
        <family val="1"/>
      </rPr>
      <t>TWINGO SANDRE</t>
    </r>
  </si>
  <si>
    <r>
      <rPr>
        <sz val="11"/>
        <rFont val="Georgia"/>
        <family val="1"/>
      </rPr>
      <t>TWINGO INTENS</t>
    </r>
  </si>
  <si>
    <r>
      <rPr>
        <sz val="11"/>
        <rFont val="Georgia"/>
        <family val="1"/>
      </rPr>
      <t>VF1AH000XN084</t>
    </r>
  </si>
  <si>
    <r>
      <rPr>
        <sz val="11"/>
        <rFont val="Georgia"/>
        <family val="1"/>
      </rPr>
      <t>TWINGO EDC</t>
    </r>
  </si>
  <si>
    <r>
      <rPr>
        <sz val="11"/>
        <rFont val="Georgia"/>
        <family val="1"/>
      </rPr>
      <t>VF1AH0000K080</t>
    </r>
  </si>
  <si>
    <r>
      <rPr>
        <sz val="11"/>
        <rFont val="Georgia"/>
        <family val="1"/>
      </rPr>
      <t>TWINGO INTENS CANVAS TOP</t>
    </r>
  </si>
  <si>
    <r>
      <rPr>
        <sz val="11"/>
        <rFont val="Georgia"/>
        <family val="1"/>
      </rPr>
      <t>VF1AH0006N084</t>
    </r>
  </si>
  <si>
    <r>
      <rPr>
        <sz val="11"/>
        <rFont val="Georgia"/>
        <family val="1"/>
      </rPr>
      <t>TWINGO INTENS EDC EDITION FINALE</t>
    </r>
  </si>
  <si>
    <r>
      <rPr>
        <sz val="11"/>
        <rFont val="Georgia"/>
        <family val="1"/>
      </rPr>
      <t>KANGOO ZEN</t>
    </r>
  </si>
  <si>
    <r>
      <rPr>
        <sz val="11"/>
        <rFont val="Georgia"/>
        <family val="1"/>
      </rPr>
      <t>VF1KW14B3H076</t>
    </r>
  </si>
  <si>
    <r>
      <rPr>
        <sz val="11"/>
        <rFont val="Georgia"/>
        <family val="1"/>
      </rPr>
      <t>KANGOO 20 ANS</t>
    </r>
  </si>
  <si>
    <r>
      <rPr>
        <sz val="11"/>
        <rFont val="Georgia"/>
        <family val="1"/>
      </rPr>
      <t>ABA-KWH5F1</t>
    </r>
  </si>
  <si>
    <r>
      <rPr>
        <sz val="11"/>
        <rFont val="Georgia"/>
        <family val="1"/>
      </rPr>
      <t>CAPTUR INTENS LEATHER</t>
    </r>
  </si>
  <si>
    <r>
      <rPr>
        <sz val="11"/>
        <rFont val="Georgia"/>
        <family val="1"/>
      </rPr>
      <t>VF12R021AJ077</t>
    </r>
  </si>
  <si>
    <r>
      <rPr>
        <sz val="11"/>
        <rFont val="Georgia"/>
        <family val="1"/>
      </rPr>
      <t>KANGOO ESCAPADE</t>
    </r>
  </si>
  <si>
    <r>
      <rPr>
        <sz val="11"/>
        <rFont val="Georgia"/>
        <family val="1"/>
      </rPr>
      <t>VF1KW14B3K079</t>
    </r>
  </si>
  <si>
    <r>
      <rPr>
        <sz val="11"/>
        <rFont val="Georgia"/>
        <family val="1"/>
      </rPr>
      <t>LUTECIA LIMITED</t>
    </r>
  </si>
  <si>
    <r>
      <rPr>
        <sz val="11"/>
        <rFont val="Georgia"/>
        <family val="1"/>
      </rPr>
      <t>VF15RBUODJ078</t>
    </r>
  </si>
  <si>
    <r>
      <rPr>
        <sz val="11"/>
        <rFont val="Georgia"/>
        <family val="1"/>
      </rPr>
      <t>LUTECIA GT LINE</t>
    </r>
  </si>
  <si>
    <r>
      <rPr>
        <sz val="11"/>
        <rFont val="Georgia"/>
        <family val="1"/>
      </rPr>
      <t>ABA-RH5F1</t>
    </r>
  </si>
  <si>
    <r>
      <rPr>
        <sz val="11"/>
        <rFont val="Georgia"/>
        <family val="1"/>
      </rPr>
      <t>KANGOO COULEUR</t>
    </r>
  </si>
  <si>
    <r>
      <rPr>
        <sz val="11"/>
        <rFont val="Georgia"/>
        <family val="1"/>
      </rPr>
      <t>VF1KW14B3K080</t>
    </r>
  </si>
  <si>
    <r>
      <rPr>
        <sz val="11"/>
        <rFont val="Georgia"/>
        <family val="1"/>
      </rPr>
      <t>KANGOO PAYSAGE</t>
    </r>
  </si>
  <si>
    <r>
      <rPr>
        <sz val="11"/>
        <rFont val="Georgia"/>
        <family val="1"/>
      </rPr>
      <t>KANGOO LA POSTE</t>
    </r>
  </si>
  <si>
    <r>
      <rPr>
        <sz val="11"/>
        <rFont val="Georgia"/>
        <family val="1"/>
      </rPr>
      <t>KANGOO PANACHE</t>
    </r>
  </si>
  <si>
    <r>
      <rPr>
        <sz val="11"/>
        <rFont val="Georgia"/>
        <family val="1"/>
      </rPr>
      <t>VE1KW14B3L081</t>
    </r>
  </si>
  <si>
    <r>
      <rPr>
        <sz val="11"/>
        <rFont val="Georgia"/>
        <family val="1"/>
      </rPr>
      <t>LUTECIA INTENS</t>
    </r>
  </si>
  <si>
    <r>
      <rPr>
        <sz val="11"/>
        <rFont val="Georgia"/>
        <family val="1"/>
      </rPr>
      <t>7BA-BJAH5H</t>
    </r>
  </si>
  <si>
    <r>
      <rPr>
        <sz val="11"/>
        <rFont val="Georgia"/>
        <family val="1"/>
      </rPr>
      <t>CAPTUR INTENS TECH PACK</t>
    </r>
  </si>
  <si>
    <r>
      <rPr>
        <sz val="11"/>
        <rFont val="Georgia"/>
        <family val="1"/>
      </rPr>
      <t>VF1RJB001L081</t>
    </r>
  </si>
  <si>
    <r>
      <rPr>
        <sz val="11"/>
        <rFont val="Georgia"/>
        <family val="1"/>
      </rPr>
      <t>VF1RJB002M082</t>
    </r>
  </si>
  <si>
    <r>
      <rPr>
        <sz val="11"/>
        <rFont val="Georgia"/>
        <family val="1"/>
      </rPr>
      <t>LUTECIA INTENS TECH PACK</t>
    </r>
  </si>
  <si>
    <r>
      <rPr>
        <sz val="11"/>
        <rFont val="Georgia"/>
        <family val="1"/>
      </rPr>
      <t>VF1RJA008M081</t>
    </r>
  </si>
  <si>
    <r>
      <rPr>
        <sz val="11"/>
        <rFont val="Georgia"/>
        <family val="1"/>
      </rPr>
      <t>LUTECIA INTENS PLUS</t>
    </r>
  </si>
  <si>
    <r>
      <rPr>
        <sz val="11"/>
        <rFont val="Georgia"/>
        <family val="1"/>
      </rPr>
      <t>VF1RJA009M083</t>
    </r>
  </si>
  <si>
    <r>
      <rPr>
        <sz val="11"/>
        <rFont val="Georgia"/>
        <family val="1"/>
      </rPr>
      <t>KANGOO PREMIERE EDITION</t>
    </r>
  </si>
  <si>
    <r>
      <rPr>
        <sz val="11"/>
        <rFont val="Georgia"/>
        <family val="1"/>
      </rPr>
      <t>3BA-KFKH5H</t>
    </r>
  </si>
  <si>
    <r>
      <rPr>
        <sz val="11"/>
        <rFont val="Georgia"/>
        <family val="1"/>
      </rPr>
      <t>ARKANA SPORT LINE MILD HYBRID</t>
    </r>
  </si>
  <si>
    <r>
      <rPr>
        <sz val="11"/>
        <rFont val="Georgia"/>
        <family val="1"/>
      </rPr>
      <t>7AA-LJLH5HH</t>
    </r>
  </si>
  <si>
    <r>
      <rPr>
        <sz val="11"/>
        <rFont val="Georgia"/>
        <family val="1"/>
      </rPr>
      <t>KANGOO VARIETE(BLACK BUMPER SPECIFICAT</t>
    </r>
  </si>
  <si>
    <r>
      <rPr>
        <sz val="11"/>
        <rFont val="Georgia"/>
        <family val="1"/>
      </rPr>
      <t>LUTECIA INTENS EDITION FINALE</t>
    </r>
  </si>
  <si>
    <r>
      <rPr>
        <sz val="11"/>
        <rFont val="Georgia"/>
        <family val="1"/>
      </rPr>
      <t>3BA-BJAH5H</t>
    </r>
  </si>
  <si>
    <r>
      <rPr>
        <sz val="11"/>
        <rFont val="Georgia"/>
        <family val="1"/>
      </rPr>
      <t>KANGOO</t>
    </r>
  </si>
  <si>
    <r>
      <rPr>
        <sz val="11"/>
        <rFont val="Georgia"/>
        <family val="1"/>
      </rPr>
      <t>VF1KW32H25925</t>
    </r>
  </si>
  <si>
    <r>
      <rPr>
        <sz val="11"/>
        <rFont val="Georgia"/>
        <family val="1"/>
      </rPr>
      <t>KANGOO CREATIF</t>
    </r>
  </si>
  <si>
    <r>
      <rPr>
        <sz val="11"/>
        <rFont val="Georgia"/>
        <family val="1"/>
      </rPr>
      <t>7DA-KFKK9K</t>
    </r>
  </si>
  <si>
    <r>
      <rPr>
        <sz val="11"/>
        <rFont val="Georgia"/>
        <family val="1"/>
      </rPr>
      <t>LUTECIA SPORT CHASSIS CUP</t>
    </r>
  </si>
  <si>
    <r>
      <rPr>
        <sz val="11"/>
        <rFont val="Georgia"/>
        <family val="1"/>
      </rPr>
      <t>VF15RA63DH076</t>
    </r>
  </si>
  <si>
    <r>
      <rPr>
        <sz val="11"/>
        <rFont val="Georgia"/>
        <family val="1"/>
      </rPr>
      <t>LUTECIA SPORT TROPHY FINAL EDITION</t>
    </r>
  </si>
  <si>
    <r>
      <rPr>
        <sz val="11"/>
        <rFont val="Georgia"/>
        <family val="1"/>
      </rPr>
      <t>ABA-RM5M1</t>
    </r>
  </si>
  <si>
    <r>
      <rPr>
        <sz val="11"/>
        <rFont val="Georgia"/>
        <family val="1"/>
      </rPr>
      <t>MEGANE GT</t>
    </r>
  </si>
  <si>
    <r>
      <rPr>
        <sz val="11"/>
        <rFont val="Georgia"/>
        <family val="1"/>
      </rPr>
      <t>ABA-BBM5M</t>
    </r>
  </si>
  <si>
    <r>
      <rPr>
        <sz val="11"/>
        <rFont val="Georgia"/>
        <family val="1"/>
      </rPr>
      <t>CAPTUR E-TECH HYBRID LEATHER PACK</t>
    </r>
  </si>
  <si>
    <r>
      <rPr>
        <sz val="11"/>
        <rFont val="Georgia"/>
        <family val="1"/>
      </rPr>
      <t>5AA-HJBH4MH</t>
    </r>
  </si>
  <si>
    <r>
      <rPr>
        <sz val="11"/>
        <rFont val="Georgia"/>
        <family val="1"/>
      </rPr>
      <t>CAPTUR E-TECH HYBRID</t>
    </r>
  </si>
  <si>
    <r>
      <rPr>
        <sz val="11"/>
        <rFont val="Georgia"/>
        <family val="1"/>
      </rPr>
      <t>LUTECIA E-TECH HYBRID LEATHER PACK</t>
    </r>
  </si>
  <si>
    <r>
      <rPr>
        <sz val="11"/>
        <rFont val="Georgia"/>
        <family val="1"/>
      </rPr>
      <t>5AA-BJAH4MH</t>
    </r>
  </si>
  <si>
    <r>
      <rPr>
        <sz val="11"/>
        <rFont val="Georgia"/>
        <family val="1"/>
      </rPr>
      <t>ARKANA SPORT LINE E-TECH FULL HYBRID</t>
    </r>
  </si>
  <si>
    <r>
      <rPr>
        <sz val="11"/>
        <rFont val="Georgia"/>
        <family val="1"/>
      </rPr>
      <t>7AA-LJLH4MH</t>
    </r>
  </si>
  <si>
    <r>
      <rPr>
        <sz val="11"/>
        <rFont val="Georgia"/>
        <family val="1"/>
      </rPr>
      <t>ARKANA E-TECH ENGINEERED</t>
    </r>
  </si>
  <si>
    <r>
      <rPr>
        <sz val="11"/>
        <rFont val="Georgia"/>
        <family val="1"/>
      </rPr>
      <t>LUTECIA E-TECH HYBRID</t>
    </r>
  </si>
  <si>
    <r>
      <rPr>
        <sz val="11"/>
        <rFont val="Georgia"/>
        <family val="1"/>
      </rPr>
      <t>LUTECIA SPORT TROPHY</t>
    </r>
  </si>
  <si>
    <r>
      <rPr>
        <sz val="11"/>
        <rFont val="Georgia"/>
        <family val="1"/>
      </rPr>
      <t>VF15R930DH076</t>
    </r>
  </si>
  <si>
    <r>
      <rPr>
        <sz val="11"/>
        <rFont val="Georgia"/>
        <family val="1"/>
      </rPr>
      <t>ARKANA ENTRACTE E-TECH FULL HYBRID</t>
    </r>
  </si>
  <si>
    <r>
      <rPr>
        <sz val="11"/>
        <rFont val="Georgia"/>
        <family val="1"/>
      </rPr>
      <t>MEGANE SPORT TROPHY</t>
    </r>
  </si>
  <si>
    <r>
      <rPr>
        <sz val="11"/>
        <rFont val="Georgia"/>
        <family val="1"/>
      </rPr>
      <t>VF1RFB008L081</t>
    </r>
  </si>
  <si>
    <r>
      <rPr>
        <sz val="11"/>
        <rFont val="Georgia"/>
        <family val="1"/>
      </rPr>
      <t>MEGANE R.S.ULTIME</t>
    </r>
  </si>
  <si>
    <r>
      <rPr>
        <sz val="11"/>
        <rFont val="Georgia"/>
        <family val="1"/>
      </rPr>
      <t>VF1RFB001P086</t>
    </r>
  </si>
  <si>
    <r>
      <rPr>
        <sz val="11"/>
        <rFont val="Georgia"/>
        <family val="1"/>
      </rPr>
      <t>SAIC MOTORS</t>
    </r>
  </si>
  <si>
    <r>
      <rPr>
        <sz val="11"/>
        <rFont val="Georgia"/>
        <family val="1"/>
      </rPr>
      <t>MAXUS T90</t>
    </r>
  </si>
  <si>
    <r>
      <rPr>
        <sz val="11"/>
        <rFont val="Georgia"/>
        <family val="1"/>
      </rPr>
      <t>Manual/Auto</t>
    </r>
  </si>
  <si>
    <r>
      <rPr>
        <sz val="11"/>
        <rFont val="Georgia"/>
        <family val="1"/>
      </rPr>
      <t>2–5</t>
    </r>
  </si>
  <si>
    <r>
      <rPr>
        <sz val="11"/>
        <rFont val="Georgia"/>
        <family val="1"/>
      </rPr>
      <t>PETROL/DIESEL</t>
    </r>
  </si>
  <si>
    <r>
      <rPr>
        <sz val="11"/>
        <rFont val="Georgia"/>
        <family val="1"/>
      </rPr>
      <t>MG CYBERSTER</t>
    </r>
  </si>
  <si>
    <r>
      <rPr>
        <sz val="11"/>
        <rFont val="Georgia"/>
        <family val="1"/>
      </rPr>
      <t>Automatic</t>
    </r>
  </si>
  <si>
    <r>
      <rPr>
        <sz val="11"/>
        <rFont val="Georgia"/>
        <family val="1"/>
      </rPr>
      <t>77 kWh</t>
    </r>
  </si>
  <si>
    <r>
      <rPr>
        <sz val="11"/>
        <rFont val="Georgia"/>
        <family val="1"/>
      </rPr>
      <t>ROADSTER</t>
    </r>
  </si>
  <si>
    <r>
      <rPr>
        <sz val="11"/>
        <rFont val="Georgia"/>
        <family val="1"/>
      </rPr>
      <t>MG HS</t>
    </r>
  </si>
  <si>
    <r>
      <rPr>
        <sz val="11"/>
        <rFont val="Georgia"/>
        <family val="1"/>
      </rPr>
      <t>MG MG3</t>
    </r>
  </si>
  <si>
    <r>
      <rPr>
        <sz val="11"/>
        <rFont val="Georgia"/>
        <family val="1"/>
      </rPr>
      <t>Manual</t>
    </r>
  </si>
  <si>
    <r>
      <rPr>
        <sz val="11"/>
        <rFont val="Georgia"/>
        <family val="1"/>
      </rPr>
      <t>MG MG4 EV</t>
    </r>
  </si>
  <si>
    <r>
      <rPr>
        <sz val="11"/>
        <rFont val="Georgia"/>
        <family val="1"/>
      </rPr>
      <t>51–64 kWh</t>
    </r>
  </si>
  <si>
    <r>
      <rPr>
        <sz val="11"/>
        <rFont val="Georgia"/>
        <family val="1"/>
      </rPr>
      <t>MG ZS EV</t>
    </r>
  </si>
  <si>
    <r>
      <rPr>
        <sz val="11"/>
        <rFont val="Georgia"/>
        <family val="1"/>
      </rPr>
      <t>44.5 kWh</t>
    </r>
  </si>
  <si>
    <r>
      <rPr>
        <sz val="11"/>
        <rFont val="Georgia"/>
        <family val="1"/>
      </rPr>
      <t>RISING AUTO F7</t>
    </r>
  </si>
  <si>
    <r>
      <rPr>
        <sz val="11"/>
        <rFont val="Georgia"/>
        <family val="1"/>
      </rPr>
      <t>64–90 kWh</t>
    </r>
  </si>
  <si>
    <r>
      <rPr>
        <sz val="11"/>
        <rFont val="Georgia"/>
        <family val="1"/>
      </rPr>
      <t>ROEWE I6 MAX</t>
    </r>
  </si>
  <si>
    <r>
      <rPr>
        <sz val="11"/>
        <rFont val="Georgia"/>
        <family val="1"/>
      </rPr>
      <t>ROEWE RX9</t>
    </r>
  </si>
  <si>
    <r>
      <rPr>
        <sz val="11"/>
        <rFont val="Georgia"/>
        <family val="1"/>
      </rPr>
      <t>SCANIA</t>
    </r>
  </si>
  <si>
    <r>
      <rPr>
        <sz val="11"/>
        <rFont val="Georgia"/>
        <family val="1"/>
      </rPr>
      <t>SCANIA G370</t>
    </r>
  </si>
  <si>
    <r>
      <rPr>
        <sz val="11"/>
        <rFont val="Georgia"/>
        <family val="1"/>
      </rPr>
      <t>G370</t>
    </r>
  </si>
  <si>
    <r>
      <rPr>
        <sz val="11"/>
        <rFont val="Georgia"/>
        <family val="1"/>
      </rPr>
      <t>SCANIA G400</t>
    </r>
  </si>
  <si>
    <r>
      <rPr>
        <sz val="11"/>
        <rFont val="Georgia"/>
        <family val="1"/>
      </rPr>
      <t>G400</t>
    </r>
  </si>
  <si>
    <r>
      <rPr>
        <sz val="11"/>
        <rFont val="Georgia"/>
        <family val="1"/>
      </rPr>
      <t>SCANIA G410</t>
    </r>
  </si>
  <si>
    <r>
      <rPr>
        <sz val="11"/>
        <rFont val="Georgia"/>
        <family val="1"/>
      </rPr>
      <t>G410</t>
    </r>
  </si>
  <si>
    <r>
      <rPr>
        <sz val="11"/>
        <rFont val="Georgia"/>
        <family val="1"/>
      </rPr>
      <t>SCANIA G420</t>
    </r>
  </si>
  <si>
    <r>
      <rPr>
        <sz val="11"/>
        <rFont val="Georgia"/>
        <family val="1"/>
      </rPr>
      <t>G420</t>
    </r>
  </si>
  <si>
    <r>
      <rPr>
        <sz val="11"/>
        <rFont val="Georgia"/>
        <family val="1"/>
      </rPr>
      <t>SCANIA G450</t>
    </r>
  </si>
  <si>
    <r>
      <rPr>
        <sz val="11"/>
        <rFont val="Georgia"/>
        <family val="1"/>
      </rPr>
      <t>G450</t>
    </r>
  </si>
  <si>
    <r>
      <rPr>
        <sz val="11"/>
        <rFont val="Georgia"/>
        <family val="1"/>
      </rPr>
      <t>SCANIA G460</t>
    </r>
  </si>
  <si>
    <r>
      <rPr>
        <sz val="11"/>
        <rFont val="Georgia"/>
        <family val="1"/>
      </rPr>
      <t>G460</t>
    </r>
  </si>
  <si>
    <r>
      <rPr>
        <sz val="11"/>
        <rFont val="Georgia"/>
        <family val="1"/>
      </rPr>
      <t>SCANIA G480</t>
    </r>
  </si>
  <si>
    <r>
      <rPr>
        <sz val="11"/>
        <rFont val="Georgia"/>
        <family val="1"/>
      </rPr>
      <t>G480</t>
    </r>
  </si>
  <si>
    <r>
      <rPr>
        <sz val="11"/>
        <rFont val="Georgia"/>
        <family val="1"/>
      </rPr>
      <t>SCANIA G500</t>
    </r>
  </si>
  <si>
    <r>
      <rPr>
        <sz val="11"/>
        <rFont val="Georgia"/>
        <family val="1"/>
      </rPr>
      <t>G500</t>
    </r>
  </si>
  <si>
    <r>
      <rPr>
        <sz val="11"/>
        <rFont val="Georgia"/>
        <family val="1"/>
      </rPr>
      <t>SCANIA R410</t>
    </r>
  </si>
  <si>
    <r>
      <rPr>
        <sz val="11"/>
        <rFont val="Georgia"/>
        <family val="1"/>
      </rPr>
      <t>R410</t>
    </r>
  </si>
  <si>
    <r>
      <rPr>
        <sz val="11"/>
        <rFont val="Georgia"/>
        <family val="1"/>
      </rPr>
      <t>SCANIA R450</t>
    </r>
  </si>
  <si>
    <r>
      <rPr>
        <sz val="11"/>
        <rFont val="Georgia"/>
        <family val="1"/>
      </rPr>
      <t>R450</t>
    </r>
  </si>
  <si>
    <r>
      <rPr>
        <sz val="11"/>
        <rFont val="Georgia"/>
        <family val="1"/>
      </rPr>
      <t>SCANIA R480</t>
    </r>
  </si>
  <si>
    <r>
      <rPr>
        <sz val="11"/>
        <rFont val="Georgia"/>
        <family val="1"/>
      </rPr>
      <t>R480</t>
    </r>
  </si>
  <si>
    <r>
      <rPr>
        <sz val="11"/>
        <rFont val="Georgia"/>
        <family val="1"/>
      </rPr>
      <t>SCANIA R500</t>
    </r>
  </si>
  <si>
    <r>
      <rPr>
        <sz val="11"/>
        <rFont val="Georgia"/>
        <family val="1"/>
      </rPr>
      <t>R500</t>
    </r>
  </si>
  <si>
    <r>
      <rPr>
        <sz val="11"/>
        <rFont val="Georgia"/>
        <family val="1"/>
      </rPr>
      <t>SCANIA R540</t>
    </r>
  </si>
  <si>
    <r>
      <rPr>
        <sz val="11"/>
        <rFont val="Georgia"/>
        <family val="1"/>
      </rPr>
      <t>R540</t>
    </r>
  </si>
  <si>
    <r>
      <rPr>
        <sz val="11"/>
        <rFont val="Georgia"/>
        <family val="1"/>
      </rPr>
      <t>SCANIA R620</t>
    </r>
  </si>
  <si>
    <r>
      <rPr>
        <sz val="11"/>
        <rFont val="Georgia"/>
        <family val="1"/>
      </rPr>
      <t>R620</t>
    </r>
  </si>
  <si>
    <r>
      <rPr>
        <sz val="11"/>
        <rFont val="Georgia"/>
        <family val="1"/>
      </rPr>
      <t>SCANIA R730</t>
    </r>
  </si>
  <si>
    <r>
      <rPr>
        <sz val="11"/>
        <rFont val="Georgia"/>
        <family val="1"/>
      </rPr>
      <t>R730</t>
    </r>
  </si>
  <si>
    <r>
      <rPr>
        <sz val="11"/>
        <rFont val="Georgia"/>
        <family val="1"/>
      </rPr>
      <t>G 460 LPGRS</t>
    </r>
  </si>
  <si>
    <r>
      <rPr>
        <sz val="11"/>
        <rFont val="Georgia"/>
        <family val="1"/>
      </rPr>
      <t>6x4</t>
    </r>
  </si>
  <si>
    <r>
      <rPr>
        <sz val="11"/>
        <rFont val="Georgia"/>
        <family val="1"/>
      </rPr>
      <t>G SERIES</t>
    </r>
  </si>
  <si>
    <r>
      <rPr>
        <sz val="11"/>
        <rFont val="Georgia"/>
        <family val="1"/>
      </rPr>
      <t>G SERIES 460</t>
    </r>
  </si>
  <si>
    <r>
      <rPr>
        <sz val="11"/>
        <rFont val="Georgia"/>
        <family val="1"/>
      </rPr>
      <t>G SERIES 460 NG</t>
    </r>
  </si>
  <si>
    <r>
      <rPr>
        <sz val="11"/>
        <rFont val="Georgia"/>
        <family val="1"/>
      </rPr>
      <t>G SERIES G460</t>
    </r>
  </si>
  <si>
    <r>
      <rPr>
        <sz val="11"/>
        <rFont val="Georgia"/>
        <family val="1"/>
      </rPr>
      <t>G SERIES G460 A6X4NZ</t>
    </r>
  </si>
  <si>
    <r>
      <rPr>
        <sz val="11"/>
        <rFont val="Georgia"/>
        <family val="1"/>
      </rPr>
      <t>G SERIES G460 XT</t>
    </r>
  </si>
  <si>
    <r>
      <rPr>
        <sz val="11"/>
        <rFont val="Georgia"/>
        <family val="1"/>
      </rPr>
      <t>G460 G-SERIES</t>
    </r>
  </si>
  <si>
    <r>
      <rPr>
        <sz val="11"/>
        <rFont val="Georgia"/>
        <family val="1"/>
      </rPr>
      <t>R SERIES</t>
    </r>
  </si>
  <si>
    <r>
      <rPr>
        <sz val="11"/>
        <rFont val="Georgia"/>
        <family val="1"/>
      </rPr>
      <t>R SERIES 410</t>
    </r>
  </si>
  <si>
    <r>
      <rPr>
        <sz val="11"/>
        <rFont val="Georgia"/>
        <family val="1"/>
      </rPr>
      <t>4x2</t>
    </r>
  </si>
  <si>
    <r>
      <rPr>
        <sz val="11"/>
        <rFont val="Georgia"/>
        <family val="1"/>
      </rPr>
      <t>R SERIES 460</t>
    </r>
  </si>
  <si>
    <r>
      <rPr>
        <sz val="11"/>
        <rFont val="Georgia"/>
        <family val="1"/>
      </rPr>
      <t>R SERIES 500</t>
    </r>
  </si>
  <si>
    <r>
      <rPr>
        <sz val="11"/>
        <rFont val="Georgia"/>
        <family val="1"/>
      </rPr>
      <t>R SERIES 620</t>
    </r>
  </si>
  <si>
    <r>
      <rPr>
        <sz val="11"/>
        <rFont val="Georgia"/>
        <family val="1"/>
      </rPr>
      <t>R SERIES R500</t>
    </r>
  </si>
  <si>
    <r>
      <rPr>
        <sz val="11"/>
        <rFont val="Georgia"/>
        <family val="1"/>
      </rPr>
      <t>R SERIES R560 A6X4NZ V8</t>
    </r>
  </si>
  <si>
    <r>
      <rPr>
        <sz val="11"/>
        <rFont val="Georgia"/>
        <family val="1"/>
      </rPr>
      <t>R460</t>
    </r>
  </si>
  <si>
    <r>
      <rPr>
        <sz val="11"/>
        <rFont val="Georgia"/>
        <family val="1"/>
      </rPr>
      <t>SHACMAN</t>
    </r>
  </si>
  <si>
    <r>
      <rPr>
        <sz val="11"/>
        <rFont val="Georgia"/>
        <family val="1"/>
      </rPr>
      <t>X3000 TRACTOR HEAD 6X4 385 HP</t>
    </r>
  </si>
  <si>
    <r>
      <rPr>
        <sz val="11"/>
        <rFont val="Georgia"/>
        <family val="1"/>
      </rPr>
      <t>X3000</t>
    </r>
  </si>
  <si>
    <r>
      <rPr>
        <sz val="11"/>
        <rFont val="Georgia"/>
        <family val="1"/>
      </rPr>
      <t>TRACTOR</t>
    </r>
  </si>
  <si>
    <r>
      <rPr>
        <sz val="11"/>
        <rFont val="Georgia"/>
        <family val="1"/>
      </rPr>
      <t>X3000 TRACTOR HEAD 6X4 420 H</t>
    </r>
  </si>
  <si>
    <r>
      <rPr>
        <sz val="11"/>
        <rFont val="Georgia"/>
        <family val="1"/>
      </rPr>
      <t>F3000 TRUCK HEAD</t>
    </r>
  </si>
  <si>
    <r>
      <rPr>
        <sz val="11"/>
        <rFont val="Georgia"/>
        <family val="1"/>
      </rPr>
      <t>FS3000</t>
    </r>
  </si>
  <si>
    <r>
      <rPr>
        <sz val="11"/>
        <rFont val="Georgia"/>
        <family val="1"/>
      </rPr>
      <t>X3000 TRUCK TRACTOR</t>
    </r>
  </si>
  <si>
    <r>
      <rPr>
        <sz val="11"/>
        <rFont val="Georgia"/>
        <family val="1"/>
      </rPr>
      <t>H3000 TRACTOR TRUCK</t>
    </r>
  </si>
  <si>
    <r>
      <rPr>
        <sz val="11"/>
        <rFont val="Georgia"/>
        <family val="1"/>
      </rPr>
      <t>H3000</t>
    </r>
  </si>
  <si>
    <r>
      <rPr>
        <sz val="11"/>
        <rFont val="Georgia"/>
        <family val="1"/>
      </rPr>
      <t>F3000 TIPPER TRUCK</t>
    </r>
  </si>
  <si>
    <r>
      <rPr>
        <sz val="11"/>
        <rFont val="Georgia"/>
        <family val="1"/>
      </rPr>
      <t>F3000</t>
    </r>
  </si>
  <si>
    <r>
      <rPr>
        <sz val="11"/>
        <rFont val="Georgia"/>
        <family val="1"/>
      </rPr>
      <t>H3000 DUMP TRUCK</t>
    </r>
  </si>
  <si>
    <r>
      <rPr>
        <sz val="11"/>
        <rFont val="Georgia"/>
        <family val="1"/>
      </rPr>
      <t>X3000 TRACTOR</t>
    </r>
  </si>
  <si>
    <r>
      <rPr>
        <sz val="11"/>
        <rFont val="Georgia"/>
        <family val="1"/>
      </rPr>
      <t>SKODA</t>
    </r>
  </si>
  <si>
    <r>
      <rPr>
        <sz val="11"/>
        <rFont val="Georgia"/>
        <family val="1"/>
      </rPr>
      <t>ENYAQ RS</t>
    </r>
  </si>
  <si>
    <r>
      <rPr>
        <sz val="11"/>
        <rFont val="Georgia"/>
        <family val="1"/>
      </rPr>
      <t>RS</t>
    </r>
  </si>
  <si>
    <r>
      <rPr>
        <sz val="11"/>
        <rFont val="Georgia"/>
        <family val="1"/>
      </rPr>
      <t>ENYAQ SPORTLINE</t>
    </r>
  </si>
  <si>
    <r>
      <rPr>
        <sz val="11"/>
        <rFont val="Georgia"/>
        <family val="1"/>
      </rPr>
      <t>FABIA 110TSI MONTE CARLO EDITION 150</t>
    </r>
  </si>
  <si>
    <r>
      <rPr>
        <sz val="11"/>
        <rFont val="Georgia"/>
        <family val="1"/>
      </rPr>
      <t>110TSI</t>
    </r>
  </si>
  <si>
    <r>
      <rPr>
        <sz val="11"/>
        <rFont val="Georgia"/>
        <family val="1"/>
      </rPr>
      <t>FABIA MONTE CARLO 110TSI</t>
    </r>
  </si>
  <si>
    <r>
      <rPr>
        <sz val="11"/>
        <rFont val="Georgia"/>
        <family val="1"/>
      </rPr>
      <t>FABIA MONTE CARLO EDITION 150</t>
    </r>
  </si>
  <si>
    <r>
      <rPr>
        <sz val="11"/>
        <rFont val="Georgia"/>
        <family val="1"/>
      </rPr>
      <t>FABIA SELECT 85TSI</t>
    </r>
  </si>
  <si>
    <r>
      <rPr>
        <sz val="11"/>
        <rFont val="Georgia"/>
        <family val="1"/>
      </rPr>
      <t>85TSI</t>
    </r>
  </si>
  <si>
    <r>
      <rPr>
        <sz val="11"/>
        <rFont val="Georgia"/>
        <family val="1"/>
      </rPr>
      <t>KAMIQ MONTE CARLO 110TSI</t>
    </r>
  </si>
  <si>
    <r>
      <rPr>
        <sz val="11"/>
        <rFont val="Georgia"/>
        <family val="1"/>
      </rPr>
      <t>KAMIQ RUNOUT 85TSI</t>
    </r>
  </si>
  <si>
    <r>
      <rPr>
        <sz val="11"/>
        <rFont val="Georgia"/>
        <family val="1"/>
      </rPr>
      <t>KAMIQ SELECT 85TSI</t>
    </r>
  </si>
  <si>
    <r>
      <rPr>
        <sz val="11"/>
        <rFont val="Georgia"/>
        <family val="1"/>
      </rPr>
      <t>KAMIQ SIGNATURE 110TSI</t>
    </r>
  </si>
  <si>
    <r>
      <rPr>
        <sz val="11"/>
        <rFont val="Georgia"/>
        <family val="1"/>
      </rPr>
      <t>KAMIQ STYLE 85TSI</t>
    </r>
  </si>
  <si>
    <r>
      <rPr>
        <sz val="11"/>
        <rFont val="Georgia"/>
        <family val="1"/>
      </rPr>
      <t>KAROQ (BASE)</t>
    </r>
  </si>
  <si>
    <r>
      <rPr>
        <sz val="11"/>
        <rFont val="Georgia"/>
        <family val="1"/>
      </rPr>
      <t>KAROQ SPORTLINE  110TSI</t>
    </r>
  </si>
  <si>
    <r>
      <rPr>
        <sz val="11"/>
        <rFont val="Georgia"/>
        <family val="1"/>
      </rPr>
      <t>KAROQ STYLE 110TSI</t>
    </r>
  </si>
  <si>
    <r>
      <rPr>
        <sz val="11"/>
        <rFont val="Georgia"/>
        <family val="1"/>
      </rPr>
      <t>KODIAQ RS  180TSI</t>
    </r>
  </si>
  <si>
    <r>
      <rPr>
        <sz val="11"/>
        <rFont val="Georgia"/>
        <family val="1"/>
      </rPr>
      <t>180TSI</t>
    </r>
  </si>
  <si>
    <r>
      <rPr>
        <sz val="11"/>
        <rFont val="Georgia"/>
        <family val="1"/>
      </rPr>
      <t>KODIAQ SELECT</t>
    </r>
  </si>
  <si>
    <r>
      <rPr>
        <sz val="11"/>
        <rFont val="Georgia"/>
        <family val="1"/>
      </rPr>
      <t>KODIAQ SPORTLINE</t>
    </r>
  </si>
  <si>
    <r>
      <rPr>
        <sz val="11"/>
        <rFont val="Georgia"/>
        <family val="1"/>
      </rPr>
      <t>KODIAQ SPORTLINE  132TSI</t>
    </r>
  </si>
  <si>
    <r>
      <rPr>
        <sz val="11"/>
        <rFont val="Georgia"/>
        <family val="1"/>
      </rPr>
      <t>132TSI</t>
    </r>
  </si>
  <si>
    <r>
      <rPr>
        <sz val="11"/>
        <rFont val="Georgia"/>
        <family val="1"/>
      </rPr>
      <t>KODIAQ STYLE  132TSI</t>
    </r>
  </si>
  <si>
    <r>
      <rPr>
        <sz val="11"/>
        <rFont val="Georgia"/>
        <family val="1"/>
      </rPr>
      <t>OCTAVIA RS 180TSI</t>
    </r>
  </si>
  <si>
    <r>
      <rPr>
        <sz val="11"/>
        <rFont val="Georgia"/>
        <family val="1"/>
      </rPr>
      <t>OCTAVIA RS 195TSI</t>
    </r>
  </si>
  <si>
    <r>
      <rPr>
        <sz val="11"/>
        <rFont val="Georgia"/>
        <family val="1"/>
      </rPr>
      <t>195TSI</t>
    </r>
  </si>
  <si>
    <r>
      <rPr>
        <sz val="11"/>
        <rFont val="Georgia"/>
        <family val="1"/>
      </rPr>
      <t>OCTAVIA SELECT 110TSI</t>
    </r>
  </si>
  <si>
    <r>
      <rPr>
        <sz val="11"/>
        <rFont val="Georgia"/>
        <family val="1"/>
      </rPr>
      <t>OCTAVIA SPORTLINE 110TSI</t>
    </r>
  </si>
  <si>
    <r>
      <rPr>
        <sz val="11"/>
        <rFont val="Georgia"/>
        <family val="1"/>
      </rPr>
      <t>OCTAVIA STYLE 110TSI</t>
    </r>
  </si>
  <si>
    <r>
      <rPr>
        <sz val="11"/>
        <rFont val="Georgia"/>
        <family val="1"/>
      </rPr>
      <t>SCALA AMBITION 85TSI</t>
    </r>
  </si>
  <si>
    <r>
      <rPr>
        <sz val="11"/>
        <rFont val="Georgia"/>
        <family val="1"/>
      </rPr>
      <t>SCALA MONTE CARLO 110TSI</t>
    </r>
  </si>
  <si>
    <r>
      <rPr>
        <sz val="11"/>
        <rFont val="Georgia"/>
        <family val="1"/>
      </rPr>
      <t>SCALA SELECT 85TSI</t>
    </r>
  </si>
  <si>
    <r>
      <rPr>
        <sz val="11"/>
        <rFont val="Georgia"/>
        <family val="1"/>
      </rPr>
      <t>SCALA SIGNATURE 110TSI</t>
    </r>
  </si>
  <si>
    <r>
      <rPr>
        <sz val="11"/>
        <rFont val="Georgia"/>
        <family val="1"/>
      </rPr>
      <t>SUPERB SPORTLINE 206TSI</t>
    </r>
  </si>
  <si>
    <r>
      <rPr>
        <sz val="11"/>
        <rFont val="Georgia"/>
        <family val="1"/>
      </rPr>
      <t>206TSI</t>
    </r>
  </si>
  <si>
    <r>
      <rPr>
        <sz val="11"/>
        <rFont val="Georgia"/>
        <family val="1"/>
      </rPr>
      <t>SUBARU</t>
    </r>
  </si>
  <si>
    <r>
      <rPr>
        <sz val="11"/>
        <rFont val="Georgia"/>
        <family val="1"/>
      </rPr>
      <t>BRZ  GT</t>
    </r>
  </si>
  <si>
    <r>
      <rPr>
        <sz val="11"/>
        <rFont val="Georgia"/>
        <family val="1"/>
      </rPr>
      <t>DBA-ZC6</t>
    </r>
  </si>
  <si>
    <r>
      <rPr>
        <sz val="11"/>
        <rFont val="Georgia"/>
        <family val="1"/>
      </rPr>
      <t>BRZ S</t>
    </r>
  </si>
  <si>
    <r>
      <rPr>
        <sz val="11"/>
        <rFont val="Georgia"/>
        <family val="1"/>
      </rPr>
      <t>4BA-ZC6</t>
    </r>
  </si>
  <si>
    <r>
      <rPr>
        <sz val="11"/>
        <rFont val="Georgia"/>
        <family val="1"/>
      </rPr>
      <t>BRZ STI SPORT</t>
    </r>
  </si>
  <si>
    <r>
      <rPr>
        <sz val="11"/>
        <rFont val="Georgia"/>
        <family val="1"/>
      </rPr>
      <t>CHIFFON CUSTOM R</t>
    </r>
  </si>
  <si>
    <r>
      <rPr>
        <sz val="11"/>
        <rFont val="Georgia"/>
        <family val="1"/>
      </rPr>
      <t>5BA-LA650F</t>
    </r>
  </si>
  <si>
    <r>
      <rPr>
        <sz val="11"/>
        <rFont val="Georgia"/>
        <family val="1"/>
      </rPr>
      <t>DBA-LA600F</t>
    </r>
  </si>
  <si>
    <r>
      <rPr>
        <sz val="11"/>
        <rFont val="Georgia"/>
        <family val="1"/>
      </rPr>
      <t>DBA-LA610F</t>
    </r>
  </si>
  <si>
    <r>
      <rPr>
        <sz val="11"/>
        <rFont val="Georgia"/>
        <family val="1"/>
      </rPr>
      <t>CHIFFON CUSTOM R LIMITED SMART ASSIST</t>
    </r>
  </si>
  <si>
    <r>
      <rPr>
        <sz val="11"/>
        <rFont val="Georgia"/>
        <family val="1"/>
      </rPr>
      <t>CHIFFON CUSTOM RS</t>
    </r>
  </si>
  <si>
    <r>
      <rPr>
        <sz val="11"/>
        <rFont val="Georgia"/>
        <family val="1"/>
      </rPr>
      <t>CHIFFON G</t>
    </r>
  </si>
  <si>
    <r>
      <rPr>
        <sz val="11"/>
        <rFont val="Georgia"/>
        <family val="1"/>
      </rPr>
      <t>6BA-LA650F</t>
    </r>
  </si>
  <si>
    <r>
      <rPr>
        <sz val="11"/>
        <rFont val="Georgia"/>
        <family val="1"/>
      </rPr>
      <t>CROSSTREK LIMITED</t>
    </r>
  </si>
  <si>
    <r>
      <rPr>
        <sz val="11"/>
        <rFont val="Georgia"/>
        <family val="1"/>
      </rPr>
      <t>5AA-GUE</t>
    </r>
  </si>
  <si>
    <r>
      <rPr>
        <sz val="11"/>
        <rFont val="Georgia"/>
        <family val="1"/>
      </rPr>
      <t>DIAS WAGON RS</t>
    </r>
  </si>
  <si>
    <r>
      <rPr>
        <sz val="11"/>
        <rFont val="Georgia"/>
        <family val="1"/>
      </rPr>
      <t>ABA-S321N</t>
    </r>
  </si>
  <si>
    <r>
      <rPr>
        <sz val="11"/>
        <rFont val="Georgia"/>
        <family val="1"/>
      </rPr>
      <t>ABA-S331N</t>
    </r>
  </si>
  <si>
    <r>
      <rPr>
        <sz val="11"/>
        <rFont val="Georgia"/>
        <family val="1"/>
      </rPr>
      <t>DIAS WAGON RS LIMITED</t>
    </r>
  </si>
  <si>
    <r>
      <rPr>
        <sz val="11"/>
        <rFont val="Georgia"/>
        <family val="1"/>
      </rPr>
      <t>FORESTER 2.0I-L EYESIGHT</t>
    </r>
  </si>
  <si>
    <r>
      <rPr>
        <sz val="11"/>
        <rFont val="Georgia"/>
        <family val="1"/>
      </rPr>
      <t>DBA-SJ5</t>
    </r>
  </si>
  <si>
    <r>
      <rPr>
        <sz val="11"/>
        <rFont val="Georgia"/>
        <family val="1"/>
      </rPr>
      <t>FORESTER 2.0XT EYESIGHT</t>
    </r>
  </si>
  <si>
    <r>
      <rPr>
        <sz val="11"/>
        <rFont val="Georgia"/>
        <family val="1"/>
      </rPr>
      <t>DBA-SJG</t>
    </r>
  </si>
  <si>
    <r>
      <rPr>
        <sz val="11"/>
        <rFont val="Georgia"/>
        <family val="1"/>
      </rPr>
      <t>FORESTER ADVANCE</t>
    </r>
  </si>
  <si>
    <r>
      <rPr>
        <sz val="11"/>
        <rFont val="Georgia"/>
        <family val="1"/>
      </rPr>
      <t>5AA-SKE</t>
    </r>
  </si>
  <si>
    <r>
      <rPr>
        <sz val="11"/>
        <rFont val="Georgia"/>
        <family val="1"/>
      </rPr>
      <t>FORESTER STI BLACK SPORT BLACK INTERIOR</t>
    </r>
  </si>
  <si>
    <r>
      <rPr>
        <sz val="11"/>
        <rFont val="Georgia"/>
        <family val="1"/>
      </rPr>
      <t>5BA-SK5</t>
    </r>
  </si>
  <si>
    <r>
      <rPr>
        <sz val="11"/>
        <rFont val="Georgia"/>
        <family val="1"/>
      </rPr>
      <t>FORESTER STI SPORT</t>
    </r>
  </si>
  <si>
    <r>
      <rPr>
        <sz val="11"/>
        <rFont val="Georgia"/>
        <family val="1"/>
      </rPr>
      <t>4BA-SK5</t>
    </r>
  </si>
  <si>
    <r>
      <rPr>
        <sz val="11"/>
        <rFont val="Georgia"/>
        <family val="1"/>
      </rPr>
      <t>FORESTER X-BREAK</t>
    </r>
  </si>
  <si>
    <r>
      <rPr>
        <sz val="11"/>
        <rFont val="Georgia"/>
        <family val="1"/>
      </rPr>
      <t>5BA-SK9</t>
    </r>
  </si>
  <si>
    <r>
      <rPr>
        <sz val="11"/>
        <rFont val="Georgia"/>
        <family val="1"/>
      </rPr>
      <t>FORSTER ADVANCE</t>
    </r>
  </si>
  <si>
    <r>
      <rPr>
        <sz val="11"/>
        <rFont val="Georgia"/>
        <family val="1"/>
      </rPr>
      <t>FORSTER SPORT</t>
    </r>
  </si>
  <si>
    <r>
      <rPr>
        <sz val="11"/>
        <rFont val="Georgia"/>
        <family val="1"/>
      </rPr>
      <t>FORSTER URBAN SELECTION</t>
    </r>
  </si>
  <si>
    <r>
      <rPr>
        <sz val="11"/>
        <rFont val="Georgia"/>
        <family val="1"/>
      </rPr>
      <t>FORSTER X-BREAK</t>
    </r>
  </si>
  <si>
    <r>
      <rPr>
        <sz val="11"/>
        <rFont val="Georgia"/>
        <family val="1"/>
      </rPr>
      <t>IMPREZA G4</t>
    </r>
  </si>
  <si>
    <r>
      <rPr>
        <sz val="11"/>
        <rFont val="Georgia"/>
        <family val="1"/>
      </rPr>
      <t>DBA-GK7</t>
    </r>
  </si>
  <si>
    <r>
      <rPr>
        <sz val="11"/>
        <rFont val="Georgia"/>
        <family val="1"/>
      </rPr>
      <t>3BA-GK7</t>
    </r>
  </si>
  <si>
    <r>
      <rPr>
        <sz val="11"/>
        <rFont val="Georgia"/>
        <family val="1"/>
      </rPr>
      <t>IMPREZA G4 2.0I EYESIGHT</t>
    </r>
  </si>
  <si>
    <r>
      <rPr>
        <sz val="11"/>
        <rFont val="Georgia"/>
        <family val="1"/>
      </rPr>
      <t>DBA-GK6</t>
    </r>
  </si>
  <si>
    <r>
      <rPr>
        <sz val="11"/>
        <rFont val="Georgia"/>
        <family val="1"/>
      </rPr>
      <t>IMPREZA SPORT 2.0I EYESIGHT</t>
    </r>
  </si>
  <si>
    <r>
      <rPr>
        <sz val="11"/>
        <rFont val="Georgia"/>
        <family val="1"/>
      </rPr>
      <t>DBA-GT7</t>
    </r>
  </si>
  <si>
    <r>
      <rPr>
        <sz val="11"/>
        <rFont val="Georgia"/>
        <family val="1"/>
      </rPr>
      <t>IMPREZA SPORT 2.0I-S EYESIGHT</t>
    </r>
  </si>
  <si>
    <r>
      <rPr>
        <sz val="11"/>
        <rFont val="Georgia"/>
        <family val="1"/>
      </rPr>
      <t>DBA-GT6</t>
    </r>
  </si>
  <si>
    <r>
      <rPr>
        <sz val="11"/>
        <rFont val="Georgia"/>
        <family val="1"/>
      </rPr>
      <t>IMPREZA SPORT ADVANCE</t>
    </r>
  </si>
  <si>
    <r>
      <rPr>
        <sz val="11"/>
        <rFont val="Georgia"/>
        <family val="1"/>
      </rPr>
      <t>5AA-GTE</t>
    </r>
  </si>
  <si>
    <r>
      <rPr>
        <sz val="11"/>
        <rFont val="Georgia"/>
        <family val="1"/>
      </rPr>
      <t>IMPREZA ST-H</t>
    </r>
  </si>
  <si>
    <r>
      <rPr>
        <sz val="11"/>
        <rFont val="Georgia"/>
        <family val="1"/>
      </rPr>
      <t>IMPREZA STI SPORT</t>
    </r>
  </si>
  <si>
    <r>
      <rPr>
        <sz val="11"/>
        <rFont val="Georgia"/>
        <family val="1"/>
      </rPr>
      <t>3BA-GT7</t>
    </r>
  </si>
  <si>
    <r>
      <rPr>
        <sz val="11"/>
        <rFont val="Georgia"/>
        <family val="1"/>
      </rPr>
      <t>JUSTY</t>
    </r>
  </si>
  <si>
    <r>
      <rPr>
        <sz val="11"/>
        <rFont val="Georgia"/>
        <family val="1"/>
      </rPr>
      <t>5BA-M900F</t>
    </r>
  </si>
  <si>
    <r>
      <rPr>
        <sz val="11"/>
        <rFont val="Georgia"/>
        <family val="1"/>
      </rPr>
      <t>JUSTY CUSTO, RS SMART ASSIST</t>
    </r>
  </si>
  <si>
    <r>
      <rPr>
        <sz val="11"/>
        <rFont val="Georgia"/>
        <family val="1"/>
      </rPr>
      <t>DBA-M900F</t>
    </r>
  </si>
  <si>
    <r>
      <rPr>
        <sz val="11"/>
        <rFont val="Georgia"/>
        <family val="1"/>
      </rPr>
      <t>JUSTY CUSTOM R</t>
    </r>
  </si>
  <si>
    <r>
      <rPr>
        <sz val="11"/>
        <rFont val="Georgia"/>
        <family val="1"/>
      </rPr>
      <t>DBA-M910F</t>
    </r>
  </si>
  <si>
    <r>
      <rPr>
        <sz val="11"/>
        <rFont val="Georgia"/>
        <family val="1"/>
      </rPr>
      <t>LEGACY B4 LIMITED</t>
    </r>
  </si>
  <si>
    <r>
      <rPr>
        <sz val="11"/>
        <rFont val="Georgia"/>
        <family val="1"/>
      </rPr>
      <t>DBA-BN9</t>
    </r>
  </si>
  <si>
    <r>
      <rPr>
        <sz val="11"/>
        <rFont val="Georgia"/>
        <family val="1"/>
      </rPr>
      <t>LEGACY OUBACK LIMITED</t>
    </r>
  </si>
  <si>
    <r>
      <rPr>
        <sz val="11"/>
        <rFont val="Georgia"/>
        <family val="1"/>
      </rPr>
      <t>DBA-BS9</t>
    </r>
  </si>
  <si>
    <r>
      <rPr>
        <sz val="11"/>
        <rFont val="Georgia"/>
        <family val="1"/>
      </rPr>
      <t>LEGACY OUTBACK ACTIVE X BLACK</t>
    </r>
  </si>
  <si>
    <r>
      <rPr>
        <sz val="11"/>
        <rFont val="Georgia"/>
        <family val="1"/>
      </rPr>
      <t>4BA-BT5</t>
    </r>
  </si>
  <si>
    <r>
      <rPr>
        <sz val="11"/>
        <rFont val="Georgia"/>
        <family val="1"/>
      </rPr>
      <t>LEGACY OUTBACK LIMITED</t>
    </r>
  </si>
  <si>
    <r>
      <rPr>
        <sz val="11"/>
        <rFont val="Georgia"/>
        <family val="1"/>
      </rPr>
      <t>4BA-BS9</t>
    </r>
  </si>
  <si>
    <r>
      <rPr>
        <sz val="11"/>
        <rFont val="Georgia"/>
        <family val="1"/>
      </rPr>
      <t>LEGACY OUTBACK LIMITED EX</t>
    </r>
  </si>
  <si>
    <r>
      <rPr>
        <sz val="11"/>
        <rFont val="Georgia"/>
        <family val="1"/>
      </rPr>
      <t>LEGACY OUTBACK SELECTION</t>
    </r>
  </si>
  <si>
    <r>
      <rPr>
        <sz val="11"/>
        <rFont val="Georgia"/>
        <family val="1"/>
      </rPr>
      <t>LEGACY OUTBACK X-BREAK EX</t>
    </r>
  </si>
  <si>
    <r>
      <rPr>
        <sz val="11"/>
        <rFont val="Georgia"/>
        <family val="1"/>
      </rPr>
      <t>LEVORG 1.6GT-S EYESIGHT</t>
    </r>
  </si>
  <si>
    <r>
      <rPr>
        <sz val="11"/>
        <rFont val="Georgia"/>
        <family val="1"/>
      </rPr>
      <t>DBA-VM4</t>
    </r>
  </si>
  <si>
    <r>
      <rPr>
        <sz val="11"/>
        <rFont val="Georgia"/>
        <family val="1"/>
      </rPr>
      <t>LEVORG GT EX</t>
    </r>
  </si>
  <si>
    <r>
      <rPr>
        <sz val="11"/>
        <rFont val="Georgia"/>
        <family val="1"/>
      </rPr>
      <t>4BA-VN5</t>
    </r>
  </si>
  <si>
    <r>
      <rPr>
        <sz val="11"/>
        <rFont val="Georgia"/>
        <family val="1"/>
      </rPr>
      <t>LEVORG GT-H EX</t>
    </r>
  </si>
  <si>
    <r>
      <rPr>
        <sz val="11"/>
        <rFont val="Georgia"/>
        <family val="1"/>
      </rPr>
      <t>LEVORG GT-S EYESIGHT</t>
    </r>
  </si>
  <si>
    <r>
      <rPr>
        <sz val="11"/>
        <rFont val="Georgia"/>
        <family val="1"/>
      </rPr>
      <t>LEVORG LAYBACK LIMITED EX</t>
    </r>
  </si>
  <si>
    <r>
      <rPr>
        <sz val="11"/>
        <rFont val="Georgia"/>
        <family val="1"/>
      </rPr>
      <t>LEVORG STI SMART EDITION</t>
    </r>
  </si>
  <si>
    <r>
      <rPr>
        <sz val="11"/>
        <rFont val="Georgia"/>
        <family val="1"/>
      </rPr>
      <t>3BA-GU7</t>
    </r>
  </si>
  <si>
    <r>
      <rPr>
        <sz val="11"/>
        <rFont val="Georgia"/>
        <family val="1"/>
      </rPr>
      <t>LEVORG STI SPORT 1.6TI SPORT EYE SIGHT</t>
    </r>
  </si>
  <si>
    <r>
      <rPr>
        <sz val="11"/>
        <rFont val="Georgia"/>
        <family val="1"/>
      </rPr>
      <t>LEVORG STI SPORT 2.0 GT-S EYE SIGHT</t>
    </r>
  </si>
  <si>
    <r>
      <rPr>
        <sz val="11"/>
        <rFont val="Georgia"/>
        <family val="1"/>
      </rPr>
      <t>LEVORG STI SPORT EX</t>
    </r>
  </si>
  <si>
    <r>
      <rPr>
        <sz val="11"/>
        <rFont val="Georgia"/>
        <family val="1"/>
      </rPr>
      <t>5BA-VNH</t>
    </r>
  </si>
  <si>
    <r>
      <rPr>
        <sz val="11"/>
        <rFont val="Georgia"/>
        <family val="1"/>
      </rPr>
      <t>LEVORG STI SPORT EYESIGHT</t>
    </r>
  </si>
  <si>
    <r>
      <rPr>
        <sz val="11"/>
        <rFont val="Georgia"/>
        <family val="1"/>
      </rPr>
      <t>LEVORG STI SPORT R EX</t>
    </r>
  </si>
  <si>
    <r>
      <rPr>
        <sz val="11"/>
        <rFont val="Georgia"/>
        <family val="1"/>
      </rPr>
      <t>LEVORGLAYBACK LIMITED EX</t>
    </r>
  </si>
  <si>
    <r>
      <rPr>
        <sz val="11"/>
        <rFont val="Georgia"/>
        <family val="1"/>
      </rPr>
      <t>PLEO PLUS G SMART ASSIST</t>
    </r>
  </si>
  <si>
    <r>
      <rPr>
        <sz val="11"/>
        <rFont val="Georgia"/>
        <family val="1"/>
      </rPr>
      <t>DBA-LA350F</t>
    </r>
  </si>
  <si>
    <r>
      <rPr>
        <sz val="11"/>
        <rFont val="Georgia"/>
        <family val="1"/>
      </rPr>
      <t>DBA-LA360F</t>
    </r>
  </si>
  <si>
    <r>
      <rPr>
        <sz val="11"/>
        <rFont val="Georgia"/>
        <family val="1"/>
      </rPr>
      <t>PLEO+ G</t>
    </r>
  </si>
  <si>
    <r>
      <rPr>
        <sz val="11"/>
        <rFont val="Georgia"/>
        <family val="1"/>
      </rPr>
      <t>5BA-LA350F</t>
    </r>
  </si>
  <si>
    <r>
      <rPr>
        <sz val="11"/>
        <rFont val="Georgia"/>
        <family val="1"/>
      </rPr>
      <t>5BA-LA360F</t>
    </r>
  </si>
  <si>
    <r>
      <rPr>
        <sz val="11"/>
        <rFont val="Georgia"/>
        <family val="1"/>
      </rPr>
      <t>REX REV</t>
    </r>
  </si>
  <si>
    <r>
      <rPr>
        <sz val="11"/>
        <rFont val="Georgia"/>
        <family val="1"/>
      </rPr>
      <t>5BA-A201F</t>
    </r>
  </si>
  <si>
    <r>
      <rPr>
        <sz val="11"/>
        <rFont val="Georgia"/>
        <family val="1"/>
      </rPr>
      <t>REX Z</t>
    </r>
  </si>
  <si>
    <r>
      <rPr>
        <sz val="11"/>
        <rFont val="Georgia"/>
        <family val="1"/>
      </rPr>
      <t>SAMBAR  VAN TRANSPORTER</t>
    </r>
  </si>
  <si>
    <r>
      <rPr>
        <sz val="11"/>
        <rFont val="Georgia"/>
        <family val="1"/>
      </rPr>
      <t>3BD-S710B</t>
    </r>
  </si>
  <si>
    <r>
      <rPr>
        <sz val="11"/>
        <rFont val="Georgia"/>
        <family val="1"/>
      </rPr>
      <t>SAMBAR TRUCK</t>
    </r>
  </si>
  <si>
    <r>
      <rPr>
        <sz val="11"/>
        <rFont val="Georgia"/>
        <family val="1"/>
      </rPr>
      <t>3BD-S510J</t>
    </r>
  </si>
  <si>
    <r>
      <rPr>
        <sz val="11"/>
        <rFont val="Georgia"/>
        <family val="1"/>
      </rPr>
      <t>SAMBAR TRUCK TB</t>
    </r>
  </si>
  <si>
    <r>
      <rPr>
        <sz val="11"/>
        <rFont val="Georgia"/>
        <family val="1"/>
      </rPr>
      <t>EBD-S500J</t>
    </r>
  </si>
  <si>
    <r>
      <rPr>
        <sz val="11"/>
        <rFont val="Georgia"/>
        <family val="1"/>
      </rPr>
      <t>3BD-S500J</t>
    </r>
  </si>
  <si>
    <r>
      <rPr>
        <sz val="11"/>
        <rFont val="Georgia"/>
        <family val="1"/>
      </rPr>
      <t>SAMBAR TRUCK TB SMART ASSIST</t>
    </r>
  </si>
  <si>
    <r>
      <rPr>
        <sz val="11"/>
        <rFont val="Georgia"/>
        <family val="1"/>
      </rPr>
      <t>SAMBAR TRUCK TC</t>
    </r>
  </si>
  <si>
    <r>
      <rPr>
        <sz val="11"/>
        <rFont val="Georgia"/>
        <family val="1"/>
      </rPr>
      <t>SAMBAR VAN</t>
    </r>
  </si>
  <si>
    <r>
      <rPr>
        <sz val="11"/>
        <rFont val="Georgia"/>
        <family val="1"/>
      </rPr>
      <t>3BD-S321B</t>
    </r>
  </si>
  <si>
    <r>
      <rPr>
        <sz val="11"/>
        <rFont val="Georgia"/>
        <family val="1"/>
      </rPr>
      <t>EBD-S321B</t>
    </r>
  </si>
  <si>
    <r>
      <rPr>
        <sz val="11"/>
        <rFont val="Georgia"/>
        <family val="1"/>
      </rPr>
      <t>SAMBAR VAN TRANSPORTER</t>
    </r>
  </si>
  <si>
    <r>
      <rPr>
        <sz val="11"/>
        <rFont val="Georgia"/>
        <family val="1"/>
      </rPr>
      <t>SAMBAR VB</t>
    </r>
  </si>
  <si>
    <r>
      <rPr>
        <sz val="11"/>
        <rFont val="Georgia"/>
        <family val="1"/>
      </rPr>
      <t>1350(1360)</t>
    </r>
  </si>
  <si>
    <r>
      <rPr>
        <sz val="11"/>
        <rFont val="Georgia"/>
        <family val="1"/>
      </rPr>
      <t>SOLTERRA ET-HS</t>
    </r>
  </si>
  <si>
    <r>
      <rPr>
        <sz val="11"/>
        <rFont val="Georgia"/>
        <family val="1"/>
      </rPr>
      <t>ZAA-YEAM15X</t>
    </r>
  </si>
  <si>
    <r>
      <rPr>
        <sz val="11"/>
        <rFont val="Georgia"/>
        <family val="1"/>
      </rPr>
      <t>STELLA CUSTM RS</t>
    </r>
  </si>
  <si>
    <r>
      <rPr>
        <sz val="11"/>
        <rFont val="Georgia"/>
        <family val="1"/>
      </rPr>
      <t>DBA-LA150F</t>
    </r>
  </si>
  <si>
    <r>
      <rPr>
        <sz val="11"/>
        <rFont val="Georgia"/>
        <family val="1"/>
      </rPr>
      <t>DBA-LA160F</t>
    </r>
  </si>
  <si>
    <r>
      <rPr>
        <sz val="11"/>
        <rFont val="Georgia"/>
        <family val="1"/>
      </rPr>
      <t>STELLA CUSTOM R</t>
    </r>
  </si>
  <si>
    <r>
      <rPr>
        <sz val="11"/>
        <rFont val="Georgia"/>
        <family val="1"/>
      </rPr>
      <t>5BA-LA150F</t>
    </r>
  </si>
  <si>
    <r>
      <rPr>
        <sz val="11"/>
        <rFont val="Georgia"/>
        <family val="1"/>
      </rPr>
      <t>STELLA CUSTOM RS</t>
    </r>
  </si>
  <si>
    <r>
      <rPr>
        <sz val="11"/>
        <rFont val="Georgia"/>
        <family val="1"/>
      </rPr>
      <t>STELLA CUSTOM RS SMART ASSIST</t>
    </r>
  </si>
  <si>
    <r>
      <rPr>
        <sz val="11"/>
        <rFont val="Georgia"/>
        <family val="1"/>
      </rPr>
      <t>STELLA CUSTOMR</t>
    </r>
  </si>
  <si>
    <r>
      <rPr>
        <sz val="11"/>
        <rFont val="Georgia"/>
        <family val="1"/>
      </rPr>
      <t>SUBARU BRZ S</t>
    </r>
  </si>
  <si>
    <r>
      <rPr>
        <sz val="11"/>
        <rFont val="Georgia"/>
        <family val="1"/>
      </rPr>
      <t>3BA-ZD8</t>
    </r>
  </si>
  <si>
    <r>
      <rPr>
        <sz val="11"/>
        <rFont val="Georgia"/>
        <family val="1"/>
      </rPr>
      <t>SUBARU BRZ STI</t>
    </r>
  </si>
  <si>
    <r>
      <rPr>
        <sz val="11"/>
        <rFont val="Georgia"/>
        <family val="1"/>
      </rPr>
      <t>SUBARU BRZ STI SPORT</t>
    </r>
  </si>
  <si>
    <r>
      <rPr>
        <sz val="11"/>
        <rFont val="Georgia"/>
        <family val="1"/>
      </rPr>
      <t>SUBARU XV 2.0I-S EYESIGHT</t>
    </r>
  </si>
  <si>
    <r>
      <rPr>
        <sz val="11"/>
        <rFont val="Georgia"/>
        <family val="1"/>
      </rPr>
      <t>SUBARU XV ADVANCE</t>
    </r>
  </si>
  <si>
    <r>
      <rPr>
        <sz val="11"/>
        <rFont val="Georgia"/>
        <family val="1"/>
      </rPr>
      <t>WRX S4 2.0GT EYESIGHT</t>
    </r>
  </si>
  <si>
    <r>
      <rPr>
        <sz val="11"/>
        <rFont val="Georgia"/>
        <family val="1"/>
      </rPr>
      <t>DBA-VAG</t>
    </r>
  </si>
  <si>
    <r>
      <rPr>
        <sz val="11"/>
        <rFont val="Georgia"/>
        <family val="1"/>
      </rPr>
      <t>WRX S4 2.0GT-S EYESIGHT</t>
    </r>
  </si>
  <si>
    <r>
      <rPr>
        <sz val="11"/>
        <rFont val="Georgia"/>
        <family val="1"/>
      </rPr>
      <t>WRX S4 STI EYESIGHT</t>
    </r>
  </si>
  <si>
    <r>
      <rPr>
        <sz val="11"/>
        <rFont val="Georgia"/>
        <family val="1"/>
      </rPr>
      <t>WRX S4 STI R EX</t>
    </r>
  </si>
  <si>
    <r>
      <rPr>
        <sz val="11"/>
        <rFont val="Georgia"/>
        <family val="1"/>
      </rPr>
      <t>5BA-VBH</t>
    </r>
  </si>
  <si>
    <r>
      <rPr>
        <sz val="11"/>
        <rFont val="Georgia"/>
        <family val="1"/>
      </rPr>
      <t>WRX S4 STI SPORT EYESIGHT</t>
    </r>
  </si>
  <si>
    <r>
      <rPr>
        <sz val="11"/>
        <rFont val="Georgia"/>
        <family val="1"/>
      </rPr>
      <t>WRX S4 STI SPORT R EX</t>
    </r>
  </si>
  <si>
    <r>
      <rPr>
        <sz val="11"/>
        <rFont val="Georgia"/>
        <family val="1"/>
      </rPr>
      <t>WRX STI SPORT SPORT R EX</t>
    </r>
  </si>
  <si>
    <r>
      <rPr>
        <sz val="11"/>
        <rFont val="Georgia"/>
        <family val="1"/>
      </rPr>
      <t>WRX STI TYPE S</t>
    </r>
  </si>
  <si>
    <r>
      <rPr>
        <sz val="11"/>
        <rFont val="Georgia"/>
        <family val="1"/>
      </rPr>
      <t>CBA-VAB</t>
    </r>
  </si>
  <si>
    <r>
      <rPr>
        <sz val="11"/>
        <rFont val="Georgia"/>
        <family val="1"/>
      </rPr>
      <t>XV 2.0I-S EYESIGHT</t>
    </r>
  </si>
  <si>
    <r>
      <rPr>
        <sz val="11"/>
        <rFont val="Georgia"/>
        <family val="1"/>
      </rPr>
      <t>SUZUKI</t>
    </r>
  </si>
  <si>
    <r>
      <rPr>
        <sz val="11"/>
        <rFont val="Georgia"/>
        <family val="1"/>
      </rPr>
      <t>ALTO HYBRID X</t>
    </r>
  </si>
  <si>
    <r>
      <rPr>
        <sz val="11"/>
        <rFont val="Georgia"/>
        <family val="1"/>
      </rPr>
      <t>5AA-HA97S/ABXB</t>
    </r>
  </si>
  <si>
    <r>
      <rPr>
        <sz val="11"/>
        <rFont val="Georgia"/>
        <family val="1"/>
      </rPr>
      <t>HATCBACK</t>
    </r>
  </si>
  <si>
    <r>
      <rPr>
        <sz val="11"/>
        <rFont val="Georgia"/>
        <family val="1"/>
      </rPr>
      <t>5AA-HA97S/ABXB-2</t>
    </r>
  </si>
  <si>
    <r>
      <rPr>
        <sz val="11"/>
        <rFont val="Georgia"/>
        <family val="1"/>
      </rPr>
      <t>ALTO S</t>
    </r>
  </si>
  <si>
    <r>
      <rPr>
        <sz val="11"/>
        <rFont val="Georgia"/>
        <family val="1"/>
      </rPr>
      <t>5BA-HA36S/ABSE-J3</t>
    </r>
  </si>
  <si>
    <r>
      <rPr>
        <sz val="11"/>
        <rFont val="Georgia"/>
        <family val="1"/>
      </rPr>
      <t>5BA-36S/ABSE-J3</t>
    </r>
  </si>
  <si>
    <r>
      <rPr>
        <sz val="11"/>
        <rFont val="Georgia"/>
        <family val="1"/>
      </rPr>
      <t>ALTO TURBO RS</t>
    </r>
  </si>
  <si>
    <r>
      <rPr>
        <sz val="11"/>
        <rFont val="Georgia"/>
        <family val="1"/>
      </rPr>
      <t>DBA-HA36S/ASRN-A</t>
    </r>
  </si>
  <si>
    <r>
      <rPr>
        <sz val="11"/>
        <rFont val="Georgia"/>
        <family val="1"/>
      </rPr>
      <t>5AGS</t>
    </r>
  </si>
  <si>
    <r>
      <rPr>
        <sz val="11"/>
        <rFont val="Georgia"/>
        <family val="1"/>
      </rPr>
      <t>ALTO VAN VP</t>
    </r>
  </si>
  <si>
    <r>
      <rPr>
        <sz val="11"/>
        <rFont val="Georgia"/>
        <family val="1"/>
      </rPr>
      <t>HBD-HA36V/AGPN-V</t>
    </r>
  </si>
  <si>
    <r>
      <rPr>
        <sz val="11"/>
        <rFont val="Georgia"/>
        <family val="1"/>
      </rPr>
      <t>HBD-HA36V/AGPN-V2</t>
    </r>
  </si>
  <si>
    <r>
      <rPr>
        <sz val="11"/>
        <rFont val="Georgia"/>
        <family val="1"/>
      </rPr>
      <t>ALTO VP</t>
    </r>
  </si>
  <si>
    <r>
      <rPr>
        <sz val="11"/>
        <rFont val="Georgia"/>
        <family val="1"/>
      </rPr>
      <t>HBD-HA36V/AGPN</t>
    </r>
  </si>
  <si>
    <r>
      <rPr>
        <sz val="11"/>
        <rFont val="Georgia"/>
        <family val="1"/>
      </rPr>
      <t>930(940)</t>
    </r>
  </si>
  <si>
    <r>
      <rPr>
        <sz val="11"/>
        <rFont val="Georgia"/>
        <family val="1"/>
      </rPr>
      <t>ALTO WORKS</t>
    </r>
  </si>
  <si>
    <r>
      <rPr>
        <sz val="11"/>
        <rFont val="Georgia"/>
        <family val="1"/>
      </rPr>
      <t>4BA-HA36S/ASWF-A3</t>
    </r>
  </si>
  <si>
    <r>
      <rPr>
        <sz val="11"/>
        <rFont val="Georgia"/>
        <family val="1"/>
      </rPr>
      <t>DBA-HA36S/ASWF-A</t>
    </r>
  </si>
  <si>
    <r>
      <rPr>
        <sz val="11"/>
        <rFont val="Georgia"/>
        <family val="1"/>
      </rPr>
      <t>DBA-HA36S/ASWF-A2</t>
    </r>
  </si>
  <si>
    <r>
      <rPr>
        <sz val="11"/>
        <rFont val="Georgia"/>
        <family val="1"/>
      </rPr>
      <t>ALTO X</t>
    </r>
  </si>
  <si>
    <r>
      <rPr>
        <sz val="11"/>
        <rFont val="Georgia"/>
        <family val="1"/>
      </rPr>
      <t>DBA-HA36S/ABXEJ-J2</t>
    </r>
  </si>
  <si>
    <r>
      <rPr>
        <sz val="11"/>
        <rFont val="Georgia"/>
        <family val="1"/>
      </rPr>
      <t>DBA-HA36S/ABXE</t>
    </r>
  </si>
  <si>
    <r>
      <rPr>
        <sz val="11"/>
        <rFont val="Georgia"/>
        <family val="1"/>
      </rPr>
      <t>BALENO XS</t>
    </r>
  </si>
  <si>
    <r>
      <rPr>
        <sz val="11"/>
        <rFont val="Georgia"/>
        <family val="1"/>
      </rPr>
      <t>DBA-WB32S/BBSE</t>
    </r>
  </si>
  <si>
    <r>
      <rPr>
        <sz val="11"/>
        <rFont val="Georgia"/>
        <family val="1"/>
      </rPr>
      <t>CARRY</t>
    </r>
  </si>
  <si>
    <r>
      <rPr>
        <sz val="11"/>
        <rFont val="Georgia"/>
        <family val="1"/>
      </rPr>
      <t>EBD-DA16T/KWCJ-J3</t>
    </r>
  </si>
  <si>
    <r>
      <rPr>
        <sz val="11"/>
        <rFont val="Georgia"/>
        <family val="1"/>
      </rPr>
      <t>EBD-DA16T/KWCJ-J4</t>
    </r>
  </si>
  <si>
    <r>
      <rPr>
        <sz val="11"/>
        <rFont val="Georgia"/>
        <family val="1"/>
      </rPr>
      <t>EBD-DA16T/KWCJ-F5</t>
    </r>
  </si>
  <si>
    <r>
      <rPr>
        <sz val="11"/>
        <rFont val="Georgia"/>
        <family val="1"/>
      </rPr>
      <t>3BD-DA26T/KWCJ-F6</t>
    </r>
  </si>
  <si>
    <r>
      <rPr>
        <sz val="11"/>
        <rFont val="Georgia"/>
        <family val="1"/>
      </rPr>
      <t>3BD-DA16T/KWCJ-F6</t>
    </r>
  </si>
  <si>
    <r>
      <rPr>
        <sz val="11"/>
        <rFont val="Georgia"/>
        <family val="1"/>
      </rPr>
      <t>CARRY FOR SPECIAL HEAVY DUTY DUMP</t>
    </r>
  </si>
  <si>
    <r>
      <rPr>
        <sz val="11"/>
        <rFont val="Georgia"/>
        <family val="1"/>
      </rPr>
      <t>3BD-DA16T/KWCJ-F7</t>
    </r>
  </si>
  <si>
    <r>
      <rPr>
        <sz val="11"/>
        <rFont val="Georgia"/>
        <family val="1"/>
      </rPr>
      <t>CARRY KC</t>
    </r>
  </si>
  <si>
    <r>
      <rPr>
        <sz val="11"/>
        <rFont val="Georgia"/>
        <family val="1"/>
      </rPr>
      <t>EBD-DA16T/KKCU-S3</t>
    </r>
  </si>
  <si>
    <r>
      <rPr>
        <sz val="11"/>
        <rFont val="Georgia"/>
        <family val="1"/>
      </rPr>
      <t>EBD-DA16T/KKCU-S4</t>
    </r>
  </si>
  <si>
    <r>
      <rPr>
        <sz val="11"/>
        <rFont val="Georgia"/>
        <family val="1"/>
      </rPr>
      <t>3BD-DA16T/KKCU-S5</t>
    </r>
  </si>
  <si>
    <r>
      <rPr>
        <sz val="11"/>
        <rFont val="Georgia"/>
        <family val="1"/>
      </rPr>
      <t>3BD-DA16T/KKCU-S6</t>
    </r>
  </si>
  <si>
    <r>
      <rPr>
        <sz val="11"/>
        <rFont val="Georgia"/>
        <family val="1"/>
      </rPr>
      <t>3BD-DA16T/KKCU-SJ7</t>
    </r>
  </si>
  <si>
    <r>
      <rPr>
        <sz val="11"/>
        <rFont val="Georgia"/>
        <family val="1"/>
      </rPr>
      <t>CARRY PIXIS TRUCK XTRA</t>
    </r>
  </si>
  <si>
    <r>
      <rPr>
        <sz val="11"/>
        <rFont val="Georgia"/>
        <family val="1"/>
      </rPr>
      <t>ESCUDO</t>
    </r>
  </si>
  <si>
    <r>
      <rPr>
        <sz val="11"/>
        <rFont val="Georgia"/>
        <family val="1"/>
      </rPr>
      <t>5AA-YEH1S/MBSW-3</t>
    </r>
  </si>
  <si>
    <r>
      <rPr>
        <sz val="11"/>
        <rFont val="Georgia"/>
        <family val="1"/>
      </rPr>
      <t>6AGS</t>
    </r>
  </si>
  <si>
    <r>
      <rPr>
        <sz val="11"/>
        <rFont val="Georgia"/>
        <family val="1"/>
      </rPr>
      <t>4BA-YEAS/MBTL-2</t>
    </r>
  </si>
  <si>
    <r>
      <rPr>
        <sz val="11"/>
        <rFont val="Georgia"/>
        <family val="1"/>
      </rPr>
      <t>4BA-YEA1S/MBTL-2</t>
    </r>
  </si>
  <si>
    <r>
      <rPr>
        <sz val="11"/>
        <rFont val="Georgia"/>
        <family val="1"/>
      </rPr>
      <t>CBA-YEA1S/MBTL</t>
    </r>
  </si>
  <si>
    <r>
      <rPr>
        <sz val="11"/>
        <rFont val="Georgia"/>
        <family val="1"/>
      </rPr>
      <t>ESCUDO 1.4 TURBO</t>
    </r>
  </si>
  <si>
    <r>
      <rPr>
        <sz val="11"/>
        <rFont val="Georgia"/>
        <family val="1"/>
      </rPr>
      <t>EVERY</t>
    </r>
  </si>
  <si>
    <r>
      <rPr>
        <sz val="11"/>
        <rFont val="Georgia"/>
        <family val="1"/>
      </rPr>
      <t>5BD-DA17V/EVQE-H6</t>
    </r>
  </si>
  <si>
    <r>
      <rPr>
        <sz val="11"/>
        <rFont val="Georgia"/>
        <family val="1"/>
      </rPr>
      <t>HBD-DA17V/EVQD-H3</t>
    </r>
  </si>
  <si>
    <r>
      <rPr>
        <sz val="11"/>
        <rFont val="Georgia"/>
        <family val="1"/>
      </rPr>
      <t>EVERY  PC</t>
    </r>
  </si>
  <si>
    <r>
      <rPr>
        <sz val="11"/>
        <rFont val="Georgia"/>
        <family val="1"/>
      </rPr>
      <t>HBD-DA17V/EVBD-D2</t>
    </r>
  </si>
  <si>
    <r>
      <rPr>
        <sz val="11"/>
        <rFont val="Georgia"/>
        <family val="1"/>
      </rPr>
      <t>HBD-DA17V/EVQN-H2</t>
    </r>
  </si>
  <si>
    <r>
      <rPr>
        <sz val="11"/>
        <rFont val="Georgia"/>
        <family val="1"/>
      </rPr>
      <t>EVERY  WAGON</t>
    </r>
  </si>
  <si>
    <r>
      <rPr>
        <sz val="11"/>
        <rFont val="Georgia"/>
        <family val="1"/>
      </rPr>
      <t>ABA-DA17W/EHKD-R3</t>
    </r>
  </si>
  <si>
    <r>
      <rPr>
        <sz val="11"/>
        <rFont val="Georgia"/>
        <family val="1"/>
      </rPr>
      <t>EVERY FOR WHEELCHAIR USER CAR</t>
    </r>
  </si>
  <si>
    <r>
      <rPr>
        <sz val="11"/>
        <rFont val="Georgia"/>
        <family val="1"/>
      </rPr>
      <t>5BD-DA17V/EVQD-H4</t>
    </r>
  </si>
  <si>
    <r>
      <rPr>
        <sz val="11"/>
        <rFont val="Georgia"/>
        <family val="1"/>
      </rPr>
      <t>EVERY PC</t>
    </r>
  </si>
  <si>
    <r>
      <rPr>
        <sz val="11"/>
        <rFont val="Georgia"/>
        <family val="1"/>
      </rPr>
      <t>HBD-DA17V/EVBD-3</t>
    </r>
  </si>
  <si>
    <r>
      <rPr>
        <sz val="11"/>
        <rFont val="Georgia"/>
        <family val="1"/>
      </rPr>
      <t>5BD-DA17V/EVBD-4</t>
    </r>
  </si>
  <si>
    <r>
      <rPr>
        <sz val="11"/>
        <rFont val="Georgia"/>
        <family val="1"/>
      </rPr>
      <t>5BD-DA17V/EVBD-J5</t>
    </r>
  </si>
  <si>
    <r>
      <rPr>
        <sz val="11"/>
        <rFont val="Georgia"/>
        <family val="1"/>
      </rPr>
      <t>5BD-DA17V/EVBE-6</t>
    </r>
  </si>
  <si>
    <r>
      <rPr>
        <sz val="11"/>
        <rFont val="Georgia"/>
        <family val="1"/>
      </rPr>
      <t>5BD-DA17V/EVQD-H5</t>
    </r>
  </si>
  <si>
    <r>
      <rPr>
        <sz val="11"/>
        <rFont val="Georgia"/>
        <family val="1"/>
      </rPr>
      <t>EVERY WAGON</t>
    </r>
  </si>
  <si>
    <r>
      <rPr>
        <sz val="11"/>
        <rFont val="Georgia"/>
        <family val="1"/>
      </rPr>
      <t>3BA-DA17W/EHKD-R5</t>
    </r>
  </si>
  <si>
    <r>
      <rPr>
        <sz val="11"/>
        <rFont val="Georgia"/>
        <family val="1"/>
      </rPr>
      <t>3BA-DA17W/EHKD-R4</t>
    </r>
  </si>
  <si>
    <r>
      <rPr>
        <sz val="11"/>
        <rFont val="Georgia"/>
        <family val="1"/>
      </rPr>
      <t>3BA-DA17W/EHKD-RQ3</t>
    </r>
  </si>
  <si>
    <r>
      <rPr>
        <sz val="11"/>
        <rFont val="Georgia"/>
        <family val="1"/>
      </rPr>
      <t>ABA-DA17W/EHKD-R2</t>
    </r>
  </si>
  <si>
    <r>
      <rPr>
        <sz val="11"/>
        <rFont val="Georgia"/>
        <family val="1"/>
      </rPr>
      <t>EVERY WAGON PZ</t>
    </r>
  </si>
  <si>
    <r>
      <rPr>
        <sz val="11"/>
        <rFont val="Georgia"/>
        <family val="1"/>
      </rPr>
      <t>3BA-DA17W/EWDD-5</t>
    </r>
  </si>
  <si>
    <r>
      <rPr>
        <sz val="11"/>
        <rFont val="Georgia"/>
        <family val="1"/>
      </rPr>
      <t>3BA-DA17W/EWDE-6</t>
    </r>
  </si>
  <si>
    <r>
      <rPr>
        <sz val="11"/>
        <rFont val="Georgia"/>
        <family val="1"/>
      </rPr>
      <t>3BA-DA17W/EHKE-R6</t>
    </r>
  </si>
  <si>
    <r>
      <rPr>
        <sz val="11"/>
        <rFont val="Georgia"/>
        <family val="1"/>
      </rPr>
      <t>3BA-DA17W/EWDD-4</t>
    </r>
  </si>
  <si>
    <r>
      <rPr>
        <sz val="11"/>
        <rFont val="Georgia"/>
        <family val="1"/>
      </rPr>
      <t>EVERY WAGON PZ TURBO SPECIAL</t>
    </r>
  </si>
  <si>
    <r>
      <rPr>
        <sz val="11"/>
        <rFont val="Georgia"/>
        <family val="1"/>
      </rPr>
      <t>ABA-DA17W/EWDD-3</t>
    </r>
  </si>
  <si>
    <r>
      <rPr>
        <sz val="11"/>
        <rFont val="Georgia"/>
        <family val="1"/>
      </rPr>
      <t>3BA-DA17W/EWDD-Q3</t>
    </r>
  </si>
  <si>
    <r>
      <rPr>
        <sz val="11"/>
        <rFont val="Georgia"/>
        <family val="1"/>
      </rPr>
      <t>ABA-DA17W/EWDD-2</t>
    </r>
  </si>
  <si>
    <r>
      <rPr>
        <sz val="11"/>
        <rFont val="Georgia"/>
        <family val="1"/>
      </rPr>
      <t>EVERY WAGON PZ TURBO SPECIAL (STANDARD</t>
    </r>
  </si>
  <si>
    <r>
      <rPr>
        <sz val="11"/>
        <rFont val="Georgia"/>
        <family val="1"/>
      </rPr>
      <t>FRONX</t>
    </r>
  </si>
  <si>
    <r>
      <rPr>
        <sz val="11"/>
        <rFont val="Georgia"/>
        <family val="1"/>
      </rPr>
      <t>4AA-WDB3S/XBSK-ZN</t>
    </r>
  </si>
  <si>
    <r>
      <rPr>
        <sz val="11"/>
        <rFont val="Georgia"/>
        <family val="1"/>
      </rPr>
      <t>HUSTLER HYBRID X</t>
    </r>
  </si>
  <si>
    <r>
      <rPr>
        <sz val="11"/>
        <rFont val="Georgia"/>
        <family val="1"/>
      </rPr>
      <t>5AA-MR92S/HBXB-2</t>
    </r>
  </si>
  <si>
    <r>
      <rPr>
        <sz val="11"/>
        <rFont val="Georgia"/>
        <family val="1"/>
      </rPr>
      <t>5AA-MR92S/HBXB-3</t>
    </r>
  </si>
  <si>
    <r>
      <rPr>
        <sz val="11"/>
        <rFont val="Georgia"/>
        <family val="1"/>
      </rPr>
      <t>5AA-MR92S/HBXB-J</t>
    </r>
  </si>
  <si>
    <r>
      <rPr>
        <sz val="11"/>
        <rFont val="Georgia"/>
        <family val="1"/>
      </rPr>
      <t>SAA-MR92S/HBXB-JM</t>
    </r>
  </si>
  <si>
    <r>
      <rPr>
        <sz val="11"/>
        <rFont val="Georgia"/>
        <family val="1"/>
      </rPr>
      <t>HUSTLER J</t>
    </r>
  </si>
  <si>
    <r>
      <rPr>
        <sz val="11"/>
        <rFont val="Georgia"/>
        <family val="1"/>
      </rPr>
      <t>DAA-MR41S/HBJB-B2</t>
    </r>
  </si>
  <si>
    <r>
      <rPr>
        <sz val="11"/>
        <rFont val="Georgia"/>
        <family val="1"/>
      </rPr>
      <t>HUSTLER TOUGH WILD TOUGH WILD</t>
    </r>
  </si>
  <si>
    <r>
      <rPr>
        <sz val="11"/>
        <rFont val="Georgia"/>
        <family val="1"/>
      </rPr>
      <t>5AA-MR92S/HBFB-3</t>
    </r>
  </si>
  <si>
    <r>
      <rPr>
        <sz val="11"/>
        <rFont val="Georgia"/>
        <family val="1"/>
      </rPr>
      <t>HUSTLER X</t>
    </r>
  </si>
  <si>
    <r>
      <rPr>
        <sz val="11"/>
        <rFont val="Georgia"/>
        <family val="1"/>
      </rPr>
      <t>DAA-MR41S/HBXB-2</t>
    </r>
  </si>
  <si>
    <r>
      <rPr>
        <sz val="11"/>
        <rFont val="Georgia"/>
        <family val="1"/>
      </rPr>
      <t>IGNIS HYBRID MF</t>
    </r>
  </si>
  <si>
    <r>
      <rPr>
        <sz val="11"/>
        <rFont val="Georgia"/>
        <family val="1"/>
      </rPr>
      <t>5AA-FF21S/PBFB-J4</t>
    </r>
  </si>
  <si>
    <r>
      <rPr>
        <sz val="11"/>
        <rFont val="Georgia"/>
        <family val="1"/>
      </rPr>
      <t>5AA-FF21S/PBFB-J3</t>
    </r>
  </si>
  <si>
    <r>
      <rPr>
        <sz val="11"/>
        <rFont val="Georgia"/>
        <family val="1"/>
      </rPr>
      <t>5AA-FF21S/PBFB-JM2</t>
    </r>
  </si>
  <si>
    <r>
      <rPr>
        <sz val="11"/>
        <rFont val="Georgia"/>
        <family val="1"/>
      </rPr>
      <t>IGNIS HYBRID MZ</t>
    </r>
  </si>
  <si>
    <r>
      <rPr>
        <sz val="11"/>
        <rFont val="Georgia"/>
        <family val="1"/>
      </rPr>
      <t>DAA-FF21S/PBZB-J</t>
    </r>
  </si>
  <si>
    <r>
      <rPr>
        <sz val="11"/>
        <rFont val="Georgia"/>
        <family val="1"/>
      </rPr>
      <t>JIMNY SIERRA</t>
    </r>
  </si>
  <si>
    <r>
      <rPr>
        <sz val="11"/>
        <rFont val="Georgia"/>
        <family val="1"/>
      </rPr>
      <t>ABA-JB43W/GWZJ-Y9</t>
    </r>
  </si>
  <si>
    <r>
      <rPr>
        <sz val="11"/>
        <rFont val="Georgia"/>
        <family val="1"/>
      </rPr>
      <t>JIMNY SIERRA JC</t>
    </r>
  </si>
  <si>
    <r>
      <rPr>
        <sz val="11"/>
        <rFont val="Georgia"/>
        <family val="1"/>
      </rPr>
      <t>3BA-JB74W/GJCU-J2</t>
    </r>
  </si>
  <si>
    <r>
      <rPr>
        <sz val="11"/>
        <rFont val="Georgia"/>
        <family val="1"/>
      </rPr>
      <t>3BA-JB74W/GJCU-J3</t>
    </r>
  </si>
  <si>
    <r>
      <rPr>
        <sz val="11"/>
        <rFont val="Georgia"/>
        <family val="1"/>
      </rPr>
      <t>3BA-JB74W/GJCU-4</t>
    </r>
  </si>
  <si>
    <r>
      <rPr>
        <sz val="11"/>
        <rFont val="Georgia"/>
        <family val="1"/>
      </rPr>
      <t>3BA-JB74W/GJCR-J</t>
    </r>
  </si>
  <si>
    <r>
      <rPr>
        <sz val="11"/>
        <rFont val="Georgia"/>
        <family val="1"/>
      </rPr>
      <t>3BA-JB84W/GJCR-J</t>
    </r>
  </si>
  <si>
    <r>
      <rPr>
        <sz val="11"/>
        <rFont val="Georgia"/>
        <family val="1"/>
      </rPr>
      <t>JIMNY XC</t>
    </r>
  </si>
  <si>
    <r>
      <rPr>
        <sz val="11"/>
        <rFont val="Georgia"/>
        <family val="1"/>
      </rPr>
      <t>3BA-JB64W/JXCU-J3</t>
    </r>
  </si>
  <si>
    <r>
      <rPr>
        <sz val="11"/>
        <rFont val="Georgia"/>
        <family val="1"/>
      </rPr>
      <t>3BA-JB64W/JXCU-4</t>
    </r>
  </si>
  <si>
    <r>
      <rPr>
        <sz val="11"/>
        <rFont val="Georgia"/>
        <family val="1"/>
      </rPr>
      <t>3BA-JB64W/JXCR-J</t>
    </r>
  </si>
  <si>
    <r>
      <rPr>
        <sz val="11"/>
        <rFont val="Georgia"/>
        <family val="1"/>
      </rPr>
      <t>3BA-JB64W/JXCU-J2</t>
    </r>
  </si>
  <si>
    <r>
      <rPr>
        <sz val="11"/>
        <rFont val="Georgia"/>
        <family val="1"/>
      </rPr>
      <t>ABA-JB23W/JXCU-DT</t>
    </r>
  </si>
  <si>
    <r>
      <rPr>
        <sz val="11"/>
        <rFont val="Georgia"/>
        <family val="1"/>
      </rPr>
      <t>LANDY 2.0G</t>
    </r>
  </si>
  <si>
    <r>
      <rPr>
        <sz val="11"/>
        <rFont val="Georgia"/>
        <family val="1"/>
      </rPr>
      <t>DAA-SGC27/LGBE-Q</t>
    </r>
  </si>
  <si>
    <r>
      <rPr>
        <sz val="11"/>
        <rFont val="Georgia"/>
        <family val="1"/>
      </rPr>
      <t>5AA-SGC27/LGBB-Q2</t>
    </r>
  </si>
  <si>
    <r>
      <rPr>
        <sz val="11"/>
        <rFont val="Georgia"/>
        <family val="1"/>
      </rPr>
      <t>LANDY HYBRID G</t>
    </r>
  </si>
  <si>
    <r>
      <rPr>
        <sz val="11"/>
        <rFont val="Georgia"/>
        <family val="1"/>
      </rPr>
      <t>6AA-ZWR90C/LBGV</t>
    </r>
  </si>
  <si>
    <r>
      <rPr>
        <sz val="11"/>
        <rFont val="Georgia"/>
        <family val="1"/>
      </rPr>
      <t>LAPIN LC</t>
    </r>
  </si>
  <si>
    <r>
      <rPr>
        <sz val="11"/>
        <rFont val="Georgia"/>
        <family val="1"/>
      </rPr>
      <t>5BA-HE33S/NSXE-5</t>
    </r>
  </si>
  <si>
    <r>
      <rPr>
        <sz val="11"/>
        <rFont val="Georgia"/>
        <family val="1"/>
      </rPr>
      <t>LAPIN LC X</t>
    </r>
  </si>
  <si>
    <r>
      <rPr>
        <sz val="11"/>
        <rFont val="Georgia"/>
        <family val="1"/>
      </rPr>
      <t>5BA-HE33S/NSXE-4</t>
    </r>
  </si>
  <si>
    <r>
      <rPr>
        <sz val="11"/>
        <rFont val="Georgia"/>
        <family val="1"/>
      </rPr>
      <t>LAPIN X</t>
    </r>
  </si>
  <si>
    <r>
      <rPr>
        <sz val="11"/>
        <rFont val="Georgia"/>
        <family val="1"/>
      </rPr>
      <t>5BA-HE33S/NBXE-4</t>
    </r>
  </si>
  <si>
    <r>
      <rPr>
        <sz val="11"/>
        <rFont val="Georgia"/>
        <family val="1"/>
      </rPr>
      <t>5BA-HE33S/NBXE-5</t>
    </r>
  </si>
  <si>
    <r>
      <rPr>
        <sz val="11"/>
        <rFont val="Georgia"/>
        <family val="1"/>
      </rPr>
      <t>DBA-HE33S/NBXE-2</t>
    </r>
  </si>
  <si>
    <r>
      <rPr>
        <sz val="11"/>
        <rFont val="Georgia"/>
        <family val="1"/>
      </rPr>
      <t>5BA-HE33S/NBXE-3</t>
    </r>
  </si>
  <si>
    <r>
      <rPr>
        <sz val="11"/>
        <rFont val="Georgia"/>
        <family val="1"/>
      </rPr>
      <t>5BA-HE33S/NBXE-M3</t>
    </r>
  </si>
  <si>
    <r>
      <rPr>
        <sz val="11"/>
        <rFont val="Georgia"/>
        <family val="1"/>
      </rPr>
      <t>DBA-HE33S/NBXE</t>
    </r>
  </si>
  <si>
    <r>
      <rPr>
        <sz val="11"/>
        <rFont val="Georgia"/>
        <family val="1"/>
      </rPr>
      <t>Pixis Deluxe</t>
    </r>
  </si>
  <si>
    <r>
      <rPr>
        <sz val="11"/>
        <rFont val="Georgia"/>
        <family val="1"/>
      </rPr>
      <t>EBD-S321M-ZMDF</t>
    </r>
  </si>
  <si>
    <r>
      <rPr>
        <sz val="11"/>
        <rFont val="Georgia"/>
        <family val="1"/>
      </rPr>
      <t>HBD-DA17V/EVBN-D2</t>
    </r>
  </si>
  <si>
    <r>
      <rPr>
        <sz val="11"/>
        <rFont val="Georgia"/>
        <family val="1"/>
      </rPr>
      <t>1320(1330)</t>
    </r>
  </si>
  <si>
    <r>
      <rPr>
        <sz val="11"/>
        <rFont val="Georgia"/>
        <family val="1"/>
      </rPr>
      <t>SOLIO BANDIT HYBRID MV</t>
    </r>
  </si>
  <si>
    <r>
      <rPr>
        <sz val="11"/>
        <rFont val="Georgia"/>
        <family val="1"/>
      </rPr>
      <t>5AA-MA37S/FSVB-J</t>
    </r>
  </si>
  <si>
    <r>
      <rPr>
        <sz val="11"/>
        <rFont val="Georgia"/>
        <family val="1"/>
      </rPr>
      <t>DAA-MA36S/FSVB-JR2</t>
    </r>
  </si>
  <si>
    <r>
      <rPr>
        <sz val="11"/>
        <rFont val="Georgia"/>
        <family val="1"/>
      </rPr>
      <t>SOLIO BANDIT HYBRID SV</t>
    </r>
  </si>
  <si>
    <r>
      <rPr>
        <sz val="11"/>
        <rFont val="Georgia"/>
        <family val="1"/>
      </rPr>
      <t>5AA-MA47S/FSVH-JR2</t>
    </r>
  </si>
  <si>
    <r>
      <rPr>
        <sz val="11"/>
        <rFont val="Georgia"/>
        <family val="1"/>
      </rPr>
      <t>DAA-MA46S/FSVH-JRM2</t>
    </r>
  </si>
  <si>
    <r>
      <rPr>
        <sz val="11"/>
        <rFont val="Georgia"/>
        <family val="1"/>
      </rPr>
      <t>DAA-MA46S/FSVH</t>
    </r>
  </si>
  <si>
    <r>
      <rPr>
        <sz val="11"/>
        <rFont val="Georgia"/>
        <family val="1"/>
      </rPr>
      <t>SOLIO HYBRID MZ</t>
    </r>
  </si>
  <si>
    <r>
      <rPr>
        <sz val="11"/>
        <rFont val="Georgia"/>
        <family val="1"/>
      </rPr>
      <t>5AA-MSA37S/FBZB-J</t>
    </r>
  </si>
  <si>
    <r>
      <rPr>
        <sz val="11"/>
        <rFont val="Georgia"/>
        <family val="1"/>
      </rPr>
      <t>DAA-MA36S/FBZB-J2</t>
    </r>
  </si>
  <si>
    <r>
      <rPr>
        <sz val="11"/>
        <rFont val="Georgia"/>
        <family val="1"/>
      </rPr>
      <t>SOLIO HYBRID SV</t>
    </r>
  </si>
  <si>
    <r>
      <rPr>
        <sz val="11"/>
        <rFont val="Georgia"/>
        <family val="1"/>
      </rPr>
      <t>5AA-M47S/FBZH-J2</t>
    </r>
  </si>
  <si>
    <r>
      <rPr>
        <sz val="11"/>
        <rFont val="Georgia"/>
        <family val="1"/>
      </rPr>
      <t>SOLIO HYBRID SZ</t>
    </r>
  </si>
  <si>
    <r>
      <rPr>
        <sz val="11"/>
        <rFont val="Georgia"/>
        <family val="1"/>
      </rPr>
      <t>5AA-MA47S/FBZH-J2</t>
    </r>
  </si>
  <si>
    <r>
      <rPr>
        <sz val="11"/>
        <rFont val="Georgia"/>
        <family val="1"/>
      </rPr>
      <t>5AA-MA47S/FSV-JR2</t>
    </r>
  </si>
  <si>
    <r>
      <rPr>
        <sz val="11"/>
        <rFont val="Georgia"/>
        <family val="1"/>
      </rPr>
      <t>DAA-MA46S/FBZH-JM2</t>
    </r>
  </si>
  <si>
    <r>
      <rPr>
        <sz val="11"/>
        <rFont val="Georgia"/>
        <family val="1"/>
      </rPr>
      <t>DAA-MAA46/FBZH</t>
    </r>
  </si>
  <si>
    <r>
      <rPr>
        <sz val="11"/>
        <rFont val="Georgia"/>
        <family val="1"/>
      </rPr>
      <t>SPACIA</t>
    </r>
  </si>
  <si>
    <r>
      <rPr>
        <sz val="11"/>
        <rFont val="Georgia"/>
        <family val="1"/>
      </rPr>
      <t>DAA-MK42S/ZBKB-JRA2</t>
    </r>
  </si>
  <si>
    <r>
      <rPr>
        <sz val="11"/>
        <rFont val="Georgia"/>
        <family val="1"/>
      </rPr>
      <t>SPACIA BASE XF</t>
    </r>
  </si>
  <si>
    <r>
      <rPr>
        <sz val="11"/>
        <rFont val="Georgia"/>
        <family val="1"/>
      </rPr>
      <t>5BD-MK33V/ZGXE-2</t>
    </r>
  </si>
  <si>
    <r>
      <rPr>
        <sz val="11"/>
        <rFont val="Georgia"/>
        <family val="1"/>
      </rPr>
      <t>5BD-MK33V/ZGXE</t>
    </r>
  </si>
  <si>
    <r>
      <rPr>
        <sz val="11"/>
        <rFont val="Georgia"/>
        <family val="1"/>
      </rPr>
      <t>SPACIA CUSTOM HYBRID XS</t>
    </r>
  </si>
  <si>
    <r>
      <rPr>
        <sz val="11"/>
        <rFont val="Georgia"/>
        <family val="1"/>
      </rPr>
      <t>5AA-MKA94S/ZSXB</t>
    </r>
  </si>
  <si>
    <r>
      <rPr>
        <sz val="11"/>
        <rFont val="Georgia"/>
        <family val="1"/>
      </rPr>
      <t>SPACIA CUSTOM  HYBRID XS</t>
    </r>
  </si>
  <si>
    <r>
      <rPr>
        <sz val="11"/>
        <rFont val="Georgia"/>
        <family val="1"/>
      </rPr>
      <t>4AA-MK53S/ZTXB-J2</t>
    </r>
  </si>
  <si>
    <r>
      <rPr>
        <sz val="11"/>
        <rFont val="Georgia"/>
        <family val="1"/>
      </rPr>
      <t>4AA-MK53S/ZTXB-3</t>
    </r>
  </si>
  <si>
    <r>
      <rPr>
        <sz val="11"/>
        <rFont val="Georgia"/>
        <family val="1"/>
      </rPr>
      <t>SPACIA CUSTOM HYBRID XS TURBO</t>
    </r>
  </si>
  <si>
    <r>
      <rPr>
        <sz val="11"/>
        <rFont val="Georgia"/>
        <family val="1"/>
      </rPr>
      <t>DAA-MK53S/ZTXB-J</t>
    </r>
  </si>
  <si>
    <r>
      <rPr>
        <sz val="11"/>
        <rFont val="Georgia"/>
        <family val="1"/>
      </rPr>
      <t>SPACIA CUSTOM XS TURBO</t>
    </r>
  </si>
  <si>
    <r>
      <rPr>
        <sz val="11"/>
        <rFont val="Georgia"/>
        <family val="1"/>
      </rPr>
      <t>SPACIA CUSTOM Z TURBO</t>
    </r>
  </si>
  <si>
    <r>
      <rPr>
        <sz val="11"/>
        <rFont val="Georgia"/>
        <family val="1"/>
      </rPr>
      <t>DAA-MK42S/ZTZB-A</t>
    </r>
  </si>
  <si>
    <r>
      <rPr>
        <sz val="11"/>
        <rFont val="Georgia"/>
        <family val="1"/>
      </rPr>
      <t>SPACIA GEAR HYBRID GEAR XZ TURBO</t>
    </r>
  </si>
  <si>
    <r>
      <rPr>
        <sz val="11"/>
        <rFont val="Georgia"/>
        <family val="1"/>
      </rPr>
      <t>DAA-MK53S/ZTZB-J</t>
    </r>
  </si>
  <si>
    <r>
      <rPr>
        <sz val="11"/>
        <rFont val="Georgia"/>
        <family val="1"/>
      </rPr>
      <t>SPACIA GEAR HYBRID XZ</t>
    </r>
  </si>
  <si>
    <r>
      <rPr>
        <sz val="11"/>
        <rFont val="Georgia"/>
        <family val="1"/>
      </rPr>
      <t>5AA-MK94S/ZSZB</t>
    </r>
  </si>
  <si>
    <r>
      <rPr>
        <sz val="11"/>
        <rFont val="Georgia"/>
        <family val="1"/>
      </rPr>
      <t>SPACIA GEAR HYBRID XZ TURBO</t>
    </r>
  </si>
  <si>
    <r>
      <rPr>
        <sz val="11"/>
        <rFont val="Georgia"/>
        <family val="1"/>
      </rPr>
      <t>4AA-MK53S/ZTZB-3</t>
    </r>
  </si>
  <si>
    <r>
      <rPr>
        <sz val="11"/>
        <rFont val="Georgia"/>
        <family val="1"/>
      </rPr>
      <t>4AA-MK53S/ZTZB-JK2</t>
    </r>
  </si>
  <si>
    <r>
      <rPr>
        <sz val="11"/>
        <rFont val="Georgia"/>
        <family val="1"/>
      </rPr>
      <t>SPACIA GEAR XZ</t>
    </r>
  </si>
  <si>
    <r>
      <rPr>
        <sz val="11"/>
        <rFont val="Georgia"/>
        <family val="1"/>
      </rPr>
      <t>SPACIA HYBRID</t>
    </r>
  </si>
  <si>
    <r>
      <rPr>
        <sz val="11"/>
        <rFont val="Georgia"/>
        <family val="1"/>
      </rPr>
      <t>5AA-MK53A/ZBKB-JHR2</t>
    </r>
  </si>
  <si>
    <r>
      <rPr>
        <sz val="11"/>
        <rFont val="Georgia"/>
        <family val="1"/>
      </rPr>
      <t>SPACIA HYBRID X</t>
    </r>
  </si>
  <si>
    <r>
      <rPr>
        <sz val="11"/>
        <rFont val="Georgia"/>
        <family val="1"/>
      </rPr>
      <t>5AA-MK53S/ZBXB-3</t>
    </r>
  </si>
  <si>
    <r>
      <rPr>
        <sz val="11"/>
        <rFont val="Georgia"/>
        <family val="1"/>
      </rPr>
      <t>5AA-MK53S/ZBKB-HR3</t>
    </r>
  </si>
  <si>
    <r>
      <rPr>
        <sz val="11"/>
        <rFont val="Georgia"/>
        <family val="1"/>
      </rPr>
      <t>5AA-MKA94S/ZBXB</t>
    </r>
  </si>
  <si>
    <r>
      <rPr>
        <sz val="11"/>
        <rFont val="Georgia"/>
        <family val="1"/>
      </rPr>
      <t>5BA-MK94S/ZBKB-R</t>
    </r>
  </si>
  <si>
    <r>
      <rPr>
        <sz val="11"/>
        <rFont val="Georgia"/>
        <family val="1"/>
      </rPr>
      <t>5AA-MK53S/ZBXB-J2</t>
    </r>
  </si>
  <si>
    <r>
      <rPr>
        <sz val="11"/>
        <rFont val="Georgia"/>
        <family val="1"/>
      </rPr>
      <t>5A-MK53S/ZBKB-JHR2</t>
    </r>
  </si>
  <si>
    <r>
      <rPr>
        <sz val="11"/>
        <rFont val="Georgia"/>
        <family val="1"/>
      </rPr>
      <t>5AA-MK53S/ZBXB-JK2</t>
    </r>
  </si>
  <si>
    <r>
      <rPr>
        <sz val="11"/>
        <rFont val="Georgia"/>
        <family val="1"/>
      </rPr>
      <t>DAA-MK53S/ZBXB-J</t>
    </r>
  </si>
  <si>
    <r>
      <rPr>
        <sz val="11"/>
        <rFont val="Georgia"/>
        <family val="1"/>
      </rPr>
      <t>DAA-MK53S/ZBKB-JHR</t>
    </r>
  </si>
  <si>
    <r>
      <rPr>
        <sz val="11"/>
        <rFont val="Georgia"/>
        <family val="1"/>
      </rPr>
      <t>DAA-MK53A/ZBKB-JHR</t>
    </r>
  </si>
  <si>
    <r>
      <rPr>
        <sz val="11"/>
        <rFont val="Georgia"/>
        <family val="1"/>
      </rPr>
      <t>SPACIA HYBRID XS TURBO</t>
    </r>
  </si>
  <si>
    <r>
      <rPr>
        <sz val="11"/>
        <rFont val="Georgia"/>
        <family val="1"/>
      </rPr>
      <t>4AA-MK53S/ZTXTB-JK2</t>
    </r>
  </si>
  <si>
    <r>
      <rPr>
        <sz val="11"/>
        <rFont val="Georgia"/>
        <family val="1"/>
      </rPr>
      <t>SPACIA X</t>
    </r>
  </si>
  <si>
    <r>
      <rPr>
        <sz val="11"/>
        <rFont val="Georgia"/>
        <family val="1"/>
      </rPr>
      <t>DAA-MK42S/ZBXB-JA2</t>
    </r>
  </si>
  <si>
    <r>
      <rPr>
        <sz val="11"/>
        <rFont val="Georgia"/>
        <family val="1"/>
      </rPr>
      <t>SUPER CARRY X</t>
    </r>
  </si>
  <si>
    <r>
      <rPr>
        <sz val="11"/>
        <rFont val="Georgia"/>
        <family val="1"/>
      </rPr>
      <t>3BD-DA16T/KSXJ-H5</t>
    </r>
  </si>
  <si>
    <r>
      <rPr>
        <sz val="11"/>
        <rFont val="Georgia"/>
        <family val="1"/>
      </rPr>
      <t>EBD-DA16T/KSXJ-2</t>
    </r>
  </si>
  <si>
    <r>
      <rPr>
        <sz val="11"/>
        <rFont val="Georgia"/>
        <family val="1"/>
      </rPr>
      <t>3BD-DA16T/KSXJ-4</t>
    </r>
  </si>
  <si>
    <r>
      <rPr>
        <sz val="11"/>
        <rFont val="Georgia"/>
        <family val="1"/>
      </rPr>
      <t>3BD-DA16T/KSXJ-3</t>
    </r>
  </si>
  <si>
    <r>
      <rPr>
        <sz val="11"/>
        <rFont val="Georgia"/>
        <family val="1"/>
      </rPr>
      <t>EBD-DA16T/KSXJ</t>
    </r>
  </si>
  <si>
    <r>
      <rPr>
        <sz val="11"/>
        <rFont val="Georgia"/>
        <family val="1"/>
      </rPr>
      <t>SWIFT HYBRID MZ</t>
    </r>
  </si>
  <si>
    <r>
      <rPr>
        <sz val="11"/>
        <rFont val="Georgia"/>
        <family val="1"/>
      </rPr>
      <t>5AA-ZCEDS/VBZB-ZC</t>
    </r>
  </si>
  <si>
    <r>
      <rPr>
        <sz val="11"/>
        <rFont val="Georgia"/>
        <family val="1"/>
      </rPr>
      <t>SWIFT HYBRID RS</t>
    </r>
  </si>
  <si>
    <r>
      <rPr>
        <sz val="11"/>
        <rFont val="Georgia"/>
        <family val="1"/>
      </rPr>
      <t>5AA-ZC53S/VBRB-3</t>
    </r>
  </si>
  <si>
    <r>
      <rPr>
        <sz val="11"/>
        <rFont val="Georgia"/>
        <family val="1"/>
      </rPr>
      <t>DAA-ZC53S/VBR</t>
    </r>
  </si>
  <si>
    <r>
      <rPr>
        <sz val="11"/>
        <rFont val="Georgia"/>
        <family val="1"/>
      </rPr>
      <t>SWIFT HYBRID SL</t>
    </r>
  </si>
  <si>
    <r>
      <rPr>
        <sz val="11"/>
        <rFont val="Georgia"/>
        <family val="1"/>
      </rPr>
      <t>DAA-ZC33S/VBRM</t>
    </r>
  </si>
  <si>
    <r>
      <rPr>
        <sz val="11"/>
        <rFont val="Georgia"/>
        <family val="1"/>
      </rPr>
      <t>SWIFT HYBRID SZ</t>
    </r>
  </si>
  <si>
    <r>
      <rPr>
        <sz val="11"/>
        <rFont val="Georgia"/>
        <family val="1"/>
      </rPr>
      <t>5AA-ZC43S/VBZH-2</t>
    </r>
  </si>
  <si>
    <r>
      <rPr>
        <sz val="11"/>
        <rFont val="Georgia"/>
        <family val="1"/>
      </rPr>
      <t>5AA-AZ43S/VBZH-M2</t>
    </r>
  </si>
  <si>
    <r>
      <rPr>
        <sz val="11"/>
        <rFont val="Georgia"/>
        <family val="1"/>
      </rPr>
      <t>SWIFT SPORT</t>
    </r>
  </si>
  <si>
    <r>
      <rPr>
        <sz val="11"/>
        <rFont val="Georgia"/>
        <family val="1"/>
      </rPr>
      <t>5BA-ZC33S/VBRK-J4</t>
    </r>
  </si>
  <si>
    <r>
      <rPr>
        <sz val="11"/>
        <rFont val="Georgia"/>
        <family val="1"/>
      </rPr>
      <t>4BA-ZC33S/VBRM-J3</t>
    </r>
  </si>
  <si>
    <r>
      <rPr>
        <sz val="11"/>
        <rFont val="Georgia"/>
        <family val="1"/>
      </rPr>
      <t>5AA-M47S/VBRK-J4</t>
    </r>
  </si>
  <si>
    <r>
      <rPr>
        <sz val="11"/>
        <rFont val="Georgia"/>
        <family val="1"/>
      </rPr>
      <t>4BA-ZC33S/VBRM-JM2</t>
    </r>
  </si>
  <si>
    <r>
      <rPr>
        <sz val="11"/>
        <rFont val="Georgia"/>
        <family val="1"/>
      </rPr>
      <t>6NT</t>
    </r>
  </si>
  <si>
    <r>
      <rPr>
        <sz val="11"/>
        <rFont val="Georgia"/>
        <family val="1"/>
      </rPr>
      <t>CBA-ZC33S/VBRM</t>
    </r>
  </si>
  <si>
    <r>
      <rPr>
        <sz val="11"/>
        <rFont val="Georgia"/>
        <family val="1"/>
      </rPr>
      <t>4BA-ZC33S/VBRM-J2</t>
    </r>
  </si>
  <si>
    <r>
      <rPr>
        <sz val="11"/>
        <rFont val="Georgia"/>
        <family val="1"/>
      </rPr>
      <t>SX S-CROSS</t>
    </r>
  </si>
  <si>
    <r>
      <rPr>
        <sz val="11"/>
        <rFont val="Georgia"/>
        <family val="1"/>
      </rPr>
      <t>DBA-YA22S/QBSE-2</t>
    </r>
  </si>
  <si>
    <r>
      <rPr>
        <sz val="11"/>
        <rFont val="Georgia"/>
        <family val="1"/>
      </rPr>
      <t>SX4 S-CROSS</t>
    </r>
  </si>
  <si>
    <r>
      <rPr>
        <sz val="11"/>
        <rFont val="Georgia"/>
        <family val="1"/>
      </rPr>
      <t>DBA-YA22S/QBSK-3</t>
    </r>
  </si>
  <si>
    <r>
      <rPr>
        <sz val="11"/>
        <rFont val="Georgia"/>
        <family val="1"/>
      </rPr>
      <t>WAGON R</t>
    </r>
  </si>
  <si>
    <r>
      <rPr>
        <sz val="11"/>
        <rFont val="Georgia"/>
        <family val="1"/>
      </rPr>
      <t>5BA-MH85S/WFBE-A4</t>
    </r>
  </si>
  <si>
    <r>
      <rPr>
        <sz val="11"/>
        <rFont val="Georgia"/>
        <family val="1"/>
      </rPr>
      <t>5BA-MH85S/WFBE-A3</t>
    </r>
  </si>
  <si>
    <r>
      <rPr>
        <sz val="11"/>
        <rFont val="Georgia"/>
        <family val="1"/>
      </rPr>
      <t>DBA-MH35S/WFBE-AJ</t>
    </r>
  </si>
  <si>
    <r>
      <rPr>
        <sz val="11"/>
        <rFont val="Georgia"/>
        <family val="1"/>
      </rPr>
      <t>5BA-MH85S/WFBE-AJ2</t>
    </r>
  </si>
  <si>
    <r>
      <rPr>
        <sz val="11"/>
        <rFont val="Georgia"/>
        <family val="1"/>
      </rPr>
      <t>WAGON HYBRID FX-S</t>
    </r>
  </si>
  <si>
    <r>
      <rPr>
        <sz val="11"/>
        <rFont val="Georgia"/>
        <family val="1"/>
      </rPr>
      <t>5AA-MH95S/WFXB-A4</t>
    </r>
  </si>
  <si>
    <r>
      <rPr>
        <sz val="11"/>
        <rFont val="Georgia"/>
        <family val="1"/>
      </rPr>
      <t>WAGON R CUSTOM HYBRID ZT</t>
    </r>
  </si>
  <si>
    <r>
      <rPr>
        <sz val="11"/>
        <rFont val="Georgia"/>
        <family val="1"/>
      </rPr>
      <t>4AA-MH55S/WZTB-A4</t>
    </r>
  </si>
  <si>
    <r>
      <rPr>
        <sz val="11"/>
        <rFont val="Georgia"/>
        <family val="1"/>
      </rPr>
      <t>WAGON R CUSTOM Z</t>
    </r>
  </si>
  <si>
    <r>
      <rPr>
        <sz val="11"/>
        <rFont val="Georgia"/>
        <family val="1"/>
      </rPr>
      <t>5BA-MH85S/WZQE-A3</t>
    </r>
  </si>
  <si>
    <r>
      <rPr>
        <sz val="11"/>
        <rFont val="Georgia"/>
        <family val="1"/>
      </rPr>
      <t>5BA-MH85S/WZQE-A4</t>
    </r>
  </si>
  <si>
    <r>
      <rPr>
        <sz val="11"/>
        <rFont val="Georgia"/>
        <family val="1"/>
      </rPr>
      <t>WAGON R FX</t>
    </r>
  </si>
  <si>
    <r>
      <rPr>
        <sz val="11"/>
        <rFont val="Georgia"/>
        <family val="1"/>
      </rPr>
      <t>DBA-MH35S/WSKE-AJ</t>
    </r>
  </si>
  <si>
    <r>
      <rPr>
        <sz val="11"/>
        <rFont val="Georgia"/>
        <family val="1"/>
      </rPr>
      <t>WAGON R HYBRID FX-S</t>
    </r>
  </si>
  <si>
    <r>
      <rPr>
        <sz val="11"/>
        <rFont val="Georgia"/>
        <family val="1"/>
      </rPr>
      <t>5AA-MH95SS/WFXB-A3</t>
    </r>
  </si>
  <si>
    <r>
      <rPr>
        <sz val="11"/>
        <rFont val="Georgia"/>
        <family val="1"/>
      </rPr>
      <t>WAGON R HYBRID FZ</t>
    </r>
  </si>
  <si>
    <r>
      <rPr>
        <sz val="11"/>
        <rFont val="Georgia"/>
        <family val="1"/>
      </rPr>
      <t>DAA-MH55S/WFZB-MJ</t>
    </r>
  </si>
  <si>
    <r>
      <rPr>
        <sz val="11"/>
        <rFont val="Georgia"/>
        <family val="1"/>
      </rPr>
      <t>5AA-MH95S/WFZB-AJ2</t>
    </r>
  </si>
  <si>
    <r>
      <rPr>
        <sz val="11"/>
        <rFont val="Georgia"/>
        <family val="1"/>
      </rPr>
      <t>5AA-MH95S/WFZB-MJ2</t>
    </r>
  </si>
  <si>
    <r>
      <rPr>
        <sz val="11"/>
        <rFont val="Georgia"/>
        <family val="1"/>
      </rPr>
      <t>DAA-MH55S/WFZB-A</t>
    </r>
  </si>
  <si>
    <r>
      <rPr>
        <sz val="11"/>
        <rFont val="Georgia"/>
        <family val="1"/>
      </rPr>
      <t>WAGON R SMILE HYBRID X</t>
    </r>
  </si>
  <si>
    <r>
      <rPr>
        <sz val="11"/>
        <rFont val="Georgia"/>
        <family val="1"/>
      </rPr>
      <t>5AA-MX91S/SBXB-2</t>
    </r>
  </si>
  <si>
    <r>
      <rPr>
        <sz val="11"/>
        <rFont val="Georgia"/>
        <family val="1"/>
      </rPr>
      <t>5AA-MX91S/SBXB</t>
    </r>
  </si>
  <si>
    <r>
      <rPr>
        <sz val="11"/>
        <rFont val="Georgia"/>
        <family val="1"/>
      </rPr>
      <t>WAGON R STINGRAY</t>
    </r>
  </si>
  <si>
    <r>
      <rPr>
        <sz val="11"/>
        <rFont val="Georgia"/>
        <family val="1"/>
      </rPr>
      <t>WAGON R STINGRAY HYBRID T</t>
    </r>
  </si>
  <si>
    <r>
      <rPr>
        <sz val="11"/>
        <rFont val="Georgia"/>
        <family val="1"/>
      </rPr>
      <t>4AA-MH55S/WZTB-A3</t>
    </r>
  </si>
  <si>
    <r>
      <rPr>
        <sz val="11"/>
        <rFont val="Georgia"/>
        <family val="1"/>
      </rPr>
      <t>4AA-MH55S/WSTB-A4</t>
    </r>
  </si>
  <si>
    <r>
      <rPr>
        <sz val="11"/>
        <rFont val="Georgia"/>
        <family val="1"/>
      </rPr>
      <t>DAA-MH55S/WSTB-MJ</t>
    </r>
  </si>
  <si>
    <r>
      <rPr>
        <sz val="11"/>
        <rFont val="Georgia"/>
        <family val="1"/>
      </rPr>
      <t>4AA-MH55S/WSTB-AJ2</t>
    </r>
  </si>
  <si>
    <r>
      <rPr>
        <sz val="11"/>
        <rFont val="Georgia"/>
        <family val="1"/>
      </rPr>
      <t>4AA-MH55S/WSTB-MJ2</t>
    </r>
  </si>
  <si>
    <r>
      <rPr>
        <sz val="11"/>
        <rFont val="Georgia"/>
        <family val="1"/>
      </rPr>
      <t>DAA-MH55S/WSTB-AJ</t>
    </r>
  </si>
  <si>
    <r>
      <rPr>
        <sz val="11"/>
        <rFont val="Georgia"/>
        <family val="1"/>
      </rPr>
      <t>WAGON R STINGRAY L</t>
    </r>
  </si>
  <si>
    <r>
      <rPr>
        <sz val="11"/>
        <rFont val="Georgia"/>
        <family val="1"/>
      </rPr>
      <t>WAGON R STINGRAY X</t>
    </r>
  </si>
  <si>
    <r>
      <rPr>
        <sz val="11"/>
        <rFont val="Georgia"/>
        <family val="1"/>
      </rPr>
      <t>5BA-MH85S/WSKE-AJ2</t>
    </r>
  </si>
  <si>
    <r>
      <rPr>
        <sz val="11"/>
        <rFont val="Georgia"/>
        <family val="1"/>
      </rPr>
      <t>WAGONV R CUSTOM Z HYBRID ZT</t>
    </r>
  </si>
  <si>
    <r>
      <rPr>
        <sz val="11"/>
        <rFont val="Georgia"/>
        <family val="1"/>
      </rPr>
      <t>XBEE HYBRID HYBRID MZ</t>
    </r>
  </si>
  <si>
    <r>
      <rPr>
        <sz val="11"/>
        <rFont val="Georgia"/>
        <family val="1"/>
      </rPr>
      <t>DAA-MN71S/CBZK-J</t>
    </r>
  </si>
  <si>
    <r>
      <rPr>
        <sz val="11"/>
        <rFont val="Georgia"/>
        <family val="1"/>
      </rPr>
      <t>XBEE HYBRID MZ</t>
    </r>
  </si>
  <si>
    <r>
      <rPr>
        <sz val="11"/>
        <rFont val="Georgia"/>
        <family val="1"/>
      </rPr>
      <t>4AA-MN71S/CBZK-J3</t>
    </r>
  </si>
  <si>
    <r>
      <rPr>
        <sz val="11"/>
        <rFont val="Georgia"/>
        <family val="1"/>
      </rPr>
      <t>4AA-MN71S/CBZK-J4</t>
    </r>
  </si>
  <si>
    <r>
      <rPr>
        <sz val="11"/>
        <rFont val="Georgia"/>
        <family val="1"/>
      </rPr>
      <t>4AA-MN71S/CBZK-J2</t>
    </r>
  </si>
  <si>
    <r>
      <rPr>
        <sz val="11"/>
        <rFont val="Georgia"/>
        <family val="1"/>
      </rPr>
      <t>4AA-MN71S/CBZK-JM2</t>
    </r>
  </si>
  <si>
    <r>
      <rPr>
        <sz val="11"/>
        <rFont val="Georgia"/>
        <family val="1"/>
      </rPr>
      <t>TATA</t>
    </r>
  </si>
  <si>
    <r>
      <rPr>
        <sz val="11"/>
        <rFont val="Georgia"/>
        <family val="1"/>
      </rPr>
      <t>ATA   XENON  YODHA PICKUP 4SPTC  BSI</t>
    </r>
  </si>
  <si>
    <r>
      <rPr>
        <sz val="11"/>
        <rFont val="Georgia"/>
        <family val="1"/>
      </rPr>
      <t>PICK UP</t>
    </r>
  </si>
  <si>
    <r>
      <rPr>
        <sz val="11"/>
        <rFont val="Georgia"/>
        <family val="1"/>
      </rPr>
      <t>LPG 1216 48 WB CAB AND CHASSIS(KITS)</t>
    </r>
  </si>
  <si>
    <r>
      <rPr>
        <sz val="11"/>
        <rFont val="Georgia"/>
        <family val="1"/>
      </rPr>
      <t>LPK 2516 (6X4) II  PPER</t>
    </r>
  </si>
  <si>
    <r>
      <rPr>
        <sz val="11"/>
        <rFont val="Georgia"/>
        <family val="1"/>
      </rPr>
      <t>LPK 2518 (6X4) TIPPER (BOGGY)</t>
    </r>
  </si>
  <si>
    <r>
      <rPr>
        <sz val="11"/>
        <rFont val="Georgia"/>
        <family val="1"/>
      </rPr>
      <t>LPK 2518 (6X4) TRANSIT MIXER STETTOR</t>
    </r>
  </si>
  <si>
    <r>
      <rPr>
        <sz val="11"/>
        <rFont val="Georgia"/>
        <family val="1"/>
      </rPr>
      <t>TRANSIT  MIXER</t>
    </r>
  </si>
  <si>
    <r>
      <rPr>
        <sz val="11"/>
        <rFont val="Georgia"/>
        <family val="1"/>
      </rPr>
      <t>LPO 1316TC BUS CHASSIS CHASSIS 60 SEATER</t>
    </r>
  </si>
  <si>
    <r>
      <rPr>
        <sz val="11"/>
        <rFont val="Georgia"/>
        <family val="1"/>
      </rPr>
      <t>MAN  UAL</t>
    </r>
  </si>
  <si>
    <r>
      <rPr>
        <sz val="11"/>
        <rFont val="Georgia"/>
        <family val="1"/>
      </rPr>
      <t>DIESE L</t>
    </r>
  </si>
  <si>
    <r>
      <rPr>
        <sz val="11"/>
        <rFont val="Georgia"/>
        <family val="1"/>
      </rPr>
      <t>LPT  809/38 CBC CKD</t>
    </r>
  </si>
  <si>
    <r>
      <rPr>
        <sz val="11"/>
        <rFont val="Georgia"/>
        <family val="1"/>
      </rPr>
      <t>LPT 1518 CAB / CHASSIS</t>
    </r>
  </si>
  <si>
    <r>
      <rPr>
        <sz val="11"/>
        <rFont val="Georgia"/>
        <family val="1"/>
      </rPr>
      <t>NOVUS V3T6F - CKD (12 SPEED)</t>
    </r>
  </si>
  <si>
    <r>
      <rPr>
        <sz val="11"/>
        <rFont val="Georgia"/>
        <family val="1"/>
      </rPr>
      <t>PRIM£ MOVER</t>
    </r>
  </si>
  <si>
    <r>
      <rPr>
        <sz val="11"/>
        <rFont val="Georgia"/>
        <family val="1"/>
      </rPr>
      <t>SIGNA 1618 TIPP LR</t>
    </r>
  </si>
  <si>
    <r>
      <rPr>
        <sz val="11"/>
        <rFont val="Georgia"/>
        <family val="1"/>
      </rPr>
      <t>SIGNA LPT 25T8 (6X4) CAB / CHASSIS</t>
    </r>
  </si>
  <si>
    <r>
      <rPr>
        <sz val="11"/>
        <rFont val="Georgia"/>
        <family val="1"/>
      </rPr>
      <t>TATA  407 DT DSLB</t>
    </r>
  </si>
  <si>
    <r>
      <rPr>
        <sz val="11"/>
        <rFont val="Georgia"/>
        <family val="1"/>
      </rPr>
      <t>TATA DAEWOO  F8C6F(11051CC)</t>
    </r>
  </si>
  <si>
    <r>
      <rPr>
        <sz val="11"/>
        <rFont val="Georgia"/>
        <family val="1"/>
      </rPr>
      <t>TATA INTRA  V20 AC BS-IV</t>
    </r>
  </si>
  <si>
    <r>
      <rPr>
        <sz val="11"/>
        <rFont val="Georgia"/>
        <family val="1"/>
      </rPr>
      <t>TATA XENON</t>
    </r>
  </si>
  <si>
    <r>
      <rPr>
        <sz val="11"/>
        <rFont val="Georgia"/>
        <family val="1"/>
      </rPr>
      <t>TATA XENON/31  DC 4X4   ABS EV</t>
    </r>
  </si>
  <si>
    <r>
      <rPr>
        <sz val="11"/>
        <rFont val="Georgia"/>
        <family val="1"/>
      </rPr>
      <t>TRAVELLER  AM8ULANCE</t>
    </r>
  </si>
  <si>
    <r>
      <rPr>
        <sz val="11"/>
        <rFont val="Georgia"/>
        <family val="1"/>
      </rPr>
      <t>AMBULANCE</t>
    </r>
  </si>
  <si>
    <r>
      <rPr>
        <sz val="11"/>
        <rFont val="Georgia"/>
        <family val="1"/>
      </rPr>
      <t>DI ESEL</t>
    </r>
  </si>
  <si>
    <r>
      <rPr>
        <sz val="11"/>
        <rFont val="Georgia"/>
        <family val="1"/>
      </rPr>
      <t>TRAVELLER  BUS</t>
    </r>
  </si>
  <si>
    <r>
      <rPr>
        <sz val="11"/>
        <rFont val="Georgia"/>
        <family val="1"/>
      </rPr>
      <t>MAN UAL</t>
    </r>
  </si>
  <si>
    <r>
      <rPr>
        <sz val="11"/>
        <rFont val="Georgia"/>
        <family val="1"/>
      </rPr>
      <t>MINI BUS</t>
    </r>
  </si>
  <si>
    <r>
      <rPr>
        <sz val="11"/>
        <rFont val="Georgia"/>
        <family val="1"/>
      </rPr>
      <t>TOYOTA</t>
    </r>
  </si>
  <si>
    <r>
      <rPr>
        <sz val="11"/>
        <rFont val="Georgia"/>
        <family val="1"/>
      </rPr>
      <t>86 GT LIMITED</t>
    </r>
  </si>
  <si>
    <r>
      <rPr>
        <sz val="11"/>
        <rFont val="Georgia"/>
        <family val="1"/>
      </rPr>
      <t>4BA-ZN6-H2L7</t>
    </r>
  </si>
  <si>
    <r>
      <rPr>
        <sz val="11"/>
        <rFont val="Georgia"/>
        <family val="1"/>
      </rPr>
      <t>DBA-ZN6-G2L7</t>
    </r>
  </si>
  <si>
    <r>
      <rPr>
        <sz val="11"/>
        <rFont val="Georgia"/>
        <family val="1"/>
      </rPr>
      <t>AERAS/ESTIMA HYBRID AERAS</t>
    </r>
  </si>
  <si>
    <r>
      <rPr>
        <sz val="11"/>
        <rFont val="Georgia"/>
        <family val="1"/>
      </rPr>
      <t>DAA-AHR20W-GFXSB(W)</t>
    </r>
  </si>
  <si>
    <r>
      <rPr>
        <sz val="11"/>
        <rFont val="Georgia"/>
        <family val="1"/>
      </rPr>
      <t>ALION A18 G PACKAGE</t>
    </r>
  </si>
  <si>
    <r>
      <rPr>
        <sz val="11"/>
        <rFont val="Georgia"/>
        <family val="1"/>
      </rPr>
      <t>DBA-ZRT260-VTQBCXG</t>
    </r>
  </si>
  <si>
    <r>
      <rPr>
        <sz val="11"/>
        <rFont val="Georgia"/>
        <family val="1"/>
      </rPr>
      <t>ALLION A15 G PLUS</t>
    </r>
  </si>
  <si>
    <r>
      <rPr>
        <sz val="11"/>
        <rFont val="Georgia"/>
        <family val="1"/>
      </rPr>
      <t>3BA-NZT260-CEXEK(J)</t>
    </r>
  </si>
  <si>
    <r>
      <rPr>
        <sz val="11"/>
        <rFont val="Georgia"/>
        <family val="1"/>
      </rPr>
      <t>ALLION A20</t>
    </r>
  </si>
  <si>
    <r>
      <rPr>
        <sz val="11"/>
        <rFont val="Georgia"/>
        <family val="1"/>
      </rPr>
      <t>DBA-ZRT261-CEXGP(J)</t>
    </r>
  </si>
  <si>
    <r>
      <rPr>
        <sz val="11"/>
        <rFont val="Georgia"/>
        <family val="1"/>
      </rPr>
      <t>ALLION A20 "G-PLUS PACKAGE"</t>
    </r>
  </si>
  <si>
    <r>
      <rPr>
        <sz val="11"/>
        <rFont val="Georgia"/>
        <family val="1"/>
      </rPr>
      <t>DBA-ZRT261-CEXGP</t>
    </r>
  </si>
  <si>
    <r>
      <rPr>
        <sz val="11"/>
        <rFont val="Georgia"/>
        <family val="1"/>
      </rPr>
      <t>ALLION A20 G-PLUS</t>
    </r>
  </si>
  <si>
    <r>
      <rPr>
        <sz val="11"/>
        <rFont val="Georgia"/>
        <family val="1"/>
      </rPr>
      <t>ALPHARD EXECUTIVE LOUNGE (HYRID)</t>
    </r>
  </si>
  <si>
    <r>
      <rPr>
        <sz val="11"/>
        <rFont val="Georgia"/>
        <family val="1"/>
      </rPr>
      <t>6AA-AAH45W-PFXVB</t>
    </r>
  </si>
  <si>
    <r>
      <rPr>
        <sz val="11"/>
        <rFont val="Georgia"/>
        <family val="1"/>
      </rPr>
      <t>ALPHARD EXECUTIVE LOUNGE S (HYBRID)</t>
    </r>
  </si>
  <si>
    <r>
      <rPr>
        <sz val="11"/>
        <rFont val="Georgia"/>
        <family val="1"/>
      </rPr>
      <t>6AA-AYH30W-PFXZB</t>
    </r>
  </si>
  <si>
    <r>
      <rPr>
        <sz val="11"/>
        <rFont val="Georgia"/>
        <family val="1"/>
      </rPr>
      <t>ALPHARD G</t>
    </r>
  </si>
  <si>
    <r>
      <rPr>
        <sz val="11"/>
        <rFont val="Georgia"/>
        <family val="1"/>
      </rPr>
      <t>6AA-AYH30W-PFQB(B)</t>
    </r>
  </si>
  <si>
    <r>
      <rPr>
        <sz val="11"/>
        <rFont val="Georgia"/>
        <family val="1"/>
      </rPr>
      <t>ALPHARD G F</t>
    </r>
  </si>
  <si>
    <r>
      <rPr>
        <sz val="11"/>
        <rFont val="Georgia"/>
        <family val="1"/>
      </rPr>
      <t>DAA-AYH30W-PFXQB(B)</t>
    </r>
  </si>
  <si>
    <r>
      <rPr>
        <sz val="11"/>
        <rFont val="Georgia"/>
        <family val="1"/>
      </rPr>
      <t>ALPHARD HYBRID EXCLUSIVE LOUNGE S</t>
    </r>
  </si>
  <si>
    <r>
      <rPr>
        <sz val="11"/>
        <rFont val="Georgia"/>
        <family val="1"/>
      </rPr>
      <t>6AA-AY30W-PFXZB</t>
    </r>
  </si>
  <si>
    <r>
      <rPr>
        <sz val="11"/>
        <rFont val="Georgia"/>
        <family val="1"/>
      </rPr>
      <t>ALPHARD HYBRID G</t>
    </r>
  </si>
  <si>
    <r>
      <rPr>
        <sz val="11"/>
        <rFont val="Georgia"/>
        <family val="1"/>
      </rPr>
      <t>DAA-AYH30W-PFQB(B)</t>
    </r>
  </si>
  <si>
    <r>
      <rPr>
        <sz val="11"/>
        <rFont val="Georgia"/>
        <family val="1"/>
      </rPr>
      <t>ALPHARD S</t>
    </r>
  </si>
  <si>
    <r>
      <rPr>
        <sz val="11"/>
        <rFont val="Georgia"/>
        <family val="1"/>
      </rPr>
      <t>DBA-AGH30W-VTSCXSP</t>
    </r>
  </si>
  <si>
    <r>
      <rPr>
        <sz val="11"/>
        <rFont val="Georgia"/>
        <family val="1"/>
      </rPr>
      <t>3BA-AGH30W-VTSCXSP</t>
    </r>
  </si>
  <si>
    <r>
      <rPr>
        <sz val="11"/>
        <rFont val="Georgia"/>
        <family val="1"/>
      </rPr>
      <t>APLHARD WELCAB G</t>
    </r>
  </si>
  <si>
    <r>
      <rPr>
        <sz val="11"/>
        <rFont val="Georgia"/>
        <family val="1"/>
      </rPr>
      <t>3BA-AGH40W-PFXQK-W</t>
    </r>
  </si>
  <si>
    <r>
      <rPr>
        <sz val="11"/>
        <rFont val="Georgia"/>
        <family val="1"/>
      </rPr>
      <t>AQUA CROSSOVER</t>
    </r>
  </si>
  <si>
    <r>
      <rPr>
        <sz val="11"/>
        <rFont val="Georgia"/>
        <family val="1"/>
      </rPr>
      <t>DAA-NHP10H-AHXXB</t>
    </r>
  </si>
  <si>
    <r>
      <rPr>
        <sz val="11"/>
        <rFont val="Georgia"/>
        <family val="1"/>
      </rPr>
      <t>AQUA G</t>
    </r>
  </si>
  <si>
    <r>
      <rPr>
        <sz val="11"/>
        <rFont val="Georgia"/>
        <family val="1"/>
      </rPr>
      <t>6AA-NHP10-AHXEB</t>
    </r>
  </si>
  <si>
    <r>
      <rPr>
        <sz val="11"/>
        <rFont val="Georgia"/>
        <family val="1"/>
      </rPr>
      <t>AQUA S</t>
    </r>
  </si>
  <si>
    <r>
      <rPr>
        <sz val="11"/>
        <rFont val="Georgia"/>
        <family val="1"/>
      </rPr>
      <t>DAA-NHP10-VTUQXN</t>
    </r>
  </si>
  <si>
    <r>
      <rPr>
        <sz val="11"/>
        <rFont val="Georgia"/>
        <family val="1"/>
      </rPr>
      <t>6AA-NHP-VTUQXN</t>
    </r>
  </si>
  <si>
    <r>
      <rPr>
        <sz val="11"/>
        <rFont val="Georgia"/>
        <family val="1"/>
      </rPr>
      <t>AQUA WELCAB X</t>
    </r>
  </si>
  <si>
    <r>
      <rPr>
        <sz val="11"/>
        <rFont val="Georgia"/>
        <family val="1"/>
      </rPr>
      <t>6AA-MXPK11-AHXNB(U)</t>
    </r>
  </si>
  <si>
    <r>
      <rPr>
        <sz val="11"/>
        <rFont val="Georgia"/>
        <family val="1"/>
      </rPr>
      <t>6AA-MXPK11-VQQLXN</t>
    </r>
  </si>
  <si>
    <r>
      <rPr>
        <sz val="11"/>
        <rFont val="Georgia"/>
        <family val="1"/>
      </rPr>
      <t>6AA-MXPK11-YVQQLXN</t>
    </r>
  </si>
  <si>
    <r>
      <rPr>
        <sz val="11"/>
        <rFont val="Georgia"/>
        <family val="1"/>
      </rPr>
      <t>AQUA X</t>
    </r>
  </si>
  <si>
    <r>
      <rPr>
        <sz val="11"/>
        <rFont val="Georgia"/>
        <family val="1"/>
      </rPr>
      <t>AQUA Z</t>
    </r>
  </si>
  <si>
    <r>
      <rPr>
        <sz val="11"/>
        <rFont val="Georgia"/>
        <family val="1"/>
      </rPr>
      <t>6AA-MXPK11-AHXEB</t>
    </r>
  </si>
  <si>
    <r>
      <rPr>
        <sz val="11"/>
        <rFont val="Georgia"/>
        <family val="1"/>
      </rPr>
      <t>AURIS HYBRID G PACKAGE</t>
    </r>
  </si>
  <si>
    <r>
      <rPr>
        <sz val="11"/>
        <rFont val="Georgia"/>
        <family val="1"/>
      </rPr>
      <t>DAA-ZWE186H-BHXNB-V</t>
    </r>
  </si>
  <si>
    <r>
      <rPr>
        <sz val="11"/>
        <rFont val="Georgia"/>
        <family val="1"/>
      </rPr>
      <t>AVENSIS LI</t>
    </r>
  </si>
  <si>
    <r>
      <rPr>
        <sz val="11"/>
        <rFont val="Georgia"/>
        <family val="1"/>
      </rPr>
      <t>DBA-ZRT272W-AWXGP</t>
    </r>
  </si>
  <si>
    <r>
      <rPr>
        <sz val="11"/>
        <rFont val="Georgia"/>
        <family val="1"/>
      </rPr>
      <t>BELTA GLX</t>
    </r>
  </si>
  <si>
    <r>
      <rPr>
        <sz val="11"/>
        <rFont val="Georgia"/>
        <family val="1"/>
      </rPr>
      <t>K15BR-HEPRSKN</t>
    </r>
  </si>
  <si>
    <r>
      <rPr>
        <sz val="11"/>
        <rFont val="Georgia"/>
        <family val="1"/>
      </rPr>
      <t>BZ4X</t>
    </r>
  </si>
  <si>
    <r>
      <rPr>
        <sz val="11"/>
        <rFont val="Georgia"/>
        <family val="1"/>
      </rPr>
      <t>ZAA-YEAM15-MWDHS</t>
    </r>
  </si>
  <si>
    <r>
      <rPr>
        <sz val="11"/>
        <rFont val="Georgia"/>
        <family val="1"/>
      </rPr>
      <t>BZ4X Z</t>
    </r>
  </si>
  <si>
    <r>
      <rPr>
        <sz val="11"/>
        <rFont val="Georgia"/>
        <family val="1"/>
      </rPr>
      <t>C+ POD</t>
    </r>
  </si>
  <si>
    <r>
      <rPr>
        <sz val="11"/>
        <rFont val="Georgia"/>
        <family val="1"/>
      </rPr>
      <t>ZAZ-RMV12-AGDQS</t>
    </r>
  </si>
  <si>
    <r>
      <rPr>
        <sz val="11"/>
        <rFont val="Georgia"/>
        <family val="1"/>
      </rPr>
      <t>C+ WALK S</t>
    </r>
  </si>
  <si>
    <r>
      <rPr>
        <sz val="11"/>
        <rFont val="Georgia"/>
        <family val="1"/>
      </rPr>
      <t>ZEV11-ABDDSS</t>
    </r>
  </si>
  <si>
    <r>
      <rPr>
        <sz val="11"/>
        <rFont val="Georgia"/>
        <family val="1"/>
      </rPr>
      <t>C+ WALK T</t>
    </r>
  </si>
  <si>
    <r>
      <rPr>
        <sz val="11"/>
        <rFont val="Georgia"/>
        <family val="1"/>
      </rPr>
      <t>ZEV11-ABDHSS</t>
    </r>
  </si>
  <si>
    <r>
      <rPr>
        <sz val="11"/>
        <rFont val="Georgia"/>
        <family val="1"/>
      </rPr>
      <t>C+POD G</t>
    </r>
  </si>
  <si>
    <r>
      <rPr>
        <sz val="11"/>
        <rFont val="Georgia"/>
        <family val="1"/>
      </rPr>
      <t>C+WALK T</t>
    </r>
  </si>
  <si>
    <r>
      <rPr>
        <sz val="11"/>
        <rFont val="Georgia"/>
        <family val="1"/>
      </rPr>
      <t>ZEV11-ABDBSS</t>
    </r>
  </si>
  <si>
    <r>
      <rPr>
        <sz val="11"/>
        <rFont val="Georgia"/>
        <family val="1"/>
      </rPr>
      <t>CAMRY</t>
    </r>
  </si>
  <si>
    <r>
      <rPr>
        <sz val="11"/>
        <rFont val="Georgia"/>
        <family val="1"/>
      </rPr>
      <t>DAA-AXVH70-AEXSB</t>
    </r>
  </si>
  <si>
    <r>
      <rPr>
        <sz val="11"/>
        <rFont val="Georgia"/>
        <family val="1"/>
      </rPr>
      <t>CAMRY G "LEATHER PACKAGE"</t>
    </r>
  </si>
  <si>
    <r>
      <rPr>
        <sz val="11"/>
        <rFont val="Georgia"/>
        <family val="1"/>
      </rPr>
      <t>DAA-AXVH70-AEXNB(L)</t>
    </r>
  </si>
  <si>
    <r>
      <rPr>
        <sz val="11"/>
        <rFont val="Georgia"/>
        <family val="1"/>
      </rPr>
      <t>CAMRY WS</t>
    </r>
  </si>
  <si>
    <r>
      <rPr>
        <sz val="11"/>
        <rFont val="Georgia"/>
        <family val="1"/>
      </rPr>
      <t>6AA-AXVH70-AEXSB(L)</t>
    </r>
  </si>
  <si>
    <r>
      <rPr>
        <sz val="11"/>
        <rFont val="Georgia"/>
        <family val="1"/>
      </rPr>
      <t>CAMRY WS "LEATHER PACKAGE"</t>
    </r>
  </si>
  <si>
    <r>
      <rPr>
        <sz val="11"/>
        <rFont val="Georgia"/>
        <family val="1"/>
      </rPr>
      <t>6AA-AXV70-AEXSB(L)</t>
    </r>
  </si>
  <si>
    <r>
      <rPr>
        <sz val="11"/>
        <rFont val="Georgia"/>
        <family val="1"/>
      </rPr>
      <t>CAMRY WS LEATHER PACKAGE</t>
    </r>
  </si>
  <si>
    <r>
      <rPr>
        <sz val="11"/>
        <rFont val="Georgia"/>
        <family val="1"/>
      </rPr>
      <t>DAA-AXVH70-AEXSB(L)</t>
    </r>
  </si>
  <si>
    <r>
      <rPr>
        <sz val="11"/>
        <rFont val="Georgia"/>
        <family val="1"/>
      </rPr>
      <t>CENTURY</t>
    </r>
  </si>
  <si>
    <r>
      <rPr>
        <sz val="11"/>
        <rFont val="Georgia"/>
        <family val="1"/>
      </rPr>
      <t>6AA-UWG60-AEXGH</t>
    </r>
  </si>
  <si>
    <r>
      <rPr>
        <sz val="11"/>
        <rFont val="Georgia"/>
        <family val="1"/>
      </rPr>
      <t>DAA-UWG60-AEXGH</t>
    </r>
  </si>
  <si>
    <r>
      <rPr>
        <sz val="11"/>
        <rFont val="Georgia"/>
        <family val="1"/>
      </rPr>
      <t>DBA-GZG50-AETGK</t>
    </r>
  </si>
  <si>
    <r>
      <rPr>
        <sz val="11"/>
        <rFont val="Georgia"/>
        <family val="1"/>
      </rPr>
      <t>CENTURY 3.5</t>
    </r>
  </si>
  <si>
    <r>
      <rPr>
        <sz val="11"/>
        <rFont val="Georgia"/>
        <family val="1"/>
      </rPr>
      <t>6LA-GRG75-CNGB</t>
    </r>
  </si>
  <si>
    <r>
      <rPr>
        <sz val="11"/>
        <rFont val="Georgia"/>
        <family val="1"/>
      </rPr>
      <t>CENTURY SEDAN</t>
    </r>
  </si>
  <si>
    <r>
      <rPr>
        <sz val="11"/>
        <rFont val="Georgia"/>
        <family val="1"/>
      </rPr>
      <t>CENTURY SEDAN 5.0L HYBRID</t>
    </r>
  </si>
  <si>
    <r>
      <rPr>
        <sz val="11"/>
        <rFont val="Georgia"/>
        <family val="1"/>
      </rPr>
      <t xml:space="preserve">CENTURY V6 3.5L PLUG-IN HYBRID E-
</t>
    </r>
    <r>
      <rPr>
        <sz val="11"/>
        <rFont val="Georgia"/>
        <family val="1"/>
      </rPr>
      <t>FOURADVANCED</t>
    </r>
  </si>
  <si>
    <r>
      <rPr>
        <sz val="11"/>
        <rFont val="Georgia"/>
        <family val="1"/>
      </rPr>
      <t>6LA-GRG75-CNXGB</t>
    </r>
  </si>
  <si>
    <r>
      <rPr>
        <sz val="11"/>
        <rFont val="Georgia"/>
        <family val="1"/>
      </rPr>
      <t>C-HR G</t>
    </r>
  </si>
  <si>
    <r>
      <rPr>
        <sz val="11"/>
        <rFont val="Georgia"/>
        <family val="1"/>
      </rPr>
      <t>6AA-ZYX11-AHXEB</t>
    </r>
  </si>
  <si>
    <r>
      <rPr>
        <sz val="11"/>
        <rFont val="Georgia"/>
        <family val="1"/>
      </rPr>
      <t>DAA-ZYX10-AHXEB</t>
    </r>
  </si>
  <si>
    <r>
      <rPr>
        <sz val="11"/>
        <rFont val="Georgia"/>
        <family val="1"/>
      </rPr>
      <t>C-HR S "GR SPORT" HYBRID</t>
    </r>
  </si>
  <si>
    <r>
      <rPr>
        <sz val="11"/>
        <rFont val="Georgia"/>
        <family val="1"/>
      </rPr>
      <t>6AA-ZYX11-AHXNB(G)</t>
    </r>
  </si>
  <si>
    <r>
      <rPr>
        <sz val="11"/>
        <rFont val="Georgia"/>
        <family val="1"/>
      </rPr>
      <t>C-HR S GR SPORT</t>
    </r>
  </si>
  <si>
    <r>
      <rPr>
        <sz val="11"/>
        <rFont val="Georgia"/>
        <family val="1"/>
      </rPr>
      <t>COASTER EX</t>
    </r>
  </si>
  <si>
    <r>
      <rPr>
        <sz val="11"/>
        <rFont val="Georgia"/>
        <family val="1"/>
      </rPr>
      <t>2KG-XZB70-ZRTQH</t>
    </r>
  </si>
  <si>
    <r>
      <rPr>
        <sz val="11"/>
        <rFont val="Georgia"/>
        <family val="1"/>
      </rPr>
      <t>SDG-XZB70-ZRTQH</t>
    </r>
  </si>
  <si>
    <r>
      <rPr>
        <sz val="11"/>
        <rFont val="Georgia"/>
        <family val="1"/>
      </rPr>
      <t>COASTER GX LONGBODY</t>
    </r>
  </si>
  <si>
    <r>
      <rPr>
        <sz val="11"/>
        <rFont val="Georgia"/>
        <family val="1"/>
      </rPr>
      <t>2KG-GDB70-ZXTEY</t>
    </r>
  </si>
  <si>
    <r>
      <rPr>
        <sz val="11"/>
        <rFont val="Georgia"/>
        <family val="1"/>
      </rPr>
      <t>COASTER STANDARD  W/FOLDING DOOR</t>
    </r>
  </si>
  <si>
    <r>
      <rPr>
        <sz val="11"/>
        <rFont val="Georgia"/>
        <family val="1"/>
      </rPr>
      <t>HZB70R-ZGMNS</t>
    </r>
  </si>
  <si>
    <r>
      <rPr>
        <sz val="11"/>
        <rFont val="Georgia"/>
        <family val="1"/>
      </rPr>
      <t>COMFORT SG</t>
    </r>
  </si>
  <si>
    <r>
      <rPr>
        <sz val="11"/>
        <rFont val="Georgia"/>
        <family val="1"/>
      </rPr>
      <t>DBA-TSS11-BEPFC</t>
    </r>
  </si>
  <si>
    <r>
      <rPr>
        <sz val="11"/>
        <rFont val="Georgia"/>
        <family val="1"/>
      </rPr>
      <t>COMFORT TRAINING CAR DELUXE</t>
    </r>
  </si>
  <si>
    <r>
      <rPr>
        <sz val="11"/>
        <rFont val="Georgia"/>
        <family val="1"/>
      </rPr>
      <t>CBA-TSS13Y-BEMDK</t>
    </r>
  </si>
  <si>
    <r>
      <rPr>
        <sz val="11"/>
        <rFont val="Georgia"/>
        <family val="1"/>
      </rPr>
      <t>3BA-LA400A-KMVZ</t>
    </r>
  </si>
  <si>
    <r>
      <rPr>
        <sz val="11"/>
        <rFont val="Georgia"/>
        <family val="1"/>
      </rPr>
      <t>CVT/6AT</t>
    </r>
  </si>
  <si>
    <r>
      <rPr>
        <sz val="11"/>
        <rFont val="Georgia"/>
        <family val="1"/>
      </rPr>
      <t>COROLLA  AXIO</t>
    </r>
  </si>
  <si>
    <r>
      <rPr>
        <sz val="11"/>
        <rFont val="Georgia"/>
        <family val="1"/>
      </rPr>
      <t>6AA-NKE165-AEXNB</t>
    </r>
  </si>
  <si>
    <r>
      <rPr>
        <sz val="11"/>
        <rFont val="Georgia"/>
        <family val="1"/>
      </rPr>
      <t>SALOON</t>
    </r>
  </si>
  <si>
    <r>
      <rPr>
        <sz val="11"/>
        <rFont val="Georgia"/>
        <family val="1"/>
      </rPr>
      <t>COROLLA AXIO EX</t>
    </r>
  </si>
  <si>
    <r>
      <rPr>
        <sz val="11"/>
        <rFont val="Georgia"/>
        <family val="1"/>
      </rPr>
      <t>COROLLA AXIO G</t>
    </r>
  </si>
  <si>
    <r>
      <rPr>
        <sz val="11"/>
        <rFont val="Georgia"/>
        <family val="1"/>
      </rPr>
      <t>DBA-NRE161-VQQBXE</t>
    </r>
  </si>
  <si>
    <r>
      <rPr>
        <sz val="11"/>
        <rFont val="Georgia"/>
        <family val="1"/>
      </rPr>
      <t>COROLLA AXIO HYBRID EX</t>
    </r>
  </si>
  <si>
    <r>
      <rPr>
        <sz val="11"/>
        <rFont val="Georgia"/>
        <family val="1"/>
      </rPr>
      <t>DAA-NKE165-AEXNB</t>
    </r>
  </si>
  <si>
    <r>
      <rPr>
        <sz val="11"/>
        <rFont val="Georgia"/>
        <family val="1"/>
      </rPr>
      <t>COROLLA AXIO HYBRID G</t>
    </r>
  </si>
  <si>
    <r>
      <rPr>
        <sz val="11"/>
        <rFont val="Georgia"/>
        <family val="1"/>
      </rPr>
      <t>DAA-NKE165-AEXEB</t>
    </r>
  </si>
  <si>
    <r>
      <rPr>
        <sz val="11"/>
        <rFont val="Georgia"/>
        <family val="1"/>
      </rPr>
      <t>COROLLA CROSS Z HYBRID</t>
    </r>
  </si>
  <si>
    <r>
      <rPr>
        <sz val="11"/>
        <rFont val="Georgia"/>
        <family val="1"/>
      </rPr>
      <t>6AA-ZVG11-KHXEB</t>
    </r>
  </si>
  <si>
    <r>
      <rPr>
        <sz val="11"/>
        <rFont val="Georgia"/>
        <family val="1"/>
      </rPr>
      <t>6AA-ZVG13-KHXEB</t>
    </r>
  </si>
  <si>
    <r>
      <rPr>
        <sz val="11"/>
        <rFont val="Georgia"/>
        <family val="1"/>
      </rPr>
      <t>COROLLA FIELDER EX</t>
    </r>
  </si>
  <si>
    <r>
      <rPr>
        <sz val="11"/>
        <rFont val="Georgia"/>
        <family val="1"/>
      </rPr>
      <t>6AA-NKE165-AWXNB</t>
    </r>
  </si>
  <si>
    <r>
      <rPr>
        <sz val="11"/>
        <rFont val="Georgia"/>
        <family val="1"/>
      </rPr>
      <t>6AA-NKE165G-AWXNB</t>
    </r>
  </si>
  <si>
    <r>
      <rPr>
        <sz val="11"/>
        <rFont val="Georgia"/>
        <family val="1"/>
      </rPr>
      <t>COROLLA FIELDER HYBRID EX</t>
    </r>
  </si>
  <si>
    <r>
      <rPr>
        <sz val="11"/>
        <rFont val="Georgia"/>
        <family val="1"/>
      </rPr>
      <t>COROLLA FIELDER HYBRID G</t>
    </r>
  </si>
  <si>
    <r>
      <rPr>
        <sz val="11"/>
        <rFont val="Georgia"/>
        <family val="1"/>
      </rPr>
      <t>DAA-NKE165G-AWXEB-X</t>
    </r>
  </si>
  <si>
    <r>
      <rPr>
        <sz val="11"/>
        <rFont val="Georgia"/>
        <family val="1"/>
      </rPr>
      <t>COROLLA FILEDER HYBRID EX</t>
    </r>
  </si>
  <si>
    <r>
      <rPr>
        <sz val="11"/>
        <rFont val="Georgia"/>
        <family val="1"/>
      </rPr>
      <t>DAA-NKE165G-AWXNB</t>
    </r>
  </si>
  <si>
    <r>
      <rPr>
        <sz val="11"/>
        <rFont val="Georgia"/>
        <family val="1"/>
      </rPr>
      <t>COROLLA FILEDER HYBRID G</t>
    </r>
  </si>
  <si>
    <r>
      <rPr>
        <sz val="11"/>
        <rFont val="Georgia"/>
        <family val="1"/>
      </rPr>
      <t>DAA-NKE165G-VQQBXE</t>
    </r>
  </si>
  <si>
    <r>
      <rPr>
        <sz val="11"/>
        <rFont val="Georgia"/>
        <family val="1"/>
      </rPr>
      <t>COROLLA FILEDER HYBRID WX</t>
    </r>
  </si>
  <si>
    <r>
      <rPr>
        <sz val="11"/>
        <rFont val="Georgia"/>
        <family val="1"/>
      </rPr>
      <t>COROLLA HIGH 1ZR</t>
    </r>
  </si>
  <si>
    <r>
      <rPr>
        <sz val="11"/>
        <rFont val="Georgia"/>
        <family val="1"/>
      </rPr>
      <t>ZRE182R-GEXGKN</t>
    </r>
  </si>
  <si>
    <r>
      <rPr>
        <sz val="11"/>
        <rFont val="Georgia"/>
        <family val="1"/>
      </rPr>
      <t>COROLLA MID 1ZR</t>
    </r>
  </si>
  <si>
    <r>
      <rPr>
        <sz val="11"/>
        <rFont val="Georgia"/>
        <family val="1"/>
      </rPr>
      <t>ZRE182R-GEFNKN</t>
    </r>
  </si>
  <si>
    <r>
      <rPr>
        <sz val="11"/>
        <rFont val="Georgia"/>
        <family val="1"/>
      </rPr>
      <t>ZRE182R-GEXNKN</t>
    </r>
  </si>
  <si>
    <r>
      <rPr>
        <sz val="11"/>
        <rFont val="Georgia"/>
        <family val="1"/>
      </rPr>
      <t>COROLLA HYBRID WXB</t>
    </r>
  </si>
  <si>
    <r>
      <rPr>
        <sz val="11"/>
        <rFont val="Georgia"/>
        <family val="1"/>
      </rPr>
      <t>6AA-ZWE211-AEXSB</t>
    </r>
  </si>
  <si>
    <r>
      <rPr>
        <sz val="11"/>
        <rFont val="Georgia"/>
        <family val="1"/>
      </rPr>
      <t>COROLLA SPORT G</t>
    </r>
  </si>
  <si>
    <r>
      <rPr>
        <sz val="11"/>
        <rFont val="Georgia"/>
        <family val="1"/>
      </rPr>
      <t>6AA-ZWE219-BHXNZ-Z</t>
    </r>
  </si>
  <si>
    <r>
      <rPr>
        <sz val="11"/>
        <rFont val="Georgia"/>
        <family val="1"/>
      </rPr>
      <t>6AA-ZWE219H-BHXNZ-Z</t>
    </r>
  </si>
  <si>
    <r>
      <rPr>
        <sz val="11"/>
        <rFont val="Georgia"/>
        <family val="1"/>
      </rPr>
      <t>COROLLA SPORT G"Z" (HYBRID)</t>
    </r>
  </si>
  <si>
    <r>
      <rPr>
        <sz val="11"/>
        <rFont val="Georgia"/>
        <family val="1"/>
      </rPr>
      <t>6AA-2WE219H-BHXNZ-Z</t>
    </r>
  </si>
  <si>
    <r>
      <rPr>
        <sz val="11"/>
        <rFont val="Georgia"/>
        <family val="1"/>
      </rPr>
      <t>COROLLA SPORT HYBRID G</t>
    </r>
  </si>
  <si>
    <r>
      <rPr>
        <sz val="11"/>
        <rFont val="Georgia"/>
        <family val="1"/>
      </rPr>
      <t>6AA-ZWE211-BHXNB-Z</t>
    </r>
  </si>
  <si>
    <r>
      <rPr>
        <sz val="11"/>
        <rFont val="Georgia"/>
        <family val="1"/>
      </rPr>
      <t>6AA-ZWE213H-BHXNB-Z</t>
    </r>
  </si>
  <si>
    <r>
      <rPr>
        <sz val="11"/>
        <rFont val="Georgia"/>
        <family val="1"/>
      </rPr>
      <t>COROLLA SPORT HYBRID G Z</t>
    </r>
  </si>
  <si>
    <r>
      <rPr>
        <sz val="11"/>
        <rFont val="Georgia"/>
        <family val="1"/>
      </rPr>
      <t>6AA-ZWE211H-BHXNB-Z</t>
    </r>
  </si>
  <si>
    <r>
      <rPr>
        <sz val="11"/>
        <rFont val="Georgia"/>
        <family val="1"/>
      </rPr>
      <t>COROLLA TOURING HYBRID WXB</t>
    </r>
  </si>
  <si>
    <r>
      <rPr>
        <sz val="11"/>
        <rFont val="Georgia"/>
        <family val="1"/>
      </rPr>
      <t>6AA-ZWE211W-AWXSB</t>
    </r>
  </si>
  <si>
    <r>
      <rPr>
        <sz val="11"/>
        <rFont val="Georgia"/>
        <family val="1"/>
      </rPr>
      <t>COROLLA TOURING WXB</t>
    </r>
  </si>
  <si>
    <r>
      <rPr>
        <sz val="11"/>
        <rFont val="Georgia"/>
        <family val="1"/>
      </rPr>
      <t>6AA-ZWE219-AWXSB</t>
    </r>
  </si>
  <si>
    <r>
      <rPr>
        <sz val="11"/>
        <rFont val="Georgia"/>
        <family val="1"/>
      </rPr>
      <t>6AA-ZWE211W-AHXEB</t>
    </r>
  </si>
  <si>
    <r>
      <rPr>
        <sz val="11"/>
        <rFont val="Georgia"/>
        <family val="1"/>
      </rPr>
      <t>COROLLA TOURING WXB (HYBRID)</t>
    </r>
  </si>
  <si>
    <r>
      <rPr>
        <sz val="11"/>
        <rFont val="Georgia"/>
        <family val="1"/>
      </rPr>
      <t>6AA-ZWE219W-AEXSB</t>
    </r>
  </si>
  <si>
    <r>
      <rPr>
        <sz val="11"/>
        <rFont val="Georgia"/>
        <family val="1"/>
      </rPr>
      <t>COROLLA TOURING WXB HYBRID</t>
    </r>
  </si>
  <si>
    <r>
      <rPr>
        <sz val="11"/>
        <rFont val="Georgia"/>
        <family val="1"/>
      </rPr>
      <t>6AA-ZWE219W-AWZSB</t>
    </r>
  </si>
  <si>
    <r>
      <rPr>
        <sz val="11"/>
        <rFont val="Georgia"/>
        <family val="1"/>
      </rPr>
      <t>COROLLA WXB</t>
    </r>
  </si>
  <si>
    <r>
      <rPr>
        <sz val="11"/>
        <rFont val="Georgia"/>
        <family val="1"/>
      </rPr>
      <t>6AA-ZWE219-AEXSB</t>
    </r>
  </si>
  <si>
    <r>
      <rPr>
        <sz val="11"/>
        <rFont val="Georgia"/>
        <family val="1"/>
      </rPr>
      <t>COROLLA WXB HYBRID</t>
    </r>
  </si>
  <si>
    <r>
      <rPr>
        <sz val="11"/>
        <rFont val="Georgia"/>
        <family val="1"/>
      </rPr>
      <t>COROLLA Z(HYBRID)</t>
    </r>
  </si>
  <si>
    <r>
      <rPr>
        <sz val="11"/>
        <rFont val="Georgia"/>
        <family val="1"/>
      </rPr>
      <t>CROWN</t>
    </r>
  </si>
  <si>
    <r>
      <rPr>
        <sz val="11"/>
        <rFont val="Georgia"/>
        <family val="1"/>
      </rPr>
      <t>6AA-AZSH20-AEXAB</t>
    </r>
  </si>
  <si>
    <r>
      <rPr>
        <sz val="11"/>
        <rFont val="Georgia"/>
        <family val="1"/>
      </rPr>
      <t>CROWN 2.0 ATHLETE G.T</t>
    </r>
  </si>
  <si>
    <r>
      <rPr>
        <sz val="11"/>
        <rFont val="Georgia"/>
        <family val="1"/>
      </rPr>
      <t>DAA-ARS210-AEZYZ</t>
    </r>
  </si>
  <si>
    <r>
      <rPr>
        <sz val="11"/>
        <rFont val="Georgia"/>
        <family val="1"/>
      </rPr>
      <t>CROWN COMFORT DELUX</t>
    </r>
  </si>
  <si>
    <r>
      <rPr>
        <sz val="11"/>
        <rFont val="Georgia"/>
        <family val="1"/>
      </rPr>
      <t>DBA-TSS10-AEPDC</t>
    </r>
  </si>
  <si>
    <r>
      <rPr>
        <sz val="11"/>
        <rFont val="Georgia"/>
        <family val="1"/>
      </rPr>
      <t>CROWN CROSSOVER RS</t>
    </r>
  </si>
  <si>
    <r>
      <rPr>
        <sz val="11"/>
        <rFont val="Georgia"/>
        <family val="1"/>
      </rPr>
      <t>5AA-TZSH35-AETAT</t>
    </r>
  </si>
  <si>
    <r>
      <rPr>
        <sz val="11"/>
        <rFont val="Georgia"/>
        <family val="1"/>
      </rPr>
      <t>CROWN G</t>
    </r>
  </si>
  <si>
    <r>
      <rPr>
        <sz val="11"/>
        <rFont val="Georgia"/>
        <family val="1"/>
      </rPr>
      <t>6AA-GW224-AEXEB</t>
    </r>
  </si>
  <si>
    <r>
      <rPr>
        <sz val="11"/>
        <rFont val="Georgia"/>
        <family val="1"/>
      </rPr>
      <t>CROWN HYBRID SALOON G</t>
    </r>
  </si>
  <si>
    <r>
      <rPr>
        <sz val="11"/>
        <rFont val="Georgia"/>
        <family val="1"/>
      </rPr>
      <t>DAA-AWS210-AEXUH</t>
    </r>
  </si>
  <si>
    <r>
      <rPr>
        <sz val="11"/>
        <rFont val="Georgia"/>
        <family val="1"/>
      </rPr>
      <t>CROWN MAJESTA F VERSION</t>
    </r>
  </si>
  <si>
    <r>
      <rPr>
        <sz val="11"/>
        <rFont val="Georgia"/>
        <family val="1"/>
      </rPr>
      <t>DAA-GWS214-AEXZB(F)</t>
    </r>
  </si>
  <si>
    <r>
      <rPr>
        <sz val="11"/>
        <rFont val="Georgia"/>
        <family val="1"/>
      </rPr>
      <t>CROWN RS ADVANCE</t>
    </r>
  </si>
  <si>
    <r>
      <rPr>
        <sz val="11"/>
        <rFont val="Georgia"/>
        <family val="1"/>
      </rPr>
      <t>CROWN RS ADVANCED</t>
    </r>
  </si>
  <si>
    <r>
      <rPr>
        <sz val="11"/>
        <rFont val="Georgia"/>
        <family val="1"/>
      </rPr>
      <t>5AA-TZSH35-AETAT(F)</t>
    </r>
  </si>
  <si>
    <r>
      <rPr>
        <sz val="11"/>
        <rFont val="Georgia"/>
        <family val="1"/>
      </rPr>
      <t>CROWN SEDAN SUPER SALOON</t>
    </r>
  </si>
  <si>
    <r>
      <rPr>
        <sz val="11"/>
        <rFont val="Georgia"/>
        <family val="1"/>
      </rPr>
      <t>DBA-TSS10H-CEPJC</t>
    </r>
  </si>
  <si>
    <r>
      <rPr>
        <sz val="11"/>
        <rFont val="Georgia"/>
        <family val="1"/>
      </rPr>
      <t>CROWN SPORT RS</t>
    </r>
  </si>
  <si>
    <r>
      <rPr>
        <sz val="11"/>
        <rFont val="Georgia"/>
        <family val="1"/>
      </rPr>
      <t>6LA-AZSH37W-BNXGB</t>
    </r>
  </si>
  <si>
    <r>
      <rPr>
        <sz val="11"/>
        <rFont val="Georgia"/>
        <family val="1"/>
      </rPr>
      <t>CROWN SPORT Z</t>
    </r>
  </si>
  <si>
    <r>
      <rPr>
        <sz val="11"/>
        <rFont val="Georgia"/>
        <family val="1"/>
      </rPr>
      <t>6AA-AZSH36-BNXGB</t>
    </r>
  </si>
  <si>
    <r>
      <rPr>
        <sz val="11"/>
        <rFont val="Georgia"/>
        <family val="1"/>
      </rPr>
      <t>CROWN SPORT Z (2.5L HYBRID)</t>
    </r>
  </si>
  <si>
    <r>
      <rPr>
        <sz val="11"/>
        <rFont val="Georgia"/>
        <family val="1"/>
      </rPr>
      <t>6AA-AZSH36W-BNXGB</t>
    </r>
  </si>
  <si>
    <r>
      <rPr>
        <sz val="11"/>
        <rFont val="Georgia"/>
        <family val="1"/>
      </rPr>
      <t>CROWN TURBO HYBRID CROSSIOVER RS</t>
    </r>
  </si>
  <si>
    <r>
      <rPr>
        <sz val="11"/>
        <rFont val="Georgia"/>
        <family val="1"/>
      </rPr>
      <t>5AA-TZSH35-ATAT(F)</t>
    </r>
  </si>
  <si>
    <r>
      <rPr>
        <sz val="11"/>
        <rFont val="Georgia"/>
        <family val="1"/>
      </rPr>
      <t>CROWN Z</t>
    </r>
  </si>
  <si>
    <r>
      <rPr>
        <sz val="11"/>
        <rFont val="Georgia"/>
        <family val="1"/>
      </rPr>
      <t>6AA-AZSH32-CEVGB</t>
    </r>
  </si>
  <si>
    <r>
      <rPr>
        <sz val="11"/>
        <rFont val="Georgia"/>
        <family val="1"/>
      </rPr>
      <t>DRIVING INSTRUCTION CAR</t>
    </r>
  </si>
  <si>
    <r>
      <rPr>
        <sz val="11"/>
        <rFont val="Georgia"/>
        <family val="1"/>
      </rPr>
      <t>DBA-NZE161-BEMNK</t>
    </r>
  </si>
  <si>
    <r>
      <rPr>
        <sz val="11"/>
        <rFont val="Georgia"/>
        <family val="1"/>
      </rPr>
      <t>DRIVING ISTRUCTION CAR</t>
    </r>
  </si>
  <si>
    <r>
      <rPr>
        <sz val="11"/>
        <rFont val="Georgia"/>
        <family val="1"/>
      </rPr>
      <t>3BA-NZE161-BEMNK</t>
    </r>
  </si>
  <si>
    <r>
      <rPr>
        <sz val="11"/>
        <rFont val="Georgia"/>
        <family val="1"/>
      </rPr>
      <t>DYNA</t>
    </r>
  </si>
  <si>
    <r>
      <rPr>
        <sz val="11"/>
        <rFont val="Georgia"/>
        <family val="1"/>
      </rPr>
      <t>2KG-XZU630D-TMFQY</t>
    </r>
  </si>
  <si>
    <r>
      <rPr>
        <sz val="11"/>
        <rFont val="Georgia"/>
        <family val="1"/>
      </rPr>
      <t>DYNA ALUMINIUM VAN G</t>
    </r>
  </si>
  <si>
    <r>
      <rPr>
        <sz val="11"/>
        <rFont val="Georgia"/>
        <family val="1"/>
      </rPr>
      <t>2DG-GDY231-TGMGC</t>
    </r>
  </si>
  <si>
    <r>
      <rPr>
        <sz val="11"/>
        <rFont val="Georgia"/>
        <family val="1"/>
      </rPr>
      <t>DYNA CARGO</t>
    </r>
  </si>
  <si>
    <r>
      <rPr>
        <sz val="11"/>
        <rFont val="Georgia"/>
        <family val="1"/>
      </rPr>
      <t>NBG-BZU600-TQMQP</t>
    </r>
  </si>
  <si>
    <r>
      <rPr>
        <sz val="11"/>
        <rFont val="Georgia"/>
        <family val="1"/>
      </rPr>
      <t>DYNA CARGO G PACKAGE</t>
    </r>
  </si>
  <si>
    <r>
      <rPr>
        <sz val="11"/>
        <rFont val="Georgia"/>
        <family val="1"/>
      </rPr>
      <t>DYNA CARGO S/CAB</t>
    </r>
  </si>
  <si>
    <r>
      <rPr>
        <sz val="11"/>
        <rFont val="Georgia"/>
        <family val="1"/>
      </rPr>
      <t>TSG-XKC605-TQUMC</t>
    </r>
  </si>
  <si>
    <r>
      <rPr>
        <sz val="11"/>
        <rFont val="Georgia"/>
        <family val="1"/>
      </rPr>
      <t>DYNA CARGO STANDARD CAB</t>
    </r>
  </si>
  <si>
    <r>
      <rPr>
        <sz val="11"/>
        <rFont val="Georgia"/>
        <family val="1"/>
      </rPr>
      <t>DYNA DUMP</t>
    </r>
  </si>
  <si>
    <r>
      <rPr>
        <sz val="11"/>
        <rFont val="Georgia"/>
        <family val="1"/>
      </rPr>
      <t>2RG-XZU600D-TUFMX-K</t>
    </r>
  </si>
  <si>
    <r>
      <rPr>
        <sz val="11"/>
        <rFont val="Georgia"/>
        <family val="1"/>
      </rPr>
      <t>6M</t>
    </r>
  </si>
  <si>
    <r>
      <rPr>
        <sz val="11"/>
        <rFont val="Georgia"/>
        <family val="1"/>
      </rPr>
      <t>TKG-XZU600D-TUMMB-K</t>
    </r>
  </si>
  <si>
    <r>
      <rPr>
        <sz val="11"/>
        <rFont val="Georgia"/>
        <family val="1"/>
      </rPr>
      <t>DYNA DUMP G PACKAGE</t>
    </r>
  </si>
  <si>
    <r>
      <rPr>
        <sz val="11"/>
        <rFont val="Georgia"/>
        <family val="1"/>
      </rPr>
      <t>DYNA ROUTE VAN</t>
    </r>
  </si>
  <si>
    <r>
      <rPr>
        <sz val="11"/>
        <rFont val="Georgia"/>
        <family val="1"/>
      </rPr>
      <t>LDF-KDY241V-REMGY</t>
    </r>
  </si>
  <si>
    <r>
      <rPr>
        <sz val="11"/>
        <rFont val="Georgia"/>
        <family val="1"/>
      </rPr>
      <t>DYNA SLIDE TYPE DUMP</t>
    </r>
  </si>
  <si>
    <r>
      <rPr>
        <sz val="11"/>
        <rFont val="Georgia"/>
        <family val="1"/>
      </rPr>
      <t>2RG-ZXU630D-TMFQY</t>
    </r>
  </si>
  <si>
    <r>
      <rPr>
        <sz val="11"/>
        <rFont val="Georgia"/>
        <family val="1"/>
      </rPr>
      <t>ESQUIRE HYBRID Gi</t>
    </r>
  </si>
  <si>
    <r>
      <rPr>
        <sz val="11"/>
        <rFont val="Georgia"/>
        <family val="1"/>
      </rPr>
      <t>6AA-ZWR80G-CPXGB</t>
    </r>
  </si>
  <si>
    <r>
      <rPr>
        <sz val="11"/>
        <rFont val="Georgia"/>
        <family val="1"/>
      </rPr>
      <t>DAA-ZWR80G-CPXGB(L)</t>
    </r>
  </si>
  <si>
    <r>
      <rPr>
        <sz val="11"/>
        <rFont val="Georgia"/>
        <family val="1"/>
      </rPr>
      <t>ESQUIRE XI</t>
    </r>
  </si>
  <si>
    <r>
      <rPr>
        <sz val="11"/>
        <rFont val="Georgia"/>
        <family val="1"/>
      </rPr>
      <t>DBA-ZRR80G-VTTNCE</t>
    </r>
  </si>
  <si>
    <r>
      <rPr>
        <sz val="11"/>
        <rFont val="Georgia"/>
        <family val="1"/>
      </rPr>
      <t>ESTIMA AERAS SMART</t>
    </r>
  </si>
  <si>
    <r>
      <rPr>
        <sz val="11"/>
        <rFont val="Georgia"/>
        <family val="1"/>
      </rPr>
      <t>DBA-ACR50W-GFXVK</t>
    </r>
  </si>
  <si>
    <r>
      <rPr>
        <sz val="11"/>
        <rFont val="Georgia"/>
        <family val="1"/>
      </rPr>
      <t>ESTIMA HYBRID AERAS</t>
    </r>
  </si>
  <si>
    <r>
      <rPr>
        <sz val="11"/>
        <rFont val="Georgia"/>
        <family val="1"/>
      </rPr>
      <t>DAA-AHR20W-GFSB</t>
    </r>
  </si>
  <si>
    <r>
      <rPr>
        <sz val="11"/>
        <rFont val="Georgia"/>
        <family val="1"/>
      </rPr>
      <t>ESTIMA HYBRID AERAS PREMIUM G</t>
    </r>
  </si>
  <si>
    <r>
      <rPr>
        <sz val="11"/>
        <rFont val="Georgia"/>
        <family val="1"/>
      </rPr>
      <t>DAA-AHR20W-GFXB</t>
    </r>
  </si>
  <si>
    <r>
      <rPr>
        <sz val="11"/>
        <rFont val="Georgia"/>
        <family val="1"/>
      </rPr>
      <t>DAA-AHR20W-GFXZB</t>
    </r>
  </si>
  <si>
    <r>
      <rPr>
        <sz val="11"/>
        <rFont val="Georgia"/>
        <family val="1"/>
      </rPr>
      <t>FJ Cruiser</t>
    </r>
  </si>
  <si>
    <r>
      <rPr>
        <sz val="11"/>
        <rFont val="Georgia"/>
        <family val="1"/>
      </rPr>
      <t>CBA-GSJ15W-GKASK-A</t>
    </r>
  </si>
  <si>
    <r>
      <rPr>
        <sz val="11"/>
        <rFont val="Georgia"/>
        <family val="1"/>
      </rPr>
      <t>FORTUNER 1GD-E4</t>
    </r>
  </si>
  <si>
    <r>
      <rPr>
        <sz val="11"/>
        <rFont val="Georgia"/>
        <family val="1"/>
      </rPr>
      <t>GUN156R-SNFSXN</t>
    </r>
  </si>
  <si>
    <r>
      <rPr>
        <sz val="11"/>
        <rFont val="Georgia"/>
        <family val="1"/>
      </rPr>
      <t>FORTUNER EXECUTIVE TMT -E4</t>
    </r>
  </si>
  <si>
    <r>
      <rPr>
        <sz val="11"/>
        <rFont val="Georgia"/>
        <family val="1"/>
      </rPr>
      <t>GUN156R-SDTHX</t>
    </r>
  </si>
  <si>
    <r>
      <rPr>
        <sz val="11"/>
        <rFont val="Georgia"/>
        <family val="1"/>
      </rPr>
      <t>FORTUNER GD- EXECUTIVE PLUS EURO 4</t>
    </r>
  </si>
  <si>
    <r>
      <rPr>
        <sz val="11"/>
        <rFont val="Georgia"/>
        <family val="1"/>
      </rPr>
      <t>GUN156R-SJTSXJ</t>
    </r>
  </si>
  <si>
    <r>
      <rPr>
        <sz val="11"/>
        <rFont val="Georgia"/>
        <family val="1"/>
      </rPr>
      <t>GR COROLLA RZ</t>
    </r>
  </si>
  <si>
    <r>
      <rPr>
        <sz val="11"/>
        <rFont val="Georgia"/>
        <family val="1"/>
      </rPr>
      <t>4BA-GZEA14H-BHFRZ</t>
    </r>
  </si>
  <si>
    <r>
      <rPr>
        <sz val="11"/>
        <rFont val="Georgia"/>
        <family val="1"/>
      </rPr>
      <t>GR RZ</t>
    </r>
  </si>
  <si>
    <r>
      <rPr>
        <sz val="11"/>
        <rFont val="Georgia"/>
        <family val="1"/>
      </rPr>
      <t>3BA-ZN8-C2E8</t>
    </r>
  </si>
  <si>
    <r>
      <rPr>
        <sz val="11"/>
        <rFont val="Georgia"/>
        <family val="1"/>
      </rPr>
      <t>3BA-ZN8-B2E8</t>
    </r>
  </si>
  <si>
    <r>
      <rPr>
        <sz val="11"/>
        <rFont val="Georgia"/>
        <family val="1"/>
      </rPr>
      <t>GR SUPRA</t>
    </r>
  </si>
  <si>
    <r>
      <rPr>
        <sz val="11"/>
        <rFont val="Georgia"/>
        <family val="1"/>
      </rPr>
      <t>3BA-DB02-ZURW</t>
    </r>
  </si>
  <si>
    <r>
      <rPr>
        <sz val="11"/>
        <rFont val="Georgia"/>
        <family val="1"/>
      </rPr>
      <t>GR YARIS RZ</t>
    </r>
  </si>
  <si>
    <r>
      <rPr>
        <sz val="11"/>
        <rFont val="Georgia"/>
        <family val="1"/>
      </rPr>
      <t>4BA-GXPA16-AGFGZ(H)</t>
    </r>
  </si>
  <si>
    <r>
      <rPr>
        <sz val="11"/>
        <rFont val="Georgia"/>
        <family val="1"/>
      </rPr>
      <t>4BA-GXPA16-AGFG(H)</t>
    </r>
  </si>
  <si>
    <r>
      <rPr>
        <sz val="11"/>
        <rFont val="Georgia"/>
        <family val="1"/>
      </rPr>
      <t>GR YARIS RZ HIGH PERFORMANCE</t>
    </r>
  </si>
  <si>
    <r>
      <rPr>
        <sz val="11"/>
        <rFont val="Georgia"/>
        <family val="1"/>
      </rPr>
      <t>GR86 RZ</t>
    </r>
  </si>
  <si>
    <r>
      <rPr>
        <sz val="11"/>
        <rFont val="Georgia"/>
        <family val="1"/>
      </rPr>
      <t>3BA-ZN8-A2E8</t>
    </r>
  </si>
  <si>
    <r>
      <rPr>
        <sz val="11"/>
        <rFont val="Georgia"/>
        <family val="1"/>
      </rPr>
      <t>GRANACE</t>
    </r>
  </si>
  <si>
    <r>
      <rPr>
        <sz val="11"/>
        <rFont val="Georgia"/>
        <family val="1"/>
      </rPr>
      <t>3DA-GDH303W-RDTDJY</t>
    </r>
  </si>
  <si>
    <r>
      <rPr>
        <sz val="11"/>
        <rFont val="Georgia"/>
        <family val="1"/>
      </rPr>
      <t>GRANACE PREMIUM</t>
    </r>
  </si>
  <si>
    <r>
      <rPr>
        <sz val="11"/>
        <rFont val="Georgia"/>
        <family val="1"/>
      </rPr>
      <t>3DA-GDH303W-RDTJY</t>
    </r>
  </si>
  <si>
    <r>
      <rPr>
        <sz val="11"/>
        <rFont val="Georgia"/>
        <family val="1"/>
      </rPr>
      <t>HARRIER</t>
    </r>
  </si>
  <si>
    <r>
      <rPr>
        <sz val="11"/>
        <rFont val="Georgia"/>
        <family val="1"/>
      </rPr>
      <t>DBA-ASU60W-ANTST(S)</t>
    </r>
  </si>
  <si>
    <r>
      <rPr>
        <sz val="11"/>
        <rFont val="Georgia"/>
        <family val="1"/>
      </rPr>
      <t>HARRIER PHEV Z (PLUG-IN-HYBRID)</t>
    </r>
  </si>
  <si>
    <r>
      <rPr>
        <sz val="11"/>
        <rFont val="Georgia"/>
        <family val="1"/>
      </rPr>
      <t>6LA-AXUP85-ANKSB</t>
    </r>
  </si>
  <si>
    <r>
      <rPr>
        <sz val="11"/>
        <rFont val="Georgia"/>
        <family val="1"/>
      </rPr>
      <t>6LA-AXUP85-ANXSB</t>
    </r>
  </si>
  <si>
    <r>
      <rPr>
        <sz val="11"/>
        <rFont val="Georgia"/>
        <family val="1"/>
      </rPr>
      <t>HARRIER PROGRESS</t>
    </r>
  </si>
  <si>
    <r>
      <rPr>
        <sz val="11"/>
        <rFont val="Georgia"/>
        <family val="1"/>
      </rPr>
      <t>HARRIER Z</t>
    </r>
  </si>
  <si>
    <r>
      <rPr>
        <sz val="11"/>
        <rFont val="Georgia"/>
        <family val="1"/>
      </rPr>
      <t>6AA-AXUH80-ANXSB(S)</t>
    </r>
  </si>
  <si>
    <r>
      <rPr>
        <sz val="11"/>
        <rFont val="Georgia"/>
        <family val="1"/>
      </rPr>
      <t>HARRIER Z "LEATHER PACKAGE" HYBRID</t>
    </r>
  </si>
  <si>
    <r>
      <rPr>
        <sz val="11"/>
        <rFont val="Georgia"/>
        <family val="1"/>
      </rPr>
      <t>6AA-AXHU80-ANXSB(S)</t>
    </r>
  </si>
  <si>
    <r>
      <rPr>
        <sz val="11"/>
        <rFont val="Georgia"/>
        <family val="1"/>
      </rPr>
      <t>HARRIER Z LEATHER PACKAGE</t>
    </r>
  </si>
  <si>
    <r>
      <rPr>
        <sz val="11"/>
        <rFont val="Georgia"/>
        <family val="1"/>
      </rPr>
      <t>HIACE COMMUTER GL</t>
    </r>
  </si>
  <si>
    <r>
      <rPr>
        <sz val="11"/>
        <rFont val="Georgia"/>
        <family val="1"/>
      </rPr>
      <t>3BF-TRH223B-LETNK</t>
    </r>
  </si>
  <si>
    <r>
      <rPr>
        <sz val="11"/>
        <rFont val="Georgia"/>
        <family val="1"/>
      </rPr>
      <t>CBF-TRH223B-LETNK</t>
    </r>
  </si>
  <si>
    <r>
      <rPr>
        <sz val="11"/>
        <rFont val="Georgia"/>
        <family val="1"/>
      </rPr>
      <t>HIACE DX</t>
    </r>
  </si>
  <si>
    <r>
      <rPr>
        <sz val="11"/>
        <rFont val="Georgia"/>
        <family val="1"/>
      </rPr>
      <t>3BF-TRH200K-VTZYF</t>
    </r>
  </si>
  <si>
    <r>
      <rPr>
        <sz val="11"/>
        <rFont val="Georgia"/>
        <family val="1"/>
      </rPr>
      <t>CBF-TRH200K-VTZYF</t>
    </r>
  </si>
  <si>
    <r>
      <rPr>
        <sz val="11"/>
        <rFont val="Georgia"/>
        <family val="1"/>
      </rPr>
      <t>HIACE FINE TECH TOURER</t>
    </r>
  </si>
  <si>
    <r>
      <rPr>
        <sz val="11"/>
        <rFont val="Georgia"/>
        <family val="1"/>
      </rPr>
      <t>CBA-TRH224W-VTNGTQ</t>
    </r>
  </si>
  <si>
    <r>
      <rPr>
        <sz val="11"/>
        <rFont val="Georgia"/>
        <family val="1"/>
      </rPr>
      <t>3BA-TRH224W-VTNGTQ</t>
    </r>
  </si>
  <si>
    <r>
      <rPr>
        <sz val="11"/>
        <rFont val="Georgia"/>
        <family val="1"/>
      </rPr>
      <t>HIACE FINE TECH TOWER</t>
    </r>
  </si>
  <si>
    <r>
      <rPr>
        <sz val="11"/>
        <rFont val="Georgia"/>
        <family val="1"/>
      </rPr>
      <t>HIACE LOW TEMP REFRIGERATING    VAN</t>
    </r>
  </si>
  <si>
    <r>
      <rPr>
        <sz val="11"/>
        <rFont val="Georgia"/>
        <family val="1"/>
      </rPr>
      <t>3DF-GDH201V-VTBTTB</t>
    </r>
  </si>
  <si>
    <r>
      <rPr>
        <sz val="11"/>
        <rFont val="Georgia"/>
        <family val="1"/>
      </rPr>
      <t xml:space="preserve">HIACE LOW TEMPERATURE REFRIGERATING
</t>
    </r>
    <r>
      <rPr>
        <sz val="11"/>
        <rFont val="Georgia"/>
        <family val="1"/>
      </rPr>
      <t>VAN</t>
    </r>
  </si>
  <si>
    <r>
      <rPr>
        <sz val="11"/>
        <rFont val="Georgia"/>
        <family val="1"/>
      </rPr>
      <t>HIACE SCHOOL BUS</t>
    </r>
  </si>
  <si>
    <r>
      <rPr>
        <sz val="11"/>
        <rFont val="Georgia"/>
        <family val="1"/>
      </rPr>
      <t>3BA-TRH219W-VTNHTD</t>
    </r>
  </si>
  <si>
    <r>
      <rPr>
        <sz val="11"/>
        <rFont val="Georgia"/>
        <family val="1"/>
      </rPr>
      <t>CBA-TRH219W-VTNHTD</t>
    </r>
  </si>
  <si>
    <r>
      <rPr>
        <sz val="11"/>
        <rFont val="Georgia"/>
        <family val="1"/>
      </rPr>
      <t>HIACE VAN</t>
    </r>
  </si>
  <si>
    <r>
      <rPr>
        <sz val="11"/>
        <rFont val="Georgia"/>
        <family val="1"/>
      </rPr>
      <t>3BF-TRH200K-VTASTL</t>
    </r>
  </si>
  <si>
    <r>
      <rPr>
        <sz val="11"/>
        <rFont val="Georgia"/>
        <family val="1"/>
      </rPr>
      <t>3DF-GDH211K-KRTEY</t>
    </r>
  </si>
  <si>
    <r>
      <rPr>
        <sz val="11"/>
        <rFont val="Georgia"/>
        <family val="1"/>
      </rPr>
      <t>QDF-KDH201C-SRPEY</t>
    </r>
  </si>
  <si>
    <r>
      <rPr>
        <sz val="11"/>
        <rFont val="Georgia"/>
        <family val="1"/>
      </rPr>
      <t>CBF-TRH200K-VTASTL</t>
    </r>
  </si>
  <si>
    <r>
      <rPr>
        <sz val="11"/>
        <rFont val="Georgia"/>
        <family val="1"/>
      </rPr>
      <t>QDF-QDH201V-SRTEY</t>
    </r>
  </si>
  <si>
    <r>
      <rPr>
        <sz val="11"/>
        <rFont val="Georgia"/>
        <family val="1"/>
      </rPr>
      <t>HIACE VAN GL</t>
    </r>
  </si>
  <si>
    <r>
      <rPr>
        <sz val="11"/>
        <rFont val="Georgia"/>
        <family val="1"/>
      </rPr>
      <t>QDF-GDH201V-SRTEY</t>
    </r>
  </si>
  <si>
    <r>
      <rPr>
        <sz val="11"/>
        <rFont val="Georgia"/>
        <family val="1"/>
      </rPr>
      <t>HIACE VAN MODERATE TEMPERATURE REFRIG</t>
    </r>
  </si>
  <si>
    <r>
      <rPr>
        <sz val="11"/>
        <rFont val="Georgia"/>
        <family val="1"/>
      </rPr>
      <t>3BF-TRH200V-VTBPTK</t>
    </r>
  </si>
  <si>
    <r>
      <rPr>
        <sz val="11"/>
        <rFont val="Georgia"/>
        <family val="1"/>
      </rPr>
      <t>HIACE VAN VAN WITH LIFT</t>
    </r>
  </si>
  <si>
    <r>
      <rPr>
        <sz val="11"/>
        <rFont val="Georgia"/>
        <family val="1"/>
      </rPr>
      <t>HIACE WAGON</t>
    </r>
  </si>
  <si>
    <r>
      <rPr>
        <sz val="11"/>
        <rFont val="Georgia"/>
        <family val="1"/>
      </rPr>
      <t>3BA-TRH224-LDTNK</t>
    </r>
  </si>
  <si>
    <r>
      <rPr>
        <sz val="11"/>
        <rFont val="Georgia"/>
        <family val="1"/>
      </rPr>
      <t>CBA-TRH224W-LDTNK</t>
    </r>
  </si>
  <si>
    <r>
      <rPr>
        <sz val="11"/>
        <rFont val="Georgia"/>
        <family val="1"/>
      </rPr>
      <t>HIACE WAGON GRAND CABIN</t>
    </r>
  </si>
  <si>
    <r>
      <rPr>
        <sz val="11"/>
        <rFont val="Georgia"/>
        <family val="1"/>
      </rPr>
      <t>3BA--TRH224W-LDTNK</t>
    </r>
  </si>
  <si>
    <r>
      <rPr>
        <sz val="11"/>
        <rFont val="Georgia"/>
        <family val="1"/>
      </rPr>
      <t>3BA-TRH224W-LDTNK</t>
    </r>
  </si>
  <si>
    <r>
      <rPr>
        <sz val="11"/>
        <rFont val="Georgia"/>
        <family val="1"/>
      </rPr>
      <t>HIACE WELCAB DX</t>
    </r>
  </si>
  <si>
    <r>
      <rPr>
        <sz val="11"/>
        <rFont val="Georgia"/>
        <family val="1"/>
      </rPr>
      <t>3BF-TRH200K-VTZYBUW</t>
    </r>
  </si>
  <si>
    <r>
      <rPr>
        <sz val="11"/>
        <rFont val="Georgia"/>
        <family val="1"/>
      </rPr>
      <t xml:space="preserve">HILUX 2GD 4 S/CAB  STD-E4 (VEHICLE
</t>
    </r>
    <r>
      <rPr>
        <sz val="11"/>
        <rFont val="Georgia"/>
        <family val="1"/>
      </rPr>
      <t>STABILITY CONTROL; AIRBAGS;  WITH AIR CONDITIONER)</t>
    </r>
  </si>
  <si>
    <r>
      <rPr>
        <sz val="11"/>
        <rFont val="Georgia"/>
        <family val="1"/>
      </rPr>
      <t>GUN125R-BJFSXJ</t>
    </r>
  </si>
  <si>
    <r>
      <rPr>
        <sz val="11"/>
        <rFont val="Georgia"/>
        <family val="1"/>
      </rPr>
      <t>HILUX 2GD D/CAB BASIC-E4 ( WITHOUT CENTR</t>
    </r>
  </si>
  <si>
    <r>
      <rPr>
        <sz val="11"/>
        <rFont val="Georgia"/>
        <family val="1"/>
      </rPr>
      <t>GUN125R-DJFLXJ</t>
    </r>
  </si>
  <si>
    <r>
      <rPr>
        <sz val="11"/>
        <rFont val="Georgia"/>
        <family val="1"/>
      </rPr>
      <t>HILUX 2GD D/CAB -E4 (FABRIC SEATS)</t>
    </r>
  </si>
  <si>
    <r>
      <rPr>
        <sz val="11"/>
        <rFont val="Georgia"/>
        <family val="1"/>
      </rPr>
      <t>GUN126R-DJFHXJ</t>
    </r>
  </si>
  <si>
    <r>
      <rPr>
        <sz val="11"/>
        <rFont val="Georgia"/>
        <family val="1"/>
      </rPr>
      <t>HILUX 2GD D/CAB -E4 (LEATHER SEATS)</t>
    </r>
  </si>
  <si>
    <r>
      <rPr>
        <sz val="11"/>
        <rFont val="Georgia"/>
        <family val="1"/>
      </rPr>
      <t>GUN126R-DJTHXJ</t>
    </r>
  </si>
  <si>
    <r>
      <rPr>
        <sz val="11"/>
        <rFont val="Georgia"/>
        <family val="1"/>
      </rPr>
      <t>HILUX 2GD D/CAB STD-E4 (INCLUDES CENTRAL</t>
    </r>
  </si>
  <si>
    <r>
      <rPr>
        <sz val="11"/>
        <rFont val="Georgia"/>
        <family val="1"/>
      </rPr>
      <t xml:space="preserve">HILUX 2GD S/CAB -E4 (WITH DIFF LOCK;
</t>
    </r>
    <r>
      <rPr>
        <sz val="11"/>
        <rFont val="Georgia"/>
        <family val="1"/>
      </rPr>
      <t>WITH AIR CONDITIONER; DRIVER &amp; PASSANGER AIRBAGS)</t>
    </r>
  </si>
  <si>
    <r>
      <rPr>
        <sz val="11"/>
        <rFont val="Georgia"/>
        <family val="1"/>
      </rPr>
      <t>GUN135R-BJFLXJ</t>
    </r>
  </si>
  <si>
    <r>
      <rPr>
        <sz val="11"/>
        <rFont val="Georgia"/>
        <family val="1"/>
      </rPr>
      <t>HILUX D/C GD-6 COMFORT PLUS TMT-E4*</t>
    </r>
  </si>
  <si>
    <r>
      <rPr>
        <sz val="11"/>
        <rFont val="Georgia"/>
        <family val="1"/>
      </rPr>
      <t>GUN125R-DTFSX</t>
    </r>
  </si>
  <si>
    <r>
      <rPr>
        <sz val="11"/>
        <rFont val="Georgia"/>
        <family val="1"/>
      </rPr>
      <t>HILUX D/C GD-6 COUNTRY TMT - E4</t>
    </r>
  </si>
  <si>
    <r>
      <rPr>
        <sz val="11"/>
        <rFont val="Georgia"/>
        <family val="1"/>
      </rPr>
      <t>GUN125R-DTFLX</t>
    </r>
  </si>
  <si>
    <r>
      <rPr>
        <sz val="11"/>
        <rFont val="Georgia"/>
        <family val="1"/>
      </rPr>
      <t>HILUX D/CAB DELUXE 2GD  - E0</t>
    </r>
  </si>
  <si>
    <r>
      <rPr>
        <sz val="11"/>
        <rFont val="Georgia"/>
        <family val="1"/>
      </rPr>
      <t>GUN125R-DNFSXN</t>
    </r>
  </si>
  <si>
    <r>
      <rPr>
        <sz val="11"/>
        <rFont val="Georgia"/>
        <family val="1"/>
      </rPr>
      <t>HILUX D/CAB DELUXE 2GD - E4</t>
    </r>
  </si>
  <si>
    <r>
      <rPr>
        <sz val="11"/>
        <rFont val="Georgia"/>
        <family val="1"/>
      </rPr>
      <t>GUN125R-DNTSXN</t>
    </r>
  </si>
  <si>
    <r>
      <rPr>
        <sz val="11"/>
        <rFont val="Georgia"/>
        <family val="1"/>
      </rPr>
      <t>HILUX Z</t>
    </r>
  </si>
  <si>
    <r>
      <rPr>
        <sz val="11"/>
        <rFont val="Georgia"/>
        <family val="1"/>
      </rPr>
      <t>3DF-GUN125-DTTHX</t>
    </r>
  </si>
  <si>
    <r>
      <rPr>
        <sz val="11"/>
        <rFont val="Georgia"/>
        <family val="1"/>
      </rPr>
      <t>6AT/CVT</t>
    </r>
  </si>
  <si>
    <r>
      <rPr>
        <sz val="11"/>
        <rFont val="Georgia"/>
        <family val="1"/>
      </rPr>
      <t>QDF-GUN125-DTTHH</t>
    </r>
  </si>
  <si>
    <r>
      <rPr>
        <sz val="11"/>
        <rFont val="Georgia"/>
        <family val="1"/>
      </rPr>
      <t>GDF-GUN125-DTTHH</t>
    </r>
  </si>
  <si>
    <r>
      <rPr>
        <sz val="11"/>
        <rFont val="Georgia"/>
        <family val="1"/>
      </rPr>
      <t>HYBRID F / VITZ HYBRID F</t>
    </r>
  </si>
  <si>
    <r>
      <rPr>
        <sz val="11"/>
        <rFont val="Georgia"/>
        <family val="1"/>
      </rPr>
      <t>DAA-NHP130-VTPBXN</t>
    </r>
  </si>
  <si>
    <r>
      <rPr>
        <sz val="11"/>
        <rFont val="Georgia"/>
        <family val="1"/>
      </rPr>
      <t>ISIS PLATANA "V-SELECTION" 2.0L</t>
    </r>
  </si>
  <si>
    <r>
      <rPr>
        <sz val="11"/>
        <rFont val="Georgia"/>
        <family val="1"/>
      </rPr>
      <t>DBA-ZGM11W-AWXSP(U)</t>
    </r>
  </si>
  <si>
    <r>
      <rPr>
        <sz val="11"/>
        <rFont val="Georgia"/>
        <family val="1"/>
      </rPr>
      <t>JPN TAXI</t>
    </r>
  </si>
  <si>
    <r>
      <rPr>
        <sz val="11"/>
        <rFont val="Georgia"/>
        <family val="1"/>
      </rPr>
      <t>DAA-NTP10-AHXGN(K)</t>
    </r>
  </si>
  <si>
    <r>
      <rPr>
        <sz val="11"/>
        <rFont val="Georgia"/>
        <family val="1"/>
      </rPr>
      <t>DAA-NTP10-AHXGN</t>
    </r>
  </si>
  <si>
    <r>
      <rPr>
        <sz val="11"/>
        <rFont val="Georgia"/>
        <family val="1"/>
      </rPr>
      <t>6AA-NTP10-AHXGN(K)</t>
    </r>
  </si>
  <si>
    <r>
      <rPr>
        <sz val="11"/>
        <rFont val="Georgia"/>
        <family val="1"/>
      </rPr>
      <t>JPN TAXI TAKUMI</t>
    </r>
  </si>
  <si>
    <r>
      <rPr>
        <sz val="11"/>
        <rFont val="Georgia"/>
        <family val="1"/>
      </rPr>
      <t>6AA-NTP10-AHXGN</t>
    </r>
  </si>
  <si>
    <r>
      <rPr>
        <sz val="11"/>
        <rFont val="Georgia"/>
        <family val="1"/>
      </rPr>
      <t>LAND CRUISER 200 VXR 1VD</t>
    </r>
  </si>
  <si>
    <r>
      <rPr>
        <sz val="11"/>
        <rFont val="Georgia"/>
        <family val="1"/>
      </rPr>
      <t>VDJ200R-GNTVZ</t>
    </r>
  </si>
  <si>
    <r>
      <rPr>
        <sz val="11"/>
        <rFont val="Georgia"/>
        <family val="1"/>
      </rPr>
      <t>LAND CRUISER PRADO TZ-G</t>
    </r>
  </si>
  <si>
    <r>
      <rPr>
        <sz val="11"/>
        <rFont val="Georgia"/>
        <family val="1"/>
      </rPr>
      <t>3DA-GDJ151W-GKTZY</t>
    </r>
  </si>
  <si>
    <r>
      <rPr>
        <sz val="11"/>
        <rFont val="Georgia"/>
        <family val="1"/>
      </rPr>
      <t>LDA-GDJ151W-GKTZY</t>
    </r>
  </si>
  <si>
    <r>
      <rPr>
        <sz val="11"/>
        <rFont val="Georgia"/>
        <family val="1"/>
      </rPr>
      <t>LAND CRUISER ZX</t>
    </r>
  </si>
  <si>
    <r>
      <rPr>
        <sz val="11"/>
        <rFont val="Georgia"/>
        <family val="1"/>
      </rPr>
      <t>3BA-VJA300W-GNUZZ</t>
    </r>
  </si>
  <si>
    <r>
      <rPr>
        <sz val="11"/>
        <rFont val="Georgia"/>
        <family val="1"/>
      </rPr>
      <t>3BA-URJ202W-GNTVK</t>
    </r>
  </si>
  <si>
    <r>
      <rPr>
        <sz val="11"/>
        <rFont val="Georgia"/>
        <family val="1"/>
      </rPr>
      <t>CBA-URJ202W-GNYVK</t>
    </r>
  </si>
  <si>
    <r>
      <rPr>
        <sz val="11"/>
        <rFont val="Georgia"/>
        <family val="1"/>
      </rPr>
      <t>CBA-URJ202W-GNTVK</t>
    </r>
  </si>
  <si>
    <r>
      <rPr>
        <sz val="11"/>
        <rFont val="Georgia"/>
        <family val="1"/>
      </rPr>
      <t>LANDCRUISER 79VD SINGLE CABIN E4</t>
    </r>
  </si>
  <si>
    <r>
      <rPr>
        <sz val="11"/>
        <rFont val="Georgia"/>
        <family val="1"/>
      </rPr>
      <t>VDJ79R-TJMNYJ</t>
    </r>
  </si>
  <si>
    <r>
      <rPr>
        <sz val="11"/>
        <rFont val="Georgia"/>
        <family val="1"/>
      </rPr>
      <t>LANDCRUISER HARDTOP LX</t>
    </r>
  </si>
  <si>
    <r>
      <rPr>
        <sz val="11"/>
        <rFont val="Georgia"/>
        <family val="1"/>
      </rPr>
      <t>VDJ76R-RKMNY</t>
    </r>
  </si>
  <si>
    <r>
      <rPr>
        <sz val="11"/>
        <rFont val="Georgia"/>
        <family val="1"/>
      </rPr>
      <t>LITE ACE DX</t>
    </r>
  </si>
  <si>
    <r>
      <rPr>
        <sz val="11"/>
        <rFont val="Georgia"/>
        <family val="1"/>
      </rPr>
      <t>DBF-S412-ZMRFJD</t>
    </r>
  </si>
  <si>
    <r>
      <rPr>
        <sz val="11"/>
        <rFont val="Georgia"/>
        <family val="1"/>
      </rPr>
      <t>LITE ACE TRUCK DX</t>
    </r>
  </si>
  <si>
    <r>
      <rPr>
        <sz val="11"/>
        <rFont val="Georgia"/>
        <family val="1"/>
      </rPr>
      <t>DBF-S402U-TQRFJD</t>
    </r>
  </si>
  <si>
    <r>
      <rPr>
        <sz val="11"/>
        <rFont val="Georgia"/>
        <family val="1"/>
      </rPr>
      <t>LITE ACE VAN</t>
    </r>
  </si>
  <si>
    <r>
      <rPr>
        <sz val="11"/>
        <rFont val="Georgia"/>
        <family val="1"/>
      </rPr>
      <t>DBF-S412M-ZMRFJD</t>
    </r>
  </si>
  <si>
    <r>
      <rPr>
        <sz val="11"/>
        <rFont val="Georgia"/>
        <family val="1"/>
      </rPr>
      <t>LITE ACE VAN GL</t>
    </r>
  </si>
  <si>
    <r>
      <rPr>
        <sz val="11"/>
        <rFont val="Georgia"/>
        <family val="1"/>
      </rPr>
      <t>MARK X</t>
    </r>
  </si>
  <si>
    <r>
      <rPr>
        <sz val="11"/>
        <rFont val="Georgia"/>
        <family val="1"/>
      </rPr>
      <t>DBA-GRX133-AETTH</t>
    </r>
  </si>
  <si>
    <r>
      <rPr>
        <sz val="11"/>
        <rFont val="Georgia"/>
        <family val="1"/>
      </rPr>
      <t>MARK X 350RDS</t>
    </r>
  </si>
  <si>
    <r>
      <rPr>
        <sz val="11"/>
        <rFont val="Georgia"/>
        <family val="1"/>
      </rPr>
      <t>DBA-GR133-AETTH</t>
    </r>
  </si>
  <si>
    <r>
      <rPr>
        <sz val="11"/>
        <rFont val="Georgia"/>
        <family val="1"/>
      </rPr>
      <t>MIRAI</t>
    </r>
  </si>
  <si>
    <r>
      <rPr>
        <sz val="11"/>
        <rFont val="Georgia"/>
        <family val="1"/>
      </rPr>
      <t>ZBA-JPD10-CEDSS</t>
    </r>
  </si>
  <si>
    <r>
      <rPr>
        <sz val="11"/>
        <rFont val="Georgia"/>
        <family val="1"/>
      </rPr>
      <t>MIRAI Z</t>
    </r>
  </si>
  <si>
    <r>
      <rPr>
        <sz val="11"/>
        <rFont val="Georgia"/>
        <family val="1"/>
      </rPr>
      <t>ZBA-JPD20-CEDHS</t>
    </r>
  </si>
  <si>
    <r>
      <rPr>
        <sz val="11"/>
        <rFont val="Georgia"/>
        <family val="1"/>
      </rPr>
      <t>MIRAI Z "ADVANCED DRIVE"</t>
    </r>
  </si>
  <si>
    <r>
      <rPr>
        <sz val="11"/>
        <rFont val="Georgia"/>
        <family val="1"/>
      </rPr>
      <t>ZBA-JPD20-CEDHS(T)</t>
    </r>
  </si>
  <si>
    <r>
      <rPr>
        <sz val="11"/>
        <rFont val="Georgia"/>
        <family val="1"/>
      </rPr>
      <t>NOAH CROWN Z</t>
    </r>
  </si>
  <si>
    <r>
      <rPr>
        <sz val="11"/>
        <rFont val="Georgia"/>
        <family val="1"/>
      </rPr>
      <t>ZBA-KZSM30-CEDGS</t>
    </r>
  </si>
  <si>
    <r>
      <rPr>
        <sz val="11"/>
        <rFont val="Georgia"/>
        <family val="1"/>
      </rPr>
      <t>NOAH G (HYBRID)</t>
    </r>
  </si>
  <si>
    <r>
      <rPr>
        <sz val="11"/>
        <rFont val="Georgia"/>
        <family val="1"/>
      </rPr>
      <t>6AA-ZWR92W-APXGB</t>
    </r>
  </si>
  <si>
    <r>
      <rPr>
        <sz val="11"/>
        <rFont val="Georgia"/>
        <family val="1"/>
      </rPr>
      <t>NOAH HYBRID Si</t>
    </r>
  </si>
  <si>
    <r>
      <rPr>
        <sz val="11"/>
        <rFont val="Georgia"/>
        <family val="1"/>
      </rPr>
      <t>6AA-ZWR80W-APXSB</t>
    </r>
  </si>
  <si>
    <r>
      <rPr>
        <sz val="11"/>
        <rFont val="Georgia"/>
        <family val="1"/>
      </rPr>
      <t>DAA-ZWR80W-APXSB</t>
    </r>
  </si>
  <si>
    <r>
      <rPr>
        <sz val="11"/>
        <rFont val="Georgia"/>
        <family val="1"/>
      </rPr>
      <t>NOAH S-Z (HYBRID)</t>
    </r>
  </si>
  <si>
    <r>
      <rPr>
        <sz val="11"/>
        <rFont val="Georgia"/>
        <family val="1"/>
      </rPr>
      <t>6AA-ZWR90W-APXRB</t>
    </r>
  </si>
  <si>
    <r>
      <rPr>
        <sz val="11"/>
        <rFont val="Georgia"/>
        <family val="1"/>
      </rPr>
      <t>NOAH WELCAB G HYBRID</t>
    </r>
  </si>
  <si>
    <r>
      <rPr>
        <sz val="11"/>
        <rFont val="Georgia"/>
        <family val="1"/>
      </rPr>
      <t>NOAH WELCAB S-G HYBRID</t>
    </r>
  </si>
  <si>
    <r>
      <rPr>
        <sz val="11"/>
        <rFont val="Georgia"/>
        <family val="1"/>
      </rPr>
      <t>6AA-ZWR90W-APXSB-W</t>
    </r>
  </si>
  <si>
    <r>
      <rPr>
        <sz val="11"/>
        <rFont val="Georgia"/>
        <family val="1"/>
      </rPr>
      <t>NOAH WELCAB X</t>
    </r>
  </si>
  <si>
    <r>
      <rPr>
        <sz val="11"/>
        <rFont val="Georgia"/>
        <family val="1"/>
      </rPr>
      <t>6BA-MZRAW-VTRGAB</t>
    </r>
  </si>
  <si>
    <r>
      <rPr>
        <sz val="11"/>
        <rFont val="Georgia"/>
        <family val="1"/>
      </rPr>
      <t>NOAH X</t>
    </r>
  </si>
  <si>
    <r>
      <rPr>
        <sz val="11"/>
        <rFont val="Georgia"/>
        <family val="1"/>
      </rPr>
      <t>DBA-ZRR80G-VTRFAE</t>
    </r>
  </si>
  <si>
    <r>
      <rPr>
        <sz val="11"/>
        <rFont val="Georgia"/>
        <family val="1"/>
      </rPr>
      <t>3BA-ZRR80G-VTRFAE</t>
    </r>
  </si>
  <si>
    <r>
      <rPr>
        <sz val="11"/>
        <rFont val="Georgia"/>
        <family val="1"/>
      </rPr>
      <t>PASSO MODA</t>
    </r>
  </si>
  <si>
    <r>
      <rPr>
        <sz val="11"/>
        <rFont val="Georgia"/>
        <family val="1"/>
      </rPr>
      <t>5BA-M700A-GBSE(G)</t>
    </r>
  </si>
  <si>
    <r>
      <rPr>
        <sz val="11"/>
        <rFont val="Georgia"/>
        <family val="1"/>
      </rPr>
      <t>PASSO MODA G</t>
    </r>
  </si>
  <si>
    <r>
      <rPr>
        <sz val="11"/>
        <rFont val="Georgia"/>
        <family val="1"/>
      </rPr>
      <t>PASSO X G PACKAGE</t>
    </r>
  </si>
  <si>
    <r>
      <rPr>
        <sz val="11"/>
        <rFont val="Georgia"/>
        <family val="1"/>
      </rPr>
      <t>DBA-M700A-GBNE(G)</t>
    </r>
  </si>
  <si>
    <r>
      <rPr>
        <sz val="11"/>
        <rFont val="Georgia"/>
        <family val="1"/>
      </rPr>
      <t>PIXIS EPOCH G</t>
    </r>
  </si>
  <si>
    <r>
      <rPr>
        <sz val="11"/>
        <rFont val="Georgia"/>
        <family val="1"/>
      </rPr>
      <t>5BA-LA350A-GBPF</t>
    </r>
  </si>
  <si>
    <r>
      <rPr>
        <sz val="11"/>
        <rFont val="Georgia"/>
        <family val="1"/>
      </rPr>
      <t>DBA-LA350A-GBPF</t>
    </r>
  </si>
  <si>
    <r>
      <rPr>
        <sz val="11"/>
        <rFont val="Georgia"/>
        <family val="1"/>
      </rPr>
      <t>PIXIS EPOCH G"SA "III</t>
    </r>
  </si>
  <si>
    <r>
      <rPr>
        <sz val="11"/>
        <rFont val="Georgia"/>
        <family val="1"/>
      </rPr>
      <t>DBA-LA350-GBPF</t>
    </r>
  </si>
  <si>
    <r>
      <rPr>
        <sz val="11"/>
        <rFont val="Georgia"/>
        <family val="1"/>
      </rPr>
      <t>PIXIS G</t>
    </r>
  </si>
  <si>
    <r>
      <rPr>
        <sz val="11"/>
        <rFont val="Georgia"/>
        <family val="1"/>
      </rPr>
      <t>PIXIS G TURBO</t>
    </r>
  </si>
  <si>
    <r>
      <rPr>
        <sz val="11"/>
        <rFont val="Georgia"/>
        <family val="1"/>
      </rPr>
      <t>3BA-LA250A-GBVZ</t>
    </r>
  </si>
  <si>
    <r>
      <rPr>
        <sz val="11"/>
        <rFont val="Georgia"/>
        <family val="1"/>
      </rPr>
      <t>PIXIS JOY  F G TURBO "SA III"</t>
    </r>
  </si>
  <si>
    <r>
      <rPr>
        <sz val="11"/>
        <rFont val="Georgia"/>
        <family val="1"/>
      </rPr>
      <t>3BA-LA20A-GBVZ</t>
    </r>
  </si>
  <si>
    <r>
      <rPr>
        <sz val="11"/>
        <rFont val="Georgia"/>
        <family val="1"/>
      </rPr>
      <t>PIXIS JOY C G</t>
    </r>
  </si>
  <si>
    <r>
      <rPr>
        <sz val="11"/>
        <rFont val="Georgia"/>
        <family val="1"/>
      </rPr>
      <t>DBA-LA250A-GBGZ</t>
    </r>
  </si>
  <si>
    <r>
      <rPr>
        <sz val="11"/>
        <rFont val="Georgia"/>
        <family val="1"/>
      </rPr>
      <t>PIXIS JOY C G TURBO"SA III"</t>
    </r>
  </si>
  <si>
    <r>
      <rPr>
        <sz val="11"/>
        <rFont val="Georgia"/>
        <family val="1"/>
      </rPr>
      <t>PIXIS JOY F G</t>
    </r>
  </si>
  <si>
    <r>
      <rPr>
        <sz val="11"/>
        <rFont val="Georgia"/>
        <family val="1"/>
      </rPr>
      <t>3BA-LA250A-GBVZ(P)</t>
    </r>
  </si>
  <si>
    <r>
      <rPr>
        <sz val="11"/>
        <rFont val="Georgia"/>
        <family val="1"/>
      </rPr>
      <t>PIXIS MEGA G</t>
    </r>
  </si>
  <si>
    <r>
      <rPr>
        <sz val="11"/>
        <rFont val="Georgia"/>
        <family val="1"/>
      </rPr>
      <t>DBA-LA700A-GBVZ</t>
    </r>
  </si>
  <si>
    <r>
      <rPr>
        <sz val="11"/>
        <rFont val="Georgia"/>
        <family val="1"/>
      </rPr>
      <t>PIXIS MEGA G TURBO</t>
    </r>
  </si>
  <si>
    <r>
      <rPr>
        <sz val="11"/>
        <rFont val="Georgia"/>
        <family val="1"/>
      </rPr>
      <t>3BA-LA700A-GBVZ</t>
    </r>
  </si>
  <si>
    <r>
      <rPr>
        <sz val="11"/>
        <rFont val="Georgia"/>
        <family val="1"/>
      </rPr>
      <t>PIXIS MEGA G TURBO "SA II"</t>
    </r>
  </si>
  <si>
    <r>
      <rPr>
        <sz val="11"/>
        <rFont val="Georgia"/>
        <family val="1"/>
      </rPr>
      <t>PIXIS MEGA TURBO "SA III"</t>
    </r>
  </si>
  <si>
    <r>
      <rPr>
        <sz val="11"/>
        <rFont val="Georgia"/>
        <family val="1"/>
      </rPr>
      <t>PIXIS TRUCK EXTRA</t>
    </r>
  </si>
  <si>
    <r>
      <rPr>
        <sz val="11"/>
        <rFont val="Georgia"/>
        <family val="1"/>
      </rPr>
      <t>EBD-S510U-TMNF</t>
    </r>
  </si>
  <si>
    <r>
      <rPr>
        <sz val="11"/>
        <rFont val="Georgia"/>
        <family val="1"/>
      </rPr>
      <t>3BD-S510U-TBNF</t>
    </r>
  </si>
  <si>
    <r>
      <rPr>
        <sz val="11"/>
        <rFont val="Georgia"/>
        <family val="1"/>
      </rPr>
      <t>3BD-S510U-TMNF</t>
    </r>
  </si>
  <si>
    <r>
      <rPr>
        <sz val="11"/>
        <rFont val="Georgia"/>
        <family val="1"/>
      </rPr>
      <t>PIXIS VAN</t>
    </r>
  </si>
  <si>
    <r>
      <rPr>
        <sz val="11"/>
        <rFont val="Georgia"/>
        <family val="1"/>
      </rPr>
      <t>3BD-S321M-ZQGZ</t>
    </r>
  </si>
  <si>
    <r>
      <rPr>
        <sz val="11"/>
        <rFont val="Georgia"/>
        <family val="1"/>
      </rPr>
      <t>EBD-S321M-ZQGZ</t>
    </r>
  </si>
  <si>
    <r>
      <rPr>
        <sz val="11"/>
        <rFont val="Georgia"/>
        <family val="1"/>
      </rPr>
      <t>3BDS700M-ZBGZ</t>
    </r>
  </si>
  <si>
    <r>
      <rPr>
        <sz val="11"/>
        <rFont val="Georgia"/>
        <family val="1"/>
      </rPr>
      <t>EBD-NCP160V-FXXRK</t>
    </r>
  </si>
  <si>
    <r>
      <rPr>
        <sz val="11"/>
        <rFont val="Georgia"/>
        <family val="1"/>
      </rPr>
      <t>PORTE F</t>
    </r>
  </si>
  <si>
    <r>
      <rPr>
        <sz val="11"/>
        <rFont val="Georgia"/>
        <family val="1"/>
      </rPr>
      <t>5BA-NSP141-VQQKFA</t>
    </r>
  </si>
  <si>
    <r>
      <rPr>
        <sz val="11"/>
        <rFont val="Georgia"/>
        <family val="1"/>
      </rPr>
      <t>DBA-NSP141-VQQKFA</t>
    </r>
  </si>
  <si>
    <r>
      <rPr>
        <sz val="11"/>
        <rFont val="Georgia"/>
        <family val="1"/>
      </rPr>
      <t>PORTE G</t>
    </r>
  </si>
  <si>
    <r>
      <rPr>
        <sz val="11"/>
        <rFont val="Georgia"/>
        <family val="1"/>
      </rPr>
      <t>5BA-NSP141-AEXGB</t>
    </r>
  </si>
  <si>
    <r>
      <rPr>
        <sz val="11"/>
        <rFont val="Georgia"/>
        <family val="1"/>
      </rPr>
      <t>DBA-NSP141-AEXGB</t>
    </r>
  </si>
  <si>
    <r>
      <rPr>
        <sz val="11"/>
        <rFont val="Georgia"/>
        <family val="1"/>
      </rPr>
      <t>PRADO TX-L - E4</t>
    </r>
  </si>
  <si>
    <r>
      <rPr>
        <sz val="11"/>
        <rFont val="Georgia"/>
        <family val="1"/>
      </rPr>
      <t>GDJ150R-GKFEY</t>
    </r>
  </si>
  <si>
    <r>
      <rPr>
        <sz val="11"/>
        <rFont val="Georgia"/>
        <family val="1"/>
      </rPr>
      <t>PREMIO 1.5F EX</t>
    </r>
  </si>
  <si>
    <r>
      <rPr>
        <sz val="11"/>
        <rFont val="Georgia"/>
        <family val="1"/>
      </rPr>
      <t>3BA-NZT260-AEXEK(X)</t>
    </r>
  </si>
  <si>
    <r>
      <rPr>
        <sz val="11"/>
        <rFont val="Georgia"/>
        <family val="1"/>
      </rPr>
      <t>PREMIO 2.0G</t>
    </r>
  </si>
  <si>
    <r>
      <rPr>
        <sz val="11"/>
        <rFont val="Georgia"/>
        <family val="1"/>
      </rPr>
      <t>DBA-ZRT261-AEXGP</t>
    </r>
  </si>
  <si>
    <r>
      <rPr>
        <sz val="11"/>
        <rFont val="Georgia"/>
        <family val="1"/>
      </rPr>
      <t>PREMIO 2.0G EEX</t>
    </r>
  </si>
  <si>
    <r>
      <rPr>
        <sz val="11"/>
        <rFont val="Georgia"/>
        <family val="1"/>
      </rPr>
      <t>DBA-ZRT261-AEXGP(X)</t>
    </r>
  </si>
  <si>
    <r>
      <rPr>
        <sz val="11"/>
        <rFont val="Georgia"/>
        <family val="1"/>
      </rPr>
      <t>PREMIO 2.0G EX PACKAGE"</t>
    </r>
  </si>
  <si>
    <r>
      <rPr>
        <sz val="11"/>
        <rFont val="Georgia"/>
        <family val="1"/>
      </rPr>
      <t>PRIUS</t>
    </r>
  </si>
  <si>
    <r>
      <rPr>
        <sz val="11"/>
        <rFont val="Georgia"/>
        <family val="1"/>
      </rPr>
      <t>6AA-ZVW51-AHXHB(T)</t>
    </r>
  </si>
  <si>
    <r>
      <rPr>
        <sz val="11"/>
        <rFont val="Georgia"/>
        <family val="1"/>
      </rPr>
      <t>PRIUS A PHV</t>
    </r>
  </si>
  <si>
    <r>
      <rPr>
        <sz val="11"/>
        <rFont val="Georgia"/>
        <family val="1"/>
      </rPr>
      <t>DLA-ZVW52-AHXHB</t>
    </r>
  </si>
  <si>
    <r>
      <rPr>
        <sz val="11"/>
        <rFont val="Georgia"/>
        <family val="1"/>
      </rPr>
      <t>PRIUS A PREMIUM</t>
    </r>
  </si>
  <si>
    <r>
      <rPr>
        <sz val="11"/>
        <rFont val="Georgia"/>
        <family val="1"/>
      </rPr>
      <t>DAA-ZVW51-AHXHB(T)</t>
    </r>
  </si>
  <si>
    <r>
      <rPr>
        <sz val="11"/>
        <rFont val="Georgia"/>
        <family val="1"/>
      </rPr>
      <t>PRIUS A PRMIUM TOURINF SELECTION</t>
    </r>
  </si>
  <si>
    <r>
      <rPr>
        <sz val="11"/>
        <rFont val="Georgia"/>
        <family val="1"/>
      </rPr>
      <t>6A-ZVW51-AHZHB(T)</t>
    </r>
  </si>
  <si>
    <r>
      <rPr>
        <sz val="11"/>
        <rFont val="Georgia"/>
        <family val="1"/>
      </rPr>
      <t>PRIUS A S</t>
    </r>
  </si>
  <si>
    <r>
      <rPr>
        <sz val="11"/>
        <rFont val="Georgia"/>
        <family val="1"/>
      </rPr>
      <t>DAA-ZVW41W-VTPBXE</t>
    </r>
  </si>
  <si>
    <r>
      <rPr>
        <sz val="11"/>
        <rFont val="Georgia"/>
        <family val="1"/>
      </rPr>
      <t>PRIUS G</t>
    </r>
  </si>
  <si>
    <r>
      <rPr>
        <sz val="11"/>
        <rFont val="Georgia"/>
        <family val="1"/>
      </rPr>
      <t>DAA-ZVW41W-AXXGB(T)</t>
    </r>
  </si>
  <si>
    <r>
      <rPr>
        <sz val="11"/>
        <rFont val="Georgia"/>
        <family val="1"/>
      </rPr>
      <t>PRIUS PHEV A PREMIUM</t>
    </r>
  </si>
  <si>
    <r>
      <rPr>
        <sz val="11"/>
        <rFont val="Georgia"/>
        <family val="1"/>
      </rPr>
      <t>6LA-ZVW52-AHXHB</t>
    </r>
  </si>
  <si>
    <r>
      <rPr>
        <sz val="11"/>
        <rFont val="Georgia"/>
        <family val="1"/>
      </rPr>
      <t>PRIUS PHV</t>
    </r>
  </si>
  <si>
    <r>
      <rPr>
        <sz val="11"/>
        <rFont val="Georgia"/>
        <family val="1"/>
      </rPr>
      <t>DLA-ZVW52-AHXHB(N)</t>
    </r>
  </si>
  <si>
    <r>
      <rPr>
        <sz val="11"/>
        <rFont val="Georgia"/>
        <family val="1"/>
      </rPr>
      <t>PRIUS PHV A PREMIUM</t>
    </r>
  </si>
  <si>
    <r>
      <rPr>
        <sz val="11"/>
        <rFont val="Georgia"/>
        <family val="1"/>
      </rPr>
      <t>PRIUS PHV A PREMIUM NAVI PACKAGE</t>
    </r>
  </si>
  <si>
    <r>
      <rPr>
        <sz val="11"/>
        <rFont val="Georgia"/>
        <family val="1"/>
      </rPr>
      <t>6LA-ZVW52-AHXHB(N)</t>
    </r>
  </si>
  <si>
    <r>
      <rPr>
        <sz val="11"/>
        <rFont val="Georgia"/>
        <family val="1"/>
      </rPr>
      <t>PRIUS PHV S "NAVI PACKAGE"</t>
    </r>
  </si>
  <si>
    <r>
      <rPr>
        <sz val="11"/>
        <rFont val="Georgia"/>
        <family val="1"/>
      </rPr>
      <t>DLA-ZVW52-VTQJXN</t>
    </r>
  </si>
  <si>
    <r>
      <rPr>
        <sz val="11"/>
        <rFont val="Georgia"/>
        <family val="1"/>
      </rPr>
      <t>PRIUS PHV S NAVI</t>
    </r>
  </si>
  <si>
    <r>
      <rPr>
        <sz val="11"/>
        <rFont val="Georgia"/>
        <family val="1"/>
      </rPr>
      <t>PRIUS S</t>
    </r>
  </si>
  <si>
    <r>
      <rPr>
        <sz val="11"/>
        <rFont val="Georgia"/>
        <family val="1"/>
      </rPr>
      <t>DAA-ZVW51-VTUQXE</t>
    </r>
  </si>
  <si>
    <r>
      <rPr>
        <sz val="11"/>
        <rFont val="Georgia"/>
        <family val="1"/>
      </rPr>
      <t>DAA-ZVW50-VTUQXE</t>
    </r>
  </si>
  <si>
    <r>
      <rPr>
        <sz val="11"/>
        <rFont val="Georgia"/>
        <family val="1"/>
      </rPr>
      <t>6AA-ZVW51-VTUQXE</t>
    </r>
  </si>
  <si>
    <r>
      <rPr>
        <sz val="11"/>
        <rFont val="Georgia"/>
        <family val="1"/>
      </rPr>
      <t>PRIUS S  SAFTEY PACKAGE</t>
    </r>
  </si>
  <si>
    <r>
      <rPr>
        <sz val="11"/>
        <rFont val="Georgia"/>
        <family val="1"/>
      </rPr>
      <t>DLA-ZVW52-VTQJXS</t>
    </r>
  </si>
  <si>
    <r>
      <rPr>
        <sz val="11"/>
        <rFont val="Georgia"/>
        <family val="1"/>
      </rPr>
      <t>PRIUS VAN CRUISE TURBO</t>
    </r>
  </si>
  <si>
    <r>
      <rPr>
        <sz val="11"/>
        <rFont val="Georgia"/>
        <family val="1"/>
      </rPr>
      <t>PRIUS Z (PLUG-IN-HYBRID)</t>
    </r>
  </si>
  <si>
    <r>
      <rPr>
        <sz val="11"/>
        <rFont val="Georgia"/>
        <family val="1"/>
      </rPr>
      <t>6LA-MXWH61-AHXHB</t>
    </r>
  </si>
  <si>
    <r>
      <rPr>
        <sz val="11"/>
        <rFont val="Georgia"/>
        <family val="1"/>
      </rPr>
      <t>PRIUS Z HYRID</t>
    </r>
  </si>
  <si>
    <r>
      <rPr>
        <sz val="11"/>
        <rFont val="Georgia"/>
        <family val="1"/>
      </rPr>
      <t>6AA-MXWH60-AHXHB</t>
    </r>
  </si>
  <si>
    <r>
      <rPr>
        <sz val="11"/>
        <rFont val="Georgia"/>
        <family val="1"/>
      </rPr>
      <t>PROBOX F HYBRID</t>
    </r>
  </si>
  <si>
    <r>
      <rPr>
        <sz val="11"/>
        <rFont val="Georgia"/>
        <family val="1"/>
      </rPr>
      <t>6AE-NHP160V-EXXRB</t>
    </r>
  </si>
  <si>
    <r>
      <rPr>
        <sz val="11"/>
        <rFont val="Georgia"/>
        <family val="1"/>
      </rPr>
      <t>PROBOX GL</t>
    </r>
  </si>
  <si>
    <r>
      <rPr>
        <sz val="11"/>
        <rFont val="Georgia"/>
        <family val="1"/>
      </rPr>
      <t>DBE-NCP160V-EXXGK</t>
    </r>
  </si>
  <si>
    <r>
      <rPr>
        <sz val="11"/>
        <rFont val="Georgia"/>
        <family val="1"/>
      </rPr>
      <t>5BE-NCP160V-EXXGK</t>
    </r>
  </si>
  <si>
    <r>
      <rPr>
        <sz val="11"/>
        <rFont val="Georgia"/>
        <family val="1"/>
      </rPr>
      <t>RAIZE Z</t>
    </r>
  </si>
  <si>
    <r>
      <rPr>
        <sz val="11"/>
        <rFont val="Georgia"/>
        <family val="1"/>
      </rPr>
      <t>5BA-A200A-GBSV</t>
    </r>
  </si>
  <si>
    <r>
      <rPr>
        <sz val="11"/>
        <rFont val="Georgia"/>
        <family val="1"/>
      </rPr>
      <t>RAIZE Z HYBRID</t>
    </r>
  </si>
  <si>
    <r>
      <rPr>
        <sz val="11"/>
        <rFont val="Georgia"/>
        <family val="1"/>
      </rPr>
      <t>5AA-A202A-GBSH</t>
    </r>
  </si>
  <si>
    <r>
      <rPr>
        <sz val="11"/>
        <rFont val="Georgia"/>
        <family val="1"/>
      </rPr>
      <t>RAV4 G</t>
    </r>
  </si>
  <si>
    <r>
      <rPr>
        <sz val="11"/>
        <rFont val="Georgia"/>
        <family val="1"/>
      </rPr>
      <t>6BA-MXAA54-ANXGB</t>
    </r>
  </si>
  <si>
    <r>
      <rPr>
        <sz val="11"/>
        <rFont val="Georgia"/>
        <family val="1"/>
      </rPr>
      <t>RAV4 G Z PACKAGE</t>
    </r>
  </si>
  <si>
    <r>
      <rPr>
        <sz val="11"/>
        <rFont val="Georgia"/>
        <family val="1"/>
      </rPr>
      <t>6BA-MXA54-ANXGB(A)</t>
    </r>
  </si>
  <si>
    <r>
      <rPr>
        <sz val="11"/>
        <rFont val="Georgia"/>
        <family val="1"/>
      </rPr>
      <t>RAV4 G Z PACKAGE HYBRID</t>
    </r>
  </si>
  <si>
    <r>
      <rPr>
        <sz val="11"/>
        <rFont val="Georgia"/>
        <family val="1"/>
      </rPr>
      <t>6BA-MXAA54-ANXGB(A)</t>
    </r>
  </si>
  <si>
    <r>
      <rPr>
        <sz val="11"/>
        <rFont val="Georgia"/>
        <family val="1"/>
      </rPr>
      <t>RAV4 PHEV Z</t>
    </r>
  </si>
  <si>
    <r>
      <rPr>
        <sz val="11"/>
        <rFont val="Georgia"/>
        <family val="1"/>
      </rPr>
      <t>6LA-AXAP54-ANXGB</t>
    </r>
  </si>
  <si>
    <r>
      <rPr>
        <sz val="11"/>
        <rFont val="Georgia"/>
        <family val="1"/>
      </rPr>
      <t>RAV4 PHV BLACK TONE</t>
    </r>
  </si>
  <si>
    <r>
      <rPr>
        <sz val="11"/>
        <rFont val="Georgia"/>
        <family val="1"/>
      </rPr>
      <t>RAV4 Z (PLUG-IN-HYBRID)</t>
    </r>
  </si>
  <si>
    <r>
      <rPr>
        <sz val="11"/>
        <rFont val="Georgia"/>
        <family val="1"/>
      </rPr>
      <t>REGIUSACE DX</t>
    </r>
  </si>
  <si>
    <r>
      <rPr>
        <sz val="11"/>
        <rFont val="Georgia"/>
        <family val="1"/>
      </rPr>
      <t>CBF-TRH200V-SRTDK-G</t>
    </r>
  </si>
  <si>
    <r>
      <rPr>
        <sz val="11"/>
        <rFont val="Georgia"/>
        <family val="1"/>
      </rPr>
      <t>REGIUSACE MODERATE TEMPERATURE REFRI</t>
    </r>
  </si>
  <si>
    <r>
      <rPr>
        <sz val="11"/>
        <rFont val="Georgia"/>
        <family val="1"/>
      </rPr>
      <t>CBF-TRH200V-VTBPTK</t>
    </r>
  </si>
  <si>
    <r>
      <rPr>
        <sz val="11"/>
        <rFont val="Georgia"/>
        <family val="1"/>
      </rPr>
      <t>REGIUSACE MODERATING TEMP VAN</t>
    </r>
  </si>
  <si>
    <r>
      <rPr>
        <sz val="11"/>
        <rFont val="Georgia"/>
        <family val="1"/>
      </rPr>
      <t>CBF-TRH200V-VTPTK</t>
    </r>
  </si>
  <si>
    <r>
      <rPr>
        <sz val="11"/>
        <rFont val="Georgia"/>
        <family val="1"/>
      </rPr>
      <t>REGIUSACE VAN</t>
    </r>
  </si>
  <si>
    <r>
      <rPr>
        <sz val="11"/>
        <rFont val="Georgia"/>
        <family val="1"/>
      </rPr>
      <t>REGIUSACE VAN DX</t>
    </r>
  </si>
  <si>
    <r>
      <rPr>
        <sz val="11"/>
        <rFont val="Georgia"/>
        <family val="1"/>
      </rPr>
      <t>REGIUSACE VAN DX GL</t>
    </r>
  </si>
  <si>
    <r>
      <rPr>
        <sz val="11"/>
        <rFont val="Georgia"/>
        <family val="1"/>
      </rPr>
      <t>ROOMY CUSTOM G-T</t>
    </r>
  </si>
  <si>
    <r>
      <rPr>
        <sz val="11"/>
        <rFont val="Georgia"/>
        <family val="1"/>
      </rPr>
      <t>5BA-M900A-GBVJ</t>
    </r>
  </si>
  <si>
    <r>
      <rPr>
        <sz val="11"/>
        <rFont val="Georgia"/>
        <family val="1"/>
      </rPr>
      <t>4BA-M900A-GBVJ</t>
    </r>
  </si>
  <si>
    <r>
      <rPr>
        <sz val="11"/>
        <rFont val="Georgia"/>
        <family val="1"/>
      </rPr>
      <t>DBA-M900A-AGBVJ</t>
    </r>
  </si>
  <si>
    <r>
      <rPr>
        <sz val="11"/>
        <rFont val="Georgia"/>
        <family val="1"/>
      </rPr>
      <t>ROOMY G</t>
    </r>
  </si>
  <si>
    <r>
      <rPr>
        <sz val="11"/>
        <rFont val="Georgia"/>
        <family val="1"/>
      </rPr>
      <t>5BA-M900A-VTPBEG</t>
    </r>
  </si>
  <si>
    <r>
      <rPr>
        <sz val="11"/>
        <rFont val="Georgia"/>
        <family val="1"/>
      </rPr>
      <t>ROOMY G-T</t>
    </r>
  </si>
  <si>
    <r>
      <rPr>
        <sz val="11"/>
        <rFont val="Georgia"/>
        <family val="1"/>
      </rPr>
      <t>ROOMY WELCAB G</t>
    </r>
  </si>
  <si>
    <r>
      <rPr>
        <sz val="11"/>
        <rFont val="Georgia"/>
        <family val="1"/>
      </rPr>
      <t>ROOMY X S</t>
    </r>
  </si>
  <si>
    <r>
      <rPr>
        <sz val="11"/>
        <rFont val="Georgia"/>
        <family val="1"/>
      </rPr>
      <t>DBA-M900A-VTPBAM</t>
    </r>
  </si>
  <si>
    <r>
      <rPr>
        <sz val="11"/>
        <rFont val="Georgia"/>
        <family val="1"/>
      </rPr>
      <t>RUMION  GLX</t>
    </r>
  </si>
  <si>
    <r>
      <rPr>
        <sz val="11"/>
        <rFont val="Georgia"/>
        <family val="1"/>
      </rPr>
      <t>K15BR-HMPRKN</t>
    </r>
  </si>
  <si>
    <r>
      <rPr>
        <sz val="11"/>
        <rFont val="Georgia"/>
        <family val="1"/>
      </rPr>
      <t>RUSH DUAL VVT-i URBAN</t>
    </r>
  </si>
  <si>
    <r>
      <rPr>
        <sz val="11"/>
        <rFont val="Georgia"/>
        <family val="1"/>
      </rPr>
      <t>F800RE-GQGF</t>
    </r>
  </si>
  <si>
    <r>
      <rPr>
        <sz val="11"/>
        <rFont val="Georgia"/>
        <family val="1"/>
      </rPr>
      <t>SAI G "A PACKAGE"</t>
    </r>
  </si>
  <si>
    <r>
      <rPr>
        <sz val="11"/>
        <rFont val="Georgia"/>
        <family val="1"/>
      </rPr>
      <t>DAA-AZK10-BEXSB(A)</t>
    </r>
  </si>
  <si>
    <r>
      <rPr>
        <sz val="11"/>
        <rFont val="Georgia"/>
        <family val="1"/>
      </rPr>
      <t>SIENTA</t>
    </r>
  </si>
  <si>
    <r>
      <rPr>
        <sz val="11"/>
        <rFont val="Georgia"/>
        <family val="1"/>
      </rPr>
      <t>6AA-NHP170G-MWXUB</t>
    </r>
  </si>
  <si>
    <r>
      <rPr>
        <sz val="11"/>
        <rFont val="Georgia"/>
        <family val="1"/>
      </rPr>
      <t>SIENTA G</t>
    </r>
  </si>
  <si>
    <r>
      <rPr>
        <sz val="11"/>
        <rFont val="Georgia"/>
        <family val="1"/>
      </rPr>
      <t>DBA-NSP172G-MNXQB</t>
    </r>
  </si>
  <si>
    <r>
      <rPr>
        <sz val="11"/>
        <rFont val="Georgia"/>
        <family val="1"/>
      </rPr>
      <t>SIENTA G CUERO</t>
    </r>
  </si>
  <si>
    <r>
      <rPr>
        <sz val="11"/>
        <rFont val="Georgia"/>
        <family val="1"/>
      </rPr>
      <t>6AA-NHP170G-MWXUS</t>
    </r>
  </si>
  <si>
    <r>
      <rPr>
        <sz val="11"/>
        <rFont val="Georgia"/>
        <family val="1"/>
      </rPr>
      <t>SIENTA G CUERP HYBRID</t>
    </r>
  </si>
  <si>
    <r>
      <rPr>
        <sz val="11"/>
        <rFont val="Georgia"/>
        <family val="1"/>
      </rPr>
      <t>SIENTA HYBRID G</t>
    </r>
  </si>
  <si>
    <r>
      <rPr>
        <sz val="11"/>
        <rFont val="Georgia"/>
        <family val="1"/>
      </rPr>
      <t>DAA-NHP170G-MWXQB</t>
    </r>
  </si>
  <si>
    <r>
      <rPr>
        <sz val="11"/>
        <rFont val="Georgia"/>
        <family val="1"/>
      </rPr>
      <t>SIENTA WELCAB X</t>
    </r>
  </si>
  <si>
    <r>
      <rPr>
        <sz val="11"/>
        <rFont val="Georgia"/>
        <family val="1"/>
      </rPr>
      <t>5BA-MXPC12G-MNXB-P</t>
    </r>
  </si>
  <si>
    <r>
      <rPr>
        <sz val="11"/>
        <rFont val="Georgia"/>
        <family val="1"/>
      </rPr>
      <t>SIENTA WELCAB X (HYBRID)</t>
    </r>
  </si>
  <si>
    <r>
      <rPr>
        <sz val="11"/>
        <rFont val="Georgia"/>
        <family val="1"/>
      </rPr>
      <t>6AA-MXPL12G-MNXNB</t>
    </r>
  </si>
  <si>
    <r>
      <rPr>
        <sz val="11"/>
        <rFont val="Georgia"/>
        <family val="1"/>
      </rPr>
      <t>SIENTA X</t>
    </r>
  </si>
  <si>
    <r>
      <rPr>
        <sz val="11"/>
        <rFont val="Georgia"/>
        <family val="1"/>
      </rPr>
      <t>5BA-MXPC12G-MNXNB-P</t>
    </r>
  </si>
  <si>
    <r>
      <rPr>
        <sz val="11"/>
        <rFont val="Georgia"/>
        <family val="1"/>
      </rPr>
      <t>DBA-NSP172G-MNXNB</t>
    </r>
  </si>
  <si>
    <r>
      <rPr>
        <sz val="11"/>
        <rFont val="Georgia"/>
        <family val="1"/>
      </rPr>
      <t>5BA-NSP170G-VQQKXN</t>
    </r>
  </si>
  <si>
    <r>
      <rPr>
        <sz val="11"/>
        <rFont val="Georgia"/>
        <family val="1"/>
      </rPr>
      <t>5BA-NSP172G-MNXNB</t>
    </r>
  </si>
  <si>
    <r>
      <rPr>
        <sz val="11"/>
        <rFont val="Georgia"/>
        <family val="1"/>
      </rPr>
      <t>SIENTA Z HYBRID</t>
    </r>
  </si>
  <si>
    <r>
      <rPr>
        <sz val="11"/>
        <rFont val="Georgia"/>
        <family val="1"/>
      </rPr>
      <t>6AA-MXPL10G-MWXUB</t>
    </r>
  </si>
  <si>
    <r>
      <rPr>
        <sz val="11"/>
        <rFont val="Georgia"/>
        <family val="1"/>
      </rPr>
      <t>SPADE G</t>
    </r>
  </si>
  <si>
    <r>
      <rPr>
        <sz val="11"/>
        <rFont val="Georgia"/>
        <family val="1"/>
      </rPr>
      <t>5BA--NSP141-BEXGB</t>
    </r>
  </si>
  <si>
    <r>
      <rPr>
        <sz val="11"/>
        <rFont val="Georgia"/>
        <family val="1"/>
      </rPr>
      <t>DBA-NSP141-BEXGB</t>
    </r>
  </si>
  <si>
    <r>
      <rPr>
        <sz val="11"/>
        <rFont val="Georgia"/>
        <family val="1"/>
      </rPr>
      <t>SPADE X</t>
    </r>
  </si>
  <si>
    <r>
      <rPr>
        <sz val="11"/>
        <rFont val="Georgia"/>
        <family val="1"/>
      </rPr>
      <t>DBA-NSP141-VTPLXB</t>
    </r>
  </si>
  <si>
    <r>
      <rPr>
        <sz val="11"/>
        <rFont val="Georgia"/>
        <family val="1"/>
      </rPr>
      <t>STARLET GLX</t>
    </r>
  </si>
  <si>
    <r>
      <rPr>
        <sz val="11"/>
        <rFont val="Georgia"/>
        <family val="1"/>
      </rPr>
      <t>K15BR-GHPXKN</t>
    </r>
  </si>
  <si>
    <r>
      <rPr>
        <sz val="11"/>
        <rFont val="Georgia"/>
        <family val="1"/>
      </rPr>
      <t>SUCCEED TX</t>
    </r>
  </si>
  <si>
    <r>
      <rPr>
        <sz val="11"/>
        <rFont val="Georgia"/>
        <family val="1"/>
      </rPr>
      <t>6AE-NHP160V-FXXRB</t>
    </r>
  </si>
  <si>
    <r>
      <rPr>
        <sz val="11"/>
        <rFont val="Georgia"/>
        <family val="1"/>
      </rPr>
      <t>DBE-NCP160V-FXXRK</t>
    </r>
  </si>
  <si>
    <r>
      <rPr>
        <sz val="11"/>
        <rFont val="Georgia"/>
        <family val="1"/>
      </rPr>
      <t>SUPRA RZ</t>
    </r>
  </si>
  <si>
    <r>
      <rPr>
        <sz val="11"/>
        <rFont val="Georgia"/>
        <family val="1"/>
      </rPr>
      <t>3BA-DB06-ZURW</t>
    </r>
  </si>
  <si>
    <r>
      <rPr>
        <sz val="11"/>
        <rFont val="Georgia"/>
        <family val="1"/>
      </rPr>
      <t>3BA-DB42-ZRRW</t>
    </r>
  </si>
  <si>
    <r>
      <rPr>
        <sz val="11"/>
        <rFont val="Georgia"/>
        <family val="1"/>
      </rPr>
      <t>TANK G</t>
    </r>
  </si>
  <si>
    <r>
      <rPr>
        <sz val="11"/>
        <rFont val="Georgia"/>
        <family val="1"/>
      </rPr>
      <t>DBA-M900A-BGBGE</t>
    </r>
  </si>
  <si>
    <r>
      <rPr>
        <sz val="11"/>
        <rFont val="Georgia"/>
        <family val="1"/>
      </rPr>
      <t>TANK G S</t>
    </r>
  </si>
  <si>
    <r>
      <rPr>
        <sz val="11"/>
        <rFont val="Georgia"/>
        <family val="1"/>
      </rPr>
      <t>DBA-M900A-BGBGE(S)</t>
    </r>
  </si>
  <si>
    <r>
      <rPr>
        <sz val="11"/>
        <rFont val="Georgia"/>
        <family val="1"/>
      </rPr>
      <t>TOWN ACE  VAN GL</t>
    </r>
  </si>
  <si>
    <r>
      <rPr>
        <sz val="11"/>
        <rFont val="Georgia"/>
        <family val="1"/>
      </rPr>
      <t>6BF-S413M-ZQDFJD</t>
    </r>
  </si>
  <si>
    <r>
      <rPr>
        <sz val="11"/>
        <rFont val="Georgia"/>
        <family val="1"/>
      </rPr>
      <t>TOWN ACE DX</t>
    </r>
  </si>
  <si>
    <r>
      <rPr>
        <sz val="11"/>
        <rFont val="Georgia"/>
        <family val="1"/>
      </rPr>
      <t>DBF-S402U-TMDFJD</t>
    </r>
  </si>
  <si>
    <r>
      <rPr>
        <sz val="11"/>
        <rFont val="Georgia"/>
        <family val="1"/>
      </rPr>
      <t>TOWN ACE DX X EDITION</t>
    </r>
  </si>
  <si>
    <r>
      <rPr>
        <sz val="11"/>
        <rFont val="Georgia"/>
        <family val="1"/>
      </rPr>
      <t>5BF-S413U-TQDFJD</t>
    </r>
  </si>
  <si>
    <r>
      <rPr>
        <sz val="11"/>
        <rFont val="Georgia"/>
        <family val="1"/>
      </rPr>
      <t>TOWN ACE GL</t>
    </r>
  </si>
  <si>
    <r>
      <rPr>
        <sz val="11"/>
        <rFont val="Georgia"/>
        <family val="1"/>
      </rPr>
      <t>DBF-S402M-ZQDFJD</t>
    </r>
  </si>
  <si>
    <r>
      <rPr>
        <sz val="11"/>
        <rFont val="Georgia"/>
        <family val="1"/>
      </rPr>
      <t>TOWN ACE TRUCK DX</t>
    </r>
  </si>
  <si>
    <r>
      <rPr>
        <sz val="11"/>
        <rFont val="Georgia"/>
        <family val="1"/>
      </rPr>
      <t>TOWN ACE VAN</t>
    </r>
  </si>
  <si>
    <r>
      <rPr>
        <sz val="11"/>
        <rFont val="Georgia"/>
        <family val="1"/>
      </rPr>
      <t>5BF-S413M-ZQDFJD</t>
    </r>
  </si>
  <si>
    <r>
      <rPr>
        <sz val="11"/>
        <rFont val="Georgia"/>
        <family val="1"/>
      </rPr>
      <t>TOWN ACE VAN GL</t>
    </r>
  </si>
  <si>
    <r>
      <rPr>
        <sz val="11"/>
        <rFont val="Georgia"/>
        <family val="1"/>
      </rPr>
      <t>TOWNACE</t>
    </r>
  </si>
  <si>
    <r>
      <rPr>
        <sz val="11"/>
        <rFont val="Georgia"/>
        <family val="1"/>
      </rPr>
      <t>5BF-S403U-VTCABB</t>
    </r>
  </si>
  <si>
    <r>
      <rPr>
        <sz val="11"/>
        <rFont val="Georgia"/>
        <family val="1"/>
      </rPr>
      <t>TOWNACE GL</t>
    </r>
  </si>
  <si>
    <r>
      <rPr>
        <sz val="11"/>
        <rFont val="Georgia"/>
        <family val="1"/>
      </rPr>
      <t xml:space="preserve">TOWNACE MODERATE TEMPERATURE
</t>
    </r>
    <r>
      <rPr>
        <sz val="11"/>
        <rFont val="Georgia"/>
        <family val="1"/>
      </rPr>
      <t>REFRIGERATING TRUCK</t>
    </r>
  </si>
  <si>
    <r>
      <rPr>
        <sz val="11"/>
        <rFont val="Georgia"/>
        <family val="1"/>
      </rPr>
      <t>5BF-S403U-VTCBB</t>
    </r>
  </si>
  <si>
    <r>
      <rPr>
        <sz val="11"/>
        <rFont val="Georgia"/>
        <family val="1"/>
      </rPr>
      <t>TOWNACE POWER LIFT</t>
    </r>
  </si>
  <si>
    <r>
      <rPr>
        <sz val="11"/>
        <rFont val="Georgia"/>
        <family val="1"/>
      </rPr>
      <t>TOWNACE POWER LIFT CAR</t>
    </r>
  </si>
  <si>
    <r>
      <rPr>
        <sz val="11"/>
        <rFont val="Georgia"/>
        <family val="1"/>
      </rPr>
      <t>DBF-S402U-VTCABB</t>
    </r>
  </si>
  <si>
    <r>
      <rPr>
        <sz val="11"/>
        <rFont val="Georgia"/>
        <family val="1"/>
      </rPr>
      <t>TOWNACE TRUCK DX</t>
    </r>
  </si>
  <si>
    <r>
      <rPr>
        <sz val="11"/>
        <rFont val="Georgia"/>
        <family val="1"/>
      </rPr>
      <t>TOYOACE CARGO</t>
    </r>
  </si>
  <si>
    <r>
      <rPr>
        <sz val="11"/>
        <rFont val="Georgia"/>
        <family val="1"/>
      </rPr>
      <t>2KG-XZU730-TKFSF</t>
    </r>
  </si>
  <si>
    <r>
      <rPr>
        <sz val="11"/>
        <rFont val="Georgia"/>
        <family val="1"/>
      </rPr>
      <t>TOYOACE CARGO WIDE CAB</t>
    </r>
  </si>
  <si>
    <r>
      <rPr>
        <sz val="11"/>
        <rFont val="Georgia"/>
        <family val="1"/>
      </rPr>
      <t>TSG-XKU710-TQVMC</t>
    </r>
  </si>
  <si>
    <r>
      <rPr>
        <sz val="11"/>
        <rFont val="Georgia"/>
        <family val="1"/>
      </rPr>
      <t>TOYOACE DUMP</t>
    </r>
  </si>
  <si>
    <r>
      <rPr>
        <sz val="11"/>
        <rFont val="Georgia"/>
        <family val="1"/>
      </rPr>
      <t>2RG-XZU600D-TWFMX-K</t>
    </r>
  </si>
  <si>
    <r>
      <rPr>
        <sz val="11"/>
        <rFont val="Georgia"/>
        <family val="1"/>
      </rPr>
      <t>TPG-XZU610D-TWTMB-K</t>
    </r>
  </si>
  <si>
    <r>
      <rPr>
        <sz val="11"/>
        <rFont val="Georgia"/>
        <family val="1"/>
      </rPr>
      <t>TOYOACE ROUTE VAN</t>
    </r>
  </si>
  <si>
    <r>
      <rPr>
        <sz val="11"/>
        <rFont val="Georgia"/>
        <family val="1"/>
      </rPr>
      <t>LDF-KDY241V-RENGY</t>
    </r>
  </si>
  <si>
    <r>
      <rPr>
        <sz val="11"/>
        <rFont val="Georgia"/>
        <family val="1"/>
      </rPr>
      <t>TG-XZ605V-RETMB</t>
    </r>
  </si>
  <si>
    <r>
      <rPr>
        <sz val="11"/>
        <rFont val="Georgia"/>
        <family val="1"/>
      </rPr>
      <t>TOYOTA DRIVING INSTRUCTION CAR</t>
    </r>
  </si>
  <si>
    <r>
      <rPr>
        <sz val="11"/>
        <rFont val="Georgia"/>
        <family val="1"/>
      </rPr>
      <t>VELFIRE GOLDEN EYES</t>
    </r>
  </si>
  <si>
    <r>
      <rPr>
        <sz val="11"/>
        <rFont val="Georgia"/>
        <family val="1"/>
      </rPr>
      <t>3BA-AG30W-NFXSK</t>
    </r>
  </si>
  <si>
    <r>
      <rPr>
        <sz val="11"/>
        <rFont val="Georgia"/>
        <family val="1"/>
      </rPr>
      <t>VELFIRE Z PREMIER</t>
    </r>
  </si>
  <si>
    <r>
      <rPr>
        <sz val="11"/>
        <rFont val="Georgia"/>
        <family val="1"/>
      </rPr>
      <t>5BA-TAHA40W-PFZTT</t>
    </r>
  </si>
  <si>
    <r>
      <rPr>
        <sz val="11"/>
        <rFont val="Georgia"/>
        <family val="1"/>
      </rPr>
      <t>VELLFIRE 3.5ZA G EDITION</t>
    </r>
  </si>
  <si>
    <r>
      <rPr>
        <sz val="11"/>
        <rFont val="Georgia"/>
        <family val="1"/>
      </rPr>
      <t>DBA-GGH30W-NFTRK©</t>
    </r>
  </si>
  <si>
    <r>
      <rPr>
        <sz val="11"/>
        <rFont val="Georgia"/>
        <family val="1"/>
      </rPr>
      <t>VELLFIRE GOLDEN EYES II</t>
    </r>
  </si>
  <si>
    <r>
      <rPr>
        <sz val="11"/>
        <rFont val="Georgia"/>
        <family val="1"/>
      </rPr>
      <t>3BA-AGH30W-NFXSK</t>
    </r>
  </si>
  <si>
    <r>
      <rPr>
        <sz val="11"/>
        <rFont val="Georgia"/>
        <family val="1"/>
      </rPr>
      <t>VELLFIRE ZG</t>
    </r>
  </si>
  <si>
    <r>
      <rPr>
        <sz val="11"/>
        <rFont val="Georgia"/>
        <family val="1"/>
      </rPr>
      <t>3BA-GGH30W-NFZRK</t>
    </r>
  </si>
  <si>
    <r>
      <rPr>
        <sz val="11"/>
        <rFont val="Georgia"/>
        <family val="1"/>
      </rPr>
      <t>DBA-GGH30W-NFZRK</t>
    </r>
  </si>
  <si>
    <r>
      <rPr>
        <sz val="11"/>
        <rFont val="Georgia"/>
        <family val="1"/>
      </rPr>
      <t>VITZ HYBRID  F</t>
    </r>
  </si>
  <si>
    <r>
      <rPr>
        <sz val="11"/>
        <rFont val="Georgia"/>
        <family val="1"/>
      </rPr>
      <t>VITZ HYBRID U</t>
    </r>
  </si>
  <si>
    <r>
      <rPr>
        <sz val="11"/>
        <rFont val="Georgia"/>
        <family val="1"/>
      </rPr>
      <t>DAA-NHP130-AHXEB</t>
    </r>
  </si>
  <si>
    <r>
      <rPr>
        <sz val="11"/>
        <rFont val="Georgia"/>
        <family val="1"/>
      </rPr>
      <t>VOXY  ZS</t>
    </r>
  </si>
  <si>
    <r>
      <rPr>
        <sz val="11"/>
        <rFont val="Georgia"/>
        <family val="1"/>
      </rPr>
      <t>3BA-ZRR80W-VTSNBS</t>
    </r>
  </si>
  <si>
    <r>
      <rPr>
        <sz val="11"/>
        <rFont val="Georgia"/>
        <family val="1"/>
      </rPr>
      <t>VOXY HYBRID ZS</t>
    </r>
  </si>
  <si>
    <r>
      <rPr>
        <sz val="11"/>
        <rFont val="Georgia"/>
        <family val="1"/>
      </rPr>
      <t>6AA-ZWR80W-BPXSB</t>
    </r>
  </si>
  <si>
    <r>
      <rPr>
        <sz val="11"/>
        <rFont val="Georgia"/>
        <family val="1"/>
      </rPr>
      <t>DAA-ZRW80W-BPXSB</t>
    </r>
  </si>
  <si>
    <r>
      <rPr>
        <sz val="11"/>
        <rFont val="Georgia"/>
        <family val="1"/>
      </rPr>
      <t>VOXY S-Z HYBRID</t>
    </r>
  </si>
  <si>
    <r>
      <rPr>
        <sz val="11"/>
        <rFont val="Georgia"/>
        <family val="1"/>
      </rPr>
      <t>6AA-ZWR90W-BPXRB</t>
    </r>
  </si>
  <si>
    <r>
      <rPr>
        <sz val="11"/>
        <rFont val="Georgia"/>
        <family val="1"/>
      </rPr>
      <t>VOXY WELCAB S-G</t>
    </r>
  </si>
  <si>
    <r>
      <rPr>
        <sz val="11"/>
        <rFont val="Georgia"/>
        <family val="1"/>
      </rPr>
      <t>6BA-MZRA90W-VTPNBE</t>
    </r>
  </si>
  <si>
    <r>
      <rPr>
        <sz val="11"/>
        <rFont val="Georgia"/>
        <family val="1"/>
      </rPr>
      <t>VOXY ZS</t>
    </r>
  </si>
  <si>
    <r>
      <rPr>
        <sz val="11"/>
        <rFont val="Georgia"/>
        <family val="1"/>
      </rPr>
      <t>DBA-ZRR80-VTSNBS</t>
    </r>
  </si>
  <si>
    <r>
      <rPr>
        <sz val="11"/>
        <rFont val="Georgia"/>
        <family val="1"/>
      </rPr>
      <t>WISH 2.0Z</t>
    </r>
  </si>
  <si>
    <r>
      <rPr>
        <sz val="11"/>
        <rFont val="Georgia"/>
        <family val="1"/>
      </rPr>
      <t>DBA-ZGE22W-HWXQP</t>
    </r>
  </si>
  <si>
    <r>
      <rPr>
        <sz val="11"/>
        <rFont val="Georgia"/>
        <family val="1"/>
      </rPr>
      <t>XI/ESQUIRE XI</t>
    </r>
  </si>
  <si>
    <r>
      <rPr>
        <sz val="11"/>
        <rFont val="Georgia"/>
        <family val="1"/>
      </rPr>
      <t>YARIS CROSS HYBRID Z</t>
    </r>
  </si>
  <si>
    <r>
      <rPr>
        <sz val="11"/>
        <rFont val="Georgia"/>
        <family val="1"/>
      </rPr>
      <t>6AA-MXPJ10-BHXGB</t>
    </r>
  </si>
  <si>
    <r>
      <rPr>
        <sz val="11"/>
        <rFont val="Georgia"/>
        <family val="1"/>
      </rPr>
      <t>YARIS CROSS Z</t>
    </r>
  </si>
  <si>
    <r>
      <rPr>
        <sz val="11"/>
        <rFont val="Georgia"/>
        <family val="1"/>
      </rPr>
      <t>YARIS HYBRID Z</t>
    </r>
  </si>
  <si>
    <r>
      <rPr>
        <sz val="11"/>
        <rFont val="Georgia"/>
        <family val="1"/>
      </rPr>
      <t>6AA-MXPH10-AHXEB</t>
    </r>
  </si>
  <si>
    <r>
      <rPr>
        <sz val="11"/>
        <rFont val="Georgia"/>
        <family val="1"/>
      </rPr>
      <t>YARIS WELCAB 1.5X</t>
    </r>
  </si>
  <si>
    <r>
      <rPr>
        <sz val="11"/>
        <rFont val="Georgia"/>
        <family val="1"/>
      </rPr>
      <t>5BA-MXPA10-VQQLXN</t>
    </r>
  </si>
  <si>
    <r>
      <rPr>
        <sz val="11"/>
        <rFont val="Georgia"/>
        <family val="1"/>
      </rPr>
      <t>YARIS X</t>
    </r>
  </si>
  <si>
    <r>
      <rPr>
        <sz val="11"/>
        <rFont val="Georgia"/>
        <family val="1"/>
      </rPr>
      <t>YARIS Z HYBRID</t>
    </r>
  </si>
  <si>
    <r>
      <rPr>
        <sz val="11"/>
        <rFont val="Georgia"/>
        <family val="1"/>
      </rPr>
      <t>LAND CRUISER 250 VX</t>
    </r>
  </si>
  <si>
    <r>
      <rPr>
        <sz val="11"/>
        <rFont val="Georgia"/>
        <family val="1"/>
      </rPr>
      <t>3BA-TRJ250W</t>
    </r>
  </si>
  <si>
    <r>
      <rPr>
        <sz val="11"/>
        <rFont val="Georgia"/>
        <family val="1"/>
      </rPr>
      <t>3DA-GDJ250W</t>
    </r>
  </si>
  <si>
    <r>
      <rPr>
        <sz val="11"/>
        <rFont val="Georgia"/>
        <family val="1"/>
      </rPr>
      <t>LAND CRUISER 250 ZX FIRST EDITION</t>
    </r>
  </si>
  <si>
    <r>
      <rPr>
        <sz val="11"/>
        <rFont val="Georgia"/>
        <family val="1"/>
      </rPr>
      <t>LAND CRUISER 70 AX</t>
    </r>
  </si>
  <si>
    <r>
      <rPr>
        <sz val="11"/>
        <rFont val="Georgia"/>
        <family val="1"/>
      </rPr>
      <t>GDJ76W</t>
    </r>
  </si>
  <si>
    <r>
      <rPr>
        <sz val="11"/>
        <rFont val="Georgia"/>
        <family val="1"/>
      </rPr>
      <t>LAND CRUISER 80</t>
    </r>
  </si>
  <si>
    <r>
      <rPr>
        <sz val="11"/>
        <rFont val="Georgia"/>
        <family val="1"/>
      </rPr>
      <t>HDJ81005</t>
    </r>
  </si>
  <si>
    <r>
      <rPr>
        <sz val="11"/>
        <rFont val="Georgia"/>
        <family val="1"/>
      </rPr>
      <t>LAND CRUISER AX</t>
    </r>
  </si>
  <si>
    <r>
      <rPr>
        <sz val="11"/>
        <rFont val="Georgia"/>
        <family val="1"/>
      </rPr>
      <t>FJA300-407</t>
    </r>
  </si>
  <si>
    <r>
      <rPr>
        <sz val="11"/>
        <rFont val="Georgia"/>
        <family val="1"/>
      </rPr>
      <t>LAND CRUISER AX G SELECTION</t>
    </r>
  </si>
  <si>
    <r>
      <rPr>
        <sz val="11"/>
        <rFont val="Georgia"/>
        <family val="1"/>
      </rPr>
      <t>URJ202-421</t>
    </r>
  </si>
  <si>
    <r>
      <rPr>
        <sz val="11"/>
        <rFont val="Georgia"/>
        <family val="1"/>
      </rPr>
      <t>LAND CRUISER GR SPORT</t>
    </r>
  </si>
  <si>
    <r>
      <rPr>
        <sz val="11"/>
        <rFont val="Georgia"/>
        <family val="1"/>
      </rPr>
      <t>3BA-VJA300W</t>
    </r>
  </si>
  <si>
    <r>
      <rPr>
        <sz val="11"/>
        <rFont val="Georgia"/>
        <family val="1"/>
      </rPr>
      <t>LAND CRUISER GX</t>
    </r>
  </si>
  <si>
    <r>
      <rPr>
        <sz val="11"/>
        <rFont val="Georgia"/>
        <family val="1"/>
      </rPr>
      <t>LAND CRUISER PRADO TX</t>
    </r>
  </si>
  <si>
    <r>
      <rPr>
        <sz val="11"/>
        <rFont val="Georgia"/>
        <family val="1"/>
      </rPr>
      <t>LDA-GDJ150W</t>
    </r>
  </si>
  <si>
    <r>
      <rPr>
        <sz val="11"/>
        <rFont val="Georgia"/>
        <family val="1"/>
      </rPr>
      <t>LAND CRUISER PRADO TX L PACKAGE</t>
    </r>
  </si>
  <si>
    <r>
      <rPr>
        <sz val="11"/>
        <rFont val="Georgia"/>
        <family val="1"/>
      </rPr>
      <t>GDJ150-004</t>
    </r>
  </si>
  <si>
    <r>
      <rPr>
        <sz val="11"/>
        <rFont val="Georgia"/>
        <family val="1"/>
      </rPr>
      <t>LAND CRUISER PRADO TX L PACKAGE 70TH AN</t>
    </r>
  </si>
  <si>
    <r>
      <rPr>
        <sz val="11"/>
        <rFont val="Georgia"/>
        <family val="1"/>
      </rPr>
      <t>3BA-TRJ150W</t>
    </r>
  </si>
  <si>
    <r>
      <rPr>
        <sz val="11"/>
        <rFont val="Georgia"/>
        <family val="1"/>
      </rPr>
      <t>LAND CRUISER PRADO TX L PACKAGE BLACK E</t>
    </r>
  </si>
  <si>
    <r>
      <rPr>
        <sz val="11"/>
        <rFont val="Georgia"/>
        <family val="1"/>
      </rPr>
      <t>3DA-GDJ150W</t>
    </r>
  </si>
  <si>
    <r>
      <rPr>
        <sz val="11"/>
        <rFont val="Georgia"/>
        <family val="1"/>
      </rPr>
      <t>LAND CRUISER PRADO TX L PACKAGE MATT BL</t>
    </r>
  </si>
  <si>
    <r>
      <rPr>
        <sz val="11"/>
        <rFont val="Georgia"/>
        <family val="1"/>
      </rPr>
      <t>3DA-GDJ151W</t>
    </r>
  </si>
  <si>
    <r>
      <rPr>
        <sz val="11"/>
        <rFont val="Georgia"/>
        <family val="1"/>
      </rPr>
      <t>LAND CRUISER VX</t>
    </r>
  </si>
  <si>
    <r>
      <rPr>
        <sz val="11"/>
        <rFont val="Georgia"/>
        <family val="1"/>
      </rPr>
      <t>VAUXHALL</t>
    </r>
  </si>
  <si>
    <r>
      <rPr>
        <sz val="11"/>
        <rFont val="Georgia"/>
        <family val="1"/>
      </rPr>
      <t>COMBI (136PS)</t>
    </r>
  </si>
  <si>
    <r>
      <rPr>
        <sz val="11"/>
        <rFont val="Georgia"/>
        <family val="1"/>
      </rPr>
      <t>1GK0NPLZEFT0A0K0</t>
    </r>
  </si>
  <si>
    <r>
      <rPr>
        <sz val="11"/>
        <rFont val="Georgia"/>
        <family val="1"/>
      </rPr>
      <t>COMBI 100KW (136PS)</t>
    </r>
  </si>
  <si>
    <r>
      <rPr>
        <sz val="11"/>
        <rFont val="Georgia"/>
        <family val="1"/>
      </rPr>
      <t>1GK0NNLZEFT0A0K0</t>
    </r>
  </si>
  <si>
    <r>
      <rPr>
        <sz val="11"/>
        <rFont val="Georgia"/>
        <family val="1"/>
      </rPr>
      <t>DESIGN (136PS)</t>
    </r>
  </si>
  <si>
    <r>
      <rPr>
        <sz val="11"/>
        <rFont val="Georgia"/>
        <family val="1"/>
      </rPr>
      <t>DESIGN 1.2 (100PS) TURBO</t>
    </r>
  </si>
  <si>
    <r>
      <rPr>
        <sz val="11"/>
        <rFont val="Georgia"/>
        <family val="1"/>
      </rPr>
      <t>1GJOA5HL81T0A0H0</t>
    </r>
  </si>
  <si>
    <r>
      <rPr>
        <sz val="11"/>
        <rFont val="Georgia"/>
        <family val="1"/>
      </rPr>
      <t>1GJOA5HL6KT0A0H0</t>
    </r>
  </si>
  <si>
    <r>
      <rPr>
        <sz val="11"/>
        <rFont val="Georgia"/>
        <family val="1"/>
      </rPr>
      <t>DESIGN 1.2 (100PS) TURBO HYBRID</t>
    </r>
  </si>
  <si>
    <r>
      <rPr>
        <sz val="11"/>
        <rFont val="Georgia"/>
        <family val="1"/>
      </rPr>
      <t>1GJOA5NPLZEFT5A5</t>
    </r>
  </si>
  <si>
    <r>
      <rPr>
        <sz val="11"/>
        <rFont val="Georgia"/>
        <family val="1"/>
      </rPr>
      <t>DESIGN 1.2 (136PS) HYBRID</t>
    </r>
  </si>
  <si>
    <r>
      <rPr>
        <sz val="11"/>
        <rFont val="Georgia"/>
        <family val="1"/>
      </rPr>
      <t>1GO6SYPJH7TXA0B0</t>
    </r>
  </si>
  <si>
    <r>
      <rPr>
        <sz val="11"/>
        <rFont val="Georgia"/>
        <family val="1"/>
      </rPr>
      <t>DESIGN 1.5 (130PS) TURBO</t>
    </r>
  </si>
  <si>
    <r>
      <rPr>
        <sz val="11"/>
        <rFont val="Georgia"/>
        <family val="1"/>
      </rPr>
      <t>1GK9AF8P41T0A070</t>
    </r>
  </si>
  <si>
    <r>
      <rPr>
        <sz val="11"/>
        <rFont val="Georgia"/>
        <family val="1"/>
      </rPr>
      <t>DESIGN 100KW (136PS)</t>
    </r>
  </si>
  <si>
    <r>
      <rPr>
        <sz val="11"/>
        <rFont val="Georgia"/>
        <family val="1"/>
      </rPr>
      <t>1GK9CL8ZIFT0A070</t>
    </r>
  </si>
  <si>
    <r>
      <rPr>
        <sz val="11"/>
        <rFont val="Georgia"/>
        <family val="1"/>
      </rPr>
      <t>7 seat</t>
    </r>
  </si>
  <si>
    <r>
      <rPr>
        <sz val="11"/>
        <rFont val="Georgia"/>
        <family val="1"/>
      </rPr>
      <t>1GK9AF8ZIFT0A070</t>
    </r>
  </si>
  <si>
    <r>
      <rPr>
        <sz val="11"/>
        <rFont val="Georgia"/>
        <family val="1"/>
      </rPr>
      <t>5 seat</t>
    </r>
  </si>
  <si>
    <r>
      <rPr>
        <sz val="11"/>
        <rFont val="Georgia"/>
        <family val="1"/>
      </rPr>
      <t>DESIGN 2.0 (180PS) TURBO</t>
    </r>
  </si>
  <si>
    <r>
      <rPr>
        <sz val="11"/>
        <rFont val="Georgia"/>
        <family val="1"/>
      </rPr>
      <t>1GK0NNQWQ1T0A0</t>
    </r>
  </si>
  <si>
    <r>
      <rPr>
        <sz val="11"/>
        <rFont val="Georgia"/>
        <family val="1"/>
      </rPr>
      <t>DESIGN XL 1.5 (100PS) TURBO</t>
    </r>
  </si>
  <si>
    <r>
      <rPr>
        <sz val="11"/>
        <rFont val="Georgia"/>
        <family val="1"/>
      </rPr>
      <t>1GK9CL8P6KT0A070</t>
    </r>
  </si>
  <si>
    <r>
      <rPr>
        <sz val="11"/>
        <rFont val="Georgia"/>
        <family val="1"/>
      </rPr>
      <t>DESIGN XL 1.5 (130PS) TURBO</t>
    </r>
  </si>
  <si>
    <r>
      <rPr>
        <sz val="11"/>
        <rFont val="Georgia"/>
        <family val="1"/>
      </rPr>
      <t>1GK9CL8P41T0A070</t>
    </r>
  </si>
  <si>
    <r>
      <rPr>
        <sz val="11"/>
        <rFont val="Georgia"/>
        <family val="1"/>
      </rPr>
      <t>GS 1.2 (100PS) TURBO</t>
    </r>
  </si>
  <si>
    <r>
      <rPr>
        <sz val="11"/>
        <rFont val="Georgia"/>
        <family val="1"/>
      </rPr>
      <t>1GJOA5TL81T0A0H0</t>
    </r>
  </si>
  <si>
    <r>
      <rPr>
        <sz val="11"/>
        <rFont val="Georgia"/>
        <family val="1"/>
      </rPr>
      <t>1GJOA5TL6KT0A0H0</t>
    </r>
  </si>
  <si>
    <r>
      <rPr>
        <sz val="11"/>
        <rFont val="Georgia"/>
        <family val="1"/>
      </rPr>
      <t>GS 1.2 (136PS) HYBRID</t>
    </r>
  </si>
  <si>
    <r>
      <rPr>
        <sz val="11"/>
        <rFont val="Georgia"/>
        <family val="1"/>
      </rPr>
      <t>1GO6SYUJH7TXA0B0</t>
    </r>
  </si>
  <si>
    <r>
      <rPr>
        <sz val="11"/>
        <rFont val="Georgia"/>
        <family val="1"/>
      </rPr>
      <t>ULTIMATE (136PS</t>
    </r>
  </si>
  <si>
    <r>
      <rPr>
        <sz val="11"/>
        <rFont val="Georgia"/>
        <family val="1"/>
      </rPr>
      <t>ULTIMATE 1.2 (100PS) TURBO</t>
    </r>
  </si>
  <si>
    <r>
      <rPr>
        <sz val="11"/>
        <rFont val="Georgia"/>
        <family val="1"/>
      </rPr>
      <t>1GJOA5TL6KT040H0</t>
    </r>
  </si>
  <si>
    <r>
      <rPr>
        <sz val="11"/>
        <rFont val="Georgia"/>
        <family val="1"/>
      </rPr>
      <t>ULTIMATE 1.2 (100PS) TURBO HYBRID</t>
    </r>
  </si>
  <si>
    <r>
      <rPr>
        <sz val="11"/>
        <rFont val="Georgia"/>
        <family val="1"/>
      </rPr>
      <t>1GJOA5TJGWT040</t>
    </r>
  </si>
  <si>
    <r>
      <rPr>
        <sz val="11"/>
        <rFont val="Georgia"/>
        <family val="1"/>
      </rPr>
      <t>ULTIMATE 1.2 (136PS) HYBRID</t>
    </r>
  </si>
  <si>
    <r>
      <rPr>
        <sz val="11"/>
        <rFont val="Georgia"/>
        <family val="1"/>
      </rPr>
      <t>1GO6SYUJH7TX40B0</t>
    </r>
  </si>
  <si>
    <r>
      <rPr>
        <sz val="11"/>
        <rFont val="Georgia"/>
        <family val="1"/>
      </rPr>
      <t>ULTIMATE 100KW (136PS)</t>
    </r>
  </si>
  <si>
    <r>
      <rPr>
        <sz val="11"/>
        <rFont val="Georgia"/>
        <family val="1"/>
      </rPr>
      <t>1GK9AF5ZIFT0A070</t>
    </r>
  </si>
  <si>
    <r>
      <rPr>
        <sz val="11"/>
        <rFont val="Georgia"/>
        <family val="1"/>
      </rPr>
      <t>ULTIMATE XL 100KW (136PS)</t>
    </r>
  </si>
  <si>
    <r>
      <rPr>
        <sz val="11"/>
        <rFont val="Georgia"/>
        <family val="1"/>
      </rPr>
      <t>1GK9CL5ZIFT0A070</t>
    </r>
  </si>
  <si>
    <r>
      <rPr>
        <sz val="11"/>
        <rFont val="Georgia"/>
        <family val="1"/>
      </rPr>
      <t>XL COMBI (136PS)</t>
    </r>
  </si>
  <si>
    <r>
      <rPr>
        <sz val="11"/>
        <rFont val="Georgia"/>
        <family val="1"/>
      </rPr>
      <t>XL DESIGN (136PS)</t>
    </r>
  </si>
  <si>
    <r>
      <rPr>
        <sz val="11"/>
        <rFont val="Georgia"/>
        <family val="1"/>
      </rPr>
      <t>XL DESIGN 2.0 (180PS) TURBO</t>
    </r>
  </si>
  <si>
    <r>
      <rPr>
        <sz val="11"/>
        <rFont val="Georgia"/>
        <family val="1"/>
      </rPr>
      <t>1GK0NPQWQ1T0A0</t>
    </r>
  </si>
  <si>
    <r>
      <rPr>
        <sz val="11"/>
        <rFont val="Georgia"/>
        <family val="1"/>
      </rPr>
      <t>XL ULTIMATE (136PS)</t>
    </r>
  </si>
  <si>
    <r>
      <rPr>
        <sz val="11"/>
        <rFont val="Georgia"/>
        <family val="1"/>
      </rPr>
      <t>YES 1.2 (100PS) TURBO</t>
    </r>
  </si>
  <si>
    <r>
      <rPr>
        <sz val="11"/>
        <rFont val="Georgia"/>
        <family val="1"/>
      </rPr>
      <t>1GJOA5HL6KT02CH0</t>
    </r>
  </si>
  <si>
    <r>
      <rPr>
        <sz val="11"/>
        <rFont val="Georgia"/>
        <family val="1"/>
      </rPr>
      <t>VOLKSWAGEN</t>
    </r>
  </si>
  <si>
    <r>
      <rPr>
        <sz val="11"/>
        <rFont val="Georgia"/>
        <family val="1"/>
      </rPr>
      <t>GOLF ETSI ACTIVE BASIC</t>
    </r>
  </si>
  <si>
    <r>
      <rPr>
        <sz val="11"/>
        <rFont val="Georgia"/>
        <family val="1"/>
      </rPr>
      <t>WVWZZZCDZNW16</t>
    </r>
  </si>
  <si>
    <r>
      <rPr>
        <sz val="11"/>
        <rFont val="Georgia"/>
        <family val="1"/>
      </rPr>
      <t>POLO TSI COMFORTLINE</t>
    </r>
  </si>
  <si>
    <r>
      <rPr>
        <sz val="11"/>
        <rFont val="Georgia"/>
        <family val="1"/>
      </rPr>
      <t>WVWZZZAWZJU03</t>
    </r>
  </si>
  <si>
    <r>
      <rPr>
        <sz val="11"/>
        <rFont val="Georgia"/>
        <family val="1"/>
      </rPr>
      <t>POLO TSI HIGHLINE</t>
    </r>
  </si>
  <si>
    <r>
      <rPr>
        <sz val="11"/>
        <rFont val="Georgia"/>
        <family val="1"/>
      </rPr>
      <t>WVWZZZAWZJU01</t>
    </r>
  </si>
  <si>
    <r>
      <rPr>
        <sz val="11"/>
        <rFont val="Georgia"/>
        <family val="1"/>
      </rPr>
      <t>POLO TSI TREND LINE</t>
    </r>
  </si>
  <si>
    <r>
      <rPr>
        <sz val="11"/>
        <rFont val="Georgia"/>
        <family val="1"/>
      </rPr>
      <t>WVWZZZAWZJU04</t>
    </r>
  </si>
  <si>
    <r>
      <rPr>
        <sz val="11"/>
        <rFont val="Georgia"/>
        <family val="1"/>
      </rPr>
      <t>UP! MOVE UP!</t>
    </r>
  </si>
  <si>
    <r>
      <rPr>
        <sz val="11"/>
        <rFont val="Georgia"/>
        <family val="1"/>
      </rPr>
      <t>WVWZZZAAZJD15</t>
    </r>
  </si>
  <si>
    <r>
      <rPr>
        <sz val="11"/>
        <rFont val="Georgia"/>
        <family val="1"/>
      </rPr>
      <t>UP! SPICE UP!</t>
    </r>
  </si>
  <si>
    <r>
      <rPr>
        <sz val="11"/>
        <rFont val="Georgia"/>
        <family val="1"/>
      </rPr>
      <t>WVWZZZAAZKD15</t>
    </r>
  </si>
  <si>
    <r>
      <rPr>
        <sz val="11"/>
        <rFont val="Georgia"/>
        <family val="1"/>
      </rPr>
      <t>UP! UP! GTI</t>
    </r>
  </si>
  <si>
    <r>
      <rPr>
        <sz val="11"/>
        <rFont val="Georgia"/>
        <family val="1"/>
      </rPr>
      <t>WVWZZZAAZKD16</t>
    </r>
  </si>
  <si>
    <r>
      <rPr>
        <sz val="11"/>
        <rFont val="Georgia"/>
        <family val="1"/>
      </rPr>
      <t>POLO TSI COMFORTLINE LIMITED</t>
    </r>
  </si>
  <si>
    <r>
      <rPr>
        <sz val="11"/>
        <rFont val="Georgia"/>
        <family val="1"/>
      </rPr>
      <t>WVWZZZAWZLU08</t>
    </r>
  </si>
  <si>
    <r>
      <rPr>
        <sz val="11"/>
        <rFont val="Georgia"/>
        <family val="1"/>
      </rPr>
      <t>T-CROSS TSI 1ST PLUS</t>
    </r>
  </si>
  <si>
    <r>
      <rPr>
        <sz val="11"/>
        <rFont val="Georgia"/>
        <family val="1"/>
      </rPr>
      <t>WVGZZZC1ZLY05</t>
    </r>
  </si>
  <si>
    <r>
      <rPr>
        <sz val="11"/>
        <rFont val="Georgia"/>
        <family val="1"/>
      </rPr>
      <t>T-CROSS TSI 1ST</t>
    </r>
  </si>
  <si>
    <r>
      <rPr>
        <sz val="11"/>
        <rFont val="Georgia"/>
        <family val="1"/>
      </rPr>
      <t>WVGZZZC1ZLY07</t>
    </r>
  </si>
  <si>
    <r>
      <rPr>
        <sz val="11"/>
        <rFont val="Georgia"/>
        <family val="1"/>
      </rPr>
      <t>GOLF ETSI ACTIVE</t>
    </r>
  </si>
  <si>
    <r>
      <rPr>
        <sz val="11"/>
        <rFont val="Georgia"/>
        <family val="1"/>
      </rPr>
      <t>WVWZZZCDZNW10</t>
    </r>
  </si>
  <si>
    <r>
      <rPr>
        <sz val="11"/>
        <rFont val="Georgia"/>
        <family val="1"/>
      </rPr>
      <t>POLO TSI ACTIVE</t>
    </r>
  </si>
  <si>
    <r>
      <rPr>
        <sz val="11"/>
        <rFont val="Georgia"/>
        <family val="1"/>
      </rPr>
      <t>WVWZZZAWZNU07</t>
    </r>
  </si>
  <si>
    <r>
      <rPr>
        <sz val="11"/>
        <rFont val="Georgia"/>
        <family val="1"/>
      </rPr>
      <t>POLO TSI R-LINE</t>
    </r>
  </si>
  <si>
    <r>
      <rPr>
        <sz val="11"/>
        <rFont val="Georgia"/>
        <family val="1"/>
      </rPr>
      <t>3BA-AWDLA</t>
    </r>
  </si>
  <si>
    <r>
      <rPr>
        <sz val="11"/>
        <rFont val="Georgia"/>
        <family val="1"/>
      </rPr>
      <t>T-CROSS TSI ACTIVE</t>
    </r>
  </si>
  <si>
    <r>
      <rPr>
        <sz val="11"/>
        <rFont val="Georgia"/>
        <family val="1"/>
      </rPr>
      <t>WVGZZZC1ZNY02</t>
    </r>
  </si>
  <si>
    <r>
      <rPr>
        <sz val="11"/>
        <rFont val="Georgia"/>
        <family val="1"/>
      </rPr>
      <t>GOLF VARIANT ETSI ACTIVE BASIC</t>
    </r>
  </si>
  <si>
    <r>
      <rPr>
        <sz val="11"/>
        <rFont val="Georgia"/>
        <family val="1"/>
      </rPr>
      <t>WVWZZZCD6RW81</t>
    </r>
  </si>
  <si>
    <r>
      <rPr>
        <sz val="11"/>
        <rFont val="Georgia"/>
        <family val="1"/>
      </rPr>
      <t>GOLF VARIANT ETSI ACTIVE</t>
    </r>
  </si>
  <si>
    <r>
      <rPr>
        <sz val="11"/>
        <rFont val="Georgia"/>
        <family val="1"/>
      </rPr>
      <t>WVWZZZCD2PW52</t>
    </r>
  </si>
  <si>
    <r>
      <rPr>
        <sz val="11"/>
        <rFont val="Georgia"/>
        <family val="1"/>
      </rPr>
      <t>THE BEETLE EXCLUSIVE</t>
    </r>
  </si>
  <si>
    <r>
      <rPr>
        <sz val="11"/>
        <rFont val="Georgia"/>
        <family val="1"/>
      </rPr>
      <t>DBA-16CBZ</t>
    </r>
  </si>
  <si>
    <r>
      <rPr>
        <sz val="11"/>
        <rFont val="Georgia"/>
        <family val="1"/>
      </rPr>
      <t>THE BEETLE BLACK STYLE</t>
    </r>
  </si>
  <si>
    <r>
      <rPr>
        <sz val="11"/>
        <rFont val="Georgia"/>
        <family val="1"/>
      </rPr>
      <t>GOLF TSI COMFORTLINE TECH EDITION</t>
    </r>
  </si>
  <si>
    <r>
      <rPr>
        <sz val="11"/>
        <rFont val="Georgia"/>
        <family val="1"/>
      </rPr>
      <t>WVWZZZAUZKP04</t>
    </r>
  </si>
  <si>
    <r>
      <rPr>
        <sz val="11"/>
        <rFont val="Georgia"/>
        <family val="1"/>
      </rPr>
      <t>THE BEETLE DESIGN MEISTER</t>
    </r>
  </si>
  <si>
    <r>
      <rPr>
        <sz val="11"/>
        <rFont val="Georgia"/>
        <family val="1"/>
      </rPr>
      <t>WVWZZZ16ZKM70</t>
    </r>
  </si>
  <si>
    <r>
      <rPr>
        <sz val="11"/>
        <rFont val="Georgia"/>
        <family val="1"/>
      </rPr>
      <t>GOLF VARIANT TSI COMFORTLINE MEISTER</t>
    </r>
  </si>
  <si>
    <r>
      <rPr>
        <sz val="11"/>
        <rFont val="Georgia"/>
        <family val="1"/>
      </rPr>
      <t>WVWZZZAUZLP55</t>
    </r>
  </si>
  <si>
    <r>
      <rPr>
        <sz val="11"/>
        <rFont val="Georgia"/>
        <family val="1"/>
      </rPr>
      <t>SHARAN TSI COMFORTLINE</t>
    </r>
  </si>
  <si>
    <r>
      <rPr>
        <sz val="11"/>
        <rFont val="Georgia"/>
        <family val="1"/>
      </rPr>
      <t>WVWZZZ7NZJV02</t>
    </r>
  </si>
  <si>
    <r>
      <rPr>
        <sz val="11"/>
        <rFont val="Georgia"/>
        <family val="1"/>
      </rPr>
      <t>TIGUAN DYNAUDIO EDITION</t>
    </r>
  </si>
  <si>
    <r>
      <rPr>
        <sz val="11"/>
        <rFont val="Georgia"/>
        <family val="1"/>
      </rPr>
      <t>ABA-5NCZE</t>
    </r>
  </si>
  <si>
    <r>
      <rPr>
        <sz val="11"/>
        <rFont val="Georgia"/>
        <family val="1"/>
      </rPr>
      <t>GOLF TOURAN TSI COMFORTLINE</t>
    </r>
  </si>
  <si>
    <r>
      <rPr>
        <sz val="11"/>
        <rFont val="Georgia"/>
        <family val="1"/>
      </rPr>
      <t>WVGZZZ1TZLW04</t>
    </r>
  </si>
  <si>
    <r>
      <rPr>
        <sz val="11"/>
        <rFont val="Georgia"/>
        <family val="1"/>
      </rPr>
      <t>GOLF TOURAN TSI R LINE</t>
    </r>
  </si>
  <si>
    <r>
      <rPr>
        <sz val="11"/>
        <rFont val="Georgia"/>
        <family val="1"/>
      </rPr>
      <t>SHARAN TSI HIGHLINE</t>
    </r>
  </si>
  <si>
    <r>
      <rPr>
        <sz val="11"/>
        <rFont val="Georgia"/>
        <family val="1"/>
      </rPr>
      <t>WVWZZZ7NZLV01</t>
    </r>
  </si>
  <si>
    <r>
      <rPr>
        <sz val="11"/>
        <rFont val="Georgia"/>
        <family val="1"/>
      </rPr>
      <t>GOLF ETSI R LINE</t>
    </r>
  </si>
  <si>
    <r>
      <rPr>
        <sz val="11"/>
        <rFont val="Georgia"/>
        <family val="1"/>
      </rPr>
      <t>WVWZZZCDZMW35</t>
    </r>
  </si>
  <si>
    <r>
      <rPr>
        <sz val="11"/>
        <rFont val="Georgia"/>
        <family val="1"/>
      </rPr>
      <t>GOLF VARIANT ETSI R LINE</t>
    </r>
  </si>
  <si>
    <r>
      <rPr>
        <sz val="11"/>
        <rFont val="Georgia"/>
        <family val="1"/>
      </rPr>
      <t>WVWZZZCDZMW80</t>
    </r>
  </si>
  <si>
    <r>
      <rPr>
        <sz val="11"/>
        <rFont val="Georgia"/>
        <family val="1"/>
      </rPr>
      <t>GOLF ETSI STYLE</t>
    </r>
  </si>
  <si>
    <r>
      <rPr>
        <sz val="11"/>
        <rFont val="Georgia"/>
        <family val="1"/>
      </rPr>
      <t>WVGZZZ1TZNW00</t>
    </r>
  </si>
  <si>
    <r>
      <rPr>
        <sz val="11"/>
        <rFont val="Georgia"/>
        <family val="1"/>
      </rPr>
      <t>GOLF TOURAN TSI HIGHLINE</t>
    </r>
  </si>
  <si>
    <r>
      <rPr>
        <sz val="11"/>
        <rFont val="Georgia"/>
        <family val="1"/>
      </rPr>
      <t>WVGZZZ1TZNW01</t>
    </r>
  </si>
  <si>
    <r>
      <rPr>
        <sz val="11"/>
        <rFont val="Georgia"/>
        <family val="1"/>
      </rPr>
      <t>WVWZZZCD7PW51</t>
    </r>
  </si>
  <si>
    <r>
      <rPr>
        <sz val="11"/>
        <rFont val="Georgia"/>
        <family val="1"/>
      </rPr>
      <t>PASSAT VARIANT TSI ELEGANCE ADVANCE</t>
    </r>
  </si>
  <si>
    <r>
      <rPr>
        <sz val="11"/>
        <rFont val="Georgia"/>
        <family val="1"/>
      </rPr>
      <t>WVWZZZ3CZNE03</t>
    </r>
  </si>
  <si>
    <r>
      <rPr>
        <sz val="11"/>
        <rFont val="Georgia"/>
        <family val="1"/>
      </rPr>
      <t>TIGUAN TSI R LINE</t>
    </r>
  </si>
  <si>
    <r>
      <rPr>
        <sz val="11"/>
        <rFont val="Georgia"/>
        <family val="1"/>
      </rPr>
      <t>WVGZZZ5NZNW02</t>
    </r>
  </si>
  <si>
    <r>
      <rPr>
        <sz val="11"/>
        <rFont val="Georgia"/>
        <family val="1"/>
      </rPr>
      <t>GOLF ETSI R LINE PLATINUM EDITION</t>
    </r>
  </si>
  <si>
    <r>
      <rPr>
        <sz val="11"/>
        <rFont val="Georgia"/>
        <family val="1"/>
      </rPr>
      <t>WVWZZZCD8RW01</t>
    </r>
  </si>
  <si>
    <r>
      <rPr>
        <sz val="11"/>
        <rFont val="Georgia"/>
        <family val="1"/>
      </rPr>
      <t>GOLF VARIANT ETSI STYLE PLATINUM EDITION</t>
    </r>
  </si>
  <si>
    <r>
      <rPr>
        <sz val="11"/>
        <rFont val="Georgia"/>
        <family val="1"/>
      </rPr>
      <t>WVWZZZCD4RW81</t>
    </r>
  </si>
  <si>
    <r>
      <rPr>
        <sz val="11"/>
        <rFont val="Georgia"/>
        <family val="1"/>
      </rPr>
      <t>PASSAT ETSI ELEGANCE</t>
    </r>
  </si>
  <si>
    <r>
      <rPr>
        <sz val="11"/>
        <rFont val="Georgia"/>
        <family val="1"/>
      </rPr>
      <t>WVWZZZCJXSD00</t>
    </r>
  </si>
  <si>
    <r>
      <rPr>
        <sz val="11"/>
        <rFont val="Georgia"/>
        <family val="1"/>
      </rPr>
      <t>NEW BEETLE</t>
    </r>
  </si>
  <si>
    <r>
      <rPr>
        <sz val="11"/>
        <rFont val="Georgia"/>
        <family val="1"/>
      </rPr>
      <t>WVWZZZ9CZ7M55</t>
    </r>
  </si>
  <si>
    <r>
      <rPr>
        <sz val="11"/>
        <rFont val="Georgia"/>
        <family val="1"/>
      </rPr>
      <t>ARTEON TSI 4MOTION R LINE</t>
    </r>
  </si>
  <si>
    <r>
      <rPr>
        <sz val="11"/>
        <rFont val="Georgia"/>
        <family val="1"/>
      </rPr>
      <t>WVWZZZ3NZM01</t>
    </r>
  </si>
  <si>
    <r>
      <rPr>
        <sz val="11"/>
        <rFont val="Georgia"/>
        <family val="1"/>
      </rPr>
      <t>PASSAT TDI ELEGANCELINE</t>
    </r>
  </si>
  <si>
    <r>
      <rPr>
        <sz val="11"/>
        <rFont val="Georgia"/>
        <family val="1"/>
      </rPr>
      <t>LDA-3CDFC</t>
    </r>
  </si>
  <si>
    <r>
      <rPr>
        <sz val="11"/>
        <rFont val="Georgia"/>
        <family val="1"/>
      </rPr>
      <t>PASSAT TDI HIGHLINE</t>
    </r>
  </si>
  <si>
    <r>
      <rPr>
        <sz val="11"/>
        <rFont val="Georgia"/>
        <family val="1"/>
      </rPr>
      <t>PASSAT ALLTRACK TDI 4MOTION ADVANCE</t>
    </r>
  </si>
  <si>
    <r>
      <rPr>
        <sz val="11"/>
        <rFont val="Georgia"/>
        <family val="1"/>
      </rPr>
      <t>LDA-3CDFCF</t>
    </r>
  </si>
  <si>
    <r>
      <rPr>
        <sz val="11"/>
        <rFont val="Georgia"/>
        <family val="1"/>
      </rPr>
      <t>POLO GTI BASE GRADE</t>
    </r>
  </si>
  <si>
    <r>
      <rPr>
        <sz val="11"/>
        <rFont val="Georgia"/>
        <family val="1"/>
      </rPr>
      <t>THE BEETLE DESIGN</t>
    </r>
  </si>
  <si>
    <r>
      <rPr>
        <sz val="11"/>
        <rFont val="Georgia"/>
        <family val="1"/>
      </rPr>
      <t>TIGUAN TDI 4MOTION R LINE</t>
    </r>
  </si>
  <si>
    <r>
      <rPr>
        <sz val="11"/>
        <rFont val="Georgia"/>
        <family val="1"/>
      </rPr>
      <t>WVGZZZ5NZKW33</t>
    </r>
  </si>
  <si>
    <r>
      <rPr>
        <sz val="11"/>
        <rFont val="Georgia"/>
        <family val="1"/>
      </rPr>
      <t>CARAVEL</t>
    </r>
  </si>
  <si>
    <r>
      <rPr>
        <sz val="11"/>
        <rFont val="Georgia"/>
        <family val="1"/>
      </rPr>
      <t>WV2ZZZ7HZJH11</t>
    </r>
  </si>
  <si>
    <r>
      <rPr>
        <sz val="11"/>
        <rFont val="Georgia"/>
        <family val="1"/>
      </rPr>
      <t>PASSAT 2.0TSI R LINE</t>
    </r>
  </si>
  <si>
    <r>
      <rPr>
        <sz val="11"/>
        <rFont val="Georgia"/>
        <family val="1"/>
      </rPr>
      <t>WVWZZZ3CZKE05</t>
    </r>
  </si>
  <si>
    <r>
      <rPr>
        <sz val="11"/>
        <rFont val="Georgia"/>
        <family val="1"/>
      </rPr>
      <t>SHARAN TDI HIGHLINE</t>
    </r>
  </si>
  <si>
    <r>
      <rPr>
        <sz val="11"/>
        <rFont val="Georgia"/>
        <family val="1"/>
      </rPr>
      <t>3DA-7NDLU</t>
    </r>
  </si>
  <si>
    <r>
      <rPr>
        <sz val="11"/>
        <rFont val="Georgia"/>
        <family val="1"/>
      </rPr>
      <t>TIGUAN TDI 4MOTION HIGHLINE</t>
    </r>
  </si>
  <si>
    <r>
      <rPr>
        <sz val="11"/>
        <rFont val="Georgia"/>
        <family val="1"/>
      </rPr>
      <t>WVGZZZ5NZKW34</t>
    </r>
  </si>
  <si>
    <r>
      <rPr>
        <sz val="11"/>
        <rFont val="Georgia"/>
        <family val="1"/>
      </rPr>
      <t>TIGUAN TDI 4MOTION COMFORTLINE</t>
    </r>
  </si>
  <si>
    <r>
      <rPr>
        <sz val="11"/>
        <rFont val="Georgia"/>
        <family val="1"/>
      </rPr>
      <t>WVGZZZ5NZKW91</t>
    </r>
  </si>
  <si>
    <r>
      <rPr>
        <sz val="11"/>
        <rFont val="Georgia"/>
        <family val="1"/>
      </rPr>
      <t>ARTEON TSI 4MOTION ELEGANCE</t>
    </r>
  </si>
  <si>
    <r>
      <rPr>
        <sz val="11"/>
        <rFont val="Georgia"/>
        <family val="1"/>
      </rPr>
      <t>WVWZZZ3HZKE01</t>
    </r>
  </si>
  <si>
    <r>
      <rPr>
        <sz val="11"/>
        <rFont val="Georgia"/>
        <family val="1"/>
      </rPr>
      <t>CALIFORNIA</t>
    </r>
  </si>
  <si>
    <r>
      <rPr>
        <sz val="11"/>
        <rFont val="Georgia"/>
        <family val="1"/>
      </rPr>
      <t>WV2ZZZ7HZLH03</t>
    </r>
  </si>
  <si>
    <r>
      <rPr>
        <sz val="11"/>
        <rFont val="Georgia"/>
        <family val="1"/>
      </rPr>
      <t>GOLF TDI COMFORTLINE MEISTER</t>
    </r>
  </si>
  <si>
    <r>
      <rPr>
        <sz val="11"/>
        <rFont val="Georgia"/>
        <family val="1"/>
      </rPr>
      <t>WVWZZZAUZLW10</t>
    </r>
  </si>
  <si>
    <r>
      <rPr>
        <sz val="11"/>
        <rFont val="Georgia"/>
        <family val="1"/>
      </rPr>
      <t>GOLF TDI HIGHLINE MEISTER</t>
    </r>
  </si>
  <si>
    <r>
      <rPr>
        <sz val="11"/>
        <rFont val="Georgia"/>
        <family val="1"/>
      </rPr>
      <t>WVWZZZAUZLP00</t>
    </r>
  </si>
  <si>
    <r>
      <rPr>
        <sz val="11"/>
        <rFont val="Georgia"/>
        <family val="1"/>
      </rPr>
      <t>GOLF GTI PERFORMANCE</t>
    </r>
  </si>
  <si>
    <r>
      <rPr>
        <sz val="11"/>
        <rFont val="Georgia"/>
        <family val="1"/>
      </rPr>
      <t>WVWZZZAUZLW12</t>
    </r>
  </si>
  <si>
    <r>
      <rPr>
        <sz val="11"/>
        <rFont val="Georgia"/>
        <family val="1"/>
      </rPr>
      <t>GOLF GTI TCR</t>
    </r>
  </si>
  <si>
    <r>
      <rPr>
        <sz val="11"/>
        <rFont val="Georgia"/>
        <family val="1"/>
      </rPr>
      <t>3BA-AUDNU</t>
    </r>
  </si>
  <si>
    <r>
      <rPr>
        <sz val="11"/>
        <rFont val="Georgia"/>
        <family val="1"/>
      </rPr>
      <t>GOLF TOURAN TDI PREMIUM</t>
    </r>
  </si>
  <si>
    <r>
      <rPr>
        <sz val="11"/>
        <rFont val="Georgia"/>
        <family val="1"/>
      </rPr>
      <t>LDA-1TDFG</t>
    </r>
  </si>
  <si>
    <r>
      <rPr>
        <sz val="11"/>
        <rFont val="Georgia"/>
        <family val="1"/>
      </rPr>
      <t>GOLF VARIANT TDI HIGHLINE MEISTER</t>
    </r>
  </si>
  <si>
    <r>
      <rPr>
        <sz val="11"/>
        <rFont val="Georgia"/>
        <family val="1"/>
      </rPr>
      <t>GOLF VARIANT TDI COMFORTLINE MEISTER</t>
    </r>
  </si>
  <si>
    <r>
      <rPr>
        <sz val="11"/>
        <rFont val="Georgia"/>
        <family val="1"/>
      </rPr>
      <t>AUDFG-WVWZZZAUZLP53</t>
    </r>
  </si>
  <si>
    <r>
      <rPr>
        <sz val="11"/>
        <rFont val="Georgia"/>
        <family val="1"/>
      </rPr>
      <t>PASSAT VARIANT TDI HIGHLINE</t>
    </r>
  </si>
  <si>
    <r>
      <rPr>
        <sz val="11"/>
        <rFont val="Georgia"/>
        <family val="1"/>
      </rPr>
      <t>T-ROC TDI STYLE DESIGN PACKAGE</t>
    </r>
  </si>
  <si>
    <r>
      <rPr>
        <sz val="11"/>
        <rFont val="Georgia"/>
        <family val="1"/>
      </rPr>
      <t>WVGZZZA1ZLV15</t>
    </r>
  </si>
  <si>
    <r>
      <rPr>
        <sz val="11"/>
        <rFont val="Georgia"/>
        <family val="1"/>
      </rPr>
      <t>T-ROC TDI R LINE</t>
    </r>
  </si>
  <si>
    <r>
      <rPr>
        <sz val="11"/>
        <rFont val="Georgia"/>
        <family val="1"/>
      </rPr>
      <t>WVGZZZA1ZLV12</t>
    </r>
  </si>
  <si>
    <r>
      <rPr>
        <sz val="11"/>
        <rFont val="Georgia"/>
        <family val="1"/>
      </rPr>
      <t>T-ROC TDI SPORT</t>
    </r>
  </si>
  <si>
    <r>
      <rPr>
        <sz val="11"/>
        <rFont val="Georgia"/>
        <family val="1"/>
      </rPr>
      <t>THE BEETLE 2.0 R LINE MEISTER</t>
    </r>
  </si>
  <si>
    <r>
      <rPr>
        <sz val="11"/>
        <rFont val="Georgia"/>
        <family val="1"/>
      </rPr>
      <t>ABA-16CPL</t>
    </r>
  </si>
  <si>
    <r>
      <rPr>
        <sz val="11"/>
        <rFont val="Georgia"/>
        <family val="1"/>
      </rPr>
      <t>ARTEON TSI 4MOTION R LINE ADVANCE</t>
    </r>
  </si>
  <si>
    <r>
      <rPr>
        <sz val="11"/>
        <rFont val="Georgia"/>
        <family val="1"/>
      </rPr>
      <t>WVWZZZ3HZNE00</t>
    </r>
  </si>
  <si>
    <r>
      <rPr>
        <sz val="11"/>
        <rFont val="Georgia"/>
        <family val="1"/>
      </rPr>
      <t>GOLF TDI STYLE</t>
    </r>
  </si>
  <si>
    <r>
      <rPr>
        <sz val="11"/>
        <rFont val="Georgia"/>
        <family val="1"/>
      </rPr>
      <t>3DA-CDDTS</t>
    </r>
  </si>
  <si>
    <r>
      <rPr>
        <sz val="11"/>
        <rFont val="Georgia"/>
        <family val="1"/>
      </rPr>
      <t>GOLF R TSI 4MOTION</t>
    </r>
  </si>
  <si>
    <r>
      <rPr>
        <sz val="11"/>
        <rFont val="Georgia"/>
        <family val="1"/>
      </rPr>
      <t>3BA-CDDNFF</t>
    </r>
  </si>
  <si>
    <r>
      <rPr>
        <sz val="11"/>
        <rFont val="Georgia"/>
        <family val="1"/>
      </rPr>
      <t>GOLF R BASE GRADE</t>
    </r>
  </si>
  <si>
    <r>
      <rPr>
        <sz val="11"/>
        <rFont val="Georgia"/>
        <family val="1"/>
      </rPr>
      <t>WVWZZZCD8PW11</t>
    </r>
  </si>
  <si>
    <r>
      <rPr>
        <sz val="11"/>
        <rFont val="Georgia"/>
        <family val="1"/>
      </rPr>
      <t>GOLF R VARIANT</t>
    </r>
  </si>
  <si>
    <r>
      <rPr>
        <sz val="11"/>
        <rFont val="Georgia"/>
        <family val="1"/>
      </rPr>
      <t>3BA-CDDNFV</t>
    </r>
  </si>
  <si>
    <r>
      <rPr>
        <sz val="11"/>
        <rFont val="Georgia"/>
        <family val="1"/>
      </rPr>
      <t>GOLF TOURAN TDI HIGHLINE</t>
    </r>
  </si>
  <si>
    <r>
      <rPr>
        <sz val="11"/>
        <rFont val="Georgia"/>
        <family val="1"/>
      </rPr>
      <t>WVGZZZ1TZMW02</t>
    </r>
  </si>
  <si>
    <r>
      <rPr>
        <sz val="11"/>
        <rFont val="Georgia"/>
        <family val="1"/>
      </rPr>
      <t>GOLF TOURAN TDI COMFORTLINE</t>
    </r>
  </si>
  <si>
    <r>
      <rPr>
        <sz val="11"/>
        <rFont val="Georgia"/>
        <family val="1"/>
      </rPr>
      <t>PASSAT TSI ELEGANCE ADVANCE</t>
    </r>
  </si>
  <si>
    <r>
      <rPr>
        <sz val="11"/>
        <rFont val="Georgia"/>
        <family val="1"/>
      </rPr>
      <t>WVWZZZ3CZME12</t>
    </r>
  </si>
  <si>
    <r>
      <rPr>
        <sz val="11"/>
        <rFont val="Georgia"/>
        <family val="1"/>
      </rPr>
      <t>PASSAT VARIANT TDI ELEGANCE</t>
    </r>
  </si>
  <si>
    <r>
      <rPr>
        <sz val="11"/>
        <rFont val="Georgia"/>
        <family val="1"/>
      </rPr>
      <t>WVWZZZ3CZME08</t>
    </r>
  </si>
  <si>
    <r>
      <rPr>
        <sz val="11"/>
        <rFont val="Georgia"/>
        <family val="1"/>
      </rPr>
      <t>T-ROC TDI STYLE</t>
    </r>
  </si>
  <si>
    <r>
      <rPr>
        <sz val="11"/>
        <rFont val="Georgia"/>
        <family val="1"/>
      </rPr>
      <t>WVGZZZA1ZPV55</t>
    </r>
  </si>
  <si>
    <r>
      <rPr>
        <sz val="11"/>
        <rFont val="Georgia"/>
        <family val="1"/>
      </rPr>
      <t>ARTEON SHOOTING BRAKE TSI 4MOTION R LIN</t>
    </r>
  </si>
  <si>
    <r>
      <rPr>
        <sz val="11"/>
        <rFont val="Georgia"/>
        <family val="1"/>
      </rPr>
      <t>WVWZZZ3HZPE50</t>
    </r>
  </si>
  <si>
    <r>
      <rPr>
        <sz val="11"/>
        <rFont val="Georgia"/>
        <family val="1"/>
      </rPr>
      <t>CALIFORNIA BEACH</t>
    </r>
  </si>
  <si>
    <r>
      <rPr>
        <sz val="11"/>
        <rFont val="Georgia"/>
        <family val="1"/>
      </rPr>
      <t>WV2ZZZ7HZPH08</t>
    </r>
  </si>
  <si>
    <r>
      <rPr>
        <sz val="11"/>
        <rFont val="Georgia"/>
        <family val="1"/>
      </rPr>
      <t>GOLF TDI ACTIVE ADVANCE</t>
    </r>
  </si>
  <si>
    <r>
      <rPr>
        <sz val="11"/>
        <rFont val="Georgia"/>
        <family val="1"/>
      </rPr>
      <t>WVWZZZCD4PW20</t>
    </r>
  </si>
  <si>
    <r>
      <rPr>
        <sz val="11"/>
        <rFont val="Georgia"/>
        <family val="1"/>
      </rPr>
      <t>GOLF TDI ACTIVE ADVANCE PLATINUM EDITIO</t>
    </r>
  </si>
  <si>
    <r>
      <rPr>
        <sz val="11"/>
        <rFont val="Georgia"/>
        <family val="1"/>
      </rPr>
      <t>WVWZZZCD7RW01</t>
    </r>
  </si>
  <si>
    <r>
      <rPr>
        <sz val="11"/>
        <rFont val="Georgia"/>
        <family val="1"/>
      </rPr>
      <t>GOLF TDI ACTIVE BASIC</t>
    </r>
  </si>
  <si>
    <r>
      <rPr>
        <sz val="11"/>
        <rFont val="Georgia"/>
        <family val="1"/>
      </rPr>
      <t>WVWZZZCD0RW00</t>
    </r>
  </si>
  <si>
    <r>
      <rPr>
        <sz val="11"/>
        <rFont val="Georgia"/>
        <family val="1"/>
      </rPr>
      <t>GOLF TDI STYLE PLATINUM EDITION</t>
    </r>
  </si>
  <si>
    <r>
      <rPr>
        <sz val="11"/>
        <rFont val="Georgia"/>
        <family val="1"/>
      </rPr>
      <t>WVWZZZCD1RW00</t>
    </r>
  </si>
  <si>
    <r>
      <rPr>
        <sz val="11"/>
        <rFont val="Georgia"/>
        <family val="1"/>
      </rPr>
      <t>GOLF GTI BASE GRADE</t>
    </r>
  </si>
  <si>
    <r>
      <rPr>
        <sz val="11"/>
        <rFont val="Georgia"/>
        <family val="1"/>
      </rPr>
      <t>WVWZZZAUZLW11</t>
    </r>
  </si>
  <si>
    <r>
      <rPr>
        <sz val="11"/>
        <rFont val="Georgia"/>
        <family val="1"/>
      </rPr>
      <t>GOLF R 20 YEARS</t>
    </r>
  </si>
  <si>
    <r>
      <rPr>
        <sz val="11"/>
        <rFont val="Georgia"/>
        <family val="1"/>
      </rPr>
      <t>7BA-CDDNFF</t>
    </r>
  </si>
  <si>
    <r>
      <rPr>
        <sz val="11"/>
        <rFont val="Georgia"/>
        <family val="1"/>
      </rPr>
      <t>GOLF R VARIANT TSI 4MOTION</t>
    </r>
  </si>
  <si>
    <r>
      <rPr>
        <sz val="11"/>
        <rFont val="Georgia"/>
        <family val="1"/>
      </rPr>
      <t>WVWZZZCD9PW51</t>
    </r>
  </si>
  <si>
    <r>
      <rPr>
        <sz val="11"/>
        <rFont val="Georgia"/>
        <family val="1"/>
      </rPr>
      <t>GOLF VARIANT TDI R LINE</t>
    </r>
  </si>
  <si>
    <r>
      <rPr>
        <sz val="11"/>
        <rFont val="Georgia"/>
        <family val="1"/>
      </rPr>
      <t>WVWZZZCD5PW52</t>
    </r>
  </si>
  <si>
    <r>
      <rPr>
        <sz val="11"/>
        <rFont val="Georgia"/>
        <family val="1"/>
      </rPr>
      <t>GOLF VARIANT TDI ACTIVE ADVANCE PLATINU</t>
    </r>
  </si>
  <si>
    <r>
      <rPr>
        <sz val="11"/>
        <rFont val="Georgia"/>
        <family val="1"/>
      </rPr>
      <t>POLO GTI</t>
    </r>
  </si>
  <si>
    <r>
      <rPr>
        <sz val="11"/>
        <rFont val="Georgia"/>
        <family val="1"/>
      </rPr>
      <t>WVWZZZAWZPU04</t>
    </r>
  </si>
  <si>
    <r>
      <rPr>
        <sz val="11"/>
        <rFont val="Georgia"/>
        <family val="1"/>
      </rPr>
      <t>GOLF VARIANT TDI ACTIVE ADVANCE</t>
    </r>
  </si>
  <si>
    <r>
      <rPr>
        <sz val="11"/>
        <rFont val="Georgia"/>
        <family val="1"/>
      </rPr>
      <t>WVWZZZCD3RW82</t>
    </r>
  </si>
  <si>
    <r>
      <rPr>
        <sz val="11"/>
        <rFont val="Georgia"/>
        <family val="1"/>
      </rPr>
      <t>PASSAT ALLTRACK TDI 4MOTION</t>
    </r>
  </si>
  <si>
    <r>
      <rPr>
        <sz val="11"/>
        <rFont val="Georgia"/>
        <family val="1"/>
      </rPr>
      <t>WVWZZZ3C4RE01</t>
    </r>
  </si>
  <si>
    <r>
      <rPr>
        <sz val="11"/>
        <rFont val="Georgia"/>
        <family val="1"/>
      </rPr>
      <t>TRANSPORTER</t>
    </r>
  </si>
  <si>
    <r>
      <rPr>
        <sz val="11"/>
        <rFont val="Georgia"/>
        <family val="1"/>
      </rPr>
      <t>WV1ZZZ7HZJH02</t>
    </r>
  </si>
  <si>
    <r>
      <rPr>
        <sz val="11"/>
        <rFont val="Georgia"/>
        <family val="1"/>
      </rPr>
      <t>TOUAREG V6 UPGRADE PACKAGE</t>
    </r>
  </si>
  <si>
    <r>
      <rPr>
        <sz val="11"/>
        <rFont val="Georgia"/>
        <family val="1"/>
      </rPr>
      <t>DBA-7PCGRA</t>
    </r>
  </si>
  <si>
    <r>
      <rPr>
        <sz val="11"/>
        <rFont val="Georgia"/>
        <family val="1"/>
      </rPr>
      <t>ID.4 PRO LAUNCH EDITION</t>
    </r>
  </si>
  <si>
    <r>
      <rPr>
        <sz val="11"/>
        <rFont val="Georgia"/>
        <family val="1"/>
      </rPr>
      <t>ZAA-E2EBJ</t>
    </r>
  </si>
  <si>
    <r>
      <rPr>
        <sz val="11"/>
        <rFont val="Georgia"/>
        <family val="1"/>
      </rPr>
      <t>ID.4 LITE</t>
    </r>
  </si>
  <si>
    <r>
      <rPr>
        <sz val="11"/>
        <rFont val="Georgia"/>
        <family val="1"/>
      </rPr>
      <t>WVGZZZE2ZPE07</t>
    </r>
  </si>
  <si>
    <r>
      <rPr>
        <sz val="11"/>
        <rFont val="Georgia"/>
        <family val="1"/>
      </rPr>
      <t>ID.4 PRO</t>
    </r>
  </si>
  <si>
    <r>
      <rPr>
        <sz val="11"/>
        <rFont val="Georgia"/>
        <family val="1"/>
      </rPr>
      <t>WVGZZZE2ZPE06</t>
    </r>
  </si>
  <si>
    <r>
      <rPr>
        <sz val="11"/>
        <rFont val="Georgia"/>
        <family val="1"/>
      </rPr>
      <t>XPENG</t>
    </r>
  </si>
  <si>
    <r>
      <rPr>
        <sz val="11"/>
        <rFont val="Georgia"/>
        <family val="1"/>
      </rPr>
      <t>G6 AWD PERFORMANCE</t>
    </r>
  </si>
  <si>
    <r>
      <rPr>
        <sz val="11"/>
        <rFont val="Georgia"/>
        <family val="1"/>
      </rPr>
      <t>87.5 kWh</t>
    </r>
  </si>
  <si>
    <r>
      <rPr>
        <sz val="11"/>
        <rFont val="Georgia"/>
        <family val="1"/>
      </rPr>
      <t>2195 kg</t>
    </r>
  </si>
  <si>
    <r>
      <rPr>
        <sz val="11"/>
        <rFont val="Georgia"/>
        <family val="1"/>
      </rPr>
      <t>G6 RWD LONG RANGE</t>
    </r>
  </si>
  <si>
    <r>
      <rPr>
        <sz val="11"/>
        <rFont val="Georgia"/>
        <family val="1"/>
      </rPr>
      <t>2100 kg</t>
    </r>
  </si>
  <si>
    <r>
      <rPr>
        <sz val="11"/>
        <rFont val="Georgia"/>
        <family val="1"/>
      </rPr>
      <t>G6 RWD STANDARD RANGE</t>
    </r>
  </si>
  <si>
    <r>
      <rPr>
        <sz val="11"/>
        <rFont val="Georgia"/>
        <family val="1"/>
      </rPr>
      <t>66.0 kWh</t>
    </r>
  </si>
  <si>
    <r>
      <rPr>
        <sz val="11"/>
        <rFont val="Georgia"/>
        <family val="1"/>
      </rPr>
      <t>G9 AWD PERFORMANCE</t>
    </r>
  </si>
  <si>
    <r>
      <rPr>
        <sz val="11"/>
        <rFont val="Georgia"/>
        <family val="1"/>
      </rPr>
      <t>93.1 kWh</t>
    </r>
  </si>
  <si>
    <r>
      <rPr>
        <sz val="11"/>
        <rFont val="Georgia"/>
        <family val="1"/>
      </rPr>
      <t>2415 kg</t>
    </r>
  </si>
  <si>
    <r>
      <rPr>
        <sz val="11"/>
        <rFont val="Georgia"/>
        <family val="1"/>
      </rPr>
      <t>G9 RWD LONG RANGE</t>
    </r>
  </si>
  <si>
    <r>
      <rPr>
        <sz val="11"/>
        <rFont val="Georgia"/>
        <family val="1"/>
      </rPr>
      <t>2285 kg</t>
    </r>
  </si>
  <si>
    <r>
      <rPr>
        <sz val="11"/>
        <rFont val="Georgia"/>
        <family val="1"/>
      </rPr>
      <t>G9 RWD STANDARD RANGE</t>
    </r>
  </si>
  <si>
    <r>
      <rPr>
        <sz val="11"/>
        <rFont val="Georgia"/>
        <family val="1"/>
      </rPr>
      <t>75.8 kWh</t>
    </r>
  </si>
  <si>
    <r>
      <rPr>
        <sz val="11"/>
        <rFont val="Georgia"/>
        <family val="1"/>
      </rPr>
      <t>2310 kg</t>
    </r>
  </si>
  <si>
    <r>
      <rPr>
        <sz val="11"/>
        <rFont val="Georgia"/>
        <family val="1"/>
      </rPr>
      <t>P7 AWD PERFORMANCE</t>
    </r>
  </si>
  <si>
    <r>
      <rPr>
        <sz val="11"/>
        <rFont val="Georgia"/>
        <family val="1"/>
      </rPr>
      <t>82.7 kWh</t>
    </r>
  </si>
  <si>
    <r>
      <rPr>
        <sz val="11"/>
        <rFont val="Georgia"/>
        <family val="1"/>
      </rPr>
      <t>2215 kg</t>
    </r>
  </si>
  <si>
    <r>
      <rPr>
        <sz val="11"/>
        <rFont val="Georgia"/>
        <family val="1"/>
      </rPr>
      <t>P7 RWD LONG RANGE</t>
    </r>
  </si>
  <si>
    <r>
      <rPr>
        <sz val="11"/>
        <rFont val="Georgia"/>
        <family val="1"/>
      </rPr>
      <t>2095 kg</t>
    </r>
  </si>
  <si>
    <r>
      <rPr>
        <sz val="11"/>
        <rFont val="Georgia"/>
        <family val="1"/>
      </rPr>
      <t>P7 WING EDITION</t>
    </r>
  </si>
  <si>
    <r>
      <rPr>
        <sz val="11"/>
        <rFont val="Georgia"/>
        <family val="1"/>
      </rPr>
      <t>2255 kg</t>
    </r>
  </si>
  <si>
    <r>
      <rPr>
        <b/>
        <sz val="11"/>
        <rFont val="Georgia"/>
        <family val="1"/>
      </rPr>
      <t>BREAK</t>
    </r>
  </si>
  <si>
    <r>
      <rPr>
        <b/>
        <sz val="12"/>
        <color rgb="FFBF0000"/>
        <rFont val="Georgia"/>
        <family val="1"/>
      </rPr>
      <t>Make</t>
    </r>
  </si>
  <si>
    <r>
      <rPr>
        <b/>
        <sz val="12"/>
        <color rgb="FFBF0000"/>
        <rFont val="Georgia"/>
        <family val="1"/>
      </rPr>
      <t>Model</t>
    </r>
  </si>
  <si>
    <r>
      <rPr>
        <b/>
        <sz val="12"/>
        <color rgb="FFBF0000"/>
        <rFont val="Georgia"/>
        <family val="1"/>
      </rPr>
      <t>Model number</t>
    </r>
  </si>
  <si>
    <r>
      <rPr>
        <b/>
        <sz val="12"/>
        <color rgb="FFBF0000"/>
        <rFont val="Georgia"/>
        <family val="1"/>
      </rPr>
      <t>Transmission</t>
    </r>
  </si>
  <si>
    <r>
      <rPr>
        <b/>
        <sz val="12"/>
        <color rgb="FFBF0000"/>
        <rFont val="Georgia"/>
        <family val="1"/>
      </rPr>
      <t>Engine Capacity</t>
    </r>
  </si>
  <si>
    <r>
      <rPr>
        <b/>
        <sz val="12"/>
        <color rgb="FFBF0000"/>
        <rFont val="Georgia"/>
        <family val="1"/>
      </rPr>
      <t>seating</t>
    </r>
  </si>
  <si>
    <r>
      <rPr>
        <b/>
        <sz val="12"/>
        <color rgb="FFBF0000"/>
        <rFont val="Georgia"/>
        <family val="1"/>
      </rPr>
      <t>Fuel</t>
    </r>
  </si>
  <si>
    <r>
      <rPr>
        <b/>
        <sz val="12"/>
        <color rgb="FFBF0000"/>
        <rFont val="Georgia"/>
        <family val="1"/>
      </rPr>
      <t>CRSP (KES)</t>
    </r>
  </si>
  <si>
    <r>
      <rPr>
        <sz val="11"/>
        <rFont val="Georgia"/>
        <family val="1"/>
      </rPr>
      <t>400X</t>
    </r>
  </si>
  <si>
    <r>
      <rPr>
        <sz val="11"/>
        <rFont val="Georgia"/>
        <family val="1"/>
      </rPr>
      <t>2BL-NC56</t>
    </r>
  </si>
  <si>
    <r>
      <rPr>
        <sz val="11"/>
        <rFont val="Georgia"/>
        <family val="1"/>
      </rPr>
      <t>8BL-NC56</t>
    </r>
  </si>
  <si>
    <r>
      <rPr>
        <sz val="11"/>
        <rFont val="Georgia"/>
        <family val="1"/>
      </rPr>
      <t>2BL-NC47</t>
    </r>
  </si>
  <si>
    <r>
      <rPr>
        <sz val="11"/>
        <rFont val="Georgia"/>
        <family val="1"/>
      </rPr>
      <t>ADV150</t>
    </r>
  </si>
  <si>
    <r>
      <rPr>
        <sz val="11"/>
        <rFont val="Georgia"/>
        <family val="1"/>
      </rPr>
      <t>2BK-KF38</t>
    </r>
  </si>
  <si>
    <r>
      <rPr>
        <sz val="11"/>
        <rFont val="Georgia"/>
        <family val="1"/>
      </rPr>
      <t>ADV160</t>
    </r>
  </si>
  <si>
    <r>
      <rPr>
        <sz val="11"/>
        <rFont val="Georgia"/>
        <family val="1"/>
      </rPr>
      <t>8BK-KF54</t>
    </r>
  </si>
  <si>
    <r>
      <rPr>
        <sz val="11"/>
        <rFont val="Georgia"/>
        <family val="1"/>
      </rPr>
      <t>BENLY</t>
    </r>
  </si>
  <si>
    <r>
      <rPr>
        <sz val="11"/>
        <rFont val="Georgia"/>
        <family val="1"/>
      </rPr>
      <t>2BH-AA05</t>
    </r>
  </si>
  <si>
    <r>
      <rPr>
        <sz val="11"/>
        <rFont val="Georgia"/>
        <family val="1"/>
      </rPr>
      <t>BENLY 110 PRO</t>
    </r>
  </si>
  <si>
    <r>
      <rPr>
        <sz val="11"/>
        <rFont val="Georgia"/>
        <family val="1"/>
      </rPr>
      <t>2BJ-JA09</t>
    </r>
  </si>
  <si>
    <r>
      <rPr>
        <sz val="11"/>
        <rFont val="Georgia"/>
        <family val="1"/>
      </rPr>
      <t>BENLY E: I</t>
    </r>
  </si>
  <si>
    <r>
      <rPr>
        <sz val="11"/>
        <rFont val="Georgia"/>
        <family val="1"/>
      </rPr>
      <t>ZAD-EF07</t>
    </r>
  </si>
  <si>
    <r>
      <rPr>
        <sz val="11"/>
        <rFont val="Georgia"/>
        <family val="1"/>
      </rPr>
      <t>BENLY E: I PRO</t>
    </r>
  </si>
  <si>
    <r>
      <rPr>
        <sz val="11"/>
        <rFont val="Georgia"/>
        <family val="1"/>
      </rPr>
      <t>ZAD-EF08</t>
    </r>
  </si>
  <si>
    <r>
      <rPr>
        <sz val="11"/>
        <rFont val="Georgia"/>
        <family val="1"/>
      </rPr>
      <t>EELCTRIC</t>
    </r>
  </si>
  <si>
    <r>
      <rPr>
        <sz val="11"/>
        <rFont val="Georgia"/>
        <family val="1"/>
      </rPr>
      <t>BENLY E: II</t>
    </r>
  </si>
  <si>
    <r>
      <rPr>
        <sz val="11"/>
        <rFont val="Georgia"/>
        <family val="1"/>
      </rPr>
      <t>ZAD-EF10</t>
    </r>
  </si>
  <si>
    <r>
      <rPr>
        <sz val="11"/>
        <rFont val="Georgia"/>
        <family val="1"/>
      </rPr>
      <t>BENLY E: II PRO</t>
    </r>
  </si>
  <si>
    <r>
      <rPr>
        <sz val="11"/>
        <rFont val="Georgia"/>
        <family val="1"/>
      </rPr>
      <t>ZAD-EF11</t>
    </r>
  </si>
  <si>
    <r>
      <rPr>
        <sz val="11"/>
        <rFont val="Georgia"/>
        <family val="1"/>
      </rPr>
      <t>BENLY PRO</t>
    </r>
  </si>
  <si>
    <r>
      <rPr>
        <sz val="11"/>
        <rFont val="Georgia"/>
        <family val="1"/>
      </rPr>
      <t>BENLY110 PRO</t>
    </r>
  </si>
  <si>
    <r>
      <rPr>
        <sz val="11"/>
        <rFont val="Georgia"/>
        <family val="1"/>
      </rPr>
      <t>CB1000R</t>
    </r>
  </si>
  <si>
    <r>
      <rPr>
        <sz val="11"/>
        <rFont val="Georgia"/>
        <family val="1"/>
      </rPr>
      <t>2BL-SC80</t>
    </r>
  </si>
  <si>
    <r>
      <rPr>
        <sz val="11"/>
        <rFont val="Georgia"/>
        <family val="1"/>
      </rPr>
      <t>8BL-SC80</t>
    </r>
  </si>
  <si>
    <r>
      <rPr>
        <sz val="11"/>
        <rFont val="Georgia"/>
        <family val="1"/>
      </rPr>
      <t>CB1000R BLACK EDITION</t>
    </r>
  </si>
  <si>
    <r>
      <rPr>
        <sz val="11"/>
        <rFont val="Georgia"/>
        <family val="1"/>
      </rPr>
      <t>CB100R</t>
    </r>
  </si>
  <si>
    <r>
      <rPr>
        <sz val="11"/>
        <rFont val="Georgia"/>
        <family val="1"/>
      </rPr>
      <t>CB1100</t>
    </r>
  </si>
  <si>
    <r>
      <rPr>
        <sz val="11"/>
        <rFont val="Georgia"/>
        <family val="1"/>
      </rPr>
      <t>2BL-SC65</t>
    </r>
  </si>
  <si>
    <r>
      <rPr>
        <sz val="11"/>
        <rFont val="Georgia"/>
        <family val="1"/>
      </rPr>
      <t>CB1100  EX</t>
    </r>
  </si>
  <si>
    <r>
      <rPr>
        <sz val="11"/>
        <rFont val="Georgia"/>
        <family val="1"/>
      </rPr>
      <t>CB1100 EX</t>
    </r>
  </si>
  <si>
    <r>
      <rPr>
        <sz val="11"/>
        <rFont val="Georgia"/>
        <family val="1"/>
      </rPr>
      <t>CB1100 RS</t>
    </r>
  </si>
  <si>
    <r>
      <rPr>
        <sz val="11"/>
        <rFont val="Georgia"/>
        <family val="1"/>
      </rPr>
      <t>CB1100EX</t>
    </r>
  </si>
  <si>
    <r>
      <rPr>
        <sz val="11"/>
        <rFont val="Georgia"/>
        <family val="1"/>
      </rPr>
      <t>CB1100N RS</t>
    </r>
  </si>
  <si>
    <r>
      <rPr>
        <sz val="11"/>
        <rFont val="Georgia"/>
        <family val="1"/>
      </rPr>
      <t>CB125R</t>
    </r>
  </si>
  <si>
    <r>
      <rPr>
        <sz val="11"/>
        <rFont val="Georgia"/>
        <family val="1"/>
      </rPr>
      <t>2BJ-JC79</t>
    </r>
  </si>
  <si>
    <r>
      <rPr>
        <sz val="11"/>
        <rFont val="Georgia"/>
        <family val="1"/>
      </rPr>
      <t>8BJ-JC91</t>
    </r>
  </si>
  <si>
    <r>
      <rPr>
        <sz val="11"/>
        <rFont val="Georgia"/>
        <family val="1"/>
      </rPr>
      <t>CB1300</t>
    </r>
  </si>
  <si>
    <r>
      <rPr>
        <sz val="11"/>
        <rFont val="Georgia"/>
        <family val="1"/>
      </rPr>
      <t>2BL-SC54</t>
    </r>
  </si>
  <si>
    <r>
      <rPr>
        <sz val="11"/>
        <rFont val="Georgia"/>
        <family val="1"/>
      </rPr>
      <t>CB1300 SUPER BOL D'OR</t>
    </r>
  </si>
  <si>
    <r>
      <rPr>
        <sz val="11"/>
        <rFont val="Georgia"/>
        <family val="1"/>
      </rPr>
      <t>8BL-SC54</t>
    </r>
  </si>
  <si>
    <r>
      <rPr>
        <sz val="11"/>
        <rFont val="Georgia"/>
        <family val="1"/>
      </rPr>
      <t>CB1300 SUPER BOL D'OR SP</t>
    </r>
  </si>
  <si>
    <r>
      <rPr>
        <sz val="11"/>
        <rFont val="Georgia"/>
        <family val="1"/>
      </rPr>
      <t>CB1300 SUPER DOL D'OR</t>
    </r>
  </si>
  <si>
    <r>
      <rPr>
        <sz val="11"/>
        <rFont val="Georgia"/>
        <family val="1"/>
      </rPr>
      <t>CB1300 SUPER FOUR</t>
    </r>
  </si>
  <si>
    <r>
      <rPr>
        <sz val="11"/>
        <rFont val="Georgia"/>
        <family val="1"/>
      </rPr>
      <t>8BL-CS54</t>
    </r>
  </si>
  <si>
    <r>
      <rPr>
        <sz val="11"/>
        <rFont val="Georgia"/>
        <family val="1"/>
      </rPr>
      <t>CB1300 SUPER FOUR SP</t>
    </r>
  </si>
  <si>
    <r>
      <rPr>
        <sz val="11"/>
        <rFont val="Georgia"/>
        <family val="1"/>
      </rPr>
      <t>CB250R</t>
    </r>
  </si>
  <si>
    <r>
      <rPr>
        <sz val="11"/>
        <rFont val="Georgia"/>
        <family val="1"/>
      </rPr>
      <t>2BK-MC52</t>
    </r>
  </si>
  <si>
    <r>
      <rPr>
        <sz val="11"/>
        <rFont val="Georgia"/>
        <family val="1"/>
      </rPr>
      <t>8BK-MC52</t>
    </r>
  </si>
  <si>
    <r>
      <rPr>
        <sz val="11"/>
        <rFont val="Georgia"/>
        <family val="1"/>
      </rPr>
      <t>CB400</t>
    </r>
  </si>
  <si>
    <r>
      <rPr>
        <sz val="11"/>
        <rFont val="Georgia"/>
        <family val="1"/>
      </rPr>
      <t>2BL-NC42</t>
    </r>
  </si>
  <si>
    <r>
      <rPr>
        <sz val="11"/>
        <rFont val="Georgia"/>
        <family val="1"/>
      </rPr>
      <t>CB400 SUPER BOL D'OR</t>
    </r>
  </si>
  <si>
    <r>
      <rPr>
        <sz val="11"/>
        <rFont val="Georgia"/>
        <family val="1"/>
      </rPr>
      <t>CB400 SUPER D0L D'OR</t>
    </r>
  </si>
  <si>
    <r>
      <rPr>
        <sz val="11"/>
        <rFont val="Georgia"/>
        <family val="1"/>
      </rPr>
      <t>CB400 SUPER FOUR</t>
    </r>
  </si>
  <si>
    <r>
      <rPr>
        <sz val="11"/>
        <rFont val="Georgia"/>
        <family val="1"/>
      </rPr>
      <t>CB650F</t>
    </r>
  </si>
  <si>
    <r>
      <rPr>
        <sz val="11"/>
        <rFont val="Georgia"/>
        <family val="1"/>
      </rPr>
      <t>2BL-RC83</t>
    </r>
  </si>
  <si>
    <r>
      <rPr>
        <sz val="11"/>
        <rFont val="Georgia"/>
        <family val="1"/>
      </rPr>
      <t>CB650R</t>
    </r>
  </si>
  <si>
    <r>
      <rPr>
        <sz val="11"/>
        <rFont val="Georgia"/>
        <family val="1"/>
      </rPr>
      <t>2BL-RH03</t>
    </r>
  </si>
  <si>
    <r>
      <rPr>
        <sz val="11"/>
        <rFont val="Georgia"/>
        <family val="1"/>
      </rPr>
      <t>8BL-RH03</t>
    </r>
  </si>
  <si>
    <r>
      <rPr>
        <sz val="11"/>
        <rFont val="Georgia"/>
        <family val="1"/>
      </rPr>
      <t>CB650R E-CLUTCH</t>
    </r>
  </si>
  <si>
    <r>
      <rPr>
        <sz val="11"/>
        <rFont val="Georgia"/>
        <family val="1"/>
      </rPr>
      <t>8BL-RH17</t>
    </r>
  </si>
  <si>
    <r>
      <rPr>
        <sz val="11"/>
        <rFont val="Georgia"/>
        <family val="1"/>
      </rPr>
      <t>CBR1000RR</t>
    </r>
  </si>
  <si>
    <r>
      <rPr>
        <sz val="11"/>
        <rFont val="Georgia"/>
        <family val="1"/>
      </rPr>
      <t>2BL-SC77</t>
    </r>
  </si>
  <si>
    <r>
      <rPr>
        <sz val="11"/>
        <rFont val="Georgia"/>
        <family val="1"/>
      </rPr>
      <t>CBR1000RR SP</t>
    </r>
  </si>
  <si>
    <r>
      <rPr>
        <sz val="11"/>
        <rFont val="Georgia"/>
        <family val="1"/>
      </rPr>
      <t>CBR1000RR-R</t>
    </r>
  </si>
  <si>
    <r>
      <rPr>
        <sz val="11"/>
        <rFont val="Georgia"/>
        <family val="1"/>
      </rPr>
      <t>2BL-SC82</t>
    </r>
  </si>
  <si>
    <r>
      <rPr>
        <sz val="11"/>
        <rFont val="Georgia"/>
        <family val="1"/>
      </rPr>
      <t>CBR1000RR-R FIREBLADE</t>
    </r>
  </si>
  <si>
    <r>
      <rPr>
        <sz val="11"/>
        <rFont val="Georgia"/>
        <family val="1"/>
      </rPr>
      <t>8BL-SC82</t>
    </r>
  </si>
  <si>
    <r>
      <rPr>
        <sz val="11"/>
        <rFont val="Georgia"/>
        <family val="1"/>
      </rPr>
      <t>CBR250R</t>
    </r>
  </si>
  <si>
    <r>
      <rPr>
        <sz val="11"/>
        <rFont val="Georgia"/>
        <family val="1"/>
      </rPr>
      <t>2BK-MC51</t>
    </r>
  </si>
  <si>
    <r>
      <rPr>
        <sz val="11"/>
        <rFont val="Georgia"/>
        <family val="1"/>
      </rPr>
      <t>8BK-MC51</t>
    </r>
  </si>
  <si>
    <r>
      <rPr>
        <sz val="11"/>
        <rFont val="Georgia"/>
        <family val="1"/>
      </rPr>
      <t>CBR250RR ABS</t>
    </r>
  </si>
  <si>
    <r>
      <rPr>
        <sz val="11"/>
        <rFont val="Georgia"/>
        <family val="1"/>
      </rPr>
      <t>CBR400R</t>
    </r>
  </si>
  <si>
    <r>
      <rPr>
        <sz val="11"/>
        <rFont val="Georgia"/>
        <family val="1"/>
      </rPr>
      <t>BBL-NC65</t>
    </r>
  </si>
  <si>
    <r>
      <rPr>
        <sz val="11"/>
        <rFont val="Georgia"/>
        <family val="1"/>
      </rPr>
      <t>CBR600RR</t>
    </r>
  </si>
  <si>
    <r>
      <rPr>
        <sz val="11"/>
        <rFont val="Georgia"/>
        <family val="1"/>
      </rPr>
      <t>2BL-PC40</t>
    </r>
  </si>
  <si>
    <r>
      <rPr>
        <sz val="11"/>
        <rFont val="Georgia"/>
        <family val="1"/>
      </rPr>
      <t>8BL-PC40</t>
    </r>
  </si>
  <si>
    <r>
      <rPr>
        <sz val="11"/>
        <rFont val="Georgia"/>
        <family val="1"/>
      </rPr>
      <t>CBR650F</t>
    </r>
  </si>
  <si>
    <r>
      <rPr>
        <sz val="11"/>
        <rFont val="Georgia"/>
        <family val="1"/>
      </rPr>
      <t>CBR650R</t>
    </r>
  </si>
  <si>
    <r>
      <rPr>
        <sz val="11"/>
        <rFont val="Georgia"/>
        <family val="1"/>
      </rPr>
      <t>CL250</t>
    </r>
  </si>
  <si>
    <r>
      <rPr>
        <sz val="11"/>
        <rFont val="Georgia"/>
        <family val="1"/>
      </rPr>
      <t>8BK-MC57</t>
    </r>
  </si>
  <si>
    <r>
      <rPr>
        <sz val="11"/>
        <rFont val="Georgia"/>
        <family val="1"/>
      </rPr>
      <t>CL500</t>
    </r>
  </si>
  <si>
    <r>
      <rPr>
        <sz val="11"/>
        <rFont val="Georgia"/>
        <family val="1"/>
      </rPr>
      <t>8BL-PC68</t>
    </r>
  </si>
  <si>
    <r>
      <rPr>
        <sz val="11"/>
        <rFont val="Georgia"/>
        <family val="1"/>
      </rPr>
      <t>BBL-PC68</t>
    </r>
  </si>
  <si>
    <r>
      <rPr>
        <sz val="11"/>
        <rFont val="Georgia"/>
        <family val="1"/>
      </rPr>
      <t>CR250 RALLY</t>
    </r>
  </si>
  <si>
    <r>
      <rPr>
        <sz val="11"/>
        <rFont val="Georgia"/>
        <family val="1"/>
      </rPr>
      <t>2BK-MD44</t>
    </r>
  </si>
  <si>
    <r>
      <rPr>
        <sz val="11"/>
        <rFont val="Georgia"/>
        <family val="1"/>
      </rPr>
      <t>CR600R</t>
    </r>
  </si>
  <si>
    <r>
      <rPr>
        <sz val="11"/>
        <rFont val="Georgia"/>
        <family val="1"/>
      </rPr>
      <t>CRF1000L</t>
    </r>
  </si>
  <si>
    <r>
      <rPr>
        <sz val="11"/>
        <rFont val="Georgia"/>
        <family val="1"/>
      </rPr>
      <t>2BL-SD04</t>
    </r>
  </si>
  <si>
    <r>
      <rPr>
        <sz val="11"/>
        <rFont val="Georgia"/>
        <family val="1"/>
      </rPr>
      <t>CRF100L AFRICA TWIN ADVENTURE SPORTS DU</t>
    </r>
  </si>
  <si>
    <r>
      <rPr>
        <sz val="11"/>
        <rFont val="Georgia"/>
        <family val="1"/>
      </rPr>
      <t>DCT</t>
    </r>
  </si>
  <si>
    <r>
      <rPr>
        <sz val="11"/>
        <rFont val="Georgia"/>
        <family val="1"/>
      </rPr>
      <t>CRF110 AFRICA TWIN ADVENTURE DUAL CLUTC</t>
    </r>
  </si>
  <si>
    <r>
      <rPr>
        <sz val="11"/>
        <rFont val="Georgia"/>
        <family val="1"/>
      </rPr>
      <t>2BL-SD10</t>
    </r>
  </si>
  <si>
    <r>
      <rPr>
        <sz val="11"/>
        <rFont val="Georgia"/>
        <family val="1"/>
      </rPr>
      <t>CRF1100L AFRICA TWIN</t>
    </r>
  </si>
  <si>
    <r>
      <rPr>
        <sz val="11"/>
        <rFont val="Georgia"/>
        <family val="1"/>
      </rPr>
      <t>CRF1100L AFRICA TWIN ADVENTURE SPORTS E</t>
    </r>
  </si>
  <si>
    <r>
      <rPr>
        <sz val="11"/>
        <rFont val="Georgia"/>
        <family val="1"/>
      </rPr>
      <t>8BL-SD15</t>
    </r>
  </si>
  <si>
    <r>
      <rPr>
        <sz val="11"/>
        <rFont val="Georgia"/>
        <family val="1"/>
      </rPr>
      <t>CRF1100LAFRICA TWIN</t>
    </r>
  </si>
  <si>
    <r>
      <rPr>
        <sz val="11"/>
        <rFont val="Georgia"/>
        <family val="1"/>
      </rPr>
      <t>8BL-SD10</t>
    </r>
  </si>
  <si>
    <r>
      <rPr>
        <sz val="11"/>
        <rFont val="Georgia"/>
        <family val="1"/>
      </rPr>
      <t>CRF110F</t>
    </r>
  </si>
  <si>
    <r>
      <rPr>
        <sz val="11"/>
        <rFont val="Georgia"/>
        <family val="1"/>
      </rPr>
      <t>JE02</t>
    </r>
  </si>
  <si>
    <r>
      <rPr>
        <sz val="11"/>
        <rFont val="Georgia"/>
        <family val="1"/>
      </rPr>
      <t>4MT</t>
    </r>
  </si>
  <si>
    <r>
      <rPr>
        <sz val="11"/>
        <rFont val="Georgia"/>
        <family val="1"/>
      </rPr>
      <t>CRF125F</t>
    </r>
  </si>
  <si>
    <r>
      <rPr>
        <sz val="11"/>
        <rFont val="Georgia"/>
        <family val="1"/>
      </rPr>
      <t>JE03</t>
    </r>
  </si>
  <si>
    <r>
      <rPr>
        <sz val="11"/>
        <rFont val="Georgia"/>
        <family val="1"/>
      </rPr>
      <t>CRF150R</t>
    </r>
  </si>
  <si>
    <r>
      <rPr>
        <sz val="11"/>
        <rFont val="Georgia"/>
        <family val="1"/>
      </rPr>
      <t>KE03</t>
    </r>
  </si>
  <si>
    <r>
      <rPr>
        <sz val="11"/>
        <rFont val="Georgia"/>
        <family val="1"/>
      </rPr>
      <t>CRF250 L</t>
    </r>
  </si>
  <si>
    <r>
      <rPr>
        <sz val="11"/>
        <rFont val="Georgia"/>
        <family val="1"/>
      </rPr>
      <t>2BK-MD47</t>
    </r>
  </si>
  <si>
    <r>
      <rPr>
        <sz val="11"/>
        <rFont val="Georgia"/>
        <family val="1"/>
      </rPr>
      <t>CRF250 RALLY</t>
    </r>
  </si>
  <si>
    <r>
      <rPr>
        <sz val="11"/>
        <rFont val="Georgia"/>
        <family val="1"/>
      </rPr>
      <t>8BK-MD47</t>
    </r>
  </si>
  <si>
    <r>
      <rPr>
        <sz val="11"/>
        <rFont val="Georgia"/>
        <family val="1"/>
      </rPr>
      <t>CRF250 RALLY ABS</t>
    </r>
  </si>
  <si>
    <r>
      <rPr>
        <sz val="11"/>
        <rFont val="Georgia"/>
        <family val="1"/>
      </rPr>
      <t>CRF250L</t>
    </r>
  </si>
  <si>
    <r>
      <rPr>
        <sz val="11"/>
        <rFont val="Georgia"/>
        <family val="1"/>
      </rPr>
      <t>CRF-MD44</t>
    </r>
  </si>
  <si>
    <r>
      <rPr>
        <sz val="11"/>
        <rFont val="Georgia"/>
        <family val="1"/>
      </rPr>
      <t>CRF250M</t>
    </r>
  </si>
  <si>
    <r>
      <rPr>
        <sz val="11"/>
        <rFont val="Georgia"/>
        <family val="1"/>
      </rPr>
      <t>CRF250R</t>
    </r>
  </si>
  <si>
    <r>
      <rPr>
        <sz val="11"/>
        <rFont val="Georgia"/>
        <family val="1"/>
      </rPr>
      <t>ME12</t>
    </r>
  </si>
  <si>
    <r>
      <rPr>
        <sz val="11"/>
        <rFont val="Georgia"/>
        <family val="1"/>
      </rPr>
      <t>CRF250RX</t>
    </r>
  </si>
  <si>
    <r>
      <rPr>
        <sz val="11"/>
        <rFont val="Georgia"/>
        <family val="1"/>
      </rPr>
      <t>CRF450L</t>
    </r>
  </si>
  <si>
    <r>
      <rPr>
        <sz val="11"/>
        <rFont val="Georgia"/>
        <family val="1"/>
      </rPr>
      <t>2BL-PD11</t>
    </r>
  </si>
  <si>
    <r>
      <rPr>
        <sz val="11"/>
        <rFont val="Georgia"/>
        <family val="1"/>
      </rPr>
      <t>CRF450R</t>
    </r>
  </si>
  <si>
    <r>
      <rPr>
        <sz val="11"/>
        <rFont val="Georgia"/>
        <family val="1"/>
      </rPr>
      <t>PE07</t>
    </r>
  </si>
  <si>
    <r>
      <rPr>
        <sz val="11"/>
        <rFont val="Georgia"/>
        <family val="1"/>
      </rPr>
      <t>CRF450RX</t>
    </r>
  </si>
  <si>
    <r>
      <rPr>
        <sz val="11"/>
        <rFont val="Georgia"/>
        <family val="1"/>
      </rPr>
      <t>CRF50F</t>
    </r>
  </si>
  <si>
    <r>
      <rPr>
        <sz val="11"/>
        <rFont val="Georgia"/>
        <family val="1"/>
      </rPr>
      <t>AE04</t>
    </r>
  </si>
  <si>
    <r>
      <rPr>
        <sz val="11"/>
        <rFont val="Georgia"/>
        <family val="1"/>
      </rPr>
      <t>CROSS CUB 110</t>
    </r>
  </si>
  <si>
    <r>
      <rPr>
        <sz val="11"/>
        <rFont val="Georgia"/>
        <family val="1"/>
      </rPr>
      <t>8BJ-JA60</t>
    </r>
  </si>
  <si>
    <r>
      <rPr>
        <sz val="11"/>
        <rFont val="Georgia"/>
        <family val="1"/>
      </rPr>
      <t>8BJ-J60</t>
    </r>
  </si>
  <si>
    <r>
      <rPr>
        <sz val="11"/>
        <rFont val="Georgia"/>
        <family val="1"/>
      </rPr>
      <t>2BJ-JA45</t>
    </r>
  </si>
  <si>
    <r>
      <rPr>
        <sz val="11"/>
        <rFont val="Georgia"/>
        <family val="1"/>
      </rPr>
      <t>CROSS CUB 50</t>
    </r>
  </si>
  <si>
    <r>
      <rPr>
        <sz val="11"/>
        <rFont val="Georgia"/>
        <family val="1"/>
      </rPr>
      <t>2BH-AA06</t>
    </r>
  </si>
  <si>
    <r>
      <rPr>
        <sz val="11"/>
        <rFont val="Georgia"/>
        <family val="1"/>
      </rPr>
      <t>CT125</t>
    </r>
  </si>
  <si>
    <r>
      <rPr>
        <sz val="11"/>
        <rFont val="Georgia"/>
        <family val="1"/>
      </rPr>
      <t>2BJ-JA55</t>
    </r>
  </si>
  <si>
    <r>
      <rPr>
        <sz val="11"/>
        <rFont val="Georgia"/>
        <family val="1"/>
      </rPr>
      <t>8BJ-JA65</t>
    </r>
  </si>
  <si>
    <r>
      <rPr>
        <sz val="11"/>
        <rFont val="Georgia"/>
        <family val="1"/>
      </rPr>
      <t>DAX125</t>
    </r>
  </si>
  <si>
    <r>
      <rPr>
        <sz val="11"/>
        <rFont val="Georgia"/>
        <family val="1"/>
      </rPr>
      <t>8BJ-JB04</t>
    </r>
  </si>
  <si>
    <r>
      <rPr>
        <sz val="11"/>
        <rFont val="Georgia"/>
        <family val="1"/>
      </rPr>
      <t>8BJ-JB06</t>
    </r>
  </si>
  <si>
    <r>
      <rPr>
        <sz val="11"/>
        <rFont val="Georgia"/>
        <family val="1"/>
      </rPr>
      <t>DIO110</t>
    </r>
  </si>
  <si>
    <r>
      <rPr>
        <sz val="11"/>
        <rFont val="Georgia"/>
        <family val="1"/>
      </rPr>
      <t>2BJ-JF58</t>
    </r>
  </si>
  <si>
    <r>
      <rPr>
        <sz val="11"/>
        <rFont val="Georgia"/>
        <family val="1"/>
      </rPr>
      <t>8BJ-JK03</t>
    </r>
  </si>
  <si>
    <r>
      <rPr>
        <sz val="11"/>
        <rFont val="Georgia"/>
        <family val="1"/>
      </rPr>
      <t>2BJ-JK03</t>
    </r>
  </si>
  <si>
    <r>
      <rPr>
        <sz val="11"/>
        <rFont val="Georgia"/>
        <family val="1"/>
      </rPr>
      <t>DUNK</t>
    </r>
  </si>
  <si>
    <r>
      <rPr>
        <sz val="11"/>
        <rFont val="Georgia"/>
        <family val="1"/>
      </rPr>
      <t>2BH-AF78</t>
    </r>
  </si>
  <si>
    <r>
      <rPr>
        <sz val="11"/>
        <rFont val="Georgia"/>
        <family val="1"/>
      </rPr>
      <t>EM1 E</t>
    </r>
  </si>
  <si>
    <r>
      <rPr>
        <sz val="11"/>
        <rFont val="Georgia"/>
        <family val="1"/>
      </rPr>
      <t>ZAD-EF16</t>
    </r>
  </si>
  <si>
    <r>
      <rPr>
        <sz val="11"/>
        <rFont val="Georgia"/>
        <family val="1"/>
      </rPr>
      <t>FORZA</t>
    </r>
  </si>
  <si>
    <r>
      <rPr>
        <sz val="11"/>
        <rFont val="Georgia"/>
        <family val="1"/>
      </rPr>
      <t>2BK-MF13</t>
    </r>
  </si>
  <si>
    <r>
      <rPr>
        <sz val="11"/>
        <rFont val="Georgia"/>
        <family val="1"/>
      </rPr>
      <t>8BK-MF17</t>
    </r>
  </si>
  <si>
    <r>
      <rPr>
        <sz val="11"/>
        <rFont val="Georgia"/>
        <family val="1"/>
      </rPr>
      <t>2BK-MF15</t>
    </r>
  </si>
  <si>
    <r>
      <rPr>
        <sz val="11"/>
        <rFont val="Georgia"/>
        <family val="1"/>
      </rPr>
      <t>GB350</t>
    </r>
  </si>
  <si>
    <r>
      <rPr>
        <sz val="11"/>
        <rFont val="Georgia"/>
        <family val="1"/>
      </rPr>
      <t>8BL-NC59</t>
    </r>
  </si>
  <si>
    <r>
      <rPr>
        <sz val="11"/>
        <rFont val="Georgia"/>
        <family val="1"/>
      </rPr>
      <t>2BL-NC59</t>
    </r>
  </si>
  <si>
    <r>
      <rPr>
        <sz val="11"/>
        <rFont val="Georgia"/>
        <family val="1"/>
      </rPr>
      <t>GB350 S</t>
    </r>
  </si>
  <si>
    <r>
      <rPr>
        <sz val="11"/>
        <rFont val="Georgia"/>
        <family val="1"/>
      </rPr>
      <t>GIORNO</t>
    </r>
  </si>
  <si>
    <r>
      <rPr>
        <sz val="11"/>
        <rFont val="Georgia"/>
        <family val="1"/>
      </rPr>
      <t>2BH-AF77</t>
    </r>
  </si>
  <si>
    <r>
      <rPr>
        <sz val="11"/>
        <rFont val="Georgia"/>
        <family val="1"/>
      </rPr>
      <t>GOLD WING</t>
    </r>
  </si>
  <si>
    <r>
      <rPr>
        <sz val="11"/>
        <rFont val="Georgia"/>
        <family val="1"/>
      </rPr>
      <t>2BL-SC79</t>
    </r>
  </si>
  <si>
    <r>
      <rPr>
        <sz val="11"/>
        <rFont val="Georgia"/>
        <family val="1"/>
      </rPr>
      <t>GOLD WING TOUR</t>
    </r>
  </si>
  <si>
    <r>
      <rPr>
        <sz val="11"/>
        <rFont val="Georgia"/>
        <family val="1"/>
      </rPr>
      <t>8BL-SC79</t>
    </r>
  </si>
  <si>
    <r>
      <rPr>
        <sz val="11"/>
        <rFont val="Georgia"/>
        <family val="1"/>
      </rPr>
      <t>GOLD WING TOUR AIRBAG</t>
    </r>
  </si>
  <si>
    <r>
      <rPr>
        <sz val="11"/>
        <rFont val="Georgia"/>
        <family val="1"/>
      </rPr>
      <t>GROM</t>
    </r>
  </si>
  <si>
    <r>
      <rPr>
        <sz val="11"/>
        <rFont val="Georgia"/>
        <family val="1"/>
      </rPr>
      <t>2BJ-JC75</t>
    </r>
  </si>
  <si>
    <r>
      <rPr>
        <sz val="11"/>
        <rFont val="Georgia"/>
        <family val="1"/>
      </rPr>
      <t>8BJ-JC92</t>
    </r>
  </si>
  <si>
    <r>
      <rPr>
        <sz val="11"/>
        <rFont val="Georgia"/>
        <family val="1"/>
      </rPr>
      <t>GYRO CANOPY</t>
    </r>
  </si>
  <si>
    <r>
      <rPr>
        <sz val="11"/>
        <rFont val="Georgia"/>
        <family val="1"/>
      </rPr>
      <t>2BH-TA03</t>
    </r>
  </si>
  <si>
    <r>
      <rPr>
        <sz val="11"/>
        <rFont val="Georgia"/>
        <family val="1"/>
      </rPr>
      <t>GYRO CANOPY E</t>
    </r>
  </si>
  <si>
    <r>
      <rPr>
        <sz val="11"/>
        <rFont val="Georgia"/>
        <family val="1"/>
      </rPr>
      <t>ZAD-EF14</t>
    </r>
  </si>
  <si>
    <r>
      <rPr>
        <sz val="11"/>
        <rFont val="Georgia"/>
        <family val="1"/>
      </rPr>
      <t>GYRO E</t>
    </r>
  </si>
  <si>
    <r>
      <rPr>
        <sz val="11"/>
        <rFont val="Georgia"/>
        <family val="1"/>
      </rPr>
      <t>ZAD-EF13</t>
    </r>
  </si>
  <si>
    <r>
      <rPr>
        <sz val="11"/>
        <rFont val="Georgia"/>
        <family val="1"/>
      </rPr>
      <t>GYRO X</t>
    </r>
  </si>
  <si>
    <r>
      <rPr>
        <sz val="11"/>
        <rFont val="Georgia"/>
        <family val="1"/>
      </rPr>
      <t>2BH-TD02</t>
    </r>
  </si>
  <si>
    <r>
      <rPr>
        <sz val="11"/>
        <rFont val="Georgia"/>
        <family val="1"/>
      </rPr>
      <t>HAWK 11</t>
    </r>
  </si>
  <si>
    <r>
      <rPr>
        <sz val="11"/>
        <rFont val="Georgia"/>
        <family val="1"/>
      </rPr>
      <t>8BL-SC85</t>
    </r>
  </si>
  <si>
    <r>
      <rPr>
        <sz val="11"/>
        <rFont val="Georgia"/>
        <family val="1"/>
      </rPr>
      <t>HAWK11</t>
    </r>
  </si>
  <si>
    <r>
      <rPr>
        <sz val="11"/>
        <rFont val="Georgia"/>
        <family val="1"/>
      </rPr>
      <t>IORNO</t>
    </r>
  </si>
  <si>
    <r>
      <rPr>
        <sz val="11"/>
        <rFont val="Georgia"/>
        <family val="1"/>
      </rPr>
      <t>LEAD125</t>
    </r>
  </si>
  <si>
    <r>
      <rPr>
        <sz val="11"/>
        <rFont val="Georgia"/>
        <family val="1"/>
      </rPr>
      <t>2BJ-JF45</t>
    </r>
  </si>
  <si>
    <r>
      <rPr>
        <sz val="11"/>
        <rFont val="Georgia"/>
        <family val="1"/>
      </rPr>
      <t>8BJ-JK12</t>
    </r>
  </si>
  <si>
    <r>
      <rPr>
        <sz val="11"/>
        <rFont val="Georgia"/>
        <family val="1"/>
      </rPr>
      <t>LEADER125</t>
    </r>
  </si>
  <si>
    <r>
      <rPr>
        <sz val="11"/>
        <rFont val="Georgia"/>
        <family val="1"/>
      </rPr>
      <t>MM4-02</t>
    </r>
  </si>
  <si>
    <r>
      <rPr>
        <sz val="11"/>
        <rFont val="Georgia"/>
        <family val="1"/>
      </rPr>
      <t>2BL-RC82</t>
    </r>
  </si>
  <si>
    <r>
      <rPr>
        <sz val="11"/>
        <rFont val="Georgia"/>
        <family val="1"/>
      </rPr>
      <t>MONKEY 125</t>
    </r>
  </si>
  <si>
    <r>
      <rPr>
        <sz val="11"/>
        <rFont val="Georgia"/>
        <family val="1"/>
      </rPr>
      <t>2BJ-JB02</t>
    </r>
  </si>
  <si>
    <r>
      <rPr>
        <sz val="11"/>
        <rFont val="Georgia"/>
        <family val="1"/>
      </rPr>
      <t>8BJ-JB03</t>
    </r>
  </si>
  <si>
    <r>
      <rPr>
        <sz val="11"/>
        <rFont val="Georgia"/>
        <family val="1"/>
      </rPr>
      <t>8BJ-JB05</t>
    </r>
  </si>
  <si>
    <r>
      <rPr>
        <sz val="11"/>
        <rFont val="Georgia"/>
        <family val="1"/>
      </rPr>
      <t>MONKEY125</t>
    </r>
  </si>
  <si>
    <r>
      <rPr>
        <sz val="11"/>
        <rFont val="Georgia"/>
        <family val="1"/>
      </rPr>
      <t>2B-JB02</t>
    </r>
  </si>
  <si>
    <r>
      <rPr>
        <sz val="11"/>
        <rFont val="Georgia"/>
        <family val="1"/>
      </rPr>
      <t>NC750S</t>
    </r>
  </si>
  <si>
    <r>
      <rPr>
        <sz val="11"/>
        <rFont val="Georgia"/>
        <family val="1"/>
      </rPr>
      <t>2BL-RC88</t>
    </r>
  </si>
  <si>
    <r>
      <rPr>
        <sz val="11"/>
        <rFont val="Georgia"/>
        <family val="1"/>
      </rPr>
      <t>NC750S DUAL CLUTCH TRANSMISSION</t>
    </r>
  </si>
  <si>
    <r>
      <rPr>
        <sz val="11"/>
        <rFont val="Georgia"/>
        <family val="1"/>
      </rPr>
      <t>NC750X</t>
    </r>
  </si>
  <si>
    <r>
      <rPr>
        <sz val="11"/>
        <rFont val="Georgia"/>
        <family val="1"/>
      </rPr>
      <t>2BL-RC90</t>
    </r>
  </si>
  <si>
    <r>
      <rPr>
        <sz val="11"/>
        <rFont val="Georgia"/>
        <family val="1"/>
      </rPr>
      <t>8BL-RH09</t>
    </r>
  </si>
  <si>
    <r>
      <rPr>
        <sz val="11"/>
        <rFont val="Georgia"/>
        <family val="1"/>
      </rPr>
      <t>2BL-RH09</t>
    </r>
  </si>
  <si>
    <r>
      <rPr>
        <sz val="11"/>
        <rFont val="Georgia"/>
        <family val="1"/>
      </rPr>
      <t>NC750X ABS E</t>
    </r>
  </si>
  <si>
    <r>
      <rPr>
        <sz val="11"/>
        <rFont val="Georgia"/>
        <family val="1"/>
      </rPr>
      <t>NT1100</t>
    </r>
  </si>
  <si>
    <r>
      <rPr>
        <sz val="11"/>
        <rFont val="Georgia"/>
        <family val="1"/>
      </rPr>
      <t>8BL-SC84</t>
    </r>
  </si>
  <si>
    <r>
      <rPr>
        <sz val="11"/>
        <rFont val="Georgia"/>
        <family val="1"/>
      </rPr>
      <t>NX400</t>
    </r>
  </si>
  <si>
    <r>
      <rPr>
        <sz val="11"/>
        <rFont val="Georgia"/>
        <family val="1"/>
      </rPr>
      <t>PCX</t>
    </r>
  </si>
  <si>
    <r>
      <rPr>
        <sz val="11"/>
        <rFont val="Georgia"/>
        <family val="1"/>
      </rPr>
      <t>2BJ-JF81</t>
    </r>
  </si>
  <si>
    <r>
      <rPr>
        <sz val="11"/>
        <rFont val="Georgia"/>
        <family val="1"/>
      </rPr>
      <t>8BJ-JK05</t>
    </r>
  </si>
  <si>
    <r>
      <rPr>
        <sz val="11"/>
        <rFont val="Georgia"/>
        <family val="1"/>
      </rPr>
      <t>2BJ-JK05</t>
    </r>
  </si>
  <si>
    <r>
      <rPr>
        <sz val="11"/>
        <rFont val="Georgia"/>
        <family val="1"/>
      </rPr>
      <t>PCX E:HEV</t>
    </r>
  </si>
  <si>
    <r>
      <rPr>
        <sz val="11"/>
        <rFont val="Georgia"/>
        <family val="1"/>
      </rPr>
      <t>2BJ-JK106</t>
    </r>
  </si>
  <si>
    <r>
      <rPr>
        <sz val="11"/>
        <rFont val="Georgia"/>
        <family val="1"/>
      </rPr>
      <t>PCX HYBRID</t>
    </r>
  </si>
  <si>
    <r>
      <rPr>
        <sz val="11"/>
        <rFont val="Georgia"/>
        <family val="1"/>
      </rPr>
      <t>2AJ-JF84</t>
    </r>
  </si>
  <si>
    <r>
      <rPr>
        <sz val="11"/>
        <rFont val="Georgia"/>
        <family val="1"/>
      </rPr>
      <t>PCX150 ABS</t>
    </r>
  </si>
  <si>
    <r>
      <rPr>
        <sz val="11"/>
        <rFont val="Georgia"/>
        <family val="1"/>
      </rPr>
      <t>2BK-KF30</t>
    </r>
  </si>
  <si>
    <r>
      <rPr>
        <sz val="11"/>
        <rFont val="Georgia"/>
        <family val="1"/>
      </rPr>
      <t>PCX160</t>
    </r>
  </si>
  <si>
    <r>
      <rPr>
        <sz val="11"/>
        <rFont val="Georgia"/>
        <family val="1"/>
      </rPr>
      <t>8BK-KF47</t>
    </r>
  </si>
  <si>
    <r>
      <rPr>
        <sz val="11"/>
        <rFont val="Georgia"/>
        <family val="1"/>
      </rPr>
      <t>2BK-KF47</t>
    </r>
  </si>
  <si>
    <r>
      <rPr>
        <sz val="11"/>
        <rFont val="Georgia"/>
        <family val="1"/>
      </rPr>
      <t>REBEL 1100</t>
    </r>
  </si>
  <si>
    <r>
      <rPr>
        <sz val="11"/>
        <rFont val="Georgia"/>
        <family val="1"/>
      </rPr>
      <t>8BL-SC83</t>
    </r>
  </si>
  <si>
    <r>
      <rPr>
        <sz val="11"/>
        <rFont val="Georgia"/>
        <family val="1"/>
      </rPr>
      <t>8BL-SC63</t>
    </r>
  </si>
  <si>
    <r>
      <rPr>
        <sz val="11"/>
        <rFont val="Georgia"/>
        <family val="1"/>
      </rPr>
      <t>REBEL 250</t>
    </r>
  </si>
  <si>
    <r>
      <rPr>
        <sz val="11"/>
        <rFont val="Georgia"/>
        <family val="1"/>
      </rPr>
      <t>2BK-MC49</t>
    </r>
  </si>
  <si>
    <r>
      <rPr>
        <sz val="11"/>
        <rFont val="Georgia"/>
        <family val="1"/>
      </rPr>
      <t>8BK-MC49</t>
    </r>
  </si>
  <si>
    <r>
      <rPr>
        <sz val="11"/>
        <rFont val="Georgia"/>
        <family val="1"/>
      </rPr>
      <t>REBEL 250 S EDITION</t>
    </r>
  </si>
  <si>
    <r>
      <rPr>
        <sz val="11"/>
        <rFont val="Georgia"/>
        <family val="1"/>
      </rPr>
      <t>REBEL 500</t>
    </r>
  </si>
  <si>
    <r>
      <rPr>
        <sz val="11"/>
        <rFont val="Georgia"/>
        <family val="1"/>
      </rPr>
      <t>2BL-PC60</t>
    </r>
  </si>
  <si>
    <r>
      <rPr>
        <sz val="11"/>
        <rFont val="Georgia"/>
        <family val="1"/>
      </rPr>
      <t>REBEL250</t>
    </r>
  </si>
  <si>
    <r>
      <rPr>
        <sz val="11"/>
        <rFont val="Georgia"/>
        <family val="1"/>
      </rPr>
      <t>SPUER CUB 50 PRO</t>
    </r>
  </si>
  <si>
    <r>
      <rPr>
        <sz val="11"/>
        <rFont val="Georgia"/>
        <family val="1"/>
      </rPr>
      <t>3BH-AA07</t>
    </r>
  </si>
  <si>
    <r>
      <rPr>
        <sz val="11"/>
        <rFont val="Georgia"/>
        <family val="1"/>
      </rPr>
      <t>SUPER CUB 110</t>
    </r>
  </si>
  <si>
    <r>
      <rPr>
        <sz val="11"/>
        <rFont val="Georgia"/>
        <family val="1"/>
      </rPr>
      <t>8BJ-JA59</t>
    </r>
  </si>
  <si>
    <r>
      <rPr>
        <sz val="11"/>
        <rFont val="Georgia"/>
        <family val="1"/>
      </rPr>
      <t>BBJ-JA59</t>
    </r>
  </si>
  <si>
    <r>
      <rPr>
        <sz val="11"/>
        <rFont val="Georgia"/>
        <family val="1"/>
      </rPr>
      <t>SUPER CUB 110 PRO</t>
    </r>
  </si>
  <si>
    <r>
      <rPr>
        <sz val="11"/>
        <rFont val="Georgia"/>
        <family val="1"/>
      </rPr>
      <t>2BJ-JA42</t>
    </r>
  </si>
  <si>
    <r>
      <rPr>
        <sz val="11"/>
        <rFont val="Georgia"/>
        <family val="1"/>
      </rPr>
      <t>SUPER CUB 125</t>
    </r>
  </si>
  <si>
    <r>
      <rPr>
        <sz val="11"/>
        <rFont val="Georgia"/>
        <family val="1"/>
      </rPr>
      <t>2BJ-JA48</t>
    </r>
  </si>
  <si>
    <r>
      <rPr>
        <sz val="11"/>
        <rFont val="Georgia"/>
        <family val="1"/>
      </rPr>
      <t>8BJ-JA58</t>
    </r>
  </si>
  <si>
    <r>
      <rPr>
        <sz val="11"/>
        <rFont val="Georgia"/>
        <family val="1"/>
      </rPr>
      <t>SUPER CUB 50</t>
    </r>
  </si>
  <si>
    <r>
      <rPr>
        <sz val="11"/>
        <rFont val="Georgia"/>
        <family val="1"/>
      </rPr>
      <t>2BH-AA09</t>
    </r>
  </si>
  <si>
    <r>
      <rPr>
        <sz val="11"/>
        <rFont val="Georgia"/>
        <family val="1"/>
      </rPr>
      <t>SUPER CUB C125</t>
    </r>
  </si>
  <si>
    <r>
      <rPr>
        <sz val="11"/>
        <rFont val="Georgia"/>
        <family val="1"/>
      </rPr>
      <t>8BJ-JA71</t>
    </r>
  </si>
  <si>
    <r>
      <rPr>
        <sz val="11"/>
        <rFont val="Georgia"/>
        <family val="1"/>
      </rPr>
      <t>TACT</t>
    </r>
  </si>
  <si>
    <r>
      <rPr>
        <sz val="11"/>
        <rFont val="Georgia"/>
        <family val="1"/>
      </rPr>
      <t>2BH-AF79</t>
    </r>
  </si>
  <si>
    <r>
      <rPr>
        <sz val="11"/>
        <rFont val="Georgia"/>
        <family val="1"/>
      </rPr>
      <t>TACT BASIC</t>
    </r>
  </si>
  <si>
    <r>
      <rPr>
        <sz val="11"/>
        <rFont val="Georgia"/>
        <family val="1"/>
      </rPr>
      <t>VFR3800X</t>
    </r>
  </si>
  <si>
    <r>
      <rPr>
        <sz val="11"/>
        <rFont val="Georgia"/>
        <family val="1"/>
      </rPr>
      <t>2BL-RC80</t>
    </r>
  </si>
  <si>
    <r>
      <rPr>
        <sz val="11"/>
        <rFont val="Georgia"/>
        <family val="1"/>
      </rPr>
      <t>VFR800F</t>
    </r>
  </si>
  <si>
    <r>
      <rPr>
        <sz val="11"/>
        <rFont val="Georgia"/>
        <family val="1"/>
      </rPr>
      <t>2BL-RC79</t>
    </r>
  </si>
  <si>
    <r>
      <rPr>
        <sz val="11"/>
        <rFont val="Georgia"/>
        <family val="1"/>
      </rPr>
      <t>VFR800X</t>
    </r>
  </si>
  <si>
    <r>
      <rPr>
        <sz val="11"/>
        <rFont val="Georgia"/>
        <family val="1"/>
      </rPr>
      <t>VRF800X</t>
    </r>
  </si>
  <si>
    <r>
      <rPr>
        <sz val="11"/>
        <rFont val="Georgia"/>
        <family val="1"/>
      </rPr>
      <t>X-ADV</t>
    </r>
  </si>
  <si>
    <r>
      <rPr>
        <sz val="11"/>
        <rFont val="Georgia"/>
        <family val="1"/>
      </rPr>
      <t>2BL-RC95</t>
    </r>
  </si>
  <si>
    <r>
      <rPr>
        <sz val="11"/>
        <rFont val="Georgia"/>
        <family val="1"/>
      </rPr>
      <t>8BL-RH10</t>
    </r>
  </si>
  <si>
    <r>
      <rPr>
        <sz val="11"/>
        <rFont val="Georgia"/>
        <family val="1"/>
      </rPr>
      <t>XL750 TRANSALP</t>
    </r>
  </si>
  <si>
    <r>
      <rPr>
        <sz val="11"/>
        <rFont val="Georgia"/>
        <family val="1"/>
      </rPr>
      <t>8BL-RD16</t>
    </r>
  </si>
  <si>
    <r>
      <rPr>
        <sz val="11"/>
        <rFont val="Georgia"/>
        <family val="1"/>
      </rPr>
      <t>ADDRESS 110</t>
    </r>
  </si>
  <si>
    <r>
      <rPr>
        <sz val="11"/>
        <rFont val="Georgia"/>
        <family val="1"/>
      </rPr>
      <t>2BJ-CE47A</t>
    </r>
  </si>
  <si>
    <r>
      <rPr>
        <sz val="11"/>
        <rFont val="Georgia"/>
        <family val="1"/>
      </rPr>
      <t>ADDRESS 125</t>
    </r>
  </si>
  <si>
    <r>
      <rPr>
        <sz val="11"/>
        <rFont val="Georgia"/>
        <family val="1"/>
      </rPr>
      <t>8BJ-DP12H</t>
    </r>
  </si>
  <si>
    <r>
      <rPr>
        <sz val="11"/>
        <rFont val="Georgia"/>
        <family val="1"/>
      </rPr>
      <t>ADDRESS V50</t>
    </r>
  </si>
  <si>
    <r>
      <rPr>
        <sz val="11"/>
        <rFont val="Georgia"/>
        <family val="1"/>
      </rPr>
      <t>2BH-CA4BA</t>
    </r>
  </si>
  <si>
    <r>
      <rPr>
        <sz val="11"/>
        <rFont val="Georgia"/>
        <family val="1"/>
      </rPr>
      <t>ADDRESS110</t>
    </r>
  </si>
  <si>
    <r>
      <rPr>
        <sz val="11"/>
        <rFont val="Georgia"/>
        <family val="1"/>
      </rPr>
      <t>ADDRESS125</t>
    </r>
  </si>
  <si>
    <r>
      <rPr>
        <sz val="11"/>
        <rFont val="Georgia"/>
        <family val="1"/>
      </rPr>
      <t>2BJ-DT11A</t>
    </r>
  </si>
  <si>
    <r>
      <rPr>
        <sz val="11"/>
        <rFont val="Georgia"/>
        <family val="1"/>
      </rPr>
      <t>ADDRESS125 FLAT SEAT</t>
    </r>
  </si>
  <si>
    <r>
      <rPr>
        <sz val="11"/>
        <rFont val="Georgia"/>
        <family val="1"/>
      </rPr>
      <t>AVENSIS 125</t>
    </r>
  </si>
  <si>
    <r>
      <rPr>
        <sz val="11"/>
        <rFont val="Georgia"/>
        <family val="1"/>
      </rPr>
      <t>8BJ-EA12J</t>
    </r>
  </si>
  <si>
    <r>
      <rPr>
        <sz val="11"/>
        <rFont val="Georgia"/>
        <family val="1"/>
      </rPr>
      <t>AVENSIS125</t>
    </r>
  </si>
  <si>
    <r>
      <rPr>
        <sz val="11"/>
        <rFont val="Georgia"/>
        <family val="1"/>
      </rPr>
      <t>BURGMAN 400 ABS</t>
    </r>
  </si>
  <si>
    <r>
      <rPr>
        <sz val="11"/>
        <rFont val="Georgia"/>
        <family val="1"/>
      </rPr>
      <t>8BL-DU11N</t>
    </r>
  </si>
  <si>
    <r>
      <rPr>
        <sz val="11"/>
        <rFont val="Georgia"/>
        <family val="1"/>
      </rPr>
      <t>BURGMAN STREET125EX</t>
    </r>
  </si>
  <si>
    <r>
      <rPr>
        <sz val="11"/>
        <rFont val="Georgia"/>
        <family val="1"/>
      </rPr>
      <t>8BJ-EA23M</t>
    </r>
  </si>
  <si>
    <r>
      <rPr>
        <sz val="11"/>
        <rFont val="Georgia"/>
        <family val="1"/>
      </rPr>
      <t>BURGMAN200</t>
    </r>
  </si>
  <si>
    <r>
      <rPr>
        <sz val="11"/>
        <rFont val="Georgia"/>
        <family val="1"/>
      </rPr>
      <t>2BJ-CH41A</t>
    </r>
  </si>
  <si>
    <r>
      <rPr>
        <sz val="11"/>
        <rFont val="Georgia"/>
        <family val="1"/>
      </rPr>
      <t>BURGMAN200 ABS</t>
    </r>
  </si>
  <si>
    <r>
      <rPr>
        <sz val="11"/>
        <rFont val="Georgia"/>
        <family val="1"/>
      </rPr>
      <t>2BDK-CH41A</t>
    </r>
  </si>
  <si>
    <r>
      <rPr>
        <sz val="11"/>
        <rFont val="Georgia"/>
        <family val="1"/>
      </rPr>
      <t>BURGMAN400 ABS</t>
    </r>
  </si>
  <si>
    <r>
      <rPr>
        <sz val="11"/>
        <rFont val="Georgia"/>
        <family val="1"/>
      </rPr>
      <t>2BJ-DU11A</t>
    </r>
  </si>
  <si>
    <r>
      <rPr>
        <sz val="11"/>
        <rFont val="Georgia"/>
        <family val="1"/>
      </rPr>
      <t>DR-Z50</t>
    </r>
  </si>
  <si>
    <r>
      <rPr>
        <sz val="11"/>
        <rFont val="Georgia"/>
        <family val="1"/>
      </rPr>
      <t>JA42A</t>
    </r>
  </si>
  <si>
    <r>
      <rPr>
        <sz val="11"/>
        <rFont val="Georgia"/>
        <family val="1"/>
      </rPr>
      <t>3MT</t>
    </r>
  </si>
  <si>
    <r>
      <rPr>
        <sz val="11"/>
        <rFont val="Georgia"/>
        <family val="1"/>
      </rPr>
      <t>GIXXER</t>
    </r>
  </si>
  <si>
    <r>
      <rPr>
        <sz val="11"/>
        <rFont val="Georgia"/>
        <family val="1"/>
      </rPr>
      <t>2BK-ED13N</t>
    </r>
  </si>
  <si>
    <r>
      <rPr>
        <sz val="11"/>
        <rFont val="Georgia"/>
        <family val="1"/>
      </rPr>
      <t>2BK-NG4BG</t>
    </r>
  </si>
  <si>
    <r>
      <rPr>
        <sz val="11"/>
        <rFont val="Georgia"/>
        <family val="1"/>
      </rPr>
      <t>8BK-ED131</t>
    </r>
  </si>
  <si>
    <r>
      <rPr>
        <sz val="11"/>
        <rFont val="Georgia"/>
        <family val="1"/>
      </rPr>
      <t>GIXXER250</t>
    </r>
  </si>
  <si>
    <r>
      <rPr>
        <sz val="11"/>
        <rFont val="Georgia"/>
        <family val="1"/>
      </rPr>
      <t>8BK-ED22Y</t>
    </r>
  </si>
  <si>
    <r>
      <rPr>
        <sz val="11"/>
        <rFont val="Georgia"/>
        <family val="1"/>
      </rPr>
      <t>GIXXER 250</t>
    </r>
  </si>
  <si>
    <r>
      <rPr>
        <sz val="11"/>
        <rFont val="Georgia"/>
        <family val="1"/>
      </rPr>
      <t>2BK-ED22B</t>
    </r>
  </si>
  <si>
    <r>
      <rPr>
        <sz val="11"/>
        <rFont val="Georgia"/>
        <family val="1"/>
      </rPr>
      <t>GIXXER SF 250</t>
    </r>
  </si>
  <si>
    <r>
      <rPr>
        <sz val="11"/>
        <rFont val="Georgia"/>
        <family val="1"/>
      </rPr>
      <t>GIXXER SF250</t>
    </r>
  </si>
  <si>
    <r>
      <rPr>
        <sz val="11"/>
        <rFont val="Georgia"/>
        <family val="1"/>
      </rPr>
      <t>GSX250R</t>
    </r>
  </si>
  <si>
    <r>
      <rPr>
        <sz val="11"/>
        <rFont val="Georgia"/>
        <family val="1"/>
      </rPr>
      <t>2BK-DN11A</t>
    </r>
  </si>
  <si>
    <r>
      <rPr>
        <sz val="11"/>
        <rFont val="Georgia"/>
        <family val="1"/>
      </rPr>
      <t>8BK-DN12B</t>
    </r>
  </si>
  <si>
    <r>
      <rPr>
        <sz val="11"/>
        <rFont val="Georgia"/>
        <family val="1"/>
      </rPr>
      <t>GSX250R ABS</t>
    </r>
  </si>
  <si>
    <r>
      <rPr>
        <sz val="11"/>
        <rFont val="Georgia"/>
        <family val="1"/>
      </rPr>
      <t>2BK-ED111A</t>
    </r>
  </si>
  <si>
    <r>
      <rPr>
        <sz val="11"/>
        <rFont val="Georgia"/>
        <family val="1"/>
      </rPr>
      <t>GSX-8R</t>
    </r>
  </si>
  <si>
    <r>
      <rPr>
        <sz val="11"/>
        <rFont val="Georgia"/>
        <family val="1"/>
      </rPr>
      <t>8BL-EM1AA</t>
    </r>
  </si>
  <si>
    <r>
      <rPr>
        <sz val="11"/>
        <rFont val="Georgia"/>
        <family val="1"/>
      </rPr>
      <t>GSX-8S</t>
    </r>
  </si>
  <si>
    <r>
      <rPr>
        <sz val="11"/>
        <rFont val="Georgia"/>
        <family val="1"/>
      </rPr>
      <t>GSX-R1000R ABS</t>
    </r>
  </si>
  <si>
    <r>
      <rPr>
        <sz val="11"/>
        <rFont val="Georgia"/>
        <family val="1"/>
      </rPr>
      <t>2BL-DM11G</t>
    </r>
  </si>
  <si>
    <r>
      <rPr>
        <sz val="11"/>
        <rFont val="Georgia"/>
        <family val="1"/>
      </rPr>
      <t>GSX-R125</t>
    </r>
  </si>
  <si>
    <r>
      <rPr>
        <sz val="11"/>
        <rFont val="Georgia"/>
        <family val="1"/>
      </rPr>
      <t>2BJ-DL33B</t>
    </r>
  </si>
  <si>
    <r>
      <rPr>
        <sz val="11"/>
        <rFont val="Georgia"/>
        <family val="1"/>
      </rPr>
      <t>GSX-R125 ABS</t>
    </r>
  </si>
  <si>
    <r>
      <rPr>
        <sz val="11"/>
        <rFont val="Georgia"/>
        <family val="1"/>
      </rPr>
      <t>8BJ-DL32D</t>
    </r>
  </si>
  <si>
    <r>
      <rPr>
        <sz val="11"/>
        <rFont val="Georgia"/>
        <family val="1"/>
      </rPr>
      <t>GSX-S1000</t>
    </r>
  </si>
  <si>
    <r>
      <rPr>
        <sz val="11"/>
        <rFont val="Georgia"/>
        <family val="1"/>
      </rPr>
      <t>8BL-EK1AA</t>
    </r>
  </si>
  <si>
    <r>
      <rPr>
        <sz val="11"/>
        <rFont val="Georgia"/>
        <family val="1"/>
      </rPr>
      <t>GSX-S1000 ABS</t>
    </r>
  </si>
  <si>
    <r>
      <rPr>
        <sz val="11"/>
        <rFont val="Georgia"/>
        <family val="1"/>
      </rPr>
      <t>2BL-GT798</t>
    </r>
  </si>
  <si>
    <r>
      <rPr>
        <sz val="11"/>
        <rFont val="Georgia"/>
        <family val="1"/>
      </rPr>
      <t>GSX-S1000F ABS</t>
    </r>
  </si>
  <si>
    <r>
      <rPr>
        <sz val="11"/>
        <rFont val="Georgia"/>
        <family val="1"/>
      </rPr>
      <t>2BL-GT79B</t>
    </r>
  </si>
  <si>
    <r>
      <rPr>
        <sz val="11"/>
        <rFont val="Georgia"/>
        <family val="1"/>
      </rPr>
      <t>GSX-S1000GT</t>
    </r>
  </si>
  <si>
    <r>
      <rPr>
        <sz val="11"/>
        <rFont val="Georgia"/>
        <family val="1"/>
      </rPr>
      <t>GSX-S1000GX</t>
    </r>
  </si>
  <si>
    <r>
      <rPr>
        <sz val="11"/>
        <rFont val="Georgia"/>
        <family val="1"/>
      </rPr>
      <t>GSX-S125</t>
    </r>
  </si>
  <si>
    <r>
      <rPr>
        <sz val="11"/>
        <rFont val="Georgia"/>
        <family val="1"/>
      </rPr>
      <t>2BJ-DL32B</t>
    </r>
  </si>
  <si>
    <r>
      <rPr>
        <sz val="11"/>
        <rFont val="Georgia"/>
        <family val="1"/>
      </rPr>
      <t>GSX-S125 ABS</t>
    </r>
  </si>
  <si>
    <r>
      <rPr>
        <sz val="11"/>
        <rFont val="Georgia"/>
        <family val="1"/>
      </rPr>
      <t>GSX-DL32B</t>
    </r>
  </si>
  <si>
    <r>
      <rPr>
        <sz val="11"/>
        <rFont val="Georgia"/>
        <family val="1"/>
      </rPr>
      <t>GSX-S750</t>
    </r>
  </si>
  <si>
    <r>
      <rPr>
        <sz val="11"/>
        <rFont val="Georgia"/>
        <family val="1"/>
      </rPr>
      <t>2BL-C533F</t>
    </r>
  </si>
  <si>
    <r>
      <rPr>
        <sz val="11"/>
        <rFont val="Georgia"/>
        <family val="1"/>
      </rPr>
      <t>GSX-S750 ABS</t>
    </r>
  </si>
  <si>
    <r>
      <rPr>
        <sz val="11"/>
        <rFont val="Georgia"/>
        <family val="1"/>
      </rPr>
      <t>HAYABUSA</t>
    </r>
  </si>
  <si>
    <r>
      <rPr>
        <sz val="11"/>
        <rFont val="Georgia"/>
        <family val="1"/>
      </rPr>
      <t>8BL-EJ11A</t>
    </r>
  </si>
  <si>
    <r>
      <rPr>
        <sz val="11"/>
        <rFont val="Georgia"/>
        <family val="1"/>
      </rPr>
      <t>HAYBUSA</t>
    </r>
  </si>
  <si>
    <r>
      <rPr>
        <sz val="11"/>
        <rFont val="Georgia"/>
        <family val="1"/>
      </rPr>
      <t>KATANA</t>
    </r>
  </si>
  <si>
    <r>
      <rPr>
        <sz val="11"/>
        <rFont val="Georgia"/>
        <family val="1"/>
      </rPr>
      <t>LET'S</t>
    </r>
  </si>
  <si>
    <r>
      <rPr>
        <sz val="11"/>
        <rFont val="Georgia"/>
        <family val="1"/>
      </rPr>
      <t>2BH-CA4AA</t>
    </r>
  </si>
  <si>
    <r>
      <rPr>
        <sz val="11"/>
        <rFont val="Georgia"/>
        <family val="1"/>
      </rPr>
      <t>LET'S ABSKET</t>
    </r>
  </si>
  <si>
    <r>
      <rPr>
        <sz val="11"/>
        <rFont val="Georgia"/>
        <family val="1"/>
      </rPr>
      <t>RM85L</t>
    </r>
  </si>
  <si>
    <r>
      <rPr>
        <sz val="11"/>
        <rFont val="Georgia"/>
        <family val="1"/>
      </rPr>
      <t>RD17C</t>
    </r>
  </si>
  <si>
    <r>
      <rPr>
        <sz val="11"/>
        <rFont val="Georgia"/>
        <family val="1"/>
      </rPr>
      <t>RM-Z250</t>
    </r>
  </si>
  <si>
    <r>
      <rPr>
        <sz val="11"/>
        <rFont val="Georgia"/>
        <family val="1"/>
      </rPr>
      <t>EC117Z</t>
    </r>
  </si>
  <si>
    <r>
      <rPr>
        <sz val="11"/>
        <rFont val="Georgia"/>
        <family val="1"/>
      </rPr>
      <t>RJ42A</t>
    </r>
  </si>
  <si>
    <r>
      <rPr>
        <sz val="11"/>
        <rFont val="Georgia"/>
        <family val="1"/>
      </rPr>
      <t>RM-Z450</t>
    </r>
  </si>
  <si>
    <r>
      <rPr>
        <sz val="11"/>
        <rFont val="Georgia"/>
        <family val="1"/>
      </rPr>
      <t>DZ117</t>
    </r>
  </si>
  <si>
    <r>
      <rPr>
        <sz val="11"/>
        <rFont val="Georgia"/>
        <family val="1"/>
      </rPr>
      <t>SKYWAVE650LX</t>
    </r>
  </si>
  <si>
    <r>
      <rPr>
        <sz val="11"/>
        <rFont val="Georgia"/>
        <family val="1"/>
      </rPr>
      <t>2BL-CP52A</t>
    </r>
  </si>
  <si>
    <r>
      <rPr>
        <sz val="11"/>
        <rFont val="Georgia"/>
        <family val="1"/>
      </rPr>
      <t>SV650 ABS</t>
    </r>
  </si>
  <si>
    <r>
      <rPr>
        <sz val="11"/>
        <rFont val="Georgia"/>
        <family val="1"/>
      </rPr>
      <t>2BL-VP55B</t>
    </r>
  </si>
  <si>
    <r>
      <rPr>
        <sz val="11"/>
        <rFont val="Georgia"/>
        <family val="1"/>
      </rPr>
      <t>8BL-VP55E</t>
    </r>
  </si>
  <si>
    <r>
      <rPr>
        <sz val="11"/>
        <rFont val="Georgia"/>
        <family val="1"/>
      </rPr>
      <t>SV650X ABS</t>
    </r>
  </si>
  <si>
    <r>
      <rPr>
        <sz val="11"/>
        <rFont val="Georgia"/>
        <family val="1"/>
      </rPr>
      <t>SV659 ABS</t>
    </r>
  </si>
  <si>
    <r>
      <rPr>
        <sz val="11"/>
        <rFont val="Georgia"/>
        <family val="1"/>
      </rPr>
      <t>SWISH</t>
    </r>
  </si>
  <si>
    <r>
      <rPr>
        <sz val="11"/>
        <rFont val="Georgia"/>
        <family val="1"/>
      </rPr>
      <t>2BJ-DV12B</t>
    </r>
  </si>
  <si>
    <r>
      <rPr>
        <sz val="11"/>
        <rFont val="Georgia"/>
        <family val="1"/>
      </rPr>
      <t>SWISH LIMITED</t>
    </r>
  </si>
  <si>
    <r>
      <rPr>
        <sz val="11"/>
        <rFont val="Georgia"/>
        <family val="1"/>
      </rPr>
      <t>V-STROM 1000 ABS</t>
    </r>
  </si>
  <si>
    <r>
      <rPr>
        <sz val="11"/>
        <rFont val="Georgia"/>
        <family val="1"/>
      </rPr>
      <t>2BL-VU51A</t>
    </r>
  </si>
  <si>
    <r>
      <rPr>
        <sz val="11"/>
        <rFont val="Georgia"/>
        <family val="1"/>
      </rPr>
      <t>V-STROM1000XT ABS</t>
    </r>
  </si>
  <si>
    <r>
      <rPr>
        <sz val="11"/>
        <rFont val="Georgia"/>
        <family val="1"/>
      </rPr>
      <t>V-STROM1050</t>
    </r>
  </si>
  <si>
    <r>
      <rPr>
        <sz val="11"/>
        <rFont val="Georgia"/>
        <family val="1"/>
      </rPr>
      <t>8BL-EF11M</t>
    </r>
  </si>
  <si>
    <r>
      <rPr>
        <sz val="11"/>
        <rFont val="Georgia"/>
        <family val="1"/>
      </rPr>
      <t>V-STROM1050DE</t>
    </r>
  </si>
  <si>
    <r>
      <rPr>
        <sz val="11"/>
        <rFont val="Georgia"/>
        <family val="1"/>
      </rPr>
      <t>V-STROM1050XT</t>
    </r>
  </si>
  <si>
    <r>
      <rPr>
        <sz val="11"/>
        <rFont val="Georgia"/>
        <family val="1"/>
      </rPr>
      <t>V-STROM250</t>
    </r>
  </si>
  <si>
    <r>
      <rPr>
        <sz val="11"/>
        <rFont val="Georgia"/>
        <family val="1"/>
      </rPr>
      <t>2BK-DS11A</t>
    </r>
  </si>
  <si>
    <r>
      <rPr>
        <sz val="11"/>
        <rFont val="Georgia"/>
        <family val="1"/>
      </rPr>
      <t>8BK-DS12E</t>
    </r>
  </si>
  <si>
    <r>
      <rPr>
        <sz val="11"/>
        <rFont val="Georgia"/>
        <family val="1"/>
      </rPr>
      <t>V-STROM250 ABS</t>
    </r>
  </si>
  <si>
    <r>
      <rPr>
        <sz val="11"/>
        <rFont val="Georgia"/>
        <family val="1"/>
      </rPr>
      <t>V-STROM250SX</t>
    </r>
  </si>
  <si>
    <r>
      <rPr>
        <sz val="11"/>
        <rFont val="Georgia"/>
        <family val="1"/>
      </rPr>
      <t>8BK-EL11L</t>
    </r>
  </si>
  <si>
    <r>
      <rPr>
        <sz val="11"/>
        <rFont val="Georgia"/>
        <family val="1"/>
      </rPr>
      <t>V-STROM650 ABS</t>
    </r>
  </si>
  <si>
    <r>
      <rPr>
        <sz val="11"/>
        <rFont val="Georgia"/>
        <family val="1"/>
      </rPr>
      <t>2BL-C733A</t>
    </r>
  </si>
  <si>
    <r>
      <rPr>
        <sz val="11"/>
        <rFont val="Georgia"/>
        <family val="1"/>
      </rPr>
      <t>8BL-C733M</t>
    </r>
  </si>
  <si>
    <r>
      <rPr>
        <sz val="11"/>
        <rFont val="Georgia"/>
        <family val="1"/>
      </rPr>
      <t>V-STROM650XT ABS</t>
    </r>
  </si>
  <si>
    <r>
      <rPr>
        <sz val="11"/>
        <rFont val="Georgia"/>
        <family val="1"/>
      </rPr>
      <t>V-STROM800</t>
    </r>
  </si>
  <si>
    <r>
      <rPr>
        <sz val="11"/>
        <rFont val="Georgia"/>
        <family val="1"/>
      </rPr>
      <t>8BL-EM1BA</t>
    </r>
  </si>
  <si>
    <r>
      <rPr>
        <sz val="11"/>
        <rFont val="Georgia"/>
        <family val="1"/>
      </rPr>
      <t>V-STROM800DE</t>
    </r>
  </si>
  <si>
    <r>
      <rPr>
        <sz val="11"/>
        <rFont val="Georgia"/>
        <family val="1"/>
      </rPr>
      <t>V-STROMXT ABS</t>
    </r>
  </si>
  <si>
    <r>
      <rPr>
        <sz val="11"/>
        <rFont val="Georgia"/>
        <family val="1"/>
      </rPr>
      <t>KAWASAKI</t>
    </r>
  </si>
  <si>
    <r>
      <rPr>
        <sz val="11"/>
        <rFont val="Georgia"/>
        <family val="1"/>
      </rPr>
      <t>ELIMINATOR SE</t>
    </r>
  </si>
  <si>
    <r>
      <rPr>
        <sz val="11"/>
        <rFont val="Georgia"/>
        <family val="1"/>
      </rPr>
      <t>8BL-EL400A</t>
    </r>
  </si>
  <si>
    <r>
      <rPr>
        <sz val="11"/>
        <rFont val="Georgia"/>
        <family val="1"/>
      </rPr>
      <t>KX100</t>
    </r>
  </si>
  <si>
    <r>
      <rPr>
        <sz val="11"/>
        <rFont val="Georgia"/>
        <family val="1"/>
      </rPr>
      <t>KX100F</t>
    </r>
  </si>
  <si>
    <r>
      <rPr>
        <sz val="11"/>
        <rFont val="Georgia"/>
        <family val="1"/>
      </rPr>
      <t>KX112</t>
    </r>
  </si>
  <si>
    <r>
      <rPr>
        <sz val="11"/>
        <rFont val="Georgia"/>
        <family val="1"/>
      </rPr>
      <t>KX112A</t>
    </r>
  </si>
  <si>
    <r>
      <rPr>
        <sz val="11"/>
        <rFont val="Georgia"/>
        <family val="1"/>
      </rPr>
      <t>KX250</t>
    </r>
  </si>
  <si>
    <r>
      <rPr>
        <sz val="11"/>
        <rFont val="Georgia"/>
        <family val="1"/>
      </rPr>
      <t>KX252A</t>
    </r>
  </si>
  <si>
    <r>
      <rPr>
        <sz val="11"/>
        <rFont val="Georgia"/>
        <family val="1"/>
      </rPr>
      <t>KX250F</t>
    </r>
  </si>
  <si>
    <r>
      <rPr>
        <sz val="11"/>
        <rFont val="Georgia"/>
        <family val="1"/>
      </rPr>
      <t>KX450</t>
    </r>
  </si>
  <si>
    <r>
      <rPr>
        <sz val="11"/>
        <rFont val="Georgia"/>
        <family val="1"/>
      </rPr>
      <t>KX450J</t>
    </r>
  </si>
  <si>
    <r>
      <rPr>
        <sz val="11"/>
        <rFont val="Georgia"/>
        <family val="1"/>
      </rPr>
      <t>KX450F</t>
    </r>
  </si>
  <si>
    <r>
      <rPr>
        <sz val="11"/>
        <rFont val="Georgia"/>
        <family val="1"/>
      </rPr>
      <t>KX450H</t>
    </r>
  </si>
  <si>
    <r>
      <rPr>
        <sz val="11"/>
        <rFont val="Georgia"/>
        <family val="1"/>
      </rPr>
      <t>KX65</t>
    </r>
  </si>
  <si>
    <r>
      <rPr>
        <sz val="11"/>
        <rFont val="Georgia"/>
        <family val="1"/>
      </rPr>
      <t>KX065A</t>
    </r>
  </si>
  <si>
    <r>
      <rPr>
        <sz val="11"/>
        <rFont val="Georgia"/>
        <family val="1"/>
      </rPr>
      <t>KX85</t>
    </r>
  </si>
  <si>
    <r>
      <rPr>
        <sz val="11"/>
        <rFont val="Georgia"/>
        <family val="1"/>
      </rPr>
      <t>KX085A</t>
    </r>
  </si>
  <si>
    <r>
      <rPr>
        <sz val="11"/>
        <rFont val="Georgia"/>
        <family val="1"/>
      </rPr>
      <t>KX085C</t>
    </r>
  </si>
  <si>
    <r>
      <rPr>
        <sz val="11"/>
        <rFont val="Georgia"/>
        <family val="1"/>
      </rPr>
      <t>KX85 II</t>
    </r>
  </si>
  <si>
    <r>
      <rPr>
        <sz val="11"/>
        <rFont val="Georgia"/>
        <family val="1"/>
      </rPr>
      <t>KX085D</t>
    </r>
  </si>
  <si>
    <r>
      <rPr>
        <sz val="11"/>
        <rFont val="Georgia"/>
        <family val="1"/>
      </rPr>
      <t>KX85-II</t>
    </r>
  </si>
  <si>
    <r>
      <rPr>
        <sz val="11"/>
        <rFont val="Georgia"/>
        <family val="1"/>
      </rPr>
      <t>MEGURO K3</t>
    </r>
  </si>
  <si>
    <r>
      <rPr>
        <sz val="11"/>
        <rFont val="Georgia"/>
        <family val="1"/>
      </rPr>
      <t>8BL-EL800E</t>
    </r>
  </si>
  <si>
    <r>
      <rPr>
        <sz val="11"/>
        <rFont val="Georgia"/>
        <family val="1"/>
      </rPr>
      <t>2BL-EJ800B</t>
    </r>
  </si>
  <si>
    <r>
      <rPr>
        <sz val="11"/>
        <rFont val="Georgia"/>
        <family val="1"/>
      </rPr>
      <t>NINJA 1000</t>
    </r>
  </si>
  <si>
    <r>
      <rPr>
        <sz val="11"/>
        <rFont val="Georgia"/>
        <family val="1"/>
      </rPr>
      <t>2BL-ZXT00W</t>
    </r>
  </si>
  <si>
    <r>
      <rPr>
        <sz val="11"/>
        <rFont val="Georgia"/>
        <family val="1"/>
      </rPr>
      <t>NINJA 1000SX</t>
    </r>
  </si>
  <si>
    <r>
      <rPr>
        <sz val="11"/>
        <rFont val="Georgia"/>
        <family val="1"/>
      </rPr>
      <t>2BL-ZXT02K</t>
    </r>
  </si>
  <si>
    <r>
      <rPr>
        <sz val="11"/>
        <rFont val="Georgia"/>
        <family val="1"/>
      </rPr>
      <t>NINJA 250</t>
    </r>
  </si>
  <si>
    <r>
      <rPr>
        <sz val="11"/>
        <rFont val="Georgia"/>
        <family val="1"/>
      </rPr>
      <t>2BK-EX250P</t>
    </r>
  </si>
  <si>
    <r>
      <rPr>
        <sz val="11"/>
        <rFont val="Georgia"/>
        <family val="1"/>
      </rPr>
      <t>NINJA 250 KRT</t>
    </r>
  </si>
  <si>
    <r>
      <rPr>
        <sz val="11"/>
        <rFont val="Georgia"/>
        <family val="1"/>
      </rPr>
      <t>NINJA 400</t>
    </r>
  </si>
  <si>
    <r>
      <rPr>
        <sz val="11"/>
        <rFont val="Georgia"/>
        <family val="1"/>
      </rPr>
      <t>2BL-EX400G</t>
    </r>
  </si>
  <si>
    <r>
      <rPr>
        <sz val="11"/>
        <rFont val="Georgia"/>
        <family val="1"/>
      </rPr>
      <t>NINJA 400 KRT EDITION</t>
    </r>
  </si>
  <si>
    <r>
      <rPr>
        <sz val="11"/>
        <rFont val="Georgia"/>
        <family val="1"/>
      </rPr>
      <t>NINJA 650</t>
    </r>
  </si>
  <si>
    <r>
      <rPr>
        <sz val="11"/>
        <rFont val="Georgia"/>
        <family val="1"/>
      </rPr>
      <t>2BLER650H</t>
    </r>
  </si>
  <si>
    <r>
      <rPr>
        <sz val="11"/>
        <rFont val="Georgia"/>
        <family val="1"/>
      </rPr>
      <t>NINJA 650 KRT EDITION</t>
    </r>
  </si>
  <si>
    <r>
      <rPr>
        <sz val="11"/>
        <rFont val="Georgia"/>
        <family val="1"/>
      </rPr>
      <t>2BL-ER650H</t>
    </r>
  </si>
  <si>
    <r>
      <rPr>
        <sz val="11"/>
        <rFont val="Georgia"/>
        <family val="1"/>
      </rPr>
      <t>NINJA 7 HYBRID</t>
    </r>
  </si>
  <si>
    <r>
      <rPr>
        <sz val="11"/>
        <rFont val="Georgia"/>
        <family val="1"/>
      </rPr>
      <t>8AL-CX500A</t>
    </r>
  </si>
  <si>
    <r>
      <rPr>
        <sz val="11"/>
        <rFont val="Georgia"/>
        <family val="1"/>
      </rPr>
      <t>NINJA E-1</t>
    </r>
  </si>
  <si>
    <r>
      <rPr>
        <sz val="11"/>
        <rFont val="Georgia"/>
        <family val="1"/>
      </rPr>
      <t>ZAD-NX011A</t>
    </r>
  </si>
  <si>
    <r>
      <rPr>
        <sz val="11"/>
        <rFont val="Georgia"/>
        <family val="1"/>
      </rPr>
      <t>NINJA H2 CARBON</t>
    </r>
  </si>
  <si>
    <r>
      <rPr>
        <sz val="11"/>
        <rFont val="Georgia"/>
        <family val="1"/>
      </rPr>
      <t>2BL-ZXT02J</t>
    </r>
  </si>
  <si>
    <r>
      <rPr>
        <sz val="11"/>
        <rFont val="Georgia"/>
        <family val="1"/>
      </rPr>
      <t>NINJA H2 SE</t>
    </r>
  </si>
  <si>
    <r>
      <rPr>
        <sz val="11"/>
        <rFont val="Georgia"/>
        <family val="1"/>
      </rPr>
      <t>8BL-ZXT02P</t>
    </r>
  </si>
  <si>
    <r>
      <rPr>
        <sz val="11"/>
        <rFont val="Georgia"/>
        <family val="1"/>
      </rPr>
      <t>NINJA H2 SX</t>
    </r>
  </si>
  <si>
    <r>
      <rPr>
        <sz val="11"/>
        <rFont val="Georgia"/>
        <family val="1"/>
      </rPr>
      <t>2BL-ZXT02A</t>
    </r>
  </si>
  <si>
    <r>
      <rPr>
        <sz val="11"/>
        <rFont val="Georgia"/>
        <family val="1"/>
      </rPr>
      <t>NINJA H2 SX SE</t>
    </r>
  </si>
  <si>
    <r>
      <rPr>
        <sz val="11"/>
        <rFont val="Georgia"/>
        <family val="1"/>
      </rPr>
      <t>NINJA H2 SX SE+</t>
    </r>
  </si>
  <si>
    <r>
      <rPr>
        <sz val="11"/>
        <rFont val="Georgia"/>
        <family val="1"/>
      </rPr>
      <t>NINJA ZX-10 KRT EDITION</t>
    </r>
  </si>
  <si>
    <r>
      <rPr>
        <sz val="11"/>
        <rFont val="Georgia"/>
        <family val="1"/>
      </rPr>
      <t>2BL-ZXT02E</t>
    </r>
  </si>
  <si>
    <r>
      <rPr>
        <sz val="11"/>
        <rFont val="Georgia"/>
        <family val="1"/>
      </rPr>
      <t>NINJA ZX-10R KRK EDITION</t>
    </r>
  </si>
  <si>
    <r>
      <rPr>
        <sz val="11"/>
        <rFont val="Georgia"/>
        <family val="1"/>
      </rPr>
      <t>8BL-ZXT02L</t>
    </r>
  </si>
  <si>
    <r>
      <rPr>
        <sz val="11"/>
        <rFont val="Georgia"/>
        <family val="1"/>
      </rPr>
      <t>NINJA ZX-10R KRT EDITION</t>
    </r>
  </si>
  <si>
    <r>
      <rPr>
        <sz val="11"/>
        <rFont val="Georgia"/>
        <family val="1"/>
      </rPr>
      <t>NINJA ZX-10R SE</t>
    </r>
  </si>
  <si>
    <r>
      <rPr>
        <sz val="11"/>
        <rFont val="Georgia"/>
        <family val="1"/>
      </rPr>
      <t>NINJA ZX-10RR</t>
    </r>
  </si>
  <si>
    <r>
      <rPr>
        <sz val="11"/>
        <rFont val="Georgia"/>
        <family val="1"/>
      </rPr>
      <t>NINJA ZX-25R SE KRT EDITION</t>
    </r>
  </si>
  <si>
    <r>
      <rPr>
        <sz val="11"/>
        <rFont val="Georgia"/>
        <family val="1"/>
      </rPr>
      <t>8BK-ZX250H</t>
    </r>
  </si>
  <si>
    <r>
      <rPr>
        <sz val="11"/>
        <rFont val="Georgia"/>
        <family val="1"/>
      </rPr>
      <t>2BK-ZX250E</t>
    </r>
  </si>
  <si>
    <r>
      <rPr>
        <sz val="11"/>
        <rFont val="Georgia"/>
        <family val="1"/>
      </rPr>
      <t>NINJA ZX-4RR KRT EDITION</t>
    </r>
  </si>
  <si>
    <r>
      <rPr>
        <sz val="11"/>
        <rFont val="Georgia"/>
        <family val="1"/>
      </rPr>
      <t>8BL-ZX400P</t>
    </r>
  </si>
  <si>
    <r>
      <rPr>
        <sz val="11"/>
        <rFont val="Georgia"/>
        <family val="1"/>
      </rPr>
      <t>NINJA ZX-6R</t>
    </r>
  </si>
  <si>
    <r>
      <rPr>
        <sz val="11"/>
        <rFont val="Georgia"/>
        <family val="1"/>
      </rPr>
      <t>2BL-ZX630G</t>
    </r>
  </si>
  <si>
    <r>
      <rPr>
        <sz val="11"/>
        <rFont val="Georgia"/>
        <family val="1"/>
      </rPr>
      <t>NINJA ZX-6R KRT EDITION</t>
    </r>
  </si>
  <si>
    <r>
      <rPr>
        <sz val="11"/>
        <rFont val="Georgia"/>
        <family val="1"/>
      </rPr>
      <t>NINJA250</t>
    </r>
  </si>
  <si>
    <r>
      <rPr>
        <sz val="11"/>
        <rFont val="Georgia"/>
        <family val="1"/>
      </rPr>
      <t>NINJA400</t>
    </r>
  </si>
  <si>
    <r>
      <rPr>
        <sz val="11"/>
        <rFont val="Georgia"/>
        <family val="1"/>
      </rPr>
      <t>VERSYS 100 SE</t>
    </r>
  </si>
  <si>
    <r>
      <rPr>
        <sz val="11"/>
        <rFont val="Georgia"/>
        <family val="1"/>
      </rPr>
      <t>2BL-LZT00D</t>
    </r>
  </si>
  <si>
    <r>
      <rPr>
        <sz val="11"/>
        <rFont val="Georgia"/>
        <family val="1"/>
      </rPr>
      <t>VERSYS 1000 SE</t>
    </r>
  </si>
  <si>
    <r>
      <rPr>
        <sz val="11"/>
        <rFont val="Georgia"/>
        <family val="1"/>
      </rPr>
      <t>VERSYS-X 250</t>
    </r>
  </si>
  <si>
    <r>
      <rPr>
        <sz val="11"/>
        <rFont val="Georgia"/>
        <family val="1"/>
      </rPr>
      <t>2BK-LE250D</t>
    </r>
  </si>
  <si>
    <r>
      <rPr>
        <sz val="11"/>
        <rFont val="Georgia"/>
        <family val="1"/>
      </rPr>
      <t>VERSYS-X 250 TOURER</t>
    </r>
  </si>
  <si>
    <r>
      <rPr>
        <sz val="11"/>
        <rFont val="Georgia"/>
        <family val="1"/>
      </rPr>
      <t>VULCAN S</t>
    </r>
  </si>
  <si>
    <r>
      <rPr>
        <sz val="11"/>
        <rFont val="Georgia"/>
        <family val="1"/>
      </rPr>
      <t>EBL-EN650A</t>
    </r>
  </si>
  <si>
    <r>
      <rPr>
        <sz val="11"/>
        <rFont val="Georgia"/>
        <family val="1"/>
      </rPr>
      <t>2BL-EN650G</t>
    </r>
  </si>
  <si>
    <r>
      <rPr>
        <sz val="11"/>
        <rFont val="Georgia"/>
        <family val="1"/>
      </rPr>
      <t>VULCAN S ABS SPECIAL EDITION</t>
    </r>
  </si>
  <si>
    <r>
      <rPr>
        <sz val="11"/>
        <rFont val="Georgia"/>
        <family val="1"/>
      </rPr>
      <t>W800</t>
    </r>
  </si>
  <si>
    <r>
      <rPr>
        <sz val="11"/>
        <rFont val="Georgia"/>
        <family val="1"/>
      </rPr>
      <t>8BL-EJ800E</t>
    </r>
  </si>
  <si>
    <r>
      <rPr>
        <sz val="11"/>
        <rFont val="Georgia"/>
        <family val="1"/>
      </rPr>
      <t>W800 CAFÉ</t>
    </r>
  </si>
  <si>
    <r>
      <rPr>
        <sz val="11"/>
        <rFont val="Georgia"/>
        <family val="1"/>
      </rPr>
      <t>W800 STREET</t>
    </r>
  </si>
  <si>
    <r>
      <rPr>
        <sz val="11"/>
        <rFont val="Georgia"/>
        <family val="1"/>
      </rPr>
      <t>Z H2</t>
    </r>
  </si>
  <si>
    <r>
      <rPr>
        <sz val="11"/>
        <rFont val="Georgia"/>
        <family val="1"/>
      </rPr>
      <t>2BL-ZRT00K</t>
    </r>
  </si>
  <si>
    <r>
      <rPr>
        <sz val="11"/>
        <rFont val="Georgia"/>
        <family val="1"/>
      </rPr>
      <t>Z H2 SE</t>
    </r>
  </si>
  <si>
    <r>
      <rPr>
        <sz val="11"/>
        <rFont val="Georgia"/>
        <family val="1"/>
      </rPr>
      <t>8BL-ZRT00K</t>
    </r>
  </si>
  <si>
    <r>
      <rPr>
        <sz val="11"/>
        <rFont val="Georgia"/>
        <family val="1"/>
      </rPr>
      <t>Z1000</t>
    </r>
  </si>
  <si>
    <r>
      <rPr>
        <sz val="11"/>
        <rFont val="Georgia"/>
        <family val="1"/>
      </rPr>
      <t>Z125 PRO</t>
    </r>
  </si>
  <si>
    <r>
      <rPr>
        <sz val="11"/>
        <rFont val="Georgia"/>
        <family val="1"/>
      </rPr>
      <t>2BL-BR125H</t>
    </r>
  </si>
  <si>
    <r>
      <rPr>
        <sz val="11"/>
        <rFont val="Georgia"/>
        <family val="1"/>
      </rPr>
      <t>Z250</t>
    </r>
  </si>
  <si>
    <r>
      <rPr>
        <sz val="11"/>
        <rFont val="Georgia"/>
        <family val="1"/>
      </rPr>
      <t>Z250 ABS</t>
    </r>
  </si>
  <si>
    <r>
      <rPr>
        <sz val="11"/>
        <rFont val="Georgia"/>
        <family val="1"/>
      </rPr>
      <t>JBK-ER250C</t>
    </r>
  </si>
  <si>
    <r>
      <rPr>
        <sz val="11"/>
        <rFont val="Georgia"/>
        <family val="1"/>
      </rPr>
      <t>Z250 ABS SPECIAL EDITION</t>
    </r>
  </si>
  <si>
    <r>
      <rPr>
        <sz val="11"/>
        <rFont val="Georgia"/>
        <family val="1"/>
      </rPr>
      <t>Z400</t>
    </r>
  </si>
  <si>
    <r>
      <rPr>
        <sz val="11"/>
        <rFont val="Georgia"/>
        <family val="1"/>
      </rPr>
      <t>Z650</t>
    </r>
  </si>
  <si>
    <r>
      <rPr>
        <sz val="11"/>
        <rFont val="Georgia"/>
        <family val="1"/>
      </rPr>
      <t>Z650 NINJA 650</t>
    </r>
  </si>
  <si>
    <r>
      <rPr>
        <sz val="11"/>
        <rFont val="Georgia"/>
        <family val="1"/>
      </rPr>
      <t>Z650RS</t>
    </r>
  </si>
  <si>
    <r>
      <rPr>
        <sz val="11"/>
        <rFont val="Georgia"/>
        <family val="1"/>
      </rPr>
      <t>8BL-ER650M</t>
    </r>
  </si>
  <si>
    <r>
      <rPr>
        <sz val="11"/>
        <rFont val="Georgia"/>
        <family val="1"/>
      </rPr>
      <t>Z900</t>
    </r>
  </si>
  <si>
    <r>
      <rPr>
        <sz val="11"/>
        <rFont val="Georgia"/>
        <family val="1"/>
      </rPr>
      <t>2BL-ZR900B</t>
    </r>
  </si>
  <si>
    <r>
      <rPr>
        <sz val="11"/>
        <rFont val="Georgia"/>
        <family val="1"/>
      </rPr>
      <t>Z900RS</t>
    </r>
  </si>
  <si>
    <r>
      <rPr>
        <sz val="11"/>
        <rFont val="Georgia"/>
        <family val="1"/>
      </rPr>
      <t>2BL-ZRJ900C</t>
    </r>
  </si>
  <si>
    <r>
      <rPr>
        <sz val="11"/>
        <rFont val="Georgia"/>
        <family val="1"/>
      </rPr>
      <t>Z900RS CAFÉ</t>
    </r>
  </si>
  <si>
    <r>
      <rPr>
        <sz val="11"/>
        <rFont val="Georgia"/>
        <family val="1"/>
      </rPr>
      <t>2BL-ZR900C</t>
    </r>
  </si>
  <si>
    <r>
      <rPr>
        <sz val="11"/>
        <rFont val="Georgia"/>
        <family val="1"/>
      </rPr>
      <t>Z900RS YELLOW BALL EDITION</t>
    </r>
  </si>
  <si>
    <r>
      <rPr>
        <sz val="11"/>
        <rFont val="Georgia"/>
        <family val="1"/>
      </rPr>
      <t>8BL-ZR900K</t>
    </r>
  </si>
  <si>
    <r>
      <rPr>
        <sz val="11"/>
        <rFont val="Georgia"/>
        <family val="1"/>
      </rPr>
      <t>ZV1000</t>
    </r>
  </si>
  <si>
    <r>
      <rPr>
        <sz val="11"/>
        <rFont val="Georgia"/>
        <family val="1"/>
      </rPr>
      <t>YAMAHA</t>
    </r>
  </si>
  <si>
    <r>
      <rPr>
        <sz val="11"/>
        <rFont val="Georgia"/>
        <family val="1"/>
      </rPr>
      <t>AXIS Z</t>
    </r>
  </si>
  <si>
    <r>
      <rPr>
        <sz val="11"/>
        <rFont val="Georgia"/>
        <family val="1"/>
      </rPr>
      <t>2BJ-SED7J</t>
    </r>
  </si>
  <si>
    <r>
      <rPr>
        <sz val="11"/>
        <rFont val="Georgia"/>
        <family val="1"/>
      </rPr>
      <t>8BJ-SED7J</t>
    </r>
  </si>
  <si>
    <r>
      <rPr>
        <sz val="11"/>
        <rFont val="Georgia"/>
        <family val="1"/>
      </rPr>
      <t>8BJ-SEJ6J</t>
    </r>
  </si>
  <si>
    <r>
      <rPr>
        <sz val="11"/>
        <rFont val="Georgia"/>
        <family val="1"/>
      </rPr>
      <t>BOLT ABS</t>
    </r>
  </si>
  <si>
    <r>
      <rPr>
        <sz val="11"/>
        <rFont val="Georgia"/>
        <family val="1"/>
      </rPr>
      <t>2BL-VN09J</t>
    </r>
  </si>
  <si>
    <r>
      <rPr>
        <sz val="11"/>
        <rFont val="Georgia"/>
        <family val="1"/>
      </rPr>
      <t>BOLT R</t>
    </r>
  </si>
  <si>
    <r>
      <rPr>
        <sz val="11"/>
        <rFont val="Georgia"/>
        <family val="1"/>
      </rPr>
      <t>BOLT R ABS</t>
    </r>
  </si>
  <si>
    <r>
      <rPr>
        <sz val="11"/>
        <rFont val="Georgia"/>
        <family val="1"/>
      </rPr>
      <t>2BL--VN09J</t>
    </r>
  </si>
  <si>
    <r>
      <rPr>
        <sz val="11"/>
        <rFont val="Georgia"/>
        <family val="1"/>
      </rPr>
      <t>BW'S125</t>
    </r>
  </si>
  <si>
    <r>
      <rPr>
        <sz val="11"/>
        <rFont val="Georgia"/>
        <family val="1"/>
      </rPr>
      <t>2BJ-SED9J</t>
    </r>
  </si>
  <si>
    <r>
      <rPr>
        <sz val="11"/>
        <rFont val="Georgia"/>
        <family val="1"/>
      </rPr>
      <t>EBJ-SED91</t>
    </r>
  </si>
  <si>
    <r>
      <rPr>
        <sz val="11"/>
        <rFont val="Georgia"/>
        <family val="1"/>
      </rPr>
      <t>CYGNUS GRYPHUS</t>
    </r>
  </si>
  <si>
    <r>
      <rPr>
        <sz val="11"/>
        <rFont val="Georgia"/>
        <family val="1"/>
      </rPr>
      <t>8BJ-SEJ4J</t>
    </r>
  </si>
  <si>
    <r>
      <rPr>
        <sz val="11"/>
        <rFont val="Georgia"/>
        <family val="1"/>
      </rPr>
      <t>CYGNUS X</t>
    </r>
  </si>
  <si>
    <r>
      <rPr>
        <sz val="11"/>
        <rFont val="Georgia"/>
        <family val="1"/>
      </rPr>
      <t>2BJ-SED8J</t>
    </r>
  </si>
  <si>
    <r>
      <rPr>
        <sz val="11"/>
        <rFont val="Georgia"/>
        <family val="1"/>
      </rPr>
      <t>E-VINO</t>
    </r>
  </si>
  <si>
    <r>
      <rPr>
        <sz val="11"/>
        <rFont val="Georgia"/>
        <family val="1"/>
      </rPr>
      <t>ZAD-SY11J</t>
    </r>
  </si>
  <si>
    <r>
      <rPr>
        <sz val="11"/>
        <rFont val="Georgia"/>
        <family val="1"/>
      </rPr>
      <t>FJR1300A</t>
    </r>
  </si>
  <si>
    <r>
      <rPr>
        <sz val="11"/>
        <rFont val="Georgia"/>
        <family val="1"/>
      </rPr>
      <t>2BL-RP27J</t>
    </r>
  </si>
  <si>
    <r>
      <rPr>
        <sz val="11"/>
        <rFont val="Georgia"/>
        <family val="1"/>
      </rPr>
      <t>GEAR</t>
    </r>
  </si>
  <si>
    <r>
      <rPr>
        <sz val="11"/>
        <rFont val="Georgia"/>
        <family val="1"/>
      </rPr>
      <t>2BH-UA08J</t>
    </r>
  </si>
  <si>
    <r>
      <rPr>
        <sz val="11"/>
        <rFont val="Georgia"/>
        <family val="1"/>
      </rPr>
      <t>GYGNUS X SR</t>
    </r>
  </si>
  <si>
    <r>
      <rPr>
        <sz val="11"/>
        <rFont val="Georgia"/>
        <family val="1"/>
      </rPr>
      <t>JOG</t>
    </r>
  </si>
  <si>
    <r>
      <rPr>
        <sz val="11"/>
        <rFont val="Georgia"/>
        <family val="1"/>
      </rPr>
      <t>2BH-AY01</t>
    </r>
  </si>
  <si>
    <r>
      <rPr>
        <sz val="11"/>
        <rFont val="Georgia"/>
        <family val="1"/>
      </rPr>
      <t>JOG 125</t>
    </r>
  </si>
  <si>
    <r>
      <rPr>
        <sz val="11"/>
        <rFont val="Georgia"/>
        <family val="1"/>
      </rPr>
      <t>8BJ-SEJ5J</t>
    </r>
  </si>
  <si>
    <r>
      <rPr>
        <sz val="11"/>
        <rFont val="Georgia"/>
        <family val="1"/>
      </rPr>
      <t>JOG DELUXE</t>
    </r>
  </si>
  <si>
    <r>
      <rPr>
        <sz val="11"/>
        <rFont val="Georgia"/>
        <family val="1"/>
      </rPr>
      <t>JOG DX</t>
    </r>
  </si>
  <si>
    <r>
      <rPr>
        <sz val="11"/>
        <rFont val="Georgia"/>
        <family val="1"/>
      </rPr>
      <t>M-10 ABS</t>
    </r>
  </si>
  <si>
    <r>
      <rPr>
        <sz val="11"/>
        <rFont val="Georgia"/>
        <family val="1"/>
      </rPr>
      <t>2BL-RN50J</t>
    </r>
  </si>
  <si>
    <r>
      <rPr>
        <sz val="11"/>
        <rFont val="Georgia"/>
        <family val="1"/>
      </rPr>
      <t>M7-03 ABS</t>
    </r>
  </si>
  <si>
    <r>
      <rPr>
        <sz val="11"/>
        <rFont val="Georgia"/>
        <family val="1"/>
      </rPr>
      <t>2BL-RH13J</t>
    </r>
  </si>
  <si>
    <r>
      <rPr>
        <sz val="11"/>
        <rFont val="Georgia"/>
        <family val="1"/>
      </rPr>
      <t>MAJESTY S</t>
    </r>
  </si>
  <si>
    <r>
      <rPr>
        <sz val="11"/>
        <rFont val="Georgia"/>
        <family val="1"/>
      </rPr>
      <t>2BK-SG52J</t>
    </r>
  </si>
  <si>
    <r>
      <rPr>
        <sz val="11"/>
        <rFont val="Georgia"/>
        <family val="1"/>
      </rPr>
      <t>MT-03</t>
    </r>
  </si>
  <si>
    <r>
      <rPr>
        <sz val="11"/>
        <rFont val="Georgia"/>
        <family val="1"/>
      </rPr>
      <t>MT-03 ABS</t>
    </r>
  </si>
  <si>
    <r>
      <rPr>
        <sz val="11"/>
        <rFont val="Georgia"/>
        <family val="1"/>
      </rPr>
      <t>8BL-RH21J</t>
    </r>
  </si>
  <si>
    <r>
      <rPr>
        <sz val="11"/>
        <rFont val="Georgia"/>
        <family val="1"/>
      </rPr>
      <t>MT-07</t>
    </r>
  </si>
  <si>
    <r>
      <rPr>
        <sz val="11"/>
        <rFont val="Georgia"/>
        <family val="1"/>
      </rPr>
      <t>2BL-RM19J</t>
    </r>
  </si>
  <si>
    <r>
      <rPr>
        <sz val="11"/>
        <rFont val="Georgia"/>
        <family val="1"/>
      </rPr>
      <t>MT-07 ABS</t>
    </r>
  </si>
  <si>
    <r>
      <rPr>
        <sz val="11"/>
        <rFont val="Georgia"/>
        <family val="1"/>
      </rPr>
      <t>8BL-RM33J</t>
    </r>
  </si>
  <si>
    <r>
      <rPr>
        <sz val="11"/>
        <rFont val="Georgia"/>
        <family val="1"/>
      </rPr>
      <t>MT-09</t>
    </r>
  </si>
  <si>
    <r>
      <rPr>
        <sz val="11"/>
        <rFont val="Georgia"/>
        <family val="1"/>
      </rPr>
      <t>2BL-RN52J</t>
    </r>
  </si>
  <si>
    <r>
      <rPr>
        <sz val="11"/>
        <rFont val="Georgia"/>
        <family val="1"/>
      </rPr>
      <t>MT-09 ABS</t>
    </r>
  </si>
  <si>
    <r>
      <rPr>
        <sz val="11"/>
        <rFont val="Georgia"/>
        <family val="1"/>
      </rPr>
      <t>8BL-RN69</t>
    </r>
  </si>
  <si>
    <r>
      <rPr>
        <sz val="11"/>
        <rFont val="Georgia"/>
        <family val="1"/>
      </rPr>
      <t>MT-09 SP AB</t>
    </r>
  </si>
  <si>
    <r>
      <rPr>
        <sz val="11"/>
        <rFont val="Georgia"/>
        <family val="1"/>
      </rPr>
      <t>8BL-RN87J</t>
    </r>
  </si>
  <si>
    <r>
      <rPr>
        <sz val="11"/>
        <rFont val="Georgia"/>
        <family val="1"/>
      </rPr>
      <t>MT-10 ABS</t>
    </r>
  </si>
  <si>
    <r>
      <rPr>
        <sz val="11"/>
        <rFont val="Georgia"/>
        <family val="1"/>
      </rPr>
      <t>8BL-RN78J</t>
    </r>
  </si>
  <si>
    <r>
      <rPr>
        <sz val="11"/>
        <rFont val="Georgia"/>
        <family val="1"/>
      </rPr>
      <t>MT-10 SP ABS</t>
    </r>
  </si>
  <si>
    <r>
      <rPr>
        <sz val="11"/>
        <rFont val="Georgia"/>
        <family val="1"/>
      </rPr>
      <t>MT-125 ABS</t>
    </r>
  </si>
  <si>
    <r>
      <rPr>
        <sz val="11"/>
        <rFont val="Georgia"/>
        <family val="1"/>
      </rPr>
      <t>8BJ-RE45J</t>
    </r>
  </si>
  <si>
    <r>
      <rPr>
        <sz val="11"/>
        <rFont val="Georgia"/>
        <family val="1"/>
      </rPr>
      <t>MT-25</t>
    </r>
  </si>
  <si>
    <r>
      <rPr>
        <sz val="11"/>
        <rFont val="Georgia"/>
        <family val="1"/>
      </rPr>
      <t>2BK-RG43J</t>
    </r>
  </si>
  <si>
    <r>
      <rPr>
        <sz val="11"/>
        <rFont val="Georgia"/>
        <family val="1"/>
      </rPr>
      <t>MT-25 ABS</t>
    </r>
  </si>
  <si>
    <r>
      <rPr>
        <sz val="11"/>
        <rFont val="Georgia"/>
        <family val="1"/>
      </rPr>
      <t>8BL-RG43J</t>
    </r>
  </si>
  <si>
    <r>
      <rPr>
        <sz val="11"/>
        <rFont val="Georgia"/>
        <family val="1"/>
      </rPr>
      <t>8BK-RG74J</t>
    </r>
  </si>
  <si>
    <r>
      <rPr>
        <sz val="11"/>
        <rFont val="Georgia"/>
        <family val="1"/>
      </rPr>
      <t>NIKEN</t>
    </r>
  </si>
  <si>
    <r>
      <rPr>
        <sz val="11"/>
        <rFont val="Georgia"/>
        <family val="1"/>
      </rPr>
      <t>2BL-RN5BJ</t>
    </r>
  </si>
  <si>
    <r>
      <rPr>
        <sz val="11"/>
        <rFont val="Georgia"/>
        <family val="1"/>
      </rPr>
      <t>NIKEN GT</t>
    </r>
  </si>
  <si>
    <r>
      <rPr>
        <sz val="11"/>
        <rFont val="Georgia"/>
        <family val="1"/>
      </rPr>
      <t>2BL-RN58J</t>
    </r>
  </si>
  <si>
    <r>
      <rPr>
        <sz val="11"/>
        <rFont val="Georgia"/>
        <family val="1"/>
      </rPr>
      <t>6MT/CVT</t>
    </r>
  </si>
  <si>
    <r>
      <rPr>
        <sz val="11"/>
        <rFont val="Georgia"/>
        <family val="1"/>
      </rPr>
      <t>NMAX</t>
    </r>
  </si>
  <si>
    <r>
      <rPr>
        <sz val="11"/>
        <rFont val="Georgia"/>
        <family val="1"/>
      </rPr>
      <t>8BJ-SEG6J</t>
    </r>
  </si>
  <si>
    <r>
      <rPr>
        <sz val="11"/>
        <rFont val="Georgia"/>
        <family val="1"/>
      </rPr>
      <t>NMAX ABS</t>
    </r>
  </si>
  <si>
    <r>
      <rPr>
        <sz val="11"/>
        <rFont val="Georgia"/>
        <family val="1"/>
      </rPr>
      <t>2BJ-SED6J</t>
    </r>
  </si>
  <si>
    <r>
      <rPr>
        <sz val="11"/>
        <rFont val="Georgia"/>
        <family val="1"/>
      </rPr>
      <t>2BK-SG42J</t>
    </r>
  </si>
  <si>
    <r>
      <rPr>
        <sz val="11"/>
        <rFont val="Georgia"/>
        <family val="1"/>
      </rPr>
      <t>NMAX155 ABS</t>
    </r>
  </si>
  <si>
    <r>
      <rPr>
        <sz val="11"/>
        <rFont val="Georgia"/>
        <family val="1"/>
      </rPr>
      <t>2BK-SG50J</t>
    </r>
  </si>
  <si>
    <r>
      <rPr>
        <sz val="11"/>
        <rFont val="Georgia"/>
        <family val="1"/>
      </rPr>
      <t>8BK-SG66J</t>
    </r>
  </si>
  <si>
    <r>
      <rPr>
        <sz val="11"/>
        <rFont val="Georgia"/>
        <family val="1"/>
      </rPr>
      <t>NMAX1555 ABS</t>
    </r>
  </si>
  <si>
    <r>
      <rPr>
        <sz val="11"/>
        <rFont val="Georgia"/>
        <family val="1"/>
      </rPr>
      <t>PW50</t>
    </r>
  </si>
  <si>
    <r>
      <rPr>
        <sz val="11"/>
        <rFont val="Georgia"/>
        <family val="1"/>
      </rPr>
      <t>2SAL</t>
    </r>
  </si>
  <si>
    <r>
      <rPr>
        <sz val="11"/>
        <rFont val="Georgia"/>
        <family val="1"/>
      </rPr>
      <t>S400 FINAL EDITION</t>
    </r>
  </si>
  <si>
    <r>
      <rPr>
        <sz val="11"/>
        <rFont val="Georgia"/>
        <family val="1"/>
      </rPr>
      <t>2BL-RH16J</t>
    </r>
  </si>
  <si>
    <r>
      <rPr>
        <sz val="11"/>
        <rFont val="Georgia"/>
        <family val="1"/>
      </rPr>
      <t>SCR950 ABS</t>
    </r>
  </si>
  <si>
    <r>
      <rPr>
        <sz val="11"/>
        <rFont val="Georgia"/>
        <family val="1"/>
      </rPr>
      <t>SEROW 250</t>
    </r>
  </si>
  <si>
    <r>
      <rPr>
        <sz val="11"/>
        <rFont val="Georgia"/>
        <family val="1"/>
      </rPr>
      <t>2BK-DG31J</t>
    </r>
  </si>
  <si>
    <r>
      <rPr>
        <sz val="11"/>
        <rFont val="Georgia"/>
        <family val="1"/>
      </rPr>
      <t>SEROW FINAL EDITION</t>
    </r>
  </si>
  <si>
    <r>
      <rPr>
        <sz val="11"/>
        <rFont val="Georgia"/>
        <family val="1"/>
      </rPr>
      <t>SEROW250</t>
    </r>
  </si>
  <si>
    <r>
      <rPr>
        <sz val="11"/>
        <rFont val="Georgia"/>
        <family val="1"/>
      </rPr>
      <t>SR400</t>
    </r>
  </si>
  <si>
    <r>
      <rPr>
        <sz val="11"/>
        <rFont val="Georgia"/>
        <family val="1"/>
      </rPr>
      <t>TENERE700</t>
    </r>
  </si>
  <si>
    <r>
      <rPr>
        <sz val="11"/>
        <rFont val="Georgia"/>
        <family val="1"/>
      </rPr>
      <t>2BL-DM09J</t>
    </r>
  </si>
  <si>
    <r>
      <rPr>
        <sz val="11"/>
        <rFont val="Georgia"/>
        <family val="1"/>
      </rPr>
      <t>6BL-DM13J</t>
    </r>
  </si>
  <si>
    <r>
      <rPr>
        <sz val="11"/>
        <rFont val="Georgia"/>
        <family val="1"/>
      </rPr>
      <t>8BL-DM13J</t>
    </r>
  </si>
  <si>
    <r>
      <rPr>
        <sz val="11"/>
        <rFont val="Georgia"/>
        <family val="1"/>
      </rPr>
      <t>TMAX 560 TECH MAX ABS</t>
    </r>
  </si>
  <si>
    <r>
      <rPr>
        <sz val="11"/>
        <rFont val="Georgia"/>
        <family val="1"/>
      </rPr>
      <t>8BL-SJ19J</t>
    </r>
  </si>
  <si>
    <r>
      <rPr>
        <sz val="11"/>
        <rFont val="Georgia"/>
        <family val="1"/>
      </rPr>
      <t>TMAX SX ABS</t>
    </r>
  </si>
  <si>
    <r>
      <rPr>
        <sz val="11"/>
        <rFont val="Georgia"/>
        <family val="1"/>
      </rPr>
      <t>2BL-SJ15J</t>
    </r>
  </si>
  <si>
    <r>
      <rPr>
        <sz val="11"/>
        <rFont val="Georgia"/>
        <family val="1"/>
      </rPr>
      <t>TMAX560 ABS</t>
    </r>
  </si>
  <si>
    <r>
      <rPr>
        <sz val="11"/>
        <rFont val="Georgia"/>
        <family val="1"/>
      </rPr>
      <t>TMAX560 TECH MAX ABS</t>
    </r>
  </si>
  <si>
    <r>
      <rPr>
        <sz val="11"/>
        <rFont val="Georgia"/>
        <family val="1"/>
      </rPr>
      <t>TMAX650 ABS</t>
    </r>
  </si>
  <si>
    <r>
      <rPr>
        <sz val="11"/>
        <rFont val="Georgia"/>
        <family val="1"/>
      </rPr>
      <t>TRACER 900 ABS</t>
    </r>
  </si>
  <si>
    <r>
      <rPr>
        <sz val="11"/>
        <rFont val="Georgia"/>
        <family val="1"/>
      </rPr>
      <t>2BL-RN51J</t>
    </r>
  </si>
  <si>
    <r>
      <rPr>
        <sz val="11"/>
        <rFont val="Georgia"/>
        <family val="1"/>
      </rPr>
      <t>TRACER GT ABS</t>
    </r>
  </si>
  <si>
    <r>
      <rPr>
        <sz val="11"/>
        <rFont val="Georgia"/>
        <family val="1"/>
      </rPr>
      <t>8BL-RN70J</t>
    </r>
  </si>
  <si>
    <r>
      <rPr>
        <sz val="11"/>
        <rFont val="Georgia"/>
        <family val="1"/>
      </rPr>
      <t>TRACER9 GT ABS</t>
    </r>
  </si>
  <si>
    <r>
      <rPr>
        <sz val="11"/>
        <rFont val="Georgia"/>
        <family val="1"/>
      </rPr>
      <t>TRACER9 GT+ ABS</t>
    </r>
  </si>
  <si>
    <r>
      <rPr>
        <sz val="11"/>
        <rFont val="Georgia"/>
        <family val="1"/>
      </rPr>
      <t>TRICITY 125</t>
    </r>
  </si>
  <si>
    <r>
      <rPr>
        <sz val="11"/>
        <rFont val="Georgia"/>
        <family val="1"/>
      </rPr>
      <t>8BJ-SEK1J</t>
    </r>
  </si>
  <si>
    <r>
      <rPr>
        <sz val="11"/>
        <rFont val="Georgia"/>
        <family val="1"/>
      </rPr>
      <t>2BJ-SEC1J</t>
    </r>
  </si>
  <si>
    <r>
      <rPr>
        <sz val="11"/>
        <rFont val="Georgia"/>
        <family val="1"/>
      </rPr>
      <t>TRICITY 125 ABS</t>
    </r>
  </si>
  <si>
    <r>
      <rPr>
        <sz val="11"/>
        <rFont val="Georgia"/>
        <family val="1"/>
      </rPr>
      <t>8BL-1JSEC</t>
    </r>
  </si>
  <si>
    <r>
      <rPr>
        <sz val="11"/>
        <rFont val="Georgia"/>
        <family val="1"/>
      </rPr>
      <t>TRICITY 155 ABS</t>
    </r>
  </si>
  <si>
    <r>
      <rPr>
        <sz val="11"/>
        <rFont val="Georgia"/>
        <family val="1"/>
      </rPr>
      <t>2BK-SG37J</t>
    </r>
  </si>
  <si>
    <r>
      <rPr>
        <sz val="11"/>
        <rFont val="Georgia"/>
        <family val="1"/>
      </rPr>
      <t>TRICITY155 ABS</t>
    </r>
  </si>
  <si>
    <r>
      <rPr>
        <sz val="11"/>
        <rFont val="Georgia"/>
        <family val="1"/>
      </rPr>
      <t>8BK-SG37J</t>
    </r>
  </si>
  <si>
    <r>
      <rPr>
        <sz val="11"/>
        <rFont val="Georgia"/>
        <family val="1"/>
      </rPr>
      <t>8BK-SG81J</t>
    </r>
  </si>
  <si>
    <r>
      <rPr>
        <sz val="11"/>
        <rFont val="Georgia"/>
        <family val="1"/>
      </rPr>
      <t>TRICITY 300 ABS</t>
    </r>
  </si>
  <si>
    <r>
      <rPr>
        <sz val="11"/>
        <rFont val="Georgia"/>
        <family val="1"/>
      </rPr>
      <t>2BL-SH15J</t>
    </r>
  </si>
  <si>
    <r>
      <rPr>
        <sz val="11"/>
        <rFont val="Georgia"/>
        <family val="1"/>
      </rPr>
      <t>TRICITY300 ABS</t>
    </r>
  </si>
  <si>
    <r>
      <rPr>
        <sz val="11"/>
        <rFont val="Georgia"/>
        <family val="1"/>
      </rPr>
      <t>8BL-SH21J</t>
    </r>
  </si>
  <si>
    <r>
      <rPr>
        <sz val="11"/>
        <rFont val="Georgia"/>
        <family val="1"/>
      </rPr>
      <t>TRICKER</t>
    </r>
  </si>
  <si>
    <r>
      <rPr>
        <sz val="11"/>
        <rFont val="Georgia"/>
        <family val="1"/>
      </rPr>
      <t>2BK-DG32J</t>
    </r>
  </si>
  <si>
    <r>
      <rPr>
        <sz val="11"/>
        <rFont val="Georgia"/>
        <family val="1"/>
      </rPr>
      <t>VINO</t>
    </r>
  </si>
  <si>
    <r>
      <rPr>
        <sz val="11"/>
        <rFont val="Georgia"/>
        <family val="1"/>
      </rPr>
      <t>2BH-AY02</t>
    </r>
  </si>
  <si>
    <r>
      <rPr>
        <sz val="11"/>
        <rFont val="Georgia"/>
        <family val="1"/>
      </rPr>
      <t>X FORCE ABS</t>
    </r>
  </si>
  <si>
    <r>
      <rPr>
        <sz val="11"/>
        <rFont val="Georgia"/>
        <family val="1"/>
      </rPr>
      <t>8BK-SG79J</t>
    </r>
  </si>
  <si>
    <r>
      <rPr>
        <sz val="11"/>
        <rFont val="Georgia"/>
        <family val="1"/>
      </rPr>
      <t>XMAX ABS</t>
    </r>
  </si>
  <si>
    <r>
      <rPr>
        <sz val="11"/>
        <rFont val="Georgia"/>
        <family val="1"/>
      </rPr>
      <t>8BK-SG70J</t>
    </r>
  </si>
  <si>
    <r>
      <rPr>
        <sz val="11"/>
        <rFont val="Georgia"/>
        <family val="1"/>
      </rPr>
      <t>XS700 ABS</t>
    </r>
  </si>
  <si>
    <r>
      <rPr>
        <sz val="11"/>
        <rFont val="Georgia"/>
        <family val="1"/>
      </rPr>
      <t>8BL-RM41J</t>
    </r>
  </si>
  <si>
    <r>
      <rPr>
        <sz val="11"/>
        <rFont val="Georgia"/>
        <family val="1"/>
      </rPr>
      <t>XSR125 ABS</t>
    </r>
  </si>
  <si>
    <r>
      <rPr>
        <sz val="11"/>
        <rFont val="Georgia"/>
        <family val="1"/>
      </rPr>
      <t>6BJ-RE46J</t>
    </r>
  </si>
  <si>
    <r>
      <rPr>
        <sz val="11"/>
        <rFont val="Georgia"/>
        <family val="1"/>
      </rPr>
      <t>XSR700 ABS</t>
    </r>
  </si>
  <si>
    <r>
      <rPr>
        <sz val="11"/>
        <rFont val="Georgia"/>
        <family val="1"/>
      </rPr>
      <t>2BL-RM22J</t>
    </r>
  </si>
  <si>
    <r>
      <rPr>
        <sz val="11"/>
        <rFont val="Georgia"/>
        <family val="1"/>
      </rPr>
      <t>XSR900 ABS</t>
    </r>
  </si>
  <si>
    <r>
      <rPr>
        <sz val="11"/>
        <rFont val="Georgia"/>
        <family val="1"/>
      </rPr>
      <t>2BL-RN56J</t>
    </r>
  </si>
  <si>
    <r>
      <rPr>
        <sz val="11"/>
        <rFont val="Georgia"/>
        <family val="1"/>
      </rPr>
      <t>8BL-RN80J</t>
    </r>
  </si>
  <si>
    <r>
      <rPr>
        <sz val="11"/>
        <rFont val="Georgia"/>
        <family val="1"/>
      </rPr>
      <t>XSR900 GP ABS</t>
    </r>
  </si>
  <si>
    <r>
      <rPr>
        <sz val="11"/>
        <rFont val="Georgia"/>
        <family val="1"/>
      </rPr>
      <t>8BL-RN96J</t>
    </r>
  </si>
  <si>
    <r>
      <rPr>
        <sz val="11"/>
        <rFont val="Georgia"/>
        <family val="1"/>
      </rPr>
      <t>YFF-R25</t>
    </r>
  </si>
  <si>
    <r>
      <rPr>
        <sz val="11"/>
        <rFont val="Georgia"/>
        <family val="1"/>
      </rPr>
      <t>YZ125</t>
    </r>
  </si>
  <si>
    <r>
      <rPr>
        <sz val="11"/>
        <rFont val="Georgia"/>
        <family val="1"/>
      </rPr>
      <t>B0V3</t>
    </r>
  </si>
  <si>
    <r>
      <rPr>
        <sz val="11"/>
        <rFont val="Georgia"/>
        <family val="1"/>
      </rPr>
      <t>B0V7</t>
    </r>
  </si>
  <si>
    <r>
      <rPr>
        <sz val="11"/>
        <rFont val="Georgia"/>
        <family val="1"/>
      </rPr>
      <t>YZ125X</t>
    </r>
  </si>
  <si>
    <r>
      <rPr>
        <sz val="11"/>
        <rFont val="Georgia"/>
        <family val="1"/>
      </rPr>
      <t>B1B3</t>
    </r>
  </si>
  <si>
    <r>
      <rPr>
        <sz val="11"/>
        <rFont val="Georgia"/>
        <family val="1"/>
      </rPr>
      <t>B1B4</t>
    </r>
  </si>
  <si>
    <r>
      <rPr>
        <sz val="11"/>
        <rFont val="Georgia"/>
        <family val="1"/>
      </rPr>
      <t>YZ250</t>
    </r>
  </si>
  <si>
    <r>
      <rPr>
        <sz val="11"/>
        <rFont val="Georgia"/>
        <family val="1"/>
      </rPr>
      <t>B0U3</t>
    </r>
  </si>
  <si>
    <r>
      <rPr>
        <sz val="11"/>
        <rFont val="Georgia"/>
        <family val="1"/>
      </rPr>
      <t>BRU7</t>
    </r>
  </si>
  <si>
    <r>
      <rPr>
        <sz val="11"/>
        <rFont val="Georgia"/>
        <family val="1"/>
      </rPr>
      <t>YZ250F</t>
    </r>
  </si>
  <si>
    <r>
      <rPr>
        <sz val="11"/>
        <rFont val="Georgia"/>
        <family val="1"/>
      </rPr>
      <t>B7B3</t>
    </r>
  </si>
  <si>
    <r>
      <rPr>
        <sz val="11"/>
        <rFont val="Georgia"/>
        <family val="1"/>
      </rPr>
      <t>B7B7</t>
    </r>
  </si>
  <si>
    <r>
      <rPr>
        <sz val="11"/>
        <rFont val="Georgia"/>
        <family val="1"/>
      </rPr>
      <t>YZ250FX</t>
    </r>
  </si>
  <si>
    <r>
      <rPr>
        <sz val="11"/>
        <rFont val="Georgia"/>
        <family val="1"/>
      </rPr>
      <t>B29R</t>
    </r>
  </si>
  <si>
    <r>
      <rPr>
        <sz val="11"/>
        <rFont val="Georgia"/>
        <family val="1"/>
      </rPr>
      <t>BAJ4</t>
    </r>
  </si>
  <si>
    <r>
      <rPr>
        <sz val="11"/>
        <rFont val="Georgia"/>
        <family val="1"/>
      </rPr>
      <t>YZ250X</t>
    </r>
  </si>
  <si>
    <r>
      <rPr>
        <sz val="11"/>
        <rFont val="Georgia"/>
        <family val="1"/>
      </rPr>
      <t>BF1F</t>
    </r>
  </si>
  <si>
    <r>
      <rPr>
        <sz val="11"/>
        <rFont val="Georgia"/>
        <family val="1"/>
      </rPr>
      <t>BF1J</t>
    </r>
  </si>
  <si>
    <r>
      <rPr>
        <sz val="11"/>
        <rFont val="Georgia"/>
        <family val="1"/>
      </rPr>
      <t>YZ450F</t>
    </r>
  </si>
  <si>
    <r>
      <rPr>
        <sz val="11"/>
        <rFont val="Georgia"/>
        <family val="1"/>
      </rPr>
      <t>BR97</t>
    </r>
  </si>
  <si>
    <r>
      <rPr>
        <sz val="11"/>
        <rFont val="Georgia"/>
        <family val="1"/>
      </rPr>
      <t>B2W3</t>
    </r>
  </si>
  <si>
    <r>
      <rPr>
        <sz val="11"/>
        <rFont val="Georgia"/>
        <family val="1"/>
      </rPr>
      <t>YZ450FX</t>
    </r>
  </si>
  <si>
    <r>
      <rPr>
        <sz val="11"/>
        <rFont val="Georgia"/>
        <family val="1"/>
      </rPr>
      <t>B3J4</t>
    </r>
  </si>
  <si>
    <r>
      <rPr>
        <sz val="11"/>
        <rFont val="Georgia"/>
        <family val="1"/>
      </rPr>
      <t>B3J8</t>
    </r>
  </si>
  <si>
    <r>
      <rPr>
        <sz val="11"/>
        <rFont val="Georgia"/>
        <family val="1"/>
      </rPr>
      <t>YZ65</t>
    </r>
  </si>
  <si>
    <r>
      <rPr>
        <sz val="11"/>
        <rFont val="Georgia"/>
        <family val="1"/>
      </rPr>
      <t>BR87</t>
    </r>
  </si>
  <si>
    <r>
      <rPr>
        <sz val="11"/>
        <rFont val="Georgia"/>
        <family val="1"/>
      </rPr>
      <t>YZ85</t>
    </r>
  </si>
  <si>
    <r>
      <rPr>
        <sz val="11"/>
        <rFont val="Georgia"/>
        <family val="1"/>
      </rPr>
      <t>BR83</t>
    </r>
  </si>
  <si>
    <r>
      <rPr>
        <sz val="11"/>
        <rFont val="Georgia"/>
        <family val="1"/>
      </rPr>
      <t>B4B3</t>
    </r>
  </si>
  <si>
    <r>
      <rPr>
        <sz val="11"/>
        <rFont val="Georgia"/>
        <family val="1"/>
      </rPr>
      <t>B4B6</t>
    </r>
  </si>
  <si>
    <r>
      <rPr>
        <sz val="11"/>
        <rFont val="Georgia"/>
        <family val="1"/>
      </rPr>
      <t>YZ85L W</t>
    </r>
  </si>
  <si>
    <r>
      <rPr>
        <sz val="11"/>
        <rFont val="Georgia"/>
        <family val="1"/>
      </rPr>
      <t>B0G6</t>
    </r>
  </si>
  <si>
    <r>
      <rPr>
        <sz val="11"/>
        <rFont val="Georgia"/>
        <family val="1"/>
      </rPr>
      <t>YZ85LW</t>
    </r>
  </si>
  <si>
    <r>
      <rPr>
        <sz val="11"/>
        <rFont val="Georgia"/>
        <family val="1"/>
      </rPr>
      <t>B0G3</t>
    </r>
  </si>
  <si>
    <r>
      <rPr>
        <sz val="11"/>
        <rFont val="Georgia"/>
        <family val="1"/>
      </rPr>
      <t>YZF ABS</t>
    </r>
  </si>
  <si>
    <r>
      <rPr>
        <sz val="11"/>
        <rFont val="Georgia"/>
        <family val="1"/>
      </rPr>
      <t>YZF-R1 ABS</t>
    </r>
  </si>
  <si>
    <r>
      <rPr>
        <sz val="11"/>
        <rFont val="Georgia"/>
        <family val="1"/>
      </rPr>
      <t>2BL-RN65J</t>
    </r>
  </si>
  <si>
    <r>
      <rPr>
        <sz val="11"/>
        <rFont val="Georgia"/>
        <family val="1"/>
      </rPr>
      <t>8BL-RN65J</t>
    </r>
  </si>
  <si>
    <r>
      <rPr>
        <sz val="11"/>
        <rFont val="Georgia"/>
        <family val="1"/>
      </rPr>
      <t>YZF-R125 ABS</t>
    </r>
  </si>
  <si>
    <r>
      <rPr>
        <sz val="11"/>
        <rFont val="Georgia"/>
        <family val="1"/>
      </rPr>
      <t>8BL-RE45J</t>
    </r>
  </si>
  <si>
    <r>
      <rPr>
        <sz val="11"/>
        <rFont val="Georgia"/>
        <family val="1"/>
      </rPr>
      <t>YZF-R15 ABS</t>
    </r>
  </si>
  <si>
    <r>
      <rPr>
        <sz val="11"/>
        <rFont val="Georgia"/>
        <family val="1"/>
      </rPr>
      <t>8BK-RG86J</t>
    </r>
  </si>
  <si>
    <r>
      <rPr>
        <sz val="11"/>
        <rFont val="Georgia"/>
        <family val="1"/>
      </rPr>
      <t>YZF-R1M</t>
    </r>
  </si>
  <si>
    <r>
      <rPr>
        <sz val="11"/>
        <rFont val="Georgia"/>
        <family val="1"/>
      </rPr>
      <t>YZF-R1M ABS</t>
    </r>
  </si>
  <si>
    <r>
      <rPr>
        <sz val="11"/>
        <rFont val="Georgia"/>
        <family val="1"/>
      </rPr>
      <t>YZF-R25</t>
    </r>
  </si>
  <si>
    <r>
      <rPr>
        <sz val="11"/>
        <rFont val="Georgia"/>
        <family val="1"/>
      </rPr>
      <t>YZF-R25 ABS</t>
    </r>
  </si>
  <si>
    <r>
      <rPr>
        <sz val="11"/>
        <rFont val="Georgia"/>
        <family val="1"/>
      </rPr>
      <t>YZF-R3 ABS</t>
    </r>
  </si>
  <si>
    <r>
      <rPr>
        <sz val="11"/>
        <rFont val="Georgia"/>
        <family val="1"/>
      </rPr>
      <t>YZF-R7 ABS</t>
    </r>
  </si>
  <si>
    <r>
      <rPr>
        <sz val="11"/>
        <rFont val="Georgia"/>
        <family val="1"/>
      </rPr>
      <t>8BL-RM39J</t>
    </r>
  </si>
  <si>
    <r>
      <rPr>
        <sz val="11"/>
        <rFont val="Georgia"/>
        <family val="1"/>
      </rPr>
      <t>YZF-RF1 ABS</t>
    </r>
  </si>
  <si>
    <r>
      <rPr>
        <b/>
        <sz val="11"/>
        <color rgb="FFFF0000"/>
        <rFont val="Georgia"/>
        <family val="1"/>
      </rPr>
      <t>MODEL                                                                                                                              HORSEPOWER/CC/KW</t>
    </r>
  </si>
  <si>
    <r>
      <rPr>
        <b/>
        <sz val="11"/>
        <color rgb="FFFF0000"/>
        <rFont val="Georgia"/>
        <family val="1"/>
      </rPr>
      <t>MASSEY FERGUSON</t>
    </r>
  </si>
  <si>
    <r>
      <rPr>
        <b/>
        <sz val="11"/>
        <color rgb="FFFF0000"/>
        <rFont val="Georgia"/>
        <family val="1"/>
      </rPr>
      <t>KSHS</t>
    </r>
  </si>
  <si>
    <r>
      <rPr>
        <sz val="11"/>
        <rFont val="Georgia"/>
        <family val="1"/>
      </rPr>
      <t>MF-385-2WD</t>
    </r>
  </si>
  <si>
    <r>
      <rPr>
        <sz val="11"/>
        <rFont val="Georgia"/>
        <family val="1"/>
      </rPr>
      <t>MF-385-4WD</t>
    </r>
  </si>
  <si>
    <r>
      <rPr>
        <sz val="11"/>
        <rFont val="Georgia"/>
        <family val="1"/>
      </rPr>
      <t>MF-415-2WD</t>
    </r>
  </si>
  <si>
    <r>
      <rPr>
        <sz val="11"/>
        <rFont val="Georgia"/>
        <family val="1"/>
      </rPr>
      <t>MF-425-2WD BASE SPEC</t>
    </r>
  </si>
  <si>
    <r>
      <rPr>
        <sz val="11"/>
        <rFont val="Georgia"/>
        <family val="1"/>
      </rPr>
      <t>MF-435-2WD</t>
    </r>
  </si>
  <si>
    <r>
      <rPr>
        <sz val="11"/>
        <rFont val="Georgia"/>
        <family val="1"/>
      </rPr>
      <t>MF-435N-4WD NG</t>
    </r>
  </si>
  <si>
    <r>
      <rPr>
        <sz val="11"/>
        <rFont val="Georgia"/>
        <family val="1"/>
      </rPr>
      <t>MF-440-2WD</t>
    </r>
  </si>
  <si>
    <r>
      <rPr>
        <sz val="11"/>
        <rFont val="Georgia"/>
        <family val="1"/>
      </rPr>
      <t>MF-440-4WD</t>
    </r>
  </si>
  <si>
    <r>
      <rPr>
        <sz val="11"/>
        <rFont val="Georgia"/>
        <family val="1"/>
      </rPr>
      <t>MF-455-4WD</t>
    </r>
  </si>
  <si>
    <r>
      <rPr>
        <sz val="11"/>
        <rFont val="Georgia"/>
        <family val="1"/>
      </rPr>
      <t>MF-470-4WD</t>
    </r>
  </si>
  <si>
    <r>
      <rPr>
        <sz val="11"/>
        <rFont val="Georgia"/>
        <family val="1"/>
      </rPr>
      <t>MF-480-4WD</t>
    </r>
  </si>
  <si>
    <r>
      <rPr>
        <sz val="11"/>
        <rFont val="Georgia"/>
        <family val="1"/>
      </rPr>
      <t>MF-680-4WD(PLATFORM)</t>
    </r>
  </si>
  <si>
    <r>
      <rPr>
        <sz val="11"/>
        <rFont val="Georgia"/>
        <family val="1"/>
      </rPr>
      <t>MF-680-4WD(CAB)</t>
    </r>
  </si>
  <si>
    <r>
      <rPr>
        <sz val="11"/>
        <rFont val="Georgia"/>
        <family val="1"/>
      </rPr>
      <t>MF-5360-4WD</t>
    </r>
  </si>
  <si>
    <r>
      <rPr>
        <sz val="11"/>
        <rFont val="Georgia"/>
        <family val="1"/>
      </rPr>
      <t>MF-5365-4WD</t>
    </r>
  </si>
  <si>
    <r>
      <rPr>
        <sz val="11"/>
        <rFont val="Georgia"/>
        <family val="1"/>
      </rPr>
      <t>MF-7170-4WD(PLATFORM)</t>
    </r>
  </si>
  <si>
    <r>
      <rPr>
        <sz val="11"/>
        <rFont val="Georgia"/>
        <family val="1"/>
      </rPr>
      <t>MF-7170-4WD(CAB)</t>
    </r>
  </si>
  <si>
    <r>
      <rPr>
        <b/>
        <sz val="11"/>
        <color rgb="FFFF0000"/>
        <rFont val="Georgia"/>
        <family val="1"/>
      </rPr>
      <t>VOLVO CE EQUIPMENTS</t>
    </r>
  </si>
  <si>
    <r>
      <rPr>
        <sz val="11"/>
        <color rgb="FFFF0000"/>
        <rFont val="Georgia"/>
        <family val="1"/>
      </rPr>
      <t>KSHS</t>
    </r>
  </si>
  <si>
    <r>
      <rPr>
        <sz val="11"/>
        <rFont val="Georgia"/>
        <family val="1"/>
      </rPr>
      <t>BACKHOE LOADER(BL61B)</t>
    </r>
  </si>
  <si>
    <r>
      <rPr>
        <sz val="11"/>
        <rFont val="Georgia"/>
        <family val="1"/>
      </rPr>
      <t>BACKHOE LOADER(BL71)</t>
    </r>
  </si>
  <si>
    <r>
      <rPr>
        <sz val="11"/>
        <rFont val="Georgia"/>
        <family val="1"/>
      </rPr>
      <t>WHEEL LOADER(L120F)</t>
    </r>
  </si>
  <si>
    <r>
      <rPr>
        <sz val="11"/>
        <rFont val="Georgia"/>
        <family val="1"/>
      </rPr>
      <t>EXCAVATOR (EC210BLC)</t>
    </r>
  </si>
  <si>
    <r>
      <rPr>
        <sz val="11"/>
        <rFont val="Georgia"/>
        <family val="1"/>
      </rPr>
      <t>EXCAVATOR (EC290BLC)</t>
    </r>
  </si>
  <si>
    <r>
      <rPr>
        <b/>
        <sz val="11"/>
        <color rgb="FFFF0000"/>
        <rFont val="Georgia"/>
        <family val="1"/>
      </rPr>
      <t>LIEBHERR</t>
    </r>
  </si>
  <si>
    <r>
      <rPr>
        <sz val="11"/>
        <rFont val="Georgia"/>
        <family val="1"/>
      </rPr>
      <t>WHEEL LOADER L538 2.5M3</t>
    </r>
  </si>
  <si>
    <r>
      <rPr>
        <sz val="11"/>
        <rFont val="Georgia"/>
        <family val="1"/>
      </rPr>
      <t>WHEEL LOADER L544 3.0M3</t>
    </r>
  </si>
  <si>
    <r>
      <rPr>
        <sz val="11"/>
        <rFont val="Georgia"/>
        <family val="1"/>
      </rPr>
      <t>WHEEL LOADER L550 3.20M3</t>
    </r>
  </si>
  <si>
    <r>
      <rPr>
        <sz val="11"/>
        <rFont val="Georgia"/>
        <family val="1"/>
      </rPr>
      <t>EXCAVATOR R934 1.95M3</t>
    </r>
  </si>
  <si>
    <r>
      <rPr>
        <sz val="11"/>
        <rFont val="Georgia"/>
        <family val="1"/>
      </rPr>
      <t>EXCAVATOR R944 2.50M3</t>
    </r>
  </si>
  <si>
    <r>
      <rPr>
        <sz val="11"/>
        <rFont val="Georgia"/>
        <family val="1"/>
      </rPr>
      <t>DOZER PR732(used)</t>
    </r>
  </si>
  <si>
    <r>
      <rPr>
        <sz val="11"/>
        <rFont val="Georgia"/>
        <family val="1"/>
      </rPr>
      <t>DOZER PR742(used)</t>
    </r>
  </si>
  <si>
    <r>
      <rPr>
        <sz val="11"/>
        <rFont val="Georgia"/>
        <family val="1"/>
      </rPr>
      <t>DOZER PR734 5.56M3</t>
    </r>
  </si>
  <si>
    <r>
      <rPr>
        <sz val="11"/>
        <rFont val="Georgia"/>
        <family val="1"/>
      </rPr>
      <t>DOZER PR744 7.2M3</t>
    </r>
  </si>
  <si>
    <r>
      <rPr>
        <sz val="11"/>
        <rFont val="Georgia"/>
        <family val="1"/>
      </rPr>
      <t>HAMMER/BREAKER  GT30703</t>
    </r>
  </si>
  <si>
    <r>
      <rPr>
        <sz val="11"/>
        <rFont val="Georgia"/>
        <family val="1"/>
      </rPr>
      <t>HAMMER/BREAKER  GT06058</t>
    </r>
  </si>
  <si>
    <r>
      <rPr>
        <sz val="11"/>
        <rFont val="Georgia"/>
        <family val="1"/>
      </rPr>
      <t>HAMMER/BREAKER  GT800704</t>
    </r>
  </si>
  <si>
    <r>
      <rPr>
        <sz val="11"/>
        <rFont val="Georgia"/>
        <family val="1"/>
      </rPr>
      <t>HAMMER/BREAKER  GT160030</t>
    </r>
  </si>
  <si>
    <r>
      <rPr>
        <b/>
        <sz val="11"/>
        <color rgb="FFFF0000"/>
        <rFont val="Georgia"/>
        <family val="1"/>
      </rPr>
      <t>CASE/NEW HOLLAND</t>
    </r>
  </si>
  <si>
    <r>
      <rPr>
        <sz val="11"/>
        <rFont val="Georgia"/>
        <family val="1"/>
      </rPr>
      <t>NH TT 55 2WD</t>
    </r>
  </si>
  <si>
    <r>
      <rPr>
        <sz val="11"/>
        <rFont val="Georgia"/>
        <family val="1"/>
      </rPr>
      <t>NH TT 65 2WD</t>
    </r>
  </si>
  <si>
    <r>
      <rPr>
        <sz val="11"/>
        <rFont val="Georgia"/>
        <family val="1"/>
      </rPr>
      <t>NH TT 75 4WD</t>
    </r>
  </si>
  <si>
    <r>
      <rPr>
        <sz val="11"/>
        <rFont val="Georgia"/>
        <family val="1"/>
      </rPr>
      <t>NH TD 80 2WD</t>
    </r>
  </si>
  <si>
    <r>
      <rPr>
        <sz val="11"/>
        <rFont val="Georgia"/>
        <family val="1"/>
      </rPr>
      <t>NH TD 80 4WD</t>
    </r>
  </si>
  <si>
    <r>
      <rPr>
        <sz val="11"/>
        <rFont val="Georgia"/>
        <family val="1"/>
      </rPr>
      <t>NH TS 6000 2WD</t>
    </r>
  </si>
  <si>
    <r>
      <rPr>
        <sz val="11"/>
        <rFont val="Georgia"/>
        <family val="1"/>
      </rPr>
      <t>NH TS 6000 4WD</t>
    </r>
  </si>
  <si>
    <r>
      <rPr>
        <sz val="11"/>
        <rFont val="Georgia"/>
        <family val="1"/>
      </rPr>
      <t>NH TS 6040 4WD</t>
    </r>
  </si>
  <si>
    <r>
      <rPr>
        <sz val="11"/>
        <rFont val="Georgia"/>
        <family val="1"/>
      </rPr>
      <t>NH 3030 2WD</t>
    </r>
  </si>
  <si>
    <r>
      <rPr>
        <sz val="11"/>
        <rFont val="Georgia"/>
        <family val="1"/>
      </rPr>
      <t>NH 3600 2WD</t>
    </r>
  </si>
  <si>
    <r>
      <rPr>
        <sz val="11"/>
        <rFont val="Georgia"/>
        <family val="1"/>
      </rPr>
      <t>CASE JX 60E 4WD</t>
    </r>
  </si>
  <si>
    <r>
      <rPr>
        <sz val="11"/>
        <rFont val="Georgia"/>
        <family val="1"/>
      </rPr>
      <t>CASE JX 80E 4WD</t>
    </r>
  </si>
  <si>
    <r>
      <rPr>
        <sz val="11"/>
        <rFont val="Georgia"/>
        <family val="1"/>
      </rPr>
      <t>CASE JX 95A 4WD</t>
    </r>
  </si>
  <si>
    <r>
      <rPr>
        <sz val="11"/>
        <rFont val="Georgia"/>
        <family val="1"/>
      </rPr>
      <t>NH TK 95 A4 4WD</t>
    </r>
  </si>
  <si>
    <r>
      <rPr>
        <sz val="11"/>
        <rFont val="Georgia"/>
        <family val="1"/>
      </rPr>
      <t>COMBINE HARVESTER TC 5040 4WD</t>
    </r>
  </si>
  <si>
    <r>
      <rPr>
        <sz val="11"/>
        <rFont val="Georgia"/>
        <family val="1"/>
      </rPr>
      <t>TMO WINCH GI 33T 4WD</t>
    </r>
  </si>
  <si>
    <r>
      <rPr>
        <b/>
        <sz val="11"/>
        <color rgb="FFFF0000"/>
        <rFont val="Georgia"/>
        <family val="1"/>
      </rPr>
      <t>BOBCAT</t>
    </r>
  </si>
  <si>
    <r>
      <rPr>
        <sz val="11"/>
        <rFont val="Georgia"/>
        <family val="1"/>
      </rPr>
      <t>S130</t>
    </r>
  </si>
  <si>
    <r>
      <rPr>
        <sz val="11"/>
        <rFont val="Georgia"/>
        <family val="1"/>
      </rPr>
      <t>S135</t>
    </r>
  </si>
  <si>
    <r>
      <rPr>
        <sz val="11"/>
        <rFont val="Georgia"/>
        <family val="1"/>
      </rPr>
      <t>S220</t>
    </r>
  </si>
  <si>
    <r>
      <rPr>
        <sz val="11"/>
        <rFont val="Georgia"/>
        <family val="1"/>
      </rPr>
      <t>UTILITY VEHICLE 2200D</t>
    </r>
  </si>
  <si>
    <r>
      <rPr>
        <sz val="11"/>
        <rFont val="Georgia"/>
        <family val="1"/>
      </rPr>
      <t>GOLF CAR(IR electric)</t>
    </r>
  </si>
  <si>
    <r>
      <rPr>
        <b/>
        <sz val="11"/>
        <color rgb="FFFF0000"/>
        <rFont val="Georgia"/>
        <family val="1"/>
      </rPr>
      <t>CAT</t>
    </r>
  </si>
  <si>
    <r>
      <rPr>
        <sz val="11"/>
        <rFont val="Georgia"/>
        <family val="1"/>
      </rPr>
      <t>CAT EXCAVATOR 320L</t>
    </r>
  </si>
  <si>
    <r>
      <rPr>
        <sz val="11"/>
        <rFont val="Georgia"/>
        <family val="1"/>
      </rPr>
      <t>CAT 320DL</t>
    </r>
  </si>
  <si>
    <r>
      <rPr>
        <sz val="11"/>
        <rFont val="Georgia"/>
        <family val="1"/>
      </rPr>
      <t>BACKHOE LOADER 428E</t>
    </r>
  </si>
  <si>
    <r>
      <rPr>
        <b/>
        <sz val="11"/>
        <color rgb="FFFF0000"/>
        <rFont val="Georgia"/>
        <family val="1"/>
      </rPr>
      <t>JCB</t>
    </r>
  </si>
  <si>
    <r>
      <rPr>
        <sz val="11"/>
        <rFont val="Georgia"/>
        <family val="1"/>
      </rPr>
      <t>BACKHOE LOADER 3CX</t>
    </r>
  </si>
  <si>
    <r>
      <rPr>
        <sz val="11"/>
        <rFont val="Georgia"/>
        <family val="1"/>
      </rPr>
      <t>BACKHOE LOADER 3DX</t>
    </r>
  </si>
  <si>
    <r>
      <rPr>
        <b/>
        <sz val="11"/>
        <color rgb="FFFF0000"/>
        <rFont val="Georgia"/>
        <family val="1"/>
      </rPr>
      <t>DYNAPAC</t>
    </r>
  </si>
  <si>
    <r>
      <rPr>
        <sz val="11"/>
        <rFont val="Georgia"/>
        <family val="1"/>
      </rPr>
      <t>SINGLE DRUM ROLLER CA551D</t>
    </r>
  </si>
  <si>
    <r>
      <rPr>
        <b/>
        <sz val="11"/>
        <color rgb="FFFF0000"/>
        <rFont val="Georgia"/>
        <family val="1"/>
      </rPr>
      <t>JOHN DEERE</t>
    </r>
  </si>
  <si>
    <r>
      <rPr>
        <sz val="11"/>
        <rFont val="Georgia"/>
        <family val="1"/>
      </rPr>
      <t>5038D - OPEN OPERATOR STATION + CANOPY</t>
    </r>
  </si>
  <si>
    <r>
      <rPr>
        <sz val="11"/>
        <rFont val="Georgia"/>
        <family val="1"/>
      </rPr>
      <t>5303 - OPEN OPERATOR STATION + CANOPY</t>
    </r>
  </si>
  <si>
    <r>
      <rPr>
        <sz val="11"/>
        <rFont val="Georgia"/>
        <family val="1"/>
      </rPr>
      <t>5403 - OPEN OPERATOR STATION + CANOPY 2WD</t>
    </r>
  </si>
  <si>
    <r>
      <rPr>
        <sz val="11"/>
        <rFont val="Georgia"/>
        <family val="1"/>
      </rPr>
      <t>5403 - OPEN OPERATOR STATION + CANOPY 4WD</t>
    </r>
  </si>
  <si>
    <r>
      <rPr>
        <sz val="11"/>
        <rFont val="Georgia"/>
        <family val="1"/>
      </rPr>
      <t>5503 - OPEN OPERATOR STATION + CANOPY 2WD</t>
    </r>
  </si>
  <si>
    <r>
      <rPr>
        <sz val="11"/>
        <rFont val="Georgia"/>
        <family val="1"/>
      </rPr>
      <t>5503 - OPEN OPERATOR STATION + CANOPY 4WD</t>
    </r>
  </si>
  <si>
    <r>
      <rPr>
        <sz val="11"/>
        <rFont val="Georgia"/>
        <family val="1"/>
      </rPr>
      <t>5725 - OPEN OPERATOR STATION + CANOPY 2WD</t>
    </r>
  </si>
  <si>
    <r>
      <rPr>
        <sz val="11"/>
        <rFont val="Georgia"/>
        <family val="1"/>
      </rPr>
      <t>5725 - OPEN OPERATOR STATION + CANOPY 4WD</t>
    </r>
  </si>
  <si>
    <r>
      <rPr>
        <sz val="11"/>
        <rFont val="Georgia"/>
        <family val="1"/>
      </rPr>
      <t>5725 - OPEN OPERATOR STATION + CANOPY - SUGAR</t>
    </r>
  </si>
  <si>
    <r>
      <rPr>
        <sz val="11"/>
        <rFont val="Georgia"/>
        <family val="1"/>
      </rPr>
      <t>5725 WITH CAB 2WD</t>
    </r>
  </si>
  <si>
    <r>
      <rPr>
        <sz val="11"/>
        <rFont val="Georgia"/>
        <family val="1"/>
      </rPr>
      <t>5725 WITH CAB 4WD</t>
    </r>
  </si>
  <si>
    <r>
      <rPr>
        <sz val="11"/>
        <rFont val="Georgia"/>
        <family val="1"/>
      </rPr>
      <t>5725 HIGH CLEARANCE/ROW CROP + CANOPY 4WD</t>
    </r>
  </si>
  <si>
    <r>
      <rPr>
        <sz val="11"/>
        <rFont val="Georgia"/>
        <family val="1"/>
      </rPr>
      <t>5725 HIGH CLEARANCE/ROW CROP + CAB 4WD</t>
    </r>
  </si>
  <si>
    <r>
      <rPr>
        <sz val="11"/>
        <rFont val="Georgia"/>
        <family val="1"/>
      </rPr>
      <t xml:space="preserve">5083N OPEN OPERATOR STATION + ROPS - NARROW
</t>
    </r>
    <r>
      <rPr>
        <sz val="11"/>
        <rFont val="Georgia"/>
        <family val="1"/>
      </rPr>
      <t>GAUGE 2WD</t>
    </r>
  </si>
  <si>
    <r>
      <rPr>
        <sz val="11"/>
        <rFont val="Georgia"/>
        <family val="1"/>
      </rPr>
      <t xml:space="preserve">5083N OPEN OPERATOR STATION + ROPS - NARROW
</t>
    </r>
    <r>
      <rPr>
        <sz val="11"/>
        <rFont val="Georgia"/>
        <family val="1"/>
      </rPr>
      <t>GAUGE 4WD</t>
    </r>
  </si>
  <si>
    <r>
      <rPr>
        <sz val="11"/>
        <rFont val="Georgia"/>
        <family val="1"/>
      </rPr>
      <t>5083N WITH CAB - NARROW GAUGE 2WD</t>
    </r>
  </si>
  <si>
    <r>
      <rPr>
        <sz val="11"/>
        <rFont val="Georgia"/>
        <family val="1"/>
      </rPr>
      <t>5083N WITH CAB - NARROW GAUGE 4WD</t>
    </r>
  </si>
  <si>
    <r>
      <rPr>
        <sz val="11"/>
        <rFont val="Georgia"/>
        <family val="1"/>
      </rPr>
      <t>6100D OPEN OPERATOR STATION + CANOPY 2WD</t>
    </r>
  </si>
  <si>
    <r>
      <rPr>
        <sz val="11"/>
        <rFont val="Georgia"/>
        <family val="1"/>
      </rPr>
      <t>6100D OPEN OPERATOR STATION + CANOPY 4WD</t>
    </r>
  </si>
  <si>
    <r>
      <rPr>
        <sz val="11"/>
        <rFont val="Georgia"/>
        <family val="1"/>
      </rPr>
      <t>6100D OPEN OPERATOR STATION + CANOPY  - SUGAR 2WD</t>
    </r>
  </si>
  <si>
    <r>
      <rPr>
        <sz val="11"/>
        <rFont val="Georgia"/>
        <family val="1"/>
      </rPr>
      <t>6100D WITH CAB 4WD</t>
    </r>
  </si>
  <si>
    <r>
      <rPr>
        <sz val="11"/>
        <rFont val="Georgia"/>
        <family val="1"/>
      </rPr>
      <t>6110D WITH CAB 4WD</t>
    </r>
  </si>
  <si>
    <r>
      <rPr>
        <sz val="11"/>
        <rFont val="Georgia"/>
        <family val="1"/>
      </rPr>
      <t>6110E OPEN OPERATOR STATION + CANOPY - SUGAR 2WD</t>
    </r>
  </si>
  <si>
    <r>
      <rPr>
        <sz val="11"/>
        <rFont val="Georgia"/>
        <family val="1"/>
      </rPr>
      <t>6110J OPEN OPERATOR STATION + CANOPY 4WD</t>
    </r>
  </si>
  <si>
    <r>
      <rPr>
        <sz val="11"/>
        <rFont val="Georgia"/>
        <family val="1"/>
      </rPr>
      <t>6110J WITH CAB 4WD</t>
    </r>
  </si>
  <si>
    <r>
      <rPr>
        <sz val="11"/>
        <rFont val="Georgia"/>
        <family val="1"/>
      </rPr>
      <t>6125D OPEN OPERATOR STATION + CANOPY 4WD</t>
    </r>
  </si>
  <si>
    <r>
      <rPr>
        <sz val="11"/>
        <rFont val="Georgia"/>
        <family val="1"/>
      </rPr>
      <t>6125D WITH CAB 4WD</t>
    </r>
  </si>
  <si>
    <r>
      <rPr>
        <sz val="11"/>
        <rFont val="Georgia"/>
        <family val="1"/>
      </rPr>
      <t>6125E OPEN OPERATOR STATION + CANOPY 4WD</t>
    </r>
  </si>
  <si>
    <r>
      <rPr>
        <sz val="11"/>
        <rFont val="Georgia"/>
        <family val="1"/>
      </rPr>
      <t>6125J OPEN OPERATOR STATION + CANOPY 4WD</t>
    </r>
  </si>
  <si>
    <r>
      <rPr>
        <sz val="11"/>
        <rFont val="Georgia"/>
        <family val="1"/>
      </rPr>
      <t>6125J WITH CAB 4WD</t>
    </r>
  </si>
  <si>
    <r>
      <rPr>
        <sz val="11"/>
        <rFont val="Georgia"/>
        <family val="1"/>
      </rPr>
      <t>6130J OPEN OPERATOR STATION + CANOPY 4WD</t>
    </r>
  </si>
  <si>
    <r>
      <rPr>
        <sz val="11"/>
        <rFont val="Georgia"/>
        <family val="1"/>
      </rPr>
      <t>6130J WITH CAB 4WD</t>
    </r>
  </si>
  <si>
    <r>
      <rPr>
        <sz val="11"/>
        <rFont val="Georgia"/>
        <family val="1"/>
      </rPr>
      <t>6145J OPEN OPERATOR STATION + CANOPY 4WD</t>
    </r>
  </si>
  <si>
    <r>
      <rPr>
        <sz val="11"/>
        <rFont val="Georgia"/>
        <family val="1"/>
      </rPr>
      <t>6145J WITH CAB 4WD</t>
    </r>
  </si>
  <si>
    <r>
      <rPr>
        <sz val="11"/>
        <rFont val="Georgia"/>
        <family val="1"/>
      </rPr>
      <t>6165J OPEN OPERATOR STATION + CANOPY 4WD</t>
    </r>
  </si>
  <si>
    <r>
      <rPr>
        <sz val="11"/>
        <rFont val="Georgia"/>
        <family val="1"/>
      </rPr>
      <t>6165J WITH CAB SINGLE REAR TYRES 4WD</t>
    </r>
  </si>
  <si>
    <r>
      <rPr>
        <sz val="11"/>
        <rFont val="Georgia"/>
        <family val="1"/>
      </rPr>
      <t>6165J WITH CAB DOUBLE REAR TYRES 4WD</t>
    </r>
  </si>
  <si>
    <r>
      <rPr>
        <sz val="11"/>
        <rFont val="Georgia"/>
        <family val="1"/>
      </rPr>
      <t>6180J OPEN OPERATOR STATION + CANOPY 4WD</t>
    </r>
  </si>
  <si>
    <r>
      <rPr>
        <sz val="11"/>
        <rFont val="Georgia"/>
        <family val="1"/>
      </rPr>
      <t>6180J WITH CAB SINGLE REAR TYRES 4WD</t>
    </r>
  </si>
  <si>
    <r>
      <rPr>
        <sz val="11"/>
        <rFont val="Georgia"/>
        <family val="1"/>
      </rPr>
      <t>7210J WITH CAB SINGLE REAR TYRES 4WD</t>
    </r>
  </si>
  <si>
    <r>
      <rPr>
        <sz val="11"/>
        <rFont val="Georgia"/>
        <family val="1"/>
      </rPr>
      <t>7210J WITH CAB DOUBLE REAR TYRES 4WD</t>
    </r>
  </si>
  <si>
    <r>
      <rPr>
        <sz val="11"/>
        <rFont val="Georgia"/>
        <family val="1"/>
      </rPr>
      <t>7225J WITH CAB SINGLE REAR TYRES 4WD</t>
    </r>
  </si>
  <si>
    <r>
      <rPr>
        <sz val="11"/>
        <rFont val="Georgia"/>
        <family val="1"/>
      </rPr>
      <t>6180J WITH CAB DOUBLE REAR TYRES 4WD</t>
    </r>
  </si>
  <si>
    <r>
      <rPr>
        <sz val="11"/>
        <rFont val="Georgia"/>
        <family val="1"/>
      </rPr>
      <t>8230R WITH CAB 4WD</t>
    </r>
  </si>
  <si>
    <r>
      <rPr>
        <sz val="11"/>
        <rFont val="Georgia"/>
        <family val="1"/>
      </rPr>
      <t>8260R WITH CAB 4WD</t>
    </r>
  </si>
  <si>
    <r>
      <rPr>
        <sz val="11"/>
        <rFont val="Georgia"/>
        <family val="1"/>
      </rPr>
      <t>8335R WITH CAB 4WD</t>
    </r>
  </si>
  <si>
    <r>
      <rPr>
        <sz val="11"/>
        <rFont val="Georgia"/>
        <family val="1"/>
      </rPr>
      <t>CANE LOADER MODEL 1850 (exCAMECO) 4WD</t>
    </r>
  </si>
  <si>
    <r>
      <rPr>
        <sz val="11"/>
        <rFont val="Georgia"/>
        <family val="1"/>
      </rPr>
      <t>CANE LOADER MODEL 2254 (exCAMECO) 4WD</t>
    </r>
  </si>
  <si>
    <r>
      <rPr>
        <sz val="11"/>
        <rFont val="Georgia"/>
        <family val="1"/>
      </rPr>
      <t>3520W CANE HARVESTER 4WD</t>
    </r>
  </si>
  <si>
    <r>
      <rPr>
        <sz val="11"/>
        <rFont val="Georgia"/>
        <family val="1"/>
      </rPr>
      <t>S550 COMBINE HARVESTER 4WD</t>
    </r>
  </si>
  <si>
    <t>DIRECT IMPORTS TO KENYA</t>
  </si>
  <si>
    <t>PREVIOUSLY REGISTERED IN KENYA</t>
  </si>
  <si>
    <t>DEPRECIATION FOR DIRECT IMPORTS</t>
  </si>
  <si>
    <t>Depreciation for previously Registered Motor Vehicle</t>
  </si>
  <si>
    <t>0 - 6 months</t>
  </si>
  <si>
    <t>1 years</t>
  </si>
  <si>
    <t>Over 6 months</t>
  </si>
  <si>
    <t>2 years</t>
  </si>
  <si>
    <t>&gt;1 &lt;=2 years</t>
  </si>
  <si>
    <t>3 years</t>
  </si>
  <si>
    <t>&gt;2 &lt;=3 years</t>
  </si>
  <si>
    <t>4 years</t>
  </si>
  <si>
    <t>&gt;3 &lt;=4years</t>
  </si>
  <si>
    <t>5 years</t>
  </si>
  <si>
    <t>&gt;4 &lt;=5 years</t>
  </si>
  <si>
    <t>6 years</t>
  </si>
  <si>
    <t>&gt;5 &lt;=6 years</t>
  </si>
  <si>
    <t>7 years</t>
  </si>
  <si>
    <t>&gt;6 &lt;=7 years</t>
  </si>
  <si>
    <t>8 years</t>
  </si>
  <si>
    <t>&gt;7 &lt;=8 years</t>
  </si>
  <si>
    <t>9 years</t>
  </si>
  <si>
    <t>10 years</t>
  </si>
  <si>
    <t>KEY</t>
  </si>
  <si>
    <t>11years</t>
  </si>
  <si>
    <t>&gt; - GREATER THAN</t>
  </si>
  <si>
    <t>12 years</t>
  </si>
  <si>
    <t>&lt;= - LESS OR EQUAL TO</t>
  </si>
  <si>
    <t>13 years</t>
  </si>
  <si>
    <t>14 years</t>
  </si>
  <si>
    <t>15 years</t>
  </si>
  <si>
    <t>over 15 years</t>
  </si>
  <si>
    <t xml:space="preserve">TABULATION FOR MVs WITH ENGINE CAPACITY NOT EXCEEDING 1500CC (INCLUDING S/CAB PICK UPS/LORRIES/BUSES) BUT  EXCLUDING SCHOOL BUSES FOR PUBLIC SCHOOLS - Direct Imports </t>
  </si>
  <si>
    <t>Dep counter</t>
  </si>
  <si>
    <t>TABULATION FOR MVs WITH ENGINE CAPACITY NOT EXCEEDING 1500CC (INCLUDING S/CAB PICK UPS/LORRIES/BUSES)  BUT EXCLUDING SCHOOL BUSES FOR PUBLIC SCHOOLS - Previously Registered</t>
  </si>
  <si>
    <t>GUIDELINE SUBJECT TO VERIFICATION</t>
  </si>
  <si>
    <t xml:space="preserve"> Current Year</t>
  </si>
  <si>
    <t>Current Year</t>
  </si>
  <si>
    <t>Current Retail Selling Price</t>
  </si>
  <si>
    <t>YOM</t>
  </si>
  <si>
    <t>Depreciation</t>
  </si>
  <si>
    <t>NO of Yrs</t>
  </si>
  <si>
    <t>Extra Depreciation</t>
  </si>
  <si>
    <t>Customs value</t>
  </si>
  <si>
    <t>Import Duty 35%</t>
  </si>
  <si>
    <t>Excise Value</t>
  </si>
  <si>
    <t>Excise Duty 20%</t>
  </si>
  <si>
    <t>VAT Value</t>
  </si>
  <si>
    <t>RDL</t>
  </si>
  <si>
    <t>Grand Total</t>
  </si>
  <si>
    <t>IDF Fees</t>
  </si>
  <si>
    <t xml:space="preserve">TABULATION FOR MVs (HS. 8702, 8703 AND 8704) WITH ENGINE RATING EXCEEDING 1500CC (INCLUDING S/CAB PICK UPS/LORRIES/BUSES)  AND EXCLUDING 8703.24.90 AND 8703.33.90 - Direct Imports </t>
  </si>
  <si>
    <t xml:space="preserve">TABULATION FOR MVs (HS. 8702, 8703 AND 8704) WITH ENGINE RATING EXCEEDING 1500CC (INCLUDING S/CAB PICK UPS/LORRIES/BUSES)  AND EXCLUDING 8703.24.90 AND 8703.33.90 - Previously Registered </t>
  </si>
  <si>
    <t>Excise Duty 25%</t>
  </si>
  <si>
    <t xml:space="preserve">TABULATION FOR MVs ( HS 8703.24.90 &amp; 8703.33.90) WITH ENGINE RATING EXCEEDING 3000CC FOR PETROL AND EXCEEDING 2500CC FOR DIESEL  - Direct Imports </t>
  </si>
  <si>
    <t>TABULATION FOR MVs ( HS 8703.24.90 &amp; 8703.33.90) WITH ENGINE RATING EXCEEDING 3000CC FOR PETROL AND EXCEEDING 2500CC FOR DIESEL  - Previously Registered</t>
  </si>
  <si>
    <t>Excise Duty 35%</t>
  </si>
  <si>
    <t>TABULATION FOR 100% ELECTRIC POWERED MOTOR VEHICLES FOR TRANSPORTATION OF PERSONS (HS 8702.40.11, 8702.40.19, 8702.40.21,8702.40.22, 8702.40.29, 8702.40.91, 8702.40.99 AND 8703.80.00)  - Direct Imports</t>
  </si>
  <si>
    <t>TABULATION FOR 100% ELECTRIC POWERED MOTOR VEHICLES FOR TRANSPORTATION OF PERSONS (HS 8702.40.11, 8702.40.19, 8702.40.21,8702.40.22, 8702.40.29, 8702.40.91, 8702.40.99 AND 8703.80.00) -  Previously Registered</t>
  </si>
  <si>
    <t>TABULATION FOR  SCHOOL BUSES FOR PUBLIC SCHOOLS - Direct Imports</t>
  </si>
  <si>
    <t>TABULATION FOR  SCHOOL BUSES FOR PUBLIC SCHOOLS -  Previously Registered</t>
  </si>
  <si>
    <t>Current Retail Selling price</t>
  </si>
  <si>
    <t>Import Duty  35%</t>
  </si>
  <si>
    <t xml:space="preserve">            </t>
  </si>
  <si>
    <t>VAT 16%</t>
  </si>
  <si>
    <t>Total Taxes</t>
  </si>
  <si>
    <t>TABULATION FOR MVs WITH NO EXCISE DUTY  (PRIME MOVERS) - Direct Imports</t>
  </si>
  <si>
    <t>TABULATION FOR MVs WITH NO EXCISE DUTY  (PRIME MOVERS) - Previously Registered in Kenya</t>
  </si>
  <si>
    <t>Import Duty 25%</t>
  </si>
  <si>
    <t>Excise Duty 0%</t>
  </si>
  <si>
    <t>TABULATION FOR MVs WITH NO EXCISE DUTY  (TRAILERS)       - Direct Imports</t>
  </si>
  <si>
    <t>TABULATION FOR MVs WITH NO EXCISE DUTY  (TRAILERS)       - Previously Registered  in Kenya</t>
  </si>
  <si>
    <t>Import Duty 36%</t>
  </si>
  <si>
    <t>TABULATION FOR AMBULANCE-Direct Imports</t>
  </si>
  <si>
    <t>TABULATION FOR AMBULANCE - Previously Registered in Kenya</t>
  </si>
  <si>
    <t>Import Duty 0%</t>
  </si>
  <si>
    <t>IDF</t>
  </si>
  <si>
    <t>TABULATION FOR Motor Cycles-Direct imports</t>
  </si>
  <si>
    <t>TABULATION FOR Motor Cycles - Previously Registered in Kenya</t>
  </si>
  <si>
    <t>Excise Duty 12952.83</t>
  </si>
  <si>
    <t>TABULATION FOR SPECIAL PURPOSE  - Direct Imports</t>
  </si>
  <si>
    <t>TABULATION FOR SPECIAL PURPOSE - Previously Registered in Kenya</t>
  </si>
  <si>
    <t>TABULATION FOR HEAVY MACHINERIES  - Direct Imports</t>
  </si>
  <si>
    <t>TABULATION FOR HEAVY MACHINERIES - Previously Registered in Kenya</t>
  </si>
  <si>
    <r>
      <t>VAT 1</t>
    </r>
    <r>
      <rPr>
        <b/>
        <i/>
        <sz val="9"/>
        <rFont val="Arial"/>
        <family val="2"/>
      </rPr>
      <t>6</t>
    </r>
    <r>
      <rPr>
        <b/>
        <sz val="9"/>
        <rFont val="Arial"/>
        <family val="2"/>
      </rPr>
      <t>%</t>
    </r>
  </si>
  <si>
    <t>MAKE</t>
  </si>
  <si>
    <t>MODEL</t>
  </si>
  <si>
    <t>BODY</t>
  </si>
  <si>
    <t>FUEL</t>
  </si>
  <si>
    <t>CAPACITY</t>
  </si>
  <si>
    <t>TRANSMISSION</t>
  </si>
  <si>
    <t>DRIVE</t>
  </si>
  <si>
    <t>SELLING PRICE</t>
  </si>
  <si>
    <t>CHRYSLER</t>
  </si>
  <si>
    <t>Sebring Touring</t>
  </si>
  <si>
    <t>SALOON</t>
  </si>
  <si>
    <t>Petrol</t>
  </si>
  <si>
    <t>4WD</t>
  </si>
  <si>
    <t>Sebring Limited</t>
  </si>
  <si>
    <t>Town and Country LX New</t>
  </si>
  <si>
    <t>Town and Country Touring</t>
  </si>
  <si>
    <t>Town annd Country touring plus</t>
  </si>
  <si>
    <t>Town and Touring watter p Chrysler signature series</t>
  </si>
  <si>
    <t>Sebring convertible Lx</t>
  </si>
  <si>
    <t>Coupe</t>
  </si>
  <si>
    <t>Sebring convertible touring</t>
  </si>
  <si>
    <t>Sebring convertible LTD</t>
  </si>
  <si>
    <t>Sebring convertible</t>
  </si>
  <si>
    <t>200 Touring</t>
  </si>
  <si>
    <t>CITROEN</t>
  </si>
  <si>
    <t>Citroen relay</t>
  </si>
  <si>
    <t>VAN</t>
  </si>
  <si>
    <t>Diesel</t>
  </si>
  <si>
    <t>2WD</t>
  </si>
  <si>
    <t>Berlingo</t>
  </si>
  <si>
    <t>Xsara</t>
  </si>
  <si>
    <t>Xantia</t>
  </si>
  <si>
    <t>DACIA</t>
  </si>
  <si>
    <t>Duster Luaurate dci 110</t>
  </si>
  <si>
    <t>S/WAGON</t>
  </si>
  <si>
    <t>MANUAL</t>
  </si>
  <si>
    <t>DAIHATSU</t>
  </si>
  <si>
    <t>Bego</t>
  </si>
  <si>
    <t>Boon</t>
  </si>
  <si>
    <t>HATCHBACK</t>
  </si>
  <si>
    <t>Coo</t>
  </si>
  <si>
    <t>Mira</t>
  </si>
  <si>
    <t>Move</t>
  </si>
  <si>
    <t>HIJET</t>
  </si>
  <si>
    <t>Terios DX</t>
  </si>
  <si>
    <t>Terios DX (with air con)</t>
  </si>
  <si>
    <t>Terios SX Fully Loaded</t>
  </si>
  <si>
    <t>Terios  EFI Fully Loaded SX/AT</t>
  </si>
  <si>
    <t>AUTO</t>
  </si>
  <si>
    <t>YRV</t>
  </si>
  <si>
    <t>Rocky</t>
  </si>
  <si>
    <t>Feroza</t>
  </si>
  <si>
    <t>DAEWOO</t>
  </si>
  <si>
    <t>CIELO GL-A</t>
  </si>
  <si>
    <t>CIELO GLX</t>
  </si>
  <si>
    <t>Matiz s</t>
  </si>
  <si>
    <t>Lanos s</t>
  </si>
  <si>
    <t>Lanos SE</t>
  </si>
  <si>
    <t>Lanos SX</t>
  </si>
  <si>
    <t>Nubira SE</t>
  </si>
  <si>
    <t>Nubira SX</t>
  </si>
  <si>
    <t>Nubira CDX</t>
  </si>
  <si>
    <t>Espero CD</t>
  </si>
  <si>
    <t>Leganza CDZ</t>
  </si>
  <si>
    <t>DODGE</t>
  </si>
  <si>
    <t>NITRO SXT CRD</t>
  </si>
  <si>
    <t>Journey</t>
  </si>
  <si>
    <t>EICHER</t>
  </si>
  <si>
    <t>EICHER 10.50</t>
  </si>
  <si>
    <t>TRK</t>
  </si>
  <si>
    <t>EICHER 10.75 TURBO</t>
  </si>
  <si>
    <t>EICHER 10.75 TURBO ALUMINIUM BODY</t>
  </si>
  <si>
    <t>EICHER TERRA 25 WITH HYVA BODY</t>
  </si>
  <si>
    <t>TIPPER</t>
  </si>
  <si>
    <t>183.3HP</t>
  </si>
  <si>
    <t>6X4</t>
  </si>
  <si>
    <t>EICHER TERRA 16</t>
  </si>
  <si>
    <t>EICHER CBU SEMI LUX</t>
  </si>
  <si>
    <t>BUS</t>
  </si>
  <si>
    <t>EICHER 10.75 COWL</t>
  </si>
  <si>
    <t>EICHER 10.75 SEMI LUX</t>
  </si>
  <si>
    <t>EICHER 10.75 DELUXE</t>
  </si>
  <si>
    <t>EICHER 11.12 COWL</t>
  </si>
  <si>
    <t>EICHER 11.12 SEMI LUX</t>
  </si>
  <si>
    <t>EICHER 11.12 DELUXE</t>
  </si>
  <si>
    <t>EICHER 20.15 COWL</t>
  </si>
  <si>
    <t>4X3</t>
  </si>
  <si>
    <t>EICHER 20.15 SEMI LUX</t>
  </si>
  <si>
    <t>EICHER 20.15 DELUXE</t>
  </si>
  <si>
    <t>4X5</t>
  </si>
  <si>
    <t>FAW</t>
  </si>
  <si>
    <t>CA1320 CEMENT MIXER J5P</t>
  </si>
  <si>
    <t>MIXER</t>
  </si>
  <si>
    <t>ALFA ROMEO</t>
  </si>
  <si>
    <t>Alfa Romeo A1560</t>
  </si>
  <si>
    <t>156 JD</t>
  </si>
  <si>
    <t>156 VELOCE</t>
  </si>
  <si>
    <t>GTV</t>
  </si>
  <si>
    <t>SPIDER</t>
  </si>
  <si>
    <t>AUDI</t>
  </si>
  <si>
    <t>A1 SE MT</t>
  </si>
  <si>
    <t>A1 SE AT</t>
  </si>
  <si>
    <t>A3</t>
  </si>
  <si>
    <t>A3  TDI SPORTSBACK</t>
  </si>
  <si>
    <t>A3  TFSI SPORTSBACK</t>
  </si>
  <si>
    <t>A3 CABRIOLET CONVERTIBLE</t>
  </si>
  <si>
    <t>COUPE</t>
  </si>
  <si>
    <t>A3 CABRIOLET  CONVERTIBLE</t>
  </si>
  <si>
    <t>A4</t>
  </si>
  <si>
    <t>A4 QUATTRO</t>
  </si>
  <si>
    <t>A5</t>
  </si>
  <si>
    <t>A5 QUATTRO</t>
  </si>
  <si>
    <t>A5 S LINE</t>
  </si>
  <si>
    <t>A5 S LINE QUATTRO</t>
  </si>
  <si>
    <t>A5 CABRIOLET S LINE</t>
  </si>
  <si>
    <t>SPORT</t>
  </si>
  <si>
    <t>A5 CABRIOLET S TDI LINE</t>
  </si>
  <si>
    <t>A6 TDI</t>
  </si>
  <si>
    <t>ESTATE</t>
  </si>
  <si>
    <t>A6 TDI QUATTRO</t>
  </si>
  <si>
    <t>A7 SPORT BACK</t>
  </si>
  <si>
    <t>A8 SPORT BACK</t>
  </si>
  <si>
    <t>A8L LONG WHEEL BASE</t>
  </si>
  <si>
    <t>Q2</t>
  </si>
  <si>
    <t>Q5</t>
  </si>
  <si>
    <t>Q5  QUATTRO S</t>
  </si>
  <si>
    <t>SQ5 TFSI QUATTRO TIPTRONIC</t>
  </si>
  <si>
    <t>Q7</t>
  </si>
  <si>
    <t>Q7 TFSI V6</t>
  </si>
  <si>
    <t>Q7 TFSI V6 Supercharged</t>
  </si>
  <si>
    <t>Q7 TDI</t>
  </si>
  <si>
    <t>Q8 TDI QUATTRO</t>
  </si>
  <si>
    <t>RS</t>
  </si>
  <si>
    <t>TT</t>
  </si>
  <si>
    <t>TT RS</t>
  </si>
  <si>
    <t>BEI BEN</t>
  </si>
  <si>
    <t>2636S 6X4</t>
  </si>
  <si>
    <t>PM</t>
  </si>
  <si>
    <t>BENTLEY</t>
  </si>
  <si>
    <t>Continental GT V8</t>
  </si>
  <si>
    <t>Flying Spur V8</t>
  </si>
  <si>
    <t>Flying Spur V8 S</t>
  </si>
  <si>
    <t>Bentayga Oyx</t>
  </si>
  <si>
    <t>Bentayga W12</t>
  </si>
  <si>
    <t>Bentayga V8</t>
  </si>
  <si>
    <t>Bentayga Mulinner</t>
  </si>
  <si>
    <t>BMW</t>
  </si>
  <si>
    <t>116i E81 HAT NA45</t>
  </si>
  <si>
    <t>116i F20SH N13</t>
  </si>
  <si>
    <t>116D E81 HAT N47</t>
  </si>
  <si>
    <t>116D F20SH N47-SPECIAL 1C71 1C72</t>
  </si>
  <si>
    <t>118i N46 UE71 UE72</t>
  </si>
  <si>
    <t>118i E81 HAT N46 UA31 UA32</t>
  </si>
  <si>
    <t>118i N13 F20SH 1A31 1A32 SPECIAL</t>
  </si>
  <si>
    <t>118i E88 CAB N46 UM31 UM32 CONVERTIBLE</t>
  </si>
  <si>
    <t>coupe</t>
  </si>
  <si>
    <t>118D E88 CAB N47 UM91 UM92 CONVERTIBLE</t>
  </si>
  <si>
    <t>118D E82 COU N47 UR11 UR12</t>
  </si>
  <si>
    <t>118D N47 UD71 UD72</t>
  </si>
  <si>
    <t>118D E81 HAT N47 UB31 UB32</t>
  </si>
  <si>
    <t>120i E81 HAT N46 UL51 UL52</t>
  </si>
  <si>
    <t>120i E82 COU N46 UC51 UC52</t>
  </si>
  <si>
    <t>120i N46 UD31 UD32</t>
  </si>
  <si>
    <t>120i N46 UA51 UA52</t>
  </si>
  <si>
    <t>120D N47 UM71 UM72</t>
  </si>
  <si>
    <t>120D N47 UMR1 UM32</t>
  </si>
  <si>
    <t>120D N47 UD91 UD92</t>
  </si>
  <si>
    <t>120D N47 UB51 UB52</t>
  </si>
  <si>
    <t>125i N52 UL91 UL92</t>
  </si>
  <si>
    <t>125i N52 UC31 UC32</t>
  </si>
  <si>
    <t>130i</t>
  </si>
  <si>
    <t>130i N52 UD51 UD52</t>
  </si>
  <si>
    <t>130i N52 UB11 UB12</t>
  </si>
  <si>
    <t>135i N55 UN71 UN72</t>
  </si>
  <si>
    <t>135i N54 UC71 UC72</t>
  </si>
  <si>
    <t>316i E90 LIM N45 PF11 PF12</t>
  </si>
  <si>
    <t>316i F30</t>
  </si>
  <si>
    <t>318i N46 PF71 PF72</t>
  </si>
  <si>
    <t>320d</t>
  </si>
  <si>
    <t>320d N47 KK11 KK12</t>
  </si>
  <si>
    <t>320ed</t>
  </si>
  <si>
    <t>320i E93 CAB N46 DV31 DV32 CONVERTIBLE</t>
  </si>
  <si>
    <t>320i E92 COU N46 KD51 KD52</t>
  </si>
  <si>
    <t>320i E90 N46</t>
  </si>
  <si>
    <t>320i F30</t>
  </si>
  <si>
    <t>320d F30</t>
  </si>
  <si>
    <t>325i</t>
  </si>
  <si>
    <t>325i N52 DW11 DW32</t>
  </si>
  <si>
    <t>325i N52 KE31 KE32</t>
  </si>
  <si>
    <t>325i N52 PH11 PH12</t>
  </si>
  <si>
    <t>325i N53 CONVERTIBLE</t>
  </si>
  <si>
    <t>330i  N52 DX31 DX32</t>
  </si>
  <si>
    <t>330i  N52 KG31 KG32</t>
  </si>
  <si>
    <t>330i  N52 PM31 PM32</t>
  </si>
  <si>
    <t>330d</t>
  </si>
  <si>
    <t>330d N57 KK71 KK72</t>
  </si>
  <si>
    <t>330 ci Convertible</t>
  </si>
  <si>
    <t>335i N55 DX71 DX72</t>
  </si>
  <si>
    <t>335i N54 KG71 KG72</t>
  </si>
  <si>
    <t>335i N54 PM51 PM52</t>
  </si>
  <si>
    <t>M3 E90</t>
  </si>
  <si>
    <t>520i N20 XG11 XG12</t>
  </si>
  <si>
    <t>520D N47 FW11/12</t>
  </si>
  <si>
    <t>520D N47 XA31/32</t>
  </si>
  <si>
    <t>520i F10</t>
  </si>
  <si>
    <t>523i</t>
  </si>
  <si>
    <t>525i</t>
  </si>
  <si>
    <t>525d N47 XA11</t>
  </si>
  <si>
    <t>528i N20 XG31 XG32</t>
  </si>
  <si>
    <t>528d N20 XG31 XG32</t>
  </si>
  <si>
    <t>530i N52 FR11/12</t>
  </si>
  <si>
    <t>530d N57 XA51/52</t>
  </si>
  <si>
    <t>530d N57 FV31</t>
  </si>
  <si>
    <t>535i N55 FR71 FR72</t>
  </si>
  <si>
    <t>535i Xdrive N55 FU71</t>
  </si>
  <si>
    <t>535i F07 GT N55 SN21/22</t>
  </si>
  <si>
    <t>535d N57 SN81/82</t>
  </si>
  <si>
    <t>535d N57 SN61/62</t>
  </si>
  <si>
    <t>550i N63 FR91 FR92</t>
  </si>
  <si>
    <t>550i N63 SN41 SN42</t>
  </si>
  <si>
    <t>M5 E60</t>
  </si>
  <si>
    <t>M5 F10</t>
  </si>
  <si>
    <t>630i  E63 COU N52 EA11 EA12</t>
  </si>
  <si>
    <t>630i  E64 CAB N52 EA11 EA12</t>
  </si>
  <si>
    <t>640i F12 CAB N55 LW71/72 CONVERTIBLE</t>
  </si>
  <si>
    <t>640i F13 COU N55 lw31/32</t>
  </si>
  <si>
    <t>640d F13 COU N57 LX71/72</t>
  </si>
  <si>
    <t>640d F12 CAB N57 LZ71/72 CONVERTIBLE</t>
  </si>
  <si>
    <t>650i  N63 F12 CAB LZ31/32 CONVERTIBLE</t>
  </si>
  <si>
    <t>650i  xDRIVE F12 CAB N63 LZ51 CONVERTIBLE</t>
  </si>
  <si>
    <t>650i  N63 F13 COU LX31/32</t>
  </si>
  <si>
    <t>650i  Xdrive N63 F13 COU LX51</t>
  </si>
  <si>
    <t>730i F01 LIM N52 KA21</t>
  </si>
  <si>
    <t>730i F02 LIM N52 KB21 KB2</t>
  </si>
  <si>
    <t>730d N57 F01 LIM KM21/22</t>
  </si>
  <si>
    <t>730Ld N57 F02 LIM KM41 KM42</t>
  </si>
  <si>
    <t>735i</t>
  </si>
  <si>
    <t>740i N54 KA41 KA42</t>
  </si>
  <si>
    <t>740Li N54 KB41 KB4</t>
  </si>
  <si>
    <t>745ia</t>
  </si>
  <si>
    <t>750i N63 F01 LIM KA81 KA82</t>
  </si>
  <si>
    <t>750i xDRIVE N63 KC61</t>
  </si>
  <si>
    <t>750Li N63 F02 LIM KB81/82</t>
  </si>
  <si>
    <t>750Li Xdrive N63 KC81</t>
  </si>
  <si>
    <t>760i N74 F01 LIM KA01</t>
  </si>
  <si>
    <t>760Li N74 KB01 KB02</t>
  </si>
  <si>
    <t>X1 E84 SAV SDRIVE 18i N46 VL31/32</t>
  </si>
  <si>
    <t>MANUAL AUTO</t>
  </si>
  <si>
    <t>X1 E84 SAV SDRIVE 20i N20 VL91/92</t>
  </si>
  <si>
    <t>X1 E84 SAV XDRIVE 20i N20 VM91/92</t>
  </si>
  <si>
    <t>X1 E84 SAV XDRIVE 28i N20 VM11/12</t>
  </si>
  <si>
    <t>X1 E84 SAV SDRIVE 18d N47 VN11/12</t>
  </si>
  <si>
    <t>X1 E84 SAV XDRIVE 18d N47 VP11/12</t>
  </si>
  <si>
    <t>X1 E84 SAV SDRIVE 20d N47 VN31/32</t>
  </si>
  <si>
    <t>X1 E84 SAV XDRIVE 20d N47 VP31/32</t>
  </si>
  <si>
    <t>X1 E84 SAV XDRIVE 23d N47 VP51/52</t>
  </si>
  <si>
    <t>X3 F25 SAV XDRIVE20i N20 WX31/32</t>
  </si>
  <si>
    <t>X3 F25 SAV XDRIVE20d N47 WY31/32</t>
  </si>
  <si>
    <t>X3 F25 SAV GH-PA25</t>
  </si>
  <si>
    <t>X3 F25 SAV XDRIVE28i N52 WX51/52</t>
  </si>
  <si>
    <t>X3 F25 SAV GH-PA30</t>
  </si>
  <si>
    <t>X3 F25 SAV XDRIVE30d N57 WY51/52</t>
  </si>
  <si>
    <t>X3 F25 SAV XDRIVE35i N55 WX71/72</t>
  </si>
  <si>
    <t>X3 F25 SAV XDRIVE35d N57 WY71/72</t>
  </si>
  <si>
    <t>X3 F25</t>
  </si>
  <si>
    <t>X5 E70 SAV XDRIVE 30D N57 ZW41/42</t>
  </si>
  <si>
    <t>X5 E70 SAV XDRIVE 35i N55 ZV41/42</t>
  </si>
  <si>
    <t>X5 E70 SAV XDRIVE 5i N63 ZV81/82</t>
  </si>
  <si>
    <t>X5 E70 SAV M S63 GY01/02</t>
  </si>
  <si>
    <t>X5 E70 SAV XDRIVE</t>
  </si>
  <si>
    <t>X5 F15 30d</t>
  </si>
  <si>
    <t>X5 F15 25d</t>
  </si>
  <si>
    <t>X6 E71 SAV XDRIVE 30d N57 FH61/62</t>
  </si>
  <si>
    <t>X6 E71 SAV XDRIVE 35i N55 FG21/22</t>
  </si>
  <si>
    <t>X6 E71 SAV XDRIVE 50i N63 FG81/82</t>
  </si>
  <si>
    <t>X6 E71 SAV M S63 GZ01/02</t>
  </si>
  <si>
    <t>M3 S65 KG91 KG92</t>
  </si>
  <si>
    <t>M3 S65 DX91 DX92</t>
  </si>
  <si>
    <t>M3 S65 PM91 PM92</t>
  </si>
  <si>
    <t>M6 S85 EH91 EH92</t>
  </si>
  <si>
    <t>M6 S85 EK91 EK92</t>
  </si>
  <si>
    <t>Z4 E89 ROA Sdrive 18i N20 LL31/32 COVERTIBLE</t>
  </si>
  <si>
    <t>Z4 E89 ROA Sdrive 28i N20 LL51/52 CONVERTIBLE</t>
  </si>
  <si>
    <t>Z4 E89 ROA Sdrive 35i N54 LM71/72 CONVERTIBLE</t>
  </si>
  <si>
    <t>Z4 E89 ROA Sdrive 35is N54 LM11/12 CONVERTIBLE</t>
  </si>
  <si>
    <t>BMW Mini cooper</t>
  </si>
  <si>
    <t>Bmw Z3 Roadster</t>
  </si>
  <si>
    <t>CADILLAC</t>
  </si>
  <si>
    <t>CTS SPORT</t>
  </si>
  <si>
    <t>CTS V SEDAN  V8</t>
  </si>
  <si>
    <t>CTS COUPE  V6 RWD</t>
  </si>
  <si>
    <t>CTS V COUPE  V8 RWD</t>
  </si>
  <si>
    <t>CTS SPORTS WAGON  V8 RWD SUPERCHARGED</t>
  </si>
  <si>
    <t>CTS V WAGON  V8 RWD SUPERCHARGED</t>
  </si>
  <si>
    <t>STS  V8</t>
  </si>
  <si>
    <t>DTS  V8</t>
  </si>
  <si>
    <t>SRX CROSSOVER FWD  V6</t>
  </si>
  <si>
    <t>AUTO MANUAL</t>
  </si>
  <si>
    <t>ESCALADE V8</t>
  </si>
  <si>
    <t>ESCALADE HYBRID   SFI RWD HYBRID</t>
  </si>
  <si>
    <t>ESCALADE ESV  V8</t>
  </si>
  <si>
    <t>ESCALADE EXT  V8</t>
  </si>
  <si>
    <t>CAM</t>
  </si>
  <si>
    <t>INYATHI</t>
  </si>
  <si>
    <t>CHEVROLET</t>
  </si>
  <si>
    <t>Aveo N/B T250</t>
  </si>
  <si>
    <t>Captiva C140  MT BASE</t>
  </si>
  <si>
    <t>Captiva C140  AT BASE</t>
  </si>
  <si>
    <t>Captiva C140  MT DELUXE</t>
  </si>
  <si>
    <t>Corsa Utility (No AC)</t>
  </si>
  <si>
    <t>P/U</t>
  </si>
  <si>
    <t>Corsa Utility (With AC)</t>
  </si>
  <si>
    <t>Colorado</t>
  </si>
  <si>
    <t>DOUBLE  CAB</t>
  </si>
  <si>
    <t>Optra</t>
  </si>
  <si>
    <t>Optra  Loaded</t>
  </si>
  <si>
    <t>CHEVROLET ORLANDO</t>
  </si>
  <si>
    <t>LUV PICK UP</t>
  </si>
  <si>
    <t>SCAB</t>
  </si>
  <si>
    <t>LACETTI SX</t>
  </si>
  <si>
    <t>CRUZE LTZ</t>
  </si>
  <si>
    <t>CRUZE J300 MT BASE</t>
  </si>
  <si>
    <t>CRUZE J300  MT DELUXE</t>
  </si>
  <si>
    <t>CRUZE J300  AT LUXURY</t>
  </si>
  <si>
    <t>Matiz SE</t>
  </si>
  <si>
    <t>Trailblazer</t>
  </si>
  <si>
    <t>300 Touring</t>
  </si>
  <si>
    <t>300 Touring Plus</t>
  </si>
  <si>
    <t>300 Touring signature series</t>
  </si>
  <si>
    <t>300 v6 RWD</t>
  </si>
  <si>
    <t>300 Touring signature series vp</t>
  </si>
  <si>
    <t>300 c</t>
  </si>
  <si>
    <t>300C CRD LTD</t>
  </si>
  <si>
    <t>GRD VOYAGER TOURING CRD</t>
  </si>
  <si>
    <t>300C SRT DESIGN V6 TD</t>
  </si>
  <si>
    <t>PT Cruiser Classic</t>
  </si>
  <si>
    <t>JAGUAR</t>
  </si>
  <si>
    <t>XJ T/C 300ps XJ50</t>
  </si>
  <si>
    <t>XJ T/C 300ps LWB XJ50</t>
  </si>
  <si>
    <t>XK coupe</t>
  </si>
  <si>
    <t>XKR Supercharged coupe</t>
  </si>
  <si>
    <t>F-PACE Turbocharged  Pure</t>
  </si>
  <si>
    <t>Auto</t>
  </si>
  <si>
    <t>F-PACE Turbocharged   R-Sport</t>
  </si>
  <si>
    <t>F-PACE Turbocharged   Pure</t>
  </si>
  <si>
    <t>F-PACE  Pure</t>
  </si>
  <si>
    <t>F-PACE  R-Sport</t>
  </si>
  <si>
    <t>F-PACE Supercharged  S</t>
  </si>
  <si>
    <t>F-PACE Supercharged  SVR</t>
  </si>
  <si>
    <t>E-PACE Turbocharged  150ps</t>
  </si>
  <si>
    <t>E-PACE Turbocharged 150ps S</t>
  </si>
  <si>
    <t>E-PACE Turbocharged 150ps SE</t>
  </si>
  <si>
    <t>E-PACE Turbocharged 150ps HSE</t>
  </si>
  <si>
    <t>E-PACE Turbocharged  150ps R- Dynamic</t>
  </si>
  <si>
    <t>E-PACE Turbocharged  150ps R- Dynamic S</t>
  </si>
  <si>
    <t>E-PACE Turbocharged 150ps R- Dynamic SE</t>
  </si>
  <si>
    <t>E-PACE Turbocharged  150ps R- Dynamic HSE</t>
  </si>
  <si>
    <t>E-PACE Turbocharged  180ps</t>
  </si>
  <si>
    <t>E-PACE Turbocharged  180ps S</t>
  </si>
  <si>
    <t>E-PACE Turbocharged  180ps SE</t>
  </si>
  <si>
    <t>E-PACE Turbocharged  180ps HSE</t>
  </si>
  <si>
    <t>E-PACE Turbocharged 180ps R- Dynamic</t>
  </si>
  <si>
    <t>E-PACE Turbocharged  180ps R- Dynamic S</t>
  </si>
  <si>
    <t>E-PACE Turbocharged  180ps R- Dynamic SE</t>
  </si>
  <si>
    <t>E-PACE Turbocharged 180ps R- Dynamic HSE</t>
  </si>
  <si>
    <t>E-PACE Turbocharged  200ps</t>
  </si>
  <si>
    <t>E-PACE Turbocharged  200ps S</t>
  </si>
  <si>
    <t>E-PACE Turbocharged  200ps SE</t>
  </si>
  <si>
    <t>E-PACE Turbocharged  200ps HSE</t>
  </si>
  <si>
    <t>E-PACE Turbocharged  200ps R- Dynamic</t>
  </si>
  <si>
    <t>E-PACE Turbocharged 200ps R- Dynamic S</t>
  </si>
  <si>
    <t>E-PACE Turbocharged  200ps R- Dynamic SE</t>
  </si>
  <si>
    <t>E-PACE Turbocharged  200ps R- Dynamic HSE</t>
  </si>
  <si>
    <t>E-PACE Turbocharged  240ps</t>
  </si>
  <si>
    <t>E-PACE Turbocharged  240ps S</t>
  </si>
  <si>
    <t>E-PACE Turbocharged  240ps SE</t>
  </si>
  <si>
    <t>E-PACE Turbocharged  240ps HSE</t>
  </si>
  <si>
    <t>E-PACE Turbocharged  240ps R- Dynamic</t>
  </si>
  <si>
    <t>E-PACE Turbocharged  240ps R- Dynamic S</t>
  </si>
  <si>
    <t>E-PACE Turbocharged 240ps R- Dynamic SE</t>
  </si>
  <si>
    <t>E-PACE Turbocharged  240ps R- Dynamic HSE</t>
  </si>
  <si>
    <t>E-PACE Turbocharged  300ps S</t>
  </si>
  <si>
    <t>E-PACE Turbocharged  300ps SE</t>
  </si>
  <si>
    <t>E-PACE Turbocharged  300ps HSE</t>
  </si>
  <si>
    <t>E-PACE Turbocharged  300ps R- Dynamic S</t>
  </si>
  <si>
    <t>E-PACE Turbocharged 300ps R- Dynamic SE</t>
  </si>
  <si>
    <t>E-PACE Turbocharged 300ps R- Dynamic HSE</t>
  </si>
  <si>
    <t>JEEP</t>
  </si>
  <si>
    <t>Compass CVT</t>
  </si>
  <si>
    <t>Commander</t>
  </si>
  <si>
    <t>Cherokee KK SPORT 2 DOOR</t>
  </si>
  <si>
    <t>Cherokee KK LIMITED 4 DOOR</t>
  </si>
  <si>
    <t>Cherokee  SPORT 5 SPEED</t>
  </si>
  <si>
    <t>Grand Cherokee 揙verland� CRDI--5 Speed /CRD-5Speed</t>
  </si>
  <si>
    <t>Grand Cherokee 揙verland� L CRD LTD -5 Speed</t>
  </si>
  <si>
    <t>Grand Cherokee 揝ummit� L CRD</t>
  </si>
  <si>
    <t>Grand Cherokee 揙verland� L CDI  6 Speed</t>
  </si>
  <si>
    <t>Cherokee Limited</t>
  </si>
  <si>
    <t>Cherokee Trailhawk</t>
  </si>
  <si>
    <t>Cherokee L SRT8</t>
  </si>
  <si>
    <t>Compass Limited</t>
  </si>
  <si>
    <t>Grand Cherokee Limited</t>
  </si>
  <si>
    <t>Grand Cherokee Overland</t>
  </si>
  <si>
    <t>Grand Limited</t>
  </si>
  <si>
    <t>Grand Cheokee Limited</t>
  </si>
  <si>
    <t>Grand Overland</t>
  </si>
  <si>
    <t>Grand Cherokee Chrysler</t>
  </si>
  <si>
    <t>Wrangler SAHARA 2 Door CRDI</t>
  </si>
  <si>
    <t>Wrangler SAHARA 4 Door CRDI</t>
  </si>
  <si>
    <t>Wrangler UNLIMITED SAHARA</t>
  </si>
  <si>
    <t>Wrangler UNLIMITED SAHARA  2 DOOR</t>
  </si>
  <si>
    <t>Wrangler Rubicon 2 Door</t>
  </si>
  <si>
    <t>Wrangler Rubicon 4 Door</t>
  </si>
  <si>
    <t>Patriot</t>
  </si>
  <si>
    <t>KIA</t>
  </si>
  <si>
    <t>Cerato</t>
  </si>
  <si>
    <t>K2700</t>
  </si>
  <si>
    <t>RIO  RS</t>
  </si>
  <si>
    <t>RIO</t>
  </si>
  <si>
    <t>RIO  LS</t>
  </si>
  <si>
    <t>Sorento XM  A/T</t>
  </si>
  <si>
    <t>Sorento  D M/T</t>
  </si>
  <si>
    <t>Sorento  XM A/T</t>
  </si>
  <si>
    <t>Sportage  M/T</t>
  </si>
  <si>
    <t>Sportage A/T</t>
  </si>
  <si>
    <t>Sportage  A/T</t>
  </si>
  <si>
    <t>KIA K2700 DSL Dropside body</t>
  </si>
  <si>
    <t>PU</t>
  </si>
  <si>
    <t>KIA K2700 DSL High Deck</t>
  </si>
  <si>
    <t>SHUMA LS</t>
  </si>
  <si>
    <t>CARENS</t>
  </si>
  <si>
    <t>Picanto L</t>
  </si>
  <si>
    <t>Carnival</t>
  </si>
  <si>
    <t>Sedona LE KNEUP75</t>
  </si>
  <si>
    <t>SOUL</t>
  </si>
  <si>
    <t>LANDROVER</t>
  </si>
  <si>
    <t>Defender 90 Soft Top TD4</t>
  </si>
  <si>
    <t>Manual</t>
  </si>
  <si>
    <t>Defender 90  TD4</t>
  </si>
  <si>
    <t>Defender 90  Heritage</t>
  </si>
  <si>
    <t>Defender 90  Adventure</t>
  </si>
  <si>
    <t>Defender 110 Soft Top TD4</t>
  </si>
  <si>
    <t>Defender 110 Hard Top</t>
  </si>
  <si>
    <t>Defender 110  TD4</t>
  </si>
  <si>
    <t>PICK UP</t>
  </si>
  <si>
    <t>Defender 110 High Capacity  TD4</t>
  </si>
  <si>
    <t>Defender 110 Crew Cab  TD4</t>
  </si>
  <si>
    <t>Defender 110  Heritage</t>
  </si>
  <si>
    <t>Defender 110  Adventure</t>
  </si>
  <si>
    <t>CA1074 CHASSIS CAB</t>
  </si>
  <si>
    <t>CA4258 J5</t>
  </si>
  <si>
    <t>420HP</t>
  </si>
  <si>
    <t>CA4250 J6</t>
  </si>
  <si>
    <t>CA4322P2K15TIA82</t>
  </si>
  <si>
    <t>380HP</t>
  </si>
  <si>
    <t>6*4</t>
  </si>
  <si>
    <t>CA4161</t>
  </si>
  <si>
    <t>280HP</t>
  </si>
  <si>
    <t>FERRARI</t>
  </si>
  <si>
    <t>599 GTB Fiorano 65DEG V12-366.08 CI</t>
  </si>
  <si>
    <t>458 ITALIA 90DEG V8-274.5 CI 7SP</t>
  </si>
  <si>
    <t>CALIFORNIA 90DEG V8-262.22 CI 7SP GTI CONVERTIBLE</t>
  </si>
  <si>
    <t>612 SCAGLIETTI V12 6SP</t>
  </si>
  <si>
    <t>FIAT</t>
  </si>
  <si>
    <t>Siena EL</t>
  </si>
  <si>
    <t>Siena ELX</t>
  </si>
  <si>
    <t>Weekend ELX</t>
  </si>
  <si>
    <t>Ducato</t>
  </si>
  <si>
    <t>FORD</t>
  </si>
  <si>
    <t>Bantam</t>
  </si>
  <si>
    <t>Courier</t>
  </si>
  <si>
    <t>Ecosport Trend</t>
  </si>
  <si>
    <t>Ecosport Titanium</t>
  </si>
  <si>
    <t>Everest XLS</t>
  </si>
  <si>
    <t>Everest  XLT</t>
  </si>
  <si>
    <t>Everest  LTD</t>
  </si>
  <si>
    <t>Everest  LTD TITANIUM</t>
  </si>
  <si>
    <t>Mustang Coupe AT</t>
  </si>
  <si>
    <t>Mustang Coupe GT COUPE</t>
  </si>
  <si>
    <t>Everest  TDI</t>
  </si>
  <si>
    <t>Escape XLT</t>
  </si>
  <si>
    <t>Escape ZC</t>
  </si>
  <si>
    <t>Figo MT</t>
  </si>
  <si>
    <t>Figo TREND</t>
  </si>
  <si>
    <t>Focus</t>
  </si>
  <si>
    <t>Focus  EFI</t>
  </si>
  <si>
    <t>Focus Trend</t>
  </si>
  <si>
    <t>Focus Titanium/MONDEO/FIESTA</t>
  </si>
  <si>
    <t>Ford Fusion Trend SE</t>
  </si>
  <si>
    <t>Ford Fusion Titan</t>
  </si>
  <si>
    <t>F250 D/C XLT</t>
  </si>
  <si>
    <t>KUGA</t>
  </si>
  <si>
    <t>Kuga Ecoboost</t>
  </si>
  <si>
    <t>Kuga Ecoboost (Panaromic roof)</t>
  </si>
  <si>
    <t>Mondeo TDCI</t>
  </si>
  <si>
    <t>Ranger SC T6</t>
  </si>
  <si>
    <t>Ranger SC T6 - BASE</t>
  </si>
  <si>
    <t>Ranger SC T6 - SAFETY PACK</t>
  </si>
  <si>
    <t>Ranger SC T6 M/T</t>
  </si>
  <si>
    <t>Ranger DC T6 M/T</t>
  </si>
  <si>
    <t>Ranger DC T6 - SAFETY PACK</t>
  </si>
  <si>
    <t>Ranger RAP CAB - XLT</t>
  </si>
  <si>
    <t>Ranger DC T6 - XLT</t>
  </si>
  <si>
    <t>Ranger DC T6 - XLT MT</t>
  </si>
  <si>
    <t>Ranger DC T6 - XLT AT</t>
  </si>
  <si>
    <t>Ranger DC T6 - PUMA XLT</t>
  </si>
  <si>
    <t>Ranger RUN OUT</t>
  </si>
  <si>
    <t>Ranger BASE  RUN OUT</t>
  </si>
  <si>
    <t>Ranger J97</t>
  </si>
  <si>
    <t>Ranger (NM)</t>
  </si>
  <si>
    <t>Ranger (LWB XL)</t>
  </si>
  <si>
    <t>Ranger deluxe</t>
  </si>
  <si>
    <t>Ranger Base LWB</t>
  </si>
  <si>
    <t>Ranger XL UKBB MT TD</t>
  </si>
  <si>
    <t>Ranger HI-RIDER XLT UKBE MT TD</t>
  </si>
  <si>
    <t>Ranger XL UKBB AT TD</t>
  </si>
  <si>
    <t>Ranger XLT  UKBE MT TD</t>
  </si>
  <si>
    <t>Ranger LTD UKBX AT TD</t>
  </si>
  <si>
    <t>Ranger T6 XLT</t>
  </si>
  <si>
    <t>Ranger T6 XLT LTD</t>
  </si>
  <si>
    <t>WILDTRACK</t>
  </si>
  <si>
    <t>Ranger Ambulance 1 TON LWB</t>
  </si>
  <si>
    <t>Territory</t>
  </si>
  <si>
    <t>Transit Custom</t>
  </si>
  <si>
    <t>Transit Custom (Top)</t>
  </si>
  <si>
    <t>FOTON</t>
  </si>
  <si>
    <t>SUP V BJ1027-8R</t>
  </si>
  <si>
    <t>CONQUEROR BJ2027-8R</t>
  </si>
  <si>
    <t>VIEW M/B BJ3536-3R</t>
  </si>
  <si>
    <t>MBUS</t>
  </si>
  <si>
    <t>AUMARK 4T CC BJ1049</t>
  </si>
  <si>
    <t>AUMARK 4T CC BUS BJ1049</t>
  </si>
  <si>
    <t>AUMARK 7T CC BJ1089</t>
  </si>
  <si>
    <t>OLLIN 4T CC BJ1041</t>
  </si>
  <si>
    <t>OLLIN 4T CC BUS BJ1041</t>
  </si>
  <si>
    <t>OLLIN 5T CC BJ1069</t>
  </si>
  <si>
    <t>OLLIN 5T CC BUS BJ1069</t>
  </si>
  <si>
    <t>AUMAN 10T CC BJ1133</t>
  </si>
  <si>
    <t>AUMAN 10T CC BUS BJ1133</t>
  </si>
  <si>
    <t>AUMAN TIPPER BJ3253</t>
  </si>
  <si>
    <t>AUMAN TIPPER CHASSIS BJ4254</t>
  </si>
  <si>
    <t>AUMAN PRIME MOVER BJ4253-RA</t>
  </si>
  <si>
    <t>AUMAN PRIME MOVER BJ4253-R</t>
  </si>
  <si>
    <t>GREATWALL</t>
  </si>
  <si>
    <t>WINGLE 3  CC1021PD13</t>
  </si>
  <si>
    <t>SINGLE CAB</t>
  </si>
  <si>
    <t>WINGLE 5  CC1021PD58</t>
  </si>
  <si>
    <t>WINGLE 5  CC1021 PD78</t>
  </si>
  <si>
    <t>WINGLE 5  CC1021 PS78</t>
  </si>
  <si>
    <t>WINGLE 5  CC1031</t>
  </si>
  <si>
    <t>HAVAL H5 STD  CC6461KM19</t>
  </si>
  <si>
    <t>HAVAL H5 STD  CC6461KM39</t>
  </si>
  <si>
    <t>HAVAL H5 LUX  CC6461KM39</t>
  </si>
  <si>
    <t>HAVAL H5 LUX  CC6461KM78</t>
  </si>
  <si>
    <t>HINO</t>
  </si>
  <si>
    <t>300 Dutro 110</t>
  </si>
  <si>
    <t>300 Dutro 130</t>
  </si>
  <si>
    <t>300 Dutro 130 MIXER</t>
  </si>
  <si>
    <t>TRK MIXER</t>
  </si>
  <si>
    <t>300 Dutro  TDI</t>
  </si>
  <si>
    <t>A215</t>
  </si>
  <si>
    <t>R235</t>
  </si>
  <si>
    <t>R260</t>
  </si>
  <si>
    <t>CNG CHASSIS</t>
  </si>
  <si>
    <t>500 RANGER FG 235</t>
  </si>
  <si>
    <t>500 RANGER FG 260</t>
  </si>
  <si>
    <t>500 RANGER FG 215</t>
  </si>
  <si>
    <t>500 RANGER FL 235</t>
  </si>
  <si>
    <t>6X2</t>
  </si>
  <si>
    <t>500 RANGER FL 260</t>
  </si>
  <si>
    <t>500 RANGER FM 260</t>
  </si>
  <si>
    <t>500 RANGER FM 320</t>
  </si>
  <si>
    <t>500 RANGER SG260</t>
  </si>
  <si>
    <t>500 RANGER FM 320P</t>
  </si>
  <si>
    <t>HINO 700 SERIES 3241</t>
  </si>
  <si>
    <t>8X4</t>
  </si>
  <si>
    <t>500 RANGER FC6JKW</t>
  </si>
  <si>
    <t>4720CC</t>
  </si>
  <si>
    <t>HONDA</t>
  </si>
  <si>
    <t>ACCORD ELEGANCE</t>
  </si>
  <si>
    <t>ACCORD EXCUTIVE AT</t>
  </si>
  <si>
    <t>ACCORD EX- L NAVI V6</t>
  </si>
  <si>
    <t>ACCORD CROSSTOUR EX-L</t>
  </si>
  <si>
    <t>ACCORD SE</t>
  </si>
  <si>
    <t>ACCORD EX</t>
  </si>
  <si>
    <t>ACCORD EX-V6</t>
  </si>
  <si>
    <t>AIRWAVE</t>
  </si>
  <si>
    <t>ACTY</t>
  </si>
  <si>
    <t>BALLADE - ELEGANCE</t>
  </si>
  <si>
    <t>BRIO AT</t>
  </si>
  <si>
    <t>BRIO AMAZE</t>
  </si>
  <si>
    <t>BRV</t>
  </si>
  <si>
    <t>CIVIC-EXECUTIVE</t>
  </si>
  <si>
    <t>CIVIC-COMFORT</t>
  </si>
  <si>
    <t>CIVIC DX</t>
  </si>
  <si>
    <t>CIVIC LX</t>
  </si>
  <si>
    <t>CIVIC EX</t>
  </si>
  <si>
    <t>CIVIC SI</t>
  </si>
  <si>
    <t>CIVIC HYBRID</t>
  </si>
  <si>
    <t>CROSSROAD</t>
  </si>
  <si>
    <t>HONDA CRF 1000D</t>
  </si>
  <si>
    <t>CRV  COMFORT</t>
  </si>
  <si>
    <t>CRV  ELEGANCE</t>
  </si>
  <si>
    <t>CRV  RD K20</t>
  </si>
  <si>
    <t>CRV  RD</t>
  </si>
  <si>
    <t>CRV  R20 RE</t>
  </si>
  <si>
    <t>CRV  TD N22A RE</t>
  </si>
  <si>
    <t>CRV  K24Z RE</t>
  </si>
  <si>
    <t>CRV  R20A RM</t>
  </si>
  <si>
    <t>CRV  K24Z RM</t>
  </si>
  <si>
    <t>CR-Z</t>
  </si>
  <si>
    <t>ELEMENT LX</t>
  </si>
  <si>
    <t>ELEMENT SC</t>
  </si>
  <si>
    <t>ELEMENT EX</t>
  </si>
  <si>
    <t>FIT MT</t>
  </si>
  <si>
    <t>FIT AT</t>
  </si>
  <si>
    <t>FIT SHUTTLE</t>
  </si>
  <si>
    <t>SW</t>
  </si>
  <si>
    <t>JAZZ - ELEGANCE</t>
  </si>
  <si>
    <t>FREED/spike</t>
  </si>
  <si>
    <t>HRV</t>
  </si>
  <si>
    <t>INSIGHT</t>
  </si>
  <si>
    <t>INSPIRE</t>
  </si>
  <si>
    <t>Life</t>
  </si>
  <si>
    <t>Mobilio</t>
  </si>
  <si>
    <t>ODYSSEY LX</t>
  </si>
  <si>
    <t>ODYSSEY EX</t>
  </si>
  <si>
    <t>PILOT LX</t>
  </si>
  <si>
    <t>PILOT EX</t>
  </si>
  <si>
    <t>Partner</t>
  </si>
  <si>
    <t>RIDGELINE DX</t>
  </si>
  <si>
    <t>D/C</t>
  </si>
  <si>
    <t>RIDGELINE VP</t>
  </si>
  <si>
    <t>RIDGELINE EX-L</t>
  </si>
  <si>
    <t>STREAM</t>
  </si>
  <si>
    <t>STEPWAGON</t>
  </si>
  <si>
    <t>ZEST</t>
  </si>
  <si>
    <t>HUMMER</t>
  </si>
  <si>
    <t>H3 M/T</t>
  </si>
  <si>
    <t>H3 A/T</t>
  </si>
  <si>
    <t>HYUNDAI</t>
  </si>
  <si>
    <t>Accent GL MT</t>
  </si>
  <si>
    <t>Accent GL AT</t>
  </si>
  <si>
    <t>Accent  PREMIUM</t>
  </si>
  <si>
    <t>Atos F LS AC</t>
  </si>
  <si>
    <t>Elantra GL MT</t>
  </si>
  <si>
    <t>Elantra GL AT</t>
  </si>
  <si>
    <t>Elantra GLS AT</t>
  </si>
  <si>
    <t>H-1</t>
  </si>
  <si>
    <t>M/BUS</t>
  </si>
  <si>
    <t>H-1  GL MT</t>
  </si>
  <si>
    <t>H-1  GL AT</t>
  </si>
  <si>
    <t>H-1  GLS AT</t>
  </si>
  <si>
    <t>H-1 LIIMOUSINE PREMIUM</t>
  </si>
  <si>
    <t>H-100 CHASSIS GL MT</t>
  </si>
  <si>
    <t>P/UP</t>
  </si>
  <si>
    <t>H-100 SIDE DECK GL MT</t>
  </si>
  <si>
    <t>H-100 CIT MINI TRUCK TDI CHASSIS</t>
  </si>
  <si>
    <t>Truck</t>
  </si>
  <si>
    <t>SANTA FE  GL</t>
  </si>
  <si>
    <t>SANTA FE  GLS</t>
  </si>
  <si>
    <t>SANTA FE  PREMIUM</t>
  </si>
  <si>
    <t>TUCSON</t>
  </si>
  <si>
    <t>IX35</t>
  </si>
  <si>
    <t>Sonata GL AT</t>
  </si>
  <si>
    <t>Sonata GLS AT</t>
  </si>
  <si>
    <t>Sonata PREMIUM</t>
  </si>
  <si>
    <t>TERRACAN CDRI GL</t>
  </si>
  <si>
    <t>Trajet</t>
  </si>
  <si>
    <t>INFINITY</t>
  </si>
  <si>
    <t>CRUZE</t>
  </si>
  <si>
    <t>ISUZU</t>
  </si>
  <si>
    <t>FRR 33L- CAB BUS LUXURY</t>
  </si>
  <si>
    <t>FRR 33L- CAB BUS SEMI LUXURY</t>
  </si>
  <si>
    <t>FRR - LUXURY (SSA 1)</t>
  </si>
  <si>
    <t>FSR 33H BUS CHASSIS</t>
  </si>
  <si>
    <t>MV 123 LWB</t>
  </si>
  <si>
    <t>MV 123 LWB BUS LUXURY</t>
  </si>
  <si>
    <t>MV 123 SWB</t>
  </si>
  <si>
    <t>MV 123 SWB BUS LUXURY</t>
  </si>
  <si>
    <t>NKR 66L SEMI-LUXURY</t>
  </si>
  <si>
    <t>NPR 66P</t>
  </si>
  <si>
    <t>NQR  Bus Luxury (SSA 1)</t>
  </si>
  <si>
    <t>NQR Bus Cruiser</t>
  </si>
  <si>
    <t>NQR  Bus Semi Luxury</t>
  </si>
  <si>
    <t>FTS 33F</t>
  </si>
  <si>
    <t>Damax-TFS 85</t>
  </si>
  <si>
    <t>Dmax-TFR 86 HR</t>
  </si>
  <si>
    <t>Dmax-TFR 86 HR with carry body/cover</t>
  </si>
  <si>
    <t>Dmax-TFS 85</t>
  </si>
  <si>
    <t>Dmax-TFS 86 DELUX with carry body/cover</t>
  </si>
  <si>
    <t>KB300 DC</t>
  </si>
  <si>
    <t>RODEO</t>
  </si>
  <si>
    <t>TFS 54 I-190 D/C</t>
  </si>
  <si>
    <t>TFS 54 I-190 D/C ACCESSORIZED</t>
  </si>
  <si>
    <t>TFS 77 D/C</t>
  </si>
  <si>
    <t>TFS 85 I-190 with carry body/cover</t>
  </si>
  <si>
    <t>EXZ 51</t>
  </si>
  <si>
    <t>PRIME MOVER</t>
  </si>
  <si>
    <t>TFR 30</t>
  </si>
  <si>
    <t>Dmax-TFR 86</t>
  </si>
  <si>
    <t>Dmax-TFS 85 I-190 S/C</t>
  </si>
  <si>
    <t>Dmax-TFS 86</t>
  </si>
  <si>
    <t>KB250 SC/TFR 54H</t>
  </si>
  <si>
    <t>TFR 32 S/C I-190</t>
  </si>
  <si>
    <t>TFR 54 S/C I-190</t>
  </si>
  <si>
    <t>TFS 77 S/C</t>
  </si>
  <si>
    <t>TRAILBLAZER</t>
  </si>
  <si>
    <t>BIGHORN/WIZARD/RODEO</t>
  </si>
  <si>
    <t>Trooper</t>
  </si>
  <si>
    <t>50LV/81LT</t>
  </si>
  <si>
    <t>ELF NMR85</t>
  </si>
  <si>
    <t>FRR 33LR-Body on</t>
  </si>
  <si>
    <t>FSR 33H -Body on</t>
  </si>
  <si>
    <t>FTS 33 H Body On</t>
  </si>
  <si>
    <t>FVR 23M with body on</t>
  </si>
  <si>
    <t>6x2</t>
  </si>
  <si>
    <t>FVX 23S with the body on</t>
  </si>
  <si>
    <t>FVZ 23M with body on</t>
  </si>
  <si>
    <t>GIGA CXE77</t>
  </si>
  <si>
    <t>NHR 55 Body on</t>
  </si>
  <si>
    <t>NKR 66L BODY ON</t>
  </si>
  <si>
    <t>NQR 66R</t>
  </si>
  <si>
    <t>NQR 70</t>
  </si>
  <si>
    <t>COMO</t>
  </si>
  <si>
    <t>IVECO</t>
  </si>
  <si>
    <t>AT720T42TH</t>
  </si>
  <si>
    <t>ML 140 E24WDEE TURBO</t>
  </si>
  <si>
    <t>ML 170 E21H TURBO</t>
  </si>
  <si>
    <t>ML 180E</t>
  </si>
  <si>
    <t>ML 2111 Turbo</t>
  </si>
  <si>
    <t>MP380 E 37H/IP/MOVER</t>
  </si>
  <si>
    <t>MP70 E IVECO</t>
  </si>
  <si>
    <t>MP720</t>
  </si>
  <si>
    <t>Stralis</t>
  </si>
  <si>
    <t>JAC</t>
  </si>
  <si>
    <t>HFC1020  S/CAB LIGHT TRUCK</t>
  </si>
  <si>
    <t>HFC1048  S/CAB LIGHT TRUCK</t>
  </si>
  <si>
    <t>HFC1063  S/CAB LIGHT TRUCK TURBO</t>
  </si>
  <si>
    <t>SINOTRUCK HOWO TRACTOR F12 SYNCHROMESH</t>
  </si>
  <si>
    <t>SINOTRUCK HOWO  TIPPER</t>
  </si>
  <si>
    <t>HOWO DUMPER TRUCK</t>
  </si>
  <si>
    <t>S-Type</t>
  </si>
  <si>
    <t>X-Type</t>
  </si>
  <si>
    <t>F-Type V6</t>
  </si>
  <si>
    <t>F-Type V6S</t>
  </si>
  <si>
    <t>F-Type Supercharged Convertible  340ps</t>
  </si>
  <si>
    <t>F-Type Supercharged Convertible  340ps R-Dynamic</t>
  </si>
  <si>
    <t>F-Type Supercharged Convertible 340ps R-Dynamic</t>
  </si>
  <si>
    <t>F-Type Supercharged Convertible 380ps</t>
  </si>
  <si>
    <t>F-Type Supercharged Convertible  380ps R-Dynamic</t>
  </si>
  <si>
    <t>F-Type Supercharged Convertible  380ps</t>
  </si>
  <si>
    <t>F-Type Supercharged Convertible  400ps 400 Sport</t>
  </si>
  <si>
    <t>F-Type Supercharged Convertible  550ps 400 R</t>
  </si>
  <si>
    <t>F-Type Supercharged Convertible  575ps 400 SVR</t>
  </si>
  <si>
    <t>F-Type Supercharged  340ps</t>
  </si>
  <si>
    <t>F-Type Supercharged   340ps R-Dynamic</t>
  </si>
  <si>
    <t>F-Type Supercharged   340ps</t>
  </si>
  <si>
    <t>F-Type Supercharged   380ps</t>
  </si>
  <si>
    <t>F-Type Supercharged 380ps R-Dynamic</t>
  </si>
  <si>
    <t>F-Type Supercharged   380ps R-Dynamic</t>
  </si>
  <si>
    <t>F-Type Supercharged   400ps 400 Sport</t>
  </si>
  <si>
    <t>F-Type Supercharged   550ps 400 R</t>
  </si>
  <si>
    <t>F-Type S/C   57Sps 400 SVR</t>
  </si>
  <si>
    <t>F-Type V8S</t>
  </si>
  <si>
    <t>XE Turbocharged  Prestige</t>
  </si>
  <si>
    <t>XE Turbocharged  Portfolio</t>
  </si>
  <si>
    <t>XF  4 Premium Luxury</t>
  </si>
  <si>
    <t>XF  Premium Luxury</t>
  </si>
  <si>
    <t>XF  DS Premium Luxury</t>
  </si>
  <si>
    <t>XF V6 Semi Luxury</t>
  </si>
  <si>
    <t>XF Turbocharged  Prestige</t>
  </si>
  <si>
    <t>XF Turbocharged  R-Sport</t>
  </si>
  <si>
    <t>XF Turbocharged  250ps Prestige</t>
  </si>
  <si>
    <t>XF Turbocharged  250ps R-Sport</t>
  </si>
  <si>
    <t>XF Turbocharged  250ps Portfolio</t>
  </si>
  <si>
    <t>XFR V8 Supercharged</t>
  </si>
  <si>
    <t>XJ  Supercharged Ultimate</t>
  </si>
  <si>
    <t>XJ Supercharged Supersport</t>
  </si>
  <si>
    <t>XJ Supercharged Premium luxury</t>
  </si>
  <si>
    <t>XJ  4 Luxury</t>
  </si>
  <si>
    <t>XJ T/C 300ps Luxury</t>
  </si>
  <si>
    <t>XJ  4 Premium Luxury</t>
  </si>
  <si>
    <t>XJ T/C 300ps Premium Luxury</t>
  </si>
  <si>
    <t>XJ T/C S/C R-Sport</t>
  </si>
  <si>
    <t>XJ T/C 300ps LWB Premium Luxury</t>
  </si>
  <si>
    <t>XJ  NA Portfolio LWB</t>
  </si>
  <si>
    <t>XJ T/C Supercharged LWB Portfolio</t>
  </si>
  <si>
    <t>XJ T/C Supercharged  LWB Autobiography</t>
  </si>
  <si>
    <t>Defender 130 Cab Chassis TD4</t>
  </si>
  <si>
    <t>Defender 130 Crew Cab High Capacity  TD4</t>
  </si>
  <si>
    <t>Defender 110 TD4 FBU LTD EDITION</t>
  </si>
  <si>
    <t>Defender 110 TD4 FBU</t>
  </si>
  <si>
    <t>Defender 110 TD4/109 - FBU</t>
  </si>
  <si>
    <t>S/CAB</t>
  </si>
  <si>
    <t>Defender 130 TD4- SW(FBU) LTD EDITION</t>
  </si>
  <si>
    <t>Defender TD4 SafariWagon</t>
  </si>
  <si>
    <t>Defender TD4 GAMEVIEWER</t>
  </si>
  <si>
    <t>Defender 110 TDI - PU(FBU)</t>
  </si>
  <si>
    <t>Defender 110 TDI - SW(FBU)</t>
  </si>
  <si>
    <t>Defender 110 TDI - SafariWagon/Santana</t>
  </si>
  <si>
    <t>SANTANA PS10</t>
  </si>
  <si>
    <t>Discovery  SDV6 Granite</t>
  </si>
  <si>
    <t>Discovery  SDV6 Landmark</t>
  </si>
  <si>
    <t>Discovery  SDV6 S</t>
  </si>
  <si>
    <t>Discovery  Si4 HSE</t>
  </si>
  <si>
    <t>Discovery Si4 HSE LUXURY</t>
  </si>
  <si>
    <t>Discovery Si6 S</t>
  </si>
  <si>
    <t>Discovery Si6 SE</t>
  </si>
  <si>
    <t>Discovery Si6 HSE Luxury</t>
  </si>
  <si>
    <t>Discovery Si6 First Edition</t>
  </si>
  <si>
    <t>Discovery TD6</t>
  </si>
  <si>
    <t>Discovery TD6 SE</t>
  </si>
  <si>
    <t>Discovery TD6 HSE</t>
  </si>
  <si>
    <t>Discovery TD6 HSE Luxury</t>
  </si>
  <si>
    <t>Discovery TD6 First Edition</t>
  </si>
  <si>
    <t>Discovery III TDV6 SE</t>
  </si>
  <si>
    <t>Discovery III TDV6 S SPECIAL</t>
  </si>
  <si>
    <t>Discovery III TDV6 HSE</t>
  </si>
  <si>
    <t>Discovery IV TDV6 SE</t>
  </si>
  <si>
    <t>Discovery IV TDV6 HSE</t>
  </si>
  <si>
    <t>Discovery IV 4TDV6 XS</t>
  </si>
  <si>
    <t>Discovery IV TDV6 S</t>
  </si>
  <si>
    <t>Discovery IV  V6 PE SE HIGH SPEC</t>
  </si>
  <si>
    <t>Discovery P SE</t>
  </si>
  <si>
    <t>Discovery P HSE</t>
  </si>
  <si>
    <t>Discovery ES V8</t>
  </si>
  <si>
    <t>Discovery  V6 SE</t>
  </si>
  <si>
    <t>Discovery  V6 HSE</t>
  </si>
  <si>
    <t>Discovery Sport Si4</t>
  </si>
  <si>
    <t>Discovery sport Si4 Pure</t>
  </si>
  <si>
    <t>Discovery sport Si4 SE</t>
  </si>
  <si>
    <t>Discovery sport Si4 HSE</t>
  </si>
  <si>
    <t>Discovery sport Si4 HSE LUXURY</t>
  </si>
  <si>
    <t>Discovery Sport SD4 Pure</t>
  </si>
  <si>
    <t>Discovery Sport SD4 SE</t>
  </si>
  <si>
    <t>Discovery Sport SD4 HSE</t>
  </si>
  <si>
    <t>Discovery Sport SD4 HSE LUXURY</t>
  </si>
  <si>
    <t>Discovery (L462) S</t>
  </si>
  <si>
    <t>Discovery (L462) SE</t>
  </si>
  <si>
    <t>Discovery (L462) HSE</t>
  </si>
  <si>
    <t>Discovery (L462) HSE LUXURY</t>
  </si>
  <si>
    <t>Range Rover Evogue SD4 S</t>
  </si>
  <si>
    <t>Range Rover Velar 380ps SE</t>
  </si>
  <si>
    <t>Range Rover Velar 380ps HSE</t>
  </si>
  <si>
    <t>Range Rover Velar 380ps R-Dynamic Base</t>
  </si>
  <si>
    <t>Range Rover Velar 380ps R-Dynamic S</t>
  </si>
  <si>
    <t>Range Rover Velar 380ps R-Dynamic SE</t>
  </si>
  <si>
    <t>Range Rover Velar 380ps R-Dynamic HSE</t>
  </si>
  <si>
    <t>Range Rover V6  (380PS) SVAutobiography LWB</t>
  </si>
  <si>
    <t>Freelander</t>
  </si>
  <si>
    <t>Freelander 5DR</t>
  </si>
  <si>
    <t>Freelander 5DR  (II'E')</t>
  </si>
  <si>
    <t>Freelander  5Dr SE</t>
  </si>
  <si>
    <t>Freelander  5Dr HSE</t>
  </si>
  <si>
    <t>Freelander K V6</t>
  </si>
  <si>
    <t>Freelander TD4 S</t>
  </si>
  <si>
    <t>Freelander TD4 SE</t>
  </si>
  <si>
    <t>Freelander SD4 S</t>
  </si>
  <si>
    <t>Freelander SD4 SE</t>
  </si>
  <si>
    <t>Freelander SD4 HSE</t>
  </si>
  <si>
    <t>Freelander Si4 Dynamic</t>
  </si>
  <si>
    <t>Freelander Si4 HSE</t>
  </si>
  <si>
    <t>LEYLAND</t>
  </si>
  <si>
    <t>80.14 C&amp;C Turbo</t>
  </si>
  <si>
    <t>diesel</t>
  </si>
  <si>
    <t>140HP</t>
  </si>
  <si>
    <t>90.16 C&amp;C Turbo</t>
  </si>
  <si>
    <t>160HP</t>
  </si>
  <si>
    <t>15.18 C&amp;C Turbo</t>
  </si>
  <si>
    <t>180HP</t>
  </si>
  <si>
    <t>15.18 Tipper</t>
  </si>
  <si>
    <t>2516 Haulage</t>
  </si>
  <si>
    <t>2516 Tipper CC Turbo</t>
  </si>
  <si>
    <t>2516 Cement Mixer H/4C 6X4 6cumetre drum(shwing stetter) Turbo</t>
  </si>
  <si>
    <t>2518 C&amp;C</t>
  </si>
  <si>
    <t>2518 Tipper</t>
  </si>
  <si>
    <t>2523 Tipper</t>
  </si>
  <si>
    <t>225HP</t>
  </si>
  <si>
    <t>Eagle Bus</t>
  </si>
  <si>
    <t>Bus</t>
  </si>
  <si>
    <t>4921 Tractor Turbo 210hp</t>
  </si>
  <si>
    <t>210HP</t>
  </si>
  <si>
    <t>LYNX</t>
  </si>
  <si>
    <t>120hp</t>
  </si>
  <si>
    <t>HAWK</t>
  </si>
  <si>
    <t>130HP</t>
  </si>
  <si>
    <t>FALCON</t>
  </si>
  <si>
    <t>Stallion 4x4 Turbo</t>
  </si>
  <si>
    <t>160hp</t>
  </si>
  <si>
    <t>DAF</t>
  </si>
  <si>
    <t>DAF 45.160</t>
  </si>
  <si>
    <t>DAF CF85.460/Foden</t>
  </si>
  <si>
    <t>MACK</t>
  </si>
  <si>
    <t>MACK TRUCK RD686X</t>
  </si>
  <si>
    <t>283HP</t>
  </si>
  <si>
    <t>MAHINDRA</t>
  </si>
  <si>
    <t>Bolero</t>
  </si>
  <si>
    <t>Scorpio</t>
  </si>
  <si>
    <t>DCAB</t>
  </si>
  <si>
    <t>Bolero Maxi Truck</t>
  </si>
  <si>
    <t>Bolero FB</t>
  </si>
  <si>
    <t>Bolero Camper Gold</t>
  </si>
  <si>
    <t>Bolero Camper</t>
  </si>
  <si>
    <t>Bolero Big</t>
  </si>
  <si>
    <t>MERCEDES</t>
  </si>
  <si>
    <t>ACTROS 3331S  V6 LA 394HP PREMIUM</t>
  </si>
  <si>
    <t>ACTROS 3340S  V6 LA 394HP PREMIUM</t>
  </si>
  <si>
    <t>ACTROS 3340S  V6 LA 394HP CLASSIQUE</t>
  </si>
  <si>
    <t>ACTROS 3348S  V6 LA 476HP PREMIUM</t>
  </si>
  <si>
    <t>476HP</t>
  </si>
  <si>
    <t>ACTROS 3348S LOWER SPECS V8 LA 476HP</t>
  </si>
  <si>
    <t>ACTROS 3331B CONCRETE MIXER</t>
  </si>
  <si>
    <t>AXOR 2640</t>
  </si>
  <si>
    <t>AXOR 1843</t>
  </si>
  <si>
    <t>C180 Keyless go comfort package</t>
  </si>
  <si>
    <t>C180 Classic</t>
  </si>
  <si>
    <t>C180 Kompressor</t>
  </si>
  <si>
    <t>C180 CGI Blue Efficiency  CLASSIC(W204)</t>
  </si>
  <si>
    <t>C200K (Upto 2007)</t>
  </si>
  <si>
    <t>C200K  (Upto 2007)</t>
  </si>
  <si>
    <t>C200K ELEGANCE</t>
  </si>
  <si>
    <t>C200 (W204)</t>
  </si>
  <si>
    <t>C220</t>
  </si>
  <si>
    <t>C230 KOMPRESSOR</t>
  </si>
  <si>
    <t>C230K SPORT</t>
  </si>
  <si>
    <t>C240</t>
  </si>
  <si>
    <t>C250</t>
  </si>
  <si>
    <t>C250K Avant Garde</t>
  </si>
  <si>
    <t>C250 CDI</t>
  </si>
  <si>
    <t>C280 ELEGANCE</t>
  </si>
  <si>
    <t>C280 T MODEL</t>
  </si>
  <si>
    <t>C280</t>
  </si>
  <si>
    <t>C320 ELEGANCE</t>
  </si>
  <si>
    <t>C350</t>
  </si>
  <si>
    <t>C63 AMG V8</t>
  </si>
  <si>
    <t>C180</t>
  </si>
  <si>
    <t>C200 Exclusive</t>
  </si>
  <si>
    <t>C200 Avantgarde</t>
  </si>
  <si>
    <t>CLA 200</t>
  </si>
  <si>
    <t>CLA 250</t>
  </si>
  <si>
    <t>190E</t>
  </si>
  <si>
    <t>E 200K</t>
  </si>
  <si>
    <t>E200</t>
  </si>
  <si>
    <t>E200 Tronic plus</t>
  </si>
  <si>
    <t>E200T MODEL</t>
  </si>
  <si>
    <t>E200 CGI(184HP)</t>
  </si>
  <si>
    <t>E220D</t>
  </si>
  <si>
    <t>E220D CDI</t>
  </si>
  <si>
    <t>E220 CDI AMG</t>
  </si>
  <si>
    <t>E230 T</t>
  </si>
  <si>
    <t>E230K</t>
  </si>
  <si>
    <t>E230</t>
  </si>
  <si>
    <t>E 240</t>
  </si>
  <si>
    <t>E250 Tronic plus</t>
  </si>
  <si>
    <t>E250D</t>
  </si>
  <si>
    <t>E250 CGI(204HP)</t>
  </si>
  <si>
    <t>E250 CGI(211HP)</t>
  </si>
  <si>
    <t>E250 CDI-A BLUE EFFICIENCY</t>
  </si>
  <si>
    <t>E250 CGI</t>
  </si>
  <si>
    <t>E270 CDI</t>
  </si>
  <si>
    <t>E280</t>
  </si>
  <si>
    <t>E300</t>
  </si>
  <si>
    <t>E300 (252HP)</t>
  </si>
  <si>
    <t>Scorpio SUV (STD)</t>
  </si>
  <si>
    <t>Scorpio SUV (DIX) alloys.airbags,abs</t>
  </si>
  <si>
    <t>Bolero Ambulance Turbo</t>
  </si>
  <si>
    <t>AMB</t>
  </si>
  <si>
    <t>XUV 500</t>
  </si>
  <si>
    <t>Genio   5MT</t>
  </si>
  <si>
    <t>Maximo  4MT</t>
  </si>
  <si>
    <t>MAN</t>
  </si>
  <si>
    <t>Tgx 33.440 bbs tractor head</t>
  </si>
  <si>
    <t>440hp</t>
  </si>
  <si>
    <t>TGX 26.440</t>
  </si>
  <si>
    <t>Tga 33.400</t>
  </si>
  <si>
    <t>360hp</t>
  </si>
  <si>
    <t>6x4</t>
  </si>
  <si>
    <t>Tga 26.413  tractor unit</t>
  </si>
  <si>
    <t>Tga 27.400  tractor unit</t>
  </si>
  <si>
    <t>TGS 26.446</t>
  </si>
  <si>
    <t>ERF ECT SLEEPER CAB TRACTOR</t>
  </si>
  <si>
    <t>CLA 17.220 11M COWL CHASSIS ONLY</t>
  </si>
  <si>
    <t>CLA 17.220 SEMI LUX</t>
  </si>
  <si>
    <t>HB4 26.310</t>
  </si>
  <si>
    <t>CLA 26.280 (RIGID)</t>
  </si>
  <si>
    <t>CLA 26.280</t>
  </si>
  <si>
    <t>CLA 30.280 TURBO</t>
  </si>
  <si>
    <t>TGS 33.400 TURBO</t>
  </si>
  <si>
    <t>TGS 33.400 TIPMATIC (WITHOUT INTARDER)</t>
  </si>
  <si>
    <t>TGS 33.400 TIPMATIC (WITH INTARDER)</t>
  </si>
  <si>
    <t>TGS 33.440 BLS</t>
  </si>
  <si>
    <t>TGS 27.440 BLS</t>
  </si>
  <si>
    <t>19.320 BLS</t>
  </si>
  <si>
    <t>320hp</t>
  </si>
  <si>
    <t>MARUTI</t>
  </si>
  <si>
    <t>Alto LX</t>
  </si>
  <si>
    <t>Gypsy  S/Top (Pick-up)</t>
  </si>
  <si>
    <t>Gypsy  H/Top</t>
  </si>
  <si>
    <t>Omni CARGO VAN</t>
  </si>
  <si>
    <t>Omni PASS</t>
  </si>
  <si>
    <t>Swift Vxi</t>
  </si>
  <si>
    <t>Swift ZXI</t>
  </si>
  <si>
    <t>EECO 5S</t>
  </si>
  <si>
    <t>EECO 7S</t>
  </si>
  <si>
    <t>EECO 5S AC</t>
  </si>
  <si>
    <t>ZEN EURO-STD</t>
  </si>
  <si>
    <t>ZEN EURO AC</t>
  </si>
  <si>
    <t>ZEN EURO STD</t>
  </si>
  <si>
    <t>MAZDA</t>
  </si>
  <si>
    <t>6 Saloon</t>
  </si>
  <si>
    <t>6 Saloon /Atenza</t>
  </si>
  <si>
    <t>6 Saloon AT</t>
  </si>
  <si>
    <t>6 HatchBack</t>
  </si>
  <si>
    <t>323 Astina</t>
  </si>
  <si>
    <t>323 Etude</t>
  </si>
  <si>
    <t>323 Midge</t>
  </si>
  <si>
    <t>323 Sting</t>
  </si>
  <si>
    <t>Carol</t>
  </si>
  <si>
    <t>Mazda 3/Axela</t>
  </si>
  <si>
    <t>Atenza</t>
  </si>
  <si>
    <t>Bianco</t>
  </si>
  <si>
    <t>Biante</t>
  </si>
  <si>
    <t>Bongo Friendee SG Platform</t>
  </si>
  <si>
    <t>Van</t>
  </si>
  <si>
    <t>Bongo SKF2V</t>
  </si>
  <si>
    <t>Bongo SK Platform</t>
  </si>
  <si>
    <t>B  H/Rider</t>
  </si>
  <si>
    <t>B  STD</t>
  </si>
  <si>
    <t>B</t>
  </si>
  <si>
    <t>BT50 s/C 4X2 TDI. Drop side body</t>
  </si>
  <si>
    <t>BT50 s/C TDI. Drop side body</t>
  </si>
  <si>
    <t>BT50 D/C 5MT 4X4 TDI</t>
  </si>
  <si>
    <t>BT50 D/C 6MT 4X4 TDI</t>
  </si>
  <si>
    <t>Capella</t>
  </si>
  <si>
    <t>CX-5</t>
  </si>
  <si>
    <t>CX-7</t>
  </si>
  <si>
    <t>Demio</t>
  </si>
  <si>
    <t>Familia</t>
  </si>
  <si>
    <t>Millenia</t>
  </si>
  <si>
    <t>MPV</t>
  </si>
  <si>
    <t>Premacy  MZR I4</t>
  </si>
  <si>
    <t>Premacy MZ-CD Diesel I4</t>
  </si>
  <si>
    <t>MX5 Roadster</t>
  </si>
  <si>
    <t>RX8 SPORT</t>
  </si>
  <si>
    <t>RX8 GRAND TOURING</t>
  </si>
  <si>
    <t>RX8 R3</t>
  </si>
  <si>
    <t>RUSTLER</t>
  </si>
  <si>
    <t>S/CABIN</t>
  </si>
  <si>
    <t>TITAN S/CAB</t>
  </si>
  <si>
    <t>T 3500 C/CAB</t>
  </si>
  <si>
    <t>TRIBUTE</t>
  </si>
  <si>
    <t>T350 MANYAGA</t>
  </si>
  <si>
    <t>Scrub</t>
  </si>
  <si>
    <t>VERISA</t>
  </si>
  <si>
    <t>Mercedes smart car</t>
  </si>
  <si>
    <t>A150 Classic</t>
  </si>
  <si>
    <t>A150 Elegance</t>
  </si>
  <si>
    <t>A160 Elegance</t>
  </si>
  <si>
    <t>A170 Elegance SE</t>
  </si>
  <si>
    <t>A190 (GF 168032)</t>
  </si>
  <si>
    <t>A200 (HIGH SPECS)</t>
  </si>
  <si>
    <t>A200 (LOW SPECS)</t>
  </si>
  <si>
    <t>B170</t>
  </si>
  <si>
    <t>B200 CDI</t>
  </si>
  <si>
    <t>ACTROS 1835/1840</t>
  </si>
  <si>
    <t>435hp</t>
  </si>
  <si>
    <t>ACTROS 2031</t>
  </si>
  <si>
    <t>313HP</t>
  </si>
  <si>
    <t>ACTROS 2040S  V6 LA 349HP</t>
  </si>
  <si>
    <t>ACTROS 2031  V6 LA 313HP - Classique</t>
  </si>
  <si>
    <t>ACTROS 2040S  V6 LA 349HP - Premium</t>
  </si>
  <si>
    <t>394HP</t>
  </si>
  <si>
    <t>ACTROS 2540</t>
  </si>
  <si>
    <t>ACTROS 2542</t>
  </si>
  <si>
    <t>ACTROS 2545</t>
  </si>
  <si>
    <t>ACTROS 2554</t>
  </si>
  <si>
    <t>ACTROS 3330</t>
  </si>
  <si>
    <t>ACTROS 3331S  V6 LA 313HP CLASSIQUE</t>
  </si>
  <si>
    <t>ACTROS 3331S  V6 LA 313HP PREMIUM</t>
  </si>
  <si>
    <t>Range Rover Evogue SD4 SE</t>
  </si>
  <si>
    <t>Range Rover Evogue SD4 HSE</t>
  </si>
  <si>
    <t>Range Rover Evogue SD4 SE Plus</t>
  </si>
  <si>
    <t>Range Rover Evogue SD4 SE Dynamic Special Edition</t>
  </si>
  <si>
    <t>Range Rover Evogue SD4 HSE DYNAMIC</t>
  </si>
  <si>
    <t>Range Rover Evogue SD4 Coupe HSE Dynamic</t>
  </si>
  <si>
    <t>Range Rover Evogue SD4 Convertible HSE Dynamic</t>
  </si>
  <si>
    <t>Range Rover Evogue SD4 Autobiography</t>
  </si>
  <si>
    <t>Range Rover Evogue Si4 S</t>
  </si>
  <si>
    <t>Range Rover Evogue Si4 SE</t>
  </si>
  <si>
    <t>Range Rover Evogue Si4 SE Plus</t>
  </si>
  <si>
    <t>Range Rover Evogue Si4 SE Dynamic Special Edition</t>
  </si>
  <si>
    <t>Range Rover Evogue Si4 HSE</t>
  </si>
  <si>
    <t>Range Rover Evogue Si4 HSE DYNAMIC</t>
  </si>
  <si>
    <t>Range Rover Evogue Si4 Autobiography</t>
  </si>
  <si>
    <t>Range Rover Evogue Si4 Coupe HSE Dynamic</t>
  </si>
  <si>
    <t>Range Rover Evogue Si4 Convertible HSE Dynamic</t>
  </si>
  <si>
    <t>Range Rover Sport P</t>
  </si>
  <si>
    <t>Range Rover Sport SDV8 HSE DYNAMIC</t>
  </si>
  <si>
    <t>Range Rover Sport SDV8 AutoBiography Dynamic</t>
  </si>
  <si>
    <t>Range Rover Sport SDV6 SE</t>
  </si>
  <si>
    <t>Range Rover Sport SDV6 HSE</t>
  </si>
  <si>
    <t>Range Rover Sport SDV8 HSE Dynamic</t>
  </si>
  <si>
    <t>Range Rover Sport TDV6 S</t>
  </si>
  <si>
    <t>Range Rover Sport TDV6 SE</t>
  </si>
  <si>
    <t>Range Rover Sport TDV6 HSE</t>
  </si>
  <si>
    <t>Range Rover sport  TDV8 SE</t>
  </si>
  <si>
    <t>Range Rover Sport TDV8 HSE</t>
  </si>
  <si>
    <t>Range Rover sport  TDV8 SC</t>
  </si>
  <si>
    <t>Range Rover Sport V6 Supercharged S</t>
  </si>
  <si>
    <t>Range Rover Sport V6 Supercharged SE</t>
  </si>
  <si>
    <t>Range Rover Sport V6 Supercharged HSE</t>
  </si>
  <si>
    <t>Range Rover Sport V6 Supercharged HST</t>
  </si>
  <si>
    <t>Range Rover Sport V6 AB Dynamic</t>
  </si>
  <si>
    <t>Range Rover Sport V8 Supercharged HSE Dynamic</t>
  </si>
  <si>
    <t>Range Rover Sport V8 AutoBiography Dynamic</t>
  </si>
  <si>
    <t>Range Rover Sport V8 Supercharged Autobiography Dynamic</t>
  </si>
  <si>
    <t>Range Rover Sport V8 Supercharged SVR</t>
  </si>
  <si>
    <t>Range Rover SDV8 Vogue Autobiography-SWB</t>
  </si>
  <si>
    <t>Range Rover TDV6 Vogue -SWB</t>
  </si>
  <si>
    <t>Range Rover TDV6 Vogue SWB</t>
  </si>
  <si>
    <t>Range Rover TDV8 VOGUE</t>
  </si>
  <si>
    <t>Range Rover V6 (340PS) Vogue-SWB</t>
  </si>
  <si>
    <t>Range Rover V6 (340PS) Vogue SWB</t>
  </si>
  <si>
    <t>Range Rover V6 (380PS) Vogue SE-SWB</t>
  </si>
  <si>
    <t>Range Rover SDV8 Vogue SE SWB</t>
  </si>
  <si>
    <t>Range Rover SDV8 Vogue SE -SWB</t>
  </si>
  <si>
    <t>Range Rover SDV8 Autobiography SWB</t>
  </si>
  <si>
    <t>Range Rover V6 (380PS) Vogue LWB</t>
  </si>
  <si>
    <t>Range Rover V6 (380PS)Vogue SE LWB</t>
  </si>
  <si>
    <t>Range Rover V6 (380PS)Vogue SE SWB</t>
  </si>
  <si>
    <t>Range Rover V6 (380PS) Autobiography-SWB</t>
  </si>
  <si>
    <t>Range Rover V6  (380PS) Autobiography SWB</t>
  </si>
  <si>
    <t>Range Rover V6 (380PS) Vogue SE- LWB</t>
  </si>
  <si>
    <t>Range Rover V6 (380PS) Autobiography - LWB</t>
  </si>
  <si>
    <t>Range Rover V6 SV Autobiography-LWB</t>
  </si>
  <si>
    <t>Range Rover V8 Super charged Vogue SWB</t>
  </si>
  <si>
    <t>Range Rover V8 Supercharged Vogue SE-SWB</t>
  </si>
  <si>
    <t>Range Rover V8 Supercharged Autobiography-SWB</t>
  </si>
  <si>
    <t>Range Rover V8 Supercharged SVA Dynamic-SWB</t>
  </si>
  <si>
    <t>Range Rover V8 Supercharged Vogue SE -LWB</t>
  </si>
  <si>
    <t>Range Rover V8 Supercharged Vogue LWB</t>
  </si>
  <si>
    <t>Range Rover V8 Supercharged Autobiography -LWB</t>
  </si>
  <si>
    <t>Range Rover V8 Supercharged SV Autobiography -LWB</t>
  </si>
  <si>
    <t>Range Rover SDV8 Vogue SE -LWB</t>
  </si>
  <si>
    <t>Range Rover SDV8 Vogue Autobiography-LWB</t>
  </si>
  <si>
    <t>Range Rover SDV8 Autobiography LWB</t>
  </si>
  <si>
    <t>Range Rover SDV8 SV Autobiography -LWB</t>
  </si>
  <si>
    <t>Range Rover Velar 180ps Base</t>
  </si>
  <si>
    <t>Range Rover Velar 180ps S</t>
  </si>
  <si>
    <t>Range Rover Velar 180ps SE</t>
  </si>
  <si>
    <t>Range Rover Velar 180ps HSE</t>
  </si>
  <si>
    <t>Range Rover Velar 180ps R-Dynamic Base</t>
  </si>
  <si>
    <t>Range Rover Velar 180ps R-Dynamic S</t>
  </si>
  <si>
    <t>Range Rover Velar 180ps R-Dynamic SE</t>
  </si>
  <si>
    <t>Range Rover Velar 180ps R-Dynamic HSE</t>
  </si>
  <si>
    <t>Range Rover Velar 250ps Base</t>
  </si>
  <si>
    <t>Range Rover Velar 250ps S</t>
  </si>
  <si>
    <t>Range Rover Velar 250ps HSE</t>
  </si>
  <si>
    <t>Range Rover Velar 250ps R-Dynamic Base</t>
  </si>
  <si>
    <t>Range Rover Velar 250ps R-Dynamic S</t>
  </si>
  <si>
    <t>Range Rover Velar 250ps R-Dynamic SE</t>
  </si>
  <si>
    <t>Range Rover Velar 250ps R-Dynamic HSE</t>
  </si>
  <si>
    <t>Range Rover Velar 300ps Base</t>
  </si>
  <si>
    <t>Range Rover Velar 300ps S</t>
  </si>
  <si>
    <t>Range Rover Velar 300ps SE</t>
  </si>
  <si>
    <t>Range Rover Velar 300ps HSE</t>
  </si>
  <si>
    <t>Range Rover Velar 300ps R-Dynamic Base</t>
  </si>
  <si>
    <t>Range Rover Velar 300ps R-Dynamic S</t>
  </si>
  <si>
    <t>Range Rover Velar 300ps R-Dynamic SE</t>
  </si>
  <si>
    <t>Range Rover Velar 300ps R-Dynamic HSE</t>
  </si>
  <si>
    <t>Range Rover Velar 340ps Base</t>
  </si>
  <si>
    <t>Range Rover Velar 340ps S</t>
  </si>
  <si>
    <t>Range Rover Velar 340ps SE</t>
  </si>
  <si>
    <t>Range Rover Velar 340ps HSE</t>
  </si>
  <si>
    <t>Range Rover Velar 340ps R-Dynamic Base</t>
  </si>
  <si>
    <t>Range Rover Velar 340ps R-Dynamic S</t>
  </si>
  <si>
    <t>Range Rover Velar 340ps R-Dynamic SE</t>
  </si>
  <si>
    <t>Range Rover Velar 340ps R-Dynamic HSE</t>
  </si>
  <si>
    <t>Range Rover Velar 380ps Base</t>
  </si>
  <si>
    <t>Range Rover Velar 380ps S</t>
  </si>
  <si>
    <t>NISSAN</t>
  </si>
  <si>
    <t>Sentra MT</t>
  </si>
  <si>
    <t>Sentra CVT HI SPEC</t>
  </si>
  <si>
    <t>Serena</t>
  </si>
  <si>
    <t>Teana</t>
  </si>
  <si>
    <t>TERRANO ii</t>
  </si>
  <si>
    <t>TIIDA  SC11</t>
  </si>
  <si>
    <t>TIIDA SC11</t>
  </si>
  <si>
    <t>TIIDA</t>
  </si>
  <si>
    <t>TIIDA Latio N17</t>
  </si>
  <si>
    <t>TIIDA Latio</t>
  </si>
  <si>
    <t>X-TRAIL Mpfi NT31</t>
  </si>
  <si>
    <t>X-TRAIL ETI NT31</t>
  </si>
  <si>
    <t>X-TRAIL Mpfi CVT T31</t>
  </si>
  <si>
    <t>X-TRAIL Mpfi CVT(NEW) NT32</t>
  </si>
  <si>
    <t>X-TRAIL  P NT30</t>
  </si>
  <si>
    <t>X-TRAIL D NT30</t>
  </si>
  <si>
    <t>X-TRAIL LE CVT</t>
  </si>
  <si>
    <t>X-TRAIL  XE CVT</t>
  </si>
  <si>
    <t>Vanette NV200</t>
  </si>
  <si>
    <t>Vanette</t>
  </si>
  <si>
    <t>Wingroad</t>
  </si>
  <si>
    <t>NISSAN DIESEL/UD</t>
  </si>
  <si>
    <t>CB 31 SXN 11M COWL</t>
  </si>
  <si>
    <t>CB 31 SXN SEMI LUX</t>
  </si>
  <si>
    <t>CB 31 SXN DELUXE</t>
  </si>
  <si>
    <t>CB 46 TURBO (SXN) SWB TURBO INTERCOOLER COWL 11M</t>
  </si>
  <si>
    <t>CB 46 TURBO (SXN) SWB TURBO INTERCOOLER SEMI LUX</t>
  </si>
  <si>
    <t>CB 46 TURBO (SXN) SWB TURBO INTERCOOLER DELUXE</t>
  </si>
  <si>
    <t>CB 46 TURBO (SXN) LWB TURBO INTERCOOLER COWL 12M</t>
  </si>
  <si>
    <t>CB 46 TURBO (SXN) LWB TURBO INTERCOOLER SEMI LUX</t>
  </si>
  <si>
    <t>CB 46 TURBO (SXN) LWB TURBO INTERCOOLER DELUXE</t>
  </si>
  <si>
    <t>CWB 450 PPNA (pm)</t>
  </si>
  <si>
    <t>CWB 450 PPNA (rigid)</t>
  </si>
  <si>
    <t>MKB 210 L SWB cowl chassis only</t>
  </si>
  <si>
    <t>MKB 210 L SWB semi luxury bus</t>
  </si>
  <si>
    <t>3X2</t>
  </si>
  <si>
    <t>MKB 210 L SWB deluxe bus</t>
  </si>
  <si>
    <t>MKB 210 LWB long wheel base bus/cowl chassis only</t>
  </si>
  <si>
    <t>MKB 210 LWB semi luxury bus(seating)</t>
  </si>
  <si>
    <t>MKB 210 LWB semi luxury bus(fabric seating)</t>
  </si>
  <si>
    <t>NU 41 H5 semi luxury bus</t>
  </si>
  <si>
    <t>NU 41 H5 deluxe</t>
  </si>
  <si>
    <t>NU41 H5 semi luxury bus</t>
  </si>
  <si>
    <t>NU41 H5 deluxe</t>
  </si>
  <si>
    <t>NU 41 Truck</t>
  </si>
  <si>
    <t>PKF 210 TURBO CHASSIS ONLY</t>
  </si>
  <si>
    <t>PKF 210 TURBO SEMI LUX</t>
  </si>
  <si>
    <t>PKF 210 TURBO DELUXE</t>
  </si>
  <si>
    <t>PKF 210 NHRQ  TURBO</t>
  </si>
  <si>
    <t>QUON</t>
  </si>
  <si>
    <t>6X5</t>
  </si>
  <si>
    <t>OPEL</t>
  </si>
  <si>
    <t>Corsa D</t>
  </si>
  <si>
    <t>Corsa 140i</t>
  </si>
  <si>
    <t>Astra CDE</t>
  </si>
  <si>
    <t>Opel Kadette/Zafira Club</t>
  </si>
  <si>
    <t>VECTRA</t>
  </si>
  <si>
    <t>PEUGEOT</t>
  </si>
  <si>
    <t>202GL</t>
  </si>
  <si>
    <t>305 GR</t>
  </si>
  <si>
    <t>307 Estate</t>
  </si>
  <si>
    <t>307 XR</t>
  </si>
  <si>
    <t>307 XT  Sal</t>
  </si>
  <si>
    <t>307 XT</t>
  </si>
  <si>
    <t>405GR</t>
  </si>
  <si>
    <t>406 SR</t>
  </si>
  <si>
    <t>406 SR Estate</t>
  </si>
  <si>
    <t>406 ST</t>
  </si>
  <si>
    <t>407 ST</t>
  </si>
  <si>
    <t>407 CF E</t>
  </si>
  <si>
    <t>407 sp  hdi</t>
  </si>
  <si>
    <t>407 V6 GH</t>
  </si>
  <si>
    <t>504 GR/SR</t>
  </si>
  <si>
    <t>508 ACTIVE</t>
  </si>
  <si>
    <t>508 ALLURE (Electric front seats, push to start button)</t>
  </si>
  <si>
    <t>308 ACTIVE</t>
  </si>
  <si>
    <t>Partner COMBI</t>
  </si>
  <si>
    <t>Partner VAN (OLD)</t>
  </si>
  <si>
    <t>Partner Tepee</t>
  </si>
  <si>
    <t>Partner Tepee HDI</t>
  </si>
  <si>
    <t>Partner HDI</t>
  </si>
  <si>
    <t>Expert HDI</t>
  </si>
  <si>
    <t>Expert Tepee Microbus HDI</t>
  </si>
  <si>
    <t>Boxer Panel Van</t>
  </si>
  <si>
    <t>Boxer Panel Van (OLD)</t>
  </si>
  <si>
    <t>Boxer Microbus HDI</t>
  </si>
  <si>
    <t>Boxer Boxer Ambulance HDI</t>
  </si>
  <si>
    <t>PORSCHE</t>
  </si>
  <si>
    <t>718 Boxster AT</t>
  </si>
  <si>
    <t>Convertible</t>
  </si>
  <si>
    <t>boxster</t>
  </si>
  <si>
    <t>boxster s</t>
  </si>
  <si>
    <t>boxster spyder</t>
  </si>
  <si>
    <t>718 Cayman</t>
  </si>
  <si>
    <t>cayman</t>
  </si>
  <si>
    <t>cayman s</t>
  </si>
  <si>
    <t>cayman r</t>
  </si>
  <si>
    <t>911 Carrera</t>
  </si>
  <si>
    <t>912 carrera s</t>
  </si>
  <si>
    <t>911 carrera cabriolet</t>
  </si>
  <si>
    <t>911 carrera s cabriolet</t>
  </si>
  <si>
    <t>911 carrera 4</t>
  </si>
  <si>
    <t>911 carrera 4s</t>
  </si>
  <si>
    <t>E320</t>
  </si>
  <si>
    <t>E350  v6</t>
  </si>
  <si>
    <t>E350 CDI BlueTec</t>
  </si>
  <si>
    <t>E500 W211/212 AVANTGARDE</t>
  </si>
  <si>
    <t>E350 A207 BLUEEFF ELEGANCE</t>
  </si>
  <si>
    <t>E63 AMG Biturbo V8 4Matic 7spn</t>
  </si>
  <si>
    <t>E63 AMG Biturbo V8 4Matic</t>
  </si>
  <si>
    <t>E63 AMG Biturbo V12</t>
  </si>
  <si>
    <t>G 300 Proffessional</t>
  </si>
  <si>
    <t>GL320 CDI</t>
  </si>
  <si>
    <t>GL350 CDI</t>
  </si>
  <si>
    <t>GL420 CDI</t>
  </si>
  <si>
    <t>GL450 CDI V8</t>
  </si>
  <si>
    <t>GL550 CDI V8</t>
  </si>
  <si>
    <t>GLA 200</t>
  </si>
  <si>
    <t>GLA 250 4MATIC SUV</t>
  </si>
  <si>
    <t>GLC 250 4MATIC SUV</t>
  </si>
  <si>
    <t>GLC 250 4MATIC</t>
  </si>
  <si>
    <t>GLE 250 4MATIC SUV</t>
  </si>
  <si>
    <t>GLE 400 4MATIC</t>
  </si>
  <si>
    <t>GLS 350D</t>
  </si>
  <si>
    <t>GLS 500</t>
  </si>
  <si>
    <t>S280</t>
  </si>
  <si>
    <t>S320</t>
  </si>
  <si>
    <t>S320  LWB(LONG WHEEL BASE)</t>
  </si>
  <si>
    <t>S350L</t>
  </si>
  <si>
    <t>S350L CDI V6 BLUE EFFICIENCY</t>
  </si>
  <si>
    <t>S400 HYBRID V6</t>
  </si>
  <si>
    <t>S420</t>
  </si>
  <si>
    <t>S500</t>
  </si>
  <si>
    <t>S550 V8</t>
  </si>
  <si>
    <t>S600 TWIN TURBO V12</t>
  </si>
  <si>
    <t>S63 AMG BI-TURBO V8</t>
  </si>
  <si>
    <t>S65 AMG BI-TURBO V12</t>
  </si>
  <si>
    <t>CL420</t>
  </si>
  <si>
    <t>CL500</t>
  </si>
  <si>
    <t>CL600</t>
  </si>
  <si>
    <t>CLK230 K</t>
  </si>
  <si>
    <t>CLK320</t>
  </si>
  <si>
    <t>CLS250 CDI Blue Efficiency</t>
  </si>
  <si>
    <t>SAL</t>
  </si>
  <si>
    <t>CLS 320 CDI</t>
  </si>
  <si>
    <t>CLS 350 CDI BlueEfficiency V6</t>
  </si>
  <si>
    <t>CLS 350 V6</t>
  </si>
  <si>
    <t>CLS 500 BlueEfficiency V6</t>
  </si>
  <si>
    <t>CLS 63 AMG</t>
  </si>
  <si>
    <t>ML 250 CDI BLUETECH</t>
  </si>
  <si>
    <t>ML 270 CDI</t>
  </si>
  <si>
    <t>ML 280 CDI V6</t>
  </si>
  <si>
    <t>ML 300 TURBO INTERCOOLER 6 CYL Low Spec</t>
  </si>
  <si>
    <t>ML 320 CDI</t>
  </si>
  <si>
    <t>ML 350 CDI</t>
  </si>
  <si>
    <t>ML 350 CDI TURBO INTERCOOLER 6 CYL HIGH SPECS</t>
  </si>
  <si>
    <t>ML 350 Petrol</t>
  </si>
  <si>
    <t>ML 350 V6 BlueEfficiency</t>
  </si>
  <si>
    <t>ML 430</t>
  </si>
  <si>
    <t>ML 500</t>
  </si>
  <si>
    <t>ML 550 V8</t>
  </si>
  <si>
    <t>SEL 300</t>
  </si>
  <si>
    <t>SL320 RS</t>
  </si>
  <si>
    <t>SL500 RS</t>
  </si>
  <si>
    <t>SL550 RS</t>
  </si>
  <si>
    <t>SL600 RS</t>
  </si>
  <si>
    <t>SLK200</t>
  </si>
  <si>
    <t>SLK230</t>
  </si>
  <si>
    <t>SLK 250 RS</t>
  </si>
  <si>
    <t>SLS AMG V8 RS</t>
  </si>
  <si>
    <t>MB 313 Sprinter van</t>
  </si>
  <si>
    <t>MB 308 Sprinter van</t>
  </si>
  <si>
    <t>MB 413 Van</t>
  </si>
  <si>
    <t>M/BU</t>
  </si>
  <si>
    <t>Mercedes MB</t>
  </si>
  <si>
    <t>Vito/Viano 111 CDI</t>
  </si>
  <si>
    <t>MINI</t>
  </si>
  <si>
    <t>Mini one</t>
  </si>
  <si>
    <t>MITSUBISHI</t>
  </si>
  <si>
    <t>Airtrek 4G63</t>
  </si>
  <si>
    <t>Airtrek 4G64</t>
  </si>
  <si>
    <t>ASX-GA2WXTSHR</t>
  </si>
  <si>
    <t>Carisma</t>
  </si>
  <si>
    <t>Colt L</t>
  </si>
  <si>
    <t>Colt</t>
  </si>
  <si>
    <t>Colt Plus</t>
  </si>
  <si>
    <t>Canter FE515 B8RB12</t>
  </si>
  <si>
    <t>Canter FE635 E6RB11</t>
  </si>
  <si>
    <t>Canter FE659 F6RB11</t>
  </si>
  <si>
    <t>Canter FE84PE6RB11 C &amp; C</t>
  </si>
  <si>
    <t>Canter FE85PG6RB11 C &amp; C</t>
  </si>
  <si>
    <t>FH215</t>
  </si>
  <si>
    <t>Canter FG84D</t>
  </si>
  <si>
    <t>Challenger- K97WGRHFR ICT</t>
  </si>
  <si>
    <t>CHARIOT/GRANDIS</t>
  </si>
  <si>
    <t>DELICA</t>
  </si>
  <si>
    <t>Delica Van</t>
  </si>
  <si>
    <t>DIAMANTE/MAGMA/VERADA/V3000</t>
  </si>
  <si>
    <t>DION EXCEED</t>
  </si>
  <si>
    <t>EK Wagon</t>
  </si>
  <si>
    <t>EK Wagon 4wd</t>
  </si>
  <si>
    <t>TOPPO</t>
  </si>
  <si>
    <t>FUSO BM117 - SEMI LUXURY BUS 3X2 61+1 SEAT TURBO CHARGED</t>
  </si>
  <si>
    <t>FUSO FH 215JBRB11 CC</t>
  </si>
  <si>
    <t>FUSO FJ2523C TIPPER</t>
  </si>
  <si>
    <t>FUSO FM 615LHRB11 (Chassis only)</t>
  </si>
  <si>
    <t>FUSO FM 615LHRB11</t>
  </si>
  <si>
    <t>FUSO FM 617</t>
  </si>
  <si>
    <t>FUSO FM 627</t>
  </si>
  <si>
    <t>FUSO FM 657LRB11 Turbo</t>
  </si>
  <si>
    <t>FUSO FM 657</t>
  </si>
  <si>
    <t>FUSO FN 617RSRB11 6x2</t>
  </si>
  <si>
    <t>FUSO FN 617RSRB11</t>
  </si>
  <si>
    <t>FUSO FK 618K 6D16</t>
  </si>
  <si>
    <t>FUSO FK 619K 6D17</t>
  </si>
  <si>
    <t>FUSO FN 627RSRB11 6x4</t>
  </si>
  <si>
    <t>FUSO FV 515HRRB11</t>
  </si>
  <si>
    <t>Fuso FV 517JR2RB1A 6x4</t>
  </si>
  <si>
    <t>Fuso 1217C</t>
  </si>
  <si>
    <t>Fuso 2523C</t>
  </si>
  <si>
    <t>Fuso 2523R</t>
  </si>
  <si>
    <t>Fuso FZ4928</t>
  </si>
  <si>
    <t>6X6</t>
  </si>
  <si>
    <t>Fuso FJ2528 wet mixer</t>
  </si>
  <si>
    <t>Galant - EA2ASNHER</t>
  </si>
  <si>
    <t>Galant - EA2ASRHER  (K97)</t>
  </si>
  <si>
    <t>Galant Fortis</t>
  </si>
  <si>
    <t>Galant Fortis- CY4A</t>
  </si>
  <si>
    <t>GTO 3000GT</t>
  </si>
  <si>
    <t>L200 - K14TUNSRK</t>
  </si>
  <si>
    <t>L200 - K34TUNSRK</t>
  </si>
  <si>
    <t>L200 - K74TJENSR/AC (LA4)</t>
  </si>
  <si>
    <t>L200 - KA4TNENMR</t>
  </si>
  <si>
    <t>L200 - KA4TNENMR TURBO CHARGED</t>
  </si>
  <si>
    <t>L200 - KB7TNENMR LSD</t>
  </si>
  <si>
    <t>L200 - KB4TGJNXZR TURBO CHARGED DID</t>
  </si>
  <si>
    <t>L200 - KB7TNJNMR</t>
  </si>
  <si>
    <t>L200 - KB8TGJRXZR TURBO CHARGED DID</t>
  </si>
  <si>
    <t>L200 - KL3TJYHFR Highgrade AT</t>
  </si>
  <si>
    <t>L300 SWB</t>
  </si>
  <si>
    <t>Lancer - CS1ASNDEBR</t>
  </si>
  <si>
    <t>Lancer - CS1ASNDR (H29)</t>
  </si>
  <si>
    <t>Lancer Cedia LA-CS2A</t>
  </si>
  <si>
    <t>Lancer - CS3ASNJEBR</t>
  </si>
  <si>
    <t>Lancer - CS3ASTJER</t>
  </si>
  <si>
    <t>Lancer - CS5AW</t>
  </si>
  <si>
    <t>Lancer Cedia LA-CS5A</t>
  </si>
  <si>
    <t>Lancer - CY1ASNSHR GLX</t>
  </si>
  <si>
    <t>MANUAI</t>
  </si>
  <si>
    <t>Lancer - CY1ASRSHR GLX</t>
  </si>
  <si>
    <t>Lancer - CY2ASNSHR GLX</t>
  </si>
  <si>
    <t>Lancer - CY2ASNSR</t>
  </si>
  <si>
    <t>Lancer - CY2ASRSHR</t>
  </si>
  <si>
    <t>Lancer - CY4ASTMHR GLS</t>
  </si>
  <si>
    <t>Lancer - CY4ASTXHR GT</t>
  </si>
  <si>
    <t>Lancer Evolution MR GT GH-CT9W-LYGFZ AT</t>
  </si>
  <si>
    <t>Lancer Evolution MR GT GH-CT9W-LYGFZ MT</t>
  </si>
  <si>
    <t>Lancer Evolution IX GH-CT9A MT</t>
  </si>
  <si>
    <t>Lancer Evolution IX MR GSR GH-CT9A-SJGFZ MT</t>
  </si>
  <si>
    <t>Lancer Evolution X GSR-CBA-CZ4A AT</t>
  </si>
  <si>
    <t>Lancer Evolution X GSR-CBA-CZ4A MT</t>
  </si>
  <si>
    <t>Lancer cargo CS2V</t>
  </si>
  <si>
    <t>Minica 3 Doors</t>
  </si>
  <si>
    <t>Minica</t>
  </si>
  <si>
    <t>Minica 5 Doors</t>
  </si>
  <si>
    <t>Nativa K97W GRHFR ICT</t>
  </si>
  <si>
    <t>OutLander - CU4WXRHEZR</t>
  </si>
  <si>
    <t>Outlander-CW5WXTSHZR</t>
  </si>
  <si>
    <t>Outlander-CW5WXTSHZR LEATHER SEAT</t>
  </si>
  <si>
    <t>Pajero/Shogun Mini</t>
  </si>
  <si>
    <t>Pajero/Shogun - V31WNHERK A/C</t>
  </si>
  <si>
    <t>Pajero/Shogun - V31WNHERK CKD</t>
  </si>
  <si>
    <t>Pajero/Shogun - V31VNDRK1 A/C</t>
  </si>
  <si>
    <t>Pajero/Shogun - V36WHNRK</t>
  </si>
  <si>
    <t>Pajero/Shogun - V44W</t>
  </si>
  <si>
    <t>Pajero/Shogun - V46W/V26</t>
  </si>
  <si>
    <t>Pajero/Shogun - V55W</t>
  </si>
  <si>
    <t>Pajero/Shogun - V73WLRXVR</t>
  </si>
  <si>
    <t>Pajero/Shogun - V73WLNHVR OPT D54</t>
  </si>
  <si>
    <t>Pajero/Shogun - V75W</t>
  </si>
  <si>
    <t>Pajero/Shogun- V76WLNDFR</t>
  </si>
  <si>
    <t>Pajero/Shogun - V78WLYXFQR</t>
  </si>
  <si>
    <t>Pajero/Shogun - V83W</t>
  </si>
  <si>
    <t>Pajero/Shogun-V88W</t>
  </si>
  <si>
    <t>Pajero/Shogun - V93WLRXVQR MPI GLS</t>
  </si>
  <si>
    <t>Pajero/Shogun - V96WLNHFR GLS</t>
  </si>
  <si>
    <t>Pajero/Shogun - V96WLNXFR GLX</t>
  </si>
  <si>
    <t>Pajero/Shogun - V96WLRXFR GLS</t>
  </si>
  <si>
    <t>Pajero/Shogun - V96WLNDFR GL</t>
  </si>
  <si>
    <t>Pajero/Shogun - V97  V6</t>
  </si>
  <si>
    <t>Pajero/Shogun - V98WLYHZQR</t>
  </si>
  <si>
    <t>Pajero/Shogun - V98WLYXZSR DI DC GLS</t>
  </si>
  <si>
    <t>Pajero/Shogun IO</t>
  </si>
  <si>
    <t>Pajero/Shogun sport KH4WGNMZR GL</t>
  </si>
  <si>
    <t>Pajero/Shogun sport KH4WGRPZR GLX</t>
  </si>
  <si>
    <t>RVR/ASX SE</t>
  </si>
  <si>
    <t>RVR/ASX GT</t>
  </si>
  <si>
    <t>Advan</t>
  </si>
  <si>
    <t>Almera MedSpecs</t>
  </si>
  <si>
    <t>Almera HighSpecs</t>
  </si>
  <si>
    <t>AUTOMATIC</t>
  </si>
  <si>
    <t>Avenir</t>
  </si>
  <si>
    <t>Sunny B14/16</t>
  </si>
  <si>
    <t>Sunny B14</t>
  </si>
  <si>
    <t>Sunny B15/16</t>
  </si>
  <si>
    <t>Bluebird</t>
  </si>
  <si>
    <t>Bluebird Sylphy</t>
  </si>
  <si>
    <t>CARAVAN/URVAN QD32</t>
  </si>
  <si>
    <t>CARAVAN/URVAN QE25</t>
  </si>
  <si>
    <t>CARAVAN/URVAN WE25</t>
  </si>
  <si>
    <t>CARAVAN/URVAN E26/NV350 DX PANEL VAN</t>
  </si>
  <si>
    <t>CARAVAN/URVAN E26/NV350 DX SUPERLONG</t>
  </si>
  <si>
    <t>CARAVAN/URVAN E26/NV350 DX WIDE BODY</t>
  </si>
  <si>
    <t>CARAVAN/URVAN E26/NV350 DX STD ROOF</t>
  </si>
  <si>
    <t>CARAVAN LB NR</t>
  </si>
  <si>
    <t>Caravan E24</t>
  </si>
  <si>
    <t>Civilian Bus W41 Fleet Version</t>
  </si>
  <si>
    <t>Civilian Bus W41 Tourist Version</t>
  </si>
  <si>
    <t>Cefiro/Laurel</t>
  </si>
  <si>
    <t>Cube</t>
  </si>
  <si>
    <t>Datsun</t>
  </si>
  <si>
    <t>DUALIS/QASHQAI 6MT QR-119</t>
  </si>
  <si>
    <t>DUALIS/QASHQAI 5CVT QR-117</t>
  </si>
  <si>
    <t>DUALIS/QASHQAI 6CVT QR-711</t>
  </si>
  <si>
    <t>Elgrand</t>
  </si>
  <si>
    <t>Expert AD</t>
  </si>
  <si>
    <t>Expert</t>
  </si>
  <si>
    <t>Fairlady Z Coupe v6</t>
  </si>
  <si>
    <t>Fairlady Z Coupe  v6</t>
  </si>
  <si>
    <t>Fairlady Z Roadster  v6</t>
  </si>
  <si>
    <t>Fuga 350GT</t>
  </si>
  <si>
    <t>Fuga VQ37V</t>
  </si>
  <si>
    <t>Fuga Y50</t>
  </si>
  <si>
    <t>Hardbody J05/J21</t>
  </si>
  <si>
    <t>Hardbody J21 NML</t>
  </si>
  <si>
    <t>Hardbody J22/J20</t>
  </si>
  <si>
    <t>HARDBODY J21</t>
  </si>
  <si>
    <t>Hardbody J23/J25</t>
  </si>
  <si>
    <t>Hardbody J24/J28</t>
  </si>
  <si>
    <t>Hardbody J26/J29</t>
  </si>
  <si>
    <t>Hard body J86/X14</t>
  </si>
  <si>
    <t>Hard body  J86/X38 WITH A/C,ABS,ABGS</t>
  </si>
  <si>
    <t>Hardbody  AR001</t>
  </si>
  <si>
    <t>Hardbody  AR002</t>
  </si>
  <si>
    <t>Hardbody  AR003</t>
  </si>
  <si>
    <t>Hardbody AR004</t>
  </si>
  <si>
    <t>Hardbody  AR005</t>
  </si>
  <si>
    <t>Hardbody AR006 TDI</t>
  </si>
  <si>
    <t>Hardbody J44</t>
  </si>
  <si>
    <t>Hardbody J46</t>
  </si>
  <si>
    <t>Hard body X56/X09</t>
  </si>
  <si>
    <t>Hard body  X56/X09 WITH A/C</t>
  </si>
  <si>
    <t>Hard body  X40/X34</t>
  </si>
  <si>
    <t>Hardbody J43/J48</t>
  </si>
  <si>
    <t>Hardbody J43 Highrider</t>
  </si>
  <si>
    <t>Hardbody J45</t>
  </si>
  <si>
    <t>Hard body J85 (Luxury)</t>
  </si>
  <si>
    <t>Hard body J85 (Luxury) NML</t>
  </si>
  <si>
    <t>Hard body J86 TD</t>
  </si>
  <si>
    <t>Hardbody J81 + A/C + 16" wheels NML</t>
  </si>
  <si>
    <t>Hard body X82/X33</t>
  </si>
  <si>
    <t>Hardbody J83</t>
  </si>
  <si>
    <t>Hardbody J84 + 16" wheels NML</t>
  </si>
  <si>
    <t>Hard body J84 + A/c + 16" wheels NML</t>
  </si>
  <si>
    <t>Hard body J84 + A/c</t>
  </si>
  <si>
    <t>Hard body  X65</t>
  </si>
  <si>
    <t>Hard body  X83/X12</t>
  </si>
  <si>
    <t>Hard body X83/X37 WITH A/C,ABS,ABGS</t>
  </si>
  <si>
    <t>Hardbody J66/J70 (Luxury)/</t>
  </si>
  <si>
    <t>Hardbody YD  NP300</t>
  </si>
  <si>
    <t>Hardbody YD NP300</t>
  </si>
  <si>
    <t>Highrider</t>
  </si>
  <si>
    <t>JUKE</t>
  </si>
  <si>
    <t>LEAF</t>
  </si>
  <si>
    <t>Electric</t>
  </si>
  <si>
    <t>LIBERTY/LAFESTA</t>
  </si>
  <si>
    <t>MARCH/micra/MT</t>
  </si>
  <si>
    <t>Maxima</t>
  </si>
  <si>
    <t>Mini bus E24 P</t>
  </si>
  <si>
    <t>MISTRAL</t>
  </si>
  <si>
    <t>MURANO Z50</t>
  </si>
  <si>
    <t>MURANO Z51</t>
  </si>
  <si>
    <t>MURANO MCVT Z51</t>
  </si>
  <si>
    <t>Navara</t>
  </si>
  <si>
    <t>Navara  D/cab SE-6M/T STD</t>
  </si>
  <si>
    <t>Navara  D/cab LE-6M/T WIDE</t>
  </si>
  <si>
    <t>Navara  D/cab LE-5A/T WIDE</t>
  </si>
  <si>
    <t>NOTE</t>
  </si>
  <si>
    <t>NP200 3/4 TON</t>
  </si>
  <si>
    <t>Pathfinder R51C 6M/T SE</t>
  </si>
  <si>
    <t>Pathfinder R51C 5A/T LE</t>
  </si>
  <si>
    <t>Patrol Y61  GL ZD30-5MT-GL</t>
  </si>
  <si>
    <t>Patrol Y61  STD ZD30 STD</t>
  </si>
  <si>
    <t>Patrol GRX Y61 ZD30</t>
  </si>
  <si>
    <t>Patrol STD Y61(project vehicle)</t>
  </si>
  <si>
    <t>Patrol Y61  GL</t>
  </si>
  <si>
    <t>Patrol Y61  SGL</t>
  </si>
  <si>
    <t>Patrol GRX Y61</t>
  </si>
  <si>
    <t>Patrol PICK UP (UY61) SGL, 5MT</t>
  </si>
  <si>
    <t>Patrol PICK UP (UY61) + A/C + SAFETY, 5MT STD</t>
  </si>
  <si>
    <t>Patrol Y62 LE 7AT</t>
  </si>
  <si>
    <t>Patrol Y62 LE SPEC B</t>
  </si>
  <si>
    <t>Pino/Otto</t>
  </si>
  <si>
    <t>NIX/mocco</t>
  </si>
  <si>
    <t>Prairie</t>
  </si>
  <si>
    <t>PRESEA</t>
  </si>
  <si>
    <t>PRESAGE</t>
  </si>
  <si>
    <t>Primera</t>
  </si>
  <si>
    <t>Primemaster</t>
  </si>
  <si>
    <t>Qashqai MR20DE Accenta 6MT</t>
  </si>
  <si>
    <t>Qashqai MR20DE Accenta CVT</t>
  </si>
  <si>
    <t>Sunny N16 1300 FE</t>
  </si>
  <si>
    <t>Sunny N16 1300EX</t>
  </si>
  <si>
    <t>Sunny N16 1300 EX-S with A/C</t>
  </si>
  <si>
    <t>Sunny N16 Super</t>
  </si>
  <si>
    <t>Skyline</t>
  </si>
  <si>
    <t>Skyline GTR</t>
  </si>
  <si>
    <t>911 carrera 4 cabriolet</t>
  </si>
  <si>
    <t>911 carrera 4s cabriolet</t>
  </si>
  <si>
    <t>911 carrera gts</t>
  </si>
  <si>
    <t>911 carrera gts cabriolet</t>
  </si>
  <si>
    <t>911 carrera 4gts cabriolet</t>
  </si>
  <si>
    <t>Cayenne "Platinum Ed." V6</t>
  </si>
  <si>
    <t>Cayenne S "Platinum Ed."</t>
  </si>
  <si>
    <t>Cayenne S E-Hybrid "Platinum Ed."</t>
  </si>
  <si>
    <t>Cayenne Turbo</t>
  </si>
  <si>
    <t>cayenne</t>
  </si>
  <si>
    <t>cayenne Tiptronic s</t>
  </si>
  <si>
    <t>cayenne DIESEL</t>
  </si>
  <si>
    <t>cayenne s</t>
  </si>
  <si>
    <t>cayenne s hybrid</t>
  </si>
  <si>
    <t>cayenne turbo</t>
  </si>
  <si>
    <t>Macan AT</t>
  </si>
  <si>
    <t>Macan S AT</t>
  </si>
  <si>
    <t>Macan Turbo AT</t>
  </si>
  <si>
    <t>Macan GTS AT</t>
  </si>
  <si>
    <t>panamera</t>
  </si>
  <si>
    <t>panamera 4</t>
  </si>
  <si>
    <t>panamera s</t>
  </si>
  <si>
    <t>panamera 4s</t>
  </si>
  <si>
    <t>panamera turbo</t>
  </si>
  <si>
    <t>911 targa 4</t>
  </si>
  <si>
    <t>911 targa 4s</t>
  </si>
  <si>
    <t>911 turbo</t>
  </si>
  <si>
    <t>911 turbo s</t>
  </si>
  <si>
    <t>911 turbo cabriolet</t>
  </si>
  <si>
    <t>911 turbo s cabriolet</t>
  </si>
  <si>
    <t>911 gt3</t>
  </si>
  <si>
    <t>911 gt3 rs</t>
  </si>
  <si>
    <t>911 gt2 rs</t>
  </si>
  <si>
    <t>RENAULT</t>
  </si>
  <si>
    <t>Fluence 5sp</t>
  </si>
  <si>
    <t>RENAULT KOLEOS  CVT</t>
  </si>
  <si>
    <t>NEW DUSTER</t>
  </si>
  <si>
    <t>DUSTER</t>
  </si>
  <si>
    <t>KWID</t>
  </si>
  <si>
    <t>Kangoo (COMBI)</t>
  </si>
  <si>
    <t>Kangoo Express (PANEL VAN)</t>
  </si>
  <si>
    <t>Kangoo Express (PANEL VAN) With A/C</t>
  </si>
  <si>
    <t>Laguna ESTATE/Lattitude</t>
  </si>
  <si>
    <t>Laguna Latitude</t>
  </si>
  <si>
    <t>MEGANE</t>
  </si>
  <si>
    <t>Megane Classic</t>
  </si>
  <si>
    <t>Premium</t>
  </si>
  <si>
    <t>Master Minibus</t>
  </si>
  <si>
    <t>ROVER</t>
  </si>
  <si>
    <t>25 IMPRESSION</t>
  </si>
  <si>
    <t>SAAB</t>
  </si>
  <si>
    <t>9-3 VECTOR TTID</t>
  </si>
  <si>
    <t>SAILOR/MEIYA</t>
  </si>
  <si>
    <t>Sailor/Meiya PICK-UP</t>
  </si>
  <si>
    <t>SCANIA</t>
  </si>
  <si>
    <t>P94GB</t>
  </si>
  <si>
    <t>P114 340/380 DAY CAB</t>
  </si>
  <si>
    <t>P114 340/380 SLEEPER CAB</t>
  </si>
  <si>
    <t>P360 LA HSZ CP 19</t>
  </si>
  <si>
    <t>P360 LHSZ Hub Reduction</t>
  </si>
  <si>
    <t>SUBARU</t>
  </si>
  <si>
    <t>Impreza WRX</t>
  </si>
  <si>
    <t>Impreza WRX STI</t>
  </si>
  <si>
    <t>Impreza GE3/GE2</t>
  </si>
  <si>
    <t>Impreza GE6</t>
  </si>
  <si>
    <t>Impreza GJ3</t>
  </si>
  <si>
    <t>Impreza GJ7</t>
  </si>
  <si>
    <t>Impreza GP6</t>
  </si>
  <si>
    <t>Legacy BG5 B4</t>
  </si>
  <si>
    <t>Legacy  BG5 B4</t>
  </si>
  <si>
    <t>Legacy  BH5 AT</t>
  </si>
  <si>
    <t>Legacy i CVT Non Leather</t>
  </si>
  <si>
    <t>Legacy i CVT</t>
  </si>
  <si>
    <t>Legacy BH5 MT</t>
  </si>
  <si>
    <t>Legacy  BH9 AT</t>
  </si>
  <si>
    <t>Legacy  BHC AT</t>
  </si>
  <si>
    <t>Legacy BHE AT</t>
  </si>
  <si>
    <t>Legacy BL5  B4</t>
  </si>
  <si>
    <t>Legacy   BL9  B4</t>
  </si>
  <si>
    <t>Legacy R BLE  B4</t>
  </si>
  <si>
    <t>Legacy  BP5</t>
  </si>
  <si>
    <t>Legacy BP9</t>
  </si>
  <si>
    <t>Legacy R BPE</t>
  </si>
  <si>
    <t>Legacy  BM5</t>
  </si>
  <si>
    <t>Legacy BM5  CVT</t>
  </si>
  <si>
    <t>Legacy  BM9  CVT</t>
  </si>
  <si>
    <t>Legacy  BM9</t>
  </si>
  <si>
    <t>Legacy  BR9</t>
  </si>
  <si>
    <t>Legacy  BR9  CVT</t>
  </si>
  <si>
    <t>Legacy  Touring Wagon BRG CVT</t>
  </si>
  <si>
    <t>Outback i  (BP9)</t>
  </si>
  <si>
    <t>Outback i (BP9)</t>
  </si>
  <si>
    <t>Outback  XT (BPH)</t>
  </si>
  <si>
    <t>Outback i  (BR9)</t>
  </si>
  <si>
    <t>Outback i  CVT (BR9)/BMM</t>
  </si>
  <si>
    <t>Outback R  (BPE)</t>
  </si>
  <si>
    <t>Outback R  (BPE) LL BEAN</t>
  </si>
  <si>
    <t>Outback R (BRF)</t>
  </si>
  <si>
    <t>Outback R SI cruise  (BRF)</t>
  </si>
  <si>
    <t>Outback i CVT Non Leather</t>
  </si>
  <si>
    <t>Outback i CVT</t>
  </si>
  <si>
    <t>PLEO</t>
  </si>
  <si>
    <t>Tresia</t>
  </si>
  <si>
    <t>DEX</t>
  </si>
  <si>
    <t>Tribeca B9</t>
  </si>
  <si>
    <t>Tribeca BRK</t>
  </si>
  <si>
    <t>SUZUKI</t>
  </si>
  <si>
    <t>Maruti Omni MPI Cargo</t>
  </si>
  <si>
    <t>Maruti Omni MPI</t>
  </si>
  <si>
    <t>Suzuki Super carry</t>
  </si>
  <si>
    <t>Aero</t>
  </si>
  <si>
    <t>TOYOTA</t>
  </si>
  <si>
    <t>ALPHARD/VELFIRE  EXCUTIVE LOUNGE with recliner passenger ( leather seats)</t>
  </si>
  <si>
    <t>ALPHARD/VELFIRE  EXCUTIVE LOUNGE with recliner passenger (leather seats)</t>
  </si>
  <si>
    <t>ALPHARD/VELFIRE  EXCUTIVE LOUNGE hybrid with recliner pass (leather seats)</t>
  </si>
  <si>
    <t>Aqua/ Prius C</t>
  </si>
  <si>
    <t>AVANZA F602RM-GMMFJN-HI spec</t>
  </si>
  <si>
    <t>AVANZA F602RM-GMDFJN-Middle spec</t>
  </si>
  <si>
    <t>AVANZA F652RM-GMMFN-HI spec VVT-i</t>
  </si>
  <si>
    <t>AVANZA 35Z F654RM-GQDFN</t>
  </si>
  <si>
    <t>AVANZA 35Z F654RM-GMMFN MT</t>
  </si>
  <si>
    <t>Avensis  HB</t>
  </si>
  <si>
    <t>Avensis  SW</t>
  </si>
  <si>
    <t>Avensis  SAL</t>
  </si>
  <si>
    <t>Avensis  SAL TDI</t>
  </si>
  <si>
    <t>Belta</t>
  </si>
  <si>
    <t>Blade</t>
  </si>
  <si>
    <t>Caldina</t>
  </si>
  <si>
    <t>Caldina   1ZZ-FE I4</t>
  </si>
  <si>
    <t>Caldina   1AZ-FSE I4</t>
  </si>
  <si>
    <t>Caldina  3S-GTE I4 Turbo</t>
  </si>
  <si>
    <t>Cami</t>
  </si>
  <si>
    <t>Camry SV40 AT</t>
  </si>
  <si>
    <t>Camry SV41 AT</t>
  </si>
  <si>
    <t>Camry ACV30 AT</t>
  </si>
  <si>
    <t>Camry ACV40R-AEANKW</t>
  </si>
  <si>
    <t>Camry ASV50R-AEANKW AT</t>
  </si>
  <si>
    <t>Carina</t>
  </si>
  <si>
    <t>Celica</t>
  </si>
  <si>
    <t>Chaser</t>
  </si>
  <si>
    <t>CH-R</t>
  </si>
  <si>
    <t>Coaster HZB70R-ZGMSS</t>
  </si>
  <si>
    <t>Condor</t>
  </si>
  <si>
    <t>Condor 4x4 fully loaded</t>
  </si>
  <si>
    <t>Corolla Axio NZE164-AEXGK 4WD CVT</t>
  </si>
  <si>
    <t>Corolla Axio NZE161-AEXGK CVT</t>
  </si>
  <si>
    <t>Corolla Axio NZE161-AEXGK MT</t>
  </si>
  <si>
    <t>Corolla Rumion NZE151N-FHXEK</t>
  </si>
  <si>
    <t>Corolla Rumion ZRE152N-FHXSK</t>
  </si>
  <si>
    <t>Corolla Rumion ZRE154N-FHXSK</t>
  </si>
  <si>
    <t>Corolla Axio NZE141-AEXEK  G CVT</t>
  </si>
  <si>
    <t>Corolla Axio NZE144-AEXNK  X 4WD CVT</t>
  </si>
  <si>
    <t>Corolla Axio/ FIELDER NZE144</t>
  </si>
  <si>
    <t>Corolla Axio  ZRE142-AEXGP  LUXEL CVT</t>
  </si>
  <si>
    <t>Corolla Axio ZRE142-AEXGK</t>
  </si>
  <si>
    <t>CIAZ AT</t>
  </si>
  <si>
    <t>Every</t>
  </si>
  <si>
    <t>Landy</t>
  </si>
  <si>
    <t>Vitara AT</t>
  </si>
  <si>
    <t>Vitara MT</t>
  </si>
  <si>
    <t>Grand Vitara  AT</t>
  </si>
  <si>
    <t>Grand Vitara AT</t>
  </si>
  <si>
    <t>Maruti Gypsy ST</t>
  </si>
  <si>
    <t>Maruti Gypsy HT</t>
  </si>
  <si>
    <t>Jimny JX</t>
  </si>
  <si>
    <t>Jimny  JLX AT</t>
  </si>
  <si>
    <t>Jimny JLX MT</t>
  </si>
  <si>
    <t>Escudo L</t>
  </si>
  <si>
    <t>Escudo  MT</t>
  </si>
  <si>
    <t>Escudo  AT</t>
  </si>
  <si>
    <t>Escudo 3.9L MT</t>
  </si>
  <si>
    <t>Escudo 3.9L AT</t>
  </si>
  <si>
    <t>SWIFT</t>
  </si>
  <si>
    <t>SX4</t>
  </si>
  <si>
    <t>R Solio/ Wagon R/ KEI</t>
  </si>
  <si>
    <t>R Solio/ Wagon R+</t>
  </si>
  <si>
    <t>Splash</t>
  </si>
  <si>
    <t>Samurai</t>
  </si>
  <si>
    <t>SSANG YONG</t>
  </si>
  <si>
    <t>ACTYON/S/ GL MT</t>
  </si>
  <si>
    <t>DIESEL</t>
  </si>
  <si>
    <t>ACTYON/S/ GL AT</t>
  </si>
  <si>
    <t>ACTYON GL MT</t>
  </si>
  <si>
    <t>ACTYON GLS AT</t>
  </si>
  <si>
    <t>ACTYON PREMIUM</t>
  </si>
  <si>
    <t>Musso 602EL</t>
  </si>
  <si>
    <t>Musso 601</t>
  </si>
  <si>
    <t>Rexton II GLS MT</t>
  </si>
  <si>
    <t>Rexton II GLS AT</t>
  </si>
  <si>
    <t>Rexton II PREMIUM</t>
  </si>
  <si>
    <t>TATA</t>
  </si>
  <si>
    <t>ACE PICK UP</t>
  </si>
  <si>
    <t>ACE MEGA</t>
  </si>
  <si>
    <t>ACE MEGA XL</t>
  </si>
  <si>
    <t>DaeWOO NOVUS BUS CHASSIS</t>
  </si>
  <si>
    <t>SUPER ACE 475 1TON</t>
  </si>
  <si>
    <t>SUPER ACE 475 1TON A/C</t>
  </si>
  <si>
    <t>SUMO</t>
  </si>
  <si>
    <t>XENON SC DICOR</t>
  </si>
  <si>
    <t>XENON SC  NON A/C</t>
  </si>
  <si>
    <t>XENON SC A/C</t>
  </si>
  <si>
    <t>XENON DC A/C</t>
  </si>
  <si>
    <t>XENON SC</t>
  </si>
  <si>
    <t>XENON SC WITH AIRBAGS</t>
  </si>
  <si>
    <t>XENON DC  WITH AIRBAGS</t>
  </si>
  <si>
    <t>XENON LT  SC</t>
  </si>
  <si>
    <t>XENON LT  DC</t>
  </si>
  <si>
    <t>207 DI SC/Pick Up A</t>
  </si>
  <si>
    <t>207 DI DC/Pick Up A</t>
  </si>
  <si>
    <t>407 DT DSLB</t>
  </si>
  <si>
    <t>208 DI D/CAB P/Up BASIC VERSION</t>
  </si>
  <si>
    <t>LPK 713S</t>
  </si>
  <si>
    <t>LPK 2516 Tipper  MIXER STETTOR</t>
  </si>
  <si>
    <t>TRK/MIXER</t>
  </si>
  <si>
    <t>LPK 2523 Tipper  MIXER STETTOR</t>
  </si>
  <si>
    <t>LPK 2516 Tipper  MIXER GREAVES</t>
  </si>
  <si>
    <t>LPK 2518 TIPPER</t>
  </si>
  <si>
    <t>LPT 509 (TIGER)</t>
  </si>
  <si>
    <t>LPT 709/34 Cab/Chassis</t>
  </si>
  <si>
    <t>LPT 709/34 DSLB</t>
  </si>
  <si>
    <t>LPT 709/38 DSLB</t>
  </si>
  <si>
    <t>LPT 709/38 long wheel base cab chassis</t>
  </si>
  <si>
    <t>LPTA 713 CAB/CHASSIS</t>
  </si>
  <si>
    <t>LPT 713 S DSLB</t>
  </si>
  <si>
    <t>LPT 713 S TIPPER</t>
  </si>
  <si>
    <t>LPT 713 S Cab chassis</t>
  </si>
  <si>
    <t>LPT 713 4WD CAB/CHASSIS</t>
  </si>
  <si>
    <t>LPT 913 CAB CHASSIS</t>
  </si>
  <si>
    <t>LPT 1116 TC</t>
  </si>
  <si>
    <t>LPT 1518 Cab/ chassis</t>
  </si>
  <si>
    <t>LPT 1518 DSLB</t>
  </si>
  <si>
    <t>LPT 1518 Tipper</t>
  </si>
  <si>
    <t>LPT 1518 Sleeper Cab/Chassis</t>
  </si>
  <si>
    <t>LPT 1518 TCM 7.6TM</t>
  </si>
  <si>
    <t>LPT 1518 TCM 9.6TM</t>
  </si>
  <si>
    <t>LPT 1823 6BT</t>
  </si>
  <si>
    <t>SA 1212 CAB CHASSIS</t>
  </si>
  <si>
    <t>SFC 407 DT DSLB</t>
  </si>
  <si>
    <t>LP 709 BUS CHASSIS</t>
  </si>
  <si>
    <t>LP 713 BUS CHASSIS</t>
  </si>
  <si>
    <t>LP 713 MARCOPOLO BUS</t>
  </si>
  <si>
    <t>LP 909 BUS CHASSIS</t>
  </si>
  <si>
    <t>LP 909  MARCOPOLO BUS</t>
  </si>
  <si>
    <t>LPO 918 BUS CHASSIS</t>
  </si>
  <si>
    <t>LPO 1316TC BUS CHASSIS</t>
  </si>
  <si>
    <t>LPO 1316TC STAR BUS</t>
  </si>
  <si>
    <t>LPO 1316TC 6HD FACE</t>
  </si>
  <si>
    <t>LPO 1316 BUS</t>
  </si>
  <si>
    <t>LPO 1318 CC</t>
  </si>
  <si>
    <t>LPO 1512 BUS CHASSIS</t>
  </si>
  <si>
    <t>PRIMA 3123</t>
  </si>
  <si>
    <t>340hp</t>
  </si>
  <si>
    <t>8x2</t>
  </si>
  <si>
    <t>PRIMA 4018</t>
  </si>
  <si>
    <t>PRIMA 4023</t>
  </si>
  <si>
    <t>PRIMA 4923</t>
  </si>
  <si>
    <t>PRIMA 4928 (380HP)</t>
  </si>
  <si>
    <t>PRIMA 4928 (280HP)</t>
  </si>
  <si>
    <t>NOVUS P MOVER V3T6F WITH PTO</t>
  </si>
  <si>
    <t>NOVUS P MOVER V3T6F NO PTO</t>
  </si>
  <si>
    <t>NOVUS P MOVER V3T6F WITH TIPPING GEAR</t>
  </si>
  <si>
    <t>TIGGO</t>
  </si>
  <si>
    <t>QQ3 BASIC</t>
  </si>
  <si>
    <t>ZX ADMIRAL PICK UP</t>
  </si>
  <si>
    <t>PUP</t>
  </si>
  <si>
    <t>AMBULANCE - L/CRUISER HZJ78R-RJMRS STANDARD</t>
  </si>
  <si>
    <t>AMBULANCE - L/CRUISER HZJ78R-RJMRS DELUXE</t>
  </si>
  <si>
    <t>AMBULANCE-HIACE 2KD KDH222R-LEMDY</t>
  </si>
  <si>
    <t>Allex</t>
  </si>
  <si>
    <t>Auris</t>
  </si>
  <si>
    <t>ALPHARD/VELFIRE</t>
  </si>
  <si>
    <t>P400</t>
  </si>
  <si>
    <t>P410 LA HSZ CP 19</t>
  </si>
  <si>
    <t>P410 HSZ Hub Reduction</t>
  </si>
  <si>
    <t>P410 LA HAS CP 16</t>
  </si>
  <si>
    <t>G460 LA HAS</t>
  </si>
  <si>
    <t>P 360 (Chassis)</t>
  </si>
  <si>
    <t>P124</t>
  </si>
  <si>
    <t>P124 DAY CAB</t>
  </si>
  <si>
    <t>P124 SLEEPER CAB</t>
  </si>
  <si>
    <t>P124 380/400 SLEEPER CAB</t>
  </si>
  <si>
    <t>P124 420/400 SLEEPER CAB</t>
  </si>
  <si>
    <t>P124 360/400  DAY CAB</t>
  </si>
  <si>
    <t>P124 360/400  SLEEPER CAB</t>
  </si>
  <si>
    <t>P124 360/380  DAY CAB</t>
  </si>
  <si>
    <t>P124 380/400  DAY CAB</t>
  </si>
  <si>
    <t>P124 420/400 DAY CAB</t>
  </si>
  <si>
    <t>R114 340/380  SLEEPER CAB</t>
  </si>
  <si>
    <t>R114 340/380 DAY CAB</t>
  </si>
  <si>
    <t>R114 340/380 SLEEPER CAB</t>
  </si>
  <si>
    <t>R124 420/400  SLEEPER CAB</t>
  </si>
  <si>
    <t>R124 420/400  DAY CAB</t>
  </si>
  <si>
    <t>6X2/4</t>
  </si>
  <si>
    <t>R124 420/400 SLEEPER CAB</t>
  </si>
  <si>
    <t>SHACMAN</t>
  </si>
  <si>
    <t>SHACMAN  DUMPTRUCK SX4 254 J7294R</t>
  </si>
  <si>
    <t>P/MOVER</t>
  </si>
  <si>
    <t>336HP</t>
  </si>
  <si>
    <t>SKODA</t>
  </si>
  <si>
    <t>Fabia sedan</t>
  </si>
  <si>
    <t>Fabia Combi</t>
  </si>
  <si>
    <t>Octavia</t>
  </si>
  <si>
    <t>Octavia Combi</t>
  </si>
  <si>
    <t>Yeti TSI 4X4</t>
  </si>
  <si>
    <t>Octavia classic  TDI 5sp</t>
  </si>
  <si>
    <t>SMART CITY</t>
  </si>
  <si>
    <t>Passion Fourtwo</t>
  </si>
  <si>
    <t>LIBERTY i YA4</t>
  </si>
  <si>
    <t>LIBERTY  GT YA5</t>
  </si>
  <si>
    <t>LIBERTY EXIGA i YA9 CVT</t>
  </si>
  <si>
    <t>LIBERTY EXIGA i YA9 CVT PREMIUM</t>
  </si>
  <si>
    <t>Forester C/20 SF5</t>
  </si>
  <si>
    <t>Forester C/tb SF5</t>
  </si>
  <si>
    <t>Forester S/tb X SF5</t>
  </si>
  <si>
    <t>Forester T/tb XT SF5</t>
  </si>
  <si>
    <t>Forester T/25 SF9</t>
  </si>
  <si>
    <t>Forester X  (SG5)</t>
  </si>
  <si>
    <t>Forester X (SG5)</t>
  </si>
  <si>
    <t>Forester X LL BEAN (SG5) MT</t>
  </si>
  <si>
    <t>Forester X LL BEAN (SG5) AT</t>
  </si>
  <si>
    <t>Forester XS  (SG5)</t>
  </si>
  <si>
    <t>Forester XT  (SG5)</t>
  </si>
  <si>
    <t>Forester i  CVT (SJ5)</t>
  </si>
  <si>
    <t>Forester i-L CVT (SJ5)</t>
  </si>
  <si>
    <t>Forester i-L CVT S/Roof (SJ5)</t>
  </si>
  <si>
    <t>Forester XT LL BEAN MT (SG5)</t>
  </si>
  <si>
    <t>Forester XT LL BEAN AT (SG5)</t>
  </si>
  <si>
    <t>Forester XT CVT S/Roof Non Leather Seat (SJ5)</t>
  </si>
  <si>
    <t>Forester XT CVT S/Roof Leather Seat (SJ5)</t>
  </si>
  <si>
    <t>Forester XT CVT Without S/Roof -Leather Seat (SJG)</t>
  </si>
  <si>
    <t>Forester STi STI-TA-SG9</t>
  </si>
  <si>
    <t>Forester STi  STI-TA-SG9</t>
  </si>
  <si>
    <t>Forester X SH5</t>
  </si>
  <si>
    <t xml:space="preserve">Forester XS  S/Roof,Power Seat (SH5) </t>
  </si>
  <si>
    <t xml:space="preserve">Forester XS  S/Roof,Leather Seat Premium (SH5) </t>
  </si>
  <si>
    <t>Forester XT SH5 STi</t>
  </si>
  <si>
    <t>Forester XT SHJ</t>
  </si>
  <si>
    <t>Forester XT  S/Roof,Leather Seat (SH5)</t>
  </si>
  <si>
    <t>Forester XT  S/Roof,Leather Seat Premium (SH5)</t>
  </si>
  <si>
    <t>Forester XT   (SH9)</t>
  </si>
  <si>
    <t>Impreza  GH2</t>
  </si>
  <si>
    <t>Impreza R Leather Seats, Alloy Rims GH2</t>
  </si>
  <si>
    <t>Impreza R  Leather Seats, Alloy Rims GH2</t>
  </si>
  <si>
    <t>Impreza  GH3</t>
  </si>
  <si>
    <t>Impreza  GH7</t>
  </si>
  <si>
    <t>Impreza R Leather Seats, Alloy Rims GH3</t>
  </si>
  <si>
    <t>Impreza RLeather Seats, Alloy Rims GH3</t>
  </si>
  <si>
    <t>Impreza Wagon  GG2</t>
  </si>
  <si>
    <t>Impreza Wagon  GG3</t>
  </si>
  <si>
    <t>Impreza Wagon  GD2</t>
  </si>
  <si>
    <t>Impreza Wagon  GD3</t>
  </si>
  <si>
    <t>Impreza  1X</t>
  </si>
  <si>
    <t>Impreza  SC</t>
  </si>
  <si>
    <t>Impreza  CVT</t>
  </si>
  <si>
    <t>Impreza i CVT</t>
  </si>
  <si>
    <t>Impreza XX</t>
  </si>
  <si>
    <t>Impreza XV i  6MT</t>
  </si>
  <si>
    <t>Impreza XV i  CVT</t>
  </si>
  <si>
    <t>Impreza XV  CVT  Leather</t>
  </si>
  <si>
    <t>Impreza XV i-S  CVT  S/Roof Leather</t>
  </si>
  <si>
    <t>Impreza TS</t>
  </si>
  <si>
    <t>Impreza L GX</t>
  </si>
  <si>
    <t>VOLKSWAGEN</t>
  </si>
  <si>
    <t>Golf GTI</t>
  </si>
  <si>
    <t>Golf R</t>
  </si>
  <si>
    <t>Golf R32</t>
  </si>
  <si>
    <t>Golf VI Variant</t>
  </si>
  <si>
    <t>Jetta  Comfort Line</t>
  </si>
  <si>
    <t>Jetta  AT Trendline</t>
  </si>
  <si>
    <t>Jetta iv  matic</t>
  </si>
  <si>
    <t>Jetta V  matic</t>
  </si>
  <si>
    <t>Jetta IV TDI</t>
  </si>
  <si>
    <t>Jetta  TDI</t>
  </si>
  <si>
    <t>Jetta/Bora/ IV</t>
  </si>
  <si>
    <t>Jetta V  TDI</t>
  </si>
  <si>
    <t>Jetta V  FSI</t>
  </si>
  <si>
    <t>Touran</t>
  </si>
  <si>
    <t>Multivan Highline Tdi</t>
  </si>
  <si>
    <t>Passat TSI Comfortline  DSG</t>
  </si>
  <si>
    <t>Passat TSI Comfortline  Leather pkg</t>
  </si>
  <si>
    <t>Passat CC  TSI DSG</t>
  </si>
  <si>
    <t>Passat  TSI Highline  DSG</t>
  </si>
  <si>
    <t>Passat CC  TSI  Leather pkg</t>
  </si>
  <si>
    <t>Passat  GH V6 FSI  LEATHER</t>
  </si>
  <si>
    <t>Passat SW  FSI</t>
  </si>
  <si>
    <t>Passat  Tdi</t>
  </si>
  <si>
    <t>Polo  60 Match Edition</t>
  </si>
  <si>
    <t>Polo 60 R-Line Style</t>
  </si>
  <si>
    <t>Polo  60 S</t>
  </si>
  <si>
    <t>Polo 70 Match Edition</t>
  </si>
  <si>
    <t>Polo  70 R-Line Style</t>
  </si>
  <si>
    <t>Polo 70 S</t>
  </si>
  <si>
    <t>Polo TSI 105 SEL</t>
  </si>
  <si>
    <t>Polo  TSI 105 R-Line</t>
  </si>
  <si>
    <t>Polo  TDI 75 Match Edition</t>
  </si>
  <si>
    <t>Polo TDI 75 BlueMotion</t>
  </si>
  <si>
    <t>Polo  TSI  DSG</t>
  </si>
  <si>
    <t>Polo  TSI 180 DSG GTI</t>
  </si>
  <si>
    <t>Polo TSI ACT 140 BlueGT</t>
  </si>
  <si>
    <t>Polo  MT</t>
  </si>
  <si>
    <t>Polo DSG</t>
  </si>
  <si>
    <t>Polo  85 Match Edition</t>
  </si>
  <si>
    <t>Polo  TDI 90 SEL</t>
  </si>
  <si>
    <t>Polo MT Trendline</t>
  </si>
  <si>
    <t>Polo  MT Highline</t>
  </si>
  <si>
    <t>Polo  TDI Trendline</t>
  </si>
  <si>
    <t>Polo Vivo Trendline</t>
  </si>
  <si>
    <t>Polo Vivo Maxx</t>
  </si>
  <si>
    <t>Polo Vivo Comfortline</t>
  </si>
  <si>
    <t>Scirocco</t>
  </si>
  <si>
    <t>SHARAN MPV</t>
  </si>
  <si>
    <t>Tiguan  TSI AT</t>
  </si>
  <si>
    <t>Tiguan TSI Trend &amp; Fun MT</t>
  </si>
  <si>
    <t>AWD</t>
  </si>
  <si>
    <t>Tiguan  TSI Track &amp;Field  DSG</t>
  </si>
  <si>
    <t>Tiguan TSI DSG</t>
  </si>
  <si>
    <t>Tiguan  TSI DSG LEATHER</t>
  </si>
  <si>
    <t>Tiguan  TSI Sport and Style DSG</t>
  </si>
  <si>
    <t>Tiguan TDI Track and Field  Fabric (comfortline)</t>
  </si>
  <si>
    <t>Tiguan TDI Highline</t>
  </si>
  <si>
    <t>Tiguan  TDI Highline + SUNROOF</t>
  </si>
  <si>
    <t>Touareg  R5 TDI Track and Field  Fabric</t>
  </si>
  <si>
    <t>Touareg  TDI  /leather</t>
  </si>
  <si>
    <t>Touareg  V6 Tdi</t>
  </si>
  <si>
    <t>Touareg V6</t>
  </si>
  <si>
    <t>Toureg V6 Fsi</t>
  </si>
  <si>
    <t>Toureg  V8 TDI Fabric</t>
  </si>
  <si>
    <t>Toureg  V8 TDI Leather</t>
  </si>
  <si>
    <t>T5 LWB 103 KW MT6</t>
  </si>
  <si>
    <t>T5 LWB 75 KW MT6</t>
  </si>
  <si>
    <t>D/CAB</t>
  </si>
  <si>
    <t>T5 TRANSPORTER SWB MT</t>
  </si>
  <si>
    <t>T5 TRANSPORTER LWB MT</t>
  </si>
  <si>
    <t>Transpoter  Tdi</t>
  </si>
  <si>
    <t>T5 Kombi Van Tdi</t>
  </si>
  <si>
    <t>VENTO TL  MT/POLO</t>
  </si>
  <si>
    <t>VENTO TL DSG/POLO</t>
  </si>
  <si>
    <t>VOLVO</t>
  </si>
  <si>
    <t>240 GL</t>
  </si>
  <si>
    <t>740 GL</t>
  </si>
  <si>
    <t>940 SE</t>
  </si>
  <si>
    <t>C30</t>
  </si>
  <si>
    <t>C30 D2   Drive</t>
  </si>
  <si>
    <t>C30 POWERSHIFT</t>
  </si>
  <si>
    <t>C30 T5  R-DESIGN</t>
  </si>
  <si>
    <t>C30 T5 GEARTRONIC R-DESIGN</t>
  </si>
  <si>
    <t>C70 T5 GEARTRONIC</t>
  </si>
  <si>
    <t>S40 D2 L</t>
  </si>
  <si>
    <t>S40</t>
  </si>
  <si>
    <t>S40  Powershift</t>
  </si>
  <si>
    <t>S40 T5  Geartronic</t>
  </si>
  <si>
    <t>S40  R-Design</t>
  </si>
  <si>
    <t>S40  Powershift R-Design</t>
  </si>
  <si>
    <t>S40 T5 matic R-Design</t>
  </si>
  <si>
    <t>S60 T3</t>
  </si>
  <si>
    <t>S60 T4</t>
  </si>
  <si>
    <t>S60 T4 Powershift</t>
  </si>
  <si>
    <t>S60 T5</t>
  </si>
  <si>
    <t>S60 T5 Powershift</t>
  </si>
  <si>
    <t>S60 T6 Geartronic</t>
  </si>
  <si>
    <t>S60 D3</t>
  </si>
  <si>
    <t>S60 D3 Geartronic</t>
  </si>
  <si>
    <t>S60 T6 GEARTRONIC R DESIGN</t>
  </si>
  <si>
    <t>S60 T5  R DESIGN</t>
  </si>
  <si>
    <t>S60 T5 POWERSHIFT R DESIGN</t>
  </si>
  <si>
    <t>S60 D5 GEARTRONIC R DESIGN</t>
  </si>
  <si>
    <t>S80 2.0 D3 GEARTRONIC</t>
  </si>
  <si>
    <t>S80 D5 FWD Exec GEARTRONIC</t>
  </si>
  <si>
    <t>Corolla Axio/ Fielder    ZRE142G-AWXEK</t>
  </si>
  <si>
    <t>Corolla Axio ZRE144-AEXGP  LUXEL 4WD</t>
  </si>
  <si>
    <t>Corolla Axio NRE160-AEXNK  CVT</t>
  </si>
  <si>
    <t>Corolla NZE 120R (A) STANDARD</t>
  </si>
  <si>
    <t>Corolla NZE 120R (A/C)</t>
  </si>
  <si>
    <t>Corolla NZE 120R (B) FULLY LOADED</t>
  </si>
  <si>
    <t>Corolla NZE121</t>
  </si>
  <si>
    <t>Corolla NZE124</t>
  </si>
  <si>
    <t>Corolla NRE150R-DEFDK(A)</t>
  </si>
  <si>
    <t>Corolla NRE150R-DEFDK(A) WITH AC</t>
  </si>
  <si>
    <t>Corolla NRE150R-DEFNK(B)</t>
  </si>
  <si>
    <t>Corolla ZRE151R-DEMNK-(loaded spec)</t>
  </si>
  <si>
    <t>Corolla ZRE152R-DEFNK</t>
  </si>
  <si>
    <t>Corolla ZRE152R-DEPNK</t>
  </si>
  <si>
    <t>Corolla ZRE181R-GEXNKN CVT</t>
  </si>
  <si>
    <t>Corolla ZRE182R-GEXNKN MT</t>
  </si>
  <si>
    <t>Corolla ZRE182R-GEXNKN CVT</t>
  </si>
  <si>
    <t>Corolla ZZE122R</t>
  </si>
  <si>
    <t>Corolla ZZE121R</t>
  </si>
  <si>
    <t>Corolla ZZE150R-DEMDK-(basic spec ) with AC</t>
  </si>
  <si>
    <t>Corolla ZZE150R-DEMDK-(basic spec) A</t>
  </si>
  <si>
    <t>Corolla ZZE150R-DEMNK-(loaded spec ) B</t>
  </si>
  <si>
    <t>Corolla Fielder(NZE121)</t>
  </si>
  <si>
    <t>Corolla Fielder(NZE124)</t>
  </si>
  <si>
    <t>Corolla Fielder(NZE141) axio</t>
  </si>
  <si>
    <t>Corolla G,L AND Z touring</t>
  </si>
  <si>
    <t>Corolla AE100/110/111</t>
  </si>
  <si>
    <t>Corolla CE110/109/101</t>
  </si>
  <si>
    <t>Corolla starlet</t>
  </si>
  <si>
    <t>Corona</t>
  </si>
  <si>
    <t>Corona E</t>
  </si>
  <si>
    <t>Corsa</t>
  </si>
  <si>
    <t>Crown Royal</t>
  </si>
  <si>
    <t>Crown Athlete V6</t>
  </si>
  <si>
    <t>Duet</t>
  </si>
  <si>
    <t>Estima</t>
  </si>
  <si>
    <t>Etios</t>
  </si>
  <si>
    <t>Funcargo</t>
  </si>
  <si>
    <t>Fortuner KUN51R - NKPSYD 1KD</t>
  </si>
  <si>
    <t>Fortuner KUN51R - NKMSYN 1KD</t>
  </si>
  <si>
    <t>Fortuner LAN50-NKMSEN hi-spec</t>
  </si>
  <si>
    <t>Fortuner LAN50-NKMSEN me-spec</t>
  </si>
  <si>
    <t>Fortuner TGN61</t>
  </si>
  <si>
    <t>Fortuner KUN156-SNASYN AT</t>
  </si>
  <si>
    <t>FortunerKUN156-SNAFYN MT</t>
  </si>
  <si>
    <t>Fortuner 1GD GUN156R-SNFSHN MT</t>
  </si>
  <si>
    <t>Fortuner 1GD GUN156R-SNTSHN AT</t>
  </si>
  <si>
    <t>Gaia</t>
  </si>
  <si>
    <t>Harrier ACU 30</t>
  </si>
  <si>
    <t>Harrier ACU 35</t>
  </si>
  <si>
    <t>Harrier MCU 30</t>
  </si>
  <si>
    <t>Harrier MCU 35</t>
  </si>
  <si>
    <t>Harrier GCU 30</t>
  </si>
  <si>
    <t>Harrier GCU 35</t>
  </si>
  <si>
    <t>Harrier XU10</t>
  </si>
  <si>
    <t>Harrier XU10 4WD</t>
  </si>
  <si>
    <t>Harrier XU30</t>
  </si>
  <si>
    <t>Harrier XU60</t>
  </si>
  <si>
    <t>Harrier  Hybrid ZSU60</t>
  </si>
  <si>
    <t>Harrier  Hybrid ZSU65</t>
  </si>
  <si>
    <t>Harrier Hybrid MCU38</t>
  </si>
  <si>
    <t>Harrier</t>
  </si>
  <si>
    <t>Hiace LH113</t>
  </si>
  <si>
    <t>Hiace LH172</t>
  </si>
  <si>
    <t>Hiace (LH114)</t>
  </si>
  <si>
    <t>Hiace (LH202R) REMDE</t>
  </si>
  <si>
    <t>HIACE LH212R-LEMDE</t>
  </si>
  <si>
    <t>HIACE KDH222R LEMDY   MT Without seats</t>
  </si>
  <si>
    <t>HIACE KDH222R LEMDY   MT</t>
  </si>
  <si>
    <t>Hiace 2KD KDH222R-LEMDY for Public Schools</t>
  </si>
  <si>
    <t>HIACE MT</t>
  </si>
  <si>
    <t>Hiace (RZH114)</t>
  </si>
  <si>
    <t>HIACE BB42R-BRMRS</t>
  </si>
  <si>
    <t>HIACE KDH200V-JEMDY</t>
  </si>
  <si>
    <t>HIACE KDH201V-JEMDY</t>
  </si>
  <si>
    <t>HIACE KDH205</t>
  </si>
  <si>
    <t>HIACE KDH212R-JEMDY</t>
  </si>
  <si>
    <t>HIACE KDH212R-JEMDY WITH A/C</t>
  </si>
  <si>
    <t>HIACE KDH221</t>
  </si>
  <si>
    <t>HIACE KDH206</t>
  </si>
  <si>
    <t>HIACE TRH203R - REMDK STD BODY</t>
  </si>
  <si>
    <t>HIACE TRH112R</t>
  </si>
  <si>
    <t>HIACE TRH200</t>
  </si>
  <si>
    <t>HIACE TRH221/224</t>
  </si>
  <si>
    <t>HILUX YN85</t>
  </si>
  <si>
    <t>HILUX  LN 85/100/107/145</t>
  </si>
  <si>
    <t>HILUX LN147</t>
  </si>
  <si>
    <t>HILUX LN166</t>
  </si>
  <si>
    <t>HILUX LN167</t>
  </si>
  <si>
    <t>HILUX High Spec 1GD GUN126-DNFMHN MT</t>
  </si>
  <si>
    <t>HILUX High Spec GUN126 1GD -DNTMHN AT</t>
  </si>
  <si>
    <t>HILUX  Mid Spec GUN126 1GD-DNTSHN AT</t>
  </si>
  <si>
    <t>HILUX Basic   2GD GUN125R-BNFXHN</t>
  </si>
  <si>
    <t>HILUX Std 2GD GUN135R-BNFXHN</t>
  </si>
  <si>
    <t>HILUX Std 2GD GUN125R-BNFSHN</t>
  </si>
  <si>
    <t>HILUX Std  2GD GUN125R-DNFXHN</t>
  </si>
  <si>
    <t>HILUX Deluxe  2GD GUN125R-DNFSHN</t>
  </si>
  <si>
    <t>HILUX MID SPEC 2GD GUN126R-DNTSHN</t>
  </si>
  <si>
    <t>HILUX HIGH SPEC 2GD GUN126R-DNFMHN</t>
  </si>
  <si>
    <t>HILUX HIGH SPEC 2GD GUN126R-DNTMHN</t>
  </si>
  <si>
    <t>HILUX  KUN15R-TRMDYN</t>
  </si>
  <si>
    <t>HILUX KUN16R</t>
  </si>
  <si>
    <t>HILUX  KUN25R-TRMDYN</t>
  </si>
  <si>
    <t>HILUX  KUN25 DELUXE</t>
  </si>
  <si>
    <t>EXT CAB</t>
  </si>
  <si>
    <t>HILUX  KUN25R-PRMDHN DELUXE</t>
  </si>
  <si>
    <t>HILUX  KUN25R-PRMDHN-STD</t>
  </si>
  <si>
    <t>HILUX  KUN35R-PRMDHN</t>
  </si>
  <si>
    <t>HILUX  KUN26R-PRPSYN DELUXE IKD</t>
  </si>
  <si>
    <t>HILUX  KUN26R-PRMSYN DELUXE IKD</t>
  </si>
  <si>
    <t>HILUX  KUN126R-DNFMYN</t>
  </si>
  <si>
    <t>HILUX   KUN126R-DNAMYN AT</t>
  </si>
  <si>
    <t>HILUX  KUN125R-DNFSYN</t>
  </si>
  <si>
    <t>HILUX  KUN125R-BNFSYN</t>
  </si>
  <si>
    <t>HILUX   KUN122R-BNMXYN</t>
  </si>
  <si>
    <t>HILUX  TGN15R-TRMDKN</t>
  </si>
  <si>
    <t>HILUX  TGN26R</t>
  </si>
  <si>
    <t>Hilux Surf</t>
  </si>
  <si>
    <t>Innova</t>
  </si>
  <si>
    <t>IPSUM</t>
  </si>
  <si>
    <t>ISIS</t>
  </si>
  <si>
    <t>Ist/Scion</t>
  </si>
  <si>
    <t>2wd</t>
  </si>
  <si>
    <t>Kluger</t>
  </si>
  <si>
    <t>Land Cruiser UZJ 200/100</t>
  </si>
  <si>
    <t>Land Cruiser GDJ150</t>
  </si>
  <si>
    <t>Land Cruiser HDJ 100 /101</t>
  </si>
  <si>
    <t>Land Cruiser HDJ 80/81</t>
  </si>
  <si>
    <t>Land Cruiser KDJ95/KZJ95/KZJ78</t>
  </si>
  <si>
    <t>Land Cruiser KDJ120 GKMEYN  GX TYPE STD</t>
  </si>
  <si>
    <t>Land Cruiser KDJ120 GKMEYN  GX TYPE FULLY LOADED</t>
  </si>
  <si>
    <t>Land Cruiser KDJ125W</t>
  </si>
  <si>
    <t>Land Cruiser KDJ150-GKAEY VX</t>
  </si>
  <si>
    <t>Land Cruiser KDJ150-GKAEY AT VX-L</t>
  </si>
  <si>
    <t>Land Cruiser KDJ150-GKAEY AT TX-L</t>
  </si>
  <si>
    <t>Land Cruiser KDJ150-GKAFY MT TX-L</t>
  </si>
  <si>
    <t>Land Cruiser KDJ150-GKMEE MT LJ</t>
  </si>
  <si>
    <t>Land Cruiser KZJ120R-GKMETQ TD</t>
  </si>
  <si>
    <t>Land Cruiser KZJ120R-GKPETQ TD  (GX)</t>
  </si>
  <si>
    <t>Land Cruiser VZJ</t>
  </si>
  <si>
    <t>Land Cruiser RZJ</t>
  </si>
  <si>
    <t>Land Cruiser GRJ79/76K-DKMNK</t>
  </si>
  <si>
    <t>Land Cruiser 1HZ 4 Door Hardtop-  HZJ76R-RKMRS</t>
  </si>
  <si>
    <t>Land Cruiser HZJ 78R - RJMRS (TRAVERSE) Hardtop</t>
  </si>
  <si>
    <t>Land Cruiser 1HZ (TROOP CARRIER)   HZJ 78R-RJMRS Hardrop</t>
  </si>
  <si>
    <t>Land Cruiser HZJ 79R-TJMRS 4X4 Safari cruiser (without Conversion)</t>
  </si>
  <si>
    <t>Landcruiser Pick up 1HZ  HZJ79R-DKMRS MT</t>
  </si>
  <si>
    <t>Landcruiser Pick up 1HZ  HZJ76R-RKMRS MT</t>
  </si>
  <si>
    <t>Land Cruiser HZJ 79R-TJMRS 4X4 Pick up</t>
  </si>
  <si>
    <t>Land Cruiser HZJ 105R - GNMNS</t>
  </si>
  <si>
    <t>Land Cruiser (HZJ 105R-GCMRS)</t>
  </si>
  <si>
    <t>Land Cruiser LJ78</t>
  </si>
  <si>
    <t>Land Cruiser LJ95</t>
  </si>
  <si>
    <t>Land Cruiser LJ120R-GKMEE(STD)  L/cruiser prado  STD spec</t>
  </si>
  <si>
    <t>Land Cruiser LJ120R-GKMEE L/cruiser prado (fully loaded)</t>
  </si>
  <si>
    <t>Land Cruiser LJ150R-GKMEE(STD)  L/cruiser prado TX</t>
  </si>
  <si>
    <t>Land Cruiser LJ150R-GKMEE MT  L/cruiser prado LJ</t>
  </si>
  <si>
    <t>Land Cruiser TRJ120R-GKMEK(A) L/cruiser prado STD</t>
  </si>
  <si>
    <t>Land Cruiser TRJ120R-GKMEK(A)  L/cruiser prado spec B(fully loaded)</t>
  </si>
  <si>
    <t>Land Cruiser TRJ125</t>
  </si>
  <si>
    <t>Land Cruiser TRJ150R-GKMEE(A)  L/cruiser prado TX-L</t>
  </si>
  <si>
    <t>Land Cruiser URJ201/202-(FABRIC SEATS) UR-FE/GX</t>
  </si>
  <si>
    <t>Land Cruiser URJ201/202-GNZGKQ UR-FE</t>
  </si>
  <si>
    <t>Lancruiser Cruiser URJ202R-GNTEKQ   AX</t>
  </si>
  <si>
    <t>Lancruiser Cruiser URJ202R-GNTEKQ  T2  VX/ZX</t>
  </si>
  <si>
    <t>Land Cruiser Prado (GX) GRJ120</t>
  </si>
  <si>
    <t>Land Cruiser Prado (TX) GRJ150</t>
  </si>
  <si>
    <t>Land Cruiser Prado (TX) GRJ151</t>
  </si>
  <si>
    <t>Landcruiser 1UR URJ200R-GNTEKQ VX AT</t>
  </si>
  <si>
    <t>PETROL</t>
  </si>
  <si>
    <t>Land Cruiser VDJ 76 LX</t>
  </si>
  <si>
    <t>Land Cruiser VDJ200R-KDMRZ</t>
  </si>
  <si>
    <t>Land Cruiser VDJ79R</t>
  </si>
  <si>
    <t>Land Cruiser VDJ 76 LX . VDJ76R-RKMNYQ</t>
  </si>
  <si>
    <t>Land Cruiser VDJ200R-GNMNZ GX</t>
  </si>
  <si>
    <t>Land Cruiser VDJ200R-GNTNZ  GX</t>
  </si>
  <si>
    <t>Land Cruiser VDJ200R-GNTEZ-VX</t>
  </si>
  <si>
    <t>Landcruiser 1VD VDJ200R-GNTAZ GXR  AT</t>
  </si>
  <si>
    <t>Lancruiser Cruiser VDJ200R-GNTVZ VXR AT</t>
  </si>
  <si>
    <t>LANDRUISER FJ62/GSJ15W</t>
  </si>
  <si>
    <t>Marino</t>
  </si>
  <si>
    <t>Mark II</t>
  </si>
  <si>
    <t>Mark II BLIT</t>
  </si>
  <si>
    <t>Mark II ZIO</t>
  </si>
  <si>
    <t>Mark X</t>
  </si>
  <si>
    <t>Mark X ZIO</t>
  </si>
  <si>
    <t>Mark X ZIO 4WD</t>
  </si>
  <si>
    <t>Mark X ZIO 2WD</t>
  </si>
  <si>
    <t>Mirage</t>
  </si>
  <si>
    <t>MR2/ MR-S Convertible</t>
  </si>
  <si>
    <t>NADIA</t>
  </si>
  <si>
    <t>Noah /Voxy</t>
  </si>
  <si>
    <t>Opa</t>
  </si>
  <si>
    <t>Rush</t>
  </si>
  <si>
    <t>Rush  Dual VVTI 4A/T F800RE-GQMF</t>
  </si>
  <si>
    <t>Rush  Dual VVTI 4A/T F800RE-GQGF</t>
  </si>
  <si>
    <t>Rav4/Vanguard ACA21</t>
  </si>
  <si>
    <t>Rav4/Vanguard ACA30/31/36</t>
  </si>
  <si>
    <t>Rav4/Vanguard  ACA30/31/36</t>
  </si>
  <si>
    <t>Rav4/Vanguard  ZSA42R-ANXXKQ CVT Low grade (Fabric)</t>
  </si>
  <si>
    <t>Rav4/Vanguard  ZSA42R-ANXGKQ CVT High grade (Leather)</t>
  </si>
  <si>
    <t>Rav4/Vanguard  ASA44R - ANFGKQ MT (Leather)</t>
  </si>
  <si>
    <t>Rav4/Vanguard  ASA44R - ANTGKQ  (Leather)</t>
  </si>
  <si>
    <t>Rav4/Vanguard  ZSA42R-ANYXK CVT STD</t>
  </si>
  <si>
    <t>Rav4/Vanguard  ZSA42R-ANYGK CVT DLX</t>
  </si>
  <si>
    <t>Rav4/Vanguard  ZSA42R-ANYMK CVT MID</t>
  </si>
  <si>
    <t>Sienta</t>
  </si>
  <si>
    <t>Liteace</t>
  </si>
  <si>
    <t>Town Ace</t>
  </si>
  <si>
    <t>Toyoace</t>
  </si>
  <si>
    <t>Spacio</t>
  </si>
  <si>
    <t>Passo</t>
  </si>
  <si>
    <t>Platz</t>
  </si>
  <si>
    <t>Porte</t>
  </si>
  <si>
    <t>Prius Hybrid</t>
  </si>
  <si>
    <t>Probox</t>
  </si>
  <si>
    <t>Allion/Premio T240</t>
  </si>
  <si>
    <t>Allion/Premio T260</t>
  </si>
  <si>
    <t>Ractis</t>
  </si>
  <si>
    <t>RAUM</t>
  </si>
  <si>
    <t>RUNX</t>
  </si>
  <si>
    <t>Scion</t>
  </si>
  <si>
    <t>Scion xB/  Toyota bB</t>
  </si>
  <si>
    <t>Sprinter</t>
  </si>
  <si>
    <t>Succeed</t>
  </si>
  <si>
    <t>Verso</t>
  </si>
  <si>
    <t>Vios</t>
  </si>
  <si>
    <t>VISTA</t>
  </si>
  <si>
    <t>Verossa</t>
  </si>
  <si>
    <t>VITZ DBA-KSP90</t>
  </si>
  <si>
    <t>VITZ DBA?NCP91</t>
  </si>
  <si>
    <t>VITZ DBA-KSP130</t>
  </si>
  <si>
    <t>Voltz</t>
  </si>
  <si>
    <t>Wish ZGE22W</t>
  </si>
  <si>
    <t>Wish ZGE25W</t>
  </si>
  <si>
    <t>Will VI</t>
  </si>
  <si>
    <t>Will CYPHA</t>
  </si>
  <si>
    <t>Yaris</t>
  </si>
  <si>
    <t>SAI - Hybrid</t>
  </si>
  <si>
    <t>LEXUS</t>
  </si>
  <si>
    <t>CT200H- Hybrid</t>
  </si>
  <si>
    <t>LX450</t>
  </si>
  <si>
    <t>LX460</t>
  </si>
  <si>
    <t>LX470</t>
  </si>
  <si>
    <t>LX 570  UR-FE LX570 V8 6SPEED</t>
  </si>
  <si>
    <t>GX 460</t>
  </si>
  <si>
    <t>NX 200T</t>
  </si>
  <si>
    <t>NX 300H CVT</t>
  </si>
  <si>
    <t>IS/AS 200 XE10/ALTEZZA</t>
  </si>
  <si>
    <t>IS200D</t>
  </si>
  <si>
    <t>IS250 V6</t>
  </si>
  <si>
    <t>AS300 GITA CE10/ALTEZZA</t>
  </si>
  <si>
    <t>IS300 V6</t>
  </si>
  <si>
    <t>IS350 V6</t>
  </si>
  <si>
    <t>GS350 V6</t>
  </si>
  <si>
    <t>IS F V8 XE20</t>
  </si>
  <si>
    <t>GS450H</t>
  </si>
  <si>
    <t>RX270</t>
  </si>
  <si>
    <t>RX300</t>
  </si>
  <si>
    <t>RX350</t>
  </si>
  <si>
    <t>RX400h- Hybrid</t>
  </si>
  <si>
    <t>4wd</t>
  </si>
  <si>
    <t>RX450h - Hybrid</t>
  </si>
  <si>
    <t>VAUXHALL</t>
  </si>
  <si>
    <t>Brava</t>
  </si>
  <si>
    <t>Vectra CDTI SRI</t>
  </si>
  <si>
    <t>Vivaro CDTi</t>
  </si>
  <si>
    <t>Astra</t>
  </si>
  <si>
    <t>Amarok  TL TDI</t>
  </si>
  <si>
    <t>Amarok  TL TDI  AT</t>
  </si>
  <si>
    <t>Amarok Canyon</t>
  </si>
  <si>
    <t>AMBULANCE LWB MT TDI</t>
  </si>
  <si>
    <t>Beetle</t>
  </si>
  <si>
    <t>Caddy COMBI</t>
  </si>
  <si>
    <t>Caddy delivery</t>
  </si>
  <si>
    <t>Caddy Panel Van</t>
  </si>
  <si>
    <t>Caddy Van  SDI Panel Van</t>
  </si>
  <si>
    <t>Caddy Van SDI Panel Van  AC</t>
  </si>
  <si>
    <t>CC DSG SPORTLINE</t>
  </si>
  <si>
    <t>Citi com i</t>
  </si>
  <si>
    <t>Citi com i a/c</t>
  </si>
  <si>
    <t>Crafter XLWB Super High Roof Van</t>
  </si>
  <si>
    <t>Golf IV</t>
  </si>
  <si>
    <t>Golf V</t>
  </si>
  <si>
    <t>Golf PLUS</t>
  </si>
  <si>
    <t>Golf MT trend &amp; fun</t>
  </si>
  <si>
    <t>Golf VI</t>
  </si>
  <si>
    <t>Golf VI DSG</t>
  </si>
  <si>
    <t>Golf DSG HIGHLINE</t>
  </si>
  <si>
    <t>Golf  gti</t>
  </si>
  <si>
    <t>S80 T5 Powershift</t>
  </si>
  <si>
    <t>S80 T6 AWD Geartronic Exec</t>
  </si>
  <si>
    <t>V40 T5 Standard</t>
  </si>
  <si>
    <t>V50  powershift R-DESIGN</t>
  </si>
  <si>
    <t>V50 T5   R-DESIGN</t>
  </si>
  <si>
    <t>V60 T6 Geartronic</t>
  </si>
  <si>
    <t>V60 T5</t>
  </si>
  <si>
    <t>V60 T4</t>
  </si>
  <si>
    <t>V60 T3</t>
  </si>
  <si>
    <t>V60 D5 Geartronic</t>
  </si>
  <si>
    <t>V60 D3</t>
  </si>
  <si>
    <t>V60 T5 Standard</t>
  </si>
  <si>
    <t>V60 T4 Powershift</t>
  </si>
  <si>
    <t>V60 T5 Powershift</t>
  </si>
  <si>
    <t>V60 D3 Geartronic</t>
  </si>
  <si>
    <t>V60 T6 Geartronic R-Design</t>
  </si>
  <si>
    <t>V60 T5  R-Design</t>
  </si>
  <si>
    <t>V60 T5 Powershift R-Design</t>
  </si>
  <si>
    <t>V60 D5 Geartronic R-Design</t>
  </si>
  <si>
    <t>V70</t>
  </si>
  <si>
    <t>V70 MATIC</t>
  </si>
  <si>
    <t>V70 GEARTRONIC</t>
  </si>
  <si>
    <t>V70 T5</t>
  </si>
  <si>
    <t>XC90 Momentum Standard T6</t>
  </si>
  <si>
    <t>XC90 Momentum Premium T6</t>
  </si>
  <si>
    <t>XC90  MOMENTUM D5</t>
  </si>
  <si>
    <t>XC90 Inscription Standard T6</t>
  </si>
  <si>
    <t>XC90 Inscription Premium T6</t>
  </si>
  <si>
    <t>XC90 R design Standard T6</t>
  </si>
  <si>
    <t>XC90 R design Premium T6</t>
  </si>
  <si>
    <t>XC60 Momentum Standard T6</t>
  </si>
  <si>
    <t>XC60 Inscription Standard T6</t>
  </si>
  <si>
    <t>XC60 R designStandard T6</t>
  </si>
  <si>
    <t>XC60 T5 Powershift</t>
  </si>
  <si>
    <t>XC60 D3 DRIVE</t>
  </si>
  <si>
    <t>XC60 D3 GEARTRONIC</t>
  </si>
  <si>
    <t>XC60 D5 GEARTRONIC</t>
  </si>
  <si>
    <t>XC60 T6  GEARTRONIC</t>
  </si>
  <si>
    <t>XC60 D5 GEARTRONIC  R DESIGN</t>
  </si>
  <si>
    <t>XC60 T6  GEARTRONIC R DESIGN</t>
  </si>
  <si>
    <t>XC70 D5  Geartronic SV42 Excel</t>
  </si>
  <si>
    <t>XC70 D5 Geartronic SV43 Elite</t>
  </si>
  <si>
    <t>XC90 T5  GEARTRONIC</t>
  </si>
  <si>
    <t>XC90 D5 Geartronic</t>
  </si>
  <si>
    <t>XC90 D5  Exec Geartronic</t>
  </si>
  <si>
    <t>XC90 T5  Geartronic Elite</t>
  </si>
  <si>
    <t>XC90 D5  Geartronic Elite</t>
  </si>
  <si>
    <t>XC90 T5  Geartronic  R-Design</t>
  </si>
  <si>
    <t>XC90 D5  Geartronic  R-Design</t>
  </si>
  <si>
    <t>Volvo F10/12 Intercooler</t>
  </si>
  <si>
    <t>Volvo FH16/520</t>
  </si>
  <si>
    <t>Volvo F7A-FM12</t>
  </si>
  <si>
    <t>FH 400 FH64TB3HS TWIN CLUTCH SLEEPER CAB</t>
  </si>
  <si>
    <t>FH 400 FH64TB3HS SINGLE CLUTCH SLEEPER CAB</t>
  </si>
  <si>
    <t>FH 400 FH64TB3HR SINGLE CLUTCH  SLEEPER CAB VT2214B</t>
  </si>
  <si>
    <t>FH 400 FH64TB3HS SINGLE CLUTCH  SLEEPER CAB AT2512C</t>
  </si>
  <si>
    <t>FH 400 FH42TB3HD SINGLE CLUTCH  SLEEPER CAB</t>
  </si>
  <si>
    <t>FH 400 FM64TB3HS TWIN CLUTCH  SLEEPER CAB VT2214B</t>
  </si>
  <si>
    <t>FH 400 FM64TB3HS SINGLE CLUTCH SLEEPER CAB AT2521C</t>
  </si>
  <si>
    <t>FH 400 FM64TB3HR SINGLE CLUTCH  SLEEPER CAB VT2214B</t>
  </si>
  <si>
    <t>FH 370 FM62TB1HJ SINGLE CLUTCH SLEEPER CAB</t>
  </si>
  <si>
    <t>370hp</t>
  </si>
  <si>
    <t>FH 370 FM42TB1HD SINGLE CLUTCH  DAY CAB</t>
  </si>
  <si>
    <t>FMX 400 HP  SR PM</t>
  </si>
  <si>
    <t>400HP</t>
  </si>
  <si>
    <t>BEDFORD</t>
  </si>
  <si>
    <t>Bedford MJT2</t>
  </si>
  <si>
    <t>Beiben Truck</t>
  </si>
  <si>
    <t>TRUCK</t>
  </si>
  <si>
    <t>8X2</t>
  </si>
  <si>
    <t>Caliber sxt</t>
  </si>
  <si>
    <t>EICHER PRO 6025</t>
  </si>
  <si>
    <t>230HP</t>
  </si>
  <si>
    <t>EICHER SKYLINE</t>
  </si>
  <si>
    <t>CA3312P2K2 HLQ</t>
  </si>
  <si>
    <t>CA3252P2K2 J5P</t>
  </si>
  <si>
    <t>CA3310P6</t>
  </si>
  <si>
    <t>CA3120PK</t>
  </si>
  <si>
    <t>CA6371</t>
  </si>
  <si>
    <t>CA1024V MINI</t>
  </si>
  <si>
    <t>CA1021 DJA ADMIRAL</t>
  </si>
  <si>
    <t>BQ2023 GRAND TIGER</t>
  </si>
  <si>
    <t>CA3250</t>
  </si>
  <si>
    <t>CA3320</t>
  </si>
  <si>
    <t>CA3223</t>
  </si>
  <si>
    <t>CA1041K2L2Y</t>
  </si>
  <si>
    <t>CA6680</t>
  </si>
  <si>
    <t>CA1311</t>
  </si>
  <si>
    <t>CA3075</t>
  </si>
  <si>
    <t>CA3120</t>
  </si>
  <si>
    <t>170HP</t>
  </si>
  <si>
    <t>290HP</t>
  </si>
  <si>
    <t>AUV BUS 6920 COMFORT  2+ BJ6920-R</t>
  </si>
  <si>
    <t>155KW</t>
  </si>
  <si>
    <t>AUV BUS 6103 COMFORT  2+ BJ6103-R</t>
  </si>
  <si>
    <t>177KW</t>
  </si>
  <si>
    <t>AUV BUS 6103 DELUXE  2+ BJ6103-R</t>
  </si>
  <si>
    <t>DUTRO MICRO BUS 110</t>
  </si>
  <si>
    <t>DUTRO MICRO BUS 130</t>
  </si>
  <si>
    <t>FB130</t>
  </si>
  <si>
    <t>Hino FC 500 LWB 1017 Cab and chassis</t>
  </si>
  <si>
    <t>Hino FC 500 LWB 1017 with body.</t>
  </si>
  <si>
    <t>Hino GT 500 LWB 1017 Cab and chassis</t>
  </si>
  <si>
    <t>Hino 300 Series- 6speed</t>
  </si>
  <si>
    <t>CLA 17.220 DELUXE</t>
  </si>
  <si>
    <t>HB3 18.310</t>
  </si>
  <si>
    <t>CLA 18.220</t>
  </si>
  <si>
    <t>LPK 1615/13</t>
  </si>
  <si>
    <t>Make/Model</t>
  </si>
  <si>
    <t>CC</t>
  </si>
  <si>
    <t>CRSP/CV</t>
  </si>
  <si>
    <t>Ref/Entry No</t>
  </si>
  <si>
    <t>23MBAIM404211016</t>
  </si>
  <si>
    <t>AUDI RS7</t>
  </si>
  <si>
    <t>Duty 1974216</t>
  </si>
  <si>
    <t>AUDI S4</t>
  </si>
  <si>
    <t>AUDI Q5 SLINE QUATTRO TFSI</t>
  </si>
  <si>
    <t>AUDI A8  Petrol, Auto</t>
  </si>
  <si>
    <t>AUDI A6 FSI QUATTRO</t>
  </si>
  <si>
    <t>BMW X4</t>
  </si>
  <si>
    <t>BMW Xdrive 2.8i</t>
  </si>
  <si>
    <t>BMW Xdrive Diesel</t>
  </si>
  <si>
    <t>BMW F45 Series Active Tourer</t>
  </si>
  <si>
    <t>4307..06</t>
  </si>
  <si>
    <t>BMW 320i F34</t>
  </si>
  <si>
    <t>BMW 320i 3 Series(Active hybrid)</t>
  </si>
  <si>
    <t>BMW X1, Petrol</t>
  </si>
  <si>
    <t>Citroen C3</t>
  </si>
  <si>
    <t>Daihatsu Tanto SAME AS MIRA</t>
  </si>
  <si>
    <t>DAF LF230 4X2</t>
  </si>
  <si>
    <t>22..404588548</t>
  </si>
  <si>
    <t>FIAT DOBLO C/MAXI</t>
  </si>
  <si>
    <t>Ford Ranger Raptor/Wildtrack</t>
  </si>
  <si>
    <t>Hino Ditro (N04C/XZU605</t>
  </si>
  <si>
    <t>Honda Accord Hybrid</t>
  </si>
  <si>
    <t>22MBAIM402172760</t>
  </si>
  <si>
    <t>Honda Jade</t>
  </si>
  <si>
    <t>21MBAIM403962084</t>
  </si>
  <si>
    <t>Honda Grace</t>
  </si>
  <si>
    <t>Honda Fit GP5</t>
  </si>
  <si>
    <t>Honda fit hybrid</t>
  </si>
  <si>
    <t>21MBAIM401230314</t>
  </si>
  <si>
    <t>Honda Vezel RU1/RU2</t>
  </si>
  <si>
    <t>21MBAIM402561158</t>
  </si>
  <si>
    <t>Honda Vezel RU3/RU4</t>
  </si>
  <si>
    <t>22MBAIM402451349</t>
  </si>
  <si>
    <t>Isuzu MU-X</t>
  </si>
  <si>
    <t>Isuzu Dump</t>
  </si>
  <si>
    <t>Landrover Defender SE</t>
  </si>
  <si>
    <t>Landrover R/Rover EVOGUE-204PT/CBALV2A, Petrol</t>
  </si>
  <si>
    <t>22MBAIM400552806</t>
  </si>
  <si>
    <t>Mazda Bongo SLPV2</t>
  </si>
  <si>
    <t>Mazda CX-3</t>
  </si>
  <si>
    <t>Mazda CX-5 2WD</t>
  </si>
  <si>
    <t>Mazda CX-5 4WD</t>
  </si>
  <si>
    <t>Mazda CX-8</t>
  </si>
  <si>
    <t>22MBAIM400551464</t>
  </si>
  <si>
    <t>Mazda CX-9</t>
  </si>
  <si>
    <t>Mazda CX-30</t>
  </si>
  <si>
    <t>Mazda 5 Petrol</t>
  </si>
  <si>
    <t>Mazda Flair</t>
  </si>
  <si>
    <t>Mazda Demio Diesel</t>
  </si>
  <si>
    <t>Mazda Demio 4WD</t>
  </si>
  <si>
    <t>22MBAIM404369805</t>
  </si>
  <si>
    <t>Mazda Axela Sport</t>
  </si>
  <si>
    <t>22MBAIM404922873/22MBAIM405409189</t>
  </si>
  <si>
    <t>Mazda Axela 2WD</t>
  </si>
  <si>
    <t>Mazda Attenza Diesel, 4WD</t>
  </si>
  <si>
    <t>Mercedes E250 CGI</t>
  </si>
  <si>
    <t>Prorate 1800 CGI</t>
  </si>
  <si>
    <t>Mercedes GLE43</t>
  </si>
  <si>
    <t>Mercedes GLE63 AMG</t>
  </si>
  <si>
    <t>Mercedes GLE350D AMG SUV</t>
  </si>
  <si>
    <t>Mercedes GLC43</t>
  </si>
  <si>
    <t>Mercedes A180</t>
  </si>
  <si>
    <t>Mercedes G180</t>
  </si>
  <si>
    <t>GLA250 Prorata</t>
  </si>
  <si>
    <t>23MBAIM404592459</t>
  </si>
  <si>
    <t>Mercedes G Wagon G350</t>
  </si>
  <si>
    <t>22MBAIM400435689</t>
  </si>
  <si>
    <t>Mercedes GLS400D</t>
  </si>
  <si>
    <t>Mercedes GLE250D</t>
  </si>
  <si>
    <t>Mercedes GLE350</t>
  </si>
  <si>
    <t>Mercedes Actros 2543</t>
  </si>
  <si>
    <t>Mercedes Actros 1843</t>
  </si>
  <si>
    <t>Mercedes GLE450</t>
  </si>
  <si>
    <t>21MBAIM401256897</t>
  </si>
  <si>
    <t>Mercedes C43</t>
  </si>
  <si>
    <t>23MBAIM401496051</t>
  </si>
  <si>
    <t>Mercedes X350D</t>
  </si>
  <si>
    <t>GBP 18472</t>
  </si>
  <si>
    <t>Mercedes V220D</t>
  </si>
  <si>
    <t>22MBAIM400743602</t>
  </si>
  <si>
    <t>Mitsubishi Eclipse</t>
  </si>
  <si>
    <t>Mitsubishi Lancer VY12</t>
  </si>
  <si>
    <t>22MBAIM401523546</t>
  </si>
  <si>
    <t>Mitsubishi Outlander  GG2W Hybrid</t>
  </si>
  <si>
    <t>Mitsubishi Mirage</t>
  </si>
  <si>
    <t>Mitsubishi Attrage</t>
  </si>
  <si>
    <t>Mitsubishi Outlander GF8W</t>
  </si>
  <si>
    <t>22MBAIM403713622</t>
  </si>
  <si>
    <t>Mitsubishi Outlander GF3</t>
  </si>
  <si>
    <t>21MBAIM402584113</t>
  </si>
  <si>
    <t>Mitsubishi Rosa BE640G</t>
  </si>
  <si>
    <t>Nissan AD Expert</t>
  </si>
  <si>
    <t>Nissan Caravan, Petrol, VRE25</t>
  </si>
  <si>
    <t>Nissan Caravan NV350, Petrol</t>
  </si>
  <si>
    <t>Nissan Dayz</t>
  </si>
  <si>
    <t>Nissan NV100</t>
  </si>
  <si>
    <t>Nissan Xtrail HT32</t>
  </si>
  <si>
    <t>Nissan Xtrail T32</t>
  </si>
  <si>
    <t>Nissan Advan</t>
  </si>
  <si>
    <t>22MBAIM404120410</t>
  </si>
  <si>
    <t>Nissan Moco</t>
  </si>
  <si>
    <t>Nissan Infinity     Q50</t>
  </si>
  <si>
    <t>22MBAIM401286352</t>
  </si>
  <si>
    <t>Peugeot 2008</t>
  </si>
  <si>
    <t>Peugeot RCZ</t>
  </si>
  <si>
    <t>22MBAIM401012546</t>
  </si>
  <si>
    <t>Porche Cayenne</t>
  </si>
  <si>
    <t>Renault T460</t>
  </si>
  <si>
    <t>Subaru Levorg</t>
  </si>
  <si>
    <t>Subaru Outback BS9</t>
  </si>
  <si>
    <t>Subaru Outback BRM</t>
  </si>
  <si>
    <t>Subaru 2.0XT W S/Roof SJG</t>
  </si>
  <si>
    <t>Subaru Impreza GJ3</t>
  </si>
  <si>
    <t>Subaru Impreza GPE</t>
  </si>
  <si>
    <t>Subaru BRZ</t>
  </si>
  <si>
    <t>Subaru Forester SK9</t>
  </si>
  <si>
    <t>Subaru Legacy BN9</t>
  </si>
  <si>
    <t>Subaru Forester SJ9</t>
  </si>
  <si>
    <t>Subaru Forester Diesel</t>
  </si>
  <si>
    <t>Subaru Stella</t>
  </si>
  <si>
    <t>Suzuki Baleno</t>
  </si>
  <si>
    <t>23MBAIM400310176</t>
  </si>
  <si>
    <t>Suzuki Hustler</t>
  </si>
  <si>
    <t>Corolla ALTIS</t>
  </si>
  <si>
    <t>Fielder Hybrid NKE165</t>
  </si>
  <si>
    <t>Fielder NRE161</t>
  </si>
  <si>
    <t>Fielder ZRE162</t>
  </si>
  <si>
    <t>Fortuner KUN61R-NKPSYN</t>
  </si>
  <si>
    <t>Townace Truck</t>
  </si>
  <si>
    <t>Toyota 86   ZN6</t>
  </si>
  <si>
    <t>Harrier MXUA80</t>
  </si>
  <si>
    <t>22MBAIM402822496</t>
  </si>
  <si>
    <t>Hiace KDH223</t>
  </si>
  <si>
    <t>Hilux GUN122 S/CAB</t>
  </si>
  <si>
    <t>22..4059142406/22..400296093</t>
  </si>
  <si>
    <t xml:space="preserve">Hilux GUN123 </t>
  </si>
  <si>
    <t>Hilux GUN126 S/CAB, Manual, 4wd</t>
  </si>
  <si>
    <t>6445542/445542</t>
  </si>
  <si>
    <t>Hilux GUN135R  D/CAB</t>
  </si>
  <si>
    <t>21MBAIM403191917</t>
  </si>
  <si>
    <t>Hilux KUN36R D/CAB</t>
  </si>
  <si>
    <t>Toyota Tank</t>
  </si>
  <si>
    <t>Toyota Roomy</t>
  </si>
  <si>
    <t>Vitz NHP130</t>
  </si>
  <si>
    <t>Toyota Sienta Hybrid</t>
  </si>
  <si>
    <t>Toyota Rav4 AXAH52R</t>
  </si>
  <si>
    <t>Toyota Rav4 MXAA54</t>
  </si>
  <si>
    <t>Toyota Rav4 M20A</t>
  </si>
  <si>
    <t>22MBAIM41050701</t>
  </si>
  <si>
    <t>Toyota Vanguard ACA38</t>
  </si>
  <si>
    <t>Toyota Esquire Hybrid</t>
  </si>
  <si>
    <t>22MBAIM406096070</t>
  </si>
  <si>
    <t>Toyata Noah/Voxy Hybrid</t>
  </si>
  <si>
    <t>Landcruiser D/CAB VDJ79R, Diesel</t>
  </si>
  <si>
    <t>23MBAIM403789384</t>
  </si>
  <si>
    <t>Landcruiser LC300 VJA300 SAHARA ZX</t>
  </si>
  <si>
    <t>Prado GDJ151</t>
  </si>
  <si>
    <t>Toyota CH-R</t>
  </si>
  <si>
    <t>LC300 VJA300 Petrol</t>
  </si>
  <si>
    <t xml:space="preserve">LC300 VJA300 </t>
  </si>
  <si>
    <t>LEXUS RX200T</t>
  </si>
  <si>
    <t>LEXUS NX200T</t>
  </si>
  <si>
    <t>LEXUS GS250 Prorate GS350</t>
  </si>
  <si>
    <t>LX600</t>
  </si>
  <si>
    <t>Volkswagen UP</t>
  </si>
  <si>
    <t>Volkswagen Golf Variant</t>
  </si>
  <si>
    <t>Volkswagen Polo TSI Bluemotion</t>
  </si>
  <si>
    <t>Volkswagen Golf TSI H/Back</t>
  </si>
  <si>
    <t>22MBAIM404503745</t>
  </si>
  <si>
    <t>Volkswagen Golf Sports Edition</t>
  </si>
  <si>
    <t>Volkswagen CC</t>
  </si>
  <si>
    <t>Volkswagen Passat</t>
  </si>
  <si>
    <t>Volvo  XC60 R-DESIGN</t>
  </si>
  <si>
    <t>Volvo  XC60 D4</t>
  </si>
  <si>
    <t>22MBAIM401569310/22MBAIM404876103</t>
  </si>
  <si>
    <t>Volvo V70</t>
  </si>
  <si>
    <t>Volvo V40 T4</t>
  </si>
  <si>
    <t>Use T5 Prorata</t>
  </si>
  <si>
    <t>NV350 CARAVAN 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</si>
</sst>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#,##0;[Red]#,##0"/>
  </numFmts>
  <fonts count="33" x14ac:knownFonts="1">
    <font>
      <sz val="10"/>
      <color rgb="FF000000"/>
      <name val="Times New Roman"/>
      <charset val="204"/>
    </font>
    <font>
      <b/>
      <sz val="11"/>
      <name val="Georgia"/>
      <family val="1"/>
    </font>
    <font>
      <sz val="11"/>
      <name val="Georgia"/>
      <family val="1"/>
    </font>
    <font>
      <sz val="11"/>
      <color rgb="FF000000"/>
      <name val="Georgia"/>
      <family val="2"/>
    </font>
    <font>
      <b/>
      <sz val="12"/>
      <name val="Georgia"/>
      <family val="1"/>
    </font>
    <font>
      <b/>
      <sz val="12"/>
      <color rgb="FFBF0000"/>
      <name val="Georgia"/>
      <family val="1"/>
    </font>
    <font>
      <b/>
      <sz val="11"/>
      <color rgb="FFFF0000"/>
      <name val="Georgia"/>
      <family val="1"/>
    </font>
    <font>
      <sz val="11"/>
      <color rgb="FFFF0000"/>
      <name val="Georgia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48"/>
      <name val="Tahoma"/>
      <family val="2"/>
    </font>
    <font>
      <sz val="8"/>
      <color indexed="48"/>
      <name val="Tahoma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sz val="9"/>
      <name val="Tahoma"/>
      <family val="2"/>
    </font>
    <font>
      <sz val="9"/>
      <color rgb="FF000000"/>
      <name val="Times New Roman"/>
      <family val="1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9"/>
      <color indexed="42"/>
      <name val="Arial"/>
      <family val="2"/>
    </font>
    <font>
      <sz val="9"/>
      <color indexed="42"/>
      <name val="Arial"/>
      <family val="2"/>
    </font>
    <font>
      <b/>
      <sz val="9"/>
      <color indexed="57"/>
      <name val="Arial"/>
      <family val="2"/>
    </font>
    <font>
      <b/>
      <sz val="9"/>
      <color indexed="12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9"/>
      <color rgb="FF4F4F4F"/>
      <name val="Arial"/>
      <family val="2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9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3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left" vertical="top" shrinkToFit="1"/>
    </xf>
    <xf numFmtId="1" fontId="3" fillId="0" borderId="1" xfId="0" applyNumberFormat="1" applyFont="1" applyFill="1" applyBorder="1" applyAlignment="1">
      <alignment horizontal="left" vertical="top" shrinkToFit="1"/>
    </xf>
    <xf numFmtId="3" fontId="3" fillId="0" borderId="1" xfId="0" applyNumberFormat="1" applyFont="1" applyFill="1" applyBorder="1" applyAlignment="1">
      <alignment horizontal="left" vertical="top" indent="5" shrinkToFit="1"/>
    </xf>
    <xf numFmtId="3" fontId="3" fillId="0" borderId="1" xfId="0" applyNumberFormat="1" applyFont="1" applyFill="1" applyBorder="1" applyAlignment="1">
      <alignment horizontal="left" vertical="top" indent="4" shrinkToFit="1"/>
    </xf>
    <xf numFmtId="3" fontId="3" fillId="0" borderId="1" xfId="0" applyNumberFormat="1" applyFont="1" applyFill="1" applyBorder="1" applyAlignment="1">
      <alignment horizontal="left" vertical="top" indent="6" shrinkToFit="1"/>
    </xf>
    <xf numFmtId="3" fontId="3" fillId="0" borderId="1" xfId="0" applyNumberFormat="1" applyFont="1" applyFill="1" applyBorder="1" applyAlignment="1">
      <alignment horizontal="right" vertical="top" shrinkToFit="1"/>
    </xf>
    <xf numFmtId="3" fontId="3" fillId="0" borderId="1" xfId="0" applyNumberFormat="1" applyFont="1" applyFill="1" applyBorder="1" applyAlignment="1">
      <alignment horizontal="left" vertical="top" indent="3" shrinkToFit="1"/>
    </xf>
    <xf numFmtId="0" fontId="2" fillId="0" borderId="1" xfId="0" applyFont="1" applyFill="1" applyBorder="1" applyAlignment="1">
      <alignment horizontal="left" wrapText="1"/>
    </xf>
    <xf numFmtId="3" fontId="3" fillId="0" borderId="1" xfId="0" applyNumberFormat="1" applyFont="1" applyFill="1" applyBorder="1" applyAlignment="1">
      <alignment horizontal="right" shrinkToFit="1"/>
    </xf>
    <xf numFmtId="0" fontId="4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right" vertical="top" shrinkToFit="1"/>
    </xf>
    <xf numFmtId="0" fontId="0" fillId="0" borderId="0" xfId="0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 vertical="top" wrapText="1"/>
    </xf>
    <xf numFmtId="49" fontId="18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1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4" fontId="12" fillId="0" borderId="0" xfId="0" applyNumberFormat="1" applyFont="1"/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164" fontId="18" fillId="4" borderId="0" xfId="1" applyNumberFormat="1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9" fontId="18" fillId="4" borderId="0" xfId="0" applyNumberFormat="1" applyFont="1" applyFill="1" applyAlignment="1">
      <alignment horizontal="right" vertical="center"/>
    </xf>
    <xf numFmtId="164" fontId="21" fillId="0" borderId="0" xfId="0" applyNumberFormat="1" applyFont="1"/>
    <xf numFmtId="0" fontId="23" fillId="0" borderId="0" xfId="0" applyFont="1" applyAlignment="1">
      <alignment horizontal="center"/>
    </xf>
    <xf numFmtId="9" fontId="18" fillId="4" borderId="0" xfId="2" applyFont="1" applyFill="1" applyBorder="1" applyAlignment="1">
      <alignment horizontal="right" vertical="center"/>
    </xf>
    <xf numFmtId="43" fontId="21" fillId="0" borderId="0" xfId="1" applyFont="1" applyFill="1" applyBorder="1" applyAlignment="1">
      <alignment horizontal="right" wrapText="1"/>
    </xf>
    <xf numFmtId="164" fontId="12" fillId="0" borderId="0" xfId="1" applyNumberFormat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164" fontId="18" fillId="0" borderId="0" xfId="1" applyNumberFormat="1" applyFont="1" applyFill="1" applyBorder="1" applyAlignment="1">
      <alignment horizontal="center" vertical="center"/>
    </xf>
    <xf numFmtId="4" fontId="12" fillId="0" borderId="0" xfId="0" applyNumberFormat="1" applyFont="1"/>
    <xf numFmtId="3" fontId="12" fillId="0" borderId="0" xfId="0" applyNumberFormat="1" applyFont="1" applyAlignment="1">
      <alignment vertical="center"/>
    </xf>
    <xf numFmtId="164" fontId="12" fillId="0" borderId="0" xfId="1" applyNumberFormat="1" applyFont="1" applyFill="1" applyBorder="1" applyAlignment="1">
      <alignment horizontal="right" vertical="center"/>
    </xf>
    <xf numFmtId="164" fontId="12" fillId="0" borderId="0" xfId="1" applyNumberFormat="1" applyFont="1" applyFill="1" applyBorder="1" applyAlignment="1"/>
    <xf numFmtId="164" fontId="12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64" fontId="12" fillId="4" borderId="0" xfId="1" applyNumberFormat="1" applyFont="1" applyFill="1" applyBorder="1" applyAlignment="1">
      <alignment horizontal="center" vertical="center"/>
    </xf>
    <xf numFmtId="9" fontId="20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26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165" fontId="18" fillId="0" borderId="0" xfId="1" applyNumberFormat="1" applyFont="1" applyFill="1" applyBorder="1" applyAlignment="1">
      <alignment horizontal="center" vertical="center"/>
    </xf>
    <xf numFmtId="165" fontId="18" fillId="5" borderId="0" xfId="1" applyNumberFormat="1" applyFont="1" applyFill="1" applyBorder="1" applyAlignment="1">
      <alignment horizontal="center" vertical="center"/>
    </xf>
    <xf numFmtId="164" fontId="18" fillId="5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center" vertical="center"/>
    </xf>
    <xf numFmtId="0" fontId="18" fillId="0" borderId="0" xfId="0" applyFont="1"/>
    <xf numFmtId="0" fontId="14" fillId="0" borderId="0" xfId="0" applyFont="1"/>
    <xf numFmtId="166" fontId="18" fillId="0" borderId="0" xfId="1" applyNumberFormat="1" applyFont="1" applyFill="1" applyBorder="1" applyAlignment="1">
      <alignment horizontal="center" vertical="center"/>
    </xf>
    <xf numFmtId="1" fontId="12" fillId="0" borderId="0" xfId="0" applyNumberFormat="1" applyFont="1"/>
    <xf numFmtId="0" fontId="14" fillId="0" borderId="9" xfId="0" applyFont="1" applyBorder="1"/>
    <xf numFmtId="0" fontId="14" fillId="0" borderId="0" xfId="0" applyFont="1" applyAlignment="1">
      <alignment horizontal="center"/>
    </xf>
    <xf numFmtId="164" fontId="14" fillId="0" borderId="0" xfId="0" applyNumberFormat="1" applyFont="1"/>
    <xf numFmtId="0" fontId="14" fillId="0" borderId="10" xfId="0" applyFont="1" applyBorder="1"/>
    <xf numFmtId="0" fontId="18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8" fillId="0" borderId="0" xfId="0" applyFont="1"/>
    <xf numFmtId="0" fontId="27" fillId="0" borderId="0" xfId="0" applyFont="1" applyAlignment="1">
      <alignment horizontal="left"/>
    </xf>
    <xf numFmtId="167" fontId="27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167" fontId="28" fillId="0" borderId="0" xfId="0" applyNumberFormat="1" applyFont="1" applyAlignment="1">
      <alignment horizontal="left"/>
    </xf>
    <xf numFmtId="0" fontId="28" fillId="6" borderId="0" xfId="0" applyFont="1" applyFill="1" applyAlignment="1">
      <alignment horizontal="left"/>
    </xf>
    <xf numFmtId="167" fontId="28" fillId="6" borderId="0" xfId="0" applyNumberFormat="1" applyFont="1" applyFill="1" applyAlignment="1">
      <alignment horizontal="left"/>
    </xf>
    <xf numFmtId="0" fontId="0" fillId="0" borderId="0" xfId="0" applyFont="1"/>
    <xf numFmtId="3" fontId="29" fillId="5" borderId="11" xfId="1" applyNumberFormat="1" applyFont="1" applyFill="1" applyBorder="1" applyAlignment="1">
      <alignment wrapText="1"/>
    </xf>
    <xf numFmtId="3" fontId="0" fillId="0" borderId="0" xfId="0" applyNumberFormat="1" applyFont="1"/>
    <xf numFmtId="0" fontId="30" fillId="0" borderId="0" xfId="0" applyFont="1"/>
    <xf numFmtId="0" fontId="31" fillId="0" borderId="0" xfId="0" applyFont="1"/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right" vertical="top" shrinkToFit="1"/>
    </xf>
    <xf numFmtId="1" fontId="3" fillId="0" borderId="4" xfId="0" applyNumberFormat="1" applyFont="1" applyFill="1" applyBorder="1" applyAlignment="1">
      <alignment horizontal="right" vertical="top" shrinkToFit="1"/>
    </xf>
    <xf numFmtId="3" fontId="3" fillId="0" borderId="2" xfId="0" applyNumberFormat="1" applyFont="1" applyFill="1" applyBorder="1" applyAlignment="1">
      <alignment horizontal="right" vertical="top" shrinkToFit="1"/>
    </xf>
    <xf numFmtId="3" fontId="3" fillId="0" borderId="3" xfId="0" applyNumberFormat="1" applyFont="1" applyFill="1" applyBorder="1" applyAlignment="1">
      <alignment horizontal="right" vertical="top" shrinkToFit="1"/>
    </xf>
    <xf numFmtId="3" fontId="3" fillId="0" borderId="4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right" vertical="center" shrinkToFit="1"/>
    </xf>
    <xf numFmtId="1" fontId="3" fillId="0" borderId="3" xfId="0" applyNumberFormat="1" applyFont="1" applyFill="1" applyBorder="1" applyAlignment="1">
      <alignment horizontal="right" vertical="center" shrinkToFit="1"/>
    </xf>
    <xf numFmtId="1" fontId="3" fillId="0" borderId="4" xfId="0" applyNumberFormat="1" applyFont="1" applyFill="1" applyBorder="1" applyAlignment="1">
      <alignment horizontal="right" vertical="center" shrinkToFit="1"/>
    </xf>
    <xf numFmtId="3" fontId="3" fillId="0" borderId="2" xfId="0" applyNumberFormat="1" applyFont="1" applyFill="1" applyBorder="1" applyAlignment="1">
      <alignment horizontal="right" vertical="center" shrinkToFit="1"/>
    </xf>
    <xf numFmtId="3" fontId="3" fillId="0" borderId="3" xfId="0" applyNumberFormat="1" applyFont="1" applyFill="1" applyBorder="1" applyAlignment="1">
      <alignment horizontal="right" vertical="center" shrinkToFit="1"/>
    </xf>
    <xf numFmtId="3" fontId="3" fillId="0" borderId="4" xfId="0" applyNumberFormat="1" applyFont="1" applyFill="1" applyBorder="1" applyAlignment="1">
      <alignment horizontal="right" vertical="center" shrinkToFi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 indent="7"/>
    </xf>
    <xf numFmtId="0" fontId="2" fillId="0" borderId="3" xfId="0" applyFont="1" applyFill="1" applyBorder="1" applyAlignment="1">
      <alignment horizontal="left" vertical="top" wrapText="1" indent="7"/>
    </xf>
    <xf numFmtId="0" fontId="2" fillId="0" borderId="4" xfId="0" applyFont="1" applyFill="1" applyBorder="1" applyAlignment="1">
      <alignment horizontal="left" vertical="top" wrapText="1" indent="7"/>
    </xf>
    <xf numFmtId="0" fontId="1" fillId="0" borderId="2" xfId="0" applyFont="1" applyFill="1" applyBorder="1" applyAlignment="1">
      <alignment horizontal="left" vertical="top" wrapText="1" indent="6"/>
    </xf>
    <xf numFmtId="0" fontId="1" fillId="0" borderId="3" xfId="0" applyFont="1" applyFill="1" applyBorder="1" applyAlignment="1">
      <alignment horizontal="left" vertical="top" wrapText="1" indent="6"/>
    </xf>
    <xf numFmtId="0" fontId="1" fillId="0" borderId="4" xfId="0" applyFont="1" applyFill="1" applyBorder="1" applyAlignment="1">
      <alignment horizontal="left" vertical="top" wrapText="1" indent="6"/>
    </xf>
    <xf numFmtId="0" fontId="1" fillId="0" borderId="0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left" vertical="top" shrinkToFit="1"/>
    </xf>
    <xf numFmtId="1" fontId="3" fillId="0" borderId="4" xfId="0" applyNumberFormat="1" applyFont="1" applyFill="1" applyBorder="1" applyAlignment="1">
      <alignment horizontal="left" vertical="top" shrinkToFit="1"/>
    </xf>
    <xf numFmtId="1" fontId="3" fillId="0" borderId="3" xfId="0" applyNumberFormat="1" applyFont="1" applyFill="1" applyBorder="1" applyAlignment="1">
      <alignment horizontal="left" vertical="top" shrinkToFit="1"/>
    </xf>
    <xf numFmtId="0" fontId="2" fillId="0" borderId="2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left" shrinkToFit="1"/>
    </xf>
    <xf numFmtId="1" fontId="3" fillId="0" borderId="4" xfId="0" applyNumberFormat="1" applyFont="1" applyFill="1" applyBorder="1" applyAlignment="1">
      <alignment horizontal="left" shrinkToFit="1"/>
    </xf>
    <xf numFmtId="0" fontId="32" fillId="0" borderId="2" xfId="0" applyFont="1" applyFill="1" applyBorder="1" applyAlignment="1">
      <alignment horizontal="left" vertical="top" wrapText="1"/>
    </xf>
    <xf numFmtId="0" fontId="32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9" fontId="17" fillId="2" borderId="0" xfId="0" applyNumberFormat="1" applyFont="1" applyFill="1" applyAlignment="1">
      <alignment horizontal="center" vertical="top" wrapText="1"/>
    </xf>
    <xf numFmtId="0" fontId="14" fillId="2" borderId="0" xfId="0" applyFont="1" applyFill="1" applyAlignment="1">
      <alignment vertical="top" wrapText="1"/>
    </xf>
    <xf numFmtId="164" fontId="12" fillId="0" borderId="0" xfId="0" applyNumberFormat="1" applyFont="1" applyAlignment="1">
      <alignment horizontal="center"/>
    </xf>
    <xf numFmtId="0" fontId="18" fillId="3" borderId="0" xfId="0" applyFont="1" applyFill="1" applyAlignment="1">
      <alignment horizontal="center" vertical="top" wrapText="1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2" borderId="5" xfId="0" applyFont="1" applyFill="1" applyBorder="1" applyAlignment="1">
      <alignment horizontal="center" wrapText="1"/>
    </xf>
    <xf numFmtId="0" fontId="18" fillId="2" borderId="6" xfId="0" applyFont="1" applyFill="1" applyBorder="1" applyAlignment="1">
      <alignment horizontal="center" wrapText="1"/>
    </xf>
    <xf numFmtId="0" fontId="18" fillId="2" borderId="7" xfId="0" applyFont="1" applyFill="1" applyBorder="1" applyAlignment="1">
      <alignment horizontal="center" wrapText="1"/>
    </xf>
    <xf numFmtId="0" fontId="18" fillId="3" borderId="5" xfId="0" applyFont="1" applyFill="1" applyBorder="1" applyAlignment="1">
      <alignment horizontal="center" wrapText="1"/>
    </xf>
    <xf numFmtId="0" fontId="18" fillId="3" borderId="6" xfId="0" applyFont="1" applyFill="1" applyBorder="1" applyAlignment="1">
      <alignment horizontal="center" wrapText="1"/>
    </xf>
    <xf numFmtId="0" fontId="18" fillId="3" borderId="7" xfId="0" applyFont="1" applyFill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0" xfId="0" applyFont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</cellXfs>
  <cellStyles count="3">
    <cellStyle name="Comma 3" xfId="1"/>
    <cellStyle name="Normal" xfId="0" builtinId="0"/>
    <cellStyle name="Percent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156123</xdr:colOff>
      <xdr:row>0</xdr:row>
      <xdr:rowOff>311032</xdr:rowOff>
    </xdr:from>
    <xdr:ext cx="5674452" cy="401674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4452" cy="401674"/>
        </a:xfrm>
        <a:prstGeom prst="rect">
          <a:avLst/>
        </a:prstGeom>
      </xdr:spPr>
    </xdr:pic>
    <xdr:clientData/>
  </xdr:oneCellAnchor>
  <xdr:oneCellAnchor>
    <xdr:from>
      <xdr:col>2</xdr:col>
      <xdr:colOff>1420985</xdr:colOff>
      <xdr:row>5136</xdr:row>
      <xdr:rowOff>19</xdr:rowOff>
    </xdr:from>
    <xdr:ext cx="6562538" cy="664677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62538" cy="664677"/>
        </a:xfrm>
        <a:prstGeom prst="rect">
          <a:avLst/>
        </a:prstGeom>
      </xdr:spPr>
    </xdr:pic>
    <xdr:clientData/>
  </xdr:oneCellAnchor>
  <xdr:oneCellAnchor>
    <xdr:from>
      <xdr:col>2</xdr:col>
      <xdr:colOff>336648</xdr:colOff>
      <xdr:row>5603</xdr:row>
      <xdr:rowOff>1301650</xdr:rowOff>
    </xdr:from>
    <xdr:ext cx="5980462" cy="567239"/>
    <xdr:pic>
      <xdr:nvPicPr>
        <xdr:cNvPr id="4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0462" cy="5672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35"/>
  <sheetViews>
    <sheetView topLeftCell="A3133" zoomScale="110" zoomScaleNormal="110" workbookViewId="0">
      <selection activeCell="W3158" sqref="W3158"/>
    </sheetView>
  </sheetViews>
  <sheetFormatPr defaultRowHeight="12.75" x14ac:dyDescent="0.2"/>
  <cols>
    <col min="1" max="1" width="16.1640625" customWidth="1"/>
    <col min="2" max="2" width="8" customWidth="1"/>
    <col min="3" max="3" width="52.5" customWidth="1"/>
    <col min="4" max="5" width="8" customWidth="1"/>
    <col min="6" max="6" width="10.5" customWidth="1"/>
    <col min="7" max="7" width="25.5" customWidth="1"/>
    <col min="8" max="8" width="5.83203125" customWidth="1"/>
    <col min="9" max="9" width="16.1640625" customWidth="1"/>
    <col min="10" max="10" width="4.6640625" customWidth="1"/>
    <col min="11" max="11" width="10.5" customWidth="1"/>
    <col min="12" max="12" width="4.6640625" customWidth="1"/>
    <col min="13" max="13" width="2.1640625" customWidth="1"/>
    <col min="14" max="14" width="4.6640625" customWidth="1"/>
    <col min="15" max="15" width="14" customWidth="1"/>
    <col min="16" max="16" width="6.83203125" customWidth="1"/>
    <col min="17" max="18" width="16.1640625" customWidth="1"/>
    <col min="19" max="19" width="26.6640625" customWidth="1"/>
    <col min="20" max="21" width="15.1640625" customWidth="1"/>
    <col min="22" max="22" width="25.5" customWidth="1"/>
    <col min="23" max="23" width="22" customWidth="1"/>
    <col min="24" max="24" width="29.1640625" customWidth="1"/>
    <col min="25" max="25" width="11.5" customWidth="1"/>
  </cols>
  <sheetData>
    <row r="1" spans="1:25" ht="84.95" customHeight="1" x14ac:dyDescent="0.2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9"/>
      <c r="X1" s="1"/>
      <c r="Y1" s="1"/>
    </row>
    <row r="2" spans="1:25" ht="30.75" customHeight="1" x14ac:dyDescent="0.2">
      <c r="A2" s="146" t="s">
        <v>0</v>
      </c>
      <c r="B2" s="147"/>
      <c r="C2" s="146" t="s">
        <v>1</v>
      </c>
      <c r="D2" s="147"/>
      <c r="E2" s="97" t="s">
        <v>2</v>
      </c>
      <c r="F2" s="98"/>
      <c r="G2" s="98"/>
      <c r="H2" s="98"/>
      <c r="I2" s="99"/>
      <c r="J2" s="146" t="s">
        <v>3</v>
      </c>
      <c r="K2" s="148"/>
      <c r="L2" s="148"/>
      <c r="M2" s="147"/>
      <c r="N2" s="97" t="s">
        <v>4</v>
      </c>
      <c r="O2" s="98"/>
      <c r="P2" s="99"/>
      <c r="Q2" s="97" t="s">
        <v>5</v>
      </c>
      <c r="R2" s="99"/>
      <c r="S2" s="1" t="s">
        <v>6</v>
      </c>
      <c r="T2" s="2" t="s">
        <v>7</v>
      </c>
      <c r="U2" s="2" t="s">
        <v>8</v>
      </c>
      <c r="V2" s="2" t="s">
        <v>9</v>
      </c>
      <c r="W2" s="3" t="s">
        <v>10</v>
      </c>
      <c r="X2" s="4"/>
      <c r="Y2" s="4"/>
    </row>
    <row r="3" spans="1:25" ht="15" customHeight="1" x14ac:dyDescent="0.2">
      <c r="A3" s="88" t="s">
        <v>11</v>
      </c>
      <c r="B3" s="90"/>
      <c r="C3" s="88" t="s">
        <v>12</v>
      </c>
      <c r="D3" s="90"/>
      <c r="E3" s="106"/>
      <c r="F3" s="107"/>
      <c r="G3" s="107"/>
      <c r="H3" s="107"/>
      <c r="I3" s="108"/>
      <c r="J3" s="88" t="s">
        <v>13</v>
      </c>
      <c r="K3" s="89"/>
      <c r="L3" s="89"/>
      <c r="M3" s="90"/>
      <c r="N3" s="88" t="s">
        <v>14</v>
      </c>
      <c r="O3" s="89"/>
      <c r="P3" s="90"/>
      <c r="Q3" s="88" t="s">
        <v>15</v>
      </c>
      <c r="R3" s="90"/>
      <c r="S3" s="5" t="s">
        <v>16</v>
      </c>
      <c r="T3" s="7">
        <v>2155</v>
      </c>
      <c r="U3" s="8">
        <v>5</v>
      </c>
      <c r="V3" s="5" t="s">
        <v>17</v>
      </c>
      <c r="W3" s="9">
        <v>5910345</v>
      </c>
      <c r="X3" s="6"/>
      <c r="Y3" s="6"/>
    </row>
    <row r="4" spans="1:25" ht="15" customHeight="1" x14ac:dyDescent="0.2">
      <c r="A4" s="88" t="s">
        <v>11</v>
      </c>
      <c r="B4" s="90"/>
      <c r="C4" s="88" t="s">
        <v>18</v>
      </c>
      <c r="D4" s="90"/>
      <c r="E4" s="106"/>
      <c r="F4" s="107"/>
      <c r="G4" s="107"/>
      <c r="H4" s="107"/>
      <c r="I4" s="108"/>
      <c r="J4" s="88" t="s">
        <v>13</v>
      </c>
      <c r="K4" s="89"/>
      <c r="L4" s="89"/>
      <c r="M4" s="90"/>
      <c r="N4" s="88" t="s">
        <v>14</v>
      </c>
      <c r="O4" s="89"/>
      <c r="P4" s="90"/>
      <c r="Q4" s="88" t="s">
        <v>15</v>
      </c>
      <c r="R4" s="90"/>
      <c r="S4" s="5" t="s">
        <v>16</v>
      </c>
      <c r="T4" s="7">
        <v>1820</v>
      </c>
      <c r="U4" s="8">
        <v>5</v>
      </c>
      <c r="V4" s="5" t="s">
        <v>17</v>
      </c>
      <c r="W4" s="9">
        <v>8232266</v>
      </c>
      <c r="X4" s="6"/>
      <c r="Y4" s="6"/>
    </row>
    <row r="5" spans="1:25" ht="15" customHeight="1" x14ac:dyDescent="0.2">
      <c r="A5" s="88" t="s">
        <v>19</v>
      </c>
      <c r="B5" s="90"/>
      <c r="C5" s="88" t="s">
        <v>20</v>
      </c>
      <c r="D5" s="90"/>
      <c r="E5" s="88" t="s">
        <v>21</v>
      </c>
      <c r="F5" s="89"/>
      <c r="G5" s="89"/>
      <c r="H5" s="89"/>
      <c r="I5" s="90"/>
      <c r="J5" s="88" t="s">
        <v>13</v>
      </c>
      <c r="K5" s="89"/>
      <c r="L5" s="89"/>
      <c r="M5" s="90"/>
      <c r="N5" s="88" t="s">
        <v>22</v>
      </c>
      <c r="O5" s="89"/>
      <c r="P5" s="90"/>
      <c r="Q5" s="133">
        <v>3000</v>
      </c>
      <c r="R5" s="134"/>
      <c r="S5" s="5" t="s">
        <v>16</v>
      </c>
      <c r="T5" s="6"/>
      <c r="U5" s="6"/>
      <c r="V5" s="5" t="s">
        <v>23</v>
      </c>
      <c r="W5" s="10">
        <v>16210629</v>
      </c>
      <c r="X5" s="6"/>
      <c r="Y5" s="6"/>
    </row>
    <row r="6" spans="1:25" ht="15" customHeight="1" x14ac:dyDescent="0.2">
      <c r="A6" s="88" t="s">
        <v>19</v>
      </c>
      <c r="B6" s="90"/>
      <c r="C6" s="88" t="s">
        <v>24</v>
      </c>
      <c r="D6" s="90"/>
      <c r="E6" s="88" t="s">
        <v>25</v>
      </c>
      <c r="F6" s="89"/>
      <c r="G6" s="89"/>
      <c r="H6" s="89"/>
      <c r="I6" s="90"/>
      <c r="J6" s="88" t="s">
        <v>13</v>
      </c>
      <c r="K6" s="89"/>
      <c r="L6" s="89"/>
      <c r="M6" s="90"/>
      <c r="N6" s="88" t="s">
        <v>26</v>
      </c>
      <c r="O6" s="89"/>
      <c r="P6" s="90"/>
      <c r="Q6" s="133">
        <v>1000</v>
      </c>
      <c r="R6" s="134"/>
      <c r="S6" s="5" t="s">
        <v>27</v>
      </c>
      <c r="T6" s="6"/>
      <c r="U6" s="6"/>
      <c r="V6" s="5" t="s">
        <v>23</v>
      </c>
      <c r="W6" s="9">
        <v>5953578</v>
      </c>
      <c r="X6" s="6"/>
      <c r="Y6" s="6"/>
    </row>
    <row r="7" spans="1:25" ht="15" customHeight="1" x14ac:dyDescent="0.2">
      <c r="A7" s="88" t="s">
        <v>19</v>
      </c>
      <c r="B7" s="90"/>
      <c r="C7" s="88" t="s">
        <v>28</v>
      </c>
      <c r="D7" s="90"/>
      <c r="E7" s="88" t="s">
        <v>29</v>
      </c>
      <c r="F7" s="89"/>
      <c r="G7" s="89"/>
      <c r="H7" s="89"/>
      <c r="I7" s="90"/>
      <c r="J7" s="88" t="s">
        <v>13</v>
      </c>
      <c r="K7" s="89"/>
      <c r="L7" s="89"/>
      <c r="M7" s="90"/>
      <c r="N7" s="88" t="s">
        <v>26</v>
      </c>
      <c r="O7" s="89"/>
      <c r="P7" s="90"/>
      <c r="Q7" s="133">
        <v>1500</v>
      </c>
      <c r="R7" s="134"/>
      <c r="S7" s="5" t="s">
        <v>27</v>
      </c>
      <c r="T7" s="6"/>
      <c r="U7" s="6"/>
      <c r="V7" s="5" t="s">
        <v>23</v>
      </c>
      <c r="W7" s="9">
        <v>8573479</v>
      </c>
      <c r="X7" s="6"/>
      <c r="Y7" s="6"/>
    </row>
    <row r="8" spans="1:25" ht="15" customHeight="1" x14ac:dyDescent="0.2">
      <c r="A8" s="88" t="s">
        <v>19</v>
      </c>
      <c r="B8" s="90"/>
      <c r="C8" s="88" t="s">
        <v>30</v>
      </c>
      <c r="D8" s="90"/>
      <c r="E8" s="88" t="s">
        <v>31</v>
      </c>
      <c r="F8" s="89"/>
      <c r="G8" s="89"/>
      <c r="H8" s="89"/>
      <c r="I8" s="90"/>
      <c r="J8" s="88" t="s">
        <v>13</v>
      </c>
      <c r="K8" s="89"/>
      <c r="L8" s="89"/>
      <c r="M8" s="90"/>
      <c r="N8" s="88" t="s">
        <v>26</v>
      </c>
      <c r="O8" s="89"/>
      <c r="P8" s="90"/>
      <c r="Q8" s="133">
        <v>1500</v>
      </c>
      <c r="R8" s="134"/>
      <c r="S8" s="5" t="s">
        <v>27</v>
      </c>
      <c r="T8" s="6"/>
      <c r="U8" s="6"/>
      <c r="V8" s="5" t="s">
        <v>23</v>
      </c>
      <c r="W8" s="9">
        <v>6633385</v>
      </c>
      <c r="X8" s="6"/>
      <c r="Y8" s="6"/>
    </row>
    <row r="9" spans="1:25" ht="15" customHeight="1" x14ac:dyDescent="0.2">
      <c r="A9" s="88" t="s">
        <v>19</v>
      </c>
      <c r="B9" s="90"/>
      <c r="C9" s="88" t="s">
        <v>32</v>
      </c>
      <c r="D9" s="90"/>
      <c r="E9" s="88" t="s">
        <v>33</v>
      </c>
      <c r="F9" s="89"/>
      <c r="G9" s="89"/>
      <c r="H9" s="89"/>
      <c r="I9" s="90"/>
      <c r="J9" s="88" t="s">
        <v>13</v>
      </c>
      <c r="K9" s="89"/>
      <c r="L9" s="89"/>
      <c r="M9" s="90"/>
      <c r="N9" s="88" t="s">
        <v>26</v>
      </c>
      <c r="O9" s="89"/>
      <c r="P9" s="90"/>
      <c r="Q9" s="133">
        <v>990</v>
      </c>
      <c r="R9" s="134"/>
      <c r="S9" s="5" t="s">
        <v>27</v>
      </c>
      <c r="T9" s="6"/>
      <c r="U9" s="6"/>
      <c r="V9" s="5" t="s">
        <v>23</v>
      </c>
      <c r="W9" s="11">
        <v>6211139</v>
      </c>
      <c r="X9" s="6"/>
      <c r="Y9" s="6"/>
    </row>
    <row r="10" spans="1:25" ht="15" customHeight="1" x14ac:dyDescent="0.2">
      <c r="A10" s="88" t="s">
        <v>19</v>
      </c>
      <c r="B10" s="90"/>
      <c r="C10" s="88" t="s">
        <v>34</v>
      </c>
      <c r="D10" s="90"/>
      <c r="E10" s="88" t="s">
        <v>31</v>
      </c>
      <c r="F10" s="89"/>
      <c r="G10" s="89"/>
      <c r="H10" s="89"/>
      <c r="I10" s="90"/>
      <c r="J10" s="88" t="s">
        <v>13</v>
      </c>
      <c r="K10" s="89"/>
      <c r="L10" s="89"/>
      <c r="M10" s="90"/>
      <c r="N10" s="88" t="s">
        <v>26</v>
      </c>
      <c r="O10" s="89"/>
      <c r="P10" s="90"/>
      <c r="Q10" s="133">
        <v>1000</v>
      </c>
      <c r="R10" s="134"/>
      <c r="S10" s="5" t="s">
        <v>27</v>
      </c>
      <c r="T10" s="6"/>
      <c r="U10" s="6"/>
      <c r="V10" s="5" t="s">
        <v>23</v>
      </c>
      <c r="W10" s="9">
        <v>9024534</v>
      </c>
      <c r="X10" s="6"/>
      <c r="Y10" s="6"/>
    </row>
    <row r="11" spans="1:25" ht="15" customHeight="1" x14ac:dyDescent="0.2">
      <c r="A11" s="88" t="s">
        <v>19</v>
      </c>
      <c r="B11" s="90"/>
      <c r="C11" s="88" t="s">
        <v>35</v>
      </c>
      <c r="D11" s="90"/>
      <c r="E11" s="88" t="s">
        <v>36</v>
      </c>
      <c r="F11" s="89"/>
      <c r="G11" s="89"/>
      <c r="H11" s="89"/>
      <c r="I11" s="90"/>
      <c r="J11" s="88" t="s">
        <v>13</v>
      </c>
      <c r="K11" s="89"/>
      <c r="L11" s="89"/>
      <c r="M11" s="90"/>
      <c r="N11" s="88" t="s">
        <v>26</v>
      </c>
      <c r="O11" s="89"/>
      <c r="P11" s="90"/>
      <c r="Q11" s="133">
        <v>1500</v>
      </c>
      <c r="R11" s="134"/>
      <c r="S11" s="5" t="s">
        <v>27</v>
      </c>
      <c r="T11" s="6"/>
      <c r="U11" s="6"/>
      <c r="V11" s="5" t="s">
        <v>23</v>
      </c>
      <c r="W11" s="9">
        <v>5688277</v>
      </c>
      <c r="X11" s="6"/>
      <c r="Y11" s="6"/>
    </row>
    <row r="12" spans="1:25" ht="15" customHeight="1" x14ac:dyDescent="0.2">
      <c r="A12" s="88" t="s">
        <v>19</v>
      </c>
      <c r="B12" s="90"/>
      <c r="C12" s="88" t="s">
        <v>37</v>
      </c>
      <c r="D12" s="90"/>
      <c r="E12" s="88" t="s">
        <v>29</v>
      </c>
      <c r="F12" s="89"/>
      <c r="G12" s="89"/>
      <c r="H12" s="89"/>
      <c r="I12" s="90"/>
      <c r="J12" s="88" t="s">
        <v>13</v>
      </c>
      <c r="K12" s="89"/>
      <c r="L12" s="89"/>
      <c r="M12" s="90"/>
      <c r="N12" s="88" t="s">
        <v>26</v>
      </c>
      <c r="O12" s="89"/>
      <c r="P12" s="90"/>
      <c r="Q12" s="133">
        <v>1500</v>
      </c>
      <c r="R12" s="134"/>
      <c r="S12" s="5" t="s">
        <v>27</v>
      </c>
      <c r="T12" s="6"/>
      <c r="U12" s="6"/>
      <c r="V12" s="5" t="s">
        <v>23</v>
      </c>
      <c r="W12" s="11">
        <v>7845191</v>
      </c>
      <c r="X12" s="6"/>
      <c r="Y12" s="6"/>
    </row>
    <row r="13" spans="1:25" ht="15" customHeight="1" x14ac:dyDescent="0.2">
      <c r="A13" s="88" t="s">
        <v>19</v>
      </c>
      <c r="B13" s="90"/>
      <c r="C13" s="88" t="s">
        <v>38</v>
      </c>
      <c r="D13" s="90"/>
      <c r="E13" s="88" t="s">
        <v>39</v>
      </c>
      <c r="F13" s="89"/>
      <c r="G13" s="89"/>
      <c r="H13" s="89"/>
      <c r="I13" s="90"/>
      <c r="J13" s="88" t="s">
        <v>13</v>
      </c>
      <c r="K13" s="89"/>
      <c r="L13" s="89"/>
      <c r="M13" s="90"/>
      <c r="N13" s="88" t="s">
        <v>26</v>
      </c>
      <c r="O13" s="89"/>
      <c r="P13" s="90"/>
      <c r="Q13" s="133">
        <v>1000</v>
      </c>
      <c r="R13" s="134"/>
      <c r="S13" s="5" t="s">
        <v>27</v>
      </c>
      <c r="T13" s="6"/>
      <c r="U13" s="6"/>
      <c r="V13" s="5" t="s">
        <v>23</v>
      </c>
      <c r="W13" s="9">
        <v>8158328</v>
      </c>
      <c r="X13" s="6"/>
      <c r="Y13" s="6"/>
    </row>
    <row r="14" spans="1:25" ht="15" customHeight="1" x14ac:dyDescent="0.2">
      <c r="A14" s="88" t="s">
        <v>19</v>
      </c>
      <c r="B14" s="90"/>
      <c r="C14" s="88" t="s">
        <v>40</v>
      </c>
      <c r="D14" s="90"/>
      <c r="E14" s="88" t="s">
        <v>39</v>
      </c>
      <c r="F14" s="89"/>
      <c r="G14" s="89"/>
      <c r="H14" s="89"/>
      <c r="I14" s="90"/>
      <c r="J14" s="88" t="s">
        <v>13</v>
      </c>
      <c r="K14" s="89"/>
      <c r="L14" s="89"/>
      <c r="M14" s="90"/>
      <c r="N14" s="88" t="s">
        <v>26</v>
      </c>
      <c r="O14" s="89"/>
      <c r="P14" s="90"/>
      <c r="Q14" s="133">
        <v>990</v>
      </c>
      <c r="R14" s="134"/>
      <c r="S14" s="5" t="s">
        <v>27</v>
      </c>
      <c r="T14" s="6"/>
      <c r="U14" s="6"/>
      <c r="V14" s="5" t="s">
        <v>23</v>
      </c>
      <c r="W14" s="9">
        <v>11355485</v>
      </c>
      <c r="X14" s="6"/>
      <c r="Y14" s="6"/>
    </row>
    <row r="15" spans="1:25" ht="15" customHeight="1" x14ac:dyDescent="0.2">
      <c r="A15" s="88" t="s">
        <v>19</v>
      </c>
      <c r="B15" s="90"/>
      <c r="C15" s="88" t="s">
        <v>41</v>
      </c>
      <c r="D15" s="90"/>
      <c r="E15" s="88" t="s">
        <v>25</v>
      </c>
      <c r="F15" s="89"/>
      <c r="G15" s="89"/>
      <c r="H15" s="89"/>
      <c r="I15" s="90"/>
      <c r="J15" s="88" t="s">
        <v>13</v>
      </c>
      <c r="K15" s="89"/>
      <c r="L15" s="89"/>
      <c r="M15" s="90"/>
      <c r="N15" s="88" t="s">
        <v>26</v>
      </c>
      <c r="O15" s="89"/>
      <c r="P15" s="90"/>
      <c r="Q15" s="133">
        <v>1000</v>
      </c>
      <c r="R15" s="134"/>
      <c r="S15" s="5" t="s">
        <v>27</v>
      </c>
      <c r="T15" s="6"/>
      <c r="U15" s="6"/>
      <c r="V15" s="5" t="s">
        <v>23</v>
      </c>
      <c r="W15" s="9">
        <v>5429426</v>
      </c>
      <c r="X15" s="6"/>
      <c r="Y15" s="6"/>
    </row>
    <row r="16" spans="1:25" ht="15" customHeight="1" x14ac:dyDescent="0.2">
      <c r="A16" s="88" t="s">
        <v>19</v>
      </c>
      <c r="B16" s="90"/>
      <c r="C16" s="88" t="s">
        <v>42</v>
      </c>
      <c r="D16" s="90"/>
      <c r="E16" s="88" t="s">
        <v>43</v>
      </c>
      <c r="F16" s="89"/>
      <c r="G16" s="89"/>
      <c r="H16" s="89"/>
      <c r="I16" s="90"/>
      <c r="J16" s="88" t="s">
        <v>13</v>
      </c>
      <c r="K16" s="89"/>
      <c r="L16" s="89"/>
      <c r="M16" s="90"/>
      <c r="N16" s="88" t="s">
        <v>26</v>
      </c>
      <c r="O16" s="89"/>
      <c r="P16" s="90"/>
      <c r="Q16" s="133">
        <v>1400</v>
      </c>
      <c r="R16" s="134"/>
      <c r="S16" s="5" t="s">
        <v>44</v>
      </c>
      <c r="T16" s="6"/>
      <c r="U16" s="6"/>
      <c r="V16" s="5" t="s">
        <v>23</v>
      </c>
      <c r="W16" s="9">
        <v>6619134</v>
      </c>
      <c r="X16" s="6"/>
      <c r="Y16" s="6"/>
    </row>
    <row r="17" spans="1:25" ht="15" customHeight="1" x14ac:dyDescent="0.2">
      <c r="A17" s="88" t="s">
        <v>19</v>
      </c>
      <c r="B17" s="90"/>
      <c r="C17" s="88" t="s">
        <v>45</v>
      </c>
      <c r="D17" s="90"/>
      <c r="E17" s="88" t="s">
        <v>46</v>
      </c>
      <c r="F17" s="89"/>
      <c r="G17" s="89"/>
      <c r="H17" s="89"/>
      <c r="I17" s="90"/>
      <c r="J17" s="88" t="s">
        <v>13</v>
      </c>
      <c r="K17" s="89"/>
      <c r="L17" s="89"/>
      <c r="M17" s="90"/>
      <c r="N17" s="88" t="s">
        <v>26</v>
      </c>
      <c r="O17" s="89"/>
      <c r="P17" s="90"/>
      <c r="Q17" s="133">
        <v>1400</v>
      </c>
      <c r="R17" s="134"/>
      <c r="S17" s="5" t="s">
        <v>44</v>
      </c>
      <c r="T17" s="6"/>
      <c r="U17" s="6"/>
      <c r="V17" s="5" t="s">
        <v>23</v>
      </c>
      <c r="W17" s="9">
        <v>8844309</v>
      </c>
      <c r="X17" s="6"/>
      <c r="Y17" s="6"/>
    </row>
    <row r="18" spans="1:25" ht="15" customHeight="1" x14ac:dyDescent="0.2">
      <c r="A18" s="88" t="s">
        <v>19</v>
      </c>
      <c r="B18" s="90"/>
      <c r="C18" s="88" t="s">
        <v>47</v>
      </c>
      <c r="D18" s="90"/>
      <c r="E18" s="88" t="s">
        <v>48</v>
      </c>
      <c r="F18" s="89"/>
      <c r="G18" s="89"/>
      <c r="H18" s="89"/>
      <c r="I18" s="90"/>
      <c r="J18" s="88" t="s">
        <v>13</v>
      </c>
      <c r="K18" s="89"/>
      <c r="L18" s="89"/>
      <c r="M18" s="90"/>
      <c r="N18" s="88" t="s">
        <v>26</v>
      </c>
      <c r="O18" s="89"/>
      <c r="P18" s="90"/>
      <c r="Q18" s="133">
        <v>1000</v>
      </c>
      <c r="R18" s="134"/>
      <c r="S18" s="5" t="s">
        <v>44</v>
      </c>
      <c r="T18" s="6"/>
      <c r="U18" s="6"/>
      <c r="V18" s="5" t="s">
        <v>23</v>
      </c>
      <c r="W18" s="9">
        <v>6875789</v>
      </c>
      <c r="X18" s="6"/>
      <c r="Y18" s="6"/>
    </row>
    <row r="19" spans="1:25" ht="15" customHeight="1" x14ac:dyDescent="0.2">
      <c r="A19" s="88" t="s">
        <v>19</v>
      </c>
      <c r="B19" s="90"/>
      <c r="C19" s="88" t="s">
        <v>49</v>
      </c>
      <c r="D19" s="90"/>
      <c r="E19" s="88" t="s">
        <v>50</v>
      </c>
      <c r="F19" s="89"/>
      <c r="G19" s="89"/>
      <c r="H19" s="89"/>
      <c r="I19" s="90"/>
      <c r="J19" s="88" t="s">
        <v>13</v>
      </c>
      <c r="K19" s="89"/>
      <c r="L19" s="89"/>
      <c r="M19" s="90"/>
      <c r="N19" s="88" t="s">
        <v>26</v>
      </c>
      <c r="O19" s="89"/>
      <c r="P19" s="90"/>
      <c r="Q19" s="133">
        <v>1400</v>
      </c>
      <c r="R19" s="134"/>
      <c r="S19" s="5" t="s">
        <v>44</v>
      </c>
      <c r="T19" s="6"/>
      <c r="U19" s="6"/>
      <c r="V19" s="5" t="s">
        <v>23</v>
      </c>
      <c r="W19" s="9">
        <v>6912446</v>
      </c>
      <c r="X19" s="6"/>
      <c r="Y19" s="6"/>
    </row>
    <row r="20" spans="1:25" ht="15" customHeight="1" x14ac:dyDescent="0.2">
      <c r="A20" s="88" t="s">
        <v>19</v>
      </c>
      <c r="B20" s="90"/>
      <c r="C20" s="88" t="s">
        <v>51</v>
      </c>
      <c r="D20" s="90"/>
      <c r="E20" s="88" t="s">
        <v>52</v>
      </c>
      <c r="F20" s="89"/>
      <c r="G20" s="89"/>
      <c r="H20" s="89"/>
      <c r="I20" s="90"/>
      <c r="J20" s="88" t="s">
        <v>13</v>
      </c>
      <c r="K20" s="89"/>
      <c r="L20" s="89"/>
      <c r="M20" s="90"/>
      <c r="N20" s="88" t="s">
        <v>26</v>
      </c>
      <c r="O20" s="89"/>
      <c r="P20" s="90"/>
      <c r="Q20" s="133">
        <v>2000</v>
      </c>
      <c r="R20" s="134"/>
      <c r="S20" s="5" t="s">
        <v>44</v>
      </c>
      <c r="T20" s="6"/>
      <c r="U20" s="6"/>
      <c r="V20" s="5" t="s">
        <v>23</v>
      </c>
      <c r="W20" s="9">
        <v>7644850</v>
      </c>
      <c r="X20" s="6"/>
      <c r="Y20" s="6"/>
    </row>
    <row r="21" spans="1:25" ht="15" customHeight="1" x14ac:dyDescent="0.2">
      <c r="A21" s="88" t="s">
        <v>19</v>
      </c>
      <c r="B21" s="90"/>
      <c r="C21" s="88" t="s">
        <v>53</v>
      </c>
      <c r="D21" s="90"/>
      <c r="E21" s="88" t="s">
        <v>54</v>
      </c>
      <c r="F21" s="89"/>
      <c r="G21" s="89"/>
      <c r="H21" s="89"/>
      <c r="I21" s="90"/>
      <c r="J21" s="88" t="s">
        <v>13</v>
      </c>
      <c r="K21" s="89"/>
      <c r="L21" s="89"/>
      <c r="M21" s="90"/>
      <c r="N21" s="88" t="s">
        <v>26</v>
      </c>
      <c r="O21" s="89"/>
      <c r="P21" s="90"/>
      <c r="Q21" s="133">
        <v>2000</v>
      </c>
      <c r="R21" s="134"/>
      <c r="S21" s="5" t="s">
        <v>44</v>
      </c>
      <c r="T21" s="6"/>
      <c r="U21" s="6"/>
      <c r="V21" s="5" t="s">
        <v>23</v>
      </c>
      <c r="W21" s="9">
        <v>7406694</v>
      </c>
      <c r="X21" s="6"/>
      <c r="Y21" s="6"/>
    </row>
    <row r="22" spans="1:25" ht="15" customHeight="1" x14ac:dyDescent="0.2">
      <c r="A22" s="88" t="s">
        <v>19</v>
      </c>
      <c r="B22" s="90"/>
      <c r="C22" s="88" t="s">
        <v>55</v>
      </c>
      <c r="D22" s="90"/>
      <c r="E22" s="88" t="s">
        <v>56</v>
      </c>
      <c r="F22" s="89"/>
      <c r="G22" s="89"/>
      <c r="H22" s="89"/>
      <c r="I22" s="90"/>
      <c r="J22" s="88" t="s">
        <v>13</v>
      </c>
      <c r="K22" s="89"/>
      <c r="L22" s="89"/>
      <c r="M22" s="90"/>
      <c r="N22" s="88" t="s">
        <v>26</v>
      </c>
      <c r="O22" s="89"/>
      <c r="P22" s="90"/>
      <c r="Q22" s="133">
        <v>1400</v>
      </c>
      <c r="R22" s="134"/>
      <c r="S22" s="5" t="s">
        <v>44</v>
      </c>
      <c r="T22" s="6"/>
      <c r="U22" s="6"/>
      <c r="V22" s="5" t="s">
        <v>23</v>
      </c>
      <c r="W22" s="9">
        <v>7433050</v>
      </c>
      <c r="X22" s="6"/>
      <c r="Y22" s="6"/>
    </row>
    <row r="23" spans="1:25" ht="15" customHeight="1" x14ac:dyDescent="0.2">
      <c r="A23" s="88" t="s">
        <v>19</v>
      </c>
      <c r="B23" s="90"/>
      <c r="C23" s="88" t="s">
        <v>57</v>
      </c>
      <c r="D23" s="90"/>
      <c r="E23" s="88" t="s">
        <v>50</v>
      </c>
      <c r="F23" s="89"/>
      <c r="G23" s="89"/>
      <c r="H23" s="89"/>
      <c r="I23" s="90"/>
      <c r="J23" s="88" t="s">
        <v>13</v>
      </c>
      <c r="K23" s="89"/>
      <c r="L23" s="89"/>
      <c r="M23" s="90"/>
      <c r="N23" s="88" t="s">
        <v>26</v>
      </c>
      <c r="O23" s="89"/>
      <c r="P23" s="90"/>
      <c r="Q23" s="133">
        <v>1400</v>
      </c>
      <c r="R23" s="134"/>
      <c r="S23" s="5" t="s">
        <v>44</v>
      </c>
      <c r="T23" s="6"/>
      <c r="U23" s="6"/>
      <c r="V23" s="5" t="s">
        <v>23</v>
      </c>
      <c r="W23" s="9">
        <v>9227978</v>
      </c>
      <c r="X23" s="6"/>
      <c r="Y23" s="6"/>
    </row>
    <row r="24" spans="1:25" ht="15" customHeight="1" x14ac:dyDescent="0.2">
      <c r="A24" s="88" t="s">
        <v>19</v>
      </c>
      <c r="B24" s="90"/>
      <c r="C24" s="88" t="s">
        <v>58</v>
      </c>
      <c r="D24" s="90"/>
      <c r="E24" s="88" t="s">
        <v>59</v>
      </c>
      <c r="F24" s="89"/>
      <c r="G24" s="89"/>
      <c r="H24" s="89"/>
      <c r="I24" s="90"/>
      <c r="J24" s="88" t="s">
        <v>13</v>
      </c>
      <c r="K24" s="89"/>
      <c r="L24" s="89"/>
      <c r="M24" s="90"/>
      <c r="N24" s="88" t="s">
        <v>26</v>
      </c>
      <c r="O24" s="89"/>
      <c r="P24" s="90"/>
      <c r="Q24" s="133">
        <v>1400</v>
      </c>
      <c r="R24" s="134"/>
      <c r="S24" s="5" t="s">
        <v>27</v>
      </c>
      <c r="T24" s="6"/>
      <c r="U24" s="6"/>
      <c r="V24" s="5" t="s">
        <v>23</v>
      </c>
      <c r="W24" s="9">
        <v>5353748</v>
      </c>
      <c r="X24" s="6"/>
      <c r="Y24" s="6"/>
    </row>
    <row r="25" spans="1:25" ht="15" customHeight="1" x14ac:dyDescent="0.2">
      <c r="A25" s="88" t="s">
        <v>19</v>
      </c>
      <c r="B25" s="90"/>
      <c r="C25" s="88" t="s">
        <v>60</v>
      </c>
      <c r="D25" s="90"/>
      <c r="E25" s="88" t="s">
        <v>61</v>
      </c>
      <c r="F25" s="89"/>
      <c r="G25" s="89"/>
      <c r="H25" s="89"/>
      <c r="I25" s="90"/>
      <c r="J25" s="88" t="s">
        <v>13</v>
      </c>
      <c r="K25" s="89"/>
      <c r="L25" s="89"/>
      <c r="M25" s="90"/>
      <c r="N25" s="88" t="s">
        <v>26</v>
      </c>
      <c r="O25" s="89"/>
      <c r="P25" s="90"/>
      <c r="Q25" s="133">
        <v>1000</v>
      </c>
      <c r="R25" s="134"/>
      <c r="S25" s="5" t="s">
        <v>27</v>
      </c>
      <c r="T25" s="6"/>
      <c r="U25" s="6"/>
      <c r="V25" s="5" t="s">
        <v>23</v>
      </c>
      <c r="W25" s="9">
        <v>4706728</v>
      </c>
      <c r="X25" s="6"/>
      <c r="Y25" s="6"/>
    </row>
    <row r="26" spans="1:25" ht="15" customHeight="1" x14ac:dyDescent="0.2">
      <c r="A26" s="88" t="s">
        <v>19</v>
      </c>
      <c r="B26" s="90"/>
      <c r="C26" s="88" t="s">
        <v>62</v>
      </c>
      <c r="D26" s="90"/>
      <c r="E26" s="88" t="s">
        <v>63</v>
      </c>
      <c r="F26" s="89"/>
      <c r="G26" s="89"/>
      <c r="H26" s="89"/>
      <c r="I26" s="90"/>
      <c r="J26" s="88" t="s">
        <v>13</v>
      </c>
      <c r="K26" s="89"/>
      <c r="L26" s="89"/>
      <c r="M26" s="90"/>
      <c r="N26" s="88" t="s">
        <v>26</v>
      </c>
      <c r="O26" s="89"/>
      <c r="P26" s="90"/>
      <c r="Q26" s="133">
        <v>1000</v>
      </c>
      <c r="R26" s="134"/>
      <c r="S26" s="5" t="s">
        <v>27</v>
      </c>
      <c r="T26" s="6"/>
      <c r="U26" s="6"/>
      <c r="V26" s="5" t="s">
        <v>23</v>
      </c>
      <c r="W26" s="9">
        <v>7929361</v>
      </c>
      <c r="X26" s="6"/>
      <c r="Y26" s="6"/>
    </row>
    <row r="27" spans="1:25" ht="15" customHeight="1" x14ac:dyDescent="0.2">
      <c r="A27" s="88" t="s">
        <v>19</v>
      </c>
      <c r="B27" s="90"/>
      <c r="C27" s="88" t="s">
        <v>64</v>
      </c>
      <c r="D27" s="90"/>
      <c r="E27" s="88" t="s">
        <v>65</v>
      </c>
      <c r="F27" s="89"/>
      <c r="G27" s="89"/>
      <c r="H27" s="89"/>
      <c r="I27" s="90"/>
      <c r="J27" s="88" t="s">
        <v>13</v>
      </c>
      <c r="K27" s="89"/>
      <c r="L27" s="89"/>
      <c r="M27" s="90"/>
      <c r="N27" s="88" t="s">
        <v>26</v>
      </c>
      <c r="O27" s="89"/>
      <c r="P27" s="90"/>
      <c r="Q27" s="133">
        <v>1000</v>
      </c>
      <c r="R27" s="134"/>
      <c r="S27" s="5" t="s">
        <v>27</v>
      </c>
      <c r="T27" s="6"/>
      <c r="U27" s="6"/>
      <c r="V27" s="5" t="s">
        <v>23</v>
      </c>
      <c r="W27" s="11">
        <v>5161437</v>
      </c>
      <c r="X27" s="6"/>
      <c r="Y27" s="6"/>
    </row>
    <row r="28" spans="1:25" ht="15" customHeight="1" x14ac:dyDescent="0.2">
      <c r="A28" s="88" t="s">
        <v>19</v>
      </c>
      <c r="B28" s="90"/>
      <c r="C28" s="88" t="s">
        <v>66</v>
      </c>
      <c r="D28" s="90"/>
      <c r="E28" s="88" t="s">
        <v>67</v>
      </c>
      <c r="F28" s="89"/>
      <c r="G28" s="89"/>
      <c r="H28" s="89"/>
      <c r="I28" s="90"/>
      <c r="J28" s="88" t="s">
        <v>13</v>
      </c>
      <c r="K28" s="89"/>
      <c r="L28" s="89"/>
      <c r="M28" s="90"/>
      <c r="N28" s="88" t="s">
        <v>26</v>
      </c>
      <c r="O28" s="89"/>
      <c r="P28" s="90"/>
      <c r="Q28" s="133">
        <v>1400</v>
      </c>
      <c r="R28" s="134"/>
      <c r="S28" s="5" t="s">
        <v>27</v>
      </c>
      <c r="T28" s="6"/>
      <c r="U28" s="6"/>
      <c r="V28" s="5" t="s">
        <v>23</v>
      </c>
      <c r="W28" s="9">
        <v>3806292</v>
      </c>
      <c r="X28" s="6"/>
      <c r="Y28" s="6"/>
    </row>
    <row r="29" spans="1:25" ht="15" customHeight="1" x14ac:dyDescent="0.2">
      <c r="A29" s="88" t="s">
        <v>19</v>
      </c>
      <c r="B29" s="90"/>
      <c r="C29" s="88" t="s">
        <v>68</v>
      </c>
      <c r="D29" s="90"/>
      <c r="E29" s="88" t="s">
        <v>69</v>
      </c>
      <c r="F29" s="89"/>
      <c r="G29" s="89"/>
      <c r="H29" s="89"/>
      <c r="I29" s="90"/>
      <c r="J29" s="88" t="s">
        <v>13</v>
      </c>
      <c r="K29" s="89"/>
      <c r="L29" s="89"/>
      <c r="M29" s="90"/>
      <c r="N29" s="88" t="s">
        <v>26</v>
      </c>
      <c r="O29" s="89"/>
      <c r="P29" s="90"/>
      <c r="Q29" s="133">
        <v>2000</v>
      </c>
      <c r="R29" s="134"/>
      <c r="S29" s="5" t="s">
        <v>70</v>
      </c>
      <c r="T29" s="6"/>
      <c r="U29" s="6"/>
      <c r="V29" s="5" t="s">
        <v>23</v>
      </c>
      <c r="W29" s="9">
        <v>8220506</v>
      </c>
      <c r="X29" s="6"/>
      <c r="Y29" s="6"/>
    </row>
    <row r="30" spans="1:25" ht="15" customHeight="1" x14ac:dyDescent="0.2">
      <c r="A30" s="88" t="s">
        <v>19</v>
      </c>
      <c r="B30" s="90"/>
      <c r="C30" s="88" t="s">
        <v>71</v>
      </c>
      <c r="D30" s="90"/>
      <c r="E30" s="88" t="s">
        <v>72</v>
      </c>
      <c r="F30" s="89"/>
      <c r="G30" s="89"/>
      <c r="H30" s="89"/>
      <c r="I30" s="90"/>
      <c r="J30" s="88" t="s">
        <v>13</v>
      </c>
      <c r="K30" s="89"/>
      <c r="L30" s="89"/>
      <c r="M30" s="90"/>
      <c r="N30" s="88" t="s">
        <v>26</v>
      </c>
      <c r="O30" s="89"/>
      <c r="P30" s="90"/>
      <c r="Q30" s="133">
        <v>2000</v>
      </c>
      <c r="R30" s="134"/>
      <c r="S30" s="5" t="s">
        <v>70</v>
      </c>
      <c r="T30" s="6"/>
      <c r="U30" s="6"/>
      <c r="V30" s="5" t="s">
        <v>23</v>
      </c>
      <c r="W30" s="9">
        <v>8105314</v>
      </c>
      <c r="X30" s="6"/>
      <c r="Y30" s="6"/>
    </row>
    <row r="31" spans="1:25" ht="15" customHeight="1" x14ac:dyDescent="0.2">
      <c r="A31" s="88" t="s">
        <v>19</v>
      </c>
      <c r="B31" s="90"/>
      <c r="C31" s="88" t="s">
        <v>73</v>
      </c>
      <c r="D31" s="90"/>
      <c r="E31" s="88" t="s">
        <v>74</v>
      </c>
      <c r="F31" s="89"/>
      <c r="G31" s="89"/>
      <c r="H31" s="89"/>
      <c r="I31" s="90"/>
      <c r="J31" s="88" t="s">
        <v>13</v>
      </c>
      <c r="K31" s="89"/>
      <c r="L31" s="89"/>
      <c r="M31" s="90"/>
      <c r="N31" s="88" t="s">
        <v>26</v>
      </c>
      <c r="O31" s="89"/>
      <c r="P31" s="90"/>
      <c r="Q31" s="133">
        <v>1400</v>
      </c>
      <c r="R31" s="134"/>
      <c r="S31" s="5" t="s">
        <v>27</v>
      </c>
      <c r="T31" s="6"/>
      <c r="U31" s="6"/>
      <c r="V31" s="5" t="s">
        <v>23</v>
      </c>
      <c r="W31" s="9">
        <v>9285474</v>
      </c>
      <c r="X31" s="6"/>
      <c r="Y31" s="6"/>
    </row>
    <row r="32" spans="1:25" ht="15" customHeight="1" x14ac:dyDescent="0.2">
      <c r="A32" s="88" t="s">
        <v>19</v>
      </c>
      <c r="B32" s="90"/>
      <c r="C32" s="88" t="s">
        <v>75</v>
      </c>
      <c r="D32" s="90"/>
      <c r="E32" s="88" t="s">
        <v>76</v>
      </c>
      <c r="F32" s="89"/>
      <c r="G32" s="89"/>
      <c r="H32" s="89"/>
      <c r="I32" s="90"/>
      <c r="J32" s="88" t="s">
        <v>13</v>
      </c>
      <c r="K32" s="89"/>
      <c r="L32" s="89"/>
      <c r="M32" s="90"/>
      <c r="N32" s="88" t="s">
        <v>22</v>
      </c>
      <c r="O32" s="89"/>
      <c r="P32" s="90"/>
      <c r="Q32" s="133">
        <v>2000</v>
      </c>
      <c r="R32" s="134"/>
      <c r="S32" s="5" t="s">
        <v>44</v>
      </c>
      <c r="T32" s="6"/>
      <c r="U32" s="6"/>
      <c r="V32" s="5" t="s">
        <v>23</v>
      </c>
      <c r="W32" s="11">
        <v>9857611</v>
      </c>
      <c r="X32" s="6"/>
      <c r="Y32" s="6"/>
    </row>
    <row r="33" spans="1:25" ht="15" customHeight="1" x14ac:dyDescent="0.2">
      <c r="A33" s="88" t="s">
        <v>19</v>
      </c>
      <c r="B33" s="90"/>
      <c r="C33" s="88" t="s">
        <v>77</v>
      </c>
      <c r="D33" s="90"/>
      <c r="E33" s="88" t="s">
        <v>78</v>
      </c>
      <c r="F33" s="89"/>
      <c r="G33" s="89"/>
      <c r="H33" s="89"/>
      <c r="I33" s="90"/>
      <c r="J33" s="88" t="s">
        <v>13</v>
      </c>
      <c r="K33" s="89"/>
      <c r="L33" s="89"/>
      <c r="M33" s="90"/>
      <c r="N33" s="88" t="s">
        <v>26</v>
      </c>
      <c r="O33" s="89"/>
      <c r="P33" s="90"/>
      <c r="Q33" s="133">
        <v>2000</v>
      </c>
      <c r="R33" s="134"/>
      <c r="S33" s="5" t="s">
        <v>44</v>
      </c>
      <c r="T33" s="6"/>
      <c r="U33" s="6"/>
      <c r="V33" s="5" t="s">
        <v>23</v>
      </c>
      <c r="W33" s="9">
        <v>8502190</v>
      </c>
      <c r="X33" s="6"/>
      <c r="Y33" s="6"/>
    </row>
    <row r="34" spans="1:25" ht="15" customHeight="1" x14ac:dyDescent="0.2">
      <c r="A34" s="88" t="s">
        <v>19</v>
      </c>
      <c r="B34" s="90"/>
      <c r="C34" s="88" t="s">
        <v>79</v>
      </c>
      <c r="D34" s="90"/>
      <c r="E34" s="88" t="s">
        <v>80</v>
      </c>
      <c r="F34" s="89"/>
      <c r="G34" s="89"/>
      <c r="H34" s="89"/>
      <c r="I34" s="90"/>
      <c r="J34" s="88" t="s">
        <v>13</v>
      </c>
      <c r="K34" s="89"/>
      <c r="L34" s="89"/>
      <c r="M34" s="90"/>
      <c r="N34" s="88" t="s">
        <v>26</v>
      </c>
      <c r="O34" s="89"/>
      <c r="P34" s="90"/>
      <c r="Q34" s="133">
        <v>2000</v>
      </c>
      <c r="R34" s="134"/>
      <c r="S34" s="5" t="s">
        <v>44</v>
      </c>
      <c r="T34" s="6"/>
      <c r="U34" s="6"/>
      <c r="V34" s="5" t="s">
        <v>23</v>
      </c>
      <c r="W34" s="9">
        <v>7192943</v>
      </c>
      <c r="X34" s="6"/>
      <c r="Y34" s="6"/>
    </row>
    <row r="35" spans="1:25" ht="15" customHeight="1" x14ac:dyDescent="0.2">
      <c r="A35" s="88" t="s">
        <v>19</v>
      </c>
      <c r="B35" s="90"/>
      <c r="C35" s="88" t="s">
        <v>81</v>
      </c>
      <c r="D35" s="90"/>
      <c r="E35" s="88" t="s">
        <v>82</v>
      </c>
      <c r="F35" s="89"/>
      <c r="G35" s="89"/>
      <c r="H35" s="89"/>
      <c r="I35" s="90"/>
      <c r="J35" s="88" t="s">
        <v>13</v>
      </c>
      <c r="K35" s="89"/>
      <c r="L35" s="89"/>
      <c r="M35" s="90"/>
      <c r="N35" s="88" t="s">
        <v>26</v>
      </c>
      <c r="O35" s="89"/>
      <c r="P35" s="90"/>
      <c r="Q35" s="133">
        <v>1400</v>
      </c>
      <c r="R35" s="134"/>
      <c r="S35" s="5" t="s">
        <v>44</v>
      </c>
      <c r="T35" s="6"/>
      <c r="U35" s="6"/>
      <c r="V35" s="5" t="s">
        <v>23</v>
      </c>
      <c r="W35" s="9">
        <v>9081614</v>
      </c>
      <c r="X35" s="6"/>
      <c r="Y35" s="6"/>
    </row>
    <row r="36" spans="1:25" ht="15" customHeight="1" x14ac:dyDescent="0.2">
      <c r="A36" s="88" t="s">
        <v>19</v>
      </c>
      <c r="B36" s="90"/>
      <c r="C36" s="88" t="s">
        <v>81</v>
      </c>
      <c r="D36" s="90"/>
      <c r="E36" s="88" t="s">
        <v>83</v>
      </c>
      <c r="F36" s="89"/>
      <c r="G36" s="89"/>
      <c r="H36" s="89"/>
      <c r="I36" s="90"/>
      <c r="J36" s="88" t="s">
        <v>13</v>
      </c>
      <c r="K36" s="89"/>
      <c r="L36" s="89"/>
      <c r="M36" s="90"/>
      <c r="N36" s="88" t="s">
        <v>26</v>
      </c>
      <c r="O36" s="89"/>
      <c r="P36" s="90"/>
      <c r="Q36" s="133">
        <v>2000</v>
      </c>
      <c r="R36" s="134"/>
      <c r="S36" s="5" t="s">
        <v>44</v>
      </c>
      <c r="T36" s="6"/>
      <c r="U36" s="6"/>
      <c r="V36" s="5" t="s">
        <v>23</v>
      </c>
      <c r="W36" s="9">
        <v>7881867</v>
      </c>
      <c r="X36" s="6"/>
      <c r="Y36" s="6"/>
    </row>
    <row r="37" spans="1:25" ht="15" customHeight="1" x14ac:dyDescent="0.2">
      <c r="A37" s="88" t="s">
        <v>19</v>
      </c>
      <c r="B37" s="90"/>
      <c r="C37" s="88" t="s">
        <v>84</v>
      </c>
      <c r="D37" s="90"/>
      <c r="E37" s="88" t="s">
        <v>85</v>
      </c>
      <c r="F37" s="89"/>
      <c r="G37" s="89"/>
      <c r="H37" s="89"/>
      <c r="I37" s="90"/>
      <c r="J37" s="88" t="s">
        <v>13</v>
      </c>
      <c r="K37" s="89"/>
      <c r="L37" s="89"/>
      <c r="M37" s="90"/>
      <c r="N37" s="88" t="s">
        <v>26</v>
      </c>
      <c r="O37" s="89"/>
      <c r="P37" s="90"/>
      <c r="Q37" s="133">
        <v>1400</v>
      </c>
      <c r="R37" s="134"/>
      <c r="S37" s="5" t="s">
        <v>44</v>
      </c>
      <c r="T37" s="6"/>
      <c r="U37" s="6"/>
      <c r="V37" s="5" t="s">
        <v>23</v>
      </c>
      <c r="W37" s="10">
        <v>10539104</v>
      </c>
      <c r="X37" s="6"/>
      <c r="Y37" s="6"/>
    </row>
    <row r="38" spans="1:25" ht="15" customHeight="1" x14ac:dyDescent="0.2">
      <c r="A38" s="88" t="s">
        <v>19</v>
      </c>
      <c r="B38" s="90"/>
      <c r="C38" s="88" t="s">
        <v>86</v>
      </c>
      <c r="D38" s="90"/>
      <c r="E38" s="88" t="s">
        <v>87</v>
      </c>
      <c r="F38" s="89"/>
      <c r="G38" s="89"/>
      <c r="H38" s="89"/>
      <c r="I38" s="90"/>
      <c r="J38" s="88" t="s">
        <v>13</v>
      </c>
      <c r="K38" s="89"/>
      <c r="L38" s="89"/>
      <c r="M38" s="90"/>
      <c r="N38" s="88" t="s">
        <v>26</v>
      </c>
      <c r="O38" s="89"/>
      <c r="P38" s="90"/>
      <c r="Q38" s="133">
        <v>2000</v>
      </c>
      <c r="R38" s="134"/>
      <c r="S38" s="5" t="s">
        <v>44</v>
      </c>
      <c r="T38" s="6"/>
      <c r="U38" s="6"/>
      <c r="V38" s="5" t="s">
        <v>23</v>
      </c>
      <c r="W38" s="9">
        <v>9026879</v>
      </c>
      <c r="X38" s="6"/>
      <c r="Y38" s="6"/>
    </row>
    <row r="39" spans="1:25" ht="15" customHeight="1" x14ac:dyDescent="0.2">
      <c r="A39" s="88" t="s">
        <v>19</v>
      </c>
      <c r="B39" s="90"/>
      <c r="C39" s="88" t="s">
        <v>88</v>
      </c>
      <c r="D39" s="90"/>
      <c r="E39" s="88" t="s">
        <v>89</v>
      </c>
      <c r="F39" s="89"/>
      <c r="G39" s="89"/>
      <c r="H39" s="89"/>
      <c r="I39" s="90"/>
      <c r="J39" s="88" t="s">
        <v>13</v>
      </c>
      <c r="K39" s="89"/>
      <c r="L39" s="89"/>
      <c r="M39" s="90"/>
      <c r="N39" s="88" t="s">
        <v>26</v>
      </c>
      <c r="O39" s="89"/>
      <c r="P39" s="90"/>
      <c r="Q39" s="133">
        <v>2000</v>
      </c>
      <c r="R39" s="134"/>
      <c r="S39" s="5" t="s">
        <v>44</v>
      </c>
      <c r="T39" s="6"/>
      <c r="U39" s="6"/>
      <c r="V39" s="5" t="s">
        <v>23</v>
      </c>
      <c r="W39" s="9">
        <v>8242398</v>
      </c>
      <c r="X39" s="6"/>
      <c r="Y39" s="6"/>
    </row>
    <row r="40" spans="1:25" ht="15" customHeight="1" x14ac:dyDescent="0.2">
      <c r="A40" s="88" t="s">
        <v>19</v>
      </c>
      <c r="B40" s="90"/>
      <c r="C40" s="88" t="s">
        <v>90</v>
      </c>
      <c r="D40" s="90"/>
      <c r="E40" s="88" t="s">
        <v>91</v>
      </c>
      <c r="F40" s="89"/>
      <c r="G40" s="89"/>
      <c r="H40" s="89"/>
      <c r="I40" s="90"/>
      <c r="J40" s="88" t="s">
        <v>13</v>
      </c>
      <c r="K40" s="89"/>
      <c r="L40" s="89"/>
      <c r="M40" s="90"/>
      <c r="N40" s="88" t="s">
        <v>26</v>
      </c>
      <c r="O40" s="89"/>
      <c r="P40" s="90"/>
      <c r="Q40" s="133">
        <v>2000</v>
      </c>
      <c r="R40" s="134"/>
      <c r="S40" s="5" t="s">
        <v>44</v>
      </c>
      <c r="T40" s="6"/>
      <c r="U40" s="6"/>
      <c r="V40" s="5" t="s">
        <v>23</v>
      </c>
      <c r="W40" s="9">
        <v>10058141</v>
      </c>
      <c r="X40" s="6"/>
      <c r="Y40" s="6"/>
    </row>
    <row r="41" spans="1:25" ht="15" customHeight="1" x14ac:dyDescent="0.2">
      <c r="A41" s="88" t="s">
        <v>19</v>
      </c>
      <c r="B41" s="90"/>
      <c r="C41" s="88" t="s">
        <v>92</v>
      </c>
      <c r="D41" s="90"/>
      <c r="E41" s="88" t="s">
        <v>93</v>
      </c>
      <c r="F41" s="89"/>
      <c r="G41" s="89"/>
      <c r="H41" s="89"/>
      <c r="I41" s="90"/>
      <c r="J41" s="88" t="s">
        <v>13</v>
      </c>
      <c r="K41" s="89"/>
      <c r="L41" s="89"/>
      <c r="M41" s="90"/>
      <c r="N41" s="88" t="s">
        <v>26</v>
      </c>
      <c r="O41" s="89"/>
      <c r="P41" s="90"/>
      <c r="Q41" s="133">
        <v>2000</v>
      </c>
      <c r="R41" s="134"/>
      <c r="S41" s="5" t="s">
        <v>44</v>
      </c>
      <c r="T41" s="6"/>
      <c r="U41" s="6"/>
      <c r="V41" s="5" t="s">
        <v>23</v>
      </c>
      <c r="W41" s="9">
        <v>9321458</v>
      </c>
      <c r="X41" s="6"/>
      <c r="Y41" s="6"/>
    </row>
    <row r="42" spans="1:25" ht="15" customHeight="1" x14ac:dyDescent="0.2">
      <c r="A42" s="88" t="s">
        <v>19</v>
      </c>
      <c r="B42" s="90"/>
      <c r="C42" s="88" t="s">
        <v>94</v>
      </c>
      <c r="D42" s="90"/>
      <c r="E42" s="88" t="s">
        <v>95</v>
      </c>
      <c r="F42" s="89"/>
      <c r="G42" s="89"/>
      <c r="H42" s="89"/>
      <c r="I42" s="90"/>
      <c r="J42" s="88" t="s">
        <v>13</v>
      </c>
      <c r="K42" s="89"/>
      <c r="L42" s="89"/>
      <c r="M42" s="90"/>
      <c r="N42" s="88" t="s">
        <v>22</v>
      </c>
      <c r="O42" s="89"/>
      <c r="P42" s="90"/>
      <c r="Q42" s="133">
        <v>2000</v>
      </c>
      <c r="R42" s="134"/>
      <c r="S42" s="5" t="s">
        <v>70</v>
      </c>
      <c r="T42" s="6"/>
      <c r="U42" s="6"/>
      <c r="V42" s="5" t="s">
        <v>96</v>
      </c>
      <c r="W42" s="9">
        <v>9847057</v>
      </c>
      <c r="X42" s="6"/>
      <c r="Y42" s="6"/>
    </row>
    <row r="43" spans="1:25" ht="15" customHeight="1" x14ac:dyDescent="0.2">
      <c r="A43" s="88" t="s">
        <v>19</v>
      </c>
      <c r="B43" s="90"/>
      <c r="C43" s="88" t="s">
        <v>97</v>
      </c>
      <c r="D43" s="90"/>
      <c r="E43" s="88" t="s">
        <v>98</v>
      </c>
      <c r="F43" s="89"/>
      <c r="G43" s="89"/>
      <c r="H43" s="89"/>
      <c r="I43" s="90"/>
      <c r="J43" s="88" t="s">
        <v>13</v>
      </c>
      <c r="K43" s="89"/>
      <c r="L43" s="89"/>
      <c r="M43" s="90"/>
      <c r="N43" s="88" t="s">
        <v>26</v>
      </c>
      <c r="O43" s="89"/>
      <c r="P43" s="90"/>
      <c r="Q43" s="133">
        <v>2000</v>
      </c>
      <c r="R43" s="134"/>
      <c r="S43" s="5" t="s">
        <v>70</v>
      </c>
      <c r="T43" s="6"/>
      <c r="U43" s="6"/>
      <c r="V43" s="5" t="s">
        <v>23</v>
      </c>
      <c r="W43" s="10">
        <v>10883478</v>
      </c>
      <c r="X43" s="6"/>
      <c r="Y43" s="6"/>
    </row>
    <row r="44" spans="1:25" ht="15" customHeight="1" x14ac:dyDescent="0.2">
      <c r="A44" s="88" t="s">
        <v>19</v>
      </c>
      <c r="B44" s="90"/>
      <c r="C44" s="88" t="s">
        <v>99</v>
      </c>
      <c r="D44" s="90"/>
      <c r="E44" s="88" t="s">
        <v>100</v>
      </c>
      <c r="F44" s="89"/>
      <c r="G44" s="89"/>
      <c r="H44" s="89"/>
      <c r="I44" s="90"/>
      <c r="J44" s="88" t="s">
        <v>13</v>
      </c>
      <c r="K44" s="89"/>
      <c r="L44" s="89"/>
      <c r="M44" s="90"/>
      <c r="N44" s="88" t="s">
        <v>26</v>
      </c>
      <c r="O44" s="89"/>
      <c r="P44" s="90"/>
      <c r="Q44" s="133">
        <v>2000</v>
      </c>
      <c r="R44" s="134"/>
      <c r="S44" s="5" t="s">
        <v>70</v>
      </c>
      <c r="T44" s="6"/>
      <c r="U44" s="6"/>
      <c r="V44" s="5" t="s">
        <v>23</v>
      </c>
      <c r="W44" s="9">
        <v>11549975</v>
      </c>
      <c r="X44" s="6"/>
      <c r="Y44" s="6"/>
    </row>
    <row r="45" spans="1:25" ht="15" customHeight="1" x14ac:dyDescent="0.2">
      <c r="A45" s="88" t="s">
        <v>19</v>
      </c>
      <c r="B45" s="90"/>
      <c r="C45" s="88" t="s">
        <v>101</v>
      </c>
      <c r="D45" s="90"/>
      <c r="E45" s="88" t="s">
        <v>85</v>
      </c>
      <c r="F45" s="89"/>
      <c r="G45" s="89"/>
      <c r="H45" s="89"/>
      <c r="I45" s="90"/>
      <c r="J45" s="88" t="s">
        <v>13</v>
      </c>
      <c r="K45" s="89"/>
      <c r="L45" s="89"/>
      <c r="M45" s="90"/>
      <c r="N45" s="88" t="s">
        <v>26</v>
      </c>
      <c r="O45" s="89"/>
      <c r="P45" s="90"/>
      <c r="Q45" s="133">
        <v>1400</v>
      </c>
      <c r="R45" s="134"/>
      <c r="S45" s="5" t="s">
        <v>70</v>
      </c>
      <c r="T45" s="6"/>
      <c r="U45" s="6"/>
      <c r="V45" s="5" t="s">
        <v>23</v>
      </c>
      <c r="W45" s="9">
        <v>9680753</v>
      </c>
      <c r="X45" s="6"/>
      <c r="Y45" s="6"/>
    </row>
    <row r="46" spans="1:25" ht="15" customHeight="1" x14ac:dyDescent="0.2">
      <c r="A46" s="88" t="s">
        <v>19</v>
      </c>
      <c r="B46" s="90"/>
      <c r="C46" s="88" t="s">
        <v>102</v>
      </c>
      <c r="D46" s="90"/>
      <c r="E46" s="88" t="s">
        <v>103</v>
      </c>
      <c r="F46" s="89"/>
      <c r="G46" s="89"/>
      <c r="H46" s="89"/>
      <c r="I46" s="90"/>
      <c r="J46" s="88" t="s">
        <v>13</v>
      </c>
      <c r="K46" s="89"/>
      <c r="L46" s="89"/>
      <c r="M46" s="90"/>
      <c r="N46" s="88" t="s">
        <v>26</v>
      </c>
      <c r="O46" s="89"/>
      <c r="P46" s="90"/>
      <c r="Q46" s="133">
        <v>2000</v>
      </c>
      <c r="R46" s="134"/>
      <c r="S46" s="5" t="s">
        <v>70</v>
      </c>
      <c r="T46" s="6"/>
      <c r="U46" s="6"/>
      <c r="V46" s="5" t="s">
        <v>96</v>
      </c>
      <c r="W46" s="9">
        <v>7576148</v>
      </c>
      <c r="X46" s="6"/>
      <c r="Y46" s="6"/>
    </row>
    <row r="47" spans="1:25" ht="15" customHeight="1" x14ac:dyDescent="0.2">
      <c r="A47" s="88" t="s">
        <v>19</v>
      </c>
      <c r="B47" s="90"/>
      <c r="C47" s="88" t="s">
        <v>104</v>
      </c>
      <c r="D47" s="90"/>
      <c r="E47" s="88" t="s">
        <v>105</v>
      </c>
      <c r="F47" s="89"/>
      <c r="G47" s="89"/>
      <c r="H47" s="89"/>
      <c r="I47" s="90"/>
      <c r="J47" s="88" t="s">
        <v>13</v>
      </c>
      <c r="K47" s="89"/>
      <c r="L47" s="89"/>
      <c r="M47" s="90"/>
      <c r="N47" s="88" t="s">
        <v>26</v>
      </c>
      <c r="O47" s="89"/>
      <c r="P47" s="90"/>
      <c r="Q47" s="133">
        <v>2000</v>
      </c>
      <c r="R47" s="134"/>
      <c r="S47" s="5" t="s">
        <v>70</v>
      </c>
      <c r="T47" s="6"/>
      <c r="U47" s="6"/>
      <c r="V47" s="5" t="s">
        <v>106</v>
      </c>
      <c r="W47" s="12">
        <v>8797707</v>
      </c>
      <c r="X47" s="6"/>
      <c r="Y47" s="6"/>
    </row>
    <row r="48" spans="1:25" ht="15" customHeight="1" x14ac:dyDescent="0.2">
      <c r="A48" s="88" t="s">
        <v>19</v>
      </c>
      <c r="B48" s="90"/>
      <c r="C48" s="88" t="s">
        <v>107</v>
      </c>
      <c r="D48" s="90"/>
      <c r="E48" s="88" t="s">
        <v>108</v>
      </c>
      <c r="F48" s="89"/>
      <c r="G48" s="89"/>
      <c r="H48" s="89"/>
      <c r="I48" s="90"/>
      <c r="J48" s="88" t="s">
        <v>13</v>
      </c>
      <c r="K48" s="89"/>
      <c r="L48" s="89"/>
      <c r="M48" s="90"/>
      <c r="N48" s="88" t="s">
        <v>26</v>
      </c>
      <c r="O48" s="89"/>
      <c r="P48" s="90"/>
      <c r="Q48" s="133">
        <v>1400</v>
      </c>
      <c r="R48" s="134"/>
      <c r="S48" s="5" t="s">
        <v>70</v>
      </c>
      <c r="T48" s="6"/>
      <c r="U48" s="6"/>
      <c r="V48" s="5" t="s">
        <v>23</v>
      </c>
      <c r="W48" s="12">
        <v>8051262</v>
      </c>
      <c r="X48" s="6"/>
      <c r="Y48" s="6"/>
    </row>
    <row r="49" spans="1:25" ht="15" customHeight="1" x14ac:dyDescent="0.2">
      <c r="A49" s="88" t="s">
        <v>19</v>
      </c>
      <c r="B49" s="90"/>
      <c r="C49" s="88" t="s">
        <v>109</v>
      </c>
      <c r="D49" s="90"/>
      <c r="E49" s="88" t="s">
        <v>110</v>
      </c>
      <c r="F49" s="89"/>
      <c r="G49" s="89"/>
      <c r="H49" s="89"/>
      <c r="I49" s="90"/>
      <c r="J49" s="88" t="s">
        <v>13</v>
      </c>
      <c r="K49" s="89"/>
      <c r="L49" s="89"/>
      <c r="M49" s="90"/>
      <c r="N49" s="88" t="s">
        <v>26</v>
      </c>
      <c r="O49" s="89"/>
      <c r="P49" s="90"/>
      <c r="Q49" s="133">
        <v>2000</v>
      </c>
      <c r="R49" s="134"/>
      <c r="S49" s="5" t="s">
        <v>70</v>
      </c>
      <c r="T49" s="6"/>
      <c r="U49" s="6"/>
      <c r="V49" s="5" t="s">
        <v>23</v>
      </c>
      <c r="W49" s="12">
        <v>9630110</v>
      </c>
      <c r="X49" s="6"/>
      <c r="Y49" s="6"/>
    </row>
    <row r="50" spans="1:25" ht="15" customHeight="1" x14ac:dyDescent="0.2">
      <c r="A50" s="88" t="s">
        <v>19</v>
      </c>
      <c r="B50" s="90"/>
      <c r="C50" s="88" t="s">
        <v>111</v>
      </c>
      <c r="D50" s="90"/>
      <c r="E50" s="88" t="s">
        <v>112</v>
      </c>
      <c r="F50" s="89"/>
      <c r="G50" s="89"/>
      <c r="H50" s="89"/>
      <c r="I50" s="90"/>
      <c r="J50" s="88" t="s">
        <v>13</v>
      </c>
      <c r="K50" s="89"/>
      <c r="L50" s="89"/>
      <c r="M50" s="90"/>
      <c r="N50" s="88" t="s">
        <v>26</v>
      </c>
      <c r="O50" s="89"/>
      <c r="P50" s="90"/>
      <c r="Q50" s="133">
        <v>2000</v>
      </c>
      <c r="R50" s="134"/>
      <c r="S50" s="5" t="s">
        <v>70</v>
      </c>
      <c r="T50" s="6"/>
      <c r="U50" s="6"/>
      <c r="V50" s="5" t="s">
        <v>23</v>
      </c>
      <c r="W50" s="12">
        <v>9981246</v>
      </c>
      <c r="X50" s="6"/>
      <c r="Y50" s="6"/>
    </row>
    <row r="51" spans="1:25" ht="15" customHeight="1" x14ac:dyDescent="0.2">
      <c r="A51" s="88" t="s">
        <v>19</v>
      </c>
      <c r="B51" s="90"/>
      <c r="C51" s="88" t="s">
        <v>113</v>
      </c>
      <c r="D51" s="90"/>
      <c r="E51" s="88" t="s">
        <v>114</v>
      </c>
      <c r="F51" s="89"/>
      <c r="G51" s="89"/>
      <c r="H51" s="89"/>
      <c r="I51" s="90"/>
      <c r="J51" s="88" t="s">
        <v>13</v>
      </c>
      <c r="K51" s="89"/>
      <c r="L51" s="89"/>
      <c r="M51" s="90"/>
      <c r="N51" s="88" t="s">
        <v>26</v>
      </c>
      <c r="O51" s="89"/>
      <c r="P51" s="90"/>
      <c r="Q51" s="133">
        <v>2000</v>
      </c>
      <c r="R51" s="134"/>
      <c r="S51" s="5" t="s">
        <v>44</v>
      </c>
      <c r="T51" s="6"/>
      <c r="U51" s="6"/>
      <c r="V51" s="5" t="s">
        <v>23</v>
      </c>
      <c r="W51" s="12">
        <v>8795860</v>
      </c>
      <c r="X51" s="6"/>
      <c r="Y51" s="6"/>
    </row>
    <row r="52" spans="1:25" ht="15" customHeight="1" x14ac:dyDescent="0.2">
      <c r="A52" s="88" t="s">
        <v>19</v>
      </c>
      <c r="B52" s="90"/>
      <c r="C52" s="88" t="s">
        <v>115</v>
      </c>
      <c r="D52" s="90"/>
      <c r="E52" s="88" t="s">
        <v>116</v>
      </c>
      <c r="F52" s="89"/>
      <c r="G52" s="89"/>
      <c r="H52" s="89"/>
      <c r="I52" s="90"/>
      <c r="J52" s="88" t="s">
        <v>13</v>
      </c>
      <c r="K52" s="89"/>
      <c r="L52" s="89"/>
      <c r="M52" s="90"/>
      <c r="N52" s="88" t="s">
        <v>22</v>
      </c>
      <c r="O52" s="89"/>
      <c r="P52" s="90"/>
      <c r="Q52" s="133">
        <v>2000</v>
      </c>
      <c r="R52" s="134"/>
      <c r="S52" s="5" t="s">
        <v>70</v>
      </c>
      <c r="T52" s="6"/>
      <c r="U52" s="6"/>
      <c r="V52" s="5" t="s">
        <v>23</v>
      </c>
      <c r="W52" s="12">
        <v>8564512</v>
      </c>
      <c r="X52" s="6"/>
      <c r="Y52" s="6"/>
    </row>
    <row r="53" spans="1:25" ht="15" customHeight="1" x14ac:dyDescent="0.2">
      <c r="A53" s="88" t="s">
        <v>19</v>
      </c>
      <c r="B53" s="90"/>
      <c r="C53" s="88" t="s">
        <v>117</v>
      </c>
      <c r="D53" s="90"/>
      <c r="E53" s="88" t="s">
        <v>118</v>
      </c>
      <c r="F53" s="89"/>
      <c r="G53" s="89"/>
      <c r="H53" s="89"/>
      <c r="I53" s="90"/>
      <c r="J53" s="88" t="s">
        <v>13</v>
      </c>
      <c r="K53" s="89"/>
      <c r="L53" s="89"/>
      <c r="M53" s="90"/>
      <c r="N53" s="88" t="s">
        <v>22</v>
      </c>
      <c r="O53" s="89"/>
      <c r="P53" s="90"/>
      <c r="Q53" s="133">
        <v>2000</v>
      </c>
      <c r="R53" s="134"/>
      <c r="S53" s="5" t="s">
        <v>119</v>
      </c>
      <c r="T53" s="6"/>
      <c r="U53" s="6"/>
      <c r="V53" s="5" t="s">
        <v>23</v>
      </c>
      <c r="W53" s="12">
        <v>19275565</v>
      </c>
      <c r="X53" s="6"/>
      <c r="Y53" s="6"/>
    </row>
    <row r="54" spans="1:25" ht="15" customHeight="1" x14ac:dyDescent="0.2">
      <c r="A54" s="88" t="s">
        <v>19</v>
      </c>
      <c r="B54" s="90"/>
      <c r="C54" s="88" t="s">
        <v>120</v>
      </c>
      <c r="D54" s="90"/>
      <c r="E54" s="88" t="s">
        <v>121</v>
      </c>
      <c r="F54" s="89"/>
      <c r="G54" s="89"/>
      <c r="H54" s="89"/>
      <c r="I54" s="90"/>
      <c r="J54" s="88" t="s">
        <v>13</v>
      </c>
      <c r="K54" s="89"/>
      <c r="L54" s="89"/>
      <c r="M54" s="90"/>
      <c r="N54" s="88" t="s">
        <v>26</v>
      </c>
      <c r="O54" s="89"/>
      <c r="P54" s="90"/>
      <c r="Q54" s="133">
        <v>2000</v>
      </c>
      <c r="R54" s="134"/>
      <c r="S54" s="5" t="s">
        <v>70</v>
      </c>
      <c r="T54" s="6"/>
      <c r="U54" s="6"/>
      <c r="V54" s="5" t="s">
        <v>23</v>
      </c>
      <c r="W54" s="12">
        <v>9819147</v>
      </c>
      <c r="X54" s="6"/>
      <c r="Y54" s="6"/>
    </row>
    <row r="55" spans="1:25" ht="15" customHeight="1" x14ac:dyDescent="0.2">
      <c r="A55" s="88" t="s">
        <v>19</v>
      </c>
      <c r="B55" s="90"/>
      <c r="C55" s="88" t="s">
        <v>122</v>
      </c>
      <c r="D55" s="90"/>
      <c r="E55" s="88" t="s">
        <v>123</v>
      </c>
      <c r="F55" s="89"/>
      <c r="G55" s="89"/>
      <c r="H55" s="89"/>
      <c r="I55" s="90"/>
      <c r="J55" s="88" t="s">
        <v>13</v>
      </c>
      <c r="K55" s="89"/>
      <c r="L55" s="89"/>
      <c r="M55" s="90"/>
      <c r="N55" s="88" t="s">
        <v>22</v>
      </c>
      <c r="O55" s="89"/>
      <c r="P55" s="90"/>
      <c r="Q55" s="133">
        <v>2000</v>
      </c>
      <c r="R55" s="134"/>
      <c r="S55" s="5" t="s">
        <v>44</v>
      </c>
      <c r="T55" s="6"/>
      <c r="U55" s="6"/>
      <c r="V55" s="5" t="s">
        <v>23</v>
      </c>
      <c r="W55" s="12">
        <v>15353810</v>
      </c>
      <c r="X55" s="6"/>
      <c r="Y55" s="6"/>
    </row>
    <row r="56" spans="1:25" ht="15" customHeight="1" x14ac:dyDescent="0.2">
      <c r="A56" s="88" t="s">
        <v>19</v>
      </c>
      <c r="B56" s="90"/>
      <c r="C56" s="88" t="s">
        <v>124</v>
      </c>
      <c r="D56" s="90"/>
      <c r="E56" s="88" t="s">
        <v>125</v>
      </c>
      <c r="F56" s="89"/>
      <c r="G56" s="89"/>
      <c r="H56" s="89"/>
      <c r="I56" s="90"/>
      <c r="J56" s="88" t="s">
        <v>13</v>
      </c>
      <c r="K56" s="89"/>
      <c r="L56" s="89"/>
      <c r="M56" s="90"/>
      <c r="N56" s="88" t="s">
        <v>22</v>
      </c>
      <c r="O56" s="89"/>
      <c r="P56" s="90"/>
      <c r="Q56" s="133">
        <v>2000</v>
      </c>
      <c r="R56" s="134"/>
      <c r="S56" s="5" t="s">
        <v>44</v>
      </c>
      <c r="T56" s="6"/>
      <c r="U56" s="6"/>
      <c r="V56" s="5" t="s">
        <v>23</v>
      </c>
      <c r="W56" s="12">
        <v>15687217</v>
      </c>
      <c r="X56" s="6"/>
      <c r="Y56" s="6"/>
    </row>
    <row r="57" spans="1:25" ht="15" customHeight="1" x14ac:dyDescent="0.2">
      <c r="A57" s="88" t="s">
        <v>19</v>
      </c>
      <c r="B57" s="90"/>
      <c r="C57" s="88" t="s">
        <v>126</v>
      </c>
      <c r="D57" s="90"/>
      <c r="E57" s="88" t="s">
        <v>127</v>
      </c>
      <c r="F57" s="89"/>
      <c r="G57" s="89"/>
      <c r="H57" s="89"/>
      <c r="I57" s="90"/>
      <c r="J57" s="88" t="s">
        <v>13</v>
      </c>
      <c r="K57" s="89"/>
      <c r="L57" s="89"/>
      <c r="M57" s="90"/>
      <c r="N57" s="88" t="s">
        <v>26</v>
      </c>
      <c r="O57" s="89"/>
      <c r="P57" s="90"/>
      <c r="Q57" s="133">
        <v>2000</v>
      </c>
      <c r="R57" s="134"/>
      <c r="S57" s="5" t="s">
        <v>44</v>
      </c>
      <c r="T57" s="6"/>
      <c r="U57" s="6"/>
      <c r="V57" s="5" t="s">
        <v>106</v>
      </c>
      <c r="W57" s="12">
        <v>10221881</v>
      </c>
      <c r="X57" s="6"/>
      <c r="Y57" s="6"/>
    </row>
    <row r="58" spans="1:25" ht="15" customHeight="1" x14ac:dyDescent="0.2">
      <c r="A58" s="88" t="s">
        <v>19</v>
      </c>
      <c r="B58" s="90"/>
      <c r="C58" s="88" t="s">
        <v>128</v>
      </c>
      <c r="D58" s="90"/>
      <c r="E58" s="88" t="s">
        <v>129</v>
      </c>
      <c r="F58" s="89"/>
      <c r="G58" s="89"/>
      <c r="H58" s="89"/>
      <c r="I58" s="90"/>
      <c r="J58" s="88" t="s">
        <v>13</v>
      </c>
      <c r="K58" s="89"/>
      <c r="L58" s="89"/>
      <c r="M58" s="90"/>
      <c r="N58" s="88" t="s">
        <v>22</v>
      </c>
      <c r="O58" s="89"/>
      <c r="P58" s="90"/>
      <c r="Q58" s="133">
        <v>2000</v>
      </c>
      <c r="R58" s="134"/>
      <c r="S58" s="5" t="s">
        <v>44</v>
      </c>
      <c r="T58" s="6"/>
      <c r="U58" s="6"/>
      <c r="V58" s="5" t="s">
        <v>23</v>
      </c>
      <c r="W58" s="12">
        <v>14027834</v>
      </c>
      <c r="X58" s="6"/>
      <c r="Y58" s="6"/>
    </row>
    <row r="59" spans="1:25" ht="15" customHeight="1" x14ac:dyDescent="0.2">
      <c r="A59" s="88" t="s">
        <v>19</v>
      </c>
      <c r="B59" s="90"/>
      <c r="C59" s="88" t="s">
        <v>130</v>
      </c>
      <c r="D59" s="90"/>
      <c r="E59" s="88" t="s">
        <v>131</v>
      </c>
      <c r="F59" s="89"/>
      <c r="G59" s="89"/>
      <c r="H59" s="89"/>
      <c r="I59" s="90"/>
      <c r="J59" s="88" t="s">
        <v>13</v>
      </c>
      <c r="K59" s="89"/>
      <c r="L59" s="89"/>
      <c r="M59" s="90"/>
      <c r="N59" s="88" t="s">
        <v>22</v>
      </c>
      <c r="O59" s="89"/>
      <c r="P59" s="90"/>
      <c r="Q59" s="133">
        <v>2000</v>
      </c>
      <c r="R59" s="134"/>
      <c r="S59" s="5" t="s">
        <v>44</v>
      </c>
      <c r="T59" s="6"/>
      <c r="U59" s="6"/>
      <c r="V59" s="5" t="s">
        <v>23</v>
      </c>
      <c r="W59" s="12">
        <v>10653095</v>
      </c>
      <c r="X59" s="6"/>
      <c r="Y59" s="6"/>
    </row>
    <row r="60" spans="1:25" ht="15" customHeight="1" x14ac:dyDescent="0.2">
      <c r="A60" s="88" t="s">
        <v>19</v>
      </c>
      <c r="B60" s="90"/>
      <c r="C60" s="88" t="s">
        <v>132</v>
      </c>
      <c r="D60" s="90"/>
      <c r="E60" s="88" t="s">
        <v>133</v>
      </c>
      <c r="F60" s="89"/>
      <c r="G60" s="89"/>
      <c r="H60" s="89"/>
      <c r="I60" s="90"/>
      <c r="J60" s="88" t="s">
        <v>13</v>
      </c>
      <c r="K60" s="89"/>
      <c r="L60" s="89"/>
      <c r="M60" s="90"/>
      <c r="N60" s="88" t="s">
        <v>22</v>
      </c>
      <c r="O60" s="89"/>
      <c r="P60" s="90"/>
      <c r="Q60" s="133">
        <v>2000</v>
      </c>
      <c r="R60" s="134"/>
      <c r="S60" s="5" t="s">
        <v>44</v>
      </c>
      <c r="T60" s="6"/>
      <c r="U60" s="6"/>
      <c r="V60" s="5" t="s">
        <v>96</v>
      </c>
      <c r="W60" s="12">
        <v>12511637</v>
      </c>
      <c r="X60" s="6"/>
      <c r="Y60" s="6"/>
    </row>
    <row r="61" spans="1:25" ht="15" customHeight="1" x14ac:dyDescent="0.2">
      <c r="A61" s="88" t="s">
        <v>19</v>
      </c>
      <c r="B61" s="90"/>
      <c r="C61" s="88" t="s">
        <v>134</v>
      </c>
      <c r="D61" s="90"/>
      <c r="E61" s="88" t="s">
        <v>135</v>
      </c>
      <c r="F61" s="89"/>
      <c r="G61" s="89"/>
      <c r="H61" s="89"/>
      <c r="I61" s="90"/>
      <c r="J61" s="88" t="s">
        <v>13</v>
      </c>
      <c r="K61" s="89"/>
      <c r="L61" s="89"/>
      <c r="M61" s="90"/>
      <c r="N61" s="88" t="s">
        <v>22</v>
      </c>
      <c r="O61" s="89"/>
      <c r="P61" s="90"/>
      <c r="Q61" s="133">
        <v>2000</v>
      </c>
      <c r="R61" s="134"/>
      <c r="S61" s="5" t="s">
        <v>44</v>
      </c>
      <c r="T61" s="6"/>
      <c r="U61" s="6"/>
      <c r="V61" s="5" t="s">
        <v>23</v>
      </c>
      <c r="W61" s="12">
        <v>21151195</v>
      </c>
      <c r="X61" s="6"/>
      <c r="Y61" s="6"/>
    </row>
    <row r="62" spans="1:25" ht="15" customHeight="1" x14ac:dyDescent="0.2">
      <c r="A62" s="88" t="s">
        <v>19</v>
      </c>
      <c r="B62" s="90"/>
      <c r="C62" s="88" t="s">
        <v>136</v>
      </c>
      <c r="D62" s="90"/>
      <c r="E62" s="88" t="s">
        <v>137</v>
      </c>
      <c r="F62" s="89"/>
      <c r="G62" s="89"/>
      <c r="H62" s="89"/>
      <c r="I62" s="90"/>
      <c r="J62" s="88" t="s">
        <v>13</v>
      </c>
      <c r="K62" s="89"/>
      <c r="L62" s="89"/>
      <c r="M62" s="90"/>
      <c r="N62" s="88" t="s">
        <v>26</v>
      </c>
      <c r="O62" s="89"/>
      <c r="P62" s="90"/>
      <c r="Q62" s="133">
        <v>2000</v>
      </c>
      <c r="R62" s="134"/>
      <c r="S62" s="5" t="s">
        <v>44</v>
      </c>
      <c r="T62" s="6"/>
      <c r="U62" s="6"/>
      <c r="V62" s="5" t="s">
        <v>23</v>
      </c>
      <c r="W62" s="12">
        <v>12713340</v>
      </c>
      <c r="X62" s="6"/>
      <c r="Y62" s="6"/>
    </row>
    <row r="63" spans="1:25" ht="15" customHeight="1" x14ac:dyDescent="0.2">
      <c r="A63" s="88" t="s">
        <v>19</v>
      </c>
      <c r="B63" s="90"/>
      <c r="C63" s="88" t="s">
        <v>136</v>
      </c>
      <c r="D63" s="90"/>
      <c r="E63" s="88" t="s">
        <v>138</v>
      </c>
      <c r="F63" s="89"/>
      <c r="G63" s="89"/>
      <c r="H63" s="89"/>
      <c r="I63" s="90"/>
      <c r="J63" s="88" t="s">
        <v>13</v>
      </c>
      <c r="K63" s="89"/>
      <c r="L63" s="89"/>
      <c r="M63" s="90"/>
      <c r="N63" s="88" t="s">
        <v>22</v>
      </c>
      <c r="O63" s="89"/>
      <c r="P63" s="90"/>
      <c r="Q63" s="133">
        <v>2000</v>
      </c>
      <c r="R63" s="134"/>
      <c r="S63" s="5" t="s">
        <v>70</v>
      </c>
      <c r="T63" s="6"/>
      <c r="U63" s="6"/>
      <c r="V63" s="5" t="s">
        <v>96</v>
      </c>
      <c r="W63" s="12">
        <v>10269928</v>
      </c>
      <c r="X63" s="6"/>
      <c r="Y63" s="6"/>
    </row>
    <row r="64" spans="1:25" ht="15" customHeight="1" x14ac:dyDescent="0.2">
      <c r="A64" s="88" t="s">
        <v>19</v>
      </c>
      <c r="B64" s="90"/>
      <c r="C64" s="88" t="s">
        <v>139</v>
      </c>
      <c r="D64" s="90"/>
      <c r="E64" s="88" t="s">
        <v>140</v>
      </c>
      <c r="F64" s="89"/>
      <c r="G64" s="89"/>
      <c r="H64" s="89"/>
      <c r="I64" s="90"/>
      <c r="J64" s="88" t="s">
        <v>13</v>
      </c>
      <c r="K64" s="89"/>
      <c r="L64" s="89"/>
      <c r="M64" s="90"/>
      <c r="N64" s="88" t="s">
        <v>22</v>
      </c>
      <c r="O64" s="89"/>
      <c r="P64" s="90"/>
      <c r="Q64" s="133">
        <v>3000</v>
      </c>
      <c r="R64" s="134"/>
      <c r="S64" s="5" t="s">
        <v>44</v>
      </c>
      <c r="T64" s="6"/>
      <c r="U64" s="6"/>
      <c r="V64" s="5" t="s">
        <v>23</v>
      </c>
      <c r="W64" s="12">
        <v>11766864</v>
      </c>
      <c r="X64" s="6"/>
      <c r="Y64" s="6"/>
    </row>
    <row r="65" spans="1:25" ht="15" customHeight="1" x14ac:dyDescent="0.2">
      <c r="A65" s="88" t="s">
        <v>19</v>
      </c>
      <c r="B65" s="90"/>
      <c r="C65" s="88" t="s">
        <v>141</v>
      </c>
      <c r="D65" s="90"/>
      <c r="E65" s="88" t="s">
        <v>142</v>
      </c>
      <c r="F65" s="89"/>
      <c r="G65" s="89"/>
      <c r="H65" s="89"/>
      <c r="I65" s="90"/>
      <c r="J65" s="88" t="s">
        <v>13</v>
      </c>
      <c r="K65" s="89"/>
      <c r="L65" s="89"/>
      <c r="M65" s="90"/>
      <c r="N65" s="88" t="s">
        <v>22</v>
      </c>
      <c r="O65" s="89"/>
      <c r="P65" s="90"/>
      <c r="Q65" s="133">
        <v>2000</v>
      </c>
      <c r="R65" s="134"/>
      <c r="S65" s="5" t="s">
        <v>70</v>
      </c>
      <c r="T65" s="6"/>
      <c r="U65" s="6"/>
      <c r="V65" s="5" t="s">
        <v>96</v>
      </c>
      <c r="W65" s="12">
        <v>9637732</v>
      </c>
      <c r="X65" s="6"/>
      <c r="Y65" s="6"/>
    </row>
    <row r="66" spans="1:25" ht="15" customHeight="1" x14ac:dyDescent="0.2">
      <c r="A66" s="88" t="s">
        <v>19</v>
      </c>
      <c r="B66" s="90"/>
      <c r="C66" s="88" t="s">
        <v>143</v>
      </c>
      <c r="D66" s="90"/>
      <c r="E66" s="88" t="s">
        <v>144</v>
      </c>
      <c r="F66" s="89"/>
      <c r="G66" s="89"/>
      <c r="H66" s="89"/>
      <c r="I66" s="90"/>
      <c r="J66" s="88" t="s">
        <v>13</v>
      </c>
      <c r="K66" s="89"/>
      <c r="L66" s="89"/>
      <c r="M66" s="90"/>
      <c r="N66" s="88" t="s">
        <v>22</v>
      </c>
      <c r="O66" s="89"/>
      <c r="P66" s="90"/>
      <c r="Q66" s="133">
        <v>2000</v>
      </c>
      <c r="R66" s="134"/>
      <c r="S66" s="5" t="s">
        <v>70</v>
      </c>
      <c r="T66" s="6"/>
      <c r="U66" s="6"/>
      <c r="V66" s="5" t="s">
        <v>23</v>
      </c>
      <c r="W66" s="12">
        <v>13009443</v>
      </c>
      <c r="X66" s="6"/>
      <c r="Y66" s="6"/>
    </row>
    <row r="67" spans="1:25" ht="15" customHeight="1" x14ac:dyDescent="0.2">
      <c r="A67" s="88" t="s">
        <v>19</v>
      </c>
      <c r="B67" s="90"/>
      <c r="C67" s="88" t="s">
        <v>145</v>
      </c>
      <c r="D67" s="90"/>
      <c r="E67" s="88" t="s">
        <v>146</v>
      </c>
      <c r="F67" s="89"/>
      <c r="G67" s="89"/>
      <c r="H67" s="89"/>
      <c r="I67" s="90"/>
      <c r="J67" s="88" t="s">
        <v>13</v>
      </c>
      <c r="K67" s="89"/>
      <c r="L67" s="89"/>
      <c r="M67" s="90"/>
      <c r="N67" s="88" t="s">
        <v>22</v>
      </c>
      <c r="O67" s="89"/>
      <c r="P67" s="90"/>
      <c r="Q67" s="133">
        <v>2000</v>
      </c>
      <c r="R67" s="134"/>
      <c r="S67" s="5" t="s">
        <v>70</v>
      </c>
      <c r="T67" s="6"/>
      <c r="U67" s="6"/>
      <c r="V67" s="5" t="s">
        <v>106</v>
      </c>
      <c r="W67" s="12">
        <v>15158159</v>
      </c>
      <c r="X67" s="6"/>
      <c r="Y67" s="6"/>
    </row>
    <row r="68" spans="1:25" ht="15" customHeight="1" x14ac:dyDescent="0.2">
      <c r="A68" s="88" t="s">
        <v>19</v>
      </c>
      <c r="B68" s="90"/>
      <c r="C68" s="88" t="s">
        <v>147</v>
      </c>
      <c r="D68" s="90"/>
      <c r="E68" s="88" t="s">
        <v>148</v>
      </c>
      <c r="F68" s="89"/>
      <c r="G68" s="89"/>
      <c r="H68" s="89"/>
      <c r="I68" s="90"/>
      <c r="J68" s="88" t="s">
        <v>13</v>
      </c>
      <c r="K68" s="89"/>
      <c r="L68" s="89"/>
      <c r="M68" s="90"/>
      <c r="N68" s="88" t="s">
        <v>22</v>
      </c>
      <c r="O68" s="89"/>
      <c r="P68" s="90"/>
      <c r="Q68" s="133">
        <v>2000</v>
      </c>
      <c r="R68" s="134"/>
      <c r="S68" s="5" t="s">
        <v>70</v>
      </c>
      <c r="T68" s="6"/>
      <c r="U68" s="6"/>
      <c r="V68" s="5" t="s">
        <v>106</v>
      </c>
      <c r="W68" s="12">
        <v>12679097</v>
      </c>
      <c r="X68" s="6"/>
      <c r="Y68" s="6"/>
    </row>
    <row r="69" spans="1:25" ht="15" customHeight="1" x14ac:dyDescent="0.2">
      <c r="A69" s="88" t="s">
        <v>19</v>
      </c>
      <c r="B69" s="90"/>
      <c r="C69" s="88" t="s">
        <v>149</v>
      </c>
      <c r="D69" s="90"/>
      <c r="E69" s="88" t="s">
        <v>150</v>
      </c>
      <c r="F69" s="89"/>
      <c r="G69" s="89"/>
      <c r="H69" s="89"/>
      <c r="I69" s="90"/>
      <c r="J69" s="88" t="s">
        <v>13</v>
      </c>
      <c r="K69" s="89"/>
      <c r="L69" s="89"/>
      <c r="M69" s="90"/>
      <c r="N69" s="88" t="s">
        <v>22</v>
      </c>
      <c r="O69" s="89"/>
      <c r="P69" s="90"/>
      <c r="Q69" s="133">
        <v>2000</v>
      </c>
      <c r="R69" s="134"/>
      <c r="S69" s="5" t="s">
        <v>70</v>
      </c>
      <c r="T69" s="6"/>
      <c r="U69" s="6"/>
      <c r="V69" s="5" t="s">
        <v>23</v>
      </c>
      <c r="W69" s="12">
        <v>16449334</v>
      </c>
      <c r="X69" s="6"/>
      <c r="Y69" s="6"/>
    </row>
    <row r="70" spans="1:25" ht="15" customHeight="1" x14ac:dyDescent="0.2">
      <c r="A70" s="88" t="s">
        <v>19</v>
      </c>
      <c r="B70" s="90"/>
      <c r="C70" s="88" t="s">
        <v>151</v>
      </c>
      <c r="D70" s="90"/>
      <c r="E70" s="88" t="s">
        <v>135</v>
      </c>
      <c r="F70" s="89"/>
      <c r="G70" s="89"/>
      <c r="H70" s="89"/>
      <c r="I70" s="90"/>
      <c r="J70" s="88" t="s">
        <v>13</v>
      </c>
      <c r="K70" s="89"/>
      <c r="L70" s="89"/>
      <c r="M70" s="90"/>
      <c r="N70" s="88" t="s">
        <v>22</v>
      </c>
      <c r="O70" s="89"/>
      <c r="P70" s="90"/>
      <c r="Q70" s="133">
        <v>2000</v>
      </c>
      <c r="R70" s="134"/>
      <c r="S70" s="5" t="s">
        <v>70</v>
      </c>
      <c r="T70" s="6"/>
      <c r="U70" s="6"/>
      <c r="V70" s="5" t="s">
        <v>23</v>
      </c>
      <c r="W70" s="12">
        <v>11542361</v>
      </c>
      <c r="X70" s="6"/>
      <c r="Y70" s="6"/>
    </row>
    <row r="71" spans="1:25" ht="15" customHeight="1" x14ac:dyDescent="0.2">
      <c r="A71" s="88" t="s">
        <v>19</v>
      </c>
      <c r="B71" s="90"/>
      <c r="C71" s="88" t="s">
        <v>152</v>
      </c>
      <c r="D71" s="90"/>
      <c r="E71" s="88" t="s">
        <v>153</v>
      </c>
      <c r="F71" s="89"/>
      <c r="G71" s="89"/>
      <c r="H71" s="89"/>
      <c r="I71" s="90"/>
      <c r="J71" s="88" t="s">
        <v>13</v>
      </c>
      <c r="K71" s="89"/>
      <c r="L71" s="89"/>
      <c r="M71" s="90"/>
      <c r="N71" s="88" t="s">
        <v>22</v>
      </c>
      <c r="O71" s="89"/>
      <c r="P71" s="90"/>
      <c r="Q71" s="133">
        <v>2000</v>
      </c>
      <c r="R71" s="134"/>
      <c r="S71" s="5" t="s">
        <v>70</v>
      </c>
      <c r="T71" s="6"/>
      <c r="U71" s="6"/>
      <c r="V71" s="5" t="s">
        <v>23</v>
      </c>
      <c r="W71" s="12">
        <v>13682449</v>
      </c>
      <c r="X71" s="6"/>
      <c r="Y71" s="6"/>
    </row>
    <row r="72" spans="1:25" ht="15" customHeight="1" x14ac:dyDescent="0.2">
      <c r="A72" s="88" t="s">
        <v>19</v>
      </c>
      <c r="B72" s="90"/>
      <c r="C72" s="88" t="s">
        <v>154</v>
      </c>
      <c r="D72" s="90"/>
      <c r="E72" s="88" t="s">
        <v>155</v>
      </c>
      <c r="F72" s="89"/>
      <c r="G72" s="89"/>
      <c r="H72" s="89"/>
      <c r="I72" s="90"/>
      <c r="J72" s="88" t="s">
        <v>13</v>
      </c>
      <c r="K72" s="89"/>
      <c r="L72" s="89"/>
      <c r="M72" s="90"/>
      <c r="N72" s="88" t="s">
        <v>22</v>
      </c>
      <c r="O72" s="89"/>
      <c r="P72" s="90"/>
      <c r="Q72" s="133">
        <v>2000</v>
      </c>
      <c r="R72" s="134"/>
      <c r="S72" s="5" t="s">
        <v>70</v>
      </c>
      <c r="T72" s="6"/>
      <c r="U72" s="6"/>
      <c r="V72" s="5" t="s">
        <v>23</v>
      </c>
      <c r="W72" s="12">
        <v>15983684</v>
      </c>
      <c r="X72" s="6"/>
      <c r="Y72" s="6"/>
    </row>
    <row r="73" spans="1:25" ht="15" customHeight="1" x14ac:dyDescent="0.2">
      <c r="A73" s="88" t="s">
        <v>19</v>
      </c>
      <c r="B73" s="90"/>
      <c r="C73" s="88" t="s">
        <v>156</v>
      </c>
      <c r="D73" s="90"/>
      <c r="E73" s="88" t="s">
        <v>157</v>
      </c>
      <c r="F73" s="89"/>
      <c r="G73" s="89"/>
      <c r="H73" s="89"/>
      <c r="I73" s="90"/>
      <c r="J73" s="88" t="s">
        <v>13</v>
      </c>
      <c r="K73" s="89"/>
      <c r="L73" s="89"/>
      <c r="M73" s="90"/>
      <c r="N73" s="88" t="s">
        <v>22</v>
      </c>
      <c r="O73" s="89"/>
      <c r="P73" s="90"/>
      <c r="Q73" s="133">
        <v>3000</v>
      </c>
      <c r="R73" s="134"/>
      <c r="S73" s="5" t="s">
        <v>44</v>
      </c>
      <c r="T73" s="6"/>
      <c r="U73" s="6"/>
      <c r="V73" s="5" t="s">
        <v>23</v>
      </c>
      <c r="W73" s="12">
        <v>15980246</v>
      </c>
      <c r="X73" s="6"/>
      <c r="Y73" s="6"/>
    </row>
    <row r="74" spans="1:25" ht="15" customHeight="1" x14ac:dyDescent="0.2">
      <c r="A74" s="88" t="s">
        <v>19</v>
      </c>
      <c r="B74" s="90"/>
      <c r="C74" s="88" t="s">
        <v>158</v>
      </c>
      <c r="D74" s="90"/>
      <c r="E74" s="88" t="s">
        <v>159</v>
      </c>
      <c r="F74" s="89"/>
      <c r="G74" s="89"/>
      <c r="H74" s="89"/>
      <c r="I74" s="90"/>
      <c r="J74" s="88" t="s">
        <v>13</v>
      </c>
      <c r="K74" s="89"/>
      <c r="L74" s="89"/>
      <c r="M74" s="90"/>
      <c r="N74" s="88" t="s">
        <v>22</v>
      </c>
      <c r="O74" s="89"/>
      <c r="P74" s="90"/>
      <c r="Q74" s="133">
        <v>2000</v>
      </c>
      <c r="R74" s="134"/>
      <c r="S74" s="5" t="s">
        <v>44</v>
      </c>
      <c r="T74" s="6"/>
      <c r="U74" s="6"/>
      <c r="V74" s="5" t="s">
        <v>23</v>
      </c>
      <c r="W74" s="12">
        <v>11481750</v>
      </c>
      <c r="X74" s="6"/>
      <c r="Y74" s="6"/>
    </row>
    <row r="75" spans="1:25" ht="15" customHeight="1" x14ac:dyDescent="0.2">
      <c r="A75" s="88" t="s">
        <v>19</v>
      </c>
      <c r="B75" s="90"/>
      <c r="C75" s="88" t="s">
        <v>160</v>
      </c>
      <c r="D75" s="90"/>
      <c r="E75" s="88" t="s">
        <v>161</v>
      </c>
      <c r="F75" s="89"/>
      <c r="G75" s="89"/>
      <c r="H75" s="89"/>
      <c r="I75" s="90"/>
      <c r="J75" s="88" t="s">
        <v>13</v>
      </c>
      <c r="K75" s="89"/>
      <c r="L75" s="89"/>
      <c r="M75" s="90"/>
      <c r="N75" s="88" t="s">
        <v>22</v>
      </c>
      <c r="O75" s="89"/>
      <c r="P75" s="90"/>
      <c r="Q75" s="133">
        <v>2000</v>
      </c>
      <c r="R75" s="134"/>
      <c r="S75" s="5" t="s">
        <v>44</v>
      </c>
      <c r="T75" s="6"/>
      <c r="U75" s="6"/>
      <c r="V75" s="5" t="s">
        <v>23</v>
      </c>
      <c r="W75" s="12">
        <v>13158961</v>
      </c>
      <c r="X75" s="6"/>
      <c r="Y75" s="6"/>
    </row>
    <row r="76" spans="1:25" ht="15" customHeight="1" x14ac:dyDescent="0.2">
      <c r="A76" s="88" t="s">
        <v>19</v>
      </c>
      <c r="B76" s="90"/>
      <c r="C76" s="88" t="s">
        <v>162</v>
      </c>
      <c r="D76" s="90"/>
      <c r="E76" s="88" t="s">
        <v>163</v>
      </c>
      <c r="F76" s="89"/>
      <c r="G76" s="89"/>
      <c r="H76" s="89"/>
      <c r="I76" s="90"/>
      <c r="J76" s="88" t="s">
        <v>13</v>
      </c>
      <c r="K76" s="89"/>
      <c r="L76" s="89"/>
      <c r="M76" s="90"/>
      <c r="N76" s="88" t="s">
        <v>22</v>
      </c>
      <c r="O76" s="89"/>
      <c r="P76" s="90"/>
      <c r="Q76" s="133">
        <v>2000</v>
      </c>
      <c r="R76" s="134"/>
      <c r="S76" s="5" t="s">
        <v>44</v>
      </c>
      <c r="T76" s="6"/>
      <c r="U76" s="6"/>
      <c r="V76" s="5" t="s">
        <v>23</v>
      </c>
      <c r="W76" s="12">
        <v>16791411</v>
      </c>
      <c r="X76" s="6"/>
      <c r="Y76" s="6"/>
    </row>
    <row r="77" spans="1:25" ht="15" customHeight="1" x14ac:dyDescent="0.2">
      <c r="A77" s="88" t="s">
        <v>19</v>
      </c>
      <c r="B77" s="90"/>
      <c r="C77" s="88" t="s">
        <v>164</v>
      </c>
      <c r="D77" s="90"/>
      <c r="E77" s="88" t="s">
        <v>165</v>
      </c>
      <c r="F77" s="89"/>
      <c r="G77" s="89"/>
      <c r="H77" s="89"/>
      <c r="I77" s="90"/>
      <c r="J77" s="88" t="s">
        <v>13</v>
      </c>
      <c r="K77" s="89"/>
      <c r="L77" s="89"/>
      <c r="M77" s="90"/>
      <c r="N77" s="88" t="s">
        <v>22</v>
      </c>
      <c r="O77" s="89"/>
      <c r="P77" s="90"/>
      <c r="Q77" s="133">
        <v>2000</v>
      </c>
      <c r="R77" s="134"/>
      <c r="S77" s="5" t="s">
        <v>44</v>
      </c>
      <c r="T77" s="6"/>
      <c r="U77" s="6"/>
      <c r="V77" s="5" t="s">
        <v>23</v>
      </c>
      <c r="W77" s="12">
        <v>15831281</v>
      </c>
      <c r="X77" s="6"/>
      <c r="Y77" s="6"/>
    </row>
    <row r="78" spans="1:25" ht="15" customHeight="1" x14ac:dyDescent="0.2">
      <c r="A78" s="88" t="s">
        <v>19</v>
      </c>
      <c r="B78" s="90"/>
      <c r="C78" s="88" t="s">
        <v>166</v>
      </c>
      <c r="D78" s="90"/>
      <c r="E78" s="88" t="s">
        <v>167</v>
      </c>
      <c r="F78" s="89"/>
      <c r="G78" s="89"/>
      <c r="H78" s="89"/>
      <c r="I78" s="90"/>
      <c r="J78" s="88" t="s">
        <v>13</v>
      </c>
      <c r="K78" s="89"/>
      <c r="L78" s="89"/>
      <c r="M78" s="90"/>
      <c r="N78" s="88" t="s">
        <v>22</v>
      </c>
      <c r="O78" s="89"/>
      <c r="P78" s="90"/>
      <c r="Q78" s="133">
        <v>3000</v>
      </c>
      <c r="R78" s="134"/>
      <c r="S78" s="5" t="s">
        <v>44</v>
      </c>
      <c r="T78" s="6"/>
      <c r="U78" s="6"/>
      <c r="V78" s="5" t="s">
        <v>96</v>
      </c>
      <c r="W78" s="12">
        <v>20322540</v>
      </c>
      <c r="X78" s="6"/>
      <c r="Y78" s="6"/>
    </row>
    <row r="79" spans="1:25" ht="15" customHeight="1" x14ac:dyDescent="0.2">
      <c r="A79" s="88" t="s">
        <v>19</v>
      </c>
      <c r="B79" s="90"/>
      <c r="C79" s="88" t="s">
        <v>168</v>
      </c>
      <c r="D79" s="90"/>
      <c r="E79" s="88" t="s">
        <v>169</v>
      </c>
      <c r="F79" s="89"/>
      <c r="G79" s="89"/>
      <c r="H79" s="89"/>
      <c r="I79" s="90"/>
      <c r="J79" s="88" t="s">
        <v>13</v>
      </c>
      <c r="K79" s="89"/>
      <c r="L79" s="89"/>
      <c r="M79" s="90"/>
      <c r="N79" s="88" t="s">
        <v>22</v>
      </c>
      <c r="O79" s="89"/>
      <c r="P79" s="90"/>
      <c r="Q79" s="133">
        <v>2000</v>
      </c>
      <c r="R79" s="134"/>
      <c r="S79" s="5" t="s">
        <v>44</v>
      </c>
      <c r="T79" s="6"/>
      <c r="U79" s="6"/>
      <c r="V79" s="5" t="s">
        <v>96</v>
      </c>
      <c r="W79" s="12">
        <v>16967967</v>
      </c>
      <c r="X79" s="6"/>
      <c r="Y79" s="6"/>
    </row>
    <row r="80" spans="1:25" ht="15" customHeight="1" x14ac:dyDescent="0.2">
      <c r="A80" s="88" t="s">
        <v>19</v>
      </c>
      <c r="B80" s="90"/>
      <c r="C80" s="88" t="s">
        <v>170</v>
      </c>
      <c r="D80" s="90"/>
      <c r="E80" s="88" t="s">
        <v>171</v>
      </c>
      <c r="F80" s="89"/>
      <c r="G80" s="89"/>
      <c r="H80" s="89"/>
      <c r="I80" s="90"/>
      <c r="J80" s="88" t="s">
        <v>13</v>
      </c>
      <c r="K80" s="89"/>
      <c r="L80" s="89"/>
      <c r="M80" s="90"/>
      <c r="N80" s="88" t="s">
        <v>22</v>
      </c>
      <c r="O80" s="89"/>
      <c r="P80" s="90"/>
      <c r="Q80" s="133">
        <v>4000</v>
      </c>
      <c r="R80" s="134"/>
      <c r="S80" s="5" t="s">
        <v>44</v>
      </c>
      <c r="T80" s="6"/>
      <c r="U80" s="6"/>
      <c r="V80" s="5" t="s">
        <v>96</v>
      </c>
      <c r="W80" s="12">
        <v>19975006</v>
      </c>
      <c r="X80" s="6"/>
      <c r="Y80" s="6"/>
    </row>
    <row r="81" spans="1:25" ht="15" customHeight="1" x14ac:dyDescent="0.2">
      <c r="A81" s="88" t="s">
        <v>19</v>
      </c>
      <c r="B81" s="90"/>
      <c r="C81" s="88" t="s">
        <v>172</v>
      </c>
      <c r="D81" s="90"/>
      <c r="E81" s="88" t="s">
        <v>173</v>
      </c>
      <c r="F81" s="89"/>
      <c r="G81" s="89"/>
      <c r="H81" s="89"/>
      <c r="I81" s="90"/>
      <c r="J81" s="88" t="s">
        <v>13</v>
      </c>
      <c r="K81" s="89"/>
      <c r="L81" s="89"/>
      <c r="M81" s="90"/>
      <c r="N81" s="88" t="s">
        <v>22</v>
      </c>
      <c r="O81" s="89"/>
      <c r="P81" s="90"/>
      <c r="Q81" s="133">
        <v>3000</v>
      </c>
      <c r="R81" s="134"/>
      <c r="S81" s="5" t="s">
        <v>44</v>
      </c>
      <c r="T81" s="6"/>
      <c r="U81" s="6"/>
      <c r="V81" s="5" t="s">
        <v>23</v>
      </c>
      <c r="W81" s="12">
        <v>18588387</v>
      </c>
      <c r="X81" s="6"/>
      <c r="Y81" s="6"/>
    </row>
    <row r="82" spans="1:25" ht="15" customHeight="1" x14ac:dyDescent="0.2">
      <c r="A82" s="88" t="s">
        <v>19</v>
      </c>
      <c r="B82" s="90"/>
      <c r="C82" s="88" t="s">
        <v>174</v>
      </c>
      <c r="D82" s="90"/>
      <c r="E82" s="88" t="s">
        <v>175</v>
      </c>
      <c r="F82" s="89"/>
      <c r="G82" s="89"/>
      <c r="H82" s="89"/>
      <c r="I82" s="90"/>
      <c r="J82" s="88" t="s">
        <v>13</v>
      </c>
      <c r="K82" s="89"/>
      <c r="L82" s="89"/>
      <c r="M82" s="90"/>
      <c r="N82" s="88" t="s">
        <v>22</v>
      </c>
      <c r="O82" s="89"/>
      <c r="P82" s="90"/>
      <c r="Q82" s="133">
        <v>3000</v>
      </c>
      <c r="R82" s="134"/>
      <c r="S82" s="5" t="s">
        <v>44</v>
      </c>
      <c r="T82" s="6"/>
      <c r="U82" s="6"/>
      <c r="V82" s="5" t="s">
        <v>176</v>
      </c>
      <c r="W82" s="12">
        <v>23583181</v>
      </c>
      <c r="X82" s="6"/>
      <c r="Y82" s="6"/>
    </row>
    <row r="83" spans="1:25" ht="15" customHeight="1" x14ac:dyDescent="0.2">
      <c r="A83" s="88" t="s">
        <v>19</v>
      </c>
      <c r="B83" s="90"/>
      <c r="C83" s="88" t="s">
        <v>177</v>
      </c>
      <c r="D83" s="90"/>
      <c r="E83" s="88" t="s">
        <v>178</v>
      </c>
      <c r="F83" s="89"/>
      <c r="G83" s="89"/>
      <c r="H83" s="89"/>
      <c r="I83" s="90"/>
      <c r="J83" s="88" t="s">
        <v>13</v>
      </c>
      <c r="K83" s="89"/>
      <c r="L83" s="89"/>
      <c r="M83" s="90"/>
      <c r="N83" s="88" t="s">
        <v>22</v>
      </c>
      <c r="O83" s="89"/>
      <c r="P83" s="90"/>
      <c r="Q83" s="133">
        <v>4000</v>
      </c>
      <c r="R83" s="134"/>
      <c r="S83" s="5" t="s">
        <v>44</v>
      </c>
      <c r="T83" s="6"/>
      <c r="U83" s="6"/>
      <c r="V83" s="5" t="s">
        <v>96</v>
      </c>
      <c r="W83" s="12">
        <v>16130015</v>
      </c>
      <c r="X83" s="6"/>
      <c r="Y83" s="6"/>
    </row>
    <row r="84" spans="1:25" ht="15" customHeight="1" x14ac:dyDescent="0.2">
      <c r="A84" s="88" t="s">
        <v>19</v>
      </c>
      <c r="B84" s="90"/>
      <c r="C84" s="88" t="s">
        <v>179</v>
      </c>
      <c r="D84" s="90"/>
      <c r="E84" s="88" t="s">
        <v>180</v>
      </c>
      <c r="F84" s="89"/>
      <c r="G84" s="89"/>
      <c r="H84" s="89"/>
      <c r="I84" s="90"/>
      <c r="J84" s="88" t="s">
        <v>13</v>
      </c>
      <c r="K84" s="89"/>
      <c r="L84" s="89"/>
      <c r="M84" s="90"/>
      <c r="N84" s="88" t="s">
        <v>22</v>
      </c>
      <c r="O84" s="89"/>
      <c r="P84" s="90"/>
      <c r="Q84" s="88" t="s">
        <v>181</v>
      </c>
      <c r="R84" s="90"/>
      <c r="S84" s="5" t="s">
        <v>70</v>
      </c>
      <c r="T84" s="6"/>
      <c r="U84" s="6"/>
      <c r="V84" s="5" t="s">
        <v>17</v>
      </c>
      <c r="W84" s="12">
        <v>14782195</v>
      </c>
      <c r="X84" s="6"/>
      <c r="Y84" s="6"/>
    </row>
    <row r="85" spans="1:25" ht="15" customHeight="1" x14ac:dyDescent="0.2">
      <c r="A85" s="88" t="s">
        <v>19</v>
      </c>
      <c r="B85" s="90"/>
      <c r="C85" s="88" t="s">
        <v>182</v>
      </c>
      <c r="D85" s="90"/>
      <c r="E85" s="88" t="s">
        <v>183</v>
      </c>
      <c r="F85" s="89"/>
      <c r="G85" s="89"/>
      <c r="H85" s="89"/>
      <c r="I85" s="90"/>
      <c r="J85" s="88" t="s">
        <v>13</v>
      </c>
      <c r="K85" s="89"/>
      <c r="L85" s="89"/>
      <c r="M85" s="90"/>
      <c r="N85" s="88" t="s">
        <v>22</v>
      </c>
      <c r="O85" s="89"/>
      <c r="P85" s="90"/>
      <c r="Q85" s="88" t="s">
        <v>181</v>
      </c>
      <c r="R85" s="90"/>
      <c r="S85" s="5" t="s">
        <v>70</v>
      </c>
      <c r="T85" s="6"/>
      <c r="U85" s="6"/>
      <c r="V85" s="5" t="s">
        <v>17</v>
      </c>
      <c r="W85" s="12">
        <v>18322333</v>
      </c>
      <c r="X85" s="6"/>
      <c r="Y85" s="6"/>
    </row>
    <row r="86" spans="1:25" ht="15" customHeight="1" x14ac:dyDescent="0.2">
      <c r="A86" s="88" t="s">
        <v>19</v>
      </c>
      <c r="B86" s="90"/>
      <c r="C86" s="88" t="s">
        <v>184</v>
      </c>
      <c r="D86" s="90"/>
      <c r="E86" s="88" t="s">
        <v>185</v>
      </c>
      <c r="F86" s="89"/>
      <c r="G86" s="89"/>
      <c r="H86" s="89"/>
      <c r="I86" s="90"/>
      <c r="J86" s="88" t="s">
        <v>13</v>
      </c>
      <c r="K86" s="89"/>
      <c r="L86" s="89"/>
      <c r="M86" s="90"/>
      <c r="N86" s="88" t="s">
        <v>22</v>
      </c>
      <c r="O86" s="89"/>
      <c r="P86" s="90"/>
      <c r="Q86" s="88" t="s">
        <v>181</v>
      </c>
      <c r="R86" s="90"/>
      <c r="S86" s="5" t="s">
        <v>70</v>
      </c>
      <c r="T86" s="6"/>
      <c r="U86" s="6"/>
      <c r="V86" s="5" t="s">
        <v>17</v>
      </c>
      <c r="W86" s="12">
        <v>13338081</v>
      </c>
      <c r="X86" s="6"/>
      <c r="Y86" s="6"/>
    </row>
    <row r="87" spans="1:25" ht="15" customHeight="1" x14ac:dyDescent="0.2">
      <c r="A87" s="88" t="s">
        <v>19</v>
      </c>
      <c r="B87" s="90"/>
      <c r="C87" s="88" t="s">
        <v>186</v>
      </c>
      <c r="D87" s="90"/>
      <c r="E87" s="88" t="s">
        <v>187</v>
      </c>
      <c r="F87" s="89"/>
      <c r="G87" s="89"/>
      <c r="H87" s="89"/>
      <c r="I87" s="90"/>
      <c r="J87" s="88" t="s">
        <v>13</v>
      </c>
      <c r="K87" s="89"/>
      <c r="L87" s="89"/>
      <c r="M87" s="90"/>
      <c r="N87" s="88" t="s">
        <v>22</v>
      </c>
      <c r="O87" s="89"/>
      <c r="P87" s="90"/>
      <c r="Q87" s="88" t="s">
        <v>181</v>
      </c>
      <c r="R87" s="90"/>
      <c r="S87" s="5" t="s">
        <v>70</v>
      </c>
      <c r="T87" s="6"/>
      <c r="U87" s="6"/>
      <c r="V87" s="5" t="s">
        <v>17</v>
      </c>
      <c r="W87" s="12">
        <v>14807525</v>
      </c>
      <c r="X87" s="6"/>
      <c r="Y87" s="6"/>
    </row>
    <row r="88" spans="1:25" ht="15" customHeight="1" x14ac:dyDescent="0.2">
      <c r="A88" s="88" t="s">
        <v>19</v>
      </c>
      <c r="B88" s="90"/>
      <c r="C88" s="88" t="s">
        <v>188</v>
      </c>
      <c r="D88" s="90"/>
      <c r="E88" s="88" t="s">
        <v>189</v>
      </c>
      <c r="F88" s="89"/>
      <c r="G88" s="89"/>
      <c r="H88" s="89"/>
      <c r="I88" s="90"/>
      <c r="J88" s="88" t="s">
        <v>13</v>
      </c>
      <c r="K88" s="89"/>
      <c r="L88" s="89"/>
      <c r="M88" s="90"/>
      <c r="N88" s="88" t="s">
        <v>26</v>
      </c>
      <c r="O88" s="89"/>
      <c r="P88" s="90"/>
      <c r="Q88" s="133">
        <v>990</v>
      </c>
      <c r="R88" s="134"/>
      <c r="S88" s="5" t="s">
        <v>70</v>
      </c>
      <c r="T88" s="6"/>
      <c r="U88" s="6"/>
      <c r="V88" s="5" t="s">
        <v>23</v>
      </c>
      <c r="W88" s="12">
        <v>7262085</v>
      </c>
      <c r="X88" s="6"/>
      <c r="Y88" s="6"/>
    </row>
    <row r="89" spans="1:25" ht="15" customHeight="1" x14ac:dyDescent="0.2">
      <c r="A89" s="88" t="s">
        <v>19</v>
      </c>
      <c r="B89" s="90"/>
      <c r="C89" s="88" t="s">
        <v>190</v>
      </c>
      <c r="D89" s="90"/>
      <c r="E89" s="88" t="s">
        <v>191</v>
      </c>
      <c r="F89" s="89"/>
      <c r="G89" s="89"/>
      <c r="H89" s="89"/>
      <c r="I89" s="90"/>
      <c r="J89" s="88" t="s">
        <v>13</v>
      </c>
      <c r="K89" s="89"/>
      <c r="L89" s="89"/>
      <c r="M89" s="90"/>
      <c r="N89" s="88" t="s">
        <v>26</v>
      </c>
      <c r="O89" s="89"/>
      <c r="P89" s="90"/>
      <c r="Q89" s="133">
        <v>1400</v>
      </c>
      <c r="R89" s="134"/>
      <c r="S89" s="5" t="s">
        <v>70</v>
      </c>
      <c r="T89" s="6"/>
      <c r="U89" s="6"/>
      <c r="V89" s="5" t="s">
        <v>23</v>
      </c>
      <c r="W89" s="12">
        <v>8950454</v>
      </c>
      <c r="X89" s="6"/>
      <c r="Y89" s="6"/>
    </row>
    <row r="90" spans="1:25" ht="15" customHeight="1" x14ac:dyDescent="0.2">
      <c r="A90" s="88" t="s">
        <v>19</v>
      </c>
      <c r="B90" s="90"/>
      <c r="C90" s="88" t="s">
        <v>192</v>
      </c>
      <c r="D90" s="90"/>
      <c r="E90" s="88" t="s">
        <v>193</v>
      </c>
      <c r="F90" s="89"/>
      <c r="G90" s="89"/>
      <c r="H90" s="89"/>
      <c r="I90" s="90"/>
      <c r="J90" s="88" t="s">
        <v>13</v>
      </c>
      <c r="K90" s="89"/>
      <c r="L90" s="89"/>
      <c r="M90" s="90"/>
      <c r="N90" s="88" t="s">
        <v>26</v>
      </c>
      <c r="O90" s="89"/>
      <c r="P90" s="90"/>
      <c r="Q90" s="133">
        <v>990</v>
      </c>
      <c r="R90" s="134"/>
      <c r="S90" s="5" t="s">
        <v>70</v>
      </c>
      <c r="T90" s="6"/>
      <c r="U90" s="6"/>
      <c r="V90" s="5" t="s">
        <v>23</v>
      </c>
      <c r="W90" s="12">
        <v>8069536</v>
      </c>
      <c r="X90" s="6"/>
      <c r="Y90" s="6"/>
    </row>
    <row r="91" spans="1:25" ht="15" customHeight="1" x14ac:dyDescent="0.2">
      <c r="A91" s="88" t="s">
        <v>19</v>
      </c>
      <c r="B91" s="90"/>
      <c r="C91" s="88" t="s">
        <v>194</v>
      </c>
      <c r="D91" s="90"/>
      <c r="E91" s="88" t="s">
        <v>195</v>
      </c>
      <c r="F91" s="89"/>
      <c r="G91" s="89"/>
      <c r="H91" s="89"/>
      <c r="I91" s="90"/>
      <c r="J91" s="88" t="s">
        <v>13</v>
      </c>
      <c r="K91" s="89"/>
      <c r="L91" s="89"/>
      <c r="M91" s="90"/>
      <c r="N91" s="88" t="s">
        <v>26</v>
      </c>
      <c r="O91" s="89"/>
      <c r="P91" s="90"/>
      <c r="Q91" s="133">
        <v>1500</v>
      </c>
      <c r="R91" s="134"/>
      <c r="S91" s="5" t="s">
        <v>70</v>
      </c>
      <c r="T91" s="6"/>
      <c r="U91" s="6"/>
      <c r="V91" s="5" t="s">
        <v>23</v>
      </c>
      <c r="W91" s="12">
        <v>6205980</v>
      </c>
      <c r="X91" s="6"/>
      <c r="Y91" s="6"/>
    </row>
    <row r="92" spans="1:25" ht="15" customHeight="1" x14ac:dyDescent="0.2">
      <c r="A92" s="88" t="s">
        <v>19</v>
      </c>
      <c r="B92" s="90"/>
      <c r="C92" s="88" t="s">
        <v>196</v>
      </c>
      <c r="D92" s="90"/>
      <c r="E92" s="88" t="s">
        <v>197</v>
      </c>
      <c r="F92" s="89"/>
      <c r="G92" s="89"/>
      <c r="H92" s="89"/>
      <c r="I92" s="90"/>
      <c r="J92" s="88" t="s">
        <v>13</v>
      </c>
      <c r="K92" s="89"/>
      <c r="L92" s="89"/>
      <c r="M92" s="90"/>
      <c r="N92" s="88" t="s">
        <v>26</v>
      </c>
      <c r="O92" s="89"/>
      <c r="P92" s="90"/>
      <c r="Q92" s="133">
        <v>1000</v>
      </c>
      <c r="R92" s="134"/>
      <c r="S92" s="5" t="s">
        <v>16</v>
      </c>
      <c r="T92" s="6"/>
      <c r="U92" s="6"/>
      <c r="V92" s="5" t="s">
        <v>23</v>
      </c>
      <c r="W92" s="12">
        <v>6631020</v>
      </c>
      <c r="X92" s="6"/>
      <c r="Y92" s="6"/>
    </row>
    <row r="93" spans="1:25" ht="15" customHeight="1" x14ac:dyDescent="0.2">
      <c r="A93" s="88" t="s">
        <v>19</v>
      </c>
      <c r="B93" s="90"/>
      <c r="C93" s="88" t="s">
        <v>198</v>
      </c>
      <c r="D93" s="90"/>
      <c r="E93" s="88" t="s">
        <v>199</v>
      </c>
      <c r="F93" s="89"/>
      <c r="G93" s="89"/>
      <c r="H93" s="89"/>
      <c r="I93" s="90"/>
      <c r="J93" s="88" t="s">
        <v>13</v>
      </c>
      <c r="K93" s="89"/>
      <c r="L93" s="89"/>
      <c r="M93" s="90"/>
      <c r="N93" s="88" t="s">
        <v>26</v>
      </c>
      <c r="O93" s="89"/>
      <c r="P93" s="90"/>
      <c r="Q93" s="133">
        <v>1000</v>
      </c>
      <c r="R93" s="134"/>
      <c r="S93" s="5" t="s">
        <v>16</v>
      </c>
      <c r="T93" s="6"/>
      <c r="U93" s="6"/>
      <c r="V93" s="5" t="s">
        <v>23</v>
      </c>
      <c r="W93" s="12">
        <v>6849238</v>
      </c>
      <c r="X93" s="6"/>
      <c r="Y93" s="6"/>
    </row>
    <row r="94" spans="1:25" ht="15" customHeight="1" x14ac:dyDescent="0.2">
      <c r="A94" s="88" t="s">
        <v>19</v>
      </c>
      <c r="B94" s="90"/>
      <c r="C94" s="88" t="s">
        <v>200</v>
      </c>
      <c r="D94" s="90"/>
      <c r="E94" s="88" t="s">
        <v>201</v>
      </c>
      <c r="F94" s="89"/>
      <c r="G94" s="89"/>
      <c r="H94" s="89"/>
      <c r="I94" s="90"/>
      <c r="J94" s="88" t="s">
        <v>13</v>
      </c>
      <c r="K94" s="89"/>
      <c r="L94" s="89"/>
      <c r="M94" s="90"/>
      <c r="N94" s="88" t="s">
        <v>26</v>
      </c>
      <c r="O94" s="89"/>
      <c r="P94" s="90"/>
      <c r="Q94" s="133">
        <v>2000</v>
      </c>
      <c r="R94" s="134"/>
      <c r="S94" s="5" t="s">
        <v>16</v>
      </c>
      <c r="T94" s="6"/>
      <c r="U94" s="6"/>
      <c r="V94" s="5" t="s">
        <v>23</v>
      </c>
      <c r="W94" s="12">
        <v>7526719</v>
      </c>
      <c r="X94" s="6"/>
      <c r="Y94" s="6"/>
    </row>
    <row r="95" spans="1:25" ht="15" customHeight="1" x14ac:dyDescent="0.2">
      <c r="A95" s="88" t="s">
        <v>19</v>
      </c>
      <c r="B95" s="90"/>
      <c r="C95" s="88" t="s">
        <v>202</v>
      </c>
      <c r="D95" s="90"/>
      <c r="E95" s="88" t="s">
        <v>203</v>
      </c>
      <c r="F95" s="89"/>
      <c r="G95" s="89"/>
      <c r="H95" s="89"/>
      <c r="I95" s="90"/>
      <c r="J95" s="88" t="s">
        <v>13</v>
      </c>
      <c r="K95" s="89"/>
      <c r="L95" s="89"/>
      <c r="M95" s="90"/>
      <c r="N95" s="88" t="s">
        <v>26</v>
      </c>
      <c r="O95" s="89"/>
      <c r="P95" s="90"/>
      <c r="Q95" s="133">
        <v>1500</v>
      </c>
      <c r="R95" s="134"/>
      <c r="S95" s="5" t="s">
        <v>16</v>
      </c>
      <c r="T95" s="6"/>
      <c r="U95" s="6"/>
      <c r="V95" s="5" t="s">
        <v>106</v>
      </c>
      <c r="W95" s="12">
        <v>9475761</v>
      </c>
      <c r="X95" s="6"/>
      <c r="Y95" s="6"/>
    </row>
    <row r="96" spans="1:25" ht="15" customHeight="1" x14ac:dyDescent="0.2">
      <c r="A96" s="88" t="s">
        <v>19</v>
      </c>
      <c r="B96" s="90"/>
      <c r="C96" s="88" t="s">
        <v>204</v>
      </c>
      <c r="D96" s="90"/>
      <c r="E96" s="88" t="s">
        <v>205</v>
      </c>
      <c r="F96" s="89"/>
      <c r="G96" s="89"/>
      <c r="H96" s="89"/>
      <c r="I96" s="90"/>
      <c r="J96" s="88" t="s">
        <v>13</v>
      </c>
      <c r="K96" s="89"/>
      <c r="L96" s="89"/>
      <c r="M96" s="90"/>
      <c r="N96" s="88" t="s">
        <v>26</v>
      </c>
      <c r="O96" s="89"/>
      <c r="P96" s="90"/>
      <c r="Q96" s="133">
        <v>2000</v>
      </c>
      <c r="R96" s="134"/>
      <c r="S96" s="5" t="s">
        <v>16</v>
      </c>
      <c r="T96" s="6"/>
      <c r="U96" s="6"/>
      <c r="V96" s="5" t="s">
        <v>106</v>
      </c>
      <c r="W96" s="12">
        <v>10395171</v>
      </c>
      <c r="X96" s="6"/>
      <c r="Y96" s="6"/>
    </row>
    <row r="97" spans="1:25" ht="15" customHeight="1" x14ac:dyDescent="0.2">
      <c r="A97" s="88" t="s">
        <v>19</v>
      </c>
      <c r="B97" s="90"/>
      <c r="C97" s="88" t="s">
        <v>206</v>
      </c>
      <c r="D97" s="90"/>
      <c r="E97" s="88" t="s">
        <v>207</v>
      </c>
      <c r="F97" s="89"/>
      <c r="G97" s="89"/>
      <c r="H97" s="89"/>
      <c r="I97" s="90"/>
      <c r="J97" s="88" t="s">
        <v>13</v>
      </c>
      <c r="K97" s="89"/>
      <c r="L97" s="89"/>
      <c r="M97" s="90"/>
      <c r="N97" s="88" t="s">
        <v>26</v>
      </c>
      <c r="O97" s="89"/>
      <c r="P97" s="90"/>
      <c r="Q97" s="133">
        <v>1500</v>
      </c>
      <c r="R97" s="134"/>
      <c r="S97" s="5" t="s">
        <v>16</v>
      </c>
      <c r="T97" s="6"/>
      <c r="U97" s="6"/>
      <c r="V97" s="5" t="s">
        <v>23</v>
      </c>
      <c r="W97" s="12">
        <v>8502532</v>
      </c>
      <c r="X97" s="6"/>
      <c r="Y97" s="6"/>
    </row>
    <row r="98" spans="1:25" ht="15" customHeight="1" x14ac:dyDescent="0.2">
      <c r="A98" s="88" t="s">
        <v>19</v>
      </c>
      <c r="B98" s="90"/>
      <c r="C98" s="88" t="s">
        <v>208</v>
      </c>
      <c r="D98" s="90"/>
      <c r="E98" s="88" t="s">
        <v>209</v>
      </c>
      <c r="F98" s="89"/>
      <c r="G98" s="89"/>
      <c r="H98" s="89"/>
      <c r="I98" s="90"/>
      <c r="J98" s="88" t="s">
        <v>13</v>
      </c>
      <c r="K98" s="89"/>
      <c r="L98" s="89"/>
      <c r="M98" s="90"/>
      <c r="N98" s="88" t="s">
        <v>26</v>
      </c>
      <c r="O98" s="89"/>
      <c r="P98" s="90"/>
      <c r="Q98" s="133">
        <v>1500</v>
      </c>
      <c r="R98" s="134"/>
      <c r="S98" s="5" t="s">
        <v>16</v>
      </c>
      <c r="T98" s="6"/>
      <c r="U98" s="6"/>
      <c r="V98" s="5" t="s">
        <v>96</v>
      </c>
      <c r="W98" s="12">
        <v>7239799</v>
      </c>
      <c r="X98" s="6"/>
      <c r="Y98" s="6"/>
    </row>
    <row r="99" spans="1:25" ht="15" customHeight="1" x14ac:dyDescent="0.2">
      <c r="A99" s="88" t="s">
        <v>19</v>
      </c>
      <c r="B99" s="90"/>
      <c r="C99" s="88" t="s">
        <v>210</v>
      </c>
      <c r="D99" s="90"/>
      <c r="E99" s="88" t="s">
        <v>211</v>
      </c>
      <c r="F99" s="89"/>
      <c r="G99" s="89"/>
      <c r="H99" s="89"/>
      <c r="I99" s="90"/>
      <c r="J99" s="88" t="s">
        <v>13</v>
      </c>
      <c r="K99" s="89"/>
      <c r="L99" s="89"/>
      <c r="M99" s="90"/>
      <c r="N99" s="88" t="s">
        <v>22</v>
      </c>
      <c r="O99" s="89"/>
      <c r="P99" s="90"/>
      <c r="Q99" s="133">
        <v>2000</v>
      </c>
      <c r="R99" s="134"/>
      <c r="S99" s="5" t="s">
        <v>16</v>
      </c>
      <c r="T99" s="6"/>
      <c r="U99" s="6"/>
      <c r="V99" s="5" t="s">
        <v>106</v>
      </c>
      <c r="W99" s="12">
        <v>9483641</v>
      </c>
      <c r="X99" s="6"/>
      <c r="Y99" s="6"/>
    </row>
    <row r="100" spans="1:25" ht="15" customHeight="1" x14ac:dyDescent="0.2">
      <c r="A100" s="88" t="s">
        <v>19</v>
      </c>
      <c r="B100" s="90"/>
      <c r="C100" s="88" t="s">
        <v>212</v>
      </c>
      <c r="D100" s="90"/>
      <c r="E100" s="88" t="s">
        <v>213</v>
      </c>
      <c r="F100" s="89"/>
      <c r="G100" s="89"/>
      <c r="H100" s="89"/>
      <c r="I100" s="90"/>
      <c r="J100" s="88" t="s">
        <v>13</v>
      </c>
      <c r="K100" s="89"/>
      <c r="L100" s="89"/>
      <c r="M100" s="90"/>
      <c r="N100" s="88" t="s">
        <v>26</v>
      </c>
      <c r="O100" s="89"/>
      <c r="P100" s="90"/>
      <c r="Q100" s="133">
        <v>1500</v>
      </c>
      <c r="R100" s="134"/>
      <c r="S100" s="5" t="s">
        <v>16</v>
      </c>
      <c r="T100" s="6"/>
      <c r="U100" s="6"/>
      <c r="V100" s="5" t="s">
        <v>23</v>
      </c>
      <c r="W100" s="12">
        <v>7683302</v>
      </c>
      <c r="X100" s="6"/>
      <c r="Y100" s="6"/>
    </row>
    <row r="101" spans="1:25" ht="15" customHeight="1" x14ac:dyDescent="0.2">
      <c r="A101" s="88" t="s">
        <v>19</v>
      </c>
      <c r="B101" s="90"/>
      <c r="C101" s="88" t="s">
        <v>214</v>
      </c>
      <c r="D101" s="90"/>
      <c r="E101" s="88" t="s">
        <v>215</v>
      </c>
      <c r="F101" s="89"/>
      <c r="G101" s="89"/>
      <c r="H101" s="89"/>
      <c r="I101" s="90"/>
      <c r="J101" s="88" t="s">
        <v>13</v>
      </c>
      <c r="K101" s="89"/>
      <c r="L101" s="89"/>
      <c r="M101" s="90"/>
      <c r="N101" s="88" t="s">
        <v>26</v>
      </c>
      <c r="O101" s="89"/>
      <c r="P101" s="90"/>
      <c r="Q101" s="133">
        <v>1500</v>
      </c>
      <c r="R101" s="134"/>
      <c r="S101" s="5" t="s">
        <v>16</v>
      </c>
      <c r="T101" s="6"/>
      <c r="U101" s="6"/>
      <c r="V101" s="5" t="s">
        <v>23</v>
      </c>
      <c r="W101" s="12">
        <v>10078751</v>
      </c>
      <c r="X101" s="6"/>
      <c r="Y101" s="6"/>
    </row>
    <row r="102" spans="1:25" ht="15" customHeight="1" x14ac:dyDescent="0.2">
      <c r="A102" s="88" t="s">
        <v>19</v>
      </c>
      <c r="B102" s="90"/>
      <c r="C102" s="88" t="s">
        <v>216</v>
      </c>
      <c r="D102" s="90"/>
      <c r="E102" s="88" t="s">
        <v>217</v>
      </c>
      <c r="F102" s="89"/>
      <c r="G102" s="89"/>
      <c r="H102" s="89"/>
      <c r="I102" s="90"/>
      <c r="J102" s="88" t="s">
        <v>13</v>
      </c>
      <c r="K102" s="89"/>
      <c r="L102" s="89"/>
      <c r="M102" s="90"/>
      <c r="N102" s="88" t="s">
        <v>26</v>
      </c>
      <c r="O102" s="89"/>
      <c r="P102" s="90"/>
      <c r="Q102" s="133">
        <v>1500</v>
      </c>
      <c r="R102" s="134"/>
      <c r="S102" s="5" t="s">
        <v>16</v>
      </c>
      <c r="T102" s="6"/>
      <c r="U102" s="6"/>
      <c r="V102" s="5" t="s">
        <v>23</v>
      </c>
      <c r="W102" s="12">
        <v>8696148</v>
      </c>
      <c r="X102" s="6"/>
      <c r="Y102" s="6"/>
    </row>
    <row r="103" spans="1:25" ht="15" customHeight="1" x14ac:dyDescent="0.2">
      <c r="A103" s="88" t="s">
        <v>19</v>
      </c>
      <c r="B103" s="90"/>
      <c r="C103" s="88" t="s">
        <v>218</v>
      </c>
      <c r="D103" s="90"/>
      <c r="E103" s="88" t="s">
        <v>219</v>
      </c>
      <c r="F103" s="89"/>
      <c r="G103" s="89"/>
      <c r="H103" s="89"/>
      <c r="I103" s="90"/>
      <c r="J103" s="88" t="s">
        <v>13</v>
      </c>
      <c r="K103" s="89"/>
      <c r="L103" s="89"/>
      <c r="M103" s="90"/>
      <c r="N103" s="88" t="s">
        <v>26</v>
      </c>
      <c r="O103" s="89"/>
      <c r="P103" s="90"/>
      <c r="Q103" s="88" t="s">
        <v>181</v>
      </c>
      <c r="R103" s="90"/>
      <c r="S103" s="5" t="s">
        <v>16</v>
      </c>
      <c r="T103" s="6"/>
      <c r="U103" s="6"/>
      <c r="V103" s="5" t="s">
        <v>17</v>
      </c>
      <c r="W103" s="12">
        <v>8565779</v>
      </c>
      <c r="X103" s="6"/>
      <c r="Y103" s="6"/>
    </row>
    <row r="104" spans="1:25" ht="15" customHeight="1" x14ac:dyDescent="0.2">
      <c r="A104" s="88" t="s">
        <v>19</v>
      </c>
      <c r="B104" s="90"/>
      <c r="C104" s="88" t="s">
        <v>220</v>
      </c>
      <c r="D104" s="90"/>
      <c r="E104" s="88" t="s">
        <v>221</v>
      </c>
      <c r="F104" s="89"/>
      <c r="G104" s="89"/>
      <c r="H104" s="89"/>
      <c r="I104" s="90"/>
      <c r="J104" s="88" t="s">
        <v>13</v>
      </c>
      <c r="K104" s="89"/>
      <c r="L104" s="89"/>
      <c r="M104" s="90"/>
      <c r="N104" s="88" t="s">
        <v>26</v>
      </c>
      <c r="O104" s="89"/>
      <c r="P104" s="90"/>
      <c r="Q104" s="88" t="s">
        <v>181</v>
      </c>
      <c r="R104" s="90"/>
      <c r="S104" s="5" t="s">
        <v>16</v>
      </c>
      <c r="T104" s="6"/>
      <c r="U104" s="6"/>
      <c r="V104" s="5" t="s">
        <v>17</v>
      </c>
      <c r="W104" s="12">
        <v>8381784</v>
      </c>
      <c r="X104" s="6"/>
      <c r="Y104" s="6"/>
    </row>
    <row r="105" spans="1:25" ht="15" customHeight="1" x14ac:dyDescent="0.2">
      <c r="A105" s="88" t="s">
        <v>19</v>
      </c>
      <c r="B105" s="90"/>
      <c r="C105" s="88" t="s">
        <v>222</v>
      </c>
      <c r="D105" s="90"/>
      <c r="E105" s="88" t="s">
        <v>223</v>
      </c>
      <c r="F105" s="89"/>
      <c r="G105" s="89"/>
      <c r="H105" s="89"/>
      <c r="I105" s="90"/>
      <c r="J105" s="88" t="s">
        <v>13</v>
      </c>
      <c r="K105" s="89"/>
      <c r="L105" s="89"/>
      <c r="M105" s="90"/>
      <c r="N105" s="88" t="s">
        <v>26</v>
      </c>
      <c r="O105" s="89"/>
      <c r="P105" s="90"/>
      <c r="Q105" s="88" t="s">
        <v>181</v>
      </c>
      <c r="R105" s="90"/>
      <c r="S105" s="5" t="s">
        <v>16</v>
      </c>
      <c r="T105" s="6"/>
      <c r="U105" s="6"/>
      <c r="V105" s="5" t="s">
        <v>17</v>
      </c>
      <c r="W105" s="12">
        <v>9026243</v>
      </c>
      <c r="X105" s="6"/>
      <c r="Y105" s="6"/>
    </row>
    <row r="106" spans="1:25" ht="15" customHeight="1" x14ac:dyDescent="0.2">
      <c r="A106" s="88" t="s">
        <v>19</v>
      </c>
      <c r="B106" s="90"/>
      <c r="C106" s="88" t="s">
        <v>224</v>
      </c>
      <c r="D106" s="90"/>
      <c r="E106" s="88" t="s">
        <v>225</v>
      </c>
      <c r="F106" s="89"/>
      <c r="G106" s="89"/>
      <c r="H106" s="89"/>
      <c r="I106" s="90"/>
      <c r="J106" s="88" t="s">
        <v>13</v>
      </c>
      <c r="K106" s="89"/>
      <c r="L106" s="89"/>
      <c r="M106" s="90"/>
      <c r="N106" s="88" t="s">
        <v>26</v>
      </c>
      <c r="O106" s="89"/>
      <c r="P106" s="90"/>
      <c r="Q106" s="88" t="s">
        <v>181</v>
      </c>
      <c r="R106" s="90"/>
      <c r="S106" s="5" t="s">
        <v>16</v>
      </c>
      <c r="T106" s="6"/>
      <c r="U106" s="6"/>
      <c r="V106" s="5" t="s">
        <v>17</v>
      </c>
      <c r="W106" s="12">
        <v>8565779</v>
      </c>
      <c r="X106" s="6"/>
      <c r="Y106" s="6"/>
    </row>
    <row r="107" spans="1:25" ht="15" customHeight="1" x14ac:dyDescent="0.2">
      <c r="A107" s="88" t="s">
        <v>19</v>
      </c>
      <c r="B107" s="90"/>
      <c r="C107" s="88" t="s">
        <v>226</v>
      </c>
      <c r="D107" s="90"/>
      <c r="E107" s="88" t="s">
        <v>227</v>
      </c>
      <c r="F107" s="89"/>
      <c r="G107" s="89"/>
      <c r="H107" s="89"/>
      <c r="I107" s="90"/>
      <c r="J107" s="88" t="s">
        <v>13</v>
      </c>
      <c r="K107" s="89"/>
      <c r="L107" s="89"/>
      <c r="M107" s="90"/>
      <c r="N107" s="88" t="s">
        <v>26</v>
      </c>
      <c r="O107" s="89"/>
      <c r="P107" s="90"/>
      <c r="Q107" s="88" t="s">
        <v>181</v>
      </c>
      <c r="R107" s="90"/>
      <c r="S107" s="5" t="s">
        <v>16</v>
      </c>
      <c r="T107" s="6"/>
      <c r="U107" s="6"/>
      <c r="V107" s="5" t="s">
        <v>17</v>
      </c>
      <c r="W107" s="12">
        <v>10995001</v>
      </c>
      <c r="X107" s="6"/>
      <c r="Y107" s="6"/>
    </row>
    <row r="108" spans="1:25" ht="15" customHeight="1" x14ac:dyDescent="0.2">
      <c r="A108" s="88" t="s">
        <v>19</v>
      </c>
      <c r="B108" s="90"/>
      <c r="C108" s="88" t="s">
        <v>226</v>
      </c>
      <c r="D108" s="90"/>
      <c r="E108" s="88" t="s">
        <v>228</v>
      </c>
      <c r="F108" s="89"/>
      <c r="G108" s="89"/>
      <c r="H108" s="89"/>
      <c r="I108" s="90"/>
      <c r="J108" s="88" t="s">
        <v>13</v>
      </c>
      <c r="K108" s="89"/>
      <c r="L108" s="89"/>
      <c r="M108" s="90"/>
      <c r="N108" s="88" t="s">
        <v>26</v>
      </c>
      <c r="O108" s="89"/>
      <c r="P108" s="90"/>
      <c r="Q108" s="88" t="s">
        <v>181</v>
      </c>
      <c r="R108" s="90"/>
      <c r="S108" s="5" t="s">
        <v>16</v>
      </c>
      <c r="T108" s="6"/>
      <c r="U108" s="6"/>
      <c r="V108" s="5" t="s">
        <v>17</v>
      </c>
      <c r="W108" s="12">
        <v>7293471</v>
      </c>
      <c r="X108" s="6"/>
      <c r="Y108" s="6"/>
    </row>
    <row r="109" spans="1:25" ht="15" customHeight="1" x14ac:dyDescent="0.2">
      <c r="A109" s="88" t="s">
        <v>19</v>
      </c>
      <c r="B109" s="90"/>
      <c r="C109" s="88" t="s">
        <v>229</v>
      </c>
      <c r="D109" s="90"/>
      <c r="E109" s="88" t="s">
        <v>225</v>
      </c>
      <c r="F109" s="89"/>
      <c r="G109" s="89"/>
      <c r="H109" s="89"/>
      <c r="I109" s="90"/>
      <c r="J109" s="88" t="s">
        <v>13</v>
      </c>
      <c r="K109" s="89"/>
      <c r="L109" s="89"/>
      <c r="M109" s="90"/>
      <c r="N109" s="88" t="s">
        <v>26</v>
      </c>
      <c r="O109" s="89"/>
      <c r="P109" s="90"/>
      <c r="Q109" s="88" t="s">
        <v>181</v>
      </c>
      <c r="R109" s="90"/>
      <c r="S109" s="5" t="s">
        <v>16</v>
      </c>
      <c r="T109" s="6"/>
      <c r="U109" s="6"/>
      <c r="V109" s="5" t="s">
        <v>17</v>
      </c>
      <c r="W109" s="12">
        <v>9026243</v>
      </c>
      <c r="X109" s="6"/>
      <c r="Y109" s="6"/>
    </row>
    <row r="110" spans="1:25" ht="15" customHeight="1" x14ac:dyDescent="0.2">
      <c r="A110" s="88" t="s">
        <v>19</v>
      </c>
      <c r="B110" s="90"/>
      <c r="C110" s="88" t="s">
        <v>230</v>
      </c>
      <c r="D110" s="90"/>
      <c r="E110" s="88" t="s">
        <v>231</v>
      </c>
      <c r="F110" s="89"/>
      <c r="G110" s="89"/>
      <c r="H110" s="89"/>
      <c r="I110" s="90"/>
      <c r="J110" s="88" t="s">
        <v>13</v>
      </c>
      <c r="K110" s="89"/>
      <c r="L110" s="89"/>
      <c r="M110" s="90"/>
      <c r="N110" s="88" t="s">
        <v>22</v>
      </c>
      <c r="O110" s="89"/>
      <c r="P110" s="90"/>
      <c r="Q110" s="133">
        <v>2000</v>
      </c>
      <c r="R110" s="134"/>
      <c r="S110" s="5" t="s">
        <v>16</v>
      </c>
      <c r="T110" s="6"/>
      <c r="U110" s="6"/>
      <c r="V110" s="5" t="s">
        <v>23</v>
      </c>
      <c r="W110" s="12">
        <v>14290370</v>
      </c>
      <c r="X110" s="6"/>
      <c r="Y110" s="6"/>
    </row>
    <row r="111" spans="1:25" ht="15" customHeight="1" x14ac:dyDescent="0.2">
      <c r="A111" s="88" t="s">
        <v>19</v>
      </c>
      <c r="B111" s="90"/>
      <c r="C111" s="88" t="s">
        <v>232</v>
      </c>
      <c r="D111" s="90"/>
      <c r="E111" s="88" t="s">
        <v>233</v>
      </c>
      <c r="F111" s="89"/>
      <c r="G111" s="89"/>
      <c r="H111" s="89"/>
      <c r="I111" s="90"/>
      <c r="J111" s="88" t="s">
        <v>13</v>
      </c>
      <c r="K111" s="89"/>
      <c r="L111" s="89"/>
      <c r="M111" s="90"/>
      <c r="N111" s="88" t="s">
        <v>22</v>
      </c>
      <c r="O111" s="89"/>
      <c r="P111" s="90"/>
      <c r="Q111" s="133">
        <v>2000</v>
      </c>
      <c r="R111" s="134"/>
      <c r="S111" s="5" t="s">
        <v>16</v>
      </c>
      <c r="T111" s="6"/>
      <c r="U111" s="6"/>
      <c r="V111" s="5" t="s">
        <v>23</v>
      </c>
      <c r="W111" s="12">
        <v>11605988</v>
      </c>
      <c r="X111" s="6"/>
      <c r="Y111" s="6"/>
    </row>
    <row r="112" spans="1:25" ht="15" customHeight="1" x14ac:dyDescent="0.2">
      <c r="A112" s="88" t="s">
        <v>19</v>
      </c>
      <c r="B112" s="90"/>
      <c r="C112" s="88" t="s">
        <v>234</v>
      </c>
      <c r="D112" s="90"/>
      <c r="E112" s="88" t="s">
        <v>235</v>
      </c>
      <c r="F112" s="89"/>
      <c r="G112" s="89"/>
      <c r="H112" s="89"/>
      <c r="I112" s="90"/>
      <c r="J112" s="88" t="s">
        <v>13</v>
      </c>
      <c r="K112" s="89"/>
      <c r="L112" s="89"/>
      <c r="M112" s="90"/>
      <c r="N112" s="88" t="s">
        <v>22</v>
      </c>
      <c r="O112" s="89"/>
      <c r="P112" s="90"/>
      <c r="Q112" s="133">
        <v>2000</v>
      </c>
      <c r="R112" s="134"/>
      <c r="S112" s="5" t="s">
        <v>16</v>
      </c>
      <c r="T112" s="6"/>
      <c r="U112" s="6"/>
      <c r="V112" s="5" t="s">
        <v>106</v>
      </c>
      <c r="W112" s="12">
        <v>8213972</v>
      </c>
      <c r="X112" s="6"/>
      <c r="Y112" s="6"/>
    </row>
    <row r="113" spans="1:25" ht="15" customHeight="1" x14ac:dyDescent="0.2">
      <c r="A113" s="88" t="s">
        <v>19</v>
      </c>
      <c r="B113" s="90"/>
      <c r="C113" s="88" t="s">
        <v>236</v>
      </c>
      <c r="D113" s="90"/>
      <c r="E113" s="88" t="s">
        <v>237</v>
      </c>
      <c r="F113" s="89"/>
      <c r="G113" s="89"/>
      <c r="H113" s="89"/>
      <c r="I113" s="90"/>
      <c r="J113" s="88" t="s">
        <v>13</v>
      </c>
      <c r="K113" s="89"/>
      <c r="L113" s="89"/>
      <c r="M113" s="90"/>
      <c r="N113" s="88" t="s">
        <v>22</v>
      </c>
      <c r="O113" s="89"/>
      <c r="P113" s="90"/>
      <c r="Q113" s="133">
        <v>2000</v>
      </c>
      <c r="R113" s="134"/>
      <c r="S113" s="5" t="s">
        <v>16</v>
      </c>
      <c r="T113" s="6"/>
      <c r="U113" s="6"/>
      <c r="V113" s="5" t="s">
        <v>106</v>
      </c>
      <c r="W113" s="12">
        <v>9999037</v>
      </c>
      <c r="X113" s="6"/>
      <c r="Y113" s="6"/>
    </row>
    <row r="114" spans="1:25" ht="15" customHeight="1" x14ac:dyDescent="0.2">
      <c r="A114" s="88" t="s">
        <v>19</v>
      </c>
      <c r="B114" s="90"/>
      <c r="C114" s="88" t="s">
        <v>238</v>
      </c>
      <c r="D114" s="90"/>
      <c r="E114" s="88" t="s">
        <v>239</v>
      </c>
      <c r="F114" s="89"/>
      <c r="G114" s="89"/>
      <c r="H114" s="89"/>
      <c r="I114" s="90"/>
      <c r="J114" s="88" t="s">
        <v>13</v>
      </c>
      <c r="K114" s="89"/>
      <c r="L114" s="89"/>
      <c r="M114" s="90"/>
      <c r="N114" s="88" t="s">
        <v>22</v>
      </c>
      <c r="O114" s="89"/>
      <c r="P114" s="90"/>
      <c r="Q114" s="133">
        <v>2000</v>
      </c>
      <c r="R114" s="134"/>
      <c r="S114" s="5" t="s">
        <v>16</v>
      </c>
      <c r="T114" s="6"/>
      <c r="U114" s="6"/>
      <c r="V114" s="5" t="s">
        <v>106</v>
      </c>
      <c r="W114" s="12">
        <v>18765814</v>
      </c>
      <c r="X114" s="6"/>
      <c r="Y114" s="6"/>
    </row>
    <row r="115" spans="1:25" ht="15" customHeight="1" x14ac:dyDescent="0.2">
      <c r="A115" s="88" t="s">
        <v>19</v>
      </c>
      <c r="B115" s="90"/>
      <c r="C115" s="88" t="s">
        <v>238</v>
      </c>
      <c r="D115" s="90"/>
      <c r="E115" s="88" t="s">
        <v>240</v>
      </c>
      <c r="F115" s="89"/>
      <c r="G115" s="89"/>
      <c r="H115" s="89"/>
      <c r="I115" s="90"/>
      <c r="J115" s="88" t="s">
        <v>13</v>
      </c>
      <c r="K115" s="89"/>
      <c r="L115" s="89"/>
      <c r="M115" s="90"/>
      <c r="N115" s="88" t="s">
        <v>26</v>
      </c>
      <c r="O115" s="89"/>
      <c r="P115" s="90"/>
      <c r="Q115" s="133">
        <v>2000</v>
      </c>
      <c r="R115" s="134"/>
      <c r="S115" s="5" t="s">
        <v>16</v>
      </c>
      <c r="T115" s="6"/>
      <c r="U115" s="6"/>
      <c r="V115" s="5" t="s">
        <v>17</v>
      </c>
      <c r="W115" s="12">
        <v>13120122</v>
      </c>
      <c r="X115" s="6"/>
      <c r="Y115" s="6"/>
    </row>
    <row r="116" spans="1:25" ht="15" customHeight="1" x14ac:dyDescent="0.2">
      <c r="A116" s="88" t="s">
        <v>19</v>
      </c>
      <c r="B116" s="90"/>
      <c r="C116" s="88" t="s">
        <v>238</v>
      </c>
      <c r="D116" s="90"/>
      <c r="E116" s="88" t="s">
        <v>241</v>
      </c>
      <c r="F116" s="89"/>
      <c r="G116" s="89"/>
      <c r="H116" s="89"/>
      <c r="I116" s="90"/>
      <c r="J116" s="88" t="s">
        <v>13</v>
      </c>
      <c r="K116" s="89"/>
      <c r="L116" s="89"/>
      <c r="M116" s="90"/>
      <c r="N116" s="88" t="s">
        <v>22</v>
      </c>
      <c r="O116" s="89"/>
      <c r="P116" s="90"/>
      <c r="Q116" s="133">
        <v>2000</v>
      </c>
      <c r="R116" s="134"/>
      <c r="S116" s="5" t="s">
        <v>16</v>
      </c>
      <c r="T116" s="6"/>
      <c r="U116" s="6"/>
      <c r="V116" s="5" t="s">
        <v>96</v>
      </c>
      <c r="W116" s="12">
        <v>12314204</v>
      </c>
      <c r="X116" s="6"/>
      <c r="Y116" s="6"/>
    </row>
    <row r="117" spans="1:25" ht="15" customHeight="1" x14ac:dyDescent="0.2">
      <c r="A117" s="88" t="s">
        <v>19</v>
      </c>
      <c r="B117" s="90"/>
      <c r="C117" s="88" t="s">
        <v>242</v>
      </c>
      <c r="D117" s="90"/>
      <c r="E117" s="88" t="s">
        <v>235</v>
      </c>
      <c r="F117" s="89"/>
      <c r="G117" s="89"/>
      <c r="H117" s="89"/>
      <c r="I117" s="90"/>
      <c r="J117" s="88" t="s">
        <v>13</v>
      </c>
      <c r="K117" s="89"/>
      <c r="L117" s="89"/>
      <c r="M117" s="90"/>
      <c r="N117" s="88" t="s">
        <v>22</v>
      </c>
      <c r="O117" s="89"/>
      <c r="P117" s="90"/>
      <c r="Q117" s="133">
        <v>2000</v>
      </c>
      <c r="R117" s="134"/>
      <c r="S117" s="5" t="s">
        <v>16</v>
      </c>
      <c r="T117" s="6"/>
      <c r="U117" s="6"/>
      <c r="V117" s="5" t="s">
        <v>106</v>
      </c>
      <c r="W117" s="12">
        <v>10922880</v>
      </c>
      <c r="X117" s="6"/>
      <c r="Y117" s="6"/>
    </row>
    <row r="118" spans="1:25" ht="15" customHeight="1" x14ac:dyDescent="0.2">
      <c r="A118" s="88" t="s">
        <v>19</v>
      </c>
      <c r="B118" s="90"/>
      <c r="C118" s="88" t="s">
        <v>243</v>
      </c>
      <c r="D118" s="90"/>
      <c r="E118" s="88" t="s">
        <v>244</v>
      </c>
      <c r="F118" s="89"/>
      <c r="G118" s="89"/>
      <c r="H118" s="89"/>
      <c r="I118" s="90"/>
      <c r="J118" s="88" t="s">
        <v>13</v>
      </c>
      <c r="K118" s="89"/>
      <c r="L118" s="89"/>
      <c r="M118" s="90"/>
      <c r="N118" s="88" t="s">
        <v>22</v>
      </c>
      <c r="O118" s="89"/>
      <c r="P118" s="90"/>
      <c r="Q118" s="133">
        <v>2000</v>
      </c>
      <c r="R118" s="134"/>
      <c r="S118" s="5" t="s">
        <v>16</v>
      </c>
      <c r="T118" s="6"/>
      <c r="U118" s="6"/>
      <c r="V118" s="5" t="s">
        <v>23</v>
      </c>
      <c r="W118" s="12">
        <v>11565279</v>
      </c>
      <c r="X118" s="6"/>
      <c r="Y118" s="6"/>
    </row>
    <row r="119" spans="1:25" ht="15" customHeight="1" x14ac:dyDescent="0.2">
      <c r="A119" s="88" t="s">
        <v>19</v>
      </c>
      <c r="B119" s="90"/>
      <c r="C119" s="88" t="s">
        <v>245</v>
      </c>
      <c r="D119" s="90"/>
      <c r="E119" s="88" t="s">
        <v>233</v>
      </c>
      <c r="F119" s="89"/>
      <c r="G119" s="89"/>
      <c r="H119" s="89"/>
      <c r="I119" s="90"/>
      <c r="J119" s="88" t="s">
        <v>13</v>
      </c>
      <c r="K119" s="89"/>
      <c r="L119" s="89"/>
      <c r="M119" s="90"/>
      <c r="N119" s="88" t="s">
        <v>22</v>
      </c>
      <c r="O119" s="89"/>
      <c r="P119" s="90"/>
      <c r="Q119" s="133">
        <v>2000</v>
      </c>
      <c r="R119" s="134"/>
      <c r="S119" s="5" t="s">
        <v>16</v>
      </c>
      <c r="T119" s="6"/>
      <c r="U119" s="6"/>
      <c r="V119" s="5" t="s">
        <v>23</v>
      </c>
      <c r="W119" s="12">
        <v>13447844</v>
      </c>
      <c r="X119" s="6"/>
      <c r="Y119" s="6"/>
    </row>
    <row r="120" spans="1:25" ht="15" customHeight="1" x14ac:dyDescent="0.2">
      <c r="A120" s="88" t="s">
        <v>19</v>
      </c>
      <c r="B120" s="90"/>
      <c r="C120" s="88" t="s">
        <v>246</v>
      </c>
      <c r="D120" s="90"/>
      <c r="E120" s="88" t="s">
        <v>235</v>
      </c>
      <c r="F120" s="89"/>
      <c r="G120" s="89"/>
      <c r="H120" s="89"/>
      <c r="I120" s="90"/>
      <c r="J120" s="88" t="s">
        <v>13</v>
      </c>
      <c r="K120" s="89"/>
      <c r="L120" s="89"/>
      <c r="M120" s="90"/>
      <c r="N120" s="88" t="s">
        <v>22</v>
      </c>
      <c r="O120" s="89"/>
      <c r="P120" s="90"/>
      <c r="Q120" s="133">
        <v>2000</v>
      </c>
      <c r="R120" s="134"/>
      <c r="S120" s="5" t="s">
        <v>16</v>
      </c>
      <c r="T120" s="6"/>
      <c r="U120" s="6"/>
      <c r="V120" s="5" t="s">
        <v>106</v>
      </c>
      <c r="W120" s="12">
        <v>10935545</v>
      </c>
      <c r="X120" s="6"/>
      <c r="Y120" s="6"/>
    </row>
    <row r="121" spans="1:25" ht="15" customHeight="1" x14ac:dyDescent="0.2">
      <c r="A121" s="88" t="s">
        <v>19</v>
      </c>
      <c r="B121" s="90"/>
      <c r="C121" s="88" t="s">
        <v>247</v>
      </c>
      <c r="D121" s="90"/>
      <c r="E121" s="88" t="s">
        <v>248</v>
      </c>
      <c r="F121" s="89"/>
      <c r="G121" s="89"/>
      <c r="H121" s="89"/>
      <c r="I121" s="90"/>
      <c r="J121" s="88" t="s">
        <v>13</v>
      </c>
      <c r="K121" s="89"/>
      <c r="L121" s="89"/>
      <c r="M121" s="90"/>
      <c r="N121" s="88" t="s">
        <v>22</v>
      </c>
      <c r="O121" s="89"/>
      <c r="P121" s="90"/>
      <c r="Q121" s="133">
        <v>2000</v>
      </c>
      <c r="R121" s="134"/>
      <c r="S121" s="5" t="s">
        <v>16</v>
      </c>
      <c r="T121" s="6"/>
      <c r="U121" s="6"/>
      <c r="V121" s="5" t="s">
        <v>23</v>
      </c>
      <c r="W121" s="12">
        <v>12068186</v>
      </c>
      <c r="X121" s="6"/>
      <c r="Y121" s="6"/>
    </row>
    <row r="122" spans="1:25" ht="15" customHeight="1" x14ac:dyDescent="0.2">
      <c r="A122" s="88" t="s">
        <v>19</v>
      </c>
      <c r="B122" s="90"/>
      <c r="C122" s="88" t="s">
        <v>249</v>
      </c>
      <c r="D122" s="90"/>
      <c r="E122" s="88" t="s">
        <v>250</v>
      </c>
      <c r="F122" s="89"/>
      <c r="G122" s="89"/>
      <c r="H122" s="89"/>
      <c r="I122" s="90"/>
      <c r="J122" s="88" t="s">
        <v>13</v>
      </c>
      <c r="K122" s="89"/>
      <c r="L122" s="89"/>
      <c r="M122" s="90"/>
      <c r="N122" s="88" t="s">
        <v>22</v>
      </c>
      <c r="O122" s="89"/>
      <c r="P122" s="90"/>
      <c r="Q122" s="133">
        <v>2000</v>
      </c>
      <c r="R122" s="134"/>
      <c r="S122" s="5" t="s">
        <v>16</v>
      </c>
      <c r="T122" s="6"/>
      <c r="U122" s="6"/>
      <c r="V122" s="5" t="s">
        <v>23</v>
      </c>
      <c r="W122" s="12">
        <v>14998556</v>
      </c>
      <c r="X122" s="6"/>
      <c r="Y122" s="6"/>
    </row>
    <row r="123" spans="1:25" ht="15" customHeight="1" x14ac:dyDescent="0.2">
      <c r="A123" s="88" t="s">
        <v>19</v>
      </c>
      <c r="B123" s="90"/>
      <c r="C123" s="88" t="s">
        <v>251</v>
      </c>
      <c r="D123" s="90"/>
      <c r="E123" s="88" t="s">
        <v>252</v>
      </c>
      <c r="F123" s="89"/>
      <c r="G123" s="89"/>
      <c r="H123" s="89"/>
      <c r="I123" s="90"/>
      <c r="J123" s="88" t="s">
        <v>13</v>
      </c>
      <c r="K123" s="89"/>
      <c r="L123" s="89"/>
      <c r="M123" s="90"/>
      <c r="N123" s="88" t="s">
        <v>22</v>
      </c>
      <c r="O123" s="89"/>
      <c r="P123" s="90"/>
      <c r="Q123" s="133">
        <v>3000</v>
      </c>
      <c r="R123" s="134"/>
      <c r="S123" s="5" t="s">
        <v>16</v>
      </c>
      <c r="T123" s="6"/>
      <c r="U123" s="6"/>
      <c r="V123" s="5" t="s">
        <v>23</v>
      </c>
      <c r="W123" s="12">
        <v>16805885</v>
      </c>
      <c r="X123" s="6"/>
      <c r="Y123" s="6"/>
    </row>
    <row r="124" spans="1:25" ht="15" customHeight="1" x14ac:dyDescent="0.2">
      <c r="A124" s="88" t="s">
        <v>19</v>
      </c>
      <c r="B124" s="90"/>
      <c r="C124" s="88" t="s">
        <v>253</v>
      </c>
      <c r="D124" s="90"/>
      <c r="E124" s="88" t="s">
        <v>254</v>
      </c>
      <c r="F124" s="89"/>
      <c r="G124" s="89"/>
      <c r="H124" s="89"/>
      <c r="I124" s="90"/>
      <c r="J124" s="88" t="s">
        <v>13</v>
      </c>
      <c r="K124" s="89"/>
      <c r="L124" s="89"/>
      <c r="M124" s="90"/>
      <c r="N124" s="88" t="s">
        <v>22</v>
      </c>
      <c r="O124" s="89"/>
      <c r="P124" s="90"/>
      <c r="Q124" s="133">
        <v>2000</v>
      </c>
      <c r="R124" s="134"/>
      <c r="S124" s="5" t="s">
        <v>16</v>
      </c>
      <c r="T124" s="6"/>
      <c r="U124" s="6"/>
      <c r="V124" s="5" t="s">
        <v>23</v>
      </c>
      <c r="W124" s="12">
        <v>15537453</v>
      </c>
      <c r="X124" s="6"/>
      <c r="Y124" s="6"/>
    </row>
    <row r="125" spans="1:25" ht="15" customHeight="1" x14ac:dyDescent="0.2">
      <c r="A125" s="88" t="s">
        <v>19</v>
      </c>
      <c r="B125" s="90"/>
      <c r="C125" s="88" t="s">
        <v>255</v>
      </c>
      <c r="D125" s="90"/>
      <c r="E125" s="88" t="s">
        <v>256</v>
      </c>
      <c r="F125" s="89"/>
      <c r="G125" s="89"/>
      <c r="H125" s="89"/>
      <c r="I125" s="90"/>
      <c r="J125" s="88" t="s">
        <v>13</v>
      </c>
      <c r="K125" s="89"/>
      <c r="L125" s="89"/>
      <c r="M125" s="90"/>
      <c r="N125" s="88" t="s">
        <v>22</v>
      </c>
      <c r="O125" s="89"/>
      <c r="P125" s="90"/>
      <c r="Q125" s="133">
        <v>3000</v>
      </c>
      <c r="R125" s="134"/>
      <c r="S125" s="5" t="s">
        <v>16</v>
      </c>
      <c r="T125" s="6"/>
      <c r="U125" s="6"/>
      <c r="V125" s="5" t="s">
        <v>23</v>
      </c>
      <c r="W125" s="12">
        <v>16333057</v>
      </c>
      <c r="X125" s="6"/>
      <c r="Y125" s="6"/>
    </row>
    <row r="126" spans="1:25" ht="15" customHeight="1" x14ac:dyDescent="0.2">
      <c r="A126" s="88" t="s">
        <v>19</v>
      </c>
      <c r="B126" s="90"/>
      <c r="C126" s="88" t="s">
        <v>257</v>
      </c>
      <c r="D126" s="90"/>
      <c r="E126" s="88" t="s">
        <v>258</v>
      </c>
      <c r="F126" s="89"/>
      <c r="G126" s="89"/>
      <c r="H126" s="89"/>
      <c r="I126" s="90"/>
      <c r="J126" s="88" t="s">
        <v>13</v>
      </c>
      <c r="K126" s="89"/>
      <c r="L126" s="89"/>
      <c r="M126" s="90"/>
      <c r="N126" s="88" t="s">
        <v>22</v>
      </c>
      <c r="O126" s="89"/>
      <c r="P126" s="90"/>
      <c r="Q126" s="133">
        <v>3000</v>
      </c>
      <c r="R126" s="134"/>
      <c r="S126" s="5" t="s">
        <v>16</v>
      </c>
      <c r="T126" s="6"/>
      <c r="U126" s="6"/>
      <c r="V126" s="5" t="s">
        <v>23</v>
      </c>
      <c r="W126" s="12">
        <v>12329666</v>
      </c>
      <c r="X126" s="6"/>
      <c r="Y126" s="6"/>
    </row>
    <row r="127" spans="1:25" ht="15" customHeight="1" x14ac:dyDescent="0.2">
      <c r="A127" s="88" t="s">
        <v>19</v>
      </c>
      <c r="B127" s="90"/>
      <c r="C127" s="88" t="s">
        <v>259</v>
      </c>
      <c r="D127" s="90"/>
      <c r="E127" s="88" t="s">
        <v>260</v>
      </c>
      <c r="F127" s="89"/>
      <c r="G127" s="89"/>
      <c r="H127" s="89"/>
      <c r="I127" s="90"/>
      <c r="J127" s="88" t="s">
        <v>13</v>
      </c>
      <c r="K127" s="89"/>
      <c r="L127" s="89"/>
      <c r="M127" s="90"/>
      <c r="N127" s="88" t="s">
        <v>22</v>
      </c>
      <c r="O127" s="89"/>
      <c r="P127" s="90"/>
      <c r="Q127" s="133">
        <v>3000</v>
      </c>
      <c r="R127" s="134"/>
      <c r="S127" s="5" t="s">
        <v>16</v>
      </c>
      <c r="T127" s="6"/>
      <c r="U127" s="6"/>
      <c r="V127" s="5" t="s">
        <v>106</v>
      </c>
      <c r="W127" s="12">
        <v>17156958</v>
      </c>
      <c r="X127" s="6"/>
      <c r="Y127" s="6"/>
    </row>
    <row r="128" spans="1:25" ht="15" customHeight="1" x14ac:dyDescent="0.2">
      <c r="A128" s="88" t="s">
        <v>19</v>
      </c>
      <c r="B128" s="90"/>
      <c r="C128" s="88" t="s">
        <v>261</v>
      </c>
      <c r="D128" s="90"/>
      <c r="E128" s="88" t="s">
        <v>262</v>
      </c>
      <c r="F128" s="89"/>
      <c r="G128" s="89"/>
      <c r="H128" s="89"/>
      <c r="I128" s="90"/>
      <c r="J128" s="88" t="s">
        <v>13</v>
      </c>
      <c r="K128" s="89"/>
      <c r="L128" s="89"/>
      <c r="M128" s="90"/>
      <c r="N128" s="88" t="s">
        <v>22</v>
      </c>
      <c r="O128" s="89"/>
      <c r="P128" s="90"/>
      <c r="Q128" s="133">
        <v>3000</v>
      </c>
      <c r="R128" s="134"/>
      <c r="S128" s="5" t="s">
        <v>16</v>
      </c>
      <c r="T128" s="6"/>
      <c r="U128" s="6"/>
      <c r="V128" s="5" t="s">
        <v>23</v>
      </c>
      <c r="W128" s="12">
        <v>16601737</v>
      </c>
      <c r="X128" s="6"/>
      <c r="Y128" s="6"/>
    </row>
    <row r="129" spans="1:25" ht="15" customHeight="1" x14ac:dyDescent="0.2">
      <c r="A129" s="88" t="s">
        <v>19</v>
      </c>
      <c r="B129" s="90"/>
      <c r="C129" s="88" t="s">
        <v>263</v>
      </c>
      <c r="D129" s="90"/>
      <c r="E129" s="106"/>
      <c r="F129" s="107"/>
      <c r="G129" s="107"/>
      <c r="H129" s="107"/>
      <c r="I129" s="108"/>
      <c r="J129" s="88" t="s">
        <v>13</v>
      </c>
      <c r="K129" s="89"/>
      <c r="L129" s="89"/>
      <c r="M129" s="90"/>
      <c r="N129" s="88" t="s">
        <v>22</v>
      </c>
      <c r="O129" s="89"/>
      <c r="P129" s="90"/>
      <c r="Q129" s="133">
        <v>3000</v>
      </c>
      <c r="R129" s="134"/>
      <c r="S129" s="5" t="s">
        <v>16</v>
      </c>
      <c r="T129" s="6"/>
      <c r="U129" s="6"/>
      <c r="V129" s="5" t="s">
        <v>23</v>
      </c>
      <c r="W129" s="12">
        <v>19018646</v>
      </c>
      <c r="X129" s="6"/>
      <c r="Y129" s="6"/>
    </row>
    <row r="130" spans="1:25" ht="15" customHeight="1" x14ac:dyDescent="0.2">
      <c r="A130" s="88" t="s">
        <v>19</v>
      </c>
      <c r="B130" s="90"/>
      <c r="C130" s="88" t="s">
        <v>264</v>
      </c>
      <c r="D130" s="90"/>
      <c r="E130" s="88" t="s">
        <v>265</v>
      </c>
      <c r="F130" s="89"/>
      <c r="G130" s="89"/>
      <c r="H130" s="89"/>
      <c r="I130" s="90"/>
      <c r="J130" s="88" t="s">
        <v>13</v>
      </c>
      <c r="K130" s="89"/>
      <c r="L130" s="89"/>
      <c r="M130" s="90"/>
      <c r="N130" s="88" t="s">
        <v>22</v>
      </c>
      <c r="O130" s="89"/>
      <c r="P130" s="90"/>
      <c r="Q130" s="133">
        <v>3000</v>
      </c>
      <c r="R130" s="134"/>
      <c r="S130" s="5" t="s">
        <v>16</v>
      </c>
      <c r="T130" s="6"/>
      <c r="U130" s="6"/>
      <c r="V130" s="5" t="s">
        <v>96</v>
      </c>
      <c r="W130" s="12">
        <v>21838461</v>
      </c>
      <c r="X130" s="6"/>
      <c r="Y130" s="6"/>
    </row>
    <row r="131" spans="1:25" ht="15" customHeight="1" x14ac:dyDescent="0.2">
      <c r="A131" s="88" t="s">
        <v>19</v>
      </c>
      <c r="B131" s="90"/>
      <c r="C131" s="88" t="s">
        <v>266</v>
      </c>
      <c r="D131" s="90"/>
      <c r="E131" s="88" t="s">
        <v>267</v>
      </c>
      <c r="F131" s="89"/>
      <c r="G131" s="89"/>
      <c r="H131" s="89"/>
      <c r="I131" s="90"/>
      <c r="J131" s="88" t="s">
        <v>13</v>
      </c>
      <c r="K131" s="89"/>
      <c r="L131" s="89"/>
      <c r="M131" s="90"/>
      <c r="N131" s="88" t="s">
        <v>22</v>
      </c>
      <c r="O131" s="89"/>
      <c r="P131" s="90"/>
      <c r="Q131" s="133">
        <v>3000</v>
      </c>
      <c r="R131" s="134"/>
      <c r="S131" s="5" t="s">
        <v>16</v>
      </c>
      <c r="T131" s="6"/>
      <c r="U131" s="6"/>
      <c r="V131" s="5" t="s">
        <v>106</v>
      </c>
      <c r="W131" s="12">
        <v>22824816</v>
      </c>
      <c r="X131" s="6"/>
      <c r="Y131" s="6"/>
    </row>
    <row r="132" spans="1:25" ht="15" customHeight="1" x14ac:dyDescent="0.2">
      <c r="A132" s="88" t="s">
        <v>19</v>
      </c>
      <c r="B132" s="90"/>
      <c r="C132" s="88" t="s">
        <v>268</v>
      </c>
      <c r="D132" s="90"/>
      <c r="E132" s="88" t="s">
        <v>269</v>
      </c>
      <c r="F132" s="89"/>
      <c r="G132" s="89"/>
      <c r="H132" s="89"/>
      <c r="I132" s="90"/>
      <c r="J132" s="88" t="s">
        <v>13</v>
      </c>
      <c r="K132" s="89"/>
      <c r="L132" s="89"/>
      <c r="M132" s="90"/>
      <c r="N132" s="88" t="s">
        <v>22</v>
      </c>
      <c r="O132" s="89"/>
      <c r="P132" s="90"/>
      <c r="Q132" s="88" t="s">
        <v>181</v>
      </c>
      <c r="R132" s="90"/>
      <c r="S132" s="5" t="s">
        <v>16</v>
      </c>
      <c r="T132" s="6"/>
      <c r="U132" s="6"/>
      <c r="V132" s="5" t="s">
        <v>17</v>
      </c>
      <c r="W132" s="12">
        <v>14091047</v>
      </c>
      <c r="X132" s="6"/>
      <c r="Y132" s="6"/>
    </row>
    <row r="133" spans="1:25" ht="15" customHeight="1" x14ac:dyDescent="0.2">
      <c r="A133" s="88" t="s">
        <v>19</v>
      </c>
      <c r="B133" s="90"/>
      <c r="C133" s="88" t="s">
        <v>270</v>
      </c>
      <c r="D133" s="90"/>
      <c r="E133" s="88" t="s">
        <v>269</v>
      </c>
      <c r="F133" s="89"/>
      <c r="G133" s="89"/>
      <c r="H133" s="89"/>
      <c r="I133" s="90"/>
      <c r="J133" s="88" t="s">
        <v>13</v>
      </c>
      <c r="K133" s="89"/>
      <c r="L133" s="89"/>
      <c r="M133" s="90"/>
      <c r="N133" s="88" t="s">
        <v>22</v>
      </c>
      <c r="O133" s="89"/>
      <c r="P133" s="90"/>
      <c r="Q133" s="88" t="s">
        <v>181</v>
      </c>
      <c r="R133" s="90"/>
      <c r="S133" s="5" t="s">
        <v>271</v>
      </c>
      <c r="T133" s="6"/>
      <c r="U133" s="6"/>
      <c r="V133" s="5" t="s">
        <v>23</v>
      </c>
      <c r="W133" s="12">
        <v>16031811</v>
      </c>
      <c r="X133" s="6"/>
      <c r="Y133" s="6"/>
    </row>
    <row r="134" spans="1:25" ht="15" customHeight="1" x14ac:dyDescent="0.2">
      <c r="A134" s="88" t="s">
        <v>19</v>
      </c>
      <c r="B134" s="90"/>
      <c r="C134" s="88" t="s">
        <v>270</v>
      </c>
      <c r="D134" s="90"/>
      <c r="E134" s="88" t="s">
        <v>269</v>
      </c>
      <c r="F134" s="89"/>
      <c r="G134" s="89"/>
      <c r="H134" s="89"/>
      <c r="I134" s="90"/>
      <c r="J134" s="88" t="s">
        <v>13</v>
      </c>
      <c r="K134" s="89"/>
      <c r="L134" s="89"/>
      <c r="M134" s="90"/>
      <c r="N134" s="88" t="s">
        <v>22</v>
      </c>
      <c r="O134" s="89"/>
      <c r="P134" s="90"/>
      <c r="Q134" s="88" t="s">
        <v>181</v>
      </c>
      <c r="R134" s="90"/>
      <c r="S134" s="5" t="s">
        <v>16</v>
      </c>
      <c r="T134" s="6"/>
      <c r="U134" s="6"/>
      <c r="V134" s="5" t="s">
        <v>17</v>
      </c>
      <c r="W134" s="12">
        <v>16031811</v>
      </c>
      <c r="X134" s="6"/>
      <c r="Y134" s="6"/>
    </row>
    <row r="135" spans="1:25" ht="15" customHeight="1" x14ac:dyDescent="0.2">
      <c r="A135" s="88" t="s">
        <v>19</v>
      </c>
      <c r="B135" s="90"/>
      <c r="C135" s="88" t="s">
        <v>272</v>
      </c>
      <c r="D135" s="90"/>
      <c r="E135" s="88" t="s">
        <v>273</v>
      </c>
      <c r="F135" s="89"/>
      <c r="G135" s="89"/>
      <c r="H135" s="89"/>
      <c r="I135" s="90"/>
      <c r="J135" s="88" t="s">
        <v>13</v>
      </c>
      <c r="K135" s="89"/>
      <c r="L135" s="89"/>
      <c r="M135" s="90"/>
      <c r="N135" s="88" t="s">
        <v>22</v>
      </c>
      <c r="O135" s="89"/>
      <c r="P135" s="90"/>
      <c r="Q135" s="133">
        <v>5200</v>
      </c>
      <c r="R135" s="134"/>
      <c r="S135" s="5" t="s">
        <v>271</v>
      </c>
      <c r="T135" s="6"/>
      <c r="U135" s="6"/>
      <c r="V135" s="5" t="s">
        <v>23</v>
      </c>
      <c r="W135" s="12">
        <v>78781073</v>
      </c>
      <c r="X135" s="6"/>
      <c r="Y135" s="6"/>
    </row>
    <row r="136" spans="1:25" ht="15" customHeight="1" x14ac:dyDescent="0.2">
      <c r="A136" s="88" t="s">
        <v>19</v>
      </c>
      <c r="B136" s="90"/>
      <c r="C136" s="88" t="s">
        <v>274</v>
      </c>
      <c r="D136" s="90"/>
      <c r="E136" s="88" t="s">
        <v>275</v>
      </c>
      <c r="F136" s="89"/>
      <c r="G136" s="89"/>
      <c r="H136" s="89"/>
      <c r="I136" s="90"/>
      <c r="J136" s="88" t="s">
        <v>13</v>
      </c>
      <c r="K136" s="89"/>
      <c r="L136" s="89"/>
      <c r="M136" s="90"/>
      <c r="N136" s="88" t="s">
        <v>22</v>
      </c>
      <c r="O136" s="89"/>
      <c r="P136" s="90"/>
      <c r="Q136" s="133">
        <v>5200</v>
      </c>
      <c r="R136" s="134"/>
      <c r="S136" s="5" t="s">
        <v>271</v>
      </c>
      <c r="T136" s="6"/>
      <c r="U136" s="6"/>
      <c r="V136" s="5" t="s">
        <v>23</v>
      </c>
      <c r="W136" s="12">
        <v>75636805</v>
      </c>
      <c r="X136" s="6"/>
      <c r="Y136" s="6"/>
    </row>
    <row r="137" spans="1:25" ht="15" customHeight="1" x14ac:dyDescent="0.2">
      <c r="A137" s="88" t="s">
        <v>19</v>
      </c>
      <c r="B137" s="90"/>
      <c r="C137" s="88" t="s">
        <v>276</v>
      </c>
      <c r="D137" s="90"/>
      <c r="E137" s="88" t="s">
        <v>277</v>
      </c>
      <c r="F137" s="89"/>
      <c r="G137" s="89"/>
      <c r="H137" s="89"/>
      <c r="I137" s="90"/>
      <c r="J137" s="88" t="s">
        <v>13</v>
      </c>
      <c r="K137" s="89"/>
      <c r="L137" s="89"/>
      <c r="M137" s="90"/>
      <c r="N137" s="88" t="s">
        <v>22</v>
      </c>
      <c r="O137" s="89"/>
      <c r="P137" s="90"/>
      <c r="Q137" s="133">
        <v>5200</v>
      </c>
      <c r="R137" s="134"/>
      <c r="S137" s="5" t="s">
        <v>271</v>
      </c>
      <c r="T137" s="6"/>
      <c r="U137" s="6"/>
      <c r="V137" s="5" t="s">
        <v>23</v>
      </c>
      <c r="W137" s="12">
        <v>93028529</v>
      </c>
      <c r="X137" s="6"/>
      <c r="Y137" s="6"/>
    </row>
    <row r="138" spans="1:25" ht="15" customHeight="1" x14ac:dyDescent="0.2">
      <c r="A138" s="88" t="s">
        <v>19</v>
      </c>
      <c r="B138" s="90"/>
      <c r="C138" s="88" t="s">
        <v>278</v>
      </c>
      <c r="D138" s="90"/>
      <c r="E138" s="88" t="s">
        <v>279</v>
      </c>
      <c r="F138" s="89"/>
      <c r="G138" s="89"/>
      <c r="H138" s="89"/>
      <c r="I138" s="90"/>
      <c r="J138" s="88" t="s">
        <v>13</v>
      </c>
      <c r="K138" s="89"/>
      <c r="L138" s="89"/>
      <c r="M138" s="90"/>
      <c r="N138" s="88" t="s">
        <v>22</v>
      </c>
      <c r="O138" s="89"/>
      <c r="P138" s="90"/>
      <c r="Q138" s="88" t="s">
        <v>181</v>
      </c>
      <c r="R138" s="90"/>
      <c r="S138" s="5" t="s">
        <v>271</v>
      </c>
      <c r="T138" s="6"/>
      <c r="U138" s="6"/>
      <c r="V138" s="5" t="s">
        <v>23</v>
      </c>
      <c r="W138" s="12">
        <v>68074087</v>
      </c>
      <c r="X138" s="6"/>
      <c r="Y138" s="6"/>
    </row>
    <row r="139" spans="1:25" ht="15" customHeight="1" x14ac:dyDescent="0.2">
      <c r="A139" s="88" t="s">
        <v>19</v>
      </c>
      <c r="B139" s="90"/>
      <c r="C139" s="88" t="s">
        <v>278</v>
      </c>
      <c r="D139" s="90"/>
      <c r="E139" s="88" t="s">
        <v>279</v>
      </c>
      <c r="F139" s="89"/>
      <c r="G139" s="89"/>
      <c r="H139" s="89"/>
      <c r="I139" s="90"/>
      <c r="J139" s="88" t="s">
        <v>13</v>
      </c>
      <c r="K139" s="89"/>
      <c r="L139" s="89"/>
      <c r="M139" s="90"/>
      <c r="N139" s="88" t="s">
        <v>22</v>
      </c>
      <c r="O139" s="89"/>
      <c r="P139" s="90"/>
      <c r="Q139" s="133">
        <v>5200</v>
      </c>
      <c r="R139" s="134"/>
      <c r="S139" s="5" t="s">
        <v>119</v>
      </c>
      <c r="T139" s="6"/>
      <c r="U139" s="6"/>
      <c r="V139" s="5" t="s">
        <v>23</v>
      </c>
      <c r="W139" s="12">
        <v>46091830</v>
      </c>
      <c r="X139" s="6"/>
      <c r="Y139" s="6"/>
    </row>
    <row r="140" spans="1:25" ht="15" customHeight="1" x14ac:dyDescent="0.2">
      <c r="A140" s="88" t="s">
        <v>19</v>
      </c>
      <c r="B140" s="90"/>
      <c r="C140" s="88" t="s">
        <v>280</v>
      </c>
      <c r="D140" s="90"/>
      <c r="E140" s="88" t="s">
        <v>275</v>
      </c>
      <c r="F140" s="89"/>
      <c r="G140" s="89"/>
      <c r="H140" s="89"/>
      <c r="I140" s="90"/>
      <c r="J140" s="88" t="s">
        <v>13</v>
      </c>
      <c r="K140" s="89"/>
      <c r="L140" s="89"/>
      <c r="M140" s="90"/>
      <c r="N140" s="88" t="s">
        <v>22</v>
      </c>
      <c r="O140" s="89"/>
      <c r="P140" s="90"/>
      <c r="Q140" s="133">
        <v>5200</v>
      </c>
      <c r="R140" s="134"/>
      <c r="S140" s="5" t="s">
        <v>271</v>
      </c>
      <c r="T140" s="6"/>
      <c r="U140" s="6"/>
      <c r="V140" s="5" t="s">
        <v>23</v>
      </c>
      <c r="W140" s="12">
        <v>79658152</v>
      </c>
      <c r="X140" s="6"/>
      <c r="Y140" s="6"/>
    </row>
    <row r="141" spans="1:25" ht="15" customHeight="1" x14ac:dyDescent="0.2">
      <c r="A141" s="88" t="s">
        <v>19</v>
      </c>
      <c r="B141" s="90"/>
      <c r="C141" s="88" t="s">
        <v>281</v>
      </c>
      <c r="D141" s="90"/>
      <c r="E141" s="88" t="s">
        <v>282</v>
      </c>
      <c r="F141" s="89"/>
      <c r="G141" s="89"/>
      <c r="H141" s="89"/>
      <c r="I141" s="90"/>
      <c r="J141" s="88" t="s">
        <v>13</v>
      </c>
      <c r="K141" s="89"/>
      <c r="L141" s="89"/>
      <c r="M141" s="90"/>
      <c r="N141" s="88" t="s">
        <v>22</v>
      </c>
      <c r="O141" s="89"/>
      <c r="P141" s="90"/>
      <c r="Q141" s="88" t="s">
        <v>181</v>
      </c>
      <c r="R141" s="90"/>
      <c r="S141" s="5" t="s">
        <v>44</v>
      </c>
      <c r="T141" s="6"/>
      <c r="U141" s="6"/>
      <c r="V141" s="5" t="s">
        <v>17</v>
      </c>
      <c r="W141" s="12">
        <v>21149084</v>
      </c>
      <c r="X141" s="6"/>
      <c r="Y141" s="6"/>
    </row>
    <row r="142" spans="1:25" ht="15" customHeight="1" x14ac:dyDescent="0.2">
      <c r="A142" s="88" t="s">
        <v>19</v>
      </c>
      <c r="B142" s="90"/>
      <c r="C142" s="88" t="s">
        <v>283</v>
      </c>
      <c r="D142" s="90"/>
      <c r="E142" s="88" t="s">
        <v>284</v>
      </c>
      <c r="F142" s="89"/>
      <c r="G142" s="89"/>
      <c r="H142" s="89"/>
      <c r="I142" s="90"/>
      <c r="J142" s="88" t="s">
        <v>13</v>
      </c>
      <c r="K142" s="89"/>
      <c r="L142" s="89"/>
      <c r="M142" s="90"/>
      <c r="N142" s="88" t="s">
        <v>22</v>
      </c>
      <c r="O142" s="89"/>
      <c r="P142" s="90"/>
      <c r="Q142" s="88" t="s">
        <v>181</v>
      </c>
      <c r="R142" s="90"/>
      <c r="S142" s="5" t="s">
        <v>44</v>
      </c>
      <c r="T142" s="6"/>
      <c r="U142" s="6"/>
      <c r="V142" s="5" t="s">
        <v>17</v>
      </c>
      <c r="W142" s="12">
        <v>19394023</v>
      </c>
      <c r="X142" s="6"/>
      <c r="Y142" s="6"/>
    </row>
    <row r="143" spans="1:25" ht="15" customHeight="1" x14ac:dyDescent="0.2">
      <c r="A143" s="88" t="s">
        <v>19</v>
      </c>
      <c r="B143" s="90"/>
      <c r="C143" s="88" t="s">
        <v>285</v>
      </c>
      <c r="D143" s="90"/>
      <c r="E143" s="88" t="s">
        <v>286</v>
      </c>
      <c r="F143" s="89"/>
      <c r="G143" s="89"/>
      <c r="H143" s="89"/>
      <c r="I143" s="90"/>
      <c r="J143" s="88" t="s">
        <v>13</v>
      </c>
      <c r="K143" s="89"/>
      <c r="L143" s="89"/>
      <c r="M143" s="90"/>
      <c r="N143" s="88" t="s">
        <v>22</v>
      </c>
      <c r="O143" s="89"/>
      <c r="P143" s="90"/>
      <c r="Q143" s="133">
        <v>2500</v>
      </c>
      <c r="R143" s="134"/>
      <c r="S143" s="5" t="s">
        <v>44</v>
      </c>
      <c r="T143" s="6"/>
      <c r="U143" s="6"/>
      <c r="V143" s="5" t="s">
        <v>23</v>
      </c>
      <c r="W143" s="12">
        <v>19875646</v>
      </c>
      <c r="X143" s="6"/>
      <c r="Y143" s="6"/>
    </row>
    <row r="144" spans="1:25" ht="15" customHeight="1" x14ac:dyDescent="0.2">
      <c r="A144" s="88" t="s">
        <v>19</v>
      </c>
      <c r="B144" s="90"/>
      <c r="C144" s="88" t="s">
        <v>287</v>
      </c>
      <c r="D144" s="90"/>
      <c r="E144" s="88" t="s">
        <v>288</v>
      </c>
      <c r="F144" s="89"/>
      <c r="G144" s="89"/>
      <c r="H144" s="89"/>
      <c r="I144" s="90"/>
      <c r="J144" s="88" t="s">
        <v>13</v>
      </c>
      <c r="K144" s="89"/>
      <c r="L144" s="89"/>
      <c r="M144" s="90"/>
      <c r="N144" s="88" t="s">
        <v>22</v>
      </c>
      <c r="O144" s="89"/>
      <c r="P144" s="90"/>
      <c r="Q144" s="133">
        <v>2500</v>
      </c>
      <c r="R144" s="134"/>
      <c r="S144" s="5" t="s">
        <v>44</v>
      </c>
      <c r="T144" s="6"/>
      <c r="U144" s="6"/>
      <c r="V144" s="5" t="s">
        <v>23</v>
      </c>
      <c r="W144" s="12">
        <v>14755458</v>
      </c>
      <c r="X144" s="6"/>
      <c r="Y144" s="6"/>
    </row>
    <row r="145" spans="1:25" ht="15" customHeight="1" x14ac:dyDescent="0.2">
      <c r="A145" s="88" t="s">
        <v>19</v>
      </c>
      <c r="B145" s="90"/>
      <c r="C145" s="88" t="s">
        <v>289</v>
      </c>
      <c r="D145" s="90"/>
      <c r="E145" s="88" t="s">
        <v>290</v>
      </c>
      <c r="F145" s="89"/>
      <c r="G145" s="89"/>
      <c r="H145" s="89"/>
      <c r="I145" s="90"/>
      <c r="J145" s="88" t="s">
        <v>13</v>
      </c>
      <c r="K145" s="89"/>
      <c r="L145" s="89"/>
      <c r="M145" s="90"/>
      <c r="N145" s="88" t="s">
        <v>22</v>
      </c>
      <c r="O145" s="89"/>
      <c r="P145" s="90"/>
      <c r="Q145" s="133">
        <v>2500</v>
      </c>
      <c r="R145" s="134"/>
      <c r="S145" s="5" t="s">
        <v>44</v>
      </c>
      <c r="T145" s="6"/>
      <c r="U145" s="6"/>
      <c r="V145" s="5" t="s">
        <v>23</v>
      </c>
      <c r="W145" s="12">
        <v>18325236</v>
      </c>
      <c r="X145" s="6"/>
      <c r="Y145" s="6"/>
    </row>
    <row r="146" spans="1:25" ht="15" customHeight="1" x14ac:dyDescent="0.2">
      <c r="A146" s="88" t="s">
        <v>19</v>
      </c>
      <c r="B146" s="90"/>
      <c r="C146" s="88" t="s">
        <v>291</v>
      </c>
      <c r="D146" s="90"/>
      <c r="E146" s="88" t="s">
        <v>292</v>
      </c>
      <c r="F146" s="89"/>
      <c r="G146" s="89"/>
      <c r="H146" s="89"/>
      <c r="I146" s="90"/>
      <c r="J146" s="88" t="s">
        <v>13</v>
      </c>
      <c r="K146" s="89"/>
      <c r="L146" s="89"/>
      <c r="M146" s="90"/>
      <c r="N146" s="88" t="s">
        <v>22</v>
      </c>
      <c r="O146" s="89"/>
      <c r="P146" s="90"/>
      <c r="Q146" s="133">
        <v>2500</v>
      </c>
      <c r="R146" s="134"/>
      <c r="S146" s="5" t="s">
        <v>44</v>
      </c>
      <c r="T146" s="6"/>
      <c r="U146" s="6"/>
      <c r="V146" s="5" t="s">
        <v>23</v>
      </c>
      <c r="W146" s="12">
        <v>20818346</v>
      </c>
      <c r="X146" s="6"/>
      <c r="Y146" s="6"/>
    </row>
    <row r="147" spans="1:25" ht="15" customHeight="1" x14ac:dyDescent="0.2">
      <c r="A147" s="88" t="s">
        <v>19</v>
      </c>
      <c r="B147" s="90"/>
      <c r="C147" s="88" t="s">
        <v>293</v>
      </c>
      <c r="D147" s="90"/>
      <c r="E147" s="88" t="s">
        <v>294</v>
      </c>
      <c r="F147" s="89"/>
      <c r="G147" s="89"/>
      <c r="H147" s="89"/>
      <c r="I147" s="90"/>
      <c r="J147" s="88" t="s">
        <v>13</v>
      </c>
      <c r="K147" s="89"/>
      <c r="L147" s="89"/>
      <c r="M147" s="90"/>
      <c r="N147" s="88" t="s">
        <v>22</v>
      </c>
      <c r="O147" s="89"/>
      <c r="P147" s="90"/>
      <c r="Q147" s="133">
        <v>4000</v>
      </c>
      <c r="R147" s="134"/>
      <c r="S147" s="5" t="s">
        <v>44</v>
      </c>
      <c r="T147" s="6"/>
      <c r="U147" s="6"/>
      <c r="V147" s="5" t="s">
        <v>96</v>
      </c>
      <c r="W147" s="12">
        <v>44201782</v>
      </c>
      <c r="X147" s="6"/>
      <c r="Y147" s="6"/>
    </row>
    <row r="148" spans="1:25" ht="15" customHeight="1" x14ac:dyDescent="0.2">
      <c r="A148" s="88" t="s">
        <v>19</v>
      </c>
      <c r="B148" s="90"/>
      <c r="C148" s="88" t="s">
        <v>295</v>
      </c>
      <c r="D148" s="90"/>
      <c r="E148" s="88" t="s">
        <v>296</v>
      </c>
      <c r="F148" s="89"/>
      <c r="G148" s="89"/>
      <c r="H148" s="89"/>
      <c r="I148" s="90"/>
      <c r="J148" s="88" t="s">
        <v>13</v>
      </c>
      <c r="K148" s="89"/>
      <c r="L148" s="89"/>
      <c r="M148" s="90"/>
      <c r="N148" s="88" t="s">
        <v>22</v>
      </c>
      <c r="O148" s="89"/>
      <c r="P148" s="90"/>
      <c r="Q148" s="133">
        <v>4000</v>
      </c>
      <c r="R148" s="134"/>
      <c r="S148" s="5" t="s">
        <v>44</v>
      </c>
      <c r="T148" s="6"/>
      <c r="U148" s="6"/>
      <c r="V148" s="5" t="s">
        <v>96</v>
      </c>
      <c r="W148" s="12">
        <v>50042117</v>
      </c>
      <c r="X148" s="6"/>
      <c r="Y148" s="6"/>
    </row>
    <row r="149" spans="1:25" ht="15" customHeight="1" x14ac:dyDescent="0.2">
      <c r="A149" s="88" t="s">
        <v>19</v>
      </c>
      <c r="B149" s="90"/>
      <c r="C149" s="88" t="s">
        <v>297</v>
      </c>
      <c r="D149" s="90"/>
      <c r="E149" s="88" t="s">
        <v>298</v>
      </c>
      <c r="F149" s="89"/>
      <c r="G149" s="89"/>
      <c r="H149" s="89"/>
      <c r="I149" s="90"/>
      <c r="J149" s="88" t="s">
        <v>13</v>
      </c>
      <c r="K149" s="89"/>
      <c r="L149" s="89"/>
      <c r="M149" s="90"/>
      <c r="N149" s="88" t="s">
        <v>22</v>
      </c>
      <c r="O149" s="89"/>
      <c r="P149" s="90"/>
      <c r="Q149" s="133">
        <v>2500</v>
      </c>
      <c r="R149" s="134"/>
      <c r="S149" s="5" t="s">
        <v>271</v>
      </c>
      <c r="T149" s="6"/>
      <c r="U149" s="6"/>
      <c r="V149" s="5" t="s">
        <v>23</v>
      </c>
      <c r="W149" s="12">
        <v>18198234</v>
      </c>
      <c r="X149" s="6"/>
      <c r="Y149" s="6"/>
    </row>
    <row r="150" spans="1:25" ht="15" customHeight="1" x14ac:dyDescent="0.2">
      <c r="A150" s="88" t="s">
        <v>19</v>
      </c>
      <c r="B150" s="90"/>
      <c r="C150" s="88" t="s">
        <v>299</v>
      </c>
      <c r="D150" s="90"/>
      <c r="E150" s="88" t="s">
        <v>300</v>
      </c>
      <c r="F150" s="89"/>
      <c r="G150" s="89"/>
      <c r="H150" s="89"/>
      <c r="I150" s="90"/>
      <c r="J150" s="88" t="s">
        <v>13</v>
      </c>
      <c r="K150" s="89"/>
      <c r="L150" s="89"/>
      <c r="M150" s="90"/>
      <c r="N150" s="88" t="s">
        <v>22</v>
      </c>
      <c r="O150" s="89"/>
      <c r="P150" s="90"/>
      <c r="Q150" s="133">
        <v>2500</v>
      </c>
      <c r="R150" s="134"/>
      <c r="S150" s="5" t="s">
        <v>271</v>
      </c>
      <c r="T150" s="6"/>
      <c r="U150" s="6"/>
      <c r="V150" s="5" t="s">
        <v>23</v>
      </c>
      <c r="W150" s="12">
        <v>25842682</v>
      </c>
      <c r="X150" s="6"/>
      <c r="Y150" s="6"/>
    </row>
    <row r="151" spans="1:25" ht="15" customHeight="1" x14ac:dyDescent="0.2">
      <c r="A151" s="88" t="s">
        <v>19</v>
      </c>
      <c r="B151" s="90"/>
      <c r="C151" s="88" t="s">
        <v>301</v>
      </c>
      <c r="D151" s="90"/>
      <c r="E151" s="88" t="s">
        <v>302</v>
      </c>
      <c r="F151" s="89"/>
      <c r="G151" s="89"/>
      <c r="H151" s="89"/>
      <c r="I151" s="90"/>
      <c r="J151" s="88" t="s">
        <v>13</v>
      </c>
      <c r="K151" s="89"/>
      <c r="L151" s="89"/>
      <c r="M151" s="90"/>
      <c r="N151" s="88" t="s">
        <v>22</v>
      </c>
      <c r="O151" s="89"/>
      <c r="P151" s="90"/>
      <c r="Q151" s="133">
        <v>2500</v>
      </c>
      <c r="R151" s="134"/>
      <c r="S151" s="5" t="s">
        <v>70</v>
      </c>
      <c r="T151" s="6"/>
      <c r="U151" s="6"/>
      <c r="V151" s="5" t="s">
        <v>23</v>
      </c>
      <c r="W151" s="12">
        <v>15309603</v>
      </c>
      <c r="X151" s="6"/>
      <c r="Y151" s="6"/>
    </row>
    <row r="152" spans="1:25" ht="15" customHeight="1" x14ac:dyDescent="0.2">
      <c r="A152" s="88" t="s">
        <v>19</v>
      </c>
      <c r="B152" s="90"/>
      <c r="C152" s="88" t="s">
        <v>303</v>
      </c>
      <c r="D152" s="90"/>
      <c r="E152" s="88" t="s">
        <v>304</v>
      </c>
      <c r="F152" s="89"/>
      <c r="G152" s="89"/>
      <c r="H152" s="89"/>
      <c r="I152" s="90"/>
      <c r="J152" s="88" t="s">
        <v>13</v>
      </c>
      <c r="K152" s="89"/>
      <c r="L152" s="89"/>
      <c r="M152" s="90"/>
      <c r="N152" s="88" t="s">
        <v>22</v>
      </c>
      <c r="O152" s="89"/>
      <c r="P152" s="90"/>
      <c r="Q152" s="133">
        <v>2500</v>
      </c>
      <c r="R152" s="134"/>
      <c r="S152" s="5" t="s">
        <v>70</v>
      </c>
      <c r="T152" s="6"/>
      <c r="U152" s="6"/>
      <c r="V152" s="5" t="s">
        <v>23</v>
      </c>
      <c r="W152" s="12">
        <v>8001280</v>
      </c>
      <c r="X152" s="6"/>
      <c r="Y152" s="6"/>
    </row>
    <row r="153" spans="1:25" ht="15" customHeight="1" x14ac:dyDescent="0.2">
      <c r="A153" s="88" t="s">
        <v>19</v>
      </c>
      <c r="B153" s="90"/>
      <c r="C153" s="88" t="s">
        <v>305</v>
      </c>
      <c r="D153" s="90"/>
      <c r="E153" s="88" t="s">
        <v>306</v>
      </c>
      <c r="F153" s="89"/>
      <c r="G153" s="89"/>
      <c r="H153" s="89"/>
      <c r="I153" s="90"/>
      <c r="J153" s="88" t="s">
        <v>13</v>
      </c>
      <c r="K153" s="89"/>
      <c r="L153" s="89"/>
      <c r="M153" s="90"/>
      <c r="N153" s="88" t="s">
        <v>22</v>
      </c>
      <c r="O153" s="89"/>
      <c r="P153" s="90"/>
      <c r="Q153" s="133">
        <v>2900</v>
      </c>
      <c r="R153" s="134"/>
      <c r="S153" s="5" t="s">
        <v>70</v>
      </c>
      <c r="T153" s="6"/>
      <c r="U153" s="6"/>
      <c r="V153" s="5" t="s">
        <v>23</v>
      </c>
      <c r="W153" s="10">
        <v>24958241</v>
      </c>
      <c r="X153" s="6"/>
      <c r="Y153" s="6"/>
    </row>
    <row r="154" spans="1:25" ht="15" customHeight="1" x14ac:dyDescent="0.2">
      <c r="A154" s="88" t="s">
        <v>19</v>
      </c>
      <c r="B154" s="90"/>
      <c r="C154" s="88" t="s">
        <v>307</v>
      </c>
      <c r="D154" s="90"/>
      <c r="E154" s="88" t="s">
        <v>308</v>
      </c>
      <c r="F154" s="89"/>
      <c r="G154" s="89"/>
      <c r="H154" s="89"/>
      <c r="I154" s="90"/>
      <c r="J154" s="88" t="s">
        <v>13</v>
      </c>
      <c r="K154" s="89"/>
      <c r="L154" s="89"/>
      <c r="M154" s="90"/>
      <c r="N154" s="88" t="s">
        <v>22</v>
      </c>
      <c r="O154" s="89"/>
      <c r="P154" s="90"/>
      <c r="Q154" s="133">
        <v>2900</v>
      </c>
      <c r="R154" s="134"/>
      <c r="S154" s="5" t="s">
        <v>70</v>
      </c>
      <c r="T154" s="6"/>
      <c r="U154" s="6"/>
      <c r="V154" s="5" t="s">
        <v>23</v>
      </c>
      <c r="W154" s="9">
        <v>27151401</v>
      </c>
      <c r="X154" s="6"/>
      <c r="Y154" s="6"/>
    </row>
    <row r="155" spans="1:25" ht="15" customHeight="1" x14ac:dyDescent="0.2">
      <c r="A155" s="88" t="s">
        <v>19</v>
      </c>
      <c r="B155" s="90"/>
      <c r="C155" s="88" t="s">
        <v>309</v>
      </c>
      <c r="D155" s="90"/>
      <c r="E155" s="88" t="s">
        <v>310</v>
      </c>
      <c r="F155" s="89"/>
      <c r="G155" s="89"/>
      <c r="H155" s="89"/>
      <c r="I155" s="90"/>
      <c r="J155" s="88" t="s">
        <v>13</v>
      </c>
      <c r="K155" s="89"/>
      <c r="L155" s="89"/>
      <c r="M155" s="90"/>
      <c r="N155" s="88" t="s">
        <v>22</v>
      </c>
      <c r="O155" s="89"/>
      <c r="P155" s="90"/>
      <c r="Q155" s="133">
        <v>2900</v>
      </c>
      <c r="R155" s="134"/>
      <c r="S155" s="5" t="s">
        <v>44</v>
      </c>
      <c r="T155" s="6"/>
      <c r="U155" s="6"/>
      <c r="V155" s="5" t="s">
        <v>23</v>
      </c>
      <c r="W155" s="10">
        <v>23449821</v>
      </c>
      <c r="X155" s="6"/>
      <c r="Y155" s="6"/>
    </row>
    <row r="156" spans="1:25" ht="15" customHeight="1" x14ac:dyDescent="0.2">
      <c r="A156" s="88" t="s">
        <v>19</v>
      </c>
      <c r="B156" s="90"/>
      <c r="C156" s="88" t="s">
        <v>311</v>
      </c>
      <c r="D156" s="90"/>
      <c r="E156" s="88" t="s">
        <v>312</v>
      </c>
      <c r="F156" s="89"/>
      <c r="G156" s="89"/>
      <c r="H156" s="89"/>
      <c r="I156" s="90"/>
      <c r="J156" s="88" t="s">
        <v>13</v>
      </c>
      <c r="K156" s="89"/>
      <c r="L156" s="89"/>
      <c r="M156" s="90"/>
      <c r="N156" s="88" t="s">
        <v>22</v>
      </c>
      <c r="O156" s="89"/>
      <c r="P156" s="90"/>
      <c r="Q156" s="133">
        <v>2900</v>
      </c>
      <c r="R156" s="134"/>
      <c r="S156" s="5" t="s">
        <v>44</v>
      </c>
      <c r="T156" s="6"/>
      <c r="U156" s="6"/>
      <c r="V156" s="5" t="s">
        <v>23</v>
      </c>
      <c r="W156" s="10">
        <v>22210232</v>
      </c>
      <c r="X156" s="6"/>
      <c r="Y156" s="6"/>
    </row>
    <row r="157" spans="1:25" ht="15" customHeight="1" x14ac:dyDescent="0.2">
      <c r="A157" s="88" t="s">
        <v>19</v>
      </c>
      <c r="B157" s="90"/>
      <c r="C157" s="88" t="s">
        <v>313</v>
      </c>
      <c r="D157" s="90"/>
      <c r="E157" s="88" t="s">
        <v>314</v>
      </c>
      <c r="F157" s="89"/>
      <c r="G157" s="89"/>
      <c r="H157" s="89"/>
      <c r="I157" s="90"/>
      <c r="J157" s="88" t="s">
        <v>13</v>
      </c>
      <c r="K157" s="89"/>
      <c r="L157" s="89"/>
      <c r="M157" s="90"/>
      <c r="N157" s="88" t="s">
        <v>22</v>
      </c>
      <c r="O157" s="89"/>
      <c r="P157" s="90"/>
      <c r="Q157" s="133">
        <v>2900</v>
      </c>
      <c r="R157" s="134"/>
      <c r="S157" s="5" t="s">
        <v>44</v>
      </c>
      <c r="T157" s="6"/>
      <c r="U157" s="6"/>
      <c r="V157" s="5" t="s">
        <v>23</v>
      </c>
      <c r="W157" s="10">
        <v>18708880</v>
      </c>
      <c r="X157" s="6"/>
      <c r="Y157" s="6"/>
    </row>
    <row r="158" spans="1:25" ht="15" customHeight="1" x14ac:dyDescent="0.2">
      <c r="A158" s="88" t="s">
        <v>19</v>
      </c>
      <c r="B158" s="90"/>
      <c r="C158" s="88" t="s">
        <v>315</v>
      </c>
      <c r="D158" s="90"/>
      <c r="E158" s="88" t="s">
        <v>316</v>
      </c>
      <c r="F158" s="89"/>
      <c r="G158" s="89"/>
      <c r="H158" s="89"/>
      <c r="I158" s="90"/>
      <c r="J158" s="88" t="s">
        <v>13</v>
      </c>
      <c r="K158" s="89"/>
      <c r="L158" s="89"/>
      <c r="M158" s="90"/>
      <c r="N158" s="88" t="s">
        <v>22</v>
      </c>
      <c r="O158" s="89"/>
      <c r="P158" s="90"/>
      <c r="Q158" s="133">
        <v>4000</v>
      </c>
      <c r="R158" s="134"/>
      <c r="S158" s="5" t="s">
        <v>44</v>
      </c>
      <c r="T158" s="6"/>
      <c r="U158" s="6"/>
      <c r="V158" s="5" t="s">
        <v>96</v>
      </c>
      <c r="W158" s="10">
        <v>40646357</v>
      </c>
      <c r="X158" s="6"/>
      <c r="Y158" s="6"/>
    </row>
    <row r="159" spans="1:25" ht="15" customHeight="1" x14ac:dyDescent="0.2">
      <c r="A159" s="88" t="s">
        <v>19</v>
      </c>
      <c r="B159" s="90"/>
      <c r="C159" s="88" t="s">
        <v>317</v>
      </c>
      <c r="D159" s="90"/>
      <c r="E159" s="88" t="s">
        <v>318</v>
      </c>
      <c r="F159" s="89"/>
      <c r="G159" s="89"/>
      <c r="H159" s="89"/>
      <c r="I159" s="90"/>
      <c r="J159" s="88" t="s">
        <v>13</v>
      </c>
      <c r="K159" s="89"/>
      <c r="L159" s="89"/>
      <c r="M159" s="90"/>
      <c r="N159" s="88" t="s">
        <v>22</v>
      </c>
      <c r="O159" s="89"/>
      <c r="P159" s="90"/>
      <c r="Q159" s="133">
        <v>4000</v>
      </c>
      <c r="R159" s="134"/>
      <c r="S159" s="5" t="s">
        <v>44</v>
      </c>
      <c r="T159" s="6"/>
      <c r="U159" s="6"/>
      <c r="V159" s="5" t="s">
        <v>96</v>
      </c>
      <c r="W159" s="10">
        <v>39529456</v>
      </c>
      <c r="X159" s="6"/>
      <c r="Y159" s="6"/>
    </row>
    <row r="160" spans="1:25" ht="15" customHeight="1" x14ac:dyDescent="0.2">
      <c r="A160" s="88" t="s">
        <v>19</v>
      </c>
      <c r="B160" s="90"/>
      <c r="C160" s="88" t="s">
        <v>319</v>
      </c>
      <c r="D160" s="90"/>
      <c r="E160" s="88" t="s">
        <v>320</v>
      </c>
      <c r="F160" s="89"/>
      <c r="G160" s="89"/>
      <c r="H160" s="89"/>
      <c r="I160" s="90"/>
      <c r="J160" s="88" t="s">
        <v>13</v>
      </c>
      <c r="K160" s="89"/>
      <c r="L160" s="89"/>
      <c r="M160" s="90"/>
      <c r="N160" s="88" t="s">
        <v>22</v>
      </c>
      <c r="O160" s="89"/>
      <c r="P160" s="90"/>
      <c r="Q160" s="133">
        <v>4000</v>
      </c>
      <c r="R160" s="134"/>
      <c r="S160" s="5" t="s">
        <v>44</v>
      </c>
      <c r="T160" s="6"/>
      <c r="U160" s="6"/>
      <c r="V160" s="5" t="s">
        <v>96</v>
      </c>
      <c r="W160" s="10">
        <v>32869610</v>
      </c>
      <c r="X160" s="6"/>
      <c r="Y160" s="6"/>
    </row>
    <row r="161" spans="1:25" ht="15" customHeight="1" x14ac:dyDescent="0.2">
      <c r="A161" s="88" t="s">
        <v>19</v>
      </c>
      <c r="B161" s="90"/>
      <c r="C161" s="88" t="s">
        <v>321</v>
      </c>
      <c r="D161" s="90"/>
      <c r="E161" s="88" t="s">
        <v>322</v>
      </c>
      <c r="F161" s="89"/>
      <c r="G161" s="89"/>
      <c r="H161" s="89"/>
      <c r="I161" s="90"/>
      <c r="J161" s="88" t="s">
        <v>13</v>
      </c>
      <c r="K161" s="89"/>
      <c r="L161" s="89"/>
      <c r="M161" s="90"/>
      <c r="N161" s="88" t="s">
        <v>22</v>
      </c>
      <c r="O161" s="89"/>
      <c r="P161" s="90"/>
      <c r="Q161" s="133">
        <v>4000</v>
      </c>
      <c r="R161" s="134"/>
      <c r="S161" s="5" t="s">
        <v>44</v>
      </c>
      <c r="T161" s="6"/>
      <c r="U161" s="6"/>
      <c r="V161" s="5" t="s">
        <v>23</v>
      </c>
      <c r="W161" s="9">
        <v>32173134</v>
      </c>
      <c r="X161" s="6"/>
      <c r="Y161" s="6"/>
    </row>
    <row r="162" spans="1:25" ht="15" customHeight="1" x14ac:dyDescent="0.2">
      <c r="A162" s="88" t="s">
        <v>19</v>
      </c>
      <c r="B162" s="90"/>
      <c r="C162" s="88" t="s">
        <v>323</v>
      </c>
      <c r="D162" s="90"/>
      <c r="E162" s="88" t="s">
        <v>324</v>
      </c>
      <c r="F162" s="89"/>
      <c r="G162" s="89"/>
      <c r="H162" s="89"/>
      <c r="I162" s="90"/>
      <c r="J162" s="88" t="s">
        <v>13</v>
      </c>
      <c r="K162" s="89"/>
      <c r="L162" s="89"/>
      <c r="M162" s="90"/>
      <c r="N162" s="88" t="s">
        <v>22</v>
      </c>
      <c r="O162" s="89"/>
      <c r="P162" s="90"/>
      <c r="Q162" s="133">
        <v>2000</v>
      </c>
      <c r="R162" s="134"/>
      <c r="S162" s="5" t="s">
        <v>44</v>
      </c>
      <c r="T162" s="6"/>
      <c r="U162" s="6"/>
      <c r="V162" s="5" t="s">
        <v>23</v>
      </c>
      <c r="W162" s="10">
        <v>10356033</v>
      </c>
      <c r="X162" s="6"/>
      <c r="Y162" s="6"/>
    </row>
    <row r="163" spans="1:25" ht="15" customHeight="1" x14ac:dyDescent="0.2">
      <c r="A163" s="88" t="s">
        <v>19</v>
      </c>
      <c r="B163" s="90"/>
      <c r="C163" s="88" t="s">
        <v>325</v>
      </c>
      <c r="D163" s="90"/>
      <c r="E163" s="88" t="s">
        <v>326</v>
      </c>
      <c r="F163" s="89"/>
      <c r="G163" s="89"/>
      <c r="H163" s="89"/>
      <c r="I163" s="90"/>
      <c r="J163" s="88" t="s">
        <v>13</v>
      </c>
      <c r="K163" s="89"/>
      <c r="L163" s="89"/>
      <c r="M163" s="90"/>
      <c r="N163" s="88" t="s">
        <v>22</v>
      </c>
      <c r="O163" s="89"/>
      <c r="P163" s="90"/>
      <c r="Q163" s="133">
        <v>2000</v>
      </c>
      <c r="R163" s="134"/>
      <c r="S163" s="5" t="s">
        <v>44</v>
      </c>
      <c r="T163" s="6"/>
      <c r="U163" s="6"/>
      <c r="V163" s="5" t="s">
        <v>23</v>
      </c>
      <c r="W163" s="9">
        <v>9999037</v>
      </c>
      <c r="X163" s="6"/>
      <c r="Y163" s="6"/>
    </row>
    <row r="164" spans="1:25" ht="15" customHeight="1" x14ac:dyDescent="0.2">
      <c r="A164" s="88" t="s">
        <v>19</v>
      </c>
      <c r="B164" s="90"/>
      <c r="C164" s="88" t="s">
        <v>327</v>
      </c>
      <c r="D164" s="90"/>
      <c r="E164" s="88" t="s">
        <v>328</v>
      </c>
      <c r="F164" s="89"/>
      <c r="G164" s="89"/>
      <c r="H164" s="89"/>
      <c r="I164" s="90"/>
      <c r="J164" s="88" t="s">
        <v>13</v>
      </c>
      <c r="K164" s="89"/>
      <c r="L164" s="89"/>
      <c r="M164" s="90"/>
      <c r="N164" s="88" t="s">
        <v>22</v>
      </c>
      <c r="O164" s="89"/>
      <c r="P164" s="90"/>
      <c r="Q164" s="133">
        <v>2000</v>
      </c>
      <c r="R164" s="134"/>
      <c r="S164" s="5" t="s">
        <v>44</v>
      </c>
      <c r="T164" s="6"/>
      <c r="U164" s="6"/>
      <c r="V164" s="5" t="s">
        <v>23</v>
      </c>
      <c r="W164" s="9">
        <v>11837577</v>
      </c>
      <c r="X164" s="6"/>
      <c r="Y164" s="6"/>
    </row>
    <row r="165" spans="1:25" ht="15" customHeight="1" x14ac:dyDescent="0.2">
      <c r="A165" s="88" t="s">
        <v>19</v>
      </c>
      <c r="B165" s="90"/>
      <c r="C165" s="88" t="s">
        <v>329</v>
      </c>
      <c r="D165" s="90"/>
      <c r="E165" s="88" t="s">
        <v>330</v>
      </c>
      <c r="F165" s="89"/>
      <c r="G165" s="89"/>
      <c r="H165" s="89"/>
      <c r="I165" s="90"/>
      <c r="J165" s="88" t="s">
        <v>13</v>
      </c>
      <c r="K165" s="89"/>
      <c r="L165" s="89"/>
      <c r="M165" s="90"/>
      <c r="N165" s="88" t="s">
        <v>22</v>
      </c>
      <c r="O165" s="89"/>
      <c r="P165" s="90"/>
      <c r="Q165" s="133">
        <v>3000</v>
      </c>
      <c r="R165" s="134"/>
      <c r="S165" s="5" t="s">
        <v>44</v>
      </c>
      <c r="T165" s="6"/>
      <c r="U165" s="6"/>
      <c r="V165" s="5" t="s">
        <v>23</v>
      </c>
      <c r="W165" s="10">
        <v>13860664</v>
      </c>
      <c r="X165" s="6"/>
      <c r="Y165" s="6"/>
    </row>
    <row r="166" spans="1:25" ht="15" customHeight="1" x14ac:dyDescent="0.2">
      <c r="A166" s="88" t="s">
        <v>19</v>
      </c>
      <c r="B166" s="90"/>
      <c r="C166" s="88" t="s">
        <v>331</v>
      </c>
      <c r="D166" s="90"/>
      <c r="E166" s="88" t="s">
        <v>332</v>
      </c>
      <c r="F166" s="89"/>
      <c r="G166" s="89"/>
      <c r="H166" s="89"/>
      <c r="I166" s="90"/>
      <c r="J166" s="88" t="s">
        <v>13</v>
      </c>
      <c r="K166" s="89"/>
      <c r="L166" s="89"/>
      <c r="M166" s="90"/>
      <c r="N166" s="88" t="s">
        <v>22</v>
      </c>
      <c r="O166" s="89"/>
      <c r="P166" s="90"/>
      <c r="Q166" s="133">
        <v>3000</v>
      </c>
      <c r="R166" s="134"/>
      <c r="S166" s="5" t="s">
        <v>44</v>
      </c>
      <c r="T166" s="6"/>
      <c r="U166" s="6"/>
      <c r="V166" s="5" t="s">
        <v>23</v>
      </c>
      <c r="W166" s="10">
        <v>14870006</v>
      </c>
      <c r="X166" s="6"/>
      <c r="Y166" s="6"/>
    </row>
    <row r="167" spans="1:25" ht="15" customHeight="1" x14ac:dyDescent="0.2">
      <c r="A167" s="88" t="s">
        <v>19</v>
      </c>
      <c r="B167" s="90"/>
      <c r="C167" s="88" t="s">
        <v>333</v>
      </c>
      <c r="D167" s="90"/>
      <c r="E167" s="88" t="s">
        <v>334</v>
      </c>
      <c r="F167" s="89"/>
      <c r="G167" s="89"/>
      <c r="H167" s="89"/>
      <c r="I167" s="90"/>
      <c r="J167" s="88" t="s">
        <v>13</v>
      </c>
      <c r="K167" s="89"/>
      <c r="L167" s="89"/>
      <c r="M167" s="90"/>
      <c r="N167" s="88" t="s">
        <v>22</v>
      </c>
      <c r="O167" s="89"/>
      <c r="P167" s="90"/>
      <c r="Q167" s="133">
        <v>3000</v>
      </c>
      <c r="R167" s="134"/>
      <c r="S167" s="5" t="s">
        <v>44</v>
      </c>
      <c r="T167" s="6"/>
      <c r="U167" s="6"/>
      <c r="V167" s="5" t="s">
        <v>23</v>
      </c>
      <c r="W167" s="10">
        <v>27354645</v>
      </c>
      <c r="X167" s="6"/>
      <c r="Y167" s="6"/>
    </row>
    <row r="168" spans="1:25" ht="15" customHeight="1" x14ac:dyDescent="0.2">
      <c r="A168" s="88" t="s">
        <v>19</v>
      </c>
      <c r="B168" s="90"/>
      <c r="C168" s="88" t="s">
        <v>335</v>
      </c>
      <c r="D168" s="90"/>
      <c r="E168" s="88" t="s">
        <v>336</v>
      </c>
      <c r="F168" s="89"/>
      <c r="G168" s="89"/>
      <c r="H168" s="89"/>
      <c r="I168" s="90"/>
      <c r="J168" s="88" t="s">
        <v>13</v>
      </c>
      <c r="K168" s="89"/>
      <c r="L168" s="89"/>
      <c r="M168" s="90"/>
      <c r="N168" s="88" t="s">
        <v>22</v>
      </c>
      <c r="O168" s="89"/>
      <c r="P168" s="90"/>
      <c r="Q168" s="133">
        <v>3000</v>
      </c>
      <c r="R168" s="134"/>
      <c r="S168" s="5" t="s">
        <v>44</v>
      </c>
      <c r="T168" s="6"/>
      <c r="U168" s="6"/>
      <c r="V168" s="5" t="s">
        <v>23</v>
      </c>
      <c r="W168" s="10">
        <v>26600774</v>
      </c>
      <c r="X168" s="6"/>
      <c r="Y168" s="6"/>
    </row>
    <row r="169" spans="1:25" ht="15" customHeight="1" x14ac:dyDescent="0.2">
      <c r="A169" s="88" t="s">
        <v>19</v>
      </c>
      <c r="B169" s="90"/>
      <c r="C169" s="88" t="s">
        <v>337</v>
      </c>
      <c r="D169" s="90"/>
      <c r="E169" s="88" t="s">
        <v>338</v>
      </c>
      <c r="F169" s="89"/>
      <c r="G169" s="89"/>
      <c r="H169" s="89"/>
      <c r="I169" s="90"/>
      <c r="J169" s="88" t="s">
        <v>13</v>
      </c>
      <c r="K169" s="89"/>
      <c r="L169" s="89"/>
      <c r="M169" s="90"/>
      <c r="N169" s="88" t="s">
        <v>22</v>
      </c>
      <c r="O169" s="89"/>
      <c r="P169" s="90"/>
      <c r="Q169" s="133">
        <v>3000</v>
      </c>
      <c r="R169" s="134"/>
      <c r="S169" s="5" t="s">
        <v>44</v>
      </c>
      <c r="T169" s="6"/>
      <c r="U169" s="6"/>
      <c r="V169" s="5" t="s">
        <v>23</v>
      </c>
      <c r="W169" s="9">
        <v>16133659</v>
      </c>
      <c r="X169" s="6"/>
      <c r="Y169" s="6"/>
    </row>
    <row r="170" spans="1:25" ht="15" customHeight="1" x14ac:dyDescent="0.2">
      <c r="A170" s="88" t="s">
        <v>19</v>
      </c>
      <c r="B170" s="90"/>
      <c r="C170" s="88" t="s">
        <v>339</v>
      </c>
      <c r="D170" s="90"/>
      <c r="E170" s="88" t="s">
        <v>340</v>
      </c>
      <c r="F170" s="89"/>
      <c r="G170" s="89"/>
      <c r="H170" s="89"/>
      <c r="I170" s="90"/>
      <c r="J170" s="88" t="s">
        <v>13</v>
      </c>
      <c r="K170" s="89"/>
      <c r="L170" s="89"/>
      <c r="M170" s="90"/>
      <c r="N170" s="88" t="s">
        <v>22</v>
      </c>
      <c r="O170" s="89"/>
      <c r="P170" s="90"/>
      <c r="Q170" s="133">
        <v>2900</v>
      </c>
      <c r="R170" s="134"/>
      <c r="S170" s="5" t="s">
        <v>44</v>
      </c>
      <c r="T170" s="6"/>
      <c r="U170" s="6"/>
      <c r="V170" s="5" t="s">
        <v>96</v>
      </c>
      <c r="W170" s="10">
        <v>17888081</v>
      </c>
      <c r="X170" s="6"/>
      <c r="Y170" s="6"/>
    </row>
    <row r="171" spans="1:25" ht="15" customHeight="1" x14ac:dyDescent="0.2">
      <c r="A171" s="88" t="s">
        <v>19</v>
      </c>
      <c r="B171" s="90"/>
      <c r="C171" s="88" t="s">
        <v>341</v>
      </c>
      <c r="D171" s="90"/>
      <c r="E171" s="88" t="s">
        <v>342</v>
      </c>
      <c r="F171" s="89"/>
      <c r="G171" s="89"/>
      <c r="H171" s="89"/>
      <c r="I171" s="90"/>
      <c r="J171" s="88" t="s">
        <v>13</v>
      </c>
      <c r="K171" s="89"/>
      <c r="L171" s="89"/>
      <c r="M171" s="90"/>
      <c r="N171" s="88" t="s">
        <v>22</v>
      </c>
      <c r="O171" s="89"/>
      <c r="P171" s="90"/>
      <c r="Q171" s="133">
        <v>2900</v>
      </c>
      <c r="R171" s="134"/>
      <c r="S171" s="5" t="s">
        <v>44</v>
      </c>
      <c r="T171" s="6"/>
      <c r="U171" s="6"/>
      <c r="V171" s="5" t="s">
        <v>96</v>
      </c>
      <c r="W171" s="10">
        <v>24160998</v>
      </c>
      <c r="X171" s="6"/>
      <c r="Y171" s="6"/>
    </row>
    <row r="172" spans="1:25" ht="15" customHeight="1" x14ac:dyDescent="0.2">
      <c r="A172" s="88" t="s">
        <v>19</v>
      </c>
      <c r="B172" s="90"/>
      <c r="C172" s="88" t="s">
        <v>343</v>
      </c>
      <c r="D172" s="90"/>
      <c r="E172" s="88" t="s">
        <v>344</v>
      </c>
      <c r="F172" s="89"/>
      <c r="G172" s="89"/>
      <c r="H172" s="89"/>
      <c r="I172" s="90"/>
      <c r="J172" s="88" t="s">
        <v>13</v>
      </c>
      <c r="K172" s="89"/>
      <c r="L172" s="89"/>
      <c r="M172" s="90"/>
      <c r="N172" s="88" t="s">
        <v>22</v>
      </c>
      <c r="O172" s="89"/>
      <c r="P172" s="90"/>
      <c r="Q172" s="133">
        <v>2900</v>
      </c>
      <c r="R172" s="134"/>
      <c r="S172" s="5" t="s">
        <v>44</v>
      </c>
      <c r="T172" s="6"/>
      <c r="U172" s="6"/>
      <c r="V172" s="5" t="s">
        <v>23</v>
      </c>
      <c r="W172" s="10">
        <v>22463884</v>
      </c>
      <c r="X172" s="6"/>
      <c r="Y172" s="6"/>
    </row>
    <row r="173" spans="1:25" ht="15" customHeight="1" x14ac:dyDescent="0.2">
      <c r="A173" s="88" t="s">
        <v>19</v>
      </c>
      <c r="B173" s="90"/>
      <c r="C173" s="88" t="s">
        <v>345</v>
      </c>
      <c r="D173" s="90"/>
      <c r="E173" s="88" t="s">
        <v>346</v>
      </c>
      <c r="F173" s="89"/>
      <c r="G173" s="89"/>
      <c r="H173" s="89"/>
      <c r="I173" s="90"/>
      <c r="J173" s="88" t="s">
        <v>13</v>
      </c>
      <c r="K173" s="89"/>
      <c r="L173" s="89"/>
      <c r="M173" s="90"/>
      <c r="N173" s="88" t="s">
        <v>22</v>
      </c>
      <c r="O173" s="89"/>
      <c r="P173" s="90"/>
      <c r="Q173" s="133">
        <v>2900</v>
      </c>
      <c r="R173" s="134"/>
      <c r="S173" s="5" t="s">
        <v>44</v>
      </c>
      <c r="T173" s="6"/>
      <c r="U173" s="6"/>
      <c r="V173" s="5" t="s">
        <v>96</v>
      </c>
      <c r="W173" s="10">
        <v>26233488</v>
      </c>
      <c r="X173" s="6"/>
      <c r="Y173" s="6"/>
    </row>
    <row r="174" spans="1:25" ht="15" customHeight="1" x14ac:dyDescent="0.2">
      <c r="A174" s="88" t="s">
        <v>19</v>
      </c>
      <c r="B174" s="90"/>
      <c r="C174" s="88" t="s">
        <v>347</v>
      </c>
      <c r="D174" s="90"/>
      <c r="E174" s="88" t="s">
        <v>348</v>
      </c>
      <c r="F174" s="89"/>
      <c r="G174" s="89"/>
      <c r="H174" s="89"/>
      <c r="I174" s="90"/>
      <c r="J174" s="88" t="s">
        <v>13</v>
      </c>
      <c r="K174" s="89"/>
      <c r="L174" s="89"/>
      <c r="M174" s="90"/>
      <c r="N174" s="88" t="s">
        <v>22</v>
      </c>
      <c r="O174" s="89"/>
      <c r="P174" s="90"/>
      <c r="Q174" s="133">
        <v>2000</v>
      </c>
      <c r="R174" s="134"/>
      <c r="S174" s="5" t="s">
        <v>70</v>
      </c>
      <c r="T174" s="6"/>
      <c r="U174" s="6"/>
      <c r="V174" s="5" t="s">
        <v>23</v>
      </c>
      <c r="W174" s="10">
        <v>10265907</v>
      </c>
      <c r="X174" s="6"/>
      <c r="Y174" s="6"/>
    </row>
    <row r="175" spans="1:25" ht="15" customHeight="1" x14ac:dyDescent="0.2">
      <c r="A175" s="88" t="s">
        <v>19</v>
      </c>
      <c r="B175" s="90"/>
      <c r="C175" s="88" t="s">
        <v>349</v>
      </c>
      <c r="D175" s="90"/>
      <c r="E175" s="88" t="s">
        <v>350</v>
      </c>
      <c r="F175" s="89"/>
      <c r="G175" s="89"/>
      <c r="H175" s="89"/>
      <c r="I175" s="90"/>
      <c r="J175" s="88" t="s">
        <v>13</v>
      </c>
      <c r="K175" s="89"/>
      <c r="L175" s="89"/>
      <c r="M175" s="90"/>
      <c r="N175" s="88" t="s">
        <v>22</v>
      </c>
      <c r="O175" s="89"/>
      <c r="P175" s="90"/>
      <c r="Q175" s="133">
        <v>2000</v>
      </c>
      <c r="R175" s="134"/>
      <c r="S175" s="5" t="s">
        <v>70</v>
      </c>
      <c r="T175" s="6"/>
      <c r="U175" s="6"/>
      <c r="V175" s="5" t="s">
        <v>23</v>
      </c>
      <c r="W175" s="10">
        <v>13256529</v>
      </c>
      <c r="X175" s="6"/>
      <c r="Y175" s="6"/>
    </row>
    <row r="176" spans="1:25" ht="15" customHeight="1" x14ac:dyDescent="0.2">
      <c r="A176" s="88" t="s">
        <v>19</v>
      </c>
      <c r="B176" s="90"/>
      <c r="C176" s="88" t="s">
        <v>351</v>
      </c>
      <c r="D176" s="90"/>
      <c r="E176" s="88" t="s">
        <v>352</v>
      </c>
      <c r="F176" s="89"/>
      <c r="G176" s="89"/>
      <c r="H176" s="89"/>
      <c r="I176" s="90"/>
      <c r="J176" s="88" t="s">
        <v>13</v>
      </c>
      <c r="K176" s="89"/>
      <c r="L176" s="89"/>
      <c r="M176" s="90"/>
      <c r="N176" s="88" t="s">
        <v>22</v>
      </c>
      <c r="O176" s="89"/>
      <c r="P176" s="90"/>
      <c r="Q176" s="133">
        <v>3000</v>
      </c>
      <c r="R176" s="134"/>
      <c r="S176" s="5" t="s">
        <v>70</v>
      </c>
      <c r="T176" s="6"/>
      <c r="U176" s="6"/>
      <c r="V176" s="5" t="s">
        <v>23</v>
      </c>
      <c r="W176" s="9">
        <v>14174274</v>
      </c>
      <c r="X176" s="6"/>
      <c r="Y176" s="6"/>
    </row>
    <row r="177" spans="1:25" ht="15" customHeight="1" x14ac:dyDescent="0.2">
      <c r="A177" s="88" t="s">
        <v>19</v>
      </c>
      <c r="B177" s="90"/>
      <c r="C177" s="88" t="s">
        <v>353</v>
      </c>
      <c r="D177" s="90"/>
      <c r="E177" s="88" t="s">
        <v>354</v>
      </c>
      <c r="F177" s="89"/>
      <c r="G177" s="89"/>
      <c r="H177" s="89"/>
      <c r="I177" s="90"/>
      <c r="J177" s="88" t="s">
        <v>13</v>
      </c>
      <c r="K177" s="89"/>
      <c r="L177" s="89"/>
      <c r="M177" s="90"/>
      <c r="N177" s="88" t="s">
        <v>22</v>
      </c>
      <c r="O177" s="89"/>
      <c r="P177" s="90"/>
      <c r="Q177" s="133">
        <v>3000</v>
      </c>
      <c r="R177" s="134"/>
      <c r="S177" s="5" t="s">
        <v>70</v>
      </c>
      <c r="T177" s="6"/>
      <c r="U177" s="6"/>
      <c r="V177" s="5" t="s">
        <v>23</v>
      </c>
      <c r="W177" s="10">
        <v>16098302</v>
      </c>
      <c r="X177" s="6"/>
      <c r="Y177" s="6"/>
    </row>
    <row r="178" spans="1:25" ht="15" customHeight="1" x14ac:dyDescent="0.2">
      <c r="A178" s="88" t="s">
        <v>19</v>
      </c>
      <c r="B178" s="90"/>
      <c r="C178" s="88" t="s">
        <v>355</v>
      </c>
      <c r="D178" s="90"/>
      <c r="E178" s="88" t="s">
        <v>356</v>
      </c>
      <c r="F178" s="89"/>
      <c r="G178" s="89"/>
      <c r="H178" s="89"/>
      <c r="I178" s="90"/>
      <c r="J178" s="88" t="s">
        <v>13</v>
      </c>
      <c r="K178" s="89"/>
      <c r="L178" s="89"/>
      <c r="M178" s="90"/>
      <c r="N178" s="88" t="s">
        <v>22</v>
      </c>
      <c r="O178" s="89"/>
      <c r="P178" s="90"/>
      <c r="Q178" s="133">
        <v>3000</v>
      </c>
      <c r="R178" s="134"/>
      <c r="S178" s="5" t="s">
        <v>70</v>
      </c>
      <c r="T178" s="6"/>
      <c r="U178" s="6"/>
      <c r="V178" s="5" t="s">
        <v>23</v>
      </c>
      <c r="W178" s="9">
        <v>16005777</v>
      </c>
      <c r="X178" s="6"/>
      <c r="Y178" s="6"/>
    </row>
    <row r="179" spans="1:25" ht="15" customHeight="1" x14ac:dyDescent="0.2">
      <c r="A179" s="88" t="s">
        <v>19</v>
      </c>
      <c r="B179" s="90"/>
      <c r="C179" s="88" t="s">
        <v>357</v>
      </c>
      <c r="D179" s="90"/>
      <c r="E179" s="88" t="s">
        <v>358</v>
      </c>
      <c r="F179" s="89"/>
      <c r="G179" s="89"/>
      <c r="H179" s="89"/>
      <c r="I179" s="90"/>
      <c r="J179" s="88" t="s">
        <v>13</v>
      </c>
      <c r="K179" s="89"/>
      <c r="L179" s="89"/>
      <c r="M179" s="90"/>
      <c r="N179" s="88" t="s">
        <v>22</v>
      </c>
      <c r="O179" s="89"/>
      <c r="P179" s="90"/>
      <c r="Q179" s="133">
        <v>3000</v>
      </c>
      <c r="R179" s="134"/>
      <c r="S179" s="5" t="s">
        <v>70</v>
      </c>
      <c r="T179" s="6"/>
      <c r="U179" s="6"/>
      <c r="V179" s="5" t="s">
        <v>23</v>
      </c>
      <c r="W179" s="9">
        <v>17302113</v>
      </c>
      <c r="X179" s="6"/>
      <c r="Y179" s="6"/>
    </row>
    <row r="180" spans="1:25" ht="15" customHeight="1" x14ac:dyDescent="0.2">
      <c r="A180" s="88" t="s">
        <v>19</v>
      </c>
      <c r="B180" s="90"/>
      <c r="C180" s="88" t="s">
        <v>359</v>
      </c>
      <c r="D180" s="90"/>
      <c r="E180" s="88" t="s">
        <v>360</v>
      </c>
      <c r="F180" s="89"/>
      <c r="G180" s="89"/>
      <c r="H180" s="89"/>
      <c r="I180" s="90"/>
      <c r="J180" s="88" t="s">
        <v>13</v>
      </c>
      <c r="K180" s="89"/>
      <c r="L180" s="89"/>
      <c r="M180" s="90"/>
      <c r="N180" s="88" t="s">
        <v>22</v>
      </c>
      <c r="O180" s="89"/>
      <c r="P180" s="90"/>
      <c r="Q180" s="133">
        <v>4000</v>
      </c>
      <c r="R180" s="134"/>
      <c r="S180" s="5" t="s">
        <v>70</v>
      </c>
      <c r="T180" s="6"/>
      <c r="U180" s="6"/>
      <c r="V180" s="5" t="s">
        <v>23</v>
      </c>
      <c r="W180" s="10">
        <v>24606472</v>
      </c>
      <c r="X180" s="6"/>
      <c r="Y180" s="6"/>
    </row>
    <row r="181" spans="1:25" ht="15" customHeight="1" x14ac:dyDescent="0.2">
      <c r="A181" s="88" t="s">
        <v>19</v>
      </c>
      <c r="B181" s="90"/>
      <c r="C181" s="88" t="s">
        <v>361</v>
      </c>
      <c r="D181" s="90"/>
      <c r="E181" s="88" t="s">
        <v>362</v>
      </c>
      <c r="F181" s="89"/>
      <c r="G181" s="89"/>
      <c r="H181" s="89"/>
      <c r="I181" s="90"/>
      <c r="J181" s="88" t="s">
        <v>13</v>
      </c>
      <c r="K181" s="89"/>
      <c r="L181" s="89"/>
      <c r="M181" s="90"/>
      <c r="N181" s="88" t="s">
        <v>26</v>
      </c>
      <c r="O181" s="89"/>
      <c r="P181" s="90"/>
      <c r="Q181" s="133">
        <v>4000</v>
      </c>
      <c r="R181" s="134"/>
      <c r="S181" s="5" t="s">
        <v>70</v>
      </c>
      <c r="T181" s="6"/>
      <c r="U181" s="6"/>
      <c r="V181" s="5" t="s">
        <v>23</v>
      </c>
      <c r="W181" s="9">
        <v>24213725</v>
      </c>
      <c r="X181" s="6"/>
      <c r="Y181" s="6"/>
    </row>
    <row r="182" spans="1:25" ht="15" customHeight="1" x14ac:dyDescent="0.2">
      <c r="A182" s="88" t="s">
        <v>19</v>
      </c>
      <c r="B182" s="90"/>
      <c r="C182" s="88" t="s">
        <v>363</v>
      </c>
      <c r="D182" s="90"/>
      <c r="E182" s="88" t="s">
        <v>364</v>
      </c>
      <c r="F182" s="89"/>
      <c r="G182" s="89"/>
      <c r="H182" s="89"/>
      <c r="I182" s="90"/>
      <c r="J182" s="88" t="s">
        <v>13</v>
      </c>
      <c r="K182" s="89"/>
      <c r="L182" s="89"/>
      <c r="M182" s="90"/>
      <c r="N182" s="88" t="s">
        <v>22</v>
      </c>
      <c r="O182" s="89"/>
      <c r="P182" s="90"/>
      <c r="Q182" s="133">
        <v>4000</v>
      </c>
      <c r="R182" s="134"/>
      <c r="S182" s="5" t="s">
        <v>70</v>
      </c>
      <c r="T182" s="6"/>
      <c r="U182" s="6"/>
      <c r="V182" s="5" t="s">
        <v>23</v>
      </c>
      <c r="W182" s="10">
        <v>23994443</v>
      </c>
      <c r="X182" s="6"/>
      <c r="Y182" s="6"/>
    </row>
    <row r="183" spans="1:25" ht="15" customHeight="1" x14ac:dyDescent="0.2">
      <c r="A183" s="88" t="s">
        <v>19</v>
      </c>
      <c r="B183" s="90"/>
      <c r="C183" s="88" t="s">
        <v>365</v>
      </c>
      <c r="D183" s="90"/>
      <c r="E183" s="88" t="s">
        <v>366</v>
      </c>
      <c r="F183" s="89"/>
      <c r="G183" s="89"/>
      <c r="H183" s="89"/>
      <c r="I183" s="90"/>
      <c r="J183" s="88" t="s">
        <v>13</v>
      </c>
      <c r="K183" s="89"/>
      <c r="L183" s="89"/>
      <c r="M183" s="90"/>
      <c r="N183" s="88" t="s">
        <v>22</v>
      </c>
      <c r="O183" s="89"/>
      <c r="P183" s="90"/>
      <c r="Q183" s="133">
        <v>2000</v>
      </c>
      <c r="R183" s="134"/>
      <c r="S183" s="5" t="s">
        <v>271</v>
      </c>
      <c r="T183" s="6"/>
      <c r="U183" s="6"/>
      <c r="V183" s="5" t="s">
        <v>23</v>
      </c>
      <c r="W183" s="10">
        <v>10653095</v>
      </c>
      <c r="X183" s="6"/>
      <c r="Y183" s="6"/>
    </row>
    <row r="184" spans="1:25" ht="15" customHeight="1" x14ac:dyDescent="0.2">
      <c r="A184" s="88" t="s">
        <v>19</v>
      </c>
      <c r="B184" s="90"/>
      <c r="C184" s="88" t="s">
        <v>367</v>
      </c>
      <c r="D184" s="90"/>
      <c r="E184" s="88" t="s">
        <v>368</v>
      </c>
      <c r="F184" s="89"/>
      <c r="G184" s="89"/>
      <c r="H184" s="89"/>
      <c r="I184" s="90"/>
      <c r="J184" s="88" t="s">
        <v>13</v>
      </c>
      <c r="K184" s="89"/>
      <c r="L184" s="89"/>
      <c r="M184" s="90"/>
      <c r="N184" s="88" t="s">
        <v>22</v>
      </c>
      <c r="O184" s="89"/>
      <c r="P184" s="90"/>
      <c r="Q184" s="133">
        <v>2000</v>
      </c>
      <c r="R184" s="134"/>
      <c r="S184" s="5" t="s">
        <v>271</v>
      </c>
      <c r="T184" s="6"/>
      <c r="U184" s="6"/>
      <c r="V184" s="5" t="s">
        <v>23</v>
      </c>
      <c r="W184" s="9">
        <v>14755458</v>
      </c>
      <c r="X184" s="6"/>
      <c r="Y184" s="6"/>
    </row>
    <row r="185" spans="1:25" ht="15" customHeight="1" x14ac:dyDescent="0.2">
      <c r="A185" s="88" t="s">
        <v>19</v>
      </c>
      <c r="B185" s="90"/>
      <c r="C185" s="88" t="s">
        <v>369</v>
      </c>
      <c r="D185" s="90"/>
      <c r="E185" s="88" t="s">
        <v>370</v>
      </c>
      <c r="F185" s="89"/>
      <c r="G185" s="89"/>
      <c r="H185" s="89"/>
      <c r="I185" s="90"/>
      <c r="J185" s="88" t="s">
        <v>13</v>
      </c>
      <c r="K185" s="89"/>
      <c r="L185" s="89"/>
      <c r="M185" s="90"/>
      <c r="N185" s="88" t="s">
        <v>22</v>
      </c>
      <c r="O185" s="89"/>
      <c r="P185" s="90"/>
      <c r="Q185" s="133">
        <v>2000</v>
      </c>
      <c r="R185" s="134"/>
      <c r="S185" s="5" t="s">
        <v>271</v>
      </c>
      <c r="T185" s="6"/>
      <c r="U185" s="6"/>
      <c r="V185" s="5" t="s">
        <v>23</v>
      </c>
      <c r="W185" s="9">
        <v>12767752</v>
      </c>
      <c r="X185" s="6"/>
      <c r="Y185" s="6"/>
    </row>
    <row r="186" spans="1:25" ht="15" customHeight="1" x14ac:dyDescent="0.2">
      <c r="A186" s="88" t="s">
        <v>19</v>
      </c>
      <c r="B186" s="90"/>
      <c r="C186" s="88" t="s">
        <v>371</v>
      </c>
      <c r="D186" s="90"/>
      <c r="E186" s="88" t="s">
        <v>372</v>
      </c>
      <c r="F186" s="89"/>
      <c r="G186" s="89"/>
      <c r="H186" s="89"/>
      <c r="I186" s="90"/>
      <c r="J186" s="88" t="s">
        <v>13</v>
      </c>
      <c r="K186" s="89"/>
      <c r="L186" s="89"/>
      <c r="M186" s="90"/>
      <c r="N186" s="88" t="s">
        <v>22</v>
      </c>
      <c r="O186" s="89"/>
      <c r="P186" s="90"/>
      <c r="Q186" s="133">
        <v>2000</v>
      </c>
      <c r="R186" s="134"/>
      <c r="S186" s="5" t="s">
        <v>271</v>
      </c>
      <c r="T186" s="6"/>
      <c r="U186" s="6"/>
      <c r="V186" s="5" t="s">
        <v>23</v>
      </c>
      <c r="W186" s="10">
        <v>14022294</v>
      </c>
      <c r="X186" s="6"/>
      <c r="Y186" s="6"/>
    </row>
    <row r="187" spans="1:25" ht="15" customHeight="1" x14ac:dyDescent="0.2">
      <c r="A187" s="88" t="s">
        <v>19</v>
      </c>
      <c r="B187" s="90"/>
      <c r="C187" s="88" t="s">
        <v>373</v>
      </c>
      <c r="D187" s="90"/>
      <c r="E187" s="88" t="s">
        <v>374</v>
      </c>
      <c r="F187" s="89"/>
      <c r="G187" s="89"/>
      <c r="H187" s="89"/>
      <c r="I187" s="90"/>
      <c r="J187" s="88" t="s">
        <v>13</v>
      </c>
      <c r="K187" s="89"/>
      <c r="L187" s="89"/>
      <c r="M187" s="90"/>
      <c r="N187" s="88" t="s">
        <v>22</v>
      </c>
      <c r="O187" s="89"/>
      <c r="P187" s="90"/>
      <c r="Q187" s="133">
        <v>2000</v>
      </c>
      <c r="R187" s="134"/>
      <c r="S187" s="5" t="s">
        <v>271</v>
      </c>
      <c r="T187" s="6"/>
      <c r="U187" s="6"/>
      <c r="V187" s="5" t="s">
        <v>23</v>
      </c>
      <c r="W187" s="9">
        <v>17021794</v>
      </c>
      <c r="X187" s="6"/>
      <c r="Y187" s="6"/>
    </row>
    <row r="188" spans="1:25" ht="15" customHeight="1" x14ac:dyDescent="0.2">
      <c r="A188" s="88" t="s">
        <v>19</v>
      </c>
      <c r="B188" s="90"/>
      <c r="C188" s="88" t="s">
        <v>375</v>
      </c>
      <c r="D188" s="90"/>
      <c r="E188" s="88" t="s">
        <v>376</v>
      </c>
      <c r="F188" s="89"/>
      <c r="G188" s="89"/>
      <c r="H188" s="89"/>
      <c r="I188" s="90"/>
      <c r="J188" s="88" t="s">
        <v>13</v>
      </c>
      <c r="K188" s="89"/>
      <c r="L188" s="89"/>
      <c r="M188" s="90"/>
      <c r="N188" s="88" t="s">
        <v>26</v>
      </c>
      <c r="O188" s="89"/>
      <c r="P188" s="90"/>
      <c r="Q188" s="133">
        <v>1800</v>
      </c>
      <c r="R188" s="134"/>
      <c r="S188" s="5" t="s">
        <v>271</v>
      </c>
      <c r="T188" s="6"/>
      <c r="U188" s="6"/>
      <c r="V188" s="5" t="s">
        <v>23</v>
      </c>
      <c r="W188" s="10">
        <v>12494952</v>
      </c>
      <c r="X188" s="6"/>
      <c r="Y188" s="6"/>
    </row>
    <row r="189" spans="1:25" ht="15" customHeight="1" x14ac:dyDescent="0.2">
      <c r="A189" s="88" t="s">
        <v>19</v>
      </c>
      <c r="B189" s="90"/>
      <c r="C189" s="88" t="s">
        <v>377</v>
      </c>
      <c r="D189" s="90"/>
      <c r="E189" s="88" t="s">
        <v>374</v>
      </c>
      <c r="F189" s="89"/>
      <c r="G189" s="89"/>
      <c r="H189" s="89"/>
      <c r="I189" s="90"/>
      <c r="J189" s="88" t="s">
        <v>13</v>
      </c>
      <c r="K189" s="89"/>
      <c r="L189" s="89"/>
      <c r="M189" s="90"/>
      <c r="N189" s="88" t="s">
        <v>22</v>
      </c>
      <c r="O189" s="89"/>
      <c r="P189" s="90"/>
      <c r="Q189" s="133">
        <v>2000</v>
      </c>
      <c r="R189" s="134"/>
      <c r="S189" s="5" t="s">
        <v>271</v>
      </c>
      <c r="T189" s="6"/>
      <c r="U189" s="6"/>
      <c r="V189" s="5" t="s">
        <v>23</v>
      </c>
      <c r="W189" s="9">
        <v>14662581</v>
      </c>
      <c r="X189" s="6"/>
      <c r="Y189" s="6"/>
    </row>
    <row r="190" spans="1:25" ht="15" customHeight="1" x14ac:dyDescent="0.2">
      <c r="A190" s="88" t="s">
        <v>19</v>
      </c>
      <c r="B190" s="90"/>
      <c r="C190" s="88" t="s">
        <v>378</v>
      </c>
      <c r="D190" s="90"/>
      <c r="E190" s="106"/>
      <c r="F190" s="107"/>
      <c r="G190" s="107"/>
      <c r="H190" s="107"/>
      <c r="I190" s="108"/>
      <c r="J190" s="88" t="s">
        <v>13</v>
      </c>
      <c r="K190" s="89"/>
      <c r="L190" s="89"/>
      <c r="M190" s="90"/>
      <c r="N190" s="88" t="s">
        <v>22</v>
      </c>
      <c r="O190" s="89"/>
      <c r="P190" s="90"/>
      <c r="Q190" s="133">
        <v>2000</v>
      </c>
      <c r="R190" s="134"/>
      <c r="S190" s="5" t="s">
        <v>119</v>
      </c>
      <c r="T190" s="6"/>
      <c r="U190" s="6"/>
      <c r="V190" s="5" t="s">
        <v>23</v>
      </c>
      <c r="W190" s="10">
        <v>14373865</v>
      </c>
      <c r="X190" s="6"/>
      <c r="Y190" s="6"/>
    </row>
    <row r="191" spans="1:25" ht="15" customHeight="1" x14ac:dyDescent="0.2">
      <c r="A191" s="88" t="s">
        <v>19</v>
      </c>
      <c r="B191" s="90"/>
      <c r="C191" s="88" t="s">
        <v>379</v>
      </c>
      <c r="D191" s="90"/>
      <c r="E191" s="88" t="s">
        <v>366</v>
      </c>
      <c r="F191" s="89"/>
      <c r="G191" s="89"/>
      <c r="H191" s="89"/>
      <c r="I191" s="90"/>
      <c r="J191" s="88" t="s">
        <v>13</v>
      </c>
      <c r="K191" s="89"/>
      <c r="L191" s="89"/>
      <c r="M191" s="90"/>
      <c r="N191" s="88" t="s">
        <v>22</v>
      </c>
      <c r="O191" s="89"/>
      <c r="P191" s="90"/>
      <c r="Q191" s="133">
        <v>2000</v>
      </c>
      <c r="R191" s="134"/>
      <c r="S191" s="5" t="s">
        <v>119</v>
      </c>
      <c r="T191" s="6"/>
      <c r="U191" s="6"/>
      <c r="V191" s="5" t="s">
        <v>23</v>
      </c>
      <c r="W191" s="10">
        <v>21858426</v>
      </c>
      <c r="X191" s="6"/>
      <c r="Y191" s="6"/>
    </row>
    <row r="192" spans="1:25" ht="15" customHeight="1" x14ac:dyDescent="0.2">
      <c r="A192" s="88" t="s">
        <v>19</v>
      </c>
      <c r="B192" s="90"/>
      <c r="C192" s="88" t="s">
        <v>379</v>
      </c>
      <c r="D192" s="90"/>
      <c r="E192" s="88" t="s">
        <v>380</v>
      </c>
      <c r="F192" s="89"/>
      <c r="G192" s="89"/>
      <c r="H192" s="89"/>
      <c r="I192" s="90"/>
      <c r="J192" s="88" t="s">
        <v>13</v>
      </c>
      <c r="K192" s="89"/>
      <c r="L192" s="89"/>
      <c r="M192" s="90"/>
      <c r="N192" s="88" t="s">
        <v>22</v>
      </c>
      <c r="O192" s="89"/>
      <c r="P192" s="90"/>
      <c r="Q192" s="133">
        <v>2000</v>
      </c>
      <c r="R192" s="134"/>
      <c r="S192" s="5" t="s">
        <v>271</v>
      </c>
      <c r="T192" s="6"/>
      <c r="U192" s="6"/>
      <c r="V192" s="5" t="s">
        <v>23</v>
      </c>
      <c r="W192" s="10">
        <v>19865936</v>
      </c>
      <c r="X192" s="6"/>
      <c r="Y192" s="6"/>
    </row>
    <row r="193" spans="1:25" ht="15" customHeight="1" x14ac:dyDescent="0.2">
      <c r="A193" s="88" t="s">
        <v>19</v>
      </c>
      <c r="B193" s="90"/>
      <c r="C193" s="88" t="s">
        <v>381</v>
      </c>
      <c r="D193" s="90"/>
      <c r="E193" s="106"/>
      <c r="F193" s="107"/>
      <c r="G193" s="107"/>
      <c r="H193" s="107"/>
      <c r="I193" s="108"/>
      <c r="J193" s="88" t="s">
        <v>13</v>
      </c>
      <c r="K193" s="89"/>
      <c r="L193" s="89"/>
      <c r="M193" s="90"/>
      <c r="N193" s="88" t="s">
        <v>22</v>
      </c>
      <c r="O193" s="89"/>
      <c r="P193" s="90"/>
      <c r="Q193" s="133">
        <v>2500</v>
      </c>
      <c r="R193" s="134"/>
      <c r="S193" s="5" t="s">
        <v>271</v>
      </c>
      <c r="T193" s="6"/>
      <c r="U193" s="6"/>
      <c r="V193" s="5" t="s">
        <v>23</v>
      </c>
      <c r="W193" s="10">
        <v>35056186</v>
      </c>
      <c r="X193" s="6"/>
      <c r="Y193" s="6"/>
    </row>
    <row r="194" spans="1:25" ht="15" customHeight="1" x14ac:dyDescent="0.2">
      <c r="A194" s="88" t="s">
        <v>19</v>
      </c>
      <c r="B194" s="90"/>
      <c r="C194" s="88" t="s">
        <v>382</v>
      </c>
      <c r="D194" s="90"/>
      <c r="E194" s="88" t="s">
        <v>383</v>
      </c>
      <c r="F194" s="89"/>
      <c r="G194" s="89"/>
      <c r="H194" s="89"/>
      <c r="I194" s="90"/>
      <c r="J194" s="88" t="s">
        <v>13</v>
      </c>
      <c r="K194" s="89"/>
      <c r="L194" s="89"/>
      <c r="M194" s="90"/>
      <c r="N194" s="88" t="s">
        <v>22</v>
      </c>
      <c r="O194" s="89"/>
      <c r="P194" s="90"/>
      <c r="Q194" s="133">
        <v>2000</v>
      </c>
      <c r="R194" s="134"/>
      <c r="S194" s="5" t="s">
        <v>271</v>
      </c>
      <c r="T194" s="6"/>
      <c r="U194" s="6"/>
      <c r="V194" s="5" t="s">
        <v>23</v>
      </c>
      <c r="W194" s="9">
        <v>18857016</v>
      </c>
      <c r="X194" s="6"/>
      <c r="Y194" s="6"/>
    </row>
    <row r="195" spans="1:25" ht="15" customHeight="1" x14ac:dyDescent="0.2">
      <c r="A195" s="88" t="s">
        <v>19</v>
      </c>
      <c r="B195" s="90"/>
      <c r="C195" s="88" t="s">
        <v>384</v>
      </c>
      <c r="D195" s="90"/>
      <c r="E195" s="88" t="s">
        <v>385</v>
      </c>
      <c r="F195" s="89"/>
      <c r="G195" s="89"/>
      <c r="H195" s="89"/>
      <c r="I195" s="90"/>
      <c r="J195" s="88" t="s">
        <v>13</v>
      </c>
      <c r="K195" s="89"/>
      <c r="L195" s="89"/>
      <c r="M195" s="90"/>
      <c r="N195" s="88" t="s">
        <v>22</v>
      </c>
      <c r="O195" s="89"/>
      <c r="P195" s="90"/>
      <c r="Q195" s="133">
        <v>4000</v>
      </c>
      <c r="R195" s="134"/>
      <c r="S195" s="5" t="s">
        <v>70</v>
      </c>
      <c r="T195" s="6"/>
      <c r="U195" s="6"/>
      <c r="V195" s="5" t="s">
        <v>23</v>
      </c>
      <c r="W195" s="9">
        <v>18315486</v>
      </c>
      <c r="X195" s="6"/>
      <c r="Y195" s="6"/>
    </row>
    <row r="196" spans="1:25" ht="15" customHeight="1" x14ac:dyDescent="0.2">
      <c r="A196" s="88" t="s">
        <v>19</v>
      </c>
      <c r="B196" s="90"/>
      <c r="C196" s="88" t="s">
        <v>386</v>
      </c>
      <c r="D196" s="90"/>
      <c r="E196" s="88" t="s">
        <v>385</v>
      </c>
      <c r="F196" s="89"/>
      <c r="G196" s="89"/>
      <c r="H196" s="89"/>
      <c r="I196" s="90"/>
      <c r="J196" s="88" t="s">
        <v>13</v>
      </c>
      <c r="K196" s="89"/>
      <c r="L196" s="89"/>
      <c r="M196" s="90"/>
      <c r="N196" s="88" t="s">
        <v>22</v>
      </c>
      <c r="O196" s="89"/>
      <c r="P196" s="90"/>
      <c r="Q196" s="133">
        <v>2000</v>
      </c>
      <c r="R196" s="134"/>
      <c r="S196" s="5" t="s">
        <v>70</v>
      </c>
      <c r="T196" s="6"/>
      <c r="U196" s="6"/>
      <c r="V196" s="5" t="s">
        <v>23</v>
      </c>
      <c r="W196" s="10">
        <v>15393433</v>
      </c>
      <c r="X196" s="6"/>
      <c r="Y196" s="6"/>
    </row>
    <row r="197" spans="1:25" ht="15" customHeight="1" x14ac:dyDescent="0.2">
      <c r="A197" s="88" t="s">
        <v>387</v>
      </c>
      <c r="B197" s="90"/>
      <c r="C197" s="88" t="s">
        <v>388</v>
      </c>
      <c r="D197" s="90"/>
      <c r="E197" s="106"/>
      <c r="F197" s="107"/>
      <c r="G197" s="107"/>
      <c r="H197" s="107"/>
      <c r="I197" s="108"/>
      <c r="J197" s="88" t="s">
        <v>13</v>
      </c>
      <c r="K197" s="89"/>
      <c r="L197" s="89"/>
      <c r="M197" s="90"/>
      <c r="N197" s="88" t="s">
        <v>22</v>
      </c>
      <c r="O197" s="89"/>
      <c r="P197" s="90"/>
      <c r="Q197" s="133">
        <v>6000</v>
      </c>
      <c r="R197" s="134"/>
      <c r="S197" s="5" t="s">
        <v>16</v>
      </c>
      <c r="T197" s="6"/>
      <c r="U197" s="8">
        <v>5</v>
      </c>
      <c r="V197" s="5" t="s">
        <v>23</v>
      </c>
      <c r="W197" s="12">
        <v>63120742</v>
      </c>
      <c r="X197" s="6"/>
      <c r="Y197" s="6"/>
    </row>
    <row r="198" spans="1:25" ht="15" customHeight="1" x14ac:dyDescent="0.2">
      <c r="A198" s="88" t="s">
        <v>387</v>
      </c>
      <c r="B198" s="90"/>
      <c r="C198" s="88" t="s">
        <v>389</v>
      </c>
      <c r="D198" s="90"/>
      <c r="E198" s="106"/>
      <c r="F198" s="107"/>
      <c r="G198" s="107"/>
      <c r="H198" s="107"/>
      <c r="I198" s="108"/>
      <c r="J198" s="88" t="s">
        <v>13</v>
      </c>
      <c r="K198" s="89"/>
      <c r="L198" s="89"/>
      <c r="M198" s="90"/>
      <c r="N198" s="88" t="s">
        <v>26</v>
      </c>
      <c r="O198" s="89"/>
      <c r="P198" s="90"/>
      <c r="Q198" s="133">
        <v>6000</v>
      </c>
      <c r="R198" s="134"/>
      <c r="S198" s="5" t="s">
        <v>16</v>
      </c>
      <c r="T198" s="6"/>
      <c r="U198" s="8">
        <v>5</v>
      </c>
      <c r="V198" s="5" t="s">
        <v>23</v>
      </c>
      <c r="W198" s="12">
        <v>13646222</v>
      </c>
      <c r="X198" s="6"/>
      <c r="Y198" s="6"/>
    </row>
    <row r="199" spans="1:25" ht="15" customHeight="1" x14ac:dyDescent="0.2">
      <c r="A199" s="88" t="s">
        <v>387</v>
      </c>
      <c r="B199" s="90"/>
      <c r="C199" s="88" t="s">
        <v>390</v>
      </c>
      <c r="D199" s="90"/>
      <c r="E199" s="88" t="s">
        <v>391</v>
      </c>
      <c r="F199" s="89"/>
      <c r="G199" s="89"/>
      <c r="H199" s="89"/>
      <c r="I199" s="90"/>
      <c r="J199" s="88" t="s">
        <v>13</v>
      </c>
      <c r="K199" s="89"/>
      <c r="L199" s="89"/>
      <c r="M199" s="90"/>
      <c r="N199" s="88" t="s">
        <v>22</v>
      </c>
      <c r="O199" s="89"/>
      <c r="P199" s="90"/>
      <c r="Q199" s="133">
        <v>4000</v>
      </c>
      <c r="R199" s="134"/>
      <c r="S199" s="5" t="s">
        <v>16</v>
      </c>
      <c r="T199" s="6"/>
      <c r="U199" s="8">
        <v>5</v>
      </c>
      <c r="V199" s="5" t="s">
        <v>23</v>
      </c>
      <c r="W199" s="12">
        <v>10234666</v>
      </c>
      <c r="X199" s="6"/>
      <c r="Y199" s="6"/>
    </row>
    <row r="200" spans="1:25" ht="15" customHeight="1" x14ac:dyDescent="0.2">
      <c r="A200" s="88" t="s">
        <v>387</v>
      </c>
      <c r="B200" s="90"/>
      <c r="C200" s="88" t="s">
        <v>392</v>
      </c>
      <c r="D200" s="90"/>
      <c r="E200" s="106"/>
      <c r="F200" s="107"/>
      <c r="G200" s="107"/>
      <c r="H200" s="107"/>
      <c r="I200" s="108"/>
      <c r="J200" s="88" t="s">
        <v>13</v>
      </c>
      <c r="K200" s="89"/>
      <c r="L200" s="89"/>
      <c r="M200" s="90"/>
      <c r="N200" s="88" t="s">
        <v>22</v>
      </c>
      <c r="O200" s="89"/>
      <c r="P200" s="90"/>
      <c r="Q200" s="133">
        <v>4000</v>
      </c>
      <c r="R200" s="134"/>
      <c r="S200" s="5" t="s">
        <v>16</v>
      </c>
      <c r="T200" s="6"/>
      <c r="U200" s="8">
        <v>5</v>
      </c>
      <c r="V200" s="5" t="s">
        <v>23</v>
      </c>
      <c r="W200" s="12">
        <v>53984287</v>
      </c>
      <c r="X200" s="6"/>
      <c r="Y200" s="6"/>
    </row>
    <row r="201" spans="1:25" ht="15" customHeight="1" x14ac:dyDescent="0.2">
      <c r="A201" s="88" t="s">
        <v>387</v>
      </c>
      <c r="B201" s="90"/>
      <c r="C201" s="88" t="s">
        <v>393</v>
      </c>
      <c r="D201" s="90"/>
      <c r="E201" s="106"/>
      <c r="F201" s="107"/>
      <c r="G201" s="107"/>
      <c r="H201" s="107"/>
      <c r="I201" s="108"/>
      <c r="J201" s="88" t="s">
        <v>13</v>
      </c>
      <c r="K201" s="89"/>
      <c r="L201" s="89"/>
      <c r="M201" s="90"/>
      <c r="N201" s="88" t="s">
        <v>22</v>
      </c>
      <c r="O201" s="89"/>
      <c r="P201" s="90"/>
      <c r="Q201" s="133">
        <v>3000</v>
      </c>
      <c r="R201" s="134"/>
      <c r="S201" s="5" t="s">
        <v>16</v>
      </c>
      <c r="T201" s="6"/>
      <c r="U201" s="8">
        <v>5</v>
      </c>
      <c r="V201" s="5" t="s">
        <v>176</v>
      </c>
      <c r="W201" s="12">
        <v>51820062</v>
      </c>
      <c r="X201" s="6"/>
      <c r="Y201" s="6"/>
    </row>
    <row r="202" spans="1:25" ht="15" customHeight="1" x14ac:dyDescent="0.2">
      <c r="A202" s="88" t="s">
        <v>387</v>
      </c>
      <c r="B202" s="90"/>
      <c r="C202" s="88" t="s">
        <v>394</v>
      </c>
      <c r="D202" s="90"/>
      <c r="E202" s="106"/>
      <c r="F202" s="107"/>
      <c r="G202" s="107"/>
      <c r="H202" s="107"/>
      <c r="I202" s="108"/>
      <c r="J202" s="88" t="s">
        <v>13</v>
      </c>
      <c r="K202" s="89"/>
      <c r="L202" s="89"/>
      <c r="M202" s="90"/>
      <c r="N202" s="88" t="s">
        <v>22</v>
      </c>
      <c r="O202" s="89"/>
      <c r="P202" s="90"/>
      <c r="Q202" s="133">
        <v>4000</v>
      </c>
      <c r="R202" s="134"/>
      <c r="S202" s="5" t="s">
        <v>16</v>
      </c>
      <c r="T202" s="6"/>
      <c r="U202" s="8">
        <v>5</v>
      </c>
      <c r="V202" s="5" t="s">
        <v>23</v>
      </c>
      <c r="W202" s="12">
        <v>58655493</v>
      </c>
      <c r="X202" s="6"/>
      <c r="Y202" s="6"/>
    </row>
    <row r="203" spans="1:25" ht="15" customHeight="1" x14ac:dyDescent="0.2">
      <c r="A203" s="88" t="s">
        <v>387</v>
      </c>
      <c r="B203" s="90"/>
      <c r="C203" s="88" t="s">
        <v>395</v>
      </c>
      <c r="D203" s="90"/>
      <c r="E203" s="106"/>
      <c r="F203" s="107"/>
      <c r="G203" s="107"/>
      <c r="H203" s="107"/>
      <c r="I203" s="108"/>
      <c r="J203" s="88" t="s">
        <v>13</v>
      </c>
      <c r="K203" s="89"/>
      <c r="L203" s="89"/>
      <c r="M203" s="90"/>
      <c r="N203" s="88" t="s">
        <v>22</v>
      </c>
      <c r="O203" s="89"/>
      <c r="P203" s="90"/>
      <c r="Q203" s="133">
        <v>4000</v>
      </c>
      <c r="R203" s="134"/>
      <c r="S203" s="5" t="s">
        <v>16</v>
      </c>
      <c r="T203" s="6"/>
      <c r="U203" s="8">
        <v>5</v>
      </c>
      <c r="V203" s="5" t="s">
        <v>23</v>
      </c>
      <c r="W203" s="12">
        <v>66500997</v>
      </c>
      <c r="X203" s="6"/>
      <c r="Y203" s="6"/>
    </row>
    <row r="204" spans="1:25" ht="15" customHeight="1" x14ac:dyDescent="0.2">
      <c r="A204" s="88" t="s">
        <v>387</v>
      </c>
      <c r="B204" s="90"/>
      <c r="C204" s="88" t="s">
        <v>396</v>
      </c>
      <c r="D204" s="90"/>
      <c r="E204" s="106"/>
      <c r="F204" s="107"/>
      <c r="G204" s="107"/>
      <c r="H204" s="107"/>
      <c r="I204" s="108"/>
      <c r="J204" s="88" t="s">
        <v>13</v>
      </c>
      <c r="K204" s="89"/>
      <c r="L204" s="89"/>
      <c r="M204" s="90"/>
      <c r="N204" s="88" t="s">
        <v>22</v>
      </c>
      <c r="O204" s="89"/>
      <c r="P204" s="90"/>
      <c r="Q204" s="133">
        <v>6000</v>
      </c>
      <c r="R204" s="134"/>
      <c r="S204" s="5" t="s">
        <v>119</v>
      </c>
      <c r="T204" s="6"/>
      <c r="U204" s="8">
        <v>4</v>
      </c>
      <c r="V204" s="5" t="s">
        <v>23</v>
      </c>
      <c r="W204" s="12">
        <v>23393523</v>
      </c>
      <c r="X204" s="6"/>
      <c r="Y204" s="6"/>
    </row>
    <row r="205" spans="1:25" ht="15" customHeight="1" x14ac:dyDescent="0.2">
      <c r="A205" s="88" t="s">
        <v>387</v>
      </c>
      <c r="B205" s="90"/>
      <c r="C205" s="88" t="s">
        <v>397</v>
      </c>
      <c r="D205" s="90"/>
      <c r="E205" s="106"/>
      <c r="F205" s="107"/>
      <c r="G205" s="107"/>
      <c r="H205" s="107"/>
      <c r="I205" s="108"/>
      <c r="J205" s="88" t="s">
        <v>13</v>
      </c>
      <c r="K205" s="89"/>
      <c r="L205" s="89"/>
      <c r="M205" s="90"/>
      <c r="N205" s="88" t="s">
        <v>22</v>
      </c>
      <c r="O205" s="89"/>
      <c r="P205" s="90"/>
      <c r="Q205" s="133">
        <v>4000</v>
      </c>
      <c r="R205" s="134"/>
      <c r="S205" s="5" t="s">
        <v>119</v>
      </c>
      <c r="T205" s="6"/>
      <c r="U205" s="8">
        <v>4</v>
      </c>
      <c r="V205" s="5" t="s">
        <v>23</v>
      </c>
      <c r="W205" s="12">
        <v>18194963</v>
      </c>
      <c r="X205" s="6"/>
      <c r="Y205" s="6"/>
    </row>
    <row r="206" spans="1:25" ht="15" customHeight="1" x14ac:dyDescent="0.2">
      <c r="A206" s="88" t="s">
        <v>387</v>
      </c>
      <c r="B206" s="90"/>
      <c r="C206" s="88" t="s">
        <v>398</v>
      </c>
      <c r="D206" s="90"/>
      <c r="E206" s="88" t="s">
        <v>399</v>
      </c>
      <c r="F206" s="89"/>
      <c r="G206" s="89"/>
      <c r="H206" s="89"/>
      <c r="I206" s="90"/>
      <c r="J206" s="88" t="s">
        <v>13</v>
      </c>
      <c r="K206" s="89"/>
      <c r="L206" s="89"/>
      <c r="M206" s="90"/>
      <c r="N206" s="88" t="s">
        <v>22</v>
      </c>
      <c r="O206" s="89"/>
      <c r="P206" s="90"/>
      <c r="Q206" s="133">
        <v>6000</v>
      </c>
      <c r="R206" s="134"/>
      <c r="S206" s="5" t="s">
        <v>400</v>
      </c>
      <c r="T206" s="6"/>
      <c r="U206" s="8">
        <v>4</v>
      </c>
      <c r="V206" s="5" t="s">
        <v>23</v>
      </c>
      <c r="W206" s="12">
        <v>86615497</v>
      </c>
      <c r="X206" s="6"/>
      <c r="Y206" s="6"/>
    </row>
    <row r="207" spans="1:25" ht="15" customHeight="1" x14ac:dyDescent="0.2">
      <c r="A207" s="88" t="s">
        <v>387</v>
      </c>
      <c r="B207" s="90"/>
      <c r="C207" s="88" t="s">
        <v>401</v>
      </c>
      <c r="D207" s="90"/>
      <c r="E207" s="106"/>
      <c r="F207" s="107"/>
      <c r="G207" s="107"/>
      <c r="H207" s="107"/>
      <c r="I207" s="108"/>
      <c r="J207" s="88" t="s">
        <v>13</v>
      </c>
      <c r="K207" s="89"/>
      <c r="L207" s="89"/>
      <c r="M207" s="90"/>
      <c r="N207" s="88" t="s">
        <v>22</v>
      </c>
      <c r="O207" s="89"/>
      <c r="P207" s="90"/>
      <c r="Q207" s="133">
        <v>6000</v>
      </c>
      <c r="R207" s="134"/>
      <c r="S207" s="5" t="s">
        <v>271</v>
      </c>
      <c r="T207" s="6"/>
      <c r="U207" s="8">
        <v>2</v>
      </c>
      <c r="V207" s="5" t="s">
        <v>23</v>
      </c>
      <c r="W207" s="12">
        <v>63644888</v>
      </c>
      <c r="X207" s="6"/>
      <c r="Y207" s="6"/>
    </row>
    <row r="208" spans="1:25" ht="15" customHeight="1" x14ac:dyDescent="0.2">
      <c r="A208" s="88" t="s">
        <v>387</v>
      </c>
      <c r="B208" s="90"/>
      <c r="C208" s="88" t="s">
        <v>402</v>
      </c>
      <c r="D208" s="90"/>
      <c r="E208" s="88" t="s">
        <v>403</v>
      </c>
      <c r="F208" s="89"/>
      <c r="G208" s="89"/>
      <c r="H208" s="89"/>
      <c r="I208" s="90"/>
      <c r="J208" s="88" t="s">
        <v>13</v>
      </c>
      <c r="K208" s="89"/>
      <c r="L208" s="89"/>
      <c r="M208" s="90"/>
      <c r="N208" s="88" t="s">
        <v>22</v>
      </c>
      <c r="O208" s="89"/>
      <c r="P208" s="90"/>
      <c r="Q208" s="133">
        <v>4000</v>
      </c>
      <c r="R208" s="134"/>
      <c r="S208" s="5" t="s">
        <v>271</v>
      </c>
      <c r="T208" s="6"/>
      <c r="U208" s="8">
        <v>2</v>
      </c>
      <c r="V208" s="5" t="s">
        <v>23</v>
      </c>
      <c r="W208" s="12">
        <v>65662304</v>
      </c>
      <c r="X208" s="6"/>
      <c r="Y208" s="6"/>
    </row>
    <row r="209" spans="1:25" ht="15" customHeight="1" x14ac:dyDescent="0.2">
      <c r="A209" s="88" t="s">
        <v>387</v>
      </c>
      <c r="B209" s="90"/>
      <c r="C209" s="88" t="s">
        <v>404</v>
      </c>
      <c r="D209" s="90"/>
      <c r="E209" s="106"/>
      <c r="F209" s="107"/>
      <c r="G209" s="107"/>
      <c r="H209" s="107"/>
      <c r="I209" s="108"/>
      <c r="J209" s="88" t="s">
        <v>13</v>
      </c>
      <c r="K209" s="89"/>
      <c r="L209" s="89"/>
      <c r="M209" s="90"/>
      <c r="N209" s="88" t="s">
        <v>22</v>
      </c>
      <c r="O209" s="89"/>
      <c r="P209" s="90"/>
      <c r="Q209" s="133">
        <v>4000</v>
      </c>
      <c r="R209" s="134"/>
      <c r="S209" s="5" t="s">
        <v>271</v>
      </c>
      <c r="T209" s="6"/>
      <c r="U209" s="8">
        <v>2</v>
      </c>
      <c r="V209" s="5" t="s">
        <v>23</v>
      </c>
      <c r="W209" s="12">
        <v>60965921</v>
      </c>
      <c r="X209" s="6"/>
      <c r="Y209" s="6"/>
    </row>
    <row r="210" spans="1:25" ht="15" customHeight="1" x14ac:dyDescent="0.2">
      <c r="A210" s="88" t="s">
        <v>387</v>
      </c>
      <c r="B210" s="90"/>
      <c r="C210" s="88" t="s">
        <v>405</v>
      </c>
      <c r="D210" s="90"/>
      <c r="E210" s="106"/>
      <c r="F210" s="107"/>
      <c r="G210" s="107"/>
      <c r="H210" s="107"/>
      <c r="I210" s="108"/>
      <c r="J210" s="88" t="s">
        <v>13</v>
      </c>
      <c r="K210" s="89"/>
      <c r="L210" s="89"/>
      <c r="M210" s="90"/>
      <c r="N210" s="88" t="s">
        <v>22</v>
      </c>
      <c r="O210" s="89"/>
      <c r="P210" s="90"/>
      <c r="Q210" s="133">
        <v>6000</v>
      </c>
      <c r="R210" s="134"/>
      <c r="S210" s="5" t="s">
        <v>44</v>
      </c>
      <c r="T210" s="6"/>
      <c r="U210" s="8">
        <v>5</v>
      </c>
      <c r="V210" s="5" t="s">
        <v>23</v>
      </c>
      <c r="W210" s="12">
        <v>45879743</v>
      </c>
      <c r="X210" s="6"/>
      <c r="Y210" s="6"/>
    </row>
    <row r="211" spans="1:25" ht="15" customHeight="1" x14ac:dyDescent="0.2">
      <c r="A211" s="88" t="s">
        <v>387</v>
      </c>
      <c r="B211" s="90"/>
      <c r="C211" s="88" t="s">
        <v>406</v>
      </c>
      <c r="D211" s="90"/>
      <c r="E211" s="88" t="s">
        <v>407</v>
      </c>
      <c r="F211" s="89"/>
      <c r="G211" s="89"/>
      <c r="H211" s="89"/>
      <c r="I211" s="90"/>
      <c r="J211" s="88" t="s">
        <v>13</v>
      </c>
      <c r="K211" s="89"/>
      <c r="L211" s="89"/>
      <c r="M211" s="90"/>
      <c r="N211" s="88" t="s">
        <v>22</v>
      </c>
      <c r="O211" s="89"/>
      <c r="P211" s="90"/>
      <c r="Q211" s="133">
        <v>4000</v>
      </c>
      <c r="R211" s="134"/>
      <c r="S211" s="5" t="s">
        <v>44</v>
      </c>
      <c r="T211" s="6"/>
      <c r="U211" s="8">
        <v>5</v>
      </c>
      <c r="V211" s="5" t="s">
        <v>23</v>
      </c>
      <c r="W211" s="12">
        <v>47852570</v>
      </c>
      <c r="X211" s="6"/>
      <c r="Y211" s="6"/>
    </row>
    <row r="212" spans="1:25" ht="15" customHeight="1" x14ac:dyDescent="0.2">
      <c r="A212" s="88" t="s">
        <v>387</v>
      </c>
      <c r="B212" s="90"/>
      <c r="C212" s="88" t="s">
        <v>408</v>
      </c>
      <c r="D212" s="90"/>
      <c r="E212" s="106"/>
      <c r="F212" s="107"/>
      <c r="G212" s="107"/>
      <c r="H212" s="107"/>
      <c r="I212" s="108"/>
      <c r="J212" s="88" t="s">
        <v>13</v>
      </c>
      <c r="K212" s="89"/>
      <c r="L212" s="89"/>
      <c r="M212" s="90"/>
      <c r="N212" s="88" t="s">
        <v>22</v>
      </c>
      <c r="O212" s="89"/>
      <c r="P212" s="90"/>
      <c r="Q212" s="133">
        <v>4000</v>
      </c>
      <c r="R212" s="134"/>
      <c r="S212" s="5" t="s">
        <v>44</v>
      </c>
      <c r="T212" s="6"/>
      <c r="U212" s="8">
        <v>5</v>
      </c>
      <c r="V212" s="5" t="s">
        <v>23</v>
      </c>
      <c r="W212" s="12">
        <v>63164421</v>
      </c>
      <c r="X212" s="6"/>
      <c r="Y212" s="6"/>
    </row>
    <row r="213" spans="1:25" ht="15" customHeight="1" x14ac:dyDescent="0.2">
      <c r="A213" s="88" t="s">
        <v>387</v>
      </c>
      <c r="B213" s="90"/>
      <c r="C213" s="88" t="s">
        <v>409</v>
      </c>
      <c r="D213" s="90"/>
      <c r="E213" s="106"/>
      <c r="F213" s="107"/>
      <c r="G213" s="107"/>
      <c r="H213" s="107"/>
      <c r="I213" s="108"/>
      <c r="J213" s="88" t="s">
        <v>13</v>
      </c>
      <c r="K213" s="89"/>
      <c r="L213" s="89"/>
      <c r="M213" s="90"/>
      <c r="N213" s="88" t="s">
        <v>22</v>
      </c>
      <c r="O213" s="89"/>
      <c r="P213" s="90"/>
      <c r="Q213" s="133">
        <v>4000</v>
      </c>
      <c r="R213" s="134"/>
      <c r="S213" s="5" t="s">
        <v>44</v>
      </c>
      <c r="T213" s="6"/>
      <c r="U213" s="8">
        <v>5</v>
      </c>
      <c r="V213" s="5" t="s">
        <v>23</v>
      </c>
      <c r="W213" s="12">
        <v>53984287</v>
      </c>
      <c r="X213" s="6"/>
      <c r="Y213" s="6"/>
    </row>
    <row r="214" spans="1:25" ht="15" customHeight="1" x14ac:dyDescent="0.2">
      <c r="A214" s="88" t="s">
        <v>387</v>
      </c>
      <c r="B214" s="90"/>
      <c r="C214" s="88" t="s">
        <v>410</v>
      </c>
      <c r="D214" s="90"/>
      <c r="E214" s="106"/>
      <c r="F214" s="107"/>
      <c r="G214" s="107"/>
      <c r="H214" s="107"/>
      <c r="I214" s="108"/>
      <c r="J214" s="88" t="s">
        <v>13</v>
      </c>
      <c r="K214" s="89"/>
      <c r="L214" s="89"/>
      <c r="M214" s="90"/>
      <c r="N214" s="88" t="s">
        <v>22</v>
      </c>
      <c r="O214" s="89"/>
      <c r="P214" s="90"/>
      <c r="Q214" s="133">
        <v>4000</v>
      </c>
      <c r="R214" s="134"/>
      <c r="S214" s="5" t="s">
        <v>44</v>
      </c>
      <c r="T214" s="6"/>
      <c r="U214" s="8">
        <v>5</v>
      </c>
      <c r="V214" s="5" t="s">
        <v>23</v>
      </c>
      <c r="W214" s="12">
        <v>58188373</v>
      </c>
      <c r="X214" s="6"/>
      <c r="Y214" s="6"/>
    </row>
    <row r="215" spans="1:25" ht="15" customHeight="1" x14ac:dyDescent="0.2">
      <c r="A215" s="88" t="s">
        <v>387</v>
      </c>
      <c r="B215" s="90"/>
      <c r="C215" s="88" t="s">
        <v>411</v>
      </c>
      <c r="D215" s="90"/>
      <c r="E215" s="106"/>
      <c r="F215" s="107"/>
      <c r="G215" s="107"/>
      <c r="H215" s="107"/>
      <c r="I215" s="108"/>
      <c r="J215" s="88" t="s">
        <v>13</v>
      </c>
      <c r="K215" s="89"/>
      <c r="L215" s="89"/>
      <c r="M215" s="90"/>
      <c r="N215" s="88" t="s">
        <v>26</v>
      </c>
      <c r="O215" s="89"/>
      <c r="P215" s="90"/>
      <c r="Q215" s="133">
        <v>6800</v>
      </c>
      <c r="R215" s="134"/>
      <c r="S215" s="5" t="s">
        <v>271</v>
      </c>
      <c r="T215" s="6"/>
      <c r="U215" s="8">
        <v>2</v>
      </c>
      <c r="V215" s="5" t="s">
        <v>23</v>
      </c>
      <c r="W215" s="12">
        <v>44387080</v>
      </c>
      <c r="X215" s="6"/>
      <c r="Y215" s="6"/>
    </row>
    <row r="216" spans="1:25" ht="15" customHeight="1" x14ac:dyDescent="0.2">
      <c r="A216" s="88" t="s">
        <v>412</v>
      </c>
      <c r="B216" s="90"/>
      <c r="C216" s="88" t="s">
        <v>413</v>
      </c>
      <c r="D216" s="90"/>
      <c r="E216" s="106"/>
      <c r="F216" s="107"/>
      <c r="G216" s="107"/>
      <c r="H216" s="107"/>
      <c r="I216" s="108"/>
      <c r="J216" s="88" t="s">
        <v>13</v>
      </c>
      <c r="K216" s="89"/>
      <c r="L216" s="89"/>
      <c r="M216" s="90"/>
      <c r="N216" s="88" t="s">
        <v>22</v>
      </c>
      <c r="O216" s="89"/>
      <c r="P216" s="90"/>
      <c r="Q216" s="133">
        <v>2000</v>
      </c>
      <c r="R216" s="134"/>
      <c r="S216" s="5" t="s">
        <v>27</v>
      </c>
      <c r="T216" s="6"/>
      <c r="U216" s="8">
        <v>5</v>
      </c>
      <c r="V216" s="5" t="s">
        <v>23</v>
      </c>
      <c r="W216" s="12">
        <v>8039948</v>
      </c>
      <c r="X216" s="6"/>
      <c r="Y216" s="6"/>
    </row>
    <row r="217" spans="1:25" ht="15" customHeight="1" x14ac:dyDescent="0.2">
      <c r="A217" s="88" t="s">
        <v>412</v>
      </c>
      <c r="B217" s="90"/>
      <c r="C217" s="88" t="s">
        <v>414</v>
      </c>
      <c r="D217" s="89"/>
      <c r="E217" s="89"/>
      <c r="F217" s="89"/>
      <c r="G217" s="89"/>
      <c r="H217" s="89"/>
      <c r="I217" s="90"/>
      <c r="J217" s="88" t="s">
        <v>13</v>
      </c>
      <c r="K217" s="89"/>
      <c r="L217" s="89"/>
      <c r="M217" s="90"/>
      <c r="N217" s="88" t="s">
        <v>22</v>
      </c>
      <c r="O217" s="89"/>
      <c r="P217" s="90"/>
      <c r="Q217" s="133">
        <v>2000</v>
      </c>
      <c r="R217" s="134"/>
      <c r="S217" s="5" t="s">
        <v>27</v>
      </c>
      <c r="T217" s="6"/>
      <c r="U217" s="8">
        <v>5</v>
      </c>
      <c r="V217" s="5" t="s">
        <v>23</v>
      </c>
      <c r="W217" s="12">
        <v>7197027</v>
      </c>
      <c r="X217" s="6"/>
      <c r="Y217" s="6"/>
    </row>
    <row r="218" spans="1:25" ht="15" customHeight="1" x14ac:dyDescent="0.2">
      <c r="A218" s="88" t="s">
        <v>412</v>
      </c>
      <c r="B218" s="90"/>
      <c r="C218" s="88" t="s">
        <v>415</v>
      </c>
      <c r="D218" s="90"/>
      <c r="E218" s="88" t="s">
        <v>416</v>
      </c>
      <c r="F218" s="89"/>
      <c r="G218" s="89"/>
      <c r="H218" s="89"/>
      <c r="I218" s="90"/>
      <c r="J218" s="88" t="s">
        <v>13</v>
      </c>
      <c r="K218" s="89"/>
      <c r="L218" s="89"/>
      <c r="M218" s="90"/>
      <c r="N218" s="88" t="s">
        <v>22</v>
      </c>
      <c r="O218" s="89"/>
      <c r="P218" s="90"/>
      <c r="Q218" s="133">
        <v>2000</v>
      </c>
      <c r="R218" s="134"/>
      <c r="S218" s="5" t="s">
        <v>27</v>
      </c>
      <c r="T218" s="6"/>
      <c r="U218" s="8">
        <v>5</v>
      </c>
      <c r="V218" s="5" t="s">
        <v>106</v>
      </c>
      <c r="W218" s="12">
        <v>25733956</v>
      </c>
      <c r="X218" s="6"/>
      <c r="Y218" s="6"/>
    </row>
    <row r="219" spans="1:25" ht="15" customHeight="1" x14ac:dyDescent="0.2">
      <c r="A219" s="88" t="s">
        <v>412</v>
      </c>
      <c r="B219" s="90"/>
      <c r="C219" s="88" t="s">
        <v>417</v>
      </c>
      <c r="D219" s="89"/>
      <c r="E219" s="89"/>
      <c r="F219" s="89"/>
      <c r="G219" s="89"/>
      <c r="H219" s="89"/>
      <c r="I219" s="90"/>
      <c r="J219" s="88" t="s">
        <v>13</v>
      </c>
      <c r="K219" s="89"/>
      <c r="L219" s="89"/>
      <c r="M219" s="90"/>
      <c r="N219" s="88" t="s">
        <v>26</v>
      </c>
      <c r="O219" s="89"/>
      <c r="P219" s="90"/>
      <c r="Q219" s="133">
        <v>2000</v>
      </c>
      <c r="R219" s="134"/>
      <c r="S219" s="5" t="s">
        <v>27</v>
      </c>
      <c r="T219" s="6"/>
      <c r="U219" s="8">
        <v>5</v>
      </c>
      <c r="V219" s="5" t="s">
        <v>106</v>
      </c>
      <c r="W219" s="12">
        <v>10411695</v>
      </c>
      <c r="X219" s="6"/>
      <c r="Y219" s="6"/>
    </row>
    <row r="220" spans="1:25" ht="15" customHeight="1" x14ac:dyDescent="0.2">
      <c r="A220" s="88" t="s">
        <v>412</v>
      </c>
      <c r="B220" s="90"/>
      <c r="C220" s="88" t="s">
        <v>418</v>
      </c>
      <c r="D220" s="89"/>
      <c r="E220" s="89"/>
      <c r="F220" s="89"/>
      <c r="G220" s="89"/>
      <c r="H220" s="89"/>
      <c r="I220" s="90"/>
      <c r="J220" s="88" t="s">
        <v>13</v>
      </c>
      <c r="K220" s="89"/>
      <c r="L220" s="89"/>
      <c r="M220" s="90"/>
      <c r="N220" s="88" t="s">
        <v>419</v>
      </c>
      <c r="O220" s="89"/>
      <c r="P220" s="90"/>
      <c r="Q220" s="133">
        <v>2000</v>
      </c>
      <c r="R220" s="134"/>
      <c r="S220" s="5" t="s">
        <v>27</v>
      </c>
      <c r="T220" s="6"/>
      <c r="U220" s="8">
        <v>5</v>
      </c>
      <c r="V220" s="5" t="s">
        <v>106</v>
      </c>
      <c r="W220" s="12">
        <v>18386794</v>
      </c>
      <c r="X220" s="6"/>
      <c r="Y220" s="6"/>
    </row>
    <row r="221" spans="1:25" ht="15" customHeight="1" x14ac:dyDescent="0.2">
      <c r="A221" s="88" t="s">
        <v>412</v>
      </c>
      <c r="B221" s="90"/>
      <c r="C221" s="88" t="s">
        <v>420</v>
      </c>
      <c r="D221" s="90"/>
      <c r="E221" s="106"/>
      <c r="F221" s="107"/>
      <c r="G221" s="107"/>
      <c r="H221" s="107"/>
      <c r="I221" s="108"/>
      <c r="J221" s="88" t="s">
        <v>13</v>
      </c>
      <c r="K221" s="89"/>
      <c r="L221" s="89"/>
      <c r="M221" s="90"/>
      <c r="N221" s="88" t="s">
        <v>419</v>
      </c>
      <c r="O221" s="89"/>
      <c r="P221" s="90"/>
      <c r="Q221" s="133">
        <v>2000</v>
      </c>
      <c r="R221" s="134"/>
      <c r="S221" s="5" t="s">
        <v>27</v>
      </c>
      <c r="T221" s="6"/>
      <c r="U221" s="8">
        <v>5</v>
      </c>
      <c r="V221" s="5" t="s">
        <v>106</v>
      </c>
      <c r="W221" s="12">
        <v>7565959</v>
      </c>
      <c r="X221" s="6"/>
      <c r="Y221" s="6"/>
    </row>
    <row r="222" spans="1:25" ht="15" customHeight="1" x14ac:dyDescent="0.2">
      <c r="A222" s="88" t="s">
        <v>412</v>
      </c>
      <c r="B222" s="90"/>
      <c r="C222" s="88" t="s">
        <v>421</v>
      </c>
      <c r="D222" s="90"/>
      <c r="E222" s="106"/>
      <c r="F222" s="107"/>
      <c r="G222" s="107"/>
      <c r="H222" s="107"/>
      <c r="I222" s="108"/>
      <c r="J222" s="88" t="s">
        <v>13</v>
      </c>
      <c r="K222" s="89"/>
      <c r="L222" s="89"/>
      <c r="M222" s="90"/>
      <c r="N222" s="88" t="s">
        <v>26</v>
      </c>
      <c r="O222" s="89"/>
      <c r="P222" s="90"/>
      <c r="Q222" s="133">
        <v>2000</v>
      </c>
      <c r="R222" s="134"/>
      <c r="S222" s="5" t="s">
        <v>27</v>
      </c>
      <c r="T222" s="6"/>
      <c r="U222" s="8">
        <v>5</v>
      </c>
      <c r="V222" s="5" t="s">
        <v>106</v>
      </c>
      <c r="W222" s="12">
        <v>8872230</v>
      </c>
      <c r="X222" s="6"/>
      <c r="Y222" s="6"/>
    </row>
    <row r="223" spans="1:25" ht="15" customHeight="1" x14ac:dyDescent="0.2">
      <c r="A223" s="88" t="s">
        <v>412</v>
      </c>
      <c r="B223" s="90"/>
      <c r="C223" s="88" t="s">
        <v>422</v>
      </c>
      <c r="D223" s="90"/>
      <c r="E223" s="106"/>
      <c r="F223" s="107"/>
      <c r="G223" s="107"/>
      <c r="H223" s="107"/>
      <c r="I223" s="108"/>
      <c r="J223" s="88" t="s">
        <v>13</v>
      </c>
      <c r="K223" s="89"/>
      <c r="L223" s="89"/>
      <c r="M223" s="90"/>
      <c r="N223" s="88" t="s">
        <v>26</v>
      </c>
      <c r="O223" s="89"/>
      <c r="P223" s="90"/>
      <c r="Q223" s="133">
        <v>2000</v>
      </c>
      <c r="R223" s="134"/>
      <c r="S223" s="5" t="s">
        <v>27</v>
      </c>
      <c r="T223" s="6"/>
      <c r="U223" s="8">
        <v>5</v>
      </c>
      <c r="V223" s="5" t="s">
        <v>106</v>
      </c>
      <c r="W223" s="12">
        <v>7197027</v>
      </c>
      <c r="X223" s="6"/>
      <c r="Y223" s="6"/>
    </row>
    <row r="224" spans="1:25" ht="15" customHeight="1" x14ac:dyDescent="0.2">
      <c r="A224" s="88" t="s">
        <v>412</v>
      </c>
      <c r="B224" s="90"/>
      <c r="C224" s="88" t="s">
        <v>423</v>
      </c>
      <c r="D224" s="90"/>
      <c r="E224" s="88" t="s">
        <v>424</v>
      </c>
      <c r="F224" s="89"/>
      <c r="G224" s="89"/>
      <c r="H224" s="89"/>
      <c r="I224" s="90"/>
      <c r="J224" s="88" t="s">
        <v>13</v>
      </c>
      <c r="K224" s="89"/>
      <c r="L224" s="89"/>
      <c r="M224" s="90"/>
      <c r="N224" s="88" t="s">
        <v>26</v>
      </c>
      <c r="O224" s="89"/>
      <c r="P224" s="90"/>
      <c r="Q224" s="133">
        <v>2000</v>
      </c>
      <c r="R224" s="134"/>
      <c r="S224" s="5" t="s">
        <v>27</v>
      </c>
      <c r="T224" s="6"/>
      <c r="U224" s="8">
        <v>5</v>
      </c>
      <c r="V224" s="5" t="s">
        <v>106</v>
      </c>
      <c r="W224" s="12">
        <v>3393910</v>
      </c>
      <c r="X224" s="6"/>
      <c r="Y224" s="6"/>
    </row>
    <row r="225" spans="1:25" ht="15" customHeight="1" x14ac:dyDescent="0.2">
      <c r="A225" s="88" t="s">
        <v>412</v>
      </c>
      <c r="B225" s="90"/>
      <c r="C225" s="88" t="s">
        <v>425</v>
      </c>
      <c r="D225" s="90"/>
      <c r="E225" s="106"/>
      <c r="F225" s="107"/>
      <c r="G225" s="107"/>
      <c r="H225" s="107"/>
      <c r="I225" s="108"/>
      <c r="J225" s="88" t="s">
        <v>13</v>
      </c>
      <c r="K225" s="89"/>
      <c r="L225" s="89"/>
      <c r="M225" s="90"/>
      <c r="N225" s="88" t="s">
        <v>26</v>
      </c>
      <c r="O225" s="89"/>
      <c r="P225" s="90"/>
      <c r="Q225" s="133">
        <v>2000</v>
      </c>
      <c r="R225" s="134"/>
      <c r="S225" s="5" t="s">
        <v>27</v>
      </c>
      <c r="T225" s="6"/>
      <c r="U225" s="8">
        <v>5</v>
      </c>
      <c r="V225" s="5" t="s">
        <v>23</v>
      </c>
      <c r="W225" s="12">
        <v>10889578</v>
      </c>
      <c r="X225" s="6"/>
      <c r="Y225" s="6"/>
    </row>
    <row r="226" spans="1:25" ht="15" customHeight="1" x14ac:dyDescent="0.2">
      <c r="A226" s="88" t="s">
        <v>412</v>
      </c>
      <c r="B226" s="90"/>
      <c r="C226" s="88" t="s">
        <v>426</v>
      </c>
      <c r="D226" s="89"/>
      <c r="E226" s="89"/>
      <c r="F226" s="89"/>
      <c r="G226" s="89"/>
      <c r="H226" s="89"/>
      <c r="I226" s="90"/>
      <c r="J226" s="88" t="s">
        <v>13</v>
      </c>
      <c r="K226" s="89"/>
      <c r="L226" s="89"/>
      <c r="M226" s="90"/>
      <c r="N226" s="88" t="s">
        <v>26</v>
      </c>
      <c r="O226" s="89"/>
      <c r="P226" s="90"/>
      <c r="Q226" s="133">
        <v>2000</v>
      </c>
      <c r="R226" s="134"/>
      <c r="S226" s="5" t="s">
        <v>27</v>
      </c>
      <c r="T226" s="6"/>
      <c r="U226" s="8">
        <v>5</v>
      </c>
      <c r="V226" s="5" t="s">
        <v>23</v>
      </c>
      <c r="W226" s="12">
        <v>27223580</v>
      </c>
      <c r="X226" s="6"/>
      <c r="Y226" s="6"/>
    </row>
    <row r="227" spans="1:25" ht="15" customHeight="1" x14ac:dyDescent="0.2">
      <c r="A227" s="88" t="s">
        <v>412</v>
      </c>
      <c r="B227" s="90"/>
      <c r="C227" s="88" t="s">
        <v>427</v>
      </c>
      <c r="D227" s="89"/>
      <c r="E227" s="89"/>
      <c r="F227" s="89"/>
      <c r="G227" s="89"/>
      <c r="H227" s="89"/>
      <c r="I227" s="90"/>
      <c r="J227" s="88" t="s">
        <v>13</v>
      </c>
      <c r="K227" s="89"/>
      <c r="L227" s="89"/>
      <c r="M227" s="90"/>
      <c r="N227" s="88" t="s">
        <v>26</v>
      </c>
      <c r="O227" s="89"/>
      <c r="P227" s="90"/>
      <c r="Q227" s="133">
        <v>2000</v>
      </c>
      <c r="R227" s="134"/>
      <c r="S227" s="5" t="s">
        <v>27</v>
      </c>
      <c r="T227" s="6"/>
      <c r="U227" s="8">
        <v>5</v>
      </c>
      <c r="V227" s="5" t="s">
        <v>23</v>
      </c>
      <c r="W227" s="12">
        <v>25202133</v>
      </c>
      <c r="X227" s="6"/>
      <c r="Y227" s="6"/>
    </row>
    <row r="228" spans="1:25" ht="15" customHeight="1" x14ac:dyDescent="0.2">
      <c r="A228" s="88" t="s">
        <v>412</v>
      </c>
      <c r="B228" s="90"/>
      <c r="C228" s="88" t="s">
        <v>428</v>
      </c>
      <c r="D228" s="90"/>
      <c r="E228" s="106"/>
      <c r="F228" s="107"/>
      <c r="G228" s="107"/>
      <c r="H228" s="107"/>
      <c r="I228" s="108"/>
      <c r="J228" s="88" t="s">
        <v>13</v>
      </c>
      <c r="K228" s="89"/>
      <c r="L228" s="89"/>
      <c r="M228" s="90"/>
      <c r="N228" s="88" t="s">
        <v>26</v>
      </c>
      <c r="O228" s="89"/>
      <c r="P228" s="90"/>
      <c r="Q228" s="133">
        <v>2000</v>
      </c>
      <c r="R228" s="134"/>
      <c r="S228" s="5" t="s">
        <v>27</v>
      </c>
      <c r="T228" s="6"/>
      <c r="U228" s="8">
        <v>5</v>
      </c>
      <c r="V228" s="5" t="s">
        <v>23</v>
      </c>
      <c r="W228" s="12">
        <v>29223206</v>
      </c>
      <c r="X228" s="6"/>
      <c r="Y228" s="6"/>
    </row>
    <row r="229" spans="1:25" ht="15" customHeight="1" x14ac:dyDescent="0.2">
      <c r="A229" s="88" t="s">
        <v>412</v>
      </c>
      <c r="B229" s="90"/>
      <c r="C229" s="88" t="s">
        <v>429</v>
      </c>
      <c r="D229" s="90"/>
      <c r="E229" s="88" t="s">
        <v>430</v>
      </c>
      <c r="F229" s="89"/>
      <c r="G229" s="89"/>
      <c r="H229" s="89"/>
      <c r="I229" s="90"/>
      <c r="J229" s="88" t="s">
        <v>13</v>
      </c>
      <c r="K229" s="89"/>
      <c r="L229" s="89"/>
      <c r="M229" s="90"/>
      <c r="N229" s="88" t="s">
        <v>26</v>
      </c>
      <c r="O229" s="89"/>
      <c r="P229" s="90"/>
      <c r="Q229" s="133">
        <v>2000</v>
      </c>
      <c r="R229" s="134"/>
      <c r="S229" s="5" t="s">
        <v>44</v>
      </c>
      <c r="T229" s="6"/>
      <c r="U229" s="8">
        <v>5</v>
      </c>
      <c r="V229" s="5" t="s">
        <v>176</v>
      </c>
      <c r="W229" s="12">
        <v>18027333</v>
      </c>
      <c r="X229" s="6"/>
      <c r="Y229" s="6"/>
    </row>
    <row r="230" spans="1:25" ht="15" customHeight="1" x14ac:dyDescent="0.2">
      <c r="A230" s="88" t="s">
        <v>412</v>
      </c>
      <c r="B230" s="90"/>
      <c r="C230" s="88" t="s">
        <v>431</v>
      </c>
      <c r="D230" s="90"/>
      <c r="E230" s="88" t="s">
        <v>432</v>
      </c>
      <c r="F230" s="89"/>
      <c r="G230" s="89"/>
      <c r="H230" s="89"/>
      <c r="I230" s="90"/>
      <c r="J230" s="88" t="s">
        <v>13</v>
      </c>
      <c r="K230" s="89"/>
      <c r="L230" s="89"/>
      <c r="M230" s="90"/>
      <c r="N230" s="88" t="s">
        <v>26</v>
      </c>
      <c r="O230" s="89"/>
      <c r="P230" s="90"/>
      <c r="Q230" s="133">
        <v>2000</v>
      </c>
      <c r="R230" s="134"/>
      <c r="S230" s="5" t="s">
        <v>271</v>
      </c>
      <c r="T230" s="6"/>
      <c r="U230" s="8">
        <v>2</v>
      </c>
      <c r="V230" s="5" t="s">
        <v>106</v>
      </c>
      <c r="W230" s="12">
        <v>8683069</v>
      </c>
      <c r="X230" s="6"/>
      <c r="Y230" s="6"/>
    </row>
    <row r="231" spans="1:25" ht="15" customHeight="1" x14ac:dyDescent="0.2">
      <c r="A231" s="88" t="s">
        <v>412</v>
      </c>
      <c r="B231" s="90"/>
      <c r="C231" s="88" t="s">
        <v>433</v>
      </c>
      <c r="D231" s="90"/>
      <c r="E231" s="106"/>
      <c r="F231" s="107"/>
      <c r="G231" s="107"/>
      <c r="H231" s="107"/>
      <c r="I231" s="108"/>
      <c r="J231" s="88" t="s">
        <v>13</v>
      </c>
      <c r="K231" s="89"/>
      <c r="L231" s="89"/>
      <c r="M231" s="90"/>
      <c r="N231" s="88" t="s">
        <v>26</v>
      </c>
      <c r="O231" s="89"/>
      <c r="P231" s="90"/>
      <c r="Q231" s="133">
        <v>2000</v>
      </c>
      <c r="R231" s="134"/>
      <c r="S231" s="5" t="s">
        <v>271</v>
      </c>
      <c r="T231" s="6"/>
      <c r="U231" s="8">
        <v>2</v>
      </c>
      <c r="V231" s="5" t="s">
        <v>106</v>
      </c>
      <c r="W231" s="12">
        <v>9688744</v>
      </c>
      <c r="X231" s="6"/>
      <c r="Y231" s="6"/>
    </row>
    <row r="232" spans="1:25" ht="15" customHeight="1" x14ac:dyDescent="0.2">
      <c r="A232" s="88" t="s">
        <v>412</v>
      </c>
      <c r="B232" s="90"/>
      <c r="C232" s="88" t="s">
        <v>434</v>
      </c>
      <c r="D232" s="90"/>
      <c r="E232" s="88" t="s">
        <v>435</v>
      </c>
      <c r="F232" s="89"/>
      <c r="G232" s="89"/>
      <c r="H232" s="89"/>
      <c r="I232" s="90"/>
      <c r="J232" s="88" t="s">
        <v>13</v>
      </c>
      <c r="K232" s="89"/>
      <c r="L232" s="89"/>
      <c r="M232" s="90"/>
      <c r="N232" s="88" t="s">
        <v>26</v>
      </c>
      <c r="O232" s="89"/>
      <c r="P232" s="90"/>
      <c r="Q232" s="133">
        <v>2000</v>
      </c>
      <c r="R232" s="134"/>
      <c r="S232" s="5" t="s">
        <v>119</v>
      </c>
      <c r="T232" s="6"/>
      <c r="U232" s="8">
        <v>2</v>
      </c>
      <c r="V232" s="5" t="s">
        <v>23</v>
      </c>
      <c r="W232" s="12">
        <v>9892208</v>
      </c>
      <c r="X232" s="6"/>
      <c r="Y232" s="6"/>
    </row>
    <row r="233" spans="1:25" ht="15" customHeight="1" x14ac:dyDescent="0.2">
      <c r="A233" s="88" t="s">
        <v>412</v>
      </c>
      <c r="B233" s="90"/>
      <c r="C233" s="88" t="s">
        <v>436</v>
      </c>
      <c r="D233" s="90"/>
      <c r="E233" s="106"/>
      <c r="F233" s="107"/>
      <c r="G233" s="107"/>
      <c r="H233" s="107"/>
      <c r="I233" s="108"/>
      <c r="J233" s="88" t="s">
        <v>13</v>
      </c>
      <c r="K233" s="89"/>
      <c r="L233" s="89"/>
      <c r="M233" s="90"/>
      <c r="N233" s="88" t="s">
        <v>26</v>
      </c>
      <c r="O233" s="89"/>
      <c r="P233" s="90"/>
      <c r="Q233" s="133">
        <v>2000</v>
      </c>
      <c r="R233" s="134"/>
      <c r="S233" s="5" t="s">
        <v>271</v>
      </c>
      <c r="T233" s="6"/>
      <c r="U233" s="8">
        <v>2</v>
      </c>
      <c r="V233" s="5" t="s">
        <v>23</v>
      </c>
      <c r="W233" s="12">
        <v>5763663</v>
      </c>
      <c r="X233" s="6"/>
      <c r="Y233" s="6"/>
    </row>
    <row r="234" spans="1:25" ht="15" customHeight="1" x14ac:dyDescent="0.2">
      <c r="A234" s="88" t="s">
        <v>412</v>
      </c>
      <c r="B234" s="90"/>
      <c r="C234" s="88" t="s">
        <v>437</v>
      </c>
      <c r="D234" s="90"/>
      <c r="E234" s="88" t="s">
        <v>438</v>
      </c>
      <c r="F234" s="89"/>
      <c r="G234" s="89"/>
      <c r="H234" s="89"/>
      <c r="I234" s="90"/>
      <c r="J234" s="88" t="s">
        <v>13</v>
      </c>
      <c r="K234" s="89"/>
      <c r="L234" s="89"/>
      <c r="M234" s="90"/>
      <c r="N234" s="88" t="s">
        <v>26</v>
      </c>
      <c r="O234" s="89"/>
      <c r="P234" s="90"/>
      <c r="Q234" s="133">
        <v>2000</v>
      </c>
      <c r="R234" s="134"/>
      <c r="S234" s="5" t="s">
        <v>271</v>
      </c>
      <c r="T234" s="6"/>
      <c r="U234" s="8">
        <v>2</v>
      </c>
      <c r="V234" s="5" t="s">
        <v>23</v>
      </c>
      <c r="W234" s="12">
        <v>11063121</v>
      </c>
      <c r="X234" s="6"/>
      <c r="Y234" s="6"/>
    </row>
    <row r="235" spans="1:25" ht="15" customHeight="1" x14ac:dyDescent="0.2">
      <c r="A235" s="88" t="s">
        <v>412</v>
      </c>
      <c r="B235" s="90"/>
      <c r="C235" s="88" t="s">
        <v>439</v>
      </c>
      <c r="D235" s="89"/>
      <c r="E235" s="89"/>
      <c r="F235" s="89"/>
      <c r="G235" s="89"/>
      <c r="H235" s="89"/>
      <c r="I235" s="90"/>
      <c r="J235" s="88" t="s">
        <v>13</v>
      </c>
      <c r="K235" s="89"/>
      <c r="L235" s="89"/>
      <c r="M235" s="90"/>
      <c r="N235" s="88" t="s">
        <v>26</v>
      </c>
      <c r="O235" s="89"/>
      <c r="P235" s="90"/>
      <c r="Q235" s="133">
        <v>2000</v>
      </c>
      <c r="R235" s="134"/>
      <c r="S235" s="5" t="s">
        <v>271</v>
      </c>
      <c r="T235" s="6"/>
      <c r="U235" s="8">
        <v>2</v>
      </c>
      <c r="V235" s="5" t="s">
        <v>23</v>
      </c>
      <c r="W235" s="12">
        <v>8362241</v>
      </c>
      <c r="X235" s="6"/>
      <c r="Y235" s="6"/>
    </row>
    <row r="236" spans="1:25" ht="15" customHeight="1" x14ac:dyDescent="0.2">
      <c r="A236" s="88" t="s">
        <v>412</v>
      </c>
      <c r="B236" s="90"/>
      <c r="C236" s="88" t="s">
        <v>440</v>
      </c>
      <c r="D236" s="90"/>
      <c r="E236" s="106"/>
      <c r="F236" s="107"/>
      <c r="G236" s="107"/>
      <c r="H236" s="107"/>
      <c r="I236" s="108"/>
      <c r="J236" s="88" t="s">
        <v>13</v>
      </c>
      <c r="K236" s="89"/>
      <c r="L236" s="89"/>
      <c r="M236" s="90"/>
      <c r="N236" s="88" t="s">
        <v>26</v>
      </c>
      <c r="O236" s="89"/>
      <c r="P236" s="90"/>
      <c r="Q236" s="133">
        <v>2000</v>
      </c>
      <c r="R236" s="134"/>
      <c r="S236" s="5" t="s">
        <v>271</v>
      </c>
      <c r="T236" s="6"/>
      <c r="U236" s="8">
        <v>2</v>
      </c>
      <c r="V236" s="5" t="s">
        <v>23</v>
      </c>
      <c r="W236" s="12">
        <v>16297607</v>
      </c>
      <c r="X236" s="6"/>
      <c r="Y236" s="6"/>
    </row>
    <row r="237" spans="1:25" ht="15" customHeight="1" x14ac:dyDescent="0.2">
      <c r="A237" s="88" t="s">
        <v>412</v>
      </c>
      <c r="B237" s="90"/>
      <c r="C237" s="88" t="s">
        <v>441</v>
      </c>
      <c r="D237" s="90"/>
      <c r="E237" s="106"/>
      <c r="F237" s="107"/>
      <c r="G237" s="107"/>
      <c r="H237" s="107"/>
      <c r="I237" s="108"/>
      <c r="J237" s="88" t="s">
        <v>13</v>
      </c>
      <c r="K237" s="89"/>
      <c r="L237" s="89"/>
      <c r="M237" s="90"/>
      <c r="N237" s="88" t="s">
        <v>26</v>
      </c>
      <c r="O237" s="89"/>
      <c r="P237" s="90"/>
      <c r="Q237" s="133">
        <v>2000</v>
      </c>
      <c r="R237" s="134"/>
      <c r="S237" s="5" t="s">
        <v>271</v>
      </c>
      <c r="T237" s="6"/>
      <c r="U237" s="8">
        <v>2</v>
      </c>
      <c r="V237" s="5" t="s">
        <v>23</v>
      </c>
      <c r="W237" s="12">
        <v>13687061</v>
      </c>
      <c r="X237" s="6"/>
      <c r="Y237" s="6"/>
    </row>
    <row r="238" spans="1:25" ht="15" customHeight="1" x14ac:dyDescent="0.2">
      <c r="A238" s="88" t="s">
        <v>412</v>
      </c>
      <c r="B238" s="90"/>
      <c r="C238" s="88" t="s">
        <v>442</v>
      </c>
      <c r="D238" s="90"/>
      <c r="E238" s="106"/>
      <c r="F238" s="107"/>
      <c r="G238" s="107"/>
      <c r="H238" s="107"/>
      <c r="I238" s="108"/>
      <c r="J238" s="88" t="s">
        <v>13</v>
      </c>
      <c r="K238" s="89"/>
      <c r="L238" s="89"/>
      <c r="M238" s="90"/>
      <c r="N238" s="88" t="s">
        <v>26</v>
      </c>
      <c r="O238" s="89"/>
      <c r="P238" s="90"/>
      <c r="Q238" s="133">
        <v>2000</v>
      </c>
      <c r="R238" s="134"/>
      <c r="S238" s="5" t="s">
        <v>271</v>
      </c>
      <c r="T238" s="6"/>
      <c r="U238" s="8">
        <v>2</v>
      </c>
      <c r="V238" s="5" t="s">
        <v>23</v>
      </c>
      <c r="W238" s="12">
        <v>5572168</v>
      </c>
      <c r="X238" s="6"/>
      <c r="Y238" s="6"/>
    </row>
    <row r="239" spans="1:25" ht="15" customHeight="1" x14ac:dyDescent="0.2">
      <c r="A239" s="88" t="s">
        <v>412</v>
      </c>
      <c r="B239" s="90"/>
      <c r="C239" s="88" t="s">
        <v>443</v>
      </c>
      <c r="D239" s="90"/>
      <c r="E239" s="106"/>
      <c r="F239" s="107"/>
      <c r="G239" s="107"/>
      <c r="H239" s="107"/>
      <c r="I239" s="108"/>
      <c r="J239" s="88" t="s">
        <v>13</v>
      </c>
      <c r="K239" s="89"/>
      <c r="L239" s="89"/>
      <c r="M239" s="90"/>
      <c r="N239" s="88" t="s">
        <v>26</v>
      </c>
      <c r="O239" s="89"/>
      <c r="P239" s="90"/>
      <c r="Q239" s="133">
        <v>2000</v>
      </c>
      <c r="R239" s="134"/>
      <c r="S239" s="5" t="s">
        <v>271</v>
      </c>
      <c r="T239" s="6"/>
      <c r="U239" s="8">
        <v>2</v>
      </c>
      <c r="V239" s="5" t="s">
        <v>23</v>
      </c>
      <c r="W239" s="12">
        <v>7266178</v>
      </c>
      <c r="X239" s="6"/>
      <c r="Y239" s="6"/>
    </row>
    <row r="240" spans="1:25" ht="15" customHeight="1" x14ac:dyDescent="0.2">
      <c r="A240" s="88" t="s">
        <v>412</v>
      </c>
      <c r="B240" s="90"/>
      <c r="C240" s="88" t="s">
        <v>444</v>
      </c>
      <c r="D240" s="89"/>
      <c r="E240" s="89"/>
      <c r="F240" s="89"/>
      <c r="G240" s="89"/>
      <c r="H240" s="89"/>
      <c r="I240" s="90"/>
      <c r="J240" s="88" t="s">
        <v>13</v>
      </c>
      <c r="K240" s="89"/>
      <c r="L240" s="89"/>
      <c r="M240" s="90"/>
      <c r="N240" s="88" t="s">
        <v>26</v>
      </c>
      <c r="O240" s="89"/>
      <c r="P240" s="90"/>
      <c r="Q240" s="133">
        <v>3000</v>
      </c>
      <c r="R240" s="134"/>
      <c r="S240" s="5" t="s">
        <v>271</v>
      </c>
      <c r="T240" s="6"/>
      <c r="U240" s="8">
        <v>2</v>
      </c>
      <c r="V240" s="5" t="s">
        <v>23</v>
      </c>
      <c r="W240" s="12">
        <v>14694405</v>
      </c>
      <c r="X240" s="6"/>
      <c r="Y240" s="6"/>
    </row>
    <row r="241" spans="1:25" ht="15" customHeight="1" x14ac:dyDescent="0.2">
      <c r="A241" s="88" t="s">
        <v>412</v>
      </c>
      <c r="B241" s="90"/>
      <c r="C241" s="88" t="s">
        <v>445</v>
      </c>
      <c r="D241" s="90"/>
      <c r="E241" s="106"/>
      <c r="F241" s="107"/>
      <c r="G241" s="107"/>
      <c r="H241" s="107"/>
      <c r="I241" s="108"/>
      <c r="J241" s="88" t="s">
        <v>13</v>
      </c>
      <c r="K241" s="89"/>
      <c r="L241" s="89"/>
      <c r="M241" s="90"/>
      <c r="N241" s="88" t="s">
        <v>26</v>
      </c>
      <c r="O241" s="89"/>
      <c r="P241" s="90"/>
      <c r="Q241" s="133">
        <v>2000</v>
      </c>
      <c r="R241" s="134"/>
      <c r="S241" s="5" t="s">
        <v>271</v>
      </c>
      <c r="T241" s="6"/>
      <c r="U241" s="8">
        <v>2</v>
      </c>
      <c r="V241" s="5" t="s">
        <v>23</v>
      </c>
      <c r="W241" s="12">
        <v>12818778</v>
      </c>
      <c r="X241" s="6"/>
      <c r="Y241" s="6"/>
    </row>
    <row r="242" spans="1:25" ht="15" customHeight="1" x14ac:dyDescent="0.2">
      <c r="A242" s="88" t="s">
        <v>412</v>
      </c>
      <c r="B242" s="90"/>
      <c r="C242" s="88" t="s">
        <v>446</v>
      </c>
      <c r="D242" s="90"/>
      <c r="E242" s="106"/>
      <c r="F242" s="107"/>
      <c r="G242" s="107"/>
      <c r="H242" s="107"/>
      <c r="I242" s="108"/>
      <c r="J242" s="88" t="s">
        <v>13</v>
      </c>
      <c r="K242" s="89"/>
      <c r="L242" s="89"/>
      <c r="M242" s="90"/>
      <c r="N242" s="88" t="s">
        <v>26</v>
      </c>
      <c r="O242" s="89"/>
      <c r="P242" s="90"/>
      <c r="Q242" s="133">
        <v>2000</v>
      </c>
      <c r="R242" s="134"/>
      <c r="S242" s="5" t="s">
        <v>271</v>
      </c>
      <c r="T242" s="6"/>
      <c r="U242" s="8">
        <v>2</v>
      </c>
      <c r="V242" s="5" t="s">
        <v>23</v>
      </c>
      <c r="W242" s="12">
        <v>20859296</v>
      </c>
      <c r="X242" s="6"/>
      <c r="Y242" s="6"/>
    </row>
    <row r="243" spans="1:25" ht="15" customHeight="1" x14ac:dyDescent="0.2">
      <c r="A243" s="88" t="s">
        <v>412</v>
      </c>
      <c r="B243" s="90"/>
      <c r="C243" s="88" t="s">
        <v>447</v>
      </c>
      <c r="D243" s="90"/>
      <c r="E243" s="106"/>
      <c r="F243" s="107"/>
      <c r="G243" s="107"/>
      <c r="H243" s="107"/>
      <c r="I243" s="108"/>
      <c r="J243" s="88" t="s">
        <v>13</v>
      </c>
      <c r="K243" s="89"/>
      <c r="L243" s="89"/>
      <c r="M243" s="90"/>
      <c r="N243" s="88" t="s">
        <v>26</v>
      </c>
      <c r="O243" s="89"/>
      <c r="P243" s="90"/>
      <c r="Q243" s="133">
        <v>3000</v>
      </c>
      <c r="R243" s="134"/>
      <c r="S243" s="5" t="s">
        <v>271</v>
      </c>
      <c r="T243" s="6"/>
      <c r="U243" s="8">
        <v>2</v>
      </c>
      <c r="V243" s="5" t="s">
        <v>23</v>
      </c>
      <c r="W243" s="12">
        <v>15408197</v>
      </c>
      <c r="X243" s="6"/>
      <c r="Y243" s="6"/>
    </row>
    <row r="244" spans="1:25" ht="15" customHeight="1" x14ac:dyDescent="0.2">
      <c r="A244" s="88" t="s">
        <v>412</v>
      </c>
      <c r="B244" s="90"/>
      <c r="C244" s="88" t="s">
        <v>448</v>
      </c>
      <c r="D244" s="89"/>
      <c r="E244" s="89"/>
      <c r="F244" s="89"/>
      <c r="G244" s="89"/>
      <c r="H244" s="89"/>
      <c r="I244" s="90"/>
      <c r="J244" s="88" t="s">
        <v>13</v>
      </c>
      <c r="K244" s="89"/>
      <c r="L244" s="89"/>
      <c r="M244" s="90"/>
      <c r="N244" s="88" t="s">
        <v>22</v>
      </c>
      <c r="O244" s="89"/>
      <c r="P244" s="90"/>
      <c r="Q244" s="133">
        <v>3000</v>
      </c>
      <c r="R244" s="134"/>
      <c r="S244" s="5" t="s">
        <v>271</v>
      </c>
      <c r="T244" s="6"/>
      <c r="U244" s="8">
        <v>2</v>
      </c>
      <c r="V244" s="5" t="s">
        <v>23</v>
      </c>
      <c r="W244" s="12">
        <v>15683064</v>
      </c>
      <c r="X244" s="6"/>
      <c r="Y244" s="6"/>
    </row>
    <row r="245" spans="1:25" ht="15" customHeight="1" x14ac:dyDescent="0.2">
      <c r="A245" s="88" t="s">
        <v>412</v>
      </c>
      <c r="B245" s="90"/>
      <c r="C245" s="88" t="s">
        <v>449</v>
      </c>
      <c r="D245" s="90"/>
      <c r="E245" s="106"/>
      <c r="F245" s="107"/>
      <c r="G245" s="107"/>
      <c r="H245" s="107"/>
      <c r="I245" s="108"/>
      <c r="J245" s="88" t="s">
        <v>13</v>
      </c>
      <c r="K245" s="89"/>
      <c r="L245" s="89"/>
      <c r="M245" s="90"/>
      <c r="N245" s="88" t="s">
        <v>22</v>
      </c>
      <c r="O245" s="89"/>
      <c r="P245" s="90"/>
      <c r="Q245" s="133">
        <v>2000</v>
      </c>
      <c r="R245" s="134"/>
      <c r="S245" s="5" t="s">
        <v>271</v>
      </c>
      <c r="T245" s="6"/>
      <c r="U245" s="8">
        <v>2</v>
      </c>
      <c r="V245" s="5" t="s">
        <v>23</v>
      </c>
      <c r="W245" s="12">
        <v>19952544</v>
      </c>
      <c r="X245" s="6"/>
      <c r="Y245" s="6"/>
    </row>
    <row r="246" spans="1:25" ht="15" customHeight="1" x14ac:dyDescent="0.2">
      <c r="A246" s="88" t="s">
        <v>412</v>
      </c>
      <c r="B246" s="90"/>
      <c r="C246" s="88" t="s">
        <v>450</v>
      </c>
      <c r="D246" s="90"/>
      <c r="E246" s="106"/>
      <c r="F246" s="107"/>
      <c r="G246" s="107"/>
      <c r="H246" s="107"/>
      <c r="I246" s="108"/>
      <c r="J246" s="88" t="s">
        <v>13</v>
      </c>
      <c r="K246" s="89"/>
      <c r="L246" s="89"/>
      <c r="M246" s="90"/>
      <c r="N246" s="88" t="s">
        <v>22</v>
      </c>
      <c r="O246" s="89"/>
      <c r="P246" s="90"/>
      <c r="Q246" s="133">
        <v>2000</v>
      </c>
      <c r="R246" s="134"/>
      <c r="S246" s="5" t="s">
        <v>271</v>
      </c>
      <c r="T246" s="6"/>
      <c r="U246" s="8">
        <v>2</v>
      </c>
      <c r="V246" s="5" t="s">
        <v>106</v>
      </c>
      <c r="W246" s="12">
        <v>13945332</v>
      </c>
      <c r="X246" s="6"/>
      <c r="Y246" s="6"/>
    </row>
    <row r="247" spans="1:25" ht="15" customHeight="1" x14ac:dyDescent="0.2">
      <c r="A247" s="88" t="s">
        <v>412</v>
      </c>
      <c r="B247" s="90"/>
      <c r="C247" s="88" t="s">
        <v>451</v>
      </c>
      <c r="D247" s="90"/>
      <c r="E247" s="106"/>
      <c r="F247" s="107"/>
      <c r="G247" s="107"/>
      <c r="H247" s="107"/>
      <c r="I247" s="108"/>
      <c r="J247" s="88" t="s">
        <v>13</v>
      </c>
      <c r="K247" s="89"/>
      <c r="L247" s="89"/>
      <c r="M247" s="90"/>
      <c r="N247" s="88" t="s">
        <v>26</v>
      </c>
      <c r="O247" s="89"/>
      <c r="P247" s="90"/>
      <c r="Q247" s="133">
        <v>4400</v>
      </c>
      <c r="R247" s="134"/>
      <c r="S247" s="5" t="s">
        <v>271</v>
      </c>
      <c r="T247" s="6"/>
      <c r="U247" s="8">
        <v>2</v>
      </c>
      <c r="V247" s="5" t="s">
        <v>23</v>
      </c>
      <c r="W247" s="12">
        <v>9094067</v>
      </c>
      <c r="X247" s="6"/>
      <c r="Y247" s="6"/>
    </row>
    <row r="248" spans="1:25" ht="15" customHeight="1" x14ac:dyDescent="0.2">
      <c r="A248" s="88" t="s">
        <v>412</v>
      </c>
      <c r="B248" s="90"/>
      <c r="C248" s="88" t="s">
        <v>451</v>
      </c>
      <c r="D248" s="90"/>
      <c r="E248" s="106"/>
      <c r="F248" s="107"/>
      <c r="G248" s="107"/>
      <c r="H248" s="107"/>
      <c r="I248" s="108"/>
      <c r="J248" s="88" t="s">
        <v>13</v>
      </c>
      <c r="K248" s="89"/>
      <c r="L248" s="89"/>
      <c r="M248" s="90"/>
      <c r="N248" s="88" t="s">
        <v>26</v>
      </c>
      <c r="O248" s="89"/>
      <c r="P248" s="90"/>
      <c r="Q248" s="133">
        <v>3000</v>
      </c>
      <c r="R248" s="134"/>
      <c r="S248" s="5" t="s">
        <v>271</v>
      </c>
      <c r="T248" s="6"/>
      <c r="U248" s="8">
        <v>2</v>
      </c>
      <c r="V248" s="5" t="s">
        <v>96</v>
      </c>
      <c r="W248" s="12">
        <v>16131759</v>
      </c>
      <c r="X248" s="6"/>
      <c r="Y248" s="6"/>
    </row>
    <row r="249" spans="1:25" ht="15" customHeight="1" x14ac:dyDescent="0.2">
      <c r="A249" s="88" t="s">
        <v>412</v>
      </c>
      <c r="B249" s="90"/>
      <c r="C249" s="88" t="s">
        <v>452</v>
      </c>
      <c r="D249" s="90"/>
      <c r="E249" s="106"/>
      <c r="F249" s="107"/>
      <c r="G249" s="107"/>
      <c r="H249" s="107"/>
      <c r="I249" s="108"/>
      <c r="J249" s="88" t="s">
        <v>13</v>
      </c>
      <c r="K249" s="89"/>
      <c r="L249" s="89"/>
      <c r="M249" s="90"/>
      <c r="N249" s="88" t="s">
        <v>26</v>
      </c>
      <c r="O249" s="89"/>
      <c r="P249" s="90"/>
      <c r="Q249" s="133">
        <v>3000</v>
      </c>
      <c r="R249" s="134"/>
      <c r="S249" s="5" t="s">
        <v>271</v>
      </c>
      <c r="T249" s="6"/>
      <c r="U249" s="8">
        <v>2</v>
      </c>
      <c r="V249" s="5" t="s">
        <v>96</v>
      </c>
      <c r="W249" s="12">
        <v>9947328</v>
      </c>
      <c r="X249" s="6"/>
      <c r="Y249" s="6"/>
    </row>
    <row r="250" spans="1:25" ht="15" customHeight="1" x14ac:dyDescent="0.2">
      <c r="A250" s="88" t="s">
        <v>412</v>
      </c>
      <c r="B250" s="90"/>
      <c r="C250" s="88" t="s">
        <v>453</v>
      </c>
      <c r="D250" s="90"/>
      <c r="E250" s="88" t="s">
        <v>454</v>
      </c>
      <c r="F250" s="89"/>
      <c r="G250" s="89"/>
      <c r="H250" s="89"/>
      <c r="I250" s="90"/>
      <c r="J250" s="88" t="s">
        <v>13</v>
      </c>
      <c r="K250" s="89"/>
      <c r="L250" s="89"/>
      <c r="M250" s="90"/>
      <c r="N250" s="88" t="s">
        <v>26</v>
      </c>
      <c r="O250" s="89"/>
      <c r="P250" s="90"/>
      <c r="Q250" s="133">
        <v>3000</v>
      </c>
      <c r="R250" s="134"/>
      <c r="S250" s="5" t="s">
        <v>271</v>
      </c>
      <c r="T250" s="6"/>
      <c r="U250" s="8">
        <v>2</v>
      </c>
      <c r="V250" s="5" t="s">
        <v>106</v>
      </c>
      <c r="W250" s="12">
        <v>30638849</v>
      </c>
      <c r="X250" s="6"/>
      <c r="Y250" s="6"/>
    </row>
    <row r="251" spans="1:25" ht="15" customHeight="1" x14ac:dyDescent="0.2">
      <c r="A251" s="88" t="s">
        <v>412</v>
      </c>
      <c r="B251" s="90"/>
      <c r="C251" s="88" t="s">
        <v>455</v>
      </c>
      <c r="D251" s="90"/>
      <c r="E251" s="106"/>
      <c r="F251" s="107"/>
      <c r="G251" s="107"/>
      <c r="H251" s="107"/>
      <c r="I251" s="108"/>
      <c r="J251" s="88" t="s">
        <v>13</v>
      </c>
      <c r="K251" s="89"/>
      <c r="L251" s="89"/>
      <c r="M251" s="90"/>
      <c r="N251" s="88" t="s">
        <v>26</v>
      </c>
      <c r="O251" s="89"/>
      <c r="P251" s="90"/>
      <c r="Q251" s="133">
        <v>3000</v>
      </c>
      <c r="R251" s="134"/>
      <c r="S251" s="5" t="s">
        <v>271</v>
      </c>
      <c r="T251" s="6"/>
      <c r="U251" s="8">
        <v>2</v>
      </c>
      <c r="V251" s="5" t="s">
        <v>23</v>
      </c>
      <c r="W251" s="12">
        <v>26817874</v>
      </c>
      <c r="X251" s="6"/>
      <c r="Y251" s="6"/>
    </row>
    <row r="252" spans="1:25" ht="15" customHeight="1" x14ac:dyDescent="0.2">
      <c r="A252" s="88" t="s">
        <v>412</v>
      </c>
      <c r="B252" s="90"/>
      <c r="C252" s="88" t="s">
        <v>456</v>
      </c>
      <c r="D252" s="90"/>
      <c r="E252" s="106"/>
      <c r="F252" s="107"/>
      <c r="G252" s="107"/>
      <c r="H252" s="107"/>
      <c r="I252" s="108"/>
      <c r="J252" s="88" t="s">
        <v>13</v>
      </c>
      <c r="K252" s="89"/>
      <c r="L252" s="89"/>
      <c r="M252" s="90"/>
      <c r="N252" s="88" t="s">
        <v>26</v>
      </c>
      <c r="O252" s="89"/>
      <c r="P252" s="90"/>
      <c r="Q252" s="133">
        <v>3000</v>
      </c>
      <c r="R252" s="134"/>
      <c r="S252" s="5" t="s">
        <v>271</v>
      </c>
      <c r="T252" s="6"/>
      <c r="U252" s="8">
        <v>2</v>
      </c>
      <c r="V252" s="5" t="s">
        <v>23</v>
      </c>
      <c r="W252" s="12">
        <v>27347987</v>
      </c>
      <c r="X252" s="6"/>
      <c r="Y252" s="6"/>
    </row>
    <row r="253" spans="1:25" ht="15" customHeight="1" x14ac:dyDescent="0.2">
      <c r="A253" s="88" t="s">
        <v>412</v>
      </c>
      <c r="B253" s="90"/>
      <c r="C253" s="88" t="s">
        <v>457</v>
      </c>
      <c r="D253" s="90"/>
      <c r="E253" s="106"/>
      <c r="F253" s="107"/>
      <c r="G253" s="107"/>
      <c r="H253" s="107"/>
      <c r="I253" s="108"/>
      <c r="J253" s="88" t="s">
        <v>13</v>
      </c>
      <c r="K253" s="89"/>
      <c r="L253" s="89"/>
      <c r="M253" s="90"/>
      <c r="N253" s="88" t="s">
        <v>26</v>
      </c>
      <c r="O253" s="89"/>
      <c r="P253" s="90"/>
      <c r="Q253" s="133">
        <v>3000</v>
      </c>
      <c r="R253" s="134"/>
      <c r="S253" s="5" t="s">
        <v>271</v>
      </c>
      <c r="T253" s="6"/>
      <c r="U253" s="8">
        <v>2</v>
      </c>
      <c r="V253" s="5" t="s">
        <v>23</v>
      </c>
      <c r="W253" s="12">
        <v>18571776</v>
      </c>
      <c r="X253" s="6"/>
      <c r="Y253" s="6"/>
    </row>
    <row r="254" spans="1:25" ht="15" customHeight="1" x14ac:dyDescent="0.2">
      <c r="A254" s="88" t="s">
        <v>412</v>
      </c>
      <c r="B254" s="90"/>
      <c r="C254" s="88" t="s">
        <v>458</v>
      </c>
      <c r="D254" s="90"/>
      <c r="E254" s="106"/>
      <c r="F254" s="107"/>
      <c r="G254" s="107"/>
      <c r="H254" s="107"/>
      <c r="I254" s="108"/>
      <c r="J254" s="88" t="s">
        <v>13</v>
      </c>
      <c r="K254" s="89"/>
      <c r="L254" s="89"/>
      <c r="M254" s="90"/>
      <c r="N254" s="88" t="s">
        <v>22</v>
      </c>
      <c r="O254" s="89"/>
      <c r="P254" s="90"/>
      <c r="Q254" s="133">
        <v>2000</v>
      </c>
      <c r="R254" s="134"/>
      <c r="S254" s="5" t="s">
        <v>271</v>
      </c>
      <c r="T254" s="6"/>
      <c r="U254" s="8">
        <v>2</v>
      </c>
      <c r="V254" s="5" t="s">
        <v>176</v>
      </c>
      <c r="W254" s="12">
        <v>28729406</v>
      </c>
      <c r="X254" s="6"/>
      <c r="Y254" s="6"/>
    </row>
    <row r="255" spans="1:25" ht="15" customHeight="1" x14ac:dyDescent="0.2">
      <c r="A255" s="88" t="s">
        <v>412</v>
      </c>
      <c r="B255" s="90"/>
      <c r="C255" s="88" t="s">
        <v>459</v>
      </c>
      <c r="D255" s="89"/>
      <c r="E255" s="89"/>
      <c r="F255" s="89"/>
      <c r="G255" s="89"/>
      <c r="H255" s="89"/>
      <c r="I255" s="90"/>
      <c r="J255" s="88" t="s">
        <v>13</v>
      </c>
      <c r="K255" s="89"/>
      <c r="L255" s="89"/>
      <c r="M255" s="90"/>
      <c r="N255" s="88" t="s">
        <v>22</v>
      </c>
      <c r="O255" s="89"/>
      <c r="P255" s="90"/>
      <c r="Q255" s="133">
        <v>4400</v>
      </c>
      <c r="R255" s="134"/>
      <c r="S255" s="5" t="s">
        <v>271</v>
      </c>
      <c r="T255" s="6"/>
      <c r="U255" s="8">
        <v>2</v>
      </c>
      <c r="V255" s="5" t="s">
        <v>23</v>
      </c>
      <c r="W255" s="12">
        <v>26162459</v>
      </c>
      <c r="X255" s="6"/>
      <c r="Y255" s="6"/>
    </row>
    <row r="256" spans="1:25" ht="15" customHeight="1" x14ac:dyDescent="0.2">
      <c r="A256" s="88" t="s">
        <v>412</v>
      </c>
      <c r="B256" s="90"/>
      <c r="C256" s="88" t="s">
        <v>460</v>
      </c>
      <c r="D256" s="90"/>
      <c r="E256" s="106"/>
      <c r="F256" s="107"/>
      <c r="G256" s="107"/>
      <c r="H256" s="107"/>
      <c r="I256" s="108"/>
      <c r="J256" s="88" t="s">
        <v>13</v>
      </c>
      <c r="K256" s="89"/>
      <c r="L256" s="89"/>
      <c r="M256" s="90"/>
      <c r="N256" s="88" t="s">
        <v>22</v>
      </c>
      <c r="O256" s="89"/>
      <c r="P256" s="90"/>
      <c r="Q256" s="133">
        <v>3000</v>
      </c>
      <c r="R256" s="134"/>
      <c r="S256" s="5" t="s">
        <v>271</v>
      </c>
      <c r="T256" s="6"/>
      <c r="U256" s="8">
        <v>2</v>
      </c>
      <c r="V256" s="5" t="s">
        <v>23</v>
      </c>
      <c r="W256" s="12">
        <v>25550168</v>
      </c>
      <c r="X256" s="6"/>
      <c r="Y256" s="6"/>
    </row>
    <row r="257" spans="1:25" ht="15" customHeight="1" x14ac:dyDescent="0.2">
      <c r="A257" s="88" t="s">
        <v>412</v>
      </c>
      <c r="B257" s="90"/>
      <c r="C257" s="88" t="s">
        <v>461</v>
      </c>
      <c r="D257" s="89"/>
      <c r="E257" s="89"/>
      <c r="F257" s="89"/>
      <c r="G257" s="89"/>
      <c r="H257" s="89"/>
      <c r="I257" s="90"/>
      <c r="J257" s="88" t="s">
        <v>13</v>
      </c>
      <c r="K257" s="89"/>
      <c r="L257" s="89"/>
      <c r="M257" s="90"/>
      <c r="N257" s="88" t="s">
        <v>26</v>
      </c>
      <c r="O257" s="89"/>
      <c r="P257" s="90"/>
      <c r="Q257" s="133">
        <v>6600</v>
      </c>
      <c r="R257" s="134"/>
      <c r="S257" s="5" t="s">
        <v>271</v>
      </c>
      <c r="T257" s="6"/>
      <c r="U257" s="8">
        <v>2</v>
      </c>
      <c r="V257" s="5" t="s">
        <v>23</v>
      </c>
      <c r="W257" s="12">
        <v>19726568</v>
      </c>
      <c r="X257" s="6"/>
      <c r="Y257" s="6"/>
    </row>
    <row r="258" spans="1:25" ht="15" customHeight="1" x14ac:dyDescent="0.2">
      <c r="A258" s="88" t="s">
        <v>412</v>
      </c>
      <c r="B258" s="90"/>
      <c r="C258" s="88" t="s">
        <v>462</v>
      </c>
      <c r="D258" s="89"/>
      <c r="E258" s="89"/>
      <c r="F258" s="89"/>
      <c r="G258" s="89"/>
      <c r="H258" s="89"/>
      <c r="I258" s="90"/>
      <c r="J258" s="88" t="s">
        <v>13</v>
      </c>
      <c r="K258" s="89"/>
      <c r="L258" s="89"/>
      <c r="M258" s="90"/>
      <c r="N258" s="88" t="s">
        <v>22</v>
      </c>
      <c r="O258" s="89"/>
      <c r="P258" s="90"/>
      <c r="Q258" s="88" t="s">
        <v>463</v>
      </c>
      <c r="R258" s="90"/>
      <c r="S258" s="5" t="s">
        <v>271</v>
      </c>
      <c r="T258" s="6"/>
      <c r="U258" s="8">
        <v>2</v>
      </c>
      <c r="V258" s="5" t="s">
        <v>176</v>
      </c>
      <c r="W258" s="12">
        <v>26041390</v>
      </c>
      <c r="X258" s="6"/>
      <c r="Y258" s="6"/>
    </row>
    <row r="259" spans="1:25" ht="15" customHeight="1" x14ac:dyDescent="0.2">
      <c r="A259" s="88" t="s">
        <v>412</v>
      </c>
      <c r="B259" s="90"/>
      <c r="C259" s="88" t="s">
        <v>464</v>
      </c>
      <c r="D259" s="89"/>
      <c r="E259" s="89"/>
      <c r="F259" s="89"/>
      <c r="G259" s="89"/>
      <c r="H259" s="89"/>
      <c r="I259" s="90"/>
      <c r="J259" s="88" t="s">
        <v>13</v>
      </c>
      <c r="K259" s="89"/>
      <c r="L259" s="89"/>
      <c r="M259" s="90"/>
      <c r="N259" s="88" t="s">
        <v>26</v>
      </c>
      <c r="O259" s="89"/>
      <c r="P259" s="90"/>
      <c r="Q259" s="133">
        <v>3000</v>
      </c>
      <c r="R259" s="134"/>
      <c r="S259" s="5" t="s">
        <v>271</v>
      </c>
      <c r="T259" s="6"/>
      <c r="U259" s="8">
        <v>2</v>
      </c>
      <c r="V259" s="5" t="s">
        <v>23</v>
      </c>
      <c r="W259" s="12">
        <v>19162626</v>
      </c>
      <c r="X259" s="6"/>
      <c r="Y259" s="6"/>
    </row>
    <row r="260" spans="1:25" ht="15" customHeight="1" x14ac:dyDescent="0.2">
      <c r="A260" s="88" t="s">
        <v>412</v>
      </c>
      <c r="B260" s="90"/>
      <c r="C260" s="88" t="s">
        <v>465</v>
      </c>
      <c r="D260" s="89"/>
      <c r="E260" s="89"/>
      <c r="F260" s="89"/>
      <c r="G260" s="89"/>
      <c r="H260" s="89"/>
      <c r="I260" s="90"/>
      <c r="J260" s="88" t="s">
        <v>13</v>
      </c>
      <c r="K260" s="89"/>
      <c r="L260" s="89"/>
      <c r="M260" s="90"/>
      <c r="N260" s="88" t="s">
        <v>26</v>
      </c>
      <c r="O260" s="89"/>
      <c r="P260" s="90"/>
      <c r="Q260" s="88" t="s">
        <v>466</v>
      </c>
      <c r="R260" s="90"/>
      <c r="S260" s="5" t="s">
        <v>271</v>
      </c>
      <c r="T260" s="6"/>
      <c r="U260" s="8">
        <v>2</v>
      </c>
      <c r="V260" s="5" t="s">
        <v>23</v>
      </c>
      <c r="W260" s="12">
        <v>17361945</v>
      </c>
      <c r="X260" s="6"/>
      <c r="Y260" s="6"/>
    </row>
    <row r="261" spans="1:25" ht="15" customHeight="1" x14ac:dyDescent="0.2">
      <c r="A261" s="88" t="s">
        <v>412</v>
      </c>
      <c r="B261" s="90"/>
      <c r="C261" s="88" t="s">
        <v>467</v>
      </c>
      <c r="D261" s="90"/>
      <c r="E261" s="106"/>
      <c r="F261" s="107"/>
      <c r="G261" s="107"/>
      <c r="H261" s="107"/>
      <c r="I261" s="108"/>
      <c r="J261" s="88" t="s">
        <v>13</v>
      </c>
      <c r="K261" s="89"/>
      <c r="L261" s="89"/>
      <c r="M261" s="90"/>
      <c r="N261" s="88" t="s">
        <v>26</v>
      </c>
      <c r="O261" s="89"/>
      <c r="P261" s="90"/>
      <c r="Q261" s="133">
        <v>4400</v>
      </c>
      <c r="R261" s="134"/>
      <c r="S261" s="5" t="s">
        <v>271</v>
      </c>
      <c r="T261" s="6"/>
      <c r="U261" s="8">
        <v>2</v>
      </c>
      <c r="V261" s="5" t="s">
        <v>23</v>
      </c>
      <c r="W261" s="12">
        <v>39226984</v>
      </c>
      <c r="X261" s="6"/>
      <c r="Y261" s="6"/>
    </row>
    <row r="262" spans="1:25" ht="15" customHeight="1" x14ac:dyDescent="0.2">
      <c r="A262" s="88" t="s">
        <v>412</v>
      </c>
      <c r="B262" s="90"/>
      <c r="C262" s="88" t="s">
        <v>468</v>
      </c>
      <c r="D262" s="89"/>
      <c r="E262" s="89"/>
      <c r="F262" s="89"/>
      <c r="G262" s="89"/>
      <c r="H262" s="89"/>
      <c r="I262" s="90"/>
      <c r="J262" s="88" t="s">
        <v>13</v>
      </c>
      <c r="K262" s="89"/>
      <c r="L262" s="89"/>
      <c r="M262" s="90"/>
      <c r="N262" s="88" t="s">
        <v>26</v>
      </c>
      <c r="O262" s="89"/>
      <c r="P262" s="90"/>
      <c r="Q262" s="133">
        <v>6600</v>
      </c>
      <c r="R262" s="134"/>
      <c r="S262" s="5" t="s">
        <v>271</v>
      </c>
      <c r="T262" s="6"/>
      <c r="U262" s="8">
        <v>2</v>
      </c>
      <c r="V262" s="5" t="s">
        <v>23</v>
      </c>
      <c r="W262" s="12">
        <v>19985267</v>
      </c>
      <c r="X262" s="6"/>
      <c r="Y262" s="6"/>
    </row>
    <row r="263" spans="1:25" ht="15" customHeight="1" x14ac:dyDescent="0.2">
      <c r="A263" s="88" t="s">
        <v>412</v>
      </c>
      <c r="B263" s="90"/>
      <c r="C263" s="88" t="s">
        <v>469</v>
      </c>
      <c r="D263" s="90"/>
      <c r="E263" s="88" t="s">
        <v>470</v>
      </c>
      <c r="F263" s="89"/>
      <c r="G263" s="89"/>
      <c r="H263" s="89"/>
      <c r="I263" s="90"/>
      <c r="J263" s="88" t="s">
        <v>13</v>
      </c>
      <c r="K263" s="89"/>
      <c r="L263" s="89"/>
      <c r="M263" s="90"/>
      <c r="N263" s="88" t="s">
        <v>26</v>
      </c>
      <c r="O263" s="89"/>
      <c r="P263" s="90"/>
      <c r="Q263" s="88" t="s">
        <v>466</v>
      </c>
      <c r="R263" s="90"/>
      <c r="S263" s="5" t="s">
        <v>271</v>
      </c>
      <c r="T263" s="6"/>
      <c r="U263" s="8">
        <v>2</v>
      </c>
      <c r="V263" s="5" t="s">
        <v>176</v>
      </c>
      <c r="W263" s="12">
        <v>16599288</v>
      </c>
      <c r="X263" s="6"/>
      <c r="Y263" s="6"/>
    </row>
    <row r="264" spans="1:25" ht="15" customHeight="1" x14ac:dyDescent="0.2">
      <c r="A264" s="88" t="s">
        <v>412</v>
      </c>
      <c r="B264" s="90"/>
      <c r="C264" s="88" t="s">
        <v>471</v>
      </c>
      <c r="D264" s="90"/>
      <c r="E264" s="106"/>
      <c r="F264" s="107"/>
      <c r="G264" s="107"/>
      <c r="H264" s="107"/>
      <c r="I264" s="108"/>
      <c r="J264" s="88" t="s">
        <v>13</v>
      </c>
      <c r="K264" s="89"/>
      <c r="L264" s="89"/>
      <c r="M264" s="90"/>
      <c r="N264" s="88" t="s">
        <v>22</v>
      </c>
      <c r="O264" s="89"/>
      <c r="P264" s="90"/>
      <c r="Q264" s="133">
        <v>3000</v>
      </c>
      <c r="R264" s="134"/>
      <c r="S264" s="5" t="s">
        <v>271</v>
      </c>
      <c r="T264" s="6"/>
      <c r="U264" s="8">
        <v>2</v>
      </c>
      <c r="V264" s="5" t="s">
        <v>23</v>
      </c>
      <c r="W264" s="12">
        <v>36606192</v>
      </c>
      <c r="X264" s="6"/>
      <c r="Y264" s="6"/>
    </row>
    <row r="265" spans="1:25" ht="15" customHeight="1" x14ac:dyDescent="0.2">
      <c r="A265" s="88" t="s">
        <v>412</v>
      </c>
      <c r="B265" s="90"/>
      <c r="C265" s="88" t="s">
        <v>472</v>
      </c>
      <c r="D265" s="90"/>
      <c r="E265" s="106"/>
      <c r="F265" s="107"/>
      <c r="G265" s="107"/>
      <c r="H265" s="107"/>
      <c r="I265" s="108"/>
      <c r="J265" s="88" t="s">
        <v>13</v>
      </c>
      <c r="K265" s="89"/>
      <c r="L265" s="89"/>
      <c r="M265" s="90"/>
      <c r="N265" s="88" t="s">
        <v>22</v>
      </c>
      <c r="O265" s="89"/>
      <c r="P265" s="90"/>
      <c r="Q265" s="133">
        <v>3000</v>
      </c>
      <c r="R265" s="134"/>
      <c r="S265" s="5" t="s">
        <v>271</v>
      </c>
      <c r="T265" s="6"/>
      <c r="U265" s="8">
        <v>2</v>
      </c>
      <c r="V265" s="5" t="s">
        <v>23</v>
      </c>
      <c r="W265" s="12">
        <v>29597973</v>
      </c>
      <c r="X265" s="6"/>
      <c r="Y265" s="6"/>
    </row>
    <row r="266" spans="1:25" ht="15" customHeight="1" x14ac:dyDescent="0.2">
      <c r="A266" s="88" t="s">
        <v>412</v>
      </c>
      <c r="B266" s="90"/>
      <c r="C266" s="88" t="s">
        <v>473</v>
      </c>
      <c r="D266" s="90"/>
      <c r="E266" s="106"/>
      <c r="F266" s="107"/>
      <c r="G266" s="107"/>
      <c r="H266" s="107"/>
      <c r="I266" s="108"/>
      <c r="J266" s="88" t="s">
        <v>13</v>
      </c>
      <c r="K266" s="89"/>
      <c r="L266" s="89"/>
      <c r="M266" s="90"/>
      <c r="N266" s="88" t="s">
        <v>26</v>
      </c>
      <c r="O266" s="89"/>
      <c r="P266" s="90"/>
      <c r="Q266" s="133">
        <v>3000</v>
      </c>
      <c r="R266" s="134"/>
      <c r="S266" s="5" t="s">
        <v>271</v>
      </c>
      <c r="T266" s="6"/>
      <c r="U266" s="8">
        <v>2</v>
      </c>
      <c r="V266" s="5" t="s">
        <v>23</v>
      </c>
      <c r="W266" s="12">
        <v>37798152</v>
      </c>
      <c r="X266" s="6"/>
      <c r="Y266" s="6"/>
    </row>
    <row r="267" spans="1:25" ht="15" customHeight="1" x14ac:dyDescent="0.2">
      <c r="A267" s="88" t="s">
        <v>412</v>
      </c>
      <c r="B267" s="90"/>
      <c r="C267" s="88" t="s">
        <v>474</v>
      </c>
      <c r="D267" s="90"/>
      <c r="E267" s="106"/>
      <c r="F267" s="107"/>
      <c r="G267" s="107"/>
      <c r="H267" s="107"/>
      <c r="I267" s="108"/>
      <c r="J267" s="88" t="s">
        <v>13</v>
      </c>
      <c r="K267" s="89"/>
      <c r="L267" s="89"/>
      <c r="M267" s="90"/>
      <c r="N267" s="88" t="s">
        <v>26</v>
      </c>
      <c r="O267" s="89"/>
      <c r="P267" s="90"/>
      <c r="Q267" s="133">
        <v>4400</v>
      </c>
      <c r="R267" s="134"/>
      <c r="S267" s="5" t="s">
        <v>271</v>
      </c>
      <c r="T267" s="6"/>
      <c r="U267" s="8">
        <v>2</v>
      </c>
      <c r="V267" s="5" t="s">
        <v>23</v>
      </c>
      <c r="W267" s="12">
        <v>18198013</v>
      </c>
      <c r="X267" s="6"/>
      <c r="Y267" s="6"/>
    </row>
    <row r="268" spans="1:25" ht="15" customHeight="1" x14ac:dyDescent="0.2">
      <c r="A268" s="88" t="s">
        <v>412</v>
      </c>
      <c r="B268" s="90"/>
      <c r="C268" s="88" t="s">
        <v>475</v>
      </c>
      <c r="D268" s="90"/>
      <c r="E268" s="106"/>
      <c r="F268" s="107"/>
      <c r="G268" s="107"/>
      <c r="H268" s="107"/>
      <c r="I268" s="108"/>
      <c r="J268" s="88" t="s">
        <v>13</v>
      </c>
      <c r="K268" s="89"/>
      <c r="L268" s="89"/>
      <c r="M268" s="90"/>
      <c r="N268" s="88" t="s">
        <v>26</v>
      </c>
      <c r="O268" s="89"/>
      <c r="P268" s="90"/>
      <c r="Q268" s="133">
        <v>4400</v>
      </c>
      <c r="R268" s="134"/>
      <c r="S268" s="5" t="s">
        <v>271</v>
      </c>
      <c r="T268" s="6"/>
      <c r="U268" s="8">
        <v>2</v>
      </c>
      <c r="V268" s="5" t="s">
        <v>23</v>
      </c>
      <c r="W268" s="12">
        <v>14040483</v>
      </c>
      <c r="X268" s="6"/>
      <c r="Y268" s="6"/>
    </row>
    <row r="269" spans="1:25" ht="15" customHeight="1" x14ac:dyDescent="0.2">
      <c r="A269" s="88" t="s">
        <v>412</v>
      </c>
      <c r="B269" s="90"/>
      <c r="C269" s="88" t="s">
        <v>476</v>
      </c>
      <c r="D269" s="90"/>
      <c r="E269" s="88" t="s">
        <v>477</v>
      </c>
      <c r="F269" s="89"/>
      <c r="G269" s="89"/>
      <c r="H269" s="89"/>
      <c r="I269" s="90"/>
      <c r="J269" s="88" t="s">
        <v>13</v>
      </c>
      <c r="K269" s="89"/>
      <c r="L269" s="89"/>
      <c r="M269" s="90"/>
      <c r="N269" s="88" t="s">
        <v>26</v>
      </c>
      <c r="O269" s="89"/>
      <c r="P269" s="90"/>
      <c r="Q269" s="133">
        <v>4400</v>
      </c>
      <c r="R269" s="134"/>
      <c r="S269" s="5" t="s">
        <v>271</v>
      </c>
      <c r="T269" s="6"/>
      <c r="U269" s="8">
        <v>2</v>
      </c>
      <c r="V269" s="5" t="s">
        <v>23</v>
      </c>
      <c r="W269" s="12">
        <v>9508885</v>
      </c>
      <c r="X269" s="6"/>
      <c r="Y269" s="6"/>
    </row>
    <row r="270" spans="1:25" ht="15" customHeight="1" x14ac:dyDescent="0.2">
      <c r="A270" s="88" t="s">
        <v>412</v>
      </c>
      <c r="B270" s="90"/>
      <c r="C270" s="88" t="s">
        <v>478</v>
      </c>
      <c r="D270" s="90"/>
      <c r="E270" s="106"/>
      <c r="F270" s="107"/>
      <c r="G270" s="107"/>
      <c r="H270" s="107"/>
      <c r="I270" s="108"/>
      <c r="J270" s="88" t="s">
        <v>13</v>
      </c>
      <c r="K270" s="89"/>
      <c r="L270" s="89"/>
      <c r="M270" s="90"/>
      <c r="N270" s="88" t="s">
        <v>26</v>
      </c>
      <c r="O270" s="89"/>
      <c r="P270" s="90"/>
      <c r="Q270" s="133">
        <v>3000</v>
      </c>
      <c r="R270" s="134"/>
      <c r="S270" s="5" t="s">
        <v>271</v>
      </c>
      <c r="T270" s="6"/>
      <c r="U270" s="8">
        <v>2</v>
      </c>
      <c r="V270" s="5" t="s">
        <v>23</v>
      </c>
      <c r="W270" s="12">
        <v>9351348</v>
      </c>
      <c r="X270" s="6"/>
      <c r="Y270" s="6"/>
    </row>
    <row r="271" spans="1:25" ht="15" customHeight="1" x14ac:dyDescent="0.2">
      <c r="A271" s="88" t="s">
        <v>412</v>
      </c>
      <c r="B271" s="90"/>
      <c r="C271" s="88" t="s">
        <v>479</v>
      </c>
      <c r="D271" s="90"/>
      <c r="E271" s="106"/>
      <c r="F271" s="107"/>
      <c r="G271" s="107"/>
      <c r="H271" s="107"/>
      <c r="I271" s="108"/>
      <c r="J271" s="88" t="s">
        <v>13</v>
      </c>
      <c r="K271" s="89"/>
      <c r="L271" s="89"/>
      <c r="M271" s="90"/>
      <c r="N271" s="88" t="s">
        <v>26</v>
      </c>
      <c r="O271" s="89"/>
      <c r="P271" s="90"/>
      <c r="Q271" s="133">
        <v>650</v>
      </c>
      <c r="R271" s="134"/>
      <c r="S271" s="5" t="s">
        <v>27</v>
      </c>
      <c r="T271" s="6"/>
      <c r="U271" s="8">
        <v>5</v>
      </c>
      <c r="V271" s="5" t="s">
        <v>176</v>
      </c>
      <c r="W271" s="12">
        <v>12876422</v>
      </c>
      <c r="X271" s="6"/>
      <c r="Y271" s="6"/>
    </row>
    <row r="272" spans="1:25" ht="15" customHeight="1" x14ac:dyDescent="0.2">
      <c r="A272" s="88" t="s">
        <v>412</v>
      </c>
      <c r="B272" s="90"/>
      <c r="C272" s="88" t="s">
        <v>480</v>
      </c>
      <c r="D272" s="90"/>
      <c r="E272" s="88" t="s">
        <v>481</v>
      </c>
      <c r="F272" s="89"/>
      <c r="G272" s="89"/>
      <c r="H272" s="89"/>
      <c r="I272" s="90"/>
      <c r="J272" s="88" t="s">
        <v>13</v>
      </c>
      <c r="K272" s="89"/>
      <c r="L272" s="89"/>
      <c r="M272" s="90"/>
      <c r="N272" s="88" t="s">
        <v>26</v>
      </c>
      <c r="O272" s="89"/>
      <c r="P272" s="90"/>
      <c r="Q272" s="88" t="s">
        <v>181</v>
      </c>
      <c r="R272" s="90"/>
      <c r="S272" s="5" t="s">
        <v>271</v>
      </c>
      <c r="T272" s="6"/>
      <c r="U272" s="8">
        <v>2</v>
      </c>
      <c r="V272" s="5" t="s">
        <v>482</v>
      </c>
      <c r="W272" s="12">
        <v>9762953</v>
      </c>
      <c r="X272" s="6"/>
      <c r="Y272" s="6"/>
    </row>
    <row r="273" spans="1:25" ht="15" customHeight="1" x14ac:dyDescent="0.2">
      <c r="A273" s="88" t="s">
        <v>412</v>
      </c>
      <c r="B273" s="90"/>
      <c r="C273" s="88" t="s">
        <v>483</v>
      </c>
      <c r="D273" s="90"/>
      <c r="E273" s="88" t="s">
        <v>484</v>
      </c>
      <c r="F273" s="89"/>
      <c r="G273" s="89"/>
      <c r="H273" s="89"/>
      <c r="I273" s="90"/>
      <c r="J273" s="88" t="s">
        <v>13</v>
      </c>
      <c r="K273" s="89"/>
      <c r="L273" s="89"/>
      <c r="M273" s="90"/>
      <c r="N273" s="88" t="s">
        <v>26</v>
      </c>
      <c r="O273" s="89"/>
      <c r="P273" s="90"/>
      <c r="Q273" s="133">
        <v>650</v>
      </c>
      <c r="R273" s="134"/>
      <c r="S273" s="5" t="s">
        <v>27</v>
      </c>
      <c r="T273" s="6"/>
      <c r="U273" s="8">
        <v>5</v>
      </c>
      <c r="V273" s="5" t="s">
        <v>176</v>
      </c>
      <c r="W273" s="12">
        <v>11280548</v>
      </c>
      <c r="X273" s="6"/>
      <c r="Y273" s="6"/>
    </row>
    <row r="274" spans="1:25" ht="15" customHeight="1" x14ac:dyDescent="0.2">
      <c r="A274" s="88" t="s">
        <v>412</v>
      </c>
      <c r="B274" s="90"/>
      <c r="C274" s="88" t="s">
        <v>485</v>
      </c>
      <c r="D274" s="90"/>
      <c r="E274" s="106"/>
      <c r="F274" s="107"/>
      <c r="G274" s="107"/>
      <c r="H274" s="107"/>
      <c r="I274" s="108"/>
      <c r="J274" s="88" t="s">
        <v>13</v>
      </c>
      <c r="K274" s="89"/>
      <c r="L274" s="89"/>
      <c r="M274" s="90"/>
      <c r="N274" s="88" t="s">
        <v>26</v>
      </c>
      <c r="O274" s="89"/>
      <c r="P274" s="90"/>
      <c r="Q274" s="88" t="s">
        <v>181</v>
      </c>
      <c r="R274" s="90"/>
      <c r="S274" s="5" t="s">
        <v>27</v>
      </c>
      <c r="T274" s="6"/>
      <c r="U274" s="8">
        <v>5</v>
      </c>
      <c r="V274" s="5" t="s">
        <v>482</v>
      </c>
      <c r="W274" s="12">
        <v>12431015</v>
      </c>
      <c r="X274" s="6"/>
      <c r="Y274" s="6"/>
    </row>
    <row r="275" spans="1:25" ht="15" customHeight="1" x14ac:dyDescent="0.2">
      <c r="A275" s="88" t="s">
        <v>412</v>
      </c>
      <c r="B275" s="90"/>
      <c r="C275" s="88" t="s">
        <v>486</v>
      </c>
      <c r="D275" s="90"/>
      <c r="E275" s="106"/>
      <c r="F275" s="107"/>
      <c r="G275" s="107"/>
      <c r="H275" s="107"/>
      <c r="I275" s="108"/>
      <c r="J275" s="88" t="s">
        <v>13</v>
      </c>
      <c r="K275" s="89"/>
      <c r="L275" s="89"/>
      <c r="M275" s="90"/>
      <c r="N275" s="88" t="s">
        <v>22</v>
      </c>
      <c r="O275" s="89"/>
      <c r="P275" s="90"/>
      <c r="Q275" s="88" t="s">
        <v>181</v>
      </c>
      <c r="R275" s="90"/>
      <c r="S275" s="5" t="s">
        <v>27</v>
      </c>
      <c r="T275" s="6"/>
      <c r="U275" s="8">
        <v>5</v>
      </c>
      <c r="V275" s="5" t="s">
        <v>482</v>
      </c>
      <c r="W275" s="12">
        <v>13287020</v>
      </c>
      <c r="X275" s="6"/>
      <c r="Y275" s="6"/>
    </row>
    <row r="276" spans="1:25" ht="15" customHeight="1" x14ac:dyDescent="0.2">
      <c r="A276" s="88" t="s">
        <v>412</v>
      </c>
      <c r="B276" s="90"/>
      <c r="C276" s="88" t="s">
        <v>487</v>
      </c>
      <c r="D276" s="90"/>
      <c r="E276" s="88" t="s">
        <v>488</v>
      </c>
      <c r="F276" s="89"/>
      <c r="G276" s="89"/>
      <c r="H276" s="89"/>
      <c r="I276" s="90"/>
      <c r="J276" s="88" t="s">
        <v>13</v>
      </c>
      <c r="K276" s="89"/>
      <c r="L276" s="89"/>
      <c r="M276" s="90"/>
      <c r="N276" s="88" t="s">
        <v>22</v>
      </c>
      <c r="O276" s="89"/>
      <c r="P276" s="90"/>
      <c r="Q276" s="133">
        <v>650</v>
      </c>
      <c r="R276" s="134"/>
      <c r="S276" s="5" t="s">
        <v>27</v>
      </c>
      <c r="T276" s="6"/>
      <c r="U276" s="8">
        <v>5</v>
      </c>
      <c r="V276" s="5" t="s">
        <v>176</v>
      </c>
      <c r="W276" s="12">
        <v>16493092</v>
      </c>
      <c r="X276" s="6"/>
      <c r="Y276" s="6"/>
    </row>
    <row r="277" spans="1:25" ht="15" customHeight="1" x14ac:dyDescent="0.2">
      <c r="A277" s="88" t="s">
        <v>412</v>
      </c>
      <c r="B277" s="90"/>
      <c r="C277" s="88" t="s">
        <v>489</v>
      </c>
      <c r="D277" s="90"/>
      <c r="E277" s="88" t="s">
        <v>490</v>
      </c>
      <c r="F277" s="89"/>
      <c r="G277" s="89"/>
      <c r="H277" s="89"/>
      <c r="I277" s="90"/>
      <c r="J277" s="88" t="s">
        <v>13</v>
      </c>
      <c r="K277" s="89"/>
      <c r="L277" s="89"/>
      <c r="M277" s="90"/>
      <c r="N277" s="88" t="s">
        <v>26</v>
      </c>
      <c r="O277" s="89"/>
      <c r="P277" s="90"/>
      <c r="Q277" s="88" t="s">
        <v>181</v>
      </c>
      <c r="R277" s="90"/>
      <c r="S277" s="5" t="s">
        <v>271</v>
      </c>
      <c r="T277" s="6"/>
      <c r="U277" s="8">
        <v>2</v>
      </c>
      <c r="V277" s="5" t="s">
        <v>482</v>
      </c>
      <c r="W277" s="12">
        <v>18782224</v>
      </c>
      <c r="X277" s="6"/>
      <c r="Y277" s="6"/>
    </row>
    <row r="278" spans="1:25" ht="15" customHeight="1" x14ac:dyDescent="0.2">
      <c r="A278" s="88" t="s">
        <v>412</v>
      </c>
      <c r="B278" s="90"/>
      <c r="C278" s="88" t="s">
        <v>491</v>
      </c>
      <c r="D278" s="90"/>
      <c r="E278" s="88" t="s">
        <v>490</v>
      </c>
      <c r="F278" s="89"/>
      <c r="G278" s="89"/>
      <c r="H278" s="89"/>
      <c r="I278" s="90"/>
      <c r="J278" s="88" t="s">
        <v>13</v>
      </c>
      <c r="K278" s="89"/>
      <c r="L278" s="89"/>
      <c r="M278" s="90"/>
      <c r="N278" s="88" t="s">
        <v>26</v>
      </c>
      <c r="O278" s="89"/>
      <c r="P278" s="90"/>
      <c r="Q278" s="88" t="s">
        <v>181</v>
      </c>
      <c r="R278" s="90"/>
      <c r="S278" s="5" t="s">
        <v>271</v>
      </c>
      <c r="T278" s="6"/>
      <c r="U278" s="8">
        <v>2</v>
      </c>
      <c r="V278" s="5" t="s">
        <v>482</v>
      </c>
      <c r="W278" s="12">
        <v>11593034</v>
      </c>
      <c r="X278" s="6"/>
      <c r="Y278" s="6"/>
    </row>
    <row r="279" spans="1:25" ht="15" customHeight="1" x14ac:dyDescent="0.2">
      <c r="A279" s="88" t="s">
        <v>412</v>
      </c>
      <c r="B279" s="90"/>
      <c r="C279" s="88" t="s">
        <v>492</v>
      </c>
      <c r="D279" s="90"/>
      <c r="E279" s="88" t="s">
        <v>490</v>
      </c>
      <c r="F279" s="89"/>
      <c r="G279" s="89"/>
      <c r="H279" s="89"/>
      <c r="I279" s="90"/>
      <c r="J279" s="88" t="s">
        <v>13</v>
      </c>
      <c r="K279" s="89"/>
      <c r="L279" s="89"/>
      <c r="M279" s="90"/>
      <c r="N279" s="88" t="s">
        <v>26</v>
      </c>
      <c r="O279" s="89"/>
      <c r="P279" s="90"/>
      <c r="Q279" s="88" t="s">
        <v>181</v>
      </c>
      <c r="R279" s="90"/>
      <c r="S279" s="5" t="s">
        <v>271</v>
      </c>
      <c r="T279" s="6"/>
      <c r="U279" s="8">
        <v>2</v>
      </c>
      <c r="V279" s="5" t="s">
        <v>482</v>
      </c>
      <c r="W279" s="12">
        <v>10157128</v>
      </c>
      <c r="X279" s="6"/>
      <c r="Y279" s="6"/>
    </row>
    <row r="280" spans="1:25" ht="15" customHeight="1" x14ac:dyDescent="0.2">
      <c r="A280" s="88" t="s">
        <v>412</v>
      </c>
      <c r="B280" s="90"/>
      <c r="C280" s="88" t="s">
        <v>493</v>
      </c>
      <c r="D280" s="90"/>
      <c r="E280" s="88" t="s">
        <v>494</v>
      </c>
      <c r="F280" s="89"/>
      <c r="G280" s="89"/>
      <c r="H280" s="89"/>
      <c r="I280" s="90"/>
      <c r="J280" s="88" t="s">
        <v>13</v>
      </c>
      <c r="K280" s="89"/>
      <c r="L280" s="89"/>
      <c r="M280" s="90"/>
      <c r="N280" s="88" t="s">
        <v>26</v>
      </c>
      <c r="O280" s="89"/>
      <c r="P280" s="90"/>
      <c r="Q280" s="88" t="s">
        <v>181</v>
      </c>
      <c r="R280" s="90"/>
      <c r="S280" s="5" t="s">
        <v>271</v>
      </c>
      <c r="T280" s="6"/>
      <c r="U280" s="8">
        <v>2</v>
      </c>
      <c r="V280" s="5" t="s">
        <v>482</v>
      </c>
      <c r="W280" s="12">
        <v>12859932</v>
      </c>
      <c r="X280" s="6"/>
      <c r="Y280" s="6"/>
    </row>
    <row r="281" spans="1:25" ht="15" customHeight="1" x14ac:dyDescent="0.2">
      <c r="A281" s="88" t="s">
        <v>412</v>
      </c>
      <c r="B281" s="90"/>
      <c r="C281" s="88" t="s">
        <v>495</v>
      </c>
      <c r="D281" s="90"/>
      <c r="E281" s="88" t="s">
        <v>494</v>
      </c>
      <c r="F281" s="89"/>
      <c r="G281" s="89"/>
      <c r="H281" s="89"/>
      <c r="I281" s="90"/>
      <c r="J281" s="88" t="s">
        <v>13</v>
      </c>
      <c r="K281" s="89"/>
      <c r="L281" s="89"/>
      <c r="M281" s="90"/>
      <c r="N281" s="88" t="s">
        <v>26</v>
      </c>
      <c r="O281" s="89"/>
      <c r="P281" s="90"/>
      <c r="Q281" s="88" t="s">
        <v>181</v>
      </c>
      <c r="R281" s="90"/>
      <c r="S281" s="5" t="s">
        <v>271</v>
      </c>
      <c r="T281" s="6"/>
      <c r="U281" s="8">
        <v>2</v>
      </c>
      <c r="V281" s="5" t="s">
        <v>482</v>
      </c>
      <c r="W281" s="12">
        <v>13945807</v>
      </c>
      <c r="X281" s="6"/>
      <c r="Y281" s="6"/>
    </row>
    <row r="282" spans="1:25" ht="15" customHeight="1" x14ac:dyDescent="0.2">
      <c r="A282" s="88" t="s">
        <v>412</v>
      </c>
      <c r="B282" s="90"/>
      <c r="C282" s="88" t="s">
        <v>496</v>
      </c>
      <c r="D282" s="90"/>
      <c r="E282" s="106"/>
      <c r="F282" s="107"/>
      <c r="G282" s="107"/>
      <c r="H282" s="107"/>
      <c r="I282" s="108"/>
      <c r="J282" s="88" t="s">
        <v>13</v>
      </c>
      <c r="K282" s="89"/>
      <c r="L282" s="89"/>
      <c r="M282" s="90"/>
      <c r="N282" s="88" t="s">
        <v>22</v>
      </c>
      <c r="O282" s="89"/>
      <c r="P282" s="90"/>
      <c r="Q282" s="88" t="s">
        <v>181</v>
      </c>
      <c r="R282" s="90"/>
      <c r="S282" s="5" t="s">
        <v>271</v>
      </c>
      <c r="T282" s="6"/>
      <c r="U282" s="8">
        <v>2</v>
      </c>
      <c r="V282" s="5" t="s">
        <v>482</v>
      </c>
      <c r="W282" s="12">
        <v>13403000</v>
      </c>
      <c r="X282" s="6"/>
      <c r="Y282" s="6"/>
    </row>
    <row r="283" spans="1:25" ht="15" customHeight="1" x14ac:dyDescent="0.2">
      <c r="A283" s="88" t="s">
        <v>412</v>
      </c>
      <c r="B283" s="90"/>
      <c r="C283" s="88" t="s">
        <v>497</v>
      </c>
      <c r="D283" s="90"/>
      <c r="E283" s="88" t="s">
        <v>498</v>
      </c>
      <c r="F283" s="89"/>
      <c r="G283" s="89"/>
      <c r="H283" s="89"/>
      <c r="I283" s="90"/>
      <c r="J283" s="88" t="s">
        <v>13</v>
      </c>
      <c r="K283" s="89"/>
      <c r="L283" s="89"/>
      <c r="M283" s="90"/>
      <c r="N283" s="88" t="s">
        <v>22</v>
      </c>
      <c r="O283" s="89"/>
      <c r="P283" s="90"/>
      <c r="Q283" s="88" t="s">
        <v>181</v>
      </c>
      <c r="R283" s="90"/>
      <c r="S283" s="5" t="s">
        <v>271</v>
      </c>
      <c r="T283" s="6"/>
      <c r="U283" s="8">
        <v>2</v>
      </c>
      <c r="V283" s="5" t="s">
        <v>482</v>
      </c>
      <c r="W283" s="12">
        <v>25611198</v>
      </c>
      <c r="X283" s="6"/>
      <c r="Y283" s="6"/>
    </row>
    <row r="284" spans="1:25" ht="15" customHeight="1" x14ac:dyDescent="0.2">
      <c r="A284" s="88" t="s">
        <v>412</v>
      </c>
      <c r="B284" s="90"/>
      <c r="C284" s="88" t="s">
        <v>499</v>
      </c>
      <c r="D284" s="90"/>
      <c r="E284" s="88" t="s">
        <v>500</v>
      </c>
      <c r="F284" s="89"/>
      <c r="G284" s="89"/>
      <c r="H284" s="89"/>
      <c r="I284" s="90"/>
      <c r="J284" s="88" t="s">
        <v>13</v>
      </c>
      <c r="K284" s="89"/>
      <c r="L284" s="89"/>
      <c r="M284" s="90"/>
      <c r="N284" s="88" t="s">
        <v>22</v>
      </c>
      <c r="O284" s="89"/>
      <c r="P284" s="90"/>
      <c r="Q284" s="88" t="s">
        <v>181</v>
      </c>
      <c r="R284" s="90"/>
      <c r="S284" s="5" t="s">
        <v>271</v>
      </c>
      <c r="T284" s="6"/>
      <c r="U284" s="8">
        <v>2</v>
      </c>
      <c r="V284" s="5" t="s">
        <v>482</v>
      </c>
      <c r="W284" s="12">
        <v>23819255</v>
      </c>
      <c r="X284" s="6"/>
      <c r="Y284" s="6"/>
    </row>
    <row r="285" spans="1:25" ht="15" customHeight="1" x14ac:dyDescent="0.2">
      <c r="A285" s="88" t="s">
        <v>412</v>
      </c>
      <c r="B285" s="90"/>
      <c r="C285" s="88" t="s">
        <v>501</v>
      </c>
      <c r="D285" s="90"/>
      <c r="E285" s="106"/>
      <c r="F285" s="107"/>
      <c r="G285" s="107"/>
      <c r="H285" s="107"/>
      <c r="I285" s="108"/>
      <c r="J285" s="88" t="s">
        <v>13</v>
      </c>
      <c r="K285" s="89"/>
      <c r="L285" s="89"/>
      <c r="M285" s="90"/>
      <c r="N285" s="88" t="s">
        <v>22</v>
      </c>
      <c r="O285" s="89"/>
      <c r="P285" s="90"/>
      <c r="Q285" s="88" t="s">
        <v>181</v>
      </c>
      <c r="R285" s="90"/>
      <c r="S285" s="5" t="s">
        <v>271</v>
      </c>
      <c r="T285" s="6"/>
      <c r="U285" s="8">
        <v>2</v>
      </c>
      <c r="V285" s="5" t="s">
        <v>482</v>
      </c>
      <c r="W285" s="12">
        <v>25770540</v>
      </c>
      <c r="X285" s="6"/>
      <c r="Y285" s="6"/>
    </row>
    <row r="286" spans="1:25" ht="15" customHeight="1" x14ac:dyDescent="0.2">
      <c r="A286" s="88" t="s">
        <v>412</v>
      </c>
      <c r="B286" s="90"/>
      <c r="C286" s="88" t="s">
        <v>502</v>
      </c>
      <c r="D286" s="90"/>
      <c r="E286" s="106"/>
      <c r="F286" s="107"/>
      <c r="G286" s="107"/>
      <c r="H286" s="107"/>
      <c r="I286" s="108"/>
      <c r="J286" s="88" t="s">
        <v>13</v>
      </c>
      <c r="K286" s="89"/>
      <c r="L286" s="89"/>
      <c r="M286" s="90"/>
      <c r="N286" s="88" t="s">
        <v>26</v>
      </c>
      <c r="O286" s="89"/>
      <c r="P286" s="90"/>
      <c r="Q286" s="88" t="s">
        <v>181</v>
      </c>
      <c r="R286" s="90"/>
      <c r="S286" s="5" t="s">
        <v>271</v>
      </c>
      <c r="T286" s="6"/>
      <c r="U286" s="8">
        <v>2</v>
      </c>
      <c r="V286" s="5" t="s">
        <v>482</v>
      </c>
      <c r="W286" s="12">
        <v>20872737</v>
      </c>
      <c r="X286" s="6"/>
      <c r="Y286" s="6"/>
    </row>
    <row r="287" spans="1:25" ht="15" customHeight="1" x14ac:dyDescent="0.2">
      <c r="A287" s="88" t="s">
        <v>412</v>
      </c>
      <c r="B287" s="90"/>
      <c r="C287" s="88" t="s">
        <v>503</v>
      </c>
      <c r="D287" s="90"/>
      <c r="E287" s="88" t="s">
        <v>504</v>
      </c>
      <c r="F287" s="89"/>
      <c r="G287" s="89"/>
      <c r="H287" s="89"/>
      <c r="I287" s="90"/>
      <c r="J287" s="88" t="s">
        <v>13</v>
      </c>
      <c r="K287" s="89"/>
      <c r="L287" s="89"/>
      <c r="M287" s="90"/>
      <c r="N287" s="88" t="s">
        <v>22</v>
      </c>
      <c r="O287" s="89"/>
      <c r="P287" s="90"/>
      <c r="Q287" s="88" t="s">
        <v>181</v>
      </c>
      <c r="R287" s="90"/>
      <c r="S287" s="5" t="s">
        <v>271</v>
      </c>
      <c r="T287" s="6"/>
      <c r="U287" s="8">
        <v>2</v>
      </c>
      <c r="V287" s="5" t="s">
        <v>482</v>
      </c>
      <c r="W287" s="12">
        <v>20117822</v>
      </c>
      <c r="X287" s="6"/>
      <c r="Y287" s="6"/>
    </row>
    <row r="288" spans="1:25" ht="15" customHeight="1" x14ac:dyDescent="0.2">
      <c r="A288" s="88" t="s">
        <v>412</v>
      </c>
      <c r="B288" s="90"/>
      <c r="C288" s="88" t="s">
        <v>505</v>
      </c>
      <c r="D288" s="90"/>
      <c r="E288" s="88" t="s">
        <v>506</v>
      </c>
      <c r="F288" s="89"/>
      <c r="G288" s="89"/>
      <c r="H288" s="89"/>
      <c r="I288" s="90"/>
      <c r="J288" s="88" t="s">
        <v>13</v>
      </c>
      <c r="K288" s="89"/>
      <c r="L288" s="89"/>
      <c r="M288" s="90"/>
      <c r="N288" s="88" t="s">
        <v>22</v>
      </c>
      <c r="O288" s="89"/>
      <c r="P288" s="90"/>
      <c r="Q288" s="88" t="s">
        <v>181</v>
      </c>
      <c r="R288" s="90"/>
      <c r="S288" s="5" t="s">
        <v>271</v>
      </c>
      <c r="T288" s="6"/>
      <c r="U288" s="8">
        <v>2</v>
      </c>
      <c r="V288" s="5" t="s">
        <v>482</v>
      </c>
      <c r="W288" s="12">
        <v>34546357</v>
      </c>
      <c r="X288" s="6"/>
      <c r="Y288" s="6"/>
    </row>
    <row r="289" spans="1:25" ht="15" customHeight="1" x14ac:dyDescent="0.2">
      <c r="A289" s="88" t="s">
        <v>412</v>
      </c>
      <c r="B289" s="90"/>
      <c r="C289" s="88" t="s">
        <v>507</v>
      </c>
      <c r="D289" s="90"/>
      <c r="E289" s="106"/>
      <c r="F289" s="107"/>
      <c r="G289" s="107"/>
      <c r="H289" s="107"/>
      <c r="I289" s="108"/>
      <c r="J289" s="88" t="s">
        <v>13</v>
      </c>
      <c r="K289" s="89"/>
      <c r="L289" s="89"/>
      <c r="M289" s="90"/>
      <c r="N289" s="88" t="s">
        <v>22</v>
      </c>
      <c r="O289" s="89"/>
      <c r="P289" s="90"/>
      <c r="Q289" s="88" t="s">
        <v>181</v>
      </c>
      <c r="R289" s="90"/>
      <c r="S289" s="5" t="s">
        <v>271</v>
      </c>
      <c r="T289" s="6"/>
      <c r="U289" s="8">
        <v>2</v>
      </c>
      <c r="V289" s="5" t="s">
        <v>482</v>
      </c>
      <c r="W289" s="12">
        <v>22087131</v>
      </c>
      <c r="X289" s="6"/>
      <c r="Y289" s="6"/>
    </row>
    <row r="290" spans="1:25" ht="15" customHeight="1" x14ac:dyDescent="0.2">
      <c r="A290" s="88" t="s">
        <v>412</v>
      </c>
      <c r="B290" s="90"/>
      <c r="C290" s="88" t="s">
        <v>508</v>
      </c>
      <c r="D290" s="90"/>
      <c r="E290" s="106"/>
      <c r="F290" s="107"/>
      <c r="G290" s="107"/>
      <c r="H290" s="107"/>
      <c r="I290" s="108"/>
      <c r="J290" s="88" t="s">
        <v>13</v>
      </c>
      <c r="K290" s="89"/>
      <c r="L290" s="89"/>
      <c r="M290" s="90"/>
      <c r="N290" s="88" t="s">
        <v>22</v>
      </c>
      <c r="O290" s="89"/>
      <c r="P290" s="90"/>
      <c r="Q290" s="88" t="s">
        <v>181</v>
      </c>
      <c r="R290" s="90"/>
      <c r="S290" s="5" t="s">
        <v>271</v>
      </c>
      <c r="T290" s="6"/>
      <c r="U290" s="8">
        <v>2</v>
      </c>
      <c r="V290" s="5" t="s">
        <v>482</v>
      </c>
      <c r="W290" s="12">
        <v>13228284</v>
      </c>
      <c r="X290" s="6"/>
      <c r="Y290" s="6"/>
    </row>
    <row r="291" spans="1:25" ht="15" customHeight="1" x14ac:dyDescent="0.2">
      <c r="A291" s="88" t="s">
        <v>412</v>
      </c>
      <c r="B291" s="90"/>
      <c r="C291" s="88" t="s">
        <v>509</v>
      </c>
      <c r="D291" s="90"/>
      <c r="E291" s="88" t="s">
        <v>510</v>
      </c>
      <c r="F291" s="89"/>
      <c r="G291" s="89"/>
      <c r="H291" s="89"/>
      <c r="I291" s="90"/>
      <c r="J291" s="88" t="s">
        <v>13</v>
      </c>
      <c r="K291" s="89"/>
      <c r="L291" s="89"/>
      <c r="M291" s="90"/>
      <c r="N291" s="88" t="s">
        <v>22</v>
      </c>
      <c r="O291" s="89"/>
      <c r="P291" s="90"/>
      <c r="Q291" s="88" t="s">
        <v>181</v>
      </c>
      <c r="R291" s="90"/>
      <c r="S291" s="5" t="s">
        <v>271</v>
      </c>
      <c r="T291" s="6"/>
      <c r="U291" s="8">
        <v>2</v>
      </c>
      <c r="V291" s="5" t="s">
        <v>482</v>
      </c>
      <c r="W291" s="12">
        <v>14307853</v>
      </c>
      <c r="X291" s="6"/>
      <c r="Y291" s="6"/>
    </row>
    <row r="292" spans="1:25" ht="15" customHeight="1" x14ac:dyDescent="0.2">
      <c r="A292" s="88" t="s">
        <v>412</v>
      </c>
      <c r="B292" s="90"/>
      <c r="C292" s="88" t="s">
        <v>511</v>
      </c>
      <c r="D292" s="90"/>
      <c r="E292" s="88" t="s">
        <v>512</v>
      </c>
      <c r="F292" s="89"/>
      <c r="G292" s="89"/>
      <c r="H292" s="89"/>
      <c r="I292" s="90"/>
      <c r="J292" s="88" t="s">
        <v>13</v>
      </c>
      <c r="K292" s="89"/>
      <c r="L292" s="89"/>
      <c r="M292" s="90"/>
      <c r="N292" s="88" t="s">
        <v>22</v>
      </c>
      <c r="O292" s="89"/>
      <c r="P292" s="90"/>
      <c r="Q292" s="88" t="s">
        <v>181</v>
      </c>
      <c r="R292" s="90"/>
      <c r="S292" s="5" t="s">
        <v>16</v>
      </c>
      <c r="T292" s="6"/>
      <c r="U292" s="8">
        <v>5</v>
      </c>
      <c r="V292" s="5" t="s">
        <v>482</v>
      </c>
      <c r="W292" s="12">
        <v>8729582</v>
      </c>
      <c r="X292" s="6"/>
      <c r="Y292" s="6"/>
    </row>
    <row r="293" spans="1:25" ht="15" customHeight="1" x14ac:dyDescent="0.2">
      <c r="A293" s="88" t="s">
        <v>412</v>
      </c>
      <c r="B293" s="90"/>
      <c r="C293" s="88" t="s">
        <v>513</v>
      </c>
      <c r="D293" s="89"/>
      <c r="E293" s="89"/>
      <c r="F293" s="89"/>
      <c r="G293" s="89"/>
      <c r="H293" s="89"/>
      <c r="I293" s="90"/>
      <c r="J293" s="88" t="s">
        <v>13</v>
      </c>
      <c r="K293" s="89"/>
      <c r="L293" s="89"/>
      <c r="M293" s="90"/>
      <c r="N293" s="88" t="s">
        <v>22</v>
      </c>
      <c r="O293" s="89"/>
      <c r="P293" s="90"/>
      <c r="Q293" s="133">
        <v>1500</v>
      </c>
      <c r="R293" s="134"/>
      <c r="S293" s="5" t="s">
        <v>119</v>
      </c>
      <c r="T293" s="6"/>
      <c r="U293" s="8">
        <v>2</v>
      </c>
      <c r="V293" s="5" t="s">
        <v>176</v>
      </c>
      <c r="W293" s="12">
        <v>13604422</v>
      </c>
      <c r="X293" s="6"/>
      <c r="Y293" s="6"/>
    </row>
    <row r="294" spans="1:25" ht="15" customHeight="1" x14ac:dyDescent="0.2">
      <c r="A294" s="88" t="s">
        <v>412</v>
      </c>
      <c r="B294" s="90"/>
      <c r="C294" s="88" t="s">
        <v>514</v>
      </c>
      <c r="D294" s="90"/>
      <c r="E294" s="88" t="s">
        <v>515</v>
      </c>
      <c r="F294" s="89"/>
      <c r="G294" s="89"/>
      <c r="H294" s="89"/>
      <c r="I294" s="90"/>
      <c r="J294" s="88" t="s">
        <v>13</v>
      </c>
      <c r="K294" s="89"/>
      <c r="L294" s="89"/>
      <c r="M294" s="90"/>
      <c r="N294" s="88" t="s">
        <v>26</v>
      </c>
      <c r="O294" s="89"/>
      <c r="P294" s="90"/>
      <c r="Q294" s="88" t="s">
        <v>181</v>
      </c>
      <c r="R294" s="90"/>
      <c r="S294" s="5" t="s">
        <v>16</v>
      </c>
      <c r="T294" s="6"/>
      <c r="U294" s="8">
        <v>5</v>
      </c>
      <c r="V294" s="5" t="s">
        <v>482</v>
      </c>
      <c r="W294" s="12">
        <v>11236474</v>
      </c>
      <c r="X294" s="6"/>
      <c r="Y294" s="6"/>
    </row>
    <row r="295" spans="1:25" ht="15" customHeight="1" x14ac:dyDescent="0.2">
      <c r="A295" s="88" t="s">
        <v>412</v>
      </c>
      <c r="B295" s="90"/>
      <c r="C295" s="88" t="s">
        <v>516</v>
      </c>
      <c r="D295" s="90"/>
      <c r="E295" s="106"/>
      <c r="F295" s="107"/>
      <c r="G295" s="107"/>
      <c r="H295" s="107"/>
      <c r="I295" s="108"/>
      <c r="J295" s="88" t="s">
        <v>13</v>
      </c>
      <c r="K295" s="89"/>
      <c r="L295" s="89"/>
      <c r="M295" s="90"/>
      <c r="N295" s="88" t="s">
        <v>22</v>
      </c>
      <c r="O295" s="89"/>
      <c r="P295" s="90"/>
      <c r="Q295" s="88" t="s">
        <v>517</v>
      </c>
      <c r="R295" s="90"/>
      <c r="S295" s="5" t="s">
        <v>16</v>
      </c>
      <c r="T295" s="6"/>
      <c r="U295" s="8">
        <v>5</v>
      </c>
      <c r="V295" s="5" t="s">
        <v>23</v>
      </c>
      <c r="W295" s="12">
        <v>7622513</v>
      </c>
      <c r="X295" s="6"/>
      <c r="Y295" s="6"/>
    </row>
    <row r="296" spans="1:25" ht="15" customHeight="1" x14ac:dyDescent="0.2">
      <c r="A296" s="88" t="s">
        <v>412</v>
      </c>
      <c r="B296" s="90"/>
      <c r="C296" s="88" t="s">
        <v>518</v>
      </c>
      <c r="D296" s="90"/>
      <c r="E296" s="106"/>
      <c r="F296" s="107"/>
      <c r="G296" s="107"/>
      <c r="H296" s="107"/>
      <c r="I296" s="108"/>
      <c r="J296" s="88" t="s">
        <v>13</v>
      </c>
      <c r="K296" s="89"/>
      <c r="L296" s="89"/>
      <c r="M296" s="90"/>
      <c r="N296" s="88" t="s">
        <v>22</v>
      </c>
      <c r="O296" s="89"/>
      <c r="P296" s="90"/>
      <c r="Q296" s="88" t="s">
        <v>181</v>
      </c>
      <c r="R296" s="90"/>
      <c r="S296" s="5" t="s">
        <v>16</v>
      </c>
      <c r="T296" s="6"/>
      <c r="U296" s="8">
        <v>5</v>
      </c>
      <c r="V296" s="5" t="s">
        <v>482</v>
      </c>
      <c r="W296" s="12">
        <v>14493316</v>
      </c>
      <c r="X296" s="6"/>
      <c r="Y296" s="6"/>
    </row>
    <row r="297" spans="1:25" ht="15" customHeight="1" x14ac:dyDescent="0.2">
      <c r="A297" s="88" t="s">
        <v>412</v>
      </c>
      <c r="B297" s="90"/>
      <c r="C297" s="88" t="s">
        <v>519</v>
      </c>
      <c r="D297" s="90"/>
      <c r="E297" s="106"/>
      <c r="F297" s="107"/>
      <c r="G297" s="107"/>
      <c r="H297" s="107"/>
      <c r="I297" s="108"/>
      <c r="J297" s="88" t="s">
        <v>13</v>
      </c>
      <c r="K297" s="89"/>
      <c r="L297" s="89"/>
      <c r="M297" s="90"/>
      <c r="N297" s="88" t="s">
        <v>22</v>
      </c>
      <c r="O297" s="89"/>
      <c r="P297" s="90"/>
      <c r="Q297" s="133">
        <v>2000</v>
      </c>
      <c r="R297" s="134"/>
      <c r="S297" s="5" t="s">
        <v>520</v>
      </c>
      <c r="T297" s="6"/>
      <c r="U297" s="8">
        <v>5</v>
      </c>
      <c r="V297" s="5" t="s">
        <v>106</v>
      </c>
      <c r="W297" s="12">
        <v>23516292</v>
      </c>
      <c r="X297" s="6"/>
      <c r="Y297" s="6"/>
    </row>
    <row r="298" spans="1:25" ht="15" customHeight="1" x14ac:dyDescent="0.2">
      <c r="A298" s="88" t="s">
        <v>412</v>
      </c>
      <c r="B298" s="90"/>
      <c r="C298" s="88" t="s">
        <v>521</v>
      </c>
      <c r="D298" s="90"/>
      <c r="E298" s="106"/>
      <c r="F298" s="107"/>
      <c r="G298" s="107"/>
      <c r="H298" s="107"/>
      <c r="I298" s="108"/>
      <c r="J298" s="88" t="s">
        <v>13</v>
      </c>
      <c r="K298" s="89"/>
      <c r="L298" s="89"/>
      <c r="M298" s="90"/>
      <c r="N298" s="88" t="s">
        <v>22</v>
      </c>
      <c r="O298" s="89"/>
      <c r="P298" s="90"/>
      <c r="Q298" s="133">
        <v>2000</v>
      </c>
      <c r="R298" s="134"/>
      <c r="S298" s="5" t="s">
        <v>16</v>
      </c>
      <c r="T298" s="6"/>
      <c r="U298" s="8">
        <v>5</v>
      </c>
      <c r="V298" s="5" t="s">
        <v>23</v>
      </c>
      <c r="W298" s="12">
        <v>21753592</v>
      </c>
      <c r="X298" s="6"/>
      <c r="Y298" s="6"/>
    </row>
    <row r="299" spans="1:25" ht="15" customHeight="1" x14ac:dyDescent="0.2">
      <c r="A299" s="88" t="s">
        <v>412</v>
      </c>
      <c r="B299" s="90"/>
      <c r="C299" s="88" t="s">
        <v>522</v>
      </c>
      <c r="D299" s="90"/>
      <c r="E299" s="88" t="s">
        <v>523</v>
      </c>
      <c r="F299" s="89"/>
      <c r="G299" s="89"/>
      <c r="H299" s="89"/>
      <c r="I299" s="90"/>
      <c r="J299" s="88" t="s">
        <v>13</v>
      </c>
      <c r="K299" s="89"/>
      <c r="L299" s="89"/>
      <c r="M299" s="90"/>
      <c r="N299" s="88" t="s">
        <v>22</v>
      </c>
      <c r="O299" s="89"/>
      <c r="P299" s="90"/>
      <c r="Q299" s="88" t="s">
        <v>181</v>
      </c>
      <c r="R299" s="90"/>
      <c r="S299" s="5" t="s">
        <v>16</v>
      </c>
      <c r="T299" s="6"/>
      <c r="U299" s="8">
        <v>5</v>
      </c>
      <c r="V299" s="5" t="s">
        <v>482</v>
      </c>
      <c r="W299" s="12">
        <v>24126818</v>
      </c>
      <c r="X299" s="6"/>
      <c r="Y299" s="6"/>
    </row>
    <row r="300" spans="1:25" ht="15" customHeight="1" x14ac:dyDescent="0.2">
      <c r="A300" s="88" t="s">
        <v>412</v>
      </c>
      <c r="B300" s="90"/>
      <c r="C300" s="88" t="s">
        <v>524</v>
      </c>
      <c r="D300" s="90"/>
      <c r="E300" s="88" t="s">
        <v>525</v>
      </c>
      <c r="F300" s="89"/>
      <c r="G300" s="89"/>
      <c r="H300" s="89"/>
      <c r="I300" s="90"/>
      <c r="J300" s="88" t="s">
        <v>13</v>
      </c>
      <c r="K300" s="89"/>
      <c r="L300" s="89"/>
      <c r="M300" s="90"/>
      <c r="N300" s="88" t="s">
        <v>526</v>
      </c>
      <c r="O300" s="89"/>
      <c r="P300" s="90"/>
      <c r="Q300" s="88" t="s">
        <v>181</v>
      </c>
      <c r="R300" s="90"/>
      <c r="S300" s="5" t="s">
        <v>16</v>
      </c>
      <c r="T300" s="6"/>
      <c r="U300" s="8">
        <v>5</v>
      </c>
      <c r="V300" s="5" t="s">
        <v>482</v>
      </c>
      <c r="W300" s="12">
        <v>11049965</v>
      </c>
      <c r="X300" s="6"/>
      <c r="Y300" s="6"/>
    </row>
    <row r="301" spans="1:25" ht="15" customHeight="1" x14ac:dyDescent="0.2">
      <c r="A301" s="88" t="s">
        <v>412</v>
      </c>
      <c r="B301" s="90"/>
      <c r="C301" s="88" t="s">
        <v>527</v>
      </c>
      <c r="D301" s="90"/>
      <c r="E301" s="106"/>
      <c r="F301" s="107"/>
      <c r="G301" s="107"/>
      <c r="H301" s="107"/>
      <c r="I301" s="108"/>
      <c r="J301" s="88" t="s">
        <v>13</v>
      </c>
      <c r="K301" s="89"/>
      <c r="L301" s="89"/>
      <c r="M301" s="90"/>
      <c r="N301" s="88" t="s">
        <v>22</v>
      </c>
      <c r="O301" s="89"/>
      <c r="P301" s="90"/>
      <c r="Q301" s="133">
        <v>3000</v>
      </c>
      <c r="R301" s="134"/>
      <c r="S301" s="5" t="s">
        <v>16</v>
      </c>
      <c r="T301" s="6"/>
      <c r="U301" s="8">
        <v>5</v>
      </c>
      <c r="V301" s="5" t="s">
        <v>23</v>
      </c>
      <c r="W301" s="12">
        <v>10443652</v>
      </c>
      <c r="X301" s="6"/>
      <c r="Y301" s="6"/>
    </row>
    <row r="302" spans="1:25" ht="15" customHeight="1" x14ac:dyDescent="0.2">
      <c r="A302" s="88" t="s">
        <v>412</v>
      </c>
      <c r="B302" s="90"/>
      <c r="C302" s="88" t="s">
        <v>528</v>
      </c>
      <c r="D302" s="90"/>
      <c r="E302" s="106"/>
      <c r="F302" s="107"/>
      <c r="G302" s="107"/>
      <c r="H302" s="107"/>
      <c r="I302" s="108"/>
      <c r="J302" s="88" t="s">
        <v>13</v>
      </c>
      <c r="K302" s="89"/>
      <c r="L302" s="89"/>
      <c r="M302" s="90"/>
      <c r="N302" s="88" t="s">
        <v>526</v>
      </c>
      <c r="O302" s="89"/>
      <c r="P302" s="90"/>
      <c r="Q302" s="88" t="s">
        <v>181</v>
      </c>
      <c r="R302" s="90"/>
      <c r="S302" s="5" t="s">
        <v>16</v>
      </c>
      <c r="T302" s="6"/>
      <c r="U302" s="8">
        <v>5</v>
      </c>
      <c r="V302" s="5" t="s">
        <v>482</v>
      </c>
      <c r="W302" s="12">
        <v>16300410</v>
      </c>
      <c r="X302" s="6"/>
      <c r="Y302" s="6"/>
    </row>
    <row r="303" spans="1:25" ht="15" customHeight="1" x14ac:dyDescent="0.2">
      <c r="A303" s="88" t="s">
        <v>412</v>
      </c>
      <c r="B303" s="90"/>
      <c r="C303" s="88" t="s">
        <v>529</v>
      </c>
      <c r="D303" s="90"/>
      <c r="E303" s="106"/>
      <c r="F303" s="107"/>
      <c r="G303" s="107"/>
      <c r="H303" s="107"/>
      <c r="I303" s="108"/>
      <c r="J303" s="88" t="s">
        <v>13</v>
      </c>
      <c r="K303" s="89"/>
      <c r="L303" s="89"/>
      <c r="M303" s="90"/>
      <c r="N303" s="88" t="s">
        <v>22</v>
      </c>
      <c r="O303" s="89"/>
      <c r="P303" s="90"/>
      <c r="Q303" s="133">
        <v>4400</v>
      </c>
      <c r="R303" s="134"/>
      <c r="S303" s="5" t="s">
        <v>16</v>
      </c>
      <c r="T303" s="6"/>
      <c r="U303" s="8">
        <v>5</v>
      </c>
      <c r="V303" s="5" t="s">
        <v>23</v>
      </c>
      <c r="W303" s="12">
        <v>18090052</v>
      </c>
      <c r="X303" s="6"/>
      <c r="Y303" s="6"/>
    </row>
    <row r="304" spans="1:25" ht="15" customHeight="1" x14ac:dyDescent="0.2">
      <c r="A304" s="88" t="s">
        <v>412</v>
      </c>
      <c r="B304" s="90"/>
      <c r="C304" s="88" t="s">
        <v>530</v>
      </c>
      <c r="D304" s="90"/>
      <c r="E304" s="106"/>
      <c r="F304" s="107"/>
      <c r="G304" s="107"/>
      <c r="H304" s="107"/>
      <c r="I304" s="108"/>
      <c r="J304" s="88" t="s">
        <v>13</v>
      </c>
      <c r="K304" s="89"/>
      <c r="L304" s="89"/>
      <c r="M304" s="90"/>
      <c r="N304" s="88" t="s">
        <v>22</v>
      </c>
      <c r="O304" s="89"/>
      <c r="P304" s="90"/>
      <c r="Q304" s="133">
        <v>3000</v>
      </c>
      <c r="R304" s="134"/>
      <c r="S304" s="5" t="s">
        <v>16</v>
      </c>
      <c r="T304" s="6"/>
      <c r="U304" s="8">
        <v>5</v>
      </c>
      <c r="V304" s="5" t="s">
        <v>96</v>
      </c>
      <c r="W304" s="12">
        <v>18883118</v>
      </c>
      <c r="X304" s="6"/>
      <c r="Y304" s="6"/>
    </row>
    <row r="305" spans="1:25" ht="15" customHeight="1" x14ac:dyDescent="0.2">
      <c r="A305" s="88" t="s">
        <v>412</v>
      </c>
      <c r="B305" s="90"/>
      <c r="C305" s="88" t="s">
        <v>531</v>
      </c>
      <c r="D305" s="90"/>
      <c r="E305" s="88" t="s">
        <v>532</v>
      </c>
      <c r="F305" s="89"/>
      <c r="G305" s="89"/>
      <c r="H305" s="89"/>
      <c r="I305" s="90"/>
      <c r="J305" s="88" t="s">
        <v>13</v>
      </c>
      <c r="K305" s="89"/>
      <c r="L305" s="89"/>
      <c r="M305" s="90"/>
      <c r="N305" s="88" t="s">
        <v>22</v>
      </c>
      <c r="O305" s="89"/>
      <c r="P305" s="90"/>
      <c r="Q305" s="133">
        <v>3000</v>
      </c>
      <c r="R305" s="134"/>
      <c r="S305" s="5" t="s">
        <v>16</v>
      </c>
      <c r="T305" s="6"/>
      <c r="U305" s="8">
        <v>5</v>
      </c>
      <c r="V305" s="5" t="s">
        <v>176</v>
      </c>
      <c r="W305" s="12">
        <v>26968904</v>
      </c>
      <c r="X305" s="6"/>
      <c r="Y305" s="6"/>
    </row>
    <row r="306" spans="1:25" ht="15" customHeight="1" x14ac:dyDescent="0.2">
      <c r="A306" s="88" t="s">
        <v>412</v>
      </c>
      <c r="B306" s="90"/>
      <c r="C306" s="88" t="s">
        <v>533</v>
      </c>
      <c r="D306" s="90"/>
      <c r="E306" s="106"/>
      <c r="F306" s="107"/>
      <c r="G306" s="107"/>
      <c r="H306" s="107"/>
      <c r="I306" s="108"/>
      <c r="J306" s="88" t="s">
        <v>13</v>
      </c>
      <c r="K306" s="89"/>
      <c r="L306" s="89"/>
      <c r="M306" s="90"/>
      <c r="N306" s="88" t="s">
        <v>22</v>
      </c>
      <c r="O306" s="89"/>
      <c r="P306" s="90"/>
      <c r="Q306" s="133">
        <v>3000</v>
      </c>
      <c r="R306" s="134"/>
      <c r="S306" s="5" t="s">
        <v>16</v>
      </c>
      <c r="T306" s="6"/>
      <c r="U306" s="8">
        <v>5</v>
      </c>
      <c r="V306" s="5" t="s">
        <v>96</v>
      </c>
      <c r="W306" s="12">
        <v>28622667</v>
      </c>
      <c r="X306" s="6"/>
      <c r="Y306" s="6"/>
    </row>
    <row r="307" spans="1:25" ht="15" customHeight="1" x14ac:dyDescent="0.2">
      <c r="A307" s="88" t="s">
        <v>412</v>
      </c>
      <c r="B307" s="90"/>
      <c r="C307" s="88" t="s">
        <v>534</v>
      </c>
      <c r="D307" s="90"/>
      <c r="E307" s="106"/>
      <c r="F307" s="107"/>
      <c r="G307" s="107"/>
      <c r="H307" s="107"/>
      <c r="I307" s="108"/>
      <c r="J307" s="88" t="s">
        <v>13</v>
      </c>
      <c r="K307" s="89"/>
      <c r="L307" s="89"/>
      <c r="M307" s="90"/>
      <c r="N307" s="88" t="s">
        <v>22</v>
      </c>
      <c r="O307" s="89"/>
      <c r="P307" s="90"/>
      <c r="Q307" s="133">
        <v>3000</v>
      </c>
      <c r="R307" s="134"/>
      <c r="S307" s="5" t="s">
        <v>16</v>
      </c>
      <c r="T307" s="6"/>
      <c r="U307" s="8">
        <v>5</v>
      </c>
      <c r="V307" s="5" t="s">
        <v>96</v>
      </c>
      <c r="W307" s="12">
        <v>12196745</v>
      </c>
      <c r="X307" s="6"/>
      <c r="Y307" s="6"/>
    </row>
    <row r="308" spans="1:25" ht="15" customHeight="1" x14ac:dyDescent="0.2">
      <c r="A308" s="88" t="s">
        <v>412</v>
      </c>
      <c r="B308" s="90"/>
      <c r="C308" s="88" t="s">
        <v>535</v>
      </c>
      <c r="D308" s="90"/>
      <c r="E308" s="88" t="s">
        <v>536</v>
      </c>
      <c r="F308" s="89"/>
      <c r="G308" s="89"/>
      <c r="H308" s="89"/>
      <c r="I308" s="90"/>
      <c r="J308" s="88" t="s">
        <v>13</v>
      </c>
      <c r="K308" s="89"/>
      <c r="L308" s="89"/>
      <c r="M308" s="90"/>
      <c r="N308" s="88" t="s">
        <v>22</v>
      </c>
      <c r="O308" s="89"/>
      <c r="P308" s="90"/>
      <c r="Q308" s="133">
        <v>2000</v>
      </c>
      <c r="R308" s="134"/>
      <c r="S308" s="5" t="s">
        <v>44</v>
      </c>
      <c r="T308" s="6"/>
      <c r="U308" s="8">
        <v>5</v>
      </c>
      <c r="V308" s="5" t="s">
        <v>23</v>
      </c>
      <c r="W308" s="12">
        <v>17405544</v>
      </c>
      <c r="X308" s="6"/>
      <c r="Y308" s="6"/>
    </row>
    <row r="309" spans="1:25" ht="15" customHeight="1" x14ac:dyDescent="0.2">
      <c r="A309" s="88" t="s">
        <v>412</v>
      </c>
      <c r="B309" s="90"/>
      <c r="C309" s="88" t="s">
        <v>537</v>
      </c>
      <c r="D309" s="90"/>
      <c r="E309" s="106"/>
      <c r="F309" s="107"/>
      <c r="G309" s="107"/>
      <c r="H309" s="107"/>
      <c r="I309" s="108"/>
      <c r="J309" s="88" t="s">
        <v>13</v>
      </c>
      <c r="K309" s="89"/>
      <c r="L309" s="89"/>
      <c r="M309" s="90"/>
      <c r="N309" s="88" t="s">
        <v>22</v>
      </c>
      <c r="O309" s="89"/>
      <c r="P309" s="90"/>
      <c r="Q309" s="133">
        <v>3000</v>
      </c>
      <c r="R309" s="134"/>
      <c r="S309" s="5" t="s">
        <v>16</v>
      </c>
      <c r="T309" s="6"/>
      <c r="U309" s="8">
        <v>5</v>
      </c>
      <c r="V309" s="5" t="s">
        <v>23</v>
      </c>
      <c r="W309" s="12">
        <v>17126850</v>
      </c>
      <c r="X309" s="6"/>
      <c r="Y309" s="6"/>
    </row>
    <row r="310" spans="1:25" ht="15" customHeight="1" x14ac:dyDescent="0.2">
      <c r="A310" s="88" t="s">
        <v>412</v>
      </c>
      <c r="B310" s="90"/>
      <c r="C310" s="88" t="s">
        <v>538</v>
      </c>
      <c r="D310" s="89"/>
      <c r="E310" s="89"/>
      <c r="F310" s="89"/>
      <c r="G310" s="89"/>
      <c r="H310" s="89"/>
      <c r="I310" s="90"/>
      <c r="J310" s="88" t="s">
        <v>13</v>
      </c>
      <c r="K310" s="89"/>
      <c r="L310" s="89"/>
      <c r="M310" s="90"/>
      <c r="N310" s="88" t="s">
        <v>22</v>
      </c>
      <c r="O310" s="89"/>
      <c r="P310" s="90"/>
      <c r="Q310" s="133">
        <v>3000</v>
      </c>
      <c r="R310" s="134"/>
      <c r="S310" s="5" t="s">
        <v>16</v>
      </c>
      <c r="T310" s="6"/>
      <c r="U310" s="8">
        <v>5</v>
      </c>
      <c r="V310" s="5" t="s">
        <v>106</v>
      </c>
      <c r="W310" s="12">
        <v>14044934</v>
      </c>
      <c r="X310" s="6"/>
      <c r="Y310" s="6"/>
    </row>
    <row r="311" spans="1:25" ht="15" customHeight="1" x14ac:dyDescent="0.2">
      <c r="A311" s="88" t="s">
        <v>412</v>
      </c>
      <c r="B311" s="90"/>
      <c r="C311" s="88" t="s">
        <v>539</v>
      </c>
      <c r="D311" s="90"/>
      <c r="E311" s="88" t="s">
        <v>540</v>
      </c>
      <c r="F311" s="89"/>
      <c r="G311" s="89"/>
      <c r="H311" s="89"/>
      <c r="I311" s="90"/>
      <c r="J311" s="88" t="s">
        <v>13</v>
      </c>
      <c r="K311" s="89"/>
      <c r="L311" s="89"/>
      <c r="M311" s="90"/>
      <c r="N311" s="88" t="s">
        <v>22</v>
      </c>
      <c r="O311" s="89"/>
      <c r="P311" s="90"/>
      <c r="Q311" s="133">
        <v>3000</v>
      </c>
      <c r="R311" s="134"/>
      <c r="S311" s="5" t="s">
        <v>16</v>
      </c>
      <c r="T311" s="6"/>
      <c r="U311" s="8">
        <v>5</v>
      </c>
      <c r="V311" s="5" t="s">
        <v>23</v>
      </c>
      <c r="W311" s="12">
        <v>19094805</v>
      </c>
      <c r="X311" s="6"/>
      <c r="Y311" s="6"/>
    </row>
    <row r="312" spans="1:25" ht="15" customHeight="1" x14ac:dyDescent="0.2">
      <c r="A312" s="88" t="s">
        <v>412</v>
      </c>
      <c r="B312" s="90"/>
      <c r="C312" s="88" t="s">
        <v>541</v>
      </c>
      <c r="D312" s="90"/>
      <c r="E312" s="88" t="s">
        <v>542</v>
      </c>
      <c r="F312" s="89"/>
      <c r="G312" s="89"/>
      <c r="H312" s="89"/>
      <c r="I312" s="90"/>
      <c r="J312" s="88" t="s">
        <v>13</v>
      </c>
      <c r="K312" s="89"/>
      <c r="L312" s="89"/>
      <c r="M312" s="90"/>
      <c r="N312" s="88" t="s">
        <v>22</v>
      </c>
      <c r="O312" s="89"/>
      <c r="P312" s="90"/>
      <c r="Q312" s="133">
        <v>3000</v>
      </c>
      <c r="R312" s="134"/>
      <c r="S312" s="5" t="s">
        <v>16</v>
      </c>
      <c r="T312" s="6"/>
      <c r="U312" s="8">
        <v>5</v>
      </c>
      <c r="V312" s="5" t="s">
        <v>176</v>
      </c>
      <c r="W312" s="12">
        <v>17302672</v>
      </c>
      <c r="X312" s="6"/>
      <c r="Y312" s="6"/>
    </row>
    <row r="313" spans="1:25" ht="15" customHeight="1" x14ac:dyDescent="0.2">
      <c r="A313" s="88" t="s">
        <v>412</v>
      </c>
      <c r="B313" s="90"/>
      <c r="C313" s="88" t="s">
        <v>543</v>
      </c>
      <c r="D313" s="90"/>
      <c r="E313" s="88" t="s">
        <v>544</v>
      </c>
      <c r="F313" s="89"/>
      <c r="G313" s="89"/>
      <c r="H313" s="89"/>
      <c r="I313" s="90"/>
      <c r="J313" s="88" t="s">
        <v>13</v>
      </c>
      <c r="K313" s="89"/>
      <c r="L313" s="89"/>
      <c r="M313" s="90"/>
      <c r="N313" s="88" t="s">
        <v>22</v>
      </c>
      <c r="O313" s="89"/>
      <c r="P313" s="90"/>
      <c r="Q313" s="133">
        <v>3000</v>
      </c>
      <c r="R313" s="134"/>
      <c r="S313" s="5" t="s">
        <v>16</v>
      </c>
      <c r="T313" s="6"/>
      <c r="U313" s="8">
        <v>5</v>
      </c>
      <c r="V313" s="5" t="s">
        <v>96</v>
      </c>
      <c r="W313" s="12">
        <v>14282349</v>
      </c>
      <c r="X313" s="6"/>
      <c r="Y313" s="6"/>
    </row>
    <row r="314" spans="1:25" ht="15" customHeight="1" x14ac:dyDescent="0.2">
      <c r="A314" s="88" t="s">
        <v>412</v>
      </c>
      <c r="B314" s="90"/>
      <c r="C314" s="88" t="s">
        <v>545</v>
      </c>
      <c r="D314" s="90"/>
      <c r="E314" s="88" t="s">
        <v>544</v>
      </c>
      <c r="F314" s="89"/>
      <c r="G314" s="89"/>
      <c r="H314" s="89"/>
      <c r="I314" s="90"/>
      <c r="J314" s="88" t="s">
        <v>13</v>
      </c>
      <c r="K314" s="89"/>
      <c r="L314" s="89"/>
      <c r="M314" s="90"/>
      <c r="N314" s="88" t="s">
        <v>22</v>
      </c>
      <c r="O314" s="89"/>
      <c r="P314" s="90"/>
      <c r="Q314" s="133">
        <v>3000</v>
      </c>
      <c r="R314" s="134"/>
      <c r="S314" s="5" t="s">
        <v>16</v>
      </c>
      <c r="T314" s="6"/>
      <c r="U314" s="8">
        <v>5</v>
      </c>
      <c r="V314" s="5" t="s">
        <v>23</v>
      </c>
      <c r="W314" s="12">
        <v>15519848</v>
      </c>
      <c r="X314" s="6"/>
      <c r="Y314" s="6"/>
    </row>
    <row r="315" spans="1:25" ht="15" customHeight="1" x14ac:dyDescent="0.2">
      <c r="A315" s="88" t="s">
        <v>412</v>
      </c>
      <c r="B315" s="90"/>
      <c r="C315" s="88" t="s">
        <v>546</v>
      </c>
      <c r="D315" s="90"/>
      <c r="E315" s="106"/>
      <c r="F315" s="107"/>
      <c r="G315" s="107"/>
      <c r="H315" s="107"/>
      <c r="I315" s="108"/>
      <c r="J315" s="88" t="s">
        <v>13</v>
      </c>
      <c r="K315" s="89"/>
      <c r="L315" s="89"/>
      <c r="M315" s="90"/>
      <c r="N315" s="88" t="s">
        <v>22</v>
      </c>
      <c r="O315" s="89"/>
      <c r="P315" s="90"/>
      <c r="Q315" s="133">
        <v>3000</v>
      </c>
      <c r="R315" s="134"/>
      <c r="S315" s="5" t="s">
        <v>16</v>
      </c>
      <c r="T315" s="6"/>
      <c r="U315" s="8">
        <v>5</v>
      </c>
      <c r="V315" s="5" t="s">
        <v>96</v>
      </c>
      <c r="W315" s="12">
        <v>20268568</v>
      </c>
      <c r="X315" s="6"/>
      <c r="Y315" s="6"/>
    </row>
    <row r="316" spans="1:25" ht="15" customHeight="1" x14ac:dyDescent="0.2">
      <c r="A316" s="88" t="s">
        <v>412</v>
      </c>
      <c r="B316" s="90"/>
      <c r="C316" s="88" t="s">
        <v>547</v>
      </c>
      <c r="D316" s="90"/>
      <c r="E316" s="88" t="s">
        <v>548</v>
      </c>
      <c r="F316" s="89"/>
      <c r="G316" s="89"/>
      <c r="H316" s="89"/>
      <c r="I316" s="90"/>
      <c r="J316" s="88" t="s">
        <v>13</v>
      </c>
      <c r="K316" s="89"/>
      <c r="L316" s="89"/>
      <c r="M316" s="90"/>
      <c r="N316" s="88" t="s">
        <v>22</v>
      </c>
      <c r="O316" s="89"/>
      <c r="P316" s="90"/>
      <c r="Q316" s="133">
        <v>3000</v>
      </c>
      <c r="R316" s="134"/>
      <c r="S316" s="5" t="s">
        <v>16</v>
      </c>
      <c r="T316" s="6"/>
      <c r="U316" s="8">
        <v>5</v>
      </c>
      <c r="V316" s="5" t="s">
        <v>96</v>
      </c>
      <c r="W316" s="12">
        <v>33651858</v>
      </c>
      <c r="X316" s="6"/>
      <c r="Y316" s="6"/>
    </row>
    <row r="317" spans="1:25" ht="15" customHeight="1" x14ac:dyDescent="0.2">
      <c r="A317" s="88" t="s">
        <v>412</v>
      </c>
      <c r="B317" s="90"/>
      <c r="C317" s="88" t="s">
        <v>549</v>
      </c>
      <c r="D317" s="90"/>
      <c r="E317" s="88" t="s">
        <v>550</v>
      </c>
      <c r="F317" s="89"/>
      <c r="G317" s="89"/>
      <c r="H317" s="89"/>
      <c r="I317" s="90"/>
      <c r="J317" s="88" t="s">
        <v>13</v>
      </c>
      <c r="K317" s="89"/>
      <c r="L317" s="89"/>
      <c r="M317" s="90"/>
      <c r="N317" s="88" t="s">
        <v>22</v>
      </c>
      <c r="O317" s="89"/>
      <c r="P317" s="90"/>
      <c r="Q317" s="133">
        <v>3000</v>
      </c>
      <c r="R317" s="134"/>
      <c r="S317" s="5" t="s">
        <v>16</v>
      </c>
      <c r="T317" s="6"/>
      <c r="U317" s="8">
        <v>5</v>
      </c>
      <c r="V317" s="5" t="s">
        <v>106</v>
      </c>
      <c r="W317" s="12">
        <v>19760859</v>
      </c>
      <c r="X317" s="6"/>
      <c r="Y317" s="6"/>
    </row>
    <row r="318" spans="1:25" ht="15" customHeight="1" x14ac:dyDescent="0.2">
      <c r="A318" s="88" t="s">
        <v>412</v>
      </c>
      <c r="B318" s="90"/>
      <c r="C318" s="88" t="s">
        <v>551</v>
      </c>
      <c r="D318" s="90"/>
      <c r="E318" s="106"/>
      <c r="F318" s="107"/>
      <c r="G318" s="107"/>
      <c r="H318" s="107"/>
      <c r="I318" s="108"/>
      <c r="J318" s="88" t="s">
        <v>13</v>
      </c>
      <c r="K318" s="89"/>
      <c r="L318" s="89"/>
      <c r="M318" s="90"/>
      <c r="N318" s="88" t="s">
        <v>22</v>
      </c>
      <c r="O318" s="89"/>
      <c r="P318" s="90"/>
      <c r="Q318" s="133">
        <v>4400</v>
      </c>
      <c r="R318" s="134"/>
      <c r="S318" s="5" t="s">
        <v>16</v>
      </c>
      <c r="T318" s="6"/>
      <c r="U318" s="8">
        <v>5</v>
      </c>
      <c r="V318" s="5" t="s">
        <v>23</v>
      </c>
      <c r="W318" s="12">
        <v>31169477</v>
      </c>
      <c r="X318" s="6"/>
      <c r="Y318" s="6"/>
    </row>
    <row r="319" spans="1:25" ht="15" customHeight="1" x14ac:dyDescent="0.2">
      <c r="A319" s="88" t="s">
        <v>412</v>
      </c>
      <c r="B319" s="90"/>
      <c r="C319" s="88" t="s">
        <v>552</v>
      </c>
      <c r="D319" s="90"/>
      <c r="E319" s="106"/>
      <c r="F319" s="107"/>
      <c r="G319" s="107"/>
      <c r="H319" s="107"/>
      <c r="I319" s="108"/>
      <c r="J319" s="88" t="s">
        <v>13</v>
      </c>
      <c r="K319" s="89"/>
      <c r="L319" s="89"/>
      <c r="M319" s="90"/>
      <c r="N319" s="88" t="s">
        <v>553</v>
      </c>
      <c r="O319" s="89"/>
      <c r="P319" s="90"/>
      <c r="Q319" s="133">
        <v>3000</v>
      </c>
      <c r="R319" s="134"/>
      <c r="S319" s="5" t="s">
        <v>16</v>
      </c>
      <c r="T319" s="6"/>
      <c r="U319" s="8">
        <v>5</v>
      </c>
      <c r="V319" s="5" t="s">
        <v>176</v>
      </c>
      <c r="W319" s="12">
        <v>18620952</v>
      </c>
      <c r="X319" s="6"/>
      <c r="Y319" s="6"/>
    </row>
    <row r="320" spans="1:25" ht="15" customHeight="1" x14ac:dyDescent="0.2">
      <c r="A320" s="88" t="s">
        <v>412</v>
      </c>
      <c r="B320" s="90"/>
      <c r="C320" s="88" t="s">
        <v>554</v>
      </c>
      <c r="D320" s="89"/>
      <c r="E320" s="89"/>
      <c r="F320" s="89"/>
      <c r="G320" s="89"/>
      <c r="H320" s="89"/>
      <c r="I320" s="90"/>
      <c r="J320" s="88" t="s">
        <v>13</v>
      </c>
      <c r="K320" s="89"/>
      <c r="L320" s="89"/>
      <c r="M320" s="90"/>
      <c r="N320" s="88" t="s">
        <v>22</v>
      </c>
      <c r="O320" s="89"/>
      <c r="P320" s="90"/>
      <c r="Q320" s="133">
        <v>3000</v>
      </c>
      <c r="R320" s="134"/>
      <c r="S320" s="5" t="s">
        <v>16</v>
      </c>
      <c r="T320" s="6"/>
      <c r="U320" s="8">
        <v>5</v>
      </c>
      <c r="V320" s="5" t="s">
        <v>106</v>
      </c>
      <c r="W320" s="12">
        <v>16619697</v>
      </c>
      <c r="X320" s="6"/>
      <c r="Y320" s="6"/>
    </row>
    <row r="321" spans="1:25" ht="15" customHeight="1" x14ac:dyDescent="0.2">
      <c r="A321" s="88" t="s">
        <v>412</v>
      </c>
      <c r="B321" s="90"/>
      <c r="C321" s="88" t="s">
        <v>555</v>
      </c>
      <c r="D321" s="90"/>
      <c r="E321" s="106"/>
      <c r="F321" s="107"/>
      <c r="G321" s="107"/>
      <c r="H321" s="107"/>
      <c r="I321" s="108"/>
      <c r="J321" s="88" t="s">
        <v>13</v>
      </c>
      <c r="K321" s="89"/>
      <c r="L321" s="89"/>
      <c r="M321" s="90"/>
      <c r="N321" s="88" t="s">
        <v>22</v>
      </c>
      <c r="O321" s="89"/>
      <c r="P321" s="90"/>
      <c r="Q321" s="133">
        <v>4400</v>
      </c>
      <c r="R321" s="134"/>
      <c r="S321" s="5" t="s">
        <v>16</v>
      </c>
      <c r="T321" s="6"/>
      <c r="U321" s="8">
        <v>5</v>
      </c>
      <c r="V321" s="5" t="s">
        <v>23</v>
      </c>
      <c r="W321" s="12">
        <v>23673998</v>
      </c>
      <c r="X321" s="6"/>
      <c r="Y321" s="6"/>
    </row>
    <row r="322" spans="1:25" ht="15" customHeight="1" x14ac:dyDescent="0.2">
      <c r="A322" s="88" t="s">
        <v>412</v>
      </c>
      <c r="B322" s="90"/>
      <c r="C322" s="88" t="s">
        <v>556</v>
      </c>
      <c r="D322" s="90"/>
      <c r="E322" s="106"/>
      <c r="F322" s="107"/>
      <c r="G322" s="107"/>
      <c r="H322" s="107"/>
      <c r="I322" s="108"/>
      <c r="J322" s="88" t="s">
        <v>13</v>
      </c>
      <c r="K322" s="89"/>
      <c r="L322" s="89"/>
      <c r="M322" s="90"/>
      <c r="N322" s="88" t="s">
        <v>22</v>
      </c>
      <c r="O322" s="89"/>
      <c r="P322" s="90"/>
      <c r="Q322" s="133">
        <v>4400</v>
      </c>
      <c r="R322" s="134"/>
      <c r="S322" s="5" t="s">
        <v>16</v>
      </c>
      <c r="T322" s="6"/>
      <c r="U322" s="8">
        <v>5</v>
      </c>
      <c r="V322" s="5" t="s">
        <v>23</v>
      </c>
      <c r="W322" s="12">
        <v>35091373</v>
      </c>
      <c r="X322" s="6"/>
      <c r="Y322" s="6"/>
    </row>
    <row r="323" spans="1:25" ht="15" customHeight="1" x14ac:dyDescent="0.2">
      <c r="A323" s="88" t="s">
        <v>412</v>
      </c>
      <c r="B323" s="90"/>
      <c r="C323" s="88" t="s">
        <v>557</v>
      </c>
      <c r="D323" s="89"/>
      <c r="E323" s="89"/>
      <c r="F323" s="89"/>
      <c r="G323" s="89"/>
      <c r="H323" s="89"/>
      <c r="I323" s="90"/>
      <c r="J323" s="88" t="s">
        <v>13</v>
      </c>
      <c r="K323" s="89"/>
      <c r="L323" s="89"/>
      <c r="M323" s="90"/>
      <c r="N323" s="88" t="s">
        <v>22</v>
      </c>
      <c r="O323" s="89"/>
      <c r="P323" s="90"/>
      <c r="Q323" s="133">
        <v>4400</v>
      </c>
      <c r="R323" s="134"/>
      <c r="S323" s="5" t="s">
        <v>16</v>
      </c>
      <c r="T323" s="6"/>
      <c r="U323" s="8">
        <v>5</v>
      </c>
      <c r="V323" s="5" t="s">
        <v>96</v>
      </c>
      <c r="W323" s="12">
        <v>39119024</v>
      </c>
      <c r="X323" s="6"/>
      <c r="Y323" s="6"/>
    </row>
    <row r="324" spans="1:25" ht="15" customHeight="1" x14ac:dyDescent="0.2">
      <c r="A324" s="88" t="s">
        <v>412</v>
      </c>
      <c r="B324" s="90"/>
      <c r="C324" s="88" t="s">
        <v>558</v>
      </c>
      <c r="D324" s="90"/>
      <c r="E324" s="106"/>
      <c r="F324" s="107"/>
      <c r="G324" s="107"/>
      <c r="H324" s="107"/>
      <c r="I324" s="108"/>
      <c r="J324" s="88" t="s">
        <v>13</v>
      </c>
      <c r="K324" s="89"/>
      <c r="L324" s="89"/>
      <c r="M324" s="90"/>
      <c r="N324" s="88" t="s">
        <v>22</v>
      </c>
      <c r="O324" s="89"/>
      <c r="P324" s="90"/>
      <c r="Q324" s="133">
        <v>3000</v>
      </c>
      <c r="R324" s="134"/>
      <c r="S324" s="5" t="s">
        <v>16</v>
      </c>
      <c r="T324" s="6"/>
      <c r="U324" s="8">
        <v>5</v>
      </c>
      <c r="V324" s="5" t="s">
        <v>106</v>
      </c>
      <c r="W324" s="12">
        <v>40925907</v>
      </c>
      <c r="X324" s="6"/>
      <c r="Y324" s="6"/>
    </row>
    <row r="325" spans="1:25" ht="15" customHeight="1" x14ac:dyDescent="0.2">
      <c r="A325" s="88" t="s">
        <v>412</v>
      </c>
      <c r="B325" s="90"/>
      <c r="C325" s="88" t="s">
        <v>559</v>
      </c>
      <c r="D325" s="90"/>
      <c r="E325" s="106"/>
      <c r="F325" s="107"/>
      <c r="G325" s="107"/>
      <c r="H325" s="107"/>
      <c r="I325" s="108"/>
      <c r="J325" s="88" t="s">
        <v>13</v>
      </c>
      <c r="K325" s="89"/>
      <c r="L325" s="89"/>
      <c r="M325" s="90"/>
      <c r="N325" s="88" t="s">
        <v>22</v>
      </c>
      <c r="O325" s="89"/>
      <c r="P325" s="90"/>
      <c r="Q325" s="133">
        <v>3000</v>
      </c>
      <c r="R325" s="134"/>
      <c r="S325" s="5" t="s">
        <v>16</v>
      </c>
      <c r="T325" s="6"/>
      <c r="U325" s="8">
        <v>5</v>
      </c>
      <c r="V325" s="5" t="s">
        <v>96</v>
      </c>
      <c r="W325" s="12">
        <v>19952544</v>
      </c>
      <c r="X325" s="6"/>
      <c r="Y325" s="6"/>
    </row>
    <row r="326" spans="1:25" ht="15" customHeight="1" x14ac:dyDescent="0.2">
      <c r="A326" s="88" t="s">
        <v>412</v>
      </c>
      <c r="B326" s="90"/>
      <c r="C326" s="88" t="s">
        <v>560</v>
      </c>
      <c r="D326" s="90"/>
      <c r="E326" s="106"/>
      <c r="F326" s="107"/>
      <c r="G326" s="107"/>
      <c r="H326" s="107"/>
      <c r="I326" s="108"/>
      <c r="J326" s="88" t="s">
        <v>13</v>
      </c>
      <c r="K326" s="89"/>
      <c r="L326" s="89"/>
      <c r="M326" s="90"/>
      <c r="N326" s="88" t="s">
        <v>22</v>
      </c>
      <c r="O326" s="89"/>
      <c r="P326" s="90"/>
      <c r="Q326" s="133">
        <v>3000</v>
      </c>
      <c r="R326" s="134"/>
      <c r="S326" s="5" t="s">
        <v>16</v>
      </c>
      <c r="T326" s="6"/>
      <c r="U326" s="8">
        <v>5</v>
      </c>
      <c r="V326" s="5" t="s">
        <v>96</v>
      </c>
      <c r="W326" s="12">
        <v>25463444</v>
      </c>
      <c r="X326" s="6"/>
      <c r="Y326" s="6"/>
    </row>
    <row r="327" spans="1:25" ht="15" customHeight="1" x14ac:dyDescent="0.2">
      <c r="A327" s="88" t="s">
        <v>412</v>
      </c>
      <c r="B327" s="90"/>
      <c r="C327" s="88" t="s">
        <v>561</v>
      </c>
      <c r="D327" s="90"/>
      <c r="E327" s="88" t="s">
        <v>562</v>
      </c>
      <c r="F327" s="89"/>
      <c r="G327" s="89"/>
      <c r="H327" s="89"/>
      <c r="I327" s="90"/>
      <c r="J327" s="88" t="s">
        <v>13</v>
      </c>
      <c r="K327" s="89"/>
      <c r="L327" s="89"/>
      <c r="M327" s="90"/>
      <c r="N327" s="88" t="s">
        <v>26</v>
      </c>
      <c r="O327" s="89"/>
      <c r="P327" s="90"/>
      <c r="Q327" s="133">
        <v>3000</v>
      </c>
      <c r="R327" s="134"/>
      <c r="S327" s="5" t="s">
        <v>16</v>
      </c>
      <c r="T327" s="6"/>
      <c r="U327" s="8">
        <v>5</v>
      </c>
      <c r="V327" s="5" t="s">
        <v>106</v>
      </c>
      <c r="W327" s="12">
        <v>27456191</v>
      </c>
      <c r="X327" s="6"/>
      <c r="Y327" s="6"/>
    </row>
    <row r="328" spans="1:25" ht="15" customHeight="1" x14ac:dyDescent="0.2">
      <c r="A328" s="88" t="s">
        <v>412</v>
      </c>
      <c r="B328" s="90"/>
      <c r="C328" s="88" t="s">
        <v>563</v>
      </c>
      <c r="D328" s="90"/>
      <c r="E328" s="88" t="s">
        <v>562</v>
      </c>
      <c r="F328" s="89"/>
      <c r="G328" s="89"/>
      <c r="H328" s="89"/>
      <c r="I328" s="90"/>
      <c r="J328" s="88" t="s">
        <v>13</v>
      </c>
      <c r="K328" s="89"/>
      <c r="L328" s="89"/>
      <c r="M328" s="90"/>
      <c r="N328" s="88" t="s">
        <v>26</v>
      </c>
      <c r="O328" s="89"/>
      <c r="P328" s="90"/>
      <c r="Q328" s="133">
        <v>3000</v>
      </c>
      <c r="R328" s="134"/>
      <c r="S328" s="5" t="s">
        <v>16</v>
      </c>
      <c r="T328" s="6"/>
      <c r="U328" s="8">
        <v>5</v>
      </c>
      <c r="V328" s="5" t="s">
        <v>106</v>
      </c>
      <c r="W328" s="12">
        <v>47941331</v>
      </c>
      <c r="X328" s="6"/>
      <c r="Y328" s="6"/>
    </row>
    <row r="329" spans="1:25" ht="15" customHeight="1" x14ac:dyDescent="0.2">
      <c r="A329" s="88" t="s">
        <v>412</v>
      </c>
      <c r="B329" s="90"/>
      <c r="C329" s="88" t="s">
        <v>564</v>
      </c>
      <c r="D329" s="90"/>
      <c r="E329" s="106"/>
      <c r="F329" s="107"/>
      <c r="G329" s="107"/>
      <c r="H329" s="107"/>
      <c r="I329" s="108"/>
      <c r="J329" s="88" t="s">
        <v>13</v>
      </c>
      <c r="K329" s="89"/>
      <c r="L329" s="89"/>
      <c r="M329" s="90"/>
      <c r="N329" s="88" t="s">
        <v>26</v>
      </c>
      <c r="O329" s="89"/>
      <c r="P329" s="90"/>
      <c r="Q329" s="133">
        <v>4400</v>
      </c>
      <c r="R329" s="134"/>
      <c r="S329" s="5" t="s">
        <v>16</v>
      </c>
      <c r="T329" s="6"/>
      <c r="U329" s="8">
        <v>5</v>
      </c>
      <c r="V329" s="5" t="s">
        <v>96</v>
      </c>
      <c r="W329" s="12">
        <v>20800261</v>
      </c>
      <c r="X329" s="6"/>
      <c r="Y329" s="6"/>
    </row>
    <row r="330" spans="1:25" ht="15" customHeight="1" x14ac:dyDescent="0.2">
      <c r="A330" s="88" t="s">
        <v>412</v>
      </c>
      <c r="B330" s="90"/>
      <c r="C330" s="88" t="s">
        <v>565</v>
      </c>
      <c r="D330" s="90"/>
      <c r="E330" s="88" t="s">
        <v>566</v>
      </c>
      <c r="F330" s="89"/>
      <c r="G330" s="89"/>
      <c r="H330" s="89"/>
      <c r="I330" s="90"/>
      <c r="J330" s="88" t="s">
        <v>13</v>
      </c>
      <c r="K330" s="89"/>
      <c r="L330" s="89"/>
      <c r="M330" s="90"/>
      <c r="N330" s="88" t="s">
        <v>26</v>
      </c>
      <c r="O330" s="89"/>
      <c r="P330" s="90"/>
      <c r="Q330" s="133">
        <v>4400</v>
      </c>
      <c r="R330" s="134"/>
      <c r="S330" s="5" t="s">
        <v>16</v>
      </c>
      <c r="T330" s="6"/>
      <c r="U330" s="8">
        <v>5</v>
      </c>
      <c r="V330" s="5" t="s">
        <v>176</v>
      </c>
      <c r="W330" s="12">
        <v>10597808</v>
      </c>
      <c r="X330" s="6"/>
      <c r="Y330" s="6"/>
    </row>
    <row r="331" spans="1:25" ht="15" customHeight="1" x14ac:dyDescent="0.2">
      <c r="A331" s="88" t="s">
        <v>412</v>
      </c>
      <c r="B331" s="90"/>
      <c r="C331" s="88" t="s">
        <v>567</v>
      </c>
      <c r="D331" s="90"/>
      <c r="E331" s="106"/>
      <c r="F331" s="107"/>
      <c r="G331" s="107"/>
      <c r="H331" s="107"/>
      <c r="I331" s="108"/>
      <c r="J331" s="88" t="s">
        <v>13</v>
      </c>
      <c r="K331" s="89"/>
      <c r="L331" s="89"/>
      <c r="M331" s="90"/>
      <c r="N331" s="88" t="s">
        <v>26</v>
      </c>
      <c r="O331" s="89"/>
      <c r="P331" s="90"/>
      <c r="Q331" s="133">
        <v>3000</v>
      </c>
      <c r="R331" s="134"/>
      <c r="S331" s="5" t="s">
        <v>16</v>
      </c>
      <c r="T331" s="6"/>
      <c r="U331" s="8">
        <v>5</v>
      </c>
      <c r="V331" s="5" t="s">
        <v>96</v>
      </c>
      <c r="W331" s="12">
        <v>20347991</v>
      </c>
      <c r="X331" s="6"/>
      <c r="Y331" s="6"/>
    </row>
    <row r="332" spans="1:25" ht="15" customHeight="1" x14ac:dyDescent="0.2">
      <c r="A332" s="88" t="s">
        <v>412</v>
      </c>
      <c r="B332" s="90"/>
      <c r="C332" s="88" t="s">
        <v>568</v>
      </c>
      <c r="D332" s="90"/>
      <c r="E332" s="106"/>
      <c r="F332" s="107"/>
      <c r="G332" s="107"/>
      <c r="H332" s="107"/>
      <c r="I332" s="108"/>
      <c r="J332" s="88" t="s">
        <v>13</v>
      </c>
      <c r="K332" s="89"/>
      <c r="L332" s="89"/>
      <c r="M332" s="90"/>
      <c r="N332" s="88" t="s">
        <v>26</v>
      </c>
      <c r="O332" s="89"/>
      <c r="P332" s="90"/>
      <c r="Q332" s="88" t="s">
        <v>181</v>
      </c>
      <c r="R332" s="90"/>
      <c r="S332" s="5" t="s">
        <v>27</v>
      </c>
      <c r="T332" s="6"/>
      <c r="U332" s="8">
        <v>5</v>
      </c>
      <c r="V332" s="5" t="s">
        <v>569</v>
      </c>
      <c r="W332" s="12">
        <v>7986686</v>
      </c>
      <c r="X332" s="6"/>
      <c r="Y332" s="6"/>
    </row>
    <row r="333" spans="1:25" ht="15" customHeight="1" x14ac:dyDescent="0.2">
      <c r="A333" s="88" t="s">
        <v>412</v>
      </c>
      <c r="B333" s="90"/>
      <c r="C333" s="88" t="s">
        <v>570</v>
      </c>
      <c r="D333" s="90"/>
      <c r="E333" s="106"/>
      <c r="F333" s="107"/>
      <c r="G333" s="107"/>
      <c r="H333" s="107"/>
      <c r="I333" s="108"/>
      <c r="J333" s="88" t="s">
        <v>13</v>
      </c>
      <c r="K333" s="89"/>
      <c r="L333" s="89"/>
      <c r="M333" s="90"/>
      <c r="N333" s="88" t="s">
        <v>26</v>
      </c>
      <c r="O333" s="89"/>
      <c r="P333" s="90"/>
      <c r="Q333" s="88" t="s">
        <v>181</v>
      </c>
      <c r="R333" s="90"/>
      <c r="S333" s="5" t="s">
        <v>27</v>
      </c>
      <c r="T333" s="6"/>
      <c r="U333" s="8">
        <v>5</v>
      </c>
      <c r="V333" s="5" t="s">
        <v>569</v>
      </c>
      <c r="W333" s="12">
        <v>8508783</v>
      </c>
      <c r="X333" s="6"/>
      <c r="Y333" s="6"/>
    </row>
    <row r="334" spans="1:25" ht="15" customHeight="1" x14ac:dyDescent="0.2">
      <c r="A334" s="88" t="s">
        <v>412</v>
      </c>
      <c r="B334" s="90"/>
      <c r="C334" s="88" t="s">
        <v>571</v>
      </c>
      <c r="D334" s="90"/>
      <c r="E334" s="88" t="s">
        <v>572</v>
      </c>
      <c r="F334" s="89"/>
      <c r="G334" s="89"/>
      <c r="H334" s="89"/>
      <c r="I334" s="90"/>
      <c r="J334" s="88" t="s">
        <v>13</v>
      </c>
      <c r="K334" s="89"/>
      <c r="L334" s="89"/>
      <c r="M334" s="90"/>
      <c r="N334" s="88" t="s">
        <v>26</v>
      </c>
      <c r="O334" s="89"/>
      <c r="P334" s="90"/>
      <c r="Q334" s="88" t="s">
        <v>573</v>
      </c>
      <c r="R334" s="90"/>
      <c r="S334" s="5" t="s">
        <v>27</v>
      </c>
      <c r="T334" s="6"/>
      <c r="U334" s="8">
        <v>5</v>
      </c>
      <c r="V334" s="5" t="s">
        <v>176</v>
      </c>
      <c r="W334" s="12">
        <v>10627224</v>
      </c>
      <c r="X334" s="6"/>
      <c r="Y334" s="6"/>
    </row>
    <row r="335" spans="1:25" ht="15" customHeight="1" x14ac:dyDescent="0.2">
      <c r="A335" s="88" t="s">
        <v>412</v>
      </c>
      <c r="B335" s="90"/>
      <c r="C335" s="88" t="s">
        <v>574</v>
      </c>
      <c r="D335" s="90"/>
      <c r="E335" s="106"/>
      <c r="F335" s="107"/>
      <c r="G335" s="107"/>
      <c r="H335" s="107"/>
      <c r="I335" s="108"/>
      <c r="J335" s="88" t="s">
        <v>13</v>
      </c>
      <c r="K335" s="89"/>
      <c r="L335" s="89"/>
      <c r="M335" s="90"/>
      <c r="N335" s="88" t="s">
        <v>26</v>
      </c>
      <c r="O335" s="89"/>
      <c r="P335" s="90"/>
      <c r="Q335" s="88" t="s">
        <v>573</v>
      </c>
      <c r="R335" s="90"/>
      <c r="S335" s="5" t="s">
        <v>27</v>
      </c>
      <c r="T335" s="6"/>
      <c r="U335" s="8">
        <v>5</v>
      </c>
      <c r="V335" s="5" t="s">
        <v>176</v>
      </c>
      <c r="W335" s="12">
        <v>3015182</v>
      </c>
      <c r="X335" s="6"/>
      <c r="Y335" s="6"/>
    </row>
    <row r="336" spans="1:25" ht="15" customHeight="1" x14ac:dyDescent="0.2">
      <c r="A336" s="88" t="s">
        <v>412</v>
      </c>
      <c r="B336" s="90"/>
      <c r="C336" s="88" t="s">
        <v>575</v>
      </c>
      <c r="D336" s="90"/>
      <c r="E336" s="106"/>
      <c r="F336" s="107"/>
      <c r="G336" s="107"/>
      <c r="H336" s="107"/>
      <c r="I336" s="108"/>
      <c r="J336" s="88" t="s">
        <v>13</v>
      </c>
      <c r="K336" s="89"/>
      <c r="L336" s="89"/>
      <c r="M336" s="90"/>
      <c r="N336" s="88" t="s">
        <v>26</v>
      </c>
      <c r="O336" s="89"/>
      <c r="P336" s="90"/>
      <c r="Q336" s="88" t="s">
        <v>181</v>
      </c>
      <c r="R336" s="90"/>
      <c r="S336" s="5" t="s">
        <v>44</v>
      </c>
      <c r="T336" s="6"/>
      <c r="U336" s="8">
        <v>5</v>
      </c>
      <c r="V336" s="5" t="s">
        <v>569</v>
      </c>
      <c r="W336" s="12">
        <v>11549687</v>
      </c>
      <c r="X336" s="6"/>
      <c r="Y336" s="6"/>
    </row>
    <row r="337" spans="1:25" ht="15" customHeight="1" x14ac:dyDescent="0.2">
      <c r="A337" s="88" t="s">
        <v>412</v>
      </c>
      <c r="B337" s="90"/>
      <c r="C337" s="88" t="s">
        <v>576</v>
      </c>
      <c r="D337" s="90"/>
      <c r="E337" s="106"/>
      <c r="F337" s="107"/>
      <c r="G337" s="107"/>
      <c r="H337" s="107"/>
      <c r="I337" s="108"/>
      <c r="J337" s="88" t="s">
        <v>13</v>
      </c>
      <c r="K337" s="89"/>
      <c r="L337" s="89"/>
      <c r="M337" s="90"/>
      <c r="N337" s="88" t="s">
        <v>26</v>
      </c>
      <c r="O337" s="89"/>
      <c r="P337" s="90"/>
      <c r="Q337" s="88" t="s">
        <v>181</v>
      </c>
      <c r="R337" s="90"/>
      <c r="S337" s="5" t="s">
        <v>44</v>
      </c>
      <c r="T337" s="6"/>
      <c r="U337" s="8">
        <v>5</v>
      </c>
      <c r="V337" s="5" t="s">
        <v>569</v>
      </c>
      <c r="W337" s="12">
        <v>12339172</v>
      </c>
      <c r="X337" s="6"/>
      <c r="Y337" s="6"/>
    </row>
    <row r="338" spans="1:25" ht="15" customHeight="1" x14ac:dyDescent="0.2">
      <c r="A338" s="88" t="s">
        <v>412</v>
      </c>
      <c r="B338" s="90"/>
      <c r="C338" s="88" t="s">
        <v>577</v>
      </c>
      <c r="D338" s="90"/>
      <c r="E338" s="106"/>
      <c r="F338" s="107"/>
      <c r="G338" s="107"/>
      <c r="H338" s="107"/>
      <c r="I338" s="108"/>
      <c r="J338" s="88" t="s">
        <v>13</v>
      </c>
      <c r="K338" s="89"/>
      <c r="L338" s="89"/>
      <c r="M338" s="90"/>
      <c r="N338" s="88" t="s">
        <v>22</v>
      </c>
      <c r="O338" s="89"/>
      <c r="P338" s="90"/>
      <c r="Q338" s="88" t="s">
        <v>181</v>
      </c>
      <c r="R338" s="90"/>
      <c r="S338" s="5" t="s">
        <v>44</v>
      </c>
      <c r="T338" s="6"/>
      <c r="U338" s="8">
        <v>5</v>
      </c>
      <c r="V338" s="5" t="s">
        <v>569</v>
      </c>
      <c r="W338" s="12">
        <v>13726983</v>
      </c>
      <c r="X338" s="6"/>
      <c r="Y338" s="6"/>
    </row>
    <row r="339" spans="1:25" ht="15" customHeight="1" x14ac:dyDescent="0.2">
      <c r="A339" s="88" t="s">
        <v>412</v>
      </c>
      <c r="B339" s="90"/>
      <c r="C339" s="88" t="s">
        <v>578</v>
      </c>
      <c r="D339" s="90"/>
      <c r="E339" s="88" t="s">
        <v>490</v>
      </c>
      <c r="F339" s="89"/>
      <c r="G339" s="89"/>
      <c r="H339" s="89"/>
      <c r="I339" s="90"/>
      <c r="J339" s="88" t="s">
        <v>13</v>
      </c>
      <c r="K339" s="89"/>
      <c r="L339" s="89"/>
      <c r="M339" s="90"/>
      <c r="N339" s="88" t="s">
        <v>26</v>
      </c>
      <c r="O339" s="89"/>
      <c r="P339" s="90"/>
      <c r="Q339" s="88" t="s">
        <v>181</v>
      </c>
      <c r="R339" s="90"/>
      <c r="S339" s="5" t="s">
        <v>44</v>
      </c>
      <c r="T339" s="6"/>
      <c r="U339" s="8">
        <v>5</v>
      </c>
      <c r="V339" s="5" t="s">
        <v>569</v>
      </c>
      <c r="W339" s="12">
        <v>10659334</v>
      </c>
      <c r="X339" s="6"/>
      <c r="Y339" s="6"/>
    </row>
    <row r="340" spans="1:25" ht="15" customHeight="1" x14ac:dyDescent="0.2">
      <c r="A340" s="88" t="s">
        <v>412</v>
      </c>
      <c r="B340" s="90"/>
      <c r="C340" s="88" t="s">
        <v>579</v>
      </c>
      <c r="D340" s="90"/>
      <c r="E340" s="88" t="s">
        <v>490</v>
      </c>
      <c r="F340" s="89"/>
      <c r="G340" s="89"/>
      <c r="H340" s="89"/>
      <c r="I340" s="90"/>
      <c r="J340" s="88" t="s">
        <v>13</v>
      </c>
      <c r="K340" s="89"/>
      <c r="L340" s="89"/>
      <c r="M340" s="90"/>
      <c r="N340" s="88" t="s">
        <v>26</v>
      </c>
      <c r="O340" s="89"/>
      <c r="P340" s="90"/>
      <c r="Q340" s="88" t="s">
        <v>181</v>
      </c>
      <c r="R340" s="90"/>
      <c r="S340" s="5" t="s">
        <v>44</v>
      </c>
      <c r="T340" s="6"/>
      <c r="U340" s="8">
        <v>5</v>
      </c>
      <c r="V340" s="5" t="s">
        <v>569</v>
      </c>
      <c r="W340" s="12">
        <v>10082261</v>
      </c>
      <c r="X340" s="6"/>
      <c r="Y340" s="6"/>
    </row>
    <row r="341" spans="1:25" ht="15" customHeight="1" x14ac:dyDescent="0.2">
      <c r="A341" s="88" t="s">
        <v>412</v>
      </c>
      <c r="B341" s="90"/>
      <c r="C341" s="88" t="s">
        <v>580</v>
      </c>
      <c r="D341" s="90"/>
      <c r="E341" s="88" t="s">
        <v>494</v>
      </c>
      <c r="F341" s="89"/>
      <c r="G341" s="89"/>
      <c r="H341" s="89"/>
      <c r="I341" s="90"/>
      <c r="J341" s="88" t="s">
        <v>13</v>
      </c>
      <c r="K341" s="89"/>
      <c r="L341" s="89"/>
      <c r="M341" s="90"/>
      <c r="N341" s="88" t="s">
        <v>26</v>
      </c>
      <c r="O341" s="89"/>
      <c r="P341" s="90"/>
      <c r="Q341" s="88" t="s">
        <v>181</v>
      </c>
      <c r="R341" s="90"/>
      <c r="S341" s="5" t="s">
        <v>44</v>
      </c>
      <c r="T341" s="6"/>
      <c r="U341" s="8">
        <v>5</v>
      </c>
      <c r="V341" s="5" t="s">
        <v>569</v>
      </c>
      <c r="W341" s="12">
        <v>12764971</v>
      </c>
      <c r="X341" s="6"/>
      <c r="Y341" s="6"/>
    </row>
    <row r="342" spans="1:25" ht="15" customHeight="1" x14ac:dyDescent="0.2">
      <c r="A342" s="88" t="s">
        <v>412</v>
      </c>
      <c r="B342" s="90"/>
      <c r="C342" s="88" t="s">
        <v>581</v>
      </c>
      <c r="D342" s="90"/>
      <c r="E342" s="88" t="s">
        <v>494</v>
      </c>
      <c r="F342" s="89"/>
      <c r="G342" s="89"/>
      <c r="H342" s="89"/>
      <c r="I342" s="90"/>
      <c r="J342" s="88" t="s">
        <v>13</v>
      </c>
      <c r="K342" s="89"/>
      <c r="L342" s="89"/>
      <c r="M342" s="90"/>
      <c r="N342" s="88" t="s">
        <v>26</v>
      </c>
      <c r="O342" s="89"/>
      <c r="P342" s="90"/>
      <c r="Q342" s="88" t="s">
        <v>181</v>
      </c>
      <c r="R342" s="90"/>
      <c r="S342" s="5" t="s">
        <v>44</v>
      </c>
      <c r="T342" s="6"/>
      <c r="U342" s="8">
        <v>5</v>
      </c>
      <c r="V342" s="5" t="s">
        <v>569</v>
      </c>
      <c r="W342" s="12">
        <v>15995290</v>
      </c>
      <c r="X342" s="6"/>
      <c r="Y342" s="6"/>
    </row>
    <row r="343" spans="1:25" ht="15" customHeight="1" x14ac:dyDescent="0.2">
      <c r="A343" s="88" t="s">
        <v>412</v>
      </c>
      <c r="B343" s="90"/>
      <c r="C343" s="88" t="s">
        <v>582</v>
      </c>
      <c r="D343" s="90"/>
      <c r="E343" s="106"/>
      <c r="F343" s="107"/>
      <c r="G343" s="107"/>
      <c r="H343" s="107"/>
      <c r="I343" s="108"/>
      <c r="J343" s="88" t="s">
        <v>13</v>
      </c>
      <c r="K343" s="89"/>
      <c r="L343" s="89"/>
      <c r="M343" s="90"/>
      <c r="N343" s="88" t="s">
        <v>22</v>
      </c>
      <c r="O343" s="89"/>
      <c r="P343" s="90"/>
      <c r="Q343" s="88" t="s">
        <v>181</v>
      </c>
      <c r="R343" s="90"/>
      <c r="S343" s="5" t="s">
        <v>44</v>
      </c>
      <c r="T343" s="6"/>
      <c r="U343" s="8">
        <v>5</v>
      </c>
      <c r="V343" s="5" t="s">
        <v>569</v>
      </c>
      <c r="W343" s="12">
        <v>19414254</v>
      </c>
      <c r="X343" s="6"/>
      <c r="Y343" s="6"/>
    </row>
    <row r="344" spans="1:25" ht="15" customHeight="1" x14ac:dyDescent="0.2">
      <c r="A344" s="88" t="s">
        <v>412</v>
      </c>
      <c r="B344" s="90"/>
      <c r="C344" s="88" t="s">
        <v>583</v>
      </c>
      <c r="D344" s="90"/>
      <c r="E344" s="88" t="s">
        <v>498</v>
      </c>
      <c r="F344" s="89"/>
      <c r="G344" s="89"/>
      <c r="H344" s="89"/>
      <c r="I344" s="90"/>
      <c r="J344" s="88" t="s">
        <v>13</v>
      </c>
      <c r="K344" s="89"/>
      <c r="L344" s="89"/>
      <c r="M344" s="90"/>
      <c r="N344" s="88" t="s">
        <v>22</v>
      </c>
      <c r="O344" s="89"/>
      <c r="P344" s="90"/>
      <c r="Q344" s="88" t="s">
        <v>181</v>
      </c>
      <c r="R344" s="90"/>
      <c r="S344" s="5" t="s">
        <v>44</v>
      </c>
      <c r="T344" s="6"/>
      <c r="U344" s="8">
        <v>5</v>
      </c>
      <c r="V344" s="5" t="s">
        <v>569</v>
      </c>
      <c r="W344" s="12">
        <v>21029413</v>
      </c>
      <c r="X344" s="6"/>
      <c r="Y344" s="6"/>
    </row>
    <row r="345" spans="1:25" ht="15" customHeight="1" x14ac:dyDescent="0.2">
      <c r="A345" s="88" t="s">
        <v>412</v>
      </c>
      <c r="B345" s="90"/>
      <c r="C345" s="88" t="s">
        <v>584</v>
      </c>
      <c r="D345" s="90"/>
      <c r="E345" s="106"/>
      <c r="F345" s="107"/>
      <c r="G345" s="107"/>
      <c r="H345" s="107"/>
      <c r="I345" s="108"/>
      <c r="J345" s="88" t="s">
        <v>13</v>
      </c>
      <c r="K345" s="89"/>
      <c r="L345" s="89"/>
      <c r="M345" s="90"/>
      <c r="N345" s="88" t="s">
        <v>26</v>
      </c>
      <c r="O345" s="89"/>
      <c r="P345" s="90"/>
      <c r="Q345" s="88" t="s">
        <v>181</v>
      </c>
      <c r="R345" s="90"/>
      <c r="S345" s="5" t="s">
        <v>44</v>
      </c>
      <c r="T345" s="6"/>
      <c r="U345" s="8">
        <v>5</v>
      </c>
      <c r="V345" s="5" t="s">
        <v>569</v>
      </c>
      <c r="W345" s="12">
        <v>21748061</v>
      </c>
      <c r="X345" s="6"/>
      <c r="Y345" s="6"/>
    </row>
    <row r="346" spans="1:25" ht="15" customHeight="1" x14ac:dyDescent="0.2">
      <c r="A346" s="88" t="s">
        <v>412</v>
      </c>
      <c r="B346" s="90"/>
      <c r="C346" s="88" t="s">
        <v>585</v>
      </c>
      <c r="D346" s="90"/>
      <c r="E346" s="106"/>
      <c r="F346" s="107"/>
      <c r="G346" s="107"/>
      <c r="H346" s="107"/>
      <c r="I346" s="108"/>
      <c r="J346" s="88" t="s">
        <v>13</v>
      </c>
      <c r="K346" s="89"/>
      <c r="L346" s="89"/>
      <c r="M346" s="90"/>
      <c r="N346" s="88" t="s">
        <v>22</v>
      </c>
      <c r="O346" s="89"/>
      <c r="P346" s="90"/>
      <c r="Q346" s="88" t="s">
        <v>181</v>
      </c>
      <c r="R346" s="90"/>
      <c r="S346" s="5" t="s">
        <v>44</v>
      </c>
      <c r="T346" s="6"/>
      <c r="U346" s="8">
        <v>5</v>
      </c>
      <c r="V346" s="5" t="s">
        <v>569</v>
      </c>
      <c r="W346" s="12">
        <v>26943880</v>
      </c>
      <c r="X346" s="6"/>
      <c r="Y346" s="6"/>
    </row>
    <row r="347" spans="1:25" ht="15" customHeight="1" x14ac:dyDescent="0.2">
      <c r="A347" s="88" t="s">
        <v>412</v>
      </c>
      <c r="B347" s="90"/>
      <c r="C347" s="88" t="s">
        <v>586</v>
      </c>
      <c r="D347" s="90"/>
      <c r="E347" s="106"/>
      <c r="F347" s="107"/>
      <c r="G347" s="107"/>
      <c r="H347" s="107"/>
      <c r="I347" s="108"/>
      <c r="J347" s="88" t="s">
        <v>13</v>
      </c>
      <c r="K347" s="89"/>
      <c r="L347" s="89"/>
      <c r="M347" s="90"/>
      <c r="N347" s="88" t="s">
        <v>22</v>
      </c>
      <c r="O347" s="89"/>
      <c r="P347" s="90"/>
      <c r="Q347" s="88" t="s">
        <v>181</v>
      </c>
      <c r="R347" s="90"/>
      <c r="S347" s="5" t="s">
        <v>16</v>
      </c>
      <c r="T347" s="6"/>
      <c r="U347" s="8">
        <v>5</v>
      </c>
      <c r="V347" s="5" t="s">
        <v>569</v>
      </c>
      <c r="W347" s="12">
        <v>21924129</v>
      </c>
      <c r="X347" s="6"/>
      <c r="Y347" s="6"/>
    </row>
    <row r="348" spans="1:25" ht="15" customHeight="1" x14ac:dyDescent="0.2">
      <c r="A348" s="88" t="s">
        <v>412</v>
      </c>
      <c r="B348" s="90"/>
      <c r="C348" s="88" t="s">
        <v>587</v>
      </c>
      <c r="D348" s="90"/>
      <c r="E348" s="106"/>
      <c r="F348" s="107"/>
      <c r="G348" s="107"/>
      <c r="H348" s="107"/>
      <c r="I348" s="108"/>
      <c r="J348" s="88" t="s">
        <v>13</v>
      </c>
      <c r="K348" s="89"/>
      <c r="L348" s="89"/>
      <c r="M348" s="90"/>
      <c r="N348" s="88" t="s">
        <v>22</v>
      </c>
      <c r="O348" s="89"/>
      <c r="P348" s="90"/>
      <c r="Q348" s="88" t="s">
        <v>181</v>
      </c>
      <c r="R348" s="90"/>
      <c r="S348" s="5" t="s">
        <v>44</v>
      </c>
      <c r="T348" s="6"/>
      <c r="U348" s="8">
        <v>5</v>
      </c>
      <c r="V348" s="5" t="s">
        <v>569</v>
      </c>
      <c r="W348" s="12">
        <v>16925168</v>
      </c>
      <c r="X348" s="6"/>
      <c r="Y348" s="6"/>
    </row>
    <row r="349" spans="1:25" ht="15" customHeight="1" x14ac:dyDescent="0.2">
      <c r="A349" s="88" t="s">
        <v>412</v>
      </c>
      <c r="B349" s="90"/>
      <c r="C349" s="88" t="s">
        <v>588</v>
      </c>
      <c r="D349" s="90"/>
      <c r="E349" s="88" t="s">
        <v>589</v>
      </c>
      <c r="F349" s="89"/>
      <c r="G349" s="89"/>
      <c r="H349" s="89"/>
      <c r="I349" s="90"/>
      <c r="J349" s="88" t="s">
        <v>13</v>
      </c>
      <c r="K349" s="89"/>
      <c r="L349" s="89"/>
      <c r="M349" s="90"/>
      <c r="N349" s="88" t="s">
        <v>26</v>
      </c>
      <c r="O349" s="89"/>
      <c r="P349" s="90"/>
      <c r="Q349" s="88" t="s">
        <v>181</v>
      </c>
      <c r="R349" s="90"/>
      <c r="S349" s="5" t="s">
        <v>16</v>
      </c>
      <c r="T349" s="6"/>
      <c r="U349" s="8">
        <v>5</v>
      </c>
      <c r="V349" s="5" t="s">
        <v>569</v>
      </c>
      <c r="W349" s="12">
        <v>8228510</v>
      </c>
      <c r="X349" s="6"/>
      <c r="Y349" s="6"/>
    </row>
    <row r="350" spans="1:25" ht="15" customHeight="1" x14ac:dyDescent="0.2">
      <c r="A350" s="88" t="s">
        <v>412</v>
      </c>
      <c r="B350" s="90"/>
      <c r="C350" s="88" t="s">
        <v>590</v>
      </c>
      <c r="D350" s="90"/>
      <c r="E350" s="106"/>
      <c r="F350" s="107"/>
      <c r="G350" s="107"/>
      <c r="H350" s="107"/>
      <c r="I350" s="108"/>
      <c r="J350" s="88" t="s">
        <v>13</v>
      </c>
      <c r="K350" s="89"/>
      <c r="L350" s="89"/>
      <c r="M350" s="90"/>
      <c r="N350" s="88" t="s">
        <v>22</v>
      </c>
      <c r="O350" s="89"/>
      <c r="P350" s="90"/>
      <c r="Q350" s="88" t="s">
        <v>181</v>
      </c>
      <c r="R350" s="90"/>
      <c r="S350" s="5" t="s">
        <v>16</v>
      </c>
      <c r="T350" s="6"/>
      <c r="U350" s="8">
        <v>5</v>
      </c>
      <c r="V350" s="5" t="s">
        <v>569</v>
      </c>
      <c r="W350" s="12">
        <v>12904850</v>
      </c>
      <c r="X350" s="6"/>
      <c r="Y350" s="6"/>
    </row>
    <row r="351" spans="1:25" ht="15" customHeight="1" x14ac:dyDescent="0.2">
      <c r="A351" s="88" t="s">
        <v>412</v>
      </c>
      <c r="B351" s="90"/>
      <c r="C351" s="88" t="s">
        <v>591</v>
      </c>
      <c r="D351" s="90"/>
      <c r="E351" s="88" t="s">
        <v>512</v>
      </c>
      <c r="F351" s="89"/>
      <c r="G351" s="89"/>
      <c r="H351" s="89"/>
      <c r="I351" s="90"/>
      <c r="J351" s="88" t="s">
        <v>13</v>
      </c>
      <c r="K351" s="89"/>
      <c r="L351" s="89"/>
      <c r="M351" s="90"/>
      <c r="N351" s="88" t="s">
        <v>26</v>
      </c>
      <c r="O351" s="89"/>
      <c r="P351" s="90"/>
      <c r="Q351" s="88" t="s">
        <v>181</v>
      </c>
      <c r="R351" s="90"/>
      <c r="S351" s="5" t="s">
        <v>16</v>
      </c>
      <c r="T351" s="6"/>
      <c r="U351" s="8">
        <v>5</v>
      </c>
      <c r="V351" s="5" t="s">
        <v>569</v>
      </c>
      <c r="W351" s="12">
        <v>13070396</v>
      </c>
      <c r="X351" s="6"/>
      <c r="Y351" s="6"/>
    </row>
    <row r="352" spans="1:25" ht="15" customHeight="1" x14ac:dyDescent="0.2">
      <c r="A352" s="88" t="s">
        <v>412</v>
      </c>
      <c r="B352" s="90"/>
      <c r="C352" s="88" t="s">
        <v>592</v>
      </c>
      <c r="D352" s="90"/>
      <c r="E352" s="106"/>
      <c r="F352" s="107"/>
      <c r="G352" s="107"/>
      <c r="H352" s="107"/>
      <c r="I352" s="108"/>
      <c r="J352" s="88" t="s">
        <v>13</v>
      </c>
      <c r="K352" s="89"/>
      <c r="L352" s="89"/>
      <c r="M352" s="90"/>
      <c r="N352" s="88" t="s">
        <v>22</v>
      </c>
      <c r="O352" s="89"/>
      <c r="P352" s="90"/>
      <c r="Q352" s="88" t="s">
        <v>181</v>
      </c>
      <c r="R352" s="90"/>
      <c r="S352" s="5" t="s">
        <v>16</v>
      </c>
      <c r="T352" s="6"/>
      <c r="U352" s="8">
        <v>5</v>
      </c>
      <c r="V352" s="5" t="s">
        <v>569</v>
      </c>
      <c r="W352" s="12">
        <v>8920208</v>
      </c>
      <c r="X352" s="6"/>
      <c r="Y352" s="6"/>
    </row>
    <row r="353" spans="1:25" ht="15" customHeight="1" x14ac:dyDescent="0.2">
      <c r="A353" s="88" t="s">
        <v>412</v>
      </c>
      <c r="B353" s="90"/>
      <c r="C353" s="88" t="s">
        <v>593</v>
      </c>
      <c r="D353" s="90"/>
      <c r="E353" s="88" t="s">
        <v>515</v>
      </c>
      <c r="F353" s="89"/>
      <c r="G353" s="89"/>
      <c r="H353" s="89"/>
      <c r="I353" s="90"/>
      <c r="J353" s="88" t="s">
        <v>13</v>
      </c>
      <c r="K353" s="89"/>
      <c r="L353" s="89"/>
      <c r="M353" s="90"/>
      <c r="N353" s="88" t="s">
        <v>26</v>
      </c>
      <c r="O353" s="89"/>
      <c r="P353" s="90"/>
      <c r="Q353" s="88" t="s">
        <v>181</v>
      </c>
      <c r="R353" s="90"/>
      <c r="S353" s="5" t="s">
        <v>16</v>
      </c>
      <c r="T353" s="6"/>
      <c r="U353" s="8">
        <v>5</v>
      </c>
      <c r="V353" s="5" t="s">
        <v>569</v>
      </c>
      <c r="W353" s="12">
        <v>14792155</v>
      </c>
      <c r="X353" s="6"/>
      <c r="Y353" s="6"/>
    </row>
    <row r="354" spans="1:25" ht="15" customHeight="1" x14ac:dyDescent="0.2">
      <c r="A354" s="88" t="s">
        <v>412</v>
      </c>
      <c r="B354" s="90"/>
      <c r="C354" s="88" t="s">
        <v>594</v>
      </c>
      <c r="D354" s="90"/>
      <c r="E354" s="106"/>
      <c r="F354" s="107"/>
      <c r="G354" s="107"/>
      <c r="H354" s="107"/>
      <c r="I354" s="108"/>
      <c r="J354" s="88" t="s">
        <v>13</v>
      </c>
      <c r="K354" s="89"/>
      <c r="L354" s="89"/>
      <c r="M354" s="90"/>
      <c r="N354" s="88" t="s">
        <v>26</v>
      </c>
      <c r="O354" s="89"/>
      <c r="P354" s="90"/>
      <c r="Q354" s="88" t="s">
        <v>466</v>
      </c>
      <c r="R354" s="90"/>
      <c r="S354" s="5" t="s">
        <v>271</v>
      </c>
      <c r="T354" s="6"/>
      <c r="U354" s="8">
        <v>2</v>
      </c>
      <c r="V354" s="5" t="s">
        <v>23</v>
      </c>
      <c r="W354" s="12">
        <v>17551847</v>
      </c>
      <c r="X354" s="6"/>
      <c r="Y354" s="6"/>
    </row>
    <row r="355" spans="1:25" ht="15" customHeight="1" x14ac:dyDescent="0.2">
      <c r="A355" s="88" t="s">
        <v>412</v>
      </c>
      <c r="B355" s="90"/>
      <c r="C355" s="88" t="s">
        <v>595</v>
      </c>
      <c r="D355" s="90"/>
      <c r="E355" s="106"/>
      <c r="F355" s="107"/>
      <c r="G355" s="107"/>
      <c r="H355" s="107"/>
      <c r="I355" s="108"/>
      <c r="J355" s="88" t="s">
        <v>13</v>
      </c>
      <c r="K355" s="89"/>
      <c r="L355" s="89"/>
      <c r="M355" s="90"/>
      <c r="N355" s="88" t="s">
        <v>26</v>
      </c>
      <c r="O355" s="89"/>
      <c r="P355" s="90"/>
      <c r="Q355" s="88" t="s">
        <v>596</v>
      </c>
      <c r="R355" s="90"/>
      <c r="S355" s="5" t="s">
        <v>119</v>
      </c>
      <c r="T355" s="6"/>
      <c r="U355" s="8">
        <v>2</v>
      </c>
      <c r="V355" s="5" t="s">
        <v>23</v>
      </c>
      <c r="W355" s="12">
        <v>20094682</v>
      </c>
      <c r="X355" s="6"/>
      <c r="Y355" s="6"/>
    </row>
    <row r="356" spans="1:25" ht="15" customHeight="1" x14ac:dyDescent="0.2">
      <c r="A356" s="88" t="s">
        <v>412</v>
      </c>
      <c r="B356" s="90"/>
      <c r="C356" s="88" t="s">
        <v>597</v>
      </c>
      <c r="D356" s="90"/>
      <c r="E356" s="106"/>
      <c r="F356" s="107"/>
      <c r="G356" s="107"/>
      <c r="H356" s="107"/>
      <c r="I356" s="108"/>
      <c r="J356" s="88" t="s">
        <v>13</v>
      </c>
      <c r="K356" s="89"/>
      <c r="L356" s="89"/>
      <c r="M356" s="90"/>
      <c r="N356" s="88" t="s">
        <v>26</v>
      </c>
      <c r="O356" s="89"/>
      <c r="P356" s="90"/>
      <c r="Q356" s="88" t="s">
        <v>596</v>
      </c>
      <c r="R356" s="90"/>
      <c r="S356" s="5" t="s">
        <v>119</v>
      </c>
      <c r="T356" s="6"/>
      <c r="U356" s="8">
        <v>2</v>
      </c>
      <c r="V356" s="5" t="s">
        <v>23</v>
      </c>
      <c r="W356" s="12">
        <v>26169704</v>
      </c>
      <c r="X356" s="6"/>
      <c r="Y356" s="6"/>
    </row>
    <row r="357" spans="1:25" ht="15" customHeight="1" x14ac:dyDescent="0.2">
      <c r="A357" s="88" t="s">
        <v>412</v>
      </c>
      <c r="B357" s="90"/>
      <c r="C357" s="88" t="s">
        <v>598</v>
      </c>
      <c r="D357" s="90"/>
      <c r="E357" s="106"/>
      <c r="F357" s="107"/>
      <c r="G357" s="107"/>
      <c r="H357" s="107"/>
      <c r="I357" s="108"/>
      <c r="J357" s="88" t="s">
        <v>599</v>
      </c>
      <c r="K357" s="89"/>
      <c r="L357" s="89"/>
      <c r="M357" s="90"/>
      <c r="N357" s="88" t="s">
        <v>26</v>
      </c>
      <c r="O357" s="89"/>
      <c r="P357" s="90"/>
      <c r="Q357" s="88" t="s">
        <v>466</v>
      </c>
      <c r="R357" s="90"/>
      <c r="S357" s="5" t="s">
        <v>271</v>
      </c>
      <c r="T357" s="6"/>
      <c r="U357" s="8">
        <v>2</v>
      </c>
      <c r="V357" s="5" t="s">
        <v>23</v>
      </c>
      <c r="W357" s="12">
        <v>31996634</v>
      </c>
      <c r="X357" s="6"/>
      <c r="Y357" s="6"/>
    </row>
    <row r="358" spans="1:25" ht="15" customHeight="1" x14ac:dyDescent="0.2">
      <c r="A358" s="88" t="s">
        <v>412</v>
      </c>
      <c r="B358" s="90"/>
      <c r="C358" s="88" t="s">
        <v>600</v>
      </c>
      <c r="D358" s="90"/>
      <c r="E358" s="88" t="s">
        <v>601</v>
      </c>
      <c r="F358" s="89"/>
      <c r="G358" s="89"/>
      <c r="H358" s="89"/>
      <c r="I358" s="90"/>
      <c r="J358" s="88" t="s">
        <v>13</v>
      </c>
      <c r="K358" s="89"/>
      <c r="L358" s="89"/>
      <c r="M358" s="90"/>
      <c r="N358" s="88" t="s">
        <v>26</v>
      </c>
      <c r="O358" s="89"/>
      <c r="P358" s="90"/>
      <c r="Q358" s="88" t="s">
        <v>596</v>
      </c>
      <c r="R358" s="90"/>
      <c r="S358" s="5" t="s">
        <v>119</v>
      </c>
      <c r="T358" s="6"/>
      <c r="U358" s="8">
        <v>2</v>
      </c>
      <c r="V358" s="5" t="s">
        <v>23</v>
      </c>
      <c r="W358" s="12">
        <v>26978949</v>
      </c>
      <c r="X358" s="6"/>
      <c r="Y358" s="6"/>
    </row>
    <row r="359" spans="1:25" ht="15" customHeight="1" x14ac:dyDescent="0.2">
      <c r="A359" s="88" t="s">
        <v>412</v>
      </c>
      <c r="B359" s="90"/>
      <c r="C359" s="88" t="s">
        <v>602</v>
      </c>
      <c r="D359" s="90"/>
      <c r="E359" s="88" t="s">
        <v>603</v>
      </c>
      <c r="F359" s="89"/>
      <c r="G359" s="89"/>
      <c r="H359" s="89"/>
      <c r="I359" s="90"/>
      <c r="J359" s="88" t="s">
        <v>599</v>
      </c>
      <c r="K359" s="89"/>
      <c r="L359" s="89"/>
      <c r="M359" s="90"/>
      <c r="N359" s="88" t="s">
        <v>26</v>
      </c>
      <c r="O359" s="89"/>
      <c r="P359" s="90"/>
      <c r="Q359" s="88" t="s">
        <v>466</v>
      </c>
      <c r="R359" s="90"/>
      <c r="S359" s="5" t="s">
        <v>44</v>
      </c>
      <c r="T359" s="6"/>
      <c r="U359" s="8">
        <v>5</v>
      </c>
      <c r="V359" s="5" t="s">
        <v>23</v>
      </c>
      <c r="W359" s="12">
        <v>27262861</v>
      </c>
      <c r="X359" s="6"/>
      <c r="Y359" s="6"/>
    </row>
    <row r="360" spans="1:25" ht="15" customHeight="1" x14ac:dyDescent="0.2">
      <c r="A360" s="88" t="s">
        <v>412</v>
      </c>
      <c r="B360" s="90"/>
      <c r="C360" s="88" t="s">
        <v>604</v>
      </c>
      <c r="D360" s="90"/>
      <c r="E360" s="106"/>
      <c r="F360" s="107"/>
      <c r="G360" s="107"/>
      <c r="H360" s="107"/>
      <c r="I360" s="108"/>
      <c r="J360" s="88" t="s">
        <v>599</v>
      </c>
      <c r="K360" s="89"/>
      <c r="L360" s="89"/>
      <c r="M360" s="90"/>
      <c r="N360" s="88" t="s">
        <v>22</v>
      </c>
      <c r="O360" s="89"/>
      <c r="P360" s="90"/>
      <c r="Q360" s="88" t="s">
        <v>596</v>
      </c>
      <c r="R360" s="90"/>
      <c r="S360" s="5" t="s">
        <v>44</v>
      </c>
      <c r="T360" s="6"/>
      <c r="U360" s="8">
        <v>5</v>
      </c>
      <c r="V360" s="5" t="s">
        <v>23</v>
      </c>
      <c r="W360" s="12">
        <v>31982903</v>
      </c>
      <c r="X360" s="6"/>
      <c r="Y360" s="6"/>
    </row>
    <row r="361" spans="1:25" ht="15" customHeight="1" x14ac:dyDescent="0.2">
      <c r="A361" s="88" t="s">
        <v>412</v>
      </c>
      <c r="B361" s="90"/>
      <c r="C361" s="88" t="s">
        <v>605</v>
      </c>
      <c r="D361" s="90"/>
      <c r="E361" s="88" t="s">
        <v>603</v>
      </c>
      <c r="F361" s="89"/>
      <c r="G361" s="89"/>
      <c r="H361" s="89"/>
      <c r="I361" s="90"/>
      <c r="J361" s="88" t="s">
        <v>13</v>
      </c>
      <c r="K361" s="89"/>
      <c r="L361" s="89"/>
      <c r="M361" s="90"/>
      <c r="N361" s="88" t="s">
        <v>26</v>
      </c>
      <c r="O361" s="89"/>
      <c r="P361" s="90"/>
      <c r="Q361" s="88" t="s">
        <v>596</v>
      </c>
      <c r="R361" s="90"/>
      <c r="S361" s="5" t="s">
        <v>44</v>
      </c>
      <c r="T361" s="6"/>
      <c r="U361" s="8">
        <v>5</v>
      </c>
      <c r="V361" s="5" t="s">
        <v>176</v>
      </c>
      <c r="W361" s="12">
        <v>24644154</v>
      </c>
      <c r="X361" s="6"/>
      <c r="Y361" s="6"/>
    </row>
    <row r="362" spans="1:25" ht="15" customHeight="1" x14ac:dyDescent="0.2">
      <c r="A362" s="88" t="s">
        <v>412</v>
      </c>
      <c r="B362" s="90"/>
      <c r="C362" s="88" t="s">
        <v>605</v>
      </c>
      <c r="D362" s="90"/>
      <c r="E362" s="106"/>
      <c r="F362" s="107"/>
      <c r="G362" s="107"/>
      <c r="H362" s="107"/>
      <c r="I362" s="108"/>
      <c r="J362" s="88" t="s">
        <v>13</v>
      </c>
      <c r="K362" s="89"/>
      <c r="L362" s="89"/>
      <c r="M362" s="90"/>
      <c r="N362" s="88" t="s">
        <v>26</v>
      </c>
      <c r="O362" s="89"/>
      <c r="P362" s="90"/>
      <c r="Q362" s="88" t="s">
        <v>466</v>
      </c>
      <c r="R362" s="90"/>
      <c r="S362" s="5" t="s">
        <v>44</v>
      </c>
      <c r="T362" s="6"/>
      <c r="U362" s="8">
        <v>5</v>
      </c>
      <c r="V362" s="5" t="s">
        <v>23</v>
      </c>
      <c r="W362" s="12">
        <v>28374891</v>
      </c>
      <c r="X362" s="6"/>
      <c r="Y362" s="6"/>
    </row>
    <row r="363" spans="1:25" ht="15" customHeight="1" x14ac:dyDescent="0.2">
      <c r="A363" s="88" t="s">
        <v>412</v>
      </c>
      <c r="B363" s="90"/>
      <c r="C363" s="88" t="s">
        <v>606</v>
      </c>
      <c r="D363" s="90"/>
      <c r="E363" s="106"/>
      <c r="F363" s="107"/>
      <c r="G363" s="107"/>
      <c r="H363" s="107"/>
      <c r="I363" s="108"/>
      <c r="J363" s="88" t="s">
        <v>13</v>
      </c>
      <c r="K363" s="89"/>
      <c r="L363" s="89"/>
      <c r="M363" s="90"/>
      <c r="N363" s="88" t="s">
        <v>22</v>
      </c>
      <c r="O363" s="89"/>
      <c r="P363" s="90"/>
      <c r="Q363" s="88" t="s">
        <v>596</v>
      </c>
      <c r="R363" s="90"/>
      <c r="S363" s="5" t="s">
        <v>44</v>
      </c>
      <c r="T363" s="6"/>
      <c r="U363" s="8">
        <v>5</v>
      </c>
      <c r="V363" s="5" t="s">
        <v>23</v>
      </c>
      <c r="W363" s="12">
        <v>28292650</v>
      </c>
      <c r="X363" s="6"/>
      <c r="Y363" s="6"/>
    </row>
    <row r="364" spans="1:25" ht="15" customHeight="1" x14ac:dyDescent="0.2">
      <c r="A364" s="88" t="s">
        <v>412</v>
      </c>
      <c r="B364" s="90"/>
      <c r="C364" s="88" t="s">
        <v>607</v>
      </c>
      <c r="D364" s="90"/>
      <c r="E364" s="106"/>
      <c r="F364" s="107"/>
      <c r="G364" s="107"/>
      <c r="H364" s="107"/>
      <c r="I364" s="108"/>
      <c r="J364" s="88" t="s">
        <v>13</v>
      </c>
      <c r="K364" s="89"/>
      <c r="L364" s="89"/>
      <c r="M364" s="90"/>
      <c r="N364" s="88" t="s">
        <v>22</v>
      </c>
      <c r="O364" s="89"/>
      <c r="P364" s="90"/>
      <c r="Q364" s="88" t="s">
        <v>466</v>
      </c>
      <c r="R364" s="90"/>
      <c r="S364" s="5" t="s">
        <v>44</v>
      </c>
      <c r="T364" s="6"/>
      <c r="U364" s="8">
        <v>5</v>
      </c>
      <c r="V364" s="5" t="s">
        <v>23</v>
      </c>
      <c r="W364" s="12">
        <v>24492623</v>
      </c>
      <c r="X364" s="6"/>
      <c r="Y364" s="6"/>
    </row>
    <row r="365" spans="1:25" ht="15" customHeight="1" x14ac:dyDescent="0.2">
      <c r="A365" s="88" t="s">
        <v>412</v>
      </c>
      <c r="B365" s="90"/>
      <c r="C365" s="88" t="s">
        <v>608</v>
      </c>
      <c r="D365" s="90"/>
      <c r="E365" s="106"/>
      <c r="F365" s="107"/>
      <c r="G365" s="107"/>
      <c r="H365" s="107"/>
      <c r="I365" s="108"/>
      <c r="J365" s="88" t="s">
        <v>13</v>
      </c>
      <c r="K365" s="89"/>
      <c r="L365" s="89"/>
      <c r="M365" s="90"/>
      <c r="N365" s="88" t="s">
        <v>22</v>
      </c>
      <c r="O365" s="89"/>
      <c r="P365" s="90"/>
      <c r="Q365" s="88" t="s">
        <v>466</v>
      </c>
      <c r="R365" s="90"/>
      <c r="S365" s="5" t="s">
        <v>271</v>
      </c>
      <c r="T365" s="6"/>
      <c r="U365" s="8">
        <v>2</v>
      </c>
      <c r="V365" s="5" t="s">
        <v>23</v>
      </c>
      <c r="W365" s="12">
        <v>21031047</v>
      </c>
      <c r="X365" s="6"/>
      <c r="Y365" s="6"/>
    </row>
    <row r="366" spans="1:25" ht="15" customHeight="1" x14ac:dyDescent="0.2">
      <c r="A366" s="88" t="s">
        <v>412</v>
      </c>
      <c r="B366" s="90"/>
      <c r="C366" s="88" t="s">
        <v>609</v>
      </c>
      <c r="D366" s="90"/>
      <c r="E366" s="106"/>
      <c r="F366" s="107"/>
      <c r="G366" s="107"/>
      <c r="H366" s="107"/>
      <c r="I366" s="108"/>
      <c r="J366" s="88" t="s">
        <v>13</v>
      </c>
      <c r="K366" s="89"/>
      <c r="L366" s="89"/>
      <c r="M366" s="90"/>
      <c r="N366" s="88" t="s">
        <v>22</v>
      </c>
      <c r="O366" s="89"/>
      <c r="P366" s="90"/>
      <c r="Q366" s="88" t="s">
        <v>466</v>
      </c>
      <c r="R366" s="90"/>
      <c r="S366" s="5" t="s">
        <v>271</v>
      </c>
      <c r="T366" s="6"/>
      <c r="U366" s="8">
        <v>2</v>
      </c>
      <c r="V366" s="5" t="s">
        <v>23</v>
      </c>
      <c r="W366" s="12">
        <v>23621443</v>
      </c>
      <c r="X366" s="6"/>
      <c r="Y366" s="6"/>
    </row>
    <row r="367" spans="1:25" ht="15" customHeight="1" x14ac:dyDescent="0.2">
      <c r="A367" s="88" t="s">
        <v>412</v>
      </c>
      <c r="B367" s="90"/>
      <c r="C367" s="88" t="s">
        <v>610</v>
      </c>
      <c r="D367" s="89"/>
      <c r="E367" s="89"/>
      <c r="F367" s="89"/>
      <c r="G367" s="89"/>
      <c r="H367" s="89"/>
      <c r="I367" s="90"/>
      <c r="J367" s="88" t="s">
        <v>13</v>
      </c>
      <c r="K367" s="89"/>
      <c r="L367" s="89"/>
      <c r="M367" s="90"/>
      <c r="N367" s="88" t="s">
        <v>22</v>
      </c>
      <c r="O367" s="89"/>
      <c r="P367" s="90"/>
      <c r="Q367" s="88" t="s">
        <v>466</v>
      </c>
      <c r="R367" s="90"/>
      <c r="S367" s="5" t="s">
        <v>119</v>
      </c>
      <c r="T367" s="6"/>
      <c r="U367" s="8">
        <v>2</v>
      </c>
      <c r="V367" s="5" t="s">
        <v>23</v>
      </c>
      <c r="W367" s="12">
        <v>25846636</v>
      </c>
      <c r="X367" s="6"/>
      <c r="Y367" s="6"/>
    </row>
    <row r="368" spans="1:25" ht="15" customHeight="1" x14ac:dyDescent="0.2">
      <c r="A368" s="88" t="s">
        <v>412</v>
      </c>
      <c r="B368" s="90"/>
      <c r="C368" s="88" t="s">
        <v>611</v>
      </c>
      <c r="D368" s="90"/>
      <c r="E368" s="88" t="s">
        <v>612</v>
      </c>
      <c r="F368" s="89"/>
      <c r="G368" s="89"/>
      <c r="H368" s="89"/>
      <c r="I368" s="90"/>
      <c r="J368" s="88" t="s">
        <v>13</v>
      </c>
      <c r="K368" s="89"/>
      <c r="L368" s="89"/>
      <c r="M368" s="90"/>
      <c r="N368" s="88" t="s">
        <v>26</v>
      </c>
      <c r="O368" s="89"/>
      <c r="P368" s="90"/>
      <c r="Q368" s="88" t="s">
        <v>466</v>
      </c>
      <c r="R368" s="90"/>
      <c r="S368" s="5" t="s">
        <v>271</v>
      </c>
      <c r="T368" s="6"/>
      <c r="U368" s="8">
        <v>2</v>
      </c>
      <c r="V368" s="5" t="s">
        <v>23</v>
      </c>
      <c r="W368" s="12">
        <v>30159953</v>
      </c>
      <c r="X368" s="6"/>
      <c r="Y368" s="6"/>
    </row>
    <row r="369" spans="1:25" ht="15" customHeight="1" x14ac:dyDescent="0.2">
      <c r="A369" s="88" t="s">
        <v>412</v>
      </c>
      <c r="B369" s="90"/>
      <c r="C369" s="88" t="s">
        <v>613</v>
      </c>
      <c r="D369" s="90"/>
      <c r="E369" s="88" t="s">
        <v>614</v>
      </c>
      <c r="F369" s="89"/>
      <c r="G369" s="89"/>
      <c r="H369" s="89"/>
      <c r="I369" s="90"/>
      <c r="J369" s="88" t="s">
        <v>13</v>
      </c>
      <c r="K369" s="89"/>
      <c r="L369" s="89"/>
      <c r="M369" s="90"/>
      <c r="N369" s="88" t="s">
        <v>26</v>
      </c>
      <c r="O369" s="89"/>
      <c r="P369" s="90"/>
      <c r="Q369" s="88" t="s">
        <v>466</v>
      </c>
      <c r="R369" s="90"/>
      <c r="S369" s="5" t="s">
        <v>271</v>
      </c>
      <c r="T369" s="6"/>
      <c r="U369" s="8">
        <v>2</v>
      </c>
      <c r="V369" s="5" t="s">
        <v>23</v>
      </c>
      <c r="W369" s="12">
        <v>66500997</v>
      </c>
      <c r="X369" s="6"/>
      <c r="Y369" s="6"/>
    </row>
    <row r="370" spans="1:25" ht="15" customHeight="1" x14ac:dyDescent="0.2">
      <c r="A370" s="88" t="s">
        <v>412</v>
      </c>
      <c r="B370" s="90"/>
      <c r="C370" s="88" t="s">
        <v>615</v>
      </c>
      <c r="D370" s="90"/>
      <c r="E370" s="106"/>
      <c r="F370" s="107"/>
      <c r="G370" s="107"/>
      <c r="H370" s="107"/>
      <c r="I370" s="108"/>
      <c r="J370" s="88" t="s">
        <v>13</v>
      </c>
      <c r="K370" s="89"/>
      <c r="L370" s="89"/>
      <c r="M370" s="90"/>
      <c r="N370" s="88" t="s">
        <v>26</v>
      </c>
      <c r="O370" s="89"/>
      <c r="P370" s="90"/>
      <c r="Q370" s="88" t="s">
        <v>466</v>
      </c>
      <c r="R370" s="90"/>
      <c r="S370" s="5" t="s">
        <v>271</v>
      </c>
      <c r="T370" s="6"/>
      <c r="U370" s="8">
        <v>2</v>
      </c>
      <c r="V370" s="5" t="s">
        <v>23</v>
      </c>
      <c r="W370" s="12">
        <v>65639554</v>
      </c>
      <c r="X370" s="6"/>
      <c r="Y370" s="6"/>
    </row>
    <row r="371" spans="1:25" ht="15" customHeight="1" x14ac:dyDescent="0.2">
      <c r="A371" s="88" t="s">
        <v>412</v>
      </c>
      <c r="B371" s="90"/>
      <c r="C371" s="88" t="s">
        <v>616</v>
      </c>
      <c r="D371" s="90"/>
      <c r="E371" s="106"/>
      <c r="F371" s="107"/>
      <c r="G371" s="107"/>
      <c r="H371" s="107"/>
      <c r="I371" s="108"/>
      <c r="J371" s="88" t="s">
        <v>599</v>
      </c>
      <c r="K371" s="89"/>
      <c r="L371" s="89"/>
      <c r="M371" s="90"/>
      <c r="N371" s="88" t="s">
        <v>26</v>
      </c>
      <c r="O371" s="89"/>
      <c r="P371" s="90"/>
      <c r="Q371" s="88" t="s">
        <v>181</v>
      </c>
      <c r="R371" s="90"/>
      <c r="S371" s="5" t="s">
        <v>16</v>
      </c>
      <c r="T371" s="6"/>
      <c r="U371" s="8">
        <v>5</v>
      </c>
      <c r="V371" s="5" t="s">
        <v>569</v>
      </c>
      <c r="W371" s="12">
        <v>28409430</v>
      </c>
      <c r="X371" s="6"/>
      <c r="Y371" s="6"/>
    </row>
    <row r="372" spans="1:25" ht="15" customHeight="1" x14ac:dyDescent="0.2">
      <c r="A372" s="88" t="s">
        <v>412</v>
      </c>
      <c r="B372" s="90"/>
      <c r="C372" s="88" t="s">
        <v>617</v>
      </c>
      <c r="D372" s="90"/>
      <c r="E372" s="106"/>
      <c r="F372" s="107"/>
      <c r="G372" s="107"/>
      <c r="H372" s="107"/>
      <c r="I372" s="108"/>
      <c r="J372" s="88" t="s">
        <v>13</v>
      </c>
      <c r="K372" s="89"/>
      <c r="L372" s="89"/>
      <c r="M372" s="90"/>
      <c r="N372" s="88" t="s">
        <v>26</v>
      </c>
      <c r="O372" s="89"/>
      <c r="P372" s="90"/>
      <c r="Q372" s="88" t="s">
        <v>466</v>
      </c>
      <c r="R372" s="90"/>
      <c r="S372" s="5" t="s">
        <v>271</v>
      </c>
      <c r="T372" s="6"/>
      <c r="U372" s="8">
        <v>2</v>
      </c>
      <c r="V372" s="5" t="s">
        <v>23</v>
      </c>
      <c r="W372" s="12">
        <v>29786256</v>
      </c>
      <c r="X372" s="6"/>
      <c r="Y372" s="6"/>
    </row>
    <row r="373" spans="1:25" ht="15" customHeight="1" x14ac:dyDescent="0.2">
      <c r="A373" s="88" t="s">
        <v>412</v>
      </c>
      <c r="B373" s="90"/>
      <c r="C373" s="88" t="s">
        <v>618</v>
      </c>
      <c r="D373" s="90"/>
      <c r="E373" s="88" t="s">
        <v>612</v>
      </c>
      <c r="F373" s="89"/>
      <c r="G373" s="89"/>
      <c r="H373" s="89"/>
      <c r="I373" s="90"/>
      <c r="J373" s="88" t="s">
        <v>13</v>
      </c>
      <c r="K373" s="89"/>
      <c r="L373" s="89"/>
      <c r="M373" s="90"/>
      <c r="N373" s="88" t="s">
        <v>26</v>
      </c>
      <c r="O373" s="89"/>
      <c r="P373" s="90"/>
      <c r="Q373" s="88" t="s">
        <v>466</v>
      </c>
      <c r="R373" s="90"/>
      <c r="S373" s="5" t="s">
        <v>271</v>
      </c>
      <c r="T373" s="6"/>
      <c r="U373" s="8">
        <v>2</v>
      </c>
      <c r="V373" s="5" t="s">
        <v>23</v>
      </c>
      <c r="W373" s="12">
        <v>52924165</v>
      </c>
      <c r="X373" s="6"/>
      <c r="Y373" s="6"/>
    </row>
    <row r="374" spans="1:25" ht="15" customHeight="1" x14ac:dyDescent="0.2">
      <c r="A374" s="88" t="s">
        <v>412</v>
      </c>
      <c r="B374" s="90"/>
      <c r="C374" s="88" t="s">
        <v>619</v>
      </c>
      <c r="D374" s="90"/>
      <c r="E374" s="106"/>
      <c r="F374" s="107"/>
      <c r="G374" s="107"/>
      <c r="H374" s="107"/>
      <c r="I374" s="108"/>
      <c r="J374" s="88" t="s">
        <v>13</v>
      </c>
      <c r="K374" s="89"/>
      <c r="L374" s="89"/>
      <c r="M374" s="90"/>
      <c r="N374" s="88" t="s">
        <v>22</v>
      </c>
      <c r="O374" s="89"/>
      <c r="P374" s="90"/>
      <c r="Q374" s="88" t="s">
        <v>466</v>
      </c>
      <c r="R374" s="90"/>
      <c r="S374" s="5" t="s">
        <v>271</v>
      </c>
      <c r="T374" s="6"/>
      <c r="U374" s="8">
        <v>2</v>
      </c>
      <c r="V374" s="5" t="s">
        <v>23</v>
      </c>
      <c r="W374" s="12">
        <v>39896352</v>
      </c>
      <c r="X374" s="6"/>
      <c r="Y374" s="6"/>
    </row>
    <row r="375" spans="1:25" ht="15" customHeight="1" x14ac:dyDescent="0.2">
      <c r="A375" s="88" t="s">
        <v>412</v>
      </c>
      <c r="B375" s="90"/>
      <c r="C375" s="88" t="s">
        <v>620</v>
      </c>
      <c r="D375" s="90"/>
      <c r="E375" s="106"/>
      <c r="F375" s="107"/>
      <c r="G375" s="107"/>
      <c r="H375" s="107"/>
      <c r="I375" s="108"/>
      <c r="J375" s="88" t="s">
        <v>13</v>
      </c>
      <c r="K375" s="89"/>
      <c r="L375" s="89"/>
      <c r="M375" s="90"/>
      <c r="N375" s="88" t="s">
        <v>22</v>
      </c>
      <c r="O375" s="89"/>
      <c r="P375" s="90"/>
      <c r="Q375" s="88" t="s">
        <v>466</v>
      </c>
      <c r="R375" s="90"/>
      <c r="S375" s="5" t="s">
        <v>271</v>
      </c>
      <c r="T375" s="6"/>
      <c r="U375" s="8">
        <v>4</v>
      </c>
      <c r="V375" s="5" t="s">
        <v>23</v>
      </c>
      <c r="W375" s="12">
        <v>27913999</v>
      </c>
      <c r="X375" s="6"/>
      <c r="Y375" s="6"/>
    </row>
    <row r="376" spans="1:25" ht="15" customHeight="1" x14ac:dyDescent="0.2">
      <c r="A376" s="88" t="s">
        <v>412</v>
      </c>
      <c r="B376" s="90"/>
      <c r="C376" s="88" t="s">
        <v>621</v>
      </c>
      <c r="D376" s="90"/>
      <c r="E376" s="88" t="s">
        <v>622</v>
      </c>
      <c r="F376" s="89"/>
      <c r="G376" s="89"/>
      <c r="H376" s="89"/>
      <c r="I376" s="90"/>
      <c r="J376" s="88" t="s">
        <v>13</v>
      </c>
      <c r="K376" s="89"/>
      <c r="L376" s="89"/>
      <c r="M376" s="90"/>
      <c r="N376" s="88" t="s">
        <v>22</v>
      </c>
      <c r="O376" s="89"/>
      <c r="P376" s="90"/>
      <c r="Q376" s="88" t="s">
        <v>466</v>
      </c>
      <c r="R376" s="90"/>
      <c r="S376" s="5" t="s">
        <v>271</v>
      </c>
      <c r="T376" s="6"/>
      <c r="U376" s="8">
        <v>4</v>
      </c>
      <c r="V376" s="5" t="s">
        <v>23</v>
      </c>
      <c r="W376" s="12">
        <v>45295842</v>
      </c>
      <c r="X376" s="6"/>
      <c r="Y376" s="6"/>
    </row>
    <row r="377" spans="1:25" ht="15" customHeight="1" x14ac:dyDescent="0.2">
      <c r="A377" s="88" t="s">
        <v>412</v>
      </c>
      <c r="B377" s="90"/>
      <c r="C377" s="88" t="s">
        <v>623</v>
      </c>
      <c r="D377" s="90"/>
      <c r="E377" s="106"/>
      <c r="F377" s="107"/>
      <c r="G377" s="107"/>
      <c r="H377" s="107"/>
      <c r="I377" s="108"/>
      <c r="J377" s="88" t="s">
        <v>13</v>
      </c>
      <c r="K377" s="89"/>
      <c r="L377" s="89"/>
      <c r="M377" s="90"/>
      <c r="N377" s="88" t="s">
        <v>22</v>
      </c>
      <c r="O377" s="89"/>
      <c r="P377" s="90"/>
      <c r="Q377" s="88" t="s">
        <v>466</v>
      </c>
      <c r="R377" s="90"/>
      <c r="S377" s="5" t="s">
        <v>271</v>
      </c>
      <c r="T377" s="6"/>
      <c r="U377" s="8">
        <v>2</v>
      </c>
      <c r="V377" s="5" t="s">
        <v>23</v>
      </c>
      <c r="W377" s="12">
        <v>46670545</v>
      </c>
      <c r="X377" s="6"/>
      <c r="Y377" s="6"/>
    </row>
    <row r="378" spans="1:25" ht="15" customHeight="1" x14ac:dyDescent="0.2">
      <c r="A378" s="88" t="s">
        <v>412</v>
      </c>
      <c r="B378" s="90"/>
      <c r="C378" s="88" t="s">
        <v>624</v>
      </c>
      <c r="D378" s="90"/>
      <c r="E378" s="106"/>
      <c r="F378" s="107"/>
      <c r="G378" s="107"/>
      <c r="H378" s="107"/>
      <c r="I378" s="108"/>
      <c r="J378" s="88" t="s">
        <v>13</v>
      </c>
      <c r="K378" s="89"/>
      <c r="L378" s="89"/>
      <c r="M378" s="90"/>
      <c r="N378" s="88" t="s">
        <v>22</v>
      </c>
      <c r="O378" s="89"/>
      <c r="P378" s="90"/>
      <c r="Q378" s="88" t="s">
        <v>466</v>
      </c>
      <c r="R378" s="90"/>
      <c r="S378" s="5" t="s">
        <v>271</v>
      </c>
      <c r="T378" s="6"/>
      <c r="U378" s="8">
        <v>2</v>
      </c>
      <c r="V378" s="5" t="s">
        <v>23</v>
      </c>
      <c r="W378" s="12">
        <v>50445258</v>
      </c>
      <c r="X378" s="6"/>
      <c r="Y378" s="6"/>
    </row>
    <row r="379" spans="1:25" ht="15" customHeight="1" x14ac:dyDescent="0.2">
      <c r="A379" s="88" t="s">
        <v>412</v>
      </c>
      <c r="B379" s="90"/>
      <c r="C379" s="88" t="s">
        <v>625</v>
      </c>
      <c r="D379" s="90"/>
      <c r="E379" s="88" t="s">
        <v>626</v>
      </c>
      <c r="F379" s="89"/>
      <c r="G379" s="89"/>
      <c r="H379" s="89"/>
      <c r="I379" s="90"/>
      <c r="J379" s="88" t="s">
        <v>13</v>
      </c>
      <c r="K379" s="89"/>
      <c r="L379" s="89"/>
      <c r="M379" s="90"/>
      <c r="N379" s="88" t="s">
        <v>22</v>
      </c>
      <c r="O379" s="89"/>
      <c r="P379" s="90"/>
      <c r="Q379" s="88" t="s">
        <v>517</v>
      </c>
      <c r="R379" s="90"/>
      <c r="S379" s="5" t="s">
        <v>16</v>
      </c>
      <c r="T379" s="6"/>
      <c r="U379" s="8">
        <v>5</v>
      </c>
      <c r="V379" s="5" t="s">
        <v>23</v>
      </c>
      <c r="W379" s="12">
        <v>12690656</v>
      </c>
      <c r="X379" s="6"/>
      <c r="Y379" s="6"/>
    </row>
    <row r="380" spans="1:25" ht="15" customHeight="1" x14ac:dyDescent="0.2">
      <c r="A380" s="88" t="s">
        <v>412</v>
      </c>
      <c r="B380" s="90"/>
      <c r="C380" s="88" t="s">
        <v>627</v>
      </c>
      <c r="D380" s="90"/>
      <c r="E380" s="106"/>
      <c r="F380" s="107"/>
      <c r="G380" s="107"/>
      <c r="H380" s="107"/>
      <c r="I380" s="108"/>
      <c r="J380" s="88" t="s">
        <v>13</v>
      </c>
      <c r="K380" s="89"/>
      <c r="L380" s="89"/>
      <c r="M380" s="90"/>
      <c r="N380" s="88" t="s">
        <v>26</v>
      </c>
      <c r="O380" s="89"/>
      <c r="P380" s="90"/>
      <c r="Q380" s="88" t="s">
        <v>463</v>
      </c>
      <c r="R380" s="90"/>
      <c r="S380" s="5" t="s">
        <v>16</v>
      </c>
      <c r="T380" s="6"/>
      <c r="U380" s="8">
        <v>5</v>
      </c>
      <c r="V380" s="5" t="s">
        <v>106</v>
      </c>
      <c r="W380" s="12">
        <v>12288307</v>
      </c>
      <c r="X380" s="6"/>
      <c r="Y380" s="6"/>
    </row>
    <row r="381" spans="1:25" ht="15" customHeight="1" x14ac:dyDescent="0.2">
      <c r="A381" s="88" t="s">
        <v>412</v>
      </c>
      <c r="B381" s="90"/>
      <c r="C381" s="88" t="s">
        <v>628</v>
      </c>
      <c r="D381" s="90"/>
      <c r="E381" s="88" t="s">
        <v>629</v>
      </c>
      <c r="F381" s="89"/>
      <c r="G381" s="89"/>
      <c r="H381" s="89"/>
      <c r="I381" s="90"/>
      <c r="J381" s="88" t="s">
        <v>13</v>
      </c>
      <c r="K381" s="89"/>
      <c r="L381" s="89"/>
      <c r="M381" s="90"/>
      <c r="N381" s="88" t="s">
        <v>22</v>
      </c>
      <c r="O381" s="89"/>
      <c r="P381" s="90"/>
      <c r="Q381" s="88" t="s">
        <v>463</v>
      </c>
      <c r="R381" s="90"/>
      <c r="S381" s="5" t="s">
        <v>16</v>
      </c>
      <c r="T381" s="6"/>
      <c r="U381" s="8">
        <v>5</v>
      </c>
      <c r="V381" s="5" t="s">
        <v>23</v>
      </c>
      <c r="W381" s="12">
        <v>14236270</v>
      </c>
      <c r="X381" s="6"/>
      <c r="Y381" s="6"/>
    </row>
    <row r="382" spans="1:25" ht="15" customHeight="1" x14ac:dyDescent="0.2">
      <c r="A382" s="88" t="s">
        <v>412</v>
      </c>
      <c r="B382" s="90"/>
      <c r="C382" s="88" t="s">
        <v>630</v>
      </c>
      <c r="D382" s="90"/>
      <c r="E382" s="106"/>
      <c r="F382" s="107"/>
      <c r="G382" s="107"/>
      <c r="H382" s="107"/>
      <c r="I382" s="108"/>
      <c r="J382" s="88" t="s">
        <v>13</v>
      </c>
      <c r="K382" s="89"/>
      <c r="L382" s="89"/>
      <c r="M382" s="90"/>
      <c r="N382" s="88" t="s">
        <v>26</v>
      </c>
      <c r="O382" s="89"/>
      <c r="P382" s="90"/>
      <c r="Q382" s="88" t="s">
        <v>466</v>
      </c>
      <c r="R382" s="90"/>
      <c r="S382" s="5" t="s">
        <v>44</v>
      </c>
      <c r="T382" s="6"/>
      <c r="U382" s="8">
        <v>5</v>
      </c>
      <c r="V382" s="5" t="s">
        <v>23</v>
      </c>
      <c r="W382" s="12">
        <v>10662111</v>
      </c>
      <c r="X382" s="6"/>
      <c r="Y382" s="6"/>
    </row>
    <row r="383" spans="1:25" ht="15" customHeight="1" x14ac:dyDescent="0.2">
      <c r="A383" s="88" t="s">
        <v>412</v>
      </c>
      <c r="B383" s="90"/>
      <c r="C383" s="88" t="s">
        <v>631</v>
      </c>
      <c r="D383" s="90"/>
      <c r="E383" s="106"/>
      <c r="F383" s="107"/>
      <c r="G383" s="107"/>
      <c r="H383" s="107"/>
      <c r="I383" s="108"/>
      <c r="J383" s="88" t="s">
        <v>13</v>
      </c>
      <c r="K383" s="89"/>
      <c r="L383" s="89"/>
      <c r="M383" s="90"/>
      <c r="N383" s="88" t="s">
        <v>26</v>
      </c>
      <c r="O383" s="89"/>
      <c r="P383" s="90"/>
      <c r="Q383" s="88" t="s">
        <v>466</v>
      </c>
      <c r="R383" s="90"/>
      <c r="S383" s="5" t="s">
        <v>44</v>
      </c>
      <c r="T383" s="6"/>
      <c r="U383" s="8">
        <v>5</v>
      </c>
      <c r="V383" s="5" t="s">
        <v>23</v>
      </c>
      <c r="W383" s="12">
        <v>11152098</v>
      </c>
      <c r="X383" s="6"/>
      <c r="Y383" s="6"/>
    </row>
    <row r="384" spans="1:25" ht="15" customHeight="1" x14ac:dyDescent="0.2">
      <c r="A384" s="88" t="s">
        <v>412</v>
      </c>
      <c r="B384" s="90"/>
      <c r="C384" s="88" t="s">
        <v>632</v>
      </c>
      <c r="D384" s="90"/>
      <c r="E384" s="106"/>
      <c r="F384" s="107"/>
      <c r="G384" s="107"/>
      <c r="H384" s="107"/>
      <c r="I384" s="108"/>
      <c r="J384" s="88" t="s">
        <v>13</v>
      </c>
      <c r="K384" s="89"/>
      <c r="L384" s="89"/>
      <c r="M384" s="90"/>
      <c r="N384" s="88" t="s">
        <v>22</v>
      </c>
      <c r="O384" s="89"/>
      <c r="P384" s="90"/>
      <c r="Q384" s="88" t="s">
        <v>517</v>
      </c>
      <c r="R384" s="90"/>
      <c r="S384" s="5" t="s">
        <v>16</v>
      </c>
      <c r="T384" s="6"/>
      <c r="U384" s="8">
        <v>5</v>
      </c>
      <c r="V384" s="5" t="s">
        <v>23</v>
      </c>
      <c r="W384" s="12">
        <v>8921678</v>
      </c>
      <c r="X384" s="6"/>
      <c r="Y384" s="6"/>
    </row>
    <row r="385" spans="1:25" ht="15" customHeight="1" x14ac:dyDescent="0.2">
      <c r="A385" s="88" t="s">
        <v>412</v>
      </c>
      <c r="B385" s="90"/>
      <c r="C385" s="88" t="s">
        <v>633</v>
      </c>
      <c r="D385" s="90"/>
      <c r="E385" s="106"/>
      <c r="F385" s="107"/>
      <c r="G385" s="107"/>
      <c r="H385" s="107"/>
      <c r="I385" s="108"/>
      <c r="J385" s="88" t="s">
        <v>13</v>
      </c>
      <c r="K385" s="89"/>
      <c r="L385" s="89"/>
      <c r="M385" s="90"/>
      <c r="N385" s="88" t="s">
        <v>22</v>
      </c>
      <c r="O385" s="89"/>
      <c r="P385" s="90"/>
      <c r="Q385" s="88" t="s">
        <v>466</v>
      </c>
      <c r="R385" s="90"/>
      <c r="S385" s="5" t="s">
        <v>44</v>
      </c>
      <c r="T385" s="6"/>
      <c r="U385" s="8">
        <v>5</v>
      </c>
      <c r="V385" s="5" t="s">
        <v>23</v>
      </c>
      <c r="W385" s="12">
        <v>7270843</v>
      </c>
      <c r="X385" s="6"/>
      <c r="Y385" s="6"/>
    </row>
    <row r="386" spans="1:25" ht="15" customHeight="1" x14ac:dyDescent="0.2">
      <c r="A386" s="88" t="s">
        <v>412</v>
      </c>
      <c r="B386" s="90"/>
      <c r="C386" s="88" t="s">
        <v>633</v>
      </c>
      <c r="D386" s="90"/>
      <c r="E386" s="106"/>
      <c r="F386" s="107"/>
      <c r="G386" s="107"/>
      <c r="H386" s="107"/>
      <c r="I386" s="108"/>
      <c r="J386" s="88" t="s">
        <v>13</v>
      </c>
      <c r="K386" s="89"/>
      <c r="L386" s="89"/>
      <c r="M386" s="90"/>
      <c r="N386" s="88" t="s">
        <v>22</v>
      </c>
      <c r="O386" s="89"/>
      <c r="P386" s="90"/>
      <c r="Q386" s="88" t="s">
        <v>517</v>
      </c>
      <c r="R386" s="90"/>
      <c r="S386" s="5" t="s">
        <v>16</v>
      </c>
      <c r="T386" s="6"/>
      <c r="U386" s="8">
        <v>5</v>
      </c>
      <c r="V386" s="5" t="s">
        <v>23</v>
      </c>
      <c r="W386" s="12">
        <v>19052924</v>
      </c>
      <c r="X386" s="6"/>
      <c r="Y386" s="6"/>
    </row>
    <row r="387" spans="1:25" ht="15" customHeight="1" x14ac:dyDescent="0.2">
      <c r="A387" s="88" t="s">
        <v>412</v>
      </c>
      <c r="B387" s="90"/>
      <c r="C387" s="88" t="s">
        <v>634</v>
      </c>
      <c r="D387" s="90"/>
      <c r="E387" s="88" t="s">
        <v>635</v>
      </c>
      <c r="F387" s="89"/>
      <c r="G387" s="89"/>
      <c r="H387" s="89"/>
      <c r="I387" s="90"/>
      <c r="J387" s="88" t="s">
        <v>13</v>
      </c>
      <c r="K387" s="89"/>
      <c r="L387" s="89"/>
      <c r="M387" s="90"/>
      <c r="N387" s="88" t="s">
        <v>22</v>
      </c>
      <c r="O387" s="89"/>
      <c r="P387" s="90"/>
      <c r="Q387" s="88" t="s">
        <v>463</v>
      </c>
      <c r="R387" s="90"/>
      <c r="S387" s="5" t="s">
        <v>16</v>
      </c>
      <c r="T387" s="6"/>
      <c r="U387" s="8">
        <v>5</v>
      </c>
      <c r="V387" s="5" t="s">
        <v>96</v>
      </c>
      <c r="W387" s="12">
        <v>12662128</v>
      </c>
      <c r="X387" s="6"/>
      <c r="Y387" s="6"/>
    </row>
    <row r="388" spans="1:25" ht="15" customHeight="1" x14ac:dyDescent="0.2">
      <c r="A388" s="88" t="s">
        <v>412</v>
      </c>
      <c r="B388" s="90"/>
      <c r="C388" s="88" t="s">
        <v>636</v>
      </c>
      <c r="D388" s="89"/>
      <c r="E388" s="89"/>
      <c r="F388" s="89"/>
      <c r="G388" s="89"/>
      <c r="H388" s="89"/>
      <c r="I388" s="90"/>
      <c r="J388" s="88" t="s">
        <v>13</v>
      </c>
      <c r="K388" s="89"/>
      <c r="L388" s="89"/>
      <c r="M388" s="90"/>
      <c r="N388" s="88" t="s">
        <v>22</v>
      </c>
      <c r="O388" s="89"/>
      <c r="P388" s="90"/>
      <c r="Q388" s="88" t="s">
        <v>463</v>
      </c>
      <c r="R388" s="90"/>
      <c r="S388" s="5" t="s">
        <v>16</v>
      </c>
      <c r="T388" s="6"/>
      <c r="U388" s="8">
        <v>5</v>
      </c>
      <c r="V388" s="5" t="s">
        <v>106</v>
      </c>
      <c r="W388" s="12">
        <v>11411246</v>
      </c>
      <c r="X388" s="6"/>
      <c r="Y388" s="6"/>
    </row>
    <row r="389" spans="1:25" ht="15" customHeight="1" x14ac:dyDescent="0.2">
      <c r="A389" s="88" t="s">
        <v>412</v>
      </c>
      <c r="B389" s="90"/>
      <c r="C389" s="88" t="s">
        <v>637</v>
      </c>
      <c r="D389" s="90"/>
      <c r="E389" s="106"/>
      <c r="F389" s="107"/>
      <c r="G389" s="107"/>
      <c r="H389" s="107"/>
      <c r="I389" s="108"/>
      <c r="J389" s="88" t="s">
        <v>13</v>
      </c>
      <c r="K389" s="89"/>
      <c r="L389" s="89"/>
      <c r="M389" s="90"/>
      <c r="N389" s="88" t="s">
        <v>22</v>
      </c>
      <c r="O389" s="89"/>
      <c r="P389" s="90"/>
      <c r="Q389" s="88" t="s">
        <v>463</v>
      </c>
      <c r="R389" s="90"/>
      <c r="S389" s="5" t="s">
        <v>16</v>
      </c>
      <c r="T389" s="6"/>
      <c r="U389" s="8">
        <v>5</v>
      </c>
      <c r="V389" s="5" t="s">
        <v>106</v>
      </c>
      <c r="W389" s="12">
        <v>8531649</v>
      </c>
      <c r="X389" s="6"/>
      <c r="Y389" s="6"/>
    </row>
    <row r="390" spans="1:25" ht="15" customHeight="1" x14ac:dyDescent="0.2">
      <c r="A390" s="88" t="s">
        <v>412</v>
      </c>
      <c r="B390" s="90"/>
      <c r="C390" s="88" t="s">
        <v>638</v>
      </c>
      <c r="D390" s="90"/>
      <c r="E390" s="106"/>
      <c r="F390" s="107"/>
      <c r="G390" s="107"/>
      <c r="H390" s="107"/>
      <c r="I390" s="108"/>
      <c r="J390" s="88" t="s">
        <v>13</v>
      </c>
      <c r="K390" s="89"/>
      <c r="L390" s="89"/>
      <c r="M390" s="90"/>
      <c r="N390" s="88" t="s">
        <v>22</v>
      </c>
      <c r="O390" s="89"/>
      <c r="P390" s="90"/>
      <c r="Q390" s="88" t="s">
        <v>463</v>
      </c>
      <c r="R390" s="90"/>
      <c r="S390" s="5" t="s">
        <v>16</v>
      </c>
      <c r="T390" s="6"/>
      <c r="U390" s="8">
        <v>5</v>
      </c>
      <c r="V390" s="5" t="s">
        <v>106</v>
      </c>
      <c r="W390" s="12">
        <v>11645612</v>
      </c>
      <c r="X390" s="6"/>
      <c r="Y390" s="6"/>
    </row>
    <row r="391" spans="1:25" ht="15" customHeight="1" x14ac:dyDescent="0.2">
      <c r="A391" s="88" t="s">
        <v>412</v>
      </c>
      <c r="B391" s="90"/>
      <c r="C391" s="88" t="s">
        <v>639</v>
      </c>
      <c r="D391" s="90"/>
      <c r="E391" s="106"/>
      <c r="F391" s="107"/>
      <c r="G391" s="107"/>
      <c r="H391" s="107"/>
      <c r="I391" s="108"/>
      <c r="J391" s="88" t="s">
        <v>13</v>
      </c>
      <c r="K391" s="89"/>
      <c r="L391" s="89"/>
      <c r="M391" s="90"/>
      <c r="N391" s="88" t="s">
        <v>22</v>
      </c>
      <c r="O391" s="89"/>
      <c r="P391" s="90"/>
      <c r="Q391" s="88" t="s">
        <v>463</v>
      </c>
      <c r="R391" s="90"/>
      <c r="S391" s="5" t="s">
        <v>16</v>
      </c>
      <c r="T391" s="6"/>
      <c r="U391" s="8">
        <v>5</v>
      </c>
      <c r="V391" s="5" t="s">
        <v>106</v>
      </c>
      <c r="W391" s="12">
        <v>8947157</v>
      </c>
      <c r="X391" s="6"/>
      <c r="Y391" s="6"/>
    </row>
    <row r="392" spans="1:25" ht="15" customHeight="1" x14ac:dyDescent="0.2">
      <c r="A392" s="88" t="s">
        <v>412</v>
      </c>
      <c r="B392" s="90"/>
      <c r="C392" s="88" t="s">
        <v>640</v>
      </c>
      <c r="D392" s="90"/>
      <c r="E392" s="106"/>
      <c r="F392" s="107"/>
      <c r="G392" s="107"/>
      <c r="H392" s="107"/>
      <c r="I392" s="108"/>
      <c r="J392" s="88" t="s">
        <v>13</v>
      </c>
      <c r="K392" s="89"/>
      <c r="L392" s="89"/>
      <c r="M392" s="90"/>
      <c r="N392" s="88" t="s">
        <v>22</v>
      </c>
      <c r="O392" s="89"/>
      <c r="P392" s="90"/>
      <c r="Q392" s="88" t="s">
        <v>463</v>
      </c>
      <c r="R392" s="90"/>
      <c r="S392" s="5" t="s">
        <v>271</v>
      </c>
      <c r="T392" s="6"/>
      <c r="U392" s="8">
        <v>2</v>
      </c>
      <c r="V392" s="5" t="s">
        <v>106</v>
      </c>
      <c r="W392" s="12">
        <v>13421019</v>
      </c>
      <c r="X392" s="6"/>
      <c r="Y392" s="6"/>
    </row>
    <row r="393" spans="1:25" ht="15" customHeight="1" x14ac:dyDescent="0.2">
      <c r="A393" s="88" t="s">
        <v>412</v>
      </c>
      <c r="B393" s="90"/>
      <c r="C393" s="88" t="s">
        <v>641</v>
      </c>
      <c r="D393" s="90"/>
      <c r="E393" s="88" t="s">
        <v>642</v>
      </c>
      <c r="F393" s="89"/>
      <c r="G393" s="89"/>
      <c r="H393" s="89"/>
      <c r="I393" s="90"/>
      <c r="J393" s="88" t="s">
        <v>13</v>
      </c>
      <c r="K393" s="89"/>
      <c r="L393" s="89"/>
      <c r="M393" s="90"/>
      <c r="N393" s="88" t="s">
        <v>22</v>
      </c>
      <c r="O393" s="89"/>
      <c r="P393" s="90"/>
      <c r="Q393" s="88" t="s">
        <v>463</v>
      </c>
      <c r="R393" s="90"/>
      <c r="S393" s="5" t="s">
        <v>271</v>
      </c>
      <c r="T393" s="6"/>
      <c r="U393" s="8">
        <v>2</v>
      </c>
      <c r="V393" s="5" t="s">
        <v>106</v>
      </c>
      <c r="W393" s="12">
        <v>15810891</v>
      </c>
      <c r="X393" s="6"/>
      <c r="Y393" s="6"/>
    </row>
    <row r="394" spans="1:25" ht="15" customHeight="1" x14ac:dyDescent="0.2">
      <c r="A394" s="88" t="s">
        <v>412</v>
      </c>
      <c r="B394" s="90"/>
      <c r="C394" s="88" t="s">
        <v>643</v>
      </c>
      <c r="D394" s="90"/>
      <c r="E394" s="106"/>
      <c r="F394" s="107"/>
      <c r="G394" s="107"/>
      <c r="H394" s="107"/>
      <c r="I394" s="108"/>
      <c r="J394" s="88" t="s">
        <v>13</v>
      </c>
      <c r="K394" s="89"/>
      <c r="L394" s="89"/>
      <c r="M394" s="90"/>
      <c r="N394" s="88" t="s">
        <v>22</v>
      </c>
      <c r="O394" s="89"/>
      <c r="P394" s="90"/>
      <c r="Q394" s="88" t="s">
        <v>463</v>
      </c>
      <c r="R394" s="90"/>
      <c r="S394" s="5" t="s">
        <v>271</v>
      </c>
      <c r="T394" s="6"/>
      <c r="U394" s="8">
        <v>2</v>
      </c>
      <c r="V394" s="5" t="s">
        <v>23</v>
      </c>
      <c r="W394" s="12">
        <v>7216524</v>
      </c>
      <c r="X394" s="6"/>
      <c r="Y394" s="6"/>
    </row>
    <row r="395" spans="1:25" ht="15" customHeight="1" x14ac:dyDescent="0.2">
      <c r="A395" s="88" t="s">
        <v>412</v>
      </c>
      <c r="B395" s="90"/>
      <c r="C395" s="88" t="s">
        <v>644</v>
      </c>
      <c r="D395" s="90"/>
      <c r="E395" s="88" t="s">
        <v>645</v>
      </c>
      <c r="F395" s="89"/>
      <c r="G395" s="89"/>
      <c r="H395" s="89"/>
      <c r="I395" s="90"/>
      <c r="J395" s="88" t="s">
        <v>13</v>
      </c>
      <c r="K395" s="89"/>
      <c r="L395" s="89"/>
      <c r="M395" s="90"/>
      <c r="N395" s="88" t="s">
        <v>26</v>
      </c>
      <c r="O395" s="89"/>
      <c r="P395" s="90"/>
      <c r="Q395" s="88" t="s">
        <v>463</v>
      </c>
      <c r="R395" s="90"/>
      <c r="S395" s="5" t="s">
        <v>271</v>
      </c>
      <c r="T395" s="6"/>
      <c r="U395" s="8">
        <v>2</v>
      </c>
      <c r="V395" s="5" t="s">
        <v>23</v>
      </c>
      <c r="W395" s="12">
        <v>13313303</v>
      </c>
      <c r="X395" s="6"/>
      <c r="Y395" s="6"/>
    </row>
    <row r="396" spans="1:25" ht="15" customHeight="1" x14ac:dyDescent="0.2">
      <c r="A396" s="88" t="s">
        <v>412</v>
      </c>
      <c r="B396" s="90"/>
      <c r="C396" s="88" t="s">
        <v>646</v>
      </c>
      <c r="D396" s="90"/>
      <c r="E396" s="88" t="s">
        <v>647</v>
      </c>
      <c r="F396" s="89"/>
      <c r="G396" s="89"/>
      <c r="H396" s="89"/>
      <c r="I396" s="90"/>
      <c r="J396" s="88" t="s">
        <v>13</v>
      </c>
      <c r="K396" s="89"/>
      <c r="L396" s="89"/>
      <c r="M396" s="90"/>
      <c r="N396" s="88" t="s">
        <v>22</v>
      </c>
      <c r="O396" s="89"/>
      <c r="P396" s="90"/>
      <c r="Q396" s="88" t="s">
        <v>517</v>
      </c>
      <c r="R396" s="90"/>
      <c r="S396" s="5" t="s">
        <v>271</v>
      </c>
      <c r="T396" s="6"/>
      <c r="U396" s="8">
        <v>2</v>
      </c>
      <c r="V396" s="5" t="s">
        <v>23</v>
      </c>
      <c r="W396" s="12">
        <v>10264895</v>
      </c>
      <c r="X396" s="6"/>
      <c r="Y396" s="6"/>
    </row>
    <row r="397" spans="1:25" ht="15" customHeight="1" x14ac:dyDescent="0.2">
      <c r="A397" s="88" t="s">
        <v>412</v>
      </c>
      <c r="B397" s="90"/>
      <c r="C397" s="88" t="s">
        <v>648</v>
      </c>
      <c r="D397" s="90"/>
      <c r="E397" s="88" t="s">
        <v>647</v>
      </c>
      <c r="F397" s="89"/>
      <c r="G397" s="89"/>
      <c r="H397" s="89"/>
      <c r="I397" s="90"/>
      <c r="J397" s="88" t="s">
        <v>13</v>
      </c>
      <c r="K397" s="89"/>
      <c r="L397" s="89"/>
      <c r="M397" s="90"/>
      <c r="N397" s="88" t="s">
        <v>22</v>
      </c>
      <c r="O397" s="89"/>
      <c r="P397" s="90"/>
      <c r="Q397" s="88" t="s">
        <v>463</v>
      </c>
      <c r="R397" s="90"/>
      <c r="S397" s="5" t="s">
        <v>16</v>
      </c>
      <c r="T397" s="6"/>
      <c r="U397" s="8">
        <v>5</v>
      </c>
      <c r="V397" s="5" t="s">
        <v>23</v>
      </c>
      <c r="W397" s="12">
        <v>6909466</v>
      </c>
      <c r="X397" s="6"/>
      <c r="Y397" s="6"/>
    </row>
    <row r="398" spans="1:25" ht="15" customHeight="1" x14ac:dyDescent="0.2">
      <c r="A398" s="88" t="s">
        <v>412</v>
      </c>
      <c r="B398" s="90"/>
      <c r="C398" s="88" t="s">
        <v>649</v>
      </c>
      <c r="D398" s="90"/>
      <c r="E398" s="88" t="s">
        <v>650</v>
      </c>
      <c r="F398" s="89"/>
      <c r="G398" s="89"/>
      <c r="H398" s="89"/>
      <c r="I398" s="90"/>
      <c r="J398" s="88" t="s">
        <v>13</v>
      </c>
      <c r="K398" s="89"/>
      <c r="L398" s="89"/>
      <c r="M398" s="90"/>
      <c r="N398" s="88" t="s">
        <v>22</v>
      </c>
      <c r="O398" s="89"/>
      <c r="P398" s="90"/>
      <c r="Q398" s="88" t="s">
        <v>463</v>
      </c>
      <c r="R398" s="90"/>
      <c r="S398" s="5" t="s">
        <v>271</v>
      </c>
      <c r="T398" s="6"/>
      <c r="U398" s="8">
        <v>2</v>
      </c>
      <c r="V398" s="5" t="s">
        <v>23</v>
      </c>
      <c r="W398" s="12">
        <v>6379347</v>
      </c>
      <c r="X398" s="6"/>
      <c r="Y398" s="6"/>
    </row>
    <row r="399" spans="1:25" ht="15" customHeight="1" x14ac:dyDescent="0.2">
      <c r="A399" s="88" t="s">
        <v>412</v>
      </c>
      <c r="B399" s="90"/>
      <c r="C399" s="88" t="s">
        <v>651</v>
      </c>
      <c r="D399" s="90"/>
      <c r="E399" s="106"/>
      <c r="F399" s="107"/>
      <c r="G399" s="107"/>
      <c r="H399" s="107"/>
      <c r="I399" s="108"/>
      <c r="J399" s="88" t="s">
        <v>13</v>
      </c>
      <c r="K399" s="89"/>
      <c r="L399" s="89"/>
      <c r="M399" s="90"/>
      <c r="N399" s="88" t="s">
        <v>22</v>
      </c>
      <c r="O399" s="89"/>
      <c r="P399" s="90"/>
      <c r="Q399" s="88" t="s">
        <v>463</v>
      </c>
      <c r="R399" s="90"/>
      <c r="S399" s="5" t="s">
        <v>16</v>
      </c>
      <c r="T399" s="6"/>
      <c r="U399" s="8">
        <v>5</v>
      </c>
      <c r="V399" s="5" t="s">
        <v>23</v>
      </c>
      <c r="W399" s="12">
        <v>8862880</v>
      </c>
      <c r="X399" s="6"/>
      <c r="Y399" s="6"/>
    </row>
    <row r="400" spans="1:25" ht="15" customHeight="1" x14ac:dyDescent="0.2">
      <c r="A400" s="88" t="s">
        <v>412</v>
      </c>
      <c r="B400" s="90"/>
      <c r="C400" s="88" t="s">
        <v>652</v>
      </c>
      <c r="D400" s="90"/>
      <c r="E400" s="106"/>
      <c r="F400" s="107"/>
      <c r="G400" s="107"/>
      <c r="H400" s="107"/>
      <c r="I400" s="108"/>
      <c r="J400" s="88" t="s">
        <v>13</v>
      </c>
      <c r="K400" s="89"/>
      <c r="L400" s="89"/>
      <c r="M400" s="90"/>
      <c r="N400" s="88" t="s">
        <v>22</v>
      </c>
      <c r="O400" s="89"/>
      <c r="P400" s="90"/>
      <c r="Q400" s="88" t="s">
        <v>463</v>
      </c>
      <c r="R400" s="90"/>
      <c r="S400" s="5" t="s">
        <v>16</v>
      </c>
      <c r="T400" s="6"/>
      <c r="U400" s="8">
        <v>5</v>
      </c>
      <c r="V400" s="5" t="s">
        <v>106</v>
      </c>
      <c r="W400" s="12">
        <v>11089379</v>
      </c>
      <c r="X400" s="6"/>
      <c r="Y400" s="6"/>
    </row>
    <row r="401" spans="1:25" ht="15" customHeight="1" x14ac:dyDescent="0.2">
      <c r="A401" s="88" t="s">
        <v>412</v>
      </c>
      <c r="B401" s="90"/>
      <c r="C401" s="88" t="s">
        <v>652</v>
      </c>
      <c r="D401" s="90"/>
      <c r="E401" s="106"/>
      <c r="F401" s="107"/>
      <c r="G401" s="107"/>
      <c r="H401" s="107"/>
      <c r="I401" s="108"/>
      <c r="J401" s="88" t="s">
        <v>13</v>
      </c>
      <c r="K401" s="89"/>
      <c r="L401" s="89"/>
      <c r="M401" s="90"/>
      <c r="N401" s="88" t="s">
        <v>22</v>
      </c>
      <c r="O401" s="89"/>
      <c r="P401" s="90"/>
      <c r="Q401" s="88" t="s">
        <v>463</v>
      </c>
      <c r="R401" s="90"/>
      <c r="S401" s="5" t="s">
        <v>271</v>
      </c>
      <c r="T401" s="6"/>
      <c r="U401" s="8">
        <v>2</v>
      </c>
      <c r="V401" s="5" t="s">
        <v>23</v>
      </c>
      <c r="W401" s="12">
        <v>9084354</v>
      </c>
      <c r="X401" s="6"/>
      <c r="Y401" s="6"/>
    </row>
    <row r="402" spans="1:25" ht="15" customHeight="1" x14ac:dyDescent="0.2">
      <c r="A402" s="88" t="s">
        <v>412</v>
      </c>
      <c r="B402" s="90"/>
      <c r="C402" s="88" t="s">
        <v>653</v>
      </c>
      <c r="D402" s="90"/>
      <c r="E402" s="106"/>
      <c r="F402" s="107"/>
      <c r="G402" s="107"/>
      <c r="H402" s="107"/>
      <c r="I402" s="108"/>
      <c r="J402" s="88" t="s">
        <v>13</v>
      </c>
      <c r="K402" s="89"/>
      <c r="L402" s="89"/>
      <c r="M402" s="90"/>
      <c r="N402" s="88" t="s">
        <v>22</v>
      </c>
      <c r="O402" s="89"/>
      <c r="P402" s="90"/>
      <c r="Q402" s="88" t="s">
        <v>463</v>
      </c>
      <c r="R402" s="90"/>
      <c r="S402" s="5" t="s">
        <v>271</v>
      </c>
      <c r="T402" s="6"/>
      <c r="U402" s="8">
        <v>4</v>
      </c>
      <c r="V402" s="5" t="s">
        <v>23</v>
      </c>
      <c r="W402" s="12">
        <v>8449051</v>
      </c>
      <c r="X402" s="6"/>
      <c r="Y402" s="6"/>
    </row>
    <row r="403" spans="1:25" ht="15" customHeight="1" x14ac:dyDescent="0.2">
      <c r="A403" s="88" t="s">
        <v>412</v>
      </c>
      <c r="B403" s="90"/>
      <c r="C403" s="88" t="s">
        <v>654</v>
      </c>
      <c r="D403" s="90"/>
      <c r="E403" s="106"/>
      <c r="F403" s="107"/>
      <c r="G403" s="107"/>
      <c r="H403" s="107"/>
      <c r="I403" s="108"/>
      <c r="J403" s="88" t="s">
        <v>13</v>
      </c>
      <c r="K403" s="89"/>
      <c r="L403" s="89"/>
      <c r="M403" s="90"/>
      <c r="N403" s="88" t="s">
        <v>22</v>
      </c>
      <c r="O403" s="89"/>
      <c r="P403" s="90"/>
      <c r="Q403" s="88" t="s">
        <v>463</v>
      </c>
      <c r="R403" s="90"/>
      <c r="S403" s="5" t="s">
        <v>16</v>
      </c>
      <c r="T403" s="6"/>
      <c r="U403" s="8">
        <v>5</v>
      </c>
      <c r="V403" s="5" t="s">
        <v>106</v>
      </c>
      <c r="W403" s="12">
        <v>16799358</v>
      </c>
      <c r="X403" s="6"/>
      <c r="Y403" s="6"/>
    </row>
    <row r="404" spans="1:25" ht="15" customHeight="1" x14ac:dyDescent="0.2">
      <c r="A404" s="88" t="s">
        <v>412</v>
      </c>
      <c r="B404" s="90"/>
      <c r="C404" s="88" t="s">
        <v>655</v>
      </c>
      <c r="D404" s="90"/>
      <c r="E404" s="88" t="s">
        <v>656</v>
      </c>
      <c r="F404" s="89"/>
      <c r="G404" s="89"/>
      <c r="H404" s="89"/>
      <c r="I404" s="90"/>
      <c r="J404" s="88" t="s">
        <v>13</v>
      </c>
      <c r="K404" s="89"/>
      <c r="L404" s="89"/>
      <c r="M404" s="90"/>
      <c r="N404" s="88" t="s">
        <v>22</v>
      </c>
      <c r="O404" s="89"/>
      <c r="P404" s="90"/>
      <c r="Q404" s="88" t="s">
        <v>463</v>
      </c>
      <c r="R404" s="90"/>
      <c r="S404" s="5" t="s">
        <v>16</v>
      </c>
      <c r="T404" s="6"/>
      <c r="U404" s="8">
        <v>5</v>
      </c>
      <c r="V404" s="5" t="s">
        <v>106</v>
      </c>
      <c r="W404" s="12">
        <v>16048045</v>
      </c>
      <c r="X404" s="6"/>
      <c r="Y404" s="6"/>
    </row>
    <row r="405" spans="1:25" ht="15" customHeight="1" x14ac:dyDescent="0.2">
      <c r="A405" s="88" t="s">
        <v>412</v>
      </c>
      <c r="B405" s="90"/>
      <c r="C405" s="88" t="s">
        <v>657</v>
      </c>
      <c r="D405" s="90"/>
      <c r="E405" s="106"/>
      <c r="F405" s="107"/>
      <c r="G405" s="107"/>
      <c r="H405" s="107"/>
      <c r="I405" s="108"/>
      <c r="J405" s="88" t="s">
        <v>13</v>
      </c>
      <c r="K405" s="89"/>
      <c r="L405" s="89"/>
      <c r="M405" s="90"/>
      <c r="N405" s="88" t="s">
        <v>22</v>
      </c>
      <c r="O405" s="89"/>
      <c r="P405" s="90"/>
      <c r="Q405" s="88" t="s">
        <v>463</v>
      </c>
      <c r="R405" s="90"/>
      <c r="S405" s="5" t="s">
        <v>271</v>
      </c>
      <c r="T405" s="6"/>
      <c r="U405" s="8">
        <v>2</v>
      </c>
      <c r="V405" s="5" t="s">
        <v>23</v>
      </c>
      <c r="W405" s="12">
        <v>15913952</v>
      </c>
      <c r="X405" s="6"/>
      <c r="Y405" s="6"/>
    </row>
    <row r="406" spans="1:25" ht="15" customHeight="1" x14ac:dyDescent="0.2">
      <c r="A406" s="88" t="s">
        <v>412</v>
      </c>
      <c r="B406" s="90"/>
      <c r="C406" s="88" t="s">
        <v>658</v>
      </c>
      <c r="D406" s="90"/>
      <c r="E406" s="106"/>
      <c r="F406" s="107"/>
      <c r="G406" s="107"/>
      <c r="H406" s="107"/>
      <c r="I406" s="108"/>
      <c r="J406" s="88" t="s">
        <v>13</v>
      </c>
      <c r="K406" s="89"/>
      <c r="L406" s="89"/>
      <c r="M406" s="90"/>
      <c r="N406" s="88" t="s">
        <v>22</v>
      </c>
      <c r="O406" s="89"/>
      <c r="P406" s="90"/>
      <c r="Q406" s="88" t="s">
        <v>466</v>
      </c>
      <c r="R406" s="90"/>
      <c r="S406" s="5" t="s">
        <v>16</v>
      </c>
      <c r="T406" s="6"/>
      <c r="U406" s="8">
        <v>5</v>
      </c>
      <c r="V406" s="5" t="s">
        <v>96</v>
      </c>
      <c r="W406" s="12">
        <v>17333210</v>
      </c>
      <c r="X406" s="6"/>
      <c r="Y406" s="6"/>
    </row>
    <row r="407" spans="1:25" ht="15" customHeight="1" x14ac:dyDescent="0.2">
      <c r="A407" s="88" t="s">
        <v>412</v>
      </c>
      <c r="B407" s="90"/>
      <c r="C407" s="88" t="s">
        <v>659</v>
      </c>
      <c r="D407" s="90"/>
      <c r="E407" s="88" t="s">
        <v>660</v>
      </c>
      <c r="F407" s="89"/>
      <c r="G407" s="89"/>
      <c r="H407" s="89"/>
      <c r="I407" s="90"/>
      <c r="J407" s="88" t="s">
        <v>13</v>
      </c>
      <c r="K407" s="89"/>
      <c r="L407" s="89"/>
      <c r="M407" s="90"/>
      <c r="N407" s="88" t="s">
        <v>22</v>
      </c>
      <c r="O407" s="89"/>
      <c r="P407" s="90"/>
      <c r="Q407" s="88" t="s">
        <v>463</v>
      </c>
      <c r="R407" s="90"/>
      <c r="S407" s="5" t="s">
        <v>16</v>
      </c>
      <c r="T407" s="6"/>
      <c r="U407" s="8">
        <v>5</v>
      </c>
      <c r="V407" s="5" t="s">
        <v>23</v>
      </c>
      <c r="W407" s="12">
        <v>15000127</v>
      </c>
      <c r="X407" s="6"/>
      <c r="Y407" s="6"/>
    </row>
    <row r="408" spans="1:25" ht="15" customHeight="1" x14ac:dyDescent="0.2">
      <c r="A408" s="88" t="s">
        <v>412</v>
      </c>
      <c r="B408" s="90"/>
      <c r="C408" s="88" t="s">
        <v>661</v>
      </c>
      <c r="D408" s="90"/>
      <c r="E408" s="88" t="s">
        <v>662</v>
      </c>
      <c r="F408" s="89"/>
      <c r="G408" s="89"/>
      <c r="H408" s="89"/>
      <c r="I408" s="90"/>
      <c r="J408" s="88" t="s">
        <v>13</v>
      </c>
      <c r="K408" s="89"/>
      <c r="L408" s="89"/>
      <c r="M408" s="90"/>
      <c r="N408" s="88" t="s">
        <v>22</v>
      </c>
      <c r="O408" s="89"/>
      <c r="P408" s="90"/>
      <c r="Q408" s="88" t="s">
        <v>463</v>
      </c>
      <c r="R408" s="90"/>
      <c r="S408" s="5" t="s">
        <v>16</v>
      </c>
      <c r="T408" s="6"/>
      <c r="U408" s="8">
        <v>5</v>
      </c>
      <c r="V408" s="5" t="s">
        <v>106</v>
      </c>
      <c r="W408" s="12">
        <v>14665106</v>
      </c>
      <c r="X408" s="6"/>
      <c r="Y408" s="6"/>
    </row>
    <row r="409" spans="1:25" ht="15" customHeight="1" x14ac:dyDescent="0.2">
      <c r="A409" s="88" t="s">
        <v>412</v>
      </c>
      <c r="B409" s="90"/>
      <c r="C409" s="88" t="s">
        <v>663</v>
      </c>
      <c r="D409" s="90"/>
      <c r="E409" s="106"/>
      <c r="F409" s="107"/>
      <c r="G409" s="107"/>
      <c r="H409" s="107"/>
      <c r="I409" s="108"/>
      <c r="J409" s="88" t="s">
        <v>13</v>
      </c>
      <c r="K409" s="89"/>
      <c r="L409" s="89"/>
      <c r="M409" s="90"/>
      <c r="N409" s="88" t="s">
        <v>22</v>
      </c>
      <c r="O409" s="89"/>
      <c r="P409" s="90"/>
      <c r="Q409" s="88" t="s">
        <v>466</v>
      </c>
      <c r="R409" s="90"/>
      <c r="S409" s="5" t="s">
        <v>271</v>
      </c>
      <c r="T409" s="6"/>
      <c r="U409" s="8">
        <v>2</v>
      </c>
      <c r="V409" s="5" t="s">
        <v>23</v>
      </c>
      <c r="W409" s="12">
        <v>11022741</v>
      </c>
      <c r="X409" s="6"/>
      <c r="Y409" s="6"/>
    </row>
    <row r="410" spans="1:25" ht="15" customHeight="1" x14ac:dyDescent="0.2">
      <c r="A410" s="88" t="s">
        <v>412</v>
      </c>
      <c r="B410" s="90"/>
      <c r="C410" s="88" t="s">
        <v>663</v>
      </c>
      <c r="D410" s="90"/>
      <c r="E410" s="106"/>
      <c r="F410" s="107"/>
      <c r="G410" s="107"/>
      <c r="H410" s="107"/>
      <c r="I410" s="108"/>
      <c r="J410" s="88" t="s">
        <v>13</v>
      </c>
      <c r="K410" s="89"/>
      <c r="L410" s="89"/>
      <c r="M410" s="90"/>
      <c r="N410" s="88" t="s">
        <v>22</v>
      </c>
      <c r="O410" s="89"/>
      <c r="P410" s="90"/>
      <c r="Q410" s="88" t="s">
        <v>463</v>
      </c>
      <c r="R410" s="90"/>
      <c r="S410" s="5" t="s">
        <v>16</v>
      </c>
      <c r="T410" s="6"/>
      <c r="U410" s="8">
        <v>5</v>
      </c>
      <c r="V410" s="5" t="s">
        <v>96</v>
      </c>
      <c r="W410" s="12">
        <v>11154898</v>
      </c>
      <c r="X410" s="6"/>
      <c r="Y410" s="6"/>
    </row>
    <row r="411" spans="1:25" ht="15" customHeight="1" x14ac:dyDescent="0.2">
      <c r="A411" s="88" t="s">
        <v>412</v>
      </c>
      <c r="B411" s="90"/>
      <c r="C411" s="88" t="s">
        <v>664</v>
      </c>
      <c r="D411" s="90"/>
      <c r="E411" s="106"/>
      <c r="F411" s="107"/>
      <c r="G411" s="107"/>
      <c r="H411" s="107"/>
      <c r="I411" s="108"/>
      <c r="J411" s="88" t="s">
        <v>13</v>
      </c>
      <c r="K411" s="89"/>
      <c r="L411" s="89"/>
      <c r="M411" s="90"/>
      <c r="N411" s="88" t="s">
        <v>22</v>
      </c>
      <c r="O411" s="89"/>
      <c r="P411" s="90"/>
      <c r="Q411" s="88" t="s">
        <v>466</v>
      </c>
      <c r="R411" s="90"/>
      <c r="S411" s="5" t="s">
        <v>16</v>
      </c>
      <c r="T411" s="6"/>
      <c r="U411" s="8">
        <v>5</v>
      </c>
      <c r="V411" s="5" t="s">
        <v>96</v>
      </c>
      <c r="W411" s="12">
        <v>11894078</v>
      </c>
      <c r="X411" s="6"/>
      <c r="Y411" s="6"/>
    </row>
    <row r="412" spans="1:25" ht="15" customHeight="1" x14ac:dyDescent="0.2">
      <c r="A412" s="88" t="s">
        <v>412</v>
      </c>
      <c r="B412" s="90"/>
      <c r="C412" s="88" t="s">
        <v>665</v>
      </c>
      <c r="D412" s="90"/>
      <c r="E412" s="106"/>
      <c r="F412" s="107"/>
      <c r="G412" s="107"/>
      <c r="H412" s="107"/>
      <c r="I412" s="108"/>
      <c r="J412" s="88" t="s">
        <v>13</v>
      </c>
      <c r="K412" s="89"/>
      <c r="L412" s="89"/>
      <c r="M412" s="90"/>
      <c r="N412" s="88" t="s">
        <v>22</v>
      </c>
      <c r="O412" s="89"/>
      <c r="P412" s="90"/>
      <c r="Q412" s="88" t="s">
        <v>463</v>
      </c>
      <c r="R412" s="90"/>
      <c r="S412" s="5" t="s">
        <v>271</v>
      </c>
      <c r="T412" s="6"/>
      <c r="U412" s="8">
        <v>2</v>
      </c>
      <c r="V412" s="5" t="s">
        <v>23</v>
      </c>
      <c r="W412" s="12">
        <v>11790518</v>
      </c>
      <c r="X412" s="6"/>
      <c r="Y412" s="6"/>
    </row>
    <row r="413" spans="1:25" ht="15" customHeight="1" x14ac:dyDescent="0.2">
      <c r="A413" s="88" t="s">
        <v>412</v>
      </c>
      <c r="B413" s="90"/>
      <c r="C413" s="88" t="s">
        <v>666</v>
      </c>
      <c r="D413" s="90"/>
      <c r="E413" s="106"/>
      <c r="F413" s="107"/>
      <c r="G413" s="107"/>
      <c r="H413" s="107"/>
      <c r="I413" s="108"/>
      <c r="J413" s="88" t="s">
        <v>13</v>
      </c>
      <c r="K413" s="89"/>
      <c r="L413" s="89"/>
      <c r="M413" s="90"/>
      <c r="N413" s="88" t="s">
        <v>22</v>
      </c>
      <c r="O413" s="89"/>
      <c r="P413" s="90"/>
      <c r="Q413" s="88" t="s">
        <v>463</v>
      </c>
      <c r="R413" s="90"/>
      <c r="S413" s="5" t="s">
        <v>16</v>
      </c>
      <c r="T413" s="6"/>
      <c r="U413" s="8">
        <v>5</v>
      </c>
      <c r="V413" s="5" t="s">
        <v>106</v>
      </c>
      <c r="W413" s="12">
        <v>9956530</v>
      </c>
      <c r="X413" s="6"/>
      <c r="Y413" s="6"/>
    </row>
    <row r="414" spans="1:25" ht="15" customHeight="1" x14ac:dyDescent="0.2">
      <c r="A414" s="88" t="s">
        <v>412</v>
      </c>
      <c r="B414" s="90"/>
      <c r="C414" s="88" t="s">
        <v>667</v>
      </c>
      <c r="D414" s="90"/>
      <c r="E414" s="106"/>
      <c r="F414" s="107"/>
      <c r="G414" s="107"/>
      <c r="H414" s="107"/>
      <c r="I414" s="108"/>
      <c r="J414" s="88" t="s">
        <v>13</v>
      </c>
      <c r="K414" s="89"/>
      <c r="L414" s="89"/>
      <c r="M414" s="90"/>
      <c r="N414" s="88" t="s">
        <v>22</v>
      </c>
      <c r="O414" s="89"/>
      <c r="P414" s="90"/>
      <c r="Q414" s="88" t="s">
        <v>463</v>
      </c>
      <c r="R414" s="90"/>
      <c r="S414" s="5" t="s">
        <v>16</v>
      </c>
      <c r="T414" s="6"/>
      <c r="U414" s="8">
        <v>5</v>
      </c>
      <c r="V414" s="5" t="s">
        <v>106</v>
      </c>
      <c r="W414" s="12">
        <v>12917357</v>
      </c>
      <c r="X414" s="6"/>
      <c r="Y414" s="6"/>
    </row>
    <row r="415" spans="1:25" ht="15" customHeight="1" x14ac:dyDescent="0.2">
      <c r="A415" s="88" t="s">
        <v>412</v>
      </c>
      <c r="B415" s="90"/>
      <c r="C415" s="88" t="s">
        <v>668</v>
      </c>
      <c r="D415" s="90"/>
      <c r="E415" s="88" t="s">
        <v>523</v>
      </c>
      <c r="F415" s="89"/>
      <c r="G415" s="89"/>
      <c r="H415" s="89"/>
      <c r="I415" s="90"/>
      <c r="J415" s="88" t="s">
        <v>13</v>
      </c>
      <c r="K415" s="89"/>
      <c r="L415" s="89"/>
      <c r="M415" s="90"/>
      <c r="N415" s="88" t="s">
        <v>22</v>
      </c>
      <c r="O415" s="89"/>
      <c r="P415" s="90"/>
      <c r="Q415" s="88" t="s">
        <v>463</v>
      </c>
      <c r="R415" s="90"/>
      <c r="S415" s="5" t="s">
        <v>271</v>
      </c>
      <c r="T415" s="6"/>
      <c r="U415" s="8">
        <v>2</v>
      </c>
      <c r="V415" s="5" t="s">
        <v>23</v>
      </c>
      <c r="W415" s="12">
        <v>28302902</v>
      </c>
      <c r="X415" s="6"/>
      <c r="Y415" s="6"/>
    </row>
    <row r="416" spans="1:25" ht="15" customHeight="1" x14ac:dyDescent="0.2">
      <c r="A416" s="88" t="s">
        <v>412</v>
      </c>
      <c r="B416" s="90"/>
      <c r="C416" s="88" t="s">
        <v>669</v>
      </c>
      <c r="D416" s="90"/>
      <c r="E416" s="106"/>
      <c r="F416" s="107"/>
      <c r="G416" s="107"/>
      <c r="H416" s="107"/>
      <c r="I416" s="108"/>
      <c r="J416" s="88" t="s">
        <v>13</v>
      </c>
      <c r="K416" s="89"/>
      <c r="L416" s="89"/>
      <c r="M416" s="90"/>
      <c r="N416" s="88" t="s">
        <v>22</v>
      </c>
      <c r="O416" s="89"/>
      <c r="P416" s="90"/>
      <c r="Q416" s="88" t="s">
        <v>463</v>
      </c>
      <c r="R416" s="90"/>
      <c r="S416" s="5" t="s">
        <v>271</v>
      </c>
      <c r="T416" s="6"/>
      <c r="U416" s="8">
        <v>2</v>
      </c>
      <c r="V416" s="5" t="s">
        <v>23</v>
      </c>
      <c r="W416" s="12">
        <v>13585960</v>
      </c>
      <c r="X416" s="6"/>
      <c r="Y416" s="6"/>
    </row>
    <row r="417" spans="1:25" ht="15" customHeight="1" x14ac:dyDescent="0.2">
      <c r="A417" s="88" t="s">
        <v>412</v>
      </c>
      <c r="B417" s="90"/>
      <c r="C417" s="88" t="s">
        <v>670</v>
      </c>
      <c r="D417" s="90"/>
      <c r="E417" s="106"/>
      <c r="F417" s="107"/>
      <c r="G417" s="107"/>
      <c r="H417" s="107"/>
      <c r="I417" s="108"/>
      <c r="J417" s="88" t="s">
        <v>13</v>
      </c>
      <c r="K417" s="89"/>
      <c r="L417" s="89"/>
      <c r="M417" s="90"/>
      <c r="N417" s="88" t="s">
        <v>22</v>
      </c>
      <c r="O417" s="89"/>
      <c r="P417" s="90"/>
      <c r="Q417" s="88" t="s">
        <v>463</v>
      </c>
      <c r="R417" s="90"/>
      <c r="S417" s="5" t="s">
        <v>271</v>
      </c>
      <c r="T417" s="6"/>
      <c r="U417" s="8">
        <v>2</v>
      </c>
      <c r="V417" s="5" t="s">
        <v>106</v>
      </c>
      <c r="W417" s="12">
        <v>10366439</v>
      </c>
      <c r="X417" s="6"/>
      <c r="Y417" s="6"/>
    </row>
    <row r="418" spans="1:25" ht="15" customHeight="1" x14ac:dyDescent="0.2">
      <c r="A418" s="88" t="s">
        <v>412</v>
      </c>
      <c r="B418" s="90"/>
      <c r="C418" s="88" t="s">
        <v>671</v>
      </c>
      <c r="D418" s="90"/>
      <c r="E418" s="106"/>
      <c r="F418" s="107"/>
      <c r="G418" s="107"/>
      <c r="H418" s="107"/>
      <c r="I418" s="108"/>
      <c r="J418" s="88" t="s">
        <v>13</v>
      </c>
      <c r="K418" s="89"/>
      <c r="L418" s="89"/>
      <c r="M418" s="90"/>
      <c r="N418" s="88" t="s">
        <v>22</v>
      </c>
      <c r="O418" s="89"/>
      <c r="P418" s="90"/>
      <c r="Q418" s="88" t="s">
        <v>517</v>
      </c>
      <c r="R418" s="90"/>
      <c r="S418" s="5" t="s">
        <v>271</v>
      </c>
      <c r="T418" s="6"/>
      <c r="U418" s="8">
        <v>2</v>
      </c>
      <c r="V418" s="5" t="s">
        <v>23</v>
      </c>
      <c r="W418" s="12">
        <v>14693330</v>
      </c>
      <c r="X418" s="6"/>
      <c r="Y418" s="6"/>
    </row>
    <row r="419" spans="1:25" ht="15" customHeight="1" x14ac:dyDescent="0.2">
      <c r="A419" s="88" t="s">
        <v>412</v>
      </c>
      <c r="B419" s="90"/>
      <c r="C419" s="88" t="s">
        <v>672</v>
      </c>
      <c r="D419" s="90"/>
      <c r="E419" s="106"/>
      <c r="F419" s="107"/>
      <c r="G419" s="107"/>
      <c r="H419" s="107"/>
      <c r="I419" s="108"/>
      <c r="J419" s="88" t="s">
        <v>13</v>
      </c>
      <c r="K419" s="89"/>
      <c r="L419" s="89"/>
      <c r="M419" s="90"/>
      <c r="N419" s="88" t="s">
        <v>22</v>
      </c>
      <c r="O419" s="89"/>
      <c r="P419" s="90"/>
      <c r="Q419" s="88" t="s">
        <v>466</v>
      </c>
      <c r="R419" s="90"/>
      <c r="S419" s="5" t="s">
        <v>16</v>
      </c>
      <c r="T419" s="6"/>
      <c r="U419" s="8">
        <v>5</v>
      </c>
      <c r="V419" s="5" t="s">
        <v>176</v>
      </c>
      <c r="W419" s="12">
        <v>17956847</v>
      </c>
      <c r="X419" s="6"/>
      <c r="Y419" s="6"/>
    </row>
    <row r="420" spans="1:25" ht="15" customHeight="1" x14ac:dyDescent="0.2">
      <c r="A420" s="88" t="s">
        <v>412</v>
      </c>
      <c r="B420" s="90"/>
      <c r="C420" s="88" t="s">
        <v>673</v>
      </c>
      <c r="D420" s="90"/>
      <c r="E420" s="106"/>
      <c r="F420" s="107"/>
      <c r="G420" s="107"/>
      <c r="H420" s="107"/>
      <c r="I420" s="108"/>
      <c r="J420" s="88" t="s">
        <v>13</v>
      </c>
      <c r="K420" s="89"/>
      <c r="L420" s="89"/>
      <c r="M420" s="90"/>
      <c r="N420" s="88" t="s">
        <v>22</v>
      </c>
      <c r="O420" s="89"/>
      <c r="P420" s="90"/>
      <c r="Q420" s="88" t="s">
        <v>466</v>
      </c>
      <c r="R420" s="90"/>
      <c r="S420" s="5" t="s">
        <v>16</v>
      </c>
      <c r="T420" s="6"/>
      <c r="U420" s="8">
        <v>5</v>
      </c>
      <c r="V420" s="5" t="s">
        <v>96</v>
      </c>
      <c r="W420" s="12">
        <v>20305796</v>
      </c>
      <c r="X420" s="6"/>
      <c r="Y420" s="6"/>
    </row>
    <row r="421" spans="1:25" ht="15" customHeight="1" x14ac:dyDescent="0.2">
      <c r="A421" s="88" t="s">
        <v>412</v>
      </c>
      <c r="B421" s="90"/>
      <c r="C421" s="88" t="s">
        <v>674</v>
      </c>
      <c r="D421" s="90"/>
      <c r="E421" s="106"/>
      <c r="F421" s="107"/>
      <c r="G421" s="107"/>
      <c r="H421" s="107"/>
      <c r="I421" s="108"/>
      <c r="J421" s="88" t="s">
        <v>13</v>
      </c>
      <c r="K421" s="89"/>
      <c r="L421" s="89"/>
      <c r="M421" s="90"/>
      <c r="N421" s="88" t="s">
        <v>22</v>
      </c>
      <c r="O421" s="89"/>
      <c r="P421" s="90"/>
      <c r="Q421" s="88" t="s">
        <v>466</v>
      </c>
      <c r="R421" s="90"/>
      <c r="S421" s="5" t="s">
        <v>16</v>
      </c>
      <c r="T421" s="6"/>
      <c r="U421" s="8">
        <v>5</v>
      </c>
      <c r="V421" s="5" t="s">
        <v>106</v>
      </c>
      <c r="W421" s="12">
        <v>13115778</v>
      </c>
      <c r="X421" s="6"/>
      <c r="Y421" s="6"/>
    </row>
    <row r="422" spans="1:25" ht="15" customHeight="1" x14ac:dyDescent="0.2">
      <c r="A422" s="88" t="s">
        <v>412</v>
      </c>
      <c r="B422" s="90"/>
      <c r="C422" s="88" t="s">
        <v>675</v>
      </c>
      <c r="D422" s="90"/>
      <c r="E422" s="106"/>
      <c r="F422" s="107"/>
      <c r="G422" s="107"/>
      <c r="H422" s="107"/>
      <c r="I422" s="108"/>
      <c r="J422" s="88" t="s">
        <v>13</v>
      </c>
      <c r="K422" s="89"/>
      <c r="L422" s="89"/>
      <c r="M422" s="90"/>
      <c r="N422" s="88" t="s">
        <v>22</v>
      </c>
      <c r="O422" s="89"/>
      <c r="P422" s="90"/>
      <c r="Q422" s="88" t="s">
        <v>463</v>
      </c>
      <c r="R422" s="90"/>
      <c r="S422" s="5" t="s">
        <v>16</v>
      </c>
      <c r="T422" s="6"/>
      <c r="U422" s="8">
        <v>5</v>
      </c>
      <c r="V422" s="5" t="s">
        <v>106</v>
      </c>
      <c r="W422" s="12">
        <v>22313505</v>
      </c>
      <c r="X422" s="6"/>
      <c r="Y422" s="6"/>
    </row>
    <row r="423" spans="1:25" ht="15" customHeight="1" x14ac:dyDescent="0.2">
      <c r="A423" s="88" t="s">
        <v>412</v>
      </c>
      <c r="B423" s="90"/>
      <c r="C423" s="88" t="s">
        <v>676</v>
      </c>
      <c r="D423" s="90"/>
      <c r="E423" s="106"/>
      <c r="F423" s="107"/>
      <c r="G423" s="107"/>
      <c r="H423" s="107"/>
      <c r="I423" s="108"/>
      <c r="J423" s="88" t="s">
        <v>13</v>
      </c>
      <c r="K423" s="89"/>
      <c r="L423" s="89"/>
      <c r="M423" s="90"/>
      <c r="N423" s="88" t="s">
        <v>22</v>
      </c>
      <c r="O423" s="89"/>
      <c r="P423" s="90"/>
      <c r="Q423" s="88" t="s">
        <v>463</v>
      </c>
      <c r="R423" s="90"/>
      <c r="S423" s="5" t="s">
        <v>16</v>
      </c>
      <c r="T423" s="6"/>
      <c r="U423" s="8">
        <v>5</v>
      </c>
      <c r="V423" s="5" t="s">
        <v>176</v>
      </c>
      <c r="W423" s="12">
        <v>19423727</v>
      </c>
      <c r="X423" s="6"/>
      <c r="Y423" s="6"/>
    </row>
    <row r="424" spans="1:25" ht="15" customHeight="1" x14ac:dyDescent="0.2">
      <c r="A424" s="88" t="s">
        <v>412</v>
      </c>
      <c r="B424" s="90"/>
      <c r="C424" s="88" t="s">
        <v>677</v>
      </c>
      <c r="D424" s="90"/>
      <c r="E424" s="106"/>
      <c r="F424" s="107"/>
      <c r="G424" s="107"/>
      <c r="H424" s="107"/>
      <c r="I424" s="108"/>
      <c r="J424" s="88" t="s">
        <v>13</v>
      </c>
      <c r="K424" s="89"/>
      <c r="L424" s="89"/>
      <c r="M424" s="90"/>
      <c r="N424" s="88" t="s">
        <v>22</v>
      </c>
      <c r="O424" s="89"/>
      <c r="P424" s="90"/>
      <c r="Q424" s="88" t="s">
        <v>466</v>
      </c>
      <c r="R424" s="90"/>
      <c r="S424" s="5" t="s">
        <v>16</v>
      </c>
      <c r="T424" s="6"/>
      <c r="U424" s="8">
        <v>5</v>
      </c>
      <c r="V424" s="5" t="s">
        <v>106</v>
      </c>
      <c r="W424" s="12">
        <v>15103164</v>
      </c>
      <c r="X424" s="6"/>
      <c r="Y424" s="6"/>
    </row>
    <row r="425" spans="1:25" ht="15" customHeight="1" x14ac:dyDescent="0.2">
      <c r="A425" s="88" t="s">
        <v>412</v>
      </c>
      <c r="B425" s="90"/>
      <c r="C425" s="88" t="s">
        <v>678</v>
      </c>
      <c r="D425" s="90"/>
      <c r="E425" s="88" t="s">
        <v>540</v>
      </c>
      <c r="F425" s="89"/>
      <c r="G425" s="89"/>
      <c r="H425" s="89"/>
      <c r="I425" s="90"/>
      <c r="J425" s="88" t="s">
        <v>13</v>
      </c>
      <c r="K425" s="89"/>
      <c r="L425" s="89"/>
      <c r="M425" s="90"/>
      <c r="N425" s="88" t="s">
        <v>22</v>
      </c>
      <c r="O425" s="89"/>
      <c r="P425" s="90"/>
      <c r="Q425" s="88" t="s">
        <v>596</v>
      </c>
      <c r="R425" s="90"/>
      <c r="S425" s="5" t="s">
        <v>16</v>
      </c>
      <c r="T425" s="6"/>
      <c r="U425" s="8">
        <v>5</v>
      </c>
      <c r="V425" s="5" t="s">
        <v>23</v>
      </c>
      <c r="W425" s="12">
        <v>20533492</v>
      </c>
      <c r="X425" s="6"/>
      <c r="Y425" s="6"/>
    </row>
    <row r="426" spans="1:25" ht="15" customHeight="1" x14ac:dyDescent="0.2">
      <c r="A426" s="88" t="s">
        <v>412</v>
      </c>
      <c r="B426" s="90"/>
      <c r="C426" s="88" t="s">
        <v>679</v>
      </c>
      <c r="D426" s="90"/>
      <c r="E426" s="106"/>
      <c r="F426" s="107"/>
      <c r="G426" s="107"/>
      <c r="H426" s="107"/>
      <c r="I426" s="108"/>
      <c r="J426" s="88" t="s">
        <v>13</v>
      </c>
      <c r="K426" s="89"/>
      <c r="L426" s="89"/>
      <c r="M426" s="90"/>
      <c r="N426" s="88" t="s">
        <v>22</v>
      </c>
      <c r="O426" s="89"/>
      <c r="P426" s="90"/>
      <c r="Q426" s="88" t="s">
        <v>466</v>
      </c>
      <c r="R426" s="90"/>
      <c r="S426" s="5" t="s">
        <v>16</v>
      </c>
      <c r="T426" s="6"/>
      <c r="U426" s="8">
        <v>5</v>
      </c>
      <c r="V426" s="5" t="s">
        <v>96</v>
      </c>
      <c r="W426" s="12">
        <v>18759142</v>
      </c>
      <c r="X426" s="6"/>
      <c r="Y426" s="6"/>
    </row>
    <row r="427" spans="1:25" ht="15" customHeight="1" x14ac:dyDescent="0.2">
      <c r="A427" s="88" t="s">
        <v>412</v>
      </c>
      <c r="B427" s="90"/>
      <c r="C427" s="88" t="s">
        <v>680</v>
      </c>
      <c r="D427" s="90"/>
      <c r="E427" s="88" t="s">
        <v>544</v>
      </c>
      <c r="F427" s="89"/>
      <c r="G427" s="89"/>
      <c r="H427" s="89"/>
      <c r="I427" s="90"/>
      <c r="J427" s="88" t="s">
        <v>13</v>
      </c>
      <c r="K427" s="89"/>
      <c r="L427" s="89"/>
      <c r="M427" s="90"/>
      <c r="N427" s="88" t="s">
        <v>22</v>
      </c>
      <c r="O427" s="89"/>
      <c r="P427" s="90"/>
      <c r="Q427" s="88" t="s">
        <v>466</v>
      </c>
      <c r="R427" s="90"/>
      <c r="S427" s="5" t="s">
        <v>16</v>
      </c>
      <c r="T427" s="6"/>
      <c r="U427" s="8">
        <v>5</v>
      </c>
      <c r="V427" s="5" t="s">
        <v>96</v>
      </c>
      <c r="W427" s="12">
        <v>15358361</v>
      </c>
      <c r="X427" s="6"/>
      <c r="Y427" s="6"/>
    </row>
    <row r="428" spans="1:25" ht="15" customHeight="1" x14ac:dyDescent="0.2">
      <c r="A428" s="88" t="s">
        <v>412</v>
      </c>
      <c r="B428" s="90"/>
      <c r="C428" s="88" t="s">
        <v>681</v>
      </c>
      <c r="D428" s="90"/>
      <c r="E428" s="106"/>
      <c r="F428" s="107"/>
      <c r="G428" s="107"/>
      <c r="H428" s="107"/>
      <c r="I428" s="108"/>
      <c r="J428" s="88" t="s">
        <v>13</v>
      </c>
      <c r="K428" s="89"/>
      <c r="L428" s="89"/>
      <c r="M428" s="90"/>
      <c r="N428" s="88" t="s">
        <v>22</v>
      </c>
      <c r="O428" s="89"/>
      <c r="P428" s="90"/>
      <c r="Q428" s="88" t="s">
        <v>466</v>
      </c>
      <c r="R428" s="90"/>
      <c r="S428" s="5" t="s">
        <v>16</v>
      </c>
      <c r="T428" s="6"/>
      <c r="U428" s="8">
        <v>5</v>
      </c>
      <c r="V428" s="5" t="s">
        <v>96</v>
      </c>
      <c r="W428" s="12">
        <v>21795426</v>
      </c>
      <c r="X428" s="6"/>
      <c r="Y428" s="6"/>
    </row>
    <row r="429" spans="1:25" ht="15" customHeight="1" x14ac:dyDescent="0.2">
      <c r="A429" s="88" t="s">
        <v>412</v>
      </c>
      <c r="B429" s="90"/>
      <c r="C429" s="88" t="s">
        <v>682</v>
      </c>
      <c r="D429" s="90"/>
      <c r="E429" s="106"/>
      <c r="F429" s="107"/>
      <c r="G429" s="107"/>
      <c r="H429" s="107"/>
      <c r="I429" s="108"/>
      <c r="J429" s="88" t="s">
        <v>13</v>
      </c>
      <c r="K429" s="89"/>
      <c r="L429" s="89"/>
      <c r="M429" s="90"/>
      <c r="N429" s="88" t="s">
        <v>22</v>
      </c>
      <c r="O429" s="89"/>
      <c r="P429" s="90"/>
      <c r="Q429" s="88" t="s">
        <v>466</v>
      </c>
      <c r="R429" s="90"/>
      <c r="S429" s="5" t="s">
        <v>16</v>
      </c>
      <c r="T429" s="6"/>
      <c r="U429" s="8">
        <v>5</v>
      </c>
      <c r="V429" s="5" t="s">
        <v>176</v>
      </c>
      <c r="W429" s="12">
        <v>20917300</v>
      </c>
      <c r="X429" s="6"/>
      <c r="Y429" s="6"/>
    </row>
    <row r="430" spans="1:25" ht="15" customHeight="1" x14ac:dyDescent="0.2">
      <c r="A430" s="88" t="s">
        <v>412</v>
      </c>
      <c r="B430" s="90"/>
      <c r="C430" s="88" t="s">
        <v>683</v>
      </c>
      <c r="D430" s="90"/>
      <c r="E430" s="88" t="s">
        <v>550</v>
      </c>
      <c r="F430" s="89"/>
      <c r="G430" s="89"/>
      <c r="H430" s="89"/>
      <c r="I430" s="90"/>
      <c r="J430" s="88" t="s">
        <v>13</v>
      </c>
      <c r="K430" s="89"/>
      <c r="L430" s="89"/>
      <c r="M430" s="90"/>
      <c r="N430" s="88" t="s">
        <v>22</v>
      </c>
      <c r="O430" s="89"/>
      <c r="P430" s="90"/>
      <c r="Q430" s="88" t="s">
        <v>466</v>
      </c>
      <c r="R430" s="90"/>
      <c r="S430" s="5" t="s">
        <v>16</v>
      </c>
      <c r="T430" s="6"/>
      <c r="U430" s="8">
        <v>5</v>
      </c>
      <c r="V430" s="5" t="s">
        <v>96</v>
      </c>
      <c r="W430" s="12">
        <v>21249744</v>
      </c>
      <c r="X430" s="6"/>
      <c r="Y430" s="6"/>
    </row>
    <row r="431" spans="1:25" ht="15" customHeight="1" x14ac:dyDescent="0.2">
      <c r="A431" s="88" t="s">
        <v>412</v>
      </c>
      <c r="B431" s="90"/>
      <c r="C431" s="88" t="s">
        <v>684</v>
      </c>
      <c r="D431" s="90"/>
      <c r="E431" s="106"/>
      <c r="F431" s="107"/>
      <c r="G431" s="107"/>
      <c r="H431" s="107"/>
      <c r="I431" s="108"/>
      <c r="J431" s="88" t="s">
        <v>13</v>
      </c>
      <c r="K431" s="89"/>
      <c r="L431" s="89"/>
      <c r="M431" s="90"/>
      <c r="N431" s="88" t="s">
        <v>22</v>
      </c>
      <c r="O431" s="89"/>
      <c r="P431" s="90"/>
      <c r="Q431" s="88" t="s">
        <v>466</v>
      </c>
      <c r="R431" s="90"/>
      <c r="S431" s="5" t="s">
        <v>16</v>
      </c>
      <c r="T431" s="6"/>
      <c r="U431" s="8">
        <v>5</v>
      </c>
      <c r="V431" s="5" t="s">
        <v>96</v>
      </c>
      <c r="W431" s="12">
        <v>24063792</v>
      </c>
      <c r="X431" s="6"/>
      <c r="Y431" s="6"/>
    </row>
    <row r="432" spans="1:25" ht="15" customHeight="1" x14ac:dyDescent="0.2">
      <c r="A432" s="88" t="s">
        <v>412</v>
      </c>
      <c r="B432" s="90"/>
      <c r="C432" s="88" t="s">
        <v>685</v>
      </c>
      <c r="D432" s="90"/>
      <c r="E432" s="106"/>
      <c r="F432" s="107"/>
      <c r="G432" s="107"/>
      <c r="H432" s="107"/>
      <c r="I432" s="108"/>
      <c r="J432" s="88" t="s">
        <v>13</v>
      </c>
      <c r="K432" s="89"/>
      <c r="L432" s="89"/>
      <c r="M432" s="90"/>
      <c r="N432" s="88" t="s">
        <v>22</v>
      </c>
      <c r="O432" s="89"/>
      <c r="P432" s="90"/>
      <c r="Q432" s="88" t="s">
        <v>466</v>
      </c>
      <c r="R432" s="90"/>
      <c r="S432" s="5" t="s">
        <v>16</v>
      </c>
      <c r="T432" s="6"/>
      <c r="U432" s="8">
        <v>5</v>
      </c>
      <c r="V432" s="5" t="s">
        <v>106</v>
      </c>
      <c r="W432" s="12">
        <v>19913496</v>
      </c>
      <c r="X432" s="6"/>
      <c r="Y432" s="6"/>
    </row>
    <row r="433" spans="1:25" ht="15" customHeight="1" x14ac:dyDescent="0.2">
      <c r="A433" s="88" t="s">
        <v>412</v>
      </c>
      <c r="B433" s="90"/>
      <c r="C433" s="88" t="s">
        <v>686</v>
      </c>
      <c r="D433" s="90"/>
      <c r="E433" s="106"/>
      <c r="F433" s="107"/>
      <c r="G433" s="107"/>
      <c r="H433" s="107"/>
      <c r="I433" s="108"/>
      <c r="J433" s="88" t="s">
        <v>13</v>
      </c>
      <c r="K433" s="89"/>
      <c r="L433" s="89"/>
      <c r="M433" s="90"/>
      <c r="N433" s="88" t="s">
        <v>22</v>
      </c>
      <c r="O433" s="89"/>
      <c r="P433" s="90"/>
      <c r="Q433" s="88" t="s">
        <v>596</v>
      </c>
      <c r="R433" s="90"/>
      <c r="S433" s="5" t="s">
        <v>16</v>
      </c>
      <c r="T433" s="6"/>
      <c r="U433" s="8">
        <v>5</v>
      </c>
      <c r="V433" s="5" t="s">
        <v>23</v>
      </c>
      <c r="W433" s="12">
        <v>17871916</v>
      </c>
      <c r="X433" s="6"/>
      <c r="Y433" s="6"/>
    </row>
    <row r="434" spans="1:25" ht="15" customHeight="1" x14ac:dyDescent="0.2">
      <c r="A434" s="88" t="s">
        <v>412</v>
      </c>
      <c r="B434" s="90"/>
      <c r="C434" s="88" t="s">
        <v>687</v>
      </c>
      <c r="D434" s="90"/>
      <c r="E434" s="106"/>
      <c r="F434" s="107"/>
      <c r="G434" s="107"/>
      <c r="H434" s="107"/>
      <c r="I434" s="108"/>
      <c r="J434" s="88" t="s">
        <v>13</v>
      </c>
      <c r="K434" s="89"/>
      <c r="L434" s="89"/>
      <c r="M434" s="90"/>
      <c r="N434" s="88" t="s">
        <v>22</v>
      </c>
      <c r="O434" s="89"/>
      <c r="P434" s="90"/>
      <c r="Q434" s="88" t="s">
        <v>466</v>
      </c>
      <c r="R434" s="90"/>
      <c r="S434" s="5" t="s">
        <v>16</v>
      </c>
      <c r="T434" s="6"/>
      <c r="U434" s="8">
        <v>5</v>
      </c>
      <c r="V434" s="5" t="s">
        <v>106</v>
      </c>
      <c r="W434" s="12">
        <v>25521775</v>
      </c>
      <c r="X434" s="6"/>
      <c r="Y434" s="6"/>
    </row>
    <row r="435" spans="1:25" ht="15" customHeight="1" x14ac:dyDescent="0.2">
      <c r="A435" s="88" t="s">
        <v>412</v>
      </c>
      <c r="B435" s="90"/>
      <c r="C435" s="88" t="s">
        <v>688</v>
      </c>
      <c r="D435" s="90"/>
      <c r="E435" s="106"/>
      <c r="F435" s="107"/>
      <c r="G435" s="107"/>
      <c r="H435" s="107"/>
      <c r="I435" s="108"/>
      <c r="J435" s="88" t="s">
        <v>13</v>
      </c>
      <c r="K435" s="89"/>
      <c r="L435" s="89"/>
      <c r="M435" s="90"/>
      <c r="N435" s="88" t="s">
        <v>22</v>
      </c>
      <c r="O435" s="89"/>
      <c r="P435" s="90"/>
      <c r="Q435" s="88" t="s">
        <v>466</v>
      </c>
      <c r="R435" s="90"/>
      <c r="S435" s="5" t="s">
        <v>16</v>
      </c>
      <c r="T435" s="6"/>
      <c r="U435" s="8">
        <v>5</v>
      </c>
      <c r="V435" s="5" t="s">
        <v>106</v>
      </c>
      <c r="W435" s="12">
        <v>30284518</v>
      </c>
      <c r="X435" s="6"/>
      <c r="Y435" s="6"/>
    </row>
    <row r="436" spans="1:25" ht="15" customHeight="1" x14ac:dyDescent="0.2">
      <c r="A436" s="88" t="s">
        <v>412</v>
      </c>
      <c r="B436" s="90"/>
      <c r="C436" s="88" t="s">
        <v>689</v>
      </c>
      <c r="D436" s="90"/>
      <c r="E436" s="106"/>
      <c r="F436" s="107"/>
      <c r="G436" s="107"/>
      <c r="H436" s="107"/>
      <c r="I436" s="108"/>
      <c r="J436" s="88" t="s">
        <v>13</v>
      </c>
      <c r="K436" s="89"/>
      <c r="L436" s="89"/>
      <c r="M436" s="90"/>
      <c r="N436" s="88" t="s">
        <v>22</v>
      </c>
      <c r="O436" s="89"/>
      <c r="P436" s="90"/>
      <c r="Q436" s="88" t="s">
        <v>596</v>
      </c>
      <c r="R436" s="90"/>
      <c r="S436" s="5" t="s">
        <v>16</v>
      </c>
      <c r="T436" s="6"/>
      <c r="U436" s="8">
        <v>5</v>
      </c>
      <c r="V436" s="5" t="s">
        <v>23</v>
      </c>
      <c r="W436" s="12">
        <v>34832339</v>
      </c>
      <c r="X436" s="6"/>
      <c r="Y436" s="6"/>
    </row>
    <row r="437" spans="1:25" ht="15" customHeight="1" x14ac:dyDescent="0.2">
      <c r="A437" s="88" t="s">
        <v>412</v>
      </c>
      <c r="B437" s="90"/>
      <c r="C437" s="88" t="s">
        <v>690</v>
      </c>
      <c r="D437" s="90"/>
      <c r="E437" s="106"/>
      <c r="F437" s="107"/>
      <c r="G437" s="107"/>
      <c r="H437" s="107"/>
      <c r="I437" s="108"/>
      <c r="J437" s="88" t="s">
        <v>13</v>
      </c>
      <c r="K437" s="89"/>
      <c r="L437" s="89"/>
      <c r="M437" s="90"/>
      <c r="N437" s="88" t="s">
        <v>22</v>
      </c>
      <c r="O437" s="89"/>
      <c r="P437" s="90"/>
      <c r="Q437" s="88" t="s">
        <v>466</v>
      </c>
      <c r="R437" s="90"/>
      <c r="S437" s="5" t="s">
        <v>16</v>
      </c>
      <c r="T437" s="6"/>
      <c r="U437" s="8">
        <v>5</v>
      </c>
      <c r="V437" s="5" t="s">
        <v>96</v>
      </c>
      <c r="W437" s="12">
        <v>30201475</v>
      </c>
      <c r="X437" s="6"/>
      <c r="Y437" s="6"/>
    </row>
    <row r="438" spans="1:25" ht="15" customHeight="1" x14ac:dyDescent="0.2">
      <c r="A438" s="88" t="s">
        <v>412</v>
      </c>
      <c r="B438" s="90"/>
      <c r="C438" s="88" t="s">
        <v>691</v>
      </c>
      <c r="D438" s="90"/>
      <c r="E438" s="106"/>
      <c r="F438" s="107"/>
      <c r="G438" s="107"/>
      <c r="H438" s="107"/>
      <c r="I438" s="108"/>
      <c r="J438" s="88" t="s">
        <v>13</v>
      </c>
      <c r="K438" s="89"/>
      <c r="L438" s="89"/>
      <c r="M438" s="90"/>
      <c r="N438" s="88" t="s">
        <v>26</v>
      </c>
      <c r="O438" s="89"/>
      <c r="P438" s="90"/>
      <c r="Q438" s="88" t="s">
        <v>596</v>
      </c>
      <c r="R438" s="90"/>
      <c r="S438" s="5" t="s">
        <v>16</v>
      </c>
      <c r="T438" s="6"/>
      <c r="U438" s="8">
        <v>5</v>
      </c>
      <c r="V438" s="5" t="s">
        <v>23</v>
      </c>
      <c r="W438" s="12">
        <v>25691637</v>
      </c>
      <c r="X438" s="6"/>
      <c r="Y438" s="6"/>
    </row>
    <row r="439" spans="1:25" ht="15" customHeight="1" x14ac:dyDescent="0.2">
      <c r="A439" s="88" t="s">
        <v>412</v>
      </c>
      <c r="B439" s="90"/>
      <c r="C439" s="88" t="s">
        <v>692</v>
      </c>
      <c r="D439" s="90"/>
      <c r="E439" s="106"/>
      <c r="F439" s="107"/>
      <c r="G439" s="107"/>
      <c r="H439" s="107"/>
      <c r="I439" s="108"/>
      <c r="J439" s="88" t="s">
        <v>13</v>
      </c>
      <c r="K439" s="89"/>
      <c r="L439" s="89"/>
      <c r="M439" s="90"/>
      <c r="N439" s="88" t="s">
        <v>22</v>
      </c>
      <c r="O439" s="89"/>
      <c r="P439" s="90"/>
      <c r="Q439" s="88" t="s">
        <v>466</v>
      </c>
      <c r="R439" s="90"/>
      <c r="S439" s="5" t="s">
        <v>16</v>
      </c>
      <c r="T439" s="6"/>
      <c r="U439" s="8">
        <v>5</v>
      </c>
      <c r="V439" s="5" t="s">
        <v>106</v>
      </c>
      <c r="W439" s="12">
        <v>21455702</v>
      </c>
      <c r="X439" s="6"/>
      <c r="Y439" s="6"/>
    </row>
    <row r="440" spans="1:25" ht="15" customHeight="1" x14ac:dyDescent="0.2">
      <c r="A440" s="88" t="s">
        <v>412</v>
      </c>
      <c r="B440" s="90"/>
      <c r="C440" s="88" t="s">
        <v>693</v>
      </c>
      <c r="D440" s="90"/>
      <c r="E440" s="106"/>
      <c r="F440" s="107"/>
      <c r="G440" s="107"/>
      <c r="H440" s="107"/>
      <c r="I440" s="108"/>
      <c r="J440" s="88" t="s">
        <v>13</v>
      </c>
      <c r="K440" s="89"/>
      <c r="L440" s="89"/>
      <c r="M440" s="90"/>
      <c r="N440" s="88" t="s">
        <v>22</v>
      </c>
      <c r="O440" s="89"/>
      <c r="P440" s="90"/>
      <c r="Q440" s="88" t="s">
        <v>466</v>
      </c>
      <c r="R440" s="90"/>
      <c r="S440" s="5" t="s">
        <v>16</v>
      </c>
      <c r="T440" s="6"/>
      <c r="U440" s="8">
        <v>5</v>
      </c>
      <c r="V440" s="5" t="s">
        <v>23</v>
      </c>
      <c r="W440" s="12">
        <v>27381764</v>
      </c>
      <c r="X440" s="6"/>
      <c r="Y440" s="6"/>
    </row>
    <row r="441" spans="1:25" ht="15" customHeight="1" x14ac:dyDescent="0.2">
      <c r="A441" s="88" t="s">
        <v>412</v>
      </c>
      <c r="B441" s="90"/>
      <c r="C441" s="88" t="s">
        <v>694</v>
      </c>
      <c r="D441" s="90"/>
      <c r="E441" s="106"/>
      <c r="F441" s="107"/>
      <c r="G441" s="107"/>
      <c r="H441" s="107"/>
      <c r="I441" s="108"/>
      <c r="J441" s="88" t="s">
        <v>13</v>
      </c>
      <c r="K441" s="89"/>
      <c r="L441" s="89"/>
      <c r="M441" s="90"/>
      <c r="N441" s="88" t="s">
        <v>26</v>
      </c>
      <c r="O441" s="89"/>
      <c r="P441" s="90"/>
      <c r="Q441" s="88" t="s">
        <v>466</v>
      </c>
      <c r="R441" s="90"/>
      <c r="S441" s="5" t="s">
        <v>16</v>
      </c>
      <c r="T441" s="6"/>
      <c r="U441" s="8">
        <v>5</v>
      </c>
      <c r="V441" s="5" t="s">
        <v>106</v>
      </c>
      <c r="W441" s="12">
        <v>24466082</v>
      </c>
      <c r="X441" s="6"/>
      <c r="Y441" s="6"/>
    </row>
    <row r="442" spans="1:25" ht="15" customHeight="1" x14ac:dyDescent="0.2">
      <c r="A442" s="88" t="s">
        <v>412</v>
      </c>
      <c r="B442" s="90"/>
      <c r="C442" s="88" t="s">
        <v>695</v>
      </c>
      <c r="D442" s="90"/>
      <c r="E442" s="106"/>
      <c r="F442" s="107"/>
      <c r="G442" s="107"/>
      <c r="H442" s="107"/>
      <c r="I442" s="108"/>
      <c r="J442" s="88" t="s">
        <v>13</v>
      </c>
      <c r="K442" s="89"/>
      <c r="L442" s="89"/>
      <c r="M442" s="90"/>
      <c r="N442" s="88" t="s">
        <v>26</v>
      </c>
      <c r="O442" s="89"/>
      <c r="P442" s="90"/>
      <c r="Q442" s="88" t="s">
        <v>466</v>
      </c>
      <c r="R442" s="90"/>
      <c r="S442" s="5" t="s">
        <v>119</v>
      </c>
      <c r="T442" s="6"/>
      <c r="U442" s="8">
        <v>2</v>
      </c>
      <c r="V442" s="5" t="s">
        <v>23</v>
      </c>
      <c r="W442" s="12">
        <v>15690028</v>
      </c>
      <c r="X442" s="6"/>
      <c r="Y442" s="6"/>
    </row>
    <row r="443" spans="1:25" ht="15" customHeight="1" x14ac:dyDescent="0.2">
      <c r="A443" s="88" t="s">
        <v>412</v>
      </c>
      <c r="B443" s="90"/>
      <c r="C443" s="88" t="s">
        <v>696</v>
      </c>
      <c r="D443" s="90"/>
      <c r="E443" s="106"/>
      <c r="F443" s="107"/>
      <c r="G443" s="107"/>
      <c r="H443" s="107"/>
      <c r="I443" s="108"/>
      <c r="J443" s="88" t="s">
        <v>13</v>
      </c>
      <c r="K443" s="89"/>
      <c r="L443" s="89"/>
      <c r="M443" s="90"/>
      <c r="N443" s="88" t="s">
        <v>26</v>
      </c>
      <c r="O443" s="89"/>
      <c r="P443" s="90"/>
      <c r="Q443" s="88" t="s">
        <v>466</v>
      </c>
      <c r="R443" s="90"/>
      <c r="S443" s="5" t="s">
        <v>16</v>
      </c>
      <c r="T443" s="6"/>
      <c r="U443" s="8">
        <v>5</v>
      </c>
      <c r="V443" s="5" t="s">
        <v>96</v>
      </c>
      <c r="W443" s="12">
        <v>12102672</v>
      </c>
      <c r="X443" s="6"/>
      <c r="Y443" s="6"/>
    </row>
    <row r="444" spans="1:25" ht="15" customHeight="1" x14ac:dyDescent="0.2">
      <c r="A444" s="88" t="s">
        <v>412</v>
      </c>
      <c r="B444" s="90"/>
      <c r="C444" s="88" t="s">
        <v>697</v>
      </c>
      <c r="D444" s="90"/>
      <c r="E444" s="106"/>
      <c r="F444" s="107"/>
      <c r="G444" s="107"/>
      <c r="H444" s="107"/>
      <c r="I444" s="108"/>
      <c r="J444" s="88" t="s">
        <v>13</v>
      </c>
      <c r="K444" s="89"/>
      <c r="L444" s="89"/>
      <c r="M444" s="90"/>
      <c r="N444" s="88" t="s">
        <v>26</v>
      </c>
      <c r="O444" s="89"/>
      <c r="P444" s="90"/>
      <c r="Q444" s="88" t="s">
        <v>463</v>
      </c>
      <c r="R444" s="90"/>
      <c r="S444" s="5" t="s">
        <v>119</v>
      </c>
      <c r="T444" s="6"/>
      <c r="U444" s="8">
        <v>2</v>
      </c>
      <c r="V444" s="5" t="s">
        <v>23</v>
      </c>
      <c r="W444" s="12">
        <v>9640325</v>
      </c>
      <c r="X444" s="6"/>
      <c r="Y444" s="6"/>
    </row>
    <row r="445" spans="1:25" ht="15" customHeight="1" x14ac:dyDescent="0.2">
      <c r="A445" s="88" t="s">
        <v>412</v>
      </c>
      <c r="B445" s="90"/>
      <c r="C445" s="88" t="s">
        <v>698</v>
      </c>
      <c r="D445" s="90"/>
      <c r="E445" s="106"/>
      <c r="F445" s="107"/>
      <c r="G445" s="107"/>
      <c r="H445" s="107"/>
      <c r="I445" s="108"/>
      <c r="J445" s="88" t="s">
        <v>13</v>
      </c>
      <c r="K445" s="89"/>
      <c r="L445" s="89"/>
      <c r="M445" s="90"/>
      <c r="N445" s="88" t="s">
        <v>26</v>
      </c>
      <c r="O445" s="89"/>
      <c r="P445" s="90"/>
      <c r="Q445" s="88" t="s">
        <v>596</v>
      </c>
      <c r="R445" s="90"/>
      <c r="S445" s="5" t="s">
        <v>16</v>
      </c>
      <c r="T445" s="6"/>
      <c r="U445" s="8">
        <v>5</v>
      </c>
      <c r="V445" s="5" t="s">
        <v>96</v>
      </c>
      <c r="W445" s="12">
        <v>15595951</v>
      </c>
      <c r="X445" s="6"/>
      <c r="Y445" s="6"/>
    </row>
    <row r="446" spans="1:25" ht="15" customHeight="1" x14ac:dyDescent="0.2">
      <c r="A446" s="88" t="s">
        <v>699</v>
      </c>
      <c r="B446" s="90"/>
      <c r="C446" s="133">
        <v>900</v>
      </c>
      <c r="D446" s="134"/>
      <c r="E446" s="88" t="s">
        <v>700</v>
      </c>
      <c r="F446" s="89"/>
      <c r="G446" s="89"/>
      <c r="H446" s="89"/>
      <c r="I446" s="90"/>
      <c r="J446" s="88" t="s">
        <v>13</v>
      </c>
      <c r="K446" s="89"/>
      <c r="L446" s="89"/>
      <c r="M446" s="90"/>
      <c r="N446" s="88" t="s">
        <v>701</v>
      </c>
      <c r="O446" s="89"/>
      <c r="P446" s="90"/>
      <c r="Q446" s="133">
        <v>4500</v>
      </c>
      <c r="R446" s="134"/>
      <c r="S446" s="5" t="s">
        <v>16</v>
      </c>
      <c r="T446" s="6"/>
      <c r="U446" s="8">
        <v>5</v>
      </c>
      <c r="V446" s="5" t="s">
        <v>702</v>
      </c>
      <c r="W446" s="10">
        <v>137672239</v>
      </c>
      <c r="X446" s="6"/>
      <c r="Y446" s="6"/>
    </row>
    <row r="447" spans="1:25" ht="15" customHeight="1" x14ac:dyDescent="0.2">
      <c r="A447" s="88" t="s">
        <v>699</v>
      </c>
      <c r="B447" s="90"/>
      <c r="C447" s="88" t="s">
        <v>703</v>
      </c>
      <c r="D447" s="90"/>
      <c r="E447" s="88" t="s">
        <v>704</v>
      </c>
      <c r="F447" s="89"/>
      <c r="G447" s="89"/>
      <c r="H447" s="89"/>
      <c r="I447" s="90"/>
      <c r="J447" s="88" t="s">
        <v>13</v>
      </c>
      <c r="K447" s="89"/>
      <c r="L447" s="89"/>
      <c r="M447" s="90"/>
      <c r="N447" s="88" t="s">
        <v>701</v>
      </c>
      <c r="O447" s="89"/>
      <c r="P447" s="90"/>
      <c r="Q447" s="133">
        <v>4500</v>
      </c>
      <c r="R447" s="134"/>
      <c r="S447" s="5" t="s">
        <v>16</v>
      </c>
      <c r="T447" s="6"/>
      <c r="U447" s="8">
        <v>5</v>
      </c>
      <c r="V447" s="5" t="s">
        <v>702</v>
      </c>
      <c r="W447" s="10">
        <v>132479051</v>
      </c>
      <c r="X447" s="6"/>
      <c r="Y447" s="6"/>
    </row>
    <row r="448" spans="1:25" ht="15" customHeight="1" x14ac:dyDescent="0.2">
      <c r="A448" s="88" t="s">
        <v>699</v>
      </c>
      <c r="B448" s="90"/>
      <c r="C448" s="88" t="s">
        <v>705</v>
      </c>
      <c r="D448" s="90"/>
      <c r="E448" s="88" t="s">
        <v>706</v>
      </c>
      <c r="F448" s="89"/>
      <c r="G448" s="89"/>
      <c r="H448" s="89"/>
      <c r="I448" s="90"/>
      <c r="J448" s="88" t="s">
        <v>13</v>
      </c>
      <c r="K448" s="89"/>
      <c r="L448" s="89"/>
      <c r="M448" s="90"/>
      <c r="N448" s="88" t="s">
        <v>701</v>
      </c>
      <c r="O448" s="89"/>
      <c r="P448" s="90"/>
      <c r="Q448" s="133">
        <v>4500</v>
      </c>
      <c r="R448" s="134"/>
      <c r="S448" s="5" t="s">
        <v>16</v>
      </c>
      <c r="T448" s="6"/>
      <c r="U448" s="8">
        <v>5</v>
      </c>
      <c r="V448" s="5" t="s">
        <v>702</v>
      </c>
      <c r="W448" s="10">
        <v>161576519</v>
      </c>
      <c r="X448" s="6"/>
      <c r="Y448" s="6"/>
    </row>
    <row r="449" spans="1:25" ht="15" customHeight="1" x14ac:dyDescent="0.2">
      <c r="A449" s="88" t="s">
        <v>699</v>
      </c>
      <c r="B449" s="90"/>
      <c r="C449" s="88" t="s">
        <v>707</v>
      </c>
      <c r="D449" s="90"/>
      <c r="E449" s="88" t="s">
        <v>708</v>
      </c>
      <c r="F449" s="89"/>
      <c r="G449" s="89"/>
      <c r="H449" s="89"/>
      <c r="I449" s="90"/>
      <c r="J449" s="88" t="s">
        <v>13</v>
      </c>
      <c r="K449" s="89"/>
      <c r="L449" s="89"/>
      <c r="M449" s="90"/>
      <c r="N449" s="88" t="s">
        <v>701</v>
      </c>
      <c r="O449" s="89"/>
      <c r="P449" s="90"/>
      <c r="Q449" s="133">
        <v>4500</v>
      </c>
      <c r="R449" s="134"/>
      <c r="S449" s="5" t="s">
        <v>16</v>
      </c>
      <c r="T449" s="6"/>
      <c r="U449" s="8">
        <v>5</v>
      </c>
      <c r="V449" s="5" t="s">
        <v>702</v>
      </c>
      <c r="W449" s="13">
        <v>148207580</v>
      </c>
      <c r="X449" s="6"/>
      <c r="Y449" s="6"/>
    </row>
    <row r="450" spans="1:25" ht="15" customHeight="1" x14ac:dyDescent="0.2">
      <c r="A450" s="88" t="s">
        <v>699</v>
      </c>
      <c r="B450" s="90"/>
      <c r="C450" s="88" t="s">
        <v>709</v>
      </c>
      <c r="D450" s="90"/>
      <c r="E450" s="88" t="s">
        <v>710</v>
      </c>
      <c r="F450" s="89"/>
      <c r="G450" s="89"/>
      <c r="H450" s="89"/>
      <c r="I450" s="90"/>
      <c r="J450" s="88" t="s">
        <v>13</v>
      </c>
      <c r="K450" s="89"/>
      <c r="L450" s="89"/>
      <c r="M450" s="90"/>
      <c r="N450" s="88" t="s">
        <v>701</v>
      </c>
      <c r="O450" s="89"/>
      <c r="P450" s="90"/>
      <c r="Q450" s="133">
        <v>4500</v>
      </c>
      <c r="R450" s="134"/>
      <c r="S450" s="5" t="s">
        <v>16</v>
      </c>
      <c r="T450" s="6"/>
      <c r="U450" s="8">
        <v>5</v>
      </c>
      <c r="V450" s="5" t="s">
        <v>702</v>
      </c>
      <c r="W450" s="13">
        <v>200060404</v>
      </c>
      <c r="X450" s="6"/>
      <c r="Y450" s="6"/>
    </row>
    <row r="451" spans="1:25" ht="15" customHeight="1" x14ac:dyDescent="0.2">
      <c r="A451" s="88" t="s">
        <v>699</v>
      </c>
      <c r="B451" s="90"/>
      <c r="C451" s="88" t="s">
        <v>709</v>
      </c>
      <c r="D451" s="90"/>
      <c r="E451" s="88" t="s">
        <v>711</v>
      </c>
      <c r="F451" s="89"/>
      <c r="G451" s="89"/>
      <c r="H451" s="89"/>
      <c r="I451" s="90"/>
      <c r="J451" s="88" t="s">
        <v>13</v>
      </c>
      <c r="K451" s="89"/>
      <c r="L451" s="89"/>
      <c r="M451" s="90"/>
      <c r="N451" s="88" t="s">
        <v>701</v>
      </c>
      <c r="O451" s="89"/>
      <c r="P451" s="90"/>
      <c r="Q451" s="133">
        <v>4500</v>
      </c>
      <c r="R451" s="134"/>
      <c r="S451" s="5" t="s">
        <v>16</v>
      </c>
      <c r="T451" s="6"/>
      <c r="U451" s="8">
        <v>5</v>
      </c>
      <c r="V451" s="5" t="s">
        <v>702</v>
      </c>
      <c r="W451" s="10">
        <v>144430865</v>
      </c>
      <c r="X451" s="6"/>
      <c r="Y451" s="6"/>
    </row>
    <row r="452" spans="1:25" ht="15" customHeight="1" x14ac:dyDescent="0.2">
      <c r="A452" s="88" t="s">
        <v>699</v>
      </c>
      <c r="B452" s="90"/>
      <c r="C452" s="88" t="s">
        <v>712</v>
      </c>
      <c r="D452" s="90"/>
      <c r="E452" s="88" t="s">
        <v>710</v>
      </c>
      <c r="F452" s="89"/>
      <c r="G452" s="89"/>
      <c r="H452" s="89"/>
      <c r="I452" s="90"/>
      <c r="J452" s="88" t="s">
        <v>13</v>
      </c>
      <c r="K452" s="89"/>
      <c r="L452" s="89"/>
      <c r="M452" s="90"/>
      <c r="N452" s="88" t="s">
        <v>701</v>
      </c>
      <c r="O452" s="89"/>
      <c r="P452" s="90"/>
      <c r="Q452" s="133">
        <v>4500</v>
      </c>
      <c r="R452" s="134"/>
      <c r="S452" s="5" t="s">
        <v>713</v>
      </c>
      <c r="T452" s="6"/>
      <c r="U452" s="8">
        <v>5</v>
      </c>
      <c r="V452" s="5" t="s">
        <v>702</v>
      </c>
      <c r="W452" s="10">
        <v>271393393</v>
      </c>
      <c r="X452" s="6"/>
      <c r="Y452" s="6"/>
    </row>
    <row r="453" spans="1:25" ht="15" customHeight="1" x14ac:dyDescent="0.2">
      <c r="A453" s="88" t="s">
        <v>714</v>
      </c>
      <c r="B453" s="90"/>
      <c r="C453" s="88" t="s">
        <v>715</v>
      </c>
      <c r="D453" s="90"/>
      <c r="E453" s="106"/>
      <c r="F453" s="107"/>
      <c r="G453" s="107"/>
      <c r="H453" s="107"/>
      <c r="I453" s="108"/>
      <c r="J453" s="88" t="s">
        <v>13</v>
      </c>
      <c r="K453" s="89"/>
      <c r="L453" s="89"/>
      <c r="M453" s="90"/>
      <c r="N453" s="88" t="s">
        <v>14</v>
      </c>
      <c r="O453" s="89"/>
      <c r="P453" s="90"/>
      <c r="Q453" s="88" t="s">
        <v>716</v>
      </c>
      <c r="R453" s="90"/>
      <c r="S453" s="5" t="s">
        <v>16</v>
      </c>
      <c r="T453" s="6"/>
      <c r="U453" s="6"/>
      <c r="V453" s="5" t="s">
        <v>17</v>
      </c>
      <c r="W453" s="10">
        <v>14434329</v>
      </c>
      <c r="X453" s="6"/>
      <c r="Y453" s="6"/>
    </row>
    <row r="454" spans="1:25" ht="15" customHeight="1" x14ac:dyDescent="0.2">
      <c r="A454" s="88" t="s">
        <v>714</v>
      </c>
      <c r="B454" s="90"/>
      <c r="C454" s="88" t="s">
        <v>717</v>
      </c>
      <c r="D454" s="90"/>
      <c r="E454" s="106"/>
      <c r="F454" s="107"/>
      <c r="G454" s="107"/>
      <c r="H454" s="107"/>
      <c r="I454" s="108"/>
      <c r="J454" s="88" t="s">
        <v>13</v>
      </c>
      <c r="K454" s="89"/>
      <c r="L454" s="89"/>
      <c r="M454" s="90"/>
      <c r="N454" s="88" t="s">
        <v>701</v>
      </c>
      <c r="O454" s="89"/>
      <c r="P454" s="90"/>
      <c r="Q454" s="88" t="s">
        <v>718</v>
      </c>
      <c r="R454" s="90"/>
      <c r="S454" s="5" t="s">
        <v>16</v>
      </c>
      <c r="T454" s="6"/>
      <c r="U454" s="6"/>
      <c r="V454" s="5" t="s">
        <v>17</v>
      </c>
      <c r="W454" s="10">
        <v>27128484</v>
      </c>
      <c r="X454" s="6"/>
      <c r="Y454" s="6"/>
    </row>
    <row r="455" spans="1:25" ht="15" customHeight="1" x14ac:dyDescent="0.2">
      <c r="A455" s="88" t="s">
        <v>714</v>
      </c>
      <c r="B455" s="90"/>
      <c r="C455" s="88" t="s">
        <v>719</v>
      </c>
      <c r="D455" s="90"/>
      <c r="E455" s="106"/>
      <c r="F455" s="107"/>
      <c r="G455" s="107"/>
      <c r="H455" s="107"/>
      <c r="I455" s="108"/>
      <c r="J455" s="88" t="s">
        <v>13</v>
      </c>
      <c r="K455" s="89"/>
      <c r="L455" s="89"/>
      <c r="M455" s="90"/>
      <c r="N455" s="88" t="s">
        <v>14</v>
      </c>
      <c r="O455" s="89"/>
      <c r="P455" s="90"/>
      <c r="Q455" s="88" t="s">
        <v>716</v>
      </c>
      <c r="R455" s="90"/>
      <c r="S455" s="5" t="s">
        <v>27</v>
      </c>
      <c r="T455" s="6"/>
      <c r="U455" s="6"/>
      <c r="V455" s="5" t="s">
        <v>17</v>
      </c>
      <c r="W455" s="10">
        <v>10743922</v>
      </c>
      <c r="X455" s="6"/>
      <c r="Y455" s="6"/>
    </row>
    <row r="456" spans="1:25" ht="15" customHeight="1" x14ac:dyDescent="0.2">
      <c r="A456" s="88" t="s">
        <v>714</v>
      </c>
      <c r="B456" s="90"/>
      <c r="C456" s="88" t="s">
        <v>720</v>
      </c>
      <c r="D456" s="90"/>
      <c r="E456" s="106"/>
      <c r="F456" s="107"/>
      <c r="G456" s="107"/>
      <c r="H456" s="107"/>
      <c r="I456" s="108"/>
      <c r="J456" s="88" t="s">
        <v>13</v>
      </c>
      <c r="K456" s="89"/>
      <c r="L456" s="89"/>
      <c r="M456" s="90"/>
      <c r="N456" s="88" t="s">
        <v>701</v>
      </c>
      <c r="O456" s="89"/>
      <c r="P456" s="90"/>
      <c r="Q456" s="88" t="s">
        <v>721</v>
      </c>
      <c r="R456" s="90"/>
      <c r="S456" s="5" t="s">
        <v>44</v>
      </c>
      <c r="T456" s="6"/>
      <c r="U456" s="6"/>
      <c r="V456" s="5" t="s">
        <v>17</v>
      </c>
      <c r="W456" s="10">
        <v>16606019</v>
      </c>
      <c r="X456" s="6"/>
      <c r="Y456" s="6"/>
    </row>
    <row r="457" spans="1:25" ht="15" customHeight="1" x14ac:dyDescent="0.2">
      <c r="A457" s="88" t="s">
        <v>714</v>
      </c>
      <c r="B457" s="90"/>
      <c r="C457" s="88" t="s">
        <v>722</v>
      </c>
      <c r="D457" s="90"/>
      <c r="E457" s="106"/>
      <c r="F457" s="107"/>
      <c r="G457" s="107"/>
      <c r="H457" s="107"/>
      <c r="I457" s="108"/>
      <c r="J457" s="88" t="s">
        <v>13</v>
      </c>
      <c r="K457" s="89"/>
      <c r="L457" s="89"/>
      <c r="M457" s="90"/>
      <c r="N457" s="88" t="s">
        <v>14</v>
      </c>
      <c r="O457" s="89"/>
      <c r="P457" s="90"/>
      <c r="Q457" s="88" t="s">
        <v>723</v>
      </c>
      <c r="R457" s="90"/>
      <c r="S457" s="5" t="s">
        <v>44</v>
      </c>
      <c r="T457" s="6"/>
      <c r="U457" s="6"/>
      <c r="V457" s="5" t="s">
        <v>17</v>
      </c>
      <c r="W457" s="10">
        <v>22477886</v>
      </c>
      <c r="X457" s="6"/>
      <c r="Y457" s="6"/>
    </row>
    <row r="458" spans="1:25" ht="15" customHeight="1" x14ac:dyDescent="0.2">
      <c r="A458" s="88" t="s">
        <v>714</v>
      </c>
      <c r="B458" s="90"/>
      <c r="C458" s="88" t="s">
        <v>724</v>
      </c>
      <c r="D458" s="90"/>
      <c r="E458" s="106"/>
      <c r="F458" s="107"/>
      <c r="G458" s="107"/>
      <c r="H458" s="107"/>
      <c r="I458" s="108"/>
      <c r="J458" s="88" t="s">
        <v>13</v>
      </c>
      <c r="K458" s="89"/>
      <c r="L458" s="89"/>
      <c r="M458" s="90"/>
      <c r="N458" s="88" t="s">
        <v>725</v>
      </c>
      <c r="O458" s="89"/>
      <c r="P458" s="90"/>
      <c r="Q458" s="88" t="s">
        <v>721</v>
      </c>
      <c r="R458" s="90"/>
      <c r="S458" s="5" t="s">
        <v>44</v>
      </c>
      <c r="T458" s="6"/>
      <c r="U458" s="6"/>
      <c r="V458" s="5" t="s">
        <v>17</v>
      </c>
      <c r="W458" s="9">
        <v>14651986</v>
      </c>
      <c r="X458" s="6"/>
      <c r="Y458" s="6"/>
    </row>
    <row r="459" spans="1:25" ht="15" customHeight="1" x14ac:dyDescent="0.2">
      <c r="A459" s="88" t="s">
        <v>714</v>
      </c>
      <c r="B459" s="90"/>
      <c r="C459" s="88" t="s">
        <v>726</v>
      </c>
      <c r="D459" s="90"/>
      <c r="E459" s="106"/>
      <c r="F459" s="107"/>
      <c r="G459" s="107"/>
      <c r="H459" s="107"/>
      <c r="I459" s="108"/>
      <c r="J459" s="88" t="s">
        <v>13</v>
      </c>
      <c r="K459" s="89"/>
      <c r="L459" s="89"/>
      <c r="M459" s="90"/>
      <c r="N459" s="88" t="s">
        <v>14</v>
      </c>
      <c r="O459" s="89"/>
      <c r="P459" s="90"/>
      <c r="Q459" s="88" t="s">
        <v>727</v>
      </c>
      <c r="R459" s="90"/>
      <c r="S459" s="5" t="s">
        <v>27</v>
      </c>
      <c r="T459" s="6"/>
      <c r="U459" s="6"/>
      <c r="V459" s="5" t="s">
        <v>17</v>
      </c>
      <c r="W459" s="9">
        <v>9766905</v>
      </c>
      <c r="X459" s="6"/>
      <c r="Y459" s="6"/>
    </row>
    <row r="460" spans="1:25" ht="15" customHeight="1" x14ac:dyDescent="0.2">
      <c r="A460" s="88" t="s">
        <v>714</v>
      </c>
      <c r="B460" s="90"/>
      <c r="C460" s="88" t="s">
        <v>728</v>
      </c>
      <c r="D460" s="90"/>
      <c r="E460" s="106"/>
      <c r="F460" s="107"/>
      <c r="G460" s="107"/>
      <c r="H460" s="107"/>
      <c r="I460" s="108"/>
      <c r="J460" s="88" t="s">
        <v>13</v>
      </c>
      <c r="K460" s="89"/>
      <c r="L460" s="89"/>
      <c r="M460" s="90"/>
      <c r="N460" s="88" t="s">
        <v>14</v>
      </c>
      <c r="O460" s="89"/>
      <c r="P460" s="90"/>
      <c r="Q460" s="88" t="s">
        <v>727</v>
      </c>
      <c r="R460" s="90"/>
      <c r="S460" s="5" t="s">
        <v>27</v>
      </c>
      <c r="T460" s="6"/>
      <c r="U460" s="6"/>
      <c r="V460" s="5" t="s">
        <v>17</v>
      </c>
      <c r="W460" s="10">
        <v>10743922</v>
      </c>
      <c r="X460" s="6"/>
      <c r="Y460" s="6"/>
    </row>
    <row r="461" spans="1:25" ht="15" customHeight="1" x14ac:dyDescent="0.2">
      <c r="A461" s="88" t="s">
        <v>714</v>
      </c>
      <c r="B461" s="90"/>
      <c r="C461" s="88" t="s">
        <v>729</v>
      </c>
      <c r="D461" s="90"/>
      <c r="E461" s="106"/>
      <c r="F461" s="107"/>
      <c r="G461" s="107"/>
      <c r="H461" s="107"/>
      <c r="I461" s="108"/>
      <c r="J461" s="88" t="s">
        <v>13</v>
      </c>
      <c r="K461" s="89"/>
      <c r="L461" s="89"/>
      <c r="M461" s="90"/>
      <c r="N461" s="88" t="s">
        <v>701</v>
      </c>
      <c r="O461" s="89"/>
      <c r="P461" s="90"/>
      <c r="Q461" s="88" t="s">
        <v>730</v>
      </c>
      <c r="R461" s="90"/>
      <c r="S461" s="5" t="s">
        <v>16</v>
      </c>
      <c r="T461" s="6"/>
      <c r="U461" s="6"/>
      <c r="V461" s="5" t="s">
        <v>17</v>
      </c>
      <c r="W461" s="9">
        <v>16809971</v>
      </c>
      <c r="X461" s="6"/>
      <c r="Y461" s="6"/>
    </row>
    <row r="462" spans="1:25" ht="15" customHeight="1" x14ac:dyDescent="0.2">
      <c r="A462" s="88" t="s">
        <v>714</v>
      </c>
      <c r="B462" s="90"/>
      <c r="C462" s="88" t="s">
        <v>731</v>
      </c>
      <c r="D462" s="90"/>
      <c r="E462" s="106"/>
      <c r="F462" s="107"/>
      <c r="G462" s="107"/>
      <c r="H462" s="107"/>
      <c r="I462" s="108"/>
      <c r="J462" s="88" t="s">
        <v>13</v>
      </c>
      <c r="K462" s="89"/>
      <c r="L462" s="89"/>
      <c r="M462" s="90"/>
      <c r="N462" s="88" t="s">
        <v>701</v>
      </c>
      <c r="O462" s="89"/>
      <c r="P462" s="90"/>
      <c r="Q462" s="88" t="s">
        <v>732</v>
      </c>
      <c r="R462" s="90"/>
      <c r="S462" s="5" t="s">
        <v>16</v>
      </c>
      <c r="T462" s="6"/>
      <c r="U462" s="6"/>
      <c r="V462" s="5" t="s">
        <v>17</v>
      </c>
      <c r="W462" s="10">
        <v>19837704</v>
      </c>
      <c r="X462" s="6"/>
      <c r="Y462" s="6"/>
    </row>
    <row r="463" spans="1:25" ht="15" customHeight="1" x14ac:dyDescent="0.2">
      <c r="A463" s="88" t="s">
        <v>714</v>
      </c>
      <c r="B463" s="90"/>
      <c r="C463" s="88" t="s">
        <v>733</v>
      </c>
      <c r="D463" s="90"/>
      <c r="E463" s="106"/>
      <c r="F463" s="107"/>
      <c r="G463" s="107"/>
      <c r="H463" s="107"/>
      <c r="I463" s="108"/>
      <c r="J463" s="88" t="s">
        <v>13</v>
      </c>
      <c r="K463" s="89"/>
      <c r="L463" s="89"/>
      <c r="M463" s="90"/>
      <c r="N463" s="88" t="s">
        <v>725</v>
      </c>
      <c r="O463" s="89"/>
      <c r="P463" s="90"/>
      <c r="Q463" s="88" t="s">
        <v>721</v>
      </c>
      <c r="R463" s="90"/>
      <c r="S463" s="5" t="s">
        <v>16</v>
      </c>
      <c r="T463" s="6"/>
      <c r="U463" s="6"/>
      <c r="V463" s="5" t="s">
        <v>17</v>
      </c>
      <c r="W463" s="9">
        <v>13675377</v>
      </c>
      <c r="X463" s="6"/>
      <c r="Y463" s="6"/>
    </row>
    <row r="464" spans="1:25" ht="15" customHeight="1" x14ac:dyDescent="0.2">
      <c r="A464" s="88" t="s">
        <v>714</v>
      </c>
      <c r="B464" s="90"/>
      <c r="C464" s="88" t="s">
        <v>734</v>
      </c>
      <c r="D464" s="90"/>
      <c r="E464" s="106"/>
      <c r="F464" s="107"/>
      <c r="G464" s="107"/>
      <c r="H464" s="107"/>
      <c r="I464" s="108"/>
      <c r="J464" s="88" t="s">
        <v>13</v>
      </c>
      <c r="K464" s="89"/>
      <c r="L464" s="89"/>
      <c r="M464" s="90"/>
      <c r="N464" s="88" t="s">
        <v>14</v>
      </c>
      <c r="O464" s="89"/>
      <c r="P464" s="90"/>
      <c r="Q464" s="88" t="s">
        <v>735</v>
      </c>
      <c r="R464" s="90"/>
      <c r="S464" s="5" t="s">
        <v>16</v>
      </c>
      <c r="T464" s="6"/>
      <c r="U464" s="6"/>
      <c r="V464" s="5" t="s">
        <v>17</v>
      </c>
      <c r="W464" s="10">
        <v>12820488</v>
      </c>
      <c r="X464" s="6"/>
      <c r="Y464" s="6"/>
    </row>
    <row r="465" spans="1:25" ht="15" customHeight="1" x14ac:dyDescent="0.2">
      <c r="A465" s="88" t="s">
        <v>714</v>
      </c>
      <c r="B465" s="90"/>
      <c r="C465" s="88" t="s">
        <v>736</v>
      </c>
      <c r="D465" s="90"/>
      <c r="E465" s="106"/>
      <c r="F465" s="107"/>
      <c r="G465" s="107"/>
      <c r="H465" s="107"/>
      <c r="I465" s="108"/>
      <c r="J465" s="88" t="s">
        <v>13</v>
      </c>
      <c r="K465" s="89"/>
      <c r="L465" s="89"/>
      <c r="M465" s="90"/>
      <c r="N465" s="88" t="s">
        <v>14</v>
      </c>
      <c r="O465" s="89"/>
      <c r="P465" s="90"/>
      <c r="Q465" s="88" t="s">
        <v>737</v>
      </c>
      <c r="R465" s="90"/>
      <c r="S465" s="5" t="s">
        <v>16</v>
      </c>
      <c r="T465" s="6"/>
      <c r="U465" s="6"/>
      <c r="V465" s="5" t="s">
        <v>17</v>
      </c>
      <c r="W465" s="9">
        <v>11965599</v>
      </c>
      <c r="X465" s="6"/>
      <c r="Y465" s="6"/>
    </row>
    <row r="466" spans="1:25" ht="15" customHeight="1" x14ac:dyDescent="0.2">
      <c r="A466" s="88" t="s">
        <v>714</v>
      </c>
      <c r="B466" s="90"/>
      <c r="C466" s="88" t="s">
        <v>738</v>
      </c>
      <c r="D466" s="90"/>
      <c r="E466" s="106"/>
      <c r="F466" s="107"/>
      <c r="G466" s="107"/>
      <c r="H466" s="107"/>
      <c r="I466" s="108"/>
      <c r="J466" s="88" t="s">
        <v>13</v>
      </c>
      <c r="K466" s="89"/>
      <c r="L466" s="89"/>
      <c r="M466" s="90"/>
      <c r="N466" s="88" t="s">
        <v>701</v>
      </c>
      <c r="O466" s="89"/>
      <c r="P466" s="90"/>
      <c r="Q466" s="88" t="s">
        <v>721</v>
      </c>
      <c r="R466" s="90"/>
      <c r="S466" s="5" t="s">
        <v>16</v>
      </c>
      <c r="T466" s="6"/>
      <c r="U466" s="6"/>
      <c r="V466" s="5" t="s">
        <v>17</v>
      </c>
      <c r="W466" s="9">
        <v>15385156</v>
      </c>
      <c r="X466" s="6"/>
      <c r="Y466" s="6"/>
    </row>
    <row r="467" spans="1:25" ht="15" customHeight="1" x14ac:dyDescent="0.2">
      <c r="A467" s="88" t="s">
        <v>714</v>
      </c>
      <c r="B467" s="90"/>
      <c r="C467" s="88" t="s">
        <v>739</v>
      </c>
      <c r="D467" s="90"/>
      <c r="E467" s="106"/>
      <c r="F467" s="107"/>
      <c r="G467" s="107"/>
      <c r="H467" s="107"/>
      <c r="I467" s="108"/>
      <c r="J467" s="88" t="s">
        <v>13</v>
      </c>
      <c r="K467" s="89"/>
      <c r="L467" s="89"/>
      <c r="M467" s="90"/>
      <c r="N467" s="88" t="s">
        <v>14</v>
      </c>
      <c r="O467" s="89"/>
      <c r="P467" s="90"/>
      <c r="Q467" s="88" t="s">
        <v>740</v>
      </c>
      <c r="R467" s="90"/>
      <c r="S467" s="5" t="s">
        <v>741</v>
      </c>
      <c r="T467" s="6"/>
      <c r="U467" s="6"/>
      <c r="V467" s="5" t="s">
        <v>17</v>
      </c>
      <c r="W467" s="9">
        <v>7292775</v>
      </c>
      <c r="X467" s="6"/>
      <c r="Y467" s="6"/>
    </row>
    <row r="468" spans="1:25" ht="15" customHeight="1" x14ac:dyDescent="0.2">
      <c r="A468" s="88" t="s">
        <v>714</v>
      </c>
      <c r="B468" s="90"/>
      <c r="C468" s="88" t="s">
        <v>742</v>
      </c>
      <c r="D468" s="90"/>
      <c r="E468" s="106"/>
      <c r="F468" s="107"/>
      <c r="G468" s="107"/>
      <c r="H468" s="107"/>
      <c r="I468" s="108"/>
      <c r="J468" s="88" t="s">
        <v>13</v>
      </c>
      <c r="K468" s="89"/>
      <c r="L468" s="89"/>
      <c r="M468" s="90"/>
      <c r="N468" s="88" t="s">
        <v>725</v>
      </c>
      <c r="O468" s="89"/>
      <c r="P468" s="90"/>
      <c r="Q468" s="88" t="s">
        <v>743</v>
      </c>
      <c r="R468" s="90"/>
      <c r="S468" s="5" t="s">
        <v>44</v>
      </c>
      <c r="T468" s="6"/>
      <c r="U468" s="6"/>
      <c r="V468" s="5" t="s">
        <v>17</v>
      </c>
      <c r="W468" s="9">
        <v>9504088</v>
      </c>
      <c r="X468" s="6"/>
      <c r="Y468" s="6"/>
    </row>
    <row r="469" spans="1:25" ht="15" customHeight="1" x14ac:dyDescent="0.2">
      <c r="A469" s="88" t="s">
        <v>744</v>
      </c>
      <c r="B469" s="90"/>
      <c r="C469" s="88" t="s">
        <v>745</v>
      </c>
      <c r="D469" s="90"/>
      <c r="E469" s="88" t="s">
        <v>746</v>
      </c>
      <c r="F469" s="89"/>
      <c r="G469" s="89"/>
      <c r="H469" s="89"/>
      <c r="I469" s="90"/>
      <c r="J469" s="88" t="s">
        <v>13</v>
      </c>
      <c r="K469" s="89"/>
      <c r="L469" s="89"/>
      <c r="M469" s="90"/>
      <c r="N469" s="88" t="s">
        <v>26</v>
      </c>
      <c r="O469" s="89"/>
      <c r="P469" s="90"/>
      <c r="Q469" s="88" t="s">
        <v>463</v>
      </c>
      <c r="R469" s="90"/>
      <c r="S469" s="5" t="s">
        <v>44</v>
      </c>
      <c r="T469" s="6"/>
      <c r="U469" s="8">
        <v>5</v>
      </c>
      <c r="V469" s="5" t="s">
        <v>23</v>
      </c>
      <c r="W469" s="12">
        <v>9472423</v>
      </c>
      <c r="X469" s="6"/>
      <c r="Y469" s="6"/>
    </row>
    <row r="470" spans="1:25" ht="15" customHeight="1" x14ac:dyDescent="0.2">
      <c r="A470" s="88" t="s">
        <v>744</v>
      </c>
      <c r="B470" s="90"/>
      <c r="C470" s="88" t="s">
        <v>747</v>
      </c>
      <c r="D470" s="90"/>
      <c r="E470" s="88" t="s">
        <v>746</v>
      </c>
      <c r="F470" s="89"/>
      <c r="G470" s="89"/>
      <c r="H470" s="89"/>
      <c r="I470" s="90"/>
      <c r="J470" s="88" t="s">
        <v>13</v>
      </c>
      <c r="K470" s="89"/>
      <c r="L470" s="89"/>
      <c r="M470" s="90"/>
      <c r="N470" s="88" t="s">
        <v>22</v>
      </c>
      <c r="O470" s="89"/>
      <c r="P470" s="90"/>
      <c r="Q470" s="88" t="s">
        <v>463</v>
      </c>
      <c r="R470" s="90"/>
      <c r="S470" s="5" t="s">
        <v>44</v>
      </c>
      <c r="T470" s="6"/>
      <c r="U470" s="8">
        <v>5</v>
      </c>
      <c r="V470" s="5" t="s">
        <v>23</v>
      </c>
      <c r="W470" s="12">
        <v>9731136</v>
      </c>
      <c r="X470" s="6"/>
      <c r="Y470" s="6"/>
    </row>
    <row r="471" spans="1:25" ht="15" customHeight="1" x14ac:dyDescent="0.2">
      <c r="A471" s="88" t="s">
        <v>744</v>
      </c>
      <c r="B471" s="90"/>
      <c r="C471" s="88" t="s">
        <v>748</v>
      </c>
      <c r="D471" s="90"/>
      <c r="E471" s="106"/>
      <c r="F471" s="107"/>
      <c r="G471" s="107"/>
      <c r="H471" s="107"/>
      <c r="I471" s="108"/>
      <c r="J471" s="88" t="s">
        <v>13</v>
      </c>
      <c r="K471" s="89"/>
      <c r="L471" s="89"/>
      <c r="M471" s="90"/>
      <c r="N471" s="88" t="s">
        <v>22</v>
      </c>
      <c r="O471" s="89"/>
      <c r="P471" s="90"/>
      <c r="Q471" s="88" t="s">
        <v>749</v>
      </c>
      <c r="R471" s="90"/>
      <c r="S471" s="5" t="s">
        <v>44</v>
      </c>
      <c r="T471" s="6"/>
      <c r="U471" s="8">
        <v>5</v>
      </c>
      <c r="V471" s="5" t="s">
        <v>23</v>
      </c>
      <c r="W471" s="12">
        <v>26222456</v>
      </c>
      <c r="X471" s="6"/>
      <c r="Y471" s="6"/>
    </row>
    <row r="472" spans="1:25" ht="15" customHeight="1" x14ac:dyDescent="0.2">
      <c r="A472" s="88" t="s">
        <v>744</v>
      </c>
      <c r="B472" s="90"/>
      <c r="C472" s="88" t="s">
        <v>750</v>
      </c>
      <c r="D472" s="90"/>
      <c r="E472" s="88" t="s">
        <v>751</v>
      </c>
      <c r="F472" s="89"/>
      <c r="G472" s="89"/>
      <c r="H472" s="89"/>
      <c r="I472" s="90"/>
      <c r="J472" s="88" t="s">
        <v>13</v>
      </c>
      <c r="K472" s="89"/>
      <c r="L472" s="89"/>
      <c r="M472" s="90"/>
      <c r="N472" s="88" t="s">
        <v>22</v>
      </c>
      <c r="O472" s="89"/>
      <c r="P472" s="90"/>
      <c r="Q472" s="88" t="s">
        <v>752</v>
      </c>
      <c r="R472" s="90"/>
      <c r="S472" s="5" t="s">
        <v>16</v>
      </c>
      <c r="T472" s="6"/>
      <c r="U472" s="8">
        <v>5</v>
      </c>
      <c r="V472" s="5" t="s">
        <v>23</v>
      </c>
      <c r="W472" s="12">
        <v>28251364</v>
      </c>
      <c r="X472" s="6"/>
      <c r="Y472" s="6"/>
    </row>
    <row r="473" spans="1:25" ht="15" customHeight="1" x14ac:dyDescent="0.2">
      <c r="A473" s="88" t="s">
        <v>744</v>
      </c>
      <c r="B473" s="90"/>
      <c r="C473" s="88" t="s">
        <v>753</v>
      </c>
      <c r="D473" s="90"/>
      <c r="E473" s="106"/>
      <c r="F473" s="107"/>
      <c r="G473" s="107"/>
      <c r="H473" s="107"/>
      <c r="I473" s="108"/>
      <c r="J473" s="88" t="s">
        <v>13</v>
      </c>
      <c r="K473" s="89"/>
      <c r="L473" s="89"/>
      <c r="M473" s="90"/>
      <c r="N473" s="88" t="s">
        <v>22</v>
      </c>
      <c r="O473" s="89"/>
      <c r="P473" s="90"/>
      <c r="Q473" s="88" t="s">
        <v>463</v>
      </c>
      <c r="R473" s="90"/>
      <c r="S473" s="5" t="s">
        <v>16</v>
      </c>
      <c r="T473" s="6"/>
      <c r="U473" s="8">
        <v>5</v>
      </c>
      <c r="V473" s="5" t="s">
        <v>23</v>
      </c>
      <c r="W473" s="12">
        <v>8410972</v>
      </c>
      <c r="X473" s="6"/>
      <c r="Y473" s="6"/>
    </row>
    <row r="474" spans="1:25" ht="15" customHeight="1" x14ac:dyDescent="0.2">
      <c r="A474" s="88" t="s">
        <v>744</v>
      </c>
      <c r="B474" s="90"/>
      <c r="C474" s="88" t="s">
        <v>754</v>
      </c>
      <c r="D474" s="90"/>
      <c r="E474" s="88" t="s">
        <v>755</v>
      </c>
      <c r="F474" s="89"/>
      <c r="G474" s="89"/>
      <c r="H474" s="89"/>
      <c r="I474" s="90"/>
      <c r="J474" s="88" t="s">
        <v>13</v>
      </c>
      <c r="K474" s="89"/>
      <c r="L474" s="89"/>
      <c r="M474" s="90"/>
      <c r="N474" s="88" t="s">
        <v>22</v>
      </c>
      <c r="O474" s="89"/>
      <c r="P474" s="90"/>
      <c r="Q474" s="88" t="s">
        <v>463</v>
      </c>
      <c r="R474" s="90"/>
      <c r="S474" s="5" t="s">
        <v>16</v>
      </c>
      <c r="T474" s="6"/>
      <c r="U474" s="8">
        <v>5</v>
      </c>
      <c r="V474" s="5" t="s">
        <v>23</v>
      </c>
      <c r="W474" s="12">
        <v>7359601</v>
      </c>
      <c r="X474" s="6"/>
      <c r="Y474" s="6"/>
    </row>
    <row r="475" spans="1:25" ht="15" customHeight="1" x14ac:dyDescent="0.2">
      <c r="A475" s="88" t="s">
        <v>744</v>
      </c>
      <c r="B475" s="90"/>
      <c r="C475" s="88" t="s">
        <v>756</v>
      </c>
      <c r="D475" s="90"/>
      <c r="E475" s="106"/>
      <c r="F475" s="107"/>
      <c r="G475" s="107"/>
      <c r="H475" s="107"/>
      <c r="I475" s="108"/>
      <c r="J475" s="88" t="s">
        <v>13</v>
      </c>
      <c r="K475" s="89"/>
      <c r="L475" s="89"/>
      <c r="M475" s="90"/>
      <c r="N475" s="88" t="s">
        <v>22</v>
      </c>
      <c r="O475" s="89"/>
      <c r="P475" s="90"/>
      <c r="Q475" s="88" t="s">
        <v>463</v>
      </c>
      <c r="R475" s="90"/>
      <c r="S475" s="5" t="s">
        <v>16</v>
      </c>
      <c r="T475" s="6"/>
      <c r="U475" s="8">
        <v>5</v>
      </c>
      <c r="V475" s="5" t="s">
        <v>23</v>
      </c>
      <c r="W475" s="12">
        <v>13756736</v>
      </c>
      <c r="X475" s="6"/>
      <c r="Y475" s="6"/>
    </row>
    <row r="476" spans="1:25" ht="15" customHeight="1" x14ac:dyDescent="0.2">
      <c r="A476" s="88" t="s">
        <v>744</v>
      </c>
      <c r="B476" s="90"/>
      <c r="C476" s="88" t="s">
        <v>757</v>
      </c>
      <c r="D476" s="90"/>
      <c r="E476" s="88" t="s">
        <v>758</v>
      </c>
      <c r="F476" s="89"/>
      <c r="G476" s="89"/>
      <c r="H476" s="89"/>
      <c r="I476" s="90"/>
      <c r="J476" s="88" t="s">
        <v>13</v>
      </c>
      <c r="K476" s="89"/>
      <c r="L476" s="89"/>
      <c r="M476" s="90"/>
      <c r="N476" s="88" t="s">
        <v>22</v>
      </c>
      <c r="O476" s="89"/>
      <c r="P476" s="90"/>
      <c r="Q476" s="88" t="s">
        <v>749</v>
      </c>
      <c r="R476" s="90"/>
      <c r="S476" s="5" t="s">
        <v>16</v>
      </c>
      <c r="T476" s="6"/>
      <c r="U476" s="8">
        <v>5</v>
      </c>
      <c r="V476" s="5" t="s">
        <v>23</v>
      </c>
      <c r="W476" s="12">
        <v>15821438</v>
      </c>
      <c r="X476" s="6"/>
      <c r="Y476" s="6"/>
    </row>
    <row r="477" spans="1:25" ht="15" customHeight="1" x14ac:dyDescent="0.2">
      <c r="A477" s="88" t="s">
        <v>744</v>
      </c>
      <c r="B477" s="90"/>
      <c r="C477" s="88" t="s">
        <v>759</v>
      </c>
      <c r="D477" s="90"/>
      <c r="E477" s="106"/>
      <c r="F477" s="107"/>
      <c r="G477" s="107"/>
      <c r="H477" s="107"/>
      <c r="I477" s="108"/>
      <c r="J477" s="88" t="s">
        <v>13</v>
      </c>
      <c r="K477" s="89"/>
      <c r="L477" s="89"/>
      <c r="M477" s="90"/>
      <c r="N477" s="88" t="s">
        <v>22</v>
      </c>
      <c r="O477" s="89"/>
      <c r="P477" s="90"/>
      <c r="Q477" s="88" t="s">
        <v>749</v>
      </c>
      <c r="R477" s="90"/>
      <c r="S477" s="5" t="s">
        <v>16</v>
      </c>
      <c r="T477" s="6"/>
      <c r="U477" s="8">
        <v>5</v>
      </c>
      <c r="V477" s="5" t="s">
        <v>23</v>
      </c>
      <c r="W477" s="12">
        <v>15308818</v>
      </c>
      <c r="X477" s="6"/>
      <c r="Y477" s="6"/>
    </row>
    <row r="478" spans="1:25" ht="15" customHeight="1" x14ac:dyDescent="0.2">
      <c r="A478" s="88" t="s">
        <v>744</v>
      </c>
      <c r="B478" s="90"/>
      <c r="C478" s="88" t="s">
        <v>760</v>
      </c>
      <c r="D478" s="90"/>
      <c r="E478" s="88" t="s">
        <v>758</v>
      </c>
      <c r="F478" s="89"/>
      <c r="G478" s="89"/>
      <c r="H478" s="89"/>
      <c r="I478" s="90"/>
      <c r="J478" s="88" t="s">
        <v>13</v>
      </c>
      <c r="K478" s="89"/>
      <c r="L478" s="89"/>
      <c r="M478" s="90"/>
      <c r="N478" s="88" t="s">
        <v>22</v>
      </c>
      <c r="O478" s="89"/>
      <c r="P478" s="90"/>
      <c r="Q478" s="88" t="s">
        <v>749</v>
      </c>
      <c r="R478" s="90"/>
      <c r="S478" s="5" t="s">
        <v>16</v>
      </c>
      <c r="T478" s="6"/>
      <c r="U478" s="8">
        <v>5</v>
      </c>
      <c r="V478" s="5" t="s">
        <v>23</v>
      </c>
      <c r="W478" s="12">
        <v>16913408</v>
      </c>
      <c r="X478" s="6"/>
      <c r="Y478" s="6"/>
    </row>
    <row r="479" spans="1:25" ht="15" customHeight="1" x14ac:dyDescent="0.2">
      <c r="A479" s="88" t="s">
        <v>744</v>
      </c>
      <c r="B479" s="90"/>
      <c r="C479" s="88" t="s">
        <v>761</v>
      </c>
      <c r="D479" s="90"/>
      <c r="E479" s="88" t="s">
        <v>762</v>
      </c>
      <c r="F479" s="89"/>
      <c r="G479" s="89"/>
      <c r="H479" s="89"/>
      <c r="I479" s="90"/>
      <c r="J479" s="88" t="s">
        <v>13</v>
      </c>
      <c r="K479" s="89"/>
      <c r="L479" s="89"/>
      <c r="M479" s="90"/>
      <c r="N479" s="88" t="s">
        <v>22</v>
      </c>
      <c r="O479" s="89"/>
      <c r="P479" s="90"/>
      <c r="Q479" s="88" t="s">
        <v>749</v>
      </c>
      <c r="R479" s="90"/>
      <c r="S479" s="5" t="s">
        <v>16</v>
      </c>
      <c r="T479" s="6"/>
      <c r="U479" s="8">
        <v>5</v>
      </c>
      <c r="V479" s="5" t="s">
        <v>23</v>
      </c>
      <c r="W479" s="12">
        <v>16381073</v>
      </c>
      <c r="X479" s="6"/>
      <c r="Y479" s="6"/>
    </row>
    <row r="480" spans="1:25" ht="15" customHeight="1" x14ac:dyDescent="0.2">
      <c r="A480" s="88" t="s">
        <v>744</v>
      </c>
      <c r="B480" s="90"/>
      <c r="C480" s="88" t="s">
        <v>763</v>
      </c>
      <c r="D480" s="90"/>
      <c r="E480" s="106"/>
      <c r="F480" s="107"/>
      <c r="G480" s="107"/>
      <c r="H480" s="107"/>
      <c r="I480" s="108"/>
      <c r="J480" s="88" t="s">
        <v>13</v>
      </c>
      <c r="K480" s="89"/>
      <c r="L480" s="89"/>
      <c r="M480" s="90"/>
      <c r="N480" s="88" t="s">
        <v>22</v>
      </c>
      <c r="O480" s="89"/>
      <c r="P480" s="90"/>
      <c r="Q480" s="88" t="s">
        <v>749</v>
      </c>
      <c r="R480" s="90"/>
      <c r="S480" s="5" t="s">
        <v>16</v>
      </c>
      <c r="T480" s="6"/>
      <c r="U480" s="8">
        <v>5</v>
      </c>
      <c r="V480" s="5" t="s">
        <v>23</v>
      </c>
      <c r="W480" s="12">
        <v>15446831</v>
      </c>
      <c r="X480" s="6"/>
      <c r="Y480" s="6"/>
    </row>
    <row r="481" spans="1:25" ht="15" customHeight="1" x14ac:dyDescent="0.2">
      <c r="A481" s="88" t="s">
        <v>744</v>
      </c>
      <c r="B481" s="90"/>
      <c r="C481" s="88" t="s">
        <v>764</v>
      </c>
      <c r="D481" s="90"/>
      <c r="E481" s="88" t="s">
        <v>758</v>
      </c>
      <c r="F481" s="89"/>
      <c r="G481" s="89"/>
      <c r="H481" s="89"/>
      <c r="I481" s="90"/>
      <c r="J481" s="88" t="s">
        <v>13</v>
      </c>
      <c r="K481" s="89"/>
      <c r="L481" s="89"/>
      <c r="M481" s="90"/>
      <c r="N481" s="88" t="s">
        <v>22</v>
      </c>
      <c r="O481" s="89"/>
      <c r="P481" s="90"/>
      <c r="Q481" s="88" t="s">
        <v>749</v>
      </c>
      <c r="R481" s="90"/>
      <c r="S481" s="5" t="s">
        <v>16</v>
      </c>
      <c r="T481" s="6"/>
      <c r="U481" s="8">
        <v>5</v>
      </c>
      <c r="V481" s="5" t="s">
        <v>23</v>
      </c>
      <c r="W481" s="12">
        <v>12128151</v>
      </c>
      <c r="X481" s="6"/>
      <c r="Y481" s="6"/>
    </row>
    <row r="482" spans="1:25" ht="15" customHeight="1" x14ac:dyDescent="0.2">
      <c r="A482" s="88" t="s">
        <v>744</v>
      </c>
      <c r="B482" s="90"/>
      <c r="C482" s="88" t="s">
        <v>765</v>
      </c>
      <c r="D482" s="90"/>
      <c r="E482" s="88" t="s">
        <v>766</v>
      </c>
      <c r="F482" s="89"/>
      <c r="G482" s="89"/>
      <c r="H482" s="89"/>
      <c r="I482" s="90"/>
      <c r="J482" s="88" t="s">
        <v>13</v>
      </c>
      <c r="K482" s="89"/>
      <c r="L482" s="89"/>
      <c r="M482" s="90"/>
      <c r="N482" s="88" t="s">
        <v>22</v>
      </c>
      <c r="O482" s="89"/>
      <c r="P482" s="90"/>
      <c r="Q482" s="88" t="s">
        <v>749</v>
      </c>
      <c r="R482" s="90"/>
      <c r="S482" s="5" t="s">
        <v>16</v>
      </c>
      <c r="T482" s="6"/>
      <c r="U482" s="8">
        <v>5</v>
      </c>
      <c r="V482" s="5" t="s">
        <v>23</v>
      </c>
      <c r="W482" s="12">
        <v>19281231</v>
      </c>
      <c r="X482" s="6"/>
      <c r="Y482" s="6"/>
    </row>
    <row r="483" spans="1:25" ht="15" customHeight="1" x14ac:dyDescent="0.2">
      <c r="A483" s="88" t="s">
        <v>744</v>
      </c>
      <c r="B483" s="90"/>
      <c r="C483" s="88" t="s">
        <v>767</v>
      </c>
      <c r="D483" s="90"/>
      <c r="E483" s="106"/>
      <c r="F483" s="107"/>
      <c r="G483" s="107"/>
      <c r="H483" s="107"/>
      <c r="I483" s="108"/>
      <c r="J483" s="88" t="s">
        <v>13</v>
      </c>
      <c r="K483" s="89"/>
      <c r="L483" s="89"/>
      <c r="M483" s="90"/>
      <c r="N483" s="88" t="s">
        <v>22</v>
      </c>
      <c r="O483" s="89"/>
      <c r="P483" s="90"/>
      <c r="Q483" s="88" t="s">
        <v>749</v>
      </c>
      <c r="R483" s="90"/>
      <c r="S483" s="5" t="s">
        <v>16</v>
      </c>
      <c r="T483" s="6"/>
      <c r="U483" s="8">
        <v>5</v>
      </c>
      <c r="V483" s="5" t="s">
        <v>23</v>
      </c>
      <c r="W483" s="12">
        <v>17163995</v>
      </c>
      <c r="X483" s="6"/>
      <c r="Y483" s="6"/>
    </row>
    <row r="484" spans="1:25" ht="15" customHeight="1" x14ac:dyDescent="0.2">
      <c r="A484" s="88" t="s">
        <v>768</v>
      </c>
      <c r="B484" s="90"/>
      <c r="C484" s="88" t="s">
        <v>769</v>
      </c>
      <c r="D484" s="90"/>
      <c r="E484" s="106"/>
      <c r="F484" s="107"/>
      <c r="G484" s="107"/>
      <c r="H484" s="107"/>
      <c r="I484" s="108"/>
      <c r="J484" s="88" t="s">
        <v>770</v>
      </c>
      <c r="K484" s="89"/>
      <c r="L484" s="89"/>
      <c r="M484" s="90"/>
      <c r="N484" s="106"/>
      <c r="O484" s="107"/>
      <c r="P484" s="108"/>
      <c r="Q484" s="133">
        <v>1500</v>
      </c>
      <c r="R484" s="134"/>
      <c r="S484" s="5" t="s">
        <v>16</v>
      </c>
      <c r="T484" s="6"/>
      <c r="U484" s="6"/>
      <c r="V484" s="5" t="s">
        <v>702</v>
      </c>
      <c r="W484" s="9">
        <v>4126209</v>
      </c>
      <c r="X484" s="6"/>
      <c r="Y484" s="6"/>
    </row>
    <row r="485" spans="1:25" ht="15" customHeight="1" x14ac:dyDescent="0.2">
      <c r="A485" s="88" t="s">
        <v>768</v>
      </c>
      <c r="B485" s="90"/>
      <c r="C485" s="88" t="s">
        <v>771</v>
      </c>
      <c r="D485" s="90"/>
      <c r="E485" s="106"/>
      <c r="F485" s="107"/>
      <c r="G485" s="107"/>
      <c r="H485" s="107"/>
      <c r="I485" s="108"/>
      <c r="J485" s="88" t="s">
        <v>770</v>
      </c>
      <c r="K485" s="89"/>
      <c r="L485" s="89"/>
      <c r="M485" s="90"/>
      <c r="N485" s="106"/>
      <c r="O485" s="107"/>
      <c r="P485" s="108"/>
      <c r="Q485" s="133">
        <v>1500</v>
      </c>
      <c r="R485" s="134"/>
      <c r="S485" s="5" t="s">
        <v>16</v>
      </c>
      <c r="T485" s="6"/>
      <c r="U485" s="6"/>
      <c r="V485" s="5" t="s">
        <v>702</v>
      </c>
      <c r="W485" s="9">
        <v>3630866</v>
      </c>
      <c r="X485" s="6"/>
      <c r="Y485" s="6"/>
    </row>
    <row r="486" spans="1:25" ht="15" customHeight="1" x14ac:dyDescent="0.2">
      <c r="A486" s="88" t="s">
        <v>768</v>
      </c>
      <c r="B486" s="90"/>
      <c r="C486" s="88" t="s">
        <v>772</v>
      </c>
      <c r="D486" s="90"/>
      <c r="E486" s="106"/>
      <c r="F486" s="107"/>
      <c r="G486" s="107"/>
      <c r="H486" s="107"/>
      <c r="I486" s="108"/>
      <c r="J486" s="88" t="s">
        <v>770</v>
      </c>
      <c r="K486" s="89"/>
      <c r="L486" s="89"/>
      <c r="M486" s="90"/>
      <c r="N486" s="106"/>
      <c r="O486" s="107"/>
      <c r="P486" s="108"/>
      <c r="Q486" s="133">
        <v>1500</v>
      </c>
      <c r="R486" s="134"/>
      <c r="S486" s="5" t="s">
        <v>16</v>
      </c>
      <c r="T486" s="6"/>
      <c r="U486" s="6"/>
      <c r="V486" s="5" t="s">
        <v>702</v>
      </c>
      <c r="W486" s="9">
        <v>4126209</v>
      </c>
      <c r="X486" s="6"/>
      <c r="Y486" s="6"/>
    </row>
    <row r="487" spans="1:25" ht="15" customHeight="1" x14ac:dyDescent="0.2">
      <c r="A487" s="88" t="s">
        <v>768</v>
      </c>
      <c r="B487" s="90"/>
      <c r="C487" s="88" t="s">
        <v>773</v>
      </c>
      <c r="D487" s="90"/>
      <c r="E487" s="106"/>
      <c r="F487" s="107"/>
      <c r="G487" s="107"/>
      <c r="H487" s="107"/>
      <c r="I487" s="108"/>
      <c r="J487" s="88" t="s">
        <v>770</v>
      </c>
      <c r="K487" s="89"/>
      <c r="L487" s="89"/>
      <c r="M487" s="90"/>
      <c r="N487" s="106"/>
      <c r="O487" s="107"/>
      <c r="P487" s="108"/>
      <c r="Q487" s="133">
        <v>1500</v>
      </c>
      <c r="R487" s="134"/>
      <c r="S487" s="5" t="s">
        <v>16</v>
      </c>
      <c r="T487" s="6"/>
      <c r="U487" s="6"/>
      <c r="V487" s="5" t="s">
        <v>702</v>
      </c>
      <c r="W487" s="9">
        <v>3630866</v>
      </c>
      <c r="X487" s="6"/>
      <c r="Y487" s="6"/>
    </row>
    <row r="488" spans="1:25" ht="15" customHeight="1" x14ac:dyDescent="0.2">
      <c r="A488" s="88" t="s">
        <v>768</v>
      </c>
      <c r="B488" s="90"/>
      <c r="C488" s="88" t="s">
        <v>774</v>
      </c>
      <c r="D488" s="90"/>
      <c r="E488" s="106"/>
      <c r="F488" s="107"/>
      <c r="G488" s="107"/>
      <c r="H488" s="107"/>
      <c r="I488" s="108"/>
      <c r="J488" s="88" t="s">
        <v>775</v>
      </c>
      <c r="K488" s="89"/>
      <c r="L488" s="89"/>
      <c r="M488" s="90"/>
      <c r="N488" s="88" t="s">
        <v>26</v>
      </c>
      <c r="O488" s="89"/>
      <c r="P488" s="90"/>
      <c r="Q488" s="133">
        <v>1600</v>
      </c>
      <c r="R488" s="134"/>
      <c r="S488" s="5" t="s">
        <v>16</v>
      </c>
      <c r="T488" s="6"/>
      <c r="U488" s="6"/>
      <c r="V488" s="5" t="s">
        <v>702</v>
      </c>
      <c r="W488" s="9">
        <v>5349707</v>
      </c>
      <c r="X488" s="6"/>
      <c r="Y488" s="6"/>
    </row>
    <row r="489" spans="1:25" ht="15" customHeight="1" x14ac:dyDescent="0.2">
      <c r="A489" s="88" t="s">
        <v>768</v>
      </c>
      <c r="B489" s="90"/>
      <c r="C489" s="88" t="s">
        <v>776</v>
      </c>
      <c r="D489" s="90"/>
      <c r="E489" s="106"/>
      <c r="F489" s="107"/>
      <c r="G489" s="107"/>
      <c r="H489" s="107"/>
      <c r="I489" s="108"/>
      <c r="J489" s="88" t="s">
        <v>775</v>
      </c>
      <c r="K489" s="89"/>
      <c r="L489" s="89"/>
      <c r="M489" s="90"/>
      <c r="N489" s="106"/>
      <c r="O489" s="107"/>
      <c r="P489" s="108"/>
      <c r="Q489" s="133">
        <v>1600</v>
      </c>
      <c r="R489" s="134"/>
      <c r="S489" s="5" t="s">
        <v>16</v>
      </c>
      <c r="T489" s="6"/>
      <c r="U489" s="6"/>
      <c r="V489" s="5" t="s">
        <v>702</v>
      </c>
      <c r="W489" s="9">
        <v>5041693</v>
      </c>
      <c r="X489" s="6"/>
      <c r="Y489" s="6"/>
    </row>
    <row r="490" spans="1:25" ht="15" customHeight="1" x14ac:dyDescent="0.2">
      <c r="A490" s="88" t="s">
        <v>768</v>
      </c>
      <c r="B490" s="90"/>
      <c r="C490" s="88" t="s">
        <v>777</v>
      </c>
      <c r="D490" s="90"/>
      <c r="E490" s="106"/>
      <c r="F490" s="107"/>
      <c r="G490" s="107"/>
      <c r="H490" s="107"/>
      <c r="I490" s="108"/>
      <c r="J490" s="88" t="s">
        <v>775</v>
      </c>
      <c r="K490" s="89"/>
      <c r="L490" s="89"/>
      <c r="M490" s="90"/>
      <c r="N490" s="106"/>
      <c r="O490" s="107"/>
      <c r="P490" s="108"/>
      <c r="Q490" s="133">
        <v>1600</v>
      </c>
      <c r="R490" s="134"/>
      <c r="S490" s="5" t="s">
        <v>16</v>
      </c>
      <c r="T490" s="6"/>
      <c r="U490" s="6"/>
      <c r="V490" s="5" t="s">
        <v>702</v>
      </c>
      <c r="W490" s="9">
        <v>5762192</v>
      </c>
      <c r="X490" s="6"/>
      <c r="Y490" s="6"/>
    </row>
    <row r="491" spans="1:25" ht="15" customHeight="1" x14ac:dyDescent="0.2">
      <c r="A491" s="88" t="s">
        <v>768</v>
      </c>
      <c r="B491" s="90"/>
      <c r="C491" s="88" t="s">
        <v>778</v>
      </c>
      <c r="D491" s="90"/>
      <c r="E491" s="106"/>
      <c r="F491" s="107"/>
      <c r="G491" s="107"/>
      <c r="H491" s="107"/>
      <c r="I491" s="108"/>
      <c r="J491" s="88" t="s">
        <v>775</v>
      </c>
      <c r="K491" s="89"/>
      <c r="L491" s="89"/>
      <c r="M491" s="90"/>
      <c r="N491" s="88" t="s">
        <v>701</v>
      </c>
      <c r="O491" s="89"/>
      <c r="P491" s="90"/>
      <c r="Q491" s="133">
        <v>1600</v>
      </c>
      <c r="R491" s="134"/>
      <c r="S491" s="5" t="s">
        <v>16</v>
      </c>
      <c r="T491" s="6"/>
      <c r="U491" s="6"/>
      <c r="V491" s="5" t="s">
        <v>702</v>
      </c>
      <c r="W491" s="9">
        <v>5666726</v>
      </c>
      <c r="X491" s="6"/>
      <c r="Y491" s="6"/>
    </row>
    <row r="492" spans="1:25" ht="15" customHeight="1" x14ac:dyDescent="0.2">
      <c r="A492" s="88" t="s">
        <v>768</v>
      </c>
      <c r="B492" s="90"/>
      <c r="C492" s="88" t="s">
        <v>779</v>
      </c>
      <c r="D492" s="90"/>
      <c r="E492" s="106"/>
      <c r="F492" s="107"/>
      <c r="G492" s="107"/>
      <c r="H492" s="107"/>
      <c r="I492" s="108"/>
      <c r="J492" s="88" t="s">
        <v>775</v>
      </c>
      <c r="K492" s="89"/>
      <c r="L492" s="89"/>
      <c r="M492" s="90"/>
      <c r="N492" s="88" t="s">
        <v>26</v>
      </c>
      <c r="O492" s="89"/>
      <c r="P492" s="90"/>
      <c r="Q492" s="133">
        <v>1600</v>
      </c>
      <c r="R492" s="134"/>
      <c r="S492" s="5" t="s">
        <v>16</v>
      </c>
      <c r="T492" s="6"/>
      <c r="U492" s="6"/>
      <c r="V492" s="5" t="s">
        <v>702</v>
      </c>
      <c r="W492" s="9">
        <v>4676040</v>
      </c>
      <c r="X492" s="6"/>
      <c r="Y492" s="6"/>
    </row>
    <row r="493" spans="1:25" ht="15" customHeight="1" x14ac:dyDescent="0.2">
      <c r="A493" s="88" t="s">
        <v>768</v>
      </c>
      <c r="B493" s="90"/>
      <c r="C493" s="88" t="s">
        <v>780</v>
      </c>
      <c r="D493" s="90"/>
      <c r="E493" s="106"/>
      <c r="F493" s="107"/>
      <c r="G493" s="107"/>
      <c r="H493" s="107"/>
      <c r="I493" s="108"/>
      <c r="J493" s="88" t="s">
        <v>775</v>
      </c>
      <c r="K493" s="89"/>
      <c r="L493" s="89"/>
      <c r="M493" s="90"/>
      <c r="N493" s="88" t="s">
        <v>26</v>
      </c>
      <c r="O493" s="89"/>
      <c r="P493" s="90"/>
      <c r="Q493" s="133">
        <v>2000</v>
      </c>
      <c r="R493" s="134"/>
      <c r="S493" s="5" t="s">
        <v>16</v>
      </c>
      <c r="T493" s="6"/>
      <c r="U493" s="6"/>
      <c r="V493" s="5" t="s">
        <v>702</v>
      </c>
      <c r="W493" s="9">
        <v>7383316</v>
      </c>
      <c r="X493" s="6"/>
      <c r="Y493" s="6"/>
    </row>
    <row r="494" spans="1:25" ht="15" customHeight="1" x14ac:dyDescent="0.2">
      <c r="A494" s="88" t="s">
        <v>768</v>
      </c>
      <c r="B494" s="90"/>
      <c r="C494" s="88" t="s">
        <v>781</v>
      </c>
      <c r="D494" s="90"/>
      <c r="E494" s="106"/>
      <c r="F494" s="107"/>
      <c r="G494" s="107"/>
      <c r="H494" s="107"/>
      <c r="I494" s="108"/>
      <c r="J494" s="88" t="s">
        <v>775</v>
      </c>
      <c r="K494" s="89"/>
      <c r="L494" s="89"/>
      <c r="M494" s="90"/>
      <c r="N494" s="88" t="s">
        <v>701</v>
      </c>
      <c r="O494" s="89"/>
      <c r="P494" s="90"/>
      <c r="Q494" s="133">
        <v>2000</v>
      </c>
      <c r="R494" s="134"/>
      <c r="S494" s="5" t="s">
        <v>16</v>
      </c>
      <c r="T494" s="6"/>
      <c r="U494" s="6"/>
      <c r="V494" s="5" t="s">
        <v>702</v>
      </c>
      <c r="W494" s="9">
        <v>8103815</v>
      </c>
      <c r="X494" s="6"/>
      <c r="Y494" s="6"/>
    </row>
    <row r="495" spans="1:25" ht="15" customHeight="1" x14ac:dyDescent="0.2">
      <c r="A495" s="88" t="s">
        <v>768</v>
      </c>
      <c r="B495" s="90"/>
      <c r="C495" s="88" t="s">
        <v>782</v>
      </c>
      <c r="D495" s="90"/>
      <c r="E495" s="106"/>
      <c r="F495" s="107"/>
      <c r="G495" s="107"/>
      <c r="H495" s="107"/>
      <c r="I495" s="108"/>
      <c r="J495" s="88" t="s">
        <v>775</v>
      </c>
      <c r="K495" s="89"/>
      <c r="L495" s="89"/>
      <c r="M495" s="90"/>
      <c r="N495" s="88" t="s">
        <v>26</v>
      </c>
      <c r="O495" s="89"/>
      <c r="P495" s="90"/>
      <c r="Q495" s="133">
        <v>2000</v>
      </c>
      <c r="R495" s="134"/>
      <c r="S495" s="5" t="s">
        <v>16</v>
      </c>
      <c r="T495" s="6"/>
      <c r="U495" s="6"/>
      <c r="V495" s="5" t="s">
        <v>702</v>
      </c>
      <c r="W495" s="9">
        <v>7023066</v>
      </c>
      <c r="X495" s="6"/>
      <c r="Y495" s="6"/>
    </row>
    <row r="496" spans="1:25" ht="15" customHeight="1" x14ac:dyDescent="0.2">
      <c r="A496" s="88" t="s">
        <v>768</v>
      </c>
      <c r="B496" s="90"/>
      <c r="C496" s="88" t="s">
        <v>783</v>
      </c>
      <c r="D496" s="90"/>
      <c r="E496" s="88" t="s">
        <v>784</v>
      </c>
      <c r="F496" s="89"/>
      <c r="G496" s="89"/>
      <c r="H496" s="89"/>
      <c r="I496" s="90"/>
      <c r="J496" s="88" t="s">
        <v>770</v>
      </c>
      <c r="K496" s="89"/>
      <c r="L496" s="89"/>
      <c r="M496" s="90"/>
      <c r="N496" s="106"/>
      <c r="O496" s="107"/>
      <c r="P496" s="108"/>
      <c r="Q496" s="133">
        <v>1500</v>
      </c>
      <c r="R496" s="134"/>
      <c r="S496" s="5" t="s">
        <v>16</v>
      </c>
      <c r="T496" s="6"/>
      <c r="U496" s="8">
        <v>5</v>
      </c>
      <c r="V496" s="5" t="s">
        <v>702</v>
      </c>
      <c r="W496" s="12">
        <v>4543402</v>
      </c>
      <c r="X496" s="6"/>
      <c r="Y496" s="6"/>
    </row>
    <row r="497" spans="1:25" ht="15" customHeight="1" x14ac:dyDescent="0.2">
      <c r="A497" s="88" t="s">
        <v>768</v>
      </c>
      <c r="B497" s="90"/>
      <c r="C497" s="88" t="s">
        <v>783</v>
      </c>
      <c r="D497" s="90"/>
      <c r="E497" s="88" t="s">
        <v>785</v>
      </c>
      <c r="F497" s="89"/>
      <c r="G497" s="89"/>
      <c r="H497" s="89"/>
      <c r="I497" s="90"/>
      <c r="J497" s="88" t="s">
        <v>770</v>
      </c>
      <c r="K497" s="89"/>
      <c r="L497" s="89"/>
      <c r="M497" s="90"/>
      <c r="N497" s="106"/>
      <c r="O497" s="107"/>
      <c r="P497" s="108"/>
      <c r="Q497" s="133">
        <v>1500</v>
      </c>
      <c r="R497" s="134"/>
      <c r="S497" s="5" t="s">
        <v>16</v>
      </c>
      <c r="T497" s="6"/>
      <c r="U497" s="8">
        <v>5</v>
      </c>
      <c r="V497" s="5" t="s">
        <v>702</v>
      </c>
      <c r="W497" s="12">
        <v>5468165</v>
      </c>
      <c r="X497" s="6"/>
      <c r="Y497" s="6"/>
    </row>
    <row r="498" spans="1:25" ht="15" customHeight="1" x14ac:dyDescent="0.2">
      <c r="A498" s="88" t="s">
        <v>768</v>
      </c>
      <c r="B498" s="90"/>
      <c r="C498" s="88" t="s">
        <v>783</v>
      </c>
      <c r="D498" s="90"/>
      <c r="E498" s="88" t="s">
        <v>786</v>
      </c>
      <c r="F498" s="89"/>
      <c r="G498" s="89"/>
      <c r="H498" s="89"/>
      <c r="I498" s="90"/>
      <c r="J498" s="88" t="s">
        <v>13</v>
      </c>
      <c r="K498" s="89"/>
      <c r="L498" s="89"/>
      <c r="M498" s="90"/>
      <c r="N498" s="88" t="s">
        <v>701</v>
      </c>
      <c r="O498" s="89"/>
      <c r="P498" s="90"/>
      <c r="Q498" s="133">
        <v>1600</v>
      </c>
      <c r="R498" s="134"/>
      <c r="S498" s="5" t="s">
        <v>16</v>
      </c>
      <c r="T498" s="6"/>
      <c r="U498" s="8">
        <v>5</v>
      </c>
      <c r="V498" s="5" t="s">
        <v>702</v>
      </c>
      <c r="W498" s="12">
        <v>6171790</v>
      </c>
      <c r="X498" s="6"/>
      <c r="Y498" s="6"/>
    </row>
    <row r="499" spans="1:25" ht="15" customHeight="1" x14ac:dyDescent="0.2">
      <c r="A499" s="88" t="s">
        <v>768</v>
      </c>
      <c r="B499" s="90"/>
      <c r="C499" s="88" t="s">
        <v>783</v>
      </c>
      <c r="D499" s="90"/>
      <c r="E499" s="88" t="s">
        <v>786</v>
      </c>
      <c r="F499" s="89"/>
      <c r="G499" s="89"/>
      <c r="H499" s="89"/>
      <c r="I499" s="90"/>
      <c r="J499" s="88" t="s">
        <v>13</v>
      </c>
      <c r="K499" s="89"/>
      <c r="L499" s="89"/>
      <c r="M499" s="90"/>
      <c r="N499" s="88" t="s">
        <v>22</v>
      </c>
      <c r="O499" s="89"/>
      <c r="P499" s="90"/>
      <c r="Q499" s="133">
        <v>1600</v>
      </c>
      <c r="R499" s="134"/>
      <c r="S499" s="5" t="s">
        <v>16</v>
      </c>
      <c r="T499" s="6"/>
      <c r="U499" s="8">
        <v>5</v>
      </c>
      <c r="V499" s="5" t="s">
        <v>702</v>
      </c>
      <c r="W499" s="12">
        <v>5789822</v>
      </c>
      <c r="X499" s="6"/>
      <c r="Y499" s="6"/>
    </row>
    <row r="500" spans="1:25" ht="15" customHeight="1" x14ac:dyDescent="0.2">
      <c r="A500" s="88" t="s">
        <v>787</v>
      </c>
      <c r="B500" s="90"/>
      <c r="C500" s="88" t="s">
        <v>788</v>
      </c>
      <c r="D500" s="90"/>
      <c r="E500" s="106"/>
      <c r="F500" s="107"/>
      <c r="G500" s="107"/>
      <c r="H500" s="107"/>
      <c r="I500" s="108"/>
      <c r="J500" s="88" t="s">
        <v>13</v>
      </c>
      <c r="K500" s="89"/>
      <c r="L500" s="89"/>
      <c r="M500" s="90"/>
      <c r="N500" s="88" t="s">
        <v>26</v>
      </c>
      <c r="O500" s="89"/>
      <c r="P500" s="90"/>
      <c r="Q500" s="133">
        <v>5700</v>
      </c>
      <c r="R500" s="134"/>
      <c r="S500" s="5" t="s">
        <v>44</v>
      </c>
      <c r="T500" s="6"/>
      <c r="U500" s="6"/>
      <c r="V500" s="5" t="s">
        <v>23</v>
      </c>
      <c r="W500" s="12">
        <v>8187733</v>
      </c>
      <c r="X500" s="6"/>
      <c r="Y500" s="6"/>
    </row>
    <row r="501" spans="1:25" ht="15" customHeight="1" x14ac:dyDescent="0.2">
      <c r="A501" s="88" t="s">
        <v>787</v>
      </c>
      <c r="B501" s="90"/>
      <c r="C501" s="88" t="s">
        <v>789</v>
      </c>
      <c r="D501" s="90"/>
      <c r="E501" s="106"/>
      <c r="F501" s="107"/>
      <c r="G501" s="107"/>
      <c r="H501" s="107"/>
      <c r="I501" s="108"/>
      <c r="J501" s="88" t="s">
        <v>13</v>
      </c>
      <c r="K501" s="89"/>
      <c r="L501" s="89"/>
      <c r="M501" s="90"/>
      <c r="N501" s="88" t="s">
        <v>26</v>
      </c>
      <c r="O501" s="89"/>
      <c r="P501" s="90"/>
      <c r="Q501" s="133">
        <v>5700</v>
      </c>
      <c r="R501" s="134"/>
      <c r="S501" s="5" t="s">
        <v>16</v>
      </c>
      <c r="T501" s="6"/>
      <c r="U501" s="6"/>
      <c r="V501" s="5" t="s">
        <v>23</v>
      </c>
      <c r="W501" s="12">
        <v>26010128</v>
      </c>
      <c r="X501" s="6"/>
      <c r="Y501" s="6"/>
    </row>
    <row r="502" spans="1:25" ht="15" customHeight="1" x14ac:dyDescent="0.2">
      <c r="A502" s="88" t="s">
        <v>787</v>
      </c>
      <c r="B502" s="90"/>
      <c r="C502" s="88" t="s">
        <v>790</v>
      </c>
      <c r="D502" s="90"/>
      <c r="E502" s="106"/>
      <c r="F502" s="107"/>
      <c r="G502" s="107"/>
      <c r="H502" s="107"/>
      <c r="I502" s="108"/>
      <c r="J502" s="88" t="s">
        <v>13</v>
      </c>
      <c r="K502" s="89"/>
      <c r="L502" s="89"/>
      <c r="M502" s="90"/>
      <c r="N502" s="88" t="s">
        <v>22</v>
      </c>
      <c r="O502" s="89"/>
      <c r="P502" s="90"/>
      <c r="Q502" s="133">
        <v>2400</v>
      </c>
      <c r="R502" s="134"/>
      <c r="S502" s="5" t="s">
        <v>16</v>
      </c>
      <c r="T502" s="6"/>
      <c r="U502" s="6"/>
      <c r="V502" s="5" t="s">
        <v>23</v>
      </c>
      <c r="W502" s="12">
        <v>9295748</v>
      </c>
      <c r="X502" s="6"/>
      <c r="Y502" s="6"/>
    </row>
    <row r="503" spans="1:25" ht="15" customHeight="1" x14ac:dyDescent="0.2">
      <c r="A503" s="88" t="s">
        <v>787</v>
      </c>
      <c r="B503" s="90"/>
      <c r="C503" s="88" t="s">
        <v>791</v>
      </c>
      <c r="D503" s="90"/>
      <c r="E503" s="106"/>
      <c r="F503" s="107"/>
      <c r="G503" s="107"/>
      <c r="H503" s="107"/>
      <c r="I503" s="108"/>
      <c r="J503" s="88" t="s">
        <v>13</v>
      </c>
      <c r="K503" s="89"/>
      <c r="L503" s="89"/>
      <c r="M503" s="90"/>
      <c r="N503" s="88" t="s">
        <v>26</v>
      </c>
      <c r="O503" s="89"/>
      <c r="P503" s="90"/>
      <c r="Q503" s="133">
        <v>2400</v>
      </c>
      <c r="R503" s="134"/>
      <c r="S503" s="5" t="s">
        <v>16</v>
      </c>
      <c r="T503" s="6"/>
      <c r="U503" s="6"/>
      <c r="V503" s="5" t="s">
        <v>23</v>
      </c>
      <c r="W503" s="12">
        <v>5882081</v>
      </c>
      <c r="X503" s="6"/>
      <c r="Y503" s="6"/>
    </row>
    <row r="504" spans="1:25" ht="15" customHeight="1" x14ac:dyDescent="0.2">
      <c r="A504" s="88" t="s">
        <v>787</v>
      </c>
      <c r="B504" s="90"/>
      <c r="C504" s="88" t="s">
        <v>792</v>
      </c>
      <c r="D504" s="90"/>
      <c r="E504" s="106"/>
      <c r="F504" s="107"/>
      <c r="G504" s="107"/>
      <c r="H504" s="107"/>
      <c r="I504" s="108"/>
      <c r="J504" s="88" t="s">
        <v>13</v>
      </c>
      <c r="K504" s="89"/>
      <c r="L504" s="89"/>
      <c r="M504" s="90"/>
      <c r="N504" s="88" t="s">
        <v>22</v>
      </c>
      <c r="O504" s="89"/>
      <c r="P504" s="90"/>
      <c r="Q504" s="133">
        <v>3600</v>
      </c>
      <c r="R504" s="134"/>
      <c r="S504" s="5" t="s">
        <v>793</v>
      </c>
      <c r="T504" s="6"/>
      <c r="U504" s="6"/>
      <c r="V504" s="5" t="s">
        <v>23</v>
      </c>
      <c r="W504" s="12">
        <v>9442632</v>
      </c>
      <c r="X504" s="6"/>
      <c r="Y504" s="6"/>
    </row>
    <row r="505" spans="1:25" ht="15" customHeight="1" x14ac:dyDescent="0.2">
      <c r="A505" s="88" t="s">
        <v>787</v>
      </c>
      <c r="B505" s="90"/>
      <c r="C505" s="88" t="s">
        <v>794</v>
      </c>
      <c r="D505" s="90"/>
      <c r="E505" s="106"/>
      <c r="F505" s="107"/>
      <c r="G505" s="107"/>
      <c r="H505" s="107"/>
      <c r="I505" s="108"/>
      <c r="J505" s="88" t="s">
        <v>13</v>
      </c>
      <c r="K505" s="89"/>
      <c r="L505" s="89"/>
      <c r="M505" s="90"/>
      <c r="N505" s="88" t="s">
        <v>26</v>
      </c>
      <c r="O505" s="89"/>
      <c r="P505" s="90"/>
      <c r="Q505" s="133">
        <v>2000</v>
      </c>
      <c r="R505" s="134"/>
      <c r="S505" s="5" t="s">
        <v>119</v>
      </c>
      <c r="T505" s="6"/>
      <c r="U505" s="6"/>
      <c r="V505" s="5" t="s">
        <v>23</v>
      </c>
      <c r="W505" s="12">
        <v>18857431</v>
      </c>
      <c r="X505" s="6"/>
      <c r="Y505" s="6"/>
    </row>
    <row r="506" spans="1:25" ht="15" customHeight="1" x14ac:dyDescent="0.2">
      <c r="A506" s="88" t="s">
        <v>787</v>
      </c>
      <c r="B506" s="90"/>
      <c r="C506" s="88" t="s">
        <v>795</v>
      </c>
      <c r="D506" s="90"/>
      <c r="E506" s="106"/>
      <c r="F506" s="107"/>
      <c r="G506" s="107"/>
      <c r="H506" s="107"/>
      <c r="I506" s="108"/>
      <c r="J506" s="88" t="s">
        <v>13</v>
      </c>
      <c r="K506" s="89"/>
      <c r="L506" s="89"/>
      <c r="M506" s="90"/>
      <c r="N506" s="88" t="s">
        <v>26</v>
      </c>
      <c r="O506" s="89"/>
      <c r="P506" s="90"/>
      <c r="Q506" s="133">
        <v>6200</v>
      </c>
      <c r="R506" s="134"/>
      <c r="S506" s="5" t="s">
        <v>271</v>
      </c>
      <c r="T506" s="6"/>
      <c r="U506" s="6"/>
      <c r="V506" s="5" t="s">
        <v>23</v>
      </c>
      <c r="W506" s="12">
        <v>11696762</v>
      </c>
      <c r="X506" s="6"/>
      <c r="Y506" s="6"/>
    </row>
    <row r="507" spans="1:25" ht="15" customHeight="1" x14ac:dyDescent="0.2">
      <c r="A507" s="88" t="s">
        <v>787</v>
      </c>
      <c r="B507" s="90"/>
      <c r="C507" s="88" t="s">
        <v>796</v>
      </c>
      <c r="D507" s="90"/>
      <c r="E507" s="106"/>
      <c r="F507" s="107"/>
      <c r="G507" s="107"/>
      <c r="H507" s="107"/>
      <c r="I507" s="108"/>
      <c r="J507" s="88" t="s">
        <v>599</v>
      </c>
      <c r="K507" s="89"/>
      <c r="L507" s="89"/>
      <c r="M507" s="90"/>
      <c r="N507" s="88" t="s">
        <v>26</v>
      </c>
      <c r="O507" s="89"/>
      <c r="P507" s="90"/>
      <c r="Q507" s="133">
        <v>6500</v>
      </c>
      <c r="R507" s="134"/>
      <c r="S507" s="5" t="s">
        <v>271</v>
      </c>
      <c r="T507" s="6"/>
      <c r="U507" s="6"/>
      <c r="V507" s="5" t="s">
        <v>23</v>
      </c>
      <c r="W507" s="12">
        <v>22138610</v>
      </c>
      <c r="X507" s="6"/>
      <c r="Y507" s="6"/>
    </row>
    <row r="508" spans="1:25" ht="15" customHeight="1" x14ac:dyDescent="0.2">
      <c r="A508" s="88" t="s">
        <v>787</v>
      </c>
      <c r="B508" s="90"/>
      <c r="C508" s="88" t="s">
        <v>797</v>
      </c>
      <c r="D508" s="90"/>
      <c r="E508" s="106"/>
      <c r="F508" s="107"/>
      <c r="G508" s="107"/>
      <c r="H508" s="107"/>
      <c r="I508" s="108"/>
      <c r="J508" s="88" t="s">
        <v>13</v>
      </c>
      <c r="K508" s="89"/>
      <c r="L508" s="89"/>
      <c r="M508" s="90"/>
      <c r="N508" s="88" t="s">
        <v>26</v>
      </c>
      <c r="O508" s="89"/>
      <c r="P508" s="90"/>
      <c r="Q508" s="133">
        <v>2000</v>
      </c>
      <c r="R508" s="134"/>
      <c r="S508" s="5" t="s">
        <v>119</v>
      </c>
      <c r="T508" s="6"/>
      <c r="U508" s="6"/>
      <c r="V508" s="5" t="s">
        <v>23</v>
      </c>
      <c r="W508" s="12">
        <v>20575087</v>
      </c>
      <c r="X508" s="6"/>
      <c r="Y508" s="6"/>
    </row>
    <row r="509" spans="1:25" ht="15" customHeight="1" x14ac:dyDescent="0.2">
      <c r="A509" s="88" t="s">
        <v>787</v>
      </c>
      <c r="B509" s="90"/>
      <c r="C509" s="88" t="s">
        <v>798</v>
      </c>
      <c r="D509" s="90"/>
      <c r="E509" s="106"/>
      <c r="F509" s="107"/>
      <c r="G509" s="107"/>
      <c r="H509" s="107"/>
      <c r="I509" s="108"/>
      <c r="J509" s="88" t="s">
        <v>13</v>
      </c>
      <c r="K509" s="89"/>
      <c r="L509" s="89"/>
      <c r="M509" s="90"/>
      <c r="N509" s="88" t="s">
        <v>26</v>
      </c>
      <c r="O509" s="89"/>
      <c r="P509" s="90"/>
      <c r="Q509" s="133">
        <v>6200</v>
      </c>
      <c r="R509" s="134"/>
      <c r="S509" s="5" t="s">
        <v>271</v>
      </c>
      <c r="T509" s="6"/>
      <c r="U509" s="6"/>
      <c r="V509" s="5" t="s">
        <v>23</v>
      </c>
      <c r="W509" s="12">
        <v>20500228</v>
      </c>
      <c r="X509" s="6"/>
      <c r="Y509" s="6"/>
    </row>
    <row r="510" spans="1:25" ht="15" customHeight="1" x14ac:dyDescent="0.2">
      <c r="A510" s="88" t="s">
        <v>787</v>
      </c>
      <c r="B510" s="90"/>
      <c r="C510" s="88" t="s">
        <v>799</v>
      </c>
      <c r="D510" s="90"/>
      <c r="E510" s="88" t="s">
        <v>800</v>
      </c>
      <c r="F510" s="89"/>
      <c r="G510" s="89"/>
      <c r="H510" s="89"/>
      <c r="I510" s="90"/>
      <c r="J510" s="88" t="s">
        <v>13</v>
      </c>
      <c r="K510" s="89"/>
      <c r="L510" s="89"/>
      <c r="M510" s="90"/>
      <c r="N510" s="88" t="s">
        <v>26</v>
      </c>
      <c r="O510" s="89"/>
      <c r="P510" s="90"/>
      <c r="Q510" s="133">
        <v>2000</v>
      </c>
      <c r="R510" s="134"/>
      <c r="S510" s="5" t="s">
        <v>119</v>
      </c>
      <c r="T510" s="6"/>
      <c r="U510" s="6"/>
      <c r="V510" s="5" t="s">
        <v>23</v>
      </c>
      <c r="W510" s="12">
        <v>13801293</v>
      </c>
      <c r="X510" s="6"/>
      <c r="Y510" s="6"/>
    </row>
    <row r="511" spans="1:25" ht="15" customHeight="1" x14ac:dyDescent="0.2">
      <c r="A511" s="88" t="s">
        <v>787</v>
      </c>
      <c r="B511" s="90"/>
      <c r="C511" s="88" t="s">
        <v>801</v>
      </c>
      <c r="D511" s="90"/>
      <c r="E511" s="88" t="s">
        <v>802</v>
      </c>
      <c r="F511" s="89"/>
      <c r="G511" s="89"/>
      <c r="H511" s="89"/>
      <c r="I511" s="90"/>
      <c r="J511" s="88" t="s">
        <v>13</v>
      </c>
      <c r="K511" s="89"/>
      <c r="L511" s="89"/>
      <c r="M511" s="90"/>
      <c r="N511" s="88" t="s">
        <v>26</v>
      </c>
      <c r="O511" s="89"/>
      <c r="P511" s="90"/>
      <c r="Q511" s="133">
        <v>2000</v>
      </c>
      <c r="R511" s="134"/>
      <c r="S511" s="5" t="s">
        <v>271</v>
      </c>
      <c r="T511" s="6"/>
      <c r="U511" s="6"/>
      <c r="V511" s="5" t="s">
        <v>23</v>
      </c>
      <c r="W511" s="12">
        <v>20624771</v>
      </c>
      <c r="X511" s="6"/>
      <c r="Y511" s="6"/>
    </row>
    <row r="512" spans="1:25" ht="15" customHeight="1" x14ac:dyDescent="0.2">
      <c r="A512" s="88" t="s">
        <v>787</v>
      </c>
      <c r="B512" s="90"/>
      <c r="C512" s="88" t="s">
        <v>797</v>
      </c>
      <c r="D512" s="90"/>
      <c r="E512" s="106"/>
      <c r="F512" s="107"/>
      <c r="G512" s="107"/>
      <c r="H512" s="107"/>
      <c r="I512" s="108"/>
      <c r="J512" s="88" t="s">
        <v>13</v>
      </c>
      <c r="K512" s="89"/>
      <c r="L512" s="89"/>
      <c r="M512" s="90"/>
      <c r="N512" s="88" t="s">
        <v>26</v>
      </c>
      <c r="O512" s="89"/>
      <c r="P512" s="90"/>
      <c r="Q512" s="133">
        <v>2000</v>
      </c>
      <c r="R512" s="134"/>
      <c r="S512" s="5" t="s">
        <v>271</v>
      </c>
      <c r="T512" s="6"/>
      <c r="U512" s="6"/>
      <c r="V512" s="5" t="s">
        <v>23</v>
      </c>
      <c r="W512" s="12">
        <v>10208057</v>
      </c>
      <c r="X512" s="6"/>
      <c r="Y512" s="6"/>
    </row>
    <row r="513" spans="1:25" ht="15" customHeight="1" x14ac:dyDescent="0.2">
      <c r="A513" s="88" t="s">
        <v>787</v>
      </c>
      <c r="B513" s="90"/>
      <c r="C513" s="88" t="s">
        <v>803</v>
      </c>
      <c r="D513" s="90"/>
      <c r="E513" s="106"/>
      <c r="F513" s="107"/>
      <c r="G513" s="107"/>
      <c r="H513" s="107"/>
      <c r="I513" s="108"/>
      <c r="J513" s="88" t="s">
        <v>13</v>
      </c>
      <c r="K513" s="89"/>
      <c r="L513" s="89"/>
      <c r="M513" s="90"/>
      <c r="N513" s="88" t="s">
        <v>26</v>
      </c>
      <c r="O513" s="89"/>
      <c r="P513" s="90"/>
      <c r="Q513" s="133">
        <v>6200</v>
      </c>
      <c r="R513" s="134"/>
      <c r="S513" s="5" t="s">
        <v>804</v>
      </c>
      <c r="T513" s="6"/>
      <c r="U513" s="6"/>
      <c r="V513" s="5" t="s">
        <v>23</v>
      </c>
      <c r="W513" s="12">
        <v>22634120</v>
      </c>
      <c r="X513" s="6"/>
      <c r="Y513" s="6"/>
    </row>
    <row r="514" spans="1:25" ht="15" customHeight="1" x14ac:dyDescent="0.2">
      <c r="A514" s="88" t="s">
        <v>787</v>
      </c>
      <c r="B514" s="90"/>
      <c r="C514" s="88" t="s">
        <v>805</v>
      </c>
      <c r="D514" s="90"/>
      <c r="E514" s="106"/>
      <c r="F514" s="107"/>
      <c r="G514" s="107"/>
      <c r="H514" s="107"/>
      <c r="I514" s="108"/>
      <c r="J514" s="88" t="s">
        <v>13</v>
      </c>
      <c r="K514" s="89"/>
      <c r="L514" s="89"/>
      <c r="M514" s="90"/>
      <c r="N514" s="88" t="s">
        <v>26</v>
      </c>
      <c r="O514" s="89"/>
      <c r="P514" s="90"/>
      <c r="Q514" s="133">
        <v>6200</v>
      </c>
      <c r="R514" s="134"/>
      <c r="S514" s="5" t="s">
        <v>271</v>
      </c>
      <c r="T514" s="6"/>
      <c r="U514" s="6"/>
      <c r="V514" s="5" t="s">
        <v>23</v>
      </c>
      <c r="W514" s="12">
        <v>22223054</v>
      </c>
      <c r="X514" s="6"/>
      <c r="Y514" s="6"/>
    </row>
    <row r="515" spans="1:25" ht="15" customHeight="1" x14ac:dyDescent="0.2">
      <c r="A515" s="88" t="s">
        <v>787</v>
      </c>
      <c r="B515" s="90"/>
      <c r="C515" s="88" t="s">
        <v>806</v>
      </c>
      <c r="D515" s="90"/>
      <c r="E515" s="106"/>
      <c r="F515" s="107"/>
      <c r="G515" s="107"/>
      <c r="H515" s="107"/>
      <c r="I515" s="108"/>
      <c r="J515" s="88" t="s">
        <v>13</v>
      </c>
      <c r="K515" s="89"/>
      <c r="L515" s="89"/>
      <c r="M515" s="90"/>
      <c r="N515" s="88" t="s">
        <v>26</v>
      </c>
      <c r="O515" s="89"/>
      <c r="P515" s="90"/>
      <c r="Q515" s="133">
        <v>6200</v>
      </c>
      <c r="R515" s="134"/>
      <c r="S515" s="5" t="s">
        <v>271</v>
      </c>
      <c r="T515" s="6"/>
      <c r="U515" s="6"/>
      <c r="V515" s="5" t="s">
        <v>23</v>
      </c>
      <c r="W515" s="12">
        <v>20018244</v>
      </c>
      <c r="X515" s="6"/>
      <c r="Y515" s="6"/>
    </row>
    <row r="516" spans="1:25" ht="15" customHeight="1" x14ac:dyDescent="0.2">
      <c r="A516" s="88" t="s">
        <v>787</v>
      </c>
      <c r="B516" s="90"/>
      <c r="C516" s="88" t="s">
        <v>807</v>
      </c>
      <c r="D516" s="90"/>
      <c r="E516" s="88" t="s">
        <v>808</v>
      </c>
      <c r="F516" s="89"/>
      <c r="G516" s="89"/>
      <c r="H516" s="89"/>
      <c r="I516" s="90"/>
      <c r="J516" s="88" t="s">
        <v>13</v>
      </c>
      <c r="K516" s="89"/>
      <c r="L516" s="89"/>
      <c r="M516" s="90"/>
      <c r="N516" s="88" t="s">
        <v>26</v>
      </c>
      <c r="O516" s="89"/>
      <c r="P516" s="90"/>
      <c r="Q516" s="133">
        <v>6200</v>
      </c>
      <c r="R516" s="134"/>
      <c r="S516" s="5" t="s">
        <v>119</v>
      </c>
      <c r="T516" s="6"/>
      <c r="U516" s="6"/>
      <c r="V516" s="5" t="s">
        <v>23</v>
      </c>
      <c r="W516" s="12">
        <v>10234666</v>
      </c>
      <c r="X516" s="6"/>
      <c r="Y516" s="6"/>
    </row>
    <row r="517" spans="1:25" ht="15" customHeight="1" x14ac:dyDescent="0.2">
      <c r="A517" s="88" t="s">
        <v>787</v>
      </c>
      <c r="B517" s="90"/>
      <c r="C517" s="88" t="s">
        <v>809</v>
      </c>
      <c r="D517" s="90"/>
      <c r="E517" s="106"/>
      <c r="F517" s="107"/>
      <c r="G517" s="107"/>
      <c r="H517" s="107"/>
      <c r="I517" s="108"/>
      <c r="J517" s="88" t="s">
        <v>13</v>
      </c>
      <c r="K517" s="89"/>
      <c r="L517" s="89"/>
      <c r="M517" s="90"/>
      <c r="N517" s="88" t="s">
        <v>26</v>
      </c>
      <c r="O517" s="89"/>
      <c r="P517" s="90"/>
      <c r="Q517" s="133">
        <v>6200</v>
      </c>
      <c r="R517" s="134"/>
      <c r="S517" s="5" t="s">
        <v>271</v>
      </c>
      <c r="T517" s="6"/>
      <c r="U517" s="6"/>
      <c r="V517" s="5" t="s">
        <v>23</v>
      </c>
      <c r="W517" s="12">
        <v>13646222</v>
      </c>
      <c r="X517" s="6"/>
      <c r="Y517" s="6"/>
    </row>
    <row r="518" spans="1:25" ht="15" customHeight="1" x14ac:dyDescent="0.2">
      <c r="A518" s="88" t="s">
        <v>787</v>
      </c>
      <c r="B518" s="90"/>
      <c r="C518" s="88" t="s">
        <v>810</v>
      </c>
      <c r="D518" s="90"/>
      <c r="E518" s="106"/>
      <c r="F518" s="107"/>
      <c r="G518" s="107"/>
      <c r="H518" s="107"/>
      <c r="I518" s="108"/>
      <c r="J518" s="88" t="s">
        <v>13</v>
      </c>
      <c r="K518" s="89"/>
      <c r="L518" s="89"/>
      <c r="M518" s="90"/>
      <c r="N518" s="88" t="s">
        <v>26</v>
      </c>
      <c r="O518" s="89"/>
      <c r="P518" s="90"/>
      <c r="Q518" s="133">
        <v>6200</v>
      </c>
      <c r="R518" s="134"/>
      <c r="S518" s="5" t="s">
        <v>271</v>
      </c>
      <c r="T518" s="6"/>
      <c r="U518" s="6"/>
      <c r="V518" s="5" t="s">
        <v>23</v>
      </c>
      <c r="W518" s="12">
        <v>26090813</v>
      </c>
      <c r="X518" s="6"/>
      <c r="Y518" s="6"/>
    </row>
    <row r="519" spans="1:25" ht="15" customHeight="1" x14ac:dyDescent="0.2">
      <c r="A519" s="88" t="s">
        <v>787</v>
      </c>
      <c r="B519" s="90"/>
      <c r="C519" s="88" t="s">
        <v>811</v>
      </c>
      <c r="D519" s="90"/>
      <c r="E519" s="106"/>
      <c r="F519" s="107"/>
      <c r="G519" s="107"/>
      <c r="H519" s="107"/>
      <c r="I519" s="108"/>
      <c r="J519" s="88" t="s">
        <v>13</v>
      </c>
      <c r="K519" s="89"/>
      <c r="L519" s="89"/>
      <c r="M519" s="90"/>
      <c r="N519" s="88" t="s">
        <v>26</v>
      </c>
      <c r="O519" s="89"/>
      <c r="P519" s="90"/>
      <c r="Q519" s="133">
        <v>5500</v>
      </c>
      <c r="R519" s="134"/>
      <c r="S519" s="5" t="s">
        <v>271</v>
      </c>
      <c r="T519" s="6"/>
      <c r="U519" s="6"/>
      <c r="V519" s="5" t="s">
        <v>23</v>
      </c>
      <c r="W519" s="12">
        <v>40506157</v>
      </c>
      <c r="X519" s="6"/>
      <c r="Y519" s="6"/>
    </row>
    <row r="520" spans="1:25" ht="15" customHeight="1" x14ac:dyDescent="0.2">
      <c r="A520" s="88" t="s">
        <v>787</v>
      </c>
      <c r="B520" s="90"/>
      <c r="C520" s="88" t="s">
        <v>809</v>
      </c>
      <c r="D520" s="90"/>
      <c r="E520" s="106"/>
      <c r="F520" s="107"/>
      <c r="G520" s="107"/>
      <c r="H520" s="107"/>
      <c r="I520" s="108"/>
      <c r="J520" s="88" t="s">
        <v>13</v>
      </c>
      <c r="K520" s="89"/>
      <c r="L520" s="89"/>
      <c r="M520" s="90"/>
      <c r="N520" s="88" t="s">
        <v>26</v>
      </c>
      <c r="O520" s="89"/>
      <c r="P520" s="90"/>
      <c r="Q520" s="133">
        <v>6200</v>
      </c>
      <c r="R520" s="134"/>
      <c r="S520" s="5" t="s">
        <v>271</v>
      </c>
      <c r="T520" s="6"/>
      <c r="U520" s="6"/>
      <c r="V520" s="5" t="s">
        <v>23</v>
      </c>
      <c r="W520" s="12">
        <v>26774508</v>
      </c>
      <c r="X520" s="6"/>
      <c r="Y520" s="6"/>
    </row>
    <row r="521" spans="1:25" ht="15" customHeight="1" x14ac:dyDescent="0.2">
      <c r="A521" s="88" t="s">
        <v>787</v>
      </c>
      <c r="B521" s="90"/>
      <c r="C521" s="88" t="s">
        <v>812</v>
      </c>
      <c r="D521" s="90"/>
      <c r="E521" s="106"/>
      <c r="F521" s="107"/>
      <c r="G521" s="107"/>
      <c r="H521" s="107"/>
      <c r="I521" s="108"/>
      <c r="J521" s="88" t="s">
        <v>13</v>
      </c>
      <c r="K521" s="89"/>
      <c r="L521" s="89"/>
      <c r="M521" s="90"/>
      <c r="N521" s="88" t="s">
        <v>26</v>
      </c>
      <c r="O521" s="89"/>
      <c r="P521" s="90"/>
      <c r="Q521" s="133">
        <v>5500</v>
      </c>
      <c r="R521" s="134"/>
      <c r="S521" s="5" t="s">
        <v>271</v>
      </c>
      <c r="T521" s="6"/>
      <c r="U521" s="6"/>
      <c r="V521" s="5" t="s">
        <v>23</v>
      </c>
      <c r="W521" s="12">
        <v>39450464</v>
      </c>
      <c r="X521" s="6"/>
      <c r="Y521" s="6"/>
    </row>
    <row r="522" spans="1:25" ht="15" customHeight="1" x14ac:dyDescent="0.2">
      <c r="A522" s="88" t="s">
        <v>787</v>
      </c>
      <c r="B522" s="90"/>
      <c r="C522" s="88" t="s">
        <v>813</v>
      </c>
      <c r="D522" s="90"/>
      <c r="E522" s="106"/>
      <c r="F522" s="107"/>
      <c r="G522" s="107"/>
      <c r="H522" s="107"/>
      <c r="I522" s="108"/>
      <c r="J522" s="88" t="s">
        <v>13</v>
      </c>
      <c r="K522" s="89"/>
      <c r="L522" s="89"/>
      <c r="M522" s="90"/>
      <c r="N522" s="88" t="s">
        <v>26</v>
      </c>
      <c r="O522" s="89"/>
      <c r="P522" s="90"/>
      <c r="Q522" s="133">
        <v>5700</v>
      </c>
      <c r="R522" s="134"/>
      <c r="S522" s="5" t="s">
        <v>814</v>
      </c>
      <c r="T522" s="6"/>
      <c r="U522" s="6"/>
      <c r="V522" s="5" t="s">
        <v>23</v>
      </c>
      <c r="W522" s="12">
        <v>7243404</v>
      </c>
      <c r="X522" s="6"/>
      <c r="Y522" s="6"/>
    </row>
    <row r="523" spans="1:25" ht="15" customHeight="1" x14ac:dyDescent="0.2">
      <c r="A523" s="88" t="s">
        <v>787</v>
      </c>
      <c r="B523" s="90"/>
      <c r="C523" s="88" t="s">
        <v>815</v>
      </c>
      <c r="D523" s="90"/>
      <c r="E523" s="106"/>
      <c r="F523" s="107"/>
      <c r="G523" s="107"/>
      <c r="H523" s="107"/>
      <c r="I523" s="108"/>
      <c r="J523" s="88" t="s">
        <v>13</v>
      </c>
      <c r="K523" s="89"/>
      <c r="L523" s="89"/>
      <c r="M523" s="90"/>
      <c r="N523" s="106"/>
      <c r="O523" s="107"/>
      <c r="P523" s="108"/>
      <c r="Q523" s="133">
        <v>6200</v>
      </c>
      <c r="R523" s="134"/>
      <c r="S523" s="5" t="s">
        <v>271</v>
      </c>
      <c r="T523" s="6"/>
      <c r="U523" s="6"/>
      <c r="V523" s="5" t="s">
        <v>23</v>
      </c>
      <c r="W523" s="12">
        <v>24518398</v>
      </c>
      <c r="X523" s="6"/>
      <c r="Y523" s="6"/>
    </row>
    <row r="524" spans="1:25" ht="15" customHeight="1" x14ac:dyDescent="0.2">
      <c r="A524" s="88" t="s">
        <v>787</v>
      </c>
      <c r="B524" s="90"/>
      <c r="C524" s="88" t="s">
        <v>816</v>
      </c>
      <c r="D524" s="90"/>
      <c r="E524" s="106"/>
      <c r="F524" s="107"/>
      <c r="G524" s="107"/>
      <c r="H524" s="107"/>
      <c r="I524" s="108"/>
      <c r="J524" s="88" t="s">
        <v>817</v>
      </c>
      <c r="K524" s="89"/>
      <c r="L524" s="89"/>
      <c r="M524" s="90"/>
      <c r="N524" s="106"/>
      <c r="O524" s="107"/>
      <c r="P524" s="108"/>
      <c r="Q524" s="133">
        <v>6200</v>
      </c>
      <c r="R524" s="134"/>
      <c r="S524" s="5" t="s">
        <v>119</v>
      </c>
      <c r="T524" s="6"/>
      <c r="U524" s="6"/>
      <c r="V524" s="5" t="s">
        <v>23</v>
      </c>
      <c r="W524" s="12">
        <v>50977981</v>
      </c>
      <c r="X524" s="6"/>
      <c r="Y524" s="6"/>
    </row>
    <row r="525" spans="1:25" ht="15" customHeight="1" x14ac:dyDescent="0.2">
      <c r="A525" s="88" t="s">
        <v>787</v>
      </c>
      <c r="B525" s="90"/>
      <c r="C525" s="88" t="s">
        <v>818</v>
      </c>
      <c r="D525" s="90"/>
      <c r="E525" s="106"/>
      <c r="F525" s="107"/>
      <c r="G525" s="107"/>
      <c r="H525" s="107"/>
      <c r="I525" s="108"/>
      <c r="J525" s="88" t="s">
        <v>817</v>
      </c>
      <c r="K525" s="89"/>
      <c r="L525" s="89"/>
      <c r="M525" s="90"/>
      <c r="N525" s="106"/>
      <c r="O525" s="107"/>
      <c r="P525" s="108"/>
      <c r="Q525" s="133">
        <v>6200</v>
      </c>
      <c r="R525" s="134"/>
      <c r="S525" s="5" t="s">
        <v>271</v>
      </c>
      <c r="T525" s="6"/>
      <c r="U525" s="6"/>
      <c r="V525" s="5" t="s">
        <v>23</v>
      </c>
      <c r="W525" s="12">
        <v>59372297</v>
      </c>
      <c r="X525" s="6"/>
      <c r="Y525" s="6"/>
    </row>
    <row r="526" spans="1:25" ht="15" customHeight="1" x14ac:dyDescent="0.2">
      <c r="A526" s="88" t="s">
        <v>787</v>
      </c>
      <c r="B526" s="90"/>
      <c r="C526" s="88" t="s">
        <v>816</v>
      </c>
      <c r="D526" s="90"/>
      <c r="E526" s="106"/>
      <c r="F526" s="107"/>
      <c r="G526" s="107"/>
      <c r="H526" s="107"/>
      <c r="I526" s="108"/>
      <c r="J526" s="88" t="s">
        <v>817</v>
      </c>
      <c r="K526" s="89"/>
      <c r="L526" s="89"/>
      <c r="M526" s="90"/>
      <c r="N526" s="106"/>
      <c r="O526" s="107"/>
      <c r="P526" s="108"/>
      <c r="Q526" s="133">
        <v>6200</v>
      </c>
      <c r="R526" s="134"/>
      <c r="S526" s="5" t="s">
        <v>271</v>
      </c>
      <c r="T526" s="6"/>
      <c r="U526" s="6"/>
      <c r="V526" s="5" t="s">
        <v>23</v>
      </c>
      <c r="W526" s="12">
        <v>46955705</v>
      </c>
      <c r="X526" s="6"/>
      <c r="Y526" s="6"/>
    </row>
    <row r="527" spans="1:25" ht="15" customHeight="1" x14ac:dyDescent="0.2">
      <c r="A527" s="88" t="s">
        <v>787</v>
      </c>
      <c r="B527" s="90"/>
      <c r="C527" s="88" t="s">
        <v>819</v>
      </c>
      <c r="D527" s="90"/>
      <c r="E527" s="106"/>
      <c r="F527" s="107"/>
      <c r="G527" s="107"/>
      <c r="H527" s="107"/>
      <c r="I527" s="108"/>
      <c r="J527" s="88" t="s">
        <v>817</v>
      </c>
      <c r="K527" s="89"/>
      <c r="L527" s="89"/>
      <c r="M527" s="90"/>
      <c r="N527" s="106"/>
      <c r="O527" s="107"/>
      <c r="P527" s="108"/>
      <c r="Q527" s="133">
        <v>6200</v>
      </c>
      <c r="R527" s="134"/>
      <c r="S527" s="5" t="s">
        <v>793</v>
      </c>
      <c r="T527" s="6"/>
      <c r="U527" s="6"/>
      <c r="V527" s="5" t="s">
        <v>23</v>
      </c>
      <c r="W527" s="12">
        <v>29954717</v>
      </c>
      <c r="X527" s="6"/>
      <c r="Y527" s="6"/>
    </row>
    <row r="528" spans="1:25" ht="15" customHeight="1" x14ac:dyDescent="0.2">
      <c r="A528" s="88" t="s">
        <v>787</v>
      </c>
      <c r="B528" s="90"/>
      <c r="C528" s="88" t="s">
        <v>820</v>
      </c>
      <c r="D528" s="90"/>
      <c r="E528" s="106"/>
      <c r="F528" s="107"/>
      <c r="G528" s="107"/>
      <c r="H528" s="107"/>
      <c r="I528" s="108"/>
      <c r="J528" s="88" t="s">
        <v>817</v>
      </c>
      <c r="K528" s="89"/>
      <c r="L528" s="89"/>
      <c r="M528" s="90"/>
      <c r="N528" s="106"/>
      <c r="O528" s="107"/>
      <c r="P528" s="108"/>
      <c r="Q528" s="133">
        <v>6200</v>
      </c>
      <c r="R528" s="134"/>
      <c r="S528" s="5" t="s">
        <v>793</v>
      </c>
      <c r="T528" s="6"/>
      <c r="U528" s="6"/>
      <c r="V528" s="5" t="s">
        <v>23</v>
      </c>
      <c r="W528" s="12">
        <v>29654920</v>
      </c>
      <c r="X528" s="6"/>
      <c r="Y528" s="6"/>
    </row>
    <row r="529" spans="1:25" ht="15" customHeight="1" x14ac:dyDescent="0.2">
      <c r="A529" s="88" t="s">
        <v>787</v>
      </c>
      <c r="B529" s="90"/>
      <c r="C529" s="88" t="s">
        <v>821</v>
      </c>
      <c r="D529" s="90"/>
      <c r="E529" s="106"/>
      <c r="F529" s="107"/>
      <c r="G529" s="107"/>
      <c r="H529" s="107"/>
      <c r="I529" s="108"/>
      <c r="J529" s="88" t="s">
        <v>817</v>
      </c>
      <c r="K529" s="89"/>
      <c r="L529" s="89"/>
      <c r="M529" s="90"/>
      <c r="N529" s="106"/>
      <c r="O529" s="107"/>
      <c r="P529" s="108"/>
      <c r="Q529" s="133">
        <v>6200</v>
      </c>
      <c r="R529" s="134"/>
      <c r="S529" s="5" t="s">
        <v>793</v>
      </c>
      <c r="T529" s="6"/>
      <c r="U529" s="6"/>
      <c r="V529" s="5" t="s">
        <v>106</v>
      </c>
      <c r="W529" s="12">
        <v>26470712</v>
      </c>
      <c r="X529" s="6"/>
      <c r="Y529" s="6"/>
    </row>
    <row r="530" spans="1:25" ht="15" customHeight="1" x14ac:dyDescent="0.2">
      <c r="A530" s="88" t="s">
        <v>787</v>
      </c>
      <c r="B530" s="90"/>
      <c r="C530" s="88" t="s">
        <v>822</v>
      </c>
      <c r="D530" s="90"/>
      <c r="E530" s="106"/>
      <c r="F530" s="107"/>
      <c r="G530" s="107"/>
      <c r="H530" s="107"/>
      <c r="I530" s="108"/>
      <c r="J530" s="88" t="s">
        <v>817</v>
      </c>
      <c r="K530" s="89"/>
      <c r="L530" s="89"/>
      <c r="M530" s="90"/>
      <c r="N530" s="106"/>
      <c r="O530" s="107"/>
      <c r="P530" s="108"/>
      <c r="Q530" s="133">
        <v>6200</v>
      </c>
      <c r="R530" s="134"/>
      <c r="S530" s="5" t="s">
        <v>793</v>
      </c>
      <c r="T530" s="6"/>
      <c r="U530" s="6"/>
      <c r="V530" s="5" t="s">
        <v>23</v>
      </c>
      <c r="W530" s="12">
        <v>20747315</v>
      </c>
      <c r="X530" s="6"/>
      <c r="Y530" s="6"/>
    </row>
    <row r="531" spans="1:25" ht="15" customHeight="1" x14ac:dyDescent="0.2">
      <c r="A531" s="88" t="s">
        <v>787</v>
      </c>
      <c r="B531" s="90"/>
      <c r="C531" s="88" t="s">
        <v>823</v>
      </c>
      <c r="D531" s="90"/>
      <c r="E531" s="106"/>
      <c r="F531" s="107"/>
      <c r="G531" s="107"/>
      <c r="H531" s="107"/>
      <c r="I531" s="108"/>
      <c r="J531" s="88" t="s">
        <v>817</v>
      </c>
      <c r="K531" s="89"/>
      <c r="L531" s="89"/>
      <c r="M531" s="90"/>
      <c r="N531" s="106"/>
      <c r="O531" s="107"/>
      <c r="P531" s="108"/>
      <c r="Q531" s="133">
        <v>6200</v>
      </c>
      <c r="R531" s="134"/>
      <c r="S531" s="5" t="s">
        <v>793</v>
      </c>
      <c r="T531" s="6"/>
      <c r="U531" s="6"/>
      <c r="V531" s="5" t="s">
        <v>23</v>
      </c>
      <c r="W531" s="12">
        <v>21939689</v>
      </c>
      <c r="X531" s="6"/>
      <c r="Y531" s="6"/>
    </row>
    <row r="532" spans="1:25" ht="15" customHeight="1" x14ac:dyDescent="0.2">
      <c r="A532" s="88" t="s">
        <v>787</v>
      </c>
      <c r="B532" s="90"/>
      <c r="C532" s="88" t="s">
        <v>824</v>
      </c>
      <c r="D532" s="90"/>
      <c r="E532" s="106"/>
      <c r="F532" s="107"/>
      <c r="G532" s="107"/>
      <c r="H532" s="107"/>
      <c r="I532" s="108"/>
      <c r="J532" s="88" t="s">
        <v>817</v>
      </c>
      <c r="K532" s="89"/>
      <c r="L532" s="89"/>
      <c r="M532" s="90"/>
      <c r="N532" s="106"/>
      <c r="O532" s="107"/>
      <c r="P532" s="108"/>
      <c r="Q532" s="133">
        <v>6500</v>
      </c>
      <c r="R532" s="134"/>
      <c r="S532" s="5" t="s">
        <v>793</v>
      </c>
      <c r="T532" s="6"/>
      <c r="U532" s="6"/>
      <c r="V532" s="5" t="s">
        <v>106</v>
      </c>
      <c r="W532" s="12">
        <v>25914271</v>
      </c>
      <c r="X532" s="6"/>
      <c r="Y532" s="6"/>
    </row>
    <row r="533" spans="1:25" ht="15" customHeight="1" x14ac:dyDescent="0.2">
      <c r="A533" s="88" t="s">
        <v>787</v>
      </c>
      <c r="B533" s="90"/>
      <c r="C533" s="88" t="s">
        <v>825</v>
      </c>
      <c r="D533" s="90"/>
      <c r="E533" s="106"/>
      <c r="F533" s="107"/>
      <c r="G533" s="107"/>
      <c r="H533" s="107"/>
      <c r="I533" s="108"/>
      <c r="J533" s="88" t="s">
        <v>817</v>
      </c>
      <c r="K533" s="89"/>
      <c r="L533" s="89"/>
      <c r="M533" s="90"/>
      <c r="N533" s="106"/>
      <c r="O533" s="107"/>
      <c r="P533" s="108"/>
      <c r="Q533" s="133">
        <v>6500</v>
      </c>
      <c r="R533" s="134"/>
      <c r="S533" s="5" t="s">
        <v>793</v>
      </c>
      <c r="T533" s="6"/>
      <c r="U533" s="6"/>
      <c r="V533" s="5" t="s">
        <v>106</v>
      </c>
      <c r="W533" s="12">
        <v>2591427</v>
      </c>
      <c r="X533" s="6"/>
      <c r="Y533" s="6"/>
    </row>
    <row r="534" spans="1:25" ht="15" customHeight="1" x14ac:dyDescent="0.2">
      <c r="A534" s="88" t="s">
        <v>826</v>
      </c>
      <c r="B534" s="90"/>
      <c r="C534" s="88" t="s">
        <v>827</v>
      </c>
      <c r="D534" s="90"/>
      <c r="E534" s="88" t="s">
        <v>828</v>
      </c>
      <c r="F534" s="89"/>
      <c r="G534" s="89"/>
      <c r="H534" s="89"/>
      <c r="I534" s="90"/>
      <c r="J534" s="88" t="s">
        <v>13</v>
      </c>
      <c r="K534" s="89"/>
      <c r="L534" s="89"/>
      <c r="M534" s="90"/>
      <c r="N534" s="88" t="s">
        <v>26</v>
      </c>
      <c r="O534" s="89"/>
      <c r="P534" s="90"/>
      <c r="Q534" s="133">
        <v>3600</v>
      </c>
      <c r="R534" s="134"/>
      <c r="S534" s="5" t="s">
        <v>44</v>
      </c>
      <c r="T534" s="6"/>
      <c r="U534" s="8">
        <v>5</v>
      </c>
      <c r="V534" s="5" t="s">
        <v>23</v>
      </c>
      <c r="W534" s="12">
        <v>2357346</v>
      </c>
      <c r="X534" s="6"/>
      <c r="Y534" s="6"/>
    </row>
    <row r="535" spans="1:25" ht="15" customHeight="1" x14ac:dyDescent="0.2">
      <c r="A535" s="88" t="s">
        <v>829</v>
      </c>
      <c r="B535" s="90"/>
      <c r="C535" s="88" t="s">
        <v>830</v>
      </c>
      <c r="D535" s="90"/>
      <c r="E535" s="106"/>
      <c r="F535" s="107"/>
      <c r="G535" s="107"/>
      <c r="H535" s="107"/>
      <c r="I535" s="108"/>
      <c r="J535" s="88" t="s">
        <v>13</v>
      </c>
      <c r="K535" s="89"/>
      <c r="L535" s="89"/>
      <c r="M535" s="90"/>
      <c r="N535" s="88" t="s">
        <v>26</v>
      </c>
      <c r="O535" s="89"/>
      <c r="P535" s="90"/>
      <c r="Q535" s="133">
        <v>1500</v>
      </c>
      <c r="R535" s="134"/>
      <c r="S535" s="5" t="s">
        <v>814</v>
      </c>
      <c r="T535" s="6"/>
      <c r="U535" s="8">
        <v>7</v>
      </c>
      <c r="V535" s="5" t="s">
        <v>106</v>
      </c>
      <c r="W535" s="12">
        <v>4415368</v>
      </c>
      <c r="X535" s="6"/>
      <c r="Y535" s="6"/>
    </row>
    <row r="536" spans="1:25" ht="15" customHeight="1" x14ac:dyDescent="0.2">
      <c r="A536" s="88" t="s">
        <v>829</v>
      </c>
      <c r="B536" s="90"/>
      <c r="C536" s="88" t="s">
        <v>831</v>
      </c>
      <c r="D536" s="90"/>
      <c r="E536" s="106"/>
      <c r="F536" s="107"/>
      <c r="G536" s="107"/>
      <c r="H536" s="107"/>
      <c r="I536" s="108"/>
      <c r="J536" s="88" t="s">
        <v>599</v>
      </c>
      <c r="K536" s="89"/>
      <c r="L536" s="89"/>
      <c r="M536" s="90"/>
      <c r="N536" s="88" t="s">
        <v>26</v>
      </c>
      <c r="O536" s="89"/>
      <c r="P536" s="90"/>
      <c r="Q536" s="133">
        <v>1200</v>
      </c>
      <c r="R536" s="134"/>
      <c r="S536" s="5" t="s">
        <v>814</v>
      </c>
      <c r="T536" s="6"/>
      <c r="U536" s="8">
        <v>7</v>
      </c>
      <c r="V536" s="5" t="s">
        <v>23</v>
      </c>
      <c r="W536" s="12">
        <v>7918185</v>
      </c>
      <c r="X536" s="6"/>
      <c r="Y536" s="6"/>
    </row>
    <row r="537" spans="1:25" ht="15" customHeight="1" x14ac:dyDescent="0.2">
      <c r="A537" s="88" t="s">
        <v>829</v>
      </c>
      <c r="B537" s="90"/>
      <c r="C537" s="88" t="s">
        <v>832</v>
      </c>
      <c r="D537" s="90"/>
      <c r="E537" s="106"/>
      <c r="F537" s="107"/>
      <c r="G537" s="107"/>
      <c r="H537" s="107"/>
      <c r="I537" s="108"/>
      <c r="J537" s="88" t="s">
        <v>13</v>
      </c>
      <c r="K537" s="89"/>
      <c r="L537" s="89"/>
      <c r="M537" s="90"/>
      <c r="N537" s="88" t="s">
        <v>26</v>
      </c>
      <c r="O537" s="89"/>
      <c r="P537" s="90"/>
      <c r="Q537" s="133">
        <v>1500</v>
      </c>
      <c r="R537" s="134"/>
      <c r="S537" s="5" t="s">
        <v>814</v>
      </c>
      <c r="T537" s="6"/>
      <c r="U537" s="8">
        <v>7</v>
      </c>
      <c r="V537" s="5" t="s">
        <v>106</v>
      </c>
      <c r="W537" s="12">
        <v>6836295</v>
      </c>
      <c r="X537" s="6"/>
      <c r="Y537" s="6"/>
    </row>
    <row r="538" spans="1:25" ht="15" customHeight="1" x14ac:dyDescent="0.2">
      <c r="A538" s="88" t="s">
        <v>829</v>
      </c>
      <c r="B538" s="90"/>
      <c r="C538" s="88" t="s">
        <v>833</v>
      </c>
      <c r="D538" s="90"/>
      <c r="E538" s="88" t="s">
        <v>834</v>
      </c>
      <c r="F538" s="89"/>
      <c r="G538" s="89"/>
      <c r="H538" s="89"/>
      <c r="I538" s="90"/>
      <c r="J538" s="88" t="s">
        <v>13</v>
      </c>
      <c r="K538" s="89"/>
      <c r="L538" s="89"/>
      <c r="M538" s="90"/>
      <c r="N538" s="88" t="s">
        <v>26</v>
      </c>
      <c r="O538" s="89"/>
      <c r="P538" s="90"/>
      <c r="Q538" s="133">
        <v>1500</v>
      </c>
      <c r="R538" s="134"/>
      <c r="S538" s="5" t="s">
        <v>814</v>
      </c>
      <c r="T538" s="6"/>
      <c r="U538" s="8">
        <v>7</v>
      </c>
      <c r="V538" s="5" t="s">
        <v>106</v>
      </c>
      <c r="W538" s="12">
        <v>11129014</v>
      </c>
      <c r="X538" s="6"/>
      <c r="Y538" s="6"/>
    </row>
    <row r="539" spans="1:25" ht="15" customHeight="1" x14ac:dyDescent="0.2">
      <c r="A539" s="88" t="s">
        <v>829</v>
      </c>
      <c r="B539" s="90"/>
      <c r="C539" s="88" t="s">
        <v>835</v>
      </c>
      <c r="D539" s="90"/>
      <c r="E539" s="106"/>
      <c r="F539" s="107"/>
      <c r="G539" s="107"/>
      <c r="H539" s="107"/>
      <c r="I539" s="108"/>
      <c r="J539" s="88" t="s">
        <v>13</v>
      </c>
      <c r="K539" s="89"/>
      <c r="L539" s="89"/>
      <c r="M539" s="90"/>
      <c r="N539" s="88" t="s">
        <v>26</v>
      </c>
      <c r="O539" s="89"/>
      <c r="P539" s="90"/>
      <c r="Q539" s="133">
        <v>1500</v>
      </c>
      <c r="R539" s="134"/>
      <c r="S539" s="5" t="s">
        <v>814</v>
      </c>
      <c r="T539" s="6"/>
      <c r="U539" s="8">
        <v>7</v>
      </c>
      <c r="V539" s="5" t="s">
        <v>106</v>
      </c>
      <c r="W539" s="12">
        <v>9467850</v>
      </c>
      <c r="X539" s="6"/>
      <c r="Y539" s="6"/>
    </row>
    <row r="540" spans="1:25" ht="15" customHeight="1" x14ac:dyDescent="0.2">
      <c r="A540" s="88" t="s">
        <v>829</v>
      </c>
      <c r="B540" s="90"/>
      <c r="C540" s="88" t="s">
        <v>836</v>
      </c>
      <c r="D540" s="90"/>
      <c r="E540" s="88" t="s">
        <v>834</v>
      </c>
      <c r="F540" s="89"/>
      <c r="G540" s="89"/>
      <c r="H540" s="89"/>
      <c r="I540" s="90"/>
      <c r="J540" s="88" t="s">
        <v>13</v>
      </c>
      <c r="K540" s="89"/>
      <c r="L540" s="89"/>
      <c r="M540" s="90"/>
      <c r="N540" s="88" t="s">
        <v>26</v>
      </c>
      <c r="O540" s="89"/>
      <c r="P540" s="90"/>
      <c r="Q540" s="133">
        <v>1500</v>
      </c>
      <c r="R540" s="134"/>
      <c r="S540" s="5" t="s">
        <v>814</v>
      </c>
      <c r="T540" s="6"/>
      <c r="U540" s="8">
        <v>7</v>
      </c>
      <c r="V540" s="5" t="s">
        <v>106</v>
      </c>
      <c r="W540" s="12">
        <v>11519261</v>
      </c>
      <c r="X540" s="6"/>
      <c r="Y540" s="6"/>
    </row>
    <row r="541" spans="1:25" ht="15" customHeight="1" x14ac:dyDescent="0.2">
      <c r="A541" s="88" t="s">
        <v>829</v>
      </c>
      <c r="B541" s="90"/>
      <c r="C541" s="88" t="s">
        <v>837</v>
      </c>
      <c r="D541" s="90"/>
      <c r="E541" s="88" t="s">
        <v>834</v>
      </c>
      <c r="F541" s="89"/>
      <c r="G541" s="89"/>
      <c r="H541" s="89"/>
      <c r="I541" s="90"/>
      <c r="J541" s="88" t="s">
        <v>13</v>
      </c>
      <c r="K541" s="89"/>
      <c r="L541" s="89"/>
      <c r="M541" s="90"/>
      <c r="N541" s="88" t="s">
        <v>26</v>
      </c>
      <c r="O541" s="89"/>
      <c r="P541" s="90"/>
      <c r="Q541" s="133">
        <v>1500</v>
      </c>
      <c r="R541" s="134"/>
      <c r="S541" s="5" t="s">
        <v>814</v>
      </c>
      <c r="T541" s="6"/>
      <c r="U541" s="8">
        <v>7</v>
      </c>
      <c r="V541" s="5" t="s">
        <v>106</v>
      </c>
      <c r="W541" s="12">
        <v>7332815</v>
      </c>
      <c r="X541" s="6"/>
      <c r="Y541" s="6"/>
    </row>
    <row r="542" spans="1:25" ht="15" customHeight="1" x14ac:dyDescent="0.2">
      <c r="A542" s="88" t="s">
        <v>829</v>
      </c>
      <c r="B542" s="90"/>
      <c r="C542" s="88" t="s">
        <v>838</v>
      </c>
      <c r="D542" s="90"/>
      <c r="E542" s="106"/>
      <c r="F542" s="107"/>
      <c r="G542" s="107"/>
      <c r="H542" s="107"/>
      <c r="I542" s="108"/>
      <c r="J542" s="88" t="s">
        <v>13</v>
      </c>
      <c r="K542" s="89"/>
      <c r="L542" s="89"/>
      <c r="M542" s="90"/>
      <c r="N542" s="88" t="s">
        <v>26</v>
      </c>
      <c r="O542" s="89"/>
      <c r="P542" s="90"/>
      <c r="Q542" s="133">
        <v>1500</v>
      </c>
      <c r="R542" s="134"/>
      <c r="S542" s="5" t="s">
        <v>16</v>
      </c>
      <c r="T542" s="6"/>
      <c r="U542" s="8">
        <v>5</v>
      </c>
      <c r="V542" s="5" t="s">
        <v>106</v>
      </c>
      <c r="W542" s="12">
        <v>6869614</v>
      </c>
      <c r="X542" s="6"/>
      <c r="Y542" s="6"/>
    </row>
    <row r="543" spans="1:25" ht="15" customHeight="1" x14ac:dyDescent="0.2">
      <c r="A543" s="88" t="s">
        <v>829</v>
      </c>
      <c r="B543" s="90"/>
      <c r="C543" s="88" t="s">
        <v>839</v>
      </c>
      <c r="D543" s="90"/>
      <c r="E543" s="106"/>
      <c r="F543" s="107"/>
      <c r="G543" s="107"/>
      <c r="H543" s="107"/>
      <c r="I543" s="108"/>
      <c r="J543" s="88" t="s">
        <v>13</v>
      </c>
      <c r="K543" s="89"/>
      <c r="L543" s="89"/>
      <c r="M543" s="90"/>
      <c r="N543" s="88" t="s">
        <v>26</v>
      </c>
      <c r="O543" s="89"/>
      <c r="P543" s="90"/>
      <c r="Q543" s="133">
        <v>2000</v>
      </c>
      <c r="R543" s="134"/>
      <c r="S543" s="5" t="s">
        <v>16</v>
      </c>
      <c r="T543" s="6"/>
      <c r="U543" s="8">
        <v>5</v>
      </c>
      <c r="V543" s="5" t="s">
        <v>106</v>
      </c>
      <c r="W543" s="12">
        <v>7965224</v>
      </c>
      <c r="X543" s="6"/>
      <c r="Y543" s="6"/>
    </row>
    <row r="544" spans="1:25" ht="15" customHeight="1" x14ac:dyDescent="0.2">
      <c r="A544" s="88" t="s">
        <v>829</v>
      </c>
      <c r="B544" s="90"/>
      <c r="C544" s="88" t="s">
        <v>840</v>
      </c>
      <c r="D544" s="90"/>
      <c r="E544" s="106"/>
      <c r="F544" s="107"/>
      <c r="G544" s="107"/>
      <c r="H544" s="107"/>
      <c r="I544" s="108"/>
      <c r="J544" s="88" t="s">
        <v>13</v>
      </c>
      <c r="K544" s="89"/>
      <c r="L544" s="89"/>
      <c r="M544" s="90"/>
      <c r="N544" s="88" t="s">
        <v>26</v>
      </c>
      <c r="O544" s="89"/>
      <c r="P544" s="90"/>
      <c r="Q544" s="133">
        <v>1500</v>
      </c>
      <c r="R544" s="134"/>
      <c r="S544" s="5" t="s">
        <v>16</v>
      </c>
      <c r="T544" s="6"/>
      <c r="U544" s="8">
        <v>5</v>
      </c>
      <c r="V544" s="5" t="s">
        <v>106</v>
      </c>
      <c r="W544" s="12">
        <v>6395027</v>
      </c>
      <c r="X544" s="6"/>
      <c r="Y544" s="6"/>
    </row>
    <row r="545" spans="1:25" ht="15" customHeight="1" x14ac:dyDescent="0.2">
      <c r="A545" s="88" t="s">
        <v>829</v>
      </c>
      <c r="B545" s="90"/>
      <c r="C545" s="88" t="s">
        <v>841</v>
      </c>
      <c r="D545" s="90"/>
      <c r="E545" s="106"/>
      <c r="F545" s="107"/>
      <c r="G545" s="107"/>
      <c r="H545" s="107"/>
      <c r="I545" s="108"/>
      <c r="J545" s="88" t="s">
        <v>13</v>
      </c>
      <c r="K545" s="89"/>
      <c r="L545" s="89"/>
      <c r="M545" s="90"/>
      <c r="N545" s="88" t="s">
        <v>26</v>
      </c>
      <c r="O545" s="89"/>
      <c r="P545" s="90"/>
      <c r="Q545" s="133">
        <v>1200</v>
      </c>
      <c r="R545" s="134"/>
      <c r="S545" s="5" t="s">
        <v>16</v>
      </c>
      <c r="T545" s="6"/>
      <c r="U545" s="8">
        <v>5</v>
      </c>
      <c r="V545" s="5" t="s">
        <v>23</v>
      </c>
      <c r="W545" s="12">
        <v>5205619</v>
      </c>
      <c r="X545" s="6"/>
      <c r="Y545" s="6"/>
    </row>
    <row r="546" spans="1:25" ht="15" customHeight="1" x14ac:dyDescent="0.2">
      <c r="A546" s="88" t="s">
        <v>829</v>
      </c>
      <c r="B546" s="90"/>
      <c r="C546" s="88" t="s">
        <v>842</v>
      </c>
      <c r="D546" s="90"/>
      <c r="E546" s="106"/>
      <c r="F546" s="107"/>
      <c r="G546" s="107"/>
      <c r="H546" s="107"/>
      <c r="I546" s="108"/>
      <c r="J546" s="88" t="s">
        <v>13</v>
      </c>
      <c r="K546" s="89"/>
      <c r="L546" s="89"/>
      <c r="M546" s="90"/>
      <c r="N546" s="88" t="s">
        <v>26</v>
      </c>
      <c r="O546" s="89"/>
      <c r="P546" s="90"/>
      <c r="Q546" s="133">
        <v>1500</v>
      </c>
      <c r="R546" s="134"/>
      <c r="S546" s="5" t="s">
        <v>16</v>
      </c>
      <c r="T546" s="6"/>
      <c r="U546" s="8">
        <v>5</v>
      </c>
      <c r="V546" s="5" t="s">
        <v>106</v>
      </c>
      <c r="W546" s="12">
        <v>6663819</v>
      </c>
      <c r="X546" s="6"/>
      <c r="Y546" s="6"/>
    </row>
    <row r="547" spans="1:25" ht="15" customHeight="1" x14ac:dyDescent="0.2">
      <c r="A547" s="88" t="s">
        <v>829</v>
      </c>
      <c r="B547" s="90"/>
      <c r="C547" s="88" t="s">
        <v>843</v>
      </c>
      <c r="D547" s="90"/>
      <c r="E547" s="106"/>
      <c r="F547" s="107"/>
      <c r="G547" s="107"/>
      <c r="H547" s="107"/>
      <c r="I547" s="108"/>
      <c r="J547" s="88" t="s">
        <v>13</v>
      </c>
      <c r="K547" s="89"/>
      <c r="L547" s="89"/>
      <c r="M547" s="90"/>
      <c r="N547" s="88" t="s">
        <v>26</v>
      </c>
      <c r="O547" s="89"/>
      <c r="P547" s="90"/>
      <c r="Q547" s="133">
        <v>1500</v>
      </c>
      <c r="R547" s="134"/>
      <c r="S547" s="5" t="s">
        <v>16</v>
      </c>
      <c r="T547" s="6"/>
      <c r="U547" s="8">
        <v>5</v>
      </c>
      <c r="V547" s="5" t="s">
        <v>106</v>
      </c>
      <c r="W547" s="12">
        <v>6346308</v>
      </c>
      <c r="X547" s="6"/>
      <c r="Y547" s="6"/>
    </row>
    <row r="548" spans="1:25" ht="15" customHeight="1" x14ac:dyDescent="0.2">
      <c r="A548" s="88" t="s">
        <v>829</v>
      </c>
      <c r="B548" s="90"/>
      <c r="C548" s="88" t="s">
        <v>844</v>
      </c>
      <c r="D548" s="90"/>
      <c r="E548" s="106"/>
      <c r="F548" s="107"/>
      <c r="G548" s="107"/>
      <c r="H548" s="107"/>
      <c r="I548" s="108"/>
      <c r="J548" s="88" t="s">
        <v>13</v>
      </c>
      <c r="K548" s="89"/>
      <c r="L548" s="89"/>
      <c r="M548" s="90"/>
      <c r="N548" s="88" t="s">
        <v>26</v>
      </c>
      <c r="O548" s="89"/>
      <c r="P548" s="90"/>
      <c r="Q548" s="133">
        <v>1200</v>
      </c>
      <c r="R548" s="134"/>
      <c r="S548" s="5" t="s">
        <v>16</v>
      </c>
      <c r="T548" s="6"/>
      <c r="U548" s="8">
        <v>5</v>
      </c>
      <c r="V548" s="5" t="s">
        <v>23</v>
      </c>
      <c r="W548" s="12">
        <v>5639159</v>
      </c>
      <c r="X548" s="6"/>
      <c r="Y548" s="6"/>
    </row>
    <row r="549" spans="1:25" ht="15" customHeight="1" x14ac:dyDescent="0.2">
      <c r="A549" s="88" t="s">
        <v>829</v>
      </c>
      <c r="B549" s="90"/>
      <c r="C549" s="88" t="s">
        <v>845</v>
      </c>
      <c r="D549" s="90"/>
      <c r="E549" s="88" t="s">
        <v>846</v>
      </c>
      <c r="F549" s="89"/>
      <c r="G549" s="89"/>
      <c r="H549" s="89"/>
      <c r="I549" s="90"/>
      <c r="J549" s="88" t="s">
        <v>13</v>
      </c>
      <c r="K549" s="89"/>
      <c r="L549" s="89"/>
      <c r="M549" s="90"/>
      <c r="N549" s="88" t="s">
        <v>26</v>
      </c>
      <c r="O549" s="89"/>
      <c r="P549" s="90"/>
      <c r="Q549" s="133">
        <v>1200</v>
      </c>
      <c r="R549" s="134"/>
      <c r="S549" s="5" t="s">
        <v>27</v>
      </c>
      <c r="T549" s="6"/>
      <c r="U549" s="8">
        <v>5</v>
      </c>
      <c r="V549" s="5" t="s">
        <v>23</v>
      </c>
      <c r="W549" s="12">
        <v>6206498</v>
      </c>
      <c r="X549" s="6"/>
      <c r="Y549" s="6"/>
    </row>
    <row r="550" spans="1:25" ht="15" customHeight="1" x14ac:dyDescent="0.2">
      <c r="A550" s="88" t="s">
        <v>829</v>
      </c>
      <c r="B550" s="90"/>
      <c r="C550" s="88" t="s">
        <v>847</v>
      </c>
      <c r="D550" s="90"/>
      <c r="E550" s="106"/>
      <c r="F550" s="107"/>
      <c r="G550" s="107"/>
      <c r="H550" s="107"/>
      <c r="I550" s="108"/>
      <c r="J550" s="88" t="s">
        <v>13</v>
      </c>
      <c r="K550" s="89"/>
      <c r="L550" s="89"/>
      <c r="M550" s="90"/>
      <c r="N550" s="88" t="s">
        <v>26</v>
      </c>
      <c r="O550" s="89"/>
      <c r="P550" s="90"/>
      <c r="Q550" s="133">
        <v>1200</v>
      </c>
      <c r="R550" s="134"/>
      <c r="S550" s="5" t="s">
        <v>27</v>
      </c>
      <c r="T550" s="6"/>
      <c r="U550" s="8">
        <v>5</v>
      </c>
      <c r="V550" s="5" t="s">
        <v>23</v>
      </c>
      <c r="W550" s="12">
        <v>3664541</v>
      </c>
      <c r="X550" s="6"/>
      <c r="Y550" s="6"/>
    </row>
    <row r="551" spans="1:25" ht="15" customHeight="1" x14ac:dyDescent="0.2">
      <c r="A551" s="88" t="s">
        <v>829</v>
      </c>
      <c r="B551" s="90"/>
      <c r="C551" s="88" t="s">
        <v>848</v>
      </c>
      <c r="D551" s="90"/>
      <c r="E551" s="88" t="s">
        <v>849</v>
      </c>
      <c r="F551" s="89"/>
      <c r="G551" s="89"/>
      <c r="H551" s="89"/>
      <c r="I551" s="90"/>
      <c r="J551" s="88" t="s">
        <v>13</v>
      </c>
      <c r="K551" s="89"/>
      <c r="L551" s="89"/>
      <c r="M551" s="90"/>
      <c r="N551" s="88" t="s">
        <v>26</v>
      </c>
      <c r="O551" s="89"/>
      <c r="P551" s="90"/>
      <c r="Q551" s="133">
        <v>1200</v>
      </c>
      <c r="R551" s="134"/>
      <c r="S551" s="5" t="s">
        <v>27</v>
      </c>
      <c r="T551" s="6"/>
      <c r="U551" s="8">
        <v>5</v>
      </c>
      <c r="V551" s="5" t="s">
        <v>23</v>
      </c>
      <c r="W551" s="12">
        <v>5017464</v>
      </c>
      <c r="X551" s="6"/>
      <c r="Y551" s="6"/>
    </row>
    <row r="552" spans="1:25" ht="15" customHeight="1" x14ac:dyDescent="0.2">
      <c r="A552" s="88" t="s">
        <v>829</v>
      </c>
      <c r="B552" s="90"/>
      <c r="C552" s="88" t="s">
        <v>850</v>
      </c>
      <c r="D552" s="90"/>
      <c r="E552" s="106"/>
      <c r="F552" s="107"/>
      <c r="G552" s="107"/>
      <c r="H552" s="107"/>
      <c r="I552" s="108"/>
      <c r="J552" s="88" t="s">
        <v>13</v>
      </c>
      <c r="K552" s="89"/>
      <c r="L552" s="89"/>
      <c r="M552" s="90"/>
      <c r="N552" s="88" t="s">
        <v>26</v>
      </c>
      <c r="O552" s="89"/>
      <c r="P552" s="90"/>
      <c r="Q552" s="133">
        <v>1200</v>
      </c>
      <c r="R552" s="134"/>
      <c r="S552" s="5" t="s">
        <v>27</v>
      </c>
      <c r="T552" s="6"/>
      <c r="U552" s="8">
        <v>5</v>
      </c>
      <c r="V552" s="5" t="s">
        <v>23</v>
      </c>
      <c r="W552" s="12">
        <v>8247064</v>
      </c>
      <c r="X552" s="6"/>
      <c r="Y552" s="6"/>
    </row>
    <row r="553" spans="1:25" ht="15" customHeight="1" x14ac:dyDescent="0.2">
      <c r="A553" s="88" t="s">
        <v>829</v>
      </c>
      <c r="B553" s="90"/>
      <c r="C553" s="88" t="s">
        <v>851</v>
      </c>
      <c r="D553" s="90"/>
      <c r="E553" s="88" t="s">
        <v>852</v>
      </c>
      <c r="F553" s="89"/>
      <c r="G553" s="89"/>
      <c r="H553" s="89"/>
      <c r="I553" s="90"/>
      <c r="J553" s="88" t="s">
        <v>13</v>
      </c>
      <c r="K553" s="89"/>
      <c r="L553" s="89"/>
      <c r="M553" s="90"/>
      <c r="N553" s="88" t="s">
        <v>26</v>
      </c>
      <c r="O553" s="89"/>
      <c r="P553" s="90"/>
      <c r="Q553" s="133">
        <v>1200</v>
      </c>
      <c r="R553" s="134"/>
      <c r="S553" s="5" t="s">
        <v>27</v>
      </c>
      <c r="T553" s="6"/>
      <c r="U553" s="8">
        <v>5</v>
      </c>
      <c r="V553" s="5" t="s">
        <v>23</v>
      </c>
      <c r="W553" s="12">
        <v>7142918</v>
      </c>
      <c r="X553" s="6"/>
      <c r="Y553" s="6"/>
    </row>
    <row r="554" spans="1:25" ht="15" customHeight="1" x14ac:dyDescent="0.2">
      <c r="A554" s="88" t="s">
        <v>829</v>
      </c>
      <c r="B554" s="90"/>
      <c r="C554" s="88" t="s">
        <v>853</v>
      </c>
      <c r="D554" s="90"/>
      <c r="E554" s="106"/>
      <c r="F554" s="107"/>
      <c r="G554" s="107"/>
      <c r="H554" s="107"/>
      <c r="I554" s="108"/>
      <c r="J554" s="88" t="s">
        <v>13</v>
      </c>
      <c r="K554" s="89"/>
      <c r="L554" s="89"/>
      <c r="M554" s="90"/>
      <c r="N554" s="88" t="s">
        <v>26</v>
      </c>
      <c r="O554" s="89"/>
      <c r="P554" s="90"/>
      <c r="Q554" s="133">
        <v>1200</v>
      </c>
      <c r="R554" s="134"/>
      <c r="S554" s="5" t="s">
        <v>27</v>
      </c>
      <c r="T554" s="6"/>
      <c r="U554" s="8">
        <v>5</v>
      </c>
      <c r="V554" s="5" t="s">
        <v>23</v>
      </c>
      <c r="W554" s="12">
        <v>7179005</v>
      </c>
      <c r="X554" s="6"/>
      <c r="Y554" s="6"/>
    </row>
    <row r="555" spans="1:25" ht="15" customHeight="1" x14ac:dyDescent="0.2">
      <c r="A555" s="88" t="s">
        <v>829</v>
      </c>
      <c r="B555" s="90"/>
      <c r="C555" s="88" t="s">
        <v>854</v>
      </c>
      <c r="D555" s="90"/>
      <c r="E555" s="106"/>
      <c r="F555" s="107"/>
      <c r="G555" s="107"/>
      <c r="H555" s="107"/>
      <c r="I555" s="108"/>
      <c r="J555" s="88" t="s">
        <v>13</v>
      </c>
      <c r="K555" s="89"/>
      <c r="L555" s="89"/>
      <c r="M555" s="90"/>
      <c r="N555" s="88" t="s">
        <v>26</v>
      </c>
      <c r="O555" s="89"/>
      <c r="P555" s="90"/>
      <c r="Q555" s="133">
        <v>1200</v>
      </c>
      <c r="R555" s="134"/>
      <c r="S555" s="5" t="s">
        <v>27</v>
      </c>
      <c r="T555" s="6"/>
      <c r="U555" s="8">
        <v>5</v>
      </c>
      <c r="V555" s="5" t="s">
        <v>23</v>
      </c>
      <c r="W555" s="12">
        <v>5185459</v>
      </c>
      <c r="X555" s="6"/>
      <c r="Y555" s="6"/>
    </row>
    <row r="556" spans="1:25" ht="15" customHeight="1" x14ac:dyDescent="0.2">
      <c r="A556" s="88" t="s">
        <v>829</v>
      </c>
      <c r="B556" s="90"/>
      <c r="C556" s="88" t="s">
        <v>855</v>
      </c>
      <c r="D556" s="90"/>
      <c r="E556" s="106"/>
      <c r="F556" s="107"/>
      <c r="G556" s="107"/>
      <c r="H556" s="107"/>
      <c r="I556" s="108"/>
      <c r="J556" s="88" t="s">
        <v>13</v>
      </c>
      <c r="K556" s="89"/>
      <c r="L556" s="89"/>
      <c r="M556" s="90"/>
      <c r="N556" s="88" t="s">
        <v>26</v>
      </c>
      <c r="O556" s="89"/>
      <c r="P556" s="90"/>
      <c r="Q556" s="133">
        <v>1500</v>
      </c>
      <c r="R556" s="134"/>
      <c r="S556" s="5" t="s">
        <v>27</v>
      </c>
      <c r="T556" s="6"/>
      <c r="U556" s="8">
        <v>5</v>
      </c>
      <c r="V556" s="5" t="s">
        <v>106</v>
      </c>
      <c r="W556" s="12">
        <v>8545368</v>
      </c>
      <c r="X556" s="6"/>
      <c r="Y556" s="6"/>
    </row>
    <row r="557" spans="1:25" ht="15" customHeight="1" x14ac:dyDescent="0.2">
      <c r="A557" s="88" t="s">
        <v>829</v>
      </c>
      <c r="B557" s="90"/>
      <c r="C557" s="88" t="s">
        <v>856</v>
      </c>
      <c r="D557" s="90"/>
      <c r="E557" s="88" t="s">
        <v>857</v>
      </c>
      <c r="F557" s="89"/>
      <c r="G557" s="89"/>
      <c r="H557" s="89"/>
      <c r="I557" s="90"/>
      <c r="J557" s="88" t="s">
        <v>13</v>
      </c>
      <c r="K557" s="89"/>
      <c r="L557" s="89"/>
      <c r="M557" s="90"/>
      <c r="N557" s="88" t="s">
        <v>26</v>
      </c>
      <c r="O557" s="89"/>
      <c r="P557" s="90"/>
      <c r="Q557" s="133">
        <v>2000</v>
      </c>
      <c r="R557" s="134"/>
      <c r="S557" s="5" t="s">
        <v>804</v>
      </c>
      <c r="T557" s="6"/>
      <c r="U557" s="8">
        <v>5</v>
      </c>
      <c r="V557" s="5" t="s">
        <v>106</v>
      </c>
      <c r="W557" s="12">
        <v>6966211</v>
      </c>
      <c r="X557" s="6"/>
      <c r="Y557" s="6"/>
    </row>
    <row r="558" spans="1:25" ht="15" customHeight="1" x14ac:dyDescent="0.2">
      <c r="A558" s="88" t="s">
        <v>829</v>
      </c>
      <c r="B558" s="90"/>
      <c r="C558" s="88" t="s">
        <v>858</v>
      </c>
      <c r="D558" s="90"/>
      <c r="E558" s="106"/>
      <c r="F558" s="107"/>
      <c r="G558" s="107"/>
      <c r="H558" s="107"/>
      <c r="I558" s="108"/>
      <c r="J558" s="88" t="s">
        <v>13</v>
      </c>
      <c r="K558" s="89"/>
      <c r="L558" s="89"/>
      <c r="M558" s="90"/>
      <c r="N558" s="88" t="s">
        <v>26</v>
      </c>
      <c r="O558" s="89"/>
      <c r="P558" s="90"/>
      <c r="Q558" s="133">
        <v>1200</v>
      </c>
      <c r="R558" s="134"/>
      <c r="S558" s="5" t="s">
        <v>27</v>
      </c>
      <c r="T558" s="6"/>
      <c r="U558" s="8">
        <v>5</v>
      </c>
      <c r="V558" s="5" t="s">
        <v>23</v>
      </c>
      <c r="W558" s="12">
        <v>5508011</v>
      </c>
      <c r="X558" s="6"/>
      <c r="Y558" s="6"/>
    </row>
    <row r="559" spans="1:25" ht="15" customHeight="1" x14ac:dyDescent="0.2">
      <c r="A559" s="88" t="s">
        <v>829</v>
      </c>
      <c r="B559" s="90"/>
      <c r="C559" s="88" t="s">
        <v>859</v>
      </c>
      <c r="D559" s="90"/>
      <c r="E559" s="106"/>
      <c r="F559" s="107"/>
      <c r="G559" s="107"/>
      <c r="H559" s="107"/>
      <c r="I559" s="108"/>
      <c r="J559" s="88" t="s">
        <v>13</v>
      </c>
      <c r="K559" s="89"/>
      <c r="L559" s="89"/>
      <c r="M559" s="90"/>
      <c r="N559" s="88" t="s">
        <v>26</v>
      </c>
      <c r="O559" s="89"/>
      <c r="P559" s="90"/>
      <c r="Q559" s="133">
        <v>1500</v>
      </c>
      <c r="R559" s="134"/>
      <c r="S559" s="5" t="s">
        <v>27</v>
      </c>
      <c r="T559" s="6"/>
      <c r="U559" s="8">
        <v>5</v>
      </c>
      <c r="V559" s="5" t="s">
        <v>106</v>
      </c>
      <c r="W559" s="12">
        <v>6389427</v>
      </c>
      <c r="X559" s="6"/>
      <c r="Y559" s="6"/>
    </row>
    <row r="560" spans="1:25" ht="15" customHeight="1" x14ac:dyDescent="0.2">
      <c r="A560" s="88" t="s">
        <v>829</v>
      </c>
      <c r="B560" s="90"/>
      <c r="C560" s="88" t="s">
        <v>860</v>
      </c>
      <c r="D560" s="90"/>
      <c r="E560" s="106"/>
      <c r="F560" s="107"/>
      <c r="G560" s="107"/>
      <c r="H560" s="107"/>
      <c r="I560" s="108"/>
      <c r="J560" s="88" t="s">
        <v>13</v>
      </c>
      <c r="K560" s="89"/>
      <c r="L560" s="89"/>
      <c r="M560" s="90"/>
      <c r="N560" s="88" t="s">
        <v>26</v>
      </c>
      <c r="O560" s="89"/>
      <c r="P560" s="90"/>
      <c r="Q560" s="133">
        <v>1600</v>
      </c>
      <c r="R560" s="134"/>
      <c r="S560" s="5" t="s">
        <v>16</v>
      </c>
      <c r="T560" s="6"/>
      <c r="U560" s="8">
        <v>5</v>
      </c>
      <c r="V560" s="5" t="s">
        <v>176</v>
      </c>
      <c r="W560" s="12">
        <v>9060834</v>
      </c>
      <c r="X560" s="6"/>
      <c r="Y560" s="6"/>
    </row>
    <row r="561" spans="1:25" ht="15" customHeight="1" x14ac:dyDescent="0.2">
      <c r="A561" s="88" t="s">
        <v>829</v>
      </c>
      <c r="B561" s="90"/>
      <c r="C561" s="88" t="s">
        <v>861</v>
      </c>
      <c r="D561" s="90"/>
      <c r="E561" s="106"/>
      <c r="F561" s="107"/>
      <c r="G561" s="107"/>
      <c r="H561" s="107"/>
      <c r="I561" s="108"/>
      <c r="J561" s="88" t="s">
        <v>13</v>
      </c>
      <c r="K561" s="89"/>
      <c r="L561" s="89"/>
      <c r="M561" s="90"/>
      <c r="N561" s="88" t="s">
        <v>26</v>
      </c>
      <c r="O561" s="89"/>
      <c r="P561" s="90"/>
      <c r="Q561" s="133">
        <v>1600</v>
      </c>
      <c r="R561" s="134"/>
      <c r="S561" s="5" t="s">
        <v>16</v>
      </c>
      <c r="T561" s="6"/>
      <c r="U561" s="8">
        <v>5</v>
      </c>
      <c r="V561" s="5" t="s">
        <v>176</v>
      </c>
      <c r="W561" s="12">
        <v>8114180</v>
      </c>
      <c r="X561" s="6"/>
      <c r="Y561" s="6"/>
    </row>
    <row r="562" spans="1:25" ht="15" customHeight="1" x14ac:dyDescent="0.2">
      <c r="A562" s="88" t="s">
        <v>829</v>
      </c>
      <c r="B562" s="90"/>
      <c r="C562" s="88" t="s">
        <v>862</v>
      </c>
      <c r="D562" s="90"/>
      <c r="E562" s="88" t="s">
        <v>863</v>
      </c>
      <c r="F562" s="89"/>
      <c r="G562" s="89"/>
      <c r="H562" s="89"/>
      <c r="I562" s="90"/>
      <c r="J562" s="88" t="s">
        <v>13</v>
      </c>
      <c r="K562" s="89"/>
      <c r="L562" s="89"/>
      <c r="M562" s="90"/>
      <c r="N562" s="88" t="s">
        <v>26</v>
      </c>
      <c r="O562" s="89"/>
      <c r="P562" s="90"/>
      <c r="Q562" s="133">
        <v>1600</v>
      </c>
      <c r="R562" s="134"/>
      <c r="S562" s="5" t="s">
        <v>16</v>
      </c>
      <c r="T562" s="6"/>
      <c r="U562" s="8">
        <v>5</v>
      </c>
      <c r="V562" s="5" t="s">
        <v>176</v>
      </c>
      <c r="W562" s="12">
        <v>13374677</v>
      </c>
      <c r="X562" s="6"/>
      <c r="Y562" s="6"/>
    </row>
    <row r="563" spans="1:25" ht="15" customHeight="1" x14ac:dyDescent="0.2">
      <c r="A563" s="88" t="s">
        <v>829</v>
      </c>
      <c r="B563" s="90"/>
      <c r="C563" s="88" t="s">
        <v>864</v>
      </c>
      <c r="D563" s="89"/>
      <c r="E563" s="89"/>
      <c r="F563" s="89"/>
      <c r="G563" s="89"/>
      <c r="H563" s="89"/>
      <c r="I563" s="90"/>
      <c r="J563" s="88" t="s">
        <v>13</v>
      </c>
      <c r="K563" s="89"/>
      <c r="L563" s="89"/>
      <c r="M563" s="90"/>
      <c r="N563" s="88" t="s">
        <v>26</v>
      </c>
      <c r="O563" s="89"/>
      <c r="P563" s="90"/>
      <c r="Q563" s="133">
        <v>2000</v>
      </c>
      <c r="R563" s="134"/>
      <c r="S563" s="5" t="s">
        <v>16</v>
      </c>
      <c r="T563" s="6"/>
      <c r="U563" s="8">
        <v>5</v>
      </c>
      <c r="V563" s="5" t="s">
        <v>106</v>
      </c>
      <c r="W563" s="12">
        <v>7377240</v>
      </c>
      <c r="X563" s="6"/>
      <c r="Y563" s="6"/>
    </row>
    <row r="564" spans="1:25" ht="15" customHeight="1" x14ac:dyDescent="0.2">
      <c r="A564" s="88" t="s">
        <v>829</v>
      </c>
      <c r="B564" s="90"/>
      <c r="C564" s="88" t="s">
        <v>865</v>
      </c>
      <c r="D564" s="90"/>
      <c r="E564" s="106"/>
      <c r="F564" s="107"/>
      <c r="G564" s="107"/>
      <c r="H564" s="107"/>
      <c r="I564" s="108"/>
      <c r="J564" s="88" t="s">
        <v>13</v>
      </c>
      <c r="K564" s="89"/>
      <c r="L564" s="89"/>
      <c r="M564" s="90"/>
      <c r="N564" s="88" t="s">
        <v>26</v>
      </c>
      <c r="O564" s="89"/>
      <c r="P564" s="90"/>
      <c r="Q564" s="133">
        <v>2000</v>
      </c>
      <c r="R564" s="134"/>
      <c r="S564" s="5" t="s">
        <v>16</v>
      </c>
      <c r="T564" s="6"/>
      <c r="U564" s="8">
        <v>5</v>
      </c>
      <c r="V564" s="5" t="s">
        <v>106</v>
      </c>
      <c r="W564" s="12">
        <v>9041235</v>
      </c>
      <c r="X564" s="6"/>
      <c r="Y564" s="6"/>
    </row>
    <row r="565" spans="1:25" ht="15" customHeight="1" x14ac:dyDescent="0.2">
      <c r="A565" s="88" t="s">
        <v>829</v>
      </c>
      <c r="B565" s="90"/>
      <c r="C565" s="88" t="s">
        <v>866</v>
      </c>
      <c r="D565" s="90"/>
      <c r="E565" s="88" t="s">
        <v>867</v>
      </c>
      <c r="F565" s="89"/>
      <c r="G565" s="89"/>
      <c r="H565" s="89"/>
      <c r="I565" s="90"/>
      <c r="J565" s="88" t="s">
        <v>13</v>
      </c>
      <c r="K565" s="89"/>
      <c r="L565" s="89"/>
      <c r="M565" s="90"/>
      <c r="N565" s="88" t="s">
        <v>26</v>
      </c>
      <c r="O565" s="89"/>
      <c r="P565" s="90"/>
      <c r="Q565" s="133">
        <v>1600</v>
      </c>
      <c r="R565" s="134"/>
      <c r="S565" s="5" t="s">
        <v>804</v>
      </c>
      <c r="T565" s="6"/>
      <c r="U565" s="8">
        <v>5</v>
      </c>
      <c r="V565" s="5" t="s">
        <v>176</v>
      </c>
      <c r="W565" s="12">
        <v>13827425</v>
      </c>
      <c r="X565" s="6"/>
      <c r="Y565" s="6"/>
    </row>
    <row r="566" spans="1:25" ht="15" customHeight="1" x14ac:dyDescent="0.2">
      <c r="A566" s="88" t="s">
        <v>829</v>
      </c>
      <c r="B566" s="90"/>
      <c r="C566" s="88" t="s">
        <v>868</v>
      </c>
      <c r="D566" s="90"/>
      <c r="E566" s="106"/>
      <c r="F566" s="107"/>
      <c r="G566" s="107"/>
      <c r="H566" s="107"/>
      <c r="I566" s="108"/>
      <c r="J566" s="88" t="s">
        <v>13</v>
      </c>
      <c r="K566" s="89"/>
      <c r="L566" s="89"/>
      <c r="M566" s="90"/>
      <c r="N566" s="88" t="s">
        <v>26</v>
      </c>
      <c r="O566" s="89"/>
      <c r="P566" s="90"/>
      <c r="Q566" s="133">
        <v>1600</v>
      </c>
      <c r="R566" s="134"/>
      <c r="S566" s="5" t="s">
        <v>804</v>
      </c>
      <c r="T566" s="6"/>
      <c r="U566" s="8">
        <v>5</v>
      </c>
      <c r="V566" s="5" t="s">
        <v>23</v>
      </c>
      <c r="W566" s="12">
        <v>7418399</v>
      </c>
      <c r="X566" s="6"/>
      <c r="Y566" s="6"/>
    </row>
    <row r="567" spans="1:25" ht="15" customHeight="1" x14ac:dyDescent="0.2">
      <c r="A567" s="88" t="s">
        <v>829</v>
      </c>
      <c r="B567" s="90"/>
      <c r="C567" s="88" t="s">
        <v>869</v>
      </c>
      <c r="D567" s="90"/>
      <c r="E567" s="106"/>
      <c r="F567" s="107"/>
      <c r="G567" s="107"/>
      <c r="H567" s="107"/>
      <c r="I567" s="108"/>
      <c r="J567" s="88" t="s">
        <v>13</v>
      </c>
      <c r="K567" s="89"/>
      <c r="L567" s="89"/>
      <c r="M567" s="90"/>
      <c r="N567" s="88" t="s">
        <v>26</v>
      </c>
      <c r="O567" s="89"/>
      <c r="P567" s="90"/>
      <c r="Q567" s="88" t="s">
        <v>181</v>
      </c>
      <c r="R567" s="90"/>
      <c r="S567" s="5" t="s">
        <v>27</v>
      </c>
      <c r="T567" s="6"/>
      <c r="U567" s="8">
        <v>5</v>
      </c>
      <c r="V567" s="5" t="s">
        <v>569</v>
      </c>
      <c r="W567" s="12">
        <v>7375117</v>
      </c>
      <c r="X567" s="6"/>
      <c r="Y567" s="6"/>
    </row>
    <row r="568" spans="1:25" ht="15" customHeight="1" x14ac:dyDescent="0.2">
      <c r="A568" s="88" t="s">
        <v>829</v>
      </c>
      <c r="B568" s="90"/>
      <c r="C568" s="88" t="s">
        <v>870</v>
      </c>
      <c r="D568" s="90"/>
      <c r="E568" s="88" t="s">
        <v>871</v>
      </c>
      <c r="F568" s="89"/>
      <c r="G568" s="89"/>
      <c r="H568" s="89"/>
      <c r="I568" s="90"/>
      <c r="J568" s="88" t="s">
        <v>13</v>
      </c>
      <c r="K568" s="89"/>
      <c r="L568" s="89"/>
      <c r="M568" s="90"/>
      <c r="N568" s="88" t="s">
        <v>26</v>
      </c>
      <c r="O568" s="89"/>
      <c r="P568" s="90"/>
      <c r="Q568" s="88" t="s">
        <v>181</v>
      </c>
      <c r="R568" s="90"/>
      <c r="S568" s="5" t="s">
        <v>27</v>
      </c>
      <c r="T568" s="6"/>
      <c r="U568" s="8">
        <v>5</v>
      </c>
      <c r="V568" s="5" t="s">
        <v>569</v>
      </c>
      <c r="W568" s="12">
        <v>7186472</v>
      </c>
      <c r="X568" s="6"/>
      <c r="Y568" s="6"/>
    </row>
    <row r="569" spans="1:25" ht="15" customHeight="1" x14ac:dyDescent="0.2">
      <c r="A569" s="88" t="s">
        <v>829</v>
      </c>
      <c r="B569" s="90"/>
      <c r="C569" s="88" t="s">
        <v>872</v>
      </c>
      <c r="D569" s="90"/>
      <c r="E569" s="88" t="s">
        <v>873</v>
      </c>
      <c r="F569" s="89"/>
      <c r="G569" s="89"/>
      <c r="H569" s="89"/>
      <c r="I569" s="90"/>
      <c r="J569" s="88" t="s">
        <v>13</v>
      </c>
      <c r="K569" s="89"/>
      <c r="L569" s="89"/>
      <c r="M569" s="90"/>
      <c r="N569" s="88" t="s">
        <v>26</v>
      </c>
      <c r="O569" s="89"/>
      <c r="P569" s="90"/>
      <c r="Q569" s="133">
        <v>2000</v>
      </c>
      <c r="R569" s="134"/>
      <c r="S569" s="5" t="s">
        <v>804</v>
      </c>
      <c r="T569" s="6"/>
      <c r="U569" s="8">
        <v>5</v>
      </c>
      <c r="V569" s="5" t="s">
        <v>106</v>
      </c>
      <c r="W569" s="12">
        <v>5035384</v>
      </c>
      <c r="X569" s="6"/>
      <c r="Y569" s="6"/>
    </row>
    <row r="570" spans="1:25" ht="15" customHeight="1" x14ac:dyDescent="0.2">
      <c r="A570" s="88" t="s">
        <v>829</v>
      </c>
      <c r="B570" s="90"/>
      <c r="C570" s="88" t="s">
        <v>874</v>
      </c>
      <c r="D570" s="90"/>
      <c r="E570" s="88" t="s">
        <v>873</v>
      </c>
      <c r="F570" s="89"/>
      <c r="G570" s="89"/>
      <c r="H570" s="89"/>
      <c r="I570" s="90"/>
      <c r="J570" s="88" t="s">
        <v>13</v>
      </c>
      <c r="K570" s="89"/>
      <c r="L570" s="89"/>
      <c r="M570" s="90"/>
      <c r="N570" s="88" t="s">
        <v>26</v>
      </c>
      <c r="O570" s="89"/>
      <c r="P570" s="90"/>
      <c r="Q570" s="133">
        <v>2000</v>
      </c>
      <c r="R570" s="134"/>
      <c r="S570" s="5" t="s">
        <v>804</v>
      </c>
      <c r="T570" s="6"/>
      <c r="U570" s="8">
        <v>5</v>
      </c>
      <c r="V570" s="5" t="s">
        <v>106</v>
      </c>
      <c r="W570" s="12">
        <v>9223174</v>
      </c>
      <c r="X570" s="6"/>
      <c r="Y570" s="6"/>
    </row>
    <row r="571" spans="1:25" ht="15" customHeight="1" x14ac:dyDescent="0.2">
      <c r="A571" s="88" t="s">
        <v>829</v>
      </c>
      <c r="B571" s="90"/>
      <c r="C571" s="88" t="s">
        <v>875</v>
      </c>
      <c r="D571" s="90"/>
      <c r="E571" s="88" t="s">
        <v>873</v>
      </c>
      <c r="F571" s="89"/>
      <c r="G571" s="89"/>
      <c r="H571" s="89"/>
      <c r="I571" s="90"/>
      <c r="J571" s="88" t="s">
        <v>13</v>
      </c>
      <c r="K571" s="89"/>
      <c r="L571" s="89"/>
      <c r="M571" s="90"/>
      <c r="N571" s="88" t="s">
        <v>26</v>
      </c>
      <c r="O571" s="89"/>
      <c r="P571" s="90"/>
      <c r="Q571" s="133">
        <v>2000</v>
      </c>
      <c r="R571" s="134"/>
      <c r="S571" s="5" t="s">
        <v>804</v>
      </c>
      <c r="T571" s="6"/>
      <c r="U571" s="8">
        <v>5</v>
      </c>
      <c r="V571" s="5" t="s">
        <v>106</v>
      </c>
      <c r="W571" s="12">
        <v>5882081</v>
      </c>
      <c r="X571" s="6"/>
      <c r="Y571" s="6"/>
    </row>
    <row r="572" spans="1:25" ht="15" customHeight="1" x14ac:dyDescent="0.2">
      <c r="A572" s="88" t="s">
        <v>829</v>
      </c>
      <c r="B572" s="90"/>
      <c r="C572" s="88" t="s">
        <v>876</v>
      </c>
      <c r="D572" s="90"/>
      <c r="E572" s="106"/>
      <c r="F572" s="107"/>
      <c r="G572" s="107"/>
      <c r="H572" s="107"/>
      <c r="I572" s="108"/>
      <c r="J572" s="88" t="s">
        <v>13</v>
      </c>
      <c r="K572" s="89"/>
      <c r="L572" s="89"/>
      <c r="M572" s="90"/>
      <c r="N572" s="88" t="s">
        <v>26</v>
      </c>
      <c r="O572" s="89"/>
      <c r="P572" s="90"/>
      <c r="Q572" s="133">
        <v>1600</v>
      </c>
      <c r="R572" s="134"/>
      <c r="S572" s="5" t="s">
        <v>814</v>
      </c>
      <c r="T572" s="6"/>
      <c r="U572" s="8">
        <v>7</v>
      </c>
      <c r="V572" s="5" t="s">
        <v>23</v>
      </c>
      <c r="W572" s="12">
        <v>7898586</v>
      </c>
      <c r="X572" s="6"/>
      <c r="Y572" s="6"/>
    </row>
    <row r="573" spans="1:25" ht="15" customHeight="1" x14ac:dyDescent="0.2">
      <c r="A573" s="88" t="s">
        <v>829</v>
      </c>
      <c r="B573" s="90"/>
      <c r="C573" s="88" t="s">
        <v>877</v>
      </c>
      <c r="D573" s="90"/>
      <c r="E573" s="88" t="s">
        <v>873</v>
      </c>
      <c r="F573" s="89"/>
      <c r="G573" s="89"/>
      <c r="H573" s="89"/>
      <c r="I573" s="90"/>
      <c r="J573" s="88" t="s">
        <v>13</v>
      </c>
      <c r="K573" s="89"/>
      <c r="L573" s="89"/>
      <c r="M573" s="90"/>
      <c r="N573" s="88" t="s">
        <v>26</v>
      </c>
      <c r="O573" s="89"/>
      <c r="P573" s="90"/>
      <c r="Q573" s="133">
        <v>200</v>
      </c>
      <c r="R573" s="134"/>
      <c r="S573" s="5" t="s">
        <v>814</v>
      </c>
      <c r="T573" s="6"/>
      <c r="U573" s="8">
        <v>7</v>
      </c>
      <c r="V573" s="5" t="s">
        <v>106</v>
      </c>
      <c r="W573" s="12">
        <v>10854746</v>
      </c>
      <c r="X573" s="6"/>
      <c r="Y573" s="6"/>
    </row>
    <row r="574" spans="1:25" ht="15" customHeight="1" x14ac:dyDescent="0.2">
      <c r="A574" s="88" t="s">
        <v>878</v>
      </c>
      <c r="B574" s="90"/>
      <c r="C574" s="88" t="s">
        <v>879</v>
      </c>
      <c r="D574" s="90"/>
      <c r="E574" s="88" t="s">
        <v>880</v>
      </c>
      <c r="F574" s="89"/>
      <c r="G574" s="89"/>
      <c r="H574" s="89"/>
      <c r="I574" s="90"/>
      <c r="J574" s="88" t="s">
        <v>770</v>
      </c>
      <c r="K574" s="89"/>
      <c r="L574" s="89"/>
      <c r="M574" s="90"/>
      <c r="N574" s="88" t="s">
        <v>22</v>
      </c>
      <c r="O574" s="89"/>
      <c r="P574" s="90"/>
      <c r="Q574" s="133">
        <v>2497</v>
      </c>
      <c r="R574" s="134"/>
      <c r="S574" s="5" t="s">
        <v>44</v>
      </c>
      <c r="T574" s="8">
        <v>1845</v>
      </c>
      <c r="U574" s="8">
        <v>5</v>
      </c>
      <c r="V574" s="5" t="s">
        <v>23</v>
      </c>
      <c r="W574" s="12">
        <v>5798644</v>
      </c>
      <c r="X574" s="6"/>
      <c r="Y574" s="6"/>
    </row>
    <row r="575" spans="1:25" ht="15" customHeight="1" x14ac:dyDescent="0.2">
      <c r="A575" s="88" t="s">
        <v>878</v>
      </c>
      <c r="B575" s="90"/>
      <c r="C575" s="88" t="s">
        <v>879</v>
      </c>
      <c r="D575" s="90"/>
      <c r="E575" s="88" t="s">
        <v>881</v>
      </c>
      <c r="F575" s="89"/>
      <c r="G575" s="89"/>
      <c r="H575" s="89"/>
      <c r="I575" s="90"/>
      <c r="J575" s="88" t="s">
        <v>770</v>
      </c>
      <c r="K575" s="89"/>
      <c r="L575" s="89"/>
      <c r="M575" s="90"/>
      <c r="N575" s="88" t="s">
        <v>26</v>
      </c>
      <c r="O575" s="89"/>
      <c r="P575" s="90"/>
      <c r="Q575" s="133">
        <v>2487</v>
      </c>
      <c r="R575" s="134"/>
      <c r="S575" s="5" t="s">
        <v>44</v>
      </c>
      <c r="T575" s="8">
        <v>1845</v>
      </c>
      <c r="U575" s="8">
        <v>5</v>
      </c>
      <c r="V575" s="5" t="s">
        <v>23</v>
      </c>
      <c r="W575" s="12">
        <v>5658917</v>
      </c>
      <c r="X575" s="6"/>
      <c r="Y575" s="6"/>
    </row>
    <row r="576" spans="1:25" ht="15" customHeight="1" x14ac:dyDescent="0.2">
      <c r="A576" s="88" t="s">
        <v>878</v>
      </c>
      <c r="B576" s="90"/>
      <c r="C576" s="88" t="s">
        <v>882</v>
      </c>
      <c r="D576" s="90"/>
      <c r="E576" s="88" t="s">
        <v>883</v>
      </c>
      <c r="F576" s="89"/>
      <c r="G576" s="89"/>
      <c r="H576" s="89"/>
      <c r="I576" s="90"/>
      <c r="J576" s="88" t="s">
        <v>770</v>
      </c>
      <c r="K576" s="89"/>
      <c r="L576" s="89"/>
      <c r="M576" s="90"/>
      <c r="N576" s="88" t="s">
        <v>22</v>
      </c>
      <c r="O576" s="89"/>
      <c r="P576" s="90"/>
      <c r="Q576" s="133">
        <v>658</v>
      </c>
      <c r="R576" s="134"/>
      <c r="S576" s="5" t="s">
        <v>70</v>
      </c>
      <c r="T576" s="8">
        <v>1310</v>
      </c>
      <c r="U576" s="8">
        <v>4</v>
      </c>
      <c r="V576" s="5" t="s">
        <v>23</v>
      </c>
      <c r="W576" s="12">
        <v>3160610</v>
      </c>
      <c r="X576" s="6"/>
      <c r="Y576" s="6"/>
    </row>
    <row r="577" spans="1:25" ht="15" customHeight="1" x14ac:dyDescent="0.2">
      <c r="A577" s="88" t="s">
        <v>878</v>
      </c>
      <c r="B577" s="90"/>
      <c r="C577" s="88" t="s">
        <v>884</v>
      </c>
      <c r="D577" s="90"/>
      <c r="E577" s="88" t="s">
        <v>885</v>
      </c>
      <c r="F577" s="89"/>
      <c r="G577" s="89"/>
      <c r="H577" s="89"/>
      <c r="I577" s="90"/>
      <c r="J577" s="88" t="s">
        <v>770</v>
      </c>
      <c r="K577" s="89"/>
      <c r="L577" s="89"/>
      <c r="M577" s="90"/>
      <c r="N577" s="88" t="s">
        <v>22</v>
      </c>
      <c r="O577" s="89"/>
      <c r="P577" s="90"/>
      <c r="Q577" s="133">
        <v>658</v>
      </c>
      <c r="R577" s="134"/>
      <c r="S577" s="5" t="s">
        <v>70</v>
      </c>
      <c r="T577" s="8">
        <v>1310</v>
      </c>
      <c r="U577" s="8">
        <v>4</v>
      </c>
      <c r="V577" s="5" t="s">
        <v>23</v>
      </c>
      <c r="W577" s="12">
        <v>3177377</v>
      </c>
      <c r="X577" s="6"/>
      <c r="Y577" s="6"/>
    </row>
    <row r="578" spans="1:25" ht="15" customHeight="1" x14ac:dyDescent="0.2">
      <c r="A578" s="88" t="s">
        <v>878</v>
      </c>
      <c r="B578" s="90"/>
      <c r="C578" s="88" t="s">
        <v>886</v>
      </c>
      <c r="D578" s="90"/>
      <c r="E578" s="88" t="s">
        <v>885</v>
      </c>
      <c r="F578" s="89"/>
      <c r="G578" s="89"/>
      <c r="H578" s="89"/>
      <c r="I578" s="90"/>
      <c r="J578" s="88" t="s">
        <v>887</v>
      </c>
      <c r="K578" s="89"/>
      <c r="L578" s="89"/>
      <c r="M578" s="90"/>
      <c r="N578" s="88" t="s">
        <v>22</v>
      </c>
      <c r="O578" s="89"/>
      <c r="P578" s="90"/>
      <c r="Q578" s="133">
        <v>658</v>
      </c>
      <c r="R578" s="134"/>
      <c r="S578" s="5" t="s">
        <v>70</v>
      </c>
      <c r="T578" s="8">
        <v>1310</v>
      </c>
      <c r="U578" s="8">
        <v>4</v>
      </c>
      <c r="V578" s="5" t="s">
        <v>23</v>
      </c>
      <c r="W578" s="12">
        <v>3177377</v>
      </c>
      <c r="X578" s="6"/>
      <c r="Y578" s="6"/>
    </row>
    <row r="579" spans="1:25" ht="15" customHeight="1" x14ac:dyDescent="0.2">
      <c r="A579" s="88" t="s">
        <v>878</v>
      </c>
      <c r="B579" s="90"/>
      <c r="C579" s="88" t="s">
        <v>886</v>
      </c>
      <c r="D579" s="90"/>
      <c r="E579" s="88" t="s">
        <v>883</v>
      </c>
      <c r="F579" s="89"/>
      <c r="G579" s="89"/>
      <c r="H579" s="89"/>
      <c r="I579" s="90"/>
      <c r="J579" s="88" t="s">
        <v>770</v>
      </c>
      <c r="K579" s="89"/>
      <c r="L579" s="89"/>
      <c r="M579" s="90"/>
      <c r="N579" s="88" t="s">
        <v>22</v>
      </c>
      <c r="O579" s="89"/>
      <c r="P579" s="90"/>
      <c r="Q579" s="133">
        <v>658</v>
      </c>
      <c r="R579" s="134"/>
      <c r="S579" s="5" t="s">
        <v>70</v>
      </c>
      <c r="T579" s="8">
        <v>1290</v>
      </c>
      <c r="U579" s="8">
        <v>4</v>
      </c>
      <c r="V579" s="5" t="s">
        <v>23</v>
      </c>
      <c r="W579" s="12">
        <v>2959404</v>
      </c>
      <c r="X579" s="6"/>
      <c r="Y579" s="6"/>
    </row>
    <row r="580" spans="1:25" ht="15" customHeight="1" x14ac:dyDescent="0.2">
      <c r="A580" s="88" t="s">
        <v>878</v>
      </c>
      <c r="B580" s="90"/>
      <c r="C580" s="88" t="s">
        <v>888</v>
      </c>
      <c r="D580" s="90"/>
      <c r="E580" s="88" t="s">
        <v>889</v>
      </c>
      <c r="F580" s="89"/>
      <c r="G580" s="89"/>
      <c r="H580" s="89"/>
      <c r="I580" s="90"/>
      <c r="J580" s="88" t="s">
        <v>770</v>
      </c>
      <c r="K580" s="89"/>
      <c r="L580" s="89"/>
      <c r="M580" s="90"/>
      <c r="N580" s="88" t="s">
        <v>26</v>
      </c>
      <c r="O580" s="89"/>
      <c r="P580" s="90"/>
      <c r="Q580" s="133">
        <v>658</v>
      </c>
      <c r="R580" s="134"/>
      <c r="S580" s="5" t="s">
        <v>814</v>
      </c>
      <c r="T580" s="8">
        <v>1430</v>
      </c>
      <c r="U580" s="8">
        <v>4</v>
      </c>
      <c r="V580" s="5" t="s">
        <v>23</v>
      </c>
      <c r="W580" s="12">
        <v>2803469</v>
      </c>
      <c r="X580" s="6"/>
      <c r="Y580" s="6"/>
    </row>
    <row r="581" spans="1:25" ht="15" customHeight="1" x14ac:dyDescent="0.2">
      <c r="A581" s="88" t="s">
        <v>878</v>
      </c>
      <c r="B581" s="90"/>
      <c r="C581" s="88" t="s">
        <v>890</v>
      </c>
      <c r="D581" s="90"/>
      <c r="E581" s="88" t="s">
        <v>891</v>
      </c>
      <c r="F581" s="89"/>
      <c r="G581" s="89"/>
      <c r="H581" s="89"/>
      <c r="I581" s="90"/>
      <c r="J581" s="88" t="s">
        <v>770</v>
      </c>
      <c r="K581" s="89"/>
      <c r="L581" s="89"/>
      <c r="M581" s="90"/>
      <c r="N581" s="88" t="s">
        <v>22</v>
      </c>
      <c r="O581" s="89"/>
      <c r="P581" s="90"/>
      <c r="Q581" s="133">
        <v>658</v>
      </c>
      <c r="R581" s="134"/>
      <c r="S581" s="5" t="s">
        <v>814</v>
      </c>
      <c r="T581" s="8">
        <v>1290</v>
      </c>
      <c r="U581" s="8">
        <v>4</v>
      </c>
      <c r="V581" s="5" t="s">
        <v>23</v>
      </c>
      <c r="W581" s="12">
        <v>3688776</v>
      </c>
      <c r="X581" s="6"/>
      <c r="Y581" s="6"/>
    </row>
    <row r="582" spans="1:25" ht="15" customHeight="1" x14ac:dyDescent="0.2">
      <c r="A582" s="88" t="s">
        <v>878</v>
      </c>
      <c r="B582" s="90"/>
      <c r="C582" s="88" t="s">
        <v>890</v>
      </c>
      <c r="D582" s="90"/>
      <c r="E582" s="88" t="s">
        <v>885</v>
      </c>
      <c r="F582" s="89"/>
      <c r="G582" s="89"/>
      <c r="H582" s="89"/>
      <c r="I582" s="90"/>
      <c r="J582" s="88" t="s">
        <v>887</v>
      </c>
      <c r="K582" s="89"/>
      <c r="L582" s="89"/>
      <c r="M582" s="90"/>
      <c r="N582" s="88" t="s">
        <v>26</v>
      </c>
      <c r="O582" s="89"/>
      <c r="P582" s="90"/>
      <c r="Q582" s="133">
        <v>658</v>
      </c>
      <c r="R582" s="134"/>
      <c r="S582" s="5" t="s">
        <v>70</v>
      </c>
      <c r="T582" s="8">
        <v>1320</v>
      </c>
      <c r="U582" s="8">
        <v>4</v>
      </c>
      <c r="V582" s="5" t="s">
        <v>23</v>
      </c>
      <c r="W582" s="12">
        <v>3454035</v>
      </c>
      <c r="X582" s="6"/>
      <c r="Y582" s="6"/>
    </row>
    <row r="583" spans="1:25" ht="15" customHeight="1" x14ac:dyDescent="0.2">
      <c r="A583" s="88" t="s">
        <v>878</v>
      </c>
      <c r="B583" s="90"/>
      <c r="C583" s="88" t="s">
        <v>890</v>
      </c>
      <c r="D583" s="90"/>
      <c r="E583" s="88" t="s">
        <v>892</v>
      </c>
      <c r="F583" s="89"/>
      <c r="G583" s="89"/>
      <c r="H583" s="89"/>
      <c r="I583" s="90"/>
      <c r="J583" s="88" t="s">
        <v>770</v>
      </c>
      <c r="K583" s="89"/>
      <c r="L583" s="89"/>
      <c r="M583" s="90"/>
      <c r="N583" s="88" t="s">
        <v>22</v>
      </c>
      <c r="O583" s="89"/>
      <c r="P583" s="90"/>
      <c r="Q583" s="133">
        <v>658</v>
      </c>
      <c r="R583" s="134"/>
      <c r="S583" s="5" t="s">
        <v>70</v>
      </c>
      <c r="T583" s="8">
        <v>1290</v>
      </c>
      <c r="U583" s="8">
        <v>4</v>
      </c>
      <c r="V583" s="5" t="s">
        <v>23</v>
      </c>
      <c r="W583" s="12">
        <v>3688776</v>
      </c>
      <c r="X583" s="6"/>
      <c r="Y583" s="6"/>
    </row>
    <row r="584" spans="1:25" ht="15" customHeight="1" x14ac:dyDescent="0.2">
      <c r="A584" s="88" t="s">
        <v>878</v>
      </c>
      <c r="B584" s="90"/>
      <c r="C584" s="88" t="s">
        <v>890</v>
      </c>
      <c r="D584" s="90"/>
      <c r="E584" s="88" t="s">
        <v>883</v>
      </c>
      <c r="F584" s="89"/>
      <c r="G584" s="89"/>
      <c r="H584" s="89"/>
      <c r="I584" s="90"/>
      <c r="J584" s="88" t="s">
        <v>770</v>
      </c>
      <c r="K584" s="89"/>
      <c r="L584" s="89"/>
      <c r="M584" s="90"/>
      <c r="N584" s="88" t="s">
        <v>26</v>
      </c>
      <c r="O584" s="89"/>
      <c r="P584" s="90"/>
      <c r="Q584" s="133">
        <v>658</v>
      </c>
      <c r="R584" s="134"/>
      <c r="S584" s="5" t="s">
        <v>70</v>
      </c>
      <c r="T584" s="8">
        <v>980</v>
      </c>
      <c r="U584" s="8">
        <v>4</v>
      </c>
      <c r="V584" s="5" t="s">
        <v>23</v>
      </c>
      <c r="W584" s="12">
        <v>3437268</v>
      </c>
      <c r="X584" s="6"/>
      <c r="Y584" s="6"/>
    </row>
    <row r="585" spans="1:25" ht="15" customHeight="1" x14ac:dyDescent="0.2">
      <c r="A585" s="88" t="s">
        <v>878</v>
      </c>
      <c r="B585" s="90"/>
      <c r="C585" s="88" t="s">
        <v>890</v>
      </c>
      <c r="D585" s="90"/>
      <c r="E585" s="88" t="s">
        <v>883</v>
      </c>
      <c r="F585" s="89"/>
      <c r="G585" s="89"/>
      <c r="H585" s="89"/>
      <c r="I585" s="90"/>
      <c r="J585" s="88" t="s">
        <v>887</v>
      </c>
      <c r="K585" s="89"/>
      <c r="L585" s="89"/>
      <c r="M585" s="90"/>
      <c r="N585" s="88" t="s">
        <v>22</v>
      </c>
      <c r="O585" s="89"/>
      <c r="P585" s="90"/>
      <c r="Q585" s="133">
        <v>658</v>
      </c>
      <c r="R585" s="134"/>
      <c r="S585" s="5" t="s">
        <v>70</v>
      </c>
      <c r="T585" s="8">
        <v>1320</v>
      </c>
      <c r="U585" s="8">
        <v>4</v>
      </c>
      <c r="V585" s="5" t="s">
        <v>23</v>
      </c>
      <c r="W585" s="12">
        <v>3437268</v>
      </c>
      <c r="X585" s="6"/>
      <c r="Y585" s="6"/>
    </row>
    <row r="586" spans="1:25" ht="15" customHeight="1" x14ac:dyDescent="0.2">
      <c r="A586" s="88" t="s">
        <v>878</v>
      </c>
      <c r="B586" s="90"/>
      <c r="C586" s="88" t="s">
        <v>893</v>
      </c>
      <c r="D586" s="90"/>
      <c r="E586" s="88" t="s">
        <v>883</v>
      </c>
      <c r="F586" s="89"/>
      <c r="G586" s="89"/>
      <c r="H586" s="89"/>
      <c r="I586" s="90"/>
      <c r="J586" s="88" t="s">
        <v>770</v>
      </c>
      <c r="K586" s="89"/>
      <c r="L586" s="89"/>
      <c r="M586" s="90"/>
      <c r="N586" s="88" t="s">
        <v>26</v>
      </c>
      <c r="O586" s="89"/>
      <c r="P586" s="90"/>
      <c r="Q586" s="133">
        <v>658</v>
      </c>
      <c r="R586" s="134"/>
      <c r="S586" s="5" t="s">
        <v>70</v>
      </c>
      <c r="T586" s="8">
        <v>1320</v>
      </c>
      <c r="U586" s="8">
        <v>4</v>
      </c>
      <c r="V586" s="5" t="s">
        <v>23</v>
      </c>
      <c r="W586" s="12">
        <v>3267920</v>
      </c>
      <c r="X586" s="6"/>
      <c r="Y586" s="6"/>
    </row>
    <row r="587" spans="1:25" ht="15" customHeight="1" x14ac:dyDescent="0.2">
      <c r="A587" s="88" t="s">
        <v>878</v>
      </c>
      <c r="B587" s="90"/>
      <c r="C587" s="88" t="s">
        <v>894</v>
      </c>
      <c r="D587" s="90"/>
      <c r="E587" s="88" t="s">
        <v>895</v>
      </c>
      <c r="F587" s="89"/>
      <c r="G587" s="89"/>
      <c r="H587" s="89"/>
      <c r="I587" s="90"/>
      <c r="J587" s="88" t="s">
        <v>770</v>
      </c>
      <c r="K587" s="89"/>
      <c r="L587" s="89"/>
      <c r="M587" s="90"/>
      <c r="N587" s="88" t="s">
        <v>26</v>
      </c>
      <c r="O587" s="89"/>
      <c r="P587" s="90"/>
      <c r="Q587" s="133">
        <v>658</v>
      </c>
      <c r="R587" s="134"/>
      <c r="S587" s="5" t="s">
        <v>70</v>
      </c>
      <c r="T587" s="8">
        <v>1200</v>
      </c>
      <c r="U587" s="8">
        <v>4</v>
      </c>
      <c r="V587" s="5" t="s">
        <v>23</v>
      </c>
      <c r="W587" s="12">
        <v>2371356</v>
      </c>
      <c r="X587" s="6"/>
      <c r="Y587" s="6"/>
    </row>
    <row r="588" spans="1:25" ht="15" customHeight="1" x14ac:dyDescent="0.2">
      <c r="A588" s="88" t="s">
        <v>878</v>
      </c>
      <c r="B588" s="90"/>
      <c r="C588" s="88" t="s">
        <v>896</v>
      </c>
      <c r="D588" s="90"/>
      <c r="E588" s="88" t="s">
        <v>897</v>
      </c>
      <c r="F588" s="89"/>
      <c r="G588" s="89"/>
      <c r="H588" s="89"/>
      <c r="I588" s="90"/>
      <c r="J588" s="88" t="s">
        <v>770</v>
      </c>
      <c r="K588" s="89"/>
      <c r="L588" s="89"/>
      <c r="M588" s="90"/>
      <c r="N588" s="88" t="s">
        <v>26</v>
      </c>
      <c r="O588" s="89"/>
      <c r="P588" s="90"/>
      <c r="Q588" s="133">
        <v>658</v>
      </c>
      <c r="R588" s="134"/>
      <c r="S588" s="5" t="s">
        <v>70</v>
      </c>
      <c r="T588" s="8">
        <v>1230</v>
      </c>
      <c r="U588" s="8">
        <v>4</v>
      </c>
      <c r="V588" s="5" t="s">
        <v>23</v>
      </c>
      <c r="W588" s="12">
        <v>2565376</v>
      </c>
      <c r="X588" s="6"/>
      <c r="Y588" s="6"/>
    </row>
    <row r="589" spans="1:25" ht="15" customHeight="1" x14ac:dyDescent="0.2">
      <c r="A589" s="88" t="s">
        <v>878</v>
      </c>
      <c r="B589" s="90"/>
      <c r="C589" s="88" t="s">
        <v>898</v>
      </c>
      <c r="D589" s="90"/>
      <c r="E589" s="88" t="s">
        <v>897</v>
      </c>
      <c r="F589" s="89"/>
      <c r="G589" s="89"/>
      <c r="H589" s="89"/>
      <c r="I589" s="90"/>
      <c r="J589" s="88" t="s">
        <v>887</v>
      </c>
      <c r="K589" s="89"/>
      <c r="L589" s="89"/>
      <c r="M589" s="90"/>
      <c r="N589" s="88" t="s">
        <v>26</v>
      </c>
      <c r="O589" s="89"/>
      <c r="P589" s="90"/>
      <c r="Q589" s="133">
        <v>658</v>
      </c>
      <c r="R589" s="134"/>
      <c r="S589" s="5" t="s">
        <v>70</v>
      </c>
      <c r="T589" s="8">
        <v>1230</v>
      </c>
      <c r="U589" s="8">
        <v>4</v>
      </c>
      <c r="V589" s="5" t="s">
        <v>23</v>
      </c>
      <c r="W589" s="12">
        <v>2821913</v>
      </c>
      <c r="X589" s="6"/>
      <c r="Y589" s="6"/>
    </row>
    <row r="590" spans="1:25" ht="15" customHeight="1" x14ac:dyDescent="0.2">
      <c r="A590" s="88" t="s">
        <v>878</v>
      </c>
      <c r="B590" s="90"/>
      <c r="C590" s="88" t="s">
        <v>898</v>
      </c>
      <c r="D590" s="90"/>
      <c r="E590" s="88" t="s">
        <v>895</v>
      </c>
      <c r="F590" s="89"/>
      <c r="G590" s="89"/>
      <c r="H590" s="89"/>
      <c r="I590" s="90"/>
      <c r="J590" s="88" t="s">
        <v>887</v>
      </c>
      <c r="K590" s="89"/>
      <c r="L590" s="89"/>
      <c r="M590" s="90"/>
      <c r="N590" s="88" t="s">
        <v>26</v>
      </c>
      <c r="O590" s="89"/>
      <c r="P590" s="90"/>
      <c r="Q590" s="133">
        <v>658</v>
      </c>
      <c r="R590" s="134"/>
      <c r="S590" s="5" t="s">
        <v>70</v>
      </c>
      <c r="T590" s="8">
        <v>1230</v>
      </c>
      <c r="U590" s="8">
        <v>4</v>
      </c>
      <c r="V590" s="5" t="s">
        <v>23</v>
      </c>
      <c r="W590" s="12">
        <v>2565376</v>
      </c>
      <c r="X590" s="6"/>
      <c r="Y590" s="6"/>
    </row>
    <row r="591" spans="1:25" ht="15" customHeight="1" x14ac:dyDescent="0.2">
      <c r="A591" s="88" t="s">
        <v>878</v>
      </c>
      <c r="B591" s="90"/>
      <c r="C591" s="88" t="s">
        <v>899</v>
      </c>
      <c r="D591" s="90"/>
      <c r="E591" s="88" t="s">
        <v>900</v>
      </c>
      <c r="F591" s="89"/>
      <c r="G591" s="89"/>
      <c r="H591" s="89"/>
      <c r="I591" s="90"/>
      <c r="J591" s="88" t="s">
        <v>770</v>
      </c>
      <c r="K591" s="89"/>
      <c r="L591" s="89"/>
      <c r="M591" s="90"/>
      <c r="N591" s="88" t="s">
        <v>26</v>
      </c>
      <c r="O591" s="89"/>
      <c r="P591" s="90"/>
      <c r="Q591" s="133">
        <v>996</v>
      </c>
      <c r="R591" s="134"/>
      <c r="S591" s="5" t="s">
        <v>27</v>
      </c>
      <c r="T591" s="8">
        <v>1185</v>
      </c>
      <c r="U591" s="8">
        <v>5</v>
      </c>
      <c r="V591" s="5" t="s">
        <v>23</v>
      </c>
      <c r="W591" s="12">
        <v>2600587</v>
      </c>
      <c r="X591" s="6"/>
      <c r="Y591" s="6"/>
    </row>
    <row r="592" spans="1:25" ht="15" customHeight="1" x14ac:dyDescent="0.2">
      <c r="A592" s="88" t="s">
        <v>878</v>
      </c>
      <c r="B592" s="90"/>
      <c r="C592" s="88" t="s">
        <v>901</v>
      </c>
      <c r="D592" s="90"/>
      <c r="E592" s="88" t="s">
        <v>902</v>
      </c>
      <c r="F592" s="89"/>
      <c r="G592" s="89"/>
      <c r="H592" s="89"/>
      <c r="I592" s="90"/>
      <c r="J592" s="88" t="s">
        <v>770</v>
      </c>
      <c r="K592" s="89"/>
      <c r="L592" s="89"/>
      <c r="M592" s="90"/>
      <c r="N592" s="88" t="s">
        <v>26</v>
      </c>
      <c r="O592" s="89"/>
      <c r="P592" s="90"/>
      <c r="Q592" s="133">
        <v>996</v>
      </c>
      <c r="R592" s="134"/>
      <c r="S592" s="5" t="s">
        <v>27</v>
      </c>
      <c r="T592" s="8">
        <v>1185</v>
      </c>
      <c r="U592" s="8">
        <v>5</v>
      </c>
      <c r="V592" s="5" t="s">
        <v>23</v>
      </c>
      <c r="W592" s="12">
        <v>2305485</v>
      </c>
      <c r="X592" s="6"/>
      <c r="Y592" s="6"/>
    </row>
    <row r="593" spans="1:25" ht="15" customHeight="1" x14ac:dyDescent="0.2">
      <c r="A593" s="88" t="s">
        <v>878</v>
      </c>
      <c r="B593" s="90"/>
      <c r="C593" s="88" t="s">
        <v>903</v>
      </c>
      <c r="D593" s="90"/>
      <c r="E593" s="88" t="s">
        <v>900</v>
      </c>
      <c r="F593" s="89"/>
      <c r="G593" s="89"/>
      <c r="H593" s="89"/>
      <c r="I593" s="90"/>
      <c r="J593" s="88" t="s">
        <v>770</v>
      </c>
      <c r="K593" s="89"/>
      <c r="L593" s="89"/>
      <c r="M593" s="90"/>
      <c r="N593" s="88" t="s">
        <v>26</v>
      </c>
      <c r="O593" s="89"/>
      <c r="P593" s="90"/>
      <c r="Q593" s="133">
        <v>996</v>
      </c>
      <c r="R593" s="134"/>
      <c r="S593" s="5" t="s">
        <v>27</v>
      </c>
      <c r="T593" s="8">
        <v>1185</v>
      </c>
      <c r="U593" s="8">
        <v>5</v>
      </c>
      <c r="V593" s="5" t="s">
        <v>23</v>
      </c>
      <c r="W593" s="12">
        <v>2632444</v>
      </c>
      <c r="X593" s="6"/>
      <c r="Y593" s="6"/>
    </row>
    <row r="594" spans="1:25" ht="15" customHeight="1" x14ac:dyDescent="0.2">
      <c r="A594" s="88" t="s">
        <v>878</v>
      </c>
      <c r="B594" s="90"/>
      <c r="C594" s="88" t="s">
        <v>904</v>
      </c>
      <c r="D594" s="90"/>
      <c r="E594" s="88" t="s">
        <v>900</v>
      </c>
      <c r="F594" s="89"/>
      <c r="G594" s="89"/>
      <c r="H594" s="89"/>
      <c r="I594" s="90"/>
      <c r="J594" s="88" t="s">
        <v>770</v>
      </c>
      <c r="K594" s="89"/>
      <c r="L594" s="89"/>
      <c r="M594" s="90"/>
      <c r="N594" s="88" t="s">
        <v>26</v>
      </c>
      <c r="O594" s="89"/>
      <c r="P594" s="90"/>
      <c r="Q594" s="133">
        <v>996</v>
      </c>
      <c r="R594" s="134"/>
      <c r="S594" s="5" t="s">
        <v>27</v>
      </c>
      <c r="T594" s="8">
        <v>1185</v>
      </c>
      <c r="U594" s="8">
        <v>5</v>
      </c>
      <c r="V594" s="5" t="s">
        <v>23</v>
      </c>
      <c r="W594" s="12">
        <v>2632444</v>
      </c>
      <c r="X594" s="6"/>
      <c r="Y594" s="6"/>
    </row>
    <row r="595" spans="1:25" ht="15" customHeight="1" x14ac:dyDescent="0.2">
      <c r="A595" s="88" t="s">
        <v>878</v>
      </c>
      <c r="B595" s="90"/>
      <c r="C595" s="88" t="s">
        <v>905</v>
      </c>
      <c r="D595" s="90"/>
      <c r="E595" s="88" t="s">
        <v>906</v>
      </c>
      <c r="F595" s="89"/>
      <c r="G595" s="89"/>
      <c r="H595" s="89"/>
      <c r="I595" s="90"/>
      <c r="J595" s="88" t="s">
        <v>770</v>
      </c>
      <c r="K595" s="89"/>
      <c r="L595" s="89"/>
      <c r="M595" s="90"/>
      <c r="N595" s="88" t="s">
        <v>26</v>
      </c>
      <c r="O595" s="89"/>
      <c r="P595" s="90"/>
      <c r="Q595" s="133">
        <v>996</v>
      </c>
      <c r="R595" s="134"/>
      <c r="S595" s="5" t="s">
        <v>27</v>
      </c>
      <c r="T595" s="8">
        <v>1185</v>
      </c>
      <c r="U595" s="8">
        <v>5</v>
      </c>
      <c r="V595" s="5" t="s">
        <v>23</v>
      </c>
      <c r="W595" s="12">
        <v>2573759</v>
      </c>
      <c r="X595" s="6"/>
      <c r="Y595" s="6"/>
    </row>
    <row r="596" spans="1:25" ht="15" customHeight="1" x14ac:dyDescent="0.2">
      <c r="A596" s="88" t="s">
        <v>878</v>
      </c>
      <c r="B596" s="90"/>
      <c r="C596" s="88" t="s">
        <v>907</v>
      </c>
      <c r="D596" s="90"/>
      <c r="E596" s="88" t="s">
        <v>900</v>
      </c>
      <c r="F596" s="89"/>
      <c r="G596" s="89"/>
      <c r="H596" s="89"/>
      <c r="I596" s="90"/>
      <c r="J596" s="88" t="s">
        <v>770</v>
      </c>
      <c r="K596" s="89"/>
      <c r="L596" s="89"/>
      <c r="M596" s="90"/>
      <c r="N596" s="88" t="s">
        <v>26</v>
      </c>
      <c r="O596" s="89"/>
      <c r="P596" s="90"/>
      <c r="Q596" s="133">
        <v>996</v>
      </c>
      <c r="R596" s="134"/>
      <c r="S596" s="5" t="s">
        <v>27</v>
      </c>
      <c r="T596" s="8">
        <v>1185</v>
      </c>
      <c r="U596" s="8">
        <v>5</v>
      </c>
      <c r="V596" s="5" t="s">
        <v>23</v>
      </c>
      <c r="W596" s="12">
        <v>2895689</v>
      </c>
      <c r="X596" s="6"/>
      <c r="Y596" s="6"/>
    </row>
    <row r="597" spans="1:25" ht="15" customHeight="1" x14ac:dyDescent="0.2">
      <c r="A597" s="88" t="s">
        <v>878</v>
      </c>
      <c r="B597" s="90"/>
      <c r="C597" s="88" t="s">
        <v>908</v>
      </c>
      <c r="D597" s="90"/>
      <c r="E597" s="88" t="s">
        <v>900</v>
      </c>
      <c r="F597" s="89"/>
      <c r="G597" s="89"/>
      <c r="H597" s="89"/>
      <c r="I597" s="90"/>
      <c r="J597" s="88" t="s">
        <v>770</v>
      </c>
      <c r="K597" s="89"/>
      <c r="L597" s="89"/>
      <c r="M597" s="90"/>
      <c r="N597" s="88" t="s">
        <v>26</v>
      </c>
      <c r="O597" s="89"/>
      <c r="P597" s="90"/>
      <c r="Q597" s="133">
        <v>996</v>
      </c>
      <c r="R597" s="134"/>
      <c r="S597" s="5" t="s">
        <v>27</v>
      </c>
      <c r="T597" s="8">
        <v>1185</v>
      </c>
      <c r="U597" s="8">
        <v>5</v>
      </c>
      <c r="V597" s="5" t="s">
        <v>23</v>
      </c>
      <c r="W597" s="12">
        <v>2364170</v>
      </c>
      <c r="X597" s="6"/>
      <c r="Y597" s="6"/>
    </row>
    <row r="598" spans="1:25" ht="15" customHeight="1" x14ac:dyDescent="0.2">
      <c r="A598" s="88" t="s">
        <v>878</v>
      </c>
      <c r="B598" s="90"/>
      <c r="C598" s="88" t="s">
        <v>909</v>
      </c>
      <c r="D598" s="90"/>
      <c r="E598" s="88" t="s">
        <v>900</v>
      </c>
      <c r="F598" s="89"/>
      <c r="G598" s="89"/>
      <c r="H598" s="89"/>
      <c r="I598" s="90"/>
      <c r="J598" s="88" t="s">
        <v>770</v>
      </c>
      <c r="K598" s="89"/>
      <c r="L598" s="89"/>
      <c r="M598" s="90"/>
      <c r="N598" s="88" t="s">
        <v>26</v>
      </c>
      <c r="O598" s="89"/>
      <c r="P598" s="90"/>
      <c r="Q598" s="133">
        <v>996</v>
      </c>
      <c r="R598" s="134"/>
      <c r="S598" s="5" t="s">
        <v>27</v>
      </c>
      <c r="T598" s="8">
        <v>1185</v>
      </c>
      <c r="U598" s="8">
        <v>5</v>
      </c>
      <c r="V598" s="5" t="s">
        <v>23</v>
      </c>
      <c r="W598" s="12">
        <v>2364170</v>
      </c>
      <c r="X598" s="6"/>
      <c r="Y598" s="6"/>
    </row>
    <row r="599" spans="1:25" ht="15" customHeight="1" x14ac:dyDescent="0.2">
      <c r="A599" s="88" t="s">
        <v>878</v>
      </c>
      <c r="B599" s="90"/>
      <c r="C599" s="88" t="s">
        <v>910</v>
      </c>
      <c r="D599" s="90"/>
      <c r="E599" s="88" t="s">
        <v>902</v>
      </c>
      <c r="F599" s="89"/>
      <c r="G599" s="89"/>
      <c r="H599" s="89"/>
      <c r="I599" s="90"/>
      <c r="J599" s="88" t="s">
        <v>770</v>
      </c>
      <c r="K599" s="89"/>
      <c r="L599" s="89"/>
      <c r="M599" s="90"/>
      <c r="N599" s="88" t="s">
        <v>26</v>
      </c>
      <c r="O599" s="89"/>
      <c r="P599" s="90"/>
      <c r="Q599" s="133">
        <v>996</v>
      </c>
      <c r="R599" s="134"/>
      <c r="S599" s="5" t="s">
        <v>27</v>
      </c>
      <c r="T599" s="8">
        <v>1185</v>
      </c>
      <c r="U599" s="8">
        <v>5</v>
      </c>
      <c r="V599" s="5" t="s">
        <v>23</v>
      </c>
      <c r="W599" s="12">
        <v>2095895</v>
      </c>
      <c r="X599" s="6"/>
      <c r="Y599" s="6"/>
    </row>
    <row r="600" spans="1:25" ht="15" customHeight="1" x14ac:dyDescent="0.2">
      <c r="A600" s="88" t="s">
        <v>878</v>
      </c>
      <c r="B600" s="90"/>
      <c r="C600" s="88" t="s">
        <v>911</v>
      </c>
      <c r="D600" s="90"/>
      <c r="E600" s="88" t="s">
        <v>902</v>
      </c>
      <c r="F600" s="89"/>
      <c r="G600" s="89"/>
      <c r="H600" s="89"/>
      <c r="I600" s="90"/>
      <c r="J600" s="88" t="s">
        <v>770</v>
      </c>
      <c r="K600" s="89"/>
      <c r="L600" s="89"/>
      <c r="M600" s="90"/>
      <c r="N600" s="88" t="s">
        <v>26</v>
      </c>
      <c r="O600" s="89"/>
      <c r="P600" s="90"/>
      <c r="Q600" s="133">
        <v>996</v>
      </c>
      <c r="R600" s="134"/>
      <c r="S600" s="5" t="s">
        <v>27</v>
      </c>
      <c r="T600" s="8">
        <v>1185</v>
      </c>
      <c r="U600" s="8">
        <v>5</v>
      </c>
      <c r="V600" s="5" t="s">
        <v>23</v>
      </c>
      <c r="W600" s="12">
        <v>2095895</v>
      </c>
      <c r="X600" s="6"/>
      <c r="Y600" s="6"/>
    </row>
    <row r="601" spans="1:25" ht="15" customHeight="1" x14ac:dyDescent="0.2">
      <c r="A601" s="88" t="s">
        <v>878</v>
      </c>
      <c r="B601" s="90"/>
      <c r="C601" s="88" t="s">
        <v>912</v>
      </c>
      <c r="D601" s="90"/>
      <c r="E601" s="88" t="s">
        <v>913</v>
      </c>
      <c r="F601" s="89"/>
      <c r="G601" s="89"/>
      <c r="H601" s="89"/>
      <c r="I601" s="90"/>
      <c r="J601" s="88" t="s">
        <v>770</v>
      </c>
      <c r="K601" s="89"/>
      <c r="L601" s="89"/>
      <c r="M601" s="90"/>
      <c r="N601" s="88" t="s">
        <v>26</v>
      </c>
      <c r="O601" s="89"/>
      <c r="P601" s="90"/>
      <c r="Q601" s="133">
        <v>996</v>
      </c>
      <c r="R601" s="134"/>
      <c r="S601" s="5" t="s">
        <v>27</v>
      </c>
      <c r="T601" s="8">
        <v>1185</v>
      </c>
      <c r="U601" s="8">
        <v>5</v>
      </c>
      <c r="V601" s="5" t="s">
        <v>23</v>
      </c>
      <c r="W601" s="12">
        <v>2053977</v>
      </c>
      <c r="X601" s="6"/>
      <c r="Y601" s="6"/>
    </row>
    <row r="602" spans="1:25" ht="15" customHeight="1" x14ac:dyDescent="0.2">
      <c r="A602" s="88" t="s">
        <v>878</v>
      </c>
      <c r="B602" s="90"/>
      <c r="C602" s="88" t="s">
        <v>914</v>
      </c>
      <c r="D602" s="90"/>
      <c r="E602" s="88" t="s">
        <v>915</v>
      </c>
      <c r="F602" s="89"/>
      <c r="G602" s="89"/>
      <c r="H602" s="89"/>
      <c r="I602" s="90"/>
      <c r="J602" s="88" t="s">
        <v>770</v>
      </c>
      <c r="K602" s="89"/>
      <c r="L602" s="89"/>
      <c r="M602" s="90"/>
      <c r="N602" s="88" t="s">
        <v>26</v>
      </c>
      <c r="O602" s="89"/>
      <c r="P602" s="90"/>
      <c r="Q602" s="133">
        <v>658</v>
      </c>
      <c r="R602" s="134"/>
      <c r="S602" s="5" t="s">
        <v>70</v>
      </c>
      <c r="T602" s="8">
        <v>1060</v>
      </c>
      <c r="U602" s="8">
        <v>4</v>
      </c>
      <c r="V602" s="5" t="s">
        <v>23</v>
      </c>
      <c r="W602" s="12">
        <v>2297101</v>
      </c>
      <c r="X602" s="6"/>
      <c r="Y602" s="6"/>
    </row>
    <row r="603" spans="1:25" ht="15" customHeight="1" x14ac:dyDescent="0.2">
      <c r="A603" s="88" t="s">
        <v>878</v>
      </c>
      <c r="B603" s="90"/>
      <c r="C603" s="88" t="s">
        <v>916</v>
      </c>
      <c r="D603" s="90"/>
      <c r="E603" s="88" t="s">
        <v>917</v>
      </c>
      <c r="F603" s="89"/>
      <c r="G603" s="89"/>
      <c r="H603" s="89"/>
      <c r="I603" s="90"/>
      <c r="J603" s="88" t="s">
        <v>770</v>
      </c>
      <c r="K603" s="89"/>
      <c r="L603" s="89"/>
      <c r="M603" s="90"/>
      <c r="N603" s="88" t="s">
        <v>26</v>
      </c>
      <c r="O603" s="89"/>
      <c r="P603" s="90"/>
      <c r="Q603" s="133">
        <v>658</v>
      </c>
      <c r="R603" s="134"/>
      <c r="S603" s="5" t="s">
        <v>70</v>
      </c>
      <c r="T603" s="8">
        <v>1060</v>
      </c>
      <c r="U603" s="8">
        <v>4</v>
      </c>
      <c r="V603" s="5" t="s">
        <v>23</v>
      </c>
      <c r="W603" s="12">
        <v>2196498</v>
      </c>
      <c r="X603" s="6"/>
      <c r="Y603" s="6"/>
    </row>
    <row r="604" spans="1:25" ht="15" customHeight="1" x14ac:dyDescent="0.2">
      <c r="A604" s="88" t="s">
        <v>878</v>
      </c>
      <c r="B604" s="90"/>
      <c r="C604" s="88" t="s">
        <v>918</v>
      </c>
      <c r="D604" s="90"/>
      <c r="E604" s="88" t="s">
        <v>919</v>
      </c>
      <c r="F604" s="89"/>
      <c r="G604" s="89"/>
      <c r="H604" s="89"/>
      <c r="I604" s="90"/>
      <c r="J604" s="88" t="s">
        <v>770</v>
      </c>
      <c r="K604" s="89"/>
      <c r="L604" s="89"/>
      <c r="M604" s="90"/>
      <c r="N604" s="88" t="s">
        <v>26</v>
      </c>
      <c r="O604" s="89"/>
      <c r="P604" s="90"/>
      <c r="Q604" s="133">
        <v>658</v>
      </c>
      <c r="R604" s="134"/>
      <c r="S604" s="5" t="s">
        <v>70</v>
      </c>
      <c r="T604" s="8">
        <v>1070</v>
      </c>
      <c r="U604" s="8">
        <v>4</v>
      </c>
      <c r="V604" s="5" t="s">
        <v>23</v>
      </c>
      <c r="W604" s="12">
        <v>2556992</v>
      </c>
      <c r="X604" s="6"/>
      <c r="Y604" s="6"/>
    </row>
    <row r="605" spans="1:25" ht="15" customHeight="1" x14ac:dyDescent="0.2">
      <c r="A605" s="88" t="s">
        <v>878</v>
      </c>
      <c r="B605" s="90"/>
      <c r="C605" s="88" t="s">
        <v>920</v>
      </c>
      <c r="D605" s="90"/>
      <c r="E605" s="88" t="s">
        <v>921</v>
      </c>
      <c r="F605" s="89"/>
      <c r="G605" s="89"/>
      <c r="H605" s="89"/>
      <c r="I605" s="90"/>
      <c r="J605" s="88" t="s">
        <v>770</v>
      </c>
      <c r="K605" s="89"/>
      <c r="L605" s="89"/>
      <c r="M605" s="90"/>
      <c r="N605" s="88" t="s">
        <v>26</v>
      </c>
      <c r="O605" s="89"/>
      <c r="P605" s="90"/>
      <c r="Q605" s="133">
        <v>658</v>
      </c>
      <c r="R605" s="134"/>
      <c r="S605" s="5" t="s">
        <v>70</v>
      </c>
      <c r="T605" s="8">
        <v>1070</v>
      </c>
      <c r="U605" s="8">
        <v>4</v>
      </c>
      <c r="V605" s="5" t="s">
        <v>23</v>
      </c>
      <c r="W605" s="12">
        <v>2556992</v>
      </c>
      <c r="X605" s="6"/>
      <c r="Y605" s="6"/>
    </row>
    <row r="606" spans="1:25" ht="15" customHeight="1" x14ac:dyDescent="0.2">
      <c r="A606" s="88" t="s">
        <v>878</v>
      </c>
      <c r="B606" s="90"/>
      <c r="C606" s="88" t="s">
        <v>922</v>
      </c>
      <c r="D606" s="90"/>
      <c r="E606" s="88" t="s">
        <v>923</v>
      </c>
      <c r="F606" s="89"/>
      <c r="G606" s="89"/>
      <c r="H606" s="89"/>
      <c r="I606" s="90"/>
      <c r="J606" s="88" t="s">
        <v>770</v>
      </c>
      <c r="K606" s="89"/>
      <c r="L606" s="89"/>
      <c r="M606" s="90"/>
      <c r="N606" s="88" t="s">
        <v>26</v>
      </c>
      <c r="O606" s="89"/>
      <c r="P606" s="90"/>
      <c r="Q606" s="133">
        <v>658</v>
      </c>
      <c r="R606" s="134"/>
      <c r="S606" s="5" t="s">
        <v>70</v>
      </c>
      <c r="T606" s="8">
        <v>1060</v>
      </c>
      <c r="U606" s="8">
        <v>4</v>
      </c>
      <c r="V606" s="5" t="s">
        <v>23</v>
      </c>
      <c r="W606" s="12">
        <v>2526811</v>
      </c>
      <c r="X606" s="6"/>
      <c r="Y606" s="6"/>
    </row>
    <row r="607" spans="1:25" ht="15" customHeight="1" x14ac:dyDescent="0.2">
      <c r="A607" s="88" t="s">
        <v>878</v>
      </c>
      <c r="B607" s="90"/>
      <c r="C607" s="88" t="s">
        <v>922</v>
      </c>
      <c r="D607" s="90"/>
      <c r="E607" s="88" t="s">
        <v>924</v>
      </c>
      <c r="F607" s="89"/>
      <c r="G607" s="89"/>
      <c r="H607" s="89"/>
      <c r="I607" s="90"/>
      <c r="J607" s="88" t="s">
        <v>770</v>
      </c>
      <c r="K607" s="89"/>
      <c r="L607" s="89"/>
      <c r="M607" s="90"/>
      <c r="N607" s="88" t="s">
        <v>26</v>
      </c>
      <c r="O607" s="89"/>
      <c r="P607" s="90"/>
      <c r="Q607" s="133">
        <v>658</v>
      </c>
      <c r="R607" s="134"/>
      <c r="S607" s="5" t="s">
        <v>70</v>
      </c>
      <c r="T607" s="8">
        <v>1060</v>
      </c>
      <c r="U607" s="8">
        <v>4</v>
      </c>
      <c r="V607" s="5" t="s">
        <v>23</v>
      </c>
      <c r="W607" s="12">
        <v>2297101</v>
      </c>
      <c r="X607" s="6"/>
      <c r="Y607" s="6"/>
    </row>
    <row r="608" spans="1:25" ht="15" customHeight="1" x14ac:dyDescent="0.2">
      <c r="A608" s="88" t="s">
        <v>878</v>
      </c>
      <c r="B608" s="90"/>
      <c r="C608" s="88" t="s">
        <v>925</v>
      </c>
      <c r="D608" s="90"/>
      <c r="E608" s="88" t="s">
        <v>926</v>
      </c>
      <c r="F608" s="89"/>
      <c r="G608" s="89"/>
      <c r="H608" s="89"/>
      <c r="I608" s="90"/>
      <c r="J608" s="88" t="s">
        <v>770</v>
      </c>
      <c r="K608" s="89"/>
      <c r="L608" s="89"/>
      <c r="M608" s="90"/>
      <c r="N608" s="88" t="s">
        <v>26</v>
      </c>
      <c r="O608" s="89"/>
      <c r="P608" s="90"/>
      <c r="Q608" s="133">
        <v>658</v>
      </c>
      <c r="R608" s="134"/>
      <c r="S608" s="5" t="s">
        <v>70</v>
      </c>
      <c r="T608" s="8">
        <v>1060</v>
      </c>
      <c r="U608" s="8">
        <v>4</v>
      </c>
      <c r="V608" s="5" t="s">
        <v>23</v>
      </c>
      <c r="W608" s="12">
        <v>2196498</v>
      </c>
      <c r="X608" s="6"/>
      <c r="Y608" s="6"/>
    </row>
    <row r="609" spans="1:25" ht="15" customHeight="1" x14ac:dyDescent="0.2">
      <c r="A609" s="88" t="s">
        <v>878</v>
      </c>
      <c r="B609" s="90"/>
      <c r="C609" s="88" t="s">
        <v>927</v>
      </c>
      <c r="D609" s="90"/>
      <c r="E609" s="88" t="s">
        <v>928</v>
      </c>
      <c r="F609" s="89"/>
      <c r="G609" s="89"/>
      <c r="H609" s="89"/>
      <c r="I609" s="90"/>
      <c r="J609" s="88" t="s">
        <v>770</v>
      </c>
      <c r="K609" s="89"/>
      <c r="L609" s="89"/>
      <c r="M609" s="90"/>
      <c r="N609" s="88" t="s">
        <v>26</v>
      </c>
      <c r="O609" s="89"/>
      <c r="P609" s="90"/>
      <c r="Q609" s="133">
        <v>658</v>
      </c>
      <c r="R609" s="134"/>
      <c r="S609" s="5" t="s">
        <v>119</v>
      </c>
      <c r="T609" s="8">
        <v>980</v>
      </c>
      <c r="U609" s="8">
        <v>2</v>
      </c>
      <c r="V609" s="5" t="s">
        <v>23</v>
      </c>
      <c r="W609" s="12">
        <v>3259033</v>
      </c>
      <c r="X609" s="6"/>
      <c r="Y609" s="6"/>
    </row>
    <row r="610" spans="1:25" ht="15" customHeight="1" x14ac:dyDescent="0.2">
      <c r="A610" s="88" t="s">
        <v>878</v>
      </c>
      <c r="B610" s="90"/>
      <c r="C610" s="88" t="s">
        <v>927</v>
      </c>
      <c r="D610" s="90"/>
      <c r="E610" s="88" t="s">
        <v>929</v>
      </c>
      <c r="F610" s="89"/>
      <c r="G610" s="89"/>
      <c r="H610" s="89"/>
      <c r="I610" s="90"/>
      <c r="J610" s="88" t="s">
        <v>770</v>
      </c>
      <c r="K610" s="89"/>
      <c r="L610" s="89"/>
      <c r="M610" s="90"/>
      <c r="N610" s="88" t="s">
        <v>26</v>
      </c>
      <c r="O610" s="89"/>
      <c r="P610" s="90"/>
      <c r="Q610" s="133">
        <v>658</v>
      </c>
      <c r="R610" s="134"/>
      <c r="S610" s="5" t="s">
        <v>27</v>
      </c>
      <c r="T610" s="8">
        <v>980</v>
      </c>
      <c r="U610" s="8">
        <v>2</v>
      </c>
      <c r="V610" s="5" t="s">
        <v>23</v>
      </c>
      <c r="W610" s="12">
        <v>2959404</v>
      </c>
      <c r="X610" s="6"/>
      <c r="Y610" s="6"/>
    </row>
    <row r="611" spans="1:25" ht="15" customHeight="1" x14ac:dyDescent="0.2">
      <c r="A611" s="88" t="s">
        <v>878</v>
      </c>
      <c r="B611" s="90"/>
      <c r="C611" s="88" t="s">
        <v>930</v>
      </c>
      <c r="D611" s="90"/>
      <c r="E611" s="88" t="s">
        <v>928</v>
      </c>
      <c r="F611" s="89"/>
      <c r="G611" s="89"/>
      <c r="H611" s="89"/>
      <c r="I611" s="90"/>
      <c r="J611" s="88" t="s">
        <v>770</v>
      </c>
      <c r="K611" s="89"/>
      <c r="L611" s="89"/>
      <c r="M611" s="90"/>
      <c r="N611" s="88" t="s">
        <v>26</v>
      </c>
      <c r="O611" s="89"/>
      <c r="P611" s="90"/>
      <c r="Q611" s="133">
        <v>658</v>
      </c>
      <c r="R611" s="134"/>
      <c r="S611" s="5" t="s">
        <v>27</v>
      </c>
      <c r="T611" s="8">
        <v>980</v>
      </c>
      <c r="U611" s="8">
        <v>2</v>
      </c>
      <c r="V611" s="5" t="s">
        <v>23</v>
      </c>
      <c r="W611" s="12">
        <v>3259033</v>
      </c>
      <c r="X611" s="6"/>
      <c r="Y611" s="6"/>
    </row>
    <row r="612" spans="1:25" ht="15" customHeight="1" x14ac:dyDescent="0.2">
      <c r="A612" s="88" t="s">
        <v>878</v>
      </c>
      <c r="B612" s="90"/>
      <c r="C612" s="88" t="s">
        <v>931</v>
      </c>
      <c r="D612" s="90"/>
      <c r="E612" s="88" t="s">
        <v>928</v>
      </c>
      <c r="F612" s="89"/>
      <c r="G612" s="89"/>
      <c r="H612" s="89"/>
      <c r="I612" s="90"/>
      <c r="J612" s="88" t="s">
        <v>770</v>
      </c>
      <c r="K612" s="89"/>
      <c r="L612" s="89"/>
      <c r="M612" s="90"/>
      <c r="N612" s="88" t="s">
        <v>26</v>
      </c>
      <c r="O612" s="89"/>
      <c r="P612" s="90"/>
      <c r="Q612" s="133">
        <v>658</v>
      </c>
      <c r="R612" s="134"/>
      <c r="S612" s="5" t="s">
        <v>119</v>
      </c>
      <c r="T612" s="8">
        <v>980</v>
      </c>
      <c r="U612" s="8">
        <v>2</v>
      </c>
      <c r="V612" s="5" t="s">
        <v>23</v>
      </c>
      <c r="W612" s="12">
        <v>3166814</v>
      </c>
      <c r="X612" s="6"/>
      <c r="Y612" s="6"/>
    </row>
    <row r="613" spans="1:25" ht="15" customHeight="1" x14ac:dyDescent="0.2">
      <c r="A613" s="88" t="s">
        <v>878</v>
      </c>
      <c r="B613" s="90"/>
      <c r="C613" s="88" t="s">
        <v>932</v>
      </c>
      <c r="D613" s="90"/>
      <c r="E613" s="88" t="s">
        <v>933</v>
      </c>
      <c r="F613" s="89"/>
      <c r="G613" s="89"/>
      <c r="H613" s="89"/>
      <c r="I613" s="90"/>
      <c r="J613" s="88" t="s">
        <v>770</v>
      </c>
      <c r="K613" s="89"/>
      <c r="L613" s="89"/>
      <c r="M613" s="90"/>
      <c r="N613" s="88" t="s">
        <v>26</v>
      </c>
      <c r="O613" s="89"/>
      <c r="P613" s="90"/>
      <c r="Q613" s="133">
        <v>658</v>
      </c>
      <c r="R613" s="134"/>
      <c r="S613" s="5" t="s">
        <v>119</v>
      </c>
      <c r="T613" s="8">
        <v>980</v>
      </c>
      <c r="U613" s="8">
        <v>2</v>
      </c>
      <c r="V613" s="5" t="s">
        <v>23</v>
      </c>
      <c r="W613" s="12">
        <v>3994273</v>
      </c>
      <c r="X613" s="6"/>
      <c r="Y613" s="6"/>
    </row>
    <row r="614" spans="1:25" ht="15" customHeight="1" x14ac:dyDescent="0.2">
      <c r="A614" s="88" t="s">
        <v>878</v>
      </c>
      <c r="B614" s="90"/>
      <c r="C614" s="88" t="s">
        <v>932</v>
      </c>
      <c r="D614" s="90"/>
      <c r="E614" s="88" t="s">
        <v>934</v>
      </c>
      <c r="F614" s="89"/>
      <c r="G614" s="89"/>
      <c r="H614" s="89"/>
      <c r="I614" s="90"/>
      <c r="J614" s="88" t="s">
        <v>770</v>
      </c>
      <c r="K614" s="89"/>
      <c r="L614" s="89"/>
      <c r="M614" s="90"/>
      <c r="N614" s="88" t="s">
        <v>26</v>
      </c>
      <c r="O614" s="89"/>
      <c r="P614" s="90"/>
      <c r="Q614" s="133">
        <v>658</v>
      </c>
      <c r="R614" s="134"/>
      <c r="S614" s="5" t="s">
        <v>119</v>
      </c>
      <c r="T614" s="8">
        <v>980</v>
      </c>
      <c r="U614" s="8">
        <v>2</v>
      </c>
      <c r="V614" s="5" t="s">
        <v>23</v>
      </c>
      <c r="W614" s="12">
        <v>3627804</v>
      </c>
      <c r="X614" s="6"/>
      <c r="Y614" s="6"/>
    </row>
    <row r="615" spans="1:25" ht="15" customHeight="1" x14ac:dyDescent="0.2">
      <c r="A615" s="88" t="s">
        <v>878</v>
      </c>
      <c r="B615" s="90"/>
      <c r="C615" s="88" t="s">
        <v>935</v>
      </c>
      <c r="D615" s="90"/>
      <c r="E615" s="88" t="s">
        <v>933</v>
      </c>
      <c r="F615" s="89"/>
      <c r="G615" s="89"/>
      <c r="H615" s="89"/>
      <c r="I615" s="90"/>
      <c r="J615" s="88" t="s">
        <v>770</v>
      </c>
      <c r="K615" s="89"/>
      <c r="L615" s="89"/>
      <c r="M615" s="90"/>
      <c r="N615" s="88" t="s">
        <v>26</v>
      </c>
      <c r="O615" s="89"/>
      <c r="P615" s="90"/>
      <c r="Q615" s="133">
        <v>658</v>
      </c>
      <c r="R615" s="134"/>
      <c r="S615" s="5" t="s">
        <v>119</v>
      </c>
      <c r="T615" s="8">
        <v>980</v>
      </c>
      <c r="U615" s="8">
        <v>2</v>
      </c>
      <c r="V615" s="5" t="s">
        <v>23</v>
      </c>
      <c r="W615" s="12">
        <v>3994273</v>
      </c>
      <c r="X615" s="6"/>
      <c r="Y615" s="6"/>
    </row>
    <row r="616" spans="1:25" ht="15" customHeight="1" x14ac:dyDescent="0.2">
      <c r="A616" s="88" t="s">
        <v>878</v>
      </c>
      <c r="B616" s="90"/>
      <c r="C616" s="88" t="s">
        <v>935</v>
      </c>
      <c r="D616" s="90"/>
      <c r="E616" s="88" t="s">
        <v>933</v>
      </c>
      <c r="F616" s="89"/>
      <c r="G616" s="89"/>
      <c r="H616" s="89"/>
      <c r="I616" s="90"/>
      <c r="J616" s="88" t="s">
        <v>770</v>
      </c>
      <c r="K616" s="89"/>
      <c r="L616" s="89"/>
      <c r="M616" s="90"/>
      <c r="N616" s="88" t="s">
        <v>26</v>
      </c>
      <c r="O616" s="89"/>
      <c r="P616" s="90"/>
      <c r="Q616" s="133">
        <v>658</v>
      </c>
      <c r="R616" s="134"/>
      <c r="S616" s="5" t="s">
        <v>119</v>
      </c>
      <c r="T616" s="8">
        <v>980</v>
      </c>
      <c r="U616" s="8">
        <v>4</v>
      </c>
      <c r="V616" s="5" t="s">
        <v>23</v>
      </c>
      <c r="W616" s="12">
        <v>3627804</v>
      </c>
      <c r="X616" s="6"/>
      <c r="Y616" s="6"/>
    </row>
    <row r="617" spans="1:25" ht="15" customHeight="1" x14ac:dyDescent="0.2">
      <c r="A617" s="88" t="s">
        <v>878</v>
      </c>
      <c r="B617" s="90"/>
      <c r="C617" s="88" t="s">
        <v>936</v>
      </c>
      <c r="D617" s="90"/>
      <c r="E617" s="88" t="s">
        <v>928</v>
      </c>
      <c r="F617" s="89"/>
      <c r="G617" s="89"/>
      <c r="H617" s="89"/>
      <c r="I617" s="90"/>
      <c r="J617" s="88" t="s">
        <v>770</v>
      </c>
      <c r="K617" s="89"/>
      <c r="L617" s="89"/>
      <c r="M617" s="90"/>
      <c r="N617" s="88" t="s">
        <v>26</v>
      </c>
      <c r="O617" s="89"/>
      <c r="P617" s="90"/>
      <c r="Q617" s="133">
        <v>658</v>
      </c>
      <c r="R617" s="134"/>
      <c r="S617" s="5" t="s">
        <v>119</v>
      </c>
      <c r="T617" s="8">
        <v>980</v>
      </c>
      <c r="U617" s="8">
        <v>2</v>
      </c>
      <c r="V617" s="5" t="s">
        <v>23</v>
      </c>
      <c r="W617" s="12">
        <v>3166814</v>
      </c>
      <c r="X617" s="6"/>
      <c r="Y617" s="6"/>
    </row>
    <row r="618" spans="1:25" ht="15" customHeight="1" x14ac:dyDescent="0.2">
      <c r="A618" s="88" t="s">
        <v>878</v>
      </c>
      <c r="B618" s="90"/>
      <c r="C618" s="88" t="s">
        <v>936</v>
      </c>
      <c r="D618" s="90"/>
      <c r="E618" s="88" t="s">
        <v>928</v>
      </c>
      <c r="F618" s="89"/>
      <c r="G618" s="89"/>
      <c r="H618" s="89"/>
      <c r="I618" s="90"/>
      <c r="J618" s="88" t="s">
        <v>770</v>
      </c>
      <c r="K618" s="89"/>
      <c r="L618" s="89"/>
      <c r="M618" s="90"/>
      <c r="N618" s="88" t="s">
        <v>26</v>
      </c>
      <c r="O618" s="89"/>
      <c r="P618" s="90"/>
      <c r="Q618" s="133">
        <v>658</v>
      </c>
      <c r="R618" s="134"/>
      <c r="S618" s="5" t="s">
        <v>119</v>
      </c>
      <c r="T618" s="8">
        <v>980</v>
      </c>
      <c r="U618" s="8">
        <v>4</v>
      </c>
      <c r="V618" s="5" t="s">
        <v>23</v>
      </c>
      <c r="W618" s="12">
        <v>2875568</v>
      </c>
      <c r="X618" s="6"/>
      <c r="Y618" s="6"/>
    </row>
    <row r="619" spans="1:25" ht="15" customHeight="1" x14ac:dyDescent="0.2">
      <c r="A619" s="88" t="s">
        <v>878</v>
      </c>
      <c r="B619" s="90"/>
      <c r="C619" s="88" t="s">
        <v>936</v>
      </c>
      <c r="D619" s="90"/>
      <c r="E619" s="88" t="s">
        <v>929</v>
      </c>
      <c r="F619" s="89"/>
      <c r="G619" s="89"/>
      <c r="H619" s="89"/>
      <c r="I619" s="90"/>
      <c r="J619" s="88" t="s">
        <v>770</v>
      </c>
      <c r="K619" s="89"/>
      <c r="L619" s="89"/>
      <c r="M619" s="90"/>
      <c r="N619" s="88" t="s">
        <v>26</v>
      </c>
      <c r="O619" s="89"/>
      <c r="P619" s="90"/>
      <c r="Q619" s="133">
        <v>658</v>
      </c>
      <c r="R619" s="134"/>
      <c r="S619" s="5" t="s">
        <v>119</v>
      </c>
      <c r="T619" s="8">
        <v>980</v>
      </c>
      <c r="U619" s="8">
        <v>2</v>
      </c>
      <c r="V619" s="5" t="s">
        <v>23</v>
      </c>
      <c r="W619" s="12">
        <v>2875568</v>
      </c>
      <c r="X619" s="6"/>
      <c r="Y619" s="6"/>
    </row>
    <row r="620" spans="1:25" ht="15" customHeight="1" x14ac:dyDescent="0.2">
      <c r="A620" s="88" t="s">
        <v>878</v>
      </c>
      <c r="B620" s="90"/>
      <c r="C620" s="88" t="s">
        <v>937</v>
      </c>
      <c r="D620" s="90"/>
      <c r="E620" s="88" t="s">
        <v>928</v>
      </c>
      <c r="F620" s="89"/>
      <c r="G620" s="89"/>
      <c r="H620" s="89"/>
      <c r="I620" s="90"/>
      <c r="J620" s="88" t="s">
        <v>770</v>
      </c>
      <c r="K620" s="89"/>
      <c r="L620" s="89"/>
      <c r="M620" s="90"/>
      <c r="N620" s="88" t="s">
        <v>26</v>
      </c>
      <c r="O620" s="89"/>
      <c r="P620" s="90"/>
      <c r="Q620" s="133">
        <v>658</v>
      </c>
      <c r="R620" s="134"/>
      <c r="S620" s="5" t="s">
        <v>119</v>
      </c>
      <c r="T620" s="8">
        <v>980</v>
      </c>
      <c r="U620" s="8">
        <v>2</v>
      </c>
      <c r="V620" s="5" t="s">
        <v>23</v>
      </c>
      <c r="W620" s="12">
        <v>3166814</v>
      </c>
      <c r="X620" s="6"/>
      <c r="Y620" s="6"/>
    </row>
    <row r="621" spans="1:25" ht="15" customHeight="1" x14ac:dyDescent="0.2">
      <c r="A621" s="88" t="s">
        <v>878</v>
      </c>
      <c r="B621" s="90"/>
      <c r="C621" s="88" t="s">
        <v>938</v>
      </c>
      <c r="D621" s="90"/>
      <c r="E621" s="88" t="s">
        <v>933</v>
      </c>
      <c r="F621" s="89"/>
      <c r="G621" s="89"/>
      <c r="H621" s="89"/>
      <c r="I621" s="90"/>
      <c r="J621" s="88" t="s">
        <v>770</v>
      </c>
      <c r="K621" s="89"/>
      <c r="L621" s="89"/>
      <c r="M621" s="90"/>
      <c r="N621" s="88" t="s">
        <v>26</v>
      </c>
      <c r="O621" s="89"/>
      <c r="P621" s="90"/>
      <c r="Q621" s="133">
        <v>658</v>
      </c>
      <c r="R621" s="134"/>
      <c r="S621" s="5" t="s">
        <v>119</v>
      </c>
      <c r="T621" s="8">
        <v>980</v>
      </c>
      <c r="U621" s="8">
        <v>2</v>
      </c>
      <c r="V621" s="5" t="s">
        <v>23</v>
      </c>
      <c r="W621" s="12">
        <v>3994273</v>
      </c>
      <c r="X621" s="6"/>
      <c r="Y621" s="6"/>
    </row>
    <row r="622" spans="1:25" ht="15" customHeight="1" x14ac:dyDescent="0.2">
      <c r="A622" s="88" t="s">
        <v>878</v>
      </c>
      <c r="B622" s="90"/>
      <c r="C622" s="88" t="s">
        <v>939</v>
      </c>
      <c r="D622" s="90"/>
      <c r="E622" s="88" t="s">
        <v>928</v>
      </c>
      <c r="F622" s="89"/>
      <c r="G622" s="89"/>
      <c r="H622" s="89"/>
      <c r="I622" s="90"/>
      <c r="J622" s="88" t="s">
        <v>770</v>
      </c>
      <c r="K622" s="89"/>
      <c r="L622" s="89"/>
      <c r="M622" s="90"/>
      <c r="N622" s="88" t="s">
        <v>26</v>
      </c>
      <c r="O622" s="89"/>
      <c r="P622" s="90"/>
      <c r="Q622" s="133">
        <v>658</v>
      </c>
      <c r="R622" s="134"/>
      <c r="S622" s="5" t="s">
        <v>119</v>
      </c>
      <c r="T622" s="8">
        <v>980</v>
      </c>
      <c r="U622" s="8">
        <v>2</v>
      </c>
      <c r="V622" s="5" t="s">
        <v>23</v>
      </c>
      <c r="W622" s="12">
        <v>3166814</v>
      </c>
      <c r="X622" s="6"/>
      <c r="Y622" s="6"/>
    </row>
    <row r="623" spans="1:25" ht="15" customHeight="1" x14ac:dyDescent="0.2">
      <c r="A623" s="88" t="s">
        <v>878</v>
      </c>
      <c r="B623" s="90"/>
      <c r="C623" s="88" t="s">
        <v>939</v>
      </c>
      <c r="D623" s="90"/>
      <c r="E623" s="88" t="s">
        <v>928</v>
      </c>
      <c r="F623" s="89"/>
      <c r="G623" s="89"/>
      <c r="H623" s="89"/>
      <c r="I623" s="90"/>
      <c r="J623" s="88" t="s">
        <v>770</v>
      </c>
      <c r="K623" s="89"/>
      <c r="L623" s="89"/>
      <c r="M623" s="90"/>
      <c r="N623" s="88" t="s">
        <v>26</v>
      </c>
      <c r="O623" s="89"/>
      <c r="P623" s="90"/>
      <c r="Q623" s="133">
        <v>658</v>
      </c>
      <c r="R623" s="134"/>
      <c r="S623" s="5" t="s">
        <v>119</v>
      </c>
      <c r="T623" s="8">
        <v>980</v>
      </c>
      <c r="U623" s="8">
        <v>4</v>
      </c>
      <c r="V623" s="5" t="s">
        <v>23</v>
      </c>
      <c r="W623" s="12">
        <v>2875568</v>
      </c>
      <c r="X623" s="6"/>
      <c r="Y623" s="6"/>
    </row>
    <row r="624" spans="1:25" ht="15" customHeight="1" x14ac:dyDescent="0.2">
      <c r="A624" s="88" t="s">
        <v>878</v>
      </c>
      <c r="B624" s="90"/>
      <c r="C624" s="88" t="s">
        <v>939</v>
      </c>
      <c r="D624" s="90"/>
      <c r="E624" s="88" t="s">
        <v>929</v>
      </c>
      <c r="F624" s="89"/>
      <c r="G624" s="89"/>
      <c r="H624" s="89"/>
      <c r="I624" s="90"/>
      <c r="J624" s="88" t="s">
        <v>770</v>
      </c>
      <c r="K624" s="89"/>
      <c r="L624" s="89"/>
      <c r="M624" s="90"/>
      <c r="N624" s="88" t="s">
        <v>26</v>
      </c>
      <c r="O624" s="89"/>
      <c r="P624" s="90"/>
      <c r="Q624" s="133">
        <v>658</v>
      </c>
      <c r="R624" s="134"/>
      <c r="S624" s="5" t="s">
        <v>119</v>
      </c>
      <c r="T624" s="8">
        <v>980</v>
      </c>
      <c r="U624" s="8">
        <v>2</v>
      </c>
      <c r="V624" s="5" t="s">
        <v>23</v>
      </c>
      <c r="W624" s="12">
        <v>2875568</v>
      </c>
      <c r="X624" s="6"/>
      <c r="Y624" s="6"/>
    </row>
    <row r="625" spans="1:25" ht="15" customHeight="1" x14ac:dyDescent="0.2">
      <c r="A625" s="88" t="s">
        <v>878</v>
      </c>
      <c r="B625" s="90"/>
      <c r="C625" s="88" t="s">
        <v>940</v>
      </c>
      <c r="D625" s="90"/>
      <c r="E625" s="88" t="s">
        <v>941</v>
      </c>
      <c r="F625" s="89"/>
      <c r="G625" s="89"/>
      <c r="H625" s="89"/>
      <c r="I625" s="90"/>
      <c r="J625" s="88" t="s">
        <v>887</v>
      </c>
      <c r="K625" s="89"/>
      <c r="L625" s="89"/>
      <c r="M625" s="90"/>
      <c r="N625" s="88" t="s">
        <v>22</v>
      </c>
      <c r="O625" s="89"/>
      <c r="P625" s="90"/>
      <c r="Q625" s="133">
        <v>1496</v>
      </c>
      <c r="R625" s="134"/>
      <c r="S625" s="5" t="s">
        <v>814</v>
      </c>
      <c r="T625" s="6"/>
      <c r="U625" s="8">
        <v>4</v>
      </c>
      <c r="V625" s="5" t="s">
        <v>23</v>
      </c>
      <c r="W625" s="12">
        <v>3577502</v>
      </c>
      <c r="X625" s="6"/>
      <c r="Y625" s="6"/>
    </row>
    <row r="626" spans="1:25" ht="15" customHeight="1" x14ac:dyDescent="0.2">
      <c r="A626" s="88" t="s">
        <v>878</v>
      </c>
      <c r="B626" s="90"/>
      <c r="C626" s="88" t="s">
        <v>942</v>
      </c>
      <c r="D626" s="90"/>
      <c r="E626" s="88" t="s">
        <v>941</v>
      </c>
      <c r="F626" s="89"/>
      <c r="G626" s="89"/>
      <c r="H626" s="89"/>
      <c r="I626" s="90"/>
      <c r="J626" s="88" t="s">
        <v>887</v>
      </c>
      <c r="K626" s="89"/>
      <c r="L626" s="89"/>
      <c r="M626" s="90"/>
      <c r="N626" s="88" t="s">
        <v>22</v>
      </c>
      <c r="O626" s="89"/>
      <c r="P626" s="90"/>
      <c r="Q626" s="133">
        <v>1496</v>
      </c>
      <c r="R626" s="134"/>
      <c r="S626" s="5" t="s">
        <v>814</v>
      </c>
      <c r="T626" s="8">
        <v>2160</v>
      </c>
      <c r="U626" s="8">
        <v>5</v>
      </c>
      <c r="V626" s="5" t="s">
        <v>23</v>
      </c>
      <c r="W626" s="12">
        <v>3935253</v>
      </c>
      <c r="X626" s="6"/>
      <c r="Y626" s="6"/>
    </row>
    <row r="627" spans="1:25" ht="15" customHeight="1" x14ac:dyDescent="0.2">
      <c r="A627" s="88" t="s">
        <v>878</v>
      </c>
      <c r="B627" s="90"/>
      <c r="C627" s="88" t="s">
        <v>943</v>
      </c>
      <c r="D627" s="90"/>
      <c r="E627" s="88" t="s">
        <v>944</v>
      </c>
      <c r="F627" s="89"/>
      <c r="G627" s="89"/>
      <c r="H627" s="89"/>
      <c r="I627" s="90"/>
      <c r="J627" s="88" t="s">
        <v>887</v>
      </c>
      <c r="K627" s="89"/>
      <c r="L627" s="89"/>
      <c r="M627" s="90"/>
      <c r="N627" s="88" t="s">
        <v>22</v>
      </c>
      <c r="O627" s="89"/>
      <c r="P627" s="90"/>
      <c r="Q627" s="133">
        <v>1496</v>
      </c>
      <c r="R627" s="134"/>
      <c r="S627" s="5" t="s">
        <v>945</v>
      </c>
      <c r="T627" s="8">
        <v>2090</v>
      </c>
      <c r="U627" s="8">
        <v>2</v>
      </c>
      <c r="V627" s="5" t="s">
        <v>23</v>
      </c>
      <c r="W627" s="12">
        <v>3569729</v>
      </c>
      <c r="X627" s="6"/>
      <c r="Y627" s="6"/>
    </row>
    <row r="628" spans="1:25" ht="15" customHeight="1" x14ac:dyDescent="0.2">
      <c r="A628" s="88" t="s">
        <v>878</v>
      </c>
      <c r="B628" s="90"/>
      <c r="C628" s="88" t="s">
        <v>946</v>
      </c>
      <c r="D628" s="90"/>
      <c r="E628" s="88" t="s">
        <v>947</v>
      </c>
      <c r="F628" s="89"/>
      <c r="G628" s="89"/>
      <c r="H628" s="89"/>
      <c r="I628" s="90"/>
      <c r="J628" s="88" t="s">
        <v>887</v>
      </c>
      <c r="K628" s="89"/>
      <c r="L628" s="89"/>
      <c r="M628" s="90"/>
      <c r="N628" s="88" t="s">
        <v>22</v>
      </c>
      <c r="O628" s="89"/>
      <c r="P628" s="90"/>
      <c r="Q628" s="133">
        <v>1496</v>
      </c>
      <c r="R628" s="134"/>
      <c r="S628" s="5" t="s">
        <v>945</v>
      </c>
      <c r="T628" s="8">
        <v>2090</v>
      </c>
      <c r="U628" s="8">
        <v>2</v>
      </c>
      <c r="V628" s="5" t="s">
        <v>23</v>
      </c>
      <c r="W628" s="12">
        <v>3245209</v>
      </c>
      <c r="X628" s="6"/>
      <c r="Y628" s="6"/>
    </row>
    <row r="629" spans="1:25" ht="15" customHeight="1" x14ac:dyDescent="0.2">
      <c r="A629" s="88" t="s">
        <v>878</v>
      </c>
      <c r="B629" s="90"/>
      <c r="C629" s="88" t="s">
        <v>948</v>
      </c>
      <c r="D629" s="90"/>
      <c r="E629" s="88" t="s">
        <v>949</v>
      </c>
      <c r="F629" s="89"/>
      <c r="G629" s="89"/>
      <c r="H629" s="89"/>
      <c r="I629" s="90"/>
      <c r="J629" s="88" t="s">
        <v>770</v>
      </c>
      <c r="K629" s="89"/>
      <c r="L629" s="89"/>
      <c r="M629" s="90"/>
      <c r="N629" s="88" t="s">
        <v>26</v>
      </c>
      <c r="O629" s="89"/>
      <c r="P629" s="90"/>
      <c r="Q629" s="133">
        <v>658</v>
      </c>
      <c r="R629" s="134"/>
      <c r="S629" s="5" t="s">
        <v>814</v>
      </c>
      <c r="T629" s="8">
        <v>1230</v>
      </c>
      <c r="U629" s="8">
        <v>2</v>
      </c>
      <c r="V629" s="5" t="s">
        <v>23</v>
      </c>
      <c r="W629" s="12">
        <v>1953374</v>
      </c>
      <c r="X629" s="6"/>
      <c r="Y629" s="6"/>
    </row>
    <row r="630" spans="1:25" ht="15" customHeight="1" x14ac:dyDescent="0.2">
      <c r="A630" s="88" t="s">
        <v>878</v>
      </c>
      <c r="B630" s="90"/>
      <c r="C630" s="88" t="s">
        <v>950</v>
      </c>
      <c r="D630" s="90"/>
      <c r="E630" s="88" t="s">
        <v>949</v>
      </c>
      <c r="F630" s="89"/>
      <c r="G630" s="89"/>
      <c r="H630" s="89"/>
      <c r="I630" s="90"/>
      <c r="J630" s="88" t="s">
        <v>770</v>
      </c>
      <c r="K630" s="89"/>
      <c r="L630" s="89"/>
      <c r="M630" s="90"/>
      <c r="N630" s="88" t="s">
        <v>26</v>
      </c>
      <c r="O630" s="89"/>
      <c r="P630" s="90"/>
      <c r="Q630" s="133">
        <v>658</v>
      </c>
      <c r="R630" s="134"/>
      <c r="S630" s="5" t="s">
        <v>814</v>
      </c>
      <c r="T630" s="8">
        <v>1230</v>
      </c>
      <c r="U630" s="8">
        <v>2</v>
      </c>
      <c r="V630" s="5" t="s">
        <v>23</v>
      </c>
      <c r="W630" s="12">
        <v>1953374</v>
      </c>
      <c r="X630" s="6"/>
      <c r="Y630" s="6"/>
    </row>
    <row r="631" spans="1:25" ht="15" customHeight="1" x14ac:dyDescent="0.2">
      <c r="A631" s="88" t="s">
        <v>878</v>
      </c>
      <c r="B631" s="90"/>
      <c r="C631" s="88" t="s">
        <v>951</v>
      </c>
      <c r="D631" s="90"/>
      <c r="E631" s="88" t="s">
        <v>952</v>
      </c>
      <c r="F631" s="89"/>
      <c r="G631" s="89"/>
      <c r="H631" s="89"/>
      <c r="I631" s="90"/>
      <c r="J631" s="88" t="s">
        <v>770</v>
      </c>
      <c r="K631" s="89"/>
      <c r="L631" s="89"/>
      <c r="M631" s="90"/>
      <c r="N631" s="88" t="s">
        <v>26</v>
      </c>
      <c r="O631" s="89"/>
      <c r="P631" s="90"/>
      <c r="Q631" s="133">
        <v>658</v>
      </c>
      <c r="R631" s="134"/>
      <c r="S631" s="5" t="s">
        <v>814</v>
      </c>
      <c r="T631" s="8">
        <v>1230</v>
      </c>
      <c r="U631" s="8">
        <v>2</v>
      </c>
      <c r="V631" s="5" t="s">
        <v>23</v>
      </c>
      <c r="W631" s="12">
        <v>1953374</v>
      </c>
      <c r="X631" s="6"/>
      <c r="Y631" s="6"/>
    </row>
    <row r="632" spans="1:25" ht="15" customHeight="1" x14ac:dyDescent="0.2">
      <c r="A632" s="88" t="s">
        <v>878</v>
      </c>
      <c r="B632" s="90"/>
      <c r="C632" s="88" t="s">
        <v>953</v>
      </c>
      <c r="D632" s="90"/>
      <c r="E632" s="88" t="s">
        <v>954</v>
      </c>
      <c r="F632" s="89"/>
      <c r="G632" s="89"/>
      <c r="H632" s="89"/>
      <c r="I632" s="90"/>
      <c r="J632" s="88" t="s">
        <v>887</v>
      </c>
      <c r="K632" s="89"/>
      <c r="L632" s="89"/>
      <c r="M632" s="90"/>
      <c r="N632" s="88" t="s">
        <v>22</v>
      </c>
      <c r="O632" s="89"/>
      <c r="P632" s="90"/>
      <c r="Q632" s="133">
        <v>658</v>
      </c>
      <c r="R632" s="134"/>
      <c r="S632" s="5" t="s">
        <v>814</v>
      </c>
      <c r="T632" s="8">
        <v>1430</v>
      </c>
      <c r="U632" s="8">
        <v>4</v>
      </c>
      <c r="V632" s="5" t="s">
        <v>23</v>
      </c>
      <c r="W632" s="12">
        <v>2511721</v>
      </c>
      <c r="X632" s="6"/>
      <c r="Y632" s="6"/>
    </row>
    <row r="633" spans="1:25" ht="15" customHeight="1" x14ac:dyDescent="0.2">
      <c r="A633" s="88" t="s">
        <v>878</v>
      </c>
      <c r="B633" s="90"/>
      <c r="C633" s="88" t="s">
        <v>955</v>
      </c>
      <c r="D633" s="90"/>
      <c r="E633" s="88" t="s">
        <v>954</v>
      </c>
      <c r="F633" s="89"/>
      <c r="G633" s="89"/>
      <c r="H633" s="89"/>
      <c r="I633" s="90"/>
      <c r="J633" s="88" t="s">
        <v>887</v>
      </c>
      <c r="K633" s="89"/>
      <c r="L633" s="89"/>
      <c r="M633" s="90"/>
      <c r="N633" s="88" t="s">
        <v>22</v>
      </c>
      <c r="O633" s="89"/>
      <c r="P633" s="90"/>
      <c r="Q633" s="133">
        <v>658</v>
      </c>
      <c r="R633" s="134"/>
      <c r="S633" s="5" t="s">
        <v>814</v>
      </c>
      <c r="T633" s="8">
        <v>1430</v>
      </c>
      <c r="U633" s="6"/>
      <c r="V633" s="5" t="s">
        <v>23</v>
      </c>
      <c r="W633" s="12">
        <v>2762893</v>
      </c>
      <c r="X633" s="6"/>
      <c r="Y633" s="6"/>
    </row>
    <row r="634" spans="1:25" ht="15" customHeight="1" x14ac:dyDescent="0.2">
      <c r="A634" s="88" t="s">
        <v>878</v>
      </c>
      <c r="B634" s="90"/>
      <c r="C634" s="88" t="s">
        <v>955</v>
      </c>
      <c r="D634" s="90"/>
      <c r="E634" s="88" t="s">
        <v>956</v>
      </c>
      <c r="F634" s="89"/>
      <c r="G634" s="89"/>
      <c r="H634" s="89"/>
      <c r="I634" s="90"/>
      <c r="J634" s="88" t="s">
        <v>770</v>
      </c>
      <c r="K634" s="89"/>
      <c r="L634" s="89"/>
      <c r="M634" s="90"/>
      <c r="N634" s="88" t="s">
        <v>22</v>
      </c>
      <c r="O634" s="89"/>
      <c r="P634" s="90"/>
      <c r="Q634" s="133">
        <v>658</v>
      </c>
      <c r="R634" s="134"/>
      <c r="S634" s="5" t="s">
        <v>814</v>
      </c>
      <c r="T634" s="8">
        <v>1430</v>
      </c>
      <c r="U634" s="8">
        <v>4</v>
      </c>
      <c r="V634" s="5" t="s">
        <v>23</v>
      </c>
      <c r="W634" s="12">
        <v>2858801</v>
      </c>
      <c r="X634" s="6"/>
      <c r="Y634" s="6"/>
    </row>
    <row r="635" spans="1:25" ht="15" customHeight="1" x14ac:dyDescent="0.2">
      <c r="A635" s="88" t="s">
        <v>878</v>
      </c>
      <c r="B635" s="90"/>
      <c r="C635" s="88" t="s">
        <v>955</v>
      </c>
      <c r="D635" s="90"/>
      <c r="E635" s="88" t="s">
        <v>957</v>
      </c>
      <c r="F635" s="89"/>
      <c r="G635" s="89"/>
      <c r="H635" s="89"/>
      <c r="I635" s="90"/>
      <c r="J635" s="88" t="s">
        <v>887</v>
      </c>
      <c r="K635" s="89"/>
      <c r="L635" s="89"/>
      <c r="M635" s="90"/>
      <c r="N635" s="88" t="s">
        <v>22</v>
      </c>
      <c r="O635" s="89"/>
      <c r="P635" s="90"/>
      <c r="Q635" s="133">
        <v>658</v>
      </c>
      <c r="R635" s="134"/>
      <c r="S635" s="5" t="s">
        <v>814</v>
      </c>
      <c r="T635" s="8">
        <v>1430</v>
      </c>
      <c r="U635" s="8">
        <v>4</v>
      </c>
      <c r="V635" s="5" t="s">
        <v>23</v>
      </c>
      <c r="W635" s="12">
        <v>2511721</v>
      </c>
      <c r="X635" s="6"/>
      <c r="Y635" s="6"/>
    </row>
    <row r="636" spans="1:25" ht="15" customHeight="1" x14ac:dyDescent="0.2">
      <c r="A636" s="88" t="s">
        <v>878</v>
      </c>
      <c r="B636" s="90"/>
      <c r="C636" s="88" t="s">
        <v>958</v>
      </c>
      <c r="D636" s="90"/>
      <c r="E636" s="88" t="s">
        <v>957</v>
      </c>
      <c r="F636" s="89"/>
      <c r="G636" s="89"/>
      <c r="H636" s="89"/>
      <c r="I636" s="90"/>
      <c r="J636" s="88" t="s">
        <v>887</v>
      </c>
      <c r="K636" s="89"/>
      <c r="L636" s="89"/>
      <c r="M636" s="90"/>
      <c r="N636" s="88" t="s">
        <v>22</v>
      </c>
      <c r="O636" s="89"/>
      <c r="P636" s="90"/>
      <c r="Q636" s="133">
        <v>658</v>
      </c>
      <c r="R636" s="134"/>
      <c r="S636" s="5" t="s">
        <v>814</v>
      </c>
      <c r="T636" s="8">
        <v>250</v>
      </c>
      <c r="U636" s="8">
        <v>4</v>
      </c>
      <c r="V636" s="5" t="s">
        <v>23</v>
      </c>
      <c r="W636" s="12">
        <v>2251989</v>
      </c>
      <c r="X636" s="6"/>
      <c r="Y636" s="6"/>
    </row>
    <row r="637" spans="1:25" ht="15" customHeight="1" x14ac:dyDescent="0.2">
      <c r="A637" s="88" t="s">
        <v>878</v>
      </c>
      <c r="B637" s="90"/>
      <c r="C637" s="88" t="s">
        <v>959</v>
      </c>
      <c r="D637" s="90"/>
      <c r="E637" s="88" t="s">
        <v>960</v>
      </c>
      <c r="F637" s="89"/>
      <c r="G637" s="89"/>
      <c r="H637" s="89"/>
      <c r="I637" s="90"/>
      <c r="J637" s="88" t="s">
        <v>887</v>
      </c>
      <c r="K637" s="89"/>
      <c r="L637" s="89"/>
      <c r="M637" s="90"/>
      <c r="N637" s="88" t="s">
        <v>26</v>
      </c>
      <c r="O637" s="89"/>
      <c r="P637" s="90"/>
      <c r="Q637" s="133">
        <v>658</v>
      </c>
      <c r="R637" s="134"/>
      <c r="S637" s="5" t="s">
        <v>814</v>
      </c>
      <c r="T637" s="8">
        <v>1390</v>
      </c>
      <c r="U637" s="8">
        <v>4</v>
      </c>
      <c r="V637" s="5" t="s">
        <v>23</v>
      </c>
      <c r="W637" s="12">
        <v>1810853</v>
      </c>
      <c r="X637" s="6"/>
      <c r="Y637" s="6"/>
    </row>
    <row r="638" spans="1:25" ht="15" customHeight="1" x14ac:dyDescent="0.2">
      <c r="A638" s="88" t="s">
        <v>878</v>
      </c>
      <c r="B638" s="90"/>
      <c r="C638" s="88" t="s">
        <v>959</v>
      </c>
      <c r="D638" s="90"/>
      <c r="E638" s="88" t="s">
        <v>961</v>
      </c>
      <c r="F638" s="89"/>
      <c r="G638" s="89"/>
      <c r="H638" s="89"/>
      <c r="I638" s="90"/>
      <c r="J638" s="88" t="s">
        <v>770</v>
      </c>
      <c r="K638" s="89"/>
      <c r="L638" s="89"/>
      <c r="M638" s="90"/>
      <c r="N638" s="88" t="s">
        <v>26</v>
      </c>
      <c r="O638" s="89"/>
      <c r="P638" s="90"/>
      <c r="Q638" s="133">
        <v>658</v>
      </c>
      <c r="R638" s="134"/>
      <c r="S638" s="5" t="s">
        <v>814</v>
      </c>
      <c r="T638" s="8">
        <v>1370</v>
      </c>
      <c r="U638" s="8">
        <v>4</v>
      </c>
      <c r="V638" s="5" t="s">
        <v>23</v>
      </c>
      <c r="W638" s="12">
        <v>2028827</v>
      </c>
      <c r="X638" s="6"/>
      <c r="Y638" s="6"/>
    </row>
    <row r="639" spans="1:25" ht="15" customHeight="1" x14ac:dyDescent="0.2">
      <c r="A639" s="88" t="s">
        <v>878</v>
      </c>
      <c r="B639" s="90"/>
      <c r="C639" s="88" t="s">
        <v>959</v>
      </c>
      <c r="D639" s="90"/>
      <c r="E639" s="88" t="s">
        <v>962</v>
      </c>
      <c r="F639" s="89"/>
      <c r="G639" s="89"/>
      <c r="H639" s="89"/>
      <c r="I639" s="90"/>
      <c r="J639" s="88" t="s">
        <v>963</v>
      </c>
      <c r="K639" s="89"/>
      <c r="L639" s="89"/>
      <c r="M639" s="90"/>
      <c r="N639" s="88" t="s">
        <v>26</v>
      </c>
      <c r="O639" s="89"/>
      <c r="P639" s="90"/>
      <c r="Q639" s="133">
        <v>658</v>
      </c>
      <c r="R639" s="134"/>
      <c r="S639" s="5" t="s">
        <v>814</v>
      </c>
      <c r="T639" s="8">
        <v>350</v>
      </c>
      <c r="U639" s="5" t="s">
        <v>964</v>
      </c>
      <c r="V639" s="5" t="s">
        <v>23</v>
      </c>
      <c r="W639" s="12">
        <v>1596873</v>
      </c>
      <c r="X639" s="6"/>
      <c r="Y639" s="6"/>
    </row>
    <row r="640" spans="1:25" ht="15" customHeight="1" x14ac:dyDescent="0.2">
      <c r="A640" s="88" t="s">
        <v>878</v>
      </c>
      <c r="B640" s="90"/>
      <c r="C640" s="88" t="s">
        <v>959</v>
      </c>
      <c r="D640" s="90"/>
      <c r="E640" s="88" t="s">
        <v>965</v>
      </c>
      <c r="F640" s="89"/>
      <c r="G640" s="89"/>
      <c r="H640" s="89"/>
      <c r="I640" s="90"/>
      <c r="J640" s="88" t="s">
        <v>887</v>
      </c>
      <c r="K640" s="89"/>
      <c r="L640" s="89"/>
      <c r="M640" s="90"/>
      <c r="N640" s="88" t="s">
        <v>26</v>
      </c>
      <c r="O640" s="89"/>
      <c r="P640" s="90"/>
      <c r="Q640" s="133">
        <v>658</v>
      </c>
      <c r="R640" s="134"/>
      <c r="S640" s="5" t="s">
        <v>814</v>
      </c>
      <c r="T640" s="8">
        <v>1390</v>
      </c>
      <c r="U640" s="8">
        <v>4</v>
      </c>
      <c r="V640" s="5" t="s">
        <v>23</v>
      </c>
      <c r="W640" s="12">
        <v>1794086</v>
      </c>
      <c r="X640" s="6"/>
      <c r="Y640" s="6"/>
    </row>
    <row r="641" spans="1:25" ht="15" customHeight="1" x14ac:dyDescent="0.2">
      <c r="A641" s="88" t="s">
        <v>878</v>
      </c>
      <c r="B641" s="90"/>
      <c r="C641" s="88" t="s">
        <v>966</v>
      </c>
      <c r="D641" s="90"/>
      <c r="E641" s="88" t="s">
        <v>967</v>
      </c>
      <c r="F641" s="89"/>
      <c r="G641" s="89"/>
      <c r="H641" s="89"/>
      <c r="I641" s="90"/>
      <c r="J641" s="88" t="s">
        <v>887</v>
      </c>
      <c r="K641" s="89"/>
      <c r="L641" s="89"/>
      <c r="M641" s="90"/>
      <c r="N641" s="88" t="s">
        <v>26</v>
      </c>
      <c r="O641" s="89"/>
      <c r="P641" s="90"/>
      <c r="Q641" s="133">
        <v>658</v>
      </c>
      <c r="R641" s="134"/>
      <c r="S641" s="5" t="s">
        <v>945</v>
      </c>
      <c r="T641" s="8">
        <v>1270</v>
      </c>
      <c r="U641" s="8">
        <v>2</v>
      </c>
      <c r="V641" s="5" t="s">
        <v>23</v>
      </c>
      <c r="W641" s="12">
        <v>1936607</v>
      </c>
      <c r="X641" s="6"/>
      <c r="Y641" s="6"/>
    </row>
    <row r="642" spans="1:25" ht="15" customHeight="1" x14ac:dyDescent="0.2">
      <c r="A642" s="88" t="s">
        <v>878</v>
      </c>
      <c r="B642" s="90"/>
      <c r="C642" s="88" t="s">
        <v>968</v>
      </c>
      <c r="D642" s="90"/>
      <c r="E642" s="88" t="s">
        <v>969</v>
      </c>
      <c r="F642" s="89"/>
      <c r="G642" s="89"/>
      <c r="H642" s="89"/>
      <c r="I642" s="90"/>
      <c r="J642" s="88" t="s">
        <v>887</v>
      </c>
      <c r="K642" s="89"/>
      <c r="L642" s="89"/>
      <c r="M642" s="90"/>
      <c r="N642" s="88" t="s">
        <v>22</v>
      </c>
      <c r="O642" s="89"/>
      <c r="P642" s="90"/>
      <c r="Q642" s="133">
        <v>658</v>
      </c>
      <c r="R642" s="134"/>
      <c r="S642" s="5" t="s">
        <v>814</v>
      </c>
      <c r="T642" s="8">
        <v>1270</v>
      </c>
      <c r="U642" s="8">
        <v>5</v>
      </c>
      <c r="V642" s="5" t="s">
        <v>23</v>
      </c>
      <c r="W642" s="12">
        <v>3034856</v>
      </c>
      <c r="X642" s="6"/>
      <c r="Y642" s="6"/>
    </row>
    <row r="643" spans="1:25" ht="15" customHeight="1" x14ac:dyDescent="0.2">
      <c r="A643" s="88" t="s">
        <v>878</v>
      </c>
      <c r="B643" s="90"/>
      <c r="C643" s="88" t="s">
        <v>968</v>
      </c>
      <c r="D643" s="90"/>
      <c r="E643" s="88" t="s">
        <v>970</v>
      </c>
      <c r="F643" s="89"/>
      <c r="G643" s="89"/>
      <c r="H643" s="89"/>
      <c r="I643" s="90"/>
      <c r="J643" s="88" t="s">
        <v>770</v>
      </c>
      <c r="K643" s="89"/>
      <c r="L643" s="89"/>
      <c r="M643" s="90"/>
      <c r="N643" s="88" t="s">
        <v>22</v>
      </c>
      <c r="O643" s="89"/>
      <c r="P643" s="90"/>
      <c r="Q643" s="133">
        <v>658</v>
      </c>
      <c r="R643" s="134"/>
      <c r="S643" s="5" t="s">
        <v>814</v>
      </c>
      <c r="T643" s="8">
        <v>1240</v>
      </c>
      <c r="U643" s="8">
        <v>4</v>
      </c>
      <c r="V643" s="5" t="s">
        <v>23</v>
      </c>
      <c r="W643" s="12">
        <v>3060007</v>
      </c>
      <c r="X643" s="6"/>
      <c r="Y643" s="6"/>
    </row>
    <row r="644" spans="1:25" ht="15" customHeight="1" x14ac:dyDescent="0.2">
      <c r="A644" s="88" t="s">
        <v>878</v>
      </c>
      <c r="B644" s="90"/>
      <c r="C644" s="88" t="s">
        <v>968</v>
      </c>
      <c r="D644" s="90"/>
      <c r="E644" s="88" t="s">
        <v>971</v>
      </c>
      <c r="F644" s="89"/>
      <c r="G644" s="89"/>
      <c r="H644" s="89"/>
      <c r="I644" s="90"/>
      <c r="J644" s="88" t="s">
        <v>887</v>
      </c>
      <c r="K644" s="89"/>
      <c r="L644" s="89"/>
      <c r="M644" s="90"/>
      <c r="N644" s="88" t="s">
        <v>22</v>
      </c>
      <c r="O644" s="89"/>
      <c r="P644" s="90"/>
      <c r="Q644" s="133">
        <v>658</v>
      </c>
      <c r="R644" s="134"/>
      <c r="S644" s="5" t="s">
        <v>814</v>
      </c>
      <c r="T644" s="8">
        <v>1270</v>
      </c>
      <c r="U644" s="8">
        <v>4</v>
      </c>
      <c r="V644" s="5" t="s">
        <v>23</v>
      </c>
      <c r="W644" s="12">
        <v>3018089</v>
      </c>
      <c r="X644" s="6"/>
      <c r="Y644" s="6"/>
    </row>
    <row r="645" spans="1:25" ht="15" customHeight="1" x14ac:dyDescent="0.2">
      <c r="A645" s="88" t="s">
        <v>878</v>
      </c>
      <c r="B645" s="90"/>
      <c r="C645" s="88" t="s">
        <v>972</v>
      </c>
      <c r="D645" s="90"/>
      <c r="E645" s="88" t="s">
        <v>973</v>
      </c>
      <c r="F645" s="89"/>
      <c r="G645" s="89"/>
      <c r="H645" s="89"/>
      <c r="I645" s="90"/>
      <c r="J645" s="88" t="s">
        <v>963</v>
      </c>
      <c r="K645" s="89"/>
      <c r="L645" s="89"/>
      <c r="M645" s="90"/>
      <c r="N645" s="88" t="s">
        <v>22</v>
      </c>
      <c r="O645" s="89"/>
      <c r="P645" s="90"/>
      <c r="Q645" s="133">
        <v>658</v>
      </c>
      <c r="R645" s="134"/>
      <c r="S645" s="5" t="s">
        <v>945</v>
      </c>
      <c r="T645" s="8">
        <v>1390</v>
      </c>
      <c r="U645" s="8">
        <v>2</v>
      </c>
      <c r="V645" s="5" t="s">
        <v>23</v>
      </c>
      <c r="W645" s="12">
        <v>2280334</v>
      </c>
      <c r="X645" s="6"/>
      <c r="Y645" s="6"/>
    </row>
    <row r="646" spans="1:25" ht="15" customHeight="1" x14ac:dyDescent="0.2">
      <c r="A646" s="88" t="s">
        <v>878</v>
      </c>
      <c r="B646" s="90"/>
      <c r="C646" s="88" t="s">
        <v>972</v>
      </c>
      <c r="D646" s="90"/>
      <c r="E646" s="88" t="s">
        <v>974</v>
      </c>
      <c r="F646" s="89"/>
      <c r="G646" s="89"/>
      <c r="H646" s="89"/>
      <c r="I646" s="90"/>
      <c r="J646" s="88" t="s">
        <v>887</v>
      </c>
      <c r="K646" s="89"/>
      <c r="L646" s="89"/>
      <c r="M646" s="90"/>
      <c r="N646" s="88" t="s">
        <v>22</v>
      </c>
      <c r="O646" s="89"/>
      <c r="P646" s="90"/>
      <c r="Q646" s="133">
        <v>658</v>
      </c>
      <c r="R646" s="134"/>
      <c r="S646" s="5" t="s">
        <v>945</v>
      </c>
      <c r="T646" s="8">
        <v>1420</v>
      </c>
      <c r="U646" s="6"/>
      <c r="V646" s="5" t="s">
        <v>23</v>
      </c>
      <c r="W646" s="12">
        <v>3495115</v>
      </c>
      <c r="X646" s="6"/>
      <c r="Y646" s="6"/>
    </row>
    <row r="647" spans="1:25" ht="15" customHeight="1" x14ac:dyDescent="0.2">
      <c r="A647" s="88" t="s">
        <v>878</v>
      </c>
      <c r="B647" s="90"/>
      <c r="C647" s="88" t="s">
        <v>972</v>
      </c>
      <c r="D647" s="90"/>
      <c r="E647" s="88" t="s">
        <v>975</v>
      </c>
      <c r="F647" s="89"/>
      <c r="G647" s="89"/>
      <c r="H647" s="89"/>
      <c r="I647" s="90"/>
      <c r="J647" s="88" t="s">
        <v>887</v>
      </c>
      <c r="K647" s="89"/>
      <c r="L647" s="89"/>
      <c r="M647" s="90"/>
      <c r="N647" s="88" t="s">
        <v>22</v>
      </c>
      <c r="O647" s="89"/>
      <c r="P647" s="90"/>
      <c r="Q647" s="133">
        <v>658</v>
      </c>
      <c r="R647" s="134"/>
      <c r="S647" s="5" t="s">
        <v>945</v>
      </c>
      <c r="T647" s="8">
        <v>1420</v>
      </c>
      <c r="U647" s="8">
        <v>2</v>
      </c>
      <c r="V647" s="5" t="s">
        <v>23</v>
      </c>
      <c r="W647" s="12">
        <v>3085158</v>
      </c>
      <c r="X647" s="6"/>
      <c r="Y647" s="6"/>
    </row>
    <row r="648" spans="1:25" ht="15" customHeight="1" x14ac:dyDescent="0.2">
      <c r="A648" s="88" t="s">
        <v>878</v>
      </c>
      <c r="B648" s="90"/>
      <c r="C648" s="88" t="s">
        <v>976</v>
      </c>
      <c r="D648" s="90"/>
      <c r="E648" s="88" t="s">
        <v>977</v>
      </c>
      <c r="F648" s="89"/>
      <c r="G648" s="89"/>
      <c r="H648" s="89"/>
      <c r="I648" s="90"/>
      <c r="J648" s="88" t="s">
        <v>887</v>
      </c>
      <c r="K648" s="89"/>
      <c r="L648" s="89"/>
      <c r="M648" s="90"/>
      <c r="N648" s="88" t="s">
        <v>22</v>
      </c>
      <c r="O648" s="89"/>
      <c r="P648" s="90"/>
      <c r="Q648" s="133">
        <v>658</v>
      </c>
      <c r="R648" s="134"/>
      <c r="S648" s="5" t="s">
        <v>945</v>
      </c>
      <c r="T648" s="8">
        <v>1470</v>
      </c>
      <c r="U648" s="8">
        <v>2</v>
      </c>
      <c r="V648" s="5" t="s">
        <v>23</v>
      </c>
      <c r="W648" s="12">
        <v>3541225</v>
      </c>
      <c r="X648" s="6"/>
      <c r="Y648" s="6"/>
    </row>
    <row r="649" spans="1:25" ht="15" customHeight="1" x14ac:dyDescent="0.2">
      <c r="A649" s="88" t="s">
        <v>878</v>
      </c>
      <c r="B649" s="90"/>
      <c r="C649" s="88" t="s">
        <v>978</v>
      </c>
      <c r="D649" s="90"/>
      <c r="E649" s="88" t="s">
        <v>977</v>
      </c>
      <c r="F649" s="89"/>
      <c r="G649" s="89"/>
      <c r="H649" s="89"/>
      <c r="I649" s="90"/>
      <c r="J649" s="88" t="s">
        <v>22</v>
      </c>
      <c r="K649" s="89"/>
      <c r="L649" s="89"/>
      <c r="M649" s="90"/>
      <c r="N649" s="88" t="s">
        <v>887</v>
      </c>
      <c r="O649" s="89"/>
      <c r="P649" s="90"/>
      <c r="Q649" s="133">
        <v>658</v>
      </c>
      <c r="R649" s="134"/>
      <c r="S649" s="5" t="s">
        <v>945</v>
      </c>
      <c r="T649" s="8">
        <v>1470</v>
      </c>
      <c r="U649" s="8">
        <v>2</v>
      </c>
      <c r="V649" s="5" t="s">
        <v>23</v>
      </c>
      <c r="W649" s="12">
        <v>3541225</v>
      </c>
      <c r="X649" s="6"/>
      <c r="Y649" s="6"/>
    </row>
    <row r="650" spans="1:25" ht="15" customHeight="1" x14ac:dyDescent="0.2">
      <c r="A650" s="88" t="s">
        <v>878</v>
      </c>
      <c r="B650" s="90"/>
      <c r="C650" s="88" t="s">
        <v>979</v>
      </c>
      <c r="D650" s="90"/>
      <c r="E650" s="88" t="s">
        <v>980</v>
      </c>
      <c r="F650" s="89"/>
      <c r="G650" s="89"/>
      <c r="H650" s="89"/>
      <c r="I650" s="90"/>
      <c r="J650" s="88" t="s">
        <v>887</v>
      </c>
      <c r="K650" s="89"/>
      <c r="L650" s="89"/>
      <c r="M650" s="90"/>
      <c r="N650" s="88" t="s">
        <v>22</v>
      </c>
      <c r="O650" s="89"/>
      <c r="P650" s="90"/>
      <c r="Q650" s="133">
        <v>658</v>
      </c>
      <c r="R650" s="134"/>
      <c r="S650" s="5" t="s">
        <v>945</v>
      </c>
      <c r="T650" s="8">
        <v>1420</v>
      </c>
      <c r="U650" s="8">
        <v>2</v>
      </c>
      <c r="V650" s="5" t="s">
        <v>23</v>
      </c>
      <c r="W650" s="12">
        <v>3177377</v>
      </c>
      <c r="X650" s="6"/>
      <c r="Y650" s="6"/>
    </row>
    <row r="651" spans="1:25" ht="15" customHeight="1" x14ac:dyDescent="0.2">
      <c r="A651" s="88" t="s">
        <v>878</v>
      </c>
      <c r="B651" s="90"/>
      <c r="C651" s="88" t="s">
        <v>981</v>
      </c>
      <c r="D651" s="90"/>
      <c r="E651" s="88" t="s">
        <v>977</v>
      </c>
      <c r="F651" s="89"/>
      <c r="G651" s="89"/>
      <c r="H651" s="89"/>
      <c r="I651" s="90"/>
      <c r="J651" s="88" t="s">
        <v>887</v>
      </c>
      <c r="K651" s="89"/>
      <c r="L651" s="89"/>
      <c r="M651" s="90"/>
      <c r="N651" s="88" t="s">
        <v>22</v>
      </c>
      <c r="O651" s="89"/>
      <c r="P651" s="90"/>
      <c r="Q651" s="133">
        <v>658</v>
      </c>
      <c r="R651" s="134"/>
      <c r="S651" s="5" t="s">
        <v>945</v>
      </c>
      <c r="T651" s="8">
        <v>1480</v>
      </c>
      <c r="U651" s="8">
        <v>2</v>
      </c>
      <c r="V651" s="5" t="s">
        <v>23</v>
      </c>
      <c r="W651" s="12">
        <v>3541225</v>
      </c>
      <c r="X651" s="6"/>
      <c r="Y651" s="6"/>
    </row>
    <row r="652" spans="1:25" ht="15" customHeight="1" x14ac:dyDescent="0.2">
      <c r="A652" s="88" t="s">
        <v>878</v>
      </c>
      <c r="B652" s="90"/>
      <c r="C652" s="88" t="s">
        <v>982</v>
      </c>
      <c r="D652" s="90"/>
      <c r="E652" s="88" t="s">
        <v>983</v>
      </c>
      <c r="F652" s="89"/>
      <c r="G652" s="89"/>
      <c r="H652" s="89"/>
      <c r="I652" s="90"/>
      <c r="J652" s="88" t="s">
        <v>963</v>
      </c>
      <c r="K652" s="89"/>
      <c r="L652" s="89"/>
      <c r="M652" s="90"/>
      <c r="N652" s="88" t="s">
        <v>26</v>
      </c>
      <c r="O652" s="89"/>
      <c r="P652" s="90"/>
      <c r="Q652" s="133">
        <v>658</v>
      </c>
      <c r="R652" s="134"/>
      <c r="S652" s="5" t="s">
        <v>945</v>
      </c>
      <c r="T652" s="8">
        <v>1220</v>
      </c>
      <c r="U652" s="8">
        <v>2</v>
      </c>
      <c r="V652" s="5" t="s">
        <v>23</v>
      </c>
      <c r="W652" s="12">
        <v>1618031</v>
      </c>
      <c r="X652" s="6"/>
      <c r="Y652" s="6"/>
    </row>
    <row r="653" spans="1:25" ht="15" customHeight="1" x14ac:dyDescent="0.2">
      <c r="A653" s="88" t="s">
        <v>878</v>
      </c>
      <c r="B653" s="90"/>
      <c r="C653" s="88" t="s">
        <v>982</v>
      </c>
      <c r="D653" s="90"/>
      <c r="E653" s="88" t="s">
        <v>984</v>
      </c>
      <c r="F653" s="89"/>
      <c r="G653" s="89"/>
      <c r="H653" s="89"/>
      <c r="I653" s="90"/>
      <c r="J653" s="88" t="s">
        <v>770</v>
      </c>
      <c r="K653" s="89"/>
      <c r="L653" s="89"/>
      <c r="M653" s="90"/>
      <c r="N653" s="88" t="s">
        <v>22</v>
      </c>
      <c r="O653" s="89"/>
      <c r="P653" s="90"/>
      <c r="Q653" s="133">
        <v>658</v>
      </c>
      <c r="R653" s="134"/>
      <c r="S653" s="5" t="s">
        <v>945</v>
      </c>
      <c r="T653" s="8">
        <v>1320</v>
      </c>
      <c r="U653" s="8">
        <v>2</v>
      </c>
      <c r="V653" s="5" t="s">
        <v>23</v>
      </c>
      <c r="W653" s="12">
        <v>2220308</v>
      </c>
      <c r="X653" s="6"/>
      <c r="Y653" s="6"/>
    </row>
    <row r="654" spans="1:25" ht="15" customHeight="1" x14ac:dyDescent="0.2">
      <c r="A654" s="88" t="s">
        <v>878</v>
      </c>
      <c r="B654" s="90"/>
      <c r="C654" s="88" t="s">
        <v>982</v>
      </c>
      <c r="D654" s="90"/>
      <c r="E654" s="88" t="s">
        <v>985</v>
      </c>
      <c r="F654" s="89"/>
      <c r="G654" s="89"/>
      <c r="H654" s="89"/>
      <c r="I654" s="90"/>
      <c r="J654" s="88" t="s">
        <v>963</v>
      </c>
      <c r="K654" s="89"/>
      <c r="L654" s="89"/>
      <c r="M654" s="90"/>
      <c r="N654" s="88" t="s">
        <v>26</v>
      </c>
      <c r="O654" s="89"/>
      <c r="P654" s="90"/>
      <c r="Q654" s="133">
        <v>658</v>
      </c>
      <c r="R654" s="134"/>
      <c r="S654" s="5" t="s">
        <v>945</v>
      </c>
      <c r="T654" s="8">
        <v>1220</v>
      </c>
      <c r="U654" s="8">
        <v>2</v>
      </c>
      <c r="V654" s="5" t="s">
        <v>23</v>
      </c>
      <c r="W654" s="12">
        <v>1609648</v>
      </c>
      <c r="X654" s="6"/>
      <c r="Y654" s="6"/>
    </row>
    <row r="655" spans="1:25" ht="15" customHeight="1" x14ac:dyDescent="0.2">
      <c r="A655" s="88" t="s">
        <v>878</v>
      </c>
      <c r="B655" s="90"/>
      <c r="C655" s="88" t="s">
        <v>986</v>
      </c>
      <c r="D655" s="90"/>
      <c r="E655" s="88" t="s">
        <v>987</v>
      </c>
      <c r="F655" s="89"/>
      <c r="G655" s="89"/>
      <c r="H655" s="89"/>
      <c r="I655" s="90"/>
      <c r="J655" s="88" t="s">
        <v>963</v>
      </c>
      <c r="K655" s="89"/>
      <c r="L655" s="89"/>
      <c r="M655" s="90"/>
      <c r="N655" s="88" t="s">
        <v>26</v>
      </c>
      <c r="O655" s="89"/>
      <c r="P655" s="90"/>
      <c r="Q655" s="133">
        <v>658</v>
      </c>
      <c r="R655" s="134"/>
      <c r="S655" s="5" t="s">
        <v>945</v>
      </c>
      <c r="T655" s="8">
        <v>1260</v>
      </c>
      <c r="U655" s="8">
        <v>2</v>
      </c>
      <c r="V655" s="5" t="s">
        <v>23</v>
      </c>
      <c r="W655" s="12">
        <v>1794086</v>
      </c>
      <c r="X655" s="6"/>
      <c r="Y655" s="6"/>
    </row>
    <row r="656" spans="1:25" ht="15" customHeight="1" x14ac:dyDescent="0.2">
      <c r="A656" s="88" t="s">
        <v>878</v>
      </c>
      <c r="B656" s="90"/>
      <c r="C656" s="88" t="s">
        <v>986</v>
      </c>
      <c r="D656" s="90"/>
      <c r="E656" s="88" t="s">
        <v>988</v>
      </c>
      <c r="F656" s="89"/>
      <c r="G656" s="89"/>
      <c r="H656" s="89"/>
      <c r="I656" s="90"/>
      <c r="J656" s="88" t="s">
        <v>770</v>
      </c>
      <c r="K656" s="89"/>
      <c r="L656" s="89"/>
      <c r="M656" s="90"/>
      <c r="N656" s="88" t="s">
        <v>22</v>
      </c>
      <c r="O656" s="89"/>
      <c r="P656" s="90"/>
      <c r="Q656" s="133">
        <v>658</v>
      </c>
      <c r="R656" s="134"/>
      <c r="S656" s="5" t="s">
        <v>945</v>
      </c>
      <c r="T656" s="8">
        <v>1350</v>
      </c>
      <c r="U656" s="8">
        <v>2</v>
      </c>
      <c r="V656" s="5" t="s">
        <v>23</v>
      </c>
      <c r="W656" s="12">
        <v>2434592</v>
      </c>
      <c r="X656" s="6"/>
      <c r="Y656" s="6"/>
    </row>
    <row r="657" spans="1:25" ht="15" customHeight="1" x14ac:dyDescent="0.2">
      <c r="A657" s="88" t="s">
        <v>878</v>
      </c>
      <c r="B657" s="90"/>
      <c r="C657" s="88" t="s">
        <v>986</v>
      </c>
      <c r="D657" s="90"/>
      <c r="E657" s="88" t="s">
        <v>967</v>
      </c>
      <c r="F657" s="89"/>
      <c r="G657" s="89"/>
      <c r="H657" s="89"/>
      <c r="I657" s="90"/>
      <c r="J657" s="88" t="s">
        <v>887</v>
      </c>
      <c r="K657" s="89"/>
      <c r="L657" s="89"/>
      <c r="M657" s="90"/>
      <c r="N657" s="88" t="s">
        <v>26</v>
      </c>
      <c r="O657" s="89"/>
      <c r="P657" s="90"/>
      <c r="Q657" s="133">
        <v>658</v>
      </c>
      <c r="R657" s="134"/>
      <c r="S657" s="5" t="s">
        <v>945</v>
      </c>
      <c r="T657" s="8">
        <v>1270</v>
      </c>
      <c r="U657" s="8">
        <v>2</v>
      </c>
      <c r="V657" s="5" t="s">
        <v>23</v>
      </c>
      <c r="W657" s="12">
        <v>1936607</v>
      </c>
      <c r="X657" s="6"/>
      <c r="Y657" s="6"/>
    </row>
    <row r="658" spans="1:25" ht="15" customHeight="1" x14ac:dyDescent="0.2">
      <c r="A658" s="88" t="s">
        <v>878</v>
      </c>
      <c r="B658" s="90"/>
      <c r="C658" s="88" t="s">
        <v>989</v>
      </c>
      <c r="D658" s="90"/>
      <c r="E658" s="88" t="s">
        <v>988</v>
      </c>
      <c r="F658" s="89"/>
      <c r="G658" s="89"/>
      <c r="H658" s="89"/>
      <c r="I658" s="90"/>
      <c r="J658" s="88" t="s">
        <v>770</v>
      </c>
      <c r="K658" s="89"/>
      <c r="L658" s="89"/>
      <c r="M658" s="90"/>
      <c r="N658" s="88" t="s">
        <v>22</v>
      </c>
      <c r="O658" s="89"/>
      <c r="P658" s="90"/>
      <c r="Q658" s="133">
        <v>658</v>
      </c>
      <c r="R658" s="134"/>
      <c r="S658" s="5" t="s">
        <v>945</v>
      </c>
      <c r="T658" s="8">
        <v>1350</v>
      </c>
      <c r="U658" s="8">
        <v>2</v>
      </c>
      <c r="V658" s="5" t="s">
        <v>23</v>
      </c>
      <c r="W658" s="12">
        <v>2434592</v>
      </c>
      <c r="X658" s="6"/>
      <c r="Y658" s="6"/>
    </row>
    <row r="659" spans="1:25" ht="15" customHeight="1" x14ac:dyDescent="0.2">
      <c r="A659" s="88" t="s">
        <v>878</v>
      </c>
      <c r="B659" s="90"/>
      <c r="C659" s="88" t="s">
        <v>990</v>
      </c>
      <c r="D659" s="90"/>
      <c r="E659" s="88" t="s">
        <v>975</v>
      </c>
      <c r="F659" s="89"/>
      <c r="G659" s="89"/>
      <c r="H659" s="89"/>
      <c r="I659" s="90"/>
      <c r="J659" s="88" t="s">
        <v>887</v>
      </c>
      <c r="K659" s="89"/>
      <c r="L659" s="89"/>
      <c r="M659" s="90"/>
      <c r="N659" s="88" t="s">
        <v>22</v>
      </c>
      <c r="O659" s="89"/>
      <c r="P659" s="90"/>
      <c r="Q659" s="133">
        <v>658</v>
      </c>
      <c r="R659" s="134"/>
      <c r="S659" s="5" t="s">
        <v>945</v>
      </c>
      <c r="T659" s="8">
        <v>1420</v>
      </c>
      <c r="U659" s="8">
        <v>2</v>
      </c>
      <c r="V659" s="5" t="s">
        <v>23</v>
      </c>
      <c r="W659" s="12">
        <v>3085158</v>
      </c>
      <c r="X659" s="6"/>
      <c r="Y659" s="6"/>
    </row>
    <row r="660" spans="1:25" ht="15" customHeight="1" x14ac:dyDescent="0.2">
      <c r="A660" s="88" t="s">
        <v>878</v>
      </c>
      <c r="B660" s="90"/>
      <c r="C660" s="88" t="s">
        <v>991</v>
      </c>
      <c r="D660" s="90"/>
      <c r="E660" s="88" t="s">
        <v>992</v>
      </c>
      <c r="F660" s="89"/>
      <c r="G660" s="89"/>
      <c r="H660" s="89"/>
      <c r="I660" s="90"/>
      <c r="J660" s="88" t="s">
        <v>963</v>
      </c>
      <c r="K660" s="89"/>
      <c r="L660" s="89"/>
      <c r="M660" s="90"/>
      <c r="N660" s="88" t="s">
        <v>22</v>
      </c>
      <c r="O660" s="89"/>
      <c r="P660" s="90"/>
      <c r="Q660" s="133">
        <v>658</v>
      </c>
      <c r="R660" s="134"/>
      <c r="S660" s="5" t="s">
        <v>945</v>
      </c>
      <c r="T660" s="8">
        <v>1470</v>
      </c>
      <c r="U660" s="8">
        <v>2</v>
      </c>
      <c r="V660" s="5" t="s">
        <v>23</v>
      </c>
      <c r="W660" s="12">
        <v>2255183</v>
      </c>
      <c r="X660" s="6"/>
      <c r="Y660" s="6"/>
    </row>
    <row r="661" spans="1:25" ht="15" customHeight="1" x14ac:dyDescent="0.2">
      <c r="A661" s="88" t="s">
        <v>878</v>
      </c>
      <c r="B661" s="90"/>
      <c r="C661" s="88" t="s">
        <v>993</v>
      </c>
      <c r="D661" s="90"/>
      <c r="E661" s="88" t="s">
        <v>994</v>
      </c>
      <c r="F661" s="89"/>
      <c r="G661" s="89"/>
      <c r="H661" s="89"/>
      <c r="I661" s="90"/>
      <c r="J661" s="88" t="s">
        <v>887</v>
      </c>
      <c r="K661" s="89"/>
      <c r="L661" s="89"/>
      <c r="M661" s="90"/>
      <c r="N661" s="88" t="s">
        <v>22</v>
      </c>
      <c r="O661" s="89"/>
      <c r="P661" s="90"/>
      <c r="Q661" s="133">
        <v>658</v>
      </c>
      <c r="R661" s="134"/>
      <c r="S661" s="5" t="s">
        <v>945</v>
      </c>
      <c r="T661" s="8">
        <v>1390</v>
      </c>
      <c r="U661" s="8">
        <v>2</v>
      </c>
      <c r="V661" s="5" t="s">
        <v>23</v>
      </c>
      <c r="W661" s="12">
        <v>2204882</v>
      </c>
      <c r="X661" s="6"/>
      <c r="Y661" s="6"/>
    </row>
    <row r="662" spans="1:25" ht="15" customHeight="1" x14ac:dyDescent="0.2">
      <c r="A662" s="88" t="s">
        <v>878</v>
      </c>
      <c r="B662" s="90"/>
      <c r="C662" s="88" t="s">
        <v>993</v>
      </c>
      <c r="D662" s="90"/>
      <c r="E662" s="88" t="s">
        <v>977</v>
      </c>
      <c r="F662" s="89"/>
      <c r="G662" s="89"/>
      <c r="H662" s="89"/>
      <c r="I662" s="90"/>
      <c r="J662" s="88" t="s">
        <v>770</v>
      </c>
      <c r="K662" s="89"/>
      <c r="L662" s="89"/>
      <c r="M662" s="90"/>
      <c r="N662" s="88" t="s">
        <v>22</v>
      </c>
      <c r="O662" s="89"/>
      <c r="P662" s="90"/>
      <c r="Q662" s="133">
        <v>658</v>
      </c>
      <c r="R662" s="134"/>
      <c r="S662" s="5" t="s">
        <v>945</v>
      </c>
      <c r="T662" s="8">
        <v>1430</v>
      </c>
      <c r="U662" s="8">
        <v>2</v>
      </c>
      <c r="V662" s="5" t="s">
        <v>23</v>
      </c>
      <c r="W662" s="12">
        <v>2563699</v>
      </c>
      <c r="X662" s="6"/>
      <c r="Y662" s="6"/>
    </row>
    <row r="663" spans="1:25" ht="15" customHeight="1" x14ac:dyDescent="0.2">
      <c r="A663" s="88" t="s">
        <v>878</v>
      </c>
      <c r="B663" s="90"/>
      <c r="C663" s="88" t="s">
        <v>993</v>
      </c>
      <c r="D663" s="90"/>
      <c r="E663" s="88" t="s">
        <v>995</v>
      </c>
      <c r="F663" s="89"/>
      <c r="G663" s="89"/>
      <c r="H663" s="89"/>
      <c r="I663" s="90"/>
      <c r="J663" s="88" t="s">
        <v>887</v>
      </c>
      <c r="K663" s="89"/>
      <c r="L663" s="89"/>
      <c r="M663" s="90"/>
      <c r="N663" s="88" t="s">
        <v>22</v>
      </c>
      <c r="O663" s="89"/>
      <c r="P663" s="90"/>
      <c r="Q663" s="133">
        <v>658</v>
      </c>
      <c r="R663" s="134"/>
      <c r="S663" s="5" t="s">
        <v>945</v>
      </c>
      <c r="T663" s="8">
        <v>1390</v>
      </c>
      <c r="U663" s="8">
        <v>2</v>
      </c>
      <c r="V663" s="5" t="s">
        <v>23</v>
      </c>
      <c r="W663" s="12">
        <v>2075775</v>
      </c>
      <c r="X663" s="6"/>
      <c r="Y663" s="6"/>
    </row>
    <row r="664" spans="1:25" ht="15" customHeight="1" x14ac:dyDescent="0.2">
      <c r="A664" s="88" t="s">
        <v>878</v>
      </c>
      <c r="B664" s="90"/>
      <c r="C664" s="88" t="s">
        <v>996</v>
      </c>
      <c r="D664" s="90"/>
      <c r="E664" s="88" t="s">
        <v>973</v>
      </c>
      <c r="F664" s="89"/>
      <c r="G664" s="89"/>
      <c r="H664" s="89"/>
      <c r="I664" s="90"/>
      <c r="J664" s="88" t="s">
        <v>963</v>
      </c>
      <c r="K664" s="89"/>
      <c r="L664" s="89"/>
      <c r="M664" s="90"/>
      <c r="N664" s="88" t="s">
        <v>22</v>
      </c>
      <c r="O664" s="89"/>
      <c r="P664" s="90"/>
      <c r="Q664" s="133">
        <v>658</v>
      </c>
      <c r="R664" s="134"/>
      <c r="S664" s="5" t="s">
        <v>945</v>
      </c>
      <c r="T664" s="8">
        <v>1470</v>
      </c>
      <c r="U664" s="8">
        <v>2</v>
      </c>
      <c r="V664" s="5" t="s">
        <v>23</v>
      </c>
      <c r="W664" s="12">
        <v>2347403</v>
      </c>
      <c r="X664" s="6"/>
      <c r="Y664" s="6"/>
    </row>
    <row r="665" spans="1:25" ht="15" customHeight="1" x14ac:dyDescent="0.2">
      <c r="A665" s="88" t="s">
        <v>878</v>
      </c>
      <c r="B665" s="90"/>
      <c r="C665" s="88" t="s">
        <v>997</v>
      </c>
      <c r="D665" s="90"/>
      <c r="E665" s="88" t="s">
        <v>998</v>
      </c>
      <c r="F665" s="89"/>
      <c r="G665" s="89"/>
      <c r="H665" s="89"/>
      <c r="I665" s="90"/>
      <c r="J665" s="88" t="s">
        <v>963</v>
      </c>
      <c r="K665" s="89"/>
      <c r="L665" s="89"/>
      <c r="M665" s="90"/>
      <c r="N665" s="88" t="s">
        <v>22</v>
      </c>
      <c r="O665" s="89"/>
      <c r="P665" s="90"/>
      <c r="Q665" s="133">
        <v>658</v>
      </c>
      <c r="R665" s="134"/>
      <c r="S665" s="5" t="s">
        <v>945</v>
      </c>
      <c r="T665" s="8">
        <v>1390</v>
      </c>
      <c r="U665" s="6"/>
      <c r="V665" s="5" t="s">
        <v>23</v>
      </c>
      <c r="W665" s="12">
        <v>2508367</v>
      </c>
      <c r="X665" s="6"/>
      <c r="Y665" s="6"/>
    </row>
    <row r="666" spans="1:25" ht="15" customHeight="1" x14ac:dyDescent="0.2">
      <c r="A666" s="88" t="s">
        <v>878</v>
      </c>
      <c r="B666" s="90"/>
      <c r="C666" s="88" t="s">
        <v>999</v>
      </c>
      <c r="D666" s="90"/>
      <c r="E666" s="88" t="s">
        <v>973</v>
      </c>
      <c r="F666" s="89"/>
      <c r="G666" s="89"/>
      <c r="H666" s="89"/>
      <c r="I666" s="90"/>
      <c r="J666" s="88" t="s">
        <v>770</v>
      </c>
      <c r="K666" s="89"/>
      <c r="L666" s="89"/>
      <c r="M666" s="90"/>
      <c r="N666" s="88" t="s">
        <v>22</v>
      </c>
      <c r="O666" s="89"/>
      <c r="P666" s="90"/>
      <c r="Q666" s="133">
        <v>658</v>
      </c>
      <c r="R666" s="134"/>
      <c r="S666" s="5" t="s">
        <v>945</v>
      </c>
      <c r="T666" s="8">
        <v>1400</v>
      </c>
      <c r="U666" s="8">
        <v>2</v>
      </c>
      <c r="V666" s="5" t="s">
        <v>23</v>
      </c>
      <c r="W666" s="12">
        <v>2748138</v>
      </c>
      <c r="X666" s="6"/>
      <c r="Y666" s="6"/>
    </row>
    <row r="667" spans="1:25" ht="15" customHeight="1" x14ac:dyDescent="0.2">
      <c r="A667" s="88" t="s">
        <v>878</v>
      </c>
      <c r="B667" s="90"/>
      <c r="C667" s="88" t="s">
        <v>1000</v>
      </c>
      <c r="D667" s="90"/>
      <c r="E667" s="88" t="s">
        <v>973</v>
      </c>
      <c r="F667" s="89"/>
      <c r="G667" s="89"/>
      <c r="H667" s="89"/>
      <c r="I667" s="90"/>
      <c r="J667" s="88" t="s">
        <v>963</v>
      </c>
      <c r="K667" s="89"/>
      <c r="L667" s="89"/>
      <c r="M667" s="90"/>
      <c r="N667" s="88" t="s">
        <v>22</v>
      </c>
      <c r="O667" s="89"/>
      <c r="P667" s="90"/>
      <c r="Q667" s="133">
        <v>658</v>
      </c>
      <c r="R667" s="134"/>
      <c r="S667" s="5" t="s">
        <v>945</v>
      </c>
      <c r="T667" s="8">
        <v>1400</v>
      </c>
      <c r="U667" s="8">
        <v>2</v>
      </c>
      <c r="V667" s="5" t="s">
        <v>23</v>
      </c>
      <c r="W667" s="12">
        <v>2748138</v>
      </c>
      <c r="X667" s="6"/>
      <c r="Y667" s="6"/>
    </row>
    <row r="668" spans="1:25" ht="15" customHeight="1" x14ac:dyDescent="0.2">
      <c r="A668" s="88" t="s">
        <v>878</v>
      </c>
      <c r="B668" s="90"/>
      <c r="C668" s="88" t="s">
        <v>1000</v>
      </c>
      <c r="D668" s="90"/>
      <c r="E668" s="88" t="s">
        <v>992</v>
      </c>
      <c r="F668" s="89"/>
      <c r="G668" s="89"/>
      <c r="H668" s="89"/>
      <c r="I668" s="90"/>
      <c r="J668" s="88" t="s">
        <v>963</v>
      </c>
      <c r="K668" s="89"/>
      <c r="L668" s="89"/>
      <c r="M668" s="90"/>
      <c r="N668" s="88" t="s">
        <v>22</v>
      </c>
      <c r="O668" s="89"/>
      <c r="P668" s="90"/>
      <c r="Q668" s="133">
        <v>658</v>
      </c>
      <c r="R668" s="134"/>
      <c r="S668" s="5" t="s">
        <v>945</v>
      </c>
      <c r="T668" s="8">
        <v>1390</v>
      </c>
      <c r="U668" s="8">
        <v>2</v>
      </c>
      <c r="V668" s="5" t="s">
        <v>23</v>
      </c>
      <c r="W668" s="12">
        <v>2179731</v>
      </c>
      <c r="X668" s="6"/>
      <c r="Y668" s="6"/>
    </row>
    <row r="669" spans="1:25" ht="15" customHeight="1" x14ac:dyDescent="0.2">
      <c r="A669" s="88" t="s">
        <v>878</v>
      </c>
      <c r="B669" s="90"/>
      <c r="C669" s="88" t="s">
        <v>1001</v>
      </c>
      <c r="D669" s="90"/>
      <c r="E669" s="88" t="s">
        <v>987</v>
      </c>
      <c r="F669" s="89"/>
      <c r="G669" s="89"/>
      <c r="H669" s="89"/>
      <c r="I669" s="90"/>
      <c r="J669" s="88" t="s">
        <v>963</v>
      </c>
      <c r="K669" s="89"/>
      <c r="L669" s="89"/>
      <c r="M669" s="90"/>
      <c r="N669" s="88" t="s">
        <v>26</v>
      </c>
      <c r="O669" s="89"/>
      <c r="P669" s="90"/>
      <c r="Q669" s="133">
        <v>658</v>
      </c>
      <c r="R669" s="134"/>
      <c r="S669" s="5" t="s">
        <v>945</v>
      </c>
      <c r="T669" s="8">
        <v>1260</v>
      </c>
      <c r="U669" s="6"/>
      <c r="V669" s="5" t="s">
        <v>23</v>
      </c>
      <c r="W669" s="12">
        <v>1973495</v>
      </c>
      <c r="X669" s="6"/>
      <c r="Y669" s="6"/>
    </row>
    <row r="670" spans="1:25" ht="15" customHeight="1" x14ac:dyDescent="0.2">
      <c r="A670" s="88" t="s">
        <v>878</v>
      </c>
      <c r="B670" s="90"/>
      <c r="C670" s="88" t="s">
        <v>1002</v>
      </c>
      <c r="D670" s="90"/>
      <c r="E670" s="88" t="s">
        <v>1003</v>
      </c>
      <c r="F670" s="89"/>
      <c r="G670" s="89"/>
      <c r="H670" s="89"/>
      <c r="I670" s="90"/>
      <c r="J670" s="88" t="s">
        <v>770</v>
      </c>
      <c r="K670" s="89"/>
      <c r="L670" s="89"/>
      <c r="M670" s="90"/>
      <c r="N670" s="88" t="s">
        <v>26</v>
      </c>
      <c r="O670" s="89"/>
      <c r="P670" s="90"/>
      <c r="Q670" s="133">
        <v>1797</v>
      </c>
      <c r="R670" s="134"/>
      <c r="S670" s="5" t="s">
        <v>70</v>
      </c>
      <c r="T670" s="8">
        <v>1735</v>
      </c>
      <c r="U670" s="8">
        <v>5</v>
      </c>
      <c r="V670" s="5" t="s">
        <v>23</v>
      </c>
      <c r="W670" s="12">
        <v>4879943</v>
      </c>
      <c r="X670" s="6"/>
      <c r="Y670" s="6"/>
    </row>
    <row r="671" spans="1:25" ht="15" customHeight="1" x14ac:dyDescent="0.2">
      <c r="A671" s="88" t="s">
        <v>878</v>
      </c>
      <c r="B671" s="90"/>
      <c r="C671" s="88" t="s">
        <v>1004</v>
      </c>
      <c r="D671" s="90"/>
      <c r="E671" s="88" t="s">
        <v>1005</v>
      </c>
      <c r="F671" s="89"/>
      <c r="G671" s="89"/>
      <c r="H671" s="89"/>
      <c r="I671" s="90"/>
      <c r="J671" s="88" t="s">
        <v>770</v>
      </c>
      <c r="K671" s="89"/>
      <c r="L671" s="89"/>
      <c r="M671" s="90"/>
      <c r="N671" s="88" t="s">
        <v>26</v>
      </c>
      <c r="O671" s="89"/>
      <c r="P671" s="90"/>
      <c r="Q671" s="133">
        <v>1797</v>
      </c>
      <c r="R671" s="134"/>
      <c r="S671" s="5" t="s">
        <v>70</v>
      </c>
      <c r="T671" s="8">
        <v>1735</v>
      </c>
      <c r="U671" s="8">
        <v>5</v>
      </c>
      <c r="V671" s="5" t="s">
        <v>23</v>
      </c>
      <c r="W671" s="12">
        <v>4879943</v>
      </c>
      <c r="X671" s="6"/>
      <c r="Y671" s="6"/>
    </row>
    <row r="672" spans="1:25" ht="15" customHeight="1" x14ac:dyDescent="0.2">
      <c r="A672" s="88" t="s">
        <v>878</v>
      </c>
      <c r="B672" s="90"/>
      <c r="C672" s="88" t="s">
        <v>1006</v>
      </c>
      <c r="D672" s="90"/>
      <c r="E672" s="88" t="s">
        <v>1007</v>
      </c>
      <c r="F672" s="89"/>
      <c r="G672" s="89"/>
      <c r="H672" s="89"/>
      <c r="I672" s="90"/>
      <c r="J672" s="88" t="s">
        <v>770</v>
      </c>
      <c r="K672" s="89"/>
      <c r="L672" s="89"/>
      <c r="M672" s="90"/>
      <c r="N672" s="88" t="s">
        <v>26</v>
      </c>
      <c r="O672" s="89"/>
      <c r="P672" s="90"/>
      <c r="Q672" s="133">
        <v>1797</v>
      </c>
      <c r="R672" s="134"/>
      <c r="S672" s="5" t="s">
        <v>70</v>
      </c>
      <c r="T672" s="8">
        <v>1735</v>
      </c>
      <c r="U672" s="8">
        <v>5</v>
      </c>
      <c r="V672" s="5" t="s">
        <v>23</v>
      </c>
      <c r="W672" s="12">
        <v>4741168</v>
      </c>
      <c r="X672" s="6"/>
      <c r="Y672" s="6"/>
    </row>
    <row r="673" spans="1:25" ht="15" customHeight="1" x14ac:dyDescent="0.2">
      <c r="A673" s="88" t="s">
        <v>878</v>
      </c>
      <c r="B673" s="90"/>
      <c r="C673" s="88" t="s">
        <v>1008</v>
      </c>
      <c r="D673" s="90"/>
      <c r="E673" s="88" t="s">
        <v>1009</v>
      </c>
      <c r="F673" s="89"/>
      <c r="G673" s="89"/>
      <c r="H673" s="89"/>
      <c r="I673" s="90"/>
      <c r="J673" s="88" t="s">
        <v>599</v>
      </c>
      <c r="K673" s="89"/>
      <c r="L673" s="89"/>
      <c r="M673" s="90"/>
      <c r="N673" s="88" t="s">
        <v>26</v>
      </c>
      <c r="O673" s="89"/>
      <c r="P673" s="90"/>
      <c r="Q673" s="133">
        <v>658</v>
      </c>
      <c r="R673" s="134"/>
      <c r="S673" s="5" t="s">
        <v>70</v>
      </c>
      <c r="T673" s="8">
        <v>970</v>
      </c>
      <c r="U673" s="8">
        <v>4</v>
      </c>
      <c r="V673" s="5" t="s">
        <v>23</v>
      </c>
      <c r="W673" s="12">
        <v>1373311</v>
      </c>
      <c r="X673" s="6"/>
      <c r="Y673" s="6"/>
    </row>
    <row r="674" spans="1:25" ht="15" customHeight="1" x14ac:dyDescent="0.2">
      <c r="A674" s="88" t="s">
        <v>878</v>
      </c>
      <c r="B674" s="90"/>
      <c r="C674" s="88" t="s">
        <v>1010</v>
      </c>
      <c r="D674" s="90"/>
      <c r="E674" s="88" t="s">
        <v>1011</v>
      </c>
      <c r="F674" s="89"/>
      <c r="G674" s="89"/>
      <c r="H674" s="89"/>
      <c r="I674" s="90"/>
      <c r="J674" s="88" t="s">
        <v>770</v>
      </c>
      <c r="K674" s="89"/>
      <c r="L674" s="89"/>
      <c r="M674" s="90"/>
      <c r="N674" s="88" t="s">
        <v>26</v>
      </c>
      <c r="O674" s="89"/>
      <c r="P674" s="90"/>
      <c r="Q674" s="133">
        <v>658</v>
      </c>
      <c r="R674" s="134"/>
      <c r="S674" s="5" t="s">
        <v>70</v>
      </c>
      <c r="T674" s="8">
        <v>1030</v>
      </c>
      <c r="U674" s="8">
        <v>4</v>
      </c>
      <c r="V674" s="5" t="s">
        <v>23</v>
      </c>
      <c r="W674" s="12">
        <v>2179731</v>
      </c>
      <c r="X674" s="6"/>
      <c r="Y674" s="6"/>
    </row>
    <row r="675" spans="1:25" ht="15" customHeight="1" x14ac:dyDescent="0.2">
      <c r="A675" s="88" t="s">
        <v>878</v>
      </c>
      <c r="B675" s="90"/>
      <c r="C675" s="88" t="s">
        <v>1012</v>
      </c>
      <c r="D675" s="90"/>
      <c r="E675" s="88" t="s">
        <v>1013</v>
      </c>
      <c r="F675" s="89"/>
      <c r="G675" s="89"/>
      <c r="H675" s="89"/>
      <c r="I675" s="90"/>
      <c r="J675" s="88" t="s">
        <v>770</v>
      </c>
      <c r="K675" s="89"/>
      <c r="L675" s="89"/>
      <c r="M675" s="90"/>
      <c r="N675" s="88" t="s">
        <v>26</v>
      </c>
      <c r="O675" s="89"/>
      <c r="P675" s="90"/>
      <c r="Q675" s="133">
        <v>658</v>
      </c>
      <c r="R675" s="134"/>
      <c r="S675" s="5" t="s">
        <v>70</v>
      </c>
      <c r="T675" s="8">
        <v>890</v>
      </c>
      <c r="U675" s="8">
        <v>4</v>
      </c>
      <c r="V675" s="5" t="s">
        <v>23</v>
      </c>
      <c r="W675" s="12">
        <v>1877922</v>
      </c>
      <c r="X675" s="6"/>
      <c r="Y675" s="6"/>
    </row>
    <row r="676" spans="1:25" ht="15" customHeight="1" x14ac:dyDescent="0.2">
      <c r="A676" s="88" t="s">
        <v>878</v>
      </c>
      <c r="B676" s="90"/>
      <c r="C676" s="88" t="s">
        <v>1014</v>
      </c>
      <c r="D676" s="90"/>
      <c r="E676" s="88" t="s">
        <v>1013</v>
      </c>
      <c r="F676" s="89"/>
      <c r="G676" s="89"/>
      <c r="H676" s="89"/>
      <c r="I676" s="90"/>
      <c r="J676" s="88" t="s">
        <v>770</v>
      </c>
      <c r="K676" s="89"/>
      <c r="L676" s="89"/>
      <c r="M676" s="90"/>
      <c r="N676" s="88" t="s">
        <v>26</v>
      </c>
      <c r="O676" s="89"/>
      <c r="P676" s="90"/>
      <c r="Q676" s="133">
        <v>658</v>
      </c>
      <c r="R676" s="134"/>
      <c r="S676" s="5" t="s">
        <v>70</v>
      </c>
      <c r="T676" s="8">
        <v>890</v>
      </c>
      <c r="U676" s="8">
        <v>4</v>
      </c>
      <c r="V676" s="5" t="s">
        <v>23</v>
      </c>
      <c r="W676" s="12">
        <v>1877922</v>
      </c>
      <c r="X676" s="6"/>
      <c r="Y676" s="6"/>
    </row>
    <row r="677" spans="1:25" ht="15" customHeight="1" x14ac:dyDescent="0.2">
      <c r="A677" s="88" t="s">
        <v>878</v>
      </c>
      <c r="B677" s="90"/>
      <c r="C677" s="88" t="s">
        <v>1015</v>
      </c>
      <c r="D677" s="90"/>
      <c r="E677" s="88" t="s">
        <v>1013</v>
      </c>
      <c r="F677" s="89"/>
      <c r="G677" s="89"/>
      <c r="H677" s="89"/>
      <c r="I677" s="90"/>
      <c r="J677" s="88" t="s">
        <v>770</v>
      </c>
      <c r="K677" s="89"/>
      <c r="L677" s="89"/>
      <c r="M677" s="90"/>
      <c r="N677" s="88" t="s">
        <v>26</v>
      </c>
      <c r="O677" s="89"/>
      <c r="P677" s="90"/>
      <c r="Q677" s="133">
        <v>658</v>
      </c>
      <c r="R677" s="134"/>
      <c r="S677" s="5" t="s">
        <v>70</v>
      </c>
      <c r="T677" s="8">
        <v>890</v>
      </c>
      <c r="U677" s="8">
        <v>4</v>
      </c>
      <c r="V677" s="5" t="s">
        <v>23</v>
      </c>
      <c r="W677" s="12">
        <v>1877922</v>
      </c>
      <c r="X677" s="6"/>
      <c r="Y677" s="6"/>
    </row>
    <row r="678" spans="1:25" ht="15" customHeight="1" x14ac:dyDescent="0.2">
      <c r="A678" s="88" t="s">
        <v>878</v>
      </c>
      <c r="B678" s="90"/>
      <c r="C678" s="88" t="s">
        <v>1016</v>
      </c>
      <c r="D678" s="90"/>
      <c r="E678" s="88" t="s">
        <v>1017</v>
      </c>
      <c r="F678" s="89"/>
      <c r="G678" s="89"/>
      <c r="H678" s="89"/>
      <c r="I678" s="90"/>
      <c r="J678" s="88" t="s">
        <v>770</v>
      </c>
      <c r="K678" s="89"/>
      <c r="L678" s="89"/>
      <c r="M678" s="90"/>
      <c r="N678" s="88" t="s">
        <v>26</v>
      </c>
      <c r="O678" s="89"/>
      <c r="P678" s="90"/>
      <c r="Q678" s="133">
        <v>658</v>
      </c>
      <c r="R678" s="134"/>
      <c r="S678" s="5" t="s">
        <v>70</v>
      </c>
      <c r="T678" s="8">
        <v>940</v>
      </c>
      <c r="U678" s="8">
        <v>4</v>
      </c>
      <c r="V678" s="5" t="s">
        <v>23</v>
      </c>
      <c r="W678" s="12">
        <v>2012059</v>
      </c>
      <c r="X678" s="6"/>
      <c r="Y678" s="6"/>
    </row>
    <row r="679" spans="1:25" ht="15" customHeight="1" x14ac:dyDescent="0.2">
      <c r="A679" s="88" t="s">
        <v>878</v>
      </c>
      <c r="B679" s="90"/>
      <c r="C679" s="88" t="s">
        <v>1016</v>
      </c>
      <c r="D679" s="90"/>
      <c r="E679" s="88" t="s">
        <v>1018</v>
      </c>
      <c r="F679" s="89"/>
      <c r="G679" s="89"/>
      <c r="H679" s="89"/>
      <c r="I679" s="90"/>
      <c r="J679" s="88" t="s">
        <v>770</v>
      </c>
      <c r="K679" s="89"/>
      <c r="L679" s="89"/>
      <c r="M679" s="90"/>
      <c r="N679" s="88" t="s">
        <v>26</v>
      </c>
      <c r="O679" s="89"/>
      <c r="P679" s="90"/>
      <c r="Q679" s="133">
        <v>658</v>
      </c>
      <c r="R679" s="134"/>
      <c r="S679" s="5" t="s">
        <v>70</v>
      </c>
      <c r="T679" s="8">
        <v>940</v>
      </c>
      <c r="U679" s="8">
        <v>4</v>
      </c>
      <c r="V679" s="5" t="s">
        <v>23</v>
      </c>
      <c r="W679" s="12">
        <v>2102602</v>
      </c>
      <c r="X679" s="6"/>
      <c r="Y679" s="6"/>
    </row>
    <row r="680" spans="1:25" ht="15" customHeight="1" x14ac:dyDescent="0.2">
      <c r="A680" s="88" t="s">
        <v>878</v>
      </c>
      <c r="B680" s="90"/>
      <c r="C680" s="88" t="s">
        <v>1016</v>
      </c>
      <c r="D680" s="90"/>
      <c r="E680" s="88" t="s">
        <v>1019</v>
      </c>
      <c r="F680" s="89"/>
      <c r="G680" s="89"/>
      <c r="H680" s="89"/>
      <c r="I680" s="90"/>
      <c r="J680" s="88" t="s">
        <v>770</v>
      </c>
      <c r="K680" s="89"/>
      <c r="L680" s="89"/>
      <c r="M680" s="90"/>
      <c r="N680" s="88" t="s">
        <v>26</v>
      </c>
      <c r="O680" s="89"/>
      <c r="P680" s="90"/>
      <c r="Q680" s="133">
        <v>658</v>
      </c>
      <c r="R680" s="134"/>
      <c r="S680" s="5" t="s">
        <v>70</v>
      </c>
      <c r="T680" s="8">
        <v>940</v>
      </c>
      <c r="U680" s="8">
        <v>4</v>
      </c>
      <c r="V680" s="5" t="s">
        <v>23</v>
      </c>
      <c r="W680" s="12">
        <v>2012059</v>
      </c>
      <c r="X680" s="6"/>
      <c r="Y680" s="6"/>
    </row>
    <row r="681" spans="1:25" ht="15" customHeight="1" x14ac:dyDescent="0.2">
      <c r="A681" s="88" t="s">
        <v>878</v>
      </c>
      <c r="B681" s="90"/>
      <c r="C681" s="88" t="s">
        <v>1020</v>
      </c>
      <c r="D681" s="90"/>
      <c r="E681" s="88" t="s">
        <v>1021</v>
      </c>
      <c r="F681" s="89"/>
      <c r="G681" s="89"/>
      <c r="H681" s="89"/>
      <c r="I681" s="90"/>
      <c r="J681" s="88" t="s">
        <v>770</v>
      </c>
      <c r="K681" s="89"/>
      <c r="L681" s="89"/>
      <c r="M681" s="90"/>
      <c r="N681" s="88" t="s">
        <v>26</v>
      </c>
      <c r="O681" s="89"/>
      <c r="P681" s="90"/>
      <c r="Q681" s="133">
        <v>658</v>
      </c>
      <c r="R681" s="134"/>
      <c r="S681" s="5" t="s">
        <v>814</v>
      </c>
      <c r="T681" s="8">
        <v>200</v>
      </c>
      <c r="U681" s="5" t="s">
        <v>964</v>
      </c>
      <c r="V681" s="5" t="s">
        <v>23</v>
      </c>
      <c r="W681" s="12">
        <v>1253545</v>
      </c>
      <c r="X681" s="6"/>
      <c r="Y681" s="6"/>
    </row>
    <row r="682" spans="1:25" ht="15" customHeight="1" x14ac:dyDescent="0.2">
      <c r="A682" s="88" t="s">
        <v>878</v>
      </c>
      <c r="B682" s="90"/>
      <c r="C682" s="88" t="s">
        <v>1022</v>
      </c>
      <c r="D682" s="90"/>
      <c r="E682" s="88" t="s">
        <v>1023</v>
      </c>
      <c r="F682" s="89"/>
      <c r="G682" s="89"/>
      <c r="H682" s="89"/>
      <c r="I682" s="90"/>
      <c r="J682" s="88" t="s">
        <v>770</v>
      </c>
      <c r="K682" s="89"/>
      <c r="L682" s="89"/>
      <c r="M682" s="90"/>
      <c r="N682" s="88" t="s">
        <v>26</v>
      </c>
      <c r="O682" s="89"/>
      <c r="P682" s="90"/>
      <c r="Q682" s="133">
        <v>658</v>
      </c>
      <c r="R682" s="134"/>
      <c r="S682" s="5" t="s">
        <v>814</v>
      </c>
      <c r="T682" s="8">
        <v>1140</v>
      </c>
      <c r="U682" s="8">
        <v>4</v>
      </c>
      <c r="V682" s="5" t="s">
        <v>23</v>
      </c>
      <c r="W682" s="12">
        <v>2655918</v>
      </c>
      <c r="X682" s="6"/>
      <c r="Y682" s="6"/>
    </row>
    <row r="683" spans="1:25" ht="15" customHeight="1" x14ac:dyDescent="0.2">
      <c r="A683" s="88" t="s">
        <v>878</v>
      </c>
      <c r="B683" s="90"/>
      <c r="C683" s="88" t="s">
        <v>1024</v>
      </c>
      <c r="D683" s="90"/>
      <c r="E683" s="88" t="s">
        <v>1025</v>
      </c>
      <c r="F683" s="89"/>
      <c r="G683" s="89"/>
      <c r="H683" s="89"/>
      <c r="I683" s="90"/>
      <c r="J683" s="88" t="s">
        <v>770</v>
      </c>
      <c r="K683" s="89"/>
      <c r="L683" s="89"/>
      <c r="M683" s="90"/>
      <c r="N683" s="88" t="s">
        <v>26</v>
      </c>
      <c r="O683" s="89"/>
      <c r="P683" s="90"/>
      <c r="Q683" s="133">
        <v>658</v>
      </c>
      <c r="R683" s="134"/>
      <c r="S683" s="5" t="s">
        <v>814</v>
      </c>
      <c r="T683" s="8">
        <v>1140</v>
      </c>
      <c r="U683" s="8">
        <v>4</v>
      </c>
      <c r="V683" s="5" t="s">
        <v>23</v>
      </c>
      <c r="W683" s="12">
        <v>2414471</v>
      </c>
      <c r="X683" s="6"/>
      <c r="Y683" s="6"/>
    </row>
    <row r="684" spans="1:25" ht="15" customHeight="1" x14ac:dyDescent="0.2">
      <c r="A684" s="88" t="s">
        <v>878</v>
      </c>
      <c r="B684" s="90"/>
      <c r="C684" s="88" t="s">
        <v>1026</v>
      </c>
      <c r="D684" s="90"/>
      <c r="E684" s="88" t="s">
        <v>1027</v>
      </c>
      <c r="F684" s="89"/>
      <c r="G684" s="89"/>
      <c r="H684" s="89"/>
      <c r="I684" s="90"/>
      <c r="J684" s="88" t="s">
        <v>770</v>
      </c>
      <c r="K684" s="89"/>
      <c r="L684" s="89"/>
      <c r="M684" s="90"/>
      <c r="N684" s="88" t="s">
        <v>26</v>
      </c>
      <c r="O684" s="89"/>
      <c r="P684" s="90"/>
      <c r="Q684" s="133">
        <v>658</v>
      </c>
      <c r="R684" s="134"/>
      <c r="S684" s="5" t="s">
        <v>814</v>
      </c>
      <c r="T684" s="8">
        <v>1140</v>
      </c>
      <c r="U684" s="8">
        <v>4</v>
      </c>
      <c r="V684" s="5" t="s">
        <v>23</v>
      </c>
      <c r="W684" s="12">
        <v>2397704</v>
      </c>
      <c r="X684" s="6"/>
      <c r="Y684" s="6"/>
    </row>
    <row r="685" spans="1:25" ht="15" customHeight="1" x14ac:dyDescent="0.2">
      <c r="A685" s="88" t="s">
        <v>878</v>
      </c>
      <c r="B685" s="90"/>
      <c r="C685" s="88" t="s">
        <v>1028</v>
      </c>
      <c r="D685" s="90"/>
      <c r="E685" s="88" t="s">
        <v>1029</v>
      </c>
      <c r="F685" s="89"/>
      <c r="G685" s="89"/>
      <c r="H685" s="89"/>
      <c r="I685" s="90"/>
      <c r="J685" s="88" t="s">
        <v>770</v>
      </c>
      <c r="K685" s="89"/>
      <c r="L685" s="89"/>
      <c r="M685" s="90"/>
      <c r="N685" s="88" t="s">
        <v>26</v>
      </c>
      <c r="O685" s="89"/>
      <c r="P685" s="90"/>
      <c r="Q685" s="133">
        <v>658</v>
      </c>
      <c r="R685" s="134"/>
      <c r="S685" s="5" t="s">
        <v>814</v>
      </c>
      <c r="T685" s="8">
        <v>1100</v>
      </c>
      <c r="U685" s="8">
        <v>4</v>
      </c>
      <c r="V685" s="5" t="s">
        <v>23</v>
      </c>
      <c r="W685" s="12">
        <v>2803469</v>
      </c>
      <c r="X685" s="6"/>
      <c r="Y685" s="6"/>
    </row>
    <row r="686" spans="1:25" ht="15" customHeight="1" x14ac:dyDescent="0.2">
      <c r="A686" s="88" t="s">
        <v>878</v>
      </c>
      <c r="B686" s="90"/>
      <c r="C686" s="88" t="s">
        <v>1030</v>
      </c>
      <c r="D686" s="90"/>
      <c r="E686" s="88" t="s">
        <v>1031</v>
      </c>
      <c r="F686" s="89"/>
      <c r="G686" s="89"/>
      <c r="H686" s="89"/>
      <c r="I686" s="90"/>
      <c r="J686" s="88" t="s">
        <v>770</v>
      </c>
      <c r="K686" s="89"/>
      <c r="L686" s="89"/>
      <c r="M686" s="90"/>
      <c r="N686" s="88" t="s">
        <v>26</v>
      </c>
      <c r="O686" s="89"/>
      <c r="P686" s="90"/>
      <c r="Q686" s="133">
        <v>658</v>
      </c>
      <c r="R686" s="134"/>
      <c r="S686" s="5" t="s">
        <v>814</v>
      </c>
      <c r="T686" s="8">
        <v>1120</v>
      </c>
      <c r="U686" s="8">
        <v>4</v>
      </c>
      <c r="V686" s="5" t="s">
        <v>23</v>
      </c>
      <c r="W686" s="12">
        <v>3006352</v>
      </c>
      <c r="X686" s="6"/>
      <c r="Y686" s="6"/>
    </row>
    <row r="687" spans="1:25" ht="15" customHeight="1" x14ac:dyDescent="0.2">
      <c r="A687" s="88" t="s">
        <v>878</v>
      </c>
      <c r="B687" s="90"/>
      <c r="C687" s="88" t="s">
        <v>1032</v>
      </c>
      <c r="D687" s="90"/>
      <c r="E687" s="88" t="s">
        <v>1025</v>
      </c>
      <c r="F687" s="89"/>
      <c r="G687" s="89"/>
      <c r="H687" s="89"/>
      <c r="I687" s="90"/>
      <c r="J687" s="88" t="s">
        <v>770</v>
      </c>
      <c r="K687" s="89"/>
      <c r="L687" s="89"/>
      <c r="M687" s="90"/>
      <c r="N687" s="88" t="s">
        <v>26</v>
      </c>
      <c r="O687" s="89"/>
      <c r="P687" s="90"/>
      <c r="Q687" s="133">
        <v>658</v>
      </c>
      <c r="R687" s="134"/>
      <c r="S687" s="5" t="s">
        <v>814</v>
      </c>
      <c r="T687" s="8">
        <v>1140</v>
      </c>
      <c r="U687" s="8">
        <v>4</v>
      </c>
      <c r="V687" s="5" t="s">
        <v>23</v>
      </c>
      <c r="W687" s="12">
        <v>2414471</v>
      </c>
      <c r="X687" s="6"/>
      <c r="Y687" s="6"/>
    </row>
    <row r="688" spans="1:25" ht="15" customHeight="1" x14ac:dyDescent="0.2">
      <c r="A688" s="88" t="s">
        <v>878</v>
      </c>
      <c r="B688" s="90"/>
      <c r="C688" s="88" t="s">
        <v>1033</v>
      </c>
      <c r="D688" s="90"/>
      <c r="E688" s="88" t="s">
        <v>1034</v>
      </c>
      <c r="F688" s="89"/>
      <c r="G688" s="89"/>
      <c r="H688" s="89"/>
      <c r="I688" s="90"/>
      <c r="J688" s="88" t="s">
        <v>770</v>
      </c>
      <c r="K688" s="89"/>
      <c r="L688" s="89"/>
      <c r="M688" s="90"/>
      <c r="N688" s="88" t="s">
        <v>26</v>
      </c>
      <c r="O688" s="89"/>
      <c r="P688" s="90"/>
      <c r="Q688" s="133">
        <v>658</v>
      </c>
      <c r="R688" s="134"/>
      <c r="S688" s="5" t="s">
        <v>814</v>
      </c>
      <c r="T688" s="8">
        <v>1070</v>
      </c>
      <c r="U688" s="8">
        <v>4</v>
      </c>
      <c r="V688" s="5" t="s">
        <v>23</v>
      </c>
      <c r="W688" s="12">
        <v>2523458</v>
      </c>
      <c r="X688" s="6"/>
      <c r="Y688" s="6"/>
    </row>
    <row r="689" spans="1:25" ht="15" customHeight="1" x14ac:dyDescent="0.2">
      <c r="A689" s="88" t="s">
        <v>878</v>
      </c>
      <c r="B689" s="90"/>
      <c r="C689" s="88" t="s">
        <v>1033</v>
      </c>
      <c r="D689" s="90"/>
      <c r="E689" s="88" t="s">
        <v>1035</v>
      </c>
      <c r="F689" s="89"/>
      <c r="G689" s="89"/>
      <c r="H689" s="89"/>
      <c r="I689" s="90"/>
      <c r="J689" s="88" t="s">
        <v>770</v>
      </c>
      <c r="K689" s="89"/>
      <c r="L689" s="89"/>
      <c r="M689" s="90"/>
      <c r="N689" s="88" t="s">
        <v>26</v>
      </c>
      <c r="O689" s="89"/>
      <c r="P689" s="90"/>
      <c r="Q689" s="133">
        <v>658</v>
      </c>
      <c r="R689" s="134"/>
      <c r="S689" s="5" t="s">
        <v>814</v>
      </c>
      <c r="T689" s="8">
        <v>1070</v>
      </c>
      <c r="U689" s="8">
        <v>4</v>
      </c>
      <c r="V689" s="5" t="s">
        <v>23</v>
      </c>
      <c r="W689" s="12">
        <v>2523458</v>
      </c>
      <c r="X689" s="6"/>
      <c r="Y689" s="6"/>
    </row>
    <row r="690" spans="1:25" ht="15" customHeight="1" x14ac:dyDescent="0.2">
      <c r="A690" s="88" t="s">
        <v>878</v>
      </c>
      <c r="B690" s="90"/>
      <c r="C690" s="88" t="s">
        <v>1036</v>
      </c>
      <c r="D690" s="90"/>
      <c r="E690" s="88" t="s">
        <v>1035</v>
      </c>
      <c r="F690" s="89"/>
      <c r="G690" s="89"/>
      <c r="H690" s="89"/>
      <c r="I690" s="90"/>
      <c r="J690" s="88" t="s">
        <v>770</v>
      </c>
      <c r="K690" s="89"/>
      <c r="L690" s="89"/>
      <c r="M690" s="90"/>
      <c r="N690" s="88" t="s">
        <v>26</v>
      </c>
      <c r="O690" s="89"/>
      <c r="P690" s="90"/>
      <c r="Q690" s="133">
        <v>658</v>
      </c>
      <c r="R690" s="134"/>
      <c r="S690" s="5" t="s">
        <v>814</v>
      </c>
      <c r="T690" s="8">
        <v>1070</v>
      </c>
      <c r="U690" s="8">
        <v>4</v>
      </c>
      <c r="V690" s="5" t="s">
        <v>23</v>
      </c>
      <c r="W690" s="12">
        <v>2523458</v>
      </c>
      <c r="X690" s="6"/>
      <c r="Y690" s="6"/>
    </row>
    <row r="691" spans="1:25" ht="15" customHeight="1" x14ac:dyDescent="0.2">
      <c r="A691" s="88" t="s">
        <v>878</v>
      </c>
      <c r="B691" s="90"/>
      <c r="C691" s="88" t="s">
        <v>1037</v>
      </c>
      <c r="D691" s="90"/>
      <c r="E691" s="88" t="s">
        <v>1038</v>
      </c>
      <c r="F691" s="89"/>
      <c r="G691" s="89"/>
      <c r="H691" s="89"/>
      <c r="I691" s="90"/>
      <c r="J691" s="88" t="s">
        <v>770</v>
      </c>
      <c r="K691" s="89"/>
      <c r="L691" s="89"/>
      <c r="M691" s="90"/>
      <c r="N691" s="88" t="s">
        <v>26</v>
      </c>
      <c r="O691" s="89"/>
      <c r="P691" s="90"/>
      <c r="Q691" s="133">
        <v>658</v>
      </c>
      <c r="R691" s="134"/>
      <c r="S691" s="5" t="s">
        <v>814</v>
      </c>
      <c r="T691" s="8">
        <v>1100</v>
      </c>
      <c r="U691" s="8">
        <v>4</v>
      </c>
      <c r="V691" s="5" t="s">
        <v>23</v>
      </c>
      <c r="W691" s="12">
        <v>2538548</v>
      </c>
      <c r="X691" s="6"/>
      <c r="Y691" s="6"/>
    </row>
    <row r="692" spans="1:25" ht="15" customHeight="1" x14ac:dyDescent="0.2">
      <c r="A692" s="88" t="s">
        <v>878</v>
      </c>
      <c r="B692" s="90"/>
      <c r="C692" s="88" t="s">
        <v>1037</v>
      </c>
      <c r="D692" s="90"/>
      <c r="E692" s="88" t="s">
        <v>1039</v>
      </c>
      <c r="F692" s="89"/>
      <c r="G692" s="89"/>
      <c r="H692" s="89"/>
      <c r="I692" s="90"/>
      <c r="J692" s="88" t="s">
        <v>770</v>
      </c>
      <c r="K692" s="89"/>
      <c r="L692" s="89"/>
      <c r="M692" s="90"/>
      <c r="N692" s="88" t="s">
        <v>26</v>
      </c>
      <c r="O692" s="89"/>
      <c r="P692" s="90"/>
      <c r="Q692" s="133">
        <v>658</v>
      </c>
      <c r="R692" s="134"/>
      <c r="S692" s="5" t="s">
        <v>814</v>
      </c>
      <c r="T692" s="8">
        <v>1100</v>
      </c>
      <c r="U692" s="8">
        <v>4</v>
      </c>
      <c r="V692" s="5" t="s">
        <v>23</v>
      </c>
      <c r="W692" s="12">
        <v>2689453</v>
      </c>
      <c r="X692" s="6"/>
      <c r="Y692" s="6"/>
    </row>
    <row r="693" spans="1:25" ht="15" customHeight="1" x14ac:dyDescent="0.2">
      <c r="A693" s="88" t="s">
        <v>878</v>
      </c>
      <c r="B693" s="90"/>
      <c r="C693" s="88" t="s">
        <v>1040</v>
      </c>
      <c r="D693" s="90"/>
      <c r="E693" s="88" t="s">
        <v>1039</v>
      </c>
      <c r="F693" s="89"/>
      <c r="G693" s="89"/>
      <c r="H693" s="89"/>
      <c r="I693" s="90"/>
      <c r="J693" s="88" t="s">
        <v>770</v>
      </c>
      <c r="K693" s="89"/>
      <c r="L693" s="89"/>
      <c r="M693" s="90"/>
      <c r="N693" s="88" t="s">
        <v>26</v>
      </c>
      <c r="O693" s="89"/>
      <c r="P693" s="90"/>
      <c r="Q693" s="133">
        <v>658</v>
      </c>
      <c r="R693" s="134"/>
      <c r="S693" s="5" t="s">
        <v>814</v>
      </c>
      <c r="T693" s="8">
        <v>1100</v>
      </c>
      <c r="U693" s="8">
        <v>4</v>
      </c>
      <c r="V693" s="5" t="s">
        <v>23</v>
      </c>
      <c r="W693" s="12">
        <v>2959404</v>
      </c>
      <c r="X693" s="6"/>
      <c r="Y693" s="6"/>
    </row>
    <row r="694" spans="1:25" ht="15" customHeight="1" x14ac:dyDescent="0.2">
      <c r="A694" s="88" t="s">
        <v>878</v>
      </c>
      <c r="B694" s="90"/>
      <c r="C694" s="88" t="s">
        <v>1041</v>
      </c>
      <c r="D694" s="90"/>
      <c r="E694" s="88" t="s">
        <v>1038</v>
      </c>
      <c r="F694" s="89"/>
      <c r="G694" s="89"/>
      <c r="H694" s="89"/>
      <c r="I694" s="90"/>
      <c r="J694" s="88" t="s">
        <v>770</v>
      </c>
      <c r="K694" s="89"/>
      <c r="L694" s="89"/>
      <c r="M694" s="90"/>
      <c r="N694" s="88" t="s">
        <v>26</v>
      </c>
      <c r="O694" s="89"/>
      <c r="P694" s="90"/>
      <c r="Q694" s="133">
        <v>658</v>
      </c>
      <c r="R694" s="134"/>
      <c r="S694" s="5" t="s">
        <v>814</v>
      </c>
      <c r="T694" s="8">
        <v>1100</v>
      </c>
      <c r="U694" s="8">
        <v>4</v>
      </c>
      <c r="V694" s="5" t="s">
        <v>23</v>
      </c>
      <c r="W694" s="12">
        <v>2538548</v>
      </c>
      <c r="X694" s="6"/>
      <c r="Y694" s="6"/>
    </row>
    <row r="695" spans="1:25" ht="15" customHeight="1" x14ac:dyDescent="0.2">
      <c r="A695" s="88" t="s">
        <v>878</v>
      </c>
      <c r="B695" s="90"/>
      <c r="C695" s="88" t="s">
        <v>1042</v>
      </c>
      <c r="D695" s="90"/>
      <c r="E695" s="88" t="s">
        <v>1043</v>
      </c>
      <c r="F695" s="89"/>
      <c r="G695" s="89"/>
      <c r="H695" s="89"/>
      <c r="I695" s="90"/>
      <c r="J695" s="88" t="s">
        <v>770</v>
      </c>
      <c r="K695" s="89"/>
      <c r="L695" s="89"/>
      <c r="M695" s="90"/>
      <c r="N695" s="88" t="s">
        <v>26</v>
      </c>
      <c r="O695" s="89"/>
      <c r="P695" s="90"/>
      <c r="Q695" s="133">
        <v>658</v>
      </c>
      <c r="R695" s="134"/>
      <c r="S695" s="5" t="s">
        <v>814</v>
      </c>
      <c r="T695" s="8">
        <v>1090</v>
      </c>
      <c r="U695" s="8">
        <v>4</v>
      </c>
      <c r="V695" s="5" t="s">
        <v>23</v>
      </c>
      <c r="W695" s="12">
        <v>2203205</v>
      </c>
      <c r="X695" s="6"/>
      <c r="Y695" s="6"/>
    </row>
    <row r="696" spans="1:25" ht="15" customHeight="1" x14ac:dyDescent="0.2">
      <c r="A696" s="88" t="s">
        <v>878</v>
      </c>
      <c r="B696" s="90"/>
      <c r="C696" s="88" t="s">
        <v>1042</v>
      </c>
      <c r="D696" s="90"/>
      <c r="E696" s="88" t="s">
        <v>1044</v>
      </c>
      <c r="F696" s="89"/>
      <c r="G696" s="89"/>
      <c r="H696" s="89"/>
      <c r="I696" s="90"/>
      <c r="J696" s="88" t="s">
        <v>770</v>
      </c>
      <c r="K696" s="89"/>
      <c r="L696" s="89"/>
      <c r="M696" s="90"/>
      <c r="N696" s="88" t="s">
        <v>26</v>
      </c>
      <c r="O696" s="89"/>
      <c r="P696" s="90"/>
      <c r="Q696" s="133">
        <v>658</v>
      </c>
      <c r="R696" s="134"/>
      <c r="S696" s="5" t="s">
        <v>814</v>
      </c>
      <c r="T696" s="8">
        <v>1090</v>
      </c>
      <c r="U696" s="8">
        <v>4</v>
      </c>
      <c r="V696" s="5" t="s">
        <v>23</v>
      </c>
      <c r="W696" s="12">
        <v>2203205</v>
      </c>
      <c r="X696" s="6"/>
      <c r="Y696" s="6"/>
    </row>
    <row r="697" spans="1:25" ht="15" customHeight="1" x14ac:dyDescent="0.2">
      <c r="A697" s="88" t="s">
        <v>878</v>
      </c>
      <c r="B697" s="90"/>
      <c r="C697" s="88" t="s">
        <v>1045</v>
      </c>
      <c r="D697" s="90"/>
      <c r="E697" s="88" t="s">
        <v>1046</v>
      </c>
      <c r="F697" s="89"/>
      <c r="G697" s="89"/>
      <c r="H697" s="89"/>
      <c r="I697" s="90"/>
      <c r="J697" s="88" t="s">
        <v>770</v>
      </c>
      <c r="K697" s="89"/>
      <c r="L697" s="89"/>
      <c r="M697" s="90"/>
      <c r="N697" s="88" t="s">
        <v>26</v>
      </c>
      <c r="O697" s="89"/>
      <c r="P697" s="90"/>
      <c r="Q697" s="133">
        <v>658</v>
      </c>
      <c r="R697" s="134"/>
      <c r="S697" s="5" t="s">
        <v>814</v>
      </c>
      <c r="T697" s="8">
        <v>1090</v>
      </c>
      <c r="U697" s="8">
        <v>4</v>
      </c>
      <c r="V697" s="5" t="s">
        <v>23</v>
      </c>
      <c r="W697" s="12">
        <v>2206559</v>
      </c>
      <c r="X697" s="6"/>
      <c r="Y697" s="6"/>
    </row>
    <row r="698" spans="1:25" ht="15" customHeight="1" x14ac:dyDescent="0.2">
      <c r="A698" s="88" t="s">
        <v>878</v>
      </c>
      <c r="B698" s="90"/>
      <c r="C698" s="88" t="s">
        <v>1047</v>
      </c>
      <c r="D698" s="90"/>
      <c r="E698" s="88" t="s">
        <v>1044</v>
      </c>
      <c r="F698" s="89"/>
      <c r="G698" s="89"/>
      <c r="H698" s="89"/>
      <c r="I698" s="90"/>
      <c r="J698" s="88" t="s">
        <v>770</v>
      </c>
      <c r="K698" s="89"/>
      <c r="L698" s="89"/>
      <c r="M698" s="90"/>
      <c r="N698" s="88" t="s">
        <v>26</v>
      </c>
      <c r="O698" s="89"/>
      <c r="P698" s="90"/>
      <c r="Q698" s="133">
        <v>658</v>
      </c>
      <c r="R698" s="134"/>
      <c r="S698" s="5" t="s">
        <v>814</v>
      </c>
      <c r="T698" s="8">
        <v>1090</v>
      </c>
      <c r="U698" s="8">
        <v>4</v>
      </c>
      <c r="V698" s="5" t="s">
        <v>23</v>
      </c>
      <c r="W698" s="12">
        <v>2196498</v>
      </c>
      <c r="X698" s="6"/>
      <c r="Y698" s="6"/>
    </row>
    <row r="699" spans="1:25" ht="15" customHeight="1" x14ac:dyDescent="0.2">
      <c r="A699" s="88" t="s">
        <v>878</v>
      </c>
      <c r="B699" s="90"/>
      <c r="C699" s="88" t="s">
        <v>1048</v>
      </c>
      <c r="D699" s="90"/>
      <c r="E699" s="88" t="s">
        <v>1034</v>
      </c>
      <c r="F699" s="89"/>
      <c r="G699" s="89"/>
      <c r="H699" s="89"/>
      <c r="I699" s="90"/>
      <c r="J699" s="88" t="s">
        <v>770</v>
      </c>
      <c r="K699" s="89"/>
      <c r="L699" s="89"/>
      <c r="M699" s="90"/>
      <c r="N699" s="88" t="s">
        <v>26</v>
      </c>
      <c r="O699" s="89"/>
      <c r="P699" s="90"/>
      <c r="Q699" s="133">
        <v>658</v>
      </c>
      <c r="R699" s="134"/>
      <c r="S699" s="5" t="s">
        <v>814</v>
      </c>
      <c r="T699" s="8">
        <v>1070</v>
      </c>
      <c r="U699" s="8">
        <v>4</v>
      </c>
      <c r="V699" s="5" t="s">
        <v>23</v>
      </c>
      <c r="W699" s="12">
        <v>2775804</v>
      </c>
      <c r="X699" s="6"/>
      <c r="Y699" s="6"/>
    </row>
    <row r="700" spans="1:25" ht="15" customHeight="1" x14ac:dyDescent="0.2">
      <c r="A700" s="88" t="s">
        <v>878</v>
      </c>
      <c r="B700" s="90"/>
      <c r="C700" s="88" t="s">
        <v>1049</v>
      </c>
      <c r="D700" s="90"/>
      <c r="E700" s="88" t="s">
        <v>1050</v>
      </c>
      <c r="F700" s="89"/>
      <c r="G700" s="89"/>
      <c r="H700" s="89"/>
      <c r="I700" s="90"/>
      <c r="J700" s="88" t="s">
        <v>770</v>
      </c>
      <c r="K700" s="89"/>
      <c r="L700" s="89"/>
      <c r="M700" s="90"/>
      <c r="N700" s="88" t="s">
        <v>26</v>
      </c>
      <c r="O700" s="89"/>
      <c r="P700" s="90"/>
      <c r="Q700" s="133">
        <v>658</v>
      </c>
      <c r="R700" s="134"/>
      <c r="S700" s="5" t="s">
        <v>814</v>
      </c>
      <c r="T700" s="8">
        <v>1040</v>
      </c>
      <c r="U700" s="8">
        <v>4</v>
      </c>
      <c r="V700" s="5" t="s">
        <v>23</v>
      </c>
      <c r="W700" s="12">
        <v>1978525</v>
      </c>
      <c r="X700" s="6"/>
      <c r="Y700" s="6"/>
    </row>
    <row r="701" spans="1:25" ht="15" customHeight="1" x14ac:dyDescent="0.2">
      <c r="A701" s="88" t="s">
        <v>878</v>
      </c>
      <c r="B701" s="90"/>
      <c r="C701" s="88" t="s">
        <v>1049</v>
      </c>
      <c r="D701" s="90"/>
      <c r="E701" s="88" t="s">
        <v>1051</v>
      </c>
      <c r="F701" s="89"/>
      <c r="G701" s="89"/>
      <c r="H701" s="89"/>
      <c r="I701" s="90"/>
      <c r="J701" s="88" t="s">
        <v>770</v>
      </c>
      <c r="K701" s="89"/>
      <c r="L701" s="89"/>
      <c r="M701" s="90"/>
      <c r="N701" s="88" t="s">
        <v>26</v>
      </c>
      <c r="O701" s="89"/>
      <c r="P701" s="90"/>
      <c r="Q701" s="133">
        <v>658</v>
      </c>
      <c r="R701" s="134"/>
      <c r="S701" s="5" t="s">
        <v>814</v>
      </c>
      <c r="T701" s="8">
        <v>1040</v>
      </c>
      <c r="U701" s="8">
        <v>4</v>
      </c>
      <c r="V701" s="5" t="s">
        <v>23</v>
      </c>
      <c r="W701" s="12">
        <v>1978525</v>
      </c>
      <c r="X701" s="6"/>
      <c r="Y701" s="6"/>
    </row>
    <row r="702" spans="1:25" ht="15" customHeight="1" x14ac:dyDescent="0.2">
      <c r="A702" s="88" t="s">
        <v>878</v>
      </c>
      <c r="B702" s="90"/>
      <c r="C702" s="88" t="s">
        <v>1052</v>
      </c>
      <c r="D702" s="90"/>
      <c r="E702" s="88" t="s">
        <v>1051</v>
      </c>
      <c r="F702" s="89"/>
      <c r="G702" s="89"/>
      <c r="H702" s="89"/>
      <c r="I702" s="90"/>
      <c r="J702" s="88" t="s">
        <v>770</v>
      </c>
      <c r="K702" s="89"/>
      <c r="L702" s="89"/>
      <c r="M702" s="90"/>
      <c r="N702" s="88" t="s">
        <v>26</v>
      </c>
      <c r="O702" s="89"/>
      <c r="P702" s="90"/>
      <c r="Q702" s="133">
        <v>658</v>
      </c>
      <c r="R702" s="134"/>
      <c r="S702" s="5" t="s">
        <v>814</v>
      </c>
      <c r="T702" s="8">
        <v>1040</v>
      </c>
      <c r="U702" s="8">
        <v>4</v>
      </c>
      <c r="V702" s="5" t="s">
        <v>23</v>
      </c>
      <c r="W702" s="12">
        <v>1978525</v>
      </c>
      <c r="X702" s="6"/>
      <c r="Y702" s="6"/>
    </row>
    <row r="703" spans="1:25" ht="15" customHeight="1" x14ac:dyDescent="0.2">
      <c r="A703" s="88" t="s">
        <v>878</v>
      </c>
      <c r="B703" s="90"/>
      <c r="C703" s="88" t="s">
        <v>1053</v>
      </c>
      <c r="D703" s="90"/>
      <c r="E703" s="88" t="s">
        <v>1054</v>
      </c>
      <c r="F703" s="89"/>
      <c r="G703" s="89"/>
      <c r="H703" s="89"/>
      <c r="I703" s="90"/>
      <c r="J703" s="88" t="s">
        <v>770</v>
      </c>
      <c r="K703" s="89"/>
      <c r="L703" s="89"/>
      <c r="M703" s="90"/>
      <c r="N703" s="88" t="s">
        <v>26</v>
      </c>
      <c r="O703" s="89"/>
      <c r="P703" s="90"/>
      <c r="Q703" s="133">
        <v>996</v>
      </c>
      <c r="R703" s="134"/>
      <c r="S703" s="5" t="s">
        <v>70</v>
      </c>
      <c r="T703" s="8">
        <v>1255</v>
      </c>
      <c r="U703" s="8">
        <v>5</v>
      </c>
      <c r="V703" s="5" t="s">
        <v>23</v>
      </c>
      <c r="W703" s="12">
        <v>3356786</v>
      </c>
      <c r="X703" s="6"/>
      <c r="Y703" s="6"/>
    </row>
    <row r="704" spans="1:25" ht="15" customHeight="1" x14ac:dyDescent="0.2">
      <c r="A704" s="88" t="s">
        <v>878</v>
      </c>
      <c r="B704" s="90"/>
      <c r="C704" s="88" t="s">
        <v>1053</v>
      </c>
      <c r="D704" s="90"/>
      <c r="E704" s="88" t="s">
        <v>1055</v>
      </c>
      <c r="F704" s="89"/>
      <c r="G704" s="89"/>
      <c r="H704" s="89"/>
      <c r="I704" s="90"/>
      <c r="J704" s="88" t="s">
        <v>770</v>
      </c>
      <c r="K704" s="89"/>
      <c r="L704" s="89"/>
      <c r="M704" s="90"/>
      <c r="N704" s="88" t="s">
        <v>26</v>
      </c>
      <c r="O704" s="89"/>
      <c r="P704" s="90"/>
      <c r="Q704" s="133">
        <v>996</v>
      </c>
      <c r="R704" s="134"/>
      <c r="S704" s="5" t="s">
        <v>70</v>
      </c>
      <c r="T704" s="8">
        <v>1255</v>
      </c>
      <c r="U704" s="8">
        <v>5</v>
      </c>
      <c r="V704" s="5" t="s">
        <v>23</v>
      </c>
      <c r="W704" s="12">
        <v>3051623</v>
      </c>
      <c r="X704" s="6"/>
      <c r="Y704" s="6"/>
    </row>
    <row r="705" spans="1:25" ht="15" customHeight="1" x14ac:dyDescent="0.2">
      <c r="A705" s="88" t="s">
        <v>878</v>
      </c>
      <c r="B705" s="90"/>
      <c r="C705" s="88" t="s">
        <v>1056</v>
      </c>
      <c r="D705" s="90"/>
      <c r="E705" s="88" t="s">
        <v>1057</v>
      </c>
      <c r="F705" s="89"/>
      <c r="G705" s="89"/>
      <c r="H705" s="89"/>
      <c r="I705" s="90"/>
      <c r="J705" s="88" t="s">
        <v>770</v>
      </c>
      <c r="K705" s="89"/>
      <c r="L705" s="89"/>
      <c r="M705" s="90"/>
      <c r="N705" s="88" t="s">
        <v>26</v>
      </c>
      <c r="O705" s="89"/>
      <c r="P705" s="90"/>
      <c r="Q705" s="133">
        <v>1196</v>
      </c>
      <c r="R705" s="134"/>
      <c r="S705" s="5" t="s">
        <v>70</v>
      </c>
      <c r="T705" s="8">
        <v>1255</v>
      </c>
      <c r="U705" s="8">
        <v>5</v>
      </c>
      <c r="V705" s="5" t="s">
        <v>23</v>
      </c>
      <c r="W705" s="12">
        <v>3467449</v>
      </c>
      <c r="X705" s="6"/>
      <c r="Y705" s="6"/>
    </row>
    <row r="706" spans="1:25" ht="15" customHeight="1" x14ac:dyDescent="0.2">
      <c r="A706" s="88" t="s">
        <v>878</v>
      </c>
      <c r="B706" s="90"/>
      <c r="C706" s="88" t="s">
        <v>1058</v>
      </c>
      <c r="D706" s="90"/>
      <c r="E706" s="88" t="s">
        <v>1059</v>
      </c>
      <c r="F706" s="89"/>
      <c r="G706" s="89"/>
      <c r="H706" s="89"/>
      <c r="I706" s="90"/>
      <c r="J706" s="88" t="s">
        <v>770</v>
      </c>
      <c r="K706" s="89"/>
      <c r="L706" s="89"/>
      <c r="M706" s="90"/>
      <c r="N706" s="88" t="s">
        <v>26</v>
      </c>
      <c r="O706" s="89"/>
      <c r="P706" s="90"/>
      <c r="Q706" s="133">
        <v>1196</v>
      </c>
      <c r="R706" s="134"/>
      <c r="S706" s="5" t="s">
        <v>70</v>
      </c>
      <c r="T706" s="8">
        <v>1345</v>
      </c>
      <c r="U706" s="8">
        <v>5</v>
      </c>
      <c r="V706" s="5" t="s">
        <v>23</v>
      </c>
      <c r="W706" s="12">
        <v>3935253</v>
      </c>
      <c r="X706" s="6"/>
      <c r="Y706" s="6"/>
    </row>
    <row r="707" spans="1:25" ht="15" customHeight="1" x14ac:dyDescent="0.2">
      <c r="A707" s="88" t="s">
        <v>878</v>
      </c>
      <c r="B707" s="90"/>
      <c r="C707" s="88" t="s">
        <v>1060</v>
      </c>
      <c r="D707" s="90"/>
      <c r="E707" s="88" t="s">
        <v>1061</v>
      </c>
      <c r="F707" s="89"/>
      <c r="G707" s="89"/>
      <c r="H707" s="89"/>
      <c r="I707" s="90"/>
      <c r="J707" s="88" t="s">
        <v>770</v>
      </c>
      <c r="K707" s="89"/>
      <c r="L707" s="89"/>
      <c r="M707" s="90"/>
      <c r="N707" s="88" t="s">
        <v>26</v>
      </c>
      <c r="O707" s="89"/>
      <c r="P707" s="90"/>
      <c r="Q707" s="133">
        <v>658</v>
      </c>
      <c r="R707" s="134"/>
      <c r="S707" s="5" t="s">
        <v>70</v>
      </c>
      <c r="T707" s="8">
        <v>1050</v>
      </c>
      <c r="U707" s="8">
        <v>4</v>
      </c>
      <c r="V707" s="5" t="s">
        <v>23</v>
      </c>
      <c r="W707" s="12">
        <v>2489924</v>
      </c>
      <c r="X707" s="6"/>
      <c r="Y707" s="6"/>
    </row>
    <row r="708" spans="1:25" ht="15" customHeight="1" x14ac:dyDescent="0.2">
      <c r="A708" s="88" t="s">
        <v>878</v>
      </c>
      <c r="B708" s="90"/>
      <c r="C708" s="88" t="s">
        <v>1062</v>
      </c>
      <c r="D708" s="90"/>
      <c r="E708" s="88" t="s">
        <v>1063</v>
      </c>
      <c r="F708" s="89"/>
      <c r="G708" s="89"/>
      <c r="H708" s="89"/>
      <c r="I708" s="90"/>
      <c r="J708" s="88" t="s">
        <v>770</v>
      </c>
      <c r="K708" s="89"/>
      <c r="L708" s="89"/>
      <c r="M708" s="90"/>
      <c r="N708" s="88" t="s">
        <v>26</v>
      </c>
      <c r="O708" s="89"/>
      <c r="P708" s="90"/>
      <c r="Q708" s="133">
        <v>658</v>
      </c>
      <c r="R708" s="134"/>
      <c r="S708" s="5" t="s">
        <v>70</v>
      </c>
      <c r="T708" s="8">
        <v>1050</v>
      </c>
      <c r="U708" s="8">
        <v>4</v>
      </c>
      <c r="V708" s="5" t="s">
        <v>23</v>
      </c>
      <c r="W708" s="12">
        <v>2489924</v>
      </c>
      <c r="X708" s="6"/>
      <c r="Y708" s="6"/>
    </row>
    <row r="709" spans="1:25" ht="15" customHeight="1" x14ac:dyDescent="0.2">
      <c r="A709" s="88" t="s">
        <v>878</v>
      </c>
      <c r="B709" s="90"/>
      <c r="C709" s="88" t="s">
        <v>1062</v>
      </c>
      <c r="D709" s="90"/>
      <c r="E709" s="88" t="s">
        <v>1064</v>
      </c>
      <c r="F709" s="89"/>
      <c r="G709" s="89"/>
      <c r="H709" s="89"/>
      <c r="I709" s="90"/>
      <c r="J709" s="88" t="s">
        <v>770</v>
      </c>
      <c r="K709" s="89"/>
      <c r="L709" s="89"/>
      <c r="M709" s="90"/>
      <c r="N709" s="88" t="s">
        <v>26</v>
      </c>
      <c r="O709" s="89"/>
      <c r="P709" s="90"/>
      <c r="Q709" s="133">
        <v>658</v>
      </c>
      <c r="R709" s="134"/>
      <c r="S709" s="5" t="s">
        <v>70</v>
      </c>
      <c r="T709" s="8">
        <v>1050</v>
      </c>
      <c r="U709" s="8">
        <v>4</v>
      </c>
      <c r="V709" s="5" t="s">
        <v>23</v>
      </c>
      <c r="W709" s="12">
        <v>2263567</v>
      </c>
      <c r="X709" s="6"/>
      <c r="Y709" s="6"/>
    </row>
    <row r="710" spans="1:25" ht="15" customHeight="1" x14ac:dyDescent="0.2">
      <c r="A710" s="88" t="s">
        <v>878</v>
      </c>
      <c r="B710" s="90"/>
      <c r="C710" s="88" t="s">
        <v>1065</v>
      </c>
      <c r="D710" s="90"/>
      <c r="E710" s="88" t="s">
        <v>1066</v>
      </c>
      <c r="F710" s="89"/>
      <c r="G710" s="89"/>
      <c r="H710" s="89"/>
      <c r="I710" s="90"/>
      <c r="J710" s="88" t="s">
        <v>770</v>
      </c>
      <c r="K710" s="89"/>
      <c r="L710" s="89"/>
      <c r="M710" s="90"/>
      <c r="N710" s="88" t="s">
        <v>26</v>
      </c>
      <c r="O710" s="89"/>
      <c r="P710" s="90"/>
      <c r="Q710" s="133">
        <v>658</v>
      </c>
      <c r="R710" s="134"/>
      <c r="S710" s="5" t="s">
        <v>814</v>
      </c>
      <c r="T710" s="8">
        <v>950</v>
      </c>
      <c r="U710" s="8">
        <v>4</v>
      </c>
      <c r="V710" s="5" t="s">
        <v>23</v>
      </c>
      <c r="W710" s="12">
        <v>2783349</v>
      </c>
      <c r="X710" s="6"/>
      <c r="Y710" s="6"/>
    </row>
    <row r="711" spans="1:25" ht="15" customHeight="1" x14ac:dyDescent="0.2">
      <c r="A711" s="88" t="s">
        <v>878</v>
      </c>
      <c r="B711" s="90"/>
      <c r="C711" s="88" t="s">
        <v>1067</v>
      </c>
      <c r="D711" s="90"/>
      <c r="E711" s="88" t="s">
        <v>1068</v>
      </c>
      <c r="F711" s="89"/>
      <c r="G711" s="89"/>
      <c r="H711" s="89"/>
      <c r="I711" s="90"/>
      <c r="J711" s="88" t="s">
        <v>770</v>
      </c>
      <c r="K711" s="89"/>
      <c r="L711" s="89"/>
      <c r="M711" s="90"/>
      <c r="N711" s="88" t="s">
        <v>26</v>
      </c>
      <c r="O711" s="89"/>
      <c r="P711" s="90"/>
      <c r="Q711" s="133">
        <v>658</v>
      </c>
      <c r="R711" s="134"/>
      <c r="S711" s="5" t="s">
        <v>814</v>
      </c>
      <c r="T711" s="8">
        <v>1170</v>
      </c>
      <c r="U711" s="8">
        <v>4</v>
      </c>
      <c r="V711" s="5" t="s">
        <v>23</v>
      </c>
      <c r="W711" s="12">
        <v>2800116</v>
      </c>
      <c r="X711" s="6"/>
      <c r="Y711" s="6"/>
    </row>
    <row r="712" spans="1:25" ht="15" customHeight="1" x14ac:dyDescent="0.2">
      <c r="A712" s="88" t="s">
        <v>878</v>
      </c>
      <c r="B712" s="90"/>
      <c r="C712" s="88" t="s">
        <v>1069</v>
      </c>
      <c r="D712" s="90"/>
      <c r="E712" s="88" t="s">
        <v>1070</v>
      </c>
      <c r="F712" s="89"/>
      <c r="G712" s="89"/>
      <c r="H712" s="89"/>
      <c r="I712" s="90"/>
      <c r="J712" s="88" t="s">
        <v>770</v>
      </c>
      <c r="K712" s="89"/>
      <c r="L712" s="89"/>
      <c r="M712" s="90"/>
      <c r="N712" s="88" t="s">
        <v>26</v>
      </c>
      <c r="O712" s="89"/>
      <c r="P712" s="90"/>
      <c r="Q712" s="133">
        <v>658</v>
      </c>
      <c r="R712" s="134"/>
      <c r="S712" s="5" t="s">
        <v>814</v>
      </c>
      <c r="T712" s="8">
        <v>1200</v>
      </c>
      <c r="U712" s="8">
        <v>4</v>
      </c>
      <c r="V712" s="5" t="s">
        <v>23</v>
      </c>
      <c r="W712" s="12">
        <v>2682746</v>
      </c>
      <c r="X712" s="6"/>
      <c r="Y712" s="6"/>
    </row>
    <row r="713" spans="1:25" ht="15" customHeight="1" x14ac:dyDescent="0.2">
      <c r="A713" s="88" t="s">
        <v>878</v>
      </c>
      <c r="B713" s="90"/>
      <c r="C713" s="88" t="s">
        <v>1071</v>
      </c>
      <c r="D713" s="90"/>
      <c r="E713" s="88" t="s">
        <v>1072</v>
      </c>
      <c r="F713" s="89"/>
      <c r="G713" s="89"/>
      <c r="H713" s="89"/>
      <c r="I713" s="90"/>
      <c r="J713" s="88" t="s">
        <v>887</v>
      </c>
      <c r="K713" s="89"/>
      <c r="L713" s="89"/>
      <c r="M713" s="90"/>
      <c r="N713" s="88" t="s">
        <v>26</v>
      </c>
      <c r="O713" s="89"/>
      <c r="P713" s="90"/>
      <c r="Q713" s="133">
        <v>658</v>
      </c>
      <c r="R713" s="134"/>
      <c r="S713" s="5" t="s">
        <v>814</v>
      </c>
      <c r="T713" s="8">
        <v>1190</v>
      </c>
      <c r="U713" s="8">
        <v>4</v>
      </c>
      <c r="V713" s="5" t="s">
        <v>23</v>
      </c>
      <c r="W713" s="12">
        <v>3336665</v>
      </c>
      <c r="X713" s="6"/>
      <c r="Y713" s="6"/>
    </row>
    <row r="714" spans="1:25" ht="15" customHeight="1" x14ac:dyDescent="0.2">
      <c r="A714" s="88" t="s">
        <v>878</v>
      </c>
      <c r="B714" s="90"/>
      <c r="C714" s="88" t="s">
        <v>1071</v>
      </c>
      <c r="D714" s="90"/>
      <c r="E714" s="88" t="s">
        <v>1073</v>
      </c>
      <c r="F714" s="89"/>
      <c r="G714" s="89"/>
      <c r="H714" s="89"/>
      <c r="I714" s="90"/>
      <c r="J714" s="88" t="s">
        <v>770</v>
      </c>
      <c r="K714" s="89"/>
      <c r="L714" s="89"/>
      <c r="M714" s="90"/>
      <c r="N714" s="88" t="s">
        <v>26</v>
      </c>
      <c r="O714" s="89"/>
      <c r="P714" s="90"/>
      <c r="Q714" s="133">
        <v>658</v>
      </c>
      <c r="R714" s="134"/>
      <c r="S714" s="5" t="s">
        <v>814</v>
      </c>
      <c r="T714" s="8">
        <v>1180</v>
      </c>
      <c r="U714" s="8">
        <v>4</v>
      </c>
      <c r="V714" s="5" t="s">
        <v>23</v>
      </c>
      <c r="W714" s="12">
        <v>3403734</v>
      </c>
      <c r="X714" s="6"/>
      <c r="Y714" s="6"/>
    </row>
    <row r="715" spans="1:25" ht="15" customHeight="1" x14ac:dyDescent="0.2">
      <c r="A715" s="88" t="s">
        <v>878</v>
      </c>
      <c r="B715" s="90"/>
      <c r="C715" s="88" t="s">
        <v>1071</v>
      </c>
      <c r="D715" s="90"/>
      <c r="E715" s="88" t="s">
        <v>1074</v>
      </c>
      <c r="F715" s="89"/>
      <c r="G715" s="89"/>
      <c r="H715" s="89"/>
      <c r="I715" s="90"/>
      <c r="J715" s="88" t="s">
        <v>770</v>
      </c>
      <c r="K715" s="89"/>
      <c r="L715" s="89"/>
      <c r="M715" s="90"/>
      <c r="N715" s="88" t="s">
        <v>26</v>
      </c>
      <c r="O715" s="89"/>
      <c r="P715" s="90"/>
      <c r="Q715" s="133">
        <v>658</v>
      </c>
      <c r="R715" s="134"/>
      <c r="S715" s="5" t="s">
        <v>814</v>
      </c>
      <c r="T715" s="8">
        <v>1180</v>
      </c>
      <c r="U715" s="8">
        <v>4</v>
      </c>
      <c r="V715" s="5" t="s">
        <v>23</v>
      </c>
      <c r="W715" s="12">
        <v>2716280</v>
      </c>
      <c r="X715" s="6"/>
      <c r="Y715" s="6"/>
    </row>
    <row r="716" spans="1:25" ht="15" customHeight="1" x14ac:dyDescent="0.2">
      <c r="A716" s="88" t="s">
        <v>878</v>
      </c>
      <c r="B716" s="90"/>
      <c r="C716" s="88" t="s">
        <v>1075</v>
      </c>
      <c r="D716" s="90"/>
      <c r="E716" s="88" t="s">
        <v>1074</v>
      </c>
      <c r="F716" s="89"/>
      <c r="G716" s="89"/>
      <c r="H716" s="89"/>
      <c r="I716" s="90"/>
      <c r="J716" s="88" t="s">
        <v>770</v>
      </c>
      <c r="K716" s="89"/>
      <c r="L716" s="89"/>
      <c r="M716" s="90"/>
      <c r="N716" s="88" t="s">
        <v>26</v>
      </c>
      <c r="O716" s="89"/>
      <c r="P716" s="90"/>
      <c r="Q716" s="133">
        <v>658</v>
      </c>
      <c r="R716" s="134"/>
      <c r="S716" s="5" t="s">
        <v>814</v>
      </c>
      <c r="T716" s="8">
        <v>1180</v>
      </c>
      <c r="U716" s="8">
        <v>4</v>
      </c>
      <c r="V716" s="5" t="s">
        <v>23</v>
      </c>
      <c r="W716" s="12">
        <v>2716280</v>
      </c>
      <c r="X716" s="6"/>
      <c r="Y716" s="6"/>
    </row>
    <row r="717" spans="1:25" ht="15" customHeight="1" x14ac:dyDescent="0.2">
      <c r="A717" s="88" t="s">
        <v>878</v>
      </c>
      <c r="B717" s="90"/>
      <c r="C717" s="88" t="s">
        <v>1076</v>
      </c>
      <c r="D717" s="90"/>
      <c r="E717" s="88" t="s">
        <v>1072</v>
      </c>
      <c r="F717" s="89"/>
      <c r="G717" s="89"/>
      <c r="H717" s="89"/>
      <c r="I717" s="90"/>
      <c r="J717" s="88" t="s">
        <v>770</v>
      </c>
      <c r="K717" s="89"/>
      <c r="L717" s="89"/>
      <c r="M717" s="90"/>
      <c r="N717" s="88" t="s">
        <v>26</v>
      </c>
      <c r="O717" s="89"/>
      <c r="P717" s="90"/>
      <c r="Q717" s="133">
        <v>658</v>
      </c>
      <c r="R717" s="134"/>
      <c r="S717" s="5" t="s">
        <v>814</v>
      </c>
      <c r="T717" s="8">
        <v>1200</v>
      </c>
      <c r="U717" s="8">
        <v>4</v>
      </c>
      <c r="V717" s="5" t="s">
        <v>23</v>
      </c>
      <c r="W717" s="12">
        <v>3495953</v>
      </c>
      <c r="X717" s="6"/>
      <c r="Y717" s="6"/>
    </row>
    <row r="718" spans="1:25" ht="15" customHeight="1" x14ac:dyDescent="0.2">
      <c r="A718" s="88" t="s">
        <v>878</v>
      </c>
      <c r="B718" s="90"/>
      <c r="C718" s="88" t="s">
        <v>1077</v>
      </c>
      <c r="D718" s="90"/>
      <c r="E718" s="88" t="s">
        <v>1078</v>
      </c>
      <c r="F718" s="89"/>
      <c r="G718" s="89"/>
      <c r="H718" s="89"/>
      <c r="I718" s="90"/>
      <c r="J718" s="88" t="s">
        <v>770</v>
      </c>
      <c r="K718" s="89"/>
      <c r="L718" s="89"/>
      <c r="M718" s="90"/>
      <c r="N718" s="88" t="s">
        <v>26</v>
      </c>
      <c r="O718" s="89"/>
      <c r="P718" s="90"/>
      <c r="Q718" s="133">
        <v>658</v>
      </c>
      <c r="R718" s="134"/>
      <c r="S718" s="5" t="s">
        <v>814</v>
      </c>
      <c r="T718" s="8">
        <v>1210</v>
      </c>
      <c r="U718" s="8">
        <v>4</v>
      </c>
      <c r="V718" s="5" t="s">
        <v>23</v>
      </c>
      <c r="W718" s="12">
        <v>3034856</v>
      </c>
      <c r="X718" s="6"/>
      <c r="Y718" s="6"/>
    </row>
    <row r="719" spans="1:25" ht="15" customHeight="1" x14ac:dyDescent="0.2">
      <c r="A719" s="88" t="s">
        <v>878</v>
      </c>
      <c r="B719" s="90"/>
      <c r="C719" s="88" t="s">
        <v>1079</v>
      </c>
      <c r="D719" s="90"/>
      <c r="E719" s="88" t="s">
        <v>1080</v>
      </c>
      <c r="F719" s="89"/>
      <c r="G719" s="89"/>
      <c r="H719" s="89"/>
      <c r="I719" s="90"/>
      <c r="J719" s="88" t="s">
        <v>770</v>
      </c>
      <c r="K719" s="89"/>
      <c r="L719" s="89"/>
      <c r="M719" s="90"/>
      <c r="N719" s="88" t="s">
        <v>26</v>
      </c>
      <c r="O719" s="89"/>
      <c r="P719" s="90"/>
      <c r="Q719" s="133">
        <v>658</v>
      </c>
      <c r="R719" s="134"/>
      <c r="S719" s="5" t="s">
        <v>814</v>
      </c>
      <c r="T719" s="8">
        <v>1210</v>
      </c>
      <c r="U719" s="8">
        <v>4</v>
      </c>
      <c r="V719" s="5" t="s">
        <v>23</v>
      </c>
      <c r="W719" s="12">
        <v>2196498</v>
      </c>
      <c r="X719" s="6"/>
      <c r="Y719" s="6"/>
    </row>
    <row r="720" spans="1:25" ht="15" customHeight="1" x14ac:dyDescent="0.2">
      <c r="A720" s="88" t="s">
        <v>878</v>
      </c>
      <c r="B720" s="90"/>
      <c r="C720" s="88" t="s">
        <v>1081</v>
      </c>
      <c r="D720" s="90"/>
      <c r="E720" s="88" t="s">
        <v>1082</v>
      </c>
      <c r="F720" s="89"/>
      <c r="G720" s="89"/>
      <c r="H720" s="89"/>
      <c r="I720" s="90"/>
      <c r="J720" s="88" t="s">
        <v>770</v>
      </c>
      <c r="K720" s="89"/>
      <c r="L720" s="89"/>
      <c r="M720" s="90"/>
      <c r="N720" s="88" t="s">
        <v>26</v>
      </c>
      <c r="O720" s="89"/>
      <c r="P720" s="90"/>
      <c r="Q720" s="133">
        <v>658</v>
      </c>
      <c r="R720" s="134"/>
      <c r="S720" s="5" t="s">
        <v>814</v>
      </c>
      <c r="T720" s="8">
        <v>1220</v>
      </c>
      <c r="U720" s="8">
        <v>4</v>
      </c>
      <c r="V720" s="5" t="s">
        <v>23</v>
      </c>
      <c r="W720" s="12">
        <v>2875568</v>
      </c>
      <c r="X720" s="6"/>
      <c r="Y720" s="6"/>
    </row>
    <row r="721" spans="1:25" ht="15" customHeight="1" x14ac:dyDescent="0.2">
      <c r="A721" s="88" t="s">
        <v>878</v>
      </c>
      <c r="B721" s="90"/>
      <c r="C721" s="88" t="s">
        <v>1083</v>
      </c>
      <c r="D721" s="90"/>
      <c r="E721" s="88" t="s">
        <v>1082</v>
      </c>
      <c r="F721" s="89"/>
      <c r="G721" s="89"/>
      <c r="H721" s="89"/>
      <c r="I721" s="90"/>
      <c r="J721" s="88" t="s">
        <v>770</v>
      </c>
      <c r="K721" s="89"/>
      <c r="L721" s="89"/>
      <c r="M721" s="90"/>
      <c r="N721" s="88" t="s">
        <v>26</v>
      </c>
      <c r="O721" s="89"/>
      <c r="P721" s="90"/>
      <c r="Q721" s="133">
        <v>658</v>
      </c>
      <c r="R721" s="134"/>
      <c r="S721" s="5" t="s">
        <v>814</v>
      </c>
      <c r="T721" s="8">
        <v>1220</v>
      </c>
      <c r="U721" s="8">
        <v>4</v>
      </c>
      <c r="V721" s="5" t="s">
        <v>23</v>
      </c>
      <c r="W721" s="12">
        <v>3118692</v>
      </c>
      <c r="X721" s="6"/>
      <c r="Y721" s="6"/>
    </row>
    <row r="722" spans="1:25" ht="15" customHeight="1" x14ac:dyDescent="0.2">
      <c r="A722" s="88" t="s">
        <v>878</v>
      </c>
      <c r="B722" s="90"/>
      <c r="C722" s="88" t="s">
        <v>1084</v>
      </c>
      <c r="D722" s="90"/>
      <c r="E722" s="88" t="s">
        <v>1085</v>
      </c>
      <c r="F722" s="89"/>
      <c r="G722" s="89"/>
      <c r="H722" s="89"/>
      <c r="I722" s="90"/>
      <c r="J722" s="88" t="s">
        <v>770</v>
      </c>
      <c r="K722" s="89"/>
      <c r="L722" s="89"/>
      <c r="M722" s="90"/>
      <c r="N722" s="88" t="s">
        <v>26</v>
      </c>
      <c r="O722" s="89"/>
      <c r="P722" s="90"/>
      <c r="Q722" s="133">
        <v>658</v>
      </c>
      <c r="R722" s="134"/>
      <c r="S722" s="5" t="s">
        <v>814</v>
      </c>
      <c r="T722" s="8">
        <v>1160</v>
      </c>
      <c r="U722" s="8">
        <v>4</v>
      </c>
      <c r="V722" s="5" t="s">
        <v>23</v>
      </c>
      <c r="W722" s="12">
        <v>3034018</v>
      </c>
      <c r="X722" s="6"/>
      <c r="Y722" s="6"/>
    </row>
    <row r="723" spans="1:25" ht="15" customHeight="1" x14ac:dyDescent="0.2">
      <c r="A723" s="88" t="s">
        <v>878</v>
      </c>
      <c r="B723" s="90"/>
      <c r="C723" s="88" t="s">
        <v>1086</v>
      </c>
      <c r="D723" s="90"/>
      <c r="E723" s="88" t="s">
        <v>1087</v>
      </c>
      <c r="F723" s="89"/>
      <c r="G723" s="89"/>
      <c r="H723" s="89"/>
      <c r="I723" s="90"/>
      <c r="J723" s="88" t="s">
        <v>770</v>
      </c>
      <c r="K723" s="89"/>
      <c r="L723" s="89"/>
      <c r="M723" s="90"/>
      <c r="N723" s="88" t="s">
        <v>26</v>
      </c>
      <c r="O723" s="89"/>
      <c r="P723" s="90"/>
      <c r="Q723" s="133">
        <v>658</v>
      </c>
      <c r="R723" s="134"/>
      <c r="S723" s="5" t="s">
        <v>814</v>
      </c>
      <c r="T723" s="8">
        <v>1180</v>
      </c>
      <c r="U723" s="8">
        <v>4</v>
      </c>
      <c r="V723" s="5" t="s">
        <v>23</v>
      </c>
      <c r="W723" s="12">
        <v>3034856</v>
      </c>
      <c r="X723" s="6"/>
      <c r="Y723" s="6"/>
    </row>
    <row r="724" spans="1:25" ht="15" customHeight="1" x14ac:dyDescent="0.2">
      <c r="A724" s="88" t="s">
        <v>878</v>
      </c>
      <c r="B724" s="90"/>
      <c r="C724" s="88" t="s">
        <v>1088</v>
      </c>
      <c r="D724" s="90"/>
      <c r="E724" s="88" t="s">
        <v>1072</v>
      </c>
      <c r="F724" s="89"/>
      <c r="G724" s="89"/>
      <c r="H724" s="89"/>
      <c r="I724" s="90"/>
      <c r="J724" s="88" t="s">
        <v>770</v>
      </c>
      <c r="K724" s="89"/>
      <c r="L724" s="89"/>
      <c r="M724" s="90"/>
      <c r="N724" s="88" t="s">
        <v>26</v>
      </c>
      <c r="O724" s="89"/>
      <c r="P724" s="90"/>
      <c r="Q724" s="133">
        <v>658</v>
      </c>
      <c r="R724" s="134"/>
      <c r="S724" s="5" t="s">
        <v>814</v>
      </c>
      <c r="T724" s="8">
        <v>1190</v>
      </c>
      <c r="U724" s="8">
        <v>4</v>
      </c>
      <c r="V724" s="5" t="s">
        <v>23</v>
      </c>
      <c r="W724" s="12">
        <v>3227679</v>
      </c>
      <c r="X724" s="6"/>
      <c r="Y724" s="6"/>
    </row>
    <row r="725" spans="1:25" ht="15" customHeight="1" x14ac:dyDescent="0.2">
      <c r="A725" s="88" t="s">
        <v>878</v>
      </c>
      <c r="B725" s="90"/>
      <c r="C725" s="88" t="s">
        <v>1089</v>
      </c>
      <c r="D725" s="90"/>
      <c r="E725" s="88" t="s">
        <v>1087</v>
      </c>
      <c r="F725" s="89"/>
      <c r="G725" s="89"/>
      <c r="H725" s="89"/>
      <c r="I725" s="90"/>
      <c r="J725" s="88" t="s">
        <v>770</v>
      </c>
      <c r="K725" s="89"/>
      <c r="L725" s="89"/>
      <c r="M725" s="90"/>
      <c r="N725" s="88" t="s">
        <v>26</v>
      </c>
      <c r="O725" s="89"/>
      <c r="P725" s="90"/>
      <c r="Q725" s="133">
        <v>658</v>
      </c>
      <c r="R725" s="134"/>
      <c r="S725" s="5" t="s">
        <v>814</v>
      </c>
      <c r="T725" s="8">
        <v>1180</v>
      </c>
      <c r="U725" s="8">
        <v>5</v>
      </c>
      <c r="V725" s="5" t="s">
        <v>23</v>
      </c>
      <c r="W725" s="12">
        <v>2917486</v>
      </c>
      <c r="X725" s="6"/>
      <c r="Y725" s="6"/>
    </row>
    <row r="726" spans="1:25" ht="15" customHeight="1" x14ac:dyDescent="0.2">
      <c r="A726" s="88" t="s">
        <v>878</v>
      </c>
      <c r="B726" s="90"/>
      <c r="C726" s="88" t="s">
        <v>1089</v>
      </c>
      <c r="D726" s="90"/>
      <c r="E726" s="88" t="s">
        <v>1066</v>
      </c>
      <c r="F726" s="89"/>
      <c r="G726" s="89"/>
      <c r="H726" s="89"/>
      <c r="I726" s="90"/>
      <c r="J726" s="88" t="s">
        <v>770</v>
      </c>
      <c r="K726" s="89"/>
      <c r="L726" s="89"/>
      <c r="M726" s="90"/>
      <c r="N726" s="88" t="s">
        <v>26</v>
      </c>
      <c r="O726" s="89"/>
      <c r="P726" s="90"/>
      <c r="Q726" s="133">
        <v>658</v>
      </c>
      <c r="R726" s="134"/>
      <c r="S726" s="5" t="s">
        <v>814</v>
      </c>
      <c r="T726" s="8">
        <v>1320</v>
      </c>
      <c r="U726" s="8">
        <v>4</v>
      </c>
      <c r="V726" s="5" t="s">
        <v>23</v>
      </c>
      <c r="W726" s="12">
        <v>2800116</v>
      </c>
      <c r="X726" s="6"/>
      <c r="Y726" s="6"/>
    </row>
    <row r="727" spans="1:25" ht="15" customHeight="1" x14ac:dyDescent="0.2">
      <c r="A727" s="88" t="s">
        <v>878</v>
      </c>
      <c r="B727" s="90"/>
      <c r="C727" s="88" t="s">
        <v>1089</v>
      </c>
      <c r="D727" s="90"/>
      <c r="E727" s="88" t="s">
        <v>1070</v>
      </c>
      <c r="F727" s="89"/>
      <c r="G727" s="89"/>
      <c r="H727" s="89"/>
      <c r="I727" s="90"/>
      <c r="J727" s="88" t="s">
        <v>770</v>
      </c>
      <c r="K727" s="89"/>
      <c r="L727" s="89"/>
      <c r="M727" s="90"/>
      <c r="N727" s="88" t="s">
        <v>26</v>
      </c>
      <c r="O727" s="89"/>
      <c r="P727" s="90"/>
      <c r="Q727" s="133">
        <v>658</v>
      </c>
      <c r="R727" s="134"/>
      <c r="S727" s="5" t="s">
        <v>814</v>
      </c>
      <c r="T727" s="8">
        <v>1200</v>
      </c>
      <c r="U727" s="8">
        <v>4</v>
      </c>
      <c r="V727" s="5" t="s">
        <v>23</v>
      </c>
      <c r="W727" s="12">
        <v>2682746</v>
      </c>
      <c r="X727" s="6"/>
      <c r="Y727" s="6"/>
    </row>
    <row r="728" spans="1:25" ht="15" customHeight="1" x14ac:dyDescent="0.2">
      <c r="A728" s="88" t="s">
        <v>878</v>
      </c>
      <c r="B728" s="90"/>
      <c r="C728" s="88" t="s">
        <v>1090</v>
      </c>
      <c r="D728" s="90"/>
      <c r="E728" s="88" t="s">
        <v>1091</v>
      </c>
      <c r="F728" s="89"/>
      <c r="G728" s="89"/>
      <c r="H728" s="89"/>
      <c r="I728" s="90"/>
      <c r="J728" s="88" t="s">
        <v>770</v>
      </c>
      <c r="K728" s="89"/>
      <c r="L728" s="89"/>
      <c r="M728" s="90"/>
      <c r="N728" s="88" t="s">
        <v>26</v>
      </c>
      <c r="O728" s="89"/>
      <c r="P728" s="90"/>
      <c r="Q728" s="133">
        <v>658</v>
      </c>
      <c r="R728" s="134"/>
      <c r="S728" s="5" t="s">
        <v>814</v>
      </c>
      <c r="T728" s="8">
        <v>1180</v>
      </c>
      <c r="U728" s="8">
        <v>4</v>
      </c>
      <c r="V728" s="5" t="s">
        <v>23</v>
      </c>
      <c r="W728" s="12">
        <v>3277980</v>
      </c>
      <c r="X728" s="6"/>
      <c r="Y728" s="6"/>
    </row>
    <row r="729" spans="1:25" ht="15" customHeight="1" x14ac:dyDescent="0.2">
      <c r="A729" s="88" t="s">
        <v>878</v>
      </c>
      <c r="B729" s="90"/>
      <c r="C729" s="88" t="s">
        <v>1092</v>
      </c>
      <c r="D729" s="90"/>
      <c r="E729" s="88" t="s">
        <v>1093</v>
      </c>
      <c r="F729" s="89"/>
      <c r="G729" s="89"/>
      <c r="H729" s="89"/>
      <c r="I729" s="90"/>
      <c r="J729" s="88" t="s">
        <v>770</v>
      </c>
      <c r="K729" s="89"/>
      <c r="L729" s="89"/>
      <c r="M729" s="90"/>
      <c r="N729" s="88" t="s">
        <v>26</v>
      </c>
      <c r="O729" s="89"/>
      <c r="P729" s="90"/>
      <c r="Q729" s="133">
        <v>658</v>
      </c>
      <c r="R729" s="134"/>
      <c r="S729" s="5" t="s">
        <v>814</v>
      </c>
      <c r="T729" s="8">
        <v>1210</v>
      </c>
      <c r="U729" s="8">
        <v>4</v>
      </c>
      <c r="V729" s="5" t="s">
        <v>23</v>
      </c>
      <c r="W729" s="12">
        <v>2875568</v>
      </c>
      <c r="X729" s="6"/>
      <c r="Y729" s="6"/>
    </row>
    <row r="730" spans="1:25" ht="15" customHeight="1" x14ac:dyDescent="0.2">
      <c r="A730" s="88" t="s">
        <v>878</v>
      </c>
      <c r="B730" s="90"/>
      <c r="C730" s="88" t="s">
        <v>1094</v>
      </c>
      <c r="D730" s="90"/>
      <c r="E730" s="88" t="s">
        <v>1095</v>
      </c>
      <c r="F730" s="89"/>
      <c r="G730" s="89"/>
      <c r="H730" s="89"/>
      <c r="I730" s="90"/>
      <c r="J730" s="88" t="s">
        <v>770</v>
      </c>
      <c r="K730" s="89"/>
      <c r="L730" s="89"/>
      <c r="M730" s="90"/>
      <c r="N730" s="88" t="s">
        <v>26</v>
      </c>
      <c r="O730" s="89"/>
      <c r="P730" s="90"/>
      <c r="Q730" s="133">
        <v>658</v>
      </c>
      <c r="R730" s="134"/>
      <c r="S730" s="5" t="s">
        <v>814</v>
      </c>
      <c r="T730" s="8">
        <v>1130</v>
      </c>
      <c r="U730" s="8">
        <v>4</v>
      </c>
      <c r="V730" s="5" t="s">
        <v>23</v>
      </c>
      <c r="W730" s="12">
        <v>2582143</v>
      </c>
      <c r="X730" s="6"/>
      <c r="Y730" s="6"/>
    </row>
    <row r="731" spans="1:25" ht="15" customHeight="1" x14ac:dyDescent="0.2">
      <c r="A731" s="88" t="s">
        <v>878</v>
      </c>
      <c r="B731" s="90"/>
      <c r="C731" s="88" t="s">
        <v>1094</v>
      </c>
      <c r="D731" s="90"/>
      <c r="E731" s="88" t="s">
        <v>1093</v>
      </c>
      <c r="F731" s="89"/>
      <c r="G731" s="89"/>
      <c r="H731" s="89"/>
      <c r="I731" s="90"/>
      <c r="J731" s="88" t="s">
        <v>770</v>
      </c>
      <c r="K731" s="89"/>
      <c r="L731" s="89"/>
      <c r="M731" s="90"/>
      <c r="N731" s="88" t="s">
        <v>26</v>
      </c>
      <c r="O731" s="89"/>
      <c r="P731" s="90"/>
      <c r="Q731" s="133">
        <v>658</v>
      </c>
      <c r="R731" s="134"/>
      <c r="S731" s="5" t="s">
        <v>814</v>
      </c>
      <c r="T731" s="8">
        <v>1210</v>
      </c>
      <c r="U731" s="8">
        <v>4</v>
      </c>
      <c r="V731" s="5" t="s">
        <v>23</v>
      </c>
      <c r="W731" s="12">
        <v>2766582</v>
      </c>
      <c r="X731" s="6"/>
      <c r="Y731" s="6"/>
    </row>
    <row r="732" spans="1:25" ht="15" customHeight="1" x14ac:dyDescent="0.2">
      <c r="A732" s="88" t="s">
        <v>878</v>
      </c>
      <c r="B732" s="90"/>
      <c r="C732" s="88" t="s">
        <v>1096</v>
      </c>
      <c r="D732" s="90"/>
      <c r="E732" s="88" t="s">
        <v>1093</v>
      </c>
      <c r="F732" s="89"/>
      <c r="G732" s="89"/>
      <c r="H732" s="89"/>
      <c r="I732" s="90"/>
      <c r="J732" s="88" t="s">
        <v>770</v>
      </c>
      <c r="K732" s="89"/>
      <c r="L732" s="89"/>
      <c r="M732" s="90"/>
      <c r="N732" s="88" t="s">
        <v>26</v>
      </c>
      <c r="O732" s="89"/>
      <c r="P732" s="90"/>
      <c r="Q732" s="133">
        <v>658</v>
      </c>
      <c r="R732" s="134"/>
      <c r="S732" s="5" t="s">
        <v>814</v>
      </c>
      <c r="T732" s="8">
        <v>1150</v>
      </c>
      <c r="U732" s="8">
        <v>4</v>
      </c>
      <c r="V732" s="5" t="s">
        <v>23</v>
      </c>
      <c r="W732" s="12">
        <v>2204882</v>
      </c>
      <c r="X732" s="6"/>
      <c r="Y732" s="6"/>
    </row>
    <row r="733" spans="1:25" ht="15" customHeight="1" x14ac:dyDescent="0.2">
      <c r="A733" s="88" t="s">
        <v>878</v>
      </c>
      <c r="B733" s="90"/>
      <c r="C733" s="88" t="s">
        <v>1097</v>
      </c>
      <c r="D733" s="90"/>
      <c r="E733" s="88" t="s">
        <v>1098</v>
      </c>
      <c r="F733" s="89"/>
      <c r="G733" s="89"/>
      <c r="H733" s="89"/>
      <c r="I733" s="90"/>
      <c r="J733" s="88" t="s">
        <v>770</v>
      </c>
      <c r="K733" s="89"/>
      <c r="L733" s="89"/>
      <c r="M733" s="90"/>
      <c r="N733" s="88" t="s">
        <v>26</v>
      </c>
      <c r="O733" s="89"/>
      <c r="P733" s="90"/>
      <c r="Q733" s="133">
        <v>658</v>
      </c>
      <c r="R733" s="134"/>
      <c r="S733" s="5" t="s">
        <v>814</v>
      </c>
      <c r="T733" s="8">
        <v>1170</v>
      </c>
      <c r="U733" s="8">
        <v>4</v>
      </c>
      <c r="V733" s="5" t="s">
        <v>23</v>
      </c>
      <c r="W733" s="12">
        <v>2833650</v>
      </c>
      <c r="X733" s="6"/>
      <c r="Y733" s="6"/>
    </row>
    <row r="734" spans="1:25" ht="15" customHeight="1" x14ac:dyDescent="0.2">
      <c r="A734" s="88" t="s">
        <v>878</v>
      </c>
      <c r="B734" s="90"/>
      <c r="C734" s="88" t="s">
        <v>1099</v>
      </c>
      <c r="D734" s="90"/>
      <c r="E734" s="88" t="s">
        <v>1100</v>
      </c>
      <c r="F734" s="89"/>
      <c r="G734" s="89"/>
      <c r="H734" s="89"/>
      <c r="I734" s="90"/>
      <c r="J734" s="88" t="s">
        <v>770</v>
      </c>
      <c r="K734" s="89"/>
      <c r="L734" s="89"/>
      <c r="M734" s="90"/>
      <c r="N734" s="88" t="s">
        <v>26</v>
      </c>
      <c r="O734" s="89"/>
      <c r="P734" s="90"/>
      <c r="Q734" s="133">
        <v>996</v>
      </c>
      <c r="R734" s="134"/>
      <c r="S734" s="5" t="s">
        <v>1101</v>
      </c>
      <c r="T734" s="8">
        <v>1385</v>
      </c>
      <c r="U734" s="8">
        <v>5</v>
      </c>
      <c r="V734" s="5" t="s">
        <v>23</v>
      </c>
      <c r="W734" s="12">
        <v>3430561</v>
      </c>
      <c r="X734" s="6"/>
      <c r="Y734" s="6"/>
    </row>
    <row r="735" spans="1:25" ht="15" customHeight="1" x14ac:dyDescent="0.2">
      <c r="A735" s="88" t="s">
        <v>878</v>
      </c>
      <c r="B735" s="90"/>
      <c r="C735" s="88" t="s">
        <v>1099</v>
      </c>
      <c r="D735" s="90"/>
      <c r="E735" s="88" t="s">
        <v>1102</v>
      </c>
      <c r="F735" s="89"/>
      <c r="G735" s="89"/>
      <c r="H735" s="89"/>
      <c r="I735" s="90"/>
      <c r="J735" s="88" t="s">
        <v>770</v>
      </c>
      <c r="K735" s="89"/>
      <c r="L735" s="89"/>
      <c r="M735" s="90"/>
      <c r="N735" s="88" t="s">
        <v>26</v>
      </c>
      <c r="O735" s="89"/>
      <c r="P735" s="90"/>
      <c r="Q735" s="133">
        <v>996</v>
      </c>
      <c r="R735" s="134"/>
      <c r="S735" s="5" t="s">
        <v>1101</v>
      </c>
      <c r="T735" s="8">
        <v>1355</v>
      </c>
      <c r="U735" s="8">
        <v>5</v>
      </c>
      <c r="V735" s="5" t="s">
        <v>23</v>
      </c>
      <c r="W735" s="12">
        <v>2923355</v>
      </c>
      <c r="X735" s="6"/>
      <c r="Y735" s="6"/>
    </row>
    <row r="736" spans="1:25" ht="15" customHeight="1" x14ac:dyDescent="0.2">
      <c r="A736" s="88" t="s">
        <v>878</v>
      </c>
      <c r="B736" s="90"/>
      <c r="C736" s="88" t="s">
        <v>1103</v>
      </c>
      <c r="D736" s="90"/>
      <c r="E736" s="88" t="s">
        <v>1100</v>
      </c>
      <c r="F736" s="89"/>
      <c r="G736" s="89"/>
      <c r="H736" s="89"/>
      <c r="I736" s="90"/>
      <c r="J736" s="88" t="s">
        <v>770</v>
      </c>
      <c r="K736" s="89"/>
      <c r="L736" s="89"/>
      <c r="M736" s="90"/>
      <c r="N736" s="88" t="s">
        <v>26</v>
      </c>
      <c r="O736" s="89"/>
      <c r="P736" s="90"/>
      <c r="Q736" s="133">
        <v>996</v>
      </c>
      <c r="R736" s="134"/>
      <c r="S736" s="5" t="s">
        <v>1101</v>
      </c>
      <c r="T736" s="8">
        <v>1385</v>
      </c>
      <c r="U736" s="8">
        <v>5</v>
      </c>
      <c r="V736" s="5" t="s">
        <v>23</v>
      </c>
      <c r="W736" s="12">
        <v>3118692</v>
      </c>
      <c r="X736" s="6"/>
      <c r="Y736" s="6"/>
    </row>
    <row r="737" spans="1:25" ht="15" customHeight="1" x14ac:dyDescent="0.2">
      <c r="A737" s="88" t="s">
        <v>878</v>
      </c>
      <c r="B737" s="90"/>
      <c r="C737" s="88" t="s">
        <v>1103</v>
      </c>
      <c r="D737" s="90"/>
      <c r="E737" s="88" t="s">
        <v>1104</v>
      </c>
      <c r="F737" s="89"/>
      <c r="G737" s="89"/>
      <c r="H737" s="89"/>
      <c r="I737" s="90"/>
      <c r="J737" s="88" t="s">
        <v>770</v>
      </c>
      <c r="K737" s="89"/>
      <c r="L737" s="89"/>
      <c r="M737" s="90"/>
      <c r="N737" s="88" t="s">
        <v>26</v>
      </c>
      <c r="O737" s="89"/>
      <c r="P737" s="90"/>
      <c r="Q737" s="133">
        <v>996</v>
      </c>
      <c r="R737" s="134"/>
      <c r="S737" s="5" t="s">
        <v>1101</v>
      </c>
      <c r="T737" s="8">
        <v>1365</v>
      </c>
      <c r="U737" s="8">
        <v>5</v>
      </c>
      <c r="V737" s="5" t="s">
        <v>23</v>
      </c>
      <c r="W737" s="12">
        <v>3226002</v>
      </c>
      <c r="X737" s="6"/>
      <c r="Y737" s="6"/>
    </row>
    <row r="738" spans="1:25" ht="15" customHeight="1" x14ac:dyDescent="0.2">
      <c r="A738" s="88" t="s">
        <v>878</v>
      </c>
      <c r="B738" s="90"/>
      <c r="C738" s="88" t="s">
        <v>1103</v>
      </c>
      <c r="D738" s="90"/>
      <c r="E738" s="88" t="s">
        <v>1105</v>
      </c>
      <c r="F738" s="89"/>
      <c r="G738" s="89"/>
      <c r="H738" s="89"/>
      <c r="I738" s="90"/>
      <c r="J738" s="88" t="s">
        <v>770</v>
      </c>
      <c r="K738" s="89"/>
      <c r="L738" s="89"/>
      <c r="M738" s="90"/>
      <c r="N738" s="88" t="s">
        <v>26</v>
      </c>
      <c r="O738" s="89"/>
      <c r="P738" s="90"/>
      <c r="Q738" s="133">
        <v>996</v>
      </c>
      <c r="R738" s="134"/>
      <c r="S738" s="5" t="s">
        <v>1101</v>
      </c>
      <c r="T738" s="8">
        <v>1375</v>
      </c>
      <c r="U738" s="8">
        <v>5</v>
      </c>
      <c r="V738" s="5" t="s">
        <v>23</v>
      </c>
      <c r="W738" s="12">
        <v>3051623</v>
      </c>
      <c r="X738" s="6"/>
      <c r="Y738" s="6"/>
    </row>
    <row r="739" spans="1:25" ht="15" customHeight="1" x14ac:dyDescent="0.2">
      <c r="A739" s="88" t="s">
        <v>878</v>
      </c>
      <c r="B739" s="90"/>
      <c r="C739" s="88" t="s">
        <v>1106</v>
      </c>
      <c r="D739" s="90"/>
      <c r="E739" s="88" t="s">
        <v>1105</v>
      </c>
      <c r="F739" s="89"/>
      <c r="G739" s="89"/>
      <c r="H739" s="89"/>
      <c r="I739" s="90"/>
      <c r="J739" s="88" t="s">
        <v>770</v>
      </c>
      <c r="K739" s="89"/>
      <c r="L739" s="89"/>
      <c r="M739" s="90"/>
      <c r="N739" s="88" t="s">
        <v>26</v>
      </c>
      <c r="O739" s="89"/>
      <c r="P739" s="90"/>
      <c r="Q739" s="133">
        <v>996</v>
      </c>
      <c r="R739" s="134"/>
      <c r="S739" s="5" t="s">
        <v>1101</v>
      </c>
      <c r="T739" s="8">
        <v>1375</v>
      </c>
      <c r="U739" s="8">
        <v>5</v>
      </c>
      <c r="V739" s="5" t="s">
        <v>23</v>
      </c>
      <c r="W739" s="12">
        <v>3051623</v>
      </c>
      <c r="X739" s="6"/>
      <c r="Y739" s="6"/>
    </row>
    <row r="740" spans="1:25" ht="15" customHeight="1" x14ac:dyDescent="0.2">
      <c r="A740" s="88" t="s">
        <v>878</v>
      </c>
      <c r="B740" s="90"/>
      <c r="C740" s="88" t="s">
        <v>1107</v>
      </c>
      <c r="D740" s="90"/>
      <c r="E740" s="88" t="s">
        <v>1108</v>
      </c>
      <c r="F740" s="89"/>
      <c r="G740" s="89"/>
      <c r="H740" s="89"/>
      <c r="I740" s="90"/>
      <c r="J740" s="88" t="s">
        <v>770</v>
      </c>
      <c r="K740" s="89"/>
      <c r="L740" s="89"/>
      <c r="M740" s="90"/>
      <c r="N740" s="88" t="s">
        <v>26</v>
      </c>
      <c r="O740" s="89"/>
      <c r="P740" s="90"/>
      <c r="Q740" s="133">
        <v>996</v>
      </c>
      <c r="R740" s="134"/>
      <c r="S740" s="5" t="s">
        <v>1101</v>
      </c>
      <c r="T740" s="8">
        <v>1345</v>
      </c>
      <c r="U740" s="8">
        <v>5</v>
      </c>
      <c r="V740" s="5" t="s">
        <v>23</v>
      </c>
      <c r="W740" s="12">
        <v>2625738</v>
      </c>
      <c r="X740" s="6"/>
      <c r="Y740" s="6"/>
    </row>
    <row r="741" spans="1:25" ht="15" customHeight="1" x14ac:dyDescent="0.2">
      <c r="A741" s="88" t="s">
        <v>878</v>
      </c>
      <c r="B741" s="90"/>
      <c r="C741" s="88" t="s">
        <v>1109</v>
      </c>
      <c r="D741" s="90"/>
      <c r="E741" s="88" t="s">
        <v>1108</v>
      </c>
      <c r="F741" s="89"/>
      <c r="G741" s="89"/>
      <c r="H741" s="89"/>
      <c r="I741" s="90"/>
      <c r="J741" s="88" t="s">
        <v>770</v>
      </c>
      <c r="K741" s="89"/>
      <c r="L741" s="89"/>
      <c r="M741" s="90"/>
      <c r="N741" s="88" t="s">
        <v>26</v>
      </c>
      <c r="O741" s="89"/>
      <c r="P741" s="90"/>
      <c r="Q741" s="133">
        <v>996</v>
      </c>
      <c r="R741" s="134"/>
      <c r="S741" s="5" t="s">
        <v>1101</v>
      </c>
      <c r="T741" s="8">
        <v>1345</v>
      </c>
      <c r="U741" s="8">
        <v>5</v>
      </c>
      <c r="V741" s="5" t="s">
        <v>23</v>
      </c>
      <c r="W741" s="12">
        <v>2615677</v>
      </c>
      <c r="X741" s="6"/>
      <c r="Y741" s="6"/>
    </row>
    <row r="742" spans="1:25" ht="15" customHeight="1" x14ac:dyDescent="0.2">
      <c r="A742" s="88" t="s">
        <v>878</v>
      </c>
      <c r="B742" s="90"/>
      <c r="C742" s="88" t="s">
        <v>1110</v>
      </c>
      <c r="D742" s="90"/>
      <c r="E742" s="88" t="s">
        <v>1111</v>
      </c>
      <c r="F742" s="89"/>
      <c r="G742" s="89"/>
      <c r="H742" s="89"/>
      <c r="I742" s="90"/>
      <c r="J742" s="88" t="s">
        <v>770</v>
      </c>
      <c r="K742" s="89"/>
      <c r="L742" s="89"/>
      <c r="M742" s="90"/>
      <c r="N742" s="88" t="s">
        <v>26</v>
      </c>
      <c r="O742" s="89"/>
      <c r="P742" s="90"/>
      <c r="Q742" s="133">
        <v>658</v>
      </c>
      <c r="R742" s="134"/>
      <c r="S742" s="5" t="s">
        <v>1101</v>
      </c>
      <c r="T742" s="8">
        <v>1240</v>
      </c>
      <c r="U742" s="8">
        <v>4</v>
      </c>
      <c r="V742" s="5" t="s">
        <v>23</v>
      </c>
      <c r="W742" s="12">
        <v>2858801</v>
      </c>
      <c r="X742" s="6"/>
      <c r="Y742" s="6"/>
    </row>
    <row r="743" spans="1:25" ht="15" customHeight="1" x14ac:dyDescent="0.2">
      <c r="A743" s="88" t="s">
        <v>878</v>
      </c>
      <c r="B743" s="90"/>
      <c r="C743" s="88" t="s">
        <v>1112</v>
      </c>
      <c r="D743" s="90"/>
      <c r="E743" s="88" t="s">
        <v>1113</v>
      </c>
      <c r="F743" s="89"/>
      <c r="G743" s="89"/>
      <c r="H743" s="89"/>
      <c r="I743" s="90"/>
      <c r="J743" s="88" t="s">
        <v>770</v>
      </c>
      <c r="K743" s="89"/>
      <c r="L743" s="89"/>
      <c r="M743" s="90"/>
      <c r="N743" s="88" t="s">
        <v>26</v>
      </c>
      <c r="O743" s="89"/>
      <c r="P743" s="90"/>
      <c r="Q743" s="133">
        <v>658</v>
      </c>
      <c r="R743" s="134"/>
      <c r="S743" s="5" t="s">
        <v>1101</v>
      </c>
      <c r="T743" s="8">
        <v>1240</v>
      </c>
      <c r="U743" s="8">
        <v>4</v>
      </c>
      <c r="V743" s="5" t="s">
        <v>23</v>
      </c>
      <c r="W743" s="12">
        <v>2665979</v>
      </c>
      <c r="X743" s="6"/>
      <c r="Y743" s="6"/>
    </row>
    <row r="744" spans="1:25" ht="15" customHeight="1" x14ac:dyDescent="0.2">
      <c r="A744" s="88" t="s">
        <v>878</v>
      </c>
      <c r="B744" s="90"/>
      <c r="C744" s="88" t="s">
        <v>1114</v>
      </c>
      <c r="D744" s="90"/>
      <c r="E744" s="88" t="s">
        <v>1115</v>
      </c>
      <c r="F744" s="89"/>
      <c r="G744" s="89"/>
      <c r="H744" s="89"/>
      <c r="I744" s="90"/>
      <c r="J744" s="88" t="s">
        <v>770</v>
      </c>
      <c r="K744" s="89"/>
      <c r="L744" s="89"/>
      <c r="M744" s="90"/>
      <c r="N744" s="88" t="s">
        <v>26</v>
      </c>
      <c r="O744" s="89"/>
      <c r="P744" s="90"/>
      <c r="Q744" s="133">
        <v>658</v>
      </c>
      <c r="R744" s="134"/>
      <c r="S744" s="5" t="s">
        <v>1101</v>
      </c>
      <c r="T744" s="8">
        <v>1240</v>
      </c>
      <c r="U744" s="8">
        <v>4</v>
      </c>
      <c r="V744" s="5" t="s">
        <v>23</v>
      </c>
      <c r="W744" s="12">
        <v>2665979</v>
      </c>
      <c r="X744" s="6"/>
      <c r="Y744" s="6"/>
    </row>
    <row r="745" spans="1:25" ht="15" customHeight="1" x14ac:dyDescent="0.2">
      <c r="A745" s="88" t="s">
        <v>878</v>
      </c>
      <c r="B745" s="90"/>
      <c r="C745" s="88" t="s">
        <v>1116</v>
      </c>
      <c r="D745" s="90"/>
      <c r="E745" s="88" t="s">
        <v>1113</v>
      </c>
      <c r="F745" s="89"/>
      <c r="G745" s="89"/>
      <c r="H745" s="89"/>
      <c r="I745" s="90"/>
      <c r="J745" s="88" t="s">
        <v>770</v>
      </c>
      <c r="K745" s="89"/>
      <c r="L745" s="89"/>
      <c r="M745" s="90"/>
      <c r="N745" s="88" t="s">
        <v>26</v>
      </c>
      <c r="O745" s="89"/>
      <c r="P745" s="90"/>
      <c r="Q745" s="133">
        <v>658</v>
      </c>
      <c r="R745" s="134"/>
      <c r="S745" s="5" t="s">
        <v>1101</v>
      </c>
      <c r="T745" s="8">
        <v>1240</v>
      </c>
      <c r="U745" s="8">
        <v>4</v>
      </c>
      <c r="V745" s="5" t="s">
        <v>23</v>
      </c>
      <c r="W745" s="12">
        <v>2598910</v>
      </c>
      <c r="X745" s="6"/>
      <c r="Y745" s="6"/>
    </row>
    <row r="746" spans="1:25" ht="15" customHeight="1" x14ac:dyDescent="0.2">
      <c r="A746" s="88" t="s">
        <v>878</v>
      </c>
      <c r="B746" s="90"/>
      <c r="C746" s="88" t="s">
        <v>1117</v>
      </c>
      <c r="D746" s="90"/>
      <c r="E746" s="88" t="s">
        <v>1113</v>
      </c>
      <c r="F746" s="89"/>
      <c r="G746" s="89"/>
      <c r="H746" s="89"/>
      <c r="I746" s="90"/>
      <c r="J746" s="88" t="s">
        <v>770</v>
      </c>
      <c r="K746" s="89"/>
      <c r="L746" s="89"/>
      <c r="M746" s="90"/>
      <c r="N746" s="88" t="s">
        <v>26</v>
      </c>
      <c r="O746" s="89"/>
      <c r="P746" s="90"/>
      <c r="Q746" s="133">
        <v>658</v>
      </c>
      <c r="R746" s="134"/>
      <c r="S746" s="5" t="s">
        <v>1101</v>
      </c>
      <c r="T746" s="8">
        <v>1240</v>
      </c>
      <c r="U746" s="8">
        <v>4</v>
      </c>
      <c r="V746" s="5" t="s">
        <v>23</v>
      </c>
      <c r="W746" s="12">
        <v>2665979</v>
      </c>
      <c r="X746" s="6"/>
      <c r="Y746" s="6"/>
    </row>
    <row r="747" spans="1:25" ht="15" customHeight="1" x14ac:dyDescent="0.2">
      <c r="A747" s="88" t="s">
        <v>1118</v>
      </c>
      <c r="B747" s="90"/>
      <c r="C747" s="88" t="s">
        <v>1119</v>
      </c>
      <c r="D747" s="90"/>
      <c r="E747" s="106"/>
      <c r="F747" s="107"/>
      <c r="G747" s="107"/>
      <c r="H747" s="107"/>
      <c r="I747" s="108"/>
      <c r="J747" s="88" t="s">
        <v>13</v>
      </c>
      <c r="K747" s="89"/>
      <c r="L747" s="89"/>
      <c r="M747" s="90"/>
      <c r="N747" s="88" t="s">
        <v>701</v>
      </c>
      <c r="O747" s="89"/>
      <c r="P747" s="90"/>
      <c r="Q747" s="133">
        <v>1300</v>
      </c>
      <c r="R747" s="134"/>
      <c r="S747" s="5" t="s">
        <v>16</v>
      </c>
      <c r="T747" s="6"/>
      <c r="U747" s="6"/>
      <c r="V747" s="5" t="s">
        <v>96</v>
      </c>
      <c r="W747" s="9">
        <v>6089551</v>
      </c>
      <c r="X747" s="6"/>
      <c r="Y747" s="6"/>
    </row>
    <row r="748" spans="1:25" ht="15" customHeight="1" x14ac:dyDescent="0.2">
      <c r="A748" s="88" t="s">
        <v>1118</v>
      </c>
      <c r="B748" s="90"/>
      <c r="C748" s="88" t="s">
        <v>1120</v>
      </c>
      <c r="D748" s="90"/>
      <c r="E748" s="106"/>
      <c r="F748" s="107"/>
      <c r="G748" s="107"/>
      <c r="H748" s="107"/>
      <c r="I748" s="108"/>
      <c r="J748" s="88" t="s">
        <v>13</v>
      </c>
      <c r="K748" s="89"/>
      <c r="L748" s="89"/>
      <c r="M748" s="90"/>
      <c r="N748" s="88" t="s">
        <v>701</v>
      </c>
      <c r="O748" s="89"/>
      <c r="P748" s="90"/>
      <c r="Q748" s="133">
        <v>1300</v>
      </c>
      <c r="R748" s="134"/>
      <c r="S748" s="5" t="s">
        <v>16</v>
      </c>
      <c r="T748" s="6"/>
      <c r="U748" s="6"/>
      <c r="V748" s="5" t="s">
        <v>96</v>
      </c>
      <c r="W748" s="9">
        <v>6089551</v>
      </c>
      <c r="X748" s="6"/>
      <c r="Y748" s="6"/>
    </row>
    <row r="749" spans="1:25" ht="15" customHeight="1" x14ac:dyDescent="0.2">
      <c r="A749" s="88" t="s">
        <v>1118</v>
      </c>
      <c r="B749" s="90"/>
      <c r="C749" s="88" t="s">
        <v>1121</v>
      </c>
      <c r="D749" s="90"/>
      <c r="E749" s="106"/>
      <c r="F749" s="107"/>
      <c r="G749" s="107"/>
      <c r="H749" s="107"/>
      <c r="I749" s="108"/>
      <c r="J749" s="88" t="s">
        <v>13</v>
      </c>
      <c r="K749" s="89"/>
      <c r="L749" s="89"/>
      <c r="M749" s="90"/>
      <c r="N749" s="88" t="s">
        <v>22</v>
      </c>
      <c r="O749" s="89"/>
      <c r="P749" s="90"/>
      <c r="Q749" s="133">
        <v>2000</v>
      </c>
      <c r="R749" s="134"/>
      <c r="S749" s="5" t="s">
        <v>16</v>
      </c>
      <c r="T749" s="6"/>
      <c r="U749" s="6"/>
      <c r="V749" s="5" t="s">
        <v>96</v>
      </c>
      <c r="W749" s="9">
        <v>4246016</v>
      </c>
      <c r="X749" s="6"/>
      <c r="Y749" s="6"/>
    </row>
    <row r="750" spans="1:25" ht="15" customHeight="1" x14ac:dyDescent="0.2">
      <c r="A750" s="88" t="s">
        <v>1118</v>
      </c>
      <c r="B750" s="90"/>
      <c r="C750" s="88" t="s">
        <v>1121</v>
      </c>
      <c r="D750" s="90"/>
      <c r="E750" s="106"/>
      <c r="F750" s="107"/>
      <c r="G750" s="107"/>
      <c r="H750" s="107"/>
      <c r="I750" s="108"/>
      <c r="J750" s="88" t="s">
        <v>13</v>
      </c>
      <c r="K750" s="89"/>
      <c r="L750" s="89"/>
      <c r="M750" s="90"/>
      <c r="N750" s="88" t="s">
        <v>701</v>
      </c>
      <c r="O750" s="89"/>
      <c r="P750" s="90"/>
      <c r="Q750" s="133">
        <v>2000</v>
      </c>
      <c r="R750" s="134"/>
      <c r="S750" s="5" t="s">
        <v>16</v>
      </c>
      <c r="T750" s="6"/>
      <c r="U750" s="6"/>
      <c r="V750" s="5" t="s">
        <v>96</v>
      </c>
      <c r="W750" s="9">
        <v>4386026</v>
      </c>
      <c r="X750" s="6"/>
      <c r="Y750" s="6"/>
    </row>
    <row r="751" spans="1:25" ht="15" customHeight="1" x14ac:dyDescent="0.2">
      <c r="A751" s="88" t="s">
        <v>1118</v>
      </c>
      <c r="B751" s="90"/>
      <c r="C751" s="88" t="s">
        <v>1122</v>
      </c>
      <c r="D751" s="90"/>
      <c r="E751" s="106"/>
      <c r="F751" s="107"/>
      <c r="G751" s="107"/>
      <c r="H751" s="107"/>
      <c r="I751" s="108"/>
      <c r="J751" s="88" t="s">
        <v>13</v>
      </c>
      <c r="K751" s="89"/>
      <c r="L751" s="89"/>
      <c r="M751" s="90"/>
      <c r="N751" s="88" t="s">
        <v>22</v>
      </c>
      <c r="O751" s="89"/>
      <c r="P751" s="90"/>
      <c r="Q751" s="133">
        <v>2000</v>
      </c>
      <c r="R751" s="134"/>
      <c r="S751" s="5" t="s">
        <v>16</v>
      </c>
      <c r="T751" s="6"/>
      <c r="U751" s="6"/>
      <c r="V751" s="5" t="s">
        <v>96</v>
      </c>
      <c r="W751" s="9">
        <v>4881913</v>
      </c>
      <c r="X751" s="6"/>
      <c r="Y751" s="6"/>
    </row>
    <row r="752" spans="1:25" ht="15" customHeight="1" x14ac:dyDescent="0.2">
      <c r="A752" s="88" t="s">
        <v>1118</v>
      </c>
      <c r="B752" s="90"/>
      <c r="C752" s="88" t="s">
        <v>1122</v>
      </c>
      <c r="D752" s="90"/>
      <c r="E752" s="106"/>
      <c r="F752" s="107"/>
      <c r="G752" s="107"/>
      <c r="H752" s="107"/>
      <c r="I752" s="108"/>
      <c r="J752" s="88" t="s">
        <v>13</v>
      </c>
      <c r="K752" s="89"/>
      <c r="L752" s="89"/>
      <c r="M752" s="90"/>
      <c r="N752" s="88" t="s">
        <v>701</v>
      </c>
      <c r="O752" s="89"/>
      <c r="P752" s="90"/>
      <c r="Q752" s="133">
        <v>2000</v>
      </c>
      <c r="R752" s="134"/>
      <c r="S752" s="5" t="s">
        <v>16</v>
      </c>
      <c r="T752" s="6"/>
      <c r="U752" s="6"/>
      <c r="V752" s="5" t="s">
        <v>96</v>
      </c>
      <c r="W752" s="9">
        <v>4386026</v>
      </c>
      <c r="X752" s="6"/>
      <c r="Y752" s="6"/>
    </row>
    <row r="753" spans="1:25" ht="15" customHeight="1" x14ac:dyDescent="0.2">
      <c r="A753" s="88" t="s">
        <v>1118</v>
      </c>
      <c r="B753" s="90"/>
      <c r="C753" s="88" t="s">
        <v>1123</v>
      </c>
      <c r="D753" s="90"/>
      <c r="E753" s="106"/>
      <c r="F753" s="107"/>
      <c r="G753" s="107"/>
      <c r="H753" s="107"/>
      <c r="I753" s="108"/>
      <c r="J753" s="88" t="s">
        <v>13</v>
      </c>
      <c r="K753" s="89"/>
      <c r="L753" s="89"/>
      <c r="M753" s="90"/>
      <c r="N753" s="88" t="s">
        <v>725</v>
      </c>
      <c r="O753" s="89"/>
      <c r="P753" s="90"/>
      <c r="Q753" s="133">
        <v>3600</v>
      </c>
      <c r="R753" s="134"/>
      <c r="S753" s="5" t="s">
        <v>16</v>
      </c>
      <c r="T753" s="6"/>
      <c r="U753" s="6"/>
      <c r="V753" s="5" t="s">
        <v>96</v>
      </c>
      <c r="W753" s="9">
        <v>7562953</v>
      </c>
      <c r="X753" s="6"/>
      <c r="Y753" s="6"/>
    </row>
    <row r="754" spans="1:25" ht="15" customHeight="1" x14ac:dyDescent="0.2">
      <c r="A754" s="88" t="s">
        <v>1118</v>
      </c>
      <c r="B754" s="90"/>
      <c r="C754" s="88" t="s">
        <v>1123</v>
      </c>
      <c r="D754" s="90"/>
      <c r="E754" s="106"/>
      <c r="F754" s="107"/>
      <c r="G754" s="107"/>
      <c r="H754" s="107"/>
      <c r="I754" s="108"/>
      <c r="J754" s="88" t="s">
        <v>13</v>
      </c>
      <c r="K754" s="89"/>
      <c r="L754" s="89"/>
      <c r="M754" s="90"/>
      <c r="N754" s="88" t="s">
        <v>701</v>
      </c>
      <c r="O754" s="89"/>
      <c r="P754" s="90"/>
      <c r="Q754" s="133">
        <v>3600</v>
      </c>
      <c r="R754" s="134"/>
      <c r="S754" s="5" t="s">
        <v>16</v>
      </c>
      <c r="T754" s="6"/>
      <c r="U754" s="6"/>
      <c r="V754" s="5" t="s">
        <v>96</v>
      </c>
      <c r="W754" s="9">
        <v>8071817</v>
      </c>
      <c r="X754" s="6"/>
      <c r="Y754" s="6"/>
    </row>
    <row r="755" spans="1:25" ht="15" customHeight="1" x14ac:dyDescent="0.2">
      <c r="A755" s="88" t="s">
        <v>1118</v>
      </c>
      <c r="B755" s="90"/>
      <c r="C755" s="88" t="s">
        <v>1124</v>
      </c>
      <c r="D755" s="90"/>
      <c r="E755" s="106"/>
      <c r="F755" s="107"/>
      <c r="G755" s="107"/>
      <c r="H755" s="107"/>
      <c r="I755" s="108"/>
      <c r="J755" s="88" t="s">
        <v>13</v>
      </c>
      <c r="K755" s="89"/>
      <c r="L755" s="89"/>
      <c r="M755" s="90"/>
      <c r="N755" s="88" t="s">
        <v>725</v>
      </c>
      <c r="O755" s="89"/>
      <c r="P755" s="90"/>
      <c r="Q755" s="133">
        <v>3600</v>
      </c>
      <c r="R755" s="134"/>
      <c r="S755" s="5" t="s">
        <v>16</v>
      </c>
      <c r="T755" s="6"/>
      <c r="U755" s="6"/>
      <c r="V755" s="5" t="s">
        <v>96</v>
      </c>
      <c r="W755" s="9">
        <v>5762372</v>
      </c>
      <c r="X755" s="6"/>
      <c r="Y755" s="6"/>
    </row>
    <row r="756" spans="1:25" ht="15" customHeight="1" x14ac:dyDescent="0.2">
      <c r="A756" s="88" t="s">
        <v>1118</v>
      </c>
      <c r="B756" s="90"/>
      <c r="C756" s="88" t="s">
        <v>1124</v>
      </c>
      <c r="D756" s="90"/>
      <c r="E756" s="106"/>
      <c r="F756" s="107"/>
      <c r="G756" s="107"/>
      <c r="H756" s="107"/>
      <c r="I756" s="108"/>
      <c r="J756" s="88" t="s">
        <v>13</v>
      </c>
      <c r="K756" s="89"/>
      <c r="L756" s="89"/>
      <c r="M756" s="90"/>
      <c r="N756" s="88" t="s">
        <v>701</v>
      </c>
      <c r="O756" s="89"/>
      <c r="P756" s="90"/>
      <c r="Q756" s="133">
        <v>3600</v>
      </c>
      <c r="R756" s="134"/>
      <c r="S756" s="5" t="s">
        <v>16</v>
      </c>
      <c r="T756" s="6"/>
      <c r="U756" s="6"/>
      <c r="V756" s="5" t="s">
        <v>96</v>
      </c>
      <c r="W756" s="9">
        <v>12428415</v>
      </c>
      <c r="X756" s="6"/>
      <c r="Y756" s="6"/>
    </row>
    <row r="757" spans="1:25" ht="15" customHeight="1" x14ac:dyDescent="0.2">
      <c r="A757" s="88" t="s">
        <v>1118</v>
      </c>
      <c r="B757" s="90"/>
      <c r="C757" s="88" t="s">
        <v>1124</v>
      </c>
      <c r="D757" s="90"/>
      <c r="E757" s="106"/>
      <c r="F757" s="107"/>
      <c r="G757" s="107"/>
      <c r="H757" s="107"/>
      <c r="I757" s="108"/>
      <c r="J757" s="88" t="s">
        <v>13</v>
      </c>
      <c r="K757" s="89"/>
      <c r="L757" s="89"/>
      <c r="M757" s="90"/>
      <c r="N757" s="88" t="s">
        <v>701</v>
      </c>
      <c r="O757" s="89"/>
      <c r="P757" s="90"/>
      <c r="Q757" s="133">
        <v>3600</v>
      </c>
      <c r="R757" s="134"/>
      <c r="S757" s="5" t="s">
        <v>16</v>
      </c>
      <c r="T757" s="6"/>
      <c r="U757" s="6"/>
      <c r="V757" s="5" t="s">
        <v>96</v>
      </c>
      <c r="W757" s="9">
        <v>5628941</v>
      </c>
      <c r="X757" s="6"/>
      <c r="Y757" s="6"/>
    </row>
    <row r="758" spans="1:25" ht="15" customHeight="1" x14ac:dyDescent="0.2">
      <c r="A758" s="88" t="s">
        <v>1118</v>
      </c>
      <c r="B758" s="90"/>
      <c r="C758" s="88" t="s">
        <v>1124</v>
      </c>
      <c r="D758" s="90"/>
      <c r="E758" s="106"/>
      <c r="F758" s="107"/>
      <c r="G758" s="107"/>
      <c r="H758" s="107"/>
      <c r="I758" s="108"/>
      <c r="J758" s="88" t="s">
        <v>13</v>
      </c>
      <c r="K758" s="89"/>
      <c r="L758" s="89"/>
      <c r="M758" s="90"/>
      <c r="N758" s="88" t="s">
        <v>701</v>
      </c>
      <c r="O758" s="89"/>
      <c r="P758" s="90"/>
      <c r="Q758" s="133">
        <v>3600</v>
      </c>
      <c r="R758" s="134"/>
      <c r="S758" s="5" t="s">
        <v>16</v>
      </c>
      <c r="T758" s="6"/>
      <c r="U758" s="6"/>
      <c r="V758" s="5" t="s">
        <v>96</v>
      </c>
      <c r="W758" s="9">
        <v>6142009</v>
      </c>
      <c r="X758" s="6"/>
      <c r="Y758" s="6"/>
    </row>
    <row r="759" spans="1:25" ht="15" customHeight="1" x14ac:dyDescent="0.2">
      <c r="A759" s="88" t="s">
        <v>1118</v>
      </c>
      <c r="B759" s="90"/>
      <c r="C759" s="88" t="s">
        <v>1125</v>
      </c>
      <c r="D759" s="90"/>
      <c r="E759" s="106"/>
      <c r="F759" s="107"/>
      <c r="G759" s="107"/>
      <c r="H759" s="107"/>
      <c r="I759" s="108"/>
      <c r="J759" s="88" t="s">
        <v>13</v>
      </c>
      <c r="K759" s="89"/>
      <c r="L759" s="89"/>
      <c r="M759" s="90"/>
      <c r="N759" s="88" t="s">
        <v>725</v>
      </c>
      <c r="O759" s="89"/>
      <c r="P759" s="90"/>
      <c r="Q759" s="133">
        <v>3600</v>
      </c>
      <c r="R759" s="134"/>
      <c r="S759" s="5" t="s">
        <v>16</v>
      </c>
      <c r="T759" s="6"/>
      <c r="U759" s="6"/>
      <c r="V759" s="5" t="s">
        <v>96</v>
      </c>
      <c r="W759" s="9">
        <v>6054639</v>
      </c>
      <c r="X759" s="6"/>
      <c r="Y759" s="6"/>
    </row>
    <row r="760" spans="1:25" ht="15" customHeight="1" x14ac:dyDescent="0.2">
      <c r="A760" s="88" t="s">
        <v>1118</v>
      </c>
      <c r="B760" s="90"/>
      <c r="C760" s="88" t="s">
        <v>1125</v>
      </c>
      <c r="D760" s="90"/>
      <c r="E760" s="106"/>
      <c r="F760" s="107"/>
      <c r="G760" s="107"/>
      <c r="H760" s="107"/>
      <c r="I760" s="108"/>
      <c r="J760" s="88" t="s">
        <v>13</v>
      </c>
      <c r="K760" s="89"/>
      <c r="L760" s="89"/>
      <c r="M760" s="90"/>
      <c r="N760" s="88" t="s">
        <v>701</v>
      </c>
      <c r="O760" s="89"/>
      <c r="P760" s="90"/>
      <c r="Q760" s="133">
        <v>3600</v>
      </c>
      <c r="R760" s="134"/>
      <c r="S760" s="5" t="s">
        <v>16</v>
      </c>
      <c r="T760" s="6"/>
      <c r="U760" s="6"/>
      <c r="V760" s="5" t="s">
        <v>96</v>
      </c>
      <c r="W760" s="9">
        <v>6274160</v>
      </c>
      <c r="X760" s="6"/>
      <c r="Y760" s="6"/>
    </row>
    <row r="761" spans="1:25" ht="15" customHeight="1" x14ac:dyDescent="0.2">
      <c r="A761" s="88" t="s">
        <v>1118</v>
      </c>
      <c r="B761" s="90"/>
      <c r="C761" s="88" t="s">
        <v>1125</v>
      </c>
      <c r="D761" s="90"/>
      <c r="E761" s="106"/>
      <c r="F761" s="107"/>
      <c r="G761" s="107"/>
      <c r="H761" s="107"/>
      <c r="I761" s="108"/>
      <c r="J761" s="88" t="s">
        <v>13</v>
      </c>
      <c r="K761" s="89"/>
      <c r="L761" s="89"/>
      <c r="M761" s="90"/>
      <c r="N761" s="88" t="s">
        <v>701</v>
      </c>
      <c r="O761" s="89"/>
      <c r="P761" s="90"/>
      <c r="Q761" s="133">
        <v>3600</v>
      </c>
      <c r="R761" s="134"/>
      <c r="S761" s="5" t="s">
        <v>16</v>
      </c>
      <c r="T761" s="6"/>
      <c r="U761" s="6"/>
      <c r="V761" s="5" t="s">
        <v>96</v>
      </c>
      <c r="W761" s="11">
        <v>5921391</v>
      </c>
      <c r="X761" s="6"/>
      <c r="Y761" s="6"/>
    </row>
    <row r="762" spans="1:25" ht="15" customHeight="1" x14ac:dyDescent="0.2">
      <c r="A762" s="88" t="s">
        <v>1118</v>
      </c>
      <c r="B762" s="90"/>
      <c r="C762" s="88" t="s">
        <v>1126</v>
      </c>
      <c r="D762" s="90"/>
      <c r="E762" s="106"/>
      <c r="F762" s="107"/>
      <c r="G762" s="107"/>
      <c r="H762" s="107"/>
      <c r="I762" s="108"/>
      <c r="J762" s="88" t="s">
        <v>13</v>
      </c>
      <c r="K762" s="89"/>
      <c r="L762" s="89"/>
      <c r="M762" s="90"/>
      <c r="N762" s="88" t="s">
        <v>725</v>
      </c>
      <c r="O762" s="89"/>
      <c r="P762" s="90"/>
      <c r="Q762" s="133">
        <v>3600</v>
      </c>
      <c r="R762" s="134"/>
      <c r="S762" s="5" t="s">
        <v>16</v>
      </c>
      <c r="T762" s="6"/>
      <c r="U762" s="6"/>
      <c r="V762" s="5" t="s">
        <v>96</v>
      </c>
      <c r="W762" s="9">
        <v>6605543</v>
      </c>
      <c r="X762" s="6"/>
      <c r="Y762" s="6"/>
    </row>
    <row r="763" spans="1:25" ht="15" customHeight="1" x14ac:dyDescent="0.2">
      <c r="A763" s="88" t="s">
        <v>1118</v>
      </c>
      <c r="B763" s="90"/>
      <c r="C763" s="88" t="s">
        <v>1126</v>
      </c>
      <c r="D763" s="90"/>
      <c r="E763" s="106"/>
      <c r="F763" s="107"/>
      <c r="G763" s="107"/>
      <c r="H763" s="107"/>
      <c r="I763" s="108"/>
      <c r="J763" s="88" t="s">
        <v>13</v>
      </c>
      <c r="K763" s="89"/>
      <c r="L763" s="89"/>
      <c r="M763" s="90"/>
      <c r="N763" s="88" t="s">
        <v>701</v>
      </c>
      <c r="O763" s="89"/>
      <c r="P763" s="90"/>
      <c r="Q763" s="133">
        <v>3600</v>
      </c>
      <c r="R763" s="134"/>
      <c r="S763" s="5" t="s">
        <v>16</v>
      </c>
      <c r="T763" s="6"/>
      <c r="U763" s="6"/>
      <c r="V763" s="5" t="s">
        <v>96</v>
      </c>
      <c r="W763" s="9">
        <v>6886113</v>
      </c>
      <c r="X763" s="6"/>
      <c r="Y763" s="6"/>
    </row>
    <row r="764" spans="1:25" ht="15" customHeight="1" x14ac:dyDescent="0.2">
      <c r="A764" s="88" t="s">
        <v>1118</v>
      </c>
      <c r="B764" s="90"/>
      <c r="C764" s="88" t="s">
        <v>1127</v>
      </c>
      <c r="D764" s="90"/>
      <c r="E764" s="106"/>
      <c r="F764" s="107"/>
      <c r="G764" s="107"/>
      <c r="H764" s="107"/>
      <c r="I764" s="108"/>
      <c r="J764" s="88" t="s">
        <v>13</v>
      </c>
      <c r="K764" s="89"/>
      <c r="L764" s="89"/>
      <c r="M764" s="90"/>
      <c r="N764" s="88" t="s">
        <v>725</v>
      </c>
      <c r="O764" s="89"/>
      <c r="P764" s="90"/>
      <c r="Q764" s="133">
        <v>3600</v>
      </c>
      <c r="R764" s="134"/>
      <c r="S764" s="5" t="s">
        <v>16</v>
      </c>
      <c r="T764" s="6"/>
      <c r="U764" s="6"/>
      <c r="V764" s="5" t="s">
        <v>96</v>
      </c>
      <c r="W764" s="9">
        <v>5547603</v>
      </c>
      <c r="X764" s="6"/>
      <c r="Y764" s="6"/>
    </row>
    <row r="765" spans="1:25" ht="15" customHeight="1" x14ac:dyDescent="0.2">
      <c r="A765" s="88" t="s">
        <v>1118</v>
      </c>
      <c r="B765" s="90"/>
      <c r="C765" s="88" t="s">
        <v>1127</v>
      </c>
      <c r="D765" s="90"/>
      <c r="E765" s="106"/>
      <c r="F765" s="107"/>
      <c r="G765" s="107"/>
      <c r="H765" s="107"/>
      <c r="I765" s="108"/>
      <c r="J765" s="88" t="s">
        <v>13</v>
      </c>
      <c r="K765" s="89"/>
      <c r="L765" s="89"/>
      <c r="M765" s="90"/>
      <c r="N765" s="88" t="s">
        <v>701</v>
      </c>
      <c r="O765" s="89"/>
      <c r="P765" s="90"/>
      <c r="Q765" s="133">
        <v>3600</v>
      </c>
      <c r="R765" s="134"/>
      <c r="S765" s="5" t="s">
        <v>16</v>
      </c>
      <c r="T765" s="6"/>
      <c r="U765" s="6"/>
      <c r="V765" s="5" t="s">
        <v>96</v>
      </c>
      <c r="W765" s="9">
        <v>5861439</v>
      </c>
      <c r="X765" s="6"/>
      <c r="Y765" s="6"/>
    </row>
    <row r="766" spans="1:25" ht="15" customHeight="1" x14ac:dyDescent="0.2">
      <c r="A766" s="88" t="s">
        <v>1118</v>
      </c>
      <c r="B766" s="90"/>
      <c r="C766" s="88" t="s">
        <v>1128</v>
      </c>
      <c r="D766" s="90"/>
      <c r="E766" s="106"/>
      <c r="F766" s="107"/>
      <c r="G766" s="107"/>
      <c r="H766" s="107"/>
      <c r="I766" s="108"/>
      <c r="J766" s="88" t="s">
        <v>13</v>
      </c>
      <c r="K766" s="89"/>
      <c r="L766" s="89"/>
      <c r="M766" s="90"/>
      <c r="N766" s="88" t="s">
        <v>725</v>
      </c>
      <c r="O766" s="89"/>
      <c r="P766" s="90"/>
      <c r="Q766" s="133">
        <v>3600</v>
      </c>
      <c r="R766" s="134"/>
      <c r="S766" s="5" t="s">
        <v>16</v>
      </c>
      <c r="T766" s="6"/>
      <c r="U766" s="6"/>
      <c r="V766" s="5" t="s">
        <v>96</v>
      </c>
      <c r="W766" s="9">
        <v>5669701</v>
      </c>
      <c r="X766" s="6"/>
      <c r="Y766" s="6"/>
    </row>
    <row r="767" spans="1:25" ht="15" customHeight="1" x14ac:dyDescent="0.2">
      <c r="A767" s="88" t="s">
        <v>1118</v>
      </c>
      <c r="B767" s="90"/>
      <c r="C767" s="88" t="s">
        <v>1128</v>
      </c>
      <c r="D767" s="90"/>
      <c r="E767" s="106"/>
      <c r="F767" s="107"/>
      <c r="G767" s="107"/>
      <c r="H767" s="107"/>
      <c r="I767" s="108"/>
      <c r="J767" s="88" t="s">
        <v>13</v>
      </c>
      <c r="K767" s="89"/>
      <c r="L767" s="89"/>
      <c r="M767" s="90"/>
      <c r="N767" s="88" t="s">
        <v>701</v>
      </c>
      <c r="O767" s="89"/>
      <c r="P767" s="90"/>
      <c r="Q767" s="133">
        <v>3600</v>
      </c>
      <c r="R767" s="134"/>
      <c r="S767" s="5" t="s">
        <v>16</v>
      </c>
      <c r="T767" s="6"/>
      <c r="U767" s="6"/>
      <c r="V767" s="5" t="s">
        <v>96</v>
      </c>
      <c r="W767" s="9">
        <v>5966904</v>
      </c>
      <c r="X767" s="6"/>
      <c r="Y767" s="6"/>
    </row>
    <row r="768" spans="1:25" ht="15" customHeight="1" x14ac:dyDescent="0.2">
      <c r="A768" s="88" t="s">
        <v>1118</v>
      </c>
      <c r="B768" s="90"/>
      <c r="C768" s="88" t="s">
        <v>1129</v>
      </c>
      <c r="D768" s="90"/>
      <c r="E768" s="106"/>
      <c r="F768" s="107"/>
      <c r="G768" s="107"/>
      <c r="H768" s="107"/>
      <c r="I768" s="108"/>
      <c r="J768" s="88" t="s">
        <v>13</v>
      </c>
      <c r="K768" s="89"/>
      <c r="L768" s="89"/>
      <c r="M768" s="90"/>
      <c r="N768" s="88" t="s">
        <v>701</v>
      </c>
      <c r="O768" s="89"/>
      <c r="P768" s="90"/>
      <c r="Q768" s="133">
        <v>5700</v>
      </c>
      <c r="R768" s="134"/>
      <c r="S768" s="5" t="s">
        <v>16</v>
      </c>
      <c r="T768" s="6"/>
      <c r="U768" s="6"/>
      <c r="V768" s="5" t="s">
        <v>96</v>
      </c>
      <c r="W768" s="10">
        <v>10600417</v>
      </c>
      <c r="X768" s="6"/>
      <c r="Y768" s="6"/>
    </row>
    <row r="769" spans="1:25" ht="15" customHeight="1" x14ac:dyDescent="0.2">
      <c r="A769" s="88" t="s">
        <v>1118</v>
      </c>
      <c r="B769" s="90"/>
      <c r="C769" s="88" t="s">
        <v>1130</v>
      </c>
      <c r="D769" s="90"/>
      <c r="E769" s="106"/>
      <c r="F769" s="107"/>
      <c r="G769" s="107"/>
      <c r="H769" s="107"/>
      <c r="I769" s="108"/>
      <c r="J769" s="88" t="s">
        <v>13</v>
      </c>
      <c r="K769" s="89"/>
      <c r="L769" s="89"/>
      <c r="M769" s="90"/>
      <c r="N769" s="88" t="s">
        <v>701</v>
      </c>
      <c r="O769" s="89"/>
      <c r="P769" s="90"/>
      <c r="Q769" s="133">
        <v>5700</v>
      </c>
      <c r="R769" s="134"/>
      <c r="S769" s="5" t="s">
        <v>16</v>
      </c>
      <c r="T769" s="6"/>
      <c r="U769" s="6"/>
      <c r="V769" s="5" t="s">
        <v>96</v>
      </c>
      <c r="W769" s="10">
        <v>11879888</v>
      </c>
      <c r="X769" s="6"/>
      <c r="Y769" s="6"/>
    </row>
    <row r="770" spans="1:25" ht="15" customHeight="1" x14ac:dyDescent="0.2">
      <c r="A770" s="88" t="s">
        <v>1118</v>
      </c>
      <c r="B770" s="90"/>
      <c r="C770" s="88" t="s">
        <v>1131</v>
      </c>
      <c r="D770" s="90"/>
      <c r="E770" s="106"/>
      <c r="F770" s="107"/>
      <c r="G770" s="107"/>
      <c r="H770" s="107"/>
      <c r="I770" s="108"/>
      <c r="J770" s="88" t="s">
        <v>13</v>
      </c>
      <c r="K770" s="89"/>
      <c r="L770" s="89"/>
      <c r="M770" s="90"/>
      <c r="N770" s="88" t="s">
        <v>725</v>
      </c>
      <c r="O770" s="89"/>
      <c r="P770" s="90"/>
      <c r="Q770" s="133">
        <v>5700</v>
      </c>
      <c r="R770" s="134"/>
      <c r="S770" s="5" t="s">
        <v>16</v>
      </c>
      <c r="T770" s="6"/>
      <c r="U770" s="6"/>
      <c r="V770" s="5" t="s">
        <v>96</v>
      </c>
      <c r="W770" s="9">
        <v>7346357</v>
      </c>
      <c r="X770" s="6"/>
      <c r="Y770" s="6"/>
    </row>
    <row r="771" spans="1:25" ht="15" customHeight="1" x14ac:dyDescent="0.2">
      <c r="A771" s="88" t="s">
        <v>1118</v>
      </c>
      <c r="B771" s="90"/>
      <c r="C771" s="88" t="s">
        <v>1131</v>
      </c>
      <c r="D771" s="90"/>
      <c r="E771" s="106"/>
      <c r="F771" s="107"/>
      <c r="G771" s="107"/>
      <c r="H771" s="107"/>
      <c r="I771" s="108"/>
      <c r="J771" s="88" t="s">
        <v>13</v>
      </c>
      <c r="K771" s="89"/>
      <c r="L771" s="89"/>
      <c r="M771" s="90"/>
      <c r="N771" s="88" t="s">
        <v>701</v>
      </c>
      <c r="O771" s="89"/>
      <c r="P771" s="90"/>
      <c r="Q771" s="133">
        <v>5700</v>
      </c>
      <c r="R771" s="134"/>
      <c r="S771" s="5" t="s">
        <v>16</v>
      </c>
      <c r="T771" s="6"/>
      <c r="U771" s="6"/>
      <c r="V771" s="5" t="s">
        <v>96</v>
      </c>
      <c r="W771" s="9">
        <v>7480153</v>
      </c>
      <c r="X771" s="6"/>
      <c r="Y771" s="6"/>
    </row>
    <row r="772" spans="1:25" ht="15" customHeight="1" x14ac:dyDescent="0.2">
      <c r="A772" s="88" t="s">
        <v>1118</v>
      </c>
      <c r="B772" s="90"/>
      <c r="C772" s="88" t="s">
        <v>1131</v>
      </c>
      <c r="D772" s="90"/>
      <c r="E772" s="106"/>
      <c r="F772" s="107"/>
      <c r="G772" s="107"/>
      <c r="H772" s="107"/>
      <c r="I772" s="108"/>
      <c r="J772" s="88" t="s">
        <v>13</v>
      </c>
      <c r="K772" s="89"/>
      <c r="L772" s="89"/>
      <c r="M772" s="90"/>
      <c r="N772" s="88" t="s">
        <v>701</v>
      </c>
      <c r="O772" s="89"/>
      <c r="P772" s="90"/>
      <c r="Q772" s="133">
        <v>5700</v>
      </c>
      <c r="R772" s="134"/>
      <c r="S772" s="5" t="s">
        <v>16</v>
      </c>
      <c r="T772" s="6"/>
      <c r="U772" s="6"/>
      <c r="V772" s="5" t="s">
        <v>96</v>
      </c>
      <c r="W772" s="11">
        <v>5921391</v>
      </c>
      <c r="X772" s="6"/>
      <c r="Y772" s="6"/>
    </row>
    <row r="773" spans="1:25" ht="15" customHeight="1" x14ac:dyDescent="0.2">
      <c r="A773" s="88" t="s">
        <v>1118</v>
      </c>
      <c r="B773" s="90"/>
      <c r="C773" s="88" t="s">
        <v>1132</v>
      </c>
      <c r="D773" s="90"/>
      <c r="E773" s="106"/>
      <c r="F773" s="107"/>
      <c r="G773" s="107"/>
      <c r="H773" s="107"/>
      <c r="I773" s="108"/>
      <c r="J773" s="88" t="s">
        <v>13</v>
      </c>
      <c r="K773" s="89"/>
      <c r="L773" s="89"/>
      <c r="M773" s="90"/>
      <c r="N773" s="88" t="s">
        <v>701</v>
      </c>
      <c r="O773" s="89"/>
      <c r="P773" s="90"/>
      <c r="Q773" s="133">
        <v>5700</v>
      </c>
      <c r="R773" s="134"/>
      <c r="S773" s="5" t="s">
        <v>16</v>
      </c>
      <c r="T773" s="6"/>
      <c r="U773" s="6"/>
      <c r="V773" s="5" t="s">
        <v>96</v>
      </c>
      <c r="W773" s="9">
        <v>12428415</v>
      </c>
      <c r="X773" s="6"/>
      <c r="Y773" s="6"/>
    </row>
    <row r="774" spans="1:25" ht="15" customHeight="1" x14ac:dyDescent="0.2">
      <c r="A774" s="88" t="s">
        <v>1118</v>
      </c>
      <c r="B774" s="90"/>
      <c r="C774" s="88" t="s">
        <v>1132</v>
      </c>
      <c r="D774" s="90"/>
      <c r="E774" s="106"/>
      <c r="F774" s="107"/>
      <c r="G774" s="107"/>
      <c r="H774" s="107"/>
      <c r="I774" s="108"/>
      <c r="J774" s="88" t="s">
        <v>13</v>
      </c>
      <c r="K774" s="89"/>
      <c r="L774" s="89"/>
      <c r="M774" s="90"/>
      <c r="N774" s="88" t="s">
        <v>701</v>
      </c>
      <c r="O774" s="89"/>
      <c r="P774" s="90"/>
      <c r="Q774" s="133">
        <v>5700</v>
      </c>
      <c r="R774" s="134"/>
      <c r="S774" s="5" t="s">
        <v>16</v>
      </c>
      <c r="T774" s="6"/>
      <c r="U774" s="6"/>
      <c r="V774" s="5" t="s">
        <v>96</v>
      </c>
      <c r="W774" s="11">
        <v>7310531</v>
      </c>
      <c r="X774" s="6"/>
      <c r="Y774" s="6"/>
    </row>
    <row r="775" spans="1:25" ht="15" customHeight="1" x14ac:dyDescent="0.2">
      <c r="A775" s="88" t="s">
        <v>1118</v>
      </c>
      <c r="B775" s="90"/>
      <c r="C775" s="88" t="s">
        <v>1133</v>
      </c>
      <c r="D775" s="90"/>
      <c r="E775" s="106"/>
      <c r="F775" s="107"/>
      <c r="G775" s="107"/>
      <c r="H775" s="107"/>
      <c r="I775" s="108"/>
      <c r="J775" s="88" t="s">
        <v>13</v>
      </c>
      <c r="K775" s="89"/>
      <c r="L775" s="89"/>
      <c r="M775" s="90"/>
      <c r="N775" s="88" t="s">
        <v>701</v>
      </c>
      <c r="O775" s="89"/>
      <c r="P775" s="90"/>
      <c r="Q775" s="133">
        <v>5700</v>
      </c>
      <c r="R775" s="134"/>
      <c r="S775" s="5" t="s">
        <v>16</v>
      </c>
      <c r="T775" s="6"/>
      <c r="U775" s="6"/>
      <c r="V775" s="5" t="s">
        <v>96</v>
      </c>
      <c r="W775" s="11">
        <v>7310531</v>
      </c>
      <c r="X775" s="6"/>
      <c r="Y775" s="6"/>
    </row>
    <row r="776" spans="1:25" ht="15" customHeight="1" x14ac:dyDescent="0.2">
      <c r="A776" s="88" t="s">
        <v>1118</v>
      </c>
      <c r="B776" s="90"/>
      <c r="C776" s="88" t="s">
        <v>1134</v>
      </c>
      <c r="D776" s="90"/>
      <c r="E776" s="106"/>
      <c r="F776" s="107"/>
      <c r="G776" s="107"/>
      <c r="H776" s="107"/>
      <c r="I776" s="108"/>
      <c r="J776" s="88" t="s">
        <v>13</v>
      </c>
      <c r="K776" s="89"/>
      <c r="L776" s="89"/>
      <c r="M776" s="90"/>
      <c r="N776" s="88" t="s">
        <v>725</v>
      </c>
      <c r="O776" s="89"/>
      <c r="P776" s="90"/>
      <c r="Q776" s="133">
        <v>5700</v>
      </c>
      <c r="R776" s="134"/>
      <c r="S776" s="5" t="s">
        <v>16</v>
      </c>
      <c r="T776" s="6"/>
      <c r="U776" s="6"/>
      <c r="V776" s="5" t="s">
        <v>96</v>
      </c>
      <c r="W776" s="11">
        <v>7714661</v>
      </c>
      <c r="X776" s="6"/>
      <c r="Y776" s="6"/>
    </row>
    <row r="777" spans="1:25" ht="15" customHeight="1" x14ac:dyDescent="0.2">
      <c r="A777" s="88" t="s">
        <v>1118</v>
      </c>
      <c r="B777" s="90"/>
      <c r="C777" s="88" t="s">
        <v>1134</v>
      </c>
      <c r="D777" s="90"/>
      <c r="E777" s="106"/>
      <c r="F777" s="107"/>
      <c r="G777" s="107"/>
      <c r="H777" s="107"/>
      <c r="I777" s="108"/>
      <c r="J777" s="88" t="s">
        <v>13</v>
      </c>
      <c r="K777" s="89"/>
      <c r="L777" s="89"/>
      <c r="M777" s="90"/>
      <c r="N777" s="88" t="s">
        <v>701</v>
      </c>
      <c r="O777" s="89"/>
      <c r="P777" s="90"/>
      <c r="Q777" s="133">
        <v>5700</v>
      </c>
      <c r="R777" s="134"/>
      <c r="S777" s="5" t="s">
        <v>16</v>
      </c>
      <c r="T777" s="6"/>
      <c r="U777" s="6"/>
      <c r="V777" s="5" t="s">
        <v>96</v>
      </c>
      <c r="W777" s="9">
        <v>7958309</v>
      </c>
      <c r="X777" s="6"/>
      <c r="Y777" s="6"/>
    </row>
    <row r="778" spans="1:25" ht="15" customHeight="1" x14ac:dyDescent="0.2">
      <c r="A778" s="88" t="s">
        <v>1118</v>
      </c>
      <c r="B778" s="90"/>
      <c r="C778" s="88" t="s">
        <v>1135</v>
      </c>
      <c r="D778" s="90"/>
      <c r="E778" s="106"/>
      <c r="F778" s="107"/>
      <c r="G778" s="107"/>
      <c r="H778" s="107"/>
      <c r="I778" s="108"/>
      <c r="J778" s="88" t="s">
        <v>13</v>
      </c>
      <c r="K778" s="89"/>
      <c r="L778" s="89"/>
      <c r="M778" s="90"/>
      <c r="N778" s="88" t="s">
        <v>725</v>
      </c>
      <c r="O778" s="89"/>
      <c r="P778" s="90"/>
      <c r="Q778" s="133">
        <v>5700</v>
      </c>
      <c r="R778" s="134"/>
      <c r="S778" s="5" t="s">
        <v>16</v>
      </c>
      <c r="T778" s="6"/>
      <c r="U778" s="6"/>
      <c r="V778" s="5" t="s">
        <v>96</v>
      </c>
      <c r="W778" s="9">
        <v>7504280</v>
      </c>
      <c r="X778" s="6"/>
      <c r="Y778" s="6"/>
    </row>
    <row r="779" spans="1:25" ht="15" customHeight="1" x14ac:dyDescent="0.2">
      <c r="A779" s="88" t="s">
        <v>1118</v>
      </c>
      <c r="B779" s="90"/>
      <c r="C779" s="88" t="s">
        <v>1135</v>
      </c>
      <c r="D779" s="90"/>
      <c r="E779" s="106"/>
      <c r="F779" s="107"/>
      <c r="G779" s="107"/>
      <c r="H779" s="107"/>
      <c r="I779" s="108"/>
      <c r="J779" s="88" t="s">
        <v>13</v>
      </c>
      <c r="K779" s="89"/>
      <c r="L779" s="89"/>
      <c r="M779" s="90"/>
      <c r="N779" s="88" t="s">
        <v>701</v>
      </c>
      <c r="O779" s="89"/>
      <c r="P779" s="90"/>
      <c r="Q779" s="133">
        <v>5700</v>
      </c>
      <c r="R779" s="134"/>
      <c r="S779" s="5" t="s">
        <v>16</v>
      </c>
      <c r="T779" s="6"/>
      <c r="U779" s="6"/>
      <c r="V779" s="5" t="s">
        <v>96</v>
      </c>
      <c r="W779" s="9">
        <v>8303035</v>
      </c>
      <c r="X779" s="6"/>
      <c r="Y779" s="6"/>
    </row>
    <row r="780" spans="1:25" ht="15" customHeight="1" x14ac:dyDescent="0.2">
      <c r="A780" s="88" t="s">
        <v>1118</v>
      </c>
      <c r="B780" s="90"/>
      <c r="C780" s="88" t="s">
        <v>1135</v>
      </c>
      <c r="D780" s="90"/>
      <c r="E780" s="106"/>
      <c r="F780" s="107"/>
      <c r="G780" s="107"/>
      <c r="H780" s="107"/>
      <c r="I780" s="108"/>
      <c r="J780" s="88" t="s">
        <v>13</v>
      </c>
      <c r="K780" s="89"/>
      <c r="L780" s="89"/>
      <c r="M780" s="90"/>
      <c r="N780" s="88" t="s">
        <v>701</v>
      </c>
      <c r="O780" s="89"/>
      <c r="P780" s="90"/>
      <c r="Q780" s="133">
        <v>5700</v>
      </c>
      <c r="R780" s="134"/>
      <c r="S780" s="5" t="s">
        <v>16</v>
      </c>
      <c r="T780" s="6"/>
      <c r="U780" s="6"/>
      <c r="V780" s="5" t="s">
        <v>96</v>
      </c>
      <c r="W780" s="11">
        <v>7310531</v>
      </c>
      <c r="X780" s="6"/>
      <c r="Y780" s="6"/>
    </row>
    <row r="781" spans="1:25" ht="15" customHeight="1" x14ac:dyDescent="0.2">
      <c r="A781" s="88" t="s">
        <v>1118</v>
      </c>
      <c r="B781" s="90"/>
      <c r="C781" s="88" t="s">
        <v>1136</v>
      </c>
      <c r="D781" s="90"/>
      <c r="E781" s="106"/>
      <c r="F781" s="107"/>
      <c r="G781" s="107"/>
      <c r="H781" s="107"/>
      <c r="I781" s="108"/>
      <c r="J781" s="88" t="s">
        <v>13</v>
      </c>
      <c r="K781" s="89"/>
      <c r="L781" s="89"/>
      <c r="M781" s="90"/>
      <c r="N781" s="88" t="s">
        <v>701</v>
      </c>
      <c r="O781" s="89"/>
      <c r="P781" s="90"/>
      <c r="Q781" s="133">
        <v>6200</v>
      </c>
      <c r="R781" s="134"/>
      <c r="S781" s="5" t="s">
        <v>16</v>
      </c>
      <c r="T781" s="6"/>
      <c r="U781" s="6"/>
      <c r="V781" s="5" t="s">
        <v>96</v>
      </c>
      <c r="W781" s="11">
        <v>7310531</v>
      </c>
      <c r="X781" s="6"/>
      <c r="Y781" s="6"/>
    </row>
    <row r="782" spans="1:25" ht="15" customHeight="1" x14ac:dyDescent="0.2">
      <c r="A782" s="88" t="s">
        <v>1118</v>
      </c>
      <c r="B782" s="90"/>
      <c r="C782" s="88" t="s">
        <v>1137</v>
      </c>
      <c r="D782" s="90"/>
      <c r="E782" s="106"/>
      <c r="F782" s="107"/>
      <c r="G782" s="107"/>
      <c r="H782" s="107"/>
      <c r="I782" s="108"/>
      <c r="J782" s="88" t="s">
        <v>13</v>
      </c>
      <c r="K782" s="89"/>
      <c r="L782" s="89"/>
      <c r="M782" s="90"/>
      <c r="N782" s="88" t="s">
        <v>701</v>
      </c>
      <c r="O782" s="89"/>
      <c r="P782" s="90"/>
      <c r="Q782" s="133">
        <v>6200</v>
      </c>
      <c r="R782" s="134"/>
      <c r="S782" s="5" t="s">
        <v>16</v>
      </c>
      <c r="T782" s="6"/>
      <c r="U782" s="6"/>
      <c r="V782" s="5" t="s">
        <v>96</v>
      </c>
      <c r="W782" s="9">
        <v>12428415</v>
      </c>
      <c r="X782" s="6"/>
      <c r="Y782" s="6"/>
    </row>
    <row r="783" spans="1:25" ht="15" customHeight="1" x14ac:dyDescent="0.2">
      <c r="A783" s="88" t="s">
        <v>1118</v>
      </c>
      <c r="B783" s="90"/>
      <c r="C783" s="88" t="s">
        <v>1138</v>
      </c>
      <c r="D783" s="90"/>
      <c r="E783" s="106"/>
      <c r="F783" s="107"/>
      <c r="G783" s="107"/>
      <c r="H783" s="107"/>
      <c r="I783" s="108"/>
      <c r="J783" s="88" t="s">
        <v>13</v>
      </c>
      <c r="K783" s="89"/>
      <c r="L783" s="89"/>
      <c r="M783" s="90"/>
      <c r="N783" s="88" t="s">
        <v>701</v>
      </c>
      <c r="O783" s="89"/>
      <c r="P783" s="90"/>
      <c r="Q783" s="133">
        <v>6200</v>
      </c>
      <c r="R783" s="134"/>
      <c r="S783" s="5" t="s">
        <v>16</v>
      </c>
      <c r="T783" s="6"/>
      <c r="U783" s="6"/>
      <c r="V783" s="5" t="s">
        <v>96</v>
      </c>
      <c r="W783" s="10">
        <v>14970724</v>
      </c>
      <c r="X783" s="6"/>
      <c r="Y783" s="6"/>
    </row>
    <row r="784" spans="1:25" ht="15" customHeight="1" x14ac:dyDescent="0.2">
      <c r="A784" s="88" t="s">
        <v>1118</v>
      </c>
      <c r="B784" s="90"/>
      <c r="C784" s="88" t="s">
        <v>1139</v>
      </c>
      <c r="D784" s="90"/>
      <c r="E784" s="106"/>
      <c r="F784" s="107"/>
      <c r="G784" s="107"/>
      <c r="H784" s="107"/>
      <c r="I784" s="108"/>
      <c r="J784" s="88" t="s">
        <v>13</v>
      </c>
      <c r="K784" s="89"/>
      <c r="L784" s="89"/>
      <c r="M784" s="90"/>
      <c r="N784" s="88" t="s">
        <v>701</v>
      </c>
      <c r="O784" s="89"/>
      <c r="P784" s="90"/>
      <c r="Q784" s="133">
        <v>6200</v>
      </c>
      <c r="R784" s="134"/>
      <c r="S784" s="5" t="s">
        <v>16</v>
      </c>
      <c r="T784" s="6"/>
      <c r="U784" s="6"/>
      <c r="V784" s="5" t="s">
        <v>96</v>
      </c>
      <c r="W784" s="9">
        <v>15251842</v>
      </c>
      <c r="X784" s="6"/>
      <c r="Y784" s="6"/>
    </row>
    <row r="785" spans="1:25" ht="15" customHeight="1" x14ac:dyDescent="0.2">
      <c r="A785" s="88" t="s">
        <v>1118</v>
      </c>
      <c r="B785" s="90"/>
      <c r="C785" s="88" t="s">
        <v>1140</v>
      </c>
      <c r="D785" s="90"/>
      <c r="E785" s="106"/>
      <c r="F785" s="107"/>
      <c r="G785" s="107"/>
      <c r="H785" s="107"/>
      <c r="I785" s="108"/>
      <c r="J785" s="88" t="s">
        <v>13</v>
      </c>
      <c r="K785" s="89"/>
      <c r="L785" s="89"/>
      <c r="M785" s="90"/>
      <c r="N785" s="88" t="s">
        <v>701</v>
      </c>
      <c r="O785" s="89"/>
      <c r="P785" s="90"/>
      <c r="Q785" s="133">
        <v>6200</v>
      </c>
      <c r="R785" s="134"/>
      <c r="S785" s="5" t="s">
        <v>16</v>
      </c>
      <c r="T785" s="6"/>
      <c r="U785" s="6"/>
      <c r="V785" s="5" t="s">
        <v>96</v>
      </c>
      <c r="W785" s="9">
        <v>12428415</v>
      </c>
      <c r="X785" s="6"/>
      <c r="Y785" s="6"/>
    </row>
    <row r="786" spans="1:25" ht="15" customHeight="1" x14ac:dyDescent="0.2">
      <c r="A786" s="88" t="s">
        <v>1118</v>
      </c>
      <c r="B786" s="90"/>
      <c r="C786" s="88" t="s">
        <v>1141</v>
      </c>
      <c r="D786" s="90"/>
      <c r="E786" s="106"/>
      <c r="F786" s="107"/>
      <c r="G786" s="107"/>
      <c r="H786" s="107"/>
      <c r="I786" s="108"/>
      <c r="J786" s="88" t="s">
        <v>13</v>
      </c>
      <c r="K786" s="89"/>
      <c r="L786" s="89"/>
      <c r="M786" s="90"/>
      <c r="N786" s="88" t="s">
        <v>701</v>
      </c>
      <c r="O786" s="89"/>
      <c r="P786" s="90"/>
      <c r="Q786" s="133">
        <v>6400</v>
      </c>
      <c r="R786" s="134"/>
      <c r="S786" s="5" t="s">
        <v>16</v>
      </c>
      <c r="T786" s="6"/>
      <c r="U786" s="6"/>
      <c r="V786" s="5" t="s">
        <v>96</v>
      </c>
      <c r="W786" s="9">
        <v>10713193</v>
      </c>
      <c r="X786" s="6"/>
      <c r="Y786" s="6"/>
    </row>
    <row r="787" spans="1:25" ht="15" customHeight="1" x14ac:dyDescent="0.2">
      <c r="A787" s="88" t="s">
        <v>1118</v>
      </c>
      <c r="B787" s="90"/>
      <c r="C787" s="88" t="s">
        <v>1142</v>
      </c>
      <c r="D787" s="90"/>
      <c r="E787" s="106"/>
      <c r="F787" s="107"/>
      <c r="G787" s="107"/>
      <c r="H787" s="107"/>
      <c r="I787" s="108"/>
      <c r="J787" s="88" t="s">
        <v>13</v>
      </c>
      <c r="K787" s="89"/>
      <c r="L787" s="89"/>
      <c r="M787" s="90"/>
      <c r="N787" s="88" t="s">
        <v>701</v>
      </c>
      <c r="O787" s="89"/>
      <c r="P787" s="90"/>
      <c r="Q787" s="133">
        <v>6400</v>
      </c>
      <c r="R787" s="134"/>
      <c r="S787" s="5" t="s">
        <v>16</v>
      </c>
      <c r="T787" s="6"/>
      <c r="U787" s="6"/>
      <c r="V787" s="5" t="s">
        <v>96</v>
      </c>
      <c r="W787" s="9">
        <v>11497509</v>
      </c>
      <c r="X787" s="6"/>
      <c r="Y787" s="6"/>
    </row>
    <row r="788" spans="1:25" ht="15" customHeight="1" x14ac:dyDescent="0.2">
      <c r="A788" s="88" t="s">
        <v>1118</v>
      </c>
      <c r="B788" s="90"/>
      <c r="C788" s="88" t="s">
        <v>1143</v>
      </c>
      <c r="D788" s="90"/>
      <c r="E788" s="106"/>
      <c r="F788" s="107"/>
      <c r="G788" s="107"/>
      <c r="H788" s="107"/>
      <c r="I788" s="108"/>
      <c r="J788" s="88" t="s">
        <v>13</v>
      </c>
      <c r="K788" s="89"/>
      <c r="L788" s="89"/>
      <c r="M788" s="90"/>
      <c r="N788" s="88" t="s">
        <v>701</v>
      </c>
      <c r="O788" s="89"/>
      <c r="P788" s="90"/>
      <c r="Q788" s="133">
        <v>6400</v>
      </c>
      <c r="R788" s="134"/>
      <c r="S788" s="5" t="s">
        <v>16</v>
      </c>
      <c r="T788" s="6"/>
      <c r="U788" s="6"/>
      <c r="V788" s="5" t="s">
        <v>96</v>
      </c>
      <c r="W788" s="9">
        <v>11996137</v>
      </c>
      <c r="X788" s="6"/>
      <c r="Y788" s="6"/>
    </row>
    <row r="789" spans="1:25" ht="15" customHeight="1" x14ac:dyDescent="0.2">
      <c r="A789" s="88" t="s">
        <v>1118</v>
      </c>
      <c r="B789" s="90"/>
      <c r="C789" s="88" t="s">
        <v>1144</v>
      </c>
      <c r="D789" s="90"/>
      <c r="E789" s="88" t="s">
        <v>1145</v>
      </c>
      <c r="F789" s="89"/>
      <c r="G789" s="89"/>
      <c r="H789" s="89"/>
      <c r="I789" s="90"/>
      <c r="J789" s="88" t="s">
        <v>13</v>
      </c>
      <c r="K789" s="89"/>
      <c r="L789" s="89"/>
      <c r="M789" s="90"/>
      <c r="N789" s="88" t="s">
        <v>26</v>
      </c>
      <c r="O789" s="89"/>
      <c r="P789" s="90"/>
      <c r="Q789" s="133">
        <v>6400</v>
      </c>
      <c r="R789" s="134"/>
      <c r="S789" s="5" t="s">
        <v>271</v>
      </c>
      <c r="T789" s="6"/>
      <c r="U789" s="6"/>
      <c r="V789" s="5" t="s">
        <v>23</v>
      </c>
      <c r="W789" s="12">
        <v>14317969</v>
      </c>
      <c r="X789" s="6"/>
      <c r="Y789" s="6"/>
    </row>
    <row r="790" spans="1:25" ht="15" customHeight="1" x14ac:dyDescent="0.2">
      <c r="A790" s="88" t="s">
        <v>1118</v>
      </c>
      <c r="B790" s="90"/>
      <c r="C790" s="88" t="s">
        <v>1146</v>
      </c>
      <c r="D790" s="90"/>
      <c r="E790" s="88" t="s">
        <v>1147</v>
      </c>
      <c r="F790" s="89"/>
      <c r="G790" s="89"/>
      <c r="H790" s="89"/>
      <c r="I790" s="90"/>
      <c r="J790" s="88" t="s">
        <v>13</v>
      </c>
      <c r="K790" s="89"/>
      <c r="L790" s="89"/>
      <c r="M790" s="90"/>
      <c r="N790" s="88" t="s">
        <v>26</v>
      </c>
      <c r="O790" s="89"/>
      <c r="P790" s="90"/>
      <c r="Q790" s="133">
        <v>5700</v>
      </c>
      <c r="R790" s="134"/>
      <c r="S790" s="5" t="s">
        <v>271</v>
      </c>
      <c r="T790" s="6"/>
      <c r="U790" s="6"/>
      <c r="V790" s="5" t="s">
        <v>23</v>
      </c>
      <c r="W790" s="12">
        <v>16155411</v>
      </c>
      <c r="X790" s="6"/>
      <c r="Y790" s="6"/>
    </row>
    <row r="791" spans="1:25" ht="15" customHeight="1" x14ac:dyDescent="0.2">
      <c r="A791" s="88" t="s">
        <v>1118</v>
      </c>
      <c r="B791" s="90"/>
      <c r="C791" s="88" t="s">
        <v>1146</v>
      </c>
      <c r="D791" s="90"/>
      <c r="E791" s="88" t="s">
        <v>1148</v>
      </c>
      <c r="F791" s="89"/>
      <c r="G791" s="89"/>
      <c r="H791" s="89"/>
      <c r="I791" s="90"/>
      <c r="J791" s="88" t="s">
        <v>13</v>
      </c>
      <c r="K791" s="89"/>
      <c r="L791" s="89"/>
      <c r="M791" s="90"/>
      <c r="N791" s="88" t="s">
        <v>26</v>
      </c>
      <c r="O791" s="89"/>
      <c r="P791" s="90"/>
      <c r="Q791" s="133">
        <v>6200</v>
      </c>
      <c r="R791" s="134"/>
      <c r="S791" s="5" t="s">
        <v>271</v>
      </c>
      <c r="T791" s="6"/>
      <c r="U791" s="6"/>
      <c r="V791" s="5" t="s">
        <v>23</v>
      </c>
      <c r="W791" s="12">
        <v>26290977</v>
      </c>
      <c r="X791" s="6"/>
      <c r="Y791" s="6"/>
    </row>
    <row r="792" spans="1:25" ht="15" customHeight="1" x14ac:dyDescent="0.2">
      <c r="A792" s="88" t="s">
        <v>1118</v>
      </c>
      <c r="B792" s="90"/>
      <c r="C792" s="88" t="s">
        <v>1146</v>
      </c>
      <c r="D792" s="90"/>
      <c r="E792" s="88" t="s">
        <v>1149</v>
      </c>
      <c r="F792" s="89"/>
      <c r="G792" s="89"/>
      <c r="H792" s="89"/>
      <c r="I792" s="90"/>
      <c r="J792" s="88" t="s">
        <v>13</v>
      </c>
      <c r="K792" s="89"/>
      <c r="L792" s="89"/>
      <c r="M792" s="90"/>
      <c r="N792" s="88" t="s">
        <v>26</v>
      </c>
      <c r="O792" s="89"/>
      <c r="P792" s="90"/>
      <c r="Q792" s="133">
        <v>6400</v>
      </c>
      <c r="R792" s="134"/>
      <c r="S792" s="5" t="s">
        <v>271</v>
      </c>
      <c r="T792" s="6"/>
      <c r="U792" s="6"/>
      <c r="V792" s="5" t="s">
        <v>23</v>
      </c>
      <c r="W792" s="12">
        <v>12658591</v>
      </c>
      <c r="X792" s="6"/>
      <c r="Y792" s="6"/>
    </row>
    <row r="793" spans="1:25" ht="15" customHeight="1" x14ac:dyDescent="0.2">
      <c r="A793" s="88" t="s">
        <v>1118</v>
      </c>
      <c r="B793" s="90"/>
      <c r="C793" s="88" t="s">
        <v>1146</v>
      </c>
      <c r="D793" s="90"/>
      <c r="E793" s="88" t="s">
        <v>1150</v>
      </c>
      <c r="F793" s="89"/>
      <c r="G793" s="89"/>
      <c r="H793" s="89"/>
      <c r="I793" s="90"/>
      <c r="J793" s="88" t="s">
        <v>13</v>
      </c>
      <c r="K793" s="89"/>
      <c r="L793" s="89"/>
      <c r="M793" s="90"/>
      <c r="N793" s="88" t="s">
        <v>26</v>
      </c>
      <c r="O793" s="89"/>
      <c r="P793" s="90"/>
      <c r="Q793" s="133">
        <v>6400</v>
      </c>
      <c r="R793" s="134"/>
      <c r="S793" s="5" t="s">
        <v>271</v>
      </c>
      <c r="T793" s="6"/>
      <c r="U793" s="6"/>
      <c r="V793" s="5" t="s">
        <v>23</v>
      </c>
      <c r="W793" s="12">
        <v>15675552</v>
      </c>
      <c r="X793" s="6"/>
      <c r="Y793" s="6"/>
    </row>
    <row r="794" spans="1:25" ht="15" customHeight="1" x14ac:dyDescent="0.2">
      <c r="A794" s="88" t="s">
        <v>1118</v>
      </c>
      <c r="B794" s="90"/>
      <c r="C794" s="88" t="s">
        <v>1146</v>
      </c>
      <c r="D794" s="90"/>
      <c r="E794" s="88" t="s">
        <v>1151</v>
      </c>
      <c r="F794" s="89"/>
      <c r="G794" s="89"/>
      <c r="H794" s="89"/>
      <c r="I794" s="90"/>
      <c r="J794" s="88" t="s">
        <v>13</v>
      </c>
      <c r="K794" s="89"/>
      <c r="L794" s="89"/>
      <c r="M794" s="90"/>
      <c r="N794" s="88" t="s">
        <v>26</v>
      </c>
      <c r="O794" s="89"/>
      <c r="P794" s="90"/>
      <c r="Q794" s="133">
        <v>6400</v>
      </c>
      <c r="R794" s="134"/>
      <c r="S794" s="5" t="s">
        <v>271</v>
      </c>
      <c r="T794" s="6"/>
      <c r="U794" s="6"/>
      <c r="V794" s="5" t="s">
        <v>23</v>
      </c>
      <c r="W794" s="12">
        <v>14779799</v>
      </c>
      <c r="X794" s="6"/>
      <c r="Y794" s="6"/>
    </row>
    <row r="795" spans="1:25" ht="15" customHeight="1" x14ac:dyDescent="0.2">
      <c r="A795" s="88" t="s">
        <v>1118</v>
      </c>
      <c r="B795" s="90"/>
      <c r="C795" s="88" t="s">
        <v>1146</v>
      </c>
      <c r="D795" s="90"/>
      <c r="E795" s="88" t="s">
        <v>1152</v>
      </c>
      <c r="F795" s="89"/>
      <c r="G795" s="89"/>
      <c r="H795" s="89"/>
      <c r="I795" s="90"/>
      <c r="J795" s="88" t="s">
        <v>13</v>
      </c>
      <c r="K795" s="89"/>
      <c r="L795" s="89"/>
      <c r="M795" s="90"/>
      <c r="N795" s="88" t="s">
        <v>26</v>
      </c>
      <c r="O795" s="89"/>
      <c r="P795" s="90"/>
      <c r="Q795" s="133">
        <v>6400</v>
      </c>
      <c r="R795" s="134"/>
      <c r="S795" s="5" t="s">
        <v>271</v>
      </c>
      <c r="T795" s="6"/>
      <c r="U795" s="6"/>
      <c r="V795" s="5" t="s">
        <v>23</v>
      </c>
      <c r="W795" s="12">
        <v>24122598</v>
      </c>
      <c r="X795" s="6"/>
      <c r="Y795" s="6"/>
    </row>
    <row r="796" spans="1:25" ht="15" customHeight="1" x14ac:dyDescent="0.2">
      <c r="A796" s="88" t="s">
        <v>1118</v>
      </c>
      <c r="B796" s="90"/>
      <c r="C796" s="88" t="s">
        <v>1146</v>
      </c>
      <c r="D796" s="90"/>
      <c r="E796" s="88" t="s">
        <v>1153</v>
      </c>
      <c r="F796" s="89"/>
      <c r="G796" s="89"/>
      <c r="H796" s="89"/>
      <c r="I796" s="90"/>
      <c r="J796" s="88" t="s">
        <v>13</v>
      </c>
      <c r="K796" s="89"/>
      <c r="L796" s="89"/>
      <c r="M796" s="90"/>
      <c r="N796" s="88" t="s">
        <v>26</v>
      </c>
      <c r="O796" s="89"/>
      <c r="P796" s="90"/>
      <c r="Q796" s="133">
        <v>6400</v>
      </c>
      <c r="R796" s="134"/>
      <c r="S796" s="5" t="s">
        <v>271</v>
      </c>
      <c r="T796" s="6"/>
      <c r="U796" s="6"/>
      <c r="V796" s="5" t="s">
        <v>23</v>
      </c>
      <c r="W796" s="12">
        <v>18520870</v>
      </c>
      <c r="X796" s="6"/>
      <c r="Y796" s="6"/>
    </row>
    <row r="797" spans="1:25" ht="15" customHeight="1" x14ac:dyDescent="0.2">
      <c r="A797" s="88" t="s">
        <v>1118</v>
      </c>
      <c r="B797" s="90"/>
      <c r="C797" s="88" t="s">
        <v>1146</v>
      </c>
      <c r="D797" s="90"/>
      <c r="E797" s="88" t="s">
        <v>1154</v>
      </c>
      <c r="F797" s="89"/>
      <c r="G797" s="89"/>
      <c r="H797" s="89"/>
      <c r="I797" s="90"/>
      <c r="J797" s="88" t="s">
        <v>13</v>
      </c>
      <c r="K797" s="89"/>
      <c r="L797" s="89"/>
      <c r="M797" s="90"/>
      <c r="N797" s="88" t="s">
        <v>26</v>
      </c>
      <c r="O797" s="89"/>
      <c r="P797" s="90"/>
      <c r="Q797" s="133">
        <v>6400</v>
      </c>
      <c r="R797" s="134"/>
      <c r="S797" s="5" t="s">
        <v>271</v>
      </c>
      <c r="T797" s="6"/>
      <c r="U797" s="6"/>
      <c r="V797" s="5" t="s">
        <v>23</v>
      </c>
      <c r="W797" s="12">
        <v>24640243</v>
      </c>
      <c r="X797" s="6"/>
      <c r="Y797" s="6"/>
    </row>
    <row r="798" spans="1:25" ht="15" customHeight="1" x14ac:dyDescent="0.2">
      <c r="A798" s="88" t="s">
        <v>1118</v>
      </c>
      <c r="B798" s="90"/>
      <c r="C798" s="88" t="s">
        <v>1146</v>
      </c>
      <c r="D798" s="90"/>
      <c r="E798" s="88" t="s">
        <v>1155</v>
      </c>
      <c r="F798" s="89"/>
      <c r="G798" s="89"/>
      <c r="H798" s="89"/>
      <c r="I798" s="90"/>
      <c r="J798" s="88" t="s">
        <v>13</v>
      </c>
      <c r="K798" s="89"/>
      <c r="L798" s="89"/>
      <c r="M798" s="90"/>
      <c r="N798" s="88" t="s">
        <v>26</v>
      </c>
      <c r="O798" s="89"/>
      <c r="P798" s="90"/>
      <c r="Q798" s="133">
        <v>6400</v>
      </c>
      <c r="R798" s="134"/>
      <c r="S798" s="5" t="s">
        <v>271</v>
      </c>
      <c r="T798" s="6"/>
      <c r="U798" s="6"/>
      <c r="V798" s="5" t="s">
        <v>23</v>
      </c>
      <c r="W798" s="12">
        <v>16241109</v>
      </c>
      <c r="X798" s="6"/>
      <c r="Y798" s="6"/>
    </row>
    <row r="799" spans="1:25" ht="15" customHeight="1" x14ac:dyDescent="0.2">
      <c r="A799" s="88" t="s">
        <v>1118</v>
      </c>
      <c r="B799" s="90"/>
      <c r="C799" s="88" t="s">
        <v>1156</v>
      </c>
      <c r="D799" s="90"/>
      <c r="E799" s="88" t="s">
        <v>1157</v>
      </c>
      <c r="F799" s="89"/>
      <c r="G799" s="89"/>
      <c r="H799" s="89"/>
      <c r="I799" s="90"/>
      <c r="J799" s="88" t="s">
        <v>13</v>
      </c>
      <c r="K799" s="89"/>
      <c r="L799" s="89"/>
      <c r="M799" s="90"/>
      <c r="N799" s="88" t="s">
        <v>26</v>
      </c>
      <c r="O799" s="89"/>
      <c r="P799" s="90"/>
      <c r="Q799" s="133">
        <v>6400</v>
      </c>
      <c r="R799" s="134"/>
      <c r="S799" s="5" t="s">
        <v>271</v>
      </c>
      <c r="T799" s="6"/>
      <c r="U799" s="6"/>
      <c r="V799" s="5" t="s">
        <v>23</v>
      </c>
      <c r="W799" s="12">
        <v>15264103</v>
      </c>
      <c r="X799" s="6"/>
      <c r="Y799" s="6"/>
    </row>
    <row r="800" spans="1:25" ht="15" customHeight="1" x14ac:dyDescent="0.2">
      <c r="A800" s="88" t="s">
        <v>1118</v>
      </c>
      <c r="B800" s="90"/>
      <c r="C800" s="88" t="s">
        <v>1156</v>
      </c>
      <c r="D800" s="90"/>
      <c r="E800" s="88" t="s">
        <v>1158</v>
      </c>
      <c r="F800" s="89"/>
      <c r="G800" s="89"/>
      <c r="H800" s="89"/>
      <c r="I800" s="90"/>
      <c r="J800" s="88" t="s">
        <v>13</v>
      </c>
      <c r="K800" s="89"/>
      <c r="L800" s="89"/>
      <c r="M800" s="90"/>
      <c r="N800" s="88" t="s">
        <v>26</v>
      </c>
      <c r="O800" s="89"/>
      <c r="P800" s="90"/>
      <c r="Q800" s="133">
        <v>6400</v>
      </c>
      <c r="R800" s="134"/>
      <c r="S800" s="5" t="s">
        <v>271</v>
      </c>
      <c r="T800" s="6"/>
      <c r="U800" s="6"/>
      <c r="V800" s="5" t="s">
        <v>23</v>
      </c>
      <c r="W800" s="12">
        <v>16121082</v>
      </c>
      <c r="X800" s="6"/>
      <c r="Y800" s="6"/>
    </row>
    <row r="801" spans="1:25" ht="15" customHeight="1" x14ac:dyDescent="0.2">
      <c r="A801" s="88" t="s">
        <v>1118</v>
      </c>
      <c r="B801" s="90"/>
      <c r="C801" s="88" t="s">
        <v>1159</v>
      </c>
      <c r="D801" s="90"/>
      <c r="E801" s="88" t="s">
        <v>1160</v>
      </c>
      <c r="F801" s="89"/>
      <c r="G801" s="89"/>
      <c r="H801" s="89"/>
      <c r="I801" s="90"/>
      <c r="J801" s="88" t="s">
        <v>599</v>
      </c>
      <c r="K801" s="89"/>
      <c r="L801" s="89"/>
      <c r="M801" s="90"/>
      <c r="N801" s="88" t="s">
        <v>26</v>
      </c>
      <c r="O801" s="89"/>
      <c r="P801" s="90"/>
      <c r="Q801" s="133">
        <v>5700</v>
      </c>
      <c r="R801" s="134"/>
      <c r="S801" s="5" t="s">
        <v>271</v>
      </c>
      <c r="T801" s="6"/>
      <c r="U801" s="6"/>
      <c r="V801" s="5" t="s">
        <v>23</v>
      </c>
      <c r="W801" s="12">
        <v>11236056</v>
      </c>
      <c r="X801" s="6"/>
      <c r="Y801" s="6"/>
    </row>
    <row r="802" spans="1:25" ht="15" customHeight="1" x14ac:dyDescent="0.2">
      <c r="A802" s="88" t="s">
        <v>1118</v>
      </c>
      <c r="B802" s="90"/>
      <c r="C802" s="88" t="s">
        <v>1159</v>
      </c>
      <c r="D802" s="90"/>
      <c r="E802" s="88" t="s">
        <v>1161</v>
      </c>
      <c r="F802" s="89"/>
      <c r="G802" s="89"/>
      <c r="H802" s="89"/>
      <c r="I802" s="90"/>
      <c r="J802" s="88" t="s">
        <v>13</v>
      </c>
      <c r="K802" s="89"/>
      <c r="L802" s="89"/>
      <c r="M802" s="90"/>
      <c r="N802" s="88" t="s">
        <v>26</v>
      </c>
      <c r="O802" s="89"/>
      <c r="P802" s="90"/>
      <c r="Q802" s="133">
        <v>5700</v>
      </c>
      <c r="R802" s="134"/>
      <c r="S802" s="5" t="s">
        <v>271</v>
      </c>
      <c r="T802" s="6"/>
      <c r="U802" s="6"/>
      <c r="V802" s="5" t="s">
        <v>23</v>
      </c>
      <c r="W802" s="12">
        <v>15658264</v>
      </c>
      <c r="X802" s="6"/>
      <c r="Y802" s="6"/>
    </row>
    <row r="803" spans="1:25" ht="15" customHeight="1" x14ac:dyDescent="0.2">
      <c r="A803" s="88" t="s">
        <v>1118</v>
      </c>
      <c r="B803" s="90"/>
      <c r="C803" s="88" t="s">
        <v>1159</v>
      </c>
      <c r="D803" s="90"/>
      <c r="E803" s="88" t="s">
        <v>1162</v>
      </c>
      <c r="F803" s="89"/>
      <c r="G803" s="89"/>
      <c r="H803" s="89"/>
      <c r="I803" s="90"/>
      <c r="J803" s="88" t="s">
        <v>13</v>
      </c>
      <c r="K803" s="89"/>
      <c r="L803" s="89"/>
      <c r="M803" s="90"/>
      <c r="N803" s="88" t="s">
        <v>26</v>
      </c>
      <c r="O803" s="89"/>
      <c r="P803" s="90"/>
      <c r="Q803" s="133">
        <v>5700</v>
      </c>
      <c r="R803" s="134"/>
      <c r="S803" s="5" t="s">
        <v>271</v>
      </c>
      <c r="T803" s="6"/>
      <c r="U803" s="6"/>
      <c r="V803" s="5" t="s">
        <v>23</v>
      </c>
      <c r="W803" s="12">
        <v>11489692</v>
      </c>
      <c r="X803" s="6"/>
      <c r="Y803" s="6"/>
    </row>
    <row r="804" spans="1:25" ht="15" customHeight="1" x14ac:dyDescent="0.2">
      <c r="A804" s="88" t="s">
        <v>1118</v>
      </c>
      <c r="B804" s="90"/>
      <c r="C804" s="88" t="s">
        <v>1159</v>
      </c>
      <c r="D804" s="90"/>
      <c r="E804" s="88" t="s">
        <v>1144</v>
      </c>
      <c r="F804" s="89"/>
      <c r="G804" s="89"/>
      <c r="H804" s="89"/>
      <c r="I804" s="90"/>
      <c r="J804" s="88" t="s">
        <v>13</v>
      </c>
      <c r="K804" s="89"/>
      <c r="L804" s="89"/>
      <c r="M804" s="90"/>
      <c r="N804" s="88" t="s">
        <v>26</v>
      </c>
      <c r="O804" s="89"/>
      <c r="P804" s="90"/>
      <c r="Q804" s="133">
        <v>5700</v>
      </c>
      <c r="R804" s="134"/>
      <c r="S804" s="5" t="s">
        <v>271</v>
      </c>
      <c r="T804" s="6"/>
      <c r="U804" s="6"/>
      <c r="V804" s="5" t="s">
        <v>23</v>
      </c>
      <c r="W804" s="12">
        <v>17504350</v>
      </c>
      <c r="X804" s="6"/>
      <c r="Y804" s="6"/>
    </row>
    <row r="805" spans="1:25" ht="15" customHeight="1" x14ac:dyDescent="0.2">
      <c r="A805" s="88" t="s">
        <v>1118</v>
      </c>
      <c r="B805" s="90"/>
      <c r="C805" s="88" t="s">
        <v>1159</v>
      </c>
      <c r="D805" s="90"/>
      <c r="E805" s="88" t="s">
        <v>1163</v>
      </c>
      <c r="F805" s="89"/>
      <c r="G805" s="89"/>
      <c r="H805" s="89"/>
      <c r="I805" s="90"/>
      <c r="J805" s="88" t="s">
        <v>13</v>
      </c>
      <c r="K805" s="89"/>
      <c r="L805" s="89"/>
      <c r="M805" s="90"/>
      <c r="N805" s="88" t="s">
        <v>26</v>
      </c>
      <c r="O805" s="89"/>
      <c r="P805" s="90"/>
      <c r="Q805" s="133">
        <v>6400</v>
      </c>
      <c r="R805" s="134"/>
      <c r="S805" s="5" t="s">
        <v>271</v>
      </c>
      <c r="T805" s="6"/>
      <c r="U805" s="6"/>
      <c r="V805" s="5" t="s">
        <v>23</v>
      </c>
      <c r="W805" s="12">
        <v>11580082</v>
      </c>
      <c r="X805" s="6"/>
      <c r="Y805" s="6"/>
    </row>
    <row r="806" spans="1:25" ht="15" customHeight="1" x14ac:dyDescent="0.2">
      <c r="A806" s="88" t="s">
        <v>1118</v>
      </c>
      <c r="B806" s="90"/>
      <c r="C806" s="88" t="s">
        <v>1159</v>
      </c>
      <c r="D806" s="90"/>
      <c r="E806" s="88" t="s">
        <v>1164</v>
      </c>
      <c r="F806" s="89"/>
      <c r="G806" s="89"/>
      <c r="H806" s="89"/>
      <c r="I806" s="90"/>
      <c r="J806" s="88" t="s">
        <v>13</v>
      </c>
      <c r="K806" s="89"/>
      <c r="L806" s="89"/>
      <c r="M806" s="90"/>
      <c r="N806" s="88" t="s">
        <v>26</v>
      </c>
      <c r="O806" s="89"/>
      <c r="P806" s="90"/>
      <c r="Q806" s="133">
        <v>6400</v>
      </c>
      <c r="R806" s="134"/>
      <c r="S806" s="5" t="s">
        <v>271</v>
      </c>
      <c r="T806" s="6"/>
      <c r="U806" s="6"/>
      <c r="V806" s="5" t="s">
        <v>23</v>
      </c>
      <c r="W806" s="12">
        <v>13375045</v>
      </c>
      <c r="X806" s="6"/>
      <c r="Y806" s="6"/>
    </row>
    <row r="807" spans="1:25" ht="15" customHeight="1" x14ac:dyDescent="0.2">
      <c r="A807" s="88" t="s">
        <v>1118</v>
      </c>
      <c r="B807" s="90"/>
      <c r="C807" s="88" t="s">
        <v>1159</v>
      </c>
      <c r="D807" s="90"/>
      <c r="E807" s="88" t="s">
        <v>1165</v>
      </c>
      <c r="F807" s="89"/>
      <c r="G807" s="89"/>
      <c r="H807" s="89"/>
      <c r="I807" s="90"/>
      <c r="J807" s="88" t="s">
        <v>13</v>
      </c>
      <c r="K807" s="89"/>
      <c r="L807" s="89"/>
      <c r="M807" s="90"/>
      <c r="N807" s="88" t="s">
        <v>26</v>
      </c>
      <c r="O807" s="89"/>
      <c r="P807" s="90"/>
      <c r="Q807" s="133">
        <v>6400</v>
      </c>
      <c r="R807" s="134"/>
      <c r="S807" s="5" t="s">
        <v>271</v>
      </c>
      <c r="T807" s="6"/>
      <c r="U807" s="6"/>
      <c r="V807" s="5" t="s">
        <v>23</v>
      </c>
      <c r="W807" s="12">
        <v>18466043</v>
      </c>
      <c r="X807" s="6"/>
      <c r="Y807" s="6"/>
    </row>
    <row r="808" spans="1:25" ht="15" customHeight="1" x14ac:dyDescent="0.2">
      <c r="A808" s="88" t="s">
        <v>1118</v>
      </c>
      <c r="B808" s="90"/>
      <c r="C808" s="88" t="s">
        <v>1159</v>
      </c>
      <c r="D808" s="90"/>
      <c r="E808" s="88" t="s">
        <v>1166</v>
      </c>
      <c r="F808" s="89"/>
      <c r="G808" s="89"/>
      <c r="H808" s="89"/>
      <c r="I808" s="90"/>
      <c r="J808" s="88" t="s">
        <v>13</v>
      </c>
      <c r="K808" s="89"/>
      <c r="L808" s="89"/>
      <c r="M808" s="90"/>
      <c r="N808" s="88" t="s">
        <v>26</v>
      </c>
      <c r="O808" s="89"/>
      <c r="P808" s="90"/>
      <c r="Q808" s="133">
        <v>6400</v>
      </c>
      <c r="R808" s="134"/>
      <c r="S808" s="5" t="s">
        <v>271</v>
      </c>
      <c r="T808" s="6"/>
      <c r="U808" s="6"/>
      <c r="V808" s="5" t="s">
        <v>23</v>
      </c>
      <c r="W808" s="12">
        <v>17903697</v>
      </c>
      <c r="X808" s="6"/>
      <c r="Y808" s="6"/>
    </row>
    <row r="809" spans="1:25" ht="15" customHeight="1" x14ac:dyDescent="0.2">
      <c r="A809" s="88" t="s">
        <v>1118</v>
      </c>
      <c r="B809" s="90"/>
      <c r="C809" s="88" t="s">
        <v>1159</v>
      </c>
      <c r="D809" s="90"/>
      <c r="E809" s="88" t="s">
        <v>1167</v>
      </c>
      <c r="F809" s="89"/>
      <c r="G809" s="89"/>
      <c r="H809" s="89"/>
      <c r="I809" s="90"/>
      <c r="J809" s="88" t="s">
        <v>599</v>
      </c>
      <c r="K809" s="89"/>
      <c r="L809" s="89"/>
      <c r="M809" s="90"/>
      <c r="N809" s="88" t="s">
        <v>26</v>
      </c>
      <c r="O809" s="89"/>
      <c r="P809" s="90"/>
      <c r="Q809" s="133">
        <v>6400</v>
      </c>
      <c r="R809" s="134"/>
      <c r="S809" s="5" t="s">
        <v>271</v>
      </c>
      <c r="T809" s="6"/>
      <c r="U809" s="6"/>
      <c r="V809" s="5" t="s">
        <v>23</v>
      </c>
      <c r="W809" s="12">
        <v>28459356</v>
      </c>
      <c r="X809" s="6"/>
      <c r="Y809" s="6"/>
    </row>
    <row r="810" spans="1:25" ht="15" customHeight="1" x14ac:dyDescent="0.2">
      <c r="A810" s="88" t="s">
        <v>1118</v>
      </c>
      <c r="B810" s="90"/>
      <c r="C810" s="88" t="s">
        <v>1159</v>
      </c>
      <c r="D810" s="90"/>
      <c r="E810" s="88" t="s">
        <v>1168</v>
      </c>
      <c r="F810" s="89"/>
      <c r="G810" s="89"/>
      <c r="H810" s="89"/>
      <c r="I810" s="90"/>
      <c r="J810" s="88" t="s">
        <v>13</v>
      </c>
      <c r="K810" s="89"/>
      <c r="L810" s="89"/>
      <c r="M810" s="90"/>
      <c r="N810" s="88" t="s">
        <v>26</v>
      </c>
      <c r="O810" s="89"/>
      <c r="P810" s="90"/>
      <c r="Q810" s="133">
        <v>6400</v>
      </c>
      <c r="R810" s="134"/>
      <c r="S810" s="5" t="s">
        <v>271</v>
      </c>
      <c r="T810" s="6"/>
      <c r="U810" s="6"/>
      <c r="V810" s="5" t="s">
        <v>23</v>
      </c>
      <c r="W810" s="12">
        <v>29967590</v>
      </c>
      <c r="X810" s="6"/>
      <c r="Y810" s="6"/>
    </row>
    <row r="811" spans="1:25" ht="15" customHeight="1" x14ac:dyDescent="0.2">
      <c r="A811" s="88" t="s">
        <v>1118</v>
      </c>
      <c r="B811" s="90"/>
      <c r="C811" s="88" t="s">
        <v>1159</v>
      </c>
      <c r="D811" s="90"/>
      <c r="E811" s="88" t="s">
        <v>1169</v>
      </c>
      <c r="F811" s="89"/>
      <c r="G811" s="89"/>
      <c r="H811" s="89"/>
      <c r="I811" s="90"/>
      <c r="J811" s="88" t="s">
        <v>13</v>
      </c>
      <c r="K811" s="89"/>
      <c r="L811" s="89"/>
      <c r="M811" s="90"/>
      <c r="N811" s="88" t="s">
        <v>26</v>
      </c>
      <c r="O811" s="89"/>
      <c r="P811" s="90"/>
      <c r="Q811" s="133">
        <v>6400</v>
      </c>
      <c r="R811" s="134"/>
      <c r="S811" s="5" t="s">
        <v>271</v>
      </c>
      <c r="T811" s="6"/>
      <c r="U811" s="6"/>
      <c r="V811" s="5" t="s">
        <v>23</v>
      </c>
      <c r="W811" s="12">
        <v>24725941</v>
      </c>
      <c r="X811" s="6"/>
      <c r="Y811" s="6"/>
    </row>
    <row r="812" spans="1:25" ht="15" customHeight="1" x14ac:dyDescent="0.2">
      <c r="A812" s="88" t="s">
        <v>1118</v>
      </c>
      <c r="B812" s="90"/>
      <c r="C812" s="88" t="s">
        <v>1159</v>
      </c>
      <c r="D812" s="90"/>
      <c r="E812" s="88" t="s">
        <v>1170</v>
      </c>
      <c r="F812" s="89"/>
      <c r="G812" s="89"/>
      <c r="H812" s="89"/>
      <c r="I812" s="90"/>
      <c r="J812" s="88" t="s">
        <v>13</v>
      </c>
      <c r="K812" s="89"/>
      <c r="L812" s="89"/>
      <c r="M812" s="90"/>
      <c r="N812" s="88" t="s">
        <v>26</v>
      </c>
      <c r="O812" s="89"/>
      <c r="P812" s="90"/>
      <c r="Q812" s="133">
        <v>6400</v>
      </c>
      <c r="R812" s="134"/>
      <c r="S812" s="5" t="s">
        <v>793</v>
      </c>
      <c r="T812" s="6"/>
      <c r="U812" s="6"/>
      <c r="V812" s="5" t="s">
        <v>23</v>
      </c>
      <c r="W812" s="12">
        <v>21263450</v>
      </c>
      <c r="X812" s="6"/>
      <c r="Y812" s="6"/>
    </row>
    <row r="813" spans="1:25" ht="15" customHeight="1" x14ac:dyDescent="0.2">
      <c r="A813" s="88" t="s">
        <v>1118</v>
      </c>
      <c r="B813" s="90"/>
      <c r="C813" s="88" t="s">
        <v>1159</v>
      </c>
      <c r="D813" s="90"/>
      <c r="E813" s="88" t="s">
        <v>1171</v>
      </c>
      <c r="F813" s="89"/>
      <c r="G813" s="89"/>
      <c r="H813" s="89"/>
      <c r="I813" s="90"/>
      <c r="J813" s="88" t="s">
        <v>13</v>
      </c>
      <c r="K813" s="89"/>
      <c r="L813" s="89"/>
      <c r="M813" s="90"/>
      <c r="N813" s="88" t="s">
        <v>26</v>
      </c>
      <c r="O813" s="89"/>
      <c r="P813" s="90"/>
      <c r="Q813" s="133">
        <v>6400</v>
      </c>
      <c r="R813" s="134"/>
      <c r="S813" s="5" t="s">
        <v>271</v>
      </c>
      <c r="T813" s="6"/>
      <c r="U813" s="6"/>
      <c r="V813" s="5" t="s">
        <v>23</v>
      </c>
      <c r="W813" s="12">
        <v>21263450</v>
      </c>
      <c r="X813" s="6"/>
      <c r="Y813" s="6"/>
    </row>
    <row r="814" spans="1:25" ht="15" customHeight="1" x14ac:dyDescent="0.2">
      <c r="A814" s="88" t="s">
        <v>1118</v>
      </c>
      <c r="B814" s="90"/>
      <c r="C814" s="88" t="s">
        <v>1172</v>
      </c>
      <c r="D814" s="90"/>
      <c r="E814" s="88" t="s">
        <v>1173</v>
      </c>
      <c r="F814" s="89"/>
      <c r="G814" s="89"/>
      <c r="H814" s="89"/>
      <c r="I814" s="90"/>
      <c r="J814" s="88" t="s">
        <v>13</v>
      </c>
      <c r="K814" s="89"/>
      <c r="L814" s="89"/>
      <c r="M814" s="90"/>
      <c r="N814" s="88" t="s">
        <v>26</v>
      </c>
      <c r="O814" s="89"/>
      <c r="P814" s="90"/>
      <c r="Q814" s="133">
        <v>5700</v>
      </c>
      <c r="R814" s="134"/>
      <c r="S814" s="5" t="s">
        <v>271</v>
      </c>
      <c r="T814" s="6"/>
      <c r="U814" s="6"/>
      <c r="V814" s="5" t="s">
        <v>23</v>
      </c>
      <c r="W814" s="12">
        <v>12432368</v>
      </c>
      <c r="X814" s="6"/>
      <c r="Y814" s="6"/>
    </row>
    <row r="815" spans="1:25" ht="15" customHeight="1" x14ac:dyDescent="0.2">
      <c r="A815" s="88" t="s">
        <v>1118</v>
      </c>
      <c r="B815" s="90"/>
      <c r="C815" s="88" t="s">
        <v>1172</v>
      </c>
      <c r="D815" s="90"/>
      <c r="E815" s="88" t="s">
        <v>1174</v>
      </c>
      <c r="F815" s="89"/>
      <c r="G815" s="89"/>
      <c r="H815" s="89"/>
      <c r="I815" s="90"/>
      <c r="J815" s="88" t="s">
        <v>13</v>
      </c>
      <c r="K815" s="89"/>
      <c r="L815" s="89"/>
      <c r="M815" s="90"/>
      <c r="N815" s="88" t="s">
        <v>26</v>
      </c>
      <c r="O815" s="89"/>
      <c r="P815" s="90"/>
      <c r="Q815" s="133">
        <v>5700</v>
      </c>
      <c r="R815" s="134"/>
      <c r="S815" s="5" t="s">
        <v>271</v>
      </c>
      <c r="T815" s="6"/>
      <c r="U815" s="6"/>
      <c r="V815" s="5" t="s">
        <v>23</v>
      </c>
      <c r="W815" s="12">
        <v>13549899</v>
      </c>
      <c r="X815" s="6"/>
      <c r="Y815" s="6"/>
    </row>
    <row r="816" spans="1:25" ht="15" customHeight="1" x14ac:dyDescent="0.2">
      <c r="A816" s="88" t="s">
        <v>1118</v>
      </c>
      <c r="B816" s="90"/>
      <c r="C816" s="88" t="s">
        <v>1172</v>
      </c>
      <c r="D816" s="90"/>
      <c r="E816" s="88" t="s">
        <v>1175</v>
      </c>
      <c r="F816" s="89"/>
      <c r="G816" s="89"/>
      <c r="H816" s="89"/>
      <c r="I816" s="90"/>
      <c r="J816" s="88" t="s">
        <v>13</v>
      </c>
      <c r="K816" s="89"/>
      <c r="L816" s="89"/>
      <c r="M816" s="90"/>
      <c r="N816" s="88" t="s">
        <v>26</v>
      </c>
      <c r="O816" s="89"/>
      <c r="P816" s="90"/>
      <c r="Q816" s="133">
        <v>5700</v>
      </c>
      <c r="R816" s="134"/>
      <c r="S816" s="5" t="s">
        <v>271</v>
      </c>
      <c r="T816" s="6"/>
      <c r="U816" s="6"/>
      <c r="V816" s="5" t="s">
        <v>23</v>
      </c>
      <c r="W816" s="12">
        <v>16241109</v>
      </c>
      <c r="X816" s="6"/>
      <c r="Y816" s="6"/>
    </row>
    <row r="817" spans="1:25" ht="15" customHeight="1" x14ac:dyDescent="0.2">
      <c r="A817" s="88" t="s">
        <v>1118</v>
      </c>
      <c r="B817" s="90"/>
      <c r="C817" s="88" t="s">
        <v>1172</v>
      </c>
      <c r="D817" s="90"/>
      <c r="E817" s="88" t="s">
        <v>1176</v>
      </c>
      <c r="F817" s="89"/>
      <c r="G817" s="89"/>
      <c r="H817" s="89"/>
      <c r="I817" s="90"/>
      <c r="J817" s="88" t="s">
        <v>13</v>
      </c>
      <c r="K817" s="89"/>
      <c r="L817" s="89"/>
      <c r="M817" s="90"/>
      <c r="N817" s="88" t="s">
        <v>26</v>
      </c>
      <c r="O817" s="89"/>
      <c r="P817" s="90"/>
      <c r="Q817" s="133">
        <v>5700</v>
      </c>
      <c r="R817" s="134"/>
      <c r="S817" s="5" t="s">
        <v>271</v>
      </c>
      <c r="T817" s="6"/>
      <c r="U817" s="6"/>
      <c r="V817" s="5" t="s">
        <v>23</v>
      </c>
      <c r="W817" s="12">
        <v>15298432</v>
      </c>
      <c r="X817" s="6"/>
      <c r="Y817" s="6"/>
    </row>
    <row r="818" spans="1:25" ht="15" customHeight="1" x14ac:dyDescent="0.2">
      <c r="A818" s="88" t="s">
        <v>1118</v>
      </c>
      <c r="B818" s="90"/>
      <c r="C818" s="88" t="s">
        <v>1172</v>
      </c>
      <c r="D818" s="90"/>
      <c r="E818" s="88" t="s">
        <v>1177</v>
      </c>
      <c r="F818" s="89"/>
      <c r="G818" s="89"/>
      <c r="H818" s="89"/>
      <c r="I818" s="90"/>
      <c r="J818" s="88" t="s">
        <v>1178</v>
      </c>
      <c r="K818" s="89"/>
      <c r="L818" s="89"/>
      <c r="M818" s="90"/>
      <c r="N818" s="88" t="s">
        <v>26</v>
      </c>
      <c r="O818" s="89"/>
      <c r="P818" s="90"/>
      <c r="Q818" s="133">
        <v>5700</v>
      </c>
      <c r="R818" s="134"/>
      <c r="S818" s="5" t="s">
        <v>271</v>
      </c>
      <c r="T818" s="6"/>
      <c r="U818" s="6"/>
      <c r="V818" s="5" t="s">
        <v>23</v>
      </c>
      <c r="W818" s="12">
        <v>12658591</v>
      </c>
      <c r="X818" s="6"/>
      <c r="Y818" s="6"/>
    </row>
    <row r="819" spans="1:25" ht="15" customHeight="1" x14ac:dyDescent="0.2">
      <c r="A819" s="88" t="s">
        <v>1118</v>
      </c>
      <c r="B819" s="90"/>
      <c r="C819" s="88" t="s">
        <v>1172</v>
      </c>
      <c r="D819" s="90"/>
      <c r="E819" s="88" t="s">
        <v>1179</v>
      </c>
      <c r="F819" s="89"/>
      <c r="G819" s="89"/>
      <c r="H819" s="89"/>
      <c r="I819" s="90"/>
      <c r="J819" s="88" t="s">
        <v>13</v>
      </c>
      <c r="K819" s="89"/>
      <c r="L819" s="89"/>
      <c r="M819" s="90"/>
      <c r="N819" s="88" t="s">
        <v>26</v>
      </c>
      <c r="O819" s="89"/>
      <c r="P819" s="90"/>
      <c r="Q819" s="133">
        <v>5700</v>
      </c>
      <c r="R819" s="134"/>
      <c r="S819" s="5" t="s">
        <v>271</v>
      </c>
      <c r="T819" s="6"/>
      <c r="U819" s="6"/>
      <c r="V819" s="5" t="s">
        <v>23</v>
      </c>
      <c r="W819" s="12">
        <v>15486869</v>
      </c>
      <c r="X819" s="6"/>
      <c r="Y819" s="6"/>
    </row>
    <row r="820" spans="1:25" ht="15" customHeight="1" x14ac:dyDescent="0.2">
      <c r="A820" s="88" t="s">
        <v>1118</v>
      </c>
      <c r="B820" s="90"/>
      <c r="C820" s="88" t="s">
        <v>1180</v>
      </c>
      <c r="D820" s="90"/>
      <c r="E820" s="88" t="s">
        <v>1181</v>
      </c>
      <c r="F820" s="89"/>
      <c r="G820" s="89"/>
      <c r="H820" s="89"/>
      <c r="I820" s="90"/>
      <c r="J820" s="88" t="s">
        <v>13</v>
      </c>
      <c r="K820" s="89"/>
      <c r="L820" s="89"/>
      <c r="M820" s="90"/>
      <c r="N820" s="88" t="s">
        <v>26</v>
      </c>
      <c r="O820" s="89"/>
      <c r="P820" s="90"/>
      <c r="Q820" s="133">
        <v>6200</v>
      </c>
      <c r="R820" s="134"/>
      <c r="S820" s="5" t="s">
        <v>271</v>
      </c>
      <c r="T820" s="6"/>
      <c r="U820" s="6"/>
      <c r="V820" s="5" t="s">
        <v>23</v>
      </c>
      <c r="W820" s="12">
        <v>29609486</v>
      </c>
      <c r="X820" s="6"/>
      <c r="Y820" s="6"/>
    </row>
    <row r="821" spans="1:25" ht="15" customHeight="1" x14ac:dyDescent="0.2">
      <c r="A821" s="88" t="s">
        <v>1118</v>
      </c>
      <c r="B821" s="90"/>
      <c r="C821" s="88" t="s">
        <v>1182</v>
      </c>
      <c r="D821" s="90"/>
      <c r="E821" s="88" t="s">
        <v>1183</v>
      </c>
      <c r="F821" s="89"/>
      <c r="G821" s="89"/>
      <c r="H821" s="89"/>
      <c r="I821" s="90"/>
      <c r="J821" s="88" t="s">
        <v>13</v>
      </c>
      <c r="K821" s="89"/>
      <c r="L821" s="89"/>
      <c r="M821" s="90"/>
      <c r="N821" s="88" t="s">
        <v>26</v>
      </c>
      <c r="O821" s="89"/>
      <c r="P821" s="90"/>
      <c r="Q821" s="133">
        <v>6100</v>
      </c>
      <c r="R821" s="134"/>
      <c r="S821" s="5" t="s">
        <v>271</v>
      </c>
      <c r="T821" s="6"/>
      <c r="U821" s="6"/>
      <c r="V821" s="5" t="s">
        <v>23</v>
      </c>
      <c r="W821" s="12">
        <v>33776330</v>
      </c>
      <c r="X821" s="6"/>
      <c r="Y821" s="6"/>
    </row>
    <row r="822" spans="1:25" ht="15" customHeight="1" x14ac:dyDescent="0.2">
      <c r="A822" s="88" t="s">
        <v>1118</v>
      </c>
      <c r="B822" s="90"/>
      <c r="C822" s="88" t="s">
        <v>1182</v>
      </c>
      <c r="D822" s="90"/>
      <c r="E822" s="88" t="s">
        <v>1184</v>
      </c>
      <c r="F822" s="89"/>
      <c r="G822" s="89"/>
      <c r="H822" s="89"/>
      <c r="I822" s="90"/>
      <c r="J822" s="88" t="s">
        <v>13</v>
      </c>
      <c r="K822" s="89"/>
      <c r="L822" s="89"/>
      <c r="M822" s="90"/>
      <c r="N822" s="88" t="s">
        <v>26</v>
      </c>
      <c r="O822" s="89"/>
      <c r="P822" s="90"/>
      <c r="Q822" s="133">
        <v>6200</v>
      </c>
      <c r="R822" s="134"/>
      <c r="S822" s="5" t="s">
        <v>271</v>
      </c>
      <c r="T822" s="6"/>
      <c r="U822" s="6"/>
      <c r="V822" s="5" t="s">
        <v>23</v>
      </c>
      <c r="W822" s="12">
        <v>14419720</v>
      </c>
      <c r="X822" s="6"/>
      <c r="Y822" s="6"/>
    </row>
    <row r="823" spans="1:25" ht="15" customHeight="1" x14ac:dyDescent="0.2">
      <c r="A823" s="88" t="s">
        <v>1118</v>
      </c>
      <c r="B823" s="90"/>
      <c r="C823" s="88" t="s">
        <v>1182</v>
      </c>
      <c r="D823" s="90"/>
      <c r="E823" s="88" t="s">
        <v>1185</v>
      </c>
      <c r="F823" s="89"/>
      <c r="G823" s="89"/>
      <c r="H823" s="89"/>
      <c r="I823" s="90"/>
      <c r="J823" s="88" t="s">
        <v>13</v>
      </c>
      <c r="K823" s="89"/>
      <c r="L823" s="89"/>
      <c r="M823" s="90"/>
      <c r="N823" s="88" t="s">
        <v>26</v>
      </c>
      <c r="O823" s="89"/>
      <c r="P823" s="90"/>
      <c r="Q823" s="133">
        <v>6200</v>
      </c>
      <c r="R823" s="134"/>
      <c r="S823" s="5" t="s">
        <v>271</v>
      </c>
      <c r="T823" s="6"/>
      <c r="U823" s="6"/>
      <c r="V823" s="5" t="s">
        <v>23</v>
      </c>
      <c r="W823" s="12">
        <v>21143423</v>
      </c>
      <c r="X823" s="6"/>
      <c r="Y823" s="6"/>
    </row>
    <row r="824" spans="1:25" ht="15" customHeight="1" x14ac:dyDescent="0.2">
      <c r="A824" s="88" t="s">
        <v>1118</v>
      </c>
      <c r="B824" s="90"/>
      <c r="C824" s="88" t="s">
        <v>1182</v>
      </c>
      <c r="D824" s="90"/>
      <c r="E824" s="88" t="s">
        <v>1186</v>
      </c>
      <c r="F824" s="89"/>
      <c r="G824" s="89"/>
      <c r="H824" s="89"/>
      <c r="I824" s="90"/>
      <c r="J824" s="88" t="s">
        <v>13</v>
      </c>
      <c r="K824" s="89"/>
      <c r="L824" s="89"/>
      <c r="M824" s="90"/>
      <c r="N824" s="88" t="s">
        <v>26</v>
      </c>
      <c r="O824" s="89"/>
      <c r="P824" s="90"/>
      <c r="Q824" s="133">
        <v>6200</v>
      </c>
      <c r="R824" s="134"/>
      <c r="S824" s="5" t="s">
        <v>271</v>
      </c>
      <c r="T824" s="6"/>
      <c r="U824" s="6"/>
      <c r="V824" s="5" t="s">
        <v>23</v>
      </c>
      <c r="W824" s="12">
        <v>23011736</v>
      </c>
      <c r="X824" s="6"/>
      <c r="Y824" s="6"/>
    </row>
    <row r="825" spans="1:25" ht="15" customHeight="1" x14ac:dyDescent="0.2">
      <c r="A825" s="88" t="s">
        <v>1118</v>
      </c>
      <c r="B825" s="90"/>
      <c r="C825" s="88" t="s">
        <v>1182</v>
      </c>
      <c r="D825" s="90"/>
      <c r="E825" s="88" t="s">
        <v>1187</v>
      </c>
      <c r="F825" s="89"/>
      <c r="G825" s="89"/>
      <c r="H825" s="89"/>
      <c r="I825" s="90"/>
      <c r="J825" s="88" t="s">
        <v>13</v>
      </c>
      <c r="K825" s="89"/>
      <c r="L825" s="89"/>
      <c r="M825" s="90"/>
      <c r="N825" s="88" t="s">
        <v>26</v>
      </c>
      <c r="O825" s="89"/>
      <c r="P825" s="90"/>
      <c r="Q825" s="133">
        <v>6200</v>
      </c>
      <c r="R825" s="134"/>
      <c r="S825" s="5" t="s">
        <v>271</v>
      </c>
      <c r="T825" s="6"/>
      <c r="U825" s="6"/>
      <c r="V825" s="5" t="s">
        <v>23</v>
      </c>
      <c r="W825" s="12">
        <v>34681468</v>
      </c>
      <c r="X825" s="6"/>
      <c r="Y825" s="6"/>
    </row>
    <row r="826" spans="1:25" ht="15" customHeight="1" x14ac:dyDescent="0.2">
      <c r="A826" s="88" t="s">
        <v>1118</v>
      </c>
      <c r="B826" s="90"/>
      <c r="C826" s="88" t="s">
        <v>1182</v>
      </c>
      <c r="D826" s="90"/>
      <c r="E826" s="88" t="s">
        <v>1188</v>
      </c>
      <c r="F826" s="89"/>
      <c r="G826" s="89"/>
      <c r="H826" s="89"/>
      <c r="I826" s="90"/>
      <c r="J826" s="88" t="s">
        <v>13</v>
      </c>
      <c r="K826" s="89"/>
      <c r="L826" s="89"/>
      <c r="M826" s="90"/>
      <c r="N826" s="88" t="s">
        <v>26</v>
      </c>
      <c r="O826" s="89"/>
      <c r="P826" s="90"/>
      <c r="Q826" s="133">
        <v>6200</v>
      </c>
      <c r="R826" s="134"/>
      <c r="S826" s="5" t="s">
        <v>271</v>
      </c>
      <c r="T826" s="6"/>
      <c r="U826" s="6"/>
      <c r="V826" s="5" t="s">
        <v>23</v>
      </c>
      <c r="W826" s="12">
        <v>25668618</v>
      </c>
      <c r="X826" s="6"/>
      <c r="Y826" s="6"/>
    </row>
    <row r="827" spans="1:25" ht="15" customHeight="1" x14ac:dyDescent="0.2">
      <c r="A827" s="88" t="s">
        <v>1118</v>
      </c>
      <c r="B827" s="90"/>
      <c r="C827" s="88" t="s">
        <v>1182</v>
      </c>
      <c r="D827" s="90"/>
      <c r="E827" s="88" t="s">
        <v>1189</v>
      </c>
      <c r="F827" s="89"/>
      <c r="G827" s="89"/>
      <c r="H827" s="89"/>
      <c r="I827" s="90"/>
      <c r="J827" s="88" t="s">
        <v>1190</v>
      </c>
      <c r="K827" s="89"/>
      <c r="L827" s="89"/>
      <c r="M827" s="90"/>
      <c r="N827" s="88" t="s">
        <v>26</v>
      </c>
      <c r="O827" s="89"/>
      <c r="P827" s="90"/>
      <c r="Q827" s="133">
        <v>6200</v>
      </c>
      <c r="R827" s="134"/>
      <c r="S827" s="5" t="s">
        <v>271</v>
      </c>
      <c r="T827" s="6"/>
      <c r="U827" s="6"/>
      <c r="V827" s="5" t="s">
        <v>23</v>
      </c>
      <c r="W827" s="12">
        <v>34681468</v>
      </c>
      <c r="X827" s="6"/>
      <c r="Y827" s="6"/>
    </row>
    <row r="828" spans="1:25" ht="15" customHeight="1" x14ac:dyDescent="0.2">
      <c r="A828" s="88" t="s">
        <v>1118</v>
      </c>
      <c r="B828" s="90"/>
      <c r="C828" s="88" t="s">
        <v>1182</v>
      </c>
      <c r="D828" s="90"/>
      <c r="E828" s="88" t="s">
        <v>1191</v>
      </c>
      <c r="F828" s="89"/>
      <c r="G828" s="89"/>
      <c r="H828" s="89"/>
      <c r="I828" s="90"/>
      <c r="J828" s="88" t="s">
        <v>13</v>
      </c>
      <c r="K828" s="89"/>
      <c r="L828" s="89"/>
      <c r="M828" s="90"/>
      <c r="N828" s="88" t="s">
        <v>26</v>
      </c>
      <c r="O828" s="89"/>
      <c r="P828" s="90"/>
      <c r="Q828" s="133">
        <v>6200</v>
      </c>
      <c r="R828" s="134"/>
      <c r="S828" s="5" t="s">
        <v>271</v>
      </c>
      <c r="T828" s="6"/>
      <c r="U828" s="6"/>
      <c r="V828" s="5" t="s">
        <v>23</v>
      </c>
      <c r="W828" s="12">
        <v>32216480</v>
      </c>
      <c r="X828" s="6"/>
      <c r="Y828" s="6"/>
    </row>
    <row r="829" spans="1:25" ht="15" customHeight="1" x14ac:dyDescent="0.2">
      <c r="A829" s="88" t="s">
        <v>1118</v>
      </c>
      <c r="B829" s="90"/>
      <c r="C829" s="88" t="s">
        <v>1182</v>
      </c>
      <c r="D829" s="90"/>
      <c r="E829" s="88" t="s">
        <v>1192</v>
      </c>
      <c r="F829" s="89"/>
      <c r="G829" s="89"/>
      <c r="H829" s="89"/>
      <c r="I829" s="90"/>
      <c r="J829" s="88" t="s">
        <v>13</v>
      </c>
      <c r="K829" s="89"/>
      <c r="L829" s="89"/>
      <c r="M829" s="90"/>
      <c r="N829" s="88" t="s">
        <v>26</v>
      </c>
      <c r="O829" s="89"/>
      <c r="P829" s="90"/>
      <c r="Q829" s="133">
        <v>6200</v>
      </c>
      <c r="R829" s="134"/>
      <c r="S829" s="5" t="s">
        <v>271</v>
      </c>
      <c r="T829" s="6"/>
      <c r="U829" s="6"/>
      <c r="V829" s="5" t="s">
        <v>23</v>
      </c>
      <c r="W829" s="12">
        <v>31873688</v>
      </c>
      <c r="X829" s="6"/>
      <c r="Y829" s="6"/>
    </row>
    <row r="830" spans="1:25" ht="15" customHeight="1" x14ac:dyDescent="0.2">
      <c r="A830" s="88" t="s">
        <v>1118</v>
      </c>
      <c r="B830" s="90"/>
      <c r="C830" s="88" t="s">
        <v>1193</v>
      </c>
      <c r="D830" s="90"/>
      <c r="E830" s="88" t="s">
        <v>1194</v>
      </c>
      <c r="F830" s="89"/>
      <c r="G830" s="89"/>
      <c r="H830" s="89"/>
      <c r="I830" s="90"/>
      <c r="J830" s="88" t="s">
        <v>13</v>
      </c>
      <c r="K830" s="89"/>
      <c r="L830" s="89"/>
      <c r="M830" s="90"/>
      <c r="N830" s="88" t="s">
        <v>26</v>
      </c>
      <c r="O830" s="89"/>
      <c r="P830" s="90"/>
      <c r="Q830" s="133">
        <v>3600</v>
      </c>
      <c r="R830" s="134"/>
      <c r="S830" s="5" t="s">
        <v>271</v>
      </c>
      <c r="T830" s="6"/>
      <c r="U830" s="6"/>
      <c r="V830" s="5" t="s">
        <v>23</v>
      </c>
      <c r="W830" s="12">
        <v>6677767</v>
      </c>
      <c r="X830" s="6"/>
      <c r="Y830" s="6"/>
    </row>
    <row r="831" spans="1:25" ht="15" customHeight="1" x14ac:dyDescent="0.2">
      <c r="A831" s="88" t="s">
        <v>1118</v>
      </c>
      <c r="B831" s="90"/>
      <c r="C831" s="88" t="s">
        <v>1193</v>
      </c>
      <c r="D831" s="90"/>
      <c r="E831" s="88" t="s">
        <v>1195</v>
      </c>
      <c r="F831" s="89"/>
      <c r="G831" s="89"/>
      <c r="H831" s="89"/>
      <c r="I831" s="90"/>
      <c r="J831" s="88" t="s">
        <v>13</v>
      </c>
      <c r="K831" s="89"/>
      <c r="L831" s="89"/>
      <c r="M831" s="90"/>
      <c r="N831" s="88" t="s">
        <v>26</v>
      </c>
      <c r="O831" s="89"/>
      <c r="P831" s="90"/>
      <c r="Q831" s="133">
        <v>3600</v>
      </c>
      <c r="R831" s="134"/>
      <c r="S831" s="5" t="s">
        <v>271</v>
      </c>
      <c r="T831" s="6"/>
      <c r="U831" s="6"/>
      <c r="V831" s="5" t="s">
        <v>23</v>
      </c>
      <c r="W831" s="12">
        <v>7584881</v>
      </c>
      <c r="X831" s="6"/>
      <c r="Y831" s="6"/>
    </row>
    <row r="832" spans="1:25" ht="15" customHeight="1" x14ac:dyDescent="0.2">
      <c r="A832" s="88" t="s">
        <v>1118</v>
      </c>
      <c r="B832" s="90"/>
      <c r="C832" s="88" t="s">
        <v>1193</v>
      </c>
      <c r="D832" s="90"/>
      <c r="E832" s="88" t="s">
        <v>1196</v>
      </c>
      <c r="F832" s="89"/>
      <c r="G832" s="89"/>
      <c r="H832" s="89"/>
      <c r="I832" s="90"/>
      <c r="J832" s="88" t="s">
        <v>13</v>
      </c>
      <c r="K832" s="89"/>
      <c r="L832" s="89"/>
      <c r="M832" s="90"/>
      <c r="N832" s="88" t="s">
        <v>26</v>
      </c>
      <c r="O832" s="89"/>
      <c r="P832" s="90"/>
      <c r="Q832" s="133">
        <v>3600</v>
      </c>
      <c r="R832" s="134"/>
      <c r="S832" s="5" t="s">
        <v>271</v>
      </c>
      <c r="T832" s="6"/>
      <c r="U832" s="6"/>
      <c r="V832" s="5" t="s">
        <v>23</v>
      </c>
      <c r="W832" s="12">
        <v>8284294</v>
      </c>
      <c r="X832" s="6"/>
      <c r="Y832" s="6"/>
    </row>
    <row r="833" spans="1:25" ht="15" customHeight="1" x14ac:dyDescent="0.2">
      <c r="A833" s="88" t="s">
        <v>1118</v>
      </c>
      <c r="B833" s="90"/>
      <c r="C833" s="88" t="s">
        <v>1193</v>
      </c>
      <c r="D833" s="90"/>
      <c r="E833" s="88" t="s">
        <v>1197</v>
      </c>
      <c r="F833" s="89"/>
      <c r="G833" s="89"/>
      <c r="H833" s="89"/>
      <c r="I833" s="90"/>
      <c r="J833" s="88" t="s">
        <v>13</v>
      </c>
      <c r="K833" s="89"/>
      <c r="L833" s="89"/>
      <c r="M833" s="90"/>
      <c r="N833" s="88" t="s">
        <v>26</v>
      </c>
      <c r="O833" s="89"/>
      <c r="P833" s="90"/>
      <c r="Q833" s="133">
        <v>3600</v>
      </c>
      <c r="R833" s="134"/>
      <c r="S833" s="5" t="s">
        <v>271</v>
      </c>
      <c r="T833" s="6"/>
      <c r="U833" s="6"/>
      <c r="V833" s="5" t="s">
        <v>23</v>
      </c>
      <c r="W833" s="12">
        <v>7567840</v>
      </c>
      <c r="X833" s="6"/>
      <c r="Y833" s="6"/>
    </row>
    <row r="834" spans="1:25" ht="15" customHeight="1" x14ac:dyDescent="0.2">
      <c r="A834" s="88" t="s">
        <v>1118</v>
      </c>
      <c r="B834" s="90"/>
      <c r="C834" s="88" t="s">
        <v>1198</v>
      </c>
      <c r="D834" s="90"/>
      <c r="E834" s="88" t="s">
        <v>1199</v>
      </c>
      <c r="F834" s="89"/>
      <c r="G834" s="89"/>
      <c r="H834" s="89"/>
      <c r="I834" s="90"/>
      <c r="J834" s="88" t="s">
        <v>13</v>
      </c>
      <c r="K834" s="89"/>
      <c r="L834" s="89"/>
      <c r="M834" s="90"/>
      <c r="N834" s="88" t="s">
        <v>26</v>
      </c>
      <c r="O834" s="89"/>
      <c r="P834" s="90"/>
      <c r="Q834" s="133">
        <v>3600</v>
      </c>
      <c r="R834" s="134"/>
      <c r="S834" s="5" t="s">
        <v>271</v>
      </c>
      <c r="T834" s="6"/>
      <c r="U834" s="6"/>
      <c r="V834" s="5" t="s">
        <v>23</v>
      </c>
      <c r="W834" s="12">
        <v>9453194</v>
      </c>
      <c r="X834" s="6"/>
      <c r="Y834" s="6"/>
    </row>
    <row r="835" spans="1:25" ht="15" customHeight="1" x14ac:dyDescent="0.2">
      <c r="A835" s="88" t="s">
        <v>1118</v>
      </c>
      <c r="B835" s="90"/>
      <c r="C835" s="88" t="s">
        <v>1198</v>
      </c>
      <c r="D835" s="90"/>
      <c r="E835" s="88" t="s">
        <v>1200</v>
      </c>
      <c r="F835" s="89"/>
      <c r="G835" s="89"/>
      <c r="H835" s="89"/>
      <c r="I835" s="90"/>
      <c r="J835" s="88" t="s">
        <v>13</v>
      </c>
      <c r="K835" s="89"/>
      <c r="L835" s="89"/>
      <c r="M835" s="90"/>
      <c r="N835" s="88" t="s">
        <v>26</v>
      </c>
      <c r="O835" s="89"/>
      <c r="P835" s="90"/>
      <c r="Q835" s="133">
        <v>3600</v>
      </c>
      <c r="R835" s="134"/>
      <c r="S835" s="5" t="s">
        <v>271</v>
      </c>
      <c r="T835" s="6"/>
      <c r="U835" s="6"/>
      <c r="V835" s="5" t="s">
        <v>23</v>
      </c>
      <c r="W835" s="12">
        <v>10169895</v>
      </c>
      <c r="X835" s="6"/>
      <c r="Y835" s="6"/>
    </row>
    <row r="836" spans="1:25" ht="15" customHeight="1" x14ac:dyDescent="0.2">
      <c r="A836" s="88" t="s">
        <v>1118</v>
      </c>
      <c r="B836" s="90"/>
      <c r="C836" s="88" t="s">
        <v>1201</v>
      </c>
      <c r="D836" s="90"/>
      <c r="E836" s="88" t="s">
        <v>1202</v>
      </c>
      <c r="F836" s="89"/>
      <c r="G836" s="89"/>
      <c r="H836" s="89"/>
      <c r="I836" s="90"/>
      <c r="J836" s="88" t="s">
        <v>13</v>
      </c>
      <c r="K836" s="89"/>
      <c r="L836" s="89"/>
      <c r="M836" s="90"/>
      <c r="N836" s="88" t="s">
        <v>26</v>
      </c>
      <c r="O836" s="89"/>
      <c r="P836" s="90"/>
      <c r="Q836" s="133">
        <v>6200</v>
      </c>
      <c r="R836" s="134"/>
      <c r="S836" s="5" t="s">
        <v>271</v>
      </c>
      <c r="T836" s="6"/>
      <c r="U836" s="6"/>
      <c r="V836" s="5" t="s">
        <v>23</v>
      </c>
      <c r="W836" s="12">
        <v>34153450</v>
      </c>
      <c r="X836" s="6"/>
      <c r="Y836" s="6"/>
    </row>
    <row r="837" spans="1:25" ht="15" customHeight="1" x14ac:dyDescent="0.2">
      <c r="A837" s="88" t="s">
        <v>1118</v>
      </c>
      <c r="B837" s="90"/>
      <c r="C837" s="88" t="s">
        <v>1201</v>
      </c>
      <c r="D837" s="90"/>
      <c r="E837" s="88" t="s">
        <v>1203</v>
      </c>
      <c r="F837" s="89"/>
      <c r="G837" s="89"/>
      <c r="H837" s="89"/>
      <c r="I837" s="90"/>
      <c r="J837" s="88" t="s">
        <v>13</v>
      </c>
      <c r="K837" s="89"/>
      <c r="L837" s="89"/>
      <c r="M837" s="90"/>
      <c r="N837" s="88" t="s">
        <v>26</v>
      </c>
      <c r="O837" s="89"/>
      <c r="P837" s="90"/>
      <c r="Q837" s="133">
        <v>6200</v>
      </c>
      <c r="R837" s="134"/>
      <c r="S837" s="5" t="s">
        <v>271</v>
      </c>
      <c r="T837" s="6"/>
      <c r="U837" s="6"/>
      <c r="V837" s="5" t="s">
        <v>23</v>
      </c>
      <c r="W837" s="12">
        <v>39604280</v>
      </c>
      <c r="X837" s="6"/>
      <c r="Y837" s="6"/>
    </row>
    <row r="838" spans="1:25" ht="15" customHeight="1" x14ac:dyDescent="0.2">
      <c r="A838" s="88" t="s">
        <v>1118</v>
      </c>
      <c r="B838" s="90"/>
      <c r="C838" s="88" t="s">
        <v>1201</v>
      </c>
      <c r="D838" s="90"/>
      <c r="E838" s="88" t="s">
        <v>1204</v>
      </c>
      <c r="F838" s="89"/>
      <c r="G838" s="89"/>
      <c r="H838" s="89"/>
      <c r="I838" s="90"/>
      <c r="J838" s="88" t="s">
        <v>13</v>
      </c>
      <c r="K838" s="89"/>
      <c r="L838" s="89"/>
      <c r="M838" s="90"/>
      <c r="N838" s="88" t="s">
        <v>26</v>
      </c>
      <c r="O838" s="89"/>
      <c r="P838" s="90"/>
      <c r="Q838" s="133">
        <v>6400</v>
      </c>
      <c r="R838" s="134"/>
      <c r="S838" s="5" t="s">
        <v>271</v>
      </c>
      <c r="T838" s="6"/>
      <c r="U838" s="6"/>
      <c r="V838" s="5" t="s">
        <v>23</v>
      </c>
      <c r="W838" s="12">
        <v>13601515</v>
      </c>
      <c r="X838" s="6"/>
      <c r="Y838" s="6"/>
    </row>
    <row r="839" spans="1:25" ht="15" customHeight="1" x14ac:dyDescent="0.2">
      <c r="A839" s="88" t="s">
        <v>1118</v>
      </c>
      <c r="B839" s="90"/>
      <c r="C839" s="88" t="s">
        <v>1201</v>
      </c>
      <c r="D839" s="90"/>
      <c r="E839" s="88" t="s">
        <v>1205</v>
      </c>
      <c r="F839" s="89"/>
      <c r="G839" s="89"/>
      <c r="H839" s="89"/>
      <c r="I839" s="90"/>
      <c r="J839" s="88" t="s">
        <v>13</v>
      </c>
      <c r="K839" s="89"/>
      <c r="L839" s="89"/>
      <c r="M839" s="90"/>
      <c r="N839" s="88" t="s">
        <v>26</v>
      </c>
      <c r="O839" s="89"/>
      <c r="P839" s="90"/>
      <c r="Q839" s="133">
        <v>6400</v>
      </c>
      <c r="R839" s="134"/>
      <c r="S839" s="5" t="s">
        <v>271</v>
      </c>
      <c r="T839" s="6"/>
      <c r="U839" s="6"/>
      <c r="V839" s="5" t="s">
        <v>23</v>
      </c>
      <c r="W839" s="12">
        <v>22463220</v>
      </c>
      <c r="X839" s="6"/>
      <c r="Y839" s="6"/>
    </row>
    <row r="840" spans="1:25" ht="15" customHeight="1" x14ac:dyDescent="0.2">
      <c r="A840" s="88" t="s">
        <v>1118</v>
      </c>
      <c r="B840" s="90"/>
      <c r="C840" s="88" t="s">
        <v>1206</v>
      </c>
      <c r="D840" s="90"/>
      <c r="E840" s="88" t="s">
        <v>1207</v>
      </c>
      <c r="F840" s="89"/>
      <c r="G840" s="89"/>
      <c r="H840" s="89"/>
      <c r="I840" s="90"/>
      <c r="J840" s="88" t="s">
        <v>13</v>
      </c>
      <c r="K840" s="89"/>
      <c r="L840" s="89"/>
      <c r="M840" s="90"/>
      <c r="N840" s="88" t="s">
        <v>26</v>
      </c>
      <c r="O840" s="89"/>
      <c r="P840" s="90"/>
      <c r="Q840" s="133">
        <v>3600</v>
      </c>
      <c r="R840" s="134"/>
      <c r="S840" s="5" t="s">
        <v>44</v>
      </c>
      <c r="T840" s="6"/>
      <c r="U840" s="6"/>
      <c r="V840" s="5" t="s">
        <v>23</v>
      </c>
      <c r="W840" s="12">
        <v>8322080</v>
      </c>
      <c r="X840" s="6"/>
      <c r="Y840" s="6"/>
    </row>
    <row r="841" spans="1:25" ht="15" customHeight="1" x14ac:dyDescent="0.2">
      <c r="A841" s="88" t="s">
        <v>1118</v>
      </c>
      <c r="B841" s="90"/>
      <c r="C841" s="88" t="s">
        <v>1206</v>
      </c>
      <c r="D841" s="90"/>
      <c r="E841" s="88" t="s">
        <v>1208</v>
      </c>
      <c r="F841" s="89"/>
      <c r="G841" s="89"/>
      <c r="H841" s="89"/>
      <c r="I841" s="90"/>
      <c r="J841" s="88" t="s">
        <v>13</v>
      </c>
      <c r="K841" s="89"/>
      <c r="L841" s="89"/>
      <c r="M841" s="90"/>
      <c r="N841" s="88" t="s">
        <v>26</v>
      </c>
      <c r="O841" s="89"/>
      <c r="P841" s="90"/>
      <c r="Q841" s="133">
        <v>3600</v>
      </c>
      <c r="R841" s="134"/>
      <c r="S841" s="5" t="s">
        <v>271</v>
      </c>
      <c r="T841" s="6"/>
      <c r="U841" s="6"/>
      <c r="V841" s="5" t="s">
        <v>23</v>
      </c>
      <c r="W841" s="12">
        <v>11664545</v>
      </c>
      <c r="X841" s="6"/>
      <c r="Y841" s="6"/>
    </row>
    <row r="842" spans="1:25" ht="15" customHeight="1" x14ac:dyDescent="0.2">
      <c r="A842" s="88" t="s">
        <v>1118</v>
      </c>
      <c r="B842" s="90"/>
      <c r="C842" s="88" t="s">
        <v>1209</v>
      </c>
      <c r="D842" s="90"/>
      <c r="E842" s="88" t="s">
        <v>1210</v>
      </c>
      <c r="F842" s="89"/>
      <c r="G842" s="89"/>
      <c r="H842" s="89"/>
      <c r="I842" s="90"/>
      <c r="J842" s="88" t="s">
        <v>13</v>
      </c>
      <c r="K842" s="89"/>
      <c r="L842" s="89"/>
      <c r="M842" s="90"/>
      <c r="N842" s="88" t="s">
        <v>22</v>
      </c>
      <c r="O842" s="89"/>
      <c r="P842" s="90"/>
      <c r="Q842" s="133">
        <v>6400</v>
      </c>
      <c r="R842" s="134"/>
      <c r="S842" s="5" t="s">
        <v>16</v>
      </c>
      <c r="T842" s="6"/>
      <c r="U842" s="6"/>
      <c r="V842" s="5" t="s">
        <v>23</v>
      </c>
      <c r="W842" s="10">
        <v>14784245</v>
      </c>
      <c r="X842" s="6"/>
      <c r="Y842" s="6"/>
    </row>
    <row r="843" spans="1:25" ht="15" customHeight="1" x14ac:dyDescent="0.2">
      <c r="A843" s="88" t="s">
        <v>1118</v>
      </c>
      <c r="B843" s="90"/>
      <c r="C843" s="88" t="s">
        <v>1123</v>
      </c>
      <c r="D843" s="90"/>
      <c r="E843" s="88" t="s">
        <v>1211</v>
      </c>
      <c r="F843" s="89"/>
      <c r="G843" s="89"/>
      <c r="H843" s="89"/>
      <c r="I843" s="90"/>
      <c r="J843" s="88" t="s">
        <v>13</v>
      </c>
      <c r="K843" s="89"/>
      <c r="L843" s="89"/>
      <c r="M843" s="90"/>
      <c r="N843" s="88" t="s">
        <v>26</v>
      </c>
      <c r="O843" s="89"/>
      <c r="P843" s="90"/>
      <c r="Q843" s="133">
        <v>5700</v>
      </c>
      <c r="R843" s="134"/>
      <c r="S843" s="5" t="s">
        <v>16</v>
      </c>
      <c r="T843" s="6"/>
      <c r="U843" s="6"/>
      <c r="V843" s="5" t="s">
        <v>23</v>
      </c>
      <c r="W843" s="9">
        <v>9641877</v>
      </c>
      <c r="X843" s="6"/>
      <c r="Y843" s="6"/>
    </row>
    <row r="844" spans="1:25" ht="15" customHeight="1" x14ac:dyDescent="0.2">
      <c r="A844" s="88" t="s">
        <v>1118</v>
      </c>
      <c r="B844" s="90"/>
      <c r="C844" s="88" t="s">
        <v>1212</v>
      </c>
      <c r="D844" s="90"/>
      <c r="E844" s="88" t="s">
        <v>1213</v>
      </c>
      <c r="F844" s="89"/>
      <c r="G844" s="89"/>
      <c r="H844" s="89"/>
      <c r="I844" s="90"/>
      <c r="J844" s="88" t="s">
        <v>13</v>
      </c>
      <c r="K844" s="89"/>
      <c r="L844" s="89"/>
      <c r="M844" s="90"/>
      <c r="N844" s="88" t="s">
        <v>22</v>
      </c>
      <c r="O844" s="89"/>
      <c r="P844" s="90"/>
      <c r="Q844" s="133">
        <v>5700</v>
      </c>
      <c r="R844" s="134"/>
      <c r="S844" s="5" t="s">
        <v>16</v>
      </c>
      <c r="T844" s="6"/>
      <c r="U844" s="6"/>
      <c r="V844" s="5" t="s">
        <v>23</v>
      </c>
      <c r="W844" s="10">
        <v>10841648</v>
      </c>
      <c r="X844" s="6"/>
      <c r="Y844" s="6"/>
    </row>
    <row r="845" spans="1:25" ht="15" customHeight="1" x14ac:dyDescent="0.2">
      <c r="A845" s="88" t="s">
        <v>1118</v>
      </c>
      <c r="B845" s="90"/>
      <c r="C845" s="88" t="s">
        <v>1214</v>
      </c>
      <c r="D845" s="90"/>
      <c r="E845" s="88" t="s">
        <v>1215</v>
      </c>
      <c r="F845" s="89"/>
      <c r="G845" s="89"/>
      <c r="H845" s="89"/>
      <c r="I845" s="90"/>
      <c r="J845" s="88" t="s">
        <v>13</v>
      </c>
      <c r="K845" s="89"/>
      <c r="L845" s="89"/>
      <c r="M845" s="90"/>
      <c r="N845" s="88" t="s">
        <v>26</v>
      </c>
      <c r="O845" s="89"/>
      <c r="P845" s="90"/>
      <c r="Q845" s="133">
        <v>5700</v>
      </c>
      <c r="R845" s="134"/>
      <c r="S845" s="5" t="s">
        <v>793</v>
      </c>
      <c r="T845" s="6"/>
      <c r="U845" s="6"/>
      <c r="V845" s="5" t="s">
        <v>23</v>
      </c>
      <c r="W845" s="10">
        <v>13014966</v>
      </c>
      <c r="X845" s="6"/>
      <c r="Y845" s="6"/>
    </row>
    <row r="846" spans="1:25" ht="15" customHeight="1" x14ac:dyDescent="0.2">
      <c r="A846" s="88" t="s">
        <v>1118</v>
      </c>
      <c r="B846" s="90"/>
      <c r="C846" s="88" t="s">
        <v>1214</v>
      </c>
      <c r="D846" s="90"/>
      <c r="E846" s="88" t="s">
        <v>1216</v>
      </c>
      <c r="F846" s="89"/>
      <c r="G846" s="89"/>
      <c r="H846" s="89"/>
      <c r="I846" s="90"/>
      <c r="J846" s="88" t="s">
        <v>13</v>
      </c>
      <c r="K846" s="89"/>
      <c r="L846" s="89"/>
      <c r="M846" s="90"/>
      <c r="N846" s="88" t="s">
        <v>26</v>
      </c>
      <c r="O846" s="89"/>
      <c r="P846" s="90"/>
      <c r="Q846" s="133">
        <v>5700</v>
      </c>
      <c r="R846" s="134"/>
      <c r="S846" s="5" t="s">
        <v>793</v>
      </c>
      <c r="T846" s="6"/>
      <c r="U846" s="6"/>
      <c r="V846" s="5" t="s">
        <v>23</v>
      </c>
      <c r="W846" s="10">
        <v>15260646</v>
      </c>
      <c r="X846" s="6"/>
      <c r="Y846" s="6"/>
    </row>
    <row r="847" spans="1:25" ht="15" customHeight="1" x14ac:dyDescent="0.2">
      <c r="A847" s="88" t="s">
        <v>1118</v>
      </c>
      <c r="B847" s="90"/>
      <c r="C847" s="88" t="s">
        <v>1217</v>
      </c>
      <c r="D847" s="90"/>
      <c r="E847" s="88" t="s">
        <v>1218</v>
      </c>
      <c r="F847" s="89"/>
      <c r="G847" s="89"/>
      <c r="H847" s="89"/>
      <c r="I847" s="90"/>
      <c r="J847" s="88" t="s">
        <v>13</v>
      </c>
      <c r="K847" s="89"/>
      <c r="L847" s="89"/>
      <c r="M847" s="90"/>
      <c r="N847" s="88" t="s">
        <v>26</v>
      </c>
      <c r="O847" s="89"/>
      <c r="P847" s="90"/>
      <c r="Q847" s="133">
        <v>5200</v>
      </c>
      <c r="R847" s="134"/>
      <c r="S847" s="5" t="s">
        <v>70</v>
      </c>
      <c r="T847" s="6"/>
      <c r="U847" s="6"/>
      <c r="V847" s="5" t="s">
        <v>23</v>
      </c>
      <c r="W847" s="9">
        <v>4328114</v>
      </c>
      <c r="X847" s="6"/>
      <c r="Y847" s="6"/>
    </row>
    <row r="848" spans="1:25" ht="15" customHeight="1" x14ac:dyDescent="0.2">
      <c r="A848" s="88" t="s">
        <v>1118</v>
      </c>
      <c r="B848" s="90"/>
      <c r="C848" s="88" t="s">
        <v>1219</v>
      </c>
      <c r="D848" s="90"/>
      <c r="E848" s="88" t="s">
        <v>1220</v>
      </c>
      <c r="F848" s="89"/>
      <c r="G848" s="89"/>
      <c r="H848" s="89"/>
      <c r="I848" s="90"/>
      <c r="J848" s="88" t="s">
        <v>13</v>
      </c>
      <c r="K848" s="89"/>
      <c r="L848" s="89"/>
      <c r="M848" s="90"/>
      <c r="N848" s="88" t="s">
        <v>22</v>
      </c>
      <c r="O848" s="89"/>
      <c r="P848" s="90"/>
      <c r="Q848" s="133">
        <v>5700</v>
      </c>
      <c r="R848" s="134"/>
      <c r="S848" s="5" t="s">
        <v>271</v>
      </c>
      <c r="T848" s="6"/>
      <c r="U848" s="6"/>
      <c r="V848" s="5" t="s">
        <v>23</v>
      </c>
      <c r="W848" s="9">
        <v>8887637</v>
      </c>
      <c r="X848" s="6"/>
      <c r="Y848" s="6"/>
    </row>
    <row r="849" spans="1:25" ht="15" customHeight="1" x14ac:dyDescent="0.2">
      <c r="A849" s="88" t="s">
        <v>1118</v>
      </c>
      <c r="B849" s="90"/>
      <c r="C849" s="88" t="s">
        <v>1219</v>
      </c>
      <c r="D849" s="90"/>
      <c r="E849" s="88" t="s">
        <v>1221</v>
      </c>
      <c r="F849" s="89"/>
      <c r="G849" s="89"/>
      <c r="H849" s="89"/>
      <c r="I849" s="90"/>
      <c r="J849" s="88" t="s">
        <v>13</v>
      </c>
      <c r="K849" s="89"/>
      <c r="L849" s="89"/>
      <c r="M849" s="90"/>
      <c r="N849" s="88" t="s">
        <v>26</v>
      </c>
      <c r="O849" s="89"/>
      <c r="P849" s="90"/>
      <c r="Q849" s="133">
        <v>5700</v>
      </c>
      <c r="R849" s="134"/>
      <c r="S849" s="5" t="s">
        <v>793</v>
      </c>
      <c r="T849" s="6"/>
      <c r="U849" s="6"/>
      <c r="V849" s="5" t="s">
        <v>23</v>
      </c>
      <c r="W849" s="10">
        <v>14695089</v>
      </c>
      <c r="X849" s="6"/>
      <c r="Y849" s="6"/>
    </row>
    <row r="850" spans="1:25" ht="15" customHeight="1" x14ac:dyDescent="0.2">
      <c r="A850" s="88" t="s">
        <v>1222</v>
      </c>
      <c r="B850" s="90"/>
      <c r="C850" s="88" t="s">
        <v>1223</v>
      </c>
      <c r="D850" s="90"/>
      <c r="E850" s="106"/>
      <c r="F850" s="107"/>
      <c r="G850" s="107"/>
      <c r="H850" s="107"/>
      <c r="I850" s="108"/>
      <c r="J850" s="88" t="s">
        <v>13</v>
      </c>
      <c r="K850" s="89"/>
      <c r="L850" s="89"/>
      <c r="M850" s="90"/>
      <c r="N850" s="88" t="s">
        <v>14</v>
      </c>
      <c r="O850" s="89"/>
      <c r="P850" s="90"/>
      <c r="Q850" s="88" t="s">
        <v>1224</v>
      </c>
      <c r="R850" s="90"/>
      <c r="S850" s="5" t="s">
        <v>44</v>
      </c>
      <c r="T850" s="7">
        <v>1600</v>
      </c>
      <c r="U850" s="8">
        <v>5</v>
      </c>
      <c r="V850" s="5" t="s">
        <v>17</v>
      </c>
      <c r="W850" s="9">
        <v>3482882</v>
      </c>
      <c r="X850" s="6"/>
      <c r="Y850" s="6"/>
    </row>
    <row r="851" spans="1:25" ht="15" customHeight="1" x14ac:dyDescent="0.2">
      <c r="A851" s="88" t="s">
        <v>1222</v>
      </c>
      <c r="B851" s="90"/>
      <c r="C851" s="88" t="s">
        <v>1225</v>
      </c>
      <c r="D851" s="90"/>
      <c r="E851" s="106"/>
      <c r="F851" s="107"/>
      <c r="G851" s="107"/>
      <c r="H851" s="107"/>
      <c r="I851" s="108"/>
      <c r="J851" s="88" t="s">
        <v>13</v>
      </c>
      <c r="K851" s="89"/>
      <c r="L851" s="89"/>
      <c r="M851" s="90"/>
      <c r="N851" s="88" t="s">
        <v>14</v>
      </c>
      <c r="O851" s="89"/>
      <c r="P851" s="90"/>
      <c r="Q851" s="133">
        <v>1500</v>
      </c>
      <c r="R851" s="134"/>
      <c r="S851" s="5" t="s">
        <v>16</v>
      </c>
      <c r="T851" s="7">
        <v>1700</v>
      </c>
      <c r="U851" s="8">
        <v>5</v>
      </c>
      <c r="V851" s="5" t="s">
        <v>702</v>
      </c>
      <c r="W851" s="9">
        <v>3869869</v>
      </c>
      <c r="X851" s="6"/>
      <c r="Y851" s="6"/>
    </row>
    <row r="852" spans="1:25" ht="15" customHeight="1" x14ac:dyDescent="0.2">
      <c r="A852" s="88" t="s">
        <v>1222</v>
      </c>
      <c r="B852" s="90"/>
      <c r="C852" s="88" t="s">
        <v>1226</v>
      </c>
      <c r="D852" s="90"/>
      <c r="E852" s="106"/>
      <c r="F852" s="107"/>
      <c r="G852" s="107"/>
      <c r="H852" s="107"/>
      <c r="I852" s="108"/>
      <c r="J852" s="88" t="s">
        <v>13</v>
      </c>
      <c r="K852" s="89"/>
      <c r="L852" s="89"/>
      <c r="M852" s="90"/>
      <c r="N852" s="88" t="s">
        <v>14</v>
      </c>
      <c r="O852" s="89"/>
      <c r="P852" s="90"/>
      <c r="Q852" s="88" t="s">
        <v>1227</v>
      </c>
      <c r="R852" s="90"/>
      <c r="S852" s="5" t="s">
        <v>16</v>
      </c>
      <c r="T852" s="7">
        <v>1800</v>
      </c>
      <c r="U852" s="8">
        <v>5</v>
      </c>
      <c r="V852" s="5" t="s">
        <v>17</v>
      </c>
      <c r="W852" s="9">
        <v>3905049</v>
      </c>
      <c r="X852" s="6"/>
      <c r="Y852" s="6"/>
    </row>
    <row r="853" spans="1:25" ht="15" customHeight="1" x14ac:dyDescent="0.2">
      <c r="A853" s="88" t="s">
        <v>1222</v>
      </c>
      <c r="B853" s="90"/>
      <c r="C853" s="88" t="s">
        <v>1228</v>
      </c>
      <c r="D853" s="90"/>
      <c r="E853" s="106"/>
      <c r="F853" s="107"/>
      <c r="G853" s="107"/>
      <c r="H853" s="107"/>
      <c r="I853" s="108"/>
      <c r="J853" s="88" t="s">
        <v>13</v>
      </c>
      <c r="K853" s="89"/>
      <c r="L853" s="89"/>
      <c r="M853" s="90"/>
      <c r="N853" s="88" t="s">
        <v>14</v>
      </c>
      <c r="O853" s="89"/>
      <c r="P853" s="90"/>
      <c r="Q853" s="88" t="s">
        <v>1229</v>
      </c>
      <c r="R853" s="90"/>
      <c r="S853" s="5" t="s">
        <v>16</v>
      </c>
      <c r="T853" s="7">
        <v>1200</v>
      </c>
      <c r="U853" s="8">
        <v>4</v>
      </c>
      <c r="V853" s="5" t="s">
        <v>17</v>
      </c>
      <c r="W853" s="9">
        <v>1583128</v>
      </c>
      <c r="X853" s="6"/>
      <c r="Y853" s="6"/>
    </row>
    <row r="854" spans="1:25" ht="15" customHeight="1" x14ac:dyDescent="0.2">
      <c r="A854" s="88" t="s">
        <v>1222</v>
      </c>
      <c r="B854" s="90"/>
      <c r="C854" s="88" t="s">
        <v>1230</v>
      </c>
      <c r="D854" s="90"/>
      <c r="E854" s="106"/>
      <c r="F854" s="107"/>
      <c r="G854" s="107"/>
      <c r="H854" s="107"/>
      <c r="I854" s="108"/>
      <c r="J854" s="88" t="s">
        <v>13</v>
      </c>
      <c r="K854" s="89"/>
      <c r="L854" s="89"/>
      <c r="M854" s="90"/>
      <c r="N854" s="88" t="s">
        <v>1231</v>
      </c>
      <c r="O854" s="89"/>
      <c r="P854" s="90"/>
      <c r="Q854" s="88" t="s">
        <v>1232</v>
      </c>
      <c r="R854" s="90"/>
      <c r="S854" s="5" t="s">
        <v>44</v>
      </c>
      <c r="T854" s="7">
        <v>2300</v>
      </c>
      <c r="U854" s="8">
        <v>5</v>
      </c>
      <c r="V854" s="5" t="s">
        <v>17</v>
      </c>
      <c r="W854" s="9">
        <v>4221675</v>
      </c>
      <c r="X854" s="6"/>
      <c r="Y854" s="6"/>
    </row>
    <row r="855" spans="1:25" ht="15" customHeight="1" x14ac:dyDescent="0.2">
      <c r="A855" s="88" t="s">
        <v>1222</v>
      </c>
      <c r="B855" s="90"/>
      <c r="C855" s="88" t="s">
        <v>1233</v>
      </c>
      <c r="D855" s="90"/>
      <c r="E855" s="106"/>
      <c r="F855" s="107"/>
      <c r="G855" s="107"/>
      <c r="H855" s="107"/>
      <c r="I855" s="108"/>
      <c r="J855" s="88" t="s">
        <v>13</v>
      </c>
      <c r="K855" s="89"/>
      <c r="L855" s="89"/>
      <c r="M855" s="90"/>
      <c r="N855" s="88" t="s">
        <v>14</v>
      </c>
      <c r="O855" s="89"/>
      <c r="P855" s="90"/>
      <c r="Q855" s="88" t="s">
        <v>1234</v>
      </c>
      <c r="R855" s="90"/>
      <c r="S855" s="5" t="s">
        <v>27</v>
      </c>
      <c r="T855" s="7">
        <v>1500</v>
      </c>
      <c r="U855" s="8">
        <v>5</v>
      </c>
      <c r="V855" s="5" t="s">
        <v>17</v>
      </c>
      <c r="W855" s="9">
        <v>2005296</v>
      </c>
      <c r="X855" s="6"/>
      <c r="Y855" s="6"/>
    </row>
    <row r="856" spans="1:25" ht="15" customHeight="1" x14ac:dyDescent="0.2">
      <c r="A856" s="88" t="s">
        <v>1222</v>
      </c>
      <c r="B856" s="90"/>
      <c r="C856" s="88" t="s">
        <v>1235</v>
      </c>
      <c r="D856" s="90"/>
      <c r="E856" s="106"/>
      <c r="F856" s="107"/>
      <c r="G856" s="107"/>
      <c r="H856" s="107"/>
      <c r="I856" s="108"/>
      <c r="J856" s="88" t="s">
        <v>13</v>
      </c>
      <c r="K856" s="89"/>
      <c r="L856" s="89"/>
      <c r="M856" s="90"/>
      <c r="N856" s="88" t="s">
        <v>14</v>
      </c>
      <c r="O856" s="89"/>
      <c r="P856" s="90"/>
      <c r="Q856" s="88" t="s">
        <v>1236</v>
      </c>
      <c r="R856" s="90"/>
      <c r="S856" s="5" t="s">
        <v>44</v>
      </c>
      <c r="T856" s="7">
        <v>1700</v>
      </c>
      <c r="U856" s="8">
        <v>5</v>
      </c>
      <c r="V856" s="5" t="s">
        <v>17</v>
      </c>
      <c r="W856" s="9">
        <v>3482882</v>
      </c>
      <c r="X856" s="6"/>
      <c r="Y856" s="6"/>
    </row>
    <row r="857" spans="1:25" ht="15" customHeight="1" x14ac:dyDescent="0.2">
      <c r="A857" s="88" t="s">
        <v>1222</v>
      </c>
      <c r="B857" s="90"/>
      <c r="C857" s="88" t="s">
        <v>1237</v>
      </c>
      <c r="D857" s="90"/>
      <c r="E857" s="106"/>
      <c r="F857" s="107"/>
      <c r="G857" s="107"/>
      <c r="H857" s="107"/>
      <c r="I857" s="108"/>
      <c r="J857" s="88" t="s">
        <v>13</v>
      </c>
      <c r="K857" s="89"/>
      <c r="L857" s="89"/>
      <c r="M857" s="90"/>
      <c r="N857" s="88" t="s">
        <v>1231</v>
      </c>
      <c r="O857" s="89"/>
      <c r="P857" s="90"/>
      <c r="Q857" s="88" t="s">
        <v>1238</v>
      </c>
      <c r="R857" s="90"/>
      <c r="S857" s="5" t="s">
        <v>16</v>
      </c>
      <c r="T857" s="7">
        <v>2600</v>
      </c>
      <c r="U857" s="5" t="s">
        <v>1239</v>
      </c>
      <c r="V857" s="5" t="s">
        <v>17</v>
      </c>
      <c r="W857" s="9">
        <v>4327217</v>
      </c>
      <c r="X857" s="6"/>
      <c r="Y857" s="6"/>
    </row>
    <row r="858" spans="1:25" ht="15" customHeight="1" x14ac:dyDescent="0.2">
      <c r="A858" s="88" t="s">
        <v>1222</v>
      </c>
      <c r="B858" s="90"/>
      <c r="C858" s="88" t="s">
        <v>1240</v>
      </c>
      <c r="D858" s="90"/>
      <c r="E858" s="106"/>
      <c r="F858" s="107"/>
      <c r="G858" s="107"/>
      <c r="H858" s="107"/>
      <c r="I858" s="108"/>
      <c r="J858" s="88" t="s">
        <v>13</v>
      </c>
      <c r="K858" s="89"/>
      <c r="L858" s="89"/>
      <c r="M858" s="90"/>
      <c r="N858" s="88" t="s">
        <v>14</v>
      </c>
      <c r="O858" s="89"/>
      <c r="P858" s="90"/>
      <c r="Q858" s="88" t="s">
        <v>1241</v>
      </c>
      <c r="R858" s="90"/>
      <c r="S858" s="5" t="s">
        <v>16</v>
      </c>
      <c r="T858" s="7">
        <v>2000</v>
      </c>
      <c r="U858" s="8">
        <v>5</v>
      </c>
      <c r="V858" s="5" t="s">
        <v>17</v>
      </c>
      <c r="W858" s="9">
        <v>4010591</v>
      </c>
      <c r="X858" s="6"/>
      <c r="Y858" s="6"/>
    </row>
    <row r="859" spans="1:25" ht="15" customHeight="1" x14ac:dyDescent="0.2">
      <c r="A859" s="88" t="s">
        <v>1222</v>
      </c>
      <c r="B859" s="90"/>
      <c r="C859" s="88" t="s">
        <v>1242</v>
      </c>
      <c r="D859" s="90"/>
      <c r="E859" s="106"/>
      <c r="F859" s="107"/>
      <c r="G859" s="107"/>
      <c r="H859" s="107"/>
      <c r="I859" s="108"/>
      <c r="J859" s="88" t="s">
        <v>13</v>
      </c>
      <c r="K859" s="89"/>
      <c r="L859" s="89"/>
      <c r="M859" s="90"/>
      <c r="N859" s="88" t="s">
        <v>14</v>
      </c>
      <c r="O859" s="89"/>
      <c r="P859" s="90"/>
      <c r="Q859" s="88" t="s">
        <v>1243</v>
      </c>
      <c r="R859" s="90"/>
      <c r="S859" s="5" t="s">
        <v>44</v>
      </c>
      <c r="T859" s="7">
        <v>2000</v>
      </c>
      <c r="U859" s="8">
        <v>5</v>
      </c>
      <c r="V859" s="5" t="s">
        <v>17</v>
      </c>
      <c r="W859" s="9">
        <v>4854926</v>
      </c>
      <c r="X859" s="6"/>
      <c r="Y859" s="6"/>
    </row>
    <row r="860" spans="1:25" ht="15" customHeight="1" x14ac:dyDescent="0.2">
      <c r="A860" s="88" t="s">
        <v>1244</v>
      </c>
      <c r="B860" s="90"/>
      <c r="C860" s="88" t="s">
        <v>1245</v>
      </c>
      <c r="D860" s="90"/>
      <c r="E860" s="88" t="s">
        <v>1246</v>
      </c>
      <c r="F860" s="89"/>
      <c r="G860" s="89"/>
      <c r="H860" s="89"/>
      <c r="I860" s="90"/>
      <c r="J860" s="88" t="s">
        <v>22</v>
      </c>
      <c r="K860" s="89"/>
      <c r="L860" s="89"/>
      <c r="M860" s="90"/>
      <c r="N860" s="88" t="s">
        <v>1247</v>
      </c>
      <c r="O860" s="89"/>
      <c r="P860" s="90"/>
      <c r="Q860" s="88" t="s">
        <v>1248</v>
      </c>
      <c r="R860" s="90"/>
      <c r="S860" s="8">
        <v>3</v>
      </c>
      <c r="T860" s="6"/>
      <c r="U860" s="6"/>
      <c r="V860" s="5" t="s">
        <v>106</v>
      </c>
      <c r="W860" s="9">
        <v>7925409</v>
      </c>
      <c r="X860" s="6"/>
      <c r="Y860" s="6"/>
    </row>
    <row r="861" spans="1:25" ht="15" customHeight="1" x14ac:dyDescent="0.2">
      <c r="A861" s="88" t="s">
        <v>1244</v>
      </c>
      <c r="B861" s="90"/>
      <c r="C861" s="88" t="s">
        <v>1249</v>
      </c>
      <c r="D861" s="90"/>
      <c r="E861" s="88" t="s">
        <v>1246</v>
      </c>
      <c r="F861" s="89"/>
      <c r="G861" s="89"/>
      <c r="H861" s="89"/>
      <c r="I861" s="90"/>
      <c r="J861" s="88" t="s">
        <v>22</v>
      </c>
      <c r="K861" s="89"/>
      <c r="L861" s="89"/>
      <c r="M861" s="90"/>
      <c r="N861" s="106"/>
      <c r="O861" s="107"/>
      <c r="P861" s="108"/>
      <c r="Q861" s="88" t="s">
        <v>1248</v>
      </c>
      <c r="R861" s="90"/>
      <c r="S861" s="8">
        <v>3</v>
      </c>
      <c r="T861" s="6"/>
      <c r="U861" s="6"/>
      <c r="V861" s="5" t="s">
        <v>106</v>
      </c>
      <c r="W861" s="9">
        <v>8334839</v>
      </c>
      <c r="X861" s="6"/>
      <c r="Y861" s="6"/>
    </row>
    <row r="862" spans="1:25" ht="15" customHeight="1" x14ac:dyDescent="0.2">
      <c r="A862" s="88" t="s">
        <v>1244</v>
      </c>
      <c r="B862" s="90"/>
      <c r="C862" s="88" t="s">
        <v>1250</v>
      </c>
      <c r="D862" s="90"/>
      <c r="E862" s="88" t="s">
        <v>1246</v>
      </c>
      <c r="F862" s="89"/>
      <c r="G862" s="89"/>
      <c r="H862" s="89"/>
      <c r="I862" s="90"/>
      <c r="J862" s="88" t="s">
        <v>22</v>
      </c>
      <c r="K862" s="89"/>
      <c r="L862" s="89"/>
      <c r="M862" s="90"/>
      <c r="N862" s="106"/>
      <c r="O862" s="107"/>
      <c r="P862" s="108"/>
      <c r="Q862" s="88" t="s">
        <v>1248</v>
      </c>
      <c r="R862" s="90"/>
      <c r="S862" s="8">
        <v>3</v>
      </c>
      <c r="T862" s="6"/>
      <c r="U862" s="6"/>
      <c r="V862" s="5" t="s">
        <v>106</v>
      </c>
      <c r="W862" s="9">
        <v>6770229</v>
      </c>
      <c r="X862" s="6"/>
      <c r="Y862" s="6"/>
    </row>
    <row r="863" spans="1:25" ht="15" customHeight="1" x14ac:dyDescent="0.2">
      <c r="A863" s="88" t="s">
        <v>1244</v>
      </c>
      <c r="B863" s="90"/>
      <c r="C863" s="88" t="s">
        <v>1251</v>
      </c>
      <c r="D863" s="90"/>
      <c r="E863" s="88" t="s">
        <v>1246</v>
      </c>
      <c r="F863" s="89"/>
      <c r="G863" s="89"/>
      <c r="H863" s="89"/>
      <c r="I863" s="90"/>
      <c r="J863" s="88" t="s">
        <v>22</v>
      </c>
      <c r="K863" s="89"/>
      <c r="L863" s="89"/>
      <c r="M863" s="90"/>
      <c r="N863" s="106"/>
      <c r="O863" s="107"/>
      <c r="P863" s="108"/>
      <c r="Q863" s="88" t="s">
        <v>1248</v>
      </c>
      <c r="R863" s="90"/>
      <c r="S863" s="8">
        <v>3</v>
      </c>
      <c r="T863" s="6"/>
      <c r="U863" s="6"/>
      <c r="V863" s="5" t="s">
        <v>106</v>
      </c>
      <c r="W863" s="9">
        <v>5907500</v>
      </c>
      <c r="X863" s="6"/>
      <c r="Y863" s="6"/>
    </row>
    <row r="864" spans="1:25" ht="15" customHeight="1" x14ac:dyDescent="0.2">
      <c r="A864" s="88" t="s">
        <v>1244</v>
      </c>
      <c r="B864" s="90"/>
      <c r="C864" s="88" t="s">
        <v>1252</v>
      </c>
      <c r="D864" s="90"/>
      <c r="E864" s="88" t="s">
        <v>1246</v>
      </c>
      <c r="F864" s="89"/>
      <c r="G864" s="89"/>
      <c r="H864" s="89"/>
      <c r="I864" s="90"/>
      <c r="J864" s="88" t="s">
        <v>22</v>
      </c>
      <c r="K864" s="89"/>
      <c r="L864" s="89"/>
      <c r="M864" s="90"/>
      <c r="N864" s="88" t="s">
        <v>1253</v>
      </c>
      <c r="O864" s="89"/>
      <c r="P864" s="90"/>
      <c r="Q864" s="88" t="s">
        <v>1248</v>
      </c>
      <c r="R864" s="90"/>
      <c r="S864" s="8">
        <v>3</v>
      </c>
      <c r="T864" s="6"/>
      <c r="U864" s="6"/>
      <c r="V864" s="5" t="s">
        <v>106</v>
      </c>
      <c r="W864" s="11">
        <v>7157726</v>
      </c>
      <c r="X864" s="6"/>
      <c r="Y864" s="6"/>
    </row>
    <row r="865" spans="1:25" ht="15" customHeight="1" x14ac:dyDescent="0.2">
      <c r="A865" s="88" t="s">
        <v>1244</v>
      </c>
      <c r="B865" s="90"/>
      <c r="C865" s="88" t="s">
        <v>1254</v>
      </c>
      <c r="D865" s="90"/>
      <c r="E865" s="88" t="s">
        <v>1246</v>
      </c>
      <c r="F865" s="89"/>
      <c r="G865" s="89"/>
      <c r="H865" s="89"/>
      <c r="I865" s="90"/>
      <c r="J865" s="88" t="s">
        <v>22</v>
      </c>
      <c r="K865" s="89"/>
      <c r="L865" s="89"/>
      <c r="M865" s="90"/>
      <c r="N865" s="88" t="s">
        <v>1253</v>
      </c>
      <c r="O865" s="89"/>
      <c r="P865" s="90"/>
      <c r="Q865" s="88" t="s">
        <v>1248</v>
      </c>
      <c r="R865" s="90"/>
      <c r="S865" s="8">
        <v>3</v>
      </c>
      <c r="T865" s="6"/>
      <c r="U865" s="6"/>
      <c r="V865" s="5" t="s">
        <v>106</v>
      </c>
      <c r="W865" s="9">
        <v>5980613</v>
      </c>
      <c r="X865" s="6"/>
      <c r="Y865" s="6"/>
    </row>
    <row r="866" spans="1:25" ht="15" customHeight="1" x14ac:dyDescent="0.2">
      <c r="A866" s="88" t="s">
        <v>1244</v>
      </c>
      <c r="B866" s="90"/>
      <c r="C866" s="88" t="s">
        <v>1255</v>
      </c>
      <c r="D866" s="90"/>
      <c r="E866" s="88" t="s">
        <v>1246</v>
      </c>
      <c r="F866" s="89"/>
      <c r="G866" s="89"/>
      <c r="H866" s="89"/>
      <c r="I866" s="90"/>
      <c r="J866" s="88" t="s">
        <v>22</v>
      </c>
      <c r="K866" s="89"/>
      <c r="L866" s="89"/>
      <c r="M866" s="90"/>
      <c r="N866" s="88" t="s">
        <v>1247</v>
      </c>
      <c r="O866" s="89"/>
      <c r="P866" s="90"/>
      <c r="Q866" s="88" t="s">
        <v>1248</v>
      </c>
      <c r="R866" s="90"/>
      <c r="S866" s="8">
        <v>3</v>
      </c>
      <c r="T866" s="6"/>
      <c r="U866" s="6"/>
      <c r="V866" s="5" t="s">
        <v>106</v>
      </c>
      <c r="W866" s="9">
        <v>7925409</v>
      </c>
      <c r="X866" s="6"/>
      <c r="Y866" s="6"/>
    </row>
    <row r="867" spans="1:25" ht="15" customHeight="1" x14ac:dyDescent="0.2">
      <c r="A867" s="88" t="s">
        <v>1244</v>
      </c>
      <c r="B867" s="90"/>
      <c r="C867" s="88" t="s">
        <v>1256</v>
      </c>
      <c r="D867" s="90"/>
      <c r="E867" s="88" t="s">
        <v>1246</v>
      </c>
      <c r="F867" s="89"/>
      <c r="G867" s="89"/>
      <c r="H867" s="89"/>
      <c r="I867" s="90"/>
      <c r="J867" s="88" t="s">
        <v>22</v>
      </c>
      <c r="K867" s="89"/>
      <c r="L867" s="89"/>
      <c r="M867" s="90"/>
      <c r="N867" s="88" t="s">
        <v>1257</v>
      </c>
      <c r="O867" s="89"/>
      <c r="P867" s="90"/>
      <c r="Q867" s="88" t="s">
        <v>1248</v>
      </c>
      <c r="R867" s="90"/>
      <c r="S867" s="8">
        <v>3</v>
      </c>
      <c r="T867" s="6"/>
      <c r="U867" s="6"/>
      <c r="V867" s="5" t="s">
        <v>106</v>
      </c>
      <c r="W867" s="10">
        <v>10279635</v>
      </c>
      <c r="X867" s="6"/>
      <c r="Y867" s="6"/>
    </row>
    <row r="868" spans="1:25" ht="15" customHeight="1" x14ac:dyDescent="0.2">
      <c r="A868" s="88" t="s">
        <v>1244</v>
      </c>
      <c r="B868" s="90"/>
      <c r="C868" s="88" t="s">
        <v>1258</v>
      </c>
      <c r="D868" s="90"/>
      <c r="E868" s="88" t="s">
        <v>1246</v>
      </c>
      <c r="F868" s="89"/>
      <c r="G868" s="89"/>
      <c r="H868" s="89"/>
      <c r="I868" s="90"/>
      <c r="J868" s="88" t="s">
        <v>22</v>
      </c>
      <c r="K868" s="89"/>
      <c r="L868" s="89"/>
      <c r="M868" s="90"/>
      <c r="N868" s="88" t="s">
        <v>1257</v>
      </c>
      <c r="O868" s="89"/>
      <c r="P868" s="90"/>
      <c r="Q868" s="88" t="s">
        <v>1248</v>
      </c>
      <c r="R868" s="90"/>
      <c r="S868" s="8">
        <v>3</v>
      </c>
      <c r="T868" s="6"/>
      <c r="U868" s="6"/>
      <c r="V868" s="5" t="s">
        <v>106</v>
      </c>
      <c r="W868" s="9">
        <v>13174895</v>
      </c>
      <c r="X868" s="6"/>
      <c r="Y868" s="6"/>
    </row>
    <row r="869" spans="1:25" ht="15" customHeight="1" x14ac:dyDescent="0.2">
      <c r="A869" s="88" t="s">
        <v>1244</v>
      </c>
      <c r="B869" s="90"/>
      <c r="C869" s="88" t="s">
        <v>1259</v>
      </c>
      <c r="D869" s="90"/>
      <c r="E869" s="88" t="s">
        <v>1246</v>
      </c>
      <c r="F869" s="89"/>
      <c r="G869" s="89"/>
      <c r="H869" s="89"/>
      <c r="I869" s="90"/>
      <c r="J869" s="88" t="s">
        <v>22</v>
      </c>
      <c r="K869" s="89"/>
      <c r="L869" s="89"/>
      <c r="M869" s="90"/>
      <c r="N869" s="88" t="s">
        <v>1260</v>
      </c>
      <c r="O869" s="89"/>
      <c r="P869" s="90"/>
      <c r="Q869" s="88" t="s">
        <v>1248</v>
      </c>
      <c r="R869" s="90"/>
      <c r="S869" s="8">
        <v>3</v>
      </c>
      <c r="T869" s="6"/>
      <c r="U869" s="6"/>
      <c r="V869" s="5" t="s">
        <v>106</v>
      </c>
      <c r="W869" s="9">
        <v>6214573</v>
      </c>
      <c r="X869" s="6"/>
      <c r="Y869" s="6"/>
    </row>
    <row r="870" spans="1:25" ht="15" customHeight="1" x14ac:dyDescent="0.2">
      <c r="A870" s="88" t="s">
        <v>1244</v>
      </c>
      <c r="B870" s="90"/>
      <c r="C870" s="88" t="s">
        <v>1261</v>
      </c>
      <c r="D870" s="90"/>
      <c r="E870" s="88" t="s">
        <v>1246</v>
      </c>
      <c r="F870" s="89"/>
      <c r="G870" s="89"/>
      <c r="H870" s="89"/>
      <c r="I870" s="90"/>
      <c r="J870" s="88" t="s">
        <v>22</v>
      </c>
      <c r="K870" s="89"/>
      <c r="L870" s="89"/>
      <c r="M870" s="90"/>
      <c r="N870" s="88" t="s">
        <v>1253</v>
      </c>
      <c r="O870" s="89"/>
      <c r="P870" s="90"/>
      <c r="Q870" s="88" t="s">
        <v>1248</v>
      </c>
      <c r="R870" s="90"/>
      <c r="S870" s="8">
        <v>3</v>
      </c>
      <c r="T870" s="6"/>
      <c r="U870" s="6"/>
      <c r="V870" s="5" t="s">
        <v>106</v>
      </c>
      <c r="W870" s="9">
        <v>8758892</v>
      </c>
      <c r="X870" s="6"/>
      <c r="Y870" s="6"/>
    </row>
    <row r="871" spans="1:25" ht="15" customHeight="1" x14ac:dyDescent="0.2">
      <c r="A871" s="88" t="s">
        <v>1244</v>
      </c>
      <c r="B871" s="90"/>
      <c r="C871" s="88" t="s">
        <v>1262</v>
      </c>
      <c r="D871" s="90"/>
      <c r="E871" s="88" t="s">
        <v>1246</v>
      </c>
      <c r="F871" s="89"/>
      <c r="G871" s="89"/>
      <c r="H871" s="89"/>
      <c r="I871" s="90"/>
      <c r="J871" s="88" t="s">
        <v>22</v>
      </c>
      <c r="K871" s="89"/>
      <c r="L871" s="89"/>
      <c r="M871" s="90"/>
      <c r="N871" s="88" t="s">
        <v>1253</v>
      </c>
      <c r="O871" s="89"/>
      <c r="P871" s="90"/>
      <c r="Q871" s="88" t="s">
        <v>1248</v>
      </c>
      <c r="R871" s="90"/>
      <c r="S871" s="8">
        <v>3</v>
      </c>
      <c r="T871" s="6"/>
      <c r="U871" s="6"/>
      <c r="V871" s="5" t="s">
        <v>106</v>
      </c>
      <c r="W871" s="9">
        <v>7309800</v>
      </c>
      <c r="X871" s="6"/>
      <c r="Y871" s="6"/>
    </row>
    <row r="872" spans="1:25" ht="15" customHeight="1" x14ac:dyDescent="0.2">
      <c r="A872" s="88" t="s">
        <v>1244</v>
      </c>
      <c r="B872" s="90"/>
      <c r="C872" s="88" t="s">
        <v>1263</v>
      </c>
      <c r="D872" s="90"/>
      <c r="E872" s="88" t="s">
        <v>1246</v>
      </c>
      <c r="F872" s="89"/>
      <c r="G872" s="89"/>
      <c r="H872" s="89"/>
      <c r="I872" s="90"/>
      <c r="J872" s="88" t="s">
        <v>22</v>
      </c>
      <c r="K872" s="89"/>
      <c r="L872" s="89"/>
      <c r="M872" s="90"/>
      <c r="N872" s="88" t="s">
        <v>1264</v>
      </c>
      <c r="O872" s="89"/>
      <c r="P872" s="90"/>
      <c r="Q872" s="88" t="s">
        <v>1248</v>
      </c>
      <c r="R872" s="90"/>
      <c r="S872" s="8">
        <v>3</v>
      </c>
      <c r="T872" s="6"/>
      <c r="U872" s="6"/>
      <c r="V872" s="5" t="s">
        <v>106</v>
      </c>
      <c r="W872" s="9">
        <v>8709176</v>
      </c>
      <c r="X872" s="6"/>
      <c r="Y872" s="6"/>
    </row>
    <row r="873" spans="1:25" ht="15" customHeight="1" x14ac:dyDescent="0.2">
      <c r="A873" s="88" t="s">
        <v>1244</v>
      </c>
      <c r="B873" s="90"/>
      <c r="C873" s="88" t="s">
        <v>1265</v>
      </c>
      <c r="D873" s="90"/>
      <c r="E873" s="88" t="s">
        <v>1246</v>
      </c>
      <c r="F873" s="89"/>
      <c r="G873" s="89"/>
      <c r="H873" s="89"/>
      <c r="I873" s="90"/>
      <c r="J873" s="88" t="s">
        <v>22</v>
      </c>
      <c r="K873" s="89"/>
      <c r="L873" s="89"/>
      <c r="M873" s="90"/>
      <c r="N873" s="88" t="s">
        <v>1266</v>
      </c>
      <c r="O873" s="89"/>
      <c r="P873" s="90"/>
      <c r="Q873" s="88" t="s">
        <v>1248</v>
      </c>
      <c r="R873" s="90"/>
      <c r="S873" s="8">
        <v>3</v>
      </c>
      <c r="T873" s="6"/>
      <c r="U873" s="6"/>
      <c r="V873" s="5" t="s">
        <v>106</v>
      </c>
      <c r="W873" s="11">
        <v>2149511</v>
      </c>
      <c r="X873" s="6"/>
      <c r="Y873" s="6"/>
    </row>
    <row r="874" spans="1:25" ht="15" customHeight="1" x14ac:dyDescent="0.2">
      <c r="A874" s="88" t="s">
        <v>1244</v>
      </c>
      <c r="B874" s="90"/>
      <c r="C874" s="88" t="s">
        <v>1267</v>
      </c>
      <c r="D874" s="90"/>
      <c r="E874" s="88" t="s">
        <v>1246</v>
      </c>
      <c r="F874" s="89"/>
      <c r="G874" s="89"/>
      <c r="H874" s="89"/>
      <c r="I874" s="90"/>
      <c r="J874" s="88" t="s">
        <v>22</v>
      </c>
      <c r="K874" s="89"/>
      <c r="L874" s="89"/>
      <c r="M874" s="90"/>
      <c r="N874" s="88" t="s">
        <v>1266</v>
      </c>
      <c r="O874" s="89"/>
      <c r="P874" s="90"/>
      <c r="Q874" s="88" t="s">
        <v>1248</v>
      </c>
      <c r="R874" s="90"/>
      <c r="S874" s="8">
        <v>3</v>
      </c>
      <c r="T874" s="6"/>
      <c r="U874" s="6"/>
      <c r="V874" s="5" t="s">
        <v>106</v>
      </c>
      <c r="W874" s="9">
        <v>2193379</v>
      </c>
      <c r="X874" s="6"/>
      <c r="Y874" s="6"/>
    </row>
    <row r="875" spans="1:25" ht="15" customHeight="1" x14ac:dyDescent="0.2">
      <c r="A875" s="88" t="s">
        <v>1244</v>
      </c>
      <c r="B875" s="90"/>
      <c r="C875" s="88" t="s">
        <v>1268</v>
      </c>
      <c r="D875" s="90"/>
      <c r="E875" s="88" t="s">
        <v>1246</v>
      </c>
      <c r="F875" s="89"/>
      <c r="G875" s="89"/>
      <c r="H875" s="89"/>
      <c r="I875" s="90"/>
      <c r="J875" s="88" t="s">
        <v>22</v>
      </c>
      <c r="K875" s="89"/>
      <c r="L875" s="89"/>
      <c r="M875" s="90"/>
      <c r="N875" s="88" t="s">
        <v>1269</v>
      </c>
      <c r="O875" s="89"/>
      <c r="P875" s="90"/>
      <c r="Q875" s="88" t="s">
        <v>1248</v>
      </c>
      <c r="R875" s="90"/>
      <c r="S875" s="8">
        <v>3</v>
      </c>
      <c r="T875" s="6"/>
      <c r="U875" s="6"/>
      <c r="V875" s="5" t="s">
        <v>106</v>
      </c>
      <c r="W875" s="9">
        <v>2778280</v>
      </c>
      <c r="X875" s="6"/>
      <c r="Y875" s="6"/>
    </row>
    <row r="876" spans="1:25" ht="15" customHeight="1" x14ac:dyDescent="0.2">
      <c r="A876" s="88" t="s">
        <v>1244</v>
      </c>
      <c r="B876" s="90"/>
      <c r="C876" s="88" t="s">
        <v>1270</v>
      </c>
      <c r="D876" s="90"/>
      <c r="E876" s="88" t="s">
        <v>1246</v>
      </c>
      <c r="F876" s="89"/>
      <c r="G876" s="89"/>
      <c r="H876" s="89"/>
      <c r="I876" s="90"/>
      <c r="J876" s="88" t="s">
        <v>22</v>
      </c>
      <c r="K876" s="89"/>
      <c r="L876" s="89"/>
      <c r="M876" s="90"/>
      <c r="N876" s="88" t="s">
        <v>1271</v>
      </c>
      <c r="O876" s="89"/>
      <c r="P876" s="90"/>
      <c r="Q876" s="88" t="s">
        <v>1248</v>
      </c>
      <c r="R876" s="90"/>
      <c r="S876" s="8">
        <v>3</v>
      </c>
      <c r="T876" s="6"/>
      <c r="U876" s="6"/>
      <c r="V876" s="5" t="s">
        <v>106</v>
      </c>
      <c r="W876" s="9">
        <v>2705167</v>
      </c>
      <c r="X876" s="6"/>
      <c r="Y876" s="6"/>
    </row>
    <row r="877" spans="1:25" ht="15" customHeight="1" x14ac:dyDescent="0.2">
      <c r="A877" s="88" t="s">
        <v>1244</v>
      </c>
      <c r="B877" s="90"/>
      <c r="C877" s="88" t="s">
        <v>1272</v>
      </c>
      <c r="D877" s="90"/>
      <c r="E877" s="88" t="s">
        <v>1246</v>
      </c>
      <c r="F877" s="89"/>
      <c r="G877" s="89"/>
      <c r="H877" s="89"/>
      <c r="I877" s="90"/>
      <c r="J877" s="88" t="s">
        <v>22</v>
      </c>
      <c r="K877" s="89"/>
      <c r="L877" s="89"/>
      <c r="M877" s="90"/>
      <c r="N877" s="88" t="s">
        <v>1269</v>
      </c>
      <c r="O877" s="89"/>
      <c r="P877" s="90"/>
      <c r="Q877" s="88" t="s">
        <v>1248</v>
      </c>
      <c r="R877" s="90"/>
      <c r="S877" s="8">
        <v>3</v>
      </c>
      <c r="T877" s="6"/>
      <c r="U877" s="6"/>
      <c r="V877" s="5" t="s">
        <v>106</v>
      </c>
      <c r="W877" s="9">
        <v>2807525</v>
      </c>
      <c r="X877" s="6"/>
      <c r="Y877" s="6"/>
    </row>
    <row r="878" spans="1:25" ht="15" customHeight="1" x14ac:dyDescent="0.2">
      <c r="A878" s="88" t="s">
        <v>1244</v>
      </c>
      <c r="B878" s="90"/>
      <c r="C878" s="88" t="s">
        <v>1273</v>
      </c>
      <c r="D878" s="90"/>
      <c r="E878" s="88" t="s">
        <v>1246</v>
      </c>
      <c r="F878" s="89"/>
      <c r="G878" s="89"/>
      <c r="H878" s="89"/>
      <c r="I878" s="90"/>
      <c r="J878" s="88" t="s">
        <v>22</v>
      </c>
      <c r="K878" s="89"/>
      <c r="L878" s="89"/>
      <c r="M878" s="90"/>
      <c r="N878" s="88" t="s">
        <v>1274</v>
      </c>
      <c r="O878" s="89"/>
      <c r="P878" s="90"/>
      <c r="Q878" s="88" t="s">
        <v>1248</v>
      </c>
      <c r="R878" s="90"/>
      <c r="S878" s="8">
        <v>3</v>
      </c>
      <c r="T878" s="6"/>
      <c r="U878" s="6"/>
      <c r="V878" s="5" t="s">
        <v>106</v>
      </c>
      <c r="W878" s="9">
        <v>2807525</v>
      </c>
      <c r="X878" s="6"/>
      <c r="Y878" s="6"/>
    </row>
    <row r="879" spans="1:25" ht="15" customHeight="1" x14ac:dyDescent="0.2">
      <c r="A879" s="88" t="s">
        <v>1244</v>
      </c>
      <c r="B879" s="90"/>
      <c r="C879" s="88" t="s">
        <v>1275</v>
      </c>
      <c r="D879" s="90"/>
      <c r="E879" s="88" t="s">
        <v>1246</v>
      </c>
      <c r="F879" s="89"/>
      <c r="G879" s="89"/>
      <c r="H879" s="89"/>
      <c r="I879" s="90"/>
      <c r="J879" s="88" t="s">
        <v>22</v>
      </c>
      <c r="K879" s="89"/>
      <c r="L879" s="89"/>
      <c r="M879" s="90"/>
      <c r="N879" s="88" t="s">
        <v>1266</v>
      </c>
      <c r="O879" s="89"/>
      <c r="P879" s="90"/>
      <c r="Q879" s="88" t="s">
        <v>1248</v>
      </c>
      <c r="R879" s="90"/>
      <c r="S879" s="8">
        <v>3</v>
      </c>
      <c r="T879" s="6"/>
      <c r="U879" s="6"/>
      <c r="V879" s="5" t="s">
        <v>106</v>
      </c>
      <c r="W879" s="9">
        <v>2582338</v>
      </c>
      <c r="X879" s="6"/>
      <c r="Y879" s="6"/>
    </row>
    <row r="880" spans="1:25" ht="15" customHeight="1" x14ac:dyDescent="0.2">
      <c r="A880" s="88" t="s">
        <v>1244</v>
      </c>
      <c r="B880" s="90"/>
      <c r="C880" s="88" t="s">
        <v>1276</v>
      </c>
      <c r="D880" s="90"/>
      <c r="E880" s="88" t="s">
        <v>1246</v>
      </c>
      <c r="F880" s="89"/>
      <c r="G880" s="89"/>
      <c r="H880" s="89"/>
      <c r="I880" s="90"/>
      <c r="J880" s="88" t="s">
        <v>22</v>
      </c>
      <c r="K880" s="89"/>
      <c r="L880" s="89"/>
      <c r="M880" s="90"/>
      <c r="N880" s="88" t="s">
        <v>1271</v>
      </c>
      <c r="O880" s="89"/>
      <c r="P880" s="90"/>
      <c r="Q880" s="88" t="s">
        <v>1248</v>
      </c>
      <c r="R880" s="90"/>
      <c r="S880" s="8">
        <v>3</v>
      </c>
      <c r="T880" s="6"/>
      <c r="U880" s="6"/>
      <c r="V880" s="5" t="s">
        <v>106</v>
      </c>
      <c r="W880" s="9">
        <v>2573564</v>
      </c>
      <c r="X880" s="6"/>
      <c r="Y880" s="6"/>
    </row>
    <row r="881" spans="1:25" ht="15" customHeight="1" x14ac:dyDescent="0.2">
      <c r="A881" s="88" t="s">
        <v>1244</v>
      </c>
      <c r="B881" s="90"/>
      <c r="C881" s="88" t="s">
        <v>1277</v>
      </c>
      <c r="D881" s="90"/>
      <c r="E881" s="88" t="s">
        <v>1246</v>
      </c>
      <c r="F881" s="89"/>
      <c r="G881" s="89"/>
      <c r="H881" s="89"/>
      <c r="I881" s="90"/>
      <c r="J881" s="88" t="s">
        <v>22</v>
      </c>
      <c r="K881" s="89"/>
      <c r="L881" s="89"/>
      <c r="M881" s="90"/>
      <c r="N881" s="88" t="s">
        <v>1271</v>
      </c>
      <c r="O881" s="89"/>
      <c r="P881" s="90"/>
      <c r="Q881" s="88" t="s">
        <v>1248</v>
      </c>
      <c r="R881" s="90"/>
      <c r="S881" s="8">
        <v>3</v>
      </c>
      <c r="T881" s="6"/>
      <c r="U881" s="6"/>
      <c r="V881" s="5" t="s">
        <v>106</v>
      </c>
      <c r="W881" s="9">
        <v>2529697</v>
      </c>
      <c r="X881" s="6"/>
      <c r="Y881" s="6"/>
    </row>
    <row r="882" spans="1:25" ht="15" customHeight="1" x14ac:dyDescent="0.2">
      <c r="A882" s="88" t="s">
        <v>1244</v>
      </c>
      <c r="B882" s="90"/>
      <c r="C882" s="88" t="s">
        <v>1278</v>
      </c>
      <c r="D882" s="90"/>
      <c r="E882" s="88" t="s">
        <v>1246</v>
      </c>
      <c r="F882" s="89"/>
      <c r="G882" s="89"/>
      <c r="H882" s="89"/>
      <c r="I882" s="90"/>
      <c r="J882" s="88" t="s">
        <v>22</v>
      </c>
      <c r="K882" s="89"/>
      <c r="L882" s="89"/>
      <c r="M882" s="90"/>
      <c r="N882" s="88" t="s">
        <v>1274</v>
      </c>
      <c r="O882" s="89"/>
      <c r="P882" s="90"/>
      <c r="Q882" s="88" t="s">
        <v>1248</v>
      </c>
      <c r="R882" s="90"/>
      <c r="S882" s="8">
        <v>3</v>
      </c>
      <c r="T882" s="6"/>
      <c r="U882" s="6"/>
      <c r="V882" s="5" t="s">
        <v>106</v>
      </c>
      <c r="W882" s="9">
        <v>3091202</v>
      </c>
      <c r="X882" s="6"/>
      <c r="Y882" s="6"/>
    </row>
    <row r="883" spans="1:25" ht="15" customHeight="1" x14ac:dyDescent="0.2">
      <c r="A883" s="88" t="s">
        <v>1244</v>
      </c>
      <c r="B883" s="90"/>
      <c r="C883" s="88" t="s">
        <v>1279</v>
      </c>
      <c r="D883" s="90"/>
      <c r="E883" s="88" t="s">
        <v>1246</v>
      </c>
      <c r="F883" s="89"/>
      <c r="G883" s="89"/>
      <c r="H883" s="89"/>
      <c r="I883" s="90"/>
      <c r="J883" s="88" t="s">
        <v>22</v>
      </c>
      <c r="K883" s="89"/>
      <c r="L883" s="89"/>
      <c r="M883" s="90"/>
      <c r="N883" s="88" t="s">
        <v>1271</v>
      </c>
      <c r="O883" s="89"/>
      <c r="P883" s="90"/>
      <c r="Q883" s="88" t="s">
        <v>1248</v>
      </c>
      <c r="R883" s="90"/>
      <c r="S883" s="8">
        <v>3</v>
      </c>
      <c r="T883" s="6"/>
      <c r="U883" s="6"/>
      <c r="V883" s="5" t="s">
        <v>106</v>
      </c>
      <c r="W883" s="9">
        <v>2968373</v>
      </c>
      <c r="X883" s="6"/>
      <c r="Y883" s="6"/>
    </row>
    <row r="884" spans="1:25" ht="15" customHeight="1" x14ac:dyDescent="0.2">
      <c r="A884" s="88" t="s">
        <v>1244</v>
      </c>
      <c r="B884" s="90"/>
      <c r="C884" s="88" t="s">
        <v>1280</v>
      </c>
      <c r="D884" s="90"/>
      <c r="E884" s="88" t="s">
        <v>1246</v>
      </c>
      <c r="F884" s="89"/>
      <c r="G884" s="89"/>
      <c r="H884" s="89"/>
      <c r="I884" s="90"/>
      <c r="J884" s="88" t="s">
        <v>22</v>
      </c>
      <c r="K884" s="89"/>
      <c r="L884" s="89"/>
      <c r="M884" s="90"/>
      <c r="N884" s="88" t="s">
        <v>1274</v>
      </c>
      <c r="O884" s="89"/>
      <c r="P884" s="90"/>
      <c r="Q884" s="88" t="s">
        <v>1248</v>
      </c>
      <c r="R884" s="90"/>
      <c r="S884" s="8">
        <v>3</v>
      </c>
      <c r="T884" s="6"/>
      <c r="U884" s="6"/>
      <c r="V884" s="5" t="s">
        <v>106</v>
      </c>
      <c r="W884" s="9">
        <v>3692188</v>
      </c>
      <c r="X884" s="6"/>
      <c r="Y884" s="6"/>
    </row>
    <row r="885" spans="1:25" ht="15" customHeight="1" x14ac:dyDescent="0.2">
      <c r="A885" s="88" t="s">
        <v>1244</v>
      </c>
      <c r="B885" s="90"/>
      <c r="C885" s="88" t="s">
        <v>1281</v>
      </c>
      <c r="D885" s="90"/>
      <c r="E885" s="88" t="s">
        <v>1246</v>
      </c>
      <c r="F885" s="89"/>
      <c r="G885" s="89"/>
      <c r="H885" s="89"/>
      <c r="I885" s="90"/>
      <c r="J885" s="88" t="s">
        <v>22</v>
      </c>
      <c r="K885" s="89"/>
      <c r="L885" s="89"/>
      <c r="M885" s="90"/>
      <c r="N885" s="88" t="s">
        <v>1271</v>
      </c>
      <c r="O885" s="89"/>
      <c r="P885" s="90"/>
      <c r="Q885" s="88" t="s">
        <v>1248</v>
      </c>
      <c r="R885" s="90"/>
      <c r="S885" s="8">
        <v>3</v>
      </c>
      <c r="T885" s="6"/>
      <c r="U885" s="6"/>
      <c r="V885" s="5" t="s">
        <v>106</v>
      </c>
      <c r="W885" s="9">
        <v>3216956</v>
      </c>
      <c r="X885" s="6"/>
      <c r="Y885" s="6"/>
    </row>
    <row r="886" spans="1:25" ht="15" customHeight="1" x14ac:dyDescent="0.2">
      <c r="A886" s="88" t="s">
        <v>1244</v>
      </c>
      <c r="B886" s="90"/>
      <c r="C886" s="88" t="s">
        <v>1282</v>
      </c>
      <c r="D886" s="90"/>
      <c r="E886" s="88" t="s">
        <v>1246</v>
      </c>
      <c r="F886" s="89"/>
      <c r="G886" s="89"/>
      <c r="H886" s="89"/>
      <c r="I886" s="90"/>
      <c r="J886" s="88" t="s">
        <v>22</v>
      </c>
      <c r="K886" s="89"/>
      <c r="L886" s="89"/>
      <c r="M886" s="90"/>
      <c r="N886" s="88" t="s">
        <v>1274</v>
      </c>
      <c r="O886" s="89"/>
      <c r="P886" s="90"/>
      <c r="Q886" s="88" t="s">
        <v>1248</v>
      </c>
      <c r="R886" s="90"/>
      <c r="S886" s="8">
        <v>3</v>
      </c>
      <c r="T886" s="6"/>
      <c r="U886" s="6"/>
      <c r="V886" s="5" t="s">
        <v>106</v>
      </c>
      <c r="W886" s="9">
        <v>3392426</v>
      </c>
      <c r="X886" s="6"/>
      <c r="Y886" s="6"/>
    </row>
    <row r="887" spans="1:25" ht="15" customHeight="1" x14ac:dyDescent="0.2">
      <c r="A887" s="88" t="s">
        <v>1244</v>
      </c>
      <c r="B887" s="90"/>
      <c r="C887" s="88" t="s">
        <v>1283</v>
      </c>
      <c r="D887" s="90"/>
      <c r="E887" s="88" t="s">
        <v>1246</v>
      </c>
      <c r="F887" s="89"/>
      <c r="G887" s="89"/>
      <c r="H887" s="89"/>
      <c r="I887" s="90"/>
      <c r="J887" s="88" t="s">
        <v>22</v>
      </c>
      <c r="K887" s="89"/>
      <c r="L887" s="89"/>
      <c r="M887" s="90"/>
      <c r="N887" s="88" t="s">
        <v>1274</v>
      </c>
      <c r="O887" s="89"/>
      <c r="P887" s="90"/>
      <c r="Q887" s="88" t="s">
        <v>1248</v>
      </c>
      <c r="R887" s="90"/>
      <c r="S887" s="8">
        <v>3</v>
      </c>
      <c r="T887" s="6"/>
      <c r="U887" s="6"/>
      <c r="V887" s="5" t="s">
        <v>106</v>
      </c>
      <c r="W887" s="9">
        <v>3524029</v>
      </c>
      <c r="X887" s="6"/>
      <c r="Y887" s="6"/>
    </row>
    <row r="888" spans="1:25" ht="15" customHeight="1" x14ac:dyDescent="0.2">
      <c r="A888" s="88" t="s">
        <v>1244</v>
      </c>
      <c r="B888" s="90"/>
      <c r="C888" s="88" t="s">
        <v>1284</v>
      </c>
      <c r="D888" s="90"/>
      <c r="E888" s="88" t="s">
        <v>1246</v>
      </c>
      <c r="F888" s="89"/>
      <c r="G888" s="89"/>
      <c r="H888" s="89"/>
      <c r="I888" s="90"/>
      <c r="J888" s="88" t="s">
        <v>22</v>
      </c>
      <c r="K888" s="89"/>
      <c r="L888" s="89"/>
      <c r="M888" s="90"/>
      <c r="N888" s="88" t="s">
        <v>1274</v>
      </c>
      <c r="O888" s="89"/>
      <c r="P888" s="90"/>
      <c r="Q888" s="88" t="s">
        <v>1248</v>
      </c>
      <c r="R888" s="90"/>
      <c r="S888" s="8">
        <v>3</v>
      </c>
      <c r="T888" s="6"/>
      <c r="U888" s="6"/>
      <c r="V888" s="5" t="s">
        <v>106</v>
      </c>
      <c r="W888" s="9">
        <v>3582519</v>
      </c>
      <c r="X888" s="6"/>
      <c r="Y888" s="6"/>
    </row>
    <row r="889" spans="1:25" ht="15" customHeight="1" x14ac:dyDescent="0.2">
      <c r="A889" s="88" t="s">
        <v>1244</v>
      </c>
      <c r="B889" s="90"/>
      <c r="C889" s="88" t="s">
        <v>1285</v>
      </c>
      <c r="D889" s="90"/>
      <c r="E889" s="88" t="s">
        <v>1246</v>
      </c>
      <c r="F889" s="89"/>
      <c r="G889" s="89"/>
      <c r="H889" s="89"/>
      <c r="I889" s="90"/>
      <c r="J889" s="88" t="s">
        <v>22</v>
      </c>
      <c r="K889" s="89"/>
      <c r="L889" s="89"/>
      <c r="M889" s="90"/>
      <c r="N889" s="88" t="s">
        <v>1274</v>
      </c>
      <c r="O889" s="89"/>
      <c r="P889" s="90"/>
      <c r="Q889" s="88" t="s">
        <v>1248</v>
      </c>
      <c r="R889" s="90"/>
      <c r="S889" s="8">
        <v>3</v>
      </c>
      <c r="T889" s="6"/>
      <c r="U889" s="6"/>
      <c r="V889" s="5" t="s">
        <v>106</v>
      </c>
      <c r="W889" s="9">
        <v>3443605</v>
      </c>
      <c r="X889" s="6"/>
      <c r="Y889" s="6"/>
    </row>
    <row r="890" spans="1:25" ht="15" customHeight="1" x14ac:dyDescent="0.2">
      <c r="A890" s="88" t="s">
        <v>1244</v>
      </c>
      <c r="B890" s="90"/>
      <c r="C890" s="88" t="s">
        <v>1286</v>
      </c>
      <c r="D890" s="90"/>
      <c r="E890" s="88" t="s">
        <v>1246</v>
      </c>
      <c r="F890" s="89"/>
      <c r="G890" s="89"/>
      <c r="H890" s="89"/>
      <c r="I890" s="90"/>
      <c r="J890" s="88" t="s">
        <v>22</v>
      </c>
      <c r="K890" s="89"/>
      <c r="L890" s="89"/>
      <c r="M890" s="90"/>
      <c r="N890" s="88" t="s">
        <v>1271</v>
      </c>
      <c r="O890" s="89"/>
      <c r="P890" s="90"/>
      <c r="Q890" s="88" t="s">
        <v>1248</v>
      </c>
      <c r="R890" s="90"/>
      <c r="S890" s="8">
        <v>3</v>
      </c>
      <c r="T890" s="6"/>
      <c r="U890" s="6"/>
      <c r="V890" s="5" t="s">
        <v>106</v>
      </c>
      <c r="W890" s="9">
        <v>3719970</v>
      </c>
      <c r="X890" s="6"/>
      <c r="Y890" s="6"/>
    </row>
    <row r="891" spans="1:25" ht="15" customHeight="1" x14ac:dyDescent="0.2">
      <c r="A891" s="88" t="s">
        <v>1287</v>
      </c>
      <c r="B891" s="90"/>
      <c r="C891" s="88" t="s">
        <v>1288</v>
      </c>
      <c r="D891" s="90"/>
      <c r="E891" s="106"/>
      <c r="F891" s="107"/>
      <c r="G891" s="107"/>
      <c r="H891" s="107"/>
      <c r="I891" s="108"/>
      <c r="J891" s="88" t="s">
        <v>599</v>
      </c>
      <c r="K891" s="89"/>
      <c r="L891" s="89"/>
      <c r="M891" s="90"/>
      <c r="N891" s="88" t="s">
        <v>1289</v>
      </c>
      <c r="O891" s="89"/>
      <c r="P891" s="90"/>
      <c r="Q891" s="88" t="s">
        <v>1290</v>
      </c>
      <c r="R891" s="90"/>
      <c r="S891" s="5" t="s">
        <v>1291</v>
      </c>
      <c r="T891" s="8">
        <v>80000</v>
      </c>
      <c r="U891" s="6"/>
      <c r="V891" s="5" t="s">
        <v>106</v>
      </c>
      <c r="W891" s="12">
        <v>10533518</v>
      </c>
      <c r="X891" s="6"/>
      <c r="Y891" s="6"/>
    </row>
    <row r="892" spans="1:25" ht="15" customHeight="1" x14ac:dyDescent="0.2">
      <c r="A892" s="88" t="s">
        <v>1287</v>
      </c>
      <c r="B892" s="90"/>
      <c r="C892" s="88" t="s">
        <v>1292</v>
      </c>
      <c r="D892" s="90"/>
      <c r="E892" s="106"/>
      <c r="F892" s="107"/>
      <c r="G892" s="107"/>
      <c r="H892" s="107"/>
      <c r="I892" s="108"/>
      <c r="J892" s="88" t="s">
        <v>599</v>
      </c>
      <c r="K892" s="89"/>
      <c r="L892" s="89"/>
      <c r="M892" s="90"/>
      <c r="N892" s="88" t="s">
        <v>1293</v>
      </c>
      <c r="O892" s="89"/>
      <c r="P892" s="90"/>
      <c r="Q892" s="133">
        <v>7700</v>
      </c>
      <c r="R892" s="134"/>
      <c r="S892" s="5" t="s">
        <v>1291</v>
      </c>
      <c r="T892" s="6"/>
      <c r="U892" s="6"/>
      <c r="V892" s="5" t="s">
        <v>106</v>
      </c>
      <c r="W892" s="12">
        <v>6360413</v>
      </c>
      <c r="X892" s="6"/>
      <c r="Y892" s="6"/>
    </row>
    <row r="893" spans="1:25" ht="15" customHeight="1" x14ac:dyDescent="0.2">
      <c r="A893" s="88" t="s">
        <v>1287</v>
      </c>
      <c r="B893" s="90"/>
      <c r="C893" s="88" t="s">
        <v>1294</v>
      </c>
      <c r="D893" s="90"/>
      <c r="E893" s="106"/>
      <c r="F893" s="107"/>
      <c r="G893" s="107"/>
      <c r="H893" s="107"/>
      <c r="I893" s="108"/>
      <c r="J893" s="88" t="s">
        <v>599</v>
      </c>
      <c r="K893" s="89"/>
      <c r="L893" s="89"/>
      <c r="M893" s="90"/>
      <c r="N893" s="88" t="s">
        <v>1289</v>
      </c>
      <c r="O893" s="89"/>
      <c r="P893" s="90"/>
      <c r="Q893" s="133">
        <v>8600</v>
      </c>
      <c r="R893" s="134"/>
      <c r="S893" s="5" t="s">
        <v>1291</v>
      </c>
      <c r="T893" s="6"/>
      <c r="U893" s="6"/>
      <c r="V893" s="5" t="s">
        <v>106</v>
      </c>
      <c r="W893" s="12">
        <v>11943039</v>
      </c>
      <c r="X893" s="6"/>
      <c r="Y893" s="6"/>
    </row>
    <row r="894" spans="1:25" ht="15" customHeight="1" x14ac:dyDescent="0.2">
      <c r="A894" s="88" t="s">
        <v>1287</v>
      </c>
      <c r="B894" s="90"/>
      <c r="C894" s="88" t="s">
        <v>1295</v>
      </c>
      <c r="D894" s="90"/>
      <c r="E894" s="106"/>
      <c r="F894" s="107"/>
      <c r="G894" s="107"/>
      <c r="H894" s="107"/>
      <c r="I894" s="108"/>
      <c r="J894" s="88" t="s">
        <v>599</v>
      </c>
      <c r="K894" s="89"/>
      <c r="L894" s="89"/>
      <c r="M894" s="90"/>
      <c r="N894" s="88" t="s">
        <v>1296</v>
      </c>
      <c r="O894" s="89"/>
      <c r="P894" s="90"/>
      <c r="Q894" s="133">
        <v>8600</v>
      </c>
      <c r="R894" s="134"/>
      <c r="S894" s="5" t="s">
        <v>1291</v>
      </c>
      <c r="T894" s="6"/>
      <c r="U894" s="6"/>
      <c r="V894" s="5" t="s">
        <v>106</v>
      </c>
      <c r="W894" s="12">
        <v>5343089</v>
      </c>
      <c r="X894" s="6"/>
      <c r="Y894" s="6"/>
    </row>
    <row r="895" spans="1:25" ht="15" customHeight="1" x14ac:dyDescent="0.2">
      <c r="A895" s="88" t="s">
        <v>1287</v>
      </c>
      <c r="B895" s="90"/>
      <c r="C895" s="88" t="s">
        <v>1297</v>
      </c>
      <c r="D895" s="90"/>
      <c r="E895" s="106"/>
      <c r="F895" s="107"/>
      <c r="G895" s="107"/>
      <c r="H895" s="107"/>
      <c r="I895" s="108"/>
      <c r="J895" s="88" t="s">
        <v>599</v>
      </c>
      <c r="K895" s="89"/>
      <c r="L895" s="89"/>
      <c r="M895" s="90"/>
      <c r="N895" s="88" t="s">
        <v>1296</v>
      </c>
      <c r="O895" s="89"/>
      <c r="P895" s="90"/>
      <c r="Q895" s="133">
        <v>7100</v>
      </c>
      <c r="R895" s="134"/>
      <c r="S895" s="5" t="s">
        <v>814</v>
      </c>
      <c r="T895" s="6"/>
      <c r="U895" s="6"/>
      <c r="V895" s="5" t="s">
        <v>106</v>
      </c>
      <c r="W895" s="12">
        <v>1125000</v>
      </c>
      <c r="X895" s="6"/>
      <c r="Y895" s="6"/>
    </row>
    <row r="896" spans="1:25" ht="15" customHeight="1" x14ac:dyDescent="0.2">
      <c r="A896" s="88" t="s">
        <v>1287</v>
      </c>
      <c r="B896" s="90"/>
      <c r="C896" s="88" t="s">
        <v>1298</v>
      </c>
      <c r="D896" s="90"/>
      <c r="E896" s="106"/>
      <c r="F896" s="107"/>
      <c r="G896" s="107"/>
      <c r="H896" s="107"/>
      <c r="I896" s="108"/>
      <c r="J896" s="88" t="s">
        <v>599</v>
      </c>
      <c r="K896" s="89"/>
      <c r="L896" s="89"/>
      <c r="M896" s="90"/>
      <c r="N896" s="88" t="s">
        <v>1296</v>
      </c>
      <c r="O896" s="89"/>
      <c r="P896" s="90"/>
      <c r="Q896" s="133">
        <v>1100</v>
      </c>
      <c r="R896" s="134"/>
      <c r="S896" s="5" t="s">
        <v>1299</v>
      </c>
      <c r="T896" s="6"/>
      <c r="U896" s="6"/>
      <c r="V896" s="5" t="s">
        <v>106</v>
      </c>
      <c r="W896" s="12">
        <v>840000</v>
      </c>
      <c r="X896" s="6"/>
      <c r="Y896" s="6"/>
    </row>
    <row r="897" spans="1:25" ht="15" customHeight="1" x14ac:dyDescent="0.2">
      <c r="A897" s="88" t="s">
        <v>1287</v>
      </c>
      <c r="B897" s="90"/>
      <c r="C897" s="88" t="s">
        <v>1300</v>
      </c>
      <c r="D897" s="90"/>
      <c r="E897" s="106"/>
      <c r="F897" s="107"/>
      <c r="G897" s="107"/>
      <c r="H897" s="107"/>
      <c r="I897" s="108"/>
      <c r="J897" s="88" t="s">
        <v>599</v>
      </c>
      <c r="K897" s="89"/>
      <c r="L897" s="89"/>
      <c r="M897" s="90"/>
      <c r="N897" s="88" t="s">
        <v>1296</v>
      </c>
      <c r="O897" s="89"/>
      <c r="P897" s="90"/>
      <c r="Q897" s="133">
        <v>970</v>
      </c>
      <c r="R897" s="134"/>
      <c r="S897" s="5" t="s">
        <v>1299</v>
      </c>
      <c r="T897" s="6"/>
      <c r="U897" s="6"/>
      <c r="V897" s="5" t="s">
        <v>106</v>
      </c>
      <c r="W897" s="12">
        <v>2543220</v>
      </c>
      <c r="X897" s="6"/>
      <c r="Y897" s="6"/>
    </row>
    <row r="898" spans="1:25" ht="15" customHeight="1" x14ac:dyDescent="0.2">
      <c r="A898" s="88" t="s">
        <v>1287</v>
      </c>
      <c r="B898" s="90"/>
      <c r="C898" s="88" t="s">
        <v>1300</v>
      </c>
      <c r="D898" s="90"/>
      <c r="E898" s="106"/>
      <c r="F898" s="107"/>
      <c r="G898" s="107"/>
      <c r="H898" s="107"/>
      <c r="I898" s="108"/>
      <c r="J898" s="88" t="s">
        <v>599</v>
      </c>
      <c r="K898" s="89"/>
      <c r="L898" s="89"/>
      <c r="M898" s="90"/>
      <c r="N898" s="88" t="s">
        <v>1296</v>
      </c>
      <c r="O898" s="89"/>
      <c r="P898" s="90"/>
      <c r="Q898" s="133">
        <v>970</v>
      </c>
      <c r="R898" s="134"/>
      <c r="S898" s="5" t="s">
        <v>1301</v>
      </c>
      <c r="T898" s="6"/>
      <c r="U898" s="6"/>
      <c r="V898" s="5" t="s">
        <v>106</v>
      </c>
      <c r="W898" s="12">
        <v>2949180</v>
      </c>
      <c r="X898" s="6"/>
      <c r="Y898" s="6"/>
    </row>
    <row r="899" spans="1:25" ht="15" customHeight="1" x14ac:dyDescent="0.2">
      <c r="A899" s="88" t="s">
        <v>1287</v>
      </c>
      <c r="B899" s="90"/>
      <c r="C899" s="88" t="s">
        <v>1302</v>
      </c>
      <c r="D899" s="90"/>
      <c r="E899" s="106"/>
      <c r="F899" s="107"/>
      <c r="G899" s="107"/>
      <c r="H899" s="107"/>
      <c r="I899" s="108"/>
      <c r="J899" s="88" t="s">
        <v>599</v>
      </c>
      <c r="K899" s="89"/>
      <c r="L899" s="89"/>
      <c r="M899" s="90"/>
      <c r="N899" s="88" t="s">
        <v>1296</v>
      </c>
      <c r="O899" s="89"/>
      <c r="P899" s="90"/>
      <c r="Q899" s="133">
        <v>2237</v>
      </c>
      <c r="R899" s="134"/>
      <c r="S899" s="5" t="s">
        <v>1301</v>
      </c>
      <c r="T899" s="6"/>
      <c r="U899" s="6"/>
      <c r="V899" s="5" t="s">
        <v>106</v>
      </c>
      <c r="W899" s="12">
        <v>3963600</v>
      </c>
      <c r="X899" s="6"/>
      <c r="Y899" s="6"/>
    </row>
    <row r="900" spans="1:25" ht="15" customHeight="1" x14ac:dyDescent="0.2">
      <c r="A900" s="88" t="s">
        <v>1287</v>
      </c>
      <c r="B900" s="90"/>
      <c r="C900" s="88" t="s">
        <v>1303</v>
      </c>
      <c r="D900" s="90"/>
      <c r="E900" s="106"/>
      <c r="F900" s="107"/>
      <c r="G900" s="107"/>
      <c r="H900" s="107"/>
      <c r="I900" s="108"/>
      <c r="J900" s="88" t="s">
        <v>599</v>
      </c>
      <c r="K900" s="89"/>
      <c r="L900" s="89"/>
      <c r="M900" s="90"/>
      <c r="N900" s="88" t="s">
        <v>1293</v>
      </c>
      <c r="O900" s="89"/>
      <c r="P900" s="90"/>
      <c r="Q900" s="133">
        <v>2237</v>
      </c>
      <c r="R900" s="134"/>
      <c r="S900" s="5" t="s">
        <v>1291</v>
      </c>
      <c r="T900" s="6"/>
      <c r="U900" s="6"/>
      <c r="V900" s="5" t="s">
        <v>106</v>
      </c>
      <c r="W900" s="12">
        <v>5040000</v>
      </c>
      <c r="X900" s="6"/>
      <c r="Y900" s="6"/>
    </row>
    <row r="901" spans="1:25" ht="15" customHeight="1" x14ac:dyDescent="0.2">
      <c r="A901" s="88" t="s">
        <v>1287</v>
      </c>
      <c r="B901" s="90"/>
      <c r="C901" s="88" t="s">
        <v>1304</v>
      </c>
      <c r="D901" s="90"/>
      <c r="E901" s="106"/>
      <c r="F901" s="107"/>
      <c r="G901" s="107"/>
      <c r="H901" s="107"/>
      <c r="I901" s="108"/>
      <c r="J901" s="88" t="s">
        <v>599</v>
      </c>
      <c r="K901" s="89"/>
      <c r="L901" s="89"/>
      <c r="M901" s="90"/>
      <c r="N901" s="88" t="s">
        <v>1293</v>
      </c>
      <c r="O901" s="89"/>
      <c r="P901" s="90"/>
      <c r="Q901" s="106"/>
      <c r="R901" s="108"/>
      <c r="S901" s="5" t="s">
        <v>1305</v>
      </c>
      <c r="T901" s="6"/>
      <c r="U901" s="6"/>
      <c r="V901" s="5" t="s">
        <v>106</v>
      </c>
      <c r="W901" s="12">
        <v>6960000</v>
      </c>
      <c r="X901" s="6"/>
      <c r="Y901" s="6"/>
    </row>
    <row r="902" spans="1:25" ht="15" customHeight="1" x14ac:dyDescent="0.2">
      <c r="A902" s="88" t="s">
        <v>1287</v>
      </c>
      <c r="B902" s="90"/>
      <c r="C902" s="88" t="s">
        <v>1306</v>
      </c>
      <c r="D902" s="90"/>
      <c r="E902" s="106"/>
      <c r="F902" s="107"/>
      <c r="G902" s="107"/>
      <c r="H902" s="107"/>
      <c r="I902" s="108"/>
      <c r="J902" s="88" t="s">
        <v>599</v>
      </c>
      <c r="K902" s="89"/>
      <c r="L902" s="89"/>
      <c r="M902" s="90"/>
      <c r="N902" s="88" t="s">
        <v>1293</v>
      </c>
      <c r="O902" s="89"/>
      <c r="P902" s="90"/>
      <c r="Q902" s="133">
        <v>8000</v>
      </c>
      <c r="R902" s="134"/>
      <c r="S902" s="5" t="s">
        <v>1305</v>
      </c>
      <c r="T902" s="6"/>
      <c r="U902" s="6"/>
      <c r="V902" s="5" t="s">
        <v>106</v>
      </c>
      <c r="W902" s="12">
        <v>7440000</v>
      </c>
      <c r="X902" s="6"/>
      <c r="Y902" s="6"/>
    </row>
    <row r="903" spans="1:25" ht="15" customHeight="1" x14ac:dyDescent="0.2">
      <c r="A903" s="88" t="s">
        <v>1287</v>
      </c>
      <c r="B903" s="90"/>
      <c r="C903" s="88" t="s">
        <v>1307</v>
      </c>
      <c r="D903" s="90"/>
      <c r="E903" s="106"/>
      <c r="F903" s="107"/>
      <c r="G903" s="107"/>
      <c r="H903" s="107"/>
      <c r="I903" s="108"/>
      <c r="J903" s="88" t="s">
        <v>599</v>
      </c>
      <c r="K903" s="89"/>
      <c r="L903" s="89"/>
      <c r="M903" s="90"/>
      <c r="N903" s="88" t="s">
        <v>1293</v>
      </c>
      <c r="O903" s="89"/>
      <c r="P903" s="90"/>
      <c r="Q903" s="133">
        <v>6557</v>
      </c>
      <c r="R903" s="134"/>
      <c r="S903" s="5" t="s">
        <v>1291</v>
      </c>
      <c r="T903" s="6"/>
      <c r="U903" s="6"/>
      <c r="V903" s="5" t="s">
        <v>106</v>
      </c>
      <c r="W903" s="12">
        <v>1680000</v>
      </c>
      <c r="X903" s="6"/>
      <c r="Y903" s="6"/>
    </row>
    <row r="904" spans="1:25" ht="15" customHeight="1" x14ac:dyDescent="0.2">
      <c r="A904" s="88" t="s">
        <v>1287</v>
      </c>
      <c r="B904" s="90"/>
      <c r="C904" s="88" t="s">
        <v>1308</v>
      </c>
      <c r="D904" s="90"/>
      <c r="E904" s="106"/>
      <c r="F904" s="107"/>
      <c r="G904" s="107"/>
      <c r="H904" s="107"/>
      <c r="I904" s="108"/>
      <c r="J904" s="88" t="s">
        <v>599</v>
      </c>
      <c r="K904" s="89"/>
      <c r="L904" s="89"/>
      <c r="M904" s="90"/>
      <c r="N904" s="88" t="s">
        <v>1296</v>
      </c>
      <c r="O904" s="89"/>
      <c r="P904" s="90"/>
      <c r="Q904" s="133">
        <v>3168</v>
      </c>
      <c r="R904" s="134"/>
      <c r="S904" s="5" t="s">
        <v>1291</v>
      </c>
      <c r="T904" s="6"/>
      <c r="U904" s="6"/>
      <c r="V904" s="5" t="s">
        <v>106</v>
      </c>
      <c r="W904" s="12">
        <v>1980000</v>
      </c>
      <c r="X904" s="6"/>
      <c r="Y904" s="6"/>
    </row>
    <row r="905" spans="1:25" ht="15" customHeight="1" x14ac:dyDescent="0.2">
      <c r="A905" s="88" t="s">
        <v>1287</v>
      </c>
      <c r="B905" s="90"/>
      <c r="C905" s="88" t="s">
        <v>1309</v>
      </c>
      <c r="D905" s="90"/>
      <c r="E905" s="106"/>
      <c r="F905" s="107"/>
      <c r="G905" s="107"/>
      <c r="H905" s="107"/>
      <c r="I905" s="108"/>
      <c r="J905" s="88" t="s">
        <v>599</v>
      </c>
      <c r="K905" s="89"/>
      <c r="L905" s="89"/>
      <c r="M905" s="90"/>
      <c r="N905" s="88" t="s">
        <v>1296</v>
      </c>
      <c r="O905" s="89"/>
      <c r="P905" s="90"/>
      <c r="Q905" s="106"/>
      <c r="R905" s="108"/>
      <c r="S905" s="5" t="s">
        <v>1291</v>
      </c>
      <c r="T905" s="6"/>
      <c r="U905" s="6"/>
      <c r="V905" s="5" t="s">
        <v>106</v>
      </c>
      <c r="W905" s="12">
        <v>2990000</v>
      </c>
      <c r="X905" s="6"/>
      <c r="Y905" s="6"/>
    </row>
    <row r="906" spans="1:25" ht="15" customHeight="1" x14ac:dyDescent="0.2">
      <c r="A906" s="88" t="s">
        <v>1287</v>
      </c>
      <c r="B906" s="90"/>
      <c r="C906" s="88" t="s">
        <v>1310</v>
      </c>
      <c r="D906" s="90"/>
      <c r="E906" s="106"/>
      <c r="F906" s="107"/>
      <c r="G906" s="107"/>
      <c r="H906" s="107"/>
      <c r="I906" s="108"/>
      <c r="J906" s="88" t="s">
        <v>599</v>
      </c>
      <c r="K906" s="89"/>
      <c r="L906" s="89"/>
      <c r="M906" s="90"/>
      <c r="N906" s="88" t="s">
        <v>1311</v>
      </c>
      <c r="O906" s="89"/>
      <c r="P906" s="90"/>
      <c r="Q906" s="106"/>
      <c r="R906" s="108"/>
      <c r="S906" s="5" t="s">
        <v>1291</v>
      </c>
      <c r="T906" s="6"/>
      <c r="U906" s="6"/>
      <c r="V906" s="5" t="s">
        <v>106</v>
      </c>
      <c r="W906" s="12">
        <v>5460000</v>
      </c>
      <c r="X906" s="6"/>
      <c r="Y906" s="6"/>
    </row>
    <row r="907" spans="1:25" ht="15" customHeight="1" x14ac:dyDescent="0.2">
      <c r="A907" s="88" t="s">
        <v>1287</v>
      </c>
      <c r="B907" s="90"/>
      <c r="C907" s="88" t="s">
        <v>1312</v>
      </c>
      <c r="D907" s="90"/>
      <c r="E907" s="106"/>
      <c r="F907" s="107"/>
      <c r="G907" s="107"/>
      <c r="H907" s="107"/>
      <c r="I907" s="108"/>
      <c r="J907" s="88" t="s">
        <v>599</v>
      </c>
      <c r="K907" s="89"/>
      <c r="L907" s="89"/>
      <c r="M907" s="90"/>
      <c r="N907" s="88" t="s">
        <v>1293</v>
      </c>
      <c r="O907" s="89"/>
      <c r="P907" s="90"/>
      <c r="Q907" s="106"/>
      <c r="R907" s="108"/>
      <c r="S907" s="5" t="s">
        <v>1313</v>
      </c>
      <c r="T907" s="6"/>
      <c r="U907" s="6"/>
      <c r="V907" s="5" t="s">
        <v>106</v>
      </c>
      <c r="W907" s="12">
        <v>7200000</v>
      </c>
      <c r="X907" s="6"/>
      <c r="Y907" s="6"/>
    </row>
    <row r="908" spans="1:25" ht="15" customHeight="1" x14ac:dyDescent="0.2">
      <c r="A908" s="88" t="s">
        <v>1287</v>
      </c>
      <c r="B908" s="90"/>
      <c r="C908" s="88" t="s">
        <v>1314</v>
      </c>
      <c r="D908" s="90"/>
      <c r="E908" s="106"/>
      <c r="F908" s="107"/>
      <c r="G908" s="107"/>
      <c r="H908" s="107"/>
      <c r="I908" s="108"/>
      <c r="J908" s="88" t="s">
        <v>599</v>
      </c>
      <c r="K908" s="89"/>
      <c r="L908" s="89"/>
      <c r="M908" s="90"/>
      <c r="N908" s="88" t="s">
        <v>1315</v>
      </c>
      <c r="O908" s="89"/>
      <c r="P908" s="90"/>
      <c r="Q908" s="106"/>
      <c r="R908" s="108"/>
      <c r="S908" s="5" t="s">
        <v>1291</v>
      </c>
      <c r="T908" s="6"/>
      <c r="U908" s="6"/>
      <c r="V908" s="5" t="s">
        <v>106</v>
      </c>
      <c r="W908" s="12">
        <v>6875000</v>
      </c>
      <c r="X908" s="6"/>
      <c r="Y908" s="6"/>
    </row>
    <row r="909" spans="1:25" ht="15" customHeight="1" x14ac:dyDescent="0.2">
      <c r="A909" s="88" t="s">
        <v>1287</v>
      </c>
      <c r="B909" s="90"/>
      <c r="C909" s="88" t="s">
        <v>1316</v>
      </c>
      <c r="D909" s="90"/>
      <c r="E909" s="106"/>
      <c r="F909" s="107"/>
      <c r="G909" s="107"/>
      <c r="H909" s="107"/>
      <c r="I909" s="108"/>
      <c r="J909" s="88" t="s">
        <v>599</v>
      </c>
      <c r="K909" s="89"/>
      <c r="L909" s="89"/>
      <c r="M909" s="90"/>
      <c r="N909" s="88" t="s">
        <v>1296</v>
      </c>
      <c r="O909" s="89"/>
      <c r="P909" s="90"/>
      <c r="Q909" s="88" t="s">
        <v>1317</v>
      </c>
      <c r="R909" s="90"/>
      <c r="S909" s="5" t="s">
        <v>1291</v>
      </c>
      <c r="T909" s="6"/>
      <c r="U909" s="6"/>
      <c r="V909" s="5" t="s">
        <v>106</v>
      </c>
      <c r="W909" s="12">
        <v>2520000</v>
      </c>
      <c r="X909" s="6"/>
      <c r="Y909" s="6"/>
    </row>
    <row r="910" spans="1:25" ht="15" customHeight="1" x14ac:dyDescent="0.2">
      <c r="A910" s="88" t="s">
        <v>1287</v>
      </c>
      <c r="B910" s="90"/>
      <c r="C910" s="88" t="s">
        <v>1318</v>
      </c>
      <c r="D910" s="90"/>
      <c r="E910" s="106"/>
      <c r="F910" s="107"/>
      <c r="G910" s="107"/>
      <c r="H910" s="107"/>
      <c r="I910" s="108"/>
      <c r="J910" s="88" t="s">
        <v>599</v>
      </c>
      <c r="K910" s="89"/>
      <c r="L910" s="89"/>
      <c r="M910" s="90"/>
      <c r="N910" s="88" t="s">
        <v>1296</v>
      </c>
      <c r="O910" s="89"/>
      <c r="P910" s="90"/>
      <c r="Q910" s="88" t="s">
        <v>1319</v>
      </c>
      <c r="R910" s="90"/>
      <c r="S910" s="5" t="s">
        <v>1320</v>
      </c>
      <c r="T910" s="6"/>
      <c r="U910" s="6"/>
      <c r="V910" s="5" t="s">
        <v>106</v>
      </c>
      <c r="W910" s="12">
        <v>5165580</v>
      </c>
      <c r="X910" s="6"/>
      <c r="Y910" s="6"/>
    </row>
    <row r="911" spans="1:25" ht="15" customHeight="1" x14ac:dyDescent="0.2">
      <c r="A911" s="88" t="s">
        <v>1287</v>
      </c>
      <c r="B911" s="90"/>
      <c r="C911" s="88" t="s">
        <v>1321</v>
      </c>
      <c r="D911" s="90"/>
      <c r="E911" s="106"/>
      <c r="F911" s="107"/>
      <c r="G911" s="107"/>
      <c r="H911" s="107"/>
      <c r="I911" s="108"/>
      <c r="J911" s="88" t="s">
        <v>599</v>
      </c>
      <c r="K911" s="89"/>
      <c r="L911" s="89"/>
      <c r="M911" s="90"/>
      <c r="N911" s="88" t="s">
        <v>1296</v>
      </c>
      <c r="O911" s="89"/>
      <c r="P911" s="90"/>
      <c r="Q911" s="133">
        <v>3857</v>
      </c>
      <c r="R911" s="134"/>
      <c r="S911" s="5" t="s">
        <v>1320</v>
      </c>
      <c r="T911" s="6"/>
      <c r="U911" s="6"/>
      <c r="V911" s="5" t="s">
        <v>106</v>
      </c>
      <c r="W911" s="12">
        <v>3360000</v>
      </c>
      <c r="X911" s="6"/>
      <c r="Y911" s="6"/>
    </row>
    <row r="912" spans="1:25" ht="15" customHeight="1" x14ac:dyDescent="0.2">
      <c r="A912" s="88" t="s">
        <v>1287</v>
      </c>
      <c r="B912" s="90"/>
      <c r="C912" s="88" t="s">
        <v>1322</v>
      </c>
      <c r="D912" s="90"/>
      <c r="E912" s="106"/>
      <c r="F912" s="107"/>
      <c r="G912" s="107"/>
      <c r="H912" s="107"/>
      <c r="I912" s="108"/>
      <c r="J912" s="88" t="s">
        <v>599</v>
      </c>
      <c r="K912" s="89"/>
      <c r="L912" s="89"/>
      <c r="M912" s="90"/>
      <c r="N912" s="88" t="s">
        <v>1296</v>
      </c>
      <c r="O912" s="89"/>
      <c r="P912" s="90"/>
      <c r="Q912" s="133">
        <v>3857</v>
      </c>
      <c r="R912" s="134"/>
      <c r="S912" s="5" t="s">
        <v>1320</v>
      </c>
      <c r="T912" s="6"/>
      <c r="U912" s="6"/>
      <c r="V912" s="5" t="s">
        <v>106</v>
      </c>
      <c r="W912" s="12">
        <v>9545118</v>
      </c>
      <c r="X912" s="6"/>
      <c r="Y912" s="6"/>
    </row>
    <row r="913" spans="1:25" ht="15" customHeight="1" x14ac:dyDescent="0.2">
      <c r="A913" s="88" t="s">
        <v>1287</v>
      </c>
      <c r="B913" s="90"/>
      <c r="C913" s="88" t="s">
        <v>1323</v>
      </c>
      <c r="D913" s="90"/>
      <c r="E913" s="106"/>
      <c r="F913" s="107"/>
      <c r="G913" s="107"/>
      <c r="H913" s="107"/>
      <c r="I913" s="108"/>
      <c r="J913" s="88" t="s">
        <v>599</v>
      </c>
      <c r="K913" s="89"/>
      <c r="L913" s="89"/>
      <c r="M913" s="90"/>
      <c r="N913" s="106"/>
      <c r="O913" s="107"/>
      <c r="P913" s="108"/>
      <c r="Q913" s="133">
        <v>6842</v>
      </c>
      <c r="R913" s="134"/>
      <c r="S913" s="5" t="s">
        <v>1320</v>
      </c>
      <c r="T913" s="6"/>
      <c r="U913" s="6"/>
      <c r="V913" s="5" t="s">
        <v>106</v>
      </c>
      <c r="W913" s="12">
        <v>5366256</v>
      </c>
      <c r="X913" s="6"/>
      <c r="Y913" s="6"/>
    </row>
    <row r="914" spans="1:25" ht="15" customHeight="1" x14ac:dyDescent="0.2">
      <c r="A914" s="88" t="s">
        <v>1287</v>
      </c>
      <c r="B914" s="90"/>
      <c r="C914" s="88" t="s">
        <v>1324</v>
      </c>
      <c r="D914" s="90"/>
      <c r="E914" s="106"/>
      <c r="F914" s="107"/>
      <c r="G914" s="107"/>
      <c r="H914" s="107"/>
      <c r="I914" s="108"/>
      <c r="J914" s="88" t="s">
        <v>599</v>
      </c>
      <c r="K914" s="89"/>
      <c r="L914" s="89"/>
      <c r="M914" s="90"/>
      <c r="N914" s="88" t="s">
        <v>1296</v>
      </c>
      <c r="O914" s="89"/>
      <c r="P914" s="90"/>
      <c r="Q914" s="106"/>
      <c r="R914" s="108"/>
      <c r="S914" s="5" t="s">
        <v>1320</v>
      </c>
      <c r="T914" s="6"/>
      <c r="U914" s="6"/>
      <c r="V914" s="5" t="s">
        <v>106</v>
      </c>
      <c r="W914" s="12">
        <v>7300603</v>
      </c>
      <c r="X914" s="6"/>
      <c r="Y914" s="6"/>
    </row>
    <row r="915" spans="1:25" ht="15" customHeight="1" x14ac:dyDescent="0.2">
      <c r="A915" s="88" t="s">
        <v>1287</v>
      </c>
      <c r="B915" s="90"/>
      <c r="C915" s="88" t="s">
        <v>1325</v>
      </c>
      <c r="D915" s="90"/>
      <c r="E915" s="106"/>
      <c r="F915" s="107"/>
      <c r="G915" s="107"/>
      <c r="H915" s="107"/>
      <c r="I915" s="108"/>
      <c r="J915" s="88" t="s">
        <v>599</v>
      </c>
      <c r="K915" s="89"/>
      <c r="L915" s="89"/>
      <c r="M915" s="90"/>
      <c r="N915" s="88" t="s">
        <v>1296</v>
      </c>
      <c r="O915" s="89"/>
      <c r="P915" s="90"/>
      <c r="Q915" s="106"/>
      <c r="R915" s="108"/>
      <c r="S915" s="5" t="s">
        <v>1320</v>
      </c>
      <c r="T915" s="6"/>
      <c r="U915" s="6"/>
      <c r="V915" s="5" t="s">
        <v>106</v>
      </c>
      <c r="W915" s="12">
        <v>7084809</v>
      </c>
      <c r="X915" s="6"/>
      <c r="Y915" s="6"/>
    </row>
    <row r="916" spans="1:25" ht="15" customHeight="1" x14ac:dyDescent="0.2">
      <c r="A916" s="88" t="s">
        <v>1287</v>
      </c>
      <c r="B916" s="90"/>
      <c r="C916" s="88" t="s">
        <v>1326</v>
      </c>
      <c r="D916" s="90"/>
      <c r="E916" s="106"/>
      <c r="F916" s="107"/>
      <c r="G916" s="107"/>
      <c r="H916" s="107"/>
      <c r="I916" s="108"/>
      <c r="J916" s="88" t="s">
        <v>599</v>
      </c>
      <c r="K916" s="89"/>
      <c r="L916" s="89"/>
      <c r="M916" s="90"/>
      <c r="N916" s="88" t="s">
        <v>1296</v>
      </c>
      <c r="O916" s="89"/>
      <c r="P916" s="90"/>
      <c r="Q916" s="106"/>
      <c r="R916" s="108"/>
      <c r="S916" s="5" t="s">
        <v>1320</v>
      </c>
      <c r="T916" s="6"/>
      <c r="U916" s="6"/>
      <c r="V916" s="5" t="s">
        <v>106</v>
      </c>
      <c r="W916" s="12">
        <v>7487798</v>
      </c>
      <c r="X916" s="6"/>
      <c r="Y916" s="6"/>
    </row>
    <row r="917" spans="1:25" ht="15" customHeight="1" x14ac:dyDescent="0.2">
      <c r="A917" s="88" t="s">
        <v>1287</v>
      </c>
      <c r="B917" s="90"/>
      <c r="C917" s="88" t="s">
        <v>1327</v>
      </c>
      <c r="D917" s="90"/>
      <c r="E917" s="106"/>
      <c r="F917" s="107"/>
      <c r="G917" s="107"/>
      <c r="H917" s="107"/>
      <c r="I917" s="108"/>
      <c r="J917" s="88" t="s">
        <v>599</v>
      </c>
      <c r="K917" s="89"/>
      <c r="L917" s="89"/>
      <c r="M917" s="90"/>
      <c r="N917" s="88" t="s">
        <v>1296</v>
      </c>
      <c r="O917" s="89"/>
      <c r="P917" s="90"/>
      <c r="Q917" s="106"/>
      <c r="R917" s="108"/>
      <c r="S917" s="5" t="s">
        <v>1320</v>
      </c>
      <c r="T917" s="6"/>
      <c r="U917" s="6"/>
      <c r="V917" s="5" t="s">
        <v>106</v>
      </c>
      <c r="W917" s="12">
        <v>14850800</v>
      </c>
      <c r="X917" s="6"/>
      <c r="Y917" s="6"/>
    </row>
    <row r="918" spans="1:25" ht="15" customHeight="1" x14ac:dyDescent="0.2">
      <c r="A918" s="88" t="s">
        <v>1287</v>
      </c>
      <c r="B918" s="90"/>
      <c r="C918" s="88" t="s">
        <v>1328</v>
      </c>
      <c r="D918" s="90"/>
      <c r="E918" s="106"/>
      <c r="F918" s="107"/>
      <c r="G918" s="107"/>
      <c r="H918" s="107"/>
      <c r="I918" s="108"/>
      <c r="J918" s="88" t="s">
        <v>599</v>
      </c>
      <c r="K918" s="89"/>
      <c r="L918" s="89"/>
      <c r="M918" s="90"/>
      <c r="N918" s="88" t="s">
        <v>26</v>
      </c>
      <c r="O918" s="89"/>
      <c r="P918" s="90"/>
      <c r="Q918" s="106"/>
      <c r="R918" s="108"/>
      <c r="S918" s="5" t="s">
        <v>1329</v>
      </c>
      <c r="T918" s="6"/>
      <c r="U918" s="6"/>
      <c r="V918" s="5" t="s">
        <v>106</v>
      </c>
      <c r="W918" s="12">
        <v>3556704</v>
      </c>
      <c r="X918" s="6"/>
      <c r="Y918" s="6"/>
    </row>
    <row r="919" spans="1:25" ht="15" customHeight="1" x14ac:dyDescent="0.2">
      <c r="A919" s="88" t="s">
        <v>1287</v>
      </c>
      <c r="B919" s="90"/>
      <c r="C919" s="88" t="s">
        <v>1310</v>
      </c>
      <c r="D919" s="90"/>
      <c r="E919" s="106"/>
      <c r="F919" s="107"/>
      <c r="G919" s="107"/>
      <c r="H919" s="107"/>
      <c r="I919" s="108"/>
      <c r="J919" s="88" t="s">
        <v>599</v>
      </c>
      <c r="K919" s="89"/>
      <c r="L919" s="89"/>
      <c r="M919" s="90"/>
      <c r="N919" s="88" t="s">
        <v>1293</v>
      </c>
      <c r="O919" s="89"/>
      <c r="P919" s="90"/>
      <c r="Q919" s="106"/>
      <c r="R919" s="108"/>
      <c r="S919" s="5" t="s">
        <v>1291</v>
      </c>
      <c r="T919" s="6"/>
      <c r="U919" s="6"/>
      <c r="V919" s="5" t="s">
        <v>106</v>
      </c>
      <c r="W919" s="12">
        <v>7051010</v>
      </c>
      <c r="X919" s="6"/>
      <c r="Y919" s="6"/>
    </row>
    <row r="920" spans="1:25" ht="15" customHeight="1" x14ac:dyDescent="0.2">
      <c r="A920" s="88" t="s">
        <v>1287</v>
      </c>
      <c r="B920" s="90"/>
      <c r="C920" s="88" t="s">
        <v>1330</v>
      </c>
      <c r="D920" s="90"/>
      <c r="E920" s="106"/>
      <c r="F920" s="107"/>
      <c r="G920" s="107"/>
      <c r="H920" s="107"/>
      <c r="I920" s="108"/>
      <c r="J920" s="88" t="s">
        <v>599</v>
      </c>
      <c r="K920" s="89"/>
      <c r="L920" s="89"/>
      <c r="M920" s="90"/>
      <c r="N920" s="88" t="s">
        <v>1293</v>
      </c>
      <c r="O920" s="89"/>
      <c r="P920" s="90"/>
      <c r="Q920" s="106"/>
      <c r="R920" s="108"/>
      <c r="S920" s="5" t="s">
        <v>1291</v>
      </c>
      <c r="T920" s="6"/>
      <c r="U920" s="6"/>
      <c r="V920" s="5" t="s">
        <v>106</v>
      </c>
      <c r="W920" s="12">
        <v>8610968</v>
      </c>
      <c r="X920" s="6"/>
      <c r="Y920" s="6"/>
    </row>
    <row r="921" spans="1:25" ht="15" customHeight="1" x14ac:dyDescent="0.2">
      <c r="A921" s="88" t="s">
        <v>1287</v>
      </c>
      <c r="B921" s="90"/>
      <c r="C921" s="88" t="s">
        <v>1314</v>
      </c>
      <c r="D921" s="90"/>
      <c r="E921" s="106"/>
      <c r="F921" s="107"/>
      <c r="G921" s="107"/>
      <c r="H921" s="107"/>
      <c r="I921" s="108"/>
      <c r="J921" s="88" t="s">
        <v>599</v>
      </c>
      <c r="K921" s="89"/>
      <c r="L921" s="89"/>
      <c r="M921" s="90"/>
      <c r="N921" s="88" t="s">
        <v>1289</v>
      </c>
      <c r="O921" s="89"/>
      <c r="P921" s="90"/>
      <c r="Q921" s="106"/>
      <c r="R921" s="108"/>
      <c r="S921" s="5" t="s">
        <v>1291</v>
      </c>
      <c r="T921" s="6"/>
      <c r="U921" s="6"/>
      <c r="V921" s="5" t="s">
        <v>106</v>
      </c>
      <c r="W921" s="12">
        <v>11049703</v>
      </c>
      <c r="X921" s="6"/>
      <c r="Y921" s="6"/>
    </row>
    <row r="922" spans="1:25" ht="15" customHeight="1" x14ac:dyDescent="0.2">
      <c r="A922" s="88" t="s">
        <v>1287</v>
      </c>
      <c r="B922" s="90"/>
      <c r="C922" s="88" t="s">
        <v>1331</v>
      </c>
      <c r="D922" s="90"/>
      <c r="E922" s="106"/>
      <c r="F922" s="107"/>
      <c r="G922" s="107"/>
      <c r="H922" s="107"/>
      <c r="I922" s="108"/>
      <c r="J922" s="88" t="s">
        <v>599</v>
      </c>
      <c r="K922" s="89"/>
      <c r="L922" s="89"/>
      <c r="M922" s="90"/>
      <c r="N922" s="88" t="s">
        <v>1296</v>
      </c>
      <c r="O922" s="89"/>
      <c r="P922" s="90"/>
      <c r="Q922" s="88" t="s">
        <v>1317</v>
      </c>
      <c r="R922" s="90"/>
      <c r="S922" s="5" t="s">
        <v>1305</v>
      </c>
      <c r="T922" s="6"/>
      <c r="U922" s="6"/>
      <c r="V922" s="5" t="s">
        <v>106</v>
      </c>
      <c r="W922" s="12">
        <v>6551824</v>
      </c>
      <c r="X922" s="6"/>
      <c r="Y922" s="6"/>
    </row>
    <row r="923" spans="1:25" ht="15" customHeight="1" x14ac:dyDescent="0.2">
      <c r="A923" s="88" t="s">
        <v>1287</v>
      </c>
      <c r="B923" s="90"/>
      <c r="C923" s="88" t="s">
        <v>1332</v>
      </c>
      <c r="D923" s="90"/>
      <c r="E923" s="106"/>
      <c r="F923" s="107"/>
      <c r="G923" s="107"/>
      <c r="H923" s="107"/>
      <c r="I923" s="108"/>
      <c r="J923" s="88" t="s">
        <v>599</v>
      </c>
      <c r="K923" s="89"/>
      <c r="L923" s="89"/>
      <c r="M923" s="90"/>
      <c r="N923" s="88" t="s">
        <v>1293</v>
      </c>
      <c r="O923" s="89"/>
      <c r="P923" s="90"/>
      <c r="Q923" s="106"/>
      <c r="R923" s="108"/>
      <c r="S923" s="5" t="s">
        <v>1305</v>
      </c>
      <c r="T923" s="6"/>
      <c r="U923" s="6"/>
      <c r="V923" s="5" t="s">
        <v>106</v>
      </c>
      <c r="W923" s="12">
        <v>9234952</v>
      </c>
      <c r="X923" s="6"/>
      <c r="Y923" s="6"/>
    </row>
    <row r="924" spans="1:25" ht="15" customHeight="1" x14ac:dyDescent="0.2">
      <c r="A924" s="88" t="s">
        <v>1287</v>
      </c>
      <c r="B924" s="90"/>
      <c r="C924" s="88" t="s">
        <v>1333</v>
      </c>
      <c r="D924" s="90"/>
      <c r="E924" s="106"/>
      <c r="F924" s="107"/>
      <c r="G924" s="107"/>
      <c r="H924" s="107"/>
      <c r="I924" s="108"/>
      <c r="J924" s="88" t="s">
        <v>599</v>
      </c>
      <c r="K924" s="89"/>
      <c r="L924" s="89"/>
      <c r="M924" s="90"/>
      <c r="N924" s="88" t="s">
        <v>1296</v>
      </c>
      <c r="O924" s="89"/>
      <c r="P924" s="90"/>
      <c r="Q924" s="88" t="s">
        <v>1334</v>
      </c>
      <c r="R924" s="90"/>
      <c r="S924" s="5" t="s">
        <v>1305</v>
      </c>
      <c r="T924" s="6"/>
      <c r="U924" s="6"/>
      <c r="V924" s="5" t="s">
        <v>106</v>
      </c>
      <c r="W924" s="12">
        <v>5459853</v>
      </c>
      <c r="X924" s="6"/>
      <c r="Y924" s="6"/>
    </row>
    <row r="925" spans="1:25" ht="15" customHeight="1" x14ac:dyDescent="0.2">
      <c r="A925" s="88" t="s">
        <v>1287</v>
      </c>
      <c r="B925" s="90"/>
      <c r="C925" s="88" t="s">
        <v>1335</v>
      </c>
      <c r="D925" s="90"/>
      <c r="E925" s="106"/>
      <c r="F925" s="107"/>
      <c r="G925" s="107"/>
      <c r="H925" s="107"/>
      <c r="I925" s="108"/>
      <c r="J925" s="88" t="s">
        <v>599</v>
      </c>
      <c r="K925" s="89"/>
      <c r="L925" s="89"/>
      <c r="M925" s="90"/>
      <c r="N925" s="88" t="s">
        <v>1296</v>
      </c>
      <c r="O925" s="89"/>
      <c r="P925" s="90"/>
      <c r="Q925" s="88" t="s">
        <v>1336</v>
      </c>
      <c r="R925" s="90"/>
      <c r="S925" s="5" t="s">
        <v>1305</v>
      </c>
      <c r="T925" s="6"/>
      <c r="U925" s="6"/>
      <c r="V925" s="5" t="s">
        <v>106</v>
      </c>
      <c r="W925" s="12">
        <v>7051010</v>
      </c>
      <c r="X925" s="6"/>
      <c r="Y925" s="6"/>
    </row>
    <row r="926" spans="1:25" ht="15" customHeight="1" x14ac:dyDescent="0.2">
      <c r="A926" s="88" t="s">
        <v>1287</v>
      </c>
      <c r="B926" s="90"/>
      <c r="C926" s="88" t="s">
        <v>1337</v>
      </c>
      <c r="D926" s="90"/>
      <c r="E926" s="106"/>
      <c r="F926" s="107"/>
      <c r="G926" s="107"/>
      <c r="H926" s="107"/>
      <c r="I926" s="108"/>
      <c r="J926" s="88" t="s">
        <v>599</v>
      </c>
      <c r="K926" s="89"/>
      <c r="L926" s="89"/>
      <c r="M926" s="90"/>
      <c r="N926" s="88" t="s">
        <v>1293</v>
      </c>
      <c r="O926" s="89"/>
      <c r="P926" s="90"/>
      <c r="Q926" s="88" t="s">
        <v>1338</v>
      </c>
      <c r="R926" s="90"/>
      <c r="S926" s="5" t="s">
        <v>1339</v>
      </c>
      <c r="T926" s="6"/>
      <c r="U926" s="6"/>
      <c r="V926" s="5" t="s">
        <v>106</v>
      </c>
      <c r="W926" s="12">
        <v>10046130</v>
      </c>
      <c r="X926" s="6"/>
      <c r="Y926" s="6"/>
    </row>
    <row r="927" spans="1:25" ht="15" customHeight="1" x14ac:dyDescent="0.2">
      <c r="A927" s="88" t="s">
        <v>1287</v>
      </c>
      <c r="B927" s="90"/>
      <c r="C927" s="88" t="s">
        <v>1340</v>
      </c>
      <c r="D927" s="90"/>
      <c r="E927" s="106"/>
      <c r="F927" s="107"/>
      <c r="G927" s="107"/>
      <c r="H927" s="107"/>
      <c r="I927" s="108"/>
      <c r="J927" s="88" t="s">
        <v>599</v>
      </c>
      <c r="K927" s="89"/>
      <c r="L927" s="89"/>
      <c r="M927" s="90"/>
      <c r="N927" s="88" t="s">
        <v>1293</v>
      </c>
      <c r="O927" s="89"/>
      <c r="P927" s="90"/>
      <c r="Q927" s="88" t="s">
        <v>1341</v>
      </c>
      <c r="R927" s="90"/>
      <c r="S927" s="5" t="s">
        <v>1339</v>
      </c>
      <c r="T927" s="6"/>
      <c r="U927" s="6"/>
      <c r="V927" s="5" t="s">
        <v>106</v>
      </c>
      <c r="W927" s="12">
        <v>10482918</v>
      </c>
      <c r="X927" s="6"/>
      <c r="Y927" s="6"/>
    </row>
    <row r="928" spans="1:25" ht="15" customHeight="1" x14ac:dyDescent="0.2">
      <c r="A928" s="88" t="s">
        <v>1287</v>
      </c>
      <c r="B928" s="90"/>
      <c r="C928" s="88" t="s">
        <v>1342</v>
      </c>
      <c r="D928" s="90"/>
      <c r="E928" s="106"/>
      <c r="F928" s="107"/>
      <c r="G928" s="107"/>
      <c r="H928" s="107"/>
      <c r="I928" s="108"/>
      <c r="J928" s="88" t="s">
        <v>599</v>
      </c>
      <c r="K928" s="89"/>
      <c r="L928" s="89"/>
      <c r="M928" s="90"/>
      <c r="N928" s="106"/>
      <c r="O928" s="107"/>
      <c r="P928" s="108"/>
      <c r="Q928" s="88" t="s">
        <v>1341</v>
      </c>
      <c r="R928" s="90"/>
      <c r="S928" s="5" t="s">
        <v>1339</v>
      </c>
      <c r="T928" s="6"/>
      <c r="U928" s="6"/>
      <c r="V928" s="5" t="s">
        <v>106</v>
      </c>
      <c r="W928" s="12">
        <v>9234952</v>
      </c>
      <c r="X928" s="6"/>
      <c r="Y928" s="6"/>
    </row>
    <row r="929" spans="1:25" ht="15" customHeight="1" x14ac:dyDescent="0.2">
      <c r="A929" s="88" t="s">
        <v>1287</v>
      </c>
      <c r="B929" s="90"/>
      <c r="C929" s="88" t="s">
        <v>1343</v>
      </c>
      <c r="D929" s="90"/>
      <c r="E929" s="106"/>
      <c r="F929" s="107"/>
      <c r="G929" s="107"/>
      <c r="H929" s="107"/>
      <c r="I929" s="108"/>
      <c r="J929" s="88" t="s">
        <v>599</v>
      </c>
      <c r="K929" s="89"/>
      <c r="L929" s="89"/>
      <c r="M929" s="90"/>
      <c r="N929" s="88" t="s">
        <v>1344</v>
      </c>
      <c r="O929" s="89"/>
      <c r="P929" s="90"/>
      <c r="Q929" s="88" t="s">
        <v>1345</v>
      </c>
      <c r="R929" s="90"/>
      <c r="S929" s="5" t="s">
        <v>1339</v>
      </c>
      <c r="T929" s="6"/>
      <c r="U929" s="6"/>
      <c r="V929" s="5" t="s">
        <v>106</v>
      </c>
      <c r="W929" s="12">
        <v>8486172</v>
      </c>
      <c r="X929" s="6"/>
      <c r="Y929" s="6"/>
    </row>
    <row r="930" spans="1:25" ht="15" customHeight="1" x14ac:dyDescent="0.2">
      <c r="A930" s="88" t="s">
        <v>1287</v>
      </c>
      <c r="B930" s="90"/>
      <c r="C930" s="88" t="s">
        <v>1346</v>
      </c>
      <c r="D930" s="90"/>
      <c r="E930" s="106"/>
      <c r="F930" s="107"/>
      <c r="G930" s="107"/>
      <c r="H930" s="107"/>
      <c r="I930" s="108"/>
      <c r="J930" s="88" t="s">
        <v>599</v>
      </c>
      <c r="K930" s="89"/>
      <c r="L930" s="89"/>
      <c r="M930" s="90"/>
      <c r="N930" s="88" t="s">
        <v>1296</v>
      </c>
      <c r="O930" s="89"/>
      <c r="P930" s="90"/>
      <c r="Q930" s="88" t="s">
        <v>1317</v>
      </c>
      <c r="R930" s="90"/>
      <c r="S930" s="5" t="s">
        <v>1291</v>
      </c>
      <c r="T930" s="6"/>
      <c r="U930" s="6"/>
      <c r="V930" s="5" t="s">
        <v>106</v>
      </c>
      <c r="W930" s="12">
        <v>4867069</v>
      </c>
      <c r="X930" s="6"/>
      <c r="Y930" s="6"/>
    </row>
    <row r="931" spans="1:25" ht="15" customHeight="1" x14ac:dyDescent="0.2">
      <c r="A931" s="88" t="s">
        <v>1287</v>
      </c>
      <c r="B931" s="90"/>
      <c r="C931" s="88" t="s">
        <v>1347</v>
      </c>
      <c r="D931" s="90"/>
      <c r="E931" s="106"/>
      <c r="F931" s="107"/>
      <c r="G931" s="107"/>
      <c r="H931" s="107"/>
      <c r="I931" s="108"/>
      <c r="J931" s="88" t="s">
        <v>599</v>
      </c>
      <c r="K931" s="89"/>
      <c r="L931" s="89"/>
      <c r="M931" s="90"/>
      <c r="N931" s="88" t="s">
        <v>1296</v>
      </c>
      <c r="O931" s="89"/>
      <c r="P931" s="90"/>
      <c r="Q931" s="106"/>
      <c r="R931" s="108"/>
      <c r="S931" s="5" t="s">
        <v>1291</v>
      </c>
      <c r="T931" s="6"/>
      <c r="U931" s="6"/>
      <c r="V931" s="5" t="s">
        <v>106</v>
      </c>
      <c r="W931" s="12">
        <v>6239832</v>
      </c>
      <c r="X931" s="6"/>
      <c r="Y931" s="6"/>
    </row>
    <row r="932" spans="1:25" ht="15" customHeight="1" x14ac:dyDescent="0.2">
      <c r="A932" s="88" t="s">
        <v>1287</v>
      </c>
      <c r="B932" s="90"/>
      <c r="C932" s="88" t="s">
        <v>1348</v>
      </c>
      <c r="D932" s="90"/>
      <c r="E932" s="106"/>
      <c r="F932" s="107"/>
      <c r="G932" s="107"/>
      <c r="H932" s="107"/>
      <c r="I932" s="108"/>
      <c r="J932" s="88" t="s">
        <v>599</v>
      </c>
      <c r="K932" s="89"/>
      <c r="L932" s="89"/>
      <c r="M932" s="90"/>
      <c r="N932" s="88" t="s">
        <v>1296</v>
      </c>
      <c r="O932" s="89"/>
      <c r="P932" s="90"/>
      <c r="Q932" s="106"/>
      <c r="R932" s="108"/>
      <c r="S932" s="5" t="s">
        <v>1291</v>
      </c>
      <c r="T932" s="6"/>
      <c r="U932" s="6"/>
      <c r="V932" s="5" t="s">
        <v>106</v>
      </c>
      <c r="W932" s="12">
        <v>6427027</v>
      </c>
      <c r="X932" s="6"/>
      <c r="Y932" s="6"/>
    </row>
    <row r="933" spans="1:25" ht="15" customHeight="1" x14ac:dyDescent="0.2">
      <c r="A933" s="88" t="s">
        <v>1287</v>
      </c>
      <c r="B933" s="90"/>
      <c r="C933" s="88" t="s">
        <v>1349</v>
      </c>
      <c r="D933" s="90"/>
      <c r="E933" s="106"/>
      <c r="F933" s="107"/>
      <c r="G933" s="107"/>
      <c r="H933" s="107"/>
      <c r="I933" s="108"/>
      <c r="J933" s="88" t="s">
        <v>599</v>
      </c>
      <c r="K933" s="89"/>
      <c r="L933" s="89"/>
      <c r="M933" s="90"/>
      <c r="N933" s="88" t="s">
        <v>1296</v>
      </c>
      <c r="O933" s="89"/>
      <c r="P933" s="90"/>
      <c r="Q933" s="106"/>
      <c r="R933" s="108"/>
      <c r="S933" s="5" t="s">
        <v>1291</v>
      </c>
      <c r="T933" s="6"/>
      <c r="U933" s="6"/>
      <c r="V933" s="5" t="s">
        <v>106</v>
      </c>
      <c r="W933" s="12">
        <v>6824816</v>
      </c>
      <c r="X933" s="6"/>
      <c r="Y933" s="6"/>
    </row>
    <row r="934" spans="1:25" ht="15" customHeight="1" x14ac:dyDescent="0.2">
      <c r="A934" s="88" t="s">
        <v>1287</v>
      </c>
      <c r="B934" s="90"/>
      <c r="C934" s="88" t="s">
        <v>1350</v>
      </c>
      <c r="D934" s="90"/>
      <c r="E934" s="106"/>
      <c r="F934" s="107"/>
      <c r="G934" s="107"/>
      <c r="H934" s="107"/>
      <c r="I934" s="108"/>
      <c r="J934" s="88" t="s">
        <v>599</v>
      </c>
      <c r="K934" s="89"/>
      <c r="L934" s="89"/>
      <c r="M934" s="90"/>
      <c r="N934" s="88" t="s">
        <v>1296</v>
      </c>
      <c r="O934" s="89"/>
      <c r="P934" s="90"/>
      <c r="Q934" s="106"/>
      <c r="R934" s="108"/>
      <c r="S934" s="5" t="s">
        <v>1291</v>
      </c>
      <c r="T934" s="6"/>
      <c r="U934" s="6"/>
      <c r="V934" s="5" t="s">
        <v>106</v>
      </c>
      <c r="W934" s="12">
        <v>8059783</v>
      </c>
      <c r="X934" s="6"/>
      <c r="Y934" s="6"/>
    </row>
    <row r="935" spans="1:25" ht="15" customHeight="1" x14ac:dyDescent="0.2">
      <c r="A935" s="88" t="s">
        <v>1287</v>
      </c>
      <c r="B935" s="90"/>
      <c r="C935" s="88" t="s">
        <v>1351</v>
      </c>
      <c r="D935" s="90"/>
      <c r="E935" s="106"/>
      <c r="F935" s="107"/>
      <c r="G935" s="107"/>
      <c r="H935" s="107"/>
      <c r="I935" s="108"/>
      <c r="J935" s="88" t="s">
        <v>599</v>
      </c>
      <c r="K935" s="89"/>
      <c r="L935" s="89"/>
      <c r="M935" s="90"/>
      <c r="N935" s="88" t="s">
        <v>1293</v>
      </c>
      <c r="O935" s="89"/>
      <c r="P935" s="90"/>
      <c r="Q935" s="106"/>
      <c r="R935" s="108"/>
      <c r="S935" s="5" t="s">
        <v>1291</v>
      </c>
      <c r="T935" s="6"/>
      <c r="U935" s="6"/>
      <c r="V935" s="5" t="s">
        <v>106</v>
      </c>
      <c r="W935" s="12">
        <v>11762083</v>
      </c>
      <c r="X935" s="6"/>
      <c r="Y935" s="6"/>
    </row>
    <row r="936" spans="1:25" ht="15" customHeight="1" x14ac:dyDescent="0.2">
      <c r="A936" s="88" t="s">
        <v>1287</v>
      </c>
      <c r="B936" s="90"/>
      <c r="C936" s="88" t="s">
        <v>1352</v>
      </c>
      <c r="D936" s="90"/>
      <c r="E936" s="106"/>
      <c r="F936" s="107"/>
      <c r="G936" s="107"/>
      <c r="H936" s="107"/>
      <c r="I936" s="108"/>
      <c r="J936" s="88" t="s">
        <v>599</v>
      </c>
      <c r="K936" s="89"/>
      <c r="L936" s="89"/>
      <c r="M936" s="90"/>
      <c r="N936" s="88" t="s">
        <v>1296</v>
      </c>
      <c r="O936" s="89"/>
      <c r="P936" s="90"/>
      <c r="Q936" s="106"/>
      <c r="R936" s="108"/>
      <c r="S936" s="5" t="s">
        <v>1291</v>
      </c>
      <c r="T936" s="6"/>
      <c r="U936" s="6"/>
      <c r="V936" s="5" t="s">
        <v>106</v>
      </c>
      <c r="W936" s="12">
        <v>21277828</v>
      </c>
      <c r="X936" s="6"/>
      <c r="Y936" s="6"/>
    </row>
    <row r="937" spans="1:25" ht="15" customHeight="1" x14ac:dyDescent="0.2">
      <c r="A937" s="88" t="s">
        <v>1353</v>
      </c>
      <c r="B937" s="90"/>
      <c r="C937" s="88" t="s">
        <v>1354</v>
      </c>
      <c r="D937" s="90"/>
      <c r="E937" s="88" t="s">
        <v>1355</v>
      </c>
      <c r="F937" s="89"/>
      <c r="G937" s="89"/>
      <c r="H937" s="89"/>
      <c r="I937" s="90"/>
      <c r="J937" s="88" t="s">
        <v>13</v>
      </c>
      <c r="K937" s="89"/>
      <c r="L937" s="89"/>
      <c r="M937" s="90"/>
      <c r="N937" s="88" t="s">
        <v>1356</v>
      </c>
      <c r="O937" s="89"/>
      <c r="P937" s="90"/>
      <c r="Q937" s="133">
        <v>3900</v>
      </c>
      <c r="R937" s="134"/>
      <c r="S937" s="5" t="s">
        <v>271</v>
      </c>
      <c r="T937" s="6"/>
      <c r="U937" s="6"/>
      <c r="V937" s="5" t="s">
        <v>23</v>
      </c>
      <c r="W937" s="12">
        <v>58665270</v>
      </c>
      <c r="X937" s="6"/>
      <c r="Y937" s="6"/>
    </row>
    <row r="938" spans="1:25" ht="15" customHeight="1" x14ac:dyDescent="0.2">
      <c r="A938" s="88" t="s">
        <v>1353</v>
      </c>
      <c r="B938" s="90"/>
      <c r="C938" s="88" t="s">
        <v>1357</v>
      </c>
      <c r="D938" s="90"/>
      <c r="E938" s="88" t="s">
        <v>1358</v>
      </c>
      <c r="F938" s="89"/>
      <c r="G938" s="89"/>
      <c r="H938" s="89"/>
      <c r="I938" s="90"/>
      <c r="J938" s="88" t="s">
        <v>13</v>
      </c>
      <c r="K938" s="89"/>
      <c r="L938" s="89"/>
      <c r="M938" s="90"/>
      <c r="N938" s="88" t="s">
        <v>1356</v>
      </c>
      <c r="O938" s="89"/>
      <c r="P938" s="90"/>
      <c r="Q938" s="133">
        <v>3900</v>
      </c>
      <c r="R938" s="134"/>
      <c r="S938" s="5" t="s">
        <v>119</v>
      </c>
      <c r="T938" s="6"/>
      <c r="U938" s="6"/>
      <c r="V938" s="5" t="s">
        <v>23</v>
      </c>
      <c r="W938" s="12">
        <v>53517716</v>
      </c>
      <c r="X938" s="6"/>
      <c r="Y938" s="6"/>
    </row>
    <row r="939" spans="1:25" ht="15" customHeight="1" x14ac:dyDescent="0.2">
      <c r="A939" s="88" t="s">
        <v>1353</v>
      </c>
      <c r="B939" s="90"/>
      <c r="C939" s="88" t="s">
        <v>1359</v>
      </c>
      <c r="D939" s="90"/>
      <c r="E939" s="88" t="s">
        <v>1360</v>
      </c>
      <c r="F939" s="89"/>
      <c r="G939" s="89"/>
      <c r="H939" s="89"/>
      <c r="I939" s="90"/>
      <c r="J939" s="88" t="s">
        <v>13</v>
      </c>
      <c r="K939" s="89"/>
      <c r="L939" s="89"/>
      <c r="M939" s="90"/>
      <c r="N939" s="88" t="s">
        <v>1356</v>
      </c>
      <c r="O939" s="89"/>
      <c r="P939" s="90"/>
      <c r="Q939" s="133">
        <v>3900</v>
      </c>
      <c r="R939" s="134"/>
      <c r="S939" s="5" t="s">
        <v>119</v>
      </c>
      <c r="T939" s="6"/>
      <c r="U939" s="6"/>
      <c r="V939" s="5" t="s">
        <v>23</v>
      </c>
      <c r="W939" s="12">
        <v>59287382</v>
      </c>
      <c r="X939" s="6"/>
      <c r="Y939" s="6"/>
    </row>
    <row r="940" spans="1:25" ht="15" customHeight="1" x14ac:dyDescent="0.2">
      <c r="A940" s="88" t="s">
        <v>1353</v>
      </c>
      <c r="B940" s="90"/>
      <c r="C940" s="88" t="s">
        <v>1361</v>
      </c>
      <c r="D940" s="90"/>
      <c r="E940" s="88" t="s">
        <v>1362</v>
      </c>
      <c r="F940" s="89"/>
      <c r="G940" s="89"/>
      <c r="H940" s="89"/>
      <c r="I940" s="90"/>
      <c r="J940" s="88" t="s">
        <v>13</v>
      </c>
      <c r="K940" s="89"/>
      <c r="L940" s="89"/>
      <c r="M940" s="90"/>
      <c r="N940" s="88" t="s">
        <v>1356</v>
      </c>
      <c r="O940" s="89"/>
      <c r="P940" s="90"/>
      <c r="Q940" s="133">
        <v>6500</v>
      </c>
      <c r="R940" s="134"/>
      <c r="S940" s="5" t="s">
        <v>271</v>
      </c>
      <c r="T940" s="6"/>
      <c r="U940" s="6"/>
      <c r="V940" s="5" t="s">
        <v>23</v>
      </c>
      <c r="W940" s="12">
        <v>70921056</v>
      </c>
      <c r="X940" s="6"/>
      <c r="Y940" s="6"/>
    </row>
    <row r="941" spans="1:25" ht="15" customHeight="1" x14ac:dyDescent="0.2">
      <c r="A941" s="88" t="s">
        <v>1353</v>
      </c>
      <c r="B941" s="90"/>
      <c r="C941" s="88" t="s">
        <v>1363</v>
      </c>
      <c r="D941" s="90"/>
      <c r="E941" s="88" t="s">
        <v>1364</v>
      </c>
      <c r="F941" s="89"/>
      <c r="G941" s="89"/>
      <c r="H941" s="89"/>
      <c r="I941" s="90"/>
      <c r="J941" s="88" t="s">
        <v>13</v>
      </c>
      <c r="K941" s="89"/>
      <c r="L941" s="89"/>
      <c r="M941" s="90"/>
      <c r="N941" s="88" t="s">
        <v>1356</v>
      </c>
      <c r="O941" s="89"/>
      <c r="P941" s="90"/>
      <c r="Q941" s="133">
        <v>3900</v>
      </c>
      <c r="R941" s="134"/>
      <c r="S941" s="5" t="s">
        <v>271</v>
      </c>
      <c r="T941" s="6"/>
      <c r="U941" s="6"/>
      <c r="V941" s="5" t="s">
        <v>23</v>
      </c>
      <c r="W941" s="12">
        <v>48037743</v>
      </c>
      <c r="X941" s="6"/>
      <c r="Y941" s="6"/>
    </row>
    <row r="942" spans="1:25" ht="15" customHeight="1" x14ac:dyDescent="0.2">
      <c r="A942" s="88" t="s">
        <v>1353</v>
      </c>
      <c r="B942" s="90"/>
      <c r="C942" s="88" t="s">
        <v>1365</v>
      </c>
      <c r="D942" s="90"/>
      <c r="E942" s="88" t="s">
        <v>1364</v>
      </c>
      <c r="F942" s="89"/>
      <c r="G942" s="89"/>
      <c r="H942" s="89"/>
      <c r="I942" s="90"/>
      <c r="J942" s="88" t="s">
        <v>13</v>
      </c>
      <c r="K942" s="89"/>
      <c r="L942" s="89"/>
      <c r="M942" s="90"/>
      <c r="N942" s="88" t="s">
        <v>1356</v>
      </c>
      <c r="O942" s="89"/>
      <c r="P942" s="90"/>
      <c r="Q942" s="133">
        <v>6300</v>
      </c>
      <c r="R942" s="134"/>
      <c r="S942" s="5" t="s">
        <v>271</v>
      </c>
      <c r="T942" s="6"/>
      <c r="U942" s="6"/>
      <c r="V942" s="5" t="s">
        <v>23</v>
      </c>
      <c r="W942" s="12">
        <v>47523556</v>
      </c>
      <c r="X942" s="6"/>
      <c r="Y942" s="6"/>
    </row>
    <row r="943" spans="1:25" ht="15" customHeight="1" x14ac:dyDescent="0.2">
      <c r="A943" s="88" t="s">
        <v>1353</v>
      </c>
      <c r="B943" s="90"/>
      <c r="C943" s="88" t="s">
        <v>1366</v>
      </c>
      <c r="D943" s="90"/>
      <c r="E943" s="88" t="s">
        <v>1367</v>
      </c>
      <c r="F943" s="89"/>
      <c r="G943" s="89"/>
      <c r="H943" s="89"/>
      <c r="I943" s="90"/>
      <c r="J943" s="88" t="s">
        <v>13</v>
      </c>
      <c r="K943" s="89"/>
      <c r="L943" s="89"/>
      <c r="M943" s="90"/>
      <c r="N943" s="88" t="s">
        <v>1356</v>
      </c>
      <c r="O943" s="89"/>
      <c r="P943" s="90"/>
      <c r="Q943" s="133">
        <v>3900</v>
      </c>
      <c r="R943" s="134"/>
      <c r="S943" s="5" t="s">
        <v>271</v>
      </c>
      <c r="T943" s="6"/>
      <c r="U943" s="6"/>
      <c r="V943" s="5" t="s">
        <v>23</v>
      </c>
      <c r="W943" s="12">
        <v>117606403</v>
      </c>
      <c r="X943" s="6"/>
      <c r="Y943" s="6"/>
    </row>
    <row r="944" spans="1:25" ht="15" customHeight="1" x14ac:dyDescent="0.2">
      <c r="A944" s="88" t="s">
        <v>1353</v>
      </c>
      <c r="B944" s="90"/>
      <c r="C944" s="88" t="s">
        <v>1368</v>
      </c>
      <c r="D944" s="90"/>
      <c r="E944" s="88" t="s">
        <v>1369</v>
      </c>
      <c r="F944" s="89"/>
      <c r="G944" s="89"/>
      <c r="H944" s="89"/>
      <c r="I944" s="90"/>
      <c r="J944" s="88" t="s">
        <v>13</v>
      </c>
      <c r="K944" s="89"/>
      <c r="L944" s="89"/>
      <c r="M944" s="90"/>
      <c r="N944" s="88" t="s">
        <v>1356</v>
      </c>
      <c r="O944" s="89"/>
      <c r="P944" s="90"/>
      <c r="Q944" s="133">
        <v>3900</v>
      </c>
      <c r="R944" s="134"/>
      <c r="S944" s="5" t="s">
        <v>119</v>
      </c>
      <c r="T944" s="6"/>
      <c r="U944" s="6"/>
      <c r="V944" s="5" t="s">
        <v>23</v>
      </c>
      <c r="W944" s="12">
        <v>169571184</v>
      </c>
      <c r="X944" s="6"/>
      <c r="Y944" s="6"/>
    </row>
    <row r="945" spans="1:25" ht="15" customHeight="1" x14ac:dyDescent="0.2">
      <c r="A945" s="88" t="s">
        <v>1353</v>
      </c>
      <c r="B945" s="90"/>
      <c r="C945" s="88" t="s">
        <v>1357</v>
      </c>
      <c r="D945" s="90"/>
      <c r="E945" s="88" t="s">
        <v>1370</v>
      </c>
      <c r="F945" s="89"/>
      <c r="G945" s="89"/>
      <c r="H945" s="89"/>
      <c r="I945" s="90"/>
      <c r="J945" s="88" t="s">
        <v>13</v>
      </c>
      <c r="K945" s="89"/>
      <c r="L945" s="89"/>
      <c r="M945" s="90"/>
      <c r="N945" s="88" t="s">
        <v>1356</v>
      </c>
      <c r="O945" s="89"/>
      <c r="P945" s="90"/>
      <c r="Q945" s="133">
        <v>3900</v>
      </c>
      <c r="R945" s="134"/>
      <c r="S945" s="5" t="s">
        <v>119</v>
      </c>
      <c r="T945" s="6"/>
      <c r="U945" s="6"/>
      <c r="V945" s="5" t="s">
        <v>23</v>
      </c>
      <c r="W945" s="12">
        <v>69695354</v>
      </c>
      <c r="X945" s="6"/>
      <c r="Y945" s="6"/>
    </row>
    <row r="946" spans="1:25" ht="15" customHeight="1" x14ac:dyDescent="0.2">
      <c r="A946" s="88" t="s">
        <v>1353</v>
      </c>
      <c r="B946" s="90"/>
      <c r="C946" s="88" t="s">
        <v>1361</v>
      </c>
      <c r="D946" s="90"/>
      <c r="E946" s="88" t="s">
        <v>1371</v>
      </c>
      <c r="F946" s="89"/>
      <c r="G946" s="89"/>
      <c r="H946" s="89"/>
      <c r="I946" s="90"/>
      <c r="J946" s="88" t="s">
        <v>13</v>
      </c>
      <c r="K946" s="89"/>
      <c r="L946" s="89"/>
      <c r="M946" s="90"/>
      <c r="N946" s="88" t="s">
        <v>1356</v>
      </c>
      <c r="O946" s="89"/>
      <c r="P946" s="90"/>
      <c r="Q946" s="133">
        <v>6500</v>
      </c>
      <c r="R946" s="134"/>
      <c r="S946" s="5" t="s">
        <v>271</v>
      </c>
      <c r="T946" s="6"/>
      <c r="U946" s="6"/>
      <c r="V946" s="5" t="s">
        <v>23</v>
      </c>
      <c r="W946" s="12">
        <v>75125686</v>
      </c>
      <c r="X946" s="6"/>
      <c r="Y946" s="6"/>
    </row>
    <row r="947" spans="1:25" ht="15" customHeight="1" x14ac:dyDescent="0.2">
      <c r="A947" s="88" t="s">
        <v>1353</v>
      </c>
      <c r="B947" s="90"/>
      <c r="C947" s="88" t="s">
        <v>1372</v>
      </c>
      <c r="D947" s="90"/>
      <c r="E947" s="88" t="s">
        <v>1371</v>
      </c>
      <c r="F947" s="89"/>
      <c r="G947" s="89"/>
      <c r="H947" s="89"/>
      <c r="I947" s="90"/>
      <c r="J947" s="88" t="s">
        <v>13</v>
      </c>
      <c r="K947" s="89"/>
      <c r="L947" s="89"/>
      <c r="M947" s="90"/>
      <c r="N947" s="88" t="s">
        <v>1356</v>
      </c>
      <c r="O947" s="89"/>
      <c r="P947" s="90"/>
      <c r="Q947" s="133">
        <v>6500</v>
      </c>
      <c r="R947" s="134"/>
      <c r="S947" s="5" t="s">
        <v>271</v>
      </c>
      <c r="T947" s="6"/>
      <c r="U947" s="6"/>
      <c r="V947" s="5" t="s">
        <v>23</v>
      </c>
      <c r="W947" s="12">
        <v>78613862</v>
      </c>
      <c r="X947" s="6"/>
      <c r="Y947" s="6"/>
    </row>
    <row r="948" spans="1:25" ht="15" customHeight="1" x14ac:dyDescent="0.2">
      <c r="A948" s="88" t="s">
        <v>1353</v>
      </c>
      <c r="B948" s="90"/>
      <c r="C948" s="88" t="s">
        <v>1373</v>
      </c>
      <c r="D948" s="90"/>
      <c r="E948" s="88" t="s">
        <v>1374</v>
      </c>
      <c r="F948" s="89"/>
      <c r="G948" s="89"/>
      <c r="H948" s="89"/>
      <c r="I948" s="90"/>
      <c r="J948" s="88" t="s">
        <v>13</v>
      </c>
      <c r="K948" s="89"/>
      <c r="L948" s="89"/>
      <c r="M948" s="90"/>
      <c r="N948" s="88" t="s">
        <v>1356</v>
      </c>
      <c r="O948" s="89"/>
      <c r="P948" s="90"/>
      <c r="Q948" s="133">
        <v>3900</v>
      </c>
      <c r="R948" s="134"/>
      <c r="S948" s="5" t="s">
        <v>119</v>
      </c>
      <c r="T948" s="6"/>
      <c r="U948" s="6"/>
      <c r="V948" s="5" t="s">
        <v>23</v>
      </c>
      <c r="W948" s="12">
        <v>47729280</v>
      </c>
      <c r="X948" s="6"/>
      <c r="Y948" s="6"/>
    </row>
    <row r="949" spans="1:25" ht="15" customHeight="1" x14ac:dyDescent="0.2">
      <c r="A949" s="88" t="s">
        <v>1353</v>
      </c>
      <c r="B949" s="90"/>
      <c r="C949" s="88" t="s">
        <v>1375</v>
      </c>
      <c r="D949" s="90"/>
      <c r="E949" s="88" t="s">
        <v>1376</v>
      </c>
      <c r="F949" s="89"/>
      <c r="G949" s="89"/>
      <c r="H949" s="89"/>
      <c r="I949" s="90"/>
      <c r="J949" s="88" t="s">
        <v>13</v>
      </c>
      <c r="K949" s="89"/>
      <c r="L949" s="89"/>
      <c r="M949" s="90"/>
      <c r="N949" s="88" t="s">
        <v>1356</v>
      </c>
      <c r="O949" s="89"/>
      <c r="P949" s="90"/>
      <c r="Q949" s="133">
        <v>3900</v>
      </c>
      <c r="R949" s="134"/>
      <c r="S949" s="5" t="s">
        <v>271</v>
      </c>
      <c r="T949" s="6"/>
      <c r="U949" s="6"/>
      <c r="V949" s="5" t="s">
        <v>23</v>
      </c>
      <c r="W949" s="12">
        <v>37034579</v>
      </c>
      <c r="X949" s="6"/>
      <c r="Y949" s="6"/>
    </row>
    <row r="950" spans="1:25" ht="15" customHeight="1" x14ac:dyDescent="0.2">
      <c r="A950" s="88" t="s">
        <v>1353</v>
      </c>
      <c r="B950" s="90"/>
      <c r="C950" s="88" t="s">
        <v>1377</v>
      </c>
      <c r="D950" s="90"/>
      <c r="E950" s="88" t="s">
        <v>1378</v>
      </c>
      <c r="F950" s="89"/>
      <c r="G950" s="89"/>
      <c r="H950" s="89"/>
      <c r="I950" s="90"/>
      <c r="J950" s="88" t="s">
        <v>13</v>
      </c>
      <c r="K950" s="89"/>
      <c r="L950" s="89"/>
      <c r="M950" s="90"/>
      <c r="N950" s="88" t="s">
        <v>1356</v>
      </c>
      <c r="O950" s="89"/>
      <c r="P950" s="90"/>
      <c r="Q950" s="133">
        <v>3900</v>
      </c>
      <c r="R950" s="134"/>
      <c r="S950" s="5" t="s">
        <v>119</v>
      </c>
      <c r="T950" s="6"/>
      <c r="U950" s="6"/>
      <c r="V950" s="5" t="s">
        <v>23</v>
      </c>
      <c r="W950" s="12">
        <v>56402549</v>
      </c>
      <c r="X950" s="6"/>
      <c r="Y950" s="6"/>
    </row>
    <row r="951" spans="1:25" ht="15" customHeight="1" x14ac:dyDescent="0.2">
      <c r="A951" s="88" t="s">
        <v>1353</v>
      </c>
      <c r="B951" s="90"/>
      <c r="C951" s="88" t="s">
        <v>1379</v>
      </c>
      <c r="D951" s="90"/>
      <c r="E951" s="88" t="s">
        <v>1380</v>
      </c>
      <c r="F951" s="89"/>
      <c r="G951" s="89"/>
      <c r="H951" s="89"/>
      <c r="I951" s="90"/>
      <c r="J951" s="88" t="s">
        <v>13</v>
      </c>
      <c r="K951" s="89"/>
      <c r="L951" s="89"/>
      <c r="M951" s="90"/>
      <c r="N951" s="88" t="s">
        <v>1356</v>
      </c>
      <c r="O951" s="89"/>
      <c r="P951" s="90"/>
      <c r="Q951" s="133">
        <v>3900</v>
      </c>
      <c r="R951" s="134"/>
      <c r="S951" s="5" t="s">
        <v>119</v>
      </c>
      <c r="T951" s="6"/>
      <c r="U951" s="6"/>
      <c r="V951" s="5" t="s">
        <v>23</v>
      </c>
      <c r="W951" s="12">
        <v>82148468</v>
      </c>
      <c r="X951" s="6"/>
      <c r="Y951" s="6"/>
    </row>
    <row r="952" spans="1:25" ht="15" customHeight="1" x14ac:dyDescent="0.2">
      <c r="A952" s="88" t="s">
        <v>1353</v>
      </c>
      <c r="B952" s="90"/>
      <c r="C952" s="88" t="s">
        <v>1381</v>
      </c>
      <c r="D952" s="90"/>
      <c r="E952" s="88" t="s">
        <v>1382</v>
      </c>
      <c r="F952" s="89"/>
      <c r="G952" s="89"/>
      <c r="H952" s="89"/>
      <c r="I952" s="90"/>
      <c r="J952" s="88" t="s">
        <v>13</v>
      </c>
      <c r="K952" s="89"/>
      <c r="L952" s="89"/>
      <c r="M952" s="90"/>
      <c r="N952" s="88" t="s">
        <v>1356</v>
      </c>
      <c r="O952" s="89"/>
      <c r="P952" s="90"/>
      <c r="Q952" s="133">
        <v>3900</v>
      </c>
      <c r="R952" s="134"/>
      <c r="S952" s="5" t="s">
        <v>271</v>
      </c>
      <c r="T952" s="6"/>
      <c r="U952" s="6"/>
      <c r="V952" s="5" t="s">
        <v>23</v>
      </c>
      <c r="W952" s="12">
        <v>69978379</v>
      </c>
      <c r="X952" s="6"/>
      <c r="Y952" s="6"/>
    </row>
    <row r="953" spans="1:25" ht="15" customHeight="1" x14ac:dyDescent="0.2">
      <c r="A953" s="88" t="s">
        <v>1353</v>
      </c>
      <c r="B953" s="90"/>
      <c r="C953" s="88" t="s">
        <v>1383</v>
      </c>
      <c r="D953" s="90"/>
      <c r="E953" s="88" t="s">
        <v>1384</v>
      </c>
      <c r="F953" s="89"/>
      <c r="G953" s="89"/>
      <c r="H953" s="89"/>
      <c r="I953" s="90"/>
      <c r="J953" s="88" t="s">
        <v>13</v>
      </c>
      <c r="K953" s="89"/>
      <c r="L953" s="89"/>
      <c r="M953" s="90"/>
      <c r="N953" s="88" t="s">
        <v>1356</v>
      </c>
      <c r="O953" s="89"/>
      <c r="P953" s="90"/>
      <c r="Q953" s="133">
        <v>4000</v>
      </c>
      <c r="R953" s="134"/>
      <c r="S953" s="5" t="s">
        <v>271</v>
      </c>
      <c r="T953" s="6"/>
      <c r="U953" s="6"/>
      <c r="V953" s="5" t="s">
        <v>176</v>
      </c>
      <c r="W953" s="12">
        <v>101174882</v>
      </c>
      <c r="X953" s="6"/>
      <c r="Y953" s="6"/>
    </row>
    <row r="954" spans="1:25" ht="15" customHeight="1" x14ac:dyDescent="0.2">
      <c r="A954" s="88" t="s">
        <v>1353</v>
      </c>
      <c r="B954" s="90"/>
      <c r="C954" s="88" t="s">
        <v>1385</v>
      </c>
      <c r="D954" s="90"/>
      <c r="E954" s="106"/>
      <c r="F954" s="107"/>
      <c r="G954" s="107"/>
      <c r="H954" s="107"/>
      <c r="I954" s="108"/>
      <c r="J954" s="88" t="s">
        <v>13</v>
      </c>
      <c r="K954" s="89"/>
      <c r="L954" s="89"/>
      <c r="M954" s="90"/>
      <c r="N954" s="88" t="s">
        <v>1356</v>
      </c>
      <c r="O954" s="89"/>
      <c r="P954" s="90"/>
      <c r="Q954" s="133">
        <v>3900</v>
      </c>
      <c r="R954" s="134"/>
      <c r="S954" s="5" t="s">
        <v>271</v>
      </c>
      <c r="T954" s="6"/>
      <c r="U954" s="6"/>
      <c r="V954" s="5" t="s">
        <v>23</v>
      </c>
      <c r="W954" s="12">
        <v>84033821</v>
      </c>
      <c r="X954" s="6"/>
      <c r="Y954" s="6"/>
    </row>
    <row r="955" spans="1:25" ht="15" customHeight="1" x14ac:dyDescent="0.2">
      <c r="A955" s="88" t="s">
        <v>1353</v>
      </c>
      <c r="B955" s="90"/>
      <c r="C955" s="88" t="s">
        <v>1386</v>
      </c>
      <c r="D955" s="90"/>
      <c r="E955" s="88" t="s">
        <v>1387</v>
      </c>
      <c r="F955" s="89"/>
      <c r="G955" s="89"/>
      <c r="H955" s="89"/>
      <c r="I955" s="90"/>
      <c r="J955" s="88" t="s">
        <v>13</v>
      </c>
      <c r="K955" s="89"/>
      <c r="L955" s="89"/>
      <c r="M955" s="90"/>
      <c r="N955" s="88" t="s">
        <v>1356</v>
      </c>
      <c r="O955" s="89"/>
      <c r="P955" s="90"/>
      <c r="Q955" s="133">
        <v>3900</v>
      </c>
      <c r="R955" s="134"/>
      <c r="S955" s="5" t="s">
        <v>119</v>
      </c>
      <c r="T955" s="6"/>
      <c r="U955" s="6"/>
      <c r="V955" s="5" t="s">
        <v>23</v>
      </c>
      <c r="W955" s="12">
        <v>58665270</v>
      </c>
      <c r="X955" s="6"/>
      <c r="Y955" s="6"/>
    </row>
    <row r="956" spans="1:25" ht="15" customHeight="1" x14ac:dyDescent="0.2">
      <c r="A956" s="88" t="s">
        <v>1353</v>
      </c>
      <c r="B956" s="90"/>
      <c r="C956" s="88" t="s">
        <v>1388</v>
      </c>
      <c r="D956" s="90"/>
      <c r="E956" s="88" t="s">
        <v>1387</v>
      </c>
      <c r="F956" s="89"/>
      <c r="G956" s="89"/>
      <c r="H956" s="89"/>
      <c r="I956" s="90"/>
      <c r="J956" s="88" t="s">
        <v>13</v>
      </c>
      <c r="K956" s="89"/>
      <c r="L956" s="89"/>
      <c r="M956" s="90"/>
      <c r="N956" s="88" t="s">
        <v>1356</v>
      </c>
      <c r="O956" s="89"/>
      <c r="P956" s="90"/>
      <c r="Q956" s="133">
        <v>3900</v>
      </c>
      <c r="R956" s="134"/>
      <c r="S956" s="5" t="s">
        <v>119</v>
      </c>
      <c r="T956" s="6"/>
      <c r="U956" s="6"/>
      <c r="V956" s="5" t="s">
        <v>23</v>
      </c>
      <c r="W956" s="12">
        <v>60036436</v>
      </c>
      <c r="X956" s="6"/>
      <c r="Y956" s="6"/>
    </row>
    <row r="957" spans="1:25" ht="15" customHeight="1" x14ac:dyDescent="0.2">
      <c r="A957" s="88" t="s">
        <v>1353</v>
      </c>
      <c r="B957" s="90"/>
      <c r="C957" s="88" t="s">
        <v>1389</v>
      </c>
      <c r="D957" s="90"/>
      <c r="E957" s="88" t="s">
        <v>1390</v>
      </c>
      <c r="F957" s="89"/>
      <c r="G957" s="89"/>
      <c r="H957" s="89"/>
      <c r="I957" s="90"/>
      <c r="J957" s="88" t="s">
        <v>13</v>
      </c>
      <c r="K957" s="89"/>
      <c r="L957" s="89"/>
      <c r="M957" s="90"/>
      <c r="N957" s="88" t="s">
        <v>1356</v>
      </c>
      <c r="O957" s="89"/>
      <c r="P957" s="90"/>
      <c r="Q957" s="133">
        <v>3900</v>
      </c>
      <c r="R957" s="134"/>
      <c r="S957" s="5" t="s">
        <v>271</v>
      </c>
      <c r="T957" s="6"/>
      <c r="U957" s="6"/>
      <c r="V957" s="5" t="s">
        <v>23</v>
      </c>
      <c r="W957" s="12">
        <v>69035455</v>
      </c>
      <c r="X957" s="6"/>
      <c r="Y957" s="6"/>
    </row>
    <row r="958" spans="1:25" ht="15" customHeight="1" x14ac:dyDescent="0.2">
      <c r="A958" s="88" t="s">
        <v>1353</v>
      </c>
      <c r="B958" s="90"/>
      <c r="C958" s="88" t="s">
        <v>1391</v>
      </c>
      <c r="D958" s="90"/>
      <c r="E958" s="88" t="s">
        <v>1384</v>
      </c>
      <c r="F958" s="89"/>
      <c r="G958" s="89"/>
      <c r="H958" s="89"/>
      <c r="I958" s="90"/>
      <c r="J958" s="88" t="s">
        <v>13</v>
      </c>
      <c r="K958" s="89"/>
      <c r="L958" s="89"/>
      <c r="M958" s="90"/>
      <c r="N958" s="88" t="s">
        <v>1356</v>
      </c>
      <c r="O958" s="89"/>
      <c r="P958" s="90"/>
      <c r="Q958" s="133">
        <v>4000</v>
      </c>
      <c r="R958" s="134"/>
      <c r="S958" s="5" t="s">
        <v>119</v>
      </c>
      <c r="T958" s="6"/>
      <c r="U958" s="6"/>
      <c r="V958" s="5" t="s">
        <v>23</v>
      </c>
      <c r="W958" s="12">
        <v>109762699</v>
      </c>
      <c r="X958" s="6"/>
      <c r="Y958" s="6"/>
    </row>
    <row r="959" spans="1:25" ht="15" customHeight="1" x14ac:dyDescent="0.2">
      <c r="A959" s="88" t="s">
        <v>1353</v>
      </c>
      <c r="B959" s="90"/>
      <c r="C959" s="88" t="s">
        <v>1392</v>
      </c>
      <c r="D959" s="90"/>
      <c r="E959" s="88" t="s">
        <v>1384</v>
      </c>
      <c r="F959" s="89"/>
      <c r="G959" s="89"/>
      <c r="H959" s="89"/>
      <c r="I959" s="90"/>
      <c r="J959" s="88" t="s">
        <v>13</v>
      </c>
      <c r="K959" s="89"/>
      <c r="L959" s="89"/>
      <c r="M959" s="90"/>
      <c r="N959" s="88" t="s">
        <v>1356</v>
      </c>
      <c r="O959" s="89"/>
      <c r="P959" s="90"/>
      <c r="Q959" s="133">
        <v>4000</v>
      </c>
      <c r="R959" s="134"/>
      <c r="S959" s="5" t="s">
        <v>119</v>
      </c>
      <c r="T959" s="6"/>
      <c r="U959" s="6"/>
      <c r="V959" s="5" t="s">
        <v>176</v>
      </c>
      <c r="W959" s="12">
        <v>94318556</v>
      </c>
      <c r="X959" s="6"/>
      <c r="Y959" s="6"/>
    </row>
    <row r="960" spans="1:25" ht="15" customHeight="1" x14ac:dyDescent="0.2">
      <c r="A960" s="88" t="s">
        <v>1353</v>
      </c>
      <c r="B960" s="90"/>
      <c r="C960" s="88" t="s">
        <v>1393</v>
      </c>
      <c r="D960" s="90"/>
      <c r="E960" s="88" t="s">
        <v>1380</v>
      </c>
      <c r="F960" s="89"/>
      <c r="G960" s="89"/>
      <c r="H960" s="89"/>
      <c r="I960" s="90"/>
      <c r="J960" s="88" t="s">
        <v>13</v>
      </c>
      <c r="K960" s="89"/>
      <c r="L960" s="89"/>
      <c r="M960" s="90"/>
      <c r="N960" s="88" t="s">
        <v>1356</v>
      </c>
      <c r="O960" s="89"/>
      <c r="P960" s="90"/>
      <c r="Q960" s="133">
        <v>3900</v>
      </c>
      <c r="R960" s="134"/>
      <c r="S960" s="5" t="s">
        <v>119</v>
      </c>
      <c r="T960" s="6"/>
      <c r="U960" s="6"/>
      <c r="V960" s="5" t="s">
        <v>23</v>
      </c>
      <c r="W960" s="12">
        <v>99203830</v>
      </c>
      <c r="X960" s="6"/>
      <c r="Y960" s="6"/>
    </row>
    <row r="961" spans="1:25" ht="15" customHeight="1" x14ac:dyDescent="0.2">
      <c r="A961" s="88" t="s">
        <v>1353</v>
      </c>
      <c r="B961" s="90"/>
      <c r="C961" s="88" t="s">
        <v>1394</v>
      </c>
      <c r="D961" s="90"/>
      <c r="E961" s="88" t="s">
        <v>1390</v>
      </c>
      <c r="F961" s="89"/>
      <c r="G961" s="89"/>
      <c r="H961" s="89"/>
      <c r="I961" s="90"/>
      <c r="J961" s="88" t="s">
        <v>13</v>
      </c>
      <c r="K961" s="89"/>
      <c r="L961" s="89"/>
      <c r="M961" s="90"/>
      <c r="N961" s="88" t="s">
        <v>1356</v>
      </c>
      <c r="O961" s="89"/>
      <c r="P961" s="90"/>
      <c r="Q961" s="133">
        <v>3900</v>
      </c>
      <c r="R961" s="134"/>
      <c r="S961" s="5" t="s">
        <v>271</v>
      </c>
      <c r="T961" s="6"/>
      <c r="U961" s="6"/>
      <c r="V961" s="5" t="s">
        <v>23</v>
      </c>
      <c r="W961" s="12">
        <v>61116427</v>
      </c>
      <c r="X961" s="6"/>
      <c r="Y961" s="6"/>
    </row>
    <row r="962" spans="1:25" ht="15" customHeight="1" x14ac:dyDescent="0.2">
      <c r="A962" s="88" t="s">
        <v>1353</v>
      </c>
      <c r="B962" s="90"/>
      <c r="C962" s="88" t="s">
        <v>1395</v>
      </c>
      <c r="D962" s="90"/>
      <c r="E962" s="88" t="s">
        <v>1396</v>
      </c>
      <c r="F962" s="89"/>
      <c r="G962" s="89"/>
      <c r="H962" s="89"/>
      <c r="I962" s="90"/>
      <c r="J962" s="88" t="s">
        <v>13</v>
      </c>
      <c r="K962" s="89"/>
      <c r="L962" s="89"/>
      <c r="M962" s="90"/>
      <c r="N962" s="88" t="s">
        <v>1356</v>
      </c>
      <c r="O962" s="89"/>
      <c r="P962" s="90"/>
      <c r="Q962" s="133">
        <v>3000</v>
      </c>
      <c r="R962" s="134"/>
      <c r="S962" s="5" t="s">
        <v>271</v>
      </c>
      <c r="T962" s="6"/>
      <c r="U962" s="6"/>
      <c r="V962" s="5" t="s">
        <v>1397</v>
      </c>
      <c r="W962" s="12">
        <v>66716426</v>
      </c>
      <c r="X962" s="6"/>
      <c r="Y962" s="6"/>
    </row>
    <row r="963" spans="1:25" ht="15" customHeight="1" x14ac:dyDescent="0.2">
      <c r="A963" s="88" t="s">
        <v>1353</v>
      </c>
      <c r="B963" s="90"/>
      <c r="C963" s="88" t="s">
        <v>1398</v>
      </c>
      <c r="D963" s="90"/>
      <c r="E963" s="88" t="s">
        <v>1399</v>
      </c>
      <c r="F963" s="89"/>
      <c r="G963" s="89"/>
      <c r="H963" s="89"/>
      <c r="I963" s="90"/>
      <c r="J963" s="88" t="s">
        <v>13</v>
      </c>
      <c r="K963" s="89"/>
      <c r="L963" s="89"/>
      <c r="M963" s="90"/>
      <c r="N963" s="88" t="s">
        <v>1356</v>
      </c>
      <c r="O963" s="89"/>
      <c r="P963" s="90"/>
      <c r="Q963" s="133">
        <v>3000</v>
      </c>
      <c r="R963" s="134"/>
      <c r="S963" s="5" t="s">
        <v>271</v>
      </c>
      <c r="T963" s="6"/>
      <c r="U963" s="6"/>
      <c r="V963" s="5" t="s">
        <v>1397</v>
      </c>
      <c r="W963" s="12">
        <v>92432956</v>
      </c>
      <c r="X963" s="6"/>
      <c r="Y963" s="6"/>
    </row>
    <row r="964" spans="1:25" ht="15" customHeight="1" x14ac:dyDescent="0.2">
      <c r="A964" s="88" t="s">
        <v>1353</v>
      </c>
      <c r="B964" s="90"/>
      <c r="C964" s="88" t="s">
        <v>1400</v>
      </c>
      <c r="D964" s="90"/>
      <c r="E964" s="88" t="s">
        <v>1401</v>
      </c>
      <c r="F964" s="89"/>
      <c r="G964" s="89"/>
      <c r="H964" s="89"/>
      <c r="I964" s="90"/>
      <c r="J964" s="88" t="s">
        <v>13</v>
      </c>
      <c r="K964" s="89"/>
      <c r="L964" s="89"/>
      <c r="M964" s="90"/>
      <c r="N964" s="88" t="s">
        <v>1356</v>
      </c>
      <c r="O964" s="89"/>
      <c r="P964" s="90"/>
      <c r="Q964" s="133">
        <v>3000</v>
      </c>
      <c r="R964" s="134"/>
      <c r="S964" s="5" t="s">
        <v>119</v>
      </c>
      <c r="T964" s="6"/>
      <c r="U964" s="6"/>
      <c r="V964" s="5" t="s">
        <v>1397</v>
      </c>
      <c r="W964" s="12">
        <v>111874276</v>
      </c>
      <c r="X964" s="6"/>
      <c r="Y964" s="6"/>
    </row>
    <row r="965" spans="1:25" ht="15" customHeight="1" x14ac:dyDescent="0.2">
      <c r="A965" s="88" t="s">
        <v>1353</v>
      </c>
      <c r="B965" s="90"/>
      <c r="C965" s="88" t="s">
        <v>1402</v>
      </c>
      <c r="D965" s="90"/>
      <c r="E965" s="88" t="s">
        <v>1401</v>
      </c>
      <c r="F965" s="89"/>
      <c r="G965" s="89"/>
      <c r="H965" s="89"/>
      <c r="I965" s="90"/>
      <c r="J965" s="88" t="s">
        <v>13</v>
      </c>
      <c r="K965" s="89"/>
      <c r="L965" s="89"/>
      <c r="M965" s="90"/>
      <c r="N965" s="88" t="s">
        <v>1356</v>
      </c>
      <c r="O965" s="89"/>
      <c r="P965" s="90"/>
      <c r="Q965" s="133">
        <v>3000</v>
      </c>
      <c r="R965" s="134"/>
      <c r="S965" s="5" t="s">
        <v>119</v>
      </c>
      <c r="T965" s="6"/>
      <c r="U965" s="6"/>
      <c r="V965" s="5" t="s">
        <v>1397</v>
      </c>
      <c r="W965" s="12">
        <v>84033821</v>
      </c>
      <c r="X965" s="6"/>
      <c r="Y965" s="6"/>
    </row>
    <row r="966" spans="1:25" ht="15" customHeight="1" x14ac:dyDescent="0.2">
      <c r="A966" s="88" t="s">
        <v>1353</v>
      </c>
      <c r="B966" s="90"/>
      <c r="C966" s="88" t="s">
        <v>1403</v>
      </c>
      <c r="D966" s="90"/>
      <c r="E966" s="88" t="s">
        <v>1384</v>
      </c>
      <c r="F966" s="89"/>
      <c r="G966" s="89"/>
      <c r="H966" s="89"/>
      <c r="I966" s="90"/>
      <c r="J966" s="88" t="s">
        <v>13</v>
      </c>
      <c r="K966" s="89"/>
      <c r="L966" s="89"/>
      <c r="M966" s="90"/>
      <c r="N966" s="88" t="s">
        <v>1356</v>
      </c>
      <c r="O966" s="89"/>
      <c r="P966" s="90"/>
      <c r="Q966" s="133">
        <v>4000</v>
      </c>
      <c r="R966" s="134"/>
      <c r="S966" s="5" t="s">
        <v>119</v>
      </c>
      <c r="T966" s="6"/>
      <c r="U966" s="6"/>
      <c r="V966" s="5" t="s">
        <v>23</v>
      </c>
      <c r="W966" s="12">
        <v>127914846</v>
      </c>
      <c r="X966" s="6"/>
      <c r="Y966" s="6"/>
    </row>
    <row r="967" spans="1:25" ht="15" customHeight="1" x14ac:dyDescent="0.2">
      <c r="A967" s="88" t="s">
        <v>1353</v>
      </c>
      <c r="B967" s="90"/>
      <c r="C967" s="88" t="s">
        <v>1404</v>
      </c>
      <c r="D967" s="90"/>
      <c r="E967" s="88" t="s">
        <v>1399</v>
      </c>
      <c r="F967" s="89"/>
      <c r="G967" s="89"/>
      <c r="H967" s="89"/>
      <c r="I967" s="90"/>
      <c r="J967" s="88" t="s">
        <v>13</v>
      </c>
      <c r="K967" s="89"/>
      <c r="L967" s="89"/>
      <c r="M967" s="90"/>
      <c r="N967" s="88" t="s">
        <v>26</v>
      </c>
      <c r="O967" s="89"/>
      <c r="P967" s="90"/>
      <c r="Q967" s="133">
        <v>3000</v>
      </c>
      <c r="R967" s="134"/>
      <c r="S967" s="5" t="s">
        <v>271</v>
      </c>
      <c r="T967" s="6"/>
      <c r="U967" s="6"/>
      <c r="V967" s="5" t="s">
        <v>176</v>
      </c>
      <c r="W967" s="10">
        <v>115541195</v>
      </c>
      <c r="X967" s="6"/>
      <c r="Y967" s="6"/>
    </row>
    <row r="968" spans="1:25" ht="15" customHeight="1" x14ac:dyDescent="0.2">
      <c r="A968" s="88" t="s">
        <v>1353</v>
      </c>
      <c r="B968" s="90"/>
      <c r="C968" s="88" t="s">
        <v>1405</v>
      </c>
      <c r="D968" s="90"/>
      <c r="E968" s="88" t="s">
        <v>1396</v>
      </c>
      <c r="F968" s="89"/>
      <c r="G968" s="89"/>
      <c r="H968" s="89"/>
      <c r="I968" s="90"/>
      <c r="J968" s="88" t="s">
        <v>13</v>
      </c>
      <c r="K968" s="89"/>
      <c r="L968" s="89"/>
      <c r="M968" s="90"/>
      <c r="N968" s="88" t="s">
        <v>26</v>
      </c>
      <c r="O968" s="89"/>
      <c r="P968" s="90"/>
      <c r="Q968" s="133">
        <v>3000</v>
      </c>
      <c r="R968" s="134"/>
      <c r="S968" s="5" t="s">
        <v>271</v>
      </c>
      <c r="T968" s="6"/>
      <c r="U968" s="6"/>
      <c r="V968" s="5" t="s">
        <v>176</v>
      </c>
      <c r="W968" s="10">
        <v>83395533</v>
      </c>
      <c r="X968" s="6"/>
      <c r="Y968" s="6"/>
    </row>
    <row r="969" spans="1:25" ht="15" customHeight="1" x14ac:dyDescent="0.2">
      <c r="A969" s="88" t="s">
        <v>1353</v>
      </c>
      <c r="B969" s="90"/>
      <c r="C969" s="88" t="s">
        <v>1406</v>
      </c>
      <c r="D969" s="90"/>
      <c r="E969" s="88" t="s">
        <v>1401</v>
      </c>
      <c r="F969" s="89"/>
      <c r="G969" s="89"/>
      <c r="H969" s="89"/>
      <c r="I969" s="90"/>
      <c r="J969" s="88" t="s">
        <v>13</v>
      </c>
      <c r="K969" s="89"/>
      <c r="L969" s="89"/>
      <c r="M969" s="90"/>
      <c r="N969" s="88" t="s">
        <v>26</v>
      </c>
      <c r="O969" s="89"/>
      <c r="P969" s="90"/>
      <c r="Q969" s="133">
        <v>3000</v>
      </c>
      <c r="R969" s="134"/>
      <c r="S969" s="5" t="s">
        <v>119</v>
      </c>
      <c r="T969" s="6"/>
      <c r="U969" s="6"/>
      <c r="V969" s="5" t="s">
        <v>176</v>
      </c>
      <c r="W969" s="10">
        <v>105042277</v>
      </c>
      <c r="X969" s="6"/>
      <c r="Y969" s="6"/>
    </row>
    <row r="970" spans="1:25" ht="15" customHeight="1" x14ac:dyDescent="0.2">
      <c r="A970" s="88" t="s">
        <v>1353</v>
      </c>
      <c r="B970" s="90"/>
      <c r="C970" s="88" t="s">
        <v>1407</v>
      </c>
      <c r="D970" s="90"/>
      <c r="E970" s="88" t="s">
        <v>1401</v>
      </c>
      <c r="F970" s="89"/>
      <c r="G970" s="89"/>
      <c r="H970" s="89"/>
      <c r="I970" s="90"/>
      <c r="J970" s="88" t="s">
        <v>13</v>
      </c>
      <c r="K970" s="89"/>
      <c r="L970" s="89"/>
      <c r="M970" s="90"/>
      <c r="N970" s="88" t="s">
        <v>26</v>
      </c>
      <c r="O970" s="89"/>
      <c r="P970" s="90"/>
      <c r="Q970" s="133">
        <v>3000</v>
      </c>
      <c r="R970" s="134"/>
      <c r="S970" s="5" t="s">
        <v>119</v>
      </c>
      <c r="T970" s="6"/>
      <c r="U970" s="6"/>
      <c r="V970" s="5" t="s">
        <v>176</v>
      </c>
      <c r="W970" s="10">
        <v>139842845</v>
      </c>
      <c r="X970" s="6"/>
      <c r="Y970" s="6"/>
    </row>
    <row r="971" spans="1:25" ht="15" customHeight="1" x14ac:dyDescent="0.2">
      <c r="A971" s="88" t="s">
        <v>1353</v>
      </c>
      <c r="B971" s="90"/>
      <c r="C971" s="88" t="s">
        <v>1408</v>
      </c>
      <c r="D971" s="90"/>
      <c r="E971" s="88" t="s">
        <v>1360</v>
      </c>
      <c r="F971" s="89"/>
      <c r="G971" s="89"/>
      <c r="H971" s="89"/>
      <c r="I971" s="90"/>
      <c r="J971" s="88" t="s">
        <v>13</v>
      </c>
      <c r="K971" s="89"/>
      <c r="L971" s="89"/>
      <c r="M971" s="90"/>
      <c r="N971" s="88" t="s">
        <v>26</v>
      </c>
      <c r="O971" s="89"/>
      <c r="P971" s="90"/>
      <c r="Q971" s="133">
        <v>3900</v>
      </c>
      <c r="R971" s="134"/>
      <c r="S971" s="5" t="s">
        <v>119</v>
      </c>
      <c r="T971" s="6"/>
      <c r="U971" s="6"/>
      <c r="V971" s="5" t="s">
        <v>23</v>
      </c>
      <c r="W971" s="10">
        <v>169392520</v>
      </c>
      <c r="X971" s="6"/>
      <c r="Y971" s="6"/>
    </row>
    <row r="972" spans="1:25" ht="15" customHeight="1" x14ac:dyDescent="0.2">
      <c r="A972" s="88" t="s">
        <v>1353</v>
      </c>
      <c r="B972" s="90"/>
      <c r="C972" s="88" t="s">
        <v>1409</v>
      </c>
      <c r="D972" s="90"/>
      <c r="E972" s="88" t="s">
        <v>1370</v>
      </c>
      <c r="F972" s="89"/>
      <c r="G972" s="89"/>
      <c r="H972" s="89"/>
      <c r="I972" s="90"/>
      <c r="J972" s="88" t="s">
        <v>13</v>
      </c>
      <c r="K972" s="89"/>
      <c r="L972" s="89"/>
      <c r="M972" s="90"/>
      <c r="N972" s="88" t="s">
        <v>26</v>
      </c>
      <c r="O972" s="89"/>
      <c r="P972" s="90"/>
      <c r="Q972" s="133">
        <v>3900</v>
      </c>
      <c r="R972" s="134"/>
      <c r="S972" s="5" t="s">
        <v>119</v>
      </c>
      <c r="T972" s="6"/>
      <c r="U972" s="6"/>
      <c r="V972" s="5" t="s">
        <v>23</v>
      </c>
      <c r="W972" s="10">
        <v>174238385</v>
      </c>
      <c r="X972" s="6"/>
      <c r="Y972" s="6"/>
    </row>
    <row r="973" spans="1:25" ht="15" customHeight="1" x14ac:dyDescent="0.2">
      <c r="A973" s="88" t="s">
        <v>1353</v>
      </c>
      <c r="B973" s="90"/>
      <c r="C973" s="88" t="s">
        <v>1410</v>
      </c>
      <c r="D973" s="90"/>
      <c r="E973" s="88" t="s">
        <v>1367</v>
      </c>
      <c r="F973" s="89"/>
      <c r="G973" s="89"/>
      <c r="H973" s="89"/>
      <c r="I973" s="90"/>
      <c r="J973" s="88" t="s">
        <v>13</v>
      </c>
      <c r="K973" s="89"/>
      <c r="L973" s="89"/>
      <c r="M973" s="90"/>
      <c r="N973" s="88" t="s">
        <v>26</v>
      </c>
      <c r="O973" s="89"/>
      <c r="P973" s="90"/>
      <c r="Q973" s="133">
        <v>3900</v>
      </c>
      <c r="R973" s="134"/>
      <c r="S973" s="5" t="s">
        <v>271</v>
      </c>
      <c r="T973" s="6"/>
      <c r="U973" s="6"/>
      <c r="V973" s="5" t="s">
        <v>23</v>
      </c>
      <c r="W973" s="13">
        <v>294016007</v>
      </c>
      <c r="X973" s="6"/>
      <c r="Y973" s="6"/>
    </row>
    <row r="974" spans="1:25" ht="15" customHeight="1" x14ac:dyDescent="0.2">
      <c r="A974" s="88" t="s">
        <v>1353</v>
      </c>
      <c r="B974" s="90"/>
      <c r="C974" s="88" t="s">
        <v>1411</v>
      </c>
      <c r="D974" s="90"/>
      <c r="E974" s="88" t="s">
        <v>1369</v>
      </c>
      <c r="F974" s="89"/>
      <c r="G974" s="89"/>
      <c r="H974" s="89"/>
      <c r="I974" s="90"/>
      <c r="J974" s="88" t="s">
        <v>13</v>
      </c>
      <c r="K974" s="89"/>
      <c r="L974" s="89"/>
      <c r="M974" s="90"/>
      <c r="N974" s="88" t="s">
        <v>26</v>
      </c>
      <c r="O974" s="89"/>
      <c r="P974" s="90"/>
      <c r="Q974" s="133">
        <v>3900</v>
      </c>
      <c r="R974" s="134"/>
      <c r="S974" s="5" t="s">
        <v>119</v>
      </c>
      <c r="T974" s="6"/>
      <c r="U974" s="6"/>
      <c r="V974" s="5" t="s">
        <v>23</v>
      </c>
      <c r="W974" s="13">
        <v>423927960</v>
      </c>
      <c r="X974" s="6"/>
      <c r="Y974" s="6"/>
    </row>
    <row r="975" spans="1:25" ht="15" customHeight="1" x14ac:dyDescent="0.2">
      <c r="A975" s="88" t="s">
        <v>1353</v>
      </c>
      <c r="B975" s="90"/>
      <c r="C975" s="88" t="s">
        <v>1412</v>
      </c>
      <c r="D975" s="90"/>
      <c r="E975" s="88" t="s">
        <v>1371</v>
      </c>
      <c r="F975" s="89"/>
      <c r="G975" s="89"/>
      <c r="H975" s="89"/>
      <c r="I975" s="90"/>
      <c r="J975" s="88" t="s">
        <v>13</v>
      </c>
      <c r="K975" s="89"/>
      <c r="L975" s="89"/>
      <c r="M975" s="90"/>
      <c r="N975" s="88" t="s">
        <v>26</v>
      </c>
      <c r="O975" s="89"/>
      <c r="P975" s="90"/>
      <c r="Q975" s="133">
        <v>6500</v>
      </c>
      <c r="R975" s="134"/>
      <c r="S975" s="5" t="s">
        <v>271</v>
      </c>
      <c r="T975" s="6"/>
      <c r="U975" s="6"/>
      <c r="V975" s="5" t="s">
        <v>23</v>
      </c>
      <c r="W975" s="10">
        <v>196534655</v>
      </c>
      <c r="X975" s="6"/>
      <c r="Y975" s="6"/>
    </row>
    <row r="976" spans="1:25" ht="15" customHeight="1" x14ac:dyDescent="0.2">
      <c r="A976" s="88" t="s">
        <v>1353</v>
      </c>
      <c r="B976" s="90"/>
      <c r="C976" s="88" t="s">
        <v>1413</v>
      </c>
      <c r="D976" s="90"/>
      <c r="E976" s="88" t="s">
        <v>1362</v>
      </c>
      <c r="F976" s="89"/>
      <c r="G976" s="89"/>
      <c r="H976" s="89"/>
      <c r="I976" s="90"/>
      <c r="J976" s="88" t="s">
        <v>13</v>
      </c>
      <c r="K976" s="89"/>
      <c r="L976" s="89"/>
      <c r="M976" s="90"/>
      <c r="N976" s="88" t="s">
        <v>26</v>
      </c>
      <c r="O976" s="89"/>
      <c r="P976" s="90"/>
      <c r="Q976" s="133">
        <v>6500</v>
      </c>
      <c r="R976" s="134"/>
      <c r="S976" s="5" t="s">
        <v>271</v>
      </c>
      <c r="T976" s="6"/>
      <c r="U976" s="6"/>
      <c r="V976" s="5" t="s">
        <v>23</v>
      </c>
      <c r="W976" s="10">
        <v>202631589</v>
      </c>
      <c r="X976" s="6"/>
      <c r="Y976" s="6"/>
    </row>
    <row r="977" spans="1:25" ht="15" customHeight="1" x14ac:dyDescent="0.2">
      <c r="A977" s="88" t="s">
        <v>1353</v>
      </c>
      <c r="B977" s="90"/>
      <c r="C977" s="88" t="s">
        <v>1413</v>
      </c>
      <c r="D977" s="90"/>
      <c r="E977" s="88" t="s">
        <v>1371</v>
      </c>
      <c r="F977" s="89"/>
      <c r="G977" s="89"/>
      <c r="H977" s="89"/>
      <c r="I977" s="90"/>
      <c r="J977" s="88" t="s">
        <v>13</v>
      </c>
      <c r="K977" s="89"/>
      <c r="L977" s="89"/>
      <c r="M977" s="90"/>
      <c r="N977" s="88" t="s">
        <v>26</v>
      </c>
      <c r="O977" s="89"/>
      <c r="P977" s="90"/>
      <c r="Q977" s="133">
        <v>6500</v>
      </c>
      <c r="R977" s="134"/>
      <c r="S977" s="5" t="s">
        <v>271</v>
      </c>
      <c r="T977" s="6"/>
      <c r="U977" s="6"/>
      <c r="V977" s="5" t="s">
        <v>23</v>
      </c>
      <c r="W977" s="10">
        <v>187814215</v>
      </c>
      <c r="X977" s="6"/>
      <c r="Y977" s="6"/>
    </row>
    <row r="978" spans="1:25" ht="15" customHeight="1" x14ac:dyDescent="0.2">
      <c r="A978" s="88" t="s">
        <v>1353</v>
      </c>
      <c r="B978" s="90"/>
      <c r="C978" s="88" t="s">
        <v>1414</v>
      </c>
      <c r="D978" s="90"/>
      <c r="E978" s="88" t="s">
        <v>1380</v>
      </c>
      <c r="F978" s="89"/>
      <c r="G978" s="89"/>
      <c r="H978" s="89"/>
      <c r="I978" s="90"/>
      <c r="J978" s="88" t="s">
        <v>13</v>
      </c>
      <c r="K978" s="89"/>
      <c r="L978" s="89"/>
      <c r="M978" s="90"/>
      <c r="N978" s="88" t="s">
        <v>26</v>
      </c>
      <c r="O978" s="89"/>
      <c r="P978" s="90"/>
      <c r="Q978" s="133">
        <v>3900</v>
      </c>
      <c r="R978" s="134"/>
      <c r="S978" s="5" t="s">
        <v>119</v>
      </c>
      <c r="T978" s="6"/>
      <c r="U978" s="6"/>
      <c r="V978" s="5" t="s">
        <v>23</v>
      </c>
      <c r="W978" s="10">
        <v>164296935</v>
      </c>
      <c r="X978" s="6"/>
      <c r="Y978" s="6"/>
    </row>
    <row r="979" spans="1:25" ht="15" customHeight="1" x14ac:dyDescent="0.2">
      <c r="A979" s="88" t="s">
        <v>1353</v>
      </c>
      <c r="B979" s="90"/>
      <c r="C979" s="88" t="s">
        <v>1415</v>
      </c>
      <c r="D979" s="90"/>
      <c r="E979" s="88" t="s">
        <v>1380</v>
      </c>
      <c r="F979" s="89"/>
      <c r="G979" s="89"/>
      <c r="H979" s="89"/>
      <c r="I979" s="90"/>
      <c r="J979" s="88" t="s">
        <v>13</v>
      </c>
      <c r="K979" s="89"/>
      <c r="L979" s="89"/>
      <c r="M979" s="90"/>
      <c r="N979" s="88" t="s">
        <v>26</v>
      </c>
      <c r="O979" s="89"/>
      <c r="P979" s="90"/>
      <c r="Q979" s="133">
        <v>3900</v>
      </c>
      <c r="R979" s="134"/>
      <c r="S979" s="5" t="s">
        <v>119</v>
      </c>
      <c r="T979" s="6"/>
      <c r="U979" s="6"/>
      <c r="V979" s="5" t="s">
        <v>23</v>
      </c>
      <c r="W979" s="10">
        <v>141719757</v>
      </c>
      <c r="X979" s="6"/>
      <c r="Y979" s="6"/>
    </row>
    <row r="980" spans="1:25" ht="15" customHeight="1" x14ac:dyDescent="0.2">
      <c r="A980" s="88" t="s">
        <v>1353</v>
      </c>
      <c r="B980" s="90"/>
      <c r="C980" s="88" t="s">
        <v>1416</v>
      </c>
      <c r="D980" s="90"/>
      <c r="E980" s="106"/>
      <c r="F980" s="107"/>
      <c r="G980" s="107"/>
      <c r="H980" s="107"/>
      <c r="I980" s="108"/>
      <c r="J980" s="88" t="s">
        <v>13</v>
      </c>
      <c r="K980" s="89"/>
      <c r="L980" s="89"/>
      <c r="M980" s="90"/>
      <c r="N980" s="88" t="s">
        <v>26</v>
      </c>
      <c r="O980" s="89"/>
      <c r="P980" s="90"/>
      <c r="Q980" s="133">
        <v>3900</v>
      </c>
      <c r="R980" s="134"/>
      <c r="S980" s="5" t="s">
        <v>271</v>
      </c>
      <c r="T980" s="6"/>
      <c r="U980" s="6"/>
      <c r="V980" s="5" t="s">
        <v>23</v>
      </c>
      <c r="W980" s="13">
        <v>140056369</v>
      </c>
      <c r="X980" s="6"/>
      <c r="Y980" s="6"/>
    </row>
    <row r="981" spans="1:25" ht="15" customHeight="1" x14ac:dyDescent="0.2">
      <c r="A981" s="88" t="s">
        <v>1353</v>
      </c>
      <c r="B981" s="90"/>
      <c r="C981" s="88" t="s">
        <v>1417</v>
      </c>
      <c r="D981" s="90"/>
      <c r="E981" s="88" t="s">
        <v>1382</v>
      </c>
      <c r="F981" s="89"/>
      <c r="G981" s="89"/>
      <c r="H981" s="89"/>
      <c r="I981" s="90"/>
      <c r="J981" s="88" t="s">
        <v>13</v>
      </c>
      <c r="K981" s="89"/>
      <c r="L981" s="89"/>
      <c r="M981" s="90"/>
      <c r="N981" s="88" t="s">
        <v>26</v>
      </c>
      <c r="O981" s="89"/>
      <c r="P981" s="90"/>
      <c r="Q981" s="133">
        <v>3900</v>
      </c>
      <c r="R981" s="134"/>
      <c r="S981" s="5" t="s">
        <v>271</v>
      </c>
      <c r="T981" s="6"/>
      <c r="U981" s="6"/>
      <c r="V981" s="5" t="s">
        <v>23</v>
      </c>
      <c r="W981" s="10">
        <v>139956759</v>
      </c>
      <c r="X981" s="6"/>
      <c r="Y981" s="6"/>
    </row>
    <row r="982" spans="1:25" ht="15" customHeight="1" x14ac:dyDescent="0.2">
      <c r="A982" s="88" t="s">
        <v>1353</v>
      </c>
      <c r="B982" s="90"/>
      <c r="C982" s="88" t="s">
        <v>1418</v>
      </c>
      <c r="D982" s="90"/>
      <c r="E982" s="88" t="s">
        <v>1364</v>
      </c>
      <c r="F982" s="89"/>
      <c r="G982" s="89"/>
      <c r="H982" s="89"/>
      <c r="I982" s="90"/>
      <c r="J982" s="88" t="s">
        <v>13</v>
      </c>
      <c r="K982" s="89"/>
      <c r="L982" s="89"/>
      <c r="M982" s="90"/>
      <c r="N982" s="88" t="s">
        <v>26</v>
      </c>
      <c r="O982" s="89"/>
      <c r="P982" s="90"/>
      <c r="Q982" s="133">
        <v>6300</v>
      </c>
      <c r="R982" s="134"/>
      <c r="S982" s="5" t="s">
        <v>271</v>
      </c>
      <c r="T982" s="6"/>
      <c r="U982" s="6"/>
      <c r="V982" s="5" t="s">
        <v>23</v>
      </c>
      <c r="W982" s="10">
        <v>135781588</v>
      </c>
      <c r="X982" s="6"/>
      <c r="Y982" s="6"/>
    </row>
    <row r="983" spans="1:25" ht="15" customHeight="1" x14ac:dyDescent="0.2">
      <c r="A983" s="88" t="s">
        <v>1353</v>
      </c>
      <c r="B983" s="90"/>
      <c r="C983" s="88" t="s">
        <v>1419</v>
      </c>
      <c r="D983" s="90"/>
      <c r="E983" s="88" t="s">
        <v>1364</v>
      </c>
      <c r="F983" s="89"/>
      <c r="G983" s="89"/>
      <c r="H983" s="89"/>
      <c r="I983" s="90"/>
      <c r="J983" s="88" t="s">
        <v>13</v>
      </c>
      <c r="K983" s="89"/>
      <c r="L983" s="89"/>
      <c r="M983" s="90"/>
      <c r="N983" s="88" t="s">
        <v>26</v>
      </c>
      <c r="O983" s="89"/>
      <c r="P983" s="90"/>
      <c r="Q983" s="133">
        <v>3900</v>
      </c>
      <c r="R983" s="134"/>
      <c r="S983" s="5" t="s">
        <v>271</v>
      </c>
      <c r="T983" s="6"/>
      <c r="U983" s="6"/>
      <c r="V983" s="5" t="s">
        <v>23</v>
      </c>
      <c r="W983" s="10">
        <v>137250695</v>
      </c>
      <c r="X983" s="6"/>
      <c r="Y983" s="6"/>
    </row>
    <row r="984" spans="1:25" ht="15" customHeight="1" x14ac:dyDescent="0.2">
      <c r="A984" s="88" t="s">
        <v>1353</v>
      </c>
      <c r="B984" s="90"/>
      <c r="C984" s="88" t="s">
        <v>1420</v>
      </c>
      <c r="D984" s="90"/>
      <c r="E984" s="88" t="s">
        <v>1376</v>
      </c>
      <c r="F984" s="89"/>
      <c r="G984" s="89"/>
      <c r="H984" s="89"/>
      <c r="I984" s="90"/>
      <c r="J984" s="88" t="s">
        <v>13</v>
      </c>
      <c r="K984" s="89"/>
      <c r="L984" s="89"/>
      <c r="M984" s="90"/>
      <c r="N984" s="88" t="s">
        <v>26</v>
      </c>
      <c r="O984" s="89"/>
      <c r="P984" s="90"/>
      <c r="Q984" s="133">
        <v>3900</v>
      </c>
      <c r="R984" s="134"/>
      <c r="S984" s="5" t="s">
        <v>271</v>
      </c>
      <c r="T984" s="6"/>
      <c r="U984" s="6"/>
      <c r="V984" s="5" t="s">
        <v>23</v>
      </c>
      <c r="W984" s="10">
        <v>82299063</v>
      </c>
      <c r="X984" s="6"/>
      <c r="Y984" s="6"/>
    </row>
    <row r="985" spans="1:25" ht="15" customHeight="1" x14ac:dyDescent="0.2">
      <c r="A985" s="88" t="s">
        <v>1353</v>
      </c>
      <c r="B985" s="90"/>
      <c r="C985" s="88" t="s">
        <v>1421</v>
      </c>
      <c r="D985" s="90"/>
      <c r="E985" s="88" t="s">
        <v>1378</v>
      </c>
      <c r="F985" s="89"/>
      <c r="G985" s="89"/>
      <c r="H985" s="89"/>
      <c r="I985" s="90"/>
      <c r="J985" s="88" t="s">
        <v>13</v>
      </c>
      <c r="K985" s="89"/>
      <c r="L985" s="89"/>
      <c r="M985" s="90"/>
      <c r="N985" s="88" t="s">
        <v>26</v>
      </c>
      <c r="O985" s="89"/>
      <c r="P985" s="90"/>
      <c r="Q985" s="133">
        <v>3900</v>
      </c>
      <c r="R985" s="134"/>
      <c r="S985" s="5" t="s">
        <v>119</v>
      </c>
      <c r="T985" s="6"/>
      <c r="U985" s="6"/>
      <c r="V985" s="5" t="s">
        <v>23</v>
      </c>
      <c r="W985" s="10">
        <v>125338998</v>
      </c>
      <c r="X985" s="6"/>
      <c r="Y985" s="6"/>
    </row>
    <row r="986" spans="1:25" ht="15" customHeight="1" x14ac:dyDescent="0.2">
      <c r="A986" s="88" t="s">
        <v>1353</v>
      </c>
      <c r="B986" s="90"/>
      <c r="C986" s="88" t="s">
        <v>1422</v>
      </c>
      <c r="D986" s="90"/>
      <c r="E986" s="88" t="s">
        <v>1374</v>
      </c>
      <c r="F986" s="89"/>
      <c r="G986" s="89"/>
      <c r="H986" s="89"/>
      <c r="I986" s="90"/>
      <c r="J986" s="88" t="s">
        <v>13</v>
      </c>
      <c r="K986" s="89"/>
      <c r="L986" s="89"/>
      <c r="M986" s="90"/>
      <c r="N986" s="88" t="s">
        <v>26</v>
      </c>
      <c r="O986" s="89"/>
      <c r="P986" s="90"/>
      <c r="Q986" s="133">
        <v>3900</v>
      </c>
      <c r="R986" s="134"/>
      <c r="S986" s="5" t="s">
        <v>119</v>
      </c>
      <c r="T986" s="6"/>
      <c r="U986" s="6"/>
      <c r="V986" s="5" t="s">
        <v>23</v>
      </c>
      <c r="W986" s="10">
        <v>119323201</v>
      </c>
      <c r="X986" s="6"/>
      <c r="Y986" s="6"/>
    </row>
    <row r="987" spans="1:25" ht="15" customHeight="1" x14ac:dyDescent="0.2">
      <c r="A987" s="88" t="s">
        <v>1353</v>
      </c>
      <c r="B987" s="90"/>
      <c r="C987" s="88" t="s">
        <v>1423</v>
      </c>
      <c r="D987" s="90"/>
      <c r="E987" s="88" t="s">
        <v>1387</v>
      </c>
      <c r="F987" s="89"/>
      <c r="G987" s="89"/>
      <c r="H987" s="89"/>
      <c r="I987" s="90"/>
      <c r="J987" s="88" t="s">
        <v>13</v>
      </c>
      <c r="K987" s="89"/>
      <c r="L987" s="89"/>
      <c r="M987" s="90"/>
      <c r="N987" s="88" t="s">
        <v>26</v>
      </c>
      <c r="O987" s="89"/>
      <c r="P987" s="90"/>
      <c r="Q987" s="133">
        <v>3900</v>
      </c>
      <c r="R987" s="134"/>
      <c r="S987" s="5" t="s">
        <v>119</v>
      </c>
      <c r="T987" s="6"/>
      <c r="U987" s="6"/>
      <c r="V987" s="5" t="s">
        <v>23</v>
      </c>
      <c r="W987" s="13">
        <v>100060727</v>
      </c>
      <c r="X987" s="6"/>
      <c r="Y987" s="6"/>
    </row>
    <row r="988" spans="1:25" ht="15" customHeight="1" x14ac:dyDescent="0.2">
      <c r="A988" s="88" t="s">
        <v>1353</v>
      </c>
      <c r="B988" s="90"/>
      <c r="C988" s="88" t="s">
        <v>1424</v>
      </c>
      <c r="D988" s="90"/>
      <c r="E988" s="88" t="s">
        <v>1387</v>
      </c>
      <c r="F988" s="89"/>
      <c r="G988" s="89"/>
      <c r="H988" s="89"/>
      <c r="I988" s="90"/>
      <c r="J988" s="88" t="s">
        <v>13</v>
      </c>
      <c r="K988" s="89"/>
      <c r="L988" s="89"/>
      <c r="M988" s="90"/>
      <c r="N988" s="88" t="s">
        <v>26</v>
      </c>
      <c r="O988" s="89"/>
      <c r="P988" s="90"/>
      <c r="Q988" s="133">
        <v>3900</v>
      </c>
      <c r="R988" s="134"/>
      <c r="S988" s="5" t="s">
        <v>119</v>
      </c>
      <c r="T988" s="6"/>
      <c r="U988" s="6"/>
      <c r="V988" s="5" t="s">
        <v>23</v>
      </c>
      <c r="W988" s="10">
        <v>97775449</v>
      </c>
      <c r="X988" s="6"/>
      <c r="Y988" s="6"/>
    </row>
    <row r="989" spans="1:25" ht="15" customHeight="1" x14ac:dyDescent="0.2">
      <c r="A989" s="88" t="s">
        <v>1353</v>
      </c>
      <c r="B989" s="90"/>
      <c r="C989" s="88" t="s">
        <v>1425</v>
      </c>
      <c r="D989" s="90"/>
      <c r="E989" s="88" t="s">
        <v>1390</v>
      </c>
      <c r="F989" s="89"/>
      <c r="G989" s="89"/>
      <c r="H989" s="89"/>
      <c r="I989" s="90"/>
      <c r="J989" s="88" t="s">
        <v>13</v>
      </c>
      <c r="K989" s="89"/>
      <c r="L989" s="89"/>
      <c r="M989" s="90"/>
      <c r="N989" s="88" t="s">
        <v>26</v>
      </c>
      <c r="O989" s="89"/>
      <c r="P989" s="90"/>
      <c r="Q989" s="133">
        <v>3900</v>
      </c>
      <c r="R989" s="134"/>
      <c r="S989" s="5" t="s">
        <v>271</v>
      </c>
      <c r="T989" s="6"/>
      <c r="U989" s="6"/>
      <c r="V989" s="5" t="s">
        <v>23</v>
      </c>
      <c r="W989" s="10">
        <v>115059092</v>
      </c>
      <c r="X989" s="6"/>
      <c r="Y989" s="6"/>
    </row>
    <row r="990" spans="1:25" ht="15" customHeight="1" x14ac:dyDescent="0.2">
      <c r="A990" s="88" t="s">
        <v>1353</v>
      </c>
      <c r="B990" s="90"/>
      <c r="C990" s="88" t="s">
        <v>1426</v>
      </c>
      <c r="D990" s="90"/>
      <c r="E990" s="88" t="s">
        <v>1390</v>
      </c>
      <c r="F990" s="89"/>
      <c r="G990" s="89"/>
      <c r="H990" s="89"/>
      <c r="I990" s="90"/>
      <c r="J990" s="88" t="s">
        <v>13</v>
      </c>
      <c r="K990" s="89"/>
      <c r="L990" s="89"/>
      <c r="M990" s="90"/>
      <c r="N990" s="88" t="s">
        <v>26</v>
      </c>
      <c r="O990" s="89"/>
      <c r="P990" s="90"/>
      <c r="Q990" s="133">
        <v>3900</v>
      </c>
      <c r="R990" s="134"/>
      <c r="S990" s="5" t="s">
        <v>271</v>
      </c>
      <c r="T990" s="6"/>
      <c r="U990" s="6"/>
      <c r="V990" s="5" t="s">
        <v>23</v>
      </c>
      <c r="W990" s="10">
        <v>87309181</v>
      </c>
      <c r="X990" s="6"/>
      <c r="Y990" s="6"/>
    </row>
    <row r="991" spans="1:25" ht="15" customHeight="1" x14ac:dyDescent="0.2">
      <c r="A991" s="88" t="s">
        <v>1353</v>
      </c>
      <c r="B991" s="90"/>
      <c r="C991" s="88" t="s">
        <v>1427</v>
      </c>
      <c r="D991" s="90"/>
      <c r="E991" s="88" t="s">
        <v>1384</v>
      </c>
      <c r="F991" s="89"/>
      <c r="G991" s="89"/>
      <c r="H991" s="89"/>
      <c r="I991" s="90"/>
      <c r="J991" s="88" t="s">
        <v>13</v>
      </c>
      <c r="K991" s="89"/>
      <c r="L991" s="89"/>
      <c r="M991" s="90"/>
      <c r="N991" s="88" t="s">
        <v>26</v>
      </c>
      <c r="O991" s="89"/>
      <c r="P991" s="90"/>
      <c r="Q991" s="133">
        <v>4000</v>
      </c>
      <c r="R991" s="134"/>
      <c r="S991" s="5" t="s">
        <v>119</v>
      </c>
      <c r="T991" s="6"/>
      <c r="U991" s="6"/>
      <c r="V991" s="5" t="s">
        <v>23</v>
      </c>
      <c r="W991" s="10">
        <v>182937832</v>
      </c>
      <c r="X991" s="6"/>
      <c r="Y991" s="6"/>
    </row>
    <row r="992" spans="1:25" ht="15" customHeight="1" x14ac:dyDescent="0.2">
      <c r="A992" s="88" t="s">
        <v>1353</v>
      </c>
      <c r="B992" s="90"/>
      <c r="C992" s="88" t="s">
        <v>1428</v>
      </c>
      <c r="D992" s="90"/>
      <c r="E992" s="88" t="s">
        <v>1384</v>
      </c>
      <c r="F992" s="89"/>
      <c r="G992" s="89"/>
      <c r="H992" s="89"/>
      <c r="I992" s="90"/>
      <c r="J992" s="88" t="s">
        <v>13</v>
      </c>
      <c r="K992" s="89"/>
      <c r="L992" s="89"/>
      <c r="M992" s="90"/>
      <c r="N992" s="88" t="s">
        <v>26</v>
      </c>
      <c r="O992" s="89"/>
      <c r="P992" s="90"/>
      <c r="Q992" s="133">
        <v>4000</v>
      </c>
      <c r="R992" s="134"/>
      <c r="S992" s="5" t="s">
        <v>119</v>
      </c>
      <c r="T992" s="6"/>
      <c r="U992" s="6"/>
      <c r="V992" s="5" t="s">
        <v>23</v>
      </c>
      <c r="W992" s="10">
        <v>159893558</v>
      </c>
      <c r="X992" s="6"/>
      <c r="Y992" s="6"/>
    </row>
    <row r="993" spans="1:25" ht="15" customHeight="1" x14ac:dyDescent="0.2">
      <c r="A993" s="88" t="s">
        <v>1353</v>
      </c>
      <c r="B993" s="90"/>
      <c r="C993" s="88" t="s">
        <v>1429</v>
      </c>
      <c r="D993" s="90"/>
      <c r="E993" s="88" t="s">
        <v>1384</v>
      </c>
      <c r="F993" s="89"/>
      <c r="G993" s="89"/>
      <c r="H993" s="89"/>
      <c r="I993" s="90"/>
      <c r="J993" s="88" t="s">
        <v>13</v>
      </c>
      <c r="K993" s="89"/>
      <c r="L993" s="89"/>
      <c r="M993" s="90"/>
      <c r="N993" s="88" t="s">
        <v>26</v>
      </c>
      <c r="O993" s="89"/>
      <c r="P993" s="90"/>
      <c r="Q993" s="133">
        <v>4000</v>
      </c>
      <c r="R993" s="134"/>
      <c r="S993" s="5" t="s">
        <v>119</v>
      </c>
      <c r="T993" s="6"/>
      <c r="U993" s="6"/>
      <c r="V993" s="5" t="s">
        <v>176</v>
      </c>
      <c r="W993" s="10">
        <v>134740795</v>
      </c>
      <c r="X993" s="6"/>
      <c r="Y993" s="6"/>
    </row>
    <row r="994" spans="1:25" ht="15" customHeight="1" x14ac:dyDescent="0.2">
      <c r="A994" s="88" t="s">
        <v>1353</v>
      </c>
      <c r="B994" s="90"/>
      <c r="C994" s="88" t="s">
        <v>1430</v>
      </c>
      <c r="D994" s="90"/>
      <c r="E994" s="88" t="s">
        <v>1384</v>
      </c>
      <c r="F994" s="89"/>
      <c r="G994" s="89"/>
      <c r="H994" s="89"/>
      <c r="I994" s="90"/>
      <c r="J994" s="88" t="s">
        <v>13</v>
      </c>
      <c r="K994" s="89"/>
      <c r="L994" s="89"/>
      <c r="M994" s="90"/>
      <c r="N994" s="88" t="s">
        <v>26</v>
      </c>
      <c r="O994" s="89"/>
      <c r="P994" s="90"/>
      <c r="Q994" s="133">
        <v>4000</v>
      </c>
      <c r="R994" s="134"/>
      <c r="S994" s="5" t="s">
        <v>271</v>
      </c>
      <c r="T994" s="6"/>
      <c r="U994" s="6"/>
      <c r="V994" s="5" t="s">
        <v>176</v>
      </c>
      <c r="W994" s="13">
        <v>202349763</v>
      </c>
      <c r="X994" s="6"/>
      <c r="Y994" s="6"/>
    </row>
    <row r="995" spans="1:25" ht="15" customHeight="1" x14ac:dyDescent="0.2">
      <c r="A995" s="88" t="s">
        <v>1431</v>
      </c>
      <c r="B995" s="90"/>
      <c r="C995" s="88" t="s">
        <v>1432</v>
      </c>
      <c r="D995" s="90"/>
      <c r="E995" s="88" t="s">
        <v>1433</v>
      </c>
      <c r="F995" s="89"/>
      <c r="G995" s="89"/>
      <c r="H995" s="89"/>
      <c r="I995" s="90"/>
      <c r="J995" s="88" t="s">
        <v>13</v>
      </c>
      <c r="K995" s="89"/>
      <c r="L995" s="89"/>
      <c r="M995" s="90"/>
      <c r="N995" s="88" t="s">
        <v>26</v>
      </c>
      <c r="O995" s="89"/>
      <c r="P995" s="90"/>
      <c r="Q995" s="133">
        <v>600</v>
      </c>
      <c r="R995" s="134"/>
      <c r="S995" s="5" t="s">
        <v>70</v>
      </c>
      <c r="T995" s="6"/>
      <c r="U995" s="6"/>
      <c r="V995" s="5" t="s">
        <v>23</v>
      </c>
      <c r="W995" s="9">
        <v>4879707</v>
      </c>
      <c r="X995" s="6"/>
      <c r="Y995" s="6"/>
    </row>
    <row r="996" spans="1:25" ht="15" customHeight="1" x14ac:dyDescent="0.2">
      <c r="A996" s="88" t="s">
        <v>1431</v>
      </c>
      <c r="B996" s="90"/>
      <c r="C996" s="88" t="s">
        <v>1434</v>
      </c>
      <c r="D996" s="90"/>
      <c r="E996" s="88" t="s">
        <v>1435</v>
      </c>
      <c r="F996" s="89"/>
      <c r="G996" s="89"/>
      <c r="H996" s="89"/>
      <c r="I996" s="90"/>
      <c r="J996" s="88" t="s">
        <v>13</v>
      </c>
      <c r="K996" s="89"/>
      <c r="L996" s="89"/>
      <c r="M996" s="90"/>
      <c r="N996" s="88" t="s">
        <v>26</v>
      </c>
      <c r="O996" s="89"/>
      <c r="P996" s="90"/>
      <c r="Q996" s="133">
        <v>1200</v>
      </c>
      <c r="R996" s="134"/>
      <c r="S996" s="5" t="s">
        <v>27</v>
      </c>
      <c r="T996" s="6"/>
      <c r="U996" s="6"/>
      <c r="V996" s="5" t="s">
        <v>23</v>
      </c>
      <c r="W996" s="9">
        <v>5270677</v>
      </c>
      <c r="X996" s="6"/>
      <c r="Y996" s="6"/>
    </row>
    <row r="997" spans="1:25" ht="15" customHeight="1" x14ac:dyDescent="0.2">
      <c r="A997" s="88" t="s">
        <v>1431</v>
      </c>
      <c r="B997" s="90"/>
      <c r="C997" s="88" t="s">
        <v>1436</v>
      </c>
      <c r="D997" s="90"/>
      <c r="E997" s="88" t="s">
        <v>1437</v>
      </c>
      <c r="F997" s="89"/>
      <c r="G997" s="89"/>
      <c r="H997" s="89"/>
      <c r="I997" s="90"/>
      <c r="J997" s="88" t="s">
        <v>13</v>
      </c>
      <c r="K997" s="89"/>
      <c r="L997" s="89"/>
      <c r="M997" s="90"/>
      <c r="N997" s="88" t="s">
        <v>26</v>
      </c>
      <c r="O997" s="89"/>
      <c r="P997" s="90"/>
      <c r="Q997" s="133">
        <v>1200</v>
      </c>
      <c r="R997" s="134"/>
      <c r="S997" s="5" t="s">
        <v>16</v>
      </c>
      <c r="T997" s="6"/>
      <c r="U997" s="6"/>
      <c r="V997" s="5" t="s">
        <v>23</v>
      </c>
      <c r="W997" s="9">
        <v>6511849</v>
      </c>
      <c r="X997" s="6"/>
      <c r="Y997" s="6"/>
    </row>
    <row r="998" spans="1:25" ht="15" customHeight="1" x14ac:dyDescent="0.2">
      <c r="A998" s="88" t="s">
        <v>1431</v>
      </c>
      <c r="B998" s="90"/>
      <c r="C998" s="88" t="s">
        <v>1438</v>
      </c>
      <c r="D998" s="90"/>
      <c r="E998" s="88" t="s">
        <v>1439</v>
      </c>
      <c r="F998" s="89"/>
      <c r="G998" s="89"/>
      <c r="H998" s="89"/>
      <c r="I998" s="90"/>
      <c r="J998" s="88" t="s">
        <v>13</v>
      </c>
      <c r="K998" s="89"/>
      <c r="L998" s="89"/>
      <c r="M998" s="90"/>
      <c r="N998" s="88" t="s">
        <v>26</v>
      </c>
      <c r="O998" s="89"/>
      <c r="P998" s="90"/>
      <c r="Q998" s="133">
        <v>900</v>
      </c>
      <c r="R998" s="134"/>
      <c r="S998" s="5" t="s">
        <v>27</v>
      </c>
      <c r="T998" s="6"/>
      <c r="U998" s="6"/>
      <c r="V998" s="5" t="s">
        <v>23</v>
      </c>
      <c r="W998" s="9">
        <v>6093650</v>
      </c>
      <c r="X998" s="6"/>
      <c r="Y998" s="6"/>
    </row>
    <row r="999" spans="1:25" ht="15" customHeight="1" x14ac:dyDescent="0.2">
      <c r="A999" s="88" t="s">
        <v>1431</v>
      </c>
      <c r="B999" s="90"/>
      <c r="C999" s="88" t="s">
        <v>1440</v>
      </c>
      <c r="D999" s="90"/>
      <c r="E999" s="88" t="s">
        <v>1441</v>
      </c>
      <c r="F999" s="89"/>
      <c r="G999" s="89"/>
      <c r="H999" s="89"/>
      <c r="I999" s="90"/>
      <c r="J999" s="88" t="s">
        <v>13</v>
      </c>
      <c r="K999" s="89"/>
      <c r="L999" s="89"/>
      <c r="M999" s="90"/>
      <c r="N999" s="88" t="s">
        <v>26</v>
      </c>
      <c r="O999" s="89"/>
      <c r="P999" s="90"/>
      <c r="Q999" s="133">
        <v>900</v>
      </c>
      <c r="R999" s="134"/>
      <c r="S999" s="5" t="s">
        <v>16</v>
      </c>
      <c r="T999" s="6"/>
      <c r="U999" s="6"/>
      <c r="V999" s="5" t="s">
        <v>23</v>
      </c>
      <c r="W999" s="9">
        <v>5938884</v>
      </c>
      <c r="X999" s="6"/>
      <c r="Y999" s="6"/>
    </row>
    <row r="1000" spans="1:25" ht="15" customHeight="1" x14ac:dyDescent="0.2">
      <c r="A1000" s="88" t="s">
        <v>1431</v>
      </c>
      <c r="B1000" s="90"/>
      <c r="C1000" s="88" t="s">
        <v>1442</v>
      </c>
      <c r="D1000" s="90"/>
      <c r="E1000" s="88" t="s">
        <v>1435</v>
      </c>
      <c r="F1000" s="89"/>
      <c r="G1000" s="89"/>
      <c r="H1000" s="89"/>
      <c r="I1000" s="90"/>
      <c r="J1000" s="88" t="s">
        <v>13</v>
      </c>
      <c r="K1000" s="89"/>
      <c r="L1000" s="89"/>
      <c r="M1000" s="90"/>
      <c r="N1000" s="88" t="s">
        <v>26</v>
      </c>
      <c r="O1000" s="89"/>
      <c r="P1000" s="90"/>
      <c r="Q1000" s="133">
        <v>900</v>
      </c>
      <c r="R1000" s="134"/>
      <c r="S1000" s="5" t="s">
        <v>27</v>
      </c>
      <c r="T1000" s="6"/>
      <c r="U1000" s="6"/>
      <c r="V1000" s="5" t="s">
        <v>23</v>
      </c>
      <c r="W1000" s="9">
        <v>5608073</v>
      </c>
      <c r="X1000" s="6"/>
      <c r="Y1000" s="6"/>
    </row>
    <row r="1001" spans="1:25" ht="15" customHeight="1" x14ac:dyDescent="0.2">
      <c r="A1001" s="88" t="s">
        <v>1431</v>
      </c>
      <c r="B1001" s="90"/>
      <c r="C1001" s="88" t="s">
        <v>1443</v>
      </c>
      <c r="D1001" s="90"/>
      <c r="E1001" s="88" t="s">
        <v>1444</v>
      </c>
      <c r="F1001" s="89"/>
      <c r="G1001" s="89"/>
      <c r="H1001" s="89"/>
      <c r="I1001" s="90"/>
      <c r="J1001" s="88" t="s">
        <v>13</v>
      </c>
      <c r="K1001" s="89"/>
      <c r="L1001" s="89"/>
      <c r="M1001" s="90"/>
      <c r="N1001" s="88" t="s">
        <v>26</v>
      </c>
      <c r="O1001" s="89"/>
      <c r="P1001" s="90"/>
      <c r="Q1001" s="133">
        <v>1200</v>
      </c>
      <c r="R1001" s="134"/>
      <c r="S1001" s="5" t="s">
        <v>27</v>
      </c>
      <c r="T1001" s="6"/>
      <c r="U1001" s="6"/>
      <c r="V1001" s="5" t="s">
        <v>23</v>
      </c>
      <c r="W1001" s="12">
        <v>6771862</v>
      </c>
      <c r="X1001" s="6"/>
      <c r="Y1001" s="6"/>
    </row>
    <row r="1002" spans="1:25" ht="15" customHeight="1" x14ac:dyDescent="0.2">
      <c r="A1002" s="88" t="s">
        <v>1431</v>
      </c>
      <c r="B1002" s="90"/>
      <c r="C1002" s="88" t="s">
        <v>1445</v>
      </c>
      <c r="D1002" s="90"/>
      <c r="E1002" s="88" t="s">
        <v>1437</v>
      </c>
      <c r="F1002" s="89"/>
      <c r="G1002" s="89"/>
      <c r="H1002" s="89"/>
      <c r="I1002" s="90"/>
      <c r="J1002" s="88" t="s">
        <v>13</v>
      </c>
      <c r="K1002" s="89"/>
      <c r="L1002" s="89"/>
      <c r="M1002" s="90"/>
      <c r="N1002" s="88" t="s">
        <v>26</v>
      </c>
      <c r="O1002" s="89"/>
      <c r="P1002" s="90"/>
      <c r="Q1002" s="133">
        <v>1200</v>
      </c>
      <c r="R1002" s="134"/>
      <c r="S1002" s="5" t="s">
        <v>16</v>
      </c>
      <c r="T1002" s="6"/>
      <c r="U1002" s="6"/>
      <c r="V1002" s="5" t="s">
        <v>23</v>
      </c>
      <c r="W1002" s="12">
        <v>8382220</v>
      </c>
      <c r="X1002" s="6"/>
      <c r="Y1002" s="6"/>
    </row>
    <row r="1003" spans="1:25" ht="15" customHeight="1" x14ac:dyDescent="0.2">
      <c r="A1003" s="88" t="s">
        <v>1431</v>
      </c>
      <c r="B1003" s="90"/>
      <c r="C1003" s="88" t="s">
        <v>1446</v>
      </c>
      <c r="D1003" s="90"/>
      <c r="E1003" s="88" t="s">
        <v>1447</v>
      </c>
      <c r="F1003" s="89"/>
      <c r="G1003" s="89"/>
      <c r="H1003" s="89"/>
      <c r="I1003" s="90"/>
      <c r="J1003" s="88" t="s">
        <v>13</v>
      </c>
      <c r="K1003" s="89"/>
      <c r="L1003" s="89"/>
      <c r="M1003" s="90"/>
      <c r="N1003" s="88" t="s">
        <v>26</v>
      </c>
      <c r="O1003" s="89"/>
      <c r="P1003" s="90"/>
      <c r="Q1003" s="133">
        <v>900</v>
      </c>
      <c r="R1003" s="134"/>
      <c r="S1003" s="5" t="s">
        <v>16</v>
      </c>
      <c r="T1003" s="6"/>
      <c r="U1003" s="6"/>
      <c r="V1003" s="5" t="s">
        <v>23</v>
      </c>
      <c r="W1003" s="12">
        <v>5255099</v>
      </c>
      <c r="X1003" s="6"/>
      <c r="Y1003" s="6"/>
    </row>
    <row r="1004" spans="1:25" ht="15" customHeight="1" x14ac:dyDescent="0.2">
      <c r="A1004" s="88" t="s">
        <v>1431</v>
      </c>
      <c r="B1004" s="90"/>
      <c r="C1004" s="88" t="s">
        <v>1446</v>
      </c>
      <c r="D1004" s="90"/>
      <c r="E1004" s="88" t="s">
        <v>1448</v>
      </c>
      <c r="F1004" s="89"/>
      <c r="G1004" s="89"/>
      <c r="H1004" s="89"/>
      <c r="I1004" s="90"/>
      <c r="J1004" s="88" t="s">
        <v>13</v>
      </c>
      <c r="K1004" s="89"/>
      <c r="L1004" s="89"/>
      <c r="M1004" s="90"/>
      <c r="N1004" s="88" t="s">
        <v>26</v>
      </c>
      <c r="O1004" s="89"/>
      <c r="P1004" s="90"/>
      <c r="Q1004" s="133">
        <v>900</v>
      </c>
      <c r="R1004" s="134"/>
      <c r="S1004" s="5" t="s">
        <v>16</v>
      </c>
      <c r="T1004" s="6"/>
      <c r="U1004" s="6"/>
      <c r="V1004" s="5" t="s">
        <v>23</v>
      </c>
      <c r="W1004" s="12">
        <v>6815014</v>
      </c>
      <c r="X1004" s="6"/>
      <c r="Y1004" s="6"/>
    </row>
    <row r="1005" spans="1:25" ht="15" customHeight="1" x14ac:dyDescent="0.2">
      <c r="A1005" s="88" t="s">
        <v>1431</v>
      </c>
      <c r="B1005" s="90"/>
      <c r="C1005" s="88" t="s">
        <v>1449</v>
      </c>
      <c r="D1005" s="90"/>
      <c r="E1005" s="88" t="s">
        <v>1450</v>
      </c>
      <c r="F1005" s="89"/>
      <c r="G1005" s="89"/>
      <c r="H1005" s="89"/>
      <c r="I1005" s="90"/>
      <c r="J1005" s="88" t="s">
        <v>13</v>
      </c>
      <c r="K1005" s="89"/>
      <c r="L1005" s="89"/>
      <c r="M1005" s="90"/>
      <c r="N1005" s="88" t="s">
        <v>26</v>
      </c>
      <c r="O1005" s="89"/>
      <c r="P1005" s="90"/>
      <c r="Q1005" s="88" t="s">
        <v>181</v>
      </c>
      <c r="R1005" s="90"/>
      <c r="S1005" s="5" t="s">
        <v>16</v>
      </c>
      <c r="T1005" s="6"/>
      <c r="U1005" s="6"/>
      <c r="V1005" s="5" t="s">
        <v>17</v>
      </c>
      <c r="W1005" s="12">
        <v>9795890</v>
      </c>
      <c r="X1005" s="6"/>
      <c r="Y1005" s="6"/>
    </row>
    <row r="1006" spans="1:25" ht="15" customHeight="1" x14ac:dyDescent="0.2">
      <c r="A1006" s="88" t="s">
        <v>1431</v>
      </c>
      <c r="B1006" s="90"/>
      <c r="C1006" s="88" t="s">
        <v>1451</v>
      </c>
      <c r="D1006" s="90"/>
      <c r="E1006" s="88" t="s">
        <v>1452</v>
      </c>
      <c r="F1006" s="89"/>
      <c r="G1006" s="89"/>
      <c r="H1006" s="89"/>
      <c r="I1006" s="90"/>
      <c r="J1006" s="88" t="s">
        <v>13</v>
      </c>
      <c r="K1006" s="89"/>
      <c r="L1006" s="89"/>
      <c r="M1006" s="90"/>
      <c r="N1006" s="88" t="s">
        <v>26</v>
      </c>
      <c r="O1006" s="89"/>
      <c r="P1006" s="90"/>
      <c r="Q1006" s="88" t="s">
        <v>181</v>
      </c>
      <c r="R1006" s="90"/>
      <c r="S1006" s="5" t="s">
        <v>16</v>
      </c>
      <c r="T1006" s="6"/>
      <c r="U1006" s="6"/>
      <c r="V1006" s="5" t="s">
        <v>17</v>
      </c>
      <c r="W1006" s="12">
        <v>8733874</v>
      </c>
      <c r="X1006" s="6"/>
      <c r="Y1006" s="6"/>
    </row>
    <row r="1007" spans="1:25" ht="15" customHeight="1" x14ac:dyDescent="0.2">
      <c r="A1007" s="88" t="s">
        <v>1431</v>
      </c>
      <c r="B1007" s="90"/>
      <c r="C1007" s="88" t="s">
        <v>1453</v>
      </c>
      <c r="D1007" s="90"/>
      <c r="E1007" s="88" t="s">
        <v>1454</v>
      </c>
      <c r="F1007" s="89"/>
      <c r="G1007" s="89"/>
      <c r="H1007" s="89"/>
      <c r="I1007" s="90"/>
      <c r="J1007" s="88" t="s">
        <v>13</v>
      </c>
      <c r="K1007" s="89"/>
      <c r="L1007" s="89"/>
      <c r="M1007" s="90"/>
      <c r="N1007" s="88" t="s">
        <v>26</v>
      </c>
      <c r="O1007" s="89"/>
      <c r="P1007" s="90"/>
      <c r="Q1007" s="88" t="s">
        <v>181</v>
      </c>
      <c r="R1007" s="90"/>
      <c r="S1007" s="5" t="s">
        <v>16</v>
      </c>
      <c r="T1007" s="6"/>
      <c r="U1007" s="6"/>
      <c r="V1007" s="5" t="s">
        <v>17</v>
      </c>
      <c r="W1007" s="12">
        <v>9835405</v>
      </c>
      <c r="X1007" s="6"/>
      <c r="Y1007" s="6"/>
    </row>
    <row r="1008" spans="1:25" ht="15" customHeight="1" x14ac:dyDescent="0.2">
      <c r="A1008" s="88" t="s">
        <v>1431</v>
      </c>
      <c r="B1008" s="90"/>
      <c r="C1008" s="88" t="s">
        <v>1455</v>
      </c>
      <c r="D1008" s="90"/>
      <c r="E1008" s="88" t="s">
        <v>1456</v>
      </c>
      <c r="F1008" s="89"/>
      <c r="G1008" s="89"/>
      <c r="H1008" s="89"/>
      <c r="I1008" s="90"/>
      <c r="J1008" s="88" t="s">
        <v>13</v>
      </c>
      <c r="K1008" s="89"/>
      <c r="L1008" s="89"/>
      <c r="M1008" s="90"/>
      <c r="N1008" s="88" t="s">
        <v>26</v>
      </c>
      <c r="O1008" s="89"/>
      <c r="P1008" s="90"/>
      <c r="Q1008" s="133">
        <v>1300</v>
      </c>
      <c r="R1008" s="134"/>
      <c r="S1008" s="5" t="s">
        <v>27</v>
      </c>
      <c r="T1008" s="6"/>
      <c r="U1008" s="6"/>
      <c r="V1008" s="5" t="s">
        <v>23</v>
      </c>
      <c r="W1008" s="12">
        <v>5870239</v>
      </c>
      <c r="X1008" s="6"/>
      <c r="Y1008" s="6"/>
    </row>
    <row r="1009" spans="1:25" ht="15" customHeight="1" x14ac:dyDescent="0.2">
      <c r="A1009" s="88" t="s">
        <v>1431</v>
      </c>
      <c r="B1009" s="90"/>
      <c r="C1009" s="88" t="s">
        <v>1455</v>
      </c>
      <c r="D1009" s="90"/>
      <c r="E1009" s="88" t="s">
        <v>1457</v>
      </c>
      <c r="F1009" s="89"/>
      <c r="G1009" s="89"/>
      <c r="H1009" s="89"/>
      <c r="I1009" s="90"/>
      <c r="J1009" s="88" t="s">
        <v>13</v>
      </c>
      <c r="K1009" s="89"/>
      <c r="L1009" s="89"/>
      <c r="M1009" s="90"/>
      <c r="N1009" s="88" t="s">
        <v>26</v>
      </c>
      <c r="O1009" s="89"/>
      <c r="P1009" s="90"/>
      <c r="Q1009" s="133">
        <v>1300</v>
      </c>
      <c r="R1009" s="134"/>
      <c r="S1009" s="5" t="s">
        <v>16</v>
      </c>
      <c r="T1009" s="6"/>
      <c r="U1009" s="6"/>
      <c r="V1009" s="5" t="s">
        <v>23</v>
      </c>
      <c r="W1009" s="12">
        <v>6415468</v>
      </c>
      <c r="X1009" s="6"/>
      <c r="Y1009" s="6"/>
    </row>
    <row r="1010" spans="1:25" ht="15" customHeight="1" x14ac:dyDescent="0.2">
      <c r="A1010" s="88" t="s">
        <v>1431</v>
      </c>
      <c r="B1010" s="90"/>
      <c r="C1010" s="88" t="s">
        <v>1458</v>
      </c>
      <c r="D1010" s="90"/>
      <c r="E1010" s="88" t="s">
        <v>1459</v>
      </c>
      <c r="F1010" s="89"/>
      <c r="G1010" s="89"/>
      <c r="H1010" s="89"/>
      <c r="I1010" s="90"/>
      <c r="J1010" s="88" t="s">
        <v>13</v>
      </c>
      <c r="K1010" s="89"/>
      <c r="L1010" s="89"/>
      <c r="M1010" s="90"/>
      <c r="N1010" s="88" t="s">
        <v>26</v>
      </c>
      <c r="O1010" s="89"/>
      <c r="P1010" s="90"/>
      <c r="Q1010" s="133">
        <v>1300</v>
      </c>
      <c r="R1010" s="134"/>
      <c r="S1010" s="5" t="s">
        <v>16</v>
      </c>
      <c r="T1010" s="6"/>
      <c r="U1010" s="6"/>
      <c r="V1010" s="5" t="s">
        <v>23</v>
      </c>
      <c r="W1010" s="12">
        <v>6830565</v>
      </c>
      <c r="X1010" s="6"/>
      <c r="Y1010" s="6"/>
    </row>
    <row r="1011" spans="1:25" ht="15" customHeight="1" x14ac:dyDescent="0.2">
      <c r="A1011" s="88" t="s">
        <v>1431</v>
      </c>
      <c r="B1011" s="90"/>
      <c r="C1011" s="88" t="s">
        <v>1460</v>
      </c>
      <c r="D1011" s="90"/>
      <c r="E1011" s="88" t="s">
        <v>1461</v>
      </c>
      <c r="F1011" s="89"/>
      <c r="G1011" s="89"/>
      <c r="H1011" s="89"/>
      <c r="I1011" s="90"/>
      <c r="J1011" s="88" t="s">
        <v>13</v>
      </c>
      <c r="K1011" s="89"/>
      <c r="L1011" s="89"/>
      <c r="M1011" s="90"/>
      <c r="N1011" s="88" t="s">
        <v>26</v>
      </c>
      <c r="O1011" s="89"/>
      <c r="P1011" s="90"/>
      <c r="Q1011" s="133">
        <v>1300</v>
      </c>
      <c r="R1011" s="134"/>
      <c r="S1011" s="5" t="s">
        <v>27</v>
      </c>
      <c r="T1011" s="6"/>
      <c r="U1011" s="6"/>
      <c r="V1011" s="5" t="s">
        <v>23</v>
      </c>
      <c r="W1011" s="12">
        <v>6884708</v>
      </c>
      <c r="X1011" s="6"/>
      <c r="Y1011" s="6"/>
    </row>
    <row r="1012" spans="1:25" ht="15" customHeight="1" x14ac:dyDescent="0.2">
      <c r="A1012" s="88" t="s">
        <v>1431</v>
      </c>
      <c r="B1012" s="90"/>
      <c r="C1012" s="88" t="s">
        <v>1460</v>
      </c>
      <c r="D1012" s="90"/>
      <c r="E1012" s="88" t="s">
        <v>1462</v>
      </c>
      <c r="F1012" s="89"/>
      <c r="G1012" s="89"/>
      <c r="H1012" s="89"/>
      <c r="I1012" s="90"/>
      <c r="J1012" s="88" t="s">
        <v>13</v>
      </c>
      <c r="K1012" s="89"/>
      <c r="L1012" s="89"/>
      <c r="M1012" s="90"/>
      <c r="N1012" s="88" t="s">
        <v>26</v>
      </c>
      <c r="O1012" s="89"/>
      <c r="P1012" s="90"/>
      <c r="Q1012" s="133">
        <v>1300</v>
      </c>
      <c r="R1012" s="134"/>
      <c r="S1012" s="5" t="s">
        <v>16</v>
      </c>
      <c r="T1012" s="6"/>
      <c r="U1012" s="6"/>
      <c r="V1012" s="5" t="s">
        <v>23</v>
      </c>
      <c r="W1012" s="12">
        <v>7615733</v>
      </c>
      <c r="X1012" s="6"/>
      <c r="Y1012" s="6"/>
    </row>
    <row r="1013" spans="1:25" ht="15" customHeight="1" x14ac:dyDescent="0.2">
      <c r="A1013" s="88" t="s">
        <v>1431</v>
      </c>
      <c r="B1013" s="90"/>
      <c r="C1013" s="88" t="s">
        <v>1460</v>
      </c>
      <c r="D1013" s="90"/>
      <c r="E1013" s="88" t="s">
        <v>1459</v>
      </c>
      <c r="F1013" s="89"/>
      <c r="G1013" s="89"/>
      <c r="H1013" s="89"/>
      <c r="I1013" s="90"/>
      <c r="J1013" s="88" t="s">
        <v>13</v>
      </c>
      <c r="K1013" s="89"/>
      <c r="L1013" s="89"/>
      <c r="M1013" s="90"/>
      <c r="N1013" s="88" t="s">
        <v>26</v>
      </c>
      <c r="O1013" s="89"/>
      <c r="P1013" s="90"/>
      <c r="Q1013" s="133">
        <v>1300</v>
      </c>
      <c r="R1013" s="134"/>
      <c r="S1013" s="5" t="s">
        <v>16</v>
      </c>
      <c r="T1013" s="6"/>
      <c r="U1013" s="6"/>
      <c r="V1013" s="5" t="s">
        <v>23</v>
      </c>
      <c r="W1013" s="12">
        <v>8136519</v>
      </c>
      <c r="X1013" s="6"/>
      <c r="Y1013" s="6"/>
    </row>
    <row r="1014" spans="1:25" ht="15" customHeight="1" x14ac:dyDescent="0.2">
      <c r="A1014" s="88" t="s">
        <v>1431</v>
      </c>
      <c r="B1014" s="90"/>
      <c r="C1014" s="88" t="s">
        <v>1460</v>
      </c>
      <c r="D1014" s="90"/>
      <c r="E1014" s="88" t="s">
        <v>1463</v>
      </c>
      <c r="F1014" s="89"/>
      <c r="G1014" s="89"/>
      <c r="H1014" s="89"/>
      <c r="I1014" s="90"/>
      <c r="J1014" s="88" t="s">
        <v>13</v>
      </c>
      <c r="K1014" s="89"/>
      <c r="L1014" s="89"/>
      <c r="M1014" s="90"/>
      <c r="N1014" s="88" t="s">
        <v>26</v>
      </c>
      <c r="O1014" s="89"/>
      <c r="P1014" s="90"/>
      <c r="Q1014" s="133">
        <v>1300</v>
      </c>
      <c r="R1014" s="134"/>
      <c r="S1014" s="5" t="s">
        <v>16</v>
      </c>
      <c r="T1014" s="6"/>
      <c r="U1014" s="6"/>
      <c r="V1014" s="5" t="s">
        <v>23</v>
      </c>
      <c r="W1014" s="12">
        <v>5546847</v>
      </c>
      <c r="X1014" s="6"/>
      <c r="Y1014" s="6"/>
    </row>
    <row r="1015" spans="1:25" ht="15" customHeight="1" x14ac:dyDescent="0.2">
      <c r="A1015" s="88" t="s">
        <v>1431</v>
      </c>
      <c r="B1015" s="90"/>
      <c r="C1015" s="88" t="s">
        <v>1464</v>
      </c>
      <c r="D1015" s="90"/>
      <c r="E1015" s="88" t="s">
        <v>1465</v>
      </c>
      <c r="F1015" s="89"/>
      <c r="G1015" s="89"/>
      <c r="H1015" s="89"/>
      <c r="I1015" s="90"/>
      <c r="J1015" s="88" t="s">
        <v>13</v>
      </c>
      <c r="K1015" s="89"/>
      <c r="L1015" s="89"/>
      <c r="M1015" s="90"/>
      <c r="N1015" s="88" t="s">
        <v>26</v>
      </c>
      <c r="O1015" s="89"/>
      <c r="P1015" s="90"/>
      <c r="Q1015" s="133">
        <v>1300</v>
      </c>
      <c r="R1015" s="134"/>
      <c r="S1015" s="5" t="s">
        <v>16</v>
      </c>
      <c r="T1015" s="6"/>
      <c r="U1015" s="6"/>
      <c r="V1015" s="5" t="s">
        <v>23</v>
      </c>
      <c r="W1015" s="12">
        <v>8248984</v>
      </c>
      <c r="X1015" s="6"/>
      <c r="Y1015" s="6"/>
    </row>
    <row r="1016" spans="1:25" ht="15" customHeight="1" x14ac:dyDescent="0.2">
      <c r="A1016" s="88" t="s">
        <v>1431</v>
      </c>
      <c r="B1016" s="90"/>
      <c r="C1016" s="88" t="s">
        <v>1466</v>
      </c>
      <c r="D1016" s="90"/>
      <c r="E1016" s="88" t="s">
        <v>1459</v>
      </c>
      <c r="F1016" s="89"/>
      <c r="G1016" s="89"/>
      <c r="H1016" s="89"/>
      <c r="I1016" s="90"/>
      <c r="J1016" s="88" t="s">
        <v>13</v>
      </c>
      <c r="K1016" s="89"/>
      <c r="L1016" s="89"/>
      <c r="M1016" s="90"/>
      <c r="N1016" s="88" t="s">
        <v>26</v>
      </c>
      <c r="O1016" s="89"/>
      <c r="P1016" s="90"/>
      <c r="Q1016" s="133">
        <v>1300</v>
      </c>
      <c r="R1016" s="134"/>
      <c r="S1016" s="5" t="s">
        <v>16</v>
      </c>
      <c r="T1016" s="6"/>
      <c r="U1016" s="6"/>
      <c r="V1016" s="5" t="s">
        <v>23</v>
      </c>
      <c r="W1016" s="12">
        <v>6534393</v>
      </c>
      <c r="X1016" s="6"/>
      <c r="Y1016" s="6"/>
    </row>
    <row r="1017" spans="1:25" ht="15" customHeight="1" x14ac:dyDescent="0.2">
      <c r="A1017" s="88" t="s">
        <v>1431</v>
      </c>
      <c r="B1017" s="90"/>
      <c r="C1017" s="88" t="s">
        <v>1467</v>
      </c>
      <c r="D1017" s="90"/>
      <c r="E1017" s="88" t="s">
        <v>1468</v>
      </c>
      <c r="F1017" s="89"/>
      <c r="G1017" s="89"/>
      <c r="H1017" s="89"/>
      <c r="I1017" s="90"/>
      <c r="J1017" s="88" t="s">
        <v>13</v>
      </c>
      <c r="K1017" s="89"/>
      <c r="L1017" s="89"/>
      <c r="M1017" s="90"/>
      <c r="N1017" s="88" t="s">
        <v>26</v>
      </c>
      <c r="O1017" s="89"/>
      <c r="P1017" s="90"/>
      <c r="Q1017" s="133">
        <v>500</v>
      </c>
      <c r="R1017" s="134"/>
      <c r="S1017" s="5" t="s">
        <v>70</v>
      </c>
      <c r="T1017" s="6"/>
      <c r="U1017" s="6"/>
      <c r="V1017" s="5" t="s">
        <v>23</v>
      </c>
      <c r="W1017" s="12">
        <v>7063502</v>
      </c>
      <c r="X1017" s="6"/>
      <c r="Y1017" s="6"/>
    </row>
    <row r="1018" spans="1:25" ht="15" customHeight="1" x14ac:dyDescent="0.2">
      <c r="A1018" s="88" t="s">
        <v>1431</v>
      </c>
      <c r="B1018" s="90"/>
      <c r="C1018" s="88" t="s">
        <v>1469</v>
      </c>
      <c r="D1018" s="90"/>
      <c r="E1018" s="88" t="s">
        <v>1470</v>
      </c>
      <c r="F1018" s="89"/>
      <c r="G1018" s="89"/>
      <c r="H1018" s="89"/>
      <c r="I1018" s="90"/>
      <c r="J1018" s="88" t="s">
        <v>13</v>
      </c>
      <c r="K1018" s="89"/>
      <c r="L1018" s="89"/>
      <c r="M1018" s="90"/>
      <c r="N1018" s="88" t="s">
        <v>26</v>
      </c>
      <c r="O1018" s="89"/>
      <c r="P1018" s="90"/>
      <c r="Q1018" s="133">
        <v>500</v>
      </c>
      <c r="R1018" s="134"/>
      <c r="S1018" s="5" t="s">
        <v>70</v>
      </c>
      <c r="T1018" s="6"/>
      <c r="U1018" s="6"/>
      <c r="V1018" s="5" t="s">
        <v>23</v>
      </c>
      <c r="W1018" s="12">
        <v>7491964</v>
      </c>
      <c r="X1018" s="6"/>
      <c r="Y1018" s="6"/>
    </row>
    <row r="1019" spans="1:25" ht="15" customHeight="1" x14ac:dyDescent="0.2">
      <c r="A1019" s="88" t="s">
        <v>1431</v>
      </c>
      <c r="B1019" s="90"/>
      <c r="C1019" s="88" t="s">
        <v>1469</v>
      </c>
      <c r="D1019" s="90"/>
      <c r="E1019" s="88" t="s">
        <v>1471</v>
      </c>
      <c r="F1019" s="89"/>
      <c r="G1019" s="89"/>
      <c r="H1019" s="89"/>
      <c r="I1019" s="90"/>
      <c r="J1019" s="88" t="s">
        <v>599</v>
      </c>
      <c r="K1019" s="89"/>
      <c r="L1019" s="89"/>
      <c r="M1019" s="90"/>
      <c r="N1019" s="88" t="s">
        <v>26</v>
      </c>
      <c r="O1019" s="89"/>
      <c r="P1019" s="90"/>
      <c r="Q1019" s="133">
        <v>500</v>
      </c>
      <c r="R1019" s="134"/>
      <c r="S1019" s="5" t="s">
        <v>70</v>
      </c>
      <c r="T1019" s="6"/>
      <c r="U1019" s="6"/>
      <c r="V1019" s="5" t="s">
        <v>23</v>
      </c>
      <c r="W1019" s="12">
        <v>5735737</v>
      </c>
      <c r="X1019" s="6"/>
      <c r="Y1019" s="6"/>
    </row>
    <row r="1020" spans="1:25" ht="15" customHeight="1" x14ac:dyDescent="0.2">
      <c r="A1020" s="88" t="s">
        <v>1431</v>
      </c>
      <c r="B1020" s="90"/>
      <c r="C1020" s="88" t="s">
        <v>1472</v>
      </c>
      <c r="D1020" s="90"/>
      <c r="E1020" s="88" t="s">
        <v>1473</v>
      </c>
      <c r="F1020" s="89"/>
      <c r="G1020" s="89"/>
      <c r="H1020" s="89"/>
      <c r="I1020" s="90"/>
      <c r="J1020" s="88" t="s">
        <v>13</v>
      </c>
      <c r="K1020" s="89"/>
      <c r="L1020" s="89"/>
      <c r="M1020" s="90"/>
      <c r="N1020" s="88" t="s">
        <v>26</v>
      </c>
      <c r="O1020" s="89"/>
      <c r="P1020" s="90"/>
      <c r="Q1020" s="133">
        <v>1500</v>
      </c>
      <c r="R1020" s="134"/>
      <c r="S1020" s="5" t="s">
        <v>16</v>
      </c>
      <c r="T1020" s="6"/>
      <c r="U1020" s="6"/>
      <c r="V1020" s="5" t="s">
        <v>23</v>
      </c>
      <c r="W1020" s="12">
        <v>5656631</v>
      </c>
      <c r="X1020" s="6"/>
      <c r="Y1020" s="6"/>
    </row>
    <row r="1021" spans="1:25" ht="15" customHeight="1" x14ac:dyDescent="0.2">
      <c r="A1021" s="88" t="s">
        <v>1431</v>
      </c>
      <c r="B1021" s="90"/>
      <c r="C1021" s="88" t="s">
        <v>1474</v>
      </c>
      <c r="D1021" s="90"/>
      <c r="E1021" s="88" t="s">
        <v>1475</v>
      </c>
      <c r="F1021" s="89"/>
      <c r="G1021" s="89"/>
      <c r="H1021" s="89"/>
      <c r="I1021" s="90"/>
      <c r="J1021" s="88" t="s">
        <v>13</v>
      </c>
      <c r="K1021" s="89"/>
      <c r="L1021" s="89"/>
      <c r="M1021" s="90"/>
      <c r="N1021" s="88" t="s">
        <v>26</v>
      </c>
      <c r="O1021" s="89"/>
      <c r="P1021" s="90"/>
      <c r="Q1021" s="133">
        <v>1500</v>
      </c>
      <c r="R1021" s="134"/>
      <c r="S1021" s="5" t="s">
        <v>1101</v>
      </c>
      <c r="T1021" s="6"/>
      <c r="U1021" s="6"/>
      <c r="V1021" s="5" t="s">
        <v>23</v>
      </c>
      <c r="W1021" s="12">
        <v>8725569</v>
      </c>
      <c r="X1021" s="6"/>
      <c r="Y1021" s="6"/>
    </row>
    <row r="1022" spans="1:25" ht="15" customHeight="1" x14ac:dyDescent="0.2">
      <c r="A1022" s="88" t="s">
        <v>1431</v>
      </c>
      <c r="B1022" s="90"/>
      <c r="C1022" s="88" t="s">
        <v>1474</v>
      </c>
      <c r="D1022" s="90"/>
      <c r="E1022" s="88" t="s">
        <v>1465</v>
      </c>
      <c r="F1022" s="89"/>
      <c r="G1022" s="89"/>
      <c r="H1022" s="89"/>
      <c r="I1022" s="90"/>
      <c r="J1022" s="88" t="s">
        <v>13</v>
      </c>
      <c r="K1022" s="89"/>
      <c r="L1022" s="89"/>
      <c r="M1022" s="90"/>
      <c r="N1022" s="88" t="s">
        <v>26</v>
      </c>
      <c r="O1022" s="89"/>
      <c r="P1022" s="90"/>
      <c r="Q1022" s="133">
        <v>1500</v>
      </c>
      <c r="R1022" s="134"/>
      <c r="S1022" s="5" t="s">
        <v>1101</v>
      </c>
      <c r="T1022" s="6"/>
      <c r="U1022" s="6"/>
      <c r="V1022" s="5" t="s">
        <v>23</v>
      </c>
      <c r="W1022" s="12">
        <v>7760969</v>
      </c>
      <c r="X1022" s="6"/>
      <c r="Y1022" s="6"/>
    </row>
    <row r="1023" spans="1:25" ht="15" customHeight="1" x14ac:dyDescent="0.2">
      <c r="A1023" s="88" t="s">
        <v>1431</v>
      </c>
      <c r="B1023" s="90"/>
      <c r="C1023" s="88" t="s">
        <v>1476</v>
      </c>
      <c r="D1023" s="90"/>
      <c r="E1023" s="88" t="s">
        <v>1477</v>
      </c>
      <c r="F1023" s="89"/>
      <c r="G1023" s="89"/>
      <c r="H1023" s="89"/>
      <c r="I1023" s="90"/>
      <c r="J1023" s="88" t="s">
        <v>13</v>
      </c>
      <c r="K1023" s="89"/>
      <c r="L1023" s="89"/>
      <c r="M1023" s="90"/>
      <c r="N1023" s="88" t="s">
        <v>26</v>
      </c>
      <c r="O1023" s="89"/>
      <c r="P1023" s="90"/>
      <c r="Q1023" s="133">
        <v>2200</v>
      </c>
      <c r="R1023" s="134"/>
      <c r="S1023" s="5" t="s">
        <v>814</v>
      </c>
      <c r="T1023" s="6"/>
      <c r="U1023" s="6"/>
      <c r="V1023" s="5" t="s">
        <v>106</v>
      </c>
      <c r="W1023" s="12">
        <v>29108692</v>
      </c>
      <c r="X1023" s="6"/>
      <c r="Y1023" s="6"/>
    </row>
    <row r="1024" spans="1:25" ht="15" customHeight="1" x14ac:dyDescent="0.2">
      <c r="A1024" s="88" t="s">
        <v>1431</v>
      </c>
      <c r="B1024" s="90"/>
      <c r="C1024" s="88" t="s">
        <v>1476</v>
      </c>
      <c r="D1024" s="90"/>
      <c r="E1024" s="88" t="s">
        <v>1478</v>
      </c>
      <c r="F1024" s="89"/>
      <c r="G1024" s="89"/>
      <c r="H1024" s="89"/>
      <c r="I1024" s="90"/>
      <c r="J1024" s="88" t="s">
        <v>13</v>
      </c>
      <c r="K1024" s="89"/>
      <c r="L1024" s="89"/>
      <c r="M1024" s="90"/>
      <c r="N1024" s="88" t="s">
        <v>26</v>
      </c>
      <c r="O1024" s="89"/>
      <c r="P1024" s="90"/>
      <c r="Q1024" s="133">
        <v>2300</v>
      </c>
      <c r="R1024" s="134"/>
      <c r="S1024" s="5" t="s">
        <v>814</v>
      </c>
      <c r="T1024" s="6"/>
      <c r="U1024" s="6"/>
      <c r="V1024" s="5" t="s">
        <v>106</v>
      </c>
      <c r="W1024" s="12">
        <v>33856651</v>
      </c>
      <c r="X1024" s="6"/>
      <c r="Y1024" s="6"/>
    </row>
    <row r="1025" spans="1:25" ht="15" customHeight="1" x14ac:dyDescent="0.2">
      <c r="A1025" s="88" t="s">
        <v>1431</v>
      </c>
      <c r="B1025" s="90"/>
      <c r="C1025" s="88" t="s">
        <v>1479</v>
      </c>
      <c r="D1025" s="90"/>
      <c r="E1025" s="88" t="s">
        <v>1480</v>
      </c>
      <c r="F1025" s="89"/>
      <c r="G1025" s="89"/>
      <c r="H1025" s="89"/>
      <c r="I1025" s="90"/>
      <c r="J1025" s="88" t="s">
        <v>13</v>
      </c>
      <c r="K1025" s="89"/>
      <c r="L1025" s="89"/>
      <c r="M1025" s="90"/>
      <c r="N1025" s="88" t="s">
        <v>26</v>
      </c>
      <c r="O1025" s="89"/>
      <c r="P1025" s="90"/>
      <c r="Q1025" s="133">
        <v>2200</v>
      </c>
      <c r="R1025" s="134"/>
      <c r="S1025" s="5" t="s">
        <v>814</v>
      </c>
      <c r="T1025" s="6"/>
      <c r="U1025" s="6"/>
      <c r="V1025" s="5" t="s">
        <v>106</v>
      </c>
      <c r="W1025" s="12">
        <v>13268165</v>
      </c>
      <c r="X1025" s="6"/>
      <c r="Y1025" s="6"/>
    </row>
    <row r="1026" spans="1:25" ht="15" customHeight="1" x14ac:dyDescent="0.2">
      <c r="A1026" s="88" t="s">
        <v>1431</v>
      </c>
      <c r="B1026" s="90"/>
      <c r="C1026" s="88" t="s">
        <v>1481</v>
      </c>
      <c r="D1026" s="90"/>
      <c r="E1026" s="88" t="s">
        <v>1482</v>
      </c>
      <c r="F1026" s="89"/>
      <c r="G1026" s="89"/>
      <c r="H1026" s="89"/>
      <c r="I1026" s="90"/>
      <c r="J1026" s="88" t="s">
        <v>13</v>
      </c>
      <c r="K1026" s="89"/>
      <c r="L1026" s="89"/>
      <c r="M1026" s="90"/>
      <c r="N1026" s="88" t="s">
        <v>26</v>
      </c>
      <c r="O1026" s="89"/>
      <c r="P1026" s="90"/>
      <c r="Q1026" s="133">
        <v>2300</v>
      </c>
      <c r="R1026" s="134"/>
      <c r="S1026" s="5" t="s">
        <v>814</v>
      </c>
      <c r="T1026" s="6"/>
      <c r="U1026" s="6"/>
      <c r="V1026" s="5" t="s">
        <v>23</v>
      </c>
      <c r="W1026" s="12">
        <v>28638788</v>
      </c>
      <c r="X1026" s="6"/>
      <c r="Y1026" s="6"/>
    </row>
    <row r="1027" spans="1:25" ht="15" customHeight="1" x14ac:dyDescent="0.2">
      <c r="A1027" s="88" t="s">
        <v>1431</v>
      </c>
      <c r="B1027" s="90"/>
      <c r="C1027" s="88" t="s">
        <v>1483</v>
      </c>
      <c r="D1027" s="90"/>
      <c r="E1027" s="88" t="s">
        <v>1484</v>
      </c>
      <c r="F1027" s="89"/>
      <c r="G1027" s="89"/>
      <c r="H1027" s="89"/>
      <c r="I1027" s="90"/>
      <c r="J1027" s="88" t="s">
        <v>599</v>
      </c>
      <c r="K1027" s="89"/>
      <c r="L1027" s="89"/>
      <c r="M1027" s="90"/>
      <c r="N1027" s="88" t="s">
        <v>26</v>
      </c>
      <c r="O1027" s="89"/>
      <c r="P1027" s="90"/>
      <c r="Q1027" s="133">
        <v>650</v>
      </c>
      <c r="R1027" s="134"/>
      <c r="S1027" s="5" t="s">
        <v>16</v>
      </c>
      <c r="T1027" s="6"/>
      <c r="U1027" s="6"/>
      <c r="V1027" s="5" t="s">
        <v>23</v>
      </c>
      <c r="W1027" s="12">
        <v>4596340</v>
      </c>
      <c r="X1027" s="6"/>
      <c r="Y1027" s="6"/>
    </row>
    <row r="1028" spans="1:25" ht="15" customHeight="1" x14ac:dyDescent="0.2">
      <c r="A1028" s="88" t="s">
        <v>1431</v>
      </c>
      <c r="B1028" s="90"/>
      <c r="C1028" s="88" t="s">
        <v>1485</v>
      </c>
      <c r="D1028" s="90"/>
      <c r="E1028" s="88" t="s">
        <v>1486</v>
      </c>
      <c r="F1028" s="89"/>
      <c r="G1028" s="89"/>
      <c r="H1028" s="89"/>
      <c r="I1028" s="90"/>
      <c r="J1028" s="88" t="s">
        <v>599</v>
      </c>
      <c r="K1028" s="89"/>
      <c r="L1028" s="89"/>
      <c r="M1028" s="90"/>
      <c r="N1028" s="88" t="s">
        <v>22</v>
      </c>
      <c r="O1028" s="89"/>
      <c r="P1028" s="90"/>
      <c r="Q1028" s="133">
        <v>900</v>
      </c>
      <c r="R1028" s="134"/>
      <c r="S1028" s="5" t="s">
        <v>16</v>
      </c>
      <c r="T1028" s="6"/>
      <c r="U1028" s="6"/>
      <c r="V1028" s="5" t="s">
        <v>23</v>
      </c>
      <c r="W1028" s="12">
        <v>6224245</v>
      </c>
      <c r="X1028" s="6"/>
      <c r="Y1028" s="6"/>
    </row>
    <row r="1029" spans="1:25" ht="15" customHeight="1" x14ac:dyDescent="0.2">
      <c r="A1029" s="88" t="s">
        <v>1431</v>
      </c>
      <c r="B1029" s="90"/>
      <c r="C1029" s="88" t="s">
        <v>1487</v>
      </c>
      <c r="D1029" s="90"/>
      <c r="E1029" s="88" t="s">
        <v>1488</v>
      </c>
      <c r="F1029" s="89"/>
      <c r="G1029" s="89"/>
      <c r="H1029" s="89"/>
      <c r="I1029" s="90"/>
      <c r="J1029" s="88" t="s">
        <v>599</v>
      </c>
      <c r="K1029" s="89"/>
      <c r="L1029" s="89"/>
      <c r="M1029" s="90"/>
      <c r="N1029" s="88" t="s">
        <v>22</v>
      </c>
      <c r="O1029" s="89"/>
      <c r="P1029" s="90"/>
      <c r="Q1029" s="133">
        <v>900</v>
      </c>
      <c r="R1029" s="134"/>
      <c r="S1029" s="5" t="s">
        <v>16</v>
      </c>
      <c r="T1029" s="6"/>
      <c r="U1029" s="6"/>
      <c r="V1029" s="5" t="s">
        <v>23</v>
      </c>
      <c r="W1029" s="12">
        <v>9327411</v>
      </c>
      <c r="X1029" s="6"/>
      <c r="Y1029" s="6"/>
    </row>
    <row r="1030" spans="1:25" ht="15" customHeight="1" x14ac:dyDescent="0.2">
      <c r="A1030" s="88" t="s">
        <v>1431</v>
      </c>
      <c r="B1030" s="90"/>
      <c r="C1030" s="88" t="s">
        <v>1489</v>
      </c>
      <c r="D1030" s="90"/>
      <c r="E1030" s="88" t="s">
        <v>1486</v>
      </c>
      <c r="F1030" s="89"/>
      <c r="G1030" s="89"/>
      <c r="H1030" s="89"/>
      <c r="I1030" s="90"/>
      <c r="J1030" s="88" t="s">
        <v>13</v>
      </c>
      <c r="K1030" s="89"/>
      <c r="L1030" s="89"/>
      <c r="M1030" s="90"/>
      <c r="N1030" s="88" t="s">
        <v>26</v>
      </c>
      <c r="O1030" s="89"/>
      <c r="P1030" s="90"/>
      <c r="Q1030" s="133">
        <v>900</v>
      </c>
      <c r="R1030" s="134"/>
      <c r="S1030" s="5" t="s">
        <v>16</v>
      </c>
      <c r="T1030" s="6"/>
      <c r="U1030" s="6"/>
      <c r="V1030" s="5" t="s">
        <v>23</v>
      </c>
      <c r="W1030" s="12">
        <v>6030072</v>
      </c>
      <c r="X1030" s="6"/>
      <c r="Y1030" s="6"/>
    </row>
    <row r="1031" spans="1:25" ht="15" customHeight="1" x14ac:dyDescent="0.2">
      <c r="A1031" s="88" t="s">
        <v>1431</v>
      </c>
      <c r="B1031" s="90"/>
      <c r="C1031" s="88" t="s">
        <v>1490</v>
      </c>
      <c r="D1031" s="90"/>
      <c r="E1031" s="88" t="s">
        <v>1491</v>
      </c>
      <c r="F1031" s="89"/>
      <c r="G1031" s="89"/>
      <c r="H1031" s="89"/>
      <c r="I1031" s="90"/>
      <c r="J1031" s="88" t="s">
        <v>599</v>
      </c>
      <c r="K1031" s="89"/>
      <c r="L1031" s="89"/>
      <c r="M1031" s="90"/>
      <c r="N1031" s="88" t="s">
        <v>22</v>
      </c>
      <c r="O1031" s="89"/>
      <c r="P1031" s="90"/>
      <c r="Q1031" s="133">
        <v>900</v>
      </c>
      <c r="R1031" s="134"/>
      <c r="S1031" s="5" t="s">
        <v>16</v>
      </c>
      <c r="T1031" s="6"/>
      <c r="U1031" s="6"/>
      <c r="V1031" s="5" t="s">
        <v>23</v>
      </c>
      <c r="W1031" s="12">
        <v>9885711</v>
      </c>
      <c r="X1031" s="6"/>
      <c r="Y1031" s="6"/>
    </row>
    <row r="1032" spans="1:25" ht="15" customHeight="1" x14ac:dyDescent="0.2">
      <c r="A1032" s="88" t="s">
        <v>1431</v>
      </c>
      <c r="B1032" s="90"/>
      <c r="C1032" s="88" t="s">
        <v>1492</v>
      </c>
      <c r="D1032" s="90"/>
      <c r="E1032" s="88" t="s">
        <v>1493</v>
      </c>
      <c r="F1032" s="89"/>
      <c r="G1032" s="89"/>
      <c r="H1032" s="89"/>
      <c r="I1032" s="90"/>
      <c r="J1032" s="88" t="s">
        <v>13</v>
      </c>
      <c r="K1032" s="89"/>
      <c r="L1032" s="89"/>
      <c r="M1032" s="90"/>
      <c r="N1032" s="88" t="s">
        <v>26</v>
      </c>
      <c r="O1032" s="89"/>
      <c r="P1032" s="90"/>
      <c r="Q1032" s="133">
        <v>900</v>
      </c>
      <c r="R1032" s="134"/>
      <c r="S1032" s="5" t="s">
        <v>16</v>
      </c>
      <c r="T1032" s="6"/>
      <c r="U1032" s="6"/>
      <c r="V1032" s="5" t="s">
        <v>23</v>
      </c>
      <c r="W1032" s="12">
        <v>3960172</v>
      </c>
      <c r="X1032" s="6"/>
      <c r="Y1032" s="6"/>
    </row>
    <row r="1033" spans="1:25" ht="15" customHeight="1" x14ac:dyDescent="0.2">
      <c r="A1033" s="88" t="s">
        <v>1431</v>
      </c>
      <c r="B1033" s="90"/>
      <c r="C1033" s="88" t="s">
        <v>1494</v>
      </c>
      <c r="D1033" s="90"/>
      <c r="E1033" s="88" t="s">
        <v>1495</v>
      </c>
      <c r="F1033" s="89"/>
      <c r="G1033" s="89"/>
      <c r="H1033" s="89"/>
      <c r="I1033" s="90"/>
      <c r="J1033" s="88" t="s">
        <v>599</v>
      </c>
      <c r="K1033" s="89"/>
      <c r="L1033" s="89"/>
      <c r="M1033" s="90"/>
      <c r="N1033" s="88" t="s">
        <v>22</v>
      </c>
      <c r="O1033" s="89"/>
      <c r="P1033" s="90"/>
      <c r="Q1033" s="133">
        <v>900</v>
      </c>
      <c r="R1033" s="134"/>
      <c r="S1033" s="5" t="s">
        <v>16</v>
      </c>
      <c r="T1033" s="6"/>
      <c r="U1033" s="6"/>
      <c r="V1033" s="5" t="s">
        <v>23</v>
      </c>
      <c r="W1033" s="12">
        <v>7436396</v>
      </c>
      <c r="X1033" s="6"/>
      <c r="Y1033" s="6"/>
    </row>
    <row r="1034" spans="1:25" ht="15" customHeight="1" x14ac:dyDescent="0.2">
      <c r="A1034" s="88" t="s">
        <v>1431</v>
      </c>
      <c r="B1034" s="90"/>
      <c r="C1034" s="88" t="s">
        <v>1496</v>
      </c>
      <c r="D1034" s="90"/>
      <c r="E1034" s="106"/>
      <c r="F1034" s="107"/>
      <c r="G1034" s="107"/>
      <c r="H1034" s="107"/>
      <c r="I1034" s="108"/>
      <c r="J1034" s="88" t="s">
        <v>1246</v>
      </c>
      <c r="K1034" s="89"/>
      <c r="L1034" s="89"/>
      <c r="M1034" s="90"/>
      <c r="N1034" s="106"/>
      <c r="O1034" s="107"/>
      <c r="P1034" s="108"/>
      <c r="Q1034" s="133">
        <v>2000</v>
      </c>
      <c r="R1034" s="134"/>
      <c r="S1034" s="5" t="s">
        <v>814</v>
      </c>
      <c r="T1034" s="6"/>
      <c r="U1034" s="6"/>
      <c r="V1034" s="5" t="s">
        <v>702</v>
      </c>
      <c r="W1034" s="12">
        <v>8444508</v>
      </c>
      <c r="X1034" s="6"/>
      <c r="Y1034" s="6"/>
    </row>
    <row r="1035" spans="1:25" ht="15" customHeight="1" x14ac:dyDescent="0.2">
      <c r="A1035" s="88" t="s">
        <v>1431</v>
      </c>
      <c r="B1035" s="90"/>
      <c r="C1035" s="88" t="s">
        <v>1497</v>
      </c>
      <c r="D1035" s="90"/>
      <c r="E1035" s="88" t="s">
        <v>1498</v>
      </c>
      <c r="F1035" s="89"/>
      <c r="G1035" s="89"/>
      <c r="H1035" s="89"/>
      <c r="I1035" s="90"/>
      <c r="J1035" s="88" t="s">
        <v>1246</v>
      </c>
      <c r="K1035" s="89"/>
      <c r="L1035" s="89"/>
      <c r="M1035" s="90"/>
      <c r="N1035" s="106"/>
      <c r="O1035" s="107"/>
      <c r="P1035" s="108"/>
      <c r="Q1035" s="133">
        <v>1400</v>
      </c>
      <c r="R1035" s="134"/>
      <c r="S1035" s="5" t="s">
        <v>814</v>
      </c>
      <c r="T1035" s="6"/>
      <c r="U1035" s="6"/>
      <c r="V1035" s="5" t="s">
        <v>702</v>
      </c>
      <c r="W1035" s="12">
        <v>5397336</v>
      </c>
      <c r="X1035" s="6"/>
      <c r="Y1035" s="6"/>
    </row>
    <row r="1036" spans="1:25" ht="15" customHeight="1" x14ac:dyDescent="0.2">
      <c r="A1036" s="88" t="s">
        <v>1431</v>
      </c>
      <c r="B1036" s="90"/>
      <c r="C1036" s="88" t="s">
        <v>1497</v>
      </c>
      <c r="D1036" s="90"/>
      <c r="E1036" s="88" t="s">
        <v>1498</v>
      </c>
      <c r="F1036" s="89"/>
      <c r="G1036" s="89"/>
      <c r="H1036" s="89"/>
      <c r="I1036" s="90"/>
      <c r="J1036" s="88" t="s">
        <v>1499</v>
      </c>
      <c r="K1036" s="89"/>
      <c r="L1036" s="89"/>
      <c r="M1036" s="90"/>
      <c r="N1036" s="106"/>
      <c r="O1036" s="107"/>
      <c r="P1036" s="108"/>
      <c r="Q1036" s="133">
        <v>1600</v>
      </c>
      <c r="R1036" s="134"/>
      <c r="S1036" s="5" t="s">
        <v>814</v>
      </c>
      <c r="T1036" s="6"/>
      <c r="U1036" s="6"/>
      <c r="V1036" s="5" t="s">
        <v>106</v>
      </c>
      <c r="W1036" s="12">
        <v>7398998</v>
      </c>
      <c r="X1036" s="6"/>
      <c r="Y1036" s="6"/>
    </row>
    <row r="1037" spans="1:25" ht="15" customHeight="1" x14ac:dyDescent="0.2">
      <c r="A1037" s="88" t="s">
        <v>1431</v>
      </c>
      <c r="B1037" s="90"/>
      <c r="C1037" s="88" t="s">
        <v>1497</v>
      </c>
      <c r="D1037" s="90"/>
      <c r="E1037" s="88" t="s">
        <v>1498</v>
      </c>
      <c r="F1037" s="89"/>
      <c r="G1037" s="89"/>
      <c r="H1037" s="89"/>
      <c r="I1037" s="90"/>
      <c r="J1037" s="88" t="s">
        <v>1246</v>
      </c>
      <c r="K1037" s="89"/>
      <c r="L1037" s="89"/>
      <c r="M1037" s="90"/>
      <c r="N1037" s="106"/>
      <c r="O1037" s="107"/>
      <c r="P1037" s="108"/>
      <c r="Q1037" s="133">
        <v>1600</v>
      </c>
      <c r="R1037" s="134"/>
      <c r="S1037" s="5" t="s">
        <v>814</v>
      </c>
      <c r="T1037" s="6"/>
      <c r="U1037" s="6"/>
      <c r="V1037" s="5" t="s">
        <v>106</v>
      </c>
      <c r="W1037" s="12">
        <v>6719863</v>
      </c>
      <c r="X1037" s="6"/>
      <c r="Y1037" s="6"/>
    </row>
    <row r="1038" spans="1:25" ht="15" customHeight="1" x14ac:dyDescent="0.2">
      <c r="A1038" s="88" t="s">
        <v>1431</v>
      </c>
      <c r="B1038" s="90"/>
      <c r="C1038" s="88" t="s">
        <v>1497</v>
      </c>
      <c r="D1038" s="90"/>
      <c r="E1038" s="88" t="s">
        <v>1500</v>
      </c>
      <c r="F1038" s="89"/>
      <c r="G1038" s="89"/>
      <c r="H1038" s="89"/>
      <c r="I1038" s="90"/>
      <c r="J1038" s="88" t="s">
        <v>1246</v>
      </c>
      <c r="K1038" s="89"/>
      <c r="L1038" s="89"/>
      <c r="M1038" s="90"/>
      <c r="N1038" s="106"/>
      <c r="O1038" s="107"/>
      <c r="P1038" s="108"/>
      <c r="Q1038" s="133">
        <v>2000</v>
      </c>
      <c r="R1038" s="134"/>
      <c r="S1038" s="5" t="s">
        <v>814</v>
      </c>
      <c r="T1038" s="6"/>
      <c r="U1038" s="6"/>
      <c r="V1038" s="5" t="s">
        <v>106</v>
      </c>
      <c r="W1038" s="12">
        <v>7899413</v>
      </c>
      <c r="X1038" s="6"/>
      <c r="Y1038" s="6"/>
    </row>
    <row r="1039" spans="1:25" ht="15" customHeight="1" x14ac:dyDescent="0.2">
      <c r="A1039" s="88" t="s">
        <v>1431</v>
      </c>
      <c r="B1039" s="90"/>
      <c r="C1039" s="88" t="s">
        <v>1501</v>
      </c>
      <c r="D1039" s="90"/>
      <c r="E1039" s="88" t="s">
        <v>1502</v>
      </c>
      <c r="F1039" s="89"/>
      <c r="G1039" s="89"/>
      <c r="H1039" s="89"/>
      <c r="I1039" s="90"/>
      <c r="J1039" s="88" t="s">
        <v>1499</v>
      </c>
      <c r="K1039" s="89"/>
      <c r="L1039" s="89"/>
      <c r="M1039" s="90"/>
      <c r="N1039" s="106"/>
      <c r="O1039" s="107"/>
      <c r="P1039" s="108"/>
      <c r="Q1039" s="133">
        <v>1200</v>
      </c>
      <c r="R1039" s="134"/>
      <c r="S1039" s="5" t="s">
        <v>119</v>
      </c>
      <c r="T1039" s="6"/>
      <c r="U1039" s="6"/>
      <c r="V1039" s="5" t="s">
        <v>702</v>
      </c>
      <c r="W1039" s="12">
        <v>5602864</v>
      </c>
      <c r="X1039" s="6"/>
      <c r="Y1039" s="6"/>
    </row>
    <row r="1040" spans="1:25" ht="15" customHeight="1" x14ac:dyDescent="0.2">
      <c r="A1040" s="88" t="s">
        <v>1431</v>
      </c>
      <c r="B1040" s="90"/>
      <c r="C1040" s="88" t="s">
        <v>1501</v>
      </c>
      <c r="D1040" s="90"/>
      <c r="E1040" s="88" t="s">
        <v>1502</v>
      </c>
      <c r="F1040" s="89"/>
      <c r="G1040" s="89"/>
      <c r="H1040" s="89"/>
      <c r="I1040" s="90"/>
      <c r="J1040" s="88" t="s">
        <v>1246</v>
      </c>
      <c r="K1040" s="89"/>
      <c r="L1040" s="89"/>
      <c r="M1040" s="90"/>
      <c r="N1040" s="106"/>
      <c r="O1040" s="107"/>
      <c r="P1040" s="108"/>
      <c r="Q1040" s="133">
        <v>1200</v>
      </c>
      <c r="R1040" s="134"/>
      <c r="S1040" s="5" t="s">
        <v>119</v>
      </c>
      <c r="T1040" s="6"/>
      <c r="U1040" s="6"/>
      <c r="V1040" s="5" t="s">
        <v>702</v>
      </c>
      <c r="W1040" s="12">
        <v>5066705</v>
      </c>
      <c r="X1040" s="6"/>
      <c r="Y1040" s="6"/>
    </row>
    <row r="1041" spans="1:25" ht="15" customHeight="1" x14ac:dyDescent="0.2">
      <c r="A1041" s="88" t="s">
        <v>1431</v>
      </c>
      <c r="B1041" s="90"/>
      <c r="C1041" s="88" t="s">
        <v>1503</v>
      </c>
      <c r="D1041" s="90"/>
      <c r="E1041" s="88" t="s">
        <v>1504</v>
      </c>
      <c r="F1041" s="89"/>
      <c r="G1041" s="89"/>
      <c r="H1041" s="89"/>
      <c r="I1041" s="90"/>
      <c r="J1041" s="88" t="s">
        <v>1499</v>
      </c>
      <c r="K1041" s="89"/>
      <c r="L1041" s="89"/>
      <c r="M1041" s="90"/>
      <c r="N1041" s="106"/>
      <c r="O1041" s="107"/>
      <c r="P1041" s="108"/>
      <c r="Q1041" s="133">
        <v>1400</v>
      </c>
      <c r="R1041" s="134"/>
      <c r="S1041" s="5" t="s">
        <v>16</v>
      </c>
      <c r="T1041" s="6"/>
      <c r="U1041" s="6"/>
      <c r="V1041" s="5" t="s">
        <v>702</v>
      </c>
      <c r="W1041" s="12">
        <v>5576056</v>
      </c>
      <c r="X1041" s="6"/>
      <c r="Y1041" s="6"/>
    </row>
    <row r="1042" spans="1:25" ht="15" customHeight="1" x14ac:dyDescent="0.2">
      <c r="A1042" s="88" t="s">
        <v>1431</v>
      </c>
      <c r="B1042" s="90"/>
      <c r="C1042" s="88" t="s">
        <v>1503</v>
      </c>
      <c r="D1042" s="90"/>
      <c r="E1042" s="88" t="s">
        <v>1504</v>
      </c>
      <c r="F1042" s="89"/>
      <c r="G1042" s="89"/>
      <c r="H1042" s="89"/>
      <c r="I1042" s="90"/>
      <c r="J1042" s="88" t="s">
        <v>1246</v>
      </c>
      <c r="K1042" s="89"/>
      <c r="L1042" s="89"/>
      <c r="M1042" s="90"/>
      <c r="N1042" s="106"/>
      <c r="O1042" s="107"/>
      <c r="P1042" s="108"/>
      <c r="Q1042" s="133">
        <v>1400</v>
      </c>
      <c r="R1042" s="134"/>
      <c r="S1042" s="5" t="s">
        <v>16</v>
      </c>
      <c r="T1042" s="6"/>
      <c r="U1042" s="6"/>
      <c r="V1042" s="5" t="s">
        <v>702</v>
      </c>
      <c r="W1042" s="12">
        <v>4396506</v>
      </c>
      <c r="X1042" s="6"/>
      <c r="Y1042" s="6"/>
    </row>
    <row r="1043" spans="1:25" ht="15" customHeight="1" x14ac:dyDescent="0.2">
      <c r="A1043" s="88" t="s">
        <v>1431</v>
      </c>
      <c r="B1043" s="90"/>
      <c r="C1043" s="88" t="s">
        <v>1505</v>
      </c>
      <c r="D1043" s="90"/>
      <c r="E1043" s="88" t="s">
        <v>1504</v>
      </c>
      <c r="F1043" s="89"/>
      <c r="G1043" s="89"/>
      <c r="H1043" s="89"/>
      <c r="I1043" s="90"/>
      <c r="J1043" s="88" t="s">
        <v>1499</v>
      </c>
      <c r="K1043" s="89"/>
      <c r="L1043" s="89"/>
      <c r="M1043" s="90"/>
      <c r="N1043" s="106"/>
      <c r="O1043" s="107"/>
      <c r="P1043" s="108"/>
      <c r="Q1043" s="133">
        <v>1400</v>
      </c>
      <c r="R1043" s="134"/>
      <c r="S1043" s="5" t="s">
        <v>16</v>
      </c>
      <c r="T1043" s="6"/>
      <c r="U1043" s="6"/>
      <c r="V1043" s="5" t="s">
        <v>702</v>
      </c>
      <c r="W1043" s="12">
        <v>5817328</v>
      </c>
      <c r="X1043" s="6"/>
      <c r="Y1043" s="6"/>
    </row>
    <row r="1044" spans="1:25" ht="15" customHeight="1" x14ac:dyDescent="0.2">
      <c r="A1044" s="88" t="s">
        <v>1431</v>
      </c>
      <c r="B1044" s="90"/>
      <c r="C1044" s="88" t="s">
        <v>1501</v>
      </c>
      <c r="D1044" s="90"/>
      <c r="E1044" s="133">
        <v>500</v>
      </c>
      <c r="F1044" s="135"/>
      <c r="G1044" s="135"/>
      <c r="H1044" s="135"/>
      <c r="I1044" s="134"/>
      <c r="J1044" s="88" t="s">
        <v>1499</v>
      </c>
      <c r="K1044" s="89"/>
      <c r="L1044" s="89"/>
      <c r="M1044" s="90"/>
      <c r="N1044" s="106"/>
      <c r="O1044" s="107"/>
      <c r="P1044" s="108"/>
      <c r="Q1044" s="133">
        <v>1200</v>
      </c>
      <c r="R1044" s="134"/>
      <c r="S1044" s="5" t="s">
        <v>27</v>
      </c>
      <c r="T1044" s="6"/>
      <c r="U1044" s="6"/>
      <c r="V1044" s="5" t="s">
        <v>702</v>
      </c>
      <c r="W1044" s="12">
        <v>4225910</v>
      </c>
      <c r="X1044" s="6"/>
      <c r="Y1044" s="6"/>
    </row>
    <row r="1045" spans="1:25" ht="15" customHeight="1" x14ac:dyDescent="0.2">
      <c r="A1045" s="88" t="s">
        <v>1431</v>
      </c>
      <c r="B1045" s="90"/>
      <c r="C1045" s="88" t="s">
        <v>1476</v>
      </c>
      <c r="D1045" s="90"/>
      <c r="E1045" s="88" t="s">
        <v>1506</v>
      </c>
      <c r="F1045" s="89"/>
      <c r="G1045" s="89"/>
      <c r="H1045" s="89"/>
      <c r="I1045" s="90"/>
      <c r="J1045" s="88" t="s">
        <v>1499</v>
      </c>
      <c r="K1045" s="89"/>
      <c r="L1045" s="89"/>
      <c r="M1045" s="90"/>
      <c r="N1045" s="106"/>
      <c r="O1045" s="107"/>
      <c r="P1045" s="108"/>
      <c r="Q1045" s="133">
        <v>2200</v>
      </c>
      <c r="R1045" s="134"/>
      <c r="S1045" s="5" t="s">
        <v>814</v>
      </c>
      <c r="T1045" s="6"/>
      <c r="U1045" s="6"/>
      <c r="V1045" s="5" t="s">
        <v>106</v>
      </c>
      <c r="W1045" s="12">
        <v>8776732</v>
      </c>
      <c r="X1045" s="6"/>
      <c r="Y1045" s="6"/>
    </row>
    <row r="1046" spans="1:25" ht="15" customHeight="1" x14ac:dyDescent="0.2">
      <c r="A1046" s="88" t="s">
        <v>1431</v>
      </c>
      <c r="B1046" s="90"/>
      <c r="C1046" s="88" t="s">
        <v>1476</v>
      </c>
      <c r="D1046" s="90"/>
      <c r="E1046" s="88" t="s">
        <v>1507</v>
      </c>
      <c r="F1046" s="89"/>
      <c r="G1046" s="89"/>
      <c r="H1046" s="89"/>
      <c r="I1046" s="90"/>
      <c r="J1046" s="88" t="s">
        <v>1499</v>
      </c>
      <c r="K1046" s="89"/>
      <c r="L1046" s="89"/>
      <c r="M1046" s="90"/>
      <c r="N1046" s="106"/>
      <c r="O1046" s="107"/>
      <c r="P1046" s="108"/>
      <c r="Q1046" s="133">
        <v>2200</v>
      </c>
      <c r="R1046" s="134"/>
      <c r="S1046" s="5" t="s">
        <v>814</v>
      </c>
      <c r="T1046" s="6"/>
      <c r="U1046" s="6"/>
      <c r="V1046" s="5" t="s">
        <v>106</v>
      </c>
      <c r="W1046" s="12">
        <v>8456499</v>
      </c>
      <c r="X1046" s="6"/>
      <c r="Y1046" s="6"/>
    </row>
    <row r="1047" spans="1:25" ht="15" customHeight="1" x14ac:dyDescent="0.2">
      <c r="A1047" s="88" t="s">
        <v>1431</v>
      </c>
      <c r="B1047" s="90"/>
      <c r="C1047" s="88" t="s">
        <v>1476</v>
      </c>
      <c r="D1047" s="90"/>
      <c r="E1047" s="88" t="s">
        <v>1508</v>
      </c>
      <c r="F1047" s="89"/>
      <c r="G1047" s="89"/>
      <c r="H1047" s="89"/>
      <c r="I1047" s="90"/>
      <c r="J1047" s="88" t="s">
        <v>1499</v>
      </c>
      <c r="K1047" s="89"/>
      <c r="L1047" s="89"/>
      <c r="M1047" s="90"/>
      <c r="N1047" s="106"/>
      <c r="O1047" s="107"/>
      <c r="P1047" s="108"/>
      <c r="Q1047" s="133">
        <v>2200</v>
      </c>
      <c r="R1047" s="134"/>
      <c r="S1047" s="5" t="s">
        <v>814</v>
      </c>
      <c r="T1047" s="6"/>
      <c r="U1047" s="6"/>
      <c r="V1047" s="5" t="s">
        <v>106</v>
      </c>
      <c r="W1047" s="12">
        <v>9479491</v>
      </c>
      <c r="X1047" s="6"/>
      <c r="Y1047" s="6"/>
    </row>
    <row r="1048" spans="1:25" ht="15" customHeight="1" x14ac:dyDescent="0.2">
      <c r="A1048" s="88" t="s">
        <v>1431</v>
      </c>
      <c r="B1048" s="90"/>
      <c r="C1048" s="88" t="s">
        <v>1509</v>
      </c>
      <c r="D1048" s="90"/>
      <c r="E1048" s="88" t="s">
        <v>1510</v>
      </c>
      <c r="F1048" s="89"/>
      <c r="G1048" s="89"/>
      <c r="H1048" s="89"/>
      <c r="I1048" s="90"/>
      <c r="J1048" s="88" t="s">
        <v>1499</v>
      </c>
      <c r="K1048" s="89"/>
      <c r="L1048" s="89"/>
      <c r="M1048" s="90"/>
      <c r="N1048" s="106"/>
      <c r="O1048" s="107"/>
      <c r="P1048" s="108"/>
      <c r="Q1048" s="106"/>
      <c r="R1048" s="108"/>
      <c r="S1048" s="5" t="s">
        <v>27</v>
      </c>
      <c r="T1048" s="6"/>
      <c r="U1048" s="6"/>
      <c r="V1048" s="5" t="s">
        <v>17</v>
      </c>
      <c r="W1048" s="12">
        <v>7676826</v>
      </c>
      <c r="X1048" s="6"/>
      <c r="Y1048" s="6"/>
    </row>
    <row r="1049" spans="1:25" ht="15" customHeight="1" x14ac:dyDescent="0.2">
      <c r="A1049" s="88" t="s">
        <v>1511</v>
      </c>
      <c r="B1049" s="90"/>
      <c r="C1049" s="88" t="s">
        <v>1512</v>
      </c>
      <c r="D1049" s="90"/>
      <c r="E1049" s="88" t="s">
        <v>1513</v>
      </c>
      <c r="F1049" s="89"/>
      <c r="G1049" s="89"/>
      <c r="H1049" s="89"/>
      <c r="I1049" s="90"/>
      <c r="J1049" s="88" t="s">
        <v>1499</v>
      </c>
      <c r="K1049" s="89"/>
      <c r="L1049" s="89"/>
      <c r="M1049" s="90"/>
      <c r="N1049" s="88" t="s">
        <v>22</v>
      </c>
      <c r="O1049" s="89"/>
      <c r="P1049" s="90"/>
      <c r="Q1049" s="133">
        <v>1000</v>
      </c>
      <c r="R1049" s="134"/>
      <c r="S1049" s="5" t="s">
        <v>16</v>
      </c>
      <c r="T1049" s="6"/>
      <c r="U1049" s="6"/>
      <c r="V1049" s="5" t="s">
        <v>702</v>
      </c>
      <c r="W1049" s="12">
        <v>6240894</v>
      </c>
      <c r="X1049" s="6"/>
      <c r="Y1049" s="6"/>
    </row>
    <row r="1050" spans="1:25" ht="15" customHeight="1" x14ac:dyDescent="0.2">
      <c r="A1050" s="88" t="s">
        <v>1511</v>
      </c>
      <c r="B1050" s="90"/>
      <c r="C1050" s="88" t="s">
        <v>1512</v>
      </c>
      <c r="D1050" s="90"/>
      <c r="E1050" s="88" t="s">
        <v>1514</v>
      </c>
      <c r="F1050" s="89"/>
      <c r="G1050" s="89"/>
      <c r="H1050" s="89"/>
      <c r="I1050" s="90"/>
      <c r="J1050" s="88" t="s">
        <v>1499</v>
      </c>
      <c r="K1050" s="89"/>
      <c r="L1050" s="89"/>
      <c r="M1050" s="90"/>
      <c r="N1050" s="88" t="s">
        <v>22</v>
      </c>
      <c r="O1050" s="89"/>
      <c r="P1050" s="90"/>
      <c r="Q1050" s="133">
        <v>1000</v>
      </c>
      <c r="R1050" s="134"/>
      <c r="S1050" s="5" t="s">
        <v>16</v>
      </c>
      <c r="T1050" s="6"/>
      <c r="U1050" s="6"/>
      <c r="V1050" s="5" t="s">
        <v>702</v>
      </c>
      <c r="W1050" s="12">
        <v>5275807</v>
      </c>
      <c r="X1050" s="6"/>
      <c r="Y1050" s="6"/>
    </row>
    <row r="1051" spans="1:25" ht="15" customHeight="1" x14ac:dyDescent="0.2">
      <c r="A1051" s="88" t="s">
        <v>1511</v>
      </c>
      <c r="B1051" s="90"/>
      <c r="C1051" s="88" t="s">
        <v>1515</v>
      </c>
      <c r="D1051" s="90"/>
      <c r="E1051" s="88" t="s">
        <v>1516</v>
      </c>
      <c r="F1051" s="89"/>
      <c r="G1051" s="89"/>
      <c r="H1051" s="89"/>
      <c r="I1051" s="90"/>
      <c r="J1051" s="88" t="s">
        <v>1499</v>
      </c>
      <c r="K1051" s="89"/>
      <c r="L1051" s="89"/>
      <c r="M1051" s="90"/>
      <c r="N1051" s="106"/>
      <c r="O1051" s="107"/>
      <c r="P1051" s="108"/>
      <c r="Q1051" s="133">
        <v>1000</v>
      </c>
      <c r="R1051" s="134"/>
      <c r="S1051" s="5" t="s">
        <v>16</v>
      </c>
      <c r="T1051" s="6"/>
      <c r="U1051" s="6"/>
      <c r="V1051" s="5" t="s">
        <v>702</v>
      </c>
      <c r="W1051" s="12">
        <v>4443420</v>
      </c>
      <c r="X1051" s="6"/>
      <c r="Y1051" s="6"/>
    </row>
    <row r="1052" spans="1:25" ht="15" customHeight="1" x14ac:dyDescent="0.2">
      <c r="A1052" s="88" t="s">
        <v>1511</v>
      </c>
      <c r="B1052" s="90"/>
      <c r="C1052" s="88" t="s">
        <v>1515</v>
      </c>
      <c r="D1052" s="90"/>
      <c r="E1052" s="88" t="s">
        <v>1517</v>
      </c>
      <c r="F1052" s="89"/>
      <c r="G1052" s="89"/>
      <c r="H1052" s="89"/>
      <c r="I1052" s="90"/>
      <c r="J1052" s="88" t="s">
        <v>1499</v>
      </c>
      <c r="K1052" s="89"/>
      <c r="L1052" s="89"/>
      <c r="M1052" s="90"/>
      <c r="N1052" s="106"/>
      <c r="O1052" s="107"/>
      <c r="P1052" s="108"/>
      <c r="Q1052" s="133">
        <v>1000</v>
      </c>
      <c r="R1052" s="134"/>
      <c r="S1052" s="5" t="s">
        <v>16</v>
      </c>
      <c r="T1052" s="6"/>
      <c r="U1052" s="6"/>
      <c r="V1052" s="5" t="s">
        <v>702</v>
      </c>
      <c r="W1052" s="12">
        <v>5066705</v>
      </c>
      <c r="X1052" s="6"/>
      <c r="Y1052" s="6"/>
    </row>
    <row r="1053" spans="1:25" ht="15" customHeight="1" x14ac:dyDescent="0.2">
      <c r="A1053" s="88" t="s">
        <v>1511</v>
      </c>
      <c r="B1053" s="90"/>
      <c r="C1053" s="88" t="s">
        <v>1515</v>
      </c>
      <c r="D1053" s="90"/>
      <c r="E1053" s="88" t="s">
        <v>1518</v>
      </c>
      <c r="F1053" s="89"/>
      <c r="G1053" s="89"/>
      <c r="H1053" s="89"/>
      <c r="I1053" s="90"/>
      <c r="J1053" s="88" t="s">
        <v>1499</v>
      </c>
      <c r="K1053" s="89"/>
      <c r="L1053" s="89"/>
      <c r="M1053" s="90"/>
      <c r="N1053" s="106"/>
      <c r="O1053" s="107"/>
      <c r="P1053" s="108"/>
      <c r="Q1053" s="133">
        <v>1000</v>
      </c>
      <c r="R1053" s="134"/>
      <c r="S1053" s="5" t="s">
        <v>16</v>
      </c>
      <c r="T1053" s="6"/>
      <c r="U1053" s="6"/>
      <c r="V1053" s="5" t="s">
        <v>702</v>
      </c>
      <c r="W1053" s="12">
        <v>5368294</v>
      </c>
      <c r="X1053" s="6"/>
      <c r="Y1053" s="6"/>
    </row>
    <row r="1054" spans="1:25" ht="15" customHeight="1" x14ac:dyDescent="0.2">
      <c r="A1054" s="88" t="s">
        <v>1511</v>
      </c>
      <c r="B1054" s="90"/>
      <c r="C1054" s="88" t="s">
        <v>1512</v>
      </c>
      <c r="D1054" s="90"/>
      <c r="E1054" s="88" t="s">
        <v>1519</v>
      </c>
      <c r="F1054" s="89"/>
      <c r="G1054" s="89"/>
      <c r="H1054" s="89"/>
      <c r="I1054" s="90"/>
      <c r="J1054" s="88" t="s">
        <v>1499</v>
      </c>
      <c r="K1054" s="89"/>
      <c r="L1054" s="89"/>
      <c r="M1054" s="90"/>
      <c r="N1054" s="88" t="s">
        <v>22</v>
      </c>
      <c r="O1054" s="89"/>
      <c r="P1054" s="90"/>
      <c r="Q1054" s="133">
        <v>1500</v>
      </c>
      <c r="R1054" s="134"/>
      <c r="S1054" s="5" t="s">
        <v>16</v>
      </c>
      <c r="T1054" s="6"/>
      <c r="U1054" s="6"/>
      <c r="V1054" s="5" t="s">
        <v>702</v>
      </c>
      <c r="W1054" s="12">
        <v>4857603</v>
      </c>
      <c r="X1054" s="6"/>
      <c r="Y1054" s="6"/>
    </row>
    <row r="1055" spans="1:25" ht="15" customHeight="1" x14ac:dyDescent="0.2">
      <c r="A1055" s="88" t="s">
        <v>1511</v>
      </c>
      <c r="B1055" s="90"/>
      <c r="C1055" s="88" t="s">
        <v>1520</v>
      </c>
      <c r="D1055" s="90"/>
      <c r="E1055" s="88" t="s">
        <v>1521</v>
      </c>
      <c r="F1055" s="89"/>
      <c r="G1055" s="89"/>
      <c r="H1055" s="89"/>
      <c r="I1055" s="90"/>
      <c r="J1055" s="88" t="s">
        <v>1246</v>
      </c>
      <c r="K1055" s="89"/>
      <c r="L1055" s="89"/>
      <c r="M1055" s="90"/>
      <c r="N1055" s="88" t="s">
        <v>26</v>
      </c>
      <c r="O1055" s="89"/>
      <c r="P1055" s="90"/>
      <c r="Q1055" s="133">
        <v>1500</v>
      </c>
      <c r="R1055" s="134"/>
      <c r="S1055" s="5" t="s">
        <v>27</v>
      </c>
      <c r="T1055" s="6"/>
      <c r="U1055" s="6"/>
      <c r="V1055" s="5" t="s">
        <v>702</v>
      </c>
      <c r="W1055" s="12">
        <v>5928389</v>
      </c>
      <c r="X1055" s="6"/>
      <c r="Y1055" s="6"/>
    </row>
    <row r="1056" spans="1:25" ht="15" customHeight="1" x14ac:dyDescent="0.2">
      <c r="A1056" s="88" t="s">
        <v>1511</v>
      </c>
      <c r="B1056" s="90"/>
      <c r="C1056" s="88" t="s">
        <v>1522</v>
      </c>
      <c r="D1056" s="90"/>
      <c r="E1056" s="88" t="s">
        <v>1523</v>
      </c>
      <c r="F1056" s="89"/>
      <c r="G1056" s="89"/>
      <c r="H1056" s="89"/>
      <c r="I1056" s="90"/>
      <c r="J1056" s="88" t="s">
        <v>1499</v>
      </c>
      <c r="K1056" s="89"/>
      <c r="L1056" s="89"/>
      <c r="M1056" s="90"/>
      <c r="N1056" s="88" t="s">
        <v>701</v>
      </c>
      <c r="O1056" s="89"/>
      <c r="P1056" s="90"/>
      <c r="Q1056" s="133">
        <v>2000</v>
      </c>
      <c r="R1056" s="134"/>
      <c r="S1056" s="5" t="s">
        <v>16</v>
      </c>
      <c r="T1056" s="6"/>
      <c r="U1056" s="6"/>
      <c r="V1056" s="5" t="s">
        <v>106</v>
      </c>
      <c r="W1056" s="12">
        <v>6862838</v>
      </c>
      <c r="X1056" s="6"/>
      <c r="Y1056" s="6"/>
    </row>
    <row r="1057" spans="1:25" ht="15" customHeight="1" x14ac:dyDescent="0.2">
      <c r="A1057" s="88" t="s">
        <v>1511</v>
      </c>
      <c r="B1057" s="90"/>
      <c r="C1057" s="88" t="s">
        <v>1522</v>
      </c>
      <c r="D1057" s="90"/>
      <c r="E1057" s="88" t="s">
        <v>1524</v>
      </c>
      <c r="F1057" s="89"/>
      <c r="G1057" s="89"/>
      <c r="H1057" s="89"/>
      <c r="I1057" s="90"/>
      <c r="J1057" s="88" t="s">
        <v>1499</v>
      </c>
      <c r="K1057" s="89"/>
      <c r="L1057" s="89"/>
      <c r="M1057" s="90"/>
      <c r="N1057" s="88" t="s">
        <v>14</v>
      </c>
      <c r="O1057" s="89"/>
      <c r="P1057" s="90"/>
      <c r="Q1057" s="133">
        <v>2000</v>
      </c>
      <c r="R1057" s="134"/>
      <c r="S1057" s="5" t="s">
        <v>16</v>
      </c>
      <c r="T1057" s="6"/>
      <c r="U1057" s="6"/>
      <c r="V1057" s="5" t="s">
        <v>106</v>
      </c>
      <c r="W1057" s="12">
        <v>8283660</v>
      </c>
      <c r="X1057" s="6"/>
      <c r="Y1057" s="6"/>
    </row>
    <row r="1058" spans="1:25" ht="15" customHeight="1" x14ac:dyDescent="0.2">
      <c r="A1058" s="88" t="s">
        <v>1511</v>
      </c>
      <c r="B1058" s="90"/>
      <c r="C1058" s="88" t="s">
        <v>1522</v>
      </c>
      <c r="D1058" s="90"/>
      <c r="E1058" s="88" t="s">
        <v>1525</v>
      </c>
      <c r="F1058" s="89"/>
      <c r="G1058" s="89"/>
      <c r="H1058" s="89"/>
      <c r="I1058" s="90"/>
      <c r="J1058" s="88" t="s">
        <v>1499</v>
      </c>
      <c r="K1058" s="89"/>
      <c r="L1058" s="89"/>
      <c r="M1058" s="90"/>
      <c r="N1058" s="88" t="s">
        <v>701</v>
      </c>
      <c r="O1058" s="89"/>
      <c r="P1058" s="90"/>
      <c r="Q1058" s="133">
        <v>2000</v>
      </c>
      <c r="R1058" s="134"/>
      <c r="S1058" s="5" t="s">
        <v>16</v>
      </c>
      <c r="T1058" s="6"/>
      <c r="U1058" s="6"/>
      <c r="V1058" s="5" t="s">
        <v>106</v>
      </c>
      <c r="W1058" s="12">
        <v>10669569</v>
      </c>
      <c r="X1058" s="6"/>
      <c r="Y1058" s="6"/>
    </row>
    <row r="1059" spans="1:25" ht="15" customHeight="1" x14ac:dyDescent="0.2">
      <c r="A1059" s="88" t="s">
        <v>1511</v>
      </c>
      <c r="B1059" s="90"/>
      <c r="C1059" s="88" t="s">
        <v>1522</v>
      </c>
      <c r="D1059" s="90"/>
      <c r="E1059" s="88" t="s">
        <v>1526</v>
      </c>
      <c r="F1059" s="89"/>
      <c r="G1059" s="89"/>
      <c r="H1059" s="89"/>
      <c r="I1059" s="90"/>
      <c r="J1059" s="88" t="s">
        <v>1499</v>
      </c>
      <c r="K1059" s="89"/>
      <c r="L1059" s="89"/>
      <c r="M1059" s="90"/>
      <c r="N1059" s="88" t="s">
        <v>14</v>
      </c>
      <c r="O1059" s="89"/>
      <c r="P1059" s="90"/>
      <c r="Q1059" s="133">
        <v>2000</v>
      </c>
      <c r="R1059" s="134"/>
      <c r="S1059" s="5" t="s">
        <v>16</v>
      </c>
      <c r="T1059" s="6"/>
      <c r="U1059" s="6"/>
      <c r="V1059" s="5" t="s">
        <v>106</v>
      </c>
      <c r="W1059" s="12">
        <v>8927052</v>
      </c>
      <c r="X1059" s="6"/>
      <c r="Y1059" s="6"/>
    </row>
    <row r="1060" spans="1:25" ht="15" customHeight="1" x14ac:dyDescent="0.2">
      <c r="A1060" s="88" t="s">
        <v>1511</v>
      </c>
      <c r="B1060" s="90"/>
      <c r="C1060" s="88" t="s">
        <v>1522</v>
      </c>
      <c r="D1060" s="90"/>
      <c r="E1060" s="88" t="s">
        <v>1527</v>
      </c>
      <c r="F1060" s="89"/>
      <c r="G1060" s="89"/>
      <c r="H1060" s="89"/>
      <c r="I1060" s="90"/>
      <c r="J1060" s="88" t="s">
        <v>1499</v>
      </c>
      <c r="K1060" s="89"/>
      <c r="L1060" s="89"/>
      <c r="M1060" s="90"/>
      <c r="N1060" s="88" t="s">
        <v>701</v>
      </c>
      <c r="O1060" s="89"/>
      <c r="P1060" s="90"/>
      <c r="Q1060" s="133">
        <v>2000</v>
      </c>
      <c r="R1060" s="134"/>
      <c r="S1060" s="5" t="s">
        <v>16</v>
      </c>
      <c r="T1060" s="6"/>
      <c r="U1060" s="6"/>
      <c r="V1060" s="5" t="s">
        <v>106</v>
      </c>
      <c r="W1060" s="12">
        <v>5978176</v>
      </c>
      <c r="X1060" s="6"/>
      <c r="Y1060" s="6"/>
    </row>
    <row r="1061" spans="1:25" ht="15" customHeight="1" x14ac:dyDescent="0.2">
      <c r="A1061" s="88" t="s">
        <v>1511</v>
      </c>
      <c r="B1061" s="90"/>
      <c r="C1061" s="88" t="s">
        <v>1522</v>
      </c>
      <c r="D1061" s="90"/>
      <c r="E1061" s="88" t="s">
        <v>1527</v>
      </c>
      <c r="F1061" s="89"/>
      <c r="G1061" s="89"/>
      <c r="H1061" s="89"/>
      <c r="I1061" s="90"/>
      <c r="J1061" s="88" t="s">
        <v>1499</v>
      </c>
      <c r="K1061" s="89"/>
      <c r="L1061" s="89"/>
      <c r="M1061" s="90"/>
      <c r="N1061" s="88" t="s">
        <v>14</v>
      </c>
      <c r="O1061" s="89"/>
      <c r="P1061" s="90"/>
      <c r="Q1061" s="133">
        <v>2000</v>
      </c>
      <c r="R1061" s="134"/>
      <c r="S1061" s="5" t="s">
        <v>16</v>
      </c>
      <c r="T1061" s="6"/>
      <c r="U1061" s="6"/>
      <c r="V1061" s="5" t="s">
        <v>106</v>
      </c>
      <c r="W1061" s="12">
        <v>5468824</v>
      </c>
      <c r="X1061" s="6"/>
      <c r="Y1061" s="6"/>
    </row>
    <row r="1062" spans="1:25" ht="15" customHeight="1" x14ac:dyDescent="0.2">
      <c r="A1062" s="88" t="s">
        <v>1511</v>
      </c>
      <c r="B1062" s="90"/>
      <c r="C1062" s="88" t="s">
        <v>1528</v>
      </c>
      <c r="D1062" s="90"/>
      <c r="E1062" s="88" t="s">
        <v>1529</v>
      </c>
      <c r="F1062" s="89"/>
      <c r="G1062" s="89"/>
      <c r="H1062" s="89"/>
      <c r="I1062" s="90"/>
      <c r="J1062" s="88" t="s">
        <v>1499</v>
      </c>
      <c r="K1062" s="89"/>
      <c r="L1062" s="89"/>
      <c r="M1062" s="90"/>
      <c r="N1062" s="88" t="s">
        <v>14</v>
      </c>
      <c r="O1062" s="89"/>
      <c r="P1062" s="90"/>
      <c r="Q1062" s="133">
        <v>2000</v>
      </c>
      <c r="R1062" s="134"/>
      <c r="S1062" s="5" t="s">
        <v>16</v>
      </c>
      <c r="T1062" s="6"/>
      <c r="U1062" s="6"/>
      <c r="V1062" s="5" t="s">
        <v>106</v>
      </c>
      <c r="W1062" s="12">
        <v>6353487</v>
      </c>
      <c r="X1062" s="6"/>
      <c r="Y1062" s="6"/>
    </row>
    <row r="1063" spans="1:25" ht="15" customHeight="1" x14ac:dyDescent="0.2">
      <c r="A1063" s="88" t="s">
        <v>1511</v>
      </c>
      <c r="B1063" s="90"/>
      <c r="C1063" s="88" t="s">
        <v>1528</v>
      </c>
      <c r="D1063" s="90"/>
      <c r="E1063" s="88" t="s">
        <v>1523</v>
      </c>
      <c r="F1063" s="89"/>
      <c r="G1063" s="89"/>
      <c r="H1063" s="89"/>
      <c r="I1063" s="90"/>
      <c r="J1063" s="88" t="s">
        <v>1499</v>
      </c>
      <c r="K1063" s="89"/>
      <c r="L1063" s="89"/>
      <c r="M1063" s="90"/>
      <c r="N1063" s="88" t="s">
        <v>701</v>
      </c>
      <c r="O1063" s="89"/>
      <c r="P1063" s="90"/>
      <c r="Q1063" s="133">
        <v>2000</v>
      </c>
      <c r="R1063" s="134"/>
      <c r="S1063" s="5" t="s">
        <v>16</v>
      </c>
      <c r="T1063" s="6"/>
      <c r="U1063" s="6"/>
      <c r="V1063" s="5" t="s">
        <v>702</v>
      </c>
      <c r="W1063" s="12">
        <v>5770414</v>
      </c>
      <c r="X1063" s="6"/>
      <c r="Y1063" s="6"/>
    </row>
    <row r="1064" spans="1:25" ht="15" customHeight="1" x14ac:dyDescent="0.2">
      <c r="A1064" s="88" t="s">
        <v>1511</v>
      </c>
      <c r="B1064" s="90"/>
      <c r="C1064" s="88" t="s">
        <v>1528</v>
      </c>
      <c r="D1064" s="90"/>
      <c r="E1064" s="88" t="s">
        <v>1524</v>
      </c>
      <c r="F1064" s="89"/>
      <c r="G1064" s="89"/>
      <c r="H1064" s="89"/>
      <c r="I1064" s="90"/>
      <c r="J1064" s="88" t="s">
        <v>1499</v>
      </c>
      <c r="K1064" s="89"/>
      <c r="L1064" s="89"/>
      <c r="M1064" s="90"/>
      <c r="N1064" s="88" t="s">
        <v>14</v>
      </c>
      <c r="O1064" s="89"/>
      <c r="P1064" s="90"/>
      <c r="Q1064" s="133">
        <v>2000</v>
      </c>
      <c r="R1064" s="134"/>
      <c r="S1064" s="5" t="s">
        <v>16</v>
      </c>
      <c r="T1064" s="6"/>
      <c r="U1064" s="6"/>
      <c r="V1064" s="5" t="s">
        <v>106</v>
      </c>
      <c r="W1064" s="12">
        <v>6695289</v>
      </c>
      <c r="X1064" s="6"/>
      <c r="Y1064" s="6"/>
    </row>
    <row r="1065" spans="1:25" ht="15" customHeight="1" x14ac:dyDescent="0.2">
      <c r="A1065" s="88" t="s">
        <v>1511</v>
      </c>
      <c r="B1065" s="90"/>
      <c r="C1065" s="88" t="s">
        <v>1528</v>
      </c>
      <c r="D1065" s="90"/>
      <c r="E1065" s="88" t="s">
        <v>1530</v>
      </c>
      <c r="F1065" s="89"/>
      <c r="G1065" s="89"/>
      <c r="H1065" s="89"/>
      <c r="I1065" s="90"/>
      <c r="J1065" s="88" t="s">
        <v>1499</v>
      </c>
      <c r="K1065" s="89"/>
      <c r="L1065" s="89"/>
      <c r="M1065" s="90"/>
      <c r="N1065" s="88" t="s">
        <v>701</v>
      </c>
      <c r="O1065" s="89"/>
      <c r="P1065" s="90"/>
      <c r="Q1065" s="133">
        <v>2000</v>
      </c>
      <c r="R1065" s="134"/>
      <c r="S1065" s="5" t="s">
        <v>16</v>
      </c>
      <c r="T1065" s="6"/>
      <c r="U1065" s="6"/>
      <c r="V1065" s="5" t="s">
        <v>106</v>
      </c>
      <c r="W1065" s="12">
        <v>8545038</v>
      </c>
      <c r="X1065" s="6"/>
      <c r="Y1065" s="6"/>
    </row>
    <row r="1066" spans="1:25" ht="15" customHeight="1" x14ac:dyDescent="0.2">
      <c r="A1066" s="88" t="s">
        <v>1511</v>
      </c>
      <c r="B1066" s="90"/>
      <c r="C1066" s="88" t="s">
        <v>1528</v>
      </c>
      <c r="D1066" s="90"/>
      <c r="E1066" s="88" t="s">
        <v>1531</v>
      </c>
      <c r="F1066" s="89"/>
      <c r="G1066" s="89"/>
      <c r="H1066" s="89"/>
      <c r="I1066" s="90"/>
      <c r="J1066" s="88" t="s">
        <v>1499</v>
      </c>
      <c r="K1066" s="89"/>
      <c r="L1066" s="89"/>
      <c r="M1066" s="90"/>
      <c r="N1066" s="88" t="s">
        <v>14</v>
      </c>
      <c r="O1066" s="89"/>
      <c r="P1066" s="90"/>
      <c r="Q1066" s="133">
        <v>2000</v>
      </c>
      <c r="R1066" s="134"/>
      <c r="S1066" s="5" t="s">
        <v>16</v>
      </c>
      <c r="T1066" s="6"/>
      <c r="U1066" s="6"/>
      <c r="V1066" s="5" t="s">
        <v>106</v>
      </c>
      <c r="W1066" s="12">
        <v>8303766</v>
      </c>
      <c r="X1066" s="6"/>
      <c r="Y1066" s="6"/>
    </row>
    <row r="1067" spans="1:25" ht="15" customHeight="1" x14ac:dyDescent="0.2">
      <c r="A1067" s="88" t="s">
        <v>1511</v>
      </c>
      <c r="B1067" s="90"/>
      <c r="C1067" s="88" t="s">
        <v>1532</v>
      </c>
      <c r="D1067" s="90"/>
      <c r="E1067" s="88" t="s">
        <v>1533</v>
      </c>
      <c r="F1067" s="89"/>
      <c r="G1067" s="89"/>
      <c r="H1067" s="89"/>
      <c r="I1067" s="90"/>
      <c r="J1067" s="88" t="s">
        <v>1499</v>
      </c>
      <c r="K1067" s="89"/>
      <c r="L1067" s="89"/>
      <c r="M1067" s="90"/>
      <c r="N1067" s="88" t="s">
        <v>22</v>
      </c>
      <c r="O1067" s="89"/>
      <c r="P1067" s="90"/>
      <c r="Q1067" s="133">
        <v>2000</v>
      </c>
      <c r="R1067" s="134"/>
      <c r="S1067" s="5" t="s">
        <v>16</v>
      </c>
      <c r="T1067" s="6"/>
      <c r="U1067" s="6"/>
      <c r="V1067" s="5" t="s">
        <v>106</v>
      </c>
      <c r="W1067" s="12">
        <v>8662384</v>
      </c>
      <c r="X1067" s="6"/>
      <c r="Y1067" s="6"/>
    </row>
    <row r="1068" spans="1:25" ht="15" customHeight="1" x14ac:dyDescent="0.2">
      <c r="A1068" s="88" t="s">
        <v>1511</v>
      </c>
      <c r="B1068" s="90"/>
      <c r="C1068" s="88" t="s">
        <v>1532</v>
      </c>
      <c r="D1068" s="90"/>
      <c r="E1068" s="88" t="s">
        <v>1534</v>
      </c>
      <c r="F1068" s="89"/>
      <c r="G1068" s="89"/>
      <c r="H1068" s="89"/>
      <c r="I1068" s="90"/>
      <c r="J1068" s="88" t="s">
        <v>1499</v>
      </c>
      <c r="K1068" s="89"/>
      <c r="L1068" s="89"/>
      <c r="M1068" s="90"/>
      <c r="N1068" s="88" t="s">
        <v>725</v>
      </c>
      <c r="O1068" s="89"/>
      <c r="P1068" s="90"/>
      <c r="Q1068" s="133">
        <v>2000</v>
      </c>
      <c r="R1068" s="134"/>
      <c r="S1068" s="5" t="s">
        <v>16</v>
      </c>
      <c r="T1068" s="6"/>
      <c r="U1068" s="6"/>
      <c r="V1068" s="5" t="s">
        <v>106</v>
      </c>
      <c r="W1068" s="12">
        <v>7931258</v>
      </c>
      <c r="X1068" s="6"/>
      <c r="Y1068" s="6"/>
    </row>
    <row r="1069" spans="1:25" ht="15" customHeight="1" x14ac:dyDescent="0.2">
      <c r="A1069" s="88" t="s">
        <v>1511</v>
      </c>
      <c r="B1069" s="90"/>
      <c r="C1069" s="88" t="s">
        <v>1532</v>
      </c>
      <c r="D1069" s="90"/>
      <c r="E1069" s="88" t="s">
        <v>1535</v>
      </c>
      <c r="F1069" s="89"/>
      <c r="G1069" s="89"/>
      <c r="H1069" s="89"/>
      <c r="I1069" s="90"/>
      <c r="J1069" s="88" t="s">
        <v>1499</v>
      </c>
      <c r="K1069" s="89"/>
      <c r="L1069" s="89"/>
      <c r="M1069" s="90"/>
      <c r="N1069" s="88" t="s">
        <v>725</v>
      </c>
      <c r="O1069" s="89"/>
      <c r="P1069" s="90"/>
      <c r="Q1069" s="133">
        <v>2000</v>
      </c>
      <c r="R1069" s="134"/>
      <c r="S1069" s="5" t="s">
        <v>16</v>
      </c>
      <c r="T1069" s="6"/>
      <c r="U1069" s="6"/>
      <c r="V1069" s="5" t="s">
        <v>106</v>
      </c>
      <c r="W1069" s="12">
        <v>9320397</v>
      </c>
      <c r="X1069" s="6"/>
      <c r="Y1069" s="6"/>
    </row>
    <row r="1070" spans="1:25" ht="15" customHeight="1" x14ac:dyDescent="0.2">
      <c r="A1070" s="88" t="s">
        <v>1511</v>
      </c>
      <c r="B1070" s="90"/>
      <c r="C1070" s="88" t="s">
        <v>1532</v>
      </c>
      <c r="D1070" s="90"/>
      <c r="E1070" s="88" t="s">
        <v>1536</v>
      </c>
      <c r="F1070" s="89"/>
      <c r="G1070" s="89"/>
      <c r="H1070" s="89"/>
      <c r="I1070" s="90"/>
      <c r="J1070" s="88" t="s">
        <v>1499</v>
      </c>
      <c r="K1070" s="89"/>
      <c r="L1070" s="89"/>
      <c r="M1070" s="90"/>
      <c r="N1070" s="88" t="s">
        <v>22</v>
      </c>
      <c r="O1070" s="89"/>
      <c r="P1070" s="90"/>
      <c r="Q1070" s="133">
        <v>2000</v>
      </c>
      <c r="R1070" s="134"/>
      <c r="S1070" s="5" t="s">
        <v>16</v>
      </c>
      <c r="T1070" s="6"/>
      <c r="U1070" s="6"/>
      <c r="V1070" s="5" t="s">
        <v>106</v>
      </c>
      <c r="W1070" s="12">
        <v>9802941</v>
      </c>
      <c r="X1070" s="6"/>
      <c r="Y1070" s="6"/>
    </row>
    <row r="1071" spans="1:25" ht="15" customHeight="1" x14ac:dyDescent="0.2">
      <c r="A1071" s="88" t="s">
        <v>1511</v>
      </c>
      <c r="B1071" s="90"/>
      <c r="C1071" s="88" t="s">
        <v>1537</v>
      </c>
      <c r="D1071" s="90"/>
      <c r="E1071" s="88" t="s">
        <v>1538</v>
      </c>
      <c r="F1071" s="89"/>
      <c r="G1071" s="89"/>
      <c r="H1071" s="89"/>
      <c r="I1071" s="90"/>
      <c r="J1071" s="88" t="s">
        <v>1499</v>
      </c>
      <c r="K1071" s="89"/>
      <c r="L1071" s="89"/>
      <c r="M1071" s="90"/>
      <c r="N1071" s="88" t="s">
        <v>26</v>
      </c>
      <c r="O1071" s="89"/>
      <c r="P1071" s="90"/>
      <c r="Q1071" s="133">
        <v>2000</v>
      </c>
      <c r="R1071" s="134"/>
      <c r="S1071" s="5" t="s">
        <v>27</v>
      </c>
      <c r="T1071" s="6"/>
      <c r="U1071" s="6"/>
      <c r="V1071" s="5" t="s">
        <v>106</v>
      </c>
      <c r="W1071" s="12">
        <v>7452614</v>
      </c>
      <c r="X1071" s="6"/>
      <c r="Y1071" s="6"/>
    </row>
    <row r="1072" spans="1:25" ht="15" customHeight="1" x14ac:dyDescent="0.2">
      <c r="A1072" s="88" t="s">
        <v>1511</v>
      </c>
      <c r="B1072" s="90"/>
      <c r="C1072" s="88" t="s">
        <v>1537</v>
      </c>
      <c r="D1072" s="90"/>
      <c r="E1072" s="88" t="s">
        <v>1538</v>
      </c>
      <c r="F1072" s="89"/>
      <c r="G1072" s="89"/>
      <c r="H1072" s="89"/>
      <c r="I1072" s="90"/>
      <c r="J1072" s="88" t="s">
        <v>1499</v>
      </c>
      <c r="K1072" s="89"/>
      <c r="L1072" s="89"/>
      <c r="M1072" s="90"/>
      <c r="N1072" s="88" t="s">
        <v>26</v>
      </c>
      <c r="O1072" s="89"/>
      <c r="P1072" s="90"/>
      <c r="Q1072" s="133">
        <v>2000</v>
      </c>
      <c r="R1072" s="134"/>
      <c r="S1072" s="5" t="s">
        <v>1539</v>
      </c>
      <c r="T1072" s="6"/>
      <c r="U1072" s="6"/>
      <c r="V1072" s="5" t="s">
        <v>106</v>
      </c>
      <c r="W1072" s="12">
        <v>7774309</v>
      </c>
      <c r="X1072" s="6"/>
      <c r="Y1072" s="6"/>
    </row>
    <row r="1073" spans="1:25" ht="15" customHeight="1" x14ac:dyDescent="0.2">
      <c r="A1073" s="88" t="s">
        <v>1511</v>
      </c>
      <c r="B1073" s="90"/>
      <c r="C1073" s="88" t="s">
        <v>1540</v>
      </c>
      <c r="D1073" s="90"/>
      <c r="E1073" s="88" t="s">
        <v>1541</v>
      </c>
      <c r="F1073" s="89"/>
      <c r="G1073" s="89"/>
      <c r="H1073" s="89"/>
      <c r="I1073" s="90"/>
      <c r="J1073" s="88" t="s">
        <v>1499</v>
      </c>
      <c r="K1073" s="89"/>
      <c r="L1073" s="89"/>
      <c r="M1073" s="90"/>
      <c r="N1073" s="88" t="s">
        <v>1542</v>
      </c>
      <c r="O1073" s="89"/>
      <c r="P1073" s="90"/>
      <c r="Q1073" s="133">
        <v>2000</v>
      </c>
      <c r="R1073" s="134"/>
      <c r="S1073" s="5" t="s">
        <v>1543</v>
      </c>
      <c r="T1073" s="6"/>
      <c r="U1073" s="6"/>
      <c r="V1073" s="5" t="s">
        <v>106</v>
      </c>
      <c r="W1073" s="12">
        <v>7162113</v>
      </c>
      <c r="X1073" s="6"/>
      <c r="Y1073" s="6"/>
    </row>
    <row r="1074" spans="1:25" ht="15" customHeight="1" x14ac:dyDescent="0.2">
      <c r="A1074" s="88" t="s">
        <v>1511</v>
      </c>
      <c r="B1074" s="90"/>
      <c r="C1074" s="88" t="s">
        <v>1540</v>
      </c>
      <c r="D1074" s="90"/>
      <c r="E1074" s="88" t="s">
        <v>1541</v>
      </c>
      <c r="F1074" s="89"/>
      <c r="G1074" s="89"/>
      <c r="H1074" s="89"/>
      <c r="I1074" s="90"/>
      <c r="J1074" s="88" t="s">
        <v>1499</v>
      </c>
      <c r="K1074" s="89"/>
      <c r="L1074" s="89"/>
      <c r="M1074" s="90"/>
      <c r="N1074" s="88" t="s">
        <v>1542</v>
      </c>
      <c r="O1074" s="89"/>
      <c r="P1074" s="90"/>
      <c r="Q1074" s="133">
        <v>2000</v>
      </c>
      <c r="R1074" s="134"/>
      <c r="S1074" s="5" t="s">
        <v>1544</v>
      </c>
      <c r="T1074" s="6"/>
      <c r="U1074" s="6"/>
      <c r="V1074" s="5" t="s">
        <v>106</v>
      </c>
      <c r="W1074" s="12">
        <v>7015887</v>
      </c>
      <c r="X1074" s="6"/>
      <c r="Y1074" s="6"/>
    </row>
    <row r="1075" spans="1:25" ht="15" customHeight="1" x14ac:dyDescent="0.2">
      <c r="A1075" s="88" t="s">
        <v>1511</v>
      </c>
      <c r="B1075" s="90"/>
      <c r="C1075" s="88" t="s">
        <v>1540</v>
      </c>
      <c r="D1075" s="90"/>
      <c r="E1075" s="88" t="s">
        <v>1545</v>
      </c>
      <c r="F1075" s="89"/>
      <c r="G1075" s="89"/>
      <c r="H1075" s="89"/>
      <c r="I1075" s="90"/>
      <c r="J1075" s="88" t="s">
        <v>1499</v>
      </c>
      <c r="K1075" s="89"/>
      <c r="L1075" s="89"/>
      <c r="M1075" s="90"/>
      <c r="N1075" s="88" t="s">
        <v>1546</v>
      </c>
      <c r="O1075" s="89"/>
      <c r="P1075" s="90"/>
      <c r="Q1075" s="133">
        <v>2000</v>
      </c>
      <c r="R1075" s="134"/>
      <c r="S1075" s="5" t="s">
        <v>1543</v>
      </c>
      <c r="T1075" s="6"/>
      <c r="U1075" s="6"/>
      <c r="V1075" s="5" t="s">
        <v>106</v>
      </c>
      <c r="W1075" s="12">
        <v>6182404</v>
      </c>
      <c r="X1075" s="6"/>
      <c r="Y1075" s="6"/>
    </row>
    <row r="1076" spans="1:25" ht="15" customHeight="1" x14ac:dyDescent="0.2">
      <c r="A1076" s="88" t="s">
        <v>1511</v>
      </c>
      <c r="B1076" s="90"/>
      <c r="C1076" s="88" t="s">
        <v>1540</v>
      </c>
      <c r="D1076" s="90"/>
      <c r="E1076" s="88" t="s">
        <v>1545</v>
      </c>
      <c r="F1076" s="89"/>
      <c r="G1076" s="89"/>
      <c r="H1076" s="89"/>
      <c r="I1076" s="90"/>
      <c r="J1076" s="88" t="s">
        <v>1499</v>
      </c>
      <c r="K1076" s="89"/>
      <c r="L1076" s="89"/>
      <c r="M1076" s="90"/>
      <c r="N1076" s="88" t="s">
        <v>1546</v>
      </c>
      <c r="O1076" s="89"/>
      <c r="P1076" s="90"/>
      <c r="Q1076" s="133">
        <v>2000</v>
      </c>
      <c r="R1076" s="134"/>
      <c r="S1076" s="5" t="s">
        <v>1544</v>
      </c>
      <c r="T1076" s="6"/>
      <c r="U1076" s="6"/>
      <c r="V1076" s="5" t="s">
        <v>106</v>
      </c>
      <c r="W1076" s="12">
        <v>5392787</v>
      </c>
      <c r="X1076" s="6"/>
      <c r="Y1076" s="6"/>
    </row>
    <row r="1077" spans="1:25" ht="15" customHeight="1" x14ac:dyDescent="0.2">
      <c r="A1077" s="88" t="s">
        <v>1511</v>
      </c>
      <c r="B1077" s="90"/>
      <c r="C1077" s="88" t="s">
        <v>1540</v>
      </c>
      <c r="D1077" s="90"/>
      <c r="E1077" s="88" t="s">
        <v>1547</v>
      </c>
      <c r="F1077" s="89"/>
      <c r="G1077" s="89"/>
      <c r="H1077" s="89"/>
      <c r="I1077" s="90"/>
      <c r="J1077" s="88" t="s">
        <v>1499</v>
      </c>
      <c r="K1077" s="89"/>
      <c r="L1077" s="89"/>
      <c r="M1077" s="90"/>
      <c r="N1077" s="88" t="s">
        <v>1542</v>
      </c>
      <c r="O1077" s="89"/>
      <c r="P1077" s="90"/>
      <c r="Q1077" s="133">
        <v>2000</v>
      </c>
      <c r="R1077" s="134"/>
      <c r="S1077" s="5" t="s">
        <v>1543</v>
      </c>
      <c r="T1077" s="6"/>
      <c r="U1077" s="6"/>
      <c r="V1077" s="5" t="s">
        <v>106</v>
      </c>
      <c r="W1077" s="12">
        <v>9671338</v>
      </c>
      <c r="X1077" s="6"/>
      <c r="Y1077" s="6"/>
    </row>
    <row r="1078" spans="1:25" ht="15" customHeight="1" x14ac:dyDescent="0.2">
      <c r="A1078" s="88" t="s">
        <v>1511</v>
      </c>
      <c r="B1078" s="90"/>
      <c r="C1078" s="88" t="s">
        <v>1540</v>
      </c>
      <c r="D1078" s="90"/>
      <c r="E1078" s="88" t="s">
        <v>1548</v>
      </c>
      <c r="F1078" s="89"/>
      <c r="G1078" s="89"/>
      <c r="H1078" s="89"/>
      <c r="I1078" s="90"/>
      <c r="J1078" s="88" t="s">
        <v>1499</v>
      </c>
      <c r="K1078" s="89"/>
      <c r="L1078" s="89"/>
      <c r="M1078" s="90"/>
      <c r="N1078" s="88" t="s">
        <v>1542</v>
      </c>
      <c r="O1078" s="89"/>
      <c r="P1078" s="90"/>
      <c r="Q1078" s="133">
        <v>2000</v>
      </c>
      <c r="R1078" s="134"/>
      <c r="S1078" s="5" t="s">
        <v>1543</v>
      </c>
      <c r="T1078" s="6"/>
      <c r="U1078" s="6"/>
      <c r="V1078" s="5" t="s">
        <v>106</v>
      </c>
      <c r="W1078" s="12">
        <v>10183126</v>
      </c>
      <c r="X1078" s="6"/>
      <c r="Y1078" s="6"/>
    </row>
    <row r="1079" spans="1:25" ht="15" customHeight="1" x14ac:dyDescent="0.2">
      <c r="A1079" s="88" t="s">
        <v>1511</v>
      </c>
      <c r="B1079" s="90"/>
      <c r="C1079" s="88" t="s">
        <v>1540</v>
      </c>
      <c r="D1079" s="90"/>
      <c r="E1079" s="88" t="s">
        <v>1549</v>
      </c>
      <c r="F1079" s="89"/>
      <c r="G1079" s="89"/>
      <c r="H1079" s="89"/>
      <c r="I1079" s="90"/>
      <c r="J1079" s="88" t="s">
        <v>1499</v>
      </c>
      <c r="K1079" s="89"/>
      <c r="L1079" s="89"/>
      <c r="M1079" s="90"/>
      <c r="N1079" s="88" t="s">
        <v>1542</v>
      </c>
      <c r="O1079" s="89"/>
      <c r="P1079" s="90"/>
      <c r="Q1079" s="133">
        <v>2000</v>
      </c>
      <c r="R1079" s="134"/>
      <c r="S1079" s="5" t="s">
        <v>1543</v>
      </c>
      <c r="T1079" s="6"/>
      <c r="U1079" s="6"/>
      <c r="V1079" s="5" t="s">
        <v>106</v>
      </c>
      <c r="W1079" s="12">
        <v>11352928</v>
      </c>
      <c r="X1079" s="6"/>
      <c r="Y1079" s="6"/>
    </row>
    <row r="1080" spans="1:25" ht="15" customHeight="1" x14ac:dyDescent="0.2">
      <c r="A1080" s="88" t="s">
        <v>1511</v>
      </c>
      <c r="B1080" s="90"/>
      <c r="C1080" s="88" t="s">
        <v>1540</v>
      </c>
      <c r="D1080" s="90"/>
      <c r="E1080" s="88" t="s">
        <v>1550</v>
      </c>
      <c r="F1080" s="89"/>
      <c r="G1080" s="89"/>
      <c r="H1080" s="89"/>
      <c r="I1080" s="90"/>
      <c r="J1080" s="88" t="s">
        <v>1499</v>
      </c>
      <c r="K1080" s="89"/>
      <c r="L1080" s="89"/>
      <c r="M1080" s="90"/>
      <c r="N1080" s="88" t="s">
        <v>1542</v>
      </c>
      <c r="O1080" s="89"/>
      <c r="P1080" s="90"/>
      <c r="Q1080" s="133">
        <v>2000</v>
      </c>
      <c r="R1080" s="134"/>
      <c r="S1080" s="5" t="s">
        <v>1543</v>
      </c>
      <c r="T1080" s="6"/>
      <c r="U1080" s="6"/>
      <c r="V1080" s="5" t="s">
        <v>106</v>
      </c>
      <c r="W1080" s="12">
        <v>8426961</v>
      </c>
      <c r="X1080" s="6"/>
      <c r="Y1080" s="6"/>
    </row>
    <row r="1081" spans="1:25" ht="15" customHeight="1" x14ac:dyDescent="0.2">
      <c r="A1081" s="88" t="s">
        <v>1511</v>
      </c>
      <c r="B1081" s="90"/>
      <c r="C1081" s="88" t="s">
        <v>1540</v>
      </c>
      <c r="D1081" s="90"/>
      <c r="E1081" s="88" t="s">
        <v>1551</v>
      </c>
      <c r="F1081" s="89"/>
      <c r="G1081" s="89"/>
      <c r="H1081" s="89"/>
      <c r="I1081" s="90"/>
      <c r="J1081" s="88" t="s">
        <v>1499</v>
      </c>
      <c r="K1081" s="89"/>
      <c r="L1081" s="89"/>
      <c r="M1081" s="90"/>
      <c r="N1081" s="88" t="s">
        <v>1542</v>
      </c>
      <c r="O1081" s="89"/>
      <c r="P1081" s="90"/>
      <c r="Q1081" s="133">
        <v>2000</v>
      </c>
      <c r="R1081" s="134"/>
      <c r="S1081" s="5" t="s">
        <v>1543</v>
      </c>
      <c r="T1081" s="6"/>
      <c r="U1081" s="6"/>
      <c r="V1081" s="5" t="s">
        <v>106</v>
      </c>
      <c r="W1081" s="12">
        <v>9307237</v>
      </c>
      <c r="X1081" s="6"/>
      <c r="Y1081" s="6"/>
    </row>
    <row r="1082" spans="1:25" ht="15" customHeight="1" x14ac:dyDescent="0.2">
      <c r="A1082" s="88" t="s">
        <v>1511</v>
      </c>
      <c r="B1082" s="90"/>
      <c r="C1082" s="88" t="s">
        <v>1540</v>
      </c>
      <c r="D1082" s="90"/>
      <c r="E1082" s="88" t="s">
        <v>1552</v>
      </c>
      <c r="F1082" s="89"/>
      <c r="G1082" s="89"/>
      <c r="H1082" s="89"/>
      <c r="I1082" s="90"/>
      <c r="J1082" s="88" t="s">
        <v>1499</v>
      </c>
      <c r="K1082" s="89"/>
      <c r="L1082" s="89"/>
      <c r="M1082" s="90"/>
      <c r="N1082" s="106"/>
      <c r="O1082" s="107"/>
      <c r="P1082" s="108"/>
      <c r="Q1082" s="133">
        <v>2000</v>
      </c>
      <c r="R1082" s="134"/>
      <c r="S1082" s="5" t="s">
        <v>1543</v>
      </c>
      <c r="T1082" s="6"/>
      <c r="U1082" s="6"/>
      <c r="V1082" s="5" t="s">
        <v>106</v>
      </c>
      <c r="W1082" s="12">
        <v>8252953</v>
      </c>
      <c r="X1082" s="6"/>
      <c r="Y1082" s="6"/>
    </row>
    <row r="1083" spans="1:25" ht="15" customHeight="1" x14ac:dyDescent="0.2">
      <c r="A1083" s="88" t="s">
        <v>1511</v>
      </c>
      <c r="B1083" s="90"/>
      <c r="C1083" s="88" t="s">
        <v>1553</v>
      </c>
      <c r="D1083" s="90"/>
      <c r="E1083" s="88" t="s">
        <v>1554</v>
      </c>
      <c r="F1083" s="89"/>
      <c r="G1083" s="89"/>
      <c r="H1083" s="89"/>
      <c r="I1083" s="90"/>
      <c r="J1083" s="88" t="s">
        <v>1499</v>
      </c>
      <c r="K1083" s="89"/>
      <c r="L1083" s="89"/>
      <c r="M1083" s="90"/>
      <c r="N1083" s="106"/>
      <c r="O1083" s="107"/>
      <c r="P1083" s="108"/>
      <c r="Q1083" s="133">
        <v>2000</v>
      </c>
      <c r="R1083" s="134"/>
      <c r="S1083" s="5" t="s">
        <v>1539</v>
      </c>
      <c r="T1083" s="6"/>
      <c r="U1083" s="6"/>
      <c r="V1083" s="5" t="s">
        <v>106</v>
      </c>
      <c r="W1083" s="12">
        <v>9649404</v>
      </c>
      <c r="X1083" s="6"/>
      <c r="Y1083" s="6"/>
    </row>
    <row r="1084" spans="1:25" ht="15" customHeight="1" x14ac:dyDescent="0.2">
      <c r="A1084" s="88" t="s">
        <v>1511</v>
      </c>
      <c r="B1084" s="90"/>
      <c r="C1084" s="88" t="s">
        <v>1553</v>
      </c>
      <c r="D1084" s="90"/>
      <c r="E1084" s="88" t="s">
        <v>1555</v>
      </c>
      <c r="F1084" s="89"/>
      <c r="G1084" s="89"/>
      <c r="H1084" s="89"/>
      <c r="I1084" s="90"/>
      <c r="J1084" s="88" t="s">
        <v>1499</v>
      </c>
      <c r="K1084" s="89"/>
      <c r="L1084" s="89"/>
      <c r="M1084" s="90"/>
      <c r="N1084" s="106"/>
      <c r="O1084" s="107"/>
      <c r="P1084" s="108"/>
      <c r="Q1084" s="133">
        <v>2000</v>
      </c>
      <c r="R1084" s="134"/>
      <c r="S1084" s="5" t="s">
        <v>1539</v>
      </c>
      <c r="T1084" s="6"/>
      <c r="U1084" s="6"/>
      <c r="V1084" s="5" t="s">
        <v>106</v>
      </c>
      <c r="W1084" s="12">
        <v>9649404</v>
      </c>
      <c r="X1084" s="6"/>
      <c r="Y1084" s="6"/>
    </row>
    <row r="1085" spans="1:25" ht="15" customHeight="1" x14ac:dyDescent="0.2">
      <c r="A1085" s="88" t="s">
        <v>1511</v>
      </c>
      <c r="B1085" s="90"/>
      <c r="C1085" s="88" t="s">
        <v>1553</v>
      </c>
      <c r="D1085" s="90"/>
      <c r="E1085" s="88" t="s">
        <v>1556</v>
      </c>
      <c r="F1085" s="89"/>
      <c r="G1085" s="89"/>
      <c r="H1085" s="89"/>
      <c r="I1085" s="90"/>
      <c r="J1085" s="88" t="s">
        <v>1499</v>
      </c>
      <c r="K1085" s="89"/>
      <c r="L1085" s="89"/>
      <c r="M1085" s="90"/>
      <c r="N1085" s="106"/>
      <c r="O1085" s="107"/>
      <c r="P1085" s="108"/>
      <c r="Q1085" s="133">
        <v>2000</v>
      </c>
      <c r="R1085" s="134"/>
      <c r="S1085" s="5" t="s">
        <v>1539</v>
      </c>
      <c r="T1085" s="6"/>
      <c r="U1085" s="6"/>
      <c r="V1085" s="5" t="s">
        <v>106</v>
      </c>
      <c r="W1085" s="12">
        <v>10380530</v>
      </c>
      <c r="X1085" s="6"/>
      <c r="Y1085" s="6"/>
    </row>
    <row r="1086" spans="1:25" ht="15" customHeight="1" x14ac:dyDescent="0.2">
      <c r="A1086" s="88" t="s">
        <v>1511</v>
      </c>
      <c r="B1086" s="90"/>
      <c r="C1086" s="88" t="s">
        <v>1553</v>
      </c>
      <c r="D1086" s="90"/>
      <c r="E1086" s="88" t="s">
        <v>1557</v>
      </c>
      <c r="F1086" s="89"/>
      <c r="G1086" s="89"/>
      <c r="H1086" s="89"/>
      <c r="I1086" s="90"/>
      <c r="J1086" s="88" t="s">
        <v>1499</v>
      </c>
      <c r="K1086" s="89"/>
      <c r="L1086" s="89"/>
      <c r="M1086" s="90"/>
      <c r="N1086" s="106"/>
      <c r="O1086" s="107"/>
      <c r="P1086" s="108"/>
      <c r="Q1086" s="133">
        <v>2000</v>
      </c>
      <c r="R1086" s="134"/>
      <c r="S1086" s="5" t="s">
        <v>1539</v>
      </c>
      <c r="T1086" s="6"/>
      <c r="U1086" s="6"/>
      <c r="V1086" s="5" t="s">
        <v>106</v>
      </c>
      <c r="W1086" s="12">
        <v>10380530</v>
      </c>
      <c r="X1086" s="6"/>
      <c r="Y1086" s="6"/>
    </row>
    <row r="1087" spans="1:25" ht="15" customHeight="1" x14ac:dyDescent="0.2">
      <c r="A1087" s="88" t="s">
        <v>1511</v>
      </c>
      <c r="B1087" s="90"/>
      <c r="C1087" s="88" t="s">
        <v>1558</v>
      </c>
      <c r="D1087" s="90"/>
      <c r="E1087" s="88" t="s">
        <v>1559</v>
      </c>
      <c r="F1087" s="89"/>
      <c r="G1087" s="89"/>
      <c r="H1087" s="89"/>
      <c r="I1087" s="90"/>
      <c r="J1087" s="88" t="s">
        <v>1499</v>
      </c>
      <c r="K1087" s="89"/>
      <c r="L1087" s="89"/>
      <c r="M1087" s="90"/>
      <c r="N1087" s="106"/>
      <c r="O1087" s="107"/>
      <c r="P1087" s="108"/>
      <c r="Q1087" s="133">
        <v>2000</v>
      </c>
      <c r="R1087" s="134"/>
      <c r="S1087" s="5" t="s">
        <v>1560</v>
      </c>
      <c r="T1087" s="6"/>
      <c r="U1087" s="6"/>
      <c r="V1087" s="5" t="s">
        <v>106</v>
      </c>
      <c r="W1087" s="12">
        <v>10234305</v>
      </c>
      <c r="X1087" s="6"/>
      <c r="Y1087" s="6"/>
    </row>
    <row r="1088" spans="1:25" ht="15" customHeight="1" x14ac:dyDescent="0.2">
      <c r="A1088" s="88" t="s">
        <v>1511</v>
      </c>
      <c r="B1088" s="90"/>
      <c r="C1088" s="88" t="s">
        <v>1558</v>
      </c>
      <c r="D1088" s="90"/>
      <c r="E1088" s="88" t="s">
        <v>1561</v>
      </c>
      <c r="F1088" s="89"/>
      <c r="G1088" s="89"/>
      <c r="H1088" s="89"/>
      <c r="I1088" s="90"/>
      <c r="J1088" s="88" t="s">
        <v>1499</v>
      </c>
      <c r="K1088" s="89"/>
      <c r="L1088" s="89"/>
      <c r="M1088" s="90"/>
      <c r="N1088" s="106"/>
      <c r="O1088" s="107"/>
      <c r="P1088" s="108"/>
      <c r="Q1088" s="133">
        <v>2000</v>
      </c>
      <c r="R1088" s="134"/>
      <c r="S1088" s="5" t="s">
        <v>1544</v>
      </c>
      <c r="T1088" s="6"/>
      <c r="U1088" s="6"/>
      <c r="V1088" s="5" t="s">
        <v>106</v>
      </c>
      <c r="W1088" s="12">
        <v>9210728</v>
      </c>
      <c r="X1088" s="6"/>
      <c r="Y1088" s="6"/>
    </row>
    <row r="1089" spans="1:25" ht="15" customHeight="1" x14ac:dyDescent="0.2">
      <c r="A1089" s="88" t="s">
        <v>1511</v>
      </c>
      <c r="B1089" s="90"/>
      <c r="C1089" s="88" t="s">
        <v>1558</v>
      </c>
      <c r="D1089" s="90"/>
      <c r="E1089" s="88" t="s">
        <v>1562</v>
      </c>
      <c r="F1089" s="89"/>
      <c r="G1089" s="89"/>
      <c r="H1089" s="89"/>
      <c r="I1089" s="90"/>
      <c r="J1089" s="88" t="s">
        <v>1499</v>
      </c>
      <c r="K1089" s="89"/>
      <c r="L1089" s="89"/>
      <c r="M1089" s="90"/>
      <c r="N1089" s="106"/>
      <c r="O1089" s="107"/>
      <c r="P1089" s="108"/>
      <c r="Q1089" s="133">
        <v>2000</v>
      </c>
      <c r="R1089" s="134"/>
      <c r="S1089" s="5" t="s">
        <v>814</v>
      </c>
      <c r="T1089" s="6"/>
      <c r="U1089" s="6"/>
      <c r="V1089" s="5" t="s">
        <v>106</v>
      </c>
      <c r="W1089" s="12">
        <v>8772053</v>
      </c>
      <c r="X1089" s="6"/>
      <c r="Y1089" s="6"/>
    </row>
    <row r="1090" spans="1:25" ht="15" customHeight="1" x14ac:dyDescent="0.2">
      <c r="A1090" s="88" t="s">
        <v>1511</v>
      </c>
      <c r="B1090" s="90"/>
      <c r="C1090" s="88" t="s">
        <v>1558</v>
      </c>
      <c r="D1090" s="90"/>
      <c r="E1090" s="88" t="s">
        <v>1563</v>
      </c>
      <c r="F1090" s="89"/>
      <c r="G1090" s="89"/>
      <c r="H1090" s="89"/>
      <c r="I1090" s="90"/>
      <c r="J1090" s="88" t="s">
        <v>1499</v>
      </c>
      <c r="K1090" s="89"/>
      <c r="L1090" s="89"/>
      <c r="M1090" s="90"/>
      <c r="N1090" s="106"/>
      <c r="O1090" s="107"/>
      <c r="P1090" s="108"/>
      <c r="Q1090" s="133">
        <v>2000</v>
      </c>
      <c r="R1090" s="134"/>
      <c r="S1090" s="5" t="s">
        <v>814</v>
      </c>
      <c r="T1090" s="6"/>
      <c r="U1090" s="6"/>
      <c r="V1090" s="5" t="s">
        <v>106</v>
      </c>
      <c r="W1090" s="12">
        <v>9210728</v>
      </c>
      <c r="X1090" s="6"/>
      <c r="Y1090" s="6"/>
    </row>
    <row r="1091" spans="1:25" ht="15" customHeight="1" x14ac:dyDescent="0.2">
      <c r="A1091" s="88" t="s">
        <v>1511</v>
      </c>
      <c r="B1091" s="90"/>
      <c r="C1091" s="88" t="s">
        <v>1558</v>
      </c>
      <c r="D1091" s="90"/>
      <c r="E1091" s="88" t="s">
        <v>1564</v>
      </c>
      <c r="F1091" s="89"/>
      <c r="G1091" s="89"/>
      <c r="H1091" s="89"/>
      <c r="I1091" s="90"/>
      <c r="J1091" s="88" t="s">
        <v>1499</v>
      </c>
      <c r="K1091" s="89"/>
      <c r="L1091" s="89"/>
      <c r="M1091" s="90"/>
      <c r="N1091" s="106"/>
      <c r="O1091" s="107"/>
      <c r="P1091" s="108"/>
      <c r="Q1091" s="133">
        <v>2000</v>
      </c>
      <c r="R1091" s="134"/>
      <c r="S1091" s="5" t="s">
        <v>814</v>
      </c>
      <c r="T1091" s="6"/>
      <c r="U1091" s="6"/>
      <c r="V1091" s="5" t="s">
        <v>106</v>
      </c>
      <c r="W1091" s="12">
        <v>9795629</v>
      </c>
      <c r="X1091" s="6"/>
      <c r="Y1091" s="6"/>
    </row>
    <row r="1092" spans="1:25" ht="15" customHeight="1" x14ac:dyDescent="0.2">
      <c r="A1092" s="88" t="s">
        <v>1511</v>
      </c>
      <c r="B1092" s="90"/>
      <c r="C1092" s="88" t="s">
        <v>1565</v>
      </c>
      <c r="D1092" s="90"/>
      <c r="E1092" s="88" t="s">
        <v>1566</v>
      </c>
      <c r="F1092" s="89"/>
      <c r="G1092" s="89"/>
      <c r="H1092" s="89"/>
      <c r="I1092" s="90"/>
      <c r="J1092" s="88" t="s">
        <v>1499</v>
      </c>
      <c r="K1092" s="89"/>
      <c r="L1092" s="89"/>
      <c r="M1092" s="90"/>
      <c r="N1092" s="106"/>
      <c r="O1092" s="107"/>
      <c r="P1092" s="108"/>
      <c r="Q1092" s="133">
        <v>2000</v>
      </c>
      <c r="R1092" s="134"/>
      <c r="S1092" s="5" t="s">
        <v>814</v>
      </c>
      <c r="T1092" s="6"/>
      <c r="U1092" s="6"/>
      <c r="V1092" s="5" t="s">
        <v>106</v>
      </c>
      <c r="W1092" s="12">
        <v>9210728</v>
      </c>
      <c r="X1092" s="6"/>
      <c r="Y1092" s="6"/>
    </row>
    <row r="1093" spans="1:25" ht="15" customHeight="1" x14ac:dyDescent="0.2">
      <c r="A1093" s="88" t="s">
        <v>1511</v>
      </c>
      <c r="B1093" s="90"/>
      <c r="C1093" s="88" t="s">
        <v>1565</v>
      </c>
      <c r="D1093" s="90"/>
      <c r="E1093" s="88" t="s">
        <v>1567</v>
      </c>
      <c r="F1093" s="89"/>
      <c r="G1093" s="89"/>
      <c r="H1093" s="89"/>
      <c r="I1093" s="90"/>
      <c r="J1093" s="88" t="s">
        <v>1499</v>
      </c>
      <c r="K1093" s="89"/>
      <c r="L1093" s="89"/>
      <c r="M1093" s="90"/>
      <c r="N1093" s="106"/>
      <c r="O1093" s="107"/>
      <c r="P1093" s="108"/>
      <c r="Q1093" s="133">
        <v>2000</v>
      </c>
      <c r="R1093" s="134"/>
      <c r="S1093" s="5" t="s">
        <v>814</v>
      </c>
      <c r="T1093" s="6"/>
      <c r="U1093" s="6"/>
      <c r="V1093" s="5" t="s">
        <v>106</v>
      </c>
      <c r="W1093" s="12">
        <v>8772053</v>
      </c>
      <c r="X1093" s="6"/>
      <c r="Y1093" s="6"/>
    </row>
    <row r="1094" spans="1:25" ht="15" customHeight="1" x14ac:dyDescent="0.2">
      <c r="A1094" s="88" t="s">
        <v>1511</v>
      </c>
      <c r="B1094" s="90"/>
      <c r="C1094" s="88" t="s">
        <v>1565</v>
      </c>
      <c r="D1094" s="90"/>
      <c r="E1094" s="88" t="s">
        <v>1568</v>
      </c>
      <c r="F1094" s="89"/>
      <c r="G1094" s="89"/>
      <c r="H1094" s="89"/>
      <c r="I1094" s="90"/>
      <c r="J1094" s="88" t="s">
        <v>1499</v>
      </c>
      <c r="K1094" s="89"/>
      <c r="L1094" s="89"/>
      <c r="M1094" s="90"/>
      <c r="N1094" s="106"/>
      <c r="O1094" s="107"/>
      <c r="P1094" s="108"/>
      <c r="Q1094" s="133">
        <v>2000</v>
      </c>
      <c r="R1094" s="134"/>
      <c r="S1094" s="5" t="s">
        <v>814</v>
      </c>
      <c r="T1094" s="6"/>
      <c r="U1094" s="6"/>
      <c r="V1094" s="5" t="s">
        <v>106</v>
      </c>
      <c r="W1094" s="12">
        <v>8421112</v>
      </c>
      <c r="X1094" s="6"/>
      <c r="Y1094" s="6"/>
    </row>
    <row r="1095" spans="1:25" ht="15" customHeight="1" x14ac:dyDescent="0.2">
      <c r="A1095" s="88" t="s">
        <v>1511</v>
      </c>
      <c r="B1095" s="90"/>
      <c r="C1095" s="88" t="s">
        <v>1565</v>
      </c>
      <c r="D1095" s="90"/>
      <c r="E1095" s="88" t="s">
        <v>1569</v>
      </c>
      <c r="F1095" s="89"/>
      <c r="G1095" s="89"/>
      <c r="H1095" s="89"/>
      <c r="I1095" s="90"/>
      <c r="J1095" s="88" t="s">
        <v>1499</v>
      </c>
      <c r="K1095" s="89"/>
      <c r="L1095" s="89"/>
      <c r="M1095" s="90"/>
      <c r="N1095" s="106"/>
      <c r="O1095" s="107"/>
      <c r="P1095" s="108"/>
      <c r="Q1095" s="133">
        <v>2000</v>
      </c>
      <c r="R1095" s="134"/>
      <c r="S1095" s="5" t="s">
        <v>814</v>
      </c>
      <c r="T1095" s="6"/>
      <c r="U1095" s="6"/>
      <c r="V1095" s="5" t="s">
        <v>106</v>
      </c>
      <c r="W1095" s="12">
        <v>8274887</v>
      </c>
      <c r="X1095" s="6"/>
      <c r="Y1095" s="6"/>
    </row>
    <row r="1096" spans="1:25" ht="15" customHeight="1" x14ac:dyDescent="0.2">
      <c r="A1096" s="88" t="s">
        <v>1511</v>
      </c>
      <c r="B1096" s="90"/>
      <c r="C1096" s="88" t="s">
        <v>1570</v>
      </c>
      <c r="D1096" s="90"/>
      <c r="E1096" s="88" t="s">
        <v>1521</v>
      </c>
      <c r="F1096" s="89"/>
      <c r="G1096" s="89"/>
      <c r="H1096" s="89"/>
      <c r="I1096" s="90"/>
      <c r="J1096" s="88" t="s">
        <v>1246</v>
      </c>
      <c r="K1096" s="89"/>
      <c r="L1096" s="89"/>
      <c r="M1096" s="90"/>
      <c r="N1096" s="88" t="s">
        <v>26</v>
      </c>
      <c r="O1096" s="89"/>
      <c r="P1096" s="90"/>
      <c r="Q1096" s="133">
        <v>2300</v>
      </c>
      <c r="R1096" s="134"/>
      <c r="S1096" s="5" t="s">
        <v>27</v>
      </c>
      <c r="T1096" s="6"/>
      <c r="U1096" s="6"/>
      <c r="V1096" s="5" t="s">
        <v>702</v>
      </c>
      <c r="W1096" s="12">
        <v>8961519</v>
      </c>
      <c r="X1096" s="6"/>
      <c r="Y1096" s="6"/>
    </row>
    <row r="1097" spans="1:25" ht="15" customHeight="1" x14ac:dyDescent="0.2">
      <c r="A1097" s="88" t="s">
        <v>1511</v>
      </c>
      <c r="B1097" s="90"/>
      <c r="C1097" s="88" t="s">
        <v>1570</v>
      </c>
      <c r="D1097" s="90"/>
      <c r="E1097" s="88" t="s">
        <v>1521</v>
      </c>
      <c r="F1097" s="89"/>
      <c r="G1097" s="89"/>
      <c r="H1097" s="89"/>
      <c r="I1097" s="90"/>
      <c r="J1097" s="88" t="s">
        <v>1499</v>
      </c>
      <c r="K1097" s="89"/>
      <c r="L1097" s="89"/>
      <c r="M1097" s="90"/>
      <c r="N1097" s="88" t="s">
        <v>26</v>
      </c>
      <c r="O1097" s="89"/>
      <c r="P1097" s="90"/>
      <c r="Q1097" s="133">
        <v>2300</v>
      </c>
      <c r="R1097" s="134"/>
      <c r="S1097" s="5" t="s">
        <v>27</v>
      </c>
      <c r="T1097" s="6"/>
      <c r="U1097" s="6"/>
      <c r="V1097" s="5" t="s">
        <v>702</v>
      </c>
      <c r="W1097" s="12">
        <v>8961519</v>
      </c>
      <c r="X1097" s="6"/>
      <c r="Y1097" s="6"/>
    </row>
    <row r="1098" spans="1:25" ht="15" customHeight="1" x14ac:dyDescent="0.2">
      <c r="A1098" s="88" t="s">
        <v>1511</v>
      </c>
      <c r="B1098" s="90"/>
      <c r="C1098" s="88" t="s">
        <v>1570</v>
      </c>
      <c r="D1098" s="90"/>
      <c r="E1098" s="88" t="s">
        <v>1571</v>
      </c>
      <c r="F1098" s="89"/>
      <c r="G1098" s="89"/>
      <c r="H1098" s="89"/>
      <c r="I1098" s="90"/>
      <c r="J1098" s="88" t="s">
        <v>1499</v>
      </c>
      <c r="K1098" s="89"/>
      <c r="L1098" s="89"/>
      <c r="M1098" s="90"/>
      <c r="N1098" s="88" t="s">
        <v>26</v>
      </c>
      <c r="O1098" s="89"/>
      <c r="P1098" s="90"/>
      <c r="Q1098" s="133">
        <v>2300</v>
      </c>
      <c r="R1098" s="134"/>
      <c r="S1098" s="5" t="s">
        <v>27</v>
      </c>
      <c r="T1098" s="6"/>
      <c r="U1098" s="6"/>
      <c r="V1098" s="5" t="s">
        <v>702</v>
      </c>
      <c r="W1098" s="12">
        <v>9811714</v>
      </c>
      <c r="X1098" s="6"/>
      <c r="Y1098" s="6"/>
    </row>
    <row r="1099" spans="1:25" ht="15" customHeight="1" x14ac:dyDescent="0.2">
      <c r="A1099" s="88" t="s">
        <v>1511</v>
      </c>
      <c r="B1099" s="90"/>
      <c r="C1099" s="88" t="s">
        <v>1540</v>
      </c>
      <c r="D1099" s="90"/>
      <c r="E1099" s="88" t="s">
        <v>1572</v>
      </c>
      <c r="F1099" s="89"/>
      <c r="G1099" s="89"/>
      <c r="H1099" s="89"/>
      <c r="I1099" s="90"/>
      <c r="J1099" s="88" t="s">
        <v>1499</v>
      </c>
      <c r="K1099" s="89"/>
      <c r="L1099" s="89"/>
      <c r="M1099" s="90"/>
      <c r="N1099" s="88" t="s">
        <v>1542</v>
      </c>
      <c r="O1099" s="89"/>
      <c r="P1099" s="90"/>
      <c r="Q1099" s="133">
        <v>2300</v>
      </c>
      <c r="R1099" s="134"/>
      <c r="S1099" s="5" t="s">
        <v>1543</v>
      </c>
      <c r="T1099" s="6"/>
      <c r="U1099" s="6"/>
      <c r="V1099" s="5" t="s">
        <v>106</v>
      </c>
      <c r="W1099" s="12">
        <v>11111657</v>
      </c>
      <c r="X1099" s="6"/>
      <c r="Y1099" s="6"/>
    </row>
    <row r="1100" spans="1:25" ht="15" customHeight="1" x14ac:dyDescent="0.2">
      <c r="A1100" s="88" t="s">
        <v>1511</v>
      </c>
      <c r="B1100" s="90"/>
      <c r="C1100" s="88" t="s">
        <v>1540</v>
      </c>
      <c r="D1100" s="90"/>
      <c r="E1100" s="88" t="s">
        <v>1573</v>
      </c>
      <c r="F1100" s="89"/>
      <c r="G1100" s="89"/>
      <c r="H1100" s="89"/>
      <c r="I1100" s="90"/>
      <c r="J1100" s="88" t="s">
        <v>1499</v>
      </c>
      <c r="K1100" s="89"/>
      <c r="L1100" s="89"/>
      <c r="M1100" s="90"/>
      <c r="N1100" s="88" t="s">
        <v>1542</v>
      </c>
      <c r="O1100" s="89"/>
      <c r="P1100" s="90"/>
      <c r="Q1100" s="133">
        <v>2300</v>
      </c>
      <c r="R1100" s="134"/>
      <c r="S1100" s="5" t="s">
        <v>1543</v>
      </c>
      <c r="T1100" s="6"/>
      <c r="U1100" s="6"/>
      <c r="V1100" s="5" t="s">
        <v>106</v>
      </c>
      <c r="W1100" s="12">
        <v>12720134</v>
      </c>
      <c r="X1100" s="6"/>
      <c r="Y1100" s="6"/>
    </row>
    <row r="1101" spans="1:25" ht="15" customHeight="1" x14ac:dyDescent="0.2">
      <c r="A1101" s="88" t="s">
        <v>1511</v>
      </c>
      <c r="B1101" s="90"/>
      <c r="C1101" s="88" t="s">
        <v>1540</v>
      </c>
      <c r="D1101" s="90"/>
      <c r="E1101" s="88" t="s">
        <v>1574</v>
      </c>
      <c r="F1101" s="89"/>
      <c r="G1101" s="89"/>
      <c r="H1101" s="89"/>
      <c r="I1101" s="90"/>
      <c r="J1101" s="88" t="s">
        <v>1499</v>
      </c>
      <c r="K1101" s="89"/>
      <c r="L1101" s="89"/>
      <c r="M1101" s="90"/>
      <c r="N1101" s="88" t="s">
        <v>1542</v>
      </c>
      <c r="O1101" s="89"/>
      <c r="P1101" s="90"/>
      <c r="Q1101" s="133">
        <v>2300</v>
      </c>
      <c r="R1101" s="134"/>
      <c r="S1101" s="5" t="s">
        <v>1543</v>
      </c>
      <c r="T1101" s="6"/>
      <c r="U1101" s="6"/>
      <c r="V1101" s="5" t="s">
        <v>106</v>
      </c>
      <c r="W1101" s="12">
        <v>11696558</v>
      </c>
      <c r="X1101" s="6"/>
      <c r="Y1101" s="6"/>
    </row>
    <row r="1102" spans="1:25" ht="15" customHeight="1" x14ac:dyDescent="0.2">
      <c r="A1102" s="88" t="s">
        <v>1511</v>
      </c>
      <c r="B1102" s="90"/>
      <c r="C1102" s="88" t="s">
        <v>1540</v>
      </c>
      <c r="D1102" s="90"/>
      <c r="E1102" s="88" t="s">
        <v>1575</v>
      </c>
      <c r="F1102" s="89"/>
      <c r="G1102" s="89"/>
      <c r="H1102" s="89"/>
      <c r="I1102" s="90"/>
      <c r="J1102" s="88" t="s">
        <v>1499</v>
      </c>
      <c r="K1102" s="89"/>
      <c r="L1102" s="89"/>
      <c r="M1102" s="90"/>
      <c r="N1102" s="88" t="s">
        <v>1542</v>
      </c>
      <c r="O1102" s="89"/>
      <c r="P1102" s="90"/>
      <c r="Q1102" s="133">
        <v>2300</v>
      </c>
      <c r="R1102" s="134"/>
      <c r="S1102" s="5" t="s">
        <v>1543</v>
      </c>
      <c r="T1102" s="6"/>
      <c r="U1102" s="6"/>
      <c r="V1102" s="5" t="s">
        <v>106</v>
      </c>
      <c r="W1102" s="12">
        <v>10526756</v>
      </c>
      <c r="X1102" s="6"/>
      <c r="Y1102" s="6"/>
    </row>
    <row r="1103" spans="1:25" ht="15" customHeight="1" x14ac:dyDescent="0.2">
      <c r="A1103" s="88" t="s">
        <v>1511</v>
      </c>
      <c r="B1103" s="90"/>
      <c r="C1103" s="88" t="s">
        <v>1528</v>
      </c>
      <c r="D1103" s="90"/>
      <c r="E1103" s="88" t="s">
        <v>1576</v>
      </c>
      <c r="F1103" s="89"/>
      <c r="G1103" s="89"/>
      <c r="H1103" s="89"/>
      <c r="I1103" s="90"/>
      <c r="J1103" s="88" t="s">
        <v>1499</v>
      </c>
      <c r="K1103" s="89"/>
      <c r="L1103" s="89"/>
      <c r="M1103" s="90"/>
      <c r="N1103" s="88" t="s">
        <v>14</v>
      </c>
      <c r="O1103" s="89"/>
      <c r="P1103" s="90"/>
      <c r="Q1103" s="133">
        <v>2500</v>
      </c>
      <c r="R1103" s="134"/>
      <c r="S1103" s="5" t="s">
        <v>16</v>
      </c>
      <c r="T1103" s="6"/>
      <c r="U1103" s="6"/>
      <c r="V1103" s="5" t="s">
        <v>106</v>
      </c>
      <c r="W1103" s="12">
        <v>9892138</v>
      </c>
      <c r="X1103" s="6"/>
      <c r="Y1103" s="6"/>
    </row>
    <row r="1104" spans="1:25" ht="15" customHeight="1" x14ac:dyDescent="0.2">
      <c r="A1104" s="88" t="s">
        <v>1511</v>
      </c>
      <c r="B1104" s="90"/>
      <c r="C1104" s="88" t="s">
        <v>1528</v>
      </c>
      <c r="D1104" s="90"/>
      <c r="E1104" s="88" t="s">
        <v>1576</v>
      </c>
      <c r="F1104" s="89"/>
      <c r="G1104" s="89"/>
      <c r="H1104" s="89"/>
      <c r="I1104" s="90"/>
      <c r="J1104" s="88" t="s">
        <v>1499</v>
      </c>
      <c r="K1104" s="89"/>
      <c r="L1104" s="89"/>
      <c r="M1104" s="90"/>
      <c r="N1104" s="88" t="s">
        <v>14</v>
      </c>
      <c r="O1104" s="89"/>
      <c r="P1104" s="90"/>
      <c r="Q1104" s="133">
        <v>2500</v>
      </c>
      <c r="R1104" s="134"/>
      <c r="S1104" s="5" t="s">
        <v>16</v>
      </c>
      <c r="T1104" s="6"/>
      <c r="U1104" s="6"/>
      <c r="V1104" s="5" t="s">
        <v>702</v>
      </c>
      <c r="W1104" s="12">
        <v>6996878</v>
      </c>
      <c r="X1104" s="6"/>
      <c r="Y1104" s="6"/>
    </row>
    <row r="1105" spans="1:25" ht="15" customHeight="1" x14ac:dyDescent="0.2">
      <c r="A1105" s="88" t="s">
        <v>1511</v>
      </c>
      <c r="B1105" s="90"/>
      <c r="C1105" s="88" t="s">
        <v>1532</v>
      </c>
      <c r="D1105" s="90"/>
      <c r="E1105" s="88" t="s">
        <v>1577</v>
      </c>
      <c r="F1105" s="89"/>
      <c r="G1105" s="89"/>
      <c r="H1105" s="89"/>
      <c r="I1105" s="90"/>
      <c r="J1105" s="88" t="s">
        <v>1499</v>
      </c>
      <c r="K1105" s="89"/>
      <c r="L1105" s="89"/>
      <c r="M1105" s="90"/>
      <c r="N1105" s="88" t="s">
        <v>22</v>
      </c>
      <c r="O1105" s="89"/>
      <c r="P1105" s="90"/>
      <c r="Q1105" s="133">
        <v>3000</v>
      </c>
      <c r="R1105" s="134"/>
      <c r="S1105" s="5" t="s">
        <v>16</v>
      </c>
      <c r="T1105" s="6"/>
      <c r="U1105" s="6"/>
      <c r="V1105" s="5" t="s">
        <v>106</v>
      </c>
      <c r="W1105" s="12">
        <v>13460948</v>
      </c>
      <c r="X1105" s="6"/>
      <c r="Y1105" s="6"/>
    </row>
    <row r="1106" spans="1:25" ht="15" customHeight="1" x14ac:dyDescent="0.2">
      <c r="A1106" s="88" t="s">
        <v>1511</v>
      </c>
      <c r="B1106" s="90"/>
      <c r="C1106" s="88" t="s">
        <v>1532</v>
      </c>
      <c r="D1106" s="90"/>
      <c r="E1106" s="88" t="s">
        <v>1578</v>
      </c>
      <c r="F1106" s="89"/>
      <c r="G1106" s="89"/>
      <c r="H1106" s="89"/>
      <c r="I1106" s="90"/>
      <c r="J1106" s="88" t="s">
        <v>1499</v>
      </c>
      <c r="K1106" s="89"/>
      <c r="L1106" s="89"/>
      <c r="M1106" s="90"/>
      <c r="N1106" s="88" t="s">
        <v>22</v>
      </c>
      <c r="O1106" s="89"/>
      <c r="P1106" s="90"/>
      <c r="Q1106" s="133">
        <v>3000</v>
      </c>
      <c r="R1106" s="134"/>
      <c r="S1106" s="5" t="s">
        <v>16</v>
      </c>
      <c r="T1106" s="6"/>
      <c r="U1106" s="6"/>
      <c r="V1106" s="5" t="s">
        <v>106</v>
      </c>
      <c r="W1106" s="12">
        <v>12849483</v>
      </c>
      <c r="X1106" s="6"/>
      <c r="Y1106" s="6"/>
    </row>
    <row r="1107" spans="1:25" ht="15" customHeight="1" x14ac:dyDescent="0.2">
      <c r="A1107" s="88" t="s">
        <v>1511</v>
      </c>
      <c r="B1107" s="90"/>
      <c r="C1107" s="88" t="s">
        <v>1532</v>
      </c>
      <c r="D1107" s="90"/>
      <c r="E1107" s="88" t="s">
        <v>1579</v>
      </c>
      <c r="F1107" s="89"/>
      <c r="G1107" s="89"/>
      <c r="H1107" s="89"/>
      <c r="I1107" s="90"/>
      <c r="J1107" s="88" t="s">
        <v>1499</v>
      </c>
      <c r="K1107" s="89"/>
      <c r="L1107" s="89"/>
      <c r="M1107" s="90"/>
      <c r="N1107" s="88" t="s">
        <v>22</v>
      </c>
      <c r="O1107" s="89"/>
      <c r="P1107" s="90"/>
      <c r="Q1107" s="133">
        <v>3000</v>
      </c>
      <c r="R1107" s="134"/>
      <c r="S1107" s="5" t="s">
        <v>16</v>
      </c>
      <c r="T1107" s="6"/>
      <c r="U1107" s="6"/>
      <c r="V1107" s="5" t="s">
        <v>106</v>
      </c>
      <c r="W1107" s="9">
        <v>11681204</v>
      </c>
      <c r="X1107" s="6"/>
      <c r="Y1107" s="6"/>
    </row>
    <row r="1108" spans="1:25" ht="15" customHeight="1" x14ac:dyDescent="0.2">
      <c r="A1108" s="88" t="s">
        <v>1511</v>
      </c>
      <c r="B1108" s="90"/>
      <c r="C1108" s="88" t="s">
        <v>1532</v>
      </c>
      <c r="D1108" s="90"/>
      <c r="E1108" s="88" t="s">
        <v>1580</v>
      </c>
      <c r="F1108" s="89"/>
      <c r="G1108" s="89"/>
      <c r="H1108" s="89"/>
      <c r="I1108" s="90"/>
      <c r="J1108" s="88" t="s">
        <v>1499</v>
      </c>
      <c r="K1108" s="89"/>
      <c r="L1108" s="89"/>
      <c r="M1108" s="90"/>
      <c r="N1108" s="88" t="s">
        <v>22</v>
      </c>
      <c r="O1108" s="89"/>
      <c r="P1108" s="90"/>
      <c r="Q1108" s="133">
        <v>3000</v>
      </c>
      <c r="R1108" s="134"/>
      <c r="S1108" s="5" t="s">
        <v>16</v>
      </c>
      <c r="T1108" s="6"/>
      <c r="U1108" s="6"/>
      <c r="V1108" s="5" t="s">
        <v>106</v>
      </c>
      <c r="W1108" s="9">
        <v>12132675</v>
      </c>
      <c r="X1108" s="6"/>
      <c r="Y1108" s="6"/>
    </row>
    <row r="1109" spans="1:25" ht="15" customHeight="1" x14ac:dyDescent="0.2">
      <c r="A1109" s="88" t="s">
        <v>1511</v>
      </c>
      <c r="B1109" s="90"/>
      <c r="C1109" s="88" t="s">
        <v>1532</v>
      </c>
      <c r="D1109" s="90"/>
      <c r="E1109" s="88" t="s">
        <v>1581</v>
      </c>
      <c r="F1109" s="89"/>
      <c r="G1109" s="89"/>
      <c r="H1109" s="89"/>
      <c r="I1109" s="90"/>
      <c r="J1109" s="88" t="s">
        <v>1499</v>
      </c>
      <c r="K1109" s="89"/>
      <c r="L1109" s="89"/>
      <c r="M1109" s="90"/>
      <c r="N1109" s="88" t="s">
        <v>22</v>
      </c>
      <c r="O1109" s="89"/>
      <c r="P1109" s="90"/>
      <c r="Q1109" s="133">
        <v>3000</v>
      </c>
      <c r="R1109" s="134"/>
      <c r="S1109" s="5" t="s">
        <v>16</v>
      </c>
      <c r="T1109" s="6"/>
      <c r="U1109" s="6"/>
      <c r="V1109" s="5" t="s">
        <v>106</v>
      </c>
      <c r="W1109" s="9">
        <v>12189702</v>
      </c>
      <c r="X1109" s="6"/>
      <c r="Y1109" s="6"/>
    </row>
    <row r="1110" spans="1:25" ht="15" customHeight="1" x14ac:dyDescent="0.2">
      <c r="A1110" s="88" t="s">
        <v>1511</v>
      </c>
      <c r="B1110" s="90"/>
      <c r="C1110" s="88" t="s">
        <v>1540</v>
      </c>
      <c r="D1110" s="90"/>
      <c r="E1110" s="88" t="s">
        <v>1582</v>
      </c>
      <c r="F1110" s="89"/>
      <c r="G1110" s="89"/>
      <c r="H1110" s="89"/>
      <c r="I1110" s="90"/>
      <c r="J1110" s="88" t="s">
        <v>1499</v>
      </c>
      <c r="K1110" s="89"/>
      <c r="L1110" s="89"/>
      <c r="M1110" s="90"/>
      <c r="N1110" s="88" t="s">
        <v>1542</v>
      </c>
      <c r="O1110" s="89"/>
      <c r="P1110" s="90"/>
      <c r="Q1110" s="133">
        <v>3000</v>
      </c>
      <c r="R1110" s="134"/>
      <c r="S1110" s="5" t="s">
        <v>1543</v>
      </c>
      <c r="T1110" s="6"/>
      <c r="U1110" s="6"/>
      <c r="V1110" s="5" t="s">
        <v>106</v>
      </c>
      <c r="W1110" s="9">
        <v>12774238</v>
      </c>
      <c r="X1110" s="6"/>
      <c r="Y1110" s="6"/>
    </row>
    <row r="1111" spans="1:25" ht="15" customHeight="1" x14ac:dyDescent="0.2">
      <c r="A1111" s="88" t="s">
        <v>1511</v>
      </c>
      <c r="B1111" s="90"/>
      <c r="C1111" s="88" t="s">
        <v>1540</v>
      </c>
      <c r="D1111" s="90"/>
      <c r="E1111" s="88" t="s">
        <v>1583</v>
      </c>
      <c r="F1111" s="89"/>
      <c r="G1111" s="89"/>
      <c r="H1111" s="89"/>
      <c r="I1111" s="90"/>
      <c r="J1111" s="88" t="s">
        <v>1499</v>
      </c>
      <c r="K1111" s="89"/>
      <c r="L1111" s="89"/>
      <c r="M1111" s="90"/>
      <c r="N1111" s="88" t="s">
        <v>1542</v>
      </c>
      <c r="O1111" s="89"/>
      <c r="P1111" s="90"/>
      <c r="Q1111" s="133">
        <v>3000</v>
      </c>
      <c r="R1111" s="134"/>
      <c r="S1111" s="5" t="s">
        <v>1543</v>
      </c>
      <c r="T1111" s="6"/>
      <c r="U1111" s="6"/>
      <c r="V1111" s="5" t="s">
        <v>106</v>
      </c>
      <c r="W1111" s="10">
        <v>14326663</v>
      </c>
      <c r="X1111" s="6"/>
      <c r="Y1111" s="6"/>
    </row>
    <row r="1112" spans="1:25" ht="15" customHeight="1" x14ac:dyDescent="0.2">
      <c r="A1112" s="88" t="s">
        <v>1511</v>
      </c>
      <c r="B1112" s="90"/>
      <c r="C1112" s="88" t="s">
        <v>1540</v>
      </c>
      <c r="D1112" s="90"/>
      <c r="E1112" s="88" t="s">
        <v>1584</v>
      </c>
      <c r="F1112" s="89"/>
      <c r="G1112" s="89"/>
      <c r="H1112" s="89"/>
      <c r="I1112" s="90"/>
      <c r="J1112" s="88" t="s">
        <v>1499</v>
      </c>
      <c r="K1112" s="89"/>
      <c r="L1112" s="89"/>
      <c r="M1112" s="90"/>
      <c r="N1112" s="88" t="s">
        <v>1542</v>
      </c>
      <c r="O1112" s="89"/>
      <c r="P1112" s="90"/>
      <c r="Q1112" s="133">
        <v>3000</v>
      </c>
      <c r="R1112" s="134"/>
      <c r="S1112" s="5" t="s">
        <v>1543</v>
      </c>
      <c r="T1112" s="6"/>
      <c r="U1112" s="6"/>
      <c r="V1112" s="5" t="s">
        <v>106</v>
      </c>
      <c r="W1112" s="9">
        <v>11301018</v>
      </c>
      <c r="X1112" s="6"/>
      <c r="Y1112" s="6"/>
    </row>
    <row r="1113" spans="1:25" ht="15" customHeight="1" x14ac:dyDescent="0.2">
      <c r="A1113" s="88" t="s">
        <v>1511</v>
      </c>
      <c r="B1113" s="90"/>
      <c r="C1113" s="88" t="s">
        <v>1540</v>
      </c>
      <c r="D1113" s="90"/>
      <c r="E1113" s="88" t="s">
        <v>1585</v>
      </c>
      <c r="F1113" s="89"/>
      <c r="G1113" s="89"/>
      <c r="H1113" s="89"/>
      <c r="I1113" s="90"/>
      <c r="J1113" s="88" t="s">
        <v>1499</v>
      </c>
      <c r="K1113" s="89"/>
      <c r="L1113" s="89"/>
      <c r="M1113" s="90"/>
      <c r="N1113" s="88" t="s">
        <v>1542</v>
      </c>
      <c r="O1113" s="89"/>
      <c r="P1113" s="90"/>
      <c r="Q1113" s="133">
        <v>3000</v>
      </c>
      <c r="R1113" s="134"/>
      <c r="S1113" s="5" t="s">
        <v>1543</v>
      </c>
      <c r="T1113" s="6"/>
      <c r="U1113" s="6"/>
      <c r="V1113" s="5" t="s">
        <v>106</v>
      </c>
      <c r="W1113" s="9">
        <v>11855456</v>
      </c>
      <c r="X1113" s="6"/>
      <c r="Y1113" s="6"/>
    </row>
    <row r="1114" spans="1:25" ht="15" customHeight="1" x14ac:dyDescent="0.2">
      <c r="A1114" s="88" t="s">
        <v>1511</v>
      </c>
      <c r="B1114" s="90"/>
      <c r="C1114" s="88" t="s">
        <v>1540</v>
      </c>
      <c r="D1114" s="90"/>
      <c r="E1114" s="88" t="s">
        <v>1586</v>
      </c>
      <c r="F1114" s="89"/>
      <c r="G1114" s="89"/>
      <c r="H1114" s="89"/>
      <c r="I1114" s="90"/>
      <c r="J1114" s="88" t="s">
        <v>1499</v>
      </c>
      <c r="K1114" s="89"/>
      <c r="L1114" s="89"/>
      <c r="M1114" s="90"/>
      <c r="N1114" s="88" t="s">
        <v>1542</v>
      </c>
      <c r="O1114" s="89"/>
      <c r="P1114" s="90"/>
      <c r="Q1114" s="133">
        <v>3000</v>
      </c>
      <c r="R1114" s="134"/>
      <c r="S1114" s="5" t="s">
        <v>1543</v>
      </c>
      <c r="T1114" s="6"/>
      <c r="U1114" s="6"/>
      <c r="V1114" s="5" t="s">
        <v>106</v>
      </c>
      <c r="W1114" s="10">
        <v>10904992</v>
      </c>
      <c r="X1114" s="6"/>
      <c r="Y1114" s="6"/>
    </row>
    <row r="1115" spans="1:25" ht="15" customHeight="1" x14ac:dyDescent="0.2">
      <c r="A1115" s="88" t="s">
        <v>1511</v>
      </c>
      <c r="B1115" s="90"/>
      <c r="C1115" s="88" t="s">
        <v>1587</v>
      </c>
      <c r="D1115" s="90"/>
      <c r="E1115" s="88" t="s">
        <v>1588</v>
      </c>
      <c r="F1115" s="89"/>
      <c r="G1115" s="89"/>
      <c r="H1115" s="89"/>
      <c r="I1115" s="90"/>
      <c r="J1115" s="88" t="s">
        <v>1499</v>
      </c>
      <c r="K1115" s="89"/>
      <c r="L1115" s="89"/>
      <c r="M1115" s="90"/>
      <c r="N1115" s="88" t="s">
        <v>22</v>
      </c>
      <c r="O1115" s="89"/>
      <c r="P1115" s="90"/>
      <c r="Q1115" s="133">
        <v>3500</v>
      </c>
      <c r="R1115" s="134"/>
      <c r="S1115" s="5" t="s">
        <v>1589</v>
      </c>
      <c r="T1115" s="6"/>
      <c r="U1115" s="6"/>
      <c r="V1115" s="5" t="s">
        <v>702</v>
      </c>
      <c r="W1115" s="10">
        <v>22327194</v>
      </c>
      <c r="X1115" s="6"/>
      <c r="Y1115" s="6"/>
    </row>
    <row r="1116" spans="1:25" ht="15" customHeight="1" x14ac:dyDescent="0.2">
      <c r="A1116" s="88" t="s">
        <v>1511</v>
      </c>
      <c r="B1116" s="90"/>
      <c r="C1116" s="88" t="s">
        <v>1587</v>
      </c>
      <c r="D1116" s="90"/>
      <c r="E1116" s="88" t="s">
        <v>1590</v>
      </c>
      <c r="F1116" s="89"/>
      <c r="G1116" s="89"/>
      <c r="H1116" s="89"/>
      <c r="I1116" s="90"/>
      <c r="J1116" s="88" t="s">
        <v>1499</v>
      </c>
      <c r="K1116" s="89"/>
      <c r="L1116" s="89"/>
      <c r="M1116" s="90"/>
      <c r="N1116" s="88" t="s">
        <v>22</v>
      </c>
      <c r="O1116" s="89"/>
      <c r="P1116" s="90"/>
      <c r="Q1116" s="133">
        <v>3500</v>
      </c>
      <c r="R1116" s="134"/>
      <c r="S1116" s="5" t="s">
        <v>1589</v>
      </c>
      <c r="T1116" s="6"/>
      <c r="U1116" s="6"/>
      <c r="V1116" s="5" t="s">
        <v>702</v>
      </c>
      <c r="W1116" s="10">
        <v>22169576</v>
      </c>
      <c r="X1116" s="6"/>
      <c r="Y1116" s="6"/>
    </row>
    <row r="1117" spans="1:25" ht="15" customHeight="1" x14ac:dyDescent="0.2">
      <c r="A1117" s="88" t="s">
        <v>1511</v>
      </c>
      <c r="B1117" s="90"/>
      <c r="C1117" s="88" t="s">
        <v>1587</v>
      </c>
      <c r="D1117" s="90"/>
      <c r="E1117" s="88" t="s">
        <v>1591</v>
      </c>
      <c r="F1117" s="89"/>
      <c r="G1117" s="89"/>
      <c r="H1117" s="89"/>
      <c r="I1117" s="90"/>
      <c r="J1117" s="88" t="s">
        <v>1499</v>
      </c>
      <c r="K1117" s="89"/>
      <c r="L1117" s="89"/>
      <c r="M1117" s="90"/>
      <c r="N1117" s="88" t="s">
        <v>1542</v>
      </c>
      <c r="O1117" s="89"/>
      <c r="P1117" s="90"/>
      <c r="Q1117" s="133">
        <v>3500</v>
      </c>
      <c r="R1117" s="134"/>
      <c r="S1117" s="5" t="s">
        <v>1589</v>
      </c>
      <c r="T1117" s="6"/>
      <c r="U1117" s="6"/>
      <c r="V1117" s="5" t="s">
        <v>702</v>
      </c>
      <c r="W1117" s="10">
        <v>17099642</v>
      </c>
      <c r="X1117" s="6"/>
      <c r="Y1117" s="6"/>
    </row>
    <row r="1118" spans="1:25" ht="15" customHeight="1" x14ac:dyDescent="0.2">
      <c r="A1118" s="88" t="s">
        <v>1511</v>
      </c>
      <c r="B1118" s="90"/>
      <c r="C1118" s="88" t="s">
        <v>1587</v>
      </c>
      <c r="D1118" s="90"/>
      <c r="E1118" s="88" t="s">
        <v>1592</v>
      </c>
      <c r="F1118" s="89"/>
      <c r="G1118" s="89"/>
      <c r="H1118" s="89"/>
      <c r="I1118" s="90"/>
      <c r="J1118" s="88" t="s">
        <v>1499</v>
      </c>
      <c r="K1118" s="89"/>
      <c r="L1118" s="89"/>
      <c r="M1118" s="90"/>
      <c r="N1118" s="88" t="s">
        <v>1542</v>
      </c>
      <c r="O1118" s="89"/>
      <c r="P1118" s="90"/>
      <c r="Q1118" s="133">
        <v>3500</v>
      </c>
      <c r="R1118" s="134"/>
      <c r="S1118" s="5" t="s">
        <v>1589</v>
      </c>
      <c r="T1118" s="6"/>
      <c r="U1118" s="6"/>
      <c r="V1118" s="5" t="s">
        <v>702</v>
      </c>
      <c r="W1118" s="10">
        <v>16942023</v>
      </c>
      <c r="X1118" s="6"/>
      <c r="Y1118" s="6"/>
    </row>
    <row r="1119" spans="1:25" ht="15" customHeight="1" x14ac:dyDescent="0.2">
      <c r="A1119" s="88" t="s">
        <v>1511</v>
      </c>
      <c r="B1119" s="90"/>
      <c r="C1119" s="88" t="s">
        <v>1593</v>
      </c>
      <c r="D1119" s="90"/>
      <c r="E1119" s="88" t="s">
        <v>1594</v>
      </c>
      <c r="F1119" s="89"/>
      <c r="G1119" s="89"/>
      <c r="H1119" s="89"/>
      <c r="I1119" s="90"/>
      <c r="J1119" s="88" t="s">
        <v>1499</v>
      </c>
      <c r="K1119" s="89"/>
      <c r="L1119" s="89"/>
      <c r="M1119" s="90"/>
      <c r="N1119" s="106"/>
      <c r="O1119" s="107"/>
      <c r="P1119" s="108"/>
      <c r="Q1119" s="133">
        <v>5000</v>
      </c>
      <c r="R1119" s="134"/>
      <c r="S1119" s="5" t="s">
        <v>271</v>
      </c>
      <c r="T1119" s="6"/>
      <c r="U1119" s="6"/>
      <c r="V1119" s="5" t="s">
        <v>702</v>
      </c>
      <c r="W1119" s="10">
        <v>12988092</v>
      </c>
      <c r="X1119" s="6"/>
      <c r="Y1119" s="6"/>
    </row>
    <row r="1120" spans="1:25" ht="15" customHeight="1" x14ac:dyDescent="0.2">
      <c r="A1120" s="88" t="s">
        <v>1511</v>
      </c>
      <c r="B1120" s="90"/>
      <c r="C1120" s="88" t="s">
        <v>1593</v>
      </c>
      <c r="D1120" s="90"/>
      <c r="E1120" s="88" t="s">
        <v>1594</v>
      </c>
      <c r="F1120" s="89"/>
      <c r="G1120" s="89"/>
      <c r="H1120" s="89"/>
      <c r="I1120" s="90"/>
      <c r="J1120" s="88" t="s">
        <v>1246</v>
      </c>
      <c r="K1120" s="89"/>
      <c r="L1120" s="89"/>
      <c r="M1120" s="90"/>
      <c r="N1120" s="106"/>
      <c r="O1120" s="107"/>
      <c r="P1120" s="108"/>
      <c r="Q1120" s="133">
        <v>5000</v>
      </c>
      <c r="R1120" s="134"/>
      <c r="S1120" s="5" t="s">
        <v>271</v>
      </c>
      <c r="T1120" s="6"/>
      <c r="U1120" s="6"/>
      <c r="V1120" s="5" t="s">
        <v>702</v>
      </c>
      <c r="W1120" s="10">
        <v>12512860</v>
      </c>
      <c r="X1120" s="6"/>
      <c r="Y1120" s="6"/>
    </row>
    <row r="1121" spans="1:25" ht="15" customHeight="1" x14ac:dyDescent="0.2">
      <c r="A1121" s="88" t="s">
        <v>1511</v>
      </c>
      <c r="B1121" s="90"/>
      <c r="C1121" s="88" t="s">
        <v>1593</v>
      </c>
      <c r="D1121" s="90"/>
      <c r="E1121" s="88" t="s">
        <v>1594</v>
      </c>
      <c r="F1121" s="89"/>
      <c r="G1121" s="89"/>
      <c r="H1121" s="89"/>
      <c r="I1121" s="90"/>
      <c r="J1121" s="88" t="s">
        <v>1499</v>
      </c>
      <c r="K1121" s="89"/>
      <c r="L1121" s="89"/>
      <c r="M1121" s="90"/>
      <c r="N1121" s="106"/>
      <c r="O1121" s="107"/>
      <c r="P1121" s="108"/>
      <c r="Q1121" s="133">
        <v>5000</v>
      </c>
      <c r="R1121" s="134"/>
      <c r="S1121" s="5" t="s">
        <v>119</v>
      </c>
      <c r="T1121" s="6"/>
      <c r="U1121" s="6"/>
      <c r="V1121" s="5" t="s">
        <v>702</v>
      </c>
      <c r="W1121" s="10">
        <v>13887390</v>
      </c>
      <c r="X1121" s="6"/>
      <c r="Y1121" s="6"/>
    </row>
    <row r="1122" spans="1:25" ht="15" customHeight="1" x14ac:dyDescent="0.2">
      <c r="A1122" s="88" t="s">
        <v>1595</v>
      </c>
      <c r="B1122" s="90"/>
      <c r="C1122" s="88" t="s">
        <v>1596</v>
      </c>
      <c r="D1122" s="90"/>
      <c r="E1122" s="106"/>
      <c r="F1122" s="107"/>
      <c r="G1122" s="107"/>
      <c r="H1122" s="107"/>
      <c r="I1122" s="108"/>
      <c r="J1122" s="88" t="s">
        <v>1499</v>
      </c>
      <c r="K1122" s="89"/>
      <c r="L1122" s="89"/>
      <c r="M1122" s="90"/>
      <c r="N1122" s="88" t="s">
        <v>1542</v>
      </c>
      <c r="O1122" s="89"/>
      <c r="P1122" s="90"/>
      <c r="Q1122" s="133">
        <v>2000</v>
      </c>
      <c r="R1122" s="134"/>
      <c r="S1122" s="5" t="s">
        <v>16</v>
      </c>
      <c r="T1122" s="6"/>
      <c r="U1122" s="6"/>
      <c r="V1122" s="5" t="s">
        <v>106</v>
      </c>
      <c r="W1122" s="9">
        <v>5744563</v>
      </c>
      <c r="X1122" s="6"/>
      <c r="Y1122" s="6"/>
    </row>
    <row r="1123" spans="1:25" ht="15" customHeight="1" x14ac:dyDescent="0.2">
      <c r="A1123" s="88" t="s">
        <v>1595</v>
      </c>
      <c r="B1123" s="90"/>
      <c r="C1123" s="88" t="s">
        <v>1596</v>
      </c>
      <c r="D1123" s="90"/>
      <c r="E1123" s="106"/>
      <c r="F1123" s="107"/>
      <c r="G1123" s="107"/>
      <c r="H1123" s="107"/>
      <c r="I1123" s="108"/>
      <c r="J1123" s="88" t="s">
        <v>1499</v>
      </c>
      <c r="K1123" s="89"/>
      <c r="L1123" s="89"/>
      <c r="M1123" s="90"/>
      <c r="N1123" s="88" t="s">
        <v>1546</v>
      </c>
      <c r="O1123" s="89"/>
      <c r="P1123" s="90"/>
      <c r="Q1123" s="133">
        <v>2800</v>
      </c>
      <c r="R1123" s="134"/>
      <c r="S1123" s="5" t="s">
        <v>16</v>
      </c>
      <c r="T1123" s="6"/>
      <c r="U1123" s="6"/>
      <c r="V1123" s="5" t="s">
        <v>106</v>
      </c>
      <c r="W1123" s="9">
        <v>6372636</v>
      </c>
      <c r="X1123" s="6"/>
      <c r="Y1123" s="6"/>
    </row>
    <row r="1124" spans="1:25" ht="15" customHeight="1" x14ac:dyDescent="0.2">
      <c r="A1124" s="88" t="s">
        <v>1595</v>
      </c>
      <c r="B1124" s="90"/>
      <c r="C1124" s="88" t="s">
        <v>1597</v>
      </c>
      <c r="D1124" s="90"/>
      <c r="E1124" s="106"/>
      <c r="F1124" s="107"/>
      <c r="G1124" s="107"/>
      <c r="H1124" s="107"/>
      <c r="I1124" s="108"/>
      <c r="J1124" s="88" t="s">
        <v>1246</v>
      </c>
      <c r="K1124" s="89"/>
      <c r="L1124" s="89"/>
      <c r="M1124" s="90"/>
      <c r="N1124" s="106"/>
      <c r="O1124" s="107"/>
      <c r="P1124" s="108"/>
      <c r="Q1124" s="133">
        <v>2800</v>
      </c>
      <c r="R1124" s="134"/>
      <c r="S1124" s="5" t="s">
        <v>814</v>
      </c>
      <c r="T1124" s="6"/>
      <c r="U1124" s="6"/>
      <c r="V1124" s="5" t="s">
        <v>106</v>
      </c>
      <c r="W1124" s="9">
        <v>6002005</v>
      </c>
      <c r="X1124" s="6"/>
      <c r="Y1124" s="6"/>
    </row>
    <row r="1125" spans="1:25" ht="15" customHeight="1" x14ac:dyDescent="0.2">
      <c r="A1125" s="88" t="s">
        <v>1595</v>
      </c>
      <c r="B1125" s="90"/>
      <c r="C1125" s="88" t="s">
        <v>1598</v>
      </c>
      <c r="D1125" s="90"/>
      <c r="E1125" s="106"/>
      <c r="F1125" s="107"/>
      <c r="G1125" s="107"/>
      <c r="H1125" s="107"/>
      <c r="I1125" s="108"/>
      <c r="J1125" s="88" t="s">
        <v>1499</v>
      </c>
      <c r="K1125" s="89"/>
      <c r="L1125" s="89"/>
      <c r="M1125" s="90"/>
      <c r="N1125" s="88" t="s">
        <v>1599</v>
      </c>
      <c r="O1125" s="89"/>
      <c r="P1125" s="90"/>
      <c r="Q1125" s="133">
        <v>2800</v>
      </c>
      <c r="R1125" s="134"/>
      <c r="S1125" s="5" t="s">
        <v>1589</v>
      </c>
      <c r="T1125" s="6"/>
      <c r="U1125" s="6"/>
      <c r="V1125" s="5" t="s">
        <v>106</v>
      </c>
      <c r="W1125" s="9">
        <v>5684964</v>
      </c>
      <c r="X1125" s="6"/>
      <c r="Y1125" s="6"/>
    </row>
    <row r="1126" spans="1:25" ht="15" customHeight="1" x14ac:dyDescent="0.2">
      <c r="A1126" s="88" t="s">
        <v>1600</v>
      </c>
      <c r="B1126" s="90"/>
      <c r="C1126" s="88" t="s">
        <v>1601</v>
      </c>
      <c r="D1126" s="90"/>
      <c r="E1126" s="106"/>
      <c r="F1126" s="107"/>
      <c r="G1126" s="107"/>
      <c r="H1126" s="107"/>
      <c r="I1126" s="108"/>
      <c r="J1126" s="88" t="s">
        <v>1602</v>
      </c>
      <c r="K1126" s="89"/>
      <c r="L1126" s="89"/>
      <c r="M1126" s="90"/>
      <c r="N1126" s="88" t="s">
        <v>26</v>
      </c>
      <c r="O1126" s="89"/>
      <c r="P1126" s="90"/>
      <c r="Q1126" s="133">
        <v>2000</v>
      </c>
      <c r="R1126" s="134"/>
      <c r="S1126" s="5" t="s">
        <v>793</v>
      </c>
      <c r="T1126" s="6"/>
      <c r="U1126" s="8">
        <v>4</v>
      </c>
      <c r="V1126" s="5" t="s">
        <v>106</v>
      </c>
      <c r="W1126" s="12">
        <v>3446323</v>
      </c>
      <c r="X1126" s="6"/>
      <c r="Y1126" s="6"/>
    </row>
    <row r="1127" spans="1:25" ht="15" customHeight="1" x14ac:dyDescent="0.2">
      <c r="A1127" s="88" t="s">
        <v>1600</v>
      </c>
      <c r="B1127" s="90"/>
      <c r="C1127" s="88" t="s">
        <v>1601</v>
      </c>
      <c r="D1127" s="90"/>
      <c r="E1127" s="106"/>
      <c r="F1127" s="107"/>
      <c r="G1127" s="107"/>
      <c r="H1127" s="107"/>
      <c r="I1127" s="108"/>
      <c r="J1127" s="88" t="s">
        <v>1602</v>
      </c>
      <c r="K1127" s="89"/>
      <c r="L1127" s="89"/>
      <c r="M1127" s="90"/>
      <c r="N1127" s="88" t="s">
        <v>22</v>
      </c>
      <c r="O1127" s="89"/>
      <c r="P1127" s="90"/>
      <c r="Q1127" s="133">
        <v>2000</v>
      </c>
      <c r="R1127" s="134"/>
      <c r="S1127" s="5" t="s">
        <v>793</v>
      </c>
      <c r="T1127" s="6"/>
      <c r="U1127" s="8">
        <v>4</v>
      </c>
      <c r="V1127" s="5" t="s">
        <v>106</v>
      </c>
      <c r="W1127" s="12">
        <v>4227489</v>
      </c>
      <c r="X1127" s="6"/>
      <c r="Y1127" s="6"/>
    </row>
    <row r="1128" spans="1:25" ht="15" customHeight="1" x14ac:dyDescent="0.2">
      <c r="A1128" s="88" t="s">
        <v>1600</v>
      </c>
      <c r="B1128" s="90"/>
      <c r="C1128" s="88" t="s">
        <v>1603</v>
      </c>
      <c r="D1128" s="90"/>
      <c r="E1128" s="106"/>
      <c r="F1128" s="107"/>
      <c r="G1128" s="107"/>
      <c r="H1128" s="107"/>
      <c r="I1128" s="108"/>
      <c r="J1128" s="88" t="s">
        <v>1602</v>
      </c>
      <c r="K1128" s="89"/>
      <c r="L1128" s="89"/>
      <c r="M1128" s="90"/>
      <c r="N1128" s="88" t="s">
        <v>26</v>
      </c>
      <c r="O1128" s="89"/>
      <c r="P1128" s="90"/>
      <c r="Q1128" s="133">
        <v>2400</v>
      </c>
      <c r="R1128" s="134"/>
      <c r="S1128" s="5" t="s">
        <v>793</v>
      </c>
      <c r="T1128" s="6"/>
      <c r="U1128" s="8">
        <v>4</v>
      </c>
      <c r="V1128" s="5" t="s">
        <v>702</v>
      </c>
      <c r="W1128" s="12">
        <v>4549146</v>
      </c>
      <c r="X1128" s="6"/>
      <c r="Y1128" s="6"/>
    </row>
    <row r="1129" spans="1:25" ht="15" customHeight="1" x14ac:dyDescent="0.2">
      <c r="A1129" s="88" t="s">
        <v>1600</v>
      </c>
      <c r="B1129" s="90"/>
      <c r="C1129" s="88" t="s">
        <v>1603</v>
      </c>
      <c r="D1129" s="90"/>
      <c r="E1129" s="106"/>
      <c r="F1129" s="107"/>
      <c r="G1129" s="107"/>
      <c r="H1129" s="107"/>
      <c r="I1129" s="108"/>
      <c r="J1129" s="88" t="s">
        <v>1602</v>
      </c>
      <c r="K1129" s="89"/>
      <c r="L1129" s="89"/>
      <c r="M1129" s="90"/>
      <c r="N1129" s="88" t="s">
        <v>22</v>
      </c>
      <c r="O1129" s="89"/>
      <c r="P1129" s="90"/>
      <c r="Q1129" s="133">
        <v>2400</v>
      </c>
      <c r="R1129" s="134"/>
      <c r="S1129" s="5" t="s">
        <v>793</v>
      </c>
      <c r="T1129" s="6"/>
      <c r="U1129" s="8">
        <v>4</v>
      </c>
      <c r="V1129" s="5" t="s">
        <v>702</v>
      </c>
      <c r="W1129" s="12">
        <v>5789822</v>
      </c>
      <c r="X1129" s="6"/>
      <c r="Y1129" s="6"/>
    </row>
    <row r="1130" spans="1:25" ht="15" customHeight="1" x14ac:dyDescent="0.2">
      <c r="A1130" s="88" t="s">
        <v>1600</v>
      </c>
      <c r="B1130" s="90"/>
      <c r="C1130" s="88" t="s">
        <v>1604</v>
      </c>
      <c r="D1130" s="90"/>
      <c r="E1130" s="106"/>
      <c r="F1130" s="107"/>
      <c r="G1130" s="107"/>
      <c r="H1130" s="107"/>
      <c r="I1130" s="108"/>
      <c r="J1130" s="88" t="s">
        <v>1602</v>
      </c>
      <c r="K1130" s="89"/>
      <c r="L1130" s="89"/>
      <c r="M1130" s="90"/>
      <c r="N1130" s="88" t="s">
        <v>26</v>
      </c>
      <c r="O1130" s="89"/>
      <c r="P1130" s="90"/>
      <c r="Q1130" s="133">
        <v>2000</v>
      </c>
      <c r="R1130" s="134"/>
      <c r="S1130" s="5" t="s">
        <v>793</v>
      </c>
      <c r="T1130" s="6"/>
      <c r="U1130" s="8">
        <v>4</v>
      </c>
      <c r="V1130" s="5" t="s">
        <v>106</v>
      </c>
      <c r="W1130" s="12">
        <v>5927675</v>
      </c>
      <c r="X1130" s="6"/>
      <c r="Y1130" s="6"/>
    </row>
    <row r="1131" spans="1:25" ht="15" customHeight="1" x14ac:dyDescent="0.2">
      <c r="A1131" s="88" t="s">
        <v>1600</v>
      </c>
      <c r="B1131" s="90"/>
      <c r="C1131" s="88" t="s">
        <v>1604</v>
      </c>
      <c r="D1131" s="90"/>
      <c r="E1131" s="106"/>
      <c r="F1131" s="107"/>
      <c r="G1131" s="107"/>
      <c r="H1131" s="107"/>
      <c r="I1131" s="108"/>
      <c r="J1131" s="88" t="s">
        <v>1602</v>
      </c>
      <c r="K1131" s="89"/>
      <c r="L1131" s="89"/>
      <c r="M1131" s="90"/>
      <c r="N1131" s="88" t="s">
        <v>22</v>
      </c>
      <c r="O1131" s="89"/>
      <c r="P1131" s="90"/>
      <c r="Q1131" s="133">
        <v>2000</v>
      </c>
      <c r="R1131" s="134"/>
      <c r="S1131" s="5" t="s">
        <v>1299</v>
      </c>
      <c r="T1131" s="6"/>
      <c r="U1131" s="8">
        <v>4</v>
      </c>
      <c r="V1131" s="5" t="s">
        <v>106</v>
      </c>
      <c r="W1131" s="12">
        <v>6525038</v>
      </c>
      <c r="X1131" s="6"/>
      <c r="Y1131" s="6"/>
    </row>
    <row r="1132" spans="1:25" ht="15" customHeight="1" x14ac:dyDescent="0.2">
      <c r="A1132" s="88" t="s">
        <v>1600</v>
      </c>
      <c r="B1132" s="90"/>
      <c r="C1132" s="88" t="s">
        <v>1605</v>
      </c>
      <c r="D1132" s="90"/>
      <c r="E1132" s="106"/>
      <c r="F1132" s="107"/>
      <c r="G1132" s="107"/>
      <c r="H1132" s="107"/>
      <c r="I1132" s="108"/>
      <c r="J1132" s="88" t="s">
        <v>817</v>
      </c>
      <c r="K1132" s="89"/>
      <c r="L1132" s="89"/>
      <c r="M1132" s="90"/>
      <c r="N1132" s="88" t="s">
        <v>22</v>
      </c>
      <c r="O1132" s="89"/>
      <c r="P1132" s="90"/>
      <c r="Q1132" s="133">
        <v>2000</v>
      </c>
      <c r="R1132" s="134"/>
      <c r="S1132" s="5" t="s">
        <v>16</v>
      </c>
      <c r="T1132" s="6"/>
      <c r="U1132" s="8">
        <v>5</v>
      </c>
      <c r="V1132" s="5" t="s">
        <v>106</v>
      </c>
      <c r="W1132" s="12">
        <v>7352155</v>
      </c>
      <c r="X1132" s="6"/>
      <c r="Y1132" s="6"/>
    </row>
    <row r="1133" spans="1:25" ht="15" customHeight="1" x14ac:dyDescent="0.2">
      <c r="A1133" s="88" t="s">
        <v>1600</v>
      </c>
      <c r="B1133" s="90"/>
      <c r="C1133" s="88" t="s">
        <v>1605</v>
      </c>
      <c r="D1133" s="90"/>
      <c r="E1133" s="106"/>
      <c r="F1133" s="107"/>
      <c r="G1133" s="107"/>
      <c r="H1133" s="107"/>
      <c r="I1133" s="108"/>
      <c r="J1133" s="88" t="s">
        <v>1606</v>
      </c>
      <c r="K1133" s="89"/>
      <c r="L1133" s="89"/>
      <c r="M1133" s="90"/>
      <c r="N1133" s="88" t="s">
        <v>22</v>
      </c>
      <c r="O1133" s="89"/>
      <c r="P1133" s="90"/>
      <c r="Q1133" s="133">
        <v>2000</v>
      </c>
      <c r="R1133" s="134"/>
      <c r="S1133" s="5" t="s">
        <v>16</v>
      </c>
      <c r="T1133" s="6"/>
      <c r="U1133" s="8">
        <v>5</v>
      </c>
      <c r="V1133" s="5" t="s">
        <v>106</v>
      </c>
      <c r="W1133" s="12">
        <v>6754793</v>
      </c>
      <c r="X1133" s="6"/>
      <c r="Y1133" s="6"/>
    </row>
    <row r="1134" spans="1:25" ht="15" customHeight="1" x14ac:dyDescent="0.2">
      <c r="A1134" s="88" t="s">
        <v>1607</v>
      </c>
      <c r="B1134" s="90"/>
      <c r="C1134" s="88" t="s">
        <v>1608</v>
      </c>
      <c r="D1134" s="90"/>
      <c r="E1134" s="88" t="s">
        <v>1609</v>
      </c>
      <c r="F1134" s="89"/>
      <c r="G1134" s="89"/>
      <c r="H1134" s="89"/>
      <c r="I1134" s="90"/>
      <c r="J1134" s="88" t="s">
        <v>13</v>
      </c>
      <c r="K1134" s="89"/>
      <c r="L1134" s="89"/>
      <c r="M1134" s="90"/>
      <c r="N1134" s="88" t="s">
        <v>26</v>
      </c>
      <c r="O1134" s="89"/>
      <c r="P1134" s="90"/>
      <c r="Q1134" s="133">
        <v>1500</v>
      </c>
      <c r="R1134" s="134"/>
      <c r="S1134" s="5" t="s">
        <v>16</v>
      </c>
      <c r="T1134" s="6"/>
      <c r="U1134" s="8">
        <v>5</v>
      </c>
      <c r="V1134" s="5" t="s">
        <v>702</v>
      </c>
      <c r="W1134" s="12">
        <v>6031065</v>
      </c>
      <c r="X1134" s="6"/>
      <c r="Y1134" s="6"/>
    </row>
    <row r="1135" spans="1:25" ht="15" customHeight="1" x14ac:dyDescent="0.2">
      <c r="A1135" s="88" t="s">
        <v>1607</v>
      </c>
      <c r="B1135" s="90"/>
      <c r="C1135" s="88" t="s">
        <v>1610</v>
      </c>
      <c r="D1135" s="90"/>
      <c r="E1135" s="88" t="s">
        <v>1609</v>
      </c>
      <c r="F1135" s="89"/>
      <c r="G1135" s="89"/>
      <c r="H1135" s="89"/>
      <c r="I1135" s="90"/>
      <c r="J1135" s="88" t="s">
        <v>1606</v>
      </c>
      <c r="K1135" s="89"/>
      <c r="L1135" s="89"/>
      <c r="M1135" s="90"/>
      <c r="N1135" s="88" t="s">
        <v>26</v>
      </c>
      <c r="O1135" s="89"/>
      <c r="P1135" s="90"/>
      <c r="Q1135" s="133">
        <v>1500</v>
      </c>
      <c r="R1135" s="134"/>
      <c r="S1135" s="5" t="s">
        <v>16</v>
      </c>
      <c r="T1135" s="6"/>
      <c r="U1135" s="8">
        <v>5</v>
      </c>
      <c r="V1135" s="5" t="s">
        <v>702</v>
      </c>
      <c r="W1135" s="12">
        <v>3900089</v>
      </c>
      <c r="X1135" s="6"/>
      <c r="Y1135" s="6"/>
    </row>
    <row r="1136" spans="1:25" ht="15" customHeight="1" x14ac:dyDescent="0.2">
      <c r="A1136" s="88" t="s">
        <v>1607</v>
      </c>
      <c r="B1136" s="90"/>
      <c r="C1136" s="88" t="s">
        <v>1611</v>
      </c>
      <c r="D1136" s="90"/>
      <c r="E1136" s="88" t="s">
        <v>1609</v>
      </c>
      <c r="F1136" s="89"/>
      <c r="G1136" s="89"/>
      <c r="H1136" s="89"/>
      <c r="I1136" s="90"/>
      <c r="J1136" s="88" t="s">
        <v>13</v>
      </c>
      <c r="K1136" s="89"/>
      <c r="L1136" s="89"/>
      <c r="M1136" s="90"/>
      <c r="N1136" s="88" t="s">
        <v>26</v>
      </c>
      <c r="O1136" s="89"/>
      <c r="P1136" s="90"/>
      <c r="Q1136" s="133">
        <v>1500</v>
      </c>
      <c r="R1136" s="134"/>
      <c r="S1136" s="5" t="s">
        <v>16</v>
      </c>
      <c r="T1136" s="6"/>
      <c r="U1136" s="8">
        <v>5</v>
      </c>
      <c r="V1136" s="5" t="s">
        <v>702</v>
      </c>
      <c r="W1136" s="12">
        <v>5126405</v>
      </c>
      <c r="X1136" s="6"/>
      <c r="Y1136" s="6"/>
    </row>
    <row r="1137" spans="1:25" ht="15" customHeight="1" x14ac:dyDescent="0.2">
      <c r="A1137" s="88" t="s">
        <v>1607</v>
      </c>
      <c r="B1137" s="90"/>
      <c r="C1137" s="88" t="s">
        <v>1611</v>
      </c>
      <c r="D1137" s="90"/>
      <c r="E1137" s="88" t="s">
        <v>1612</v>
      </c>
      <c r="F1137" s="89"/>
      <c r="G1137" s="89"/>
      <c r="H1137" s="89"/>
      <c r="I1137" s="90"/>
      <c r="J1137" s="88" t="s">
        <v>13</v>
      </c>
      <c r="K1137" s="89"/>
      <c r="L1137" s="89"/>
      <c r="M1137" s="90"/>
      <c r="N1137" s="88" t="s">
        <v>26</v>
      </c>
      <c r="O1137" s="89"/>
      <c r="P1137" s="90"/>
      <c r="Q1137" s="133">
        <v>2000</v>
      </c>
      <c r="R1137" s="134"/>
      <c r="S1137" s="5" t="s">
        <v>16</v>
      </c>
      <c r="T1137" s="6"/>
      <c r="U1137" s="8">
        <v>5</v>
      </c>
      <c r="V1137" s="5" t="s">
        <v>702</v>
      </c>
      <c r="W1137" s="12">
        <v>5414556</v>
      </c>
      <c r="X1137" s="6"/>
      <c r="Y1137" s="6"/>
    </row>
    <row r="1138" spans="1:25" ht="15" customHeight="1" x14ac:dyDescent="0.2">
      <c r="A1138" s="88" t="s">
        <v>1607</v>
      </c>
      <c r="B1138" s="90"/>
      <c r="C1138" s="88" t="s">
        <v>1611</v>
      </c>
      <c r="D1138" s="90"/>
      <c r="E1138" s="88" t="s">
        <v>1613</v>
      </c>
      <c r="F1138" s="89"/>
      <c r="G1138" s="89"/>
      <c r="H1138" s="89"/>
      <c r="I1138" s="90"/>
      <c r="J1138" s="88" t="s">
        <v>13</v>
      </c>
      <c r="K1138" s="89"/>
      <c r="L1138" s="89"/>
      <c r="M1138" s="90"/>
      <c r="N1138" s="88" t="s">
        <v>26</v>
      </c>
      <c r="O1138" s="89"/>
      <c r="P1138" s="90"/>
      <c r="Q1138" s="133">
        <v>2000</v>
      </c>
      <c r="R1138" s="134"/>
      <c r="S1138" s="5" t="s">
        <v>16</v>
      </c>
      <c r="T1138" s="6"/>
      <c r="U1138" s="8">
        <v>5</v>
      </c>
      <c r="V1138" s="5" t="s">
        <v>702</v>
      </c>
      <c r="W1138" s="12">
        <v>6203381</v>
      </c>
      <c r="X1138" s="6"/>
      <c r="Y1138" s="6"/>
    </row>
    <row r="1139" spans="1:25" ht="15" customHeight="1" x14ac:dyDescent="0.2">
      <c r="A1139" s="88" t="s">
        <v>1607</v>
      </c>
      <c r="B1139" s="90"/>
      <c r="C1139" s="88" t="s">
        <v>1611</v>
      </c>
      <c r="D1139" s="90"/>
      <c r="E1139" s="88" t="s">
        <v>1614</v>
      </c>
      <c r="F1139" s="89"/>
      <c r="G1139" s="89"/>
      <c r="H1139" s="89"/>
      <c r="I1139" s="90"/>
      <c r="J1139" s="88" t="s">
        <v>13</v>
      </c>
      <c r="K1139" s="89"/>
      <c r="L1139" s="89"/>
      <c r="M1139" s="90"/>
      <c r="N1139" s="88" t="s">
        <v>22</v>
      </c>
      <c r="O1139" s="89"/>
      <c r="P1139" s="90"/>
      <c r="Q1139" s="133">
        <v>2000</v>
      </c>
      <c r="R1139" s="134"/>
      <c r="S1139" s="5" t="s">
        <v>16</v>
      </c>
      <c r="T1139" s="6"/>
      <c r="U1139" s="8">
        <v>5</v>
      </c>
      <c r="V1139" s="5" t="s">
        <v>702</v>
      </c>
      <c r="W1139" s="12">
        <v>9971361</v>
      </c>
      <c r="X1139" s="6"/>
      <c r="Y1139" s="6"/>
    </row>
    <row r="1140" spans="1:25" ht="15" customHeight="1" x14ac:dyDescent="0.2">
      <c r="A1140" s="88" t="s">
        <v>1607</v>
      </c>
      <c r="B1140" s="90"/>
      <c r="C1140" s="88" t="s">
        <v>1611</v>
      </c>
      <c r="D1140" s="90"/>
      <c r="E1140" s="88" t="s">
        <v>1613</v>
      </c>
      <c r="F1140" s="89"/>
      <c r="G1140" s="89"/>
      <c r="H1140" s="89"/>
      <c r="I1140" s="90"/>
      <c r="J1140" s="88" t="s">
        <v>13</v>
      </c>
      <c r="K1140" s="89"/>
      <c r="L1140" s="89"/>
      <c r="M1140" s="90"/>
      <c r="N1140" s="88" t="s">
        <v>22</v>
      </c>
      <c r="O1140" s="89"/>
      <c r="P1140" s="90"/>
      <c r="Q1140" s="133">
        <v>2000</v>
      </c>
      <c r="R1140" s="134"/>
      <c r="S1140" s="5" t="s">
        <v>16</v>
      </c>
      <c r="T1140" s="6"/>
      <c r="U1140" s="8">
        <v>5</v>
      </c>
      <c r="V1140" s="5" t="s">
        <v>702</v>
      </c>
      <c r="W1140" s="12">
        <v>9086804</v>
      </c>
      <c r="X1140" s="6"/>
      <c r="Y1140" s="6"/>
    </row>
    <row r="1141" spans="1:25" ht="15" customHeight="1" x14ac:dyDescent="0.2">
      <c r="A1141" s="88" t="s">
        <v>1607</v>
      </c>
      <c r="B1141" s="90"/>
      <c r="C1141" s="88" t="s">
        <v>1615</v>
      </c>
      <c r="D1141" s="90"/>
      <c r="E1141" s="88" t="s">
        <v>1612</v>
      </c>
      <c r="F1141" s="89"/>
      <c r="G1141" s="89"/>
      <c r="H1141" s="89"/>
      <c r="I1141" s="90"/>
      <c r="J1141" s="88" t="s">
        <v>13</v>
      </c>
      <c r="K1141" s="89"/>
      <c r="L1141" s="89"/>
      <c r="M1141" s="90"/>
      <c r="N1141" s="88" t="s">
        <v>26</v>
      </c>
      <c r="O1141" s="89"/>
      <c r="P1141" s="90"/>
      <c r="Q1141" s="133">
        <v>2000</v>
      </c>
      <c r="R1141" s="134"/>
      <c r="S1141" s="5" t="s">
        <v>16</v>
      </c>
      <c r="T1141" s="6"/>
      <c r="U1141" s="8">
        <v>5</v>
      </c>
      <c r="V1141" s="5" t="s">
        <v>702</v>
      </c>
      <c r="W1141" s="12">
        <v>6570989</v>
      </c>
      <c r="X1141" s="6"/>
      <c r="Y1141" s="6"/>
    </row>
    <row r="1142" spans="1:25" ht="15" customHeight="1" x14ac:dyDescent="0.2">
      <c r="A1142" s="88" t="s">
        <v>1607</v>
      </c>
      <c r="B1142" s="90"/>
      <c r="C1142" s="88" t="s">
        <v>1615</v>
      </c>
      <c r="D1142" s="90"/>
      <c r="E1142" s="88" t="s">
        <v>1609</v>
      </c>
      <c r="F1142" s="89"/>
      <c r="G1142" s="89"/>
      <c r="H1142" s="89"/>
      <c r="I1142" s="90"/>
      <c r="J1142" s="88" t="s">
        <v>13</v>
      </c>
      <c r="K1142" s="89"/>
      <c r="L1142" s="89"/>
      <c r="M1142" s="90"/>
      <c r="N1142" s="88" t="s">
        <v>26</v>
      </c>
      <c r="O1142" s="89"/>
      <c r="P1142" s="90"/>
      <c r="Q1142" s="133">
        <v>1500</v>
      </c>
      <c r="R1142" s="134"/>
      <c r="S1142" s="5" t="s">
        <v>16</v>
      </c>
      <c r="T1142" s="6"/>
      <c r="U1142" s="8">
        <v>5</v>
      </c>
      <c r="V1142" s="5" t="s">
        <v>702</v>
      </c>
      <c r="W1142" s="12">
        <v>6019577</v>
      </c>
      <c r="X1142" s="6"/>
      <c r="Y1142" s="6"/>
    </row>
    <row r="1143" spans="1:25" ht="15" customHeight="1" x14ac:dyDescent="0.2">
      <c r="A1143" s="88" t="s">
        <v>1607</v>
      </c>
      <c r="B1143" s="90"/>
      <c r="C1143" s="88" t="s">
        <v>1615</v>
      </c>
      <c r="D1143" s="90"/>
      <c r="E1143" s="88" t="s">
        <v>1609</v>
      </c>
      <c r="F1143" s="89"/>
      <c r="G1143" s="89"/>
      <c r="H1143" s="89"/>
      <c r="I1143" s="90"/>
      <c r="J1143" s="88" t="s">
        <v>13</v>
      </c>
      <c r="K1143" s="89"/>
      <c r="L1143" s="89"/>
      <c r="M1143" s="90"/>
      <c r="N1143" s="88" t="s">
        <v>22</v>
      </c>
      <c r="O1143" s="89"/>
      <c r="P1143" s="90"/>
      <c r="Q1143" s="133">
        <v>1500</v>
      </c>
      <c r="R1143" s="134"/>
      <c r="S1143" s="5" t="s">
        <v>16</v>
      </c>
      <c r="T1143" s="6"/>
      <c r="U1143" s="8">
        <v>5</v>
      </c>
      <c r="V1143" s="5" t="s">
        <v>702</v>
      </c>
      <c r="W1143" s="12">
        <v>6191893</v>
      </c>
      <c r="X1143" s="6"/>
      <c r="Y1143" s="6"/>
    </row>
    <row r="1144" spans="1:25" ht="15" customHeight="1" x14ac:dyDescent="0.2">
      <c r="A1144" s="88" t="s">
        <v>1607</v>
      </c>
      <c r="B1144" s="90"/>
      <c r="C1144" s="88" t="s">
        <v>1615</v>
      </c>
      <c r="D1144" s="90"/>
      <c r="E1144" s="88" t="s">
        <v>1609</v>
      </c>
      <c r="F1144" s="89"/>
      <c r="G1144" s="89"/>
      <c r="H1144" s="89"/>
      <c r="I1144" s="90"/>
      <c r="J1144" s="88" t="s">
        <v>1606</v>
      </c>
      <c r="K1144" s="89"/>
      <c r="L1144" s="89"/>
      <c r="M1144" s="90"/>
      <c r="N1144" s="88" t="s">
        <v>26</v>
      </c>
      <c r="O1144" s="89"/>
      <c r="P1144" s="90"/>
      <c r="Q1144" s="133">
        <v>1500</v>
      </c>
      <c r="R1144" s="134"/>
      <c r="S1144" s="5" t="s">
        <v>16</v>
      </c>
      <c r="T1144" s="6"/>
      <c r="U1144" s="8">
        <v>5</v>
      </c>
      <c r="V1144" s="5" t="s">
        <v>702</v>
      </c>
      <c r="W1144" s="12">
        <v>5508373</v>
      </c>
      <c r="X1144" s="6"/>
      <c r="Y1144" s="6"/>
    </row>
    <row r="1145" spans="1:25" ht="15" customHeight="1" x14ac:dyDescent="0.2">
      <c r="A1145" s="88" t="s">
        <v>1607</v>
      </c>
      <c r="B1145" s="90"/>
      <c r="C1145" s="88" t="s">
        <v>1615</v>
      </c>
      <c r="D1145" s="90"/>
      <c r="E1145" s="88" t="s">
        <v>1612</v>
      </c>
      <c r="F1145" s="89"/>
      <c r="G1145" s="89"/>
      <c r="H1145" s="89"/>
      <c r="I1145" s="90"/>
      <c r="J1145" s="88" t="s">
        <v>13</v>
      </c>
      <c r="K1145" s="89"/>
      <c r="L1145" s="89"/>
      <c r="M1145" s="90"/>
      <c r="N1145" s="88" t="s">
        <v>26</v>
      </c>
      <c r="O1145" s="89"/>
      <c r="P1145" s="90"/>
      <c r="Q1145" s="133">
        <v>2000</v>
      </c>
      <c r="R1145" s="134"/>
      <c r="S1145" s="5" t="s">
        <v>16</v>
      </c>
      <c r="T1145" s="6"/>
      <c r="U1145" s="8">
        <v>5</v>
      </c>
      <c r="V1145" s="5" t="s">
        <v>702</v>
      </c>
      <c r="W1145" s="12">
        <v>6433136</v>
      </c>
      <c r="X1145" s="6"/>
      <c r="Y1145" s="6"/>
    </row>
    <row r="1146" spans="1:25" ht="15" customHeight="1" x14ac:dyDescent="0.2">
      <c r="A1146" s="88" t="s">
        <v>1607</v>
      </c>
      <c r="B1146" s="90"/>
      <c r="C1146" s="88" t="s">
        <v>1615</v>
      </c>
      <c r="D1146" s="90"/>
      <c r="E1146" s="88" t="s">
        <v>1614</v>
      </c>
      <c r="F1146" s="89"/>
      <c r="G1146" s="89"/>
      <c r="H1146" s="89"/>
      <c r="I1146" s="90"/>
      <c r="J1146" s="88" t="s">
        <v>13</v>
      </c>
      <c r="K1146" s="89"/>
      <c r="L1146" s="89"/>
      <c r="M1146" s="90"/>
      <c r="N1146" s="88" t="s">
        <v>26</v>
      </c>
      <c r="O1146" s="89"/>
      <c r="P1146" s="90"/>
      <c r="Q1146" s="133">
        <v>2000</v>
      </c>
      <c r="R1146" s="134"/>
      <c r="S1146" s="5" t="s">
        <v>16</v>
      </c>
      <c r="T1146" s="6"/>
      <c r="U1146" s="8">
        <v>5</v>
      </c>
      <c r="V1146" s="5" t="s">
        <v>702</v>
      </c>
      <c r="W1146" s="12">
        <v>7581910</v>
      </c>
      <c r="X1146" s="6"/>
      <c r="Y1146" s="6"/>
    </row>
    <row r="1147" spans="1:25" ht="15" customHeight="1" x14ac:dyDescent="0.2">
      <c r="A1147" s="88" t="s">
        <v>1607</v>
      </c>
      <c r="B1147" s="90"/>
      <c r="C1147" s="88" t="s">
        <v>1615</v>
      </c>
      <c r="D1147" s="90"/>
      <c r="E1147" s="88" t="s">
        <v>1614</v>
      </c>
      <c r="F1147" s="89"/>
      <c r="G1147" s="89"/>
      <c r="H1147" s="89"/>
      <c r="I1147" s="90"/>
      <c r="J1147" s="88" t="s">
        <v>13</v>
      </c>
      <c r="K1147" s="89"/>
      <c r="L1147" s="89"/>
      <c r="M1147" s="90"/>
      <c r="N1147" s="88" t="s">
        <v>22</v>
      </c>
      <c r="O1147" s="89"/>
      <c r="P1147" s="90"/>
      <c r="Q1147" s="133">
        <v>2000</v>
      </c>
      <c r="R1147" s="134"/>
      <c r="S1147" s="5" t="s">
        <v>16</v>
      </c>
      <c r="T1147" s="6"/>
      <c r="U1147" s="8">
        <v>5</v>
      </c>
      <c r="V1147" s="5" t="s">
        <v>702</v>
      </c>
      <c r="W1147" s="12">
        <v>8730684</v>
      </c>
      <c r="X1147" s="6"/>
      <c r="Y1147" s="6"/>
    </row>
    <row r="1148" spans="1:25" ht="15" customHeight="1" x14ac:dyDescent="0.2">
      <c r="A1148" s="88" t="s">
        <v>1607</v>
      </c>
      <c r="B1148" s="90"/>
      <c r="C1148" s="88" t="s">
        <v>1616</v>
      </c>
      <c r="D1148" s="90"/>
      <c r="E1148" s="88" t="s">
        <v>1613</v>
      </c>
      <c r="F1148" s="89"/>
      <c r="G1148" s="89"/>
      <c r="H1148" s="89"/>
      <c r="I1148" s="90"/>
      <c r="J1148" s="88" t="s">
        <v>13</v>
      </c>
      <c r="K1148" s="89"/>
      <c r="L1148" s="89"/>
      <c r="M1148" s="90"/>
      <c r="N1148" s="88" t="s">
        <v>22</v>
      </c>
      <c r="O1148" s="89"/>
      <c r="P1148" s="90"/>
      <c r="Q1148" s="133">
        <v>2000</v>
      </c>
      <c r="R1148" s="134"/>
      <c r="S1148" s="5" t="s">
        <v>16</v>
      </c>
      <c r="T1148" s="6"/>
      <c r="U1148" s="8">
        <v>5</v>
      </c>
      <c r="V1148" s="5" t="s">
        <v>702</v>
      </c>
      <c r="W1148" s="12">
        <v>9149349</v>
      </c>
      <c r="X1148" s="6"/>
      <c r="Y1148" s="6"/>
    </row>
    <row r="1149" spans="1:25" ht="15" customHeight="1" x14ac:dyDescent="0.2">
      <c r="A1149" s="88" t="s">
        <v>1617</v>
      </c>
      <c r="B1149" s="90"/>
      <c r="C1149" s="133">
        <v>300</v>
      </c>
      <c r="D1149" s="134"/>
      <c r="E1149" s="88" t="s">
        <v>1618</v>
      </c>
      <c r="F1149" s="89"/>
      <c r="G1149" s="89"/>
      <c r="H1149" s="89"/>
      <c r="I1149" s="90"/>
      <c r="J1149" s="88" t="s">
        <v>1499</v>
      </c>
      <c r="K1149" s="89"/>
      <c r="L1149" s="89"/>
      <c r="M1149" s="90"/>
      <c r="N1149" s="106"/>
      <c r="O1149" s="107"/>
      <c r="P1149" s="108"/>
      <c r="Q1149" s="133">
        <v>4000</v>
      </c>
      <c r="R1149" s="134"/>
      <c r="S1149" s="5" t="s">
        <v>1543</v>
      </c>
      <c r="T1149" s="6"/>
      <c r="U1149" s="6"/>
      <c r="V1149" s="5" t="s">
        <v>106</v>
      </c>
      <c r="W1149" s="10">
        <v>12239602</v>
      </c>
      <c r="X1149" s="6"/>
      <c r="Y1149" s="6"/>
    </row>
    <row r="1150" spans="1:25" ht="15" customHeight="1" x14ac:dyDescent="0.2">
      <c r="A1150" s="88" t="s">
        <v>1617</v>
      </c>
      <c r="B1150" s="90"/>
      <c r="C1150" s="133">
        <v>300</v>
      </c>
      <c r="D1150" s="134"/>
      <c r="E1150" s="88" t="s">
        <v>1619</v>
      </c>
      <c r="F1150" s="89"/>
      <c r="G1150" s="89"/>
      <c r="H1150" s="89"/>
      <c r="I1150" s="90"/>
      <c r="J1150" s="88" t="s">
        <v>1499</v>
      </c>
      <c r="K1150" s="89"/>
      <c r="L1150" s="89"/>
      <c r="M1150" s="90"/>
      <c r="N1150" s="106"/>
      <c r="O1150" s="107"/>
      <c r="P1150" s="108"/>
      <c r="Q1150" s="133">
        <v>4000</v>
      </c>
      <c r="R1150" s="134"/>
      <c r="S1150" s="5" t="s">
        <v>1543</v>
      </c>
      <c r="T1150" s="6"/>
      <c r="U1150" s="6"/>
      <c r="V1150" s="5" t="s">
        <v>106</v>
      </c>
      <c r="W1150" s="9">
        <v>13165987</v>
      </c>
      <c r="X1150" s="6"/>
      <c r="Y1150" s="6"/>
    </row>
    <row r="1151" spans="1:25" ht="15" customHeight="1" x14ac:dyDescent="0.2">
      <c r="A1151" s="88" t="s">
        <v>1617</v>
      </c>
      <c r="B1151" s="90"/>
      <c r="C1151" s="133">
        <v>300</v>
      </c>
      <c r="D1151" s="134"/>
      <c r="E1151" s="88" t="s">
        <v>1620</v>
      </c>
      <c r="F1151" s="89"/>
      <c r="G1151" s="89"/>
      <c r="H1151" s="89"/>
      <c r="I1151" s="90"/>
      <c r="J1151" s="88" t="s">
        <v>1499</v>
      </c>
      <c r="K1151" s="89"/>
      <c r="L1151" s="89"/>
      <c r="M1151" s="90"/>
      <c r="N1151" s="106"/>
      <c r="O1151" s="107"/>
      <c r="P1151" s="108"/>
      <c r="Q1151" s="133">
        <v>5100</v>
      </c>
      <c r="R1151" s="134"/>
      <c r="S1151" s="5" t="s">
        <v>1543</v>
      </c>
      <c r="T1151" s="6"/>
      <c r="U1151" s="6"/>
      <c r="V1151" s="5" t="s">
        <v>106</v>
      </c>
      <c r="W1151" s="10">
        <v>13663080</v>
      </c>
      <c r="X1151" s="6"/>
      <c r="Y1151" s="6"/>
    </row>
    <row r="1152" spans="1:25" ht="15" customHeight="1" x14ac:dyDescent="0.2">
      <c r="A1152" s="88" t="s">
        <v>1617</v>
      </c>
      <c r="B1152" s="90"/>
      <c r="C1152" s="133">
        <v>300</v>
      </c>
      <c r="D1152" s="134"/>
      <c r="E1152" s="88" t="s">
        <v>1621</v>
      </c>
      <c r="F1152" s="89"/>
      <c r="G1152" s="89"/>
      <c r="H1152" s="89"/>
      <c r="I1152" s="90"/>
      <c r="J1152" s="88" t="s">
        <v>1499</v>
      </c>
      <c r="K1152" s="89"/>
      <c r="L1152" s="89"/>
      <c r="M1152" s="90"/>
      <c r="N1152" s="106"/>
      <c r="O1152" s="107"/>
      <c r="P1152" s="108"/>
      <c r="Q1152" s="133">
        <v>5100</v>
      </c>
      <c r="R1152" s="134"/>
      <c r="S1152" s="5" t="s">
        <v>1543</v>
      </c>
      <c r="T1152" s="6"/>
      <c r="U1152" s="6"/>
      <c r="V1152" s="5" t="s">
        <v>106</v>
      </c>
      <c r="W1152" s="10">
        <v>14659008</v>
      </c>
      <c r="X1152" s="6"/>
      <c r="Y1152" s="6"/>
    </row>
    <row r="1153" spans="1:25" ht="15" customHeight="1" x14ac:dyDescent="0.2">
      <c r="A1153" s="88" t="s">
        <v>1617</v>
      </c>
      <c r="B1153" s="90"/>
      <c r="C1153" s="133">
        <v>300</v>
      </c>
      <c r="D1153" s="134"/>
      <c r="E1153" s="88" t="s">
        <v>1622</v>
      </c>
      <c r="F1153" s="89"/>
      <c r="G1153" s="89"/>
      <c r="H1153" s="89"/>
      <c r="I1153" s="90"/>
      <c r="J1153" s="88" t="s">
        <v>1246</v>
      </c>
      <c r="K1153" s="89"/>
      <c r="L1153" s="89"/>
      <c r="M1153" s="90"/>
      <c r="N1153" s="106"/>
      <c r="O1153" s="107"/>
      <c r="P1153" s="108"/>
      <c r="Q1153" s="133">
        <v>4000</v>
      </c>
      <c r="R1153" s="134"/>
      <c r="S1153" s="5" t="s">
        <v>1544</v>
      </c>
      <c r="T1153" s="6"/>
      <c r="U1153" s="6"/>
      <c r="V1153" s="5" t="s">
        <v>106</v>
      </c>
      <c r="W1153" s="9">
        <v>8791647</v>
      </c>
      <c r="X1153" s="6"/>
      <c r="Y1153" s="6"/>
    </row>
    <row r="1154" spans="1:25" ht="15" customHeight="1" x14ac:dyDescent="0.2">
      <c r="A1154" s="88" t="s">
        <v>1617</v>
      </c>
      <c r="B1154" s="90"/>
      <c r="C1154" s="133">
        <v>300</v>
      </c>
      <c r="D1154" s="134"/>
      <c r="E1154" s="88" t="s">
        <v>1623</v>
      </c>
      <c r="F1154" s="89"/>
      <c r="G1154" s="89"/>
      <c r="H1154" s="89"/>
      <c r="I1154" s="90"/>
      <c r="J1154" s="88" t="s">
        <v>1246</v>
      </c>
      <c r="K1154" s="89"/>
      <c r="L1154" s="89"/>
      <c r="M1154" s="90"/>
      <c r="N1154" s="106"/>
      <c r="O1154" s="107"/>
      <c r="P1154" s="108"/>
      <c r="Q1154" s="133">
        <v>4000</v>
      </c>
      <c r="R1154" s="134"/>
      <c r="S1154" s="5" t="s">
        <v>1544</v>
      </c>
      <c r="T1154" s="6"/>
      <c r="U1154" s="6"/>
      <c r="V1154" s="5" t="s">
        <v>106</v>
      </c>
      <c r="W1154" s="9">
        <v>8932462</v>
      </c>
      <c r="X1154" s="6"/>
      <c r="Y1154" s="6"/>
    </row>
    <row r="1155" spans="1:25" ht="15" customHeight="1" x14ac:dyDescent="0.2">
      <c r="A1155" s="88" t="s">
        <v>1617</v>
      </c>
      <c r="B1155" s="90"/>
      <c r="C1155" s="133">
        <v>300</v>
      </c>
      <c r="D1155" s="134"/>
      <c r="E1155" s="88" t="s">
        <v>1624</v>
      </c>
      <c r="F1155" s="89"/>
      <c r="G1155" s="89"/>
      <c r="H1155" s="89"/>
      <c r="I1155" s="90"/>
      <c r="J1155" s="88" t="s">
        <v>1499</v>
      </c>
      <c r="K1155" s="89"/>
      <c r="L1155" s="89"/>
      <c r="M1155" s="90"/>
      <c r="N1155" s="106"/>
      <c r="O1155" s="107"/>
      <c r="P1155" s="108"/>
      <c r="Q1155" s="133">
        <v>4000</v>
      </c>
      <c r="R1155" s="134"/>
      <c r="S1155" s="5" t="s">
        <v>1544</v>
      </c>
      <c r="T1155" s="6"/>
      <c r="U1155" s="6"/>
      <c r="V1155" s="5" t="s">
        <v>106</v>
      </c>
      <c r="W1155" s="9">
        <v>9054999</v>
      </c>
      <c r="X1155" s="6"/>
      <c r="Y1155" s="6"/>
    </row>
    <row r="1156" spans="1:25" ht="15" customHeight="1" x14ac:dyDescent="0.2">
      <c r="A1156" s="88" t="s">
        <v>1617</v>
      </c>
      <c r="B1156" s="90"/>
      <c r="C1156" s="133">
        <v>300</v>
      </c>
      <c r="D1156" s="134"/>
      <c r="E1156" s="88" t="s">
        <v>1623</v>
      </c>
      <c r="F1156" s="89"/>
      <c r="G1156" s="89"/>
      <c r="H1156" s="89"/>
      <c r="I1156" s="90"/>
      <c r="J1156" s="88" t="s">
        <v>1499</v>
      </c>
      <c r="K1156" s="89"/>
      <c r="L1156" s="89"/>
      <c r="M1156" s="90"/>
      <c r="N1156" s="106"/>
      <c r="O1156" s="107"/>
      <c r="P1156" s="108"/>
      <c r="Q1156" s="133">
        <v>4000</v>
      </c>
      <c r="R1156" s="134"/>
      <c r="S1156" s="5" t="s">
        <v>1544</v>
      </c>
      <c r="T1156" s="6"/>
      <c r="U1156" s="6"/>
      <c r="V1156" s="5" t="s">
        <v>106</v>
      </c>
      <c r="W1156" s="9">
        <v>9210290</v>
      </c>
      <c r="X1156" s="6"/>
      <c r="Y1156" s="6"/>
    </row>
    <row r="1157" spans="1:25" ht="15" customHeight="1" x14ac:dyDescent="0.2">
      <c r="A1157" s="88" t="s">
        <v>1617</v>
      </c>
      <c r="B1157" s="90"/>
      <c r="C1157" s="133">
        <v>300</v>
      </c>
      <c r="D1157" s="134"/>
      <c r="E1157" s="88" t="s">
        <v>1625</v>
      </c>
      <c r="F1157" s="89"/>
      <c r="G1157" s="89"/>
      <c r="H1157" s="89"/>
      <c r="I1157" s="90"/>
      <c r="J1157" s="88" t="s">
        <v>1499</v>
      </c>
      <c r="K1157" s="89"/>
      <c r="L1157" s="89"/>
      <c r="M1157" s="90"/>
      <c r="N1157" s="106"/>
      <c r="O1157" s="107"/>
      <c r="P1157" s="108"/>
      <c r="Q1157" s="133">
        <v>4000</v>
      </c>
      <c r="R1157" s="134"/>
      <c r="S1157" s="5" t="s">
        <v>1544</v>
      </c>
      <c r="T1157" s="6"/>
      <c r="U1157" s="6"/>
      <c r="V1157" s="5" t="s">
        <v>106</v>
      </c>
      <c r="W1157" s="10">
        <v>10389158</v>
      </c>
      <c r="X1157" s="6"/>
      <c r="Y1157" s="6"/>
    </row>
    <row r="1158" spans="1:25" ht="15" customHeight="1" x14ac:dyDescent="0.2">
      <c r="A1158" s="88" t="s">
        <v>1617</v>
      </c>
      <c r="B1158" s="90"/>
      <c r="C1158" s="133">
        <v>300</v>
      </c>
      <c r="D1158" s="134"/>
      <c r="E1158" s="88" t="s">
        <v>1626</v>
      </c>
      <c r="F1158" s="89"/>
      <c r="G1158" s="89"/>
      <c r="H1158" s="89"/>
      <c r="I1158" s="90"/>
      <c r="J1158" s="88" t="s">
        <v>1499</v>
      </c>
      <c r="K1158" s="89"/>
      <c r="L1158" s="89"/>
      <c r="M1158" s="90"/>
      <c r="N1158" s="106"/>
      <c r="O1158" s="107"/>
      <c r="P1158" s="108"/>
      <c r="Q1158" s="133">
        <v>4000</v>
      </c>
      <c r="R1158" s="134"/>
      <c r="S1158" s="5" t="s">
        <v>1544</v>
      </c>
      <c r="T1158" s="6"/>
      <c r="U1158" s="6"/>
      <c r="V1158" s="5" t="s">
        <v>106</v>
      </c>
      <c r="W1158" s="10">
        <v>10759254</v>
      </c>
      <c r="X1158" s="6"/>
      <c r="Y1158" s="6"/>
    </row>
    <row r="1159" spans="1:25" ht="15" customHeight="1" x14ac:dyDescent="0.2">
      <c r="A1159" s="88" t="s">
        <v>1617</v>
      </c>
      <c r="B1159" s="90"/>
      <c r="C1159" s="133">
        <v>300</v>
      </c>
      <c r="D1159" s="134"/>
      <c r="E1159" s="88" t="s">
        <v>1627</v>
      </c>
      <c r="F1159" s="89"/>
      <c r="G1159" s="89"/>
      <c r="H1159" s="89"/>
      <c r="I1159" s="90"/>
      <c r="J1159" s="88" t="s">
        <v>1499</v>
      </c>
      <c r="K1159" s="89"/>
      <c r="L1159" s="89"/>
      <c r="M1159" s="90"/>
      <c r="N1159" s="106"/>
      <c r="O1159" s="107"/>
      <c r="P1159" s="108"/>
      <c r="Q1159" s="133">
        <v>4000</v>
      </c>
      <c r="R1159" s="134"/>
      <c r="S1159" s="5" t="s">
        <v>1544</v>
      </c>
      <c r="T1159" s="6"/>
      <c r="U1159" s="6"/>
      <c r="V1159" s="5" t="s">
        <v>106</v>
      </c>
      <c r="W1159" s="9">
        <v>9250209</v>
      </c>
      <c r="X1159" s="6"/>
      <c r="Y1159" s="6"/>
    </row>
    <row r="1160" spans="1:25" ht="15" customHeight="1" x14ac:dyDescent="0.2">
      <c r="A1160" s="88" t="s">
        <v>1617</v>
      </c>
      <c r="B1160" s="90"/>
      <c r="C1160" s="133">
        <v>300</v>
      </c>
      <c r="D1160" s="134"/>
      <c r="E1160" s="88" t="s">
        <v>1628</v>
      </c>
      <c r="F1160" s="89"/>
      <c r="G1160" s="89"/>
      <c r="H1160" s="89"/>
      <c r="I1160" s="90"/>
      <c r="J1160" s="88" t="s">
        <v>1499</v>
      </c>
      <c r="K1160" s="89"/>
      <c r="L1160" s="89"/>
      <c r="M1160" s="90"/>
      <c r="N1160" s="106"/>
      <c r="O1160" s="107"/>
      <c r="P1160" s="108"/>
      <c r="Q1160" s="133">
        <v>4000</v>
      </c>
      <c r="R1160" s="134"/>
      <c r="S1160" s="5" t="s">
        <v>1544</v>
      </c>
      <c r="T1160" s="6"/>
      <c r="U1160" s="6"/>
      <c r="V1160" s="5" t="s">
        <v>106</v>
      </c>
      <c r="W1160" s="12">
        <v>9487387</v>
      </c>
      <c r="X1160" s="6"/>
      <c r="Y1160" s="6"/>
    </row>
    <row r="1161" spans="1:25" ht="15" customHeight="1" x14ac:dyDescent="0.2">
      <c r="A1161" s="88" t="s">
        <v>1617</v>
      </c>
      <c r="B1161" s="90"/>
      <c r="C1161" s="133">
        <v>300</v>
      </c>
      <c r="D1161" s="134"/>
      <c r="E1161" s="88" t="s">
        <v>1629</v>
      </c>
      <c r="F1161" s="89"/>
      <c r="G1161" s="89"/>
      <c r="H1161" s="89"/>
      <c r="I1161" s="90"/>
      <c r="J1161" s="88" t="s">
        <v>1499</v>
      </c>
      <c r="K1161" s="89"/>
      <c r="L1161" s="89"/>
      <c r="M1161" s="90"/>
      <c r="N1161" s="106"/>
      <c r="O1161" s="107"/>
      <c r="P1161" s="108"/>
      <c r="Q1161" s="133">
        <v>4000</v>
      </c>
      <c r="R1161" s="134"/>
      <c r="S1161" s="5" t="s">
        <v>1544</v>
      </c>
      <c r="T1161" s="6"/>
      <c r="U1161" s="6"/>
      <c r="V1161" s="5" t="s">
        <v>106</v>
      </c>
      <c r="W1161" s="12">
        <v>10579982</v>
      </c>
      <c r="X1161" s="6"/>
      <c r="Y1161" s="6"/>
    </row>
    <row r="1162" spans="1:25" ht="15" customHeight="1" x14ac:dyDescent="0.2">
      <c r="A1162" s="88" t="s">
        <v>1617</v>
      </c>
      <c r="B1162" s="90"/>
      <c r="C1162" s="133">
        <v>300</v>
      </c>
      <c r="D1162" s="134"/>
      <c r="E1162" s="88" t="s">
        <v>1630</v>
      </c>
      <c r="F1162" s="89"/>
      <c r="G1162" s="89"/>
      <c r="H1162" s="89"/>
      <c r="I1162" s="90"/>
      <c r="J1162" s="88" t="s">
        <v>1499</v>
      </c>
      <c r="K1162" s="89"/>
      <c r="L1162" s="89"/>
      <c r="M1162" s="90"/>
      <c r="N1162" s="106"/>
      <c r="O1162" s="107"/>
      <c r="P1162" s="108"/>
      <c r="Q1162" s="133">
        <v>4000</v>
      </c>
      <c r="R1162" s="134"/>
      <c r="S1162" s="5" t="s">
        <v>1544</v>
      </c>
      <c r="T1162" s="6"/>
      <c r="U1162" s="6"/>
      <c r="V1162" s="5" t="s">
        <v>106</v>
      </c>
      <c r="W1162" s="12">
        <v>12265228</v>
      </c>
      <c r="X1162" s="6"/>
      <c r="Y1162" s="6"/>
    </row>
    <row r="1163" spans="1:25" ht="15" customHeight="1" x14ac:dyDescent="0.2">
      <c r="A1163" s="88" t="s">
        <v>1617</v>
      </c>
      <c r="B1163" s="90"/>
      <c r="C1163" s="133">
        <v>300</v>
      </c>
      <c r="D1163" s="134"/>
      <c r="E1163" s="88" t="s">
        <v>1631</v>
      </c>
      <c r="F1163" s="89"/>
      <c r="G1163" s="89"/>
      <c r="H1163" s="89"/>
      <c r="I1163" s="90"/>
      <c r="J1163" s="88" t="s">
        <v>1499</v>
      </c>
      <c r="K1163" s="89"/>
      <c r="L1163" s="89"/>
      <c r="M1163" s="90"/>
      <c r="N1163" s="106"/>
      <c r="O1163" s="107"/>
      <c r="P1163" s="108"/>
      <c r="Q1163" s="133">
        <v>4000</v>
      </c>
      <c r="R1163" s="134"/>
      <c r="S1163" s="5" t="s">
        <v>1544</v>
      </c>
      <c r="T1163" s="6"/>
      <c r="U1163" s="6"/>
      <c r="V1163" s="5" t="s">
        <v>106</v>
      </c>
      <c r="W1163" s="12">
        <v>11031818</v>
      </c>
      <c r="X1163" s="6"/>
      <c r="Y1163" s="6"/>
    </row>
    <row r="1164" spans="1:25" ht="15" customHeight="1" x14ac:dyDescent="0.2">
      <c r="A1164" s="88" t="s">
        <v>1617</v>
      </c>
      <c r="B1164" s="90"/>
      <c r="C1164" s="133">
        <v>300</v>
      </c>
      <c r="D1164" s="134"/>
      <c r="E1164" s="88" t="s">
        <v>1632</v>
      </c>
      <c r="F1164" s="89"/>
      <c r="G1164" s="89"/>
      <c r="H1164" s="89"/>
      <c r="I1164" s="90"/>
      <c r="J1164" s="88" t="s">
        <v>1246</v>
      </c>
      <c r="K1164" s="89"/>
      <c r="L1164" s="89"/>
      <c r="M1164" s="90"/>
      <c r="N1164" s="106"/>
      <c r="O1164" s="107"/>
      <c r="P1164" s="108"/>
      <c r="Q1164" s="133">
        <v>4000</v>
      </c>
      <c r="R1164" s="134"/>
      <c r="S1164" s="5" t="s">
        <v>1544</v>
      </c>
      <c r="T1164" s="6"/>
      <c r="U1164" s="6"/>
      <c r="V1164" s="5" t="s">
        <v>106</v>
      </c>
      <c r="W1164" s="12">
        <v>10110452</v>
      </c>
      <c r="X1164" s="6"/>
      <c r="Y1164" s="6"/>
    </row>
    <row r="1165" spans="1:25" ht="15" customHeight="1" x14ac:dyDescent="0.2">
      <c r="A1165" s="88" t="s">
        <v>1617</v>
      </c>
      <c r="B1165" s="90"/>
      <c r="C1165" s="133">
        <v>300</v>
      </c>
      <c r="D1165" s="134"/>
      <c r="E1165" s="88" t="s">
        <v>1633</v>
      </c>
      <c r="F1165" s="89"/>
      <c r="G1165" s="89"/>
      <c r="H1165" s="89"/>
      <c r="I1165" s="90"/>
      <c r="J1165" s="88" t="s">
        <v>1246</v>
      </c>
      <c r="K1165" s="89"/>
      <c r="L1165" s="89"/>
      <c r="M1165" s="90"/>
      <c r="N1165" s="106"/>
      <c r="O1165" s="107"/>
      <c r="P1165" s="108"/>
      <c r="Q1165" s="133">
        <v>4000</v>
      </c>
      <c r="R1165" s="134"/>
      <c r="S1165" s="5" t="s">
        <v>1544</v>
      </c>
      <c r="T1165" s="6"/>
      <c r="U1165" s="6"/>
      <c r="V1165" s="5" t="s">
        <v>106</v>
      </c>
      <c r="W1165" s="12">
        <v>10479817</v>
      </c>
      <c r="X1165" s="6"/>
      <c r="Y1165" s="6"/>
    </row>
    <row r="1166" spans="1:25" ht="15" customHeight="1" x14ac:dyDescent="0.2">
      <c r="A1166" s="88" t="s">
        <v>1617</v>
      </c>
      <c r="B1166" s="90"/>
      <c r="C1166" s="133">
        <v>300</v>
      </c>
      <c r="D1166" s="134"/>
      <c r="E1166" s="88" t="s">
        <v>1634</v>
      </c>
      <c r="F1166" s="89"/>
      <c r="G1166" s="89"/>
      <c r="H1166" s="89"/>
      <c r="I1166" s="90"/>
      <c r="J1166" s="88" t="s">
        <v>1246</v>
      </c>
      <c r="K1166" s="89"/>
      <c r="L1166" s="89"/>
      <c r="M1166" s="90"/>
      <c r="N1166" s="106"/>
      <c r="O1166" s="107"/>
      <c r="P1166" s="108"/>
      <c r="Q1166" s="133">
        <v>4000</v>
      </c>
      <c r="R1166" s="134"/>
      <c r="S1166" s="5" t="s">
        <v>1544</v>
      </c>
      <c r="T1166" s="6"/>
      <c r="U1166" s="6"/>
      <c r="V1166" s="5" t="s">
        <v>106</v>
      </c>
      <c r="W1166" s="12">
        <v>10300984</v>
      </c>
      <c r="X1166" s="6"/>
      <c r="Y1166" s="6"/>
    </row>
    <row r="1167" spans="1:25" ht="15" customHeight="1" x14ac:dyDescent="0.2">
      <c r="A1167" s="88" t="s">
        <v>1617</v>
      </c>
      <c r="B1167" s="90"/>
      <c r="C1167" s="133">
        <v>300</v>
      </c>
      <c r="D1167" s="134"/>
      <c r="E1167" s="88" t="s">
        <v>1635</v>
      </c>
      <c r="F1167" s="89"/>
      <c r="G1167" s="89"/>
      <c r="H1167" s="89"/>
      <c r="I1167" s="90"/>
      <c r="J1167" s="88" t="s">
        <v>1246</v>
      </c>
      <c r="K1167" s="89"/>
      <c r="L1167" s="89"/>
      <c r="M1167" s="90"/>
      <c r="N1167" s="106"/>
      <c r="O1167" s="107"/>
      <c r="P1167" s="108"/>
      <c r="Q1167" s="133">
        <v>4000</v>
      </c>
      <c r="R1167" s="134"/>
      <c r="S1167" s="5" t="s">
        <v>1544</v>
      </c>
      <c r="T1167" s="6"/>
      <c r="U1167" s="6"/>
      <c r="V1167" s="5" t="s">
        <v>106</v>
      </c>
      <c r="W1167" s="12">
        <v>11980673</v>
      </c>
      <c r="X1167" s="6"/>
      <c r="Y1167" s="6"/>
    </row>
    <row r="1168" spans="1:25" ht="15" customHeight="1" x14ac:dyDescent="0.2">
      <c r="A1168" s="88" t="s">
        <v>1617</v>
      </c>
      <c r="B1168" s="90"/>
      <c r="C1168" s="133">
        <v>300</v>
      </c>
      <c r="D1168" s="134"/>
      <c r="E1168" s="88" t="s">
        <v>1636</v>
      </c>
      <c r="F1168" s="89"/>
      <c r="G1168" s="89"/>
      <c r="H1168" s="89"/>
      <c r="I1168" s="90"/>
      <c r="J1168" s="88" t="s">
        <v>1246</v>
      </c>
      <c r="K1168" s="89"/>
      <c r="L1168" s="89"/>
      <c r="M1168" s="90"/>
      <c r="N1168" s="106"/>
      <c r="O1168" s="107"/>
      <c r="P1168" s="108"/>
      <c r="Q1168" s="133">
        <v>4000</v>
      </c>
      <c r="R1168" s="134"/>
      <c r="S1168" s="5" t="s">
        <v>1544</v>
      </c>
      <c r="T1168" s="6"/>
      <c r="U1168" s="6"/>
      <c r="V1168" s="5" t="s">
        <v>106</v>
      </c>
      <c r="W1168" s="12">
        <v>10769636</v>
      </c>
      <c r="X1168" s="6"/>
      <c r="Y1168" s="6"/>
    </row>
    <row r="1169" spans="1:25" ht="15" customHeight="1" x14ac:dyDescent="0.2">
      <c r="A1169" s="88" t="s">
        <v>1617</v>
      </c>
      <c r="B1169" s="90"/>
      <c r="C1169" s="133">
        <v>300</v>
      </c>
      <c r="D1169" s="134"/>
      <c r="E1169" s="88" t="s">
        <v>1637</v>
      </c>
      <c r="F1169" s="89"/>
      <c r="G1169" s="89"/>
      <c r="H1169" s="89"/>
      <c r="I1169" s="90"/>
      <c r="J1169" s="88" t="s">
        <v>1499</v>
      </c>
      <c r="K1169" s="89"/>
      <c r="L1169" s="89"/>
      <c r="M1169" s="90"/>
      <c r="N1169" s="106"/>
      <c r="O1169" s="107"/>
      <c r="P1169" s="108"/>
      <c r="Q1169" s="133">
        <v>4000</v>
      </c>
      <c r="R1169" s="134"/>
      <c r="S1169" s="5" t="s">
        <v>1544</v>
      </c>
      <c r="T1169" s="6"/>
      <c r="U1169" s="6"/>
      <c r="V1169" s="5" t="s">
        <v>106</v>
      </c>
      <c r="W1169" s="12">
        <v>12996939</v>
      </c>
      <c r="X1169" s="6"/>
      <c r="Y1169" s="6"/>
    </row>
    <row r="1170" spans="1:25" ht="15" customHeight="1" x14ac:dyDescent="0.2">
      <c r="A1170" s="88" t="s">
        <v>1617</v>
      </c>
      <c r="B1170" s="90"/>
      <c r="C1170" s="133">
        <v>300</v>
      </c>
      <c r="D1170" s="134"/>
      <c r="E1170" s="88" t="s">
        <v>1638</v>
      </c>
      <c r="F1170" s="89"/>
      <c r="G1170" s="89"/>
      <c r="H1170" s="89"/>
      <c r="I1170" s="90"/>
      <c r="J1170" s="88" t="s">
        <v>1246</v>
      </c>
      <c r="K1170" s="89"/>
      <c r="L1170" s="89"/>
      <c r="M1170" s="90"/>
      <c r="N1170" s="106"/>
      <c r="O1170" s="107"/>
      <c r="P1170" s="108"/>
      <c r="Q1170" s="133">
        <v>4000</v>
      </c>
      <c r="R1170" s="134"/>
      <c r="S1170" s="5" t="s">
        <v>1544</v>
      </c>
      <c r="T1170" s="6"/>
      <c r="U1170" s="6"/>
      <c r="V1170" s="5" t="s">
        <v>106</v>
      </c>
      <c r="W1170" s="12">
        <v>12710191</v>
      </c>
      <c r="X1170" s="6"/>
      <c r="Y1170" s="6"/>
    </row>
    <row r="1171" spans="1:25" ht="15" customHeight="1" x14ac:dyDescent="0.2">
      <c r="A1171" s="88" t="s">
        <v>1617</v>
      </c>
      <c r="B1171" s="90"/>
      <c r="C1171" s="133">
        <v>300</v>
      </c>
      <c r="D1171" s="134"/>
      <c r="E1171" s="88" t="s">
        <v>1639</v>
      </c>
      <c r="F1171" s="89"/>
      <c r="G1171" s="89"/>
      <c r="H1171" s="89"/>
      <c r="I1171" s="90"/>
      <c r="J1171" s="88" t="s">
        <v>1499</v>
      </c>
      <c r="K1171" s="89"/>
      <c r="L1171" s="89"/>
      <c r="M1171" s="90"/>
      <c r="N1171" s="106"/>
      <c r="O1171" s="107"/>
      <c r="P1171" s="108"/>
      <c r="Q1171" s="133">
        <v>5100</v>
      </c>
      <c r="R1171" s="134"/>
      <c r="S1171" s="5" t="s">
        <v>1544</v>
      </c>
      <c r="T1171" s="6"/>
      <c r="U1171" s="6"/>
      <c r="V1171" s="5" t="s">
        <v>106</v>
      </c>
      <c r="W1171" s="12">
        <v>11780783</v>
      </c>
      <c r="X1171" s="6"/>
      <c r="Y1171" s="6"/>
    </row>
    <row r="1172" spans="1:25" ht="15" customHeight="1" x14ac:dyDescent="0.2">
      <c r="A1172" s="88" t="s">
        <v>1617</v>
      </c>
      <c r="B1172" s="90"/>
      <c r="C1172" s="133">
        <v>300</v>
      </c>
      <c r="D1172" s="134"/>
      <c r="E1172" s="88" t="s">
        <v>1640</v>
      </c>
      <c r="F1172" s="89"/>
      <c r="G1172" s="89"/>
      <c r="H1172" s="89"/>
      <c r="I1172" s="90"/>
      <c r="J1172" s="88" t="s">
        <v>1499</v>
      </c>
      <c r="K1172" s="89"/>
      <c r="L1172" s="89"/>
      <c r="M1172" s="90"/>
      <c r="N1172" s="106"/>
      <c r="O1172" s="107"/>
      <c r="P1172" s="108"/>
      <c r="Q1172" s="133">
        <v>5100</v>
      </c>
      <c r="R1172" s="134"/>
      <c r="S1172" s="5" t="s">
        <v>1544</v>
      </c>
      <c r="T1172" s="6"/>
      <c r="U1172" s="6"/>
      <c r="V1172" s="5" t="s">
        <v>106</v>
      </c>
      <c r="W1172" s="12">
        <v>12256016</v>
      </c>
      <c r="X1172" s="6"/>
      <c r="Y1172" s="6"/>
    </row>
    <row r="1173" spans="1:25" ht="15" customHeight="1" x14ac:dyDescent="0.2">
      <c r="A1173" s="88" t="s">
        <v>1617</v>
      </c>
      <c r="B1173" s="90"/>
      <c r="C1173" s="88" t="s">
        <v>1641</v>
      </c>
      <c r="D1173" s="90"/>
      <c r="E1173" s="88" t="s">
        <v>1642</v>
      </c>
      <c r="F1173" s="89"/>
      <c r="G1173" s="89"/>
      <c r="H1173" s="89"/>
      <c r="I1173" s="90"/>
      <c r="J1173" s="88" t="s">
        <v>13</v>
      </c>
      <c r="K1173" s="89"/>
      <c r="L1173" s="89"/>
      <c r="M1173" s="90"/>
      <c r="N1173" s="88" t="s">
        <v>26</v>
      </c>
      <c r="O1173" s="89"/>
      <c r="P1173" s="90"/>
      <c r="Q1173" s="133">
        <v>4000</v>
      </c>
      <c r="R1173" s="134"/>
      <c r="S1173" s="5" t="s">
        <v>814</v>
      </c>
      <c r="T1173" s="6"/>
      <c r="U1173" s="6"/>
      <c r="V1173" s="5" t="s">
        <v>106</v>
      </c>
      <c r="W1173" s="12">
        <v>11020476</v>
      </c>
      <c r="X1173" s="6"/>
      <c r="Y1173" s="6"/>
    </row>
    <row r="1174" spans="1:25" ht="15" customHeight="1" x14ac:dyDescent="0.2">
      <c r="A1174" s="88" t="s">
        <v>1617</v>
      </c>
      <c r="B1174" s="90"/>
      <c r="C1174" s="88" t="s">
        <v>1643</v>
      </c>
      <c r="D1174" s="90"/>
      <c r="E1174" s="88" t="s">
        <v>1642</v>
      </c>
      <c r="F1174" s="89"/>
      <c r="G1174" s="89"/>
      <c r="H1174" s="89"/>
      <c r="I1174" s="90"/>
      <c r="J1174" s="88" t="s">
        <v>599</v>
      </c>
      <c r="K1174" s="89"/>
      <c r="L1174" s="89"/>
      <c r="M1174" s="90"/>
      <c r="N1174" s="88" t="s">
        <v>26</v>
      </c>
      <c r="O1174" s="89"/>
      <c r="P1174" s="90"/>
      <c r="Q1174" s="133">
        <v>4000</v>
      </c>
      <c r="R1174" s="134"/>
      <c r="S1174" s="5" t="s">
        <v>814</v>
      </c>
      <c r="T1174" s="6"/>
      <c r="U1174" s="6"/>
      <c r="V1174" s="5" t="s">
        <v>106</v>
      </c>
      <c r="W1174" s="12">
        <v>14870633</v>
      </c>
      <c r="X1174" s="6"/>
      <c r="Y1174" s="6"/>
    </row>
    <row r="1175" spans="1:25" ht="15" customHeight="1" x14ac:dyDescent="0.2">
      <c r="A1175" s="88" t="s">
        <v>1617</v>
      </c>
      <c r="B1175" s="90"/>
      <c r="C1175" s="88" t="s">
        <v>1643</v>
      </c>
      <c r="D1175" s="90"/>
      <c r="E1175" s="88" t="s">
        <v>1642</v>
      </c>
      <c r="F1175" s="89"/>
      <c r="G1175" s="89"/>
      <c r="H1175" s="89"/>
      <c r="I1175" s="90"/>
      <c r="J1175" s="88" t="s">
        <v>599</v>
      </c>
      <c r="K1175" s="89"/>
      <c r="L1175" s="89"/>
      <c r="M1175" s="90"/>
      <c r="N1175" s="88" t="s">
        <v>26</v>
      </c>
      <c r="O1175" s="89"/>
      <c r="P1175" s="90"/>
      <c r="Q1175" s="133">
        <v>4000</v>
      </c>
      <c r="R1175" s="134"/>
      <c r="S1175" s="5" t="s">
        <v>1291</v>
      </c>
      <c r="T1175" s="6"/>
      <c r="U1175" s="6"/>
      <c r="V1175" s="5" t="s">
        <v>106</v>
      </c>
      <c r="W1175" s="12">
        <v>10514203</v>
      </c>
      <c r="X1175" s="6"/>
      <c r="Y1175" s="6"/>
    </row>
    <row r="1176" spans="1:25" ht="15" customHeight="1" x14ac:dyDescent="0.2">
      <c r="A1176" s="88" t="s">
        <v>1617</v>
      </c>
      <c r="B1176" s="90"/>
      <c r="C1176" s="88" t="s">
        <v>1643</v>
      </c>
      <c r="D1176" s="90"/>
      <c r="E1176" s="88" t="s">
        <v>1644</v>
      </c>
      <c r="F1176" s="89"/>
      <c r="G1176" s="89"/>
      <c r="H1176" s="89"/>
      <c r="I1176" s="90"/>
      <c r="J1176" s="88" t="s">
        <v>599</v>
      </c>
      <c r="K1176" s="89"/>
      <c r="L1176" s="89"/>
      <c r="M1176" s="90"/>
      <c r="N1176" s="88" t="s">
        <v>26</v>
      </c>
      <c r="O1176" s="89"/>
      <c r="P1176" s="90"/>
      <c r="Q1176" s="133">
        <v>4000</v>
      </c>
      <c r="R1176" s="134"/>
      <c r="S1176" s="5" t="s">
        <v>1291</v>
      </c>
      <c r="T1176" s="6"/>
      <c r="U1176" s="6"/>
      <c r="V1176" s="5" t="s">
        <v>106</v>
      </c>
      <c r="W1176" s="12">
        <v>8610535</v>
      </c>
      <c r="X1176" s="6"/>
      <c r="Y1176" s="6"/>
    </row>
    <row r="1177" spans="1:25" ht="15" customHeight="1" x14ac:dyDescent="0.2">
      <c r="A1177" s="88" t="s">
        <v>1617</v>
      </c>
      <c r="B1177" s="90"/>
      <c r="C1177" s="88" t="s">
        <v>1643</v>
      </c>
      <c r="D1177" s="90"/>
      <c r="E1177" s="88" t="s">
        <v>1642</v>
      </c>
      <c r="F1177" s="89"/>
      <c r="G1177" s="89"/>
      <c r="H1177" s="89"/>
      <c r="I1177" s="90"/>
      <c r="J1177" s="88" t="s">
        <v>13</v>
      </c>
      <c r="K1177" s="89"/>
      <c r="L1177" s="89"/>
      <c r="M1177" s="90"/>
      <c r="N1177" s="88" t="s">
        <v>26</v>
      </c>
      <c r="O1177" s="89"/>
      <c r="P1177" s="90"/>
      <c r="Q1177" s="133">
        <v>4000</v>
      </c>
      <c r="R1177" s="134"/>
      <c r="S1177" s="5" t="s">
        <v>1291</v>
      </c>
      <c r="T1177" s="6"/>
      <c r="U1177" s="6"/>
      <c r="V1177" s="5" t="s">
        <v>106</v>
      </c>
      <c r="W1177" s="12">
        <v>9926688</v>
      </c>
      <c r="X1177" s="6"/>
      <c r="Y1177" s="6"/>
    </row>
    <row r="1178" spans="1:25" ht="15" customHeight="1" x14ac:dyDescent="0.2">
      <c r="A1178" s="88" t="s">
        <v>1617</v>
      </c>
      <c r="B1178" s="90"/>
      <c r="C1178" s="88" t="s">
        <v>1643</v>
      </c>
      <c r="D1178" s="90"/>
      <c r="E1178" s="88" t="s">
        <v>1645</v>
      </c>
      <c r="F1178" s="89"/>
      <c r="G1178" s="89"/>
      <c r="H1178" s="89"/>
      <c r="I1178" s="90"/>
      <c r="J1178" s="88" t="s">
        <v>599</v>
      </c>
      <c r="K1178" s="89"/>
      <c r="L1178" s="89"/>
      <c r="M1178" s="90"/>
      <c r="N1178" s="88" t="s">
        <v>26</v>
      </c>
      <c r="O1178" s="89"/>
      <c r="P1178" s="90"/>
      <c r="Q1178" s="133">
        <v>4000</v>
      </c>
      <c r="R1178" s="134"/>
      <c r="S1178" s="5" t="s">
        <v>1291</v>
      </c>
      <c r="T1178" s="6"/>
      <c r="U1178" s="6"/>
      <c r="V1178" s="5" t="s">
        <v>106</v>
      </c>
      <c r="W1178" s="12">
        <v>15401930</v>
      </c>
      <c r="X1178" s="6"/>
      <c r="Y1178" s="6"/>
    </row>
    <row r="1179" spans="1:25" ht="15" customHeight="1" x14ac:dyDescent="0.2">
      <c r="A1179" s="88" t="s">
        <v>1617</v>
      </c>
      <c r="B1179" s="90"/>
      <c r="C1179" s="88" t="s">
        <v>1643</v>
      </c>
      <c r="D1179" s="90"/>
      <c r="E1179" s="88" t="s">
        <v>1646</v>
      </c>
      <c r="F1179" s="89"/>
      <c r="G1179" s="89"/>
      <c r="H1179" s="89"/>
      <c r="I1179" s="90"/>
      <c r="J1179" s="88" t="s">
        <v>599</v>
      </c>
      <c r="K1179" s="89"/>
      <c r="L1179" s="89"/>
      <c r="M1179" s="90"/>
      <c r="N1179" s="88" t="s">
        <v>26</v>
      </c>
      <c r="O1179" s="89"/>
      <c r="P1179" s="90"/>
      <c r="Q1179" s="133">
        <v>4000</v>
      </c>
      <c r="R1179" s="134"/>
      <c r="S1179" s="5" t="s">
        <v>1291</v>
      </c>
      <c r="T1179" s="6"/>
      <c r="U1179" s="6"/>
      <c r="V1179" s="5" t="s">
        <v>106</v>
      </c>
      <c r="W1179" s="12">
        <v>20230725</v>
      </c>
      <c r="X1179" s="6"/>
      <c r="Y1179" s="6"/>
    </row>
    <row r="1180" spans="1:25" ht="15" customHeight="1" x14ac:dyDescent="0.2">
      <c r="A1180" s="88" t="s">
        <v>1617</v>
      </c>
      <c r="B1180" s="90"/>
      <c r="C1180" s="88" t="s">
        <v>1643</v>
      </c>
      <c r="D1180" s="90"/>
      <c r="E1180" s="88" t="s">
        <v>1647</v>
      </c>
      <c r="F1180" s="89"/>
      <c r="G1180" s="89"/>
      <c r="H1180" s="89"/>
      <c r="I1180" s="90"/>
      <c r="J1180" s="88" t="s">
        <v>13</v>
      </c>
      <c r="K1180" s="89"/>
      <c r="L1180" s="89"/>
      <c r="M1180" s="90"/>
      <c r="N1180" s="88" t="s">
        <v>26</v>
      </c>
      <c r="O1180" s="89"/>
      <c r="P1180" s="90"/>
      <c r="Q1180" s="133">
        <v>4000</v>
      </c>
      <c r="R1180" s="134"/>
      <c r="S1180" s="5" t="s">
        <v>1291</v>
      </c>
      <c r="T1180" s="6"/>
      <c r="U1180" s="6"/>
      <c r="V1180" s="5" t="s">
        <v>106</v>
      </c>
      <c r="W1180" s="12">
        <v>19026660</v>
      </c>
      <c r="X1180" s="6"/>
      <c r="Y1180" s="6"/>
    </row>
    <row r="1181" spans="1:25" ht="15" customHeight="1" x14ac:dyDescent="0.2">
      <c r="A1181" s="88" t="s">
        <v>1617</v>
      </c>
      <c r="B1181" s="90"/>
      <c r="C1181" s="88" t="s">
        <v>1643</v>
      </c>
      <c r="D1181" s="90"/>
      <c r="E1181" s="88" t="s">
        <v>1648</v>
      </c>
      <c r="F1181" s="89"/>
      <c r="G1181" s="89"/>
      <c r="H1181" s="89"/>
      <c r="I1181" s="90"/>
      <c r="J1181" s="88" t="s">
        <v>13</v>
      </c>
      <c r="K1181" s="89"/>
      <c r="L1181" s="89"/>
      <c r="M1181" s="90"/>
      <c r="N1181" s="88" t="s">
        <v>26</v>
      </c>
      <c r="O1181" s="89"/>
      <c r="P1181" s="90"/>
      <c r="Q1181" s="133">
        <v>4000</v>
      </c>
      <c r="R1181" s="134"/>
      <c r="S1181" s="5" t="s">
        <v>1291</v>
      </c>
      <c r="T1181" s="6"/>
      <c r="U1181" s="6"/>
      <c r="V1181" s="5" t="s">
        <v>106</v>
      </c>
      <c r="W1181" s="12">
        <v>11282403</v>
      </c>
      <c r="X1181" s="6"/>
      <c r="Y1181" s="6"/>
    </row>
    <row r="1182" spans="1:25" ht="15" customHeight="1" x14ac:dyDescent="0.2">
      <c r="A1182" s="88" t="s">
        <v>1617</v>
      </c>
      <c r="B1182" s="90"/>
      <c r="C1182" s="88" t="s">
        <v>1643</v>
      </c>
      <c r="D1182" s="90"/>
      <c r="E1182" s="88" t="s">
        <v>1649</v>
      </c>
      <c r="F1182" s="89"/>
      <c r="G1182" s="89"/>
      <c r="H1182" s="89"/>
      <c r="I1182" s="90"/>
      <c r="J1182" s="88" t="s">
        <v>599</v>
      </c>
      <c r="K1182" s="89"/>
      <c r="L1182" s="89"/>
      <c r="M1182" s="90"/>
      <c r="N1182" s="88" t="s">
        <v>26</v>
      </c>
      <c r="O1182" s="89"/>
      <c r="P1182" s="90"/>
      <c r="Q1182" s="133">
        <v>4000</v>
      </c>
      <c r="R1182" s="134"/>
      <c r="S1182" s="5" t="s">
        <v>1291</v>
      </c>
      <c r="T1182" s="6"/>
      <c r="U1182" s="6"/>
      <c r="V1182" s="5" t="s">
        <v>106</v>
      </c>
      <c r="W1182" s="12">
        <v>16125924</v>
      </c>
      <c r="X1182" s="6"/>
      <c r="Y1182" s="6"/>
    </row>
    <row r="1183" spans="1:25" ht="15" customHeight="1" x14ac:dyDescent="0.2">
      <c r="A1183" s="88" t="s">
        <v>1617</v>
      </c>
      <c r="B1183" s="90"/>
      <c r="C1183" s="88" t="s">
        <v>1643</v>
      </c>
      <c r="D1183" s="90"/>
      <c r="E1183" s="88" t="s">
        <v>1648</v>
      </c>
      <c r="F1183" s="89"/>
      <c r="G1183" s="89"/>
      <c r="H1183" s="89"/>
      <c r="I1183" s="90"/>
      <c r="J1183" s="88" t="s">
        <v>599</v>
      </c>
      <c r="K1183" s="89"/>
      <c r="L1183" s="89"/>
      <c r="M1183" s="90"/>
      <c r="N1183" s="88" t="s">
        <v>26</v>
      </c>
      <c r="O1183" s="89"/>
      <c r="P1183" s="90"/>
      <c r="Q1183" s="133">
        <v>4000</v>
      </c>
      <c r="R1183" s="134"/>
      <c r="S1183" s="5" t="s">
        <v>1291</v>
      </c>
      <c r="T1183" s="6"/>
      <c r="U1183" s="6"/>
      <c r="V1183" s="5" t="s">
        <v>106</v>
      </c>
      <c r="W1183" s="12">
        <v>12215774</v>
      </c>
      <c r="X1183" s="6"/>
      <c r="Y1183" s="6"/>
    </row>
    <row r="1184" spans="1:25" ht="15" customHeight="1" x14ac:dyDescent="0.2">
      <c r="A1184" s="88" t="s">
        <v>1617</v>
      </c>
      <c r="B1184" s="90"/>
      <c r="C1184" s="88" t="s">
        <v>1643</v>
      </c>
      <c r="D1184" s="90"/>
      <c r="E1184" s="88" t="s">
        <v>1650</v>
      </c>
      <c r="F1184" s="89"/>
      <c r="G1184" s="89"/>
      <c r="H1184" s="89"/>
      <c r="I1184" s="90"/>
      <c r="J1184" s="88" t="s">
        <v>599</v>
      </c>
      <c r="K1184" s="89"/>
      <c r="L1184" s="89"/>
      <c r="M1184" s="90"/>
      <c r="N1184" s="88" t="s">
        <v>26</v>
      </c>
      <c r="O1184" s="89"/>
      <c r="P1184" s="90"/>
      <c r="Q1184" s="133">
        <v>4000</v>
      </c>
      <c r="R1184" s="134"/>
      <c r="S1184" s="5" t="s">
        <v>1291</v>
      </c>
      <c r="T1184" s="6"/>
      <c r="U1184" s="6"/>
      <c r="V1184" s="5" t="s">
        <v>106</v>
      </c>
      <c r="W1184" s="12">
        <v>19571697</v>
      </c>
      <c r="X1184" s="6"/>
      <c r="Y1184" s="6"/>
    </row>
    <row r="1185" spans="1:25" ht="15" customHeight="1" x14ac:dyDescent="0.2">
      <c r="A1185" s="88" t="s">
        <v>1617</v>
      </c>
      <c r="B1185" s="90"/>
      <c r="C1185" s="88" t="s">
        <v>1643</v>
      </c>
      <c r="D1185" s="90"/>
      <c r="E1185" s="88" t="s">
        <v>1651</v>
      </c>
      <c r="F1185" s="89"/>
      <c r="G1185" s="89"/>
      <c r="H1185" s="89"/>
      <c r="I1185" s="90"/>
      <c r="J1185" s="88" t="s">
        <v>599</v>
      </c>
      <c r="K1185" s="89"/>
      <c r="L1185" s="89"/>
      <c r="M1185" s="90"/>
      <c r="N1185" s="88" t="s">
        <v>26</v>
      </c>
      <c r="O1185" s="89"/>
      <c r="P1185" s="90"/>
      <c r="Q1185" s="133">
        <v>4000</v>
      </c>
      <c r="R1185" s="134"/>
      <c r="S1185" s="5" t="s">
        <v>1291</v>
      </c>
      <c r="T1185" s="6"/>
      <c r="U1185" s="6"/>
      <c r="V1185" s="5" t="s">
        <v>106</v>
      </c>
      <c r="W1185" s="12">
        <v>12183454</v>
      </c>
      <c r="X1185" s="6"/>
      <c r="Y1185" s="6"/>
    </row>
    <row r="1186" spans="1:25" ht="15" customHeight="1" x14ac:dyDescent="0.2">
      <c r="A1186" s="88" t="s">
        <v>1617</v>
      </c>
      <c r="B1186" s="90"/>
      <c r="C1186" s="88" t="s">
        <v>1643</v>
      </c>
      <c r="D1186" s="90"/>
      <c r="E1186" s="88" t="s">
        <v>1652</v>
      </c>
      <c r="F1186" s="89"/>
      <c r="G1186" s="89"/>
      <c r="H1186" s="89"/>
      <c r="I1186" s="90"/>
      <c r="J1186" s="88" t="s">
        <v>599</v>
      </c>
      <c r="K1186" s="89"/>
      <c r="L1186" s="89"/>
      <c r="M1186" s="90"/>
      <c r="N1186" s="88" t="s">
        <v>22</v>
      </c>
      <c r="O1186" s="89"/>
      <c r="P1186" s="90"/>
      <c r="Q1186" s="133">
        <v>4000</v>
      </c>
      <c r="R1186" s="134"/>
      <c r="S1186" s="5" t="s">
        <v>1291</v>
      </c>
      <c r="T1186" s="6"/>
      <c r="U1186" s="6"/>
      <c r="V1186" s="5" t="s">
        <v>106</v>
      </c>
      <c r="W1186" s="12">
        <v>10256868</v>
      </c>
      <c r="X1186" s="6"/>
      <c r="Y1186" s="6"/>
    </row>
    <row r="1187" spans="1:25" ht="15" customHeight="1" x14ac:dyDescent="0.2">
      <c r="A1187" s="88" t="s">
        <v>1617</v>
      </c>
      <c r="B1187" s="90"/>
      <c r="C1187" s="88" t="s">
        <v>1653</v>
      </c>
      <c r="D1187" s="90"/>
      <c r="E1187" s="88" t="s">
        <v>1646</v>
      </c>
      <c r="F1187" s="89"/>
      <c r="G1187" s="89"/>
      <c r="H1187" s="89"/>
      <c r="I1187" s="90"/>
      <c r="J1187" s="88" t="s">
        <v>599</v>
      </c>
      <c r="K1187" s="89"/>
      <c r="L1187" s="89"/>
      <c r="M1187" s="90"/>
      <c r="N1187" s="88" t="s">
        <v>26</v>
      </c>
      <c r="O1187" s="89"/>
      <c r="P1187" s="90"/>
      <c r="Q1187" s="133">
        <v>4000</v>
      </c>
      <c r="R1187" s="134"/>
      <c r="S1187" s="5" t="s">
        <v>1291</v>
      </c>
      <c r="T1187" s="6"/>
      <c r="U1187" s="6"/>
      <c r="V1187" s="5" t="s">
        <v>106</v>
      </c>
      <c r="W1187" s="12">
        <v>12056879</v>
      </c>
      <c r="X1187" s="6"/>
      <c r="Y1187" s="6"/>
    </row>
    <row r="1188" spans="1:25" ht="15" customHeight="1" x14ac:dyDescent="0.2">
      <c r="A1188" s="88" t="s">
        <v>1617</v>
      </c>
      <c r="B1188" s="90"/>
      <c r="C1188" s="88" t="s">
        <v>1653</v>
      </c>
      <c r="D1188" s="90"/>
      <c r="E1188" s="88" t="s">
        <v>1642</v>
      </c>
      <c r="F1188" s="89"/>
      <c r="G1188" s="89"/>
      <c r="H1188" s="89"/>
      <c r="I1188" s="90"/>
      <c r="J1188" s="88" t="s">
        <v>599</v>
      </c>
      <c r="K1188" s="89"/>
      <c r="L1188" s="89"/>
      <c r="M1188" s="90"/>
      <c r="N1188" s="88" t="s">
        <v>26</v>
      </c>
      <c r="O1188" s="89"/>
      <c r="P1188" s="90"/>
      <c r="Q1188" s="133">
        <v>4000</v>
      </c>
      <c r="R1188" s="134"/>
      <c r="S1188" s="5" t="s">
        <v>1291</v>
      </c>
      <c r="T1188" s="6"/>
      <c r="U1188" s="6"/>
      <c r="V1188" s="5" t="s">
        <v>106</v>
      </c>
      <c r="W1188" s="12">
        <v>9613531</v>
      </c>
      <c r="X1188" s="6"/>
      <c r="Y1188" s="6"/>
    </row>
    <row r="1189" spans="1:25" ht="15" customHeight="1" x14ac:dyDescent="0.2">
      <c r="A1189" s="88" t="s">
        <v>1617</v>
      </c>
      <c r="B1189" s="90"/>
      <c r="C1189" s="88" t="s">
        <v>1654</v>
      </c>
      <c r="D1189" s="90"/>
      <c r="E1189" s="88" t="s">
        <v>1655</v>
      </c>
      <c r="F1189" s="89"/>
      <c r="G1189" s="89"/>
      <c r="H1189" s="89"/>
      <c r="I1189" s="90"/>
      <c r="J1189" s="88" t="s">
        <v>13</v>
      </c>
      <c r="K1189" s="89"/>
      <c r="L1189" s="89"/>
      <c r="M1189" s="90"/>
      <c r="N1189" s="88" t="s">
        <v>26</v>
      </c>
      <c r="O1189" s="89"/>
      <c r="P1189" s="90"/>
      <c r="Q1189" s="133">
        <v>4000</v>
      </c>
      <c r="R1189" s="134"/>
      <c r="S1189" s="5" t="s">
        <v>1291</v>
      </c>
      <c r="T1189" s="6"/>
      <c r="U1189" s="6"/>
      <c r="V1189" s="5" t="s">
        <v>106</v>
      </c>
      <c r="W1189" s="12">
        <v>14754396</v>
      </c>
      <c r="X1189" s="6"/>
      <c r="Y1189" s="6"/>
    </row>
    <row r="1190" spans="1:25" ht="15" customHeight="1" x14ac:dyDescent="0.2">
      <c r="A1190" s="88" t="s">
        <v>1617</v>
      </c>
      <c r="B1190" s="90"/>
      <c r="C1190" s="88" t="s">
        <v>1654</v>
      </c>
      <c r="D1190" s="90"/>
      <c r="E1190" s="88" t="s">
        <v>1656</v>
      </c>
      <c r="F1190" s="89"/>
      <c r="G1190" s="89"/>
      <c r="H1190" s="89"/>
      <c r="I1190" s="90"/>
      <c r="J1190" s="88" t="s">
        <v>599</v>
      </c>
      <c r="K1190" s="89"/>
      <c r="L1190" s="89"/>
      <c r="M1190" s="90"/>
      <c r="N1190" s="88" t="s">
        <v>26</v>
      </c>
      <c r="O1190" s="89"/>
      <c r="P1190" s="90"/>
      <c r="Q1190" s="133">
        <v>4000</v>
      </c>
      <c r="R1190" s="134"/>
      <c r="S1190" s="5" t="s">
        <v>1291</v>
      </c>
      <c r="T1190" s="6"/>
      <c r="U1190" s="6"/>
      <c r="V1190" s="5" t="s">
        <v>106</v>
      </c>
      <c r="W1190" s="12">
        <v>25408392</v>
      </c>
      <c r="X1190" s="6"/>
      <c r="Y1190" s="6"/>
    </row>
    <row r="1191" spans="1:25" ht="15" customHeight="1" x14ac:dyDescent="0.2">
      <c r="A1191" s="88" t="s">
        <v>1617</v>
      </c>
      <c r="B1191" s="90"/>
      <c r="C1191" s="88" t="s">
        <v>1654</v>
      </c>
      <c r="D1191" s="90"/>
      <c r="E1191" s="88" t="s">
        <v>1657</v>
      </c>
      <c r="F1191" s="89"/>
      <c r="G1191" s="89"/>
      <c r="H1191" s="89"/>
      <c r="I1191" s="90"/>
      <c r="J1191" s="88" t="s">
        <v>599</v>
      </c>
      <c r="K1191" s="89"/>
      <c r="L1191" s="89"/>
      <c r="M1191" s="90"/>
      <c r="N1191" s="88" t="s">
        <v>26</v>
      </c>
      <c r="O1191" s="89"/>
      <c r="P1191" s="90"/>
      <c r="Q1191" s="133">
        <v>4000</v>
      </c>
      <c r="R1191" s="134"/>
      <c r="S1191" s="5" t="s">
        <v>1291</v>
      </c>
      <c r="T1191" s="6"/>
      <c r="U1191" s="6"/>
      <c r="V1191" s="5" t="s">
        <v>106</v>
      </c>
      <c r="W1191" s="12">
        <v>6019405</v>
      </c>
      <c r="X1191" s="6"/>
      <c r="Y1191" s="6"/>
    </row>
    <row r="1192" spans="1:25" ht="15" customHeight="1" x14ac:dyDescent="0.2">
      <c r="A1192" s="88" t="s">
        <v>1617</v>
      </c>
      <c r="B1192" s="90"/>
      <c r="C1192" s="88" t="s">
        <v>1654</v>
      </c>
      <c r="D1192" s="90"/>
      <c r="E1192" s="88" t="s">
        <v>1651</v>
      </c>
      <c r="F1192" s="89"/>
      <c r="G1192" s="89"/>
      <c r="H1192" s="89"/>
      <c r="I1192" s="90"/>
      <c r="J1192" s="88" t="s">
        <v>599</v>
      </c>
      <c r="K1192" s="89"/>
      <c r="L1192" s="89"/>
      <c r="M1192" s="90"/>
      <c r="N1192" s="88" t="s">
        <v>26</v>
      </c>
      <c r="O1192" s="89"/>
      <c r="P1192" s="90"/>
      <c r="Q1192" s="133">
        <v>4000</v>
      </c>
      <c r="R1192" s="134"/>
      <c r="S1192" s="5" t="s">
        <v>1291</v>
      </c>
      <c r="T1192" s="6"/>
      <c r="U1192" s="6"/>
      <c r="V1192" s="5" t="s">
        <v>106</v>
      </c>
      <c r="W1192" s="12">
        <v>12401418</v>
      </c>
      <c r="X1192" s="6"/>
      <c r="Y1192" s="6"/>
    </row>
    <row r="1193" spans="1:25" ht="15" customHeight="1" x14ac:dyDescent="0.2">
      <c r="A1193" s="88" t="s">
        <v>1617</v>
      </c>
      <c r="B1193" s="90"/>
      <c r="C1193" s="88" t="s">
        <v>1658</v>
      </c>
      <c r="D1193" s="90"/>
      <c r="E1193" s="88" t="s">
        <v>1659</v>
      </c>
      <c r="F1193" s="89"/>
      <c r="G1193" s="89"/>
      <c r="H1193" s="89"/>
      <c r="I1193" s="90"/>
      <c r="J1193" s="88" t="s">
        <v>599</v>
      </c>
      <c r="K1193" s="89"/>
      <c r="L1193" s="89"/>
      <c r="M1193" s="90"/>
      <c r="N1193" s="88" t="s">
        <v>26</v>
      </c>
      <c r="O1193" s="89"/>
      <c r="P1193" s="90"/>
      <c r="Q1193" s="133">
        <v>4000</v>
      </c>
      <c r="R1193" s="134"/>
      <c r="S1193" s="5" t="s">
        <v>1291</v>
      </c>
      <c r="T1193" s="6"/>
      <c r="U1193" s="6"/>
      <c r="V1193" s="5" t="s">
        <v>106</v>
      </c>
      <c r="W1193" s="12">
        <v>13215931</v>
      </c>
      <c r="X1193" s="6"/>
      <c r="Y1193" s="6"/>
    </row>
    <row r="1194" spans="1:25" ht="15" customHeight="1" x14ac:dyDescent="0.2">
      <c r="A1194" s="88" t="s">
        <v>1617</v>
      </c>
      <c r="B1194" s="90"/>
      <c r="C1194" s="88" t="s">
        <v>1658</v>
      </c>
      <c r="D1194" s="90"/>
      <c r="E1194" s="88" t="s">
        <v>1660</v>
      </c>
      <c r="F1194" s="89"/>
      <c r="G1194" s="89"/>
      <c r="H1194" s="89"/>
      <c r="I1194" s="90"/>
      <c r="J1194" s="88" t="s">
        <v>599</v>
      </c>
      <c r="K1194" s="89"/>
      <c r="L1194" s="89"/>
      <c r="M1194" s="90"/>
      <c r="N1194" s="88" t="s">
        <v>26</v>
      </c>
      <c r="O1194" s="89"/>
      <c r="P1194" s="90"/>
      <c r="Q1194" s="133">
        <v>4000</v>
      </c>
      <c r="R1194" s="134"/>
      <c r="S1194" s="5" t="s">
        <v>1291</v>
      </c>
      <c r="T1194" s="6"/>
      <c r="U1194" s="6"/>
      <c r="V1194" s="5" t="s">
        <v>106</v>
      </c>
      <c r="W1194" s="12">
        <v>12553765</v>
      </c>
      <c r="X1194" s="6"/>
      <c r="Y1194" s="6"/>
    </row>
    <row r="1195" spans="1:25" ht="15" customHeight="1" x14ac:dyDescent="0.2">
      <c r="A1195" s="88" t="s">
        <v>1617</v>
      </c>
      <c r="B1195" s="90"/>
      <c r="C1195" s="88" t="s">
        <v>1658</v>
      </c>
      <c r="D1195" s="90"/>
      <c r="E1195" s="88" t="s">
        <v>1651</v>
      </c>
      <c r="F1195" s="89"/>
      <c r="G1195" s="89"/>
      <c r="H1195" s="89"/>
      <c r="I1195" s="90"/>
      <c r="J1195" s="88" t="s">
        <v>599</v>
      </c>
      <c r="K1195" s="89"/>
      <c r="L1195" s="89"/>
      <c r="M1195" s="90"/>
      <c r="N1195" s="88" t="s">
        <v>22</v>
      </c>
      <c r="O1195" s="89"/>
      <c r="P1195" s="90"/>
      <c r="Q1195" s="133">
        <v>4000</v>
      </c>
      <c r="R1195" s="134"/>
      <c r="S1195" s="5" t="s">
        <v>1291</v>
      </c>
      <c r="T1195" s="6"/>
      <c r="U1195" s="6"/>
      <c r="V1195" s="5" t="s">
        <v>106</v>
      </c>
      <c r="W1195" s="12">
        <v>12286445</v>
      </c>
      <c r="X1195" s="6"/>
      <c r="Y1195" s="6"/>
    </row>
    <row r="1196" spans="1:25" ht="15" customHeight="1" x14ac:dyDescent="0.2">
      <c r="A1196" s="88" t="s">
        <v>1617</v>
      </c>
      <c r="B1196" s="90"/>
      <c r="C1196" s="88" t="s">
        <v>1661</v>
      </c>
      <c r="D1196" s="90"/>
      <c r="E1196" s="88" t="s">
        <v>1656</v>
      </c>
      <c r="F1196" s="89"/>
      <c r="G1196" s="89"/>
      <c r="H1196" s="89"/>
      <c r="I1196" s="90"/>
      <c r="J1196" s="88" t="s">
        <v>599</v>
      </c>
      <c r="K1196" s="89"/>
      <c r="L1196" s="89"/>
      <c r="M1196" s="90"/>
      <c r="N1196" s="88" t="s">
        <v>26</v>
      </c>
      <c r="O1196" s="89"/>
      <c r="P1196" s="90"/>
      <c r="Q1196" s="133">
        <v>4000</v>
      </c>
      <c r="R1196" s="134"/>
      <c r="S1196" s="5" t="s">
        <v>1291</v>
      </c>
      <c r="T1196" s="6"/>
      <c r="U1196" s="6"/>
      <c r="V1196" s="5" t="s">
        <v>106</v>
      </c>
      <c r="W1196" s="12">
        <v>25408392</v>
      </c>
      <c r="X1196" s="6"/>
      <c r="Y1196" s="6"/>
    </row>
    <row r="1197" spans="1:25" ht="15" customHeight="1" x14ac:dyDescent="0.2">
      <c r="A1197" s="88" t="s">
        <v>1617</v>
      </c>
      <c r="B1197" s="90"/>
      <c r="C1197" s="88" t="s">
        <v>1662</v>
      </c>
      <c r="D1197" s="90"/>
      <c r="E1197" s="88" t="s">
        <v>1644</v>
      </c>
      <c r="F1197" s="89"/>
      <c r="G1197" s="89"/>
      <c r="H1197" s="89"/>
      <c r="I1197" s="90"/>
      <c r="J1197" s="88" t="s">
        <v>599</v>
      </c>
      <c r="K1197" s="89"/>
      <c r="L1197" s="89"/>
      <c r="M1197" s="90"/>
      <c r="N1197" s="88" t="s">
        <v>26</v>
      </c>
      <c r="O1197" s="89"/>
      <c r="P1197" s="90"/>
      <c r="Q1197" s="133">
        <v>4000</v>
      </c>
      <c r="R1197" s="134"/>
      <c r="S1197" s="5" t="s">
        <v>1291</v>
      </c>
      <c r="T1197" s="6"/>
      <c r="U1197" s="6"/>
      <c r="V1197" s="5" t="s">
        <v>106</v>
      </c>
      <c r="W1197" s="12">
        <v>9433226</v>
      </c>
      <c r="X1197" s="6"/>
      <c r="Y1197" s="6"/>
    </row>
    <row r="1198" spans="1:25" ht="15" customHeight="1" x14ac:dyDescent="0.2">
      <c r="A1198" s="88" t="s">
        <v>1617</v>
      </c>
      <c r="B1198" s="90"/>
      <c r="C1198" s="88" t="s">
        <v>1663</v>
      </c>
      <c r="D1198" s="90"/>
      <c r="E1198" s="88" t="s">
        <v>1644</v>
      </c>
      <c r="F1198" s="89"/>
      <c r="G1198" s="89"/>
      <c r="H1198" s="89"/>
      <c r="I1198" s="90"/>
      <c r="J1198" s="88" t="s">
        <v>13</v>
      </c>
      <c r="K1198" s="89"/>
      <c r="L1198" s="89"/>
      <c r="M1198" s="90"/>
      <c r="N1198" s="88" t="s">
        <v>26</v>
      </c>
      <c r="O1198" s="89"/>
      <c r="P1198" s="90"/>
      <c r="Q1198" s="133">
        <v>4000</v>
      </c>
      <c r="R1198" s="134"/>
      <c r="S1198" s="5" t="s">
        <v>1291</v>
      </c>
      <c r="T1198" s="6"/>
      <c r="U1198" s="6"/>
      <c r="V1198" s="5" t="s">
        <v>106</v>
      </c>
      <c r="W1198" s="12">
        <v>11717570</v>
      </c>
      <c r="X1198" s="6"/>
      <c r="Y1198" s="6"/>
    </row>
    <row r="1199" spans="1:25" ht="15" customHeight="1" x14ac:dyDescent="0.2">
      <c r="A1199" s="88" t="s">
        <v>1617</v>
      </c>
      <c r="B1199" s="90"/>
      <c r="C1199" s="88" t="s">
        <v>1664</v>
      </c>
      <c r="D1199" s="90"/>
      <c r="E1199" s="88" t="s">
        <v>1665</v>
      </c>
      <c r="F1199" s="89"/>
      <c r="G1199" s="89"/>
      <c r="H1199" s="89"/>
      <c r="I1199" s="90"/>
      <c r="J1199" s="88" t="s">
        <v>599</v>
      </c>
      <c r="K1199" s="89"/>
      <c r="L1199" s="89"/>
      <c r="M1199" s="90"/>
      <c r="N1199" s="88" t="s">
        <v>26</v>
      </c>
      <c r="O1199" s="89"/>
      <c r="P1199" s="90"/>
      <c r="Q1199" s="133">
        <v>4000</v>
      </c>
      <c r="R1199" s="134"/>
      <c r="S1199" s="5" t="s">
        <v>1291</v>
      </c>
      <c r="T1199" s="6"/>
      <c r="U1199" s="6"/>
      <c r="V1199" s="5" t="s">
        <v>106</v>
      </c>
      <c r="W1199" s="12">
        <v>12668548</v>
      </c>
      <c r="X1199" s="6"/>
      <c r="Y1199" s="6"/>
    </row>
    <row r="1200" spans="1:25" ht="15" customHeight="1" x14ac:dyDescent="0.2">
      <c r="A1200" s="88" t="s">
        <v>1617</v>
      </c>
      <c r="B1200" s="90"/>
      <c r="C1200" s="88" t="s">
        <v>1664</v>
      </c>
      <c r="D1200" s="90"/>
      <c r="E1200" s="88" t="s">
        <v>1666</v>
      </c>
      <c r="F1200" s="89"/>
      <c r="G1200" s="89"/>
      <c r="H1200" s="89"/>
      <c r="I1200" s="90"/>
      <c r="J1200" s="88" t="s">
        <v>599</v>
      </c>
      <c r="K1200" s="89"/>
      <c r="L1200" s="89"/>
      <c r="M1200" s="90"/>
      <c r="N1200" s="88" t="s">
        <v>26</v>
      </c>
      <c r="O1200" s="89"/>
      <c r="P1200" s="90"/>
      <c r="Q1200" s="133">
        <v>4000</v>
      </c>
      <c r="R1200" s="134"/>
      <c r="S1200" s="5" t="s">
        <v>1291</v>
      </c>
      <c r="T1200" s="6"/>
      <c r="U1200" s="6"/>
      <c r="V1200" s="5" t="s">
        <v>106</v>
      </c>
      <c r="W1200" s="12">
        <v>15141091</v>
      </c>
      <c r="X1200" s="6"/>
      <c r="Y1200" s="6"/>
    </row>
    <row r="1201" spans="1:25" ht="15" customHeight="1" x14ac:dyDescent="0.2">
      <c r="A1201" s="88" t="s">
        <v>1617</v>
      </c>
      <c r="B1201" s="90"/>
      <c r="C1201" s="88" t="s">
        <v>1667</v>
      </c>
      <c r="D1201" s="90"/>
      <c r="E1201" s="88" t="s">
        <v>1668</v>
      </c>
      <c r="F1201" s="89"/>
      <c r="G1201" s="89"/>
      <c r="H1201" s="89"/>
      <c r="I1201" s="90"/>
      <c r="J1201" s="88" t="s">
        <v>599</v>
      </c>
      <c r="K1201" s="89"/>
      <c r="L1201" s="89"/>
      <c r="M1201" s="90"/>
      <c r="N1201" s="88" t="s">
        <v>26</v>
      </c>
      <c r="O1201" s="89"/>
      <c r="P1201" s="90"/>
      <c r="Q1201" s="133">
        <v>4000</v>
      </c>
      <c r="R1201" s="134"/>
      <c r="S1201" s="5" t="s">
        <v>1291</v>
      </c>
      <c r="T1201" s="6"/>
      <c r="U1201" s="6"/>
      <c r="V1201" s="5" t="s">
        <v>106</v>
      </c>
      <c r="W1201" s="12">
        <v>12314893</v>
      </c>
      <c r="X1201" s="6"/>
      <c r="Y1201" s="6"/>
    </row>
    <row r="1202" spans="1:25" ht="15" customHeight="1" x14ac:dyDescent="0.2">
      <c r="A1202" s="88" t="s">
        <v>1617</v>
      </c>
      <c r="B1202" s="90"/>
      <c r="C1202" s="88" t="s">
        <v>1669</v>
      </c>
      <c r="D1202" s="90"/>
      <c r="E1202" s="88" t="s">
        <v>1660</v>
      </c>
      <c r="F1202" s="89"/>
      <c r="G1202" s="89"/>
      <c r="H1202" s="89"/>
      <c r="I1202" s="90"/>
      <c r="J1202" s="88" t="s">
        <v>599</v>
      </c>
      <c r="K1202" s="89"/>
      <c r="L1202" s="89"/>
      <c r="M1202" s="90"/>
      <c r="N1202" s="88" t="s">
        <v>26</v>
      </c>
      <c r="O1202" s="89"/>
      <c r="P1202" s="90"/>
      <c r="Q1202" s="133">
        <v>4000</v>
      </c>
      <c r="R1202" s="134"/>
      <c r="S1202" s="5" t="s">
        <v>1291</v>
      </c>
      <c r="T1202" s="6"/>
      <c r="U1202" s="6"/>
      <c r="V1202" s="5" t="s">
        <v>106</v>
      </c>
      <c r="W1202" s="12">
        <v>15721948</v>
      </c>
      <c r="X1202" s="6"/>
      <c r="Y1202" s="6"/>
    </row>
    <row r="1203" spans="1:25" ht="15" customHeight="1" x14ac:dyDescent="0.2">
      <c r="A1203" s="88" t="s">
        <v>1617</v>
      </c>
      <c r="B1203" s="90"/>
      <c r="C1203" s="88" t="s">
        <v>1670</v>
      </c>
      <c r="D1203" s="90"/>
      <c r="E1203" s="88" t="s">
        <v>1671</v>
      </c>
      <c r="F1203" s="89"/>
      <c r="G1203" s="89"/>
      <c r="H1203" s="89"/>
      <c r="I1203" s="90"/>
      <c r="J1203" s="88" t="s">
        <v>13</v>
      </c>
      <c r="K1203" s="89"/>
      <c r="L1203" s="89"/>
      <c r="M1203" s="90"/>
      <c r="N1203" s="88" t="s">
        <v>26</v>
      </c>
      <c r="O1203" s="89"/>
      <c r="P1203" s="90"/>
      <c r="Q1203" s="133">
        <v>4000</v>
      </c>
      <c r="R1203" s="134"/>
      <c r="S1203" s="5" t="s">
        <v>1291</v>
      </c>
      <c r="T1203" s="6"/>
      <c r="U1203" s="6"/>
      <c r="V1203" s="5" t="s">
        <v>106</v>
      </c>
      <c r="W1203" s="12">
        <v>9527169</v>
      </c>
      <c r="X1203" s="6"/>
      <c r="Y1203" s="6"/>
    </row>
    <row r="1204" spans="1:25" ht="15" customHeight="1" x14ac:dyDescent="0.2">
      <c r="A1204" s="88" t="s">
        <v>1617</v>
      </c>
      <c r="B1204" s="90"/>
      <c r="C1204" s="88" t="s">
        <v>1670</v>
      </c>
      <c r="D1204" s="90"/>
      <c r="E1204" s="88" t="s">
        <v>1672</v>
      </c>
      <c r="F1204" s="89"/>
      <c r="G1204" s="89"/>
      <c r="H1204" s="89"/>
      <c r="I1204" s="90"/>
      <c r="J1204" s="88" t="s">
        <v>13</v>
      </c>
      <c r="K1204" s="89"/>
      <c r="L1204" s="89"/>
      <c r="M1204" s="90"/>
      <c r="N1204" s="88" t="s">
        <v>26</v>
      </c>
      <c r="O1204" s="89"/>
      <c r="P1204" s="90"/>
      <c r="Q1204" s="133">
        <v>4000</v>
      </c>
      <c r="R1204" s="134"/>
      <c r="S1204" s="5" t="s">
        <v>1291</v>
      </c>
      <c r="T1204" s="6"/>
      <c r="U1204" s="6"/>
      <c r="V1204" s="5" t="s">
        <v>96</v>
      </c>
      <c r="W1204" s="12">
        <v>7464987</v>
      </c>
      <c r="X1204" s="6"/>
      <c r="Y1204" s="6"/>
    </row>
    <row r="1205" spans="1:25" ht="15" customHeight="1" x14ac:dyDescent="0.2">
      <c r="A1205" s="88" t="s">
        <v>1617</v>
      </c>
      <c r="B1205" s="90"/>
      <c r="C1205" s="88" t="s">
        <v>1673</v>
      </c>
      <c r="D1205" s="90"/>
      <c r="E1205" s="88" t="s">
        <v>1674</v>
      </c>
      <c r="F1205" s="89"/>
      <c r="G1205" s="89"/>
      <c r="H1205" s="89"/>
      <c r="I1205" s="90"/>
      <c r="J1205" s="88" t="s">
        <v>599</v>
      </c>
      <c r="K1205" s="89"/>
      <c r="L1205" s="89"/>
      <c r="M1205" s="90"/>
      <c r="N1205" s="88" t="s">
        <v>26</v>
      </c>
      <c r="O1205" s="89"/>
      <c r="P1205" s="90"/>
      <c r="Q1205" s="133">
        <v>4000</v>
      </c>
      <c r="R1205" s="134"/>
      <c r="S1205" s="5" t="s">
        <v>1291</v>
      </c>
      <c r="T1205" s="6"/>
      <c r="U1205" s="6"/>
      <c r="V1205" s="5" t="s">
        <v>106</v>
      </c>
      <c r="W1205" s="12">
        <v>13563989</v>
      </c>
      <c r="X1205" s="6"/>
      <c r="Y1205" s="6"/>
    </row>
    <row r="1206" spans="1:25" ht="15" customHeight="1" x14ac:dyDescent="0.2">
      <c r="A1206" s="88" t="s">
        <v>1617</v>
      </c>
      <c r="B1206" s="90"/>
      <c r="C1206" s="88" t="s">
        <v>1675</v>
      </c>
      <c r="D1206" s="90"/>
      <c r="E1206" s="88" t="s">
        <v>1676</v>
      </c>
      <c r="F1206" s="89"/>
      <c r="G1206" s="89"/>
      <c r="H1206" s="89"/>
      <c r="I1206" s="90"/>
      <c r="J1206" s="88" t="s">
        <v>599</v>
      </c>
      <c r="K1206" s="89"/>
      <c r="L1206" s="89"/>
      <c r="M1206" s="90"/>
      <c r="N1206" s="88" t="s">
        <v>26</v>
      </c>
      <c r="O1206" s="89"/>
      <c r="P1206" s="90"/>
      <c r="Q1206" s="133">
        <v>4000</v>
      </c>
      <c r="R1206" s="134"/>
      <c r="S1206" s="5" t="s">
        <v>1291</v>
      </c>
      <c r="T1206" s="6"/>
      <c r="U1206" s="6"/>
      <c r="V1206" s="5" t="s">
        <v>106</v>
      </c>
      <c r="W1206" s="12">
        <v>15262626</v>
      </c>
      <c r="X1206" s="6"/>
      <c r="Y1206" s="6"/>
    </row>
    <row r="1207" spans="1:25" ht="15" customHeight="1" x14ac:dyDescent="0.2">
      <c r="A1207" s="88" t="s">
        <v>1617</v>
      </c>
      <c r="B1207" s="90"/>
      <c r="C1207" s="88" t="s">
        <v>1675</v>
      </c>
      <c r="D1207" s="90"/>
      <c r="E1207" s="88" t="s">
        <v>1674</v>
      </c>
      <c r="F1207" s="89"/>
      <c r="G1207" s="89"/>
      <c r="H1207" s="89"/>
      <c r="I1207" s="90"/>
      <c r="J1207" s="88" t="s">
        <v>13</v>
      </c>
      <c r="K1207" s="89"/>
      <c r="L1207" s="89"/>
      <c r="M1207" s="90"/>
      <c r="N1207" s="88" t="s">
        <v>26</v>
      </c>
      <c r="O1207" s="89"/>
      <c r="P1207" s="90"/>
      <c r="Q1207" s="133">
        <v>4000</v>
      </c>
      <c r="R1207" s="134"/>
      <c r="S1207" s="5" t="s">
        <v>1291</v>
      </c>
      <c r="T1207" s="6"/>
      <c r="U1207" s="6"/>
      <c r="V1207" s="5" t="s">
        <v>106</v>
      </c>
      <c r="W1207" s="12">
        <v>11129638</v>
      </c>
      <c r="X1207" s="6"/>
      <c r="Y1207" s="6"/>
    </row>
    <row r="1208" spans="1:25" ht="15" customHeight="1" x14ac:dyDescent="0.2">
      <c r="A1208" s="88" t="s">
        <v>1617</v>
      </c>
      <c r="B1208" s="90"/>
      <c r="C1208" s="88" t="s">
        <v>1677</v>
      </c>
      <c r="D1208" s="90"/>
      <c r="E1208" s="88" t="s">
        <v>1656</v>
      </c>
      <c r="F1208" s="89"/>
      <c r="G1208" s="89"/>
      <c r="H1208" s="89"/>
      <c r="I1208" s="90"/>
      <c r="J1208" s="88" t="s">
        <v>599</v>
      </c>
      <c r="K1208" s="89"/>
      <c r="L1208" s="89"/>
      <c r="M1208" s="90"/>
      <c r="N1208" s="88" t="s">
        <v>26</v>
      </c>
      <c r="O1208" s="89"/>
      <c r="P1208" s="90"/>
      <c r="Q1208" s="133">
        <v>4000</v>
      </c>
      <c r="R1208" s="134"/>
      <c r="S1208" s="5" t="s">
        <v>1291</v>
      </c>
      <c r="T1208" s="6"/>
      <c r="U1208" s="6"/>
      <c r="V1208" s="5" t="s">
        <v>106</v>
      </c>
      <c r="W1208" s="12">
        <v>25408392</v>
      </c>
      <c r="X1208" s="6"/>
      <c r="Y1208" s="6"/>
    </row>
    <row r="1209" spans="1:25" ht="15" customHeight="1" x14ac:dyDescent="0.2">
      <c r="A1209" s="88" t="s">
        <v>1617</v>
      </c>
      <c r="B1209" s="90"/>
      <c r="C1209" s="88" t="s">
        <v>1677</v>
      </c>
      <c r="D1209" s="90"/>
      <c r="E1209" s="88" t="s">
        <v>1646</v>
      </c>
      <c r="F1209" s="89"/>
      <c r="G1209" s="89"/>
      <c r="H1209" s="89"/>
      <c r="I1209" s="90"/>
      <c r="J1209" s="88" t="s">
        <v>599</v>
      </c>
      <c r="K1209" s="89"/>
      <c r="L1209" s="89"/>
      <c r="M1209" s="90"/>
      <c r="N1209" s="88" t="s">
        <v>26</v>
      </c>
      <c r="O1209" s="89"/>
      <c r="P1209" s="90"/>
      <c r="Q1209" s="133">
        <v>4000</v>
      </c>
      <c r="R1209" s="134"/>
      <c r="S1209" s="5" t="s">
        <v>1291</v>
      </c>
      <c r="T1209" s="6"/>
      <c r="U1209" s="6"/>
      <c r="V1209" s="5" t="s">
        <v>106</v>
      </c>
      <c r="W1209" s="12">
        <v>15737354</v>
      </c>
      <c r="X1209" s="6"/>
      <c r="Y1209" s="6"/>
    </row>
    <row r="1210" spans="1:25" ht="15" customHeight="1" x14ac:dyDescent="0.2">
      <c r="A1210" s="88" t="s">
        <v>1617</v>
      </c>
      <c r="B1210" s="90"/>
      <c r="C1210" s="88" t="s">
        <v>1678</v>
      </c>
      <c r="D1210" s="90"/>
      <c r="E1210" s="88" t="s">
        <v>1642</v>
      </c>
      <c r="F1210" s="89"/>
      <c r="G1210" s="89"/>
      <c r="H1210" s="89"/>
      <c r="I1210" s="90"/>
      <c r="J1210" s="88" t="s">
        <v>599</v>
      </c>
      <c r="K1210" s="89"/>
      <c r="L1210" s="89"/>
      <c r="M1210" s="90"/>
      <c r="N1210" s="88" t="s">
        <v>26</v>
      </c>
      <c r="O1210" s="89"/>
      <c r="P1210" s="90"/>
      <c r="Q1210" s="133">
        <v>4000</v>
      </c>
      <c r="R1210" s="134"/>
      <c r="S1210" s="5" t="s">
        <v>814</v>
      </c>
      <c r="T1210" s="6"/>
      <c r="U1210" s="6"/>
      <c r="V1210" s="5" t="s">
        <v>106</v>
      </c>
      <c r="W1210" s="12">
        <v>9999533</v>
      </c>
      <c r="X1210" s="6"/>
      <c r="Y1210" s="6"/>
    </row>
    <row r="1211" spans="1:25" ht="15" customHeight="1" x14ac:dyDescent="0.2">
      <c r="A1211" s="88" t="s">
        <v>1617</v>
      </c>
      <c r="B1211" s="90"/>
      <c r="C1211" s="88" t="s">
        <v>1679</v>
      </c>
      <c r="D1211" s="90"/>
      <c r="E1211" s="88" t="s">
        <v>1647</v>
      </c>
      <c r="F1211" s="89"/>
      <c r="G1211" s="89"/>
      <c r="H1211" s="89"/>
      <c r="I1211" s="90"/>
      <c r="J1211" s="88" t="s">
        <v>13</v>
      </c>
      <c r="K1211" s="89"/>
      <c r="L1211" s="89"/>
      <c r="M1211" s="90"/>
      <c r="N1211" s="88" t="s">
        <v>26</v>
      </c>
      <c r="O1211" s="89"/>
      <c r="P1211" s="90"/>
      <c r="Q1211" s="133">
        <v>4000</v>
      </c>
      <c r="R1211" s="134"/>
      <c r="S1211" s="5" t="s">
        <v>1291</v>
      </c>
      <c r="T1211" s="6"/>
      <c r="U1211" s="6"/>
      <c r="V1211" s="5" t="s">
        <v>106</v>
      </c>
      <c r="W1211" s="12">
        <v>12173025</v>
      </c>
      <c r="X1211" s="6"/>
      <c r="Y1211" s="6"/>
    </row>
    <row r="1212" spans="1:25" ht="15" customHeight="1" x14ac:dyDescent="0.2">
      <c r="A1212" s="88" t="s">
        <v>1617</v>
      </c>
      <c r="B1212" s="90"/>
      <c r="C1212" s="88" t="s">
        <v>1680</v>
      </c>
      <c r="D1212" s="90"/>
      <c r="E1212" s="88" t="s">
        <v>1681</v>
      </c>
      <c r="F1212" s="89"/>
      <c r="G1212" s="89"/>
      <c r="H1212" s="89"/>
      <c r="I1212" s="90"/>
      <c r="J1212" s="88" t="s">
        <v>599</v>
      </c>
      <c r="K1212" s="89"/>
      <c r="L1212" s="89"/>
      <c r="M1212" s="90"/>
      <c r="N1212" s="88" t="s">
        <v>26</v>
      </c>
      <c r="O1212" s="89"/>
      <c r="P1212" s="90"/>
      <c r="Q1212" s="133">
        <v>4000</v>
      </c>
      <c r="R1212" s="134"/>
      <c r="S1212" s="5" t="s">
        <v>1291</v>
      </c>
      <c r="T1212" s="6"/>
      <c r="U1212" s="6"/>
      <c r="V1212" s="5" t="s">
        <v>106</v>
      </c>
      <c r="W1212" s="12">
        <v>15381650</v>
      </c>
      <c r="X1212" s="6"/>
      <c r="Y1212" s="6"/>
    </row>
    <row r="1213" spans="1:25" ht="15" customHeight="1" x14ac:dyDescent="0.2">
      <c r="A1213" s="88" t="s">
        <v>1617</v>
      </c>
      <c r="B1213" s="90"/>
      <c r="C1213" s="88" t="s">
        <v>1682</v>
      </c>
      <c r="D1213" s="90"/>
      <c r="E1213" s="88" t="s">
        <v>1681</v>
      </c>
      <c r="F1213" s="89"/>
      <c r="G1213" s="89"/>
      <c r="H1213" s="89"/>
      <c r="I1213" s="90"/>
      <c r="J1213" s="88" t="s">
        <v>599</v>
      </c>
      <c r="K1213" s="89"/>
      <c r="L1213" s="89"/>
      <c r="M1213" s="90"/>
      <c r="N1213" s="88" t="s">
        <v>22</v>
      </c>
      <c r="O1213" s="89"/>
      <c r="P1213" s="90"/>
      <c r="Q1213" s="133">
        <v>4000</v>
      </c>
      <c r="R1213" s="134"/>
      <c r="S1213" s="5" t="s">
        <v>1291</v>
      </c>
      <c r="T1213" s="6"/>
      <c r="U1213" s="6"/>
      <c r="V1213" s="5" t="s">
        <v>106</v>
      </c>
      <c r="W1213" s="9">
        <v>11355818</v>
      </c>
      <c r="X1213" s="6"/>
      <c r="Y1213" s="6"/>
    </row>
    <row r="1214" spans="1:25" ht="15" customHeight="1" x14ac:dyDescent="0.2">
      <c r="A1214" s="88" t="s">
        <v>1617</v>
      </c>
      <c r="B1214" s="90"/>
      <c r="C1214" s="88" t="s">
        <v>1683</v>
      </c>
      <c r="D1214" s="90"/>
      <c r="E1214" s="88" t="s">
        <v>1650</v>
      </c>
      <c r="F1214" s="89"/>
      <c r="G1214" s="89"/>
      <c r="H1214" s="89"/>
      <c r="I1214" s="90"/>
      <c r="J1214" s="88" t="s">
        <v>599</v>
      </c>
      <c r="K1214" s="89"/>
      <c r="L1214" s="89"/>
      <c r="M1214" s="90"/>
      <c r="N1214" s="88" t="s">
        <v>26</v>
      </c>
      <c r="O1214" s="89"/>
      <c r="P1214" s="90"/>
      <c r="Q1214" s="133">
        <v>4000</v>
      </c>
      <c r="R1214" s="134"/>
      <c r="S1214" s="5" t="s">
        <v>1291</v>
      </c>
      <c r="T1214" s="6"/>
      <c r="U1214" s="6"/>
      <c r="V1214" s="5" t="s">
        <v>106</v>
      </c>
      <c r="W1214" s="10">
        <v>11020476</v>
      </c>
      <c r="X1214" s="6"/>
      <c r="Y1214" s="6"/>
    </row>
    <row r="1215" spans="1:25" ht="15" customHeight="1" x14ac:dyDescent="0.2">
      <c r="A1215" s="88" t="s">
        <v>1617</v>
      </c>
      <c r="B1215" s="90"/>
      <c r="C1215" s="88" t="s">
        <v>1683</v>
      </c>
      <c r="D1215" s="90"/>
      <c r="E1215" s="88" t="s">
        <v>1648</v>
      </c>
      <c r="F1215" s="89"/>
      <c r="G1215" s="89"/>
      <c r="H1215" s="89"/>
      <c r="I1215" s="90"/>
      <c r="J1215" s="88" t="s">
        <v>599</v>
      </c>
      <c r="K1215" s="89"/>
      <c r="L1215" s="89"/>
      <c r="M1215" s="90"/>
      <c r="N1215" s="88" t="s">
        <v>26</v>
      </c>
      <c r="O1215" s="89"/>
      <c r="P1215" s="90"/>
      <c r="Q1215" s="133">
        <v>4000</v>
      </c>
      <c r="R1215" s="134"/>
      <c r="S1215" s="5" t="s">
        <v>1291</v>
      </c>
      <c r="T1215" s="6"/>
      <c r="U1215" s="6"/>
      <c r="V1215" s="5" t="s">
        <v>106</v>
      </c>
      <c r="W1215" s="10">
        <v>24584873</v>
      </c>
      <c r="X1215" s="6"/>
      <c r="Y1215" s="6"/>
    </row>
    <row r="1216" spans="1:25" ht="15" customHeight="1" x14ac:dyDescent="0.2">
      <c r="A1216" s="88" t="s">
        <v>1617</v>
      </c>
      <c r="B1216" s="90"/>
      <c r="C1216" s="88" t="s">
        <v>1683</v>
      </c>
      <c r="D1216" s="90"/>
      <c r="E1216" s="88" t="s">
        <v>1684</v>
      </c>
      <c r="F1216" s="89"/>
      <c r="G1216" s="89"/>
      <c r="H1216" s="89"/>
      <c r="I1216" s="90"/>
      <c r="J1216" s="88" t="s">
        <v>599</v>
      </c>
      <c r="K1216" s="89"/>
      <c r="L1216" s="89"/>
      <c r="M1216" s="90"/>
      <c r="N1216" s="88" t="s">
        <v>26</v>
      </c>
      <c r="O1216" s="89"/>
      <c r="P1216" s="90"/>
      <c r="Q1216" s="133">
        <v>4000</v>
      </c>
      <c r="R1216" s="134"/>
      <c r="S1216" s="5" t="s">
        <v>1291</v>
      </c>
      <c r="T1216" s="6"/>
      <c r="U1216" s="6"/>
      <c r="V1216" s="5" t="s">
        <v>106</v>
      </c>
      <c r="W1216" s="9">
        <v>13079371</v>
      </c>
      <c r="X1216" s="6"/>
      <c r="Y1216" s="6"/>
    </row>
    <row r="1217" spans="1:25" ht="15" customHeight="1" x14ac:dyDescent="0.2">
      <c r="A1217" s="88" t="s">
        <v>1617</v>
      </c>
      <c r="B1217" s="90"/>
      <c r="C1217" s="88" t="s">
        <v>1685</v>
      </c>
      <c r="D1217" s="90"/>
      <c r="E1217" s="88" t="s">
        <v>1648</v>
      </c>
      <c r="F1217" s="89"/>
      <c r="G1217" s="89"/>
      <c r="H1217" s="89"/>
      <c r="I1217" s="90"/>
      <c r="J1217" s="88" t="s">
        <v>599</v>
      </c>
      <c r="K1217" s="89"/>
      <c r="L1217" s="89"/>
      <c r="M1217" s="90"/>
      <c r="N1217" s="88" t="s">
        <v>26</v>
      </c>
      <c r="O1217" s="89"/>
      <c r="P1217" s="90"/>
      <c r="Q1217" s="133">
        <v>4000</v>
      </c>
      <c r="R1217" s="134"/>
      <c r="S1217" s="5" t="s">
        <v>1291</v>
      </c>
      <c r="T1217" s="6"/>
      <c r="U1217" s="6"/>
      <c r="V1217" s="5" t="s">
        <v>106</v>
      </c>
      <c r="W1217" s="10">
        <v>17388632</v>
      </c>
      <c r="X1217" s="6"/>
      <c r="Y1217" s="6"/>
    </row>
    <row r="1218" spans="1:25" ht="15" customHeight="1" x14ac:dyDescent="0.2">
      <c r="A1218" s="88" t="s">
        <v>1617</v>
      </c>
      <c r="B1218" s="90"/>
      <c r="C1218" s="88" t="s">
        <v>1685</v>
      </c>
      <c r="D1218" s="90"/>
      <c r="E1218" s="88" t="s">
        <v>1648</v>
      </c>
      <c r="F1218" s="89"/>
      <c r="G1218" s="89"/>
      <c r="H1218" s="89"/>
      <c r="I1218" s="90"/>
      <c r="J1218" s="88" t="s">
        <v>599</v>
      </c>
      <c r="K1218" s="89"/>
      <c r="L1218" s="89"/>
      <c r="M1218" s="90"/>
      <c r="N1218" s="88" t="s">
        <v>26</v>
      </c>
      <c r="O1218" s="89"/>
      <c r="P1218" s="90"/>
      <c r="Q1218" s="133">
        <v>4000</v>
      </c>
      <c r="R1218" s="134"/>
      <c r="S1218" s="5" t="s">
        <v>1291</v>
      </c>
      <c r="T1218" s="6"/>
      <c r="U1218" s="6"/>
      <c r="V1218" s="5" t="s">
        <v>106</v>
      </c>
      <c r="W1218" s="10">
        <v>20028737</v>
      </c>
      <c r="X1218" s="6"/>
      <c r="Y1218" s="6"/>
    </row>
    <row r="1219" spans="1:25" ht="15" customHeight="1" x14ac:dyDescent="0.2">
      <c r="A1219" s="88" t="s">
        <v>1617</v>
      </c>
      <c r="B1219" s="90"/>
      <c r="C1219" s="88" t="s">
        <v>1686</v>
      </c>
      <c r="D1219" s="90"/>
      <c r="E1219" s="88" t="s">
        <v>1687</v>
      </c>
      <c r="F1219" s="89"/>
      <c r="G1219" s="89"/>
      <c r="H1219" s="89"/>
      <c r="I1219" s="90"/>
      <c r="J1219" s="88" t="s">
        <v>13</v>
      </c>
      <c r="K1219" s="89"/>
      <c r="L1219" s="89"/>
      <c r="M1219" s="90"/>
      <c r="N1219" s="88" t="s">
        <v>26</v>
      </c>
      <c r="O1219" s="89"/>
      <c r="P1219" s="90"/>
      <c r="Q1219" s="133">
        <v>5120</v>
      </c>
      <c r="R1219" s="134"/>
      <c r="S1219" s="5" t="s">
        <v>1320</v>
      </c>
      <c r="T1219" s="6"/>
      <c r="U1219" s="6"/>
      <c r="V1219" s="5" t="s">
        <v>106</v>
      </c>
      <c r="W1219" s="10">
        <v>73202697</v>
      </c>
      <c r="X1219" s="6"/>
      <c r="Y1219" s="6"/>
    </row>
    <row r="1220" spans="1:25" ht="15" customHeight="1" x14ac:dyDescent="0.2">
      <c r="A1220" s="88" t="s">
        <v>1617</v>
      </c>
      <c r="B1220" s="90"/>
      <c r="C1220" s="88" t="s">
        <v>1686</v>
      </c>
      <c r="D1220" s="90"/>
      <c r="E1220" s="88" t="s">
        <v>1687</v>
      </c>
      <c r="F1220" s="89"/>
      <c r="G1220" s="89"/>
      <c r="H1220" s="89"/>
      <c r="I1220" s="90"/>
      <c r="J1220" s="88" t="s">
        <v>599</v>
      </c>
      <c r="K1220" s="89"/>
      <c r="L1220" s="89"/>
      <c r="M1220" s="90"/>
      <c r="N1220" s="88" t="s">
        <v>26</v>
      </c>
      <c r="O1220" s="89"/>
      <c r="P1220" s="90"/>
      <c r="Q1220" s="133">
        <v>5120</v>
      </c>
      <c r="R1220" s="134"/>
      <c r="S1220" s="5" t="s">
        <v>1320</v>
      </c>
      <c r="T1220" s="6"/>
      <c r="U1220" s="6"/>
      <c r="V1220" s="5" t="s">
        <v>106</v>
      </c>
      <c r="W1220" s="10">
        <v>58135946</v>
      </c>
      <c r="X1220" s="6"/>
      <c r="Y1220" s="6"/>
    </row>
    <row r="1221" spans="1:25" ht="15" customHeight="1" x14ac:dyDescent="0.2">
      <c r="A1221" s="88" t="s">
        <v>1617</v>
      </c>
      <c r="B1221" s="90"/>
      <c r="C1221" s="88" t="s">
        <v>1688</v>
      </c>
      <c r="D1221" s="90"/>
      <c r="E1221" s="88" t="s">
        <v>1689</v>
      </c>
      <c r="F1221" s="89"/>
      <c r="G1221" s="89"/>
      <c r="H1221" s="89"/>
      <c r="I1221" s="90"/>
      <c r="J1221" s="88" t="s">
        <v>599</v>
      </c>
      <c r="K1221" s="89"/>
      <c r="L1221" s="89"/>
      <c r="M1221" s="90"/>
      <c r="N1221" s="88" t="s">
        <v>26</v>
      </c>
      <c r="O1221" s="89"/>
      <c r="P1221" s="90"/>
      <c r="Q1221" s="133">
        <v>5100</v>
      </c>
      <c r="R1221" s="134"/>
      <c r="S1221" s="5" t="s">
        <v>1320</v>
      </c>
      <c r="T1221" s="6"/>
      <c r="U1221" s="6"/>
      <c r="V1221" s="5" t="s">
        <v>106</v>
      </c>
      <c r="W1221" s="9">
        <v>41887591</v>
      </c>
      <c r="X1221" s="6"/>
      <c r="Y1221" s="6"/>
    </row>
    <row r="1222" spans="1:25" ht="15" customHeight="1" x14ac:dyDescent="0.2">
      <c r="A1222" s="88" t="s">
        <v>1617</v>
      </c>
      <c r="B1222" s="90"/>
      <c r="C1222" s="88" t="s">
        <v>1688</v>
      </c>
      <c r="D1222" s="90"/>
      <c r="E1222" s="88" t="s">
        <v>1689</v>
      </c>
      <c r="F1222" s="89"/>
      <c r="G1222" s="89"/>
      <c r="H1222" s="89"/>
      <c r="I1222" s="90"/>
      <c r="J1222" s="88" t="s">
        <v>13</v>
      </c>
      <c r="K1222" s="89"/>
      <c r="L1222" s="89"/>
      <c r="M1222" s="90"/>
      <c r="N1222" s="88" t="s">
        <v>26</v>
      </c>
      <c r="O1222" s="89"/>
      <c r="P1222" s="90"/>
      <c r="Q1222" s="133">
        <v>5100</v>
      </c>
      <c r="R1222" s="134"/>
      <c r="S1222" s="5" t="s">
        <v>1320</v>
      </c>
      <c r="T1222" s="6"/>
      <c r="U1222" s="6"/>
      <c r="V1222" s="5" t="s">
        <v>106</v>
      </c>
      <c r="W1222" s="9">
        <v>41887591</v>
      </c>
      <c r="X1222" s="6"/>
      <c r="Y1222" s="6"/>
    </row>
    <row r="1223" spans="1:25" ht="15" customHeight="1" x14ac:dyDescent="0.2">
      <c r="A1223" s="88" t="s">
        <v>1617</v>
      </c>
      <c r="B1223" s="90"/>
      <c r="C1223" s="88" t="s">
        <v>1690</v>
      </c>
      <c r="D1223" s="90"/>
      <c r="E1223" s="88" t="s">
        <v>1691</v>
      </c>
      <c r="F1223" s="89"/>
      <c r="G1223" s="89"/>
      <c r="H1223" s="89"/>
      <c r="I1223" s="90"/>
      <c r="J1223" s="88" t="s">
        <v>599</v>
      </c>
      <c r="K1223" s="89"/>
      <c r="L1223" s="89"/>
      <c r="M1223" s="90"/>
      <c r="N1223" s="88" t="s">
        <v>26</v>
      </c>
      <c r="O1223" s="89"/>
      <c r="P1223" s="90"/>
      <c r="Q1223" s="133">
        <v>8600</v>
      </c>
      <c r="R1223" s="134"/>
      <c r="S1223" s="5" t="s">
        <v>1291</v>
      </c>
      <c r="T1223" s="6"/>
      <c r="U1223" s="6"/>
      <c r="V1223" s="5" t="s">
        <v>106</v>
      </c>
      <c r="W1223" s="10">
        <v>52327626</v>
      </c>
      <c r="X1223" s="6"/>
      <c r="Y1223" s="6"/>
    </row>
    <row r="1224" spans="1:25" ht="15" customHeight="1" x14ac:dyDescent="0.2">
      <c r="A1224" s="88" t="s">
        <v>1617</v>
      </c>
      <c r="B1224" s="90"/>
      <c r="C1224" s="88" t="s">
        <v>1690</v>
      </c>
      <c r="D1224" s="90"/>
      <c r="E1224" s="88" t="s">
        <v>1692</v>
      </c>
      <c r="F1224" s="89"/>
      <c r="G1224" s="89"/>
      <c r="H1224" s="89"/>
      <c r="I1224" s="90"/>
      <c r="J1224" s="88" t="s">
        <v>599</v>
      </c>
      <c r="K1224" s="89"/>
      <c r="L1224" s="89"/>
      <c r="M1224" s="90"/>
      <c r="N1224" s="88" t="s">
        <v>26</v>
      </c>
      <c r="O1224" s="89"/>
      <c r="P1224" s="90"/>
      <c r="Q1224" s="133">
        <v>8600</v>
      </c>
      <c r="R1224" s="134"/>
      <c r="S1224" s="5" t="s">
        <v>1291</v>
      </c>
      <c r="T1224" s="6"/>
      <c r="U1224" s="6"/>
      <c r="V1224" s="5" t="s">
        <v>106</v>
      </c>
      <c r="W1224" s="10">
        <v>34444042</v>
      </c>
      <c r="X1224" s="6"/>
      <c r="Y1224" s="6"/>
    </row>
    <row r="1225" spans="1:25" ht="15" customHeight="1" x14ac:dyDescent="0.2">
      <c r="A1225" s="88" t="s">
        <v>1617</v>
      </c>
      <c r="B1225" s="90"/>
      <c r="C1225" s="88" t="s">
        <v>1690</v>
      </c>
      <c r="D1225" s="90"/>
      <c r="E1225" s="88" t="s">
        <v>1692</v>
      </c>
      <c r="F1225" s="89"/>
      <c r="G1225" s="89"/>
      <c r="H1225" s="89"/>
      <c r="I1225" s="90"/>
      <c r="J1225" s="88" t="s">
        <v>599</v>
      </c>
      <c r="K1225" s="89"/>
      <c r="L1225" s="89"/>
      <c r="M1225" s="90"/>
      <c r="N1225" s="88" t="s">
        <v>26</v>
      </c>
      <c r="O1225" s="89"/>
      <c r="P1225" s="90"/>
      <c r="Q1225" s="133">
        <v>8860</v>
      </c>
      <c r="R1225" s="134"/>
      <c r="S1225" s="5" t="s">
        <v>1291</v>
      </c>
      <c r="T1225" s="6"/>
      <c r="U1225" s="6"/>
      <c r="V1225" s="5" t="s">
        <v>106</v>
      </c>
      <c r="W1225" s="10">
        <v>47264801</v>
      </c>
      <c r="X1225" s="6"/>
      <c r="Y1225" s="6"/>
    </row>
    <row r="1226" spans="1:25" ht="15" customHeight="1" x14ac:dyDescent="0.2">
      <c r="A1226" s="88" t="s">
        <v>1617</v>
      </c>
      <c r="B1226" s="90"/>
      <c r="C1226" s="88" t="s">
        <v>1690</v>
      </c>
      <c r="D1226" s="90"/>
      <c r="E1226" s="88" t="s">
        <v>1693</v>
      </c>
      <c r="F1226" s="89"/>
      <c r="G1226" s="89"/>
      <c r="H1226" s="89"/>
      <c r="I1226" s="90"/>
      <c r="J1226" s="88" t="s">
        <v>599</v>
      </c>
      <c r="K1226" s="89"/>
      <c r="L1226" s="89"/>
      <c r="M1226" s="90"/>
      <c r="N1226" s="88" t="s">
        <v>26</v>
      </c>
      <c r="O1226" s="89"/>
      <c r="P1226" s="90"/>
      <c r="Q1226" s="133">
        <v>8900</v>
      </c>
      <c r="R1226" s="134"/>
      <c r="S1226" s="5" t="s">
        <v>1291</v>
      </c>
      <c r="T1226" s="6"/>
      <c r="U1226" s="6"/>
      <c r="V1226" s="5" t="s">
        <v>106</v>
      </c>
      <c r="W1226" s="10">
        <v>89275149</v>
      </c>
      <c r="X1226" s="6"/>
      <c r="Y1226" s="6"/>
    </row>
    <row r="1227" spans="1:25" ht="15" customHeight="1" x14ac:dyDescent="0.2">
      <c r="A1227" s="88" t="s">
        <v>1617</v>
      </c>
      <c r="B1227" s="90"/>
      <c r="C1227" s="88" t="s">
        <v>1694</v>
      </c>
      <c r="D1227" s="90"/>
      <c r="E1227" s="88" t="s">
        <v>1691</v>
      </c>
      <c r="F1227" s="89"/>
      <c r="G1227" s="89"/>
      <c r="H1227" s="89"/>
      <c r="I1227" s="90"/>
      <c r="J1227" s="88" t="s">
        <v>13</v>
      </c>
      <c r="K1227" s="89"/>
      <c r="L1227" s="89"/>
      <c r="M1227" s="90"/>
      <c r="N1227" s="88" t="s">
        <v>26</v>
      </c>
      <c r="O1227" s="89"/>
      <c r="P1227" s="90"/>
      <c r="Q1227" s="133">
        <v>8860</v>
      </c>
      <c r="R1227" s="134"/>
      <c r="S1227" s="5" t="s">
        <v>1291</v>
      </c>
      <c r="T1227" s="6"/>
      <c r="U1227" s="6"/>
      <c r="V1227" s="5" t="s">
        <v>106</v>
      </c>
      <c r="W1227" s="10">
        <v>21973786</v>
      </c>
      <c r="X1227" s="6"/>
      <c r="Y1227" s="6"/>
    </row>
    <row r="1228" spans="1:25" ht="15" customHeight="1" x14ac:dyDescent="0.2">
      <c r="A1228" s="88" t="s">
        <v>1617</v>
      </c>
      <c r="B1228" s="90"/>
      <c r="C1228" s="88" t="s">
        <v>1694</v>
      </c>
      <c r="D1228" s="90"/>
      <c r="E1228" s="88" t="s">
        <v>1693</v>
      </c>
      <c r="F1228" s="89"/>
      <c r="G1228" s="89"/>
      <c r="H1228" s="89"/>
      <c r="I1228" s="90"/>
      <c r="J1228" s="88" t="s">
        <v>13</v>
      </c>
      <c r="K1228" s="89"/>
      <c r="L1228" s="89"/>
      <c r="M1228" s="90"/>
      <c r="N1228" s="88" t="s">
        <v>26</v>
      </c>
      <c r="O1228" s="89"/>
      <c r="P1228" s="90"/>
      <c r="Q1228" s="133">
        <v>8860</v>
      </c>
      <c r="R1228" s="134"/>
      <c r="S1228" s="5" t="s">
        <v>1291</v>
      </c>
      <c r="T1228" s="6"/>
      <c r="U1228" s="6"/>
      <c r="V1228" s="5" t="s">
        <v>106</v>
      </c>
      <c r="W1228" s="10">
        <v>50591648</v>
      </c>
      <c r="X1228" s="6"/>
      <c r="Y1228" s="6"/>
    </row>
    <row r="1229" spans="1:25" ht="15" customHeight="1" x14ac:dyDescent="0.2">
      <c r="A1229" s="88" t="s">
        <v>1617</v>
      </c>
      <c r="B1229" s="90"/>
      <c r="C1229" s="88" t="s">
        <v>1694</v>
      </c>
      <c r="D1229" s="90"/>
      <c r="E1229" s="88" t="s">
        <v>1693</v>
      </c>
      <c r="F1229" s="89"/>
      <c r="G1229" s="89"/>
      <c r="H1229" s="89"/>
      <c r="I1229" s="90"/>
      <c r="J1229" s="88" t="s">
        <v>13</v>
      </c>
      <c r="K1229" s="89"/>
      <c r="L1229" s="89"/>
      <c r="M1229" s="90"/>
      <c r="N1229" s="88" t="s">
        <v>26</v>
      </c>
      <c r="O1229" s="89"/>
      <c r="P1229" s="90"/>
      <c r="Q1229" s="133">
        <v>8860</v>
      </c>
      <c r="R1229" s="134"/>
      <c r="S1229" s="5" t="s">
        <v>1291</v>
      </c>
      <c r="T1229" s="6"/>
      <c r="U1229" s="6"/>
      <c r="V1229" s="5" t="s">
        <v>106</v>
      </c>
      <c r="W1229" s="10">
        <v>82293221</v>
      </c>
      <c r="X1229" s="6"/>
      <c r="Y1229" s="6"/>
    </row>
    <row r="1230" spans="1:25" ht="15" customHeight="1" x14ac:dyDescent="0.2">
      <c r="A1230" s="88" t="s">
        <v>1617</v>
      </c>
      <c r="B1230" s="90"/>
      <c r="C1230" s="88" t="s">
        <v>1694</v>
      </c>
      <c r="D1230" s="90"/>
      <c r="E1230" s="88" t="s">
        <v>1693</v>
      </c>
      <c r="F1230" s="89"/>
      <c r="G1230" s="89"/>
      <c r="H1230" s="89"/>
      <c r="I1230" s="90"/>
      <c r="J1230" s="88" t="s">
        <v>599</v>
      </c>
      <c r="K1230" s="89"/>
      <c r="L1230" s="89"/>
      <c r="M1230" s="90"/>
      <c r="N1230" s="88" t="s">
        <v>26</v>
      </c>
      <c r="O1230" s="89"/>
      <c r="P1230" s="90"/>
      <c r="Q1230" s="133">
        <v>8860</v>
      </c>
      <c r="R1230" s="134"/>
      <c r="S1230" s="5" t="s">
        <v>1291</v>
      </c>
      <c r="T1230" s="6"/>
      <c r="U1230" s="6"/>
      <c r="V1230" s="5" t="s">
        <v>106</v>
      </c>
      <c r="W1230" s="10">
        <v>34661720</v>
      </c>
      <c r="X1230" s="6"/>
      <c r="Y1230" s="6"/>
    </row>
    <row r="1231" spans="1:25" ht="15" customHeight="1" x14ac:dyDescent="0.2">
      <c r="A1231" s="88" t="s">
        <v>1617</v>
      </c>
      <c r="B1231" s="90"/>
      <c r="C1231" s="88" t="s">
        <v>1694</v>
      </c>
      <c r="D1231" s="90"/>
      <c r="E1231" s="88" t="s">
        <v>1693</v>
      </c>
      <c r="F1231" s="89"/>
      <c r="G1231" s="89"/>
      <c r="H1231" s="89"/>
      <c r="I1231" s="90"/>
      <c r="J1231" s="88" t="s">
        <v>13</v>
      </c>
      <c r="K1231" s="89"/>
      <c r="L1231" s="89"/>
      <c r="M1231" s="90"/>
      <c r="N1231" s="88" t="s">
        <v>26</v>
      </c>
      <c r="O1231" s="89"/>
      <c r="P1231" s="90"/>
      <c r="Q1231" s="133">
        <v>9900</v>
      </c>
      <c r="R1231" s="134"/>
      <c r="S1231" s="5" t="s">
        <v>1291</v>
      </c>
      <c r="T1231" s="6"/>
      <c r="U1231" s="6"/>
      <c r="V1231" s="5" t="s">
        <v>106</v>
      </c>
      <c r="W1231" s="10">
        <v>52342697</v>
      </c>
      <c r="X1231" s="6"/>
      <c r="Y1231" s="6"/>
    </row>
    <row r="1232" spans="1:25" ht="15" customHeight="1" x14ac:dyDescent="0.2">
      <c r="A1232" s="88" t="s">
        <v>1617</v>
      </c>
      <c r="B1232" s="90"/>
      <c r="C1232" s="88" t="s">
        <v>1540</v>
      </c>
      <c r="D1232" s="90"/>
      <c r="E1232" s="88" t="s">
        <v>1695</v>
      </c>
      <c r="F1232" s="89"/>
      <c r="G1232" s="89"/>
      <c r="H1232" s="89"/>
      <c r="I1232" s="90"/>
      <c r="J1232" s="88" t="s">
        <v>599</v>
      </c>
      <c r="K1232" s="89"/>
      <c r="L1232" s="89"/>
      <c r="M1232" s="90"/>
      <c r="N1232" s="88" t="s">
        <v>26</v>
      </c>
      <c r="O1232" s="89"/>
      <c r="P1232" s="90"/>
      <c r="Q1232" s="133">
        <v>5100</v>
      </c>
      <c r="R1232" s="134"/>
      <c r="S1232" s="5" t="s">
        <v>1291</v>
      </c>
      <c r="T1232" s="6"/>
      <c r="U1232" s="6"/>
      <c r="V1232" s="5" t="s">
        <v>106</v>
      </c>
      <c r="W1232" s="10">
        <v>31920907</v>
      </c>
      <c r="X1232" s="6"/>
      <c r="Y1232" s="6"/>
    </row>
    <row r="1233" spans="1:25" ht="15" customHeight="1" x14ac:dyDescent="0.2">
      <c r="A1233" s="88" t="s">
        <v>1617</v>
      </c>
      <c r="B1233" s="90"/>
      <c r="C1233" s="88" t="s">
        <v>1540</v>
      </c>
      <c r="D1233" s="90"/>
      <c r="E1233" s="88" t="s">
        <v>1695</v>
      </c>
      <c r="F1233" s="89"/>
      <c r="G1233" s="89"/>
      <c r="H1233" s="89"/>
      <c r="I1233" s="90"/>
      <c r="J1233" s="88" t="s">
        <v>599</v>
      </c>
      <c r="K1233" s="89"/>
      <c r="L1233" s="89"/>
      <c r="M1233" s="90"/>
      <c r="N1233" s="88" t="s">
        <v>26</v>
      </c>
      <c r="O1233" s="89"/>
      <c r="P1233" s="90"/>
      <c r="Q1233" s="133">
        <v>5100</v>
      </c>
      <c r="R1233" s="134"/>
      <c r="S1233" s="5" t="s">
        <v>1291</v>
      </c>
      <c r="T1233" s="6"/>
      <c r="U1233" s="6"/>
      <c r="V1233" s="5" t="s">
        <v>106</v>
      </c>
      <c r="W1233" s="9">
        <v>35355513</v>
      </c>
      <c r="X1233" s="6"/>
      <c r="Y1233" s="6"/>
    </row>
    <row r="1234" spans="1:25" ht="15" customHeight="1" x14ac:dyDescent="0.2">
      <c r="A1234" s="88" t="s">
        <v>1617</v>
      </c>
      <c r="B1234" s="90"/>
      <c r="C1234" s="88" t="s">
        <v>1540</v>
      </c>
      <c r="D1234" s="90"/>
      <c r="E1234" s="88" t="s">
        <v>1696</v>
      </c>
      <c r="F1234" s="89"/>
      <c r="G1234" s="89"/>
      <c r="H1234" s="89"/>
      <c r="I1234" s="90"/>
      <c r="J1234" s="88" t="s">
        <v>599</v>
      </c>
      <c r="K1234" s="89"/>
      <c r="L1234" s="89"/>
      <c r="M1234" s="90"/>
      <c r="N1234" s="88" t="s">
        <v>26</v>
      </c>
      <c r="O1234" s="89"/>
      <c r="P1234" s="90"/>
      <c r="Q1234" s="133">
        <v>5100</v>
      </c>
      <c r="R1234" s="134"/>
      <c r="S1234" s="5" t="s">
        <v>1291</v>
      </c>
      <c r="T1234" s="6"/>
      <c r="U1234" s="6"/>
      <c r="V1234" s="5" t="s">
        <v>106</v>
      </c>
      <c r="W1234" s="9">
        <v>15741919</v>
      </c>
      <c r="X1234" s="6"/>
      <c r="Y1234" s="6"/>
    </row>
    <row r="1235" spans="1:25" ht="15" customHeight="1" x14ac:dyDescent="0.2">
      <c r="A1235" s="88" t="s">
        <v>1617</v>
      </c>
      <c r="B1235" s="90"/>
      <c r="C1235" s="88" t="s">
        <v>1540</v>
      </c>
      <c r="D1235" s="90"/>
      <c r="E1235" s="88" t="s">
        <v>1695</v>
      </c>
      <c r="F1235" s="89"/>
      <c r="G1235" s="89"/>
      <c r="H1235" s="89"/>
      <c r="I1235" s="90"/>
      <c r="J1235" s="88" t="s">
        <v>599</v>
      </c>
      <c r="K1235" s="89"/>
      <c r="L1235" s="89"/>
      <c r="M1235" s="90"/>
      <c r="N1235" s="88" t="s">
        <v>26</v>
      </c>
      <c r="O1235" s="89"/>
      <c r="P1235" s="90"/>
      <c r="Q1235" s="133">
        <v>5100</v>
      </c>
      <c r="R1235" s="134"/>
      <c r="S1235" s="5" t="s">
        <v>1291</v>
      </c>
      <c r="T1235" s="6"/>
      <c r="U1235" s="6"/>
      <c r="V1235" s="5" t="s">
        <v>106</v>
      </c>
      <c r="W1235" s="10">
        <v>32251847</v>
      </c>
      <c r="X1235" s="6"/>
      <c r="Y1235" s="6"/>
    </row>
    <row r="1236" spans="1:25" ht="15" customHeight="1" x14ac:dyDescent="0.2">
      <c r="A1236" s="88" t="s">
        <v>1617</v>
      </c>
      <c r="B1236" s="90"/>
      <c r="C1236" s="88" t="s">
        <v>1540</v>
      </c>
      <c r="D1236" s="90"/>
      <c r="E1236" s="88" t="s">
        <v>1695</v>
      </c>
      <c r="F1236" s="89"/>
      <c r="G1236" s="89"/>
      <c r="H1236" s="89"/>
      <c r="I1236" s="90"/>
      <c r="J1236" s="88" t="s">
        <v>599</v>
      </c>
      <c r="K1236" s="89"/>
      <c r="L1236" s="89"/>
      <c r="M1236" s="90"/>
      <c r="N1236" s="88" t="s">
        <v>26</v>
      </c>
      <c r="O1236" s="89"/>
      <c r="P1236" s="90"/>
      <c r="Q1236" s="133">
        <v>5100</v>
      </c>
      <c r="R1236" s="134"/>
      <c r="S1236" s="5" t="s">
        <v>1291</v>
      </c>
      <c r="T1236" s="6"/>
      <c r="U1236" s="6"/>
      <c r="V1236" s="5" t="s">
        <v>106</v>
      </c>
      <c r="W1236" s="10">
        <v>32251847</v>
      </c>
      <c r="X1236" s="6"/>
      <c r="Y1236" s="6"/>
    </row>
    <row r="1237" spans="1:25" ht="15" customHeight="1" x14ac:dyDescent="0.2">
      <c r="A1237" s="88" t="s">
        <v>1617</v>
      </c>
      <c r="B1237" s="90"/>
      <c r="C1237" s="88" t="s">
        <v>1540</v>
      </c>
      <c r="D1237" s="90"/>
      <c r="E1237" s="88" t="s">
        <v>1695</v>
      </c>
      <c r="F1237" s="89"/>
      <c r="G1237" s="89"/>
      <c r="H1237" s="89"/>
      <c r="I1237" s="90"/>
      <c r="J1237" s="88" t="s">
        <v>599</v>
      </c>
      <c r="K1237" s="89"/>
      <c r="L1237" s="89"/>
      <c r="M1237" s="90"/>
      <c r="N1237" s="88" t="s">
        <v>26</v>
      </c>
      <c r="O1237" s="89"/>
      <c r="P1237" s="90"/>
      <c r="Q1237" s="133">
        <v>5100</v>
      </c>
      <c r="R1237" s="134"/>
      <c r="S1237" s="5" t="s">
        <v>1291</v>
      </c>
      <c r="T1237" s="6"/>
      <c r="U1237" s="6"/>
      <c r="V1237" s="5" t="s">
        <v>106</v>
      </c>
      <c r="W1237" s="9">
        <v>35179718</v>
      </c>
      <c r="X1237" s="6"/>
      <c r="Y1237" s="6"/>
    </row>
    <row r="1238" spans="1:25" ht="15" customHeight="1" x14ac:dyDescent="0.2">
      <c r="A1238" s="88" t="s">
        <v>1617</v>
      </c>
      <c r="B1238" s="90"/>
      <c r="C1238" s="88" t="s">
        <v>1540</v>
      </c>
      <c r="D1238" s="90"/>
      <c r="E1238" s="88" t="s">
        <v>1697</v>
      </c>
      <c r="F1238" s="89"/>
      <c r="G1238" s="89"/>
      <c r="H1238" s="89"/>
      <c r="I1238" s="90"/>
      <c r="J1238" s="88" t="s">
        <v>599</v>
      </c>
      <c r="K1238" s="89"/>
      <c r="L1238" s="89"/>
      <c r="M1238" s="90"/>
      <c r="N1238" s="88" t="s">
        <v>26</v>
      </c>
      <c r="O1238" s="89"/>
      <c r="P1238" s="90"/>
      <c r="Q1238" s="133">
        <v>5100</v>
      </c>
      <c r="R1238" s="134"/>
      <c r="S1238" s="5" t="s">
        <v>1291</v>
      </c>
      <c r="T1238" s="6"/>
      <c r="U1238" s="6"/>
      <c r="V1238" s="5" t="s">
        <v>106</v>
      </c>
      <c r="W1238" s="10">
        <v>27672032</v>
      </c>
      <c r="X1238" s="6"/>
      <c r="Y1238" s="6"/>
    </row>
    <row r="1239" spans="1:25" ht="15" customHeight="1" x14ac:dyDescent="0.2">
      <c r="A1239" s="88" t="s">
        <v>1617</v>
      </c>
      <c r="B1239" s="90"/>
      <c r="C1239" s="88" t="s">
        <v>1540</v>
      </c>
      <c r="D1239" s="90"/>
      <c r="E1239" s="88" t="s">
        <v>1698</v>
      </c>
      <c r="F1239" s="89"/>
      <c r="G1239" s="89"/>
      <c r="H1239" s="89"/>
      <c r="I1239" s="90"/>
      <c r="J1239" s="88" t="s">
        <v>599</v>
      </c>
      <c r="K1239" s="89"/>
      <c r="L1239" s="89"/>
      <c r="M1239" s="90"/>
      <c r="N1239" s="88" t="s">
        <v>26</v>
      </c>
      <c r="O1239" s="89"/>
      <c r="P1239" s="90"/>
      <c r="Q1239" s="133">
        <v>5100</v>
      </c>
      <c r="R1239" s="134"/>
      <c r="S1239" s="5" t="s">
        <v>1291</v>
      </c>
      <c r="T1239" s="6"/>
      <c r="U1239" s="6"/>
      <c r="V1239" s="5" t="s">
        <v>106</v>
      </c>
      <c r="W1239" s="10">
        <v>26107769</v>
      </c>
      <c r="X1239" s="6"/>
      <c r="Y1239" s="6"/>
    </row>
    <row r="1240" spans="1:25" ht="15" customHeight="1" x14ac:dyDescent="0.2">
      <c r="A1240" s="88" t="s">
        <v>1617</v>
      </c>
      <c r="B1240" s="90"/>
      <c r="C1240" s="88" t="s">
        <v>1699</v>
      </c>
      <c r="D1240" s="90"/>
      <c r="E1240" s="88" t="s">
        <v>1695</v>
      </c>
      <c r="F1240" s="89"/>
      <c r="G1240" s="89"/>
      <c r="H1240" s="89"/>
      <c r="I1240" s="90"/>
      <c r="J1240" s="88" t="s">
        <v>599</v>
      </c>
      <c r="K1240" s="89"/>
      <c r="L1240" s="89"/>
      <c r="M1240" s="90"/>
      <c r="N1240" s="88" t="s">
        <v>26</v>
      </c>
      <c r="O1240" s="89"/>
      <c r="P1240" s="90"/>
      <c r="Q1240" s="133">
        <v>5100</v>
      </c>
      <c r="R1240" s="134"/>
      <c r="S1240" s="5" t="s">
        <v>1291</v>
      </c>
      <c r="T1240" s="6"/>
      <c r="U1240" s="6"/>
      <c r="V1240" s="5" t="s">
        <v>106</v>
      </c>
      <c r="W1240" s="10">
        <v>20850382</v>
      </c>
      <c r="X1240" s="6"/>
      <c r="Y1240" s="6"/>
    </row>
    <row r="1241" spans="1:25" ht="15" customHeight="1" x14ac:dyDescent="0.2">
      <c r="A1241" s="88" t="s">
        <v>1617</v>
      </c>
      <c r="B1241" s="90"/>
      <c r="C1241" s="88" t="s">
        <v>1699</v>
      </c>
      <c r="D1241" s="90"/>
      <c r="E1241" s="88" t="s">
        <v>1700</v>
      </c>
      <c r="F1241" s="89"/>
      <c r="G1241" s="89"/>
      <c r="H1241" s="89"/>
      <c r="I1241" s="90"/>
      <c r="J1241" s="88" t="s">
        <v>599</v>
      </c>
      <c r="K1241" s="89"/>
      <c r="L1241" s="89"/>
      <c r="M1241" s="90"/>
      <c r="N1241" s="88" t="s">
        <v>26</v>
      </c>
      <c r="O1241" s="89"/>
      <c r="P1241" s="90"/>
      <c r="Q1241" s="133">
        <v>5100</v>
      </c>
      <c r="R1241" s="134"/>
      <c r="S1241" s="5" t="s">
        <v>1291</v>
      </c>
      <c r="T1241" s="6"/>
      <c r="U1241" s="6"/>
      <c r="V1241" s="5" t="s">
        <v>106</v>
      </c>
      <c r="W1241" s="10">
        <v>27545394</v>
      </c>
      <c r="X1241" s="6"/>
      <c r="Y1241" s="6"/>
    </row>
    <row r="1242" spans="1:25" ht="15" customHeight="1" x14ac:dyDescent="0.2">
      <c r="A1242" s="88" t="s">
        <v>1617</v>
      </c>
      <c r="B1242" s="90"/>
      <c r="C1242" s="88" t="s">
        <v>1701</v>
      </c>
      <c r="D1242" s="90"/>
      <c r="E1242" s="88" t="s">
        <v>1696</v>
      </c>
      <c r="F1242" s="89"/>
      <c r="G1242" s="89"/>
      <c r="H1242" s="89"/>
      <c r="I1242" s="90"/>
      <c r="J1242" s="88" t="s">
        <v>599</v>
      </c>
      <c r="K1242" s="89"/>
      <c r="L1242" s="89"/>
      <c r="M1242" s="90"/>
      <c r="N1242" s="88" t="s">
        <v>26</v>
      </c>
      <c r="O1242" s="89"/>
      <c r="P1242" s="90"/>
      <c r="Q1242" s="133">
        <v>5100</v>
      </c>
      <c r="R1242" s="134"/>
      <c r="S1242" s="5" t="s">
        <v>1291</v>
      </c>
      <c r="T1242" s="6"/>
      <c r="U1242" s="6"/>
      <c r="V1242" s="5" t="s">
        <v>106</v>
      </c>
      <c r="W1242" s="10">
        <v>36859254</v>
      </c>
      <c r="X1242" s="6"/>
      <c r="Y1242" s="6"/>
    </row>
    <row r="1243" spans="1:25" ht="15" customHeight="1" x14ac:dyDescent="0.2">
      <c r="A1243" s="88" t="s">
        <v>1617</v>
      </c>
      <c r="B1243" s="90"/>
      <c r="C1243" s="88" t="s">
        <v>1701</v>
      </c>
      <c r="D1243" s="90"/>
      <c r="E1243" s="88" t="s">
        <v>1696</v>
      </c>
      <c r="F1243" s="89"/>
      <c r="G1243" s="89"/>
      <c r="H1243" s="89"/>
      <c r="I1243" s="90"/>
      <c r="J1243" s="88" t="s">
        <v>599</v>
      </c>
      <c r="K1243" s="89"/>
      <c r="L1243" s="89"/>
      <c r="M1243" s="90"/>
      <c r="N1243" s="88" t="s">
        <v>26</v>
      </c>
      <c r="O1243" s="89"/>
      <c r="P1243" s="90"/>
      <c r="Q1243" s="133">
        <v>5100</v>
      </c>
      <c r="R1243" s="134"/>
      <c r="S1243" s="5" t="s">
        <v>1291</v>
      </c>
      <c r="T1243" s="6"/>
      <c r="U1243" s="6"/>
      <c r="V1243" s="5" t="s">
        <v>106</v>
      </c>
      <c r="W1243" s="10">
        <v>19908458</v>
      </c>
      <c r="X1243" s="6"/>
      <c r="Y1243" s="6"/>
    </row>
    <row r="1244" spans="1:25" ht="15" customHeight="1" x14ac:dyDescent="0.2">
      <c r="A1244" s="88" t="s">
        <v>1617</v>
      </c>
      <c r="B1244" s="90"/>
      <c r="C1244" s="88" t="s">
        <v>1702</v>
      </c>
      <c r="D1244" s="90"/>
      <c r="E1244" s="88" t="s">
        <v>1703</v>
      </c>
      <c r="F1244" s="89"/>
      <c r="G1244" s="89"/>
      <c r="H1244" s="89"/>
      <c r="I1244" s="90"/>
      <c r="J1244" s="88" t="s">
        <v>599</v>
      </c>
      <c r="K1244" s="89"/>
      <c r="L1244" s="89"/>
      <c r="M1244" s="90"/>
      <c r="N1244" s="88" t="s">
        <v>26</v>
      </c>
      <c r="O1244" s="89"/>
      <c r="P1244" s="90"/>
      <c r="Q1244" s="133">
        <v>5120</v>
      </c>
      <c r="R1244" s="134"/>
      <c r="S1244" s="5" t="s">
        <v>1291</v>
      </c>
      <c r="T1244" s="6"/>
      <c r="U1244" s="6"/>
      <c r="V1244" s="5" t="s">
        <v>106</v>
      </c>
      <c r="W1244" s="10">
        <v>19888145</v>
      </c>
      <c r="X1244" s="6"/>
      <c r="Y1244" s="6"/>
    </row>
    <row r="1245" spans="1:25" ht="15" customHeight="1" x14ac:dyDescent="0.2">
      <c r="A1245" s="88" t="s">
        <v>1617</v>
      </c>
      <c r="B1245" s="90"/>
      <c r="C1245" s="88" t="s">
        <v>1702</v>
      </c>
      <c r="D1245" s="90"/>
      <c r="E1245" s="88" t="s">
        <v>1695</v>
      </c>
      <c r="F1245" s="89"/>
      <c r="G1245" s="89"/>
      <c r="H1245" s="89"/>
      <c r="I1245" s="90"/>
      <c r="J1245" s="88" t="s">
        <v>599</v>
      </c>
      <c r="K1245" s="89"/>
      <c r="L1245" s="89"/>
      <c r="M1245" s="90"/>
      <c r="N1245" s="88" t="s">
        <v>26</v>
      </c>
      <c r="O1245" s="89"/>
      <c r="P1245" s="90"/>
      <c r="Q1245" s="133">
        <v>5200</v>
      </c>
      <c r="R1245" s="134"/>
      <c r="S1245" s="5" t="s">
        <v>1291</v>
      </c>
      <c r="T1245" s="6"/>
      <c r="U1245" s="6"/>
      <c r="V1245" s="5" t="s">
        <v>106</v>
      </c>
      <c r="W1245" s="10">
        <v>31562807</v>
      </c>
      <c r="X1245" s="6"/>
      <c r="Y1245" s="6"/>
    </row>
    <row r="1246" spans="1:25" ht="15" customHeight="1" x14ac:dyDescent="0.2">
      <c r="A1246" s="88" t="s">
        <v>1617</v>
      </c>
      <c r="B1246" s="90"/>
      <c r="C1246" s="88" t="s">
        <v>1704</v>
      </c>
      <c r="D1246" s="90"/>
      <c r="E1246" s="88" t="s">
        <v>1705</v>
      </c>
      <c r="F1246" s="89"/>
      <c r="G1246" s="89"/>
      <c r="H1246" s="89"/>
      <c r="I1246" s="90"/>
      <c r="J1246" s="88" t="s">
        <v>13</v>
      </c>
      <c r="K1246" s="89"/>
      <c r="L1246" s="89"/>
      <c r="M1246" s="90"/>
      <c r="N1246" s="88" t="s">
        <v>26</v>
      </c>
      <c r="O1246" s="89"/>
      <c r="P1246" s="90"/>
      <c r="Q1246" s="133">
        <v>2700</v>
      </c>
      <c r="R1246" s="134"/>
      <c r="S1246" s="5" t="s">
        <v>814</v>
      </c>
      <c r="T1246" s="6"/>
      <c r="U1246" s="6"/>
      <c r="V1246" s="5" t="s">
        <v>106</v>
      </c>
      <c r="W1246" s="10">
        <v>16316043</v>
      </c>
      <c r="X1246" s="6"/>
      <c r="Y1246" s="6"/>
    </row>
    <row r="1247" spans="1:25" ht="15" customHeight="1" x14ac:dyDescent="0.2">
      <c r="A1247" s="88" t="s">
        <v>1617</v>
      </c>
      <c r="B1247" s="90"/>
      <c r="C1247" s="88" t="s">
        <v>1706</v>
      </c>
      <c r="D1247" s="90"/>
      <c r="E1247" s="88" t="s">
        <v>1707</v>
      </c>
      <c r="F1247" s="89"/>
      <c r="G1247" s="89"/>
      <c r="H1247" s="89"/>
      <c r="I1247" s="90"/>
      <c r="J1247" s="88" t="s">
        <v>13</v>
      </c>
      <c r="K1247" s="89"/>
      <c r="L1247" s="89"/>
      <c r="M1247" s="90"/>
      <c r="N1247" s="88" t="s">
        <v>26</v>
      </c>
      <c r="O1247" s="89"/>
      <c r="P1247" s="90"/>
      <c r="Q1247" s="133">
        <v>4000</v>
      </c>
      <c r="R1247" s="134"/>
      <c r="S1247" s="5" t="s">
        <v>1320</v>
      </c>
      <c r="T1247" s="6"/>
      <c r="U1247" s="6"/>
      <c r="V1247" s="5" t="s">
        <v>106</v>
      </c>
      <c r="W1247" s="10">
        <v>35764379</v>
      </c>
      <c r="X1247" s="6"/>
      <c r="Y1247" s="6"/>
    </row>
    <row r="1248" spans="1:25" ht="15" customHeight="1" x14ac:dyDescent="0.2">
      <c r="A1248" s="88" t="s">
        <v>1617</v>
      </c>
      <c r="B1248" s="90"/>
      <c r="C1248" s="88" t="s">
        <v>1708</v>
      </c>
      <c r="D1248" s="90"/>
      <c r="E1248" s="88" t="s">
        <v>1709</v>
      </c>
      <c r="F1248" s="89"/>
      <c r="G1248" s="89"/>
      <c r="H1248" s="89"/>
      <c r="I1248" s="90"/>
      <c r="J1248" s="88" t="s">
        <v>13</v>
      </c>
      <c r="K1248" s="89"/>
      <c r="L1248" s="89"/>
      <c r="M1248" s="90"/>
      <c r="N1248" s="88" t="s">
        <v>26</v>
      </c>
      <c r="O1248" s="89"/>
      <c r="P1248" s="90"/>
      <c r="Q1248" s="133">
        <v>4000</v>
      </c>
      <c r="R1248" s="134"/>
      <c r="S1248" s="5" t="s">
        <v>1320</v>
      </c>
      <c r="T1248" s="6"/>
      <c r="U1248" s="6"/>
      <c r="V1248" s="5" t="s">
        <v>106</v>
      </c>
      <c r="W1248" s="10">
        <v>45799860</v>
      </c>
      <c r="X1248" s="6"/>
      <c r="Y1248" s="6"/>
    </row>
    <row r="1249" spans="1:25" ht="15" customHeight="1" x14ac:dyDescent="0.2">
      <c r="A1249" s="88" t="s">
        <v>1617</v>
      </c>
      <c r="B1249" s="90"/>
      <c r="C1249" s="88" t="s">
        <v>1710</v>
      </c>
      <c r="D1249" s="90"/>
      <c r="E1249" s="88" t="s">
        <v>1711</v>
      </c>
      <c r="F1249" s="89"/>
      <c r="G1249" s="89"/>
      <c r="H1249" s="89"/>
      <c r="I1249" s="90"/>
      <c r="J1249" s="88" t="s">
        <v>13</v>
      </c>
      <c r="K1249" s="89"/>
      <c r="L1249" s="89"/>
      <c r="M1249" s="90"/>
      <c r="N1249" s="88" t="s">
        <v>26</v>
      </c>
      <c r="O1249" s="89"/>
      <c r="P1249" s="90"/>
      <c r="Q1249" s="133">
        <v>4000</v>
      </c>
      <c r="R1249" s="134"/>
      <c r="S1249" s="5" t="s">
        <v>1320</v>
      </c>
      <c r="T1249" s="6"/>
      <c r="U1249" s="6"/>
      <c r="V1249" s="5" t="s">
        <v>106</v>
      </c>
      <c r="W1249" s="10">
        <v>68016797</v>
      </c>
      <c r="X1249" s="6"/>
      <c r="Y1249" s="6"/>
    </row>
    <row r="1250" spans="1:25" ht="15" customHeight="1" x14ac:dyDescent="0.2">
      <c r="A1250" s="88" t="s">
        <v>1617</v>
      </c>
      <c r="B1250" s="90"/>
      <c r="C1250" s="88" t="s">
        <v>1712</v>
      </c>
      <c r="D1250" s="90"/>
      <c r="E1250" s="88" t="s">
        <v>1709</v>
      </c>
      <c r="F1250" s="89"/>
      <c r="G1250" s="89"/>
      <c r="H1250" s="89"/>
      <c r="I1250" s="90"/>
      <c r="J1250" s="88" t="s">
        <v>599</v>
      </c>
      <c r="K1250" s="89"/>
      <c r="L1250" s="89"/>
      <c r="M1250" s="90"/>
      <c r="N1250" s="88" t="s">
        <v>26</v>
      </c>
      <c r="O1250" s="89"/>
      <c r="P1250" s="90"/>
      <c r="Q1250" s="133">
        <v>4000</v>
      </c>
      <c r="R1250" s="134"/>
      <c r="S1250" s="5" t="s">
        <v>814</v>
      </c>
      <c r="T1250" s="6"/>
      <c r="U1250" s="6"/>
      <c r="V1250" s="5" t="s">
        <v>106</v>
      </c>
      <c r="W1250" s="10">
        <v>34509741</v>
      </c>
      <c r="X1250" s="6"/>
      <c r="Y1250" s="6"/>
    </row>
    <row r="1251" spans="1:25" ht="15" customHeight="1" x14ac:dyDescent="0.2">
      <c r="A1251" s="88" t="s">
        <v>1713</v>
      </c>
      <c r="B1251" s="90"/>
      <c r="C1251" s="88" t="s">
        <v>1714</v>
      </c>
      <c r="D1251" s="90"/>
      <c r="E1251" s="88" t="s">
        <v>1715</v>
      </c>
      <c r="F1251" s="89"/>
      <c r="G1251" s="89"/>
      <c r="H1251" s="89"/>
      <c r="I1251" s="90"/>
      <c r="J1251" s="88" t="s">
        <v>770</v>
      </c>
      <c r="K1251" s="89"/>
      <c r="L1251" s="89"/>
      <c r="M1251" s="90"/>
      <c r="N1251" s="88" t="s">
        <v>26</v>
      </c>
      <c r="O1251" s="89"/>
      <c r="P1251" s="90"/>
      <c r="Q1251" s="133">
        <v>1993</v>
      </c>
      <c r="R1251" s="134"/>
      <c r="S1251" s="5" t="s">
        <v>44</v>
      </c>
      <c r="T1251" s="8">
        <v>1855</v>
      </c>
      <c r="U1251" s="8">
        <v>5</v>
      </c>
      <c r="V1251" s="5" t="s">
        <v>23</v>
      </c>
      <c r="W1251" s="12">
        <v>9517810</v>
      </c>
      <c r="X1251" s="6"/>
      <c r="Y1251" s="6"/>
    </row>
    <row r="1252" spans="1:25" ht="15" customHeight="1" x14ac:dyDescent="0.2">
      <c r="A1252" s="88" t="s">
        <v>1713</v>
      </c>
      <c r="B1252" s="90"/>
      <c r="C1252" s="88" t="s">
        <v>1716</v>
      </c>
      <c r="D1252" s="90"/>
      <c r="E1252" s="88" t="s">
        <v>1717</v>
      </c>
      <c r="F1252" s="89"/>
      <c r="G1252" s="89"/>
      <c r="H1252" s="89"/>
      <c r="I1252" s="90"/>
      <c r="J1252" s="88" t="s">
        <v>770</v>
      </c>
      <c r="K1252" s="89"/>
      <c r="L1252" s="89"/>
      <c r="M1252" s="90"/>
      <c r="N1252" s="88" t="s">
        <v>26</v>
      </c>
      <c r="O1252" s="89"/>
      <c r="P1252" s="90"/>
      <c r="Q1252" s="133">
        <v>1993</v>
      </c>
      <c r="R1252" s="134"/>
      <c r="S1252" s="5" t="s">
        <v>44</v>
      </c>
      <c r="T1252" s="8">
        <v>1835</v>
      </c>
      <c r="U1252" s="8">
        <v>5</v>
      </c>
      <c r="V1252" s="5" t="s">
        <v>23</v>
      </c>
      <c r="W1252" s="12">
        <v>8121594</v>
      </c>
      <c r="X1252" s="6"/>
      <c r="Y1252" s="6"/>
    </row>
    <row r="1253" spans="1:25" ht="15" customHeight="1" x14ac:dyDescent="0.2">
      <c r="A1253" s="88" t="s">
        <v>1713</v>
      </c>
      <c r="B1253" s="90"/>
      <c r="C1253" s="88" t="s">
        <v>1716</v>
      </c>
      <c r="D1253" s="90"/>
      <c r="E1253" s="88" t="s">
        <v>1717</v>
      </c>
      <c r="F1253" s="89"/>
      <c r="G1253" s="89"/>
      <c r="H1253" s="89"/>
      <c r="I1253" s="90"/>
      <c r="J1253" s="88" t="s">
        <v>770</v>
      </c>
      <c r="K1253" s="89"/>
      <c r="L1253" s="89"/>
      <c r="M1253" s="90"/>
      <c r="N1253" s="88" t="s">
        <v>26</v>
      </c>
      <c r="O1253" s="89"/>
      <c r="P1253" s="90"/>
      <c r="Q1253" s="133">
        <v>1496</v>
      </c>
      <c r="R1253" s="134"/>
      <c r="S1253" s="5" t="s">
        <v>44</v>
      </c>
      <c r="T1253" s="8">
        <v>1835</v>
      </c>
      <c r="U1253" s="8">
        <v>5</v>
      </c>
      <c r="V1253" s="5" t="s">
        <v>23</v>
      </c>
      <c r="W1253" s="12">
        <v>7796730</v>
      </c>
      <c r="X1253" s="6"/>
      <c r="Y1253" s="6"/>
    </row>
    <row r="1254" spans="1:25" ht="15" customHeight="1" x14ac:dyDescent="0.2">
      <c r="A1254" s="88" t="s">
        <v>1713</v>
      </c>
      <c r="B1254" s="90"/>
      <c r="C1254" s="88" t="s">
        <v>1716</v>
      </c>
      <c r="D1254" s="90"/>
      <c r="E1254" s="88" t="s">
        <v>1717</v>
      </c>
      <c r="F1254" s="89"/>
      <c r="G1254" s="89"/>
      <c r="H1254" s="89"/>
      <c r="I1254" s="90"/>
      <c r="J1254" s="88" t="s">
        <v>1718</v>
      </c>
      <c r="K1254" s="89"/>
      <c r="L1254" s="89"/>
      <c r="M1254" s="90"/>
      <c r="N1254" s="88" t="s">
        <v>26</v>
      </c>
      <c r="O1254" s="89"/>
      <c r="P1254" s="90"/>
      <c r="Q1254" s="133">
        <v>1993</v>
      </c>
      <c r="R1254" s="134"/>
      <c r="S1254" s="5" t="s">
        <v>44</v>
      </c>
      <c r="T1254" s="8">
        <v>1835</v>
      </c>
      <c r="U1254" s="8">
        <v>5</v>
      </c>
      <c r="V1254" s="5" t="s">
        <v>23</v>
      </c>
      <c r="W1254" s="12">
        <v>6903498</v>
      </c>
      <c r="X1254" s="6"/>
      <c r="Y1254" s="6"/>
    </row>
    <row r="1255" spans="1:25" ht="15" customHeight="1" x14ac:dyDescent="0.2">
      <c r="A1255" s="88" t="s">
        <v>1713</v>
      </c>
      <c r="B1255" s="90"/>
      <c r="C1255" s="88" t="s">
        <v>1719</v>
      </c>
      <c r="D1255" s="90"/>
      <c r="E1255" s="88" t="s">
        <v>1720</v>
      </c>
      <c r="F1255" s="89"/>
      <c r="G1255" s="89"/>
      <c r="H1255" s="89"/>
      <c r="I1255" s="90"/>
      <c r="J1255" s="88" t="s">
        <v>770</v>
      </c>
      <c r="K1255" s="89"/>
      <c r="L1255" s="89"/>
      <c r="M1255" s="90"/>
      <c r="N1255" s="88" t="s">
        <v>26</v>
      </c>
      <c r="O1255" s="89"/>
      <c r="P1255" s="90"/>
      <c r="Q1255" s="133">
        <v>1993</v>
      </c>
      <c r="R1255" s="134"/>
      <c r="S1255" s="5" t="s">
        <v>44</v>
      </c>
      <c r="T1255" s="8">
        <v>1875</v>
      </c>
      <c r="U1255" s="8">
        <v>5</v>
      </c>
      <c r="V1255" s="5" t="s">
        <v>23</v>
      </c>
      <c r="W1255" s="12">
        <v>6630534</v>
      </c>
      <c r="X1255" s="6"/>
      <c r="Y1255" s="6"/>
    </row>
    <row r="1256" spans="1:25" ht="15" customHeight="1" x14ac:dyDescent="0.2">
      <c r="A1256" s="88" t="s">
        <v>1713</v>
      </c>
      <c r="B1256" s="90"/>
      <c r="C1256" s="88" t="s">
        <v>1721</v>
      </c>
      <c r="D1256" s="90"/>
      <c r="E1256" s="88" t="s">
        <v>1722</v>
      </c>
      <c r="F1256" s="89"/>
      <c r="G1256" s="89"/>
      <c r="H1256" s="89"/>
      <c r="I1256" s="90"/>
      <c r="J1256" s="88" t="s">
        <v>963</v>
      </c>
      <c r="K1256" s="89"/>
      <c r="L1256" s="89"/>
      <c r="M1256" s="90"/>
      <c r="N1256" s="88" t="s">
        <v>22</v>
      </c>
      <c r="O1256" s="89"/>
      <c r="P1256" s="90"/>
      <c r="Q1256" s="133">
        <v>656</v>
      </c>
      <c r="R1256" s="134"/>
      <c r="S1256" s="5" t="s">
        <v>945</v>
      </c>
      <c r="T1256" s="8">
        <v>1450</v>
      </c>
      <c r="U1256" s="8">
        <v>2</v>
      </c>
      <c r="V1256" s="5" t="s">
        <v>23</v>
      </c>
      <c r="W1256" s="12">
        <v>2260213</v>
      </c>
      <c r="X1256" s="6"/>
      <c r="Y1256" s="6"/>
    </row>
    <row r="1257" spans="1:25" ht="15" customHeight="1" x14ac:dyDescent="0.2">
      <c r="A1257" s="88" t="s">
        <v>1713</v>
      </c>
      <c r="B1257" s="90"/>
      <c r="C1257" s="88" t="s">
        <v>1723</v>
      </c>
      <c r="D1257" s="90"/>
      <c r="E1257" s="88" t="s">
        <v>1722</v>
      </c>
      <c r="F1257" s="89"/>
      <c r="G1257" s="89"/>
      <c r="H1257" s="89"/>
      <c r="I1257" s="90"/>
      <c r="J1257" s="88" t="s">
        <v>963</v>
      </c>
      <c r="K1257" s="89"/>
      <c r="L1257" s="89"/>
      <c r="M1257" s="90"/>
      <c r="N1257" s="88" t="s">
        <v>701</v>
      </c>
      <c r="O1257" s="89"/>
      <c r="P1257" s="90"/>
      <c r="Q1257" s="133">
        <v>656</v>
      </c>
      <c r="R1257" s="134"/>
      <c r="S1257" s="5" t="s">
        <v>945</v>
      </c>
      <c r="T1257" s="8">
        <v>1430</v>
      </c>
      <c r="U1257" s="8">
        <v>2</v>
      </c>
      <c r="V1257" s="5" t="s">
        <v>23</v>
      </c>
      <c r="W1257" s="12">
        <v>2340696</v>
      </c>
      <c r="X1257" s="6"/>
      <c r="Y1257" s="6"/>
    </row>
    <row r="1258" spans="1:25" ht="15" customHeight="1" x14ac:dyDescent="0.2">
      <c r="A1258" s="88" t="s">
        <v>1713</v>
      </c>
      <c r="B1258" s="90"/>
      <c r="C1258" s="88" t="s">
        <v>1724</v>
      </c>
      <c r="D1258" s="90"/>
      <c r="E1258" s="88" t="s">
        <v>1722</v>
      </c>
      <c r="F1258" s="89"/>
      <c r="G1258" s="89"/>
      <c r="H1258" s="89"/>
      <c r="I1258" s="90"/>
      <c r="J1258" s="88" t="s">
        <v>963</v>
      </c>
      <c r="K1258" s="89"/>
      <c r="L1258" s="89"/>
      <c r="M1258" s="90"/>
      <c r="N1258" s="88" t="s">
        <v>1725</v>
      </c>
      <c r="O1258" s="89"/>
      <c r="P1258" s="90"/>
      <c r="Q1258" s="133">
        <v>656</v>
      </c>
      <c r="R1258" s="134"/>
      <c r="S1258" s="5" t="s">
        <v>945</v>
      </c>
      <c r="T1258" s="8">
        <v>1430</v>
      </c>
      <c r="U1258" s="8">
        <v>2</v>
      </c>
      <c r="V1258" s="5" t="s">
        <v>23</v>
      </c>
      <c r="W1258" s="12">
        <v>2340696</v>
      </c>
      <c r="X1258" s="6"/>
      <c r="Y1258" s="6"/>
    </row>
    <row r="1259" spans="1:25" ht="15" customHeight="1" x14ac:dyDescent="0.2">
      <c r="A1259" s="88" t="s">
        <v>1713</v>
      </c>
      <c r="B1259" s="90"/>
      <c r="C1259" s="88" t="s">
        <v>1726</v>
      </c>
      <c r="D1259" s="90"/>
      <c r="E1259" s="88" t="s">
        <v>1722</v>
      </c>
      <c r="F1259" s="89"/>
      <c r="G1259" s="89"/>
      <c r="H1259" s="89"/>
      <c r="I1259" s="90"/>
      <c r="J1259" s="88" t="s">
        <v>963</v>
      </c>
      <c r="K1259" s="89"/>
      <c r="L1259" s="89"/>
      <c r="M1259" s="90"/>
      <c r="N1259" s="88" t="s">
        <v>701</v>
      </c>
      <c r="O1259" s="89"/>
      <c r="P1259" s="90"/>
      <c r="Q1259" s="133">
        <v>658</v>
      </c>
      <c r="R1259" s="134"/>
      <c r="S1259" s="5" t="s">
        <v>945</v>
      </c>
      <c r="T1259" s="8">
        <v>1390</v>
      </c>
      <c r="U1259" s="8">
        <v>2</v>
      </c>
      <c r="V1259" s="5" t="s">
        <v>23</v>
      </c>
      <c r="W1259" s="12">
        <v>2340696</v>
      </c>
      <c r="X1259" s="6"/>
      <c r="Y1259" s="6"/>
    </row>
    <row r="1260" spans="1:25" ht="15" customHeight="1" x14ac:dyDescent="0.2">
      <c r="A1260" s="88" t="s">
        <v>1713</v>
      </c>
      <c r="B1260" s="90"/>
      <c r="C1260" s="88" t="s">
        <v>1727</v>
      </c>
      <c r="D1260" s="90"/>
      <c r="E1260" s="88" t="s">
        <v>1722</v>
      </c>
      <c r="F1260" s="89"/>
      <c r="G1260" s="89"/>
      <c r="H1260" s="89"/>
      <c r="I1260" s="90"/>
      <c r="J1260" s="88" t="s">
        <v>963</v>
      </c>
      <c r="K1260" s="89"/>
      <c r="L1260" s="89"/>
      <c r="M1260" s="90"/>
      <c r="N1260" s="88" t="s">
        <v>22</v>
      </c>
      <c r="O1260" s="89"/>
      <c r="P1260" s="90"/>
      <c r="Q1260" s="133">
        <v>658</v>
      </c>
      <c r="R1260" s="134"/>
      <c r="S1260" s="5" t="s">
        <v>945</v>
      </c>
      <c r="T1260" s="8">
        <v>1390</v>
      </c>
      <c r="U1260" s="8">
        <v>2</v>
      </c>
      <c r="V1260" s="5" t="s">
        <v>23</v>
      </c>
      <c r="W1260" s="12">
        <v>2340696</v>
      </c>
      <c r="X1260" s="6"/>
      <c r="Y1260" s="6"/>
    </row>
    <row r="1261" spans="1:25" ht="15" customHeight="1" x14ac:dyDescent="0.2">
      <c r="A1261" s="88" t="s">
        <v>1713</v>
      </c>
      <c r="B1261" s="90"/>
      <c r="C1261" s="88" t="s">
        <v>1728</v>
      </c>
      <c r="D1261" s="90"/>
      <c r="E1261" s="88" t="s">
        <v>1722</v>
      </c>
      <c r="F1261" s="89"/>
      <c r="G1261" s="89"/>
      <c r="H1261" s="89"/>
      <c r="I1261" s="90"/>
      <c r="J1261" s="88" t="s">
        <v>963</v>
      </c>
      <c r="K1261" s="89"/>
      <c r="L1261" s="89"/>
      <c r="M1261" s="90"/>
      <c r="N1261" s="88" t="s">
        <v>1729</v>
      </c>
      <c r="O1261" s="89"/>
      <c r="P1261" s="90"/>
      <c r="Q1261" s="133">
        <v>658</v>
      </c>
      <c r="R1261" s="134"/>
      <c r="S1261" s="5" t="s">
        <v>945</v>
      </c>
      <c r="T1261" s="8">
        <v>1280</v>
      </c>
      <c r="U1261" s="8">
        <v>2</v>
      </c>
      <c r="V1261" s="5" t="s">
        <v>23</v>
      </c>
      <c r="W1261" s="12">
        <v>1535872</v>
      </c>
      <c r="X1261" s="6"/>
      <c r="Y1261" s="6"/>
    </row>
    <row r="1262" spans="1:25" ht="15" customHeight="1" x14ac:dyDescent="0.2">
      <c r="A1262" s="88" t="s">
        <v>1713</v>
      </c>
      <c r="B1262" s="90"/>
      <c r="C1262" s="88" t="s">
        <v>1730</v>
      </c>
      <c r="D1262" s="90"/>
      <c r="E1262" s="88" t="s">
        <v>1731</v>
      </c>
      <c r="F1262" s="89"/>
      <c r="G1262" s="89"/>
      <c r="H1262" s="89"/>
      <c r="I1262" s="90"/>
      <c r="J1262" s="88" t="s">
        <v>26</v>
      </c>
      <c r="K1262" s="89"/>
      <c r="L1262" s="89"/>
      <c r="M1262" s="90"/>
      <c r="N1262" s="88" t="s">
        <v>26</v>
      </c>
      <c r="O1262" s="89"/>
      <c r="P1262" s="90"/>
      <c r="Q1262" s="133">
        <v>1496</v>
      </c>
      <c r="R1262" s="134"/>
      <c r="S1262" s="5" t="s">
        <v>44</v>
      </c>
      <c r="T1262" s="8">
        <v>1575</v>
      </c>
      <c r="U1262" s="8">
        <v>5</v>
      </c>
      <c r="V1262" s="5" t="s">
        <v>23</v>
      </c>
      <c r="W1262" s="12">
        <v>4114662</v>
      </c>
      <c r="X1262" s="6"/>
      <c r="Y1262" s="6"/>
    </row>
    <row r="1263" spans="1:25" ht="15" customHeight="1" x14ac:dyDescent="0.2">
      <c r="A1263" s="88" t="s">
        <v>1713</v>
      </c>
      <c r="B1263" s="90"/>
      <c r="C1263" s="88" t="s">
        <v>1732</v>
      </c>
      <c r="D1263" s="90"/>
      <c r="E1263" s="88" t="s">
        <v>1733</v>
      </c>
      <c r="F1263" s="89"/>
      <c r="G1263" s="89"/>
      <c r="H1263" s="89"/>
      <c r="I1263" s="90"/>
      <c r="J1263" s="88" t="s">
        <v>770</v>
      </c>
      <c r="K1263" s="89"/>
      <c r="L1263" s="89"/>
      <c r="M1263" s="90"/>
      <c r="N1263" s="88" t="s">
        <v>26</v>
      </c>
      <c r="O1263" s="89"/>
      <c r="P1263" s="90"/>
      <c r="Q1263" s="133">
        <v>1496</v>
      </c>
      <c r="R1263" s="134"/>
      <c r="S1263" s="5" t="s">
        <v>44</v>
      </c>
      <c r="T1263" s="8">
        <v>1645</v>
      </c>
      <c r="U1263" s="8">
        <v>5</v>
      </c>
      <c r="V1263" s="5" t="s">
        <v>23</v>
      </c>
      <c r="W1263" s="12">
        <v>6020082</v>
      </c>
      <c r="X1263" s="6"/>
      <c r="Y1263" s="6"/>
    </row>
    <row r="1264" spans="1:25" ht="15" customHeight="1" x14ac:dyDescent="0.2">
      <c r="A1264" s="88" t="s">
        <v>1713</v>
      </c>
      <c r="B1264" s="90"/>
      <c r="C1264" s="88" t="s">
        <v>1730</v>
      </c>
      <c r="D1264" s="90"/>
      <c r="E1264" s="88" t="s">
        <v>1734</v>
      </c>
      <c r="F1264" s="89"/>
      <c r="G1264" s="89"/>
      <c r="H1264" s="89"/>
      <c r="I1264" s="90"/>
      <c r="J1264" s="88" t="s">
        <v>26</v>
      </c>
      <c r="K1264" s="89"/>
      <c r="L1264" s="89"/>
      <c r="M1264" s="90"/>
      <c r="N1264" s="88" t="s">
        <v>26</v>
      </c>
      <c r="O1264" s="89"/>
      <c r="P1264" s="90"/>
      <c r="Q1264" s="133">
        <v>1496</v>
      </c>
      <c r="R1264" s="134"/>
      <c r="S1264" s="5" t="s">
        <v>44</v>
      </c>
      <c r="T1264" s="8">
        <v>1575</v>
      </c>
      <c r="U1264" s="8">
        <v>5</v>
      </c>
      <c r="V1264" s="5" t="s">
        <v>23</v>
      </c>
      <c r="W1264" s="12">
        <v>4347725</v>
      </c>
      <c r="X1264" s="6"/>
      <c r="Y1264" s="6"/>
    </row>
    <row r="1265" spans="1:25" ht="15" customHeight="1" x14ac:dyDescent="0.2">
      <c r="A1265" s="88" t="s">
        <v>1713</v>
      </c>
      <c r="B1265" s="90"/>
      <c r="C1265" s="88" t="s">
        <v>1735</v>
      </c>
      <c r="D1265" s="90"/>
      <c r="E1265" s="88" t="s">
        <v>1736</v>
      </c>
      <c r="F1265" s="89"/>
      <c r="G1265" s="89"/>
      <c r="H1265" s="89"/>
      <c r="I1265" s="90"/>
      <c r="J1265" s="88" t="s">
        <v>770</v>
      </c>
      <c r="K1265" s="89"/>
      <c r="L1265" s="89"/>
      <c r="M1265" s="90"/>
      <c r="N1265" s="88" t="s">
        <v>26</v>
      </c>
      <c r="O1265" s="89"/>
      <c r="P1265" s="90"/>
      <c r="Q1265" s="133">
        <v>1993</v>
      </c>
      <c r="R1265" s="134"/>
      <c r="S1265" s="5" t="s">
        <v>44</v>
      </c>
      <c r="T1265" s="8">
        <v>1735</v>
      </c>
      <c r="U1265" s="8">
        <v>5</v>
      </c>
      <c r="V1265" s="5" t="s">
        <v>23</v>
      </c>
      <c r="W1265" s="12">
        <v>6881872</v>
      </c>
      <c r="X1265" s="6"/>
      <c r="Y1265" s="6"/>
    </row>
    <row r="1266" spans="1:25" ht="15" customHeight="1" x14ac:dyDescent="0.2">
      <c r="A1266" s="88" t="s">
        <v>1713</v>
      </c>
      <c r="B1266" s="90"/>
      <c r="C1266" s="88" t="s">
        <v>1737</v>
      </c>
      <c r="D1266" s="90"/>
      <c r="E1266" s="88" t="s">
        <v>1736</v>
      </c>
      <c r="F1266" s="89"/>
      <c r="G1266" s="89"/>
      <c r="H1266" s="89"/>
      <c r="I1266" s="90"/>
      <c r="J1266" s="88" t="s">
        <v>770</v>
      </c>
      <c r="K1266" s="89"/>
      <c r="L1266" s="89"/>
      <c r="M1266" s="90"/>
      <c r="N1266" s="88" t="s">
        <v>26</v>
      </c>
      <c r="O1266" s="89"/>
      <c r="P1266" s="90"/>
      <c r="Q1266" s="133">
        <v>1993</v>
      </c>
      <c r="R1266" s="134"/>
      <c r="S1266" s="5" t="s">
        <v>44</v>
      </c>
      <c r="T1266" s="8">
        <v>1765</v>
      </c>
      <c r="U1266" s="8">
        <v>5</v>
      </c>
      <c r="V1266" s="5" t="s">
        <v>23</v>
      </c>
      <c r="W1266" s="12">
        <v>7523565</v>
      </c>
      <c r="X1266" s="6"/>
      <c r="Y1266" s="6"/>
    </row>
    <row r="1267" spans="1:25" ht="15" customHeight="1" x14ac:dyDescent="0.2">
      <c r="A1267" s="88" t="s">
        <v>1713</v>
      </c>
      <c r="B1267" s="90"/>
      <c r="C1267" s="88" t="s">
        <v>1738</v>
      </c>
      <c r="D1267" s="90"/>
      <c r="E1267" s="88" t="s">
        <v>1739</v>
      </c>
      <c r="F1267" s="89"/>
      <c r="G1267" s="89"/>
      <c r="H1267" s="89"/>
      <c r="I1267" s="90"/>
      <c r="J1267" s="88" t="s">
        <v>770</v>
      </c>
      <c r="K1267" s="89"/>
      <c r="L1267" s="89"/>
      <c r="M1267" s="90"/>
      <c r="N1267" s="88" t="s">
        <v>26</v>
      </c>
      <c r="O1267" s="89"/>
      <c r="P1267" s="90"/>
      <c r="Q1267" s="133">
        <v>1496</v>
      </c>
      <c r="R1267" s="134"/>
      <c r="S1267" s="5" t="s">
        <v>44</v>
      </c>
      <c r="T1267" s="8">
        <v>1645</v>
      </c>
      <c r="U1267" s="8">
        <v>5</v>
      </c>
      <c r="V1267" s="5" t="s">
        <v>23</v>
      </c>
      <c r="W1267" s="12">
        <v>5935240</v>
      </c>
      <c r="X1267" s="6"/>
      <c r="Y1267" s="6"/>
    </row>
    <row r="1268" spans="1:25" ht="15" customHeight="1" x14ac:dyDescent="0.2">
      <c r="A1268" s="88" t="s">
        <v>1713</v>
      </c>
      <c r="B1268" s="90"/>
      <c r="C1268" s="88" t="s">
        <v>1740</v>
      </c>
      <c r="D1268" s="90"/>
      <c r="E1268" s="88" t="s">
        <v>1734</v>
      </c>
      <c r="F1268" s="89"/>
      <c r="G1268" s="89"/>
      <c r="H1268" s="89"/>
      <c r="I1268" s="90"/>
      <c r="J1268" s="88" t="s">
        <v>1718</v>
      </c>
      <c r="K1268" s="89"/>
      <c r="L1268" s="89"/>
      <c r="M1268" s="90"/>
      <c r="N1268" s="88" t="s">
        <v>26</v>
      </c>
      <c r="O1268" s="89"/>
      <c r="P1268" s="90"/>
      <c r="Q1268" s="133">
        <v>1496</v>
      </c>
      <c r="R1268" s="134"/>
      <c r="S1268" s="5" t="s">
        <v>27</v>
      </c>
      <c r="T1268" s="8">
        <v>1595</v>
      </c>
      <c r="U1268" s="8">
        <v>5</v>
      </c>
      <c r="V1268" s="5" t="s">
        <v>23</v>
      </c>
      <c r="W1268" s="12">
        <v>4347725</v>
      </c>
      <c r="X1268" s="6"/>
      <c r="Y1268" s="6"/>
    </row>
    <row r="1269" spans="1:25" ht="15" customHeight="1" x14ac:dyDescent="0.2">
      <c r="A1269" s="88" t="s">
        <v>1713</v>
      </c>
      <c r="B1269" s="90"/>
      <c r="C1269" s="88" t="s">
        <v>1740</v>
      </c>
      <c r="D1269" s="90"/>
      <c r="E1269" s="88" t="s">
        <v>1741</v>
      </c>
      <c r="F1269" s="89"/>
      <c r="G1269" s="89"/>
      <c r="H1269" s="89"/>
      <c r="I1269" s="90"/>
      <c r="J1269" s="88" t="s">
        <v>1718</v>
      </c>
      <c r="K1269" s="89"/>
      <c r="L1269" s="89"/>
      <c r="M1269" s="90"/>
      <c r="N1269" s="88" t="s">
        <v>26</v>
      </c>
      <c r="O1269" s="89"/>
      <c r="P1269" s="90"/>
      <c r="Q1269" s="133">
        <v>1496</v>
      </c>
      <c r="R1269" s="134"/>
      <c r="S1269" s="5" t="s">
        <v>27</v>
      </c>
      <c r="T1269" s="8">
        <v>1605</v>
      </c>
      <c r="U1269" s="8">
        <v>5</v>
      </c>
      <c r="V1269" s="5" t="s">
        <v>23</v>
      </c>
      <c r="W1269" s="12">
        <v>4493599</v>
      </c>
      <c r="X1269" s="6"/>
      <c r="Y1269" s="6"/>
    </row>
    <row r="1270" spans="1:25" ht="15" customHeight="1" x14ac:dyDescent="0.2">
      <c r="A1270" s="88" t="s">
        <v>1713</v>
      </c>
      <c r="B1270" s="90"/>
      <c r="C1270" s="88" t="s">
        <v>1742</v>
      </c>
      <c r="D1270" s="90"/>
      <c r="E1270" s="88" t="s">
        <v>1743</v>
      </c>
      <c r="F1270" s="89"/>
      <c r="G1270" s="89"/>
      <c r="H1270" s="89"/>
      <c r="I1270" s="90"/>
      <c r="J1270" s="88" t="s">
        <v>1718</v>
      </c>
      <c r="K1270" s="89"/>
      <c r="L1270" s="89"/>
      <c r="M1270" s="90"/>
      <c r="N1270" s="88" t="s">
        <v>26</v>
      </c>
      <c r="O1270" s="89"/>
      <c r="P1270" s="90"/>
      <c r="Q1270" s="133">
        <v>1496</v>
      </c>
      <c r="R1270" s="134"/>
      <c r="S1270" s="5" t="s">
        <v>44</v>
      </c>
      <c r="T1270" s="8">
        <v>1625</v>
      </c>
      <c r="U1270" s="8">
        <v>5</v>
      </c>
      <c r="V1270" s="5" t="s">
        <v>23</v>
      </c>
      <c r="W1270" s="12">
        <v>7040028</v>
      </c>
      <c r="X1270" s="6"/>
      <c r="Y1270" s="6"/>
    </row>
    <row r="1271" spans="1:25" ht="15" customHeight="1" x14ac:dyDescent="0.2">
      <c r="A1271" s="88" t="s">
        <v>1713</v>
      </c>
      <c r="B1271" s="90"/>
      <c r="C1271" s="88" t="s">
        <v>1744</v>
      </c>
      <c r="D1271" s="90"/>
      <c r="E1271" s="88" t="s">
        <v>1731</v>
      </c>
      <c r="F1271" s="89"/>
      <c r="G1271" s="89"/>
      <c r="H1271" s="89"/>
      <c r="I1271" s="90"/>
      <c r="J1271" s="88" t="s">
        <v>770</v>
      </c>
      <c r="K1271" s="89"/>
      <c r="L1271" s="89"/>
      <c r="M1271" s="90"/>
      <c r="N1271" s="88" t="s">
        <v>26</v>
      </c>
      <c r="O1271" s="89"/>
      <c r="P1271" s="90"/>
      <c r="Q1271" s="133">
        <v>1496</v>
      </c>
      <c r="R1271" s="134"/>
      <c r="S1271" s="5" t="s">
        <v>44</v>
      </c>
      <c r="T1271" s="8">
        <v>1575</v>
      </c>
      <c r="U1271" s="8">
        <v>5</v>
      </c>
      <c r="V1271" s="5" t="s">
        <v>23</v>
      </c>
      <c r="W1271" s="12">
        <v>4114662</v>
      </c>
      <c r="X1271" s="6"/>
      <c r="Y1271" s="6"/>
    </row>
    <row r="1272" spans="1:25" ht="15" customHeight="1" x14ac:dyDescent="0.2">
      <c r="A1272" s="88" t="s">
        <v>1713</v>
      </c>
      <c r="B1272" s="90"/>
      <c r="C1272" s="88" t="s">
        <v>1745</v>
      </c>
      <c r="D1272" s="90"/>
      <c r="E1272" s="88" t="s">
        <v>1746</v>
      </c>
      <c r="F1272" s="89"/>
      <c r="G1272" s="89"/>
      <c r="H1272" s="89"/>
      <c r="I1272" s="90"/>
      <c r="J1272" s="88" t="s">
        <v>1718</v>
      </c>
      <c r="K1272" s="89"/>
      <c r="L1272" s="89"/>
      <c r="M1272" s="90"/>
      <c r="N1272" s="88" t="s">
        <v>26</v>
      </c>
      <c r="O1272" s="89"/>
      <c r="P1272" s="90"/>
      <c r="Q1272" s="133">
        <v>1995</v>
      </c>
      <c r="R1272" s="134"/>
      <c r="S1272" s="5" t="s">
        <v>44</v>
      </c>
      <c r="T1272" s="8">
        <v>1650</v>
      </c>
      <c r="U1272" s="8">
        <v>4</v>
      </c>
      <c r="V1272" s="5" t="s">
        <v>23</v>
      </c>
      <c r="W1272" s="12">
        <v>8728181</v>
      </c>
      <c r="X1272" s="6"/>
      <c r="Y1272" s="6"/>
    </row>
    <row r="1273" spans="1:25" ht="15" customHeight="1" x14ac:dyDescent="0.2">
      <c r="A1273" s="88" t="s">
        <v>1713</v>
      </c>
      <c r="B1273" s="90"/>
      <c r="C1273" s="88" t="s">
        <v>1745</v>
      </c>
      <c r="D1273" s="90"/>
      <c r="E1273" s="88" t="s">
        <v>1747</v>
      </c>
      <c r="F1273" s="89"/>
      <c r="G1273" s="89"/>
      <c r="H1273" s="89"/>
      <c r="I1273" s="90"/>
      <c r="J1273" s="88" t="s">
        <v>1718</v>
      </c>
      <c r="K1273" s="89"/>
      <c r="L1273" s="89"/>
      <c r="M1273" s="90"/>
      <c r="N1273" s="88" t="s">
        <v>26</v>
      </c>
      <c r="O1273" s="89"/>
      <c r="P1273" s="90"/>
      <c r="Q1273" s="133">
        <v>1995</v>
      </c>
      <c r="R1273" s="134"/>
      <c r="S1273" s="5" t="s">
        <v>44</v>
      </c>
      <c r="T1273" s="8">
        <v>1610</v>
      </c>
      <c r="U1273" s="8">
        <v>4</v>
      </c>
      <c r="V1273" s="5" t="s">
        <v>23</v>
      </c>
      <c r="W1273" s="12">
        <v>6986876</v>
      </c>
      <c r="X1273" s="6"/>
      <c r="Y1273" s="6"/>
    </row>
    <row r="1274" spans="1:25" ht="15" customHeight="1" x14ac:dyDescent="0.2">
      <c r="A1274" s="88" t="s">
        <v>1713</v>
      </c>
      <c r="B1274" s="90"/>
      <c r="C1274" s="88" t="s">
        <v>1748</v>
      </c>
      <c r="D1274" s="90"/>
      <c r="E1274" s="88" t="s">
        <v>1749</v>
      </c>
      <c r="F1274" s="89"/>
      <c r="G1274" s="89"/>
      <c r="H1274" s="89"/>
      <c r="I1274" s="90"/>
      <c r="J1274" s="88" t="s">
        <v>770</v>
      </c>
      <c r="K1274" s="89"/>
      <c r="L1274" s="89"/>
      <c r="M1274" s="90"/>
      <c r="N1274" s="88" t="s">
        <v>26</v>
      </c>
      <c r="O1274" s="89"/>
      <c r="P1274" s="90"/>
      <c r="Q1274" s="133">
        <v>0</v>
      </c>
      <c r="R1274" s="134"/>
      <c r="S1274" s="5" t="s">
        <v>44</v>
      </c>
      <c r="T1274" s="8">
        <v>2165</v>
      </c>
      <c r="U1274" s="8">
        <v>5</v>
      </c>
      <c r="V1274" s="5" t="s">
        <v>17</v>
      </c>
      <c r="W1274" s="12">
        <v>10918776</v>
      </c>
      <c r="X1274" s="6"/>
      <c r="Y1274" s="6"/>
    </row>
    <row r="1275" spans="1:25" ht="15" customHeight="1" x14ac:dyDescent="0.2">
      <c r="A1275" s="88" t="s">
        <v>1713</v>
      </c>
      <c r="B1275" s="90"/>
      <c r="C1275" s="88" t="s">
        <v>1750</v>
      </c>
      <c r="D1275" s="90"/>
      <c r="E1275" s="88" t="s">
        <v>1751</v>
      </c>
      <c r="F1275" s="89"/>
      <c r="G1275" s="89"/>
      <c r="H1275" s="89"/>
      <c r="I1275" s="90"/>
      <c r="J1275" s="88" t="s">
        <v>770</v>
      </c>
      <c r="K1275" s="89"/>
      <c r="L1275" s="89"/>
      <c r="M1275" s="90"/>
      <c r="N1275" s="88" t="s">
        <v>26</v>
      </c>
      <c r="O1275" s="89"/>
      <c r="P1275" s="90"/>
      <c r="Q1275" s="133">
        <v>1496</v>
      </c>
      <c r="R1275" s="134"/>
      <c r="S1275" s="5" t="s">
        <v>44</v>
      </c>
      <c r="T1275" s="8">
        <v>2125</v>
      </c>
      <c r="U1275" s="8">
        <v>5</v>
      </c>
      <c r="V1275" s="5" t="s">
        <v>23</v>
      </c>
      <c r="W1275" s="12">
        <v>9129720</v>
      </c>
      <c r="X1275" s="6"/>
      <c r="Y1275" s="6"/>
    </row>
    <row r="1276" spans="1:25" ht="15" customHeight="1" x14ac:dyDescent="0.2">
      <c r="A1276" s="88" t="s">
        <v>1713</v>
      </c>
      <c r="B1276" s="90"/>
      <c r="C1276" s="88" t="s">
        <v>1752</v>
      </c>
      <c r="D1276" s="90"/>
      <c r="E1276" s="88" t="s">
        <v>1753</v>
      </c>
      <c r="F1276" s="89"/>
      <c r="G1276" s="89"/>
      <c r="H1276" s="89"/>
      <c r="I1276" s="90"/>
      <c r="J1276" s="88" t="s">
        <v>775</v>
      </c>
      <c r="K1276" s="89"/>
      <c r="L1276" s="89"/>
      <c r="M1276" s="90"/>
      <c r="N1276" s="88" t="s">
        <v>26</v>
      </c>
      <c r="O1276" s="89"/>
      <c r="P1276" s="90"/>
      <c r="Q1276" s="133">
        <v>1993</v>
      </c>
      <c r="R1276" s="134"/>
      <c r="S1276" s="5" t="s">
        <v>16</v>
      </c>
      <c r="T1276" s="8">
        <v>1925</v>
      </c>
      <c r="U1276" s="8">
        <v>5</v>
      </c>
      <c r="V1276" s="5" t="s">
        <v>23</v>
      </c>
      <c r="W1276" s="12">
        <v>6478831</v>
      </c>
      <c r="X1276" s="6"/>
      <c r="Y1276" s="6"/>
    </row>
    <row r="1277" spans="1:25" ht="15" customHeight="1" x14ac:dyDescent="0.2">
      <c r="A1277" s="88" t="s">
        <v>1713</v>
      </c>
      <c r="B1277" s="90"/>
      <c r="C1277" s="88" t="s">
        <v>1754</v>
      </c>
      <c r="D1277" s="90"/>
      <c r="E1277" s="88" t="s">
        <v>1755</v>
      </c>
      <c r="F1277" s="89"/>
      <c r="G1277" s="89"/>
      <c r="H1277" s="89"/>
      <c r="I1277" s="90"/>
      <c r="J1277" s="88" t="s">
        <v>770</v>
      </c>
      <c r="K1277" s="89"/>
      <c r="L1277" s="89"/>
      <c r="M1277" s="90"/>
      <c r="N1277" s="88" t="s">
        <v>26</v>
      </c>
      <c r="O1277" s="89"/>
      <c r="P1277" s="90"/>
      <c r="Q1277" s="133">
        <v>0</v>
      </c>
      <c r="R1277" s="134"/>
      <c r="S1277" s="5" t="s">
        <v>16</v>
      </c>
      <c r="T1277" s="8">
        <v>2285</v>
      </c>
      <c r="U1277" s="8">
        <v>5</v>
      </c>
      <c r="V1277" s="5" t="s">
        <v>17</v>
      </c>
      <c r="W1277" s="12">
        <v>12441779</v>
      </c>
      <c r="X1277" s="6"/>
      <c r="Y1277" s="6"/>
    </row>
    <row r="1278" spans="1:25" ht="15" customHeight="1" x14ac:dyDescent="0.2">
      <c r="A1278" s="88" t="s">
        <v>1713</v>
      </c>
      <c r="B1278" s="90"/>
      <c r="C1278" s="88" t="s">
        <v>1756</v>
      </c>
      <c r="D1278" s="90"/>
      <c r="E1278" s="88" t="s">
        <v>1753</v>
      </c>
      <c r="F1278" s="89"/>
      <c r="G1278" s="89"/>
      <c r="H1278" s="89"/>
      <c r="I1278" s="90"/>
      <c r="J1278" s="88" t="s">
        <v>775</v>
      </c>
      <c r="K1278" s="89"/>
      <c r="L1278" s="89"/>
      <c r="M1278" s="90"/>
      <c r="N1278" s="88" t="s">
        <v>26</v>
      </c>
      <c r="O1278" s="89"/>
      <c r="P1278" s="90"/>
      <c r="Q1278" s="133">
        <v>1993</v>
      </c>
      <c r="R1278" s="134"/>
      <c r="S1278" s="5" t="s">
        <v>16</v>
      </c>
      <c r="T1278" s="8">
        <v>1925</v>
      </c>
      <c r="U1278" s="8">
        <v>5</v>
      </c>
      <c r="V1278" s="5" t="s">
        <v>23</v>
      </c>
      <c r="W1278" s="12">
        <v>6703372</v>
      </c>
      <c r="X1278" s="6"/>
      <c r="Y1278" s="6"/>
    </row>
    <row r="1279" spans="1:25" ht="15" customHeight="1" x14ac:dyDescent="0.2">
      <c r="A1279" s="88" t="s">
        <v>1713</v>
      </c>
      <c r="B1279" s="90"/>
      <c r="C1279" s="88" t="s">
        <v>1757</v>
      </c>
      <c r="D1279" s="90"/>
      <c r="E1279" s="88" t="s">
        <v>1758</v>
      </c>
      <c r="F1279" s="89"/>
      <c r="G1279" s="89"/>
      <c r="H1279" s="89"/>
      <c r="I1279" s="90"/>
      <c r="J1279" s="88" t="s">
        <v>1759</v>
      </c>
      <c r="K1279" s="89"/>
      <c r="L1279" s="89"/>
      <c r="M1279" s="90"/>
      <c r="N1279" s="88" t="s">
        <v>26</v>
      </c>
      <c r="O1279" s="89"/>
      <c r="P1279" s="90"/>
      <c r="Q1279" s="133">
        <v>1317</v>
      </c>
      <c r="R1279" s="134"/>
      <c r="S1279" s="5" t="s">
        <v>27</v>
      </c>
      <c r="T1279" s="8">
        <v>1305</v>
      </c>
      <c r="U1279" s="8">
        <v>5</v>
      </c>
      <c r="V1279" s="5" t="s">
        <v>23</v>
      </c>
      <c r="W1279" s="12">
        <v>2218296</v>
      </c>
      <c r="X1279" s="6"/>
      <c r="Y1279" s="6"/>
    </row>
    <row r="1280" spans="1:25" ht="15" customHeight="1" x14ac:dyDescent="0.2">
      <c r="A1280" s="88" t="s">
        <v>1713</v>
      </c>
      <c r="B1280" s="90"/>
      <c r="C1280" s="88" t="s">
        <v>1760</v>
      </c>
      <c r="D1280" s="90"/>
      <c r="E1280" s="88" t="s">
        <v>1761</v>
      </c>
      <c r="F1280" s="89"/>
      <c r="G1280" s="89"/>
      <c r="H1280" s="89"/>
      <c r="I1280" s="90"/>
      <c r="J1280" s="88" t="s">
        <v>770</v>
      </c>
      <c r="K1280" s="89"/>
      <c r="L1280" s="89"/>
      <c r="M1280" s="90"/>
      <c r="N1280" s="88" t="s">
        <v>26</v>
      </c>
      <c r="O1280" s="89"/>
      <c r="P1280" s="90"/>
      <c r="Q1280" s="133">
        <v>1496</v>
      </c>
      <c r="R1280" s="134"/>
      <c r="S1280" s="5" t="s">
        <v>27</v>
      </c>
      <c r="T1280" s="8">
        <v>1485</v>
      </c>
      <c r="U1280" s="8">
        <v>5</v>
      </c>
      <c r="V1280" s="5" t="s">
        <v>23</v>
      </c>
      <c r="W1280" s="12">
        <v>3288040</v>
      </c>
      <c r="X1280" s="6"/>
      <c r="Y1280" s="6"/>
    </row>
    <row r="1281" spans="1:25" ht="15" customHeight="1" x14ac:dyDescent="0.2">
      <c r="A1281" s="88" t="s">
        <v>1713</v>
      </c>
      <c r="B1281" s="90"/>
      <c r="C1281" s="88" t="s">
        <v>1762</v>
      </c>
      <c r="D1281" s="90"/>
      <c r="E1281" s="88" t="s">
        <v>1761</v>
      </c>
      <c r="F1281" s="89"/>
      <c r="G1281" s="89"/>
      <c r="H1281" s="89"/>
      <c r="I1281" s="90"/>
      <c r="J1281" s="88" t="s">
        <v>770</v>
      </c>
      <c r="K1281" s="89"/>
      <c r="L1281" s="89"/>
      <c r="M1281" s="90"/>
      <c r="N1281" s="88" t="s">
        <v>26</v>
      </c>
      <c r="O1281" s="89"/>
      <c r="P1281" s="90"/>
      <c r="Q1281" s="133">
        <v>1496</v>
      </c>
      <c r="R1281" s="134"/>
      <c r="S1281" s="5" t="s">
        <v>27</v>
      </c>
      <c r="T1281" s="8">
        <v>1465</v>
      </c>
      <c r="U1281" s="8">
        <v>4</v>
      </c>
      <c r="V1281" s="5" t="s">
        <v>23</v>
      </c>
      <c r="W1281" s="12">
        <v>3721975</v>
      </c>
      <c r="X1281" s="6"/>
      <c r="Y1281" s="6"/>
    </row>
    <row r="1282" spans="1:25" ht="15" customHeight="1" x14ac:dyDescent="0.2">
      <c r="A1282" s="88" t="s">
        <v>1713</v>
      </c>
      <c r="B1282" s="90"/>
      <c r="C1282" s="88" t="s">
        <v>1763</v>
      </c>
      <c r="D1282" s="90"/>
      <c r="E1282" s="88" t="s">
        <v>1761</v>
      </c>
      <c r="F1282" s="89"/>
      <c r="G1282" s="89"/>
      <c r="H1282" s="89"/>
      <c r="I1282" s="90"/>
      <c r="J1282" s="88" t="s">
        <v>770</v>
      </c>
      <c r="K1282" s="89"/>
      <c r="L1282" s="89"/>
      <c r="M1282" s="90"/>
      <c r="N1282" s="88" t="s">
        <v>26</v>
      </c>
      <c r="O1282" s="89"/>
      <c r="P1282" s="90"/>
      <c r="Q1282" s="133">
        <v>1496</v>
      </c>
      <c r="R1282" s="134"/>
      <c r="S1282" s="5" t="s">
        <v>27</v>
      </c>
      <c r="T1282" s="8">
        <v>1465</v>
      </c>
      <c r="U1282" s="8">
        <v>5</v>
      </c>
      <c r="V1282" s="5" t="s">
        <v>23</v>
      </c>
      <c r="W1282" s="12">
        <v>3616845</v>
      </c>
      <c r="X1282" s="6"/>
      <c r="Y1282" s="6"/>
    </row>
    <row r="1283" spans="1:25" ht="15" customHeight="1" x14ac:dyDescent="0.2">
      <c r="A1283" s="88" t="s">
        <v>1713</v>
      </c>
      <c r="B1283" s="90"/>
      <c r="C1283" s="88" t="s">
        <v>1764</v>
      </c>
      <c r="D1283" s="90"/>
      <c r="E1283" s="88" t="s">
        <v>1765</v>
      </c>
      <c r="F1283" s="89"/>
      <c r="G1283" s="89"/>
      <c r="H1283" s="89"/>
      <c r="I1283" s="90"/>
      <c r="J1283" s="88" t="s">
        <v>775</v>
      </c>
      <c r="K1283" s="89"/>
      <c r="L1283" s="89"/>
      <c r="M1283" s="90"/>
      <c r="N1283" s="88" t="s">
        <v>26</v>
      </c>
      <c r="O1283" s="89"/>
      <c r="P1283" s="90"/>
      <c r="Q1283" s="133">
        <v>1496</v>
      </c>
      <c r="R1283" s="134"/>
      <c r="S1283" s="5" t="s">
        <v>27</v>
      </c>
      <c r="T1283" s="8">
        <v>1445</v>
      </c>
      <c r="U1283" s="8">
        <v>5</v>
      </c>
      <c r="V1283" s="5" t="s">
        <v>23</v>
      </c>
      <c r="W1283" s="12">
        <v>3423854</v>
      </c>
      <c r="X1283" s="6"/>
      <c r="Y1283" s="6"/>
    </row>
    <row r="1284" spans="1:25" ht="15" customHeight="1" x14ac:dyDescent="0.2">
      <c r="A1284" s="88" t="s">
        <v>1713</v>
      </c>
      <c r="B1284" s="90"/>
      <c r="C1284" s="88" t="s">
        <v>1766</v>
      </c>
      <c r="D1284" s="90"/>
      <c r="E1284" s="88" t="s">
        <v>1765</v>
      </c>
      <c r="F1284" s="89"/>
      <c r="G1284" s="89"/>
      <c r="H1284" s="89"/>
      <c r="I1284" s="90"/>
      <c r="J1284" s="88" t="s">
        <v>26</v>
      </c>
      <c r="K1284" s="89"/>
      <c r="L1284" s="89"/>
      <c r="M1284" s="90"/>
      <c r="N1284" s="88" t="s">
        <v>26</v>
      </c>
      <c r="O1284" s="89"/>
      <c r="P1284" s="90"/>
      <c r="Q1284" s="133">
        <v>1496</v>
      </c>
      <c r="R1284" s="134"/>
      <c r="S1284" s="5" t="s">
        <v>27</v>
      </c>
      <c r="T1284" s="8">
        <v>1415</v>
      </c>
      <c r="U1284" s="8">
        <v>5</v>
      </c>
      <c r="V1284" s="5" t="s">
        <v>23</v>
      </c>
      <c r="W1284" s="12">
        <v>2969464</v>
      </c>
      <c r="X1284" s="6"/>
      <c r="Y1284" s="6"/>
    </row>
    <row r="1285" spans="1:25" ht="15" customHeight="1" x14ac:dyDescent="0.2">
      <c r="A1285" s="88" t="s">
        <v>1713</v>
      </c>
      <c r="B1285" s="90"/>
      <c r="C1285" s="88" t="s">
        <v>1767</v>
      </c>
      <c r="D1285" s="90"/>
      <c r="E1285" s="88" t="s">
        <v>1765</v>
      </c>
      <c r="F1285" s="89"/>
      <c r="G1285" s="89"/>
      <c r="H1285" s="89"/>
      <c r="I1285" s="90"/>
      <c r="J1285" s="88" t="s">
        <v>775</v>
      </c>
      <c r="K1285" s="89"/>
      <c r="L1285" s="89"/>
      <c r="M1285" s="90"/>
      <c r="N1285" s="88" t="s">
        <v>26</v>
      </c>
      <c r="O1285" s="89"/>
      <c r="P1285" s="90"/>
      <c r="Q1285" s="133">
        <v>1496</v>
      </c>
      <c r="R1285" s="134"/>
      <c r="S1285" s="5" t="s">
        <v>27</v>
      </c>
      <c r="T1285" s="8">
        <v>1425</v>
      </c>
      <c r="U1285" s="8">
        <v>5</v>
      </c>
      <c r="V1285" s="5" t="s">
        <v>23</v>
      </c>
      <c r="W1285" s="12">
        <v>3504337</v>
      </c>
      <c r="X1285" s="6"/>
      <c r="Y1285" s="6"/>
    </row>
    <row r="1286" spans="1:25" ht="15" customHeight="1" x14ac:dyDescent="0.2">
      <c r="A1286" s="88" t="s">
        <v>1713</v>
      </c>
      <c r="B1286" s="90"/>
      <c r="C1286" s="88" t="s">
        <v>1768</v>
      </c>
      <c r="D1286" s="90"/>
      <c r="E1286" s="88" t="s">
        <v>1769</v>
      </c>
      <c r="F1286" s="89"/>
      <c r="G1286" s="89"/>
      <c r="H1286" s="89"/>
      <c r="I1286" s="90"/>
      <c r="J1286" s="88" t="s">
        <v>775</v>
      </c>
      <c r="K1286" s="89"/>
      <c r="L1286" s="89"/>
      <c r="M1286" s="90"/>
      <c r="N1286" s="88" t="s">
        <v>26</v>
      </c>
      <c r="O1286" s="89"/>
      <c r="P1286" s="90"/>
      <c r="Q1286" s="133">
        <v>1496</v>
      </c>
      <c r="R1286" s="134"/>
      <c r="S1286" s="5" t="s">
        <v>27</v>
      </c>
      <c r="T1286" s="8">
        <v>1445</v>
      </c>
      <c r="U1286" s="8">
        <v>5</v>
      </c>
      <c r="V1286" s="5" t="s">
        <v>23</v>
      </c>
      <c r="W1286" s="12">
        <v>3423854</v>
      </c>
      <c r="X1286" s="6"/>
      <c r="Y1286" s="6"/>
    </row>
    <row r="1287" spans="1:25" ht="15" customHeight="1" x14ac:dyDescent="0.2">
      <c r="A1287" s="88" t="s">
        <v>1713</v>
      </c>
      <c r="B1287" s="90"/>
      <c r="C1287" s="88" t="s">
        <v>1770</v>
      </c>
      <c r="D1287" s="90"/>
      <c r="E1287" s="88" t="s">
        <v>1765</v>
      </c>
      <c r="F1287" s="89"/>
      <c r="G1287" s="89"/>
      <c r="H1287" s="89"/>
      <c r="I1287" s="90"/>
      <c r="J1287" s="88" t="s">
        <v>770</v>
      </c>
      <c r="K1287" s="89"/>
      <c r="L1287" s="89"/>
      <c r="M1287" s="90"/>
      <c r="N1287" s="88" t="s">
        <v>26</v>
      </c>
      <c r="O1287" s="89"/>
      <c r="P1287" s="90"/>
      <c r="Q1287" s="133">
        <v>1496</v>
      </c>
      <c r="R1287" s="134"/>
      <c r="S1287" s="5" t="s">
        <v>27</v>
      </c>
      <c r="T1287" s="8">
        <v>1445</v>
      </c>
      <c r="U1287" s="8">
        <v>5</v>
      </c>
      <c r="V1287" s="5" t="s">
        <v>23</v>
      </c>
      <c r="W1287" s="12">
        <v>3423854</v>
      </c>
      <c r="X1287" s="6"/>
      <c r="Y1287" s="6"/>
    </row>
    <row r="1288" spans="1:25" ht="15" customHeight="1" x14ac:dyDescent="0.2">
      <c r="A1288" s="88" t="s">
        <v>1713</v>
      </c>
      <c r="B1288" s="90"/>
      <c r="C1288" s="88" t="s">
        <v>1771</v>
      </c>
      <c r="D1288" s="90"/>
      <c r="E1288" s="88" t="s">
        <v>1772</v>
      </c>
      <c r="F1288" s="89"/>
      <c r="G1288" s="89"/>
      <c r="H1288" s="89"/>
      <c r="I1288" s="90"/>
      <c r="J1288" s="88" t="s">
        <v>770</v>
      </c>
      <c r="K1288" s="89"/>
      <c r="L1288" s="89"/>
      <c r="M1288" s="90"/>
      <c r="N1288" s="88" t="s">
        <v>26</v>
      </c>
      <c r="O1288" s="89"/>
      <c r="P1288" s="90"/>
      <c r="Q1288" s="133">
        <v>1496</v>
      </c>
      <c r="R1288" s="134"/>
      <c r="S1288" s="5" t="s">
        <v>1101</v>
      </c>
      <c r="T1288" s="8">
        <v>1800</v>
      </c>
      <c r="U1288" s="8">
        <v>6</v>
      </c>
      <c r="V1288" s="5" t="s">
        <v>23</v>
      </c>
      <c r="W1288" s="12">
        <v>5021765</v>
      </c>
      <c r="X1288" s="6"/>
      <c r="Y1288" s="6"/>
    </row>
    <row r="1289" spans="1:25" ht="15" customHeight="1" x14ac:dyDescent="0.2">
      <c r="A1289" s="88" t="s">
        <v>1713</v>
      </c>
      <c r="B1289" s="90"/>
      <c r="C1289" s="88" t="s">
        <v>1773</v>
      </c>
      <c r="D1289" s="90"/>
      <c r="E1289" s="88" t="s">
        <v>1774</v>
      </c>
      <c r="F1289" s="89"/>
      <c r="G1289" s="89"/>
      <c r="H1289" s="89"/>
      <c r="I1289" s="90"/>
      <c r="J1289" s="88" t="s">
        <v>770</v>
      </c>
      <c r="K1289" s="89"/>
      <c r="L1289" s="89"/>
      <c r="M1289" s="90"/>
      <c r="N1289" s="88" t="s">
        <v>26</v>
      </c>
      <c r="O1289" s="89"/>
      <c r="P1289" s="90"/>
      <c r="Q1289" s="133">
        <v>1496</v>
      </c>
      <c r="R1289" s="134"/>
      <c r="S1289" s="5" t="s">
        <v>1101</v>
      </c>
      <c r="T1289" s="8">
        <v>1810</v>
      </c>
      <c r="U1289" s="8">
        <v>6</v>
      </c>
      <c r="V1289" s="5" t="s">
        <v>23</v>
      </c>
      <c r="W1289" s="12">
        <v>5108954</v>
      </c>
      <c r="X1289" s="6"/>
      <c r="Y1289" s="6"/>
    </row>
    <row r="1290" spans="1:25" ht="15" customHeight="1" x14ac:dyDescent="0.2">
      <c r="A1290" s="88" t="s">
        <v>1713</v>
      </c>
      <c r="B1290" s="90"/>
      <c r="C1290" s="88" t="s">
        <v>1775</v>
      </c>
      <c r="D1290" s="90"/>
      <c r="E1290" s="88" t="s">
        <v>1776</v>
      </c>
      <c r="F1290" s="89"/>
      <c r="G1290" s="89"/>
      <c r="H1290" s="89"/>
      <c r="I1290" s="90"/>
      <c r="J1290" s="88" t="s">
        <v>770</v>
      </c>
      <c r="K1290" s="89"/>
      <c r="L1290" s="89"/>
      <c r="M1290" s="90"/>
      <c r="N1290" s="88" t="s">
        <v>26</v>
      </c>
      <c r="O1290" s="89"/>
      <c r="P1290" s="90"/>
      <c r="Q1290" s="133">
        <v>1496</v>
      </c>
      <c r="R1290" s="134"/>
      <c r="S1290" s="5" t="s">
        <v>1101</v>
      </c>
      <c r="T1290" s="8">
        <v>1860</v>
      </c>
      <c r="U1290" s="8">
        <v>6</v>
      </c>
      <c r="V1290" s="5" t="s">
        <v>23</v>
      </c>
      <c r="W1290" s="12">
        <v>5524780</v>
      </c>
      <c r="X1290" s="6"/>
      <c r="Y1290" s="6"/>
    </row>
    <row r="1291" spans="1:25" ht="15" customHeight="1" x14ac:dyDescent="0.2">
      <c r="A1291" s="88" t="s">
        <v>1713</v>
      </c>
      <c r="B1291" s="90"/>
      <c r="C1291" s="88" t="s">
        <v>1777</v>
      </c>
      <c r="D1291" s="90"/>
      <c r="E1291" s="88" t="s">
        <v>1778</v>
      </c>
      <c r="F1291" s="89"/>
      <c r="G1291" s="89"/>
      <c r="H1291" s="89"/>
      <c r="I1291" s="90"/>
      <c r="J1291" s="88" t="s">
        <v>770</v>
      </c>
      <c r="K1291" s="89"/>
      <c r="L1291" s="89"/>
      <c r="M1291" s="90"/>
      <c r="N1291" s="88" t="s">
        <v>26</v>
      </c>
      <c r="O1291" s="89"/>
      <c r="P1291" s="90"/>
      <c r="Q1291" s="133">
        <v>1496</v>
      </c>
      <c r="R1291" s="134"/>
      <c r="S1291" s="5" t="s">
        <v>1101</v>
      </c>
      <c r="T1291" s="8">
        <v>1690</v>
      </c>
      <c r="U1291" s="8">
        <v>6</v>
      </c>
      <c r="V1291" s="5" t="s">
        <v>23</v>
      </c>
      <c r="W1291" s="12">
        <v>4300106</v>
      </c>
      <c r="X1291" s="6"/>
      <c r="Y1291" s="6"/>
    </row>
    <row r="1292" spans="1:25" ht="15" customHeight="1" x14ac:dyDescent="0.2">
      <c r="A1292" s="88" t="s">
        <v>1713</v>
      </c>
      <c r="B1292" s="90"/>
      <c r="C1292" s="88" t="s">
        <v>1777</v>
      </c>
      <c r="D1292" s="90"/>
      <c r="E1292" s="88" t="s">
        <v>1779</v>
      </c>
      <c r="F1292" s="89"/>
      <c r="G1292" s="89"/>
      <c r="H1292" s="89"/>
      <c r="I1292" s="90"/>
      <c r="J1292" s="88" t="s">
        <v>770</v>
      </c>
      <c r="K1292" s="89"/>
      <c r="L1292" s="89"/>
      <c r="M1292" s="90"/>
      <c r="N1292" s="88" t="s">
        <v>26</v>
      </c>
      <c r="O1292" s="89"/>
      <c r="P1292" s="90"/>
      <c r="Q1292" s="133">
        <v>1496</v>
      </c>
      <c r="R1292" s="134"/>
      <c r="S1292" s="5" t="s">
        <v>1101</v>
      </c>
      <c r="T1292" s="8">
        <v>1680</v>
      </c>
      <c r="U1292" s="8">
        <v>6</v>
      </c>
      <c r="V1292" s="5" t="s">
        <v>23</v>
      </c>
      <c r="W1292" s="12">
        <v>4024119</v>
      </c>
      <c r="X1292" s="6"/>
      <c r="Y1292" s="6"/>
    </row>
    <row r="1293" spans="1:25" ht="15" customHeight="1" x14ac:dyDescent="0.2">
      <c r="A1293" s="88" t="s">
        <v>1713</v>
      </c>
      <c r="B1293" s="90"/>
      <c r="C1293" s="88" t="s">
        <v>1780</v>
      </c>
      <c r="D1293" s="90"/>
      <c r="E1293" s="88" t="s">
        <v>1781</v>
      </c>
      <c r="F1293" s="89"/>
      <c r="G1293" s="89"/>
      <c r="H1293" s="89"/>
      <c r="I1293" s="90"/>
      <c r="J1293" s="88" t="s">
        <v>770</v>
      </c>
      <c r="K1293" s="89"/>
      <c r="L1293" s="89"/>
      <c r="M1293" s="90"/>
      <c r="N1293" s="88" t="s">
        <v>26</v>
      </c>
      <c r="O1293" s="89"/>
      <c r="P1293" s="90"/>
      <c r="Q1293" s="133">
        <v>1496</v>
      </c>
      <c r="R1293" s="134"/>
      <c r="S1293" s="5" t="s">
        <v>1101</v>
      </c>
      <c r="T1293" s="8">
        <v>1690</v>
      </c>
      <c r="U1293" s="8">
        <v>6</v>
      </c>
      <c r="V1293" s="5" t="s">
        <v>23</v>
      </c>
      <c r="W1293" s="12">
        <v>4300106</v>
      </c>
      <c r="X1293" s="6"/>
      <c r="Y1293" s="6"/>
    </row>
    <row r="1294" spans="1:25" ht="15" customHeight="1" x14ac:dyDescent="0.2">
      <c r="A1294" s="88" t="s">
        <v>1713</v>
      </c>
      <c r="B1294" s="90"/>
      <c r="C1294" s="88" t="s">
        <v>1782</v>
      </c>
      <c r="D1294" s="90"/>
      <c r="E1294" s="88" t="s">
        <v>1783</v>
      </c>
      <c r="F1294" s="89"/>
      <c r="G1294" s="89"/>
      <c r="H1294" s="89"/>
      <c r="I1294" s="90"/>
      <c r="J1294" s="88" t="s">
        <v>775</v>
      </c>
      <c r="K1294" s="89"/>
      <c r="L1294" s="89"/>
      <c r="M1294" s="90"/>
      <c r="N1294" s="88" t="s">
        <v>26</v>
      </c>
      <c r="O1294" s="89"/>
      <c r="P1294" s="90"/>
      <c r="Q1294" s="133">
        <v>1496</v>
      </c>
      <c r="R1294" s="134"/>
      <c r="S1294" s="5" t="s">
        <v>1101</v>
      </c>
      <c r="T1294" s="8">
        <v>1690</v>
      </c>
      <c r="U1294" s="8">
        <v>4</v>
      </c>
      <c r="V1294" s="5" t="s">
        <v>23</v>
      </c>
      <c r="W1294" s="12">
        <v>4736556</v>
      </c>
      <c r="X1294" s="6"/>
      <c r="Y1294" s="6"/>
    </row>
    <row r="1295" spans="1:25" ht="15" customHeight="1" x14ac:dyDescent="0.2">
      <c r="A1295" s="88" t="s">
        <v>1713</v>
      </c>
      <c r="B1295" s="90"/>
      <c r="C1295" s="88" t="s">
        <v>1782</v>
      </c>
      <c r="D1295" s="90"/>
      <c r="E1295" s="88" t="s">
        <v>1784</v>
      </c>
      <c r="F1295" s="89"/>
      <c r="G1295" s="89"/>
      <c r="H1295" s="89"/>
      <c r="I1295" s="90"/>
      <c r="J1295" s="88" t="s">
        <v>775</v>
      </c>
      <c r="K1295" s="89"/>
      <c r="L1295" s="89"/>
      <c r="M1295" s="90"/>
      <c r="N1295" s="88" t="s">
        <v>26</v>
      </c>
      <c r="O1295" s="89"/>
      <c r="P1295" s="90"/>
      <c r="Q1295" s="133">
        <v>1496</v>
      </c>
      <c r="R1295" s="134"/>
      <c r="S1295" s="5" t="s">
        <v>1101</v>
      </c>
      <c r="T1295" s="8">
        <v>1740</v>
      </c>
      <c r="U1295" s="8">
        <v>6</v>
      </c>
      <c r="V1295" s="5" t="s">
        <v>23</v>
      </c>
      <c r="W1295" s="12">
        <v>3875079</v>
      </c>
      <c r="X1295" s="6"/>
      <c r="Y1295" s="6"/>
    </row>
    <row r="1296" spans="1:25" ht="15" customHeight="1" x14ac:dyDescent="0.2">
      <c r="A1296" s="88" t="s">
        <v>1713</v>
      </c>
      <c r="B1296" s="90"/>
      <c r="C1296" s="88" t="s">
        <v>1785</v>
      </c>
      <c r="D1296" s="90"/>
      <c r="E1296" s="88" t="s">
        <v>1784</v>
      </c>
      <c r="F1296" s="89"/>
      <c r="G1296" s="89"/>
      <c r="H1296" s="89"/>
      <c r="I1296" s="90"/>
      <c r="J1296" s="88" t="s">
        <v>775</v>
      </c>
      <c r="K1296" s="89"/>
      <c r="L1296" s="89"/>
      <c r="M1296" s="90"/>
      <c r="N1296" s="88" t="s">
        <v>26</v>
      </c>
      <c r="O1296" s="89"/>
      <c r="P1296" s="90"/>
      <c r="Q1296" s="133">
        <v>1496</v>
      </c>
      <c r="R1296" s="134"/>
      <c r="S1296" s="5" t="s">
        <v>1101</v>
      </c>
      <c r="T1296" s="8">
        <v>1770</v>
      </c>
      <c r="U1296" s="8">
        <v>6</v>
      </c>
      <c r="V1296" s="5" t="s">
        <v>23</v>
      </c>
      <c r="W1296" s="12">
        <v>4860800</v>
      </c>
      <c r="X1296" s="6"/>
      <c r="Y1296" s="6"/>
    </row>
    <row r="1297" spans="1:25" ht="15" customHeight="1" x14ac:dyDescent="0.2">
      <c r="A1297" s="88" t="s">
        <v>1713</v>
      </c>
      <c r="B1297" s="90"/>
      <c r="C1297" s="88" t="s">
        <v>1786</v>
      </c>
      <c r="D1297" s="90"/>
      <c r="E1297" s="88" t="s">
        <v>1784</v>
      </c>
      <c r="F1297" s="89"/>
      <c r="G1297" s="89"/>
      <c r="H1297" s="89"/>
      <c r="I1297" s="90"/>
      <c r="J1297" s="88" t="s">
        <v>775</v>
      </c>
      <c r="K1297" s="89"/>
      <c r="L1297" s="89"/>
      <c r="M1297" s="90"/>
      <c r="N1297" s="88" t="s">
        <v>26</v>
      </c>
      <c r="O1297" s="89"/>
      <c r="P1297" s="90"/>
      <c r="Q1297" s="133">
        <v>1496</v>
      </c>
      <c r="R1297" s="134"/>
      <c r="S1297" s="5" t="s">
        <v>1101</v>
      </c>
      <c r="T1297" s="8">
        <v>1750</v>
      </c>
      <c r="U1297" s="8">
        <v>6</v>
      </c>
      <c r="V1297" s="5" t="s">
        <v>23</v>
      </c>
      <c r="W1297" s="12">
        <v>4564021</v>
      </c>
      <c r="X1297" s="6"/>
      <c r="Y1297" s="6"/>
    </row>
    <row r="1298" spans="1:25" ht="15" customHeight="1" x14ac:dyDescent="0.2">
      <c r="A1298" s="88" t="s">
        <v>1713</v>
      </c>
      <c r="B1298" s="90"/>
      <c r="C1298" s="88" t="s">
        <v>1787</v>
      </c>
      <c r="D1298" s="90"/>
      <c r="E1298" s="88" t="s">
        <v>1783</v>
      </c>
      <c r="F1298" s="89"/>
      <c r="G1298" s="89"/>
      <c r="H1298" s="89"/>
      <c r="I1298" s="90"/>
      <c r="J1298" s="88" t="s">
        <v>770</v>
      </c>
      <c r="K1298" s="89"/>
      <c r="L1298" s="89"/>
      <c r="M1298" s="90"/>
      <c r="N1298" s="88" t="s">
        <v>26</v>
      </c>
      <c r="O1298" s="89"/>
      <c r="P1298" s="90"/>
      <c r="Q1298" s="133">
        <v>1496</v>
      </c>
      <c r="R1298" s="134"/>
      <c r="S1298" s="5" t="s">
        <v>1101</v>
      </c>
      <c r="T1298" s="8">
        <v>1760</v>
      </c>
      <c r="U1298" s="8">
        <v>6</v>
      </c>
      <c r="V1298" s="5" t="s">
        <v>23</v>
      </c>
      <c r="W1298" s="12">
        <v>4831290</v>
      </c>
      <c r="X1298" s="6"/>
      <c r="Y1298" s="6"/>
    </row>
    <row r="1299" spans="1:25" ht="15" customHeight="1" x14ac:dyDescent="0.2">
      <c r="A1299" s="88" t="s">
        <v>1713</v>
      </c>
      <c r="B1299" s="90"/>
      <c r="C1299" s="88" t="s">
        <v>1788</v>
      </c>
      <c r="D1299" s="90"/>
      <c r="E1299" s="88" t="s">
        <v>1789</v>
      </c>
      <c r="F1299" s="89"/>
      <c r="G1299" s="89"/>
      <c r="H1299" s="89"/>
      <c r="I1299" s="90"/>
      <c r="J1299" s="88" t="s">
        <v>770</v>
      </c>
      <c r="K1299" s="89"/>
      <c r="L1299" s="89"/>
      <c r="M1299" s="90"/>
      <c r="N1299" s="88" t="s">
        <v>26</v>
      </c>
      <c r="O1299" s="89"/>
      <c r="P1299" s="90"/>
      <c r="Q1299" s="133">
        <v>1496</v>
      </c>
      <c r="R1299" s="134"/>
      <c r="S1299" s="5" t="s">
        <v>44</v>
      </c>
      <c r="T1299" s="8">
        <v>1455</v>
      </c>
      <c r="U1299" s="8">
        <v>5</v>
      </c>
      <c r="V1299" s="5" t="s">
        <v>23</v>
      </c>
      <c r="W1299" s="12">
        <v>3356786</v>
      </c>
      <c r="X1299" s="6"/>
      <c r="Y1299" s="6"/>
    </row>
    <row r="1300" spans="1:25" ht="15" customHeight="1" x14ac:dyDescent="0.2">
      <c r="A1300" s="88" t="s">
        <v>1713</v>
      </c>
      <c r="B1300" s="90"/>
      <c r="C1300" s="88" t="s">
        <v>1790</v>
      </c>
      <c r="D1300" s="90"/>
      <c r="E1300" s="88" t="s">
        <v>1789</v>
      </c>
      <c r="F1300" s="89"/>
      <c r="G1300" s="89"/>
      <c r="H1300" s="89"/>
      <c r="I1300" s="90"/>
      <c r="J1300" s="88" t="s">
        <v>770</v>
      </c>
      <c r="K1300" s="89"/>
      <c r="L1300" s="89"/>
      <c r="M1300" s="90"/>
      <c r="N1300" s="88" t="s">
        <v>26</v>
      </c>
      <c r="O1300" s="89"/>
      <c r="P1300" s="90"/>
      <c r="Q1300" s="133">
        <v>1496</v>
      </c>
      <c r="R1300" s="134"/>
      <c r="S1300" s="5" t="s">
        <v>44</v>
      </c>
      <c r="T1300" s="8">
        <v>1465</v>
      </c>
      <c r="U1300" s="8">
        <v>5</v>
      </c>
      <c r="V1300" s="5" t="s">
        <v>23</v>
      </c>
      <c r="W1300" s="12">
        <v>3653565</v>
      </c>
      <c r="X1300" s="6"/>
      <c r="Y1300" s="6"/>
    </row>
    <row r="1301" spans="1:25" ht="15" customHeight="1" x14ac:dyDescent="0.2">
      <c r="A1301" s="88" t="s">
        <v>1713</v>
      </c>
      <c r="B1301" s="90"/>
      <c r="C1301" s="88" t="s">
        <v>1791</v>
      </c>
      <c r="D1301" s="90"/>
      <c r="E1301" s="88" t="s">
        <v>1792</v>
      </c>
      <c r="F1301" s="89"/>
      <c r="G1301" s="89"/>
      <c r="H1301" s="89"/>
      <c r="I1301" s="90"/>
      <c r="J1301" s="88" t="s">
        <v>770</v>
      </c>
      <c r="K1301" s="89"/>
      <c r="L1301" s="89"/>
      <c r="M1301" s="90"/>
      <c r="N1301" s="88" t="s">
        <v>26</v>
      </c>
      <c r="O1301" s="89"/>
      <c r="P1301" s="90"/>
      <c r="Q1301" s="133">
        <v>1496</v>
      </c>
      <c r="R1301" s="134"/>
      <c r="S1301" s="5" t="s">
        <v>44</v>
      </c>
      <c r="T1301" s="8">
        <v>1385</v>
      </c>
      <c r="U1301" s="8">
        <v>5</v>
      </c>
      <c r="V1301" s="5" t="s">
        <v>23</v>
      </c>
      <c r="W1301" s="12">
        <v>2746461</v>
      </c>
      <c r="X1301" s="6"/>
      <c r="Y1301" s="6"/>
    </row>
    <row r="1302" spans="1:25" ht="15" customHeight="1" x14ac:dyDescent="0.2">
      <c r="A1302" s="88" t="s">
        <v>1713</v>
      </c>
      <c r="B1302" s="90"/>
      <c r="C1302" s="88" t="s">
        <v>1793</v>
      </c>
      <c r="D1302" s="90"/>
      <c r="E1302" s="88" t="s">
        <v>1794</v>
      </c>
      <c r="F1302" s="89"/>
      <c r="G1302" s="89"/>
      <c r="H1302" s="89"/>
      <c r="I1302" s="90"/>
      <c r="J1302" s="88" t="s">
        <v>775</v>
      </c>
      <c r="K1302" s="89"/>
      <c r="L1302" s="89"/>
      <c r="M1302" s="90"/>
      <c r="N1302" s="88" t="s">
        <v>26</v>
      </c>
      <c r="O1302" s="89"/>
      <c r="P1302" s="90"/>
      <c r="Q1302" s="133">
        <v>0</v>
      </c>
      <c r="R1302" s="134"/>
      <c r="S1302" s="5" t="s">
        <v>27</v>
      </c>
      <c r="T1302" s="8">
        <v>1760</v>
      </c>
      <c r="U1302" s="8">
        <v>5</v>
      </c>
      <c r="V1302" s="5" t="s">
        <v>17</v>
      </c>
      <c r="W1302" s="12">
        <v>7545223</v>
      </c>
      <c r="X1302" s="6"/>
      <c r="Y1302" s="6"/>
    </row>
    <row r="1303" spans="1:25" ht="15" customHeight="1" x14ac:dyDescent="0.2">
      <c r="A1303" s="88" t="s">
        <v>1713</v>
      </c>
      <c r="B1303" s="90"/>
      <c r="C1303" s="88" t="s">
        <v>1795</v>
      </c>
      <c r="D1303" s="90"/>
      <c r="E1303" s="88" t="s">
        <v>1794</v>
      </c>
      <c r="F1303" s="89"/>
      <c r="G1303" s="89"/>
      <c r="H1303" s="89"/>
      <c r="I1303" s="90"/>
      <c r="J1303" s="88" t="s">
        <v>775</v>
      </c>
      <c r="K1303" s="89"/>
      <c r="L1303" s="89"/>
      <c r="M1303" s="90"/>
      <c r="N1303" s="88" t="s">
        <v>26</v>
      </c>
      <c r="O1303" s="89"/>
      <c r="P1303" s="90"/>
      <c r="Q1303" s="133">
        <v>0</v>
      </c>
      <c r="R1303" s="134"/>
      <c r="S1303" s="5" t="s">
        <v>27</v>
      </c>
      <c r="T1303" s="8">
        <v>1760</v>
      </c>
      <c r="U1303" s="8">
        <v>4</v>
      </c>
      <c r="V1303" s="5" t="s">
        <v>17</v>
      </c>
      <c r="W1303" s="12">
        <v>7608100</v>
      </c>
      <c r="X1303" s="6"/>
      <c r="Y1303" s="6"/>
    </row>
    <row r="1304" spans="1:25" ht="15" customHeight="1" x14ac:dyDescent="0.2">
      <c r="A1304" s="88" t="s">
        <v>1713</v>
      </c>
      <c r="B1304" s="90"/>
      <c r="C1304" s="88" t="s">
        <v>1796</v>
      </c>
      <c r="D1304" s="90"/>
      <c r="E1304" s="88" t="s">
        <v>1797</v>
      </c>
      <c r="F1304" s="89"/>
      <c r="G1304" s="89"/>
      <c r="H1304" s="89"/>
      <c r="I1304" s="90"/>
      <c r="J1304" s="88" t="s">
        <v>775</v>
      </c>
      <c r="K1304" s="89"/>
      <c r="L1304" s="89"/>
      <c r="M1304" s="90"/>
      <c r="N1304" s="88" t="s">
        <v>26</v>
      </c>
      <c r="O1304" s="89"/>
      <c r="P1304" s="90"/>
      <c r="Q1304" s="133">
        <v>1496</v>
      </c>
      <c r="R1304" s="134"/>
      <c r="S1304" s="5" t="s">
        <v>44</v>
      </c>
      <c r="T1304" s="8">
        <v>1665</v>
      </c>
      <c r="U1304" s="8">
        <v>5</v>
      </c>
      <c r="V1304" s="5" t="s">
        <v>23</v>
      </c>
      <c r="W1304" s="12">
        <v>5633766</v>
      </c>
      <c r="X1304" s="6"/>
      <c r="Y1304" s="6"/>
    </row>
    <row r="1305" spans="1:25" ht="15" customHeight="1" x14ac:dyDescent="0.2">
      <c r="A1305" s="88" t="s">
        <v>1713</v>
      </c>
      <c r="B1305" s="90"/>
      <c r="C1305" s="88" t="s">
        <v>1798</v>
      </c>
      <c r="D1305" s="90"/>
      <c r="E1305" s="88" t="s">
        <v>1799</v>
      </c>
      <c r="F1305" s="89"/>
      <c r="G1305" s="89"/>
      <c r="H1305" s="89"/>
      <c r="I1305" s="90"/>
      <c r="J1305" s="88" t="s">
        <v>775</v>
      </c>
      <c r="K1305" s="89"/>
      <c r="L1305" s="89"/>
      <c r="M1305" s="90"/>
      <c r="N1305" s="88" t="s">
        <v>26</v>
      </c>
      <c r="O1305" s="89"/>
      <c r="P1305" s="90"/>
      <c r="Q1305" s="133">
        <v>1496</v>
      </c>
      <c r="R1305" s="134"/>
      <c r="S1305" s="5" t="s">
        <v>70</v>
      </c>
      <c r="T1305" s="8">
        <v>1725</v>
      </c>
      <c r="U1305" s="8">
        <v>5</v>
      </c>
      <c r="V1305" s="5" t="s">
        <v>23</v>
      </c>
      <c r="W1305" s="12">
        <v>4500306</v>
      </c>
      <c r="X1305" s="6"/>
      <c r="Y1305" s="6"/>
    </row>
    <row r="1306" spans="1:25" ht="15" customHeight="1" x14ac:dyDescent="0.2">
      <c r="A1306" s="88" t="s">
        <v>1713</v>
      </c>
      <c r="B1306" s="90"/>
      <c r="C1306" s="88" t="s">
        <v>1800</v>
      </c>
      <c r="D1306" s="90"/>
      <c r="E1306" s="88" t="s">
        <v>1801</v>
      </c>
      <c r="F1306" s="89"/>
      <c r="G1306" s="89"/>
      <c r="H1306" s="89"/>
      <c r="I1306" s="90"/>
      <c r="J1306" s="88" t="s">
        <v>770</v>
      </c>
      <c r="K1306" s="89"/>
      <c r="L1306" s="89"/>
      <c r="M1306" s="90"/>
      <c r="N1306" s="88" t="s">
        <v>26</v>
      </c>
      <c r="O1306" s="89"/>
      <c r="P1306" s="90"/>
      <c r="Q1306" s="133">
        <v>1496</v>
      </c>
      <c r="R1306" s="134"/>
      <c r="S1306" s="5" t="s">
        <v>70</v>
      </c>
      <c r="T1306" s="8">
        <v>1840</v>
      </c>
      <c r="U1306" s="8">
        <v>6</v>
      </c>
      <c r="V1306" s="5" t="s">
        <v>23</v>
      </c>
      <c r="W1306" s="12">
        <v>4533344</v>
      </c>
      <c r="X1306" s="6"/>
      <c r="Y1306" s="6"/>
    </row>
    <row r="1307" spans="1:25" ht="15" customHeight="1" x14ac:dyDescent="0.2">
      <c r="A1307" s="88" t="s">
        <v>1713</v>
      </c>
      <c r="B1307" s="90"/>
      <c r="C1307" s="88" t="s">
        <v>1802</v>
      </c>
      <c r="D1307" s="90"/>
      <c r="E1307" s="88" t="s">
        <v>1803</v>
      </c>
      <c r="F1307" s="89"/>
      <c r="G1307" s="89"/>
      <c r="H1307" s="89"/>
      <c r="I1307" s="90"/>
      <c r="J1307" s="88" t="s">
        <v>770</v>
      </c>
      <c r="K1307" s="89"/>
      <c r="L1307" s="89"/>
      <c r="M1307" s="90"/>
      <c r="N1307" s="88" t="s">
        <v>26</v>
      </c>
      <c r="O1307" s="89"/>
      <c r="P1307" s="90"/>
      <c r="Q1307" s="133">
        <v>1496</v>
      </c>
      <c r="R1307" s="134"/>
      <c r="S1307" s="5" t="s">
        <v>70</v>
      </c>
      <c r="T1307" s="8">
        <v>1840</v>
      </c>
      <c r="U1307" s="8">
        <v>6</v>
      </c>
      <c r="V1307" s="5" t="s">
        <v>23</v>
      </c>
      <c r="W1307" s="12">
        <v>3927864</v>
      </c>
      <c r="X1307" s="6"/>
      <c r="Y1307" s="6"/>
    </row>
    <row r="1308" spans="1:25" ht="15" customHeight="1" x14ac:dyDescent="0.2">
      <c r="A1308" s="88" t="s">
        <v>1713</v>
      </c>
      <c r="B1308" s="90"/>
      <c r="C1308" s="88" t="s">
        <v>1804</v>
      </c>
      <c r="D1308" s="90"/>
      <c r="E1308" s="88" t="s">
        <v>1805</v>
      </c>
      <c r="F1308" s="89"/>
      <c r="G1308" s="89"/>
      <c r="H1308" s="89"/>
      <c r="I1308" s="90"/>
      <c r="J1308" s="88" t="s">
        <v>775</v>
      </c>
      <c r="K1308" s="89"/>
      <c r="L1308" s="89"/>
      <c r="M1308" s="90"/>
      <c r="N1308" s="88" t="s">
        <v>701</v>
      </c>
      <c r="O1308" s="89"/>
      <c r="P1308" s="90"/>
      <c r="Q1308" s="133">
        <v>3471</v>
      </c>
      <c r="R1308" s="134"/>
      <c r="S1308" s="5" t="s">
        <v>44</v>
      </c>
      <c r="T1308" s="8">
        <v>2285</v>
      </c>
      <c r="U1308" s="8">
        <v>5</v>
      </c>
      <c r="V1308" s="5" t="s">
        <v>23</v>
      </c>
      <c r="W1308" s="12">
        <v>12355302</v>
      </c>
      <c r="X1308" s="6"/>
      <c r="Y1308" s="6"/>
    </row>
    <row r="1309" spans="1:25" ht="15" customHeight="1" x14ac:dyDescent="0.2">
      <c r="A1309" s="88" t="s">
        <v>1713</v>
      </c>
      <c r="B1309" s="90"/>
      <c r="C1309" s="88" t="s">
        <v>1806</v>
      </c>
      <c r="D1309" s="90"/>
      <c r="E1309" s="88" t="s">
        <v>1805</v>
      </c>
      <c r="F1309" s="89"/>
      <c r="G1309" s="89"/>
      <c r="H1309" s="89"/>
      <c r="I1309" s="90"/>
      <c r="J1309" s="88" t="s">
        <v>770</v>
      </c>
      <c r="K1309" s="89"/>
      <c r="L1309" s="89"/>
      <c r="M1309" s="90"/>
      <c r="N1309" s="88" t="s">
        <v>26</v>
      </c>
      <c r="O1309" s="89"/>
      <c r="P1309" s="90"/>
      <c r="Q1309" s="133">
        <v>3471</v>
      </c>
      <c r="R1309" s="134"/>
      <c r="S1309" s="5" t="s">
        <v>44</v>
      </c>
      <c r="T1309" s="8">
        <v>2255</v>
      </c>
      <c r="U1309" s="8">
        <v>5</v>
      </c>
      <c r="V1309" s="5" t="s">
        <v>23</v>
      </c>
      <c r="W1309" s="12">
        <v>11876741</v>
      </c>
      <c r="X1309" s="6"/>
      <c r="Y1309" s="6"/>
    </row>
    <row r="1310" spans="1:25" ht="15" customHeight="1" x14ac:dyDescent="0.2">
      <c r="A1310" s="88" t="s">
        <v>1713</v>
      </c>
      <c r="B1310" s="90"/>
      <c r="C1310" s="88" t="s">
        <v>1807</v>
      </c>
      <c r="D1310" s="90"/>
      <c r="E1310" s="88" t="s">
        <v>1808</v>
      </c>
      <c r="F1310" s="89"/>
      <c r="G1310" s="89"/>
      <c r="H1310" s="89"/>
      <c r="I1310" s="90"/>
      <c r="J1310" s="88" t="s">
        <v>770</v>
      </c>
      <c r="K1310" s="89"/>
      <c r="L1310" s="89"/>
      <c r="M1310" s="90"/>
      <c r="N1310" s="88" t="s">
        <v>26</v>
      </c>
      <c r="O1310" s="89"/>
      <c r="P1310" s="90"/>
      <c r="Q1310" s="133">
        <v>658</v>
      </c>
      <c r="R1310" s="134"/>
      <c r="S1310" s="5" t="s">
        <v>1101</v>
      </c>
      <c r="T1310" s="8">
        <v>1150</v>
      </c>
      <c r="U1310" s="8">
        <v>4</v>
      </c>
      <c r="V1310" s="5" t="s">
        <v>23</v>
      </c>
      <c r="W1310" s="12">
        <v>2781337</v>
      </c>
      <c r="X1310" s="6"/>
      <c r="Y1310" s="6"/>
    </row>
    <row r="1311" spans="1:25" ht="15" customHeight="1" x14ac:dyDescent="0.2">
      <c r="A1311" s="88" t="s">
        <v>1713</v>
      </c>
      <c r="B1311" s="90"/>
      <c r="C1311" s="88" t="s">
        <v>1809</v>
      </c>
      <c r="D1311" s="90"/>
      <c r="E1311" s="88" t="s">
        <v>1810</v>
      </c>
      <c r="F1311" s="89"/>
      <c r="G1311" s="89"/>
      <c r="H1311" s="89"/>
      <c r="I1311" s="90"/>
      <c r="J1311" s="88" t="s">
        <v>770</v>
      </c>
      <c r="K1311" s="89"/>
      <c r="L1311" s="89"/>
      <c r="M1311" s="90"/>
      <c r="N1311" s="88" t="s">
        <v>26</v>
      </c>
      <c r="O1311" s="89"/>
      <c r="P1311" s="90"/>
      <c r="Q1311" s="133">
        <v>658</v>
      </c>
      <c r="R1311" s="134"/>
      <c r="S1311" s="5" t="s">
        <v>1101</v>
      </c>
      <c r="T1311" s="8">
        <v>1130</v>
      </c>
      <c r="U1311" s="8">
        <v>4</v>
      </c>
      <c r="V1311" s="5" t="s">
        <v>23</v>
      </c>
      <c r="W1311" s="12">
        <v>2764737</v>
      </c>
      <c r="X1311" s="6"/>
      <c r="Y1311" s="6"/>
    </row>
    <row r="1312" spans="1:25" ht="15" customHeight="1" x14ac:dyDescent="0.2">
      <c r="A1312" s="88" t="s">
        <v>1713</v>
      </c>
      <c r="B1312" s="90"/>
      <c r="C1312" s="88" t="s">
        <v>1811</v>
      </c>
      <c r="D1312" s="90"/>
      <c r="E1312" s="88" t="s">
        <v>1812</v>
      </c>
      <c r="F1312" s="89"/>
      <c r="G1312" s="89"/>
      <c r="H1312" s="89"/>
      <c r="I1312" s="90"/>
      <c r="J1312" s="88" t="s">
        <v>770</v>
      </c>
      <c r="K1312" s="89"/>
      <c r="L1312" s="89"/>
      <c r="M1312" s="90"/>
      <c r="N1312" s="88" t="s">
        <v>26</v>
      </c>
      <c r="O1312" s="89"/>
      <c r="P1312" s="90"/>
      <c r="Q1312" s="133">
        <v>658</v>
      </c>
      <c r="R1312" s="134"/>
      <c r="S1312" s="5" t="s">
        <v>1101</v>
      </c>
      <c r="T1312" s="8">
        <v>1180</v>
      </c>
      <c r="U1312" s="8">
        <v>4</v>
      </c>
      <c r="V1312" s="5" t="s">
        <v>23</v>
      </c>
      <c r="W1312" s="12">
        <v>3026473</v>
      </c>
      <c r="X1312" s="6"/>
      <c r="Y1312" s="6"/>
    </row>
    <row r="1313" spans="1:25" ht="15" customHeight="1" x14ac:dyDescent="0.2">
      <c r="A1313" s="88" t="s">
        <v>1713</v>
      </c>
      <c r="B1313" s="90"/>
      <c r="C1313" s="88" t="s">
        <v>1813</v>
      </c>
      <c r="D1313" s="90"/>
      <c r="E1313" s="88" t="s">
        <v>1812</v>
      </c>
      <c r="F1313" s="89"/>
      <c r="G1313" s="89"/>
      <c r="H1313" s="89"/>
      <c r="I1313" s="90"/>
      <c r="J1313" s="88" t="s">
        <v>770</v>
      </c>
      <c r="K1313" s="89"/>
      <c r="L1313" s="89"/>
      <c r="M1313" s="90"/>
      <c r="N1313" s="88" t="s">
        <v>26</v>
      </c>
      <c r="O1313" s="89"/>
      <c r="P1313" s="90"/>
      <c r="Q1313" s="133">
        <v>658</v>
      </c>
      <c r="R1313" s="134"/>
      <c r="S1313" s="5" t="s">
        <v>1101</v>
      </c>
      <c r="T1313" s="8">
        <v>1180</v>
      </c>
      <c r="U1313" s="8">
        <v>4</v>
      </c>
      <c r="V1313" s="5" t="s">
        <v>23</v>
      </c>
      <c r="W1313" s="12">
        <v>3026473</v>
      </c>
      <c r="X1313" s="6"/>
      <c r="Y1313" s="6"/>
    </row>
    <row r="1314" spans="1:25" ht="15" customHeight="1" x14ac:dyDescent="0.2">
      <c r="A1314" s="88" t="s">
        <v>1713</v>
      </c>
      <c r="B1314" s="90"/>
      <c r="C1314" s="88" t="s">
        <v>1814</v>
      </c>
      <c r="D1314" s="90"/>
      <c r="E1314" s="88" t="s">
        <v>1808</v>
      </c>
      <c r="F1314" s="89"/>
      <c r="G1314" s="89"/>
      <c r="H1314" s="89"/>
      <c r="I1314" s="90"/>
      <c r="J1314" s="88" t="s">
        <v>770</v>
      </c>
      <c r="K1314" s="89"/>
      <c r="L1314" s="89"/>
      <c r="M1314" s="90"/>
      <c r="N1314" s="88" t="s">
        <v>26</v>
      </c>
      <c r="O1314" s="89"/>
      <c r="P1314" s="90"/>
      <c r="Q1314" s="133">
        <v>658</v>
      </c>
      <c r="R1314" s="134"/>
      <c r="S1314" s="5" t="s">
        <v>1101</v>
      </c>
      <c r="T1314" s="8">
        <v>1180</v>
      </c>
      <c r="U1314" s="8">
        <v>4</v>
      </c>
      <c r="V1314" s="5" t="s">
        <v>23</v>
      </c>
      <c r="W1314" s="12">
        <v>3043240</v>
      </c>
      <c r="X1314" s="6"/>
      <c r="Y1314" s="6"/>
    </row>
    <row r="1315" spans="1:25" ht="15" customHeight="1" x14ac:dyDescent="0.2">
      <c r="A1315" s="88" t="s">
        <v>1713</v>
      </c>
      <c r="B1315" s="90"/>
      <c r="C1315" s="88" t="s">
        <v>1815</v>
      </c>
      <c r="D1315" s="90"/>
      <c r="E1315" s="88" t="s">
        <v>1810</v>
      </c>
      <c r="F1315" s="89"/>
      <c r="G1315" s="89"/>
      <c r="H1315" s="89"/>
      <c r="I1315" s="90"/>
      <c r="J1315" s="88" t="s">
        <v>770</v>
      </c>
      <c r="K1315" s="89"/>
      <c r="L1315" s="89"/>
      <c r="M1315" s="90"/>
      <c r="N1315" s="88" t="s">
        <v>26</v>
      </c>
      <c r="O1315" s="89"/>
      <c r="P1315" s="90"/>
      <c r="Q1315" s="133">
        <v>658</v>
      </c>
      <c r="R1315" s="134"/>
      <c r="S1315" s="5" t="s">
        <v>1101</v>
      </c>
      <c r="T1315" s="8">
        <v>1180</v>
      </c>
      <c r="U1315" s="8">
        <v>4</v>
      </c>
      <c r="V1315" s="5" t="s">
        <v>23</v>
      </c>
      <c r="W1315" s="12">
        <v>3465772</v>
      </c>
      <c r="X1315" s="6"/>
      <c r="Y1315" s="6"/>
    </row>
    <row r="1316" spans="1:25" ht="15" customHeight="1" x14ac:dyDescent="0.2">
      <c r="A1316" s="88" t="s">
        <v>1713</v>
      </c>
      <c r="B1316" s="90"/>
      <c r="C1316" s="88" t="s">
        <v>1816</v>
      </c>
      <c r="D1316" s="90"/>
      <c r="E1316" s="88" t="s">
        <v>1808</v>
      </c>
      <c r="F1316" s="89"/>
      <c r="G1316" s="89"/>
      <c r="H1316" s="89"/>
      <c r="I1316" s="90"/>
      <c r="J1316" s="88" t="s">
        <v>770</v>
      </c>
      <c r="K1316" s="89"/>
      <c r="L1316" s="89"/>
      <c r="M1316" s="90"/>
      <c r="N1316" s="88" t="s">
        <v>26</v>
      </c>
      <c r="O1316" s="89"/>
      <c r="P1316" s="90"/>
      <c r="Q1316" s="133">
        <v>658</v>
      </c>
      <c r="R1316" s="134"/>
      <c r="S1316" s="5" t="s">
        <v>1101</v>
      </c>
      <c r="T1316" s="8">
        <v>1150</v>
      </c>
      <c r="U1316" s="8">
        <v>4</v>
      </c>
      <c r="V1316" s="5" t="s">
        <v>23</v>
      </c>
      <c r="W1316" s="12">
        <v>2814536</v>
      </c>
      <c r="X1316" s="6"/>
      <c r="Y1316" s="6"/>
    </row>
    <row r="1317" spans="1:25" ht="15" customHeight="1" x14ac:dyDescent="0.2">
      <c r="A1317" s="88" t="s">
        <v>1713</v>
      </c>
      <c r="B1317" s="90"/>
      <c r="C1317" s="88" t="s">
        <v>1817</v>
      </c>
      <c r="D1317" s="90"/>
      <c r="E1317" s="88" t="s">
        <v>1812</v>
      </c>
      <c r="F1317" s="89"/>
      <c r="G1317" s="89"/>
      <c r="H1317" s="89"/>
      <c r="I1317" s="90"/>
      <c r="J1317" s="88" t="s">
        <v>770</v>
      </c>
      <c r="K1317" s="89"/>
      <c r="L1317" s="89"/>
      <c r="M1317" s="90"/>
      <c r="N1317" s="88" t="s">
        <v>26</v>
      </c>
      <c r="O1317" s="89"/>
      <c r="P1317" s="90"/>
      <c r="Q1317" s="133">
        <v>658</v>
      </c>
      <c r="R1317" s="134"/>
      <c r="S1317" s="5" t="s">
        <v>1101</v>
      </c>
      <c r="T1317" s="8">
        <v>1150</v>
      </c>
      <c r="U1317" s="8">
        <v>4</v>
      </c>
      <c r="V1317" s="5" t="s">
        <v>23</v>
      </c>
      <c r="W1317" s="12">
        <v>2478187</v>
      </c>
      <c r="X1317" s="6"/>
      <c r="Y1317" s="6"/>
    </row>
    <row r="1318" spans="1:25" ht="15" customHeight="1" x14ac:dyDescent="0.2">
      <c r="A1318" s="88" t="s">
        <v>1713</v>
      </c>
      <c r="B1318" s="90"/>
      <c r="C1318" s="88" t="s">
        <v>1817</v>
      </c>
      <c r="D1318" s="90"/>
      <c r="E1318" s="88" t="s">
        <v>1808</v>
      </c>
      <c r="F1318" s="89"/>
      <c r="G1318" s="89"/>
      <c r="H1318" s="89"/>
      <c r="I1318" s="90"/>
      <c r="J1318" s="88" t="s">
        <v>770</v>
      </c>
      <c r="K1318" s="89"/>
      <c r="L1318" s="89"/>
      <c r="M1318" s="90"/>
      <c r="N1318" s="88" t="s">
        <v>26</v>
      </c>
      <c r="O1318" s="89"/>
      <c r="P1318" s="90"/>
      <c r="Q1318" s="133">
        <v>658</v>
      </c>
      <c r="R1318" s="134"/>
      <c r="S1318" s="5" t="s">
        <v>1101</v>
      </c>
      <c r="T1318" s="8">
        <v>1150</v>
      </c>
      <c r="U1318" s="8">
        <v>4</v>
      </c>
      <c r="V1318" s="5" t="s">
        <v>23</v>
      </c>
      <c r="W1318" s="12">
        <v>2503337</v>
      </c>
      <c r="X1318" s="6"/>
      <c r="Y1318" s="6"/>
    </row>
    <row r="1319" spans="1:25" ht="15" customHeight="1" x14ac:dyDescent="0.2">
      <c r="A1319" s="88" t="s">
        <v>1713</v>
      </c>
      <c r="B1319" s="90"/>
      <c r="C1319" s="88" t="s">
        <v>1818</v>
      </c>
      <c r="D1319" s="90"/>
      <c r="E1319" s="88" t="s">
        <v>1808</v>
      </c>
      <c r="F1319" s="89"/>
      <c r="G1319" s="89"/>
      <c r="H1319" s="89"/>
      <c r="I1319" s="90"/>
      <c r="J1319" s="88" t="s">
        <v>770</v>
      </c>
      <c r="K1319" s="89"/>
      <c r="L1319" s="89"/>
      <c r="M1319" s="90"/>
      <c r="N1319" s="88" t="s">
        <v>26</v>
      </c>
      <c r="O1319" s="89"/>
      <c r="P1319" s="90"/>
      <c r="Q1319" s="133">
        <v>658</v>
      </c>
      <c r="R1319" s="134"/>
      <c r="S1319" s="5" t="s">
        <v>1101</v>
      </c>
      <c r="T1319" s="8">
        <v>1160</v>
      </c>
      <c r="U1319" s="8">
        <v>4</v>
      </c>
      <c r="V1319" s="5" t="s">
        <v>23</v>
      </c>
      <c r="W1319" s="12">
        <v>2848808</v>
      </c>
      <c r="X1319" s="6"/>
      <c r="Y1319" s="6"/>
    </row>
    <row r="1320" spans="1:25" ht="15" customHeight="1" x14ac:dyDescent="0.2">
      <c r="A1320" s="88" t="s">
        <v>1713</v>
      </c>
      <c r="B1320" s="90"/>
      <c r="C1320" s="88" t="s">
        <v>1818</v>
      </c>
      <c r="D1320" s="90"/>
      <c r="E1320" s="88" t="s">
        <v>1812</v>
      </c>
      <c r="F1320" s="89"/>
      <c r="G1320" s="89"/>
      <c r="H1320" s="89"/>
      <c r="I1320" s="90"/>
      <c r="J1320" s="88" t="s">
        <v>770</v>
      </c>
      <c r="K1320" s="89"/>
      <c r="L1320" s="89"/>
      <c r="M1320" s="90"/>
      <c r="N1320" s="88" t="s">
        <v>26</v>
      </c>
      <c r="O1320" s="89"/>
      <c r="P1320" s="90"/>
      <c r="Q1320" s="133">
        <v>658</v>
      </c>
      <c r="R1320" s="134"/>
      <c r="S1320" s="5" t="s">
        <v>1101</v>
      </c>
      <c r="T1320" s="8">
        <v>1160</v>
      </c>
      <c r="U1320" s="8">
        <v>4</v>
      </c>
      <c r="V1320" s="5" t="s">
        <v>23</v>
      </c>
      <c r="W1320" s="12">
        <v>2832041</v>
      </c>
      <c r="X1320" s="6"/>
      <c r="Y1320" s="6"/>
    </row>
    <row r="1321" spans="1:25" ht="15" customHeight="1" x14ac:dyDescent="0.2">
      <c r="A1321" s="88" t="s">
        <v>1713</v>
      </c>
      <c r="B1321" s="90"/>
      <c r="C1321" s="88" t="s">
        <v>1819</v>
      </c>
      <c r="D1321" s="90"/>
      <c r="E1321" s="88" t="s">
        <v>1812</v>
      </c>
      <c r="F1321" s="89"/>
      <c r="G1321" s="89"/>
      <c r="H1321" s="89"/>
      <c r="I1321" s="90"/>
      <c r="J1321" s="88" t="s">
        <v>770</v>
      </c>
      <c r="K1321" s="89"/>
      <c r="L1321" s="89"/>
      <c r="M1321" s="90"/>
      <c r="N1321" s="88" t="s">
        <v>26</v>
      </c>
      <c r="O1321" s="89"/>
      <c r="P1321" s="90"/>
      <c r="Q1321" s="133">
        <v>658</v>
      </c>
      <c r="R1321" s="134"/>
      <c r="S1321" s="5" t="s">
        <v>1101</v>
      </c>
      <c r="T1321" s="8">
        <v>1150</v>
      </c>
      <c r="U1321" s="8">
        <v>4</v>
      </c>
      <c r="V1321" s="5" t="s">
        <v>23</v>
      </c>
      <c r="W1321" s="12">
        <v>2478187</v>
      </c>
      <c r="X1321" s="6"/>
      <c r="Y1321" s="6"/>
    </row>
    <row r="1322" spans="1:25" ht="15" customHeight="1" x14ac:dyDescent="0.2">
      <c r="A1322" s="88" t="s">
        <v>1713</v>
      </c>
      <c r="B1322" s="90"/>
      <c r="C1322" s="88" t="s">
        <v>1820</v>
      </c>
      <c r="D1322" s="90"/>
      <c r="E1322" s="88" t="s">
        <v>1821</v>
      </c>
      <c r="F1322" s="89"/>
      <c r="G1322" s="89"/>
      <c r="H1322" s="89"/>
      <c r="I1322" s="90"/>
      <c r="J1322" s="88" t="s">
        <v>770</v>
      </c>
      <c r="K1322" s="89"/>
      <c r="L1322" s="89"/>
      <c r="M1322" s="90"/>
      <c r="N1322" s="88" t="s">
        <v>26</v>
      </c>
      <c r="O1322" s="89"/>
      <c r="P1322" s="90"/>
      <c r="Q1322" s="133">
        <v>658</v>
      </c>
      <c r="R1322" s="134"/>
      <c r="S1322" s="5" t="s">
        <v>1101</v>
      </c>
      <c r="T1322" s="8">
        <v>1140</v>
      </c>
      <c r="U1322" s="8">
        <v>5</v>
      </c>
      <c r="V1322" s="5" t="s">
        <v>23</v>
      </c>
      <c r="W1322" s="12">
        <v>2406088</v>
      </c>
      <c r="X1322" s="6"/>
      <c r="Y1322" s="6"/>
    </row>
    <row r="1323" spans="1:25" ht="15" customHeight="1" x14ac:dyDescent="0.2">
      <c r="A1323" s="88" t="s">
        <v>1713</v>
      </c>
      <c r="B1323" s="90"/>
      <c r="C1323" s="88" t="s">
        <v>1822</v>
      </c>
      <c r="D1323" s="90"/>
      <c r="E1323" s="88" t="s">
        <v>1812</v>
      </c>
      <c r="F1323" s="89"/>
      <c r="G1323" s="89"/>
      <c r="H1323" s="89"/>
      <c r="I1323" s="90"/>
      <c r="J1323" s="88" t="s">
        <v>770</v>
      </c>
      <c r="K1323" s="89"/>
      <c r="L1323" s="89"/>
      <c r="M1323" s="90"/>
      <c r="N1323" s="88" t="s">
        <v>26</v>
      </c>
      <c r="O1323" s="89"/>
      <c r="P1323" s="90"/>
      <c r="Q1323" s="133">
        <v>658</v>
      </c>
      <c r="R1323" s="134"/>
      <c r="S1323" s="5" t="s">
        <v>1101</v>
      </c>
      <c r="T1323" s="8">
        <v>1180</v>
      </c>
      <c r="U1323" s="8">
        <v>5</v>
      </c>
      <c r="V1323" s="5" t="s">
        <v>23</v>
      </c>
      <c r="W1323" s="12">
        <v>3026473</v>
      </c>
      <c r="X1323" s="6"/>
      <c r="Y1323" s="6"/>
    </row>
    <row r="1324" spans="1:25" ht="15" customHeight="1" x14ac:dyDescent="0.2">
      <c r="A1324" s="88" t="s">
        <v>1713</v>
      </c>
      <c r="B1324" s="90"/>
      <c r="C1324" s="88" t="s">
        <v>1823</v>
      </c>
      <c r="D1324" s="90"/>
      <c r="E1324" s="88" t="s">
        <v>1810</v>
      </c>
      <c r="F1324" s="89"/>
      <c r="G1324" s="89"/>
      <c r="H1324" s="89"/>
      <c r="I1324" s="90"/>
      <c r="J1324" s="88" t="s">
        <v>770</v>
      </c>
      <c r="K1324" s="89"/>
      <c r="L1324" s="89"/>
      <c r="M1324" s="90"/>
      <c r="N1324" s="88" t="s">
        <v>26</v>
      </c>
      <c r="O1324" s="89"/>
      <c r="P1324" s="90"/>
      <c r="Q1324" s="133">
        <v>658</v>
      </c>
      <c r="R1324" s="134"/>
      <c r="S1324" s="5" t="s">
        <v>1101</v>
      </c>
      <c r="T1324" s="8">
        <v>1150</v>
      </c>
      <c r="U1324" s="8">
        <v>4</v>
      </c>
      <c r="V1324" s="5" t="s">
        <v>23</v>
      </c>
      <c r="W1324" s="12">
        <v>3567046</v>
      </c>
      <c r="X1324" s="6"/>
      <c r="Y1324" s="6"/>
    </row>
    <row r="1325" spans="1:25" ht="15" customHeight="1" x14ac:dyDescent="0.2">
      <c r="A1325" s="88" t="s">
        <v>1713</v>
      </c>
      <c r="B1325" s="90"/>
      <c r="C1325" s="88" t="s">
        <v>1824</v>
      </c>
      <c r="D1325" s="90"/>
      <c r="E1325" s="88" t="s">
        <v>1808</v>
      </c>
      <c r="F1325" s="89"/>
      <c r="G1325" s="89"/>
      <c r="H1325" s="89"/>
      <c r="I1325" s="90"/>
      <c r="J1325" s="88" t="s">
        <v>770</v>
      </c>
      <c r="K1325" s="89"/>
      <c r="L1325" s="89"/>
      <c r="M1325" s="90"/>
      <c r="N1325" s="88" t="s">
        <v>26</v>
      </c>
      <c r="O1325" s="89"/>
      <c r="P1325" s="90"/>
      <c r="Q1325" s="133">
        <v>658</v>
      </c>
      <c r="R1325" s="134"/>
      <c r="S1325" s="5" t="s">
        <v>1101</v>
      </c>
      <c r="T1325" s="8">
        <v>1170</v>
      </c>
      <c r="U1325" s="8">
        <v>4</v>
      </c>
      <c r="V1325" s="5" t="s">
        <v>23</v>
      </c>
      <c r="W1325" s="12">
        <v>2930900</v>
      </c>
      <c r="X1325" s="6"/>
      <c r="Y1325" s="6"/>
    </row>
    <row r="1326" spans="1:25" ht="15" customHeight="1" x14ac:dyDescent="0.2">
      <c r="A1326" s="88" t="s">
        <v>1713</v>
      </c>
      <c r="B1326" s="90"/>
      <c r="C1326" s="88" t="s">
        <v>1825</v>
      </c>
      <c r="D1326" s="90"/>
      <c r="E1326" s="88" t="s">
        <v>1821</v>
      </c>
      <c r="F1326" s="89"/>
      <c r="G1326" s="89"/>
      <c r="H1326" s="89"/>
      <c r="I1326" s="90"/>
      <c r="J1326" s="88" t="s">
        <v>770</v>
      </c>
      <c r="K1326" s="89"/>
      <c r="L1326" s="89"/>
      <c r="M1326" s="90"/>
      <c r="N1326" s="88" t="s">
        <v>26</v>
      </c>
      <c r="O1326" s="89"/>
      <c r="P1326" s="90"/>
      <c r="Q1326" s="133">
        <v>658</v>
      </c>
      <c r="R1326" s="134"/>
      <c r="S1326" s="5" t="s">
        <v>1101</v>
      </c>
      <c r="T1326" s="8">
        <v>1140</v>
      </c>
      <c r="U1326" s="8">
        <v>4</v>
      </c>
      <c r="V1326" s="5" t="s">
        <v>23</v>
      </c>
      <c r="W1326" s="12">
        <v>2406088</v>
      </c>
      <c r="X1326" s="6"/>
      <c r="Y1326" s="6"/>
    </row>
    <row r="1327" spans="1:25" ht="15" customHeight="1" x14ac:dyDescent="0.2">
      <c r="A1327" s="88" t="s">
        <v>1713</v>
      </c>
      <c r="B1327" s="90"/>
      <c r="C1327" s="88" t="s">
        <v>1826</v>
      </c>
      <c r="D1327" s="90"/>
      <c r="E1327" s="88" t="s">
        <v>1821</v>
      </c>
      <c r="F1327" s="89"/>
      <c r="G1327" s="89"/>
      <c r="H1327" s="89"/>
      <c r="I1327" s="90"/>
      <c r="J1327" s="88" t="s">
        <v>770</v>
      </c>
      <c r="K1327" s="89"/>
      <c r="L1327" s="89"/>
      <c r="M1327" s="90"/>
      <c r="N1327" s="88" t="s">
        <v>26</v>
      </c>
      <c r="O1327" s="89"/>
      <c r="P1327" s="90"/>
      <c r="Q1327" s="133">
        <v>658</v>
      </c>
      <c r="R1327" s="134"/>
      <c r="S1327" s="5" t="s">
        <v>1101</v>
      </c>
      <c r="T1327" s="8">
        <v>1150</v>
      </c>
      <c r="U1327" s="8">
        <v>4</v>
      </c>
      <c r="V1327" s="5" t="s">
        <v>23</v>
      </c>
      <c r="W1327" s="12">
        <v>2484025</v>
      </c>
      <c r="X1327" s="6"/>
      <c r="Y1327" s="6"/>
    </row>
    <row r="1328" spans="1:25" ht="15" customHeight="1" x14ac:dyDescent="0.2">
      <c r="A1328" s="88" t="s">
        <v>1713</v>
      </c>
      <c r="B1328" s="90"/>
      <c r="C1328" s="88" t="s">
        <v>1827</v>
      </c>
      <c r="D1328" s="90"/>
      <c r="E1328" s="88" t="s">
        <v>1828</v>
      </c>
      <c r="F1328" s="89"/>
      <c r="G1328" s="89"/>
      <c r="H1328" s="89"/>
      <c r="I1328" s="90"/>
      <c r="J1328" s="88" t="s">
        <v>770</v>
      </c>
      <c r="K1328" s="89"/>
      <c r="L1328" s="89"/>
      <c r="M1328" s="90"/>
      <c r="N1328" s="88" t="s">
        <v>26</v>
      </c>
      <c r="O1328" s="89"/>
      <c r="P1328" s="90"/>
      <c r="Q1328" s="133">
        <v>658</v>
      </c>
      <c r="R1328" s="134"/>
      <c r="S1328" s="5" t="s">
        <v>27</v>
      </c>
      <c r="T1328" s="8">
        <v>1060</v>
      </c>
      <c r="U1328" s="8">
        <v>4</v>
      </c>
      <c r="V1328" s="5" t="s">
        <v>23</v>
      </c>
      <c r="W1328" s="12">
        <v>2015165</v>
      </c>
      <c r="X1328" s="6"/>
      <c r="Y1328" s="6"/>
    </row>
    <row r="1329" spans="1:25" ht="15" customHeight="1" x14ac:dyDescent="0.2">
      <c r="A1329" s="88" t="s">
        <v>1713</v>
      </c>
      <c r="B1329" s="90"/>
      <c r="C1329" s="88" t="s">
        <v>1829</v>
      </c>
      <c r="D1329" s="90"/>
      <c r="E1329" s="88" t="s">
        <v>1828</v>
      </c>
      <c r="F1329" s="89"/>
      <c r="G1329" s="89"/>
      <c r="H1329" s="89"/>
      <c r="I1329" s="90"/>
      <c r="J1329" s="88" t="s">
        <v>770</v>
      </c>
      <c r="K1329" s="89"/>
      <c r="L1329" s="89"/>
      <c r="M1329" s="90"/>
      <c r="N1329" s="88" t="s">
        <v>26</v>
      </c>
      <c r="O1329" s="89"/>
      <c r="P1329" s="90"/>
      <c r="Q1329" s="133">
        <v>658</v>
      </c>
      <c r="R1329" s="134"/>
      <c r="S1329" s="5" t="s">
        <v>27</v>
      </c>
      <c r="T1329" s="8">
        <v>1090</v>
      </c>
      <c r="U1329" s="8">
        <v>4</v>
      </c>
      <c r="V1329" s="5" t="s">
        <v>23</v>
      </c>
      <c r="W1329" s="12">
        <v>2946674</v>
      </c>
      <c r="X1329" s="6"/>
      <c r="Y1329" s="6"/>
    </row>
    <row r="1330" spans="1:25" ht="15" customHeight="1" x14ac:dyDescent="0.2">
      <c r="A1330" s="88" t="s">
        <v>1713</v>
      </c>
      <c r="B1330" s="90"/>
      <c r="C1330" s="88" t="s">
        <v>1830</v>
      </c>
      <c r="D1330" s="90"/>
      <c r="E1330" s="88" t="s">
        <v>1831</v>
      </c>
      <c r="F1330" s="89"/>
      <c r="G1330" s="89"/>
      <c r="H1330" s="89"/>
      <c r="I1330" s="90"/>
      <c r="J1330" s="88" t="s">
        <v>770</v>
      </c>
      <c r="K1330" s="89"/>
      <c r="L1330" s="89"/>
      <c r="M1330" s="90"/>
      <c r="N1330" s="88" t="s">
        <v>26</v>
      </c>
      <c r="O1330" s="89"/>
      <c r="P1330" s="90"/>
      <c r="Q1330" s="133">
        <v>658</v>
      </c>
      <c r="R1330" s="134"/>
      <c r="S1330" s="5" t="s">
        <v>27</v>
      </c>
      <c r="T1330" s="8">
        <v>1060</v>
      </c>
      <c r="U1330" s="8">
        <v>4</v>
      </c>
      <c r="V1330" s="5" t="s">
        <v>23</v>
      </c>
      <c r="W1330" s="12">
        <v>2786870</v>
      </c>
      <c r="X1330" s="6"/>
      <c r="Y1330" s="6"/>
    </row>
    <row r="1331" spans="1:25" ht="15" customHeight="1" x14ac:dyDescent="0.2">
      <c r="A1331" s="88" t="s">
        <v>1713</v>
      </c>
      <c r="B1331" s="90"/>
      <c r="C1331" s="88" t="s">
        <v>1832</v>
      </c>
      <c r="D1331" s="90"/>
      <c r="E1331" s="88" t="s">
        <v>1828</v>
      </c>
      <c r="F1331" s="89"/>
      <c r="G1331" s="89"/>
      <c r="H1331" s="89"/>
      <c r="I1331" s="90"/>
      <c r="J1331" s="88" t="s">
        <v>770</v>
      </c>
      <c r="K1331" s="89"/>
      <c r="L1331" s="89"/>
      <c r="M1331" s="90"/>
      <c r="N1331" s="88" t="s">
        <v>26</v>
      </c>
      <c r="O1331" s="89"/>
      <c r="P1331" s="90"/>
      <c r="Q1331" s="133">
        <v>658</v>
      </c>
      <c r="R1331" s="134"/>
      <c r="S1331" s="5" t="s">
        <v>27</v>
      </c>
      <c r="T1331" s="8">
        <v>1090</v>
      </c>
      <c r="U1331" s="8">
        <v>4</v>
      </c>
      <c r="V1331" s="5" t="s">
        <v>23</v>
      </c>
      <c r="W1331" s="12">
        <v>2480920</v>
      </c>
      <c r="X1331" s="6"/>
      <c r="Y1331" s="6"/>
    </row>
    <row r="1332" spans="1:25" ht="15" customHeight="1" x14ac:dyDescent="0.2">
      <c r="A1332" s="88" t="s">
        <v>1713</v>
      </c>
      <c r="B1332" s="90"/>
      <c r="C1332" s="88" t="s">
        <v>1833</v>
      </c>
      <c r="D1332" s="90"/>
      <c r="E1332" s="88" t="s">
        <v>1828</v>
      </c>
      <c r="F1332" s="89"/>
      <c r="G1332" s="89"/>
      <c r="H1332" s="89"/>
      <c r="I1332" s="90"/>
      <c r="J1332" s="88" t="s">
        <v>770</v>
      </c>
      <c r="K1332" s="89"/>
      <c r="L1332" s="89"/>
      <c r="M1332" s="90"/>
      <c r="N1332" s="88" t="s">
        <v>26</v>
      </c>
      <c r="O1332" s="89"/>
      <c r="P1332" s="90"/>
      <c r="Q1332" s="133">
        <v>658</v>
      </c>
      <c r="R1332" s="134"/>
      <c r="S1332" s="5" t="s">
        <v>27</v>
      </c>
      <c r="T1332" s="8">
        <v>1080</v>
      </c>
      <c r="U1332" s="8">
        <v>4</v>
      </c>
      <c r="V1332" s="5" t="s">
        <v>23</v>
      </c>
      <c r="W1332" s="12">
        <v>2548609</v>
      </c>
      <c r="X1332" s="6"/>
      <c r="Y1332" s="6"/>
    </row>
    <row r="1333" spans="1:25" ht="15" customHeight="1" x14ac:dyDescent="0.2">
      <c r="A1333" s="88" t="s">
        <v>1713</v>
      </c>
      <c r="B1333" s="90"/>
      <c r="C1333" s="88" t="s">
        <v>1834</v>
      </c>
      <c r="D1333" s="90"/>
      <c r="E1333" s="88" t="s">
        <v>1828</v>
      </c>
      <c r="F1333" s="89"/>
      <c r="G1333" s="89"/>
      <c r="H1333" s="89"/>
      <c r="I1333" s="90"/>
      <c r="J1333" s="88" t="s">
        <v>770</v>
      </c>
      <c r="K1333" s="89"/>
      <c r="L1333" s="89"/>
      <c r="M1333" s="90"/>
      <c r="N1333" s="88" t="s">
        <v>26</v>
      </c>
      <c r="O1333" s="89"/>
      <c r="P1333" s="90"/>
      <c r="Q1333" s="133">
        <v>658</v>
      </c>
      <c r="R1333" s="134"/>
      <c r="S1333" s="5" t="s">
        <v>27</v>
      </c>
      <c r="T1333" s="8">
        <v>1080</v>
      </c>
      <c r="U1333" s="8">
        <v>4</v>
      </c>
      <c r="V1333" s="5" t="s">
        <v>23</v>
      </c>
      <c r="W1333" s="12">
        <v>2702867</v>
      </c>
      <c r="X1333" s="6"/>
      <c r="Y1333" s="6"/>
    </row>
    <row r="1334" spans="1:25" ht="15" customHeight="1" x14ac:dyDescent="0.2">
      <c r="A1334" s="88" t="s">
        <v>1713</v>
      </c>
      <c r="B1334" s="90"/>
      <c r="C1334" s="88" t="s">
        <v>1835</v>
      </c>
      <c r="D1334" s="90"/>
      <c r="E1334" s="88" t="s">
        <v>1828</v>
      </c>
      <c r="F1334" s="89"/>
      <c r="G1334" s="89"/>
      <c r="H1334" s="89"/>
      <c r="I1334" s="90"/>
      <c r="J1334" s="88" t="s">
        <v>770</v>
      </c>
      <c r="K1334" s="89"/>
      <c r="L1334" s="89"/>
      <c r="M1334" s="90"/>
      <c r="N1334" s="88" t="s">
        <v>26</v>
      </c>
      <c r="O1334" s="89"/>
      <c r="P1334" s="90"/>
      <c r="Q1334" s="133">
        <v>658</v>
      </c>
      <c r="R1334" s="134"/>
      <c r="S1334" s="5" t="s">
        <v>27</v>
      </c>
      <c r="T1334" s="8">
        <v>1060</v>
      </c>
      <c r="U1334" s="8">
        <v>4</v>
      </c>
      <c r="V1334" s="5" t="s">
        <v>23</v>
      </c>
      <c r="W1334" s="12">
        <v>2204882</v>
      </c>
      <c r="X1334" s="6"/>
      <c r="Y1334" s="6"/>
    </row>
    <row r="1335" spans="1:25" ht="15" customHeight="1" x14ac:dyDescent="0.2">
      <c r="A1335" s="88" t="s">
        <v>1713</v>
      </c>
      <c r="B1335" s="90"/>
      <c r="C1335" s="88" t="s">
        <v>1836</v>
      </c>
      <c r="D1335" s="90"/>
      <c r="E1335" s="88" t="s">
        <v>1828</v>
      </c>
      <c r="F1335" s="89"/>
      <c r="G1335" s="89"/>
      <c r="H1335" s="89"/>
      <c r="I1335" s="90"/>
      <c r="J1335" s="88" t="s">
        <v>770</v>
      </c>
      <c r="K1335" s="89"/>
      <c r="L1335" s="89"/>
      <c r="M1335" s="90"/>
      <c r="N1335" s="88" t="s">
        <v>26</v>
      </c>
      <c r="O1335" s="89"/>
      <c r="P1335" s="90"/>
      <c r="Q1335" s="133">
        <v>658</v>
      </c>
      <c r="R1335" s="134"/>
      <c r="S1335" s="5" t="s">
        <v>27</v>
      </c>
      <c r="T1335" s="8">
        <v>1050</v>
      </c>
      <c r="U1335" s="8">
        <v>4</v>
      </c>
      <c r="V1335" s="5" t="s">
        <v>23</v>
      </c>
      <c r="W1335" s="12">
        <v>2065714</v>
      </c>
      <c r="X1335" s="6"/>
      <c r="Y1335" s="6"/>
    </row>
    <row r="1336" spans="1:25" ht="15" customHeight="1" x14ac:dyDescent="0.2">
      <c r="A1336" s="88" t="s">
        <v>1713</v>
      </c>
      <c r="B1336" s="90"/>
      <c r="C1336" s="88" t="s">
        <v>1837</v>
      </c>
      <c r="D1336" s="90"/>
      <c r="E1336" s="88" t="s">
        <v>1828</v>
      </c>
      <c r="F1336" s="89"/>
      <c r="G1336" s="89"/>
      <c r="H1336" s="89"/>
      <c r="I1336" s="90"/>
      <c r="J1336" s="88" t="s">
        <v>770</v>
      </c>
      <c r="K1336" s="89"/>
      <c r="L1336" s="89"/>
      <c r="M1336" s="90"/>
      <c r="N1336" s="88" t="s">
        <v>26</v>
      </c>
      <c r="O1336" s="89"/>
      <c r="P1336" s="90"/>
      <c r="Q1336" s="133">
        <v>658</v>
      </c>
      <c r="R1336" s="134"/>
      <c r="S1336" s="5" t="s">
        <v>27</v>
      </c>
      <c r="T1336" s="8">
        <v>1050</v>
      </c>
      <c r="U1336" s="8">
        <v>4</v>
      </c>
      <c r="V1336" s="5" t="s">
        <v>23</v>
      </c>
      <c r="W1336" s="12">
        <v>2065714</v>
      </c>
      <c r="X1336" s="6"/>
      <c r="Y1336" s="6"/>
    </row>
    <row r="1337" spans="1:25" ht="15" customHeight="1" x14ac:dyDescent="0.2">
      <c r="A1337" s="88" t="s">
        <v>1713</v>
      </c>
      <c r="B1337" s="90"/>
      <c r="C1337" s="88" t="s">
        <v>1838</v>
      </c>
      <c r="D1337" s="90"/>
      <c r="E1337" s="88" t="s">
        <v>1839</v>
      </c>
      <c r="F1337" s="89"/>
      <c r="G1337" s="89"/>
      <c r="H1337" s="89"/>
      <c r="I1337" s="90"/>
      <c r="J1337" s="88" t="s">
        <v>1718</v>
      </c>
      <c r="K1337" s="89"/>
      <c r="L1337" s="89"/>
      <c r="M1337" s="90"/>
      <c r="N1337" s="88" t="s">
        <v>701</v>
      </c>
      <c r="O1337" s="89"/>
      <c r="P1337" s="90"/>
      <c r="Q1337" s="133">
        <v>3492</v>
      </c>
      <c r="R1337" s="134"/>
      <c r="S1337" s="5" t="s">
        <v>271</v>
      </c>
      <c r="T1337" s="8">
        <v>1910</v>
      </c>
      <c r="U1337" s="8">
        <v>2</v>
      </c>
      <c r="V1337" s="5" t="s">
        <v>23</v>
      </c>
      <c r="W1337" s="12">
        <v>36887756</v>
      </c>
      <c r="X1337" s="6"/>
      <c r="Y1337" s="6"/>
    </row>
    <row r="1338" spans="1:25" ht="15" customHeight="1" x14ac:dyDescent="0.2">
      <c r="A1338" s="88" t="s">
        <v>1713</v>
      </c>
      <c r="B1338" s="90"/>
      <c r="C1338" s="88" t="s">
        <v>1838</v>
      </c>
      <c r="D1338" s="90"/>
      <c r="E1338" s="88" t="s">
        <v>1840</v>
      </c>
      <c r="F1338" s="89"/>
      <c r="G1338" s="89"/>
      <c r="H1338" s="89"/>
      <c r="I1338" s="90"/>
      <c r="J1338" s="88" t="s">
        <v>1841</v>
      </c>
      <c r="K1338" s="89"/>
      <c r="L1338" s="89"/>
      <c r="M1338" s="90"/>
      <c r="N1338" s="88" t="s">
        <v>701</v>
      </c>
      <c r="O1338" s="89"/>
      <c r="P1338" s="90"/>
      <c r="Q1338" s="133">
        <v>3492</v>
      </c>
      <c r="R1338" s="134"/>
      <c r="S1338" s="5" t="s">
        <v>271</v>
      </c>
      <c r="T1338" s="8">
        <v>1910</v>
      </c>
      <c r="U1338" s="8">
        <v>2</v>
      </c>
      <c r="V1338" s="5" t="s">
        <v>23</v>
      </c>
      <c r="W1338" s="12">
        <v>39696257</v>
      </c>
      <c r="X1338" s="6"/>
      <c r="Y1338" s="6"/>
    </row>
    <row r="1339" spans="1:25" ht="15" customHeight="1" x14ac:dyDescent="0.2">
      <c r="A1339" s="88" t="s">
        <v>1713</v>
      </c>
      <c r="B1339" s="90"/>
      <c r="C1339" s="88" t="s">
        <v>1842</v>
      </c>
      <c r="D1339" s="90"/>
      <c r="E1339" s="88" t="s">
        <v>1843</v>
      </c>
      <c r="F1339" s="89"/>
      <c r="G1339" s="89"/>
      <c r="H1339" s="89"/>
      <c r="I1339" s="90"/>
      <c r="J1339" s="88" t="s">
        <v>770</v>
      </c>
      <c r="K1339" s="89"/>
      <c r="L1339" s="89"/>
      <c r="M1339" s="90"/>
      <c r="N1339" s="88" t="s">
        <v>26</v>
      </c>
      <c r="O1339" s="89"/>
      <c r="P1339" s="90"/>
      <c r="Q1339" s="133">
        <v>658</v>
      </c>
      <c r="R1339" s="134"/>
      <c r="S1339" s="5" t="s">
        <v>814</v>
      </c>
      <c r="T1339" s="8">
        <v>1410</v>
      </c>
      <c r="U1339" s="8">
        <v>4</v>
      </c>
      <c r="V1339" s="5" t="s">
        <v>23</v>
      </c>
      <c r="W1339" s="12">
        <v>2357128</v>
      </c>
      <c r="X1339" s="6"/>
      <c r="Y1339" s="6"/>
    </row>
    <row r="1340" spans="1:25" ht="15" customHeight="1" x14ac:dyDescent="0.2">
      <c r="A1340" s="88" t="s">
        <v>1713</v>
      </c>
      <c r="B1340" s="90"/>
      <c r="C1340" s="88" t="s">
        <v>1844</v>
      </c>
      <c r="D1340" s="90"/>
      <c r="E1340" s="88" t="s">
        <v>1845</v>
      </c>
      <c r="F1340" s="89"/>
      <c r="G1340" s="89"/>
      <c r="H1340" s="89"/>
      <c r="I1340" s="90"/>
      <c r="J1340" s="88" t="s">
        <v>770</v>
      </c>
      <c r="K1340" s="89"/>
      <c r="L1340" s="89"/>
      <c r="M1340" s="90"/>
      <c r="N1340" s="88" t="s">
        <v>26</v>
      </c>
      <c r="O1340" s="89"/>
      <c r="P1340" s="90"/>
      <c r="Q1340" s="133">
        <v>0</v>
      </c>
      <c r="R1340" s="134"/>
      <c r="S1340" s="5" t="s">
        <v>814</v>
      </c>
      <c r="T1340" s="8">
        <v>1540</v>
      </c>
      <c r="U1340" s="8">
        <v>4</v>
      </c>
      <c r="V1340" s="5" t="s">
        <v>17</v>
      </c>
      <c r="W1340" s="12">
        <v>4526128</v>
      </c>
      <c r="X1340" s="6"/>
      <c r="Y1340" s="6"/>
    </row>
    <row r="1341" spans="1:25" ht="15" customHeight="1" x14ac:dyDescent="0.2">
      <c r="A1341" s="88" t="s">
        <v>1713</v>
      </c>
      <c r="B1341" s="90"/>
      <c r="C1341" s="88" t="s">
        <v>1846</v>
      </c>
      <c r="D1341" s="90"/>
      <c r="E1341" s="88" t="s">
        <v>1843</v>
      </c>
      <c r="F1341" s="89"/>
      <c r="G1341" s="89"/>
      <c r="H1341" s="89"/>
      <c r="I1341" s="90"/>
      <c r="J1341" s="88" t="s">
        <v>770</v>
      </c>
      <c r="K1341" s="89"/>
      <c r="L1341" s="89"/>
      <c r="M1341" s="90"/>
      <c r="N1341" s="88" t="s">
        <v>26</v>
      </c>
      <c r="O1341" s="89"/>
      <c r="P1341" s="90"/>
      <c r="Q1341" s="133">
        <v>658</v>
      </c>
      <c r="R1341" s="134"/>
      <c r="S1341" s="5" t="s">
        <v>814</v>
      </c>
      <c r="T1341" s="8">
        <v>1410</v>
      </c>
      <c r="U1341" s="8">
        <v>4</v>
      </c>
      <c r="V1341" s="5" t="s">
        <v>23</v>
      </c>
      <c r="W1341" s="12">
        <v>2532344</v>
      </c>
      <c r="X1341" s="6"/>
      <c r="Y1341" s="6"/>
    </row>
    <row r="1342" spans="1:25" ht="15" customHeight="1" x14ac:dyDescent="0.2">
      <c r="A1342" s="88" t="s">
        <v>1713</v>
      </c>
      <c r="B1342" s="90"/>
      <c r="C1342" s="88" t="s">
        <v>1846</v>
      </c>
      <c r="D1342" s="90"/>
      <c r="E1342" s="88" t="s">
        <v>1847</v>
      </c>
      <c r="F1342" s="89"/>
      <c r="G1342" s="89"/>
      <c r="H1342" s="89"/>
      <c r="I1342" s="90"/>
      <c r="J1342" s="88" t="s">
        <v>770</v>
      </c>
      <c r="K1342" s="89"/>
      <c r="L1342" s="89"/>
      <c r="M1342" s="90"/>
      <c r="N1342" s="88" t="s">
        <v>26</v>
      </c>
      <c r="O1342" s="89"/>
      <c r="P1342" s="90"/>
      <c r="Q1342" s="133">
        <v>658</v>
      </c>
      <c r="R1342" s="134"/>
      <c r="S1342" s="5" t="s">
        <v>814</v>
      </c>
      <c r="T1342" s="8">
        <v>1410</v>
      </c>
      <c r="U1342" s="8">
        <v>4</v>
      </c>
      <c r="V1342" s="5" t="s">
        <v>23</v>
      </c>
      <c r="W1342" s="12">
        <v>2082482</v>
      </c>
      <c r="X1342" s="6"/>
      <c r="Y1342" s="6"/>
    </row>
    <row r="1343" spans="1:25" ht="15" customHeight="1" x14ac:dyDescent="0.2">
      <c r="A1343" s="88" t="s">
        <v>1713</v>
      </c>
      <c r="B1343" s="90"/>
      <c r="C1343" s="88" t="s">
        <v>1846</v>
      </c>
      <c r="D1343" s="90"/>
      <c r="E1343" s="88" t="s">
        <v>1843</v>
      </c>
      <c r="F1343" s="89"/>
      <c r="G1343" s="89"/>
      <c r="H1343" s="89"/>
      <c r="I1343" s="90"/>
      <c r="J1343" s="88" t="s">
        <v>770</v>
      </c>
      <c r="K1343" s="89"/>
      <c r="L1343" s="89"/>
      <c r="M1343" s="90"/>
      <c r="N1343" s="88" t="s">
        <v>26</v>
      </c>
      <c r="O1343" s="89"/>
      <c r="P1343" s="90"/>
      <c r="Q1343" s="133">
        <v>658</v>
      </c>
      <c r="R1343" s="134"/>
      <c r="S1343" s="5" t="s">
        <v>814</v>
      </c>
      <c r="T1343" s="8">
        <v>1410</v>
      </c>
      <c r="U1343" s="8">
        <v>4</v>
      </c>
      <c r="V1343" s="5" t="s">
        <v>23</v>
      </c>
      <c r="W1343" s="12">
        <v>2357128</v>
      </c>
      <c r="X1343" s="6"/>
      <c r="Y1343" s="6"/>
    </row>
    <row r="1344" spans="1:25" ht="15" customHeight="1" x14ac:dyDescent="0.2">
      <c r="A1344" s="88" t="s">
        <v>1713</v>
      </c>
      <c r="B1344" s="90"/>
      <c r="C1344" s="88" t="s">
        <v>1846</v>
      </c>
      <c r="D1344" s="90"/>
      <c r="E1344" s="88" t="s">
        <v>1848</v>
      </c>
      <c r="F1344" s="89"/>
      <c r="G1344" s="89"/>
      <c r="H1344" s="89"/>
      <c r="I1344" s="90"/>
      <c r="J1344" s="88" t="s">
        <v>770</v>
      </c>
      <c r="K1344" s="89"/>
      <c r="L1344" s="89"/>
      <c r="M1344" s="90"/>
      <c r="N1344" s="88" t="s">
        <v>26</v>
      </c>
      <c r="O1344" s="89"/>
      <c r="P1344" s="90"/>
      <c r="Q1344" s="133">
        <v>658</v>
      </c>
      <c r="R1344" s="134"/>
      <c r="S1344" s="5" t="s">
        <v>814</v>
      </c>
      <c r="T1344" s="8">
        <v>1410</v>
      </c>
      <c r="U1344" s="8">
        <v>4</v>
      </c>
      <c r="V1344" s="5" t="s">
        <v>23</v>
      </c>
      <c r="W1344" s="12">
        <v>2082482</v>
      </c>
      <c r="X1344" s="6"/>
      <c r="Y1344" s="6"/>
    </row>
    <row r="1345" spans="1:25" ht="15" customHeight="1" x14ac:dyDescent="0.2">
      <c r="A1345" s="88" t="s">
        <v>1713</v>
      </c>
      <c r="B1345" s="90"/>
      <c r="C1345" s="88" t="s">
        <v>1849</v>
      </c>
      <c r="D1345" s="90"/>
      <c r="E1345" s="88" t="s">
        <v>1850</v>
      </c>
      <c r="F1345" s="89"/>
      <c r="G1345" s="89"/>
      <c r="H1345" s="89"/>
      <c r="I1345" s="90"/>
      <c r="J1345" s="88" t="s">
        <v>770</v>
      </c>
      <c r="K1345" s="89"/>
      <c r="L1345" s="89"/>
      <c r="M1345" s="90"/>
      <c r="N1345" s="88" t="s">
        <v>26</v>
      </c>
      <c r="O1345" s="89"/>
      <c r="P1345" s="90"/>
      <c r="Q1345" s="133">
        <v>658</v>
      </c>
      <c r="R1345" s="134"/>
      <c r="S1345" s="5" t="s">
        <v>70</v>
      </c>
      <c r="T1345" s="8">
        <v>1050</v>
      </c>
      <c r="U1345" s="8">
        <v>5</v>
      </c>
      <c r="V1345" s="5" t="s">
        <v>23</v>
      </c>
      <c r="W1345" s="12">
        <v>1692243</v>
      </c>
      <c r="X1345" s="6"/>
      <c r="Y1345" s="6"/>
    </row>
    <row r="1346" spans="1:25" ht="15" customHeight="1" x14ac:dyDescent="0.2">
      <c r="A1346" s="88" t="s">
        <v>1713</v>
      </c>
      <c r="B1346" s="90"/>
      <c r="C1346" s="88" t="s">
        <v>1851</v>
      </c>
      <c r="D1346" s="90"/>
      <c r="E1346" s="88" t="s">
        <v>1852</v>
      </c>
      <c r="F1346" s="89"/>
      <c r="G1346" s="89"/>
      <c r="H1346" s="89"/>
      <c r="I1346" s="90"/>
      <c r="J1346" s="88" t="s">
        <v>770</v>
      </c>
      <c r="K1346" s="89"/>
      <c r="L1346" s="89"/>
      <c r="M1346" s="90"/>
      <c r="N1346" s="88" t="s">
        <v>26</v>
      </c>
      <c r="O1346" s="89"/>
      <c r="P1346" s="90"/>
      <c r="Q1346" s="133">
        <v>658</v>
      </c>
      <c r="R1346" s="134"/>
      <c r="S1346" s="5" t="s">
        <v>70</v>
      </c>
      <c r="T1346" s="8">
        <v>1090</v>
      </c>
      <c r="U1346" s="8">
        <v>4</v>
      </c>
      <c r="V1346" s="5" t="s">
        <v>23</v>
      </c>
      <c r="W1346" s="12">
        <v>2582143</v>
      </c>
      <c r="X1346" s="6"/>
      <c r="Y1346" s="6"/>
    </row>
    <row r="1347" spans="1:25" ht="15" customHeight="1" x14ac:dyDescent="0.2">
      <c r="A1347" s="88" t="s">
        <v>1713</v>
      </c>
      <c r="B1347" s="90"/>
      <c r="C1347" s="88" t="s">
        <v>1853</v>
      </c>
      <c r="D1347" s="90"/>
      <c r="E1347" s="88" t="s">
        <v>1850</v>
      </c>
      <c r="F1347" s="89"/>
      <c r="G1347" s="89"/>
      <c r="H1347" s="89"/>
      <c r="I1347" s="90"/>
      <c r="J1347" s="88" t="s">
        <v>770</v>
      </c>
      <c r="K1347" s="89"/>
      <c r="L1347" s="89"/>
      <c r="M1347" s="90"/>
      <c r="N1347" s="88" t="s">
        <v>26</v>
      </c>
      <c r="O1347" s="89"/>
      <c r="P1347" s="90"/>
      <c r="Q1347" s="133">
        <v>658</v>
      </c>
      <c r="R1347" s="134"/>
      <c r="S1347" s="5" t="s">
        <v>70</v>
      </c>
      <c r="T1347" s="8">
        <v>1060</v>
      </c>
      <c r="U1347" s="8">
        <v>4</v>
      </c>
      <c r="V1347" s="5" t="s">
        <v>23</v>
      </c>
      <c r="W1347" s="12">
        <v>2251147</v>
      </c>
      <c r="X1347" s="6"/>
      <c r="Y1347" s="6"/>
    </row>
    <row r="1348" spans="1:25" ht="15" customHeight="1" x14ac:dyDescent="0.2">
      <c r="A1348" s="88" t="s">
        <v>1713</v>
      </c>
      <c r="B1348" s="90"/>
      <c r="C1348" s="88" t="s">
        <v>1854</v>
      </c>
      <c r="D1348" s="90"/>
      <c r="E1348" s="88" t="s">
        <v>1852</v>
      </c>
      <c r="F1348" s="89"/>
      <c r="G1348" s="89"/>
      <c r="H1348" s="89"/>
      <c r="I1348" s="90"/>
      <c r="J1348" s="88" t="s">
        <v>770</v>
      </c>
      <c r="K1348" s="89"/>
      <c r="L1348" s="89"/>
      <c r="M1348" s="90"/>
      <c r="N1348" s="88" t="s">
        <v>26</v>
      </c>
      <c r="O1348" s="89"/>
      <c r="P1348" s="90"/>
      <c r="Q1348" s="133">
        <v>658</v>
      </c>
      <c r="R1348" s="134"/>
      <c r="S1348" s="5" t="s">
        <v>70</v>
      </c>
      <c r="T1348" s="8">
        <v>1090</v>
      </c>
      <c r="U1348" s="8">
        <v>4</v>
      </c>
      <c r="V1348" s="5" t="s">
        <v>23</v>
      </c>
      <c r="W1348" s="12">
        <v>2582143</v>
      </c>
      <c r="X1348" s="6"/>
      <c r="Y1348" s="6"/>
    </row>
    <row r="1349" spans="1:25" ht="15" customHeight="1" x14ac:dyDescent="0.2">
      <c r="A1349" s="88" t="s">
        <v>1713</v>
      </c>
      <c r="B1349" s="90"/>
      <c r="C1349" s="88" t="s">
        <v>1855</v>
      </c>
      <c r="D1349" s="90"/>
      <c r="E1349" s="88" t="s">
        <v>1852</v>
      </c>
      <c r="F1349" s="89"/>
      <c r="G1349" s="89"/>
      <c r="H1349" s="89"/>
      <c r="I1349" s="90"/>
      <c r="J1349" s="88" t="s">
        <v>770</v>
      </c>
      <c r="K1349" s="89"/>
      <c r="L1349" s="89"/>
      <c r="M1349" s="90"/>
      <c r="N1349" s="88" t="s">
        <v>26</v>
      </c>
      <c r="O1349" s="89"/>
      <c r="P1349" s="90"/>
      <c r="Q1349" s="133">
        <v>658</v>
      </c>
      <c r="R1349" s="134"/>
      <c r="S1349" s="5" t="s">
        <v>70</v>
      </c>
      <c r="T1349" s="8">
        <v>1070</v>
      </c>
      <c r="U1349" s="8">
        <v>4</v>
      </c>
      <c r="V1349" s="5" t="s">
        <v>23</v>
      </c>
      <c r="W1349" s="12">
        <v>2427214</v>
      </c>
      <c r="X1349" s="6"/>
      <c r="Y1349" s="6"/>
    </row>
    <row r="1350" spans="1:25" ht="15" customHeight="1" x14ac:dyDescent="0.2">
      <c r="A1350" s="88" t="s">
        <v>1713</v>
      </c>
      <c r="B1350" s="90"/>
      <c r="C1350" s="88" t="s">
        <v>1856</v>
      </c>
      <c r="D1350" s="90"/>
      <c r="E1350" s="88" t="s">
        <v>1852</v>
      </c>
      <c r="F1350" s="89"/>
      <c r="G1350" s="89"/>
      <c r="H1350" s="89"/>
      <c r="I1350" s="90"/>
      <c r="J1350" s="88" t="s">
        <v>770</v>
      </c>
      <c r="K1350" s="89"/>
      <c r="L1350" s="89"/>
      <c r="M1350" s="90"/>
      <c r="N1350" s="88" t="s">
        <v>26</v>
      </c>
      <c r="O1350" s="89"/>
      <c r="P1350" s="90"/>
      <c r="Q1350" s="133">
        <v>658</v>
      </c>
      <c r="R1350" s="134"/>
      <c r="S1350" s="5" t="s">
        <v>70</v>
      </c>
      <c r="T1350" s="8">
        <v>1090</v>
      </c>
      <c r="U1350" s="8">
        <v>4</v>
      </c>
      <c r="V1350" s="5" t="s">
        <v>23</v>
      </c>
      <c r="W1350" s="12">
        <v>2213265</v>
      </c>
      <c r="X1350" s="6"/>
      <c r="Y1350" s="6"/>
    </row>
    <row r="1351" spans="1:25" ht="15" customHeight="1" x14ac:dyDescent="0.2">
      <c r="A1351" s="88" t="s">
        <v>1713</v>
      </c>
      <c r="B1351" s="90"/>
      <c r="C1351" s="88" t="s">
        <v>1857</v>
      </c>
      <c r="D1351" s="90"/>
      <c r="E1351" s="88" t="s">
        <v>1852</v>
      </c>
      <c r="F1351" s="89"/>
      <c r="G1351" s="89"/>
      <c r="H1351" s="89"/>
      <c r="I1351" s="90"/>
      <c r="J1351" s="88" t="s">
        <v>770</v>
      </c>
      <c r="K1351" s="89"/>
      <c r="L1351" s="89"/>
      <c r="M1351" s="90"/>
      <c r="N1351" s="88" t="s">
        <v>26</v>
      </c>
      <c r="O1351" s="89"/>
      <c r="P1351" s="90"/>
      <c r="Q1351" s="133">
        <v>658</v>
      </c>
      <c r="R1351" s="134"/>
      <c r="S1351" s="5" t="s">
        <v>70</v>
      </c>
      <c r="T1351" s="8">
        <v>1070</v>
      </c>
      <c r="U1351" s="8">
        <v>4</v>
      </c>
      <c r="V1351" s="5" t="s">
        <v>23</v>
      </c>
      <c r="W1351" s="12">
        <v>2434592</v>
      </c>
      <c r="X1351" s="6"/>
      <c r="Y1351" s="6"/>
    </row>
    <row r="1352" spans="1:25" ht="15" customHeight="1" x14ac:dyDescent="0.2">
      <c r="A1352" s="88" t="s">
        <v>1713</v>
      </c>
      <c r="B1352" s="90"/>
      <c r="C1352" s="88" t="s">
        <v>1858</v>
      </c>
      <c r="D1352" s="90"/>
      <c r="E1352" s="88" t="s">
        <v>1850</v>
      </c>
      <c r="F1352" s="89"/>
      <c r="G1352" s="89"/>
      <c r="H1352" s="89"/>
      <c r="I1352" s="90"/>
      <c r="J1352" s="88" t="s">
        <v>770</v>
      </c>
      <c r="K1352" s="89"/>
      <c r="L1352" s="89"/>
      <c r="M1352" s="90"/>
      <c r="N1352" s="88" t="s">
        <v>26</v>
      </c>
      <c r="O1352" s="89"/>
      <c r="P1352" s="90"/>
      <c r="Q1352" s="133">
        <v>658</v>
      </c>
      <c r="R1352" s="134"/>
      <c r="S1352" s="5" t="s">
        <v>70</v>
      </c>
      <c r="T1352" s="8">
        <v>1050</v>
      </c>
      <c r="U1352" s="8">
        <v>4</v>
      </c>
      <c r="V1352" s="5" t="s">
        <v>23</v>
      </c>
      <c r="W1352" s="12">
        <v>1897174</v>
      </c>
      <c r="X1352" s="6"/>
      <c r="Y1352" s="6"/>
    </row>
    <row r="1353" spans="1:25" ht="15" customHeight="1" x14ac:dyDescent="0.2">
      <c r="A1353" s="88" t="s">
        <v>1713</v>
      </c>
      <c r="B1353" s="90"/>
      <c r="C1353" s="88" t="s">
        <v>1859</v>
      </c>
      <c r="D1353" s="90"/>
      <c r="E1353" s="88" t="s">
        <v>1850</v>
      </c>
      <c r="F1353" s="89"/>
      <c r="G1353" s="89"/>
      <c r="H1353" s="89"/>
      <c r="I1353" s="90"/>
      <c r="J1353" s="88" t="s">
        <v>770</v>
      </c>
      <c r="K1353" s="89"/>
      <c r="L1353" s="89"/>
      <c r="M1353" s="90"/>
      <c r="N1353" s="88" t="s">
        <v>26</v>
      </c>
      <c r="O1353" s="89"/>
      <c r="P1353" s="90"/>
      <c r="Q1353" s="133">
        <v>658</v>
      </c>
      <c r="R1353" s="134"/>
      <c r="S1353" s="5" t="s">
        <v>70</v>
      </c>
      <c r="T1353" s="8">
        <v>1060</v>
      </c>
      <c r="U1353" s="8">
        <v>4</v>
      </c>
      <c r="V1353" s="5" t="s">
        <v>23</v>
      </c>
      <c r="W1353" s="12">
        <v>2212335</v>
      </c>
      <c r="X1353" s="6"/>
      <c r="Y1353" s="6"/>
    </row>
    <row r="1354" spans="1:25" ht="15" customHeight="1" x14ac:dyDescent="0.2">
      <c r="A1354" s="88" t="s">
        <v>1713</v>
      </c>
      <c r="B1354" s="90"/>
      <c r="C1354" s="88" t="s">
        <v>1860</v>
      </c>
      <c r="D1354" s="90"/>
      <c r="E1354" s="88" t="s">
        <v>1852</v>
      </c>
      <c r="F1354" s="89"/>
      <c r="G1354" s="89"/>
      <c r="H1354" s="89"/>
      <c r="I1354" s="90"/>
      <c r="J1354" s="88" t="s">
        <v>770</v>
      </c>
      <c r="K1354" s="89"/>
      <c r="L1354" s="89"/>
      <c r="M1354" s="90"/>
      <c r="N1354" s="88" t="s">
        <v>26</v>
      </c>
      <c r="O1354" s="89"/>
      <c r="P1354" s="90"/>
      <c r="Q1354" s="133">
        <v>658</v>
      </c>
      <c r="R1354" s="134"/>
      <c r="S1354" s="5" t="s">
        <v>70</v>
      </c>
      <c r="T1354" s="8">
        <v>1070</v>
      </c>
      <c r="U1354" s="8">
        <v>4</v>
      </c>
      <c r="V1354" s="5" t="s">
        <v>23</v>
      </c>
      <c r="W1354" s="12">
        <v>2379260</v>
      </c>
      <c r="X1354" s="6"/>
      <c r="Y1354" s="6"/>
    </row>
    <row r="1355" spans="1:25" ht="15" customHeight="1" x14ac:dyDescent="0.2">
      <c r="A1355" s="88" t="s">
        <v>1713</v>
      </c>
      <c r="B1355" s="90"/>
      <c r="C1355" s="88" t="s">
        <v>1861</v>
      </c>
      <c r="D1355" s="90"/>
      <c r="E1355" s="88" t="s">
        <v>1852</v>
      </c>
      <c r="F1355" s="89"/>
      <c r="G1355" s="89"/>
      <c r="H1355" s="89"/>
      <c r="I1355" s="90"/>
      <c r="J1355" s="88" t="s">
        <v>770</v>
      </c>
      <c r="K1355" s="89"/>
      <c r="L1355" s="89"/>
      <c r="M1355" s="90"/>
      <c r="N1355" s="88" t="s">
        <v>26</v>
      </c>
      <c r="O1355" s="89"/>
      <c r="P1355" s="90"/>
      <c r="Q1355" s="133">
        <v>658</v>
      </c>
      <c r="R1355" s="134"/>
      <c r="S1355" s="5" t="s">
        <v>70</v>
      </c>
      <c r="T1355" s="8">
        <v>1070</v>
      </c>
      <c r="U1355" s="8">
        <v>4</v>
      </c>
      <c r="V1355" s="5" t="s">
        <v>23</v>
      </c>
      <c r="W1355" s="12">
        <v>2287041</v>
      </c>
      <c r="X1355" s="6"/>
      <c r="Y1355" s="6"/>
    </row>
    <row r="1356" spans="1:25" ht="15" customHeight="1" x14ac:dyDescent="0.2">
      <c r="A1356" s="88" t="s">
        <v>1713</v>
      </c>
      <c r="B1356" s="90"/>
      <c r="C1356" s="88" t="s">
        <v>1862</v>
      </c>
      <c r="D1356" s="90"/>
      <c r="E1356" s="88" t="s">
        <v>1863</v>
      </c>
      <c r="F1356" s="89"/>
      <c r="G1356" s="89"/>
      <c r="H1356" s="89"/>
      <c r="I1356" s="90"/>
      <c r="J1356" s="88" t="s">
        <v>770</v>
      </c>
      <c r="K1356" s="89"/>
      <c r="L1356" s="89"/>
      <c r="M1356" s="90"/>
      <c r="N1356" s="88" t="s">
        <v>26</v>
      </c>
      <c r="O1356" s="89"/>
      <c r="P1356" s="90"/>
      <c r="Q1356" s="133">
        <v>2356</v>
      </c>
      <c r="R1356" s="134"/>
      <c r="S1356" s="5" t="s">
        <v>1101</v>
      </c>
      <c r="T1356" s="8">
        <v>2200</v>
      </c>
      <c r="U1356" s="8">
        <v>8</v>
      </c>
      <c r="V1356" s="5" t="s">
        <v>23</v>
      </c>
      <c r="W1356" s="12">
        <v>5175050</v>
      </c>
      <c r="X1356" s="6"/>
      <c r="Y1356" s="6"/>
    </row>
    <row r="1357" spans="1:25" ht="15" customHeight="1" x14ac:dyDescent="0.2">
      <c r="A1357" s="88" t="s">
        <v>1713</v>
      </c>
      <c r="B1357" s="90"/>
      <c r="C1357" s="88" t="s">
        <v>1864</v>
      </c>
      <c r="D1357" s="90"/>
      <c r="E1357" s="88" t="s">
        <v>1865</v>
      </c>
      <c r="F1357" s="89"/>
      <c r="G1357" s="89"/>
      <c r="H1357" s="89"/>
      <c r="I1357" s="90"/>
      <c r="J1357" s="88" t="s">
        <v>770</v>
      </c>
      <c r="K1357" s="89"/>
      <c r="L1357" s="89"/>
      <c r="M1357" s="90"/>
      <c r="N1357" s="88" t="s">
        <v>26</v>
      </c>
      <c r="O1357" s="89"/>
      <c r="P1357" s="90"/>
      <c r="Q1357" s="133">
        <v>1993</v>
      </c>
      <c r="R1357" s="134"/>
      <c r="S1357" s="5" t="s">
        <v>1101</v>
      </c>
      <c r="T1357" s="8">
        <v>2335</v>
      </c>
      <c r="U1357" s="8">
        <v>7</v>
      </c>
      <c r="V1357" s="5" t="s">
        <v>23</v>
      </c>
      <c r="W1357" s="12">
        <v>9020209</v>
      </c>
      <c r="X1357" s="6"/>
      <c r="Y1357" s="6"/>
    </row>
    <row r="1358" spans="1:25" ht="15" customHeight="1" x14ac:dyDescent="0.2">
      <c r="A1358" s="88" t="s">
        <v>1713</v>
      </c>
      <c r="B1358" s="90"/>
      <c r="C1358" s="88" t="s">
        <v>1866</v>
      </c>
      <c r="D1358" s="90"/>
      <c r="E1358" s="88" t="s">
        <v>1863</v>
      </c>
      <c r="F1358" s="89"/>
      <c r="G1358" s="89"/>
      <c r="H1358" s="89"/>
      <c r="I1358" s="90"/>
      <c r="J1358" s="88" t="s">
        <v>770</v>
      </c>
      <c r="K1358" s="89"/>
      <c r="L1358" s="89"/>
      <c r="M1358" s="90"/>
      <c r="N1358" s="88" t="s">
        <v>26</v>
      </c>
      <c r="O1358" s="89"/>
      <c r="P1358" s="90"/>
      <c r="Q1358" s="133">
        <v>2356</v>
      </c>
      <c r="R1358" s="134"/>
      <c r="S1358" s="5" t="s">
        <v>1101</v>
      </c>
      <c r="T1358" s="8">
        <v>2190</v>
      </c>
      <c r="U1358" s="8">
        <v>8</v>
      </c>
      <c r="V1358" s="5" t="s">
        <v>23</v>
      </c>
      <c r="W1358" s="12">
        <v>4819267</v>
      </c>
      <c r="X1358" s="6"/>
      <c r="Y1358" s="6"/>
    </row>
    <row r="1359" spans="1:25" ht="15" customHeight="1" x14ac:dyDescent="0.2">
      <c r="A1359" s="88" t="s">
        <v>1713</v>
      </c>
      <c r="B1359" s="90"/>
      <c r="C1359" s="88" t="s">
        <v>1867</v>
      </c>
      <c r="D1359" s="90"/>
      <c r="E1359" s="88" t="s">
        <v>1863</v>
      </c>
      <c r="F1359" s="89"/>
      <c r="G1359" s="89"/>
      <c r="H1359" s="89"/>
      <c r="I1359" s="90"/>
      <c r="J1359" s="88" t="s">
        <v>770</v>
      </c>
      <c r="K1359" s="89"/>
      <c r="L1359" s="89"/>
      <c r="M1359" s="90"/>
      <c r="N1359" s="88" t="s">
        <v>26</v>
      </c>
      <c r="O1359" s="89"/>
      <c r="P1359" s="90"/>
      <c r="Q1359" s="133">
        <v>2356</v>
      </c>
      <c r="R1359" s="134"/>
      <c r="S1359" s="5" t="s">
        <v>1101</v>
      </c>
      <c r="T1359" s="8">
        <v>2160</v>
      </c>
      <c r="U1359" s="8">
        <v>8</v>
      </c>
      <c r="V1359" s="5" t="s">
        <v>23</v>
      </c>
      <c r="W1359" s="12">
        <v>5274670</v>
      </c>
      <c r="X1359" s="6"/>
      <c r="Y1359" s="6"/>
    </row>
    <row r="1360" spans="1:25" ht="15" customHeight="1" x14ac:dyDescent="0.2">
      <c r="A1360" s="88" t="s">
        <v>1713</v>
      </c>
      <c r="B1360" s="90"/>
      <c r="C1360" s="88" t="s">
        <v>1867</v>
      </c>
      <c r="D1360" s="90"/>
      <c r="E1360" s="88" t="s">
        <v>1868</v>
      </c>
      <c r="F1360" s="89"/>
      <c r="G1360" s="89"/>
      <c r="H1360" s="89"/>
      <c r="I1360" s="90"/>
      <c r="J1360" s="88" t="s">
        <v>770</v>
      </c>
      <c r="K1360" s="89"/>
      <c r="L1360" s="89"/>
      <c r="M1360" s="90"/>
      <c r="N1360" s="88" t="s">
        <v>26</v>
      </c>
      <c r="O1360" s="89"/>
      <c r="P1360" s="90"/>
      <c r="Q1360" s="133">
        <v>2356</v>
      </c>
      <c r="R1360" s="134"/>
      <c r="S1360" s="5" t="s">
        <v>1101</v>
      </c>
      <c r="T1360" s="8">
        <v>2165</v>
      </c>
      <c r="U1360" s="8">
        <v>7</v>
      </c>
      <c r="V1360" s="5" t="s">
        <v>23</v>
      </c>
      <c r="W1360" s="12">
        <v>5274670</v>
      </c>
      <c r="X1360" s="6"/>
      <c r="Y1360" s="6"/>
    </row>
    <row r="1361" spans="1:25" ht="15" customHeight="1" x14ac:dyDescent="0.2">
      <c r="A1361" s="88" t="s">
        <v>1713</v>
      </c>
      <c r="B1361" s="90"/>
      <c r="C1361" s="88" t="s">
        <v>1869</v>
      </c>
      <c r="D1361" s="90"/>
      <c r="E1361" s="88" t="s">
        <v>1870</v>
      </c>
      <c r="F1361" s="89"/>
      <c r="G1361" s="89"/>
      <c r="H1361" s="89"/>
      <c r="I1361" s="90"/>
      <c r="J1361" s="88" t="s">
        <v>770</v>
      </c>
      <c r="K1361" s="89"/>
      <c r="L1361" s="89"/>
      <c r="M1361" s="90"/>
      <c r="N1361" s="88" t="s">
        <v>26</v>
      </c>
      <c r="O1361" s="89"/>
      <c r="P1361" s="90"/>
      <c r="Q1361" s="133">
        <v>1993</v>
      </c>
      <c r="R1361" s="134"/>
      <c r="S1361" s="5" t="s">
        <v>1101</v>
      </c>
      <c r="T1361" s="8">
        <v>2285</v>
      </c>
      <c r="U1361" s="8">
        <v>7</v>
      </c>
      <c r="V1361" s="5" t="s">
        <v>23</v>
      </c>
      <c r="W1361" s="12">
        <v>6468813</v>
      </c>
      <c r="X1361" s="6"/>
      <c r="Y1361" s="6"/>
    </row>
    <row r="1362" spans="1:25" ht="15" customHeight="1" x14ac:dyDescent="0.2">
      <c r="A1362" s="88" t="s">
        <v>1713</v>
      </c>
      <c r="B1362" s="90"/>
      <c r="C1362" s="88" t="s">
        <v>1871</v>
      </c>
      <c r="D1362" s="90"/>
      <c r="E1362" s="88" t="s">
        <v>1863</v>
      </c>
      <c r="F1362" s="89"/>
      <c r="G1362" s="89"/>
      <c r="H1362" s="89"/>
      <c r="I1362" s="90"/>
      <c r="J1362" s="88" t="s">
        <v>770</v>
      </c>
      <c r="K1362" s="89"/>
      <c r="L1362" s="89"/>
      <c r="M1362" s="90"/>
      <c r="N1362" s="88" t="s">
        <v>26</v>
      </c>
      <c r="O1362" s="89"/>
      <c r="P1362" s="90"/>
      <c r="Q1362" s="133">
        <v>2356</v>
      </c>
      <c r="R1362" s="134"/>
      <c r="S1362" s="5" t="s">
        <v>1101</v>
      </c>
      <c r="T1362" s="8">
        <v>2205</v>
      </c>
      <c r="U1362" s="8">
        <v>7</v>
      </c>
      <c r="V1362" s="5" t="s">
        <v>23</v>
      </c>
      <c r="W1362" s="12">
        <v>5623986</v>
      </c>
      <c r="X1362" s="6"/>
      <c r="Y1362" s="6"/>
    </row>
    <row r="1363" spans="1:25" ht="15" customHeight="1" x14ac:dyDescent="0.2">
      <c r="A1363" s="88" t="s">
        <v>1713</v>
      </c>
      <c r="B1363" s="90"/>
      <c r="C1363" s="88" t="s">
        <v>1872</v>
      </c>
      <c r="D1363" s="90"/>
      <c r="E1363" s="88" t="s">
        <v>1873</v>
      </c>
      <c r="F1363" s="89"/>
      <c r="G1363" s="89"/>
      <c r="H1363" s="89"/>
      <c r="I1363" s="90"/>
      <c r="J1363" s="88" t="s">
        <v>770</v>
      </c>
      <c r="K1363" s="89"/>
      <c r="L1363" s="89"/>
      <c r="M1363" s="90"/>
      <c r="N1363" s="88" t="s">
        <v>26</v>
      </c>
      <c r="O1363" s="89"/>
      <c r="P1363" s="90"/>
      <c r="Q1363" s="133">
        <v>2356</v>
      </c>
      <c r="R1363" s="134"/>
      <c r="S1363" s="5" t="s">
        <v>1101</v>
      </c>
      <c r="T1363" s="8">
        <v>2190</v>
      </c>
      <c r="U1363" s="8">
        <v>8</v>
      </c>
      <c r="V1363" s="5" t="s">
        <v>23</v>
      </c>
      <c r="W1363" s="12">
        <v>4626496</v>
      </c>
      <c r="X1363" s="6"/>
      <c r="Y1363" s="6"/>
    </row>
    <row r="1364" spans="1:25" ht="15" customHeight="1" x14ac:dyDescent="0.2">
      <c r="A1364" s="88" t="s">
        <v>1713</v>
      </c>
      <c r="B1364" s="90"/>
      <c r="C1364" s="88" t="s">
        <v>1874</v>
      </c>
      <c r="D1364" s="90"/>
      <c r="E1364" s="88" t="s">
        <v>1863</v>
      </c>
      <c r="F1364" s="89"/>
      <c r="G1364" s="89"/>
      <c r="H1364" s="89"/>
      <c r="I1364" s="90"/>
      <c r="J1364" s="88" t="s">
        <v>770</v>
      </c>
      <c r="K1364" s="89"/>
      <c r="L1364" s="89"/>
      <c r="M1364" s="90"/>
      <c r="N1364" s="88" t="s">
        <v>26</v>
      </c>
      <c r="O1364" s="89"/>
      <c r="P1364" s="90"/>
      <c r="Q1364" s="133">
        <v>2356</v>
      </c>
      <c r="R1364" s="134"/>
      <c r="S1364" s="5" t="s">
        <v>1101</v>
      </c>
      <c r="T1364" s="8">
        <v>2190</v>
      </c>
      <c r="U1364" s="8">
        <v>5</v>
      </c>
      <c r="V1364" s="5" t="s">
        <v>23</v>
      </c>
      <c r="W1364" s="12">
        <v>4819267</v>
      </c>
      <c r="X1364" s="6"/>
      <c r="Y1364" s="6"/>
    </row>
    <row r="1365" spans="1:25" ht="15" customHeight="1" x14ac:dyDescent="0.2">
      <c r="A1365" s="88" t="s">
        <v>1713</v>
      </c>
      <c r="B1365" s="90"/>
      <c r="C1365" s="88" t="s">
        <v>1875</v>
      </c>
      <c r="D1365" s="90"/>
      <c r="E1365" s="88" t="s">
        <v>1870</v>
      </c>
      <c r="F1365" s="89"/>
      <c r="G1365" s="89"/>
      <c r="H1365" s="89"/>
      <c r="I1365" s="90"/>
      <c r="J1365" s="88" t="s">
        <v>770</v>
      </c>
      <c r="K1365" s="89"/>
      <c r="L1365" s="89"/>
      <c r="M1365" s="90"/>
      <c r="N1365" s="88" t="s">
        <v>26</v>
      </c>
      <c r="O1365" s="89"/>
      <c r="P1365" s="90"/>
      <c r="Q1365" s="133">
        <v>1993</v>
      </c>
      <c r="R1365" s="134"/>
      <c r="S1365" s="5" t="s">
        <v>1101</v>
      </c>
      <c r="T1365" s="8">
        <v>2245</v>
      </c>
      <c r="U1365" s="8">
        <v>7</v>
      </c>
      <c r="V1365" s="5" t="s">
        <v>23</v>
      </c>
      <c r="W1365" s="12">
        <v>5896971</v>
      </c>
      <c r="X1365" s="6"/>
      <c r="Y1365" s="6"/>
    </row>
    <row r="1366" spans="1:25" ht="15" customHeight="1" x14ac:dyDescent="0.2">
      <c r="A1366" s="88" t="s">
        <v>1713</v>
      </c>
      <c r="B1366" s="90"/>
      <c r="C1366" s="88" t="s">
        <v>1876</v>
      </c>
      <c r="D1366" s="90"/>
      <c r="E1366" s="88" t="s">
        <v>1877</v>
      </c>
      <c r="F1366" s="89"/>
      <c r="G1366" s="89"/>
      <c r="H1366" s="89"/>
      <c r="I1366" s="90"/>
      <c r="J1366" s="88" t="s">
        <v>770</v>
      </c>
      <c r="K1366" s="89"/>
      <c r="L1366" s="89"/>
      <c r="M1366" s="90"/>
      <c r="N1366" s="88" t="s">
        <v>26</v>
      </c>
      <c r="O1366" s="89"/>
      <c r="P1366" s="90"/>
      <c r="Q1366" s="133">
        <v>1993</v>
      </c>
      <c r="R1366" s="134"/>
      <c r="S1366" s="5" t="s">
        <v>1101</v>
      </c>
      <c r="T1366" s="8">
        <v>2275</v>
      </c>
      <c r="U1366" s="8">
        <v>7</v>
      </c>
      <c r="V1366" s="5" t="s">
        <v>23</v>
      </c>
      <c r="W1366" s="12">
        <v>6577075</v>
      </c>
      <c r="X1366" s="6"/>
      <c r="Y1366" s="6"/>
    </row>
    <row r="1367" spans="1:25" ht="15" customHeight="1" x14ac:dyDescent="0.2">
      <c r="A1367" s="88" t="s">
        <v>1713</v>
      </c>
      <c r="B1367" s="90"/>
      <c r="C1367" s="88" t="s">
        <v>1878</v>
      </c>
      <c r="D1367" s="90"/>
      <c r="E1367" s="88" t="s">
        <v>1877</v>
      </c>
      <c r="F1367" s="89"/>
      <c r="G1367" s="89"/>
      <c r="H1367" s="89"/>
      <c r="I1367" s="90"/>
      <c r="J1367" s="88" t="s">
        <v>770</v>
      </c>
      <c r="K1367" s="89"/>
      <c r="L1367" s="89"/>
      <c r="M1367" s="90"/>
      <c r="N1367" s="88" t="s">
        <v>26</v>
      </c>
      <c r="O1367" s="89"/>
      <c r="P1367" s="90"/>
      <c r="Q1367" s="133">
        <v>1993</v>
      </c>
      <c r="R1367" s="134"/>
      <c r="S1367" s="5" t="s">
        <v>1101</v>
      </c>
      <c r="T1367" s="8">
        <v>2275</v>
      </c>
      <c r="U1367" s="8">
        <v>8</v>
      </c>
      <c r="V1367" s="5" t="s">
        <v>23</v>
      </c>
      <c r="W1367" s="12">
        <v>6711394</v>
      </c>
      <c r="X1367" s="6"/>
      <c r="Y1367" s="6"/>
    </row>
    <row r="1368" spans="1:25" ht="15" customHeight="1" x14ac:dyDescent="0.2">
      <c r="A1368" s="88" t="s">
        <v>1713</v>
      </c>
      <c r="B1368" s="90"/>
      <c r="C1368" s="88" t="s">
        <v>1879</v>
      </c>
      <c r="D1368" s="90"/>
      <c r="E1368" s="88" t="s">
        <v>1880</v>
      </c>
      <c r="F1368" s="89"/>
      <c r="G1368" s="89"/>
      <c r="H1368" s="89"/>
      <c r="I1368" s="90"/>
      <c r="J1368" s="88" t="s">
        <v>1718</v>
      </c>
      <c r="K1368" s="89"/>
      <c r="L1368" s="89"/>
      <c r="M1368" s="90"/>
      <c r="N1368" s="88" t="s">
        <v>26</v>
      </c>
      <c r="O1368" s="89"/>
      <c r="P1368" s="90"/>
      <c r="Q1368" s="133">
        <v>658</v>
      </c>
      <c r="R1368" s="134"/>
      <c r="S1368" s="5" t="s">
        <v>119</v>
      </c>
      <c r="T1368" s="8">
        <v>940</v>
      </c>
      <c r="U1368" s="8">
        <v>2</v>
      </c>
      <c r="V1368" s="5" t="s">
        <v>23</v>
      </c>
      <c r="W1368" s="12">
        <v>3537871</v>
      </c>
      <c r="X1368" s="6"/>
      <c r="Y1368" s="6"/>
    </row>
    <row r="1369" spans="1:25" ht="15" customHeight="1" x14ac:dyDescent="0.2">
      <c r="A1369" s="88" t="s">
        <v>1713</v>
      </c>
      <c r="B1369" s="90"/>
      <c r="C1369" s="88" t="s">
        <v>1879</v>
      </c>
      <c r="D1369" s="90"/>
      <c r="E1369" s="88" t="s">
        <v>1881</v>
      </c>
      <c r="F1369" s="89"/>
      <c r="G1369" s="89"/>
      <c r="H1369" s="89"/>
      <c r="I1369" s="90"/>
      <c r="J1369" s="88" t="s">
        <v>1718</v>
      </c>
      <c r="K1369" s="89"/>
      <c r="L1369" s="89"/>
      <c r="M1369" s="90"/>
      <c r="N1369" s="88" t="s">
        <v>26</v>
      </c>
      <c r="O1369" s="89"/>
      <c r="P1369" s="90"/>
      <c r="Q1369" s="133">
        <v>658</v>
      </c>
      <c r="R1369" s="134"/>
      <c r="S1369" s="5" t="s">
        <v>119</v>
      </c>
      <c r="T1369" s="8">
        <v>940</v>
      </c>
      <c r="U1369" s="8">
        <v>2</v>
      </c>
      <c r="V1369" s="5" t="s">
        <v>23</v>
      </c>
      <c r="W1369" s="12">
        <v>3393674</v>
      </c>
      <c r="X1369" s="6"/>
      <c r="Y1369" s="6"/>
    </row>
    <row r="1370" spans="1:25" ht="15" customHeight="1" x14ac:dyDescent="0.2">
      <c r="A1370" s="88" t="s">
        <v>1713</v>
      </c>
      <c r="B1370" s="90"/>
      <c r="C1370" s="88" t="s">
        <v>1882</v>
      </c>
      <c r="D1370" s="90"/>
      <c r="E1370" s="88" t="s">
        <v>1881</v>
      </c>
      <c r="F1370" s="89"/>
      <c r="G1370" s="89"/>
      <c r="H1370" s="89"/>
      <c r="I1370" s="90"/>
      <c r="J1370" s="88" t="s">
        <v>1718</v>
      </c>
      <c r="K1370" s="89"/>
      <c r="L1370" s="89"/>
      <c r="M1370" s="90"/>
      <c r="N1370" s="88" t="s">
        <v>26</v>
      </c>
      <c r="O1370" s="89"/>
      <c r="P1370" s="90"/>
      <c r="Q1370" s="133">
        <v>658</v>
      </c>
      <c r="R1370" s="134"/>
      <c r="S1370" s="5" t="s">
        <v>119</v>
      </c>
      <c r="T1370" s="8">
        <v>940</v>
      </c>
      <c r="U1370" s="8">
        <v>2</v>
      </c>
      <c r="V1370" s="5" t="s">
        <v>23</v>
      </c>
      <c r="W1370" s="12">
        <v>4424854</v>
      </c>
      <c r="X1370" s="6"/>
      <c r="Y1370" s="6"/>
    </row>
    <row r="1371" spans="1:25" ht="15" customHeight="1" x14ac:dyDescent="0.2">
      <c r="A1371" s="88" t="s">
        <v>1713</v>
      </c>
      <c r="B1371" s="90"/>
      <c r="C1371" s="88" t="s">
        <v>1883</v>
      </c>
      <c r="D1371" s="90"/>
      <c r="E1371" s="88" t="s">
        <v>1769</v>
      </c>
      <c r="F1371" s="89"/>
      <c r="G1371" s="89"/>
      <c r="H1371" s="89"/>
      <c r="I1371" s="90"/>
      <c r="J1371" s="88" t="s">
        <v>770</v>
      </c>
      <c r="K1371" s="89"/>
      <c r="L1371" s="89"/>
      <c r="M1371" s="90"/>
      <c r="N1371" s="88" t="s">
        <v>26</v>
      </c>
      <c r="O1371" s="89"/>
      <c r="P1371" s="90"/>
      <c r="Q1371" s="133">
        <v>1496</v>
      </c>
      <c r="R1371" s="134"/>
      <c r="S1371" s="5" t="s">
        <v>70</v>
      </c>
      <c r="T1371" s="8">
        <v>1515</v>
      </c>
      <c r="U1371" s="8">
        <v>5</v>
      </c>
      <c r="V1371" s="5" t="s">
        <v>23</v>
      </c>
      <c r="W1371" s="12">
        <v>3834650</v>
      </c>
      <c r="X1371" s="6"/>
      <c r="Y1371" s="6"/>
    </row>
    <row r="1372" spans="1:25" ht="15" customHeight="1" x14ac:dyDescent="0.2">
      <c r="A1372" s="88" t="s">
        <v>1713</v>
      </c>
      <c r="B1372" s="90"/>
      <c r="C1372" s="88" t="s">
        <v>1884</v>
      </c>
      <c r="D1372" s="90"/>
      <c r="E1372" s="88" t="s">
        <v>1769</v>
      </c>
      <c r="F1372" s="89"/>
      <c r="G1372" s="89"/>
      <c r="H1372" s="89"/>
      <c r="I1372" s="90"/>
      <c r="J1372" s="88" t="s">
        <v>770</v>
      </c>
      <c r="K1372" s="89"/>
      <c r="L1372" s="89"/>
      <c r="M1372" s="90"/>
      <c r="N1372" s="88" t="s">
        <v>26</v>
      </c>
      <c r="O1372" s="89"/>
      <c r="P1372" s="90"/>
      <c r="Q1372" s="133">
        <v>1496</v>
      </c>
      <c r="R1372" s="134"/>
      <c r="S1372" s="5" t="s">
        <v>70</v>
      </c>
      <c r="T1372" s="8">
        <v>1465</v>
      </c>
      <c r="U1372" s="8">
        <v>5</v>
      </c>
      <c r="V1372" s="5" t="s">
        <v>23</v>
      </c>
      <c r="W1372" s="12">
        <v>3380260</v>
      </c>
      <c r="X1372" s="6"/>
      <c r="Y1372" s="6"/>
    </row>
    <row r="1373" spans="1:25" ht="15" customHeight="1" x14ac:dyDescent="0.2">
      <c r="A1373" s="88" t="s">
        <v>1713</v>
      </c>
      <c r="B1373" s="90"/>
      <c r="C1373" s="88" t="s">
        <v>1885</v>
      </c>
      <c r="D1373" s="90"/>
      <c r="E1373" s="88" t="s">
        <v>1886</v>
      </c>
      <c r="F1373" s="89"/>
      <c r="G1373" s="89"/>
      <c r="H1373" s="89"/>
      <c r="I1373" s="90"/>
      <c r="J1373" s="88" t="s">
        <v>775</v>
      </c>
      <c r="K1373" s="89"/>
      <c r="L1373" s="89"/>
      <c r="M1373" s="90"/>
      <c r="N1373" s="88" t="s">
        <v>26</v>
      </c>
      <c r="O1373" s="89"/>
      <c r="P1373" s="90"/>
      <c r="Q1373" s="133">
        <v>1496</v>
      </c>
      <c r="R1373" s="134"/>
      <c r="S1373" s="5" t="s">
        <v>70</v>
      </c>
      <c r="T1373" s="8">
        <v>1515</v>
      </c>
      <c r="U1373" s="8">
        <v>5</v>
      </c>
      <c r="V1373" s="5" t="s">
        <v>23</v>
      </c>
      <c r="W1373" s="12">
        <v>3973817</v>
      </c>
      <c r="X1373" s="6"/>
      <c r="Y1373" s="6"/>
    </row>
    <row r="1374" spans="1:25" ht="15" customHeight="1" x14ac:dyDescent="0.2">
      <c r="A1374" s="88" t="s">
        <v>1713</v>
      </c>
      <c r="B1374" s="90"/>
      <c r="C1374" s="88" t="s">
        <v>1885</v>
      </c>
      <c r="D1374" s="90"/>
      <c r="E1374" s="88" t="s">
        <v>1769</v>
      </c>
      <c r="F1374" s="89"/>
      <c r="G1374" s="89"/>
      <c r="H1374" s="89"/>
      <c r="I1374" s="90"/>
      <c r="J1374" s="88" t="s">
        <v>775</v>
      </c>
      <c r="K1374" s="89"/>
      <c r="L1374" s="89"/>
      <c r="M1374" s="90"/>
      <c r="N1374" s="88" t="s">
        <v>26</v>
      </c>
      <c r="O1374" s="89"/>
      <c r="P1374" s="90"/>
      <c r="Q1374" s="133">
        <v>1496</v>
      </c>
      <c r="R1374" s="134"/>
      <c r="S1374" s="5" t="s">
        <v>70</v>
      </c>
      <c r="T1374" s="8">
        <v>1515</v>
      </c>
      <c r="U1374" s="8">
        <v>5</v>
      </c>
      <c r="V1374" s="5" t="s">
        <v>23</v>
      </c>
      <c r="W1374" s="12">
        <v>3834650</v>
      </c>
      <c r="X1374" s="6"/>
      <c r="Y1374" s="6"/>
    </row>
    <row r="1375" spans="1:25" ht="15" customHeight="1" x14ac:dyDescent="0.2">
      <c r="A1375" s="88" t="s">
        <v>1713</v>
      </c>
      <c r="B1375" s="90"/>
      <c r="C1375" s="88" t="s">
        <v>1887</v>
      </c>
      <c r="D1375" s="90"/>
      <c r="E1375" s="88" t="s">
        <v>1886</v>
      </c>
      <c r="F1375" s="89"/>
      <c r="G1375" s="89"/>
      <c r="H1375" s="89"/>
      <c r="I1375" s="90"/>
      <c r="J1375" s="88" t="s">
        <v>775</v>
      </c>
      <c r="K1375" s="89"/>
      <c r="L1375" s="89"/>
      <c r="M1375" s="90"/>
      <c r="N1375" s="88" t="s">
        <v>26</v>
      </c>
      <c r="O1375" s="89"/>
      <c r="P1375" s="90"/>
      <c r="Q1375" s="133">
        <v>1496</v>
      </c>
      <c r="R1375" s="134"/>
      <c r="S1375" s="5" t="s">
        <v>70</v>
      </c>
      <c r="T1375" s="8">
        <v>1515</v>
      </c>
      <c r="U1375" s="8">
        <v>5</v>
      </c>
      <c r="V1375" s="5" t="s">
        <v>23</v>
      </c>
      <c r="W1375" s="12">
        <v>4371199</v>
      </c>
      <c r="X1375" s="6"/>
      <c r="Y1375" s="6"/>
    </row>
    <row r="1376" spans="1:25" ht="15" customHeight="1" x14ac:dyDescent="0.2">
      <c r="A1376" s="88" t="s">
        <v>1713</v>
      </c>
      <c r="B1376" s="90"/>
      <c r="C1376" s="88" t="s">
        <v>1888</v>
      </c>
      <c r="D1376" s="90"/>
      <c r="E1376" s="88" t="s">
        <v>1889</v>
      </c>
      <c r="F1376" s="89"/>
      <c r="G1376" s="89"/>
      <c r="H1376" s="89"/>
      <c r="I1376" s="90"/>
      <c r="J1376" s="88" t="s">
        <v>770</v>
      </c>
      <c r="K1376" s="89"/>
      <c r="L1376" s="89"/>
      <c r="M1376" s="90"/>
      <c r="N1376" s="88" t="s">
        <v>26</v>
      </c>
      <c r="O1376" s="89"/>
      <c r="P1376" s="90"/>
      <c r="Q1376" s="133">
        <v>1496</v>
      </c>
      <c r="R1376" s="134"/>
      <c r="S1376" s="5" t="s">
        <v>70</v>
      </c>
      <c r="T1376" s="8">
        <v>1405</v>
      </c>
      <c r="U1376" s="8">
        <v>5</v>
      </c>
      <c r="V1376" s="5" t="s">
        <v>23</v>
      </c>
      <c r="W1376" s="12">
        <v>2748138</v>
      </c>
      <c r="X1376" s="6"/>
      <c r="Y1376" s="6"/>
    </row>
    <row r="1377" spans="1:25" ht="15" customHeight="1" x14ac:dyDescent="0.2">
      <c r="A1377" s="88" t="s">
        <v>1713</v>
      </c>
      <c r="B1377" s="90"/>
      <c r="C1377" s="88" t="s">
        <v>1890</v>
      </c>
      <c r="D1377" s="90"/>
      <c r="E1377" s="88" t="s">
        <v>1891</v>
      </c>
      <c r="F1377" s="89"/>
      <c r="G1377" s="89"/>
      <c r="H1377" s="89"/>
      <c r="I1377" s="90"/>
      <c r="J1377" s="88" t="s">
        <v>770</v>
      </c>
      <c r="K1377" s="89"/>
      <c r="L1377" s="89"/>
      <c r="M1377" s="90"/>
      <c r="N1377" s="88" t="s">
        <v>26</v>
      </c>
      <c r="O1377" s="89"/>
      <c r="P1377" s="90"/>
      <c r="Q1377" s="133">
        <v>1496</v>
      </c>
      <c r="R1377" s="134"/>
      <c r="S1377" s="5" t="s">
        <v>70</v>
      </c>
      <c r="T1377" s="8">
        <v>2175</v>
      </c>
      <c r="U1377" s="8">
        <v>7</v>
      </c>
      <c r="V1377" s="5" t="s">
        <v>23</v>
      </c>
      <c r="W1377" s="12">
        <v>6103247</v>
      </c>
      <c r="X1377" s="6"/>
      <c r="Y1377" s="6"/>
    </row>
    <row r="1378" spans="1:25" ht="15" customHeight="1" x14ac:dyDescent="0.2">
      <c r="A1378" s="88" t="s">
        <v>1713</v>
      </c>
      <c r="B1378" s="90"/>
      <c r="C1378" s="88" t="s">
        <v>1892</v>
      </c>
      <c r="D1378" s="90"/>
      <c r="E1378" s="88" t="s">
        <v>1893</v>
      </c>
      <c r="F1378" s="89"/>
      <c r="G1378" s="89"/>
      <c r="H1378" s="89"/>
      <c r="I1378" s="90"/>
      <c r="J1378" s="88" t="s">
        <v>770</v>
      </c>
      <c r="K1378" s="89"/>
      <c r="L1378" s="89"/>
      <c r="M1378" s="90"/>
      <c r="N1378" s="88" t="s">
        <v>26</v>
      </c>
      <c r="O1378" s="89"/>
      <c r="P1378" s="90"/>
      <c r="Q1378" s="133">
        <v>1993</v>
      </c>
      <c r="R1378" s="134"/>
      <c r="S1378" s="5" t="s">
        <v>70</v>
      </c>
      <c r="T1378" s="8">
        <v>2225</v>
      </c>
      <c r="U1378" s="8">
        <v>7</v>
      </c>
      <c r="V1378" s="5" t="s">
        <v>23</v>
      </c>
      <c r="W1378" s="12">
        <v>6359296</v>
      </c>
      <c r="X1378" s="6"/>
      <c r="Y1378" s="6"/>
    </row>
    <row r="1379" spans="1:25" ht="15" customHeight="1" x14ac:dyDescent="0.2">
      <c r="A1379" s="88" t="s">
        <v>1713</v>
      </c>
      <c r="B1379" s="90"/>
      <c r="C1379" s="88" t="s">
        <v>1892</v>
      </c>
      <c r="D1379" s="90"/>
      <c r="E1379" s="88" t="s">
        <v>1894</v>
      </c>
      <c r="F1379" s="89"/>
      <c r="G1379" s="89"/>
      <c r="H1379" s="89"/>
      <c r="I1379" s="90"/>
      <c r="J1379" s="88" t="s">
        <v>770</v>
      </c>
      <c r="K1379" s="89"/>
      <c r="L1379" s="89"/>
      <c r="M1379" s="90"/>
      <c r="N1379" s="88" t="s">
        <v>26</v>
      </c>
      <c r="O1379" s="89"/>
      <c r="P1379" s="90"/>
      <c r="Q1379" s="133">
        <v>1993</v>
      </c>
      <c r="R1379" s="134"/>
      <c r="S1379" s="5" t="s">
        <v>70</v>
      </c>
      <c r="T1379" s="8">
        <v>2225</v>
      </c>
      <c r="U1379" s="8">
        <v>7</v>
      </c>
      <c r="V1379" s="5" t="s">
        <v>23</v>
      </c>
      <c r="W1379" s="12">
        <v>6724331</v>
      </c>
      <c r="X1379" s="6"/>
      <c r="Y1379" s="6"/>
    </row>
    <row r="1380" spans="1:25" ht="15" customHeight="1" x14ac:dyDescent="0.2">
      <c r="A1380" s="88" t="s">
        <v>1713</v>
      </c>
      <c r="B1380" s="90"/>
      <c r="C1380" s="88" t="s">
        <v>1895</v>
      </c>
      <c r="D1380" s="90"/>
      <c r="E1380" s="88" t="s">
        <v>1896</v>
      </c>
      <c r="F1380" s="89"/>
      <c r="G1380" s="89"/>
      <c r="H1380" s="89"/>
      <c r="I1380" s="90"/>
      <c r="J1380" s="88" t="s">
        <v>770</v>
      </c>
      <c r="K1380" s="89"/>
      <c r="L1380" s="89"/>
      <c r="M1380" s="90"/>
      <c r="N1380" s="88" t="s">
        <v>26</v>
      </c>
      <c r="O1380" s="89"/>
      <c r="P1380" s="90"/>
      <c r="Q1380" s="133">
        <v>1993</v>
      </c>
      <c r="R1380" s="134"/>
      <c r="S1380" s="5" t="s">
        <v>70</v>
      </c>
      <c r="T1380" s="8">
        <v>2205</v>
      </c>
      <c r="U1380" s="8">
        <v>7</v>
      </c>
      <c r="V1380" s="5" t="s">
        <v>23</v>
      </c>
      <c r="W1380" s="12">
        <v>5549931</v>
      </c>
      <c r="X1380" s="6"/>
      <c r="Y1380" s="6"/>
    </row>
    <row r="1381" spans="1:25" ht="15" customHeight="1" x14ac:dyDescent="0.2">
      <c r="A1381" s="88" t="s">
        <v>1713</v>
      </c>
      <c r="B1381" s="90"/>
      <c r="C1381" s="88" t="s">
        <v>1897</v>
      </c>
      <c r="D1381" s="90"/>
      <c r="E1381" s="88" t="s">
        <v>1898</v>
      </c>
      <c r="F1381" s="89"/>
      <c r="G1381" s="89"/>
      <c r="H1381" s="89"/>
      <c r="I1381" s="90"/>
      <c r="J1381" s="88" t="s">
        <v>770</v>
      </c>
      <c r="K1381" s="89"/>
      <c r="L1381" s="89"/>
      <c r="M1381" s="90"/>
      <c r="N1381" s="88" t="s">
        <v>26</v>
      </c>
      <c r="O1381" s="89"/>
      <c r="P1381" s="90"/>
      <c r="Q1381" s="133">
        <v>1496</v>
      </c>
      <c r="R1381" s="134"/>
      <c r="S1381" s="5" t="s">
        <v>70</v>
      </c>
      <c r="T1381" s="8">
        <v>2135</v>
      </c>
      <c r="U1381" s="8">
        <v>7</v>
      </c>
      <c r="V1381" s="5" t="s">
        <v>23</v>
      </c>
      <c r="W1381" s="12">
        <v>5286686</v>
      </c>
      <c r="X1381" s="6"/>
      <c r="Y1381" s="6"/>
    </row>
    <row r="1382" spans="1:25" ht="15" customHeight="1" x14ac:dyDescent="0.2">
      <c r="A1382" s="88" t="s">
        <v>1713</v>
      </c>
      <c r="B1382" s="90"/>
      <c r="C1382" s="88" t="s">
        <v>1897</v>
      </c>
      <c r="D1382" s="90"/>
      <c r="E1382" s="88" t="s">
        <v>1899</v>
      </c>
      <c r="F1382" s="89"/>
      <c r="G1382" s="89"/>
      <c r="H1382" s="89"/>
      <c r="I1382" s="90"/>
      <c r="J1382" s="88" t="s">
        <v>770</v>
      </c>
      <c r="K1382" s="89"/>
      <c r="L1382" s="89"/>
      <c r="M1382" s="90"/>
      <c r="N1382" s="88" t="s">
        <v>26</v>
      </c>
      <c r="O1382" s="89"/>
      <c r="P1382" s="90"/>
      <c r="Q1382" s="133">
        <v>1496</v>
      </c>
      <c r="R1382" s="134"/>
      <c r="S1382" s="5" t="s">
        <v>70</v>
      </c>
      <c r="T1382" s="8">
        <v>2065</v>
      </c>
      <c r="U1382" s="8">
        <v>7</v>
      </c>
      <c r="V1382" s="5" t="s">
        <v>23</v>
      </c>
      <c r="W1382" s="12">
        <v>4450005</v>
      </c>
      <c r="X1382" s="6"/>
      <c r="Y1382" s="6"/>
    </row>
    <row r="1383" spans="1:25" ht="15" customHeight="1" x14ac:dyDescent="0.2">
      <c r="A1383" s="88" t="s">
        <v>1713</v>
      </c>
      <c r="B1383" s="90"/>
      <c r="C1383" s="88" t="s">
        <v>1897</v>
      </c>
      <c r="D1383" s="90"/>
      <c r="E1383" s="88" t="s">
        <v>1900</v>
      </c>
      <c r="F1383" s="89"/>
      <c r="G1383" s="89"/>
      <c r="H1383" s="89"/>
      <c r="I1383" s="90"/>
      <c r="J1383" s="88" t="s">
        <v>770</v>
      </c>
      <c r="K1383" s="89"/>
      <c r="L1383" s="89"/>
      <c r="M1383" s="90"/>
      <c r="N1383" s="88" t="s">
        <v>26</v>
      </c>
      <c r="O1383" s="89"/>
      <c r="P1383" s="90"/>
      <c r="Q1383" s="133">
        <v>1496</v>
      </c>
      <c r="R1383" s="134"/>
      <c r="S1383" s="5" t="s">
        <v>70</v>
      </c>
      <c r="T1383" s="8">
        <v>2135</v>
      </c>
      <c r="U1383" s="8">
        <v>7</v>
      </c>
      <c r="V1383" s="5" t="s">
        <v>23</v>
      </c>
      <c r="W1383" s="12">
        <v>5293393</v>
      </c>
      <c r="X1383" s="6"/>
      <c r="Y1383" s="6"/>
    </row>
    <row r="1384" spans="1:25" ht="15" customHeight="1" x14ac:dyDescent="0.2">
      <c r="A1384" s="88" t="s">
        <v>1713</v>
      </c>
      <c r="B1384" s="90"/>
      <c r="C1384" s="88" t="s">
        <v>1901</v>
      </c>
      <c r="D1384" s="90"/>
      <c r="E1384" s="88" t="s">
        <v>1899</v>
      </c>
      <c r="F1384" s="89"/>
      <c r="G1384" s="89"/>
      <c r="H1384" s="89"/>
      <c r="I1384" s="90"/>
      <c r="J1384" s="88" t="s">
        <v>770</v>
      </c>
      <c r="K1384" s="89"/>
      <c r="L1384" s="89"/>
      <c r="M1384" s="90"/>
      <c r="N1384" s="88" t="s">
        <v>26</v>
      </c>
      <c r="O1384" s="89"/>
      <c r="P1384" s="90"/>
      <c r="Q1384" s="133">
        <v>1496</v>
      </c>
      <c r="R1384" s="134"/>
      <c r="S1384" s="5" t="s">
        <v>70</v>
      </c>
      <c r="T1384" s="8">
        <v>2135</v>
      </c>
      <c r="U1384" s="8">
        <v>7</v>
      </c>
      <c r="V1384" s="5" t="s">
        <v>23</v>
      </c>
      <c r="W1384" s="12">
        <v>5293393</v>
      </c>
      <c r="X1384" s="6"/>
      <c r="Y1384" s="6"/>
    </row>
    <row r="1385" spans="1:25" ht="15" customHeight="1" x14ac:dyDescent="0.2">
      <c r="A1385" s="88" t="s">
        <v>1713</v>
      </c>
      <c r="B1385" s="90"/>
      <c r="C1385" s="88" t="s">
        <v>1902</v>
      </c>
      <c r="D1385" s="90"/>
      <c r="E1385" s="88" t="s">
        <v>1898</v>
      </c>
      <c r="F1385" s="89"/>
      <c r="G1385" s="89"/>
      <c r="H1385" s="89"/>
      <c r="I1385" s="90"/>
      <c r="J1385" s="88" t="s">
        <v>770</v>
      </c>
      <c r="K1385" s="89"/>
      <c r="L1385" s="89"/>
      <c r="M1385" s="90"/>
      <c r="N1385" s="88" t="s">
        <v>26</v>
      </c>
      <c r="O1385" s="89"/>
      <c r="P1385" s="90"/>
      <c r="Q1385" s="133">
        <v>1496</v>
      </c>
      <c r="R1385" s="134"/>
      <c r="S1385" s="5" t="s">
        <v>70</v>
      </c>
      <c r="T1385" s="8">
        <v>2065</v>
      </c>
      <c r="U1385" s="8">
        <v>7</v>
      </c>
      <c r="V1385" s="5" t="s">
        <v>23</v>
      </c>
      <c r="W1385" s="12">
        <v>4443298</v>
      </c>
      <c r="X1385" s="6"/>
      <c r="Y1385" s="6"/>
    </row>
    <row r="1386" spans="1:25" ht="15" customHeight="1" x14ac:dyDescent="0.2">
      <c r="A1386" s="88" t="s">
        <v>1713</v>
      </c>
      <c r="B1386" s="90"/>
      <c r="C1386" s="88" t="s">
        <v>1903</v>
      </c>
      <c r="D1386" s="90"/>
      <c r="E1386" s="88" t="s">
        <v>1904</v>
      </c>
      <c r="F1386" s="89"/>
      <c r="G1386" s="89"/>
      <c r="H1386" s="89"/>
      <c r="I1386" s="90"/>
      <c r="J1386" s="88" t="s">
        <v>770</v>
      </c>
      <c r="K1386" s="89"/>
      <c r="L1386" s="89"/>
      <c r="M1386" s="90"/>
      <c r="N1386" s="88" t="s">
        <v>26</v>
      </c>
      <c r="O1386" s="89"/>
      <c r="P1386" s="90"/>
      <c r="Q1386" s="133">
        <v>1496</v>
      </c>
      <c r="R1386" s="134"/>
      <c r="S1386" s="5" t="s">
        <v>70</v>
      </c>
      <c r="T1386" s="8">
        <v>2085</v>
      </c>
      <c r="U1386" s="8">
        <v>7</v>
      </c>
      <c r="V1386" s="5" t="s">
        <v>23</v>
      </c>
      <c r="W1386" s="12">
        <v>5308483</v>
      </c>
      <c r="X1386" s="6"/>
      <c r="Y1386" s="6"/>
    </row>
    <row r="1387" spans="1:25" ht="15" customHeight="1" x14ac:dyDescent="0.2">
      <c r="A1387" s="88" t="s">
        <v>1713</v>
      </c>
      <c r="B1387" s="90"/>
      <c r="C1387" s="88" t="s">
        <v>1905</v>
      </c>
      <c r="D1387" s="90"/>
      <c r="E1387" s="88" t="s">
        <v>1891</v>
      </c>
      <c r="F1387" s="89"/>
      <c r="G1387" s="89"/>
      <c r="H1387" s="89"/>
      <c r="I1387" s="90"/>
      <c r="J1387" s="88" t="s">
        <v>770</v>
      </c>
      <c r="K1387" s="89"/>
      <c r="L1387" s="89"/>
      <c r="M1387" s="90"/>
      <c r="N1387" s="88" t="s">
        <v>26</v>
      </c>
      <c r="O1387" s="89"/>
      <c r="P1387" s="90"/>
      <c r="Q1387" s="133">
        <v>1496</v>
      </c>
      <c r="R1387" s="134"/>
      <c r="S1387" s="5" t="s">
        <v>70</v>
      </c>
      <c r="T1387" s="8">
        <v>2165</v>
      </c>
      <c r="U1387" s="8">
        <v>7</v>
      </c>
      <c r="V1387" s="5" t="s">
        <v>23</v>
      </c>
      <c r="W1387" s="12">
        <v>5777964</v>
      </c>
      <c r="X1387" s="6"/>
      <c r="Y1387" s="6"/>
    </row>
    <row r="1388" spans="1:25" ht="15" customHeight="1" x14ac:dyDescent="0.2">
      <c r="A1388" s="88" t="s">
        <v>1713</v>
      </c>
      <c r="B1388" s="90"/>
      <c r="C1388" s="88" t="s">
        <v>1906</v>
      </c>
      <c r="D1388" s="90"/>
      <c r="E1388" s="88" t="s">
        <v>1904</v>
      </c>
      <c r="F1388" s="89"/>
      <c r="G1388" s="89"/>
      <c r="H1388" s="89"/>
      <c r="I1388" s="90"/>
      <c r="J1388" s="88" t="s">
        <v>770</v>
      </c>
      <c r="K1388" s="89"/>
      <c r="L1388" s="89"/>
      <c r="M1388" s="90"/>
      <c r="N1388" s="88" t="s">
        <v>26</v>
      </c>
      <c r="O1388" s="89"/>
      <c r="P1388" s="90"/>
      <c r="Q1388" s="133">
        <v>1496</v>
      </c>
      <c r="R1388" s="134"/>
      <c r="S1388" s="5" t="s">
        <v>70</v>
      </c>
      <c r="T1388" s="8">
        <v>2065</v>
      </c>
      <c r="U1388" s="8">
        <v>7</v>
      </c>
      <c r="V1388" s="5" t="s">
        <v>23</v>
      </c>
      <c r="W1388" s="12">
        <v>5179376</v>
      </c>
      <c r="X1388" s="6"/>
      <c r="Y1388" s="6"/>
    </row>
    <row r="1389" spans="1:25" ht="15" customHeight="1" x14ac:dyDescent="0.2">
      <c r="A1389" s="88" t="s">
        <v>1713</v>
      </c>
      <c r="B1389" s="90"/>
      <c r="C1389" s="88" t="s">
        <v>1907</v>
      </c>
      <c r="D1389" s="90"/>
      <c r="E1389" s="88" t="s">
        <v>1896</v>
      </c>
      <c r="F1389" s="89"/>
      <c r="G1389" s="89"/>
      <c r="H1389" s="89"/>
      <c r="I1389" s="90"/>
      <c r="J1389" s="88" t="s">
        <v>770</v>
      </c>
      <c r="K1389" s="89"/>
      <c r="L1389" s="89"/>
      <c r="M1389" s="90"/>
      <c r="N1389" s="88" t="s">
        <v>26</v>
      </c>
      <c r="O1389" s="89"/>
      <c r="P1389" s="90"/>
      <c r="Q1389" s="133">
        <v>1993</v>
      </c>
      <c r="R1389" s="134"/>
      <c r="S1389" s="5" t="s">
        <v>70</v>
      </c>
      <c r="T1389" s="8">
        <v>2205</v>
      </c>
      <c r="U1389" s="8">
        <v>7</v>
      </c>
      <c r="V1389" s="5" t="s">
        <v>23</v>
      </c>
      <c r="W1389" s="12">
        <v>5756726</v>
      </c>
      <c r="X1389" s="6"/>
      <c r="Y1389" s="6"/>
    </row>
    <row r="1390" spans="1:25" ht="15" customHeight="1" x14ac:dyDescent="0.2">
      <c r="A1390" s="88" t="s">
        <v>1713</v>
      </c>
      <c r="B1390" s="90"/>
      <c r="C1390" s="88" t="s">
        <v>1908</v>
      </c>
      <c r="D1390" s="90"/>
      <c r="E1390" s="88" t="s">
        <v>1896</v>
      </c>
      <c r="F1390" s="89"/>
      <c r="G1390" s="89"/>
      <c r="H1390" s="89"/>
      <c r="I1390" s="90"/>
      <c r="J1390" s="88" t="s">
        <v>770</v>
      </c>
      <c r="K1390" s="89"/>
      <c r="L1390" s="89"/>
      <c r="M1390" s="90"/>
      <c r="N1390" s="88" t="s">
        <v>26</v>
      </c>
      <c r="O1390" s="89"/>
      <c r="P1390" s="90"/>
      <c r="Q1390" s="133">
        <v>1993</v>
      </c>
      <c r="R1390" s="134"/>
      <c r="S1390" s="5" t="s">
        <v>70</v>
      </c>
      <c r="T1390" s="8">
        <v>2205</v>
      </c>
      <c r="U1390" s="8">
        <v>7</v>
      </c>
      <c r="V1390" s="5" t="s">
        <v>23</v>
      </c>
      <c r="W1390" s="12">
        <v>5756726</v>
      </c>
      <c r="X1390" s="6"/>
      <c r="Y1390" s="6"/>
    </row>
    <row r="1391" spans="1:25" ht="15" customHeight="1" x14ac:dyDescent="0.2">
      <c r="A1391" s="88" t="s">
        <v>1713</v>
      </c>
      <c r="B1391" s="90"/>
      <c r="C1391" s="88" t="s">
        <v>1909</v>
      </c>
      <c r="D1391" s="90"/>
      <c r="E1391" s="88" t="s">
        <v>1910</v>
      </c>
      <c r="F1391" s="89"/>
      <c r="G1391" s="89"/>
      <c r="H1391" s="89"/>
      <c r="I1391" s="90"/>
      <c r="J1391" s="88" t="s">
        <v>770</v>
      </c>
      <c r="K1391" s="89"/>
      <c r="L1391" s="89"/>
      <c r="M1391" s="90"/>
      <c r="N1391" s="88" t="s">
        <v>26</v>
      </c>
      <c r="O1391" s="89"/>
      <c r="P1391" s="90"/>
      <c r="Q1391" s="133">
        <v>1496</v>
      </c>
      <c r="R1391" s="134"/>
      <c r="S1391" s="5" t="s">
        <v>16</v>
      </c>
      <c r="T1391" s="8">
        <v>1655</v>
      </c>
      <c r="U1391" s="8">
        <v>5</v>
      </c>
      <c r="V1391" s="5" t="s">
        <v>23</v>
      </c>
      <c r="W1391" s="12">
        <v>4859962</v>
      </c>
      <c r="X1391" s="6"/>
      <c r="Y1391" s="6"/>
    </row>
    <row r="1392" spans="1:25" ht="15" customHeight="1" x14ac:dyDescent="0.2">
      <c r="A1392" s="88" t="s">
        <v>1713</v>
      </c>
      <c r="B1392" s="90"/>
      <c r="C1392" s="88" t="s">
        <v>1911</v>
      </c>
      <c r="D1392" s="90"/>
      <c r="E1392" s="88" t="s">
        <v>1912</v>
      </c>
      <c r="F1392" s="89"/>
      <c r="G1392" s="89"/>
      <c r="H1392" s="89"/>
      <c r="I1392" s="90"/>
      <c r="J1392" s="88" t="s">
        <v>775</v>
      </c>
      <c r="K1392" s="89"/>
      <c r="L1392" s="89"/>
      <c r="M1392" s="90"/>
      <c r="N1392" s="88" t="s">
        <v>26</v>
      </c>
      <c r="O1392" s="89"/>
      <c r="P1392" s="90"/>
      <c r="Q1392" s="133">
        <v>1496</v>
      </c>
      <c r="R1392" s="134"/>
      <c r="S1392" s="5" t="s">
        <v>16</v>
      </c>
      <c r="T1392" s="8">
        <v>1585</v>
      </c>
      <c r="U1392" s="8">
        <v>5</v>
      </c>
      <c r="V1392" s="5" t="s">
        <v>23</v>
      </c>
      <c r="W1392" s="12">
        <v>4362567</v>
      </c>
      <c r="X1392" s="6"/>
      <c r="Y1392" s="6"/>
    </row>
    <row r="1393" spans="1:25" ht="15" customHeight="1" x14ac:dyDescent="0.2">
      <c r="A1393" s="88" t="s">
        <v>1713</v>
      </c>
      <c r="B1393" s="90"/>
      <c r="C1393" s="88" t="s">
        <v>1913</v>
      </c>
      <c r="D1393" s="90"/>
      <c r="E1393" s="88" t="s">
        <v>1914</v>
      </c>
      <c r="F1393" s="89"/>
      <c r="G1393" s="89"/>
      <c r="H1393" s="89"/>
      <c r="I1393" s="90"/>
      <c r="J1393" s="88" t="s">
        <v>775</v>
      </c>
      <c r="K1393" s="89"/>
      <c r="L1393" s="89"/>
      <c r="M1393" s="90"/>
      <c r="N1393" s="88" t="s">
        <v>26</v>
      </c>
      <c r="O1393" s="89"/>
      <c r="P1393" s="90"/>
      <c r="Q1393" s="133">
        <v>1496</v>
      </c>
      <c r="R1393" s="134"/>
      <c r="S1393" s="5" t="s">
        <v>16</v>
      </c>
      <c r="T1393" s="8">
        <v>1585</v>
      </c>
      <c r="U1393" s="8">
        <v>5</v>
      </c>
      <c r="V1393" s="5" t="s">
        <v>23</v>
      </c>
      <c r="W1393" s="12">
        <v>4362567</v>
      </c>
      <c r="X1393" s="6"/>
      <c r="Y1393" s="6"/>
    </row>
    <row r="1394" spans="1:25" ht="15" customHeight="1" x14ac:dyDescent="0.2">
      <c r="A1394" s="88" t="s">
        <v>1713</v>
      </c>
      <c r="B1394" s="90"/>
      <c r="C1394" s="88" t="s">
        <v>1915</v>
      </c>
      <c r="D1394" s="90"/>
      <c r="E1394" s="88" t="s">
        <v>1916</v>
      </c>
      <c r="F1394" s="89"/>
      <c r="G1394" s="89"/>
      <c r="H1394" s="89"/>
      <c r="I1394" s="90"/>
      <c r="J1394" s="88" t="s">
        <v>770</v>
      </c>
      <c r="K1394" s="89"/>
      <c r="L1394" s="89"/>
      <c r="M1394" s="90"/>
      <c r="N1394" s="88" t="s">
        <v>26</v>
      </c>
      <c r="O1394" s="89"/>
      <c r="P1394" s="90"/>
      <c r="Q1394" s="133">
        <v>1496</v>
      </c>
      <c r="R1394" s="134"/>
      <c r="S1394" s="5" t="s">
        <v>16</v>
      </c>
      <c r="T1394" s="8">
        <v>1505</v>
      </c>
      <c r="U1394" s="8">
        <v>5</v>
      </c>
      <c r="V1394" s="5" t="s">
        <v>23</v>
      </c>
      <c r="W1394" s="12">
        <v>4173850</v>
      </c>
      <c r="X1394" s="6"/>
      <c r="Y1394" s="6"/>
    </row>
    <row r="1395" spans="1:25" ht="15" customHeight="1" x14ac:dyDescent="0.2">
      <c r="A1395" s="88" t="s">
        <v>1713</v>
      </c>
      <c r="B1395" s="90"/>
      <c r="C1395" s="88" t="s">
        <v>1917</v>
      </c>
      <c r="D1395" s="90"/>
      <c r="E1395" s="88" t="s">
        <v>1918</v>
      </c>
      <c r="F1395" s="89"/>
      <c r="G1395" s="89"/>
      <c r="H1395" s="89"/>
      <c r="I1395" s="90"/>
      <c r="J1395" s="88" t="s">
        <v>770</v>
      </c>
      <c r="K1395" s="89"/>
      <c r="L1395" s="89"/>
      <c r="M1395" s="90"/>
      <c r="N1395" s="88" t="s">
        <v>26</v>
      </c>
      <c r="O1395" s="89"/>
      <c r="P1395" s="90"/>
      <c r="Q1395" s="133">
        <v>1993</v>
      </c>
      <c r="R1395" s="134"/>
      <c r="S1395" s="5" t="s">
        <v>16</v>
      </c>
      <c r="T1395" s="8">
        <v>1835</v>
      </c>
      <c r="U1395" s="8">
        <v>5</v>
      </c>
      <c r="V1395" s="5" t="s">
        <v>23</v>
      </c>
      <c r="W1395" s="12">
        <v>5936623</v>
      </c>
      <c r="X1395" s="6"/>
      <c r="Y1395" s="6"/>
    </row>
    <row r="1396" spans="1:25" ht="15" customHeight="1" x14ac:dyDescent="0.2">
      <c r="A1396" s="88" t="s">
        <v>1919</v>
      </c>
      <c r="B1396" s="90"/>
      <c r="C1396" s="88" t="s">
        <v>1920</v>
      </c>
      <c r="D1396" s="90"/>
      <c r="E1396" s="106"/>
      <c r="F1396" s="107"/>
      <c r="G1396" s="107"/>
      <c r="H1396" s="107"/>
      <c r="I1396" s="108"/>
      <c r="J1396" s="88" t="s">
        <v>1499</v>
      </c>
      <c r="K1396" s="89"/>
      <c r="L1396" s="89"/>
      <c r="M1396" s="90"/>
      <c r="N1396" s="88" t="s">
        <v>22</v>
      </c>
      <c r="O1396" s="89"/>
      <c r="P1396" s="90"/>
      <c r="Q1396" s="88" t="s">
        <v>1921</v>
      </c>
      <c r="R1396" s="90"/>
      <c r="S1396" s="5" t="s">
        <v>1922</v>
      </c>
      <c r="T1396" s="6"/>
      <c r="U1396" s="8">
        <v>5</v>
      </c>
      <c r="V1396" s="5" t="s">
        <v>17</v>
      </c>
      <c r="W1396" s="9">
        <v>14118048</v>
      </c>
      <c r="X1396" s="6"/>
      <c r="Y1396" s="6"/>
    </row>
    <row r="1397" spans="1:25" ht="15" customHeight="1" x14ac:dyDescent="0.2">
      <c r="A1397" s="88" t="s">
        <v>1919</v>
      </c>
      <c r="B1397" s="90"/>
      <c r="C1397" s="88" t="s">
        <v>1923</v>
      </c>
      <c r="D1397" s="90"/>
      <c r="E1397" s="106"/>
      <c r="F1397" s="107"/>
      <c r="G1397" s="107"/>
      <c r="H1397" s="107"/>
      <c r="I1397" s="108"/>
      <c r="J1397" s="88" t="s">
        <v>1499</v>
      </c>
      <c r="K1397" s="89"/>
      <c r="L1397" s="89"/>
      <c r="M1397" s="90"/>
      <c r="N1397" s="88" t="s">
        <v>22</v>
      </c>
      <c r="O1397" s="89"/>
      <c r="P1397" s="90"/>
      <c r="Q1397" s="88" t="s">
        <v>1921</v>
      </c>
      <c r="R1397" s="90"/>
      <c r="S1397" s="5" t="s">
        <v>1922</v>
      </c>
      <c r="T1397" s="6"/>
      <c r="U1397" s="8">
        <v>5</v>
      </c>
      <c r="V1397" s="5" t="s">
        <v>17</v>
      </c>
      <c r="W1397" s="10">
        <v>15302472</v>
      </c>
      <c r="X1397" s="6"/>
      <c r="Y1397" s="6"/>
    </row>
    <row r="1398" spans="1:25" ht="15" customHeight="1" x14ac:dyDescent="0.2">
      <c r="A1398" s="88" t="s">
        <v>1919</v>
      </c>
      <c r="B1398" s="90"/>
      <c r="C1398" s="88" t="s">
        <v>1924</v>
      </c>
      <c r="D1398" s="90"/>
      <c r="E1398" s="106"/>
      <c r="F1398" s="107"/>
      <c r="G1398" s="107"/>
      <c r="H1398" s="107"/>
      <c r="I1398" s="108"/>
      <c r="J1398" s="88" t="s">
        <v>1499</v>
      </c>
      <c r="K1398" s="89"/>
      <c r="L1398" s="89"/>
      <c r="M1398" s="90"/>
      <c r="N1398" s="88" t="s">
        <v>22</v>
      </c>
      <c r="O1398" s="89"/>
      <c r="P1398" s="90"/>
      <c r="Q1398" s="88" t="s">
        <v>1925</v>
      </c>
      <c r="R1398" s="90"/>
      <c r="S1398" s="5" t="s">
        <v>1922</v>
      </c>
      <c r="T1398" s="6"/>
      <c r="U1398" s="8">
        <v>5</v>
      </c>
      <c r="V1398" s="5" t="s">
        <v>17</v>
      </c>
      <c r="W1398" s="9">
        <v>17761798</v>
      </c>
      <c r="X1398" s="6"/>
      <c r="Y1398" s="6"/>
    </row>
    <row r="1399" spans="1:25" ht="15" customHeight="1" x14ac:dyDescent="0.2">
      <c r="A1399" s="88" t="s">
        <v>1919</v>
      </c>
      <c r="B1399" s="90"/>
      <c r="C1399" s="88" t="s">
        <v>1926</v>
      </c>
      <c r="D1399" s="90"/>
      <c r="E1399" s="106"/>
      <c r="F1399" s="107"/>
      <c r="G1399" s="107"/>
      <c r="H1399" s="107"/>
      <c r="I1399" s="108"/>
      <c r="J1399" s="88" t="s">
        <v>1499</v>
      </c>
      <c r="K1399" s="89"/>
      <c r="L1399" s="89"/>
      <c r="M1399" s="90"/>
      <c r="N1399" s="88" t="s">
        <v>22</v>
      </c>
      <c r="O1399" s="89"/>
      <c r="P1399" s="90"/>
      <c r="Q1399" s="88" t="s">
        <v>1921</v>
      </c>
      <c r="R1399" s="90"/>
      <c r="S1399" s="5" t="s">
        <v>1922</v>
      </c>
      <c r="T1399" s="6"/>
      <c r="U1399" s="8">
        <v>5</v>
      </c>
      <c r="V1399" s="5" t="s">
        <v>17</v>
      </c>
      <c r="W1399" s="10">
        <v>21069231</v>
      </c>
      <c r="X1399" s="6"/>
      <c r="Y1399" s="6"/>
    </row>
    <row r="1400" spans="1:25" ht="15" customHeight="1" x14ac:dyDescent="0.2">
      <c r="A1400" s="88" t="s">
        <v>1919</v>
      </c>
      <c r="B1400" s="90"/>
      <c r="C1400" s="88" t="s">
        <v>1927</v>
      </c>
      <c r="D1400" s="90"/>
      <c r="E1400" s="106"/>
      <c r="F1400" s="107"/>
      <c r="G1400" s="107"/>
      <c r="H1400" s="107"/>
      <c r="I1400" s="108"/>
      <c r="J1400" s="88" t="s">
        <v>1499</v>
      </c>
      <c r="K1400" s="89"/>
      <c r="L1400" s="89"/>
      <c r="M1400" s="90"/>
      <c r="N1400" s="88" t="s">
        <v>22</v>
      </c>
      <c r="O1400" s="89"/>
      <c r="P1400" s="90"/>
      <c r="Q1400" s="88" t="s">
        <v>1921</v>
      </c>
      <c r="R1400" s="90"/>
      <c r="S1400" s="5" t="s">
        <v>1922</v>
      </c>
      <c r="T1400" s="6"/>
      <c r="U1400" s="8">
        <v>5</v>
      </c>
      <c r="V1400" s="5" t="s">
        <v>17</v>
      </c>
      <c r="W1400" s="10">
        <v>19868356</v>
      </c>
      <c r="X1400" s="6"/>
      <c r="Y1400" s="6"/>
    </row>
    <row r="1401" spans="1:25" ht="15" customHeight="1" x14ac:dyDescent="0.2">
      <c r="A1401" s="88" t="s">
        <v>1919</v>
      </c>
      <c r="B1401" s="90"/>
      <c r="C1401" s="88" t="s">
        <v>1928</v>
      </c>
      <c r="D1401" s="90"/>
      <c r="E1401" s="106"/>
      <c r="F1401" s="107"/>
      <c r="G1401" s="107"/>
      <c r="H1401" s="107"/>
      <c r="I1401" s="108"/>
      <c r="J1401" s="88" t="s">
        <v>1499</v>
      </c>
      <c r="K1401" s="89"/>
      <c r="L1401" s="89"/>
      <c r="M1401" s="90"/>
      <c r="N1401" s="88" t="s">
        <v>22</v>
      </c>
      <c r="O1401" s="89"/>
      <c r="P1401" s="90"/>
      <c r="Q1401" s="88" t="s">
        <v>1921</v>
      </c>
      <c r="R1401" s="90"/>
      <c r="S1401" s="5" t="s">
        <v>1922</v>
      </c>
      <c r="T1401" s="6"/>
      <c r="U1401" s="8">
        <v>5</v>
      </c>
      <c r="V1401" s="5" t="s">
        <v>17</v>
      </c>
      <c r="W1401" s="9">
        <v>27051671</v>
      </c>
      <c r="X1401" s="6"/>
      <c r="Y1401" s="6"/>
    </row>
    <row r="1402" spans="1:25" ht="15" customHeight="1" x14ac:dyDescent="0.2">
      <c r="A1402" s="88" t="s">
        <v>1919</v>
      </c>
      <c r="B1402" s="90"/>
      <c r="C1402" s="88" t="s">
        <v>1929</v>
      </c>
      <c r="D1402" s="90"/>
      <c r="E1402" s="106"/>
      <c r="F1402" s="107"/>
      <c r="G1402" s="107"/>
      <c r="H1402" s="107"/>
      <c r="I1402" s="108"/>
      <c r="J1402" s="88" t="s">
        <v>1499</v>
      </c>
      <c r="K1402" s="89"/>
      <c r="L1402" s="89"/>
      <c r="M1402" s="90"/>
      <c r="N1402" s="88" t="s">
        <v>22</v>
      </c>
      <c r="O1402" s="89"/>
      <c r="P1402" s="90"/>
      <c r="Q1402" s="88" t="s">
        <v>1930</v>
      </c>
      <c r="R1402" s="90"/>
      <c r="S1402" s="5" t="s">
        <v>16</v>
      </c>
      <c r="T1402" s="6"/>
      <c r="U1402" s="8">
        <v>5</v>
      </c>
      <c r="V1402" s="5" t="s">
        <v>17</v>
      </c>
      <c r="W1402" s="9">
        <v>14621611</v>
      </c>
      <c r="X1402" s="6"/>
      <c r="Y1402" s="6"/>
    </row>
    <row r="1403" spans="1:25" ht="15" customHeight="1" x14ac:dyDescent="0.2">
      <c r="A1403" s="88" t="s">
        <v>1919</v>
      </c>
      <c r="B1403" s="90"/>
      <c r="C1403" s="88" t="s">
        <v>1924</v>
      </c>
      <c r="D1403" s="90"/>
      <c r="E1403" s="106"/>
      <c r="F1403" s="107"/>
      <c r="G1403" s="107"/>
      <c r="H1403" s="107"/>
      <c r="I1403" s="108"/>
      <c r="J1403" s="88" t="s">
        <v>1499</v>
      </c>
      <c r="K1403" s="89"/>
      <c r="L1403" s="89"/>
      <c r="M1403" s="90"/>
      <c r="N1403" s="88" t="s">
        <v>22</v>
      </c>
      <c r="O1403" s="89"/>
      <c r="P1403" s="90"/>
      <c r="Q1403" s="88" t="s">
        <v>1930</v>
      </c>
      <c r="R1403" s="90"/>
      <c r="S1403" s="5" t="s">
        <v>1922</v>
      </c>
      <c r="T1403" s="6"/>
      <c r="U1403" s="8">
        <v>5</v>
      </c>
      <c r="V1403" s="5" t="s">
        <v>17</v>
      </c>
      <c r="W1403" s="10">
        <v>18799345</v>
      </c>
      <c r="X1403" s="6"/>
      <c r="Y1403" s="6"/>
    </row>
    <row r="1404" spans="1:25" ht="15" customHeight="1" x14ac:dyDescent="0.2">
      <c r="A1404" s="88" t="s">
        <v>1919</v>
      </c>
      <c r="B1404" s="90"/>
      <c r="C1404" s="88" t="s">
        <v>1926</v>
      </c>
      <c r="D1404" s="90"/>
      <c r="E1404" s="106"/>
      <c r="F1404" s="107"/>
      <c r="G1404" s="107"/>
      <c r="H1404" s="107"/>
      <c r="I1404" s="108"/>
      <c r="J1404" s="88" t="s">
        <v>1499</v>
      </c>
      <c r="K1404" s="89"/>
      <c r="L1404" s="89"/>
      <c r="M1404" s="90"/>
      <c r="N1404" s="88" t="s">
        <v>22</v>
      </c>
      <c r="O1404" s="89"/>
      <c r="P1404" s="90"/>
      <c r="Q1404" s="88" t="s">
        <v>1931</v>
      </c>
      <c r="R1404" s="90"/>
      <c r="S1404" s="5" t="s">
        <v>1922</v>
      </c>
      <c r="T1404" s="6"/>
      <c r="U1404" s="8">
        <v>5</v>
      </c>
      <c r="V1404" s="5" t="s">
        <v>17</v>
      </c>
      <c r="W1404" s="10">
        <v>24369656</v>
      </c>
      <c r="X1404" s="6"/>
      <c r="Y1404" s="6"/>
    </row>
    <row r="1405" spans="1:25" ht="15" customHeight="1" x14ac:dyDescent="0.2">
      <c r="A1405" s="88" t="s">
        <v>1932</v>
      </c>
      <c r="B1405" s="90"/>
      <c r="C1405" s="88" t="s">
        <v>1933</v>
      </c>
      <c r="D1405" s="90"/>
      <c r="E1405" s="88" t="s">
        <v>1934</v>
      </c>
      <c r="F1405" s="89"/>
      <c r="G1405" s="89"/>
      <c r="H1405" s="89"/>
      <c r="I1405" s="90"/>
      <c r="J1405" s="88" t="s">
        <v>1499</v>
      </c>
      <c r="K1405" s="89"/>
      <c r="L1405" s="89"/>
      <c r="M1405" s="90"/>
      <c r="N1405" s="106"/>
      <c r="O1405" s="107"/>
      <c r="P1405" s="108"/>
      <c r="Q1405" s="133">
        <v>1500</v>
      </c>
      <c r="R1405" s="134"/>
      <c r="S1405" s="5" t="s">
        <v>27</v>
      </c>
      <c r="T1405" s="6"/>
      <c r="U1405" s="6"/>
      <c r="V1405" s="5" t="s">
        <v>702</v>
      </c>
      <c r="W1405" s="9">
        <v>5264109</v>
      </c>
      <c r="X1405" s="6"/>
      <c r="Y1405" s="6"/>
    </row>
    <row r="1406" spans="1:25" ht="15" customHeight="1" x14ac:dyDescent="0.2">
      <c r="A1406" s="88" t="s">
        <v>1932</v>
      </c>
      <c r="B1406" s="90"/>
      <c r="C1406" s="88" t="s">
        <v>1935</v>
      </c>
      <c r="D1406" s="90"/>
      <c r="E1406" s="88" t="s">
        <v>1936</v>
      </c>
      <c r="F1406" s="89"/>
      <c r="G1406" s="89"/>
      <c r="H1406" s="89"/>
      <c r="I1406" s="90"/>
      <c r="J1406" s="88" t="s">
        <v>1499</v>
      </c>
      <c r="K1406" s="89"/>
      <c r="L1406" s="89"/>
      <c r="M1406" s="90"/>
      <c r="N1406" s="106"/>
      <c r="O1406" s="107"/>
      <c r="P1406" s="108"/>
      <c r="Q1406" s="133">
        <v>1500</v>
      </c>
      <c r="R1406" s="134"/>
      <c r="S1406" s="5" t="s">
        <v>27</v>
      </c>
      <c r="T1406" s="6"/>
      <c r="U1406" s="6"/>
      <c r="V1406" s="5" t="s">
        <v>702</v>
      </c>
      <c r="W1406" s="9">
        <v>5995235</v>
      </c>
      <c r="X1406" s="6"/>
      <c r="Y1406" s="6"/>
    </row>
    <row r="1407" spans="1:25" ht="15" customHeight="1" x14ac:dyDescent="0.2">
      <c r="A1407" s="88" t="s">
        <v>1932</v>
      </c>
      <c r="B1407" s="90"/>
      <c r="C1407" s="88" t="s">
        <v>1937</v>
      </c>
      <c r="D1407" s="90"/>
      <c r="E1407" s="88" t="s">
        <v>1938</v>
      </c>
      <c r="F1407" s="89"/>
      <c r="G1407" s="89"/>
      <c r="H1407" s="89"/>
      <c r="I1407" s="90"/>
      <c r="J1407" s="88" t="s">
        <v>1499</v>
      </c>
      <c r="K1407" s="89"/>
      <c r="L1407" s="89"/>
      <c r="M1407" s="90"/>
      <c r="N1407" s="106"/>
      <c r="O1407" s="107"/>
      <c r="P1407" s="108"/>
      <c r="Q1407" s="133">
        <v>1600</v>
      </c>
      <c r="R1407" s="134"/>
      <c r="S1407" s="5" t="s">
        <v>27</v>
      </c>
      <c r="T1407" s="6"/>
      <c r="U1407" s="6"/>
      <c r="V1407" s="5" t="s">
        <v>702</v>
      </c>
      <c r="W1407" s="9">
        <v>4745009</v>
      </c>
      <c r="X1407" s="6"/>
      <c r="Y1407" s="6"/>
    </row>
    <row r="1408" spans="1:25" ht="15" customHeight="1" x14ac:dyDescent="0.2">
      <c r="A1408" s="88" t="s">
        <v>1932</v>
      </c>
      <c r="B1408" s="90"/>
      <c r="C1408" s="88" t="s">
        <v>1937</v>
      </c>
      <c r="D1408" s="90"/>
      <c r="E1408" s="88" t="s">
        <v>1938</v>
      </c>
      <c r="F1408" s="89"/>
      <c r="G1408" s="89"/>
      <c r="H1408" s="89"/>
      <c r="I1408" s="90"/>
      <c r="J1408" s="88" t="s">
        <v>1246</v>
      </c>
      <c r="K1408" s="89"/>
      <c r="L1408" s="89"/>
      <c r="M1408" s="90"/>
      <c r="N1408" s="106"/>
      <c r="O1408" s="107"/>
      <c r="P1408" s="108"/>
      <c r="Q1408" s="133">
        <v>1600</v>
      </c>
      <c r="R1408" s="134"/>
      <c r="S1408" s="5" t="s">
        <v>27</v>
      </c>
      <c r="T1408" s="6"/>
      <c r="U1408" s="6"/>
      <c r="V1408" s="5" t="s">
        <v>702</v>
      </c>
      <c r="W1408" s="9">
        <v>4061406</v>
      </c>
      <c r="X1408" s="6"/>
      <c r="Y1408" s="6"/>
    </row>
    <row r="1409" spans="1:25" ht="15" customHeight="1" x14ac:dyDescent="0.2">
      <c r="A1409" s="88" t="s">
        <v>1932</v>
      </c>
      <c r="B1409" s="90"/>
      <c r="C1409" s="88" t="s">
        <v>1937</v>
      </c>
      <c r="D1409" s="90"/>
      <c r="E1409" s="88" t="s">
        <v>1938</v>
      </c>
      <c r="F1409" s="89"/>
      <c r="G1409" s="89"/>
      <c r="H1409" s="89"/>
      <c r="I1409" s="90"/>
      <c r="J1409" s="88" t="s">
        <v>1499</v>
      </c>
      <c r="K1409" s="89"/>
      <c r="L1409" s="89"/>
      <c r="M1409" s="90"/>
      <c r="N1409" s="106"/>
      <c r="O1409" s="107"/>
      <c r="P1409" s="108"/>
      <c r="Q1409" s="133">
        <v>1600</v>
      </c>
      <c r="R1409" s="134"/>
      <c r="S1409" s="5" t="s">
        <v>44</v>
      </c>
      <c r="T1409" s="6"/>
      <c r="U1409" s="6"/>
      <c r="V1409" s="5" t="s">
        <v>702</v>
      </c>
      <c r="W1409" s="9">
        <v>4745009</v>
      </c>
      <c r="X1409" s="6"/>
      <c r="Y1409" s="6"/>
    </row>
    <row r="1410" spans="1:25" ht="15" customHeight="1" x14ac:dyDescent="0.2">
      <c r="A1410" s="88" t="s">
        <v>1932</v>
      </c>
      <c r="B1410" s="90"/>
      <c r="C1410" s="88" t="s">
        <v>1937</v>
      </c>
      <c r="D1410" s="90"/>
      <c r="E1410" s="88" t="s">
        <v>1938</v>
      </c>
      <c r="F1410" s="89"/>
      <c r="G1410" s="89"/>
      <c r="H1410" s="89"/>
      <c r="I1410" s="90"/>
      <c r="J1410" s="88" t="s">
        <v>1246</v>
      </c>
      <c r="K1410" s="89"/>
      <c r="L1410" s="89"/>
      <c r="M1410" s="90"/>
      <c r="N1410" s="106"/>
      <c r="O1410" s="107"/>
      <c r="P1410" s="108"/>
      <c r="Q1410" s="133">
        <v>1600</v>
      </c>
      <c r="R1410" s="134"/>
      <c r="S1410" s="5" t="s">
        <v>44</v>
      </c>
      <c r="T1410" s="6"/>
      <c r="U1410" s="6"/>
      <c r="V1410" s="5" t="s">
        <v>702</v>
      </c>
      <c r="W1410" s="9">
        <v>4061406</v>
      </c>
      <c r="X1410" s="6"/>
      <c r="Y1410" s="6"/>
    </row>
    <row r="1411" spans="1:25" ht="15" customHeight="1" x14ac:dyDescent="0.2">
      <c r="A1411" s="88" t="s">
        <v>1932</v>
      </c>
      <c r="B1411" s="90"/>
      <c r="C1411" s="88" t="s">
        <v>1939</v>
      </c>
      <c r="D1411" s="90"/>
      <c r="E1411" s="88" t="s">
        <v>1940</v>
      </c>
      <c r="F1411" s="89"/>
      <c r="G1411" s="89"/>
      <c r="H1411" s="89"/>
      <c r="I1411" s="90"/>
      <c r="J1411" s="88" t="s">
        <v>1246</v>
      </c>
      <c r="K1411" s="89"/>
      <c r="L1411" s="89"/>
      <c r="M1411" s="90"/>
      <c r="N1411" s="106"/>
      <c r="O1411" s="107"/>
      <c r="P1411" s="108"/>
      <c r="Q1411" s="133">
        <v>1600</v>
      </c>
      <c r="R1411" s="134"/>
      <c r="S1411" s="5" t="s">
        <v>44</v>
      </c>
      <c r="T1411" s="6"/>
      <c r="U1411" s="6"/>
      <c r="V1411" s="5" t="s">
        <v>702</v>
      </c>
      <c r="W1411" s="9">
        <v>6139023</v>
      </c>
      <c r="X1411" s="6"/>
      <c r="Y1411" s="6"/>
    </row>
    <row r="1412" spans="1:25" ht="15" customHeight="1" x14ac:dyDescent="0.2">
      <c r="A1412" s="88" t="s">
        <v>1932</v>
      </c>
      <c r="B1412" s="90"/>
      <c r="C1412" s="88" t="s">
        <v>1939</v>
      </c>
      <c r="D1412" s="90"/>
      <c r="E1412" s="88" t="s">
        <v>1940</v>
      </c>
      <c r="F1412" s="89"/>
      <c r="G1412" s="89"/>
      <c r="H1412" s="89"/>
      <c r="I1412" s="90"/>
      <c r="J1412" s="88" t="s">
        <v>1499</v>
      </c>
      <c r="K1412" s="89"/>
      <c r="L1412" s="89"/>
      <c r="M1412" s="90"/>
      <c r="N1412" s="106"/>
      <c r="O1412" s="107"/>
      <c r="P1412" s="108"/>
      <c r="Q1412" s="133">
        <v>1600</v>
      </c>
      <c r="R1412" s="134"/>
      <c r="S1412" s="5" t="s">
        <v>44</v>
      </c>
      <c r="T1412" s="6"/>
      <c r="U1412" s="6"/>
      <c r="V1412" s="5" t="s">
        <v>702</v>
      </c>
      <c r="W1412" s="9">
        <v>6836030</v>
      </c>
      <c r="X1412" s="6"/>
      <c r="Y1412" s="6"/>
    </row>
    <row r="1413" spans="1:25" ht="15" customHeight="1" x14ac:dyDescent="0.2">
      <c r="A1413" s="88" t="s">
        <v>1932</v>
      </c>
      <c r="B1413" s="90"/>
      <c r="C1413" s="88" t="s">
        <v>1941</v>
      </c>
      <c r="D1413" s="90"/>
      <c r="E1413" s="88" t="s">
        <v>1942</v>
      </c>
      <c r="F1413" s="89"/>
      <c r="G1413" s="89"/>
      <c r="H1413" s="89"/>
      <c r="I1413" s="90"/>
      <c r="J1413" s="88" t="s">
        <v>1246</v>
      </c>
      <c r="K1413" s="89"/>
      <c r="L1413" s="89"/>
      <c r="M1413" s="90"/>
      <c r="N1413" s="106"/>
      <c r="O1413" s="107"/>
      <c r="P1413" s="108"/>
      <c r="Q1413" s="133">
        <v>1600</v>
      </c>
      <c r="R1413" s="134"/>
      <c r="S1413" s="5" t="s">
        <v>44</v>
      </c>
      <c r="T1413" s="6"/>
      <c r="U1413" s="6"/>
      <c r="V1413" s="5" t="s">
        <v>702</v>
      </c>
      <c r="W1413" s="9">
        <v>6192639</v>
      </c>
      <c r="X1413" s="6"/>
      <c r="Y1413" s="6"/>
    </row>
    <row r="1414" spans="1:25" ht="15" customHeight="1" x14ac:dyDescent="0.2">
      <c r="A1414" s="88" t="s">
        <v>1932</v>
      </c>
      <c r="B1414" s="90"/>
      <c r="C1414" s="88" t="s">
        <v>1941</v>
      </c>
      <c r="D1414" s="90"/>
      <c r="E1414" s="88" t="s">
        <v>1942</v>
      </c>
      <c r="F1414" s="89"/>
      <c r="G1414" s="89"/>
      <c r="H1414" s="89"/>
      <c r="I1414" s="90"/>
      <c r="J1414" s="88" t="s">
        <v>1499</v>
      </c>
      <c r="K1414" s="89"/>
      <c r="L1414" s="89"/>
      <c r="M1414" s="90"/>
      <c r="N1414" s="106"/>
      <c r="O1414" s="107"/>
      <c r="P1414" s="108"/>
      <c r="Q1414" s="133">
        <v>1600</v>
      </c>
      <c r="R1414" s="134"/>
      <c r="S1414" s="5" t="s">
        <v>44</v>
      </c>
      <c r="T1414" s="6"/>
      <c r="U1414" s="6"/>
      <c r="V1414" s="5" t="s">
        <v>702</v>
      </c>
      <c r="W1414" s="9">
        <v>6889646</v>
      </c>
      <c r="X1414" s="6"/>
      <c r="Y1414" s="6"/>
    </row>
    <row r="1415" spans="1:25" ht="15" customHeight="1" x14ac:dyDescent="0.2">
      <c r="A1415" s="88" t="s">
        <v>1932</v>
      </c>
      <c r="B1415" s="90"/>
      <c r="C1415" s="88" t="s">
        <v>1943</v>
      </c>
      <c r="D1415" s="90"/>
      <c r="E1415" s="88" t="s">
        <v>1944</v>
      </c>
      <c r="F1415" s="89"/>
      <c r="G1415" s="89"/>
      <c r="H1415" s="89"/>
      <c r="I1415" s="90"/>
      <c r="J1415" s="88" t="s">
        <v>1246</v>
      </c>
      <c r="K1415" s="89"/>
      <c r="L1415" s="89"/>
      <c r="M1415" s="90"/>
      <c r="N1415" s="106"/>
      <c r="O1415" s="107"/>
      <c r="P1415" s="108"/>
      <c r="Q1415" s="133">
        <v>1600</v>
      </c>
      <c r="R1415" s="134"/>
      <c r="S1415" s="5" t="s">
        <v>44</v>
      </c>
      <c r="T1415" s="6"/>
      <c r="U1415" s="6"/>
      <c r="V1415" s="5" t="s">
        <v>702</v>
      </c>
      <c r="W1415" s="9">
        <v>6836030</v>
      </c>
      <c r="X1415" s="6"/>
      <c r="Y1415" s="6"/>
    </row>
    <row r="1416" spans="1:25" ht="15" customHeight="1" x14ac:dyDescent="0.2">
      <c r="A1416" s="88" t="s">
        <v>1932</v>
      </c>
      <c r="B1416" s="90"/>
      <c r="C1416" s="88" t="s">
        <v>1943</v>
      </c>
      <c r="D1416" s="90"/>
      <c r="E1416" s="88" t="s">
        <v>1944</v>
      </c>
      <c r="F1416" s="89"/>
      <c r="G1416" s="89"/>
      <c r="H1416" s="89"/>
      <c r="I1416" s="90"/>
      <c r="J1416" s="88" t="s">
        <v>1499</v>
      </c>
      <c r="K1416" s="89"/>
      <c r="L1416" s="89"/>
      <c r="M1416" s="90"/>
      <c r="N1416" s="106"/>
      <c r="O1416" s="107"/>
      <c r="P1416" s="108"/>
      <c r="Q1416" s="133">
        <v>1600</v>
      </c>
      <c r="R1416" s="134"/>
      <c r="S1416" s="5" t="s">
        <v>44</v>
      </c>
      <c r="T1416" s="6"/>
      <c r="U1416" s="6"/>
      <c r="V1416" s="5" t="s">
        <v>702</v>
      </c>
      <c r="W1416" s="9">
        <v>7425806</v>
      </c>
      <c r="X1416" s="6"/>
      <c r="Y1416" s="6"/>
    </row>
    <row r="1417" spans="1:25" ht="15" customHeight="1" x14ac:dyDescent="0.2">
      <c r="A1417" s="88" t="s">
        <v>1932</v>
      </c>
      <c r="B1417" s="90"/>
      <c r="C1417" s="88" t="s">
        <v>1945</v>
      </c>
      <c r="D1417" s="90"/>
      <c r="E1417" s="88" t="s">
        <v>1946</v>
      </c>
      <c r="F1417" s="89"/>
      <c r="G1417" s="89"/>
      <c r="H1417" s="89"/>
      <c r="I1417" s="90"/>
      <c r="J1417" s="88" t="s">
        <v>1246</v>
      </c>
      <c r="K1417" s="89"/>
      <c r="L1417" s="89"/>
      <c r="M1417" s="90"/>
      <c r="N1417" s="106"/>
      <c r="O1417" s="107"/>
      <c r="P1417" s="108"/>
      <c r="Q1417" s="133">
        <v>1600</v>
      </c>
      <c r="R1417" s="134"/>
      <c r="S1417" s="5" t="s">
        <v>44</v>
      </c>
      <c r="T1417" s="6"/>
      <c r="U1417" s="6"/>
      <c r="V1417" s="5" t="s">
        <v>702</v>
      </c>
      <c r="W1417" s="9">
        <v>6889646</v>
      </c>
      <c r="X1417" s="6"/>
      <c r="Y1417" s="6"/>
    </row>
    <row r="1418" spans="1:25" ht="15" customHeight="1" x14ac:dyDescent="0.2">
      <c r="A1418" s="88" t="s">
        <v>1932</v>
      </c>
      <c r="B1418" s="90"/>
      <c r="C1418" s="88" t="s">
        <v>1945</v>
      </c>
      <c r="D1418" s="90"/>
      <c r="E1418" s="88" t="s">
        <v>1946</v>
      </c>
      <c r="F1418" s="89"/>
      <c r="G1418" s="89"/>
      <c r="H1418" s="89"/>
      <c r="I1418" s="90"/>
      <c r="J1418" s="88" t="s">
        <v>1499</v>
      </c>
      <c r="K1418" s="89"/>
      <c r="L1418" s="89"/>
      <c r="M1418" s="90"/>
      <c r="N1418" s="106"/>
      <c r="O1418" s="107"/>
      <c r="P1418" s="108"/>
      <c r="Q1418" s="133">
        <v>1600</v>
      </c>
      <c r="R1418" s="134"/>
      <c r="S1418" s="5" t="s">
        <v>44</v>
      </c>
      <c r="T1418" s="6"/>
      <c r="U1418" s="6"/>
      <c r="V1418" s="5" t="s">
        <v>702</v>
      </c>
      <c r="W1418" s="9">
        <v>7506230</v>
      </c>
      <c r="X1418" s="6"/>
      <c r="Y1418" s="6"/>
    </row>
    <row r="1419" spans="1:25" ht="15" customHeight="1" x14ac:dyDescent="0.2">
      <c r="A1419" s="88" t="s">
        <v>1932</v>
      </c>
      <c r="B1419" s="90"/>
      <c r="C1419" s="88" t="s">
        <v>1947</v>
      </c>
      <c r="D1419" s="90"/>
      <c r="E1419" s="88" t="s">
        <v>1948</v>
      </c>
      <c r="F1419" s="89"/>
      <c r="G1419" s="89"/>
      <c r="H1419" s="89"/>
      <c r="I1419" s="90"/>
      <c r="J1419" s="88" t="s">
        <v>1246</v>
      </c>
      <c r="K1419" s="89"/>
      <c r="L1419" s="89"/>
      <c r="M1419" s="90"/>
      <c r="N1419" s="106"/>
      <c r="O1419" s="107"/>
      <c r="P1419" s="108"/>
      <c r="Q1419" s="133">
        <v>1600</v>
      </c>
      <c r="R1419" s="134"/>
      <c r="S1419" s="5" t="s">
        <v>27</v>
      </c>
      <c r="T1419" s="6"/>
      <c r="U1419" s="6"/>
      <c r="V1419" s="5" t="s">
        <v>702</v>
      </c>
      <c r="W1419" s="9">
        <v>5190996</v>
      </c>
      <c r="X1419" s="6"/>
      <c r="Y1419" s="6"/>
    </row>
    <row r="1420" spans="1:25" ht="15" customHeight="1" x14ac:dyDescent="0.2">
      <c r="A1420" s="88" t="s">
        <v>1932</v>
      </c>
      <c r="B1420" s="90"/>
      <c r="C1420" s="88" t="s">
        <v>1949</v>
      </c>
      <c r="D1420" s="90"/>
      <c r="E1420" s="88" t="s">
        <v>1950</v>
      </c>
      <c r="F1420" s="89"/>
      <c r="G1420" s="89"/>
      <c r="H1420" s="89"/>
      <c r="I1420" s="90"/>
      <c r="J1420" s="88" t="s">
        <v>1246</v>
      </c>
      <c r="K1420" s="89"/>
      <c r="L1420" s="89"/>
      <c r="M1420" s="90"/>
      <c r="N1420" s="106"/>
      <c r="O1420" s="107"/>
      <c r="P1420" s="108"/>
      <c r="Q1420" s="133">
        <v>1600</v>
      </c>
      <c r="R1420" s="134"/>
      <c r="S1420" s="5" t="s">
        <v>27</v>
      </c>
      <c r="T1420" s="6"/>
      <c r="U1420" s="6"/>
      <c r="V1420" s="5" t="s">
        <v>702</v>
      </c>
      <c r="W1420" s="9">
        <v>5337222</v>
      </c>
      <c r="X1420" s="6"/>
      <c r="Y1420" s="6"/>
    </row>
    <row r="1421" spans="1:25" ht="15" customHeight="1" x14ac:dyDescent="0.2">
      <c r="A1421" s="88" t="s">
        <v>1932</v>
      </c>
      <c r="B1421" s="90"/>
      <c r="C1421" s="88" t="s">
        <v>1951</v>
      </c>
      <c r="D1421" s="90"/>
      <c r="E1421" s="88" t="s">
        <v>1952</v>
      </c>
      <c r="F1421" s="89"/>
      <c r="G1421" s="89"/>
      <c r="H1421" s="89"/>
      <c r="I1421" s="90"/>
      <c r="J1421" s="88" t="s">
        <v>1499</v>
      </c>
      <c r="K1421" s="89"/>
      <c r="L1421" s="89"/>
      <c r="M1421" s="90"/>
      <c r="N1421" s="106"/>
      <c r="O1421" s="107"/>
      <c r="P1421" s="108"/>
      <c r="Q1421" s="133">
        <v>1600</v>
      </c>
      <c r="R1421" s="134"/>
      <c r="S1421" s="5" t="s">
        <v>44</v>
      </c>
      <c r="T1421" s="6"/>
      <c r="U1421" s="6"/>
      <c r="V1421" s="5" t="s">
        <v>96</v>
      </c>
      <c r="W1421" s="9">
        <v>5483447</v>
      </c>
      <c r="X1421" s="6"/>
      <c r="Y1421" s="6"/>
    </row>
    <row r="1422" spans="1:25" ht="15" customHeight="1" x14ac:dyDescent="0.2">
      <c r="A1422" s="88" t="s">
        <v>1932</v>
      </c>
      <c r="B1422" s="90"/>
      <c r="C1422" s="88" t="s">
        <v>1953</v>
      </c>
      <c r="D1422" s="90"/>
      <c r="E1422" s="88" t="s">
        <v>1954</v>
      </c>
      <c r="F1422" s="89"/>
      <c r="G1422" s="89"/>
      <c r="H1422" s="89"/>
      <c r="I1422" s="90"/>
      <c r="J1422" s="88" t="s">
        <v>1499</v>
      </c>
      <c r="K1422" s="89"/>
      <c r="L1422" s="89"/>
      <c r="M1422" s="90"/>
      <c r="N1422" s="106"/>
      <c r="O1422" s="107"/>
      <c r="P1422" s="108"/>
      <c r="Q1422" s="133">
        <v>1600</v>
      </c>
      <c r="R1422" s="134"/>
      <c r="S1422" s="5" t="s">
        <v>44</v>
      </c>
      <c r="T1422" s="6"/>
      <c r="U1422" s="6"/>
      <c r="V1422" s="5" t="s">
        <v>96</v>
      </c>
      <c r="W1422" s="9">
        <v>4825433</v>
      </c>
      <c r="X1422" s="6"/>
      <c r="Y1422" s="6"/>
    </row>
    <row r="1423" spans="1:25" ht="15" customHeight="1" x14ac:dyDescent="0.2">
      <c r="A1423" s="88" t="s">
        <v>1932</v>
      </c>
      <c r="B1423" s="90"/>
      <c r="C1423" s="88" t="s">
        <v>1955</v>
      </c>
      <c r="D1423" s="90"/>
      <c r="E1423" s="88" t="s">
        <v>1956</v>
      </c>
      <c r="F1423" s="89"/>
      <c r="G1423" s="89"/>
      <c r="H1423" s="89"/>
      <c r="I1423" s="90"/>
      <c r="J1423" s="88" t="s">
        <v>1246</v>
      </c>
      <c r="K1423" s="89"/>
      <c r="L1423" s="89"/>
      <c r="M1423" s="90"/>
      <c r="N1423" s="106"/>
      <c r="O1423" s="107"/>
      <c r="P1423" s="108"/>
      <c r="Q1423" s="133">
        <v>1600</v>
      </c>
      <c r="R1423" s="134"/>
      <c r="S1423" s="5" t="s">
        <v>27</v>
      </c>
      <c r="T1423" s="6"/>
      <c r="U1423" s="6"/>
      <c r="V1423" s="5" t="s">
        <v>702</v>
      </c>
      <c r="W1423" s="9">
        <v>4459870</v>
      </c>
      <c r="X1423" s="6"/>
      <c r="Y1423" s="6"/>
    </row>
    <row r="1424" spans="1:25" ht="15" customHeight="1" x14ac:dyDescent="0.2">
      <c r="A1424" s="88" t="s">
        <v>1932</v>
      </c>
      <c r="B1424" s="90"/>
      <c r="C1424" s="88" t="s">
        <v>1955</v>
      </c>
      <c r="D1424" s="90"/>
      <c r="E1424" s="88" t="s">
        <v>1956</v>
      </c>
      <c r="F1424" s="89"/>
      <c r="G1424" s="89"/>
      <c r="H1424" s="89"/>
      <c r="I1424" s="90"/>
      <c r="J1424" s="88" t="s">
        <v>1499</v>
      </c>
      <c r="K1424" s="89"/>
      <c r="L1424" s="89"/>
      <c r="M1424" s="90"/>
      <c r="N1424" s="106"/>
      <c r="O1424" s="107"/>
      <c r="P1424" s="108"/>
      <c r="Q1424" s="133">
        <v>1600</v>
      </c>
      <c r="R1424" s="134"/>
      <c r="S1424" s="5" t="s">
        <v>27</v>
      </c>
      <c r="T1424" s="6"/>
      <c r="U1424" s="6"/>
      <c r="V1424" s="5" t="s">
        <v>702</v>
      </c>
      <c r="W1424" s="9">
        <v>4752321</v>
      </c>
      <c r="X1424" s="6"/>
      <c r="Y1424" s="6"/>
    </row>
    <row r="1425" spans="1:25" ht="15" customHeight="1" x14ac:dyDescent="0.2">
      <c r="A1425" s="88" t="s">
        <v>1932</v>
      </c>
      <c r="B1425" s="90"/>
      <c r="C1425" s="88" t="s">
        <v>1955</v>
      </c>
      <c r="D1425" s="90"/>
      <c r="E1425" s="88" t="s">
        <v>1956</v>
      </c>
      <c r="F1425" s="89"/>
      <c r="G1425" s="89"/>
      <c r="H1425" s="89"/>
      <c r="I1425" s="90"/>
      <c r="J1425" s="88" t="s">
        <v>1499</v>
      </c>
      <c r="K1425" s="89"/>
      <c r="L1425" s="89"/>
      <c r="M1425" s="90"/>
      <c r="N1425" s="106"/>
      <c r="O1425" s="107"/>
      <c r="P1425" s="108"/>
      <c r="Q1425" s="133">
        <v>1600</v>
      </c>
      <c r="R1425" s="134"/>
      <c r="S1425" s="5" t="s">
        <v>44</v>
      </c>
      <c r="T1425" s="6"/>
      <c r="U1425" s="6"/>
      <c r="V1425" s="5" t="s">
        <v>702</v>
      </c>
      <c r="W1425" s="12">
        <v>5264109</v>
      </c>
      <c r="X1425" s="6"/>
      <c r="Y1425" s="6"/>
    </row>
    <row r="1426" spans="1:25" ht="15" customHeight="1" x14ac:dyDescent="0.2">
      <c r="A1426" s="88" t="s">
        <v>1932</v>
      </c>
      <c r="B1426" s="90"/>
      <c r="C1426" s="88" t="s">
        <v>1957</v>
      </c>
      <c r="D1426" s="90"/>
      <c r="E1426" s="88" t="s">
        <v>1958</v>
      </c>
      <c r="F1426" s="89"/>
      <c r="G1426" s="89"/>
      <c r="H1426" s="89"/>
      <c r="I1426" s="90"/>
      <c r="J1426" s="88" t="s">
        <v>1499</v>
      </c>
      <c r="K1426" s="89"/>
      <c r="L1426" s="89"/>
      <c r="M1426" s="90"/>
      <c r="N1426" s="106"/>
      <c r="O1426" s="107"/>
      <c r="P1426" s="108"/>
      <c r="Q1426" s="133">
        <v>1600</v>
      </c>
      <c r="R1426" s="134"/>
      <c r="S1426" s="5" t="s">
        <v>44</v>
      </c>
      <c r="T1426" s="6"/>
      <c r="U1426" s="6"/>
      <c r="V1426" s="5" t="s">
        <v>702</v>
      </c>
      <c r="W1426" s="12">
        <v>6068348</v>
      </c>
      <c r="X1426" s="6"/>
      <c r="Y1426" s="6"/>
    </row>
    <row r="1427" spans="1:25" ht="15" customHeight="1" x14ac:dyDescent="0.2">
      <c r="A1427" s="88" t="s">
        <v>1932</v>
      </c>
      <c r="B1427" s="90"/>
      <c r="C1427" s="88" t="s">
        <v>1959</v>
      </c>
      <c r="D1427" s="90"/>
      <c r="E1427" s="88" t="s">
        <v>1959</v>
      </c>
      <c r="F1427" s="89"/>
      <c r="G1427" s="89"/>
      <c r="H1427" s="89"/>
      <c r="I1427" s="90"/>
      <c r="J1427" s="88" t="s">
        <v>1499</v>
      </c>
      <c r="K1427" s="89"/>
      <c r="L1427" s="89"/>
      <c r="M1427" s="90"/>
      <c r="N1427" s="106"/>
      <c r="O1427" s="107"/>
      <c r="P1427" s="108"/>
      <c r="Q1427" s="133">
        <v>1600</v>
      </c>
      <c r="R1427" s="134"/>
      <c r="S1427" s="5" t="s">
        <v>27</v>
      </c>
      <c r="T1427" s="6"/>
      <c r="U1427" s="6"/>
      <c r="V1427" s="5" t="s">
        <v>96</v>
      </c>
      <c r="W1427" s="12">
        <v>8069197</v>
      </c>
      <c r="X1427" s="6"/>
      <c r="Y1427" s="6"/>
    </row>
    <row r="1428" spans="1:25" ht="15" customHeight="1" x14ac:dyDescent="0.2">
      <c r="A1428" s="88" t="s">
        <v>1932</v>
      </c>
      <c r="B1428" s="90"/>
      <c r="C1428" s="88" t="s">
        <v>1960</v>
      </c>
      <c r="D1428" s="90"/>
      <c r="E1428" s="88" t="s">
        <v>1960</v>
      </c>
      <c r="F1428" s="89"/>
      <c r="G1428" s="89"/>
      <c r="H1428" s="89"/>
      <c r="I1428" s="90"/>
      <c r="J1428" s="88" t="s">
        <v>1499</v>
      </c>
      <c r="K1428" s="89"/>
      <c r="L1428" s="89"/>
      <c r="M1428" s="90"/>
      <c r="N1428" s="106"/>
      <c r="O1428" s="107"/>
      <c r="P1428" s="108"/>
      <c r="Q1428" s="133">
        <v>1600</v>
      </c>
      <c r="R1428" s="134"/>
      <c r="S1428" s="5" t="s">
        <v>27</v>
      </c>
      <c r="T1428" s="6"/>
      <c r="U1428" s="6"/>
      <c r="V1428" s="5" t="s">
        <v>96</v>
      </c>
      <c r="W1428" s="12">
        <v>10213834</v>
      </c>
      <c r="X1428" s="6"/>
      <c r="Y1428" s="6"/>
    </row>
    <row r="1429" spans="1:25" ht="15" customHeight="1" x14ac:dyDescent="0.2">
      <c r="A1429" s="88" t="s">
        <v>1932</v>
      </c>
      <c r="B1429" s="90"/>
      <c r="C1429" s="88" t="s">
        <v>1961</v>
      </c>
      <c r="D1429" s="90"/>
      <c r="E1429" s="88" t="s">
        <v>1961</v>
      </c>
      <c r="F1429" s="89"/>
      <c r="G1429" s="89"/>
      <c r="H1429" s="89"/>
      <c r="I1429" s="90"/>
      <c r="J1429" s="88" t="s">
        <v>1499</v>
      </c>
      <c r="K1429" s="89"/>
      <c r="L1429" s="89"/>
      <c r="M1429" s="90"/>
      <c r="N1429" s="106"/>
      <c r="O1429" s="107"/>
      <c r="P1429" s="108"/>
      <c r="Q1429" s="133">
        <v>1600</v>
      </c>
      <c r="R1429" s="134"/>
      <c r="S1429" s="5" t="s">
        <v>16</v>
      </c>
      <c r="T1429" s="6"/>
      <c r="U1429" s="6"/>
      <c r="V1429" s="5" t="s">
        <v>96</v>
      </c>
      <c r="W1429" s="12">
        <v>5337222</v>
      </c>
      <c r="X1429" s="6"/>
      <c r="Y1429" s="6"/>
    </row>
    <row r="1430" spans="1:25" ht="15" customHeight="1" x14ac:dyDescent="0.2">
      <c r="A1430" s="88" t="s">
        <v>1932</v>
      </c>
      <c r="B1430" s="90"/>
      <c r="C1430" s="88" t="s">
        <v>1962</v>
      </c>
      <c r="D1430" s="90"/>
      <c r="E1430" s="88" t="s">
        <v>1962</v>
      </c>
      <c r="F1430" s="89"/>
      <c r="G1430" s="89"/>
      <c r="H1430" s="89"/>
      <c r="I1430" s="90"/>
      <c r="J1430" s="88" t="s">
        <v>1499</v>
      </c>
      <c r="K1430" s="89"/>
      <c r="L1430" s="89"/>
      <c r="M1430" s="90"/>
      <c r="N1430" s="106"/>
      <c r="O1430" s="107"/>
      <c r="P1430" s="108"/>
      <c r="Q1430" s="133">
        <v>1600</v>
      </c>
      <c r="R1430" s="134"/>
      <c r="S1430" s="5" t="s">
        <v>16</v>
      </c>
      <c r="T1430" s="6"/>
      <c r="U1430" s="6"/>
      <c r="V1430" s="5" t="s">
        <v>96</v>
      </c>
      <c r="W1430" s="12">
        <v>5922123</v>
      </c>
      <c r="X1430" s="6"/>
      <c r="Y1430" s="6"/>
    </row>
    <row r="1431" spans="1:25" ht="15" customHeight="1" x14ac:dyDescent="0.2">
      <c r="A1431" s="88" t="s">
        <v>1932</v>
      </c>
      <c r="B1431" s="90"/>
      <c r="C1431" s="88" t="s">
        <v>1963</v>
      </c>
      <c r="D1431" s="90"/>
      <c r="E1431" s="88" t="s">
        <v>1963</v>
      </c>
      <c r="F1431" s="89"/>
      <c r="G1431" s="89"/>
      <c r="H1431" s="89"/>
      <c r="I1431" s="90"/>
      <c r="J1431" s="88" t="s">
        <v>1499</v>
      </c>
      <c r="K1431" s="89"/>
      <c r="L1431" s="89"/>
      <c r="M1431" s="90"/>
      <c r="N1431" s="106"/>
      <c r="O1431" s="107"/>
      <c r="P1431" s="108"/>
      <c r="Q1431" s="133">
        <v>1600</v>
      </c>
      <c r="R1431" s="134"/>
      <c r="S1431" s="5" t="s">
        <v>16</v>
      </c>
      <c r="T1431" s="6"/>
      <c r="U1431" s="6"/>
      <c r="V1431" s="5" t="s">
        <v>96</v>
      </c>
      <c r="W1431" s="12">
        <v>6360798</v>
      </c>
      <c r="X1431" s="6"/>
      <c r="Y1431" s="6"/>
    </row>
    <row r="1432" spans="1:25" ht="15" customHeight="1" x14ac:dyDescent="0.2">
      <c r="A1432" s="88" t="s">
        <v>1932</v>
      </c>
      <c r="B1432" s="90"/>
      <c r="C1432" s="88" t="s">
        <v>1964</v>
      </c>
      <c r="D1432" s="90"/>
      <c r="E1432" s="88" t="s">
        <v>1964</v>
      </c>
      <c r="F1432" s="89"/>
      <c r="G1432" s="89"/>
      <c r="H1432" s="89"/>
      <c r="I1432" s="90"/>
      <c r="J1432" s="88" t="s">
        <v>1499</v>
      </c>
      <c r="K1432" s="89"/>
      <c r="L1432" s="89"/>
      <c r="M1432" s="90"/>
      <c r="N1432" s="106"/>
      <c r="O1432" s="107"/>
      <c r="P1432" s="108"/>
      <c r="Q1432" s="133">
        <v>1600</v>
      </c>
      <c r="R1432" s="134"/>
      <c r="S1432" s="5" t="s">
        <v>16</v>
      </c>
      <c r="T1432" s="6"/>
      <c r="U1432" s="6"/>
      <c r="V1432" s="5" t="s">
        <v>96</v>
      </c>
      <c r="W1432" s="12">
        <v>6799474</v>
      </c>
      <c r="X1432" s="6"/>
      <c r="Y1432" s="6"/>
    </row>
    <row r="1433" spans="1:25" ht="15" customHeight="1" x14ac:dyDescent="0.2">
      <c r="A1433" s="88" t="s">
        <v>1932</v>
      </c>
      <c r="B1433" s="90"/>
      <c r="C1433" s="88" t="s">
        <v>1965</v>
      </c>
      <c r="D1433" s="90"/>
      <c r="E1433" s="88" t="s">
        <v>1965</v>
      </c>
      <c r="F1433" s="89"/>
      <c r="G1433" s="89"/>
      <c r="H1433" s="89"/>
      <c r="I1433" s="90"/>
      <c r="J1433" s="88" t="s">
        <v>1499</v>
      </c>
      <c r="K1433" s="89"/>
      <c r="L1433" s="89"/>
      <c r="M1433" s="90"/>
      <c r="N1433" s="106"/>
      <c r="O1433" s="107"/>
      <c r="P1433" s="108"/>
      <c r="Q1433" s="133">
        <v>1600</v>
      </c>
      <c r="R1433" s="134"/>
      <c r="S1433" s="5" t="s">
        <v>16</v>
      </c>
      <c r="T1433" s="6"/>
      <c r="U1433" s="6"/>
      <c r="V1433" s="5" t="s">
        <v>96</v>
      </c>
      <c r="W1433" s="12">
        <v>7018812</v>
      </c>
      <c r="X1433" s="6"/>
      <c r="Y1433" s="6"/>
    </row>
    <row r="1434" spans="1:25" ht="15" customHeight="1" x14ac:dyDescent="0.2">
      <c r="A1434" s="88" t="s">
        <v>1932</v>
      </c>
      <c r="B1434" s="90"/>
      <c r="C1434" s="88" t="s">
        <v>1966</v>
      </c>
      <c r="D1434" s="90"/>
      <c r="E1434" s="88" t="s">
        <v>1966</v>
      </c>
      <c r="F1434" s="89"/>
      <c r="G1434" s="89"/>
      <c r="H1434" s="89"/>
      <c r="I1434" s="90"/>
      <c r="J1434" s="88" t="s">
        <v>1499</v>
      </c>
      <c r="K1434" s="89"/>
      <c r="L1434" s="89"/>
      <c r="M1434" s="90"/>
      <c r="N1434" s="106"/>
      <c r="O1434" s="107"/>
      <c r="P1434" s="108"/>
      <c r="Q1434" s="133">
        <v>1600</v>
      </c>
      <c r="R1434" s="134"/>
      <c r="S1434" s="5" t="s">
        <v>16</v>
      </c>
      <c r="T1434" s="6"/>
      <c r="U1434" s="6"/>
      <c r="V1434" s="5" t="s">
        <v>96</v>
      </c>
      <c r="W1434" s="12">
        <v>6580136</v>
      </c>
      <c r="X1434" s="6"/>
      <c r="Y1434" s="6"/>
    </row>
    <row r="1435" spans="1:25" ht="15" customHeight="1" x14ac:dyDescent="0.2">
      <c r="A1435" s="88" t="s">
        <v>1932</v>
      </c>
      <c r="B1435" s="90"/>
      <c r="C1435" s="88" t="s">
        <v>1967</v>
      </c>
      <c r="D1435" s="90"/>
      <c r="E1435" s="88" t="s">
        <v>1967</v>
      </c>
      <c r="F1435" s="89"/>
      <c r="G1435" s="89"/>
      <c r="H1435" s="89"/>
      <c r="I1435" s="90"/>
      <c r="J1435" s="88" t="s">
        <v>1499</v>
      </c>
      <c r="K1435" s="89"/>
      <c r="L1435" s="89"/>
      <c r="M1435" s="90"/>
      <c r="N1435" s="106"/>
      <c r="O1435" s="107"/>
      <c r="P1435" s="108"/>
      <c r="Q1435" s="133">
        <v>1600</v>
      </c>
      <c r="R1435" s="134"/>
      <c r="S1435" s="5" t="s">
        <v>16</v>
      </c>
      <c r="T1435" s="6"/>
      <c r="U1435" s="6"/>
      <c r="V1435" s="5" t="s">
        <v>96</v>
      </c>
      <c r="W1435" s="12">
        <v>5922123</v>
      </c>
      <c r="X1435" s="6"/>
      <c r="Y1435" s="6"/>
    </row>
    <row r="1436" spans="1:25" ht="15" customHeight="1" x14ac:dyDescent="0.2">
      <c r="A1436" s="88" t="s">
        <v>1932</v>
      </c>
      <c r="B1436" s="90"/>
      <c r="C1436" s="88" t="s">
        <v>1968</v>
      </c>
      <c r="D1436" s="90"/>
      <c r="E1436" s="88" t="s">
        <v>1968</v>
      </c>
      <c r="F1436" s="89"/>
      <c r="G1436" s="89"/>
      <c r="H1436" s="89"/>
      <c r="I1436" s="90"/>
      <c r="J1436" s="88" t="s">
        <v>1499</v>
      </c>
      <c r="K1436" s="89"/>
      <c r="L1436" s="89"/>
      <c r="M1436" s="90"/>
      <c r="N1436" s="106"/>
      <c r="O1436" s="107"/>
      <c r="P1436" s="108"/>
      <c r="Q1436" s="133">
        <v>1600</v>
      </c>
      <c r="R1436" s="134"/>
      <c r="S1436" s="5" t="s">
        <v>16</v>
      </c>
      <c r="T1436" s="6"/>
      <c r="U1436" s="6"/>
      <c r="V1436" s="5" t="s">
        <v>96</v>
      </c>
      <c r="W1436" s="12">
        <v>6799474</v>
      </c>
      <c r="X1436" s="6"/>
      <c r="Y1436" s="6"/>
    </row>
    <row r="1437" spans="1:25" ht="15" customHeight="1" x14ac:dyDescent="0.2">
      <c r="A1437" s="88" t="s">
        <v>1932</v>
      </c>
      <c r="B1437" s="90"/>
      <c r="C1437" s="88" t="s">
        <v>1969</v>
      </c>
      <c r="D1437" s="90"/>
      <c r="E1437" s="88" t="s">
        <v>1969</v>
      </c>
      <c r="F1437" s="89"/>
      <c r="G1437" s="89"/>
      <c r="H1437" s="89"/>
      <c r="I1437" s="90"/>
      <c r="J1437" s="88" t="s">
        <v>1499</v>
      </c>
      <c r="K1437" s="89"/>
      <c r="L1437" s="89"/>
      <c r="M1437" s="90"/>
      <c r="N1437" s="106"/>
      <c r="O1437" s="107"/>
      <c r="P1437" s="108"/>
      <c r="Q1437" s="133">
        <v>1600</v>
      </c>
      <c r="R1437" s="134"/>
      <c r="S1437" s="5" t="s">
        <v>16</v>
      </c>
      <c r="T1437" s="6"/>
      <c r="U1437" s="6"/>
      <c r="V1437" s="5" t="s">
        <v>96</v>
      </c>
      <c r="W1437" s="12">
        <v>7018812</v>
      </c>
      <c r="X1437" s="6"/>
      <c r="Y1437" s="6"/>
    </row>
    <row r="1438" spans="1:25" ht="15" customHeight="1" x14ac:dyDescent="0.2">
      <c r="A1438" s="88" t="s">
        <v>1932</v>
      </c>
      <c r="B1438" s="90"/>
      <c r="C1438" s="88" t="s">
        <v>1970</v>
      </c>
      <c r="D1438" s="90"/>
      <c r="E1438" s="88" t="s">
        <v>1970</v>
      </c>
      <c r="F1438" s="89"/>
      <c r="G1438" s="89"/>
      <c r="H1438" s="89"/>
      <c r="I1438" s="90"/>
      <c r="J1438" s="88" t="s">
        <v>1499</v>
      </c>
      <c r="K1438" s="89"/>
      <c r="L1438" s="89"/>
      <c r="M1438" s="90"/>
      <c r="N1438" s="106"/>
      <c r="O1438" s="107"/>
      <c r="P1438" s="108"/>
      <c r="Q1438" s="133">
        <v>1600</v>
      </c>
      <c r="R1438" s="134"/>
      <c r="S1438" s="5" t="s">
        <v>16</v>
      </c>
      <c r="T1438" s="6"/>
      <c r="U1438" s="6"/>
      <c r="V1438" s="5" t="s">
        <v>96</v>
      </c>
      <c r="W1438" s="12">
        <v>11040006</v>
      </c>
      <c r="X1438" s="6"/>
      <c r="Y1438" s="6"/>
    </row>
    <row r="1439" spans="1:25" ht="15" customHeight="1" x14ac:dyDescent="0.2">
      <c r="A1439" s="88" t="s">
        <v>1932</v>
      </c>
      <c r="B1439" s="90"/>
      <c r="C1439" s="88" t="s">
        <v>1970</v>
      </c>
      <c r="D1439" s="90"/>
      <c r="E1439" s="88" t="s">
        <v>1970</v>
      </c>
      <c r="F1439" s="89"/>
      <c r="G1439" s="89"/>
      <c r="H1439" s="89"/>
      <c r="I1439" s="90"/>
      <c r="J1439" s="88" t="s">
        <v>1499</v>
      </c>
      <c r="K1439" s="89"/>
      <c r="L1439" s="89"/>
      <c r="M1439" s="90"/>
      <c r="N1439" s="106"/>
      <c r="O1439" s="107"/>
      <c r="P1439" s="108"/>
      <c r="Q1439" s="133">
        <v>1600</v>
      </c>
      <c r="R1439" s="134"/>
      <c r="S1439" s="5" t="s">
        <v>16</v>
      </c>
      <c r="T1439" s="6"/>
      <c r="U1439" s="6"/>
      <c r="V1439" s="5" t="s">
        <v>96</v>
      </c>
      <c r="W1439" s="12">
        <v>11083143</v>
      </c>
      <c r="X1439" s="6"/>
      <c r="Y1439" s="6"/>
    </row>
    <row r="1440" spans="1:25" ht="15" customHeight="1" x14ac:dyDescent="0.2">
      <c r="A1440" s="88" t="s">
        <v>1932</v>
      </c>
      <c r="B1440" s="90"/>
      <c r="C1440" s="88" t="s">
        <v>1970</v>
      </c>
      <c r="D1440" s="90"/>
      <c r="E1440" s="88" t="s">
        <v>1970</v>
      </c>
      <c r="F1440" s="89"/>
      <c r="G1440" s="89"/>
      <c r="H1440" s="89"/>
      <c r="I1440" s="90"/>
      <c r="J1440" s="88" t="s">
        <v>1499</v>
      </c>
      <c r="K1440" s="89"/>
      <c r="L1440" s="89"/>
      <c r="M1440" s="90"/>
      <c r="N1440" s="106"/>
      <c r="O1440" s="107"/>
      <c r="P1440" s="108"/>
      <c r="Q1440" s="133">
        <v>1600</v>
      </c>
      <c r="R1440" s="134"/>
      <c r="S1440" s="5" t="s">
        <v>16</v>
      </c>
      <c r="T1440" s="6"/>
      <c r="U1440" s="6"/>
      <c r="V1440" s="5" t="s">
        <v>96</v>
      </c>
      <c r="W1440" s="12">
        <v>11668044</v>
      </c>
      <c r="X1440" s="6"/>
      <c r="Y1440" s="6"/>
    </row>
    <row r="1441" spans="1:25" ht="15" customHeight="1" x14ac:dyDescent="0.2">
      <c r="A1441" s="88" t="s">
        <v>1932</v>
      </c>
      <c r="B1441" s="90"/>
      <c r="C1441" s="88" t="s">
        <v>1971</v>
      </c>
      <c r="D1441" s="90"/>
      <c r="E1441" s="88" t="s">
        <v>1971</v>
      </c>
      <c r="F1441" s="89"/>
      <c r="G1441" s="89"/>
      <c r="H1441" s="89"/>
      <c r="I1441" s="90"/>
      <c r="J1441" s="88" t="s">
        <v>1499</v>
      </c>
      <c r="K1441" s="89"/>
      <c r="L1441" s="89"/>
      <c r="M1441" s="90"/>
      <c r="N1441" s="106"/>
      <c r="O1441" s="107"/>
      <c r="P1441" s="108"/>
      <c r="Q1441" s="133">
        <v>1600</v>
      </c>
      <c r="R1441" s="134"/>
      <c r="S1441" s="5" t="s">
        <v>16</v>
      </c>
      <c r="T1441" s="6"/>
      <c r="U1441" s="6"/>
      <c r="V1441" s="5" t="s">
        <v>96</v>
      </c>
      <c r="W1441" s="12">
        <v>10966894</v>
      </c>
      <c r="X1441" s="6"/>
      <c r="Y1441" s="6"/>
    </row>
    <row r="1442" spans="1:25" ht="15" customHeight="1" x14ac:dyDescent="0.2">
      <c r="A1442" s="88" t="s">
        <v>1932</v>
      </c>
      <c r="B1442" s="90"/>
      <c r="C1442" s="88" t="s">
        <v>1971</v>
      </c>
      <c r="D1442" s="90"/>
      <c r="E1442" s="88" t="s">
        <v>1971</v>
      </c>
      <c r="F1442" s="89"/>
      <c r="G1442" s="89"/>
      <c r="H1442" s="89"/>
      <c r="I1442" s="90"/>
      <c r="J1442" s="88" t="s">
        <v>1499</v>
      </c>
      <c r="K1442" s="89"/>
      <c r="L1442" s="89"/>
      <c r="M1442" s="90"/>
      <c r="N1442" s="106"/>
      <c r="O1442" s="107"/>
      <c r="P1442" s="108"/>
      <c r="Q1442" s="133">
        <v>1600</v>
      </c>
      <c r="R1442" s="134"/>
      <c r="S1442" s="5" t="s">
        <v>16</v>
      </c>
      <c r="T1442" s="6"/>
      <c r="U1442" s="6"/>
      <c r="V1442" s="5" t="s">
        <v>96</v>
      </c>
      <c r="W1442" s="12">
        <v>11010030</v>
      </c>
      <c r="X1442" s="6"/>
      <c r="Y1442" s="6"/>
    </row>
    <row r="1443" spans="1:25" ht="15" customHeight="1" x14ac:dyDescent="0.2">
      <c r="A1443" s="88" t="s">
        <v>1932</v>
      </c>
      <c r="B1443" s="90"/>
      <c r="C1443" s="88" t="s">
        <v>1971</v>
      </c>
      <c r="D1443" s="90"/>
      <c r="E1443" s="88" t="s">
        <v>1971</v>
      </c>
      <c r="F1443" s="89"/>
      <c r="G1443" s="89"/>
      <c r="H1443" s="89"/>
      <c r="I1443" s="90"/>
      <c r="J1443" s="88" t="s">
        <v>1499</v>
      </c>
      <c r="K1443" s="89"/>
      <c r="L1443" s="89"/>
      <c r="M1443" s="90"/>
      <c r="N1443" s="106"/>
      <c r="O1443" s="107"/>
      <c r="P1443" s="108"/>
      <c r="Q1443" s="133">
        <v>1600</v>
      </c>
      <c r="R1443" s="134"/>
      <c r="S1443" s="5" t="s">
        <v>16</v>
      </c>
      <c r="T1443" s="6"/>
      <c r="U1443" s="6"/>
      <c r="V1443" s="5" t="s">
        <v>96</v>
      </c>
      <c r="W1443" s="12">
        <v>11010030</v>
      </c>
      <c r="X1443" s="6"/>
      <c r="Y1443" s="6"/>
    </row>
    <row r="1444" spans="1:25" ht="15" customHeight="1" x14ac:dyDescent="0.2">
      <c r="A1444" s="88" t="s">
        <v>1932</v>
      </c>
      <c r="B1444" s="90"/>
      <c r="C1444" s="88" t="s">
        <v>1972</v>
      </c>
      <c r="D1444" s="90"/>
      <c r="E1444" s="88" t="s">
        <v>1972</v>
      </c>
      <c r="F1444" s="89"/>
      <c r="G1444" s="89"/>
      <c r="H1444" s="89"/>
      <c r="I1444" s="90"/>
      <c r="J1444" s="88" t="s">
        <v>1499</v>
      </c>
      <c r="K1444" s="89"/>
      <c r="L1444" s="89"/>
      <c r="M1444" s="90"/>
      <c r="N1444" s="106"/>
      <c r="O1444" s="107"/>
      <c r="P1444" s="108"/>
      <c r="Q1444" s="133">
        <v>1600</v>
      </c>
      <c r="R1444" s="134"/>
      <c r="S1444" s="5" t="s">
        <v>16</v>
      </c>
      <c r="T1444" s="6"/>
      <c r="U1444" s="6"/>
      <c r="V1444" s="5" t="s">
        <v>96</v>
      </c>
      <c r="W1444" s="12">
        <v>9504641</v>
      </c>
      <c r="X1444" s="6"/>
      <c r="Y1444" s="6"/>
    </row>
    <row r="1445" spans="1:25" ht="15" customHeight="1" x14ac:dyDescent="0.2">
      <c r="A1445" s="88" t="s">
        <v>1932</v>
      </c>
      <c r="B1445" s="90"/>
      <c r="C1445" s="88" t="s">
        <v>1973</v>
      </c>
      <c r="D1445" s="90"/>
      <c r="E1445" s="88" t="s">
        <v>1973</v>
      </c>
      <c r="F1445" s="89"/>
      <c r="G1445" s="89"/>
      <c r="H1445" s="89"/>
      <c r="I1445" s="90"/>
      <c r="J1445" s="88" t="s">
        <v>1499</v>
      </c>
      <c r="K1445" s="89"/>
      <c r="L1445" s="89"/>
      <c r="M1445" s="90"/>
      <c r="N1445" s="106"/>
      <c r="O1445" s="107"/>
      <c r="P1445" s="108"/>
      <c r="Q1445" s="133">
        <v>1600</v>
      </c>
      <c r="R1445" s="134"/>
      <c r="S1445" s="5" t="s">
        <v>16</v>
      </c>
      <c r="T1445" s="6"/>
      <c r="U1445" s="6"/>
      <c r="V1445" s="5" t="s">
        <v>96</v>
      </c>
      <c r="W1445" s="12">
        <v>8115501</v>
      </c>
      <c r="X1445" s="6"/>
      <c r="Y1445" s="6"/>
    </row>
    <row r="1446" spans="1:25" ht="15" customHeight="1" x14ac:dyDescent="0.2">
      <c r="A1446" s="88" t="s">
        <v>1932</v>
      </c>
      <c r="B1446" s="90"/>
      <c r="C1446" s="88" t="s">
        <v>1974</v>
      </c>
      <c r="D1446" s="90"/>
      <c r="E1446" s="88" t="s">
        <v>1974</v>
      </c>
      <c r="F1446" s="89"/>
      <c r="G1446" s="89"/>
      <c r="H1446" s="89"/>
      <c r="I1446" s="90"/>
      <c r="J1446" s="88" t="s">
        <v>1499</v>
      </c>
      <c r="K1446" s="89"/>
      <c r="L1446" s="89"/>
      <c r="M1446" s="90"/>
      <c r="N1446" s="106"/>
      <c r="O1446" s="107"/>
      <c r="P1446" s="108"/>
      <c r="Q1446" s="133">
        <v>1600</v>
      </c>
      <c r="R1446" s="134"/>
      <c r="S1446" s="5" t="s">
        <v>16</v>
      </c>
      <c r="T1446" s="6"/>
      <c r="U1446" s="6"/>
      <c r="V1446" s="5" t="s">
        <v>96</v>
      </c>
      <c r="W1446" s="12">
        <v>8554177</v>
      </c>
      <c r="X1446" s="6"/>
      <c r="Y1446" s="6"/>
    </row>
    <row r="1447" spans="1:25" ht="15" customHeight="1" x14ac:dyDescent="0.2">
      <c r="A1447" s="88" t="s">
        <v>1932</v>
      </c>
      <c r="B1447" s="90"/>
      <c r="C1447" s="88" t="s">
        <v>1975</v>
      </c>
      <c r="D1447" s="90"/>
      <c r="E1447" s="88" t="s">
        <v>1975</v>
      </c>
      <c r="F1447" s="89"/>
      <c r="G1447" s="89"/>
      <c r="H1447" s="89"/>
      <c r="I1447" s="90"/>
      <c r="J1447" s="88" t="s">
        <v>1499</v>
      </c>
      <c r="K1447" s="89"/>
      <c r="L1447" s="89"/>
      <c r="M1447" s="90"/>
      <c r="N1447" s="106"/>
      <c r="O1447" s="107"/>
      <c r="P1447" s="108"/>
      <c r="Q1447" s="133">
        <v>1600</v>
      </c>
      <c r="R1447" s="134"/>
      <c r="S1447" s="5" t="s">
        <v>16</v>
      </c>
      <c r="T1447" s="6"/>
      <c r="U1447" s="6"/>
      <c r="V1447" s="5" t="s">
        <v>702</v>
      </c>
      <c r="W1447" s="12">
        <v>7106547</v>
      </c>
      <c r="X1447" s="6"/>
      <c r="Y1447" s="6"/>
    </row>
    <row r="1448" spans="1:25" ht="15" customHeight="1" x14ac:dyDescent="0.2">
      <c r="A1448" s="88" t="s">
        <v>1932</v>
      </c>
      <c r="B1448" s="90"/>
      <c r="C1448" s="88" t="s">
        <v>1976</v>
      </c>
      <c r="D1448" s="90"/>
      <c r="E1448" s="88" t="s">
        <v>1976</v>
      </c>
      <c r="F1448" s="89"/>
      <c r="G1448" s="89"/>
      <c r="H1448" s="89"/>
      <c r="I1448" s="90"/>
      <c r="J1448" s="88" t="s">
        <v>1499</v>
      </c>
      <c r="K1448" s="89"/>
      <c r="L1448" s="89"/>
      <c r="M1448" s="90"/>
      <c r="N1448" s="106"/>
      <c r="O1448" s="107"/>
      <c r="P1448" s="108"/>
      <c r="Q1448" s="133">
        <v>1600</v>
      </c>
      <c r="R1448" s="134"/>
      <c r="S1448" s="5" t="s">
        <v>16</v>
      </c>
      <c r="T1448" s="6"/>
      <c r="U1448" s="6"/>
      <c r="V1448" s="5" t="s">
        <v>702</v>
      </c>
      <c r="W1448" s="12">
        <v>6740984</v>
      </c>
      <c r="X1448" s="6"/>
      <c r="Y1448" s="6"/>
    </row>
    <row r="1449" spans="1:25" ht="15" customHeight="1" x14ac:dyDescent="0.2">
      <c r="A1449" s="88" t="s">
        <v>1932</v>
      </c>
      <c r="B1449" s="90"/>
      <c r="C1449" s="88" t="s">
        <v>1977</v>
      </c>
      <c r="D1449" s="90"/>
      <c r="E1449" s="88" t="s">
        <v>1977</v>
      </c>
      <c r="F1449" s="89"/>
      <c r="G1449" s="89"/>
      <c r="H1449" s="89"/>
      <c r="I1449" s="90"/>
      <c r="J1449" s="88" t="s">
        <v>1499</v>
      </c>
      <c r="K1449" s="89"/>
      <c r="L1449" s="89"/>
      <c r="M1449" s="90"/>
      <c r="N1449" s="106"/>
      <c r="O1449" s="107"/>
      <c r="P1449" s="108"/>
      <c r="Q1449" s="133">
        <v>1600</v>
      </c>
      <c r="R1449" s="134"/>
      <c r="S1449" s="5" t="s">
        <v>16</v>
      </c>
      <c r="T1449" s="6"/>
      <c r="U1449" s="6"/>
      <c r="V1449" s="5" t="s">
        <v>96</v>
      </c>
      <c r="W1449" s="12">
        <v>7691448</v>
      </c>
      <c r="X1449" s="6"/>
      <c r="Y1449" s="6"/>
    </row>
    <row r="1450" spans="1:25" ht="15" customHeight="1" x14ac:dyDescent="0.2">
      <c r="A1450" s="88" t="s">
        <v>1932</v>
      </c>
      <c r="B1450" s="90"/>
      <c r="C1450" s="88" t="s">
        <v>1978</v>
      </c>
      <c r="D1450" s="90"/>
      <c r="E1450" s="88" t="s">
        <v>1978</v>
      </c>
      <c r="F1450" s="89"/>
      <c r="G1450" s="89"/>
      <c r="H1450" s="89"/>
      <c r="I1450" s="90"/>
      <c r="J1450" s="88" t="s">
        <v>1499</v>
      </c>
      <c r="K1450" s="89"/>
      <c r="L1450" s="89"/>
      <c r="M1450" s="90"/>
      <c r="N1450" s="106"/>
      <c r="O1450" s="107"/>
      <c r="P1450" s="108"/>
      <c r="Q1450" s="133">
        <v>1600</v>
      </c>
      <c r="R1450" s="134"/>
      <c r="S1450" s="5" t="s">
        <v>16</v>
      </c>
      <c r="T1450" s="6"/>
      <c r="U1450" s="6"/>
      <c r="V1450" s="5" t="s">
        <v>96</v>
      </c>
      <c r="W1450" s="12">
        <v>7325885</v>
      </c>
      <c r="X1450" s="6"/>
      <c r="Y1450" s="6"/>
    </row>
    <row r="1451" spans="1:25" ht="15" customHeight="1" x14ac:dyDescent="0.2">
      <c r="A1451" s="88" t="s">
        <v>1932</v>
      </c>
      <c r="B1451" s="90"/>
      <c r="C1451" s="88" t="s">
        <v>1979</v>
      </c>
      <c r="D1451" s="90"/>
      <c r="E1451" s="88" t="s">
        <v>1979</v>
      </c>
      <c r="F1451" s="89"/>
      <c r="G1451" s="89"/>
      <c r="H1451" s="89"/>
      <c r="I1451" s="90"/>
      <c r="J1451" s="88" t="s">
        <v>1499</v>
      </c>
      <c r="K1451" s="89"/>
      <c r="L1451" s="89"/>
      <c r="M1451" s="90"/>
      <c r="N1451" s="106"/>
      <c r="O1451" s="107"/>
      <c r="P1451" s="108"/>
      <c r="Q1451" s="133">
        <v>1600</v>
      </c>
      <c r="R1451" s="134"/>
      <c r="S1451" s="5" t="s">
        <v>16</v>
      </c>
      <c r="T1451" s="6"/>
      <c r="U1451" s="6"/>
      <c r="V1451" s="5" t="s">
        <v>96</v>
      </c>
      <c r="W1451" s="12">
        <v>8057011</v>
      </c>
      <c r="X1451" s="6"/>
      <c r="Y1451" s="6"/>
    </row>
    <row r="1452" spans="1:25" ht="15" customHeight="1" x14ac:dyDescent="0.2">
      <c r="A1452" s="88" t="s">
        <v>1932</v>
      </c>
      <c r="B1452" s="90"/>
      <c r="C1452" s="88" t="s">
        <v>1980</v>
      </c>
      <c r="D1452" s="90"/>
      <c r="E1452" s="88" t="s">
        <v>1980</v>
      </c>
      <c r="F1452" s="89"/>
      <c r="G1452" s="89"/>
      <c r="H1452" s="89"/>
      <c r="I1452" s="90"/>
      <c r="J1452" s="88" t="s">
        <v>1499</v>
      </c>
      <c r="K1452" s="89"/>
      <c r="L1452" s="89"/>
      <c r="M1452" s="90"/>
      <c r="N1452" s="106"/>
      <c r="O1452" s="107"/>
      <c r="P1452" s="108"/>
      <c r="Q1452" s="133">
        <v>1600</v>
      </c>
      <c r="R1452" s="134"/>
      <c r="S1452" s="5" t="s">
        <v>16</v>
      </c>
      <c r="T1452" s="6"/>
      <c r="U1452" s="6"/>
      <c r="V1452" s="5" t="s">
        <v>96</v>
      </c>
      <c r="W1452" s="12">
        <v>7691448</v>
      </c>
      <c r="X1452" s="6"/>
      <c r="Y1452" s="6"/>
    </row>
    <row r="1453" spans="1:25" ht="15" customHeight="1" x14ac:dyDescent="0.2">
      <c r="A1453" s="88" t="s">
        <v>1932</v>
      </c>
      <c r="B1453" s="90"/>
      <c r="C1453" s="88" t="s">
        <v>1981</v>
      </c>
      <c r="D1453" s="90"/>
      <c r="E1453" s="88" t="s">
        <v>1981</v>
      </c>
      <c r="F1453" s="89"/>
      <c r="G1453" s="89"/>
      <c r="H1453" s="89"/>
      <c r="I1453" s="90"/>
      <c r="J1453" s="88" t="s">
        <v>1499</v>
      </c>
      <c r="K1453" s="89"/>
      <c r="L1453" s="89"/>
      <c r="M1453" s="90"/>
      <c r="N1453" s="106"/>
      <c r="O1453" s="107"/>
      <c r="P1453" s="108"/>
      <c r="Q1453" s="133">
        <v>1600</v>
      </c>
      <c r="R1453" s="134"/>
      <c r="S1453" s="5" t="s">
        <v>16</v>
      </c>
      <c r="T1453" s="6"/>
      <c r="U1453" s="6"/>
      <c r="V1453" s="5" t="s">
        <v>702</v>
      </c>
      <c r="W1453" s="12">
        <v>7472110</v>
      </c>
      <c r="X1453" s="6"/>
      <c r="Y1453" s="6"/>
    </row>
    <row r="1454" spans="1:25" ht="15" customHeight="1" x14ac:dyDescent="0.2">
      <c r="A1454" s="88" t="s">
        <v>1932</v>
      </c>
      <c r="B1454" s="90"/>
      <c r="C1454" s="88" t="s">
        <v>1982</v>
      </c>
      <c r="D1454" s="90"/>
      <c r="E1454" s="88" t="s">
        <v>1982</v>
      </c>
      <c r="F1454" s="89"/>
      <c r="G1454" s="89"/>
      <c r="H1454" s="89"/>
      <c r="I1454" s="90"/>
      <c r="J1454" s="88" t="s">
        <v>1499</v>
      </c>
      <c r="K1454" s="89"/>
      <c r="L1454" s="89"/>
      <c r="M1454" s="90"/>
      <c r="N1454" s="106"/>
      <c r="O1454" s="107"/>
      <c r="P1454" s="108"/>
      <c r="Q1454" s="133">
        <v>1600</v>
      </c>
      <c r="R1454" s="134"/>
      <c r="S1454" s="5" t="s">
        <v>16</v>
      </c>
      <c r="T1454" s="6"/>
      <c r="U1454" s="6"/>
      <c r="V1454" s="5" t="s">
        <v>702</v>
      </c>
      <c r="W1454" s="12">
        <v>7106547</v>
      </c>
      <c r="X1454" s="6"/>
      <c r="Y1454" s="6"/>
    </row>
    <row r="1455" spans="1:25" ht="15" customHeight="1" x14ac:dyDescent="0.2">
      <c r="A1455" s="88" t="s">
        <v>1932</v>
      </c>
      <c r="B1455" s="90"/>
      <c r="C1455" s="88" t="s">
        <v>1983</v>
      </c>
      <c r="D1455" s="90"/>
      <c r="E1455" s="88" t="s">
        <v>1983</v>
      </c>
      <c r="F1455" s="89"/>
      <c r="G1455" s="89"/>
      <c r="H1455" s="89"/>
      <c r="I1455" s="90"/>
      <c r="J1455" s="88" t="s">
        <v>1499</v>
      </c>
      <c r="K1455" s="89"/>
      <c r="L1455" s="89"/>
      <c r="M1455" s="90"/>
      <c r="N1455" s="106"/>
      <c r="O1455" s="107"/>
      <c r="P1455" s="108"/>
      <c r="Q1455" s="133">
        <v>1600</v>
      </c>
      <c r="R1455" s="134"/>
      <c r="S1455" s="5" t="s">
        <v>16</v>
      </c>
      <c r="T1455" s="6"/>
      <c r="U1455" s="6"/>
      <c r="V1455" s="5" t="s">
        <v>702</v>
      </c>
      <c r="W1455" s="12">
        <v>7552534</v>
      </c>
      <c r="X1455" s="6"/>
      <c r="Y1455" s="6"/>
    </row>
    <row r="1456" spans="1:25" ht="15" customHeight="1" x14ac:dyDescent="0.2">
      <c r="A1456" s="88" t="s">
        <v>1932</v>
      </c>
      <c r="B1456" s="90"/>
      <c r="C1456" s="88" t="s">
        <v>1984</v>
      </c>
      <c r="D1456" s="90"/>
      <c r="E1456" s="88" t="s">
        <v>1984</v>
      </c>
      <c r="F1456" s="89"/>
      <c r="G1456" s="89"/>
      <c r="H1456" s="89"/>
      <c r="I1456" s="90"/>
      <c r="J1456" s="88" t="s">
        <v>1499</v>
      </c>
      <c r="K1456" s="89"/>
      <c r="L1456" s="89"/>
      <c r="M1456" s="90"/>
      <c r="N1456" s="106"/>
      <c r="O1456" s="107"/>
      <c r="P1456" s="108"/>
      <c r="Q1456" s="133">
        <v>1600</v>
      </c>
      <c r="R1456" s="134"/>
      <c r="S1456" s="5" t="s">
        <v>16</v>
      </c>
      <c r="T1456" s="6"/>
      <c r="U1456" s="6"/>
      <c r="V1456" s="5" t="s">
        <v>702</v>
      </c>
      <c r="W1456" s="12">
        <v>7333196</v>
      </c>
      <c r="X1456" s="6"/>
      <c r="Y1456" s="6"/>
    </row>
    <row r="1457" spans="1:25" ht="15" customHeight="1" x14ac:dyDescent="0.2">
      <c r="A1457" s="88" t="s">
        <v>1932</v>
      </c>
      <c r="B1457" s="90"/>
      <c r="C1457" s="88" t="s">
        <v>1985</v>
      </c>
      <c r="D1457" s="90"/>
      <c r="E1457" s="88" t="s">
        <v>1986</v>
      </c>
      <c r="F1457" s="89"/>
      <c r="G1457" s="89"/>
      <c r="H1457" s="89"/>
      <c r="I1457" s="90"/>
      <c r="J1457" s="88" t="s">
        <v>1499</v>
      </c>
      <c r="K1457" s="89"/>
      <c r="L1457" s="89"/>
      <c r="M1457" s="90"/>
      <c r="N1457" s="106"/>
      <c r="O1457" s="107"/>
      <c r="P1457" s="108"/>
      <c r="Q1457" s="133">
        <v>1600</v>
      </c>
      <c r="R1457" s="134"/>
      <c r="S1457" s="5" t="s">
        <v>16</v>
      </c>
      <c r="T1457" s="6"/>
      <c r="U1457" s="6"/>
      <c r="V1457" s="5" t="s">
        <v>702</v>
      </c>
      <c r="W1457" s="12">
        <v>7771872</v>
      </c>
      <c r="X1457" s="6"/>
      <c r="Y1457" s="6"/>
    </row>
    <row r="1458" spans="1:25" ht="15" customHeight="1" x14ac:dyDescent="0.2">
      <c r="A1458" s="88" t="s">
        <v>1932</v>
      </c>
      <c r="B1458" s="90"/>
      <c r="C1458" s="88" t="s">
        <v>1987</v>
      </c>
      <c r="D1458" s="90"/>
      <c r="E1458" s="88" t="s">
        <v>1988</v>
      </c>
      <c r="F1458" s="89"/>
      <c r="G1458" s="89"/>
      <c r="H1458" s="89"/>
      <c r="I1458" s="90"/>
      <c r="J1458" s="88" t="s">
        <v>1499</v>
      </c>
      <c r="K1458" s="89"/>
      <c r="L1458" s="89"/>
      <c r="M1458" s="90"/>
      <c r="N1458" s="106"/>
      <c r="O1458" s="107"/>
      <c r="P1458" s="108"/>
      <c r="Q1458" s="133">
        <v>1600</v>
      </c>
      <c r="R1458" s="134"/>
      <c r="S1458" s="5" t="s">
        <v>16</v>
      </c>
      <c r="T1458" s="6"/>
      <c r="U1458" s="6"/>
      <c r="V1458" s="5" t="s">
        <v>702</v>
      </c>
      <c r="W1458" s="12">
        <v>7552534</v>
      </c>
      <c r="X1458" s="6"/>
      <c r="Y1458" s="6"/>
    </row>
    <row r="1459" spans="1:25" ht="15" customHeight="1" x14ac:dyDescent="0.2">
      <c r="A1459" s="88" t="s">
        <v>1932</v>
      </c>
      <c r="B1459" s="90"/>
      <c r="C1459" s="88" t="s">
        <v>1989</v>
      </c>
      <c r="D1459" s="90"/>
      <c r="E1459" s="88" t="s">
        <v>1989</v>
      </c>
      <c r="F1459" s="89"/>
      <c r="G1459" s="89"/>
      <c r="H1459" s="89"/>
      <c r="I1459" s="90"/>
      <c r="J1459" s="88" t="s">
        <v>1499</v>
      </c>
      <c r="K1459" s="89"/>
      <c r="L1459" s="89"/>
      <c r="M1459" s="90"/>
      <c r="N1459" s="106"/>
      <c r="O1459" s="107"/>
      <c r="P1459" s="108"/>
      <c r="Q1459" s="133">
        <v>1600</v>
      </c>
      <c r="R1459" s="134"/>
      <c r="S1459" s="5" t="s">
        <v>16</v>
      </c>
      <c r="T1459" s="6"/>
      <c r="U1459" s="6"/>
      <c r="V1459" s="5" t="s">
        <v>96</v>
      </c>
      <c r="W1459" s="12">
        <v>6594759</v>
      </c>
      <c r="X1459" s="6"/>
      <c r="Y1459" s="6"/>
    </row>
    <row r="1460" spans="1:25" ht="15" customHeight="1" x14ac:dyDescent="0.2">
      <c r="A1460" s="88" t="s">
        <v>1932</v>
      </c>
      <c r="B1460" s="90"/>
      <c r="C1460" s="88" t="s">
        <v>1990</v>
      </c>
      <c r="D1460" s="90"/>
      <c r="E1460" s="88" t="s">
        <v>1990</v>
      </c>
      <c r="F1460" s="89"/>
      <c r="G1460" s="89"/>
      <c r="H1460" s="89"/>
      <c r="I1460" s="90"/>
      <c r="J1460" s="88" t="s">
        <v>1499</v>
      </c>
      <c r="K1460" s="89"/>
      <c r="L1460" s="89"/>
      <c r="M1460" s="90"/>
      <c r="N1460" s="106"/>
      <c r="O1460" s="107"/>
      <c r="P1460" s="108"/>
      <c r="Q1460" s="133">
        <v>1600</v>
      </c>
      <c r="R1460" s="134"/>
      <c r="S1460" s="5" t="s">
        <v>16</v>
      </c>
      <c r="T1460" s="6"/>
      <c r="U1460" s="6"/>
      <c r="V1460" s="5" t="s">
        <v>96</v>
      </c>
      <c r="W1460" s="12">
        <v>7179660</v>
      </c>
      <c r="X1460" s="6"/>
      <c r="Y1460" s="6"/>
    </row>
    <row r="1461" spans="1:25" ht="15" customHeight="1" x14ac:dyDescent="0.2">
      <c r="A1461" s="88" t="s">
        <v>1932</v>
      </c>
      <c r="B1461" s="90"/>
      <c r="C1461" s="88" t="s">
        <v>1991</v>
      </c>
      <c r="D1461" s="90"/>
      <c r="E1461" s="88" t="s">
        <v>1991</v>
      </c>
      <c r="F1461" s="89"/>
      <c r="G1461" s="89"/>
      <c r="H1461" s="89"/>
      <c r="I1461" s="90"/>
      <c r="J1461" s="88" t="s">
        <v>1499</v>
      </c>
      <c r="K1461" s="89"/>
      <c r="L1461" s="89"/>
      <c r="M1461" s="90"/>
      <c r="N1461" s="106"/>
      <c r="O1461" s="107"/>
      <c r="P1461" s="108"/>
      <c r="Q1461" s="133">
        <v>1600</v>
      </c>
      <c r="R1461" s="134"/>
      <c r="S1461" s="5" t="s">
        <v>16</v>
      </c>
      <c r="T1461" s="6"/>
      <c r="U1461" s="6"/>
      <c r="V1461" s="5" t="s">
        <v>96</v>
      </c>
      <c r="W1461" s="12">
        <v>8715025</v>
      </c>
      <c r="X1461" s="6"/>
      <c r="Y1461" s="6"/>
    </row>
    <row r="1462" spans="1:25" ht="15" customHeight="1" x14ac:dyDescent="0.2">
      <c r="A1462" s="88" t="s">
        <v>1932</v>
      </c>
      <c r="B1462" s="90"/>
      <c r="C1462" s="88" t="s">
        <v>1992</v>
      </c>
      <c r="D1462" s="90"/>
      <c r="E1462" s="88" t="s">
        <v>1992</v>
      </c>
      <c r="F1462" s="89"/>
      <c r="G1462" s="89"/>
      <c r="H1462" s="89"/>
      <c r="I1462" s="90"/>
      <c r="J1462" s="88" t="s">
        <v>1499</v>
      </c>
      <c r="K1462" s="89"/>
      <c r="L1462" s="89"/>
      <c r="M1462" s="90"/>
      <c r="N1462" s="106"/>
      <c r="O1462" s="107"/>
      <c r="P1462" s="108"/>
      <c r="Q1462" s="133">
        <v>1600</v>
      </c>
      <c r="R1462" s="134"/>
      <c r="S1462" s="5" t="s">
        <v>16</v>
      </c>
      <c r="T1462" s="6"/>
      <c r="U1462" s="6"/>
      <c r="V1462" s="5" t="s">
        <v>702</v>
      </c>
      <c r="W1462" s="12">
        <v>8934363</v>
      </c>
      <c r="X1462" s="6"/>
      <c r="Y1462" s="6"/>
    </row>
    <row r="1463" spans="1:25" ht="15" customHeight="1" x14ac:dyDescent="0.2">
      <c r="A1463" s="88" t="s">
        <v>1932</v>
      </c>
      <c r="B1463" s="90"/>
      <c r="C1463" s="88" t="s">
        <v>1993</v>
      </c>
      <c r="D1463" s="90"/>
      <c r="E1463" s="88" t="s">
        <v>1994</v>
      </c>
      <c r="F1463" s="89"/>
      <c r="G1463" s="89"/>
      <c r="H1463" s="89"/>
      <c r="I1463" s="90"/>
      <c r="J1463" s="88" t="s">
        <v>1246</v>
      </c>
      <c r="K1463" s="89"/>
      <c r="L1463" s="89"/>
      <c r="M1463" s="90"/>
      <c r="N1463" s="106"/>
      <c r="O1463" s="107"/>
      <c r="P1463" s="108"/>
      <c r="Q1463" s="133">
        <v>1600</v>
      </c>
      <c r="R1463" s="134"/>
      <c r="S1463" s="5" t="s">
        <v>27</v>
      </c>
      <c r="T1463" s="6"/>
      <c r="U1463" s="6"/>
      <c r="V1463" s="5" t="s">
        <v>702</v>
      </c>
      <c r="W1463" s="12">
        <v>4407229</v>
      </c>
      <c r="X1463" s="6"/>
      <c r="Y1463" s="6"/>
    </row>
    <row r="1464" spans="1:25" ht="15" customHeight="1" x14ac:dyDescent="0.2">
      <c r="A1464" s="88" t="s">
        <v>1932</v>
      </c>
      <c r="B1464" s="90"/>
      <c r="C1464" s="88" t="s">
        <v>1993</v>
      </c>
      <c r="D1464" s="90"/>
      <c r="E1464" s="88" t="s">
        <v>1994</v>
      </c>
      <c r="F1464" s="89"/>
      <c r="G1464" s="89"/>
      <c r="H1464" s="89"/>
      <c r="I1464" s="90"/>
      <c r="J1464" s="88" t="s">
        <v>1499</v>
      </c>
      <c r="K1464" s="89"/>
      <c r="L1464" s="89"/>
      <c r="M1464" s="90"/>
      <c r="N1464" s="106"/>
      <c r="O1464" s="107"/>
      <c r="P1464" s="108"/>
      <c r="Q1464" s="133">
        <v>1600</v>
      </c>
      <c r="R1464" s="134"/>
      <c r="S1464" s="5" t="s">
        <v>27</v>
      </c>
      <c r="T1464" s="6"/>
      <c r="U1464" s="6"/>
      <c r="V1464" s="5" t="s">
        <v>702</v>
      </c>
      <c r="W1464" s="12">
        <v>4841518</v>
      </c>
      <c r="X1464" s="6"/>
      <c r="Y1464" s="6"/>
    </row>
    <row r="1465" spans="1:25" ht="15" customHeight="1" x14ac:dyDescent="0.2">
      <c r="A1465" s="88" t="s">
        <v>1932</v>
      </c>
      <c r="B1465" s="90"/>
      <c r="C1465" s="88" t="s">
        <v>1995</v>
      </c>
      <c r="D1465" s="90"/>
      <c r="E1465" s="88" t="s">
        <v>1996</v>
      </c>
      <c r="F1465" s="89"/>
      <c r="G1465" s="89"/>
      <c r="H1465" s="89"/>
      <c r="I1465" s="90"/>
      <c r="J1465" s="88" t="s">
        <v>1246</v>
      </c>
      <c r="K1465" s="89"/>
      <c r="L1465" s="89"/>
      <c r="M1465" s="90"/>
      <c r="N1465" s="106"/>
      <c r="O1465" s="107"/>
      <c r="P1465" s="108"/>
      <c r="Q1465" s="133">
        <v>1600</v>
      </c>
      <c r="R1465" s="134"/>
      <c r="S1465" s="5" t="s">
        <v>27</v>
      </c>
      <c r="T1465" s="6"/>
      <c r="U1465" s="6"/>
      <c r="V1465" s="5" t="s">
        <v>702</v>
      </c>
      <c r="W1465" s="12">
        <v>4938027</v>
      </c>
      <c r="X1465" s="6"/>
      <c r="Y1465" s="6"/>
    </row>
    <row r="1466" spans="1:25" ht="15" customHeight="1" x14ac:dyDescent="0.2">
      <c r="A1466" s="88" t="s">
        <v>1932</v>
      </c>
      <c r="B1466" s="90"/>
      <c r="C1466" s="88" t="s">
        <v>1995</v>
      </c>
      <c r="D1466" s="90"/>
      <c r="E1466" s="88" t="s">
        <v>1996</v>
      </c>
      <c r="F1466" s="89"/>
      <c r="G1466" s="89"/>
      <c r="H1466" s="89"/>
      <c r="I1466" s="90"/>
      <c r="J1466" s="88" t="s">
        <v>1499</v>
      </c>
      <c r="K1466" s="89"/>
      <c r="L1466" s="89"/>
      <c r="M1466" s="90"/>
      <c r="N1466" s="106"/>
      <c r="O1466" s="107"/>
      <c r="P1466" s="108"/>
      <c r="Q1466" s="133">
        <v>1600</v>
      </c>
      <c r="R1466" s="134"/>
      <c r="S1466" s="5" t="s">
        <v>27</v>
      </c>
      <c r="T1466" s="6"/>
      <c r="U1466" s="6"/>
      <c r="V1466" s="5" t="s">
        <v>702</v>
      </c>
      <c r="W1466" s="12">
        <v>5275807</v>
      </c>
      <c r="X1466" s="6"/>
      <c r="Y1466" s="6"/>
    </row>
    <row r="1467" spans="1:25" ht="15" customHeight="1" x14ac:dyDescent="0.2">
      <c r="A1467" s="88" t="s">
        <v>1932</v>
      </c>
      <c r="B1467" s="90"/>
      <c r="C1467" s="88" t="s">
        <v>1997</v>
      </c>
      <c r="D1467" s="90"/>
      <c r="E1467" s="88" t="s">
        <v>1998</v>
      </c>
      <c r="F1467" s="89"/>
      <c r="G1467" s="89"/>
      <c r="H1467" s="89"/>
      <c r="I1467" s="90"/>
      <c r="J1467" s="88" t="s">
        <v>1246</v>
      </c>
      <c r="K1467" s="89"/>
      <c r="L1467" s="89"/>
      <c r="M1467" s="90"/>
      <c r="N1467" s="106"/>
      <c r="O1467" s="107"/>
      <c r="P1467" s="108"/>
      <c r="Q1467" s="133">
        <v>1600</v>
      </c>
      <c r="R1467" s="134"/>
      <c r="S1467" s="5" t="s">
        <v>27</v>
      </c>
      <c r="T1467" s="6"/>
      <c r="U1467" s="6"/>
      <c r="V1467" s="5" t="s">
        <v>702</v>
      </c>
      <c r="W1467" s="12">
        <v>5066705</v>
      </c>
      <c r="X1467" s="6"/>
      <c r="Y1467" s="6"/>
    </row>
    <row r="1468" spans="1:25" ht="15" customHeight="1" x14ac:dyDescent="0.2">
      <c r="A1468" s="88" t="s">
        <v>1932</v>
      </c>
      <c r="B1468" s="90"/>
      <c r="C1468" s="88" t="s">
        <v>1997</v>
      </c>
      <c r="D1468" s="90"/>
      <c r="E1468" s="88" t="s">
        <v>1998</v>
      </c>
      <c r="F1468" s="89"/>
      <c r="G1468" s="89"/>
      <c r="H1468" s="89"/>
      <c r="I1468" s="90"/>
      <c r="J1468" s="88" t="s">
        <v>1499</v>
      </c>
      <c r="K1468" s="89"/>
      <c r="L1468" s="89"/>
      <c r="M1468" s="90"/>
      <c r="N1468" s="106"/>
      <c r="O1468" s="107"/>
      <c r="P1468" s="108"/>
      <c r="Q1468" s="133">
        <v>1600</v>
      </c>
      <c r="R1468" s="134"/>
      <c r="S1468" s="5" t="s">
        <v>27</v>
      </c>
      <c r="T1468" s="6"/>
      <c r="U1468" s="6"/>
      <c r="V1468" s="5" t="s">
        <v>702</v>
      </c>
      <c r="W1468" s="12">
        <v>5468824</v>
      </c>
      <c r="X1468" s="6"/>
      <c r="Y1468" s="6"/>
    </row>
    <row r="1469" spans="1:25" ht="15" customHeight="1" x14ac:dyDescent="0.2">
      <c r="A1469" s="88" t="s">
        <v>1932</v>
      </c>
      <c r="B1469" s="90"/>
      <c r="C1469" s="88" t="s">
        <v>1999</v>
      </c>
      <c r="D1469" s="90"/>
      <c r="E1469" s="88" t="s">
        <v>2000</v>
      </c>
      <c r="F1469" s="89"/>
      <c r="G1469" s="89"/>
      <c r="H1469" s="89"/>
      <c r="I1469" s="90"/>
      <c r="J1469" s="88" t="s">
        <v>1499</v>
      </c>
      <c r="K1469" s="89"/>
      <c r="L1469" s="89"/>
      <c r="M1469" s="90"/>
      <c r="N1469" s="106"/>
      <c r="O1469" s="107"/>
      <c r="P1469" s="108"/>
      <c r="Q1469" s="133">
        <v>1600</v>
      </c>
      <c r="R1469" s="134"/>
      <c r="S1469" s="5" t="s">
        <v>16</v>
      </c>
      <c r="T1469" s="6"/>
      <c r="U1469" s="6"/>
      <c r="V1469" s="5" t="s">
        <v>96</v>
      </c>
      <c r="W1469" s="12">
        <v>3582519</v>
      </c>
      <c r="X1469" s="6"/>
      <c r="Y1469" s="6"/>
    </row>
    <row r="1470" spans="1:25" ht="15" customHeight="1" x14ac:dyDescent="0.2">
      <c r="A1470" s="88" t="s">
        <v>1932</v>
      </c>
      <c r="B1470" s="90"/>
      <c r="C1470" s="88" t="s">
        <v>1999</v>
      </c>
      <c r="D1470" s="90"/>
      <c r="E1470" s="88" t="s">
        <v>2000</v>
      </c>
      <c r="F1470" s="89"/>
      <c r="G1470" s="89"/>
      <c r="H1470" s="89"/>
      <c r="I1470" s="90"/>
      <c r="J1470" s="88" t="s">
        <v>1499</v>
      </c>
      <c r="K1470" s="89"/>
      <c r="L1470" s="89"/>
      <c r="M1470" s="90"/>
      <c r="N1470" s="106"/>
      <c r="O1470" s="107"/>
      <c r="P1470" s="108"/>
      <c r="Q1470" s="133">
        <v>1600</v>
      </c>
      <c r="R1470" s="134"/>
      <c r="S1470" s="5" t="s">
        <v>16</v>
      </c>
      <c r="T1470" s="6"/>
      <c r="U1470" s="6"/>
      <c r="V1470" s="5" t="s">
        <v>702</v>
      </c>
      <c r="W1470" s="12">
        <v>3582519</v>
      </c>
      <c r="X1470" s="6"/>
      <c r="Y1470" s="6"/>
    </row>
    <row r="1471" spans="1:25" ht="15" customHeight="1" x14ac:dyDescent="0.2">
      <c r="A1471" s="88" t="s">
        <v>1932</v>
      </c>
      <c r="B1471" s="90"/>
      <c r="C1471" s="88" t="s">
        <v>1999</v>
      </c>
      <c r="D1471" s="90"/>
      <c r="E1471" s="88" t="s">
        <v>2000</v>
      </c>
      <c r="F1471" s="89"/>
      <c r="G1471" s="89"/>
      <c r="H1471" s="89"/>
      <c r="I1471" s="90"/>
      <c r="J1471" s="88" t="s">
        <v>1246</v>
      </c>
      <c r="K1471" s="89"/>
      <c r="L1471" s="89"/>
      <c r="M1471" s="90"/>
      <c r="N1471" s="106"/>
      <c r="O1471" s="107"/>
      <c r="P1471" s="108"/>
      <c r="Q1471" s="133">
        <v>1600</v>
      </c>
      <c r="R1471" s="134"/>
      <c r="S1471" s="5" t="s">
        <v>16</v>
      </c>
      <c r="T1471" s="6"/>
      <c r="U1471" s="6"/>
      <c r="V1471" s="5" t="s">
        <v>702</v>
      </c>
      <c r="W1471" s="12">
        <v>3290068</v>
      </c>
      <c r="X1471" s="6"/>
      <c r="Y1471" s="6"/>
    </row>
    <row r="1472" spans="1:25" ht="15" customHeight="1" x14ac:dyDescent="0.2">
      <c r="A1472" s="88" t="s">
        <v>1932</v>
      </c>
      <c r="B1472" s="90"/>
      <c r="C1472" s="88" t="s">
        <v>1999</v>
      </c>
      <c r="D1472" s="90"/>
      <c r="E1472" s="88" t="s">
        <v>2000</v>
      </c>
      <c r="F1472" s="89"/>
      <c r="G1472" s="89"/>
      <c r="H1472" s="89"/>
      <c r="I1472" s="90"/>
      <c r="J1472" s="88" t="s">
        <v>1246</v>
      </c>
      <c r="K1472" s="89"/>
      <c r="L1472" s="89"/>
      <c r="M1472" s="90"/>
      <c r="N1472" s="106"/>
      <c r="O1472" s="107"/>
      <c r="P1472" s="108"/>
      <c r="Q1472" s="133">
        <v>1600</v>
      </c>
      <c r="R1472" s="134"/>
      <c r="S1472" s="5" t="s">
        <v>16</v>
      </c>
      <c r="T1472" s="6"/>
      <c r="U1472" s="6"/>
      <c r="V1472" s="5" t="s">
        <v>702</v>
      </c>
      <c r="W1472" s="12">
        <v>3290068</v>
      </c>
      <c r="X1472" s="6"/>
      <c r="Y1472" s="6"/>
    </row>
    <row r="1473" spans="1:25" ht="15" customHeight="1" x14ac:dyDescent="0.2">
      <c r="A1473" s="88" t="s">
        <v>1932</v>
      </c>
      <c r="B1473" s="90"/>
      <c r="C1473" s="88" t="s">
        <v>2001</v>
      </c>
      <c r="D1473" s="90"/>
      <c r="E1473" s="88" t="s">
        <v>2002</v>
      </c>
      <c r="F1473" s="89"/>
      <c r="G1473" s="89"/>
      <c r="H1473" s="89"/>
      <c r="I1473" s="90"/>
      <c r="J1473" s="88" t="s">
        <v>1499</v>
      </c>
      <c r="K1473" s="89"/>
      <c r="L1473" s="89"/>
      <c r="M1473" s="90"/>
      <c r="N1473" s="106"/>
      <c r="O1473" s="107"/>
      <c r="P1473" s="108"/>
      <c r="Q1473" s="133">
        <v>1600</v>
      </c>
      <c r="R1473" s="134"/>
      <c r="S1473" s="5" t="s">
        <v>16</v>
      </c>
      <c r="T1473" s="6"/>
      <c r="U1473" s="6"/>
      <c r="V1473" s="5" t="s">
        <v>702</v>
      </c>
      <c r="W1473" s="12">
        <v>3911525</v>
      </c>
      <c r="X1473" s="6"/>
      <c r="Y1473" s="6"/>
    </row>
    <row r="1474" spans="1:25" ht="15" customHeight="1" x14ac:dyDescent="0.2">
      <c r="A1474" s="88" t="s">
        <v>1932</v>
      </c>
      <c r="B1474" s="90"/>
      <c r="C1474" s="88" t="s">
        <v>2001</v>
      </c>
      <c r="D1474" s="90"/>
      <c r="E1474" s="88" t="s">
        <v>2002</v>
      </c>
      <c r="F1474" s="89"/>
      <c r="G1474" s="89"/>
      <c r="H1474" s="89"/>
      <c r="I1474" s="90"/>
      <c r="J1474" s="88" t="s">
        <v>1499</v>
      </c>
      <c r="K1474" s="89"/>
      <c r="L1474" s="89"/>
      <c r="M1474" s="90"/>
      <c r="N1474" s="106"/>
      <c r="O1474" s="107"/>
      <c r="P1474" s="108"/>
      <c r="Q1474" s="133">
        <v>1600</v>
      </c>
      <c r="R1474" s="134"/>
      <c r="S1474" s="5" t="s">
        <v>16</v>
      </c>
      <c r="T1474" s="6"/>
      <c r="U1474" s="6"/>
      <c r="V1474" s="5" t="s">
        <v>702</v>
      </c>
      <c r="W1474" s="12">
        <v>3911525</v>
      </c>
      <c r="X1474" s="6"/>
      <c r="Y1474" s="6"/>
    </row>
    <row r="1475" spans="1:25" ht="15" customHeight="1" x14ac:dyDescent="0.2">
      <c r="A1475" s="88" t="s">
        <v>1932</v>
      </c>
      <c r="B1475" s="90"/>
      <c r="C1475" s="88" t="s">
        <v>2003</v>
      </c>
      <c r="D1475" s="90"/>
      <c r="E1475" s="88" t="s">
        <v>2004</v>
      </c>
      <c r="F1475" s="89"/>
      <c r="G1475" s="89"/>
      <c r="H1475" s="89"/>
      <c r="I1475" s="90"/>
      <c r="J1475" s="88" t="s">
        <v>1499</v>
      </c>
      <c r="K1475" s="89"/>
      <c r="L1475" s="89"/>
      <c r="M1475" s="90"/>
      <c r="N1475" s="106"/>
      <c r="O1475" s="107"/>
      <c r="P1475" s="108"/>
      <c r="Q1475" s="133">
        <v>1600</v>
      </c>
      <c r="R1475" s="134"/>
      <c r="S1475" s="5" t="s">
        <v>16</v>
      </c>
      <c r="T1475" s="6"/>
      <c r="U1475" s="6"/>
      <c r="V1475" s="5" t="s">
        <v>702</v>
      </c>
      <c r="W1475" s="12">
        <v>4277089</v>
      </c>
      <c r="X1475" s="6"/>
      <c r="Y1475" s="6"/>
    </row>
    <row r="1476" spans="1:25" ht="15" customHeight="1" x14ac:dyDescent="0.2">
      <c r="A1476" s="88" t="s">
        <v>1932</v>
      </c>
      <c r="B1476" s="90"/>
      <c r="C1476" s="88" t="s">
        <v>2003</v>
      </c>
      <c r="D1476" s="90"/>
      <c r="E1476" s="88" t="s">
        <v>2004</v>
      </c>
      <c r="F1476" s="89"/>
      <c r="G1476" s="89"/>
      <c r="H1476" s="89"/>
      <c r="I1476" s="90"/>
      <c r="J1476" s="88" t="s">
        <v>1499</v>
      </c>
      <c r="K1476" s="89"/>
      <c r="L1476" s="89"/>
      <c r="M1476" s="90"/>
      <c r="N1476" s="106"/>
      <c r="O1476" s="107"/>
      <c r="P1476" s="108"/>
      <c r="Q1476" s="133">
        <v>1600</v>
      </c>
      <c r="R1476" s="134"/>
      <c r="S1476" s="5" t="s">
        <v>16</v>
      </c>
      <c r="T1476" s="6"/>
      <c r="U1476" s="6"/>
      <c r="V1476" s="5" t="s">
        <v>702</v>
      </c>
      <c r="W1476" s="12">
        <v>4277089</v>
      </c>
      <c r="X1476" s="6"/>
      <c r="Y1476" s="6"/>
    </row>
    <row r="1477" spans="1:25" ht="15" customHeight="1" x14ac:dyDescent="0.2">
      <c r="A1477" s="88" t="s">
        <v>1932</v>
      </c>
      <c r="B1477" s="90"/>
      <c r="C1477" s="88" t="s">
        <v>2005</v>
      </c>
      <c r="D1477" s="90"/>
      <c r="E1477" s="88" t="s">
        <v>2006</v>
      </c>
      <c r="F1477" s="89"/>
      <c r="G1477" s="89"/>
      <c r="H1477" s="89"/>
      <c r="I1477" s="90"/>
      <c r="J1477" s="88" t="s">
        <v>1499</v>
      </c>
      <c r="K1477" s="89"/>
      <c r="L1477" s="89"/>
      <c r="M1477" s="90"/>
      <c r="N1477" s="106"/>
      <c r="O1477" s="107"/>
      <c r="P1477" s="108"/>
      <c r="Q1477" s="133">
        <v>1600</v>
      </c>
      <c r="R1477" s="134"/>
      <c r="S1477" s="5" t="s">
        <v>16</v>
      </c>
      <c r="T1477" s="6"/>
      <c r="U1477" s="6"/>
      <c r="V1477" s="5" t="s">
        <v>702</v>
      </c>
      <c r="W1477" s="12">
        <v>4277089</v>
      </c>
      <c r="X1477" s="6"/>
      <c r="Y1477" s="6"/>
    </row>
    <row r="1478" spans="1:25" ht="15" customHeight="1" x14ac:dyDescent="0.2">
      <c r="A1478" s="88" t="s">
        <v>1932</v>
      </c>
      <c r="B1478" s="90"/>
      <c r="C1478" s="88" t="s">
        <v>2007</v>
      </c>
      <c r="D1478" s="90"/>
      <c r="E1478" s="88" t="s">
        <v>2008</v>
      </c>
      <c r="F1478" s="89"/>
      <c r="G1478" s="89"/>
      <c r="H1478" s="89"/>
      <c r="I1478" s="90"/>
      <c r="J1478" s="88" t="s">
        <v>1499</v>
      </c>
      <c r="K1478" s="89"/>
      <c r="L1478" s="89"/>
      <c r="M1478" s="90"/>
      <c r="N1478" s="106"/>
      <c r="O1478" s="107"/>
      <c r="P1478" s="108"/>
      <c r="Q1478" s="133">
        <v>1600</v>
      </c>
      <c r="R1478" s="134"/>
      <c r="S1478" s="5" t="s">
        <v>16</v>
      </c>
      <c r="T1478" s="6"/>
      <c r="U1478" s="6"/>
      <c r="V1478" s="5" t="s">
        <v>702</v>
      </c>
      <c r="W1478" s="12">
        <v>4277089</v>
      </c>
      <c r="X1478" s="6"/>
      <c r="Y1478" s="6"/>
    </row>
    <row r="1479" spans="1:25" ht="15" customHeight="1" x14ac:dyDescent="0.2">
      <c r="A1479" s="88" t="s">
        <v>1932</v>
      </c>
      <c r="B1479" s="90"/>
      <c r="C1479" s="88" t="s">
        <v>2009</v>
      </c>
      <c r="D1479" s="90"/>
      <c r="E1479" s="88" t="s">
        <v>2002</v>
      </c>
      <c r="F1479" s="89"/>
      <c r="G1479" s="89"/>
      <c r="H1479" s="89"/>
      <c r="I1479" s="90"/>
      <c r="J1479" s="88" t="s">
        <v>1499</v>
      </c>
      <c r="K1479" s="89"/>
      <c r="L1479" s="89"/>
      <c r="M1479" s="90"/>
      <c r="N1479" s="106"/>
      <c r="O1479" s="107"/>
      <c r="P1479" s="108"/>
      <c r="Q1479" s="133">
        <v>1700</v>
      </c>
      <c r="R1479" s="134"/>
      <c r="S1479" s="5" t="s">
        <v>44</v>
      </c>
      <c r="T1479" s="6"/>
      <c r="U1479" s="6"/>
      <c r="V1479" s="5" t="s">
        <v>106</v>
      </c>
      <c r="W1479" s="12">
        <v>5428612</v>
      </c>
      <c r="X1479" s="6"/>
      <c r="Y1479" s="6"/>
    </row>
    <row r="1480" spans="1:25" ht="15" customHeight="1" x14ac:dyDescent="0.2">
      <c r="A1480" s="88" t="s">
        <v>1932</v>
      </c>
      <c r="B1480" s="90"/>
      <c r="C1480" s="88" t="s">
        <v>2010</v>
      </c>
      <c r="D1480" s="90"/>
      <c r="E1480" s="88" t="s">
        <v>2011</v>
      </c>
      <c r="F1480" s="89"/>
      <c r="G1480" s="89"/>
      <c r="H1480" s="89"/>
      <c r="I1480" s="90"/>
      <c r="J1480" s="88" t="s">
        <v>1499</v>
      </c>
      <c r="K1480" s="89"/>
      <c r="L1480" s="89"/>
      <c r="M1480" s="90"/>
      <c r="N1480" s="106"/>
      <c r="O1480" s="107"/>
      <c r="P1480" s="108"/>
      <c r="Q1480" s="133">
        <v>1700</v>
      </c>
      <c r="R1480" s="134"/>
      <c r="S1480" s="5" t="s">
        <v>1539</v>
      </c>
      <c r="T1480" s="6"/>
      <c r="U1480" s="6"/>
      <c r="V1480" s="5" t="s">
        <v>106</v>
      </c>
      <c r="W1480" s="12">
        <v>5348189</v>
      </c>
      <c r="X1480" s="6"/>
      <c r="Y1480" s="6"/>
    </row>
    <row r="1481" spans="1:25" ht="15" customHeight="1" x14ac:dyDescent="0.2">
      <c r="A1481" s="88" t="s">
        <v>1932</v>
      </c>
      <c r="B1481" s="90"/>
      <c r="C1481" s="88" t="s">
        <v>2012</v>
      </c>
      <c r="D1481" s="90"/>
      <c r="E1481" s="88" t="s">
        <v>1615</v>
      </c>
      <c r="F1481" s="89"/>
      <c r="G1481" s="89"/>
      <c r="H1481" s="89"/>
      <c r="I1481" s="90"/>
      <c r="J1481" s="88" t="s">
        <v>1499</v>
      </c>
      <c r="K1481" s="89"/>
      <c r="L1481" s="89"/>
      <c r="M1481" s="90"/>
      <c r="N1481" s="106"/>
      <c r="O1481" s="107"/>
      <c r="P1481" s="108"/>
      <c r="Q1481" s="133">
        <v>1700</v>
      </c>
      <c r="R1481" s="134"/>
      <c r="S1481" s="5" t="s">
        <v>44</v>
      </c>
      <c r="T1481" s="6"/>
      <c r="U1481" s="6"/>
      <c r="V1481" s="5" t="s">
        <v>106</v>
      </c>
      <c r="W1481" s="12">
        <v>6675183</v>
      </c>
      <c r="X1481" s="6"/>
      <c r="Y1481" s="6"/>
    </row>
    <row r="1482" spans="1:25" ht="15" customHeight="1" x14ac:dyDescent="0.2">
      <c r="A1482" s="88" t="s">
        <v>1932</v>
      </c>
      <c r="B1482" s="90"/>
      <c r="C1482" s="88" t="s">
        <v>2013</v>
      </c>
      <c r="D1482" s="90"/>
      <c r="E1482" s="88" t="s">
        <v>2014</v>
      </c>
      <c r="F1482" s="89"/>
      <c r="G1482" s="89"/>
      <c r="H1482" s="89"/>
      <c r="I1482" s="90"/>
      <c r="J1482" s="88" t="s">
        <v>1499</v>
      </c>
      <c r="K1482" s="89"/>
      <c r="L1482" s="89"/>
      <c r="M1482" s="90"/>
      <c r="N1482" s="106"/>
      <c r="O1482" s="107"/>
      <c r="P1482" s="108"/>
      <c r="Q1482" s="133">
        <v>1700</v>
      </c>
      <c r="R1482" s="134"/>
      <c r="S1482" s="5" t="s">
        <v>1539</v>
      </c>
      <c r="T1482" s="6"/>
      <c r="U1482" s="6"/>
      <c r="V1482" s="5" t="s">
        <v>106</v>
      </c>
      <c r="W1482" s="12">
        <v>7479422</v>
      </c>
      <c r="X1482" s="6"/>
      <c r="Y1482" s="6"/>
    </row>
    <row r="1483" spans="1:25" ht="15" customHeight="1" x14ac:dyDescent="0.2">
      <c r="A1483" s="88" t="s">
        <v>1932</v>
      </c>
      <c r="B1483" s="90"/>
      <c r="C1483" s="88" t="s">
        <v>2015</v>
      </c>
      <c r="D1483" s="90"/>
      <c r="E1483" s="88" t="s">
        <v>2002</v>
      </c>
      <c r="F1483" s="89"/>
      <c r="G1483" s="89"/>
      <c r="H1483" s="89"/>
      <c r="I1483" s="90"/>
      <c r="J1483" s="88" t="s">
        <v>1499</v>
      </c>
      <c r="K1483" s="89"/>
      <c r="L1483" s="89"/>
      <c r="M1483" s="90"/>
      <c r="N1483" s="106"/>
      <c r="O1483" s="107"/>
      <c r="P1483" s="108"/>
      <c r="Q1483" s="133">
        <v>2000</v>
      </c>
      <c r="R1483" s="134"/>
      <c r="S1483" s="5" t="s">
        <v>44</v>
      </c>
      <c r="T1483" s="6"/>
      <c r="U1483" s="6"/>
      <c r="V1483" s="5" t="s">
        <v>702</v>
      </c>
      <c r="W1483" s="12">
        <v>5415208</v>
      </c>
      <c r="X1483" s="6"/>
      <c r="Y1483" s="6"/>
    </row>
    <row r="1484" spans="1:25" ht="15" customHeight="1" x14ac:dyDescent="0.2">
      <c r="A1484" s="88" t="s">
        <v>1932</v>
      </c>
      <c r="B1484" s="90"/>
      <c r="C1484" s="88" t="s">
        <v>2016</v>
      </c>
      <c r="D1484" s="90"/>
      <c r="E1484" s="88" t="s">
        <v>2017</v>
      </c>
      <c r="F1484" s="89"/>
      <c r="G1484" s="89"/>
      <c r="H1484" s="89"/>
      <c r="I1484" s="90"/>
      <c r="J1484" s="88" t="s">
        <v>1499</v>
      </c>
      <c r="K1484" s="89"/>
      <c r="L1484" s="89"/>
      <c r="M1484" s="90"/>
      <c r="N1484" s="106"/>
      <c r="O1484" s="107"/>
      <c r="P1484" s="108"/>
      <c r="Q1484" s="133">
        <v>2000</v>
      </c>
      <c r="R1484" s="134"/>
      <c r="S1484" s="5" t="s">
        <v>44</v>
      </c>
      <c r="T1484" s="6"/>
      <c r="U1484" s="6"/>
      <c r="V1484" s="5" t="s">
        <v>702</v>
      </c>
      <c r="W1484" s="12">
        <v>5763712</v>
      </c>
      <c r="X1484" s="6"/>
      <c r="Y1484" s="6"/>
    </row>
    <row r="1485" spans="1:25" ht="15" customHeight="1" x14ac:dyDescent="0.2">
      <c r="A1485" s="88" t="s">
        <v>1932</v>
      </c>
      <c r="B1485" s="90"/>
      <c r="C1485" s="88" t="s">
        <v>2018</v>
      </c>
      <c r="D1485" s="90"/>
      <c r="E1485" s="88" t="s">
        <v>2019</v>
      </c>
      <c r="F1485" s="89"/>
      <c r="G1485" s="89"/>
      <c r="H1485" s="89"/>
      <c r="I1485" s="90"/>
      <c r="J1485" s="88" t="s">
        <v>1499</v>
      </c>
      <c r="K1485" s="89"/>
      <c r="L1485" s="89"/>
      <c r="M1485" s="90"/>
      <c r="N1485" s="106"/>
      <c r="O1485" s="107"/>
      <c r="P1485" s="108"/>
      <c r="Q1485" s="133">
        <v>2000</v>
      </c>
      <c r="R1485" s="134"/>
      <c r="S1485" s="5" t="s">
        <v>44</v>
      </c>
      <c r="T1485" s="6"/>
      <c r="U1485" s="6"/>
      <c r="V1485" s="5" t="s">
        <v>702</v>
      </c>
      <c r="W1485" s="12">
        <v>4852241</v>
      </c>
      <c r="X1485" s="6"/>
      <c r="Y1485" s="6"/>
    </row>
    <row r="1486" spans="1:25" ht="15" customHeight="1" x14ac:dyDescent="0.2">
      <c r="A1486" s="88" t="s">
        <v>1932</v>
      </c>
      <c r="B1486" s="90"/>
      <c r="C1486" s="88" t="s">
        <v>2018</v>
      </c>
      <c r="D1486" s="90"/>
      <c r="E1486" s="88" t="s">
        <v>2019</v>
      </c>
      <c r="F1486" s="89"/>
      <c r="G1486" s="89"/>
      <c r="H1486" s="89"/>
      <c r="I1486" s="90"/>
      <c r="J1486" s="88" t="s">
        <v>1246</v>
      </c>
      <c r="K1486" s="89"/>
      <c r="L1486" s="89"/>
      <c r="M1486" s="90"/>
      <c r="N1486" s="106"/>
      <c r="O1486" s="107"/>
      <c r="P1486" s="108"/>
      <c r="Q1486" s="133">
        <v>2000</v>
      </c>
      <c r="R1486" s="134"/>
      <c r="S1486" s="5" t="s">
        <v>44</v>
      </c>
      <c r="T1486" s="6"/>
      <c r="U1486" s="6"/>
      <c r="V1486" s="5" t="s">
        <v>702</v>
      </c>
      <c r="W1486" s="12">
        <v>4342890</v>
      </c>
      <c r="X1486" s="6"/>
      <c r="Y1486" s="6"/>
    </row>
    <row r="1487" spans="1:25" ht="15" customHeight="1" x14ac:dyDescent="0.2">
      <c r="A1487" s="88" t="s">
        <v>1932</v>
      </c>
      <c r="B1487" s="90"/>
      <c r="C1487" s="88" t="s">
        <v>2020</v>
      </c>
      <c r="D1487" s="90"/>
      <c r="E1487" s="88" t="s">
        <v>2021</v>
      </c>
      <c r="F1487" s="89"/>
      <c r="G1487" s="89"/>
      <c r="H1487" s="89"/>
      <c r="I1487" s="90"/>
      <c r="J1487" s="88" t="s">
        <v>1499</v>
      </c>
      <c r="K1487" s="89"/>
      <c r="L1487" s="89"/>
      <c r="M1487" s="90"/>
      <c r="N1487" s="106"/>
      <c r="O1487" s="107"/>
      <c r="P1487" s="108"/>
      <c r="Q1487" s="133">
        <v>2000</v>
      </c>
      <c r="R1487" s="134"/>
      <c r="S1487" s="5" t="s">
        <v>44</v>
      </c>
      <c r="T1487" s="6"/>
      <c r="U1487" s="6"/>
      <c r="V1487" s="5" t="s">
        <v>702</v>
      </c>
      <c r="W1487" s="12">
        <v>5200745</v>
      </c>
      <c r="X1487" s="6"/>
      <c r="Y1487" s="6"/>
    </row>
    <row r="1488" spans="1:25" ht="15" customHeight="1" x14ac:dyDescent="0.2">
      <c r="A1488" s="88" t="s">
        <v>1932</v>
      </c>
      <c r="B1488" s="90"/>
      <c r="C1488" s="88" t="s">
        <v>2022</v>
      </c>
      <c r="D1488" s="90"/>
      <c r="E1488" s="88" t="s">
        <v>2000</v>
      </c>
      <c r="F1488" s="89"/>
      <c r="G1488" s="89"/>
      <c r="H1488" s="89"/>
      <c r="I1488" s="90"/>
      <c r="J1488" s="88" t="s">
        <v>1499</v>
      </c>
      <c r="K1488" s="89"/>
      <c r="L1488" s="89"/>
      <c r="M1488" s="90"/>
      <c r="N1488" s="106"/>
      <c r="O1488" s="107"/>
      <c r="P1488" s="108"/>
      <c r="Q1488" s="133">
        <v>2000</v>
      </c>
      <c r="R1488" s="134"/>
      <c r="S1488" s="5" t="s">
        <v>27</v>
      </c>
      <c r="T1488" s="6"/>
      <c r="U1488" s="6"/>
      <c r="V1488" s="5" t="s">
        <v>702</v>
      </c>
      <c r="W1488" s="12">
        <v>3801857</v>
      </c>
      <c r="X1488" s="6"/>
      <c r="Y1488" s="6"/>
    </row>
    <row r="1489" spans="1:25" ht="15" customHeight="1" x14ac:dyDescent="0.2">
      <c r="A1489" s="88" t="s">
        <v>1932</v>
      </c>
      <c r="B1489" s="90"/>
      <c r="C1489" s="88" t="s">
        <v>2022</v>
      </c>
      <c r="D1489" s="90"/>
      <c r="E1489" s="88" t="s">
        <v>2000</v>
      </c>
      <c r="F1489" s="89"/>
      <c r="G1489" s="89"/>
      <c r="H1489" s="89"/>
      <c r="I1489" s="90"/>
      <c r="J1489" s="88" t="s">
        <v>1246</v>
      </c>
      <c r="K1489" s="89"/>
      <c r="L1489" s="89"/>
      <c r="M1489" s="90"/>
      <c r="N1489" s="106"/>
      <c r="O1489" s="107"/>
      <c r="P1489" s="108"/>
      <c r="Q1489" s="133">
        <v>2000</v>
      </c>
      <c r="R1489" s="134"/>
      <c r="S1489" s="5" t="s">
        <v>27</v>
      </c>
      <c r="T1489" s="6"/>
      <c r="U1489" s="6"/>
      <c r="V1489" s="5" t="s">
        <v>702</v>
      </c>
      <c r="W1489" s="12">
        <v>3509406</v>
      </c>
      <c r="X1489" s="6"/>
      <c r="Y1489" s="6"/>
    </row>
    <row r="1490" spans="1:25" ht="15" customHeight="1" x14ac:dyDescent="0.2">
      <c r="A1490" s="88" t="s">
        <v>1932</v>
      </c>
      <c r="B1490" s="90"/>
      <c r="C1490" s="88" t="s">
        <v>2022</v>
      </c>
      <c r="D1490" s="90"/>
      <c r="E1490" s="88" t="s">
        <v>2000</v>
      </c>
      <c r="F1490" s="89"/>
      <c r="G1490" s="89"/>
      <c r="H1490" s="89"/>
      <c r="I1490" s="90"/>
      <c r="J1490" s="88" t="s">
        <v>1499</v>
      </c>
      <c r="K1490" s="89"/>
      <c r="L1490" s="89"/>
      <c r="M1490" s="90"/>
      <c r="N1490" s="106"/>
      <c r="O1490" s="107"/>
      <c r="P1490" s="108"/>
      <c r="Q1490" s="133">
        <v>2000</v>
      </c>
      <c r="R1490" s="134"/>
      <c r="S1490" s="5" t="s">
        <v>44</v>
      </c>
      <c r="T1490" s="6"/>
      <c r="U1490" s="6"/>
      <c r="V1490" s="5" t="s">
        <v>702</v>
      </c>
      <c r="W1490" s="12">
        <v>4240532</v>
      </c>
      <c r="X1490" s="6"/>
      <c r="Y1490" s="6"/>
    </row>
    <row r="1491" spans="1:25" ht="15" customHeight="1" x14ac:dyDescent="0.2">
      <c r="A1491" s="88" t="s">
        <v>1932</v>
      </c>
      <c r="B1491" s="90"/>
      <c r="C1491" s="88" t="s">
        <v>2023</v>
      </c>
      <c r="D1491" s="90"/>
      <c r="E1491" s="88" t="s">
        <v>2002</v>
      </c>
      <c r="F1491" s="89"/>
      <c r="G1491" s="89"/>
      <c r="H1491" s="89"/>
      <c r="I1491" s="90"/>
      <c r="J1491" s="88" t="s">
        <v>1499</v>
      </c>
      <c r="K1491" s="89"/>
      <c r="L1491" s="89"/>
      <c r="M1491" s="90"/>
      <c r="N1491" s="106"/>
      <c r="O1491" s="107"/>
      <c r="P1491" s="108"/>
      <c r="Q1491" s="133">
        <v>2000</v>
      </c>
      <c r="R1491" s="134"/>
      <c r="S1491" s="5" t="s">
        <v>27</v>
      </c>
      <c r="T1491" s="6"/>
      <c r="U1491" s="6"/>
      <c r="V1491" s="5" t="s">
        <v>702</v>
      </c>
      <c r="W1491" s="12">
        <v>4021194</v>
      </c>
      <c r="X1491" s="6"/>
      <c r="Y1491" s="6"/>
    </row>
    <row r="1492" spans="1:25" ht="15" customHeight="1" x14ac:dyDescent="0.2">
      <c r="A1492" s="88" t="s">
        <v>1932</v>
      </c>
      <c r="B1492" s="90"/>
      <c r="C1492" s="88" t="s">
        <v>2024</v>
      </c>
      <c r="D1492" s="90"/>
      <c r="E1492" s="88" t="s">
        <v>2025</v>
      </c>
      <c r="F1492" s="89"/>
      <c r="G1492" s="89"/>
      <c r="H1492" s="89"/>
      <c r="I1492" s="90"/>
      <c r="J1492" s="88" t="s">
        <v>1499</v>
      </c>
      <c r="K1492" s="89"/>
      <c r="L1492" s="89"/>
      <c r="M1492" s="90"/>
      <c r="N1492" s="106"/>
      <c r="O1492" s="107"/>
      <c r="P1492" s="108"/>
      <c r="Q1492" s="133">
        <v>2000</v>
      </c>
      <c r="R1492" s="134"/>
      <c r="S1492" s="5" t="s">
        <v>27</v>
      </c>
      <c r="T1492" s="6"/>
      <c r="U1492" s="6"/>
      <c r="V1492" s="5" t="s">
        <v>702</v>
      </c>
      <c r="W1492" s="12">
        <v>4503738</v>
      </c>
      <c r="X1492" s="6"/>
      <c r="Y1492" s="6"/>
    </row>
    <row r="1493" spans="1:25" ht="15" customHeight="1" x14ac:dyDescent="0.2">
      <c r="A1493" s="88" t="s">
        <v>1932</v>
      </c>
      <c r="B1493" s="90"/>
      <c r="C1493" s="88" t="s">
        <v>2024</v>
      </c>
      <c r="D1493" s="90"/>
      <c r="E1493" s="88" t="s">
        <v>2025</v>
      </c>
      <c r="F1493" s="89"/>
      <c r="G1493" s="89"/>
      <c r="H1493" s="89"/>
      <c r="I1493" s="90"/>
      <c r="J1493" s="88" t="s">
        <v>1499</v>
      </c>
      <c r="K1493" s="89"/>
      <c r="L1493" s="89"/>
      <c r="M1493" s="90"/>
      <c r="N1493" s="106"/>
      <c r="O1493" s="107"/>
      <c r="P1493" s="108"/>
      <c r="Q1493" s="133">
        <v>2000</v>
      </c>
      <c r="R1493" s="134"/>
      <c r="S1493" s="5" t="s">
        <v>44</v>
      </c>
      <c r="T1493" s="6"/>
      <c r="U1493" s="6"/>
      <c r="V1493" s="5" t="s">
        <v>702</v>
      </c>
      <c r="W1493" s="12">
        <v>4898546</v>
      </c>
      <c r="X1493" s="6"/>
      <c r="Y1493" s="6"/>
    </row>
    <row r="1494" spans="1:25" ht="15" customHeight="1" x14ac:dyDescent="0.2">
      <c r="A1494" s="88" t="s">
        <v>1932</v>
      </c>
      <c r="B1494" s="90"/>
      <c r="C1494" s="88" t="s">
        <v>2026</v>
      </c>
      <c r="D1494" s="90"/>
      <c r="E1494" s="88" t="s">
        <v>1948</v>
      </c>
      <c r="F1494" s="89"/>
      <c r="G1494" s="89"/>
      <c r="H1494" s="89"/>
      <c r="I1494" s="90"/>
      <c r="J1494" s="88" t="s">
        <v>1246</v>
      </c>
      <c r="K1494" s="89"/>
      <c r="L1494" s="89"/>
      <c r="M1494" s="90"/>
      <c r="N1494" s="106"/>
      <c r="O1494" s="107"/>
      <c r="P1494" s="108"/>
      <c r="Q1494" s="133">
        <v>2000</v>
      </c>
      <c r="R1494" s="134"/>
      <c r="S1494" s="5" t="s">
        <v>27</v>
      </c>
      <c r="T1494" s="6"/>
      <c r="U1494" s="6"/>
      <c r="V1494" s="5" t="s">
        <v>702</v>
      </c>
      <c r="W1494" s="12">
        <v>7311263</v>
      </c>
      <c r="X1494" s="6"/>
      <c r="Y1494" s="6"/>
    </row>
    <row r="1495" spans="1:25" ht="15" customHeight="1" x14ac:dyDescent="0.2">
      <c r="A1495" s="88" t="s">
        <v>1932</v>
      </c>
      <c r="B1495" s="90"/>
      <c r="C1495" s="88" t="s">
        <v>2026</v>
      </c>
      <c r="D1495" s="90"/>
      <c r="E1495" s="88" t="s">
        <v>1948</v>
      </c>
      <c r="F1495" s="89"/>
      <c r="G1495" s="89"/>
      <c r="H1495" s="89"/>
      <c r="I1495" s="90"/>
      <c r="J1495" s="88" t="s">
        <v>1499</v>
      </c>
      <c r="K1495" s="89"/>
      <c r="L1495" s="89"/>
      <c r="M1495" s="90"/>
      <c r="N1495" s="106"/>
      <c r="O1495" s="107"/>
      <c r="P1495" s="108"/>
      <c r="Q1495" s="133">
        <v>2000</v>
      </c>
      <c r="R1495" s="134"/>
      <c r="S1495" s="5" t="s">
        <v>27</v>
      </c>
      <c r="T1495" s="6"/>
      <c r="U1495" s="6"/>
      <c r="V1495" s="5" t="s">
        <v>702</v>
      </c>
      <c r="W1495" s="12">
        <v>7311263</v>
      </c>
      <c r="X1495" s="6"/>
      <c r="Y1495" s="6"/>
    </row>
    <row r="1496" spans="1:25" ht="15" customHeight="1" x14ac:dyDescent="0.2">
      <c r="A1496" s="88" t="s">
        <v>1932</v>
      </c>
      <c r="B1496" s="90"/>
      <c r="C1496" s="88" t="s">
        <v>2027</v>
      </c>
      <c r="D1496" s="90"/>
      <c r="E1496" s="88" t="s">
        <v>2028</v>
      </c>
      <c r="F1496" s="89"/>
      <c r="G1496" s="89"/>
      <c r="H1496" s="89"/>
      <c r="I1496" s="90"/>
      <c r="J1496" s="88" t="s">
        <v>1246</v>
      </c>
      <c r="K1496" s="89"/>
      <c r="L1496" s="89"/>
      <c r="M1496" s="90"/>
      <c r="N1496" s="106"/>
      <c r="O1496" s="107"/>
      <c r="P1496" s="108"/>
      <c r="Q1496" s="133">
        <v>2000</v>
      </c>
      <c r="R1496" s="134"/>
      <c r="S1496" s="5" t="s">
        <v>27</v>
      </c>
      <c r="T1496" s="6"/>
      <c r="U1496" s="6"/>
      <c r="V1496" s="6"/>
      <c r="W1496" s="12">
        <v>7823051</v>
      </c>
      <c r="X1496" s="6"/>
      <c r="Y1496" s="6"/>
    </row>
    <row r="1497" spans="1:25" ht="15" customHeight="1" x14ac:dyDescent="0.2">
      <c r="A1497" s="88" t="s">
        <v>1932</v>
      </c>
      <c r="B1497" s="90"/>
      <c r="C1497" s="88" t="s">
        <v>2027</v>
      </c>
      <c r="D1497" s="90"/>
      <c r="E1497" s="88" t="s">
        <v>2028</v>
      </c>
      <c r="F1497" s="89"/>
      <c r="G1497" s="89"/>
      <c r="H1497" s="89"/>
      <c r="I1497" s="90"/>
      <c r="J1497" s="88" t="s">
        <v>1246</v>
      </c>
      <c r="K1497" s="89"/>
      <c r="L1497" s="89"/>
      <c r="M1497" s="90"/>
      <c r="N1497" s="106"/>
      <c r="O1497" s="107"/>
      <c r="P1497" s="108"/>
      <c r="Q1497" s="133">
        <v>2000</v>
      </c>
      <c r="R1497" s="134"/>
      <c r="S1497" s="5" t="s">
        <v>27</v>
      </c>
      <c r="T1497" s="6"/>
      <c r="U1497" s="6"/>
      <c r="V1497" s="5" t="s">
        <v>702</v>
      </c>
      <c r="W1497" s="12">
        <v>7194282</v>
      </c>
      <c r="X1497" s="6"/>
      <c r="Y1497" s="6"/>
    </row>
    <row r="1498" spans="1:25" ht="15" customHeight="1" x14ac:dyDescent="0.2">
      <c r="A1498" s="88" t="s">
        <v>1932</v>
      </c>
      <c r="B1498" s="90"/>
      <c r="C1498" s="88" t="s">
        <v>2027</v>
      </c>
      <c r="D1498" s="90"/>
      <c r="E1498" s="88" t="s">
        <v>2028</v>
      </c>
      <c r="F1498" s="89"/>
      <c r="G1498" s="89"/>
      <c r="H1498" s="89"/>
      <c r="I1498" s="90"/>
      <c r="J1498" s="88" t="s">
        <v>1499</v>
      </c>
      <c r="K1498" s="89"/>
      <c r="L1498" s="89"/>
      <c r="M1498" s="90"/>
      <c r="N1498" s="106"/>
      <c r="O1498" s="107"/>
      <c r="P1498" s="108"/>
      <c r="Q1498" s="133">
        <v>2000</v>
      </c>
      <c r="R1498" s="134"/>
      <c r="S1498" s="5" t="s">
        <v>27</v>
      </c>
      <c r="T1498" s="6"/>
      <c r="U1498" s="6"/>
      <c r="V1498" s="6"/>
      <c r="W1498" s="12">
        <v>7823051</v>
      </c>
      <c r="X1498" s="6"/>
      <c r="Y1498" s="6"/>
    </row>
    <row r="1499" spans="1:25" ht="15" customHeight="1" x14ac:dyDescent="0.2">
      <c r="A1499" s="88" t="s">
        <v>1932</v>
      </c>
      <c r="B1499" s="90"/>
      <c r="C1499" s="88" t="s">
        <v>2027</v>
      </c>
      <c r="D1499" s="90"/>
      <c r="E1499" s="88" t="s">
        <v>2028</v>
      </c>
      <c r="F1499" s="89"/>
      <c r="G1499" s="89"/>
      <c r="H1499" s="89"/>
      <c r="I1499" s="90"/>
      <c r="J1499" s="88" t="s">
        <v>1246</v>
      </c>
      <c r="K1499" s="89"/>
      <c r="L1499" s="89"/>
      <c r="M1499" s="90"/>
      <c r="N1499" s="106"/>
      <c r="O1499" s="107"/>
      <c r="P1499" s="108"/>
      <c r="Q1499" s="133">
        <v>2000</v>
      </c>
      <c r="R1499" s="134"/>
      <c r="S1499" s="5" t="s">
        <v>44</v>
      </c>
      <c r="T1499" s="6"/>
      <c r="U1499" s="6"/>
      <c r="V1499" s="5" t="s">
        <v>702</v>
      </c>
      <c r="W1499" s="12">
        <v>7603713</v>
      </c>
      <c r="X1499" s="6"/>
      <c r="Y1499" s="6"/>
    </row>
    <row r="1500" spans="1:25" ht="15" customHeight="1" x14ac:dyDescent="0.2">
      <c r="A1500" s="88" t="s">
        <v>1932</v>
      </c>
      <c r="B1500" s="90"/>
      <c r="C1500" s="88" t="s">
        <v>2027</v>
      </c>
      <c r="D1500" s="90"/>
      <c r="E1500" s="88" t="s">
        <v>2028</v>
      </c>
      <c r="F1500" s="89"/>
      <c r="G1500" s="89"/>
      <c r="H1500" s="89"/>
      <c r="I1500" s="90"/>
      <c r="J1500" s="88" t="s">
        <v>1499</v>
      </c>
      <c r="K1500" s="89"/>
      <c r="L1500" s="89"/>
      <c r="M1500" s="90"/>
      <c r="N1500" s="106"/>
      <c r="O1500" s="107"/>
      <c r="P1500" s="108"/>
      <c r="Q1500" s="133">
        <v>2000</v>
      </c>
      <c r="R1500" s="134"/>
      <c r="S1500" s="5" t="s">
        <v>44</v>
      </c>
      <c r="T1500" s="6"/>
      <c r="U1500" s="6"/>
      <c r="V1500" s="5" t="s">
        <v>702</v>
      </c>
      <c r="W1500" s="12">
        <v>7603713</v>
      </c>
      <c r="X1500" s="6"/>
      <c r="Y1500" s="6"/>
    </row>
    <row r="1501" spans="1:25" ht="15" customHeight="1" x14ac:dyDescent="0.2">
      <c r="A1501" s="88" t="s">
        <v>1932</v>
      </c>
      <c r="B1501" s="90"/>
      <c r="C1501" s="88" t="s">
        <v>2029</v>
      </c>
      <c r="D1501" s="90"/>
      <c r="E1501" s="88" t="s">
        <v>2030</v>
      </c>
      <c r="F1501" s="89"/>
      <c r="G1501" s="89"/>
      <c r="H1501" s="89"/>
      <c r="I1501" s="90"/>
      <c r="J1501" s="88" t="s">
        <v>1246</v>
      </c>
      <c r="K1501" s="89"/>
      <c r="L1501" s="89"/>
      <c r="M1501" s="90"/>
      <c r="N1501" s="106"/>
      <c r="O1501" s="107"/>
      <c r="P1501" s="108"/>
      <c r="Q1501" s="133">
        <v>2000</v>
      </c>
      <c r="R1501" s="134"/>
      <c r="S1501" s="5" t="s">
        <v>27</v>
      </c>
      <c r="T1501" s="6"/>
      <c r="U1501" s="6"/>
      <c r="V1501" s="5" t="s">
        <v>702</v>
      </c>
      <c r="W1501" s="12">
        <v>8115501</v>
      </c>
      <c r="X1501" s="6"/>
      <c r="Y1501" s="6"/>
    </row>
    <row r="1502" spans="1:25" ht="15" customHeight="1" x14ac:dyDescent="0.2">
      <c r="A1502" s="88" t="s">
        <v>1932</v>
      </c>
      <c r="B1502" s="90"/>
      <c r="C1502" s="88" t="s">
        <v>2029</v>
      </c>
      <c r="D1502" s="90"/>
      <c r="E1502" s="88" t="s">
        <v>2030</v>
      </c>
      <c r="F1502" s="89"/>
      <c r="G1502" s="89"/>
      <c r="H1502" s="89"/>
      <c r="I1502" s="90"/>
      <c r="J1502" s="88" t="s">
        <v>1499</v>
      </c>
      <c r="K1502" s="89"/>
      <c r="L1502" s="89"/>
      <c r="M1502" s="90"/>
      <c r="N1502" s="106"/>
      <c r="O1502" s="107"/>
      <c r="P1502" s="108"/>
      <c r="Q1502" s="133">
        <v>2000</v>
      </c>
      <c r="R1502" s="134"/>
      <c r="S1502" s="5" t="s">
        <v>27</v>
      </c>
      <c r="T1502" s="6"/>
      <c r="U1502" s="6"/>
      <c r="V1502" s="5" t="s">
        <v>702</v>
      </c>
      <c r="W1502" s="12">
        <v>8115501</v>
      </c>
      <c r="X1502" s="6"/>
      <c r="Y1502" s="6"/>
    </row>
    <row r="1503" spans="1:25" ht="15" customHeight="1" x14ac:dyDescent="0.2">
      <c r="A1503" s="88" t="s">
        <v>1932</v>
      </c>
      <c r="B1503" s="90"/>
      <c r="C1503" s="88" t="s">
        <v>2029</v>
      </c>
      <c r="D1503" s="90"/>
      <c r="E1503" s="88" t="s">
        <v>2030</v>
      </c>
      <c r="F1503" s="89"/>
      <c r="G1503" s="89"/>
      <c r="H1503" s="89"/>
      <c r="I1503" s="90"/>
      <c r="J1503" s="88" t="s">
        <v>1246</v>
      </c>
      <c r="K1503" s="89"/>
      <c r="L1503" s="89"/>
      <c r="M1503" s="90"/>
      <c r="N1503" s="106"/>
      <c r="O1503" s="107"/>
      <c r="P1503" s="108"/>
      <c r="Q1503" s="133">
        <v>2000</v>
      </c>
      <c r="R1503" s="134"/>
      <c r="S1503" s="5" t="s">
        <v>44</v>
      </c>
      <c r="T1503" s="6"/>
      <c r="U1503" s="6"/>
      <c r="V1503" s="5" t="s">
        <v>702</v>
      </c>
      <c r="W1503" s="12">
        <v>7896164</v>
      </c>
      <c r="X1503" s="6"/>
      <c r="Y1503" s="6"/>
    </row>
    <row r="1504" spans="1:25" ht="15" customHeight="1" x14ac:dyDescent="0.2">
      <c r="A1504" s="88" t="s">
        <v>1932</v>
      </c>
      <c r="B1504" s="90"/>
      <c r="C1504" s="88" t="s">
        <v>2029</v>
      </c>
      <c r="D1504" s="90"/>
      <c r="E1504" s="88" t="s">
        <v>2030</v>
      </c>
      <c r="F1504" s="89"/>
      <c r="G1504" s="89"/>
      <c r="H1504" s="89"/>
      <c r="I1504" s="90"/>
      <c r="J1504" s="88" t="s">
        <v>1499</v>
      </c>
      <c r="K1504" s="89"/>
      <c r="L1504" s="89"/>
      <c r="M1504" s="90"/>
      <c r="N1504" s="106"/>
      <c r="O1504" s="107"/>
      <c r="P1504" s="108"/>
      <c r="Q1504" s="133">
        <v>2000</v>
      </c>
      <c r="R1504" s="134"/>
      <c r="S1504" s="5" t="s">
        <v>44</v>
      </c>
      <c r="T1504" s="6"/>
      <c r="U1504" s="6"/>
      <c r="V1504" s="5" t="s">
        <v>702</v>
      </c>
      <c r="W1504" s="12">
        <v>7896164</v>
      </c>
      <c r="X1504" s="6"/>
      <c r="Y1504" s="6"/>
    </row>
    <row r="1505" spans="1:25" ht="15" customHeight="1" x14ac:dyDescent="0.2">
      <c r="A1505" s="88" t="s">
        <v>1932</v>
      </c>
      <c r="B1505" s="90"/>
      <c r="C1505" s="88" t="s">
        <v>2031</v>
      </c>
      <c r="D1505" s="90"/>
      <c r="E1505" s="88" t="s">
        <v>1615</v>
      </c>
      <c r="F1505" s="89"/>
      <c r="G1505" s="89"/>
      <c r="H1505" s="89"/>
      <c r="I1505" s="90"/>
      <c r="J1505" s="88" t="s">
        <v>1499</v>
      </c>
      <c r="K1505" s="89"/>
      <c r="L1505" s="89"/>
      <c r="M1505" s="90"/>
      <c r="N1505" s="106"/>
      <c r="O1505" s="107"/>
      <c r="P1505" s="108"/>
      <c r="Q1505" s="133">
        <v>2000</v>
      </c>
      <c r="R1505" s="134"/>
      <c r="S1505" s="5" t="s">
        <v>44</v>
      </c>
      <c r="T1505" s="6"/>
      <c r="U1505" s="6"/>
      <c r="V1505" s="5" t="s">
        <v>702</v>
      </c>
      <c r="W1505" s="12">
        <v>5629672</v>
      </c>
      <c r="X1505" s="6"/>
      <c r="Y1505" s="6"/>
    </row>
    <row r="1506" spans="1:25" ht="15" customHeight="1" x14ac:dyDescent="0.2">
      <c r="A1506" s="88" t="s">
        <v>1932</v>
      </c>
      <c r="B1506" s="90"/>
      <c r="C1506" s="88" t="s">
        <v>2010</v>
      </c>
      <c r="D1506" s="90"/>
      <c r="E1506" s="88" t="s">
        <v>2011</v>
      </c>
      <c r="F1506" s="89"/>
      <c r="G1506" s="89"/>
      <c r="H1506" s="89"/>
      <c r="I1506" s="90"/>
      <c r="J1506" s="88" t="s">
        <v>1499</v>
      </c>
      <c r="K1506" s="89"/>
      <c r="L1506" s="89"/>
      <c r="M1506" s="90"/>
      <c r="N1506" s="106"/>
      <c r="O1506" s="107"/>
      <c r="P1506" s="108"/>
      <c r="Q1506" s="133">
        <v>2000</v>
      </c>
      <c r="R1506" s="134"/>
      <c r="S1506" s="5" t="s">
        <v>1539</v>
      </c>
      <c r="T1506" s="6"/>
      <c r="U1506" s="6"/>
      <c r="V1506" s="5" t="s">
        <v>702</v>
      </c>
      <c r="W1506" s="12">
        <v>5307977</v>
      </c>
      <c r="X1506" s="6"/>
      <c r="Y1506" s="6"/>
    </row>
    <row r="1507" spans="1:25" ht="15" customHeight="1" x14ac:dyDescent="0.2">
      <c r="A1507" s="88" t="s">
        <v>1932</v>
      </c>
      <c r="B1507" s="90"/>
      <c r="C1507" s="88" t="s">
        <v>2013</v>
      </c>
      <c r="D1507" s="90"/>
      <c r="E1507" s="88" t="s">
        <v>2014</v>
      </c>
      <c r="F1507" s="89"/>
      <c r="G1507" s="89"/>
      <c r="H1507" s="89"/>
      <c r="I1507" s="90"/>
      <c r="J1507" s="88" t="s">
        <v>1499</v>
      </c>
      <c r="K1507" s="89"/>
      <c r="L1507" s="89"/>
      <c r="M1507" s="90"/>
      <c r="N1507" s="106"/>
      <c r="O1507" s="107"/>
      <c r="P1507" s="108"/>
      <c r="Q1507" s="133">
        <v>2000</v>
      </c>
      <c r="R1507" s="134"/>
      <c r="S1507" s="5" t="s">
        <v>1539</v>
      </c>
      <c r="T1507" s="6"/>
      <c r="U1507" s="6"/>
      <c r="V1507" s="5" t="s">
        <v>702</v>
      </c>
      <c r="W1507" s="12">
        <v>6594759</v>
      </c>
      <c r="X1507" s="6"/>
      <c r="Y1507" s="6"/>
    </row>
    <row r="1508" spans="1:25" ht="15" customHeight="1" x14ac:dyDescent="0.2">
      <c r="A1508" s="88" t="s">
        <v>1932</v>
      </c>
      <c r="B1508" s="90"/>
      <c r="C1508" s="88" t="s">
        <v>2032</v>
      </c>
      <c r="D1508" s="90"/>
      <c r="E1508" s="88" t="s">
        <v>2032</v>
      </c>
      <c r="F1508" s="89"/>
      <c r="G1508" s="89"/>
      <c r="H1508" s="89"/>
      <c r="I1508" s="90"/>
      <c r="J1508" s="88" t="s">
        <v>1499</v>
      </c>
      <c r="K1508" s="89"/>
      <c r="L1508" s="89"/>
      <c r="M1508" s="90"/>
      <c r="N1508" s="106"/>
      <c r="O1508" s="107"/>
      <c r="P1508" s="108"/>
      <c r="Q1508" s="133">
        <v>2000</v>
      </c>
      <c r="R1508" s="134"/>
      <c r="S1508" s="5" t="s">
        <v>16</v>
      </c>
      <c r="T1508" s="6"/>
      <c r="U1508" s="6"/>
      <c r="V1508" s="5" t="s">
        <v>702</v>
      </c>
      <c r="W1508" s="12">
        <v>4752321</v>
      </c>
      <c r="X1508" s="6"/>
      <c r="Y1508" s="6"/>
    </row>
    <row r="1509" spans="1:25" ht="15" customHeight="1" x14ac:dyDescent="0.2">
      <c r="A1509" s="88" t="s">
        <v>1932</v>
      </c>
      <c r="B1509" s="90"/>
      <c r="C1509" s="88" t="s">
        <v>2033</v>
      </c>
      <c r="D1509" s="90"/>
      <c r="E1509" s="88" t="s">
        <v>2033</v>
      </c>
      <c r="F1509" s="89"/>
      <c r="G1509" s="89"/>
      <c r="H1509" s="89"/>
      <c r="I1509" s="90"/>
      <c r="J1509" s="88" t="s">
        <v>1499</v>
      </c>
      <c r="K1509" s="89"/>
      <c r="L1509" s="89"/>
      <c r="M1509" s="90"/>
      <c r="N1509" s="106"/>
      <c r="O1509" s="107"/>
      <c r="P1509" s="108"/>
      <c r="Q1509" s="133">
        <v>2000</v>
      </c>
      <c r="R1509" s="134"/>
      <c r="S1509" s="5" t="s">
        <v>16</v>
      </c>
      <c r="T1509" s="6"/>
      <c r="U1509" s="6"/>
      <c r="V1509" s="5" t="s">
        <v>702</v>
      </c>
      <c r="W1509" s="12">
        <v>5775897</v>
      </c>
      <c r="X1509" s="6"/>
      <c r="Y1509" s="6"/>
    </row>
    <row r="1510" spans="1:25" ht="15" customHeight="1" x14ac:dyDescent="0.2">
      <c r="A1510" s="88" t="s">
        <v>1932</v>
      </c>
      <c r="B1510" s="90"/>
      <c r="C1510" s="88" t="s">
        <v>2034</v>
      </c>
      <c r="D1510" s="90"/>
      <c r="E1510" s="88" t="s">
        <v>2034</v>
      </c>
      <c r="F1510" s="89"/>
      <c r="G1510" s="89"/>
      <c r="H1510" s="89"/>
      <c r="I1510" s="90"/>
      <c r="J1510" s="88" t="s">
        <v>1499</v>
      </c>
      <c r="K1510" s="89"/>
      <c r="L1510" s="89"/>
      <c r="M1510" s="90"/>
      <c r="N1510" s="106"/>
      <c r="O1510" s="107"/>
      <c r="P1510" s="108"/>
      <c r="Q1510" s="133">
        <v>2000</v>
      </c>
      <c r="R1510" s="134"/>
      <c r="S1510" s="5" t="s">
        <v>16</v>
      </c>
      <c r="T1510" s="6"/>
      <c r="U1510" s="6"/>
      <c r="V1510" s="5" t="s">
        <v>702</v>
      </c>
      <c r="W1510" s="12">
        <v>5995235</v>
      </c>
      <c r="X1510" s="6"/>
      <c r="Y1510" s="6"/>
    </row>
    <row r="1511" spans="1:25" ht="15" customHeight="1" x14ac:dyDescent="0.2">
      <c r="A1511" s="88" t="s">
        <v>1932</v>
      </c>
      <c r="B1511" s="90"/>
      <c r="C1511" s="88" t="s">
        <v>2035</v>
      </c>
      <c r="D1511" s="90"/>
      <c r="E1511" s="88" t="s">
        <v>1529</v>
      </c>
      <c r="F1511" s="89"/>
      <c r="G1511" s="89"/>
      <c r="H1511" s="89"/>
      <c r="I1511" s="90"/>
      <c r="J1511" s="88" t="s">
        <v>1499</v>
      </c>
      <c r="K1511" s="89"/>
      <c r="L1511" s="89"/>
      <c r="M1511" s="90"/>
      <c r="N1511" s="106"/>
      <c r="O1511" s="107"/>
      <c r="P1511" s="108"/>
      <c r="Q1511" s="133">
        <v>2000</v>
      </c>
      <c r="R1511" s="134"/>
      <c r="S1511" s="5" t="s">
        <v>16</v>
      </c>
      <c r="T1511" s="6"/>
      <c r="U1511" s="6"/>
      <c r="V1511" s="5" t="s">
        <v>702</v>
      </c>
      <c r="W1511" s="12">
        <v>5717407</v>
      </c>
      <c r="X1511" s="6"/>
      <c r="Y1511" s="6"/>
    </row>
    <row r="1512" spans="1:25" ht="15" customHeight="1" x14ac:dyDescent="0.2">
      <c r="A1512" s="88" t="s">
        <v>1932</v>
      </c>
      <c r="B1512" s="90"/>
      <c r="C1512" s="88" t="s">
        <v>1975</v>
      </c>
      <c r="D1512" s="90"/>
      <c r="E1512" s="88" t="s">
        <v>2036</v>
      </c>
      <c r="F1512" s="89"/>
      <c r="G1512" s="89"/>
      <c r="H1512" s="89"/>
      <c r="I1512" s="90"/>
      <c r="J1512" s="88" t="s">
        <v>1499</v>
      </c>
      <c r="K1512" s="89"/>
      <c r="L1512" s="89"/>
      <c r="M1512" s="90"/>
      <c r="N1512" s="106"/>
      <c r="O1512" s="107"/>
      <c r="P1512" s="108"/>
      <c r="Q1512" s="133">
        <v>2000</v>
      </c>
      <c r="R1512" s="134"/>
      <c r="S1512" s="5" t="s">
        <v>16</v>
      </c>
      <c r="T1512" s="6"/>
      <c r="U1512" s="6"/>
      <c r="V1512" s="5" t="s">
        <v>106</v>
      </c>
      <c r="W1512" s="12">
        <v>6821408</v>
      </c>
      <c r="X1512" s="6"/>
      <c r="Y1512" s="6"/>
    </row>
    <row r="1513" spans="1:25" ht="15" customHeight="1" x14ac:dyDescent="0.2">
      <c r="A1513" s="88" t="s">
        <v>1932</v>
      </c>
      <c r="B1513" s="90"/>
      <c r="C1513" s="88" t="s">
        <v>1981</v>
      </c>
      <c r="D1513" s="90"/>
      <c r="E1513" s="88" t="s">
        <v>2037</v>
      </c>
      <c r="F1513" s="89"/>
      <c r="G1513" s="89"/>
      <c r="H1513" s="89"/>
      <c r="I1513" s="90"/>
      <c r="J1513" s="88" t="s">
        <v>1499</v>
      </c>
      <c r="K1513" s="89"/>
      <c r="L1513" s="89"/>
      <c r="M1513" s="90"/>
      <c r="N1513" s="106"/>
      <c r="O1513" s="107"/>
      <c r="P1513" s="108"/>
      <c r="Q1513" s="133">
        <v>2000</v>
      </c>
      <c r="R1513" s="134"/>
      <c r="S1513" s="5" t="s">
        <v>16</v>
      </c>
      <c r="T1513" s="6"/>
      <c r="U1513" s="6"/>
      <c r="V1513" s="5" t="s">
        <v>106</v>
      </c>
      <c r="W1513" s="12">
        <v>7186971</v>
      </c>
      <c r="X1513" s="6"/>
      <c r="Y1513" s="6"/>
    </row>
    <row r="1514" spans="1:25" ht="15" customHeight="1" x14ac:dyDescent="0.2">
      <c r="A1514" s="88" t="s">
        <v>1932</v>
      </c>
      <c r="B1514" s="90"/>
      <c r="C1514" s="88" t="s">
        <v>1983</v>
      </c>
      <c r="D1514" s="90"/>
      <c r="E1514" s="88" t="s">
        <v>2038</v>
      </c>
      <c r="F1514" s="89"/>
      <c r="G1514" s="89"/>
      <c r="H1514" s="89"/>
      <c r="I1514" s="90"/>
      <c r="J1514" s="88" t="s">
        <v>1499</v>
      </c>
      <c r="K1514" s="89"/>
      <c r="L1514" s="89"/>
      <c r="M1514" s="90"/>
      <c r="N1514" s="106"/>
      <c r="O1514" s="107"/>
      <c r="P1514" s="108"/>
      <c r="Q1514" s="133">
        <v>2000</v>
      </c>
      <c r="R1514" s="134"/>
      <c r="S1514" s="5" t="s">
        <v>16</v>
      </c>
      <c r="T1514" s="6"/>
      <c r="U1514" s="6"/>
      <c r="V1514" s="5" t="s">
        <v>106</v>
      </c>
      <c r="W1514" s="12">
        <v>7844985</v>
      </c>
      <c r="X1514" s="6"/>
      <c r="Y1514" s="6"/>
    </row>
    <row r="1515" spans="1:25" ht="15" customHeight="1" x14ac:dyDescent="0.2">
      <c r="A1515" s="88" t="s">
        <v>1932</v>
      </c>
      <c r="B1515" s="90"/>
      <c r="C1515" s="88" t="s">
        <v>1984</v>
      </c>
      <c r="D1515" s="90"/>
      <c r="E1515" s="88" t="s">
        <v>2039</v>
      </c>
      <c r="F1515" s="89"/>
      <c r="G1515" s="89"/>
      <c r="H1515" s="89"/>
      <c r="I1515" s="90"/>
      <c r="J1515" s="88" t="s">
        <v>1499</v>
      </c>
      <c r="K1515" s="89"/>
      <c r="L1515" s="89"/>
      <c r="M1515" s="90"/>
      <c r="N1515" s="106"/>
      <c r="O1515" s="107"/>
      <c r="P1515" s="108"/>
      <c r="Q1515" s="133">
        <v>2000</v>
      </c>
      <c r="R1515" s="134"/>
      <c r="S1515" s="5" t="s">
        <v>16</v>
      </c>
      <c r="T1515" s="6"/>
      <c r="U1515" s="6"/>
      <c r="V1515" s="5" t="s">
        <v>106</v>
      </c>
      <c r="W1515" s="12">
        <v>7625647</v>
      </c>
      <c r="X1515" s="6"/>
      <c r="Y1515" s="6"/>
    </row>
    <row r="1516" spans="1:25" ht="15" customHeight="1" x14ac:dyDescent="0.2">
      <c r="A1516" s="88" t="s">
        <v>1932</v>
      </c>
      <c r="B1516" s="90"/>
      <c r="C1516" s="88" t="s">
        <v>2040</v>
      </c>
      <c r="D1516" s="90"/>
      <c r="E1516" s="88" t="s">
        <v>2041</v>
      </c>
      <c r="F1516" s="89"/>
      <c r="G1516" s="89"/>
      <c r="H1516" s="89"/>
      <c r="I1516" s="90"/>
      <c r="J1516" s="88" t="s">
        <v>1499</v>
      </c>
      <c r="K1516" s="89"/>
      <c r="L1516" s="89"/>
      <c r="M1516" s="90"/>
      <c r="N1516" s="106"/>
      <c r="O1516" s="107"/>
      <c r="P1516" s="108"/>
      <c r="Q1516" s="133">
        <v>2000</v>
      </c>
      <c r="R1516" s="134"/>
      <c r="S1516" s="5" t="s">
        <v>16</v>
      </c>
      <c r="T1516" s="6"/>
      <c r="U1516" s="6"/>
      <c r="V1516" s="5" t="s">
        <v>702</v>
      </c>
      <c r="W1516" s="12">
        <v>6967633</v>
      </c>
      <c r="X1516" s="6"/>
      <c r="Y1516" s="6"/>
    </row>
    <row r="1517" spans="1:25" ht="15" customHeight="1" x14ac:dyDescent="0.2">
      <c r="A1517" s="88" t="s">
        <v>1932</v>
      </c>
      <c r="B1517" s="90"/>
      <c r="C1517" s="88" t="s">
        <v>2042</v>
      </c>
      <c r="D1517" s="90"/>
      <c r="E1517" s="88" t="s">
        <v>2043</v>
      </c>
      <c r="F1517" s="89"/>
      <c r="G1517" s="89"/>
      <c r="H1517" s="89"/>
      <c r="I1517" s="90"/>
      <c r="J1517" s="88" t="s">
        <v>1499</v>
      </c>
      <c r="K1517" s="89"/>
      <c r="L1517" s="89"/>
      <c r="M1517" s="90"/>
      <c r="N1517" s="106"/>
      <c r="O1517" s="107"/>
      <c r="P1517" s="108"/>
      <c r="Q1517" s="133">
        <v>2000</v>
      </c>
      <c r="R1517" s="134"/>
      <c r="S1517" s="5" t="s">
        <v>16</v>
      </c>
      <c r="T1517" s="6"/>
      <c r="U1517" s="6"/>
      <c r="V1517" s="5" t="s">
        <v>702</v>
      </c>
      <c r="W1517" s="12">
        <v>6748295</v>
      </c>
      <c r="X1517" s="6"/>
      <c r="Y1517" s="6"/>
    </row>
    <row r="1518" spans="1:25" ht="15" customHeight="1" x14ac:dyDescent="0.2">
      <c r="A1518" s="88" t="s">
        <v>1932</v>
      </c>
      <c r="B1518" s="90"/>
      <c r="C1518" s="88" t="s">
        <v>1985</v>
      </c>
      <c r="D1518" s="90"/>
      <c r="E1518" s="88" t="s">
        <v>1986</v>
      </c>
      <c r="F1518" s="89"/>
      <c r="G1518" s="89"/>
      <c r="H1518" s="89"/>
      <c r="I1518" s="90"/>
      <c r="J1518" s="88" t="s">
        <v>1499</v>
      </c>
      <c r="K1518" s="89"/>
      <c r="L1518" s="89"/>
      <c r="M1518" s="90"/>
      <c r="N1518" s="106"/>
      <c r="O1518" s="107"/>
      <c r="P1518" s="108"/>
      <c r="Q1518" s="133">
        <v>2000</v>
      </c>
      <c r="R1518" s="134"/>
      <c r="S1518" s="5" t="s">
        <v>16</v>
      </c>
      <c r="T1518" s="6"/>
      <c r="U1518" s="6"/>
      <c r="V1518" s="5" t="s">
        <v>106</v>
      </c>
      <c r="W1518" s="12">
        <v>8064323</v>
      </c>
      <c r="X1518" s="6"/>
      <c r="Y1518" s="6"/>
    </row>
    <row r="1519" spans="1:25" ht="15" customHeight="1" x14ac:dyDescent="0.2">
      <c r="A1519" s="88" t="s">
        <v>1932</v>
      </c>
      <c r="B1519" s="90"/>
      <c r="C1519" s="88" t="s">
        <v>1987</v>
      </c>
      <c r="D1519" s="90"/>
      <c r="E1519" s="88" t="s">
        <v>1988</v>
      </c>
      <c r="F1519" s="89"/>
      <c r="G1519" s="89"/>
      <c r="H1519" s="89"/>
      <c r="I1519" s="90"/>
      <c r="J1519" s="88" t="s">
        <v>1499</v>
      </c>
      <c r="K1519" s="89"/>
      <c r="L1519" s="89"/>
      <c r="M1519" s="90"/>
      <c r="N1519" s="106"/>
      <c r="O1519" s="107"/>
      <c r="P1519" s="108"/>
      <c r="Q1519" s="133">
        <v>2000</v>
      </c>
      <c r="R1519" s="134"/>
      <c r="S1519" s="5" t="s">
        <v>16</v>
      </c>
      <c r="T1519" s="6"/>
      <c r="U1519" s="6"/>
      <c r="V1519" s="5" t="s">
        <v>106</v>
      </c>
      <c r="W1519" s="12">
        <v>7844985</v>
      </c>
      <c r="X1519" s="6"/>
      <c r="Y1519" s="6"/>
    </row>
    <row r="1520" spans="1:25" ht="15" customHeight="1" x14ac:dyDescent="0.2">
      <c r="A1520" s="88" t="s">
        <v>1932</v>
      </c>
      <c r="B1520" s="90"/>
      <c r="C1520" s="88" t="s">
        <v>2044</v>
      </c>
      <c r="D1520" s="90"/>
      <c r="E1520" s="88" t="s">
        <v>2045</v>
      </c>
      <c r="F1520" s="89"/>
      <c r="G1520" s="89"/>
      <c r="H1520" s="89"/>
      <c r="I1520" s="90"/>
      <c r="J1520" s="88" t="s">
        <v>1499</v>
      </c>
      <c r="K1520" s="89"/>
      <c r="L1520" s="89"/>
      <c r="M1520" s="90"/>
      <c r="N1520" s="106"/>
      <c r="O1520" s="107"/>
      <c r="P1520" s="108"/>
      <c r="Q1520" s="133">
        <v>2000</v>
      </c>
      <c r="R1520" s="134"/>
      <c r="S1520" s="5" t="s">
        <v>16</v>
      </c>
      <c r="T1520" s="6"/>
      <c r="U1520" s="6"/>
      <c r="V1520" s="5" t="s">
        <v>702</v>
      </c>
      <c r="W1520" s="12">
        <v>7186971</v>
      </c>
      <c r="X1520" s="6"/>
      <c r="Y1520" s="6"/>
    </row>
    <row r="1521" spans="1:25" ht="15" customHeight="1" x14ac:dyDescent="0.2">
      <c r="A1521" s="88" t="s">
        <v>1932</v>
      </c>
      <c r="B1521" s="90"/>
      <c r="C1521" s="88" t="s">
        <v>2046</v>
      </c>
      <c r="D1521" s="90"/>
      <c r="E1521" s="88" t="s">
        <v>2047</v>
      </c>
      <c r="F1521" s="89"/>
      <c r="G1521" s="89"/>
      <c r="H1521" s="89"/>
      <c r="I1521" s="90"/>
      <c r="J1521" s="88" t="s">
        <v>1499</v>
      </c>
      <c r="K1521" s="89"/>
      <c r="L1521" s="89"/>
      <c r="M1521" s="90"/>
      <c r="N1521" s="106"/>
      <c r="O1521" s="107"/>
      <c r="P1521" s="108"/>
      <c r="Q1521" s="133">
        <v>2000</v>
      </c>
      <c r="R1521" s="134"/>
      <c r="S1521" s="5" t="s">
        <v>16</v>
      </c>
      <c r="T1521" s="6"/>
      <c r="U1521" s="6"/>
      <c r="V1521" s="5" t="s">
        <v>702</v>
      </c>
      <c r="W1521" s="12">
        <v>6967633</v>
      </c>
      <c r="X1521" s="6"/>
      <c r="Y1521" s="6"/>
    </row>
    <row r="1522" spans="1:25" ht="15" customHeight="1" x14ac:dyDescent="0.2">
      <c r="A1522" s="88" t="s">
        <v>1932</v>
      </c>
      <c r="B1522" s="90"/>
      <c r="C1522" s="88" t="s">
        <v>2048</v>
      </c>
      <c r="D1522" s="90"/>
      <c r="E1522" s="88" t="s">
        <v>2049</v>
      </c>
      <c r="F1522" s="89"/>
      <c r="G1522" s="89"/>
      <c r="H1522" s="89"/>
      <c r="I1522" s="90"/>
      <c r="J1522" s="88" t="s">
        <v>1499</v>
      </c>
      <c r="K1522" s="89"/>
      <c r="L1522" s="89"/>
      <c r="M1522" s="90"/>
      <c r="N1522" s="106"/>
      <c r="O1522" s="107"/>
      <c r="P1522" s="108"/>
      <c r="Q1522" s="133">
        <v>2000</v>
      </c>
      <c r="R1522" s="134"/>
      <c r="S1522" s="5" t="s">
        <v>16</v>
      </c>
      <c r="T1522" s="6"/>
      <c r="U1522" s="6"/>
      <c r="V1522" s="5" t="s">
        <v>702</v>
      </c>
      <c r="W1522" s="12">
        <v>5797831</v>
      </c>
      <c r="X1522" s="6"/>
      <c r="Y1522" s="6"/>
    </row>
    <row r="1523" spans="1:25" ht="15" customHeight="1" x14ac:dyDescent="0.2">
      <c r="A1523" s="88" t="s">
        <v>1932</v>
      </c>
      <c r="B1523" s="90"/>
      <c r="C1523" s="88" t="s">
        <v>2050</v>
      </c>
      <c r="D1523" s="90"/>
      <c r="E1523" s="88" t="s">
        <v>2051</v>
      </c>
      <c r="F1523" s="89"/>
      <c r="G1523" s="89"/>
      <c r="H1523" s="89"/>
      <c r="I1523" s="90"/>
      <c r="J1523" s="88" t="s">
        <v>1499</v>
      </c>
      <c r="K1523" s="89"/>
      <c r="L1523" s="89"/>
      <c r="M1523" s="90"/>
      <c r="N1523" s="106"/>
      <c r="O1523" s="107"/>
      <c r="P1523" s="108"/>
      <c r="Q1523" s="133">
        <v>2000</v>
      </c>
      <c r="R1523" s="134"/>
      <c r="S1523" s="5" t="s">
        <v>16</v>
      </c>
      <c r="T1523" s="6"/>
      <c r="U1523" s="6"/>
      <c r="V1523" s="5" t="s">
        <v>702</v>
      </c>
      <c r="W1523" s="12">
        <v>8130124</v>
      </c>
      <c r="X1523" s="6"/>
      <c r="Y1523" s="6"/>
    </row>
    <row r="1524" spans="1:25" ht="15" customHeight="1" x14ac:dyDescent="0.2">
      <c r="A1524" s="88" t="s">
        <v>1932</v>
      </c>
      <c r="B1524" s="90"/>
      <c r="C1524" s="88" t="s">
        <v>2052</v>
      </c>
      <c r="D1524" s="90"/>
      <c r="E1524" s="88" t="s">
        <v>2053</v>
      </c>
      <c r="F1524" s="89"/>
      <c r="G1524" s="89"/>
      <c r="H1524" s="89"/>
      <c r="I1524" s="90"/>
      <c r="J1524" s="88" t="s">
        <v>1499</v>
      </c>
      <c r="K1524" s="89"/>
      <c r="L1524" s="89"/>
      <c r="M1524" s="90"/>
      <c r="N1524" s="106"/>
      <c r="O1524" s="107"/>
      <c r="P1524" s="108"/>
      <c r="Q1524" s="133">
        <v>2000</v>
      </c>
      <c r="R1524" s="134"/>
      <c r="S1524" s="5" t="s">
        <v>16</v>
      </c>
      <c r="T1524" s="6"/>
      <c r="U1524" s="6"/>
      <c r="V1524" s="5" t="s">
        <v>702</v>
      </c>
      <c r="W1524" s="12">
        <v>8349462</v>
      </c>
      <c r="X1524" s="6"/>
      <c r="Y1524" s="6"/>
    </row>
    <row r="1525" spans="1:25" ht="15" customHeight="1" x14ac:dyDescent="0.2">
      <c r="A1525" s="88" t="s">
        <v>1932</v>
      </c>
      <c r="B1525" s="90"/>
      <c r="C1525" s="88" t="s">
        <v>2054</v>
      </c>
      <c r="D1525" s="90"/>
      <c r="E1525" s="88" t="s">
        <v>2000</v>
      </c>
      <c r="F1525" s="89"/>
      <c r="G1525" s="89"/>
      <c r="H1525" s="89"/>
      <c r="I1525" s="90"/>
      <c r="J1525" s="88" t="s">
        <v>1499</v>
      </c>
      <c r="K1525" s="89"/>
      <c r="L1525" s="89"/>
      <c r="M1525" s="90"/>
      <c r="N1525" s="106"/>
      <c r="O1525" s="107"/>
      <c r="P1525" s="108"/>
      <c r="Q1525" s="133">
        <v>2000</v>
      </c>
      <c r="R1525" s="134"/>
      <c r="S1525" s="5" t="s">
        <v>27</v>
      </c>
      <c r="T1525" s="6"/>
      <c r="U1525" s="6"/>
      <c r="V1525" s="5" t="s">
        <v>702</v>
      </c>
      <c r="W1525" s="12">
        <v>3860347</v>
      </c>
      <c r="X1525" s="6"/>
      <c r="Y1525" s="6"/>
    </row>
    <row r="1526" spans="1:25" ht="15" customHeight="1" x14ac:dyDescent="0.2">
      <c r="A1526" s="88" t="s">
        <v>1932</v>
      </c>
      <c r="B1526" s="90"/>
      <c r="C1526" s="88" t="s">
        <v>2054</v>
      </c>
      <c r="D1526" s="90"/>
      <c r="E1526" s="88" t="s">
        <v>2000</v>
      </c>
      <c r="F1526" s="89"/>
      <c r="G1526" s="89"/>
      <c r="H1526" s="89"/>
      <c r="I1526" s="90"/>
      <c r="J1526" s="88" t="s">
        <v>1246</v>
      </c>
      <c r="K1526" s="89"/>
      <c r="L1526" s="89"/>
      <c r="M1526" s="90"/>
      <c r="N1526" s="106"/>
      <c r="O1526" s="107"/>
      <c r="P1526" s="108"/>
      <c r="Q1526" s="133">
        <v>2000</v>
      </c>
      <c r="R1526" s="134"/>
      <c r="S1526" s="5" t="s">
        <v>27</v>
      </c>
      <c r="T1526" s="6"/>
      <c r="U1526" s="6"/>
      <c r="V1526" s="5" t="s">
        <v>702</v>
      </c>
      <c r="W1526" s="12">
        <v>3570821</v>
      </c>
      <c r="X1526" s="6"/>
      <c r="Y1526" s="6"/>
    </row>
    <row r="1527" spans="1:25" ht="15" customHeight="1" x14ac:dyDescent="0.2">
      <c r="A1527" s="88" t="s">
        <v>1932</v>
      </c>
      <c r="B1527" s="90"/>
      <c r="C1527" s="88" t="s">
        <v>2055</v>
      </c>
      <c r="D1527" s="90"/>
      <c r="E1527" s="88" t="s">
        <v>2055</v>
      </c>
      <c r="F1527" s="89"/>
      <c r="G1527" s="89"/>
      <c r="H1527" s="89"/>
      <c r="I1527" s="90"/>
      <c r="J1527" s="88" t="s">
        <v>1499</v>
      </c>
      <c r="K1527" s="89"/>
      <c r="L1527" s="89"/>
      <c r="M1527" s="90"/>
      <c r="N1527" s="106"/>
      <c r="O1527" s="107"/>
      <c r="P1527" s="108"/>
      <c r="Q1527" s="133">
        <v>2200</v>
      </c>
      <c r="R1527" s="134"/>
      <c r="S1527" s="5" t="s">
        <v>16</v>
      </c>
      <c r="T1527" s="6"/>
      <c r="U1527" s="6"/>
      <c r="V1527" s="5" t="s">
        <v>106</v>
      </c>
      <c r="W1527" s="12">
        <v>11583818</v>
      </c>
      <c r="X1527" s="6"/>
      <c r="Y1527" s="6"/>
    </row>
    <row r="1528" spans="1:25" ht="15" customHeight="1" x14ac:dyDescent="0.2">
      <c r="A1528" s="88" t="s">
        <v>1932</v>
      </c>
      <c r="B1528" s="90"/>
      <c r="C1528" s="88" t="s">
        <v>2056</v>
      </c>
      <c r="D1528" s="90"/>
      <c r="E1528" s="88" t="s">
        <v>2056</v>
      </c>
      <c r="F1528" s="89"/>
      <c r="G1528" s="89"/>
      <c r="H1528" s="89"/>
      <c r="I1528" s="90"/>
      <c r="J1528" s="88" t="s">
        <v>1499</v>
      </c>
      <c r="K1528" s="89"/>
      <c r="L1528" s="89"/>
      <c r="M1528" s="90"/>
      <c r="N1528" s="106"/>
      <c r="O1528" s="107"/>
      <c r="P1528" s="108"/>
      <c r="Q1528" s="133">
        <v>2200</v>
      </c>
      <c r="R1528" s="134"/>
      <c r="S1528" s="5" t="s">
        <v>16</v>
      </c>
      <c r="T1528" s="6"/>
      <c r="U1528" s="6"/>
      <c r="V1528" s="5" t="s">
        <v>106</v>
      </c>
      <c r="W1528" s="12">
        <v>11583818</v>
      </c>
      <c r="X1528" s="6"/>
      <c r="Y1528" s="6"/>
    </row>
    <row r="1529" spans="1:25" ht="15" customHeight="1" x14ac:dyDescent="0.2">
      <c r="A1529" s="88" t="s">
        <v>1932</v>
      </c>
      <c r="B1529" s="90"/>
      <c r="C1529" s="88" t="s">
        <v>2057</v>
      </c>
      <c r="D1529" s="90"/>
      <c r="E1529" s="88" t="s">
        <v>2057</v>
      </c>
      <c r="F1529" s="89"/>
      <c r="G1529" s="89"/>
      <c r="H1529" s="89"/>
      <c r="I1529" s="90"/>
      <c r="J1529" s="88" t="s">
        <v>1499</v>
      </c>
      <c r="K1529" s="89"/>
      <c r="L1529" s="89"/>
      <c r="M1529" s="90"/>
      <c r="N1529" s="106"/>
      <c r="O1529" s="107"/>
      <c r="P1529" s="108"/>
      <c r="Q1529" s="133">
        <v>2200</v>
      </c>
      <c r="R1529" s="134"/>
      <c r="S1529" s="5" t="s">
        <v>16</v>
      </c>
      <c r="T1529" s="6"/>
      <c r="U1529" s="6"/>
      <c r="V1529" s="5" t="s">
        <v>106</v>
      </c>
      <c r="W1529" s="12">
        <v>11949381</v>
      </c>
      <c r="X1529" s="6"/>
      <c r="Y1529" s="6"/>
    </row>
    <row r="1530" spans="1:25" ht="15" customHeight="1" x14ac:dyDescent="0.2">
      <c r="A1530" s="88" t="s">
        <v>1932</v>
      </c>
      <c r="B1530" s="90"/>
      <c r="C1530" s="88" t="s">
        <v>2058</v>
      </c>
      <c r="D1530" s="90"/>
      <c r="E1530" s="88" t="s">
        <v>2058</v>
      </c>
      <c r="F1530" s="89"/>
      <c r="G1530" s="89"/>
      <c r="H1530" s="89"/>
      <c r="I1530" s="90"/>
      <c r="J1530" s="88" t="s">
        <v>1499</v>
      </c>
      <c r="K1530" s="89"/>
      <c r="L1530" s="89"/>
      <c r="M1530" s="90"/>
      <c r="N1530" s="106"/>
      <c r="O1530" s="107"/>
      <c r="P1530" s="108"/>
      <c r="Q1530" s="133">
        <v>2200</v>
      </c>
      <c r="R1530" s="134"/>
      <c r="S1530" s="5" t="s">
        <v>16</v>
      </c>
      <c r="T1530" s="6"/>
      <c r="U1530" s="6"/>
      <c r="V1530" s="5" t="s">
        <v>106</v>
      </c>
      <c r="W1530" s="12">
        <v>11949381</v>
      </c>
      <c r="X1530" s="6"/>
      <c r="Y1530" s="6"/>
    </row>
    <row r="1531" spans="1:25" ht="15" customHeight="1" x14ac:dyDescent="0.2">
      <c r="A1531" s="88" t="s">
        <v>1932</v>
      </c>
      <c r="B1531" s="90"/>
      <c r="C1531" s="88" t="s">
        <v>2059</v>
      </c>
      <c r="D1531" s="90"/>
      <c r="E1531" s="88" t="s">
        <v>2059</v>
      </c>
      <c r="F1531" s="89"/>
      <c r="G1531" s="89"/>
      <c r="H1531" s="89"/>
      <c r="I1531" s="90"/>
      <c r="J1531" s="88" t="s">
        <v>1499</v>
      </c>
      <c r="K1531" s="89"/>
      <c r="L1531" s="89"/>
      <c r="M1531" s="90"/>
      <c r="N1531" s="106"/>
      <c r="O1531" s="107"/>
      <c r="P1531" s="108"/>
      <c r="Q1531" s="133">
        <v>2200</v>
      </c>
      <c r="R1531" s="134"/>
      <c r="S1531" s="5" t="s">
        <v>16</v>
      </c>
      <c r="T1531" s="6"/>
      <c r="U1531" s="6"/>
      <c r="V1531" s="5" t="s">
        <v>106</v>
      </c>
      <c r="W1531" s="12">
        <v>10352748</v>
      </c>
      <c r="X1531" s="6"/>
      <c r="Y1531" s="6"/>
    </row>
    <row r="1532" spans="1:25" ht="15" customHeight="1" x14ac:dyDescent="0.2">
      <c r="A1532" s="88" t="s">
        <v>1932</v>
      </c>
      <c r="B1532" s="90"/>
      <c r="C1532" s="88" t="s">
        <v>2060</v>
      </c>
      <c r="D1532" s="90"/>
      <c r="E1532" s="88" t="s">
        <v>2060</v>
      </c>
      <c r="F1532" s="89"/>
      <c r="G1532" s="89"/>
      <c r="H1532" s="89"/>
      <c r="I1532" s="90"/>
      <c r="J1532" s="88" t="s">
        <v>1499</v>
      </c>
      <c r="K1532" s="89"/>
      <c r="L1532" s="89"/>
      <c r="M1532" s="90"/>
      <c r="N1532" s="106"/>
      <c r="O1532" s="107"/>
      <c r="P1532" s="108"/>
      <c r="Q1532" s="133">
        <v>2200</v>
      </c>
      <c r="R1532" s="134"/>
      <c r="S1532" s="5" t="s">
        <v>16</v>
      </c>
      <c r="T1532" s="6"/>
      <c r="U1532" s="6"/>
      <c r="V1532" s="5" t="s">
        <v>106</v>
      </c>
      <c r="W1532" s="12">
        <v>10352748</v>
      </c>
      <c r="X1532" s="6"/>
      <c r="Y1532" s="6"/>
    </row>
    <row r="1533" spans="1:25" ht="15" customHeight="1" x14ac:dyDescent="0.2">
      <c r="A1533" s="88" t="s">
        <v>1932</v>
      </c>
      <c r="B1533" s="90"/>
      <c r="C1533" s="88" t="s">
        <v>2061</v>
      </c>
      <c r="D1533" s="90"/>
      <c r="E1533" s="88" t="s">
        <v>2061</v>
      </c>
      <c r="F1533" s="89"/>
      <c r="G1533" s="89"/>
      <c r="H1533" s="89"/>
      <c r="I1533" s="90"/>
      <c r="J1533" s="88" t="s">
        <v>1499</v>
      </c>
      <c r="K1533" s="89"/>
      <c r="L1533" s="89"/>
      <c r="M1533" s="90"/>
      <c r="N1533" s="106"/>
      <c r="O1533" s="107"/>
      <c r="P1533" s="108"/>
      <c r="Q1533" s="133">
        <v>2200</v>
      </c>
      <c r="R1533" s="134"/>
      <c r="S1533" s="5" t="s">
        <v>1539</v>
      </c>
      <c r="T1533" s="6"/>
      <c r="U1533" s="6"/>
      <c r="V1533" s="5" t="s">
        <v>106</v>
      </c>
      <c r="W1533" s="12">
        <v>7676826</v>
      </c>
      <c r="X1533" s="6"/>
      <c r="Y1533" s="6"/>
    </row>
    <row r="1534" spans="1:25" ht="15" customHeight="1" x14ac:dyDescent="0.2">
      <c r="A1534" s="88" t="s">
        <v>1932</v>
      </c>
      <c r="B1534" s="90"/>
      <c r="C1534" s="88" t="s">
        <v>2062</v>
      </c>
      <c r="D1534" s="90"/>
      <c r="E1534" s="88" t="s">
        <v>2062</v>
      </c>
      <c r="F1534" s="89"/>
      <c r="G1534" s="89"/>
      <c r="H1534" s="89"/>
      <c r="I1534" s="90"/>
      <c r="J1534" s="88" t="s">
        <v>1499</v>
      </c>
      <c r="K1534" s="89"/>
      <c r="L1534" s="89"/>
      <c r="M1534" s="90"/>
      <c r="N1534" s="106"/>
      <c r="O1534" s="107"/>
      <c r="P1534" s="108"/>
      <c r="Q1534" s="133">
        <v>2200</v>
      </c>
      <c r="R1534" s="134"/>
      <c r="S1534" s="5" t="s">
        <v>1539</v>
      </c>
      <c r="T1534" s="6"/>
      <c r="U1534" s="6"/>
      <c r="V1534" s="5" t="s">
        <v>106</v>
      </c>
      <c r="W1534" s="12">
        <v>8846628</v>
      </c>
      <c r="X1534" s="6"/>
      <c r="Y1534" s="6"/>
    </row>
    <row r="1535" spans="1:25" ht="15" customHeight="1" x14ac:dyDescent="0.2">
      <c r="A1535" s="88" t="s">
        <v>1932</v>
      </c>
      <c r="B1535" s="90"/>
      <c r="C1535" s="88" t="s">
        <v>2063</v>
      </c>
      <c r="D1535" s="90"/>
      <c r="E1535" s="88" t="s">
        <v>2063</v>
      </c>
      <c r="F1535" s="89"/>
      <c r="G1535" s="89"/>
      <c r="H1535" s="89"/>
      <c r="I1535" s="90"/>
      <c r="J1535" s="88" t="s">
        <v>1499</v>
      </c>
      <c r="K1535" s="89"/>
      <c r="L1535" s="89"/>
      <c r="M1535" s="90"/>
      <c r="N1535" s="106"/>
      <c r="O1535" s="107"/>
      <c r="P1535" s="108"/>
      <c r="Q1535" s="133">
        <v>2200</v>
      </c>
      <c r="R1535" s="134"/>
      <c r="S1535" s="5" t="s">
        <v>1539</v>
      </c>
      <c r="T1535" s="6"/>
      <c r="U1535" s="6"/>
      <c r="V1535" s="5" t="s">
        <v>106</v>
      </c>
      <c r="W1535" s="12">
        <v>9870204</v>
      </c>
      <c r="X1535" s="6"/>
      <c r="Y1535" s="6"/>
    </row>
    <row r="1536" spans="1:25" ht="15" customHeight="1" x14ac:dyDescent="0.2">
      <c r="A1536" s="88" t="s">
        <v>1932</v>
      </c>
      <c r="B1536" s="90"/>
      <c r="C1536" s="88" t="s">
        <v>2064</v>
      </c>
      <c r="D1536" s="90"/>
      <c r="E1536" s="88" t="s">
        <v>2064</v>
      </c>
      <c r="F1536" s="89"/>
      <c r="G1536" s="89"/>
      <c r="H1536" s="89"/>
      <c r="I1536" s="90"/>
      <c r="J1536" s="88" t="s">
        <v>1499</v>
      </c>
      <c r="K1536" s="89"/>
      <c r="L1536" s="89"/>
      <c r="M1536" s="90"/>
      <c r="N1536" s="106"/>
      <c r="O1536" s="107"/>
      <c r="P1536" s="108"/>
      <c r="Q1536" s="133">
        <v>2200</v>
      </c>
      <c r="R1536" s="134"/>
      <c r="S1536" s="5" t="s">
        <v>814</v>
      </c>
      <c r="T1536" s="6"/>
      <c r="U1536" s="6"/>
      <c r="V1536" s="5" t="s">
        <v>106</v>
      </c>
      <c r="W1536" s="12">
        <v>6834568</v>
      </c>
      <c r="X1536" s="6"/>
      <c r="Y1536" s="6"/>
    </row>
    <row r="1537" spans="1:25" ht="15" customHeight="1" x14ac:dyDescent="0.2">
      <c r="A1537" s="88" t="s">
        <v>1932</v>
      </c>
      <c r="B1537" s="90"/>
      <c r="C1537" s="88" t="s">
        <v>2065</v>
      </c>
      <c r="D1537" s="90"/>
      <c r="E1537" s="88" t="s">
        <v>2065</v>
      </c>
      <c r="F1537" s="89"/>
      <c r="G1537" s="89"/>
      <c r="H1537" s="89"/>
      <c r="I1537" s="90"/>
      <c r="J1537" s="88" t="s">
        <v>1499</v>
      </c>
      <c r="K1537" s="89"/>
      <c r="L1537" s="89"/>
      <c r="M1537" s="90"/>
      <c r="N1537" s="106"/>
      <c r="O1537" s="107"/>
      <c r="P1537" s="108"/>
      <c r="Q1537" s="133">
        <v>2200</v>
      </c>
      <c r="R1537" s="134"/>
      <c r="S1537" s="5" t="s">
        <v>814</v>
      </c>
      <c r="T1537" s="6"/>
      <c r="U1537" s="6"/>
      <c r="V1537" s="5" t="s">
        <v>106</v>
      </c>
      <c r="W1537" s="12">
        <v>6834568</v>
      </c>
      <c r="X1537" s="6"/>
      <c r="Y1537" s="6"/>
    </row>
    <row r="1538" spans="1:25" ht="15" customHeight="1" x14ac:dyDescent="0.2">
      <c r="A1538" s="88" t="s">
        <v>1932</v>
      </c>
      <c r="B1538" s="90"/>
      <c r="C1538" s="88" t="s">
        <v>2066</v>
      </c>
      <c r="D1538" s="90"/>
      <c r="E1538" s="88" t="s">
        <v>2066</v>
      </c>
      <c r="F1538" s="89"/>
      <c r="G1538" s="89"/>
      <c r="H1538" s="89"/>
      <c r="I1538" s="90"/>
      <c r="J1538" s="88" t="s">
        <v>1499</v>
      </c>
      <c r="K1538" s="89"/>
      <c r="L1538" s="89"/>
      <c r="M1538" s="90"/>
      <c r="N1538" s="106"/>
      <c r="O1538" s="107"/>
      <c r="P1538" s="108"/>
      <c r="Q1538" s="133">
        <v>2200</v>
      </c>
      <c r="R1538" s="134"/>
      <c r="S1538" s="5" t="s">
        <v>2067</v>
      </c>
      <c r="T1538" s="6"/>
      <c r="U1538" s="6"/>
      <c r="V1538" s="5" t="s">
        <v>106</v>
      </c>
      <c r="W1538" s="12">
        <v>7404847</v>
      </c>
      <c r="X1538" s="6"/>
      <c r="Y1538" s="6"/>
    </row>
    <row r="1539" spans="1:25" ht="15" customHeight="1" x14ac:dyDescent="0.2">
      <c r="A1539" s="88" t="s">
        <v>1932</v>
      </c>
      <c r="B1539" s="90"/>
      <c r="C1539" s="88" t="s">
        <v>2068</v>
      </c>
      <c r="D1539" s="90"/>
      <c r="E1539" s="88" t="s">
        <v>2068</v>
      </c>
      <c r="F1539" s="89"/>
      <c r="G1539" s="89"/>
      <c r="H1539" s="89"/>
      <c r="I1539" s="90"/>
      <c r="J1539" s="88" t="s">
        <v>1499</v>
      </c>
      <c r="K1539" s="89"/>
      <c r="L1539" s="89"/>
      <c r="M1539" s="90"/>
      <c r="N1539" s="106"/>
      <c r="O1539" s="107"/>
      <c r="P1539" s="108"/>
      <c r="Q1539" s="133">
        <v>2200</v>
      </c>
      <c r="R1539" s="134"/>
      <c r="S1539" s="5" t="s">
        <v>2067</v>
      </c>
      <c r="T1539" s="6"/>
      <c r="U1539" s="6"/>
      <c r="V1539" s="5" t="s">
        <v>106</v>
      </c>
      <c r="W1539" s="12">
        <v>7404847</v>
      </c>
      <c r="X1539" s="6"/>
      <c r="Y1539" s="6"/>
    </row>
    <row r="1540" spans="1:25" ht="15" customHeight="1" x14ac:dyDescent="0.2">
      <c r="A1540" s="88" t="s">
        <v>1932</v>
      </c>
      <c r="B1540" s="90"/>
      <c r="C1540" s="88" t="s">
        <v>2069</v>
      </c>
      <c r="D1540" s="90"/>
      <c r="E1540" s="88" t="s">
        <v>2069</v>
      </c>
      <c r="F1540" s="89"/>
      <c r="G1540" s="89"/>
      <c r="H1540" s="89"/>
      <c r="I1540" s="90"/>
      <c r="J1540" s="88" t="s">
        <v>1499</v>
      </c>
      <c r="K1540" s="89"/>
      <c r="L1540" s="89"/>
      <c r="M1540" s="90"/>
      <c r="N1540" s="106"/>
      <c r="O1540" s="107"/>
      <c r="P1540" s="108"/>
      <c r="Q1540" s="133">
        <v>2200</v>
      </c>
      <c r="R1540" s="134"/>
      <c r="S1540" s="5" t="s">
        <v>814</v>
      </c>
      <c r="T1540" s="6"/>
      <c r="U1540" s="6"/>
      <c r="V1540" s="5" t="s">
        <v>106</v>
      </c>
      <c r="W1540" s="12">
        <v>7565694</v>
      </c>
      <c r="X1540" s="6"/>
      <c r="Y1540" s="6"/>
    </row>
    <row r="1541" spans="1:25" ht="15" customHeight="1" x14ac:dyDescent="0.2">
      <c r="A1541" s="88" t="s">
        <v>1932</v>
      </c>
      <c r="B1541" s="90"/>
      <c r="C1541" s="88" t="s">
        <v>2070</v>
      </c>
      <c r="D1541" s="90"/>
      <c r="E1541" s="88" t="s">
        <v>2071</v>
      </c>
      <c r="F1541" s="89"/>
      <c r="G1541" s="89"/>
      <c r="H1541" s="89"/>
      <c r="I1541" s="90"/>
      <c r="J1541" s="88" t="s">
        <v>1499</v>
      </c>
      <c r="K1541" s="89"/>
      <c r="L1541" s="89"/>
      <c r="M1541" s="90"/>
      <c r="N1541" s="106"/>
      <c r="O1541" s="107"/>
      <c r="P1541" s="108"/>
      <c r="Q1541" s="133">
        <v>2500</v>
      </c>
      <c r="R1541" s="134"/>
      <c r="S1541" s="5" t="s">
        <v>814</v>
      </c>
      <c r="T1541" s="6"/>
      <c r="U1541" s="6"/>
      <c r="V1541" s="5" t="s">
        <v>106</v>
      </c>
      <c r="W1541" s="12">
        <v>9624059</v>
      </c>
      <c r="X1541" s="6"/>
      <c r="Y1541" s="6"/>
    </row>
    <row r="1542" spans="1:25" ht="15" customHeight="1" x14ac:dyDescent="0.2">
      <c r="A1542" s="88" t="s">
        <v>1932</v>
      </c>
      <c r="B1542" s="90"/>
      <c r="C1542" s="88" t="s">
        <v>2070</v>
      </c>
      <c r="D1542" s="90"/>
      <c r="E1542" s="88" t="s">
        <v>2071</v>
      </c>
      <c r="F1542" s="89"/>
      <c r="G1542" s="89"/>
      <c r="H1542" s="89"/>
      <c r="I1542" s="90"/>
      <c r="J1542" s="88" t="s">
        <v>1246</v>
      </c>
      <c r="K1542" s="89"/>
      <c r="L1542" s="89"/>
      <c r="M1542" s="90"/>
      <c r="N1542" s="106"/>
      <c r="O1542" s="107"/>
      <c r="P1542" s="108"/>
      <c r="Q1542" s="133">
        <v>2500</v>
      </c>
      <c r="R1542" s="134"/>
      <c r="S1542" s="5" t="s">
        <v>814</v>
      </c>
      <c r="T1542" s="6"/>
      <c r="U1542" s="6"/>
      <c r="V1542" s="5" t="s">
        <v>106</v>
      </c>
      <c r="W1542" s="12">
        <v>8846628</v>
      </c>
      <c r="X1542" s="6"/>
      <c r="Y1542" s="6"/>
    </row>
    <row r="1543" spans="1:25" ht="15" customHeight="1" x14ac:dyDescent="0.2">
      <c r="A1543" s="88" t="s">
        <v>1932</v>
      </c>
      <c r="B1543" s="90"/>
      <c r="C1543" s="88" t="s">
        <v>2072</v>
      </c>
      <c r="D1543" s="90"/>
      <c r="E1543" s="88" t="s">
        <v>2073</v>
      </c>
      <c r="F1543" s="89"/>
      <c r="G1543" s="89"/>
      <c r="H1543" s="89"/>
      <c r="I1543" s="90"/>
      <c r="J1543" s="88" t="s">
        <v>1499</v>
      </c>
      <c r="K1543" s="89"/>
      <c r="L1543" s="89"/>
      <c r="M1543" s="90"/>
      <c r="N1543" s="106"/>
      <c r="O1543" s="107"/>
      <c r="P1543" s="108"/>
      <c r="Q1543" s="133">
        <v>2500</v>
      </c>
      <c r="R1543" s="134"/>
      <c r="S1543" s="5" t="s">
        <v>814</v>
      </c>
      <c r="T1543" s="6"/>
      <c r="U1543" s="6"/>
      <c r="V1543" s="5" t="s">
        <v>106</v>
      </c>
      <c r="W1543" s="12">
        <v>9650867</v>
      </c>
      <c r="X1543" s="6"/>
      <c r="Y1543" s="6"/>
    </row>
    <row r="1544" spans="1:25" ht="15" customHeight="1" x14ac:dyDescent="0.2">
      <c r="A1544" s="88" t="s">
        <v>1932</v>
      </c>
      <c r="B1544" s="90"/>
      <c r="C1544" s="88" t="s">
        <v>2072</v>
      </c>
      <c r="D1544" s="90"/>
      <c r="E1544" s="88" t="s">
        <v>2073</v>
      </c>
      <c r="F1544" s="89"/>
      <c r="G1544" s="89"/>
      <c r="H1544" s="89"/>
      <c r="I1544" s="90"/>
      <c r="J1544" s="88" t="s">
        <v>1246</v>
      </c>
      <c r="K1544" s="89"/>
      <c r="L1544" s="89"/>
      <c r="M1544" s="90"/>
      <c r="N1544" s="106"/>
      <c r="O1544" s="107"/>
      <c r="P1544" s="108"/>
      <c r="Q1544" s="133">
        <v>2500</v>
      </c>
      <c r="R1544" s="134"/>
      <c r="S1544" s="5" t="s">
        <v>814</v>
      </c>
      <c r="T1544" s="6"/>
      <c r="U1544" s="6"/>
      <c r="V1544" s="5" t="s">
        <v>106</v>
      </c>
      <c r="W1544" s="12">
        <v>8900244</v>
      </c>
      <c r="X1544" s="6"/>
      <c r="Y1544" s="6"/>
    </row>
    <row r="1545" spans="1:25" ht="15" customHeight="1" x14ac:dyDescent="0.2">
      <c r="A1545" s="88" t="s">
        <v>1932</v>
      </c>
      <c r="B1545" s="90"/>
      <c r="C1545" s="88" t="s">
        <v>2074</v>
      </c>
      <c r="D1545" s="90"/>
      <c r="E1545" s="88" t="s">
        <v>2075</v>
      </c>
      <c r="F1545" s="89"/>
      <c r="G1545" s="89"/>
      <c r="H1545" s="89"/>
      <c r="I1545" s="90"/>
      <c r="J1545" s="88" t="s">
        <v>1499</v>
      </c>
      <c r="K1545" s="89"/>
      <c r="L1545" s="89"/>
      <c r="M1545" s="90"/>
      <c r="N1545" s="106"/>
      <c r="O1545" s="107"/>
      <c r="P1545" s="108"/>
      <c r="Q1545" s="133">
        <v>2500</v>
      </c>
      <c r="R1545" s="134"/>
      <c r="S1545" s="5" t="s">
        <v>814</v>
      </c>
      <c r="T1545" s="6"/>
      <c r="U1545" s="6"/>
      <c r="V1545" s="5" t="s">
        <v>106</v>
      </c>
      <c r="W1545" s="12">
        <v>9195131</v>
      </c>
      <c r="X1545" s="6"/>
      <c r="Y1545" s="6"/>
    </row>
    <row r="1546" spans="1:25" ht="15" customHeight="1" x14ac:dyDescent="0.2">
      <c r="A1546" s="88" t="s">
        <v>1932</v>
      </c>
      <c r="B1546" s="90"/>
      <c r="C1546" s="88" t="s">
        <v>2074</v>
      </c>
      <c r="D1546" s="90"/>
      <c r="E1546" s="88" t="s">
        <v>2075</v>
      </c>
      <c r="F1546" s="89"/>
      <c r="G1546" s="89"/>
      <c r="H1546" s="89"/>
      <c r="I1546" s="90"/>
      <c r="J1546" s="88" t="s">
        <v>1246</v>
      </c>
      <c r="K1546" s="89"/>
      <c r="L1546" s="89"/>
      <c r="M1546" s="90"/>
      <c r="N1546" s="106"/>
      <c r="O1546" s="107"/>
      <c r="P1546" s="108"/>
      <c r="Q1546" s="133">
        <v>2500</v>
      </c>
      <c r="R1546" s="134"/>
      <c r="S1546" s="5" t="s">
        <v>814</v>
      </c>
      <c r="T1546" s="6"/>
      <c r="U1546" s="6"/>
      <c r="V1546" s="5" t="s">
        <v>106</v>
      </c>
      <c r="W1546" s="12">
        <v>8417700</v>
      </c>
      <c r="X1546" s="6"/>
      <c r="Y1546" s="6"/>
    </row>
    <row r="1547" spans="1:25" ht="15" customHeight="1" x14ac:dyDescent="0.2">
      <c r="A1547" s="88" t="s">
        <v>1932</v>
      </c>
      <c r="B1547" s="90"/>
      <c r="C1547" s="88" t="s">
        <v>2076</v>
      </c>
      <c r="D1547" s="90"/>
      <c r="E1547" s="88" t="s">
        <v>2077</v>
      </c>
      <c r="F1547" s="89"/>
      <c r="G1547" s="89"/>
      <c r="H1547" s="89"/>
      <c r="I1547" s="90"/>
      <c r="J1547" s="88" t="s">
        <v>1499</v>
      </c>
      <c r="K1547" s="89"/>
      <c r="L1547" s="89"/>
      <c r="M1547" s="90"/>
      <c r="N1547" s="106"/>
      <c r="O1547" s="107"/>
      <c r="P1547" s="108"/>
      <c r="Q1547" s="133">
        <v>2500</v>
      </c>
      <c r="R1547" s="134"/>
      <c r="S1547" s="5" t="s">
        <v>814</v>
      </c>
      <c r="T1547" s="6"/>
      <c r="U1547" s="6"/>
      <c r="V1547" s="5" t="s">
        <v>106</v>
      </c>
      <c r="W1547" s="12">
        <v>9302363</v>
      </c>
      <c r="X1547" s="6"/>
      <c r="Y1547" s="6"/>
    </row>
    <row r="1548" spans="1:25" ht="15" customHeight="1" x14ac:dyDescent="0.2">
      <c r="A1548" s="88" t="s">
        <v>1932</v>
      </c>
      <c r="B1548" s="90"/>
      <c r="C1548" s="88" t="s">
        <v>2076</v>
      </c>
      <c r="D1548" s="90"/>
      <c r="E1548" s="88" t="s">
        <v>2077</v>
      </c>
      <c r="F1548" s="89"/>
      <c r="G1548" s="89"/>
      <c r="H1548" s="89"/>
      <c r="I1548" s="90"/>
      <c r="J1548" s="88" t="s">
        <v>1246</v>
      </c>
      <c r="K1548" s="89"/>
      <c r="L1548" s="89"/>
      <c r="M1548" s="90"/>
      <c r="N1548" s="106"/>
      <c r="O1548" s="107"/>
      <c r="P1548" s="108"/>
      <c r="Q1548" s="133">
        <v>2500</v>
      </c>
      <c r="R1548" s="134"/>
      <c r="S1548" s="5" t="s">
        <v>814</v>
      </c>
      <c r="T1548" s="6"/>
      <c r="U1548" s="6"/>
      <c r="V1548" s="5" t="s">
        <v>106</v>
      </c>
      <c r="W1548" s="12">
        <v>8551740</v>
      </c>
      <c r="X1548" s="6"/>
      <c r="Y1548" s="6"/>
    </row>
    <row r="1549" spans="1:25" ht="15" customHeight="1" x14ac:dyDescent="0.2">
      <c r="A1549" s="88" t="s">
        <v>1932</v>
      </c>
      <c r="B1549" s="90"/>
      <c r="C1549" s="88" t="s">
        <v>2078</v>
      </c>
      <c r="D1549" s="90"/>
      <c r="E1549" s="88" t="s">
        <v>2078</v>
      </c>
      <c r="F1549" s="89"/>
      <c r="G1549" s="89"/>
      <c r="H1549" s="89"/>
      <c r="I1549" s="90"/>
      <c r="J1549" s="88" t="s">
        <v>1499</v>
      </c>
      <c r="K1549" s="89"/>
      <c r="L1549" s="89"/>
      <c r="M1549" s="90"/>
      <c r="N1549" s="106"/>
      <c r="O1549" s="107"/>
      <c r="P1549" s="108"/>
      <c r="Q1549" s="133">
        <v>2500</v>
      </c>
      <c r="R1549" s="134"/>
      <c r="S1549" s="5" t="s">
        <v>1539</v>
      </c>
      <c r="T1549" s="6"/>
      <c r="U1549" s="6"/>
      <c r="V1549" s="5" t="s">
        <v>106</v>
      </c>
      <c r="W1549" s="12">
        <v>9999370</v>
      </c>
      <c r="X1549" s="6"/>
      <c r="Y1549" s="6"/>
    </row>
    <row r="1550" spans="1:25" ht="15" customHeight="1" x14ac:dyDescent="0.2">
      <c r="A1550" s="88" t="s">
        <v>1932</v>
      </c>
      <c r="B1550" s="90"/>
      <c r="C1550" s="88" t="s">
        <v>2079</v>
      </c>
      <c r="D1550" s="90"/>
      <c r="E1550" s="88" t="s">
        <v>2079</v>
      </c>
      <c r="F1550" s="89"/>
      <c r="G1550" s="89"/>
      <c r="H1550" s="89"/>
      <c r="I1550" s="90"/>
      <c r="J1550" s="88" t="s">
        <v>1499</v>
      </c>
      <c r="K1550" s="89"/>
      <c r="L1550" s="89"/>
      <c r="M1550" s="90"/>
      <c r="N1550" s="106"/>
      <c r="O1550" s="107"/>
      <c r="P1550" s="108"/>
      <c r="Q1550" s="133">
        <v>2500</v>
      </c>
      <c r="R1550" s="134"/>
      <c r="S1550" s="5" t="s">
        <v>1539</v>
      </c>
      <c r="T1550" s="6"/>
      <c r="U1550" s="6"/>
      <c r="V1550" s="5" t="s">
        <v>106</v>
      </c>
      <c r="W1550" s="12">
        <v>11125304</v>
      </c>
      <c r="X1550" s="6"/>
      <c r="Y1550" s="6"/>
    </row>
    <row r="1551" spans="1:25" ht="15" customHeight="1" x14ac:dyDescent="0.2">
      <c r="A1551" s="88" t="s">
        <v>1932</v>
      </c>
      <c r="B1551" s="90"/>
      <c r="C1551" s="88" t="s">
        <v>2080</v>
      </c>
      <c r="D1551" s="90"/>
      <c r="E1551" s="88" t="s">
        <v>2080</v>
      </c>
      <c r="F1551" s="89"/>
      <c r="G1551" s="89"/>
      <c r="H1551" s="89"/>
      <c r="I1551" s="90"/>
      <c r="J1551" s="88" t="s">
        <v>1499</v>
      </c>
      <c r="K1551" s="89"/>
      <c r="L1551" s="89"/>
      <c r="M1551" s="90"/>
      <c r="N1551" s="106"/>
      <c r="O1551" s="107"/>
      <c r="P1551" s="108"/>
      <c r="Q1551" s="133">
        <v>2500</v>
      </c>
      <c r="R1551" s="134"/>
      <c r="S1551" s="5" t="s">
        <v>16</v>
      </c>
      <c r="T1551" s="6"/>
      <c r="U1551" s="6"/>
      <c r="V1551" s="5" t="s">
        <v>96</v>
      </c>
      <c r="W1551" s="12">
        <v>7749938</v>
      </c>
      <c r="X1551" s="6"/>
      <c r="Y1551" s="6"/>
    </row>
    <row r="1552" spans="1:25" ht="15" customHeight="1" x14ac:dyDescent="0.2">
      <c r="A1552" s="88" t="s">
        <v>1932</v>
      </c>
      <c r="B1552" s="90"/>
      <c r="C1552" s="88" t="s">
        <v>2081</v>
      </c>
      <c r="D1552" s="90"/>
      <c r="E1552" s="88" t="s">
        <v>2081</v>
      </c>
      <c r="F1552" s="89"/>
      <c r="G1552" s="89"/>
      <c r="H1552" s="89"/>
      <c r="I1552" s="90"/>
      <c r="J1552" s="88" t="s">
        <v>1499</v>
      </c>
      <c r="K1552" s="89"/>
      <c r="L1552" s="89"/>
      <c r="M1552" s="90"/>
      <c r="N1552" s="106"/>
      <c r="O1552" s="107"/>
      <c r="P1552" s="108"/>
      <c r="Q1552" s="133">
        <v>2500</v>
      </c>
      <c r="R1552" s="134"/>
      <c r="S1552" s="5" t="s">
        <v>16</v>
      </c>
      <c r="T1552" s="6"/>
      <c r="U1552" s="6"/>
      <c r="V1552" s="5" t="s">
        <v>96</v>
      </c>
      <c r="W1552" s="12">
        <v>8188614</v>
      </c>
      <c r="X1552" s="6"/>
      <c r="Y1552" s="6"/>
    </row>
    <row r="1553" spans="1:25" ht="15" customHeight="1" x14ac:dyDescent="0.2">
      <c r="A1553" s="88" t="s">
        <v>1932</v>
      </c>
      <c r="B1553" s="90"/>
      <c r="C1553" s="88" t="s">
        <v>2082</v>
      </c>
      <c r="D1553" s="90"/>
      <c r="E1553" s="88" t="s">
        <v>2082</v>
      </c>
      <c r="F1553" s="89"/>
      <c r="G1553" s="89"/>
      <c r="H1553" s="89"/>
      <c r="I1553" s="90"/>
      <c r="J1553" s="88" t="s">
        <v>1499</v>
      </c>
      <c r="K1553" s="89"/>
      <c r="L1553" s="89"/>
      <c r="M1553" s="90"/>
      <c r="N1553" s="106"/>
      <c r="O1553" s="107"/>
      <c r="P1553" s="108"/>
      <c r="Q1553" s="133">
        <v>2500</v>
      </c>
      <c r="R1553" s="134"/>
      <c r="S1553" s="5" t="s">
        <v>16</v>
      </c>
      <c r="T1553" s="6"/>
      <c r="U1553" s="6"/>
      <c r="V1553" s="5" t="s">
        <v>96</v>
      </c>
      <c r="W1553" s="12">
        <v>10674443</v>
      </c>
      <c r="X1553" s="6"/>
      <c r="Y1553" s="6"/>
    </row>
    <row r="1554" spans="1:25" ht="15" customHeight="1" x14ac:dyDescent="0.2">
      <c r="A1554" s="88" t="s">
        <v>1932</v>
      </c>
      <c r="B1554" s="90"/>
      <c r="C1554" s="88" t="s">
        <v>2082</v>
      </c>
      <c r="D1554" s="90"/>
      <c r="E1554" s="88" t="s">
        <v>2082</v>
      </c>
      <c r="F1554" s="89"/>
      <c r="G1554" s="89"/>
      <c r="H1554" s="89"/>
      <c r="I1554" s="90"/>
      <c r="J1554" s="88" t="s">
        <v>1499</v>
      </c>
      <c r="K1554" s="89"/>
      <c r="L1554" s="89"/>
      <c r="M1554" s="90"/>
      <c r="N1554" s="106"/>
      <c r="O1554" s="107"/>
      <c r="P1554" s="108"/>
      <c r="Q1554" s="133">
        <v>2500</v>
      </c>
      <c r="R1554" s="134"/>
      <c r="S1554" s="5" t="s">
        <v>16</v>
      </c>
      <c r="T1554" s="6"/>
      <c r="U1554" s="6"/>
      <c r="V1554" s="5" t="s">
        <v>96</v>
      </c>
      <c r="W1554" s="12">
        <v>10717580</v>
      </c>
      <c r="X1554" s="6"/>
      <c r="Y1554" s="6"/>
    </row>
    <row r="1555" spans="1:25" ht="15" customHeight="1" x14ac:dyDescent="0.2">
      <c r="A1555" s="88" t="s">
        <v>1932</v>
      </c>
      <c r="B1555" s="90"/>
      <c r="C1555" s="88" t="s">
        <v>2082</v>
      </c>
      <c r="D1555" s="90"/>
      <c r="E1555" s="88" t="s">
        <v>2082</v>
      </c>
      <c r="F1555" s="89"/>
      <c r="G1555" s="89"/>
      <c r="H1555" s="89"/>
      <c r="I1555" s="90"/>
      <c r="J1555" s="88" t="s">
        <v>1499</v>
      </c>
      <c r="K1555" s="89"/>
      <c r="L1555" s="89"/>
      <c r="M1555" s="90"/>
      <c r="N1555" s="106"/>
      <c r="O1555" s="107"/>
      <c r="P1555" s="108"/>
      <c r="Q1555" s="133">
        <v>2500</v>
      </c>
      <c r="R1555" s="134"/>
      <c r="S1555" s="5" t="s">
        <v>16</v>
      </c>
      <c r="T1555" s="6"/>
      <c r="U1555" s="6"/>
      <c r="V1555" s="5" t="s">
        <v>96</v>
      </c>
      <c r="W1555" s="12">
        <v>10717580</v>
      </c>
      <c r="X1555" s="6"/>
      <c r="Y1555" s="6"/>
    </row>
    <row r="1556" spans="1:25" ht="15" customHeight="1" x14ac:dyDescent="0.2">
      <c r="A1556" s="88" t="s">
        <v>1932</v>
      </c>
      <c r="B1556" s="90"/>
      <c r="C1556" s="88" t="s">
        <v>2083</v>
      </c>
      <c r="D1556" s="90"/>
      <c r="E1556" s="88" t="s">
        <v>2083</v>
      </c>
      <c r="F1556" s="89"/>
      <c r="G1556" s="89"/>
      <c r="H1556" s="89"/>
      <c r="I1556" s="90"/>
      <c r="J1556" s="88" t="s">
        <v>1499</v>
      </c>
      <c r="K1556" s="89"/>
      <c r="L1556" s="89"/>
      <c r="M1556" s="90"/>
      <c r="N1556" s="106"/>
      <c r="O1556" s="107"/>
      <c r="P1556" s="108"/>
      <c r="Q1556" s="133">
        <v>2500</v>
      </c>
      <c r="R1556" s="134"/>
      <c r="S1556" s="5" t="s">
        <v>16</v>
      </c>
      <c r="T1556" s="6"/>
      <c r="U1556" s="6"/>
      <c r="V1556" s="5" t="s">
        <v>96</v>
      </c>
      <c r="W1556" s="12">
        <v>10601331</v>
      </c>
      <c r="X1556" s="6"/>
      <c r="Y1556" s="6"/>
    </row>
    <row r="1557" spans="1:25" ht="15" customHeight="1" x14ac:dyDescent="0.2">
      <c r="A1557" s="88" t="s">
        <v>1932</v>
      </c>
      <c r="B1557" s="90"/>
      <c r="C1557" s="88" t="s">
        <v>2083</v>
      </c>
      <c r="D1557" s="90"/>
      <c r="E1557" s="88" t="s">
        <v>2083</v>
      </c>
      <c r="F1557" s="89"/>
      <c r="G1557" s="89"/>
      <c r="H1557" s="89"/>
      <c r="I1557" s="90"/>
      <c r="J1557" s="88" t="s">
        <v>1499</v>
      </c>
      <c r="K1557" s="89"/>
      <c r="L1557" s="89"/>
      <c r="M1557" s="90"/>
      <c r="N1557" s="106"/>
      <c r="O1557" s="107"/>
      <c r="P1557" s="108"/>
      <c r="Q1557" s="133">
        <v>2500</v>
      </c>
      <c r="R1557" s="134"/>
      <c r="S1557" s="5" t="s">
        <v>16</v>
      </c>
      <c r="T1557" s="6"/>
      <c r="U1557" s="6"/>
      <c r="V1557" s="5" t="s">
        <v>96</v>
      </c>
      <c r="W1557" s="12">
        <v>10644467</v>
      </c>
      <c r="X1557" s="6"/>
      <c r="Y1557" s="6"/>
    </row>
    <row r="1558" spans="1:25" ht="15" customHeight="1" x14ac:dyDescent="0.2">
      <c r="A1558" s="88" t="s">
        <v>1932</v>
      </c>
      <c r="B1558" s="90"/>
      <c r="C1558" s="88" t="s">
        <v>2083</v>
      </c>
      <c r="D1558" s="90"/>
      <c r="E1558" s="88" t="s">
        <v>2083</v>
      </c>
      <c r="F1558" s="89"/>
      <c r="G1558" s="89"/>
      <c r="H1558" s="89"/>
      <c r="I1558" s="90"/>
      <c r="J1558" s="88" t="s">
        <v>1499</v>
      </c>
      <c r="K1558" s="89"/>
      <c r="L1558" s="89"/>
      <c r="M1558" s="90"/>
      <c r="N1558" s="106"/>
      <c r="O1558" s="107"/>
      <c r="P1558" s="108"/>
      <c r="Q1558" s="133">
        <v>2500</v>
      </c>
      <c r="R1558" s="134"/>
      <c r="S1558" s="5" t="s">
        <v>16</v>
      </c>
      <c r="T1558" s="6"/>
      <c r="U1558" s="6"/>
      <c r="V1558" s="5" t="s">
        <v>96</v>
      </c>
      <c r="W1558" s="12">
        <v>10644467</v>
      </c>
      <c r="X1558" s="6"/>
      <c r="Y1558" s="6"/>
    </row>
    <row r="1559" spans="1:25" ht="15" customHeight="1" x14ac:dyDescent="0.2">
      <c r="A1559" s="88" t="s">
        <v>1932</v>
      </c>
      <c r="B1559" s="90"/>
      <c r="C1559" s="88" t="s">
        <v>2084</v>
      </c>
      <c r="D1559" s="90"/>
      <c r="E1559" s="88" t="s">
        <v>2084</v>
      </c>
      <c r="F1559" s="89"/>
      <c r="G1559" s="89"/>
      <c r="H1559" s="89"/>
      <c r="I1559" s="90"/>
      <c r="J1559" s="88" t="s">
        <v>1499</v>
      </c>
      <c r="K1559" s="89"/>
      <c r="L1559" s="89"/>
      <c r="M1559" s="90"/>
      <c r="N1559" s="106"/>
      <c r="O1559" s="107"/>
      <c r="P1559" s="108"/>
      <c r="Q1559" s="133">
        <v>2500</v>
      </c>
      <c r="R1559" s="134"/>
      <c r="S1559" s="5" t="s">
        <v>16</v>
      </c>
      <c r="T1559" s="6"/>
      <c r="U1559" s="6"/>
      <c r="V1559" s="5" t="s">
        <v>96</v>
      </c>
      <c r="W1559" s="12">
        <v>9139078</v>
      </c>
      <c r="X1559" s="6"/>
      <c r="Y1559" s="6"/>
    </row>
    <row r="1560" spans="1:25" ht="15" customHeight="1" x14ac:dyDescent="0.2">
      <c r="A1560" s="88" t="s">
        <v>1932</v>
      </c>
      <c r="B1560" s="90"/>
      <c r="C1560" s="88" t="s">
        <v>2061</v>
      </c>
      <c r="D1560" s="90"/>
      <c r="E1560" s="88" t="s">
        <v>2061</v>
      </c>
      <c r="F1560" s="89"/>
      <c r="G1560" s="89"/>
      <c r="H1560" s="89"/>
      <c r="I1560" s="90"/>
      <c r="J1560" s="88" t="s">
        <v>1499</v>
      </c>
      <c r="K1560" s="89"/>
      <c r="L1560" s="89"/>
      <c r="M1560" s="90"/>
      <c r="N1560" s="106"/>
      <c r="O1560" s="107"/>
      <c r="P1560" s="108"/>
      <c r="Q1560" s="133">
        <v>3500</v>
      </c>
      <c r="R1560" s="134"/>
      <c r="S1560" s="5" t="s">
        <v>1539</v>
      </c>
      <c r="T1560" s="6"/>
      <c r="U1560" s="6"/>
      <c r="V1560" s="5" t="s">
        <v>96</v>
      </c>
      <c r="W1560" s="12">
        <v>7841329</v>
      </c>
      <c r="X1560" s="6"/>
      <c r="Y1560" s="6"/>
    </row>
    <row r="1561" spans="1:25" ht="15" customHeight="1" x14ac:dyDescent="0.2">
      <c r="A1561" s="88" t="s">
        <v>1932</v>
      </c>
      <c r="B1561" s="90"/>
      <c r="C1561" s="88" t="s">
        <v>2061</v>
      </c>
      <c r="D1561" s="90"/>
      <c r="E1561" s="88" t="s">
        <v>2061</v>
      </c>
      <c r="F1561" s="89"/>
      <c r="G1561" s="89"/>
      <c r="H1561" s="89"/>
      <c r="I1561" s="90"/>
      <c r="J1561" s="88" t="s">
        <v>1499</v>
      </c>
      <c r="K1561" s="89"/>
      <c r="L1561" s="89"/>
      <c r="M1561" s="90"/>
      <c r="N1561" s="106"/>
      <c r="O1561" s="107"/>
      <c r="P1561" s="108"/>
      <c r="Q1561" s="133">
        <v>3500</v>
      </c>
      <c r="R1561" s="134"/>
      <c r="S1561" s="5" t="s">
        <v>1539</v>
      </c>
      <c r="T1561" s="6"/>
      <c r="U1561" s="6"/>
      <c r="V1561" s="5" t="s">
        <v>702</v>
      </c>
      <c r="W1561" s="12">
        <v>7841329</v>
      </c>
      <c r="X1561" s="6"/>
      <c r="Y1561" s="6"/>
    </row>
    <row r="1562" spans="1:25" ht="15" customHeight="1" x14ac:dyDescent="0.2">
      <c r="A1562" s="88" t="s">
        <v>1932</v>
      </c>
      <c r="B1562" s="90"/>
      <c r="C1562" s="88" t="s">
        <v>2062</v>
      </c>
      <c r="D1562" s="90"/>
      <c r="E1562" s="88" t="s">
        <v>2062</v>
      </c>
      <c r="F1562" s="89"/>
      <c r="G1562" s="89"/>
      <c r="H1562" s="89"/>
      <c r="I1562" s="90"/>
      <c r="J1562" s="88" t="s">
        <v>1499</v>
      </c>
      <c r="K1562" s="89"/>
      <c r="L1562" s="89"/>
      <c r="M1562" s="90"/>
      <c r="N1562" s="106"/>
      <c r="O1562" s="107"/>
      <c r="P1562" s="108"/>
      <c r="Q1562" s="133">
        <v>3500</v>
      </c>
      <c r="R1562" s="134"/>
      <c r="S1562" s="5" t="s">
        <v>1539</v>
      </c>
      <c r="T1562" s="6"/>
      <c r="U1562" s="6"/>
      <c r="V1562" s="5" t="s">
        <v>96</v>
      </c>
      <c r="W1562" s="12">
        <v>9108615</v>
      </c>
      <c r="X1562" s="6"/>
      <c r="Y1562" s="6"/>
    </row>
    <row r="1563" spans="1:25" ht="15" customHeight="1" x14ac:dyDescent="0.2">
      <c r="A1563" s="88" t="s">
        <v>1932</v>
      </c>
      <c r="B1563" s="90"/>
      <c r="C1563" s="88" t="s">
        <v>2062</v>
      </c>
      <c r="D1563" s="90"/>
      <c r="E1563" s="88" t="s">
        <v>2062</v>
      </c>
      <c r="F1563" s="89"/>
      <c r="G1563" s="89"/>
      <c r="H1563" s="89"/>
      <c r="I1563" s="90"/>
      <c r="J1563" s="88" t="s">
        <v>1499</v>
      </c>
      <c r="K1563" s="89"/>
      <c r="L1563" s="89"/>
      <c r="M1563" s="90"/>
      <c r="N1563" s="106"/>
      <c r="O1563" s="107"/>
      <c r="P1563" s="108"/>
      <c r="Q1563" s="133">
        <v>3500</v>
      </c>
      <c r="R1563" s="134"/>
      <c r="S1563" s="5" t="s">
        <v>1539</v>
      </c>
      <c r="T1563" s="6"/>
      <c r="U1563" s="6"/>
      <c r="V1563" s="5" t="s">
        <v>702</v>
      </c>
      <c r="W1563" s="12">
        <v>9108615</v>
      </c>
      <c r="X1563" s="6"/>
      <c r="Y1563" s="6"/>
    </row>
    <row r="1564" spans="1:25" ht="15" customHeight="1" x14ac:dyDescent="0.2">
      <c r="A1564" s="88" t="s">
        <v>1932</v>
      </c>
      <c r="B1564" s="90"/>
      <c r="C1564" s="88" t="s">
        <v>2063</v>
      </c>
      <c r="D1564" s="90"/>
      <c r="E1564" s="88" t="s">
        <v>2063</v>
      </c>
      <c r="F1564" s="89"/>
      <c r="G1564" s="89"/>
      <c r="H1564" s="89"/>
      <c r="I1564" s="90"/>
      <c r="J1564" s="88" t="s">
        <v>1499</v>
      </c>
      <c r="K1564" s="89"/>
      <c r="L1564" s="89"/>
      <c r="M1564" s="90"/>
      <c r="N1564" s="106"/>
      <c r="O1564" s="107"/>
      <c r="P1564" s="108"/>
      <c r="Q1564" s="133">
        <v>3500</v>
      </c>
      <c r="R1564" s="134"/>
      <c r="S1564" s="5" t="s">
        <v>1539</v>
      </c>
      <c r="T1564" s="6"/>
      <c r="U1564" s="6"/>
      <c r="V1564" s="5" t="s">
        <v>96</v>
      </c>
      <c r="W1564" s="12">
        <v>10217489</v>
      </c>
      <c r="X1564" s="6"/>
      <c r="Y1564" s="6"/>
    </row>
    <row r="1565" spans="1:25" ht="15" customHeight="1" x14ac:dyDescent="0.2">
      <c r="A1565" s="88" t="s">
        <v>1932</v>
      </c>
      <c r="B1565" s="90"/>
      <c r="C1565" s="88" t="s">
        <v>2063</v>
      </c>
      <c r="D1565" s="90"/>
      <c r="E1565" s="88" t="s">
        <v>2063</v>
      </c>
      <c r="F1565" s="89"/>
      <c r="G1565" s="89"/>
      <c r="H1565" s="89"/>
      <c r="I1565" s="90"/>
      <c r="J1565" s="88" t="s">
        <v>1499</v>
      </c>
      <c r="K1565" s="89"/>
      <c r="L1565" s="89"/>
      <c r="M1565" s="90"/>
      <c r="N1565" s="106"/>
      <c r="O1565" s="107"/>
      <c r="P1565" s="108"/>
      <c r="Q1565" s="133">
        <v>3500</v>
      </c>
      <c r="R1565" s="134"/>
      <c r="S1565" s="5" t="s">
        <v>1539</v>
      </c>
      <c r="T1565" s="6"/>
      <c r="U1565" s="6"/>
      <c r="V1565" s="5" t="s">
        <v>702</v>
      </c>
      <c r="W1565" s="12">
        <v>10217489</v>
      </c>
      <c r="X1565" s="6"/>
      <c r="Y1565" s="6"/>
    </row>
    <row r="1566" spans="1:25" ht="15" customHeight="1" x14ac:dyDescent="0.2">
      <c r="A1566" s="88" t="s">
        <v>1932</v>
      </c>
      <c r="B1566" s="90"/>
      <c r="C1566" s="88" t="s">
        <v>2085</v>
      </c>
      <c r="D1566" s="90"/>
      <c r="E1566" s="88" t="s">
        <v>1516</v>
      </c>
      <c r="F1566" s="89"/>
      <c r="G1566" s="89"/>
      <c r="H1566" s="89"/>
      <c r="I1566" s="90"/>
      <c r="J1566" s="88" t="s">
        <v>1499</v>
      </c>
      <c r="K1566" s="89"/>
      <c r="L1566" s="89"/>
      <c r="M1566" s="90"/>
      <c r="N1566" s="106"/>
      <c r="O1566" s="107"/>
      <c r="P1566" s="108"/>
      <c r="Q1566" s="133">
        <v>3800</v>
      </c>
      <c r="R1566" s="134"/>
      <c r="S1566" s="5" t="s">
        <v>44</v>
      </c>
      <c r="T1566" s="6"/>
      <c r="U1566" s="6"/>
      <c r="V1566" s="5" t="s">
        <v>702</v>
      </c>
      <c r="W1566" s="12">
        <v>25540329</v>
      </c>
      <c r="X1566" s="6"/>
      <c r="Y1566" s="6"/>
    </row>
    <row r="1567" spans="1:25" ht="15" customHeight="1" x14ac:dyDescent="0.2">
      <c r="A1567" s="88" t="s">
        <v>1932</v>
      </c>
      <c r="B1567" s="90"/>
      <c r="C1567" s="88" t="s">
        <v>2086</v>
      </c>
      <c r="D1567" s="90"/>
      <c r="E1567" s="88" t="s">
        <v>2087</v>
      </c>
      <c r="F1567" s="89"/>
      <c r="G1567" s="89"/>
      <c r="H1567" s="89"/>
      <c r="I1567" s="90"/>
      <c r="J1567" s="88" t="s">
        <v>1499</v>
      </c>
      <c r="K1567" s="89"/>
      <c r="L1567" s="89"/>
      <c r="M1567" s="90"/>
      <c r="N1567" s="106"/>
      <c r="O1567" s="107"/>
      <c r="P1567" s="108"/>
      <c r="Q1567" s="133">
        <v>3800</v>
      </c>
      <c r="R1567" s="134"/>
      <c r="S1567" s="5" t="s">
        <v>44</v>
      </c>
      <c r="T1567" s="6"/>
      <c r="U1567" s="6"/>
      <c r="V1567" s="5" t="s">
        <v>702</v>
      </c>
      <c r="W1567" s="12">
        <v>34103558</v>
      </c>
      <c r="X1567" s="6"/>
      <c r="Y1567" s="6"/>
    </row>
    <row r="1568" spans="1:25" ht="15" customHeight="1" x14ac:dyDescent="0.2">
      <c r="A1568" s="88" t="s">
        <v>1932</v>
      </c>
      <c r="B1568" s="90"/>
      <c r="C1568" s="88" t="s">
        <v>2055</v>
      </c>
      <c r="D1568" s="90"/>
      <c r="E1568" s="88" t="s">
        <v>2055</v>
      </c>
      <c r="F1568" s="89"/>
      <c r="G1568" s="89"/>
      <c r="H1568" s="89"/>
      <c r="I1568" s="90"/>
      <c r="J1568" s="88" t="s">
        <v>1499</v>
      </c>
      <c r="K1568" s="89"/>
      <c r="L1568" s="89"/>
      <c r="M1568" s="90"/>
      <c r="N1568" s="106"/>
      <c r="O1568" s="107"/>
      <c r="P1568" s="108"/>
      <c r="Q1568" s="133">
        <v>3800</v>
      </c>
      <c r="R1568" s="134"/>
      <c r="S1568" s="5" t="s">
        <v>16</v>
      </c>
      <c r="T1568" s="6"/>
      <c r="U1568" s="6"/>
      <c r="V1568" s="5" t="s">
        <v>702</v>
      </c>
      <c r="W1568" s="12">
        <v>12023371</v>
      </c>
      <c r="X1568" s="6"/>
      <c r="Y1568" s="6"/>
    </row>
    <row r="1569" spans="1:25" ht="15" customHeight="1" x14ac:dyDescent="0.2">
      <c r="A1569" s="88" t="s">
        <v>1932</v>
      </c>
      <c r="B1569" s="90"/>
      <c r="C1569" s="88" t="s">
        <v>2056</v>
      </c>
      <c r="D1569" s="90"/>
      <c r="E1569" s="88" t="s">
        <v>2056</v>
      </c>
      <c r="F1569" s="89"/>
      <c r="G1569" s="89"/>
      <c r="H1569" s="89"/>
      <c r="I1569" s="90"/>
      <c r="J1569" s="88" t="s">
        <v>1499</v>
      </c>
      <c r="K1569" s="89"/>
      <c r="L1569" s="89"/>
      <c r="M1569" s="90"/>
      <c r="N1569" s="106"/>
      <c r="O1569" s="107"/>
      <c r="P1569" s="108"/>
      <c r="Q1569" s="133">
        <v>3800</v>
      </c>
      <c r="R1569" s="134"/>
      <c r="S1569" s="5" t="s">
        <v>16</v>
      </c>
      <c r="T1569" s="6"/>
      <c r="U1569" s="6"/>
      <c r="V1569" s="5" t="s">
        <v>702</v>
      </c>
      <c r="W1569" s="12">
        <v>12023371</v>
      </c>
      <c r="X1569" s="6"/>
      <c r="Y1569" s="6"/>
    </row>
    <row r="1570" spans="1:25" ht="15" customHeight="1" x14ac:dyDescent="0.2">
      <c r="A1570" s="88" t="s">
        <v>1932</v>
      </c>
      <c r="B1570" s="90"/>
      <c r="C1570" s="88" t="s">
        <v>2057</v>
      </c>
      <c r="D1570" s="90"/>
      <c r="E1570" s="88" t="s">
        <v>2057</v>
      </c>
      <c r="F1570" s="89"/>
      <c r="G1570" s="89"/>
      <c r="H1570" s="89"/>
      <c r="I1570" s="90"/>
      <c r="J1570" s="88" t="s">
        <v>1499</v>
      </c>
      <c r="K1570" s="89"/>
      <c r="L1570" s="89"/>
      <c r="M1570" s="90"/>
      <c r="N1570" s="106"/>
      <c r="O1570" s="107"/>
      <c r="P1570" s="108"/>
      <c r="Q1570" s="133">
        <v>3800</v>
      </c>
      <c r="R1570" s="134"/>
      <c r="S1570" s="5" t="s">
        <v>16</v>
      </c>
      <c r="T1570" s="6"/>
      <c r="U1570" s="6"/>
      <c r="V1570" s="5" t="s">
        <v>702</v>
      </c>
      <c r="W1570" s="12">
        <v>12419398</v>
      </c>
      <c r="X1570" s="6"/>
      <c r="Y1570" s="6"/>
    </row>
    <row r="1571" spans="1:25" ht="15" customHeight="1" x14ac:dyDescent="0.2">
      <c r="A1571" s="88" t="s">
        <v>1932</v>
      </c>
      <c r="B1571" s="90"/>
      <c r="C1571" s="88" t="s">
        <v>2059</v>
      </c>
      <c r="D1571" s="90"/>
      <c r="E1571" s="88" t="s">
        <v>2059</v>
      </c>
      <c r="F1571" s="89"/>
      <c r="G1571" s="89"/>
      <c r="H1571" s="89"/>
      <c r="I1571" s="90"/>
      <c r="J1571" s="88" t="s">
        <v>1499</v>
      </c>
      <c r="K1571" s="89"/>
      <c r="L1571" s="89"/>
      <c r="M1571" s="90"/>
      <c r="N1571" s="106"/>
      <c r="O1571" s="107"/>
      <c r="P1571" s="108"/>
      <c r="Q1571" s="133">
        <v>3800</v>
      </c>
      <c r="R1571" s="134"/>
      <c r="S1571" s="5" t="s">
        <v>16</v>
      </c>
      <c r="T1571" s="6"/>
      <c r="U1571" s="6"/>
      <c r="V1571" s="5" t="s">
        <v>702</v>
      </c>
      <c r="W1571" s="12">
        <v>10581834</v>
      </c>
      <c r="X1571" s="6"/>
      <c r="Y1571" s="6"/>
    </row>
    <row r="1572" spans="1:25" ht="15" customHeight="1" x14ac:dyDescent="0.2">
      <c r="A1572" s="88" t="s">
        <v>1932</v>
      </c>
      <c r="B1572" s="90"/>
      <c r="C1572" s="88" t="s">
        <v>2060</v>
      </c>
      <c r="D1572" s="90"/>
      <c r="E1572" s="88" t="s">
        <v>2060</v>
      </c>
      <c r="F1572" s="89"/>
      <c r="G1572" s="89"/>
      <c r="H1572" s="89"/>
      <c r="I1572" s="90"/>
      <c r="J1572" s="88" t="s">
        <v>1499</v>
      </c>
      <c r="K1572" s="89"/>
      <c r="L1572" s="89"/>
      <c r="M1572" s="90"/>
      <c r="N1572" s="106"/>
      <c r="O1572" s="107"/>
      <c r="P1572" s="108"/>
      <c r="Q1572" s="133">
        <v>3800</v>
      </c>
      <c r="R1572" s="134"/>
      <c r="S1572" s="5" t="s">
        <v>16</v>
      </c>
      <c r="T1572" s="6"/>
      <c r="U1572" s="6"/>
      <c r="V1572" s="5" t="s">
        <v>702</v>
      </c>
      <c r="W1572" s="12">
        <v>10581834</v>
      </c>
      <c r="X1572" s="6"/>
      <c r="Y1572" s="6"/>
    </row>
    <row r="1573" spans="1:25" ht="15" customHeight="1" x14ac:dyDescent="0.2">
      <c r="A1573" s="88" t="s">
        <v>1932</v>
      </c>
      <c r="B1573" s="90"/>
      <c r="C1573" s="88" t="s">
        <v>2088</v>
      </c>
      <c r="D1573" s="90"/>
      <c r="E1573" s="88" t="s">
        <v>2088</v>
      </c>
      <c r="F1573" s="89"/>
      <c r="G1573" s="89"/>
      <c r="H1573" s="89"/>
      <c r="I1573" s="90"/>
      <c r="J1573" s="88" t="s">
        <v>1499</v>
      </c>
      <c r="K1573" s="89"/>
      <c r="L1573" s="89"/>
      <c r="M1573" s="90"/>
      <c r="N1573" s="106"/>
      <c r="O1573" s="107"/>
      <c r="P1573" s="108"/>
      <c r="Q1573" s="133">
        <v>3800</v>
      </c>
      <c r="R1573" s="134"/>
      <c r="S1573" s="5" t="s">
        <v>16</v>
      </c>
      <c r="T1573" s="6"/>
      <c r="U1573" s="6"/>
      <c r="V1573" s="5" t="s">
        <v>702</v>
      </c>
      <c r="W1573" s="12">
        <v>12419398</v>
      </c>
      <c r="X1573" s="6"/>
      <c r="Y1573" s="6"/>
    </row>
    <row r="1574" spans="1:25" ht="15" customHeight="1" x14ac:dyDescent="0.2">
      <c r="A1574" s="88" t="s">
        <v>1932</v>
      </c>
      <c r="B1574" s="90"/>
      <c r="C1574" s="88" t="s">
        <v>1516</v>
      </c>
      <c r="D1574" s="90"/>
      <c r="E1574" s="106"/>
      <c r="F1574" s="107"/>
      <c r="G1574" s="107"/>
      <c r="H1574" s="107"/>
      <c r="I1574" s="108"/>
      <c r="J1574" s="88" t="s">
        <v>1246</v>
      </c>
      <c r="K1574" s="89"/>
      <c r="L1574" s="89"/>
      <c r="M1574" s="90"/>
      <c r="N1574" s="106"/>
      <c r="O1574" s="107"/>
      <c r="P1574" s="108"/>
      <c r="Q1574" s="133">
        <v>3900</v>
      </c>
      <c r="R1574" s="134"/>
      <c r="S1574" s="5" t="s">
        <v>2089</v>
      </c>
      <c r="T1574" s="6"/>
      <c r="U1574" s="6"/>
      <c r="V1574" s="5" t="s">
        <v>17</v>
      </c>
      <c r="W1574" s="12">
        <v>21933788</v>
      </c>
      <c r="X1574" s="6"/>
      <c r="Y1574" s="6"/>
    </row>
    <row r="1575" spans="1:25" ht="15" customHeight="1" x14ac:dyDescent="0.2">
      <c r="A1575" s="88" t="s">
        <v>1932</v>
      </c>
      <c r="B1575" s="90"/>
      <c r="C1575" s="88" t="s">
        <v>2090</v>
      </c>
      <c r="D1575" s="90"/>
      <c r="E1575" s="106"/>
      <c r="F1575" s="107"/>
      <c r="G1575" s="107"/>
      <c r="H1575" s="107"/>
      <c r="I1575" s="108"/>
      <c r="J1575" s="88" t="s">
        <v>1246</v>
      </c>
      <c r="K1575" s="89"/>
      <c r="L1575" s="89"/>
      <c r="M1575" s="90"/>
      <c r="N1575" s="106"/>
      <c r="O1575" s="107"/>
      <c r="P1575" s="108"/>
      <c r="Q1575" s="133">
        <v>3900</v>
      </c>
      <c r="R1575" s="134"/>
      <c r="S1575" s="5" t="s">
        <v>945</v>
      </c>
      <c r="T1575" s="6"/>
      <c r="U1575" s="6"/>
      <c r="V1575" s="5" t="s">
        <v>106</v>
      </c>
      <c r="W1575" s="12">
        <v>10164994</v>
      </c>
      <c r="X1575" s="6"/>
      <c r="Y1575" s="6"/>
    </row>
    <row r="1576" spans="1:25" ht="15" customHeight="1" x14ac:dyDescent="0.2">
      <c r="A1576" s="88" t="s">
        <v>1932</v>
      </c>
      <c r="B1576" s="90"/>
      <c r="C1576" s="88" t="s">
        <v>2090</v>
      </c>
      <c r="D1576" s="90"/>
      <c r="E1576" s="106"/>
      <c r="F1576" s="107"/>
      <c r="G1576" s="107"/>
      <c r="H1576" s="107"/>
      <c r="I1576" s="108"/>
      <c r="J1576" s="88" t="s">
        <v>1499</v>
      </c>
      <c r="K1576" s="89"/>
      <c r="L1576" s="89"/>
      <c r="M1576" s="90"/>
      <c r="N1576" s="106"/>
      <c r="O1576" s="107"/>
      <c r="P1576" s="108"/>
      <c r="Q1576" s="133">
        <v>3900</v>
      </c>
      <c r="R1576" s="134"/>
      <c r="S1576" s="5" t="s">
        <v>945</v>
      </c>
      <c r="T1576" s="6"/>
      <c r="U1576" s="6"/>
      <c r="V1576" s="5" t="s">
        <v>106</v>
      </c>
      <c r="W1576" s="12">
        <v>11138124</v>
      </c>
      <c r="X1576" s="6"/>
      <c r="Y1576" s="6"/>
    </row>
    <row r="1577" spans="1:25" ht="15" customHeight="1" x14ac:dyDescent="0.2">
      <c r="A1577" s="88" t="s">
        <v>1932</v>
      </c>
      <c r="B1577" s="90"/>
      <c r="C1577" s="88" t="s">
        <v>2091</v>
      </c>
      <c r="D1577" s="90"/>
      <c r="E1577" s="106"/>
      <c r="F1577" s="107"/>
      <c r="G1577" s="107"/>
      <c r="H1577" s="107"/>
      <c r="I1577" s="108"/>
      <c r="J1577" s="88" t="s">
        <v>1246</v>
      </c>
      <c r="K1577" s="89"/>
      <c r="L1577" s="89"/>
      <c r="M1577" s="90"/>
      <c r="N1577" s="106"/>
      <c r="O1577" s="107"/>
      <c r="P1577" s="108"/>
      <c r="Q1577" s="133">
        <v>3900</v>
      </c>
      <c r="R1577" s="134"/>
      <c r="S1577" s="5" t="s">
        <v>945</v>
      </c>
      <c r="T1577" s="6"/>
      <c r="U1577" s="6"/>
      <c r="V1577" s="5" t="s">
        <v>106</v>
      </c>
      <c r="W1577" s="12">
        <v>9770479</v>
      </c>
      <c r="X1577" s="6"/>
      <c r="Y1577" s="6"/>
    </row>
    <row r="1578" spans="1:25" ht="15" customHeight="1" x14ac:dyDescent="0.2">
      <c r="A1578" s="88" t="s">
        <v>1932</v>
      </c>
      <c r="B1578" s="90"/>
      <c r="C1578" s="88" t="s">
        <v>2091</v>
      </c>
      <c r="D1578" s="90"/>
      <c r="E1578" s="106"/>
      <c r="F1578" s="107"/>
      <c r="G1578" s="107"/>
      <c r="H1578" s="107"/>
      <c r="I1578" s="108"/>
      <c r="J1578" s="88" t="s">
        <v>1499</v>
      </c>
      <c r="K1578" s="89"/>
      <c r="L1578" s="89"/>
      <c r="M1578" s="90"/>
      <c r="N1578" s="106"/>
      <c r="O1578" s="107"/>
      <c r="P1578" s="108"/>
      <c r="Q1578" s="133">
        <v>3900</v>
      </c>
      <c r="R1578" s="134"/>
      <c r="S1578" s="5" t="s">
        <v>945</v>
      </c>
      <c r="T1578" s="6"/>
      <c r="U1578" s="6"/>
      <c r="V1578" s="5" t="s">
        <v>106</v>
      </c>
      <c r="W1578" s="12">
        <v>10743608</v>
      </c>
      <c r="X1578" s="6"/>
      <c r="Y1578" s="6"/>
    </row>
    <row r="1579" spans="1:25" ht="15" customHeight="1" x14ac:dyDescent="0.2">
      <c r="A1579" s="88" t="s">
        <v>1932</v>
      </c>
      <c r="B1579" s="90"/>
      <c r="C1579" s="88" t="s">
        <v>2092</v>
      </c>
      <c r="D1579" s="90"/>
      <c r="E1579" s="106"/>
      <c r="F1579" s="107"/>
      <c r="G1579" s="107"/>
      <c r="H1579" s="107"/>
      <c r="I1579" s="108"/>
      <c r="J1579" s="88" t="s">
        <v>1246</v>
      </c>
      <c r="K1579" s="89"/>
      <c r="L1579" s="89"/>
      <c r="M1579" s="90"/>
      <c r="N1579" s="106"/>
      <c r="O1579" s="107"/>
      <c r="P1579" s="108"/>
      <c r="Q1579" s="133">
        <v>3900</v>
      </c>
      <c r="R1579" s="134"/>
      <c r="S1579" s="5" t="s">
        <v>945</v>
      </c>
      <c r="T1579" s="6"/>
      <c r="U1579" s="6"/>
      <c r="V1579" s="5" t="s">
        <v>106</v>
      </c>
      <c r="W1579" s="12">
        <v>11005351</v>
      </c>
      <c r="X1579" s="6"/>
      <c r="Y1579" s="6"/>
    </row>
    <row r="1580" spans="1:25" ht="15" customHeight="1" x14ac:dyDescent="0.2">
      <c r="A1580" s="88" t="s">
        <v>1932</v>
      </c>
      <c r="B1580" s="90"/>
      <c r="C1580" s="88" t="s">
        <v>2092</v>
      </c>
      <c r="D1580" s="90"/>
      <c r="E1580" s="106"/>
      <c r="F1580" s="107"/>
      <c r="G1580" s="107"/>
      <c r="H1580" s="107"/>
      <c r="I1580" s="108"/>
      <c r="J1580" s="88" t="s">
        <v>1246</v>
      </c>
      <c r="K1580" s="89"/>
      <c r="L1580" s="89"/>
      <c r="M1580" s="90"/>
      <c r="N1580" s="106"/>
      <c r="O1580" s="107"/>
      <c r="P1580" s="108"/>
      <c r="Q1580" s="133">
        <v>3900</v>
      </c>
      <c r="R1580" s="134"/>
      <c r="S1580" s="5" t="s">
        <v>945</v>
      </c>
      <c r="T1580" s="6"/>
      <c r="U1580" s="6"/>
      <c r="V1580" s="5" t="s">
        <v>106</v>
      </c>
      <c r="W1580" s="12">
        <v>11978480</v>
      </c>
      <c r="X1580" s="6"/>
      <c r="Y1580" s="6"/>
    </row>
    <row r="1581" spans="1:25" ht="15" customHeight="1" x14ac:dyDescent="0.2">
      <c r="A1581" s="88" t="s">
        <v>1932</v>
      </c>
      <c r="B1581" s="90"/>
      <c r="C1581" s="88" t="s">
        <v>2093</v>
      </c>
      <c r="D1581" s="90"/>
      <c r="E1581" s="106"/>
      <c r="F1581" s="107"/>
      <c r="G1581" s="107"/>
      <c r="H1581" s="107"/>
      <c r="I1581" s="108"/>
      <c r="J1581" s="88" t="s">
        <v>1246</v>
      </c>
      <c r="K1581" s="89"/>
      <c r="L1581" s="89"/>
      <c r="M1581" s="90"/>
      <c r="N1581" s="106"/>
      <c r="O1581" s="107"/>
      <c r="P1581" s="108"/>
      <c r="Q1581" s="133">
        <v>3900</v>
      </c>
      <c r="R1581" s="134"/>
      <c r="S1581" s="5" t="s">
        <v>945</v>
      </c>
      <c r="T1581" s="6"/>
      <c r="U1581" s="6"/>
      <c r="V1581" s="5" t="s">
        <v>106</v>
      </c>
      <c r="W1581" s="12">
        <v>10438143</v>
      </c>
      <c r="X1581" s="6"/>
      <c r="Y1581" s="6"/>
    </row>
    <row r="1582" spans="1:25" ht="15" customHeight="1" x14ac:dyDescent="0.2">
      <c r="A1582" s="88" t="s">
        <v>1932</v>
      </c>
      <c r="B1582" s="90"/>
      <c r="C1582" s="88" t="s">
        <v>2093</v>
      </c>
      <c r="D1582" s="90"/>
      <c r="E1582" s="106"/>
      <c r="F1582" s="107"/>
      <c r="G1582" s="107"/>
      <c r="H1582" s="107"/>
      <c r="I1582" s="108"/>
      <c r="J1582" s="88" t="s">
        <v>1499</v>
      </c>
      <c r="K1582" s="89"/>
      <c r="L1582" s="89"/>
      <c r="M1582" s="90"/>
      <c r="N1582" s="106"/>
      <c r="O1582" s="107"/>
      <c r="P1582" s="108"/>
      <c r="Q1582" s="133">
        <v>3900</v>
      </c>
      <c r="R1582" s="134"/>
      <c r="S1582" s="5" t="s">
        <v>945</v>
      </c>
      <c r="T1582" s="6"/>
      <c r="U1582" s="6"/>
      <c r="V1582" s="5" t="s">
        <v>106</v>
      </c>
      <c r="W1582" s="12">
        <v>11409810</v>
      </c>
      <c r="X1582" s="6"/>
      <c r="Y1582" s="6"/>
    </row>
    <row r="1583" spans="1:25" ht="15" customHeight="1" x14ac:dyDescent="0.2">
      <c r="A1583" s="88" t="s">
        <v>1932</v>
      </c>
      <c r="B1583" s="90"/>
      <c r="C1583" s="88" t="s">
        <v>2094</v>
      </c>
      <c r="D1583" s="90"/>
      <c r="E1583" s="106"/>
      <c r="F1583" s="107"/>
      <c r="G1583" s="107"/>
      <c r="H1583" s="107"/>
      <c r="I1583" s="108"/>
      <c r="J1583" s="88" t="s">
        <v>1246</v>
      </c>
      <c r="K1583" s="89"/>
      <c r="L1583" s="89"/>
      <c r="M1583" s="90"/>
      <c r="N1583" s="106"/>
      <c r="O1583" s="107"/>
      <c r="P1583" s="108"/>
      <c r="Q1583" s="133">
        <v>3900</v>
      </c>
      <c r="R1583" s="134"/>
      <c r="S1583" s="5" t="s">
        <v>945</v>
      </c>
      <c r="T1583" s="6"/>
      <c r="U1583" s="6"/>
      <c r="V1583" s="5" t="s">
        <v>106</v>
      </c>
      <c r="W1583" s="12">
        <v>11671699</v>
      </c>
      <c r="X1583" s="6"/>
      <c r="Y1583" s="6"/>
    </row>
    <row r="1584" spans="1:25" ht="15" customHeight="1" x14ac:dyDescent="0.2">
      <c r="A1584" s="88" t="s">
        <v>1932</v>
      </c>
      <c r="B1584" s="90"/>
      <c r="C1584" s="88" t="s">
        <v>2094</v>
      </c>
      <c r="D1584" s="90"/>
      <c r="E1584" s="106"/>
      <c r="F1584" s="107"/>
      <c r="G1584" s="107"/>
      <c r="H1584" s="107"/>
      <c r="I1584" s="108"/>
      <c r="J1584" s="88" t="s">
        <v>1499</v>
      </c>
      <c r="K1584" s="89"/>
      <c r="L1584" s="89"/>
      <c r="M1584" s="90"/>
      <c r="N1584" s="106"/>
      <c r="O1584" s="107"/>
      <c r="P1584" s="108"/>
      <c r="Q1584" s="133">
        <v>3900</v>
      </c>
      <c r="R1584" s="134"/>
      <c r="S1584" s="5" t="s">
        <v>945</v>
      </c>
      <c r="T1584" s="6"/>
      <c r="U1584" s="6"/>
      <c r="V1584" s="5" t="s">
        <v>106</v>
      </c>
      <c r="W1584" s="12">
        <v>12644828</v>
      </c>
      <c r="X1584" s="6"/>
      <c r="Y1584" s="6"/>
    </row>
    <row r="1585" spans="1:25" ht="15" customHeight="1" x14ac:dyDescent="0.2">
      <c r="A1585" s="88" t="s">
        <v>1932</v>
      </c>
      <c r="B1585" s="90"/>
      <c r="C1585" s="88" t="s">
        <v>2095</v>
      </c>
      <c r="D1585" s="90"/>
      <c r="E1585" s="106"/>
      <c r="F1585" s="107"/>
      <c r="G1585" s="107"/>
      <c r="H1585" s="107"/>
      <c r="I1585" s="108"/>
      <c r="J1585" s="88" t="s">
        <v>1246</v>
      </c>
      <c r="K1585" s="89"/>
      <c r="L1585" s="89"/>
      <c r="M1585" s="90"/>
      <c r="N1585" s="106"/>
      <c r="O1585" s="107"/>
      <c r="P1585" s="108"/>
      <c r="Q1585" s="133">
        <v>3900</v>
      </c>
      <c r="R1585" s="134"/>
      <c r="S1585" s="5" t="s">
        <v>945</v>
      </c>
      <c r="T1585" s="6"/>
      <c r="U1585" s="6"/>
      <c r="V1585" s="5" t="s">
        <v>106</v>
      </c>
      <c r="W1585" s="12">
        <v>11042054</v>
      </c>
      <c r="X1585" s="6"/>
      <c r="Y1585" s="6"/>
    </row>
    <row r="1586" spans="1:25" ht="15" customHeight="1" x14ac:dyDescent="0.2">
      <c r="A1586" s="88" t="s">
        <v>1932</v>
      </c>
      <c r="B1586" s="90"/>
      <c r="C1586" s="88" t="s">
        <v>2095</v>
      </c>
      <c r="D1586" s="90"/>
      <c r="E1586" s="106"/>
      <c r="F1586" s="107"/>
      <c r="G1586" s="107"/>
      <c r="H1586" s="107"/>
      <c r="I1586" s="108"/>
      <c r="J1586" s="88" t="s">
        <v>1499</v>
      </c>
      <c r="K1586" s="89"/>
      <c r="L1586" s="89"/>
      <c r="M1586" s="90"/>
      <c r="N1586" s="106"/>
      <c r="O1586" s="107"/>
      <c r="P1586" s="108"/>
      <c r="Q1586" s="133">
        <v>3900</v>
      </c>
      <c r="R1586" s="134"/>
      <c r="S1586" s="5" t="s">
        <v>945</v>
      </c>
      <c r="T1586" s="6"/>
      <c r="U1586" s="6"/>
      <c r="V1586" s="5" t="s">
        <v>106</v>
      </c>
      <c r="W1586" s="12">
        <v>12015183</v>
      </c>
      <c r="X1586" s="6"/>
      <c r="Y1586" s="6"/>
    </row>
    <row r="1587" spans="1:25" ht="15" customHeight="1" x14ac:dyDescent="0.2">
      <c r="A1587" s="88" t="s">
        <v>1932</v>
      </c>
      <c r="B1587" s="90"/>
      <c r="C1587" s="88" t="s">
        <v>2096</v>
      </c>
      <c r="D1587" s="90"/>
      <c r="E1587" s="106"/>
      <c r="F1587" s="107"/>
      <c r="G1587" s="107"/>
      <c r="H1587" s="107"/>
      <c r="I1587" s="108"/>
      <c r="J1587" s="88" t="s">
        <v>1246</v>
      </c>
      <c r="K1587" s="89"/>
      <c r="L1587" s="89"/>
      <c r="M1587" s="90"/>
      <c r="N1587" s="106"/>
      <c r="O1587" s="107"/>
      <c r="P1587" s="108"/>
      <c r="Q1587" s="133">
        <v>3900</v>
      </c>
      <c r="R1587" s="134"/>
      <c r="S1587" s="5" t="s">
        <v>945</v>
      </c>
      <c r="T1587" s="6"/>
      <c r="U1587" s="6"/>
      <c r="V1587" s="5" t="s">
        <v>106</v>
      </c>
      <c r="W1587" s="12">
        <v>12162578</v>
      </c>
      <c r="X1587" s="6"/>
      <c r="Y1587" s="6"/>
    </row>
    <row r="1588" spans="1:25" ht="15" customHeight="1" x14ac:dyDescent="0.2">
      <c r="A1588" s="88" t="s">
        <v>1932</v>
      </c>
      <c r="B1588" s="90"/>
      <c r="C1588" s="88" t="s">
        <v>2096</v>
      </c>
      <c r="D1588" s="90"/>
      <c r="E1588" s="106"/>
      <c r="F1588" s="107"/>
      <c r="G1588" s="107"/>
      <c r="H1588" s="107"/>
      <c r="I1588" s="108"/>
      <c r="J1588" s="88" t="s">
        <v>1499</v>
      </c>
      <c r="K1588" s="89"/>
      <c r="L1588" s="89"/>
      <c r="M1588" s="90"/>
      <c r="N1588" s="106"/>
      <c r="O1588" s="107"/>
      <c r="P1588" s="108"/>
      <c r="Q1588" s="133">
        <v>3900</v>
      </c>
      <c r="R1588" s="134"/>
      <c r="S1588" s="5" t="s">
        <v>945</v>
      </c>
      <c r="T1588" s="6"/>
      <c r="U1588" s="6"/>
      <c r="V1588" s="5" t="s">
        <v>106</v>
      </c>
      <c r="W1588" s="12">
        <v>13135707</v>
      </c>
      <c r="X1588" s="6"/>
      <c r="Y1588" s="6"/>
    </row>
    <row r="1589" spans="1:25" ht="15" customHeight="1" x14ac:dyDescent="0.2">
      <c r="A1589" s="88" t="s">
        <v>1932</v>
      </c>
      <c r="B1589" s="90"/>
      <c r="C1589" s="88" t="s">
        <v>2097</v>
      </c>
      <c r="D1589" s="90"/>
      <c r="E1589" s="106"/>
      <c r="F1589" s="107"/>
      <c r="G1589" s="107"/>
      <c r="H1589" s="107"/>
      <c r="I1589" s="108"/>
      <c r="J1589" s="88" t="s">
        <v>1246</v>
      </c>
      <c r="K1589" s="89"/>
      <c r="L1589" s="89"/>
      <c r="M1589" s="90"/>
      <c r="N1589" s="106"/>
      <c r="O1589" s="107"/>
      <c r="P1589" s="108"/>
      <c r="Q1589" s="133">
        <v>3900</v>
      </c>
      <c r="R1589" s="134"/>
      <c r="S1589" s="5" t="s">
        <v>945</v>
      </c>
      <c r="T1589" s="6"/>
      <c r="U1589" s="6"/>
      <c r="V1589" s="5" t="s">
        <v>106</v>
      </c>
      <c r="W1589" s="12">
        <v>11629879</v>
      </c>
      <c r="X1589" s="6"/>
      <c r="Y1589" s="6"/>
    </row>
    <row r="1590" spans="1:25" ht="15" customHeight="1" x14ac:dyDescent="0.2">
      <c r="A1590" s="88" t="s">
        <v>1932</v>
      </c>
      <c r="B1590" s="90"/>
      <c r="C1590" s="88" t="s">
        <v>2097</v>
      </c>
      <c r="D1590" s="90"/>
      <c r="E1590" s="106"/>
      <c r="F1590" s="107"/>
      <c r="G1590" s="107"/>
      <c r="H1590" s="107"/>
      <c r="I1590" s="108"/>
      <c r="J1590" s="88" t="s">
        <v>1499</v>
      </c>
      <c r="K1590" s="89"/>
      <c r="L1590" s="89"/>
      <c r="M1590" s="90"/>
      <c r="N1590" s="106"/>
      <c r="O1590" s="107"/>
      <c r="P1590" s="108"/>
      <c r="Q1590" s="133">
        <v>3900</v>
      </c>
      <c r="R1590" s="134"/>
      <c r="S1590" s="5" t="s">
        <v>945</v>
      </c>
      <c r="T1590" s="6"/>
      <c r="U1590" s="6"/>
      <c r="V1590" s="5" t="s">
        <v>106</v>
      </c>
      <c r="W1590" s="12">
        <v>12603885</v>
      </c>
      <c r="X1590" s="6"/>
      <c r="Y1590" s="6"/>
    </row>
    <row r="1591" spans="1:25" ht="15" customHeight="1" x14ac:dyDescent="0.2">
      <c r="A1591" s="88" t="s">
        <v>1932</v>
      </c>
      <c r="B1591" s="90"/>
      <c r="C1591" s="88" t="s">
        <v>2098</v>
      </c>
      <c r="D1591" s="90"/>
      <c r="E1591" s="106"/>
      <c r="F1591" s="107"/>
      <c r="G1591" s="107"/>
      <c r="H1591" s="107"/>
      <c r="I1591" s="108"/>
      <c r="J1591" s="88" t="s">
        <v>1246</v>
      </c>
      <c r="K1591" s="89"/>
      <c r="L1591" s="89"/>
      <c r="M1591" s="90"/>
      <c r="N1591" s="106"/>
      <c r="O1591" s="107"/>
      <c r="P1591" s="108"/>
      <c r="Q1591" s="133">
        <v>3900</v>
      </c>
      <c r="R1591" s="134"/>
      <c r="S1591" s="5" t="s">
        <v>945</v>
      </c>
      <c r="T1591" s="6"/>
      <c r="U1591" s="6"/>
      <c r="V1591" s="5" t="s">
        <v>106</v>
      </c>
      <c r="W1591" s="12">
        <v>12473306</v>
      </c>
      <c r="X1591" s="6"/>
      <c r="Y1591" s="6"/>
    </row>
    <row r="1592" spans="1:25" ht="15" customHeight="1" x14ac:dyDescent="0.2">
      <c r="A1592" s="88" t="s">
        <v>1932</v>
      </c>
      <c r="B1592" s="90"/>
      <c r="C1592" s="88" t="s">
        <v>2098</v>
      </c>
      <c r="D1592" s="90"/>
      <c r="E1592" s="106"/>
      <c r="F1592" s="107"/>
      <c r="G1592" s="107"/>
      <c r="H1592" s="107"/>
      <c r="I1592" s="108"/>
      <c r="J1592" s="88" t="s">
        <v>1499</v>
      </c>
      <c r="K1592" s="89"/>
      <c r="L1592" s="89"/>
      <c r="M1592" s="90"/>
      <c r="N1592" s="106"/>
      <c r="O1592" s="107"/>
      <c r="P1592" s="108"/>
      <c r="Q1592" s="133">
        <v>3900</v>
      </c>
      <c r="R1592" s="134"/>
      <c r="S1592" s="5" t="s">
        <v>945</v>
      </c>
      <c r="T1592" s="6"/>
      <c r="U1592" s="6"/>
      <c r="V1592" s="5" t="s">
        <v>106</v>
      </c>
      <c r="W1592" s="12">
        <v>13446435</v>
      </c>
      <c r="X1592" s="6"/>
      <c r="Y1592" s="6"/>
    </row>
    <row r="1593" spans="1:25" ht="15" customHeight="1" x14ac:dyDescent="0.2">
      <c r="A1593" s="88" t="s">
        <v>1932</v>
      </c>
      <c r="B1593" s="90"/>
      <c r="C1593" s="88" t="s">
        <v>2099</v>
      </c>
      <c r="D1593" s="90"/>
      <c r="E1593" s="106"/>
      <c r="F1593" s="107"/>
      <c r="G1593" s="107"/>
      <c r="H1593" s="107"/>
      <c r="I1593" s="108"/>
      <c r="J1593" s="88" t="s">
        <v>1246</v>
      </c>
      <c r="K1593" s="89"/>
      <c r="L1593" s="89"/>
      <c r="M1593" s="90"/>
      <c r="N1593" s="106"/>
      <c r="O1593" s="107"/>
      <c r="P1593" s="108"/>
      <c r="Q1593" s="133">
        <v>3900</v>
      </c>
      <c r="R1593" s="134"/>
      <c r="S1593" s="5" t="s">
        <v>2089</v>
      </c>
      <c r="T1593" s="6"/>
      <c r="U1593" s="6"/>
      <c r="V1593" s="5" t="s">
        <v>106</v>
      </c>
      <c r="W1593" s="12">
        <v>7851419</v>
      </c>
      <c r="X1593" s="6"/>
      <c r="Y1593" s="6"/>
    </row>
    <row r="1594" spans="1:25" ht="15" customHeight="1" x14ac:dyDescent="0.2">
      <c r="A1594" s="88" t="s">
        <v>1932</v>
      </c>
      <c r="B1594" s="90"/>
      <c r="C1594" s="88" t="s">
        <v>2099</v>
      </c>
      <c r="D1594" s="90"/>
      <c r="E1594" s="106"/>
      <c r="F1594" s="107"/>
      <c r="G1594" s="107"/>
      <c r="H1594" s="107"/>
      <c r="I1594" s="108"/>
      <c r="J1594" s="88" t="s">
        <v>1499</v>
      </c>
      <c r="K1594" s="89"/>
      <c r="L1594" s="89"/>
      <c r="M1594" s="90"/>
      <c r="N1594" s="106"/>
      <c r="O1594" s="107"/>
      <c r="P1594" s="108"/>
      <c r="Q1594" s="133">
        <v>3900</v>
      </c>
      <c r="R1594" s="134"/>
      <c r="S1594" s="5" t="s">
        <v>2089</v>
      </c>
      <c r="T1594" s="6"/>
      <c r="U1594" s="6"/>
      <c r="V1594" s="5" t="s">
        <v>106</v>
      </c>
      <c r="W1594" s="12">
        <v>8824548</v>
      </c>
      <c r="X1594" s="6"/>
      <c r="Y1594" s="6"/>
    </row>
    <row r="1595" spans="1:25" ht="15" customHeight="1" x14ac:dyDescent="0.2">
      <c r="A1595" s="88" t="s">
        <v>1932</v>
      </c>
      <c r="B1595" s="90"/>
      <c r="C1595" s="88" t="s">
        <v>2100</v>
      </c>
      <c r="D1595" s="90"/>
      <c r="E1595" s="106"/>
      <c r="F1595" s="107"/>
      <c r="G1595" s="107"/>
      <c r="H1595" s="107"/>
      <c r="I1595" s="108"/>
      <c r="J1595" s="88" t="s">
        <v>1246</v>
      </c>
      <c r="K1595" s="89"/>
      <c r="L1595" s="89"/>
      <c r="M1595" s="90"/>
      <c r="N1595" s="106"/>
      <c r="O1595" s="107"/>
      <c r="P1595" s="108"/>
      <c r="Q1595" s="133">
        <v>3900</v>
      </c>
      <c r="R1595" s="134"/>
      <c r="S1595" s="5" t="s">
        <v>2089</v>
      </c>
      <c r="T1595" s="6"/>
      <c r="U1595" s="6"/>
      <c r="V1595" s="5" t="s">
        <v>106</v>
      </c>
      <c r="W1595" s="12">
        <v>7808721</v>
      </c>
      <c r="X1595" s="6"/>
      <c r="Y1595" s="6"/>
    </row>
    <row r="1596" spans="1:25" ht="15" customHeight="1" x14ac:dyDescent="0.2">
      <c r="A1596" s="88" t="s">
        <v>1932</v>
      </c>
      <c r="B1596" s="90"/>
      <c r="C1596" s="88" t="s">
        <v>2100</v>
      </c>
      <c r="D1596" s="90"/>
      <c r="E1596" s="106"/>
      <c r="F1596" s="107"/>
      <c r="G1596" s="107"/>
      <c r="H1596" s="107"/>
      <c r="I1596" s="108"/>
      <c r="J1596" s="88" t="s">
        <v>1499</v>
      </c>
      <c r="K1596" s="89"/>
      <c r="L1596" s="89"/>
      <c r="M1596" s="90"/>
      <c r="N1596" s="106"/>
      <c r="O1596" s="107"/>
      <c r="P1596" s="108"/>
      <c r="Q1596" s="133">
        <v>3900</v>
      </c>
      <c r="R1596" s="134"/>
      <c r="S1596" s="5" t="s">
        <v>2089</v>
      </c>
      <c r="T1596" s="6"/>
      <c r="U1596" s="6"/>
      <c r="V1596" s="5" t="s">
        <v>106</v>
      </c>
      <c r="W1596" s="12">
        <v>8781850</v>
      </c>
      <c r="X1596" s="6"/>
      <c r="Y1596" s="6"/>
    </row>
    <row r="1597" spans="1:25" ht="15" customHeight="1" x14ac:dyDescent="0.2">
      <c r="A1597" s="88" t="s">
        <v>1932</v>
      </c>
      <c r="B1597" s="90"/>
      <c r="C1597" s="88" t="s">
        <v>2101</v>
      </c>
      <c r="D1597" s="90"/>
      <c r="E1597" s="106"/>
      <c r="F1597" s="107"/>
      <c r="G1597" s="107"/>
      <c r="H1597" s="107"/>
      <c r="I1597" s="108"/>
      <c r="J1597" s="88" t="s">
        <v>1246</v>
      </c>
      <c r="K1597" s="89"/>
      <c r="L1597" s="89"/>
      <c r="M1597" s="90"/>
      <c r="N1597" s="106"/>
      <c r="O1597" s="107"/>
      <c r="P1597" s="108"/>
      <c r="Q1597" s="133">
        <v>3900</v>
      </c>
      <c r="R1597" s="134"/>
      <c r="S1597" s="5" t="s">
        <v>2089</v>
      </c>
      <c r="T1597" s="6"/>
      <c r="U1597" s="6"/>
      <c r="V1597" s="5" t="s">
        <v>106</v>
      </c>
      <c r="W1597" s="12">
        <v>7675217</v>
      </c>
      <c r="X1597" s="6"/>
      <c r="Y1597" s="6"/>
    </row>
    <row r="1598" spans="1:25" ht="15" customHeight="1" x14ac:dyDescent="0.2">
      <c r="A1598" s="88" t="s">
        <v>1932</v>
      </c>
      <c r="B1598" s="90"/>
      <c r="C1598" s="88" t="s">
        <v>2101</v>
      </c>
      <c r="D1598" s="90"/>
      <c r="E1598" s="106"/>
      <c r="F1598" s="107"/>
      <c r="G1598" s="107"/>
      <c r="H1598" s="107"/>
      <c r="I1598" s="108"/>
      <c r="J1598" s="88" t="s">
        <v>1499</v>
      </c>
      <c r="K1598" s="89"/>
      <c r="L1598" s="89"/>
      <c r="M1598" s="90"/>
      <c r="N1598" s="106"/>
      <c r="O1598" s="107"/>
      <c r="P1598" s="108"/>
      <c r="Q1598" s="133">
        <v>3900</v>
      </c>
      <c r="R1598" s="134"/>
      <c r="S1598" s="5" t="s">
        <v>2089</v>
      </c>
      <c r="T1598" s="6"/>
      <c r="U1598" s="6"/>
      <c r="V1598" s="5" t="s">
        <v>106</v>
      </c>
      <c r="W1598" s="12">
        <v>8648346</v>
      </c>
      <c r="X1598" s="6"/>
      <c r="Y1598" s="6"/>
    </row>
    <row r="1599" spans="1:25" ht="15" customHeight="1" x14ac:dyDescent="0.2">
      <c r="A1599" s="88" t="s">
        <v>1932</v>
      </c>
      <c r="B1599" s="90"/>
      <c r="C1599" s="88" t="s">
        <v>2102</v>
      </c>
      <c r="D1599" s="90"/>
      <c r="E1599" s="106"/>
      <c r="F1599" s="107"/>
      <c r="G1599" s="107"/>
      <c r="H1599" s="107"/>
      <c r="I1599" s="108"/>
      <c r="J1599" s="88" t="s">
        <v>1246</v>
      </c>
      <c r="K1599" s="89"/>
      <c r="L1599" s="89"/>
      <c r="M1599" s="90"/>
      <c r="N1599" s="106"/>
      <c r="O1599" s="107"/>
      <c r="P1599" s="108"/>
      <c r="Q1599" s="133">
        <v>3900</v>
      </c>
      <c r="R1599" s="134"/>
      <c r="S1599" s="5" t="s">
        <v>2089</v>
      </c>
      <c r="T1599" s="6"/>
      <c r="U1599" s="6"/>
      <c r="V1599" s="5" t="s">
        <v>106</v>
      </c>
      <c r="W1599" s="12">
        <v>9269365</v>
      </c>
      <c r="X1599" s="6"/>
      <c r="Y1599" s="6"/>
    </row>
    <row r="1600" spans="1:25" ht="15" customHeight="1" x14ac:dyDescent="0.2">
      <c r="A1600" s="88" t="s">
        <v>1932</v>
      </c>
      <c r="B1600" s="90"/>
      <c r="C1600" s="88" t="s">
        <v>2102</v>
      </c>
      <c r="D1600" s="90"/>
      <c r="E1600" s="106"/>
      <c r="F1600" s="107"/>
      <c r="G1600" s="107"/>
      <c r="H1600" s="107"/>
      <c r="I1600" s="108"/>
      <c r="J1600" s="88" t="s">
        <v>1499</v>
      </c>
      <c r="K1600" s="89"/>
      <c r="L1600" s="89"/>
      <c r="M1600" s="90"/>
      <c r="N1600" s="106"/>
      <c r="O1600" s="107"/>
      <c r="P1600" s="108"/>
      <c r="Q1600" s="133">
        <v>3900</v>
      </c>
      <c r="R1600" s="134"/>
      <c r="S1600" s="5" t="s">
        <v>2089</v>
      </c>
      <c r="T1600" s="6"/>
      <c r="U1600" s="6"/>
      <c r="V1600" s="5" t="s">
        <v>106</v>
      </c>
      <c r="W1600" s="12">
        <v>10242494</v>
      </c>
      <c r="X1600" s="6"/>
      <c r="Y1600" s="6"/>
    </row>
    <row r="1601" spans="1:25" ht="15" customHeight="1" x14ac:dyDescent="0.2">
      <c r="A1601" s="88" t="s">
        <v>1932</v>
      </c>
      <c r="B1601" s="90"/>
      <c r="C1601" s="88" t="s">
        <v>2103</v>
      </c>
      <c r="D1601" s="90"/>
      <c r="E1601" s="106"/>
      <c r="F1601" s="107"/>
      <c r="G1601" s="107"/>
      <c r="H1601" s="107"/>
      <c r="I1601" s="108"/>
      <c r="J1601" s="88" t="s">
        <v>1246</v>
      </c>
      <c r="K1601" s="89"/>
      <c r="L1601" s="89"/>
      <c r="M1601" s="90"/>
      <c r="N1601" s="106"/>
      <c r="O1601" s="107"/>
      <c r="P1601" s="108"/>
      <c r="Q1601" s="133">
        <v>3900</v>
      </c>
      <c r="R1601" s="134"/>
      <c r="S1601" s="5" t="s">
        <v>2089</v>
      </c>
      <c r="T1601" s="6"/>
      <c r="U1601" s="6"/>
      <c r="V1601" s="5" t="s">
        <v>106</v>
      </c>
      <c r="W1601" s="12">
        <v>9024438</v>
      </c>
      <c r="X1601" s="6"/>
      <c r="Y1601" s="6"/>
    </row>
    <row r="1602" spans="1:25" ht="15" customHeight="1" x14ac:dyDescent="0.2">
      <c r="A1602" s="88" t="s">
        <v>1932</v>
      </c>
      <c r="B1602" s="90"/>
      <c r="C1602" s="88" t="s">
        <v>2103</v>
      </c>
      <c r="D1602" s="90"/>
      <c r="E1602" s="106"/>
      <c r="F1602" s="107"/>
      <c r="G1602" s="107"/>
      <c r="H1602" s="107"/>
      <c r="I1602" s="108"/>
      <c r="J1602" s="88" t="s">
        <v>1499</v>
      </c>
      <c r="K1602" s="89"/>
      <c r="L1602" s="89"/>
      <c r="M1602" s="90"/>
      <c r="N1602" s="106"/>
      <c r="O1602" s="107"/>
      <c r="P1602" s="108"/>
      <c r="Q1602" s="133">
        <v>3900</v>
      </c>
      <c r="R1602" s="134"/>
      <c r="S1602" s="5" t="s">
        <v>2089</v>
      </c>
      <c r="T1602" s="6"/>
      <c r="U1602" s="6"/>
      <c r="V1602" s="5" t="s">
        <v>106</v>
      </c>
      <c r="W1602" s="12">
        <v>9997567</v>
      </c>
      <c r="X1602" s="6"/>
      <c r="Y1602" s="6"/>
    </row>
    <row r="1603" spans="1:25" ht="15" customHeight="1" x14ac:dyDescent="0.2">
      <c r="A1603" s="88" t="s">
        <v>1932</v>
      </c>
      <c r="B1603" s="90"/>
      <c r="C1603" s="88" t="s">
        <v>2104</v>
      </c>
      <c r="D1603" s="90"/>
      <c r="E1603" s="106"/>
      <c r="F1603" s="107"/>
      <c r="G1603" s="107"/>
      <c r="H1603" s="107"/>
      <c r="I1603" s="108"/>
      <c r="J1603" s="88" t="s">
        <v>1246</v>
      </c>
      <c r="K1603" s="89"/>
      <c r="L1603" s="89"/>
      <c r="M1603" s="90"/>
      <c r="N1603" s="106"/>
      <c r="O1603" s="107"/>
      <c r="P1603" s="108"/>
      <c r="Q1603" s="133">
        <v>3900</v>
      </c>
      <c r="R1603" s="134"/>
      <c r="S1603" s="5" t="s">
        <v>2089</v>
      </c>
      <c r="T1603" s="6"/>
      <c r="U1603" s="6"/>
      <c r="V1603" s="5" t="s">
        <v>106</v>
      </c>
      <c r="W1603" s="12">
        <v>8007880</v>
      </c>
      <c r="X1603" s="6"/>
      <c r="Y1603" s="6"/>
    </row>
    <row r="1604" spans="1:25" ht="15" customHeight="1" x14ac:dyDescent="0.2">
      <c r="A1604" s="88" t="s">
        <v>1932</v>
      </c>
      <c r="B1604" s="90"/>
      <c r="C1604" s="88" t="s">
        <v>2104</v>
      </c>
      <c r="D1604" s="90"/>
      <c r="E1604" s="106"/>
      <c r="F1604" s="107"/>
      <c r="G1604" s="107"/>
      <c r="H1604" s="107"/>
      <c r="I1604" s="108"/>
      <c r="J1604" s="88" t="s">
        <v>1499</v>
      </c>
      <c r="K1604" s="89"/>
      <c r="L1604" s="89"/>
      <c r="M1604" s="90"/>
      <c r="N1604" s="106"/>
      <c r="O1604" s="107"/>
      <c r="P1604" s="108"/>
      <c r="Q1604" s="133">
        <v>3900</v>
      </c>
      <c r="R1604" s="134"/>
      <c r="S1604" s="5" t="s">
        <v>2089</v>
      </c>
      <c r="T1604" s="6"/>
      <c r="U1604" s="6"/>
      <c r="V1604" s="5" t="s">
        <v>106</v>
      </c>
      <c r="W1604" s="12">
        <v>8981009</v>
      </c>
      <c r="X1604" s="6"/>
      <c r="Y1604" s="6"/>
    </row>
    <row r="1605" spans="1:25" ht="15" customHeight="1" x14ac:dyDescent="0.2">
      <c r="A1605" s="88" t="s">
        <v>1932</v>
      </c>
      <c r="B1605" s="90"/>
      <c r="C1605" s="88" t="s">
        <v>2105</v>
      </c>
      <c r="D1605" s="90"/>
      <c r="E1605" s="106"/>
      <c r="F1605" s="107"/>
      <c r="G1605" s="107"/>
      <c r="H1605" s="107"/>
      <c r="I1605" s="108"/>
      <c r="J1605" s="88" t="s">
        <v>1246</v>
      </c>
      <c r="K1605" s="89"/>
      <c r="L1605" s="89"/>
      <c r="M1605" s="90"/>
      <c r="N1605" s="106"/>
      <c r="O1605" s="107"/>
      <c r="P1605" s="108"/>
      <c r="Q1605" s="133">
        <v>3900</v>
      </c>
      <c r="R1605" s="134"/>
      <c r="S1605" s="5" t="s">
        <v>2089</v>
      </c>
      <c r="T1605" s="6"/>
      <c r="U1605" s="6"/>
      <c r="V1605" s="5" t="s">
        <v>106</v>
      </c>
      <c r="W1605" s="12">
        <v>7963427</v>
      </c>
      <c r="X1605" s="6"/>
      <c r="Y1605" s="6"/>
    </row>
    <row r="1606" spans="1:25" ht="15" customHeight="1" x14ac:dyDescent="0.2">
      <c r="A1606" s="88" t="s">
        <v>1932</v>
      </c>
      <c r="B1606" s="90"/>
      <c r="C1606" s="88" t="s">
        <v>2105</v>
      </c>
      <c r="D1606" s="90"/>
      <c r="E1606" s="106"/>
      <c r="F1606" s="107"/>
      <c r="G1606" s="107"/>
      <c r="H1606" s="107"/>
      <c r="I1606" s="108"/>
      <c r="J1606" s="88" t="s">
        <v>1499</v>
      </c>
      <c r="K1606" s="89"/>
      <c r="L1606" s="89"/>
      <c r="M1606" s="90"/>
      <c r="N1606" s="106"/>
      <c r="O1606" s="107"/>
      <c r="P1606" s="108"/>
      <c r="Q1606" s="133">
        <v>3900</v>
      </c>
      <c r="R1606" s="134"/>
      <c r="S1606" s="5" t="s">
        <v>2089</v>
      </c>
      <c r="T1606" s="6"/>
      <c r="U1606" s="6"/>
      <c r="V1606" s="5" t="s">
        <v>106</v>
      </c>
      <c r="W1606" s="12">
        <v>8936556</v>
      </c>
      <c r="X1606" s="6"/>
      <c r="Y1606" s="6"/>
    </row>
    <row r="1607" spans="1:25" ht="15" customHeight="1" x14ac:dyDescent="0.2">
      <c r="A1607" s="88" t="s">
        <v>1932</v>
      </c>
      <c r="B1607" s="90"/>
      <c r="C1607" s="88" t="s">
        <v>2106</v>
      </c>
      <c r="D1607" s="90"/>
      <c r="E1607" s="106"/>
      <c r="F1607" s="107"/>
      <c r="G1607" s="107"/>
      <c r="H1607" s="107"/>
      <c r="I1607" s="108"/>
      <c r="J1607" s="88" t="s">
        <v>1246</v>
      </c>
      <c r="K1607" s="89"/>
      <c r="L1607" s="89"/>
      <c r="M1607" s="90"/>
      <c r="N1607" s="106"/>
      <c r="O1607" s="107"/>
      <c r="P1607" s="108"/>
      <c r="Q1607" s="133">
        <v>3900</v>
      </c>
      <c r="R1607" s="134"/>
      <c r="S1607" s="5" t="s">
        <v>945</v>
      </c>
      <c r="T1607" s="6"/>
      <c r="U1607" s="6"/>
      <c r="V1607" s="5" t="s">
        <v>106</v>
      </c>
      <c r="W1607" s="12">
        <v>10164994</v>
      </c>
      <c r="X1607" s="6"/>
      <c r="Y1607" s="6"/>
    </row>
    <row r="1608" spans="1:25" ht="15" customHeight="1" x14ac:dyDescent="0.2">
      <c r="A1608" s="88" t="s">
        <v>1932</v>
      </c>
      <c r="B1608" s="90"/>
      <c r="C1608" s="88" t="s">
        <v>2106</v>
      </c>
      <c r="D1608" s="90"/>
      <c r="E1608" s="106"/>
      <c r="F1608" s="107"/>
      <c r="G1608" s="107"/>
      <c r="H1608" s="107"/>
      <c r="I1608" s="108"/>
      <c r="J1608" s="88" t="s">
        <v>1499</v>
      </c>
      <c r="K1608" s="89"/>
      <c r="L1608" s="89"/>
      <c r="M1608" s="90"/>
      <c r="N1608" s="106"/>
      <c r="O1608" s="107"/>
      <c r="P1608" s="108"/>
      <c r="Q1608" s="133">
        <v>3900</v>
      </c>
      <c r="R1608" s="134"/>
      <c r="S1608" s="5" t="s">
        <v>945</v>
      </c>
      <c r="T1608" s="6"/>
      <c r="U1608" s="6"/>
      <c r="V1608" s="5" t="s">
        <v>106</v>
      </c>
      <c r="W1608" s="12">
        <v>11138124</v>
      </c>
      <c r="X1608" s="6"/>
      <c r="Y1608" s="6"/>
    </row>
    <row r="1609" spans="1:25" ht="15" customHeight="1" x14ac:dyDescent="0.2">
      <c r="A1609" s="88" t="s">
        <v>1932</v>
      </c>
      <c r="B1609" s="90"/>
      <c r="C1609" s="88" t="s">
        <v>2107</v>
      </c>
      <c r="D1609" s="90"/>
      <c r="E1609" s="106"/>
      <c r="F1609" s="107"/>
      <c r="G1609" s="107"/>
      <c r="H1609" s="107"/>
      <c r="I1609" s="108"/>
      <c r="J1609" s="88" t="s">
        <v>1246</v>
      </c>
      <c r="K1609" s="89"/>
      <c r="L1609" s="89"/>
      <c r="M1609" s="90"/>
      <c r="N1609" s="106"/>
      <c r="O1609" s="107"/>
      <c r="P1609" s="108"/>
      <c r="Q1609" s="133">
        <v>3900</v>
      </c>
      <c r="R1609" s="134"/>
      <c r="S1609" s="5" t="s">
        <v>945</v>
      </c>
      <c r="T1609" s="6"/>
      <c r="U1609" s="6"/>
      <c r="V1609" s="5" t="s">
        <v>106</v>
      </c>
      <c r="W1609" s="12">
        <v>9770625</v>
      </c>
      <c r="X1609" s="6"/>
      <c r="Y1609" s="6"/>
    </row>
    <row r="1610" spans="1:25" ht="15" customHeight="1" x14ac:dyDescent="0.2">
      <c r="A1610" s="88" t="s">
        <v>1932</v>
      </c>
      <c r="B1610" s="90"/>
      <c r="C1610" s="88" t="s">
        <v>2107</v>
      </c>
      <c r="D1610" s="90"/>
      <c r="E1610" s="106"/>
      <c r="F1610" s="107"/>
      <c r="G1610" s="107"/>
      <c r="H1610" s="107"/>
      <c r="I1610" s="108"/>
      <c r="J1610" s="88" t="s">
        <v>1499</v>
      </c>
      <c r="K1610" s="89"/>
      <c r="L1610" s="89"/>
      <c r="M1610" s="90"/>
      <c r="N1610" s="106"/>
      <c r="O1610" s="107"/>
      <c r="P1610" s="108"/>
      <c r="Q1610" s="133">
        <v>3900</v>
      </c>
      <c r="R1610" s="134"/>
      <c r="S1610" s="5" t="s">
        <v>945</v>
      </c>
      <c r="T1610" s="6"/>
      <c r="U1610" s="6"/>
      <c r="V1610" s="5" t="s">
        <v>106</v>
      </c>
      <c r="W1610" s="12">
        <v>10743608</v>
      </c>
      <c r="X1610" s="6"/>
      <c r="Y1610" s="6"/>
    </row>
    <row r="1611" spans="1:25" ht="15" customHeight="1" x14ac:dyDescent="0.2">
      <c r="A1611" s="88" t="s">
        <v>1932</v>
      </c>
      <c r="B1611" s="90"/>
      <c r="C1611" s="88" t="s">
        <v>2108</v>
      </c>
      <c r="D1611" s="90"/>
      <c r="E1611" s="106"/>
      <c r="F1611" s="107"/>
      <c r="G1611" s="107"/>
      <c r="H1611" s="107"/>
      <c r="I1611" s="108"/>
      <c r="J1611" s="88" t="s">
        <v>1246</v>
      </c>
      <c r="K1611" s="89"/>
      <c r="L1611" s="89"/>
      <c r="M1611" s="90"/>
      <c r="N1611" s="106"/>
      <c r="O1611" s="107"/>
      <c r="P1611" s="108"/>
      <c r="Q1611" s="133">
        <v>3900</v>
      </c>
      <c r="R1611" s="134"/>
      <c r="S1611" s="5" t="s">
        <v>945</v>
      </c>
      <c r="T1611" s="6"/>
      <c r="U1611" s="6"/>
      <c r="V1611" s="5" t="s">
        <v>106</v>
      </c>
      <c r="W1611" s="12">
        <v>11005351</v>
      </c>
      <c r="X1611" s="6"/>
      <c r="Y1611" s="6"/>
    </row>
    <row r="1612" spans="1:25" ht="15" customHeight="1" x14ac:dyDescent="0.2">
      <c r="A1612" s="88" t="s">
        <v>1932</v>
      </c>
      <c r="B1612" s="90"/>
      <c r="C1612" s="88" t="s">
        <v>2109</v>
      </c>
      <c r="D1612" s="90"/>
      <c r="E1612" s="106"/>
      <c r="F1612" s="107"/>
      <c r="G1612" s="107"/>
      <c r="H1612" s="107"/>
      <c r="I1612" s="108"/>
      <c r="J1612" s="88" t="s">
        <v>1246</v>
      </c>
      <c r="K1612" s="89"/>
      <c r="L1612" s="89"/>
      <c r="M1612" s="90"/>
      <c r="N1612" s="106"/>
      <c r="O1612" s="107"/>
      <c r="P1612" s="108"/>
      <c r="Q1612" s="133">
        <v>3900</v>
      </c>
      <c r="R1612" s="134"/>
      <c r="S1612" s="5" t="s">
        <v>945</v>
      </c>
      <c r="T1612" s="6"/>
      <c r="U1612" s="6"/>
      <c r="V1612" s="5" t="s">
        <v>106</v>
      </c>
      <c r="W1612" s="12">
        <v>10436681</v>
      </c>
      <c r="X1612" s="6"/>
      <c r="Y1612" s="6"/>
    </row>
    <row r="1613" spans="1:25" ht="15" customHeight="1" x14ac:dyDescent="0.2">
      <c r="A1613" s="88" t="s">
        <v>1932</v>
      </c>
      <c r="B1613" s="90"/>
      <c r="C1613" s="88" t="s">
        <v>2109</v>
      </c>
      <c r="D1613" s="90"/>
      <c r="E1613" s="106"/>
      <c r="F1613" s="107"/>
      <c r="G1613" s="107"/>
      <c r="H1613" s="107"/>
      <c r="I1613" s="108"/>
      <c r="J1613" s="88" t="s">
        <v>1499</v>
      </c>
      <c r="K1613" s="89"/>
      <c r="L1613" s="89"/>
      <c r="M1613" s="90"/>
      <c r="N1613" s="106"/>
      <c r="O1613" s="107"/>
      <c r="P1613" s="108"/>
      <c r="Q1613" s="133">
        <v>3900</v>
      </c>
      <c r="R1613" s="134"/>
      <c r="S1613" s="5" t="s">
        <v>945</v>
      </c>
      <c r="T1613" s="6"/>
      <c r="U1613" s="6"/>
      <c r="V1613" s="5" t="s">
        <v>106</v>
      </c>
      <c r="W1613" s="12">
        <v>11409810</v>
      </c>
      <c r="X1613" s="6"/>
      <c r="Y1613" s="6"/>
    </row>
    <row r="1614" spans="1:25" ht="15" customHeight="1" x14ac:dyDescent="0.2">
      <c r="A1614" s="88" t="s">
        <v>1932</v>
      </c>
      <c r="B1614" s="90"/>
      <c r="C1614" s="88" t="s">
        <v>2110</v>
      </c>
      <c r="D1614" s="90"/>
      <c r="E1614" s="106"/>
      <c r="F1614" s="107"/>
      <c r="G1614" s="107"/>
      <c r="H1614" s="107"/>
      <c r="I1614" s="108"/>
      <c r="J1614" s="88" t="s">
        <v>1246</v>
      </c>
      <c r="K1614" s="89"/>
      <c r="L1614" s="89"/>
      <c r="M1614" s="90"/>
      <c r="N1614" s="106"/>
      <c r="O1614" s="107"/>
      <c r="P1614" s="108"/>
      <c r="Q1614" s="133">
        <v>3900</v>
      </c>
      <c r="R1614" s="134"/>
      <c r="S1614" s="5" t="s">
        <v>945</v>
      </c>
      <c r="T1614" s="6"/>
      <c r="U1614" s="6"/>
      <c r="V1614" s="5" t="s">
        <v>106</v>
      </c>
      <c r="W1614" s="12">
        <v>11671699</v>
      </c>
      <c r="X1614" s="6"/>
      <c r="Y1614" s="6"/>
    </row>
    <row r="1615" spans="1:25" ht="15" customHeight="1" x14ac:dyDescent="0.2">
      <c r="A1615" s="88" t="s">
        <v>1932</v>
      </c>
      <c r="B1615" s="90"/>
      <c r="C1615" s="88" t="s">
        <v>2111</v>
      </c>
      <c r="D1615" s="90"/>
      <c r="E1615" s="106"/>
      <c r="F1615" s="107"/>
      <c r="G1615" s="107"/>
      <c r="H1615" s="107"/>
      <c r="I1615" s="108"/>
      <c r="J1615" s="88" t="s">
        <v>1246</v>
      </c>
      <c r="K1615" s="89"/>
      <c r="L1615" s="89"/>
      <c r="M1615" s="90"/>
      <c r="N1615" s="106"/>
      <c r="O1615" s="107"/>
      <c r="P1615" s="108"/>
      <c r="Q1615" s="133">
        <v>3900</v>
      </c>
      <c r="R1615" s="134"/>
      <c r="S1615" s="5" t="s">
        <v>945</v>
      </c>
      <c r="T1615" s="6"/>
      <c r="U1615" s="6"/>
      <c r="V1615" s="5" t="s">
        <v>106</v>
      </c>
      <c r="W1615" s="12">
        <v>11042054</v>
      </c>
      <c r="X1615" s="6"/>
      <c r="Y1615" s="6"/>
    </row>
    <row r="1616" spans="1:25" ht="15" customHeight="1" x14ac:dyDescent="0.2">
      <c r="A1616" s="88" t="s">
        <v>1932</v>
      </c>
      <c r="B1616" s="90"/>
      <c r="C1616" s="88" t="s">
        <v>2111</v>
      </c>
      <c r="D1616" s="90"/>
      <c r="E1616" s="106"/>
      <c r="F1616" s="107"/>
      <c r="G1616" s="107"/>
      <c r="H1616" s="107"/>
      <c r="I1616" s="108"/>
      <c r="J1616" s="88" t="s">
        <v>1499</v>
      </c>
      <c r="K1616" s="89"/>
      <c r="L1616" s="89"/>
      <c r="M1616" s="90"/>
      <c r="N1616" s="106"/>
      <c r="O1616" s="107"/>
      <c r="P1616" s="108"/>
      <c r="Q1616" s="133">
        <v>3900</v>
      </c>
      <c r="R1616" s="134"/>
      <c r="S1616" s="5" t="s">
        <v>945</v>
      </c>
      <c r="T1616" s="6"/>
      <c r="U1616" s="6"/>
      <c r="V1616" s="5" t="s">
        <v>106</v>
      </c>
      <c r="W1616" s="12">
        <v>12015183</v>
      </c>
      <c r="X1616" s="6"/>
      <c r="Y1616" s="6"/>
    </row>
    <row r="1617" spans="1:25" ht="15" customHeight="1" x14ac:dyDescent="0.2">
      <c r="A1617" s="88" t="s">
        <v>1932</v>
      </c>
      <c r="B1617" s="90"/>
      <c r="C1617" s="88" t="s">
        <v>2112</v>
      </c>
      <c r="D1617" s="90"/>
      <c r="E1617" s="106"/>
      <c r="F1617" s="107"/>
      <c r="G1617" s="107"/>
      <c r="H1617" s="107"/>
      <c r="I1617" s="108"/>
      <c r="J1617" s="88" t="s">
        <v>1246</v>
      </c>
      <c r="K1617" s="89"/>
      <c r="L1617" s="89"/>
      <c r="M1617" s="90"/>
      <c r="N1617" s="106"/>
      <c r="O1617" s="107"/>
      <c r="P1617" s="108"/>
      <c r="Q1617" s="133">
        <v>3900</v>
      </c>
      <c r="R1617" s="134"/>
      <c r="S1617" s="5" t="s">
        <v>945</v>
      </c>
      <c r="T1617" s="6"/>
      <c r="U1617" s="6"/>
      <c r="V1617" s="5" t="s">
        <v>106</v>
      </c>
      <c r="W1617" s="12">
        <v>12162578</v>
      </c>
      <c r="X1617" s="6"/>
      <c r="Y1617" s="6"/>
    </row>
    <row r="1618" spans="1:25" ht="15" customHeight="1" x14ac:dyDescent="0.2">
      <c r="A1618" s="88" t="s">
        <v>1932</v>
      </c>
      <c r="B1618" s="90"/>
      <c r="C1618" s="88" t="s">
        <v>2113</v>
      </c>
      <c r="D1618" s="90"/>
      <c r="E1618" s="106"/>
      <c r="F1618" s="107"/>
      <c r="G1618" s="107"/>
      <c r="H1618" s="107"/>
      <c r="I1618" s="108"/>
      <c r="J1618" s="88" t="s">
        <v>1246</v>
      </c>
      <c r="K1618" s="89"/>
      <c r="L1618" s="89"/>
      <c r="M1618" s="90"/>
      <c r="N1618" s="106"/>
      <c r="O1618" s="107"/>
      <c r="P1618" s="108"/>
      <c r="Q1618" s="133">
        <v>3900</v>
      </c>
      <c r="R1618" s="134"/>
      <c r="S1618" s="5" t="s">
        <v>945</v>
      </c>
      <c r="T1618" s="6"/>
      <c r="U1618" s="6"/>
      <c r="V1618" s="5" t="s">
        <v>106</v>
      </c>
      <c r="W1618" s="12">
        <v>11630756</v>
      </c>
      <c r="X1618" s="6"/>
      <c r="Y1618" s="6"/>
    </row>
    <row r="1619" spans="1:25" ht="15" customHeight="1" x14ac:dyDescent="0.2">
      <c r="A1619" s="88" t="s">
        <v>1932</v>
      </c>
      <c r="B1619" s="90"/>
      <c r="C1619" s="88" t="s">
        <v>2113</v>
      </c>
      <c r="D1619" s="90"/>
      <c r="E1619" s="106"/>
      <c r="F1619" s="107"/>
      <c r="G1619" s="107"/>
      <c r="H1619" s="107"/>
      <c r="I1619" s="108"/>
      <c r="J1619" s="88" t="s">
        <v>1499</v>
      </c>
      <c r="K1619" s="89"/>
      <c r="L1619" s="89"/>
      <c r="M1619" s="90"/>
      <c r="N1619" s="106"/>
      <c r="O1619" s="107"/>
      <c r="P1619" s="108"/>
      <c r="Q1619" s="133">
        <v>3900</v>
      </c>
      <c r="R1619" s="134"/>
      <c r="S1619" s="5" t="s">
        <v>945</v>
      </c>
      <c r="T1619" s="6"/>
      <c r="U1619" s="6"/>
      <c r="V1619" s="5" t="s">
        <v>106</v>
      </c>
      <c r="W1619" s="12">
        <v>12603885</v>
      </c>
      <c r="X1619" s="6"/>
      <c r="Y1619" s="6"/>
    </row>
    <row r="1620" spans="1:25" ht="15" customHeight="1" x14ac:dyDescent="0.2">
      <c r="A1620" s="88" t="s">
        <v>1932</v>
      </c>
      <c r="B1620" s="90"/>
      <c r="C1620" s="88" t="s">
        <v>2114</v>
      </c>
      <c r="D1620" s="90"/>
      <c r="E1620" s="106"/>
      <c r="F1620" s="107"/>
      <c r="G1620" s="107"/>
      <c r="H1620" s="107"/>
      <c r="I1620" s="108"/>
      <c r="J1620" s="88" t="s">
        <v>1246</v>
      </c>
      <c r="K1620" s="89"/>
      <c r="L1620" s="89"/>
      <c r="M1620" s="90"/>
      <c r="N1620" s="106"/>
      <c r="O1620" s="107"/>
      <c r="P1620" s="108"/>
      <c r="Q1620" s="133">
        <v>3900</v>
      </c>
      <c r="R1620" s="134"/>
      <c r="S1620" s="5" t="s">
        <v>945</v>
      </c>
      <c r="T1620" s="6"/>
      <c r="U1620" s="6"/>
      <c r="V1620" s="5" t="s">
        <v>106</v>
      </c>
      <c r="W1620" s="12">
        <v>12473306</v>
      </c>
      <c r="X1620" s="6"/>
      <c r="Y1620" s="6"/>
    </row>
    <row r="1621" spans="1:25" ht="15" customHeight="1" x14ac:dyDescent="0.2">
      <c r="A1621" s="88" t="s">
        <v>1932</v>
      </c>
      <c r="B1621" s="90"/>
      <c r="C1621" s="88" t="s">
        <v>2115</v>
      </c>
      <c r="D1621" s="90"/>
      <c r="E1621" s="106"/>
      <c r="F1621" s="107"/>
      <c r="G1621" s="107"/>
      <c r="H1621" s="107"/>
      <c r="I1621" s="108"/>
      <c r="J1621" s="88" t="s">
        <v>1246</v>
      </c>
      <c r="K1621" s="89"/>
      <c r="L1621" s="89"/>
      <c r="M1621" s="90"/>
      <c r="N1621" s="106"/>
      <c r="O1621" s="107"/>
      <c r="P1621" s="108"/>
      <c r="Q1621" s="133">
        <v>3900</v>
      </c>
      <c r="R1621" s="134"/>
      <c r="S1621" s="5" t="s">
        <v>2089</v>
      </c>
      <c r="T1621" s="6"/>
      <c r="U1621" s="6"/>
      <c r="V1621" s="5" t="s">
        <v>106</v>
      </c>
      <c r="W1621" s="12">
        <v>7851419</v>
      </c>
      <c r="X1621" s="6"/>
      <c r="Y1621" s="6"/>
    </row>
    <row r="1622" spans="1:25" ht="15" customHeight="1" x14ac:dyDescent="0.2">
      <c r="A1622" s="88" t="s">
        <v>1932</v>
      </c>
      <c r="B1622" s="90"/>
      <c r="C1622" s="88" t="s">
        <v>2115</v>
      </c>
      <c r="D1622" s="90"/>
      <c r="E1622" s="106"/>
      <c r="F1622" s="107"/>
      <c r="G1622" s="107"/>
      <c r="H1622" s="107"/>
      <c r="I1622" s="108"/>
      <c r="J1622" s="88" t="s">
        <v>1499</v>
      </c>
      <c r="K1622" s="89"/>
      <c r="L1622" s="89"/>
      <c r="M1622" s="90"/>
      <c r="N1622" s="106"/>
      <c r="O1622" s="107"/>
      <c r="P1622" s="108"/>
      <c r="Q1622" s="133">
        <v>3900</v>
      </c>
      <c r="R1622" s="134"/>
      <c r="S1622" s="5" t="s">
        <v>2089</v>
      </c>
      <c r="T1622" s="6"/>
      <c r="U1622" s="6"/>
      <c r="V1622" s="5" t="s">
        <v>106</v>
      </c>
      <c r="W1622" s="12">
        <v>8269038</v>
      </c>
      <c r="X1622" s="6"/>
      <c r="Y1622" s="6"/>
    </row>
    <row r="1623" spans="1:25" ht="15" customHeight="1" x14ac:dyDescent="0.2">
      <c r="A1623" s="88" t="s">
        <v>1932</v>
      </c>
      <c r="B1623" s="90"/>
      <c r="C1623" s="88" t="s">
        <v>2116</v>
      </c>
      <c r="D1623" s="90"/>
      <c r="E1623" s="106"/>
      <c r="F1623" s="107"/>
      <c r="G1623" s="107"/>
      <c r="H1623" s="107"/>
      <c r="I1623" s="108"/>
      <c r="J1623" s="88" t="s">
        <v>1246</v>
      </c>
      <c r="K1623" s="89"/>
      <c r="L1623" s="89"/>
      <c r="M1623" s="90"/>
      <c r="N1623" s="106"/>
      <c r="O1623" s="107"/>
      <c r="P1623" s="108"/>
      <c r="Q1623" s="133">
        <v>3900</v>
      </c>
      <c r="R1623" s="134"/>
      <c r="S1623" s="5" t="s">
        <v>2089</v>
      </c>
      <c r="T1623" s="6"/>
      <c r="U1623" s="6"/>
      <c r="V1623" s="5" t="s">
        <v>106</v>
      </c>
      <c r="W1623" s="12">
        <v>7808721</v>
      </c>
      <c r="X1623" s="6"/>
      <c r="Y1623" s="6"/>
    </row>
    <row r="1624" spans="1:25" ht="15" customHeight="1" x14ac:dyDescent="0.2">
      <c r="A1624" s="88" t="s">
        <v>1932</v>
      </c>
      <c r="B1624" s="90"/>
      <c r="C1624" s="88" t="s">
        <v>2116</v>
      </c>
      <c r="D1624" s="90"/>
      <c r="E1624" s="106"/>
      <c r="F1624" s="107"/>
      <c r="G1624" s="107"/>
      <c r="H1624" s="107"/>
      <c r="I1624" s="108"/>
      <c r="J1624" s="88" t="s">
        <v>1499</v>
      </c>
      <c r="K1624" s="89"/>
      <c r="L1624" s="89"/>
      <c r="M1624" s="90"/>
      <c r="N1624" s="106"/>
      <c r="O1624" s="107"/>
      <c r="P1624" s="108"/>
      <c r="Q1624" s="133">
        <v>3900</v>
      </c>
      <c r="R1624" s="134"/>
      <c r="S1624" s="5" t="s">
        <v>2089</v>
      </c>
      <c r="T1624" s="6"/>
      <c r="U1624" s="6"/>
      <c r="V1624" s="5" t="s">
        <v>106</v>
      </c>
      <c r="W1624" s="12">
        <v>8781850</v>
      </c>
      <c r="X1624" s="6"/>
      <c r="Y1624" s="6"/>
    </row>
    <row r="1625" spans="1:25" ht="15" customHeight="1" x14ac:dyDescent="0.2">
      <c r="A1625" s="88" t="s">
        <v>1932</v>
      </c>
      <c r="B1625" s="90"/>
      <c r="C1625" s="88" t="s">
        <v>2117</v>
      </c>
      <c r="D1625" s="90"/>
      <c r="E1625" s="106"/>
      <c r="F1625" s="107"/>
      <c r="G1625" s="107"/>
      <c r="H1625" s="107"/>
      <c r="I1625" s="108"/>
      <c r="J1625" s="88" t="s">
        <v>1246</v>
      </c>
      <c r="K1625" s="89"/>
      <c r="L1625" s="89"/>
      <c r="M1625" s="90"/>
      <c r="N1625" s="106"/>
      <c r="O1625" s="107"/>
      <c r="P1625" s="108"/>
      <c r="Q1625" s="133">
        <v>3900</v>
      </c>
      <c r="R1625" s="134"/>
      <c r="S1625" s="5" t="s">
        <v>2089</v>
      </c>
      <c r="T1625" s="6"/>
      <c r="U1625" s="6"/>
      <c r="V1625" s="5" t="s">
        <v>106</v>
      </c>
      <c r="W1625" s="12">
        <v>7675217</v>
      </c>
      <c r="X1625" s="6"/>
      <c r="Y1625" s="6"/>
    </row>
    <row r="1626" spans="1:25" ht="15" customHeight="1" x14ac:dyDescent="0.2">
      <c r="A1626" s="88" t="s">
        <v>1932</v>
      </c>
      <c r="B1626" s="90"/>
      <c r="C1626" s="88" t="s">
        <v>2117</v>
      </c>
      <c r="D1626" s="90"/>
      <c r="E1626" s="106"/>
      <c r="F1626" s="107"/>
      <c r="G1626" s="107"/>
      <c r="H1626" s="107"/>
      <c r="I1626" s="108"/>
      <c r="J1626" s="88" t="s">
        <v>1499</v>
      </c>
      <c r="K1626" s="89"/>
      <c r="L1626" s="89"/>
      <c r="M1626" s="90"/>
      <c r="N1626" s="106"/>
      <c r="O1626" s="107"/>
      <c r="P1626" s="108"/>
      <c r="Q1626" s="133">
        <v>3900</v>
      </c>
      <c r="R1626" s="134"/>
      <c r="S1626" s="5" t="s">
        <v>2089</v>
      </c>
      <c r="T1626" s="6"/>
      <c r="U1626" s="6"/>
      <c r="V1626" s="5" t="s">
        <v>106</v>
      </c>
      <c r="W1626" s="12">
        <v>8648346</v>
      </c>
      <c r="X1626" s="6"/>
      <c r="Y1626" s="6"/>
    </row>
    <row r="1627" spans="1:25" ht="15" customHeight="1" x14ac:dyDescent="0.2">
      <c r="A1627" s="88" t="s">
        <v>1932</v>
      </c>
      <c r="B1627" s="90"/>
      <c r="C1627" s="88" t="s">
        <v>2118</v>
      </c>
      <c r="D1627" s="90"/>
      <c r="E1627" s="106"/>
      <c r="F1627" s="107"/>
      <c r="G1627" s="107"/>
      <c r="H1627" s="107"/>
      <c r="I1627" s="108"/>
      <c r="J1627" s="88" t="s">
        <v>1246</v>
      </c>
      <c r="K1627" s="89"/>
      <c r="L1627" s="89"/>
      <c r="M1627" s="90"/>
      <c r="N1627" s="106"/>
      <c r="O1627" s="107"/>
      <c r="P1627" s="108"/>
      <c r="Q1627" s="133">
        <v>3900</v>
      </c>
      <c r="R1627" s="134"/>
      <c r="S1627" s="5" t="s">
        <v>2089</v>
      </c>
      <c r="T1627" s="6"/>
      <c r="U1627" s="6"/>
      <c r="V1627" s="5" t="s">
        <v>106</v>
      </c>
      <c r="W1627" s="12">
        <v>9269365</v>
      </c>
      <c r="X1627" s="6"/>
      <c r="Y1627" s="6"/>
    </row>
    <row r="1628" spans="1:25" ht="15" customHeight="1" x14ac:dyDescent="0.2">
      <c r="A1628" s="88" t="s">
        <v>1932</v>
      </c>
      <c r="B1628" s="90"/>
      <c r="C1628" s="88" t="s">
        <v>2118</v>
      </c>
      <c r="D1628" s="90"/>
      <c r="E1628" s="106"/>
      <c r="F1628" s="107"/>
      <c r="G1628" s="107"/>
      <c r="H1628" s="107"/>
      <c r="I1628" s="108"/>
      <c r="J1628" s="88" t="s">
        <v>1499</v>
      </c>
      <c r="K1628" s="89"/>
      <c r="L1628" s="89"/>
      <c r="M1628" s="90"/>
      <c r="N1628" s="106"/>
      <c r="O1628" s="107"/>
      <c r="P1628" s="108"/>
      <c r="Q1628" s="133">
        <v>3900</v>
      </c>
      <c r="R1628" s="134"/>
      <c r="S1628" s="5" t="s">
        <v>2089</v>
      </c>
      <c r="T1628" s="6"/>
      <c r="U1628" s="6"/>
      <c r="V1628" s="5" t="s">
        <v>106</v>
      </c>
      <c r="W1628" s="12">
        <v>10242494</v>
      </c>
      <c r="X1628" s="6"/>
      <c r="Y1628" s="6"/>
    </row>
    <row r="1629" spans="1:25" ht="15" customHeight="1" x14ac:dyDescent="0.2">
      <c r="A1629" s="88" t="s">
        <v>1932</v>
      </c>
      <c r="B1629" s="90"/>
      <c r="C1629" s="88" t="s">
        <v>2119</v>
      </c>
      <c r="D1629" s="90"/>
      <c r="E1629" s="106"/>
      <c r="F1629" s="107"/>
      <c r="G1629" s="107"/>
      <c r="H1629" s="107"/>
      <c r="I1629" s="108"/>
      <c r="J1629" s="88" t="s">
        <v>1246</v>
      </c>
      <c r="K1629" s="89"/>
      <c r="L1629" s="89"/>
      <c r="M1629" s="90"/>
      <c r="N1629" s="106"/>
      <c r="O1629" s="107"/>
      <c r="P1629" s="108"/>
      <c r="Q1629" s="133">
        <v>3900</v>
      </c>
      <c r="R1629" s="134"/>
      <c r="S1629" s="5" t="s">
        <v>2089</v>
      </c>
      <c r="T1629" s="6"/>
      <c r="U1629" s="6"/>
      <c r="V1629" s="5" t="s">
        <v>106</v>
      </c>
      <c r="W1629" s="12">
        <v>9024438</v>
      </c>
      <c r="X1629" s="6"/>
      <c r="Y1629" s="6"/>
    </row>
    <row r="1630" spans="1:25" ht="15" customHeight="1" x14ac:dyDescent="0.2">
      <c r="A1630" s="88" t="s">
        <v>1932</v>
      </c>
      <c r="B1630" s="90"/>
      <c r="C1630" s="88" t="s">
        <v>2119</v>
      </c>
      <c r="D1630" s="90"/>
      <c r="E1630" s="106"/>
      <c r="F1630" s="107"/>
      <c r="G1630" s="107"/>
      <c r="H1630" s="107"/>
      <c r="I1630" s="108"/>
      <c r="J1630" s="88" t="s">
        <v>1499</v>
      </c>
      <c r="K1630" s="89"/>
      <c r="L1630" s="89"/>
      <c r="M1630" s="90"/>
      <c r="N1630" s="106"/>
      <c r="O1630" s="107"/>
      <c r="P1630" s="108"/>
      <c r="Q1630" s="133">
        <v>3900</v>
      </c>
      <c r="R1630" s="134"/>
      <c r="S1630" s="5" t="s">
        <v>2089</v>
      </c>
      <c r="T1630" s="6"/>
      <c r="U1630" s="6"/>
      <c r="V1630" s="5" t="s">
        <v>106</v>
      </c>
      <c r="W1630" s="12">
        <v>9997567</v>
      </c>
      <c r="X1630" s="6"/>
      <c r="Y1630" s="6"/>
    </row>
    <row r="1631" spans="1:25" ht="15" customHeight="1" x14ac:dyDescent="0.2">
      <c r="A1631" s="88" t="s">
        <v>1932</v>
      </c>
      <c r="B1631" s="90"/>
      <c r="C1631" s="88" t="s">
        <v>2120</v>
      </c>
      <c r="D1631" s="90"/>
      <c r="E1631" s="106"/>
      <c r="F1631" s="107"/>
      <c r="G1631" s="107"/>
      <c r="H1631" s="107"/>
      <c r="I1631" s="108"/>
      <c r="J1631" s="88" t="s">
        <v>1246</v>
      </c>
      <c r="K1631" s="89"/>
      <c r="L1631" s="89"/>
      <c r="M1631" s="90"/>
      <c r="N1631" s="106"/>
      <c r="O1631" s="107"/>
      <c r="P1631" s="108"/>
      <c r="Q1631" s="133">
        <v>3900</v>
      </c>
      <c r="R1631" s="134"/>
      <c r="S1631" s="5" t="s">
        <v>2089</v>
      </c>
      <c r="T1631" s="6"/>
      <c r="U1631" s="6"/>
      <c r="V1631" s="5" t="s">
        <v>106</v>
      </c>
      <c r="W1631" s="12">
        <v>8007880</v>
      </c>
      <c r="X1631" s="6"/>
      <c r="Y1631" s="6"/>
    </row>
    <row r="1632" spans="1:25" ht="15" customHeight="1" x14ac:dyDescent="0.2">
      <c r="A1632" s="88" t="s">
        <v>1932</v>
      </c>
      <c r="B1632" s="90"/>
      <c r="C1632" s="88" t="s">
        <v>2120</v>
      </c>
      <c r="D1632" s="90"/>
      <c r="E1632" s="106"/>
      <c r="F1632" s="107"/>
      <c r="G1632" s="107"/>
      <c r="H1632" s="107"/>
      <c r="I1632" s="108"/>
      <c r="J1632" s="88" t="s">
        <v>1499</v>
      </c>
      <c r="K1632" s="89"/>
      <c r="L1632" s="89"/>
      <c r="M1632" s="90"/>
      <c r="N1632" s="106"/>
      <c r="O1632" s="107"/>
      <c r="P1632" s="108"/>
      <c r="Q1632" s="133">
        <v>3900</v>
      </c>
      <c r="R1632" s="134"/>
      <c r="S1632" s="5" t="s">
        <v>2089</v>
      </c>
      <c r="T1632" s="6"/>
      <c r="U1632" s="6"/>
      <c r="V1632" s="5" t="s">
        <v>106</v>
      </c>
      <c r="W1632" s="12">
        <v>8423890</v>
      </c>
      <c r="X1632" s="6"/>
      <c r="Y1632" s="6"/>
    </row>
    <row r="1633" spans="1:25" ht="15" customHeight="1" x14ac:dyDescent="0.2">
      <c r="A1633" s="88" t="s">
        <v>1932</v>
      </c>
      <c r="B1633" s="90"/>
      <c r="C1633" s="88" t="s">
        <v>2121</v>
      </c>
      <c r="D1633" s="90"/>
      <c r="E1633" s="106"/>
      <c r="F1633" s="107"/>
      <c r="G1633" s="107"/>
      <c r="H1633" s="107"/>
      <c r="I1633" s="108"/>
      <c r="J1633" s="88" t="s">
        <v>1246</v>
      </c>
      <c r="K1633" s="89"/>
      <c r="L1633" s="89"/>
      <c r="M1633" s="90"/>
      <c r="N1633" s="106"/>
      <c r="O1633" s="107"/>
      <c r="P1633" s="108"/>
      <c r="Q1633" s="133">
        <v>3900</v>
      </c>
      <c r="R1633" s="134"/>
      <c r="S1633" s="5" t="s">
        <v>2089</v>
      </c>
      <c r="T1633" s="6"/>
      <c r="U1633" s="6"/>
      <c r="V1633" s="5" t="s">
        <v>106</v>
      </c>
      <c r="W1633" s="12">
        <v>7963427</v>
      </c>
      <c r="X1633" s="6"/>
      <c r="Y1633" s="6"/>
    </row>
    <row r="1634" spans="1:25" ht="15" customHeight="1" x14ac:dyDescent="0.2">
      <c r="A1634" s="88" t="s">
        <v>1932</v>
      </c>
      <c r="B1634" s="90"/>
      <c r="C1634" s="88" t="s">
        <v>2121</v>
      </c>
      <c r="D1634" s="90"/>
      <c r="E1634" s="106"/>
      <c r="F1634" s="107"/>
      <c r="G1634" s="107"/>
      <c r="H1634" s="107"/>
      <c r="I1634" s="108"/>
      <c r="J1634" s="88" t="s">
        <v>1499</v>
      </c>
      <c r="K1634" s="89"/>
      <c r="L1634" s="89"/>
      <c r="M1634" s="90"/>
      <c r="N1634" s="106"/>
      <c r="O1634" s="107"/>
      <c r="P1634" s="108"/>
      <c r="Q1634" s="133">
        <v>3900</v>
      </c>
      <c r="R1634" s="134"/>
      <c r="S1634" s="5" t="s">
        <v>2089</v>
      </c>
      <c r="T1634" s="6"/>
      <c r="U1634" s="6"/>
      <c r="V1634" s="5" t="s">
        <v>106</v>
      </c>
      <c r="W1634" s="12">
        <v>8936556</v>
      </c>
      <c r="X1634" s="6"/>
      <c r="Y1634" s="6"/>
    </row>
    <row r="1635" spans="1:25" ht="15" customHeight="1" x14ac:dyDescent="0.2">
      <c r="A1635" s="88" t="s">
        <v>1932</v>
      </c>
      <c r="B1635" s="90"/>
      <c r="C1635" s="88" t="s">
        <v>2122</v>
      </c>
      <c r="D1635" s="90"/>
      <c r="E1635" s="106"/>
      <c r="F1635" s="107"/>
      <c r="G1635" s="107"/>
      <c r="H1635" s="107"/>
      <c r="I1635" s="108"/>
      <c r="J1635" s="88" t="s">
        <v>1499</v>
      </c>
      <c r="K1635" s="89"/>
      <c r="L1635" s="89"/>
      <c r="M1635" s="90"/>
      <c r="N1635" s="106"/>
      <c r="O1635" s="107"/>
      <c r="P1635" s="108"/>
      <c r="Q1635" s="133">
        <v>3900</v>
      </c>
      <c r="R1635" s="134"/>
      <c r="S1635" s="5" t="s">
        <v>2089</v>
      </c>
      <c r="T1635" s="6"/>
      <c r="U1635" s="6"/>
      <c r="V1635" s="5" t="s">
        <v>106</v>
      </c>
      <c r="W1635" s="12">
        <v>8996362</v>
      </c>
      <c r="X1635" s="6"/>
      <c r="Y1635" s="6"/>
    </row>
    <row r="1636" spans="1:25" ht="15" customHeight="1" x14ac:dyDescent="0.2">
      <c r="A1636" s="88" t="s">
        <v>1932</v>
      </c>
      <c r="B1636" s="90"/>
      <c r="C1636" s="88" t="s">
        <v>2122</v>
      </c>
      <c r="D1636" s="90"/>
      <c r="E1636" s="106"/>
      <c r="F1636" s="107"/>
      <c r="G1636" s="107"/>
      <c r="H1636" s="107"/>
      <c r="I1636" s="108"/>
      <c r="J1636" s="88" t="s">
        <v>1246</v>
      </c>
      <c r="K1636" s="89"/>
      <c r="L1636" s="89"/>
      <c r="M1636" s="90"/>
      <c r="N1636" s="106"/>
      <c r="O1636" s="107"/>
      <c r="P1636" s="108"/>
      <c r="Q1636" s="133">
        <v>3900</v>
      </c>
      <c r="R1636" s="134"/>
      <c r="S1636" s="5" t="s">
        <v>2089</v>
      </c>
      <c r="T1636" s="6"/>
      <c r="U1636" s="6"/>
      <c r="V1636" s="5" t="s">
        <v>106</v>
      </c>
      <c r="W1636" s="12">
        <v>8675398</v>
      </c>
      <c r="X1636" s="6"/>
      <c r="Y1636" s="6"/>
    </row>
    <row r="1637" spans="1:25" ht="15" customHeight="1" x14ac:dyDescent="0.2">
      <c r="A1637" s="88" t="s">
        <v>1932</v>
      </c>
      <c r="B1637" s="90"/>
      <c r="C1637" s="88" t="s">
        <v>2123</v>
      </c>
      <c r="D1637" s="90"/>
      <c r="E1637" s="106"/>
      <c r="F1637" s="107"/>
      <c r="G1637" s="107"/>
      <c r="H1637" s="107"/>
      <c r="I1637" s="108"/>
      <c r="J1637" s="88" t="s">
        <v>1499</v>
      </c>
      <c r="K1637" s="89"/>
      <c r="L1637" s="89"/>
      <c r="M1637" s="90"/>
      <c r="N1637" s="106"/>
      <c r="O1637" s="107"/>
      <c r="P1637" s="108"/>
      <c r="Q1637" s="133">
        <v>3900</v>
      </c>
      <c r="R1637" s="134"/>
      <c r="S1637" s="5" t="s">
        <v>2089</v>
      </c>
      <c r="T1637" s="6"/>
      <c r="U1637" s="6"/>
      <c r="V1637" s="5" t="s">
        <v>106</v>
      </c>
      <c r="W1637" s="12">
        <v>8838731</v>
      </c>
      <c r="X1637" s="6"/>
      <c r="Y1637" s="6"/>
    </row>
    <row r="1638" spans="1:25" ht="15" customHeight="1" x14ac:dyDescent="0.2">
      <c r="A1638" s="88" t="s">
        <v>1932</v>
      </c>
      <c r="B1638" s="90"/>
      <c r="C1638" s="88" t="s">
        <v>2123</v>
      </c>
      <c r="D1638" s="90"/>
      <c r="E1638" s="106"/>
      <c r="F1638" s="107"/>
      <c r="G1638" s="107"/>
      <c r="H1638" s="107"/>
      <c r="I1638" s="108"/>
      <c r="J1638" s="88" t="s">
        <v>1246</v>
      </c>
      <c r="K1638" s="89"/>
      <c r="L1638" s="89"/>
      <c r="M1638" s="90"/>
      <c r="N1638" s="106"/>
      <c r="O1638" s="107"/>
      <c r="P1638" s="108"/>
      <c r="Q1638" s="133">
        <v>3900</v>
      </c>
      <c r="R1638" s="134"/>
      <c r="S1638" s="5" t="s">
        <v>2089</v>
      </c>
      <c r="T1638" s="6"/>
      <c r="U1638" s="6"/>
      <c r="V1638" s="5" t="s">
        <v>106</v>
      </c>
      <c r="W1638" s="12">
        <v>8559295</v>
      </c>
      <c r="X1638" s="6"/>
      <c r="Y1638" s="6"/>
    </row>
    <row r="1639" spans="1:25" ht="15" customHeight="1" x14ac:dyDescent="0.2">
      <c r="A1639" s="88" t="s">
        <v>1932</v>
      </c>
      <c r="B1639" s="90"/>
      <c r="C1639" s="88" t="s">
        <v>2124</v>
      </c>
      <c r="D1639" s="90"/>
      <c r="E1639" s="106"/>
      <c r="F1639" s="107"/>
      <c r="G1639" s="107"/>
      <c r="H1639" s="107"/>
      <c r="I1639" s="108"/>
      <c r="J1639" s="88" t="s">
        <v>1499</v>
      </c>
      <c r="K1639" s="89"/>
      <c r="L1639" s="89"/>
      <c r="M1639" s="90"/>
      <c r="N1639" s="106"/>
      <c r="O1639" s="107"/>
      <c r="P1639" s="108"/>
      <c r="Q1639" s="133">
        <v>3900</v>
      </c>
      <c r="R1639" s="134"/>
      <c r="S1639" s="5" t="s">
        <v>2089</v>
      </c>
      <c r="T1639" s="6"/>
      <c r="U1639" s="6"/>
      <c r="V1639" s="5" t="s">
        <v>106</v>
      </c>
      <c r="W1639" s="12">
        <v>10447209</v>
      </c>
      <c r="X1639" s="6"/>
      <c r="Y1639" s="6"/>
    </row>
    <row r="1640" spans="1:25" ht="15" customHeight="1" x14ac:dyDescent="0.2">
      <c r="A1640" s="88" t="s">
        <v>1932</v>
      </c>
      <c r="B1640" s="90"/>
      <c r="C1640" s="88" t="s">
        <v>2124</v>
      </c>
      <c r="D1640" s="90"/>
      <c r="E1640" s="106"/>
      <c r="F1640" s="107"/>
      <c r="G1640" s="107"/>
      <c r="H1640" s="107"/>
      <c r="I1640" s="108"/>
      <c r="J1640" s="88" t="s">
        <v>1246</v>
      </c>
      <c r="K1640" s="89"/>
      <c r="L1640" s="89"/>
      <c r="M1640" s="90"/>
      <c r="N1640" s="106"/>
      <c r="O1640" s="107"/>
      <c r="P1640" s="108"/>
      <c r="Q1640" s="133">
        <v>3900</v>
      </c>
      <c r="R1640" s="134"/>
      <c r="S1640" s="5" t="s">
        <v>2089</v>
      </c>
      <c r="T1640" s="6"/>
      <c r="U1640" s="6"/>
      <c r="V1640" s="5" t="s">
        <v>106</v>
      </c>
      <c r="W1640" s="12">
        <v>10366785</v>
      </c>
      <c r="X1640" s="6"/>
      <c r="Y1640" s="6"/>
    </row>
    <row r="1641" spans="1:25" ht="15" customHeight="1" x14ac:dyDescent="0.2">
      <c r="A1641" s="88" t="s">
        <v>1932</v>
      </c>
      <c r="B1641" s="90"/>
      <c r="C1641" s="88" t="s">
        <v>2125</v>
      </c>
      <c r="D1641" s="90"/>
      <c r="E1641" s="106"/>
      <c r="F1641" s="107"/>
      <c r="G1641" s="107"/>
      <c r="H1641" s="107"/>
      <c r="I1641" s="108"/>
      <c r="J1641" s="88" t="s">
        <v>1499</v>
      </c>
      <c r="K1641" s="89"/>
      <c r="L1641" s="89"/>
      <c r="M1641" s="90"/>
      <c r="N1641" s="106"/>
      <c r="O1641" s="107"/>
      <c r="P1641" s="108"/>
      <c r="Q1641" s="133">
        <v>3900</v>
      </c>
      <c r="R1641" s="134"/>
      <c r="S1641" s="5" t="s">
        <v>2089</v>
      </c>
      <c r="T1641" s="6"/>
      <c r="U1641" s="6"/>
      <c r="V1641" s="5" t="s">
        <v>106</v>
      </c>
      <c r="W1641" s="12">
        <v>10269692</v>
      </c>
      <c r="X1641" s="6"/>
      <c r="Y1641" s="6"/>
    </row>
    <row r="1642" spans="1:25" ht="15" customHeight="1" x14ac:dyDescent="0.2">
      <c r="A1642" s="88" t="s">
        <v>1932</v>
      </c>
      <c r="B1642" s="90"/>
      <c r="C1642" s="88" t="s">
        <v>2125</v>
      </c>
      <c r="D1642" s="90"/>
      <c r="E1642" s="106"/>
      <c r="F1642" s="107"/>
      <c r="G1642" s="107"/>
      <c r="H1642" s="107"/>
      <c r="I1642" s="108"/>
      <c r="J1642" s="88" t="s">
        <v>1246</v>
      </c>
      <c r="K1642" s="89"/>
      <c r="L1642" s="89"/>
      <c r="M1642" s="90"/>
      <c r="N1642" s="106"/>
      <c r="O1642" s="107"/>
      <c r="P1642" s="108"/>
      <c r="Q1642" s="133">
        <v>3900</v>
      </c>
      <c r="R1642" s="134"/>
      <c r="S1642" s="5" t="s">
        <v>2089</v>
      </c>
      <c r="T1642" s="6"/>
      <c r="U1642" s="6"/>
      <c r="V1642" s="5" t="s">
        <v>106</v>
      </c>
      <c r="W1642" s="12">
        <v>10051816</v>
      </c>
      <c r="X1642" s="6"/>
      <c r="Y1642" s="6"/>
    </row>
    <row r="1643" spans="1:25" ht="15" customHeight="1" x14ac:dyDescent="0.2">
      <c r="A1643" s="88" t="s">
        <v>1932</v>
      </c>
      <c r="B1643" s="90"/>
      <c r="C1643" s="88" t="s">
        <v>2126</v>
      </c>
      <c r="D1643" s="90"/>
      <c r="E1643" s="88" t="s">
        <v>2126</v>
      </c>
      <c r="F1643" s="89"/>
      <c r="G1643" s="89"/>
      <c r="H1643" s="89"/>
      <c r="I1643" s="90"/>
      <c r="J1643" s="88" t="s">
        <v>1499</v>
      </c>
      <c r="K1643" s="89"/>
      <c r="L1643" s="89"/>
      <c r="M1643" s="90"/>
      <c r="N1643" s="106"/>
      <c r="O1643" s="107"/>
      <c r="P1643" s="108"/>
      <c r="Q1643" s="133">
        <v>4500</v>
      </c>
      <c r="R1643" s="134"/>
      <c r="S1643" s="5" t="s">
        <v>44</v>
      </c>
      <c r="T1643" s="6"/>
      <c r="U1643" s="6"/>
      <c r="V1643" s="5" t="s">
        <v>702</v>
      </c>
      <c r="W1643" s="12">
        <v>8791793</v>
      </c>
      <c r="X1643" s="6"/>
      <c r="Y1643" s="6"/>
    </row>
    <row r="1644" spans="1:25" ht="15" customHeight="1" x14ac:dyDescent="0.2">
      <c r="A1644" s="88" t="s">
        <v>1932</v>
      </c>
      <c r="B1644" s="90"/>
      <c r="C1644" s="88" t="s">
        <v>2127</v>
      </c>
      <c r="D1644" s="90"/>
      <c r="E1644" s="88" t="s">
        <v>2127</v>
      </c>
      <c r="F1644" s="89"/>
      <c r="G1644" s="89"/>
      <c r="H1644" s="89"/>
      <c r="I1644" s="90"/>
      <c r="J1644" s="88" t="s">
        <v>1499</v>
      </c>
      <c r="K1644" s="89"/>
      <c r="L1644" s="89"/>
      <c r="M1644" s="90"/>
      <c r="N1644" s="106"/>
      <c r="O1644" s="107"/>
      <c r="P1644" s="108"/>
      <c r="Q1644" s="88" t="s">
        <v>2128</v>
      </c>
      <c r="R1644" s="90"/>
      <c r="S1644" s="5" t="s">
        <v>44</v>
      </c>
      <c r="T1644" s="6"/>
      <c r="U1644" s="6"/>
      <c r="V1644" s="5" t="s">
        <v>17</v>
      </c>
      <c r="W1644" s="12">
        <v>9723979</v>
      </c>
      <c r="X1644" s="6"/>
      <c r="Y1644" s="6"/>
    </row>
    <row r="1645" spans="1:25" ht="15" customHeight="1" x14ac:dyDescent="0.2">
      <c r="A1645" s="88" t="s">
        <v>1932</v>
      </c>
      <c r="B1645" s="90"/>
      <c r="C1645" s="88" t="s">
        <v>2129</v>
      </c>
      <c r="D1645" s="90"/>
      <c r="E1645" s="88" t="s">
        <v>2129</v>
      </c>
      <c r="F1645" s="89"/>
      <c r="G1645" s="89"/>
      <c r="H1645" s="89"/>
      <c r="I1645" s="90"/>
      <c r="J1645" s="88" t="s">
        <v>1499</v>
      </c>
      <c r="K1645" s="89"/>
      <c r="L1645" s="89"/>
      <c r="M1645" s="90"/>
      <c r="N1645" s="106"/>
      <c r="O1645" s="107"/>
      <c r="P1645" s="108"/>
      <c r="Q1645" s="88" t="s">
        <v>2130</v>
      </c>
      <c r="R1645" s="90"/>
      <c r="S1645" s="5" t="s">
        <v>1539</v>
      </c>
      <c r="T1645" s="6"/>
      <c r="U1645" s="6"/>
      <c r="V1645" s="5" t="s">
        <v>17</v>
      </c>
      <c r="W1645" s="12">
        <v>10206522</v>
      </c>
      <c r="X1645" s="6"/>
      <c r="Y1645" s="6"/>
    </row>
    <row r="1646" spans="1:25" ht="15" customHeight="1" x14ac:dyDescent="0.2">
      <c r="A1646" s="88" t="s">
        <v>1932</v>
      </c>
      <c r="B1646" s="90"/>
      <c r="C1646" s="88" t="s">
        <v>2131</v>
      </c>
      <c r="D1646" s="90"/>
      <c r="E1646" s="88" t="s">
        <v>2131</v>
      </c>
      <c r="F1646" s="89"/>
      <c r="G1646" s="89"/>
      <c r="H1646" s="89"/>
      <c r="I1646" s="90"/>
      <c r="J1646" s="88" t="s">
        <v>1499</v>
      </c>
      <c r="K1646" s="89"/>
      <c r="L1646" s="89"/>
      <c r="M1646" s="90"/>
      <c r="N1646" s="106"/>
      <c r="O1646" s="107"/>
      <c r="P1646" s="108"/>
      <c r="Q1646" s="88" t="s">
        <v>2132</v>
      </c>
      <c r="R1646" s="90"/>
      <c r="S1646" s="5" t="s">
        <v>44</v>
      </c>
      <c r="T1646" s="6"/>
      <c r="U1646" s="6"/>
      <c r="V1646" s="5" t="s">
        <v>17</v>
      </c>
      <c r="W1646" s="12">
        <v>10601331</v>
      </c>
      <c r="X1646" s="6"/>
      <c r="Y1646" s="6"/>
    </row>
    <row r="1647" spans="1:25" ht="15" customHeight="1" x14ac:dyDescent="0.2">
      <c r="A1647" s="88" t="s">
        <v>1932</v>
      </c>
      <c r="B1647" s="90"/>
      <c r="C1647" s="88" t="s">
        <v>2133</v>
      </c>
      <c r="D1647" s="90"/>
      <c r="E1647" s="88" t="s">
        <v>2133</v>
      </c>
      <c r="F1647" s="89"/>
      <c r="G1647" s="89"/>
      <c r="H1647" s="89"/>
      <c r="I1647" s="90"/>
      <c r="J1647" s="88" t="s">
        <v>1499</v>
      </c>
      <c r="K1647" s="89"/>
      <c r="L1647" s="89"/>
      <c r="M1647" s="90"/>
      <c r="N1647" s="106"/>
      <c r="O1647" s="107"/>
      <c r="P1647" s="108"/>
      <c r="Q1647" s="88" t="s">
        <v>2132</v>
      </c>
      <c r="R1647" s="90"/>
      <c r="S1647" s="5" t="s">
        <v>44</v>
      </c>
      <c r="T1647" s="6"/>
      <c r="U1647" s="6"/>
      <c r="V1647" s="5" t="s">
        <v>17</v>
      </c>
      <c r="W1647" s="12">
        <v>11478682</v>
      </c>
      <c r="X1647" s="6"/>
      <c r="Y1647" s="6"/>
    </row>
    <row r="1648" spans="1:25" ht="15" customHeight="1" x14ac:dyDescent="0.2">
      <c r="A1648" s="88" t="s">
        <v>1932</v>
      </c>
      <c r="B1648" s="90"/>
      <c r="C1648" s="88" t="s">
        <v>2134</v>
      </c>
      <c r="D1648" s="90"/>
      <c r="E1648" s="88" t="s">
        <v>2134</v>
      </c>
      <c r="F1648" s="89"/>
      <c r="G1648" s="89"/>
      <c r="H1648" s="89"/>
      <c r="I1648" s="90"/>
      <c r="J1648" s="88" t="s">
        <v>1499</v>
      </c>
      <c r="K1648" s="89"/>
      <c r="L1648" s="89"/>
      <c r="M1648" s="90"/>
      <c r="N1648" s="106"/>
      <c r="O1648" s="107"/>
      <c r="P1648" s="108"/>
      <c r="Q1648" s="88" t="s">
        <v>2132</v>
      </c>
      <c r="R1648" s="90"/>
      <c r="S1648" s="5" t="s">
        <v>44</v>
      </c>
      <c r="T1648" s="6"/>
      <c r="U1648" s="6"/>
      <c r="V1648" s="5" t="s">
        <v>17</v>
      </c>
      <c r="W1648" s="12">
        <v>12136696</v>
      </c>
      <c r="X1648" s="6"/>
      <c r="Y1648" s="6"/>
    </row>
    <row r="1649" spans="1:25" ht="15" customHeight="1" x14ac:dyDescent="0.2">
      <c r="A1649" s="88" t="s">
        <v>1932</v>
      </c>
      <c r="B1649" s="90"/>
      <c r="C1649" s="88" t="s">
        <v>2135</v>
      </c>
      <c r="D1649" s="90"/>
      <c r="E1649" s="88" t="s">
        <v>2135</v>
      </c>
      <c r="F1649" s="89"/>
      <c r="G1649" s="89"/>
      <c r="H1649" s="89"/>
      <c r="I1649" s="90"/>
      <c r="J1649" s="88" t="s">
        <v>1499</v>
      </c>
      <c r="K1649" s="89"/>
      <c r="L1649" s="89"/>
      <c r="M1649" s="90"/>
      <c r="N1649" s="106"/>
      <c r="O1649" s="107"/>
      <c r="P1649" s="108"/>
      <c r="Q1649" s="88" t="s">
        <v>2132</v>
      </c>
      <c r="R1649" s="90"/>
      <c r="S1649" s="5" t="s">
        <v>44</v>
      </c>
      <c r="T1649" s="6"/>
      <c r="U1649" s="6"/>
      <c r="V1649" s="5" t="s">
        <v>17</v>
      </c>
      <c r="W1649" s="12">
        <v>11990471</v>
      </c>
      <c r="X1649" s="6"/>
      <c r="Y1649" s="6"/>
    </row>
    <row r="1650" spans="1:25" ht="15" customHeight="1" x14ac:dyDescent="0.2">
      <c r="A1650" s="88" t="s">
        <v>1932</v>
      </c>
      <c r="B1650" s="90"/>
      <c r="C1650" s="88" t="s">
        <v>2136</v>
      </c>
      <c r="D1650" s="90"/>
      <c r="E1650" s="88" t="s">
        <v>2136</v>
      </c>
      <c r="F1650" s="89"/>
      <c r="G1650" s="89"/>
      <c r="H1650" s="89"/>
      <c r="I1650" s="90"/>
      <c r="J1650" s="88" t="s">
        <v>1499</v>
      </c>
      <c r="K1650" s="89"/>
      <c r="L1650" s="89"/>
      <c r="M1650" s="90"/>
      <c r="N1650" s="106"/>
      <c r="O1650" s="107"/>
      <c r="P1650" s="108"/>
      <c r="Q1650" s="88" t="s">
        <v>2132</v>
      </c>
      <c r="R1650" s="90"/>
      <c r="S1650" s="5" t="s">
        <v>44</v>
      </c>
      <c r="T1650" s="6"/>
      <c r="U1650" s="6"/>
      <c r="V1650" s="5" t="s">
        <v>17</v>
      </c>
      <c r="W1650" s="12">
        <v>12648484</v>
      </c>
      <c r="X1650" s="6"/>
      <c r="Y1650" s="6"/>
    </row>
    <row r="1651" spans="1:25" ht="15" customHeight="1" x14ac:dyDescent="0.2">
      <c r="A1651" s="88" t="s">
        <v>1932</v>
      </c>
      <c r="B1651" s="90"/>
      <c r="C1651" s="88" t="s">
        <v>2137</v>
      </c>
      <c r="D1651" s="90"/>
      <c r="E1651" s="88" t="s">
        <v>2137</v>
      </c>
      <c r="F1651" s="89"/>
      <c r="G1651" s="89"/>
      <c r="H1651" s="89"/>
      <c r="I1651" s="90"/>
      <c r="J1651" s="88" t="s">
        <v>1499</v>
      </c>
      <c r="K1651" s="89"/>
      <c r="L1651" s="89"/>
      <c r="M1651" s="90"/>
      <c r="N1651" s="106"/>
      <c r="O1651" s="107"/>
      <c r="P1651" s="108"/>
      <c r="Q1651" s="88" t="s">
        <v>2132</v>
      </c>
      <c r="R1651" s="90"/>
      <c r="S1651" s="5" t="s">
        <v>44</v>
      </c>
      <c r="T1651" s="6"/>
      <c r="U1651" s="6"/>
      <c r="V1651" s="5" t="s">
        <v>17</v>
      </c>
      <c r="W1651" s="12">
        <v>12429146</v>
      </c>
      <c r="X1651" s="6"/>
      <c r="Y1651" s="6"/>
    </row>
    <row r="1652" spans="1:25" ht="15" customHeight="1" x14ac:dyDescent="0.2">
      <c r="A1652" s="88" t="s">
        <v>1932</v>
      </c>
      <c r="B1652" s="90"/>
      <c r="C1652" s="88" t="s">
        <v>2138</v>
      </c>
      <c r="D1652" s="90"/>
      <c r="E1652" s="88" t="s">
        <v>2138</v>
      </c>
      <c r="F1652" s="89"/>
      <c r="G1652" s="89"/>
      <c r="H1652" s="89"/>
      <c r="I1652" s="90"/>
      <c r="J1652" s="88" t="s">
        <v>1499</v>
      </c>
      <c r="K1652" s="89"/>
      <c r="L1652" s="89"/>
      <c r="M1652" s="90"/>
      <c r="N1652" s="106"/>
      <c r="O1652" s="107"/>
      <c r="P1652" s="108"/>
      <c r="Q1652" s="88" t="s">
        <v>2132</v>
      </c>
      <c r="R1652" s="90"/>
      <c r="S1652" s="5" t="s">
        <v>44</v>
      </c>
      <c r="T1652" s="6"/>
      <c r="U1652" s="6"/>
      <c r="V1652" s="5" t="s">
        <v>17</v>
      </c>
      <c r="W1652" s="12">
        <v>13087160</v>
      </c>
      <c r="X1652" s="6"/>
      <c r="Y1652" s="6"/>
    </row>
    <row r="1653" spans="1:25" ht="15" customHeight="1" x14ac:dyDescent="0.2">
      <c r="A1653" s="88" t="s">
        <v>1932</v>
      </c>
      <c r="B1653" s="90"/>
      <c r="C1653" s="88" t="s">
        <v>2139</v>
      </c>
      <c r="D1653" s="90"/>
      <c r="E1653" s="88" t="s">
        <v>2139</v>
      </c>
      <c r="F1653" s="89"/>
      <c r="G1653" s="89"/>
      <c r="H1653" s="89"/>
      <c r="I1653" s="90"/>
      <c r="J1653" s="88" t="s">
        <v>1499</v>
      </c>
      <c r="K1653" s="89"/>
      <c r="L1653" s="89"/>
      <c r="M1653" s="90"/>
      <c r="N1653" s="106"/>
      <c r="O1653" s="107"/>
      <c r="P1653" s="108"/>
      <c r="Q1653" s="88" t="s">
        <v>2140</v>
      </c>
      <c r="R1653" s="90"/>
      <c r="S1653" s="5" t="s">
        <v>1539</v>
      </c>
      <c r="T1653" s="6"/>
      <c r="U1653" s="6"/>
      <c r="V1653" s="5" t="s">
        <v>17</v>
      </c>
      <c r="W1653" s="12">
        <v>11083874</v>
      </c>
      <c r="X1653" s="6"/>
      <c r="Y1653" s="6"/>
    </row>
    <row r="1654" spans="1:25" ht="15" customHeight="1" x14ac:dyDescent="0.2">
      <c r="A1654" s="88" t="s">
        <v>1932</v>
      </c>
      <c r="B1654" s="90"/>
      <c r="C1654" s="88" t="s">
        <v>2141</v>
      </c>
      <c r="D1654" s="90"/>
      <c r="E1654" s="88" t="s">
        <v>2141</v>
      </c>
      <c r="F1654" s="89"/>
      <c r="G1654" s="89"/>
      <c r="H1654" s="89"/>
      <c r="I1654" s="90"/>
      <c r="J1654" s="88" t="s">
        <v>1499</v>
      </c>
      <c r="K1654" s="89"/>
      <c r="L1654" s="89"/>
      <c r="M1654" s="90"/>
      <c r="N1654" s="106"/>
      <c r="O1654" s="107"/>
      <c r="P1654" s="108"/>
      <c r="Q1654" s="88" t="s">
        <v>2140</v>
      </c>
      <c r="R1654" s="90"/>
      <c r="S1654" s="5" t="s">
        <v>1539</v>
      </c>
      <c r="T1654" s="6"/>
      <c r="U1654" s="6"/>
      <c r="V1654" s="5" t="s">
        <v>17</v>
      </c>
      <c r="W1654" s="12">
        <v>11815000</v>
      </c>
      <c r="X1654" s="6"/>
      <c r="Y1654" s="6"/>
    </row>
    <row r="1655" spans="1:25" ht="15" customHeight="1" x14ac:dyDescent="0.2">
      <c r="A1655" s="88" t="s">
        <v>1932</v>
      </c>
      <c r="B1655" s="90"/>
      <c r="C1655" s="88" t="s">
        <v>2142</v>
      </c>
      <c r="D1655" s="90"/>
      <c r="E1655" s="88" t="s">
        <v>2142</v>
      </c>
      <c r="F1655" s="89"/>
      <c r="G1655" s="89"/>
      <c r="H1655" s="89"/>
      <c r="I1655" s="90"/>
      <c r="J1655" s="88" t="s">
        <v>1499</v>
      </c>
      <c r="K1655" s="89"/>
      <c r="L1655" s="89"/>
      <c r="M1655" s="90"/>
      <c r="N1655" s="106"/>
      <c r="O1655" s="107"/>
      <c r="P1655" s="108"/>
      <c r="Q1655" s="88" t="s">
        <v>2140</v>
      </c>
      <c r="R1655" s="90"/>
      <c r="S1655" s="5" t="s">
        <v>1539</v>
      </c>
      <c r="T1655" s="6"/>
      <c r="U1655" s="6"/>
      <c r="V1655" s="5" t="s">
        <v>17</v>
      </c>
      <c r="W1655" s="12">
        <v>12473014</v>
      </c>
      <c r="X1655" s="6"/>
      <c r="Y1655" s="6"/>
    </row>
    <row r="1656" spans="1:25" ht="15" customHeight="1" x14ac:dyDescent="0.2">
      <c r="A1656" s="88" t="s">
        <v>1932</v>
      </c>
      <c r="B1656" s="90"/>
      <c r="C1656" s="88" t="s">
        <v>2143</v>
      </c>
      <c r="D1656" s="90"/>
      <c r="E1656" s="88" t="s">
        <v>2143</v>
      </c>
      <c r="F1656" s="89"/>
      <c r="G1656" s="89"/>
      <c r="H1656" s="89"/>
      <c r="I1656" s="90"/>
      <c r="J1656" s="88" t="s">
        <v>1499</v>
      </c>
      <c r="K1656" s="89"/>
      <c r="L1656" s="89"/>
      <c r="M1656" s="90"/>
      <c r="N1656" s="106"/>
      <c r="O1656" s="107"/>
      <c r="P1656" s="108"/>
      <c r="Q1656" s="88" t="s">
        <v>2140</v>
      </c>
      <c r="R1656" s="90"/>
      <c r="S1656" s="5" t="s">
        <v>1539</v>
      </c>
      <c r="T1656" s="6"/>
      <c r="U1656" s="6"/>
      <c r="V1656" s="5" t="s">
        <v>17</v>
      </c>
      <c r="W1656" s="12">
        <v>12180563</v>
      </c>
      <c r="X1656" s="6"/>
      <c r="Y1656" s="6"/>
    </row>
    <row r="1657" spans="1:25" ht="15" customHeight="1" x14ac:dyDescent="0.2">
      <c r="A1657" s="88" t="s">
        <v>1932</v>
      </c>
      <c r="B1657" s="90"/>
      <c r="C1657" s="88" t="s">
        <v>2144</v>
      </c>
      <c r="D1657" s="90"/>
      <c r="E1657" s="88" t="s">
        <v>2144</v>
      </c>
      <c r="F1657" s="89"/>
      <c r="G1657" s="89"/>
      <c r="H1657" s="89"/>
      <c r="I1657" s="90"/>
      <c r="J1657" s="88" t="s">
        <v>1499</v>
      </c>
      <c r="K1657" s="89"/>
      <c r="L1657" s="89"/>
      <c r="M1657" s="90"/>
      <c r="N1657" s="106"/>
      <c r="O1657" s="107"/>
      <c r="P1657" s="108"/>
      <c r="Q1657" s="88" t="s">
        <v>2140</v>
      </c>
      <c r="R1657" s="90"/>
      <c r="S1657" s="6"/>
      <c r="T1657" s="6"/>
      <c r="U1657" s="6"/>
      <c r="V1657" s="5" t="s">
        <v>17</v>
      </c>
      <c r="W1657" s="12">
        <v>12838577</v>
      </c>
      <c r="X1657" s="6"/>
      <c r="Y1657" s="6"/>
    </row>
    <row r="1658" spans="1:25" ht="15" customHeight="1" x14ac:dyDescent="0.2">
      <c r="A1658" s="88" t="s">
        <v>1932</v>
      </c>
      <c r="B1658" s="90"/>
      <c r="C1658" s="88" t="s">
        <v>2145</v>
      </c>
      <c r="D1658" s="90"/>
      <c r="E1658" s="88" t="s">
        <v>2145</v>
      </c>
      <c r="F1658" s="89"/>
      <c r="G1658" s="89"/>
      <c r="H1658" s="89"/>
      <c r="I1658" s="90"/>
      <c r="J1658" s="88" t="s">
        <v>1499</v>
      </c>
      <c r="K1658" s="89"/>
      <c r="L1658" s="89"/>
      <c r="M1658" s="90"/>
      <c r="N1658" s="106"/>
      <c r="O1658" s="107"/>
      <c r="P1658" s="108"/>
      <c r="Q1658" s="88" t="s">
        <v>2140</v>
      </c>
      <c r="R1658" s="90"/>
      <c r="S1658" s="5" t="s">
        <v>1539</v>
      </c>
      <c r="T1658" s="6"/>
      <c r="U1658" s="6"/>
      <c r="V1658" s="5" t="s">
        <v>17</v>
      </c>
      <c r="W1658" s="12">
        <v>12326789</v>
      </c>
      <c r="X1658" s="6"/>
      <c r="Y1658" s="6"/>
    </row>
    <row r="1659" spans="1:25" ht="15" customHeight="1" x14ac:dyDescent="0.2">
      <c r="A1659" s="88" t="s">
        <v>1932</v>
      </c>
      <c r="B1659" s="90"/>
      <c r="C1659" s="88" t="s">
        <v>2146</v>
      </c>
      <c r="D1659" s="90"/>
      <c r="E1659" s="88" t="s">
        <v>2146</v>
      </c>
      <c r="F1659" s="89"/>
      <c r="G1659" s="89"/>
      <c r="H1659" s="89"/>
      <c r="I1659" s="90"/>
      <c r="J1659" s="88" t="s">
        <v>1499</v>
      </c>
      <c r="K1659" s="89"/>
      <c r="L1659" s="89"/>
      <c r="M1659" s="90"/>
      <c r="N1659" s="106"/>
      <c r="O1659" s="107"/>
      <c r="P1659" s="108"/>
      <c r="Q1659" s="88" t="s">
        <v>2140</v>
      </c>
      <c r="R1659" s="90"/>
      <c r="S1659" s="5" t="s">
        <v>1539</v>
      </c>
      <c r="T1659" s="6"/>
      <c r="U1659" s="6"/>
      <c r="V1659" s="5" t="s">
        <v>17</v>
      </c>
      <c r="W1659" s="12">
        <v>12984802</v>
      </c>
      <c r="X1659" s="6"/>
      <c r="Y1659" s="6"/>
    </row>
    <row r="1660" spans="1:25" ht="15" customHeight="1" x14ac:dyDescent="0.2">
      <c r="A1660" s="88" t="s">
        <v>1932</v>
      </c>
      <c r="B1660" s="90"/>
      <c r="C1660" s="88" t="s">
        <v>2147</v>
      </c>
      <c r="D1660" s="90"/>
      <c r="E1660" s="88" t="s">
        <v>2147</v>
      </c>
      <c r="F1660" s="89"/>
      <c r="G1660" s="89"/>
      <c r="H1660" s="89"/>
      <c r="I1660" s="90"/>
      <c r="J1660" s="88" t="s">
        <v>1499</v>
      </c>
      <c r="K1660" s="89"/>
      <c r="L1660" s="89"/>
      <c r="M1660" s="90"/>
      <c r="N1660" s="106"/>
      <c r="O1660" s="107"/>
      <c r="P1660" s="108"/>
      <c r="Q1660" s="88" t="s">
        <v>2140</v>
      </c>
      <c r="R1660" s="90"/>
      <c r="S1660" s="5" t="s">
        <v>1539</v>
      </c>
      <c r="T1660" s="6"/>
      <c r="U1660" s="6"/>
      <c r="V1660" s="5" t="s">
        <v>17</v>
      </c>
      <c r="W1660" s="12">
        <v>12765464</v>
      </c>
      <c r="X1660" s="6"/>
      <c r="Y1660" s="6"/>
    </row>
    <row r="1661" spans="1:25" ht="15" customHeight="1" x14ac:dyDescent="0.2">
      <c r="A1661" s="88" t="s">
        <v>1932</v>
      </c>
      <c r="B1661" s="90"/>
      <c r="C1661" s="88" t="s">
        <v>2148</v>
      </c>
      <c r="D1661" s="90"/>
      <c r="E1661" s="88" t="s">
        <v>2148</v>
      </c>
      <c r="F1661" s="89"/>
      <c r="G1661" s="89"/>
      <c r="H1661" s="89"/>
      <c r="I1661" s="90"/>
      <c r="J1661" s="88" t="s">
        <v>1499</v>
      </c>
      <c r="K1661" s="89"/>
      <c r="L1661" s="89"/>
      <c r="M1661" s="90"/>
      <c r="N1661" s="106"/>
      <c r="O1661" s="107"/>
      <c r="P1661" s="108"/>
      <c r="Q1661" s="88" t="s">
        <v>2140</v>
      </c>
      <c r="R1661" s="90"/>
      <c r="S1661" s="5" t="s">
        <v>1539</v>
      </c>
      <c r="T1661" s="6"/>
      <c r="U1661" s="6"/>
      <c r="V1661" s="5" t="s">
        <v>17</v>
      </c>
      <c r="W1661" s="12">
        <v>13423478</v>
      </c>
      <c r="X1661" s="6"/>
      <c r="Y1661" s="6"/>
    </row>
    <row r="1662" spans="1:25" ht="15" customHeight="1" x14ac:dyDescent="0.2">
      <c r="A1662" s="88" t="s">
        <v>1932</v>
      </c>
      <c r="B1662" s="90"/>
      <c r="C1662" s="88" t="s">
        <v>2149</v>
      </c>
      <c r="D1662" s="90"/>
      <c r="E1662" s="88" t="s">
        <v>2149</v>
      </c>
      <c r="F1662" s="89"/>
      <c r="G1662" s="89"/>
      <c r="H1662" s="89"/>
      <c r="I1662" s="90"/>
      <c r="J1662" s="88" t="s">
        <v>1499</v>
      </c>
      <c r="K1662" s="89"/>
      <c r="L1662" s="89"/>
      <c r="M1662" s="90"/>
      <c r="N1662" s="106"/>
      <c r="O1662" s="107"/>
      <c r="P1662" s="108"/>
      <c r="Q1662" s="88" t="s">
        <v>2140</v>
      </c>
      <c r="R1662" s="90"/>
      <c r="S1662" s="5" t="s">
        <v>1539</v>
      </c>
      <c r="T1662" s="6"/>
      <c r="U1662" s="6"/>
      <c r="V1662" s="5" t="s">
        <v>17</v>
      </c>
      <c r="W1662" s="12">
        <v>12692352</v>
      </c>
      <c r="X1662" s="6"/>
      <c r="Y1662" s="6"/>
    </row>
    <row r="1663" spans="1:25" ht="15" customHeight="1" x14ac:dyDescent="0.2">
      <c r="A1663" s="88" t="s">
        <v>1932</v>
      </c>
      <c r="B1663" s="90"/>
      <c r="C1663" s="88" t="s">
        <v>2150</v>
      </c>
      <c r="D1663" s="90"/>
      <c r="E1663" s="88" t="s">
        <v>2150</v>
      </c>
      <c r="F1663" s="89"/>
      <c r="G1663" s="89"/>
      <c r="H1663" s="89"/>
      <c r="I1663" s="90"/>
      <c r="J1663" s="88" t="s">
        <v>1499</v>
      </c>
      <c r="K1663" s="89"/>
      <c r="L1663" s="89"/>
      <c r="M1663" s="90"/>
      <c r="N1663" s="106"/>
      <c r="O1663" s="107"/>
      <c r="P1663" s="108"/>
      <c r="Q1663" s="88" t="s">
        <v>2140</v>
      </c>
      <c r="R1663" s="90"/>
      <c r="S1663" s="5" t="s">
        <v>1539</v>
      </c>
      <c r="T1663" s="6"/>
      <c r="U1663" s="6"/>
      <c r="V1663" s="5" t="s">
        <v>17</v>
      </c>
      <c r="W1663" s="12">
        <v>13350365</v>
      </c>
      <c r="X1663" s="6"/>
      <c r="Y1663" s="6"/>
    </row>
    <row r="1664" spans="1:25" ht="15" customHeight="1" x14ac:dyDescent="0.2">
      <c r="A1664" s="88" t="s">
        <v>1932</v>
      </c>
      <c r="B1664" s="90"/>
      <c r="C1664" s="88" t="s">
        <v>2151</v>
      </c>
      <c r="D1664" s="90"/>
      <c r="E1664" s="88" t="s">
        <v>2151</v>
      </c>
      <c r="F1664" s="89"/>
      <c r="G1664" s="89"/>
      <c r="H1664" s="89"/>
      <c r="I1664" s="90"/>
      <c r="J1664" s="88" t="s">
        <v>1499</v>
      </c>
      <c r="K1664" s="89"/>
      <c r="L1664" s="89"/>
      <c r="M1664" s="90"/>
      <c r="N1664" s="106"/>
      <c r="O1664" s="107"/>
      <c r="P1664" s="108"/>
      <c r="Q1664" s="88" t="s">
        <v>2140</v>
      </c>
      <c r="R1664" s="90"/>
      <c r="S1664" s="5" t="s">
        <v>1539</v>
      </c>
      <c r="T1664" s="6"/>
      <c r="U1664" s="6"/>
      <c r="V1664" s="5" t="s">
        <v>17</v>
      </c>
      <c r="W1664" s="12">
        <v>13131027</v>
      </c>
      <c r="X1664" s="6"/>
      <c r="Y1664" s="6"/>
    </row>
    <row r="1665" spans="1:25" ht="15" customHeight="1" x14ac:dyDescent="0.2">
      <c r="A1665" s="88" t="s">
        <v>1932</v>
      </c>
      <c r="B1665" s="90"/>
      <c r="C1665" s="88" t="s">
        <v>2152</v>
      </c>
      <c r="D1665" s="90"/>
      <c r="E1665" s="88" t="s">
        <v>2152</v>
      </c>
      <c r="F1665" s="89"/>
      <c r="G1665" s="89"/>
      <c r="H1665" s="89"/>
      <c r="I1665" s="90"/>
      <c r="J1665" s="88" t="s">
        <v>1499</v>
      </c>
      <c r="K1665" s="89"/>
      <c r="L1665" s="89"/>
      <c r="M1665" s="90"/>
      <c r="N1665" s="106"/>
      <c r="O1665" s="107"/>
      <c r="P1665" s="108"/>
      <c r="Q1665" s="88" t="s">
        <v>2140</v>
      </c>
      <c r="R1665" s="90"/>
      <c r="S1665" s="5" t="s">
        <v>1539</v>
      </c>
      <c r="T1665" s="6"/>
      <c r="U1665" s="6"/>
      <c r="V1665" s="5" t="s">
        <v>17</v>
      </c>
      <c r="W1665" s="12">
        <v>13789041</v>
      </c>
      <c r="X1665" s="6"/>
      <c r="Y1665" s="6"/>
    </row>
    <row r="1666" spans="1:25" ht="15" customHeight="1" x14ac:dyDescent="0.2">
      <c r="A1666" s="88" t="s">
        <v>1932</v>
      </c>
      <c r="B1666" s="90"/>
      <c r="C1666" s="88" t="s">
        <v>2153</v>
      </c>
      <c r="D1666" s="90"/>
      <c r="E1666" s="88" t="s">
        <v>2153</v>
      </c>
      <c r="F1666" s="89"/>
      <c r="G1666" s="89"/>
      <c r="H1666" s="89"/>
      <c r="I1666" s="90"/>
      <c r="J1666" s="88" t="s">
        <v>1499</v>
      </c>
      <c r="K1666" s="89"/>
      <c r="L1666" s="89"/>
      <c r="M1666" s="90"/>
      <c r="N1666" s="106"/>
      <c r="O1666" s="107"/>
      <c r="P1666" s="108"/>
      <c r="Q1666" s="88" t="s">
        <v>2140</v>
      </c>
      <c r="R1666" s="90"/>
      <c r="S1666" s="5" t="s">
        <v>1539</v>
      </c>
      <c r="T1666" s="6"/>
      <c r="U1666" s="6"/>
      <c r="V1666" s="5" t="s">
        <v>17</v>
      </c>
      <c r="W1666" s="12">
        <v>16140782</v>
      </c>
      <c r="X1666" s="6"/>
      <c r="Y1666" s="6"/>
    </row>
    <row r="1667" spans="1:25" ht="15" customHeight="1" x14ac:dyDescent="0.2">
      <c r="A1667" s="88" t="s">
        <v>1932</v>
      </c>
      <c r="B1667" s="90"/>
      <c r="C1667" s="88" t="s">
        <v>2154</v>
      </c>
      <c r="D1667" s="90"/>
      <c r="E1667" s="88" t="s">
        <v>2154</v>
      </c>
      <c r="F1667" s="89"/>
      <c r="G1667" s="89"/>
      <c r="H1667" s="89"/>
      <c r="I1667" s="90"/>
      <c r="J1667" s="88" t="s">
        <v>1499</v>
      </c>
      <c r="K1667" s="89"/>
      <c r="L1667" s="89"/>
      <c r="M1667" s="90"/>
      <c r="N1667" s="106"/>
      <c r="O1667" s="107"/>
      <c r="P1667" s="108"/>
      <c r="Q1667" s="88" t="s">
        <v>2140</v>
      </c>
      <c r="R1667" s="90"/>
      <c r="S1667" s="5" t="s">
        <v>1539</v>
      </c>
      <c r="T1667" s="6"/>
      <c r="U1667" s="6"/>
      <c r="V1667" s="5" t="s">
        <v>17</v>
      </c>
      <c r="W1667" s="12">
        <v>16725683</v>
      </c>
      <c r="X1667" s="6"/>
      <c r="Y1667" s="6"/>
    </row>
    <row r="1668" spans="1:25" ht="15" customHeight="1" x14ac:dyDescent="0.2">
      <c r="A1668" s="88" t="s">
        <v>1932</v>
      </c>
      <c r="B1668" s="90"/>
      <c r="C1668" s="88" t="s">
        <v>2155</v>
      </c>
      <c r="D1668" s="90"/>
      <c r="E1668" s="88" t="s">
        <v>2155</v>
      </c>
      <c r="F1668" s="89"/>
      <c r="G1668" s="89"/>
      <c r="H1668" s="89"/>
      <c r="I1668" s="90"/>
      <c r="J1668" s="88" t="s">
        <v>1499</v>
      </c>
      <c r="K1668" s="89"/>
      <c r="L1668" s="89"/>
      <c r="M1668" s="90"/>
      <c r="N1668" s="106"/>
      <c r="O1668" s="107"/>
      <c r="P1668" s="108"/>
      <c r="Q1668" s="88" t="s">
        <v>2156</v>
      </c>
      <c r="R1668" s="90"/>
      <c r="S1668" s="5" t="s">
        <v>16</v>
      </c>
      <c r="T1668" s="6"/>
      <c r="U1668" s="6"/>
      <c r="V1668" s="5" t="s">
        <v>17</v>
      </c>
      <c r="W1668" s="12">
        <v>5702785</v>
      </c>
      <c r="X1668" s="6"/>
      <c r="Y1668" s="6"/>
    </row>
    <row r="1669" spans="1:25" ht="15" customHeight="1" x14ac:dyDescent="0.2">
      <c r="A1669" s="88" t="s">
        <v>1932</v>
      </c>
      <c r="B1669" s="90"/>
      <c r="C1669" s="88" t="s">
        <v>2157</v>
      </c>
      <c r="D1669" s="90"/>
      <c r="E1669" s="88" t="s">
        <v>2157</v>
      </c>
      <c r="F1669" s="89"/>
      <c r="G1669" s="89"/>
      <c r="H1669" s="89"/>
      <c r="I1669" s="90"/>
      <c r="J1669" s="88" t="s">
        <v>1499</v>
      </c>
      <c r="K1669" s="89"/>
      <c r="L1669" s="89"/>
      <c r="M1669" s="90"/>
      <c r="N1669" s="106"/>
      <c r="O1669" s="107"/>
      <c r="P1669" s="108"/>
      <c r="Q1669" s="88" t="s">
        <v>2158</v>
      </c>
      <c r="R1669" s="90"/>
      <c r="S1669" s="5" t="s">
        <v>16</v>
      </c>
      <c r="T1669" s="6"/>
      <c r="U1669" s="6"/>
      <c r="V1669" s="5" t="s">
        <v>17</v>
      </c>
      <c r="W1669" s="12">
        <v>6214573</v>
      </c>
      <c r="X1669" s="6"/>
      <c r="Y1669" s="6"/>
    </row>
    <row r="1670" spans="1:25" ht="15" customHeight="1" x14ac:dyDescent="0.2">
      <c r="A1670" s="88" t="s">
        <v>1932</v>
      </c>
      <c r="B1670" s="90"/>
      <c r="C1670" s="88" t="s">
        <v>2159</v>
      </c>
      <c r="D1670" s="90"/>
      <c r="E1670" s="88" t="s">
        <v>2159</v>
      </c>
      <c r="F1670" s="89"/>
      <c r="G1670" s="89"/>
      <c r="H1670" s="89"/>
      <c r="I1670" s="90"/>
      <c r="J1670" s="88" t="s">
        <v>1499</v>
      </c>
      <c r="K1670" s="89"/>
      <c r="L1670" s="89"/>
      <c r="M1670" s="90"/>
      <c r="N1670" s="106"/>
      <c r="O1670" s="107"/>
      <c r="P1670" s="108"/>
      <c r="Q1670" s="88" t="s">
        <v>2158</v>
      </c>
      <c r="R1670" s="90"/>
      <c r="S1670" s="5" t="s">
        <v>16</v>
      </c>
      <c r="T1670" s="6"/>
      <c r="U1670" s="6"/>
      <c r="V1670" s="5" t="s">
        <v>17</v>
      </c>
      <c r="W1670" s="12">
        <v>6580136</v>
      </c>
      <c r="X1670" s="6"/>
      <c r="Y1670" s="6"/>
    </row>
    <row r="1671" spans="1:25" ht="15" customHeight="1" x14ac:dyDescent="0.2">
      <c r="A1671" s="88" t="s">
        <v>1932</v>
      </c>
      <c r="B1671" s="90"/>
      <c r="C1671" s="88" t="s">
        <v>2160</v>
      </c>
      <c r="D1671" s="90"/>
      <c r="E1671" s="88" t="s">
        <v>2160</v>
      </c>
      <c r="F1671" s="89"/>
      <c r="G1671" s="89"/>
      <c r="H1671" s="89"/>
      <c r="I1671" s="90"/>
      <c r="J1671" s="88" t="s">
        <v>1499</v>
      </c>
      <c r="K1671" s="89"/>
      <c r="L1671" s="89"/>
      <c r="M1671" s="90"/>
      <c r="N1671" s="106"/>
      <c r="O1671" s="107"/>
      <c r="P1671" s="108"/>
      <c r="Q1671" s="88" t="s">
        <v>2158</v>
      </c>
      <c r="R1671" s="90"/>
      <c r="S1671" s="5" t="s">
        <v>16</v>
      </c>
      <c r="T1671" s="6"/>
      <c r="U1671" s="6"/>
      <c r="V1671" s="5" t="s">
        <v>17</v>
      </c>
      <c r="W1671" s="12">
        <v>6580136</v>
      </c>
      <c r="X1671" s="6"/>
      <c r="Y1671" s="6"/>
    </row>
    <row r="1672" spans="1:25" ht="15" customHeight="1" x14ac:dyDescent="0.2">
      <c r="A1672" s="88" t="s">
        <v>1932</v>
      </c>
      <c r="B1672" s="90"/>
      <c r="C1672" s="88" t="s">
        <v>2161</v>
      </c>
      <c r="D1672" s="90"/>
      <c r="E1672" s="88" t="s">
        <v>2161</v>
      </c>
      <c r="F1672" s="89"/>
      <c r="G1672" s="89"/>
      <c r="H1672" s="89"/>
      <c r="I1672" s="90"/>
      <c r="J1672" s="88" t="s">
        <v>1499</v>
      </c>
      <c r="K1672" s="89"/>
      <c r="L1672" s="89"/>
      <c r="M1672" s="90"/>
      <c r="N1672" s="106"/>
      <c r="O1672" s="107"/>
      <c r="P1672" s="108"/>
      <c r="Q1672" s="106"/>
      <c r="R1672" s="108"/>
      <c r="S1672" s="5" t="s">
        <v>27</v>
      </c>
      <c r="T1672" s="6"/>
      <c r="U1672" s="6"/>
      <c r="V1672" s="5" t="s">
        <v>17</v>
      </c>
      <c r="W1672" s="12">
        <v>7264958</v>
      </c>
      <c r="X1672" s="6"/>
      <c r="Y1672" s="6"/>
    </row>
    <row r="1673" spans="1:25" ht="15" customHeight="1" x14ac:dyDescent="0.2">
      <c r="A1673" s="88" t="s">
        <v>1932</v>
      </c>
      <c r="B1673" s="90"/>
      <c r="C1673" s="88" t="s">
        <v>2162</v>
      </c>
      <c r="D1673" s="90"/>
      <c r="E1673" s="88" t="s">
        <v>2162</v>
      </c>
      <c r="F1673" s="89"/>
      <c r="G1673" s="89"/>
      <c r="H1673" s="89"/>
      <c r="I1673" s="90"/>
      <c r="J1673" s="88" t="s">
        <v>1499</v>
      </c>
      <c r="K1673" s="89"/>
      <c r="L1673" s="89"/>
      <c r="M1673" s="90"/>
      <c r="N1673" s="106"/>
      <c r="O1673" s="107"/>
      <c r="P1673" s="108"/>
      <c r="Q1673" s="106"/>
      <c r="R1673" s="108"/>
      <c r="S1673" s="5" t="s">
        <v>27</v>
      </c>
      <c r="T1673" s="6"/>
      <c r="U1673" s="6"/>
      <c r="V1673" s="5" t="s">
        <v>17</v>
      </c>
      <c r="W1673" s="12">
        <v>7935157</v>
      </c>
      <c r="X1673" s="6"/>
      <c r="Y1673" s="6"/>
    </row>
    <row r="1674" spans="1:25" ht="15" customHeight="1" x14ac:dyDescent="0.2">
      <c r="A1674" s="88" t="s">
        <v>1932</v>
      </c>
      <c r="B1674" s="90"/>
      <c r="C1674" s="88" t="s">
        <v>2163</v>
      </c>
      <c r="D1674" s="90"/>
      <c r="E1674" s="88" t="s">
        <v>2163</v>
      </c>
      <c r="F1674" s="89"/>
      <c r="G1674" s="89"/>
      <c r="H1674" s="89"/>
      <c r="I1674" s="90"/>
      <c r="J1674" s="88" t="s">
        <v>1499</v>
      </c>
      <c r="K1674" s="89"/>
      <c r="L1674" s="89"/>
      <c r="M1674" s="90"/>
      <c r="N1674" s="106"/>
      <c r="O1674" s="107"/>
      <c r="P1674" s="108"/>
      <c r="Q1674" s="106"/>
      <c r="R1674" s="108"/>
      <c r="S1674" s="5" t="s">
        <v>16</v>
      </c>
      <c r="T1674" s="6"/>
      <c r="U1674" s="6"/>
      <c r="V1674" s="5" t="s">
        <v>17</v>
      </c>
      <c r="W1674" s="12">
        <v>8481065</v>
      </c>
      <c r="X1674" s="6"/>
      <c r="Y1674" s="6"/>
    </row>
    <row r="1675" spans="1:25" ht="15" customHeight="1" x14ac:dyDescent="0.2">
      <c r="A1675" s="88" t="s">
        <v>1932</v>
      </c>
      <c r="B1675" s="90"/>
      <c r="C1675" s="88" t="s">
        <v>2164</v>
      </c>
      <c r="D1675" s="90"/>
      <c r="E1675" s="88" t="s">
        <v>2164</v>
      </c>
      <c r="F1675" s="89"/>
      <c r="G1675" s="89"/>
      <c r="H1675" s="89"/>
      <c r="I1675" s="90"/>
      <c r="J1675" s="88" t="s">
        <v>1499</v>
      </c>
      <c r="K1675" s="89"/>
      <c r="L1675" s="89"/>
      <c r="M1675" s="90"/>
      <c r="N1675" s="106"/>
      <c r="O1675" s="107"/>
      <c r="P1675" s="108"/>
      <c r="Q1675" s="106"/>
      <c r="R1675" s="108"/>
      <c r="S1675" s="5" t="s">
        <v>16</v>
      </c>
      <c r="T1675" s="6"/>
      <c r="U1675" s="6"/>
      <c r="V1675" s="5" t="s">
        <v>17</v>
      </c>
      <c r="W1675" s="12">
        <v>9065966</v>
      </c>
      <c r="X1675" s="6"/>
      <c r="Y1675" s="6"/>
    </row>
    <row r="1676" spans="1:25" ht="15" customHeight="1" x14ac:dyDescent="0.2">
      <c r="A1676" s="88" t="s">
        <v>1932</v>
      </c>
      <c r="B1676" s="90"/>
      <c r="C1676" s="88" t="s">
        <v>2165</v>
      </c>
      <c r="D1676" s="90"/>
      <c r="E1676" s="88" t="s">
        <v>2165</v>
      </c>
      <c r="F1676" s="89"/>
      <c r="G1676" s="89"/>
      <c r="H1676" s="89"/>
      <c r="I1676" s="90"/>
      <c r="J1676" s="88" t="s">
        <v>1499</v>
      </c>
      <c r="K1676" s="89"/>
      <c r="L1676" s="89"/>
      <c r="M1676" s="90"/>
      <c r="N1676" s="106"/>
      <c r="O1676" s="107"/>
      <c r="P1676" s="108"/>
      <c r="Q1676" s="106"/>
      <c r="R1676" s="108"/>
      <c r="S1676" s="5" t="s">
        <v>16</v>
      </c>
      <c r="T1676" s="6"/>
      <c r="U1676" s="6"/>
      <c r="V1676" s="5" t="s">
        <v>17</v>
      </c>
      <c r="W1676" s="12">
        <v>9943317</v>
      </c>
      <c r="X1676" s="6"/>
      <c r="Y1676" s="6"/>
    </row>
    <row r="1677" spans="1:25" ht="15" customHeight="1" x14ac:dyDescent="0.2">
      <c r="A1677" s="88" t="s">
        <v>1932</v>
      </c>
      <c r="B1677" s="90"/>
      <c r="C1677" s="88" t="s">
        <v>2166</v>
      </c>
      <c r="D1677" s="90"/>
      <c r="E1677" s="88" t="s">
        <v>2166</v>
      </c>
      <c r="F1677" s="89"/>
      <c r="G1677" s="89"/>
      <c r="H1677" s="89"/>
      <c r="I1677" s="90"/>
      <c r="J1677" s="88" t="s">
        <v>1499</v>
      </c>
      <c r="K1677" s="89"/>
      <c r="L1677" s="89"/>
      <c r="M1677" s="90"/>
      <c r="N1677" s="106"/>
      <c r="O1677" s="107"/>
      <c r="P1677" s="108"/>
      <c r="Q1677" s="106"/>
      <c r="R1677" s="108"/>
      <c r="S1677" s="5" t="s">
        <v>16</v>
      </c>
      <c r="T1677" s="6"/>
      <c r="U1677" s="6"/>
      <c r="V1677" s="5" t="s">
        <v>17</v>
      </c>
      <c r="W1677" s="12">
        <v>10381993</v>
      </c>
      <c r="X1677" s="6"/>
      <c r="Y1677" s="6"/>
    </row>
    <row r="1678" spans="1:25" ht="15" customHeight="1" x14ac:dyDescent="0.2">
      <c r="A1678" s="88" t="s">
        <v>1932</v>
      </c>
      <c r="B1678" s="90"/>
      <c r="C1678" s="88" t="s">
        <v>2167</v>
      </c>
      <c r="D1678" s="90"/>
      <c r="E1678" s="88" t="s">
        <v>2167</v>
      </c>
      <c r="F1678" s="89"/>
      <c r="G1678" s="89"/>
      <c r="H1678" s="89"/>
      <c r="I1678" s="90"/>
      <c r="J1678" s="88" t="s">
        <v>1499</v>
      </c>
      <c r="K1678" s="89"/>
      <c r="L1678" s="89"/>
      <c r="M1678" s="90"/>
      <c r="N1678" s="106"/>
      <c r="O1678" s="107"/>
      <c r="P1678" s="108"/>
      <c r="Q1678" s="106"/>
      <c r="R1678" s="108"/>
      <c r="S1678" s="5" t="s">
        <v>16</v>
      </c>
      <c r="T1678" s="6"/>
      <c r="U1678" s="6"/>
      <c r="V1678" s="5" t="s">
        <v>17</v>
      </c>
      <c r="W1678" s="12">
        <v>7896164</v>
      </c>
      <c r="X1678" s="6"/>
      <c r="Y1678" s="6"/>
    </row>
    <row r="1679" spans="1:25" ht="15" customHeight="1" x14ac:dyDescent="0.2">
      <c r="A1679" s="88" t="s">
        <v>1932</v>
      </c>
      <c r="B1679" s="90"/>
      <c r="C1679" s="88" t="s">
        <v>2168</v>
      </c>
      <c r="D1679" s="90"/>
      <c r="E1679" s="88" t="s">
        <v>2169</v>
      </c>
      <c r="F1679" s="89"/>
      <c r="G1679" s="89"/>
      <c r="H1679" s="89"/>
      <c r="I1679" s="90"/>
      <c r="J1679" s="88" t="s">
        <v>13</v>
      </c>
      <c r="K1679" s="89"/>
      <c r="L1679" s="89"/>
      <c r="M1679" s="90"/>
      <c r="N1679" s="88" t="s">
        <v>26</v>
      </c>
      <c r="O1679" s="89"/>
      <c r="P1679" s="90"/>
      <c r="Q1679" s="88" t="s">
        <v>181</v>
      </c>
      <c r="R1679" s="90"/>
      <c r="S1679" s="5" t="s">
        <v>27</v>
      </c>
      <c r="T1679" s="6"/>
      <c r="U1679" s="6"/>
      <c r="V1679" s="5" t="s">
        <v>17</v>
      </c>
      <c r="W1679" s="12">
        <v>9623136</v>
      </c>
      <c r="X1679" s="6"/>
      <c r="Y1679" s="6"/>
    </row>
    <row r="1680" spans="1:25" ht="15" customHeight="1" x14ac:dyDescent="0.2">
      <c r="A1680" s="88" t="s">
        <v>1932</v>
      </c>
      <c r="B1680" s="90"/>
      <c r="C1680" s="88" t="s">
        <v>2168</v>
      </c>
      <c r="D1680" s="90"/>
      <c r="E1680" s="88" t="s">
        <v>2170</v>
      </c>
      <c r="F1680" s="89"/>
      <c r="G1680" s="89"/>
      <c r="H1680" s="89"/>
      <c r="I1680" s="90"/>
      <c r="J1680" s="88" t="s">
        <v>13</v>
      </c>
      <c r="K1680" s="89"/>
      <c r="L1680" s="89"/>
      <c r="M1680" s="90"/>
      <c r="N1680" s="88" t="s">
        <v>26</v>
      </c>
      <c r="O1680" s="89"/>
      <c r="P1680" s="90"/>
      <c r="Q1680" s="88" t="s">
        <v>181</v>
      </c>
      <c r="R1680" s="90"/>
      <c r="S1680" s="5" t="s">
        <v>27</v>
      </c>
      <c r="T1680" s="6"/>
      <c r="U1680" s="6"/>
      <c r="V1680" s="5" t="s">
        <v>17</v>
      </c>
      <c r="W1680" s="12">
        <v>7750851</v>
      </c>
      <c r="X1680" s="6"/>
      <c r="Y1680" s="6"/>
    </row>
    <row r="1681" spans="1:25" ht="15" customHeight="1" x14ac:dyDescent="0.2">
      <c r="A1681" s="88" t="s">
        <v>1932</v>
      </c>
      <c r="B1681" s="90"/>
      <c r="C1681" s="88" t="s">
        <v>2171</v>
      </c>
      <c r="D1681" s="90"/>
      <c r="E1681" s="88" t="s">
        <v>2172</v>
      </c>
      <c r="F1681" s="89"/>
      <c r="G1681" s="89"/>
      <c r="H1681" s="89"/>
      <c r="I1681" s="90"/>
      <c r="J1681" s="88" t="s">
        <v>13</v>
      </c>
      <c r="K1681" s="89"/>
      <c r="L1681" s="89"/>
      <c r="M1681" s="90"/>
      <c r="N1681" s="88" t="s">
        <v>22</v>
      </c>
      <c r="O1681" s="89"/>
      <c r="P1681" s="90"/>
      <c r="Q1681" s="88" t="s">
        <v>181</v>
      </c>
      <c r="R1681" s="90"/>
      <c r="S1681" s="5" t="s">
        <v>27</v>
      </c>
      <c r="T1681" s="6"/>
      <c r="U1681" s="6"/>
      <c r="V1681" s="5" t="s">
        <v>17</v>
      </c>
      <c r="W1681" s="12">
        <v>9453482</v>
      </c>
      <c r="X1681" s="6"/>
      <c r="Y1681" s="6"/>
    </row>
    <row r="1682" spans="1:25" ht="15" customHeight="1" x14ac:dyDescent="0.2">
      <c r="A1682" s="88" t="s">
        <v>1932</v>
      </c>
      <c r="B1682" s="90"/>
      <c r="C1682" s="88" t="s">
        <v>2173</v>
      </c>
      <c r="D1682" s="90"/>
      <c r="E1682" s="88" t="s">
        <v>2172</v>
      </c>
      <c r="F1682" s="89"/>
      <c r="G1682" s="89"/>
      <c r="H1682" s="89"/>
      <c r="I1682" s="90"/>
      <c r="J1682" s="88" t="s">
        <v>13</v>
      </c>
      <c r="K1682" s="89"/>
      <c r="L1682" s="89"/>
      <c r="M1682" s="90"/>
      <c r="N1682" s="88" t="s">
        <v>22</v>
      </c>
      <c r="O1682" s="89"/>
      <c r="P1682" s="90"/>
      <c r="Q1682" s="88" t="s">
        <v>181</v>
      </c>
      <c r="R1682" s="90"/>
      <c r="S1682" s="5" t="s">
        <v>27</v>
      </c>
      <c r="T1682" s="6"/>
      <c r="U1682" s="6"/>
      <c r="V1682" s="5" t="s">
        <v>17</v>
      </c>
      <c r="W1682" s="12">
        <v>8882243</v>
      </c>
      <c r="X1682" s="6"/>
      <c r="Y1682" s="6"/>
    </row>
    <row r="1683" spans="1:25" ht="15" customHeight="1" x14ac:dyDescent="0.2">
      <c r="A1683" s="88" t="s">
        <v>1932</v>
      </c>
      <c r="B1683" s="90"/>
      <c r="C1683" s="88" t="s">
        <v>2173</v>
      </c>
      <c r="D1683" s="90"/>
      <c r="E1683" s="106"/>
      <c r="F1683" s="107"/>
      <c r="G1683" s="107"/>
      <c r="H1683" s="107"/>
      <c r="I1683" s="108"/>
      <c r="J1683" s="88" t="s">
        <v>13</v>
      </c>
      <c r="K1683" s="89"/>
      <c r="L1683" s="89"/>
      <c r="M1683" s="90"/>
      <c r="N1683" s="88" t="s">
        <v>26</v>
      </c>
      <c r="O1683" s="89"/>
      <c r="P1683" s="90"/>
      <c r="Q1683" s="88" t="s">
        <v>181</v>
      </c>
      <c r="R1683" s="90"/>
      <c r="S1683" s="5" t="s">
        <v>27</v>
      </c>
      <c r="T1683" s="6"/>
      <c r="U1683" s="6"/>
      <c r="V1683" s="5" t="s">
        <v>17</v>
      </c>
      <c r="W1683" s="12">
        <v>8248403</v>
      </c>
      <c r="X1683" s="6"/>
      <c r="Y1683" s="6"/>
    </row>
    <row r="1684" spans="1:25" ht="15" customHeight="1" x14ac:dyDescent="0.2">
      <c r="A1684" s="88" t="s">
        <v>1932</v>
      </c>
      <c r="B1684" s="90"/>
      <c r="C1684" s="88" t="s">
        <v>2174</v>
      </c>
      <c r="D1684" s="90"/>
      <c r="E1684" s="88" t="s">
        <v>2169</v>
      </c>
      <c r="F1684" s="89"/>
      <c r="G1684" s="89"/>
      <c r="H1684" s="89"/>
      <c r="I1684" s="90"/>
      <c r="J1684" s="88" t="s">
        <v>13</v>
      </c>
      <c r="K1684" s="89"/>
      <c r="L1684" s="89"/>
      <c r="M1684" s="90"/>
      <c r="N1684" s="88" t="s">
        <v>26</v>
      </c>
      <c r="O1684" s="89"/>
      <c r="P1684" s="90"/>
      <c r="Q1684" s="88" t="s">
        <v>181</v>
      </c>
      <c r="R1684" s="90"/>
      <c r="S1684" s="5" t="s">
        <v>27</v>
      </c>
      <c r="T1684" s="6"/>
      <c r="U1684" s="6"/>
      <c r="V1684" s="5" t="s">
        <v>17</v>
      </c>
      <c r="W1684" s="12">
        <v>7194339</v>
      </c>
      <c r="X1684" s="6"/>
      <c r="Y1684" s="6"/>
    </row>
    <row r="1685" spans="1:25" ht="15" customHeight="1" x14ac:dyDescent="0.2">
      <c r="A1685" s="88" t="s">
        <v>1932</v>
      </c>
      <c r="B1685" s="90"/>
      <c r="C1685" s="88" t="s">
        <v>2175</v>
      </c>
      <c r="D1685" s="90"/>
      <c r="E1685" s="88" t="s">
        <v>2176</v>
      </c>
      <c r="F1685" s="89"/>
      <c r="G1685" s="89"/>
      <c r="H1685" s="89"/>
      <c r="I1685" s="90"/>
      <c r="J1685" s="88" t="s">
        <v>13</v>
      </c>
      <c r="K1685" s="89"/>
      <c r="L1685" s="89"/>
      <c r="M1685" s="90"/>
      <c r="N1685" s="88" t="s">
        <v>26</v>
      </c>
      <c r="O1685" s="89"/>
      <c r="P1685" s="90"/>
      <c r="Q1685" s="88" t="s">
        <v>181</v>
      </c>
      <c r="R1685" s="90"/>
      <c r="S1685" s="5" t="s">
        <v>27</v>
      </c>
      <c r="T1685" s="6"/>
      <c r="U1685" s="6"/>
      <c r="V1685" s="5" t="s">
        <v>17</v>
      </c>
      <c r="W1685" s="12">
        <v>7750851</v>
      </c>
      <c r="X1685" s="6"/>
      <c r="Y1685" s="6"/>
    </row>
    <row r="1686" spans="1:25" ht="15" customHeight="1" x14ac:dyDescent="0.2">
      <c r="A1686" s="88" t="s">
        <v>2177</v>
      </c>
      <c r="B1686" s="90"/>
      <c r="C1686" s="88" t="s">
        <v>2178</v>
      </c>
      <c r="D1686" s="90"/>
      <c r="E1686" s="106"/>
      <c r="F1686" s="107"/>
      <c r="G1686" s="107"/>
      <c r="H1686" s="107"/>
      <c r="I1686" s="108"/>
      <c r="J1686" s="88" t="s">
        <v>2179</v>
      </c>
      <c r="K1686" s="89"/>
      <c r="L1686" s="89"/>
      <c r="M1686" s="90"/>
      <c r="N1686" s="88" t="s">
        <v>26</v>
      </c>
      <c r="O1686" s="89"/>
      <c r="P1686" s="90"/>
      <c r="Q1686" s="133">
        <v>3000</v>
      </c>
      <c r="R1686" s="134"/>
      <c r="S1686" s="5" t="s">
        <v>1589</v>
      </c>
      <c r="T1686" s="6"/>
      <c r="U1686" s="6"/>
      <c r="V1686" s="5" t="s">
        <v>106</v>
      </c>
      <c r="W1686" s="12">
        <v>11632736</v>
      </c>
      <c r="X1686" s="6"/>
      <c r="Y1686" s="6"/>
    </row>
    <row r="1687" spans="1:25" ht="15" customHeight="1" x14ac:dyDescent="0.2">
      <c r="A1687" s="88" t="s">
        <v>2177</v>
      </c>
      <c r="B1687" s="90"/>
      <c r="C1687" s="88" t="s">
        <v>2180</v>
      </c>
      <c r="D1687" s="90"/>
      <c r="E1687" s="106"/>
      <c r="F1687" s="107"/>
      <c r="G1687" s="107"/>
      <c r="H1687" s="107"/>
      <c r="I1687" s="108"/>
      <c r="J1687" s="88" t="s">
        <v>1718</v>
      </c>
      <c r="K1687" s="89"/>
      <c r="L1687" s="89"/>
      <c r="M1687" s="90"/>
      <c r="N1687" s="88" t="s">
        <v>22</v>
      </c>
      <c r="O1687" s="89"/>
      <c r="P1687" s="90"/>
      <c r="Q1687" s="133">
        <v>3000</v>
      </c>
      <c r="R1687" s="134"/>
      <c r="S1687" s="5" t="s">
        <v>2181</v>
      </c>
      <c r="T1687" s="6"/>
      <c r="U1687" s="6"/>
      <c r="V1687" s="5" t="s">
        <v>106</v>
      </c>
      <c r="W1687" s="12">
        <v>7672366</v>
      </c>
      <c r="X1687" s="6"/>
      <c r="Y1687" s="6"/>
    </row>
    <row r="1688" spans="1:25" ht="15" customHeight="1" x14ac:dyDescent="0.2">
      <c r="A1688" s="88" t="s">
        <v>2177</v>
      </c>
      <c r="B1688" s="90"/>
      <c r="C1688" s="88" t="s">
        <v>2182</v>
      </c>
      <c r="D1688" s="90"/>
      <c r="E1688" s="106"/>
      <c r="F1688" s="107"/>
      <c r="G1688" s="107"/>
      <c r="H1688" s="107"/>
      <c r="I1688" s="108"/>
      <c r="J1688" s="88" t="s">
        <v>1718</v>
      </c>
      <c r="K1688" s="89"/>
      <c r="L1688" s="89"/>
      <c r="M1688" s="90"/>
      <c r="N1688" s="88" t="s">
        <v>22</v>
      </c>
      <c r="O1688" s="89"/>
      <c r="P1688" s="90"/>
      <c r="Q1688" s="133">
        <v>3000</v>
      </c>
      <c r="R1688" s="134"/>
      <c r="S1688" s="5" t="s">
        <v>1589</v>
      </c>
      <c r="T1688" s="6"/>
      <c r="U1688" s="6"/>
      <c r="V1688" s="5" t="s">
        <v>106</v>
      </c>
      <c r="W1688" s="12">
        <v>9586646</v>
      </c>
      <c r="X1688" s="6"/>
      <c r="Y1688" s="6"/>
    </row>
    <row r="1689" spans="1:25" ht="15" customHeight="1" x14ac:dyDescent="0.2">
      <c r="A1689" s="88" t="s">
        <v>2177</v>
      </c>
      <c r="B1689" s="90"/>
      <c r="C1689" s="88" t="s">
        <v>2183</v>
      </c>
      <c r="D1689" s="90"/>
      <c r="E1689" s="106"/>
      <c r="F1689" s="107"/>
      <c r="G1689" s="107"/>
      <c r="H1689" s="107"/>
      <c r="I1689" s="108"/>
      <c r="J1689" s="88" t="s">
        <v>2179</v>
      </c>
      <c r="K1689" s="89"/>
      <c r="L1689" s="89"/>
      <c r="M1689" s="90"/>
      <c r="N1689" s="88" t="s">
        <v>22</v>
      </c>
      <c r="O1689" s="89"/>
      <c r="P1689" s="90"/>
      <c r="Q1689" s="133">
        <v>3000</v>
      </c>
      <c r="R1689" s="134"/>
      <c r="S1689" s="5" t="s">
        <v>1589</v>
      </c>
      <c r="T1689" s="6"/>
      <c r="U1689" s="6"/>
      <c r="V1689" s="5" t="s">
        <v>106</v>
      </c>
      <c r="W1689" s="12">
        <v>12041872</v>
      </c>
      <c r="X1689" s="6"/>
      <c r="Y1689" s="6"/>
    </row>
    <row r="1690" spans="1:25" ht="15" customHeight="1" x14ac:dyDescent="0.2">
      <c r="A1690" s="88" t="s">
        <v>2177</v>
      </c>
      <c r="B1690" s="90"/>
      <c r="C1690" s="88" t="s">
        <v>2184</v>
      </c>
      <c r="D1690" s="90"/>
      <c r="E1690" s="106"/>
      <c r="F1690" s="107"/>
      <c r="G1690" s="107"/>
      <c r="H1690" s="107"/>
      <c r="I1690" s="108"/>
      <c r="J1690" s="88" t="s">
        <v>2179</v>
      </c>
      <c r="K1690" s="89"/>
      <c r="L1690" s="89"/>
      <c r="M1690" s="90"/>
      <c r="N1690" s="88" t="s">
        <v>22</v>
      </c>
      <c r="O1690" s="89"/>
      <c r="P1690" s="90"/>
      <c r="Q1690" s="133">
        <v>3000</v>
      </c>
      <c r="R1690" s="134"/>
      <c r="S1690" s="5" t="s">
        <v>1589</v>
      </c>
      <c r="T1690" s="6"/>
      <c r="U1690" s="6"/>
      <c r="V1690" s="5" t="s">
        <v>106</v>
      </c>
      <c r="W1690" s="12">
        <v>11316567</v>
      </c>
      <c r="X1690" s="6"/>
      <c r="Y1690" s="6"/>
    </row>
    <row r="1691" spans="1:25" ht="15" customHeight="1" x14ac:dyDescent="0.2">
      <c r="A1691" s="88" t="s">
        <v>2177</v>
      </c>
      <c r="B1691" s="90"/>
      <c r="C1691" s="88" t="s">
        <v>2185</v>
      </c>
      <c r="D1691" s="90"/>
      <c r="E1691" s="106"/>
      <c r="F1691" s="107"/>
      <c r="G1691" s="107"/>
      <c r="H1691" s="107"/>
      <c r="I1691" s="108"/>
      <c r="J1691" s="88" t="s">
        <v>2179</v>
      </c>
      <c r="K1691" s="89"/>
      <c r="L1691" s="89"/>
      <c r="M1691" s="90"/>
      <c r="N1691" s="88" t="s">
        <v>26</v>
      </c>
      <c r="O1691" s="89"/>
      <c r="P1691" s="90"/>
      <c r="Q1691" s="133">
        <v>3000</v>
      </c>
      <c r="R1691" s="134"/>
      <c r="S1691" s="5" t="s">
        <v>1589</v>
      </c>
      <c r="T1691" s="6"/>
      <c r="U1691" s="6"/>
      <c r="V1691" s="5" t="s">
        <v>106</v>
      </c>
      <c r="W1691" s="12">
        <v>9550606</v>
      </c>
      <c r="X1691" s="6"/>
      <c r="Y1691" s="6"/>
    </row>
    <row r="1692" spans="1:25" ht="15" customHeight="1" x14ac:dyDescent="0.2">
      <c r="A1692" s="88" t="s">
        <v>2177</v>
      </c>
      <c r="B1692" s="90"/>
      <c r="C1692" s="88" t="s">
        <v>2186</v>
      </c>
      <c r="D1692" s="90"/>
      <c r="E1692" s="106"/>
      <c r="F1692" s="107"/>
      <c r="G1692" s="107"/>
      <c r="H1692" s="107"/>
      <c r="I1692" s="108"/>
      <c r="J1692" s="88" t="s">
        <v>2179</v>
      </c>
      <c r="K1692" s="89"/>
      <c r="L1692" s="89"/>
      <c r="M1692" s="90"/>
      <c r="N1692" s="88" t="s">
        <v>22</v>
      </c>
      <c r="O1692" s="89"/>
      <c r="P1692" s="90"/>
      <c r="Q1692" s="133">
        <v>3000</v>
      </c>
      <c r="R1692" s="134"/>
      <c r="S1692" s="5" t="s">
        <v>1589</v>
      </c>
      <c r="T1692" s="6"/>
      <c r="U1692" s="6"/>
      <c r="V1692" s="5" t="s">
        <v>106</v>
      </c>
      <c r="W1692" s="12">
        <v>12568958</v>
      </c>
      <c r="X1692" s="6"/>
      <c r="Y1692" s="6"/>
    </row>
    <row r="1693" spans="1:25" ht="15" customHeight="1" x14ac:dyDescent="0.2">
      <c r="A1693" s="88" t="s">
        <v>2177</v>
      </c>
      <c r="B1693" s="90"/>
      <c r="C1693" s="88" t="s">
        <v>2187</v>
      </c>
      <c r="D1693" s="90"/>
      <c r="E1693" s="106"/>
      <c r="F1693" s="107"/>
      <c r="G1693" s="107"/>
      <c r="H1693" s="107"/>
      <c r="I1693" s="108"/>
      <c r="J1693" s="88" t="s">
        <v>2179</v>
      </c>
      <c r="K1693" s="89"/>
      <c r="L1693" s="89"/>
      <c r="M1693" s="90"/>
      <c r="N1693" s="88" t="s">
        <v>26</v>
      </c>
      <c r="O1693" s="89"/>
      <c r="P1693" s="90"/>
      <c r="Q1693" s="133">
        <v>3000</v>
      </c>
      <c r="R1693" s="134"/>
      <c r="S1693" s="5" t="s">
        <v>1589</v>
      </c>
      <c r="T1693" s="6"/>
      <c r="U1693" s="6"/>
      <c r="V1693" s="5" t="s">
        <v>106</v>
      </c>
      <c r="W1693" s="12">
        <v>11417479</v>
      </c>
      <c r="X1693" s="6"/>
      <c r="Y1693" s="6"/>
    </row>
    <row r="1694" spans="1:25" ht="15" customHeight="1" x14ac:dyDescent="0.2">
      <c r="A1694" s="88" t="s">
        <v>2177</v>
      </c>
      <c r="B1694" s="90"/>
      <c r="C1694" s="88" t="s">
        <v>2188</v>
      </c>
      <c r="D1694" s="90"/>
      <c r="E1694" s="106"/>
      <c r="F1694" s="107"/>
      <c r="G1694" s="107"/>
      <c r="H1694" s="107"/>
      <c r="I1694" s="108"/>
      <c r="J1694" s="88" t="s">
        <v>2179</v>
      </c>
      <c r="K1694" s="89"/>
      <c r="L1694" s="89"/>
      <c r="M1694" s="90"/>
      <c r="N1694" s="88" t="s">
        <v>26</v>
      </c>
      <c r="O1694" s="89"/>
      <c r="P1694" s="90"/>
      <c r="Q1694" s="133">
        <v>3000</v>
      </c>
      <c r="R1694" s="134"/>
      <c r="S1694" s="5" t="s">
        <v>1589</v>
      </c>
      <c r="T1694" s="6"/>
      <c r="U1694" s="6"/>
      <c r="V1694" s="5" t="s">
        <v>106</v>
      </c>
      <c r="W1694" s="12">
        <v>8035287</v>
      </c>
      <c r="X1694" s="6"/>
      <c r="Y1694" s="6"/>
    </row>
    <row r="1695" spans="1:25" ht="15" customHeight="1" x14ac:dyDescent="0.2">
      <c r="A1695" s="88" t="s">
        <v>2177</v>
      </c>
      <c r="B1695" s="90"/>
      <c r="C1695" s="88" t="s">
        <v>2189</v>
      </c>
      <c r="D1695" s="90"/>
      <c r="E1695" s="106"/>
      <c r="F1695" s="107"/>
      <c r="G1695" s="107"/>
      <c r="H1695" s="107"/>
      <c r="I1695" s="108"/>
      <c r="J1695" s="88" t="s">
        <v>2179</v>
      </c>
      <c r="K1695" s="89"/>
      <c r="L1695" s="89"/>
      <c r="M1695" s="90"/>
      <c r="N1695" s="88" t="s">
        <v>22</v>
      </c>
      <c r="O1695" s="89"/>
      <c r="P1695" s="90"/>
      <c r="Q1695" s="133">
        <v>3000</v>
      </c>
      <c r="R1695" s="134"/>
      <c r="S1695" s="5" t="s">
        <v>1589</v>
      </c>
      <c r="T1695" s="6"/>
      <c r="U1695" s="6"/>
      <c r="V1695" s="5" t="s">
        <v>106</v>
      </c>
      <c r="W1695" s="12">
        <v>11129609</v>
      </c>
      <c r="X1695" s="6"/>
      <c r="Y1695" s="6"/>
    </row>
    <row r="1696" spans="1:25" ht="15" customHeight="1" x14ac:dyDescent="0.2">
      <c r="A1696" s="88" t="s">
        <v>2177</v>
      </c>
      <c r="B1696" s="90"/>
      <c r="C1696" s="88" t="s">
        <v>2190</v>
      </c>
      <c r="D1696" s="90"/>
      <c r="E1696" s="106"/>
      <c r="F1696" s="107"/>
      <c r="G1696" s="107"/>
      <c r="H1696" s="107"/>
      <c r="I1696" s="108"/>
      <c r="J1696" s="88" t="s">
        <v>2179</v>
      </c>
      <c r="K1696" s="89"/>
      <c r="L1696" s="89"/>
      <c r="M1696" s="90"/>
      <c r="N1696" s="88" t="s">
        <v>26</v>
      </c>
      <c r="O1696" s="89"/>
      <c r="P1696" s="90"/>
      <c r="Q1696" s="133">
        <v>3000</v>
      </c>
      <c r="R1696" s="134"/>
      <c r="S1696" s="5" t="s">
        <v>1589</v>
      </c>
      <c r="T1696" s="6"/>
      <c r="U1696" s="6"/>
      <c r="V1696" s="5" t="s">
        <v>106</v>
      </c>
      <c r="W1696" s="12">
        <v>9203721</v>
      </c>
      <c r="X1696" s="6"/>
      <c r="Y1696" s="6"/>
    </row>
    <row r="1697" spans="1:25" ht="15" customHeight="1" x14ac:dyDescent="0.2">
      <c r="A1697" s="88" t="s">
        <v>2177</v>
      </c>
      <c r="B1697" s="90"/>
      <c r="C1697" s="88" t="s">
        <v>2191</v>
      </c>
      <c r="D1697" s="90"/>
      <c r="E1697" s="106"/>
      <c r="F1697" s="107"/>
      <c r="G1697" s="107"/>
      <c r="H1697" s="107"/>
      <c r="I1697" s="108"/>
      <c r="J1697" s="88" t="s">
        <v>1718</v>
      </c>
      <c r="K1697" s="89"/>
      <c r="L1697" s="89"/>
      <c r="M1697" s="90"/>
      <c r="N1697" s="88" t="s">
        <v>22</v>
      </c>
      <c r="O1697" s="89"/>
      <c r="P1697" s="90"/>
      <c r="Q1697" s="133">
        <v>3000</v>
      </c>
      <c r="R1697" s="134"/>
      <c r="S1697" s="5" t="s">
        <v>1589</v>
      </c>
      <c r="T1697" s="6"/>
      <c r="U1697" s="6"/>
      <c r="V1697" s="5" t="s">
        <v>106</v>
      </c>
      <c r="W1697" s="12">
        <v>11393152</v>
      </c>
      <c r="X1697" s="6"/>
      <c r="Y1697" s="6"/>
    </row>
    <row r="1698" spans="1:25" ht="15" customHeight="1" x14ac:dyDescent="0.2">
      <c r="A1698" s="88" t="s">
        <v>2177</v>
      </c>
      <c r="B1698" s="90"/>
      <c r="C1698" s="88" t="s">
        <v>2192</v>
      </c>
      <c r="D1698" s="90"/>
      <c r="E1698" s="106"/>
      <c r="F1698" s="107"/>
      <c r="G1698" s="107"/>
      <c r="H1698" s="107"/>
      <c r="I1698" s="108"/>
      <c r="J1698" s="88" t="s">
        <v>2179</v>
      </c>
      <c r="K1698" s="89"/>
      <c r="L1698" s="89"/>
      <c r="M1698" s="90"/>
      <c r="N1698" s="88" t="s">
        <v>22</v>
      </c>
      <c r="O1698" s="89"/>
      <c r="P1698" s="90"/>
      <c r="Q1698" s="133">
        <v>3000</v>
      </c>
      <c r="R1698" s="134"/>
      <c r="S1698" s="5" t="s">
        <v>1589</v>
      </c>
      <c r="T1698" s="6"/>
      <c r="U1698" s="6"/>
      <c r="V1698" s="5" t="s">
        <v>106</v>
      </c>
      <c r="W1698" s="12">
        <v>9657088</v>
      </c>
      <c r="X1698" s="6"/>
      <c r="Y1698" s="6"/>
    </row>
    <row r="1699" spans="1:25" ht="15" customHeight="1" x14ac:dyDescent="0.2">
      <c r="A1699" s="88" t="s">
        <v>2177</v>
      </c>
      <c r="B1699" s="90"/>
      <c r="C1699" s="88" t="s">
        <v>2193</v>
      </c>
      <c r="D1699" s="90"/>
      <c r="E1699" s="106"/>
      <c r="F1699" s="107"/>
      <c r="G1699" s="107"/>
      <c r="H1699" s="107"/>
      <c r="I1699" s="108"/>
      <c r="J1699" s="88" t="s">
        <v>2179</v>
      </c>
      <c r="K1699" s="89"/>
      <c r="L1699" s="89"/>
      <c r="M1699" s="90"/>
      <c r="N1699" s="88" t="s">
        <v>26</v>
      </c>
      <c r="O1699" s="89"/>
      <c r="P1699" s="90"/>
      <c r="Q1699" s="133">
        <v>3000</v>
      </c>
      <c r="R1699" s="134"/>
      <c r="S1699" s="5" t="s">
        <v>2181</v>
      </c>
      <c r="T1699" s="6"/>
      <c r="U1699" s="6"/>
      <c r="V1699" s="5" t="s">
        <v>106</v>
      </c>
      <c r="W1699" s="12">
        <v>7096003</v>
      </c>
      <c r="X1699" s="6"/>
      <c r="Y1699" s="6"/>
    </row>
    <row r="1700" spans="1:25" ht="15" customHeight="1" x14ac:dyDescent="0.2">
      <c r="A1700" s="88" t="s">
        <v>2177</v>
      </c>
      <c r="B1700" s="90"/>
      <c r="C1700" s="88" t="s">
        <v>2194</v>
      </c>
      <c r="D1700" s="90"/>
      <c r="E1700" s="106"/>
      <c r="F1700" s="107"/>
      <c r="G1700" s="107"/>
      <c r="H1700" s="107"/>
      <c r="I1700" s="108"/>
      <c r="J1700" s="88" t="s">
        <v>2179</v>
      </c>
      <c r="K1700" s="89"/>
      <c r="L1700" s="89"/>
      <c r="M1700" s="90"/>
      <c r="N1700" s="88" t="s">
        <v>26</v>
      </c>
      <c r="O1700" s="89"/>
      <c r="P1700" s="90"/>
      <c r="Q1700" s="133">
        <v>1900</v>
      </c>
      <c r="R1700" s="134"/>
      <c r="S1700" s="5" t="s">
        <v>1589</v>
      </c>
      <c r="T1700" s="6"/>
      <c r="U1700" s="6"/>
      <c r="V1700" s="5" t="s">
        <v>106</v>
      </c>
      <c r="W1700" s="12">
        <v>6231458</v>
      </c>
      <c r="X1700" s="6"/>
      <c r="Y1700" s="6"/>
    </row>
    <row r="1701" spans="1:25" ht="15" customHeight="1" x14ac:dyDescent="0.2">
      <c r="A1701" s="88" t="s">
        <v>2177</v>
      </c>
      <c r="B1701" s="90"/>
      <c r="C1701" s="88" t="s">
        <v>2195</v>
      </c>
      <c r="D1701" s="90"/>
      <c r="E1701" s="106"/>
      <c r="F1701" s="107"/>
      <c r="G1701" s="107"/>
      <c r="H1701" s="107"/>
      <c r="I1701" s="108"/>
      <c r="J1701" s="88" t="s">
        <v>1718</v>
      </c>
      <c r="K1701" s="89"/>
      <c r="L1701" s="89"/>
      <c r="M1701" s="90"/>
      <c r="N1701" s="88" t="s">
        <v>22</v>
      </c>
      <c r="O1701" s="89"/>
      <c r="P1701" s="90"/>
      <c r="Q1701" s="133">
        <v>3000</v>
      </c>
      <c r="R1701" s="134"/>
      <c r="S1701" s="5" t="s">
        <v>1589</v>
      </c>
      <c r="T1701" s="6"/>
      <c r="U1701" s="6"/>
      <c r="V1701" s="5" t="s">
        <v>106</v>
      </c>
      <c r="W1701" s="12">
        <v>9406446</v>
      </c>
      <c r="X1701" s="6"/>
      <c r="Y1701" s="6"/>
    </row>
    <row r="1702" spans="1:25" ht="15" customHeight="1" x14ac:dyDescent="0.2">
      <c r="A1702" s="88" t="s">
        <v>2177</v>
      </c>
      <c r="B1702" s="90"/>
      <c r="C1702" s="88" t="s">
        <v>2196</v>
      </c>
      <c r="D1702" s="90"/>
      <c r="E1702" s="106"/>
      <c r="F1702" s="107"/>
      <c r="G1702" s="107"/>
      <c r="H1702" s="107"/>
      <c r="I1702" s="108"/>
      <c r="J1702" s="88" t="s">
        <v>1718</v>
      </c>
      <c r="K1702" s="89"/>
      <c r="L1702" s="89"/>
      <c r="M1702" s="90"/>
      <c r="N1702" s="88" t="s">
        <v>26</v>
      </c>
      <c r="O1702" s="89"/>
      <c r="P1702" s="90"/>
      <c r="Q1702" s="133">
        <v>3000</v>
      </c>
      <c r="R1702" s="134"/>
      <c r="S1702" s="5" t="s">
        <v>2181</v>
      </c>
      <c r="T1702" s="6"/>
      <c r="U1702" s="6"/>
      <c r="V1702" s="5" t="s">
        <v>106</v>
      </c>
      <c r="W1702" s="12">
        <v>6362450</v>
      </c>
      <c r="X1702" s="6"/>
      <c r="Y1702" s="6"/>
    </row>
    <row r="1703" spans="1:25" ht="15" customHeight="1" x14ac:dyDescent="0.2">
      <c r="A1703" s="88" t="s">
        <v>2177</v>
      </c>
      <c r="B1703" s="90"/>
      <c r="C1703" s="88" t="s">
        <v>2197</v>
      </c>
      <c r="D1703" s="90"/>
      <c r="E1703" s="106"/>
      <c r="F1703" s="107"/>
      <c r="G1703" s="107"/>
      <c r="H1703" s="107"/>
      <c r="I1703" s="108"/>
      <c r="J1703" s="88" t="s">
        <v>2179</v>
      </c>
      <c r="K1703" s="89"/>
      <c r="L1703" s="89"/>
      <c r="M1703" s="90"/>
      <c r="N1703" s="88" t="s">
        <v>22</v>
      </c>
      <c r="O1703" s="89"/>
      <c r="P1703" s="90"/>
      <c r="Q1703" s="133">
        <v>3000</v>
      </c>
      <c r="R1703" s="134"/>
      <c r="S1703" s="5" t="s">
        <v>1589</v>
      </c>
      <c r="T1703" s="6"/>
      <c r="U1703" s="6"/>
      <c r="V1703" s="5" t="s">
        <v>106</v>
      </c>
      <c r="W1703" s="12">
        <v>8772469</v>
      </c>
      <c r="X1703" s="6"/>
      <c r="Y1703" s="6"/>
    </row>
    <row r="1704" spans="1:25" ht="15" customHeight="1" x14ac:dyDescent="0.2">
      <c r="A1704" s="88" t="s">
        <v>2177</v>
      </c>
      <c r="B1704" s="90"/>
      <c r="C1704" s="88" t="s">
        <v>2198</v>
      </c>
      <c r="D1704" s="90"/>
      <c r="E1704" s="106"/>
      <c r="F1704" s="107"/>
      <c r="G1704" s="107"/>
      <c r="H1704" s="107"/>
      <c r="I1704" s="108"/>
      <c r="J1704" s="88" t="s">
        <v>1718</v>
      </c>
      <c r="K1704" s="89"/>
      <c r="L1704" s="89"/>
      <c r="M1704" s="90"/>
      <c r="N1704" s="88" t="s">
        <v>22</v>
      </c>
      <c r="O1704" s="89"/>
      <c r="P1704" s="90"/>
      <c r="Q1704" s="133">
        <v>3000</v>
      </c>
      <c r="R1704" s="134"/>
      <c r="S1704" s="5" t="s">
        <v>1589</v>
      </c>
      <c r="T1704" s="6"/>
      <c r="U1704" s="6"/>
      <c r="V1704" s="5" t="s">
        <v>106</v>
      </c>
      <c r="W1704" s="12">
        <v>12244597</v>
      </c>
      <c r="X1704" s="6"/>
      <c r="Y1704" s="6"/>
    </row>
    <row r="1705" spans="1:25" ht="15" customHeight="1" x14ac:dyDescent="0.2">
      <c r="A1705" s="88" t="s">
        <v>2177</v>
      </c>
      <c r="B1705" s="90"/>
      <c r="C1705" s="88" t="s">
        <v>2199</v>
      </c>
      <c r="D1705" s="90"/>
      <c r="E1705" s="106"/>
      <c r="F1705" s="107"/>
      <c r="G1705" s="107"/>
      <c r="H1705" s="107"/>
      <c r="I1705" s="108"/>
      <c r="J1705" s="88" t="s">
        <v>2179</v>
      </c>
      <c r="K1705" s="89"/>
      <c r="L1705" s="89"/>
      <c r="M1705" s="90"/>
      <c r="N1705" s="88" t="s">
        <v>22</v>
      </c>
      <c r="O1705" s="89"/>
      <c r="P1705" s="90"/>
      <c r="Q1705" s="133">
        <v>3000</v>
      </c>
      <c r="R1705" s="134"/>
      <c r="S1705" s="5" t="s">
        <v>1589</v>
      </c>
      <c r="T1705" s="6"/>
      <c r="U1705" s="6"/>
      <c r="V1705" s="5" t="s">
        <v>106</v>
      </c>
      <c r="W1705" s="12">
        <v>10415566</v>
      </c>
      <c r="X1705" s="6"/>
      <c r="Y1705" s="6"/>
    </row>
    <row r="1706" spans="1:25" ht="15" customHeight="1" x14ac:dyDescent="0.2">
      <c r="A1706" s="88" t="s">
        <v>2177</v>
      </c>
      <c r="B1706" s="90"/>
      <c r="C1706" s="88" t="s">
        <v>2200</v>
      </c>
      <c r="D1706" s="90"/>
      <c r="E1706" s="106"/>
      <c r="F1706" s="107"/>
      <c r="G1706" s="107"/>
      <c r="H1706" s="107"/>
      <c r="I1706" s="108"/>
      <c r="J1706" s="88" t="s">
        <v>2179</v>
      </c>
      <c r="K1706" s="89"/>
      <c r="L1706" s="89"/>
      <c r="M1706" s="90"/>
      <c r="N1706" s="88" t="s">
        <v>22</v>
      </c>
      <c r="O1706" s="89"/>
      <c r="P1706" s="90"/>
      <c r="Q1706" s="133">
        <v>3000</v>
      </c>
      <c r="R1706" s="134"/>
      <c r="S1706" s="5" t="s">
        <v>1589</v>
      </c>
      <c r="T1706" s="6"/>
      <c r="U1706" s="6"/>
      <c r="V1706" s="5" t="s">
        <v>106</v>
      </c>
      <c r="W1706" s="12">
        <v>10394270</v>
      </c>
      <c r="X1706" s="6"/>
      <c r="Y1706" s="6"/>
    </row>
    <row r="1707" spans="1:25" ht="15" customHeight="1" x14ac:dyDescent="0.2">
      <c r="A1707" s="88" t="s">
        <v>2177</v>
      </c>
      <c r="B1707" s="90"/>
      <c r="C1707" s="88" t="s">
        <v>2201</v>
      </c>
      <c r="D1707" s="90"/>
      <c r="E1707" s="106"/>
      <c r="F1707" s="107"/>
      <c r="G1707" s="107"/>
      <c r="H1707" s="107"/>
      <c r="I1707" s="108"/>
      <c r="J1707" s="88" t="s">
        <v>2202</v>
      </c>
      <c r="K1707" s="89"/>
      <c r="L1707" s="89"/>
      <c r="M1707" s="90"/>
      <c r="N1707" s="88" t="s">
        <v>26</v>
      </c>
      <c r="O1707" s="89"/>
      <c r="P1707" s="90"/>
      <c r="Q1707" s="133">
        <v>5200</v>
      </c>
      <c r="R1707" s="134"/>
      <c r="S1707" s="5" t="s">
        <v>2181</v>
      </c>
      <c r="T1707" s="6"/>
      <c r="U1707" s="6"/>
      <c r="V1707" s="5" t="s">
        <v>106</v>
      </c>
      <c r="W1707" s="12">
        <v>16418660</v>
      </c>
      <c r="X1707" s="6"/>
      <c r="Y1707" s="6"/>
    </row>
    <row r="1708" spans="1:25" ht="15" customHeight="1" x14ac:dyDescent="0.2">
      <c r="A1708" s="88" t="s">
        <v>2177</v>
      </c>
      <c r="B1708" s="90"/>
      <c r="C1708" s="88" t="s">
        <v>2203</v>
      </c>
      <c r="D1708" s="90"/>
      <c r="E1708" s="106"/>
      <c r="F1708" s="107"/>
      <c r="G1708" s="107"/>
      <c r="H1708" s="107"/>
      <c r="I1708" s="108"/>
      <c r="J1708" s="88" t="s">
        <v>1718</v>
      </c>
      <c r="K1708" s="89"/>
      <c r="L1708" s="89"/>
      <c r="M1708" s="90"/>
      <c r="N1708" s="88" t="s">
        <v>26</v>
      </c>
      <c r="O1708" s="89"/>
      <c r="P1708" s="90"/>
      <c r="Q1708" s="133">
        <v>7800</v>
      </c>
      <c r="R1708" s="134"/>
      <c r="S1708" s="5" t="s">
        <v>2181</v>
      </c>
      <c r="T1708" s="6"/>
      <c r="U1708" s="6"/>
      <c r="V1708" s="5" t="s">
        <v>106</v>
      </c>
      <c r="W1708" s="12">
        <v>17023875</v>
      </c>
      <c r="X1708" s="6"/>
      <c r="Y1708" s="6"/>
    </row>
    <row r="1709" spans="1:25" ht="15" customHeight="1" x14ac:dyDescent="0.2">
      <c r="A1709" s="88" t="s">
        <v>2177</v>
      </c>
      <c r="B1709" s="90"/>
      <c r="C1709" s="88" t="s">
        <v>2204</v>
      </c>
      <c r="D1709" s="90"/>
      <c r="E1709" s="106"/>
      <c r="F1709" s="107"/>
      <c r="G1709" s="107"/>
      <c r="H1709" s="107"/>
      <c r="I1709" s="108"/>
      <c r="J1709" s="88" t="s">
        <v>2202</v>
      </c>
      <c r="K1709" s="89"/>
      <c r="L1709" s="89"/>
      <c r="M1709" s="90"/>
      <c r="N1709" s="88" t="s">
        <v>26</v>
      </c>
      <c r="O1709" s="89"/>
      <c r="P1709" s="90"/>
      <c r="Q1709" s="133">
        <v>7800</v>
      </c>
      <c r="R1709" s="134"/>
      <c r="S1709" s="5" t="s">
        <v>2181</v>
      </c>
      <c r="T1709" s="6"/>
      <c r="U1709" s="6"/>
      <c r="V1709" s="5" t="s">
        <v>106</v>
      </c>
      <c r="W1709" s="12">
        <v>19051557</v>
      </c>
      <c r="X1709" s="6"/>
      <c r="Y1709" s="6"/>
    </row>
    <row r="1710" spans="1:25" ht="15" customHeight="1" x14ac:dyDescent="0.2">
      <c r="A1710" s="88" t="s">
        <v>2177</v>
      </c>
      <c r="B1710" s="90"/>
      <c r="C1710" s="88" t="s">
        <v>2205</v>
      </c>
      <c r="D1710" s="90"/>
      <c r="E1710" s="106"/>
      <c r="F1710" s="107"/>
      <c r="G1710" s="107"/>
      <c r="H1710" s="107"/>
      <c r="I1710" s="108"/>
      <c r="J1710" s="88" t="s">
        <v>2202</v>
      </c>
      <c r="K1710" s="89"/>
      <c r="L1710" s="89"/>
      <c r="M1710" s="90"/>
      <c r="N1710" s="88" t="s">
        <v>26</v>
      </c>
      <c r="O1710" s="89"/>
      <c r="P1710" s="90"/>
      <c r="Q1710" s="133">
        <v>5200</v>
      </c>
      <c r="R1710" s="134"/>
      <c r="S1710" s="5" t="s">
        <v>2181</v>
      </c>
      <c r="T1710" s="6"/>
      <c r="U1710" s="6"/>
      <c r="V1710" s="5" t="s">
        <v>106</v>
      </c>
      <c r="W1710" s="12">
        <v>15577591</v>
      </c>
      <c r="X1710" s="6"/>
      <c r="Y1710" s="6"/>
    </row>
    <row r="1711" spans="1:25" ht="15" customHeight="1" x14ac:dyDescent="0.2">
      <c r="A1711" s="88" t="s">
        <v>2177</v>
      </c>
      <c r="B1711" s="90"/>
      <c r="C1711" s="88" t="s">
        <v>2206</v>
      </c>
      <c r="D1711" s="90"/>
      <c r="E1711" s="106"/>
      <c r="F1711" s="107"/>
      <c r="G1711" s="107"/>
      <c r="H1711" s="107"/>
      <c r="I1711" s="108"/>
      <c r="J1711" s="88" t="s">
        <v>2202</v>
      </c>
      <c r="K1711" s="89"/>
      <c r="L1711" s="89"/>
      <c r="M1711" s="90"/>
      <c r="N1711" s="88" t="s">
        <v>26</v>
      </c>
      <c r="O1711" s="89"/>
      <c r="P1711" s="90"/>
      <c r="Q1711" s="133">
        <v>5200</v>
      </c>
      <c r="R1711" s="134"/>
      <c r="S1711" s="5" t="s">
        <v>2181</v>
      </c>
      <c r="T1711" s="6"/>
      <c r="U1711" s="6"/>
      <c r="V1711" s="5" t="s">
        <v>106</v>
      </c>
      <c r="W1711" s="12">
        <v>15487768</v>
      </c>
      <c r="X1711" s="6"/>
      <c r="Y1711" s="6"/>
    </row>
    <row r="1712" spans="1:25" ht="15" customHeight="1" x14ac:dyDescent="0.2">
      <c r="A1712" s="88" t="s">
        <v>2177</v>
      </c>
      <c r="B1712" s="90"/>
      <c r="C1712" s="88" t="s">
        <v>2207</v>
      </c>
      <c r="D1712" s="90"/>
      <c r="E1712" s="106"/>
      <c r="F1712" s="107"/>
      <c r="G1712" s="107"/>
      <c r="H1712" s="107"/>
      <c r="I1712" s="108"/>
      <c r="J1712" s="88" t="s">
        <v>2202</v>
      </c>
      <c r="K1712" s="89"/>
      <c r="L1712" s="89"/>
      <c r="M1712" s="90"/>
      <c r="N1712" s="88" t="s">
        <v>26</v>
      </c>
      <c r="O1712" s="89"/>
      <c r="P1712" s="90"/>
      <c r="Q1712" s="133">
        <v>5200</v>
      </c>
      <c r="R1712" s="134"/>
      <c r="S1712" s="5" t="s">
        <v>2181</v>
      </c>
      <c r="T1712" s="6"/>
      <c r="U1712" s="6"/>
      <c r="V1712" s="5" t="s">
        <v>106</v>
      </c>
      <c r="W1712" s="12">
        <v>15365283</v>
      </c>
      <c r="X1712" s="6"/>
      <c r="Y1712" s="6"/>
    </row>
    <row r="1713" spans="1:25" ht="15" customHeight="1" x14ac:dyDescent="0.2">
      <c r="A1713" s="88" t="s">
        <v>2177</v>
      </c>
      <c r="B1713" s="90"/>
      <c r="C1713" s="88" t="s">
        <v>2208</v>
      </c>
      <c r="D1713" s="90"/>
      <c r="E1713" s="106"/>
      <c r="F1713" s="107"/>
      <c r="G1713" s="107"/>
      <c r="H1713" s="107"/>
      <c r="I1713" s="108"/>
      <c r="J1713" s="88" t="s">
        <v>1718</v>
      </c>
      <c r="K1713" s="89"/>
      <c r="L1713" s="89"/>
      <c r="M1713" s="90"/>
      <c r="N1713" s="88" t="s">
        <v>26</v>
      </c>
      <c r="O1713" s="89"/>
      <c r="P1713" s="90"/>
      <c r="Q1713" s="133">
        <v>5200</v>
      </c>
      <c r="R1713" s="134"/>
      <c r="S1713" s="5" t="s">
        <v>2181</v>
      </c>
      <c r="T1713" s="6"/>
      <c r="U1713" s="6"/>
      <c r="V1713" s="5" t="s">
        <v>106</v>
      </c>
      <c r="W1713" s="12">
        <v>14936175</v>
      </c>
      <c r="X1713" s="6"/>
      <c r="Y1713" s="6"/>
    </row>
    <row r="1714" spans="1:25" ht="15" customHeight="1" x14ac:dyDescent="0.2">
      <c r="A1714" s="88" t="s">
        <v>2177</v>
      </c>
      <c r="B1714" s="90"/>
      <c r="C1714" s="88" t="s">
        <v>2209</v>
      </c>
      <c r="D1714" s="90"/>
      <c r="E1714" s="106"/>
      <c r="F1714" s="107"/>
      <c r="G1714" s="107"/>
      <c r="H1714" s="107"/>
      <c r="I1714" s="108"/>
      <c r="J1714" s="88" t="s">
        <v>2202</v>
      </c>
      <c r="K1714" s="89"/>
      <c r="L1714" s="89"/>
      <c r="M1714" s="90"/>
      <c r="N1714" s="88" t="s">
        <v>26</v>
      </c>
      <c r="O1714" s="89"/>
      <c r="P1714" s="90"/>
      <c r="Q1714" s="133">
        <v>5200</v>
      </c>
      <c r="R1714" s="134"/>
      <c r="S1714" s="5" t="s">
        <v>2181</v>
      </c>
      <c r="T1714" s="6"/>
      <c r="U1714" s="6"/>
      <c r="V1714" s="5" t="s">
        <v>106</v>
      </c>
      <c r="W1714" s="12">
        <v>15670136</v>
      </c>
      <c r="X1714" s="6"/>
      <c r="Y1714" s="6"/>
    </row>
    <row r="1715" spans="1:25" ht="15" customHeight="1" x14ac:dyDescent="0.2">
      <c r="A1715" s="88" t="s">
        <v>2177</v>
      </c>
      <c r="B1715" s="90"/>
      <c r="C1715" s="88" t="s">
        <v>2210</v>
      </c>
      <c r="D1715" s="90"/>
      <c r="E1715" s="106"/>
      <c r="F1715" s="107"/>
      <c r="G1715" s="107"/>
      <c r="H1715" s="107"/>
      <c r="I1715" s="108"/>
      <c r="J1715" s="88" t="s">
        <v>2202</v>
      </c>
      <c r="K1715" s="89"/>
      <c r="L1715" s="89"/>
      <c r="M1715" s="90"/>
      <c r="N1715" s="88" t="s">
        <v>26</v>
      </c>
      <c r="O1715" s="89"/>
      <c r="P1715" s="90"/>
      <c r="Q1715" s="133">
        <v>7800</v>
      </c>
      <c r="R1715" s="134"/>
      <c r="S1715" s="5" t="s">
        <v>1589</v>
      </c>
      <c r="T1715" s="6"/>
      <c r="U1715" s="6"/>
      <c r="V1715" s="5" t="s">
        <v>106</v>
      </c>
      <c r="W1715" s="12">
        <v>22572963</v>
      </c>
      <c r="X1715" s="6"/>
      <c r="Y1715" s="6"/>
    </row>
    <row r="1716" spans="1:25" ht="15" customHeight="1" x14ac:dyDescent="0.2">
      <c r="A1716" s="88" t="s">
        <v>2177</v>
      </c>
      <c r="B1716" s="90"/>
      <c r="C1716" s="88" t="s">
        <v>2211</v>
      </c>
      <c r="D1716" s="90"/>
      <c r="E1716" s="106"/>
      <c r="F1716" s="107"/>
      <c r="G1716" s="107"/>
      <c r="H1716" s="107"/>
      <c r="I1716" s="108"/>
      <c r="J1716" s="88" t="s">
        <v>2202</v>
      </c>
      <c r="K1716" s="89"/>
      <c r="L1716" s="89"/>
      <c r="M1716" s="90"/>
      <c r="N1716" s="88" t="s">
        <v>26</v>
      </c>
      <c r="O1716" s="89"/>
      <c r="P1716" s="90"/>
      <c r="Q1716" s="133">
        <v>7800</v>
      </c>
      <c r="R1716" s="134"/>
      <c r="S1716" s="5" t="s">
        <v>2181</v>
      </c>
      <c r="T1716" s="6"/>
      <c r="U1716" s="6"/>
      <c r="V1716" s="5" t="s">
        <v>106</v>
      </c>
      <c r="W1716" s="12">
        <v>17840446</v>
      </c>
      <c r="X1716" s="6"/>
      <c r="Y1716" s="6"/>
    </row>
    <row r="1717" spans="1:25" ht="15" customHeight="1" x14ac:dyDescent="0.2">
      <c r="A1717" s="88" t="s">
        <v>2177</v>
      </c>
      <c r="B1717" s="90"/>
      <c r="C1717" s="88" t="s">
        <v>2212</v>
      </c>
      <c r="D1717" s="90"/>
      <c r="E1717" s="106"/>
      <c r="F1717" s="107"/>
      <c r="G1717" s="107"/>
      <c r="H1717" s="107"/>
      <c r="I1717" s="108"/>
      <c r="J1717" s="88" t="s">
        <v>2202</v>
      </c>
      <c r="K1717" s="89"/>
      <c r="L1717" s="89"/>
      <c r="M1717" s="90"/>
      <c r="N1717" s="88" t="s">
        <v>26</v>
      </c>
      <c r="O1717" s="89"/>
      <c r="P1717" s="90"/>
      <c r="Q1717" s="133">
        <v>7800</v>
      </c>
      <c r="R1717" s="134"/>
      <c r="S1717" s="5" t="s">
        <v>2181</v>
      </c>
      <c r="T1717" s="6"/>
      <c r="U1717" s="6"/>
      <c r="V1717" s="5" t="s">
        <v>106</v>
      </c>
      <c r="W1717" s="12">
        <v>17676996</v>
      </c>
      <c r="X1717" s="6"/>
      <c r="Y1717" s="6"/>
    </row>
    <row r="1718" spans="1:25" ht="15" customHeight="1" x14ac:dyDescent="0.2">
      <c r="A1718" s="88" t="s">
        <v>2177</v>
      </c>
      <c r="B1718" s="90"/>
      <c r="C1718" s="88" t="s">
        <v>2213</v>
      </c>
      <c r="D1718" s="90"/>
      <c r="E1718" s="106"/>
      <c r="F1718" s="107"/>
      <c r="G1718" s="107"/>
      <c r="H1718" s="107"/>
      <c r="I1718" s="108"/>
      <c r="J1718" s="88" t="s">
        <v>2202</v>
      </c>
      <c r="K1718" s="89"/>
      <c r="L1718" s="89"/>
      <c r="M1718" s="90"/>
      <c r="N1718" s="88" t="s">
        <v>26</v>
      </c>
      <c r="O1718" s="89"/>
      <c r="P1718" s="90"/>
      <c r="Q1718" s="133">
        <v>7800</v>
      </c>
      <c r="R1718" s="134"/>
      <c r="S1718" s="5" t="s">
        <v>2181</v>
      </c>
      <c r="T1718" s="6"/>
      <c r="U1718" s="6"/>
      <c r="V1718" s="5" t="s">
        <v>106</v>
      </c>
      <c r="W1718" s="12">
        <v>17922103</v>
      </c>
      <c r="X1718" s="6"/>
      <c r="Y1718" s="6"/>
    </row>
    <row r="1719" spans="1:25" ht="15" customHeight="1" x14ac:dyDescent="0.2">
      <c r="A1719" s="88" t="s">
        <v>2177</v>
      </c>
      <c r="B1719" s="90"/>
      <c r="C1719" s="88" t="s">
        <v>2214</v>
      </c>
      <c r="D1719" s="90"/>
      <c r="E1719" s="106"/>
      <c r="F1719" s="107"/>
      <c r="G1719" s="107"/>
      <c r="H1719" s="107"/>
      <c r="I1719" s="108"/>
      <c r="J1719" s="88" t="s">
        <v>2179</v>
      </c>
      <c r="K1719" s="89"/>
      <c r="L1719" s="89"/>
      <c r="M1719" s="90"/>
      <c r="N1719" s="88" t="s">
        <v>26</v>
      </c>
      <c r="O1719" s="89"/>
      <c r="P1719" s="90"/>
      <c r="Q1719" s="133">
        <v>7800</v>
      </c>
      <c r="R1719" s="134"/>
      <c r="S1719" s="5" t="s">
        <v>2181</v>
      </c>
      <c r="T1719" s="6"/>
      <c r="U1719" s="6"/>
      <c r="V1719" s="5" t="s">
        <v>106</v>
      </c>
      <c r="W1719" s="12">
        <v>21320264</v>
      </c>
      <c r="X1719" s="6"/>
      <c r="Y1719" s="6"/>
    </row>
    <row r="1720" spans="1:25" ht="15" customHeight="1" x14ac:dyDescent="0.2">
      <c r="A1720" s="88" t="s">
        <v>2177</v>
      </c>
      <c r="B1720" s="90"/>
      <c r="C1720" s="88" t="s">
        <v>2215</v>
      </c>
      <c r="D1720" s="90"/>
      <c r="E1720" s="106"/>
      <c r="F1720" s="107"/>
      <c r="G1720" s="107"/>
      <c r="H1720" s="107"/>
      <c r="I1720" s="108"/>
      <c r="J1720" s="88" t="s">
        <v>2179</v>
      </c>
      <c r="K1720" s="89"/>
      <c r="L1720" s="89"/>
      <c r="M1720" s="90"/>
      <c r="N1720" s="88" t="s">
        <v>26</v>
      </c>
      <c r="O1720" s="89"/>
      <c r="P1720" s="90"/>
      <c r="Q1720" s="133">
        <v>7800</v>
      </c>
      <c r="R1720" s="134"/>
      <c r="S1720" s="5" t="s">
        <v>2181</v>
      </c>
      <c r="T1720" s="6"/>
      <c r="U1720" s="6"/>
      <c r="V1720" s="5" t="s">
        <v>106</v>
      </c>
      <c r="W1720" s="12">
        <v>21810343</v>
      </c>
      <c r="X1720" s="6"/>
      <c r="Y1720" s="6"/>
    </row>
    <row r="1721" spans="1:25" ht="15" customHeight="1" x14ac:dyDescent="0.2">
      <c r="A1721" s="88" t="s">
        <v>2177</v>
      </c>
      <c r="B1721" s="90"/>
      <c r="C1721" s="88" t="s">
        <v>2216</v>
      </c>
      <c r="D1721" s="90"/>
      <c r="E1721" s="106"/>
      <c r="F1721" s="107"/>
      <c r="G1721" s="107"/>
      <c r="H1721" s="107"/>
      <c r="I1721" s="108"/>
      <c r="J1721" s="88" t="s">
        <v>2179</v>
      </c>
      <c r="K1721" s="89"/>
      <c r="L1721" s="89"/>
      <c r="M1721" s="90"/>
      <c r="N1721" s="88" t="s">
        <v>26</v>
      </c>
      <c r="O1721" s="89"/>
      <c r="P1721" s="90"/>
      <c r="Q1721" s="133">
        <v>7800</v>
      </c>
      <c r="R1721" s="134"/>
      <c r="S1721" s="5" t="s">
        <v>2181</v>
      </c>
      <c r="T1721" s="6"/>
      <c r="U1721" s="6"/>
      <c r="V1721" s="5" t="s">
        <v>106</v>
      </c>
      <c r="W1721" s="12">
        <v>20327994</v>
      </c>
      <c r="X1721" s="6"/>
      <c r="Y1721" s="6"/>
    </row>
    <row r="1722" spans="1:25" ht="15" customHeight="1" x14ac:dyDescent="0.2">
      <c r="A1722" s="88" t="s">
        <v>2177</v>
      </c>
      <c r="B1722" s="90"/>
      <c r="C1722" s="88" t="s">
        <v>2217</v>
      </c>
      <c r="D1722" s="90"/>
      <c r="E1722" s="106"/>
      <c r="F1722" s="107"/>
      <c r="G1722" s="107"/>
      <c r="H1722" s="107"/>
      <c r="I1722" s="108"/>
      <c r="J1722" s="88" t="s">
        <v>2179</v>
      </c>
      <c r="K1722" s="89"/>
      <c r="L1722" s="89"/>
      <c r="M1722" s="90"/>
      <c r="N1722" s="88" t="s">
        <v>26</v>
      </c>
      <c r="O1722" s="89"/>
      <c r="P1722" s="90"/>
      <c r="Q1722" s="133">
        <v>7800</v>
      </c>
      <c r="R1722" s="134"/>
      <c r="S1722" s="5" t="s">
        <v>2181</v>
      </c>
      <c r="T1722" s="6"/>
      <c r="U1722" s="6"/>
      <c r="V1722" s="5" t="s">
        <v>106</v>
      </c>
      <c r="W1722" s="12">
        <v>25118272</v>
      </c>
      <c r="X1722" s="6"/>
      <c r="Y1722" s="6"/>
    </row>
    <row r="1723" spans="1:25" ht="15" customHeight="1" x14ac:dyDescent="0.2">
      <c r="A1723" s="88" t="s">
        <v>2177</v>
      </c>
      <c r="B1723" s="90"/>
      <c r="C1723" s="88" t="s">
        <v>2218</v>
      </c>
      <c r="D1723" s="90"/>
      <c r="E1723" s="106"/>
      <c r="F1723" s="107"/>
      <c r="G1723" s="107"/>
      <c r="H1723" s="107"/>
      <c r="I1723" s="108"/>
      <c r="J1723" s="88" t="s">
        <v>2179</v>
      </c>
      <c r="K1723" s="89"/>
      <c r="L1723" s="89"/>
      <c r="M1723" s="90"/>
      <c r="N1723" s="88" t="s">
        <v>26</v>
      </c>
      <c r="O1723" s="89"/>
      <c r="P1723" s="90"/>
      <c r="Q1723" s="133">
        <v>5200</v>
      </c>
      <c r="R1723" s="134"/>
      <c r="S1723" s="5" t="s">
        <v>2181</v>
      </c>
      <c r="T1723" s="6"/>
      <c r="U1723" s="6"/>
      <c r="V1723" s="5" t="s">
        <v>106</v>
      </c>
      <c r="W1723" s="12">
        <v>19135664</v>
      </c>
      <c r="X1723" s="6"/>
      <c r="Y1723" s="6"/>
    </row>
    <row r="1724" spans="1:25" ht="15" customHeight="1" x14ac:dyDescent="0.2">
      <c r="A1724" s="88" t="s">
        <v>2177</v>
      </c>
      <c r="B1724" s="90"/>
      <c r="C1724" s="88" t="s">
        <v>2219</v>
      </c>
      <c r="D1724" s="90"/>
      <c r="E1724" s="106"/>
      <c r="F1724" s="107"/>
      <c r="G1724" s="107"/>
      <c r="H1724" s="107"/>
      <c r="I1724" s="108"/>
      <c r="J1724" s="88" t="s">
        <v>2179</v>
      </c>
      <c r="K1724" s="89"/>
      <c r="L1724" s="89"/>
      <c r="M1724" s="90"/>
      <c r="N1724" s="88" t="s">
        <v>26</v>
      </c>
      <c r="O1724" s="89"/>
      <c r="P1724" s="90"/>
      <c r="Q1724" s="133">
        <v>5200</v>
      </c>
      <c r="R1724" s="134"/>
      <c r="S1724" s="5" t="s">
        <v>2181</v>
      </c>
      <c r="T1724" s="6"/>
      <c r="U1724" s="6"/>
      <c r="V1724" s="5" t="s">
        <v>106</v>
      </c>
      <c r="W1724" s="12">
        <v>19071563</v>
      </c>
      <c r="X1724" s="6"/>
      <c r="Y1724" s="6"/>
    </row>
    <row r="1725" spans="1:25" ht="15" customHeight="1" x14ac:dyDescent="0.2">
      <c r="A1725" s="88" t="s">
        <v>2177</v>
      </c>
      <c r="B1725" s="90"/>
      <c r="C1725" s="88" t="s">
        <v>2220</v>
      </c>
      <c r="D1725" s="90"/>
      <c r="E1725" s="106"/>
      <c r="F1725" s="107"/>
      <c r="G1725" s="107"/>
      <c r="H1725" s="107"/>
      <c r="I1725" s="108"/>
      <c r="J1725" s="88" t="s">
        <v>2179</v>
      </c>
      <c r="K1725" s="89"/>
      <c r="L1725" s="89"/>
      <c r="M1725" s="90"/>
      <c r="N1725" s="88" t="s">
        <v>26</v>
      </c>
      <c r="O1725" s="89"/>
      <c r="P1725" s="90"/>
      <c r="Q1725" s="133">
        <v>7800</v>
      </c>
      <c r="R1725" s="134"/>
      <c r="S1725" s="5" t="s">
        <v>2181</v>
      </c>
      <c r="T1725" s="6"/>
      <c r="U1725" s="6"/>
      <c r="V1725" s="5" t="s">
        <v>106</v>
      </c>
      <c r="W1725" s="12">
        <v>20571740</v>
      </c>
      <c r="X1725" s="6"/>
      <c r="Y1725" s="6"/>
    </row>
    <row r="1726" spans="1:25" ht="15" customHeight="1" x14ac:dyDescent="0.2">
      <c r="A1726" s="88" t="s">
        <v>2177</v>
      </c>
      <c r="B1726" s="90"/>
      <c r="C1726" s="88" t="s">
        <v>2221</v>
      </c>
      <c r="D1726" s="90"/>
      <c r="E1726" s="106"/>
      <c r="F1726" s="107"/>
      <c r="G1726" s="107"/>
      <c r="H1726" s="107"/>
      <c r="I1726" s="108"/>
      <c r="J1726" s="88" t="s">
        <v>2179</v>
      </c>
      <c r="K1726" s="89"/>
      <c r="L1726" s="89"/>
      <c r="M1726" s="90"/>
      <c r="N1726" s="88" t="s">
        <v>26</v>
      </c>
      <c r="O1726" s="89"/>
      <c r="P1726" s="90"/>
      <c r="Q1726" s="133">
        <v>7800</v>
      </c>
      <c r="R1726" s="134"/>
      <c r="S1726" s="5" t="s">
        <v>2181</v>
      </c>
      <c r="T1726" s="6"/>
      <c r="U1726" s="6"/>
      <c r="V1726" s="5" t="s">
        <v>106</v>
      </c>
      <c r="W1726" s="12">
        <v>20408426</v>
      </c>
      <c r="X1726" s="6"/>
      <c r="Y1726" s="6"/>
    </row>
    <row r="1727" spans="1:25" ht="15" customHeight="1" x14ac:dyDescent="0.2">
      <c r="A1727" s="88" t="s">
        <v>2177</v>
      </c>
      <c r="B1727" s="90"/>
      <c r="C1727" s="88" t="s">
        <v>2222</v>
      </c>
      <c r="D1727" s="90"/>
      <c r="E1727" s="106"/>
      <c r="F1727" s="107"/>
      <c r="G1727" s="107"/>
      <c r="H1727" s="107"/>
      <c r="I1727" s="108"/>
      <c r="J1727" s="88" t="s">
        <v>2179</v>
      </c>
      <c r="K1727" s="89"/>
      <c r="L1727" s="89"/>
      <c r="M1727" s="90"/>
      <c r="N1727" s="88" t="s">
        <v>26</v>
      </c>
      <c r="O1727" s="89"/>
      <c r="P1727" s="90"/>
      <c r="Q1727" s="133">
        <v>7800</v>
      </c>
      <c r="R1727" s="134"/>
      <c r="S1727" s="5" t="s">
        <v>2181</v>
      </c>
      <c r="T1727" s="6"/>
      <c r="U1727" s="6"/>
      <c r="V1727" s="5" t="s">
        <v>106</v>
      </c>
      <c r="W1727" s="12">
        <v>20653533</v>
      </c>
      <c r="X1727" s="6"/>
      <c r="Y1727" s="6"/>
    </row>
    <row r="1728" spans="1:25" ht="15" customHeight="1" x14ac:dyDescent="0.2">
      <c r="A1728" s="88" t="s">
        <v>2177</v>
      </c>
      <c r="B1728" s="90"/>
      <c r="C1728" s="88" t="s">
        <v>2223</v>
      </c>
      <c r="D1728" s="90"/>
      <c r="E1728" s="106"/>
      <c r="F1728" s="107"/>
      <c r="G1728" s="107"/>
      <c r="H1728" s="107"/>
      <c r="I1728" s="108"/>
      <c r="J1728" s="88" t="s">
        <v>1718</v>
      </c>
      <c r="K1728" s="89"/>
      <c r="L1728" s="89"/>
      <c r="M1728" s="90"/>
      <c r="N1728" s="88" t="s">
        <v>22</v>
      </c>
      <c r="O1728" s="89"/>
      <c r="P1728" s="90"/>
      <c r="Q1728" s="133">
        <v>5200</v>
      </c>
      <c r="R1728" s="134"/>
      <c r="S1728" s="5" t="s">
        <v>1589</v>
      </c>
      <c r="T1728" s="6"/>
      <c r="U1728" s="6"/>
      <c r="V1728" s="5" t="s">
        <v>106</v>
      </c>
      <c r="W1728" s="12">
        <v>26855845</v>
      </c>
      <c r="X1728" s="6"/>
      <c r="Y1728" s="6"/>
    </row>
    <row r="1729" spans="1:25" ht="15" customHeight="1" x14ac:dyDescent="0.2">
      <c r="A1729" s="88" t="s">
        <v>2177</v>
      </c>
      <c r="B1729" s="90"/>
      <c r="C1729" s="88" t="s">
        <v>2224</v>
      </c>
      <c r="D1729" s="90"/>
      <c r="E1729" s="106"/>
      <c r="F1729" s="107"/>
      <c r="G1729" s="107"/>
      <c r="H1729" s="107"/>
      <c r="I1729" s="108"/>
      <c r="J1729" s="88" t="s">
        <v>2179</v>
      </c>
      <c r="K1729" s="89"/>
      <c r="L1729" s="89"/>
      <c r="M1729" s="90"/>
      <c r="N1729" s="88" t="s">
        <v>26</v>
      </c>
      <c r="O1729" s="89"/>
      <c r="P1729" s="90"/>
      <c r="Q1729" s="133">
        <v>7800</v>
      </c>
      <c r="R1729" s="134"/>
      <c r="S1729" s="5" t="s">
        <v>2181</v>
      </c>
      <c r="T1729" s="6"/>
      <c r="U1729" s="6"/>
      <c r="V1729" s="5" t="s">
        <v>106</v>
      </c>
      <c r="W1729" s="12">
        <v>23734048</v>
      </c>
      <c r="X1729" s="6"/>
      <c r="Y1729" s="6"/>
    </row>
    <row r="1730" spans="1:25" ht="15" customHeight="1" x14ac:dyDescent="0.2">
      <c r="A1730" s="88" t="s">
        <v>2177</v>
      </c>
      <c r="B1730" s="90"/>
      <c r="C1730" s="88" t="s">
        <v>2225</v>
      </c>
      <c r="D1730" s="90"/>
      <c r="E1730" s="106"/>
      <c r="F1730" s="107"/>
      <c r="G1730" s="107"/>
      <c r="H1730" s="107"/>
      <c r="I1730" s="108"/>
      <c r="J1730" s="88" t="s">
        <v>2179</v>
      </c>
      <c r="K1730" s="89"/>
      <c r="L1730" s="89"/>
      <c r="M1730" s="90"/>
      <c r="N1730" s="88" t="s">
        <v>26</v>
      </c>
      <c r="O1730" s="89"/>
      <c r="P1730" s="90"/>
      <c r="Q1730" s="133">
        <v>7800</v>
      </c>
      <c r="R1730" s="134"/>
      <c r="S1730" s="5" t="s">
        <v>2181</v>
      </c>
      <c r="T1730" s="6"/>
      <c r="U1730" s="6"/>
      <c r="V1730" s="5" t="s">
        <v>106</v>
      </c>
      <c r="W1730" s="12">
        <v>23536710</v>
      </c>
      <c r="X1730" s="6"/>
      <c r="Y1730" s="6"/>
    </row>
    <row r="1731" spans="1:25" ht="15" customHeight="1" x14ac:dyDescent="0.2">
      <c r="A1731" s="88" t="s">
        <v>2177</v>
      </c>
      <c r="B1731" s="90"/>
      <c r="C1731" s="88" t="s">
        <v>2226</v>
      </c>
      <c r="D1731" s="90"/>
      <c r="E1731" s="106"/>
      <c r="F1731" s="107"/>
      <c r="G1731" s="107"/>
      <c r="H1731" s="107"/>
      <c r="I1731" s="108"/>
      <c r="J1731" s="88" t="s">
        <v>2179</v>
      </c>
      <c r="K1731" s="89"/>
      <c r="L1731" s="89"/>
      <c r="M1731" s="90"/>
      <c r="N1731" s="88" t="s">
        <v>26</v>
      </c>
      <c r="O1731" s="89"/>
      <c r="P1731" s="90"/>
      <c r="Q1731" s="133">
        <v>7800</v>
      </c>
      <c r="R1731" s="134"/>
      <c r="S1731" s="5" t="s">
        <v>2181</v>
      </c>
      <c r="T1731" s="6"/>
      <c r="U1731" s="6"/>
      <c r="V1731" s="5" t="s">
        <v>106</v>
      </c>
      <c r="W1731" s="12">
        <v>23271324</v>
      </c>
      <c r="X1731" s="6"/>
      <c r="Y1731" s="6"/>
    </row>
    <row r="1732" spans="1:25" ht="15" customHeight="1" x14ac:dyDescent="0.2">
      <c r="A1732" s="88" t="s">
        <v>2177</v>
      </c>
      <c r="B1732" s="90"/>
      <c r="C1732" s="88" t="s">
        <v>2227</v>
      </c>
      <c r="D1732" s="90"/>
      <c r="E1732" s="106"/>
      <c r="F1732" s="107"/>
      <c r="G1732" s="107"/>
      <c r="H1732" s="107"/>
      <c r="I1732" s="108"/>
      <c r="J1732" s="88" t="s">
        <v>2179</v>
      </c>
      <c r="K1732" s="89"/>
      <c r="L1732" s="89"/>
      <c r="M1732" s="90"/>
      <c r="N1732" s="88" t="s">
        <v>22</v>
      </c>
      <c r="O1732" s="89"/>
      <c r="P1732" s="90"/>
      <c r="Q1732" s="133">
        <v>7800</v>
      </c>
      <c r="R1732" s="134"/>
      <c r="S1732" s="5" t="s">
        <v>1589</v>
      </c>
      <c r="T1732" s="6"/>
      <c r="U1732" s="6"/>
      <c r="V1732" s="5" t="s">
        <v>106</v>
      </c>
      <c r="W1732" s="12">
        <v>33400696</v>
      </c>
      <c r="X1732" s="6"/>
      <c r="Y1732" s="6"/>
    </row>
    <row r="1733" spans="1:25" ht="15" customHeight="1" x14ac:dyDescent="0.2">
      <c r="A1733" s="88" t="s">
        <v>2177</v>
      </c>
      <c r="B1733" s="90"/>
      <c r="C1733" s="88" t="s">
        <v>2228</v>
      </c>
      <c r="D1733" s="90"/>
      <c r="E1733" s="106"/>
      <c r="F1733" s="107"/>
      <c r="G1733" s="107"/>
      <c r="H1733" s="107"/>
      <c r="I1733" s="108"/>
      <c r="J1733" s="88" t="s">
        <v>2179</v>
      </c>
      <c r="K1733" s="89"/>
      <c r="L1733" s="89"/>
      <c r="M1733" s="90"/>
      <c r="N1733" s="88" t="s">
        <v>26</v>
      </c>
      <c r="O1733" s="89"/>
      <c r="P1733" s="90"/>
      <c r="Q1733" s="133">
        <v>7800</v>
      </c>
      <c r="R1733" s="134"/>
      <c r="S1733" s="5" t="s">
        <v>1589</v>
      </c>
      <c r="T1733" s="6"/>
      <c r="U1733" s="6"/>
      <c r="V1733" s="5" t="s">
        <v>106</v>
      </c>
      <c r="W1733" s="12">
        <v>32661155</v>
      </c>
      <c r="X1733" s="6"/>
      <c r="Y1733" s="6"/>
    </row>
    <row r="1734" spans="1:25" ht="15" customHeight="1" x14ac:dyDescent="0.2">
      <c r="A1734" s="88" t="s">
        <v>2177</v>
      </c>
      <c r="B1734" s="90"/>
      <c r="C1734" s="88" t="s">
        <v>2229</v>
      </c>
      <c r="D1734" s="90"/>
      <c r="E1734" s="106"/>
      <c r="F1734" s="107"/>
      <c r="G1734" s="107"/>
      <c r="H1734" s="107"/>
      <c r="I1734" s="108"/>
      <c r="J1734" s="88" t="s">
        <v>2179</v>
      </c>
      <c r="K1734" s="89"/>
      <c r="L1734" s="89"/>
      <c r="M1734" s="90"/>
      <c r="N1734" s="88" t="s">
        <v>26</v>
      </c>
      <c r="O1734" s="89"/>
      <c r="P1734" s="90"/>
      <c r="Q1734" s="133">
        <v>7800</v>
      </c>
      <c r="R1734" s="134"/>
      <c r="S1734" s="5" t="s">
        <v>2181</v>
      </c>
      <c r="T1734" s="6"/>
      <c r="U1734" s="6"/>
      <c r="V1734" s="5" t="s">
        <v>106</v>
      </c>
      <c r="W1734" s="12">
        <v>26843279</v>
      </c>
      <c r="X1734" s="6"/>
      <c r="Y1734" s="6"/>
    </row>
    <row r="1735" spans="1:25" ht="15" customHeight="1" x14ac:dyDescent="0.2">
      <c r="A1735" s="88" t="s">
        <v>2177</v>
      </c>
      <c r="B1735" s="90"/>
      <c r="C1735" s="88" t="s">
        <v>2230</v>
      </c>
      <c r="D1735" s="90"/>
      <c r="E1735" s="106"/>
      <c r="F1735" s="107"/>
      <c r="G1735" s="107"/>
      <c r="H1735" s="107"/>
      <c r="I1735" s="108"/>
      <c r="J1735" s="88" t="s">
        <v>2179</v>
      </c>
      <c r="K1735" s="89"/>
      <c r="L1735" s="89"/>
      <c r="M1735" s="90"/>
      <c r="N1735" s="88" t="s">
        <v>26</v>
      </c>
      <c r="O1735" s="89"/>
      <c r="P1735" s="90"/>
      <c r="Q1735" s="133">
        <v>7800</v>
      </c>
      <c r="R1735" s="134"/>
      <c r="S1735" s="5" t="s">
        <v>2181</v>
      </c>
      <c r="T1735" s="6"/>
      <c r="U1735" s="6"/>
      <c r="V1735" s="5" t="s">
        <v>106</v>
      </c>
      <c r="W1735" s="12">
        <v>26817557</v>
      </c>
      <c r="X1735" s="6"/>
      <c r="Y1735" s="6"/>
    </row>
    <row r="1736" spans="1:25" ht="15" customHeight="1" x14ac:dyDescent="0.2">
      <c r="A1736" s="88" t="s">
        <v>2177</v>
      </c>
      <c r="B1736" s="90"/>
      <c r="C1736" s="88" t="s">
        <v>2231</v>
      </c>
      <c r="D1736" s="90"/>
      <c r="E1736" s="106"/>
      <c r="F1736" s="107"/>
      <c r="G1736" s="107"/>
      <c r="H1736" s="107"/>
      <c r="I1736" s="108"/>
      <c r="J1736" s="88" t="s">
        <v>2179</v>
      </c>
      <c r="K1736" s="89"/>
      <c r="L1736" s="89"/>
      <c r="M1736" s="90"/>
      <c r="N1736" s="88" t="s">
        <v>26</v>
      </c>
      <c r="O1736" s="89"/>
      <c r="P1736" s="90"/>
      <c r="Q1736" s="133">
        <v>7800</v>
      </c>
      <c r="R1736" s="134"/>
      <c r="S1736" s="5" t="s">
        <v>2181</v>
      </c>
      <c r="T1736" s="6"/>
      <c r="U1736" s="6"/>
      <c r="V1736" s="5" t="s">
        <v>106</v>
      </c>
      <c r="W1736" s="12">
        <v>32397459</v>
      </c>
      <c r="X1736" s="6"/>
      <c r="Y1736" s="6"/>
    </row>
    <row r="1737" spans="1:25" ht="15" customHeight="1" x14ac:dyDescent="0.2">
      <c r="A1737" s="88" t="s">
        <v>2177</v>
      </c>
      <c r="B1737" s="90"/>
      <c r="C1737" s="88" t="s">
        <v>2232</v>
      </c>
      <c r="D1737" s="90"/>
      <c r="E1737" s="106"/>
      <c r="F1737" s="107"/>
      <c r="G1737" s="107"/>
      <c r="H1737" s="107"/>
      <c r="I1737" s="108"/>
      <c r="J1737" s="88" t="s">
        <v>2179</v>
      </c>
      <c r="K1737" s="89"/>
      <c r="L1737" s="89"/>
      <c r="M1737" s="90"/>
      <c r="N1737" s="88" t="s">
        <v>26</v>
      </c>
      <c r="O1737" s="89"/>
      <c r="P1737" s="90"/>
      <c r="Q1737" s="133">
        <v>7800</v>
      </c>
      <c r="R1737" s="134"/>
      <c r="S1737" s="5" t="s">
        <v>2181</v>
      </c>
      <c r="T1737" s="6"/>
      <c r="U1737" s="6"/>
      <c r="V1737" s="5" t="s">
        <v>106</v>
      </c>
      <c r="W1737" s="12">
        <v>28797878</v>
      </c>
      <c r="X1737" s="6"/>
      <c r="Y1737" s="6"/>
    </row>
    <row r="1738" spans="1:25" ht="15" customHeight="1" x14ac:dyDescent="0.2">
      <c r="A1738" s="88" t="s">
        <v>2177</v>
      </c>
      <c r="B1738" s="90"/>
      <c r="C1738" s="88" t="s">
        <v>2233</v>
      </c>
      <c r="D1738" s="90"/>
      <c r="E1738" s="106"/>
      <c r="F1738" s="107"/>
      <c r="G1738" s="107"/>
      <c r="H1738" s="107"/>
      <c r="I1738" s="108"/>
      <c r="J1738" s="88" t="s">
        <v>2234</v>
      </c>
      <c r="K1738" s="89"/>
      <c r="L1738" s="89"/>
      <c r="M1738" s="90"/>
      <c r="N1738" s="88" t="s">
        <v>26</v>
      </c>
      <c r="O1738" s="89"/>
      <c r="P1738" s="90"/>
      <c r="Q1738" s="133">
        <v>7800</v>
      </c>
      <c r="R1738" s="134"/>
      <c r="S1738" s="5" t="s">
        <v>2181</v>
      </c>
      <c r="T1738" s="6"/>
      <c r="U1738" s="6"/>
      <c r="V1738" s="5" t="s">
        <v>106</v>
      </c>
      <c r="W1738" s="12">
        <v>23993582</v>
      </c>
      <c r="X1738" s="6"/>
      <c r="Y1738" s="6"/>
    </row>
    <row r="1739" spans="1:25" ht="15" customHeight="1" x14ac:dyDescent="0.2">
      <c r="A1739" s="88" t="s">
        <v>2177</v>
      </c>
      <c r="B1739" s="90"/>
      <c r="C1739" s="88" t="s">
        <v>2235</v>
      </c>
      <c r="D1739" s="90"/>
      <c r="E1739" s="106"/>
      <c r="F1739" s="107"/>
      <c r="G1739" s="107"/>
      <c r="H1739" s="107"/>
      <c r="I1739" s="108"/>
      <c r="J1739" s="88" t="s">
        <v>2179</v>
      </c>
      <c r="K1739" s="89"/>
      <c r="L1739" s="89"/>
      <c r="M1739" s="90"/>
      <c r="N1739" s="88" t="s">
        <v>26</v>
      </c>
      <c r="O1739" s="89"/>
      <c r="P1739" s="90"/>
      <c r="Q1739" s="133">
        <v>7800</v>
      </c>
      <c r="R1739" s="134"/>
      <c r="S1739" s="5" t="s">
        <v>2181</v>
      </c>
      <c r="T1739" s="6"/>
      <c r="U1739" s="6"/>
      <c r="V1739" s="5" t="s">
        <v>106</v>
      </c>
      <c r="W1739" s="12">
        <v>25960157</v>
      </c>
      <c r="X1739" s="6"/>
      <c r="Y1739" s="6"/>
    </row>
    <row r="1740" spans="1:25" ht="15" customHeight="1" x14ac:dyDescent="0.2">
      <c r="A1740" s="88" t="s">
        <v>2177</v>
      </c>
      <c r="B1740" s="90"/>
      <c r="C1740" s="88" t="s">
        <v>2236</v>
      </c>
      <c r="D1740" s="90"/>
      <c r="E1740" s="106"/>
      <c r="F1740" s="107"/>
      <c r="G1740" s="107"/>
      <c r="H1740" s="107"/>
      <c r="I1740" s="108"/>
      <c r="J1740" s="88" t="s">
        <v>2234</v>
      </c>
      <c r="K1740" s="89"/>
      <c r="L1740" s="89"/>
      <c r="M1740" s="90"/>
      <c r="N1740" s="88" t="s">
        <v>26</v>
      </c>
      <c r="O1740" s="89"/>
      <c r="P1740" s="90"/>
      <c r="Q1740" s="133">
        <v>7800</v>
      </c>
      <c r="R1740" s="134"/>
      <c r="S1740" s="5" t="s">
        <v>2181</v>
      </c>
      <c r="T1740" s="6"/>
      <c r="U1740" s="6"/>
      <c r="V1740" s="5" t="s">
        <v>106</v>
      </c>
      <c r="W1740" s="12">
        <v>23728196</v>
      </c>
      <c r="X1740" s="6"/>
      <c r="Y1740" s="6"/>
    </row>
    <row r="1741" spans="1:25" ht="15" customHeight="1" x14ac:dyDescent="0.2">
      <c r="A1741" s="88" t="s">
        <v>2177</v>
      </c>
      <c r="B1741" s="90"/>
      <c r="C1741" s="88" t="s">
        <v>2237</v>
      </c>
      <c r="D1741" s="90"/>
      <c r="E1741" s="106"/>
      <c r="F1741" s="107"/>
      <c r="G1741" s="107"/>
      <c r="H1741" s="107"/>
      <c r="I1741" s="108"/>
      <c r="J1741" s="88" t="s">
        <v>2179</v>
      </c>
      <c r="K1741" s="89"/>
      <c r="L1741" s="89"/>
      <c r="M1741" s="90"/>
      <c r="N1741" s="88" t="s">
        <v>26</v>
      </c>
      <c r="O1741" s="89"/>
      <c r="P1741" s="90"/>
      <c r="Q1741" s="133">
        <v>7800</v>
      </c>
      <c r="R1741" s="134"/>
      <c r="S1741" s="5" t="s">
        <v>2181</v>
      </c>
      <c r="T1741" s="6"/>
      <c r="U1741" s="6"/>
      <c r="V1741" s="5" t="s">
        <v>106</v>
      </c>
      <c r="W1741" s="12">
        <v>32446045</v>
      </c>
      <c r="X1741" s="6"/>
      <c r="Y1741" s="6"/>
    </row>
    <row r="1742" spans="1:25" ht="15" customHeight="1" x14ac:dyDescent="0.2">
      <c r="A1742" s="88" t="s">
        <v>2177</v>
      </c>
      <c r="B1742" s="90"/>
      <c r="C1742" s="88" t="s">
        <v>2238</v>
      </c>
      <c r="D1742" s="90"/>
      <c r="E1742" s="106"/>
      <c r="F1742" s="107"/>
      <c r="G1742" s="107"/>
      <c r="H1742" s="107"/>
      <c r="I1742" s="108"/>
      <c r="J1742" s="88" t="s">
        <v>2179</v>
      </c>
      <c r="K1742" s="89"/>
      <c r="L1742" s="89"/>
      <c r="M1742" s="90"/>
      <c r="N1742" s="88" t="s">
        <v>26</v>
      </c>
      <c r="O1742" s="89"/>
      <c r="P1742" s="90"/>
      <c r="Q1742" s="133">
        <v>7800</v>
      </c>
      <c r="R1742" s="134"/>
      <c r="S1742" s="5" t="s">
        <v>2181</v>
      </c>
      <c r="T1742" s="6"/>
      <c r="U1742" s="6"/>
      <c r="V1742" s="5" t="s">
        <v>106</v>
      </c>
      <c r="W1742" s="12">
        <v>38025948</v>
      </c>
      <c r="X1742" s="6"/>
      <c r="Y1742" s="6"/>
    </row>
    <row r="1743" spans="1:25" ht="15" customHeight="1" x14ac:dyDescent="0.2">
      <c r="A1743" s="88" t="s">
        <v>2177</v>
      </c>
      <c r="B1743" s="90"/>
      <c r="C1743" s="88" t="s">
        <v>2239</v>
      </c>
      <c r="D1743" s="90"/>
      <c r="E1743" s="106"/>
      <c r="F1743" s="107"/>
      <c r="G1743" s="107"/>
      <c r="H1743" s="107"/>
      <c r="I1743" s="108"/>
      <c r="J1743" s="88" t="s">
        <v>2179</v>
      </c>
      <c r="K1743" s="89"/>
      <c r="L1743" s="89"/>
      <c r="M1743" s="90"/>
      <c r="N1743" s="88" t="s">
        <v>26</v>
      </c>
      <c r="O1743" s="89"/>
      <c r="P1743" s="90"/>
      <c r="Q1743" s="133">
        <v>7800</v>
      </c>
      <c r="R1743" s="134"/>
      <c r="S1743" s="5" t="s">
        <v>2181</v>
      </c>
      <c r="T1743" s="6"/>
      <c r="U1743" s="6"/>
      <c r="V1743" s="5" t="s">
        <v>106</v>
      </c>
      <c r="W1743" s="12">
        <v>32019659</v>
      </c>
      <c r="X1743" s="6"/>
      <c r="Y1743" s="6"/>
    </row>
    <row r="1744" spans="1:25" ht="15" customHeight="1" x14ac:dyDescent="0.2">
      <c r="A1744" s="88" t="s">
        <v>2177</v>
      </c>
      <c r="B1744" s="90"/>
      <c r="C1744" s="88" t="s">
        <v>2240</v>
      </c>
      <c r="D1744" s="90"/>
      <c r="E1744" s="106"/>
      <c r="F1744" s="107"/>
      <c r="G1744" s="107"/>
      <c r="H1744" s="107"/>
      <c r="I1744" s="108"/>
      <c r="J1744" s="88" t="s">
        <v>2179</v>
      </c>
      <c r="K1744" s="89"/>
      <c r="L1744" s="89"/>
      <c r="M1744" s="90"/>
      <c r="N1744" s="88" t="s">
        <v>26</v>
      </c>
      <c r="O1744" s="89"/>
      <c r="P1744" s="90"/>
      <c r="Q1744" s="133">
        <v>7800</v>
      </c>
      <c r="R1744" s="134"/>
      <c r="S1744" s="5" t="s">
        <v>2181</v>
      </c>
      <c r="T1744" s="6"/>
      <c r="U1744" s="6"/>
      <c r="V1744" s="5" t="s">
        <v>106</v>
      </c>
      <c r="W1744" s="12">
        <v>37659852</v>
      </c>
      <c r="X1744" s="6"/>
      <c r="Y1744" s="6"/>
    </row>
    <row r="1745" spans="1:25" ht="15" customHeight="1" x14ac:dyDescent="0.2">
      <c r="A1745" s="88" t="s">
        <v>2177</v>
      </c>
      <c r="B1745" s="90"/>
      <c r="C1745" s="88" t="s">
        <v>2241</v>
      </c>
      <c r="D1745" s="90"/>
      <c r="E1745" s="106"/>
      <c r="F1745" s="107"/>
      <c r="G1745" s="107"/>
      <c r="H1745" s="107"/>
      <c r="I1745" s="108"/>
      <c r="J1745" s="88" t="s">
        <v>2234</v>
      </c>
      <c r="K1745" s="89"/>
      <c r="L1745" s="89"/>
      <c r="M1745" s="90"/>
      <c r="N1745" s="88" t="s">
        <v>26</v>
      </c>
      <c r="O1745" s="89"/>
      <c r="P1745" s="90"/>
      <c r="Q1745" s="133">
        <v>7800</v>
      </c>
      <c r="R1745" s="134"/>
      <c r="S1745" s="5" t="s">
        <v>2181</v>
      </c>
      <c r="T1745" s="6"/>
      <c r="U1745" s="6"/>
      <c r="V1745" s="5" t="s">
        <v>106</v>
      </c>
      <c r="W1745" s="12">
        <v>29057275</v>
      </c>
      <c r="X1745" s="6"/>
      <c r="Y1745" s="6"/>
    </row>
    <row r="1746" spans="1:25" ht="15" customHeight="1" x14ac:dyDescent="0.2">
      <c r="A1746" s="88" t="s">
        <v>2177</v>
      </c>
      <c r="B1746" s="90"/>
      <c r="C1746" s="88" t="s">
        <v>2242</v>
      </c>
      <c r="D1746" s="90"/>
      <c r="E1746" s="106"/>
      <c r="F1746" s="107"/>
      <c r="G1746" s="107"/>
      <c r="H1746" s="107"/>
      <c r="I1746" s="108"/>
      <c r="J1746" s="88" t="s">
        <v>2179</v>
      </c>
      <c r="K1746" s="89"/>
      <c r="L1746" s="89"/>
      <c r="M1746" s="90"/>
      <c r="N1746" s="88" t="s">
        <v>26</v>
      </c>
      <c r="O1746" s="89"/>
      <c r="P1746" s="90"/>
      <c r="Q1746" s="133">
        <v>7800</v>
      </c>
      <c r="R1746" s="134"/>
      <c r="S1746" s="5" t="s">
        <v>2181</v>
      </c>
      <c r="T1746" s="6"/>
      <c r="U1746" s="6"/>
      <c r="V1746" s="5" t="s">
        <v>106</v>
      </c>
      <c r="W1746" s="12">
        <v>31066040</v>
      </c>
      <c r="X1746" s="6"/>
      <c r="Y1746" s="6"/>
    </row>
    <row r="1747" spans="1:25" ht="15" customHeight="1" x14ac:dyDescent="0.2">
      <c r="A1747" s="88" t="s">
        <v>2177</v>
      </c>
      <c r="B1747" s="90"/>
      <c r="C1747" s="88" t="s">
        <v>2243</v>
      </c>
      <c r="D1747" s="90"/>
      <c r="E1747" s="106"/>
      <c r="F1747" s="107"/>
      <c r="G1747" s="107"/>
      <c r="H1747" s="107"/>
      <c r="I1747" s="108"/>
      <c r="J1747" s="88" t="s">
        <v>2179</v>
      </c>
      <c r="K1747" s="89"/>
      <c r="L1747" s="89"/>
      <c r="M1747" s="90"/>
      <c r="N1747" s="88" t="s">
        <v>26</v>
      </c>
      <c r="O1747" s="89"/>
      <c r="P1747" s="90"/>
      <c r="Q1747" s="133">
        <v>7800</v>
      </c>
      <c r="R1747" s="134"/>
      <c r="S1747" s="5" t="s">
        <v>2181</v>
      </c>
      <c r="T1747" s="6"/>
      <c r="U1747" s="6"/>
      <c r="V1747" s="5" t="s">
        <v>106</v>
      </c>
      <c r="W1747" s="12">
        <v>36645943</v>
      </c>
      <c r="X1747" s="6"/>
      <c r="Y1747" s="6"/>
    </row>
    <row r="1748" spans="1:25" ht="15" customHeight="1" x14ac:dyDescent="0.2">
      <c r="A1748" s="88" t="s">
        <v>2177</v>
      </c>
      <c r="B1748" s="90"/>
      <c r="C1748" s="88" t="s">
        <v>2244</v>
      </c>
      <c r="D1748" s="90"/>
      <c r="E1748" s="106"/>
      <c r="F1748" s="107"/>
      <c r="G1748" s="107"/>
      <c r="H1748" s="107"/>
      <c r="I1748" s="108"/>
      <c r="J1748" s="88" t="s">
        <v>2179</v>
      </c>
      <c r="K1748" s="89"/>
      <c r="L1748" s="89"/>
      <c r="M1748" s="90"/>
      <c r="N1748" s="88" t="s">
        <v>26</v>
      </c>
      <c r="O1748" s="89"/>
      <c r="P1748" s="90"/>
      <c r="Q1748" s="133">
        <v>7800</v>
      </c>
      <c r="R1748" s="134"/>
      <c r="S1748" s="5" t="s">
        <v>2181</v>
      </c>
      <c r="T1748" s="6"/>
      <c r="U1748" s="6"/>
      <c r="V1748" s="5" t="s">
        <v>106</v>
      </c>
      <c r="W1748" s="12">
        <v>30882312</v>
      </c>
      <c r="X1748" s="6"/>
      <c r="Y1748" s="6"/>
    </row>
    <row r="1749" spans="1:25" ht="15" customHeight="1" x14ac:dyDescent="0.2">
      <c r="A1749" s="88" t="s">
        <v>2177</v>
      </c>
      <c r="B1749" s="90"/>
      <c r="C1749" s="88" t="s">
        <v>2245</v>
      </c>
      <c r="D1749" s="90"/>
      <c r="E1749" s="106"/>
      <c r="F1749" s="107"/>
      <c r="G1749" s="107"/>
      <c r="H1749" s="107"/>
      <c r="I1749" s="108"/>
      <c r="J1749" s="88" t="s">
        <v>2179</v>
      </c>
      <c r="K1749" s="89"/>
      <c r="L1749" s="89"/>
      <c r="M1749" s="90"/>
      <c r="N1749" s="88" t="s">
        <v>26</v>
      </c>
      <c r="O1749" s="89"/>
      <c r="P1749" s="90"/>
      <c r="Q1749" s="133">
        <v>7800</v>
      </c>
      <c r="R1749" s="134"/>
      <c r="S1749" s="5" t="s">
        <v>2181</v>
      </c>
      <c r="T1749" s="6"/>
      <c r="U1749" s="6"/>
      <c r="V1749" s="5" t="s">
        <v>106</v>
      </c>
      <c r="W1749" s="12">
        <v>36462214</v>
      </c>
      <c r="X1749" s="6"/>
      <c r="Y1749" s="6"/>
    </row>
    <row r="1750" spans="1:25" ht="15" customHeight="1" x14ac:dyDescent="0.2">
      <c r="A1750" s="88" t="s">
        <v>2177</v>
      </c>
      <c r="B1750" s="90"/>
      <c r="C1750" s="88" t="s">
        <v>2246</v>
      </c>
      <c r="D1750" s="90"/>
      <c r="E1750" s="106"/>
      <c r="F1750" s="107"/>
      <c r="G1750" s="107"/>
      <c r="H1750" s="107"/>
      <c r="I1750" s="108"/>
      <c r="J1750" s="88" t="s">
        <v>2179</v>
      </c>
      <c r="K1750" s="89"/>
      <c r="L1750" s="89"/>
      <c r="M1750" s="90"/>
      <c r="N1750" s="88" t="s">
        <v>26</v>
      </c>
      <c r="O1750" s="89"/>
      <c r="P1750" s="90"/>
      <c r="Q1750" s="133">
        <v>9800</v>
      </c>
      <c r="R1750" s="134"/>
      <c r="S1750" s="5" t="s">
        <v>2181</v>
      </c>
      <c r="T1750" s="6"/>
      <c r="U1750" s="6"/>
      <c r="V1750" s="5" t="s">
        <v>106</v>
      </c>
      <c r="W1750" s="12">
        <v>28282077</v>
      </c>
      <c r="X1750" s="6"/>
      <c r="Y1750" s="6"/>
    </row>
    <row r="1751" spans="1:25" ht="15" customHeight="1" x14ac:dyDescent="0.2">
      <c r="A1751" s="88" t="s">
        <v>2177</v>
      </c>
      <c r="B1751" s="90"/>
      <c r="C1751" s="88" t="s">
        <v>2247</v>
      </c>
      <c r="D1751" s="90"/>
      <c r="E1751" s="106"/>
      <c r="F1751" s="107"/>
      <c r="G1751" s="107"/>
      <c r="H1751" s="107"/>
      <c r="I1751" s="108"/>
      <c r="J1751" s="88" t="s">
        <v>2234</v>
      </c>
      <c r="K1751" s="89"/>
      <c r="L1751" s="89"/>
      <c r="M1751" s="90"/>
      <c r="N1751" s="88" t="s">
        <v>26</v>
      </c>
      <c r="O1751" s="89"/>
      <c r="P1751" s="90"/>
      <c r="Q1751" s="133">
        <v>9800</v>
      </c>
      <c r="R1751" s="134"/>
      <c r="S1751" s="5" t="s">
        <v>2181</v>
      </c>
      <c r="T1751" s="6"/>
      <c r="U1751" s="6"/>
      <c r="V1751" s="5" t="s">
        <v>106</v>
      </c>
      <c r="W1751" s="12">
        <v>25459599</v>
      </c>
      <c r="X1751" s="6"/>
      <c r="Y1751" s="6"/>
    </row>
    <row r="1752" spans="1:25" ht="15" customHeight="1" x14ac:dyDescent="0.2">
      <c r="A1752" s="88" t="s">
        <v>2177</v>
      </c>
      <c r="B1752" s="90"/>
      <c r="C1752" s="88" t="s">
        <v>2248</v>
      </c>
      <c r="D1752" s="90"/>
      <c r="E1752" s="106"/>
      <c r="F1752" s="107"/>
      <c r="G1752" s="107"/>
      <c r="H1752" s="107"/>
      <c r="I1752" s="108"/>
      <c r="J1752" s="88" t="s">
        <v>2234</v>
      </c>
      <c r="K1752" s="89"/>
      <c r="L1752" s="89"/>
      <c r="M1752" s="90"/>
      <c r="N1752" s="88" t="s">
        <v>26</v>
      </c>
      <c r="O1752" s="89"/>
      <c r="P1752" s="90"/>
      <c r="Q1752" s="133">
        <v>9800</v>
      </c>
      <c r="R1752" s="134"/>
      <c r="S1752" s="5" t="s">
        <v>2181</v>
      </c>
      <c r="T1752" s="6"/>
      <c r="U1752" s="6"/>
      <c r="V1752" s="5" t="s">
        <v>106</v>
      </c>
      <c r="W1752" s="12">
        <v>27708436</v>
      </c>
      <c r="X1752" s="6"/>
      <c r="Y1752" s="6"/>
    </row>
    <row r="1753" spans="1:25" ht="15" customHeight="1" x14ac:dyDescent="0.2">
      <c r="A1753" s="88" t="s">
        <v>2177</v>
      </c>
      <c r="B1753" s="90"/>
      <c r="C1753" s="88" t="s">
        <v>2249</v>
      </c>
      <c r="D1753" s="90"/>
      <c r="E1753" s="106"/>
      <c r="F1753" s="107"/>
      <c r="G1753" s="107"/>
      <c r="H1753" s="107"/>
      <c r="I1753" s="108"/>
      <c r="J1753" s="88" t="s">
        <v>2179</v>
      </c>
      <c r="K1753" s="89"/>
      <c r="L1753" s="89"/>
      <c r="M1753" s="90"/>
      <c r="N1753" s="88" t="s">
        <v>26</v>
      </c>
      <c r="O1753" s="89"/>
      <c r="P1753" s="90"/>
      <c r="Q1753" s="133">
        <v>9800</v>
      </c>
      <c r="R1753" s="134"/>
      <c r="S1753" s="5" t="s">
        <v>2181</v>
      </c>
      <c r="T1753" s="6"/>
      <c r="U1753" s="6"/>
      <c r="V1753" s="5" t="s">
        <v>106</v>
      </c>
      <c r="W1753" s="12">
        <v>32275518</v>
      </c>
      <c r="X1753" s="6"/>
      <c r="Y1753" s="6"/>
    </row>
    <row r="1754" spans="1:25" ht="15" customHeight="1" x14ac:dyDescent="0.2">
      <c r="A1754" s="88" t="s">
        <v>2177</v>
      </c>
      <c r="B1754" s="90"/>
      <c r="C1754" s="88" t="s">
        <v>2250</v>
      </c>
      <c r="D1754" s="90"/>
      <c r="E1754" s="106"/>
      <c r="F1754" s="107"/>
      <c r="G1754" s="107"/>
      <c r="H1754" s="107"/>
      <c r="I1754" s="108"/>
      <c r="J1754" s="88" t="s">
        <v>2179</v>
      </c>
      <c r="K1754" s="89"/>
      <c r="L1754" s="89"/>
      <c r="M1754" s="90"/>
      <c r="N1754" s="88" t="s">
        <v>26</v>
      </c>
      <c r="O1754" s="89"/>
      <c r="P1754" s="90"/>
      <c r="Q1754" s="133">
        <v>9800</v>
      </c>
      <c r="R1754" s="134"/>
      <c r="S1754" s="5" t="s">
        <v>2181</v>
      </c>
      <c r="T1754" s="6"/>
      <c r="U1754" s="6"/>
      <c r="V1754" s="5" t="s">
        <v>106</v>
      </c>
      <c r="W1754" s="12">
        <v>32080494</v>
      </c>
      <c r="X1754" s="6"/>
      <c r="Y1754" s="6"/>
    </row>
    <row r="1755" spans="1:25" ht="15" customHeight="1" x14ac:dyDescent="0.2">
      <c r="A1755" s="88" t="s">
        <v>2177</v>
      </c>
      <c r="B1755" s="90"/>
      <c r="C1755" s="88" t="s">
        <v>2251</v>
      </c>
      <c r="D1755" s="90"/>
      <c r="E1755" s="106"/>
      <c r="F1755" s="107"/>
      <c r="G1755" s="107"/>
      <c r="H1755" s="107"/>
      <c r="I1755" s="108"/>
      <c r="J1755" s="88" t="s">
        <v>2179</v>
      </c>
      <c r="K1755" s="89"/>
      <c r="L1755" s="89"/>
      <c r="M1755" s="90"/>
      <c r="N1755" s="88" t="s">
        <v>26</v>
      </c>
      <c r="O1755" s="89"/>
      <c r="P1755" s="90"/>
      <c r="Q1755" s="133">
        <v>9800</v>
      </c>
      <c r="R1755" s="134"/>
      <c r="S1755" s="5" t="s">
        <v>2181</v>
      </c>
      <c r="T1755" s="6"/>
      <c r="U1755" s="6"/>
      <c r="V1755" s="5" t="s">
        <v>106</v>
      </c>
      <c r="W1755" s="12">
        <v>35179653</v>
      </c>
      <c r="X1755" s="6"/>
      <c r="Y1755" s="6"/>
    </row>
    <row r="1756" spans="1:25" ht="15" customHeight="1" x14ac:dyDescent="0.2">
      <c r="A1756" s="88" t="s">
        <v>2177</v>
      </c>
      <c r="B1756" s="90"/>
      <c r="C1756" s="88" t="s">
        <v>2252</v>
      </c>
      <c r="D1756" s="90"/>
      <c r="E1756" s="106"/>
      <c r="F1756" s="107"/>
      <c r="G1756" s="107"/>
      <c r="H1756" s="107"/>
      <c r="I1756" s="108"/>
      <c r="J1756" s="88" t="s">
        <v>2179</v>
      </c>
      <c r="K1756" s="89"/>
      <c r="L1756" s="89"/>
      <c r="M1756" s="90"/>
      <c r="N1756" s="88" t="s">
        <v>26</v>
      </c>
      <c r="O1756" s="89"/>
      <c r="P1756" s="90"/>
      <c r="Q1756" s="133">
        <v>9800</v>
      </c>
      <c r="R1756" s="134"/>
      <c r="S1756" s="5" t="s">
        <v>2181</v>
      </c>
      <c r="T1756" s="6"/>
      <c r="U1756" s="6"/>
      <c r="V1756" s="5" t="s">
        <v>106</v>
      </c>
      <c r="W1756" s="12">
        <v>35100174</v>
      </c>
      <c r="X1756" s="6"/>
      <c r="Y1756" s="6"/>
    </row>
    <row r="1757" spans="1:25" ht="15" customHeight="1" x14ac:dyDescent="0.2">
      <c r="A1757" s="88" t="s">
        <v>2177</v>
      </c>
      <c r="B1757" s="90"/>
      <c r="C1757" s="88" t="s">
        <v>2253</v>
      </c>
      <c r="D1757" s="90"/>
      <c r="E1757" s="106"/>
      <c r="F1757" s="107"/>
      <c r="G1757" s="107"/>
      <c r="H1757" s="107"/>
      <c r="I1757" s="108"/>
      <c r="J1757" s="88" t="s">
        <v>2179</v>
      </c>
      <c r="K1757" s="89"/>
      <c r="L1757" s="89"/>
      <c r="M1757" s="90"/>
      <c r="N1757" s="88" t="s">
        <v>26</v>
      </c>
      <c r="O1757" s="89"/>
      <c r="P1757" s="90"/>
      <c r="Q1757" s="133">
        <v>9800</v>
      </c>
      <c r="R1757" s="134"/>
      <c r="S1757" s="5" t="s">
        <v>2181</v>
      </c>
      <c r="T1757" s="6"/>
      <c r="U1757" s="6"/>
      <c r="V1757" s="5" t="s">
        <v>106</v>
      </c>
      <c r="W1757" s="12">
        <v>35607128</v>
      </c>
      <c r="X1757" s="6"/>
      <c r="Y1757" s="6"/>
    </row>
    <row r="1758" spans="1:25" ht="15" customHeight="1" x14ac:dyDescent="0.2">
      <c r="A1758" s="88" t="s">
        <v>2177</v>
      </c>
      <c r="B1758" s="90"/>
      <c r="C1758" s="88" t="s">
        <v>2254</v>
      </c>
      <c r="D1758" s="90"/>
      <c r="E1758" s="106"/>
      <c r="F1758" s="107"/>
      <c r="G1758" s="107"/>
      <c r="H1758" s="107"/>
      <c r="I1758" s="108"/>
      <c r="J1758" s="88" t="s">
        <v>2179</v>
      </c>
      <c r="K1758" s="89"/>
      <c r="L1758" s="89"/>
      <c r="M1758" s="90"/>
      <c r="N1758" s="88" t="s">
        <v>26</v>
      </c>
      <c r="O1758" s="89"/>
      <c r="P1758" s="90"/>
      <c r="Q1758" s="133">
        <v>9800</v>
      </c>
      <c r="R1758" s="134"/>
      <c r="S1758" s="5" t="s">
        <v>2181</v>
      </c>
      <c r="T1758" s="6"/>
      <c r="U1758" s="6"/>
      <c r="V1758" s="5" t="s">
        <v>106</v>
      </c>
      <c r="W1758" s="12">
        <v>36561019</v>
      </c>
      <c r="X1758" s="6"/>
      <c r="Y1758" s="6"/>
    </row>
    <row r="1759" spans="1:25" ht="15" customHeight="1" x14ac:dyDescent="0.2">
      <c r="A1759" s="88" t="s">
        <v>2177</v>
      </c>
      <c r="B1759" s="90"/>
      <c r="C1759" s="88" t="s">
        <v>2255</v>
      </c>
      <c r="D1759" s="90"/>
      <c r="E1759" s="106"/>
      <c r="F1759" s="107"/>
      <c r="G1759" s="107"/>
      <c r="H1759" s="107"/>
      <c r="I1759" s="108"/>
      <c r="J1759" s="88" t="s">
        <v>2179</v>
      </c>
      <c r="K1759" s="89"/>
      <c r="L1759" s="89"/>
      <c r="M1759" s="90"/>
      <c r="N1759" s="88" t="s">
        <v>26</v>
      </c>
      <c r="O1759" s="89"/>
      <c r="P1759" s="90"/>
      <c r="Q1759" s="133">
        <v>9800</v>
      </c>
      <c r="R1759" s="134"/>
      <c r="S1759" s="5" t="s">
        <v>2181</v>
      </c>
      <c r="T1759" s="6"/>
      <c r="U1759" s="6"/>
      <c r="V1759" s="5" t="s">
        <v>106</v>
      </c>
      <c r="W1759" s="12">
        <v>35764590</v>
      </c>
      <c r="X1759" s="6"/>
      <c r="Y1759" s="6"/>
    </row>
    <row r="1760" spans="1:25" ht="15" customHeight="1" x14ac:dyDescent="0.2">
      <c r="A1760" s="88" t="s">
        <v>2177</v>
      </c>
      <c r="B1760" s="90"/>
      <c r="C1760" s="88" t="s">
        <v>2256</v>
      </c>
      <c r="D1760" s="90"/>
      <c r="E1760" s="106"/>
      <c r="F1760" s="107"/>
      <c r="G1760" s="107"/>
      <c r="H1760" s="107"/>
      <c r="I1760" s="108"/>
      <c r="J1760" s="88" t="s">
        <v>2179</v>
      </c>
      <c r="K1760" s="89"/>
      <c r="L1760" s="89"/>
      <c r="M1760" s="90"/>
      <c r="N1760" s="88" t="s">
        <v>26</v>
      </c>
      <c r="O1760" s="89"/>
      <c r="P1760" s="90"/>
      <c r="Q1760" s="133">
        <v>9800</v>
      </c>
      <c r="R1760" s="134"/>
      <c r="S1760" s="5" t="s">
        <v>2181</v>
      </c>
      <c r="T1760" s="6"/>
      <c r="U1760" s="6"/>
      <c r="V1760" s="5" t="s">
        <v>106</v>
      </c>
      <c r="W1760" s="12">
        <v>39557972</v>
      </c>
      <c r="X1760" s="6"/>
      <c r="Y1760" s="6"/>
    </row>
    <row r="1761" spans="1:25" ht="15" customHeight="1" x14ac:dyDescent="0.2">
      <c r="A1761" s="88" t="s">
        <v>2177</v>
      </c>
      <c r="B1761" s="90"/>
      <c r="C1761" s="88" t="s">
        <v>2257</v>
      </c>
      <c r="D1761" s="90"/>
      <c r="E1761" s="106"/>
      <c r="F1761" s="107"/>
      <c r="G1761" s="107"/>
      <c r="H1761" s="107"/>
      <c r="I1761" s="108"/>
      <c r="J1761" s="88" t="s">
        <v>2258</v>
      </c>
      <c r="K1761" s="89"/>
      <c r="L1761" s="89"/>
      <c r="M1761" s="90"/>
      <c r="N1761" s="88" t="s">
        <v>26</v>
      </c>
      <c r="O1761" s="89"/>
      <c r="P1761" s="90"/>
      <c r="Q1761" s="133">
        <v>9800</v>
      </c>
      <c r="R1761" s="134"/>
      <c r="S1761" s="5" t="s">
        <v>2181</v>
      </c>
      <c r="T1761" s="6"/>
      <c r="U1761" s="6"/>
      <c r="V1761" s="5" t="s">
        <v>106</v>
      </c>
      <c r="W1761" s="12">
        <v>39893718</v>
      </c>
      <c r="X1761" s="6"/>
      <c r="Y1761" s="6"/>
    </row>
    <row r="1762" spans="1:25" ht="15" customHeight="1" x14ac:dyDescent="0.2">
      <c r="A1762" s="88" t="s">
        <v>2177</v>
      </c>
      <c r="B1762" s="90"/>
      <c r="C1762" s="88" t="s">
        <v>2259</v>
      </c>
      <c r="D1762" s="90"/>
      <c r="E1762" s="106"/>
      <c r="F1762" s="107"/>
      <c r="G1762" s="107"/>
      <c r="H1762" s="107"/>
      <c r="I1762" s="108"/>
      <c r="J1762" s="88" t="s">
        <v>2179</v>
      </c>
      <c r="K1762" s="89"/>
      <c r="L1762" s="89"/>
      <c r="M1762" s="90"/>
      <c r="N1762" s="88" t="s">
        <v>26</v>
      </c>
      <c r="O1762" s="89"/>
      <c r="P1762" s="90"/>
      <c r="Q1762" s="133">
        <v>1900</v>
      </c>
      <c r="R1762" s="134"/>
      <c r="S1762" s="5" t="s">
        <v>16</v>
      </c>
      <c r="T1762" s="6"/>
      <c r="U1762" s="6"/>
      <c r="V1762" s="5" t="s">
        <v>106</v>
      </c>
      <c r="W1762" s="12">
        <v>6450912</v>
      </c>
      <c r="X1762" s="6"/>
      <c r="Y1762" s="6"/>
    </row>
    <row r="1763" spans="1:25" ht="15" customHeight="1" x14ac:dyDescent="0.2">
      <c r="A1763" s="88" t="s">
        <v>2177</v>
      </c>
      <c r="B1763" s="90"/>
      <c r="C1763" s="88" t="s">
        <v>2260</v>
      </c>
      <c r="D1763" s="90"/>
      <c r="E1763" s="106"/>
      <c r="F1763" s="107"/>
      <c r="G1763" s="107"/>
      <c r="H1763" s="107"/>
      <c r="I1763" s="108"/>
      <c r="J1763" s="88" t="s">
        <v>2179</v>
      </c>
      <c r="K1763" s="89"/>
      <c r="L1763" s="89"/>
      <c r="M1763" s="90"/>
      <c r="N1763" s="88" t="s">
        <v>22</v>
      </c>
      <c r="O1763" s="89"/>
      <c r="P1763" s="90"/>
      <c r="Q1763" s="133">
        <v>1900</v>
      </c>
      <c r="R1763" s="134"/>
      <c r="S1763" s="5" t="s">
        <v>16</v>
      </c>
      <c r="T1763" s="6"/>
      <c r="U1763" s="6"/>
      <c r="V1763" s="5" t="s">
        <v>106</v>
      </c>
      <c r="W1763" s="12">
        <v>7267483</v>
      </c>
      <c r="X1763" s="6"/>
      <c r="Y1763" s="6"/>
    </row>
    <row r="1764" spans="1:25" ht="15" customHeight="1" x14ac:dyDescent="0.2">
      <c r="A1764" s="88" t="s">
        <v>2177</v>
      </c>
      <c r="B1764" s="90"/>
      <c r="C1764" s="88" t="s">
        <v>2261</v>
      </c>
      <c r="D1764" s="90"/>
      <c r="E1764" s="106"/>
      <c r="F1764" s="107"/>
      <c r="G1764" s="107"/>
      <c r="H1764" s="107"/>
      <c r="I1764" s="108"/>
      <c r="J1764" s="88" t="s">
        <v>2179</v>
      </c>
      <c r="K1764" s="89"/>
      <c r="L1764" s="89"/>
      <c r="M1764" s="90"/>
      <c r="N1764" s="88" t="s">
        <v>26</v>
      </c>
      <c r="O1764" s="89"/>
      <c r="P1764" s="90"/>
      <c r="Q1764" s="133">
        <v>3000</v>
      </c>
      <c r="R1764" s="134"/>
      <c r="S1764" s="5" t="s">
        <v>16</v>
      </c>
      <c r="T1764" s="6"/>
      <c r="U1764" s="6"/>
      <c r="V1764" s="5" t="s">
        <v>106</v>
      </c>
      <c r="W1764" s="12">
        <v>8628435</v>
      </c>
      <c r="X1764" s="6"/>
      <c r="Y1764" s="6"/>
    </row>
    <row r="1765" spans="1:25" ht="15" customHeight="1" x14ac:dyDescent="0.2">
      <c r="A1765" s="88" t="s">
        <v>2177</v>
      </c>
      <c r="B1765" s="90"/>
      <c r="C1765" s="88" t="s">
        <v>2262</v>
      </c>
      <c r="D1765" s="90"/>
      <c r="E1765" s="106"/>
      <c r="F1765" s="107"/>
      <c r="G1765" s="107"/>
      <c r="H1765" s="107"/>
      <c r="I1765" s="108"/>
      <c r="J1765" s="88" t="s">
        <v>2179</v>
      </c>
      <c r="K1765" s="89"/>
      <c r="L1765" s="89"/>
      <c r="M1765" s="90"/>
      <c r="N1765" s="88" t="s">
        <v>22</v>
      </c>
      <c r="O1765" s="89"/>
      <c r="P1765" s="90"/>
      <c r="Q1765" s="133">
        <v>3000</v>
      </c>
      <c r="R1765" s="134"/>
      <c r="S1765" s="5" t="s">
        <v>16</v>
      </c>
      <c r="T1765" s="6"/>
      <c r="U1765" s="6"/>
      <c r="V1765" s="5" t="s">
        <v>106</v>
      </c>
      <c r="W1765" s="12">
        <v>9445006</v>
      </c>
      <c r="X1765" s="6"/>
      <c r="Y1765" s="6"/>
    </row>
    <row r="1766" spans="1:25" ht="15" customHeight="1" x14ac:dyDescent="0.2">
      <c r="A1766" s="88" t="s">
        <v>2177</v>
      </c>
      <c r="B1766" s="90"/>
      <c r="C1766" s="88" t="s">
        <v>2263</v>
      </c>
      <c r="D1766" s="90"/>
      <c r="E1766" s="106"/>
      <c r="F1766" s="107"/>
      <c r="G1766" s="107"/>
      <c r="H1766" s="107"/>
      <c r="I1766" s="108"/>
      <c r="J1766" s="88" t="s">
        <v>2179</v>
      </c>
      <c r="K1766" s="89"/>
      <c r="L1766" s="89"/>
      <c r="M1766" s="90"/>
      <c r="N1766" s="88" t="s">
        <v>26</v>
      </c>
      <c r="O1766" s="89"/>
      <c r="P1766" s="90"/>
      <c r="Q1766" s="133">
        <v>3000</v>
      </c>
      <c r="R1766" s="134"/>
      <c r="S1766" s="5" t="s">
        <v>16</v>
      </c>
      <c r="T1766" s="6"/>
      <c r="U1766" s="6"/>
      <c r="V1766" s="5" t="s">
        <v>106</v>
      </c>
      <c r="W1766" s="12">
        <v>7607721</v>
      </c>
      <c r="X1766" s="6"/>
      <c r="Y1766" s="6"/>
    </row>
    <row r="1767" spans="1:25" ht="15" customHeight="1" x14ac:dyDescent="0.2">
      <c r="A1767" s="88" t="s">
        <v>2177</v>
      </c>
      <c r="B1767" s="90"/>
      <c r="C1767" s="88" t="s">
        <v>2264</v>
      </c>
      <c r="D1767" s="90"/>
      <c r="E1767" s="106"/>
      <c r="F1767" s="107"/>
      <c r="G1767" s="107"/>
      <c r="H1767" s="107"/>
      <c r="I1767" s="108"/>
      <c r="J1767" s="88" t="s">
        <v>2179</v>
      </c>
      <c r="K1767" s="89"/>
      <c r="L1767" s="89"/>
      <c r="M1767" s="90"/>
      <c r="N1767" s="88" t="s">
        <v>22</v>
      </c>
      <c r="O1767" s="89"/>
      <c r="P1767" s="90"/>
      <c r="Q1767" s="133">
        <v>1900</v>
      </c>
      <c r="R1767" s="134"/>
      <c r="S1767" s="5" t="s">
        <v>16</v>
      </c>
      <c r="T1767" s="6"/>
      <c r="U1767" s="6"/>
      <c r="V1767" s="5" t="s">
        <v>106</v>
      </c>
      <c r="W1767" s="12">
        <v>8152102</v>
      </c>
      <c r="X1767" s="6"/>
      <c r="Y1767" s="6"/>
    </row>
    <row r="1768" spans="1:25" ht="15" customHeight="1" x14ac:dyDescent="0.2">
      <c r="A1768" s="88" t="s">
        <v>2177</v>
      </c>
      <c r="B1768" s="90"/>
      <c r="C1768" s="88" t="s">
        <v>2265</v>
      </c>
      <c r="D1768" s="90"/>
      <c r="E1768" s="106"/>
      <c r="F1768" s="107"/>
      <c r="G1768" s="107"/>
      <c r="H1768" s="107"/>
      <c r="I1768" s="108"/>
      <c r="J1768" s="88" t="s">
        <v>2179</v>
      </c>
      <c r="K1768" s="89"/>
      <c r="L1768" s="89"/>
      <c r="M1768" s="90"/>
      <c r="N1768" s="88" t="s">
        <v>22</v>
      </c>
      <c r="O1768" s="89"/>
      <c r="P1768" s="90"/>
      <c r="Q1768" s="133">
        <v>3000</v>
      </c>
      <c r="R1768" s="134"/>
      <c r="S1768" s="5" t="s">
        <v>16</v>
      </c>
      <c r="T1768" s="6"/>
      <c r="U1768" s="6"/>
      <c r="V1768" s="5" t="s">
        <v>106</v>
      </c>
      <c r="W1768" s="12">
        <v>10125482</v>
      </c>
      <c r="X1768" s="6"/>
      <c r="Y1768" s="6"/>
    </row>
    <row r="1769" spans="1:25" ht="15" customHeight="1" x14ac:dyDescent="0.2">
      <c r="A1769" s="88" t="s">
        <v>2177</v>
      </c>
      <c r="B1769" s="90"/>
      <c r="C1769" s="88" t="s">
        <v>2266</v>
      </c>
      <c r="D1769" s="90"/>
      <c r="E1769" s="106"/>
      <c r="F1769" s="107"/>
      <c r="G1769" s="107"/>
      <c r="H1769" s="107"/>
      <c r="I1769" s="108"/>
      <c r="J1769" s="88" t="s">
        <v>2202</v>
      </c>
      <c r="K1769" s="89"/>
      <c r="L1769" s="89"/>
      <c r="M1769" s="90"/>
      <c r="N1769" s="88" t="s">
        <v>26</v>
      </c>
      <c r="O1769" s="89"/>
      <c r="P1769" s="90"/>
      <c r="Q1769" s="133">
        <v>3000</v>
      </c>
      <c r="R1769" s="134"/>
      <c r="S1769" s="5" t="s">
        <v>2181</v>
      </c>
      <c r="T1769" s="6"/>
      <c r="U1769" s="6"/>
      <c r="V1769" s="5" t="s">
        <v>106</v>
      </c>
      <c r="W1769" s="12">
        <v>11618310</v>
      </c>
      <c r="X1769" s="6"/>
      <c r="Y1769" s="6"/>
    </row>
    <row r="1770" spans="1:25" ht="15" customHeight="1" x14ac:dyDescent="0.2">
      <c r="A1770" s="88" t="s">
        <v>2177</v>
      </c>
      <c r="B1770" s="90"/>
      <c r="C1770" s="88" t="s">
        <v>2267</v>
      </c>
      <c r="D1770" s="90"/>
      <c r="E1770" s="106"/>
      <c r="F1770" s="107"/>
      <c r="G1770" s="107"/>
      <c r="H1770" s="107"/>
      <c r="I1770" s="108"/>
      <c r="J1770" s="88" t="s">
        <v>963</v>
      </c>
      <c r="K1770" s="89"/>
      <c r="L1770" s="89"/>
      <c r="M1770" s="90"/>
      <c r="N1770" s="88" t="s">
        <v>26</v>
      </c>
      <c r="O1770" s="89"/>
      <c r="P1770" s="90"/>
      <c r="Q1770" s="133">
        <v>3000</v>
      </c>
      <c r="R1770" s="134"/>
      <c r="S1770" s="5" t="s">
        <v>2181</v>
      </c>
      <c r="T1770" s="6"/>
      <c r="U1770" s="6"/>
      <c r="V1770" s="5" t="s">
        <v>106</v>
      </c>
      <c r="W1770" s="12">
        <v>7817035</v>
      </c>
      <c r="X1770" s="6"/>
      <c r="Y1770" s="6"/>
    </row>
    <row r="1771" spans="1:25" ht="15" customHeight="1" x14ac:dyDescent="0.2">
      <c r="A1771" s="88" t="s">
        <v>2177</v>
      </c>
      <c r="B1771" s="90"/>
      <c r="C1771" s="88" t="s">
        <v>2268</v>
      </c>
      <c r="D1771" s="90"/>
      <c r="E1771" s="106"/>
      <c r="F1771" s="107"/>
      <c r="G1771" s="107"/>
      <c r="H1771" s="107"/>
      <c r="I1771" s="108"/>
      <c r="J1771" s="88" t="s">
        <v>963</v>
      </c>
      <c r="K1771" s="89"/>
      <c r="L1771" s="89"/>
      <c r="M1771" s="90"/>
      <c r="N1771" s="88" t="s">
        <v>26</v>
      </c>
      <c r="O1771" s="89"/>
      <c r="P1771" s="90"/>
      <c r="Q1771" s="133">
        <v>3000</v>
      </c>
      <c r="R1771" s="134"/>
      <c r="S1771" s="5" t="s">
        <v>2181</v>
      </c>
      <c r="T1771" s="6"/>
      <c r="U1771" s="6"/>
      <c r="V1771" s="5" t="s">
        <v>106</v>
      </c>
      <c r="W1771" s="12">
        <v>8640411</v>
      </c>
      <c r="X1771" s="6"/>
      <c r="Y1771" s="6"/>
    </row>
    <row r="1772" spans="1:25" ht="15" customHeight="1" x14ac:dyDescent="0.2">
      <c r="A1772" s="88" t="s">
        <v>2177</v>
      </c>
      <c r="B1772" s="90"/>
      <c r="C1772" s="88" t="s">
        <v>2269</v>
      </c>
      <c r="D1772" s="90"/>
      <c r="E1772" s="106"/>
      <c r="F1772" s="107"/>
      <c r="G1772" s="107"/>
      <c r="H1772" s="107"/>
      <c r="I1772" s="108"/>
      <c r="J1772" s="88" t="s">
        <v>963</v>
      </c>
      <c r="K1772" s="89"/>
      <c r="L1772" s="89"/>
      <c r="M1772" s="90"/>
      <c r="N1772" s="88" t="s">
        <v>26</v>
      </c>
      <c r="O1772" s="89"/>
      <c r="P1772" s="90"/>
      <c r="Q1772" s="133">
        <v>3000</v>
      </c>
      <c r="R1772" s="134"/>
      <c r="S1772" s="5" t="s">
        <v>2181</v>
      </c>
      <c r="T1772" s="6"/>
      <c r="U1772" s="6"/>
      <c r="V1772" s="5" t="s">
        <v>106</v>
      </c>
      <c r="W1772" s="12">
        <v>7577236</v>
      </c>
      <c r="X1772" s="6"/>
      <c r="Y1772" s="6"/>
    </row>
    <row r="1773" spans="1:25" ht="15" customHeight="1" x14ac:dyDescent="0.2">
      <c r="A1773" s="88" t="s">
        <v>2177</v>
      </c>
      <c r="B1773" s="90"/>
      <c r="C1773" s="88" t="s">
        <v>2270</v>
      </c>
      <c r="D1773" s="90"/>
      <c r="E1773" s="106"/>
      <c r="F1773" s="107"/>
      <c r="G1773" s="107"/>
      <c r="H1773" s="107"/>
      <c r="I1773" s="108"/>
      <c r="J1773" s="88" t="s">
        <v>2202</v>
      </c>
      <c r="K1773" s="89"/>
      <c r="L1773" s="89"/>
      <c r="M1773" s="90"/>
      <c r="N1773" s="88" t="s">
        <v>26</v>
      </c>
      <c r="O1773" s="89"/>
      <c r="P1773" s="90"/>
      <c r="Q1773" s="133">
        <v>3000</v>
      </c>
      <c r="R1773" s="134"/>
      <c r="S1773" s="5" t="s">
        <v>2181</v>
      </c>
      <c r="T1773" s="6"/>
      <c r="U1773" s="6"/>
      <c r="V1773" s="5" t="s">
        <v>106</v>
      </c>
      <c r="W1773" s="12">
        <v>11947660</v>
      </c>
      <c r="X1773" s="6"/>
      <c r="Y1773" s="6"/>
    </row>
    <row r="1774" spans="1:25" ht="15" customHeight="1" x14ac:dyDescent="0.2">
      <c r="A1774" s="88" t="s">
        <v>2177</v>
      </c>
      <c r="B1774" s="90"/>
      <c r="C1774" s="88" t="s">
        <v>2271</v>
      </c>
      <c r="D1774" s="90"/>
      <c r="E1774" s="106"/>
      <c r="F1774" s="107"/>
      <c r="G1774" s="107"/>
      <c r="H1774" s="107"/>
      <c r="I1774" s="108"/>
      <c r="J1774" s="88" t="s">
        <v>963</v>
      </c>
      <c r="K1774" s="89"/>
      <c r="L1774" s="89"/>
      <c r="M1774" s="90"/>
      <c r="N1774" s="88" t="s">
        <v>26</v>
      </c>
      <c r="O1774" s="89"/>
      <c r="P1774" s="90"/>
      <c r="Q1774" s="133">
        <v>3000</v>
      </c>
      <c r="R1774" s="134"/>
      <c r="S1774" s="5" t="s">
        <v>2181</v>
      </c>
      <c r="T1774" s="6"/>
      <c r="U1774" s="6"/>
      <c r="V1774" s="5" t="s">
        <v>106</v>
      </c>
      <c r="W1774" s="12">
        <v>8280848</v>
      </c>
      <c r="X1774" s="6"/>
      <c r="Y1774" s="6"/>
    </row>
    <row r="1775" spans="1:25" ht="15" customHeight="1" x14ac:dyDescent="0.2">
      <c r="A1775" s="88" t="s">
        <v>2177</v>
      </c>
      <c r="B1775" s="90"/>
      <c r="C1775" s="88" t="s">
        <v>2272</v>
      </c>
      <c r="D1775" s="90"/>
      <c r="E1775" s="106"/>
      <c r="F1775" s="107"/>
      <c r="G1775" s="107"/>
      <c r="H1775" s="107"/>
      <c r="I1775" s="108"/>
      <c r="J1775" s="88" t="s">
        <v>963</v>
      </c>
      <c r="K1775" s="89"/>
      <c r="L1775" s="89"/>
      <c r="M1775" s="90"/>
      <c r="N1775" s="88" t="s">
        <v>22</v>
      </c>
      <c r="O1775" s="89"/>
      <c r="P1775" s="90"/>
      <c r="Q1775" s="133">
        <v>3000</v>
      </c>
      <c r="R1775" s="134"/>
      <c r="S1775" s="5" t="s">
        <v>1589</v>
      </c>
      <c r="T1775" s="6"/>
      <c r="U1775" s="6"/>
      <c r="V1775" s="5" t="s">
        <v>106</v>
      </c>
      <c r="W1775" s="12">
        <v>10865477</v>
      </c>
      <c r="X1775" s="6"/>
      <c r="Y1775" s="6"/>
    </row>
    <row r="1776" spans="1:25" ht="15" customHeight="1" x14ac:dyDescent="0.2">
      <c r="A1776" s="88" t="s">
        <v>2177</v>
      </c>
      <c r="B1776" s="90"/>
      <c r="C1776" s="88" t="s">
        <v>2273</v>
      </c>
      <c r="D1776" s="90"/>
      <c r="E1776" s="106"/>
      <c r="F1776" s="107"/>
      <c r="G1776" s="107"/>
      <c r="H1776" s="107"/>
      <c r="I1776" s="108"/>
      <c r="J1776" s="88" t="s">
        <v>963</v>
      </c>
      <c r="K1776" s="89"/>
      <c r="L1776" s="89"/>
      <c r="M1776" s="90"/>
      <c r="N1776" s="88" t="s">
        <v>26</v>
      </c>
      <c r="O1776" s="89"/>
      <c r="P1776" s="90"/>
      <c r="Q1776" s="133">
        <v>3000</v>
      </c>
      <c r="R1776" s="134"/>
      <c r="S1776" s="5" t="s">
        <v>2181</v>
      </c>
      <c r="T1776" s="6"/>
      <c r="U1776" s="6"/>
      <c r="V1776" s="5" t="s">
        <v>106</v>
      </c>
      <c r="W1776" s="12">
        <v>12737693</v>
      </c>
      <c r="X1776" s="6"/>
      <c r="Y1776" s="6"/>
    </row>
    <row r="1777" spans="1:25" ht="15" customHeight="1" x14ac:dyDescent="0.2">
      <c r="A1777" s="88" t="s">
        <v>2177</v>
      </c>
      <c r="B1777" s="90"/>
      <c r="C1777" s="88" t="s">
        <v>2274</v>
      </c>
      <c r="D1777" s="90"/>
      <c r="E1777" s="106"/>
      <c r="F1777" s="107"/>
      <c r="G1777" s="107"/>
      <c r="H1777" s="107"/>
      <c r="I1777" s="108"/>
      <c r="J1777" s="88" t="s">
        <v>963</v>
      </c>
      <c r="K1777" s="89"/>
      <c r="L1777" s="89"/>
      <c r="M1777" s="90"/>
      <c r="N1777" s="88" t="s">
        <v>26</v>
      </c>
      <c r="O1777" s="89"/>
      <c r="P1777" s="90"/>
      <c r="Q1777" s="133">
        <v>3000</v>
      </c>
      <c r="R1777" s="134"/>
      <c r="S1777" s="5" t="s">
        <v>2181</v>
      </c>
      <c r="T1777" s="6"/>
      <c r="U1777" s="6"/>
      <c r="V1777" s="5" t="s">
        <v>106</v>
      </c>
      <c r="W1777" s="12">
        <v>9436568</v>
      </c>
      <c r="X1777" s="6"/>
      <c r="Y1777" s="6"/>
    </row>
    <row r="1778" spans="1:25" ht="15" customHeight="1" x14ac:dyDescent="0.2">
      <c r="A1778" s="88" t="s">
        <v>2177</v>
      </c>
      <c r="B1778" s="90"/>
      <c r="C1778" s="88" t="s">
        <v>2275</v>
      </c>
      <c r="D1778" s="90"/>
      <c r="E1778" s="106"/>
      <c r="F1778" s="107"/>
      <c r="G1778" s="107"/>
      <c r="H1778" s="107"/>
      <c r="I1778" s="108"/>
      <c r="J1778" s="88" t="s">
        <v>2202</v>
      </c>
      <c r="K1778" s="89"/>
      <c r="L1778" s="89"/>
      <c r="M1778" s="90"/>
      <c r="N1778" s="88" t="s">
        <v>26</v>
      </c>
      <c r="O1778" s="89"/>
      <c r="P1778" s="90"/>
      <c r="Q1778" s="133">
        <v>3000</v>
      </c>
      <c r="R1778" s="134"/>
      <c r="S1778" s="5" t="s">
        <v>2181</v>
      </c>
      <c r="T1778" s="6"/>
      <c r="U1778" s="6"/>
      <c r="V1778" s="5" t="s">
        <v>106</v>
      </c>
      <c r="W1778" s="12">
        <v>8784264</v>
      </c>
      <c r="X1778" s="6"/>
      <c r="Y1778" s="6"/>
    </row>
    <row r="1779" spans="1:25" ht="15" customHeight="1" x14ac:dyDescent="0.2">
      <c r="A1779" s="88" t="s">
        <v>2177</v>
      </c>
      <c r="B1779" s="90"/>
      <c r="C1779" s="88" t="s">
        <v>2276</v>
      </c>
      <c r="D1779" s="90"/>
      <c r="E1779" s="106"/>
      <c r="F1779" s="107"/>
      <c r="G1779" s="107"/>
      <c r="H1779" s="107"/>
      <c r="I1779" s="108"/>
      <c r="J1779" s="88" t="s">
        <v>2202</v>
      </c>
      <c r="K1779" s="89"/>
      <c r="L1779" s="89"/>
      <c r="M1779" s="90"/>
      <c r="N1779" s="88" t="s">
        <v>26</v>
      </c>
      <c r="O1779" s="89"/>
      <c r="P1779" s="90"/>
      <c r="Q1779" s="133">
        <v>3000</v>
      </c>
      <c r="R1779" s="134"/>
      <c r="S1779" s="5" t="s">
        <v>2181</v>
      </c>
      <c r="T1779" s="6"/>
      <c r="U1779" s="6"/>
      <c r="V1779" s="5" t="s">
        <v>106</v>
      </c>
      <c r="W1779" s="12">
        <v>10663058</v>
      </c>
      <c r="X1779" s="6"/>
      <c r="Y1779" s="6"/>
    </row>
    <row r="1780" spans="1:25" ht="15" customHeight="1" x14ac:dyDescent="0.2">
      <c r="A1780" s="88" t="s">
        <v>2177</v>
      </c>
      <c r="B1780" s="90"/>
      <c r="C1780" s="88" t="s">
        <v>2277</v>
      </c>
      <c r="D1780" s="90"/>
      <c r="E1780" s="106"/>
      <c r="F1780" s="107"/>
      <c r="G1780" s="107"/>
      <c r="H1780" s="107"/>
      <c r="I1780" s="108"/>
      <c r="J1780" s="88" t="s">
        <v>2202</v>
      </c>
      <c r="K1780" s="89"/>
      <c r="L1780" s="89"/>
      <c r="M1780" s="90"/>
      <c r="N1780" s="88" t="s">
        <v>26</v>
      </c>
      <c r="O1780" s="89"/>
      <c r="P1780" s="90"/>
      <c r="Q1780" s="133">
        <v>3000</v>
      </c>
      <c r="R1780" s="134"/>
      <c r="S1780" s="5" t="s">
        <v>2181</v>
      </c>
      <c r="T1780" s="6"/>
      <c r="U1780" s="6"/>
      <c r="V1780" s="5" t="s">
        <v>106</v>
      </c>
      <c r="W1780" s="12">
        <v>8543920</v>
      </c>
      <c r="X1780" s="6"/>
      <c r="Y1780" s="6"/>
    </row>
    <row r="1781" spans="1:25" ht="15" customHeight="1" x14ac:dyDescent="0.2">
      <c r="A1781" s="88" t="s">
        <v>2177</v>
      </c>
      <c r="B1781" s="90"/>
      <c r="C1781" s="88" t="s">
        <v>2278</v>
      </c>
      <c r="D1781" s="90"/>
      <c r="E1781" s="106"/>
      <c r="F1781" s="107"/>
      <c r="G1781" s="107"/>
      <c r="H1781" s="107"/>
      <c r="I1781" s="108"/>
      <c r="J1781" s="88" t="s">
        <v>2202</v>
      </c>
      <c r="K1781" s="89"/>
      <c r="L1781" s="89"/>
      <c r="M1781" s="90"/>
      <c r="N1781" s="88" t="s">
        <v>26</v>
      </c>
      <c r="O1781" s="89"/>
      <c r="P1781" s="90"/>
      <c r="Q1781" s="133">
        <v>3000</v>
      </c>
      <c r="R1781" s="134"/>
      <c r="S1781" s="5" t="s">
        <v>2181</v>
      </c>
      <c r="T1781" s="6"/>
      <c r="U1781" s="6"/>
      <c r="V1781" s="5" t="s">
        <v>106</v>
      </c>
      <c r="W1781" s="12">
        <v>10835491</v>
      </c>
      <c r="X1781" s="6"/>
      <c r="Y1781" s="6"/>
    </row>
    <row r="1782" spans="1:25" ht="15" customHeight="1" x14ac:dyDescent="0.2">
      <c r="A1782" s="88" t="s">
        <v>2177</v>
      </c>
      <c r="B1782" s="90"/>
      <c r="C1782" s="88" t="s">
        <v>2279</v>
      </c>
      <c r="D1782" s="90"/>
      <c r="E1782" s="106"/>
      <c r="F1782" s="107"/>
      <c r="G1782" s="107"/>
      <c r="H1782" s="107"/>
      <c r="I1782" s="108"/>
      <c r="J1782" s="88" t="s">
        <v>2202</v>
      </c>
      <c r="K1782" s="89"/>
      <c r="L1782" s="89"/>
      <c r="M1782" s="90"/>
      <c r="N1782" s="88" t="s">
        <v>26</v>
      </c>
      <c r="O1782" s="89"/>
      <c r="P1782" s="90"/>
      <c r="Q1782" s="133">
        <v>3000</v>
      </c>
      <c r="R1782" s="134"/>
      <c r="S1782" s="5" t="s">
        <v>1589</v>
      </c>
      <c r="T1782" s="6"/>
      <c r="U1782" s="6"/>
      <c r="V1782" s="5" t="s">
        <v>106</v>
      </c>
      <c r="W1782" s="12">
        <v>10919439</v>
      </c>
      <c r="X1782" s="6"/>
      <c r="Y1782" s="6"/>
    </row>
    <row r="1783" spans="1:25" ht="15" customHeight="1" x14ac:dyDescent="0.2">
      <c r="A1783" s="88" t="s">
        <v>2177</v>
      </c>
      <c r="B1783" s="90"/>
      <c r="C1783" s="88" t="s">
        <v>2280</v>
      </c>
      <c r="D1783" s="90"/>
      <c r="E1783" s="106"/>
      <c r="F1783" s="107"/>
      <c r="G1783" s="107"/>
      <c r="H1783" s="107"/>
      <c r="I1783" s="108"/>
      <c r="J1783" s="88" t="s">
        <v>2202</v>
      </c>
      <c r="K1783" s="89"/>
      <c r="L1783" s="89"/>
      <c r="M1783" s="90"/>
      <c r="N1783" s="88" t="s">
        <v>26</v>
      </c>
      <c r="O1783" s="89"/>
      <c r="P1783" s="90"/>
      <c r="Q1783" s="133">
        <v>3000</v>
      </c>
      <c r="R1783" s="134"/>
      <c r="S1783" s="5" t="s">
        <v>2181</v>
      </c>
      <c r="T1783" s="6"/>
      <c r="U1783" s="6"/>
      <c r="V1783" s="5" t="s">
        <v>106</v>
      </c>
      <c r="W1783" s="12">
        <v>9864860</v>
      </c>
      <c r="X1783" s="6"/>
      <c r="Y1783" s="6"/>
    </row>
    <row r="1784" spans="1:25" ht="15" customHeight="1" x14ac:dyDescent="0.2">
      <c r="A1784" s="88" t="s">
        <v>2177</v>
      </c>
      <c r="B1784" s="90"/>
      <c r="C1784" s="88" t="s">
        <v>2281</v>
      </c>
      <c r="D1784" s="90"/>
      <c r="E1784" s="106"/>
      <c r="F1784" s="107"/>
      <c r="G1784" s="107"/>
      <c r="H1784" s="107"/>
      <c r="I1784" s="108"/>
      <c r="J1784" s="88" t="s">
        <v>2202</v>
      </c>
      <c r="K1784" s="89"/>
      <c r="L1784" s="89"/>
      <c r="M1784" s="90"/>
      <c r="N1784" s="88" t="s">
        <v>26</v>
      </c>
      <c r="O1784" s="89"/>
      <c r="P1784" s="90"/>
      <c r="Q1784" s="133">
        <v>3000</v>
      </c>
      <c r="R1784" s="134"/>
      <c r="S1784" s="5" t="s">
        <v>2181</v>
      </c>
      <c r="T1784" s="6"/>
      <c r="U1784" s="6"/>
      <c r="V1784" s="5" t="s">
        <v>106</v>
      </c>
      <c r="W1784" s="12">
        <v>9026513</v>
      </c>
      <c r="X1784" s="6"/>
      <c r="Y1784" s="6"/>
    </row>
    <row r="1785" spans="1:25" ht="15" customHeight="1" x14ac:dyDescent="0.2">
      <c r="A1785" s="88" t="s">
        <v>2177</v>
      </c>
      <c r="B1785" s="90"/>
      <c r="C1785" s="88" t="s">
        <v>2282</v>
      </c>
      <c r="D1785" s="90"/>
      <c r="E1785" s="106"/>
      <c r="F1785" s="107"/>
      <c r="G1785" s="107"/>
      <c r="H1785" s="107"/>
      <c r="I1785" s="108"/>
      <c r="J1785" s="88" t="s">
        <v>2202</v>
      </c>
      <c r="K1785" s="89"/>
      <c r="L1785" s="89"/>
      <c r="M1785" s="90"/>
      <c r="N1785" s="88" t="s">
        <v>26</v>
      </c>
      <c r="O1785" s="89"/>
      <c r="P1785" s="90"/>
      <c r="Q1785" s="133">
        <v>3000</v>
      </c>
      <c r="R1785" s="134"/>
      <c r="S1785" s="5" t="s">
        <v>2181</v>
      </c>
      <c r="T1785" s="6"/>
      <c r="U1785" s="6"/>
      <c r="V1785" s="5" t="s">
        <v>106</v>
      </c>
      <c r="W1785" s="12">
        <v>8786169</v>
      </c>
      <c r="X1785" s="6"/>
      <c r="Y1785" s="6"/>
    </row>
    <row r="1786" spans="1:25" ht="15" customHeight="1" x14ac:dyDescent="0.2">
      <c r="A1786" s="88" t="s">
        <v>2177</v>
      </c>
      <c r="B1786" s="90"/>
      <c r="C1786" s="88" t="s">
        <v>2283</v>
      </c>
      <c r="D1786" s="90"/>
      <c r="E1786" s="106"/>
      <c r="F1786" s="107"/>
      <c r="G1786" s="107"/>
      <c r="H1786" s="107"/>
      <c r="I1786" s="108"/>
      <c r="J1786" s="88" t="s">
        <v>2202</v>
      </c>
      <c r="K1786" s="89"/>
      <c r="L1786" s="89"/>
      <c r="M1786" s="90"/>
      <c r="N1786" s="88" t="s">
        <v>26</v>
      </c>
      <c r="O1786" s="89"/>
      <c r="P1786" s="90"/>
      <c r="Q1786" s="133">
        <v>3000</v>
      </c>
      <c r="R1786" s="134"/>
      <c r="S1786" s="5" t="s">
        <v>2181</v>
      </c>
      <c r="T1786" s="6"/>
      <c r="U1786" s="6"/>
      <c r="V1786" s="5" t="s">
        <v>106</v>
      </c>
      <c r="W1786" s="12">
        <v>9694877</v>
      </c>
      <c r="X1786" s="6"/>
      <c r="Y1786" s="6"/>
    </row>
    <row r="1787" spans="1:25" ht="15" customHeight="1" x14ac:dyDescent="0.2">
      <c r="A1787" s="88" t="s">
        <v>2177</v>
      </c>
      <c r="B1787" s="90"/>
      <c r="C1787" s="88" t="s">
        <v>2284</v>
      </c>
      <c r="D1787" s="90"/>
      <c r="E1787" s="106"/>
      <c r="F1787" s="107"/>
      <c r="G1787" s="107"/>
      <c r="H1787" s="107"/>
      <c r="I1787" s="108"/>
      <c r="J1787" s="88" t="s">
        <v>2202</v>
      </c>
      <c r="K1787" s="89"/>
      <c r="L1787" s="89"/>
      <c r="M1787" s="90"/>
      <c r="N1787" s="88" t="s">
        <v>26</v>
      </c>
      <c r="O1787" s="89"/>
      <c r="P1787" s="90"/>
      <c r="Q1787" s="133">
        <v>5200</v>
      </c>
      <c r="R1787" s="134"/>
      <c r="S1787" s="5" t="s">
        <v>2181</v>
      </c>
      <c r="T1787" s="6"/>
      <c r="U1787" s="6"/>
      <c r="V1787" s="5" t="s">
        <v>106</v>
      </c>
      <c r="W1787" s="12">
        <v>9375870</v>
      </c>
      <c r="X1787" s="6"/>
      <c r="Y1787" s="6"/>
    </row>
    <row r="1788" spans="1:25" ht="15" customHeight="1" x14ac:dyDescent="0.2">
      <c r="A1788" s="88" t="s">
        <v>2177</v>
      </c>
      <c r="B1788" s="90"/>
      <c r="C1788" s="88" t="s">
        <v>2285</v>
      </c>
      <c r="D1788" s="90"/>
      <c r="E1788" s="106"/>
      <c r="F1788" s="107"/>
      <c r="G1788" s="107"/>
      <c r="H1788" s="107"/>
      <c r="I1788" s="108"/>
      <c r="J1788" s="88" t="s">
        <v>2202</v>
      </c>
      <c r="K1788" s="89"/>
      <c r="L1788" s="89"/>
      <c r="M1788" s="90"/>
      <c r="N1788" s="88" t="s">
        <v>26</v>
      </c>
      <c r="O1788" s="89"/>
      <c r="P1788" s="90"/>
      <c r="Q1788" s="133">
        <v>5200</v>
      </c>
      <c r="R1788" s="134"/>
      <c r="S1788" s="5" t="s">
        <v>2181</v>
      </c>
      <c r="T1788" s="6"/>
      <c r="U1788" s="6"/>
      <c r="V1788" s="5" t="s">
        <v>106</v>
      </c>
      <c r="W1788" s="12">
        <v>13715129</v>
      </c>
      <c r="X1788" s="6"/>
      <c r="Y1788" s="6"/>
    </row>
    <row r="1789" spans="1:25" ht="15" customHeight="1" x14ac:dyDescent="0.2">
      <c r="A1789" s="88" t="s">
        <v>2177</v>
      </c>
      <c r="B1789" s="90"/>
      <c r="C1789" s="88" t="s">
        <v>2286</v>
      </c>
      <c r="D1789" s="90"/>
      <c r="E1789" s="106"/>
      <c r="F1789" s="107"/>
      <c r="G1789" s="107"/>
      <c r="H1789" s="107"/>
      <c r="I1789" s="108"/>
      <c r="J1789" s="88" t="s">
        <v>1718</v>
      </c>
      <c r="K1789" s="89"/>
      <c r="L1789" s="89"/>
      <c r="M1789" s="90"/>
      <c r="N1789" s="88" t="s">
        <v>26</v>
      </c>
      <c r="O1789" s="89"/>
      <c r="P1789" s="90"/>
      <c r="Q1789" s="133">
        <v>5200</v>
      </c>
      <c r="R1789" s="134"/>
      <c r="S1789" s="5" t="s">
        <v>2181</v>
      </c>
      <c r="T1789" s="6"/>
      <c r="U1789" s="6"/>
      <c r="V1789" s="5" t="s">
        <v>106</v>
      </c>
      <c r="W1789" s="12">
        <v>10532134</v>
      </c>
      <c r="X1789" s="6"/>
      <c r="Y1789" s="6"/>
    </row>
    <row r="1790" spans="1:25" ht="15" customHeight="1" x14ac:dyDescent="0.2">
      <c r="A1790" s="88" t="s">
        <v>2177</v>
      </c>
      <c r="B1790" s="90"/>
      <c r="C1790" s="88" t="s">
        <v>2287</v>
      </c>
      <c r="D1790" s="90"/>
      <c r="E1790" s="106"/>
      <c r="F1790" s="107"/>
      <c r="G1790" s="107"/>
      <c r="H1790" s="107"/>
      <c r="I1790" s="108"/>
      <c r="J1790" s="88" t="s">
        <v>2202</v>
      </c>
      <c r="K1790" s="89"/>
      <c r="L1790" s="89"/>
      <c r="M1790" s="90"/>
      <c r="N1790" s="88" t="s">
        <v>26</v>
      </c>
      <c r="O1790" s="89"/>
      <c r="P1790" s="90"/>
      <c r="Q1790" s="133">
        <v>5200</v>
      </c>
      <c r="R1790" s="134"/>
      <c r="S1790" s="5" t="s">
        <v>2181</v>
      </c>
      <c r="T1790" s="6"/>
      <c r="U1790" s="6"/>
      <c r="V1790" s="5" t="s">
        <v>106</v>
      </c>
      <c r="W1790" s="12">
        <v>10925313</v>
      </c>
      <c r="X1790" s="6"/>
      <c r="Y1790" s="6"/>
    </row>
    <row r="1791" spans="1:25" ht="15" customHeight="1" x14ac:dyDescent="0.2">
      <c r="A1791" s="88" t="s">
        <v>2177</v>
      </c>
      <c r="B1791" s="90"/>
      <c r="C1791" s="88" t="s">
        <v>2288</v>
      </c>
      <c r="D1791" s="90"/>
      <c r="E1791" s="106"/>
      <c r="F1791" s="107"/>
      <c r="G1791" s="107"/>
      <c r="H1791" s="107"/>
      <c r="I1791" s="108"/>
      <c r="J1791" s="88" t="s">
        <v>2202</v>
      </c>
      <c r="K1791" s="89"/>
      <c r="L1791" s="89"/>
      <c r="M1791" s="90"/>
      <c r="N1791" s="88" t="s">
        <v>26</v>
      </c>
      <c r="O1791" s="89"/>
      <c r="P1791" s="90"/>
      <c r="Q1791" s="133">
        <v>5200</v>
      </c>
      <c r="R1791" s="134"/>
      <c r="S1791" s="5" t="s">
        <v>2181</v>
      </c>
      <c r="T1791" s="6"/>
      <c r="U1791" s="6"/>
      <c r="V1791" s="5" t="s">
        <v>106</v>
      </c>
      <c r="W1791" s="12">
        <v>9229159</v>
      </c>
      <c r="X1791" s="6"/>
      <c r="Y1791" s="6"/>
    </row>
    <row r="1792" spans="1:25" ht="15" customHeight="1" x14ac:dyDescent="0.2">
      <c r="A1792" s="88" t="s">
        <v>2177</v>
      </c>
      <c r="B1792" s="90"/>
      <c r="C1792" s="88" t="s">
        <v>2289</v>
      </c>
      <c r="D1792" s="90"/>
      <c r="E1792" s="106"/>
      <c r="F1792" s="107"/>
      <c r="G1792" s="107"/>
      <c r="H1792" s="107"/>
      <c r="I1792" s="108"/>
      <c r="J1792" s="88" t="s">
        <v>2202</v>
      </c>
      <c r="K1792" s="89"/>
      <c r="L1792" s="89"/>
      <c r="M1792" s="90"/>
      <c r="N1792" s="88" t="s">
        <v>26</v>
      </c>
      <c r="O1792" s="89"/>
      <c r="P1792" s="90"/>
      <c r="Q1792" s="133">
        <v>5200</v>
      </c>
      <c r="R1792" s="134"/>
      <c r="S1792" s="5" t="s">
        <v>2181</v>
      </c>
      <c r="T1792" s="6"/>
      <c r="U1792" s="6"/>
      <c r="V1792" s="5" t="s">
        <v>106</v>
      </c>
      <c r="W1792" s="12">
        <v>14111846</v>
      </c>
      <c r="X1792" s="6"/>
      <c r="Y1792" s="6"/>
    </row>
    <row r="1793" spans="1:25" ht="15" customHeight="1" x14ac:dyDescent="0.2">
      <c r="A1793" s="88" t="s">
        <v>2177</v>
      </c>
      <c r="B1793" s="90"/>
      <c r="C1793" s="88" t="s">
        <v>2290</v>
      </c>
      <c r="D1793" s="90"/>
      <c r="E1793" s="106"/>
      <c r="F1793" s="107"/>
      <c r="G1793" s="107"/>
      <c r="H1793" s="107"/>
      <c r="I1793" s="108"/>
      <c r="J1793" s="88" t="s">
        <v>1718</v>
      </c>
      <c r="K1793" s="89"/>
      <c r="L1793" s="89"/>
      <c r="M1793" s="90"/>
      <c r="N1793" s="88" t="s">
        <v>26</v>
      </c>
      <c r="O1793" s="89"/>
      <c r="P1793" s="90"/>
      <c r="Q1793" s="133">
        <v>5200</v>
      </c>
      <c r="R1793" s="134"/>
      <c r="S1793" s="5" t="s">
        <v>2181</v>
      </c>
      <c r="T1793" s="6"/>
      <c r="U1793" s="6"/>
      <c r="V1793" s="5" t="s">
        <v>106</v>
      </c>
      <c r="W1793" s="12">
        <v>10288116</v>
      </c>
      <c r="X1793" s="6"/>
      <c r="Y1793" s="6"/>
    </row>
    <row r="1794" spans="1:25" ht="15" customHeight="1" x14ac:dyDescent="0.2">
      <c r="A1794" s="88" t="s">
        <v>2177</v>
      </c>
      <c r="B1794" s="90"/>
      <c r="C1794" s="88" t="s">
        <v>2291</v>
      </c>
      <c r="D1794" s="90"/>
      <c r="E1794" s="106"/>
      <c r="F1794" s="107"/>
      <c r="G1794" s="107"/>
      <c r="H1794" s="107"/>
      <c r="I1794" s="108"/>
      <c r="J1794" s="88" t="s">
        <v>2202</v>
      </c>
      <c r="K1794" s="89"/>
      <c r="L1794" s="89"/>
      <c r="M1794" s="90"/>
      <c r="N1794" s="88" t="s">
        <v>26</v>
      </c>
      <c r="O1794" s="89"/>
      <c r="P1794" s="90"/>
      <c r="Q1794" s="133">
        <v>5200</v>
      </c>
      <c r="R1794" s="134"/>
      <c r="S1794" s="5" t="s">
        <v>2181</v>
      </c>
      <c r="T1794" s="6"/>
      <c r="U1794" s="6"/>
      <c r="V1794" s="5" t="s">
        <v>106</v>
      </c>
      <c r="W1794" s="12">
        <v>10681295</v>
      </c>
      <c r="X1794" s="6"/>
      <c r="Y1794" s="6"/>
    </row>
    <row r="1795" spans="1:25" ht="15" customHeight="1" x14ac:dyDescent="0.2">
      <c r="A1795" s="88" t="s">
        <v>2177</v>
      </c>
      <c r="B1795" s="90"/>
      <c r="C1795" s="88" t="s">
        <v>2292</v>
      </c>
      <c r="D1795" s="90"/>
      <c r="E1795" s="106"/>
      <c r="F1795" s="107"/>
      <c r="G1795" s="107"/>
      <c r="H1795" s="107"/>
      <c r="I1795" s="108"/>
      <c r="J1795" s="88" t="s">
        <v>2202</v>
      </c>
      <c r="K1795" s="89"/>
      <c r="L1795" s="89"/>
      <c r="M1795" s="90"/>
      <c r="N1795" s="88" t="s">
        <v>26</v>
      </c>
      <c r="O1795" s="89"/>
      <c r="P1795" s="90"/>
      <c r="Q1795" s="133">
        <v>5200</v>
      </c>
      <c r="R1795" s="134"/>
      <c r="S1795" s="5" t="s">
        <v>1589</v>
      </c>
      <c r="T1795" s="6"/>
      <c r="U1795" s="6"/>
      <c r="V1795" s="5" t="s">
        <v>106</v>
      </c>
      <c r="W1795" s="12">
        <v>12386874</v>
      </c>
      <c r="X1795" s="6"/>
      <c r="Y1795" s="6"/>
    </row>
    <row r="1796" spans="1:25" ht="15" customHeight="1" x14ac:dyDescent="0.2">
      <c r="A1796" s="88" t="s">
        <v>2177</v>
      </c>
      <c r="B1796" s="90"/>
      <c r="C1796" s="88" t="s">
        <v>2293</v>
      </c>
      <c r="D1796" s="90"/>
      <c r="E1796" s="106"/>
      <c r="F1796" s="107"/>
      <c r="G1796" s="107"/>
      <c r="H1796" s="107"/>
      <c r="I1796" s="108"/>
      <c r="J1796" s="88" t="s">
        <v>1718</v>
      </c>
      <c r="K1796" s="89"/>
      <c r="L1796" s="89"/>
      <c r="M1796" s="90"/>
      <c r="N1796" s="88" t="s">
        <v>26</v>
      </c>
      <c r="O1796" s="89"/>
      <c r="P1796" s="90"/>
      <c r="Q1796" s="133">
        <v>5200</v>
      </c>
      <c r="R1796" s="134"/>
      <c r="S1796" s="5" t="s">
        <v>2181</v>
      </c>
      <c r="T1796" s="6"/>
      <c r="U1796" s="6"/>
      <c r="V1796" s="5" t="s">
        <v>106</v>
      </c>
      <c r="W1796" s="12">
        <v>10004221</v>
      </c>
      <c r="X1796" s="6"/>
      <c r="Y1796" s="6"/>
    </row>
    <row r="1797" spans="1:25" ht="15" customHeight="1" x14ac:dyDescent="0.2">
      <c r="A1797" s="88" t="s">
        <v>2177</v>
      </c>
      <c r="B1797" s="90"/>
      <c r="C1797" s="88" t="s">
        <v>2294</v>
      </c>
      <c r="D1797" s="90"/>
      <c r="E1797" s="106"/>
      <c r="F1797" s="107"/>
      <c r="G1797" s="107"/>
      <c r="H1797" s="107"/>
      <c r="I1797" s="108"/>
      <c r="J1797" s="88" t="s">
        <v>2202</v>
      </c>
      <c r="K1797" s="89"/>
      <c r="L1797" s="89"/>
      <c r="M1797" s="90"/>
      <c r="N1797" s="88" t="s">
        <v>26</v>
      </c>
      <c r="O1797" s="89"/>
      <c r="P1797" s="90"/>
      <c r="Q1797" s="133">
        <v>5200</v>
      </c>
      <c r="R1797" s="134"/>
      <c r="S1797" s="5" t="s">
        <v>1589</v>
      </c>
      <c r="T1797" s="6"/>
      <c r="U1797" s="6"/>
      <c r="V1797" s="5" t="s">
        <v>106</v>
      </c>
      <c r="W1797" s="12">
        <v>13454756</v>
      </c>
      <c r="X1797" s="6"/>
      <c r="Y1797" s="6"/>
    </row>
    <row r="1798" spans="1:25" ht="15" customHeight="1" x14ac:dyDescent="0.2">
      <c r="A1798" s="88" t="s">
        <v>2177</v>
      </c>
      <c r="B1798" s="90"/>
      <c r="C1798" s="88" t="s">
        <v>2295</v>
      </c>
      <c r="D1798" s="90"/>
      <c r="E1798" s="106"/>
      <c r="F1798" s="107"/>
      <c r="G1798" s="107"/>
      <c r="H1798" s="107"/>
      <c r="I1798" s="108"/>
      <c r="J1798" s="88" t="s">
        <v>2202</v>
      </c>
      <c r="K1798" s="89"/>
      <c r="L1798" s="89"/>
      <c r="M1798" s="90"/>
      <c r="N1798" s="88" t="s">
        <v>26</v>
      </c>
      <c r="O1798" s="89"/>
      <c r="P1798" s="90"/>
      <c r="Q1798" s="133">
        <v>5200</v>
      </c>
      <c r="R1798" s="134"/>
      <c r="S1798" s="5" t="s">
        <v>2181</v>
      </c>
      <c r="T1798" s="6"/>
      <c r="U1798" s="6"/>
      <c r="V1798" s="5" t="s">
        <v>106</v>
      </c>
      <c r="W1798" s="12">
        <v>11303386</v>
      </c>
      <c r="X1798" s="6"/>
      <c r="Y1798" s="6"/>
    </row>
    <row r="1799" spans="1:25" ht="15" customHeight="1" x14ac:dyDescent="0.2">
      <c r="A1799" s="88" t="s">
        <v>2177</v>
      </c>
      <c r="B1799" s="90"/>
      <c r="C1799" s="88" t="s">
        <v>2296</v>
      </c>
      <c r="D1799" s="90"/>
      <c r="E1799" s="106"/>
      <c r="F1799" s="107"/>
      <c r="G1799" s="107"/>
      <c r="H1799" s="107"/>
      <c r="I1799" s="108"/>
      <c r="J1799" s="88" t="s">
        <v>2202</v>
      </c>
      <c r="K1799" s="89"/>
      <c r="L1799" s="89"/>
      <c r="M1799" s="90"/>
      <c r="N1799" s="88" t="s">
        <v>26</v>
      </c>
      <c r="O1799" s="89"/>
      <c r="P1799" s="90"/>
      <c r="Q1799" s="133">
        <v>5200</v>
      </c>
      <c r="R1799" s="134"/>
      <c r="S1799" s="5" t="s">
        <v>2181</v>
      </c>
      <c r="T1799" s="6"/>
      <c r="U1799" s="6"/>
      <c r="V1799" s="5" t="s">
        <v>106</v>
      </c>
      <c r="W1799" s="12">
        <v>11271812</v>
      </c>
      <c r="X1799" s="6"/>
      <c r="Y1799" s="6"/>
    </row>
    <row r="1800" spans="1:25" ht="15" customHeight="1" x14ac:dyDescent="0.2">
      <c r="A1800" s="88" t="s">
        <v>2177</v>
      </c>
      <c r="B1800" s="90"/>
      <c r="C1800" s="88" t="s">
        <v>2297</v>
      </c>
      <c r="D1800" s="90"/>
      <c r="E1800" s="106"/>
      <c r="F1800" s="107"/>
      <c r="G1800" s="107"/>
      <c r="H1800" s="107"/>
      <c r="I1800" s="108"/>
      <c r="J1800" s="88" t="s">
        <v>2202</v>
      </c>
      <c r="K1800" s="89"/>
      <c r="L1800" s="89"/>
      <c r="M1800" s="90"/>
      <c r="N1800" s="88" t="s">
        <v>26</v>
      </c>
      <c r="O1800" s="89"/>
      <c r="P1800" s="90"/>
      <c r="Q1800" s="133">
        <v>5200</v>
      </c>
      <c r="R1800" s="134"/>
      <c r="S1800" s="5" t="s">
        <v>2181</v>
      </c>
      <c r="T1800" s="6"/>
      <c r="U1800" s="6"/>
      <c r="V1800" s="5" t="s">
        <v>106</v>
      </c>
      <c r="W1800" s="12">
        <v>11233297</v>
      </c>
      <c r="X1800" s="6"/>
      <c r="Y1800" s="6"/>
    </row>
    <row r="1801" spans="1:25" ht="15" customHeight="1" x14ac:dyDescent="0.2">
      <c r="A1801" s="88" t="s">
        <v>2177</v>
      </c>
      <c r="B1801" s="90"/>
      <c r="C1801" s="88" t="s">
        <v>2298</v>
      </c>
      <c r="D1801" s="90"/>
      <c r="E1801" s="106"/>
      <c r="F1801" s="107"/>
      <c r="G1801" s="107"/>
      <c r="H1801" s="107"/>
      <c r="I1801" s="108"/>
      <c r="J1801" s="88" t="s">
        <v>2258</v>
      </c>
      <c r="K1801" s="89"/>
      <c r="L1801" s="89"/>
      <c r="M1801" s="90"/>
      <c r="N1801" s="88" t="s">
        <v>22</v>
      </c>
      <c r="O1801" s="89"/>
      <c r="P1801" s="90"/>
      <c r="Q1801" s="133">
        <v>5200</v>
      </c>
      <c r="R1801" s="134"/>
      <c r="S1801" s="5" t="s">
        <v>1589</v>
      </c>
      <c r="T1801" s="6"/>
      <c r="U1801" s="6"/>
      <c r="V1801" s="5" t="s">
        <v>106</v>
      </c>
      <c r="W1801" s="12">
        <v>16058778</v>
      </c>
      <c r="X1801" s="6"/>
      <c r="Y1801" s="6"/>
    </row>
    <row r="1802" spans="1:25" ht="15" customHeight="1" x14ac:dyDescent="0.2">
      <c r="A1802" s="88" t="s">
        <v>2177</v>
      </c>
      <c r="B1802" s="90"/>
      <c r="C1802" s="88" t="s">
        <v>2299</v>
      </c>
      <c r="D1802" s="90"/>
      <c r="E1802" s="106"/>
      <c r="F1802" s="107"/>
      <c r="G1802" s="107"/>
      <c r="H1802" s="107"/>
      <c r="I1802" s="108"/>
      <c r="J1802" s="88" t="s">
        <v>2300</v>
      </c>
      <c r="K1802" s="89"/>
      <c r="L1802" s="89"/>
      <c r="M1802" s="90"/>
      <c r="N1802" s="88" t="s">
        <v>26</v>
      </c>
      <c r="O1802" s="89"/>
      <c r="P1802" s="90"/>
      <c r="Q1802" s="133">
        <v>5200</v>
      </c>
      <c r="R1802" s="134"/>
      <c r="S1802" s="5" t="s">
        <v>2181</v>
      </c>
      <c r="T1802" s="6"/>
      <c r="U1802" s="6"/>
      <c r="V1802" s="5" t="s">
        <v>106</v>
      </c>
      <c r="W1802" s="12">
        <v>18172382</v>
      </c>
      <c r="X1802" s="6"/>
      <c r="Y1802" s="6"/>
    </row>
    <row r="1803" spans="1:25" ht="15" customHeight="1" x14ac:dyDescent="0.2">
      <c r="A1803" s="88" t="s">
        <v>2177</v>
      </c>
      <c r="B1803" s="90"/>
      <c r="C1803" s="88" t="s">
        <v>2301</v>
      </c>
      <c r="D1803" s="90"/>
      <c r="E1803" s="88" t="s">
        <v>2302</v>
      </c>
      <c r="F1803" s="89"/>
      <c r="G1803" s="89"/>
      <c r="H1803" s="89"/>
      <c r="I1803" s="90"/>
      <c r="J1803" s="88" t="s">
        <v>13</v>
      </c>
      <c r="K1803" s="89"/>
      <c r="L1803" s="89"/>
      <c r="M1803" s="90"/>
      <c r="N1803" s="88" t="s">
        <v>26</v>
      </c>
      <c r="O1803" s="89"/>
      <c r="P1803" s="90"/>
      <c r="Q1803" s="133">
        <v>3000</v>
      </c>
      <c r="R1803" s="134"/>
      <c r="S1803" s="5" t="s">
        <v>1291</v>
      </c>
      <c r="T1803" s="6"/>
      <c r="U1803" s="6"/>
      <c r="V1803" s="5" t="s">
        <v>106</v>
      </c>
      <c r="W1803" s="12">
        <v>12540486</v>
      </c>
      <c r="X1803" s="6"/>
      <c r="Y1803" s="6"/>
    </row>
    <row r="1804" spans="1:25" ht="15" customHeight="1" x14ac:dyDescent="0.2">
      <c r="A1804" s="88" t="s">
        <v>2177</v>
      </c>
      <c r="B1804" s="90"/>
      <c r="C1804" s="88" t="s">
        <v>2303</v>
      </c>
      <c r="D1804" s="90"/>
      <c r="E1804" s="88" t="s">
        <v>2304</v>
      </c>
      <c r="F1804" s="89"/>
      <c r="G1804" s="89"/>
      <c r="H1804" s="89"/>
      <c r="I1804" s="90"/>
      <c r="J1804" s="88" t="s">
        <v>13</v>
      </c>
      <c r="K1804" s="89"/>
      <c r="L1804" s="89"/>
      <c r="M1804" s="90"/>
      <c r="N1804" s="88" t="s">
        <v>26</v>
      </c>
      <c r="O1804" s="89"/>
      <c r="P1804" s="90"/>
      <c r="Q1804" s="133">
        <v>3000</v>
      </c>
      <c r="R1804" s="134"/>
      <c r="S1804" s="5" t="s">
        <v>1291</v>
      </c>
      <c r="T1804" s="6"/>
      <c r="U1804" s="6"/>
      <c r="V1804" s="5" t="s">
        <v>106</v>
      </c>
      <c r="W1804" s="12">
        <v>12302489</v>
      </c>
      <c r="X1804" s="6"/>
      <c r="Y1804" s="6"/>
    </row>
    <row r="1805" spans="1:25" ht="15" customHeight="1" x14ac:dyDescent="0.2">
      <c r="A1805" s="88" t="s">
        <v>2177</v>
      </c>
      <c r="B1805" s="90"/>
      <c r="C1805" s="88" t="s">
        <v>2305</v>
      </c>
      <c r="D1805" s="90"/>
      <c r="E1805" s="88" t="s">
        <v>2306</v>
      </c>
      <c r="F1805" s="89"/>
      <c r="G1805" s="89"/>
      <c r="H1805" s="89"/>
      <c r="I1805" s="90"/>
      <c r="J1805" s="88" t="s">
        <v>599</v>
      </c>
      <c r="K1805" s="89"/>
      <c r="L1805" s="89"/>
      <c r="M1805" s="90"/>
      <c r="N1805" s="88" t="s">
        <v>26</v>
      </c>
      <c r="O1805" s="89"/>
      <c r="P1805" s="90"/>
      <c r="Q1805" s="133">
        <v>3000</v>
      </c>
      <c r="R1805" s="134"/>
      <c r="S1805" s="5" t="s">
        <v>1291</v>
      </c>
      <c r="T1805" s="6"/>
      <c r="U1805" s="6"/>
      <c r="V1805" s="5" t="s">
        <v>106</v>
      </c>
      <c r="W1805" s="12">
        <v>9718296</v>
      </c>
      <c r="X1805" s="6"/>
      <c r="Y1805" s="6"/>
    </row>
    <row r="1806" spans="1:25" ht="15" customHeight="1" x14ac:dyDescent="0.2">
      <c r="A1806" s="88" t="s">
        <v>2177</v>
      </c>
      <c r="B1806" s="90"/>
      <c r="C1806" s="88" t="s">
        <v>2307</v>
      </c>
      <c r="D1806" s="90"/>
      <c r="E1806" s="88" t="s">
        <v>2306</v>
      </c>
      <c r="F1806" s="89"/>
      <c r="G1806" s="89"/>
      <c r="H1806" s="89"/>
      <c r="I1806" s="90"/>
      <c r="J1806" s="88" t="s">
        <v>13</v>
      </c>
      <c r="K1806" s="89"/>
      <c r="L1806" s="89"/>
      <c r="M1806" s="90"/>
      <c r="N1806" s="88" t="s">
        <v>26</v>
      </c>
      <c r="O1806" s="89"/>
      <c r="P1806" s="90"/>
      <c r="Q1806" s="133">
        <v>3000</v>
      </c>
      <c r="R1806" s="134"/>
      <c r="S1806" s="5" t="s">
        <v>1291</v>
      </c>
      <c r="T1806" s="6"/>
      <c r="U1806" s="6"/>
      <c r="V1806" s="5" t="s">
        <v>106</v>
      </c>
      <c r="W1806" s="12">
        <v>7748650</v>
      </c>
      <c r="X1806" s="6"/>
      <c r="Y1806" s="6"/>
    </row>
    <row r="1807" spans="1:25" ht="15" customHeight="1" x14ac:dyDescent="0.2">
      <c r="A1807" s="88" t="s">
        <v>2177</v>
      </c>
      <c r="B1807" s="90"/>
      <c r="C1807" s="88" t="s">
        <v>2308</v>
      </c>
      <c r="D1807" s="90"/>
      <c r="E1807" s="88" t="s">
        <v>2309</v>
      </c>
      <c r="F1807" s="89"/>
      <c r="G1807" s="89"/>
      <c r="H1807" s="89"/>
      <c r="I1807" s="90"/>
      <c r="J1807" s="88" t="s">
        <v>599</v>
      </c>
      <c r="K1807" s="89"/>
      <c r="L1807" s="89"/>
      <c r="M1807" s="90"/>
      <c r="N1807" s="88" t="s">
        <v>26</v>
      </c>
      <c r="O1807" s="89"/>
      <c r="P1807" s="90"/>
      <c r="Q1807" s="133">
        <v>5200</v>
      </c>
      <c r="R1807" s="134"/>
      <c r="S1807" s="5" t="s">
        <v>1291</v>
      </c>
      <c r="T1807" s="6"/>
      <c r="U1807" s="6"/>
      <c r="V1807" s="5" t="s">
        <v>106</v>
      </c>
      <c r="W1807" s="12">
        <v>18388410</v>
      </c>
      <c r="X1807" s="6"/>
      <c r="Y1807" s="6"/>
    </row>
    <row r="1808" spans="1:25" ht="15" customHeight="1" x14ac:dyDescent="0.2">
      <c r="A1808" s="88" t="s">
        <v>2177</v>
      </c>
      <c r="B1808" s="90"/>
      <c r="C1808" s="88" t="s">
        <v>2308</v>
      </c>
      <c r="D1808" s="90"/>
      <c r="E1808" s="88" t="s">
        <v>2310</v>
      </c>
      <c r="F1808" s="89"/>
      <c r="G1808" s="89"/>
      <c r="H1808" s="89"/>
      <c r="I1808" s="90"/>
      <c r="J1808" s="88" t="s">
        <v>13</v>
      </c>
      <c r="K1808" s="89"/>
      <c r="L1808" s="89"/>
      <c r="M1808" s="90"/>
      <c r="N1808" s="88" t="s">
        <v>26</v>
      </c>
      <c r="O1808" s="89"/>
      <c r="P1808" s="90"/>
      <c r="Q1808" s="133">
        <v>5200</v>
      </c>
      <c r="R1808" s="134"/>
      <c r="S1808" s="5" t="s">
        <v>1291</v>
      </c>
      <c r="T1808" s="6"/>
      <c r="U1808" s="6"/>
      <c r="V1808" s="5" t="s">
        <v>106</v>
      </c>
      <c r="W1808" s="12">
        <v>24107641</v>
      </c>
      <c r="X1808" s="6"/>
      <c r="Y1808" s="6"/>
    </row>
    <row r="1809" spans="1:25" ht="15" customHeight="1" x14ac:dyDescent="0.2">
      <c r="A1809" s="88" t="s">
        <v>2177</v>
      </c>
      <c r="B1809" s="90"/>
      <c r="C1809" s="88" t="s">
        <v>2311</v>
      </c>
      <c r="D1809" s="90"/>
      <c r="E1809" s="88" t="s">
        <v>2312</v>
      </c>
      <c r="F1809" s="89"/>
      <c r="G1809" s="89"/>
      <c r="H1809" s="89"/>
      <c r="I1809" s="90"/>
      <c r="J1809" s="88" t="s">
        <v>13</v>
      </c>
      <c r="K1809" s="89"/>
      <c r="L1809" s="89"/>
      <c r="M1809" s="90"/>
      <c r="N1809" s="88" t="s">
        <v>26</v>
      </c>
      <c r="O1809" s="89"/>
      <c r="P1809" s="90"/>
      <c r="Q1809" s="133">
        <v>5200</v>
      </c>
      <c r="R1809" s="134"/>
      <c r="S1809" s="5" t="s">
        <v>1291</v>
      </c>
      <c r="T1809" s="6"/>
      <c r="U1809" s="6"/>
      <c r="V1809" s="5" t="s">
        <v>106</v>
      </c>
      <c r="W1809" s="12">
        <v>36219157</v>
      </c>
      <c r="X1809" s="6"/>
      <c r="Y1809" s="6"/>
    </row>
    <row r="1810" spans="1:25" ht="15" customHeight="1" x14ac:dyDescent="0.2">
      <c r="A1810" s="88" t="s">
        <v>2177</v>
      </c>
      <c r="B1810" s="90"/>
      <c r="C1810" s="88" t="s">
        <v>2311</v>
      </c>
      <c r="D1810" s="90"/>
      <c r="E1810" s="88" t="s">
        <v>2313</v>
      </c>
      <c r="F1810" s="89"/>
      <c r="G1810" s="89"/>
      <c r="H1810" s="89"/>
      <c r="I1810" s="90"/>
      <c r="J1810" s="88" t="s">
        <v>599</v>
      </c>
      <c r="K1810" s="89"/>
      <c r="L1810" s="89"/>
      <c r="M1810" s="90"/>
      <c r="N1810" s="88" t="s">
        <v>26</v>
      </c>
      <c r="O1810" s="89"/>
      <c r="P1810" s="90"/>
      <c r="Q1810" s="133">
        <v>5200</v>
      </c>
      <c r="R1810" s="134"/>
      <c r="S1810" s="5" t="s">
        <v>1291</v>
      </c>
      <c r="T1810" s="6"/>
      <c r="U1810" s="6"/>
      <c r="V1810" s="5" t="s">
        <v>106</v>
      </c>
      <c r="W1810" s="12">
        <v>9530220</v>
      </c>
      <c r="X1810" s="6"/>
      <c r="Y1810" s="6"/>
    </row>
    <row r="1811" spans="1:25" ht="15" customHeight="1" x14ac:dyDescent="0.2">
      <c r="A1811" s="88" t="s">
        <v>2314</v>
      </c>
      <c r="B1811" s="90"/>
      <c r="C1811" s="88" t="s">
        <v>2315</v>
      </c>
      <c r="D1811" s="90"/>
      <c r="E1811" s="106"/>
      <c r="F1811" s="107"/>
      <c r="G1811" s="107"/>
      <c r="H1811" s="107"/>
      <c r="I1811" s="108"/>
      <c r="J1811" s="88" t="s">
        <v>1718</v>
      </c>
      <c r="K1811" s="89"/>
      <c r="L1811" s="89"/>
      <c r="M1811" s="90"/>
      <c r="N1811" s="106"/>
      <c r="O1811" s="107"/>
      <c r="P1811" s="108"/>
      <c r="Q1811" s="133">
        <v>2300</v>
      </c>
      <c r="R1811" s="134"/>
      <c r="S1811" s="5" t="s">
        <v>814</v>
      </c>
      <c r="T1811" s="6"/>
      <c r="U1811" s="6"/>
      <c r="V1811" s="5" t="s">
        <v>106</v>
      </c>
      <c r="W1811" s="12">
        <v>8130054</v>
      </c>
      <c r="X1811" s="6"/>
      <c r="Y1811" s="6"/>
    </row>
    <row r="1812" spans="1:25" ht="15" customHeight="1" x14ac:dyDescent="0.2">
      <c r="A1812" s="88" t="s">
        <v>2314</v>
      </c>
      <c r="B1812" s="90"/>
      <c r="C1812" s="88" t="s">
        <v>2316</v>
      </c>
      <c r="D1812" s="90"/>
      <c r="E1812" s="106"/>
      <c r="F1812" s="107"/>
      <c r="G1812" s="107"/>
      <c r="H1812" s="107"/>
      <c r="I1812" s="108"/>
      <c r="J1812" s="88" t="s">
        <v>1718</v>
      </c>
      <c r="K1812" s="89"/>
      <c r="L1812" s="89"/>
      <c r="M1812" s="90"/>
      <c r="N1812" s="106"/>
      <c r="O1812" s="107"/>
      <c r="P1812" s="108"/>
      <c r="Q1812" s="133">
        <v>2300</v>
      </c>
      <c r="R1812" s="134"/>
      <c r="S1812" s="5" t="s">
        <v>814</v>
      </c>
      <c r="T1812" s="6"/>
      <c r="U1812" s="6"/>
      <c r="V1812" s="5" t="s">
        <v>106</v>
      </c>
      <c r="W1812" s="12">
        <v>8418032</v>
      </c>
      <c r="X1812" s="6"/>
      <c r="Y1812" s="6"/>
    </row>
    <row r="1813" spans="1:25" ht="15" customHeight="1" x14ac:dyDescent="0.2">
      <c r="A1813" s="88" t="s">
        <v>2314</v>
      </c>
      <c r="B1813" s="90"/>
      <c r="C1813" s="88" t="s">
        <v>2317</v>
      </c>
      <c r="D1813" s="90"/>
      <c r="E1813" s="106"/>
      <c r="F1813" s="107"/>
      <c r="G1813" s="107"/>
      <c r="H1813" s="107"/>
      <c r="I1813" s="108"/>
      <c r="J1813" s="88" t="s">
        <v>1718</v>
      </c>
      <c r="K1813" s="89"/>
      <c r="L1813" s="89"/>
      <c r="M1813" s="90"/>
      <c r="N1813" s="106"/>
      <c r="O1813" s="107"/>
      <c r="P1813" s="108"/>
      <c r="Q1813" s="133">
        <v>2300</v>
      </c>
      <c r="R1813" s="134"/>
      <c r="S1813" s="5" t="s">
        <v>814</v>
      </c>
      <c r="T1813" s="6"/>
      <c r="U1813" s="6"/>
      <c r="V1813" s="5" t="s">
        <v>106</v>
      </c>
      <c r="W1813" s="12">
        <v>9067614</v>
      </c>
      <c r="X1813" s="6"/>
      <c r="Y1813" s="6"/>
    </row>
    <row r="1814" spans="1:25" ht="15" customHeight="1" x14ac:dyDescent="0.2">
      <c r="A1814" s="88" t="s">
        <v>2314</v>
      </c>
      <c r="B1814" s="90"/>
      <c r="C1814" s="88" t="s">
        <v>2318</v>
      </c>
      <c r="D1814" s="90"/>
      <c r="E1814" s="106"/>
      <c r="F1814" s="107"/>
      <c r="G1814" s="107"/>
      <c r="H1814" s="107"/>
      <c r="I1814" s="108"/>
      <c r="J1814" s="88" t="s">
        <v>1718</v>
      </c>
      <c r="K1814" s="89"/>
      <c r="L1814" s="89"/>
      <c r="M1814" s="90"/>
      <c r="N1814" s="106"/>
      <c r="O1814" s="107"/>
      <c r="P1814" s="108"/>
      <c r="Q1814" s="133">
        <v>2300</v>
      </c>
      <c r="R1814" s="134"/>
      <c r="S1814" s="5" t="s">
        <v>814</v>
      </c>
      <c r="T1814" s="6"/>
      <c r="U1814" s="6"/>
      <c r="V1814" s="5" t="s">
        <v>106</v>
      </c>
      <c r="W1814" s="12">
        <v>9646699</v>
      </c>
      <c r="X1814" s="6"/>
      <c r="Y1814" s="6"/>
    </row>
    <row r="1815" spans="1:25" ht="15" customHeight="1" x14ac:dyDescent="0.2">
      <c r="A1815" s="88" t="s">
        <v>2314</v>
      </c>
      <c r="B1815" s="90"/>
      <c r="C1815" s="88" t="s">
        <v>2315</v>
      </c>
      <c r="D1815" s="90"/>
      <c r="E1815" s="106"/>
      <c r="F1815" s="107"/>
      <c r="G1815" s="107"/>
      <c r="H1815" s="107"/>
      <c r="I1815" s="108"/>
      <c r="J1815" s="88" t="s">
        <v>2319</v>
      </c>
      <c r="K1815" s="89"/>
      <c r="L1815" s="89"/>
      <c r="M1815" s="90"/>
      <c r="N1815" s="106"/>
      <c r="O1815" s="107"/>
      <c r="P1815" s="108"/>
      <c r="Q1815" s="133">
        <v>2300</v>
      </c>
      <c r="R1815" s="134"/>
      <c r="S1815" s="5" t="s">
        <v>814</v>
      </c>
      <c r="T1815" s="6"/>
      <c r="U1815" s="6"/>
      <c r="V1815" s="5" t="s">
        <v>106</v>
      </c>
      <c r="W1815" s="12">
        <v>8751329</v>
      </c>
      <c r="X1815" s="6"/>
      <c r="Y1815" s="6"/>
    </row>
    <row r="1816" spans="1:25" ht="15" customHeight="1" x14ac:dyDescent="0.2">
      <c r="A1816" s="88" t="s">
        <v>2314</v>
      </c>
      <c r="B1816" s="90"/>
      <c r="C1816" s="88" t="s">
        <v>2316</v>
      </c>
      <c r="D1816" s="90"/>
      <c r="E1816" s="106"/>
      <c r="F1816" s="107"/>
      <c r="G1816" s="107"/>
      <c r="H1816" s="107"/>
      <c r="I1816" s="108"/>
      <c r="J1816" s="88" t="s">
        <v>2319</v>
      </c>
      <c r="K1816" s="89"/>
      <c r="L1816" s="89"/>
      <c r="M1816" s="90"/>
      <c r="N1816" s="106"/>
      <c r="O1816" s="107"/>
      <c r="P1816" s="108"/>
      <c r="Q1816" s="133">
        <v>2300</v>
      </c>
      <c r="R1816" s="134"/>
      <c r="S1816" s="5" t="s">
        <v>814</v>
      </c>
      <c r="T1816" s="6"/>
      <c r="U1816" s="6"/>
      <c r="V1816" s="5" t="s">
        <v>106</v>
      </c>
      <c r="W1816" s="12">
        <v>9039306</v>
      </c>
      <c r="X1816" s="6"/>
      <c r="Y1816" s="6"/>
    </row>
    <row r="1817" spans="1:25" ht="15" customHeight="1" x14ac:dyDescent="0.2">
      <c r="A1817" s="88" t="s">
        <v>2314</v>
      </c>
      <c r="B1817" s="90"/>
      <c r="C1817" s="88" t="s">
        <v>2317</v>
      </c>
      <c r="D1817" s="90"/>
      <c r="E1817" s="106"/>
      <c r="F1817" s="107"/>
      <c r="G1817" s="107"/>
      <c r="H1817" s="107"/>
      <c r="I1817" s="108"/>
      <c r="J1817" s="88" t="s">
        <v>2319</v>
      </c>
      <c r="K1817" s="89"/>
      <c r="L1817" s="89"/>
      <c r="M1817" s="90"/>
      <c r="N1817" s="106"/>
      <c r="O1817" s="107"/>
      <c r="P1817" s="108"/>
      <c r="Q1817" s="133">
        <v>2300</v>
      </c>
      <c r="R1817" s="134"/>
      <c r="S1817" s="5" t="s">
        <v>814</v>
      </c>
      <c r="T1817" s="6"/>
      <c r="U1817" s="6"/>
      <c r="V1817" s="5" t="s">
        <v>106</v>
      </c>
      <c r="W1817" s="12">
        <v>9688889</v>
      </c>
      <c r="X1817" s="6"/>
      <c r="Y1817" s="6"/>
    </row>
    <row r="1818" spans="1:25" ht="15" customHeight="1" x14ac:dyDescent="0.2">
      <c r="A1818" s="88" t="s">
        <v>2314</v>
      </c>
      <c r="B1818" s="90"/>
      <c r="C1818" s="88" t="s">
        <v>2318</v>
      </c>
      <c r="D1818" s="90"/>
      <c r="E1818" s="106"/>
      <c r="F1818" s="107"/>
      <c r="G1818" s="107"/>
      <c r="H1818" s="107"/>
      <c r="I1818" s="108"/>
      <c r="J1818" s="88" t="s">
        <v>2319</v>
      </c>
      <c r="K1818" s="89"/>
      <c r="L1818" s="89"/>
      <c r="M1818" s="90"/>
      <c r="N1818" s="106"/>
      <c r="O1818" s="107"/>
      <c r="P1818" s="108"/>
      <c r="Q1818" s="133">
        <v>2300</v>
      </c>
      <c r="R1818" s="134"/>
      <c r="S1818" s="5" t="s">
        <v>814</v>
      </c>
      <c r="T1818" s="6"/>
      <c r="U1818" s="6"/>
      <c r="V1818" s="5" t="s">
        <v>106</v>
      </c>
      <c r="W1818" s="12">
        <v>10267974</v>
      </c>
      <c r="X1818" s="6"/>
      <c r="Y1818" s="6"/>
    </row>
    <row r="1819" spans="1:25" ht="15" customHeight="1" x14ac:dyDescent="0.2">
      <c r="A1819" s="88" t="s">
        <v>2314</v>
      </c>
      <c r="B1819" s="90"/>
      <c r="C1819" s="88" t="s">
        <v>2320</v>
      </c>
      <c r="D1819" s="90"/>
      <c r="E1819" s="106"/>
      <c r="F1819" s="107"/>
      <c r="G1819" s="107"/>
      <c r="H1819" s="107"/>
      <c r="I1819" s="108"/>
      <c r="J1819" s="88" t="s">
        <v>2179</v>
      </c>
      <c r="K1819" s="89"/>
      <c r="L1819" s="89"/>
      <c r="M1819" s="90"/>
      <c r="N1819" s="106"/>
      <c r="O1819" s="107"/>
      <c r="P1819" s="108"/>
      <c r="Q1819" s="133">
        <v>3000</v>
      </c>
      <c r="R1819" s="134"/>
      <c r="S1819" s="5" t="s">
        <v>1589</v>
      </c>
      <c r="T1819" s="6"/>
      <c r="U1819" s="6"/>
      <c r="V1819" s="5" t="s">
        <v>106</v>
      </c>
      <c r="W1819" s="12">
        <v>10501014</v>
      </c>
      <c r="X1819" s="6"/>
      <c r="Y1819" s="6"/>
    </row>
    <row r="1820" spans="1:25" ht="15" customHeight="1" x14ac:dyDescent="0.2">
      <c r="A1820" s="88" t="s">
        <v>2314</v>
      </c>
      <c r="B1820" s="90"/>
      <c r="C1820" s="88" t="s">
        <v>2321</v>
      </c>
      <c r="D1820" s="90"/>
      <c r="E1820" s="106"/>
      <c r="F1820" s="107"/>
      <c r="G1820" s="107"/>
      <c r="H1820" s="107"/>
      <c r="I1820" s="108"/>
      <c r="J1820" s="88" t="s">
        <v>2179</v>
      </c>
      <c r="K1820" s="89"/>
      <c r="L1820" s="89"/>
      <c r="M1820" s="90"/>
      <c r="N1820" s="106"/>
      <c r="O1820" s="107"/>
      <c r="P1820" s="108"/>
      <c r="Q1820" s="133">
        <v>3000</v>
      </c>
      <c r="R1820" s="134"/>
      <c r="S1820" s="5" t="s">
        <v>1589</v>
      </c>
      <c r="T1820" s="6"/>
      <c r="U1820" s="6"/>
      <c r="V1820" s="5" t="s">
        <v>106</v>
      </c>
      <c r="W1820" s="12">
        <v>10568835</v>
      </c>
      <c r="X1820" s="6"/>
      <c r="Y1820" s="6"/>
    </row>
    <row r="1821" spans="1:25" ht="15" customHeight="1" x14ac:dyDescent="0.2">
      <c r="A1821" s="88" t="s">
        <v>2314</v>
      </c>
      <c r="B1821" s="90"/>
      <c r="C1821" s="88" t="s">
        <v>2322</v>
      </c>
      <c r="D1821" s="90"/>
      <c r="E1821" s="106"/>
      <c r="F1821" s="107"/>
      <c r="G1821" s="107"/>
      <c r="H1821" s="107"/>
      <c r="I1821" s="108"/>
      <c r="J1821" s="88" t="s">
        <v>2179</v>
      </c>
      <c r="K1821" s="89"/>
      <c r="L1821" s="89"/>
      <c r="M1821" s="90"/>
      <c r="N1821" s="106"/>
      <c r="O1821" s="107"/>
      <c r="P1821" s="108"/>
      <c r="Q1821" s="133">
        <v>3000</v>
      </c>
      <c r="R1821" s="134"/>
      <c r="S1821" s="5" t="s">
        <v>1589</v>
      </c>
      <c r="T1821" s="6"/>
      <c r="U1821" s="6"/>
      <c r="V1821" s="5" t="s">
        <v>106</v>
      </c>
      <c r="W1821" s="12">
        <v>10636655</v>
      </c>
      <c r="X1821" s="6"/>
      <c r="Y1821" s="6"/>
    </row>
    <row r="1822" spans="1:25" ht="15" customHeight="1" x14ac:dyDescent="0.2">
      <c r="A1822" s="88" t="s">
        <v>2314</v>
      </c>
      <c r="B1822" s="90"/>
      <c r="C1822" s="88" t="s">
        <v>2323</v>
      </c>
      <c r="D1822" s="90"/>
      <c r="E1822" s="106"/>
      <c r="F1822" s="107"/>
      <c r="G1822" s="107"/>
      <c r="H1822" s="107"/>
      <c r="I1822" s="108"/>
      <c r="J1822" s="88" t="s">
        <v>2179</v>
      </c>
      <c r="K1822" s="89"/>
      <c r="L1822" s="89"/>
      <c r="M1822" s="90"/>
      <c r="N1822" s="106"/>
      <c r="O1822" s="107"/>
      <c r="P1822" s="108"/>
      <c r="Q1822" s="133">
        <v>3000</v>
      </c>
      <c r="R1822" s="134"/>
      <c r="S1822" s="5" t="s">
        <v>1589</v>
      </c>
      <c r="T1822" s="6"/>
      <c r="U1822" s="6"/>
      <c r="V1822" s="5" t="s">
        <v>106</v>
      </c>
      <c r="W1822" s="12">
        <v>10704476</v>
      </c>
      <c r="X1822" s="6"/>
      <c r="Y1822" s="6"/>
    </row>
    <row r="1823" spans="1:25" ht="15" customHeight="1" x14ac:dyDescent="0.2">
      <c r="A1823" s="88" t="s">
        <v>2314</v>
      </c>
      <c r="B1823" s="90"/>
      <c r="C1823" s="88" t="s">
        <v>2324</v>
      </c>
      <c r="D1823" s="90"/>
      <c r="E1823" s="106"/>
      <c r="F1823" s="107"/>
      <c r="G1823" s="107"/>
      <c r="H1823" s="107"/>
      <c r="I1823" s="108"/>
      <c r="J1823" s="88" t="s">
        <v>2179</v>
      </c>
      <c r="K1823" s="89"/>
      <c r="L1823" s="89"/>
      <c r="M1823" s="90"/>
      <c r="N1823" s="106"/>
      <c r="O1823" s="107"/>
      <c r="P1823" s="108"/>
      <c r="Q1823" s="133">
        <v>3000</v>
      </c>
      <c r="R1823" s="134"/>
      <c r="S1823" s="5" t="s">
        <v>1589</v>
      </c>
      <c r="T1823" s="6"/>
      <c r="U1823" s="6"/>
      <c r="V1823" s="5" t="s">
        <v>106</v>
      </c>
      <c r="W1823" s="12">
        <v>12111757</v>
      </c>
      <c r="X1823" s="6"/>
      <c r="Y1823" s="6"/>
    </row>
    <row r="1824" spans="1:25" ht="15" customHeight="1" x14ac:dyDescent="0.2">
      <c r="A1824" s="88" t="s">
        <v>2314</v>
      </c>
      <c r="B1824" s="90"/>
      <c r="C1824" s="88" t="s">
        <v>2325</v>
      </c>
      <c r="D1824" s="90"/>
      <c r="E1824" s="106"/>
      <c r="F1824" s="107"/>
      <c r="G1824" s="107"/>
      <c r="H1824" s="107"/>
      <c r="I1824" s="108"/>
      <c r="J1824" s="88" t="s">
        <v>2179</v>
      </c>
      <c r="K1824" s="89"/>
      <c r="L1824" s="89"/>
      <c r="M1824" s="90"/>
      <c r="N1824" s="106"/>
      <c r="O1824" s="107"/>
      <c r="P1824" s="108"/>
      <c r="Q1824" s="133">
        <v>3000</v>
      </c>
      <c r="R1824" s="134"/>
      <c r="S1824" s="5" t="s">
        <v>1589</v>
      </c>
      <c r="T1824" s="6"/>
      <c r="U1824" s="6"/>
      <c r="V1824" s="5" t="s">
        <v>106</v>
      </c>
      <c r="W1824" s="12">
        <v>12179578</v>
      </c>
      <c r="X1824" s="6"/>
      <c r="Y1824" s="6"/>
    </row>
    <row r="1825" spans="1:25" ht="15" customHeight="1" x14ac:dyDescent="0.2">
      <c r="A1825" s="88" t="s">
        <v>2314</v>
      </c>
      <c r="B1825" s="90"/>
      <c r="C1825" s="88" t="s">
        <v>2326</v>
      </c>
      <c r="D1825" s="90"/>
      <c r="E1825" s="106"/>
      <c r="F1825" s="107"/>
      <c r="G1825" s="107"/>
      <c r="H1825" s="107"/>
      <c r="I1825" s="108"/>
      <c r="J1825" s="88" t="s">
        <v>2179</v>
      </c>
      <c r="K1825" s="89"/>
      <c r="L1825" s="89"/>
      <c r="M1825" s="90"/>
      <c r="N1825" s="106"/>
      <c r="O1825" s="107"/>
      <c r="P1825" s="108"/>
      <c r="Q1825" s="133">
        <v>3000</v>
      </c>
      <c r="R1825" s="134"/>
      <c r="S1825" s="5" t="s">
        <v>1589</v>
      </c>
      <c r="T1825" s="6"/>
      <c r="U1825" s="6"/>
      <c r="V1825" s="5" t="s">
        <v>106</v>
      </c>
      <c r="W1825" s="12">
        <v>12247399</v>
      </c>
      <c r="X1825" s="6"/>
      <c r="Y1825" s="6"/>
    </row>
    <row r="1826" spans="1:25" ht="15" customHeight="1" x14ac:dyDescent="0.2">
      <c r="A1826" s="88" t="s">
        <v>2314</v>
      </c>
      <c r="B1826" s="90"/>
      <c r="C1826" s="88" t="s">
        <v>2327</v>
      </c>
      <c r="D1826" s="90"/>
      <c r="E1826" s="106"/>
      <c r="F1826" s="107"/>
      <c r="G1826" s="107"/>
      <c r="H1826" s="107"/>
      <c r="I1826" s="108"/>
      <c r="J1826" s="88" t="s">
        <v>2179</v>
      </c>
      <c r="K1826" s="89"/>
      <c r="L1826" s="89"/>
      <c r="M1826" s="90"/>
      <c r="N1826" s="106"/>
      <c r="O1826" s="107"/>
      <c r="P1826" s="108"/>
      <c r="Q1826" s="133">
        <v>3000</v>
      </c>
      <c r="R1826" s="134"/>
      <c r="S1826" s="5" t="s">
        <v>1589</v>
      </c>
      <c r="T1826" s="6"/>
      <c r="U1826" s="6"/>
      <c r="V1826" s="5" t="s">
        <v>106</v>
      </c>
      <c r="W1826" s="12">
        <v>12315219</v>
      </c>
      <c r="X1826" s="6"/>
      <c r="Y1826" s="6"/>
    </row>
    <row r="1827" spans="1:25" ht="15" customHeight="1" x14ac:dyDescent="0.2">
      <c r="A1827" s="88" t="s">
        <v>2314</v>
      </c>
      <c r="B1827" s="90"/>
      <c r="C1827" s="88" t="s">
        <v>2320</v>
      </c>
      <c r="D1827" s="90"/>
      <c r="E1827" s="106"/>
      <c r="F1827" s="107"/>
      <c r="G1827" s="107"/>
      <c r="H1827" s="107"/>
      <c r="I1827" s="108"/>
      <c r="J1827" s="88" t="s">
        <v>2319</v>
      </c>
      <c r="K1827" s="89"/>
      <c r="L1827" s="89"/>
      <c r="M1827" s="90"/>
      <c r="N1827" s="106"/>
      <c r="O1827" s="107"/>
      <c r="P1827" s="108"/>
      <c r="Q1827" s="133">
        <v>3000</v>
      </c>
      <c r="R1827" s="134"/>
      <c r="S1827" s="5" t="s">
        <v>1589</v>
      </c>
      <c r="T1827" s="6"/>
      <c r="U1827" s="6"/>
      <c r="V1827" s="5" t="s">
        <v>106</v>
      </c>
      <c r="W1827" s="12">
        <v>11174061</v>
      </c>
      <c r="X1827" s="6"/>
      <c r="Y1827" s="6"/>
    </row>
    <row r="1828" spans="1:25" ht="15" customHeight="1" x14ac:dyDescent="0.2">
      <c r="A1828" s="88" t="s">
        <v>2314</v>
      </c>
      <c r="B1828" s="90"/>
      <c r="C1828" s="88" t="s">
        <v>2321</v>
      </c>
      <c r="D1828" s="90"/>
      <c r="E1828" s="106"/>
      <c r="F1828" s="107"/>
      <c r="G1828" s="107"/>
      <c r="H1828" s="107"/>
      <c r="I1828" s="108"/>
      <c r="J1828" s="88" t="s">
        <v>2319</v>
      </c>
      <c r="K1828" s="89"/>
      <c r="L1828" s="89"/>
      <c r="M1828" s="90"/>
      <c r="N1828" s="106"/>
      <c r="O1828" s="107"/>
      <c r="P1828" s="108"/>
      <c r="Q1828" s="133">
        <v>3000</v>
      </c>
      <c r="R1828" s="134"/>
      <c r="S1828" s="5" t="s">
        <v>1589</v>
      </c>
      <c r="T1828" s="6"/>
      <c r="U1828" s="6"/>
      <c r="V1828" s="5" t="s">
        <v>106</v>
      </c>
      <c r="W1828" s="12">
        <v>11241882</v>
      </c>
      <c r="X1828" s="6"/>
      <c r="Y1828" s="6"/>
    </row>
    <row r="1829" spans="1:25" ht="15" customHeight="1" x14ac:dyDescent="0.2">
      <c r="A1829" s="88" t="s">
        <v>2314</v>
      </c>
      <c r="B1829" s="90"/>
      <c r="C1829" s="88" t="s">
        <v>2322</v>
      </c>
      <c r="D1829" s="90"/>
      <c r="E1829" s="106"/>
      <c r="F1829" s="107"/>
      <c r="G1829" s="107"/>
      <c r="H1829" s="107"/>
      <c r="I1829" s="108"/>
      <c r="J1829" s="88" t="s">
        <v>2319</v>
      </c>
      <c r="K1829" s="89"/>
      <c r="L1829" s="89"/>
      <c r="M1829" s="90"/>
      <c r="N1829" s="106"/>
      <c r="O1829" s="107"/>
      <c r="P1829" s="108"/>
      <c r="Q1829" s="133">
        <v>3000</v>
      </c>
      <c r="R1829" s="134"/>
      <c r="S1829" s="5" t="s">
        <v>1589</v>
      </c>
      <c r="T1829" s="6"/>
      <c r="U1829" s="6"/>
      <c r="V1829" s="5" t="s">
        <v>106</v>
      </c>
      <c r="W1829" s="12">
        <v>11309703</v>
      </c>
      <c r="X1829" s="6"/>
      <c r="Y1829" s="6"/>
    </row>
    <row r="1830" spans="1:25" ht="15" customHeight="1" x14ac:dyDescent="0.2">
      <c r="A1830" s="88" t="s">
        <v>2314</v>
      </c>
      <c r="B1830" s="90"/>
      <c r="C1830" s="88" t="s">
        <v>2323</v>
      </c>
      <c r="D1830" s="90"/>
      <c r="E1830" s="106"/>
      <c r="F1830" s="107"/>
      <c r="G1830" s="107"/>
      <c r="H1830" s="107"/>
      <c r="I1830" s="108"/>
      <c r="J1830" s="88" t="s">
        <v>2319</v>
      </c>
      <c r="K1830" s="89"/>
      <c r="L1830" s="89"/>
      <c r="M1830" s="90"/>
      <c r="N1830" s="106"/>
      <c r="O1830" s="107"/>
      <c r="P1830" s="108"/>
      <c r="Q1830" s="133">
        <v>3000</v>
      </c>
      <c r="R1830" s="134"/>
      <c r="S1830" s="5" t="s">
        <v>1589</v>
      </c>
      <c r="T1830" s="6"/>
      <c r="U1830" s="6"/>
      <c r="V1830" s="5" t="s">
        <v>106</v>
      </c>
      <c r="W1830" s="12">
        <v>11377524</v>
      </c>
      <c r="X1830" s="6"/>
      <c r="Y1830" s="6"/>
    </row>
    <row r="1831" spans="1:25" ht="15" customHeight="1" x14ac:dyDescent="0.2">
      <c r="A1831" s="88" t="s">
        <v>2314</v>
      </c>
      <c r="B1831" s="90"/>
      <c r="C1831" s="88" t="s">
        <v>2328</v>
      </c>
      <c r="D1831" s="90"/>
      <c r="E1831" s="106"/>
      <c r="F1831" s="107"/>
      <c r="G1831" s="107"/>
      <c r="H1831" s="107"/>
      <c r="I1831" s="108"/>
      <c r="J1831" s="88" t="s">
        <v>2319</v>
      </c>
      <c r="K1831" s="89"/>
      <c r="L1831" s="89"/>
      <c r="M1831" s="90"/>
      <c r="N1831" s="106"/>
      <c r="O1831" s="107"/>
      <c r="P1831" s="108"/>
      <c r="Q1831" s="133">
        <v>3000</v>
      </c>
      <c r="R1831" s="134"/>
      <c r="S1831" s="5" t="s">
        <v>1589</v>
      </c>
      <c r="T1831" s="6"/>
      <c r="U1831" s="6"/>
      <c r="V1831" s="5" t="s">
        <v>106</v>
      </c>
      <c r="W1831" s="12">
        <v>11587621</v>
      </c>
      <c r="X1831" s="6"/>
      <c r="Y1831" s="6"/>
    </row>
    <row r="1832" spans="1:25" ht="15" customHeight="1" x14ac:dyDescent="0.2">
      <c r="A1832" s="88" t="s">
        <v>2314</v>
      </c>
      <c r="B1832" s="90"/>
      <c r="C1832" s="88" t="s">
        <v>2329</v>
      </c>
      <c r="D1832" s="90"/>
      <c r="E1832" s="106"/>
      <c r="F1832" s="107"/>
      <c r="G1832" s="107"/>
      <c r="H1832" s="107"/>
      <c r="I1832" s="108"/>
      <c r="J1832" s="88" t="s">
        <v>2319</v>
      </c>
      <c r="K1832" s="89"/>
      <c r="L1832" s="89"/>
      <c r="M1832" s="90"/>
      <c r="N1832" s="106"/>
      <c r="O1832" s="107"/>
      <c r="P1832" s="108"/>
      <c r="Q1832" s="133">
        <v>3000</v>
      </c>
      <c r="R1832" s="134"/>
      <c r="S1832" s="5" t="s">
        <v>1589</v>
      </c>
      <c r="T1832" s="6"/>
      <c r="U1832" s="6"/>
      <c r="V1832" s="5" t="s">
        <v>106</v>
      </c>
      <c r="W1832" s="12">
        <v>11655441</v>
      </c>
      <c r="X1832" s="6"/>
      <c r="Y1832" s="6"/>
    </row>
    <row r="1833" spans="1:25" ht="15" customHeight="1" x14ac:dyDescent="0.2">
      <c r="A1833" s="88" t="s">
        <v>2314</v>
      </c>
      <c r="B1833" s="90"/>
      <c r="C1833" s="88" t="s">
        <v>2330</v>
      </c>
      <c r="D1833" s="90"/>
      <c r="E1833" s="106"/>
      <c r="F1833" s="107"/>
      <c r="G1833" s="107"/>
      <c r="H1833" s="107"/>
      <c r="I1833" s="108"/>
      <c r="J1833" s="88" t="s">
        <v>2319</v>
      </c>
      <c r="K1833" s="89"/>
      <c r="L1833" s="89"/>
      <c r="M1833" s="90"/>
      <c r="N1833" s="106"/>
      <c r="O1833" s="107"/>
      <c r="P1833" s="108"/>
      <c r="Q1833" s="133">
        <v>3000</v>
      </c>
      <c r="R1833" s="134"/>
      <c r="S1833" s="5" t="s">
        <v>1589</v>
      </c>
      <c r="T1833" s="6"/>
      <c r="U1833" s="6"/>
      <c r="V1833" s="5" t="s">
        <v>106</v>
      </c>
      <c r="W1833" s="12">
        <v>11723262</v>
      </c>
      <c r="X1833" s="6"/>
      <c r="Y1833" s="6"/>
    </row>
    <row r="1834" spans="1:25" ht="15" customHeight="1" x14ac:dyDescent="0.2">
      <c r="A1834" s="88" t="s">
        <v>2314</v>
      </c>
      <c r="B1834" s="90"/>
      <c r="C1834" s="88" t="s">
        <v>2331</v>
      </c>
      <c r="D1834" s="90"/>
      <c r="E1834" s="106"/>
      <c r="F1834" s="107"/>
      <c r="G1834" s="107"/>
      <c r="H1834" s="107"/>
      <c r="I1834" s="108"/>
      <c r="J1834" s="88" t="s">
        <v>2319</v>
      </c>
      <c r="K1834" s="89"/>
      <c r="L1834" s="89"/>
      <c r="M1834" s="90"/>
      <c r="N1834" s="106"/>
      <c r="O1834" s="107"/>
      <c r="P1834" s="108"/>
      <c r="Q1834" s="133">
        <v>3000</v>
      </c>
      <c r="R1834" s="134"/>
      <c r="S1834" s="5" t="s">
        <v>1589</v>
      </c>
      <c r="T1834" s="6"/>
      <c r="U1834" s="6"/>
      <c r="V1834" s="5" t="s">
        <v>106</v>
      </c>
      <c r="W1834" s="12">
        <v>11791083</v>
      </c>
      <c r="X1834" s="6"/>
      <c r="Y1834" s="6"/>
    </row>
    <row r="1835" spans="1:25" ht="15" customHeight="1" x14ac:dyDescent="0.2">
      <c r="A1835" s="88" t="s">
        <v>2314</v>
      </c>
      <c r="B1835" s="90"/>
      <c r="C1835" s="88" t="s">
        <v>2324</v>
      </c>
      <c r="D1835" s="90"/>
      <c r="E1835" s="106"/>
      <c r="F1835" s="107"/>
      <c r="G1835" s="107"/>
      <c r="H1835" s="107"/>
      <c r="I1835" s="108"/>
      <c r="J1835" s="88" t="s">
        <v>2319</v>
      </c>
      <c r="K1835" s="89"/>
      <c r="L1835" s="89"/>
      <c r="M1835" s="90"/>
      <c r="N1835" s="106"/>
      <c r="O1835" s="107"/>
      <c r="P1835" s="108"/>
      <c r="Q1835" s="133">
        <v>3000</v>
      </c>
      <c r="R1835" s="134"/>
      <c r="S1835" s="5" t="s">
        <v>1589</v>
      </c>
      <c r="T1835" s="6"/>
      <c r="U1835" s="6"/>
      <c r="V1835" s="5" t="s">
        <v>106</v>
      </c>
      <c r="W1835" s="12">
        <v>12784805</v>
      </c>
      <c r="X1835" s="6"/>
      <c r="Y1835" s="6"/>
    </row>
    <row r="1836" spans="1:25" ht="15" customHeight="1" x14ac:dyDescent="0.2">
      <c r="A1836" s="88" t="s">
        <v>2314</v>
      </c>
      <c r="B1836" s="90"/>
      <c r="C1836" s="88" t="s">
        <v>2325</v>
      </c>
      <c r="D1836" s="90"/>
      <c r="E1836" s="106"/>
      <c r="F1836" s="107"/>
      <c r="G1836" s="107"/>
      <c r="H1836" s="107"/>
      <c r="I1836" s="108"/>
      <c r="J1836" s="88" t="s">
        <v>2319</v>
      </c>
      <c r="K1836" s="89"/>
      <c r="L1836" s="89"/>
      <c r="M1836" s="90"/>
      <c r="N1836" s="106"/>
      <c r="O1836" s="107"/>
      <c r="P1836" s="108"/>
      <c r="Q1836" s="133">
        <v>3000</v>
      </c>
      <c r="R1836" s="134"/>
      <c r="S1836" s="5" t="s">
        <v>1589</v>
      </c>
      <c r="T1836" s="6"/>
      <c r="U1836" s="6"/>
      <c r="V1836" s="5" t="s">
        <v>106</v>
      </c>
      <c r="W1836" s="12">
        <v>12852625</v>
      </c>
      <c r="X1836" s="6"/>
      <c r="Y1836" s="6"/>
    </row>
    <row r="1837" spans="1:25" ht="15" customHeight="1" x14ac:dyDescent="0.2">
      <c r="A1837" s="88" t="s">
        <v>2314</v>
      </c>
      <c r="B1837" s="90"/>
      <c r="C1837" s="88" t="s">
        <v>2326</v>
      </c>
      <c r="D1837" s="90"/>
      <c r="E1837" s="106"/>
      <c r="F1837" s="107"/>
      <c r="G1837" s="107"/>
      <c r="H1837" s="107"/>
      <c r="I1837" s="108"/>
      <c r="J1837" s="88" t="s">
        <v>2319</v>
      </c>
      <c r="K1837" s="89"/>
      <c r="L1837" s="89"/>
      <c r="M1837" s="90"/>
      <c r="N1837" s="106"/>
      <c r="O1837" s="107"/>
      <c r="P1837" s="108"/>
      <c r="Q1837" s="133">
        <v>3000</v>
      </c>
      <c r="R1837" s="134"/>
      <c r="S1837" s="5" t="s">
        <v>1589</v>
      </c>
      <c r="T1837" s="6"/>
      <c r="U1837" s="6"/>
      <c r="V1837" s="5" t="s">
        <v>106</v>
      </c>
      <c r="W1837" s="12">
        <v>12920446</v>
      </c>
      <c r="X1837" s="6"/>
      <c r="Y1837" s="6"/>
    </row>
    <row r="1838" spans="1:25" ht="15" customHeight="1" x14ac:dyDescent="0.2">
      <c r="A1838" s="88" t="s">
        <v>2314</v>
      </c>
      <c r="B1838" s="90"/>
      <c r="C1838" s="88" t="s">
        <v>2327</v>
      </c>
      <c r="D1838" s="90"/>
      <c r="E1838" s="106"/>
      <c r="F1838" s="107"/>
      <c r="G1838" s="107"/>
      <c r="H1838" s="107"/>
      <c r="I1838" s="108"/>
      <c r="J1838" s="88" t="s">
        <v>2319</v>
      </c>
      <c r="K1838" s="89"/>
      <c r="L1838" s="89"/>
      <c r="M1838" s="90"/>
      <c r="N1838" s="106"/>
      <c r="O1838" s="107"/>
      <c r="P1838" s="108"/>
      <c r="Q1838" s="133">
        <v>3000</v>
      </c>
      <c r="R1838" s="134"/>
      <c r="S1838" s="5" t="s">
        <v>1589</v>
      </c>
      <c r="T1838" s="6"/>
      <c r="U1838" s="6"/>
      <c r="V1838" s="5" t="s">
        <v>106</v>
      </c>
      <c r="W1838" s="12">
        <v>12988267</v>
      </c>
      <c r="X1838" s="6"/>
      <c r="Y1838" s="6"/>
    </row>
    <row r="1839" spans="1:25" ht="15" customHeight="1" x14ac:dyDescent="0.2">
      <c r="A1839" s="88" t="s">
        <v>2314</v>
      </c>
      <c r="B1839" s="90"/>
      <c r="C1839" s="88" t="s">
        <v>2332</v>
      </c>
      <c r="D1839" s="90"/>
      <c r="E1839" s="106"/>
      <c r="F1839" s="107"/>
      <c r="G1839" s="107"/>
      <c r="H1839" s="107"/>
      <c r="I1839" s="108"/>
      <c r="J1839" s="88" t="s">
        <v>2319</v>
      </c>
      <c r="K1839" s="89"/>
      <c r="L1839" s="89"/>
      <c r="M1839" s="90"/>
      <c r="N1839" s="106"/>
      <c r="O1839" s="107"/>
      <c r="P1839" s="108"/>
      <c r="Q1839" s="133">
        <v>3000</v>
      </c>
      <c r="R1839" s="134"/>
      <c r="S1839" s="5" t="s">
        <v>1589</v>
      </c>
      <c r="T1839" s="6"/>
      <c r="U1839" s="6"/>
      <c r="V1839" s="5" t="s">
        <v>106</v>
      </c>
      <c r="W1839" s="12">
        <v>13266185</v>
      </c>
      <c r="X1839" s="6"/>
      <c r="Y1839" s="6"/>
    </row>
    <row r="1840" spans="1:25" ht="15" customHeight="1" x14ac:dyDescent="0.2">
      <c r="A1840" s="88" t="s">
        <v>2314</v>
      </c>
      <c r="B1840" s="90"/>
      <c r="C1840" s="88" t="s">
        <v>2333</v>
      </c>
      <c r="D1840" s="90"/>
      <c r="E1840" s="106"/>
      <c r="F1840" s="107"/>
      <c r="G1840" s="107"/>
      <c r="H1840" s="107"/>
      <c r="I1840" s="108"/>
      <c r="J1840" s="88" t="s">
        <v>2319</v>
      </c>
      <c r="K1840" s="89"/>
      <c r="L1840" s="89"/>
      <c r="M1840" s="90"/>
      <c r="N1840" s="106"/>
      <c r="O1840" s="107"/>
      <c r="P1840" s="108"/>
      <c r="Q1840" s="133">
        <v>3000</v>
      </c>
      <c r="R1840" s="134"/>
      <c r="S1840" s="5" t="s">
        <v>1589</v>
      </c>
      <c r="T1840" s="6"/>
      <c r="U1840" s="6"/>
      <c r="V1840" s="5" t="s">
        <v>106</v>
      </c>
      <c r="W1840" s="12">
        <v>13334005</v>
      </c>
      <c r="X1840" s="6"/>
      <c r="Y1840" s="6"/>
    </row>
    <row r="1841" spans="1:25" ht="15" customHeight="1" x14ac:dyDescent="0.2">
      <c r="A1841" s="88" t="s">
        <v>2314</v>
      </c>
      <c r="B1841" s="90"/>
      <c r="C1841" s="88" t="s">
        <v>2334</v>
      </c>
      <c r="D1841" s="90"/>
      <c r="E1841" s="106"/>
      <c r="F1841" s="107"/>
      <c r="G1841" s="107"/>
      <c r="H1841" s="107"/>
      <c r="I1841" s="108"/>
      <c r="J1841" s="88" t="s">
        <v>2319</v>
      </c>
      <c r="K1841" s="89"/>
      <c r="L1841" s="89"/>
      <c r="M1841" s="90"/>
      <c r="N1841" s="106"/>
      <c r="O1841" s="107"/>
      <c r="P1841" s="108"/>
      <c r="Q1841" s="133">
        <v>3000</v>
      </c>
      <c r="R1841" s="134"/>
      <c r="S1841" s="5" t="s">
        <v>1589</v>
      </c>
      <c r="T1841" s="6"/>
      <c r="U1841" s="6"/>
      <c r="V1841" s="5" t="s">
        <v>106</v>
      </c>
      <c r="W1841" s="12">
        <v>13401826</v>
      </c>
      <c r="X1841" s="6"/>
      <c r="Y1841" s="6"/>
    </row>
    <row r="1842" spans="1:25" ht="15" customHeight="1" x14ac:dyDescent="0.2">
      <c r="A1842" s="88" t="s">
        <v>2314</v>
      </c>
      <c r="B1842" s="90"/>
      <c r="C1842" s="88" t="s">
        <v>2320</v>
      </c>
      <c r="D1842" s="90"/>
      <c r="E1842" s="106"/>
      <c r="F1842" s="107"/>
      <c r="G1842" s="107"/>
      <c r="H1842" s="107"/>
      <c r="I1842" s="108"/>
      <c r="J1842" s="88" t="s">
        <v>2179</v>
      </c>
      <c r="K1842" s="89"/>
      <c r="L1842" s="89"/>
      <c r="M1842" s="90"/>
      <c r="N1842" s="106"/>
      <c r="O1842" s="107"/>
      <c r="P1842" s="108"/>
      <c r="Q1842" s="133">
        <v>3000</v>
      </c>
      <c r="R1842" s="134"/>
      <c r="S1842" s="5" t="s">
        <v>2181</v>
      </c>
      <c r="T1842" s="6"/>
      <c r="U1842" s="6"/>
      <c r="V1842" s="5" t="s">
        <v>106</v>
      </c>
      <c r="W1842" s="12">
        <v>8929750</v>
      </c>
      <c r="X1842" s="6"/>
      <c r="Y1842" s="6"/>
    </row>
    <row r="1843" spans="1:25" ht="15" customHeight="1" x14ac:dyDescent="0.2">
      <c r="A1843" s="88" t="s">
        <v>2314</v>
      </c>
      <c r="B1843" s="90"/>
      <c r="C1843" s="88" t="s">
        <v>2321</v>
      </c>
      <c r="D1843" s="90"/>
      <c r="E1843" s="106"/>
      <c r="F1843" s="107"/>
      <c r="G1843" s="107"/>
      <c r="H1843" s="107"/>
      <c r="I1843" s="108"/>
      <c r="J1843" s="88" t="s">
        <v>2179</v>
      </c>
      <c r="K1843" s="89"/>
      <c r="L1843" s="89"/>
      <c r="M1843" s="90"/>
      <c r="N1843" s="106"/>
      <c r="O1843" s="107"/>
      <c r="P1843" s="108"/>
      <c r="Q1843" s="133">
        <v>3000</v>
      </c>
      <c r="R1843" s="134"/>
      <c r="S1843" s="5" t="s">
        <v>2181</v>
      </c>
      <c r="T1843" s="6"/>
      <c r="U1843" s="6"/>
      <c r="V1843" s="5" t="s">
        <v>106</v>
      </c>
      <c r="W1843" s="12">
        <v>8992353</v>
      </c>
      <c r="X1843" s="6"/>
      <c r="Y1843" s="6"/>
    </row>
    <row r="1844" spans="1:25" ht="15" customHeight="1" x14ac:dyDescent="0.2">
      <c r="A1844" s="88" t="s">
        <v>2314</v>
      </c>
      <c r="B1844" s="90"/>
      <c r="C1844" s="88" t="s">
        <v>2322</v>
      </c>
      <c r="D1844" s="90"/>
      <c r="E1844" s="106"/>
      <c r="F1844" s="107"/>
      <c r="G1844" s="107"/>
      <c r="H1844" s="107"/>
      <c r="I1844" s="108"/>
      <c r="J1844" s="88" t="s">
        <v>2179</v>
      </c>
      <c r="K1844" s="89"/>
      <c r="L1844" s="89"/>
      <c r="M1844" s="90"/>
      <c r="N1844" s="106"/>
      <c r="O1844" s="107"/>
      <c r="P1844" s="108"/>
      <c r="Q1844" s="133">
        <v>3000</v>
      </c>
      <c r="R1844" s="134"/>
      <c r="S1844" s="5" t="s">
        <v>2181</v>
      </c>
      <c r="T1844" s="6"/>
      <c r="U1844" s="6"/>
      <c r="V1844" s="5" t="s">
        <v>106</v>
      </c>
      <c r="W1844" s="12">
        <v>9054957</v>
      </c>
      <c r="X1844" s="6"/>
      <c r="Y1844" s="6"/>
    </row>
    <row r="1845" spans="1:25" ht="15" customHeight="1" x14ac:dyDescent="0.2">
      <c r="A1845" s="88" t="s">
        <v>2314</v>
      </c>
      <c r="B1845" s="90"/>
      <c r="C1845" s="88" t="s">
        <v>2323</v>
      </c>
      <c r="D1845" s="90"/>
      <c r="E1845" s="106"/>
      <c r="F1845" s="107"/>
      <c r="G1845" s="107"/>
      <c r="H1845" s="107"/>
      <c r="I1845" s="108"/>
      <c r="J1845" s="88" t="s">
        <v>2179</v>
      </c>
      <c r="K1845" s="89"/>
      <c r="L1845" s="89"/>
      <c r="M1845" s="90"/>
      <c r="N1845" s="106"/>
      <c r="O1845" s="107"/>
      <c r="P1845" s="108"/>
      <c r="Q1845" s="133">
        <v>3000</v>
      </c>
      <c r="R1845" s="134"/>
      <c r="S1845" s="5" t="s">
        <v>2181</v>
      </c>
      <c r="T1845" s="6"/>
      <c r="U1845" s="6"/>
      <c r="V1845" s="5" t="s">
        <v>106</v>
      </c>
      <c r="W1845" s="12">
        <v>9117561</v>
      </c>
      <c r="X1845" s="6"/>
      <c r="Y1845" s="6"/>
    </row>
    <row r="1846" spans="1:25" ht="15" customHeight="1" x14ac:dyDescent="0.2">
      <c r="A1846" s="88" t="s">
        <v>2314</v>
      </c>
      <c r="B1846" s="90"/>
      <c r="C1846" s="88" t="s">
        <v>2335</v>
      </c>
      <c r="D1846" s="90"/>
      <c r="E1846" s="106"/>
      <c r="F1846" s="107"/>
      <c r="G1846" s="107"/>
      <c r="H1846" s="107"/>
      <c r="I1846" s="108"/>
      <c r="J1846" s="88" t="s">
        <v>2179</v>
      </c>
      <c r="K1846" s="89"/>
      <c r="L1846" s="89"/>
      <c r="M1846" s="90"/>
      <c r="N1846" s="106"/>
      <c r="O1846" s="107"/>
      <c r="P1846" s="108"/>
      <c r="Q1846" s="133">
        <v>3000</v>
      </c>
      <c r="R1846" s="134"/>
      <c r="S1846" s="5" t="s">
        <v>2181</v>
      </c>
      <c r="T1846" s="6"/>
      <c r="U1846" s="6"/>
      <c r="V1846" s="5" t="s">
        <v>106</v>
      </c>
      <c r="W1846" s="12">
        <v>9180165</v>
      </c>
      <c r="X1846" s="6"/>
      <c r="Y1846" s="6"/>
    </row>
    <row r="1847" spans="1:25" ht="15" customHeight="1" x14ac:dyDescent="0.2">
      <c r="A1847" s="88" t="s">
        <v>2314</v>
      </c>
      <c r="B1847" s="90"/>
      <c r="C1847" s="88" t="s">
        <v>2324</v>
      </c>
      <c r="D1847" s="90"/>
      <c r="E1847" s="106"/>
      <c r="F1847" s="107"/>
      <c r="G1847" s="107"/>
      <c r="H1847" s="107"/>
      <c r="I1847" s="108"/>
      <c r="J1847" s="88" t="s">
        <v>2179</v>
      </c>
      <c r="K1847" s="89"/>
      <c r="L1847" s="89"/>
      <c r="M1847" s="90"/>
      <c r="N1847" s="106"/>
      <c r="O1847" s="107"/>
      <c r="P1847" s="108"/>
      <c r="Q1847" s="133">
        <v>3000</v>
      </c>
      <c r="R1847" s="134"/>
      <c r="S1847" s="5" t="s">
        <v>2181</v>
      </c>
      <c r="T1847" s="6"/>
      <c r="U1847" s="6"/>
      <c r="V1847" s="5" t="s">
        <v>106</v>
      </c>
      <c r="W1847" s="12">
        <v>10416590</v>
      </c>
      <c r="X1847" s="6"/>
      <c r="Y1847" s="6"/>
    </row>
    <row r="1848" spans="1:25" ht="15" customHeight="1" x14ac:dyDescent="0.2">
      <c r="A1848" s="88" t="s">
        <v>2314</v>
      </c>
      <c r="B1848" s="90"/>
      <c r="C1848" s="88" t="s">
        <v>2325</v>
      </c>
      <c r="D1848" s="90"/>
      <c r="E1848" s="106"/>
      <c r="F1848" s="107"/>
      <c r="G1848" s="107"/>
      <c r="H1848" s="107"/>
      <c r="I1848" s="108"/>
      <c r="J1848" s="88" t="s">
        <v>2179</v>
      </c>
      <c r="K1848" s="89"/>
      <c r="L1848" s="89"/>
      <c r="M1848" s="90"/>
      <c r="N1848" s="106"/>
      <c r="O1848" s="107"/>
      <c r="P1848" s="108"/>
      <c r="Q1848" s="133">
        <v>3000</v>
      </c>
      <c r="R1848" s="134"/>
      <c r="S1848" s="5" t="s">
        <v>2181</v>
      </c>
      <c r="T1848" s="6"/>
      <c r="U1848" s="6"/>
      <c r="V1848" s="5" t="s">
        <v>106</v>
      </c>
      <c r="W1848" s="12">
        <v>10479193</v>
      </c>
      <c r="X1848" s="6"/>
      <c r="Y1848" s="6"/>
    </row>
    <row r="1849" spans="1:25" ht="15" customHeight="1" x14ac:dyDescent="0.2">
      <c r="A1849" s="88" t="s">
        <v>2314</v>
      </c>
      <c r="B1849" s="90"/>
      <c r="C1849" s="88" t="s">
        <v>2326</v>
      </c>
      <c r="D1849" s="90"/>
      <c r="E1849" s="106"/>
      <c r="F1849" s="107"/>
      <c r="G1849" s="107"/>
      <c r="H1849" s="107"/>
      <c r="I1849" s="108"/>
      <c r="J1849" s="88" t="s">
        <v>2179</v>
      </c>
      <c r="K1849" s="89"/>
      <c r="L1849" s="89"/>
      <c r="M1849" s="90"/>
      <c r="N1849" s="106"/>
      <c r="O1849" s="107"/>
      <c r="P1849" s="108"/>
      <c r="Q1849" s="133">
        <v>3000</v>
      </c>
      <c r="R1849" s="134"/>
      <c r="S1849" s="5" t="s">
        <v>2181</v>
      </c>
      <c r="T1849" s="6"/>
      <c r="U1849" s="6"/>
      <c r="V1849" s="5" t="s">
        <v>106</v>
      </c>
      <c r="W1849" s="12">
        <v>10541797</v>
      </c>
      <c r="X1849" s="6"/>
      <c r="Y1849" s="6"/>
    </row>
    <row r="1850" spans="1:25" ht="15" customHeight="1" x14ac:dyDescent="0.2">
      <c r="A1850" s="88" t="s">
        <v>2314</v>
      </c>
      <c r="B1850" s="90"/>
      <c r="C1850" s="88" t="s">
        <v>2327</v>
      </c>
      <c r="D1850" s="90"/>
      <c r="E1850" s="106"/>
      <c r="F1850" s="107"/>
      <c r="G1850" s="107"/>
      <c r="H1850" s="107"/>
      <c r="I1850" s="108"/>
      <c r="J1850" s="88" t="s">
        <v>2179</v>
      </c>
      <c r="K1850" s="89"/>
      <c r="L1850" s="89"/>
      <c r="M1850" s="90"/>
      <c r="N1850" s="106"/>
      <c r="O1850" s="107"/>
      <c r="P1850" s="108"/>
      <c r="Q1850" s="133">
        <v>3000</v>
      </c>
      <c r="R1850" s="134"/>
      <c r="S1850" s="5" t="s">
        <v>2181</v>
      </c>
      <c r="T1850" s="6"/>
      <c r="U1850" s="6"/>
      <c r="V1850" s="5" t="s">
        <v>106</v>
      </c>
      <c r="W1850" s="12">
        <v>10604401</v>
      </c>
      <c r="X1850" s="6"/>
      <c r="Y1850" s="6"/>
    </row>
    <row r="1851" spans="1:25" ht="15" customHeight="1" x14ac:dyDescent="0.2">
      <c r="A1851" s="88" t="s">
        <v>2314</v>
      </c>
      <c r="B1851" s="90"/>
      <c r="C1851" s="88" t="s">
        <v>2336</v>
      </c>
      <c r="D1851" s="90"/>
      <c r="E1851" s="106"/>
      <c r="F1851" s="107"/>
      <c r="G1851" s="107"/>
      <c r="H1851" s="107"/>
      <c r="I1851" s="108"/>
      <c r="J1851" s="88" t="s">
        <v>2319</v>
      </c>
      <c r="K1851" s="89"/>
      <c r="L1851" s="89"/>
      <c r="M1851" s="90"/>
      <c r="N1851" s="106"/>
      <c r="O1851" s="107"/>
      <c r="P1851" s="108"/>
      <c r="Q1851" s="133">
        <v>3000</v>
      </c>
      <c r="R1851" s="134"/>
      <c r="S1851" s="5" t="s">
        <v>2181</v>
      </c>
      <c r="T1851" s="6"/>
      <c r="U1851" s="6"/>
      <c r="V1851" s="5" t="s">
        <v>106</v>
      </c>
      <c r="W1851" s="12">
        <v>7988788</v>
      </c>
      <c r="X1851" s="6"/>
      <c r="Y1851" s="6"/>
    </row>
    <row r="1852" spans="1:25" ht="15" customHeight="1" x14ac:dyDescent="0.2">
      <c r="A1852" s="88" t="s">
        <v>2314</v>
      </c>
      <c r="B1852" s="90"/>
      <c r="C1852" s="88" t="s">
        <v>2337</v>
      </c>
      <c r="D1852" s="90"/>
      <c r="E1852" s="106"/>
      <c r="F1852" s="107"/>
      <c r="G1852" s="107"/>
      <c r="H1852" s="107"/>
      <c r="I1852" s="108"/>
      <c r="J1852" s="88" t="s">
        <v>2319</v>
      </c>
      <c r="K1852" s="89"/>
      <c r="L1852" s="89"/>
      <c r="M1852" s="90"/>
      <c r="N1852" s="106"/>
      <c r="O1852" s="107"/>
      <c r="P1852" s="108"/>
      <c r="Q1852" s="133">
        <v>3000</v>
      </c>
      <c r="R1852" s="134"/>
      <c r="S1852" s="5" t="s">
        <v>2181</v>
      </c>
      <c r="T1852" s="6"/>
      <c r="U1852" s="6"/>
      <c r="V1852" s="5" t="s">
        <v>106</v>
      </c>
      <c r="W1852" s="12">
        <v>8124883</v>
      </c>
      <c r="X1852" s="6"/>
      <c r="Y1852" s="6"/>
    </row>
    <row r="1853" spans="1:25" ht="15" customHeight="1" x14ac:dyDescent="0.2">
      <c r="A1853" s="88" t="s">
        <v>2314</v>
      </c>
      <c r="B1853" s="90"/>
      <c r="C1853" s="88" t="s">
        <v>2320</v>
      </c>
      <c r="D1853" s="90"/>
      <c r="E1853" s="106"/>
      <c r="F1853" s="107"/>
      <c r="G1853" s="107"/>
      <c r="H1853" s="107"/>
      <c r="I1853" s="108"/>
      <c r="J1853" s="88" t="s">
        <v>2319</v>
      </c>
      <c r="K1853" s="89"/>
      <c r="L1853" s="89"/>
      <c r="M1853" s="90"/>
      <c r="N1853" s="106"/>
      <c r="O1853" s="107"/>
      <c r="P1853" s="108"/>
      <c r="Q1853" s="133">
        <v>3000</v>
      </c>
      <c r="R1853" s="134"/>
      <c r="S1853" s="5" t="s">
        <v>2181</v>
      </c>
      <c r="T1853" s="6"/>
      <c r="U1853" s="6"/>
      <c r="V1853" s="5" t="s">
        <v>106</v>
      </c>
      <c r="W1853" s="12">
        <v>9624516</v>
      </c>
      <c r="X1853" s="6"/>
      <c r="Y1853" s="6"/>
    </row>
    <row r="1854" spans="1:25" ht="15" customHeight="1" x14ac:dyDescent="0.2">
      <c r="A1854" s="88" t="s">
        <v>2314</v>
      </c>
      <c r="B1854" s="90"/>
      <c r="C1854" s="88" t="s">
        <v>2321</v>
      </c>
      <c r="D1854" s="90"/>
      <c r="E1854" s="106"/>
      <c r="F1854" s="107"/>
      <c r="G1854" s="107"/>
      <c r="H1854" s="107"/>
      <c r="I1854" s="108"/>
      <c r="J1854" s="88" t="s">
        <v>2319</v>
      </c>
      <c r="K1854" s="89"/>
      <c r="L1854" s="89"/>
      <c r="M1854" s="90"/>
      <c r="N1854" s="106"/>
      <c r="O1854" s="107"/>
      <c r="P1854" s="108"/>
      <c r="Q1854" s="133">
        <v>3000</v>
      </c>
      <c r="R1854" s="134"/>
      <c r="S1854" s="5" t="s">
        <v>2181</v>
      </c>
      <c r="T1854" s="6"/>
      <c r="U1854" s="6"/>
      <c r="V1854" s="5" t="s">
        <v>106</v>
      </c>
      <c r="W1854" s="12">
        <v>9613628</v>
      </c>
      <c r="X1854" s="6"/>
      <c r="Y1854" s="6"/>
    </row>
    <row r="1855" spans="1:25" ht="15" customHeight="1" x14ac:dyDescent="0.2">
      <c r="A1855" s="88" t="s">
        <v>2314</v>
      </c>
      <c r="B1855" s="90"/>
      <c r="C1855" s="88" t="s">
        <v>2322</v>
      </c>
      <c r="D1855" s="90"/>
      <c r="E1855" s="106"/>
      <c r="F1855" s="107"/>
      <c r="G1855" s="107"/>
      <c r="H1855" s="107"/>
      <c r="I1855" s="108"/>
      <c r="J1855" s="88" t="s">
        <v>2319</v>
      </c>
      <c r="K1855" s="89"/>
      <c r="L1855" s="89"/>
      <c r="M1855" s="90"/>
      <c r="N1855" s="106"/>
      <c r="O1855" s="107"/>
      <c r="P1855" s="108"/>
      <c r="Q1855" s="133">
        <v>3000</v>
      </c>
      <c r="R1855" s="134"/>
      <c r="S1855" s="5" t="s">
        <v>2181</v>
      </c>
      <c r="T1855" s="6"/>
      <c r="U1855" s="6"/>
      <c r="V1855" s="5" t="s">
        <v>106</v>
      </c>
      <c r="W1855" s="12">
        <v>9676232</v>
      </c>
      <c r="X1855" s="6"/>
      <c r="Y1855" s="6"/>
    </row>
    <row r="1856" spans="1:25" ht="15" customHeight="1" x14ac:dyDescent="0.2">
      <c r="A1856" s="88" t="s">
        <v>2314</v>
      </c>
      <c r="B1856" s="90"/>
      <c r="C1856" s="88" t="s">
        <v>2323</v>
      </c>
      <c r="D1856" s="90"/>
      <c r="E1856" s="106"/>
      <c r="F1856" s="107"/>
      <c r="G1856" s="107"/>
      <c r="H1856" s="107"/>
      <c r="I1856" s="108"/>
      <c r="J1856" s="88" t="s">
        <v>2319</v>
      </c>
      <c r="K1856" s="89"/>
      <c r="L1856" s="89"/>
      <c r="M1856" s="90"/>
      <c r="N1856" s="106"/>
      <c r="O1856" s="107"/>
      <c r="P1856" s="108"/>
      <c r="Q1856" s="133">
        <v>3000</v>
      </c>
      <c r="R1856" s="134"/>
      <c r="S1856" s="5" t="s">
        <v>2181</v>
      </c>
      <c r="T1856" s="6"/>
      <c r="U1856" s="6"/>
      <c r="V1856" s="5" t="s">
        <v>106</v>
      </c>
      <c r="W1856" s="12">
        <v>9738836</v>
      </c>
      <c r="X1856" s="6"/>
      <c r="Y1856" s="6"/>
    </row>
    <row r="1857" spans="1:25" ht="15" customHeight="1" x14ac:dyDescent="0.2">
      <c r="A1857" s="88" t="s">
        <v>2314</v>
      </c>
      <c r="B1857" s="90"/>
      <c r="C1857" s="88" t="s">
        <v>2335</v>
      </c>
      <c r="D1857" s="90"/>
      <c r="E1857" s="106"/>
      <c r="F1857" s="107"/>
      <c r="G1857" s="107"/>
      <c r="H1857" s="107"/>
      <c r="I1857" s="108"/>
      <c r="J1857" s="88" t="s">
        <v>2319</v>
      </c>
      <c r="K1857" s="89"/>
      <c r="L1857" s="89"/>
      <c r="M1857" s="90"/>
      <c r="N1857" s="106"/>
      <c r="O1857" s="107"/>
      <c r="P1857" s="108"/>
      <c r="Q1857" s="133">
        <v>3000</v>
      </c>
      <c r="R1857" s="134"/>
      <c r="S1857" s="5" t="s">
        <v>2181</v>
      </c>
      <c r="T1857" s="6"/>
      <c r="U1857" s="6"/>
      <c r="V1857" s="5" t="s">
        <v>106</v>
      </c>
      <c r="W1857" s="12">
        <v>9801439</v>
      </c>
      <c r="X1857" s="6"/>
      <c r="Y1857" s="6"/>
    </row>
    <row r="1858" spans="1:25" ht="15" customHeight="1" x14ac:dyDescent="0.2">
      <c r="A1858" s="88" t="s">
        <v>2314</v>
      </c>
      <c r="B1858" s="90"/>
      <c r="C1858" s="88" t="s">
        <v>2328</v>
      </c>
      <c r="D1858" s="90"/>
      <c r="E1858" s="106"/>
      <c r="F1858" s="107"/>
      <c r="G1858" s="107"/>
      <c r="H1858" s="107"/>
      <c r="I1858" s="108"/>
      <c r="J1858" s="88" t="s">
        <v>2319</v>
      </c>
      <c r="K1858" s="89"/>
      <c r="L1858" s="89"/>
      <c r="M1858" s="90"/>
      <c r="N1858" s="106"/>
      <c r="O1858" s="107"/>
      <c r="P1858" s="108"/>
      <c r="Q1858" s="133">
        <v>3000</v>
      </c>
      <c r="R1858" s="134"/>
      <c r="S1858" s="5" t="s">
        <v>2181</v>
      </c>
      <c r="T1858" s="6"/>
      <c r="U1858" s="6"/>
      <c r="V1858" s="5" t="s">
        <v>106</v>
      </c>
      <c r="W1858" s="12">
        <v>10006263</v>
      </c>
      <c r="X1858" s="6"/>
      <c r="Y1858" s="6"/>
    </row>
    <row r="1859" spans="1:25" ht="15" customHeight="1" x14ac:dyDescent="0.2">
      <c r="A1859" s="88" t="s">
        <v>2314</v>
      </c>
      <c r="B1859" s="90"/>
      <c r="C1859" s="88" t="s">
        <v>2329</v>
      </c>
      <c r="D1859" s="90"/>
      <c r="E1859" s="106"/>
      <c r="F1859" s="107"/>
      <c r="G1859" s="107"/>
      <c r="H1859" s="107"/>
      <c r="I1859" s="108"/>
      <c r="J1859" s="88" t="s">
        <v>2319</v>
      </c>
      <c r="K1859" s="89"/>
      <c r="L1859" s="89"/>
      <c r="M1859" s="90"/>
      <c r="N1859" s="106"/>
      <c r="O1859" s="107"/>
      <c r="P1859" s="108"/>
      <c r="Q1859" s="133">
        <v>3000</v>
      </c>
      <c r="R1859" s="134"/>
      <c r="S1859" s="5" t="s">
        <v>2181</v>
      </c>
      <c r="T1859" s="6"/>
      <c r="U1859" s="6"/>
      <c r="V1859" s="5" t="s">
        <v>106</v>
      </c>
      <c r="W1859" s="12">
        <v>9995375</v>
      </c>
      <c r="X1859" s="6"/>
      <c r="Y1859" s="6"/>
    </row>
    <row r="1860" spans="1:25" ht="15" customHeight="1" x14ac:dyDescent="0.2">
      <c r="A1860" s="88" t="s">
        <v>2314</v>
      </c>
      <c r="B1860" s="90"/>
      <c r="C1860" s="88" t="s">
        <v>2330</v>
      </c>
      <c r="D1860" s="90"/>
      <c r="E1860" s="106"/>
      <c r="F1860" s="107"/>
      <c r="G1860" s="107"/>
      <c r="H1860" s="107"/>
      <c r="I1860" s="108"/>
      <c r="J1860" s="88" t="s">
        <v>2319</v>
      </c>
      <c r="K1860" s="89"/>
      <c r="L1860" s="89"/>
      <c r="M1860" s="90"/>
      <c r="N1860" s="106"/>
      <c r="O1860" s="107"/>
      <c r="P1860" s="108"/>
      <c r="Q1860" s="133">
        <v>3000</v>
      </c>
      <c r="R1860" s="134"/>
      <c r="S1860" s="5" t="s">
        <v>2181</v>
      </c>
      <c r="T1860" s="6"/>
      <c r="U1860" s="6"/>
      <c r="V1860" s="5" t="s">
        <v>106</v>
      </c>
      <c r="W1860" s="12">
        <v>10057979</v>
      </c>
      <c r="X1860" s="6"/>
      <c r="Y1860" s="6"/>
    </row>
    <row r="1861" spans="1:25" ht="15" customHeight="1" x14ac:dyDescent="0.2">
      <c r="A1861" s="88" t="s">
        <v>2314</v>
      </c>
      <c r="B1861" s="90"/>
      <c r="C1861" s="88" t="s">
        <v>2331</v>
      </c>
      <c r="D1861" s="90"/>
      <c r="E1861" s="106"/>
      <c r="F1861" s="107"/>
      <c r="G1861" s="107"/>
      <c r="H1861" s="107"/>
      <c r="I1861" s="108"/>
      <c r="J1861" s="88" t="s">
        <v>2319</v>
      </c>
      <c r="K1861" s="89"/>
      <c r="L1861" s="89"/>
      <c r="M1861" s="90"/>
      <c r="N1861" s="106"/>
      <c r="O1861" s="107"/>
      <c r="P1861" s="108"/>
      <c r="Q1861" s="133">
        <v>3000</v>
      </c>
      <c r="R1861" s="134"/>
      <c r="S1861" s="5" t="s">
        <v>2181</v>
      </c>
      <c r="T1861" s="6"/>
      <c r="U1861" s="6"/>
      <c r="V1861" s="5" t="s">
        <v>106</v>
      </c>
      <c r="W1861" s="12">
        <v>10120583</v>
      </c>
      <c r="X1861" s="6"/>
      <c r="Y1861" s="6"/>
    </row>
    <row r="1862" spans="1:25" ht="15" customHeight="1" x14ac:dyDescent="0.2">
      <c r="A1862" s="88" t="s">
        <v>2314</v>
      </c>
      <c r="B1862" s="90"/>
      <c r="C1862" s="88" t="s">
        <v>2338</v>
      </c>
      <c r="D1862" s="90"/>
      <c r="E1862" s="106"/>
      <c r="F1862" s="107"/>
      <c r="G1862" s="107"/>
      <c r="H1862" s="107"/>
      <c r="I1862" s="108"/>
      <c r="J1862" s="88" t="s">
        <v>2319</v>
      </c>
      <c r="K1862" s="89"/>
      <c r="L1862" s="89"/>
      <c r="M1862" s="90"/>
      <c r="N1862" s="106"/>
      <c r="O1862" s="107"/>
      <c r="P1862" s="108"/>
      <c r="Q1862" s="133">
        <v>3000</v>
      </c>
      <c r="R1862" s="134"/>
      <c r="S1862" s="5" t="s">
        <v>2181</v>
      </c>
      <c r="T1862" s="6"/>
      <c r="U1862" s="6"/>
      <c r="V1862" s="5" t="s">
        <v>106</v>
      </c>
      <c r="W1862" s="12">
        <v>10183186</v>
      </c>
      <c r="X1862" s="6"/>
      <c r="Y1862" s="6"/>
    </row>
    <row r="1863" spans="1:25" ht="15" customHeight="1" x14ac:dyDescent="0.2">
      <c r="A1863" s="88" t="s">
        <v>2314</v>
      </c>
      <c r="B1863" s="90"/>
      <c r="C1863" s="88" t="s">
        <v>2324</v>
      </c>
      <c r="D1863" s="90"/>
      <c r="E1863" s="106"/>
      <c r="F1863" s="107"/>
      <c r="G1863" s="107"/>
      <c r="H1863" s="107"/>
      <c r="I1863" s="108"/>
      <c r="J1863" s="88" t="s">
        <v>2319</v>
      </c>
      <c r="K1863" s="89"/>
      <c r="L1863" s="89"/>
      <c r="M1863" s="90"/>
      <c r="N1863" s="106"/>
      <c r="O1863" s="107"/>
      <c r="P1863" s="108"/>
      <c r="Q1863" s="133">
        <v>3000</v>
      </c>
      <c r="R1863" s="134"/>
      <c r="S1863" s="5" t="s">
        <v>2181</v>
      </c>
      <c r="T1863" s="6"/>
      <c r="U1863" s="6"/>
      <c r="V1863" s="5" t="s">
        <v>106</v>
      </c>
      <c r="W1863" s="12">
        <v>11037864</v>
      </c>
      <c r="X1863" s="6"/>
      <c r="Y1863" s="6"/>
    </row>
    <row r="1864" spans="1:25" ht="15" customHeight="1" x14ac:dyDescent="0.2">
      <c r="A1864" s="88" t="s">
        <v>2314</v>
      </c>
      <c r="B1864" s="90"/>
      <c r="C1864" s="88" t="s">
        <v>2325</v>
      </c>
      <c r="D1864" s="90"/>
      <c r="E1864" s="106"/>
      <c r="F1864" s="107"/>
      <c r="G1864" s="107"/>
      <c r="H1864" s="107"/>
      <c r="I1864" s="108"/>
      <c r="J1864" s="88" t="s">
        <v>2319</v>
      </c>
      <c r="K1864" s="89"/>
      <c r="L1864" s="89"/>
      <c r="M1864" s="90"/>
      <c r="N1864" s="106"/>
      <c r="O1864" s="107"/>
      <c r="P1864" s="108"/>
      <c r="Q1864" s="133">
        <v>3000</v>
      </c>
      <c r="R1864" s="134"/>
      <c r="S1864" s="5" t="s">
        <v>2181</v>
      </c>
      <c r="T1864" s="6"/>
      <c r="U1864" s="6"/>
      <c r="V1864" s="5" t="s">
        <v>106</v>
      </c>
      <c r="W1864" s="12">
        <v>11100468</v>
      </c>
      <c r="X1864" s="6"/>
      <c r="Y1864" s="6"/>
    </row>
    <row r="1865" spans="1:25" ht="15" customHeight="1" x14ac:dyDescent="0.2">
      <c r="A1865" s="88" t="s">
        <v>2314</v>
      </c>
      <c r="B1865" s="90"/>
      <c r="C1865" s="88" t="s">
        <v>2326</v>
      </c>
      <c r="D1865" s="90"/>
      <c r="E1865" s="106"/>
      <c r="F1865" s="107"/>
      <c r="G1865" s="107"/>
      <c r="H1865" s="107"/>
      <c r="I1865" s="108"/>
      <c r="J1865" s="88" t="s">
        <v>2319</v>
      </c>
      <c r="K1865" s="89"/>
      <c r="L1865" s="89"/>
      <c r="M1865" s="90"/>
      <c r="N1865" s="106"/>
      <c r="O1865" s="107"/>
      <c r="P1865" s="108"/>
      <c r="Q1865" s="133">
        <v>3000</v>
      </c>
      <c r="R1865" s="134"/>
      <c r="S1865" s="5" t="s">
        <v>2181</v>
      </c>
      <c r="T1865" s="6"/>
      <c r="U1865" s="6"/>
      <c r="V1865" s="5" t="s">
        <v>106</v>
      </c>
      <c r="W1865" s="12">
        <v>11163072</v>
      </c>
      <c r="X1865" s="6"/>
      <c r="Y1865" s="6"/>
    </row>
    <row r="1866" spans="1:25" ht="15" customHeight="1" x14ac:dyDescent="0.2">
      <c r="A1866" s="88" t="s">
        <v>2314</v>
      </c>
      <c r="B1866" s="90"/>
      <c r="C1866" s="88" t="s">
        <v>2327</v>
      </c>
      <c r="D1866" s="90"/>
      <c r="E1866" s="106"/>
      <c r="F1866" s="107"/>
      <c r="G1866" s="107"/>
      <c r="H1866" s="107"/>
      <c r="I1866" s="108"/>
      <c r="J1866" s="88" t="s">
        <v>2319</v>
      </c>
      <c r="K1866" s="89"/>
      <c r="L1866" s="89"/>
      <c r="M1866" s="90"/>
      <c r="N1866" s="106"/>
      <c r="O1866" s="107"/>
      <c r="P1866" s="108"/>
      <c r="Q1866" s="133">
        <v>3000</v>
      </c>
      <c r="R1866" s="134"/>
      <c r="S1866" s="5" t="s">
        <v>2181</v>
      </c>
      <c r="T1866" s="6"/>
      <c r="U1866" s="6"/>
      <c r="V1866" s="5" t="s">
        <v>106</v>
      </c>
      <c r="W1866" s="12">
        <v>11225675</v>
      </c>
      <c r="X1866" s="6"/>
      <c r="Y1866" s="6"/>
    </row>
    <row r="1867" spans="1:25" ht="15" customHeight="1" x14ac:dyDescent="0.2">
      <c r="A1867" s="88" t="s">
        <v>2314</v>
      </c>
      <c r="B1867" s="90"/>
      <c r="C1867" s="88" t="s">
        <v>2339</v>
      </c>
      <c r="D1867" s="90"/>
      <c r="E1867" s="106"/>
      <c r="F1867" s="107"/>
      <c r="G1867" s="107"/>
      <c r="H1867" s="107"/>
      <c r="I1867" s="108"/>
      <c r="J1867" s="88" t="s">
        <v>2319</v>
      </c>
      <c r="K1867" s="89"/>
      <c r="L1867" s="89"/>
      <c r="M1867" s="90"/>
      <c r="N1867" s="106"/>
      <c r="O1867" s="107"/>
      <c r="P1867" s="108"/>
      <c r="Q1867" s="133">
        <v>3000</v>
      </c>
      <c r="R1867" s="134"/>
      <c r="S1867" s="5" t="s">
        <v>2181</v>
      </c>
      <c r="T1867" s="6"/>
      <c r="U1867" s="6"/>
      <c r="V1867" s="5" t="s">
        <v>106</v>
      </c>
      <c r="W1867" s="12">
        <v>11419611</v>
      </c>
      <c r="X1867" s="6"/>
      <c r="Y1867" s="6"/>
    </row>
    <row r="1868" spans="1:25" ht="15" customHeight="1" x14ac:dyDescent="0.2">
      <c r="A1868" s="88" t="s">
        <v>2314</v>
      </c>
      <c r="B1868" s="90"/>
      <c r="C1868" s="88" t="s">
        <v>2332</v>
      </c>
      <c r="D1868" s="90"/>
      <c r="E1868" s="106"/>
      <c r="F1868" s="107"/>
      <c r="G1868" s="107"/>
      <c r="H1868" s="107"/>
      <c r="I1868" s="108"/>
      <c r="J1868" s="88" t="s">
        <v>2319</v>
      </c>
      <c r="K1868" s="89"/>
      <c r="L1868" s="89"/>
      <c r="M1868" s="90"/>
      <c r="N1868" s="106"/>
      <c r="O1868" s="107"/>
      <c r="P1868" s="108"/>
      <c r="Q1868" s="133">
        <v>3000</v>
      </c>
      <c r="R1868" s="134"/>
      <c r="S1868" s="5" t="s">
        <v>2181</v>
      </c>
      <c r="T1868" s="6"/>
      <c r="U1868" s="6"/>
      <c r="V1868" s="5" t="s">
        <v>106</v>
      </c>
      <c r="W1868" s="12">
        <v>11482215</v>
      </c>
      <c r="X1868" s="6"/>
      <c r="Y1868" s="6"/>
    </row>
    <row r="1869" spans="1:25" ht="15" customHeight="1" x14ac:dyDescent="0.2">
      <c r="A1869" s="88" t="s">
        <v>2314</v>
      </c>
      <c r="B1869" s="90"/>
      <c r="C1869" s="88" t="s">
        <v>2333</v>
      </c>
      <c r="D1869" s="90"/>
      <c r="E1869" s="106"/>
      <c r="F1869" s="107"/>
      <c r="G1869" s="107"/>
      <c r="H1869" s="107"/>
      <c r="I1869" s="108"/>
      <c r="J1869" s="88" t="s">
        <v>2319</v>
      </c>
      <c r="K1869" s="89"/>
      <c r="L1869" s="89"/>
      <c r="M1869" s="90"/>
      <c r="N1869" s="106"/>
      <c r="O1869" s="107"/>
      <c r="P1869" s="108"/>
      <c r="Q1869" s="133">
        <v>3000</v>
      </c>
      <c r="R1869" s="134"/>
      <c r="S1869" s="5" t="s">
        <v>2181</v>
      </c>
      <c r="T1869" s="6"/>
      <c r="U1869" s="6"/>
      <c r="V1869" s="5" t="s">
        <v>106</v>
      </c>
      <c r="W1869" s="12">
        <v>11544819</v>
      </c>
      <c r="X1869" s="6"/>
      <c r="Y1869" s="6"/>
    </row>
    <row r="1870" spans="1:25" ht="15" customHeight="1" x14ac:dyDescent="0.2">
      <c r="A1870" s="88" t="s">
        <v>2314</v>
      </c>
      <c r="B1870" s="90"/>
      <c r="C1870" s="88" t="s">
        <v>2334</v>
      </c>
      <c r="D1870" s="90"/>
      <c r="E1870" s="106"/>
      <c r="F1870" s="107"/>
      <c r="G1870" s="107"/>
      <c r="H1870" s="107"/>
      <c r="I1870" s="108"/>
      <c r="J1870" s="88" t="s">
        <v>2319</v>
      </c>
      <c r="K1870" s="89"/>
      <c r="L1870" s="89"/>
      <c r="M1870" s="90"/>
      <c r="N1870" s="106"/>
      <c r="O1870" s="107"/>
      <c r="P1870" s="108"/>
      <c r="Q1870" s="133">
        <v>3000</v>
      </c>
      <c r="R1870" s="134"/>
      <c r="S1870" s="5" t="s">
        <v>2181</v>
      </c>
      <c r="T1870" s="6"/>
      <c r="U1870" s="6"/>
      <c r="V1870" s="5" t="s">
        <v>106</v>
      </c>
      <c r="W1870" s="12">
        <v>11607422</v>
      </c>
      <c r="X1870" s="6"/>
      <c r="Y1870" s="6"/>
    </row>
    <row r="1871" spans="1:25" ht="15" customHeight="1" x14ac:dyDescent="0.2">
      <c r="A1871" s="88" t="s">
        <v>2314</v>
      </c>
      <c r="B1871" s="90"/>
      <c r="C1871" s="88" t="s">
        <v>2340</v>
      </c>
      <c r="D1871" s="90"/>
      <c r="E1871" s="106"/>
      <c r="F1871" s="107"/>
      <c r="G1871" s="107"/>
      <c r="H1871" s="107"/>
      <c r="I1871" s="108"/>
      <c r="J1871" s="88" t="s">
        <v>1718</v>
      </c>
      <c r="K1871" s="89"/>
      <c r="L1871" s="89"/>
      <c r="M1871" s="90"/>
      <c r="N1871" s="106"/>
      <c r="O1871" s="107"/>
      <c r="P1871" s="108"/>
      <c r="Q1871" s="133">
        <v>3000</v>
      </c>
      <c r="R1871" s="134"/>
      <c r="S1871" s="5" t="s">
        <v>814</v>
      </c>
      <c r="T1871" s="6"/>
      <c r="U1871" s="6"/>
      <c r="V1871" s="5" t="s">
        <v>106</v>
      </c>
      <c r="W1871" s="12">
        <v>8904572</v>
      </c>
      <c r="X1871" s="6"/>
      <c r="Y1871" s="6"/>
    </row>
    <row r="1872" spans="1:25" ht="15" customHeight="1" x14ac:dyDescent="0.2">
      <c r="A1872" s="88" t="s">
        <v>2314</v>
      </c>
      <c r="B1872" s="90"/>
      <c r="C1872" s="88" t="s">
        <v>2341</v>
      </c>
      <c r="D1872" s="90"/>
      <c r="E1872" s="106"/>
      <c r="F1872" s="107"/>
      <c r="G1872" s="107"/>
      <c r="H1872" s="107"/>
      <c r="I1872" s="108"/>
      <c r="J1872" s="88" t="s">
        <v>1718</v>
      </c>
      <c r="K1872" s="89"/>
      <c r="L1872" s="89"/>
      <c r="M1872" s="90"/>
      <c r="N1872" s="106"/>
      <c r="O1872" s="107"/>
      <c r="P1872" s="108"/>
      <c r="Q1872" s="133">
        <v>3000</v>
      </c>
      <c r="R1872" s="134"/>
      <c r="S1872" s="5" t="s">
        <v>814</v>
      </c>
      <c r="T1872" s="6"/>
      <c r="U1872" s="6"/>
      <c r="V1872" s="5" t="s">
        <v>106</v>
      </c>
      <c r="W1872" s="12">
        <v>9554154</v>
      </c>
      <c r="X1872" s="6"/>
      <c r="Y1872" s="6"/>
    </row>
    <row r="1873" spans="1:25" ht="15" customHeight="1" x14ac:dyDescent="0.2">
      <c r="A1873" s="88" t="s">
        <v>2314</v>
      </c>
      <c r="B1873" s="90"/>
      <c r="C1873" s="88" t="s">
        <v>2342</v>
      </c>
      <c r="D1873" s="90"/>
      <c r="E1873" s="106"/>
      <c r="F1873" s="107"/>
      <c r="G1873" s="107"/>
      <c r="H1873" s="107"/>
      <c r="I1873" s="108"/>
      <c r="J1873" s="88" t="s">
        <v>1718</v>
      </c>
      <c r="K1873" s="89"/>
      <c r="L1873" s="89"/>
      <c r="M1873" s="90"/>
      <c r="N1873" s="106"/>
      <c r="O1873" s="107"/>
      <c r="P1873" s="108"/>
      <c r="Q1873" s="133">
        <v>3000</v>
      </c>
      <c r="R1873" s="134"/>
      <c r="S1873" s="5" t="s">
        <v>814</v>
      </c>
      <c r="T1873" s="6"/>
      <c r="U1873" s="6"/>
      <c r="V1873" s="5" t="s">
        <v>106</v>
      </c>
      <c r="W1873" s="12">
        <v>10133239</v>
      </c>
      <c r="X1873" s="6"/>
      <c r="Y1873" s="6"/>
    </row>
    <row r="1874" spans="1:25" ht="15" customHeight="1" x14ac:dyDescent="0.2">
      <c r="A1874" s="88" t="s">
        <v>2314</v>
      </c>
      <c r="B1874" s="90"/>
      <c r="C1874" s="88" t="s">
        <v>2343</v>
      </c>
      <c r="D1874" s="90"/>
      <c r="E1874" s="106"/>
      <c r="F1874" s="107"/>
      <c r="G1874" s="107"/>
      <c r="H1874" s="107"/>
      <c r="I1874" s="108"/>
      <c r="J1874" s="88" t="s">
        <v>1718</v>
      </c>
      <c r="K1874" s="89"/>
      <c r="L1874" s="89"/>
      <c r="M1874" s="90"/>
      <c r="N1874" s="106"/>
      <c r="O1874" s="107"/>
      <c r="P1874" s="108"/>
      <c r="Q1874" s="133">
        <v>3000</v>
      </c>
      <c r="R1874" s="134"/>
      <c r="S1874" s="5" t="s">
        <v>814</v>
      </c>
      <c r="T1874" s="6"/>
      <c r="U1874" s="6"/>
      <c r="V1874" s="5" t="s">
        <v>106</v>
      </c>
      <c r="W1874" s="12">
        <v>8799779</v>
      </c>
      <c r="X1874" s="6"/>
      <c r="Y1874" s="6"/>
    </row>
    <row r="1875" spans="1:25" ht="15" customHeight="1" x14ac:dyDescent="0.2">
      <c r="A1875" s="88" t="s">
        <v>2314</v>
      </c>
      <c r="B1875" s="90"/>
      <c r="C1875" s="88" t="s">
        <v>2344</v>
      </c>
      <c r="D1875" s="90"/>
      <c r="E1875" s="106"/>
      <c r="F1875" s="107"/>
      <c r="G1875" s="107"/>
      <c r="H1875" s="107"/>
      <c r="I1875" s="108"/>
      <c r="J1875" s="88" t="s">
        <v>1718</v>
      </c>
      <c r="K1875" s="89"/>
      <c r="L1875" s="89"/>
      <c r="M1875" s="90"/>
      <c r="N1875" s="106"/>
      <c r="O1875" s="107"/>
      <c r="P1875" s="108"/>
      <c r="Q1875" s="133">
        <v>3000</v>
      </c>
      <c r="R1875" s="134"/>
      <c r="S1875" s="5" t="s">
        <v>814</v>
      </c>
      <c r="T1875" s="6"/>
      <c r="U1875" s="6"/>
      <c r="V1875" s="5" t="s">
        <v>106</v>
      </c>
      <c r="W1875" s="12">
        <v>9449361</v>
      </c>
      <c r="X1875" s="6"/>
      <c r="Y1875" s="6"/>
    </row>
    <row r="1876" spans="1:25" ht="15" customHeight="1" x14ac:dyDescent="0.2">
      <c r="A1876" s="88" t="s">
        <v>2314</v>
      </c>
      <c r="B1876" s="90"/>
      <c r="C1876" s="88" t="s">
        <v>2345</v>
      </c>
      <c r="D1876" s="90"/>
      <c r="E1876" s="106"/>
      <c r="F1876" s="107"/>
      <c r="G1876" s="107"/>
      <c r="H1876" s="107"/>
      <c r="I1876" s="108"/>
      <c r="J1876" s="88" t="s">
        <v>1718</v>
      </c>
      <c r="K1876" s="89"/>
      <c r="L1876" s="89"/>
      <c r="M1876" s="90"/>
      <c r="N1876" s="106"/>
      <c r="O1876" s="107"/>
      <c r="P1876" s="108"/>
      <c r="Q1876" s="133">
        <v>3000</v>
      </c>
      <c r="R1876" s="134"/>
      <c r="S1876" s="5" t="s">
        <v>814</v>
      </c>
      <c r="T1876" s="6"/>
      <c r="U1876" s="6"/>
      <c r="V1876" s="5" t="s">
        <v>106</v>
      </c>
      <c r="W1876" s="12">
        <v>10028446</v>
      </c>
      <c r="X1876" s="6"/>
      <c r="Y1876" s="6"/>
    </row>
    <row r="1877" spans="1:25" ht="15" customHeight="1" x14ac:dyDescent="0.2">
      <c r="A1877" s="88" t="s">
        <v>2314</v>
      </c>
      <c r="B1877" s="90"/>
      <c r="C1877" s="88" t="s">
        <v>2346</v>
      </c>
      <c r="D1877" s="90"/>
      <c r="E1877" s="106"/>
      <c r="F1877" s="107"/>
      <c r="G1877" s="107"/>
      <c r="H1877" s="107"/>
      <c r="I1877" s="108"/>
      <c r="J1877" s="88" t="s">
        <v>1718</v>
      </c>
      <c r="K1877" s="89"/>
      <c r="L1877" s="89"/>
      <c r="M1877" s="90"/>
      <c r="N1877" s="106"/>
      <c r="O1877" s="107"/>
      <c r="P1877" s="108"/>
      <c r="Q1877" s="133">
        <v>3000</v>
      </c>
      <c r="R1877" s="134"/>
      <c r="S1877" s="5" t="s">
        <v>814</v>
      </c>
      <c r="T1877" s="6"/>
      <c r="U1877" s="6"/>
      <c r="V1877" s="5" t="s">
        <v>106</v>
      </c>
      <c r="W1877" s="12">
        <v>10226192</v>
      </c>
      <c r="X1877" s="6"/>
      <c r="Y1877" s="6"/>
    </row>
    <row r="1878" spans="1:25" ht="15" customHeight="1" x14ac:dyDescent="0.2">
      <c r="A1878" s="88" t="s">
        <v>2314</v>
      </c>
      <c r="B1878" s="90"/>
      <c r="C1878" s="88" t="s">
        <v>2347</v>
      </c>
      <c r="D1878" s="90"/>
      <c r="E1878" s="106"/>
      <c r="F1878" s="107"/>
      <c r="G1878" s="107"/>
      <c r="H1878" s="107"/>
      <c r="I1878" s="108"/>
      <c r="J1878" s="88" t="s">
        <v>1718</v>
      </c>
      <c r="K1878" s="89"/>
      <c r="L1878" s="89"/>
      <c r="M1878" s="90"/>
      <c r="N1878" s="106"/>
      <c r="O1878" s="107"/>
      <c r="P1878" s="108"/>
      <c r="Q1878" s="133">
        <v>3000</v>
      </c>
      <c r="R1878" s="134"/>
      <c r="S1878" s="5" t="s">
        <v>814</v>
      </c>
      <c r="T1878" s="6"/>
      <c r="U1878" s="6"/>
      <c r="V1878" s="5" t="s">
        <v>106</v>
      </c>
      <c r="W1878" s="12">
        <v>10796023</v>
      </c>
      <c r="X1878" s="6"/>
      <c r="Y1878" s="6"/>
    </row>
    <row r="1879" spans="1:25" ht="15" customHeight="1" x14ac:dyDescent="0.2">
      <c r="A1879" s="88" t="s">
        <v>2314</v>
      </c>
      <c r="B1879" s="90"/>
      <c r="C1879" s="88" t="s">
        <v>2348</v>
      </c>
      <c r="D1879" s="90"/>
      <c r="E1879" s="106"/>
      <c r="F1879" s="107"/>
      <c r="G1879" s="107"/>
      <c r="H1879" s="107"/>
      <c r="I1879" s="108"/>
      <c r="J1879" s="88" t="s">
        <v>1718</v>
      </c>
      <c r="K1879" s="89"/>
      <c r="L1879" s="89"/>
      <c r="M1879" s="90"/>
      <c r="N1879" s="106"/>
      <c r="O1879" s="107"/>
      <c r="P1879" s="108"/>
      <c r="Q1879" s="133">
        <v>3000</v>
      </c>
      <c r="R1879" s="134"/>
      <c r="S1879" s="5" t="s">
        <v>814</v>
      </c>
      <c r="T1879" s="6"/>
      <c r="U1879" s="6"/>
      <c r="V1879" s="5" t="s">
        <v>106</v>
      </c>
      <c r="W1879" s="12">
        <v>11365717</v>
      </c>
      <c r="X1879" s="6"/>
      <c r="Y1879" s="6"/>
    </row>
    <row r="1880" spans="1:25" ht="15" customHeight="1" x14ac:dyDescent="0.2">
      <c r="A1880" s="88" t="s">
        <v>2314</v>
      </c>
      <c r="B1880" s="90"/>
      <c r="C1880" s="88" t="s">
        <v>2349</v>
      </c>
      <c r="D1880" s="90"/>
      <c r="E1880" s="106"/>
      <c r="F1880" s="107"/>
      <c r="G1880" s="107"/>
      <c r="H1880" s="107"/>
      <c r="I1880" s="108"/>
      <c r="J1880" s="88" t="s">
        <v>1718</v>
      </c>
      <c r="K1880" s="89"/>
      <c r="L1880" s="89"/>
      <c r="M1880" s="90"/>
      <c r="N1880" s="106"/>
      <c r="O1880" s="107"/>
      <c r="P1880" s="108"/>
      <c r="Q1880" s="133">
        <v>3000</v>
      </c>
      <c r="R1880" s="134"/>
      <c r="S1880" s="5" t="s">
        <v>814</v>
      </c>
      <c r="T1880" s="6"/>
      <c r="U1880" s="6"/>
      <c r="V1880" s="5" t="s">
        <v>106</v>
      </c>
      <c r="W1880" s="12">
        <v>11935412</v>
      </c>
      <c r="X1880" s="6"/>
      <c r="Y1880" s="6"/>
    </row>
    <row r="1881" spans="1:25" ht="15" customHeight="1" x14ac:dyDescent="0.2">
      <c r="A1881" s="88" t="s">
        <v>2314</v>
      </c>
      <c r="B1881" s="90"/>
      <c r="C1881" s="88" t="s">
        <v>2350</v>
      </c>
      <c r="D1881" s="90"/>
      <c r="E1881" s="106"/>
      <c r="F1881" s="107"/>
      <c r="G1881" s="107"/>
      <c r="H1881" s="107"/>
      <c r="I1881" s="108"/>
      <c r="J1881" s="88" t="s">
        <v>1718</v>
      </c>
      <c r="K1881" s="89"/>
      <c r="L1881" s="89"/>
      <c r="M1881" s="90"/>
      <c r="N1881" s="106"/>
      <c r="O1881" s="107"/>
      <c r="P1881" s="108"/>
      <c r="Q1881" s="133">
        <v>3000</v>
      </c>
      <c r="R1881" s="134"/>
      <c r="S1881" s="5" t="s">
        <v>814</v>
      </c>
      <c r="T1881" s="6"/>
      <c r="U1881" s="6"/>
      <c r="V1881" s="5" t="s">
        <v>106</v>
      </c>
      <c r="W1881" s="12">
        <v>10607939</v>
      </c>
      <c r="X1881" s="6"/>
      <c r="Y1881" s="6"/>
    </row>
    <row r="1882" spans="1:25" ht="15" customHeight="1" x14ac:dyDescent="0.2">
      <c r="A1882" s="88" t="s">
        <v>2314</v>
      </c>
      <c r="B1882" s="90"/>
      <c r="C1882" s="88" t="s">
        <v>2351</v>
      </c>
      <c r="D1882" s="90"/>
      <c r="E1882" s="106"/>
      <c r="F1882" s="107"/>
      <c r="G1882" s="107"/>
      <c r="H1882" s="107"/>
      <c r="I1882" s="108"/>
      <c r="J1882" s="88" t="s">
        <v>1718</v>
      </c>
      <c r="K1882" s="89"/>
      <c r="L1882" s="89"/>
      <c r="M1882" s="90"/>
      <c r="N1882" s="106"/>
      <c r="O1882" s="107"/>
      <c r="P1882" s="108"/>
      <c r="Q1882" s="133">
        <v>3000</v>
      </c>
      <c r="R1882" s="134"/>
      <c r="S1882" s="5" t="s">
        <v>814</v>
      </c>
      <c r="T1882" s="6"/>
      <c r="U1882" s="6"/>
      <c r="V1882" s="5" t="s">
        <v>106</v>
      </c>
      <c r="W1882" s="12">
        <v>11177770</v>
      </c>
      <c r="X1882" s="6"/>
      <c r="Y1882" s="6"/>
    </row>
    <row r="1883" spans="1:25" ht="15" customHeight="1" x14ac:dyDescent="0.2">
      <c r="A1883" s="88" t="s">
        <v>2314</v>
      </c>
      <c r="B1883" s="90"/>
      <c r="C1883" s="88" t="s">
        <v>2352</v>
      </c>
      <c r="D1883" s="90"/>
      <c r="E1883" s="106"/>
      <c r="F1883" s="107"/>
      <c r="G1883" s="107"/>
      <c r="H1883" s="107"/>
      <c r="I1883" s="108"/>
      <c r="J1883" s="88" t="s">
        <v>1718</v>
      </c>
      <c r="K1883" s="89"/>
      <c r="L1883" s="89"/>
      <c r="M1883" s="90"/>
      <c r="N1883" s="106"/>
      <c r="O1883" s="107"/>
      <c r="P1883" s="108"/>
      <c r="Q1883" s="133">
        <v>3000</v>
      </c>
      <c r="R1883" s="134"/>
      <c r="S1883" s="5" t="s">
        <v>814</v>
      </c>
      <c r="T1883" s="6"/>
      <c r="U1883" s="6"/>
      <c r="V1883" s="5" t="s">
        <v>106</v>
      </c>
      <c r="W1883" s="12">
        <v>11747464</v>
      </c>
      <c r="X1883" s="6"/>
      <c r="Y1883" s="6"/>
    </row>
    <row r="1884" spans="1:25" ht="15" customHeight="1" x14ac:dyDescent="0.2">
      <c r="A1884" s="88" t="s">
        <v>2314</v>
      </c>
      <c r="B1884" s="90"/>
      <c r="C1884" s="88" t="s">
        <v>2353</v>
      </c>
      <c r="D1884" s="90"/>
      <c r="E1884" s="106"/>
      <c r="F1884" s="107"/>
      <c r="G1884" s="107"/>
      <c r="H1884" s="107"/>
      <c r="I1884" s="108"/>
      <c r="J1884" s="88" t="s">
        <v>1718</v>
      </c>
      <c r="K1884" s="89"/>
      <c r="L1884" s="89"/>
      <c r="M1884" s="90"/>
      <c r="N1884" s="106"/>
      <c r="O1884" s="107"/>
      <c r="P1884" s="108"/>
      <c r="Q1884" s="133">
        <v>3000</v>
      </c>
      <c r="R1884" s="134"/>
      <c r="S1884" s="5" t="s">
        <v>814</v>
      </c>
      <c r="T1884" s="6"/>
      <c r="U1884" s="6"/>
      <c r="V1884" s="5" t="s">
        <v>106</v>
      </c>
      <c r="W1884" s="12">
        <v>12317159</v>
      </c>
      <c r="X1884" s="6"/>
      <c r="Y1884" s="6"/>
    </row>
    <row r="1885" spans="1:25" ht="15" customHeight="1" x14ac:dyDescent="0.2">
      <c r="A1885" s="88" t="s">
        <v>2314</v>
      </c>
      <c r="B1885" s="90"/>
      <c r="C1885" s="88" t="s">
        <v>2354</v>
      </c>
      <c r="D1885" s="90"/>
      <c r="E1885" s="106"/>
      <c r="F1885" s="107"/>
      <c r="G1885" s="107"/>
      <c r="H1885" s="107"/>
      <c r="I1885" s="108"/>
      <c r="J1885" s="88" t="s">
        <v>1718</v>
      </c>
      <c r="K1885" s="89"/>
      <c r="L1885" s="89"/>
      <c r="M1885" s="90"/>
      <c r="N1885" s="106"/>
      <c r="O1885" s="107"/>
      <c r="P1885" s="108"/>
      <c r="Q1885" s="133">
        <v>3000</v>
      </c>
      <c r="R1885" s="134"/>
      <c r="S1885" s="5" t="s">
        <v>814</v>
      </c>
      <c r="T1885" s="6"/>
      <c r="U1885" s="6"/>
      <c r="V1885" s="5" t="s">
        <v>106</v>
      </c>
      <c r="W1885" s="12">
        <v>12335668</v>
      </c>
      <c r="X1885" s="6"/>
      <c r="Y1885" s="6"/>
    </row>
    <row r="1886" spans="1:25" ht="15" customHeight="1" x14ac:dyDescent="0.2">
      <c r="A1886" s="88" t="s">
        <v>2314</v>
      </c>
      <c r="B1886" s="90"/>
      <c r="C1886" s="88" t="s">
        <v>2355</v>
      </c>
      <c r="D1886" s="90"/>
      <c r="E1886" s="106"/>
      <c r="F1886" s="107"/>
      <c r="G1886" s="107"/>
      <c r="H1886" s="107"/>
      <c r="I1886" s="108"/>
      <c r="J1886" s="88" t="s">
        <v>1718</v>
      </c>
      <c r="K1886" s="89"/>
      <c r="L1886" s="89"/>
      <c r="M1886" s="90"/>
      <c r="N1886" s="106"/>
      <c r="O1886" s="107"/>
      <c r="P1886" s="108"/>
      <c r="Q1886" s="133">
        <v>3000</v>
      </c>
      <c r="R1886" s="134"/>
      <c r="S1886" s="5" t="s">
        <v>814</v>
      </c>
      <c r="T1886" s="6"/>
      <c r="U1886" s="6"/>
      <c r="V1886" s="5" t="s">
        <v>106</v>
      </c>
      <c r="W1886" s="12">
        <v>12980487</v>
      </c>
      <c r="X1886" s="6"/>
      <c r="Y1886" s="6"/>
    </row>
    <row r="1887" spans="1:25" ht="15" customHeight="1" x14ac:dyDescent="0.2">
      <c r="A1887" s="88" t="s">
        <v>2314</v>
      </c>
      <c r="B1887" s="90"/>
      <c r="C1887" s="88" t="s">
        <v>2356</v>
      </c>
      <c r="D1887" s="90"/>
      <c r="E1887" s="106"/>
      <c r="F1887" s="107"/>
      <c r="G1887" s="107"/>
      <c r="H1887" s="107"/>
      <c r="I1887" s="108"/>
      <c r="J1887" s="88" t="s">
        <v>1718</v>
      </c>
      <c r="K1887" s="89"/>
      <c r="L1887" s="89"/>
      <c r="M1887" s="90"/>
      <c r="N1887" s="106"/>
      <c r="O1887" s="107"/>
      <c r="P1887" s="108"/>
      <c r="Q1887" s="133">
        <v>3000</v>
      </c>
      <c r="R1887" s="134"/>
      <c r="S1887" s="5" t="s">
        <v>814</v>
      </c>
      <c r="T1887" s="6"/>
      <c r="U1887" s="6"/>
      <c r="V1887" s="5" t="s">
        <v>106</v>
      </c>
      <c r="W1887" s="12">
        <v>12717415</v>
      </c>
      <c r="X1887" s="6"/>
      <c r="Y1887" s="6"/>
    </row>
    <row r="1888" spans="1:25" ht="15" customHeight="1" x14ac:dyDescent="0.2">
      <c r="A1888" s="88" t="s">
        <v>2314</v>
      </c>
      <c r="B1888" s="90"/>
      <c r="C1888" s="88" t="s">
        <v>2357</v>
      </c>
      <c r="D1888" s="90"/>
      <c r="E1888" s="106"/>
      <c r="F1888" s="107"/>
      <c r="G1888" s="107"/>
      <c r="H1888" s="107"/>
      <c r="I1888" s="108"/>
      <c r="J1888" s="88" t="s">
        <v>1718</v>
      </c>
      <c r="K1888" s="89"/>
      <c r="L1888" s="89"/>
      <c r="M1888" s="90"/>
      <c r="N1888" s="106"/>
      <c r="O1888" s="107"/>
      <c r="P1888" s="108"/>
      <c r="Q1888" s="133">
        <v>3000</v>
      </c>
      <c r="R1888" s="134"/>
      <c r="S1888" s="5" t="s">
        <v>814</v>
      </c>
      <c r="T1888" s="6"/>
      <c r="U1888" s="6"/>
      <c r="V1888" s="5" t="s">
        <v>106</v>
      </c>
      <c r="W1888" s="12">
        <v>13362234</v>
      </c>
      <c r="X1888" s="6"/>
      <c r="Y1888" s="6"/>
    </row>
    <row r="1889" spans="1:25" ht="15" customHeight="1" x14ac:dyDescent="0.2">
      <c r="A1889" s="88" t="s">
        <v>2314</v>
      </c>
      <c r="B1889" s="90"/>
      <c r="C1889" s="88" t="s">
        <v>2340</v>
      </c>
      <c r="D1889" s="90"/>
      <c r="E1889" s="106"/>
      <c r="F1889" s="107"/>
      <c r="G1889" s="107"/>
      <c r="H1889" s="107"/>
      <c r="I1889" s="108"/>
      <c r="J1889" s="88" t="s">
        <v>2319</v>
      </c>
      <c r="K1889" s="89"/>
      <c r="L1889" s="89"/>
      <c r="M1889" s="90"/>
      <c r="N1889" s="106"/>
      <c r="O1889" s="107"/>
      <c r="P1889" s="108"/>
      <c r="Q1889" s="133">
        <v>3000</v>
      </c>
      <c r="R1889" s="134"/>
      <c r="S1889" s="5" t="s">
        <v>814</v>
      </c>
      <c r="T1889" s="6"/>
      <c r="U1889" s="6"/>
      <c r="V1889" s="5" t="s">
        <v>106</v>
      </c>
      <c r="W1889" s="12">
        <v>9525847</v>
      </c>
      <c r="X1889" s="6"/>
      <c r="Y1889" s="6"/>
    </row>
    <row r="1890" spans="1:25" ht="15" customHeight="1" x14ac:dyDescent="0.2">
      <c r="A1890" s="88" t="s">
        <v>2314</v>
      </c>
      <c r="B1890" s="90"/>
      <c r="C1890" s="88" t="s">
        <v>2341</v>
      </c>
      <c r="D1890" s="90"/>
      <c r="E1890" s="106"/>
      <c r="F1890" s="107"/>
      <c r="G1890" s="107"/>
      <c r="H1890" s="107"/>
      <c r="I1890" s="108"/>
      <c r="J1890" s="88" t="s">
        <v>2319</v>
      </c>
      <c r="K1890" s="89"/>
      <c r="L1890" s="89"/>
      <c r="M1890" s="90"/>
      <c r="N1890" s="106"/>
      <c r="O1890" s="107"/>
      <c r="P1890" s="108"/>
      <c r="Q1890" s="133">
        <v>3000</v>
      </c>
      <c r="R1890" s="134"/>
      <c r="S1890" s="5" t="s">
        <v>814</v>
      </c>
      <c r="T1890" s="6"/>
      <c r="U1890" s="6"/>
      <c r="V1890" s="5" t="s">
        <v>106</v>
      </c>
      <c r="W1890" s="12">
        <v>10175429</v>
      </c>
      <c r="X1890" s="6"/>
      <c r="Y1890" s="6"/>
    </row>
    <row r="1891" spans="1:25" ht="15" customHeight="1" x14ac:dyDescent="0.2">
      <c r="A1891" s="88" t="s">
        <v>2314</v>
      </c>
      <c r="B1891" s="90"/>
      <c r="C1891" s="88" t="s">
        <v>2342</v>
      </c>
      <c r="D1891" s="90"/>
      <c r="E1891" s="106"/>
      <c r="F1891" s="107"/>
      <c r="G1891" s="107"/>
      <c r="H1891" s="107"/>
      <c r="I1891" s="108"/>
      <c r="J1891" s="88" t="s">
        <v>2319</v>
      </c>
      <c r="K1891" s="89"/>
      <c r="L1891" s="89"/>
      <c r="M1891" s="90"/>
      <c r="N1891" s="106"/>
      <c r="O1891" s="107"/>
      <c r="P1891" s="108"/>
      <c r="Q1891" s="133">
        <v>3000</v>
      </c>
      <c r="R1891" s="134"/>
      <c r="S1891" s="5" t="s">
        <v>814</v>
      </c>
      <c r="T1891" s="6"/>
      <c r="U1891" s="6"/>
      <c r="V1891" s="5" t="s">
        <v>106</v>
      </c>
      <c r="W1891" s="12">
        <v>10649721</v>
      </c>
      <c r="X1891" s="6"/>
      <c r="Y1891" s="6"/>
    </row>
    <row r="1892" spans="1:25" ht="15" customHeight="1" x14ac:dyDescent="0.2">
      <c r="A1892" s="88" t="s">
        <v>2314</v>
      </c>
      <c r="B1892" s="90"/>
      <c r="C1892" s="88" t="s">
        <v>2343</v>
      </c>
      <c r="D1892" s="90"/>
      <c r="E1892" s="106"/>
      <c r="F1892" s="107"/>
      <c r="G1892" s="107"/>
      <c r="H1892" s="107"/>
      <c r="I1892" s="108"/>
      <c r="J1892" s="88" t="s">
        <v>2319</v>
      </c>
      <c r="K1892" s="89"/>
      <c r="L1892" s="89"/>
      <c r="M1892" s="90"/>
      <c r="N1892" s="106"/>
      <c r="O1892" s="107"/>
      <c r="P1892" s="108"/>
      <c r="Q1892" s="133">
        <v>3000</v>
      </c>
      <c r="R1892" s="134"/>
      <c r="S1892" s="5" t="s">
        <v>814</v>
      </c>
      <c r="T1892" s="6"/>
      <c r="U1892" s="6"/>
      <c r="V1892" s="5" t="s">
        <v>106</v>
      </c>
      <c r="W1892" s="12">
        <v>9421053</v>
      </c>
      <c r="X1892" s="6"/>
      <c r="Y1892" s="6"/>
    </row>
    <row r="1893" spans="1:25" ht="15" customHeight="1" x14ac:dyDescent="0.2">
      <c r="A1893" s="88" t="s">
        <v>2314</v>
      </c>
      <c r="B1893" s="90"/>
      <c r="C1893" s="88" t="s">
        <v>2344</v>
      </c>
      <c r="D1893" s="90"/>
      <c r="E1893" s="106"/>
      <c r="F1893" s="107"/>
      <c r="G1893" s="107"/>
      <c r="H1893" s="107"/>
      <c r="I1893" s="108"/>
      <c r="J1893" s="88" t="s">
        <v>2319</v>
      </c>
      <c r="K1893" s="89"/>
      <c r="L1893" s="89"/>
      <c r="M1893" s="90"/>
      <c r="N1893" s="106"/>
      <c r="O1893" s="107"/>
      <c r="P1893" s="108"/>
      <c r="Q1893" s="133">
        <v>3000</v>
      </c>
      <c r="R1893" s="134"/>
      <c r="S1893" s="5" t="s">
        <v>814</v>
      </c>
      <c r="T1893" s="6"/>
      <c r="U1893" s="6"/>
      <c r="V1893" s="5" t="s">
        <v>106</v>
      </c>
      <c r="W1893" s="12">
        <v>10070636</v>
      </c>
      <c r="X1893" s="6"/>
      <c r="Y1893" s="6"/>
    </row>
    <row r="1894" spans="1:25" ht="15" customHeight="1" x14ac:dyDescent="0.2">
      <c r="A1894" s="88" t="s">
        <v>2314</v>
      </c>
      <c r="B1894" s="90"/>
      <c r="C1894" s="88" t="s">
        <v>2345</v>
      </c>
      <c r="D1894" s="90"/>
      <c r="E1894" s="106"/>
      <c r="F1894" s="107"/>
      <c r="G1894" s="107"/>
      <c r="H1894" s="107"/>
      <c r="I1894" s="108"/>
      <c r="J1894" s="88" t="s">
        <v>2319</v>
      </c>
      <c r="K1894" s="89"/>
      <c r="L1894" s="89"/>
      <c r="M1894" s="90"/>
      <c r="N1894" s="106"/>
      <c r="O1894" s="107"/>
      <c r="P1894" s="108"/>
      <c r="Q1894" s="133">
        <v>3000</v>
      </c>
      <c r="R1894" s="134"/>
      <c r="S1894" s="5" t="s">
        <v>814</v>
      </c>
      <c r="T1894" s="6"/>
      <c r="U1894" s="6"/>
      <c r="V1894" s="5" t="s">
        <v>106</v>
      </c>
      <c r="W1894" s="12">
        <v>10649721</v>
      </c>
      <c r="X1894" s="6"/>
      <c r="Y1894" s="6"/>
    </row>
    <row r="1895" spans="1:25" ht="15" customHeight="1" x14ac:dyDescent="0.2">
      <c r="A1895" s="88" t="s">
        <v>2314</v>
      </c>
      <c r="B1895" s="90"/>
      <c r="C1895" s="88" t="s">
        <v>2346</v>
      </c>
      <c r="D1895" s="90"/>
      <c r="E1895" s="106"/>
      <c r="F1895" s="107"/>
      <c r="G1895" s="107"/>
      <c r="H1895" s="107"/>
      <c r="I1895" s="108"/>
      <c r="J1895" s="88" t="s">
        <v>2319</v>
      </c>
      <c r="K1895" s="89"/>
      <c r="L1895" s="89"/>
      <c r="M1895" s="90"/>
      <c r="N1895" s="106"/>
      <c r="O1895" s="107"/>
      <c r="P1895" s="108"/>
      <c r="Q1895" s="133">
        <v>3000</v>
      </c>
      <c r="R1895" s="134"/>
      <c r="S1895" s="5" t="s">
        <v>814</v>
      </c>
      <c r="T1895" s="6"/>
      <c r="U1895" s="6"/>
      <c r="V1895" s="5" t="s">
        <v>106</v>
      </c>
      <c r="W1895" s="12">
        <v>10847467</v>
      </c>
      <c r="X1895" s="6"/>
      <c r="Y1895" s="6"/>
    </row>
    <row r="1896" spans="1:25" ht="15" customHeight="1" x14ac:dyDescent="0.2">
      <c r="A1896" s="88" t="s">
        <v>2314</v>
      </c>
      <c r="B1896" s="90"/>
      <c r="C1896" s="88" t="s">
        <v>2347</v>
      </c>
      <c r="D1896" s="90"/>
      <c r="E1896" s="106"/>
      <c r="F1896" s="107"/>
      <c r="G1896" s="107"/>
      <c r="H1896" s="107"/>
      <c r="I1896" s="108"/>
      <c r="J1896" s="88" t="s">
        <v>2319</v>
      </c>
      <c r="K1896" s="89"/>
      <c r="L1896" s="89"/>
      <c r="M1896" s="90"/>
      <c r="N1896" s="106"/>
      <c r="O1896" s="107"/>
      <c r="P1896" s="108"/>
      <c r="Q1896" s="133">
        <v>3000</v>
      </c>
      <c r="R1896" s="134"/>
      <c r="S1896" s="5" t="s">
        <v>814</v>
      </c>
      <c r="T1896" s="6"/>
      <c r="U1896" s="6"/>
      <c r="V1896" s="5" t="s">
        <v>106</v>
      </c>
      <c r="W1896" s="12">
        <v>11417297</v>
      </c>
      <c r="X1896" s="6"/>
      <c r="Y1896" s="6"/>
    </row>
    <row r="1897" spans="1:25" ht="15" customHeight="1" x14ac:dyDescent="0.2">
      <c r="A1897" s="88" t="s">
        <v>2314</v>
      </c>
      <c r="B1897" s="90"/>
      <c r="C1897" s="88" t="s">
        <v>2348</v>
      </c>
      <c r="D1897" s="90"/>
      <c r="E1897" s="106"/>
      <c r="F1897" s="107"/>
      <c r="G1897" s="107"/>
      <c r="H1897" s="107"/>
      <c r="I1897" s="108"/>
      <c r="J1897" s="88" t="s">
        <v>2319</v>
      </c>
      <c r="K1897" s="89"/>
      <c r="L1897" s="89"/>
      <c r="M1897" s="90"/>
      <c r="N1897" s="106"/>
      <c r="O1897" s="107"/>
      <c r="P1897" s="108"/>
      <c r="Q1897" s="133">
        <v>3000</v>
      </c>
      <c r="R1897" s="134"/>
      <c r="S1897" s="5" t="s">
        <v>814</v>
      </c>
      <c r="T1897" s="6"/>
      <c r="U1897" s="6"/>
      <c r="V1897" s="5" t="s">
        <v>106</v>
      </c>
      <c r="W1897" s="12">
        <v>11986992</v>
      </c>
      <c r="X1897" s="6"/>
      <c r="Y1897" s="6"/>
    </row>
    <row r="1898" spans="1:25" ht="15" customHeight="1" x14ac:dyDescent="0.2">
      <c r="A1898" s="88" t="s">
        <v>2314</v>
      </c>
      <c r="B1898" s="90"/>
      <c r="C1898" s="88" t="s">
        <v>2349</v>
      </c>
      <c r="D1898" s="90"/>
      <c r="E1898" s="106"/>
      <c r="F1898" s="107"/>
      <c r="G1898" s="107"/>
      <c r="H1898" s="107"/>
      <c r="I1898" s="108"/>
      <c r="J1898" s="88" t="s">
        <v>2319</v>
      </c>
      <c r="K1898" s="89"/>
      <c r="L1898" s="89"/>
      <c r="M1898" s="90"/>
      <c r="N1898" s="106"/>
      <c r="O1898" s="107"/>
      <c r="P1898" s="108"/>
      <c r="Q1898" s="133">
        <v>3000</v>
      </c>
      <c r="R1898" s="134"/>
      <c r="S1898" s="5" t="s">
        <v>814</v>
      </c>
      <c r="T1898" s="6"/>
      <c r="U1898" s="6"/>
      <c r="V1898" s="5" t="s">
        <v>106</v>
      </c>
      <c r="W1898" s="12">
        <v>12556686</v>
      </c>
      <c r="X1898" s="6"/>
      <c r="Y1898" s="6"/>
    </row>
    <row r="1899" spans="1:25" ht="15" customHeight="1" x14ac:dyDescent="0.2">
      <c r="A1899" s="88" t="s">
        <v>2314</v>
      </c>
      <c r="B1899" s="90"/>
      <c r="C1899" s="88" t="s">
        <v>2350</v>
      </c>
      <c r="D1899" s="90"/>
      <c r="E1899" s="106"/>
      <c r="F1899" s="107"/>
      <c r="G1899" s="107"/>
      <c r="H1899" s="107"/>
      <c r="I1899" s="108"/>
      <c r="J1899" s="88" t="s">
        <v>2319</v>
      </c>
      <c r="K1899" s="89"/>
      <c r="L1899" s="89"/>
      <c r="M1899" s="90"/>
      <c r="N1899" s="106"/>
      <c r="O1899" s="107"/>
      <c r="P1899" s="108"/>
      <c r="Q1899" s="133">
        <v>3000</v>
      </c>
      <c r="R1899" s="134"/>
      <c r="S1899" s="5" t="s">
        <v>814</v>
      </c>
      <c r="T1899" s="6"/>
      <c r="U1899" s="6"/>
      <c r="V1899" s="5" t="s">
        <v>106</v>
      </c>
      <c r="W1899" s="12">
        <v>11229214</v>
      </c>
      <c r="X1899" s="6"/>
      <c r="Y1899" s="6"/>
    </row>
    <row r="1900" spans="1:25" ht="15" customHeight="1" x14ac:dyDescent="0.2">
      <c r="A1900" s="88" t="s">
        <v>2314</v>
      </c>
      <c r="B1900" s="90"/>
      <c r="C1900" s="88" t="s">
        <v>2351</v>
      </c>
      <c r="D1900" s="90"/>
      <c r="E1900" s="106"/>
      <c r="F1900" s="107"/>
      <c r="G1900" s="107"/>
      <c r="H1900" s="107"/>
      <c r="I1900" s="108"/>
      <c r="J1900" s="88" t="s">
        <v>2319</v>
      </c>
      <c r="K1900" s="89"/>
      <c r="L1900" s="89"/>
      <c r="M1900" s="90"/>
      <c r="N1900" s="106"/>
      <c r="O1900" s="107"/>
      <c r="P1900" s="108"/>
      <c r="Q1900" s="133">
        <v>3000</v>
      </c>
      <c r="R1900" s="134"/>
      <c r="S1900" s="5" t="s">
        <v>814</v>
      </c>
      <c r="T1900" s="6"/>
      <c r="U1900" s="6"/>
      <c r="V1900" s="5" t="s">
        <v>106</v>
      </c>
      <c r="W1900" s="12">
        <v>11799044</v>
      </c>
      <c r="X1900" s="6"/>
      <c r="Y1900" s="6"/>
    </row>
    <row r="1901" spans="1:25" ht="15" customHeight="1" x14ac:dyDescent="0.2">
      <c r="A1901" s="88" t="s">
        <v>2314</v>
      </c>
      <c r="B1901" s="90"/>
      <c r="C1901" s="88" t="s">
        <v>2352</v>
      </c>
      <c r="D1901" s="90"/>
      <c r="E1901" s="106"/>
      <c r="F1901" s="107"/>
      <c r="G1901" s="107"/>
      <c r="H1901" s="107"/>
      <c r="I1901" s="108"/>
      <c r="J1901" s="88" t="s">
        <v>2319</v>
      </c>
      <c r="K1901" s="89"/>
      <c r="L1901" s="89"/>
      <c r="M1901" s="90"/>
      <c r="N1901" s="106"/>
      <c r="O1901" s="107"/>
      <c r="P1901" s="108"/>
      <c r="Q1901" s="133">
        <v>3000</v>
      </c>
      <c r="R1901" s="134"/>
      <c r="S1901" s="5" t="s">
        <v>814</v>
      </c>
      <c r="T1901" s="6"/>
      <c r="U1901" s="6"/>
      <c r="V1901" s="5" t="s">
        <v>106</v>
      </c>
      <c r="W1901" s="12">
        <v>12368739</v>
      </c>
      <c r="X1901" s="6"/>
      <c r="Y1901" s="6"/>
    </row>
    <row r="1902" spans="1:25" ht="15" customHeight="1" x14ac:dyDescent="0.2">
      <c r="A1902" s="88" t="s">
        <v>2314</v>
      </c>
      <c r="B1902" s="90"/>
      <c r="C1902" s="88" t="s">
        <v>2353</v>
      </c>
      <c r="D1902" s="90"/>
      <c r="E1902" s="106"/>
      <c r="F1902" s="107"/>
      <c r="G1902" s="107"/>
      <c r="H1902" s="107"/>
      <c r="I1902" s="108"/>
      <c r="J1902" s="88" t="s">
        <v>2319</v>
      </c>
      <c r="K1902" s="89"/>
      <c r="L1902" s="89"/>
      <c r="M1902" s="90"/>
      <c r="N1902" s="106"/>
      <c r="O1902" s="107"/>
      <c r="P1902" s="108"/>
      <c r="Q1902" s="133">
        <v>3000</v>
      </c>
      <c r="R1902" s="134"/>
      <c r="S1902" s="5" t="s">
        <v>814</v>
      </c>
      <c r="T1902" s="6"/>
      <c r="U1902" s="6"/>
      <c r="V1902" s="5" t="s">
        <v>106</v>
      </c>
      <c r="W1902" s="12">
        <v>12938433</v>
      </c>
      <c r="X1902" s="6"/>
      <c r="Y1902" s="6"/>
    </row>
    <row r="1903" spans="1:25" ht="15" customHeight="1" x14ac:dyDescent="0.2">
      <c r="A1903" s="88" t="s">
        <v>2314</v>
      </c>
      <c r="B1903" s="90"/>
      <c r="C1903" s="88" t="s">
        <v>2354</v>
      </c>
      <c r="D1903" s="90"/>
      <c r="E1903" s="106"/>
      <c r="F1903" s="107"/>
      <c r="G1903" s="107"/>
      <c r="H1903" s="107"/>
      <c r="I1903" s="108"/>
      <c r="J1903" s="88" t="s">
        <v>2319</v>
      </c>
      <c r="K1903" s="89"/>
      <c r="L1903" s="89"/>
      <c r="M1903" s="90"/>
      <c r="N1903" s="106"/>
      <c r="O1903" s="107"/>
      <c r="P1903" s="108"/>
      <c r="Q1903" s="133">
        <v>3000</v>
      </c>
      <c r="R1903" s="134"/>
      <c r="S1903" s="5" t="s">
        <v>814</v>
      </c>
      <c r="T1903" s="6"/>
      <c r="U1903" s="6"/>
      <c r="V1903" s="5" t="s">
        <v>106</v>
      </c>
      <c r="W1903" s="12">
        <v>12956942</v>
      </c>
      <c r="X1903" s="6"/>
      <c r="Y1903" s="6"/>
    </row>
    <row r="1904" spans="1:25" ht="15" customHeight="1" x14ac:dyDescent="0.2">
      <c r="A1904" s="88" t="s">
        <v>2314</v>
      </c>
      <c r="B1904" s="90"/>
      <c r="C1904" s="88" t="s">
        <v>2355</v>
      </c>
      <c r="D1904" s="90"/>
      <c r="E1904" s="106"/>
      <c r="F1904" s="107"/>
      <c r="G1904" s="107"/>
      <c r="H1904" s="107"/>
      <c r="I1904" s="108"/>
      <c r="J1904" s="88" t="s">
        <v>2319</v>
      </c>
      <c r="K1904" s="89"/>
      <c r="L1904" s="89"/>
      <c r="M1904" s="90"/>
      <c r="N1904" s="106"/>
      <c r="O1904" s="107"/>
      <c r="P1904" s="108"/>
      <c r="Q1904" s="133">
        <v>3000</v>
      </c>
      <c r="R1904" s="134"/>
      <c r="S1904" s="5" t="s">
        <v>814</v>
      </c>
      <c r="T1904" s="6"/>
      <c r="U1904" s="6"/>
      <c r="V1904" s="5" t="s">
        <v>106</v>
      </c>
      <c r="W1904" s="12">
        <v>13601761</v>
      </c>
      <c r="X1904" s="6"/>
      <c r="Y1904" s="6"/>
    </row>
    <row r="1905" spans="1:25" ht="15" customHeight="1" x14ac:dyDescent="0.2">
      <c r="A1905" s="88" t="s">
        <v>2314</v>
      </c>
      <c r="B1905" s="90"/>
      <c r="C1905" s="88" t="s">
        <v>2356</v>
      </c>
      <c r="D1905" s="90"/>
      <c r="E1905" s="106"/>
      <c r="F1905" s="107"/>
      <c r="G1905" s="107"/>
      <c r="H1905" s="107"/>
      <c r="I1905" s="108"/>
      <c r="J1905" s="88" t="s">
        <v>2319</v>
      </c>
      <c r="K1905" s="89"/>
      <c r="L1905" s="89"/>
      <c r="M1905" s="90"/>
      <c r="N1905" s="106"/>
      <c r="O1905" s="107"/>
      <c r="P1905" s="108"/>
      <c r="Q1905" s="133">
        <v>3000</v>
      </c>
      <c r="R1905" s="134"/>
      <c r="S1905" s="5" t="s">
        <v>814</v>
      </c>
      <c r="T1905" s="6"/>
      <c r="U1905" s="6"/>
      <c r="V1905" s="5" t="s">
        <v>106</v>
      </c>
      <c r="W1905" s="12">
        <v>13338689</v>
      </c>
      <c r="X1905" s="6"/>
      <c r="Y1905" s="6"/>
    </row>
    <row r="1906" spans="1:25" ht="15" customHeight="1" x14ac:dyDescent="0.2">
      <c r="A1906" s="88" t="s">
        <v>2314</v>
      </c>
      <c r="B1906" s="90"/>
      <c r="C1906" s="88" t="s">
        <v>2357</v>
      </c>
      <c r="D1906" s="90"/>
      <c r="E1906" s="106"/>
      <c r="F1906" s="107"/>
      <c r="G1906" s="107"/>
      <c r="H1906" s="107"/>
      <c r="I1906" s="108"/>
      <c r="J1906" s="88" t="s">
        <v>2319</v>
      </c>
      <c r="K1906" s="89"/>
      <c r="L1906" s="89"/>
      <c r="M1906" s="90"/>
      <c r="N1906" s="106"/>
      <c r="O1906" s="107"/>
      <c r="P1906" s="108"/>
      <c r="Q1906" s="133">
        <v>3000</v>
      </c>
      <c r="R1906" s="134"/>
      <c r="S1906" s="5" t="s">
        <v>814</v>
      </c>
      <c r="T1906" s="6"/>
      <c r="U1906" s="6"/>
      <c r="V1906" s="5" t="s">
        <v>106</v>
      </c>
      <c r="W1906" s="12">
        <v>13983508</v>
      </c>
      <c r="X1906" s="6"/>
      <c r="Y1906" s="6"/>
    </row>
    <row r="1907" spans="1:25" ht="15" customHeight="1" x14ac:dyDescent="0.2">
      <c r="A1907" s="88" t="s">
        <v>2358</v>
      </c>
      <c r="B1907" s="90"/>
      <c r="C1907" s="88" t="s">
        <v>2359</v>
      </c>
      <c r="D1907" s="90"/>
      <c r="E1907" s="88" t="s">
        <v>2359</v>
      </c>
      <c r="F1907" s="89"/>
      <c r="G1907" s="89"/>
      <c r="H1907" s="89"/>
      <c r="I1907" s="90"/>
      <c r="J1907" s="88" t="s">
        <v>13</v>
      </c>
      <c r="K1907" s="89"/>
      <c r="L1907" s="89"/>
      <c r="M1907" s="90"/>
      <c r="N1907" s="88" t="s">
        <v>2360</v>
      </c>
      <c r="O1907" s="89"/>
      <c r="P1907" s="90"/>
      <c r="Q1907" s="133">
        <v>11600</v>
      </c>
      <c r="R1907" s="134"/>
      <c r="S1907" s="5" t="s">
        <v>945</v>
      </c>
      <c r="T1907" s="7">
        <v>33800</v>
      </c>
      <c r="U1907" s="8">
        <v>2</v>
      </c>
      <c r="V1907" s="5" t="s">
        <v>106</v>
      </c>
      <c r="W1907" s="12">
        <v>8443350</v>
      </c>
      <c r="X1907" s="6"/>
      <c r="Y1907" s="6"/>
    </row>
    <row r="1908" spans="1:25" ht="15" customHeight="1" x14ac:dyDescent="0.2">
      <c r="A1908" s="88" t="s">
        <v>2358</v>
      </c>
      <c r="B1908" s="90"/>
      <c r="C1908" s="88" t="s">
        <v>2361</v>
      </c>
      <c r="D1908" s="90"/>
      <c r="E1908" s="88" t="s">
        <v>2359</v>
      </c>
      <c r="F1908" s="89"/>
      <c r="G1908" s="89"/>
      <c r="H1908" s="89"/>
      <c r="I1908" s="90"/>
      <c r="J1908" s="88" t="s">
        <v>13</v>
      </c>
      <c r="K1908" s="89"/>
      <c r="L1908" s="89"/>
      <c r="M1908" s="90"/>
      <c r="N1908" s="88" t="s">
        <v>2362</v>
      </c>
      <c r="O1908" s="89"/>
      <c r="P1908" s="90"/>
      <c r="Q1908" s="133">
        <v>11600</v>
      </c>
      <c r="R1908" s="134"/>
      <c r="S1908" s="5" t="s">
        <v>945</v>
      </c>
      <c r="T1908" s="6"/>
      <c r="U1908" s="8">
        <v>2</v>
      </c>
      <c r="V1908" s="5" t="s">
        <v>106</v>
      </c>
      <c r="W1908" s="12">
        <v>8021183</v>
      </c>
      <c r="X1908" s="6"/>
      <c r="Y1908" s="6"/>
    </row>
    <row r="1909" spans="1:25" ht="15" customHeight="1" x14ac:dyDescent="0.2">
      <c r="A1909" s="88" t="s">
        <v>2358</v>
      </c>
      <c r="B1909" s="90"/>
      <c r="C1909" s="88" t="s">
        <v>2363</v>
      </c>
      <c r="D1909" s="90"/>
      <c r="E1909" s="88" t="s">
        <v>2359</v>
      </c>
      <c r="F1909" s="89"/>
      <c r="G1909" s="89"/>
      <c r="H1909" s="89"/>
      <c r="I1909" s="90"/>
      <c r="J1909" s="88" t="s">
        <v>13</v>
      </c>
      <c r="K1909" s="89"/>
      <c r="L1909" s="89"/>
      <c r="M1909" s="90"/>
      <c r="N1909" s="88" t="s">
        <v>2364</v>
      </c>
      <c r="O1909" s="89"/>
      <c r="P1909" s="90"/>
      <c r="Q1909" s="133">
        <v>11600</v>
      </c>
      <c r="R1909" s="134"/>
      <c r="S1909" s="5" t="s">
        <v>945</v>
      </c>
      <c r="T1909" s="6"/>
      <c r="U1909" s="8">
        <v>2</v>
      </c>
      <c r="V1909" s="5" t="s">
        <v>106</v>
      </c>
      <c r="W1909" s="12">
        <v>8232266</v>
      </c>
      <c r="X1909" s="6"/>
      <c r="Y1909" s="6"/>
    </row>
    <row r="1910" spans="1:25" ht="15" customHeight="1" x14ac:dyDescent="0.2">
      <c r="A1910" s="88" t="s">
        <v>2358</v>
      </c>
      <c r="B1910" s="90"/>
      <c r="C1910" s="88" t="s">
        <v>2365</v>
      </c>
      <c r="D1910" s="90"/>
      <c r="E1910" s="88" t="s">
        <v>2359</v>
      </c>
      <c r="F1910" s="89"/>
      <c r="G1910" s="89"/>
      <c r="H1910" s="89"/>
      <c r="I1910" s="90"/>
      <c r="J1910" s="88" t="s">
        <v>13</v>
      </c>
      <c r="K1910" s="89"/>
      <c r="L1910" s="89"/>
      <c r="M1910" s="90"/>
      <c r="N1910" s="88" t="s">
        <v>2366</v>
      </c>
      <c r="O1910" s="89"/>
      <c r="P1910" s="90"/>
      <c r="Q1910" s="133">
        <v>11600</v>
      </c>
      <c r="R1910" s="134"/>
      <c r="S1910" s="5" t="s">
        <v>945</v>
      </c>
      <c r="T1910" s="6"/>
      <c r="U1910" s="8">
        <v>2</v>
      </c>
      <c r="V1910" s="5" t="s">
        <v>106</v>
      </c>
      <c r="W1910" s="12">
        <v>9287685</v>
      </c>
      <c r="X1910" s="6"/>
      <c r="Y1910" s="6"/>
    </row>
    <row r="1911" spans="1:25" ht="15" customHeight="1" x14ac:dyDescent="0.2">
      <c r="A1911" s="88" t="s">
        <v>2358</v>
      </c>
      <c r="B1911" s="90"/>
      <c r="C1911" s="88" t="s">
        <v>2367</v>
      </c>
      <c r="D1911" s="90"/>
      <c r="E1911" s="88" t="s">
        <v>2359</v>
      </c>
      <c r="F1911" s="89"/>
      <c r="G1911" s="89"/>
      <c r="H1911" s="89"/>
      <c r="I1911" s="90"/>
      <c r="J1911" s="88" t="s">
        <v>13</v>
      </c>
      <c r="K1911" s="89"/>
      <c r="L1911" s="89"/>
      <c r="M1911" s="90"/>
      <c r="N1911" s="88" t="s">
        <v>2360</v>
      </c>
      <c r="O1911" s="89"/>
      <c r="P1911" s="90"/>
      <c r="Q1911" s="133">
        <v>11600</v>
      </c>
      <c r="R1911" s="134"/>
      <c r="S1911" s="5" t="s">
        <v>945</v>
      </c>
      <c r="T1911" s="6"/>
      <c r="U1911" s="8">
        <v>2</v>
      </c>
      <c r="V1911" s="5" t="s">
        <v>106</v>
      </c>
      <c r="W1911" s="12">
        <v>9498769</v>
      </c>
      <c r="X1911" s="6"/>
      <c r="Y1911" s="6"/>
    </row>
    <row r="1912" spans="1:25" ht="15" customHeight="1" x14ac:dyDescent="0.2">
      <c r="A1912" s="88" t="s">
        <v>2358</v>
      </c>
      <c r="B1912" s="90"/>
      <c r="C1912" s="88" t="s">
        <v>2368</v>
      </c>
      <c r="D1912" s="90"/>
      <c r="E1912" s="88" t="s">
        <v>2369</v>
      </c>
      <c r="F1912" s="89"/>
      <c r="G1912" s="89"/>
      <c r="H1912" s="89"/>
      <c r="I1912" s="90"/>
      <c r="J1912" s="88" t="s">
        <v>13</v>
      </c>
      <c r="K1912" s="89"/>
      <c r="L1912" s="89"/>
      <c r="M1912" s="90"/>
      <c r="N1912" s="88" t="s">
        <v>2360</v>
      </c>
      <c r="O1912" s="89"/>
      <c r="P1912" s="90"/>
      <c r="Q1912" s="133">
        <v>11600</v>
      </c>
      <c r="R1912" s="134"/>
      <c r="S1912" s="5" t="s">
        <v>945</v>
      </c>
      <c r="T1912" s="6"/>
      <c r="U1912" s="8">
        <v>2</v>
      </c>
      <c r="V1912" s="5" t="s">
        <v>2370</v>
      </c>
      <c r="W1912" s="12">
        <v>9076601</v>
      </c>
      <c r="X1912" s="6"/>
      <c r="Y1912" s="6"/>
    </row>
    <row r="1913" spans="1:25" ht="15" customHeight="1" x14ac:dyDescent="0.2">
      <c r="A1913" s="88" t="s">
        <v>2358</v>
      </c>
      <c r="B1913" s="90"/>
      <c r="C1913" s="88" t="s">
        <v>2371</v>
      </c>
      <c r="D1913" s="90"/>
      <c r="E1913" s="88" t="s">
        <v>2359</v>
      </c>
      <c r="F1913" s="89"/>
      <c r="G1913" s="89"/>
      <c r="H1913" s="89"/>
      <c r="I1913" s="90"/>
      <c r="J1913" s="88" t="s">
        <v>13</v>
      </c>
      <c r="K1913" s="89"/>
      <c r="L1913" s="89"/>
      <c r="M1913" s="90"/>
      <c r="N1913" s="88" t="s">
        <v>2360</v>
      </c>
      <c r="O1913" s="89"/>
      <c r="P1913" s="90"/>
      <c r="Q1913" s="133">
        <v>11600</v>
      </c>
      <c r="R1913" s="134"/>
      <c r="S1913" s="5" t="s">
        <v>945</v>
      </c>
      <c r="T1913" s="6"/>
      <c r="U1913" s="8">
        <v>2</v>
      </c>
      <c r="V1913" s="5" t="s">
        <v>106</v>
      </c>
      <c r="W1913" s="12">
        <v>8443350</v>
      </c>
      <c r="X1913" s="6"/>
      <c r="Y1913" s="6"/>
    </row>
    <row r="1914" spans="1:25" ht="15" customHeight="1" x14ac:dyDescent="0.2">
      <c r="A1914" s="88" t="s">
        <v>2358</v>
      </c>
      <c r="B1914" s="90"/>
      <c r="C1914" s="88" t="s">
        <v>2372</v>
      </c>
      <c r="D1914" s="90"/>
      <c r="E1914" s="88" t="s">
        <v>2359</v>
      </c>
      <c r="F1914" s="89"/>
      <c r="G1914" s="89"/>
      <c r="H1914" s="89"/>
      <c r="I1914" s="90"/>
      <c r="J1914" s="88" t="s">
        <v>13</v>
      </c>
      <c r="K1914" s="89"/>
      <c r="L1914" s="89"/>
      <c r="M1914" s="90"/>
      <c r="N1914" s="88" t="s">
        <v>2360</v>
      </c>
      <c r="O1914" s="89"/>
      <c r="P1914" s="90"/>
      <c r="Q1914" s="133">
        <v>11600</v>
      </c>
      <c r="R1914" s="134"/>
      <c r="S1914" s="5" t="s">
        <v>945</v>
      </c>
      <c r="T1914" s="6"/>
      <c r="U1914" s="8">
        <v>2</v>
      </c>
      <c r="V1914" s="5" t="s">
        <v>106</v>
      </c>
      <c r="W1914" s="12">
        <v>8654434</v>
      </c>
      <c r="X1914" s="6"/>
      <c r="Y1914" s="6"/>
    </row>
    <row r="1915" spans="1:25" ht="15" customHeight="1" x14ac:dyDescent="0.2">
      <c r="A1915" s="88" t="s">
        <v>2358</v>
      </c>
      <c r="B1915" s="90"/>
      <c r="C1915" s="88" t="s">
        <v>2373</v>
      </c>
      <c r="D1915" s="90"/>
      <c r="E1915" s="88" t="s">
        <v>2359</v>
      </c>
      <c r="F1915" s="89"/>
      <c r="G1915" s="89"/>
      <c r="H1915" s="89"/>
      <c r="I1915" s="90"/>
      <c r="J1915" s="88" t="s">
        <v>13</v>
      </c>
      <c r="K1915" s="89"/>
      <c r="L1915" s="89"/>
      <c r="M1915" s="90"/>
      <c r="N1915" s="88" t="s">
        <v>2360</v>
      </c>
      <c r="O1915" s="89"/>
      <c r="P1915" s="90"/>
      <c r="Q1915" s="133">
        <v>11600</v>
      </c>
      <c r="R1915" s="134"/>
      <c r="S1915" s="5" t="s">
        <v>945</v>
      </c>
      <c r="T1915" s="6"/>
      <c r="U1915" s="8">
        <v>2</v>
      </c>
      <c r="V1915" s="5" t="s">
        <v>106</v>
      </c>
      <c r="W1915" s="12">
        <v>8865518</v>
      </c>
      <c r="X1915" s="6"/>
      <c r="Y1915" s="6"/>
    </row>
    <row r="1916" spans="1:25" ht="15" customHeight="1" x14ac:dyDescent="0.2">
      <c r="A1916" s="88" t="s">
        <v>2358</v>
      </c>
      <c r="B1916" s="90"/>
      <c r="C1916" s="88" t="s">
        <v>2374</v>
      </c>
      <c r="D1916" s="90"/>
      <c r="E1916" s="88" t="s">
        <v>2375</v>
      </c>
      <c r="F1916" s="89"/>
      <c r="G1916" s="89"/>
      <c r="H1916" s="89"/>
      <c r="I1916" s="90"/>
      <c r="J1916" s="88" t="s">
        <v>13</v>
      </c>
      <c r="K1916" s="89"/>
      <c r="L1916" s="89"/>
      <c r="M1916" s="90"/>
      <c r="N1916" s="88" t="s">
        <v>2360</v>
      </c>
      <c r="O1916" s="89"/>
      <c r="P1916" s="90"/>
      <c r="Q1916" s="88" t="s">
        <v>181</v>
      </c>
      <c r="R1916" s="90"/>
      <c r="S1916" s="5" t="s">
        <v>945</v>
      </c>
      <c r="T1916" s="6"/>
      <c r="U1916" s="8">
        <v>2</v>
      </c>
      <c r="V1916" s="5" t="s">
        <v>17</v>
      </c>
      <c r="W1916" s="12">
        <v>9498769</v>
      </c>
      <c r="X1916" s="6"/>
      <c r="Y1916" s="6"/>
    </row>
    <row r="1917" spans="1:25" ht="15" customHeight="1" x14ac:dyDescent="0.2">
      <c r="A1917" s="88" t="s">
        <v>2358</v>
      </c>
      <c r="B1917" s="90"/>
      <c r="C1917" s="88" t="s">
        <v>2376</v>
      </c>
      <c r="D1917" s="90"/>
      <c r="E1917" s="88" t="s">
        <v>2359</v>
      </c>
      <c r="F1917" s="89"/>
      <c r="G1917" s="89"/>
      <c r="H1917" s="89"/>
      <c r="I1917" s="90"/>
      <c r="J1917" s="88" t="s">
        <v>13</v>
      </c>
      <c r="K1917" s="89"/>
      <c r="L1917" s="89"/>
      <c r="M1917" s="90"/>
      <c r="N1917" s="88" t="s">
        <v>2360</v>
      </c>
      <c r="O1917" s="89"/>
      <c r="P1917" s="90"/>
      <c r="Q1917" s="133">
        <v>11600</v>
      </c>
      <c r="R1917" s="134"/>
      <c r="S1917" s="5" t="s">
        <v>945</v>
      </c>
      <c r="T1917" s="6"/>
      <c r="U1917" s="8">
        <v>2</v>
      </c>
      <c r="V1917" s="5" t="s">
        <v>106</v>
      </c>
      <c r="W1917" s="12">
        <v>9076601</v>
      </c>
      <c r="X1917" s="6"/>
      <c r="Y1917" s="6"/>
    </row>
    <row r="1918" spans="1:25" ht="15" customHeight="1" x14ac:dyDescent="0.2">
      <c r="A1918" s="88" t="s">
        <v>2358</v>
      </c>
      <c r="B1918" s="90"/>
      <c r="C1918" s="88" t="s">
        <v>2377</v>
      </c>
      <c r="D1918" s="90"/>
      <c r="E1918" s="88" t="s">
        <v>2378</v>
      </c>
      <c r="F1918" s="89"/>
      <c r="G1918" s="89"/>
      <c r="H1918" s="89"/>
      <c r="I1918" s="90"/>
      <c r="J1918" s="88" t="s">
        <v>13</v>
      </c>
      <c r="K1918" s="89"/>
      <c r="L1918" s="89"/>
      <c r="M1918" s="90"/>
      <c r="N1918" s="88" t="s">
        <v>2360</v>
      </c>
      <c r="O1918" s="89"/>
      <c r="P1918" s="90"/>
      <c r="Q1918" s="133">
        <v>11600</v>
      </c>
      <c r="R1918" s="134"/>
      <c r="S1918" s="5" t="s">
        <v>945</v>
      </c>
      <c r="T1918" s="6"/>
      <c r="U1918" s="8">
        <v>2</v>
      </c>
      <c r="V1918" s="5" t="s">
        <v>2379</v>
      </c>
      <c r="W1918" s="12">
        <v>8865518</v>
      </c>
      <c r="X1918" s="6"/>
      <c r="Y1918" s="6"/>
    </row>
    <row r="1919" spans="1:25" ht="15" customHeight="1" x14ac:dyDescent="0.2">
      <c r="A1919" s="88" t="s">
        <v>2358</v>
      </c>
      <c r="B1919" s="90"/>
      <c r="C1919" s="88" t="s">
        <v>2380</v>
      </c>
      <c r="D1919" s="90"/>
      <c r="E1919" s="88" t="s">
        <v>2359</v>
      </c>
      <c r="F1919" s="89"/>
      <c r="G1919" s="89"/>
      <c r="H1919" s="89"/>
      <c r="I1919" s="90"/>
      <c r="J1919" s="88" t="s">
        <v>13</v>
      </c>
      <c r="K1919" s="89"/>
      <c r="L1919" s="89"/>
      <c r="M1919" s="90"/>
      <c r="N1919" s="88" t="s">
        <v>2360</v>
      </c>
      <c r="O1919" s="89"/>
      <c r="P1919" s="90"/>
      <c r="Q1919" s="133">
        <v>11600</v>
      </c>
      <c r="R1919" s="134"/>
      <c r="S1919" s="5" t="s">
        <v>945</v>
      </c>
      <c r="T1919" s="6"/>
      <c r="U1919" s="8">
        <v>2</v>
      </c>
      <c r="V1919" s="5" t="s">
        <v>106</v>
      </c>
      <c r="W1919" s="12">
        <v>8232266</v>
      </c>
      <c r="X1919" s="6"/>
      <c r="Y1919" s="6"/>
    </row>
    <row r="1920" spans="1:25" ht="15" customHeight="1" x14ac:dyDescent="0.2">
      <c r="A1920" s="88" t="s">
        <v>2358</v>
      </c>
      <c r="B1920" s="90"/>
      <c r="C1920" s="88" t="s">
        <v>2381</v>
      </c>
      <c r="D1920" s="90"/>
      <c r="E1920" s="88" t="s">
        <v>2359</v>
      </c>
      <c r="F1920" s="89"/>
      <c r="G1920" s="89"/>
      <c r="H1920" s="89"/>
      <c r="I1920" s="90"/>
      <c r="J1920" s="88" t="s">
        <v>599</v>
      </c>
      <c r="K1920" s="89"/>
      <c r="L1920" s="89"/>
      <c r="M1920" s="90"/>
      <c r="N1920" s="88" t="s">
        <v>2360</v>
      </c>
      <c r="O1920" s="89"/>
      <c r="P1920" s="90"/>
      <c r="Q1920" s="133">
        <v>11600</v>
      </c>
      <c r="R1920" s="134"/>
      <c r="S1920" s="5" t="s">
        <v>945</v>
      </c>
      <c r="T1920" s="6"/>
      <c r="U1920" s="8">
        <v>2</v>
      </c>
      <c r="V1920" s="5" t="s">
        <v>106</v>
      </c>
      <c r="W1920" s="12">
        <v>8443350</v>
      </c>
      <c r="X1920" s="6"/>
      <c r="Y1920" s="6"/>
    </row>
    <row r="1921" spans="1:25" ht="15" customHeight="1" x14ac:dyDescent="0.2">
      <c r="A1921" s="88" t="s">
        <v>2358</v>
      </c>
      <c r="B1921" s="90"/>
      <c r="C1921" s="88" t="s">
        <v>2382</v>
      </c>
      <c r="D1921" s="90"/>
      <c r="E1921" s="88" t="s">
        <v>2359</v>
      </c>
      <c r="F1921" s="89"/>
      <c r="G1921" s="89"/>
      <c r="H1921" s="89"/>
      <c r="I1921" s="90"/>
      <c r="J1921" s="88" t="s">
        <v>13</v>
      </c>
      <c r="K1921" s="89"/>
      <c r="L1921" s="89"/>
      <c r="M1921" s="90"/>
      <c r="N1921" s="88" t="s">
        <v>2360</v>
      </c>
      <c r="O1921" s="89"/>
      <c r="P1921" s="90"/>
      <c r="Q1921" s="133">
        <v>11600</v>
      </c>
      <c r="R1921" s="134"/>
      <c r="S1921" s="5" t="s">
        <v>945</v>
      </c>
      <c r="T1921" s="6"/>
      <c r="U1921" s="8">
        <v>2</v>
      </c>
      <c r="V1921" s="5" t="s">
        <v>106</v>
      </c>
      <c r="W1921" s="12">
        <v>9287685</v>
      </c>
      <c r="X1921" s="6"/>
      <c r="Y1921" s="6"/>
    </row>
    <row r="1922" spans="1:25" ht="15" customHeight="1" x14ac:dyDescent="0.2">
      <c r="A1922" s="88" t="s">
        <v>2358</v>
      </c>
      <c r="B1922" s="90"/>
      <c r="C1922" s="88" t="s">
        <v>2359</v>
      </c>
      <c r="D1922" s="90"/>
      <c r="E1922" s="88" t="s">
        <v>2359</v>
      </c>
      <c r="F1922" s="89"/>
      <c r="G1922" s="89"/>
      <c r="H1922" s="89"/>
      <c r="I1922" s="90"/>
      <c r="J1922" s="88" t="s">
        <v>13</v>
      </c>
      <c r="K1922" s="89"/>
      <c r="L1922" s="89"/>
      <c r="M1922" s="90"/>
      <c r="N1922" s="88" t="s">
        <v>2360</v>
      </c>
      <c r="O1922" s="89"/>
      <c r="P1922" s="90"/>
      <c r="Q1922" s="133">
        <v>11600</v>
      </c>
      <c r="R1922" s="134"/>
      <c r="S1922" s="5" t="s">
        <v>945</v>
      </c>
      <c r="T1922" s="6"/>
      <c r="U1922" s="8">
        <v>2</v>
      </c>
      <c r="V1922" s="5" t="s">
        <v>106</v>
      </c>
      <c r="W1922" s="12">
        <v>13026883</v>
      </c>
      <c r="X1922" s="6"/>
      <c r="Y1922" s="6"/>
    </row>
    <row r="1923" spans="1:25" ht="15" customHeight="1" x14ac:dyDescent="0.2">
      <c r="A1923" s="88" t="s">
        <v>2358</v>
      </c>
      <c r="B1923" s="90"/>
      <c r="C1923" s="88" t="s">
        <v>2374</v>
      </c>
      <c r="D1923" s="90"/>
      <c r="E1923" s="88" t="s">
        <v>2375</v>
      </c>
      <c r="F1923" s="89"/>
      <c r="G1923" s="89"/>
      <c r="H1923" s="89"/>
      <c r="I1923" s="90"/>
      <c r="J1923" s="88" t="s">
        <v>13</v>
      </c>
      <c r="K1923" s="89"/>
      <c r="L1923" s="89"/>
      <c r="M1923" s="90"/>
      <c r="N1923" s="88" t="s">
        <v>2360</v>
      </c>
      <c r="O1923" s="89"/>
      <c r="P1923" s="90"/>
      <c r="Q1923" s="88" t="s">
        <v>181</v>
      </c>
      <c r="R1923" s="90"/>
      <c r="S1923" s="5" t="s">
        <v>945</v>
      </c>
      <c r="T1923" s="6"/>
      <c r="U1923" s="8">
        <v>2</v>
      </c>
      <c r="V1923" s="5" t="s">
        <v>17</v>
      </c>
      <c r="W1923" s="12">
        <v>14655243</v>
      </c>
      <c r="X1923" s="6"/>
      <c r="Y1923" s="6"/>
    </row>
    <row r="1924" spans="1:25" ht="15" customHeight="1" x14ac:dyDescent="0.2">
      <c r="A1924" s="88" t="s">
        <v>2358</v>
      </c>
      <c r="B1924" s="90"/>
      <c r="C1924" s="88" t="s">
        <v>2377</v>
      </c>
      <c r="D1924" s="90"/>
      <c r="E1924" s="88" t="s">
        <v>2378</v>
      </c>
      <c r="F1924" s="89"/>
      <c r="G1924" s="89"/>
      <c r="H1924" s="89"/>
      <c r="I1924" s="90"/>
      <c r="J1924" s="88" t="s">
        <v>13</v>
      </c>
      <c r="K1924" s="89"/>
      <c r="L1924" s="89"/>
      <c r="M1924" s="90"/>
      <c r="N1924" s="88" t="s">
        <v>2360</v>
      </c>
      <c r="O1924" s="89"/>
      <c r="P1924" s="90"/>
      <c r="Q1924" s="133">
        <v>11600</v>
      </c>
      <c r="R1924" s="134"/>
      <c r="S1924" s="5" t="s">
        <v>945</v>
      </c>
      <c r="T1924" s="6"/>
      <c r="U1924" s="8">
        <v>2</v>
      </c>
      <c r="V1924" s="5" t="s">
        <v>2379</v>
      </c>
      <c r="W1924" s="12">
        <v>13678227</v>
      </c>
      <c r="X1924" s="6"/>
      <c r="Y1924" s="6"/>
    </row>
    <row r="1925" spans="1:25" ht="15" customHeight="1" x14ac:dyDescent="0.2">
      <c r="A1925" s="88" t="s">
        <v>2358</v>
      </c>
      <c r="B1925" s="90"/>
      <c r="C1925" s="88" t="s">
        <v>2368</v>
      </c>
      <c r="D1925" s="90"/>
      <c r="E1925" s="88" t="s">
        <v>2369</v>
      </c>
      <c r="F1925" s="89"/>
      <c r="G1925" s="89"/>
      <c r="H1925" s="89"/>
      <c r="I1925" s="90"/>
      <c r="J1925" s="88" t="s">
        <v>13</v>
      </c>
      <c r="K1925" s="89"/>
      <c r="L1925" s="89"/>
      <c r="M1925" s="90"/>
      <c r="N1925" s="88" t="s">
        <v>2360</v>
      </c>
      <c r="O1925" s="89"/>
      <c r="P1925" s="90"/>
      <c r="Q1925" s="133">
        <v>11600</v>
      </c>
      <c r="R1925" s="134"/>
      <c r="S1925" s="5" t="s">
        <v>945</v>
      </c>
      <c r="T1925" s="6"/>
      <c r="U1925" s="8">
        <v>2</v>
      </c>
      <c r="V1925" s="5" t="s">
        <v>2370</v>
      </c>
      <c r="W1925" s="12">
        <v>14003899</v>
      </c>
      <c r="X1925" s="6"/>
      <c r="Y1925" s="6"/>
    </row>
    <row r="1926" spans="1:25" ht="15" customHeight="1" x14ac:dyDescent="0.2">
      <c r="A1926" s="88" t="s">
        <v>2358</v>
      </c>
      <c r="B1926" s="90"/>
      <c r="C1926" s="88" t="s">
        <v>2361</v>
      </c>
      <c r="D1926" s="90"/>
      <c r="E1926" s="88" t="s">
        <v>2359</v>
      </c>
      <c r="F1926" s="89"/>
      <c r="G1926" s="89"/>
      <c r="H1926" s="89"/>
      <c r="I1926" s="90"/>
      <c r="J1926" s="88" t="s">
        <v>13</v>
      </c>
      <c r="K1926" s="89"/>
      <c r="L1926" s="89"/>
      <c r="M1926" s="90"/>
      <c r="N1926" s="88" t="s">
        <v>2362</v>
      </c>
      <c r="O1926" s="89"/>
      <c r="P1926" s="90"/>
      <c r="Q1926" s="133">
        <v>11600</v>
      </c>
      <c r="R1926" s="134"/>
      <c r="S1926" s="5" t="s">
        <v>945</v>
      </c>
      <c r="T1926" s="6"/>
      <c r="U1926" s="8">
        <v>2</v>
      </c>
      <c r="V1926" s="5" t="s">
        <v>106</v>
      </c>
      <c r="W1926" s="12">
        <v>12375539</v>
      </c>
      <c r="X1926" s="6"/>
      <c r="Y1926" s="6"/>
    </row>
    <row r="1927" spans="1:25" ht="15" customHeight="1" x14ac:dyDescent="0.2">
      <c r="A1927" s="88" t="s">
        <v>2358</v>
      </c>
      <c r="B1927" s="90"/>
      <c r="C1927" s="88" t="s">
        <v>2363</v>
      </c>
      <c r="D1927" s="90"/>
      <c r="E1927" s="88" t="s">
        <v>2359</v>
      </c>
      <c r="F1927" s="89"/>
      <c r="G1927" s="89"/>
      <c r="H1927" s="89"/>
      <c r="I1927" s="90"/>
      <c r="J1927" s="88" t="s">
        <v>13</v>
      </c>
      <c r="K1927" s="89"/>
      <c r="L1927" s="89"/>
      <c r="M1927" s="90"/>
      <c r="N1927" s="88" t="s">
        <v>2364</v>
      </c>
      <c r="O1927" s="89"/>
      <c r="P1927" s="90"/>
      <c r="Q1927" s="133">
        <v>11600</v>
      </c>
      <c r="R1927" s="134"/>
      <c r="S1927" s="5" t="s">
        <v>945</v>
      </c>
      <c r="T1927" s="6"/>
      <c r="U1927" s="8">
        <v>2</v>
      </c>
      <c r="V1927" s="5" t="s">
        <v>106</v>
      </c>
      <c r="W1927" s="12">
        <v>12701211</v>
      </c>
      <c r="X1927" s="6"/>
      <c r="Y1927" s="6"/>
    </row>
    <row r="1928" spans="1:25" ht="15" customHeight="1" x14ac:dyDescent="0.2">
      <c r="A1928" s="88" t="s">
        <v>2358</v>
      </c>
      <c r="B1928" s="90"/>
      <c r="C1928" s="88" t="s">
        <v>2365</v>
      </c>
      <c r="D1928" s="90"/>
      <c r="E1928" s="88" t="s">
        <v>2359</v>
      </c>
      <c r="F1928" s="89"/>
      <c r="G1928" s="89"/>
      <c r="H1928" s="89"/>
      <c r="I1928" s="90"/>
      <c r="J1928" s="88" t="s">
        <v>13</v>
      </c>
      <c r="K1928" s="89"/>
      <c r="L1928" s="89"/>
      <c r="M1928" s="90"/>
      <c r="N1928" s="88" t="s">
        <v>2366</v>
      </c>
      <c r="O1928" s="89"/>
      <c r="P1928" s="90"/>
      <c r="Q1928" s="133">
        <v>11600</v>
      </c>
      <c r="R1928" s="134"/>
      <c r="S1928" s="5" t="s">
        <v>945</v>
      </c>
      <c r="T1928" s="6"/>
      <c r="U1928" s="8">
        <v>2</v>
      </c>
      <c r="V1928" s="5" t="s">
        <v>106</v>
      </c>
      <c r="W1928" s="12">
        <v>14329571</v>
      </c>
      <c r="X1928" s="6"/>
      <c r="Y1928" s="6"/>
    </row>
    <row r="1929" spans="1:25" ht="15" customHeight="1" x14ac:dyDescent="0.2">
      <c r="A1929" s="88" t="s">
        <v>2358</v>
      </c>
      <c r="B1929" s="90"/>
      <c r="C1929" s="88" t="s">
        <v>2372</v>
      </c>
      <c r="D1929" s="90"/>
      <c r="E1929" s="88" t="s">
        <v>2359</v>
      </c>
      <c r="F1929" s="89"/>
      <c r="G1929" s="89"/>
      <c r="H1929" s="89"/>
      <c r="I1929" s="90"/>
      <c r="J1929" s="88" t="s">
        <v>13</v>
      </c>
      <c r="K1929" s="89"/>
      <c r="L1929" s="89"/>
      <c r="M1929" s="90"/>
      <c r="N1929" s="88" t="s">
        <v>2360</v>
      </c>
      <c r="O1929" s="89"/>
      <c r="P1929" s="90"/>
      <c r="Q1929" s="133">
        <v>11600</v>
      </c>
      <c r="R1929" s="134"/>
      <c r="S1929" s="5" t="s">
        <v>945</v>
      </c>
      <c r="T1929" s="6"/>
      <c r="U1929" s="8">
        <v>2</v>
      </c>
      <c r="V1929" s="5" t="s">
        <v>106</v>
      </c>
      <c r="W1929" s="12">
        <v>13352555</v>
      </c>
      <c r="X1929" s="6"/>
      <c r="Y1929" s="6"/>
    </row>
    <row r="1930" spans="1:25" ht="15" customHeight="1" x14ac:dyDescent="0.2">
      <c r="A1930" s="88" t="s">
        <v>2358</v>
      </c>
      <c r="B1930" s="90"/>
      <c r="C1930" s="88" t="s">
        <v>2373</v>
      </c>
      <c r="D1930" s="90"/>
      <c r="E1930" s="88" t="s">
        <v>2359</v>
      </c>
      <c r="F1930" s="89"/>
      <c r="G1930" s="89"/>
      <c r="H1930" s="89"/>
      <c r="I1930" s="90"/>
      <c r="J1930" s="88" t="s">
        <v>13</v>
      </c>
      <c r="K1930" s="89"/>
      <c r="L1930" s="89"/>
      <c r="M1930" s="90"/>
      <c r="N1930" s="88" t="s">
        <v>2360</v>
      </c>
      <c r="O1930" s="89"/>
      <c r="P1930" s="90"/>
      <c r="Q1930" s="133">
        <v>11600</v>
      </c>
      <c r="R1930" s="134"/>
      <c r="S1930" s="5" t="s">
        <v>945</v>
      </c>
      <c r="T1930" s="6"/>
      <c r="U1930" s="8">
        <v>2</v>
      </c>
      <c r="V1930" s="5" t="s">
        <v>106</v>
      </c>
      <c r="W1930" s="12">
        <v>13678227</v>
      </c>
      <c r="X1930" s="6"/>
      <c r="Y1930" s="6"/>
    </row>
    <row r="1931" spans="1:25" ht="15" customHeight="1" x14ac:dyDescent="0.2">
      <c r="A1931" s="88" t="s">
        <v>2358</v>
      </c>
      <c r="B1931" s="90"/>
      <c r="C1931" s="88" t="s">
        <v>2376</v>
      </c>
      <c r="D1931" s="90"/>
      <c r="E1931" s="88" t="s">
        <v>2359</v>
      </c>
      <c r="F1931" s="89"/>
      <c r="G1931" s="89"/>
      <c r="H1931" s="89"/>
      <c r="I1931" s="90"/>
      <c r="J1931" s="88" t="s">
        <v>13</v>
      </c>
      <c r="K1931" s="89"/>
      <c r="L1931" s="89"/>
      <c r="M1931" s="90"/>
      <c r="N1931" s="88" t="s">
        <v>2360</v>
      </c>
      <c r="O1931" s="89"/>
      <c r="P1931" s="90"/>
      <c r="Q1931" s="133">
        <v>11600</v>
      </c>
      <c r="R1931" s="134"/>
      <c r="S1931" s="5" t="s">
        <v>945</v>
      </c>
      <c r="T1931" s="6"/>
      <c r="U1931" s="8">
        <v>2</v>
      </c>
      <c r="V1931" s="5" t="s">
        <v>106</v>
      </c>
      <c r="W1931" s="12">
        <v>14003899</v>
      </c>
      <c r="X1931" s="6"/>
      <c r="Y1931" s="6"/>
    </row>
    <row r="1932" spans="1:25" ht="15" customHeight="1" x14ac:dyDescent="0.2">
      <c r="A1932" s="88" t="s">
        <v>2358</v>
      </c>
      <c r="B1932" s="90"/>
      <c r="C1932" s="88" t="s">
        <v>2380</v>
      </c>
      <c r="D1932" s="90"/>
      <c r="E1932" s="88" t="s">
        <v>2359</v>
      </c>
      <c r="F1932" s="89"/>
      <c r="G1932" s="89"/>
      <c r="H1932" s="89"/>
      <c r="I1932" s="90"/>
      <c r="J1932" s="88" t="s">
        <v>13</v>
      </c>
      <c r="K1932" s="89"/>
      <c r="L1932" s="89"/>
      <c r="M1932" s="90"/>
      <c r="N1932" s="88" t="s">
        <v>2360</v>
      </c>
      <c r="O1932" s="89"/>
      <c r="P1932" s="90"/>
      <c r="Q1932" s="133">
        <v>11600</v>
      </c>
      <c r="R1932" s="134"/>
      <c r="S1932" s="5" t="s">
        <v>945</v>
      </c>
      <c r="T1932" s="6"/>
      <c r="U1932" s="8">
        <v>2</v>
      </c>
      <c r="V1932" s="5" t="s">
        <v>106</v>
      </c>
      <c r="W1932" s="12">
        <v>12701211</v>
      </c>
      <c r="X1932" s="6"/>
      <c r="Y1932" s="6"/>
    </row>
    <row r="1933" spans="1:25" ht="15" customHeight="1" x14ac:dyDescent="0.2">
      <c r="A1933" s="88" t="s">
        <v>2358</v>
      </c>
      <c r="B1933" s="90"/>
      <c r="C1933" s="88" t="s">
        <v>2382</v>
      </c>
      <c r="D1933" s="90"/>
      <c r="E1933" s="88" t="s">
        <v>2359</v>
      </c>
      <c r="F1933" s="89"/>
      <c r="G1933" s="89"/>
      <c r="H1933" s="89"/>
      <c r="I1933" s="90"/>
      <c r="J1933" s="88" t="s">
        <v>13</v>
      </c>
      <c r="K1933" s="89"/>
      <c r="L1933" s="89"/>
      <c r="M1933" s="90"/>
      <c r="N1933" s="88" t="s">
        <v>2360</v>
      </c>
      <c r="O1933" s="89"/>
      <c r="P1933" s="90"/>
      <c r="Q1933" s="133">
        <v>11600</v>
      </c>
      <c r="R1933" s="134"/>
      <c r="S1933" s="5" t="s">
        <v>945</v>
      </c>
      <c r="T1933" s="6"/>
      <c r="U1933" s="8">
        <v>2</v>
      </c>
      <c r="V1933" s="5" t="s">
        <v>106</v>
      </c>
      <c r="W1933" s="12">
        <v>14329571</v>
      </c>
      <c r="X1933" s="6"/>
      <c r="Y1933" s="6"/>
    </row>
    <row r="1934" spans="1:25" ht="15" customHeight="1" x14ac:dyDescent="0.2">
      <c r="A1934" s="88" t="s">
        <v>2358</v>
      </c>
      <c r="B1934" s="90"/>
      <c r="C1934" s="88" t="s">
        <v>2371</v>
      </c>
      <c r="D1934" s="90"/>
      <c r="E1934" s="88" t="s">
        <v>2359</v>
      </c>
      <c r="F1934" s="89"/>
      <c r="G1934" s="89"/>
      <c r="H1934" s="89"/>
      <c r="I1934" s="90"/>
      <c r="J1934" s="88" t="s">
        <v>13</v>
      </c>
      <c r="K1934" s="89"/>
      <c r="L1934" s="89"/>
      <c r="M1934" s="90"/>
      <c r="N1934" s="88" t="s">
        <v>2360</v>
      </c>
      <c r="O1934" s="89"/>
      <c r="P1934" s="90"/>
      <c r="Q1934" s="133">
        <v>11600</v>
      </c>
      <c r="R1934" s="134"/>
      <c r="S1934" s="5" t="s">
        <v>945</v>
      </c>
      <c r="T1934" s="6"/>
      <c r="U1934" s="8">
        <v>2</v>
      </c>
      <c r="V1934" s="5" t="s">
        <v>106</v>
      </c>
      <c r="W1934" s="12">
        <v>13026883</v>
      </c>
      <c r="X1934" s="6"/>
      <c r="Y1934" s="6"/>
    </row>
    <row r="1935" spans="1:25" ht="15" customHeight="1" x14ac:dyDescent="0.2">
      <c r="A1935" s="88" t="s">
        <v>2358</v>
      </c>
      <c r="B1935" s="90"/>
      <c r="C1935" s="88" t="s">
        <v>2367</v>
      </c>
      <c r="D1935" s="90"/>
      <c r="E1935" s="88" t="s">
        <v>2359</v>
      </c>
      <c r="F1935" s="89"/>
      <c r="G1935" s="89"/>
      <c r="H1935" s="89"/>
      <c r="I1935" s="90"/>
      <c r="J1935" s="88" t="s">
        <v>13</v>
      </c>
      <c r="K1935" s="89"/>
      <c r="L1935" s="89"/>
      <c r="M1935" s="90"/>
      <c r="N1935" s="88" t="s">
        <v>2360</v>
      </c>
      <c r="O1935" s="89"/>
      <c r="P1935" s="90"/>
      <c r="Q1935" s="133">
        <v>11600</v>
      </c>
      <c r="R1935" s="134"/>
      <c r="S1935" s="5" t="s">
        <v>945</v>
      </c>
      <c r="T1935" s="6"/>
      <c r="U1935" s="8">
        <v>2</v>
      </c>
      <c r="V1935" s="5" t="s">
        <v>106</v>
      </c>
      <c r="W1935" s="12">
        <v>14655243</v>
      </c>
      <c r="X1935" s="6"/>
      <c r="Y1935" s="6"/>
    </row>
    <row r="1936" spans="1:25" ht="15" customHeight="1" x14ac:dyDescent="0.2">
      <c r="A1936" s="88" t="s">
        <v>2358</v>
      </c>
      <c r="B1936" s="90"/>
      <c r="C1936" s="88" t="s">
        <v>2381</v>
      </c>
      <c r="D1936" s="90"/>
      <c r="E1936" s="88" t="s">
        <v>2359</v>
      </c>
      <c r="F1936" s="89"/>
      <c r="G1936" s="89"/>
      <c r="H1936" s="89"/>
      <c r="I1936" s="90"/>
      <c r="J1936" s="88" t="s">
        <v>599</v>
      </c>
      <c r="K1936" s="89"/>
      <c r="L1936" s="89"/>
      <c r="M1936" s="90"/>
      <c r="N1936" s="88" t="s">
        <v>2360</v>
      </c>
      <c r="O1936" s="89"/>
      <c r="P1936" s="90"/>
      <c r="Q1936" s="133">
        <v>11600</v>
      </c>
      <c r="R1936" s="134"/>
      <c r="S1936" s="5" t="s">
        <v>945</v>
      </c>
      <c r="T1936" s="6"/>
      <c r="U1936" s="8">
        <v>2</v>
      </c>
      <c r="V1936" s="5" t="s">
        <v>106</v>
      </c>
      <c r="W1936" s="12">
        <v>13026883</v>
      </c>
      <c r="X1936" s="6"/>
      <c r="Y1936" s="6"/>
    </row>
    <row r="1937" spans="1:25" ht="15" customHeight="1" x14ac:dyDescent="0.2">
      <c r="A1937" s="88" t="s">
        <v>2383</v>
      </c>
      <c r="B1937" s="90"/>
      <c r="C1937" s="88" t="s">
        <v>2384</v>
      </c>
      <c r="D1937" s="90"/>
      <c r="E1937" s="88" t="s">
        <v>2385</v>
      </c>
      <c r="F1937" s="89"/>
      <c r="G1937" s="89"/>
      <c r="H1937" s="89"/>
      <c r="I1937" s="90"/>
      <c r="J1937" s="88" t="s">
        <v>13</v>
      </c>
      <c r="K1937" s="89"/>
      <c r="L1937" s="89"/>
      <c r="M1937" s="90"/>
      <c r="N1937" s="88" t="s">
        <v>26</v>
      </c>
      <c r="O1937" s="89"/>
      <c r="P1937" s="90"/>
      <c r="Q1937" s="133">
        <v>2000</v>
      </c>
      <c r="R1937" s="134"/>
      <c r="S1937" s="5" t="s">
        <v>70</v>
      </c>
      <c r="T1937" s="6"/>
      <c r="U1937" s="6"/>
      <c r="V1937" s="5" t="s">
        <v>106</v>
      </c>
      <c r="W1937" s="12">
        <v>10642843</v>
      </c>
      <c r="X1937" s="6"/>
      <c r="Y1937" s="6"/>
    </row>
    <row r="1938" spans="1:25" ht="15" customHeight="1" x14ac:dyDescent="0.2">
      <c r="A1938" s="88" t="s">
        <v>2383</v>
      </c>
      <c r="B1938" s="90"/>
      <c r="C1938" s="88" t="s">
        <v>2386</v>
      </c>
      <c r="D1938" s="90"/>
      <c r="E1938" s="88" t="s">
        <v>2387</v>
      </c>
      <c r="F1938" s="89"/>
      <c r="G1938" s="89"/>
      <c r="H1938" s="89"/>
      <c r="I1938" s="90"/>
      <c r="J1938" s="88" t="s">
        <v>13</v>
      </c>
      <c r="K1938" s="89"/>
      <c r="L1938" s="89"/>
      <c r="M1938" s="90"/>
      <c r="N1938" s="88" t="s">
        <v>26</v>
      </c>
      <c r="O1938" s="89"/>
      <c r="P1938" s="90"/>
      <c r="Q1938" s="133">
        <v>2000</v>
      </c>
      <c r="R1938" s="134"/>
      <c r="S1938" s="5" t="s">
        <v>44</v>
      </c>
      <c r="T1938" s="6"/>
      <c r="U1938" s="6"/>
      <c r="V1938" s="5" t="s">
        <v>23</v>
      </c>
      <c r="W1938" s="12">
        <v>8072370</v>
      </c>
      <c r="X1938" s="6"/>
      <c r="Y1938" s="6"/>
    </row>
    <row r="1939" spans="1:25" ht="15" customHeight="1" x14ac:dyDescent="0.2">
      <c r="A1939" s="88" t="s">
        <v>2383</v>
      </c>
      <c r="B1939" s="90"/>
      <c r="C1939" s="88" t="s">
        <v>2388</v>
      </c>
      <c r="D1939" s="90"/>
      <c r="E1939" s="88" t="s">
        <v>2389</v>
      </c>
      <c r="F1939" s="89"/>
      <c r="G1939" s="89"/>
      <c r="H1939" s="89"/>
      <c r="I1939" s="90"/>
      <c r="J1939" s="88" t="s">
        <v>13</v>
      </c>
      <c r="K1939" s="89"/>
      <c r="L1939" s="89"/>
      <c r="M1939" s="90"/>
      <c r="N1939" s="88" t="s">
        <v>22</v>
      </c>
      <c r="O1939" s="89"/>
      <c r="P1939" s="90"/>
      <c r="Q1939" s="88" t="s">
        <v>181</v>
      </c>
      <c r="R1939" s="90"/>
      <c r="S1939" s="5" t="s">
        <v>271</v>
      </c>
      <c r="T1939" s="6"/>
      <c r="U1939" s="6"/>
      <c r="V1939" s="5" t="s">
        <v>17</v>
      </c>
      <c r="W1939" s="12">
        <v>15090143</v>
      </c>
      <c r="X1939" s="6"/>
      <c r="Y1939" s="6"/>
    </row>
    <row r="1940" spans="1:25" ht="15" customHeight="1" x14ac:dyDescent="0.2">
      <c r="A1940" s="88" t="s">
        <v>2383</v>
      </c>
      <c r="B1940" s="90"/>
      <c r="C1940" s="88" t="s">
        <v>2390</v>
      </c>
      <c r="D1940" s="90"/>
      <c r="E1940" s="88" t="s">
        <v>2391</v>
      </c>
      <c r="F1940" s="89"/>
      <c r="G1940" s="89"/>
      <c r="H1940" s="89"/>
      <c r="I1940" s="90"/>
      <c r="J1940" s="88" t="s">
        <v>13</v>
      </c>
      <c r="K1940" s="89"/>
      <c r="L1940" s="89"/>
      <c r="M1940" s="90"/>
      <c r="N1940" s="88" t="s">
        <v>26</v>
      </c>
      <c r="O1940" s="89"/>
      <c r="P1940" s="90"/>
      <c r="Q1940" s="133">
        <v>2000</v>
      </c>
      <c r="R1940" s="134"/>
      <c r="S1940" s="5" t="s">
        <v>271</v>
      </c>
      <c r="T1940" s="6"/>
      <c r="U1940" s="6"/>
      <c r="V1940" s="5" t="s">
        <v>23</v>
      </c>
      <c r="W1940" s="12">
        <v>19301850</v>
      </c>
      <c r="X1940" s="6"/>
      <c r="Y1940" s="6"/>
    </row>
    <row r="1941" spans="1:25" ht="15" customHeight="1" x14ac:dyDescent="0.2">
      <c r="A1941" s="88" t="s">
        <v>2383</v>
      </c>
      <c r="B1941" s="90"/>
      <c r="C1941" s="88" t="s">
        <v>2392</v>
      </c>
      <c r="D1941" s="90"/>
      <c r="E1941" s="88" t="s">
        <v>2393</v>
      </c>
      <c r="F1941" s="89"/>
      <c r="G1941" s="89"/>
      <c r="H1941" s="89"/>
      <c r="I1941" s="90"/>
      <c r="J1941" s="88" t="s">
        <v>13</v>
      </c>
      <c r="K1941" s="89"/>
      <c r="L1941" s="89"/>
      <c r="M1941" s="90"/>
      <c r="N1941" s="88" t="s">
        <v>22</v>
      </c>
      <c r="O1941" s="89"/>
      <c r="P1941" s="90"/>
      <c r="Q1941" s="133">
        <v>5000</v>
      </c>
      <c r="R1941" s="134"/>
      <c r="S1941" s="5" t="s">
        <v>271</v>
      </c>
      <c r="T1941" s="6"/>
      <c r="U1941" s="6"/>
      <c r="V1941" s="5" t="s">
        <v>23</v>
      </c>
      <c r="W1941" s="12">
        <v>57520674</v>
      </c>
      <c r="X1941" s="6"/>
      <c r="Y1941" s="6"/>
    </row>
    <row r="1942" spans="1:25" ht="15" customHeight="1" x14ac:dyDescent="0.2">
      <c r="A1942" s="88" t="s">
        <v>2383</v>
      </c>
      <c r="B1942" s="90"/>
      <c r="C1942" s="88" t="s">
        <v>2394</v>
      </c>
      <c r="D1942" s="90"/>
      <c r="E1942" s="88" t="s">
        <v>2395</v>
      </c>
      <c r="F1942" s="89"/>
      <c r="G1942" s="89"/>
      <c r="H1942" s="89"/>
      <c r="I1942" s="90"/>
      <c r="J1942" s="88" t="s">
        <v>13</v>
      </c>
      <c r="K1942" s="89"/>
      <c r="L1942" s="89"/>
      <c r="M1942" s="90"/>
      <c r="N1942" s="88" t="s">
        <v>22</v>
      </c>
      <c r="O1942" s="89"/>
      <c r="P1942" s="90"/>
      <c r="Q1942" s="133">
        <v>2000</v>
      </c>
      <c r="R1942" s="134"/>
      <c r="S1942" s="5" t="s">
        <v>70</v>
      </c>
      <c r="T1942" s="6"/>
      <c r="U1942" s="6"/>
      <c r="V1942" s="5" t="s">
        <v>23</v>
      </c>
      <c r="W1942" s="12">
        <v>22947618</v>
      </c>
      <c r="X1942" s="6"/>
      <c r="Y1942" s="6"/>
    </row>
    <row r="1943" spans="1:25" ht="15" customHeight="1" x14ac:dyDescent="0.2">
      <c r="A1943" s="88" t="s">
        <v>2383</v>
      </c>
      <c r="B1943" s="90"/>
      <c r="C1943" s="88" t="s">
        <v>2396</v>
      </c>
      <c r="D1943" s="90"/>
      <c r="E1943" s="88" t="s">
        <v>2397</v>
      </c>
      <c r="F1943" s="89"/>
      <c r="G1943" s="89"/>
      <c r="H1943" s="89"/>
      <c r="I1943" s="90"/>
      <c r="J1943" s="88" t="s">
        <v>13</v>
      </c>
      <c r="K1943" s="89"/>
      <c r="L1943" s="89"/>
      <c r="M1943" s="90"/>
      <c r="N1943" s="88" t="s">
        <v>22</v>
      </c>
      <c r="O1943" s="89"/>
      <c r="P1943" s="90"/>
      <c r="Q1943" s="133">
        <v>2000</v>
      </c>
      <c r="R1943" s="134"/>
      <c r="S1943" s="5" t="s">
        <v>70</v>
      </c>
      <c r="T1943" s="6"/>
      <c r="U1943" s="6"/>
      <c r="V1943" s="5" t="s">
        <v>23</v>
      </c>
      <c r="W1943" s="12">
        <v>12189182</v>
      </c>
      <c r="X1943" s="6"/>
      <c r="Y1943" s="6"/>
    </row>
    <row r="1944" spans="1:25" ht="15" customHeight="1" x14ac:dyDescent="0.2">
      <c r="A1944" s="88" t="s">
        <v>2383</v>
      </c>
      <c r="B1944" s="90"/>
      <c r="C1944" s="88" t="s">
        <v>2398</v>
      </c>
      <c r="D1944" s="90"/>
      <c r="E1944" s="88" t="s">
        <v>2399</v>
      </c>
      <c r="F1944" s="89"/>
      <c r="G1944" s="89"/>
      <c r="H1944" s="89"/>
      <c r="I1944" s="90"/>
      <c r="J1944" s="88" t="s">
        <v>13</v>
      </c>
      <c r="K1944" s="89"/>
      <c r="L1944" s="89"/>
      <c r="M1944" s="90"/>
      <c r="N1944" s="88" t="s">
        <v>22</v>
      </c>
      <c r="O1944" s="89"/>
      <c r="P1944" s="90"/>
      <c r="Q1944" s="133">
        <v>2000</v>
      </c>
      <c r="R1944" s="134"/>
      <c r="S1944" s="5" t="s">
        <v>70</v>
      </c>
      <c r="T1944" s="6"/>
      <c r="U1944" s="6"/>
      <c r="V1944" s="5" t="s">
        <v>96</v>
      </c>
      <c r="W1944" s="12">
        <v>13725721</v>
      </c>
      <c r="X1944" s="6"/>
      <c r="Y1944" s="6"/>
    </row>
    <row r="1945" spans="1:25" ht="15" customHeight="1" x14ac:dyDescent="0.2">
      <c r="A1945" s="88" t="s">
        <v>2383</v>
      </c>
      <c r="B1945" s="90"/>
      <c r="C1945" s="88" t="s">
        <v>2400</v>
      </c>
      <c r="D1945" s="90"/>
      <c r="E1945" s="88" t="s">
        <v>2401</v>
      </c>
      <c r="F1945" s="89"/>
      <c r="G1945" s="89"/>
      <c r="H1945" s="89"/>
      <c r="I1945" s="90"/>
      <c r="J1945" s="88" t="s">
        <v>13</v>
      </c>
      <c r="K1945" s="89"/>
      <c r="L1945" s="89"/>
      <c r="M1945" s="90"/>
      <c r="N1945" s="88" t="s">
        <v>22</v>
      </c>
      <c r="O1945" s="89"/>
      <c r="P1945" s="90"/>
      <c r="Q1945" s="133">
        <v>1990</v>
      </c>
      <c r="R1945" s="134"/>
      <c r="S1945" s="5" t="s">
        <v>70</v>
      </c>
      <c r="T1945" s="6"/>
      <c r="U1945" s="6"/>
      <c r="V1945" s="5" t="s">
        <v>23</v>
      </c>
      <c r="W1945" s="12">
        <v>13760851</v>
      </c>
      <c r="X1945" s="6"/>
      <c r="Y1945" s="6"/>
    </row>
    <row r="1946" spans="1:25" ht="15" customHeight="1" x14ac:dyDescent="0.2">
      <c r="A1946" s="88" t="s">
        <v>2383</v>
      </c>
      <c r="B1946" s="90"/>
      <c r="C1946" s="88" t="s">
        <v>2402</v>
      </c>
      <c r="D1946" s="90"/>
      <c r="E1946" s="88" t="s">
        <v>2403</v>
      </c>
      <c r="F1946" s="89"/>
      <c r="G1946" s="89"/>
      <c r="H1946" s="89"/>
      <c r="I1946" s="90"/>
      <c r="J1946" s="88" t="s">
        <v>13</v>
      </c>
      <c r="K1946" s="89"/>
      <c r="L1946" s="89"/>
      <c r="M1946" s="90"/>
      <c r="N1946" s="88" t="s">
        <v>22</v>
      </c>
      <c r="O1946" s="89"/>
      <c r="P1946" s="90"/>
      <c r="Q1946" s="133">
        <v>2000</v>
      </c>
      <c r="R1946" s="134"/>
      <c r="S1946" s="5" t="s">
        <v>70</v>
      </c>
      <c r="T1946" s="6"/>
      <c r="U1946" s="6"/>
      <c r="V1946" s="5" t="s">
        <v>23</v>
      </c>
      <c r="W1946" s="12">
        <v>10401679</v>
      </c>
      <c r="X1946" s="6"/>
      <c r="Y1946" s="6"/>
    </row>
    <row r="1947" spans="1:25" ht="15" customHeight="1" x14ac:dyDescent="0.2">
      <c r="A1947" s="88" t="s">
        <v>2383</v>
      </c>
      <c r="B1947" s="90"/>
      <c r="C1947" s="88" t="s">
        <v>2404</v>
      </c>
      <c r="D1947" s="90"/>
      <c r="E1947" s="88" t="s">
        <v>2405</v>
      </c>
      <c r="F1947" s="89"/>
      <c r="G1947" s="89"/>
      <c r="H1947" s="89"/>
      <c r="I1947" s="90"/>
      <c r="J1947" s="88" t="s">
        <v>13</v>
      </c>
      <c r="K1947" s="89"/>
      <c r="L1947" s="89"/>
      <c r="M1947" s="90"/>
      <c r="N1947" s="88" t="s">
        <v>22</v>
      </c>
      <c r="O1947" s="89"/>
      <c r="P1947" s="90"/>
      <c r="Q1947" s="133">
        <v>2000</v>
      </c>
      <c r="R1947" s="134"/>
      <c r="S1947" s="5" t="s">
        <v>70</v>
      </c>
      <c r="T1947" s="6"/>
      <c r="U1947" s="6"/>
      <c r="V1947" s="5" t="s">
        <v>23</v>
      </c>
      <c r="W1947" s="12">
        <v>13643398</v>
      </c>
      <c r="X1947" s="6"/>
      <c r="Y1947" s="6"/>
    </row>
    <row r="1948" spans="1:25" ht="15" customHeight="1" x14ac:dyDescent="0.2">
      <c r="A1948" s="88" t="s">
        <v>2383</v>
      </c>
      <c r="B1948" s="90"/>
      <c r="C1948" s="88" t="s">
        <v>2406</v>
      </c>
      <c r="D1948" s="90"/>
      <c r="E1948" s="88" t="s">
        <v>2407</v>
      </c>
      <c r="F1948" s="89"/>
      <c r="G1948" s="89"/>
      <c r="H1948" s="89"/>
      <c r="I1948" s="90"/>
      <c r="J1948" s="88" t="s">
        <v>13</v>
      </c>
      <c r="K1948" s="89"/>
      <c r="L1948" s="89"/>
      <c r="M1948" s="90"/>
      <c r="N1948" s="88" t="s">
        <v>22</v>
      </c>
      <c r="O1948" s="89"/>
      <c r="P1948" s="90"/>
      <c r="Q1948" s="133">
        <v>2000</v>
      </c>
      <c r="R1948" s="134"/>
      <c r="S1948" s="5" t="s">
        <v>70</v>
      </c>
      <c r="T1948" s="6"/>
      <c r="U1948" s="6"/>
      <c r="V1948" s="5" t="s">
        <v>106</v>
      </c>
      <c r="W1948" s="12">
        <v>14685331</v>
      </c>
      <c r="X1948" s="6"/>
      <c r="Y1948" s="6"/>
    </row>
    <row r="1949" spans="1:25" ht="15" customHeight="1" x14ac:dyDescent="0.2">
      <c r="A1949" s="88" t="s">
        <v>2383</v>
      </c>
      <c r="B1949" s="90"/>
      <c r="C1949" s="88" t="s">
        <v>2408</v>
      </c>
      <c r="D1949" s="90"/>
      <c r="E1949" s="88" t="s">
        <v>2409</v>
      </c>
      <c r="F1949" s="89"/>
      <c r="G1949" s="89"/>
      <c r="H1949" s="89"/>
      <c r="I1949" s="90"/>
      <c r="J1949" s="88" t="s">
        <v>13</v>
      </c>
      <c r="K1949" s="89"/>
      <c r="L1949" s="89"/>
      <c r="M1949" s="90"/>
      <c r="N1949" s="88" t="s">
        <v>22</v>
      </c>
      <c r="O1949" s="89"/>
      <c r="P1949" s="90"/>
      <c r="Q1949" s="133">
        <v>2000</v>
      </c>
      <c r="R1949" s="134"/>
      <c r="S1949" s="5" t="s">
        <v>70</v>
      </c>
      <c r="T1949" s="6"/>
      <c r="U1949" s="6"/>
      <c r="V1949" s="5" t="s">
        <v>96</v>
      </c>
      <c r="W1949" s="12">
        <v>8945126</v>
      </c>
      <c r="X1949" s="6"/>
      <c r="Y1949" s="6"/>
    </row>
    <row r="1950" spans="1:25" ht="15" customHeight="1" x14ac:dyDescent="0.2">
      <c r="A1950" s="88" t="s">
        <v>2383</v>
      </c>
      <c r="B1950" s="90"/>
      <c r="C1950" s="88" t="s">
        <v>2410</v>
      </c>
      <c r="D1950" s="90"/>
      <c r="E1950" s="88" t="s">
        <v>2411</v>
      </c>
      <c r="F1950" s="89"/>
      <c r="G1950" s="89"/>
      <c r="H1950" s="89"/>
      <c r="I1950" s="90"/>
      <c r="J1950" s="88" t="s">
        <v>13</v>
      </c>
      <c r="K1950" s="89"/>
      <c r="L1950" s="89"/>
      <c r="M1950" s="90"/>
      <c r="N1950" s="88" t="s">
        <v>22</v>
      </c>
      <c r="O1950" s="89"/>
      <c r="P1950" s="90"/>
      <c r="Q1950" s="133">
        <v>2000</v>
      </c>
      <c r="R1950" s="134"/>
      <c r="S1950" s="5" t="s">
        <v>70</v>
      </c>
      <c r="T1950" s="6"/>
      <c r="U1950" s="6"/>
      <c r="V1950" s="5" t="s">
        <v>23</v>
      </c>
      <c r="W1950" s="12">
        <v>11534672</v>
      </c>
      <c r="X1950" s="6"/>
      <c r="Y1950" s="6"/>
    </row>
    <row r="1951" spans="1:25" ht="15" customHeight="1" x14ac:dyDescent="0.2">
      <c r="A1951" s="88" t="s">
        <v>2383</v>
      </c>
      <c r="B1951" s="90"/>
      <c r="C1951" s="88" t="s">
        <v>2412</v>
      </c>
      <c r="D1951" s="90"/>
      <c r="E1951" s="88" t="s">
        <v>2413</v>
      </c>
      <c r="F1951" s="89"/>
      <c r="G1951" s="89"/>
      <c r="H1951" s="89"/>
      <c r="I1951" s="90"/>
      <c r="J1951" s="88" t="s">
        <v>13</v>
      </c>
      <c r="K1951" s="89"/>
      <c r="L1951" s="89"/>
      <c r="M1951" s="90"/>
      <c r="N1951" s="88" t="s">
        <v>22</v>
      </c>
      <c r="O1951" s="89"/>
      <c r="P1951" s="90"/>
      <c r="Q1951" s="133">
        <v>2000</v>
      </c>
      <c r="R1951" s="134"/>
      <c r="S1951" s="5" t="s">
        <v>70</v>
      </c>
      <c r="T1951" s="6"/>
      <c r="U1951" s="6"/>
      <c r="V1951" s="5" t="s">
        <v>106</v>
      </c>
      <c r="W1951" s="12">
        <v>9225566</v>
      </c>
      <c r="X1951" s="6"/>
      <c r="Y1951" s="6"/>
    </row>
    <row r="1952" spans="1:25" ht="15" customHeight="1" x14ac:dyDescent="0.2">
      <c r="A1952" s="88" t="s">
        <v>2383</v>
      </c>
      <c r="B1952" s="90"/>
      <c r="C1952" s="88" t="s">
        <v>2414</v>
      </c>
      <c r="D1952" s="90"/>
      <c r="E1952" s="88" t="s">
        <v>2415</v>
      </c>
      <c r="F1952" s="89"/>
      <c r="G1952" s="89"/>
      <c r="H1952" s="89"/>
      <c r="I1952" s="90"/>
      <c r="J1952" s="88" t="s">
        <v>13</v>
      </c>
      <c r="K1952" s="89"/>
      <c r="L1952" s="89"/>
      <c r="M1952" s="90"/>
      <c r="N1952" s="88" t="s">
        <v>26</v>
      </c>
      <c r="O1952" s="89"/>
      <c r="P1952" s="90"/>
      <c r="Q1952" s="133">
        <v>3000</v>
      </c>
      <c r="R1952" s="134"/>
      <c r="S1952" s="5" t="s">
        <v>44</v>
      </c>
      <c r="T1952" s="6"/>
      <c r="U1952" s="6"/>
      <c r="V1952" s="5" t="s">
        <v>23</v>
      </c>
      <c r="W1952" s="12">
        <v>11335725</v>
      </c>
      <c r="X1952" s="6"/>
      <c r="Y1952" s="6"/>
    </row>
    <row r="1953" spans="1:25" ht="15" customHeight="1" x14ac:dyDescent="0.2">
      <c r="A1953" s="88" t="s">
        <v>2383</v>
      </c>
      <c r="B1953" s="90"/>
      <c r="C1953" s="88" t="s">
        <v>2416</v>
      </c>
      <c r="D1953" s="90"/>
      <c r="E1953" s="88" t="s">
        <v>2417</v>
      </c>
      <c r="F1953" s="89"/>
      <c r="G1953" s="89"/>
      <c r="H1953" s="89"/>
      <c r="I1953" s="90"/>
      <c r="J1953" s="88" t="s">
        <v>13</v>
      </c>
      <c r="K1953" s="89"/>
      <c r="L1953" s="89"/>
      <c r="M1953" s="90"/>
      <c r="N1953" s="88" t="s">
        <v>26</v>
      </c>
      <c r="O1953" s="89"/>
      <c r="P1953" s="90"/>
      <c r="Q1953" s="133">
        <v>3000</v>
      </c>
      <c r="R1953" s="134"/>
      <c r="S1953" s="5" t="s">
        <v>44</v>
      </c>
      <c r="T1953" s="6"/>
      <c r="U1953" s="6"/>
      <c r="V1953" s="5" t="s">
        <v>23</v>
      </c>
      <c r="W1953" s="12">
        <v>14520753</v>
      </c>
      <c r="X1953" s="6"/>
      <c r="Y1953" s="6"/>
    </row>
    <row r="1954" spans="1:25" ht="15" customHeight="1" x14ac:dyDescent="0.2">
      <c r="A1954" s="88" t="s">
        <v>2383</v>
      </c>
      <c r="B1954" s="90"/>
      <c r="C1954" s="88" t="s">
        <v>2418</v>
      </c>
      <c r="D1954" s="90"/>
      <c r="E1954" s="88" t="s">
        <v>2419</v>
      </c>
      <c r="F1954" s="89"/>
      <c r="G1954" s="89"/>
      <c r="H1954" s="89"/>
      <c r="I1954" s="90"/>
      <c r="J1954" s="88" t="s">
        <v>13</v>
      </c>
      <c r="K1954" s="89"/>
      <c r="L1954" s="89"/>
      <c r="M1954" s="90"/>
      <c r="N1954" s="88" t="s">
        <v>26</v>
      </c>
      <c r="O1954" s="89"/>
      <c r="P1954" s="90"/>
      <c r="Q1954" s="133">
        <v>2000</v>
      </c>
      <c r="R1954" s="134"/>
      <c r="S1954" s="5" t="s">
        <v>70</v>
      </c>
      <c r="T1954" s="6"/>
      <c r="U1954" s="6"/>
      <c r="V1954" s="5" t="s">
        <v>106</v>
      </c>
      <c r="W1954" s="12">
        <v>11285140</v>
      </c>
      <c r="X1954" s="6"/>
      <c r="Y1954" s="6"/>
    </row>
    <row r="1955" spans="1:25" ht="15" customHeight="1" x14ac:dyDescent="0.2">
      <c r="A1955" s="88" t="s">
        <v>2383</v>
      </c>
      <c r="B1955" s="90"/>
      <c r="C1955" s="88" t="s">
        <v>2420</v>
      </c>
      <c r="D1955" s="90"/>
      <c r="E1955" s="88" t="s">
        <v>2421</v>
      </c>
      <c r="F1955" s="89"/>
      <c r="G1955" s="89"/>
      <c r="H1955" s="89"/>
      <c r="I1955" s="90"/>
      <c r="J1955" s="88" t="s">
        <v>13</v>
      </c>
      <c r="K1955" s="89"/>
      <c r="L1955" s="89"/>
      <c r="M1955" s="90"/>
      <c r="N1955" s="88" t="s">
        <v>22</v>
      </c>
      <c r="O1955" s="89"/>
      <c r="P1955" s="90"/>
      <c r="Q1955" s="133">
        <v>2000</v>
      </c>
      <c r="R1955" s="134"/>
      <c r="S1955" s="5" t="s">
        <v>271</v>
      </c>
      <c r="T1955" s="6"/>
      <c r="U1955" s="6"/>
      <c r="V1955" s="5" t="s">
        <v>23</v>
      </c>
      <c r="W1955" s="12">
        <v>12613943</v>
      </c>
      <c r="X1955" s="6"/>
      <c r="Y1955" s="6"/>
    </row>
    <row r="1956" spans="1:25" ht="15" customHeight="1" x14ac:dyDescent="0.2">
      <c r="A1956" s="88" t="s">
        <v>2383</v>
      </c>
      <c r="B1956" s="90"/>
      <c r="C1956" s="88" t="s">
        <v>2386</v>
      </c>
      <c r="D1956" s="90"/>
      <c r="E1956" s="88" t="s">
        <v>2422</v>
      </c>
      <c r="F1956" s="89"/>
      <c r="G1956" s="89"/>
      <c r="H1956" s="89"/>
      <c r="I1956" s="90"/>
      <c r="J1956" s="88" t="s">
        <v>13</v>
      </c>
      <c r="K1956" s="89"/>
      <c r="L1956" s="89"/>
      <c r="M1956" s="90"/>
      <c r="N1956" s="88" t="s">
        <v>22</v>
      </c>
      <c r="O1956" s="89"/>
      <c r="P1956" s="90"/>
      <c r="Q1956" s="133">
        <v>2000</v>
      </c>
      <c r="R1956" s="134"/>
      <c r="S1956" s="5" t="s">
        <v>271</v>
      </c>
      <c r="T1956" s="6"/>
      <c r="U1956" s="6"/>
      <c r="V1956" s="5" t="s">
        <v>23</v>
      </c>
      <c r="W1956" s="12">
        <v>10192330</v>
      </c>
      <c r="X1956" s="6"/>
      <c r="Y1956" s="6"/>
    </row>
    <row r="1957" spans="1:25" ht="15" customHeight="1" x14ac:dyDescent="0.2">
      <c r="A1957" s="88" t="s">
        <v>2383</v>
      </c>
      <c r="B1957" s="90"/>
      <c r="C1957" s="88" t="s">
        <v>2423</v>
      </c>
      <c r="D1957" s="90"/>
      <c r="E1957" s="88" t="s">
        <v>2424</v>
      </c>
      <c r="F1957" s="89"/>
      <c r="G1957" s="89"/>
      <c r="H1957" s="89"/>
      <c r="I1957" s="90"/>
      <c r="J1957" s="88" t="s">
        <v>13</v>
      </c>
      <c r="K1957" s="89"/>
      <c r="L1957" s="89"/>
      <c r="M1957" s="90"/>
      <c r="N1957" s="88" t="s">
        <v>22</v>
      </c>
      <c r="O1957" s="89"/>
      <c r="P1957" s="90"/>
      <c r="Q1957" s="88" t="s">
        <v>181</v>
      </c>
      <c r="R1957" s="90"/>
      <c r="S1957" s="5" t="s">
        <v>271</v>
      </c>
      <c r="T1957" s="6"/>
      <c r="U1957" s="6"/>
      <c r="V1957" s="5" t="s">
        <v>17</v>
      </c>
      <c r="W1957" s="12">
        <v>12343122</v>
      </c>
      <c r="X1957" s="6"/>
      <c r="Y1957" s="6"/>
    </row>
    <row r="1958" spans="1:25" ht="15" customHeight="1" x14ac:dyDescent="0.2">
      <c r="A1958" s="88" t="s">
        <v>2383</v>
      </c>
      <c r="B1958" s="90"/>
      <c r="C1958" s="88" t="s">
        <v>2425</v>
      </c>
      <c r="D1958" s="90"/>
      <c r="E1958" s="88" t="s">
        <v>2426</v>
      </c>
      <c r="F1958" s="89"/>
      <c r="G1958" s="89"/>
      <c r="H1958" s="89"/>
      <c r="I1958" s="90"/>
      <c r="J1958" s="88" t="s">
        <v>13</v>
      </c>
      <c r="K1958" s="89"/>
      <c r="L1958" s="89"/>
      <c r="M1958" s="90"/>
      <c r="N1958" s="88" t="s">
        <v>22</v>
      </c>
      <c r="O1958" s="89"/>
      <c r="P1958" s="90"/>
      <c r="Q1958" s="88" t="s">
        <v>181</v>
      </c>
      <c r="R1958" s="90"/>
      <c r="S1958" s="5" t="s">
        <v>271</v>
      </c>
      <c r="T1958" s="6"/>
      <c r="U1958" s="6"/>
      <c r="V1958" s="5" t="s">
        <v>17</v>
      </c>
      <c r="W1958" s="12">
        <v>13340191</v>
      </c>
      <c r="X1958" s="6"/>
      <c r="Y1958" s="6"/>
    </row>
    <row r="1959" spans="1:25" ht="15" customHeight="1" x14ac:dyDescent="0.2">
      <c r="A1959" s="88" t="s">
        <v>2383</v>
      </c>
      <c r="B1959" s="90"/>
      <c r="C1959" s="88" t="s">
        <v>2427</v>
      </c>
      <c r="D1959" s="90"/>
      <c r="E1959" s="88" t="s">
        <v>2428</v>
      </c>
      <c r="F1959" s="89"/>
      <c r="G1959" s="89"/>
      <c r="H1959" s="89"/>
      <c r="I1959" s="90"/>
      <c r="J1959" s="88" t="s">
        <v>13</v>
      </c>
      <c r="K1959" s="89"/>
      <c r="L1959" s="89"/>
      <c r="M1959" s="90"/>
      <c r="N1959" s="88" t="s">
        <v>26</v>
      </c>
      <c r="O1959" s="89"/>
      <c r="P1959" s="90"/>
      <c r="Q1959" s="133">
        <v>2000</v>
      </c>
      <c r="R1959" s="134"/>
      <c r="S1959" s="5" t="s">
        <v>119</v>
      </c>
      <c r="T1959" s="6"/>
      <c r="U1959" s="6"/>
      <c r="V1959" s="5" t="s">
        <v>23</v>
      </c>
      <c r="W1959" s="12">
        <v>18241858</v>
      </c>
      <c r="X1959" s="6"/>
      <c r="Y1959" s="6"/>
    </row>
    <row r="1960" spans="1:25" ht="15" customHeight="1" x14ac:dyDescent="0.2">
      <c r="A1960" s="88" t="s">
        <v>2383</v>
      </c>
      <c r="B1960" s="90"/>
      <c r="C1960" s="88" t="s">
        <v>2429</v>
      </c>
      <c r="D1960" s="90"/>
      <c r="E1960" s="88" t="s">
        <v>2430</v>
      </c>
      <c r="F1960" s="89"/>
      <c r="G1960" s="89"/>
      <c r="H1960" s="89"/>
      <c r="I1960" s="90"/>
      <c r="J1960" s="88" t="s">
        <v>13</v>
      </c>
      <c r="K1960" s="89"/>
      <c r="L1960" s="89"/>
      <c r="M1960" s="90"/>
      <c r="N1960" s="88" t="s">
        <v>22</v>
      </c>
      <c r="O1960" s="89"/>
      <c r="P1960" s="90"/>
      <c r="Q1960" s="133">
        <v>5000</v>
      </c>
      <c r="R1960" s="134"/>
      <c r="S1960" s="5" t="s">
        <v>271</v>
      </c>
      <c r="T1960" s="6"/>
      <c r="U1960" s="6"/>
      <c r="V1960" s="5" t="s">
        <v>23</v>
      </c>
      <c r="W1960" s="12">
        <v>28317090</v>
      </c>
      <c r="X1960" s="6"/>
      <c r="Y1960" s="6"/>
    </row>
    <row r="1961" spans="1:25" ht="15" customHeight="1" x14ac:dyDescent="0.2">
      <c r="A1961" s="88" t="s">
        <v>2383</v>
      </c>
      <c r="B1961" s="90"/>
      <c r="C1961" s="88" t="s">
        <v>2431</v>
      </c>
      <c r="D1961" s="90"/>
      <c r="E1961" s="88" t="s">
        <v>2393</v>
      </c>
      <c r="F1961" s="89"/>
      <c r="G1961" s="89"/>
      <c r="H1961" s="89"/>
      <c r="I1961" s="90"/>
      <c r="J1961" s="88" t="s">
        <v>13</v>
      </c>
      <c r="K1961" s="89"/>
      <c r="L1961" s="89"/>
      <c r="M1961" s="90"/>
      <c r="N1961" s="88" t="s">
        <v>22</v>
      </c>
      <c r="O1961" s="89"/>
      <c r="P1961" s="90"/>
      <c r="Q1961" s="133">
        <v>2000</v>
      </c>
      <c r="R1961" s="134"/>
      <c r="S1961" s="5" t="s">
        <v>271</v>
      </c>
      <c r="T1961" s="6"/>
      <c r="U1961" s="6"/>
      <c r="V1961" s="5" t="s">
        <v>23</v>
      </c>
      <c r="W1961" s="12">
        <v>39922692</v>
      </c>
      <c r="X1961" s="6"/>
      <c r="Y1961" s="6"/>
    </row>
    <row r="1962" spans="1:25" ht="15" customHeight="1" x14ac:dyDescent="0.2">
      <c r="A1962" s="88" t="s">
        <v>2383</v>
      </c>
      <c r="B1962" s="90"/>
      <c r="C1962" s="88" t="s">
        <v>2432</v>
      </c>
      <c r="D1962" s="90"/>
      <c r="E1962" s="88" t="s">
        <v>2433</v>
      </c>
      <c r="F1962" s="89"/>
      <c r="G1962" s="89"/>
      <c r="H1962" s="89"/>
      <c r="I1962" s="90"/>
      <c r="J1962" s="88" t="s">
        <v>13</v>
      </c>
      <c r="K1962" s="89"/>
      <c r="L1962" s="89"/>
      <c r="M1962" s="90"/>
      <c r="N1962" s="88" t="s">
        <v>22</v>
      </c>
      <c r="O1962" s="89"/>
      <c r="P1962" s="90"/>
      <c r="Q1962" s="133">
        <v>5000</v>
      </c>
      <c r="R1962" s="134"/>
      <c r="S1962" s="5" t="s">
        <v>271</v>
      </c>
      <c r="T1962" s="6"/>
      <c r="U1962" s="6"/>
      <c r="V1962" s="5" t="s">
        <v>23</v>
      </c>
      <c r="W1962" s="12">
        <v>33887536</v>
      </c>
      <c r="X1962" s="6"/>
      <c r="Y1962" s="6"/>
    </row>
    <row r="1963" spans="1:25" ht="15" customHeight="1" x14ac:dyDescent="0.2">
      <c r="A1963" s="88" t="s">
        <v>2383</v>
      </c>
      <c r="B1963" s="90"/>
      <c r="C1963" s="88" t="s">
        <v>2434</v>
      </c>
      <c r="D1963" s="90"/>
      <c r="E1963" s="88" t="s">
        <v>2435</v>
      </c>
      <c r="F1963" s="89"/>
      <c r="G1963" s="89"/>
      <c r="H1963" s="89"/>
      <c r="I1963" s="90"/>
      <c r="J1963" s="88" t="s">
        <v>13</v>
      </c>
      <c r="K1963" s="89"/>
      <c r="L1963" s="89"/>
      <c r="M1963" s="90"/>
      <c r="N1963" s="88" t="s">
        <v>26</v>
      </c>
      <c r="O1963" s="89"/>
      <c r="P1963" s="90"/>
      <c r="Q1963" s="133">
        <v>2000</v>
      </c>
      <c r="R1963" s="134"/>
      <c r="S1963" s="5" t="s">
        <v>271</v>
      </c>
      <c r="T1963" s="6"/>
      <c r="U1963" s="6"/>
      <c r="V1963" s="5" t="s">
        <v>23</v>
      </c>
      <c r="W1963" s="12">
        <v>21151195</v>
      </c>
      <c r="X1963" s="6"/>
      <c r="Y1963" s="6"/>
    </row>
    <row r="1964" spans="1:25" ht="15" customHeight="1" x14ac:dyDescent="0.2">
      <c r="A1964" s="88" t="s">
        <v>2383</v>
      </c>
      <c r="B1964" s="90"/>
      <c r="C1964" s="88" t="s">
        <v>2436</v>
      </c>
      <c r="D1964" s="90"/>
      <c r="E1964" s="88" t="s">
        <v>2395</v>
      </c>
      <c r="F1964" s="89"/>
      <c r="G1964" s="89"/>
      <c r="H1964" s="89"/>
      <c r="I1964" s="90"/>
      <c r="J1964" s="88" t="s">
        <v>13</v>
      </c>
      <c r="K1964" s="89"/>
      <c r="L1964" s="89"/>
      <c r="M1964" s="90"/>
      <c r="N1964" s="88" t="s">
        <v>22</v>
      </c>
      <c r="O1964" s="89"/>
      <c r="P1964" s="90"/>
      <c r="Q1964" s="133">
        <v>2000</v>
      </c>
      <c r="R1964" s="134"/>
      <c r="S1964" s="5" t="s">
        <v>70</v>
      </c>
      <c r="T1964" s="6"/>
      <c r="U1964" s="6"/>
      <c r="V1964" s="5" t="s">
        <v>23</v>
      </c>
      <c r="W1964" s="12">
        <v>27696563</v>
      </c>
      <c r="X1964" s="6"/>
      <c r="Y1964" s="6"/>
    </row>
    <row r="1965" spans="1:25" ht="15" customHeight="1" x14ac:dyDescent="0.2">
      <c r="A1965" s="88" t="s">
        <v>2383</v>
      </c>
      <c r="B1965" s="90"/>
      <c r="C1965" s="88" t="s">
        <v>2437</v>
      </c>
      <c r="D1965" s="90"/>
      <c r="E1965" s="88" t="s">
        <v>2438</v>
      </c>
      <c r="F1965" s="89"/>
      <c r="G1965" s="89"/>
      <c r="H1965" s="89"/>
      <c r="I1965" s="90"/>
      <c r="J1965" s="88" t="s">
        <v>13</v>
      </c>
      <c r="K1965" s="89"/>
      <c r="L1965" s="89"/>
      <c r="M1965" s="90"/>
      <c r="N1965" s="88" t="s">
        <v>22</v>
      </c>
      <c r="O1965" s="89"/>
      <c r="P1965" s="90"/>
      <c r="Q1965" s="133">
        <v>3000</v>
      </c>
      <c r="R1965" s="134"/>
      <c r="S1965" s="5" t="s">
        <v>70</v>
      </c>
      <c r="T1965" s="6"/>
      <c r="U1965" s="6"/>
      <c r="V1965" s="5" t="s">
        <v>23</v>
      </c>
      <c r="W1965" s="12">
        <v>15717899</v>
      </c>
      <c r="X1965" s="6"/>
      <c r="Y1965" s="6"/>
    </row>
    <row r="1966" spans="1:25" ht="15" customHeight="1" x14ac:dyDescent="0.2">
      <c r="A1966" s="88" t="s">
        <v>2383</v>
      </c>
      <c r="B1966" s="90"/>
      <c r="C1966" s="88" t="s">
        <v>2439</v>
      </c>
      <c r="D1966" s="90"/>
      <c r="E1966" s="88" t="s">
        <v>2440</v>
      </c>
      <c r="F1966" s="89"/>
      <c r="G1966" s="89"/>
      <c r="H1966" s="89"/>
      <c r="I1966" s="90"/>
      <c r="J1966" s="88" t="s">
        <v>13</v>
      </c>
      <c r="K1966" s="89"/>
      <c r="L1966" s="89"/>
      <c r="M1966" s="90"/>
      <c r="N1966" s="88" t="s">
        <v>22</v>
      </c>
      <c r="O1966" s="89"/>
      <c r="P1966" s="90"/>
      <c r="Q1966" s="133">
        <v>2000</v>
      </c>
      <c r="R1966" s="134"/>
      <c r="S1966" s="5" t="s">
        <v>70</v>
      </c>
      <c r="T1966" s="6"/>
      <c r="U1966" s="6"/>
      <c r="V1966" s="5" t="s">
        <v>106</v>
      </c>
      <c r="W1966" s="12">
        <v>9958404</v>
      </c>
      <c r="X1966" s="6"/>
      <c r="Y1966" s="6"/>
    </row>
    <row r="1967" spans="1:25" ht="15" customHeight="1" x14ac:dyDescent="0.2">
      <c r="A1967" s="88" t="s">
        <v>2383</v>
      </c>
      <c r="B1967" s="90"/>
      <c r="C1967" s="88" t="s">
        <v>2441</v>
      </c>
      <c r="D1967" s="90"/>
      <c r="E1967" s="88" t="s">
        <v>2442</v>
      </c>
      <c r="F1967" s="89"/>
      <c r="G1967" s="89"/>
      <c r="H1967" s="89"/>
      <c r="I1967" s="90"/>
      <c r="J1967" s="88" t="s">
        <v>13</v>
      </c>
      <c r="K1967" s="89"/>
      <c r="L1967" s="89"/>
      <c r="M1967" s="90"/>
      <c r="N1967" s="88" t="s">
        <v>22</v>
      </c>
      <c r="O1967" s="89"/>
      <c r="P1967" s="90"/>
      <c r="Q1967" s="133">
        <v>2000</v>
      </c>
      <c r="R1967" s="134"/>
      <c r="S1967" s="5" t="s">
        <v>70</v>
      </c>
      <c r="T1967" s="6"/>
      <c r="U1967" s="6"/>
      <c r="V1967" s="5" t="s">
        <v>23</v>
      </c>
      <c r="W1967" s="12">
        <v>14187843</v>
      </c>
      <c r="X1967" s="6"/>
      <c r="Y1967" s="6"/>
    </row>
    <row r="1968" spans="1:25" ht="15" customHeight="1" x14ac:dyDescent="0.2">
      <c r="A1968" s="88" t="s">
        <v>2383</v>
      </c>
      <c r="B1968" s="90"/>
      <c r="C1968" s="88" t="s">
        <v>2443</v>
      </c>
      <c r="D1968" s="90"/>
      <c r="E1968" s="88" t="s">
        <v>2444</v>
      </c>
      <c r="F1968" s="89"/>
      <c r="G1968" s="89"/>
      <c r="H1968" s="89"/>
      <c r="I1968" s="90"/>
      <c r="J1968" s="88" t="s">
        <v>13</v>
      </c>
      <c r="K1968" s="89"/>
      <c r="L1968" s="89"/>
      <c r="M1968" s="90"/>
      <c r="N1968" s="88" t="s">
        <v>22</v>
      </c>
      <c r="O1968" s="89"/>
      <c r="P1968" s="90"/>
      <c r="Q1968" s="133">
        <v>2000</v>
      </c>
      <c r="R1968" s="134"/>
      <c r="S1968" s="5" t="s">
        <v>70</v>
      </c>
      <c r="T1968" s="6"/>
      <c r="U1968" s="6"/>
      <c r="V1968" s="5" t="s">
        <v>23</v>
      </c>
      <c r="W1968" s="12">
        <v>14961616</v>
      </c>
      <c r="X1968" s="6"/>
      <c r="Y1968" s="6"/>
    </row>
    <row r="1969" spans="1:25" ht="15" customHeight="1" x14ac:dyDescent="0.2">
      <c r="A1969" s="88" t="s">
        <v>2383</v>
      </c>
      <c r="B1969" s="90"/>
      <c r="C1969" s="88" t="s">
        <v>2445</v>
      </c>
      <c r="D1969" s="90"/>
      <c r="E1969" s="88" t="s">
        <v>2446</v>
      </c>
      <c r="F1969" s="89"/>
      <c r="G1969" s="89"/>
      <c r="H1969" s="89"/>
      <c r="I1969" s="90"/>
      <c r="J1969" s="88" t="s">
        <v>13</v>
      </c>
      <c r="K1969" s="89"/>
      <c r="L1969" s="89"/>
      <c r="M1969" s="90"/>
      <c r="N1969" s="88" t="s">
        <v>26</v>
      </c>
      <c r="O1969" s="89"/>
      <c r="P1969" s="90"/>
      <c r="Q1969" s="133">
        <v>2000</v>
      </c>
      <c r="R1969" s="134"/>
      <c r="S1969" s="5" t="s">
        <v>70</v>
      </c>
      <c r="T1969" s="6"/>
      <c r="U1969" s="6"/>
      <c r="V1969" s="5" t="s">
        <v>106</v>
      </c>
      <c r="W1969" s="12">
        <v>13871369</v>
      </c>
      <c r="X1969" s="6"/>
      <c r="Y1969" s="6"/>
    </row>
    <row r="1970" spans="1:25" ht="15" customHeight="1" x14ac:dyDescent="0.2">
      <c r="A1970" s="88" t="s">
        <v>2383</v>
      </c>
      <c r="B1970" s="90"/>
      <c r="C1970" s="88" t="s">
        <v>2447</v>
      </c>
      <c r="D1970" s="90"/>
      <c r="E1970" s="88" t="s">
        <v>2448</v>
      </c>
      <c r="F1970" s="89"/>
      <c r="G1970" s="89"/>
      <c r="H1970" s="89"/>
      <c r="I1970" s="90"/>
      <c r="J1970" s="88" t="s">
        <v>13</v>
      </c>
      <c r="K1970" s="89"/>
      <c r="L1970" s="89"/>
      <c r="M1970" s="90"/>
      <c r="N1970" s="88" t="s">
        <v>22</v>
      </c>
      <c r="O1970" s="89"/>
      <c r="P1970" s="90"/>
      <c r="Q1970" s="133">
        <v>2000</v>
      </c>
      <c r="R1970" s="134"/>
      <c r="S1970" s="5" t="s">
        <v>70</v>
      </c>
      <c r="T1970" s="6"/>
      <c r="U1970" s="6"/>
      <c r="V1970" s="5" t="s">
        <v>23</v>
      </c>
      <c r="W1970" s="12">
        <v>10435981</v>
      </c>
      <c r="X1970" s="6"/>
      <c r="Y1970" s="6"/>
    </row>
    <row r="1971" spans="1:25" ht="15" customHeight="1" x14ac:dyDescent="0.2">
      <c r="A1971" s="88" t="s">
        <v>2383</v>
      </c>
      <c r="B1971" s="90"/>
      <c r="C1971" s="88" t="s">
        <v>2449</v>
      </c>
      <c r="D1971" s="90"/>
      <c r="E1971" s="88" t="s">
        <v>2450</v>
      </c>
      <c r="F1971" s="89"/>
      <c r="G1971" s="89"/>
      <c r="H1971" s="89"/>
      <c r="I1971" s="90"/>
      <c r="J1971" s="88" t="s">
        <v>13</v>
      </c>
      <c r="K1971" s="89"/>
      <c r="L1971" s="89"/>
      <c r="M1971" s="90"/>
      <c r="N1971" s="88" t="s">
        <v>22</v>
      </c>
      <c r="O1971" s="89"/>
      <c r="P1971" s="90"/>
      <c r="Q1971" s="133">
        <v>2000</v>
      </c>
      <c r="R1971" s="134"/>
      <c r="S1971" s="5" t="s">
        <v>70</v>
      </c>
      <c r="T1971" s="6"/>
      <c r="U1971" s="6"/>
      <c r="V1971" s="5" t="s">
        <v>23</v>
      </c>
      <c r="W1971" s="12">
        <v>8676598</v>
      </c>
      <c r="X1971" s="6"/>
      <c r="Y1971" s="6"/>
    </row>
    <row r="1972" spans="1:25" ht="15" customHeight="1" x14ac:dyDescent="0.2">
      <c r="A1972" s="88" t="s">
        <v>2383</v>
      </c>
      <c r="B1972" s="90"/>
      <c r="C1972" s="88" t="s">
        <v>2451</v>
      </c>
      <c r="D1972" s="90"/>
      <c r="E1972" s="88" t="s">
        <v>2452</v>
      </c>
      <c r="F1972" s="89"/>
      <c r="G1972" s="89"/>
      <c r="H1972" s="89"/>
      <c r="I1972" s="90"/>
      <c r="J1972" s="88" t="s">
        <v>13</v>
      </c>
      <c r="K1972" s="89"/>
      <c r="L1972" s="89"/>
      <c r="M1972" s="90"/>
      <c r="N1972" s="88" t="s">
        <v>22</v>
      </c>
      <c r="O1972" s="89"/>
      <c r="P1972" s="90"/>
      <c r="Q1972" s="133">
        <v>2000</v>
      </c>
      <c r="R1972" s="134"/>
      <c r="S1972" s="5" t="s">
        <v>70</v>
      </c>
      <c r="T1972" s="6"/>
      <c r="U1972" s="6"/>
      <c r="V1972" s="5" t="s">
        <v>106</v>
      </c>
      <c r="W1972" s="12">
        <v>10112721</v>
      </c>
      <c r="X1972" s="6"/>
      <c r="Y1972" s="6"/>
    </row>
    <row r="1973" spans="1:25" ht="15" customHeight="1" x14ac:dyDescent="0.2">
      <c r="A1973" s="88" t="s">
        <v>2383</v>
      </c>
      <c r="B1973" s="90"/>
      <c r="C1973" s="88" t="s">
        <v>2453</v>
      </c>
      <c r="D1973" s="90"/>
      <c r="E1973" s="88" t="s">
        <v>2448</v>
      </c>
      <c r="F1973" s="89"/>
      <c r="G1973" s="89"/>
      <c r="H1973" s="89"/>
      <c r="I1973" s="90"/>
      <c r="J1973" s="88" t="s">
        <v>13</v>
      </c>
      <c r="K1973" s="89"/>
      <c r="L1973" s="89"/>
      <c r="M1973" s="90"/>
      <c r="N1973" s="88" t="s">
        <v>22</v>
      </c>
      <c r="O1973" s="89"/>
      <c r="P1973" s="90"/>
      <c r="Q1973" s="133">
        <v>2000</v>
      </c>
      <c r="R1973" s="134"/>
      <c r="S1973" s="5" t="s">
        <v>70</v>
      </c>
      <c r="T1973" s="6"/>
      <c r="U1973" s="6"/>
      <c r="V1973" s="5" t="s">
        <v>23</v>
      </c>
      <c r="W1973" s="12">
        <v>12373729</v>
      </c>
      <c r="X1973" s="6"/>
      <c r="Y1973" s="6"/>
    </row>
    <row r="1974" spans="1:25" ht="15" customHeight="1" x14ac:dyDescent="0.2">
      <c r="A1974" s="88" t="s">
        <v>2383</v>
      </c>
      <c r="B1974" s="90"/>
      <c r="C1974" s="88" t="s">
        <v>2454</v>
      </c>
      <c r="D1974" s="90"/>
      <c r="E1974" s="88" t="s">
        <v>2455</v>
      </c>
      <c r="F1974" s="89"/>
      <c r="G1974" s="89"/>
      <c r="H1974" s="89"/>
      <c r="I1974" s="90"/>
      <c r="J1974" s="88" t="s">
        <v>13</v>
      </c>
      <c r="K1974" s="89"/>
      <c r="L1974" s="89"/>
      <c r="M1974" s="90"/>
      <c r="N1974" s="88" t="s">
        <v>22</v>
      </c>
      <c r="O1974" s="89"/>
      <c r="P1974" s="90"/>
      <c r="Q1974" s="133">
        <v>2000</v>
      </c>
      <c r="R1974" s="134"/>
      <c r="S1974" s="5" t="s">
        <v>70</v>
      </c>
      <c r="T1974" s="6"/>
      <c r="U1974" s="6"/>
      <c r="V1974" s="5" t="s">
        <v>23</v>
      </c>
      <c r="W1974" s="12">
        <v>11992572</v>
      </c>
      <c r="X1974" s="6"/>
      <c r="Y1974" s="6"/>
    </row>
    <row r="1975" spans="1:25" ht="15" customHeight="1" x14ac:dyDescent="0.2">
      <c r="A1975" s="88" t="s">
        <v>2383</v>
      </c>
      <c r="B1975" s="90"/>
      <c r="C1975" s="88" t="s">
        <v>2456</v>
      </c>
      <c r="D1975" s="90"/>
      <c r="E1975" s="88" t="s">
        <v>2457</v>
      </c>
      <c r="F1975" s="89"/>
      <c r="G1975" s="89"/>
      <c r="H1975" s="89"/>
      <c r="I1975" s="90"/>
      <c r="J1975" s="88" t="s">
        <v>13</v>
      </c>
      <c r="K1975" s="89"/>
      <c r="L1975" s="89"/>
      <c r="M1975" s="90"/>
      <c r="N1975" s="88" t="s">
        <v>22</v>
      </c>
      <c r="O1975" s="89"/>
      <c r="P1975" s="90"/>
      <c r="Q1975" s="133">
        <v>2000</v>
      </c>
      <c r="R1975" s="134"/>
      <c r="S1975" s="5" t="s">
        <v>70</v>
      </c>
      <c r="T1975" s="6"/>
      <c r="U1975" s="6"/>
      <c r="V1975" s="5" t="s">
        <v>23</v>
      </c>
      <c r="W1975" s="12">
        <v>10883478</v>
      </c>
      <c r="X1975" s="6"/>
      <c r="Y1975" s="6"/>
    </row>
    <row r="1976" spans="1:25" ht="15" customHeight="1" x14ac:dyDescent="0.2">
      <c r="A1976" s="88" t="s">
        <v>2458</v>
      </c>
      <c r="B1976" s="90"/>
      <c r="C1976" s="88" t="s">
        <v>2459</v>
      </c>
      <c r="D1976" s="90"/>
      <c r="E1976" s="88" t="s">
        <v>2460</v>
      </c>
      <c r="F1976" s="89"/>
      <c r="G1976" s="89"/>
      <c r="H1976" s="89"/>
      <c r="I1976" s="90"/>
      <c r="J1976" s="88" t="s">
        <v>13</v>
      </c>
      <c r="K1976" s="89"/>
      <c r="L1976" s="89"/>
      <c r="M1976" s="90"/>
      <c r="N1976" s="88" t="s">
        <v>22</v>
      </c>
      <c r="O1976" s="89"/>
      <c r="P1976" s="90"/>
      <c r="Q1976" s="88" t="s">
        <v>181</v>
      </c>
      <c r="R1976" s="90"/>
      <c r="S1976" s="5" t="s">
        <v>70</v>
      </c>
      <c r="T1976" s="6"/>
      <c r="U1976" s="6"/>
      <c r="V1976" s="5" t="s">
        <v>17</v>
      </c>
      <c r="W1976" s="12">
        <v>9348899</v>
      </c>
      <c r="X1976" s="6"/>
      <c r="Y1976" s="6"/>
    </row>
    <row r="1977" spans="1:25" ht="15" customHeight="1" x14ac:dyDescent="0.2">
      <c r="A1977" s="88" t="s">
        <v>2458</v>
      </c>
      <c r="B1977" s="90"/>
      <c r="C1977" s="88" t="s">
        <v>2461</v>
      </c>
      <c r="D1977" s="90"/>
      <c r="E1977" s="88" t="s">
        <v>2462</v>
      </c>
      <c r="F1977" s="89"/>
      <c r="G1977" s="89"/>
      <c r="H1977" s="89"/>
      <c r="I1977" s="90"/>
      <c r="J1977" s="88" t="s">
        <v>13</v>
      </c>
      <c r="K1977" s="89"/>
      <c r="L1977" s="89"/>
      <c r="M1977" s="90"/>
      <c r="N1977" s="88" t="s">
        <v>22</v>
      </c>
      <c r="O1977" s="89"/>
      <c r="P1977" s="90"/>
      <c r="Q1977" s="88" t="s">
        <v>181</v>
      </c>
      <c r="R1977" s="90"/>
      <c r="S1977" s="5" t="s">
        <v>70</v>
      </c>
      <c r="T1977" s="6"/>
      <c r="U1977" s="6"/>
      <c r="V1977" s="5" t="s">
        <v>17</v>
      </c>
      <c r="W1977" s="12">
        <v>8579763</v>
      </c>
      <c r="X1977" s="6"/>
      <c r="Y1977" s="6"/>
    </row>
    <row r="1978" spans="1:25" ht="15" customHeight="1" x14ac:dyDescent="0.2">
      <c r="A1978" s="88" t="s">
        <v>2458</v>
      </c>
      <c r="B1978" s="90"/>
      <c r="C1978" s="88" t="s">
        <v>2463</v>
      </c>
      <c r="D1978" s="90"/>
      <c r="E1978" s="88" t="s">
        <v>2464</v>
      </c>
      <c r="F1978" s="89"/>
      <c r="G1978" s="89"/>
      <c r="H1978" s="89"/>
      <c r="I1978" s="90"/>
      <c r="J1978" s="88" t="s">
        <v>13</v>
      </c>
      <c r="K1978" s="89"/>
      <c r="L1978" s="89"/>
      <c r="M1978" s="90"/>
      <c r="N1978" s="88" t="s">
        <v>22</v>
      </c>
      <c r="O1978" s="89"/>
      <c r="P1978" s="90"/>
      <c r="Q1978" s="88" t="s">
        <v>181</v>
      </c>
      <c r="R1978" s="90"/>
      <c r="S1978" s="5" t="s">
        <v>70</v>
      </c>
      <c r="T1978" s="6"/>
      <c r="U1978" s="6"/>
      <c r="V1978" s="5" t="s">
        <v>17</v>
      </c>
      <c r="W1978" s="12">
        <v>7295899</v>
      </c>
      <c r="X1978" s="6"/>
      <c r="Y1978" s="6"/>
    </row>
    <row r="1979" spans="1:25" ht="15" customHeight="1" x14ac:dyDescent="0.2">
      <c r="A1979" s="88" t="s">
        <v>2458</v>
      </c>
      <c r="B1979" s="90"/>
      <c r="C1979" s="88" t="s">
        <v>2465</v>
      </c>
      <c r="D1979" s="90"/>
      <c r="E1979" s="88" t="s">
        <v>2466</v>
      </c>
      <c r="F1979" s="89"/>
      <c r="G1979" s="89"/>
      <c r="H1979" s="89"/>
      <c r="I1979" s="90"/>
      <c r="J1979" s="88" t="s">
        <v>13</v>
      </c>
      <c r="K1979" s="89"/>
      <c r="L1979" s="89"/>
      <c r="M1979" s="90"/>
      <c r="N1979" s="88" t="s">
        <v>22</v>
      </c>
      <c r="O1979" s="89"/>
      <c r="P1979" s="90"/>
      <c r="Q1979" s="88" t="s">
        <v>181</v>
      </c>
      <c r="R1979" s="90"/>
      <c r="S1979" s="5" t="s">
        <v>70</v>
      </c>
      <c r="T1979" s="6"/>
      <c r="U1979" s="6"/>
      <c r="V1979" s="5" t="s">
        <v>17</v>
      </c>
      <c r="W1979" s="12">
        <v>8878183</v>
      </c>
      <c r="X1979" s="6"/>
      <c r="Y1979" s="6"/>
    </row>
    <row r="1980" spans="1:25" ht="15" customHeight="1" x14ac:dyDescent="0.2">
      <c r="A1980" s="88" t="s">
        <v>2458</v>
      </c>
      <c r="B1980" s="90"/>
      <c r="C1980" s="88" t="s">
        <v>2467</v>
      </c>
      <c r="D1980" s="90"/>
      <c r="E1980" s="88" t="s">
        <v>2468</v>
      </c>
      <c r="F1980" s="89"/>
      <c r="G1980" s="89"/>
      <c r="H1980" s="89"/>
      <c r="I1980" s="90"/>
      <c r="J1980" s="88" t="s">
        <v>13</v>
      </c>
      <c r="K1980" s="89"/>
      <c r="L1980" s="89"/>
      <c r="M1980" s="90"/>
      <c r="N1980" s="88" t="s">
        <v>22</v>
      </c>
      <c r="O1980" s="89"/>
      <c r="P1980" s="90"/>
      <c r="Q1980" s="133">
        <v>2400</v>
      </c>
      <c r="R1980" s="134"/>
      <c r="S1980" s="5" t="s">
        <v>70</v>
      </c>
      <c r="T1980" s="6"/>
      <c r="U1980" s="6"/>
      <c r="V1980" s="5" t="s">
        <v>23</v>
      </c>
      <c r="W1980" s="12">
        <v>9041622</v>
      </c>
      <c r="X1980" s="6"/>
      <c r="Y1980" s="6"/>
    </row>
    <row r="1981" spans="1:25" ht="15" customHeight="1" x14ac:dyDescent="0.2">
      <c r="A1981" s="88" t="s">
        <v>2458</v>
      </c>
      <c r="B1981" s="90"/>
      <c r="C1981" s="88" t="s">
        <v>2469</v>
      </c>
      <c r="D1981" s="90"/>
      <c r="E1981" s="88" t="s">
        <v>2470</v>
      </c>
      <c r="F1981" s="89"/>
      <c r="G1981" s="89"/>
      <c r="H1981" s="89"/>
      <c r="I1981" s="90"/>
      <c r="J1981" s="88" t="s">
        <v>13</v>
      </c>
      <c r="K1981" s="89"/>
      <c r="L1981" s="89"/>
      <c r="M1981" s="90"/>
      <c r="N1981" s="88" t="s">
        <v>22</v>
      </c>
      <c r="O1981" s="89"/>
      <c r="P1981" s="90"/>
      <c r="Q1981" s="133">
        <v>3200</v>
      </c>
      <c r="R1981" s="134"/>
      <c r="S1981" s="5" t="s">
        <v>70</v>
      </c>
      <c r="T1981" s="6"/>
      <c r="U1981" s="6"/>
      <c r="V1981" s="5" t="s">
        <v>23</v>
      </c>
      <c r="W1981" s="12">
        <v>8447873</v>
      </c>
      <c r="X1981" s="6"/>
      <c r="Y1981" s="6"/>
    </row>
    <row r="1982" spans="1:25" ht="15" customHeight="1" x14ac:dyDescent="0.2">
      <c r="A1982" s="88" t="s">
        <v>2458</v>
      </c>
      <c r="B1982" s="90"/>
      <c r="C1982" s="88" t="s">
        <v>2471</v>
      </c>
      <c r="D1982" s="90"/>
      <c r="E1982" s="88" t="s">
        <v>2470</v>
      </c>
      <c r="F1982" s="89"/>
      <c r="G1982" s="89"/>
      <c r="H1982" s="89"/>
      <c r="I1982" s="90"/>
      <c r="J1982" s="88" t="s">
        <v>13</v>
      </c>
      <c r="K1982" s="89"/>
      <c r="L1982" s="89"/>
      <c r="M1982" s="90"/>
      <c r="N1982" s="88" t="s">
        <v>22</v>
      </c>
      <c r="O1982" s="89"/>
      <c r="P1982" s="90"/>
      <c r="Q1982" s="133">
        <v>3200</v>
      </c>
      <c r="R1982" s="134"/>
      <c r="S1982" s="5" t="s">
        <v>70</v>
      </c>
      <c r="T1982" s="6"/>
      <c r="U1982" s="6"/>
      <c r="V1982" s="5" t="s">
        <v>23</v>
      </c>
      <c r="W1982" s="12">
        <v>15431579</v>
      </c>
      <c r="X1982" s="6"/>
      <c r="Y1982" s="6"/>
    </row>
    <row r="1983" spans="1:25" ht="15" customHeight="1" x14ac:dyDescent="0.2">
      <c r="A1983" s="88" t="s">
        <v>2458</v>
      </c>
      <c r="B1983" s="90"/>
      <c r="C1983" s="88" t="s">
        <v>2472</v>
      </c>
      <c r="D1983" s="90"/>
      <c r="E1983" s="88" t="s">
        <v>2473</v>
      </c>
      <c r="F1983" s="89"/>
      <c r="G1983" s="89"/>
      <c r="H1983" s="89"/>
      <c r="I1983" s="90"/>
      <c r="J1983" s="88" t="s">
        <v>13</v>
      </c>
      <c r="K1983" s="89"/>
      <c r="L1983" s="89"/>
      <c r="M1983" s="90"/>
      <c r="N1983" s="88" t="s">
        <v>22</v>
      </c>
      <c r="O1983" s="89"/>
      <c r="P1983" s="90"/>
      <c r="Q1983" s="133">
        <v>2000</v>
      </c>
      <c r="R1983" s="134"/>
      <c r="S1983" s="5" t="s">
        <v>70</v>
      </c>
      <c r="T1983" s="6"/>
      <c r="U1983" s="6"/>
      <c r="V1983" s="5" t="s">
        <v>106</v>
      </c>
      <c r="W1983" s="12">
        <v>9849168</v>
      </c>
      <c r="X1983" s="6"/>
      <c r="Y1983" s="6"/>
    </row>
    <row r="1984" spans="1:25" ht="15" customHeight="1" x14ac:dyDescent="0.2">
      <c r="A1984" s="88" t="s">
        <v>2458</v>
      </c>
      <c r="B1984" s="90"/>
      <c r="C1984" s="88" t="s">
        <v>2474</v>
      </c>
      <c r="D1984" s="90"/>
      <c r="E1984" s="88" t="s">
        <v>2475</v>
      </c>
      <c r="F1984" s="89"/>
      <c r="G1984" s="89"/>
      <c r="H1984" s="89"/>
      <c r="I1984" s="90"/>
      <c r="J1984" s="88" t="s">
        <v>13</v>
      </c>
      <c r="K1984" s="89"/>
      <c r="L1984" s="89"/>
      <c r="M1984" s="90"/>
      <c r="N1984" s="88" t="s">
        <v>22</v>
      </c>
      <c r="O1984" s="89"/>
      <c r="P1984" s="90"/>
      <c r="Q1984" s="133">
        <v>2400</v>
      </c>
      <c r="R1984" s="134"/>
      <c r="S1984" s="5" t="s">
        <v>70</v>
      </c>
      <c r="T1984" s="6"/>
      <c r="U1984" s="6"/>
      <c r="V1984" s="5" t="s">
        <v>23</v>
      </c>
      <c r="W1984" s="12">
        <v>9888852</v>
      </c>
      <c r="X1984" s="6"/>
      <c r="Y1984" s="6"/>
    </row>
    <row r="1985" spans="1:25" ht="15" customHeight="1" x14ac:dyDescent="0.2">
      <c r="A1985" s="88" t="s">
        <v>2458</v>
      </c>
      <c r="B1985" s="90"/>
      <c r="C1985" s="88" t="s">
        <v>2476</v>
      </c>
      <c r="D1985" s="90"/>
      <c r="E1985" s="88" t="s">
        <v>2477</v>
      </c>
      <c r="F1985" s="89"/>
      <c r="G1985" s="89"/>
      <c r="H1985" s="89"/>
      <c r="I1985" s="90"/>
      <c r="J1985" s="88" t="s">
        <v>13</v>
      </c>
      <c r="K1985" s="89"/>
      <c r="L1985" s="89"/>
      <c r="M1985" s="90"/>
      <c r="N1985" s="88" t="s">
        <v>22</v>
      </c>
      <c r="O1985" s="89"/>
      <c r="P1985" s="90"/>
      <c r="Q1985" s="133">
        <v>2400</v>
      </c>
      <c r="R1985" s="134"/>
      <c r="S1985" s="5" t="s">
        <v>70</v>
      </c>
      <c r="T1985" s="6"/>
      <c r="U1985" s="6"/>
      <c r="V1985" s="5" t="s">
        <v>106</v>
      </c>
      <c r="W1985" s="12">
        <v>12869542</v>
      </c>
      <c r="X1985" s="6"/>
      <c r="Y1985" s="6"/>
    </row>
    <row r="1986" spans="1:25" ht="15" customHeight="1" x14ac:dyDescent="0.2">
      <c r="A1986" s="88" t="s">
        <v>2458</v>
      </c>
      <c r="B1986" s="90"/>
      <c r="C1986" s="88" t="s">
        <v>2478</v>
      </c>
      <c r="D1986" s="90"/>
      <c r="E1986" s="88" t="s">
        <v>2477</v>
      </c>
      <c r="F1986" s="89"/>
      <c r="G1986" s="89"/>
      <c r="H1986" s="89"/>
      <c r="I1986" s="90"/>
      <c r="J1986" s="88" t="s">
        <v>13</v>
      </c>
      <c r="K1986" s="89"/>
      <c r="L1986" s="89"/>
      <c r="M1986" s="90"/>
      <c r="N1986" s="88" t="s">
        <v>22</v>
      </c>
      <c r="O1986" s="89"/>
      <c r="P1986" s="90"/>
      <c r="Q1986" s="133">
        <v>2400</v>
      </c>
      <c r="R1986" s="134"/>
      <c r="S1986" s="5" t="s">
        <v>70</v>
      </c>
      <c r="T1986" s="6"/>
      <c r="U1986" s="6"/>
      <c r="V1986" s="5" t="s">
        <v>23</v>
      </c>
      <c r="W1986" s="12">
        <v>9504574</v>
      </c>
      <c r="X1986" s="6"/>
      <c r="Y1986" s="6"/>
    </row>
    <row r="1987" spans="1:25" ht="15" customHeight="1" x14ac:dyDescent="0.2">
      <c r="A1987" s="88" t="s">
        <v>2458</v>
      </c>
      <c r="B1987" s="90"/>
      <c r="C1987" s="88" t="s">
        <v>2479</v>
      </c>
      <c r="D1987" s="90"/>
      <c r="E1987" s="88" t="s">
        <v>2480</v>
      </c>
      <c r="F1987" s="89"/>
      <c r="G1987" s="89"/>
      <c r="H1987" s="89"/>
      <c r="I1987" s="90"/>
      <c r="J1987" s="88" t="s">
        <v>13</v>
      </c>
      <c r="K1987" s="89"/>
      <c r="L1987" s="89"/>
      <c r="M1987" s="90"/>
      <c r="N1987" s="88" t="s">
        <v>22</v>
      </c>
      <c r="O1987" s="89"/>
      <c r="P1987" s="90"/>
      <c r="Q1987" s="133">
        <v>2000</v>
      </c>
      <c r="R1987" s="134"/>
      <c r="S1987" s="5" t="s">
        <v>70</v>
      </c>
      <c r="T1987" s="6"/>
      <c r="U1987" s="6"/>
      <c r="V1987" s="5" t="s">
        <v>23</v>
      </c>
      <c r="W1987" s="12">
        <v>15916619</v>
      </c>
      <c r="X1987" s="6"/>
      <c r="Y1987" s="6"/>
    </row>
    <row r="1988" spans="1:25" ht="15" customHeight="1" x14ac:dyDescent="0.2">
      <c r="A1988" s="88" t="s">
        <v>2458</v>
      </c>
      <c r="B1988" s="90"/>
      <c r="C1988" s="88" t="s">
        <v>2479</v>
      </c>
      <c r="D1988" s="90"/>
      <c r="E1988" s="88" t="s">
        <v>2480</v>
      </c>
      <c r="F1988" s="89"/>
      <c r="G1988" s="89"/>
      <c r="H1988" s="89"/>
      <c r="I1988" s="90"/>
      <c r="J1988" s="88" t="s">
        <v>13</v>
      </c>
      <c r="K1988" s="89"/>
      <c r="L1988" s="89"/>
      <c r="M1988" s="90"/>
      <c r="N1988" s="88" t="s">
        <v>22</v>
      </c>
      <c r="O1988" s="89"/>
      <c r="P1988" s="90"/>
      <c r="Q1988" s="133">
        <v>2000</v>
      </c>
      <c r="R1988" s="134"/>
      <c r="S1988" s="5" t="s">
        <v>70</v>
      </c>
      <c r="T1988" s="6"/>
      <c r="U1988" s="6"/>
      <c r="V1988" s="5" t="s">
        <v>176</v>
      </c>
      <c r="W1988" s="12">
        <v>14765610</v>
      </c>
      <c r="X1988" s="6"/>
      <c r="Y1988" s="6"/>
    </row>
    <row r="1989" spans="1:25" ht="15" customHeight="1" x14ac:dyDescent="0.2">
      <c r="A1989" s="88" t="s">
        <v>2458</v>
      </c>
      <c r="B1989" s="90"/>
      <c r="C1989" s="88" t="s">
        <v>2481</v>
      </c>
      <c r="D1989" s="90"/>
      <c r="E1989" s="88" t="s">
        <v>2482</v>
      </c>
      <c r="F1989" s="89"/>
      <c r="G1989" s="89"/>
      <c r="H1989" s="89"/>
      <c r="I1989" s="90"/>
      <c r="J1989" s="88" t="s">
        <v>13</v>
      </c>
      <c r="K1989" s="89"/>
      <c r="L1989" s="89"/>
      <c r="M1989" s="90"/>
      <c r="N1989" s="88" t="s">
        <v>22</v>
      </c>
      <c r="O1989" s="89"/>
      <c r="P1989" s="90"/>
      <c r="Q1989" s="133">
        <v>2000</v>
      </c>
      <c r="R1989" s="134"/>
      <c r="S1989" s="5" t="s">
        <v>70</v>
      </c>
      <c r="T1989" s="6"/>
      <c r="U1989" s="6"/>
      <c r="V1989" s="5" t="s">
        <v>176</v>
      </c>
      <c r="W1989" s="12">
        <v>16768493</v>
      </c>
      <c r="X1989" s="6"/>
      <c r="Y1989" s="6"/>
    </row>
    <row r="1990" spans="1:25" ht="15" customHeight="1" x14ac:dyDescent="0.2">
      <c r="A1990" s="88" t="s">
        <v>2458</v>
      </c>
      <c r="B1990" s="90"/>
      <c r="C1990" s="88" t="s">
        <v>2483</v>
      </c>
      <c r="D1990" s="90"/>
      <c r="E1990" s="88" t="s">
        <v>2484</v>
      </c>
      <c r="F1990" s="89"/>
      <c r="G1990" s="89"/>
      <c r="H1990" s="89"/>
      <c r="I1990" s="90"/>
      <c r="J1990" s="88" t="s">
        <v>13</v>
      </c>
      <c r="K1990" s="89"/>
      <c r="L1990" s="89"/>
      <c r="M1990" s="90"/>
      <c r="N1990" s="88" t="s">
        <v>22</v>
      </c>
      <c r="O1990" s="89"/>
      <c r="P1990" s="90"/>
      <c r="Q1990" s="133">
        <v>3600</v>
      </c>
      <c r="R1990" s="134"/>
      <c r="S1990" s="5" t="s">
        <v>70</v>
      </c>
      <c r="T1990" s="6"/>
      <c r="U1990" s="6"/>
      <c r="V1990" s="5" t="s">
        <v>23</v>
      </c>
      <c r="W1990" s="12">
        <v>13010247</v>
      </c>
      <c r="X1990" s="6"/>
      <c r="Y1990" s="6"/>
    </row>
    <row r="1991" spans="1:25" ht="15" customHeight="1" x14ac:dyDescent="0.2">
      <c r="A1991" s="88" t="s">
        <v>2458</v>
      </c>
      <c r="B1991" s="90"/>
      <c r="C1991" s="88" t="s">
        <v>2485</v>
      </c>
      <c r="D1991" s="90"/>
      <c r="E1991" s="88" t="s">
        <v>2486</v>
      </c>
      <c r="F1991" s="89"/>
      <c r="G1991" s="89"/>
      <c r="H1991" s="89"/>
      <c r="I1991" s="90"/>
      <c r="J1991" s="88" t="s">
        <v>13</v>
      </c>
      <c r="K1991" s="89"/>
      <c r="L1991" s="89"/>
      <c r="M1991" s="90"/>
      <c r="N1991" s="88" t="s">
        <v>22</v>
      </c>
      <c r="O1991" s="89"/>
      <c r="P1991" s="90"/>
      <c r="Q1991" s="133">
        <v>3600</v>
      </c>
      <c r="R1991" s="134"/>
      <c r="S1991" s="5" t="s">
        <v>70</v>
      </c>
      <c r="T1991" s="6"/>
      <c r="U1991" s="6"/>
      <c r="V1991" s="5" t="s">
        <v>23</v>
      </c>
      <c r="W1991" s="12">
        <v>17243004</v>
      </c>
      <c r="X1991" s="6"/>
      <c r="Y1991" s="6"/>
    </row>
    <row r="1992" spans="1:25" ht="15" customHeight="1" x14ac:dyDescent="0.2">
      <c r="A1992" s="88" t="s">
        <v>2458</v>
      </c>
      <c r="B1992" s="90"/>
      <c r="C1992" s="88" t="s">
        <v>2487</v>
      </c>
      <c r="D1992" s="90"/>
      <c r="E1992" s="88" t="s">
        <v>2488</v>
      </c>
      <c r="F1992" s="89"/>
      <c r="G1992" s="89"/>
      <c r="H1992" s="89"/>
      <c r="I1992" s="90"/>
      <c r="J1992" s="88" t="s">
        <v>13</v>
      </c>
      <c r="K1992" s="89"/>
      <c r="L1992" s="89"/>
      <c r="M1992" s="90"/>
      <c r="N1992" s="88" t="s">
        <v>22</v>
      </c>
      <c r="O1992" s="89"/>
      <c r="P1992" s="90"/>
      <c r="Q1992" s="133">
        <v>3600</v>
      </c>
      <c r="R1992" s="134"/>
      <c r="S1992" s="5" t="s">
        <v>70</v>
      </c>
      <c r="T1992" s="6"/>
      <c r="U1992" s="6"/>
      <c r="V1992" s="5" t="s">
        <v>23</v>
      </c>
      <c r="W1992" s="12">
        <v>19215481</v>
      </c>
      <c r="X1992" s="6"/>
      <c r="Y1992" s="6"/>
    </row>
    <row r="1993" spans="1:25" ht="15" customHeight="1" x14ac:dyDescent="0.2">
      <c r="A1993" s="88" t="s">
        <v>2458</v>
      </c>
      <c r="B1993" s="90"/>
      <c r="C1993" s="88" t="s">
        <v>2489</v>
      </c>
      <c r="D1993" s="90"/>
      <c r="E1993" s="88" t="s">
        <v>2490</v>
      </c>
      <c r="F1993" s="89"/>
      <c r="G1993" s="89"/>
      <c r="H1993" s="89"/>
      <c r="I1993" s="90"/>
      <c r="J1993" s="88" t="s">
        <v>13</v>
      </c>
      <c r="K1993" s="89"/>
      <c r="L1993" s="89"/>
      <c r="M1993" s="90"/>
      <c r="N1993" s="88" t="s">
        <v>22</v>
      </c>
      <c r="O1993" s="89"/>
      <c r="P1993" s="90"/>
      <c r="Q1993" s="133">
        <v>6400</v>
      </c>
      <c r="R1993" s="134"/>
      <c r="S1993" s="5" t="s">
        <v>70</v>
      </c>
      <c r="T1993" s="6"/>
      <c r="U1993" s="6"/>
      <c r="V1993" s="5" t="s">
        <v>23</v>
      </c>
      <c r="W1993" s="12">
        <v>21516923</v>
      </c>
      <c r="X1993" s="6"/>
      <c r="Y1993" s="6"/>
    </row>
    <row r="1994" spans="1:25" ht="15" customHeight="1" x14ac:dyDescent="0.2">
      <c r="A1994" s="88" t="s">
        <v>2458</v>
      </c>
      <c r="B1994" s="90"/>
      <c r="C1994" s="88" t="s">
        <v>2491</v>
      </c>
      <c r="D1994" s="90"/>
      <c r="E1994" s="88" t="s">
        <v>2484</v>
      </c>
      <c r="F1994" s="89"/>
      <c r="G1994" s="89"/>
      <c r="H1994" s="89"/>
      <c r="I1994" s="90"/>
      <c r="J1994" s="88" t="s">
        <v>13</v>
      </c>
      <c r="K1994" s="89"/>
      <c r="L1994" s="89"/>
      <c r="M1994" s="90"/>
      <c r="N1994" s="88" t="s">
        <v>22</v>
      </c>
      <c r="O1994" s="89"/>
      <c r="P1994" s="90"/>
      <c r="Q1994" s="133">
        <v>3600</v>
      </c>
      <c r="R1994" s="134"/>
      <c r="S1994" s="5" t="s">
        <v>70</v>
      </c>
      <c r="T1994" s="6"/>
      <c r="U1994" s="6"/>
      <c r="V1994" s="5" t="s">
        <v>23</v>
      </c>
      <c r="W1994" s="12">
        <v>22559676</v>
      </c>
      <c r="X1994" s="6"/>
      <c r="Y1994" s="6"/>
    </row>
    <row r="1995" spans="1:25" ht="15" customHeight="1" x14ac:dyDescent="0.2">
      <c r="A1995" s="88" t="s">
        <v>2458</v>
      </c>
      <c r="B1995" s="90"/>
      <c r="C1995" s="88" t="s">
        <v>2492</v>
      </c>
      <c r="D1995" s="90"/>
      <c r="E1995" s="88" t="s">
        <v>2493</v>
      </c>
      <c r="F1995" s="89"/>
      <c r="G1995" s="89"/>
      <c r="H1995" s="89"/>
      <c r="I1995" s="90"/>
      <c r="J1995" s="88" t="s">
        <v>13</v>
      </c>
      <c r="K1995" s="89"/>
      <c r="L1995" s="89"/>
      <c r="M1995" s="90"/>
      <c r="N1995" s="88" t="s">
        <v>22</v>
      </c>
      <c r="O1995" s="89"/>
      <c r="P1995" s="90"/>
      <c r="Q1995" s="133">
        <v>3600</v>
      </c>
      <c r="R1995" s="134"/>
      <c r="S1995" s="5" t="s">
        <v>70</v>
      </c>
      <c r="T1995" s="6"/>
      <c r="U1995" s="6"/>
      <c r="V1995" s="5" t="s">
        <v>23</v>
      </c>
      <c r="W1995" s="12">
        <v>22001058</v>
      </c>
      <c r="X1995" s="6"/>
      <c r="Y1995" s="6"/>
    </row>
    <row r="1996" spans="1:25" ht="15" customHeight="1" x14ac:dyDescent="0.2">
      <c r="A1996" s="88" t="s">
        <v>2458</v>
      </c>
      <c r="B1996" s="90"/>
      <c r="C1996" s="88" t="s">
        <v>2494</v>
      </c>
      <c r="D1996" s="90"/>
      <c r="E1996" s="88" t="s">
        <v>2495</v>
      </c>
      <c r="F1996" s="89"/>
      <c r="G1996" s="89"/>
      <c r="H1996" s="89"/>
      <c r="I1996" s="90"/>
      <c r="J1996" s="88" t="s">
        <v>13</v>
      </c>
      <c r="K1996" s="89"/>
      <c r="L1996" s="89"/>
      <c r="M1996" s="90"/>
      <c r="N1996" s="88" t="s">
        <v>22</v>
      </c>
      <c r="O1996" s="89"/>
      <c r="P1996" s="90"/>
      <c r="Q1996" s="133">
        <v>6200</v>
      </c>
      <c r="R1996" s="134"/>
      <c r="S1996" s="5" t="s">
        <v>70</v>
      </c>
      <c r="T1996" s="6"/>
      <c r="U1996" s="6"/>
      <c r="V1996" s="5" t="s">
        <v>23</v>
      </c>
      <c r="W1996" s="12">
        <v>43192610</v>
      </c>
      <c r="X1996" s="6"/>
      <c r="Y1996" s="6"/>
    </row>
    <row r="1997" spans="1:25" ht="15" customHeight="1" x14ac:dyDescent="0.2">
      <c r="A1997" s="88" t="s">
        <v>2458</v>
      </c>
      <c r="B1997" s="90"/>
      <c r="C1997" s="88" t="s">
        <v>2496</v>
      </c>
      <c r="D1997" s="90"/>
      <c r="E1997" s="88" t="s">
        <v>2497</v>
      </c>
      <c r="F1997" s="89"/>
      <c r="G1997" s="89"/>
      <c r="H1997" s="89"/>
      <c r="I1997" s="90"/>
      <c r="J1997" s="88" t="s">
        <v>13</v>
      </c>
      <c r="K1997" s="89"/>
      <c r="L1997" s="89"/>
      <c r="M1997" s="90"/>
      <c r="N1997" s="88" t="s">
        <v>26</v>
      </c>
      <c r="O1997" s="89"/>
      <c r="P1997" s="90"/>
      <c r="Q1997" s="133">
        <v>1300</v>
      </c>
      <c r="R1997" s="134"/>
      <c r="S1997" s="5" t="s">
        <v>70</v>
      </c>
      <c r="T1997" s="6"/>
      <c r="U1997" s="6"/>
      <c r="V1997" s="5" t="s">
        <v>23</v>
      </c>
      <c r="W1997" s="12">
        <v>9098545</v>
      </c>
      <c r="X1997" s="6"/>
      <c r="Y1997" s="6"/>
    </row>
    <row r="1998" spans="1:25" ht="15" customHeight="1" x14ac:dyDescent="0.2">
      <c r="A1998" s="88" t="s">
        <v>2458</v>
      </c>
      <c r="B1998" s="90"/>
      <c r="C1998" s="88" t="s">
        <v>2498</v>
      </c>
      <c r="D1998" s="90"/>
      <c r="E1998" s="88" t="s">
        <v>2499</v>
      </c>
      <c r="F1998" s="89"/>
      <c r="G1998" s="89"/>
      <c r="H1998" s="89"/>
      <c r="I1998" s="90"/>
      <c r="J1998" s="88" t="s">
        <v>13</v>
      </c>
      <c r="K1998" s="89"/>
      <c r="L1998" s="89"/>
      <c r="M1998" s="90"/>
      <c r="N1998" s="88" t="s">
        <v>26</v>
      </c>
      <c r="O1998" s="89"/>
      <c r="P1998" s="90"/>
      <c r="Q1998" s="133">
        <v>1300</v>
      </c>
      <c r="R1998" s="134"/>
      <c r="S1998" s="5" t="s">
        <v>70</v>
      </c>
      <c r="T1998" s="6"/>
      <c r="U1998" s="6"/>
      <c r="V1998" s="5" t="s">
        <v>23</v>
      </c>
      <c r="W1998" s="12">
        <v>5959598</v>
      </c>
      <c r="X1998" s="6"/>
      <c r="Y1998" s="6"/>
    </row>
    <row r="1999" spans="1:25" ht="15" customHeight="1" x14ac:dyDescent="0.2">
      <c r="A1999" s="88" t="s">
        <v>2458</v>
      </c>
      <c r="B1999" s="90"/>
      <c r="C1999" s="88" t="s">
        <v>2500</v>
      </c>
      <c r="D1999" s="90"/>
      <c r="E1999" s="88" t="s">
        <v>2501</v>
      </c>
      <c r="F1999" s="89"/>
      <c r="G1999" s="89"/>
      <c r="H1999" s="89"/>
      <c r="I1999" s="90"/>
      <c r="J1999" s="88" t="s">
        <v>13</v>
      </c>
      <c r="K1999" s="89"/>
      <c r="L1999" s="89"/>
      <c r="M1999" s="90"/>
      <c r="N1999" s="88" t="s">
        <v>26</v>
      </c>
      <c r="O1999" s="89"/>
      <c r="P1999" s="90"/>
      <c r="Q1999" s="133">
        <v>1300</v>
      </c>
      <c r="R1999" s="134"/>
      <c r="S1999" s="5" t="s">
        <v>70</v>
      </c>
      <c r="T1999" s="6"/>
      <c r="U1999" s="6"/>
      <c r="V1999" s="5" t="s">
        <v>23</v>
      </c>
      <c r="W1999" s="12">
        <v>7562154</v>
      </c>
      <c r="X1999" s="6"/>
      <c r="Y1999" s="6"/>
    </row>
    <row r="2000" spans="1:25" ht="15" customHeight="1" x14ac:dyDescent="0.2">
      <c r="A2000" s="88" t="s">
        <v>2458</v>
      </c>
      <c r="B2000" s="90"/>
      <c r="C2000" s="88" t="s">
        <v>2502</v>
      </c>
      <c r="D2000" s="90"/>
      <c r="E2000" s="88" t="s">
        <v>2503</v>
      </c>
      <c r="F2000" s="89"/>
      <c r="G2000" s="89"/>
      <c r="H2000" s="89"/>
      <c r="I2000" s="90"/>
      <c r="J2000" s="88" t="s">
        <v>13</v>
      </c>
      <c r="K2000" s="89"/>
      <c r="L2000" s="89"/>
      <c r="M2000" s="90"/>
      <c r="N2000" s="88" t="s">
        <v>22</v>
      </c>
      <c r="O2000" s="89"/>
      <c r="P2000" s="90"/>
      <c r="Q2000" s="133">
        <v>2400</v>
      </c>
      <c r="R2000" s="134"/>
      <c r="S2000" s="5" t="s">
        <v>70</v>
      </c>
      <c r="T2000" s="6"/>
      <c r="U2000" s="6"/>
      <c r="V2000" s="5" t="s">
        <v>23</v>
      </c>
      <c r="W2000" s="12">
        <v>8267246</v>
      </c>
      <c r="X2000" s="6"/>
      <c r="Y2000" s="6"/>
    </row>
    <row r="2001" spans="1:25" ht="15" customHeight="1" x14ac:dyDescent="0.2">
      <c r="A2001" s="88" t="s">
        <v>2458</v>
      </c>
      <c r="B2001" s="90"/>
      <c r="C2001" s="88" t="s">
        <v>2504</v>
      </c>
      <c r="D2001" s="90"/>
      <c r="E2001" s="88" t="s">
        <v>2505</v>
      </c>
      <c r="F2001" s="89"/>
      <c r="G2001" s="89"/>
      <c r="H2001" s="89"/>
      <c r="I2001" s="90"/>
      <c r="J2001" s="88" t="s">
        <v>13</v>
      </c>
      <c r="K2001" s="89"/>
      <c r="L2001" s="89"/>
      <c r="M2001" s="90"/>
      <c r="N2001" s="88" t="s">
        <v>22</v>
      </c>
      <c r="O2001" s="89"/>
      <c r="P2001" s="90"/>
      <c r="Q2001" s="133">
        <v>2400</v>
      </c>
      <c r="R2001" s="134"/>
      <c r="S2001" s="5" t="s">
        <v>70</v>
      </c>
      <c r="T2001" s="6"/>
      <c r="U2001" s="6"/>
      <c r="V2001" s="5" t="s">
        <v>23</v>
      </c>
      <c r="W2001" s="12">
        <v>9724101</v>
      </c>
      <c r="X2001" s="6"/>
      <c r="Y2001" s="6"/>
    </row>
    <row r="2002" spans="1:25" ht="15" customHeight="1" x14ac:dyDescent="0.2">
      <c r="A2002" s="88" t="s">
        <v>2458</v>
      </c>
      <c r="B2002" s="90"/>
      <c r="C2002" s="88" t="s">
        <v>2506</v>
      </c>
      <c r="D2002" s="90"/>
      <c r="E2002" s="88" t="s">
        <v>2507</v>
      </c>
      <c r="F2002" s="89"/>
      <c r="G2002" s="89"/>
      <c r="H2002" s="89"/>
      <c r="I2002" s="90"/>
      <c r="J2002" s="88" t="s">
        <v>13</v>
      </c>
      <c r="K2002" s="89"/>
      <c r="L2002" s="89"/>
      <c r="M2002" s="90"/>
      <c r="N2002" s="88" t="s">
        <v>26</v>
      </c>
      <c r="O2002" s="89"/>
      <c r="P2002" s="90"/>
      <c r="Q2002" s="133">
        <v>3600</v>
      </c>
      <c r="R2002" s="134"/>
      <c r="S2002" s="5" t="s">
        <v>70</v>
      </c>
      <c r="T2002" s="6"/>
      <c r="U2002" s="6"/>
      <c r="V2002" s="5" t="s">
        <v>23</v>
      </c>
      <c r="W2002" s="12">
        <v>17687685</v>
      </c>
      <c r="X2002" s="6"/>
      <c r="Y2002" s="6"/>
    </row>
    <row r="2003" spans="1:25" ht="15" customHeight="1" x14ac:dyDescent="0.2">
      <c r="A2003" s="88" t="s">
        <v>2458</v>
      </c>
      <c r="B2003" s="90"/>
      <c r="C2003" s="88" t="s">
        <v>2508</v>
      </c>
      <c r="D2003" s="90"/>
      <c r="E2003" s="88" t="s">
        <v>2509</v>
      </c>
      <c r="F2003" s="89"/>
      <c r="G2003" s="89"/>
      <c r="H2003" s="89"/>
      <c r="I2003" s="90"/>
      <c r="J2003" s="88" t="s">
        <v>13</v>
      </c>
      <c r="K2003" s="89"/>
      <c r="L2003" s="89"/>
      <c r="M2003" s="90"/>
      <c r="N2003" s="88" t="s">
        <v>26</v>
      </c>
      <c r="O2003" s="89"/>
      <c r="P2003" s="90"/>
      <c r="Q2003" s="133">
        <v>3600</v>
      </c>
      <c r="R2003" s="134"/>
      <c r="S2003" s="5" t="s">
        <v>70</v>
      </c>
      <c r="T2003" s="6"/>
      <c r="U2003" s="6"/>
      <c r="V2003" s="5" t="s">
        <v>23</v>
      </c>
      <c r="W2003" s="12">
        <v>18483724</v>
      </c>
      <c r="X2003" s="6"/>
      <c r="Y2003" s="6"/>
    </row>
    <row r="2004" spans="1:25" ht="15" customHeight="1" x14ac:dyDescent="0.2">
      <c r="A2004" s="88" t="s">
        <v>2458</v>
      </c>
      <c r="B2004" s="90"/>
      <c r="C2004" s="88" t="s">
        <v>2510</v>
      </c>
      <c r="D2004" s="90"/>
      <c r="E2004" s="88" t="s">
        <v>2511</v>
      </c>
      <c r="F2004" s="89"/>
      <c r="G2004" s="89"/>
      <c r="H2004" s="89"/>
      <c r="I2004" s="90"/>
      <c r="J2004" s="88" t="s">
        <v>13</v>
      </c>
      <c r="K2004" s="89"/>
      <c r="L2004" s="89"/>
      <c r="M2004" s="90"/>
      <c r="N2004" s="88" t="s">
        <v>22</v>
      </c>
      <c r="O2004" s="89"/>
      <c r="P2004" s="90"/>
      <c r="Q2004" s="133">
        <v>3600</v>
      </c>
      <c r="R2004" s="134"/>
      <c r="S2004" s="5" t="s">
        <v>70</v>
      </c>
      <c r="T2004" s="6"/>
      <c r="U2004" s="6"/>
      <c r="V2004" s="5" t="s">
        <v>23</v>
      </c>
      <c r="W2004" s="12">
        <v>15065701</v>
      </c>
      <c r="X2004" s="6"/>
      <c r="Y2004" s="6"/>
    </row>
    <row r="2005" spans="1:25" ht="15" customHeight="1" x14ac:dyDescent="0.2">
      <c r="A2005" s="88" t="s">
        <v>2458</v>
      </c>
      <c r="B2005" s="90"/>
      <c r="C2005" s="88" t="s">
        <v>2512</v>
      </c>
      <c r="D2005" s="90"/>
      <c r="E2005" s="88" t="s">
        <v>2511</v>
      </c>
      <c r="F2005" s="89"/>
      <c r="G2005" s="89"/>
      <c r="H2005" s="89"/>
      <c r="I2005" s="90"/>
      <c r="J2005" s="88" t="s">
        <v>13</v>
      </c>
      <c r="K2005" s="89"/>
      <c r="L2005" s="89"/>
      <c r="M2005" s="90"/>
      <c r="N2005" s="88" t="s">
        <v>22</v>
      </c>
      <c r="O2005" s="89"/>
      <c r="P2005" s="90"/>
      <c r="Q2005" s="133">
        <v>3600</v>
      </c>
      <c r="R2005" s="134"/>
      <c r="S2005" s="5" t="s">
        <v>70</v>
      </c>
      <c r="T2005" s="6"/>
      <c r="U2005" s="6"/>
      <c r="V2005" s="5" t="s">
        <v>23</v>
      </c>
      <c r="W2005" s="12">
        <v>18577938</v>
      </c>
      <c r="X2005" s="6"/>
      <c r="Y2005" s="6"/>
    </row>
    <row r="2006" spans="1:25" ht="15" customHeight="1" x14ac:dyDescent="0.2">
      <c r="A2006" s="88" t="s">
        <v>2458</v>
      </c>
      <c r="B2006" s="90"/>
      <c r="C2006" s="88" t="s">
        <v>2513</v>
      </c>
      <c r="D2006" s="90"/>
      <c r="E2006" s="88" t="s">
        <v>2514</v>
      </c>
      <c r="F2006" s="89"/>
      <c r="G2006" s="89"/>
      <c r="H2006" s="89"/>
      <c r="I2006" s="90"/>
      <c r="J2006" s="88" t="s">
        <v>13</v>
      </c>
      <c r="K2006" s="89"/>
      <c r="L2006" s="89"/>
      <c r="M2006" s="90"/>
      <c r="N2006" s="88" t="s">
        <v>22</v>
      </c>
      <c r="O2006" s="89"/>
      <c r="P2006" s="90"/>
      <c r="Q2006" s="133">
        <v>3600</v>
      </c>
      <c r="R2006" s="134"/>
      <c r="S2006" s="5" t="s">
        <v>70</v>
      </c>
      <c r="T2006" s="6"/>
      <c r="U2006" s="6"/>
      <c r="V2006" s="5" t="s">
        <v>23</v>
      </c>
      <c r="W2006" s="12">
        <v>14867244</v>
      </c>
      <c r="X2006" s="6"/>
      <c r="Y2006" s="6"/>
    </row>
    <row r="2007" spans="1:25" ht="15" customHeight="1" x14ac:dyDescent="0.2">
      <c r="A2007" s="88" t="s">
        <v>2458</v>
      </c>
      <c r="B2007" s="90"/>
      <c r="C2007" s="88" t="s">
        <v>2515</v>
      </c>
      <c r="D2007" s="90"/>
      <c r="E2007" s="88" t="s">
        <v>2516</v>
      </c>
      <c r="F2007" s="89"/>
      <c r="G2007" s="89"/>
      <c r="H2007" s="89"/>
      <c r="I2007" s="90"/>
      <c r="J2007" s="88" t="s">
        <v>13</v>
      </c>
      <c r="K2007" s="89"/>
      <c r="L2007" s="89"/>
      <c r="M2007" s="90"/>
      <c r="N2007" s="88" t="s">
        <v>26</v>
      </c>
      <c r="O2007" s="89"/>
      <c r="P2007" s="90"/>
      <c r="Q2007" s="133">
        <v>3600</v>
      </c>
      <c r="R2007" s="134"/>
      <c r="S2007" s="5" t="s">
        <v>70</v>
      </c>
      <c r="T2007" s="6"/>
      <c r="U2007" s="6"/>
      <c r="V2007" s="5" t="s">
        <v>23</v>
      </c>
      <c r="W2007" s="12">
        <v>14866355</v>
      </c>
      <c r="X2007" s="6"/>
      <c r="Y2007" s="6"/>
    </row>
    <row r="2008" spans="1:25" ht="15" customHeight="1" x14ac:dyDescent="0.2">
      <c r="A2008" s="88" t="s">
        <v>2458</v>
      </c>
      <c r="B2008" s="90"/>
      <c r="C2008" s="88" t="s">
        <v>2517</v>
      </c>
      <c r="D2008" s="90"/>
      <c r="E2008" s="88" t="s">
        <v>2518</v>
      </c>
      <c r="F2008" s="89"/>
      <c r="G2008" s="89"/>
      <c r="H2008" s="89"/>
      <c r="I2008" s="90"/>
      <c r="J2008" s="88" t="s">
        <v>13</v>
      </c>
      <c r="K2008" s="89"/>
      <c r="L2008" s="89"/>
      <c r="M2008" s="90"/>
      <c r="N2008" s="88" t="s">
        <v>26</v>
      </c>
      <c r="O2008" s="89"/>
      <c r="P2008" s="90"/>
      <c r="Q2008" s="133">
        <v>3600</v>
      </c>
      <c r="R2008" s="134"/>
      <c r="S2008" s="5" t="s">
        <v>70</v>
      </c>
      <c r="T2008" s="6"/>
      <c r="U2008" s="6"/>
      <c r="V2008" s="5" t="s">
        <v>23</v>
      </c>
      <c r="W2008" s="10">
        <v>22677607</v>
      </c>
      <c r="X2008" s="6"/>
      <c r="Y2008" s="6"/>
    </row>
    <row r="2009" spans="1:25" ht="15" customHeight="1" x14ac:dyDescent="0.2">
      <c r="A2009" s="88" t="s">
        <v>2458</v>
      </c>
      <c r="B2009" s="90"/>
      <c r="C2009" s="88" t="s">
        <v>2519</v>
      </c>
      <c r="D2009" s="90"/>
      <c r="E2009" s="88" t="s">
        <v>2520</v>
      </c>
      <c r="F2009" s="89"/>
      <c r="G2009" s="89"/>
      <c r="H2009" s="89"/>
      <c r="I2009" s="90"/>
      <c r="J2009" s="88" t="s">
        <v>13</v>
      </c>
      <c r="K2009" s="89"/>
      <c r="L2009" s="89"/>
      <c r="M2009" s="90"/>
      <c r="N2009" s="88" t="s">
        <v>26</v>
      </c>
      <c r="O2009" s="89"/>
      <c r="P2009" s="90"/>
      <c r="Q2009" s="133">
        <v>2000</v>
      </c>
      <c r="R2009" s="134"/>
      <c r="S2009" s="5" t="s">
        <v>70</v>
      </c>
      <c r="T2009" s="6"/>
      <c r="U2009" s="6"/>
      <c r="V2009" s="5" t="s">
        <v>23</v>
      </c>
      <c r="W2009" s="9">
        <v>17397523</v>
      </c>
      <c r="X2009" s="6"/>
      <c r="Y2009" s="6"/>
    </row>
    <row r="2010" spans="1:25" ht="15" customHeight="1" x14ac:dyDescent="0.2">
      <c r="A2010" s="88" t="s">
        <v>2458</v>
      </c>
      <c r="B2010" s="90"/>
      <c r="C2010" s="88" t="s">
        <v>2521</v>
      </c>
      <c r="D2010" s="90"/>
      <c r="E2010" s="88" t="s">
        <v>2522</v>
      </c>
      <c r="F2010" s="89"/>
      <c r="G2010" s="89"/>
      <c r="H2010" s="89"/>
      <c r="I2010" s="90"/>
      <c r="J2010" s="88" t="s">
        <v>13</v>
      </c>
      <c r="K2010" s="89"/>
      <c r="L2010" s="89"/>
      <c r="M2010" s="90"/>
      <c r="N2010" s="88" t="s">
        <v>26</v>
      </c>
      <c r="O2010" s="89"/>
      <c r="P2010" s="90"/>
      <c r="Q2010" s="133">
        <v>3600</v>
      </c>
      <c r="R2010" s="134"/>
      <c r="S2010" s="5" t="s">
        <v>70</v>
      </c>
      <c r="T2010" s="6"/>
      <c r="U2010" s="6"/>
      <c r="V2010" s="5" t="s">
        <v>23</v>
      </c>
      <c r="W2010" s="9">
        <v>26167745</v>
      </c>
      <c r="X2010" s="6"/>
      <c r="Y2010" s="6"/>
    </row>
    <row r="2011" spans="1:25" ht="15" customHeight="1" x14ac:dyDescent="0.2">
      <c r="A2011" s="88" t="s">
        <v>2458</v>
      </c>
      <c r="B2011" s="90"/>
      <c r="C2011" s="88" t="s">
        <v>2523</v>
      </c>
      <c r="D2011" s="90"/>
      <c r="E2011" s="88" t="s">
        <v>2516</v>
      </c>
      <c r="F2011" s="89"/>
      <c r="G2011" s="89"/>
      <c r="H2011" s="89"/>
      <c r="I2011" s="90"/>
      <c r="J2011" s="88" t="s">
        <v>13</v>
      </c>
      <c r="K2011" s="89"/>
      <c r="L2011" s="89"/>
      <c r="M2011" s="90"/>
      <c r="N2011" s="88" t="s">
        <v>26</v>
      </c>
      <c r="O2011" s="89"/>
      <c r="P2011" s="90"/>
      <c r="Q2011" s="133">
        <v>3600</v>
      </c>
      <c r="R2011" s="134"/>
      <c r="S2011" s="5" t="s">
        <v>70</v>
      </c>
      <c r="T2011" s="6"/>
      <c r="U2011" s="6"/>
      <c r="V2011" s="5" t="s">
        <v>23</v>
      </c>
      <c r="W2011" s="10">
        <v>20293044</v>
      </c>
      <c r="X2011" s="6"/>
      <c r="Y2011" s="6"/>
    </row>
    <row r="2012" spans="1:25" ht="15" customHeight="1" x14ac:dyDescent="0.2">
      <c r="A2012" s="88" t="s">
        <v>2458</v>
      </c>
      <c r="B2012" s="90"/>
      <c r="C2012" s="88" t="s">
        <v>2524</v>
      </c>
      <c r="D2012" s="90"/>
      <c r="E2012" s="88" t="s">
        <v>2477</v>
      </c>
      <c r="F2012" s="89"/>
      <c r="G2012" s="89"/>
      <c r="H2012" s="89"/>
      <c r="I2012" s="90"/>
      <c r="J2012" s="88" t="s">
        <v>13</v>
      </c>
      <c r="K2012" s="89"/>
      <c r="L2012" s="89"/>
      <c r="M2012" s="90"/>
      <c r="N2012" s="88" t="s">
        <v>22</v>
      </c>
      <c r="O2012" s="89"/>
      <c r="P2012" s="90"/>
      <c r="Q2012" s="133">
        <v>2400</v>
      </c>
      <c r="R2012" s="134"/>
      <c r="S2012" s="5" t="s">
        <v>70</v>
      </c>
      <c r="T2012" s="6"/>
      <c r="U2012" s="6"/>
      <c r="V2012" s="5" t="s">
        <v>23</v>
      </c>
      <c r="W2012" s="9">
        <v>6706834</v>
      </c>
      <c r="X2012" s="6"/>
      <c r="Y2012" s="6"/>
    </row>
    <row r="2013" spans="1:25" ht="15" customHeight="1" x14ac:dyDescent="0.2">
      <c r="A2013" s="88" t="s">
        <v>2458</v>
      </c>
      <c r="B2013" s="90"/>
      <c r="C2013" s="88" t="s">
        <v>2525</v>
      </c>
      <c r="D2013" s="90"/>
      <c r="E2013" s="88" t="s">
        <v>2526</v>
      </c>
      <c r="F2013" s="89"/>
      <c r="G2013" s="89"/>
      <c r="H2013" s="89"/>
      <c r="I2013" s="90"/>
      <c r="J2013" s="88" t="s">
        <v>13</v>
      </c>
      <c r="K2013" s="89"/>
      <c r="L2013" s="89"/>
      <c r="M2013" s="90"/>
      <c r="N2013" s="88" t="s">
        <v>22</v>
      </c>
      <c r="O2013" s="89"/>
      <c r="P2013" s="90"/>
      <c r="Q2013" s="133">
        <v>3600</v>
      </c>
      <c r="R2013" s="134"/>
      <c r="S2013" s="5" t="s">
        <v>70</v>
      </c>
      <c r="T2013" s="6"/>
      <c r="U2013" s="6"/>
      <c r="V2013" s="5" t="s">
        <v>23</v>
      </c>
      <c r="W2013" s="10">
        <v>20487290</v>
      </c>
      <c r="X2013" s="6"/>
      <c r="Y2013" s="6"/>
    </row>
    <row r="2014" spans="1:25" ht="15" customHeight="1" x14ac:dyDescent="0.2">
      <c r="A2014" s="88" t="s">
        <v>2458</v>
      </c>
      <c r="B2014" s="90"/>
      <c r="C2014" s="88" t="s">
        <v>2527</v>
      </c>
      <c r="D2014" s="90"/>
      <c r="E2014" s="88" t="s">
        <v>2528</v>
      </c>
      <c r="F2014" s="89"/>
      <c r="G2014" s="89"/>
      <c r="H2014" s="89"/>
      <c r="I2014" s="90"/>
      <c r="J2014" s="88" t="s">
        <v>13</v>
      </c>
      <c r="K2014" s="89"/>
      <c r="L2014" s="89"/>
      <c r="M2014" s="90"/>
      <c r="N2014" s="88" t="s">
        <v>22</v>
      </c>
      <c r="O2014" s="89"/>
      <c r="P2014" s="90"/>
      <c r="Q2014" s="133">
        <v>2400</v>
      </c>
      <c r="R2014" s="134"/>
      <c r="S2014" s="5" t="s">
        <v>70</v>
      </c>
      <c r="T2014" s="6"/>
      <c r="U2014" s="6"/>
      <c r="V2014" s="5" t="s">
        <v>23</v>
      </c>
      <c r="W2014" s="9">
        <v>26151166</v>
      </c>
      <c r="X2014" s="6"/>
      <c r="Y2014" s="6"/>
    </row>
    <row r="2015" spans="1:25" ht="15" customHeight="1" x14ac:dyDescent="0.2">
      <c r="A2015" s="88" t="s">
        <v>2458</v>
      </c>
      <c r="B2015" s="90"/>
      <c r="C2015" s="88" t="s">
        <v>2529</v>
      </c>
      <c r="D2015" s="90"/>
      <c r="E2015" s="88" t="s">
        <v>2530</v>
      </c>
      <c r="F2015" s="89"/>
      <c r="G2015" s="89"/>
      <c r="H2015" s="89"/>
      <c r="I2015" s="90"/>
      <c r="J2015" s="88" t="s">
        <v>13</v>
      </c>
      <c r="K2015" s="89"/>
      <c r="L2015" s="89"/>
      <c r="M2015" s="90"/>
      <c r="N2015" s="88" t="s">
        <v>22</v>
      </c>
      <c r="O2015" s="89"/>
      <c r="P2015" s="90"/>
      <c r="Q2015" s="133">
        <v>3600</v>
      </c>
      <c r="R2015" s="134"/>
      <c r="S2015" s="5" t="s">
        <v>70</v>
      </c>
      <c r="T2015" s="6"/>
      <c r="U2015" s="6"/>
      <c r="V2015" s="5" t="s">
        <v>23</v>
      </c>
      <c r="W2015" s="9">
        <v>13930316</v>
      </c>
      <c r="X2015" s="6"/>
      <c r="Y2015" s="6"/>
    </row>
    <row r="2016" spans="1:25" ht="15" customHeight="1" x14ac:dyDescent="0.2">
      <c r="A2016" s="88" t="s">
        <v>2458</v>
      </c>
      <c r="B2016" s="90"/>
      <c r="C2016" s="88" t="s">
        <v>2531</v>
      </c>
      <c r="D2016" s="90"/>
      <c r="E2016" s="88" t="s">
        <v>2532</v>
      </c>
      <c r="F2016" s="89"/>
      <c r="G2016" s="89"/>
      <c r="H2016" s="89"/>
      <c r="I2016" s="90"/>
      <c r="J2016" s="88" t="s">
        <v>13</v>
      </c>
      <c r="K2016" s="89"/>
      <c r="L2016" s="89"/>
      <c r="M2016" s="90"/>
      <c r="N2016" s="88" t="s">
        <v>22</v>
      </c>
      <c r="O2016" s="89"/>
      <c r="P2016" s="90"/>
      <c r="Q2016" s="133">
        <v>3600</v>
      </c>
      <c r="R2016" s="134"/>
      <c r="S2016" s="5" t="s">
        <v>70</v>
      </c>
      <c r="T2016" s="6"/>
      <c r="U2016" s="6"/>
      <c r="V2016" s="5" t="s">
        <v>23</v>
      </c>
      <c r="W2016" s="9">
        <v>16719341</v>
      </c>
      <c r="X2016" s="6"/>
      <c r="Y2016" s="6"/>
    </row>
    <row r="2017" spans="1:25" ht="15" customHeight="1" x14ac:dyDescent="0.2">
      <c r="A2017" s="88" t="s">
        <v>2458</v>
      </c>
      <c r="B2017" s="90"/>
      <c r="C2017" s="88" t="s">
        <v>2533</v>
      </c>
      <c r="D2017" s="90"/>
      <c r="E2017" s="88" t="s">
        <v>2534</v>
      </c>
      <c r="F2017" s="89"/>
      <c r="G2017" s="89"/>
      <c r="H2017" s="89"/>
      <c r="I2017" s="90"/>
      <c r="J2017" s="88" t="s">
        <v>13</v>
      </c>
      <c r="K2017" s="89"/>
      <c r="L2017" s="89"/>
      <c r="M2017" s="90"/>
      <c r="N2017" s="88" t="s">
        <v>22</v>
      </c>
      <c r="O2017" s="89"/>
      <c r="P2017" s="90"/>
      <c r="Q2017" s="133">
        <v>3600</v>
      </c>
      <c r="R2017" s="134"/>
      <c r="S2017" s="5" t="s">
        <v>70</v>
      </c>
      <c r="T2017" s="6"/>
      <c r="U2017" s="6"/>
      <c r="V2017" s="5" t="s">
        <v>23</v>
      </c>
      <c r="W2017" s="10">
        <v>21002950</v>
      </c>
      <c r="X2017" s="6"/>
      <c r="Y2017" s="6"/>
    </row>
    <row r="2018" spans="1:25" ht="15" customHeight="1" x14ac:dyDescent="0.2">
      <c r="A2018" s="88" t="s">
        <v>2458</v>
      </c>
      <c r="B2018" s="90"/>
      <c r="C2018" s="88" t="s">
        <v>2535</v>
      </c>
      <c r="D2018" s="90"/>
      <c r="E2018" s="88" t="s">
        <v>2536</v>
      </c>
      <c r="F2018" s="89"/>
      <c r="G2018" s="89"/>
      <c r="H2018" s="89"/>
      <c r="I2018" s="90"/>
      <c r="J2018" s="88" t="s">
        <v>13</v>
      </c>
      <c r="K2018" s="89"/>
      <c r="L2018" s="89"/>
      <c r="M2018" s="90"/>
      <c r="N2018" s="88" t="s">
        <v>26</v>
      </c>
      <c r="O2018" s="89"/>
      <c r="P2018" s="90"/>
      <c r="Q2018" s="133">
        <v>1300</v>
      </c>
      <c r="R2018" s="134"/>
      <c r="S2018" s="5" t="s">
        <v>70</v>
      </c>
      <c r="T2018" s="6"/>
      <c r="U2018" s="6"/>
      <c r="V2018" s="5" t="s">
        <v>23</v>
      </c>
      <c r="W2018" s="10">
        <v>10369590</v>
      </c>
      <c r="X2018" s="6"/>
      <c r="Y2018" s="6"/>
    </row>
    <row r="2019" spans="1:25" ht="15" customHeight="1" x14ac:dyDescent="0.2">
      <c r="A2019" s="88" t="s">
        <v>2458</v>
      </c>
      <c r="B2019" s="90"/>
      <c r="C2019" s="88" t="s">
        <v>2537</v>
      </c>
      <c r="D2019" s="90"/>
      <c r="E2019" s="88" t="s">
        <v>2511</v>
      </c>
      <c r="F2019" s="89"/>
      <c r="G2019" s="89"/>
      <c r="H2019" s="89"/>
      <c r="I2019" s="90"/>
      <c r="J2019" s="88" t="s">
        <v>13</v>
      </c>
      <c r="K2019" s="89"/>
      <c r="L2019" s="89"/>
      <c r="M2019" s="90"/>
      <c r="N2019" s="88" t="s">
        <v>22</v>
      </c>
      <c r="O2019" s="89"/>
      <c r="P2019" s="90"/>
      <c r="Q2019" s="133">
        <v>3600</v>
      </c>
      <c r="R2019" s="134"/>
      <c r="S2019" s="5" t="s">
        <v>70</v>
      </c>
      <c r="T2019" s="6"/>
      <c r="U2019" s="6"/>
      <c r="V2019" s="5" t="s">
        <v>23</v>
      </c>
      <c r="W2019" s="10">
        <v>14680875</v>
      </c>
      <c r="X2019" s="6"/>
      <c r="Y2019" s="6"/>
    </row>
    <row r="2020" spans="1:25" ht="15" customHeight="1" x14ac:dyDescent="0.2">
      <c r="A2020" s="88" t="s">
        <v>2458</v>
      </c>
      <c r="B2020" s="90"/>
      <c r="C2020" s="88" t="s">
        <v>2538</v>
      </c>
      <c r="D2020" s="90"/>
      <c r="E2020" s="88" t="s">
        <v>2511</v>
      </c>
      <c r="F2020" s="89"/>
      <c r="G2020" s="89"/>
      <c r="H2020" s="89"/>
      <c r="I2020" s="90"/>
      <c r="J2020" s="88" t="s">
        <v>13</v>
      </c>
      <c r="K2020" s="89"/>
      <c r="L2020" s="89"/>
      <c r="M2020" s="90"/>
      <c r="N2020" s="88" t="s">
        <v>26</v>
      </c>
      <c r="O2020" s="89"/>
      <c r="P2020" s="90"/>
      <c r="Q2020" s="133">
        <v>3600</v>
      </c>
      <c r="R2020" s="134"/>
      <c r="S2020" s="5" t="s">
        <v>70</v>
      </c>
      <c r="T2020" s="6"/>
      <c r="U2020" s="6"/>
      <c r="V2020" s="5" t="s">
        <v>23</v>
      </c>
      <c r="W2020" s="10">
        <v>18577938</v>
      </c>
      <c r="X2020" s="6"/>
      <c r="Y2020" s="6"/>
    </row>
    <row r="2021" spans="1:25" ht="15" customHeight="1" x14ac:dyDescent="0.2">
      <c r="A2021" s="88" t="s">
        <v>2458</v>
      </c>
      <c r="B2021" s="90"/>
      <c r="C2021" s="88" t="s">
        <v>2539</v>
      </c>
      <c r="D2021" s="90"/>
      <c r="E2021" s="88" t="s">
        <v>2540</v>
      </c>
      <c r="F2021" s="89"/>
      <c r="G2021" s="89"/>
      <c r="H2021" s="89"/>
      <c r="I2021" s="90"/>
      <c r="J2021" s="88" t="s">
        <v>13</v>
      </c>
      <c r="K2021" s="89"/>
      <c r="L2021" s="89"/>
      <c r="M2021" s="90"/>
      <c r="N2021" s="88" t="s">
        <v>26</v>
      </c>
      <c r="O2021" s="89"/>
      <c r="P2021" s="90"/>
      <c r="Q2021" s="133">
        <v>3600</v>
      </c>
      <c r="R2021" s="134"/>
      <c r="S2021" s="5" t="s">
        <v>70</v>
      </c>
      <c r="T2021" s="6"/>
      <c r="U2021" s="6"/>
      <c r="V2021" s="5" t="s">
        <v>23</v>
      </c>
      <c r="W2021" s="10">
        <v>20870755</v>
      </c>
      <c r="X2021" s="6"/>
      <c r="Y2021" s="6"/>
    </row>
    <row r="2022" spans="1:25" ht="15" customHeight="1" x14ac:dyDescent="0.2">
      <c r="A2022" s="88" t="s">
        <v>2458</v>
      </c>
      <c r="B2022" s="90"/>
      <c r="C2022" s="88" t="s">
        <v>2541</v>
      </c>
      <c r="D2022" s="90"/>
      <c r="E2022" s="88" t="s">
        <v>2518</v>
      </c>
      <c r="F2022" s="89"/>
      <c r="G2022" s="89"/>
      <c r="H2022" s="89"/>
      <c r="I2022" s="90"/>
      <c r="J2022" s="88" t="s">
        <v>13</v>
      </c>
      <c r="K2022" s="89"/>
      <c r="L2022" s="89"/>
      <c r="M2022" s="90"/>
      <c r="N2022" s="88" t="s">
        <v>26</v>
      </c>
      <c r="O2022" s="89"/>
      <c r="P2022" s="90"/>
      <c r="Q2022" s="133">
        <v>3600</v>
      </c>
      <c r="R2022" s="134"/>
      <c r="S2022" s="5" t="s">
        <v>70</v>
      </c>
      <c r="T2022" s="6"/>
      <c r="U2022" s="6"/>
      <c r="V2022" s="5" t="s">
        <v>23</v>
      </c>
      <c r="W2022" s="10">
        <v>19487604</v>
      </c>
      <c r="X2022" s="6"/>
      <c r="Y2022" s="6"/>
    </row>
    <row r="2023" spans="1:25" ht="15" customHeight="1" x14ac:dyDescent="0.2">
      <c r="A2023" s="88" t="s">
        <v>2458</v>
      </c>
      <c r="B2023" s="90"/>
      <c r="C2023" s="88" t="s">
        <v>2542</v>
      </c>
      <c r="D2023" s="90"/>
      <c r="E2023" s="88" t="s">
        <v>2543</v>
      </c>
      <c r="F2023" s="89"/>
      <c r="G2023" s="89"/>
      <c r="H2023" s="89"/>
      <c r="I2023" s="90"/>
      <c r="J2023" s="88" t="s">
        <v>13</v>
      </c>
      <c r="K2023" s="89"/>
      <c r="L2023" s="89"/>
      <c r="M2023" s="90"/>
      <c r="N2023" s="88" t="s">
        <v>26</v>
      </c>
      <c r="O2023" s="89"/>
      <c r="P2023" s="90"/>
      <c r="Q2023" s="133">
        <v>3600</v>
      </c>
      <c r="R2023" s="134"/>
      <c r="S2023" s="5" t="s">
        <v>70</v>
      </c>
      <c r="T2023" s="6"/>
      <c r="U2023" s="6"/>
      <c r="V2023" s="5" t="s">
        <v>23</v>
      </c>
      <c r="W2023" s="10">
        <v>26560492</v>
      </c>
      <c r="X2023" s="6"/>
      <c r="Y2023" s="6"/>
    </row>
    <row r="2024" spans="1:25" ht="15" customHeight="1" x14ac:dyDescent="0.2">
      <c r="A2024" s="88" t="s">
        <v>2458</v>
      </c>
      <c r="B2024" s="90"/>
      <c r="C2024" s="88" t="s">
        <v>2544</v>
      </c>
      <c r="D2024" s="90"/>
      <c r="E2024" s="88" t="s">
        <v>2516</v>
      </c>
      <c r="F2024" s="89"/>
      <c r="G2024" s="89"/>
      <c r="H2024" s="89"/>
      <c r="I2024" s="90"/>
      <c r="J2024" s="88" t="s">
        <v>13</v>
      </c>
      <c r="K2024" s="89"/>
      <c r="L2024" s="89"/>
      <c r="M2024" s="90"/>
      <c r="N2024" s="88" t="s">
        <v>26</v>
      </c>
      <c r="O2024" s="89"/>
      <c r="P2024" s="90"/>
      <c r="Q2024" s="133">
        <v>3600</v>
      </c>
      <c r="R2024" s="134"/>
      <c r="S2024" s="5" t="s">
        <v>70</v>
      </c>
      <c r="T2024" s="6"/>
      <c r="U2024" s="6"/>
      <c r="V2024" s="5" t="s">
        <v>23</v>
      </c>
      <c r="W2024" s="9">
        <v>27120172</v>
      </c>
      <c r="X2024" s="6"/>
      <c r="Y2024" s="6"/>
    </row>
    <row r="2025" spans="1:25" ht="15" customHeight="1" x14ac:dyDescent="0.2">
      <c r="A2025" s="88" t="s">
        <v>2458</v>
      </c>
      <c r="B2025" s="90"/>
      <c r="C2025" s="88" t="s">
        <v>2545</v>
      </c>
      <c r="D2025" s="90"/>
      <c r="E2025" s="88" t="s">
        <v>2520</v>
      </c>
      <c r="F2025" s="89"/>
      <c r="G2025" s="89"/>
      <c r="H2025" s="89"/>
      <c r="I2025" s="90"/>
      <c r="J2025" s="88" t="s">
        <v>13</v>
      </c>
      <c r="K2025" s="89"/>
      <c r="L2025" s="89"/>
      <c r="M2025" s="90"/>
      <c r="N2025" s="88" t="s">
        <v>26</v>
      </c>
      <c r="O2025" s="89"/>
      <c r="P2025" s="90"/>
      <c r="Q2025" s="133">
        <v>3600</v>
      </c>
      <c r="R2025" s="134"/>
      <c r="S2025" s="5" t="s">
        <v>70</v>
      </c>
      <c r="T2025" s="6"/>
      <c r="U2025" s="6"/>
      <c r="V2025" s="5" t="s">
        <v>23</v>
      </c>
      <c r="W2025" s="9">
        <v>14454161</v>
      </c>
      <c r="X2025" s="6"/>
      <c r="Y2025" s="6"/>
    </row>
    <row r="2026" spans="1:25" ht="15" customHeight="1" x14ac:dyDescent="0.2">
      <c r="A2026" s="88" t="s">
        <v>2458</v>
      </c>
      <c r="B2026" s="90"/>
      <c r="C2026" s="88" t="s">
        <v>2546</v>
      </c>
      <c r="D2026" s="90"/>
      <c r="E2026" s="88" t="s">
        <v>2520</v>
      </c>
      <c r="F2026" s="89"/>
      <c r="G2026" s="89"/>
      <c r="H2026" s="89"/>
      <c r="I2026" s="90"/>
      <c r="J2026" s="88" t="s">
        <v>13</v>
      </c>
      <c r="K2026" s="89"/>
      <c r="L2026" s="89"/>
      <c r="M2026" s="90"/>
      <c r="N2026" s="88" t="s">
        <v>26</v>
      </c>
      <c r="O2026" s="89"/>
      <c r="P2026" s="90"/>
      <c r="Q2026" s="133">
        <v>3600</v>
      </c>
      <c r="R2026" s="134"/>
      <c r="S2026" s="5" t="s">
        <v>70</v>
      </c>
      <c r="T2026" s="6"/>
      <c r="U2026" s="6"/>
      <c r="V2026" s="5" t="s">
        <v>23</v>
      </c>
      <c r="W2026" s="10">
        <v>12248354</v>
      </c>
      <c r="X2026" s="6"/>
      <c r="Y2026" s="6"/>
    </row>
    <row r="2027" spans="1:25" ht="15" customHeight="1" x14ac:dyDescent="0.2">
      <c r="A2027" s="88" t="s">
        <v>2547</v>
      </c>
      <c r="B2027" s="90"/>
      <c r="C2027" s="88" t="s">
        <v>2548</v>
      </c>
      <c r="D2027" s="90"/>
      <c r="E2027" s="88" t="s">
        <v>2549</v>
      </c>
      <c r="F2027" s="89"/>
      <c r="G2027" s="89"/>
      <c r="H2027" s="89"/>
      <c r="I2027" s="90"/>
      <c r="J2027" s="88" t="s">
        <v>2550</v>
      </c>
      <c r="K2027" s="89"/>
      <c r="L2027" s="89"/>
      <c r="M2027" s="90"/>
      <c r="N2027" s="88" t="s">
        <v>26</v>
      </c>
      <c r="O2027" s="89"/>
      <c r="P2027" s="90"/>
      <c r="Q2027" s="133">
        <v>1598</v>
      </c>
      <c r="R2027" s="134"/>
      <c r="S2027" s="5" t="s">
        <v>1539</v>
      </c>
      <c r="T2027" s="6"/>
      <c r="U2027" s="6"/>
      <c r="V2027" s="5" t="s">
        <v>702</v>
      </c>
      <c r="W2027" s="12">
        <v>10456791</v>
      </c>
      <c r="X2027" s="6"/>
      <c r="Y2027" s="6"/>
    </row>
    <row r="2028" spans="1:25" ht="15" customHeight="1" x14ac:dyDescent="0.2">
      <c r="A2028" s="88" t="s">
        <v>2547</v>
      </c>
      <c r="B2028" s="90"/>
      <c r="C2028" s="88" t="s">
        <v>2548</v>
      </c>
      <c r="D2028" s="90"/>
      <c r="E2028" s="88" t="s">
        <v>2551</v>
      </c>
      <c r="F2028" s="89"/>
      <c r="G2028" s="89"/>
      <c r="H2028" s="89"/>
      <c r="I2028" s="90"/>
      <c r="J2028" s="88" t="s">
        <v>2550</v>
      </c>
      <c r="K2028" s="89"/>
      <c r="L2028" s="89"/>
      <c r="M2028" s="90"/>
      <c r="N2028" s="88" t="s">
        <v>26</v>
      </c>
      <c r="O2028" s="89"/>
      <c r="P2028" s="90"/>
      <c r="Q2028" s="133">
        <v>1600</v>
      </c>
      <c r="R2028" s="134"/>
      <c r="S2028" s="5" t="s">
        <v>1539</v>
      </c>
      <c r="T2028" s="6"/>
      <c r="U2028" s="6"/>
      <c r="V2028" s="5" t="s">
        <v>702</v>
      </c>
      <c r="W2028" s="12">
        <v>11685652</v>
      </c>
      <c r="X2028" s="6"/>
      <c r="Y2028" s="6"/>
    </row>
    <row r="2029" spans="1:25" ht="15" customHeight="1" x14ac:dyDescent="0.2">
      <c r="A2029" s="88" t="s">
        <v>2547</v>
      </c>
      <c r="B2029" s="90"/>
      <c r="C2029" s="88" t="s">
        <v>2548</v>
      </c>
      <c r="D2029" s="90"/>
      <c r="E2029" s="88" t="s">
        <v>2552</v>
      </c>
      <c r="F2029" s="89"/>
      <c r="G2029" s="89"/>
      <c r="H2029" s="89"/>
      <c r="I2029" s="90"/>
      <c r="J2029" s="88" t="s">
        <v>2550</v>
      </c>
      <c r="K2029" s="89"/>
      <c r="L2029" s="89"/>
      <c r="M2029" s="90"/>
      <c r="N2029" s="88" t="s">
        <v>22</v>
      </c>
      <c r="O2029" s="89"/>
      <c r="P2029" s="90"/>
      <c r="Q2029" s="133">
        <v>2200</v>
      </c>
      <c r="R2029" s="134"/>
      <c r="S2029" s="5" t="s">
        <v>1539</v>
      </c>
      <c r="T2029" s="6"/>
      <c r="U2029" s="6"/>
      <c r="V2029" s="5" t="s">
        <v>106</v>
      </c>
      <c r="W2029" s="12">
        <v>11180641</v>
      </c>
      <c r="X2029" s="6"/>
      <c r="Y2029" s="6"/>
    </row>
    <row r="2030" spans="1:25" ht="15" customHeight="1" x14ac:dyDescent="0.2">
      <c r="A2030" s="88" t="s">
        <v>2547</v>
      </c>
      <c r="B2030" s="90"/>
      <c r="C2030" s="88" t="s">
        <v>2548</v>
      </c>
      <c r="D2030" s="90"/>
      <c r="E2030" s="88" t="s">
        <v>2553</v>
      </c>
      <c r="F2030" s="89"/>
      <c r="G2030" s="89"/>
      <c r="H2030" s="89"/>
      <c r="I2030" s="90"/>
      <c r="J2030" s="88" t="s">
        <v>2550</v>
      </c>
      <c r="K2030" s="89"/>
      <c r="L2030" s="89"/>
      <c r="M2030" s="90"/>
      <c r="N2030" s="88" t="s">
        <v>22</v>
      </c>
      <c r="O2030" s="89"/>
      <c r="P2030" s="90"/>
      <c r="Q2030" s="133">
        <v>2200</v>
      </c>
      <c r="R2030" s="134"/>
      <c r="S2030" s="5" t="s">
        <v>1539</v>
      </c>
      <c r="T2030" s="6"/>
      <c r="U2030" s="6"/>
      <c r="V2030" s="5" t="s">
        <v>106</v>
      </c>
      <c r="W2030" s="12">
        <v>10518005</v>
      </c>
      <c r="X2030" s="6"/>
      <c r="Y2030" s="6"/>
    </row>
    <row r="2031" spans="1:25" ht="15" customHeight="1" x14ac:dyDescent="0.2">
      <c r="A2031" s="88" t="s">
        <v>2547</v>
      </c>
      <c r="B2031" s="90"/>
      <c r="C2031" s="88" t="s">
        <v>2548</v>
      </c>
      <c r="D2031" s="90"/>
      <c r="E2031" s="88" t="s">
        <v>2554</v>
      </c>
      <c r="F2031" s="89"/>
      <c r="G2031" s="89"/>
      <c r="H2031" s="89"/>
      <c r="I2031" s="90"/>
      <c r="J2031" s="88" t="s">
        <v>2550</v>
      </c>
      <c r="K2031" s="89"/>
      <c r="L2031" s="89"/>
      <c r="M2031" s="90"/>
      <c r="N2031" s="88" t="s">
        <v>22</v>
      </c>
      <c r="O2031" s="89"/>
      <c r="P2031" s="90"/>
      <c r="Q2031" s="133">
        <v>2200</v>
      </c>
      <c r="R2031" s="134"/>
      <c r="S2031" s="5" t="s">
        <v>1539</v>
      </c>
      <c r="T2031" s="6"/>
      <c r="U2031" s="6"/>
      <c r="V2031" s="5" t="s">
        <v>106</v>
      </c>
      <c r="W2031" s="12">
        <v>8038859</v>
      </c>
      <c r="X2031" s="6"/>
      <c r="Y2031" s="6"/>
    </row>
    <row r="2032" spans="1:25" ht="15" customHeight="1" x14ac:dyDescent="0.2">
      <c r="A2032" s="88" t="s">
        <v>2547</v>
      </c>
      <c r="B2032" s="90"/>
      <c r="C2032" s="88" t="s">
        <v>2548</v>
      </c>
      <c r="D2032" s="90"/>
      <c r="E2032" s="88" t="s">
        <v>2555</v>
      </c>
      <c r="F2032" s="89"/>
      <c r="G2032" s="89"/>
      <c r="H2032" s="89"/>
      <c r="I2032" s="90"/>
      <c r="J2032" s="88" t="s">
        <v>2550</v>
      </c>
      <c r="K2032" s="89"/>
      <c r="L2032" s="89"/>
      <c r="M2032" s="90"/>
      <c r="N2032" s="88" t="s">
        <v>22</v>
      </c>
      <c r="O2032" s="89"/>
      <c r="P2032" s="90"/>
      <c r="Q2032" s="133">
        <v>2200</v>
      </c>
      <c r="R2032" s="134"/>
      <c r="S2032" s="5" t="s">
        <v>1539</v>
      </c>
      <c r="T2032" s="6"/>
      <c r="U2032" s="6"/>
      <c r="V2032" s="5" t="s">
        <v>106</v>
      </c>
      <c r="W2032" s="12">
        <v>9670199</v>
      </c>
      <c r="X2032" s="6"/>
      <c r="Y2032" s="6"/>
    </row>
    <row r="2033" spans="1:25" ht="15" customHeight="1" x14ac:dyDescent="0.2">
      <c r="A2033" s="88" t="s">
        <v>2547</v>
      </c>
      <c r="B2033" s="90"/>
      <c r="C2033" s="88" t="s">
        <v>2548</v>
      </c>
      <c r="D2033" s="90"/>
      <c r="E2033" s="88" t="s">
        <v>1938</v>
      </c>
      <c r="F2033" s="89"/>
      <c r="G2033" s="89"/>
      <c r="H2033" s="89"/>
      <c r="I2033" s="90"/>
      <c r="J2033" s="88" t="s">
        <v>2550</v>
      </c>
      <c r="K2033" s="89"/>
      <c r="L2033" s="89"/>
      <c r="M2033" s="90"/>
      <c r="N2033" s="88" t="s">
        <v>22</v>
      </c>
      <c r="O2033" s="89"/>
      <c r="P2033" s="90"/>
      <c r="Q2033" s="133">
        <v>2200</v>
      </c>
      <c r="R2033" s="134"/>
      <c r="S2033" s="5" t="s">
        <v>1539</v>
      </c>
      <c r="T2033" s="6"/>
      <c r="U2033" s="6"/>
      <c r="V2033" s="5" t="s">
        <v>106</v>
      </c>
      <c r="W2033" s="12">
        <v>8941758</v>
      </c>
      <c r="X2033" s="6"/>
      <c r="Y2033" s="6"/>
    </row>
    <row r="2034" spans="1:25" ht="15" customHeight="1" x14ac:dyDescent="0.2">
      <c r="A2034" s="88" t="s">
        <v>2547</v>
      </c>
      <c r="B2034" s="90"/>
      <c r="C2034" s="88" t="s">
        <v>2548</v>
      </c>
      <c r="D2034" s="90"/>
      <c r="E2034" s="88" t="s">
        <v>2556</v>
      </c>
      <c r="F2034" s="89"/>
      <c r="G2034" s="89"/>
      <c r="H2034" s="89"/>
      <c r="I2034" s="90"/>
      <c r="J2034" s="88" t="s">
        <v>2550</v>
      </c>
      <c r="K2034" s="89"/>
      <c r="L2034" s="89"/>
      <c r="M2034" s="90"/>
      <c r="N2034" s="88" t="s">
        <v>22</v>
      </c>
      <c r="O2034" s="89"/>
      <c r="P2034" s="90"/>
      <c r="Q2034" s="133">
        <v>2200</v>
      </c>
      <c r="R2034" s="134"/>
      <c r="S2034" s="5" t="s">
        <v>1539</v>
      </c>
      <c r="T2034" s="6"/>
      <c r="U2034" s="6"/>
      <c r="V2034" s="5" t="s">
        <v>106</v>
      </c>
      <c r="W2034" s="12">
        <v>9910461</v>
      </c>
      <c r="X2034" s="6"/>
      <c r="Y2034" s="6"/>
    </row>
    <row r="2035" spans="1:25" ht="15" customHeight="1" x14ac:dyDescent="0.2">
      <c r="A2035" s="88" t="s">
        <v>2547</v>
      </c>
      <c r="B2035" s="90"/>
      <c r="C2035" s="88" t="s">
        <v>2548</v>
      </c>
      <c r="D2035" s="90"/>
      <c r="E2035" s="88" t="s">
        <v>2552</v>
      </c>
      <c r="F2035" s="89"/>
      <c r="G2035" s="89"/>
      <c r="H2035" s="89"/>
      <c r="I2035" s="90"/>
      <c r="J2035" s="88" t="s">
        <v>2550</v>
      </c>
      <c r="K2035" s="89"/>
      <c r="L2035" s="89"/>
      <c r="M2035" s="90"/>
      <c r="N2035" s="88" t="s">
        <v>22</v>
      </c>
      <c r="O2035" s="89"/>
      <c r="P2035" s="90"/>
      <c r="Q2035" s="133">
        <v>3500</v>
      </c>
      <c r="R2035" s="134"/>
      <c r="S2035" s="5" t="s">
        <v>1539</v>
      </c>
      <c r="T2035" s="6"/>
      <c r="U2035" s="6"/>
      <c r="V2035" s="5" t="s">
        <v>702</v>
      </c>
      <c r="W2035" s="12">
        <v>11706526</v>
      </c>
      <c r="X2035" s="6"/>
      <c r="Y2035" s="6"/>
    </row>
    <row r="2036" spans="1:25" ht="15" customHeight="1" x14ac:dyDescent="0.2">
      <c r="A2036" s="88" t="s">
        <v>2547</v>
      </c>
      <c r="B2036" s="90"/>
      <c r="C2036" s="88" t="s">
        <v>2548</v>
      </c>
      <c r="D2036" s="90"/>
      <c r="E2036" s="88" t="s">
        <v>2553</v>
      </c>
      <c r="F2036" s="89"/>
      <c r="G2036" s="89"/>
      <c r="H2036" s="89"/>
      <c r="I2036" s="90"/>
      <c r="J2036" s="88" t="s">
        <v>2550</v>
      </c>
      <c r="K2036" s="89"/>
      <c r="L2036" s="89"/>
      <c r="M2036" s="90"/>
      <c r="N2036" s="88" t="s">
        <v>22</v>
      </c>
      <c r="O2036" s="89"/>
      <c r="P2036" s="90"/>
      <c r="Q2036" s="133">
        <v>3500</v>
      </c>
      <c r="R2036" s="134"/>
      <c r="S2036" s="5" t="s">
        <v>1539</v>
      </c>
      <c r="T2036" s="6"/>
      <c r="U2036" s="6"/>
      <c r="V2036" s="5" t="s">
        <v>702</v>
      </c>
      <c r="W2036" s="12">
        <v>10990879</v>
      </c>
      <c r="X2036" s="6"/>
      <c r="Y2036" s="6"/>
    </row>
    <row r="2037" spans="1:25" ht="15" customHeight="1" x14ac:dyDescent="0.2">
      <c r="A2037" s="88" t="s">
        <v>2547</v>
      </c>
      <c r="B2037" s="90"/>
      <c r="C2037" s="88" t="s">
        <v>2548</v>
      </c>
      <c r="D2037" s="90"/>
      <c r="E2037" s="88" t="s">
        <v>2554</v>
      </c>
      <c r="F2037" s="89"/>
      <c r="G2037" s="89"/>
      <c r="H2037" s="89"/>
      <c r="I2037" s="90"/>
      <c r="J2037" s="88" t="s">
        <v>2550</v>
      </c>
      <c r="K2037" s="89"/>
      <c r="L2037" s="89"/>
      <c r="M2037" s="90"/>
      <c r="N2037" s="88" t="s">
        <v>22</v>
      </c>
      <c r="O2037" s="89"/>
      <c r="P2037" s="90"/>
      <c r="Q2037" s="133">
        <v>3500</v>
      </c>
      <c r="R2037" s="134"/>
      <c r="S2037" s="5" t="s">
        <v>1539</v>
      </c>
      <c r="T2037" s="6"/>
      <c r="U2037" s="6"/>
      <c r="V2037" s="5" t="s">
        <v>702</v>
      </c>
      <c r="W2037" s="12">
        <v>8313401</v>
      </c>
      <c r="X2037" s="6"/>
      <c r="Y2037" s="6"/>
    </row>
    <row r="2038" spans="1:25" ht="15" customHeight="1" x14ac:dyDescent="0.2">
      <c r="A2038" s="88" t="s">
        <v>2547</v>
      </c>
      <c r="B2038" s="90"/>
      <c r="C2038" s="88" t="s">
        <v>2548</v>
      </c>
      <c r="D2038" s="90"/>
      <c r="E2038" s="88" t="s">
        <v>2555</v>
      </c>
      <c r="F2038" s="89"/>
      <c r="G2038" s="89"/>
      <c r="H2038" s="89"/>
      <c r="I2038" s="90"/>
      <c r="J2038" s="88" t="s">
        <v>2550</v>
      </c>
      <c r="K2038" s="89"/>
      <c r="L2038" s="89"/>
      <c r="M2038" s="90"/>
      <c r="N2038" s="88" t="s">
        <v>22</v>
      </c>
      <c r="O2038" s="89"/>
      <c r="P2038" s="90"/>
      <c r="Q2038" s="133">
        <v>3500</v>
      </c>
      <c r="R2038" s="134"/>
      <c r="S2038" s="5" t="s">
        <v>1539</v>
      </c>
      <c r="T2038" s="6"/>
      <c r="U2038" s="6"/>
      <c r="V2038" s="5" t="s">
        <v>702</v>
      </c>
      <c r="W2038" s="12">
        <v>10113261</v>
      </c>
      <c r="X2038" s="6"/>
      <c r="Y2038" s="6"/>
    </row>
    <row r="2039" spans="1:25" ht="15" customHeight="1" x14ac:dyDescent="0.2">
      <c r="A2039" s="88" t="s">
        <v>2547</v>
      </c>
      <c r="B2039" s="90"/>
      <c r="C2039" s="88" t="s">
        <v>2548</v>
      </c>
      <c r="D2039" s="90"/>
      <c r="E2039" s="88" t="s">
        <v>1938</v>
      </c>
      <c r="F2039" s="89"/>
      <c r="G2039" s="89"/>
      <c r="H2039" s="89"/>
      <c r="I2039" s="90"/>
      <c r="J2039" s="88" t="s">
        <v>2550</v>
      </c>
      <c r="K2039" s="89"/>
      <c r="L2039" s="89"/>
      <c r="M2039" s="90"/>
      <c r="N2039" s="88" t="s">
        <v>22</v>
      </c>
      <c r="O2039" s="89"/>
      <c r="P2039" s="90"/>
      <c r="Q2039" s="133">
        <v>3500</v>
      </c>
      <c r="R2039" s="134"/>
      <c r="S2039" s="5" t="s">
        <v>1539</v>
      </c>
      <c r="T2039" s="6"/>
      <c r="U2039" s="6"/>
      <c r="V2039" s="5" t="s">
        <v>702</v>
      </c>
      <c r="W2039" s="12">
        <v>9288533</v>
      </c>
      <c r="X2039" s="6"/>
      <c r="Y2039" s="6"/>
    </row>
    <row r="2040" spans="1:25" ht="15" customHeight="1" x14ac:dyDescent="0.2">
      <c r="A2040" s="88" t="s">
        <v>2547</v>
      </c>
      <c r="B2040" s="90"/>
      <c r="C2040" s="88" t="s">
        <v>2548</v>
      </c>
      <c r="D2040" s="90"/>
      <c r="E2040" s="88" t="s">
        <v>2556</v>
      </c>
      <c r="F2040" s="89"/>
      <c r="G2040" s="89"/>
      <c r="H2040" s="89"/>
      <c r="I2040" s="90"/>
      <c r="J2040" s="88" t="s">
        <v>2550</v>
      </c>
      <c r="K2040" s="89"/>
      <c r="L2040" s="89"/>
      <c r="M2040" s="90"/>
      <c r="N2040" s="88" t="s">
        <v>22</v>
      </c>
      <c r="O2040" s="89"/>
      <c r="P2040" s="90"/>
      <c r="Q2040" s="133">
        <v>3500</v>
      </c>
      <c r="R2040" s="134"/>
      <c r="S2040" s="5" t="s">
        <v>1539</v>
      </c>
      <c r="T2040" s="6"/>
      <c r="U2040" s="6"/>
      <c r="V2040" s="5" t="s">
        <v>702</v>
      </c>
      <c r="W2040" s="12">
        <v>10334732</v>
      </c>
      <c r="X2040" s="6"/>
      <c r="Y2040" s="6"/>
    </row>
    <row r="2041" spans="1:25" ht="15" customHeight="1" x14ac:dyDescent="0.2">
      <c r="A2041" s="88" t="s">
        <v>2547</v>
      </c>
      <c r="B2041" s="90"/>
      <c r="C2041" s="88" t="s">
        <v>2557</v>
      </c>
      <c r="D2041" s="90"/>
      <c r="E2041" s="88" t="s">
        <v>786</v>
      </c>
      <c r="F2041" s="89"/>
      <c r="G2041" s="89"/>
      <c r="H2041" s="89"/>
      <c r="I2041" s="90"/>
      <c r="J2041" s="88" t="s">
        <v>2550</v>
      </c>
      <c r="K2041" s="89"/>
      <c r="L2041" s="89"/>
      <c r="M2041" s="90"/>
      <c r="N2041" s="88" t="s">
        <v>26</v>
      </c>
      <c r="O2041" s="89"/>
      <c r="P2041" s="90"/>
      <c r="Q2041" s="133">
        <v>1600</v>
      </c>
      <c r="R2041" s="134"/>
      <c r="S2041" s="5" t="s">
        <v>27</v>
      </c>
      <c r="T2041" s="6"/>
      <c r="U2041" s="6"/>
      <c r="V2041" s="5" t="s">
        <v>702</v>
      </c>
      <c r="W2041" s="12">
        <v>5640821</v>
      </c>
      <c r="X2041" s="6"/>
      <c r="Y2041" s="6"/>
    </row>
    <row r="2042" spans="1:25" ht="15" customHeight="1" x14ac:dyDescent="0.2">
      <c r="A2042" s="88" t="s">
        <v>2547</v>
      </c>
      <c r="B2042" s="90"/>
      <c r="C2042" s="88" t="s">
        <v>2557</v>
      </c>
      <c r="D2042" s="90"/>
      <c r="E2042" s="88" t="s">
        <v>2554</v>
      </c>
      <c r="F2042" s="89"/>
      <c r="G2042" s="89"/>
      <c r="H2042" s="89"/>
      <c r="I2042" s="90"/>
      <c r="J2042" s="88" t="s">
        <v>2550</v>
      </c>
      <c r="K2042" s="89"/>
      <c r="L2042" s="89"/>
      <c r="M2042" s="90"/>
      <c r="N2042" s="88" t="s">
        <v>26</v>
      </c>
      <c r="O2042" s="89"/>
      <c r="P2042" s="90"/>
      <c r="Q2042" s="133">
        <v>2000</v>
      </c>
      <c r="R2042" s="134"/>
      <c r="S2042" s="5" t="s">
        <v>27</v>
      </c>
      <c r="T2042" s="6"/>
      <c r="U2042" s="6"/>
      <c r="V2042" s="5" t="s">
        <v>702</v>
      </c>
      <c r="W2042" s="12">
        <v>4141091</v>
      </c>
      <c r="X2042" s="6"/>
      <c r="Y2042" s="6"/>
    </row>
    <row r="2043" spans="1:25" ht="15" customHeight="1" x14ac:dyDescent="0.2">
      <c r="A2043" s="88" t="s">
        <v>2547</v>
      </c>
      <c r="B2043" s="90"/>
      <c r="C2043" s="88" t="s">
        <v>2557</v>
      </c>
      <c r="D2043" s="90"/>
      <c r="E2043" s="88" t="s">
        <v>2558</v>
      </c>
      <c r="F2043" s="89"/>
      <c r="G2043" s="89"/>
      <c r="H2043" s="89"/>
      <c r="I2043" s="90"/>
      <c r="J2043" s="88" t="s">
        <v>2550</v>
      </c>
      <c r="K2043" s="89"/>
      <c r="L2043" s="89"/>
      <c r="M2043" s="90"/>
      <c r="N2043" s="88" t="s">
        <v>26</v>
      </c>
      <c r="O2043" s="89"/>
      <c r="P2043" s="90"/>
      <c r="Q2043" s="133">
        <v>2000</v>
      </c>
      <c r="R2043" s="134"/>
      <c r="S2043" s="5" t="s">
        <v>27</v>
      </c>
      <c r="T2043" s="6"/>
      <c r="U2043" s="6"/>
      <c r="V2043" s="5" t="s">
        <v>702</v>
      </c>
      <c r="W2043" s="12">
        <v>4294125</v>
      </c>
      <c r="X2043" s="6"/>
      <c r="Y2043" s="6"/>
    </row>
    <row r="2044" spans="1:25" ht="15" customHeight="1" x14ac:dyDescent="0.2">
      <c r="A2044" s="88" t="s">
        <v>2547</v>
      </c>
      <c r="B2044" s="90"/>
      <c r="C2044" s="88" t="s">
        <v>2557</v>
      </c>
      <c r="D2044" s="90"/>
      <c r="E2044" s="88" t="s">
        <v>1938</v>
      </c>
      <c r="F2044" s="89"/>
      <c r="G2044" s="89"/>
      <c r="H2044" s="89"/>
      <c r="I2044" s="90"/>
      <c r="J2044" s="88" t="s">
        <v>2550</v>
      </c>
      <c r="K2044" s="89"/>
      <c r="L2044" s="89"/>
      <c r="M2044" s="90"/>
      <c r="N2044" s="88" t="s">
        <v>26</v>
      </c>
      <c r="O2044" s="89"/>
      <c r="P2044" s="90"/>
      <c r="Q2044" s="133">
        <v>2000</v>
      </c>
      <c r="R2044" s="134"/>
      <c r="S2044" s="5" t="s">
        <v>27</v>
      </c>
      <c r="T2044" s="6"/>
      <c r="U2044" s="6"/>
      <c r="V2044" s="5" t="s">
        <v>702</v>
      </c>
      <c r="W2044" s="12">
        <v>4462462</v>
      </c>
      <c r="X2044" s="6"/>
      <c r="Y2044" s="6"/>
    </row>
    <row r="2045" spans="1:25" ht="15" customHeight="1" x14ac:dyDescent="0.2">
      <c r="A2045" s="88" t="s">
        <v>2547</v>
      </c>
      <c r="B2045" s="90"/>
      <c r="C2045" s="88" t="s">
        <v>2557</v>
      </c>
      <c r="D2045" s="90"/>
      <c r="E2045" s="88" t="s">
        <v>2556</v>
      </c>
      <c r="F2045" s="89"/>
      <c r="G2045" s="89"/>
      <c r="H2045" s="89"/>
      <c r="I2045" s="90"/>
      <c r="J2045" s="88" t="s">
        <v>2550</v>
      </c>
      <c r="K2045" s="89"/>
      <c r="L2045" s="89"/>
      <c r="M2045" s="90"/>
      <c r="N2045" s="88" t="s">
        <v>26</v>
      </c>
      <c r="O2045" s="89"/>
      <c r="P2045" s="90"/>
      <c r="Q2045" s="133">
        <v>2000</v>
      </c>
      <c r="R2045" s="134"/>
      <c r="S2045" s="5" t="s">
        <v>27</v>
      </c>
      <c r="T2045" s="6"/>
      <c r="U2045" s="6"/>
      <c r="V2045" s="5" t="s">
        <v>702</v>
      </c>
      <c r="W2045" s="12">
        <v>4929215</v>
      </c>
      <c r="X2045" s="6"/>
      <c r="Y2045" s="6"/>
    </row>
    <row r="2046" spans="1:25" ht="15" customHeight="1" x14ac:dyDescent="0.2">
      <c r="A2046" s="88" t="s">
        <v>2547</v>
      </c>
      <c r="B2046" s="90"/>
      <c r="C2046" s="88" t="s">
        <v>2557</v>
      </c>
      <c r="D2046" s="90"/>
      <c r="E2046" s="88" t="s">
        <v>2559</v>
      </c>
      <c r="F2046" s="89"/>
      <c r="G2046" s="89"/>
      <c r="H2046" s="89"/>
      <c r="I2046" s="90"/>
      <c r="J2046" s="88" t="s">
        <v>2550</v>
      </c>
      <c r="K2046" s="89"/>
      <c r="L2046" s="89"/>
      <c r="M2046" s="90"/>
      <c r="N2046" s="88" t="s">
        <v>26</v>
      </c>
      <c r="O2046" s="89"/>
      <c r="P2046" s="90"/>
      <c r="Q2046" s="133">
        <v>2000</v>
      </c>
      <c r="R2046" s="134"/>
      <c r="S2046" s="5" t="s">
        <v>27</v>
      </c>
      <c r="T2046" s="6"/>
      <c r="U2046" s="6"/>
      <c r="V2046" s="5" t="s">
        <v>702</v>
      </c>
      <c r="W2046" s="12">
        <v>4615496</v>
      </c>
      <c r="X2046" s="6"/>
      <c r="Y2046" s="6"/>
    </row>
    <row r="2047" spans="1:25" ht="15" customHeight="1" x14ac:dyDescent="0.2">
      <c r="A2047" s="88" t="s">
        <v>2547</v>
      </c>
      <c r="B2047" s="90"/>
      <c r="C2047" s="88" t="s">
        <v>2557</v>
      </c>
      <c r="D2047" s="90"/>
      <c r="E2047" s="88" t="s">
        <v>786</v>
      </c>
      <c r="F2047" s="89"/>
      <c r="G2047" s="89"/>
      <c r="H2047" s="89"/>
      <c r="I2047" s="90"/>
      <c r="J2047" s="88" t="s">
        <v>2550</v>
      </c>
      <c r="K2047" s="89"/>
      <c r="L2047" s="89"/>
      <c r="M2047" s="90"/>
      <c r="N2047" s="88" t="s">
        <v>26</v>
      </c>
      <c r="O2047" s="89"/>
      <c r="P2047" s="90"/>
      <c r="Q2047" s="133">
        <v>1600</v>
      </c>
      <c r="R2047" s="134"/>
      <c r="S2047" s="5" t="s">
        <v>44</v>
      </c>
      <c r="T2047" s="6"/>
      <c r="U2047" s="6"/>
      <c r="V2047" s="5" t="s">
        <v>702</v>
      </c>
      <c r="W2047" s="12">
        <v>5640821</v>
      </c>
      <c r="X2047" s="6"/>
      <c r="Y2047" s="6"/>
    </row>
    <row r="2048" spans="1:25" ht="15" customHeight="1" x14ac:dyDescent="0.2">
      <c r="A2048" s="88" t="s">
        <v>2547</v>
      </c>
      <c r="B2048" s="90"/>
      <c r="C2048" s="88" t="s">
        <v>2557</v>
      </c>
      <c r="D2048" s="90"/>
      <c r="E2048" s="88" t="s">
        <v>2554</v>
      </c>
      <c r="F2048" s="89"/>
      <c r="G2048" s="89"/>
      <c r="H2048" s="89"/>
      <c r="I2048" s="90"/>
      <c r="J2048" s="88" t="s">
        <v>2550</v>
      </c>
      <c r="K2048" s="89"/>
      <c r="L2048" s="89"/>
      <c r="M2048" s="90"/>
      <c r="N2048" s="88" t="s">
        <v>26</v>
      </c>
      <c r="O2048" s="89"/>
      <c r="P2048" s="90"/>
      <c r="Q2048" s="133">
        <v>2000</v>
      </c>
      <c r="R2048" s="134"/>
      <c r="S2048" s="5" t="s">
        <v>44</v>
      </c>
      <c r="T2048" s="6"/>
      <c r="U2048" s="6"/>
      <c r="V2048" s="5" t="s">
        <v>702</v>
      </c>
      <c r="W2048" s="12">
        <v>4141091</v>
      </c>
      <c r="X2048" s="6"/>
      <c r="Y2048" s="6"/>
    </row>
    <row r="2049" spans="1:25" ht="15" customHeight="1" x14ac:dyDescent="0.2">
      <c r="A2049" s="88" t="s">
        <v>2547</v>
      </c>
      <c r="B2049" s="90"/>
      <c r="C2049" s="88" t="s">
        <v>2557</v>
      </c>
      <c r="D2049" s="90"/>
      <c r="E2049" s="88" t="s">
        <v>2558</v>
      </c>
      <c r="F2049" s="89"/>
      <c r="G2049" s="89"/>
      <c r="H2049" s="89"/>
      <c r="I2049" s="90"/>
      <c r="J2049" s="88" t="s">
        <v>2550</v>
      </c>
      <c r="K2049" s="89"/>
      <c r="L2049" s="89"/>
      <c r="M2049" s="90"/>
      <c r="N2049" s="88" t="s">
        <v>26</v>
      </c>
      <c r="O2049" s="89"/>
      <c r="P2049" s="90"/>
      <c r="Q2049" s="133">
        <v>2000</v>
      </c>
      <c r="R2049" s="134"/>
      <c r="S2049" s="5" t="s">
        <v>44</v>
      </c>
      <c r="T2049" s="6"/>
      <c r="U2049" s="6"/>
      <c r="V2049" s="5" t="s">
        <v>702</v>
      </c>
      <c r="W2049" s="12">
        <v>4294125</v>
      </c>
      <c r="X2049" s="6"/>
      <c r="Y2049" s="6"/>
    </row>
    <row r="2050" spans="1:25" ht="15" customHeight="1" x14ac:dyDescent="0.2">
      <c r="A2050" s="88" t="s">
        <v>2547</v>
      </c>
      <c r="B2050" s="90"/>
      <c r="C2050" s="88" t="s">
        <v>2557</v>
      </c>
      <c r="D2050" s="90"/>
      <c r="E2050" s="88" t="s">
        <v>1938</v>
      </c>
      <c r="F2050" s="89"/>
      <c r="G2050" s="89"/>
      <c r="H2050" s="89"/>
      <c r="I2050" s="90"/>
      <c r="J2050" s="88" t="s">
        <v>2550</v>
      </c>
      <c r="K2050" s="89"/>
      <c r="L2050" s="89"/>
      <c r="M2050" s="90"/>
      <c r="N2050" s="88" t="s">
        <v>26</v>
      </c>
      <c r="O2050" s="89"/>
      <c r="P2050" s="90"/>
      <c r="Q2050" s="133">
        <v>2000</v>
      </c>
      <c r="R2050" s="134"/>
      <c r="S2050" s="5" t="s">
        <v>44</v>
      </c>
      <c r="T2050" s="6"/>
      <c r="U2050" s="6"/>
      <c r="V2050" s="5" t="s">
        <v>702</v>
      </c>
      <c r="W2050" s="12">
        <v>4462462</v>
      </c>
      <c r="X2050" s="6"/>
      <c r="Y2050" s="6"/>
    </row>
    <row r="2051" spans="1:25" ht="15" customHeight="1" x14ac:dyDescent="0.2">
      <c r="A2051" s="88" t="s">
        <v>2547</v>
      </c>
      <c r="B2051" s="90"/>
      <c r="C2051" s="88" t="s">
        <v>2557</v>
      </c>
      <c r="D2051" s="90"/>
      <c r="E2051" s="88" t="s">
        <v>2556</v>
      </c>
      <c r="F2051" s="89"/>
      <c r="G2051" s="89"/>
      <c r="H2051" s="89"/>
      <c r="I2051" s="90"/>
      <c r="J2051" s="88" t="s">
        <v>2550</v>
      </c>
      <c r="K2051" s="89"/>
      <c r="L2051" s="89"/>
      <c r="M2051" s="90"/>
      <c r="N2051" s="88" t="s">
        <v>26</v>
      </c>
      <c r="O2051" s="89"/>
      <c r="P2051" s="90"/>
      <c r="Q2051" s="133">
        <v>2000</v>
      </c>
      <c r="R2051" s="134"/>
      <c r="S2051" s="5" t="s">
        <v>44</v>
      </c>
      <c r="T2051" s="6"/>
      <c r="U2051" s="6"/>
      <c r="V2051" s="5" t="s">
        <v>702</v>
      </c>
      <c r="W2051" s="12">
        <v>4929215</v>
      </c>
      <c r="X2051" s="6"/>
      <c r="Y2051" s="6"/>
    </row>
    <row r="2052" spans="1:25" ht="15" customHeight="1" x14ac:dyDescent="0.2">
      <c r="A2052" s="88" t="s">
        <v>2547</v>
      </c>
      <c r="B2052" s="90"/>
      <c r="C2052" s="88" t="s">
        <v>2557</v>
      </c>
      <c r="D2052" s="90"/>
      <c r="E2052" s="88" t="s">
        <v>2559</v>
      </c>
      <c r="F2052" s="89"/>
      <c r="G2052" s="89"/>
      <c r="H2052" s="89"/>
      <c r="I2052" s="90"/>
      <c r="J2052" s="88" t="s">
        <v>2550</v>
      </c>
      <c r="K2052" s="89"/>
      <c r="L2052" s="89"/>
      <c r="M2052" s="90"/>
      <c r="N2052" s="88" t="s">
        <v>26</v>
      </c>
      <c r="O2052" s="89"/>
      <c r="P2052" s="90"/>
      <c r="Q2052" s="133">
        <v>2000</v>
      </c>
      <c r="R2052" s="134"/>
      <c r="S2052" s="5" t="s">
        <v>44</v>
      </c>
      <c r="T2052" s="6"/>
      <c r="U2052" s="6"/>
      <c r="V2052" s="5" t="s">
        <v>702</v>
      </c>
      <c r="W2052" s="12">
        <v>4615496</v>
      </c>
      <c r="X2052" s="6"/>
      <c r="Y2052" s="6"/>
    </row>
    <row r="2053" spans="1:25" ht="15" customHeight="1" x14ac:dyDescent="0.2">
      <c r="A2053" s="88" t="s">
        <v>2547</v>
      </c>
      <c r="B2053" s="90"/>
      <c r="C2053" s="88" t="s">
        <v>2560</v>
      </c>
      <c r="D2053" s="90"/>
      <c r="E2053" s="88" t="s">
        <v>2561</v>
      </c>
      <c r="F2053" s="89"/>
      <c r="G2053" s="89"/>
      <c r="H2053" s="89"/>
      <c r="I2053" s="90"/>
      <c r="J2053" s="88" t="s">
        <v>2550</v>
      </c>
      <c r="K2053" s="89"/>
      <c r="L2053" s="89"/>
      <c r="M2053" s="90"/>
      <c r="N2053" s="88" t="s">
        <v>26</v>
      </c>
      <c r="O2053" s="89"/>
      <c r="P2053" s="90"/>
      <c r="Q2053" s="133">
        <v>0</v>
      </c>
      <c r="R2053" s="134"/>
      <c r="S2053" s="5" t="s">
        <v>16</v>
      </c>
      <c r="T2053" s="6"/>
      <c r="U2053" s="6"/>
      <c r="V2053" s="5" t="s">
        <v>17</v>
      </c>
      <c r="W2053" s="12">
        <v>7179912</v>
      </c>
      <c r="X2053" s="6"/>
      <c r="Y2053" s="6"/>
    </row>
    <row r="2054" spans="1:25" ht="15" customHeight="1" x14ac:dyDescent="0.2">
      <c r="A2054" s="88" t="s">
        <v>2547</v>
      </c>
      <c r="B2054" s="90"/>
      <c r="C2054" s="88" t="s">
        <v>2560</v>
      </c>
      <c r="D2054" s="90"/>
      <c r="E2054" s="88" t="s">
        <v>2562</v>
      </c>
      <c r="F2054" s="89"/>
      <c r="G2054" s="89"/>
      <c r="H2054" s="89"/>
      <c r="I2054" s="90"/>
      <c r="J2054" s="88" t="s">
        <v>2550</v>
      </c>
      <c r="K2054" s="89"/>
      <c r="L2054" s="89"/>
      <c r="M2054" s="90"/>
      <c r="N2054" s="88" t="s">
        <v>26</v>
      </c>
      <c r="O2054" s="89"/>
      <c r="P2054" s="90"/>
      <c r="Q2054" s="133">
        <v>0</v>
      </c>
      <c r="R2054" s="134"/>
      <c r="S2054" s="5" t="s">
        <v>16</v>
      </c>
      <c r="T2054" s="6"/>
      <c r="U2054" s="6"/>
      <c r="V2054" s="5" t="s">
        <v>17</v>
      </c>
      <c r="W2054" s="12">
        <v>6410275</v>
      </c>
      <c r="X2054" s="6"/>
      <c r="Y2054" s="6"/>
    </row>
    <row r="2055" spans="1:25" ht="15" customHeight="1" x14ac:dyDescent="0.2">
      <c r="A2055" s="88" t="s">
        <v>2547</v>
      </c>
      <c r="B2055" s="90"/>
      <c r="C2055" s="88" t="s">
        <v>2560</v>
      </c>
      <c r="D2055" s="90"/>
      <c r="E2055" s="88" t="s">
        <v>2563</v>
      </c>
      <c r="F2055" s="89"/>
      <c r="G2055" s="89"/>
      <c r="H2055" s="89"/>
      <c r="I2055" s="90"/>
      <c r="J2055" s="88" t="s">
        <v>2550</v>
      </c>
      <c r="K2055" s="89"/>
      <c r="L2055" s="89"/>
      <c r="M2055" s="90"/>
      <c r="N2055" s="88" t="s">
        <v>26</v>
      </c>
      <c r="O2055" s="89"/>
      <c r="P2055" s="90"/>
      <c r="Q2055" s="133">
        <v>0</v>
      </c>
      <c r="R2055" s="134"/>
      <c r="S2055" s="5" t="s">
        <v>16</v>
      </c>
      <c r="T2055" s="6"/>
      <c r="U2055" s="6"/>
      <c r="V2055" s="5" t="s">
        <v>17</v>
      </c>
      <c r="W2055" s="12">
        <v>7891641</v>
      </c>
      <c r="X2055" s="6"/>
      <c r="Y2055" s="6"/>
    </row>
    <row r="2056" spans="1:25" ht="15" customHeight="1" x14ac:dyDescent="0.2">
      <c r="A2056" s="88" t="s">
        <v>2547</v>
      </c>
      <c r="B2056" s="90"/>
      <c r="C2056" s="88" t="s">
        <v>2560</v>
      </c>
      <c r="D2056" s="90"/>
      <c r="E2056" s="88" t="s">
        <v>2564</v>
      </c>
      <c r="F2056" s="89"/>
      <c r="G2056" s="89"/>
      <c r="H2056" s="89"/>
      <c r="I2056" s="90"/>
      <c r="J2056" s="88" t="s">
        <v>2550</v>
      </c>
      <c r="K2056" s="89"/>
      <c r="L2056" s="89"/>
      <c r="M2056" s="90"/>
      <c r="N2056" s="88" t="s">
        <v>26</v>
      </c>
      <c r="O2056" s="89"/>
      <c r="P2056" s="90"/>
      <c r="Q2056" s="133">
        <v>0</v>
      </c>
      <c r="R2056" s="134"/>
      <c r="S2056" s="5" t="s">
        <v>16</v>
      </c>
      <c r="T2056" s="6"/>
      <c r="U2056" s="6"/>
      <c r="V2056" s="5" t="s">
        <v>17</v>
      </c>
      <c r="W2056" s="12">
        <v>7891641</v>
      </c>
      <c r="X2056" s="6"/>
      <c r="Y2056" s="6"/>
    </row>
    <row r="2057" spans="1:25" ht="15" customHeight="1" x14ac:dyDescent="0.2">
      <c r="A2057" s="88" t="s">
        <v>2547</v>
      </c>
      <c r="B2057" s="90"/>
      <c r="C2057" s="88" t="s">
        <v>2560</v>
      </c>
      <c r="D2057" s="90"/>
      <c r="E2057" s="88" t="s">
        <v>2565</v>
      </c>
      <c r="F2057" s="89"/>
      <c r="G2057" s="89"/>
      <c r="H2057" s="89"/>
      <c r="I2057" s="90"/>
      <c r="J2057" s="88" t="s">
        <v>2550</v>
      </c>
      <c r="K2057" s="89"/>
      <c r="L2057" s="89"/>
      <c r="M2057" s="90"/>
      <c r="N2057" s="88" t="s">
        <v>26</v>
      </c>
      <c r="O2057" s="89"/>
      <c r="P2057" s="90"/>
      <c r="Q2057" s="133">
        <v>0</v>
      </c>
      <c r="R2057" s="134"/>
      <c r="S2057" s="5" t="s">
        <v>16</v>
      </c>
      <c r="T2057" s="6"/>
      <c r="U2057" s="6"/>
      <c r="V2057" s="5" t="s">
        <v>17</v>
      </c>
      <c r="W2057" s="12">
        <v>8612123</v>
      </c>
      <c r="X2057" s="6"/>
      <c r="Y2057" s="6"/>
    </row>
    <row r="2058" spans="1:25" ht="15" customHeight="1" x14ac:dyDescent="0.2">
      <c r="A2058" s="88" t="s">
        <v>2547</v>
      </c>
      <c r="B2058" s="90"/>
      <c r="C2058" s="88" t="s">
        <v>2566</v>
      </c>
      <c r="D2058" s="90"/>
      <c r="E2058" s="88" t="s">
        <v>2561</v>
      </c>
      <c r="F2058" s="89"/>
      <c r="G2058" s="89"/>
      <c r="H2058" s="89"/>
      <c r="I2058" s="90"/>
      <c r="J2058" s="88" t="s">
        <v>2550</v>
      </c>
      <c r="K2058" s="89"/>
      <c r="L2058" s="89"/>
      <c r="M2058" s="90"/>
      <c r="N2058" s="88" t="s">
        <v>26</v>
      </c>
      <c r="O2058" s="89"/>
      <c r="P2058" s="90"/>
      <c r="Q2058" s="133">
        <v>0</v>
      </c>
      <c r="R2058" s="134"/>
      <c r="S2058" s="5" t="s">
        <v>16</v>
      </c>
      <c r="T2058" s="6"/>
      <c r="U2058" s="6"/>
      <c r="V2058" s="5" t="s">
        <v>17</v>
      </c>
      <c r="W2058" s="12">
        <v>8237742</v>
      </c>
      <c r="X2058" s="6"/>
      <c r="Y2058" s="6"/>
    </row>
    <row r="2059" spans="1:25" ht="15" customHeight="1" x14ac:dyDescent="0.2">
      <c r="A2059" s="88" t="s">
        <v>2547</v>
      </c>
      <c r="B2059" s="90"/>
      <c r="C2059" s="88" t="s">
        <v>2566</v>
      </c>
      <c r="D2059" s="90"/>
      <c r="E2059" s="88" t="s">
        <v>2562</v>
      </c>
      <c r="F2059" s="89"/>
      <c r="G2059" s="89"/>
      <c r="H2059" s="89"/>
      <c r="I2059" s="90"/>
      <c r="J2059" s="88" t="s">
        <v>2550</v>
      </c>
      <c r="K2059" s="89"/>
      <c r="L2059" s="89"/>
      <c r="M2059" s="90"/>
      <c r="N2059" s="88" t="s">
        <v>26</v>
      </c>
      <c r="O2059" s="89"/>
      <c r="P2059" s="90"/>
      <c r="Q2059" s="133">
        <v>0</v>
      </c>
      <c r="R2059" s="134"/>
      <c r="S2059" s="5" t="s">
        <v>16</v>
      </c>
      <c r="T2059" s="6"/>
      <c r="U2059" s="6"/>
      <c r="V2059" s="5" t="s">
        <v>17</v>
      </c>
      <c r="W2059" s="12">
        <v>7645196</v>
      </c>
      <c r="X2059" s="6"/>
      <c r="Y2059" s="6"/>
    </row>
    <row r="2060" spans="1:25" ht="15" customHeight="1" x14ac:dyDescent="0.2">
      <c r="A2060" s="88" t="s">
        <v>2547</v>
      </c>
      <c r="B2060" s="90"/>
      <c r="C2060" s="88" t="s">
        <v>2566</v>
      </c>
      <c r="D2060" s="90"/>
      <c r="E2060" s="88" t="s">
        <v>2567</v>
      </c>
      <c r="F2060" s="89"/>
      <c r="G2060" s="89"/>
      <c r="H2060" s="89"/>
      <c r="I2060" s="90"/>
      <c r="J2060" s="88" t="s">
        <v>2550</v>
      </c>
      <c r="K2060" s="89"/>
      <c r="L2060" s="89"/>
      <c r="M2060" s="90"/>
      <c r="N2060" s="88" t="s">
        <v>22</v>
      </c>
      <c r="O2060" s="89"/>
      <c r="P2060" s="90"/>
      <c r="Q2060" s="133">
        <v>0</v>
      </c>
      <c r="R2060" s="134"/>
      <c r="S2060" s="5" t="s">
        <v>16</v>
      </c>
      <c r="T2060" s="6"/>
      <c r="U2060" s="6"/>
      <c r="V2060" s="5" t="s">
        <v>17</v>
      </c>
      <c r="W2060" s="12">
        <v>8722553</v>
      </c>
      <c r="X2060" s="6"/>
      <c r="Y2060" s="6"/>
    </row>
    <row r="2061" spans="1:25" ht="15" customHeight="1" x14ac:dyDescent="0.2">
      <c r="A2061" s="88" t="s">
        <v>2547</v>
      </c>
      <c r="B2061" s="90"/>
      <c r="C2061" s="88" t="s">
        <v>2566</v>
      </c>
      <c r="D2061" s="90"/>
      <c r="E2061" s="88" t="s">
        <v>2568</v>
      </c>
      <c r="F2061" s="89"/>
      <c r="G2061" s="89"/>
      <c r="H2061" s="89"/>
      <c r="I2061" s="90"/>
      <c r="J2061" s="88" t="s">
        <v>2550</v>
      </c>
      <c r="K2061" s="89"/>
      <c r="L2061" s="89"/>
      <c r="M2061" s="90"/>
      <c r="N2061" s="88" t="s">
        <v>22</v>
      </c>
      <c r="O2061" s="89"/>
      <c r="P2061" s="90"/>
      <c r="Q2061" s="133">
        <v>0</v>
      </c>
      <c r="R2061" s="134"/>
      <c r="S2061" s="5" t="s">
        <v>16</v>
      </c>
      <c r="T2061" s="6"/>
      <c r="U2061" s="6"/>
      <c r="V2061" s="5" t="s">
        <v>17</v>
      </c>
      <c r="W2061" s="12">
        <v>8722553</v>
      </c>
      <c r="X2061" s="6"/>
      <c r="Y2061" s="6"/>
    </row>
    <row r="2062" spans="1:25" ht="15" customHeight="1" x14ac:dyDescent="0.2">
      <c r="A2062" s="88" t="s">
        <v>2547</v>
      </c>
      <c r="B2062" s="90"/>
      <c r="C2062" s="88" t="s">
        <v>2566</v>
      </c>
      <c r="D2062" s="90"/>
      <c r="E2062" s="88" t="s">
        <v>2569</v>
      </c>
      <c r="F2062" s="89"/>
      <c r="G2062" s="89"/>
      <c r="H2062" s="89"/>
      <c r="I2062" s="90"/>
      <c r="J2062" s="88" t="s">
        <v>2550</v>
      </c>
      <c r="K2062" s="89"/>
      <c r="L2062" s="89"/>
      <c r="M2062" s="90"/>
      <c r="N2062" s="88" t="s">
        <v>26</v>
      </c>
      <c r="O2062" s="89"/>
      <c r="P2062" s="90"/>
      <c r="Q2062" s="133">
        <v>0</v>
      </c>
      <c r="R2062" s="134"/>
      <c r="S2062" s="5" t="s">
        <v>16</v>
      </c>
      <c r="T2062" s="6"/>
      <c r="U2062" s="6"/>
      <c r="V2062" s="5" t="s">
        <v>17</v>
      </c>
      <c r="W2062" s="12">
        <v>9665240</v>
      </c>
      <c r="X2062" s="6"/>
      <c r="Y2062" s="6"/>
    </row>
    <row r="2063" spans="1:25" ht="15" customHeight="1" x14ac:dyDescent="0.2">
      <c r="A2063" s="88" t="s">
        <v>2547</v>
      </c>
      <c r="B2063" s="90"/>
      <c r="C2063" s="88" t="s">
        <v>2570</v>
      </c>
      <c r="D2063" s="90"/>
      <c r="E2063" s="88" t="s">
        <v>2571</v>
      </c>
      <c r="F2063" s="89"/>
      <c r="G2063" s="89"/>
      <c r="H2063" s="89"/>
      <c r="I2063" s="90"/>
      <c r="J2063" s="88" t="s">
        <v>2550</v>
      </c>
      <c r="K2063" s="89"/>
      <c r="L2063" s="89"/>
      <c r="M2063" s="90"/>
      <c r="N2063" s="88" t="s">
        <v>26</v>
      </c>
      <c r="O2063" s="89"/>
      <c r="P2063" s="90"/>
      <c r="Q2063" s="133">
        <v>0</v>
      </c>
      <c r="R2063" s="134"/>
      <c r="S2063" s="5" t="s">
        <v>16</v>
      </c>
      <c r="T2063" s="6"/>
      <c r="U2063" s="6"/>
      <c r="V2063" s="5" t="s">
        <v>17</v>
      </c>
      <c r="W2063" s="12">
        <v>9775669</v>
      </c>
      <c r="X2063" s="6"/>
      <c r="Y2063" s="6"/>
    </row>
    <row r="2064" spans="1:25" ht="15" customHeight="1" x14ac:dyDescent="0.2">
      <c r="A2064" s="88" t="s">
        <v>2547</v>
      </c>
      <c r="B2064" s="90"/>
      <c r="C2064" s="88" t="s">
        <v>2570</v>
      </c>
      <c r="D2064" s="90"/>
      <c r="E2064" s="88" t="s">
        <v>2572</v>
      </c>
      <c r="F2064" s="89"/>
      <c r="G2064" s="89"/>
      <c r="H2064" s="89"/>
      <c r="I2064" s="90"/>
      <c r="J2064" s="88" t="s">
        <v>2550</v>
      </c>
      <c r="K2064" s="89"/>
      <c r="L2064" s="89"/>
      <c r="M2064" s="90"/>
      <c r="N2064" s="88" t="s">
        <v>22</v>
      </c>
      <c r="O2064" s="89"/>
      <c r="P2064" s="90"/>
      <c r="Q2064" s="133">
        <v>0</v>
      </c>
      <c r="R2064" s="134"/>
      <c r="S2064" s="5" t="s">
        <v>16</v>
      </c>
      <c r="T2064" s="6"/>
      <c r="U2064" s="6"/>
      <c r="V2064" s="5" t="s">
        <v>17</v>
      </c>
      <c r="W2064" s="12">
        <v>13411749</v>
      </c>
      <c r="X2064" s="6"/>
      <c r="Y2064" s="6"/>
    </row>
    <row r="2065" spans="1:25" ht="15" customHeight="1" x14ac:dyDescent="0.2">
      <c r="A2065" s="88" t="s">
        <v>2547</v>
      </c>
      <c r="B2065" s="90"/>
      <c r="C2065" s="88" t="s">
        <v>2570</v>
      </c>
      <c r="D2065" s="90"/>
      <c r="E2065" s="88" t="s">
        <v>2573</v>
      </c>
      <c r="F2065" s="89"/>
      <c r="G2065" s="89"/>
      <c r="H2065" s="89"/>
      <c r="I2065" s="90"/>
      <c r="J2065" s="88" t="s">
        <v>2550</v>
      </c>
      <c r="K2065" s="89"/>
      <c r="L2065" s="89"/>
      <c r="M2065" s="90"/>
      <c r="N2065" s="88" t="s">
        <v>22</v>
      </c>
      <c r="O2065" s="89"/>
      <c r="P2065" s="90"/>
      <c r="Q2065" s="133">
        <v>0</v>
      </c>
      <c r="R2065" s="134"/>
      <c r="S2065" s="5" t="s">
        <v>16</v>
      </c>
      <c r="T2065" s="6"/>
      <c r="U2065" s="6"/>
      <c r="V2065" s="5" t="s">
        <v>17</v>
      </c>
      <c r="W2065" s="12">
        <v>11795714</v>
      </c>
      <c r="X2065" s="6"/>
      <c r="Y2065" s="6"/>
    </row>
    <row r="2066" spans="1:25" ht="15" customHeight="1" x14ac:dyDescent="0.2">
      <c r="A2066" s="88" t="s">
        <v>2547</v>
      </c>
      <c r="B2066" s="90"/>
      <c r="C2066" s="88" t="s">
        <v>2570</v>
      </c>
      <c r="D2066" s="90"/>
      <c r="E2066" s="88" t="s">
        <v>2574</v>
      </c>
      <c r="F2066" s="89"/>
      <c r="G2066" s="89"/>
      <c r="H2066" s="89"/>
      <c r="I2066" s="90"/>
      <c r="J2066" s="88" t="s">
        <v>2550</v>
      </c>
      <c r="K2066" s="89"/>
      <c r="L2066" s="89"/>
      <c r="M2066" s="90"/>
      <c r="N2066" s="88" t="s">
        <v>26</v>
      </c>
      <c r="O2066" s="89"/>
      <c r="P2066" s="90"/>
      <c r="Q2066" s="133">
        <v>0</v>
      </c>
      <c r="R2066" s="134"/>
      <c r="S2066" s="5" t="s">
        <v>16</v>
      </c>
      <c r="T2066" s="6"/>
      <c r="U2066" s="6"/>
      <c r="V2066" s="5" t="s">
        <v>17</v>
      </c>
      <c r="W2066" s="12">
        <v>10718357</v>
      </c>
      <c r="X2066" s="6"/>
      <c r="Y2066" s="6"/>
    </row>
    <row r="2067" spans="1:25" ht="15" customHeight="1" x14ac:dyDescent="0.2">
      <c r="A2067" s="88" t="s">
        <v>2547</v>
      </c>
      <c r="B2067" s="90"/>
      <c r="C2067" s="88" t="s">
        <v>2575</v>
      </c>
      <c r="D2067" s="90"/>
      <c r="E2067" s="88" t="s">
        <v>2576</v>
      </c>
      <c r="F2067" s="89"/>
      <c r="G2067" s="89"/>
      <c r="H2067" s="89"/>
      <c r="I2067" s="90"/>
      <c r="J2067" s="88" t="s">
        <v>2550</v>
      </c>
      <c r="K2067" s="89"/>
      <c r="L2067" s="89"/>
      <c r="M2067" s="90"/>
      <c r="N2067" s="88" t="s">
        <v>26</v>
      </c>
      <c r="O2067" s="89"/>
      <c r="P2067" s="90"/>
      <c r="Q2067" s="133">
        <v>0</v>
      </c>
      <c r="R2067" s="134"/>
      <c r="S2067" s="5" t="s">
        <v>16</v>
      </c>
      <c r="T2067" s="6"/>
      <c r="U2067" s="6"/>
      <c r="V2067" s="5" t="s">
        <v>17</v>
      </c>
      <c r="W2067" s="12">
        <v>13062955</v>
      </c>
      <c r="X2067" s="6"/>
      <c r="Y2067" s="6"/>
    </row>
    <row r="2068" spans="1:25" ht="15" customHeight="1" x14ac:dyDescent="0.2">
      <c r="A2068" s="88" t="s">
        <v>2547</v>
      </c>
      <c r="B2068" s="90"/>
      <c r="C2068" s="88" t="s">
        <v>2575</v>
      </c>
      <c r="D2068" s="90"/>
      <c r="E2068" s="88" t="s">
        <v>2577</v>
      </c>
      <c r="F2068" s="89"/>
      <c r="G2068" s="89"/>
      <c r="H2068" s="89"/>
      <c r="I2068" s="90"/>
      <c r="J2068" s="88" t="s">
        <v>2550</v>
      </c>
      <c r="K2068" s="89"/>
      <c r="L2068" s="89"/>
      <c r="M2068" s="90"/>
      <c r="N2068" s="88" t="s">
        <v>26</v>
      </c>
      <c r="O2068" s="89"/>
      <c r="P2068" s="90"/>
      <c r="Q2068" s="133">
        <v>0</v>
      </c>
      <c r="R2068" s="134"/>
      <c r="S2068" s="5" t="s">
        <v>16</v>
      </c>
      <c r="T2068" s="6"/>
      <c r="U2068" s="6"/>
      <c r="V2068" s="5" t="s">
        <v>17</v>
      </c>
      <c r="W2068" s="12">
        <v>14342317</v>
      </c>
      <c r="X2068" s="6"/>
      <c r="Y2068" s="6"/>
    </row>
    <row r="2069" spans="1:25" ht="15" customHeight="1" x14ac:dyDescent="0.2">
      <c r="A2069" s="88" t="s">
        <v>2547</v>
      </c>
      <c r="B2069" s="90"/>
      <c r="C2069" s="88" t="s">
        <v>2575</v>
      </c>
      <c r="D2069" s="90"/>
      <c r="E2069" s="88" t="s">
        <v>2578</v>
      </c>
      <c r="F2069" s="89"/>
      <c r="G2069" s="89"/>
      <c r="H2069" s="89"/>
      <c r="I2069" s="90"/>
      <c r="J2069" s="88" t="s">
        <v>2550</v>
      </c>
      <c r="K2069" s="89"/>
      <c r="L2069" s="89"/>
      <c r="M2069" s="90"/>
      <c r="N2069" s="88" t="s">
        <v>26</v>
      </c>
      <c r="O2069" s="89"/>
      <c r="P2069" s="90"/>
      <c r="Q2069" s="133">
        <v>0</v>
      </c>
      <c r="R2069" s="134"/>
      <c r="S2069" s="5" t="s">
        <v>16</v>
      </c>
      <c r="T2069" s="6"/>
      <c r="U2069" s="6"/>
      <c r="V2069" s="5" t="s">
        <v>17</v>
      </c>
      <c r="W2069" s="12">
        <v>16295027</v>
      </c>
      <c r="X2069" s="6"/>
      <c r="Y2069" s="6"/>
    </row>
    <row r="2070" spans="1:25" ht="15" customHeight="1" x14ac:dyDescent="0.2">
      <c r="A2070" s="88" t="s">
        <v>2547</v>
      </c>
      <c r="B2070" s="90"/>
      <c r="C2070" s="88" t="s">
        <v>2579</v>
      </c>
      <c r="D2070" s="90"/>
      <c r="E2070" s="88" t="s">
        <v>2552</v>
      </c>
      <c r="F2070" s="89"/>
      <c r="G2070" s="89"/>
      <c r="H2070" s="89"/>
      <c r="I2070" s="90"/>
      <c r="J2070" s="88" t="s">
        <v>2550</v>
      </c>
      <c r="K2070" s="89"/>
      <c r="L2070" s="89"/>
      <c r="M2070" s="90"/>
      <c r="N2070" s="88" t="s">
        <v>26</v>
      </c>
      <c r="O2070" s="89"/>
      <c r="P2070" s="90"/>
      <c r="Q2070" s="133">
        <v>1600</v>
      </c>
      <c r="R2070" s="134"/>
      <c r="S2070" s="5" t="s">
        <v>44</v>
      </c>
      <c r="T2070" s="6"/>
      <c r="U2070" s="6"/>
      <c r="V2070" s="5" t="s">
        <v>702</v>
      </c>
      <c r="W2070" s="12">
        <v>6578918</v>
      </c>
      <c r="X2070" s="6"/>
      <c r="Y2070" s="6"/>
    </row>
    <row r="2071" spans="1:25" ht="15" customHeight="1" x14ac:dyDescent="0.2">
      <c r="A2071" s="88" t="s">
        <v>2547</v>
      </c>
      <c r="B2071" s="90"/>
      <c r="C2071" s="88" t="s">
        <v>2579</v>
      </c>
      <c r="D2071" s="90"/>
      <c r="E2071" s="88" t="s">
        <v>2554</v>
      </c>
      <c r="F2071" s="89"/>
      <c r="G2071" s="89"/>
      <c r="H2071" s="89"/>
      <c r="I2071" s="90"/>
      <c r="J2071" s="88" t="s">
        <v>2550</v>
      </c>
      <c r="K2071" s="89"/>
      <c r="L2071" s="89"/>
      <c r="M2071" s="90"/>
      <c r="N2071" s="88" t="s">
        <v>26</v>
      </c>
      <c r="O2071" s="89"/>
      <c r="P2071" s="90"/>
      <c r="Q2071" s="133">
        <v>2000</v>
      </c>
      <c r="R2071" s="134"/>
      <c r="S2071" s="5" t="s">
        <v>44</v>
      </c>
      <c r="T2071" s="6"/>
      <c r="U2071" s="6"/>
      <c r="V2071" s="5" t="s">
        <v>702</v>
      </c>
      <c r="W2071" s="12">
        <v>4681301</v>
      </c>
      <c r="X2071" s="6"/>
      <c r="Y2071" s="6"/>
    </row>
    <row r="2072" spans="1:25" ht="15" customHeight="1" x14ac:dyDescent="0.2">
      <c r="A2072" s="88" t="s">
        <v>2547</v>
      </c>
      <c r="B2072" s="90"/>
      <c r="C2072" s="88" t="s">
        <v>2579</v>
      </c>
      <c r="D2072" s="90"/>
      <c r="E2072" s="88" t="s">
        <v>2558</v>
      </c>
      <c r="F2072" s="89"/>
      <c r="G2072" s="89"/>
      <c r="H2072" s="89"/>
      <c r="I2072" s="90"/>
      <c r="J2072" s="88" t="s">
        <v>2550</v>
      </c>
      <c r="K2072" s="89"/>
      <c r="L2072" s="89"/>
      <c r="M2072" s="90"/>
      <c r="N2072" s="88" t="s">
        <v>26</v>
      </c>
      <c r="O2072" s="89"/>
      <c r="P2072" s="90"/>
      <c r="Q2072" s="133">
        <v>2000</v>
      </c>
      <c r="R2072" s="134"/>
      <c r="S2072" s="5" t="s">
        <v>44</v>
      </c>
      <c r="T2072" s="6"/>
      <c r="U2072" s="6"/>
      <c r="V2072" s="5" t="s">
        <v>702</v>
      </c>
      <c r="W2072" s="12">
        <v>5002671</v>
      </c>
      <c r="X2072" s="6"/>
      <c r="Y2072" s="6"/>
    </row>
    <row r="2073" spans="1:25" ht="15" customHeight="1" x14ac:dyDescent="0.2">
      <c r="A2073" s="88" t="s">
        <v>2547</v>
      </c>
      <c r="B2073" s="90"/>
      <c r="C2073" s="88" t="s">
        <v>2579</v>
      </c>
      <c r="D2073" s="90"/>
      <c r="E2073" s="88" t="s">
        <v>1938</v>
      </c>
      <c r="F2073" s="89"/>
      <c r="G2073" s="89"/>
      <c r="H2073" s="89"/>
      <c r="I2073" s="90"/>
      <c r="J2073" s="88" t="s">
        <v>2550</v>
      </c>
      <c r="K2073" s="89"/>
      <c r="L2073" s="89"/>
      <c r="M2073" s="90"/>
      <c r="N2073" s="88" t="s">
        <v>26</v>
      </c>
      <c r="O2073" s="89"/>
      <c r="P2073" s="90"/>
      <c r="Q2073" s="133">
        <v>2000</v>
      </c>
      <c r="R2073" s="134"/>
      <c r="S2073" s="5" t="s">
        <v>44</v>
      </c>
      <c r="T2073" s="6"/>
      <c r="U2073" s="6"/>
      <c r="V2073" s="5" t="s">
        <v>702</v>
      </c>
      <c r="W2073" s="12">
        <v>5385255</v>
      </c>
      <c r="X2073" s="6"/>
      <c r="Y2073" s="6"/>
    </row>
    <row r="2074" spans="1:25" ht="15" customHeight="1" x14ac:dyDescent="0.2">
      <c r="A2074" s="88" t="s">
        <v>2547</v>
      </c>
      <c r="B2074" s="90"/>
      <c r="C2074" s="88" t="s">
        <v>2579</v>
      </c>
      <c r="D2074" s="90"/>
      <c r="E2074" s="88" t="s">
        <v>2556</v>
      </c>
      <c r="F2074" s="89"/>
      <c r="G2074" s="89"/>
      <c r="H2074" s="89"/>
      <c r="I2074" s="90"/>
      <c r="J2074" s="88" t="s">
        <v>2550</v>
      </c>
      <c r="K2074" s="89"/>
      <c r="L2074" s="89"/>
      <c r="M2074" s="90"/>
      <c r="N2074" s="88" t="s">
        <v>26</v>
      </c>
      <c r="O2074" s="89"/>
      <c r="P2074" s="90"/>
      <c r="Q2074" s="133">
        <v>2000</v>
      </c>
      <c r="R2074" s="134"/>
      <c r="S2074" s="5" t="s">
        <v>44</v>
      </c>
      <c r="T2074" s="6"/>
      <c r="U2074" s="6"/>
      <c r="V2074" s="5" t="s">
        <v>702</v>
      </c>
      <c r="W2074" s="12">
        <v>5752536</v>
      </c>
      <c r="X2074" s="6"/>
      <c r="Y2074" s="6"/>
    </row>
    <row r="2075" spans="1:25" ht="15" customHeight="1" x14ac:dyDescent="0.2">
      <c r="A2075" s="88" t="s">
        <v>2547</v>
      </c>
      <c r="B2075" s="90"/>
      <c r="C2075" s="88" t="s">
        <v>2580</v>
      </c>
      <c r="D2075" s="90"/>
      <c r="E2075" s="88" t="s">
        <v>2581</v>
      </c>
      <c r="F2075" s="89"/>
      <c r="G2075" s="89"/>
      <c r="H2075" s="89"/>
      <c r="I2075" s="90"/>
      <c r="J2075" s="88" t="s">
        <v>2550</v>
      </c>
      <c r="K2075" s="89"/>
      <c r="L2075" s="89"/>
      <c r="M2075" s="90"/>
      <c r="N2075" s="88" t="s">
        <v>26</v>
      </c>
      <c r="O2075" s="89"/>
      <c r="P2075" s="90"/>
      <c r="Q2075" s="133">
        <v>0</v>
      </c>
      <c r="R2075" s="134"/>
      <c r="S2075" s="5" t="s">
        <v>16</v>
      </c>
      <c r="T2075" s="6"/>
      <c r="U2075" s="6"/>
      <c r="V2075" s="5" t="s">
        <v>17</v>
      </c>
      <c r="W2075" s="12">
        <v>9744695</v>
      </c>
      <c r="X2075" s="6"/>
      <c r="Y2075" s="6"/>
    </row>
    <row r="2076" spans="1:25" ht="15" customHeight="1" x14ac:dyDescent="0.2">
      <c r="A2076" s="88" t="s">
        <v>2547</v>
      </c>
      <c r="B2076" s="90"/>
      <c r="C2076" s="88" t="s">
        <v>2580</v>
      </c>
      <c r="D2076" s="90"/>
      <c r="E2076" s="88" t="s">
        <v>2582</v>
      </c>
      <c r="F2076" s="89"/>
      <c r="G2076" s="89"/>
      <c r="H2076" s="89"/>
      <c r="I2076" s="90"/>
      <c r="J2076" s="88" t="s">
        <v>2550</v>
      </c>
      <c r="K2076" s="89"/>
      <c r="L2076" s="89"/>
      <c r="M2076" s="90"/>
      <c r="N2076" s="88" t="s">
        <v>26</v>
      </c>
      <c r="O2076" s="89"/>
      <c r="P2076" s="90"/>
      <c r="Q2076" s="133">
        <v>0</v>
      </c>
      <c r="R2076" s="134"/>
      <c r="S2076" s="5" t="s">
        <v>16</v>
      </c>
      <c r="T2076" s="6"/>
      <c r="U2076" s="6"/>
      <c r="V2076" s="5" t="s">
        <v>17</v>
      </c>
      <c r="W2076" s="12">
        <v>9744695</v>
      </c>
      <c r="X2076" s="6"/>
      <c r="Y2076" s="6"/>
    </row>
    <row r="2077" spans="1:25" ht="15" customHeight="1" x14ac:dyDescent="0.2">
      <c r="A2077" s="88" t="s">
        <v>2547</v>
      </c>
      <c r="B2077" s="90"/>
      <c r="C2077" s="88" t="s">
        <v>2580</v>
      </c>
      <c r="D2077" s="90"/>
      <c r="E2077" s="88" t="s">
        <v>2583</v>
      </c>
      <c r="F2077" s="89"/>
      <c r="G2077" s="89"/>
      <c r="H2077" s="89"/>
      <c r="I2077" s="90"/>
      <c r="J2077" s="88" t="s">
        <v>2550</v>
      </c>
      <c r="K2077" s="89"/>
      <c r="L2077" s="89"/>
      <c r="M2077" s="90"/>
      <c r="N2077" s="88" t="s">
        <v>26</v>
      </c>
      <c r="O2077" s="89"/>
      <c r="P2077" s="90"/>
      <c r="Q2077" s="133">
        <v>0</v>
      </c>
      <c r="R2077" s="134"/>
      <c r="S2077" s="5" t="s">
        <v>16</v>
      </c>
      <c r="T2077" s="6"/>
      <c r="U2077" s="6"/>
      <c r="V2077" s="5" t="s">
        <v>17</v>
      </c>
      <c r="W2077" s="12">
        <v>9744695</v>
      </c>
      <c r="X2077" s="6"/>
      <c r="Y2077" s="6"/>
    </row>
    <row r="2078" spans="1:25" ht="15" customHeight="1" x14ac:dyDescent="0.2">
      <c r="A2078" s="88" t="s">
        <v>2547</v>
      </c>
      <c r="B2078" s="90"/>
      <c r="C2078" s="88" t="s">
        <v>2580</v>
      </c>
      <c r="D2078" s="90"/>
      <c r="E2078" s="88" t="s">
        <v>2584</v>
      </c>
      <c r="F2078" s="89"/>
      <c r="G2078" s="89"/>
      <c r="H2078" s="89"/>
      <c r="I2078" s="90"/>
      <c r="J2078" s="88" t="s">
        <v>2550</v>
      </c>
      <c r="K2078" s="89"/>
      <c r="L2078" s="89"/>
      <c r="M2078" s="90"/>
      <c r="N2078" s="88" t="s">
        <v>26</v>
      </c>
      <c r="O2078" s="89"/>
      <c r="P2078" s="90"/>
      <c r="Q2078" s="133">
        <v>0</v>
      </c>
      <c r="R2078" s="134"/>
      <c r="S2078" s="5" t="s">
        <v>16</v>
      </c>
      <c r="T2078" s="6"/>
      <c r="U2078" s="6"/>
      <c r="V2078" s="5" t="s">
        <v>17</v>
      </c>
      <c r="W2078" s="12">
        <v>8967651</v>
      </c>
      <c r="X2078" s="6"/>
      <c r="Y2078" s="6"/>
    </row>
    <row r="2079" spans="1:25" ht="15" customHeight="1" x14ac:dyDescent="0.2">
      <c r="A2079" s="88" t="s">
        <v>2547</v>
      </c>
      <c r="B2079" s="90"/>
      <c r="C2079" s="88" t="s">
        <v>2580</v>
      </c>
      <c r="D2079" s="90"/>
      <c r="E2079" s="88" t="s">
        <v>2585</v>
      </c>
      <c r="F2079" s="89"/>
      <c r="G2079" s="89"/>
      <c r="H2079" s="89"/>
      <c r="I2079" s="90"/>
      <c r="J2079" s="88" t="s">
        <v>2550</v>
      </c>
      <c r="K2079" s="89"/>
      <c r="L2079" s="89"/>
      <c r="M2079" s="90"/>
      <c r="N2079" s="88" t="s">
        <v>26</v>
      </c>
      <c r="O2079" s="89"/>
      <c r="P2079" s="90"/>
      <c r="Q2079" s="133">
        <v>1600</v>
      </c>
      <c r="R2079" s="134"/>
      <c r="S2079" s="5" t="s">
        <v>16</v>
      </c>
      <c r="T2079" s="6"/>
      <c r="U2079" s="6"/>
      <c r="V2079" s="5" t="s">
        <v>2586</v>
      </c>
      <c r="W2079" s="12">
        <v>7751156</v>
      </c>
      <c r="X2079" s="6"/>
      <c r="Y2079" s="6"/>
    </row>
    <row r="2080" spans="1:25" ht="15" customHeight="1" x14ac:dyDescent="0.2">
      <c r="A2080" s="88" t="s">
        <v>2547</v>
      </c>
      <c r="B2080" s="90"/>
      <c r="C2080" s="88" t="s">
        <v>2580</v>
      </c>
      <c r="D2080" s="90"/>
      <c r="E2080" s="88" t="s">
        <v>2587</v>
      </c>
      <c r="F2080" s="89"/>
      <c r="G2080" s="89"/>
      <c r="H2080" s="89"/>
      <c r="I2080" s="90"/>
      <c r="J2080" s="88" t="s">
        <v>2550</v>
      </c>
      <c r="K2080" s="89"/>
      <c r="L2080" s="89"/>
      <c r="M2080" s="90"/>
      <c r="N2080" s="88" t="s">
        <v>26</v>
      </c>
      <c r="O2080" s="89"/>
      <c r="P2080" s="90"/>
      <c r="Q2080" s="133">
        <v>1600</v>
      </c>
      <c r="R2080" s="134"/>
      <c r="S2080" s="5" t="s">
        <v>16</v>
      </c>
      <c r="T2080" s="6"/>
      <c r="U2080" s="6"/>
      <c r="V2080" s="5" t="s">
        <v>2586</v>
      </c>
      <c r="W2080" s="12">
        <v>7751156</v>
      </c>
      <c r="X2080" s="6"/>
      <c r="Y2080" s="6"/>
    </row>
    <row r="2081" spans="1:25" ht="15" customHeight="1" x14ac:dyDescent="0.2">
      <c r="A2081" s="88" t="s">
        <v>2547</v>
      </c>
      <c r="B2081" s="90"/>
      <c r="C2081" s="88" t="s">
        <v>2580</v>
      </c>
      <c r="D2081" s="90"/>
      <c r="E2081" s="88" t="s">
        <v>2588</v>
      </c>
      <c r="F2081" s="89"/>
      <c r="G2081" s="89"/>
      <c r="H2081" s="89"/>
      <c r="I2081" s="90"/>
      <c r="J2081" s="88" t="s">
        <v>2550</v>
      </c>
      <c r="K2081" s="89"/>
      <c r="L2081" s="89"/>
      <c r="M2081" s="90"/>
      <c r="N2081" s="88" t="s">
        <v>26</v>
      </c>
      <c r="O2081" s="89"/>
      <c r="P2081" s="90"/>
      <c r="Q2081" s="133">
        <v>1600</v>
      </c>
      <c r="R2081" s="134"/>
      <c r="S2081" s="5" t="s">
        <v>16</v>
      </c>
      <c r="T2081" s="6"/>
      <c r="U2081" s="6"/>
      <c r="V2081" s="5" t="s">
        <v>2586</v>
      </c>
      <c r="W2081" s="12">
        <v>6886516</v>
      </c>
      <c r="X2081" s="6"/>
      <c r="Y2081" s="6"/>
    </row>
    <row r="2082" spans="1:25" ht="15" customHeight="1" x14ac:dyDescent="0.2">
      <c r="A2082" s="88" t="s">
        <v>2547</v>
      </c>
      <c r="B2082" s="90"/>
      <c r="C2082" s="88" t="s">
        <v>2589</v>
      </c>
      <c r="D2082" s="90"/>
      <c r="E2082" s="88" t="s">
        <v>2590</v>
      </c>
      <c r="F2082" s="89"/>
      <c r="G2082" s="89"/>
      <c r="H2082" s="89"/>
      <c r="I2082" s="90"/>
      <c r="J2082" s="88" t="s">
        <v>2550</v>
      </c>
      <c r="K2082" s="89"/>
      <c r="L2082" s="89"/>
      <c r="M2082" s="90"/>
      <c r="N2082" s="88" t="s">
        <v>26</v>
      </c>
      <c r="O2082" s="89"/>
      <c r="P2082" s="90"/>
      <c r="Q2082" s="133">
        <v>2000</v>
      </c>
      <c r="R2082" s="134"/>
      <c r="S2082" s="5" t="s">
        <v>44</v>
      </c>
      <c r="T2082" s="6"/>
      <c r="U2082" s="6"/>
      <c r="V2082" s="5" t="s">
        <v>702</v>
      </c>
      <c r="W2082" s="12">
        <v>6901819</v>
      </c>
      <c r="X2082" s="6"/>
      <c r="Y2082" s="6"/>
    </row>
    <row r="2083" spans="1:25" ht="15" customHeight="1" x14ac:dyDescent="0.2">
      <c r="A2083" s="88" t="s">
        <v>2547</v>
      </c>
      <c r="B2083" s="90"/>
      <c r="C2083" s="88" t="s">
        <v>2589</v>
      </c>
      <c r="D2083" s="90"/>
      <c r="E2083" s="88" t="s">
        <v>2591</v>
      </c>
      <c r="F2083" s="89"/>
      <c r="G2083" s="89"/>
      <c r="H2083" s="89"/>
      <c r="I2083" s="90"/>
      <c r="J2083" s="88" t="s">
        <v>2550</v>
      </c>
      <c r="K2083" s="89"/>
      <c r="L2083" s="89"/>
      <c r="M2083" s="90"/>
      <c r="N2083" s="88" t="s">
        <v>26</v>
      </c>
      <c r="O2083" s="89"/>
      <c r="P2083" s="90"/>
      <c r="Q2083" s="133">
        <v>2000</v>
      </c>
      <c r="R2083" s="134"/>
      <c r="S2083" s="5" t="s">
        <v>44</v>
      </c>
      <c r="T2083" s="6"/>
      <c r="U2083" s="6"/>
      <c r="V2083" s="5" t="s">
        <v>702</v>
      </c>
      <c r="W2083" s="12">
        <v>7103824</v>
      </c>
      <c r="X2083" s="6"/>
      <c r="Y2083" s="6"/>
    </row>
    <row r="2084" spans="1:25" ht="15" customHeight="1" x14ac:dyDescent="0.2">
      <c r="A2084" s="88" t="s">
        <v>2547</v>
      </c>
      <c r="B2084" s="90"/>
      <c r="C2084" s="88" t="s">
        <v>2589</v>
      </c>
      <c r="D2084" s="90"/>
      <c r="E2084" s="88" t="s">
        <v>2592</v>
      </c>
      <c r="F2084" s="89"/>
      <c r="G2084" s="89"/>
      <c r="H2084" s="89"/>
      <c r="I2084" s="90"/>
      <c r="J2084" s="88" t="s">
        <v>2550</v>
      </c>
      <c r="K2084" s="89"/>
      <c r="L2084" s="89"/>
      <c r="M2084" s="90"/>
      <c r="N2084" s="88" t="s">
        <v>26</v>
      </c>
      <c r="O2084" s="89"/>
      <c r="P2084" s="90"/>
      <c r="Q2084" s="133">
        <v>2400</v>
      </c>
      <c r="R2084" s="134"/>
      <c r="S2084" s="5" t="s">
        <v>44</v>
      </c>
      <c r="T2084" s="6"/>
      <c r="U2084" s="6"/>
      <c r="V2084" s="5" t="s">
        <v>702</v>
      </c>
      <c r="W2084" s="12">
        <v>5117447</v>
      </c>
      <c r="X2084" s="6"/>
      <c r="Y2084" s="6"/>
    </row>
    <row r="2085" spans="1:25" ht="15" customHeight="1" x14ac:dyDescent="0.2">
      <c r="A2085" s="88" t="s">
        <v>2547</v>
      </c>
      <c r="B2085" s="90"/>
      <c r="C2085" s="88" t="s">
        <v>2593</v>
      </c>
      <c r="D2085" s="90"/>
      <c r="E2085" s="88" t="s">
        <v>2594</v>
      </c>
      <c r="F2085" s="89"/>
      <c r="G2085" s="89"/>
      <c r="H2085" s="89"/>
      <c r="I2085" s="90"/>
      <c r="J2085" s="88" t="s">
        <v>2550</v>
      </c>
      <c r="K2085" s="89"/>
      <c r="L2085" s="89"/>
      <c r="M2085" s="90"/>
      <c r="N2085" s="88" t="s">
        <v>26</v>
      </c>
      <c r="O2085" s="89"/>
      <c r="P2085" s="90"/>
      <c r="Q2085" s="133">
        <v>1200</v>
      </c>
      <c r="R2085" s="134"/>
      <c r="S2085" s="5" t="s">
        <v>27</v>
      </c>
      <c r="T2085" s="6"/>
      <c r="U2085" s="6"/>
      <c r="V2085" s="5" t="s">
        <v>702</v>
      </c>
      <c r="W2085" s="12">
        <v>3334604</v>
      </c>
      <c r="X2085" s="6"/>
      <c r="Y2085" s="6"/>
    </row>
    <row r="2086" spans="1:25" ht="15" customHeight="1" x14ac:dyDescent="0.2">
      <c r="A2086" s="88" t="s">
        <v>2547</v>
      </c>
      <c r="B2086" s="90"/>
      <c r="C2086" s="88" t="s">
        <v>2593</v>
      </c>
      <c r="D2086" s="90"/>
      <c r="E2086" s="88" t="s">
        <v>2595</v>
      </c>
      <c r="F2086" s="89"/>
      <c r="G2086" s="89"/>
      <c r="H2086" s="89"/>
      <c r="I2086" s="90"/>
      <c r="J2086" s="88" t="s">
        <v>2550</v>
      </c>
      <c r="K2086" s="89"/>
      <c r="L2086" s="89"/>
      <c r="M2086" s="90"/>
      <c r="N2086" s="88" t="s">
        <v>26</v>
      </c>
      <c r="O2086" s="89"/>
      <c r="P2086" s="90"/>
      <c r="Q2086" s="133">
        <v>1200</v>
      </c>
      <c r="R2086" s="134"/>
      <c r="S2086" s="5" t="s">
        <v>27</v>
      </c>
      <c r="T2086" s="6"/>
      <c r="U2086" s="6"/>
      <c r="V2086" s="5" t="s">
        <v>702</v>
      </c>
      <c r="W2086" s="12">
        <v>3059144</v>
      </c>
      <c r="X2086" s="6"/>
      <c r="Y2086" s="6"/>
    </row>
    <row r="2087" spans="1:25" ht="15" customHeight="1" x14ac:dyDescent="0.2">
      <c r="A2087" s="88" t="s">
        <v>2547</v>
      </c>
      <c r="B2087" s="90"/>
      <c r="C2087" s="88" t="s">
        <v>2593</v>
      </c>
      <c r="D2087" s="90"/>
      <c r="E2087" s="88" t="s">
        <v>2594</v>
      </c>
      <c r="F2087" s="89"/>
      <c r="G2087" s="89"/>
      <c r="H2087" s="89"/>
      <c r="I2087" s="90"/>
      <c r="J2087" s="88" t="s">
        <v>2550</v>
      </c>
      <c r="K2087" s="89"/>
      <c r="L2087" s="89"/>
      <c r="M2087" s="90"/>
      <c r="N2087" s="88" t="s">
        <v>26</v>
      </c>
      <c r="O2087" s="89"/>
      <c r="P2087" s="90"/>
      <c r="Q2087" s="133">
        <v>1200</v>
      </c>
      <c r="R2087" s="134"/>
      <c r="S2087" s="5" t="s">
        <v>27</v>
      </c>
      <c r="T2087" s="6"/>
      <c r="U2087" s="6"/>
      <c r="V2087" s="5" t="s">
        <v>702</v>
      </c>
      <c r="W2087" s="12">
        <v>3089750</v>
      </c>
      <c r="X2087" s="6"/>
      <c r="Y2087" s="6"/>
    </row>
    <row r="2088" spans="1:25" ht="15" customHeight="1" x14ac:dyDescent="0.2">
      <c r="A2088" s="88" t="s">
        <v>2547</v>
      </c>
      <c r="B2088" s="90"/>
      <c r="C2088" s="88" t="s">
        <v>2593</v>
      </c>
      <c r="D2088" s="90"/>
      <c r="E2088" s="88" t="s">
        <v>2595</v>
      </c>
      <c r="F2088" s="89"/>
      <c r="G2088" s="89"/>
      <c r="H2088" s="89"/>
      <c r="I2088" s="90"/>
      <c r="J2088" s="88" t="s">
        <v>2550</v>
      </c>
      <c r="K2088" s="89"/>
      <c r="L2088" s="89"/>
      <c r="M2088" s="90"/>
      <c r="N2088" s="88" t="s">
        <v>26</v>
      </c>
      <c r="O2088" s="89"/>
      <c r="P2088" s="90"/>
      <c r="Q2088" s="133">
        <v>1200</v>
      </c>
      <c r="R2088" s="134"/>
      <c r="S2088" s="5" t="s">
        <v>27</v>
      </c>
      <c r="T2088" s="6"/>
      <c r="U2088" s="6"/>
      <c r="V2088" s="5" t="s">
        <v>702</v>
      </c>
      <c r="W2088" s="12">
        <v>2814290</v>
      </c>
      <c r="X2088" s="6"/>
      <c r="Y2088" s="6"/>
    </row>
    <row r="2089" spans="1:25" ht="15" customHeight="1" x14ac:dyDescent="0.2">
      <c r="A2089" s="88" t="s">
        <v>2547</v>
      </c>
      <c r="B2089" s="90"/>
      <c r="C2089" s="88" t="s">
        <v>2596</v>
      </c>
      <c r="D2089" s="90"/>
      <c r="E2089" s="88" t="s">
        <v>2552</v>
      </c>
      <c r="F2089" s="89"/>
      <c r="G2089" s="89"/>
      <c r="H2089" s="89"/>
      <c r="I2089" s="90"/>
      <c r="J2089" s="88" t="s">
        <v>2550</v>
      </c>
      <c r="K2089" s="89"/>
      <c r="L2089" s="89"/>
      <c r="M2089" s="90"/>
      <c r="N2089" s="88" t="s">
        <v>26</v>
      </c>
      <c r="O2089" s="89"/>
      <c r="P2089" s="90"/>
      <c r="Q2089" s="133">
        <v>1000</v>
      </c>
      <c r="R2089" s="134"/>
      <c r="S2089" s="5" t="s">
        <v>27</v>
      </c>
      <c r="T2089" s="6"/>
      <c r="U2089" s="6"/>
      <c r="V2089" s="5" t="s">
        <v>702</v>
      </c>
      <c r="W2089" s="12">
        <v>4271552</v>
      </c>
      <c r="X2089" s="6"/>
      <c r="Y2089" s="6"/>
    </row>
    <row r="2090" spans="1:25" ht="15" customHeight="1" x14ac:dyDescent="0.2">
      <c r="A2090" s="88" t="s">
        <v>2547</v>
      </c>
      <c r="B2090" s="90"/>
      <c r="C2090" s="88" t="s">
        <v>2596</v>
      </c>
      <c r="D2090" s="90"/>
      <c r="E2090" s="88" t="s">
        <v>2554</v>
      </c>
      <c r="F2090" s="89"/>
      <c r="G2090" s="89"/>
      <c r="H2090" s="89"/>
      <c r="I2090" s="90"/>
      <c r="J2090" s="88" t="s">
        <v>2550</v>
      </c>
      <c r="K2090" s="89"/>
      <c r="L2090" s="89"/>
      <c r="M2090" s="90"/>
      <c r="N2090" s="88" t="s">
        <v>26</v>
      </c>
      <c r="O2090" s="89"/>
      <c r="P2090" s="90"/>
      <c r="Q2090" s="133">
        <v>1400</v>
      </c>
      <c r="R2090" s="134"/>
      <c r="S2090" s="5" t="s">
        <v>27</v>
      </c>
      <c r="T2090" s="6"/>
      <c r="U2090" s="6"/>
      <c r="V2090" s="5" t="s">
        <v>702</v>
      </c>
      <c r="W2090" s="12">
        <v>3514036</v>
      </c>
      <c r="X2090" s="6"/>
      <c r="Y2090" s="6"/>
    </row>
    <row r="2091" spans="1:25" ht="15" customHeight="1" x14ac:dyDescent="0.2">
      <c r="A2091" s="88" t="s">
        <v>2547</v>
      </c>
      <c r="B2091" s="90"/>
      <c r="C2091" s="88" t="s">
        <v>2596</v>
      </c>
      <c r="D2091" s="90"/>
      <c r="E2091" s="88" t="s">
        <v>2554</v>
      </c>
      <c r="F2091" s="89"/>
      <c r="G2091" s="89"/>
      <c r="H2091" s="89"/>
      <c r="I2091" s="90"/>
      <c r="J2091" s="88" t="s">
        <v>1602</v>
      </c>
      <c r="K2091" s="89"/>
      <c r="L2091" s="89"/>
      <c r="M2091" s="90"/>
      <c r="N2091" s="88" t="s">
        <v>26</v>
      </c>
      <c r="O2091" s="89"/>
      <c r="P2091" s="90"/>
      <c r="Q2091" s="133">
        <v>1400</v>
      </c>
      <c r="R2091" s="134"/>
      <c r="S2091" s="5" t="s">
        <v>27</v>
      </c>
      <c r="T2091" s="6"/>
      <c r="U2091" s="6"/>
      <c r="V2091" s="5" t="s">
        <v>702</v>
      </c>
      <c r="W2091" s="12">
        <v>3177362</v>
      </c>
      <c r="X2091" s="6"/>
      <c r="Y2091" s="6"/>
    </row>
    <row r="2092" spans="1:25" ht="15" customHeight="1" x14ac:dyDescent="0.2">
      <c r="A2092" s="88" t="s">
        <v>2547</v>
      </c>
      <c r="B2092" s="90"/>
      <c r="C2092" s="88" t="s">
        <v>2596</v>
      </c>
      <c r="D2092" s="90"/>
      <c r="E2092" s="88" t="s">
        <v>1938</v>
      </c>
      <c r="F2092" s="89"/>
      <c r="G2092" s="89"/>
      <c r="H2092" s="89"/>
      <c r="I2092" s="90"/>
      <c r="J2092" s="88" t="s">
        <v>2550</v>
      </c>
      <c r="K2092" s="89"/>
      <c r="L2092" s="89"/>
      <c r="M2092" s="90"/>
      <c r="N2092" s="88" t="s">
        <v>26</v>
      </c>
      <c r="O2092" s="89"/>
      <c r="P2092" s="90"/>
      <c r="Q2092" s="133">
        <v>1400</v>
      </c>
      <c r="R2092" s="134"/>
      <c r="S2092" s="5" t="s">
        <v>27</v>
      </c>
      <c r="T2092" s="6"/>
      <c r="U2092" s="6"/>
      <c r="V2092" s="5" t="s">
        <v>702</v>
      </c>
      <c r="W2092" s="12">
        <v>3829668</v>
      </c>
      <c r="X2092" s="6"/>
      <c r="Y2092" s="6"/>
    </row>
    <row r="2093" spans="1:25" ht="15" customHeight="1" x14ac:dyDescent="0.2">
      <c r="A2093" s="88" t="s">
        <v>2547</v>
      </c>
      <c r="B2093" s="90"/>
      <c r="C2093" s="88" t="s">
        <v>2596</v>
      </c>
      <c r="D2093" s="90"/>
      <c r="E2093" s="88" t="s">
        <v>1938</v>
      </c>
      <c r="F2093" s="89"/>
      <c r="G2093" s="89"/>
      <c r="H2093" s="89"/>
      <c r="I2093" s="90"/>
      <c r="J2093" s="88" t="s">
        <v>1602</v>
      </c>
      <c r="K2093" s="89"/>
      <c r="L2093" s="89"/>
      <c r="M2093" s="90"/>
      <c r="N2093" s="88" t="s">
        <v>26</v>
      </c>
      <c r="O2093" s="89"/>
      <c r="P2093" s="90"/>
      <c r="Q2093" s="133">
        <v>1400</v>
      </c>
      <c r="R2093" s="134"/>
      <c r="S2093" s="5" t="s">
        <v>27</v>
      </c>
      <c r="T2093" s="6"/>
      <c r="U2093" s="6"/>
      <c r="V2093" s="5" t="s">
        <v>702</v>
      </c>
      <c r="W2093" s="12">
        <v>3450910</v>
      </c>
      <c r="X2093" s="6"/>
      <c r="Y2093" s="6"/>
    </row>
    <row r="2094" spans="1:25" ht="15" customHeight="1" x14ac:dyDescent="0.2">
      <c r="A2094" s="88" t="s">
        <v>2547</v>
      </c>
      <c r="B2094" s="90"/>
      <c r="C2094" s="88" t="s">
        <v>2597</v>
      </c>
      <c r="D2094" s="90"/>
      <c r="E2094" s="88" t="s">
        <v>2598</v>
      </c>
      <c r="F2094" s="89"/>
      <c r="G2094" s="89"/>
      <c r="H2094" s="89"/>
      <c r="I2094" s="90"/>
      <c r="J2094" s="88" t="s">
        <v>2550</v>
      </c>
      <c r="K2094" s="89"/>
      <c r="L2094" s="89"/>
      <c r="M2094" s="90"/>
      <c r="N2094" s="88" t="s">
        <v>701</v>
      </c>
      <c r="O2094" s="89"/>
      <c r="P2094" s="90"/>
      <c r="Q2094" s="133">
        <v>1600</v>
      </c>
      <c r="R2094" s="134"/>
      <c r="S2094" s="5" t="s">
        <v>16</v>
      </c>
      <c r="T2094" s="6"/>
      <c r="U2094" s="6"/>
      <c r="V2094" s="5" t="s">
        <v>702</v>
      </c>
      <c r="W2094" s="12">
        <v>6958442</v>
      </c>
      <c r="X2094" s="6"/>
      <c r="Y2094" s="6"/>
    </row>
    <row r="2095" spans="1:25" ht="15" customHeight="1" x14ac:dyDescent="0.2">
      <c r="A2095" s="88" t="s">
        <v>2547</v>
      </c>
      <c r="B2095" s="90"/>
      <c r="C2095" s="88" t="s">
        <v>2597</v>
      </c>
      <c r="D2095" s="90"/>
      <c r="E2095" s="88" t="s">
        <v>2599</v>
      </c>
      <c r="F2095" s="89"/>
      <c r="G2095" s="89"/>
      <c r="H2095" s="89"/>
      <c r="I2095" s="90"/>
      <c r="J2095" s="88" t="s">
        <v>2550</v>
      </c>
      <c r="K2095" s="89"/>
      <c r="L2095" s="89"/>
      <c r="M2095" s="90"/>
      <c r="N2095" s="88" t="s">
        <v>701</v>
      </c>
      <c r="O2095" s="89"/>
      <c r="P2095" s="90"/>
      <c r="Q2095" s="133">
        <v>1600</v>
      </c>
      <c r="R2095" s="134"/>
      <c r="S2095" s="5" t="s">
        <v>16</v>
      </c>
      <c r="T2095" s="6"/>
      <c r="U2095" s="6"/>
      <c r="V2095" s="5" t="s">
        <v>702</v>
      </c>
      <c r="W2095" s="12">
        <v>6958442</v>
      </c>
      <c r="X2095" s="6"/>
      <c r="Y2095" s="6"/>
    </row>
    <row r="2096" spans="1:25" ht="15" customHeight="1" x14ac:dyDescent="0.2">
      <c r="A2096" s="88" t="s">
        <v>2547</v>
      </c>
      <c r="B2096" s="90"/>
      <c r="C2096" s="88" t="s">
        <v>2597</v>
      </c>
      <c r="D2096" s="90"/>
      <c r="E2096" s="88" t="s">
        <v>2600</v>
      </c>
      <c r="F2096" s="89"/>
      <c r="G2096" s="89"/>
      <c r="H2096" s="89"/>
      <c r="I2096" s="90"/>
      <c r="J2096" s="88" t="s">
        <v>2550</v>
      </c>
      <c r="K2096" s="89"/>
      <c r="L2096" s="89"/>
      <c r="M2096" s="90"/>
      <c r="N2096" s="88" t="s">
        <v>26</v>
      </c>
      <c r="O2096" s="89"/>
      <c r="P2096" s="90"/>
      <c r="Q2096" s="133">
        <v>2000</v>
      </c>
      <c r="R2096" s="134"/>
      <c r="S2096" s="5" t="s">
        <v>16</v>
      </c>
      <c r="T2096" s="6"/>
      <c r="U2096" s="6"/>
      <c r="V2096" s="5" t="s">
        <v>702</v>
      </c>
      <c r="W2096" s="12">
        <v>6101453</v>
      </c>
      <c r="X2096" s="6"/>
      <c r="Y2096" s="6"/>
    </row>
    <row r="2097" spans="1:25" ht="15" customHeight="1" x14ac:dyDescent="0.2">
      <c r="A2097" s="88" t="s">
        <v>2547</v>
      </c>
      <c r="B2097" s="90"/>
      <c r="C2097" s="88" t="s">
        <v>2597</v>
      </c>
      <c r="D2097" s="90"/>
      <c r="E2097" s="88" t="s">
        <v>2601</v>
      </c>
      <c r="F2097" s="89"/>
      <c r="G2097" s="89"/>
      <c r="H2097" s="89"/>
      <c r="I2097" s="90"/>
      <c r="J2097" s="88" t="s">
        <v>2550</v>
      </c>
      <c r="K2097" s="89"/>
      <c r="L2097" s="89"/>
      <c r="M2097" s="90"/>
      <c r="N2097" s="88" t="s">
        <v>26</v>
      </c>
      <c r="O2097" s="89"/>
      <c r="P2097" s="90"/>
      <c r="Q2097" s="133">
        <v>2000</v>
      </c>
      <c r="R2097" s="134"/>
      <c r="S2097" s="5" t="s">
        <v>16</v>
      </c>
      <c r="T2097" s="6"/>
      <c r="U2097" s="6"/>
      <c r="V2097" s="5" t="s">
        <v>702</v>
      </c>
      <c r="W2097" s="12">
        <v>6435066</v>
      </c>
      <c r="X2097" s="6"/>
      <c r="Y2097" s="6"/>
    </row>
    <row r="2098" spans="1:25" ht="15" customHeight="1" x14ac:dyDescent="0.2">
      <c r="A2098" s="88" t="s">
        <v>2547</v>
      </c>
      <c r="B2098" s="90"/>
      <c r="C2098" s="88" t="s">
        <v>2597</v>
      </c>
      <c r="D2098" s="90"/>
      <c r="E2098" s="88" t="s">
        <v>2602</v>
      </c>
      <c r="F2098" s="89"/>
      <c r="G2098" s="89"/>
      <c r="H2098" s="89"/>
      <c r="I2098" s="90"/>
      <c r="J2098" s="88" t="s">
        <v>2550</v>
      </c>
      <c r="K2098" s="89"/>
      <c r="L2098" s="89"/>
      <c r="M2098" s="90"/>
      <c r="N2098" s="88" t="s">
        <v>26</v>
      </c>
      <c r="O2098" s="89"/>
      <c r="P2098" s="90"/>
      <c r="Q2098" s="133">
        <v>2000</v>
      </c>
      <c r="R2098" s="134"/>
      <c r="S2098" s="5" t="s">
        <v>16</v>
      </c>
      <c r="T2098" s="6"/>
      <c r="U2098" s="6"/>
      <c r="V2098" s="5" t="s">
        <v>702</v>
      </c>
      <c r="W2098" s="12">
        <v>6435066</v>
      </c>
      <c r="X2098" s="6"/>
      <c r="Y2098" s="6"/>
    </row>
    <row r="2099" spans="1:25" ht="15" customHeight="1" x14ac:dyDescent="0.2">
      <c r="A2099" s="88" t="s">
        <v>2547</v>
      </c>
      <c r="B2099" s="90"/>
      <c r="C2099" s="88" t="s">
        <v>2597</v>
      </c>
      <c r="D2099" s="90"/>
      <c r="E2099" s="88" t="s">
        <v>2603</v>
      </c>
      <c r="F2099" s="89"/>
      <c r="G2099" s="89"/>
      <c r="H2099" s="89"/>
      <c r="I2099" s="90"/>
      <c r="J2099" s="88" t="s">
        <v>2550</v>
      </c>
      <c r="K2099" s="89"/>
      <c r="L2099" s="89"/>
      <c r="M2099" s="90"/>
      <c r="N2099" s="88" t="s">
        <v>26</v>
      </c>
      <c r="O2099" s="89"/>
      <c r="P2099" s="90"/>
      <c r="Q2099" s="133">
        <v>2000</v>
      </c>
      <c r="R2099" s="134"/>
      <c r="S2099" s="5" t="s">
        <v>16</v>
      </c>
      <c r="T2099" s="6"/>
      <c r="U2099" s="6"/>
      <c r="V2099" s="5" t="s">
        <v>702</v>
      </c>
      <c r="W2099" s="12">
        <v>4598662</v>
      </c>
      <c r="X2099" s="6"/>
      <c r="Y2099" s="6"/>
    </row>
    <row r="2100" spans="1:25" ht="15" customHeight="1" x14ac:dyDescent="0.2">
      <c r="A2100" s="88" t="s">
        <v>2547</v>
      </c>
      <c r="B2100" s="90"/>
      <c r="C2100" s="88" t="s">
        <v>2597</v>
      </c>
      <c r="D2100" s="90"/>
      <c r="E2100" s="88" t="s">
        <v>2604</v>
      </c>
      <c r="F2100" s="89"/>
      <c r="G2100" s="89"/>
      <c r="H2100" s="89"/>
      <c r="I2100" s="90"/>
      <c r="J2100" s="88" t="s">
        <v>2550</v>
      </c>
      <c r="K2100" s="89"/>
      <c r="L2100" s="89"/>
      <c r="M2100" s="90"/>
      <c r="N2100" s="88" t="s">
        <v>26</v>
      </c>
      <c r="O2100" s="89"/>
      <c r="P2100" s="90"/>
      <c r="Q2100" s="133">
        <v>2000</v>
      </c>
      <c r="R2100" s="134"/>
      <c r="S2100" s="5" t="s">
        <v>16</v>
      </c>
      <c r="T2100" s="6"/>
      <c r="U2100" s="6"/>
      <c r="V2100" s="5" t="s">
        <v>702</v>
      </c>
      <c r="W2100" s="12">
        <v>5088370</v>
      </c>
      <c r="X2100" s="6"/>
      <c r="Y2100" s="6"/>
    </row>
    <row r="2101" spans="1:25" ht="15" customHeight="1" x14ac:dyDescent="0.2">
      <c r="A2101" s="88" t="s">
        <v>2547</v>
      </c>
      <c r="B2101" s="90"/>
      <c r="C2101" s="88" t="s">
        <v>2597</v>
      </c>
      <c r="D2101" s="90"/>
      <c r="E2101" s="88" t="s">
        <v>2605</v>
      </c>
      <c r="F2101" s="89"/>
      <c r="G2101" s="89"/>
      <c r="H2101" s="89"/>
      <c r="I2101" s="90"/>
      <c r="J2101" s="88" t="s">
        <v>2550</v>
      </c>
      <c r="K2101" s="89"/>
      <c r="L2101" s="89"/>
      <c r="M2101" s="90"/>
      <c r="N2101" s="88" t="s">
        <v>26</v>
      </c>
      <c r="O2101" s="89"/>
      <c r="P2101" s="90"/>
      <c r="Q2101" s="133">
        <v>2000</v>
      </c>
      <c r="R2101" s="134"/>
      <c r="S2101" s="5" t="s">
        <v>16</v>
      </c>
      <c r="T2101" s="6"/>
      <c r="U2101" s="6"/>
      <c r="V2101" s="5" t="s">
        <v>702</v>
      </c>
      <c r="W2101" s="12">
        <v>5562774</v>
      </c>
      <c r="X2101" s="6"/>
      <c r="Y2101" s="6"/>
    </row>
    <row r="2102" spans="1:25" ht="15" customHeight="1" x14ac:dyDescent="0.2">
      <c r="A2102" s="88" t="s">
        <v>2547</v>
      </c>
      <c r="B2102" s="90"/>
      <c r="C2102" s="88" t="s">
        <v>2606</v>
      </c>
      <c r="D2102" s="90"/>
      <c r="E2102" s="88" t="s">
        <v>2607</v>
      </c>
      <c r="F2102" s="89"/>
      <c r="G2102" s="89"/>
      <c r="H2102" s="89"/>
      <c r="I2102" s="90"/>
      <c r="J2102" s="88" t="s">
        <v>2550</v>
      </c>
      <c r="K2102" s="89"/>
      <c r="L2102" s="89"/>
      <c r="M2102" s="90"/>
      <c r="N2102" s="88" t="s">
        <v>701</v>
      </c>
      <c r="O2102" s="89"/>
      <c r="P2102" s="90"/>
      <c r="Q2102" s="133">
        <v>1600</v>
      </c>
      <c r="R2102" s="134"/>
      <c r="S2102" s="5" t="s">
        <v>16</v>
      </c>
      <c r="T2102" s="6"/>
      <c r="U2102" s="6"/>
      <c r="V2102" s="5" t="s">
        <v>702</v>
      </c>
      <c r="W2102" s="12">
        <v>12955832</v>
      </c>
      <c r="X2102" s="6"/>
      <c r="Y2102" s="6"/>
    </row>
    <row r="2103" spans="1:25" ht="15" customHeight="1" x14ac:dyDescent="0.2">
      <c r="A2103" s="88" t="s">
        <v>2547</v>
      </c>
      <c r="B2103" s="90"/>
      <c r="C2103" s="88" t="s">
        <v>2606</v>
      </c>
      <c r="D2103" s="90"/>
      <c r="E2103" s="88" t="s">
        <v>2608</v>
      </c>
      <c r="F2103" s="89"/>
      <c r="G2103" s="89"/>
      <c r="H2103" s="89"/>
      <c r="I2103" s="90"/>
      <c r="J2103" s="88" t="s">
        <v>2550</v>
      </c>
      <c r="K2103" s="89"/>
      <c r="L2103" s="89"/>
      <c r="M2103" s="90"/>
      <c r="N2103" s="88" t="s">
        <v>526</v>
      </c>
      <c r="O2103" s="89"/>
      <c r="P2103" s="90"/>
      <c r="Q2103" s="133">
        <v>1600</v>
      </c>
      <c r="R2103" s="134"/>
      <c r="S2103" s="5" t="s">
        <v>16</v>
      </c>
      <c r="T2103" s="6"/>
      <c r="U2103" s="6"/>
      <c r="V2103" s="5" t="s">
        <v>702</v>
      </c>
      <c r="W2103" s="12">
        <v>11221960</v>
      </c>
      <c r="X2103" s="6"/>
      <c r="Y2103" s="6"/>
    </row>
    <row r="2104" spans="1:25" ht="15" customHeight="1" x14ac:dyDescent="0.2">
      <c r="A2104" s="88" t="s">
        <v>2547</v>
      </c>
      <c r="B2104" s="90"/>
      <c r="C2104" s="88" t="s">
        <v>2606</v>
      </c>
      <c r="D2104" s="90"/>
      <c r="E2104" s="88" t="s">
        <v>2609</v>
      </c>
      <c r="F2104" s="89"/>
      <c r="G2104" s="89"/>
      <c r="H2104" s="89"/>
      <c r="I2104" s="90"/>
      <c r="J2104" s="88" t="s">
        <v>2550</v>
      </c>
      <c r="K2104" s="89"/>
      <c r="L2104" s="89"/>
      <c r="M2104" s="90"/>
      <c r="N2104" s="88" t="s">
        <v>26</v>
      </c>
      <c r="O2104" s="89"/>
      <c r="P2104" s="90"/>
      <c r="Q2104" s="133">
        <v>1600</v>
      </c>
      <c r="R2104" s="134"/>
      <c r="S2104" s="5" t="s">
        <v>16</v>
      </c>
      <c r="T2104" s="6"/>
      <c r="U2104" s="6"/>
      <c r="V2104" s="5" t="s">
        <v>702</v>
      </c>
      <c r="W2104" s="12">
        <v>10762859</v>
      </c>
      <c r="X2104" s="6"/>
      <c r="Y2104" s="6"/>
    </row>
    <row r="2105" spans="1:25" ht="15" customHeight="1" x14ac:dyDescent="0.2">
      <c r="A2105" s="88" t="s">
        <v>2547</v>
      </c>
      <c r="B2105" s="90"/>
      <c r="C2105" s="88" t="s">
        <v>2606</v>
      </c>
      <c r="D2105" s="90"/>
      <c r="E2105" s="88" t="s">
        <v>2610</v>
      </c>
      <c r="F2105" s="89"/>
      <c r="G2105" s="89"/>
      <c r="H2105" s="89"/>
      <c r="I2105" s="90"/>
      <c r="J2105" s="88" t="s">
        <v>2550</v>
      </c>
      <c r="K2105" s="89"/>
      <c r="L2105" s="89"/>
      <c r="M2105" s="90"/>
      <c r="N2105" s="88" t="s">
        <v>26</v>
      </c>
      <c r="O2105" s="89"/>
      <c r="P2105" s="90"/>
      <c r="Q2105" s="133">
        <v>2200</v>
      </c>
      <c r="R2105" s="134"/>
      <c r="S2105" s="5" t="s">
        <v>16</v>
      </c>
      <c r="T2105" s="6"/>
      <c r="U2105" s="6"/>
      <c r="V2105" s="5" t="s">
        <v>106</v>
      </c>
      <c r="W2105" s="12">
        <v>10527187</v>
      </c>
      <c r="X2105" s="6"/>
      <c r="Y2105" s="6"/>
    </row>
    <row r="2106" spans="1:25" ht="15" customHeight="1" x14ac:dyDescent="0.2">
      <c r="A2106" s="88" t="s">
        <v>2547</v>
      </c>
      <c r="B2106" s="90"/>
      <c r="C2106" s="88" t="s">
        <v>2606</v>
      </c>
      <c r="D2106" s="90"/>
      <c r="E2106" s="88" t="s">
        <v>2611</v>
      </c>
      <c r="F2106" s="89"/>
      <c r="G2106" s="89"/>
      <c r="H2106" s="89"/>
      <c r="I2106" s="90"/>
      <c r="J2106" s="88" t="s">
        <v>2550</v>
      </c>
      <c r="K2106" s="89"/>
      <c r="L2106" s="89"/>
      <c r="M2106" s="90"/>
      <c r="N2106" s="88" t="s">
        <v>26</v>
      </c>
      <c r="O2106" s="89"/>
      <c r="P2106" s="90"/>
      <c r="Q2106" s="133">
        <v>2200</v>
      </c>
      <c r="R2106" s="134"/>
      <c r="S2106" s="5" t="s">
        <v>16</v>
      </c>
      <c r="T2106" s="6"/>
      <c r="U2106" s="6"/>
      <c r="V2106" s="5" t="s">
        <v>106</v>
      </c>
      <c r="W2106" s="12">
        <v>8245455</v>
      </c>
      <c r="X2106" s="6"/>
      <c r="Y2106" s="6"/>
    </row>
    <row r="2107" spans="1:25" ht="15" customHeight="1" x14ac:dyDescent="0.2">
      <c r="A2107" s="88" t="s">
        <v>2547</v>
      </c>
      <c r="B2107" s="90"/>
      <c r="C2107" s="88" t="s">
        <v>2606</v>
      </c>
      <c r="D2107" s="90"/>
      <c r="E2107" s="88" t="s">
        <v>2612</v>
      </c>
      <c r="F2107" s="89"/>
      <c r="G2107" s="89"/>
      <c r="H2107" s="89"/>
      <c r="I2107" s="90"/>
      <c r="J2107" s="88" t="s">
        <v>2550</v>
      </c>
      <c r="K2107" s="89"/>
      <c r="L2107" s="89"/>
      <c r="M2107" s="90"/>
      <c r="N2107" s="88" t="s">
        <v>26</v>
      </c>
      <c r="O2107" s="89"/>
      <c r="P2107" s="90"/>
      <c r="Q2107" s="133">
        <v>2200</v>
      </c>
      <c r="R2107" s="134"/>
      <c r="S2107" s="5" t="s">
        <v>16</v>
      </c>
      <c r="T2107" s="6"/>
      <c r="U2107" s="6"/>
      <c r="V2107" s="5" t="s">
        <v>106</v>
      </c>
      <c r="W2107" s="12">
        <v>8646403</v>
      </c>
      <c r="X2107" s="6"/>
      <c r="Y2107" s="6"/>
    </row>
    <row r="2108" spans="1:25" ht="15" customHeight="1" x14ac:dyDescent="0.2">
      <c r="A2108" s="88" t="s">
        <v>2547</v>
      </c>
      <c r="B2108" s="90"/>
      <c r="C2108" s="88" t="s">
        <v>2606</v>
      </c>
      <c r="D2108" s="90"/>
      <c r="E2108" s="88" t="s">
        <v>2613</v>
      </c>
      <c r="F2108" s="89"/>
      <c r="G2108" s="89"/>
      <c r="H2108" s="89"/>
      <c r="I2108" s="90"/>
      <c r="J2108" s="88" t="s">
        <v>2550</v>
      </c>
      <c r="K2108" s="89"/>
      <c r="L2108" s="89"/>
      <c r="M2108" s="90"/>
      <c r="N2108" s="88" t="s">
        <v>26</v>
      </c>
      <c r="O2108" s="89"/>
      <c r="P2108" s="90"/>
      <c r="Q2108" s="133">
        <v>2200</v>
      </c>
      <c r="R2108" s="134"/>
      <c r="S2108" s="5" t="s">
        <v>16</v>
      </c>
      <c r="T2108" s="6"/>
      <c r="U2108" s="6"/>
      <c r="V2108" s="5" t="s">
        <v>106</v>
      </c>
      <c r="W2108" s="12">
        <v>9400859</v>
      </c>
      <c r="X2108" s="6"/>
      <c r="Y2108" s="6"/>
    </row>
    <row r="2109" spans="1:25" ht="15" customHeight="1" x14ac:dyDescent="0.2">
      <c r="A2109" s="88" t="s">
        <v>2547</v>
      </c>
      <c r="B2109" s="90"/>
      <c r="C2109" s="88" t="s">
        <v>2606</v>
      </c>
      <c r="D2109" s="90"/>
      <c r="E2109" s="88" t="s">
        <v>2610</v>
      </c>
      <c r="F2109" s="89"/>
      <c r="G2109" s="89"/>
      <c r="H2109" s="89"/>
      <c r="I2109" s="90"/>
      <c r="J2109" s="88" t="s">
        <v>2550</v>
      </c>
      <c r="K2109" s="89"/>
      <c r="L2109" s="89"/>
      <c r="M2109" s="90"/>
      <c r="N2109" s="88" t="s">
        <v>22</v>
      </c>
      <c r="O2109" s="89"/>
      <c r="P2109" s="90"/>
      <c r="Q2109" s="133">
        <v>3500</v>
      </c>
      <c r="R2109" s="134"/>
      <c r="S2109" s="5" t="s">
        <v>16</v>
      </c>
      <c r="T2109" s="6"/>
      <c r="U2109" s="6"/>
      <c r="V2109" s="5" t="s">
        <v>702</v>
      </c>
      <c r="W2109" s="12">
        <v>10873533</v>
      </c>
      <c r="X2109" s="6"/>
      <c r="Y2109" s="6"/>
    </row>
    <row r="2110" spans="1:25" ht="15" customHeight="1" x14ac:dyDescent="0.2">
      <c r="A2110" s="88" t="s">
        <v>2547</v>
      </c>
      <c r="B2110" s="90"/>
      <c r="C2110" s="88" t="s">
        <v>2606</v>
      </c>
      <c r="D2110" s="90"/>
      <c r="E2110" s="88" t="s">
        <v>2611</v>
      </c>
      <c r="F2110" s="89"/>
      <c r="G2110" s="89"/>
      <c r="H2110" s="89"/>
      <c r="I2110" s="90"/>
      <c r="J2110" s="88" t="s">
        <v>2550</v>
      </c>
      <c r="K2110" s="89"/>
      <c r="L2110" s="89"/>
      <c r="M2110" s="90"/>
      <c r="N2110" s="88" t="s">
        <v>22</v>
      </c>
      <c r="O2110" s="89"/>
      <c r="P2110" s="90"/>
      <c r="Q2110" s="133">
        <v>3500</v>
      </c>
      <c r="R2110" s="134"/>
      <c r="S2110" s="5" t="s">
        <v>16</v>
      </c>
      <c r="T2110" s="6"/>
      <c r="U2110" s="6"/>
      <c r="V2110" s="5" t="s">
        <v>702</v>
      </c>
      <c r="W2110" s="12">
        <v>8409262</v>
      </c>
      <c r="X2110" s="6"/>
      <c r="Y2110" s="6"/>
    </row>
    <row r="2111" spans="1:25" ht="15" customHeight="1" x14ac:dyDescent="0.2">
      <c r="A2111" s="88" t="s">
        <v>2547</v>
      </c>
      <c r="B2111" s="90"/>
      <c r="C2111" s="88" t="s">
        <v>2606</v>
      </c>
      <c r="D2111" s="90"/>
      <c r="E2111" s="88" t="s">
        <v>2612</v>
      </c>
      <c r="F2111" s="89"/>
      <c r="G2111" s="89"/>
      <c r="H2111" s="89"/>
      <c r="I2111" s="90"/>
      <c r="J2111" s="88" t="s">
        <v>2550</v>
      </c>
      <c r="K2111" s="89"/>
      <c r="L2111" s="89"/>
      <c r="M2111" s="90"/>
      <c r="N2111" s="88" t="s">
        <v>22</v>
      </c>
      <c r="O2111" s="89"/>
      <c r="P2111" s="90"/>
      <c r="Q2111" s="133">
        <v>3500</v>
      </c>
      <c r="R2111" s="134"/>
      <c r="S2111" s="5" t="s">
        <v>16</v>
      </c>
      <c r="T2111" s="6"/>
      <c r="U2111" s="6"/>
      <c r="V2111" s="5" t="s">
        <v>702</v>
      </c>
      <c r="W2111" s="12">
        <v>8842286</v>
      </c>
      <c r="X2111" s="6"/>
      <c r="Y2111" s="6"/>
    </row>
    <row r="2112" spans="1:25" ht="15" customHeight="1" x14ac:dyDescent="0.2">
      <c r="A2112" s="88" t="s">
        <v>2547</v>
      </c>
      <c r="B2112" s="90"/>
      <c r="C2112" s="88" t="s">
        <v>2606</v>
      </c>
      <c r="D2112" s="90"/>
      <c r="E2112" s="88" t="s">
        <v>2613</v>
      </c>
      <c r="F2112" s="89"/>
      <c r="G2112" s="89"/>
      <c r="H2112" s="89"/>
      <c r="I2112" s="90"/>
      <c r="J2112" s="88" t="s">
        <v>2550</v>
      </c>
      <c r="K2112" s="89"/>
      <c r="L2112" s="89"/>
      <c r="M2112" s="90"/>
      <c r="N2112" s="88" t="s">
        <v>22</v>
      </c>
      <c r="O2112" s="89"/>
      <c r="P2112" s="90"/>
      <c r="Q2112" s="133">
        <v>3500</v>
      </c>
      <c r="R2112" s="134"/>
      <c r="S2112" s="5" t="s">
        <v>16</v>
      </c>
      <c r="T2112" s="6"/>
      <c r="U2112" s="6"/>
      <c r="V2112" s="5" t="s">
        <v>702</v>
      </c>
      <c r="W2112" s="12">
        <v>9657098</v>
      </c>
      <c r="X2112" s="6"/>
      <c r="Y2112" s="6"/>
    </row>
    <row r="2113" spans="1:25" ht="15" customHeight="1" x14ac:dyDescent="0.2">
      <c r="A2113" s="88" t="s">
        <v>2547</v>
      </c>
      <c r="B2113" s="90"/>
      <c r="C2113" s="88" t="s">
        <v>2614</v>
      </c>
      <c r="D2113" s="90"/>
      <c r="E2113" s="88" t="s">
        <v>2592</v>
      </c>
      <c r="F2113" s="89"/>
      <c r="G2113" s="89"/>
      <c r="H2113" s="89"/>
      <c r="I2113" s="90"/>
      <c r="J2113" s="88" t="s">
        <v>2550</v>
      </c>
      <c r="K2113" s="89"/>
      <c r="L2113" s="89"/>
      <c r="M2113" s="90"/>
      <c r="N2113" s="88" t="s">
        <v>26</v>
      </c>
      <c r="O2113" s="89"/>
      <c r="P2113" s="90"/>
      <c r="Q2113" s="133">
        <v>2000</v>
      </c>
      <c r="R2113" s="134"/>
      <c r="S2113" s="5" t="s">
        <v>27</v>
      </c>
      <c r="T2113" s="6"/>
      <c r="U2113" s="6"/>
      <c r="V2113" s="5" t="s">
        <v>702</v>
      </c>
      <c r="W2113" s="12">
        <v>2424053</v>
      </c>
      <c r="X2113" s="6"/>
      <c r="Y2113" s="6"/>
    </row>
    <row r="2114" spans="1:25" ht="15" customHeight="1" x14ac:dyDescent="0.2">
      <c r="A2114" s="88" t="s">
        <v>2547</v>
      </c>
      <c r="B2114" s="90"/>
      <c r="C2114" s="88" t="s">
        <v>2615</v>
      </c>
      <c r="D2114" s="90"/>
      <c r="E2114" s="88" t="s">
        <v>2616</v>
      </c>
      <c r="F2114" s="89"/>
      <c r="G2114" s="89"/>
      <c r="H2114" s="89"/>
      <c r="I2114" s="90"/>
      <c r="J2114" s="88" t="s">
        <v>2550</v>
      </c>
      <c r="K2114" s="89"/>
      <c r="L2114" s="89"/>
      <c r="M2114" s="90"/>
      <c r="N2114" s="88" t="s">
        <v>26</v>
      </c>
      <c r="O2114" s="89"/>
      <c r="P2114" s="90"/>
      <c r="Q2114" s="133">
        <v>1600</v>
      </c>
      <c r="R2114" s="134"/>
      <c r="S2114" s="5" t="s">
        <v>16</v>
      </c>
      <c r="T2114" s="6"/>
      <c r="U2114" s="6"/>
      <c r="V2114" s="5" t="s">
        <v>2586</v>
      </c>
      <c r="W2114" s="12">
        <v>8481127</v>
      </c>
      <c r="X2114" s="6"/>
      <c r="Y2114" s="6"/>
    </row>
    <row r="2115" spans="1:25" ht="15" customHeight="1" x14ac:dyDescent="0.2">
      <c r="A2115" s="88" t="s">
        <v>2547</v>
      </c>
      <c r="B2115" s="90"/>
      <c r="C2115" s="88" t="s">
        <v>2615</v>
      </c>
      <c r="D2115" s="90"/>
      <c r="E2115" s="88" t="s">
        <v>2617</v>
      </c>
      <c r="F2115" s="89"/>
      <c r="G2115" s="89"/>
      <c r="H2115" s="89"/>
      <c r="I2115" s="90"/>
      <c r="J2115" s="88" t="s">
        <v>2550</v>
      </c>
      <c r="K2115" s="89"/>
      <c r="L2115" s="89"/>
      <c r="M2115" s="90"/>
      <c r="N2115" s="88" t="s">
        <v>26</v>
      </c>
      <c r="O2115" s="89"/>
      <c r="P2115" s="90"/>
      <c r="Q2115" s="133">
        <v>1600</v>
      </c>
      <c r="R2115" s="134"/>
      <c r="S2115" s="5" t="s">
        <v>16</v>
      </c>
      <c r="T2115" s="6"/>
      <c r="U2115" s="6"/>
      <c r="V2115" s="5" t="s">
        <v>2586</v>
      </c>
      <c r="W2115" s="12">
        <v>7031897</v>
      </c>
      <c r="X2115" s="6"/>
      <c r="Y2115" s="6"/>
    </row>
    <row r="2116" spans="1:25" ht="15" customHeight="1" x14ac:dyDescent="0.2">
      <c r="A2116" s="88" t="s">
        <v>2547</v>
      </c>
      <c r="B2116" s="90"/>
      <c r="C2116" s="88" t="s">
        <v>2615</v>
      </c>
      <c r="D2116" s="90"/>
      <c r="E2116" s="88" t="s">
        <v>2618</v>
      </c>
      <c r="F2116" s="89"/>
      <c r="G2116" s="89"/>
      <c r="H2116" s="89"/>
      <c r="I2116" s="90"/>
      <c r="J2116" s="88" t="s">
        <v>2550</v>
      </c>
      <c r="K2116" s="89"/>
      <c r="L2116" s="89"/>
      <c r="M2116" s="90"/>
      <c r="N2116" s="88" t="s">
        <v>26</v>
      </c>
      <c r="O2116" s="89"/>
      <c r="P2116" s="90"/>
      <c r="Q2116" s="133">
        <v>1600</v>
      </c>
      <c r="R2116" s="134"/>
      <c r="S2116" s="5" t="s">
        <v>16</v>
      </c>
      <c r="T2116" s="6"/>
      <c r="U2116" s="6"/>
      <c r="V2116" s="5" t="s">
        <v>702</v>
      </c>
      <c r="W2116" s="12">
        <v>7639442</v>
      </c>
      <c r="X2116" s="6"/>
      <c r="Y2116" s="6"/>
    </row>
    <row r="2117" spans="1:25" ht="15" customHeight="1" x14ac:dyDescent="0.2">
      <c r="A2117" s="88" t="s">
        <v>2547</v>
      </c>
      <c r="B2117" s="90"/>
      <c r="C2117" s="88" t="s">
        <v>2615</v>
      </c>
      <c r="D2117" s="90"/>
      <c r="E2117" s="88" t="s">
        <v>2619</v>
      </c>
      <c r="F2117" s="89"/>
      <c r="G2117" s="89"/>
      <c r="H2117" s="89"/>
      <c r="I2117" s="90"/>
      <c r="J2117" s="88" t="s">
        <v>2550</v>
      </c>
      <c r="K2117" s="89"/>
      <c r="L2117" s="89"/>
      <c r="M2117" s="90"/>
      <c r="N2117" s="88" t="s">
        <v>26</v>
      </c>
      <c r="O2117" s="89"/>
      <c r="P2117" s="90"/>
      <c r="Q2117" s="133">
        <v>1600</v>
      </c>
      <c r="R2117" s="134"/>
      <c r="S2117" s="5" t="s">
        <v>16</v>
      </c>
      <c r="T2117" s="6"/>
      <c r="U2117" s="6"/>
      <c r="V2117" s="5" t="s">
        <v>702</v>
      </c>
      <c r="W2117" s="12">
        <v>6741134</v>
      </c>
      <c r="X2117" s="6"/>
      <c r="Y2117" s="6"/>
    </row>
    <row r="2118" spans="1:25" ht="15" customHeight="1" x14ac:dyDescent="0.2">
      <c r="A2118" s="88" t="s">
        <v>2547</v>
      </c>
      <c r="B2118" s="90"/>
      <c r="C2118" s="88" t="s">
        <v>2615</v>
      </c>
      <c r="D2118" s="90"/>
      <c r="E2118" s="88" t="s">
        <v>2603</v>
      </c>
      <c r="F2118" s="89"/>
      <c r="G2118" s="89"/>
      <c r="H2118" s="89"/>
      <c r="I2118" s="90"/>
      <c r="J2118" s="88" t="s">
        <v>2550</v>
      </c>
      <c r="K2118" s="89"/>
      <c r="L2118" s="89"/>
      <c r="M2118" s="90"/>
      <c r="N2118" s="88" t="s">
        <v>26</v>
      </c>
      <c r="O2118" s="89"/>
      <c r="P2118" s="90"/>
      <c r="Q2118" s="133">
        <v>2000</v>
      </c>
      <c r="R2118" s="134"/>
      <c r="S2118" s="5" t="s">
        <v>16</v>
      </c>
      <c r="T2118" s="6"/>
      <c r="U2118" s="6"/>
      <c r="V2118" s="5" t="s">
        <v>702</v>
      </c>
      <c r="W2118" s="12">
        <v>5355413</v>
      </c>
      <c r="X2118" s="6"/>
      <c r="Y2118" s="6"/>
    </row>
    <row r="2119" spans="1:25" ht="15" customHeight="1" x14ac:dyDescent="0.2">
      <c r="A2119" s="88" t="s">
        <v>2547</v>
      </c>
      <c r="B2119" s="90"/>
      <c r="C2119" s="88" t="s">
        <v>2615</v>
      </c>
      <c r="D2119" s="90"/>
      <c r="E2119" s="88" t="s">
        <v>2603</v>
      </c>
      <c r="F2119" s="89"/>
      <c r="G2119" s="89"/>
      <c r="H2119" s="89"/>
      <c r="I2119" s="90"/>
      <c r="J2119" s="88" t="s">
        <v>2550</v>
      </c>
      <c r="K2119" s="89"/>
      <c r="L2119" s="89"/>
      <c r="M2119" s="90"/>
      <c r="N2119" s="88" t="s">
        <v>26</v>
      </c>
      <c r="O2119" s="89"/>
      <c r="P2119" s="90"/>
      <c r="Q2119" s="133">
        <v>2000</v>
      </c>
      <c r="R2119" s="134"/>
      <c r="S2119" s="5" t="s">
        <v>16</v>
      </c>
      <c r="T2119" s="6"/>
      <c r="U2119" s="6"/>
      <c r="V2119" s="5" t="s">
        <v>702</v>
      </c>
      <c r="W2119" s="12">
        <v>5587943</v>
      </c>
      <c r="X2119" s="6"/>
      <c r="Y2119" s="6"/>
    </row>
    <row r="2120" spans="1:25" ht="15" customHeight="1" x14ac:dyDescent="0.2">
      <c r="A2120" s="88" t="s">
        <v>2547</v>
      </c>
      <c r="B2120" s="90"/>
      <c r="C2120" s="88" t="s">
        <v>2615</v>
      </c>
      <c r="D2120" s="90"/>
      <c r="E2120" s="88" t="s">
        <v>2620</v>
      </c>
      <c r="F2120" s="89"/>
      <c r="G2120" s="89"/>
      <c r="H2120" s="89"/>
      <c r="I2120" s="90"/>
      <c r="J2120" s="88" t="s">
        <v>2550</v>
      </c>
      <c r="K2120" s="89"/>
      <c r="L2120" s="89"/>
      <c r="M2120" s="90"/>
      <c r="N2120" s="88" t="s">
        <v>26</v>
      </c>
      <c r="O2120" s="89"/>
      <c r="P2120" s="90"/>
      <c r="Q2120" s="133">
        <v>2000</v>
      </c>
      <c r="R2120" s="134"/>
      <c r="S2120" s="5" t="s">
        <v>16</v>
      </c>
      <c r="T2120" s="6"/>
      <c r="U2120" s="6"/>
      <c r="V2120" s="5" t="s">
        <v>702</v>
      </c>
      <c r="W2120" s="12">
        <v>6359365</v>
      </c>
      <c r="X2120" s="6"/>
      <c r="Y2120" s="6"/>
    </row>
    <row r="2121" spans="1:25" ht="15" customHeight="1" x14ac:dyDescent="0.2">
      <c r="A2121" s="88" t="s">
        <v>2547</v>
      </c>
      <c r="B2121" s="90"/>
      <c r="C2121" s="88" t="s">
        <v>2615</v>
      </c>
      <c r="D2121" s="90"/>
      <c r="E2121" s="88" t="s">
        <v>2621</v>
      </c>
      <c r="F2121" s="89"/>
      <c r="G2121" s="89"/>
      <c r="H2121" s="89"/>
      <c r="I2121" s="90"/>
      <c r="J2121" s="88" t="s">
        <v>2550</v>
      </c>
      <c r="K2121" s="89"/>
      <c r="L2121" s="89"/>
      <c r="M2121" s="90"/>
      <c r="N2121" s="88" t="s">
        <v>26</v>
      </c>
      <c r="O2121" s="89"/>
      <c r="P2121" s="90"/>
      <c r="Q2121" s="133">
        <v>2000</v>
      </c>
      <c r="R2121" s="134"/>
      <c r="S2121" s="5" t="s">
        <v>16</v>
      </c>
      <c r="T2121" s="6"/>
      <c r="U2121" s="6"/>
      <c r="V2121" s="5" t="s">
        <v>702</v>
      </c>
      <c r="W2121" s="12">
        <v>7121473</v>
      </c>
      <c r="X2121" s="6"/>
      <c r="Y2121" s="6"/>
    </row>
    <row r="2122" spans="1:25" ht="15" customHeight="1" x14ac:dyDescent="0.2">
      <c r="A2122" s="88" t="s">
        <v>2547</v>
      </c>
      <c r="B2122" s="90"/>
      <c r="C2122" s="88" t="s">
        <v>2615</v>
      </c>
      <c r="D2122" s="90"/>
      <c r="E2122" s="88" t="s">
        <v>2620</v>
      </c>
      <c r="F2122" s="89"/>
      <c r="G2122" s="89"/>
      <c r="H2122" s="89"/>
      <c r="I2122" s="90"/>
      <c r="J2122" s="88" t="s">
        <v>1602</v>
      </c>
      <c r="K2122" s="89"/>
      <c r="L2122" s="89"/>
      <c r="M2122" s="90"/>
      <c r="N2122" s="88" t="s">
        <v>26</v>
      </c>
      <c r="O2122" s="89"/>
      <c r="P2122" s="90"/>
      <c r="Q2122" s="133">
        <v>2000</v>
      </c>
      <c r="R2122" s="134"/>
      <c r="S2122" s="5" t="s">
        <v>16</v>
      </c>
      <c r="T2122" s="6"/>
      <c r="U2122" s="6"/>
      <c r="V2122" s="5" t="s">
        <v>702</v>
      </c>
      <c r="W2122" s="12">
        <v>6020651</v>
      </c>
      <c r="X2122" s="6"/>
      <c r="Y2122" s="6"/>
    </row>
    <row r="2123" spans="1:25" ht="15" customHeight="1" x14ac:dyDescent="0.2">
      <c r="A2123" s="88" t="s">
        <v>2547</v>
      </c>
      <c r="B2123" s="90"/>
      <c r="C2123" s="88" t="s">
        <v>2615</v>
      </c>
      <c r="D2123" s="90"/>
      <c r="E2123" s="88" t="s">
        <v>2618</v>
      </c>
      <c r="F2123" s="89"/>
      <c r="G2123" s="89"/>
      <c r="H2123" s="89"/>
      <c r="I2123" s="90"/>
      <c r="J2123" s="88" t="s">
        <v>2550</v>
      </c>
      <c r="K2123" s="89"/>
      <c r="L2123" s="89"/>
      <c r="M2123" s="90"/>
      <c r="N2123" s="88" t="s">
        <v>26</v>
      </c>
      <c r="O2123" s="89"/>
      <c r="P2123" s="90"/>
      <c r="Q2123" s="133">
        <v>2000</v>
      </c>
      <c r="R2123" s="134"/>
      <c r="S2123" s="5" t="s">
        <v>16</v>
      </c>
      <c r="T2123" s="6"/>
      <c r="U2123" s="6"/>
      <c r="V2123" s="5" t="s">
        <v>106</v>
      </c>
      <c r="W2123" s="12">
        <v>8962386</v>
      </c>
      <c r="X2123" s="6"/>
      <c r="Y2123" s="6"/>
    </row>
    <row r="2124" spans="1:25" ht="15" customHeight="1" x14ac:dyDescent="0.2">
      <c r="A2124" s="88" t="s">
        <v>2547</v>
      </c>
      <c r="B2124" s="90"/>
      <c r="C2124" s="88" t="s">
        <v>2615</v>
      </c>
      <c r="D2124" s="90"/>
      <c r="E2124" s="88" t="s">
        <v>2622</v>
      </c>
      <c r="F2124" s="89"/>
      <c r="G2124" s="89"/>
      <c r="H2124" s="89"/>
      <c r="I2124" s="90"/>
      <c r="J2124" s="88" t="s">
        <v>2550</v>
      </c>
      <c r="K2124" s="89"/>
      <c r="L2124" s="89"/>
      <c r="M2124" s="90"/>
      <c r="N2124" s="88" t="s">
        <v>22</v>
      </c>
      <c r="O2124" s="89"/>
      <c r="P2124" s="90"/>
      <c r="Q2124" s="133">
        <v>2000</v>
      </c>
      <c r="R2124" s="134"/>
      <c r="S2124" s="5" t="s">
        <v>16</v>
      </c>
      <c r="T2124" s="6"/>
      <c r="U2124" s="6"/>
      <c r="V2124" s="5" t="s">
        <v>106</v>
      </c>
      <c r="W2124" s="12">
        <v>6841187</v>
      </c>
      <c r="X2124" s="6"/>
      <c r="Y2124" s="6"/>
    </row>
    <row r="2125" spans="1:25" ht="15" customHeight="1" x14ac:dyDescent="0.2">
      <c r="A2125" s="88" t="s">
        <v>2547</v>
      </c>
      <c r="B2125" s="90"/>
      <c r="C2125" s="88" t="s">
        <v>2615</v>
      </c>
      <c r="D2125" s="90"/>
      <c r="E2125" s="88" t="s">
        <v>2623</v>
      </c>
      <c r="F2125" s="89"/>
      <c r="G2125" s="89"/>
      <c r="H2125" s="89"/>
      <c r="I2125" s="90"/>
      <c r="J2125" s="88" t="s">
        <v>2550</v>
      </c>
      <c r="K2125" s="89"/>
      <c r="L2125" s="89"/>
      <c r="M2125" s="90"/>
      <c r="N2125" s="88" t="s">
        <v>22</v>
      </c>
      <c r="O2125" s="89"/>
      <c r="P2125" s="90"/>
      <c r="Q2125" s="133">
        <v>2000</v>
      </c>
      <c r="R2125" s="134"/>
      <c r="S2125" s="5" t="s">
        <v>16</v>
      </c>
      <c r="T2125" s="6"/>
      <c r="U2125" s="6"/>
      <c r="V2125" s="5" t="s">
        <v>106</v>
      </c>
      <c r="W2125" s="12">
        <v>7273895</v>
      </c>
      <c r="X2125" s="6"/>
      <c r="Y2125" s="6"/>
    </row>
    <row r="2126" spans="1:25" ht="15" customHeight="1" x14ac:dyDescent="0.2">
      <c r="A2126" s="88" t="s">
        <v>2547</v>
      </c>
      <c r="B2126" s="90"/>
      <c r="C2126" s="88" t="s">
        <v>2615</v>
      </c>
      <c r="D2126" s="90"/>
      <c r="E2126" s="88" t="s">
        <v>2619</v>
      </c>
      <c r="F2126" s="89"/>
      <c r="G2126" s="89"/>
      <c r="H2126" s="89"/>
      <c r="I2126" s="90"/>
      <c r="J2126" s="88" t="s">
        <v>2550</v>
      </c>
      <c r="K2126" s="89"/>
      <c r="L2126" s="89"/>
      <c r="M2126" s="90"/>
      <c r="N2126" s="88" t="s">
        <v>22</v>
      </c>
      <c r="O2126" s="89"/>
      <c r="P2126" s="90"/>
      <c r="Q2126" s="133">
        <v>2000</v>
      </c>
      <c r="R2126" s="134"/>
      <c r="S2126" s="5" t="s">
        <v>16</v>
      </c>
      <c r="T2126" s="6"/>
      <c r="U2126" s="6"/>
      <c r="V2126" s="5" t="s">
        <v>106</v>
      </c>
      <c r="W2126" s="12">
        <v>8036003</v>
      </c>
      <c r="X2126" s="6"/>
      <c r="Y2126" s="6"/>
    </row>
    <row r="2127" spans="1:25" ht="15" customHeight="1" x14ac:dyDescent="0.2">
      <c r="A2127" s="88" t="s">
        <v>2547</v>
      </c>
      <c r="B2127" s="90"/>
      <c r="C2127" s="88" t="s">
        <v>2624</v>
      </c>
      <c r="D2127" s="90"/>
      <c r="E2127" s="88" t="s">
        <v>2625</v>
      </c>
      <c r="F2127" s="89"/>
      <c r="G2127" s="89"/>
      <c r="H2127" s="89"/>
      <c r="I2127" s="90"/>
      <c r="J2127" s="88" t="s">
        <v>2550</v>
      </c>
      <c r="K2127" s="89"/>
      <c r="L2127" s="89"/>
      <c r="M2127" s="90"/>
      <c r="N2127" s="88" t="s">
        <v>26</v>
      </c>
      <c r="O2127" s="89"/>
      <c r="P2127" s="90"/>
      <c r="Q2127" s="133">
        <v>2000</v>
      </c>
      <c r="R2127" s="134"/>
      <c r="S2127" s="5" t="s">
        <v>44</v>
      </c>
      <c r="T2127" s="6"/>
      <c r="U2127" s="6"/>
      <c r="V2127" s="5" t="s">
        <v>702</v>
      </c>
      <c r="W2127" s="12">
        <v>11759745</v>
      </c>
      <c r="X2127" s="6"/>
      <c r="Y2127" s="6"/>
    </row>
    <row r="2128" spans="1:25" ht="15" customHeight="1" x14ac:dyDescent="0.2">
      <c r="A2128" s="88" t="s">
        <v>2547</v>
      </c>
      <c r="B2128" s="90"/>
      <c r="C2128" s="88" t="s">
        <v>2624</v>
      </c>
      <c r="D2128" s="90"/>
      <c r="E2128" s="88" t="s">
        <v>2626</v>
      </c>
      <c r="F2128" s="89"/>
      <c r="G2128" s="89"/>
      <c r="H2128" s="89"/>
      <c r="I2128" s="90"/>
      <c r="J2128" s="88" t="s">
        <v>2550</v>
      </c>
      <c r="K2128" s="89"/>
      <c r="L2128" s="89"/>
      <c r="M2128" s="90"/>
      <c r="N2128" s="88" t="s">
        <v>26</v>
      </c>
      <c r="O2128" s="89"/>
      <c r="P2128" s="90"/>
      <c r="Q2128" s="133">
        <v>2000</v>
      </c>
      <c r="R2128" s="134"/>
      <c r="S2128" s="5" t="s">
        <v>44</v>
      </c>
      <c r="T2128" s="6"/>
      <c r="U2128" s="6"/>
      <c r="V2128" s="5" t="s">
        <v>702</v>
      </c>
      <c r="W2128" s="12">
        <v>11759745</v>
      </c>
      <c r="X2128" s="6"/>
      <c r="Y2128" s="6"/>
    </row>
    <row r="2129" spans="1:25" ht="15" customHeight="1" x14ac:dyDescent="0.2">
      <c r="A2129" s="88" t="s">
        <v>2547</v>
      </c>
      <c r="B2129" s="90"/>
      <c r="C2129" s="88" t="s">
        <v>2624</v>
      </c>
      <c r="D2129" s="90"/>
      <c r="E2129" s="88" t="s">
        <v>2627</v>
      </c>
      <c r="F2129" s="89"/>
      <c r="G2129" s="89"/>
      <c r="H2129" s="89"/>
      <c r="I2129" s="90"/>
      <c r="J2129" s="88" t="s">
        <v>2550</v>
      </c>
      <c r="K2129" s="89"/>
      <c r="L2129" s="89"/>
      <c r="M2129" s="90"/>
      <c r="N2129" s="88" t="s">
        <v>26</v>
      </c>
      <c r="O2129" s="89"/>
      <c r="P2129" s="90"/>
      <c r="Q2129" s="133">
        <v>2000</v>
      </c>
      <c r="R2129" s="134"/>
      <c r="S2129" s="5" t="s">
        <v>44</v>
      </c>
      <c r="T2129" s="6"/>
      <c r="U2129" s="6"/>
      <c r="V2129" s="5" t="s">
        <v>702</v>
      </c>
      <c r="W2129" s="12">
        <v>10246115</v>
      </c>
      <c r="X2129" s="6"/>
      <c r="Y2129" s="6"/>
    </row>
    <row r="2130" spans="1:25" ht="15" customHeight="1" x14ac:dyDescent="0.2">
      <c r="A2130" s="88" t="s">
        <v>2547</v>
      </c>
      <c r="B2130" s="90"/>
      <c r="C2130" s="88" t="s">
        <v>2624</v>
      </c>
      <c r="D2130" s="90"/>
      <c r="E2130" s="88" t="s">
        <v>2628</v>
      </c>
      <c r="F2130" s="89"/>
      <c r="G2130" s="89"/>
      <c r="H2130" s="89"/>
      <c r="I2130" s="90"/>
      <c r="J2130" s="88" t="s">
        <v>2550</v>
      </c>
      <c r="K2130" s="89"/>
      <c r="L2130" s="89"/>
      <c r="M2130" s="90"/>
      <c r="N2130" s="88" t="s">
        <v>26</v>
      </c>
      <c r="O2130" s="89"/>
      <c r="P2130" s="90"/>
      <c r="Q2130" s="133">
        <v>3300</v>
      </c>
      <c r="R2130" s="134"/>
      <c r="S2130" s="5" t="s">
        <v>44</v>
      </c>
      <c r="T2130" s="6"/>
      <c r="U2130" s="6"/>
      <c r="V2130" s="5" t="s">
        <v>702</v>
      </c>
      <c r="W2130" s="12">
        <v>13017224</v>
      </c>
      <c r="X2130" s="6"/>
      <c r="Y2130" s="6"/>
    </row>
    <row r="2131" spans="1:25" ht="15" customHeight="1" x14ac:dyDescent="0.2">
      <c r="A2131" s="88" t="s">
        <v>2547</v>
      </c>
      <c r="B2131" s="90"/>
      <c r="C2131" s="88" t="s">
        <v>2624</v>
      </c>
      <c r="D2131" s="90"/>
      <c r="E2131" s="88" t="s">
        <v>2629</v>
      </c>
      <c r="F2131" s="89"/>
      <c r="G2131" s="89"/>
      <c r="H2131" s="89"/>
      <c r="I2131" s="90"/>
      <c r="J2131" s="88" t="s">
        <v>2550</v>
      </c>
      <c r="K2131" s="89"/>
      <c r="L2131" s="89"/>
      <c r="M2131" s="90"/>
      <c r="N2131" s="88" t="s">
        <v>26</v>
      </c>
      <c r="O2131" s="89"/>
      <c r="P2131" s="90"/>
      <c r="Q2131" s="133">
        <v>3300</v>
      </c>
      <c r="R2131" s="134"/>
      <c r="S2131" s="5" t="s">
        <v>44</v>
      </c>
      <c r="T2131" s="6"/>
      <c r="U2131" s="6"/>
      <c r="V2131" s="5" t="s">
        <v>702</v>
      </c>
      <c r="W2131" s="12">
        <v>10991287</v>
      </c>
      <c r="X2131" s="6"/>
      <c r="Y2131" s="6"/>
    </row>
    <row r="2132" spans="1:25" ht="15" customHeight="1" x14ac:dyDescent="0.2">
      <c r="A2132" s="88" t="s">
        <v>2547</v>
      </c>
      <c r="B2132" s="90"/>
      <c r="C2132" s="88" t="s">
        <v>2630</v>
      </c>
      <c r="D2132" s="90"/>
      <c r="E2132" s="88" t="s">
        <v>2552</v>
      </c>
      <c r="F2132" s="89"/>
      <c r="G2132" s="89"/>
      <c r="H2132" s="89"/>
      <c r="I2132" s="90"/>
      <c r="J2132" s="88" t="s">
        <v>2550</v>
      </c>
      <c r="K2132" s="89"/>
      <c r="L2132" s="89"/>
      <c r="M2132" s="90"/>
      <c r="N2132" s="88" t="s">
        <v>26</v>
      </c>
      <c r="O2132" s="89"/>
      <c r="P2132" s="90"/>
      <c r="Q2132" s="133">
        <v>1000</v>
      </c>
      <c r="R2132" s="134"/>
      <c r="S2132" s="5" t="s">
        <v>16</v>
      </c>
      <c r="T2132" s="6"/>
      <c r="U2132" s="6"/>
      <c r="V2132" s="5" t="s">
        <v>702</v>
      </c>
      <c r="W2132" s="12">
        <v>4332837</v>
      </c>
      <c r="X2132" s="6"/>
      <c r="Y2132" s="6"/>
    </row>
    <row r="2133" spans="1:25" ht="15" customHeight="1" x14ac:dyDescent="0.2">
      <c r="A2133" s="88" t="s">
        <v>2547</v>
      </c>
      <c r="B2133" s="90"/>
      <c r="C2133" s="88" t="s">
        <v>2630</v>
      </c>
      <c r="D2133" s="90"/>
      <c r="E2133" s="88" t="s">
        <v>2554</v>
      </c>
      <c r="F2133" s="89"/>
      <c r="G2133" s="89"/>
      <c r="H2133" s="89"/>
      <c r="I2133" s="90"/>
      <c r="J2133" s="88" t="s">
        <v>2550</v>
      </c>
      <c r="K2133" s="89"/>
      <c r="L2133" s="89"/>
      <c r="M2133" s="90"/>
      <c r="N2133" s="88" t="s">
        <v>26</v>
      </c>
      <c r="O2133" s="89"/>
      <c r="P2133" s="90"/>
      <c r="Q2133" s="133">
        <v>1000</v>
      </c>
      <c r="R2133" s="134"/>
      <c r="S2133" s="5" t="s">
        <v>16</v>
      </c>
      <c r="T2133" s="6"/>
      <c r="U2133" s="6"/>
      <c r="V2133" s="5" t="s">
        <v>702</v>
      </c>
      <c r="W2133" s="12">
        <v>3476566</v>
      </c>
      <c r="X2133" s="6"/>
      <c r="Y2133" s="6"/>
    </row>
    <row r="2134" spans="1:25" ht="15" customHeight="1" x14ac:dyDescent="0.2">
      <c r="A2134" s="88" t="s">
        <v>2547</v>
      </c>
      <c r="B2134" s="90"/>
      <c r="C2134" s="88" t="s">
        <v>2630</v>
      </c>
      <c r="D2134" s="90"/>
      <c r="E2134" s="88" t="s">
        <v>1938</v>
      </c>
      <c r="F2134" s="89"/>
      <c r="G2134" s="89"/>
      <c r="H2134" s="89"/>
      <c r="I2134" s="90"/>
      <c r="J2134" s="88" t="s">
        <v>2550</v>
      </c>
      <c r="K2134" s="89"/>
      <c r="L2134" s="89"/>
      <c r="M2134" s="90"/>
      <c r="N2134" s="88" t="s">
        <v>26</v>
      </c>
      <c r="O2134" s="89"/>
      <c r="P2134" s="90"/>
      <c r="Q2134" s="133">
        <v>1000</v>
      </c>
      <c r="R2134" s="134"/>
      <c r="S2134" s="5" t="s">
        <v>16</v>
      </c>
      <c r="T2134" s="6"/>
      <c r="U2134" s="6"/>
      <c r="V2134" s="5" t="s">
        <v>702</v>
      </c>
      <c r="W2134" s="12">
        <v>3900636</v>
      </c>
      <c r="X2134" s="6"/>
      <c r="Y2134" s="6"/>
    </row>
    <row r="2135" spans="1:25" ht="15" customHeight="1" x14ac:dyDescent="0.2">
      <c r="A2135" s="88" t="s">
        <v>2631</v>
      </c>
      <c r="B2135" s="90"/>
      <c r="C2135" s="88" t="s">
        <v>2632</v>
      </c>
      <c r="D2135" s="90"/>
      <c r="E2135" s="106"/>
      <c r="F2135" s="107"/>
      <c r="G2135" s="107"/>
      <c r="H2135" s="107"/>
      <c r="I2135" s="108"/>
      <c r="J2135" s="88" t="s">
        <v>1499</v>
      </c>
      <c r="K2135" s="89"/>
      <c r="L2135" s="89"/>
      <c r="M2135" s="90"/>
      <c r="N2135" s="88" t="s">
        <v>701</v>
      </c>
      <c r="O2135" s="89"/>
      <c r="P2135" s="90"/>
      <c r="Q2135" s="133">
        <v>1997</v>
      </c>
      <c r="R2135" s="134"/>
      <c r="S2135" s="5" t="s">
        <v>2633</v>
      </c>
      <c r="T2135" s="6"/>
      <c r="U2135" s="8">
        <v>5</v>
      </c>
      <c r="V2135" s="5" t="s">
        <v>702</v>
      </c>
      <c r="W2135" s="12">
        <v>14624976</v>
      </c>
      <c r="X2135" s="6"/>
      <c r="Y2135" s="6"/>
    </row>
    <row r="2136" spans="1:25" ht="15" customHeight="1" x14ac:dyDescent="0.2">
      <c r="A2136" s="88" t="s">
        <v>2631</v>
      </c>
      <c r="B2136" s="90"/>
      <c r="C2136" s="88" t="s">
        <v>2634</v>
      </c>
      <c r="D2136" s="90"/>
      <c r="E2136" s="106"/>
      <c r="F2136" s="107"/>
      <c r="G2136" s="107"/>
      <c r="H2136" s="107"/>
      <c r="I2136" s="108"/>
      <c r="J2136" s="88" t="s">
        <v>1499</v>
      </c>
      <c r="K2136" s="89"/>
      <c r="L2136" s="89"/>
      <c r="M2136" s="90"/>
      <c r="N2136" s="88" t="s">
        <v>701</v>
      </c>
      <c r="O2136" s="89"/>
      <c r="P2136" s="90"/>
      <c r="Q2136" s="133">
        <v>1997</v>
      </c>
      <c r="R2136" s="134"/>
      <c r="S2136" s="5" t="s">
        <v>2633</v>
      </c>
      <c r="T2136" s="6"/>
      <c r="U2136" s="8">
        <v>5</v>
      </c>
      <c r="V2136" s="5" t="s">
        <v>702</v>
      </c>
      <c r="W2136" s="12">
        <v>17633718</v>
      </c>
      <c r="X2136" s="6"/>
      <c r="Y2136" s="6"/>
    </row>
    <row r="2137" spans="1:25" ht="15" customHeight="1" x14ac:dyDescent="0.2">
      <c r="A2137" s="88" t="s">
        <v>2631</v>
      </c>
      <c r="B2137" s="90"/>
      <c r="C2137" s="88" t="s">
        <v>2635</v>
      </c>
      <c r="D2137" s="90"/>
      <c r="E2137" s="106"/>
      <c r="F2137" s="107"/>
      <c r="G2137" s="107"/>
      <c r="H2137" s="107"/>
      <c r="I2137" s="108"/>
      <c r="J2137" s="88" t="s">
        <v>1499</v>
      </c>
      <c r="K2137" s="89"/>
      <c r="L2137" s="89"/>
      <c r="M2137" s="90"/>
      <c r="N2137" s="88" t="s">
        <v>701</v>
      </c>
      <c r="O2137" s="89"/>
      <c r="P2137" s="90"/>
      <c r="Q2137" s="133">
        <v>1997</v>
      </c>
      <c r="R2137" s="134"/>
      <c r="S2137" s="5" t="s">
        <v>2633</v>
      </c>
      <c r="T2137" s="6"/>
      <c r="U2137" s="8">
        <v>5</v>
      </c>
      <c r="V2137" s="5" t="s">
        <v>702</v>
      </c>
      <c r="W2137" s="12">
        <v>19551498</v>
      </c>
      <c r="X2137" s="6"/>
      <c r="Y2137" s="6"/>
    </row>
    <row r="2138" spans="1:25" ht="15" customHeight="1" x14ac:dyDescent="0.2">
      <c r="A2138" s="88" t="s">
        <v>2631</v>
      </c>
      <c r="B2138" s="90"/>
      <c r="C2138" s="88" t="s">
        <v>2636</v>
      </c>
      <c r="D2138" s="89"/>
      <c r="E2138" s="89"/>
      <c r="F2138" s="89"/>
      <c r="G2138" s="89"/>
      <c r="H2138" s="89"/>
      <c r="I2138" s="90"/>
      <c r="J2138" s="88" t="s">
        <v>1499</v>
      </c>
      <c r="K2138" s="89"/>
      <c r="L2138" s="89"/>
      <c r="M2138" s="90"/>
      <c r="N2138" s="88" t="s">
        <v>701</v>
      </c>
      <c r="O2138" s="89"/>
      <c r="P2138" s="90"/>
      <c r="Q2138" s="133">
        <v>1997</v>
      </c>
      <c r="R2138" s="134"/>
      <c r="S2138" s="5" t="s">
        <v>2633</v>
      </c>
      <c r="T2138" s="6"/>
      <c r="U2138" s="8">
        <v>5</v>
      </c>
      <c r="V2138" s="5" t="s">
        <v>702</v>
      </c>
      <c r="W2138" s="12">
        <v>20759317</v>
      </c>
      <c r="X2138" s="6"/>
      <c r="Y2138" s="6"/>
    </row>
    <row r="2139" spans="1:25" ht="15" customHeight="1" x14ac:dyDescent="0.2">
      <c r="A2139" s="88" t="s">
        <v>2631</v>
      </c>
      <c r="B2139" s="90"/>
      <c r="C2139" s="88" t="s">
        <v>2637</v>
      </c>
      <c r="D2139" s="90"/>
      <c r="E2139" s="106"/>
      <c r="F2139" s="107"/>
      <c r="G2139" s="107"/>
      <c r="H2139" s="107"/>
      <c r="I2139" s="108"/>
      <c r="J2139" s="88" t="s">
        <v>1499</v>
      </c>
      <c r="K2139" s="89"/>
      <c r="L2139" s="89"/>
      <c r="M2139" s="90"/>
      <c r="N2139" s="88" t="s">
        <v>701</v>
      </c>
      <c r="O2139" s="89"/>
      <c r="P2139" s="90"/>
      <c r="Q2139" s="133">
        <v>1997</v>
      </c>
      <c r="R2139" s="134"/>
      <c r="S2139" s="5" t="s">
        <v>2633</v>
      </c>
      <c r="T2139" s="6"/>
      <c r="U2139" s="8">
        <v>5</v>
      </c>
      <c r="V2139" s="5" t="s">
        <v>702</v>
      </c>
      <c r="W2139" s="12">
        <v>15915872</v>
      </c>
      <c r="X2139" s="6"/>
      <c r="Y2139" s="6"/>
    </row>
    <row r="2140" spans="1:25" ht="15" customHeight="1" x14ac:dyDescent="0.2">
      <c r="A2140" s="88" t="s">
        <v>2631</v>
      </c>
      <c r="B2140" s="90"/>
      <c r="C2140" s="88" t="s">
        <v>2638</v>
      </c>
      <c r="D2140" s="89"/>
      <c r="E2140" s="89"/>
      <c r="F2140" s="89"/>
      <c r="G2140" s="89"/>
      <c r="H2140" s="89"/>
      <c r="I2140" s="90"/>
      <c r="J2140" s="88" t="s">
        <v>1499</v>
      </c>
      <c r="K2140" s="89"/>
      <c r="L2140" s="89"/>
      <c r="M2140" s="90"/>
      <c r="N2140" s="88" t="s">
        <v>701</v>
      </c>
      <c r="O2140" s="89"/>
      <c r="P2140" s="90"/>
      <c r="Q2140" s="133">
        <v>1997</v>
      </c>
      <c r="R2140" s="134"/>
      <c r="S2140" s="5" t="s">
        <v>2633</v>
      </c>
      <c r="T2140" s="6"/>
      <c r="U2140" s="8">
        <v>5</v>
      </c>
      <c r="V2140" s="5" t="s">
        <v>702</v>
      </c>
      <c r="W2140" s="12">
        <v>16812378</v>
      </c>
      <c r="X2140" s="6"/>
      <c r="Y2140" s="6"/>
    </row>
    <row r="2141" spans="1:25" ht="15" customHeight="1" x14ac:dyDescent="0.2">
      <c r="A2141" s="88" t="s">
        <v>2631</v>
      </c>
      <c r="B2141" s="90"/>
      <c r="C2141" s="88" t="s">
        <v>2639</v>
      </c>
      <c r="D2141" s="90"/>
      <c r="E2141" s="106"/>
      <c r="F2141" s="107"/>
      <c r="G2141" s="107"/>
      <c r="H2141" s="107"/>
      <c r="I2141" s="108"/>
      <c r="J2141" s="88" t="s">
        <v>1499</v>
      </c>
      <c r="K2141" s="89"/>
      <c r="L2141" s="89"/>
      <c r="M2141" s="90"/>
      <c r="N2141" s="88" t="s">
        <v>2640</v>
      </c>
      <c r="O2141" s="89"/>
      <c r="P2141" s="90"/>
      <c r="Q2141" s="133">
        <v>1997</v>
      </c>
      <c r="R2141" s="134"/>
      <c r="S2141" s="5" t="s">
        <v>2633</v>
      </c>
      <c r="T2141" s="6"/>
      <c r="U2141" s="8">
        <v>5</v>
      </c>
      <c r="V2141" s="5" t="s">
        <v>702</v>
      </c>
      <c r="W2141" s="12">
        <v>17851911</v>
      </c>
      <c r="X2141" s="6"/>
      <c r="Y2141" s="6"/>
    </row>
    <row r="2142" spans="1:25" ht="15" customHeight="1" x14ac:dyDescent="0.2">
      <c r="A2142" s="88" t="s">
        <v>2631</v>
      </c>
      <c r="B2142" s="90"/>
      <c r="C2142" s="88" t="s">
        <v>2641</v>
      </c>
      <c r="D2142" s="89"/>
      <c r="E2142" s="89"/>
      <c r="F2142" s="89"/>
      <c r="G2142" s="89"/>
      <c r="H2142" s="89"/>
      <c r="I2142" s="90"/>
      <c r="J2142" s="88" t="s">
        <v>1499</v>
      </c>
      <c r="K2142" s="89"/>
      <c r="L2142" s="89"/>
      <c r="M2142" s="90"/>
      <c r="N2142" s="88" t="s">
        <v>2642</v>
      </c>
      <c r="O2142" s="89"/>
      <c r="P2142" s="90"/>
      <c r="Q2142" s="133">
        <v>1997</v>
      </c>
      <c r="R2142" s="134"/>
      <c r="S2142" s="5" t="s">
        <v>2633</v>
      </c>
      <c r="T2142" s="6"/>
      <c r="U2142" s="8">
        <v>5</v>
      </c>
      <c r="V2142" s="5" t="s">
        <v>702</v>
      </c>
      <c r="W2142" s="12">
        <v>23389798</v>
      </c>
      <c r="X2142" s="6"/>
      <c r="Y2142" s="6"/>
    </row>
    <row r="2143" spans="1:25" ht="15" customHeight="1" x14ac:dyDescent="0.2">
      <c r="A2143" s="88" t="s">
        <v>2631</v>
      </c>
      <c r="B2143" s="90"/>
      <c r="C2143" s="88" t="s">
        <v>2643</v>
      </c>
      <c r="D2143" s="90"/>
      <c r="E2143" s="106"/>
      <c r="F2143" s="107"/>
      <c r="G2143" s="107"/>
      <c r="H2143" s="107"/>
      <c r="I2143" s="108"/>
      <c r="J2143" s="88" t="s">
        <v>1499</v>
      </c>
      <c r="K2143" s="89"/>
      <c r="L2143" s="89"/>
      <c r="M2143" s="90"/>
      <c r="N2143" s="88" t="s">
        <v>701</v>
      </c>
      <c r="O2143" s="89"/>
      <c r="P2143" s="90"/>
      <c r="Q2143" s="133">
        <v>1997</v>
      </c>
      <c r="R2143" s="134"/>
      <c r="S2143" s="5" t="s">
        <v>2633</v>
      </c>
      <c r="T2143" s="6"/>
      <c r="U2143" s="8">
        <v>5</v>
      </c>
      <c r="V2143" s="5" t="s">
        <v>702</v>
      </c>
      <c r="W2143" s="12">
        <v>20347277</v>
      </c>
      <c r="X2143" s="6"/>
      <c r="Y2143" s="6"/>
    </row>
    <row r="2144" spans="1:25" ht="15" customHeight="1" x14ac:dyDescent="0.2">
      <c r="A2144" s="88" t="s">
        <v>2631</v>
      </c>
      <c r="B2144" s="90"/>
      <c r="C2144" s="88" t="s">
        <v>2644</v>
      </c>
      <c r="D2144" s="89"/>
      <c r="E2144" s="89"/>
      <c r="F2144" s="89"/>
      <c r="G2144" s="89"/>
      <c r="H2144" s="89"/>
      <c r="I2144" s="90"/>
      <c r="J2144" s="88" t="s">
        <v>1499</v>
      </c>
      <c r="K2144" s="89"/>
      <c r="L2144" s="89"/>
      <c r="M2144" s="90"/>
      <c r="N2144" s="88" t="s">
        <v>701</v>
      </c>
      <c r="O2144" s="89"/>
      <c r="P2144" s="90"/>
      <c r="Q2144" s="133">
        <v>1997</v>
      </c>
      <c r="R2144" s="134"/>
      <c r="S2144" s="5" t="s">
        <v>2633</v>
      </c>
      <c r="T2144" s="6"/>
      <c r="U2144" s="8">
        <v>5</v>
      </c>
      <c r="V2144" s="5" t="s">
        <v>702</v>
      </c>
      <c r="W2144" s="12">
        <v>21092235</v>
      </c>
      <c r="X2144" s="6"/>
      <c r="Y2144" s="6"/>
    </row>
    <row r="2145" spans="1:25" ht="15" customHeight="1" x14ac:dyDescent="0.2">
      <c r="A2145" s="88" t="s">
        <v>2631</v>
      </c>
      <c r="B2145" s="90"/>
      <c r="C2145" s="88" t="s">
        <v>2645</v>
      </c>
      <c r="D2145" s="90"/>
      <c r="E2145" s="106"/>
      <c r="F2145" s="107"/>
      <c r="G2145" s="107"/>
      <c r="H2145" s="107"/>
      <c r="I2145" s="108"/>
      <c r="J2145" s="88" t="s">
        <v>1499</v>
      </c>
      <c r="K2145" s="89"/>
      <c r="L2145" s="89"/>
      <c r="M2145" s="90"/>
      <c r="N2145" s="88" t="s">
        <v>2642</v>
      </c>
      <c r="O2145" s="89"/>
      <c r="P2145" s="90"/>
      <c r="Q2145" s="133">
        <v>1997</v>
      </c>
      <c r="R2145" s="134"/>
      <c r="S2145" s="5" t="s">
        <v>2633</v>
      </c>
      <c r="T2145" s="6"/>
      <c r="U2145" s="8">
        <v>5</v>
      </c>
      <c r="V2145" s="5" t="s">
        <v>702</v>
      </c>
      <c r="W2145" s="12">
        <v>20124215</v>
      </c>
      <c r="X2145" s="6"/>
      <c r="Y2145" s="6"/>
    </row>
    <row r="2146" spans="1:25" ht="15" customHeight="1" x14ac:dyDescent="0.2">
      <c r="A2146" s="88" t="s">
        <v>2631</v>
      </c>
      <c r="B2146" s="90"/>
      <c r="C2146" s="88" t="s">
        <v>2646</v>
      </c>
      <c r="D2146" s="89"/>
      <c r="E2146" s="89"/>
      <c r="F2146" s="89"/>
      <c r="G2146" s="89"/>
      <c r="H2146" s="89"/>
      <c r="I2146" s="90"/>
      <c r="J2146" s="88" t="s">
        <v>1499</v>
      </c>
      <c r="K2146" s="89"/>
      <c r="L2146" s="89"/>
      <c r="M2146" s="90"/>
      <c r="N2146" s="88" t="s">
        <v>2642</v>
      </c>
      <c r="O2146" s="89"/>
      <c r="P2146" s="90"/>
      <c r="Q2146" s="133">
        <v>1997</v>
      </c>
      <c r="R2146" s="134"/>
      <c r="S2146" s="5" t="s">
        <v>2633</v>
      </c>
      <c r="T2146" s="6"/>
      <c r="U2146" s="8">
        <v>5</v>
      </c>
      <c r="V2146" s="5" t="s">
        <v>702</v>
      </c>
      <c r="W2146" s="12">
        <v>21618088</v>
      </c>
      <c r="X2146" s="6"/>
      <c r="Y2146" s="6"/>
    </row>
    <row r="2147" spans="1:25" ht="15" customHeight="1" x14ac:dyDescent="0.2">
      <c r="A2147" s="88" t="s">
        <v>2631</v>
      </c>
      <c r="B2147" s="90"/>
      <c r="C2147" s="88" t="s">
        <v>2647</v>
      </c>
      <c r="D2147" s="89"/>
      <c r="E2147" s="89"/>
      <c r="F2147" s="89"/>
      <c r="G2147" s="89"/>
      <c r="H2147" s="89"/>
      <c r="I2147" s="90"/>
      <c r="J2147" s="88" t="s">
        <v>1499</v>
      </c>
      <c r="K2147" s="89"/>
      <c r="L2147" s="89"/>
      <c r="M2147" s="90"/>
      <c r="N2147" s="88" t="s">
        <v>701</v>
      </c>
      <c r="O2147" s="89"/>
      <c r="P2147" s="90"/>
      <c r="Q2147" s="133">
        <v>1997</v>
      </c>
      <c r="R2147" s="134"/>
      <c r="S2147" s="5" t="s">
        <v>2633</v>
      </c>
      <c r="T2147" s="6"/>
      <c r="U2147" s="8">
        <v>5</v>
      </c>
      <c r="V2147" s="5" t="s">
        <v>702</v>
      </c>
      <c r="W2147" s="12">
        <v>19467812</v>
      </c>
      <c r="X2147" s="6"/>
      <c r="Y2147" s="6"/>
    </row>
    <row r="2148" spans="1:25" ht="15" customHeight="1" x14ac:dyDescent="0.2">
      <c r="A2148" s="88" t="s">
        <v>2631</v>
      </c>
      <c r="B2148" s="90"/>
      <c r="C2148" s="88" t="s">
        <v>2648</v>
      </c>
      <c r="D2148" s="90"/>
      <c r="E2148" s="106"/>
      <c r="F2148" s="107"/>
      <c r="G2148" s="107"/>
      <c r="H2148" s="107"/>
      <c r="I2148" s="108"/>
      <c r="J2148" s="88" t="s">
        <v>1499</v>
      </c>
      <c r="K2148" s="89"/>
      <c r="L2148" s="89"/>
      <c r="M2148" s="90"/>
      <c r="N2148" s="88" t="s">
        <v>701</v>
      </c>
      <c r="O2148" s="89"/>
      <c r="P2148" s="90"/>
      <c r="Q2148" s="133">
        <v>1997</v>
      </c>
      <c r="R2148" s="134"/>
      <c r="S2148" s="5" t="s">
        <v>2633</v>
      </c>
      <c r="T2148" s="6"/>
      <c r="U2148" s="8">
        <v>5</v>
      </c>
      <c r="V2148" s="5" t="s">
        <v>702</v>
      </c>
      <c r="W2148" s="12">
        <v>15849227</v>
      </c>
      <c r="X2148" s="6"/>
      <c r="Y2148" s="6"/>
    </row>
    <row r="2149" spans="1:25" ht="15" customHeight="1" x14ac:dyDescent="0.2">
      <c r="A2149" s="88" t="s">
        <v>2631</v>
      </c>
      <c r="B2149" s="90"/>
      <c r="C2149" s="88" t="s">
        <v>2649</v>
      </c>
      <c r="D2149" s="90"/>
      <c r="E2149" s="106"/>
      <c r="F2149" s="107"/>
      <c r="G2149" s="107"/>
      <c r="H2149" s="107"/>
      <c r="I2149" s="108"/>
      <c r="J2149" s="88" t="s">
        <v>1499</v>
      </c>
      <c r="K2149" s="89"/>
      <c r="L2149" s="89"/>
      <c r="M2149" s="90"/>
      <c r="N2149" s="88" t="s">
        <v>701</v>
      </c>
      <c r="O2149" s="89"/>
      <c r="P2149" s="90"/>
      <c r="Q2149" s="133">
        <v>1997</v>
      </c>
      <c r="R2149" s="134"/>
      <c r="S2149" s="5" t="s">
        <v>2633</v>
      </c>
      <c r="T2149" s="6"/>
      <c r="U2149" s="8">
        <v>5</v>
      </c>
      <c r="V2149" s="5" t="s">
        <v>702</v>
      </c>
      <c r="W2149" s="12">
        <v>17696407</v>
      </c>
      <c r="X2149" s="6"/>
      <c r="Y2149" s="6"/>
    </row>
    <row r="2150" spans="1:25" ht="15" customHeight="1" x14ac:dyDescent="0.2">
      <c r="A2150" s="88" t="s">
        <v>2631</v>
      </c>
      <c r="B2150" s="90"/>
      <c r="C2150" s="88" t="s">
        <v>2650</v>
      </c>
      <c r="D2150" s="90"/>
      <c r="E2150" s="106"/>
      <c r="F2150" s="107"/>
      <c r="G2150" s="107"/>
      <c r="H2150" s="107"/>
      <c r="I2150" s="108"/>
      <c r="J2150" s="88" t="s">
        <v>1499</v>
      </c>
      <c r="K2150" s="89"/>
      <c r="L2150" s="89"/>
      <c r="M2150" s="90"/>
      <c r="N2150" s="88" t="s">
        <v>701</v>
      </c>
      <c r="O2150" s="89"/>
      <c r="P2150" s="90"/>
      <c r="Q2150" s="133">
        <v>1997</v>
      </c>
      <c r="R2150" s="134"/>
      <c r="S2150" s="5" t="s">
        <v>2633</v>
      </c>
      <c r="T2150" s="6"/>
      <c r="U2150" s="8">
        <v>5</v>
      </c>
      <c r="V2150" s="5" t="s">
        <v>702</v>
      </c>
      <c r="W2150" s="12">
        <v>18987607</v>
      </c>
      <c r="X2150" s="6"/>
      <c r="Y2150" s="6"/>
    </row>
    <row r="2151" spans="1:25" ht="15" customHeight="1" x14ac:dyDescent="0.2">
      <c r="A2151" s="88" t="s">
        <v>2631</v>
      </c>
      <c r="B2151" s="90"/>
      <c r="C2151" s="88" t="s">
        <v>2651</v>
      </c>
      <c r="D2151" s="89"/>
      <c r="E2151" s="89"/>
      <c r="F2151" s="89"/>
      <c r="G2151" s="89"/>
      <c r="H2151" s="89"/>
      <c r="I2151" s="90"/>
      <c r="J2151" s="88" t="s">
        <v>1499</v>
      </c>
      <c r="K2151" s="89"/>
      <c r="L2151" s="89"/>
      <c r="M2151" s="90"/>
      <c r="N2151" s="88" t="s">
        <v>701</v>
      </c>
      <c r="O2151" s="89"/>
      <c r="P2151" s="90"/>
      <c r="Q2151" s="133">
        <v>1997</v>
      </c>
      <c r="R2151" s="134"/>
      <c r="S2151" s="5" t="s">
        <v>2633</v>
      </c>
      <c r="T2151" s="6"/>
      <c r="U2151" s="8">
        <v>5</v>
      </c>
      <c r="V2151" s="5" t="s">
        <v>702</v>
      </c>
      <c r="W2151" s="12">
        <v>19792819</v>
      </c>
      <c r="X2151" s="6"/>
      <c r="Y2151" s="6"/>
    </row>
    <row r="2152" spans="1:25" ht="15" customHeight="1" x14ac:dyDescent="0.2">
      <c r="A2152" s="88" t="s">
        <v>2631</v>
      </c>
      <c r="B2152" s="90"/>
      <c r="C2152" s="88" t="s">
        <v>2652</v>
      </c>
      <c r="D2152" s="90"/>
      <c r="E2152" s="106"/>
      <c r="F2152" s="107"/>
      <c r="G2152" s="107"/>
      <c r="H2152" s="107"/>
      <c r="I2152" s="108"/>
      <c r="J2152" s="88" t="s">
        <v>1499</v>
      </c>
      <c r="K2152" s="89"/>
      <c r="L2152" s="89"/>
      <c r="M2152" s="90"/>
      <c r="N2152" s="88" t="s">
        <v>701</v>
      </c>
      <c r="O2152" s="89"/>
      <c r="P2152" s="90"/>
      <c r="Q2152" s="133">
        <v>1997</v>
      </c>
      <c r="R2152" s="134"/>
      <c r="S2152" s="5" t="s">
        <v>2633</v>
      </c>
      <c r="T2152" s="6"/>
      <c r="U2152" s="8">
        <v>5</v>
      </c>
      <c r="V2152" s="5" t="s">
        <v>702</v>
      </c>
      <c r="W2152" s="12">
        <v>17140427</v>
      </c>
      <c r="X2152" s="6"/>
      <c r="Y2152" s="6"/>
    </row>
    <row r="2153" spans="1:25" ht="15" customHeight="1" x14ac:dyDescent="0.2">
      <c r="A2153" s="88" t="s">
        <v>2631</v>
      </c>
      <c r="B2153" s="90"/>
      <c r="C2153" s="88" t="s">
        <v>2653</v>
      </c>
      <c r="D2153" s="90"/>
      <c r="E2153" s="106"/>
      <c r="F2153" s="107"/>
      <c r="G2153" s="107"/>
      <c r="H2153" s="107"/>
      <c r="I2153" s="108"/>
      <c r="J2153" s="88" t="s">
        <v>1499</v>
      </c>
      <c r="K2153" s="89"/>
      <c r="L2153" s="89"/>
      <c r="M2153" s="90"/>
      <c r="N2153" s="88" t="s">
        <v>701</v>
      </c>
      <c r="O2153" s="89"/>
      <c r="P2153" s="90"/>
      <c r="Q2153" s="133">
        <v>1997</v>
      </c>
      <c r="R2153" s="134"/>
      <c r="S2153" s="5" t="s">
        <v>2633</v>
      </c>
      <c r="T2153" s="6"/>
      <c r="U2153" s="8">
        <v>5</v>
      </c>
      <c r="V2153" s="5" t="s">
        <v>702</v>
      </c>
      <c r="W2153" s="12">
        <v>18960523</v>
      </c>
      <c r="X2153" s="6"/>
      <c r="Y2153" s="6"/>
    </row>
    <row r="2154" spans="1:25" ht="15" customHeight="1" x14ac:dyDescent="0.2">
      <c r="A2154" s="88" t="s">
        <v>2631</v>
      </c>
      <c r="B2154" s="90"/>
      <c r="C2154" s="88" t="s">
        <v>2654</v>
      </c>
      <c r="D2154" s="90"/>
      <c r="E2154" s="106"/>
      <c r="F2154" s="107"/>
      <c r="G2154" s="107"/>
      <c r="H2154" s="107"/>
      <c r="I2154" s="108"/>
      <c r="J2154" s="88" t="s">
        <v>1499</v>
      </c>
      <c r="K2154" s="89"/>
      <c r="L2154" s="89"/>
      <c r="M2154" s="90"/>
      <c r="N2154" s="88" t="s">
        <v>701</v>
      </c>
      <c r="O2154" s="89"/>
      <c r="P2154" s="90"/>
      <c r="Q2154" s="133">
        <v>1997</v>
      </c>
      <c r="R2154" s="134"/>
      <c r="S2154" s="5" t="s">
        <v>2633</v>
      </c>
      <c r="T2154" s="6"/>
      <c r="U2154" s="8">
        <v>5</v>
      </c>
      <c r="V2154" s="5" t="s">
        <v>702</v>
      </c>
      <c r="W2154" s="12">
        <v>16913714</v>
      </c>
      <c r="X2154" s="6"/>
      <c r="Y2154" s="6"/>
    </row>
    <row r="2155" spans="1:25" ht="15" customHeight="1" x14ac:dyDescent="0.2">
      <c r="A2155" s="88" t="s">
        <v>2631</v>
      </c>
      <c r="B2155" s="90"/>
      <c r="C2155" s="88" t="s">
        <v>2655</v>
      </c>
      <c r="D2155" s="90"/>
      <c r="E2155" s="106"/>
      <c r="F2155" s="107"/>
      <c r="G2155" s="107"/>
      <c r="H2155" s="107"/>
      <c r="I2155" s="108"/>
      <c r="J2155" s="88" t="s">
        <v>1499</v>
      </c>
      <c r="K2155" s="89"/>
      <c r="L2155" s="89"/>
      <c r="M2155" s="90"/>
      <c r="N2155" s="88" t="s">
        <v>2642</v>
      </c>
      <c r="O2155" s="89"/>
      <c r="P2155" s="90"/>
      <c r="Q2155" s="133">
        <v>1997</v>
      </c>
      <c r="R2155" s="134"/>
      <c r="S2155" s="5" t="s">
        <v>2633</v>
      </c>
      <c r="T2155" s="6"/>
      <c r="U2155" s="8">
        <v>5</v>
      </c>
      <c r="V2155" s="5" t="s">
        <v>702</v>
      </c>
      <c r="W2155" s="12">
        <v>26265555</v>
      </c>
      <c r="X2155" s="6"/>
      <c r="Y2155" s="6"/>
    </row>
    <row r="2156" spans="1:25" ht="15" customHeight="1" x14ac:dyDescent="0.2">
      <c r="A2156" s="88" t="s">
        <v>2631</v>
      </c>
      <c r="B2156" s="90"/>
      <c r="C2156" s="88" t="s">
        <v>2656</v>
      </c>
      <c r="D2156" s="89"/>
      <c r="E2156" s="89"/>
      <c r="F2156" s="89"/>
      <c r="G2156" s="89"/>
      <c r="H2156" s="89"/>
      <c r="I2156" s="90"/>
      <c r="J2156" s="88" t="s">
        <v>1499</v>
      </c>
      <c r="K2156" s="89"/>
      <c r="L2156" s="89"/>
      <c r="M2156" s="90"/>
      <c r="N2156" s="88" t="s">
        <v>701</v>
      </c>
      <c r="O2156" s="89"/>
      <c r="P2156" s="90"/>
      <c r="Q2156" s="133">
        <v>1997</v>
      </c>
      <c r="R2156" s="134"/>
      <c r="S2156" s="5" t="s">
        <v>2633</v>
      </c>
      <c r="T2156" s="6"/>
      <c r="U2156" s="8">
        <v>5</v>
      </c>
      <c r="V2156" s="5" t="s">
        <v>702</v>
      </c>
      <c r="W2156" s="12">
        <v>23792099</v>
      </c>
      <c r="X2156" s="6"/>
      <c r="Y2156" s="6"/>
    </row>
    <row r="2157" spans="1:25" ht="15" customHeight="1" x14ac:dyDescent="0.2">
      <c r="A2157" s="88" t="s">
        <v>2631</v>
      </c>
      <c r="B2157" s="90"/>
      <c r="C2157" s="88" t="s">
        <v>2657</v>
      </c>
      <c r="D2157" s="89"/>
      <c r="E2157" s="89"/>
      <c r="F2157" s="89"/>
      <c r="G2157" s="89"/>
      <c r="H2157" s="89"/>
      <c r="I2157" s="90"/>
      <c r="J2157" s="88" t="s">
        <v>1499</v>
      </c>
      <c r="K2157" s="89"/>
      <c r="L2157" s="89"/>
      <c r="M2157" s="90"/>
      <c r="N2157" s="88" t="s">
        <v>701</v>
      </c>
      <c r="O2157" s="89"/>
      <c r="P2157" s="90"/>
      <c r="Q2157" s="133">
        <v>1997</v>
      </c>
      <c r="R2157" s="134"/>
      <c r="S2157" s="5" t="s">
        <v>2633</v>
      </c>
      <c r="T2157" s="6"/>
      <c r="U2157" s="8">
        <v>5</v>
      </c>
      <c r="V2157" s="5" t="s">
        <v>702</v>
      </c>
      <c r="W2157" s="12">
        <v>22137854</v>
      </c>
      <c r="X2157" s="6"/>
      <c r="Y2157" s="6"/>
    </row>
    <row r="2158" spans="1:25" ht="15" customHeight="1" x14ac:dyDescent="0.2">
      <c r="A2158" s="88" t="s">
        <v>2631</v>
      </c>
      <c r="B2158" s="90"/>
      <c r="C2158" s="88" t="s">
        <v>2658</v>
      </c>
      <c r="D2158" s="90"/>
      <c r="E2158" s="106"/>
      <c r="F2158" s="107"/>
      <c r="G2158" s="107"/>
      <c r="H2158" s="107"/>
      <c r="I2158" s="108"/>
      <c r="J2158" s="88" t="s">
        <v>1499</v>
      </c>
      <c r="K2158" s="89"/>
      <c r="L2158" s="89"/>
      <c r="M2158" s="90"/>
      <c r="N2158" s="88" t="s">
        <v>701</v>
      </c>
      <c r="O2158" s="89"/>
      <c r="P2158" s="90"/>
      <c r="Q2158" s="133">
        <v>1997</v>
      </c>
      <c r="R2158" s="134"/>
      <c r="S2158" s="5" t="s">
        <v>2633</v>
      </c>
      <c r="T2158" s="6"/>
      <c r="U2158" s="8">
        <v>5</v>
      </c>
      <c r="V2158" s="5" t="s">
        <v>702</v>
      </c>
      <c r="W2158" s="12">
        <v>18465710</v>
      </c>
      <c r="X2158" s="6"/>
      <c r="Y2158" s="6"/>
    </row>
    <row r="2159" spans="1:25" ht="15" customHeight="1" x14ac:dyDescent="0.2">
      <c r="A2159" s="88" t="s">
        <v>2631</v>
      </c>
      <c r="B2159" s="90"/>
      <c r="C2159" s="88" t="s">
        <v>2659</v>
      </c>
      <c r="D2159" s="90"/>
      <c r="E2159" s="106"/>
      <c r="F2159" s="107"/>
      <c r="G2159" s="107"/>
      <c r="H2159" s="107"/>
      <c r="I2159" s="108"/>
      <c r="J2159" s="88" t="s">
        <v>1499</v>
      </c>
      <c r="K2159" s="89"/>
      <c r="L2159" s="89"/>
      <c r="M2159" s="90"/>
      <c r="N2159" s="88" t="s">
        <v>701</v>
      </c>
      <c r="O2159" s="89"/>
      <c r="P2159" s="90"/>
      <c r="Q2159" s="133">
        <v>1997</v>
      </c>
      <c r="R2159" s="134"/>
      <c r="S2159" s="5" t="s">
        <v>2633</v>
      </c>
      <c r="T2159" s="6"/>
      <c r="U2159" s="8">
        <v>5</v>
      </c>
      <c r="V2159" s="5" t="s">
        <v>702</v>
      </c>
      <c r="W2159" s="12">
        <v>20614768</v>
      </c>
      <c r="X2159" s="6"/>
      <c r="Y2159" s="6"/>
    </row>
    <row r="2160" spans="1:25" ht="15" customHeight="1" x14ac:dyDescent="0.2">
      <c r="A2160" s="88" t="s">
        <v>2631</v>
      </c>
      <c r="B2160" s="90"/>
      <c r="C2160" s="88" t="s">
        <v>2660</v>
      </c>
      <c r="D2160" s="90"/>
      <c r="E2160" s="106"/>
      <c r="F2160" s="107"/>
      <c r="G2160" s="107"/>
      <c r="H2160" s="107"/>
      <c r="I2160" s="108"/>
      <c r="J2160" s="88" t="s">
        <v>1499</v>
      </c>
      <c r="K2160" s="89"/>
      <c r="L2160" s="89"/>
      <c r="M2160" s="90"/>
      <c r="N2160" s="88" t="s">
        <v>701</v>
      </c>
      <c r="O2160" s="89"/>
      <c r="P2160" s="90"/>
      <c r="Q2160" s="133">
        <v>1997</v>
      </c>
      <c r="R2160" s="134"/>
      <c r="S2160" s="5" t="s">
        <v>2633</v>
      </c>
      <c r="T2160" s="6"/>
      <c r="U2160" s="8">
        <v>5</v>
      </c>
      <c r="V2160" s="5" t="s">
        <v>702</v>
      </c>
      <c r="W2160" s="12">
        <v>17658672</v>
      </c>
      <c r="X2160" s="6"/>
      <c r="Y2160" s="6"/>
    </row>
    <row r="2161" spans="1:25" ht="15" customHeight="1" x14ac:dyDescent="0.2">
      <c r="A2161" s="88" t="s">
        <v>2631</v>
      </c>
      <c r="B2161" s="90"/>
      <c r="C2161" s="88" t="s">
        <v>2661</v>
      </c>
      <c r="D2161" s="90"/>
      <c r="E2161" s="106"/>
      <c r="F2161" s="107"/>
      <c r="G2161" s="107"/>
      <c r="H2161" s="107"/>
      <c r="I2161" s="108"/>
      <c r="J2161" s="88" t="s">
        <v>1499</v>
      </c>
      <c r="K2161" s="89"/>
      <c r="L2161" s="89"/>
      <c r="M2161" s="90"/>
      <c r="N2161" s="88" t="s">
        <v>701</v>
      </c>
      <c r="O2161" s="89"/>
      <c r="P2161" s="90"/>
      <c r="Q2161" s="133">
        <v>1997</v>
      </c>
      <c r="R2161" s="134"/>
      <c r="S2161" s="5" t="s">
        <v>2633</v>
      </c>
      <c r="T2161" s="6"/>
      <c r="U2161" s="8">
        <v>5</v>
      </c>
      <c r="V2161" s="5" t="s">
        <v>702</v>
      </c>
      <c r="W2161" s="12">
        <v>27024207</v>
      </c>
      <c r="X2161" s="6"/>
      <c r="Y2161" s="6"/>
    </row>
    <row r="2162" spans="1:25" ht="15" customHeight="1" x14ac:dyDescent="0.2">
      <c r="A2162" s="88" t="s">
        <v>2631</v>
      </c>
      <c r="B2162" s="90"/>
      <c r="C2162" s="88" t="s">
        <v>2662</v>
      </c>
      <c r="D2162" s="89"/>
      <c r="E2162" s="89"/>
      <c r="F2162" s="89"/>
      <c r="G2162" s="89"/>
      <c r="H2162" s="89"/>
      <c r="I2162" s="90"/>
      <c r="J2162" s="88" t="s">
        <v>1499</v>
      </c>
      <c r="K2162" s="89"/>
      <c r="L2162" s="89"/>
      <c r="M2162" s="90"/>
      <c r="N2162" s="88" t="s">
        <v>701</v>
      </c>
      <c r="O2162" s="89"/>
      <c r="P2162" s="90"/>
      <c r="Q2162" s="133">
        <v>1997</v>
      </c>
      <c r="R2162" s="134"/>
      <c r="S2162" s="5" t="s">
        <v>2633</v>
      </c>
      <c r="T2162" s="6"/>
      <c r="U2162" s="8">
        <v>5</v>
      </c>
      <c r="V2162" s="5" t="s">
        <v>702</v>
      </c>
      <c r="W2162" s="12">
        <v>12999945</v>
      </c>
      <c r="X2162" s="6"/>
      <c r="Y2162" s="6"/>
    </row>
    <row r="2163" spans="1:25" ht="15" customHeight="1" x14ac:dyDescent="0.2">
      <c r="A2163" s="88" t="s">
        <v>2631</v>
      </c>
      <c r="B2163" s="90"/>
      <c r="C2163" s="88" t="s">
        <v>2663</v>
      </c>
      <c r="D2163" s="89"/>
      <c r="E2163" s="89"/>
      <c r="F2163" s="89"/>
      <c r="G2163" s="89"/>
      <c r="H2163" s="89"/>
      <c r="I2163" s="90"/>
      <c r="J2163" s="88" t="s">
        <v>1499</v>
      </c>
      <c r="K2163" s="89"/>
      <c r="L2163" s="89"/>
      <c r="M2163" s="90"/>
      <c r="N2163" s="88" t="s">
        <v>701</v>
      </c>
      <c r="O2163" s="89"/>
      <c r="P2163" s="90"/>
      <c r="Q2163" s="133">
        <v>1997</v>
      </c>
      <c r="R2163" s="134"/>
      <c r="S2163" s="5" t="s">
        <v>2633</v>
      </c>
      <c r="T2163" s="6"/>
      <c r="U2163" s="8">
        <v>5</v>
      </c>
      <c r="V2163" s="5" t="s">
        <v>702</v>
      </c>
      <c r="W2163" s="12">
        <v>15388117</v>
      </c>
      <c r="X2163" s="6"/>
      <c r="Y2163" s="6"/>
    </row>
    <row r="2164" spans="1:25" ht="15" customHeight="1" x14ac:dyDescent="0.2">
      <c r="A2164" s="88" t="s">
        <v>2631</v>
      </c>
      <c r="B2164" s="90"/>
      <c r="C2164" s="88" t="s">
        <v>2664</v>
      </c>
      <c r="D2164" s="90"/>
      <c r="E2164" s="106"/>
      <c r="F2164" s="107"/>
      <c r="G2164" s="107"/>
      <c r="H2164" s="107"/>
      <c r="I2164" s="108"/>
      <c r="J2164" s="88" t="s">
        <v>1499</v>
      </c>
      <c r="K2164" s="89"/>
      <c r="L2164" s="89"/>
      <c r="M2164" s="90"/>
      <c r="N2164" s="88" t="s">
        <v>701</v>
      </c>
      <c r="O2164" s="89"/>
      <c r="P2164" s="90"/>
      <c r="Q2164" s="133">
        <v>1997</v>
      </c>
      <c r="R2164" s="134"/>
      <c r="S2164" s="5" t="s">
        <v>2633</v>
      </c>
      <c r="T2164" s="6"/>
      <c r="U2164" s="8">
        <v>5</v>
      </c>
      <c r="V2164" s="5" t="s">
        <v>702</v>
      </c>
      <c r="W2164" s="12">
        <v>12277506</v>
      </c>
      <c r="X2164" s="6"/>
      <c r="Y2164" s="6"/>
    </row>
    <row r="2165" spans="1:25" ht="15" customHeight="1" x14ac:dyDescent="0.2">
      <c r="A2165" s="88" t="s">
        <v>2631</v>
      </c>
      <c r="B2165" s="90"/>
      <c r="C2165" s="88" t="s">
        <v>2665</v>
      </c>
      <c r="D2165" s="89"/>
      <c r="E2165" s="89"/>
      <c r="F2165" s="89"/>
      <c r="G2165" s="89"/>
      <c r="H2165" s="89"/>
      <c r="I2165" s="90"/>
      <c r="J2165" s="88" t="s">
        <v>1499</v>
      </c>
      <c r="K2165" s="89"/>
      <c r="L2165" s="89"/>
      <c r="M2165" s="90"/>
      <c r="N2165" s="88" t="s">
        <v>701</v>
      </c>
      <c r="O2165" s="89"/>
      <c r="P2165" s="90"/>
      <c r="Q2165" s="133">
        <v>1997</v>
      </c>
      <c r="R2165" s="134"/>
      <c r="S2165" s="5" t="s">
        <v>2633</v>
      </c>
      <c r="T2165" s="6"/>
      <c r="U2165" s="8">
        <v>5</v>
      </c>
      <c r="V2165" s="5" t="s">
        <v>702</v>
      </c>
      <c r="W2165" s="12">
        <v>13689214</v>
      </c>
      <c r="X2165" s="6"/>
      <c r="Y2165" s="6"/>
    </row>
    <row r="2166" spans="1:25" ht="15" customHeight="1" x14ac:dyDescent="0.2">
      <c r="A2166" s="88" t="s">
        <v>2631</v>
      </c>
      <c r="B2166" s="90"/>
      <c r="C2166" s="88" t="s">
        <v>2666</v>
      </c>
      <c r="D2166" s="89"/>
      <c r="E2166" s="89"/>
      <c r="F2166" s="89"/>
      <c r="G2166" s="89"/>
      <c r="H2166" s="89"/>
      <c r="I2166" s="90"/>
      <c r="J2166" s="88" t="s">
        <v>1499</v>
      </c>
      <c r="K2166" s="89"/>
      <c r="L2166" s="89"/>
      <c r="M2166" s="90"/>
      <c r="N2166" s="88" t="s">
        <v>701</v>
      </c>
      <c r="O2166" s="89"/>
      <c r="P2166" s="90"/>
      <c r="Q2166" s="133">
        <v>1997</v>
      </c>
      <c r="R2166" s="134"/>
      <c r="S2166" s="5" t="s">
        <v>2633</v>
      </c>
      <c r="T2166" s="6"/>
      <c r="U2166" s="8">
        <v>5</v>
      </c>
      <c r="V2166" s="5" t="s">
        <v>702</v>
      </c>
      <c r="W2166" s="12">
        <v>12722107</v>
      </c>
      <c r="X2166" s="6"/>
      <c r="Y2166" s="6"/>
    </row>
    <row r="2167" spans="1:25" ht="15" customHeight="1" x14ac:dyDescent="0.2">
      <c r="A2167" s="88" t="s">
        <v>2631</v>
      </c>
      <c r="B2167" s="90"/>
      <c r="C2167" s="88" t="s">
        <v>2667</v>
      </c>
      <c r="D2167" s="89"/>
      <c r="E2167" s="89"/>
      <c r="F2167" s="89"/>
      <c r="G2167" s="89"/>
      <c r="H2167" s="89"/>
      <c r="I2167" s="90"/>
      <c r="J2167" s="88" t="s">
        <v>1499</v>
      </c>
      <c r="K2167" s="89"/>
      <c r="L2167" s="89"/>
      <c r="M2167" s="90"/>
      <c r="N2167" s="88" t="s">
        <v>701</v>
      </c>
      <c r="O2167" s="89"/>
      <c r="P2167" s="90"/>
      <c r="Q2167" s="133">
        <v>1997</v>
      </c>
      <c r="R2167" s="134"/>
      <c r="S2167" s="5" t="s">
        <v>2633</v>
      </c>
      <c r="T2167" s="6"/>
      <c r="U2167" s="8">
        <v>5</v>
      </c>
      <c r="V2167" s="5" t="s">
        <v>702</v>
      </c>
      <c r="W2167" s="12">
        <v>13750174</v>
      </c>
      <c r="X2167" s="6"/>
      <c r="Y2167" s="6"/>
    </row>
    <row r="2168" spans="1:25" ht="15" customHeight="1" x14ac:dyDescent="0.2">
      <c r="A2168" s="88" t="s">
        <v>2631</v>
      </c>
      <c r="B2168" s="90"/>
      <c r="C2168" s="88" t="s">
        <v>2668</v>
      </c>
      <c r="D2168" s="90"/>
      <c r="E2168" s="106"/>
      <c r="F2168" s="107"/>
      <c r="G2168" s="107"/>
      <c r="H2168" s="107"/>
      <c r="I2168" s="108"/>
      <c r="J2168" s="88" t="s">
        <v>1499</v>
      </c>
      <c r="K2168" s="89"/>
      <c r="L2168" s="89"/>
      <c r="M2168" s="90"/>
      <c r="N2168" s="88" t="s">
        <v>701</v>
      </c>
      <c r="O2168" s="89"/>
      <c r="P2168" s="90"/>
      <c r="Q2168" s="133">
        <v>1997</v>
      </c>
      <c r="R2168" s="134"/>
      <c r="S2168" s="5" t="s">
        <v>2633</v>
      </c>
      <c r="T2168" s="6"/>
      <c r="U2168" s="8">
        <v>5</v>
      </c>
      <c r="V2168" s="5" t="s">
        <v>702</v>
      </c>
      <c r="W2168" s="12">
        <v>11547852</v>
      </c>
      <c r="X2168" s="6"/>
      <c r="Y2168" s="6"/>
    </row>
    <row r="2169" spans="1:25" ht="15" customHeight="1" x14ac:dyDescent="0.2">
      <c r="A2169" s="88" t="s">
        <v>2631</v>
      </c>
      <c r="B2169" s="90"/>
      <c r="C2169" s="88" t="s">
        <v>2669</v>
      </c>
      <c r="D2169" s="89"/>
      <c r="E2169" s="89"/>
      <c r="F2169" s="89"/>
      <c r="G2169" s="89"/>
      <c r="H2169" s="89"/>
      <c r="I2169" s="90"/>
      <c r="J2169" s="88" t="s">
        <v>1499</v>
      </c>
      <c r="K2169" s="89"/>
      <c r="L2169" s="89"/>
      <c r="M2169" s="90"/>
      <c r="N2169" s="88" t="s">
        <v>701</v>
      </c>
      <c r="O2169" s="89"/>
      <c r="P2169" s="90"/>
      <c r="Q2169" s="133">
        <v>1997</v>
      </c>
      <c r="R2169" s="134"/>
      <c r="S2169" s="5" t="s">
        <v>2633</v>
      </c>
      <c r="T2169" s="6"/>
      <c r="U2169" s="8">
        <v>5</v>
      </c>
      <c r="V2169" s="5" t="s">
        <v>702</v>
      </c>
      <c r="W2169" s="12">
        <v>16247573</v>
      </c>
      <c r="X2169" s="6"/>
      <c r="Y2169" s="6"/>
    </row>
    <row r="2170" spans="1:25" ht="15" customHeight="1" x14ac:dyDescent="0.2">
      <c r="A2170" s="88" t="s">
        <v>2631</v>
      </c>
      <c r="B2170" s="90"/>
      <c r="C2170" s="88" t="s">
        <v>2670</v>
      </c>
      <c r="D2170" s="89"/>
      <c r="E2170" s="89"/>
      <c r="F2170" s="89"/>
      <c r="G2170" s="89"/>
      <c r="H2170" s="89"/>
      <c r="I2170" s="90"/>
      <c r="J2170" s="88" t="s">
        <v>1499</v>
      </c>
      <c r="K2170" s="89"/>
      <c r="L2170" s="89"/>
      <c r="M2170" s="90"/>
      <c r="N2170" s="88" t="s">
        <v>701</v>
      </c>
      <c r="O2170" s="89"/>
      <c r="P2170" s="90"/>
      <c r="Q2170" s="133">
        <v>1997</v>
      </c>
      <c r="R2170" s="134"/>
      <c r="S2170" s="5" t="s">
        <v>2633</v>
      </c>
      <c r="T2170" s="6"/>
      <c r="U2170" s="8">
        <v>5</v>
      </c>
      <c r="V2170" s="5" t="s">
        <v>702</v>
      </c>
      <c r="W2170" s="12">
        <v>12411404</v>
      </c>
      <c r="X2170" s="6"/>
      <c r="Y2170" s="6"/>
    </row>
    <row r="2171" spans="1:25" ht="15" customHeight="1" x14ac:dyDescent="0.2">
      <c r="A2171" s="88" t="s">
        <v>2631</v>
      </c>
      <c r="B2171" s="90"/>
      <c r="C2171" s="88" t="s">
        <v>2671</v>
      </c>
      <c r="D2171" s="89"/>
      <c r="E2171" s="89"/>
      <c r="F2171" s="89"/>
      <c r="G2171" s="89"/>
      <c r="H2171" s="89"/>
      <c r="I2171" s="90"/>
      <c r="J2171" s="88" t="s">
        <v>1499</v>
      </c>
      <c r="K2171" s="89"/>
      <c r="L2171" s="89"/>
      <c r="M2171" s="90"/>
      <c r="N2171" s="88" t="s">
        <v>701</v>
      </c>
      <c r="O2171" s="89"/>
      <c r="P2171" s="90"/>
      <c r="Q2171" s="133">
        <v>1997</v>
      </c>
      <c r="R2171" s="134"/>
      <c r="S2171" s="5" t="s">
        <v>2633</v>
      </c>
      <c r="T2171" s="6"/>
      <c r="U2171" s="8">
        <v>5</v>
      </c>
      <c r="V2171" s="5" t="s">
        <v>702</v>
      </c>
      <c r="W2171" s="12">
        <v>14921681</v>
      </c>
      <c r="X2171" s="6"/>
      <c r="Y2171" s="6"/>
    </row>
    <row r="2172" spans="1:25" ht="15" customHeight="1" x14ac:dyDescent="0.2">
      <c r="A2172" s="88" t="s">
        <v>2631</v>
      </c>
      <c r="B2172" s="90"/>
      <c r="C2172" s="88" t="s">
        <v>2672</v>
      </c>
      <c r="D2172" s="90"/>
      <c r="E2172" s="106"/>
      <c r="F2172" s="107"/>
      <c r="G2172" s="107"/>
      <c r="H2172" s="107"/>
      <c r="I2172" s="108"/>
      <c r="J2172" s="88" t="s">
        <v>1499</v>
      </c>
      <c r="K2172" s="89"/>
      <c r="L2172" s="89"/>
      <c r="M2172" s="90"/>
      <c r="N2172" s="88" t="s">
        <v>701</v>
      </c>
      <c r="O2172" s="89"/>
      <c r="P2172" s="90"/>
      <c r="Q2172" s="133">
        <v>1997</v>
      </c>
      <c r="R2172" s="134"/>
      <c r="S2172" s="5" t="s">
        <v>2633</v>
      </c>
      <c r="T2172" s="6"/>
      <c r="U2172" s="8">
        <v>5</v>
      </c>
      <c r="V2172" s="5" t="s">
        <v>702</v>
      </c>
      <c r="W2172" s="12">
        <v>12993250</v>
      </c>
      <c r="X2172" s="6"/>
      <c r="Y2172" s="6"/>
    </row>
    <row r="2173" spans="1:25" ht="15" customHeight="1" x14ac:dyDescent="0.2">
      <c r="A2173" s="88" t="s">
        <v>2631</v>
      </c>
      <c r="B2173" s="90"/>
      <c r="C2173" s="88" t="s">
        <v>2673</v>
      </c>
      <c r="D2173" s="89"/>
      <c r="E2173" s="89"/>
      <c r="F2173" s="89"/>
      <c r="G2173" s="89"/>
      <c r="H2173" s="89"/>
      <c r="I2173" s="90"/>
      <c r="J2173" s="88" t="s">
        <v>1499</v>
      </c>
      <c r="K2173" s="89"/>
      <c r="L2173" s="89"/>
      <c r="M2173" s="90"/>
      <c r="N2173" s="88" t="s">
        <v>701</v>
      </c>
      <c r="O2173" s="89"/>
      <c r="P2173" s="90"/>
      <c r="Q2173" s="133">
        <v>1997</v>
      </c>
      <c r="R2173" s="134"/>
      <c r="S2173" s="5" t="s">
        <v>2633</v>
      </c>
      <c r="T2173" s="6"/>
      <c r="U2173" s="8">
        <v>5</v>
      </c>
      <c r="V2173" s="5" t="s">
        <v>702</v>
      </c>
      <c r="W2173" s="12">
        <v>15334938</v>
      </c>
      <c r="X2173" s="6"/>
      <c r="Y2173" s="6"/>
    </row>
    <row r="2174" spans="1:25" ht="15" customHeight="1" x14ac:dyDescent="0.2">
      <c r="A2174" s="88" t="s">
        <v>2631</v>
      </c>
      <c r="B2174" s="90"/>
      <c r="C2174" s="88" t="s">
        <v>2674</v>
      </c>
      <c r="D2174" s="90"/>
      <c r="E2174" s="106"/>
      <c r="F2174" s="107"/>
      <c r="G2174" s="107"/>
      <c r="H2174" s="107"/>
      <c r="I2174" s="108"/>
      <c r="J2174" s="88" t="s">
        <v>1499</v>
      </c>
      <c r="K2174" s="89"/>
      <c r="L2174" s="89"/>
      <c r="M2174" s="90"/>
      <c r="N2174" s="88" t="s">
        <v>701</v>
      </c>
      <c r="O2174" s="89"/>
      <c r="P2174" s="90"/>
      <c r="Q2174" s="133">
        <v>1997</v>
      </c>
      <c r="R2174" s="134"/>
      <c r="S2174" s="5" t="s">
        <v>2633</v>
      </c>
      <c r="T2174" s="6"/>
      <c r="U2174" s="8">
        <v>5</v>
      </c>
      <c r="V2174" s="5" t="s">
        <v>702</v>
      </c>
      <c r="W2174" s="12">
        <v>12338466</v>
      </c>
      <c r="X2174" s="6"/>
      <c r="Y2174" s="6"/>
    </row>
    <row r="2175" spans="1:25" ht="15" customHeight="1" x14ac:dyDescent="0.2">
      <c r="A2175" s="88" t="s">
        <v>2631</v>
      </c>
      <c r="B2175" s="90"/>
      <c r="C2175" s="88" t="s">
        <v>2675</v>
      </c>
      <c r="D2175" s="89"/>
      <c r="E2175" s="89"/>
      <c r="F2175" s="89"/>
      <c r="G2175" s="89"/>
      <c r="H2175" s="89"/>
      <c r="I2175" s="90"/>
      <c r="J2175" s="88" t="s">
        <v>1499</v>
      </c>
      <c r="K2175" s="89"/>
      <c r="L2175" s="89"/>
      <c r="M2175" s="90"/>
      <c r="N2175" s="88" t="s">
        <v>701</v>
      </c>
      <c r="O2175" s="89"/>
      <c r="P2175" s="90"/>
      <c r="Q2175" s="133">
        <v>1997</v>
      </c>
      <c r="R2175" s="134"/>
      <c r="S2175" s="5" t="s">
        <v>2633</v>
      </c>
      <c r="T2175" s="6"/>
      <c r="U2175" s="8">
        <v>5</v>
      </c>
      <c r="V2175" s="5" t="s">
        <v>702</v>
      </c>
      <c r="W2175" s="12">
        <v>19480289</v>
      </c>
      <c r="X2175" s="6"/>
      <c r="Y2175" s="6"/>
    </row>
    <row r="2176" spans="1:25" ht="15" customHeight="1" x14ac:dyDescent="0.2">
      <c r="A2176" s="88" t="s">
        <v>2631</v>
      </c>
      <c r="B2176" s="90"/>
      <c r="C2176" s="88" t="s">
        <v>2676</v>
      </c>
      <c r="D2176" s="89"/>
      <c r="E2176" s="89"/>
      <c r="F2176" s="89"/>
      <c r="G2176" s="89"/>
      <c r="H2176" s="89"/>
      <c r="I2176" s="90"/>
      <c r="J2176" s="88" t="s">
        <v>1499</v>
      </c>
      <c r="K2176" s="89"/>
      <c r="L2176" s="89"/>
      <c r="M2176" s="90"/>
      <c r="N2176" s="88" t="s">
        <v>701</v>
      </c>
      <c r="O2176" s="89"/>
      <c r="P2176" s="90"/>
      <c r="Q2176" s="133">
        <v>1997</v>
      </c>
      <c r="R2176" s="134"/>
      <c r="S2176" s="5" t="s">
        <v>2633</v>
      </c>
      <c r="T2176" s="6"/>
      <c r="U2176" s="8">
        <v>5</v>
      </c>
      <c r="V2176" s="5" t="s">
        <v>702</v>
      </c>
      <c r="W2176" s="12">
        <v>14523031</v>
      </c>
      <c r="X2176" s="6"/>
      <c r="Y2176" s="6"/>
    </row>
    <row r="2177" spans="1:25" ht="15" customHeight="1" x14ac:dyDescent="0.2">
      <c r="A2177" s="88" t="s">
        <v>2631</v>
      </c>
      <c r="B2177" s="90"/>
      <c r="C2177" s="88" t="s">
        <v>2677</v>
      </c>
      <c r="D2177" s="89"/>
      <c r="E2177" s="89"/>
      <c r="F2177" s="89"/>
      <c r="G2177" s="89"/>
      <c r="H2177" s="89"/>
      <c r="I2177" s="90"/>
      <c r="J2177" s="88" t="s">
        <v>1499</v>
      </c>
      <c r="K2177" s="89"/>
      <c r="L2177" s="89"/>
      <c r="M2177" s="90"/>
      <c r="N2177" s="88" t="s">
        <v>701</v>
      </c>
      <c r="O2177" s="89"/>
      <c r="P2177" s="90"/>
      <c r="Q2177" s="133">
        <v>1997</v>
      </c>
      <c r="R2177" s="134"/>
      <c r="S2177" s="5" t="s">
        <v>2633</v>
      </c>
      <c r="T2177" s="6"/>
      <c r="U2177" s="8">
        <v>5</v>
      </c>
      <c r="V2177" s="5" t="s">
        <v>702</v>
      </c>
      <c r="W2177" s="12">
        <v>16193709</v>
      </c>
      <c r="X2177" s="6"/>
      <c r="Y2177" s="6"/>
    </row>
    <row r="2178" spans="1:25" ht="15" customHeight="1" x14ac:dyDescent="0.2">
      <c r="A2178" s="88" t="s">
        <v>2631</v>
      </c>
      <c r="B2178" s="90"/>
      <c r="C2178" s="88" t="s">
        <v>2678</v>
      </c>
      <c r="D2178" s="90"/>
      <c r="E2178" s="106"/>
      <c r="F2178" s="107"/>
      <c r="G2178" s="107"/>
      <c r="H2178" s="107"/>
      <c r="I2178" s="108"/>
      <c r="J2178" s="88" t="s">
        <v>1499</v>
      </c>
      <c r="K2178" s="89"/>
      <c r="L2178" s="89"/>
      <c r="M2178" s="90"/>
      <c r="N2178" s="88" t="s">
        <v>701</v>
      </c>
      <c r="O2178" s="89"/>
      <c r="P2178" s="90"/>
      <c r="Q2178" s="133">
        <v>1997</v>
      </c>
      <c r="R2178" s="134"/>
      <c r="S2178" s="5" t="s">
        <v>2633</v>
      </c>
      <c r="T2178" s="6"/>
      <c r="U2178" s="8">
        <v>5</v>
      </c>
      <c r="V2178" s="5" t="s">
        <v>702</v>
      </c>
      <c r="W2178" s="12">
        <v>14301187</v>
      </c>
      <c r="X2178" s="6"/>
      <c r="Y2178" s="6"/>
    </row>
    <row r="2179" spans="1:25" ht="15" customHeight="1" x14ac:dyDescent="0.2">
      <c r="A2179" s="88" t="s">
        <v>2631</v>
      </c>
      <c r="B2179" s="90"/>
      <c r="C2179" s="88" t="s">
        <v>2679</v>
      </c>
      <c r="D2179" s="89"/>
      <c r="E2179" s="89"/>
      <c r="F2179" s="89"/>
      <c r="G2179" s="89"/>
      <c r="H2179" s="89"/>
      <c r="I2179" s="90"/>
      <c r="J2179" s="88" t="s">
        <v>1499</v>
      </c>
      <c r="K2179" s="89"/>
      <c r="L2179" s="89"/>
      <c r="M2179" s="90"/>
      <c r="N2179" s="88" t="s">
        <v>701</v>
      </c>
      <c r="O2179" s="89"/>
      <c r="P2179" s="90"/>
      <c r="Q2179" s="133">
        <v>1997</v>
      </c>
      <c r="R2179" s="134"/>
      <c r="S2179" s="5" t="s">
        <v>2633</v>
      </c>
      <c r="T2179" s="6"/>
      <c r="U2179" s="8">
        <v>5</v>
      </c>
      <c r="V2179" s="5" t="s">
        <v>702</v>
      </c>
      <c r="W2179" s="12">
        <v>19723740</v>
      </c>
      <c r="X2179" s="6"/>
      <c r="Y2179" s="6"/>
    </row>
    <row r="2180" spans="1:25" ht="15" customHeight="1" x14ac:dyDescent="0.2">
      <c r="A2180" s="88" t="s">
        <v>2631</v>
      </c>
      <c r="B2180" s="90"/>
      <c r="C2180" s="88" t="s">
        <v>2680</v>
      </c>
      <c r="D2180" s="90"/>
      <c r="E2180" s="106"/>
      <c r="F2180" s="107"/>
      <c r="G2180" s="107"/>
      <c r="H2180" s="107"/>
      <c r="I2180" s="108"/>
      <c r="J2180" s="88" t="s">
        <v>1499</v>
      </c>
      <c r="K2180" s="89"/>
      <c r="L2180" s="89"/>
      <c r="M2180" s="90"/>
      <c r="N2180" s="88" t="s">
        <v>701</v>
      </c>
      <c r="O2180" s="89"/>
      <c r="P2180" s="90"/>
      <c r="Q2180" s="133">
        <v>1997</v>
      </c>
      <c r="R2180" s="134"/>
      <c r="S2180" s="5" t="s">
        <v>2633</v>
      </c>
      <c r="T2180" s="6"/>
      <c r="U2180" s="8">
        <v>5</v>
      </c>
      <c r="V2180" s="5" t="s">
        <v>702</v>
      </c>
      <c r="W2180" s="12">
        <v>14916812</v>
      </c>
      <c r="X2180" s="6"/>
      <c r="Y2180" s="6"/>
    </row>
    <row r="2181" spans="1:25" ht="15" customHeight="1" x14ac:dyDescent="0.2">
      <c r="A2181" s="88" t="s">
        <v>2631</v>
      </c>
      <c r="B2181" s="90"/>
      <c r="C2181" s="88" t="s">
        <v>2681</v>
      </c>
      <c r="D2181" s="89"/>
      <c r="E2181" s="89"/>
      <c r="F2181" s="89"/>
      <c r="G2181" s="89"/>
      <c r="H2181" s="89"/>
      <c r="I2181" s="90"/>
      <c r="J2181" s="88" t="s">
        <v>1499</v>
      </c>
      <c r="K2181" s="89"/>
      <c r="L2181" s="89"/>
      <c r="M2181" s="90"/>
      <c r="N2181" s="88" t="s">
        <v>701</v>
      </c>
      <c r="O2181" s="89"/>
      <c r="P2181" s="90"/>
      <c r="Q2181" s="133">
        <v>1997</v>
      </c>
      <c r="R2181" s="134"/>
      <c r="S2181" s="5" t="s">
        <v>2633</v>
      </c>
      <c r="T2181" s="6"/>
      <c r="U2181" s="8">
        <v>5</v>
      </c>
      <c r="V2181" s="5" t="s">
        <v>702</v>
      </c>
      <c r="W2181" s="12">
        <v>16759123</v>
      </c>
      <c r="X2181" s="6"/>
      <c r="Y2181" s="6"/>
    </row>
    <row r="2182" spans="1:25" ht="15" customHeight="1" x14ac:dyDescent="0.2">
      <c r="A2182" s="88" t="s">
        <v>2631</v>
      </c>
      <c r="B2182" s="90"/>
      <c r="C2182" s="88" t="s">
        <v>2682</v>
      </c>
      <c r="D2182" s="90"/>
      <c r="E2182" s="106"/>
      <c r="F2182" s="107"/>
      <c r="G2182" s="107"/>
      <c r="H2182" s="107"/>
      <c r="I2182" s="108"/>
      <c r="J2182" s="88" t="s">
        <v>1499</v>
      </c>
      <c r="K2182" s="89"/>
      <c r="L2182" s="89"/>
      <c r="M2182" s="90"/>
      <c r="N2182" s="88" t="s">
        <v>701</v>
      </c>
      <c r="O2182" s="89"/>
      <c r="P2182" s="90"/>
      <c r="Q2182" s="133">
        <v>1997</v>
      </c>
      <c r="R2182" s="134"/>
      <c r="S2182" s="5" t="s">
        <v>2633</v>
      </c>
      <c r="T2182" s="6"/>
      <c r="U2182" s="8">
        <v>5</v>
      </c>
      <c r="V2182" s="5" t="s">
        <v>106</v>
      </c>
      <c r="W2182" s="12">
        <v>13890060</v>
      </c>
      <c r="X2182" s="6"/>
      <c r="Y2182" s="6"/>
    </row>
    <row r="2183" spans="1:25" ht="15" customHeight="1" x14ac:dyDescent="0.2">
      <c r="A2183" s="88" t="s">
        <v>2631</v>
      </c>
      <c r="B2183" s="90"/>
      <c r="C2183" s="88" t="s">
        <v>2683</v>
      </c>
      <c r="D2183" s="89"/>
      <c r="E2183" s="89"/>
      <c r="F2183" s="89"/>
      <c r="G2183" s="89"/>
      <c r="H2183" s="89"/>
      <c r="I2183" s="90"/>
      <c r="J2183" s="88" t="s">
        <v>1499</v>
      </c>
      <c r="K2183" s="89"/>
      <c r="L2183" s="89"/>
      <c r="M2183" s="90"/>
      <c r="N2183" s="88" t="s">
        <v>701</v>
      </c>
      <c r="O2183" s="89"/>
      <c r="P2183" s="90"/>
      <c r="Q2183" s="133">
        <v>1997</v>
      </c>
      <c r="R2183" s="134"/>
      <c r="S2183" s="5" t="s">
        <v>2633</v>
      </c>
      <c r="T2183" s="6"/>
      <c r="U2183" s="8">
        <v>5</v>
      </c>
      <c r="V2183" s="5" t="s">
        <v>702</v>
      </c>
      <c r="W2183" s="12">
        <v>18056409</v>
      </c>
      <c r="X2183" s="6"/>
      <c r="Y2183" s="6"/>
    </row>
    <row r="2184" spans="1:25" ht="15" customHeight="1" x14ac:dyDescent="0.2">
      <c r="A2184" s="88" t="s">
        <v>2631</v>
      </c>
      <c r="B2184" s="90"/>
      <c r="C2184" s="88" t="s">
        <v>2684</v>
      </c>
      <c r="D2184" s="89"/>
      <c r="E2184" s="89"/>
      <c r="F2184" s="89"/>
      <c r="G2184" s="89"/>
      <c r="H2184" s="89"/>
      <c r="I2184" s="90"/>
      <c r="J2184" s="88" t="s">
        <v>1499</v>
      </c>
      <c r="K2184" s="89"/>
      <c r="L2184" s="89"/>
      <c r="M2184" s="90"/>
      <c r="N2184" s="88" t="s">
        <v>701</v>
      </c>
      <c r="O2184" s="89"/>
      <c r="P2184" s="90"/>
      <c r="Q2184" s="133">
        <v>1997</v>
      </c>
      <c r="R2184" s="134"/>
      <c r="S2184" s="5" t="s">
        <v>2633</v>
      </c>
      <c r="T2184" s="6"/>
      <c r="U2184" s="8">
        <v>5</v>
      </c>
      <c r="V2184" s="5" t="s">
        <v>702</v>
      </c>
      <c r="W2184" s="12">
        <v>15841011</v>
      </c>
      <c r="X2184" s="6"/>
      <c r="Y2184" s="6"/>
    </row>
    <row r="2185" spans="1:25" ht="15" customHeight="1" x14ac:dyDescent="0.2">
      <c r="A2185" s="88" t="s">
        <v>2631</v>
      </c>
      <c r="B2185" s="90"/>
      <c r="C2185" s="88" t="s">
        <v>2685</v>
      </c>
      <c r="D2185" s="89"/>
      <c r="E2185" s="89"/>
      <c r="F2185" s="89"/>
      <c r="G2185" s="89"/>
      <c r="H2185" s="89"/>
      <c r="I2185" s="90"/>
      <c r="J2185" s="88" t="s">
        <v>1499</v>
      </c>
      <c r="K2185" s="89"/>
      <c r="L2185" s="89"/>
      <c r="M2185" s="90"/>
      <c r="N2185" s="88" t="s">
        <v>701</v>
      </c>
      <c r="O2185" s="89"/>
      <c r="P2185" s="90"/>
      <c r="Q2185" s="133">
        <v>1997</v>
      </c>
      <c r="R2185" s="134"/>
      <c r="S2185" s="5" t="s">
        <v>2633</v>
      </c>
      <c r="T2185" s="6"/>
      <c r="U2185" s="8">
        <v>5</v>
      </c>
      <c r="V2185" s="5" t="s">
        <v>702</v>
      </c>
      <c r="W2185" s="12">
        <v>17464825</v>
      </c>
      <c r="X2185" s="6"/>
      <c r="Y2185" s="6"/>
    </row>
    <row r="2186" spans="1:25" ht="15" customHeight="1" x14ac:dyDescent="0.2">
      <c r="A2186" s="88" t="s">
        <v>2631</v>
      </c>
      <c r="B2186" s="90"/>
      <c r="C2186" s="88" t="s">
        <v>2686</v>
      </c>
      <c r="D2186" s="89"/>
      <c r="E2186" s="89"/>
      <c r="F2186" s="89"/>
      <c r="G2186" s="89"/>
      <c r="H2186" s="89"/>
      <c r="I2186" s="90"/>
      <c r="J2186" s="88" t="s">
        <v>1499</v>
      </c>
      <c r="K2186" s="89"/>
      <c r="L2186" s="89"/>
      <c r="M2186" s="90"/>
      <c r="N2186" s="88" t="s">
        <v>701</v>
      </c>
      <c r="O2186" s="89"/>
      <c r="P2186" s="90"/>
      <c r="Q2186" s="133">
        <v>1997</v>
      </c>
      <c r="R2186" s="134"/>
      <c r="S2186" s="5" t="s">
        <v>2633</v>
      </c>
      <c r="T2186" s="6"/>
      <c r="U2186" s="8">
        <v>5</v>
      </c>
      <c r="V2186" s="5" t="s">
        <v>702</v>
      </c>
      <c r="W2186" s="12">
        <v>15207431</v>
      </c>
      <c r="X2186" s="6"/>
      <c r="Y2186" s="6"/>
    </row>
    <row r="2187" spans="1:25" ht="15" customHeight="1" x14ac:dyDescent="0.2">
      <c r="A2187" s="88" t="s">
        <v>2631</v>
      </c>
      <c r="B2187" s="90"/>
      <c r="C2187" s="88" t="s">
        <v>2687</v>
      </c>
      <c r="D2187" s="89"/>
      <c r="E2187" s="89"/>
      <c r="F2187" s="89"/>
      <c r="G2187" s="89"/>
      <c r="H2187" s="89"/>
      <c r="I2187" s="90"/>
      <c r="J2187" s="88" t="s">
        <v>1499</v>
      </c>
      <c r="K2187" s="89"/>
      <c r="L2187" s="89"/>
      <c r="M2187" s="90"/>
      <c r="N2187" s="88" t="s">
        <v>701</v>
      </c>
      <c r="O2187" s="89"/>
      <c r="P2187" s="90"/>
      <c r="Q2187" s="133">
        <v>1997</v>
      </c>
      <c r="R2187" s="134"/>
      <c r="S2187" s="5" t="s">
        <v>2633</v>
      </c>
      <c r="T2187" s="6"/>
      <c r="U2187" s="8">
        <v>5</v>
      </c>
      <c r="V2187" s="5" t="s">
        <v>702</v>
      </c>
      <c r="W2187" s="12">
        <v>18030238</v>
      </c>
      <c r="X2187" s="6"/>
      <c r="Y2187" s="6"/>
    </row>
    <row r="2188" spans="1:25" ht="15" customHeight="1" x14ac:dyDescent="0.2">
      <c r="A2188" s="88" t="s">
        <v>2631</v>
      </c>
      <c r="B2188" s="90"/>
      <c r="C2188" s="88" t="s">
        <v>2688</v>
      </c>
      <c r="D2188" s="89"/>
      <c r="E2188" s="89"/>
      <c r="F2188" s="89"/>
      <c r="G2188" s="89"/>
      <c r="H2188" s="89"/>
      <c r="I2188" s="90"/>
      <c r="J2188" s="88" t="s">
        <v>1499</v>
      </c>
      <c r="K2188" s="89"/>
      <c r="L2188" s="89"/>
      <c r="M2188" s="90"/>
      <c r="N2188" s="88" t="s">
        <v>701</v>
      </c>
      <c r="O2188" s="89"/>
      <c r="P2188" s="90"/>
      <c r="Q2188" s="133">
        <v>1997</v>
      </c>
      <c r="R2188" s="134"/>
      <c r="S2188" s="5" t="s">
        <v>2633</v>
      </c>
      <c r="T2188" s="6"/>
      <c r="U2188" s="8">
        <v>5</v>
      </c>
      <c r="V2188" s="5" t="s">
        <v>702</v>
      </c>
      <c r="W2188" s="12">
        <v>21494232</v>
      </c>
      <c r="X2188" s="6"/>
      <c r="Y2188" s="6"/>
    </row>
    <row r="2189" spans="1:25" ht="15" customHeight="1" x14ac:dyDescent="0.2">
      <c r="A2189" s="88" t="s">
        <v>2631</v>
      </c>
      <c r="B2189" s="90"/>
      <c r="C2189" s="88" t="s">
        <v>2689</v>
      </c>
      <c r="D2189" s="89"/>
      <c r="E2189" s="89"/>
      <c r="F2189" s="89"/>
      <c r="G2189" s="89"/>
      <c r="H2189" s="89"/>
      <c r="I2189" s="90"/>
      <c r="J2189" s="88" t="s">
        <v>1499</v>
      </c>
      <c r="K2189" s="89"/>
      <c r="L2189" s="89"/>
      <c r="M2189" s="90"/>
      <c r="N2189" s="88" t="s">
        <v>701</v>
      </c>
      <c r="O2189" s="89"/>
      <c r="P2189" s="90"/>
      <c r="Q2189" s="133">
        <v>1997</v>
      </c>
      <c r="R2189" s="134"/>
      <c r="S2189" s="5" t="s">
        <v>2633</v>
      </c>
      <c r="T2189" s="6"/>
      <c r="U2189" s="8">
        <v>5</v>
      </c>
      <c r="V2189" s="5" t="s">
        <v>702</v>
      </c>
      <c r="W2189" s="12">
        <v>19960191</v>
      </c>
      <c r="X2189" s="6"/>
      <c r="Y2189" s="6"/>
    </row>
    <row r="2190" spans="1:25" ht="15" customHeight="1" x14ac:dyDescent="0.2">
      <c r="A2190" s="88" t="s">
        <v>2631</v>
      </c>
      <c r="B2190" s="90"/>
      <c r="C2190" s="88" t="s">
        <v>2690</v>
      </c>
      <c r="D2190" s="89"/>
      <c r="E2190" s="89"/>
      <c r="F2190" s="89"/>
      <c r="G2190" s="89"/>
      <c r="H2190" s="89"/>
      <c r="I2190" s="90"/>
      <c r="J2190" s="88" t="s">
        <v>1499</v>
      </c>
      <c r="K2190" s="89"/>
      <c r="L2190" s="89"/>
      <c r="M2190" s="90"/>
      <c r="N2190" s="88" t="s">
        <v>701</v>
      </c>
      <c r="O2190" s="89"/>
      <c r="P2190" s="90"/>
      <c r="Q2190" s="133">
        <v>1997</v>
      </c>
      <c r="R2190" s="134"/>
      <c r="S2190" s="5" t="s">
        <v>2633</v>
      </c>
      <c r="T2190" s="6"/>
      <c r="U2190" s="8">
        <v>5</v>
      </c>
      <c r="V2190" s="5" t="s">
        <v>702</v>
      </c>
      <c r="W2190" s="12">
        <v>20819570</v>
      </c>
      <c r="X2190" s="6"/>
      <c r="Y2190" s="6"/>
    </row>
    <row r="2191" spans="1:25" ht="15" customHeight="1" x14ac:dyDescent="0.2">
      <c r="A2191" s="88" t="s">
        <v>2631</v>
      </c>
      <c r="B2191" s="90"/>
      <c r="C2191" s="88" t="s">
        <v>2691</v>
      </c>
      <c r="D2191" s="89"/>
      <c r="E2191" s="89"/>
      <c r="F2191" s="89"/>
      <c r="G2191" s="89"/>
      <c r="H2191" s="89"/>
      <c r="I2191" s="90"/>
      <c r="J2191" s="88" t="s">
        <v>1499</v>
      </c>
      <c r="K2191" s="89"/>
      <c r="L2191" s="89"/>
      <c r="M2191" s="90"/>
      <c r="N2191" s="88" t="s">
        <v>701</v>
      </c>
      <c r="O2191" s="89"/>
      <c r="P2191" s="90"/>
      <c r="Q2191" s="133">
        <v>1997</v>
      </c>
      <c r="R2191" s="134"/>
      <c r="S2191" s="5" t="s">
        <v>2633</v>
      </c>
      <c r="T2191" s="6"/>
      <c r="U2191" s="8">
        <v>5</v>
      </c>
      <c r="V2191" s="5" t="s">
        <v>702</v>
      </c>
      <c r="W2191" s="12">
        <v>19701220</v>
      </c>
      <c r="X2191" s="6"/>
      <c r="Y2191" s="6"/>
    </row>
    <row r="2192" spans="1:25" ht="15" customHeight="1" x14ac:dyDescent="0.2">
      <c r="A2192" s="88" t="s">
        <v>2631</v>
      </c>
      <c r="B2192" s="90"/>
      <c r="C2192" s="88" t="s">
        <v>2692</v>
      </c>
      <c r="D2192" s="89"/>
      <c r="E2192" s="89"/>
      <c r="F2192" s="89"/>
      <c r="G2192" s="89"/>
      <c r="H2192" s="89"/>
      <c r="I2192" s="90"/>
      <c r="J2192" s="88" t="s">
        <v>1499</v>
      </c>
      <c r="K2192" s="89"/>
      <c r="L2192" s="89"/>
      <c r="M2192" s="90"/>
      <c r="N2192" s="88" t="s">
        <v>701</v>
      </c>
      <c r="O2192" s="89"/>
      <c r="P2192" s="90"/>
      <c r="Q2192" s="133">
        <v>1997</v>
      </c>
      <c r="R2192" s="134"/>
      <c r="S2192" s="5" t="s">
        <v>2633</v>
      </c>
      <c r="T2192" s="6"/>
      <c r="U2192" s="8">
        <v>5</v>
      </c>
      <c r="V2192" s="5" t="s">
        <v>702</v>
      </c>
      <c r="W2192" s="12">
        <v>20720364</v>
      </c>
      <c r="X2192" s="6"/>
      <c r="Y2192" s="6"/>
    </row>
    <row r="2193" spans="1:25" ht="15" customHeight="1" x14ac:dyDescent="0.2">
      <c r="A2193" s="88" t="s">
        <v>2631</v>
      </c>
      <c r="B2193" s="90"/>
      <c r="C2193" s="88" t="s">
        <v>2693</v>
      </c>
      <c r="D2193" s="89"/>
      <c r="E2193" s="89"/>
      <c r="F2193" s="89"/>
      <c r="G2193" s="89"/>
      <c r="H2193" s="89"/>
      <c r="I2193" s="90"/>
      <c r="J2193" s="88" t="s">
        <v>1499</v>
      </c>
      <c r="K2193" s="89"/>
      <c r="L2193" s="89"/>
      <c r="M2193" s="90"/>
      <c r="N2193" s="88" t="s">
        <v>701</v>
      </c>
      <c r="O2193" s="89"/>
      <c r="P2193" s="90"/>
      <c r="Q2193" s="133">
        <v>1997</v>
      </c>
      <c r="R2193" s="134"/>
      <c r="S2193" s="5" t="s">
        <v>2633</v>
      </c>
      <c r="T2193" s="6"/>
      <c r="U2193" s="8">
        <v>5</v>
      </c>
      <c r="V2193" s="5" t="s">
        <v>702</v>
      </c>
      <c r="W2193" s="12">
        <v>22576673</v>
      </c>
      <c r="X2193" s="6"/>
      <c r="Y2193" s="6"/>
    </row>
    <row r="2194" spans="1:25" ht="15" customHeight="1" x14ac:dyDescent="0.2">
      <c r="A2194" s="88" t="s">
        <v>2631</v>
      </c>
      <c r="B2194" s="90"/>
      <c r="C2194" s="88" t="s">
        <v>2694</v>
      </c>
      <c r="D2194" s="89"/>
      <c r="E2194" s="89"/>
      <c r="F2194" s="89"/>
      <c r="G2194" s="89"/>
      <c r="H2194" s="89"/>
      <c r="I2194" s="90"/>
      <c r="J2194" s="88" t="s">
        <v>1499</v>
      </c>
      <c r="K2194" s="89"/>
      <c r="L2194" s="89"/>
      <c r="M2194" s="90"/>
      <c r="N2194" s="88" t="s">
        <v>701</v>
      </c>
      <c r="O2194" s="89"/>
      <c r="P2194" s="90"/>
      <c r="Q2194" s="133">
        <v>1997</v>
      </c>
      <c r="R2194" s="134"/>
      <c r="S2194" s="5" t="s">
        <v>2633</v>
      </c>
      <c r="T2194" s="6"/>
      <c r="U2194" s="8">
        <v>5</v>
      </c>
      <c r="V2194" s="5" t="s">
        <v>106</v>
      </c>
      <c r="W2194" s="12">
        <v>19890199</v>
      </c>
      <c r="X2194" s="6"/>
      <c r="Y2194" s="6"/>
    </row>
    <row r="2195" spans="1:25" ht="15" customHeight="1" x14ac:dyDescent="0.2">
      <c r="A2195" s="88" t="s">
        <v>2631</v>
      </c>
      <c r="B2195" s="90"/>
      <c r="C2195" s="88" t="s">
        <v>2695</v>
      </c>
      <c r="D2195" s="89"/>
      <c r="E2195" s="89"/>
      <c r="F2195" s="89"/>
      <c r="G2195" s="89"/>
      <c r="H2195" s="89"/>
      <c r="I2195" s="90"/>
      <c r="J2195" s="88" t="s">
        <v>1499</v>
      </c>
      <c r="K2195" s="89"/>
      <c r="L2195" s="89"/>
      <c r="M2195" s="90"/>
      <c r="N2195" s="88" t="s">
        <v>701</v>
      </c>
      <c r="O2195" s="89"/>
      <c r="P2195" s="90"/>
      <c r="Q2195" s="133">
        <v>1997</v>
      </c>
      <c r="R2195" s="134"/>
      <c r="S2195" s="5" t="s">
        <v>2633</v>
      </c>
      <c r="T2195" s="6"/>
      <c r="U2195" s="8">
        <v>5</v>
      </c>
      <c r="V2195" s="5" t="s">
        <v>702</v>
      </c>
      <c r="W2195" s="12">
        <v>21308906</v>
      </c>
      <c r="X2195" s="6"/>
      <c r="Y2195" s="6"/>
    </row>
    <row r="2196" spans="1:25" ht="15" customHeight="1" x14ac:dyDescent="0.2">
      <c r="A2196" s="88" t="s">
        <v>2631</v>
      </c>
      <c r="B2196" s="90"/>
      <c r="C2196" s="88" t="s">
        <v>2696</v>
      </c>
      <c r="D2196" s="90"/>
      <c r="E2196" s="106"/>
      <c r="F2196" s="107"/>
      <c r="G2196" s="107"/>
      <c r="H2196" s="107"/>
      <c r="I2196" s="108"/>
      <c r="J2196" s="88" t="s">
        <v>1499</v>
      </c>
      <c r="K2196" s="89"/>
      <c r="L2196" s="89"/>
      <c r="M2196" s="90"/>
      <c r="N2196" s="88" t="s">
        <v>701</v>
      </c>
      <c r="O2196" s="89"/>
      <c r="P2196" s="90"/>
      <c r="Q2196" s="133">
        <v>1997</v>
      </c>
      <c r="R2196" s="134"/>
      <c r="S2196" s="5" t="s">
        <v>2633</v>
      </c>
      <c r="T2196" s="6"/>
      <c r="U2196" s="8">
        <v>5</v>
      </c>
      <c r="V2196" s="5" t="s">
        <v>702</v>
      </c>
      <c r="W2196" s="12">
        <v>17848867</v>
      </c>
      <c r="X2196" s="6"/>
      <c r="Y2196" s="6"/>
    </row>
    <row r="2197" spans="1:25" ht="15" customHeight="1" x14ac:dyDescent="0.2">
      <c r="A2197" s="88" t="s">
        <v>2631</v>
      </c>
      <c r="B2197" s="90"/>
      <c r="C2197" s="88" t="s">
        <v>2697</v>
      </c>
      <c r="D2197" s="89"/>
      <c r="E2197" s="89"/>
      <c r="F2197" s="89"/>
      <c r="G2197" s="89"/>
      <c r="H2197" s="89"/>
      <c r="I2197" s="90"/>
      <c r="J2197" s="88" t="s">
        <v>1499</v>
      </c>
      <c r="K2197" s="89"/>
      <c r="L2197" s="89"/>
      <c r="M2197" s="90"/>
      <c r="N2197" s="88" t="s">
        <v>701</v>
      </c>
      <c r="O2197" s="89"/>
      <c r="P2197" s="90"/>
      <c r="Q2197" s="133">
        <v>1997</v>
      </c>
      <c r="R2197" s="134"/>
      <c r="S2197" s="5" t="s">
        <v>2633</v>
      </c>
      <c r="T2197" s="6"/>
      <c r="U2197" s="8">
        <v>5</v>
      </c>
      <c r="V2197" s="5" t="s">
        <v>702</v>
      </c>
      <c r="W2197" s="12">
        <v>18037846</v>
      </c>
      <c r="X2197" s="6"/>
      <c r="Y2197" s="6"/>
    </row>
    <row r="2198" spans="1:25" ht="15" customHeight="1" x14ac:dyDescent="0.2">
      <c r="A2198" s="88" t="s">
        <v>2631</v>
      </c>
      <c r="B2198" s="90"/>
      <c r="C2198" s="88" t="s">
        <v>2698</v>
      </c>
      <c r="D2198" s="89"/>
      <c r="E2198" s="89"/>
      <c r="F2198" s="89"/>
      <c r="G2198" s="89"/>
      <c r="H2198" s="89"/>
      <c r="I2198" s="90"/>
      <c r="J2198" s="88" t="s">
        <v>1499</v>
      </c>
      <c r="K2198" s="89"/>
      <c r="L2198" s="89"/>
      <c r="M2198" s="90"/>
      <c r="N2198" s="88" t="s">
        <v>701</v>
      </c>
      <c r="O2198" s="89"/>
      <c r="P2198" s="90"/>
      <c r="Q2198" s="133">
        <v>1997</v>
      </c>
      <c r="R2198" s="134"/>
      <c r="S2198" s="5" t="s">
        <v>2633</v>
      </c>
      <c r="T2198" s="6"/>
      <c r="U2198" s="8">
        <v>5</v>
      </c>
      <c r="V2198" s="5" t="s">
        <v>702</v>
      </c>
      <c r="W2198" s="12">
        <v>20299804</v>
      </c>
      <c r="X2198" s="6"/>
      <c r="Y2198" s="6"/>
    </row>
    <row r="2199" spans="1:25" ht="15" customHeight="1" x14ac:dyDescent="0.2">
      <c r="A2199" s="88" t="s">
        <v>2631</v>
      </c>
      <c r="B2199" s="90"/>
      <c r="C2199" s="88" t="s">
        <v>2699</v>
      </c>
      <c r="D2199" s="89"/>
      <c r="E2199" s="89"/>
      <c r="F2199" s="89"/>
      <c r="G2199" s="89"/>
      <c r="H2199" s="89"/>
      <c r="I2199" s="90"/>
      <c r="J2199" s="88" t="s">
        <v>1499</v>
      </c>
      <c r="K2199" s="89"/>
      <c r="L2199" s="89"/>
      <c r="M2199" s="90"/>
      <c r="N2199" s="88" t="s">
        <v>701</v>
      </c>
      <c r="O2199" s="89"/>
      <c r="P2199" s="90"/>
      <c r="Q2199" s="133">
        <v>1997</v>
      </c>
      <c r="R2199" s="134"/>
      <c r="S2199" s="5" t="s">
        <v>2633</v>
      </c>
      <c r="T2199" s="6"/>
      <c r="U2199" s="8">
        <v>5</v>
      </c>
      <c r="V2199" s="5" t="s">
        <v>702</v>
      </c>
      <c r="W2199" s="12">
        <v>21481755</v>
      </c>
      <c r="X2199" s="6"/>
      <c r="Y2199" s="6"/>
    </row>
    <row r="2200" spans="1:25" ht="15" customHeight="1" x14ac:dyDescent="0.2">
      <c r="A2200" s="88" t="s">
        <v>2631</v>
      </c>
      <c r="B2200" s="90"/>
      <c r="C2200" s="88" t="s">
        <v>2700</v>
      </c>
      <c r="D2200" s="90"/>
      <c r="E2200" s="106"/>
      <c r="F2200" s="107"/>
      <c r="G2200" s="107"/>
      <c r="H2200" s="107"/>
      <c r="I2200" s="108"/>
      <c r="J2200" s="88" t="s">
        <v>1499</v>
      </c>
      <c r="K2200" s="89"/>
      <c r="L2200" s="89"/>
      <c r="M2200" s="90"/>
      <c r="N2200" s="88" t="s">
        <v>701</v>
      </c>
      <c r="O2200" s="89"/>
      <c r="P2200" s="90"/>
      <c r="Q2200" s="133">
        <v>1999</v>
      </c>
      <c r="R2200" s="134"/>
      <c r="S2200" s="5" t="s">
        <v>2633</v>
      </c>
      <c r="T2200" s="6"/>
      <c r="U2200" s="8">
        <v>5</v>
      </c>
      <c r="V2200" s="5" t="s">
        <v>106</v>
      </c>
      <c r="W2200" s="12">
        <v>18286774</v>
      </c>
      <c r="X2200" s="6"/>
      <c r="Y2200" s="6"/>
    </row>
    <row r="2201" spans="1:25" ht="15" customHeight="1" x14ac:dyDescent="0.2">
      <c r="A2201" s="88" t="s">
        <v>2631</v>
      </c>
      <c r="B2201" s="90"/>
      <c r="C2201" s="88" t="s">
        <v>2701</v>
      </c>
      <c r="D2201" s="89"/>
      <c r="E2201" s="89"/>
      <c r="F2201" s="89"/>
      <c r="G2201" s="89"/>
      <c r="H2201" s="89"/>
      <c r="I2201" s="90"/>
      <c r="J2201" s="88" t="s">
        <v>1499</v>
      </c>
      <c r="K2201" s="89"/>
      <c r="L2201" s="89"/>
      <c r="M2201" s="90"/>
      <c r="N2201" s="88" t="s">
        <v>701</v>
      </c>
      <c r="O2201" s="89"/>
      <c r="P2201" s="90"/>
      <c r="Q2201" s="133">
        <v>1999</v>
      </c>
      <c r="R2201" s="134"/>
      <c r="S2201" s="5" t="s">
        <v>2633</v>
      </c>
      <c r="T2201" s="6"/>
      <c r="U2201" s="8">
        <v>5</v>
      </c>
      <c r="V2201" s="5" t="s">
        <v>106</v>
      </c>
      <c r="W2201" s="12">
        <v>17613938</v>
      </c>
      <c r="X2201" s="6"/>
      <c r="Y2201" s="6"/>
    </row>
    <row r="2202" spans="1:25" ht="15" customHeight="1" x14ac:dyDescent="0.2">
      <c r="A2202" s="88" t="s">
        <v>2631</v>
      </c>
      <c r="B2202" s="90"/>
      <c r="C2202" s="88" t="s">
        <v>2702</v>
      </c>
      <c r="D2202" s="90"/>
      <c r="E2202" s="106"/>
      <c r="F2202" s="107"/>
      <c r="G2202" s="107"/>
      <c r="H2202" s="107"/>
      <c r="I2202" s="108"/>
      <c r="J2202" s="88" t="s">
        <v>1499</v>
      </c>
      <c r="K2202" s="89"/>
      <c r="L2202" s="89"/>
      <c r="M2202" s="90"/>
      <c r="N2202" s="88" t="s">
        <v>701</v>
      </c>
      <c r="O2202" s="89"/>
      <c r="P2202" s="90"/>
      <c r="Q2202" s="133">
        <v>1999</v>
      </c>
      <c r="R2202" s="134"/>
      <c r="S2202" s="5" t="s">
        <v>2633</v>
      </c>
      <c r="T2202" s="6"/>
      <c r="U2202" s="8">
        <v>5</v>
      </c>
      <c r="V2202" s="5" t="s">
        <v>106</v>
      </c>
      <c r="W2202" s="12">
        <v>14624976</v>
      </c>
      <c r="X2202" s="6"/>
      <c r="Y2202" s="6"/>
    </row>
    <row r="2203" spans="1:25" ht="15" customHeight="1" x14ac:dyDescent="0.2">
      <c r="A2203" s="88" t="s">
        <v>2631</v>
      </c>
      <c r="B2203" s="90"/>
      <c r="C2203" s="88" t="s">
        <v>2703</v>
      </c>
      <c r="D2203" s="89"/>
      <c r="E2203" s="89"/>
      <c r="F2203" s="89"/>
      <c r="G2203" s="89"/>
      <c r="H2203" s="89"/>
      <c r="I2203" s="90"/>
      <c r="J2203" s="88" t="s">
        <v>1499</v>
      </c>
      <c r="K2203" s="89"/>
      <c r="L2203" s="89"/>
      <c r="M2203" s="90"/>
      <c r="N2203" s="88" t="s">
        <v>701</v>
      </c>
      <c r="O2203" s="89"/>
      <c r="P2203" s="90"/>
      <c r="Q2203" s="133">
        <v>1999</v>
      </c>
      <c r="R2203" s="134"/>
      <c r="S2203" s="5" t="s">
        <v>2633</v>
      </c>
      <c r="T2203" s="6"/>
      <c r="U2203" s="8">
        <v>5</v>
      </c>
      <c r="V2203" s="5" t="s">
        <v>106</v>
      </c>
      <c r="W2203" s="12">
        <v>19546325</v>
      </c>
      <c r="X2203" s="6"/>
      <c r="Y2203" s="6"/>
    </row>
    <row r="2204" spans="1:25" ht="15" customHeight="1" x14ac:dyDescent="0.2">
      <c r="A2204" s="88" t="s">
        <v>2631</v>
      </c>
      <c r="B2204" s="90"/>
      <c r="C2204" s="88" t="s">
        <v>2704</v>
      </c>
      <c r="D2204" s="90"/>
      <c r="E2204" s="106"/>
      <c r="F2204" s="107"/>
      <c r="G2204" s="107"/>
      <c r="H2204" s="107"/>
      <c r="I2204" s="108"/>
      <c r="J2204" s="88" t="s">
        <v>1499</v>
      </c>
      <c r="K2204" s="89"/>
      <c r="L2204" s="89"/>
      <c r="M2204" s="90"/>
      <c r="N2204" s="88" t="s">
        <v>701</v>
      </c>
      <c r="O2204" s="89"/>
      <c r="P2204" s="90"/>
      <c r="Q2204" s="133">
        <v>1999</v>
      </c>
      <c r="R2204" s="134"/>
      <c r="S2204" s="5" t="s">
        <v>2633</v>
      </c>
      <c r="T2204" s="6"/>
      <c r="U2204" s="8">
        <v>5</v>
      </c>
      <c r="V2204" s="5" t="s">
        <v>106</v>
      </c>
      <c r="W2204" s="12">
        <v>18138269</v>
      </c>
      <c r="X2204" s="6"/>
      <c r="Y2204" s="6"/>
    </row>
    <row r="2205" spans="1:25" ht="15" customHeight="1" x14ac:dyDescent="0.2">
      <c r="A2205" s="88" t="s">
        <v>2631</v>
      </c>
      <c r="B2205" s="90"/>
      <c r="C2205" s="88" t="s">
        <v>2705</v>
      </c>
      <c r="D2205" s="90"/>
      <c r="E2205" s="106"/>
      <c r="F2205" s="107"/>
      <c r="G2205" s="107"/>
      <c r="H2205" s="107"/>
      <c r="I2205" s="108"/>
      <c r="J2205" s="88" t="s">
        <v>1499</v>
      </c>
      <c r="K2205" s="89"/>
      <c r="L2205" s="89"/>
      <c r="M2205" s="90"/>
      <c r="N2205" s="88" t="s">
        <v>701</v>
      </c>
      <c r="O2205" s="89"/>
      <c r="P2205" s="90"/>
      <c r="Q2205" s="133">
        <v>1999</v>
      </c>
      <c r="R2205" s="134"/>
      <c r="S2205" s="5" t="s">
        <v>2633</v>
      </c>
      <c r="T2205" s="6"/>
      <c r="U2205" s="8">
        <v>5</v>
      </c>
      <c r="V2205" s="5" t="s">
        <v>106</v>
      </c>
      <c r="W2205" s="12">
        <v>16108502</v>
      </c>
      <c r="X2205" s="6"/>
      <c r="Y2205" s="6"/>
    </row>
    <row r="2206" spans="1:25" ht="15" customHeight="1" x14ac:dyDescent="0.2">
      <c r="A2206" s="88" t="s">
        <v>2631</v>
      </c>
      <c r="B2206" s="90"/>
      <c r="C2206" s="88" t="s">
        <v>2706</v>
      </c>
      <c r="D2206" s="90"/>
      <c r="E2206" s="106"/>
      <c r="F2206" s="107"/>
      <c r="G2206" s="107"/>
      <c r="H2206" s="107"/>
      <c r="I2206" s="108"/>
      <c r="J2206" s="88" t="s">
        <v>1499</v>
      </c>
      <c r="K2206" s="89"/>
      <c r="L2206" s="89"/>
      <c r="M2206" s="90"/>
      <c r="N2206" s="88" t="s">
        <v>701</v>
      </c>
      <c r="O2206" s="89"/>
      <c r="P2206" s="90"/>
      <c r="Q2206" s="133">
        <v>1999</v>
      </c>
      <c r="R2206" s="134"/>
      <c r="S2206" s="5" t="s">
        <v>2633</v>
      </c>
      <c r="T2206" s="6"/>
      <c r="U2206" s="8">
        <v>5</v>
      </c>
      <c r="V2206" s="5" t="s">
        <v>106</v>
      </c>
      <c r="W2206" s="12">
        <v>16240269</v>
      </c>
      <c r="X2206" s="6"/>
      <c r="Y2206" s="6"/>
    </row>
    <row r="2207" spans="1:25" ht="15" customHeight="1" x14ac:dyDescent="0.2">
      <c r="A2207" s="88" t="s">
        <v>2631</v>
      </c>
      <c r="B2207" s="90"/>
      <c r="C2207" s="88" t="s">
        <v>2707</v>
      </c>
      <c r="D2207" s="89"/>
      <c r="E2207" s="89"/>
      <c r="F2207" s="89"/>
      <c r="G2207" s="89"/>
      <c r="H2207" s="89"/>
      <c r="I2207" s="90"/>
      <c r="J2207" s="88" t="s">
        <v>1499</v>
      </c>
      <c r="K2207" s="89"/>
      <c r="L2207" s="89"/>
      <c r="M2207" s="90"/>
      <c r="N2207" s="88" t="s">
        <v>701</v>
      </c>
      <c r="O2207" s="89"/>
      <c r="P2207" s="90"/>
      <c r="Q2207" s="133">
        <v>1999</v>
      </c>
      <c r="R2207" s="134"/>
      <c r="S2207" s="5" t="s">
        <v>2633</v>
      </c>
      <c r="T2207" s="6"/>
      <c r="U2207" s="8">
        <v>5</v>
      </c>
      <c r="V2207" s="5" t="s">
        <v>106</v>
      </c>
      <c r="W2207" s="12">
        <v>19941323</v>
      </c>
      <c r="X2207" s="6"/>
      <c r="Y2207" s="6"/>
    </row>
    <row r="2208" spans="1:25" ht="15" customHeight="1" x14ac:dyDescent="0.2">
      <c r="A2208" s="88" t="s">
        <v>2631</v>
      </c>
      <c r="B2208" s="90"/>
      <c r="C2208" s="88" t="s">
        <v>2708</v>
      </c>
      <c r="D2208" s="90"/>
      <c r="E2208" s="106"/>
      <c r="F2208" s="107"/>
      <c r="G2208" s="107"/>
      <c r="H2208" s="107"/>
      <c r="I2208" s="108"/>
      <c r="J2208" s="88" t="s">
        <v>1499</v>
      </c>
      <c r="K2208" s="89"/>
      <c r="L2208" s="89"/>
      <c r="M2208" s="90"/>
      <c r="N2208" s="88" t="s">
        <v>701</v>
      </c>
      <c r="O2208" s="89"/>
      <c r="P2208" s="90"/>
      <c r="Q2208" s="133">
        <v>1999</v>
      </c>
      <c r="R2208" s="134"/>
      <c r="S2208" s="5" t="s">
        <v>2633</v>
      </c>
      <c r="T2208" s="6"/>
      <c r="U2208" s="8">
        <v>5</v>
      </c>
      <c r="V2208" s="5" t="s">
        <v>106</v>
      </c>
      <c r="W2208" s="12">
        <v>18466927</v>
      </c>
      <c r="X2208" s="6"/>
      <c r="Y2208" s="6"/>
    </row>
    <row r="2209" spans="1:25" ht="15" customHeight="1" x14ac:dyDescent="0.2">
      <c r="A2209" s="88" t="s">
        <v>2631</v>
      </c>
      <c r="B2209" s="90"/>
      <c r="C2209" s="88" t="s">
        <v>2709</v>
      </c>
      <c r="D2209" s="90"/>
      <c r="E2209" s="106"/>
      <c r="F2209" s="107"/>
      <c r="G2209" s="107"/>
      <c r="H2209" s="107"/>
      <c r="I2209" s="108"/>
      <c r="J2209" s="88" t="s">
        <v>1499</v>
      </c>
      <c r="K2209" s="89"/>
      <c r="L2209" s="89"/>
      <c r="M2209" s="90"/>
      <c r="N2209" s="88" t="s">
        <v>701</v>
      </c>
      <c r="O2209" s="89"/>
      <c r="P2209" s="90"/>
      <c r="Q2209" s="133">
        <v>1999</v>
      </c>
      <c r="R2209" s="134"/>
      <c r="S2209" s="5" t="s">
        <v>2633</v>
      </c>
      <c r="T2209" s="6"/>
      <c r="U2209" s="8">
        <v>5</v>
      </c>
      <c r="V2209" s="5" t="s">
        <v>106</v>
      </c>
      <c r="W2209" s="12">
        <v>20052398</v>
      </c>
      <c r="X2209" s="6"/>
      <c r="Y2209" s="6"/>
    </row>
    <row r="2210" spans="1:25" ht="15" customHeight="1" x14ac:dyDescent="0.2">
      <c r="A2210" s="88" t="s">
        <v>2631</v>
      </c>
      <c r="B2210" s="90"/>
      <c r="C2210" s="88" t="s">
        <v>2710</v>
      </c>
      <c r="D2210" s="90"/>
      <c r="E2210" s="106"/>
      <c r="F2210" s="107"/>
      <c r="G2210" s="107"/>
      <c r="H2210" s="107"/>
      <c r="I2210" s="108"/>
      <c r="J2210" s="88" t="s">
        <v>1499</v>
      </c>
      <c r="K2210" s="89"/>
      <c r="L2210" s="89"/>
      <c r="M2210" s="90"/>
      <c r="N2210" s="88" t="s">
        <v>701</v>
      </c>
      <c r="O2210" s="89"/>
      <c r="P2210" s="90"/>
      <c r="Q2210" s="133">
        <v>1999</v>
      </c>
      <c r="R2210" s="134"/>
      <c r="S2210" s="5" t="s">
        <v>2633</v>
      </c>
      <c r="T2210" s="6"/>
      <c r="U2210" s="8">
        <v>5</v>
      </c>
      <c r="V2210" s="5" t="s">
        <v>106</v>
      </c>
      <c r="W2210" s="12">
        <v>19871027</v>
      </c>
      <c r="X2210" s="6"/>
      <c r="Y2210" s="6"/>
    </row>
    <row r="2211" spans="1:25" ht="15" customHeight="1" x14ac:dyDescent="0.2">
      <c r="A2211" s="88" t="s">
        <v>2631</v>
      </c>
      <c r="B2211" s="90"/>
      <c r="C2211" s="88" t="s">
        <v>2711</v>
      </c>
      <c r="D2211" s="90"/>
      <c r="E2211" s="106"/>
      <c r="F2211" s="107"/>
      <c r="G2211" s="107"/>
      <c r="H2211" s="107"/>
      <c r="I2211" s="108"/>
      <c r="J2211" s="88" t="s">
        <v>1499</v>
      </c>
      <c r="K2211" s="89"/>
      <c r="L2211" s="89"/>
      <c r="M2211" s="90"/>
      <c r="N2211" s="88" t="s">
        <v>701</v>
      </c>
      <c r="O2211" s="89"/>
      <c r="P2211" s="90"/>
      <c r="Q2211" s="133">
        <v>1999</v>
      </c>
      <c r="R2211" s="134"/>
      <c r="S2211" s="5" t="s">
        <v>2633</v>
      </c>
      <c r="T2211" s="6"/>
      <c r="U2211" s="8">
        <v>5</v>
      </c>
      <c r="V2211" s="5" t="s">
        <v>106</v>
      </c>
      <c r="W2211" s="12">
        <v>17696407</v>
      </c>
      <c r="X2211" s="6"/>
      <c r="Y2211" s="6"/>
    </row>
    <row r="2212" spans="1:25" ht="15" customHeight="1" x14ac:dyDescent="0.2">
      <c r="A2212" s="88" t="s">
        <v>2631</v>
      </c>
      <c r="B2212" s="90"/>
      <c r="C2212" s="88" t="s">
        <v>2712</v>
      </c>
      <c r="D2212" s="90"/>
      <c r="E2212" s="106"/>
      <c r="F2212" s="107"/>
      <c r="G2212" s="107"/>
      <c r="H2212" s="107"/>
      <c r="I2212" s="108"/>
      <c r="J2212" s="88" t="s">
        <v>1499</v>
      </c>
      <c r="K2212" s="89"/>
      <c r="L2212" s="89"/>
      <c r="M2212" s="90"/>
      <c r="N2212" s="88" t="s">
        <v>701</v>
      </c>
      <c r="O2212" s="89"/>
      <c r="P2212" s="90"/>
      <c r="Q2212" s="133">
        <v>1999</v>
      </c>
      <c r="R2212" s="134"/>
      <c r="S2212" s="5" t="s">
        <v>2633</v>
      </c>
      <c r="T2212" s="6"/>
      <c r="U2212" s="8">
        <v>5</v>
      </c>
      <c r="V2212" s="5" t="s">
        <v>106</v>
      </c>
      <c r="W2212" s="12">
        <v>17658672</v>
      </c>
      <c r="X2212" s="6"/>
      <c r="Y2212" s="6"/>
    </row>
    <row r="2213" spans="1:25" ht="15" customHeight="1" x14ac:dyDescent="0.2">
      <c r="A2213" s="88" t="s">
        <v>2631</v>
      </c>
      <c r="B2213" s="90"/>
      <c r="C2213" s="88" t="s">
        <v>2713</v>
      </c>
      <c r="D2213" s="90"/>
      <c r="E2213" s="106"/>
      <c r="F2213" s="107"/>
      <c r="G2213" s="107"/>
      <c r="H2213" s="107"/>
      <c r="I2213" s="108"/>
      <c r="J2213" s="88" t="s">
        <v>1499</v>
      </c>
      <c r="K2213" s="89"/>
      <c r="L2213" s="89"/>
      <c r="M2213" s="90"/>
      <c r="N2213" s="88" t="s">
        <v>701</v>
      </c>
      <c r="O2213" s="89"/>
      <c r="P2213" s="90"/>
      <c r="Q2213" s="133">
        <v>1999</v>
      </c>
      <c r="R2213" s="134"/>
      <c r="S2213" s="5" t="s">
        <v>2633</v>
      </c>
      <c r="T2213" s="6"/>
      <c r="U2213" s="8">
        <v>5</v>
      </c>
      <c r="V2213" s="5" t="s">
        <v>106</v>
      </c>
      <c r="W2213" s="12">
        <v>15916176</v>
      </c>
      <c r="X2213" s="6"/>
      <c r="Y2213" s="6"/>
    </row>
    <row r="2214" spans="1:25" ht="15" customHeight="1" x14ac:dyDescent="0.2">
      <c r="A2214" s="88" t="s">
        <v>2631</v>
      </c>
      <c r="B2214" s="90"/>
      <c r="C2214" s="88" t="s">
        <v>2714</v>
      </c>
      <c r="D2214" s="90"/>
      <c r="E2214" s="106"/>
      <c r="F2214" s="107"/>
      <c r="G2214" s="107"/>
      <c r="H2214" s="107"/>
      <c r="I2214" s="108"/>
      <c r="J2214" s="88" t="s">
        <v>1499</v>
      </c>
      <c r="K2214" s="89"/>
      <c r="L2214" s="89"/>
      <c r="M2214" s="90"/>
      <c r="N2214" s="88" t="s">
        <v>701</v>
      </c>
      <c r="O2214" s="89"/>
      <c r="P2214" s="90"/>
      <c r="Q2214" s="133">
        <v>1999</v>
      </c>
      <c r="R2214" s="134"/>
      <c r="S2214" s="5" t="s">
        <v>2633</v>
      </c>
      <c r="T2214" s="6"/>
      <c r="U2214" s="8">
        <v>5</v>
      </c>
      <c r="V2214" s="5" t="s">
        <v>106</v>
      </c>
      <c r="W2214" s="12">
        <v>16913714</v>
      </c>
      <c r="X2214" s="6"/>
      <c r="Y2214" s="6"/>
    </row>
    <row r="2215" spans="1:25" ht="15" customHeight="1" x14ac:dyDescent="0.2">
      <c r="A2215" s="88" t="s">
        <v>2631</v>
      </c>
      <c r="B2215" s="90"/>
      <c r="C2215" s="88" t="s">
        <v>2715</v>
      </c>
      <c r="D2215" s="90"/>
      <c r="E2215" s="106"/>
      <c r="F2215" s="107"/>
      <c r="G2215" s="107"/>
      <c r="H2215" s="107"/>
      <c r="I2215" s="108"/>
      <c r="J2215" s="88" t="s">
        <v>1499</v>
      </c>
      <c r="K2215" s="89"/>
      <c r="L2215" s="89"/>
      <c r="M2215" s="90"/>
      <c r="N2215" s="88" t="s">
        <v>701</v>
      </c>
      <c r="O2215" s="89"/>
      <c r="P2215" s="90"/>
      <c r="Q2215" s="133">
        <v>1999</v>
      </c>
      <c r="R2215" s="134"/>
      <c r="S2215" s="5" t="s">
        <v>2633</v>
      </c>
      <c r="T2215" s="6"/>
      <c r="U2215" s="8">
        <v>5</v>
      </c>
      <c r="V2215" s="5" t="s">
        <v>106</v>
      </c>
      <c r="W2215" s="12">
        <v>18960523</v>
      </c>
      <c r="X2215" s="6"/>
      <c r="Y2215" s="6"/>
    </row>
    <row r="2216" spans="1:25" ht="15" customHeight="1" x14ac:dyDescent="0.2">
      <c r="A2216" s="88" t="s">
        <v>2631</v>
      </c>
      <c r="B2216" s="90"/>
      <c r="C2216" s="88" t="s">
        <v>2716</v>
      </c>
      <c r="D2216" s="89"/>
      <c r="E2216" s="89"/>
      <c r="F2216" s="89"/>
      <c r="G2216" s="89"/>
      <c r="H2216" s="89"/>
      <c r="I2216" s="90"/>
      <c r="J2216" s="88" t="s">
        <v>1499</v>
      </c>
      <c r="K2216" s="89"/>
      <c r="L2216" s="89"/>
      <c r="M2216" s="90"/>
      <c r="N2216" s="88" t="s">
        <v>701</v>
      </c>
      <c r="O2216" s="89"/>
      <c r="P2216" s="90"/>
      <c r="Q2216" s="133">
        <v>1999</v>
      </c>
      <c r="R2216" s="134"/>
      <c r="S2216" s="5" t="s">
        <v>2633</v>
      </c>
      <c r="T2216" s="6"/>
      <c r="U2216" s="8">
        <v>5</v>
      </c>
      <c r="V2216" s="5" t="s">
        <v>106</v>
      </c>
      <c r="W2216" s="12">
        <v>18655905</v>
      </c>
      <c r="X2216" s="6"/>
      <c r="Y2216" s="6"/>
    </row>
    <row r="2217" spans="1:25" ht="15" customHeight="1" x14ac:dyDescent="0.2">
      <c r="A2217" s="88" t="s">
        <v>2631</v>
      </c>
      <c r="B2217" s="90"/>
      <c r="C2217" s="88" t="s">
        <v>2717</v>
      </c>
      <c r="D2217" s="90"/>
      <c r="E2217" s="106"/>
      <c r="F2217" s="107"/>
      <c r="G2217" s="107"/>
      <c r="H2217" s="107"/>
      <c r="I2217" s="108"/>
      <c r="J2217" s="88" t="s">
        <v>1499</v>
      </c>
      <c r="K2217" s="89"/>
      <c r="L2217" s="89"/>
      <c r="M2217" s="90"/>
      <c r="N2217" s="88" t="s">
        <v>701</v>
      </c>
      <c r="O2217" s="89"/>
      <c r="P2217" s="90"/>
      <c r="Q2217" s="133">
        <v>1999</v>
      </c>
      <c r="R2217" s="134"/>
      <c r="S2217" s="5" t="s">
        <v>2633</v>
      </c>
      <c r="T2217" s="6"/>
      <c r="U2217" s="8">
        <v>5</v>
      </c>
      <c r="V2217" s="5" t="s">
        <v>106</v>
      </c>
      <c r="W2217" s="12">
        <v>20614768</v>
      </c>
      <c r="X2217" s="6"/>
      <c r="Y2217" s="6"/>
    </row>
    <row r="2218" spans="1:25" ht="15" customHeight="1" x14ac:dyDescent="0.2">
      <c r="A2218" s="88" t="s">
        <v>2631</v>
      </c>
      <c r="B2218" s="90"/>
      <c r="C2218" s="88" t="s">
        <v>2718</v>
      </c>
      <c r="D2218" s="89"/>
      <c r="E2218" s="89"/>
      <c r="F2218" s="89"/>
      <c r="G2218" s="89"/>
      <c r="H2218" s="89"/>
      <c r="I2218" s="90"/>
      <c r="J2218" s="88" t="s">
        <v>1499</v>
      </c>
      <c r="K2218" s="89"/>
      <c r="L2218" s="89"/>
      <c r="M2218" s="90"/>
      <c r="N2218" s="88" t="s">
        <v>701</v>
      </c>
      <c r="O2218" s="89"/>
      <c r="P2218" s="90"/>
      <c r="Q2218" s="133">
        <v>1999</v>
      </c>
      <c r="R2218" s="134"/>
      <c r="S2218" s="5" t="s">
        <v>2633</v>
      </c>
      <c r="T2218" s="6"/>
      <c r="U2218" s="8">
        <v>5</v>
      </c>
      <c r="V2218" s="5" t="s">
        <v>106</v>
      </c>
      <c r="W2218" s="12">
        <v>19207929</v>
      </c>
      <c r="X2218" s="6"/>
      <c r="Y2218" s="6"/>
    </row>
    <row r="2219" spans="1:25" ht="15" customHeight="1" x14ac:dyDescent="0.2">
      <c r="A2219" s="88" t="s">
        <v>2631</v>
      </c>
      <c r="B2219" s="90"/>
      <c r="C2219" s="88" t="s">
        <v>2719</v>
      </c>
      <c r="D2219" s="89"/>
      <c r="E2219" s="89"/>
      <c r="F2219" s="89"/>
      <c r="G2219" s="89"/>
      <c r="H2219" s="89"/>
      <c r="I2219" s="90"/>
      <c r="J2219" s="88" t="s">
        <v>1499</v>
      </c>
      <c r="K2219" s="89"/>
      <c r="L2219" s="89"/>
      <c r="M2219" s="90"/>
      <c r="N2219" s="88" t="s">
        <v>701</v>
      </c>
      <c r="O2219" s="89"/>
      <c r="P2219" s="90"/>
      <c r="Q2219" s="133">
        <v>1999</v>
      </c>
      <c r="R2219" s="134"/>
      <c r="S2219" s="5" t="s">
        <v>2633</v>
      </c>
      <c r="T2219" s="6"/>
      <c r="U2219" s="8">
        <v>5</v>
      </c>
      <c r="V2219" s="5" t="s">
        <v>106</v>
      </c>
      <c r="W2219" s="12">
        <v>16985227</v>
      </c>
      <c r="X2219" s="6"/>
      <c r="Y2219" s="6"/>
    </row>
    <row r="2220" spans="1:25" ht="15" customHeight="1" x14ac:dyDescent="0.2">
      <c r="A2220" s="88" t="s">
        <v>2631</v>
      </c>
      <c r="B2220" s="90"/>
      <c r="C2220" s="88" t="s">
        <v>2720</v>
      </c>
      <c r="D2220" s="90"/>
      <c r="E2220" s="106"/>
      <c r="F2220" s="107"/>
      <c r="G2220" s="107"/>
      <c r="H2220" s="107"/>
      <c r="I2220" s="108"/>
      <c r="J2220" s="88" t="s">
        <v>1499</v>
      </c>
      <c r="K2220" s="89"/>
      <c r="L2220" s="89"/>
      <c r="M2220" s="90"/>
      <c r="N2220" s="88" t="s">
        <v>701</v>
      </c>
      <c r="O2220" s="89"/>
      <c r="P2220" s="90"/>
      <c r="Q2220" s="133">
        <v>1999</v>
      </c>
      <c r="R2220" s="134"/>
      <c r="S2220" s="5" t="s">
        <v>2633</v>
      </c>
      <c r="T2220" s="6"/>
      <c r="U2220" s="8">
        <v>5</v>
      </c>
      <c r="V2220" s="5" t="s">
        <v>106</v>
      </c>
      <c r="W2220" s="12">
        <v>16067419</v>
      </c>
      <c r="X2220" s="6"/>
      <c r="Y2220" s="6"/>
    </row>
    <row r="2221" spans="1:25" ht="15" customHeight="1" x14ac:dyDescent="0.2">
      <c r="A2221" s="88" t="s">
        <v>2631</v>
      </c>
      <c r="B2221" s="90"/>
      <c r="C2221" s="88" t="s">
        <v>2721</v>
      </c>
      <c r="D2221" s="90"/>
      <c r="E2221" s="106"/>
      <c r="F2221" s="107"/>
      <c r="G2221" s="107"/>
      <c r="H2221" s="107"/>
      <c r="I2221" s="108"/>
      <c r="J2221" s="88" t="s">
        <v>1499</v>
      </c>
      <c r="K2221" s="89"/>
      <c r="L2221" s="89"/>
      <c r="M2221" s="90"/>
      <c r="N2221" s="88" t="s">
        <v>701</v>
      </c>
      <c r="O2221" s="89"/>
      <c r="P2221" s="90"/>
      <c r="Q2221" s="133">
        <v>1999</v>
      </c>
      <c r="R2221" s="134"/>
      <c r="S2221" s="5" t="s">
        <v>2633</v>
      </c>
      <c r="T2221" s="6"/>
      <c r="U2221" s="8">
        <v>5</v>
      </c>
      <c r="V2221" s="5" t="s">
        <v>106</v>
      </c>
      <c r="W2221" s="12">
        <v>17634935</v>
      </c>
      <c r="X2221" s="6"/>
      <c r="Y2221" s="6"/>
    </row>
    <row r="2222" spans="1:25" ht="15" customHeight="1" x14ac:dyDescent="0.2">
      <c r="A2222" s="88" t="s">
        <v>2631</v>
      </c>
      <c r="B2222" s="90"/>
      <c r="C2222" s="88" t="s">
        <v>2722</v>
      </c>
      <c r="D2222" s="90"/>
      <c r="E2222" s="106"/>
      <c r="F2222" s="107"/>
      <c r="G2222" s="107"/>
      <c r="H2222" s="107"/>
      <c r="I2222" s="108"/>
      <c r="J2222" s="88" t="s">
        <v>1499</v>
      </c>
      <c r="K2222" s="89"/>
      <c r="L2222" s="89"/>
      <c r="M2222" s="90"/>
      <c r="N2222" s="88" t="s">
        <v>701</v>
      </c>
      <c r="O2222" s="89"/>
      <c r="P2222" s="90"/>
      <c r="Q2222" s="133">
        <v>1999</v>
      </c>
      <c r="R2222" s="134"/>
      <c r="S2222" s="5" t="s">
        <v>2633</v>
      </c>
      <c r="T2222" s="6"/>
      <c r="U2222" s="8">
        <v>5</v>
      </c>
      <c r="V2222" s="5" t="s">
        <v>106</v>
      </c>
      <c r="W2222" s="12">
        <v>20759317</v>
      </c>
      <c r="X2222" s="6"/>
      <c r="Y2222" s="6"/>
    </row>
    <row r="2223" spans="1:25" ht="15" customHeight="1" x14ac:dyDescent="0.2">
      <c r="A2223" s="88" t="s">
        <v>2631</v>
      </c>
      <c r="B2223" s="90"/>
      <c r="C2223" s="88" t="s">
        <v>2723</v>
      </c>
      <c r="D2223" s="90"/>
      <c r="E2223" s="106"/>
      <c r="F2223" s="107"/>
      <c r="G2223" s="107"/>
      <c r="H2223" s="107"/>
      <c r="I2223" s="108"/>
      <c r="J2223" s="88" t="s">
        <v>1499</v>
      </c>
      <c r="K2223" s="89"/>
      <c r="L2223" s="89"/>
      <c r="M2223" s="90"/>
      <c r="N2223" s="88" t="s">
        <v>701</v>
      </c>
      <c r="O2223" s="89"/>
      <c r="P2223" s="90"/>
      <c r="Q2223" s="133">
        <v>1999</v>
      </c>
      <c r="R2223" s="134"/>
      <c r="S2223" s="5" t="s">
        <v>2633</v>
      </c>
      <c r="T2223" s="6"/>
      <c r="U2223" s="8">
        <v>5</v>
      </c>
      <c r="V2223" s="5" t="s">
        <v>106</v>
      </c>
      <c r="W2223" s="12">
        <v>18987607</v>
      </c>
      <c r="X2223" s="6"/>
      <c r="Y2223" s="6"/>
    </row>
    <row r="2224" spans="1:25" ht="15" customHeight="1" x14ac:dyDescent="0.2">
      <c r="A2224" s="88" t="s">
        <v>2631</v>
      </c>
      <c r="B2224" s="90"/>
      <c r="C2224" s="88" t="s">
        <v>2724</v>
      </c>
      <c r="D2224" s="90"/>
      <c r="E2224" s="106"/>
      <c r="F2224" s="107"/>
      <c r="G2224" s="107"/>
      <c r="H2224" s="107"/>
      <c r="I2224" s="108"/>
      <c r="J2224" s="88" t="s">
        <v>1499</v>
      </c>
      <c r="K2224" s="89"/>
      <c r="L2224" s="89"/>
      <c r="M2224" s="90"/>
      <c r="N2224" s="88" t="s">
        <v>701</v>
      </c>
      <c r="O2224" s="89"/>
      <c r="P2224" s="90"/>
      <c r="Q2224" s="133">
        <v>1999</v>
      </c>
      <c r="R2224" s="134"/>
      <c r="S2224" s="5" t="s">
        <v>2633</v>
      </c>
      <c r="T2224" s="6"/>
      <c r="U2224" s="8">
        <v>5</v>
      </c>
      <c r="V2224" s="5" t="s">
        <v>106</v>
      </c>
      <c r="W2224" s="12">
        <v>11787708</v>
      </c>
      <c r="X2224" s="6"/>
      <c r="Y2224" s="6"/>
    </row>
    <row r="2225" spans="1:25" ht="15" customHeight="1" x14ac:dyDescent="0.2">
      <c r="A2225" s="88" t="s">
        <v>2631</v>
      </c>
      <c r="B2225" s="90"/>
      <c r="C2225" s="88" t="s">
        <v>2725</v>
      </c>
      <c r="D2225" s="89"/>
      <c r="E2225" s="89"/>
      <c r="F2225" s="89"/>
      <c r="G2225" s="89"/>
      <c r="H2225" s="89"/>
      <c r="I2225" s="90"/>
      <c r="J2225" s="88" t="s">
        <v>1499</v>
      </c>
      <c r="K2225" s="89"/>
      <c r="L2225" s="89"/>
      <c r="M2225" s="90"/>
      <c r="N2225" s="88" t="s">
        <v>701</v>
      </c>
      <c r="O2225" s="89"/>
      <c r="P2225" s="90"/>
      <c r="Q2225" s="133">
        <v>1999</v>
      </c>
      <c r="R2225" s="134"/>
      <c r="S2225" s="5" t="s">
        <v>2633</v>
      </c>
      <c r="T2225" s="6"/>
      <c r="U2225" s="8">
        <v>5</v>
      </c>
      <c r="V2225" s="5" t="s">
        <v>106</v>
      </c>
      <c r="W2225" s="12">
        <v>13066285</v>
      </c>
      <c r="X2225" s="6"/>
      <c r="Y2225" s="6"/>
    </row>
    <row r="2226" spans="1:25" ht="15" customHeight="1" x14ac:dyDescent="0.2">
      <c r="A2226" s="88" t="s">
        <v>2631</v>
      </c>
      <c r="B2226" s="90"/>
      <c r="C2226" s="88" t="s">
        <v>2726</v>
      </c>
      <c r="D2226" s="89"/>
      <c r="E2226" s="89"/>
      <c r="F2226" s="89"/>
      <c r="G2226" s="89"/>
      <c r="H2226" s="89"/>
      <c r="I2226" s="90"/>
      <c r="J2226" s="88" t="s">
        <v>1499</v>
      </c>
      <c r="K2226" s="89"/>
      <c r="L2226" s="89"/>
      <c r="M2226" s="90"/>
      <c r="N2226" s="88" t="s">
        <v>701</v>
      </c>
      <c r="O2226" s="89"/>
      <c r="P2226" s="90"/>
      <c r="Q2226" s="133">
        <v>1999</v>
      </c>
      <c r="R2226" s="134"/>
      <c r="S2226" s="5" t="s">
        <v>2633</v>
      </c>
      <c r="T2226" s="6"/>
      <c r="U2226" s="8">
        <v>5</v>
      </c>
      <c r="V2226" s="5" t="s">
        <v>106</v>
      </c>
      <c r="W2226" s="12">
        <v>15732164</v>
      </c>
      <c r="X2226" s="6"/>
      <c r="Y2226" s="6"/>
    </row>
    <row r="2227" spans="1:25" ht="15" customHeight="1" x14ac:dyDescent="0.2">
      <c r="A2227" s="88" t="s">
        <v>2631</v>
      </c>
      <c r="B2227" s="90"/>
      <c r="C2227" s="88" t="s">
        <v>2727</v>
      </c>
      <c r="D2227" s="90"/>
      <c r="E2227" s="106"/>
      <c r="F2227" s="107"/>
      <c r="G2227" s="107"/>
      <c r="H2227" s="107"/>
      <c r="I2227" s="108"/>
      <c r="J2227" s="88" t="s">
        <v>1499</v>
      </c>
      <c r="K2227" s="89"/>
      <c r="L2227" s="89"/>
      <c r="M2227" s="90"/>
      <c r="N2227" s="88" t="s">
        <v>701</v>
      </c>
      <c r="O2227" s="89"/>
      <c r="P2227" s="90"/>
      <c r="Q2227" s="133">
        <v>1999</v>
      </c>
      <c r="R2227" s="134"/>
      <c r="S2227" s="5" t="s">
        <v>2633</v>
      </c>
      <c r="T2227" s="6"/>
      <c r="U2227" s="8">
        <v>5</v>
      </c>
      <c r="V2227" s="5" t="s">
        <v>106</v>
      </c>
      <c r="W2227" s="12">
        <v>12621684</v>
      </c>
      <c r="X2227" s="6"/>
      <c r="Y2227" s="6"/>
    </row>
    <row r="2228" spans="1:25" ht="15" customHeight="1" x14ac:dyDescent="0.2">
      <c r="A2228" s="88" t="s">
        <v>2631</v>
      </c>
      <c r="B2228" s="90"/>
      <c r="C2228" s="88" t="s">
        <v>2728</v>
      </c>
      <c r="D2228" s="89"/>
      <c r="E2228" s="89"/>
      <c r="F2228" s="89"/>
      <c r="G2228" s="89"/>
      <c r="H2228" s="89"/>
      <c r="I2228" s="90"/>
      <c r="J2228" s="88" t="s">
        <v>1499</v>
      </c>
      <c r="K2228" s="89"/>
      <c r="L2228" s="89"/>
      <c r="M2228" s="90"/>
      <c r="N2228" s="88" t="s">
        <v>701</v>
      </c>
      <c r="O2228" s="89"/>
      <c r="P2228" s="90"/>
      <c r="Q2228" s="133">
        <v>1999</v>
      </c>
      <c r="R2228" s="134"/>
      <c r="S2228" s="5" t="s">
        <v>2633</v>
      </c>
      <c r="T2228" s="6"/>
      <c r="U2228" s="8">
        <v>5</v>
      </c>
      <c r="V2228" s="5" t="s">
        <v>106</v>
      </c>
      <c r="W2228" s="12">
        <v>12650898</v>
      </c>
      <c r="X2228" s="6"/>
      <c r="Y2228" s="6"/>
    </row>
    <row r="2229" spans="1:25" ht="15" customHeight="1" x14ac:dyDescent="0.2">
      <c r="A2229" s="88" t="s">
        <v>2631</v>
      </c>
      <c r="B2229" s="90"/>
      <c r="C2229" s="88" t="s">
        <v>2729</v>
      </c>
      <c r="D2229" s="89"/>
      <c r="E2229" s="89"/>
      <c r="F2229" s="89"/>
      <c r="G2229" s="89"/>
      <c r="H2229" s="89"/>
      <c r="I2229" s="90"/>
      <c r="J2229" s="88" t="s">
        <v>1499</v>
      </c>
      <c r="K2229" s="89"/>
      <c r="L2229" s="89"/>
      <c r="M2229" s="90"/>
      <c r="N2229" s="88" t="s">
        <v>701</v>
      </c>
      <c r="O2229" s="89"/>
      <c r="P2229" s="90"/>
      <c r="Q2229" s="133">
        <v>1999</v>
      </c>
      <c r="R2229" s="134"/>
      <c r="S2229" s="5" t="s">
        <v>2633</v>
      </c>
      <c r="T2229" s="6"/>
      <c r="U2229" s="8">
        <v>5</v>
      </c>
      <c r="V2229" s="5" t="s">
        <v>106</v>
      </c>
      <c r="W2229" s="12">
        <v>15678812</v>
      </c>
      <c r="X2229" s="6"/>
      <c r="Y2229" s="6"/>
    </row>
    <row r="2230" spans="1:25" ht="15" customHeight="1" x14ac:dyDescent="0.2">
      <c r="A2230" s="88" t="s">
        <v>2631</v>
      </c>
      <c r="B2230" s="90"/>
      <c r="C2230" s="88" t="s">
        <v>2730</v>
      </c>
      <c r="D2230" s="89"/>
      <c r="E2230" s="89"/>
      <c r="F2230" s="89"/>
      <c r="G2230" s="89"/>
      <c r="H2230" s="89"/>
      <c r="I2230" s="90"/>
      <c r="J2230" s="88" t="s">
        <v>1499</v>
      </c>
      <c r="K2230" s="89"/>
      <c r="L2230" s="89"/>
      <c r="M2230" s="90"/>
      <c r="N2230" s="88" t="s">
        <v>701</v>
      </c>
      <c r="O2230" s="89"/>
      <c r="P2230" s="90"/>
      <c r="Q2230" s="133">
        <v>1999</v>
      </c>
      <c r="R2230" s="134"/>
      <c r="S2230" s="5" t="s">
        <v>2633</v>
      </c>
      <c r="T2230" s="6"/>
      <c r="U2230" s="8">
        <v>5</v>
      </c>
      <c r="V2230" s="5" t="s">
        <v>106</v>
      </c>
      <c r="W2230" s="12">
        <v>16598446</v>
      </c>
      <c r="X2230" s="6"/>
      <c r="Y2230" s="6"/>
    </row>
    <row r="2231" spans="1:25" ht="15" customHeight="1" x14ac:dyDescent="0.2">
      <c r="A2231" s="88" t="s">
        <v>2631</v>
      </c>
      <c r="B2231" s="90"/>
      <c r="C2231" s="88" t="s">
        <v>2731</v>
      </c>
      <c r="D2231" s="89"/>
      <c r="E2231" s="89"/>
      <c r="F2231" s="89"/>
      <c r="G2231" s="89"/>
      <c r="H2231" s="89"/>
      <c r="I2231" s="90"/>
      <c r="J2231" s="88" t="s">
        <v>1499</v>
      </c>
      <c r="K2231" s="89"/>
      <c r="L2231" s="89"/>
      <c r="M2231" s="90"/>
      <c r="N2231" s="88" t="s">
        <v>701</v>
      </c>
      <c r="O2231" s="89"/>
      <c r="P2231" s="90"/>
      <c r="Q2231" s="133">
        <v>1999</v>
      </c>
      <c r="R2231" s="134"/>
      <c r="S2231" s="5" t="s">
        <v>2633</v>
      </c>
      <c r="T2231" s="6"/>
      <c r="U2231" s="8">
        <v>5</v>
      </c>
      <c r="V2231" s="5" t="s">
        <v>106</v>
      </c>
      <c r="W2231" s="12">
        <v>14094525</v>
      </c>
      <c r="X2231" s="6"/>
      <c r="Y2231" s="6"/>
    </row>
    <row r="2232" spans="1:25" ht="15" customHeight="1" x14ac:dyDescent="0.2">
      <c r="A2232" s="88" t="s">
        <v>2631</v>
      </c>
      <c r="B2232" s="90"/>
      <c r="C2232" s="88" t="s">
        <v>2732</v>
      </c>
      <c r="D2232" s="90"/>
      <c r="E2232" s="106"/>
      <c r="F2232" s="107"/>
      <c r="G2232" s="107"/>
      <c r="H2232" s="107"/>
      <c r="I2232" s="108"/>
      <c r="J2232" s="88" t="s">
        <v>1499</v>
      </c>
      <c r="K2232" s="89"/>
      <c r="L2232" s="89"/>
      <c r="M2232" s="90"/>
      <c r="N2232" s="88" t="s">
        <v>701</v>
      </c>
      <c r="O2232" s="89"/>
      <c r="P2232" s="90"/>
      <c r="Q2232" s="133">
        <v>1999</v>
      </c>
      <c r="R2232" s="134"/>
      <c r="S2232" s="5" t="s">
        <v>2633</v>
      </c>
      <c r="T2232" s="6"/>
      <c r="U2232" s="8">
        <v>5</v>
      </c>
      <c r="V2232" s="5" t="s">
        <v>106</v>
      </c>
      <c r="W2232" s="12">
        <v>12682513</v>
      </c>
      <c r="X2232" s="6"/>
      <c r="Y2232" s="6"/>
    </row>
    <row r="2233" spans="1:25" ht="15" customHeight="1" x14ac:dyDescent="0.2">
      <c r="A2233" s="88" t="s">
        <v>2631</v>
      </c>
      <c r="B2233" s="90"/>
      <c r="C2233" s="88" t="s">
        <v>2733</v>
      </c>
      <c r="D2233" s="89"/>
      <c r="E2233" s="89"/>
      <c r="F2233" s="89"/>
      <c r="G2233" s="89"/>
      <c r="H2233" s="89"/>
      <c r="I2233" s="90"/>
      <c r="J2233" s="88" t="s">
        <v>1499</v>
      </c>
      <c r="K2233" s="89"/>
      <c r="L2233" s="89"/>
      <c r="M2233" s="90"/>
      <c r="N2233" s="88" t="s">
        <v>701</v>
      </c>
      <c r="O2233" s="89"/>
      <c r="P2233" s="90"/>
      <c r="Q2233" s="133">
        <v>1999</v>
      </c>
      <c r="R2233" s="134"/>
      <c r="S2233" s="5" t="s">
        <v>2633</v>
      </c>
      <c r="T2233" s="6"/>
      <c r="U2233" s="8">
        <v>5</v>
      </c>
      <c r="V2233" s="5" t="s">
        <v>106</v>
      </c>
      <c r="W2233" s="12">
        <v>14033392</v>
      </c>
      <c r="X2233" s="6"/>
      <c r="Y2233" s="6"/>
    </row>
    <row r="2234" spans="1:25" ht="15" customHeight="1" x14ac:dyDescent="0.2">
      <c r="A2234" s="88" t="s">
        <v>2631</v>
      </c>
      <c r="B2234" s="90"/>
      <c r="C2234" s="88" t="s">
        <v>2734</v>
      </c>
      <c r="D2234" s="89"/>
      <c r="E2234" s="89"/>
      <c r="F2234" s="89"/>
      <c r="G2234" s="89"/>
      <c r="H2234" s="89"/>
      <c r="I2234" s="90"/>
      <c r="J2234" s="88" t="s">
        <v>1499</v>
      </c>
      <c r="K2234" s="89"/>
      <c r="L2234" s="89"/>
      <c r="M2234" s="90"/>
      <c r="N2234" s="88" t="s">
        <v>701</v>
      </c>
      <c r="O2234" s="89"/>
      <c r="P2234" s="90"/>
      <c r="Q2234" s="133">
        <v>1999</v>
      </c>
      <c r="R2234" s="134"/>
      <c r="S2234" s="5" t="s">
        <v>2633</v>
      </c>
      <c r="T2234" s="6"/>
      <c r="U2234" s="8">
        <v>5</v>
      </c>
      <c r="V2234" s="5" t="s">
        <v>106</v>
      </c>
      <c r="W2234" s="12">
        <v>15272858</v>
      </c>
      <c r="X2234" s="6"/>
      <c r="Y2234" s="6"/>
    </row>
    <row r="2235" spans="1:25" ht="15" customHeight="1" x14ac:dyDescent="0.2">
      <c r="A2235" s="88" t="s">
        <v>2631</v>
      </c>
      <c r="B2235" s="90"/>
      <c r="C2235" s="88" t="s">
        <v>2735</v>
      </c>
      <c r="D2235" s="90"/>
      <c r="E2235" s="106"/>
      <c r="F2235" s="107"/>
      <c r="G2235" s="107"/>
      <c r="H2235" s="107"/>
      <c r="I2235" s="108"/>
      <c r="J2235" s="88" t="s">
        <v>1499</v>
      </c>
      <c r="K2235" s="89"/>
      <c r="L2235" s="89"/>
      <c r="M2235" s="90"/>
      <c r="N2235" s="88" t="s">
        <v>701</v>
      </c>
      <c r="O2235" s="89"/>
      <c r="P2235" s="90"/>
      <c r="Q2235" s="133">
        <v>1999</v>
      </c>
      <c r="R2235" s="134"/>
      <c r="S2235" s="5" t="s">
        <v>2633</v>
      </c>
      <c r="T2235" s="6"/>
      <c r="U2235" s="8">
        <v>5</v>
      </c>
      <c r="V2235" s="5" t="s">
        <v>106</v>
      </c>
      <c r="W2235" s="12">
        <v>13344731</v>
      </c>
      <c r="X2235" s="6"/>
      <c r="Y2235" s="6"/>
    </row>
    <row r="2236" spans="1:25" ht="15" customHeight="1" x14ac:dyDescent="0.2">
      <c r="A2236" s="88" t="s">
        <v>2631</v>
      </c>
      <c r="B2236" s="90"/>
      <c r="C2236" s="88" t="s">
        <v>2736</v>
      </c>
      <c r="D2236" s="89"/>
      <c r="E2236" s="89"/>
      <c r="F2236" s="89"/>
      <c r="G2236" s="89"/>
      <c r="H2236" s="89"/>
      <c r="I2236" s="90"/>
      <c r="J2236" s="88" t="s">
        <v>1499</v>
      </c>
      <c r="K2236" s="89"/>
      <c r="L2236" s="89"/>
      <c r="M2236" s="90"/>
      <c r="N2236" s="88" t="s">
        <v>701</v>
      </c>
      <c r="O2236" s="89"/>
      <c r="P2236" s="90"/>
      <c r="Q2236" s="133">
        <v>1999</v>
      </c>
      <c r="R2236" s="134"/>
      <c r="S2236" s="5" t="s">
        <v>2633</v>
      </c>
      <c r="T2236" s="6"/>
      <c r="U2236" s="8">
        <v>5</v>
      </c>
      <c r="V2236" s="5" t="s">
        <v>106</v>
      </c>
      <c r="W2236" s="12">
        <v>13244308</v>
      </c>
      <c r="X2236" s="6"/>
      <c r="Y2236" s="6"/>
    </row>
    <row r="2237" spans="1:25" ht="15" customHeight="1" x14ac:dyDescent="0.2">
      <c r="A2237" s="88" t="s">
        <v>2631</v>
      </c>
      <c r="B2237" s="90"/>
      <c r="C2237" s="88" t="s">
        <v>2737</v>
      </c>
      <c r="D2237" s="89"/>
      <c r="E2237" s="89"/>
      <c r="F2237" s="89"/>
      <c r="G2237" s="89"/>
      <c r="H2237" s="89"/>
      <c r="I2237" s="90"/>
      <c r="J2237" s="88" t="s">
        <v>1499</v>
      </c>
      <c r="K2237" s="89"/>
      <c r="L2237" s="89"/>
      <c r="M2237" s="90"/>
      <c r="N2237" s="88" t="s">
        <v>701</v>
      </c>
      <c r="O2237" s="89"/>
      <c r="P2237" s="90"/>
      <c r="Q2237" s="133">
        <v>1999</v>
      </c>
      <c r="R2237" s="134"/>
      <c r="S2237" s="5" t="s">
        <v>2633</v>
      </c>
      <c r="T2237" s="6"/>
      <c r="U2237" s="8">
        <v>5</v>
      </c>
      <c r="V2237" s="5" t="s">
        <v>106</v>
      </c>
      <c r="W2237" s="12">
        <v>14523031</v>
      </c>
      <c r="X2237" s="6"/>
      <c r="Y2237" s="6"/>
    </row>
    <row r="2238" spans="1:25" ht="15" customHeight="1" x14ac:dyDescent="0.2">
      <c r="A2238" s="88" t="s">
        <v>2631</v>
      </c>
      <c r="B2238" s="90"/>
      <c r="C2238" s="88" t="s">
        <v>2738</v>
      </c>
      <c r="D2238" s="89"/>
      <c r="E2238" s="89"/>
      <c r="F2238" s="89"/>
      <c r="G2238" s="89"/>
      <c r="H2238" s="89"/>
      <c r="I2238" s="90"/>
      <c r="J2238" s="88" t="s">
        <v>1499</v>
      </c>
      <c r="K2238" s="89"/>
      <c r="L2238" s="89"/>
      <c r="M2238" s="90"/>
      <c r="N2238" s="88" t="s">
        <v>701</v>
      </c>
      <c r="O2238" s="89"/>
      <c r="P2238" s="90"/>
      <c r="Q2238" s="133">
        <v>1999</v>
      </c>
      <c r="R2238" s="134"/>
      <c r="S2238" s="5" t="s">
        <v>2633</v>
      </c>
      <c r="T2238" s="6"/>
      <c r="U2238" s="8">
        <v>5</v>
      </c>
      <c r="V2238" s="5" t="s">
        <v>106</v>
      </c>
      <c r="W2238" s="12">
        <v>15046145</v>
      </c>
      <c r="X2238" s="6"/>
      <c r="Y2238" s="6"/>
    </row>
    <row r="2239" spans="1:25" ht="15" customHeight="1" x14ac:dyDescent="0.2">
      <c r="A2239" s="88" t="s">
        <v>2631</v>
      </c>
      <c r="B2239" s="90"/>
      <c r="C2239" s="88" t="s">
        <v>2739</v>
      </c>
      <c r="D2239" s="89"/>
      <c r="E2239" s="89"/>
      <c r="F2239" s="89"/>
      <c r="G2239" s="89"/>
      <c r="H2239" s="89"/>
      <c r="I2239" s="90"/>
      <c r="J2239" s="88" t="s">
        <v>1499</v>
      </c>
      <c r="K2239" s="89"/>
      <c r="L2239" s="89"/>
      <c r="M2239" s="90"/>
      <c r="N2239" s="88" t="s">
        <v>701</v>
      </c>
      <c r="O2239" s="89"/>
      <c r="P2239" s="90"/>
      <c r="Q2239" s="133">
        <v>1999</v>
      </c>
      <c r="R2239" s="134"/>
      <c r="S2239" s="5" t="s">
        <v>2633</v>
      </c>
      <c r="T2239" s="6"/>
      <c r="U2239" s="8">
        <v>5</v>
      </c>
      <c r="V2239" s="5" t="s">
        <v>106</v>
      </c>
      <c r="W2239" s="12">
        <v>17510167</v>
      </c>
      <c r="X2239" s="6"/>
      <c r="Y2239" s="6"/>
    </row>
    <row r="2240" spans="1:25" ht="15" customHeight="1" x14ac:dyDescent="0.2">
      <c r="A2240" s="88" t="s">
        <v>2631</v>
      </c>
      <c r="B2240" s="90"/>
      <c r="C2240" s="88" t="s">
        <v>2740</v>
      </c>
      <c r="D2240" s="89"/>
      <c r="E2240" s="89"/>
      <c r="F2240" s="89"/>
      <c r="G2240" s="89"/>
      <c r="H2240" s="89"/>
      <c r="I2240" s="90"/>
      <c r="J2240" s="88" t="s">
        <v>1499</v>
      </c>
      <c r="K2240" s="89"/>
      <c r="L2240" s="89"/>
      <c r="M2240" s="90"/>
      <c r="N2240" s="88" t="s">
        <v>701</v>
      </c>
      <c r="O2240" s="89"/>
      <c r="P2240" s="90"/>
      <c r="Q2240" s="133">
        <v>1999</v>
      </c>
      <c r="R2240" s="134"/>
      <c r="S2240" s="5" t="s">
        <v>2633</v>
      </c>
      <c r="T2240" s="6"/>
      <c r="U2240" s="8">
        <v>5</v>
      </c>
      <c r="V2240" s="5" t="s">
        <v>106</v>
      </c>
      <c r="W2240" s="12">
        <v>16193709</v>
      </c>
      <c r="X2240" s="6"/>
      <c r="Y2240" s="6"/>
    </row>
    <row r="2241" spans="1:25" ht="15" customHeight="1" x14ac:dyDescent="0.2">
      <c r="A2241" s="88" t="s">
        <v>2631</v>
      </c>
      <c r="B2241" s="90"/>
      <c r="C2241" s="88" t="s">
        <v>2741</v>
      </c>
      <c r="D2241" s="89"/>
      <c r="E2241" s="89"/>
      <c r="F2241" s="89"/>
      <c r="G2241" s="89"/>
      <c r="H2241" s="89"/>
      <c r="I2241" s="90"/>
      <c r="J2241" s="88" t="s">
        <v>1499</v>
      </c>
      <c r="K2241" s="89"/>
      <c r="L2241" s="89"/>
      <c r="M2241" s="90"/>
      <c r="N2241" s="88" t="s">
        <v>701</v>
      </c>
      <c r="O2241" s="89"/>
      <c r="P2241" s="90"/>
      <c r="Q2241" s="133">
        <v>1999</v>
      </c>
      <c r="R2241" s="134"/>
      <c r="S2241" s="5" t="s">
        <v>2633</v>
      </c>
      <c r="T2241" s="6"/>
      <c r="U2241" s="8">
        <v>5</v>
      </c>
      <c r="V2241" s="5" t="s">
        <v>106</v>
      </c>
      <c r="W2241" s="12">
        <v>19099594</v>
      </c>
      <c r="X2241" s="6"/>
      <c r="Y2241" s="6"/>
    </row>
    <row r="2242" spans="1:25" ht="15" customHeight="1" x14ac:dyDescent="0.2">
      <c r="A2242" s="88" t="s">
        <v>2631</v>
      </c>
      <c r="B2242" s="90"/>
      <c r="C2242" s="88" t="s">
        <v>2742</v>
      </c>
      <c r="D2242" s="89"/>
      <c r="E2242" s="89"/>
      <c r="F2242" s="89"/>
      <c r="G2242" s="89"/>
      <c r="H2242" s="89"/>
      <c r="I2242" s="90"/>
      <c r="J2242" s="88" t="s">
        <v>1499</v>
      </c>
      <c r="K2242" s="89"/>
      <c r="L2242" s="89"/>
      <c r="M2242" s="90"/>
      <c r="N2242" s="88" t="s">
        <v>701</v>
      </c>
      <c r="O2242" s="89"/>
      <c r="P2242" s="90"/>
      <c r="Q2242" s="133">
        <v>1999</v>
      </c>
      <c r="R2242" s="134"/>
      <c r="S2242" s="5" t="s">
        <v>2633</v>
      </c>
      <c r="T2242" s="6"/>
      <c r="U2242" s="8">
        <v>5</v>
      </c>
      <c r="V2242" s="5" t="s">
        <v>106</v>
      </c>
      <c r="W2242" s="12">
        <v>15207431</v>
      </c>
      <c r="X2242" s="6"/>
      <c r="Y2242" s="6"/>
    </row>
    <row r="2243" spans="1:25" ht="15" customHeight="1" x14ac:dyDescent="0.2">
      <c r="A2243" s="88" t="s">
        <v>2631</v>
      </c>
      <c r="B2243" s="90"/>
      <c r="C2243" s="88" t="s">
        <v>2743</v>
      </c>
      <c r="D2243" s="89"/>
      <c r="E2243" s="89"/>
      <c r="F2243" s="89"/>
      <c r="G2243" s="89"/>
      <c r="H2243" s="89"/>
      <c r="I2243" s="90"/>
      <c r="J2243" s="88" t="s">
        <v>1499</v>
      </c>
      <c r="K2243" s="89"/>
      <c r="L2243" s="89"/>
      <c r="M2243" s="90"/>
      <c r="N2243" s="88" t="s">
        <v>701</v>
      </c>
      <c r="O2243" s="89"/>
      <c r="P2243" s="90"/>
      <c r="Q2243" s="133">
        <v>1999</v>
      </c>
      <c r="R2243" s="134"/>
      <c r="S2243" s="5" t="s">
        <v>2633</v>
      </c>
      <c r="T2243" s="6"/>
      <c r="U2243" s="8">
        <v>5</v>
      </c>
      <c r="V2243" s="5" t="s">
        <v>106</v>
      </c>
      <c r="W2243" s="12">
        <v>17464825</v>
      </c>
      <c r="X2243" s="6"/>
      <c r="Y2243" s="6"/>
    </row>
    <row r="2244" spans="1:25" ht="15" customHeight="1" x14ac:dyDescent="0.2">
      <c r="A2244" s="88" t="s">
        <v>2631</v>
      </c>
      <c r="B2244" s="90"/>
      <c r="C2244" s="88" t="s">
        <v>2744</v>
      </c>
      <c r="D2244" s="89"/>
      <c r="E2244" s="89"/>
      <c r="F2244" s="89"/>
      <c r="G2244" s="89"/>
      <c r="H2244" s="89"/>
      <c r="I2244" s="90"/>
      <c r="J2244" s="88" t="s">
        <v>1499</v>
      </c>
      <c r="K2244" s="89"/>
      <c r="L2244" s="89"/>
      <c r="M2244" s="90"/>
      <c r="N2244" s="88" t="s">
        <v>701</v>
      </c>
      <c r="O2244" s="89"/>
      <c r="P2244" s="90"/>
      <c r="Q2244" s="133">
        <v>1999</v>
      </c>
      <c r="R2244" s="134"/>
      <c r="S2244" s="5" t="s">
        <v>2633</v>
      </c>
      <c r="T2244" s="6"/>
      <c r="U2244" s="8">
        <v>5</v>
      </c>
      <c r="V2244" s="5" t="s">
        <v>106</v>
      </c>
      <c r="W2244" s="12">
        <v>19723740</v>
      </c>
      <c r="X2244" s="6"/>
      <c r="Y2244" s="6"/>
    </row>
    <row r="2245" spans="1:25" ht="15" customHeight="1" x14ac:dyDescent="0.2">
      <c r="A2245" s="88" t="s">
        <v>2631</v>
      </c>
      <c r="B2245" s="90"/>
      <c r="C2245" s="88" t="s">
        <v>2745</v>
      </c>
      <c r="D2245" s="89"/>
      <c r="E2245" s="89"/>
      <c r="F2245" s="89"/>
      <c r="G2245" s="89"/>
      <c r="H2245" s="89"/>
      <c r="I2245" s="90"/>
      <c r="J2245" s="88" t="s">
        <v>1499</v>
      </c>
      <c r="K2245" s="89"/>
      <c r="L2245" s="89"/>
      <c r="M2245" s="90"/>
      <c r="N2245" s="88" t="s">
        <v>701</v>
      </c>
      <c r="O2245" s="89"/>
      <c r="P2245" s="90"/>
      <c r="Q2245" s="133">
        <v>1999</v>
      </c>
      <c r="R2245" s="134"/>
      <c r="S2245" s="5" t="s">
        <v>2633</v>
      </c>
      <c r="T2245" s="6"/>
      <c r="U2245" s="8">
        <v>5</v>
      </c>
      <c r="V2245" s="5" t="s">
        <v>106</v>
      </c>
      <c r="W2245" s="12">
        <v>15841011</v>
      </c>
      <c r="X2245" s="6"/>
      <c r="Y2245" s="6"/>
    </row>
    <row r="2246" spans="1:25" ht="15" customHeight="1" x14ac:dyDescent="0.2">
      <c r="A2246" s="88" t="s">
        <v>2631</v>
      </c>
      <c r="B2246" s="90"/>
      <c r="C2246" s="88" t="s">
        <v>2746</v>
      </c>
      <c r="D2246" s="89"/>
      <c r="E2246" s="89"/>
      <c r="F2246" s="89"/>
      <c r="G2246" s="89"/>
      <c r="H2246" s="89"/>
      <c r="I2246" s="90"/>
      <c r="J2246" s="88" t="s">
        <v>1499</v>
      </c>
      <c r="K2246" s="89"/>
      <c r="L2246" s="89"/>
      <c r="M2246" s="90"/>
      <c r="N2246" s="88" t="s">
        <v>701</v>
      </c>
      <c r="O2246" s="89"/>
      <c r="P2246" s="90"/>
      <c r="Q2246" s="133">
        <v>1999</v>
      </c>
      <c r="R2246" s="134"/>
      <c r="S2246" s="5" t="s">
        <v>2633</v>
      </c>
      <c r="T2246" s="6"/>
      <c r="U2246" s="8">
        <v>5</v>
      </c>
      <c r="V2246" s="5" t="s">
        <v>106</v>
      </c>
      <c r="W2246" s="12">
        <v>16239052</v>
      </c>
      <c r="X2246" s="6"/>
      <c r="Y2246" s="6"/>
    </row>
    <row r="2247" spans="1:25" ht="15" customHeight="1" x14ac:dyDescent="0.2">
      <c r="A2247" s="88" t="s">
        <v>2631</v>
      </c>
      <c r="B2247" s="90"/>
      <c r="C2247" s="88" t="s">
        <v>2747</v>
      </c>
      <c r="D2247" s="90"/>
      <c r="E2247" s="106"/>
      <c r="F2247" s="107"/>
      <c r="G2247" s="107"/>
      <c r="H2247" s="107"/>
      <c r="I2247" s="108"/>
      <c r="J2247" s="88" t="s">
        <v>1499</v>
      </c>
      <c r="K2247" s="89"/>
      <c r="L2247" s="89"/>
      <c r="M2247" s="90"/>
      <c r="N2247" s="88" t="s">
        <v>701</v>
      </c>
      <c r="O2247" s="89"/>
      <c r="P2247" s="90"/>
      <c r="Q2247" s="133">
        <v>1999</v>
      </c>
      <c r="R2247" s="134"/>
      <c r="S2247" s="5" t="s">
        <v>2633</v>
      </c>
      <c r="T2247" s="6"/>
      <c r="U2247" s="8">
        <v>5</v>
      </c>
      <c r="V2247" s="5" t="s">
        <v>106</v>
      </c>
      <c r="W2247" s="12">
        <v>14346530</v>
      </c>
      <c r="X2247" s="6"/>
      <c r="Y2247" s="6"/>
    </row>
    <row r="2248" spans="1:25" ht="15" customHeight="1" x14ac:dyDescent="0.2">
      <c r="A2248" s="88" t="s">
        <v>2631</v>
      </c>
      <c r="B2248" s="90"/>
      <c r="C2248" s="88" t="s">
        <v>2748</v>
      </c>
      <c r="D2248" s="89"/>
      <c r="E2248" s="89"/>
      <c r="F2248" s="89"/>
      <c r="G2248" s="89"/>
      <c r="H2248" s="89"/>
      <c r="I2248" s="90"/>
      <c r="J2248" s="88" t="s">
        <v>1499</v>
      </c>
      <c r="K2248" s="89"/>
      <c r="L2248" s="89"/>
      <c r="M2248" s="90"/>
      <c r="N2248" s="88" t="s">
        <v>701</v>
      </c>
      <c r="O2248" s="89"/>
      <c r="P2248" s="90"/>
      <c r="Q2248" s="133">
        <v>1999</v>
      </c>
      <c r="R2248" s="134"/>
      <c r="S2248" s="5" t="s">
        <v>2633</v>
      </c>
      <c r="T2248" s="6"/>
      <c r="U2248" s="8">
        <v>5</v>
      </c>
      <c r="V2248" s="5" t="s">
        <v>106</v>
      </c>
      <c r="W2248" s="12">
        <v>14301187</v>
      </c>
      <c r="X2248" s="6"/>
      <c r="Y2248" s="6"/>
    </row>
    <row r="2249" spans="1:25" ht="15" customHeight="1" x14ac:dyDescent="0.2">
      <c r="A2249" s="88" t="s">
        <v>2631</v>
      </c>
      <c r="B2249" s="90"/>
      <c r="C2249" s="88" t="s">
        <v>2749</v>
      </c>
      <c r="D2249" s="89"/>
      <c r="E2249" s="89"/>
      <c r="F2249" s="89"/>
      <c r="G2249" s="89"/>
      <c r="H2249" s="89"/>
      <c r="I2249" s="90"/>
      <c r="J2249" s="88" t="s">
        <v>1499</v>
      </c>
      <c r="K2249" s="89"/>
      <c r="L2249" s="89"/>
      <c r="M2249" s="90"/>
      <c r="N2249" s="88" t="s">
        <v>701</v>
      </c>
      <c r="O2249" s="89"/>
      <c r="P2249" s="90"/>
      <c r="Q2249" s="133">
        <v>1999</v>
      </c>
      <c r="R2249" s="134"/>
      <c r="S2249" s="5" t="s">
        <v>2633</v>
      </c>
      <c r="T2249" s="6"/>
      <c r="U2249" s="8">
        <v>5</v>
      </c>
      <c r="V2249" s="5" t="s">
        <v>106</v>
      </c>
      <c r="W2249" s="12">
        <v>16759123</v>
      </c>
      <c r="X2249" s="6"/>
      <c r="Y2249" s="6"/>
    </row>
    <row r="2250" spans="1:25" ht="15" customHeight="1" x14ac:dyDescent="0.2">
      <c r="A2250" s="88" t="s">
        <v>2631</v>
      </c>
      <c r="B2250" s="90"/>
      <c r="C2250" s="88" t="s">
        <v>2750</v>
      </c>
      <c r="D2250" s="90"/>
      <c r="E2250" s="106"/>
      <c r="F2250" s="107"/>
      <c r="G2250" s="107"/>
      <c r="H2250" s="107"/>
      <c r="I2250" s="108"/>
      <c r="J2250" s="88" t="s">
        <v>1499</v>
      </c>
      <c r="K2250" s="89"/>
      <c r="L2250" s="89"/>
      <c r="M2250" s="90"/>
      <c r="N2250" s="88" t="s">
        <v>701</v>
      </c>
      <c r="O2250" s="89"/>
      <c r="P2250" s="90"/>
      <c r="Q2250" s="133">
        <v>1999</v>
      </c>
      <c r="R2250" s="134"/>
      <c r="S2250" s="5" t="s">
        <v>2633</v>
      </c>
      <c r="T2250" s="6"/>
      <c r="U2250" s="8">
        <v>5</v>
      </c>
      <c r="V2250" s="5" t="s">
        <v>106</v>
      </c>
      <c r="W2250" s="12">
        <v>13342601</v>
      </c>
      <c r="X2250" s="6"/>
      <c r="Y2250" s="6"/>
    </row>
    <row r="2251" spans="1:25" ht="15" customHeight="1" x14ac:dyDescent="0.2">
      <c r="A2251" s="88" t="s">
        <v>2631</v>
      </c>
      <c r="B2251" s="90"/>
      <c r="C2251" s="88" t="s">
        <v>2751</v>
      </c>
      <c r="D2251" s="89"/>
      <c r="E2251" s="89"/>
      <c r="F2251" s="89"/>
      <c r="G2251" s="89"/>
      <c r="H2251" s="89"/>
      <c r="I2251" s="90"/>
      <c r="J2251" s="88" t="s">
        <v>1499</v>
      </c>
      <c r="K2251" s="89"/>
      <c r="L2251" s="89"/>
      <c r="M2251" s="90"/>
      <c r="N2251" s="88" t="s">
        <v>701</v>
      </c>
      <c r="O2251" s="89"/>
      <c r="P2251" s="90"/>
      <c r="Q2251" s="133">
        <v>1999</v>
      </c>
      <c r="R2251" s="134"/>
      <c r="S2251" s="5" t="s">
        <v>2633</v>
      </c>
      <c r="T2251" s="6"/>
      <c r="U2251" s="8">
        <v>5</v>
      </c>
      <c r="V2251" s="5" t="s">
        <v>106</v>
      </c>
      <c r="W2251" s="12">
        <v>19144936</v>
      </c>
      <c r="X2251" s="6"/>
      <c r="Y2251" s="6"/>
    </row>
    <row r="2252" spans="1:25" ht="15" customHeight="1" x14ac:dyDescent="0.2">
      <c r="A2252" s="88" t="s">
        <v>2631</v>
      </c>
      <c r="B2252" s="90"/>
      <c r="C2252" s="88" t="s">
        <v>2752</v>
      </c>
      <c r="D2252" s="90"/>
      <c r="E2252" s="106"/>
      <c r="F2252" s="107"/>
      <c r="G2252" s="107"/>
      <c r="H2252" s="107"/>
      <c r="I2252" s="108"/>
      <c r="J2252" s="88" t="s">
        <v>1499</v>
      </c>
      <c r="K2252" s="89"/>
      <c r="L2252" s="89"/>
      <c r="M2252" s="90"/>
      <c r="N2252" s="88" t="s">
        <v>701</v>
      </c>
      <c r="O2252" s="89"/>
      <c r="P2252" s="90"/>
      <c r="Q2252" s="133">
        <v>1999</v>
      </c>
      <c r="R2252" s="134"/>
      <c r="S2252" s="5" t="s">
        <v>2633</v>
      </c>
      <c r="T2252" s="6"/>
      <c r="U2252" s="8">
        <v>5</v>
      </c>
      <c r="V2252" s="5" t="s">
        <v>106</v>
      </c>
      <c r="W2252" s="12">
        <v>14916812</v>
      </c>
      <c r="X2252" s="6"/>
      <c r="Y2252" s="6"/>
    </row>
    <row r="2253" spans="1:25" ht="15" customHeight="1" x14ac:dyDescent="0.2">
      <c r="A2253" s="88" t="s">
        <v>2631</v>
      </c>
      <c r="B2253" s="90"/>
      <c r="C2253" s="88" t="s">
        <v>2753</v>
      </c>
      <c r="D2253" s="89"/>
      <c r="E2253" s="89"/>
      <c r="F2253" s="89"/>
      <c r="G2253" s="89"/>
      <c r="H2253" s="89"/>
      <c r="I2253" s="90"/>
      <c r="J2253" s="88" t="s">
        <v>1499</v>
      </c>
      <c r="K2253" s="89"/>
      <c r="L2253" s="89"/>
      <c r="M2253" s="90"/>
      <c r="N2253" s="88" t="s">
        <v>701</v>
      </c>
      <c r="O2253" s="89"/>
      <c r="P2253" s="90"/>
      <c r="Q2253" s="133">
        <v>1999</v>
      </c>
      <c r="R2253" s="134"/>
      <c r="S2253" s="5" t="s">
        <v>2633</v>
      </c>
      <c r="T2253" s="6"/>
      <c r="U2253" s="8">
        <v>5</v>
      </c>
      <c r="V2253" s="5" t="s">
        <v>106</v>
      </c>
      <c r="W2253" s="12">
        <v>18056409</v>
      </c>
      <c r="X2253" s="6"/>
      <c r="Y2253" s="6"/>
    </row>
    <row r="2254" spans="1:25" ht="15" customHeight="1" x14ac:dyDescent="0.2">
      <c r="A2254" s="88" t="s">
        <v>2631</v>
      </c>
      <c r="B2254" s="90"/>
      <c r="C2254" s="88" t="s">
        <v>2754</v>
      </c>
      <c r="D2254" s="89"/>
      <c r="E2254" s="89"/>
      <c r="F2254" s="89"/>
      <c r="G2254" s="89"/>
      <c r="H2254" s="89"/>
      <c r="I2254" s="90"/>
      <c r="J2254" s="88" t="s">
        <v>1499</v>
      </c>
      <c r="K2254" s="89"/>
      <c r="L2254" s="89"/>
      <c r="M2254" s="90"/>
      <c r="N2254" s="88" t="s">
        <v>701</v>
      </c>
      <c r="O2254" s="89"/>
      <c r="P2254" s="90"/>
      <c r="Q2254" s="133">
        <v>1999</v>
      </c>
      <c r="R2254" s="134"/>
      <c r="S2254" s="5" t="s">
        <v>2633</v>
      </c>
      <c r="T2254" s="6"/>
      <c r="U2254" s="8">
        <v>5</v>
      </c>
      <c r="V2254" s="5" t="s">
        <v>106</v>
      </c>
      <c r="W2254" s="12">
        <v>22075774</v>
      </c>
      <c r="X2254" s="6"/>
      <c r="Y2254" s="6"/>
    </row>
    <row r="2255" spans="1:25" ht="15" customHeight="1" x14ac:dyDescent="0.2">
      <c r="A2255" s="88" t="s">
        <v>2631</v>
      </c>
      <c r="B2255" s="90"/>
      <c r="C2255" s="88" t="s">
        <v>2755</v>
      </c>
      <c r="D2255" s="89"/>
      <c r="E2255" s="89"/>
      <c r="F2255" s="89"/>
      <c r="G2255" s="89"/>
      <c r="H2255" s="89"/>
      <c r="I2255" s="90"/>
      <c r="J2255" s="88" t="s">
        <v>1499</v>
      </c>
      <c r="K2255" s="89"/>
      <c r="L2255" s="89"/>
      <c r="M2255" s="90"/>
      <c r="N2255" s="88" t="s">
        <v>701</v>
      </c>
      <c r="O2255" s="89"/>
      <c r="P2255" s="90"/>
      <c r="Q2255" s="133">
        <v>1999</v>
      </c>
      <c r="R2255" s="134"/>
      <c r="S2255" s="5" t="s">
        <v>2633</v>
      </c>
      <c r="T2255" s="6"/>
      <c r="U2255" s="8">
        <v>5</v>
      </c>
      <c r="V2255" s="5" t="s">
        <v>106</v>
      </c>
      <c r="W2255" s="12">
        <v>20282762</v>
      </c>
      <c r="X2255" s="6"/>
      <c r="Y2255" s="6"/>
    </row>
    <row r="2256" spans="1:25" ht="15" customHeight="1" x14ac:dyDescent="0.2">
      <c r="A2256" s="88" t="s">
        <v>2631</v>
      </c>
      <c r="B2256" s="90"/>
      <c r="C2256" s="88" t="s">
        <v>2756</v>
      </c>
      <c r="D2256" s="90"/>
      <c r="E2256" s="106"/>
      <c r="F2256" s="107"/>
      <c r="G2256" s="107"/>
      <c r="H2256" s="107"/>
      <c r="I2256" s="108"/>
      <c r="J2256" s="88" t="s">
        <v>1499</v>
      </c>
      <c r="K2256" s="89"/>
      <c r="L2256" s="89"/>
      <c r="M2256" s="90"/>
      <c r="N2256" s="88" t="s">
        <v>701</v>
      </c>
      <c r="O2256" s="89"/>
      <c r="P2256" s="90"/>
      <c r="Q2256" s="133">
        <v>1999</v>
      </c>
      <c r="R2256" s="134"/>
      <c r="S2256" s="5" t="s">
        <v>2633</v>
      </c>
      <c r="T2256" s="6"/>
      <c r="U2256" s="8">
        <v>5</v>
      </c>
      <c r="V2256" s="5" t="s">
        <v>106</v>
      </c>
      <c r="W2256" s="12">
        <v>18430714</v>
      </c>
      <c r="X2256" s="6"/>
      <c r="Y2256" s="6"/>
    </row>
    <row r="2257" spans="1:25" ht="15" customHeight="1" x14ac:dyDescent="0.2">
      <c r="A2257" s="88" t="s">
        <v>2631</v>
      </c>
      <c r="B2257" s="90"/>
      <c r="C2257" s="88" t="s">
        <v>2757</v>
      </c>
      <c r="D2257" s="89"/>
      <c r="E2257" s="89"/>
      <c r="F2257" s="89"/>
      <c r="G2257" s="89"/>
      <c r="H2257" s="89"/>
      <c r="I2257" s="90"/>
      <c r="J2257" s="88" t="s">
        <v>1499</v>
      </c>
      <c r="K2257" s="89"/>
      <c r="L2257" s="89"/>
      <c r="M2257" s="90"/>
      <c r="N2257" s="88" t="s">
        <v>701</v>
      </c>
      <c r="O2257" s="89"/>
      <c r="P2257" s="90"/>
      <c r="Q2257" s="133">
        <v>1999</v>
      </c>
      <c r="R2257" s="134"/>
      <c r="S2257" s="5" t="s">
        <v>2633</v>
      </c>
      <c r="T2257" s="6"/>
      <c r="U2257" s="8">
        <v>5</v>
      </c>
      <c r="V2257" s="5" t="s">
        <v>106</v>
      </c>
      <c r="W2257" s="12">
        <v>21401113</v>
      </c>
      <c r="X2257" s="6"/>
      <c r="Y2257" s="6"/>
    </row>
    <row r="2258" spans="1:25" ht="15" customHeight="1" x14ac:dyDescent="0.2">
      <c r="A2258" s="88" t="s">
        <v>2631</v>
      </c>
      <c r="B2258" s="90"/>
      <c r="C2258" s="88" t="s">
        <v>2758</v>
      </c>
      <c r="D2258" s="89"/>
      <c r="E2258" s="89"/>
      <c r="F2258" s="89"/>
      <c r="G2258" s="89"/>
      <c r="H2258" s="89"/>
      <c r="I2258" s="90"/>
      <c r="J2258" s="88" t="s">
        <v>1499</v>
      </c>
      <c r="K2258" s="89"/>
      <c r="L2258" s="89"/>
      <c r="M2258" s="90"/>
      <c r="N2258" s="88" t="s">
        <v>701</v>
      </c>
      <c r="O2258" s="89"/>
      <c r="P2258" s="90"/>
      <c r="Q2258" s="133">
        <v>1999</v>
      </c>
      <c r="R2258" s="134"/>
      <c r="S2258" s="5" t="s">
        <v>2633</v>
      </c>
      <c r="T2258" s="6"/>
      <c r="U2258" s="8">
        <v>5</v>
      </c>
      <c r="V2258" s="5" t="s">
        <v>106</v>
      </c>
      <c r="W2258" s="12">
        <v>21919662</v>
      </c>
      <c r="X2258" s="6"/>
      <c r="Y2258" s="6"/>
    </row>
    <row r="2259" spans="1:25" ht="15" customHeight="1" x14ac:dyDescent="0.2">
      <c r="A2259" s="88" t="s">
        <v>2631</v>
      </c>
      <c r="B2259" s="90"/>
      <c r="C2259" s="88" t="s">
        <v>2759</v>
      </c>
      <c r="D2259" s="89"/>
      <c r="E2259" s="89"/>
      <c r="F2259" s="89"/>
      <c r="G2259" s="89"/>
      <c r="H2259" s="89"/>
      <c r="I2259" s="90"/>
      <c r="J2259" s="88" t="s">
        <v>1499</v>
      </c>
      <c r="K2259" s="89"/>
      <c r="L2259" s="89"/>
      <c r="M2259" s="90"/>
      <c r="N2259" s="88" t="s">
        <v>701</v>
      </c>
      <c r="O2259" s="89"/>
      <c r="P2259" s="90"/>
      <c r="Q2259" s="133">
        <v>1999</v>
      </c>
      <c r="R2259" s="134"/>
      <c r="S2259" s="5" t="s">
        <v>2633</v>
      </c>
      <c r="T2259" s="6"/>
      <c r="U2259" s="8">
        <v>5</v>
      </c>
      <c r="V2259" s="5" t="s">
        <v>106</v>
      </c>
      <c r="W2259" s="12">
        <v>21331121</v>
      </c>
      <c r="X2259" s="6"/>
      <c r="Y2259" s="6"/>
    </row>
    <row r="2260" spans="1:25" ht="15" customHeight="1" x14ac:dyDescent="0.2">
      <c r="A2260" s="88" t="s">
        <v>2631</v>
      </c>
      <c r="B2260" s="90"/>
      <c r="C2260" s="88" t="s">
        <v>2760</v>
      </c>
      <c r="D2260" s="90"/>
      <c r="E2260" s="106"/>
      <c r="F2260" s="107"/>
      <c r="G2260" s="107"/>
      <c r="H2260" s="107"/>
      <c r="I2260" s="108"/>
      <c r="J2260" s="88" t="s">
        <v>1499</v>
      </c>
      <c r="K2260" s="89"/>
      <c r="L2260" s="89"/>
      <c r="M2260" s="90"/>
      <c r="N2260" s="88" t="s">
        <v>701</v>
      </c>
      <c r="O2260" s="89"/>
      <c r="P2260" s="90"/>
      <c r="Q2260" s="133">
        <v>1999</v>
      </c>
      <c r="R2260" s="134"/>
      <c r="S2260" s="5" t="s">
        <v>2633</v>
      </c>
      <c r="T2260" s="6"/>
      <c r="U2260" s="8">
        <v>5</v>
      </c>
      <c r="V2260" s="5" t="s">
        <v>106</v>
      </c>
      <c r="W2260" s="12">
        <v>18619692</v>
      </c>
      <c r="X2260" s="6"/>
      <c r="Y2260" s="6"/>
    </row>
    <row r="2261" spans="1:25" ht="15" customHeight="1" x14ac:dyDescent="0.2">
      <c r="A2261" s="88" t="s">
        <v>2631</v>
      </c>
      <c r="B2261" s="90"/>
      <c r="C2261" s="88" t="s">
        <v>2761</v>
      </c>
      <c r="D2261" s="89"/>
      <c r="E2261" s="89"/>
      <c r="F2261" s="89"/>
      <c r="G2261" s="89"/>
      <c r="H2261" s="89"/>
      <c r="I2261" s="90"/>
      <c r="J2261" s="88" t="s">
        <v>1499</v>
      </c>
      <c r="K2261" s="89"/>
      <c r="L2261" s="89"/>
      <c r="M2261" s="90"/>
      <c r="N2261" s="88" t="s">
        <v>701</v>
      </c>
      <c r="O2261" s="89"/>
      <c r="P2261" s="90"/>
      <c r="Q2261" s="133">
        <v>1999</v>
      </c>
      <c r="R2261" s="134"/>
      <c r="S2261" s="5" t="s">
        <v>2633</v>
      </c>
      <c r="T2261" s="6"/>
      <c r="U2261" s="8">
        <v>5</v>
      </c>
      <c r="V2261" s="5" t="s">
        <v>106</v>
      </c>
      <c r="W2261" s="12">
        <v>23187734</v>
      </c>
      <c r="X2261" s="6"/>
      <c r="Y2261" s="6"/>
    </row>
    <row r="2262" spans="1:25" ht="15" customHeight="1" x14ac:dyDescent="0.2">
      <c r="A2262" s="88" t="s">
        <v>2631</v>
      </c>
      <c r="B2262" s="90"/>
      <c r="C2262" s="88" t="s">
        <v>2762</v>
      </c>
      <c r="D2262" s="89"/>
      <c r="E2262" s="89"/>
      <c r="F2262" s="89"/>
      <c r="G2262" s="89"/>
      <c r="H2262" s="89"/>
      <c r="I2262" s="90"/>
      <c r="J2262" s="88" t="s">
        <v>1499</v>
      </c>
      <c r="K2262" s="89"/>
      <c r="L2262" s="89"/>
      <c r="M2262" s="90"/>
      <c r="N2262" s="88" t="s">
        <v>701</v>
      </c>
      <c r="O2262" s="89"/>
      <c r="P2262" s="90"/>
      <c r="Q2262" s="133">
        <v>1999</v>
      </c>
      <c r="R2262" s="134"/>
      <c r="S2262" s="5" t="s">
        <v>2633</v>
      </c>
      <c r="T2262" s="6"/>
      <c r="U2262" s="8">
        <v>5</v>
      </c>
      <c r="V2262" s="5" t="s">
        <v>106</v>
      </c>
      <c r="W2262" s="12">
        <v>20541733</v>
      </c>
      <c r="X2262" s="6"/>
      <c r="Y2262" s="6"/>
    </row>
    <row r="2263" spans="1:25" ht="15" customHeight="1" x14ac:dyDescent="0.2">
      <c r="A2263" s="88" t="s">
        <v>2631</v>
      </c>
      <c r="B2263" s="90"/>
      <c r="C2263" s="88" t="s">
        <v>2763</v>
      </c>
      <c r="D2263" s="89"/>
      <c r="E2263" s="89"/>
      <c r="F2263" s="89"/>
      <c r="G2263" s="89"/>
      <c r="H2263" s="89"/>
      <c r="I2263" s="90"/>
      <c r="J2263" s="88" t="s">
        <v>1499</v>
      </c>
      <c r="K2263" s="89"/>
      <c r="L2263" s="89"/>
      <c r="M2263" s="90"/>
      <c r="N2263" s="88" t="s">
        <v>701</v>
      </c>
      <c r="O2263" s="89"/>
      <c r="P2263" s="90"/>
      <c r="Q2263" s="133">
        <v>1999</v>
      </c>
      <c r="R2263" s="134"/>
      <c r="S2263" s="5" t="s">
        <v>2633</v>
      </c>
      <c r="T2263" s="6"/>
      <c r="U2263" s="8">
        <v>5</v>
      </c>
      <c r="V2263" s="5" t="s">
        <v>106</v>
      </c>
      <c r="W2263" s="12">
        <v>20910560</v>
      </c>
      <c r="X2263" s="6"/>
      <c r="Y2263" s="6"/>
    </row>
    <row r="2264" spans="1:25" ht="15" customHeight="1" x14ac:dyDescent="0.2">
      <c r="A2264" s="88" t="s">
        <v>2631</v>
      </c>
      <c r="B2264" s="90"/>
      <c r="C2264" s="88" t="s">
        <v>2764</v>
      </c>
      <c r="D2264" s="89"/>
      <c r="E2264" s="89"/>
      <c r="F2264" s="89"/>
      <c r="G2264" s="89"/>
      <c r="H2264" s="89"/>
      <c r="I2264" s="90"/>
      <c r="J2264" s="88" t="s">
        <v>1499</v>
      </c>
      <c r="K2264" s="89"/>
      <c r="L2264" s="89"/>
      <c r="M2264" s="90"/>
      <c r="N2264" s="88" t="s">
        <v>701</v>
      </c>
      <c r="O2264" s="89"/>
      <c r="P2264" s="90"/>
      <c r="Q2264" s="133">
        <v>1999</v>
      </c>
      <c r="R2264" s="134"/>
      <c r="S2264" s="5" t="s">
        <v>2633</v>
      </c>
      <c r="T2264" s="6"/>
      <c r="U2264" s="8">
        <v>5</v>
      </c>
      <c r="V2264" s="5" t="s">
        <v>106</v>
      </c>
      <c r="W2264" s="12">
        <v>22063298</v>
      </c>
      <c r="X2264" s="6"/>
      <c r="Y2264" s="6"/>
    </row>
    <row r="2265" spans="1:25" ht="15" customHeight="1" x14ac:dyDescent="0.2">
      <c r="A2265" s="88" t="s">
        <v>2631</v>
      </c>
      <c r="B2265" s="90"/>
      <c r="C2265" s="88" t="s">
        <v>2765</v>
      </c>
      <c r="D2265" s="89"/>
      <c r="E2265" s="89"/>
      <c r="F2265" s="89"/>
      <c r="G2265" s="89"/>
      <c r="H2265" s="89"/>
      <c r="I2265" s="90"/>
      <c r="J2265" s="88" t="s">
        <v>1499</v>
      </c>
      <c r="K2265" s="89"/>
      <c r="L2265" s="89"/>
      <c r="M2265" s="90"/>
      <c r="N2265" s="88" t="s">
        <v>701</v>
      </c>
      <c r="O2265" s="89"/>
      <c r="P2265" s="90"/>
      <c r="Q2265" s="133">
        <v>1999</v>
      </c>
      <c r="R2265" s="134"/>
      <c r="S2265" s="5" t="s">
        <v>2633</v>
      </c>
      <c r="T2265" s="6"/>
      <c r="U2265" s="8">
        <v>5</v>
      </c>
      <c r="V2265" s="5" t="s">
        <v>106</v>
      </c>
      <c r="W2265" s="12">
        <v>20471741</v>
      </c>
      <c r="X2265" s="6"/>
      <c r="Y2265" s="6"/>
    </row>
    <row r="2266" spans="1:25" ht="15" customHeight="1" x14ac:dyDescent="0.2">
      <c r="A2266" s="88" t="s">
        <v>2631</v>
      </c>
      <c r="B2266" s="90"/>
      <c r="C2266" s="88" t="s">
        <v>2766</v>
      </c>
      <c r="D2266" s="90"/>
      <c r="E2266" s="106"/>
      <c r="F2266" s="107"/>
      <c r="G2266" s="107"/>
      <c r="H2266" s="107"/>
      <c r="I2266" s="108"/>
      <c r="J2266" s="88" t="s">
        <v>1499</v>
      </c>
      <c r="K2266" s="89"/>
      <c r="L2266" s="89"/>
      <c r="M2266" s="90"/>
      <c r="N2266" s="88" t="s">
        <v>22</v>
      </c>
      <c r="O2266" s="89"/>
      <c r="P2266" s="90"/>
      <c r="Q2266" s="133">
        <v>2000</v>
      </c>
      <c r="R2266" s="134"/>
      <c r="S2266" s="5" t="s">
        <v>2633</v>
      </c>
      <c r="T2266" s="6"/>
      <c r="U2266" s="6"/>
      <c r="V2266" s="5" t="s">
        <v>702</v>
      </c>
      <c r="W2266" s="12">
        <v>12963732</v>
      </c>
      <c r="X2266" s="6"/>
      <c r="Y2266" s="6"/>
    </row>
    <row r="2267" spans="1:25" ht="15" customHeight="1" x14ac:dyDescent="0.2">
      <c r="A2267" s="88" t="s">
        <v>2631</v>
      </c>
      <c r="B2267" s="90"/>
      <c r="C2267" s="88" t="s">
        <v>2767</v>
      </c>
      <c r="D2267" s="90"/>
      <c r="E2267" s="106"/>
      <c r="F2267" s="107"/>
      <c r="G2267" s="107"/>
      <c r="H2267" s="107"/>
      <c r="I2267" s="108"/>
      <c r="J2267" s="88" t="s">
        <v>1499</v>
      </c>
      <c r="K2267" s="89"/>
      <c r="L2267" s="89"/>
      <c r="M2267" s="90"/>
      <c r="N2267" s="88" t="s">
        <v>22</v>
      </c>
      <c r="O2267" s="89"/>
      <c r="P2267" s="90"/>
      <c r="Q2267" s="133">
        <v>2000</v>
      </c>
      <c r="R2267" s="134"/>
      <c r="S2267" s="5" t="s">
        <v>2633</v>
      </c>
      <c r="T2267" s="6"/>
      <c r="U2267" s="6"/>
      <c r="V2267" s="5" t="s">
        <v>702</v>
      </c>
      <c r="W2267" s="12">
        <v>15124354</v>
      </c>
      <c r="X2267" s="6"/>
      <c r="Y2267" s="6"/>
    </row>
    <row r="2268" spans="1:25" ht="15" customHeight="1" x14ac:dyDescent="0.2">
      <c r="A2268" s="88" t="s">
        <v>2631</v>
      </c>
      <c r="B2268" s="90"/>
      <c r="C2268" s="88" t="s">
        <v>2768</v>
      </c>
      <c r="D2268" s="90"/>
      <c r="E2268" s="106"/>
      <c r="F2268" s="107"/>
      <c r="G2268" s="107"/>
      <c r="H2268" s="107"/>
      <c r="I2268" s="108"/>
      <c r="J2268" s="88" t="s">
        <v>1499</v>
      </c>
      <c r="K2268" s="89"/>
      <c r="L2268" s="89"/>
      <c r="M2268" s="90"/>
      <c r="N2268" s="88" t="s">
        <v>22</v>
      </c>
      <c r="O2268" s="89"/>
      <c r="P2268" s="90"/>
      <c r="Q2268" s="133">
        <v>2000</v>
      </c>
      <c r="R2268" s="134"/>
      <c r="S2268" s="5" t="s">
        <v>2633</v>
      </c>
      <c r="T2268" s="6"/>
      <c r="U2268" s="6"/>
      <c r="V2268" s="5" t="s">
        <v>702</v>
      </c>
      <c r="W2268" s="12">
        <v>14299666</v>
      </c>
      <c r="X2268" s="6"/>
      <c r="Y2268" s="6"/>
    </row>
    <row r="2269" spans="1:25" ht="15" customHeight="1" x14ac:dyDescent="0.2">
      <c r="A2269" s="88" t="s">
        <v>2631</v>
      </c>
      <c r="B2269" s="90"/>
      <c r="C2269" s="88" t="s">
        <v>2769</v>
      </c>
      <c r="D2269" s="90"/>
      <c r="E2269" s="106"/>
      <c r="F2269" s="107"/>
      <c r="G2269" s="107"/>
      <c r="H2269" s="107"/>
      <c r="I2269" s="108"/>
      <c r="J2269" s="88" t="s">
        <v>1499</v>
      </c>
      <c r="K2269" s="89"/>
      <c r="L2269" s="89"/>
      <c r="M2269" s="90"/>
      <c r="N2269" s="88" t="s">
        <v>22</v>
      </c>
      <c r="O2269" s="89"/>
      <c r="P2269" s="90"/>
      <c r="Q2269" s="133">
        <v>2000</v>
      </c>
      <c r="R2269" s="134"/>
      <c r="S2269" s="5" t="s">
        <v>2633</v>
      </c>
      <c r="T2269" s="6"/>
      <c r="U2269" s="6"/>
      <c r="V2269" s="5" t="s">
        <v>702</v>
      </c>
      <c r="W2269" s="12">
        <v>16189449</v>
      </c>
      <c r="X2269" s="6"/>
      <c r="Y2269" s="6"/>
    </row>
    <row r="2270" spans="1:25" ht="15" customHeight="1" x14ac:dyDescent="0.2">
      <c r="A2270" s="88" t="s">
        <v>2631</v>
      </c>
      <c r="B2270" s="90"/>
      <c r="C2270" s="88" t="s">
        <v>2770</v>
      </c>
      <c r="D2270" s="90"/>
      <c r="E2270" s="106"/>
      <c r="F2270" s="107"/>
      <c r="G2270" s="107"/>
      <c r="H2270" s="107"/>
      <c r="I2270" s="108"/>
      <c r="J2270" s="88" t="s">
        <v>1499</v>
      </c>
      <c r="K2270" s="89"/>
      <c r="L2270" s="89"/>
      <c r="M2270" s="90"/>
      <c r="N2270" s="88" t="s">
        <v>22</v>
      </c>
      <c r="O2270" s="89"/>
      <c r="P2270" s="90"/>
      <c r="Q2270" s="133">
        <v>2000</v>
      </c>
      <c r="R2270" s="134"/>
      <c r="S2270" s="5" t="s">
        <v>2633</v>
      </c>
      <c r="T2270" s="6"/>
      <c r="U2270" s="6"/>
      <c r="V2270" s="5" t="s">
        <v>702</v>
      </c>
      <c r="W2270" s="12">
        <v>16067724</v>
      </c>
      <c r="X2270" s="6"/>
      <c r="Y2270" s="6"/>
    </row>
    <row r="2271" spans="1:25" ht="15" customHeight="1" x14ac:dyDescent="0.2">
      <c r="A2271" s="88" t="s">
        <v>2631</v>
      </c>
      <c r="B2271" s="90"/>
      <c r="C2271" s="88" t="s">
        <v>2771</v>
      </c>
      <c r="D2271" s="90"/>
      <c r="E2271" s="106"/>
      <c r="F2271" s="107"/>
      <c r="G2271" s="107"/>
      <c r="H2271" s="107"/>
      <c r="I2271" s="108"/>
      <c r="J2271" s="88" t="s">
        <v>1499</v>
      </c>
      <c r="K2271" s="89"/>
      <c r="L2271" s="89"/>
      <c r="M2271" s="90"/>
      <c r="N2271" s="88" t="s">
        <v>22</v>
      </c>
      <c r="O2271" s="89"/>
      <c r="P2271" s="90"/>
      <c r="Q2271" s="133">
        <v>2000</v>
      </c>
      <c r="R2271" s="134"/>
      <c r="S2271" s="5" t="s">
        <v>2633</v>
      </c>
      <c r="T2271" s="6"/>
      <c r="U2271" s="6"/>
      <c r="V2271" s="5" t="s">
        <v>702</v>
      </c>
      <c r="W2271" s="12">
        <v>12750713</v>
      </c>
      <c r="X2271" s="6"/>
      <c r="Y2271" s="6"/>
    </row>
    <row r="2272" spans="1:25" ht="15" customHeight="1" x14ac:dyDescent="0.2">
      <c r="A2272" s="88" t="s">
        <v>2631</v>
      </c>
      <c r="B2272" s="90"/>
      <c r="C2272" s="88" t="s">
        <v>2772</v>
      </c>
      <c r="D2272" s="90"/>
      <c r="E2272" s="106"/>
      <c r="F2272" s="107"/>
      <c r="G2272" s="107"/>
      <c r="H2272" s="107"/>
      <c r="I2272" s="108"/>
      <c r="J2272" s="88" t="s">
        <v>1499</v>
      </c>
      <c r="K2272" s="89"/>
      <c r="L2272" s="89"/>
      <c r="M2272" s="90"/>
      <c r="N2272" s="88" t="s">
        <v>22</v>
      </c>
      <c r="O2272" s="89"/>
      <c r="P2272" s="90"/>
      <c r="Q2272" s="133">
        <v>2000</v>
      </c>
      <c r="R2272" s="134"/>
      <c r="S2272" s="5" t="s">
        <v>2633</v>
      </c>
      <c r="T2272" s="6"/>
      <c r="U2272" s="6"/>
      <c r="V2272" s="5" t="s">
        <v>702</v>
      </c>
      <c r="W2272" s="12">
        <v>13115888</v>
      </c>
      <c r="X2272" s="6"/>
      <c r="Y2272" s="6"/>
    </row>
    <row r="2273" spans="1:25" ht="15" customHeight="1" x14ac:dyDescent="0.2">
      <c r="A2273" s="88" t="s">
        <v>2631</v>
      </c>
      <c r="B2273" s="90"/>
      <c r="C2273" s="88" t="s">
        <v>2773</v>
      </c>
      <c r="D2273" s="90"/>
      <c r="E2273" s="106"/>
      <c r="F2273" s="107"/>
      <c r="G2273" s="107"/>
      <c r="H2273" s="107"/>
      <c r="I2273" s="108"/>
      <c r="J2273" s="88" t="s">
        <v>1499</v>
      </c>
      <c r="K2273" s="89"/>
      <c r="L2273" s="89"/>
      <c r="M2273" s="90"/>
      <c r="N2273" s="88" t="s">
        <v>22</v>
      </c>
      <c r="O2273" s="89"/>
      <c r="P2273" s="90"/>
      <c r="Q2273" s="133">
        <v>2000</v>
      </c>
      <c r="R2273" s="134"/>
      <c r="S2273" s="5" t="s">
        <v>2633</v>
      </c>
      <c r="T2273" s="6"/>
      <c r="U2273" s="6"/>
      <c r="V2273" s="5" t="s">
        <v>702</v>
      </c>
      <c r="W2273" s="12">
        <v>13800592</v>
      </c>
      <c r="X2273" s="6"/>
      <c r="Y2273" s="6"/>
    </row>
    <row r="2274" spans="1:25" ht="15" customHeight="1" x14ac:dyDescent="0.2">
      <c r="A2274" s="88" t="s">
        <v>2631</v>
      </c>
      <c r="B2274" s="90"/>
      <c r="C2274" s="88" t="s">
        <v>2774</v>
      </c>
      <c r="D2274" s="90"/>
      <c r="E2274" s="106"/>
      <c r="F2274" s="107"/>
      <c r="G2274" s="107"/>
      <c r="H2274" s="107"/>
      <c r="I2274" s="108"/>
      <c r="J2274" s="88" t="s">
        <v>1499</v>
      </c>
      <c r="K2274" s="89"/>
      <c r="L2274" s="89"/>
      <c r="M2274" s="90"/>
      <c r="N2274" s="88" t="s">
        <v>22</v>
      </c>
      <c r="O2274" s="89"/>
      <c r="P2274" s="90"/>
      <c r="Q2274" s="133">
        <v>2000</v>
      </c>
      <c r="R2274" s="134"/>
      <c r="S2274" s="5" t="s">
        <v>2633</v>
      </c>
      <c r="T2274" s="6"/>
      <c r="U2274" s="6"/>
      <c r="V2274" s="5" t="s">
        <v>702</v>
      </c>
      <c r="W2274" s="12">
        <v>14287493</v>
      </c>
      <c r="X2274" s="6"/>
      <c r="Y2274" s="6"/>
    </row>
    <row r="2275" spans="1:25" ht="15" customHeight="1" x14ac:dyDescent="0.2">
      <c r="A2275" s="88" t="s">
        <v>2631</v>
      </c>
      <c r="B2275" s="90"/>
      <c r="C2275" s="88" t="s">
        <v>2775</v>
      </c>
      <c r="D2275" s="90"/>
      <c r="E2275" s="106"/>
      <c r="F2275" s="107"/>
      <c r="G2275" s="107"/>
      <c r="H2275" s="107"/>
      <c r="I2275" s="108"/>
      <c r="J2275" s="88" t="s">
        <v>1499</v>
      </c>
      <c r="K2275" s="89"/>
      <c r="L2275" s="89"/>
      <c r="M2275" s="90"/>
      <c r="N2275" s="88" t="s">
        <v>22</v>
      </c>
      <c r="O2275" s="89"/>
      <c r="P2275" s="90"/>
      <c r="Q2275" s="133">
        <v>2000</v>
      </c>
      <c r="R2275" s="134"/>
      <c r="S2275" s="5" t="s">
        <v>2633</v>
      </c>
      <c r="T2275" s="6"/>
      <c r="U2275" s="6"/>
      <c r="V2275" s="5" t="s">
        <v>702</v>
      </c>
      <c r="W2275" s="12">
        <v>13268045</v>
      </c>
      <c r="X2275" s="6"/>
      <c r="Y2275" s="6"/>
    </row>
    <row r="2276" spans="1:25" ht="15" customHeight="1" x14ac:dyDescent="0.2">
      <c r="A2276" s="88" t="s">
        <v>2631</v>
      </c>
      <c r="B2276" s="90"/>
      <c r="C2276" s="88" t="s">
        <v>2776</v>
      </c>
      <c r="D2276" s="90"/>
      <c r="E2276" s="106"/>
      <c r="F2276" s="107"/>
      <c r="G2276" s="107"/>
      <c r="H2276" s="107"/>
      <c r="I2276" s="108"/>
      <c r="J2276" s="88" t="s">
        <v>1499</v>
      </c>
      <c r="K2276" s="89"/>
      <c r="L2276" s="89"/>
      <c r="M2276" s="90"/>
      <c r="N2276" s="88" t="s">
        <v>22</v>
      </c>
      <c r="O2276" s="89"/>
      <c r="P2276" s="90"/>
      <c r="Q2276" s="133">
        <v>2000</v>
      </c>
      <c r="R2276" s="134"/>
      <c r="S2276" s="5" t="s">
        <v>2633</v>
      </c>
      <c r="T2276" s="6"/>
      <c r="U2276" s="6"/>
      <c r="V2276" s="5" t="s">
        <v>702</v>
      </c>
      <c r="W2276" s="12">
        <v>11503030</v>
      </c>
      <c r="X2276" s="6"/>
      <c r="Y2276" s="6"/>
    </row>
    <row r="2277" spans="1:25" ht="15" customHeight="1" x14ac:dyDescent="0.2">
      <c r="A2277" s="88" t="s">
        <v>2631</v>
      </c>
      <c r="B2277" s="90"/>
      <c r="C2277" s="88" t="s">
        <v>2777</v>
      </c>
      <c r="D2277" s="90"/>
      <c r="E2277" s="106"/>
      <c r="F2277" s="107"/>
      <c r="G2277" s="107"/>
      <c r="H2277" s="107"/>
      <c r="I2277" s="108"/>
      <c r="J2277" s="88" t="s">
        <v>1499</v>
      </c>
      <c r="K2277" s="89"/>
      <c r="L2277" s="89"/>
      <c r="M2277" s="90"/>
      <c r="N2277" s="88" t="s">
        <v>22</v>
      </c>
      <c r="O2277" s="89"/>
      <c r="P2277" s="90"/>
      <c r="Q2277" s="133">
        <v>2000</v>
      </c>
      <c r="R2277" s="134"/>
      <c r="S2277" s="5" t="s">
        <v>2633</v>
      </c>
      <c r="T2277" s="6"/>
      <c r="U2277" s="6"/>
      <c r="V2277" s="5" t="s">
        <v>106</v>
      </c>
      <c r="W2277" s="12">
        <v>12840485</v>
      </c>
      <c r="X2277" s="6"/>
      <c r="Y2277" s="6"/>
    </row>
    <row r="2278" spans="1:25" ht="15" customHeight="1" x14ac:dyDescent="0.2">
      <c r="A2278" s="88" t="s">
        <v>2631</v>
      </c>
      <c r="B2278" s="90"/>
      <c r="C2278" s="88" t="s">
        <v>2778</v>
      </c>
      <c r="D2278" s="90"/>
      <c r="E2278" s="106"/>
      <c r="F2278" s="107"/>
      <c r="G2278" s="107"/>
      <c r="H2278" s="107"/>
      <c r="I2278" s="108"/>
      <c r="J2278" s="88" t="s">
        <v>1499</v>
      </c>
      <c r="K2278" s="89"/>
      <c r="L2278" s="89"/>
      <c r="M2278" s="90"/>
      <c r="N2278" s="88" t="s">
        <v>22</v>
      </c>
      <c r="O2278" s="89"/>
      <c r="P2278" s="90"/>
      <c r="Q2278" s="133">
        <v>2000</v>
      </c>
      <c r="R2278" s="134"/>
      <c r="S2278" s="5" t="s">
        <v>2633</v>
      </c>
      <c r="T2278" s="6"/>
      <c r="U2278" s="6"/>
      <c r="V2278" s="5" t="s">
        <v>106</v>
      </c>
      <c r="W2278" s="12">
        <v>14179462</v>
      </c>
      <c r="X2278" s="6"/>
      <c r="Y2278" s="6"/>
    </row>
    <row r="2279" spans="1:25" ht="15" customHeight="1" x14ac:dyDescent="0.2">
      <c r="A2279" s="88" t="s">
        <v>2631</v>
      </c>
      <c r="B2279" s="90"/>
      <c r="C2279" s="88" t="s">
        <v>2779</v>
      </c>
      <c r="D2279" s="90"/>
      <c r="E2279" s="106"/>
      <c r="F2279" s="107"/>
      <c r="G2279" s="107"/>
      <c r="H2279" s="107"/>
      <c r="I2279" s="108"/>
      <c r="J2279" s="88" t="s">
        <v>1499</v>
      </c>
      <c r="K2279" s="89"/>
      <c r="L2279" s="89"/>
      <c r="M2279" s="90"/>
      <c r="N2279" s="88" t="s">
        <v>22</v>
      </c>
      <c r="O2279" s="89"/>
      <c r="P2279" s="90"/>
      <c r="Q2279" s="133">
        <v>2000</v>
      </c>
      <c r="R2279" s="134"/>
      <c r="S2279" s="5" t="s">
        <v>2633</v>
      </c>
      <c r="T2279" s="6"/>
      <c r="U2279" s="6"/>
      <c r="V2279" s="5" t="s">
        <v>702</v>
      </c>
      <c r="W2279" s="12">
        <v>13694083</v>
      </c>
      <c r="X2279" s="6"/>
      <c r="Y2279" s="6"/>
    </row>
    <row r="2280" spans="1:25" ht="15" customHeight="1" x14ac:dyDescent="0.2">
      <c r="A2280" s="88" t="s">
        <v>2631</v>
      </c>
      <c r="B2280" s="90"/>
      <c r="C2280" s="88" t="s">
        <v>2780</v>
      </c>
      <c r="D2280" s="90"/>
      <c r="E2280" s="106"/>
      <c r="F2280" s="107"/>
      <c r="G2280" s="107"/>
      <c r="H2280" s="107"/>
      <c r="I2280" s="108"/>
      <c r="J2280" s="88" t="s">
        <v>1499</v>
      </c>
      <c r="K2280" s="89"/>
      <c r="L2280" s="89"/>
      <c r="M2280" s="90"/>
      <c r="N2280" s="88" t="s">
        <v>22</v>
      </c>
      <c r="O2280" s="89"/>
      <c r="P2280" s="90"/>
      <c r="Q2280" s="133">
        <v>2000</v>
      </c>
      <c r="R2280" s="134"/>
      <c r="S2280" s="5" t="s">
        <v>2633</v>
      </c>
      <c r="T2280" s="6"/>
      <c r="U2280" s="6"/>
      <c r="V2280" s="5" t="s">
        <v>106</v>
      </c>
      <c r="W2280" s="12">
        <v>11471077</v>
      </c>
      <c r="X2280" s="6"/>
      <c r="Y2280" s="6"/>
    </row>
    <row r="2281" spans="1:25" ht="15" customHeight="1" x14ac:dyDescent="0.2">
      <c r="A2281" s="88" t="s">
        <v>2631</v>
      </c>
      <c r="B2281" s="90"/>
      <c r="C2281" s="88" t="s">
        <v>2781</v>
      </c>
      <c r="D2281" s="90"/>
      <c r="E2281" s="106"/>
      <c r="F2281" s="107"/>
      <c r="G2281" s="107"/>
      <c r="H2281" s="107"/>
      <c r="I2281" s="108"/>
      <c r="J2281" s="88" t="s">
        <v>1499</v>
      </c>
      <c r="K2281" s="89"/>
      <c r="L2281" s="89"/>
      <c r="M2281" s="90"/>
      <c r="N2281" s="88" t="s">
        <v>701</v>
      </c>
      <c r="O2281" s="89"/>
      <c r="P2281" s="90"/>
      <c r="Q2281" s="133">
        <v>2000</v>
      </c>
      <c r="R2281" s="134"/>
      <c r="S2281" s="5" t="s">
        <v>2633</v>
      </c>
      <c r="T2281" s="6"/>
      <c r="U2281" s="6"/>
      <c r="V2281" s="5" t="s">
        <v>702</v>
      </c>
      <c r="W2281" s="12">
        <v>15367804</v>
      </c>
      <c r="X2281" s="6"/>
      <c r="Y2281" s="6"/>
    </row>
    <row r="2282" spans="1:25" ht="15" customHeight="1" x14ac:dyDescent="0.2">
      <c r="A2282" s="88" t="s">
        <v>2631</v>
      </c>
      <c r="B2282" s="90"/>
      <c r="C2282" s="88" t="s">
        <v>2782</v>
      </c>
      <c r="D2282" s="90"/>
      <c r="E2282" s="106"/>
      <c r="F2282" s="107"/>
      <c r="G2282" s="107"/>
      <c r="H2282" s="107"/>
      <c r="I2282" s="108"/>
      <c r="J2282" s="88" t="s">
        <v>1499</v>
      </c>
      <c r="K2282" s="89"/>
      <c r="L2282" s="89"/>
      <c r="M2282" s="90"/>
      <c r="N2282" s="88" t="s">
        <v>701</v>
      </c>
      <c r="O2282" s="89"/>
      <c r="P2282" s="90"/>
      <c r="Q2282" s="133">
        <v>2000</v>
      </c>
      <c r="R2282" s="134"/>
      <c r="S2282" s="5" t="s">
        <v>2633</v>
      </c>
      <c r="T2282" s="6"/>
      <c r="U2282" s="6"/>
      <c r="V2282" s="5" t="s">
        <v>702</v>
      </c>
      <c r="W2282" s="12">
        <v>16372037</v>
      </c>
      <c r="X2282" s="6"/>
      <c r="Y2282" s="6"/>
    </row>
    <row r="2283" spans="1:25" ht="15" customHeight="1" x14ac:dyDescent="0.2">
      <c r="A2283" s="88" t="s">
        <v>2631</v>
      </c>
      <c r="B2283" s="90"/>
      <c r="C2283" s="88" t="s">
        <v>2783</v>
      </c>
      <c r="D2283" s="90"/>
      <c r="E2283" s="106"/>
      <c r="F2283" s="107"/>
      <c r="G2283" s="107"/>
      <c r="H2283" s="107"/>
      <c r="I2283" s="108"/>
      <c r="J2283" s="88" t="s">
        <v>1499</v>
      </c>
      <c r="K2283" s="89"/>
      <c r="L2283" s="89"/>
      <c r="M2283" s="90"/>
      <c r="N2283" s="88" t="s">
        <v>701</v>
      </c>
      <c r="O2283" s="89"/>
      <c r="P2283" s="90"/>
      <c r="Q2283" s="133">
        <v>2000</v>
      </c>
      <c r="R2283" s="134"/>
      <c r="S2283" s="5" t="s">
        <v>2633</v>
      </c>
      <c r="T2283" s="6"/>
      <c r="U2283" s="6"/>
      <c r="V2283" s="5" t="s">
        <v>702</v>
      </c>
      <c r="W2283" s="12">
        <v>14028827</v>
      </c>
      <c r="X2283" s="6"/>
      <c r="Y2283" s="6"/>
    </row>
    <row r="2284" spans="1:25" ht="15" customHeight="1" x14ac:dyDescent="0.2">
      <c r="A2284" s="88" t="s">
        <v>2631</v>
      </c>
      <c r="B2284" s="90"/>
      <c r="C2284" s="88" t="s">
        <v>2784</v>
      </c>
      <c r="D2284" s="90"/>
      <c r="E2284" s="106"/>
      <c r="F2284" s="107"/>
      <c r="G2284" s="107"/>
      <c r="H2284" s="107"/>
      <c r="I2284" s="108"/>
      <c r="J2284" s="88" t="s">
        <v>1499</v>
      </c>
      <c r="K2284" s="89"/>
      <c r="L2284" s="89"/>
      <c r="M2284" s="90"/>
      <c r="N2284" s="88" t="s">
        <v>701</v>
      </c>
      <c r="O2284" s="89"/>
      <c r="P2284" s="90"/>
      <c r="Q2284" s="133">
        <v>2000</v>
      </c>
      <c r="R2284" s="134"/>
      <c r="S2284" s="5" t="s">
        <v>2633</v>
      </c>
      <c r="T2284" s="6"/>
      <c r="U2284" s="6"/>
      <c r="V2284" s="5" t="s">
        <v>702</v>
      </c>
      <c r="W2284" s="12">
        <v>15033060</v>
      </c>
      <c r="X2284" s="6"/>
      <c r="Y2284" s="6"/>
    </row>
    <row r="2285" spans="1:25" ht="15" customHeight="1" x14ac:dyDescent="0.2">
      <c r="A2285" s="88" t="s">
        <v>2631</v>
      </c>
      <c r="B2285" s="90"/>
      <c r="C2285" s="88" t="s">
        <v>2785</v>
      </c>
      <c r="D2285" s="90"/>
      <c r="E2285" s="106"/>
      <c r="F2285" s="107"/>
      <c r="G2285" s="107"/>
      <c r="H2285" s="107"/>
      <c r="I2285" s="108"/>
      <c r="J2285" s="88" t="s">
        <v>1499</v>
      </c>
      <c r="K2285" s="89"/>
      <c r="L2285" s="89"/>
      <c r="M2285" s="90"/>
      <c r="N2285" s="88" t="s">
        <v>701</v>
      </c>
      <c r="O2285" s="89"/>
      <c r="P2285" s="90"/>
      <c r="Q2285" s="133">
        <v>2000</v>
      </c>
      <c r="R2285" s="134"/>
      <c r="S2285" s="5" t="s">
        <v>2633</v>
      </c>
      <c r="T2285" s="6"/>
      <c r="U2285" s="6"/>
      <c r="V2285" s="5" t="s">
        <v>702</v>
      </c>
      <c r="W2285" s="12">
        <v>17300191</v>
      </c>
      <c r="X2285" s="6"/>
      <c r="Y2285" s="6"/>
    </row>
    <row r="2286" spans="1:25" ht="15" customHeight="1" x14ac:dyDescent="0.2">
      <c r="A2286" s="88" t="s">
        <v>2631</v>
      </c>
      <c r="B2286" s="90"/>
      <c r="C2286" s="88" t="s">
        <v>2786</v>
      </c>
      <c r="D2286" s="90"/>
      <c r="E2286" s="106"/>
      <c r="F2286" s="107"/>
      <c r="G2286" s="107"/>
      <c r="H2286" s="107"/>
      <c r="I2286" s="108"/>
      <c r="J2286" s="88" t="s">
        <v>1499</v>
      </c>
      <c r="K2286" s="89"/>
      <c r="L2286" s="89"/>
      <c r="M2286" s="90"/>
      <c r="N2286" s="88" t="s">
        <v>22</v>
      </c>
      <c r="O2286" s="89"/>
      <c r="P2286" s="90"/>
      <c r="Q2286" s="133">
        <v>2000</v>
      </c>
      <c r="R2286" s="134"/>
      <c r="S2286" s="5" t="s">
        <v>2633</v>
      </c>
      <c r="T2286" s="6"/>
      <c r="U2286" s="6"/>
      <c r="V2286" s="5" t="s">
        <v>702</v>
      </c>
      <c r="W2286" s="12">
        <v>19962930</v>
      </c>
      <c r="X2286" s="6"/>
      <c r="Y2286" s="6"/>
    </row>
    <row r="2287" spans="1:25" ht="15" customHeight="1" x14ac:dyDescent="0.2">
      <c r="A2287" s="88" t="s">
        <v>2631</v>
      </c>
      <c r="B2287" s="90"/>
      <c r="C2287" s="88" t="s">
        <v>2787</v>
      </c>
      <c r="D2287" s="90"/>
      <c r="E2287" s="106"/>
      <c r="F2287" s="107"/>
      <c r="G2287" s="107"/>
      <c r="H2287" s="107"/>
      <c r="I2287" s="108"/>
      <c r="J2287" s="88" t="s">
        <v>1499</v>
      </c>
      <c r="K2287" s="89"/>
      <c r="L2287" s="89"/>
      <c r="M2287" s="90"/>
      <c r="N2287" s="88" t="s">
        <v>22</v>
      </c>
      <c r="O2287" s="89"/>
      <c r="P2287" s="90"/>
      <c r="Q2287" s="133">
        <v>2000</v>
      </c>
      <c r="R2287" s="134"/>
      <c r="S2287" s="5" t="s">
        <v>2633</v>
      </c>
      <c r="T2287" s="6"/>
      <c r="U2287" s="6"/>
      <c r="V2287" s="5" t="s">
        <v>702</v>
      </c>
      <c r="W2287" s="12">
        <v>17437132</v>
      </c>
      <c r="X2287" s="6"/>
      <c r="Y2287" s="6"/>
    </row>
    <row r="2288" spans="1:25" ht="15" customHeight="1" x14ac:dyDescent="0.2">
      <c r="A2288" s="88" t="s">
        <v>2631</v>
      </c>
      <c r="B2288" s="90"/>
      <c r="C2288" s="88" t="s">
        <v>2788</v>
      </c>
      <c r="D2288" s="90"/>
      <c r="E2288" s="106"/>
      <c r="F2288" s="107"/>
      <c r="G2288" s="107"/>
      <c r="H2288" s="107"/>
      <c r="I2288" s="108"/>
      <c r="J2288" s="88" t="s">
        <v>1499</v>
      </c>
      <c r="K2288" s="89"/>
      <c r="L2288" s="89"/>
      <c r="M2288" s="90"/>
      <c r="N2288" s="88" t="s">
        <v>22</v>
      </c>
      <c r="O2288" s="89"/>
      <c r="P2288" s="90"/>
      <c r="Q2288" s="133">
        <v>2000</v>
      </c>
      <c r="R2288" s="134"/>
      <c r="S2288" s="5" t="s">
        <v>2633</v>
      </c>
      <c r="T2288" s="6"/>
      <c r="U2288" s="6"/>
      <c r="V2288" s="5" t="s">
        <v>702</v>
      </c>
      <c r="W2288" s="12">
        <v>19049991</v>
      </c>
      <c r="X2288" s="6"/>
      <c r="Y2288" s="6"/>
    </row>
    <row r="2289" spans="1:25" ht="15" customHeight="1" x14ac:dyDescent="0.2">
      <c r="A2289" s="88" t="s">
        <v>2631</v>
      </c>
      <c r="B2289" s="90"/>
      <c r="C2289" s="88" t="s">
        <v>2789</v>
      </c>
      <c r="D2289" s="89"/>
      <c r="E2289" s="89"/>
      <c r="F2289" s="89"/>
      <c r="G2289" s="89"/>
      <c r="H2289" s="89"/>
      <c r="I2289" s="90"/>
      <c r="J2289" s="88" t="s">
        <v>1499</v>
      </c>
      <c r="K2289" s="89"/>
      <c r="L2289" s="89"/>
      <c r="M2289" s="90"/>
      <c r="N2289" s="88" t="s">
        <v>22</v>
      </c>
      <c r="O2289" s="89"/>
      <c r="P2289" s="90"/>
      <c r="Q2289" s="133">
        <v>2000</v>
      </c>
      <c r="R2289" s="134"/>
      <c r="S2289" s="5" t="s">
        <v>2633</v>
      </c>
      <c r="T2289" s="6"/>
      <c r="U2289" s="6"/>
      <c r="V2289" s="5" t="s">
        <v>702</v>
      </c>
      <c r="W2289" s="12">
        <v>17589289</v>
      </c>
      <c r="X2289" s="6"/>
      <c r="Y2289" s="6"/>
    </row>
    <row r="2290" spans="1:25" ht="15" customHeight="1" x14ac:dyDescent="0.2">
      <c r="A2290" s="88" t="s">
        <v>2631</v>
      </c>
      <c r="B2290" s="90"/>
      <c r="C2290" s="88" t="s">
        <v>2790</v>
      </c>
      <c r="D2290" s="89"/>
      <c r="E2290" s="89"/>
      <c r="F2290" s="89"/>
      <c r="G2290" s="89"/>
      <c r="H2290" s="89"/>
      <c r="I2290" s="90"/>
      <c r="J2290" s="88" t="s">
        <v>1499</v>
      </c>
      <c r="K2290" s="89"/>
      <c r="L2290" s="89"/>
      <c r="M2290" s="90"/>
      <c r="N2290" s="88" t="s">
        <v>22</v>
      </c>
      <c r="O2290" s="89"/>
      <c r="P2290" s="90"/>
      <c r="Q2290" s="133">
        <v>2000</v>
      </c>
      <c r="R2290" s="134"/>
      <c r="S2290" s="5" t="s">
        <v>2633</v>
      </c>
      <c r="T2290" s="6"/>
      <c r="U2290" s="6"/>
      <c r="V2290" s="5" t="s">
        <v>702</v>
      </c>
      <c r="W2290" s="12">
        <v>15854705</v>
      </c>
      <c r="X2290" s="6"/>
      <c r="Y2290" s="6"/>
    </row>
    <row r="2291" spans="1:25" ht="15" customHeight="1" x14ac:dyDescent="0.2">
      <c r="A2291" s="88" t="s">
        <v>2631</v>
      </c>
      <c r="B2291" s="90"/>
      <c r="C2291" s="88" t="s">
        <v>2791</v>
      </c>
      <c r="D2291" s="90"/>
      <c r="E2291" s="106"/>
      <c r="F2291" s="107"/>
      <c r="G2291" s="107"/>
      <c r="H2291" s="107"/>
      <c r="I2291" s="108"/>
      <c r="J2291" s="88" t="s">
        <v>1499</v>
      </c>
      <c r="K2291" s="89"/>
      <c r="L2291" s="89"/>
      <c r="M2291" s="90"/>
      <c r="N2291" s="88" t="s">
        <v>22</v>
      </c>
      <c r="O2291" s="89"/>
      <c r="P2291" s="90"/>
      <c r="Q2291" s="133">
        <v>2000</v>
      </c>
      <c r="R2291" s="134"/>
      <c r="S2291" s="5" t="s">
        <v>2633</v>
      </c>
      <c r="T2291" s="6"/>
      <c r="U2291" s="6"/>
      <c r="V2291" s="5" t="s">
        <v>702</v>
      </c>
      <c r="W2291" s="12">
        <v>15550392</v>
      </c>
      <c r="X2291" s="6"/>
      <c r="Y2291" s="6"/>
    </row>
    <row r="2292" spans="1:25" ht="15" customHeight="1" x14ac:dyDescent="0.2">
      <c r="A2292" s="88" t="s">
        <v>2631</v>
      </c>
      <c r="B2292" s="90"/>
      <c r="C2292" s="88" t="s">
        <v>2792</v>
      </c>
      <c r="D2292" s="90"/>
      <c r="E2292" s="106"/>
      <c r="F2292" s="107"/>
      <c r="G2292" s="107"/>
      <c r="H2292" s="107"/>
      <c r="I2292" s="108"/>
      <c r="J2292" s="88" t="s">
        <v>1499</v>
      </c>
      <c r="K2292" s="89"/>
      <c r="L2292" s="89"/>
      <c r="M2292" s="90"/>
      <c r="N2292" s="88" t="s">
        <v>22</v>
      </c>
      <c r="O2292" s="89"/>
      <c r="P2292" s="90"/>
      <c r="Q2292" s="133">
        <v>2000</v>
      </c>
      <c r="R2292" s="134"/>
      <c r="S2292" s="5" t="s">
        <v>2633</v>
      </c>
      <c r="T2292" s="6"/>
      <c r="U2292" s="6"/>
      <c r="V2292" s="5" t="s">
        <v>702</v>
      </c>
      <c r="W2292" s="12">
        <v>16524193</v>
      </c>
      <c r="X2292" s="6"/>
      <c r="Y2292" s="6"/>
    </row>
    <row r="2293" spans="1:25" ht="15" customHeight="1" x14ac:dyDescent="0.2">
      <c r="A2293" s="88" t="s">
        <v>2631</v>
      </c>
      <c r="B2293" s="90"/>
      <c r="C2293" s="88" t="s">
        <v>2793</v>
      </c>
      <c r="D2293" s="90"/>
      <c r="E2293" s="106"/>
      <c r="F2293" s="107"/>
      <c r="G2293" s="107"/>
      <c r="H2293" s="107"/>
      <c r="I2293" s="108"/>
      <c r="J2293" s="88" t="s">
        <v>1499</v>
      </c>
      <c r="K2293" s="89"/>
      <c r="L2293" s="89"/>
      <c r="M2293" s="90"/>
      <c r="N2293" s="88" t="s">
        <v>22</v>
      </c>
      <c r="O2293" s="89"/>
      <c r="P2293" s="90"/>
      <c r="Q2293" s="133">
        <v>2000</v>
      </c>
      <c r="R2293" s="134"/>
      <c r="S2293" s="5" t="s">
        <v>2633</v>
      </c>
      <c r="T2293" s="6"/>
      <c r="U2293" s="6"/>
      <c r="V2293" s="5" t="s">
        <v>702</v>
      </c>
      <c r="W2293" s="12">
        <v>14728747</v>
      </c>
      <c r="X2293" s="6"/>
      <c r="Y2293" s="6"/>
    </row>
    <row r="2294" spans="1:25" ht="15" customHeight="1" x14ac:dyDescent="0.2">
      <c r="A2294" s="88" t="s">
        <v>2631</v>
      </c>
      <c r="B2294" s="90"/>
      <c r="C2294" s="88" t="s">
        <v>2794</v>
      </c>
      <c r="D2294" s="90"/>
      <c r="E2294" s="106"/>
      <c r="F2294" s="107"/>
      <c r="G2294" s="107"/>
      <c r="H2294" s="107"/>
      <c r="I2294" s="108"/>
      <c r="J2294" s="88" t="s">
        <v>1499</v>
      </c>
      <c r="K2294" s="89"/>
      <c r="L2294" s="89"/>
      <c r="M2294" s="90"/>
      <c r="N2294" s="88" t="s">
        <v>701</v>
      </c>
      <c r="O2294" s="89"/>
      <c r="P2294" s="90"/>
      <c r="Q2294" s="133">
        <v>2000</v>
      </c>
      <c r="R2294" s="134"/>
      <c r="S2294" s="5" t="s">
        <v>2633</v>
      </c>
      <c r="T2294" s="6"/>
      <c r="U2294" s="6"/>
      <c r="V2294" s="5" t="s">
        <v>702</v>
      </c>
      <c r="W2294" s="12">
        <v>12978947</v>
      </c>
      <c r="X2294" s="6"/>
      <c r="Y2294" s="6"/>
    </row>
    <row r="2295" spans="1:25" ht="15" customHeight="1" x14ac:dyDescent="0.2">
      <c r="A2295" s="88" t="s">
        <v>2631</v>
      </c>
      <c r="B2295" s="90"/>
      <c r="C2295" s="88" t="s">
        <v>2795</v>
      </c>
      <c r="D2295" s="90"/>
      <c r="E2295" s="106"/>
      <c r="F2295" s="107"/>
      <c r="G2295" s="107"/>
      <c r="H2295" s="107"/>
      <c r="I2295" s="108"/>
      <c r="J2295" s="88" t="s">
        <v>1499</v>
      </c>
      <c r="K2295" s="89"/>
      <c r="L2295" s="89"/>
      <c r="M2295" s="90"/>
      <c r="N2295" s="88" t="s">
        <v>701</v>
      </c>
      <c r="O2295" s="89"/>
      <c r="P2295" s="90"/>
      <c r="Q2295" s="133">
        <v>2000</v>
      </c>
      <c r="R2295" s="134"/>
      <c r="S2295" s="5" t="s">
        <v>2633</v>
      </c>
      <c r="T2295" s="6"/>
      <c r="U2295" s="6"/>
      <c r="V2295" s="5" t="s">
        <v>702</v>
      </c>
      <c r="W2295" s="12">
        <v>14363571</v>
      </c>
      <c r="X2295" s="6"/>
      <c r="Y2295" s="6"/>
    </row>
    <row r="2296" spans="1:25" ht="15" customHeight="1" x14ac:dyDescent="0.2">
      <c r="A2296" s="88" t="s">
        <v>2631</v>
      </c>
      <c r="B2296" s="90"/>
      <c r="C2296" s="88" t="s">
        <v>2796</v>
      </c>
      <c r="D2296" s="90"/>
      <c r="E2296" s="106"/>
      <c r="F2296" s="107"/>
      <c r="G2296" s="107"/>
      <c r="H2296" s="107"/>
      <c r="I2296" s="108"/>
      <c r="J2296" s="88" t="s">
        <v>1499</v>
      </c>
      <c r="K2296" s="89"/>
      <c r="L2296" s="89"/>
      <c r="M2296" s="90"/>
      <c r="N2296" s="88" t="s">
        <v>701</v>
      </c>
      <c r="O2296" s="89"/>
      <c r="P2296" s="90"/>
      <c r="Q2296" s="133">
        <v>2000</v>
      </c>
      <c r="R2296" s="134"/>
      <c r="S2296" s="5" t="s">
        <v>2633</v>
      </c>
      <c r="T2296" s="6"/>
      <c r="U2296" s="6"/>
      <c r="V2296" s="5" t="s">
        <v>702</v>
      </c>
      <c r="W2296" s="12">
        <v>16980663</v>
      </c>
      <c r="X2296" s="6"/>
      <c r="Y2296" s="6"/>
    </row>
    <row r="2297" spans="1:25" ht="15" customHeight="1" x14ac:dyDescent="0.2">
      <c r="A2297" s="88" t="s">
        <v>2631</v>
      </c>
      <c r="B2297" s="90"/>
      <c r="C2297" s="88" t="s">
        <v>2797</v>
      </c>
      <c r="D2297" s="90"/>
      <c r="E2297" s="106"/>
      <c r="F2297" s="107"/>
      <c r="G2297" s="107"/>
      <c r="H2297" s="107"/>
      <c r="I2297" s="108"/>
      <c r="J2297" s="88" t="s">
        <v>1499</v>
      </c>
      <c r="K2297" s="89"/>
      <c r="L2297" s="89"/>
      <c r="M2297" s="90"/>
      <c r="N2297" s="88" t="s">
        <v>701</v>
      </c>
      <c r="O2297" s="89"/>
      <c r="P2297" s="90"/>
      <c r="Q2297" s="133">
        <v>2000</v>
      </c>
      <c r="R2297" s="134"/>
      <c r="S2297" s="5" t="s">
        <v>2633</v>
      </c>
      <c r="T2297" s="6"/>
      <c r="U2297" s="6"/>
      <c r="V2297" s="5" t="s">
        <v>702</v>
      </c>
      <c r="W2297" s="12">
        <v>14180983</v>
      </c>
      <c r="X2297" s="6"/>
      <c r="Y2297" s="6"/>
    </row>
    <row r="2298" spans="1:25" ht="15" customHeight="1" x14ac:dyDescent="0.2">
      <c r="A2298" s="88" t="s">
        <v>2631</v>
      </c>
      <c r="B2298" s="90"/>
      <c r="C2298" s="88" t="s">
        <v>2798</v>
      </c>
      <c r="D2298" s="90"/>
      <c r="E2298" s="106"/>
      <c r="F2298" s="107"/>
      <c r="G2298" s="107"/>
      <c r="H2298" s="107"/>
      <c r="I2298" s="108"/>
      <c r="J2298" s="88" t="s">
        <v>1499</v>
      </c>
      <c r="K2298" s="89"/>
      <c r="L2298" s="89"/>
      <c r="M2298" s="90"/>
      <c r="N2298" s="88" t="s">
        <v>701</v>
      </c>
      <c r="O2298" s="89"/>
      <c r="P2298" s="90"/>
      <c r="Q2298" s="133">
        <v>2000</v>
      </c>
      <c r="R2298" s="134"/>
      <c r="S2298" s="5" t="s">
        <v>2633</v>
      </c>
      <c r="T2298" s="6"/>
      <c r="U2298" s="6"/>
      <c r="V2298" s="5" t="s">
        <v>702</v>
      </c>
      <c r="W2298" s="12">
        <v>15565607</v>
      </c>
      <c r="X2298" s="6"/>
      <c r="Y2298" s="6"/>
    </row>
    <row r="2299" spans="1:25" ht="15" customHeight="1" x14ac:dyDescent="0.2">
      <c r="A2299" s="88" t="s">
        <v>2631</v>
      </c>
      <c r="B2299" s="90"/>
      <c r="C2299" s="88" t="s">
        <v>2799</v>
      </c>
      <c r="D2299" s="90"/>
      <c r="E2299" s="106"/>
      <c r="F2299" s="107"/>
      <c r="G2299" s="107"/>
      <c r="H2299" s="107"/>
      <c r="I2299" s="108"/>
      <c r="J2299" s="88" t="s">
        <v>1499</v>
      </c>
      <c r="K2299" s="89"/>
      <c r="L2299" s="89"/>
      <c r="M2299" s="90"/>
      <c r="N2299" s="88" t="s">
        <v>701</v>
      </c>
      <c r="O2299" s="89"/>
      <c r="P2299" s="90"/>
      <c r="Q2299" s="133">
        <v>2000</v>
      </c>
      <c r="R2299" s="134"/>
      <c r="S2299" s="5" t="s">
        <v>2633</v>
      </c>
      <c r="T2299" s="6"/>
      <c r="U2299" s="6"/>
      <c r="V2299" s="5" t="s">
        <v>702</v>
      </c>
      <c r="W2299" s="12">
        <v>16250312</v>
      </c>
      <c r="X2299" s="6"/>
      <c r="Y2299" s="6"/>
    </row>
    <row r="2300" spans="1:25" ht="15" customHeight="1" x14ac:dyDescent="0.2">
      <c r="A2300" s="88" t="s">
        <v>2631</v>
      </c>
      <c r="B2300" s="90"/>
      <c r="C2300" s="88" t="s">
        <v>2800</v>
      </c>
      <c r="D2300" s="90"/>
      <c r="E2300" s="106"/>
      <c r="F2300" s="107"/>
      <c r="G2300" s="107"/>
      <c r="H2300" s="107"/>
      <c r="I2300" s="108"/>
      <c r="J2300" s="88" t="s">
        <v>1499</v>
      </c>
      <c r="K2300" s="89"/>
      <c r="L2300" s="89"/>
      <c r="M2300" s="90"/>
      <c r="N2300" s="88" t="s">
        <v>701</v>
      </c>
      <c r="O2300" s="89"/>
      <c r="P2300" s="90"/>
      <c r="Q2300" s="133">
        <v>2000</v>
      </c>
      <c r="R2300" s="134"/>
      <c r="S2300" s="5" t="s">
        <v>2633</v>
      </c>
      <c r="T2300" s="6"/>
      <c r="U2300" s="6"/>
      <c r="V2300" s="5" t="s">
        <v>702</v>
      </c>
      <c r="W2300" s="12">
        <v>13663651</v>
      </c>
      <c r="X2300" s="6"/>
      <c r="Y2300" s="6"/>
    </row>
    <row r="2301" spans="1:25" ht="15" customHeight="1" x14ac:dyDescent="0.2">
      <c r="A2301" s="88" t="s">
        <v>2631</v>
      </c>
      <c r="B2301" s="90"/>
      <c r="C2301" s="88" t="s">
        <v>2801</v>
      </c>
      <c r="D2301" s="90"/>
      <c r="E2301" s="106"/>
      <c r="F2301" s="107"/>
      <c r="G2301" s="107"/>
      <c r="H2301" s="107"/>
      <c r="I2301" s="108"/>
      <c r="J2301" s="88" t="s">
        <v>1499</v>
      </c>
      <c r="K2301" s="89"/>
      <c r="L2301" s="89"/>
      <c r="M2301" s="90"/>
      <c r="N2301" s="88" t="s">
        <v>701</v>
      </c>
      <c r="O2301" s="89"/>
      <c r="P2301" s="90"/>
      <c r="Q2301" s="133">
        <v>2000</v>
      </c>
      <c r="R2301" s="134"/>
      <c r="S2301" s="5" t="s">
        <v>2633</v>
      </c>
      <c r="T2301" s="6"/>
      <c r="U2301" s="6"/>
      <c r="V2301" s="5" t="s">
        <v>702</v>
      </c>
      <c r="W2301" s="12">
        <v>15093922</v>
      </c>
      <c r="X2301" s="6"/>
      <c r="Y2301" s="6"/>
    </row>
    <row r="2302" spans="1:25" ht="15" customHeight="1" x14ac:dyDescent="0.2">
      <c r="A2302" s="88" t="s">
        <v>2631</v>
      </c>
      <c r="B2302" s="90"/>
      <c r="C2302" s="88" t="s">
        <v>2802</v>
      </c>
      <c r="D2302" s="90"/>
      <c r="E2302" s="106"/>
      <c r="F2302" s="107"/>
      <c r="G2302" s="107"/>
      <c r="H2302" s="107"/>
      <c r="I2302" s="108"/>
      <c r="J2302" s="88" t="s">
        <v>1499</v>
      </c>
      <c r="K2302" s="89"/>
      <c r="L2302" s="89"/>
      <c r="M2302" s="90"/>
      <c r="N2302" s="88" t="s">
        <v>701</v>
      </c>
      <c r="O2302" s="89"/>
      <c r="P2302" s="90"/>
      <c r="Q2302" s="133">
        <v>2000</v>
      </c>
      <c r="R2302" s="134"/>
      <c r="S2302" s="5" t="s">
        <v>2633</v>
      </c>
      <c r="T2302" s="6"/>
      <c r="U2302" s="6"/>
      <c r="V2302" s="5" t="s">
        <v>702</v>
      </c>
      <c r="W2302" s="12">
        <v>13176751</v>
      </c>
      <c r="X2302" s="6"/>
      <c r="Y2302" s="6"/>
    </row>
    <row r="2303" spans="1:25" ht="15" customHeight="1" x14ac:dyDescent="0.2">
      <c r="A2303" s="88" t="s">
        <v>2631</v>
      </c>
      <c r="B2303" s="90"/>
      <c r="C2303" s="88" t="s">
        <v>2803</v>
      </c>
      <c r="D2303" s="90"/>
      <c r="E2303" s="106"/>
      <c r="F2303" s="107"/>
      <c r="G2303" s="107"/>
      <c r="H2303" s="107"/>
      <c r="I2303" s="108"/>
      <c r="J2303" s="88" t="s">
        <v>1499</v>
      </c>
      <c r="K2303" s="89"/>
      <c r="L2303" s="89"/>
      <c r="M2303" s="90"/>
      <c r="N2303" s="88" t="s">
        <v>701</v>
      </c>
      <c r="O2303" s="89"/>
      <c r="P2303" s="90"/>
      <c r="Q2303" s="133">
        <v>2000</v>
      </c>
      <c r="R2303" s="134"/>
      <c r="S2303" s="5" t="s">
        <v>2633</v>
      </c>
      <c r="T2303" s="6"/>
      <c r="U2303" s="6"/>
      <c r="V2303" s="5" t="s">
        <v>702</v>
      </c>
      <c r="W2303" s="12">
        <v>14607022</v>
      </c>
      <c r="X2303" s="6"/>
      <c r="Y2303" s="6"/>
    </row>
    <row r="2304" spans="1:25" ht="15" customHeight="1" x14ac:dyDescent="0.2">
      <c r="A2304" s="88" t="s">
        <v>2631</v>
      </c>
      <c r="B2304" s="90"/>
      <c r="C2304" s="88" t="s">
        <v>2804</v>
      </c>
      <c r="D2304" s="90"/>
      <c r="E2304" s="106"/>
      <c r="F2304" s="107"/>
      <c r="G2304" s="107"/>
      <c r="H2304" s="107"/>
      <c r="I2304" s="108"/>
      <c r="J2304" s="88" t="s">
        <v>1499</v>
      </c>
      <c r="K2304" s="89"/>
      <c r="L2304" s="89"/>
      <c r="M2304" s="90"/>
      <c r="N2304" s="88" t="s">
        <v>22</v>
      </c>
      <c r="O2304" s="89"/>
      <c r="P2304" s="90"/>
      <c r="Q2304" s="133">
        <v>2000</v>
      </c>
      <c r="R2304" s="134"/>
      <c r="S2304" s="5" t="s">
        <v>2633</v>
      </c>
      <c r="T2304" s="6"/>
      <c r="U2304" s="6"/>
      <c r="V2304" s="5" t="s">
        <v>702</v>
      </c>
      <c r="W2304" s="12">
        <v>13967964</v>
      </c>
      <c r="X2304" s="6"/>
      <c r="Y2304" s="6"/>
    </row>
    <row r="2305" spans="1:25" ht="15" customHeight="1" x14ac:dyDescent="0.2">
      <c r="A2305" s="88" t="s">
        <v>2631</v>
      </c>
      <c r="B2305" s="90"/>
      <c r="C2305" s="88" t="s">
        <v>2805</v>
      </c>
      <c r="D2305" s="90"/>
      <c r="E2305" s="106"/>
      <c r="F2305" s="107"/>
      <c r="G2305" s="107"/>
      <c r="H2305" s="107"/>
      <c r="I2305" s="108"/>
      <c r="J2305" s="88" t="s">
        <v>1499</v>
      </c>
      <c r="K2305" s="89"/>
      <c r="L2305" s="89"/>
      <c r="M2305" s="90"/>
      <c r="N2305" s="88" t="s">
        <v>14</v>
      </c>
      <c r="O2305" s="89"/>
      <c r="P2305" s="90"/>
      <c r="Q2305" s="133">
        <v>2000</v>
      </c>
      <c r="R2305" s="134"/>
      <c r="S2305" s="5" t="s">
        <v>2633</v>
      </c>
      <c r="T2305" s="6"/>
      <c r="U2305" s="6"/>
      <c r="V2305" s="5" t="s">
        <v>702</v>
      </c>
      <c r="W2305" s="12">
        <v>39864996</v>
      </c>
      <c r="X2305" s="6"/>
      <c r="Y2305" s="6"/>
    </row>
    <row r="2306" spans="1:25" ht="15" customHeight="1" x14ac:dyDescent="0.2">
      <c r="A2306" s="88" t="s">
        <v>2631</v>
      </c>
      <c r="B2306" s="90"/>
      <c r="C2306" s="88" t="s">
        <v>2806</v>
      </c>
      <c r="D2306" s="90"/>
      <c r="E2306" s="106"/>
      <c r="F2306" s="107"/>
      <c r="G2306" s="107"/>
      <c r="H2306" s="107"/>
      <c r="I2306" s="108"/>
      <c r="J2306" s="88" t="s">
        <v>1499</v>
      </c>
      <c r="K2306" s="89"/>
      <c r="L2306" s="89"/>
      <c r="M2306" s="90"/>
      <c r="N2306" s="88" t="s">
        <v>14</v>
      </c>
      <c r="O2306" s="89"/>
      <c r="P2306" s="90"/>
      <c r="Q2306" s="133">
        <v>2000</v>
      </c>
      <c r="R2306" s="134"/>
      <c r="S2306" s="5" t="s">
        <v>2633</v>
      </c>
      <c r="T2306" s="6"/>
      <c r="U2306" s="6"/>
      <c r="V2306" s="5" t="s">
        <v>702</v>
      </c>
      <c r="W2306" s="12">
        <v>29518356</v>
      </c>
      <c r="X2306" s="6"/>
      <c r="Y2306" s="6"/>
    </row>
    <row r="2307" spans="1:25" ht="15" customHeight="1" x14ac:dyDescent="0.2">
      <c r="A2307" s="88" t="s">
        <v>2631</v>
      </c>
      <c r="B2307" s="90"/>
      <c r="C2307" s="88" t="s">
        <v>2807</v>
      </c>
      <c r="D2307" s="90"/>
      <c r="E2307" s="106"/>
      <c r="F2307" s="107"/>
      <c r="G2307" s="107"/>
      <c r="H2307" s="107"/>
      <c r="I2307" s="108"/>
      <c r="J2307" s="88" t="s">
        <v>1499</v>
      </c>
      <c r="K2307" s="89"/>
      <c r="L2307" s="89"/>
      <c r="M2307" s="90"/>
      <c r="N2307" s="88" t="s">
        <v>14</v>
      </c>
      <c r="O2307" s="89"/>
      <c r="P2307" s="90"/>
      <c r="Q2307" s="133">
        <v>2000</v>
      </c>
      <c r="R2307" s="134"/>
      <c r="S2307" s="5" t="s">
        <v>2633</v>
      </c>
      <c r="T2307" s="6"/>
      <c r="U2307" s="6"/>
      <c r="V2307" s="5" t="s">
        <v>702</v>
      </c>
      <c r="W2307" s="12">
        <v>27388166</v>
      </c>
      <c r="X2307" s="6"/>
      <c r="Y2307" s="6"/>
    </row>
    <row r="2308" spans="1:25" ht="15" customHeight="1" x14ac:dyDescent="0.2">
      <c r="A2308" s="88" t="s">
        <v>2631</v>
      </c>
      <c r="B2308" s="90"/>
      <c r="C2308" s="88" t="s">
        <v>2808</v>
      </c>
      <c r="D2308" s="90"/>
      <c r="E2308" s="106"/>
      <c r="F2308" s="107"/>
      <c r="G2308" s="107"/>
      <c r="H2308" s="107"/>
      <c r="I2308" s="108"/>
      <c r="J2308" s="88" t="s">
        <v>1499</v>
      </c>
      <c r="K2308" s="89"/>
      <c r="L2308" s="89"/>
      <c r="M2308" s="90"/>
      <c r="N2308" s="88" t="s">
        <v>14</v>
      </c>
      <c r="O2308" s="89"/>
      <c r="P2308" s="90"/>
      <c r="Q2308" s="133">
        <v>2000</v>
      </c>
      <c r="R2308" s="134"/>
      <c r="S2308" s="5" t="s">
        <v>2633</v>
      </c>
      <c r="T2308" s="6"/>
      <c r="U2308" s="6"/>
      <c r="V2308" s="5" t="s">
        <v>702</v>
      </c>
      <c r="W2308" s="12">
        <v>24040723</v>
      </c>
      <c r="X2308" s="6"/>
      <c r="Y2308" s="6"/>
    </row>
    <row r="2309" spans="1:25" ht="15" customHeight="1" x14ac:dyDescent="0.2">
      <c r="A2309" s="88" t="s">
        <v>2631</v>
      </c>
      <c r="B2309" s="90"/>
      <c r="C2309" s="88" t="s">
        <v>2809</v>
      </c>
      <c r="D2309" s="89"/>
      <c r="E2309" s="89"/>
      <c r="F2309" s="89"/>
      <c r="G2309" s="89"/>
      <c r="H2309" s="89"/>
      <c r="I2309" s="90"/>
      <c r="J2309" s="88" t="s">
        <v>1499</v>
      </c>
      <c r="K2309" s="89"/>
      <c r="L2309" s="89"/>
      <c r="M2309" s="90"/>
      <c r="N2309" s="88" t="s">
        <v>14</v>
      </c>
      <c r="O2309" s="89"/>
      <c r="P2309" s="90"/>
      <c r="Q2309" s="133">
        <v>2000</v>
      </c>
      <c r="R2309" s="134"/>
      <c r="S2309" s="5" t="s">
        <v>2633</v>
      </c>
      <c r="T2309" s="6"/>
      <c r="U2309" s="6"/>
      <c r="V2309" s="5" t="s">
        <v>702</v>
      </c>
      <c r="W2309" s="12">
        <v>25257975</v>
      </c>
      <c r="X2309" s="6"/>
      <c r="Y2309" s="6"/>
    </row>
    <row r="2310" spans="1:25" ht="15" customHeight="1" x14ac:dyDescent="0.2">
      <c r="A2310" s="88" t="s">
        <v>2631</v>
      </c>
      <c r="B2310" s="90"/>
      <c r="C2310" s="88" t="s">
        <v>2810</v>
      </c>
      <c r="D2310" s="90"/>
      <c r="E2310" s="106"/>
      <c r="F2310" s="107"/>
      <c r="G2310" s="107"/>
      <c r="H2310" s="107"/>
      <c r="I2310" s="108"/>
      <c r="J2310" s="88" t="s">
        <v>1499</v>
      </c>
      <c r="K2310" s="89"/>
      <c r="L2310" s="89"/>
      <c r="M2310" s="90"/>
      <c r="N2310" s="88" t="s">
        <v>22</v>
      </c>
      <c r="O2310" s="89"/>
      <c r="P2310" s="90"/>
      <c r="Q2310" s="133">
        <v>2000</v>
      </c>
      <c r="R2310" s="134"/>
      <c r="S2310" s="5" t="s">
        <v>2633</v>
      </c>
      <c r="T2310" s="6"/>
      <c r="U2310" s="6"/>
      <c r="V2310" s="5" t="s">
        <v>106</v>
      </c>
      <c r="W2310" s="12">
        <v>16493762</v>
      </c>
      <c r="X2310" s="6"/>
      <c r="Y2310" s="6"/>
    </row>
    <row r="2311" spans="1:25" ht="15" customHeight="1" x14ac:dyDescent="0.2">
      <c r="A2311" s="88" t="s">
        <v>2631</v>
      </c>
      <c r="B2311" s="90"/>
      <c r="C2311" s="88" t="s">
        <v>2811</v>
      </c>
      <c r="D2311" s="89"/>
      <c r="E2311" s="89"/>
      <c r="F2311" s="89"/>
      <c r="G2311" s="89"/>
      <c r="H2311" s="89"/>
      <c r="I2311" s="90"/>
      <c r="J2311" s="88" t="s">
        <v>1499</v>
      </c>
      <c r="K2311" s="89"/>
      <c r="L2311" s="89"/>
      <c r="M2311" s="90"/>
      <c r="N2311" s="88" t="s">
        <v>22</v>
      </c>
      <c r="O2311" s="89"/>
      <c r="P2311" s="90"/>
      <c r="Q2311" s="133">
        <v>2000</v>
      </c>
      <c r="R2311" s="134"/>
      <c r="S2311" s="5" t="s">
        <v>2633</v>
      </c>
      <c r="T2311" s="6"/>
      <c r="U2311" s="6"/>
      <c r="V2311" s="5" t="s">
        <v>106</v>
      </c>
      <c r="W2311" s="12">
        <v>17558857</v>
      </c>
      <c r="X2311" s="6"/>
      <c r="Y2311" s="6"/>
    </row>
    <row r="2312" spans="1:25" ht="15" customHeight="1" x14ac:dyDescent="0.2">
      <c r="A2312" s="88" t="s">
        <v>2631</v>
      </c>
      <c r="B2312" s="90"/>
      <c r="C2312" s="88" t="s">
        <v>2812</v>
      </c>
      <c r="D2312" s="90"/>
      <c r="E2312" s="106"/>
      <c r="F2312" s="107"/>
      <c r="G2312" s="107"/>
      <c r="H2312" s="107"/>
      <c r="I2312" s="108"/>
      <c r="J2312" s="88" t="s">
        <v>1499</v>
      </c>
      <c r="K2312" s="89"/>
      <c r="L2312" s="89"/>
      <c r="M2312" s="90"/>
      <c r="N2312" s="88" t="s">
        <v>22</v>
      </c>
      <c r="O2312" s="89"/>
      <c r="P2312" s="90"/>
      <c r="Q2312" s="133">
        <v>2000</v>
      </c>
      <c r="R2312" s="134"/>
      <c r="S2312" s="5" t="s">
        <v>2633</v>
      </c>
      <c r="T2312" s="6"/>
      <c r="U2312" s="6"/>
      <c r="V2312" s="5" t="s">
        <v>106</v>
      </c>
      <c r="W2312" s="12">
        <v>19019559</v>
      </c>
      <c r="X2312" s="6"/>
      <c r="Y2312" s="6"/>
    </row>
    <row r="2313" spans="1:25" ht="15" customHeight="1" x14ac:dyDescent="0.2">
      <c r="A2313" s="88" t="s">
        <v>2631</v>
      </c>
      <c r="B2313" s="90"/>
      <c r="C2313" s="88" t="s">
        <v>2813</v>
      </c>
      <c r="D2313" s="90"/>
      <c r="E2313" s="106"/>
      <c r="F2313" s="107"/>
      <c r="G2313" s="107"/>
      <c r="H2313" s="107"/>
      <c r="I2313" s="108"/>
      <c r="J2313" s="88" t="s">
        <v>1499</v>
      </c>
      <c r="K2313" s="89"/>
      <c r="L2313" s="89"/>
      <c r="M2313" s="90"/>
      <c r="N2313" s="88" t="s">
        <v>22</v>
      </c>
      <c r="O2313" s="89"/>
      <c r="P2313" s="90"/>
      <c r="Q2313" s="133">
        <v>2000</v>
      </c>
      <c r="R2313" s="134"/>
      <c r="S2313" s="5" t="s">
        <v>2633</v>
      </c>
      <c r="T2313" s="6"/>
      <c r="U2313" s="6"/>
      <c r="V2313" s="5" t="s">
        <v>106</v>
      </c>
      <c r="W2313" s="12">
        <v>15519960</v>
      </c>
      <c r="X2313" s="6"/>
      <c r="Y2313" s="6"/>
    </row>
    <row r="2314" spans="1:25" ht="15" customHeight="1" x14ac:dyDescent="0.2">
      <c r="A2314" s="88" t="s">
        <v>2631</v>
      </c>
      <c r="B2314" s="90"/>
      <c r="C2314" s="88" t="s">
        <v>2814</v>
      </c>
      <c r="D2314" s="90"/>
      <c r="E2314" s="106"/>
      <c r="F2314" s="107"/>
      <c r="G2314" s="107"/>
      <c r="H2314" s="107"/>
      <c r="I2314" s="108"/>
      <c r="J2314" s="88" t="s">
        <v>1499</v>
      </c>
      <c r="K2314" s="89"/>
      <c r="L2314" s="89"/>
      <c r="M2314" s="90"/>
      <c r="N2314" s="88" t="s">
        <v>22</v>
      </c>
      <c r="O2314" s="89"/>
      <c r="P2314" s="90"/>
      <c r="Q2314" s="133">
        <v>2000</v>
      </c>
      <c r="R2314" s="134"/>
      <c r="S2314" s="5" t="s">
        <v>2633</v>
      </c>
      <c r="T2314" s="6"/>
      <c r="U2314" s="6"/>
      <c r="V2314" s="5" t="s">
        <v>106</v>
      </c>
      <c r="W2314" s="12">
        <v>14728747</v>
      </c>
      <c r="X2314" s="6"/>
      <c r="Y2314" s="6"/>
    </row>
    <row r="2315" spans="1:25" ht="15" customHeight="1" x14ac:dyDescent="0.2">
      <c r="A2315" s="88" t="s">
        <v>2631</v>
      </c>
      <c r="B2315" s="90"/>
      <c r="C2315" s="88" t="s">
        <v>2815</v>
      </c>
      <c r="D2315" s="90"/>
      <c r="E2315" s="106"/>
      <c r="F2315" s="107"/>
      <c r="G2315" s="107"/>
      <c r="H2315" s="107"/>
      <c r="I2315" s="108"/>
      <c r="J2315" s="88" t="s">
        <v>1499</v>
      </c>
      <c r="K2315" s="89"/>
      <c r="L2315" s="89"/>
      <c r="M2315" s="90"/>
      <c r="N2315" s="88" t="s">
        <v>22</v>
      </c>
      <c r="O2315" s="89"/>
      <c r="P2315" s="90"/>
      <c r="Q2315" s="133">
        <v>2000</v>
      </c>
      <c r="R2315" s="134"/>
      <c r="S2315" s="5" t="s">
        <v>2633</v>
      </c>
      <c r="T2315" s="6"/>
      <c r="U2315" s="6"/>
      <c r="V2315" s="5" t="s">
        <v>106</v>
      </c>
      <c r="W2315" s="12">
        <v>12720281</v>
      </c>
      <c r="X2315" s="6"/>
      <c r="Y2315" s="6"/>
    </row>
    <row r="2316" spans="1:25" ht="15" customHeight="1" x14ac:dyDescent="0.2">
      <c r="A2316" s="88" t="s">
        <v>2631</v>
      </c>
      <c r="B2316" s="90"/>
      <c r="C2316" s="88" t="s">
        <v>2816</v>
      </c>
      <c r="D2316" s="90"/>
      <c r="E2316" s="106"/>
      <c r="F2316" s="107"/>
      <c r="G2316" s="107"/>
      <c r="H2316" s="107"/>
      <c r="I2316" s="108"/>
      <c r="J2316" s="88" t="s">
        <v>1499</v>
      </c>
      <c r="K2316" s="89"/>
      <c r="L2316" s="89"/>
      <c r="M2316" s="90"/>
      <c r="N2316" s="88" t="s">
        <v>22</v>
      </c>
      <c r="O2316" s="89"/>
      <c r="P2316" s="90"/>
      <c r="Q2316" s="133">
        <v>2000</v>
      </c>
      <c r="R2316" s="134"/>
      <c r="S2316" s="5" t="s">
        <v>2633</v>
      </c>
      <c r="T2316" s="6"/>
      <c r="U2316" s="6"/>
      <c r="V2316" s="5" t="s">
        <v>106</v>
      </c>
      <c r="W2316" s="12">
        <v>15550392</v>
      </c>
      <c r="X2316" s="6"/>
      <c r="Y2316" s="6"/>
    </row>
    <row r="2317" spans="1:25" ht="15" customHeight="1" x14ac:dyDescent="0.2">
      <c r="A2317" s="88" t="s">
        <v>2631</v>
      </c>
      <c r="B2317" s="90"/>
      <c r="C2317" s="88" t="s">
        <v>2817</v>
      </c>
      <c r="D2317" s="90"/>
      <c r="E2317" s="106"/>
      <c r="F2317" s="107"/>
      <c r="G2317" s="107"/>
      <c r="H2317" s="107"/>
      <c r="I2317" s="108"/>
      <c r="J2317" s="88" t="s">
        <v>1499</v>
      </c>
      <c r="K2317" s="89"/>
      <c r="L2317" s="89"/>
      <c r="M2317" s="90"/>
      <c r="N2317" s="88" t="s">
        <v>22</v>
      </c>
      <c r="O2317" s="89"/>
      <c r="P2317" s="90"/>
      <c r="Q2317" s="133">
        <v>2000</v>
      </c>
      <c r="R2317" s="134"/>
      <c r="S2317" s="5" t="s">
        <v>2633</v>
      </c>
      <c r="T2317" s="6"/>
      <c r="U2317" s="6"/>
      <c r="V2317" s="5" t="s">
        <v>106</v>
      </c>
      <c r="W2317" s="12">
        <v>13937533</v>
      </c>
      <c r="X2317" s="6"/>
      <c r="Y2317" s="6"/>
    </row>
    <row r="2318" spans="1:25" ht="15" customHeight="1" x14ac:dyDescent="0.2">
      <c r="A2318" s="88" t="s">
        <v>2631</v>
      </c>
      <c r="B2318" s="90"/>
      <c r="C2318" s="88" t="s">
        <v>2818</v>
      </c>
      <c r="D2318" s="90"/>
      <c r="E2318" s="106"/>
      <c r="F2318" s="107"/>
      <c r="G2318" s="107"/>
      <c r="H2318" s="107"/>
      <c r="I2318" s="108"/>
      <c r="J2318" s="88" t="s">
        <v>1499</v>
      </c>
      <c r="K2318" s="89"/>
      <c r="L2318" s="89"/>
      <c r="M2318" s="90"/>
      <c r="N2318" s="88" t="s">
        <v>701</v>
      </c>
      <c r="O2318" s="89"/>
      <c r="P2318" s="90"/>
      <c r="Q2318" s="133">
        <v>2000</v>
      </c>
      <c r="R2318" s="134"/>
      <c r="S2318" s="5" t="s">
        <v>2633</v>
      </c>
      <c r="T2318" s="6"/>
      <c r="U2318" s="6"/>
      <c r="V2318" s="5" t="s">
        <v>106</v>
      </c>
      <c r="W2318" s="12">
        <v>15647163</v>
      </c>
      <c r="X2318" s="6"/>
      <c r="Y2318" s="6"/>
    </row>
    <row r="2319" spans="1:25" ht="15" customHeight="1" x14ac:dyDescent="0.2">
      <c r="A2319" s="88" t="s">
        <v>2631</v>
      </c>
      <c r="B2319" s="90"/>
      <c r="C2319" s="88" t="s">
        <v>2819</v>
      </c>
      <c r="D2319" s="90"/>
      <c r="E2319" s="106"/>
      <c r="F2319" s="107"/>
      <c r="G2319" s="107"/>
      <c r="H2319" s="107"/>
      <c r="I2319" s="108"/>
      <c r="J2319" s="88" t="s">
        <v>1499</v>
      </c>
      <c r="K2319" s="89"/>
      <c r="L2319" s="89"/>
      <c r="M2319" s="90"/>
      <c r="N2319" s="88" t="s">
        <v>701</v>
      </c>
      <c r="O2319" s="89"/>
      <c r="P2319" s="90"/>
      <c r="Q2319" s="133">
        <v>2993</v>
      </c>
      <c r="R2319" s="134"/>
      <c r="S2319" s="5" t="s">
        <v>2633</v>
      </c>
      <c r="T2319" s="6"/>
      <c r="U2319" s="8">
        <v>5</v>
      </c>
      <c r="V2319" s="5" t="s">
        <v>106</v>
      </c>
      <c r="W2319" s="12">
        <v>26331324</v>
      </c>
      <c r="X2319" s="6"/>
      <c r="Y2319" s="6"/>
    </row>
    <row r="2320" spans="1:25" ht="15" customHeight="1" x14ac:dyDescent="0.2">
      <c r="A2320" s="88" t="s">
        <v>2631</v>
      </c>
      <c r="B2320" s="90"/>
      <c r="C2320" s="88" t="s">
        <v>2820</v>
      </c>
      <c r="D2320" s="90"/>
      <c r="E2320" s="106"/>
      <c r="F2320" s="107"/>
      <c r="G2320" s="107"/>
      <c r="H2320" s="107"/>
      <c r="I2320" s="108"/>
      <c r="J2320" s="88" t="s">
        <v>1499</v>
      </c>
      <c r="K2320" s="89"/>
      <c r="L2320" s="89"/>
      <c r="M2320" s="90"/>
      <c r="N2320" s="88" t="s">
        <v>701</v>
      </c>
      <c r="O2320" s="89"/>
      <c r="P2320" s="90"/>
      <c r="Q2320" s="133">
        <v>2993</v>
      </c>
      <c r="R2320" s="134"/>
      <c r="S2320" s="5" t="s">
        <v>2633</v>
      </c>
      <c r="T2320" s="6"/>
      <c r="U2320" s="8">
        <v>5</v>
      </c>
      <c r="V2320" s="5" t="s">
        <v>106</v>
      </c>
      <c r="W2320" s="12">
        <v>22353702</v>
      </c>
      <c r="X2320" s="6"/>
      <c r="Y2320" s="6"/>
    </row>
    <row r="2321" spans="1:25" ht="15" customHeight="1" x14ac:dyDescent="0.2">
      <c r="A2321" s="88" t="s">
        <v>2631</v>
      </c>
      <c r="B2321" s="90"/>
      <c r="C2321" s="88" t="s">
        <v>2821</v>
      </c>
      <c r="D2321" s="90"/>
      <c r="E2321" s="106"/>
      <c r="F2321" s="107"/>
      <c r="G2321" s="107"/>
      <c r="H2321" s="107"/>
      <c r="I2321" s="108"/>
      <c r="J2321" s="88" t="s">
        <v>1499</v>
      </c>
      <c r="K2321" s="89"/>
      <c r="L2321" s="89"/>
      <c r="M2321" s="90"/>
      <c r="N2321" s="88" t="s">
        <v>701</v>
      </c>
      <c r="O2321" s="89"/>
      <c r="P2321" s="90"/>
      <c r="Q2321" s="133">
        <v>2993</v>
      </c>
      <c r="R2321" s="134"/>
      <c r="S2321" s="5" t="s">
        <v>2633</v>
      </c>
      <c r="T2321" s="6"/>
      <c r="U2321" s="8">
        <v>5</v>
      </c>
      <c r="V2321" s="5" t="s">
        <v>106</v>
      </c>
      <c r="W2321" s="12">
        <v>30717222</v>
      </c>
      <c r="X2321" s="6"/>
      <c r="Y2321" s="6"/>
    </row>
    <row r="2322" spans="1:25" ht="15" customHeight="1" x14ac:dyDescent="0.2">
      <c r="A2322" s="88" t="s">
        <v>2631</v>
      </c>
      <c r="B2322" s="90"/>
      <c r="C2322" s="88" t="s">
        <v>2822</v>
      </c>
      <c r="D2322" s="90"/>
      <c r="E2322" s="106"/>
      <c r="F2322" s="107"/>
      <c r="G2322" s="107"/>
      <c r="H2322" s="107"/>
      <c r="I2322" s="108"/>
      <c r="J2322" s="88" t="s">
        <v>1499</v>
      </c>
      <c r="K2322" s="89"/>
      <c r="L2322" s="89"/>
      <c r="M2322" s="90"/>
      <c r="N2322" s="88" t="s">
        <v>701</v>
      </c>
      <c r="O2322" s="89"/>
      <c r="P2322" s="90"/>
      <c r="Q2322" s="133">
        <v>2993</v>
      </c>
      <c r="R2322" s="134"/>
      <c r="S2322" s="5" t="s">
        <v>2633</v>
      </c>
      <c r="T2322" s="6"/>
      <c r="U2322" s="8">
        <v>5</v>
      </c>
      <c r="V2322" s="5" t="s">
        <v>106</v>
      </c>
      <c r="W2322" s="12">
        <v>30921949</v>
      </c>
      <c r="X2322" s="6"/>
      <c r="Y2322" s="6"/>
    </row>
    <row r="2323" spans="1:25" ht="15" customHeight="1" x14ac:dyDescent="0.2">
      <c r="A2323" s="88" t="s">
        <v>2631</v>
      </c>
      <c r="B2323" s="90"/>
      <c r="C2323" s="88" t="s">
        <v>2823</v>
      </c>
      <c r="D2323" s="90"/>
      <c r="E2323" s="106"/>
      <c r="F2323" s="107"/>
      <c r="G2323" s="107"/>
      <c r="H2323" s="107"/>
      <c r="I2323" s="108"/>
      <c r="J2323" s="88" t="s">
        <v>1499</v>
      </c>
      <c r="K2323" s="89"/>
      <c r="L2323" s="89"/>
      <c r="M2323" s="90"/>
      <c r="N2323" s="88" t="s">
        <v>701</v>
      </c>
      <c r="O2323" s="89"/>
      <c r="P2323" s="90"/>
      <c r="Q2323" s="133">
        <v>2996</v>
      </c>
      <c r="R2323" s="134"/>
      <c r="S2323" s="5" t="s">
        <v>2633</v>
      </c>
      <c r="T2323" s="6"/>
      <c r="U2323" s="8">
        <v>5</v>
      </c>
      <c r="V2323" s="5" t="s">
        <v>106</v>
      </c>
      <c r="W2323" s="12">
        <v>30056229</v>
      </c>
      <c r="X2323" s="6"/>
      <c r="Y2323" s="6"/>
    </row>
    <row r="2324" spans="1:25" ht="15" customHeight="1" x14ac:dyDescent="0.2">
      <c r="A2324" s="88" t="s">
        <v>2631</v>
      </c>
      <c r="B2324" s="90"/>
      <c r="C2324" s="88" t="s">
        <v>2637</v>
      </c>
      <c r="D2324" s="90"/>
      <c r="E2324" s="106"/>
      <c r="F2324" s="107"/>
      <c r="G2324" s="107"/>
      <c r="H2324" s="107"/>
      <c r="I2324" s="108"/>
      <c r="J2324" s="88" t="s">
        <v>1499</v>
      </c>
      <c r="K2324" s="89"/>
      <c r="L2324" s="89"/>
      <c r="M2324" s="90"/>
      <c r="N2324" s="88" t="s">
        <v>701</v>
      </c>
      <c r="O2324" s="89"/>
      <c r="P2324" s="90"/>
      <c r="Q2324" s="133">
        <v>2996</v>
      </c>
      <c r="R2324" s="134"/>
      <c r="S2324" s="5" t="s">
        <v>2633</v>
      </c>
      <c r="T2324" s="6"/>
      <c r="U2324" s="8">
        <v>5</v>
      </c>
      <c r="V2324" s="5" t="s">
        <v>106</v>
      </c>
      <c r="W2324" s="12">
        <v>18849677</v>
      </c>
      <c r="X2324" s="6"/>
      <c r="Y2324" s="6"/>
    </row>
    <row r="2325" spans="1:25" ht="15" customHeight="1" x14ac:dyDescent="0.2">
      <c r="A2325" s="88" t="s">
        <v>2631</v>
      </c>
      <c r="B2325" s="90"/>
      <c r="C2325" s="88" t="s">
        <v>2824</v>
      </c>
      <c r="D2325" s="90"/>
      <c r="E2325" s="106"/>
      <c r="F2325" s="107"/>
      <c r="G2325" s="107"/>
      <c r="H2325" s="107"/>
      <c r="I2325" s="108"/>
      <c r="J2325" s="88" t="s">
        <v>1499</v>
      </c>
      <c r="K2325" s="89"/>
      <c r="L2325" s="89"/>
      <c r="M2325" s="90"/>
      <c r="N2325" s="88" t="s">
        <v>701</v>
      </c>
      <c r="O2325" s="89"/>
      <c r="P2325" s="90"/>
      <c r="Q2325" s="133">
        <v>2996</v>
      </c>
      <c r="R2325" s="134"/>
      <c r="S2325" s="5" t="s">
        <v>2633</v>
      </c>
      <c r="T2325" s="6"/>
      <c r="U2325" s="8">
        <v>5</v>
      </c>
      <c r="V2325" s="5" t="s">
        <v>106</v>
      </c>
      <c r="W2325" s="12">
        <v>19613528</v>
      </c>
      <c r="X2325" s="6"/>
      <c r="Y2325" s="6"/>
    </row>
    <row r="2326" spans="1:25" ht="15" customHeight="1" x14ac:dyDescent="0.2">
      <c r="A2326" s="88" t="s">
        <v>2631</v>
      </c>
      <c r="B2326" s="90"/>
      <c r="C2326" s="88" t="s">
        <v>2825</v>
      </c>
      <c r="D2326" s="89"/>
      <c r="E2326" s="89"/>
      <c r="F2326" s="89"/>
      <c r="G2326" s="89"/>
      <c r="H2326" s="89"/>
      <c r="I2326" s="90"/>
      <c r="J2326" s="88" t="s">
        <v>1499</v>
      </c>
      <c r="K2326" s="89"/>
      <c r="L2326" s="89"/>
      <c r="M2326" s="90"/>
      <c r="N2326" s="88" t="s">
        <v>701</v>
      </c>
      <c r="O2326" s="89"/>
      <c r="P2326" s="90"/>
      <c r="Q2326" s="133">
        <v>2996</v>
      </c>
      <c r="R2326" s="134"/>
      <c r="S2326" s="5" t="s">
        <v>2633</v>
      </c>
      <c r="T2326" s="6"/>
      <c r="U2326" s="8">
        <v>5</v>
      </c>
      <c r="V2326" s="5" t="s">
        <v>106</v>
      </c>
      <c r="W2326" s="12">
        <v>23623003</v>
      </c>
      <c r="X2326" s="6"/>
      <c r="Y2326" s="6"/>
    </row>
    <row r="2327" spans="1:25" ht="15" customHeight="1" x14ac:dyDescent="0.2">
      <c r="A2327" s="88" t="s">
        <v>2631</v>
      </c>
      <c r="B2327" s="90"/>
      <c r="C2327" s="88" t="s">
        <v>2826</v>
      </c>
      <c r="D2327" s="90"/>
      <c r="E2327" s="106"/>
      <c r="F2327" s="107"/>
      <c r="G2327" s="107"/>
      <c r="H2327" s="107"/>
      <c r="I2327" s="108"/>
      <c r="J2327" s="88" t="s">
        <v>1499</v>
      </c>
      <c r="K2327" s="89"/>
      <c r="L2327" s="89"/>
      <c r="M2327" s="90"/>
      <c r="N2327" s="88" t="s">
        <v>701</v>
      </c>
      <c r="O2327" s="89"/>
      <c r="P2327" s="90"/>
      <c r="Q2327" s="133">
        <v>2996</v>
      </c>
      <c r="R2327" s="134"/>
      <c r="S2327" s="5" t="s">
        <v>2633</v>
      </c>
      <c r="T2327" s="6"/>
      <c r="U2327" s="8">
        <v>5</v>
      </c>
      <c r="V2327" s="5" t="s">
        <v>106</v>
      </c>
      <c r="W2327" s="12">
        <v>20420565</v>
      </c>
      <c r="X2327" s="6"/>
      <c r="Y2327" s="6"/>
    </row>
    <row r="2328" spans="1:25" ht="15" customHeight="1" x14ac:dyDescent="0.2">
      <c r="A2328" s="88" t="s">
        <v>2631</v>
      </c>
      <c r="B2328" s="90"/>
      <c r="C2328" s="88" t="s">
        <v>2827</v>
      </c>
      <c r="D2328" s="90"/>
      <c r="E2328" s="106"/>
      <c r="F2328" s="107"/>
      <c r="G2328" s="107"/>
      <c r="H2328" s="107"/>
      <c r="I2328" s="108"/>
      <c r="J2328" s="88" t="s">
        <v>1499</v>
      </c>
      <c r="K2328" s="89"/>
      <c r="L2328" s="89"/>
      <c r="M2328" s="90"/>
      <c r="N2328" s="88" t="s">
        <v>701</v>
      </c>
      <c r="O2328" s="89"/>
      <c r="P2328" s="90"/>
      <c r="Q2328" s="133">
        <v>2996</v>
      </c>
      <c r="R2328" s="134"/>
      <c r="S2328" s="5" t="s">
        <v>2633</v>
      </c>
      <c r="T2328" s="6"/>
      <c r="U2328" s="8">
        <v>5</v>
      </c>
      <c r="V2328" s="5" t="s">
        <v>106</v>
      </c>
      <c r="W2328" s="12">
        <v>18696709</v>
      </c>
      <c r="X2328" s="6"/>
      <c r="Y2328" s="6"/>
    </row>
    <row r="2329" spans="1:25" ht="15" customHeight="1" x14ac:dyDescent="0.2">
      <c r="A2329" s="88" t="s">
        <v>2631</v>
      </c>
      <c r="B2329" s="90"/>
      <c r="C2329" s="88" t="s">
        <v>2828</v>
      </c>
      <c r="D2329" s="89"/>
      <c r="E2329" s="89"/>
      <c r="F2329" s="89"/>
      <c r="G2329" s="89"/>
      <c r="H2329" s="89"/>
      <c r="I2329" s="90"/>
      <c r="J2329" s="88" t="s">
        <v>1499</v>
      </c>
      <c r="K2329" s="89"/>
      <c r="L2329" s="89"/>
      <c r="M2329" s="90"/>
      <c r="N2329" s="88" t="s">
        <v>2640</v>
      </c>
      <c r="O2329" s="89"/>
      <c r="P2329" s="90"/>
      <c r="Q2329" s="133">
        <v>2996</v>
      </c>
      <c r="R2329" s="134"/>
      <c r="S2329" s="5" t="s">
        <v>2633</v>
      </c>
      <c r="T2329" s="6"/>
      <c r="U2329" s="8">
        <v>5</v>
      </c>
      <c r="V2329" s="5" t="s">
        <v>702</v>
      </c>
      <c r="W2329" s="12">
        <v>21687167</v>
      </c>
      <c r="X2329" s="6"/>
      <c r="Y2329" s="6"/>
    </row>
    <row r="2330" spans="1:25" ht="15" customHeight="1" x14ac:dyDescent="0.2">
      <c r="A2330" s="88" t="s">
        <v>2631</v>
      </c>
      <c r="B2330" s="90"/>
      <c r="C2330" s="88" t="s">
        <v>2829</v>
      </c>
      <c r="D2330" s="90"/>
      <c r="E2330" s="106"/>
      <c r="F2330" s="107"/>
      <c r="G2330" s="107"/>
      <c r="H2330" s="107"/>
      <c r="I2330" s="108"/>
      <c r="J2330" s="88" t="s">
        <v>1499</v>
      </c>
      <c r="K2330" s="89"/>
      <c r="L2330" s="89"/>
      <c r="M2330" s="90"/>
      <c r="N2330" s="88" t="s">
        <v>701</v>
      </c>
      <c r="O2330" s="89"/>
      <c r="P2330" s="90"/>
      <c r="Q2330" s="133">
        <v>2996</v>
      </c>
      <c r="R2330" s="134"/>
      <c r="S2330" s="5" t="s">
        <v>2633</v>
      </c>
      <c r="T2330" s="6"/>
      <c r="U2330" s="8">
        <v>5</v>
      </c>
      <c r="V2330" s="5" t="s">
        <v>702</v>
      </c>
      <c r="W2330" s="12">
        <v>20591336</v>
      </c>
      <c r="X2330" s="6"/>
      <c r="Y2330" s="6"/>
    </row>
    <row r="2331" spans="1:25" ht="15" customHeight="1" x14ac:dyDescent="0.2">
      <c r="A2331" s="88" t="s">
        <v>2631</v>
      </c>
      <c r="B2331" s="90"/>
      <c r="C2331" s="88" t="s">
        <v>2830</v>
      </c>
      <c r="D2331" s="89"/>
      <c r="E2331" s="89"/>
      <c r="F2331" s="89"/>
      <c r="G2331" s="89"/>
      <c r="H2331" s="89"/>
      <c r="I2331" s="90"/>
      <c r="J2331" s="88" t="s">
        <v>1499</v>
      </c>
      <c r="K2331" s="89"/>
      <c r="L2331" s="89"/>
      <c r="M2331" s="90"/>
      <c r="N2331" s="88" t="s">
        <v>701</v>
      </c>
      <c r="O2331" s="89"/>
      <c r="P2331" s="90"/>
      <c r="Q2331" s="133">
        <v>2996</v>
      </c>
      <c r="R2331" s="134"/>
      <c r="S2331" s="5" t="s">
        <v>2633</v>
      </c>
      <c r="T2331" s="6"/>
      <c r="U2331" s="8">
        <v>5</v>
      </c>
      <c r="V2331" s="5" t="s">
        <v>702</v>
      </c>
      <c r="W2331" s="12">
        <v>21795502</v>
      </c>
      <c r="X2331" s="6"/>
      <c r="Y2331" s="6"/>
    </row>
    <row r="2332" spans="1:25" ht="15" customHeight="1" x14ac:dyDescent="0.2">
      <c r="A2332" s="88" t="s">
        <v>2631</v>
      </c>
      <c r="B2332" s="90"/>
      <c r="C2332" s="88" t="s">
        <v>2831</v>
      </c>
      <c r="D2332" s="89"/>
      <c r="E2332" s="89"/>
      <c r="F2332" s="89"/>
      <c r="G2332" s="89"/>
      <c r="H2332" s="89"/>
      <c r="I2332" s="90"/>
      <c r="J2332" s="88" t="s">
        <v>1499</v>
      </c>
      <c r="K2332" s="89"/>
      <c r="L2332" s="89"/>
      <c r="M2332" s="90"/>
      <c r="N2332" s="88" t="s">
        <v>701</v>
      </c>
      <c r="O2332" s="89"/>
      <c r="P2332" s="90"/>
      <c r="Q2332" s="133">
        <v>2996</v>
      </c>
      <c r="R2332" s="134"/>
      <c r="S2332" s="5" t="s">
        <v>2633</v>
      </c>
      <c r="T2332" s="6"/>
      <c r="U2332" s="8">
        <v>5</v>
      </c>
      <c r="V2332" s="5" t="s">
        <v>702</v>
      </c>
      <c r="W2332" s="12">
        <v>22982627</v>
      </c>
      <c r="X2332" s="6"/>
      <c r="Y2332" s="6"/>
    </row>
    <row r="2333" spans="1:25" ht="15" customHeight="1" x14ac:dyDescent="0.2">
      <c r="A2333" s="88" t="s">
        <v>2631</v>
      </c>
      <c r="B2333" s="90"/>
      <c r="C2333" s="88" t="s">
        <v>2832</v>
      </c>
      <c r="D2333" s="90"/>
      <c r="E2333" s="106"/>
      <c r="F2333" s="107"/>
      <c r="G2333" s="107"/>
      <c r="H2333" s="107"/>
      <c r="I2333" s="108"/>
      <c r="J2333" s="88" t="s">
        <v>1499</v>
      </c>
      <c r="K2333" s="89"/>
      <c r="L2333" s="89"/>
      <c r="M2333" s="90"/>
      <c r="N2333" s="88" t="s">
        <v>2640</v>
      </c>
      <c r="O2333" s="89"/>
      <c r="P2333" s="90"/>
      <c r="Q2333" s="133">
        <v>2996</v>
      </c>
      <c r="R2333" s="134"/>
      <c r="S2333" s="5" t="s">
        <v>2633</v>
      </c>
      <c r="T2333" s="6"/>
      <c r="U2333" s="8">
        <v>5</v>
      </c>
      <c r="V2333" s="5" t="s">
        <v>702</v>
      </c>
      <c r="W2333" s="12">
        <v>25424130</v>
      </c>
      <c r="X2333" s="6"/>
      <c r="Y2333" s="6"/>
    </row>
    <row r="2334" spans="1:25" ht="15" customHeight="1" x14ac:dyDescent="0.2">
      <c r="A2334" s="88" t="s">
        <v>2631</v>
      </c>
      <c r="B2334" s="90"/>
      <c r="C2334" s="88" t="s">
        <v>2833</v>
      </c>
      <c r="D2334" s="89"/>
      <c r="E2334" s="89"/>
      <c r="F2334" s="89"/>
      <c r="G2334" s="89"/>
      <c r="H2334" s="89"/>
      <c r="I2334" s="90"/>
      <c r="J2334" s="88" t="s">
        <v>1499</v>
      </c>
      <c r="K2334" s="89"/>
      <c r="L2334" s="89"/>
      <c r="M2334" s="90"/>
      <c r="N2334" s="88" t="s">
        <v>701</v>
      </c>
      <c r="O2334" s="89"/>
      <c r="P2334" s="90"/>
      <c r="Q2334" s="133">
        <v>2996</v>
      </c>
      <c r="R2334" s="134"/>
      <c r="S2334" s="5" t="s">
        <v>2633</v>
      </c>
      <c r="T2334" s="6"/>
      <c r="U2334" s="8">
        <v>5</v>
      </c>
      <c r="V2334" s="5" t="s">
        <v>702</v>
      </c>
      <c r="W2334" s="12">
        <v>23413838</v>
      </c>
      <c r="X2334" s="6"/>
      <c r="Y2334" s="6"/>
    </row>
    <row r="2335" spans="1:25" ht="15" customHeight="1" x14ac:dyDescent="0.2">
      <c r="A2335" s="88" t="s">
        <v>2631</v>
      </c>
      <c r="B2335" s="90"/>
      <c r="C2335" s="88" t="s">
        <v>2834</v>
      </c>
      <c r="D2335" s="89"/>
      <c r="E2335" s="89"/>
      <c r="F2335" s="89"/>
      <c r="G2335" s="89"/>
      <c r="H2335" s="89"/>
      <c r="I2335" s="90"/>
      <c r="J2335" s="88" t="s">
        <v>1499</v>
      </c>
      <c r="K2335" s="89"/>
      <c r="L2335" s="89"/>
      <c r="M2335" s="90"/>
      <c r="N2335" s="88" t="s">
        <v>701</v>
      </c>
      <c r="O2335" s="89"/>
      <c r="P2335" s="90"/>
      <c r="Q2335" s="133">
        <v>2996</v>
      </c>
      <c r="R2335" s="134"/>
      <c r="S2335" s="5" t="s">
        <v>2633</v>
      </c>
      <c r="T2335" s="6"/>
      <c r="U2335" s="8">
        <v>5</v>
      </c>
      <c r="V2335" s="5" t="s">
        <v>702</v>
      </c>
      <c r="W2335" s="12">
        <v>20140648</v>
      </c>
      <c r="X2335" s="6"/>
      <c r="Y2335" s="6"/>
    </row>
    <row r="2336" spans="1:25" ht="15" customHeight="1" x14ac:dyDescent="0.2">
      <c r="A2336" s="88" t="s">
        <v>2631</v>
      </c>
      <c r="B2336" s="90"/>
      <c r="C2336" s="88" t="s">
        <v>2835</v>
      </c>
      <c r="D2336" s="90"/>
      <c r="E2336" s="106"/>
      <c r="F2336" s="107"/>
      <c r="G2336" s="107"/>
      <c r="H2336" s="107"/>
      <c r="I2336" s="108"/>
      <c r="J2336" s="88" t="s">
        <v>1499</v>
      </c>
      <c r="K2336" s="89"/>
      <c r="L2336" s="89"/>
      <c r="M2336" s="90"/>
      <c r="N2336" s="88" t="s">
        <v>701</v>
      </c>
      <c r="O2336" s="89"/>
      <c r="P2336" s="90"/>
      <c r="Q2336" s="133">
        <v>2996</v>
      </c>
      <c r="R2336" s="134"/>
      <c r="S2336" s="5" t="s">
        <v>2633</v>
      </c>
      <c r="T2336" s="6"/>
      <c r="U2336" s="8">
        <v>5</v>
      </c>
      <c r="V2336" s="5" t="s">
        <v>702</v>
      </c>
      <c r="W2336" s="12">
        <v>28712840</v>
      </c>
      <c r="X2336" s="6"/>
      <c r="Y2336" s="6"/>
    </row>
    <row r="2337" spans="1:25" ht="15" customHeight="1" x14ac:dyDescent="0.2">
      <c r="A2337" s="88" t="s">
        <v>2631</v>
      </c>
      <c r="B2337" s="90"/>
      <c r="C2337" s="88" t="s">
        <v>2836</v>
      </c>
      <c r="D2337" s="89"/>
      <c r="E2337" s="89"/>
      <c r="F2337" s="89"/>
      <c r="G2337" s="89"/>
      <c r="H2337" s="89"/>
      <c r="I2337" s="90"/>
      <c r="J2337" s="88" t="s">
        <v>1499</v>
      </c>
      <c r="K2337" s="89"/>
      <c r="L2337" s="89"/>
      <c r="M2337" s="90"/>
      <c r="N2337" s="88" t="s">
        <v>2640</v>
      </c>
      <c r="O2337" s="89"/>
      <c r="P2337" s="90"/>
      <c r="Q2337" s="133">
        <v>2996</v>
      </c>
      <c r="R2337" s="134"/>
      <c r="S2337" s="5" t="s">
        <v>2633</v>
      </c>
      <c r="T2337" s="6"/>
      <c r="U2337" s="8">
        <v>5</v>
      </c>
      <c r="V2337" s="5" t="s">
        <v>702</v>
      </c>
      <c r="W2337" s="12">
        <v>22762000</v>
      </c>
      <c r="X2337" s="6"/>
      <c r="Y2337" s="6"/>
    </row>
    <row r="2338" spans="1:25" ht="15" customHeight="1" x14ac:dyDescent="0.2">
      <c r="A2338" s="88" t="s">
        <v>2631</v>
      </c>
      <c r="B2338" s="90"/>
      <c r="C2338" s="88" t="s">
        <v>2837</v>
      </c>
      <c r="D2338" s="89"/>
      <c r="E2338" s="89"/>
      <c r="F2338" s="89"/>
      <c r="G2338" s="89"/>
      <c r="H2338" s="89"/>
      <c r="I2338" s="90"/>
      <c r="J2338" s="88" t="s">
        <v>1499</v>
      </c>
      <c r="K2338" s="89"/>
      <c r="L2338" s="89"/>
      <c r="M2338" s="90"/>
      <c r="N2338" s="88" t="s">
        <v>2640</v>
      </c>
      <c r="O2338" s="89"/>
      <c r="P2338" s="90"/>
      <c r="Q2338" s="133">
        <v>2996</v>
      </c>
      <c r="R2338" s="134"/>
      <c r="S2338" s="5" t="s">
        <v>2633</v>
      </c>
      <c r="T2338" s="6"/>
      <c r="U2338" s="8">
        <v>5</v>
      </c>
      <c r="V2338" s="5" t="s">
        <v>702</v>
      </c>
      <c r="W2338" s="12">
        <v>19888069</v>
      </c>
      <c r="X2338" s="6"/>
      <c r="Y2338" s="6"/>
    </row>
    <row r="2339" spans="1:25" ht="15" customHeight="1" x14ac:dyDescent="0.2">
      <c r="A2339" s="88" t="s">
        <v>2631</v>
      </c>
      <c r="B2339" s="90"/>
      <c r="C2339" s="88" t="s">
        <v>2838</v>
      </c>
      <c r="D2339" s="89"/>
      <c r="E2339" s="89"/>
      <c r="F2339" s="89"/>
      <c r="G2339" s="89"/>
      <c r="H2339" s="89"/>
      <c r="I2339" s="90"/>
      <c r="J2339" s="88" t="s">
        <v>1499</v>
      </c>
      <c r="K2339" s="89"/>
      <c r="L2339" s="89"/>
      <c r="M2339" s="90"/>
      <c r="N2339" s="88" t="s">
        <v>2640</v>
      </c>
      <c r="O2339" s="89"/>
      <c r="P2339" s="90"/>
      <c r="Q2339" s="133">
        <v>2996</v>
      </c>
      <c r="R2339" s="134"/>
      <c r="S2339" s="5" t="s">
        <v>2633</v>
      </c>
      <c r="T2339" s="6"/>
      <c r="U2339" s="8">
        <v>5</v>
      </c>
      <c r="V2339" s="5" t="s">
        <v>702</v>
      </c>
      <c r="W2339" s="12">
        <v>20990290</v>
      </c>
      <c r="X2339" s="6"/>
      <c r="Y2339" s="6"/>
    </row>
    <row r="2340" spans="1:25" ht="15" customHeight="1" x14ac:dyDescent="0.2">
      <c r="A2340" s="88" t="s">
        <v>2631</v>
      </c>
      <c r="B2340" s="90"/>
      <c r="C2340" s="88" t="s">
        <v>2839</v>
      </c>
      <c r="D2340" s="89"/>
      <c r="E2340" s="89"/>
      <c r="F2340" s="89"/>
      <c r="G2340" s="89"/>
      <c r="H2340" s="89"/>
      <c r="I2340" s="90"/>
      <c r="J2340" s="88" t="s">
        <v>1499</v>
      </c>
      <c r="K2340" s="89"/>
      <c r="L2340" s="89"/>
      <c r="M2340" s="90"/>
      <c r="N2340" s="88" t="s">
        <v>701</v>
      </c>
      <c r="O2340" s="89"/>
      <c r="P2340" s="90"/>
      <c r="Q2340" s="133">
        <v>2996</v>
      </c>
      <c r="R2340" s="134"/>
      <c r="S2340" s="5" t="s">
        <v>2633</v>
      </c>
      <c r="T2340" s="6"/>
      <c r="U2340" s="8">
        <v>5</v>
      </c>
      <c r="V2340" s="5" t="s">
        <v>702</v>
      </c>
      <c r="W2340" s="12">
        <v>22054777</v>
      </c>
      <c r="X2340" s="6"/>
      <c r="Y2340" s="6"/>
    </row>
    <row r="2341" spans="1:25" ht="15" customHeight="1" x14ac:dyDescent="0.2">
      <c r="A2341" s="88" t="s">
        <v>2631</v>
      </c>
      <c r="B2341" s="90"/>
      <c r="C2341" s="88" t="s">
        <v>2840</v>
      </c>
      <c r="D2341" s="90"/>
      <c r="E2341" s="106"/>
      <c r="F2341" s="107"/>
      <c r="G2341" s="107"/>
      <c r="H2341" s="107"/>
      <c r="I2341" s="108"/>
      <c r="J2341" s="88" t="s">
        <v>1499</v>
      </c>
      <c r="K2341" s="89"/>
      <c r="L2341" s="89"/>
      <c r="M2341" s="90"/>
      <c r="N2341" s="88" t="s">
        <v>2640</v>
      </c>
      <c r="O2341" s="89"/>
      <c r="P2341" s="90"/>
      <c r="Q2341" s="133">
        <v>2996</v>
      </c>
      <c r="R2341" s="134"/>
      <c r="S2341" s="5" t="s">
        <v>2633</v>
      </c>
      <c r="T2341" s="6"/>
      <c r="U2341" s="8">
        <v>5</v>
      </c>
      <c r="V2341" s="5" t="s">
        <v>702</v>
      </c>
      <c r="W2341" s="12">
        <v>25844386</v>
      </c>
      <c r="X2341" s="6"/>
      <c r="Y2341" s="6"/>
    </row>
    <row r="2342" spans="1:25" ht="15" customHeight="1" x14ac:dyDescent="0.2">
      <c r="A2342" s="88" t="s">
        <v>2631</v>
      </c>
      <c r="B2342" s="90"/>
      <c r="C2342" s="88" t="s">
        <v>2841</v>
      </c>
      <c r="D2342" s="89"/>
      <c r="E2342" s="89"/>
      <c r="F2342" s="89"/>
      <c r="G2342" s="89"/>
      <c r="H2342" s="89"/>
      <c r="I2342" s="90"/>
      <c r="J2342" s="88" t="s">
        <v>1499</v>
      </c>
      <c r="K2342" s="89"/>
      <c r="L2342" s="89"/>
      <c r="M2342" s="90"/>
      <c r="N2342" s="88" t="s">
        <v>701</v>
      </c>
      <c r="O2342" s="89"/>
      <c r="P2342" s="90"/>
      <c r="Q2342" s="133">
        <v>2996</v>
      </c>
      <c r="R2342" s="134"/>
      <c r="S2342" s="5" t="s">
        <v>2633</v>
      </c>
      <c r="T2342" s="6"/>
      <c r="U2342" s="8">
        <v>5</v>
      </c>
      <c r="V2342" s="5" t="s">
        <v>702</v>
      </c>
      <c r="W2342" s="12">
        <v>24484411</v>
      </c>
      <c r="X2342" s="6"/>
      <c r="Y2342" s="6"/>
    </row>
    <row r="2343" spans="1:25" ht="15" customHeight="1" x14ac:dyDescent="0.2">
      <c r="A2343" s="88" t="s">
        <v>2631</v>
      </c>
      <c r="B2343" s="90"/>
      <c r="C2343" s="88" t="s">
        <v>2842</v>
      </c>
      <c r="D2343" s="90"/>
      <c r="E2343" s="106"/>
      <c r="F2343" s="107"/>
      <c r="G2343" s="107"/>
      <c r="H2343" s="107"/>
      <c r="I2343" s="108"/>
      <c r="J2343" s="88" t="s">
        <v>1499</v>
      </c>
      <c r="K2343" s="89"/>
      <c r="L2343" s="89"/>
      <c r="M2343" s="90"/>
      <c r="N2343" s="88" t="s">
        <v>2640</v>
      </c>
      <c r="O2343" s="89"/>
      <c r="P2343" s="90"/>
      <c r="Q2343" s="133">
        <v>2996</v>
      </c>
      <c r="R2343" s="134"/>
      <c r="S2343" s="5" t="s">
        <v>2633</v>
      </c>
      <c r="T2343" s="6"/>
      <c r="U2343" s="8">
        <v>5</v>
      </c>
      <c r="V2343" s="5" t="s">
        <v>702</v>
      </c>
      <c r="W2343" s="12">
        <v>19143110</v>
      </c>
      <c r="X2343" s="6"/>
      <c r="Y2343" s="6"/>
    </row>
    <row r="2344" spans="1:25" ht="15" customHeight="1" x14ac:dyDescent="0.2">
      <c r="A2344" s="88" t="s">
        <v>2631</v>
      </c>
      <c r="B2344" s="90"/>
      <c r="C2344" s="88" t="s">
        <v>2843</v>
      </c>
      <c r="D2344" s="90"/>
      <c r="E2344" s="106"/>
      <c r="F2344" s="107"/>
      <c r="G2344" s="107"/>
      <c r="H2344" s="107"/>
      <c r="I2344" s="108"/>
      <c r="J2344" s="88" t="s">
        <v>1499</v>
      </c>
      <c r="K2344" s="89"/>
      <c r="L2344" s="89"/>
      <c r="M2344" s="90"/>
      <c r="N2344" s="88" t="s">
        <v>701</v>
      </c>
      <c r="O2344" s="89"/>
      <c r="P2344" s="90"/>
      <c r="Q2344" s="133">
        <v>2996</v>
      </c>
      <c r="R2344" s="134"/>
      <c r="S2344" s="5" t="s">
        <v>2633</v>
      </c>
      <c r="T2344" s="6"/>
      <c r="U2344" s="8">
        <v>5</v>
      </c>
      <c r="V2344" s="5" t="s">
        <v>702</v>
      </c>
      <c r="W2344" s="12">
        <v>18070407</v>
      </c>
      <c r="X2344" s="6"/>
      <c r="Y2344" s="6"/>
    </row>
    <row r="2345" spans="1:25" ht="15" customHeight="1" x14ac:dyDescent="0.2">
      <c r="A2345" s="88" t="s">
        <v>2631</v>
      </c>
      <c r="B2345" s="90"/>
      <c r="C2345" s="88" t="s">
        <v>2844</v>
      </c>
      <c r="D2345" s="89"/>
      <c r="E2345" s="89"/>
      <c r="F2345" s="89"/>
      <c r="G2345" s="89"/>
      <c r="H2345" s="89"/>
      <c r="I2345" s="90"/>
      <c r="J2345" s="88" t="s">
        <v>1499</v>
      </c>
      <c r="K2345" s="89"/>
      <c r="L2345" s="89"/>
      <c r="M2345" s="90"/>
      <c r="N2345" s="88" t="s">
        <v>701</v>
      </c>
      <c r="O2345" s="89"/>
      <c r="P2345" s="90"/>
      <c r="Q2345" s="133">
        <v>2996</v>
      </c>
      <c r="R2345" s="134"/>
      <c r="S2345" s="5" t="s">
        <v>2633</v>
      </c>
      <c r="T2345" s="6"/>
      <c r="U2345" s="8">
        <v>5</v>
      </c>
      <c r="V2345" s="5" t="s">
        <v>702</v>
      </c>
      <c r="W2345" s="12">
        <v>21499101</v>
      </c>
      <c r="X2345" s="6"/>
      <c r="Y2345" s="6"/>
    </row>
    <row r="2346" spans="1:25" ht="15" customHeight="1" x14ac:dyDescent="0.2">
      <c r="A2346" s="88" t="s">
        <v>2631</v>
      </c>
      <c r="B2346" s="90"/>
      <c r="C2346" s="88" t="s">
        <v>2845</v>
      </c>
      <c r="D2346" s="90"/>
      <c r="E2346" s="106"/>
      <c r="F2346" s="107"/>
      <c r="G2346" s="107"/>
      <c r="H2346" s="107"/>
      <c r="I2346" s="108"/>
      <c r="J2346" s="88" t="s">
        <v>1499</v>
      </c>
      <c r="K2346" s="89"/>
      <c r="L2346" s="89"/>
      <c r="M2346" s="90"/>
      <c r="N2346" s="88" t="s">
        <v>701</v>
      </c>
      <c r="O2346" s="89"/>
      <c r="P2346" s="90"/>
      <c r="Q2346" s="133">
        <v>2996</v>
      </c>
      <c r="R2346" s="134"/>
      <c r="S2346" s="5" t="s">
        <v>2633</v>
      </c>
      <c r="T2346" s="6"/>
      <c r="U2346" s="8">
        <v>5</v>
      </c>
      <c r="V2346" s="5" t="s">
        <v>106</v>
      </c>
      <c r="W2346" s="12">
        <v>19503747</v>
      </c>
      <c r="X2346" s="6"/>
      <c r="Y2346" s="6"/>
    </row>
    <row r="2347" spans="1:25" ht="15" customHeight="1" x14ac:dyDescent="0.2">
      <c r="A2347" s="88" t="s">
        <v>2631</v>
      </c>
      <c r="B2347" s="90"/>
      <c r="C2347" s="88" t="s">
        <v>2846</v>
      </c>
      <c r="D2347" s="90"/>
      <c r="E2347" s="106"/>
      <c r="F2347" s="107"/>
      <c r="G2347" s="107"/>
      <c r="H2347" s="107"/>
      <c r="I2347" s="108"/>
      <c r="J2347" s="88" t="s">
        <v>1499</v>
      </c>
      <c r="K2347" s="89"/>
      <c r="L2347" s="89"/>
      <c r="M2347" s="90"/>
      <c r="N2347" s="88" t="s">
        <v>701</v>
      </c>
      <c r="O2347" s="89"/>
      <c r="P2347" s="90"/>
      <c r="Q2347" s="133">
        <v>2996</v>
      </c>
      <c r="R2347" s="134"/>
      <c r="S2347" s="5" t="s">
        <v>2633</v>
      </c>
      <c r="T2347" s="6"/>
      <c r="U2347" s="8">
        <v>5</v>
      </c>
      <c r="V2347" s="5" t="s">
        <v>106</v>
      </c>
      <c r="W2347" s="12">
        <v>27735336</v>
      </c>
      <c r="X2347" s="6"/>
      <c r="Y2347" s="6"/>
    </row>
    <row r="2348" spans="1:25" ht="15" customHeight="1" x14ac:dyDescent="0.2">
      <c r="A2348" s="88" t="s">
        <v>2631</v>
      </c>
      <c r="B2348" s="90"/>
      <c r="C2348" s="88" t="s">
        <v>2647</v>
      </c>
      <c r="D2348" s="89"/>
      <c r="E2348" s="89"/>
      <c r="F2348" s="89"/>
      <c r="G2348" s="89"/>
      <c r="H2348" s="89"/>
      <c r="I2348" s="90"/>
      <c r="J2348" s="88" t="s">
        <v>1499</v>
      </c>
      <c r="K2348" s="89"/>
      <c r="L2348" s="89"/>
      <c r="M2348" s="90"/>
      <c r="N2348" s="88" t="s">
        <v>701</v>
      </c>
      <c r="O2348" s="89"/>
      <c r="P2348" s="90"/>
      <c r="Q2348" s="133">
        <v>2996</v>
      </c>
      <c r="R2348" s="134"/>
      <c r="S2348" s="5" t="s">
        <v>2633</v>
      </c>
      <c r="T2348" s="6"/>
      <c r="U2348" s="8">
        <v>5</v>
      </c>
      <c r="V2348" s="5" t="s">
        <v>106</v>
      </c>
      <c r="W2348" s="12">
        <v>22732228</v>
      </c>
      <c r="X2348" s="6"/>
      <c r="Y2348" s="6"/>
    </row>
    <row r="2349" spans="1:25" ht="15" customHeight="1" x14ac:dyDescent="0.2">
      <c r="A2349" s="88" t="s">
        <v>2631</v>
      </c>
      <c r="B2349" s="90"/>
      <c r="C2349" s="88" t="s">
        <v>2847</v>
      </c>
      <c r="D2349" s="90"/>
      <c r="E2349" s="106"/>
      <c r="F2349" s="107"/>
      <c r="G2349" s="107"/>
      <c r="H2349" s="107"/>
      <c r="I2349" s="108"/>
      <c r="J2349" s="88" t="s">
        <v>1499</v>
      </c>
      <c r="K2349" s="89"/>
      <c r="L2349" s="89"/>
      <c r="M2349" s="90"/>
      <c r="N2349" s="88" t="s">
        <v>701</v>
      </c>
      <c r="O2349" s="89"/>
      <c r="P2349" s="90"/>
      <c r="Q2349" s="133">
        <v>2996</v>
      </c>
      <c r="R2349" s="134"/>
      <c r="S2349" s="5" t="s">
        <v>2633</v>
      </c>
      <c r="T2349" s="6"/>
      <c r="U2349" s="8">
        <v>5</v>
      </c>
      <c r="V2349" s="5" t="s">
        <v>106</v>
      </c>
      <c r="W2349" s="12">
        <v>20461115</v>
      </c>
      <c r="X2349" s="6"/>
      <c r="Y2349" s="6"/>
    </row>
    <row r="2350" spans="1:25" ht="15" customHeight="1" x14ac:dyDescent="0.2">
      <c r="A2350" s="88" t="s">
        <v>2631</v>
      </c>
      <c r="B2350" s="90"/>
      <c r="C2350" s="88" t="s">
        <v>2848</v>
      </c>
      <c r="D2350" s="89"/>
      <c r="E2350" s="89"/>
      <c r="F2350" s="89"/>
      <c r="G2350" s="89"/>
      <c r="H2350" s="89"/>
      <c r="I2350" s="90"/>
      <c r="J2350" s="88" t="s">
        <v>1499</v>
      </c>
      <c r="K2350" s="89"/>
      <c r="L2350" s="89"/>
      <c r="M2350" s="90"/>
      <c r="N2350" s="88" t="s">
        <v>701</v>
      </c>
      <c r="O2350" s="89"/>
      <c r="P2350" s="90"/>
      <c r="Q2350" s="133">
        <v>2996</v>
      </c>
      <c r="R2350" s="134"/>
      <c r="S2350" s="5" t="s">
        <v>2633</v>
      </c>
      <c r="T2350" s="6"/>
      <c r="U2350" s="8">
        <v>5</v>
      </c>
      <c r="V2350" s="5" t="s">
        <v>106</v>
      </c>
      <c r="W2350" s="12">
        <v>22380138</v>
      </c>
      <c r="X2350" s="6"/>
      <c r="Y2350" s="6"/>
    </row>
    <row r="2351" spans="1:25" ht="15" customHeight="1" x14ac:dyDescent="0.2">
      <c r="A2351" s="88" t="s">
        <v>2631</v>
      </c>
      <c r="B2351" s="90"/>
      <c r="C2351" s="88" t="s">
        <v>2849</v>
      </c>
      <c r="D2351" s="89"/>
      <c r="E2351" s="89"/>
      <c r="F2351" s="89"/>
      <c r="G2351" s="89"/>
      <c r="H2351" s="89"/>
      <c r="I2351" s="90"/>
      <c r="J2351" s="88" t="s">
        <v>1499</v>
      </c>
      <c r="K2351" s="89"/>
      <c r="L2351" s="89"/>
      <c r="M2351" s="90"/>
      <c r="N2351" s="88" t="s">
        <v>701</v>
      </c>
      <c r="O2351" s="89"/>
      <c r="P2351" s="90"/>
      <c r="Q2351" s="133">
        <v>2996</v>
      </c>
      <c r="R2351" s="134"/>
      <c r="S2351" s="5" t="s">
        <v>2633</v>
      </c>
      <c r="T2351" s="6"/>
      <c r="U2351" s="8">
        <v>5</v>
      </c>
      <c r="V2351" s="5" t="s">
        <v>106</v>
      </c>
      <c r="W2351" s="12">
        <v>29166773</v>
      </c>
      <c r="X2351" s="6"/>
      <c r="Y2351" s="6"/>
    </row>
    <row r="2352" spans="1:25" ht="15" customHeight="1" x14ac:dyDescent="0.2">
      <c r="A2352" s="88" t="s">
        <v>2631</v>
      </c>
      <c r="B2352" s="90"/>
      <c r="C2352" s="88" t="s">
        <v>2850</v>
      </c>
      <c r="D2352" s="89"/>
      <c r="E2352" s="89"/>
      <c r="F2352" s="89"/>
      <c r="G2352" s="89"/>
      <c r="H2352" s="89"/>
      <c r="I2352" s="90"/>
      <c r="J2352" s="88" t="s">
        <v>1499</v>
      </c>
      <c r="K2352" s="89"/>
      <c r="L2352" s="89"/>
      <c r="M2352" s="90"/>
      <c r="N2352" s="88" t="s">
        <v>701</v>
      </c>
      <c r="O2352" s="89"/>
      <c r="P2352" s="90"/>
      <c r="Q2352" s="133">
        <v>2996</v>
      </c>
      <c r="R2352" s="134"/>
      <c r="S2352" s="5" t="s">
        <v>2633</v>
      </c>
      <c r="T2352" s="6"/>
      <c r="U2352" s="8">
        <v>5</v>
      </c>
      <c r="V2352" s="5" t="s">
        <v>106</v>
      </c>
      <c r="W2352" s="12">
        <v>23779268</v>
      </c>
      <c r="X2352" s="6"/>
      <c r="Y2352" s="6"/>
    </row>
    <row r="2353" spans="1:25" ht="15" customHeight="1" x14ac:dyDescent="0.2">
      <c r="A2353" s="88" t="s">
        <v>2631</v>
      </c>
      <c r="B2353" s="90"/>
      <c r="C2353" s="88" t="s">
        <v>2851</v>
      </c>
      <c r="D2353" s="89"/>
      <c r="E2353" s="89"/>
      <c r="F2353" s="89"/>
      <c r="G2353" s="89"/>
      <c r="H2353" s="89"/>
      <c r="I2353" s="90"/>
      <c r="J2353" s="88" t="s">
        <v>1499</v>
      </c>
      <c r="K2353" s="89"/>
      <c r="L2353" s="89"/>
      <c r="M2353" s="90"/>
      <c r="N2353" s="88" t="s">
        <v>701</v>
      </c>
      <c r="O2353" s="89"/>
      <c r="P2353" s="90"/>
      <c r="Q2353" s="133">
        <v>2996</v>
      </c>
      <c r="R2353" s="134"/>
      <c r="S2353" s="5" t="s">
        <v>2633</v>
      </c>
      <c r="T2353" s="6"/>
      <c r="U2353" s="8">
        <v>7</v>
      </c>
      <c r="V2353" s="5" t="s">
        <v>106</v>
      </c>
      <c r="W2353" s="12">
        <v>28797540</v>
      </c>
      <c r="X2353" s="6"/>
      <c r="Y2353" s="6"/>
    </row>
    <row r="2354" spans="1:25" ht="15" customHeight="1" x14ac:dyDescent="0.2">
      <c r="A2354" s="88" t="s">
        <v>2631</v>
      </c>
      <c r="B2354" s="90"/>
      <c r="C2354" s="88" t="s">
        <v>2650</v>
      </c>
      <c r="D2354" s="90"/>
      <c r="E2354" s="106"/>
      <c r="F2354" s="107"/>
      <c r="G2354" s="107"/>
      <c r="H2354" s="107"/>
      <c r="I2354" s="108"/>
      <c r="J2354" s="88" t="s">
        <v>1499</v>
      </c>
      <c r="K2354" s="89"/>
      <c r="L2354" s="89"/>
      <c r="M2354" s="90"/>
      <c r="N2354" s="88" t="s">
        <v>701</v>
      </c>
      <c r="O2354" s="89"/>
      <c r="P2354" s="90"/>
      <c r="Q2354" s="133">
        <v>2996</v>
      </c>
      <c r="R2354" s="134"/>
      <c r="S2354" s="5" t="s">
        <v>2633</v>
      </c>
      <c r="T2354" s="6"/>
      <c r="U2354" s="8">
        <v>5</v>
      </c>
      <c r="V2354" s="5" t="s">
        <v>106</v>
      </c>
      <c r="W2354" s="12">
        <v>21860245</v>
      </c>
      <c r="X2354" s="6"/>
      <c r="Y2354" s="6"/>
    </row>
    <row r="2355" spans="1:25" ht="15" customHeight="1" x14ac:dyDescent="0.2">
      <c r="A2355" s="88" t="s">
        <v>2631</v>
      </c>
      <c r="B2355" s="90"/>
      <c r="C2355" s="88" t="s">
        <v>2852</v>
      </c>
      <c r="D2355" s="90"/>
      <c r="E2355" s="106"/>
      <c r="F2355" s="107"/>
      <c r="G2355" s="107"/>
      <c r="H2355" s="107"/>
      <c r="I2355" s="108"/>
      <c r="J2355" s="88" t="s">
        <v>1499</v>
      </c>
      <c r="K2355" s="89"/>
      <c r="L2355" s="89"/>
      <c r="M2355" s="90"/>
      <c r="N2355" s="88" t="s">
        <v>701</v>
      </c>
      <c r="O2355" s="89"/>
      <c r="P2355" s="90"/>
      <c r="Q2355" s="133">
        <v>2996</v>
      </c>
      <c r="R2355" s="134"/>
      <c r="S2355" s="5" t="s">
        <v>2633</v>
      </c>
      <c r="T2355" s="6"/>
      <c r="U2355" s="8">
        <v>7</v>
      </c>
      <c r="V2355" s="5" t="s">
        <v>106</v>
      </c>
      <c r="W2355" s="12">
        <v>32599652</v>
      </c>
      <c r="X2355" s="6"/>
      <c r="Y2355" s="6"/>
    </row>
    <row r="2356" spans="1:25" ht="15" customHeight="1" x14ac:dyDescent="0.2">
      <c r="A2356" s="88" t="s">
        <v>2631</v>
      </c>
      <c r="B2356" s="90"/>
      <c r="C2356" s="88" t="s">
        <v>2853</v>
      </c>
      <c r="D2356" s="89"/>
      <c r="E2356" s="89"/>
      <c r="F2356" s="89"/>
      <c r="G2356" s="89"/>
      <c r="H2356" s="89"/>
      <c r="I2356" s="90"/>
      <c r="J2356" s="88" t="s">
        <v>1499</v>
      </c>
      <c r="K2356" s="89"/>
      <c r="L2356" s="89"/>
      <c r="M2356" s="90"/>
      <c r="N2356" s="88" t="s">
        <v>701</v>
      </c>
      <c r="O2356" s="89"/>
      <c r="P2356" s="90"/>
      <c r="Q2356" s="133">
        <v>2996</v>
      </c>
      <c r="R2356" s="134"/>
      <c r="S2356" s="5" t="s">
        <v>2633</v>
      </c>
      <c r="T2356" s="6"/>
      <c r="U2356" s="8">
        <v>5</v>
      </c>
      <c r="V2356" s="5" t="s">
        <v>106</v>
      </c>
      <c r="W2356" s="12">
        <v>25590487</v>
      </c>
      <c r="X2356" s="6"/>
      <c r="Y2356" s="6"/>
    </row>
    <row r="2357" spans="1:25" ht="15" customHeight="1" x14ac:dyDescent="0.2">
      <c r="A2357" s="88" t="s">
        <v>2631</v>
      </c>
      <c r="B2357" s="90"/>
      <c r="C2357" s="88" t="s">
        <v>2854</v>
      </c>
      <c r="D2357" s="90"/>
      <c r="E2357" s="106"/>
      <c r="F2357" s="107"/>
      <c r="G2357" s="107"/>
      <c r="H2357" s="107"/>
      <c r="I2357" s="108"/>
      <c r="J2357" s="88" t="s">
        <v>1499</v>
      </c>
      <c r="K2357" s="89"/>
      <c r="L2357" s="89"/>
      <c r="M2357" s="90"/>
      <c r="N2357" s="88" t="s">
        <v>701</v>
      </c>
      <c r="O2357" s="89"/>
      <c r="P2357" s="90"/>
      <c r="Q2357" s="133">
        <v>2996</v>
      </c>
      <c r="R2357" s="134"/>
      <c r="S2357" s="5" t="s">
        <v>2633</v>
      </c>
      <c r="T2357" s="6"/>
      <c r="U2357" s="8">
        <v>5</v>
      </c>
      <c r="V2357" s="5" t="s">
        <v>702</v>
      </c>
      <c r="W2357" s="12">
        <v>26095444</v>
      </c>
      <c r="X2357" s="6"/>
      <c r="Y2357" s="6"/>
    </row>
    <row r="2358" spans="1:25" ht="15" customHeight="1" x14ac:dyDescent="0.2">
      <c r="A2358" s="88" t="s">
        <v>2631</v>
      </c>
      <c r="B2358" s="90"/>
      <c r="C2358" s="88" t="s">
        <v>2855</v>
      </c>
      <c r="D2358" s="89"/>
      <c r="E2358" s="89"/>
      <c r="F2358" s="89"/>
      <c r="G2358" s="89"/>
      <c r="H2358" s="89"/>
      <c r="I2358" s="90"/>
      <c r="J2358" s="88" t="s">
        <v>1499</v>
      </c>
      <c r="K2358" s="89"/>
      <c r="L2358" s="89"/>
      <c r="M2358" s="90"/>
      <c r="N2358" s="88" t="s">
        <v>701</v>
      </c>
      <c r="O2358" s="89"/>
      <c r="P2358" s="90"/>
      <c r="Q2358" s="133">
        <v>2996</v>
      </c>
      <c r="R2358" s="134"/>
      <c r="S2358" s="5" t="s">
        <v>2633</v>
      </c>
      <c r="T2358" s="6"/>
      <c r="U2358" s="8">
        <v>5</v>
      </c>
      <c r="V2358" s="5" t="s">
        <v>702</v>
      </c>
      <c r="W2358" s="12">
        <v>18815061</v>
      </c>
      <c r="X2358" s="6"/>
      <c r="Y2358" s="6"/>
    </row>
    <row r="2359" spans="1:25" ht="15" customHeight="1" x14ac:dyDescent="0.2">
      <c r="A2359" s="88" t="s">
        <v>2631</v>
      </c>
      <c r="B2359" s="90"/>
      <c r="C2359" s="88" t="s">
        <v>2856</v>
      </c>
      <c r="D2359" s="90"/>
      <c r="E2359" s="106"/>
      <c r="F2359" s="107"/>
      <c r="G2359" s="107"/>
      <c r="H2359" s="107"/>
      <c r="I2359" s="108"/>
      <c r="J2359" s="88" t="s">
        <v>1499</v>
      </c>
      <c r="K2359" s="89"/>
      <c r="L2359" s="89"/>
      <c r="M2359" s="90"/>
      <c r="N2359" s="88" t="s">
        <v>701</v>
      </c>
      <c r="O2359" s="89"/>
      <c r="P2359" s="90"/>
      <c r="Q2359" s="133">
        <v>2996</v>
      </c>
      <c r="R2359" s="134"/>
      <c r="S2359" s="5" t="s">
        <v>2633</v>
      </c>
      <c r="T2359" s="6"/>
      <c r="U2359" s="8">
        <v>5</v>
      </c>
      <c r="V2359" s="5" t="s">
        <v>702</v>
      </c>
      <c r="W2359" s="12">
        <v>18916397</v>
      </c>
      <c r="X2359" s="6"/>
      <c r="Y2359" s="6"/>
    </row>
    <row r="2360" spans="1:25" ht="15" customHeight="1" x14ac:dyDescent="0.2">
      <c r="A2360" s="88" t="s">
        <v>2631</v>
      </c>
      <c r="B2360" s="90"/>
      <c r="C2360" s="88" t="s">
        <v>2857</v>
      </c>
      <c r="D2360" s="89"/>
      <c r="E2360" s="89"/>
      <c r="F2360" s="89"/>
      <c r="G2360" s="89"/>
      <c r="H2360" s="89"/>
      <c r="I2360" s="90"/>
      <c r="J2360" s="88" t="s">
        <v>1499</v>
      </c>
      <c r="K2360" s="89"/>
      <c r="L2360" s="89"/>
      <c r="M2360" s="90"/>
      <c r="N2360" s="88" t="s">
        <v>701</v>
      </c>
      <c r="O2360" s="89"/>
      <c r="P2360" s="90"/>
      <c r="Q2360" s="133">
        <v>2996</v>
      </c>
      <c r="R2360" s="134"/>
      <c r="S2360" s="5" t="s">
        <v>2633</v>
      </c>
      <c r="T2360" s="6"/>
      <c r="U2360" s="8">
        <v>5</v>
      </c>
      <c r="V2360" s="5" t="s">
        <v>702</v>
      </c>
      <c r="W2360" s="12">
        <v>20962902</v>
      </c>
      <c r="X2360" s="6"/>
      <c r="Y2360" s="6"/>
    </row>
    <row r="2361" spans="1:25" ht="15" customHeight="1" x14ac:dyDescent="0.2">
      <c r="A2361" s="88" t="s">
        <v>2631</v>
      </c>
      <c r="B2361" s="90"/>
      <c r="C2361" s="88" t="s">
        <v>2858</v>
      </c>
      <c r="D2361" s="89"/>
      <c r="E2361" s="89"/>
      <c r="F2361" s="89"/>
      <c r="G2361" s="89"/>
      <c r="H2361" s="89"/>
      <c r="I2361" s="90"/>
      <c r="J2361" s="88" t="s">
        <v>1499</v>
      </c>
      <c r="K2361" s="89"/>
      <c r="L2361" s="89"/>
      <c r="M2361" s="90"/>
      <c r="N2361" s="88" t="s">
        <v>701</v>
      </c>
      <c r="O2361" s="89"/>
      <c r="P2361" s="90"/>
      <c r="Q2361" s="133">
        <v>2996</v>
      </c>
      <c r="R2361" s="134"/>
      <c r="S2361" s="5" t="s">
        <v>2633</v>
      </c>
      <c r="T2361" s="6"/>
      <c r="U2361" s="8">
        <v>5</v>
      </c>
      <c r="V2361" s="5" t="s">
        <v>702</v>
      </c>
      <c r="W2361" s="12">
        <v>27785598</v>
      </c>
      <c r="X2361" s="6"/>
      <c r="Y2361" s="6"/>
    </row>
    <row r="2362" spans="1:25" ht="15" customHeight="1" x14ac:dyDescent="0.2">
      <c r="A2362" s="88" t="s">
        <v>2631</v>
      </c>
      <c r="B2362" s="90"/>
      <c r="C2362" s="88" t="s">
        <v>2859</v>
      </c>
      <c r="D2362" s="90"/>
      <c r="E2362" s="106"/>
      <c r="F2362" s="107"/>
      <c r="G2362" s="107"/>
      <c r="H2362" s="107"/>
      <c r="I2362" s="108"/>
      <c r="J2362" s="88" t="s">
        <v>1499</v>
      </c>
      <c r="K2362" s="89"/>
      <c r="L2362" s="89"/>
      <c r="M2362" s="90"/>
      <c r="N2362" s="88" t="s">
        <v>701</v>
      </c>
      <c r="O2362" s="89"/>
      <c r="P2362" s="90"/>
      <c r="Q2362" s="133">
        <v>2996</v>
      </c>
      <c r="R2362" s="134"/>
      <c r="S2362" s="5" t="s">
        <v>2633</v>
      </c>
      <c r="T2362" s="6"/>
      <c r="U2362" s="8">
        <v>7</v>
      </c>
      <c r="V2362" s="5" t="s">
        <v>702</v>
      </c>
      <c r="W2362" s="12">
        <v>30623316</v>
      </c>
      <c r="X2362" s="6"/>
      <c r="Y2362" s="6"/>
    </row>
    <row r="2363" spans="1:25" ht="15" customHeight="1" x14ac:dyDescent="0.2">
      <c r="A2363" s="88" t="s">
        <v>2631</v>
      </c>
      <c r="B2363" s="90"/>
      <c r="C2363" s="88" t="s">
        <v>2860</v>
      </c>
      <c r="D2363" s="89"/>
      <c r="E2363" s="89"/>
      <c r="F2363" s="89"/>
      <c r="G2363" s="89"/>
      <c r="H2363" s="89"/>
      <c r="I2363" s="90"/>
      <c r="J2363" s="88" t="s">
        <v>1499</v>
      </c>
      <c r="K2363" s="89"/>
      <c r="L2363" s="89"/>
      <c r="M2363" s="90"/>
      <c r="N2363" s="88" t="s">
        <v>701</v>
      </c>
      <c r="O2363" s="89"/>
      <c r="P2363" s="90"/>
      <c r="Q2363" s="133">
        <v>2996</v>
      </c>
      <c r="R2363" s="134"/>
      <c r="S2363" s="5" t="s">
        <v>2633</v>
      </c>
      <c r="T2363" s="6"/>
      <c r="U2363" s="8">
        <v>5</v>
      </c>
      <c r="V2363" s="5" t="s">
        <v>106</v>
      </c>
      <c r="W2363" s="12">
        <v>20939799</v>
      </c>
      <c r="X2363" s="6"/>
      <c r="Y2363" s="6"/>
    </row>
    <row r="2364" spans="1:25" ht="15" customHeight="1" x14ac:dyDescent="0.2">
      <c r="A2364" s="88" t="s">
        <v>2631</v>
      </c>
      <c r="B2364" s="90"/>
      <c r="C2364" s="88" t="s">
        <v>2652</v>
      </c>
      <c r="D2364" s="90"/>
      <c r="E2364" s="106"/>
      <c r="F2364" s="107"/>
      <c r="G2364" s="107"/>
      <c r="H2364" s="107"/>
      <c r="I2364" s="108"/>
      <c r="J2364" s="88" t="s">
        <v>1499</v>
      </c>
      <c r="K2364" s="89"/>
      <c r="L2364" s="89"/>
      <c r="M2364" s="90"/>
      <c r="N2364" s="88" t="s">
        <v>701</v>
      </c>
      <c r="O2364" s="89"/>
      <c r="P2364" s="90"/>
      <c r="Q2364" s="133">
        <v>2996</v>
      </c>
      <c r="R2364" s="134"/>
      <c r="S2364" s="5" t="s">
        <v>2633</v>
      </c>
      <c r="T2364" s="6"/>
      <c r="U2364" s="8">
        <v>5</v>
      </c>
      <c r="V2364" s="5" t="s">
        <v>106</v>
      </c>
      <c r="W2364" s="12">
        <v>19859133</v>
      </c>
      <c r="X2364" s="6"/>
      <c r="Y2364" s="6"/>
    </row>
    <row r="2365" spans="1:25" ht="15" customHeight="1" x14ac:dyDescent="0.2">
      <c r="A2365" s="88" t="s">
        <v>2631</v>
      </c>
      <c r="B2365" s="90"/>
      <c r="C2365" s="88" t="s">
        <v>2861</v>
      </c>
      <c r="D2365" s="90"/>
      <c r="E2365" s="106"/>
      <c r="F2365" s="107"/>
      <c r="G2365" s="107"/>
      <c r="H2365" s="107"/>
      <c r="I2365" s="108"/>
      <c r="J2365" s="88" t="s">
        <v>1499</v>
      </c>
      <c r="K2365" s="89"/>
      <c r="L2365" s="89"/>
      <c r="M2365" s="90"/>
      <c r="N2365" s="88" t="s">
        <v>701</v>
      </c>
      <c r="O2365" s="89"/>
      <c r="P2365" s="90"/>
      <c r="Q2365" s="133">
        <v>2996</v>
      </c>
      <c r="R2365" s="134"/>
      <c r="S2365" s="5" t="s">
        <v>2633</v>
      </c>
      <c r="T2365" s="6"/>
      <c r="U2365" s="8">
        <v>5</v>
      </c>
      <c r="V2365" s="5" t="s">
        <v>106</v>
      </c>
      <c r="W2365" s="12">
        <v>21372659</v>
      </c>
      <c r="X2365" s="6"/>
      <c r="Y2365" s="6"/>
    </row>
    <row r="2366" spans="1:25" ht="15" customHeight="1" x14ac:dyDescent="0.2">
      <c r="A2366" s="88" t="s">
        <v>2631</v>
      </c>
      <c r="B2366" s="90"/>
      <c r="C2366" s="88" t="s">
        <v>2862</v>
      </c>
      <c r="D2366" s="90"/>
      <c r="E2366" s="106"/>
      <c r="F2366" s="107"/>
      <c r="G2366" s="107"/>
      <c r="H2366" s="107"/>
      <c r="I2366" s="108"/>
      <c r="J2366" s="88" t="s">
        <v>1499</v>
      </c>
      <c r="K2366" s="89"/>
      <c r="L2366" s="89"/>
      <c r="M2366" s="90"/>
      <c r="N2366" s="88" t="s">
        <v>701</v>
      </c>
      <c r="O2366" s="89"/>
      <c r="P2366" s="90"/>
      <c r="Q2366" s="133">
        <v>2996</v>
      </c>
      <c r="R2366" s="134"/>
      <c r="S2366" s="5" t="s">
        <v>2633</v>
      </c>
      <c r="T2366" s="6"/>
      <c r="U2366" s="8">
        <v>5</v>
      </c>
      <c r="V2366" s="5" t="s">
        <v>106</v>
      </c>
      <c r="W2366" s="12">
        <v>27463356</v>
      </c>
      <c r="X2366" s="6"/>
      <c r="Y2366" s="6"/>
    </row>
    <row r="2367" spans="1:25" ht="15" customHeight="1" x14ac:dyDescent="0.2">
      <c r="A2367" s="88" t="s">
        <v>2631</v>
      </c>
      <c r="B2367" s="90"/>
      <c r="C2367" s="88" t="s">
        <v>2653</v>
      </c>
      <c r="D2367" s="90"/>
      <c r="E2367" s="106"/>
      <c r="F2367" s="107"/>
      <c r="G2367" s="107"/>
      <c r="H2367" s="107"/>
      <c r="I2367" s="108"/>
      <c r="J2367" s="88" t="s">
        <v>1499</v>
      </c>
      <c r="K2367" s="89"/>
      <c r="L2367" s="89"/>
      <c r="M2367" s="90"/>
      <c r="N2367" s="88" t="s">
        <v>701</v>
      </c>
      <c r="O2367" s="89"/>
      <c r="P2367" s="90"/>
      <c r="Q2367" s="133">
        <v>2996</v>
      </c>
      <c r="R2367" s="134"/>
      <c r="S2367" s="5" t="s">
        <v>2633</v>
      </c>
      <c r="T2367" s="6"/>
      <c r="U2367" s="8">
        <v>5</v>
      </c>
      <c r="V2367" s="5" t="s">
        <v>106</v>
      </c>
      <c r="W2367" s="12">
        <v>23708718</v>
      </c>
      <c r="X2367" s="6"/>
      <c r="Y2367" s="6"/>
    </row>
    <row r="2368" spans="1:25" ht="15" customHeight="1" x14ac:dyDescent="0.2">
      <c r="A2368" s="88" t="s">
        <v>2631</v>
      </c>
      <c r="B2368" s="90"/>
      <c r="C2368" s="88" t="s">
        <v>2863</v>
      </c>
      <c r="D2368" s="90"/>
      <c r="E2368" s="106"/>
      <c r="F2368" s="107"/>
      <c r="G2368" s="107"/>
      <c r="H2368" s="107"/>
      <c r="I2368" s="108"/>
      <c r="J2368" s="88" t="s">
        <v>1499</v>
      </c>
      <c r="K2368" s="89"/>
      <c r="L2368" s="89"/>
      <c r="M2368" s="90"/>
      <c r="N2368" s="88" t="s">
        <v>701</v>
      </c>
      <c r="O2368" s="89"/>
      <c r="P2368" s="90"/>
      <c r="Q2368" s="133">
        <v>2996</v>
      </c>
      <c r="R2368" s="134"/>
      <c r="S2368" s="5" t="s">
        <v>2633</v>
      </c>
      <c r="T2368" s="6"/>
      <c r="U2368" s="8">
        <v>5</v>
      </c>
      <c r="V2368" s="5" t="s">
        <v>106</v>
      </c>
      <c r="W2368" s="12">
        <v>28285229</v>
      </c>
      <c r="X2368" s="6"/>
      <c r="Y2368" s="6"/>
    </row>
    <row r="2369" spans="1:25" ht="15" customHeight="1" x14ac:dyDescent="0.2">
      <c r="A2369" s="88" t="s">
        <v>2631</v>
      </c>
      <c r="B2369" s="90"/>
      <c r="C2369" s="88" t="s">
        <v>2864</v>
      </c>
      <c r="D2369" s="89"/>
      <c r="E2369" s="89"/>
      <c r="F2369" s="89"/>
      <c r="G2369" s="89"/>
      <c r="H2369" s="89"/>
      <c r="I2369" s="90"/>
      <c r="J2369" s="88" t="s">
        <v>1499</v>
      </c>
      <c r="K2369" s="89"/>
      <c r="L2369" s="89"/>
      <c r="M2369" s="90"/>
      <c r="N2369" s="88" t="s">
        <v>701</v>
      </c>
      <c r="O2369" s="89"/>
      <c r="P2369" s="90"/>
      <c r="Q2369" s="133">
        <v>2996</v>
      </c>
      <c r="R2369" s="134"/>
      <c r="S2369" s="5" t="s">
        <v>2633</v>
      </c>
      <c r="T2369" s="6"/>
      <c r="U2369" s="8">
        <v>5</v>
      </c>
      <c r="V2369" s="5" t="s">
        <v>702</v>
      </c>
      <c r="W2369" s="12">
        <v>26818187</v>
      </c>
      <c r="X2369" s="6"/>
      <c r="Y2369" s="6"/>
    </row>
    <row r="2370" spans="1:25" ht="15" customHeight="1" x14ac:dyDescent="0.2">
      <c r="A2370" s="88" t="s">
        <v>2631</v>
      </c>
      <c r="B2370" s="90"/>
      <c r="C2370" s="88" t="s">
        <v>2865</v>
      </c>
      <c r="D2370" s="89"/>
      <c r="E2370" s="89"/>
      <c r="F2370" s="89"/>
      <c r="G2370" s="89"/>
      <c r="H2370" s="89"/>
      <c r="I2370" s="90"/>
      <c r="J2370" s="88" t="s">
        <v>1499</v>
      </c>
      <c r="K2370" s="89"/>
      <c r="L2370" s="89"/>
      <c r="M2370" s="90"/>
      <c r="N2370" s="88" t="s">
        <v>2640</v>
      </c>
      <c r="O2370" s="89"/>
      <c r="P2370" s="90"/>
      <c r="Q2370" s="133">
        <v>2996</v>
      </c>
      <c r="R2370" s="134"/>
      <c r="S2370" s="5" t="s">
        <v>2633</v>
      </c>
      <c r="T2370" s="6"/>
      <c r="U2370" s="8">
        <v>5</v>
      </c>
      <c r="V2370" s="5" t="s">
        <v>702</v>
      </c>
      <c r="W2370" s="12">
        <v>21470192</v>
      </c>
      <c r="X2370" s="6"/>
      <c r="Y2370" s="6"/>
    </row>
    <row r="2371" spans="1:25" ht="15" customHeight="1" x14ac:dyDescent="0.2">
      <c r="A2371" s="88" t="s">
        <v>2631</v>
      </c>
      <c r="B2371" s="90"/>
      <c r="C2371" s="88" t="s">
        <v>2866</v>
      </c>
      <c r="D2371" s="89"/>
      <c r="E2371" s="89"/>
      <c r="F2371" s="89"/>
      <c r="G2371" s="89"/>
      <c r="H2371" s="89"/>
      <c r="I2371" s="90"/>
      <c r="J2371" s="88" t="s">
        <v>1499</v>
      </c>
      <c r="K2371" s="89"/>
      <c r="L2371" s="89"/>
      <c r="M2371" s="90"/>
      <c r="N2371" s="88" t="s">
        <v>2640</v>
      </c>
      <c r="O2371" s="89"/>
      <c r="P2371" s="90"/>
      <c r="Q2371" s="133">
        <v>2996</v>
      </c>
      <c r="R2371" s="134"/>
      <c r="S2371" s="5" t="s">
        <v>2633</v>
      </c>
      <c r="T2371" s="6"/>
      <c r="U2371" s="8">
        <v>5</v>
      </c>
      <c r="V2371" s="5" t="s">
        <v>702</v>
      </c>
      <c r="W2371" s="12">
        <v>20402053</v>
      </c>
      <c r="X2371" s="6"/>
      <c r="Y2371" s="6"/>
    </row>
    <row r="2372" spans="1:25" ht="15" customHeight="1" x14ac:dyDescent="0.2">
      <c r="A2372" s="88" t="s">
        <v>2631</v>
      </c>
      <c r="B2372" s="90"/>
      <c r="C2372" s="88" t="s">
        <v>2867</v>
      </c>
      <c r="D2372" s="90"/>
      <c r="E2372" s="106"/>
      <c r="F2372" s="107"/>
      <c r="G2372" s="107"/>
      <c r="H2372" s="107"/>
      <c r="I2372" s="108"/>
      <c r="J2372" s="88" t="s">
        <v>1499</v>
      </c>
      <c r="K2372" s="89"/>
      <c r="L2372" s="89"/>
      <c r="M2372" s="90"/>
      <c r="N2372" s="88" t="s">
        <v>701</v>
      </c>
      <c r="O2372" s="89"/>
      <c r="P2372" s="90"/>
      <c r="Q2372" s="133">
        <v>2996</v>
      </c>
      <c r="R2372" s="134"/>
      <c r="S2372" s="5" t="s">
        <v>2633</v>
      </c>
      <c r="T2372" s="6"/>
      <c r="U2372" s="8">
        <v>5</v>
      </c>
      <c r="V2372" s="5" t="s">
        <v>702</v>
      </c>
      <c r="W2372" s="12">
        <v>28275238</v>
      </c>
      <c r="X2372" s="6"/>
      <c r="Y2372" s="6"/>
    </row>
    <row r="2373" spans="1:25" ht="15" customHeight="1" x14ac:dyDescent="0.2">
      <c r="A2373" s="88" t="s">
        <v>2631</v>
      </c>
      <c r="B2373" s="90"/>
      <c r="C2373" s="88" t="s">
        <v>2868</v>
      </c>
      <c r="D2373" s="89"/>
      <c r="E2373" s="89"/>
      <c r="F2373" s="89"/>
      <c r="G2373" s="89"/>
      <c r="H2373" s="89"/>
      <c r="I2373" s="90"/>
      <c r="J2373" s="88" t="s">
        <v>1499</v>
      </c>
      <c r="K2373" s="89"/>
      <c r="L2373" s="89"/>
      <c r="M2373" s="90"/>
      <c r="N2373" s="88" t="s">
        <v>2640</v>
      </c>
      <c r="O2373" s="89"/>
      <c r="P2373" s="90"/>
      <c r="Q2373" s="133">
        <v>2996</v>
      </c>
      <c r="R2373" s="134"/>
      <c r="S2373" s="5" t="s">
        <v>2633</v>
      </c>
      <c r="T2373" s="6"/>
      <c r="U2373" s="8">
        <v>5</v>
      </c>
      <c r="V2373" s="5" t="s">
        <v>702</v>
      </c>
      <c r="W2373" s="12">
        <v>19699090</v>
      </c>
      <c r="X2373" s="6"/>
      <c r="Y2373" s="6"/>
    </row>
    <row r="2374" spans="1:25" ht="15" customHeight="1" x14ac:dyDescent="0.2">
      <c r="A2374" s="88" t="s">
        <v>2631</v>
      </c>
      <c r="B2374" s="90"/>
      <c r="C2374" s="88" t="s">
        <v>2869</v>
      </c>
      <c r="D2374" s="90"/>
      <c r="E2374" s="106"/>
      <c r="F2374" s="107"/>
      <c r="G2374" s="107"/>
      <c r="H2374" s="107"/>
      <c r="I2374" s="108"/>
      <c r="J2374" s="88" t="s">
        <v>1499</v>
      </c>
      <c r="K2374" s="89"/>
      <c r="L2374" s="89"/>
      <c r="M2374" s="90"/>
      <c r="N2374" s="88" t="s">
        <v>701</v>
      </c>
      <c r="O2374" s="89"/>
      <c r="P2374" s="90"/>
      <c r="Q2374" s="133">
        <v>2996</v>
      </c>
      <c r="R2374" s="134"/>
      <c r="S2374" s="5" t="s">
        <v>2633</v>
      </c>
      <c r="T2374" s="6"/>
      <c r="U2374" s="8">
        <v>5</v>
      </c>
      <c r="V2374" s="5" t="s">
        <v>702</v>
      </c>
      <c r="W2374" s="12">
        <v>26602734</v>
      </c>
      <c r="X2374" s="6"/>
      <c r="Y2374" s="6"/>
    </row>
    <row r="2375" spans="1:25" ht="15" customHeight="1" x14ac:dyDescent="0.2">
      <c r="A2375" s="88" t="s">
        <v>2631</v>
      </c>
      <c r="B2375" s="90"/>
      <c r="C2375" s="88" t="s">
        <v>2870</v>
      </c>
      <c r="D2375" s="89"/>
      <c r="E2375" s="89"/>
      <c r="F2375" s="89"/>
      <c r="G2375" s="89"/>
      <c r="H2375" s="89"/>
      <c r="I2375" s="90"/>
      <c r="J2375" s="88" t="s">
        <v>1499</v>
      </c>
      <c r="K2375" s="89"/>
      <c r="L2375" s="89"/>
      <c r="M2375" s="90"/>
      <c r="N2375" s="88" t="s">
        <v>701</v>
      </c>
      <c r="O2375" s="89"/>
      <c r="P2375" s="90"/>
      <c r="Q2375" s="133">
        <v>2996</v>
      </c>
      <c r="R2375" s="134"/>
      <c r="S2375" s="5" t="s">
        <v>2633</v>
      </c>
      <c r="T2375" s="6"/>
      <c r="U2375" s="8">
        <v>5</v>
      </c>
      <c r="V2375" s="5" t="s">
        <v>702</v>
      </c>
      <c r="W2375" s="12">
        <v>19661355</v>
      </c>
      <c r="X2375" s="6"/>
      <c r="Y2375" s="6"/>
    </row>
    <row r="2376" spans="1:25" ht="15" customHeight="1" x14ac:dyDescent="0.2">
      <c r="A2376" s="88" t="s">
        <v>2631</v>
      </c>
      <c r="B2376" s="90"/>
      <c r="C2376" s="88" t="s">
        <v>2871</v>
      </c>
      <c r="D2376" s="89"/>
      <c r="E2376" s="89"/>
      <c r="F2376" s="89"/>
      <c r="G2376" s="89"/>
      <c r="H2376" s="89"/>
      <c r="I2376" s="90"/>
      <c r="J2376" s="88" t="s">
        <v>1499</v>
      </c>
      <c r="K2376" s="89"/>
      <c r="L2376" s="89"/>
      <c r="M2376" s="90"/>
      <c r="N2376" s="88" t="s">
        <v>701</v>
      </c>
      <c r="O2376" s="89"/>
      <c r="P2376" s="90"/>
      <c r="Q2376" s="133">
        <v>2996</v>
      </c>
      <c r="R2376" s="134"/>
      <c r="S2376" s="5" t="s">
        <v>2633</v>
      </c>
      <c r="T2376" s="6"/>
      <c r="U2376" s="8">
        <v>7</v>
      </c>
      <c r="V2376" s="5" t="s">
        <v>702</v>
      </c>
      <c r="W2376" s="12">
        <v>27453288</v>
      </c>
      <c r="X2376" s="6"/>
      <c r="Y2376" s="6"/>
    </row>
    <row r="2377" spans="1:25" ht="15" customHeight="1" x14ac:dyDescent="0.2">
      <c r="A2377" s="88" t="s">
        <v>2631</v>
      </c>
      <c r="B2377" s="90"/>
      <c r="C2377" s="88" t="s">
        <v>2872</v>
      </c>
      <c r="D2377" s="90"/>
      <c r="E2377" s="106"/>
      <c r="F2377" s="107"/>
      <c r="G2377" s="107"/>
      <c r="H2377" s="107"/>
      <c r="I2377" s="108"/>
      <c r="J2377" s="88" t="s">
        <v>1499</v>
      </c>
      <c r="K2377" s="89"/>
      <c r="L2377" s="89"/>
      <c r="M2377" s="90"/>
      <c r="N2377" s="88" t="s">
        <v>701</v>
      </c>
      <c r="O2377" s="89"/>
      <c r="P2377" s="90"/>
      <c r="Q2377" s="133">
        <v>2996</v>
      </c>
      <c r="R2377" s="134"/>
      <c r="S2377" s="5" t="s">
        <v>2633</v>
      </c>
      <c r="T2377" s="6"/>
      <c r="U2377" s="8">
        <v>5</v>
      </c>
      <c r="V2377" s="5" t="s">
        <v>106</v>
      </c>
      <c r="W2377" s="12">
        <v>18460004</v>
      </c>
      <c r="X2377" s="6"/>
      <c r="Y2377" s="6"/>
    </row>
    <row r="2378" spans="1:25" ht="15" customHeight="1" x14ac:dyDescent="0.2">
      <c r="A2378" s="88" t="s">
        <v>2631</v>
      </c>
      <c r="B2378" s="90"/>
      <c r="C2378" s="88" t="s">
        <v>2873</v>
      </c>
      <c r="D2378" s="90"/>
      <c r="E2378" s="106"/>
      <c r="F2378" s="107"/>
      <c r="G2378" s="107"/>
      <c r="H2378" s="107"/>
      <c r="I2378" s="108"/>
      <c r="J2378" s="88" t="s">
        <v>1499</v>
      </c>
      <c r="K2378" s="89"/>
      <c r="L2378" s="89"/>
      <c r="M2378" s="90"/>
      <c r="N2378" s="88" t="s">
        <v>701</v>
      </c>
      <c r="O2378" s="89"/>
      <c r="P2378" s="90"/>
      <c r="Q2378" s="133">
        <v>2996</v>
      </c>
      <c r="R2378" s="134"/>
      <c r="S2378" s="5" t="s">
        <v>2633</v>
      </c>
      <c r="T2378" s="6"/>
      <c r="U2378" s="8">
        <v>5</v>
      </c>
      <c r="V2378" s="5" t="s">
        <v>106</v>
      </c>
      <c r="W2378" s="12">
        <v>22841350</v>
      </c>
      <c r="X2378" s="6"/>
      <c r="Y2378" s="6"/>
    </row>
    <row r="2379" spans="1:25" ht="15" customHeight="1" x14ac:dyDescent="0.2">
      <c r="A2379" s="88" t="s">
        <v>2631</v>
      </c>
      <c r="B2379" s="90"/>
      <c r="C2379" s="88" t="s">
        <v>2874</v>
      </c>
      <c r="D2379" s="90"/>
      <c r="E2379" s="106"/>
      <c r="F2379" s="107"/>
      <c r="G2379" s="107"/>
      <c r="H2379" s="107"/>
      <c r="I2379" s="108"/>
      <c r="J2379" s="88" t="s">
        <v>1499</v>
      </c>
      <c r="K2379" s="89"/>
      <c r="L2379" s="89"/>
      <c r="M2379" s="90"/>
      <c r="N2379" s="88" t="s">
        <v>701</v>
      </c>
      <c r="O2379" s="89"/>
      <c r="P2379" s="90"/>
      <c r="Q2379" s="133">
        <v>2996</v>
      </c>
      <c r="R2379" s="134"/>
      <c r="S2379" s="5" t="s">
        <v>2633</v>
      </c>
      <c r="T2379" s="6"/>
      <c r="U2379" s="8">
        <v>5</v>
      </c>
      <c r="V2379" s="5" t="s">
        <v>106</v>
      </c>
      <c r="W2379" s="12">
        <v>27008408</v>
      </c>
      <c r="X2379" s="6"/>
      <c r="Y2379" s="6"/>
    </row>
    <row r="2380" spans="1:25" ht="15" customHeight="1" x14ac:dyDescent="0.2">
      <c r="A2380" s="88" t="s">
        <v>2631</v>
      </c>
      <c r="B2380" s="90"/>
      <c r="C2380" s="88" t="s">
        <v>2875</v>
      </c>
      <c r="D2380" s="90"/>
      <c r="E2380" s="106"/>
      <c r="F2380" s="107"/>
      <c r="G2380" s="107"/>
      <c r="H2380" s="107"/>
      <c r="I2380" s="108"/>
      <c r="J2380" s="88" t="s">
        <v>1499</v>
      </c>
      <c r="K2380" s="89"/>
      <c r="L2380" s="89"/>
      <c r="M2380" s="90"/>
      <c r="N2380" s="88" t="s">
        <v>701</v>
      </c>
      <c r="O2380" s="89"/>
      <c r="P2380" s="90"/>
      <c r="Q2380" s="133">
        <v>2996</v>
      </c>
      <c r="R2380" s="134"/>
      <c r="S2380" s="5" t="s">
        <v>2633</v>
      </c>
      <c r="T2380" s="6"/>
      <c r="U2380" s="8">
        <v>5</v>
      </c>
      <c r="V2380" s="5" t="s">
        <v>106</v>
      </c>
      <c r="W2380" s="12">
        <v>24722790</v>
      </c>
      <c r="X2380" s="6"/>
      <c r="Y2380" s="6"/>
    </row>
    <row r="2381" spans="1:25" ht="15" customHeight="1" x14ac:dyDescent="0.2">
      <c r="A2381" s="88" t="s">
        <v>2631</v>
      </c>
      <c r="B2381" s="90"/>
      <c r="C2381" s="88" t="s">
        <v>2876</v>
      </c>
      <c r="D2381" s="90"/>
      <c r="E2381" s="106"/>
      <c r="F2381" s="107"/>
      <c r="G2381" s="107"/>
      <c r="H2381" s="107"/>
      <c r="I2381" s="108"/>
      <c r="J2381" s="88" t="s">
        <v>1499</v>
      </c>
      <c r="K2381" s="89"/>
      <c r="L2381" s="89"/>
      <c r="M2381" s="90"/>
      <c r="N2381" s="88" t="s">
        <v>701</v>
      </c>
      <c r="O2381" s="89"/>
      <c r="P2381" s="90"/>
      <c r="Q2381" s="133">
        <v>2996</v>
      </c>
      <c r="R2381" s="134"/>
      <c r="S2381" s="5" t="s">
        <v>2633</v>
      </c>
      <c r="T2381" s="6"/>
      <c r="U2381" s="8">
        <v>5</v>
      </c>
      <c r="V2381" s="5" t="s">
        <v>106</v>
      </c>
      <c r="W2381" s="12">
        <v>21830574</v>
      </c>
      <c r="X2381" s="6"/>
      <c r="Y2381" s="6"/>
    </row>
    <row r="2382" spans="1:25" ht="15" customHeight="1" x14ac:dyDescent="0.2">
      <c r="A2382" s="88" t="s">
        <v>2631</v>
      </c>
      <c r="B2382" s="90"/>
      <c r="C2382" s="88" t="s">
        <v>2877</v>
      </c>
      <c r="D2382" s="90"/>
      <c r="E2382" s="106"/>
      <c r="F2382" s="107"/>
      <c r="G2382" s="107"/>
      <c r="H2382" s="107"/>
      <c r="I2382" s="108"/>
      <c r="J2382" s="88" t="s">
        <v>1499</v>
      </c>
      <c r="K2382" s="89"/>
      <c r="L2382" s="89"/>
      <c r="M2382" s="90"/>
      <c r="N2382" s="88" t="s">
        <v>701</v>
      </c>
      <c r="O2382" s="89"/>
      <c r="P2382" s="90"/>
      <c r="Q2382" s="133">
        <v>2996</v>
      </c>
      <c r="R2382" s="134"/>
      <c r="S2382" s="5" t="s">
        <v>2633</v>
      </c>
      <c r="T2382" s="6"/>
      <c r="U2382" s="8">
        <v>5</v>
      </c>
      <c r="V2382" s="5" t="s">
        <v>106</v>
      </c>
      <c r="W2382" s="12">
        <v>30530298</v>
      </c>
      <c r="X2382" s="6"/>
      <c r="Y2382" s="6"/>
    </row>
    <row r="2383" spans="1:25" ht="15" customHeight="1" x14ac:dyDescent="0.2">
      <c r="A2383" s="88" t="s">
        <v>2631</v>
      </c>
      <c r="B2383" s="90"/>
      <c r="C2383" s="88" t="s">
        <v>2878</v>
      </c>
      <c r="D2383" s="89"/>
      <c r="E2383" s="89"/>
      <c r="F2383" s="89"/>
      <c r="G2383" s="89"/>
      <c r="H2383" s="89"/>
      <c r="I2383" s="90"/>
      <c r="J2383" s="88" t="s">
        <v>1499</v>
      </c>
      <c r="K2383" s="89"/>
      <c r="L2383" s="89"/>
      <c r="M2383" s="90"/>
      <c r="N2383" s="88" t="s">
        <v>701</v>
      </c>
      <c r="O2383" s="89"/>
      <c r="P2383" s="90"/>
      <c r="Q2383" s="133">
        <v>2996</v>
      </c>
      <c r="R2383" s="134"/>
      <c r="S2383" s="5" t="s">
        <v>2633</v>
      </c>
      <c r="T2383" s="6"/>
      <c r="U2383" s="8">
        <v>5</v>
      </c>
      <c r="V2383" s="5" t="s">
        <v>702</v>
      </c>
      <c r="W2383" s="12">
        <v>22747697</v>
      </c>
      <c r="X2383" s="6"/>
      <c r="Y2383" s="6"/>
    </row>
    <row r="2384" spans="1:25" ht="15" customHeight="1" x14ac:dyDescent="0.2">
      <c r="A2384" s="88" t="s">
        <v>2631</v>
      </c>
      <c r="B2384" s="90"/>
      <c r="C2384" s="88" t="s">
        <v>2879</v>
      </c>
      <c r="D2384" s="89"/>
      <c r="E2384" s="89"/>
      <c r="F2384" s="89"/>
      <c r="G2384" s="89"/>
      <c r="H2384" s="89"/>
      <c r="I2384" s="90"/>
      <c r="J2384" s="88" t="s">
        <v>1499</v>
      </c>
      <c r="K2384" s="89"/>
      <c r="L2384" s="89"/>
      <c r="M2384" s="90"/>
      <c r="N2384" s="88" t="s">
        <v>701</v>
      </c>
      <c r="O2384" s="89"/>
      <c r="P2384" s="90"/>
      <c r="Q2384" s="133">
        <v>2996</v>
      </c>
      <c r="R2384" s="134"/>
      <c r="S2384" s="5" t="s">
        <v>2633</v>
      </c>
      <c r="T2384" s="6"/>
      <c r="U2384" s="8">
        <v>5</v>
      </c>
      <c r="V2384" s="5" t="s">
        <v>702</v>
      </c>
      <c r="W2384" s="12">
        <v>23475310</v>
      </c>
      <c r="X2384" s="6"/>
      <c r="Y2384" s="6"/>
    </row>
    <row r="2385" spans="1:25" ht="15" customHeight="1" x14ac:dyDescent="0.2">
      <c r="A2385" s="88" t="s">
        <v>2631</v>
      </c>
      <c r="B2385" s="90"/>
      <c r="C2385" s="88" t="s">
        <v>2880</v>
      </c>
      <c r="D2385" s="89"/>
      <c r="E2385" s="89"/>
      <c r="F2385" s="89"/>
      <c r="G2385" s="89"/>
      <c r="H2385" s="89"/>
      <c r="I2385" s="90"/>
      <c r="J2385" s="88" t="s">
        <v>1499</v>
      </c>
      <c r="K2385" s="89"/>
      <c r="L2385" s="89"/>
      <c r="M2385" s="90"/>
      <c r="N2385" s="88" t="s">
        <v>701</v>
      </c>
      <c r="O2385" s="89"/>
      <c r="P2385" s="90"/>
      <c r="Q2385" s="133">
        <v>2996</v>
      </c>
      <c r="R2385" s="134"/>
      <c r="S2385" s="5" t="s">
        <v>2633</v>
      </c>
      <c r="T2385" s="6"/>
      <c r="U2385" s="8">
        <v>7</v>
      </c>
      <c r="V2385" s="5" t="s">
        <v>106</v>
      </c>
      <c r="W2385" s="12">
        <v>21444858</v>
      </c>
      <c r="X2385" s="6"/>
      <c r="Y2385" s="6"/>
    </row>
    <row r="2386" spans="1:25" ht="15" customHeight="1" x14ac:dyDescent="0.2">
      <c r="A2386" s="88" t="s">
        <v>2631</v>
      </c>
      <c r="B2386" s="90"/>
      <c r="C2386" s="88" t="s">
        <v>2881</v>
      </c>
      <c r="D2386" s="90"/>
      <c r="E2386" s="106"/>
      <c r="F2386" s="107"/>
      <c r="G2386" s="107"/>
      <c r="H2386" s="107"/>
      <c r="I2386" s="108"/>
      <c r="J2386" s="88" t="s">
        <v>1499</v>
      </c>
      <c r="K2386" s="89"/>
      <c r="L2386" s="89"/>
      <c r="M2386" s="90"/>
      <c r="N2386" s="88" t="s">
        <v>701</v>
      </c>
      <c r="O2386" s="89"/>
      <c r="P2386" s="90"/>
      <c r="Q2386" s="133">
        <v>2996</v>
      </c>
      <c r="R2386" s="134"/>
      <c r="S2386" s="5" t="s">
        <v>2633</v>
      </c>
      <c r="T2386" s="6"/>
      <c r="U2386" s="8">
        <v>7</v>
      </c>
      <c r="V2386" s="5" t="s">
        <v>106</v>
      </c>
      <c r="W2386" s="12">
        <v>19614846</v>
      </c>
      <c r="X2386" s="6"/>
      <c r="Y2386" s="6"/>
    </row>
    <row r="2387" spans="1:25" ht="15" customHeight="1" x14ac:dyDescent="0.2">
      <c r="A2387" s="88" t="s">
        <v>2631</v>
      </c>
      <c r="B2387" s="90"/>
      <c r="C2387" s="88" t="s">
        <v>2882</v>
      </c>
      <c r="D2387" s="90"/>
      <c r="E2387" s="106"/>
      <c r="F2387" s="107"/>
      <c r="G2387" s="107"/>
      <c r="H2387" s="107"/>
      <c r="I2387" s="108"/>
      <c r="J2387" s="88" t="s">
        <v>1499</v>
      </c>
      <c r="K2387" s="89"/>
      <c r="L2387" s="89"/>
      <c r="M2387" s="90"/>
      <c r="N2387" s="88" t="s">
        <v>701</v>
      </c>
      <c r="O2387" s="89"/>
      <c r="P2387" s="90"/>
      <c r="Q2387" s="133">
        <v>2996</v>
      </c>
      <c r="R2387" s="134"/>
      <c r="S2387" s="5" t="s">
        <v>2633</v>
      </c>
      <c r="T2387" s="6"/>
      <c r="U2387" s="8">
        <v>5</v>
      </c>
      <c r="V2387" s="5" t="s">
        <v>106</v>
      </c>
      <c r="W2387" s="12">
        <v>19860452</v>
      </c>
      <c r="X2387" s="6"/>
      <c r="Y2387" s="6"/>
    </row>
    <row r="2388" spans="1:25" ht="15" customHeight="1" x14ac:dyDescent="0.2">
      <c r="A2388" s="88" t="s">
        <v>2631</v>
      </c>
      <c r="B2388" s="90"/>
      <c r="C2388" s="88" t="s">
        <v>2883</v>
      </c>
      <c r="D2388" s="90"/>
      <c r="E2388" s="106"/>
      <c r="F2388" s="107"/>
      <c r="G2388" s="107"/>
      <c r="H2388" s="107"/>
      <c r="I2388" s="108"/>
      <c r="J2388" s="88" t="s">
        <v>1499</v>
      </c>
      <c r="K2388" s="89"/>
      <c r="L2388" s="89"/>
      <c r="M2388" s="90"/>
      <c r="N2388" s="88" t="s">
        <v>701</v>
      </c>
      <c r="O2388" s="89"/>
      <c r="P2388" s="90"/>
      <c r="Q2388" s="133">
        <v>2996</v>
      </c>
      <c r="R2388" s="134"/>
      <c r="S2388" s="5" t="s">
        <v>2633</v>
      </c>
      <c r="T2388" s="6"/>
      <c r="U2388" s="8">
        <v>7</v>
      </c>
      <c r="V2388" s="5" t="s">
        <v>106</v>
      </c>
      <c r="W2388" s="12">
        <v>20690237</v>
      </c>
      <c r="X2388" s="6"/>
      <c r="Y2388" s="6"/>
    </row>
    <row r="2389" spans="1:25" ht="15" customHeight="1" x14ac:dyDescent="0.2">
      <c r="A2389" s="88" t="s">
        <v>2631</v>
      </c>
      <c r="B2389" s="90"/>
      <c r="C2389" s="88" t="s">
        <v>2884</v>
      </c>
      <c r="D2389" s="90"/>
      <c r="E2389" s="106"/>
      <c r="F2389" s="107"/>
      <c r="G2389" s="107"/>
      <c r="H2389" s="107"/>
      <c r="I2389" s="108"/>
      <c r="J2389" s="88" t="s">
        <v>1499</v>
      </c>
      <c r="K2389" s="89"/>
      <c r="L2389" s="89"/>
      <c r="M2389" s="90"/>
      <c r="N2389" s="88" t="s">
        <v>701</v>
      </c>
      <c r="O2389" s="89"/>
      <c r="P2389" s="90"/>
      <c r="Q2389" s="133">
        <v>2996</v>
      </c>
      <c r="R2389" s="134"/>
      <c r="S2389" s="5" t="s">
        <v>2633</v>
      </c>
      <c r="T2389" s="6"/>
      <c r="U2389" s="8">
        <v>5</v>
      </c>
      <c r="V2389" s="5" t="s">
        <v>702</v>
      </c>
      <c r="W2389" s="12">
        <v>19593798</v>
      </c>
      <c r="X2389" s="6"/>
      <c r="Y2389" s="6"/>
    </row>
    <row r="2390" spans="1:25" ht="15" customHeight="1" x14ac:dyDescent="0.2">
      <c r="A2390" s="88" t="s">
        <v>2631</v>
      </c>
      <c r="B2390" s="90"/>
      <c r="C2390" s="88" t="s">
        <v>2885</v>
      </c>
      <c r="D2390" s="90"/>
      <c r="E2390" s="106"/>
      <c r="F2390" s="107"/>
      <c r="G2390" s="107"/>
      <c r="H2390" s="107"/>
      <c r="I2390" s="108"/>
      <c r="J2390" s="88" t="s">
        <v>1499</v>
      </c>
      <c r="K2390" s="89"/>
      <c r="L2390" s="89"/>
      <c r="M2390" s="90"/>
      <c r="N2390" s="88" t="s">
        <v>701</v>
      </c>
      <c r="O2390" s="89"/>
      <c r="P2390" s="90"/>
      <c r="Q2390" s="133">
        <v>2996</v>
      </c>
      <c r="R2390" s="134"/>
      <c r="S2390" s="5" t="s">
        <v>2633</v>
      </c>
      <c r="T2390" s="6"/>
      <c r="U2390" s="8">
        <v>5</v>
      </c>
      <c r="V2390" s="5" t="s">
        <v>702</v>
      </c>
      <c r="W2390" s="12">
        <v>18600825</v>
      </c>
      <c r="X2390" s="6"/>
      <c r="Y2390" s="6"/>
    </row>
    <row r="2391" spans="1:25" ht="15" customHeight="1" x14ac:dyDescent="0.2">
      <c r="A2391" s="88" t="s">
        <v>2631</v>
      </c>
      <c r="B2391" s="90"/>
      <c r="C2391" s="88" t="s">
        <v>2886</v>
      </c>
      <c r="D2391" s="90"/>
      <c r="E2391" s="106"/>
      <c r="F2391" s="107"/>
      <c r="G2391" s="107"/>
      <c r="H2391" s="107"/>
      <c r="I2391" s="108"/>
      <c r="J2391" s="88" t="s">
        <v>1499</v>
      </c>
      <c r="K2391" s="89"/>
      <c r="L2391" s="89"/>
      <c r="M2391" s="90"/>
      <c r="N2391" s="88" t="s">
        <v>701</v>
      </c>
      <c r="O2391" s="89"/>
      <c r="P2391" s="90"/>
      <c r="Q2391" s="133">
        <v>2996</v>
      </c>
      <c r="R2391" s="134"/>
      <c r="S2391" s="5" t="s">
        <v>2633</v>
      </c>
      <c r="T2391" s="6"/>
      <c r="U2391" s="8">
        <v>7</v>
      </c>
      <c r="V2391" s="5" t="s">
        <v>702</v>
      </c>
      <c r="W2391" s="12">
        <v>19367085</v>
      </c>
      <c r="X2391" s="6"/>
      <c r="Y2391" s="6"/>
    </row>
    <row r="2392" spans="1:25" ht="15" customHeight="1" x14ac:dyDescent="0.2">
      <c r="A2392" s="88" t="s">
        <v>2631</v>
      </c>
      <c r="B2392" s="90"/>
      <c r="C2392" s="88" t="s">
        <v>2887</v>
      </c>
      <c r="D2392" s="90"/>
      <c r="E2392" s="106"/>
      <c r="F2392" s="107"/>
      <c r="G2392" s="107"/>
      <c r="H2392" s="107"/>
      <c r="I2392" s="108"/>
      <c r="J2392" s="88" t="s">
        <v>1499</v>
      </c>
      <c r="K2392" s="89"/>
      <c r="L2392" s="89"/>
      <c r="M2392" s="90"/>
      <c r="N2392" s="88" t="s">
        <v>701</v>
      </c>
      <c r="O2392" s="89"/>
      <c r="P2392" s="90"/>
      <c r="Q2392" s="133">
        <v>2996</v>
      </c>
      <c r="R2392" s="134"/>
      <c r="S2392" s="5" t="s">
        <v>2633</v>
      </c>
      <c r="T2392" s="6"/>
      <c r="U2392" s="8">
        <v>7</v>
      </c>
      <c r="V2392" s="5" t="s">
        <v>702</v>
      </c>
      <c r="W2392" s="12">
        <v>18374112</v>
      </c>
      <c r="X2392" s="6"/>
      <c r="Y2392" s="6"/>
    </row>
    <row r="2393" spans="1:25" ht="15" customHeight="1" x14ac:dyDescent="0.2">
      <c r="A2393" s="88" t="s">
        <v>2631</v>
      </c>
      <c r="B2393" s="90"/>
      <c r="C2393" s="88" t="s">
        <v>2888</v>
      </c>
      <c r="D2393" s="89"/>
      <c r="E2393" s="89"/>
      <c r="F2393" s="89"/>
      <c r="G2393" s="89"/>
      <c r="H2393" s="89"/>
      <c r="I2393" s="90"/>
      <c r="J2393" s="88" t="s">
        <v>1499</v>
      </c>
      <c r="K2393" s="89"/>
      <c r="L2393" s="89"/>
      <c r="M2393" s="90"/>
      <c r="N2393" s="88" t="s">
        <v>701</v>
      </c>
      <c r="O2393" s="89"/>
      <c r="P2393" s="90"/>
      <c r="Q2393" s="133">
        <v>2996</v>
      </c>
      <c r="R2393" s="134"/>
      <c r="S2393" s="5" t="s">
        <v>2633</v>
      </c>
      <c r="T2393" s="6"/>
      <c r="U2393" s="8">
        <v>5</v>
      </c>
      <c r="V2393" s="5" t="s">
        <v>106</v>
      </c>
      <c r="W2393" s="12">
        <v>21690463</v>
      </c>
      <c r="X2393" s="6"/>
      <c r="Y2393" s="6"/>
    </row>
    <row r="2394" spans="1:25" ht="15" customHeight="1" x14ac:dyDescent="0.2">
      <c r="A2394" s="88" t="s">
        <v>2631</v>
      </c>
      <c r="B2394" s="90"/>
      <c r="C2394" s="88" t="s">
        <v>2889</v>
      </c>
      <c r="D2394" s="89"/>
      <c r="E2394" s="89"/>
      <c r="F2394" s="89"/>
      <c r="G2394" s="89"/>
      <c r="H2394" s="89"/>
      <c r="I2394" s="90"/>
      <c r="J2394" s="88" t="s">
        <v>1499</v>
      </c>
      <c r="K2394" s="89"/>
      <c r="L2394" s="89"/>
      <c r="M2394" s="90"/>
      <c r="N2394" s="88" t="s">
        <v>701</v>
      </c>
      <c r="O2394" s="89"/>
      <c r="P2394" s="90"/>
      <c r="Q2394" s="133">
        <v>2996</v>
      </c>
      <c r="R2394" s="134"/>
      <c r="S2394" s="5" t="s">
        <v>2633</v>
      </c>
      <c r="T2394" s="6"/>
      <c r="U2394" s="8">
        <v>7</v>
      </c>
      <c r="V2394" s="5" t="s">
        <v>702</v>
      </c>
      <c r="W2394" s="12">
        <v>23117133</v>
      </c>
      <c r="X2394" s="6"/>
      <c r="Y2394" s="6"/>
    </row>
    <row r="2395" spans="1:25" ht="15" customHeight="1" x14ac:dyDescent="0.2">
      <c r="A2395" s="88" t="s">
        <v>2631</v>
      </c>
      <c r="B2395" s="90"/>
      <c r="C2395" s="88" t="s">
        <v>2890</v>
      </c>
      <c r="D2395" s="90"/>
      <c r="E2395" s="106"/>
      <c r="F2395" s="107"/>
      <c r="G2395" s="107"/>
      <c r="H2395" s="107"/>
      <c r="I2395" s="108"/>
      <c r="J2395" s="88" t="s">
        <v>1499</v>
      </c>
      <c r="K2395" s="89"/>
      <c r="L2395" s="89"/>
      <c r="M2395" s="90"/>
      <c r="N2395" s="88" t="s">
        <v>701</v>
      </c>
      <c r="O2395" s="89"/>
      <c r="P2395" s="90"/>
      <c r="Q2395" s="133">
        <v>2996</v>
      </c>
      <c r="R2395" s="134"/>
      <c r="S2395" s="5" t="s">
        <v>2633</v>
      </c>
      <c r="T2395" s="6"/>
      <c r="U2395" s="8">
        <v>5</v>
      </c>
      <c r="V2395" s="5" t="s">
        <v>106</v>
      </c>
      <c r="W2395" s="12">
        <v>20935843</v>
      </c>
      <c r="X2395" s="6"/>
      <c r="Y2395" s="6"/>
    </row>
    <row r="2396" spans="1:25" ht="15" customHeight="1" x14ac:dyDescent="0.2">
      <c r="A2396" s="88" t="s">
        <v>2631</v>
      </c>
      <c r="B2396" s="90"/>
      <c r="C2396" s="88" t="s">
        <v>2891</v>
      </c>
      <c r="D2396" s="90"/>
      <c r="E2396" s="106"/>
      <c r="F2396" s="107"/>
      <c r="G2396" s="107"/>
      <c r="H2396" s="107"/>
      <c r="I2396" s="108"/>
      <c r="J2396" s="88" t="s">
        <v>1499</v>
      </c>
      <c r="K2396" s="89"/>
      <c r="L2396" s="89"/>
      <c r="M2396" s="90"/>
      <c r="N2396" s="88" t="s">
        <v>701</v>
      </c>
      <c r="O2396" s="89"/>
      <c r="P2396" s="90"/>
      <c r="Q2396" s="133">
        <v>2996</v>
      </c>
      <c r="R2396" s="134"/>
      <c r="S2396" s="5" t="s">
        <v>2633</v>
      </c>
      <c r="T2396" s="6"/>
      <c r="U2396" s="8">
        <v>7</v>
      </c>
      <c r="V2396" s="5" t="s">
        <v>106</v>
      </c>
      <c r="W2396" s="12">
        <v>21655518</v>
      </c>
      <c r="X2396" s="6"/>
      <c r="Y2396" s="6"/>
    </row>
    <row r="2397" spans="1:25" ht="15" customHeight="1" x14ac:dyDescent="0.2">
      <c r="A2397" s="88" t="s">
        <v>2631</v>
      </c>
      <c r="B2397" s="90"/>
      <c r="C2397" s="88" t="s">
        <v>2892</v>
      </c>
      <c r="D2397" s="90"/>
      <c r="E2397" s="106"/>
      <c r="F2397" s="107"/>
      <c r="G2397" s="107"/>
      <c r="H2397" s="107"/>
      <c r="I2397" s="108"/>
      <c r="J2397" s="88" t="s">
        <v>1499</v>
      </c>
      <c r="K2397" s="89"/>
      <c r="L2397" s="89"/>
      <c r="M2397" s="90"/>
      <c r="N2397" s="88" t="s">
        <v>701</v>
      </c>
      <c r="O2397" s="89"/>
      <c r="P2397" s="90"/>
      <c r="Q2397" s="133">
        <v>2996</v>
      </c>
      <c r="R2397" s="134"/>
      <c r="S2397" s="5" t="s">
        <v>2633</v>
      </c>
      <c r="T2397" s="6"/>
      <c r="U2397" s="8">
        <v>7</v>
      </c>
      <c r="V2397" s="5" t="s">
        <v>106</v>
      </c>
      <c r="W2397" s="12">
        <v>22992340</v>
      </c>
      <c r="X2397" s="6"/>
      <c r="Y2397" s="6"/>
    </row>
    <row r="2398" spans="1:25" ht="15" customHeight="1" x14ac:dyDescent="0.2">
      <c r="A2398" s="88" t="s">
        <v>2631</v>
      </c>
      <c r="B2398" s="90"/>
      <c r="C2398" s="88" t="s">
        <v>2893</v>
      </c>
      <c r="D2398" s="89"/>
      <c r="E2398" s="89"/>
      <c r="F2398" s="89"/>
      <c r="G2398" s="89"/>
      <c r="H2398" s="89"/>
      <c r="I2398" s="90"/>
      <c r="J2398" s="88" t="s">
        <v>1499</v>
      </c>
      <c r="K2398" s="89"/>
      <c r="L2398" s="89"/>
      <c r="M2398" s="90"/>
      <c r="N2398" s="88" t="s">
        <v>701</v>
      </c>
      <c r="O2398" s="89"/>
      <c r="P2398" s="90"/>
      <c r="Q2398" s="133">
        <v>2996</v>
      </c>
      <c r="R2398" s="134"/>
      <c r="S2398" s="5" t="s">
        <v>2633</v>
      </c>
      <c r="T2398" s="6"/>
      <c r="U2398" s="8">
        <v>5</v>
      </c>
      <c r="V2398" s="5" t="s">
        <v>702</v>
      </c>
      <c r="W2398" s="12">
        <v>20290370</v>
      </c>
      <c r="X2398" s="6"/>
      <c r="Y2398" s="6"/>
    </row>
    <row r="2399" spans="1:25" ht="15" customHeight="1" x14ac:dyDescent="0.2">
      <c r="A2399" s="88" t="s">
        <v>2631</v>
      </c>
      <c r="B2399" s="90"/>
      <c r="C2399" s="88" t="s">
        <v>2894</v>
      </c>
      <c r="D2399" s="89"/>
      <c r="E2399" s="89"/>
      <c r="F2399" s="89"/>
      <c r="G2399" s="89"/>
      <c r="H2399" s="89"/>
      <c r="I2399" s="90"/>
      <c r="J2399" s="88" t="s">
        <v>1499</v>
      </c>
      <c r="K2399" s="89"/>
      <c r="L2399" s="89"/>
      <c r="M2399" s="90"/>
      <c r="N2399" s="88" t="s">
        <v>701</v>
      </c>
      <c r="O2399" s="89"/>
      <c r="P2399" s="90"/>
      <c r="Q2399" s="133">
        <v>2996</v>
      </c>
      <c r="R2399" s="134"/>
      <c r="S2399" s="5" t="s">
        <v>2633</v>
      </c>
      <c r="T2399" s="6"/>
      <c r="U2399" s="8">
        <v>7</v>
      </c>
      <c r="V2399" s="5" t="s">
        <v>702</v>
      </c>
      <c r="W2399" s="12">
        <v>21223698</v>
      </c>
      <c r="X2399" s="6"/>
      <c r="Y2399" s="6"/>
    </row>
    <row r="2400" spans="1:25" ht="15" customHeight="1" x14ac:dyDescent="0.2">
      <c r="A2400" s="88" t="s">
        <v>2631</v>
      </c>
      <c r="B2400" s="90"/>
      <c r="C2400" s="88" t="s">
        <v>2895</v>
      </c>
      <c r="D2400" s="90"/>
      <c r="E2400" s="106"/>
      <c r="F2400" s="107"/>
      <c r="G2400" s="107"/>
      <c r="H2400" s="107"/>
      <c r="I2400" s="108"/>
      <c r="J2400" s="88" t="s">
        <v>1499</v>
      </c>
      <c r="K2400" s="89"/>
      <c r="L2400" s="89"/>
      <c r="M2400" s="90"/>
      <c r="N2400" s="88" t="s">
        <v>701</v>
      </c>
      <c r="O2400" s="89"/>
      <c r="P2400" s="90"/>
      <c r="Q2400" s="133">
        <v>2996</v>
      </c>
      <c r="R2400" s="134"/>
      <c r="S2400" s="5" t="s">
        <v>2633</v>
      </c>
      <c r="T2400" s="6"/>
      <c r="U2400" s="8">
        <v>7</v>
      </c>
      <c r="V2400" s="5" t="s">
        <v>702</v>
      </c>
      <c r="W2400" s="12">
        <v>19989709</v>
      </c>
      <c r="X2400" s="6"/>
      <c r="Y2400" s="6"/>
    </row>
    <row r="2401" spans="1:25" ht="15" customHeight="1" x14ac:dyDescent="0.2">
      <c r="A2401" s="88" t="s">
        <v>2631</v>
      </c>
      <c r="B2401" s="90"/>
      <c r="C2401" s="88" t="s">
        <v>2896</v>
      </c>
      <c r="D2401" s="89"/>
      <c r="E2401" s="89"/>
      <c r="F2401" s="89"/>
      <c r="G2401" s="89"/>
      <c r="H2401" s="89"/>
      <c r="I2401" s="90"/>
      <c r="J2401" s="88" t="s">
        <v>1499</v>
      </c>
      <c r="K2401" s="89"/>
      <c r="L2401" s="89"/>
      <c r="M2401" s="90"/>
      <c r="N2401" s="88" t="s">
        <v>701</v>
      </c>
      <c r="O2401" s="89"/>
      <c r="P2401" s="90"/>
      <c r="Q2401" s="133">
        <v>2996</v>
      </c>
      <c r="R2401" s="134"/>
      <c r="S2401" s="5" t="s">
        <v>2633</v>
      </c>
      <c r="T2401" s="6"/>
      <c r="U2401" s="8">
        <v>7</v>
      </c>
      <c r="V2401" s="5" t="s">
        <v>702</v>
      </c>
      <c r="W2401" s="12">
        <v>21955266</v>
      </c>
      <c r="X2401" s="6"/>
      <c r="Y2401" s="6"/>
    </row>
    <row r="2402" spans="1:25" ht="15" customHeight="1" x14ac:dyDescent="0.2">
      <c r="A2402" s="88" t="s">
        <v>2631</v>
      </c>
      <c r="B2402" s="90"/>
      <c r="C2402" s="88" t="s">
        <v>2897</v>
      </c>
      <c r="D2402" s="89"/>
      <c r="E2402" s="89"/>
      <c r="F2402" s="89"/>
      <c r="G2402" s="89"/>
      <c r="H2402" s="89"/>
      <c r="I2402" s="90"/>
      <c r="J2402" s="88" t="s">
        <v>1499</v>
      </c>
      <c r="K2402" s="89"/>
      <c r="L2402" s="89"/>
      <c r="M2402" s="90"/>
      <c r="N2402" s="88" t="s">
        <v>701</v>
      </c>
      <c r="O2402" s="89"/>
      <c r="P2402" s="90"/>
      <c r="Q2402" s="133">
        <v>2996</v>
      </c>
      <c r="R2402" s="134"/>
      <c r="S2402" s="5" t="s">
        <v>2633</v>
      </c>
      <c r="T2402" s="6"/>
      <c r="U2402" s="8">
        <v>7</v>
      </c>
      <c r="V2402" s="5" t="s">
        <v>702</v>
      </c>
      <c r="W2402" s="12">
        <v>20063657</v>
      </c>
      <c r="X2402" s="6"/>
      <c r="Y2402" s="6"/>
    </row>
    <row r="2403" spans="1:25" ht="15" customHeight="1" x14ac:dyDescent="0.2">
      <c r="A2403" s="88" t="s">
        <v>2631</v>
      </c>
      <c r="B2403" s="90"/>
      <c r="C2403" s="88" t="s">
        <v>2898</v>
      </c>
      <c r="D2403" s="89"/>
      <c r="E2403" s="89"/>
      <c r="F2403" s="89"/>
      <c r="G2403" s="89"/>
      <c r="H2403" s="89"/>
      <c r="I2403" s="90"/>
      <c r="J2403" s="88" t="s">
        <v>1499</v>
      </c>
      <c r="K2403" s="89"/>
      <c r="L2403" s="89"/>
      <c r="M2403" s="90"/>
      <c r="N2403" s="88" t="s">
        <v>701</v>
      </c>
      <c r="O2403" s="89"/>
      <c r="P2403" s="90"/>
      <c r="Q2403" s="133">
        <v>2996</v>
      </c>
      <c r="R2403" s="134"/>
      <c r="S2403" s="5" t="s">
        <v>2633</v>
      </c>
      <c r="T2403" s="6"/>
      <c r="U2403" s="8">
        <v>7</v>
      </c>
      <c r="V2403" s="5" t="s">
        <v>106</v>
      </c>
      <c r="W2403" s="12">
        <v>25107847</v>
      </c>
      <c r="X2403" s="6"/>
      <c r="Y2403" s="6"/>
    </row>
    <row r="2404" spans="1:25" ht="15" customHeight="1" x14ac:dyDescent="0.2">
      <c r="A2404" s="88" t="s">
        <v>2631</v>
      </c>
      <c r="B2404" s="90"/>
      <c r="C2404" s="88" t="s">
        <v>2899</v>
      </c>
      <c r="D2404" s="90"/>
      <c r="E2404" s="106"/>
      <c r="F2404" s="107"/>
      <c r="G2404" s="107"/>
      <c r="H2404" s="107"/>
      <c r="I2404" s="108"/>
      <c r="J2404" s="88" t="s">
        <v>1499</v>
      </c>
      <c r="K2404" s="89"/>
      <c r="L2404" s="89"/>
      <c r="M2404" s="90"/>
      <c r="N2404" s="88" t="s">
        <v>701</v>
      </c>
      <c r="O2404" s="89"/>
      <c r="P2404" s="90"/>
      <c r="Q2404" s="133">
        <v>2996</v>
      </c>
      <c r="R2404" s="134"/>
      <c r="S2404" s="5" t="s">
        <v>2633</v>
      </c>
      <c r="T2404" s="6"/>
      <c r="U2404" s="8">
        <v>7</v>
      </c>
      <c r="V2404" s="5" t="s">
        <v>106</v>
      </c>
      <c r="W2404" s="12">
        <v>23784872</v>
      </c>
      <c r="X2404" s="6"/>
      <c r="Y2404" s="6"/>
    </row>
    <row r="2405" spans="1:25" ht="15" customHeight="1" x14ac:dyDescent="0.2">
      <c r="A2405" s="88" t="s">
        <v>2631</v>
      </c>
      <c r="B2405" s="90"/>
      <c r="C2405" s="88" t="s">
        <v>2900</v>
      </c>
      <c r="D2405" s="89"/>
      <c r="E2405" s="89"/>
      <c r="F2405" s="89"/>
      <c r="G2405" s="89"/>
      <c r="H2405" s="89"/>
      <c r="I2405" s="90"/>
      <c r="J2405" s="88" t="s">
        <v>1499</v>
      </c>
      <c r="K2405" s="89"/>
      <c r="L2405" s="89"/>
      <c r="M2405" s="90"/>
      <c r="N2405" s="88" t="s">
        <v>701</v>
      </c>
      <c r="O2405" s="89"/>
      <c r="P2405" s="90"/>
      <c r="Q2405" s="133">
        <v>2996</v>
      </c>
      <c r="R2405" s="134"/>
      <c r="S2405" s="5" t="s">
        <v>2633</v>
      </c>
      <c r="T2405" s="6"/>
      <c r="U2405" s="8">
        <v>5</v>
      </c>
      <c r="V2405" s="5" t="s">
        <v>702</v>
      </c>
      <c r="W2405" s="12">
        <v>36095472</v>
      </c>
      <c r="X2405" s="6"/>
      <c r="Y2405" s="6"/>
    </row>
    <row r="2406" spans="1:25" ht="15" customHeight="1" x14ac:dyDescent="0.2">
      <c r="A2406" s="88" t="s">
        <v>2631</v>
      </c>
      <c r="B2406" s="90"/>
      <c r="C2406" s="88" t="s">
        <v>2901</v>
      </c>
      <c r="D2406" s="89"/>
      <c r="E2406" s="89"/>
      <c r="F2406" s="89"/>
      <c r="G2406" s="89"/>
      <c r="H2406" s="89"/>
      <c r="I2406" s="90"/>
      <c r="J2406" s="88" t="s">
        <v>1499</v>
      </c>
      <c r="K2406" s="89"/>
      <c r="L2406" s="89"/>
      <c r="M2406" s="90"/>
      <c r="N2406" s="88" t="s">
        <v>701</v>
      </c>
      <c r="O2406" s="89"/>
      <c r="P2406" s="90"/>
      <c r="Q2406" s="133">
        <v>2996</v>
      </c>
      <c r="R2406" s="134"/>
      <c r="S2406" s="5" t="s">
        <v>2633</v>
      </c>
      <c r="T2406" s="6"/>
      <c r="U2406" s="8">
        <v>4</v>
      </c>
      <c r="V2406" s="5" t="s">
        <v>106</v>
      </c>
      <c r="W2406" s="12">
        <v>46834245</v>
      </c>
      <c r="X2406" s="6"/>
      <c r="Y2406" s="6"/>
    </row>
    <row r="2407" spans="1:25" ht="15" customHeight="1" x14ac:dyDescent="0.2">
      <c r="A2407" s="88" t="s">
        <v>2631</v>
      </c>
      <c r="B2407" s="90"/>
      <c r="C2407" s="88" t="s">
        <v>2902</v>
      </c>
      <c r="D2407" s="90"/>
      <c r="E2407" s="106"/>
      <c r="F2407" s="107"/>
      <c r="G2407" s="107"/>
      <c r="H2407" s="107"/>
      <c r="I2407" s="108"/>
      <c r="J2407" s="88" t="s">
        <v>1499</v>
      </c>
      <c r="K2407" s="89"/>
      <c r="L2407" s="89"/>
      <c r="M2407" s="90"/>
      <c r="N2407" s="88" t="s">
        <v>701</v>
      </c>
      <c r="O2407" s="89"/>
      <c r="P2407" s="90"/>
      <c r="Q2407" s="133">
        <v>2996</v>
      </c>
      <c r="R2407" s="134"/>
      <c r="S2407" s="5" t="s">
        <v>2633</v>
      </c>
      <c r="T2407" s="6"/>
      <c r="U2407" s="8">
        <v>5</v>
      </c>
      <c r="V2407" s="5" t="s">
        <v>106</v>
      </c>
      <c r="W2407" s="12">
        <v>43550049</v>
      </c>
      <c r="X2407" s="6"/>
      <c r="Y2407" s="6"/>
    </row>
    <row r="2408" spans="1:25" ht="15" customHeight="1" x14ac:dyDescent="0.2">
      <c r="A2408" s="88" t="s">
        <v>2631</v>
      </c>
      <c r="B2408" s="90"/>
      <c r="C2408" s="88" t="s">
        <v>2903</v>
      </c>
      <c r="D2408" s="89"/>
      <c r="E2408" s="89"/>
      <c r="F2408" s="89"/>
      <c r="G2408" s="89"/>
      <c r="H2408" s="89"/>
      <c r="I2408" s="90"/>
      <c r="J2408" s="88" t="s">
        <v>1499</v>
      </c>
      <c r="K2408" s="89"/>
      <c r="L2408" s="89"/>
      <c r="M2408" s="90"/>
      <c r="N2408" s="88" t="s">
        <v>701</v>
      </c>
      <c r="O2408" s="89"/>
      <c r="P2408" s="90"/>
      <c r="Q2408" s="133">
        <v>2996</v>
      </c>
      <c r="R2408" s="134"/>
      <c r="S2408" s="5" t="s">
        <v>2633</v>
      </c>
      <c r="T2408" s="6"/>
      <c r="U2408" s="8">
        <v>5</v>
      </c>
      <c r="V2408" s="5" t="s">
        <v>106</v>
      </c>
      <c r="W2408" s="12">
        <v>50854270</v>
      </c>
      <c r="X2408" s="6"/>
      <c r="Y2408" s="6"/>
    </row>
    <row r="2409" spans="1:25" ht="15" customHeight="1" x14ac:dyDescent="0.2">
      <c r="A2409" s="88" t="s">
        <v>2631</v>
      </c>
      <c r="B2409" s="90"/>
      <c r="C2409" s="88" t="s">
        <v>2904</v>
      </c>
      <c r="D2409" s="90"/>
      <c r="E2409" s="106"/>
      <c r="F2409" s="107"/>
      <c r="G2409" s="107"/>
      <c r="H2409" s="107"/>
      <c r="I2409" s="108"/>
      <c r="J2409" s="88" t="s">
        <v>1499</v>
      </c>
      <c r="K2409" s="89"/>
      <c r="L2409" s="89"/>
      <c r="M2409" s="90"/>
      <c r="N2409" s="88" t="s">
        <v>701</v>
      </c>
      <c r="O2409" s="89"/>
      <c r="P2409" s="90"/>
      <c r="Q2409" s="133">
        <v>2996</v>
      </c>
      <c r="R2409" s="134"/>
      <c r="S2409" s="5" t="s">
        <v>2633</v>
      </c>
      <c r="T2409" s="6"/>
      <c r="U2409" s="8">
        <v>5</v>
      </c>
      <c r="V2409" s="5" t="s">
        <v>702</v>
      </c>
      <c r="W2409" s="12">
        <v>36465516</v>
      </c>
      <c r="X2409" s="6"/>
      <c r="Y2409" s="6"/>
    </row>
    <row r="2410" spans="1:25" ht="15" customHeight="1" x14ac:dyDescent="0.2">
      <c r="A2410" s="88" t="s">
        <v>2631</v>
      </c>
      <c r="B2410" s="90"/>
      <c r="C2410" s="88" t="s">
        <v>2905</v>
      </c>
      <c r="D2410" s="90"/>
      <c r="E2410" s="106"/>
      <c r="F2410" s="107"/>
      <c r="G2410" s="107"/>
      <c r="H2410" s="107"/>
      <c r="I2410" s="108"/>
      <c r="J2410" s="88" t="s">
        <v>1499</v>
      </c>
      <c r="K2410" s="89"/>
      <c r="L2410" s="89"/>
      <c r="M2410" s="90"/>
      <c r="N2410" s="88" t="s">
        <v>701</v>
      </c>
      <c r="O2410" s="89"/>
      <c r="P2410" s="90"/>
      <c r="Q2410" s="133">
        <v>2996</v>
      </c>
      <c r="R2410" s="134"/>
      <c r="S2410" s="5" t="s">
        <v>2633</v>
      </c>
      <c r="T2410" s="6"/>
      <c r="U2410" s="8">
        <v>5</v>
      </c>
      <c r="V2410" s="5" t="s">
        <v>702</v>
      </c>
      <c r="W2410" s="12">
        <v>34606164</v>
      </c>
      <c r="X2410" s="6"/>
      <c r="Y2410" s="6"/>
    </row>
    <row r="2411" spans="1:25" ht="15" customHeight="1" x14ac:dyDescent="0.2">
      <c r="A2411" s="88" t="s">
        <v>2631</v>
      </c>
      <c r="B2411" s="90"/>
      <c r="C2411" s="88" t="s">
        <v>2906</v>
      </c>
      <c r="D2411" s="89"/>
      <c r="E2411" s="89"/>
      <c r="F2411" s="89"/>
      <c r="G2411" s="89"/>
      <c r="H2411" s="89"/>
      <c r="I2411" s="90"/>
      <c r="J2411" s="88" t="s">
        <v>1499</v>
      </c>
      <c r="K2411" s="89"/>
      <c r="L2411" s="89"/>
      <c r="M2411" s="90"/>
      <c r="N2411" s="88" t="s">
        <v>701</v>
      </c>
      <c r="O2411" s="89"/>
      <c r="P2411" s="90"/>
      <c r="Q2411" s="133">
        <v>2996</v>
      </c>
      <c r="R2411" s="134"/>
      <c r="S2411" s="5" t="s">
        <v>2633</v>
      </c>
      <c r="T2411" s="6"/>
      <c r="U2411" s="8">
        <v>4</v>
      </c>
      <c r="V2411" s="5" t="s">
        <v>702</v>
      </c>
      <c r="W2411" s="12">
        <v>42895953</v>
      </c>
      <c r="X2411" s="6"/>
      <c r="Y2411" s="6"/>
    </row>
    <row r="2412" spans="1:25" ht="15" customHeight="1" x14ac:dyDescent="0.2">
      <c r="A2412" s="88" t="s">
        <v>2631</v>
      </c>
      <c r="B2412" s="90"/>
      <c r="C2412" s="88" t="s">
        <v>2907</v>
      </c>
      <c r="D2412" s="90"/>
      <c r="E2412" s="106"/>
      <c r="F2412" s="107"/>
      <c r="G2412" s="107"/>
      <c r="H2412" s="107"/>
      <c r="I2412" s="108"/>
      <c r="J2412" s="88" t="s">
        <v>1499</v>
      </c>
      <c r="K2412" s="89"/>
      <c r="L2412" s="89"/>
      <c r="M2412" s="90"/>
      <c r="N2412" s="88" t="s">
        <v>701</v>
      </c>
      <c r="O2412" s="89"/>
      <c r="P2412" s="90"/>
      <c r="Q2412" s="133">
        <v>2996</v>
      </c>
      <c r="R2412" s="134"/>
      <c r="S2412" s="5" t="s">
        <v>2633</v>
      </c>
      <c r="T2412" s="6"/>
      <c r="U2412" s="8">
        <v>5</v>
      </c>
      <c r="V2412" s="5" t="s">
        <v>106</v>
      </c>
      <c r="W2412" s="12">
        <v>40417502</v>
      </c>
      <c r="X2412" s="6"/>
      <c r="Y2412" s="6"/>
    </row>
    <row r="2413" spans="1:25" ht="15" customHeight="1" x14ac:dyDescent="0.2">
      <c r="A2413" s="88" t="s">
        <v>2631</v>
      </c>
      <c r="B2413" s="90"/>
      <c r="C2413" s="88" t="s">
        <v>2908</v>
      </c>
      <c r="D2413" s="89"/>
      <c r="E2413" s="89"/>
      <c r="F2413" s="89"/>
      <c r="G2413" s="89"/>
      <c r="H2413" s="89"/>
      <c r="I2413" s="90"/>
      <c r="J2413" s="88" t="s">
        <v>1499</v>
      </c>
      <c r="K2413" s="89"/>
      <c r="L2413" s="89"/>
      <c r="M2413" s="90"/>
      <c r="N2413" s="88" t="s">
        <v>701</v>
      </c>
      <c r="O2413" s="89"/>
      <c r="P2413" s="90"/>
      <c r="Q2413" s="133">
        <v>2996</v>
      </c>
      <c r="R2413" s="134"/>
      <c r="S2413" s="5" t="s">
        <v>2633</v>
      </c>
      <c r="T2413" s="6"/>
      <c r="U2413" s="8">
        <v>5</v>
      </c>
      <c r="V2413" s="5" t="s">
        <v>106</v>
      </c>
      <c r="W2413" s="12">
        <v>49321623</v>
      </c>
      <c r="X2413" s="6"/>
      <c r="Y2413" s="6"/>
    </row>
    <row r="2414" spans="1:25" ht="15" customHeight="1" x14ac:dyDescent="0.2">
      <c r="A2414" s="88" t="s">
        <v>2631</v>
      </c>
      <c r="B2414" s="90"/>
      <c r="C2414" s="88" t="s">
        <v>2909</v>
      </c>
      <c r="D2414" s="89"/>
      <c r="E2414" s="89"/>
      <c r="F2414" s="89"/>
      <c r="G2414" s="89"/>
      <c r="H2414" s="89"/>
      <c r="I2414" s="90"/>
      <c r="J2414" s="88" t="s">
        <v>1499</v>
      </c>
      <c r="K2414" s="89"/>
      <c r="L2414" s="89"/>
      <c r="M2414" s="90"/>
      <c r="N2414" s="88" t="s">
        <v>701</v>
      </c>
      <c r="O2414" s="89"/>
      <c r="P2414" s="90"/>
      <c r="Q2414" s="133">
        <v>2996</v>
      </c>
      <c r="R2414" s="134"/>
      <c r="S2414" s="5" t="s">
        <v>2633</v>
      </c>
      <c r="T2414" s="6"/>
      <c r="U2414" s="8">
        <v>5</v>
      </c>
      <c r="V2414" s="5" t="s">
        <v>106</v>
      </c>
      <c r="W2414" s="12">
        <v>41340914</v>
      </c>
      <c r="X2414" s="6"/>
      <c r="Y2414" s="6"/>
    </row>
    <row r="2415" spans="1:25" ht="15" customHeight="1" x14ac:dyDescent="0.2">
      <c r="A2415" s="88" t="s">
        <v>2631</v>
      </c>
      <c r="B2415" s="90"/>
      <c r="C2415" s="88" t="s">
        <v>2910</v>
      </c>
      <c r="D2415" s="89"/>
      <c r="E2415" s="89"/>
      <c r="F2415" s="89"/>
      <c r="G2415" s="89"/>
      <c r="H2415" s="89"/>
      <c r="I2415" s="90"/>
      <c r="J2415" s="88" t="s">
        <v>1499</v>
      </c>
      <c r="K2415" s="89"/>
      <c r="L2415" s="89"/>
      <c r="M2415" s="90"/>
      <c r="N2415" s="88" t="s">
        <v>701</v>
      </c>
      <c r="O2415" s="89"/>
      <c r="P2415" s="90"/>
      <c r="Q2415" s="133">
        <v>2996</v>
      </c>
      <c r="R2415" s="134"/>
      <c r="S2415" s="5" t="s">
        <v>2633</v>
      </c>
      <c r="T2415" s="6"/>
      <c r="U2415" s="8">
        <v>7</v>
      </c>
      <c r="V2415" s="5" t="s">
        <v>106</v>
      </c>
      <c r="W2415" s="12">
        <v>41782675</v>
      </c>
      <c r="X2415" s="6"/>
      <c r="Y2415" s="6"/>
    </row>
    <row r="2416" spans="1:25" ht="15" customHeight="1" x14ac:dyDescent="0.2">
      <c r="A2416" s="88" t="s">
        <v>2631</v>
      </c>
      <c r="B2416" s="90"/>
      <c r="C2416" s="88" t="s">
        <v>2911</v>
      </c>
      <c r="D2416" s="89"/>
      <c r="E2416" s="89"/>
      <c r="F2416" s="89"/>
      <c r="G2416" s="89"/>
      <c r="H2416" s="89"/>
      <c r="I2416" s="90"/>
      <c r="J2416" s="88" t="s">
        <v>1499</v>
      </c>
      <c r="K2416" s="89"/>
      <c r="L2416" s="89"/>
      <c r="M2416" s="90"/>
      <c r="N2416" s="88" t="s">
        <v>701</v>
      </c>
      <c r="O2416" s="89"/>
      <c r="P2416" s="90"/>
      <c r="Q2416" s="133">
        <v>2996</v>
      </c>
      <c r="R2416" s="134"/>
      <c r="S2416" s="5" t="s">
        <v>2633</v>
      </c>
      <c r="T2416" s="6"/>
      <c r="U2416" s="8">
        <v>7</v>
      </c>
      <c r="V2416" s="5" t="s">
        <v>702</v>
      </c>
      <c r="W2416" s="12">
        <v>37894874</v>
      </c>
      <c r="X2416" s="6"/>
      <c r="Y2416" s="6"/>
    </row>
    <row r="2417" spans="1:25" ht="15" customHeight="1" x14ac:dyDescent="0.2">
      <c r="A2417" s="88" t="s">
        <v>2631</v>
      </c>
      <c r="B2417" s="90"/>
      <c r="C2417" s="88" t="s">
        <v>2912</v>
      </c>
      <c r="D2417" s="89"/>
      <c r="E2417" s="89"/>
      <c r="F2417" s="89"/>
      <c r="G2417" s="89"/>
      <c r="H2417" s="89"/>
      <c r="I2417" s="90"/>
      <c r="J2417" s="88" t="s">
        <v>1499</v>
      </c>
      <c r="K2417" s="89"/>
      <c r="L2417" s="89"/>
      <c r="M2417" s="90"/>
      <c r="N2417" s="88" t="s">
        <v>701</v>
      </c>
      <c r="O2417" s="89"/>
      <c r="P2417" s="90"/>
      <c r="Q2417" s="133">
        <v>2996</v>
      </c>
      <c r="R2417" s="134"/>
      <c r="S2417" s="5" t="s">
        <v>2633</v>
      </c>
      <c r="T2417" s="6"/>
      <c r="U2417" s="8">
        <v>5</v>
      </c>
      <c r="V2417" s="5" t="s">
        <v>702</v>
      </c>
      <c r="W2417" s="12">
        <v>45188343</v>
      </c>
      <c r="X2417" s="6"/>
      <c r="Y2417" s="6"/>
    </row>
    <row r="2418" spans="1:25" ht="15" customHeight="1" x14ac:dyDescent="0.2">
      <c r="A2418" s="88" t="s">
        <v>2631</v>
      </c>
      <c r="B2418" s="90"/>
      <c r="C2418" s="88" t="s">
        <v>2913</v>
      </c>
      <c r="D2418" s="89"/>
      <c r="E2418" s="89"/>
      <c r="F2418" s="89"/>
      <c r="G2418" s="89"/>
      <c r="H2418" s="89"/>
      <c r="I2418" s="90"/>
      <c r="J2418" s="88" t="s">
        <v>1499</v>
      </c>
      <c r="K2418" s="89"/>
      <c r="L2418" s="89"/>
      <c r="M2418" s="90"/>
      <c r="N2418" s="88" t="s">
        <v>701</v>
      </c>
      <c r="O2418" s="89"/>
      <c r="P2418" s="90"/>
      <c r="Q2418" s="133">
        <v>2996</v>
      </c>
      <c r="R2418" s="134"/>
      <c r="S2418" s="5" t="s">
        <v>2633</v>
      </c>
      <c r="T2418" s="6"/>
      <c r="U2418" s="8">
        <v>4</v>
      </c>
      <c r="V2418" s="5" t="s">
        <v>702</v>
      </c>
      <c r="W2418" s="12">
        <v>42558470</v>
      </c>
      <c r="X2418" s="6"/>
      <c r="Y2418" s="6"/>
    </row>
    <row r="2419" spans="1:25" ht="15" customHeight="1" x14ac:dyDescent="0.2">
      <c r="A2419" s="88" t="s">
        <v>2631</v>
      </c>
      <c r="B2419" s="90"/>
      <c r="C2419" s="88" t="s">
        <v>2914</v>
      </c>
      <c r="D2419" s="89"/>
      <c r="E2419" s="89"/>
      <c r="F2419" s="89"/>
      <c r="G2419" s="89"/>
      <c r="H2419" s="89"/>
      <c r="I2419" s="90"/>
      <c r="J2419" s="88" t="s">
        <v>1499</v>
      </c>
      <c r="K2419" s="89"/>
      <c r="L2419" s="89"/>
      <c r="M2419" s="90"/>
      <c r="N2419" s="88" t="s">
        <v>701</v>
      </c>
      <c r="O2419" s="89"/>
      <c r="P2419" s="90"/>
      <c r="Q2419" s="133">
        <v>2996</v>
      </c>
      <c r="R2419" s="134"/>
      <c r="S2419" s="5" t="s">
        <v>2633</v>
      </c>
      <c r="T2419" s="6"/>
      <c r="U2419" s="8">
        <v>5</v>
      </c>
      <c r="V2419" s="5" t="s">
        <v>106</v>
      </c>
      <c r="W2419" s="12">
        <v>37369681</v>
      </c>
      <c r="X2419" s="6"/>
      <c r="Y2419" s="6"/>
    </row>
    <row r="2420" spans="1:25" ht="15" customHeight="1" x14ac:dyDescent="0.2">
      <c r="A2420" s="88" t="s">
        <v>2631</v>
      </c>
      <c r="B2420" s="90"/>
      <c r="C2420" s="88" t="s">
        <v>2915</v>
      </c>
      <c r="D2420" s="89"/>
      <c r="E2420" s="89"/>
      <c r="F2420" s="89"/>
      <c r="G2420" s="89"/>
      <c r="H2420" s="89"/>
      <c r="I2420" s="90"/>
      <c r="J2420" s="88" t="s">
        <v>1499</v>
      </c>
      <c r="K2420" s="89"/>
      <c r="L2420" s="89"/>
      <c r="M2420" s="90"/>
      <c r="N2420" s="88" t="s">
        <v>701</v>
      </c>
      <c r="O2420" s="89"/>
      <c r="P2420" s="90"/>
      <c r="Q2420" s="133">
        <v>2996</v>
      </c>
      <c r="R2420" s="134"/>
      <c r="S2420" s="5" t="s">
        <v>2633</v>
      </c>
      <c r="T2420" s="6"/>
      <c r="U2420" s="8">
        <v>5</v>
      </c>
      <c r="V2420" s="5" t="s">
        <v>106</v>
      </c>
      <c r="W2420" s="12">
        <v>31930417</v>
      </c>
      <c r="X2420" s="6"/>
      <c r="Y2420" s="6"/>
    </row>
    <row r="2421" spans="1:25" ht="15" customHeight="1" x14ac:dyDescent="0.2">
      <c r="A2421" s="88" t="s">
        <v>2631</v>
      </c>
      <c r="B2421" s="90"/>
      <c r="C2421" s="88" t="s">
        <v>2916</v>
      </c>
      <c r="D2421" s="89"/>
      <c r="E2421" s="89"/>
      <c r="F2421" s="89"/>
      <c r="G2421" s="89"/>
      <c r="H2421" s="89"/>
      <c r="I2421" s="90"/>
      <c r="J2421" s="88" t="s">
        <v>1499</v>
      </c>
      <c r="K2421" s="89"/>
      <c r="L2421" s="89"/>
      <c r="M2421" s="90"/>
      <c r="N2421" s="88" t="s">
        <v>701</v>
      </c>
      <c r="O2421" s="89"/>
      <c r="P2421" s="90"/>
      <c r="Q2421" s="133">
        <v>2996</v>
      </c>
      <c r="R2421" s="134"/>
      <c r="S2421" s="5" t="s">
        <v>2633</v>
      </c>
      <c r="T2421" s="6"/>
      <c r="U2421" s="8">
        <v>5</v>
      </c>
      <c r="V2421" s="5" t="s">
        <v>106</v>
      </c>
      <c r="W2421" s="12">
        <v>37725397</v>
      </c>
      <c r="X2421" s="6"/>
      <c r="Y2421" s="6"/>
    </row>
    <row r="2422" spans="1:25" ht="15" customHeight="1" x14ac:dyDescent="0.2">
      <c r="A2422" s="88" t="s">
        <v>2631</v>
      </c>
      <c r="B2422" s="90"/>
      <c r="C2422" s="88" t="s">
        <v>2917</v>
      </c>
      <c r="D2422" s="89"/>
      <c r="E2422" s="89"/>
      <c r="F2422" s="89"/>
      <c r="G2422" s="89"/>
      <c r="H2422" s="89"/>
      <c r="I2422" s="90"/>
      <c r="J2422" s="88" t="s">
        <v>1499</v>
      </c>
      <c r="K2422" s="89"/>
      <c r="L2422" s="89"/>
      <c r="M2422" s="90"/>
      <c r="N2422" s="88" t="s">
        <v>701</v>
      </c>
      <c r="O2422" s="89"/>
      <c r="P2422" s="90"/>
      <c r="Q2422" s="133">
        <v>2996</v>
      </c>
      <c r="R2422" s="134"/>
      <c r="S2422" s="5" t="s">
        <v>2633</v>
      </c>
      <c r="T2422" s="6"/>
      <c r="U2422" s="8">
        <v>5</v>
      </c>
      <c r="V2422" s="5" t="s">
        <v>702</v>
      </c>
      <c r="W2422" s="12">
        <v>25085764</v>
      </c>
      <c r="X2422" s="6"/>
      <c r="Y2422" s="6"/>
    </row>
    <row r="2423" spans="1:25" ht="15" customHeight="1" x14ac:dyDescent="0.2">
      <c r="A2423" s="88" t="s">
        <v>2631</v>
      </c>
      <c r="B2423" s="90"/>
      <c r="C2423" s="88" t="s">
        <v>2918</v>
      </c>
      <c r="D2423" s="89"/>
      <c r="E2423" s="89"/>
      <c r="F2423" s="89"/>
      <c r="G2423" s="89"/>
      <c r="H2423" s="89"/>
      <c r="I2423" s="90"/>
      <c r="J2423" s="88" t="s">
        <v>1499</v>
      </c>
      <c r="K2423" s="89"/>
      <c r="L2423" s="89"/>
      <c r="M2423" s="90"/>
      <c r="N2423" s="88" t="s">
        <v>701</v>
      </c>
      <c r="O2423" s="89"/>
      <c r="P2423" s="90"/>
      <c r="Q2423" s="133">
        <v>2996</v>
      </c>
      <c r="R2423" s="134"/>
      <c r="S2423" s="5" t="s">
        <v>2633</v>
      </c>
      <c r="T2423" s="6"/>
      <c r="U2423" s="8">
        <v>5</v>
      </c>
      <c r="V2423" s="5" t="s">
        <v>702</v>
      </c>
      <c r="W2423" s="12">
        <v>32101973</v>
      </c>
      <c r="X2423" s="6"/>
      <c r="Y2423" s="6"/>
    </row>
    <row r="2424" spans="1:25" ht="15" customHeight="1" x14ac:dyDescent="0.2">
      <c r="A2424" s="88" t="s">
        <v>2631</v>
      </c>
      <c r="B2424" s="90"/>
      <c r="C2424" s="88" t="s">
        <v>2919</v>
      </c>
      <c r="D2424" s="90"/>
      <c r="E2424" s="106"/>
      <c r="F2424" s="107"/>
      <c r="G2424" s="107"/>
      <c r="H2424" s="107"/>
      <c r="I2424" s="108"/>
      <c r="J2424" s="88" t="s">
        <v>1499</v>
      </c>
      <c r="K2424" s="89"/>
      <c r="L2424" s="89"/>
      <c r="M2424" s="90"/>
      <c r="N2424" s="88" t="s">
        <v>701</v>
      </c>
      <c r="O2424" s="89"/>
      <c r="P2424" s="90"/>
      <c r="Q2424" s="133">
        <v>2996</v>
      </c>
      <c r="R2424" s="134"/>
      <c r="S2424" s="5" t="s">
        <v>2633</v>
      </c>
      <c r="T2424" s="6"/>
      <c r="U2424" s="8">
        <v>5</v>
      </c>
      <c r="V2424" s="5" t="s">
        <v>106</v>
      </c>
      <c r="W2424" s="12">
        <v>22558428</v>
      </c>
      <c r="X2424" s="6"/>
      <c r="Y2424" s="6"/>
    </row>
    <row r="2425" spans="1:25" ht="15" customHeight="1" x14ac:dyDescent="0.2">
      <c r="A2425" s="88" t="s">
        <v>2631</v>
      </c>
      <c r="B2425" s="90"/>
      <c r="C2425" s="88" t="s">
        <v>2920</v>
      </c>
      <c r="D2425" s="90"/>
      <c r="E2425" s="106"/>
      <c r="F2425" s="107"/>
      <c r="G2425" s="107"/>
      <c r="H2425" s="107"/>
      <c r="I2425" s="108"/>
      <c r="J2425" s="88" t="s">
        <v>1499</v>
      </c>
      <c r="K2425" s="89"/>
      <c r="L2425" s="89"/>
      <c r="M2425" s="90"/>
      <c r="N2425" s="88" t="s">
        <v>701</v>
      </c>
      <c r="O2425" s="89"/>
      <c r="P2425" s="90"/>
      <c r="Q2425" s="133">
        <v>2996</v>
      </c>
      <c r="R2425" s="134"/>
      <c r="S2425" s="5" t="s">
        <v>2633</v>
      </c>
      <c r="T2425" s="6"/>
      <c r="U2425" s="8">
        <v>5</v>
      </c>
      <c r="V2425" s="5" t="s">
        <v>106</v>
      </c>
      <c r="W2425" s="12">
        <v>23267900</v>
      </c>
      <c r="X2425" s="6"/>
      <c r="Y2425" s="6"/>
    </row>
    <row r="2426" spans="1:25" ht="15" customHeight="1" x14ac:dyDescent="0.2">
      <c r="A2426" s="88" t="s">
        <v>2631</v>
      </c>
      <c r="B2426" s="90"/>
      <c r="C2426" s="88" t="s">
        <v>2921</v>
      </c>
      <c r="D2426" s="90"/>
      <c r="E2426" s="106"/>
      <c r="F2426" s="107"/>
      <c r="G2426" s="107"/>
      <c r="H2426" s="107"/>
      <c r="I2426" s="108"/>
      <c r="J2426" s="88" t="s">
        <v>1499</v>
      </c>
      <c r="K2426" s="89"/>
      <c r="L2426" s="89"/>
      <c r="M2426" s="90"/>
      <c r="N2426" s="88" t="s">
        <v>701</v>
      </c>
      <c r="O2426" s="89"/>
      <c r="P2426" s="90"/>
      <c r="Q2426" s="133">
        <v>2996</v>
      </c>
      <c r="R2426" s="134"/>
      <c r="S2426" s="5" t="s">
        <v>2633</v>
      </c>
      <c r="T2426" s="6"/>
      <c r="U2426" s="8">
        <v>5</v>
      </c>
      <c r="V2426" s="5" t="s">
        <v>106</v>
      </c>
      <c r="W2426" s="12">
        <v>23063173</v>
      </c>
      <c r="X2426" s="6"/>
      <c r="Y2426" s="6"/>
    </row>
    <row r="2427" spans="1:25" ht="15" customHeight="1" x14ac:dyDescent="0.2">
      <c r="A2427" s="88" t="s">
        <v>2631</v>
      </c>
      <c r="B2427" s="90"/>
      <c r="C2427" s="88" t="s">
        <v>2922</v>
      </c>
      <c r="D2427" s="90"/>
      <c r="E2427" s="106"/>
      <c r="F2427" s="107"/>
      <c r="G2427" s="107"/>
      <c r="H2427" s="107"/>
      <c r="I2427" s="108"/>
      <c r="J2427" s="88" t="s">
        <v>1499</v>
      </c>
      <c r="K2427" s="89"/>
      <c r="L2427" s="89"/>
      <c r="M2427" s="90"/>
      <c r="N2427" s="88" t="s">
        <v>701</v>
      </c>
      <c r="O2427" s="89"/>
      <c r="P2427" s="90"/>
      <c r="Q2427" s="133">
        <v>2996</v>
      </c>
      <c r="R2427" s="134"/>
      <c r="S2427" s="5" t="s">
        <v>2633</v>
      </c>
      <c r="T2427" s="6"/>
      <c r="U2427" s="8">
        <v>5</v>
      </c>
      <c r="V2427" s="5" t="s">
        <v>106</v>
      </c>
      <c r="W2427" s="12">
        <v>23364477</v>
      </c>
      <c r="X2427" s="6"/>
      <c r="Y2427" s="6"/>
    </row>
    <row r="2428" spans="1:25" ht="15" customHeight="1" x14ac:dyDescent="0.2">
      <c r="A2428" s="88" t="s">
        <v>2631</v>
      </c>
      <c r="B2428" s="90"/>
      <c r="C2428" s="88" t="s">
        <v>2923</v>
      </c>
      <c r="D2428" s="90"/>
      <c r="E2428" s="106"/>
      <c r="F2428" s="107"/>
      <c r="G2428" s="107"/>
      <c r="H2428" s="107"/>
      <c r="I2428" s="108"/>
      <c r="J2428" s="88" t="s">
        <v>1499</v>
      </c>
      <c r="K2428" s="89"/>
      <c r="L2428" s="89"/>
      <c r="M2428" s="90"/>
      <c r="N2428" s="88" t="s">
        <v>701</v>
      </c>
      <c r="O2428" s="89"/>
      <c r="P2428" s="90"/>
      <c r="Q2428" s="133">
        <v>2996</v>
      </c>
      <c r="R2428" s="134"/>
      <c r="S2428" s="5" t="s">
        <v>2633</v>
      </c>
      <c r="T2428" s="6"/>
      <c r="U2428" s="8">
        <v>5</v>
      </c>
      <c r="V2428" s="5" t="s">
        <v>702</v>
      </c>
      <c r="W2428" s="12">
        <v>24127583</v>
      </c>
      <c r="X2428" s="6"/>
      <c r="Y2428" s="6"/>
    </row>
    <row r="2429" spans="1:25" ht="15" customHeight="1" x14ac:dyDescent="0.2">
      <c r="A2429" s="88" t="s">
        <v>2631</v>
      </c>
      <c r="B2429" s="90"/>
      <c r="C2429" s="88" t="s">
        <v>2924</v>
      </c>
      <c r="D2429" s="90"/>
      <c r="E2429" s="106"/>
      <c r="F2429" s="107"/>
      <c r="G2429" s="107"/>
      <c r="H2429" s="107"/>
      <c r="I2429" s="108"/>
      <c r="J2429" s="88" t="s">
        <v>1499</v>
      </c>
      <c r="K2429" s="89"/>
      <c r="L2429" s="89"/>
      <c r="M2429" s="90"/>
      <c r="N2429" s="88" t="s">
        <v>701</v>
      </c>
      <c r="O2429" s="89"/>
      <c r="P2429" s="90"/>
      <c r="Q2429" s="133">
        <v>2996</v>
      </c>
      <c r="R2429" s="134"/>
      <c r="S2429" s="5" t="s">
        <v>2633</v>
      </c>
      <c r="T2429" s="6"/>
      <c r="U2429" s="8">
        <v>5</v>
      </c>
      <c r="V2429" s="5" t="s">
        <v>702</v>
      </c>
      <c r="W2429" s="12">
        <v>20282312</v>
      </c>
      <c r="X2429" s="6"/>
      <c r="Y2429" s="6"/>
    </row>
    <row r="2430" spans="1:25" ht="15" customHeight="1" x14ac:dyDescent="0.2">
      <c r="A2430" s="88" t="s">
        <v>2631</v>
      </c>
      <c r="B2430" s="90"/>
      <c r="C2430" s="88" t="s">
        <v>2925</v>
      </c>
      <c r="D2430" s="90"/>
      <c r="E2430" s="106"/>
      <c r="F2430" s="107"/>
      <c r="G2430" s="107"/>
      <c r="H2430" s="107"/>
      <c r="I2430" s="108"/>
      <c r="J2430" s="88" t="s">
        <v>1499</v>
      </c>
      <c r="K2430" s="89"/>
      <c r="L2430" s="89"/>
      <c r="M2430" s="90"/>
      <c r="N2430" s="88" t="s">
        <v>701</v>
      </c>
      <c r="O2430" s="89"/>
      <c r="P2430" s="90"/>
      <c r="Q2430" s="133">
        <v>2996</v>
      </c>
      <c r="R2430" s="134"/>
      <c r="S2430" s="5" t="s">
        <v>2633</v>
      </c>
      <c r="T2430" s="6"/>
      <c r="U2430" s="8">
        <v>5</v>
      </c>
      <c r="V2430" s="5" t="s">
        <v>702</v>
      </c>
      <c r="W2430" s="12">
        <v>28140920</v>
      </c>
      <c r="X2430" s="6"/>
      <c r="Y2430" s="6"/>
    </row>
    <row r="2431" spans="1:25" ht="15" customHeight="1" x14ac:dyDescent="0.2">
      <c r="A2431" s="88" t="s">
        <v>2631</v>
      </c>
      <c r="B2431" s="90"/>
      <c r="C2431" s="88" t="s">
        <v>2926</v>
      </c>
      <c r="D2431" s="89"/>
      <c r="E2431" s="89"/>
      <c r="F2431" s="89"/>
      <c r="G2431" s="89"/>
      <c r="H2431" s="89"/>
      <c r="I2431" s="90"/>
      <c r="J2431" s="88" t="s">
        <v>1499</v>
      </c>
      <c r="K2431" s="89"/>
      <c r="L2431" s="89"/>
      <c r="M2431" s="90"/>
      <c r="N2431" s="88" t="s">
        <v>701</v>
      </c>
      <c r="O2431" s="89"/>
      <c r="P2431" s="90"/>
      <c r="Q2431" s="133">
        <v>2996</v>
      </c>
      <c r="R2431" s="134"/>
      <c r="S2431" s="5" t="s">
        <v>2633</v>
      </c>
      <c r="T2431" s="6"/>
      <c r="U2431" s="8">
        <v>5</v>
      </c>
      <c r="V2431" s="5" t="s">
        <v>106</v>
      </c>
      <c r="W2431" s="12">
        <v>35954727</v>
      </c>
      <c r="X2431" s="6"/>
      <c r="Y2431" s="6"/>
    </row>
    <row r="2432" spans="1:25" ht="15" customHeight="1" x14ac:dyDescent="0.2">
      <c r="A2432" s="88" t="s">
        <v>2631</v>
      </c>
      <c r="B2432" s="90"/>
      <c r="C2432" s="88" t="s">
        <v>2927</v>
      </c>
      <c r="D2432" s="89"/>
      <c r="E2432" s="89"/>
      <c r="F2432" s="89"/>
      <c r="G2432" s="89"/>
      <c r="H2432" s="89"/>
      <c r="I2432" s="90"/>
      <c r="J2432" s="88" t="s">
        <v>1499</v>
      </c>
      <c r="K2432" s="89"/>
      <c r="L2432" s="89"/>
      <c r="M2432" s="90"/>
      <c r="N2432" s="88" t="s">
        <v>701</v>
      </c>
      <c r="O2432" s="89"/>
      <c r="P2432" s="90"/>
      <c r="Q2432" s="133">
        <v>2996</v>
      </c>
      <c r="R2432" s="134"/>
      <c r="S2432" s="5" t="s">
        <v>2633</v>
      </c>
      <c r="T2432" s="6"/>
      <c r="U2432" s="8">
        <v>5</v>
      </c>
      <c r="V2432" s="5" t="s">
        <v>106</v>
      </c>
      <c r="W2432" s="12">
        <v>33809219</v>
      </c>
      <c r="X2432" s="6"/>
      <c r="Y2432" s="6"/>
    </row>
    <row r="2433" spans="1:25" ht="15" customHeight="1" x14ac:dyDescent="0.2">
      <c r="A2433" s="88" t="s">
        <v>2631</v>
      </c>
      <c r="B2433" s="90"/>
      <c r="C2433" s="88" t="s">
        <v>2928</v>
      </c>
      <c r="D2433" s="89"/>
      <c r="E2433" s="89"/>
      <c r="F2433" s="89"/>
      <c r="G2433" s="89"/>
      <c r="H2433" s="89"/>
      <c r="I2433" s="90"/>
      <c r="J2433" s="88" t="s">
        <v>1499</v>
      </c>
      <c r="K2433" s="89"/>
      <c r="L2433" s="89"/>
      <c r="M2433" s="90"/>
      <c r="N2433" s="88" t="s">
        <v>701</v>
      </c>
      <c r="O2433" s="89"/>
      <c r="P2433" s="90"/>
      <c r="Q2433" s="133">
        <v>2996</v>
      </c>
      <c r="R2433" s="134"/>
      <c r="S2433" s="5" t="s">
        <v>2633</v>
      </c>
      <c r="T2433" s="6"/>
      <c r="U2433" s="8">
        <v>5</v>
      </c>
      <c r="V2433" s="5" t="s">
        <v>702</v>
      </c>
      <c r="W2433" s="12">
        <v>24896786</v>
      </c>
      <c r="X2433" s="6"/>
      <c r="Y2433" s="6"/>
    </row>
    <row r="2434" spans="1:25" ht="15" customHeight="1" x14ac:dyDescent="0.2">
      <c r="A2434" s="88" t="s">
        <v>2631</v>
      </c>
      <c r="B2434" s="90"/>
      <c r="C2434" s="88" t="s">
        <v>2929</v>
      </c>
      <c r="D2434" s="89"/>
      <c r="E2434" s="89"/>
      <c r="F2434" s="89"/>
      <c r="G2434" s="89"/>
      <c r="H2434" s="89"/>
      <c r="I2434" s="90"/>
      <c r="J2434" s="88" t="s">
        <v>1499</v>
      </c>
      <c r="K2434" s="89"/>
      <c r="L2434" s="89"/>
      <c r="M2434" s="90"/>
      <c r="N2434" s="88" t="s">
        <v>701</v>
      </c>
      <c r="O2434" s="89"/>
      <c r="P2434" s="90"/>
      <c r="Q2434" s="133">
        <v>2996</v>
      </c>
      <c r="R2434" s="134"/>
      <c r="S2434" s="5" t="s">
        <v>2633</v>
      </c>
      <c r="T2434" s="6"/>
      <c r="U2434" s="8">
        <v>5</v>
      </c>
      <c r="V2434" s="5" t="s">
        <v>106</v>
      </c>
      <c r="W2434" s="12">
        <v>33257411</v>
      </c>
      <c r="X2434" s="6"/>
      <c r="Y2434" s="6"/>
    </row>
    <row r="2435" spans="1:25" ht="15" customHeight="1" x14ac:dyDescent="0.2">
      <c r="A2435" s="88" t="s">
        <v>2631</v>
      </c>
      <c r="B2435" s="90"/>
      <c r="C2435" s="88" t="s">
        <v>2930</v>
      </c>
      <c r="D2435" s="89"/>
      <c r="E2435" s="89"/>
      <c r="F2435" s="89"/>
      <c r="G2435" s="89"/>
      <c r="H2435" s="89"/>
      <c r="I2435" s="90"/>
      <c r="J2435" s="88" t="s">
        <v>1499</v>
      </c>
      <c r="K2435" s="89"/>
      <c r="L2435" s="89"/>
      <c r="M2435" s="90"/>
      <c r="N2435" s="88" t="s">
        <v>701</v>
      </c>
      <c r="O2435" s="89"/>
      <c r="P2435" s="90"/>
      <c r="Q2435" s="133">
        <v>2996</v>
      </c>
      <c r="R2435" s="134"/>
      <c r="S2435" s="5" t="s">
        <v>2633</v>
      </c>
      <c r="T2435" s="6"/>
      <c r="U2435" s="8">
        <v>5</v>
      </c>
      <c r="V2435" s="5" t="s">
        <v>702</v>
      </c>
      <c r="W2435" s="12">
        <v>30367998</v>
      </c>
      <c r="X2435" s="6"/>
      <c r="Y2435" s="6"/>
    </row>
    <row r="2436" spans="1:25" ht="15" customHeight="1" x14ac:dyDescent="0.2">
      <c r="A2436" s="88" t="s">
        <v>2631</v>
      </c>
      <c r="B2436" s="90"/>
      <c r="C2436" s="88" t="s">
        <v>2931</v>
      </c>
      <c r="D2436" s="90"/>
      <c r="E2436" s="106"/>
      <c r="F2436" s="107"/>
      <c r="G2436" s="107"/>
      <c r="H2436" s="107"/>
      <c r="I2436" s="108"/>
      <c r="J2436" s="88" t="s">
        <v>1499</v>
      </c>
      <c r="K2436" s="89"/>
      <c r="L2436" s="89"/>
      <c r="M2436" s="90"/>
      <c r="N2436" s="88" t="s">
        <v>701</v>
      </c>
      <c r="O2436" s="89"/>
      <c r="P2436" s="90"/>
      <c r="Q2436" s="133">
        <v>2996</v>
      </c>
      <c r="R2436" s="134"/>
      <c r="S2436" s="5" t="s">
        <v>2633</v>
      </c>
      <c r="T2436" s="6"/>
      <c r="U2436" s="8">
        <v>5</v>
      </c>
      <c r="V2436" s="5" t="s">
        <v>106</v>
      </c>
      <c r="W2436" s="12">
        <v>26536050</v>
      </c>
      <c r="X2436" s="6"/>
      <c r="Y2436" s="6"/>
    </row>
    <row r="2437" spans="1:25" ht="15" customHeight="1" x14ac:dyDescent="0.2">
      <c r="A2437" s="88" t="s">
        <v>2631</v>
      </c>
      <c r="B2437" s="90"/>
      <c r="C2437" s="88" t="s">
        <v>2932</v>
      </c>
      <c r="D2437" s="90"/>
      <c r="E2437" s="106"/>
      <c r="F2437" s="107"/>
      <c r="G2437" s="107"/>
      <c r="H2437" s="107"/>
      <c r="I2437" s="108"/>
      <c r="J2437" s="88" t="s">
        <v>1499</v>
      </c>
      <c r="K2437" s="89"/>
      <c r="L2437" s="89"/>
      <c r="M2437" s="90"/>
      <c r="N2437" s="88" t="s">
        <v>701</v>
      </c>
      <c r="O2437" s="89"/>
      <c r="P2437" s="90"/>
      <c r="Q2437" s="133">
        <v>2996</v>
      </c>
      <c r="R2437" s="134"/>
      <c r="S2437" s="5" t="s">
        <v>2633</v>
      </c>
      <c r="T2437" s="6"/>
      <c r="U2437" s="8">
        <v>5</v>
      </c>
      <c r="V2437" s="5" t="s">
        <v>106</v>
      </c>
      <c r="W2437" s="12">
        <v>26536050</v>
      </c>
      <c r="X2437" s="6"/>
      <c r="Y2437" s="6"/>
    </row>
    <row r="2438" spans="1:25" ht="15" customHeight="1" x14ac:dyDescent="0.2">
      <c r="A2438" s="88" t="s">
        <v>2631</v>
      </c>
      <c r="B2438" s="90"/>
      <c r="C2438" s="88" t="s">
        <v>2933</v>
      </c>
      <c r="D2438" s="90"/>
      <c r="E2438" s="106"/>
      <c r="F2438" s="107"/>
      <c r="G2438" s="107"/>
      <c r="H2438" s="107"/>
      <c r="I2438" s="108"/>
      <c r="J2438" s="88" t="s">
        <v>1499</v>
      </c>
      <c r="K2438" s="89"/>
      <c r="L2438" s="89"/>
      <c r="M2438" s="90"/>
      <c r="N2438" s="88" t="s">
        <v>701</v>
      </c>
      <c r="O2438" s="89"/>
      <c r="P2438" s="90"/>
      <c r="Q2438" s="133">
        <v>2996</v>
      </c>
      <c r="R2438" s="134"/>
      <c r="S2438" s="5" t="s">
        <v>2633</v>
      </c>
      <c r="T2438" s="6"/>
      <c r="U2438" s="8">
        <v>5</v>
      </c>
      <c r="V2438" s="5" t="s">
        <v>106</v>
      </c>
      <c r="W2438" s="12">
        <v>22558428</v>
      </c>
      <c r="X2438" s="6"/>
      <c r="Y2438" s="6"/>
    </row>
    <row r="2439" spans="1:25" ht="15" customHeight="1" x14ac:dyDescent="0.2">
      <c r="A2439" s="88" t="s">
        <v>2631</v>
      </c>
      <c r="B2439" s="90"/>
      <c r="C2439" s="88" t="s">
        <v>2934</v>
      </c>
      <c r="D2439" s="90"/>
      <c r="E2439" s="106"/>
      <c r="F2439" s="107"/>
      <c r="G2439" s="107"/>
      <c r="H2439" s="107"/>
      <c r="I2439" s="108"/>
      <c r="J2439" s="88" t="s">
        <v>1499</v>
      </c>
      <c r="K2439" s="89"/>
      <c r="L2439" s="89"/>
      <c r="M2439" s="90"/>
      <c r="N2439" s="88" t="s">
        <v>701</v>
      </c>
      <c r="O2439" s="89"/>
      <c r="P2439" s="90"/>
      <c r="Q2439" s="133">
        <v>2996</v>
      </c>
      <c r="R2439" s="134"/>
      <c r="S2439" s="5" t="s">
        <v>2633</v>
      </c>
      <c r="T2439" s="6"/>
      <c r="U2439" s="8">
        <v>5</v>
      </c>
      <c r="V2439" s="5" t="s">
        <v>106</v>
      </c>
      <c r="W2439" s="12">
        <v>26536050</v>
      </c>
      <c r="X2439" s="6"/>
      <c r="Y2439" s="6"/>
    </row>
    <row r="2440" spans="1:25" ht="15" customHeight="1" x14ac:dyDescent="0.2">
      <c r="A2440" s="88" t="s">
        <v>2631</v>
      </c>
      <c r="B2440" s="90"/>
      <c r="C2440" s="88" t="s">
        <v>2935</v>
      </c>
      <c r="D2440" s="90"/>
      <c r="E2440" s="106"/>
      <c r="F2440" s="107"/>
      <c r="G2440" s="107"/>
      <c r="H2440" s="107"/>
      <c r="I2440" s="108"/>
      <c r="J2440" s="88" t="s">
        <v>1499</v>
      </c>
      <c r="K2440" s="89"/>
      <c r="L2440" s="89"/>
      <c r="M2440" s="90"/>
      <c r="N2440" s="88" t="s">
        <v>701</v>
      </c>
      <c r="O2440" s="89"/>
      <c r="P2440" s="90"/>
      <c r="Q2440" s="133">
        <v>2996</v>
      </c>
      <c r="R2440" s="134"/>
      <c r="S2440" s="5" t="s">
        <v>2633</v>
      </c>
      <c r="T2440" s="6"/>
      <c r="U2440" s="8">
        <v>5</v>
      </c>
      <c r="V2440" s="5" t="s">
        <v>106</v>
      </c>
      <c r="W2440" s="12">
        <v>23267900</v>
      </c>
      <c r="X2440" s="6"/>
      <c r="Y2440" s="6"/>
    </row>
    <row r="2441" spans="1:25" ht="15" customHeight="1" x14ac:dyDescent="0.2">
      <c r="A2441" s="88" t="s">
        <v>2631</v>
      </c>
      <c r="B2441" s="90"/>
      <c r="C2441" s="88" t="s">
        <v>2936</v>
      </c>
      <c r="D2441" s="89"/>
      <c r="E2441" s="89"/>
      <c r="F2441" s="89"/>
      <c r="G2441" s="89"/>
      <c r="H2441" s="89"/>
      <c r="I2441" s="90"/>
      <c r="J2441" s="88" t="s">
        <v>1499</v>
      </c>
      <c r="K2441" s="89"/>
      <c r="L2441" s="89"/>
      <c r="M2441" s="90"/>
      <c r="N2441" s="88" t="s">
        <v>701</v>
      </c>
      <c r="O2441" s="89"/>
      <c r="P2441" s="90"/>
      <c r="Q2441" s="133">
        <v>2996</v>
      </c>
      <c r="R2441" s="134"/>
      <c r="S2441" s="5" t="s">
        <v>2633</v>
      </c>
      <c r="T2441" s="6"/>
      <c r="U2441" s="8">
        <v>5</v>
      </c>
      <c r="V2441" s="5" t="s">
        <v>106</v>
      </c>
      <c r="W2441" s="12">
        <v>32450923</v>
      </c>
      <c r="X2441" s="6"/>
      <c r="Y2441" s="6"/>
    </row>
    <row r="2442" spans="1:25" ht="15" customHeight="1" x14ac:dyDescent="0.2">
      <c r="A2442" s="88" t="s">
        <v>2631</v>
      </c>
      <c r="B2442" s="90"/>
      <c r="C2442" s="88" t="s">
        <v>2937</v>
      </c>
      <c r="D2442" s="90"/>
      <c r="E2442" s="106"/>
      <c r="F2442" s="107"/>
      <c r="G2442" s="107"/>
      <c r="H2442" s="107"/>
      <c r="I2442" s="108"/>
      <c r="J2442" s="88" t="s">
        <v>1499</v>
      </c>
      <c r="K2442" s="89"/>
      <c r="L2442" s="89"/>
      <c r="M2442" s="90"/>
      <c r="N2442" s="88" t="s">
        <v>701</v>
      </c>
      <c r="O2442" s="89"/>
      <c r="P2442" s="90"/>
      <c r="Q2442" s="133">
        <v>2996</v>
      </c>
      <c r="R2442" s="134"/>
      <c r="S2442" s="5" t="s">
        <v>2633</v>
      </c>
      <c r="T2442" s="6"/>
      <c r="U2442" s="8">
        <v>5</v>
      </c>
      <c r="V2442" s="5" t="s">
        <v>702</v>
      </c>
      <c r="W2442" s="12">
        <v>21597190</v>
      </c>
      <c r="X2442" s="6"/>
      <c r="Y2442" s="6"/>
    </row>
    <row r="2443" spans="1:25" ht="15" customHeight="1" x14ac:dyDescent="0.2">
      <c r="A2443" s="88" t="s">
        <v>2631</v>
      </c>
      <c r="B2443" s="90"/>
      <c r="C2443" s="88" t="s">
        <v>2938</v>
      </c>
      <c r="D2443" s="90"/>
      <c r="E2443" s="106"/>
      <c r="F2443" s="107"/>
      <c r="G2443" s="107"/>
      <c r="H2443" s="107"/>
      <c r="I2443" s="108"/>
      <c r="J2443" s="88" t="s">
        <v>1499</v>
      </c>
      <c r="K2443" s="89"/>
      <c r="L2443" s="89"/>
      <c r="M2443" s="90"/>
      <c r="N2443" s="88" t="s">
        <v>701</v>
      </c>
      <c r="O2443" s="89"/>
      <c r="P2443" s="90"/>
      <c r="Q2443" s="133">
        <v>2996</v>
      </c>
      <c r="R2443" s="134"/>
      <c r="S2443" s="5" t="s">
        <v>2633</v>
      </c>
      <c r="T2443" s="6"/>
      <c r="U2443" s="8">
        <v>5</v>
      </c>
      <c r="V2443" s="5" t="s">
        <v>702</v>
      </c>
      <c r="W2443" s="12">
        <v>24316561</v>
      </c>
      <c r="X2443" s="6"/>
      <c r="Y2443" s="6"/>
    </row>
    <row r="2444" spans="1:25" ht="15" customHeight="1" x14ac:dyDescent="0.2">
      <c r="A2444" s="88" t="s">
        <v>2631</v>
      </c>
      <c r="B2444" s="90"/>
      <c r="C2444" s="88" t="s">
        <v>2939</v>
      </c>
      <c r="D2444" s="90"/>
      <c r="E2444" s="106"/>
      <c r="F2444" s="107"/>
      <c r="G2444" s="107"/>
      <c r="H2444" s="107"/>
      <c r="I2444" s="108"/>
      <c r="J2444" s="88" t="s">
        <v>1499</v>
      </c>
      <c r="K2444" s="89"/>
      <c r="L2444" s="89"/>
      <c r="M2444" s="90"/>
      <c r="N2444" s="88" t="s">
        <v>701</v>
      </c>
      <c r="O2444" s="89"/>
      <c r="P2444" s="90"/>
      <c r="Q2444" s="133">
        <v>2996</v>
      </c>
      <c r="R2444" s="134"/>
      <c r="S2444" s="5" t="s">
        <v>2633</v>
      </c>
      <c r="T2444" s="6"/>
      <c r="U2444" s="8">
        <v>5</v>
      </c>
      <c r="V2444" s="5" t="s">
        <v>702</v>
      </c>
      <c r="W2444" s="12">
        <v>20471290</v>
      </c>
      <c r="X2444" s="6"/>
      <c r="Y2444" s="6"/>
    </row>
    <row r="2445" spans="1:25" ht="15" customHeight="1" x14ac:dyDescent="0.2">
      <c r="A2445" s="88" t="s">
        <v>2631</v>
      </c>
      <c r="B2445" s="90"/>
      <c r="C2445" s="88" t="s">
        <v>2940</v>
      </c>
      <c r="D2445" s="90"/>
      <c r="E2445" s="106"/>
      <c r="F2445" s="107"/>
      <c r="G2445" s="107"/>
      <c r="H2445" s="107"/>
      <c r="I2445" s="108"/>
      <c r="J2445" s="88" t="s">
        <v>1499</v>
      </c>
      <c r="K2445" s="89"/>
      <c r="L2445" s="89"/>
      <c r="M2445" s="90"/>
      <c r="N2445" s="88" t="s">
        <v>701</v>
      </c>
      <c r="O2445" s="89"/>
      <c r="P2445" s="90"/>
      <c r="Q2445" s="133">
        <v>2996</v>
      </c>
      <c r="R2445" s="134"/>
      <c r="S2445" s="5" t="s">
        <v>2633</v>
      </c>
      <c r="T2445" s="6"/>
      <c r="U2445" s="8">
        <v>5</v>
      </c>
      <c r="V2445" s="5" t="s">
        <v>702</v>
      </c>
      <c r="W2445" s="12">
        <v>21786169</v>
      </c>
      <c r="X2445" s="6"/>
      <c r="Y2445" s="6"/>
    </row>
    <row r="2446" spans="1:25" ht="15" customHeight="1" x14ac:dyDescent="0.2">
      <c r="A2446" s="88" t="s">
        <v>2631</v>
      </c>
      <c r="B2446" s="90"/>
      <c r="C2446" s="88" t="s">
        <v>2941</v>
      </c>
      <c r="D2446" s="90"/>
      <c r="E2446" s="106"/>
      <c r="F2446" s="107"/>
      <c r="G2446" s="107"/>
      <c r="H2446" s="107"/>
      <c r="I2446" s="108"/>
      <c r="J2446" s="88" t="s">
        <v>1499</v>
      </c>
      <c r="K2446" s="89"/>
      <c r="L2446" s="89"/>
      <c r="M2446" s="90"/>
      <c r="N2446" s="88" t="s">
        <v>701</v>
      </c>
      <c r="O2446" s="89"/>
      <c r="P2446" s="90"/>
      <c r="Q2446" s="133">
        <v>2996</v>
      </c>
      <c r="R2446" s="134"/>
      <c r="S2446" s="5" t="s">
        <v>2633</v>
      </c>
      <c r="T2446" s="6"/>
      <c r="U2446" s="8">
        <v>5</v>
      </c>
      <c r="V2446" s="5" t="s">
        <v>702</v>
      </c>
      <c r="W2446" s="12">
        <v>27951942</v>
      </c>
      <c r="X2446" s="6"/>
      <c r="Y2446" s="6"/>
    </row>
    <row r="2447" spans="1:25" ht="15" customHeight="1" x14ac:dyDescent="0.2">
      <c r="A2447" s="88" t="s">
        <v>2631</v>
      </c>
      <c r="B2447" s="90"/>
      <c r="C2447" s="88" t="s">
        <v>2942</v>
      </c>
      <c r="D2447" s="90"/>
      <c r="E2447" s="106"/>
      <c r="F2447" s="107"/>
      <c r="G2447" s="107"/>
      <c r="H2447" s="107"/>
      <c r="I2447" s="108"/>
      <c r="J2447" s="88" t="s">
        <v>1499</v>
      </c>
      <c r="K2447" s="89"/>
      <c r="L2447" s="89"/>
      <c r="M2447" s="90"/>
      <c r="N2447" s="88" t="s">
        <v>701</v>
      </c>
      <c r="O2447" s="89"/>
      <c r="P2447" s="90"/>
      <c r="Q2447" s="133">
        <v>2996</v>
      </c>
      <c r="R2447" s="134"/>
      <c r="S2447" s="5" t="s">
        <v>2633</v>
      </c>
      <c r="T2447" s="6"/>
      <c r="U2447" s="8">
        <v>5</v>
      </c>
      <c r="V2447" s="5" t="s">
        <v>702</v>
      </c>
      <c r="W2447" s="12">
        <v>32265347</v>
      </c>
      <c r="X2447" s="6"/>
      <c r="Y2447" s="6"/>
    </row>
    <row r="2448" spans="1:25" ht="15" customHeight="1" x14ac:dyDescent="0.2">
      <c r="A2448" s="88" t="s">
        <v>2631</v>
      </c>
      <c r="B2448" s="90"/>
      <c r="C2448" s="88" t="s">
        <v>2943</v>
      </c>
      <c r="D2448" s="89"/>
      <c r="E2448" s="89"/>
      <c r="F2448" s="89"/>
      <c r="G2448" s="89"/>
      <c r="H2448" s="89"/>
      <c r="I2448" s="90"/>
      <c r="J2448" s="88" t="s">
        <v>1499</v>
      </c>
      <c r="K2448" s="89"/>
      <c r="L2448" s="89"/>
      <c r="M2448" s="90"/>
      <c r="N2448" s="88" t="s">
        <v>701</v>
      </c>
      <c r="O2448" s="89"/>
      <c r="P2448" s="90"/>
      <c r="Q2448" s="133">
        <v>2996</v>
      </c>
      <c r="R2448" s="134"/>
      <c r="S2448" s="5" t="s">
        <v>2633</v>
      </c>
      <c r="T2448" s="6"/>
      <c r="U2448" s="8">
        <v>7</v>
      </c>
      <c r="V2448" s="5" t="s">
        <v>106</v>
      </c>
      <c r="W2448" s="12">
        <v>48547882</v>
      </c>
      <c r="X2448" s="6"/>
      <c r="Y2448" s="6"/>
    </row>
    <row r="2449" spans="1:25" ht="15" customHeight="1" x14ac:dyDescent="0.2">
      <c r="A2449" s="88" t="s">
        <v>2631</v>
      </c>
      <c r="B2449" s="90"/>
      <c r="C2449" s="88" t="s">
        <v>2944</v>
      </c>
      <c r="D2449" s="89"/>
      <c r="E2449" s="89"/>
      <c r="F2449" s="89"/>
      <c r="G2449" s="89"/>
      <c r="H2449" s="89"/>
      <c r="I2449" s="90"/>
      <c r="J2449" s="88" t="s">
        <v>1499</v>
      </c>
      <c r="K2449" s="89"/>
      <c r="L2449" s="89"/>
      <c r="M2449" s="90"/>
      <c r="N2449" s="88" t="s">
        <v>701</v>
      </c>
      <c r="O2449" s="89"/>
      <c r="P2449" s="90"/>
      <c r="Q2449" s="133">
        <v>2996</v>
      </c>
      <c r="R2449" s="134"/>
      <c r="S2449" s="5" t="s">
        <v>2633</v>
      </c>
      <c r="T2449" s="6"/>
      <c r="U2449" s="8">
        <v>5</v>
      </c>
      <c r="V2449" s="5" t="s">
        <v>106</v>
      </c>
      <c r="W2449" s="12">
        <v>48953708</v>
      </c>
      <c r="X2449" s="6"/>
      <c r="Y2449" s="6"/>
    </row>
    <row r="2450" spans="1:25" ht="15" customHeight="1" x14ac:dyDescent="0.2">
      <c r="A2450" s="88" t="s">
        <v>2631</v>
      </c>
      <c r="B2450" s="90"/>
      <c r="C2450" s="88" t="s">
        <v>2945</v>
      </c>
      <c r="D2450" s="89"/>
      <c r="E2450" s="89"/>
      <c r="F2450" s="89"/>
      <c r="G2450" s="89"/>
      <c r="H2450" s="89"/>
      <c r="I2450" s="90"/>
      <c r="J2450" s="88" t="s">
        <v>1499</v>
      </c>
      <c r="K2450" s="89"/>
      <c r="L2450" s="89"/>
      <c r="M2450" s="90"/>
      <c r="N2450" s="88" t="s">
        <v>701</v>
      </c>
      <c r="O2450" s="89"/>
      <c r="P2450" s="90"/>
      <c r="Q2450" s="133">
        <v>2996</v>
      </c>
      <c r="R2450" s="134"/>
      <c r="S2450" s="5" t="s">
        <v>2633</v>
      </c>
      <c r="T2450" s="6"/>
      <c r="U2450" s="8">
        <v>5</v>
      </c>
      <c r="V2450" s="5" t="s">
        <v>106</v>
      </c>
      <c r="W2450" s="12">
        <v>51548230</v>
      </c>
      <c r="X2450" s="6"/>
      <c r="Y2450" s="6"/>
    </row>
    <row r="2451" spans="1:25" ht="15" customHeight="1" x14ac:dyDescent="0.2">
      <c r="A2451" s="88" t="s">
        <v>2631</v>
      </c>
      <c r="B2451" s="90"/>
      <c r="C2451" s="88" t="s">
        <v>2946</v>
      </c>
      <c r="D2451" s="90"/>
      <c r="E2451" s="106"/>
      <c r="F2451" s="107"/>
      <c r="G2451" s="107"/>
      <c r="H2451" s="107"/>
      <c r="I2451" s="108"/>
      <c r="J2451" s="88" t="s">
        <v>1499</v>
      </c>
      <c r="K2451" s="89"/>
      <c r="L2451" s="89"/>
      <c r="M2451" s="90"/>
      <c r="N2451" s="88" t="s">
        <v>701</v>
      </c>
      <c r="O2451" s="89"/>
      <c r="P2451" s="90"/>
      <c r="Q2451" s="133">
        <v>2996</v>
      </c>
      <c r="R2451" s="134"/>
      <c r="S2451" s="5" t="s">
        <v>2633</v>
      </c>
      <c r="T2451" s="6"/>
      <c r="U2451" s="8">
        <v>5</v>
      </c>
      <c r="V2451" s="5" t="s">
        <v>106</v>
      </c>
      <c r="W2451" s="12">
        <v>40271457</v>
      </c>
      <c r="X2451" s="6"/>
      <c r="Y2451" s="6"/>
    </row>
    <row r="2452" spans="1:25" ht="15" customHeight="1" x14ac:dyDescent="0.2">
      <c r="A2452" s="88" t="s">
        <v>2631</v>
      </c>
      <c r="B2452" s="90"/>
      <c r="C2452" s="88" t="s">
        <v>2947</v>
      </c>
      <c r="D2452" s="90"/>
      <c r="E2452" s="106"/>
      <c r="F2452" s="107"/>
      <c r="G2452" s="107"/>
      <c r="H2452" s="107"/>
      <c r="I2452" s="108"/>
      <c r="J2452" s="88" t="s">
        <v>1499</v>
      </c>
      <c r="K2452" s="89"/>
      <c r="L2452" s="89"/>
      <c r="M2452" s="90"/>
      <c r="N2452" s="88" t="s">
        <v>701</v>
      </c>
      <c r="O2452" s="89"/>
      <c r="P2452" s="90"/>
      <c r="Q2452" s="133">
        <v>2996</v>
      </c>
      <c r="R2452" s="134"/>
      <c r="S2452" s="5" t="s">
        <v>2633</v>
      </c>
      <c r="T2452" s="6"/>
      <c r="U2452" s="8">
        <v>5</v>
      </c>
      <c r="V2452" s="5" t="s">
        <v>106</v>
      </c>
      <c r="W2452" s="12">
        <v>59228937</v>
      </c>
      <c r="X2452" s="6"/>
      <c r="Y2452" s="6"/>
    </row>
    <row r="2453" spans="1:25" ht="15" customHeight="1" x14ac:dyDescent="0.2">
      <c r="A2453" s="88" t="s">
        <v>2631</v>
      </c>
      <c r="B2453" s="90"/>
      <c r="C2453" s="88" t="s">
        <v>2948</v>
      </c>
      <c r="D2453" s="89"/>
      <c r="E2453" s="89"/>
      <c r="F2453" s="89"/>
      <c r="G2453" s="89"/>
      <c r="H2453" s="89"/>
      <c r="I2453" s="90"/>
      <c r="J2453" s="88" t="s">
        <v>1499</v>
      </c>
      <c r="K2453" s="89"/>
      <c r="L2453" s="89"/>
      <c r="M2453" s="90"/>
      <c r="N2453" s="88" t="s">
        <v>701</v>
      </c>
      <c r="O2453" s="89"/>
      <c r="P2453" s="90"/>
      <c r="Q2453" s="133">
        <v>2996</v>
      </c>
      <c r="R2453" s="134"/>
      <c r="S2453" s="5" t="s">
        <v>2633</v>
      </c>
      <c r="T2453" s="6"/>
      <c r="U2453" s="8">
        <v>5</v>
      </c>
      <c r="V2453" s="5" t="s">
        <v>106</v>
      </c>
      <c r="W2453" s="12">
        <v>51473394</v>
      </c>
      <c r="X2453" s="6"/>
      <c r="Y2453" s="6"/>
    </row>
    <row r="2454" spans="1:25" ht="15" customHeight="1" x14ac:dyDescent="0.2">
      <c r="A2454" s="88" t="s">
        <v>2631</v>
      </c>
      <c r="B2454" s="90"/>
      <c r="C2454" s="88" t="s">
        <v>2949</v>
      </c>
      <c r="D2454" s="89"/>
      <c r="E2454" s="89"/>
      <c r="F2454" s="89"/>
      <c r="G2454" s="89"/>
      <c r="H2454" s="89"/>
      <c r="I2454" s="90"/>
      <c r="J2454" s="88" t="s">
        <v>1499</v>
      </c>
      <c r="K2454" s="89"/>
      <c r="L2454" s="89"/>
      <c r="M2454" s="90"/>
      <c r="N2454" s="88" t="s">
        <v>701</v>
      </c>
      <c r="O2454" s="89"/>
      <c r="P2454" s="90"/>
      <c r="Q2454" s="133">
        <v>2996</v>
      </c>
      <c r="R2454" s="134"/>
      <c r="S2454" s="5" t="s">
        <v>2633</v>
      </c>
      <c r="T2454" s="6"/>
      <c r="U2454" s="8">
        <v>7</v>
      </c>
      <c r="V2454" s="5" t="s">
        <v>106</v>
      </c>
      <c r="W2454" s="12">
        <v>44014227</v>
      </c>
      <c r="X2454" s="6"/>
      <c r="Y2454" s="6"/>
    </row>
    <row r="2455" spans="1:25" ht="15" customHeight="1" x14ac:dyDescent="0.2">
      <c r="A2455" s="88" t="s">
        <v>2631</v>
      </c>
      <c r="B2455" s="90"/>
      <c r="C2455" s="88" t="s">
        <v>2950</v>
      </c>
      <c r="D2455" s="90"/>
      <c r="E2455" s="106"/>
      <c r="F2455" s="107"/>
      <c r="G2455" s="107"/>
      <c r="H2455" s="107"/>
      <c r="I2455" s="108"/>
      <c r="J2455" s="88" t="s">
        <v>1499</v>
      </c>
      <c r="K2455" s="89"/>
      <c r="L2455" s="89"/>
      <c r="M2455" s="90"/>
      <c r="N2455" s="88" t="s">
        <v>701</v>
      </c>
      <c r="O2455" s="89"/>
      <c r="P2455" s="90"/>
      <c r="Q2455" s="133">
        <v>2996</v>
      </c>
      <c r="R2455" s="134"/>
      <c r="S2455" s="5" t="s">
        <v>2633</v>
      </c>
      <c r="T2455" s="6"/>
      <c r="U2455" s="8">
        <v>5</v>
      </c>
      <c r="V2455" s="5" t="s">
        <v>106</v>
      </c>
      <c r="W2455" s="12">
        <v>67514592</v>
      </c>
      <c r="X2455" s="6"/>
      <c r="Y2455" s="6"/>
    </row>
    <row r="2456" spans="1:25" ht="15" customHeight="1" x14ac:dyDescent="0.2">
      <c r="A2456" s="88" t="s">
        <v>2631</v>
      </c>
      <c r="B2456" s="90"/>
      <c r="C2456" s="88" t="s">
        <v>2951</v>
      </c>
      <c r="D2456" s="90"/>
      <c r="E2456" s="106"/>
      <c r="F2456" s="107"/>
      <c r="G2456" s="107"/>
      <c r="H2456" s="107"/>
      <c r="I2456" s="108"/>
      <c r="J2456" s="88" t="s">
        <v>1499</v>
      </c>
      <c r="K2456" s="89"/>
      <c r="L2456" s="89"/>
      <c r="M2456" s="90"/>
      <c r="N2456" s="88" t="s">
        <v>701</v>
      </c>
      <c r="O2456" s="89"/>
      <c r="P2456" s="90"/>
      <c r="Q2456" s="133">
        <v>2996</v>
      </c>
      <c r="R2456" s="134"/>
      <c r="S2456" s="5" t="s">
        <v>2633</v>
      </c>
      <c r="T2456" s="6"/>
      <c r="U2456" s="8">
        <v>5</v>
      </c>
      <c r="V2456" s="5" t="s">
        <v>702</v>
      </c>
      <c r="W2456" s="12">
        <v>36635019</v>
      </c>
      <c r="X2456" s="6"/>
      <c r="Y2456" s="6"/>
    </row>
    <row r="2457" spans="1:25" ht="15" customHeight="1" x14ac:dyDescent="0.2">
      <c r="A2457" s="88" t="s">
        <v>2631</v>
      </c>
      <c r="B2457" s="90"/>
      <c r="C2457" s="88" t="s">
        <v>2952</v>
      </c>
      <c r="D2457" s="90"/>
      <c r="E2457" s="106"/>
      <c r="F2457" s="107"/>
      <c r="G2457" s="107"/>
      <c r="H2457" s="107"/>
      <c r="I2457" s="108"/>
      <c r="J2457" s="88" t="s">
        <v>1499</v>
      </c>
      <c r="K2457" s="89"/>
      <c r="L2457" s="89"/>
      <c r="M2457" s="90"/>
      <c r="N2457" s="88" t="s">
        <v>701</v>
      </c>
      <c r="O2457" s="89"/>
      <c r="P2457" s="90"/>
      <c r="Q2457" s="133">
        <v>2996</v>
      </c>
      <c r="R2457" s="134"/>
      <c r="S2457" s="5" t="s">
        <v>2633</v>
      </c>
      <c r="T2457" s="6"/>
      <c r="U2457" s="8">
        <v>5</v>
      </c>
      <c r="V2457" s="5" t="s">
        <v>702</v>
      </c>
      <c r="W2457" s="12">
        <v>38597229</v>
      </c>
      <c r="X2457" s="6"/>
      <c r="Y2457" s="6"/>
    </row>
    <row r="2458" spans="1:25" ht="15" customHeight="1" x14ac:dyDescent="0.2">
      <c r="A2458" s="88" t="s">
        <v>2631</v>
      </c>
      <c r="B2458" s="90"/>
      <c r="C2458" s="88" t="s">
        <v>2953</v>
      </c>
      <c r="D2458" s="89"/>
      <c r="E2458" s="89"/>
      <c r="F2458" s="89"/>
      <c r="G2458" s="89"/>
      <c r="H2458" s="89"/>
      <c r="I2458" s="90"/>
      <c r="J2458" s="88" t="s">
        <v>1499</v>
      </c>
      <c r="K2458" s="89"/>
      <c r="L2458" s="89"/>
      <c r="M2458" s="90"/>
      <c r="N2458" s="88" t="s">
        <v>701</v>
      </c>
      <c r="O2458" s="89"/>
      <c r="P2458" s="90"/>
      <c r="Q2458" s="133">
        <v>2996</v>
      </c>
      <c r="R2458" s="134"/>
      <c r="S2458" s="5" t="s">
        <v>2633</v>
      </c>
      <c r="T2458" s="6"/>
      <c r="U2458" s="8">
        <v>5</v>
      </c>
      <c r="V2458" s="5" t="s">
        <v>702</v>
      </c>
      <c r="W2458" s="12">
        <v>47583286</v>
      </c>
      <c r="X2458" s="6"/>
      <c r="Y2458" s="6"/>
    </row>
    <row r="2459" spans="1:25" ht="15" customHeight="1" x14ac:dyDescent="0.2">
      <c r="A2459" s="88" t="s">
        <v>2631</v>
      </c>
      <c r="B2459" s="90"/>
      <c r="C2459" s="88" t="s">
        <v>2954</v>
      </c>
      <c r="D2459" s="89"/>
      <c r="E2459" s="89"/>
      <c r="F2459" s="89"/>
      <c r="G2459" s="89"/>
      <c r="H2459" s="89"/>
      <c r="I2459" s="90"/>
      <c r="J2459" s="88" t="s">
        <v>1499</v>
      </c>
      <c r="K2459" s="89"/>
      <c r="L2459" s="89"/>
      <c r="M2459" s="90"/>
      <c r="N2459" s="88" t="s">
        <v>701</v>
      </c>
      <c r="O2459" s="89"/>
      <c r="P2459" s="90"/>
      <c r="Q2459" s="133">
        <v>2996</v>
      </c>
      <c r="R2459" s="134"/>
      <c r="S2459" s="5" t="s">
        <v>2633</v>
      </c>
      <c r="T2459" s="6"/>
      <c r="U2459" s="8">
        <v>5</v>
      </c>
      <c r="V2459" s="5" t="s">
        <v>702</v>
      </c>
      <c r="W2459" s="12">
        <v>39492517</v>
      </c>
      <c r="X2459" s="6"/>
      <c r="Y2459" s="6"/>
    </row>
    <row r="2460" spans="1:25" ht="15" customHeight="1" x14ac:dyDescent="0.2">
      <c r="A2460" s="88" t="s">
        <v>2631</v>
      </c>
      <c r="B2460" s="90"/>
      <c r="C2460" s="88" t="s">
        <v>2955</v>
      </c>
      <c r="D2460" s="89"/>
      <c r="E2460" s="89"/>
      <c r="F2460" s="89"/>
      <c r="G2460" s="89"/>
      <c r="H2460" s="89"/>
      <c r="I2460" s="90"/>
      <c r="J2460" s="88" t="s">
        <v>1499</v>
      </c>
      <c r="K2460" s="89"/>
      <c r="L2460" s="89"/>
      <c r="M2460" s="90"/>
      <c r="N2460" s="88" t="s">
        <v>701</v>
      </c>
      <c r="O2460" s="89"/>
      <c r="P2460" s="90"/>
      <c r="Q2460" s="133">
        <v>2996</v>
      </c>
      <c r="R2460" s="134"/>
      <c r="S2460" s="5" t="s">
        <v>2633</v>
      </c>
      <c r="T2460" s="6"/>
      <c r="U2460" s="8">
        <v>4</v>
      </c>
      <c r="V2460" s="5" t="s">
        <v>702</v>
      </c>
      <c r="W2460" s="12">
        <v>44448862</v>
      </c>
      <c r="X2460" s="6"/>
      <c r="Y2460" s="6"/>
    </row>
    <row r="2461" spans="1:25" ht="15" customHeight="1" x14ac:dyDescent="0.2">
      <c r="A2461" s="88" t="s">
        <v>2631</v>
      </c>
      <c r="B2461" s="90"/>
      <c r="C2461" s="88" t="s">
        <v>2956</v>
      </c>
      <c r="D2461" s="89"/>
      <c r="E2461" s="89"/>
      <c r="F2461" s="89"/>
      <c r="G2461" s="89"/>
      <c r="H2461" s="89"/>
      <c r="I2461" s="90"/>
      <c r="J2461" s="88" t="s">
        <v>1499</v>
      </c>
      <c r="K2461" s="89"/>
      <c r="L2461" s="89"/>
      <c r="M2461" s="90"/>
      <c r="N2461" s="88" t="s">
        <v>701</v>
      </c>
      <c r="O2461" s="89"/>
      <c r="P2461" s="90"/>
      <c r="Q2461" s="133">
        <v>2996</v>
      </c>
      <c r="R2461" s="134"/>
      <c r="S2461" s="5" t="s">
        <v>2633</v>
      </c>
      <c r="T2461" s="6"/>
      <c r="U2461" s="8">
        <v>5</v>
      </c>
      <c r="V2461" s="5" t="s">
        <v>702</v>
      </c>
      <c r="W2461" s="12">
        <v>37487399</v>
      </c>
      <c r="X2461" s="6"/>
      <c r="Y2461" s="6"/>
    </row>
    <row r="2462" spans="1:25" ht="15" customHeight="1" x14ac:dyDescent="0.2">
      <c r="A2462" s="88" t="s">
        <v>2631</v>
      </c>
      <c r="B2462" s="90"/>
      <c r="C2462" s="88" t="s">
        <v>2957</v>
      </c>
      <c r="D2462" s="90"/>
      <c r="E2462" s="106"/>
      <c r="F2462" s="107"/>
      <c r="G2462" s="107"/>
      <c r="H2462" s="107"/>
      <c r="I2462" s="108"/>
      <c r="J2462" s="88" t="s">
        <v>1499</v>
      </c>
      <c r="K2462" s="89"/>
      <c r="L2462" s="89"/>
      <c r="M2462" s="90"/>
      <c r="N2462" s="88" t="s">
        <v>701</v>
      </c>
      <c r="O2462" s="89"/>
      <c r="P2462" s="90"/>
      <c r="Q2462" s="133">
        <v>2996</v>
      </c>
      <c r="R2462" s="134"/>
      <c r="S2462" s="5" t="s">
        <v>2633</v>
      </c>
      <c r="T2462" s="6"/>
      <c r="U2462" s="8">
        <v>5</v>
      </c>
      <c r="V2462" s="5" t="s">
        <v>702</v>
      </c>
      <c r="W2462" s="12">
        <v>31111739</v>
      </c>
      <c r="X2462" s="6"/>
      <c r="Y2462" s="6"/>
    </row>
    <row r="2463" spans="1:25" ht="15" customHeight="1" x14ac:dyDescent="0.2">
      <c r="A2463" s="88" t="s">
        <v>2631</v>
      </c>
      <c r="B2463" s="90"/>
      <c r="C2463" s="88" t="s">
        <v>2958</v>
      </c>
      <c r="D2463" s="89"/>
      <c r="E2463" s="89"/>
      <c r="F2463" s="89"/>
      <c r="G2463" s="89"/>
      <c r="H2463" s="89"/>
      <c r="I2463" s="90"/>
      <c r="J2463" s="88" t="s">
        <v>1499</v>
      </c>
      <c r="K2463" s="89"/>
      <c r="L2463" s="89"/>
      <c r="M2463" s="90"/>
      <c r="N2463" s="88" t="s">
        <v>701</v>
      </c>
      <c r="O2463" s="89"/>
      <c r="P2463" s="90"/>
      <c r="Q2463" s="133">
        <v>2996</v>
      </c>
      <c r="R2463" s="134"/>
      <c r="S2463" s="5" t="s">
        <v>2633</v>
      </c>
      <c r="T2463" s="6"/>
      <c r="U2463" s="8">
        <v>5</v>
      </c>
      <c r="V2463" s="5" t="s">
        <v>702</v>
      </c>
      <c r="W2463" s="12">
        <v>30922760</v>
      </c>
      <c r="X2463" s="6"/>
      <c r="Y2463" s="6"/>
    </row>
    <row r="2464" spans="1:25" ht="15" customHeight="1" x14ac:dyDescent="0.2">
      <c r="A2464" s="88" t="s">
        <v>2631</v>
      </c>
      <c r="B2464" s="90"/>
      <c r="C2464" s="88" t="s">
        <v>2959</v>
      </c>
      <c r="D2464" s="89"/>
      <c r="E2464" s="89"/>
      <c r="F2464" s="89"/>
      <c r="G2464" s="89"/>
      <c r="H2464" s="89"/>
      <c r="I2464" s="90"/>
      <c r="J2464" s="88" t="s">
        <v>1499</v>
      </c>
      <c r="K2464" s="89"/>
      <c r="L2464" s="89"/>
      <c r="M2464" s="90"/>
      <c r="N2464" s="88" t="s">
        <v>701</v>
      </c>
      <c r="O2464" s="89"/>
      <c r="P2464" s="90"/>
      <c r="Q2464" s="133">
        <v>2996</v>
      </c>
      <c r="R2464" s="134"/>
      <c r="S2464" s="5" t="s">
        <v>2633</v>
      </c>
      <c r="T2464" s="6"/>
      <c r="U2464" s="8">
        <v>4</v>
      </c>
      <c r="V2464" s="5" t="s">
        <v>702</v>
      </c>
      <c r="W2464" s="12">
        <v>61456913</v>
      </c>
      <c r="X2464" s="6"/>
      <c r="Y2464" s="6"/>
    </row>
    <row r="2465" spans="1:25" ht="15" customHeight="1" x14ac:dyDescent="0.2">
      <c r="A2465" s="88" t="s">
        <v>2631</v>
      </c>
      <c r="B2465" s="90"/>
      <c r="C2465" s="88" t="s">
        <v>2960</v>
      </c>
      <c r="D2465" s="90"/>
      <c r="E2465" s="106"/>
      <c r="F2465" s="107"/>
      <c r="G2465" s="107"/>
      <c r="H2465" s="107"/>
      <c r="I2465" s="108"/>
      <c r="J2465" s="88" t="s">
        <v>1499</v>
      </c>
      <c r="K2465" s="89"/>
      <c r="L2465" s="89"/>
      <c r="M2465" s="90"/>
      <c r="N2465" s="88" t="s">
        <v>701</v>
      </c>
      <c r="O2465" s="89"/>
      <c r="P2465" s="90"/>
      <c r="Q2465" s="133">
        <v>2996</v>
      </c>
      <c r="R2465" s="134"/>
      <c r="S2465" s="5" t="s">
        <v>2633</v>
      </c>
      <c r="T2465" s="6"/>
      <c r="U2465" s="8">
        <v>5</v>
      </c>
      <c r="V2465" s="5" t="s">
        <v>702</v>
      </c>
      <c r="W2465" s="12">
        <v>35906494</v>
      </c>
      <c r="X2465" s="6"/>
      <c r="Y2465" s="6"/>
    </row>
    <row r="2466" spans="1:25" ht="15" customHeight="1" x14ac:dyDescent="0.2">
      <c r="A2466" s="88" t="s">
        <v>2631</v>
      </c>
      <c r="B2466" s="90"/>
      <c r="C2466" s="88" t="s">
        <v>2961</v>
      </c>
      <c r="D2466" s="89"/>
      <c r="E2466" s="89"/>
      <c r="F2466" s="89"/>
      <c r="G2466" s="89"/>
      <c r="H2466" s="89"/>
      <c r="I2466" s="90"/>
      <c r="J2466" s="88" t="s">
        <v>1499</v>
      </c>
      <c r="K2466" s="89"/>
      <c r="L2466" s="89"/>
      <c r="M2466" s="90"/>
      <c r="N2466" s="88" t="s">
        <v>701</v>
      </c>
      <c r="O2466" s="89"/>
      <c r="P2466" s="90"/>
      <c r="Q2466" s="133">
        <v>2996</v>
      </c>
      <c r="R2466" s="134"/>
      <c r="S2466" s="5" t="s">
        <v>2633</v>
      </c>
      <c r="T2466" s="6"/>
      <c r="U2466" s="8">
        <v>4</v>
      </c>
      <c r="V2466" s="5" t="s">
        <v>702</v>
      </c>
      <c r="W2466" s="12">
        <v>43084932</v>
      </c>
      <c r="X2466" s="6"/>
      <c r="Y2466" s="6"/>
    </row>
    <row r="2467" spans="1:25" ht="15" customHeight="1" x14ac:dyDescent="0.2">
      <c r="A2467" s="88" t="s">
        <v>2631</v>
      </c>
      <c r="B2467" s="90"/>
      <c r="C2467" s="88" t="s">
        <v>2962</v>
      </c>
      <c r="D2467" s="89"/>
      <c r="E2467" s="89"/>
      <c r="F2467" s="89"/>
      <c r="G2467" s="89"/>
      <c r="H2467" s="89"/>
      <c r="I2467" s="90"/>
      <c r="J2467" s="88" t="s">
        <v>1499</v>
      </c>
      <c r="K2467" s="89"/>
      <c r="L2467" s="89"/>
      <c r="M2467" s="90"/>
      <c r="N2467" s="88" t="s">
        <v>701</v>
      </c>
      <c r="O2467" s="89"/>
      <c r="P2467" s="90"/>
      <c r="Q2467" s="133">
        <v>2996</v>
      </c>
      <c r="R2467" s="134"/>
      <c r="S2467" s="5" t="s">
        <v>2633</v>
      </c>
      <c r="T2467" s="6"/>
      <c r="U2467" s="8">
        <v>5</v>
      </c>
      <c r="V2467" s="5" t="s">
        <v>702</v>
      </c>
      <c r="W2467" s="12">
        <v>37465489</v>
      </c>
      <c r="X2467" s="6"/>
      <c r="Y2467" s="6"/>
    </row>
    <row r="2468" spans="1:25" ht="15" customHeight="1" x14ac:dyDescent="0.2">
      <c r="A2468" s="88" t="s">
        <v>2631</v>
      </c>
      <c r="B2468" s="90"/>
      <c r="C2468" s="88" t="s">
        <v>2963</v>
      </c>
      <c r="D2468" s="89"/>
      <c r="E2468" s="89"/>
      <c r="F2468" s="89"/>
      <c r="G2468" s="89"/>
      <c r="H2468" s="89"/>
      <c r="I2468" s="90"/>
      <c r="J2468" s="88" t="s">
        <v>1499</v>
      </c>
      <c r="K2468" s="89"/>
      <c r="L2468" s="89"/>
      <c r="M2468" s="90"/>
      <c r="N2468" s="88" t="s">
        <v>701</v>
      </c>
      <c r="O2468" s="89"/>
      <c r="P2468" s="90"/>
      <c r="Q2468" s="133">
        <v>2996</v>
      </c>
      <c r="R2468" s="134"/>
      <c r="S2468" s="5" t="s">
        <v>2633</v>
      </c>
      <c r="T2468" s="6"/>
      <c r="U2468" s="8">
        <v>4</v>
      </c>
      <c r="V2468" s="5" t="s">
        <v>702</v>
      </c>
      <c r="W2468" s="12">
        <v>44816777</v>
      </c>
      <c r="X2468" s="6"/>
      <c r="Y2468" s="6"/>
    </row>
    <row r="2469" spans="1:25" ht="15" customHeight="1" x14ac:dyDescent="0.2">
      <c r="A2469" s="88" t="s">
        <v>2631</v>
      </c>
      <c r="B2469" s="90"/>
      <c r="C2469" s="88" t="s">
        <v>2964</v>
      </c>
      <c r="D2469" s="89"/>
      <c r="E2469" s="89"/>
      <c r="F2469" s="89"/>
      <c r="G2469" s="89"/>
      <c r="H2469" s="89"/>
      <c r="I2469" s="90"/>
      <c r="J2469" s="88" t="s">
        <v>1499</v>
      </c>
      <c r="K2469" s="89"/>
      <c r="L2469" s="89"/>
      <c r="M2469" s="90"/>
      <c r="N2469" s="88" t="s">
        <v>701</v>
      </c>
      <c r="O2469" s="89"/>
      <c r="P2469" s="90"/>
      <c r="Q2469" s="133">
        <v>2996</v>
      </c>
      <c r="R2469" s="134"/>
      <c r="S2469" s="5" t="s">
        <v>2633</v>
      </c>
      <c r="T2469" s="6"/>
      <c r="U2469" s="8">
        <v>4</v>
      </c>
      <c r="V2469" s="5" t="s">
        <v>702</v>
      </c>
      <c r="W2469" s="12">
        <v>61267935</v>
      </c>
      <c r="X2469" s="6"/>
      <c r="Y2469" s="6"/>
    </row>
    <row r="2470" spans="1:25" ht="15" customHeight="1" x14ac:dyDescent="0.2">
      <c r="A2470" s="88" t="s">
        <v>2631</v>
      </c>
      <c r="B2470" s="90"/>
      <c r="C2470" s="88" t="s">
        <v>2965</v>
      </c>
      <c r="D2470" s="90"/>
      <c r="E2470" s="106"/>
      <c r="F2470" s="107"/>
      <c r="G2470" s="107"/>
      <c r="H2470" s="107"/>
      <c r="I2470" s="108"/>
      <c r="J2470" s="88" t="s">
        <v>1499</v>
      </c>
      <c r="K2470" s="89"/>
      <c r="L2470" s="89"/>
      <c r="M2470" s="90"/>
      <c r="N2470" s="88" t="s">
        <v>701</v>
      </c>
      <c r="O2470" s="89"/>
      <c r="P2470" s="90"/>
      <c r="Q2470" s="133">
        <v>2996</v>
      </c>
      <c r="R2470" s="134"/>
      <c r="S2470" s="5" t="s">
        <v>2633</v>
      </c>
      <c r="T2470" s="6"/>
      <c r="U2470" s="8">
        <v>5</v>
      </c>
      <c r="V2470" s="5" t="s">
        <v>106</v>
      </c>
      <c r="W2470" s="12">
        <v>42580153</v>
      </c>
      <c r="X2470" s="6"/>
      <c r="Y2470" s="6"/>
    </row>
    <row r="2471" spans="1:25" ht="15" customHeight="1" x14ac:dyDescent="0.2">
      <c r="A2471" s="88" t="s">
        <v>2631</v>
      </c>
      <c r="B2471" s="90"/>
      <c r="C2471" s="88" t="s">
        <v>2966</v>
      </c>
      <c r="D2471" s="89"/>
      <c r="E2471" s="89"/>
      <c r="F2471" s="89"/>
      <c r="G2471" s="89"/>
      <c r="H2471" s="89"/>
      <c r="I2471" s="90"/>
      <c r="J2471" s="88" t="s">
        <v>1499</v>
      </c>
      <c r="K2471" s="89"/>
      <c r="L2471" s="89"/>
      <c r="M2471" s="90"/>
      <c r="N2471" s="88" t="s">
        <v>701</v>
      </c>
      <c r="O2471" s="89"/>
      <c r="P2471" s="90"/>
      <c r="Q2471" s="133">
        <v>2996</v>
      </c>
      <c r="R2471" s="134"/>
      <c r="S2471" s="5" t="s">
        <v>2633</v>
      </c>
      <c r="T2471" s="6"/>
      <c r="U2471" s="8">
        <v>4</v>
      </c>
      <c r="V2471" s="5" t="s">
        <v>106</v>
      </c>
      <c r="W2471" s="12">
        <v>48882170</v>
      </c>
      <c r="X2471" s="6"/>
      <c r="Y2471" s="6"/>
    </row>
    <row r="2472" spans="1:25" ht="15" customHeight="1" x14ac:dyDescent="0.2">
      <c r="A2472" s="88" t="s">
        <v>2631</v>
      </c>
      <c r="B2472" s="90"/>
      <c r="C2472" s="88" t="s">
        <v>2967</v>
      </c>
      <c r="D2472" s="89"/>
      <c r="E2472" s="89"/>
      <c r="F2472" s="89"/>
      <c r="G2472" s="89"/>
      <c r="H2472" s="89"/>
      <c r="I2472" s="90"/>
      <c r="J2472" s="88" t="s">
        <v>1499</v>
      </c>
      <c r="K2472" s="89"/>
      <c r="L2472" s="89"/>
      <c r="M2472" s="90"/>
      <c r="N2472" s="88" t="s">
        <v>701</v>
      </c>
      <c r="O2472" s="89"/>
      <c r="P2472" s="90"/>
      <c r="Q2472" s="133">
        <v>2996</v>
      </c>
      <c r="R2472" s="134"/>
      <c r="S2472" s="5" t="s">
        <v>2633</v>
      </c>
      <c r="T2472" s="6"/>
      <c r="U2472" s="8">
        <v>7</v>
      </c>
      <c r="V2472" s="5" t="s">
        <v>106</v>
      </c>
      <c r="W2472" s="12">
        <v>51121964</v>
      </c>
      <c r="X2472" s="6"/>
      <c r="Y2472" s="6"/>
    </row>
    <row r="2473" spans="1:25" ht="15" customHeight="1" x14ac:dyDescent="0.2">
      <c r="A2473" s="88" t="s">
        <v>2631</v>
      </c>
      <c r="B2473" s="90"/>
      <c r="C2473" s="88" t="s">
        <v>2968</v>
      </c>
      <c r="D2473" s="89"/>
      <c r="E2473" s="89"/>
      <c r="F2473" s="89"/>
      <c r="G2473" s="89"/>
      <c r="H2473" s="89"/>
      <c r="I2473" s="90"/>
      <c r="J2473" s="88" t="s">
        <v>1499</v>
      </c>
      <c r="K2473" s="89"/>
      <c r="L2473" s="89"/>
      <c r="M2473" s="90"/>
      <c r="N2473" s="88" t="s">
        <v>701</v>
      </c>
      <c r="O2473" s="89"/>
      <c r="P2473" s="90"/>
      <c r="Q2473" s="133">
        <v>2996</v>
      </c>
      <c r="R2473" s="134"/>
      <c r="S2473" s="5" t="s">
        <v>2633</v>
      </c>
      <c r="T2473" s="6"/>
      <c r="U2473" s="8">
        <v>5</v>
      </c>
      <c r="V2473" s="5" t="s">
        <v>106</v>
      </c>
      <c r="W2473" s="12">
        <v>53545055</v>
      </c>
      <c r="X2473" s="6"/>
      <c r="Y2473" s="6"/>
    </row>
    <row r="2474" spans="1:25" ht="15" customHeight="1" x14ac:dyDescent="0.2">
      <c r="A2474" s="88" t="s">
        <v>2631</v>
      </c>
      <c r="B2474" s="90"/>
      <c r="C2474" s="88" t="s">
        <v>2969</v>
      </c>
      <c r="D2474" s="89"/>
      <c r="E2474" s="89"/>
      <c r="F2474" s="89"/>
      <c r="G2474" s="89"/>
      <c r="H2474" s="89"/>
      <c r="I2474" s="90"/>
      <c r="J2474" s="88" t="s">
        <v>1499</v>
      </c>
      <c r="K2474" s="89"/>
      <c r="L2474" s="89"/>
      <c r="M2474" s="90"/>
      <c r="N2474" s="88" t="s">
        <v>701</v>
      </c>
      <c r="O2474" s="89"/>
      <c r="P2474" s="90"/>
      <c r="Q2474" s="133">
        <v>2996</v>
      </c>
      <c r="R2474" s="134"/>
      <c r="S2474" s="5" t="s">
        <v>2633</v>
      </c>
      <c r="T2474" s="6"/>
      <c r="U2474" s="8">
        <v>5</v>
      </c>
      <c r="V2474" s="5" t="s">
        <v>702</v>
      </c>
      <c r="W2474" s="12">
        <v>44820124</v>
      </c>
      <c r="X2474" s="6"/>
      <c r="Y2474" s="6"/>
    </row>
    <row r="2475" spans="1:25" ht="15" customHeight="1" x14ac:dyDescent="0.2">
      <c r="A2475" s="88" t="s">
        <v>2631</v>
      </c>
      <c r="B2475" s="90"/>
      <c r="C2475" s="88" t="s">
        <v>2970</v>
      </c>
      <c r="D2475" s="89"/>
      <c r="E2475" s="89"/>
      <c r="F2475" s="89"/>
      <c r="G2475" s="89"/>
      <c r="H2475" s="89"/>
      <c r="I2475" s="90"/>
      <c r="J2475" s="88" t="s">
        <v>1499</v>
      </c>
      <c r="K2475" s="89"/>
      <c r="L2475" s="89"/>
      <c r="M2475" s="90"/>
      <c r="N2475" s="88" t="s">
        <v>701</v>
      </c>
      <c r="O2475" s="89"/>
      <c r="P2475" s="90"/>
      <c r="Q2475" s="133">
        <v>2996</v>
      </c>
      <c r="R2475" s="134"/>
      <c r="S2475" s="5" t="s">
        <v>2633</v>
      </c>
      <c r="T2475" s="6"/>
      <c r="U2475" s="8">
        <v>5</v>
      </c>
      <c r="V2475" s="5" t="s">
        <v>702</v>
      </c>
      <c r="W2475" s="12">
        <v>46806071</v>
      </c>
      <c r="X2475" s="6"/>
      <c r="Y2475" s="6"/>
    </row>
    <row r="2476" spans="1:25" ht="15" customHeight="1" x14ac:dyDescent="0.2">
      <c r="A2476" s="88" t="s">
        <v>2631</v>
      </c>
      <c r="B2476" s="90"/>
      <c r="C2476" s="88" t="s">
        <v>2971</v>
      </c>
      <c r="D2476" s="89"/>
      <c r="E2476" s="89"/>
      <c r="F2476" s="89"/>
      <c r="G2476" s="89"/>
      <c r="H2476" s="89"/>
      <c r="I2476" s="90"/>
      <c r="J2476" s="88" t="s">
        <v>1499</v>
      </c>
      <c r="K2476" s="89"/>
      <c r="L2476" s="89"/>
      <c r="M2476" s="90"/>
      <c r="N2476" s="88" t="s">
        <v>701</v>
      </c>
      <c r="O2476" s="89"/>
      <c r="P2476" s="90"/>
      <c r="Q2476" s="133">
        <v>2996</v>
      </c>
      <c r="R2476" s="134"/>
      <c r="S2476" s="5" t="s">
        <v>2633</v>
      </c>
      <c r="T2476" s="6"/>
      <c r="U2476" s="8">
        <v>7</v>
      </c>
      <c r="V2476" s="5" t="s">
        <v>702</v>
      </c>
      <c r="W2476" s="12">
        <v>46481673</v>
      </c>
      <c r="X2476" s="6"/>
      <c r="Y2476" s="6"/>
    </row>
    <row r="2477" spans="1:25" ht="15" customHeight="1" x14ac:dyDescent="0.2">
      <c r="A2477" s="88" t="s">
        <v>2631</v>
      </c>
      <c r="B2477" s="90"/>
      <c r="C2477" s="88" t="s">
        <v>2972</v>
      </c>
      <c r="D2477" s="89"/>
      <c r="E2477" s="89"/>
      <c r="F2477" s="89"/>
      <c r="G2477" s="89"/>
      <c r="H2477" s="89"/>
      <c r="I2477" s="90"/>
      <c r="J2477" s="88" t="s">
        <v>1499</v>
      </c>
      <c r="K2477" s="89"/>
      <c r="L2477" s="89"/>
      <c r="M2477" s="90"/>
      <c r="N2477" s="88" t="s">
        <v>701</v>
      </c>
      <c r="O2477" s="89"/>
      <c r="P2477" s="90"/>
      <c r="Q2477" s="133">
        <v>2996</v>
      </c>
      <c r="R2477" s="134"/>
      <c r="S2477" s="5" t="s">
        <v>2633</v>
      </c>
      <c r="T2477" s="6"/>
      <c r="U2477" s="8">
        <v>7</v>
      </c>
      <c r="V2477" s="5" t="s">
        <v>702</v>
      </c>
      <c r="W2477" s="12">
        <v>39920990</v>
      </c>
      <c r="X2477" s="6"/>
      <c r="Y2477" s="6"/>
    </row>
    <row r="2478" spans="1:25" ht="15" customHeight="1" x14ac:dyDescent="0.2">
      <c r="A2478" s="88" t="s">
        <v>2631</v>
      </c>
      <c r="B2478" s="90"/>
      <c r="C2478" s="88" t="s">
        <v>2973</v>
      </c>
      <c r="D2478" s="89"/>
      <c r="E2478" s="89"/>
      <c r="F2478" s="89"/>
      <c r="G2478" s="89"/>
      <c r="H2478" s="89"/>
      <c r="I2478" s="90"/>
      <c r="J2478" s="88" t="s">
        <v>1499</v>
      </c>
      <c r="K2478" s="89"/>
      <c r="L2478" s="89"/>
      <c r="M2478" s="90"/>
      <c r="N2478" s="88" t="s">
        <v>701</v>
      </c>
      <c r="O2478" s="89"/>
      <c r="P2478" s="90"/>
      <c r="Q2478" s="133">
        <v>2996</v>
      </c>
      <c r="R2478" s="134"/>
      <c r="S2478" s="5" t="s">
        <v>2633</v>
      </c>
      <c r="T2478" s="6"/>
      <c r="U2478" s="8">
        <v>5</v>
      </c>
      <c r="V2478" s="5" t="s">
        <v>106</v>
      </c>
      <c r="W2478" s="12">
        <v>27156102</v>
      </c>
      <c r="X2478" s="6"/>
      <c r="Y2478" s="6"/>
    </row>
    <row r="2479" spans="1:25" ht="15" customHeight="1" x14ac:dyDescent="0.2">
      <c r="A2479" s="88" t="s">
        <v>2631</v>
      </c>
      <c r="B2479" s="90"/>
      <c r="C2479" s="88" t="s">
        <v>2974</v>
      </c>
      <c r="D2479" s="89"/>
      <c r="E2479" s="89"/>
      <c r="F2479" s="89"/>
      <c r="G2479" s="89"/>
      <c r="H2479" s="89"/>
      <c r="I2479" s="90"/>
      <c r="J2479" s="88" t="s">
        <v>1499</v>
      </c>
      <c r="K2479" s="89"/>
      <c r="L2479" s="89"/>
      <c r="M2479" s="90"/>
      <c r="N2479" s="88" t="s">
        <v>701</v>
      </c>
      <c r="O2479" s="89"/>
      <c r="P2479" s="90"/>
      <c r="Q2479" s="133">
        <v>2996</v>
      </c>
      <c r="R2479" s="134"/>
      <c r="S2479" s="5" t="s">
        <v>2633</v>
      </c>
      <c r="T2479" s="6"/>
      <c r="U2479" s="8">
        <v>5</v>
      </c>
      <c r="V2479" s="5" t="s">
        <v>106</v>
      </c>
      <c r="W2479" s="12">
        <v>26011809</v>
      </c>
      <c r="X2479" s="6"/>
      <c r="Y2479" s="6"/>
    </row>
    <row r="2480" spans="1:25" ht="15" customHeight="1" x14ac:dyDescent="0.2">
      <c r="A2480" s="88" t="s">
        <v>2631</v>
      </c>
      <c r="B2480" s="90"/>
      <c r="C2480" s="88" t="s">
        <v>2975</v>
      </c>
      <c r="D2480" s="89"/>
      <c r="E2480" s="89"/>
      <c r="F2480" s="89"/>
      <c r="G2480" s="89"/>
      <c r="H2480" s="89"/>
      <c r="I2480" s="90"/>
      <c r="J2480" s="88" t="s">
        <v>1499</v>
      </c>
      <c r="K2480" s="89"/>
      <c r="L2480" s="89"/>
      <c r="M2480" s="90"/>
      <c r="N2480" s="88" t="s">
        <v>701</v>
      </c>
      <c r="O2480" s="89"/>
      <c r="P2480" s="90"/>
      <c r="Q2480" s="133">
        <v>2996</v>
      </c>
      <c r="R2480" s="134"/>
      <c r="S2480" s="5" t="s">
        <v>2633</v>
      </c>
      <c r="T2480" s="6"/>
      <c r="U2480" s="8">
        <v>5</v>
      </c>
      <c r="V2480" s="5" t="s">
        <v>106</v>
      </c>
      <c r="W2480" s="12">
        <v>24689493</v>
      </c>
      <c r="X2480" s="6"/>
      <c r="Y2480" s="6"/>
    </row>
    <row r="2481" spans="1:25" ht="15" customHeight="1" x14ac:dyDescent="0.2">
      <c r="A2481" s="88" t="s">
        <v>2631</v>
      </c>
      <c r="B2481" s="90"/>
      <c r="C2481" s="88" t="s">
        <v>2976</v>
      </c>
      <c r="D2481" s="90"/>
      <c r="E2481" s="106"/>
      <c r="F2481" s="107"/>
      <c r="G2481" s="107"/>
      <c r="H2481" s="107"/>
      <c r="I2481" s="108"/>
      <c r="J2481" s="88" t="s">
        <v>1499</v>
      </c>
      <c r="K2481" s="89"/>
      <c r="L2481" s="89"/>
      <c r="M2481" s="90"/>
      <c r="N2481" s="88" t="s">
        <v>701</v>
      </c>
      <c r="O2481" s="89"/>
      <c r="P2481" s="90"/>
      <c r="Q2481" s="133">
        <v>2996</v>
      </c>
      <c r="R2481" s="134"/>
      <c r="S2481" s="5" t="s">
        <v>2633</v>
      </c>
      <c r="T2481" s="6"/>
      <c r="U2481" s="8">
        <v>5</v>
      </c>
      <c r="V2481" s="5" t="s">
        <v>106</v>
      </c>
      <c r="W2481" s="12">
        <v>22122664</v>
      </c>
      <c r="X2481" s="6"/>
      <c r="Y2481" s="6"/>
    </row>
    <row r="2482" spans="1:25" ht="15" customHeight="1" x14ac:dyDescent="0.2">
      <c r="A2482" s="88" t="s">
        <v>2631</v>
      </c>
      <c r="B2482" s="90"/>
      <c r="C2482" s="88" t="s">
        <v>2977</v>
      </c>
      <c r="D2482" s="90"/>
      <c r="E2482" s="106"/>
      <c r="F2482" s="107"/>
      <c r="G2482" s="107"/>
      <c r="H2482" s="107"/>
      <c r="I2482" s="108"/>
      <c r="J2482" s="88" t="s">
        <v>1499</v>
      </c>
      <c r="K2482" s="89"/>
      <c r="L2482" s="89"/>
      <c r="M2482" s="90"/>
      <c r="N2482" s="88" t="s">
        <v>701</v>
      </c>
      <c r="O2482" s="89"/>
      <c r="P2482" s="90"/>
      <c r="Q2482" s="133">
        <v>2996</v>
      </c>
      <c r="R2482" s="134"/>
      <c r="S2482" s="5" t="s">
        <v>2633</v>
      </c>
      <c r="T2482" s="6"/>
      <c r="U2482" s="8">
        <v>5</v>
      </c>
      <c r="V2482" s="5" t="s">
        <v>702</v>
      </c>
      <c r="W2482" s="12">
        <v>20507650</v>
      </c>
      <c r="X2482" s="6"/>
      <c r="Y2482" s="6"/>
    </row>
    <row r="2483" spans="1:25" ht="15" customHeight="1" x14ac:dyDescent="0.2">
      <c r="A2483" s="88" t="s">
        <v>2631</v>
      </c>
      <c r="B2483" s="90"/>
      <c r="C2483" s="88" t="s">
        <v>2978</v>
      </c>
      <c r="D2483" s="89"/>
      <c r="E2483" s="89"/>
      <c r="F2483" s="89"/>
      <c r="G2483" s="89"/>
      <c r="H2483" s="89"/>
      <c r="I2483" s="90"/>
      <c r="J2483" s="88" t="s">
        <v>1499</v>
      </c>
      <c r="K2483" s="89"/>
      <c r="L2483" s="89"/>
      <c r="M2483" s="90"/>
      <c r="N2483" s="88" t="s">
        <v>701</v>
      </c>
      <c r="O2483" s="89"/>
      <c r="P2483" s="90"/>
      <c r="Q2483" s="133">
        <v>2996</v>
      </c>
      <c r="R2483" s="134"/>
      <c r="S2483" s="5" t="s">
        <v>2633</v>
      </c>
      <c r="T2483" s="6"/>
      <c r="U2483" s="8">
        <v>5</v>
      </c>
      <c r="V2483" s="5" t="s">
        <v>702</v>
      </c>
      <c r="W2483" s="12">
        <v>23903782</v>
      </c>
      <c r="X2483" s="6"/>
      <c r="Y2483" s="6"/>
    </row>
    <row r="2484" spans="1:25" ht="15" customHeight="1" x14ac:dyDescent="0.2">
      <c r="A2484" s="88" t="s">
        <v>2631</v>
      </c>
      <c r="B2484" s="90"/>
      <c r="C2484" s="88" t="s">
        <v>2979</v>
      </c>
      <c r="D2484" s="89"/>
      <c r="E2484" s="89"/>
      <c r="F2484" s="89"/>
      <c r="G2484" s="89"/>
      <c r="H2484" s="89"/>
      <c r="I2484" s="90"/>
      <c r="J2484" s="88" t="s">
        <v>1499</v>
      </c>
      <c r="K2484" s="89"/>
      <c r="L2484" s="89"/>
      <c r="M2484" s="90"/>
      <c r="N2484" s="88" t="s">
        <v>701</v>
      </c>
      <c r="O2484" s="89"/>
      <c r="P2484" s="90"/>
      <c r="Q2484" s="133">
        <v>2996</v>
      </c>
      <c r="R2484" s="134"/>
      <c r="S2484" s="5" t="s">
        <v>2633</v>
      </c>
      <c r="T2484" s="6"/>
      <c r="U2484" s="8">
        <v>5</v>
      </c>
      <c r="V2484" s="5" t="s">
        <v>702</v>
      </c>
      <c r="W2484" s="12">
        <v>22682879</v>
      </c>
      <c r="X2484" s="6"/>
      <c r="Y2484" s="6"/>
    </row>
    <row r="2485" spans="1:25" ht="15" customHeight="1" x14ac:dyDescent="0.2">
      <c r="A2485" s="88" t="s">
        <v>2631</v>
      </c>
      <c r="B2485" s="90"/>
      <c r="C2485" s="88" t="s">
        <v>2980</v>
      </c>
      <c r="D2485" s="89"/>
      <c r="E2485" s="89"/>
      <c r="F2485" s="89"/>
      <c r="G2485" s="89"/>
      <c r="H2485" s="89"/>
      <c r="I2485" s="90"/>
      <c r="J2485" s="88" t="s">
        <v>1499</v>
      </c>
      <c r="K2485" s="89"/>
      <c r="L2485" s="89"/>
      <c r="M2485" s="90"/>
      <c r="N2485" s="88" t="s">
        <v>701</v>
      </c>
      <c r="O2485" s="89"/>
      <c r="P2485" s="90"/>
      <c r="Q2485" s="133">
        <v>2996</v>
      </c>
      <c r="R2485" s="134"/>
      <c r="S2485" s="5" t="s">
        <v>2633</v>
      </c>
      <c r="T2485" s="6"/>
      <c r="U2485" s="8">
        <v>5</v>
      </c>
      <c r="V2485" s="5" t="s">
        <v>702</v>
      </c>
      <c r="W2485" s="12">
        <v>20318671</v>
      </c>
      <c r="X2485" s="6"/>
      <c r="Y2485" s="6"/>
    </row>
    <row r="2486" spans="1:25" ht="15" customHeight="1" x14ac:dyDescent="0.2">
      <c r="A2486" s="88" t="s">
        <v>2631</v>
      </c>
      <c r="B2486" s="90"/>
      <c r="C2486" s="88" t="s">
        <v>2981</v>
      </c>
      <c r="D2486" s="89"/>
      <c r="E2486" s="89"/>
      <c r="F2486" s="89"/>
      <c r="G2486" s="89"/>
      <c r="H2486" s="89"/>
      <c r="I2486" s="90"/>
      <c r="J2486" s="88" t="s">
        <v>1499</v>
      </c>
      <c r="K2486" s="89"/>
      <c r="L2486" s="89"/>
      <c r="M2486" s="90"/>
      <c r="N2486" s="88" t="s">
        <v>701</v>
      </c>
      <c r="O2486" s="89"/>
      <c r="P2486" s="90"/>
      <c r="Q2486" s="133">
        <v>2996</v>
      </c>
      <c r="R2486" s="134"/>
      <c r="S2486" s="5" t="s">
        <v>2633</v>
      </c>
      <c r="T2486" s="6"/>
      <c r="U2486" s="8">
        <v>5</v>
      </c>
      <c r="V2486" s="5" t="s">
        <v>702</v>
      </c>
      <c r="W2486" s="12">
        <v>23762581</v>
      </c>
      <c r="X2486" s="6"/>
      <c r="Y2486" s="6"/>
    </row>
    <row r="2487" spans="1:25" ht="15" customHeight="1" x14ac:dyDescent="0.2">
      <c r="A2487" s="88" t="s">
        <v>2631</v>
      </c>
      <c r="B2487" s="90"/>
      <c r="C2487" s="88" t="s">
        <v>2982</v>
      </c>
      <c r="D2487" s="89"/>
      <c r="E2487" s="89"/>
      <c r="F2487" s="89"/>
      <c r="G2487" s="89"/>
      <c r="H2487" s="89"/>
      <c r="I2487" s="90"/>
      <c r="J2487" s="88" t="s">
        <v>1499</v>
      </c>
      <c r="K2487" s="89"/>
      <c r="L2487" s="89"/>
      <c r="M2487" s="90"/>
      <c r="N2487" s="88" t="s">
        <v>701</v>
      </c>
      <c r="O2487" s="89"/>
      <c r="P2487" s="90"/>
      <c r="Q2487" s="133">
        <v>2996</v>
      </c>
      <c r="R2487" s="134"/>
      <c r="S2487" s="5" t="s">
        <v>2633</v>
      </c>
      <c r="T2487" s="6"/>
      <c r="U2487" s="8">
        <v>5</v>
      </c>
      <c r="V2487" s="5" t="s">
        <v>106</v>
      </c>
      <c r="W2487" s="12">
        <v>24191688</v>
      </c>
      <c r="X2487" s="6"/>
      <c r="Y2487" s="6"/>
    </row>
    <row r="2488" spans="1:25" ht="15" customHeight="1" x14ac:dyDescent="0.2">
      <c r="A2488" s="88" t="s">
        <v>2631</v>
      </c>
      <c r="B2488" s="90"/>
      <c r="C2488" s="88" t="s">
        <v>2983</v>
      </c>
      <c r="D2488" s="89"/>
      <c r="E2488" s="89"/>
      <c r="F2488" s="89"/>
      <c r="G2488" s="89"/>
      <c r="H2488" s="89"/>
      <c r="I2488" s="90"/>
      <c r="J2488" s="88" t="s">
        <v>1499</v>
      </c>
      <c r="K2488" s="89"/>
      <c r="L2488" s="89"/>
      <c r="M2488" s="90"/>
      <c r="N2488" s="88" t="s">
        <v>701</v>
      </c>
      <c r="O2488" s="89"/>
      <c r="P2488" s="90"/>
      <c r="Q2488" s="133">
        <v>2996</v>
      </c>
      <c r="R2488" s="134"/>
      <c r="S2488" s="5" t="s">
        <v>2633</v>
      </c>
      <c r="T2488" s="6"/>
      <c r="U2488" s="8">
        <v>5</v>
      </c>
      <c r="V2488" s="5" t="s">
        <v>702</v>
      </c>
      <c r="W2488" s="12">
        <v>23289374</v>
      </c>
      <c r="X2488" s="6"/>
      <c r="Y2488" s="6"/>
    </row>
    <row r="2489" spans="1:25" ht="15" customHeight="1" x14ac:dyDescent="0.2">
      <c r="A2489" s="88" t="s">
        <v>2631</v>
      </c>
      <c r="B2489" s="90"/>
      <c r="C2489" s="88" t="s">
        <v>2984</v>
      </c>
      <c r="D2489" s="89"/>
      <c r="E2489" s="89"/>
      <c r="F2489" s="89"/>
      <c r="G2489" s="89"/>
      <c r="H2489" s="89"/>
      <c r="I2489" s="90"/>
      <c r="J2489" s="88" t="s">
        <v>1499</v>
      </c>
      <c r="K2489" s="89"/>
      <c r="L2489" s="89"/>
      <c r="M2489" s="90"/>
      <c r="N2489" s="88" t="s">
        <v>701</v>
      </c>
      <c r="O2489" s="89"/>
      <c r="P2489" s="90"/>
      <c r="Q2489" s="133">
        <v>2996</v>
      </c>
      <c r="R2489" s="134"/>
      <c r="S2489" s="5" t="s">
        <v>2633</v>
      </c>
      <c r="T2489" s="6"/>
      <c r="U2489" s="8">
        <v>5</v>
      </c>
      <c r="V2489" s="5" t="s">
        <v>702</v>
      </c>
      <c r="W2489" s="12">
        <v>24960052</v>
      </c>
      <c r="X2489" s="6"/>
      <c r="Y2489" s="6"/>
    </row>
    <row r="2490" spans="1:25" ht="15" customHeight="1" x14ac:dyDescent="0.2">
      <c r="A2490" s="88" t="s">
        <v>2631</v>
      </c>
      <c r="B2490" s="90"/>
      <c r="C2490" s="88" t="s">
        <v>2985</v>
      </c>
      <c r="D2490" s="89"/>
      <c r="E2490" s="89"/>
      <c r="F2490" s="89"/>
      <c r="G2490" s="89"/>
      <c r="H2490" s="89"/>
      <c r="I2490" s="90"/>
      <c r="J2490" s="88" t="s">
        <v>1499</v>
      </c>
      <c r="K2490" s="89"/>
      <c r="L2490" s="89"/>
      <c r="M2490" s="90"/>
      <c r="N2490" s="88" t="s">
        <v>701</v>
      </c>
      <c r="O2490" s="89"/>
      <c r="P2490" s="90"/>
      <c r="Q2490" s="133">
        <v>2996</v>
      </c>
      <c r="R2490" s="134"/>
      <c r="S2490" s="5" t="s">
        <v>2633</v>
      </c>
      <c r="T2490" s="6"/>
      <c r="U2490" s="8">
        <v>5</v>
      </c>
      <c r="V2490" s="5" t="s">
        <v>702</v>
      </c>
      <c r="W2490" s="12">
        <v>22171024</v>
      </c>
      <c r="X2490" s="6"/>
      <c r="Y2490" s="6"/>
    </row>
    <row r="2491" spans="1:25" ht="15" customHeight="1" x14ac:dyDescent="0.2">
      <c r="A2491" s="88" t="s">
        <v>2631</v>
      </c>
      <c r="B2491" s="90"/>
      <c r="C2491" s="88" t="s">
        <v>2986</v>
      </c>
      <c r="D2491" s="89"/>
      <c r="E2491" s="89"/>
      <c r="F2491" s="89"/>
      <c r="G2491" s="89"/>
      <c r="H2491" s="89"/>
      <c r="I2491" s="90"/>
      <c r="J2491" s="88" t="s">
        <v>1499</v>
      </c>
      <c r="K2491" s="89"/>
      <c r="L2491" s="89"/>
      <c r="M2491" s="90"/>
      <c r="N2491" s="88" t="s">
        <v>701</v>
      </c>
      <c r="O2491" s="89"/>
      <c r="P2491" s="90"/>
      <c r="Q2491" s="133">
        <v>2996</v>
      </c>
      <c r="R2491" s="134"/>
      <c r="S2491" s="5" t="s">
        <v>2633</v>
      </c>
      <c r="T2491" s="6"/>
      <c r="U2491" s="8">
        <v>5</v>
      </c>
      <c r="V2491" s="5" t="s">
        <v>106</v>
      </c>
      <c r="W2491" s="12">
        <v>25840379</v>
      </c>
      <c r="X2491" s="6"/>
      <c r="Y2491" s="6"/>
    </row>
    <row r="2492" spans="1:25" ht="15" customHeight="1" x14ac:dyDescent="0.2">
      <c r="A2492" s="88" t="s">
        <v>2631</v>
      </c>
      <c r="B2492" s="90"/>
      <c r="C2492" s="88" t="s">
        <v>2987</v>
      </c>
      <c r="D2492" s="89"/>
      <c r="E2492" s="89"/>
      <c r="F2492" s="89"/>
      <c r="G2492" s="89"/>
      <c r="H2492" s="89"/>
      <c r="I2492" s="90"/>
      <c r="J2492" s="88" t="s">
        <v>1499</v>
      </c>
      <c r="K2492" s="89"/>
      <c r="L2492" s="89"/>
      <c r="M2492" s="90"/>
      <c r="N2492" s="88" t="s">
        <v>701</v>
      </c>
      <c r="O2492" s="89"/>
      <c r="P2492" s="90"/>
      <c r="Q2492" s="133">
        <v>2996</v>
      </c>
      <c r="R2492" s="134"/>
      <c r="S2492" s="5" t="s">
        <v>2633</v>
      </c>
      <c r="T2492" s="6"/>
      <c r="U2492" s="8">
        <v>5</v>
      </c>
      <c r="V2492" s="5" t="s">
        <v>106</v>
      </c>
      <c r="W2492" s="12">
        <v>25374222</v>
      </c>
      <c r="X2492" s="6"/>
      <c r="Y2492" s="6"/>
    </row>
    <row r="2493" spans="1:25" ht="15" customHeight="1" x14ac:dyDescent="0.2">
      <c r="A2493" s="88" t="s">
        <v>2631</v>
      </c>
      <c r="B2493" s="90"/>
      <c r="C2493" s="88" t="s">
        <v>2988</v>
      </c>
      <c r="D2493" s="90"/>
      <c r="E2493" s="106"/>
      <c r="F2493" s="107"/>
      <c r="G2493" s="107"/>
      <c r="H2493" s="107"/>
      <c r="I2493" s="108"/>
      <c r="J2493" s="88" t="s">
        <v>1499</v>
      </c>
      <c r="K2493" s="89"/>
      <c r="L2493" s="89"/>
      <c r="M2493" s="90"/>
      <c r="N2493" s="88" t="s">
        <v>701</v>
      </c>
      <c r="O2493" s="89"/>
      <c r="P2493" s="90"/>
      <c r="Q2493" s="133">
        <v>2996</v>
      </c>
      <c r="R2493" s="134"/>
      <c r="S2493" s="5" t="s">
        <v>2633</v>
      </c>
      <c r="T2493" s="6"/>
      <c r="U2493" s="8">
        <v>5</v>
      </c>
      <c r="V2493" s="5" t="s">
        <v>106</v>
      </c>
      <c r="W2493" s="12">
        <v>22327390</v>
      </c>
      <c r="X2493" s="6"/>
      <c r="Y2493" s="6"/>
    </row>
    <row r="2494" spans="1:25" ht="15" customHeight="1" x14ac:dyDescent="0.2">
      <c r="A2494" s="88" t="s">
        <v>2631</v>
      </c>
      <c r="B2494" s="90"/>
      <c r="C2494" s="88" t="s">
        <v>2989</v>
      </c>
      <c r="D2494" s="89"/>
      <c r="E2494" s="89"/>
      <c r="F2494" s="89"/>
      <c r="G2494" s="89"/>
      <c r="H2494" s="89"/>
      <c r="I2494" s="90"/>
      <c r="J2494" s="88" t="s">
        <v>1499</v>
      </c>
      <c r="K2494" s="89"/>
      <c r="L2494" s="89"/>
      <c r="M2494" s="90"/>
      <c r="N2494" s="88" t="s">
        <v>701</v>
      </c>
      <c r="O2494" s="89"/>
      <c r="P2494" s="90"/>
      <c r="Q2494" s="133">
        <v>2996</v>
      </c>
      <c r="R2494" s="134"/>
      <c r="S2494" s="5" t="s">
        <v>2633</v>
      </c>
      <c r="T2494" s="6"/>
      <c r="U2494" s="8">
        <v>5</v>
      </c>
      <c r="V2494" s="5" t="s">
        <v>702</v>
      </c>
      <c r="W2494" s="12">
        <v>23750408</v>
      </c>
      <c r="X2494" s="6"/>
      <c r="Y2494" s="6"/>
    </row>
    <row r="2495" spans="1:25" ht="15" customHeight="1" x14ac:dyDescent="0.2">
      <c r="A2495" s="88" t="s">
        <v>2631</v>
      </c>
      <c r="B2495" s="90"/>
      <c r="C2495" s="88" t="s">
        <v>2990</v>
      </c>
      <c r="D2495" s="89"/>
      <c r="E2495" s="89"/>
      <c r="F2495" s="89"/>
      <c r="G2495" s="89"/>
      <c r="H2495" s="89"/>
      <c r="I2495" s="90"/>
      <c r="J2495" s="88" t="s">
        <v>1499</v>
      </c>
      <c r="K2495" s="89"/>
      <c r="L2495" s="89"/>
      <c r="M2495" s="90"/>
      <c r="N2495" s="88" t="s">
        <v>701</v>
      </c>
      <c r="O2495" s="89"/>
      <c r="P2495" s="90"/>
      <c r="Q2495" s="133">
        <v>2996</v>
      </c>
      <c r="R2495" s="134"/>
      <c r="S2495" s="5" t="s">
        <v>2633</v>
      </c>
      <c r="T2495" s="6"/>
      <c r="U2495" s="8">
        <v>5</v>
      </c>
      <c r="V2495" s="5" t="s">
        <v>702</v>
      </c>
      <c r="W2495" s="12">
        <v>22360003</v>
      </c>
      <c r="X2495" s="6"/>
      <c r="Y2495" s="6"/>
    </row>
    <row r="2496" spans="1:25" ht="15" customHeight="1" x14ac:dyDescent="0.2">
      <c r="A2496" s="88" t="s">
        <v>2631</v>
      </c>
      <c r="B2496" s="90"/>
      <c r="C2496" s="88" t="s">
        <v>2991</v>
      </c>
      <c r="D2496" s="89"/>
      <c r="E2496" s="89"/>
      <c r="F2496" s="89"/>
      <c r="G2496" s="89"/>
      <c r="H2496" s="89"/>
      <c r="I2496" s="90"/>
      <c r="J2496" s="88" t="s">
        <v>1499</v>
      </c>
      <c r="K2496" s="89"/>
      <c r="L2496" s="89"/>
      <c r="M2496" s="90"/>
      <c r="N2496" s="88" t="s">
        <v>701</v>
      </c>
      <c r="O2496" s="89"/>
      <c r="P2496" s="90"/>
      <c r="Q2496" s="133">
        <v>2996</v>
      </c>
      <c r="R2496" s="134"/>
      <c r="S2496" s="5" t="s">
        <v>2633</v>
      </c>
      <c r="T2496" s="6"/>
      <c r="U2496" s="8">
        <v>5</v>
      </c>
      <c r="V2496" s="5" t="s">
        <v>106</v>
      </c>
      <c r="W2496" s="12">
        <v>25340596</v>
      </c>
      <c r="X2496" s="6"/>
      <c r="Y2496" s="6"/>
    </row>
    <row r="2497" spans="1:25" ht="15" customHeight="1" x14ac:dyDescent="0.2">
      <c r="A2497" s="88" t="s">
        <v>2631</v>
      </c>
      <c r="B2497" s="90"/>
      <c r="C2497" s="88" t="s">
        <v>2992</v>
      </c>
      <c r="D2497" s="89"/>
      <c r="E2497" s="89"/>
      <c r="F2497" s="89"/>
      <c r="G2497" s="89"/>
      <c r="H2497" s="89"/>
      <c r="I2497" s="90"/>
      <c r="J2497" s="88" t="s">
        <v>1499</v>
      </c>
      <c r="K2497" s="89"/>
      <c r="L2497" s="89"/>
      <c r="M2497" s="90"/>
      <c r="N2497" s="88" t="s">
        <v>701</v>
      </c>
      <c r="O2497" s="89"/>
      <c r="P2497" s="90"/>
      <c r="Q2497" s="133">
        <v>2996</v>
      </c>
      <c r="R2497" s="134"/>
      <c r="S2497" s="5" t="s">
        <v>2633</v>
      </c>
      <c r="T2497" s="6"/>
      <c r="U2497" s="8">
        <v>5</v>
      </c>
      <c r="V2497" s="5" t="s">
        <v>702</v>
      </c>
      <c r="W2497" s="12">
        <v>22228844</v>
      </c>
      <c r="X2497" s="6"/>
      <c r="Y2497" s="6"/>
    </row>
    <row r="2498" spans="1:25" ht="15" customHeight="1" x14ac:dyDescent="0.2">
      <c r="A2498" s="88" t="s">
        <v>2631</v>
      </c>
      <c r="B2498" s="90"/>
      <c r="C2498" s="88" t="s">
        <v>2993</v>
      </c>
      <c r="D2498" s="89"/>
      <c r="E2498" s="89"/>
      <c r="F2498" s="89"/>
      <c r="G2498" s="89"/>
      <c r="H2498" s="89"/>
      <c r="I2498" s="90"/>
      <c r="J2498" s="88" t="s">
        <v>1499</v>
      </c>
      <c r="K2498" s="89"/>
      <c r="L2498" s="89"/>
      <c r="M2498" s="90"/>
      <c r="N2498" s="88" t="s">
        <v>701</v>
      </c>
      <c r="O2498" s="89"/>
      <c r="P2498" s="90"/>
      <c r="Q2498" s="133">
        <v>2996</v>
      </c>
      <c r="R2498" s="134"/>
      <c r="S2498" s="5" t="s">
        <v>2633</v>
      </c>
      <c r="T2498" s="6"/>
      <c r="U2498" s="8">
        <v>5</v>
      </c>
      <c r="V2498" s="5" t="s">
        <v>702</v>
      </c>
      <c r="W2498" s="12">
        <v>23315241</v>
      </c>
      <c r="X2498" s="6"/>
      <c r="Y2498" s="6"/>
    </row>
    <row r="2499" spans="1:25" ht="15" customHeight="1" x14ac:dyDescent="0.2">
      <c r="A2499" s="88" t="s">
        <v>2631</v>
      </c>
      <c r="B2499" s="90"/>
      <c r="C2499" s="88" t="s">
        <v>2994</v>
      </c>
      <c r="D2499" s="90"/>
      <c r="E2499" s="106"/>
      <c r="F2499" s="107"/>
      <c r="G2499" s="107"/>
      <c r="H2499" s="107"/>
      <c r="I2499" s="108"/>
      <c r="J2499" s="88" t="s">
        <v>1499</v>
      </c>
      <c r="K2499" s="89"/>
      <c r="L2499" s="89"/>
      <c r="M2499" s="90"/>
      <c r="N2499" s="88" t="s">
        <v>22</v>
      </c>
      <c r="O2499" s="89"/>
      <c r="P2499" s="90"/>
      <c r="Q2499" s="133">
        <v>3000</v>
      </c>
      <c r="R2499" s="134"/>
      <c r="S2499" s="5" t="s">
        <v>2633</v>
      </c>
      <c r="T2499" s="6"/>
      <c r="U2499" s="6"/>
      <c r="V2499" s="5" t="s">
        <v>106</v>
      </c>
      <c r="W2499" s="12">
        <v>24379271</v>
      </c>
      <c r="X2499" s="6"/>
      <c r="Y2499" s="6"/>
    </row>
    <row r="2500" spans="1:25" ht="15" customHeight="1" x14ac:dyDescent="0.2">
      <c r="A2500" s="88" t="s">
        <v>2631</v>
      </c>
      <c r="B2500" s="90"/>
      <c r="C2500" s="88" t="s">
        <v>2995</v>
      </c>
      <c r="D2500" s="90"/>
      <c r="E2500" s="106"/>
      <c r="F2500" s="107"/>
      <c r="G2500" s="107"/>
      <c r="H2500" s="107"/>
      <c r="I2500" s="108"/>
      <c r="J2500" s="88" t="s">
        <v>1499</v>
      </c>
      <c r="K2500" s="89"/>
      <c r="L2500" s="89"/>
      <c r="M2500" s="90"/>
      <c r="N2500" s="88" t="s">
        <v>22</v>
      </c>
      <c r="O2500" s="89"/>
      <c r="P2500" s="90"/>
      <c r="Q2500" s="133">
        <v>3000</v>
      </c>
      <c r="R2500" s="134"/>
      <c r="S2500" s="5" t="s">
        <v>2633</v>
      </c>
      <c r="T2500" s="6"/>
      <c r="U2500" s="6"/>
      <c r="V2500" s="5" t="s">
        <v>106</v>
      </c>
      <c r="W2500" s="12">
        <v>18774841</v>
      </c>
      <c r="X2500" s="6"/>
      <c r="Y2500" s="6"/>
    </row>
    <row r="2501" spans="1:25" ht="15" customHeight="1" x14ac:dyDescent="0.2">
      <c r="A2501" s="88" t="s">
        <v>2631</v>
      </c>
      <c r="B2501" s="90"/>
      <c r="C2501" s="88" t="s">
        <v>2996</v>
      </c>
      <c r="D2501" s="90"/>
      <c r="E2501" s="106"/>
      <c r="F2501" s="107"/>
      <c r="G2501" s="107"/>
      <c r="H2501" s="107"/>
      <c r="I2501" s="108"/>
      <c r="J2501" s="88" t="s">
        <v>1499</v>
      </c>
      <c r="K2501" s="89"/>
      <c r="L2501" s="89"/>
      <c r="M2501" s="90"/>
      <c r="N2501" s="88" t="s">
        <v>22</v>
      </c>
      <c r="O2501" s="89"/>
      <c r="P2501" s="90"/>
      <c r="Q2501" s="133">
        <v>3000</v>
      </c>
      <c r="R2501" s="134"/>
      <c r="S2501" s="5" t="s">
        <v>2633</v>
      </c>
      <c r="T2501" s="6"/>
      <c r="U2501" s="6"/>
      <c r="V2501" s="5" t="s">
        <v>106</v>
      </c>
      <c r="W2501" s="12">
        <v>21082548</v>
      </c>
      <c r="X2501" s="6"/>
      <c r="Y2501" s="6"/>
    </row>
    <row r="2502" spans="1:25" ht="15" customHeight="1" x14ac:dyDescent="0.2">
      <c r="A2502" s="88" t="s">
        <v>2631</v>
      </c>
      <c r="B2502" s="90"/>
      <c r="C2502" s="88" t="s">
        <v>2997</v>
      </c>
      <c r="D2502" s="90"/>
      <c r="E2502" s="106"/>
      <c r="F2502" s="107"/>
      <c r="G2502" s="107"/>
      <c r="H2502" s="107"/>
      <c r="I2502" s="108"/>
      <c r="J2502" s="88" t="s">
        <v>1499</v>
      </c>
      <c r="K2502" s="89"/>
      <c r="L2502" s="89"/>
      <c r="M2502" s="90"/>
      <c r="N2502" s="88" t="s">
        <v>22</v>
      </c>
      <c r="O2502" s="89"/>
      <c r="P2502" s="90"/>
      <c r="Q2502" s="133">
        <v>3000</v>
      </c>
      <c r="R2502" s="134"/>
      <c r="S2502" s="5" t="s">
        <v>2633</v>
      </c>
      <c r="T2502" s="6"/>
      <c r="U2502" s="6"/>
      <c r="V2502" s="5" t="s">
        <v>106</v>
      </c>
      <c r="W2502" s="12">
        <v>16480321</v>
      </c>
      <c r="X2502" s="6"/>
      <c r="Y2502" s="6"/>
    </row>
    <row r="2503" spans="1:25" ht="15" customHeight="1" x14ac:dyDescent="0.2">
      <c r="A2503" s="88" t="s">
        <v>2631</v>
      </c>
      <c r="B2503" s="90"/>
      <c r="C2503" s="88" t="s">
        <v>2998</v>
      </c>
      <c r="D2503" s="90"/>
      <c r="E2503" s="106"/>
      <c r="F2503" s="107"/>
      <c r="G2503" s="107"/>
      <c r="H2503" s="107"/>
      <c r="I2503" s="108"/>
      <c r="J2503" s="88" t="s">
        <v>1499</v>
      </c>
      <c r="K2503" s="89"/>
      <c r="L2503" s="89"/>
      <c r="M2503" s="90"/>
      <c r="N2503" s="88" t="s">
        <v>701</v>
      </c>
      <c r="O2503" s="89"/>
      <c r="P2503" s="90"/>
      <c r="Q2503" s="133">
        <v>3000</v>
      </c>
      <c r="R2503" s="134"/>
      <c r="S2503" s="5" t="s">
        <v>2633</v>
      </c>
      <c r="T2503" s="6"/>
      <c r="U2503" s="6"/>
      <c r="V2503" s="5" t="s">
        <v>702</v>
      </c>
      <c r="W2503" s="12">
        <v>20799790</v>
      </c>
      <c r="X2503" s="6"/>
      <c r="Y2503" s="6"/>
    </row>
    <row r="2504" spans="1:25" ht="15" customHeight="1" x14ac:dyDescent="0.2">
      <c r="A2504" s="88" t="s">
        <v>2631</v>
      </c>
      <c r="B2504" s="90"/>
      <c r="C2504" s="88" t="s">
        <v>2999</v>
      </c>
      <c r="D2504" s="90"/>
      <c r="E2504" s="106"/>
      <c r="F2504" s="107"/>
      <c r="G2504" s="107"/>
      <c r="H2504" s="107"/>
      <c r="I2504" s="108"/>
      <c r="J2504" s="88" t="s">
        <v>1499</v>
      </c>
      <c r="K2504" s="89"/>
      <c r="L2504" s="89"/>
      <c r="M2504" s="90"/>
      <c r="N2504" s="88" t="s">
        <v>701</v>
      </c>
      <c r="O2504" s="89"/>
      <c r="P2504" s="90"/>
      <c r="Q2504" s="133">
        <v>3000</v>
      </c>
      <c r="R2504" s="134"/>
      <c r="S2504" s="5" t="s">
        <v>2633</v>
      </c>
      <c r="T2504" s="6"/>
      <c r="U2504" s="6"/>
      <c r="V2504" s="5" t="s">
        <v>702</v>
      </c>
      <c r="W2504" s="12">
        <v>19978145</v>
      </c>
      <c r="X2504" s="6"/>
      <c r="Y2504" s="6"/>
    </row>
    <row r="2505" spans="1:25" ht="15" customHeight="1" x14ac:dyDescent="0.2">
      <c r="A2505" s="88" t="s">
        <v>2631</v>
      </c>
      <c r="B2505" s="90"/>
      <c r="C2505" s="88" t="s">
        <v>3000</v>
      </c>
      <c r="D2505" s="90"/>
      <c r="E2505" s="106"/>
      <c r="F2505" s="107"/>
      <c r="G2505" s="107"/>
      <c r="H2505" s="107"/>
      <c r="I2505" s="108"/>
      <c r="J2505" s="88" t="s">
        <v>1499</v>
      </c>
      <c r="K2505" s="89"/>
      <c r="L2505" s="89"/>
      <c r="M2505" s="90"/>
      <c r="N2505" s="88" t="s">
        <v>701</v>
      </c>
      <c r="O2505" s="89"/>
      <c r="P2505" s="90"/>
      <c r="Q2505" s="133">
        <v>3000</v>
      </c>
      <c r="R2505" s="134"/>
      <c r="S2505" s="5" t="s">
        <v>2633</v>
      </c>
      <c r="T2505" s="6"/>
      <c r="U2505" s="6"/>
      <c r="V2505" s="5" t="s">
        <v>702</v>
      </c>
      <c r="W2505" s="12">
        <v>19080422</v>
      </c>
      <c r="X2505" s="6"/>
      <c r="Y2505" s="6"/>
    </row>
    <row r="2506" spans="1:25" ht="15" customHeight="1" x14ac:dyDescent="0.2">
      <c r="A2506" s="88" t="s">
        <v>2631</v>
      </c>
      <c r="B2506" s="90"/>
      <c r="C2506" s="88" t="s">
        <v>3001</v>
      </c>
      <c r="D2506" s="90"/>
      <c r="E2506" s="106"/>
      <c r="F2506" s="107"/>
      <c r="G2506" s="107"/>
      <c r="H2506" s="107"/>
      <c r="I2506" s="108"/>
      <c r="J2506" s="88" t="s">
        <v>1499</v>
      </c>
      <c r="K2506" s="89"/>
      <c r="L2506" s="89"/>
      <c r="M2506" s="90"/>
      <c r="N2506" s="88" t="s">
        <v>701</v>
      </c>
      <c r="O2506" s="89"/>
      <c r="P2506" s="90"/>
      <c r="Q2506" s="133">
        <v>3000</v>
      </c>
      <c r="R2506" s="134"/>
      <c r="S2506" s="5" t="s">
        <v>2633</v>
      </c>
      <c r="T2506" s="6"/>
      <c r="U2506" s="6"/>
      <c r="V2506" s="5" t="s">
        <v>702</v>
      </c>
      <c r="W2506" s="12">
        <v>25257975</v>
      </c>
      <c r="X2506" s="6"/>
      <c r="Y2506" s="6"/>
    </row>
    <row r="2507" spans="1:25" ht="15" customHeight="1" x14ac:dyDescent="0.2">
      <c r="A2507" s="88" t="s">
        <v>2631</v>
      </c>
      <c r="B2507" s="90"/>
      <c r="C2507" s="88" t="s">
        <v>3002</v>
      </c>
      <c r="D2507" s="89"/>
      <c r="E2507" s="89"/>
      <c r="F2507" s="89"/>
      <c r="G2507" s="89"/>
      <c r="H2507" s="89"/>
      <c r="I2507" s="90"/>
      <c r="J2507" s="88" t="s">
        <v>1499</v>
      </c>
      <c r="K2507" s="89"/>
      <c r="L2507" s="89"/>
      <c r="M2507" s="90"/>
      <c r="N2507" s="88" t="s">
        <v>701</v>
      </c>
      <c r="O2507" s="89"/>
      <c r="P2507" s="90"/>
      <c r="Q2507" s="133">
        <v>3000</v>
      </c>
      <c r="R2507" s="134"/>
      <c r="S2507" s="5" t="s">
        <v>2633</v>
      </c>
      <c r="T2507" s="6"/>
      <c r="U2507" s="6"/>
      <c r="V2507" s="5" t="s">
        <v>702</v>
      </c>
      <c r="W2507" s="12">
        <v>21788807</v>
      </c>
      <c r="X2507" s="6"/>
      <c r="Y2507" s="6"/>
    </row>
    <row r="2508" spans="1:25" ht="15" customHeight="1" x14ac:dyDescent="0.2">
      <c r="A2508" s="88" t="s">
        <v>2631</v>
      </c>
      <c r="B2508" s="90"/>
      <c r="C2508" s="88" t="s">
        <v>3003</v>
      </c>
      <c r="D2508" s="90"/>
      <c r="E2508" s="106"/>
      <c r="F2508" s="107"/>
      <c r="G2508" s="107"/>
      <c r="H2508" s="107"/>
      <c r="I2508" s="108"/>
      <c r="J2508" s="88" t="s">
        <v>1499</v>
      </c>
      <c r="K2508" s="89"/>
      <c r="L2508" s="89"/>
      <c r="M2508" s="90"/>
      <c r="N2508" s="88" t="s">
        <v>701</v>
      </c>
      <c r="O2508" s="89"/>
      <c r="P2508" s="90"/>
      <c r="Q2508" s="133">
        <v>3000</v>
      </c>
      <c r="R2508" s="134"/>
      <c r="S2508" s="5" t="s">
        <v>2633</v>
      </c>
      <c r="T2508" s="6"/>
      <c r="U2508" s="6"/>
      <c r="V2508" s="5" t="s">
        <v>702</v>
      </c>
      <c r="W2508" s="12">
        <v>19932498</v>
      </c>
      <c r="X2508" s="6"/>
      <c r="Y2508" s="6"/>
    </row>
    <row r="2509" spans="1:25" ht="15" customHeight="1" x14ac:dyDescent="0.2">
      <c r="A2509" s="88" t="s">
        <v>2631</v>
      </c>
      <c r="B2509" s="90"/>
      <c r="C2509" s="88" t="s">
        <v>3004</v>
      </c>
      <c r="D2509" s="90"/>
      <c r="E2509" s="106"/>
      <c r="F2509" s="107"/>
      <c r="G2509" s="107"/>
      <c r="H2509" s="107"/>
      <c r="I2509" s="108"/>
      <c r="J2509" s="88" t="s">
        <v>1499</v>
      </c>
      <c r="K2509" s="89"/>
      <c r="L2509" s="89"/>
      <c r="M2509" s="90"/>
      <c r="N2509" s="88" t="s">
        <v>701</v>
      </c>
      <c r="O2509" s="89"/>
      <c r="P2509" s="90"/>
      <c r="Q2509" s="133">
        <v>3000</v>
      </c>
      <c r="R2509" s="134"/>
      <c r="S2509" s="5" t="s">
        <v>2633</v>
      </c>
      <c r="T2509" s="6"/>
      <c r="U2509" s="6"/>
      <c r="V2509" s="5" t="s">
        <v>702</v>
      </c>
      <c r="W2509" s="12">
        <v>24497192</v>
      </c>
      <c r="X2509" s="6"/>
      <c r="Y2509" s="6"/>
    </row>
    <row r="2510" spans="1:25" ht="15" customHeight="1" x14ac:dyDescent="0.2">
      <c r="A2510" s="88" t="s">
        <v>2631</v>
      </c>
      <c r="B2510" s="90"/>
      <c r="C2510" s="88" t="s">
        <v>3005</v>
      </c>
      <c r="D2510" s="90"/>
      <c r="E2510" s="106"/>
      <c r="F2510" s="107"/>
      <c r="G2510" s="107"/>
      <c r="H2510" s="107"/>
      <c r="I2510" s="108"/>
      <c r="J2510" s="88" t="s">
        <v>1499</v>
      </c>
      <c r="K2510" s="89"/>
      <c r="L2510" s="89"/>
      <c r="M2510" s="90"/>
      <c r="N2510" s="88" t="s">
        <v>701</v>
      </c>
      <c r="O2510" s="89"/>
      <c r="P2510" s="90"/>
      <c r="Q2510" s="133">
        <v>3000</v>
      </c>
      <c r="R2510" s="134"/>
      <c r="S2510" s="5" t="s">
        <v>2633</v>
      </c>
      <c r="T2510" s="6"/>
      <c r="U2510" s="6"/>
      <c r="V2510" s="5" t="s">
        <v>702</v>
      </c>
      <c r="W2510" s="12">
        <v>17589289</v>
      </c>
      <c r="X2510" s="6"/>
      <c r="Y2510" s="6"/>
    </row>
    <row r="2511" spans="1:25" ht="15" customHeight="1" x14ac:dyDescent="0.2">
      <c r="A2511" s="88" t="s">
        <v>2631</v>
      </c>
      <c r="B2511" s="90"/>
      <c r="C2511" s="88" t="s">
        <v>3006</v>
      </c>
      <c r="D2511" s="90"/>
      <c r="E2511" s="106"/>
      <c r="F2511" s="107"/>
      <c r="G2511" s="107"/>
      <c r="H2511" s="107"/>
      <c r="I2511" s="108"/>
      <c r="J2511" s="88" t="s">
        <v>1499</v>
      </c>
      <c r="K2511" s="89"/>
      <c r="L2511" s="89"/>
      <c r="M2511" s="90"/>
      <c r="N2511" s="88" t="s">
        <v>14</v>
      </c>
      <c r="O2511" s="89"/>
      <c r="P2511" s="90"/>
      <c r="Q2511" s="133">
        <v>3000</v>
      </c>
      <c r="R2511" s="134"/>
      <c r="S2511" s="5" t="s">
        <v>2633</v>
      </c>
      <c r="T2511" s="6"/>
      <c r="U2511" s="6"/>
      <c r="V2511" s="5" t="s">
        <v>106</v>
      </c>
      <c r="W2511" s="12">
        <v>24725427</v>
      </c>
      <c r="X2511" s="6"/>
      <c r="Y2511" s="6"/>
    </row>
    <row r="2512" spans="1:25" ht="15" customHeight="1" x14ac:dyDescent="0.2">
      <c r="A2512" s="88" t="s">
        <v>2631</v>
      </c>
      <c r="B2512" s="90"/>
      <c r="C2512" s="88" t="s">
        <v>3007</v>
      </c>
      <c r="D2512" s="90"/>
      <c r="E2512" s="106"/>
      <c r="F2512" s="107"/>
      <c r="G2512" s="107"/>
      <c r="H2512" s="107"/>
      <c r="I2512" s="108"/>
      <c r="J2512" s="88" t="s">
        <v>1499</v>
      </c>
      <c r="K2512" s="89"/>
      <c r="L2512" s="89"/>
      <c r="M2512" s="90"/>
      <c r="N2512" s="88" t="s">
        <v>14</v>
      </c>
      <c r="O2512" s="89"/>
      <c r="P2512" s="90"/>
      <c r="Q2512" s="133">
        <v>3000</v>
      </c>
      <c r="R2512" s="134"/>
      <c r="S2512" s="5" t="s">
        <v>2633</v>
      </c>
      <c r="T2512" s="6"/>
      <c r="U2512" s="6"/>
      <c r="V2512" s="5" t="s">
        <v>106</v>
      </c>
      <c r="W2512" s="12">
        <v>26208953</v>
      </c>
      <c r="X2512" s="6"/>
      <c r="Y2512" s="6"/>
    </row>
    <row r="2513" spans="1:25" ht="15" customHeight="1" x14ac:dyDescent="0.2">
      <c r="A2513" s="88" t="s">
        <v>2631</v>
      </c>
      <c r="B2513" s="90"/>
      <c r="C2513" s="88" t="s">
        <v>3008</v>
      </c>
      <c r="D2513" s="90"/>
      <c r="E2513" s="106"/>
      <c r="F2513" s="107"/>
      <c r="G2513" s="107"/>
      <c r="H2513" s="107"/>
      <c r="I2513" s="108"/>
      <c r="J2513" s="88" t="s">
        <v>1499</v>
      </c>
      <c r="K2513" s="89"/>
      <c r="L2513" s="89"/>
      <c r="M2513" s="90"/>
      <c r="N2513" s="88" t="s">
        <v>14</v>
      </c>
      <c r="O2513" s="89"/>
      <c r="P2513" s="90"/>
      <c r="Q2513" s="133">
        <v>3000</v>
      </c>
      <c r="R2513" s="134"/>
      <c r="S2513" s="5" t="s">
        <v>2633</v>
      </c>
      <c r="T2513" s="6"/>
      <c r="U2513" s="6"/>
      <c r="V2513" s="5" t="s">
        <v>702</v>
      </c>
      <c r="W2513" s="12">
        <v>22595237</v>
      </c>
      <c r="X2513" s="6"/>
      <c r="Y2513" s="6"/>
    </row>
    <row r="2514" spans="1:25" ht="15" customHeight="1" x14ac:dyDescent="0.2">
      <c r="A2514" s="88" t="s">
        <v>2631</v>
      </c>
      <c r="B2514" s="90"/>
      <c r="C2514" s="88" t="s">
        <v>3009</v>
      </c>
      <c r="D2514" s="89"/>
      <c r="E2514" s="89"/>
      <c r="F2514" s="89"/>
      <c r="G2514" s="89"/>
      <c r="H2514" s="89"/>
      <c r="I2514" s="90"/>
      <c r="J2514" s="88" t="s">
        <v>1499</v>
      </c>
      <c r="K2514" s="89"/>
      <c r="L2514" s="89"/>
      <c r="M2514" s="90"/>
      <c r="N2514" s="88" t="s">
        <v>14</v>
      </c>
      <c r="O2514" s="89"/>
      <c r="P2514" s="90"/>
      <c r="Q2514" s="133">
        <v>3000</v>
      </c>
      <c r="R2514" s="134"/>
      <c r="S2514" s="5" t="s">
        <v>2633</v>
      </c>
      <c r="T2514" s="6"/>
      <c r="U2514" s="6"/>
      <c r="V2514" s="5" t="s">
        <v>702</v>
      </c>
      <c r="W2514" s="12">
        <v>23888567</v>
      </c>
      <c r="X2514" s="6"/>
      <c r="Y2514" s="6"/>
    </row>
    <row r="2515" spans="1:25" ht="15" customHeight="1" x14ac:dyDescent="0.2">
      <c r="A2515" s="88" t="s">
        <v>2631</v>
      </c>
      <c r="B2515" s="90"/>
      <c r="C2515" s="88" t="s">
        <v>3010</v>
      </c>
      <c r="D2515" s="90"/>
      <c r="E2515" s="106"/>
      <c r="F2515" s="107"/>
      <c r="G2515" s="107"/>
      <c r="H2515" s="107"/>
      <c r="I2515" s="108"/>
      <c r="J2515" s="88" t="s">
        <v>1499</v>
      </c>
      <c r="K2515" s="89"/>
      <c r="L2515" s="89"/>
      <c r="M2515" s="90"/>
      <c r="N2515" s="88" t="s">
        <v>14</v>
      </c>
      <c r="O2515" s="89"/>
      <c r="P2515" s="90"/>
      <c r="Q2515" s="133">
        <v>3000</v>
      </c>
      <c r="R2515" s="134"/>
      <c r="S2515" s="5" t="s">
        <v>2633</v>
      </c>
      <c r="T2515" s="6"/>
      <c r="U2515" s="6"/>
      <c r="V2515" s="5" t="s">
        <v>702</v>
      </c>
      <c r="W2515" s="12">
        <v>25562288</v>
      </c>
      <c r="X2515" s="6"/>
      <c r="Y2515" s="6"/>
    </row>
    <row r="2516" spans="1:25" ht="15" customHeight="1" x14ac:dyDescent="0.2">
      <c r="A2516" s="88" t="s">
        <v>2631</v>
      </c>
      <c r="B2516" s="90"/>
      <c r="C2516" s="88" t="s">
        <v>3011</v>
      </c>
      <c r="D2516" s="90"/>
      <c r="E2516" s="106"/>
      <c r="F2516" s="107"/>
      <c r="G2516" s="107"/>
      <c r="H2516" s="107"/>
      <c r="I2516" s="108"/>
      <c r="J2516" s="88" t="s">
        <v>1499</v>
      </c>
      <c r="K2516" s="89"/>
      <c r="L2516" s="89"/>
      <c r="M2516" s="90"/>
      <c r="N2516" s="88" t="s">
        <v>14</v>
      </c>
      <c r="O2516" s="89"/>
      <c r="P2516" s="90"/>
      <c r="Q2516" s="133">
        <v>3000</v>
      </c>
      <c r="R2516" s="134"/>
      <c r="S2516" s="5" t="s">
        <v>2633</v>
      </c>
      <c r="T2516" s="6"/>
      <c r="U2516" s="6"/>
      <c r="V2516" s="5" t="s">
        <v>702</v>
      </c>
      <c r="W2516" s="12">
        <v>21149750</v>
      </c>
      <c r="X2516" s="6"/>
      <c r="Y2516" s="6"/>
    </row>
    <row r="2517" spans="1:25" ht="15" customHeight="1" x14ac:dyDescent="0.2">
      <c r="A2517" s="88" t="s">
        <v>2631</v>
      </c>
      <c r="B2517" s="90"/>
      <c r="C2517" s="88" t="s">
        <v>3012</v>
      </c>
      <c r="D2517" s="90"/>
      <c r="E2517" s="106"/>
      <c r="F2517" s="107"/>
      <c r="G2517" s="107"/>
      <c r="H2517" s="107"/>
      <c r="I2517" s="108"/>
      <c r="J2517" s="88" t="s">
        <v>1499</v>
      </c>
      <c r="K2517" s="89"/>
      <c r="L2517" s="89"/>
      <c r="M2517" s="90"/>
      <c r="N2517" s="88" t="s">
        <v>14</v>
      </c>
      <c r="O2517" s="89"/>
      <c r="P2517" s="90"/>
      <c r="Q2517" s="133">
        <v>3000</v>
      </c>
      <c r="R2517" s="134"/>
      <c r="S2517" s="5" t="s">
        <v>2633</v>
      </c>
      <c r="T2517" s="6"/>
      <c r="U2517" s="6"/>
      <c r="V2517" s="5" t="s">
        <v>106</v>
      </c>
      <c r="W2517" s="12">
        <v>22912229</v>
      </c>
      <c r="X2517" s="6"/>
      <c r="Y2517" s="6"/>
    </row>
    <row r="2518" spans="1:25" ht="15" customHeight="1" x14ac:dyDescent="0.2">
      <c r="A2518" s="88" t="s">
        <v>2631</v>
      </c>
      <c r="B2518" s="90"/>
      <c r="C2518" s="88" t="s">
        <v>3013</v>
      </c>
      <c r="D2518" s="90"/>
      <c r="E2518" s="106"/>
      <c r="F2518" s="107"/>
      <c r="G2518" s="107"/>
      <c r="H2518" s="107"/>
      <c r="I2518" s="108"/>
      <c r="J2518" s="88" t="s">
        <v>1499</v>
      </c>
      <c r="K2518" s="89"/>
      <c r="L2518" s="89"/>
      <c r="M2518" s="90"/>
      <c r="N2518" s="88" t="s">
        <v>14</v>
      </c>
      <c r="O2518" s="89"/>
      <c r="P2518" s="90"/>
      <c r="Q2518" s="133">
        <v>3000</v>
      </c>
      <c r="R2518" s="134"/>
      <c r="S2518" s="5" t="s">
        <v>2633</v>
      </c>
      <c r="T2518" s="6"/>
      <c r="U2518" s="6"/>
      <c r="V2518" s="5" t="s">
        <v>106</v>
      </c>
      <c r="W2518" s="12">
        <v>24062786</v>
      </c>
      <c r="X2518" s="6"/>
      <c r="Y2518" s="6"/>
    </row>
    <row r="2519" spans="1:25" ht="15" customHeight="1" x14ac:dyDescent="0.2">
      <c r="A2519" s="88" t="s">
        <v>2631</v>
      </c>
      <c r="B2519" s="90"/>
      <c r="C2519" s="88" t="s">
        <v>3014</v>
      </c>
      <c r="D2519" s="90"/>
      <c r="E2519" s="106"/>
      <c r="F2519" s="107"/>
      <c r="G2519" s="107"/>
      <c r="H2519" s="107"/>
      <c r="I2519" s="108"/>
      <c r="J2519" s="88" t="s">
        <v>1499</v>
      </c>
      <c r="K2519" s="89"/>
      <c r="L2519" s="89"/>
      <c r="M2519" s="90"/>
      <c r="N2519" s="88" t="s">
        <v>14</v>
      </c>
      <c r="O2519" s="89"/>
      <c r="P2519" s="90"/>
      <c r="Q2519" s="133">
        <v>3000</v>
      </c>
      <c r="R2519" s="134"/>
      <c r="S2519" s="5" t="s">
        <v>2633</v>
      </c>
      <c r="T2519" s="6"/>
      <c r="U2519" s="6"/>
      <c r="V2519" s="5" t="s">
        <v>106</v>
      </c>
      <c r="W2519" s="12">
        <v>27346322</v>
      </c>
      <c r="X2519" s="6"/>
      <c r="Y2519" s="6"/>
    </row>
    <row r="2520" spans="1:25" ht="15" customHeight="1" x14ac:dyDescent="0.2">
      <c r="A2520" s="88" t="s">
        <v>2631</v>
      </c>
      <c r="B2520" s="90"/>
      <c r="C2520" s="88" t="s">
        <v>3015</v>
      </c>
      <c r="D2520" s="90"/>
      <c r="E2520" s="106"/>
      <c r="F2520" s="107"/>
      <c r="G2520" s="107"/>
      <c r="H2520" s="107"/>
      <c r="I2520" s="108"/>
      <c r="J2520" s="88" t="s">
        <v>1499</v>
      </c>
      <c r="K2520" s="89"/>
      <c r="L2520" s="89"/>
      <c r="M2520" s="90"/>
      <c r="N2520" s="88" t="s">
        <v>14</v>
      </c>
      <c r="O2520" s="89"/>
      <c r="P2520" s="90"/>
      <c r="Q2520" s="133">
        <v>3000</v>
      </c>
      <c r="R2520" s="134"/>
      <c r="S2520" s="5" t="s">
        <v>2633</v>
      </c>
      <c r="T2520" s="6"/>
      <c r="U2520" s="6"/>
      <c r="V2520" s="5" t="s">
        <v>106</v>
      </c>
      <c r="W2520" s="12">
        <v>22252884</v>
      </c>
      <c r="X2520" s="6"/>
      <c r="Y2520" s="6"/>
    </row>
    <row r="2521" spans="1:25" ht="15" customHeight="1" x14ac:dyDescent="0.2">
      <c r="A2521" s="88" t="s">
        <v>2631</v>
      </c>
      <c r="B2521" s="90"/>
      <c r="C2521" s="88" t="s">
        <v>3016</v>
      </c>
      <c r="D2521" s="90"/>
      <c r="E2521" s="106"/>
      <c r="F2521" s="107"/>
      <c r="G2521" s="107"/>
      <c r="H2521" s="107"/>
      <c r="I2521" s="108"/>
      <c r="J2521" s="88" t="s">
        <v>1499</v>
      </c>
      <c r="K2521" s="89"/>
      <c r="L2521" s="89"/>
      <c r="M2521" s="90"/>
      <c r="N2521" s="88" t="s">
        <v>14</v>
      </c>
      <c r="O2521" s="89"/>
      <c r="P2521" s="90"/>
      <c r="Q2521" s="133">
        <v>3000</v>
      </c>
      <c r="R2521" s="134"/>
      <c r="S2521" s="5" t="s">
        <v>2633</v>
      </c>
      <c r="T2521" s="6"/>
      <c r="U2521" s="6"/>
      <c r="V2521" s="5" t="s">
        <v>106</v>
      </c>
      <c r="W2521" s="12">
        <v>31302391</v>
      </c>
      <c r="X2521" s="6"/>
      <c r="Y2521" s="6"/>
    </row>
    <row r="2522" spans="1:25" ht="15" customHeight="1" x14ac:dyDescent="0.2">
      <c r="A2522" s="88" t="s">
        <v>2631</v>
      </c>
      <c r="B2522" s="90"/>
      <c r="C2522" s="88" t="s">
        <v>3017</v>
      </c>
      <c r="D2522" s="90"/>
      <c r="E2522" s="106"/>
      <c r="F2522" s="107"/>
      <c r="G2522" s="107"/>
      <c r="H2522" s="107"/>
      <c r="I2522" s="108"/>
      <c r="J2522" s="88" t="s">
        <v>1499</v>
      </c>
      <c r="K2522" s="89"/>
      <c r="L2522" s="89"/>
      <c r="M2522" s="90"/>
      <c r="N2522" s="88" t="s">
        <v>14</v>
      </c>
      <c r="O2522" s="89"/>
      <c r="P2522" s="90"/>
      <c r="Q2522" s="133">
        <v>3000</v>
      </c>
      <c r="R2522" s="134"/>
      <c r="S2522" s="5" t="s">
        <v>2633</v>
      </c>
      <c r="T2522" s="6"/>
      <c r="U2522" s="6"/>
      <c r="V2522" s="5" t="s">
        <v>106</v>
      </c>
      <c r="W2522" s="12">
        <v>29505676</v>
      </c>
      <c r="X2522" s="6"/>
      <c r="Y2522" s="6"/>
    </row>
    <row r="2523" spans="1:25" ht="15" customHeight="1" x14ac:dyDescent="0.2">
      <c r="A2523" s="88" t="s">
        <v>2631</v>
      </c>
      <c r="B2523" s="90"/>
      <c r="C2523" s="88" t="s">
        <v>3018</v>
      </c>
      <c r="D2523" s="90"/>
      <c r="E2523" s="106"/>
      <c r="F2523" s="107"/>
      <c r="G2523" s="107"/>
      <c r="H2523" s="107"/>
      <c r="I2523" s="108"/>
      <c r="J2523" s="88" t="s">
        <v>1499</v>
      </c>
      <c r="K2523" s="89"/>
      <c r="L2523" s="89"/>
      <c r="M2523" s="90"/>
      <c r="N2523" s="88" t="s">
        <v>22</v>
      </c>
      <c r="O2523" s="89"/>
      <c r="P2523" s="90"/>
      <c r="Q2523" s="133">
        <v>3000</v>
      </c>
      <c r="R2523" s="134"/>
      <c r="S2523" s="5" t="s">
        <v>2633</v>
      </c>
      <c r="T2523" s="6"/>
      <c r="U2523" s="6"/>
      <c r="V2523" s="5" t="s">
        <v>106</v>
      </c>
      <c r="W2523" s="12">
        <v>28236438</v>
      </c>
      <c r="X2523" s="6"/>
      <c r="Y2523" s="6"/>
    </row>
    <row r="2524" spans="1:25" ht="15" customHeight="1" x14ac:dyDescent="0.2">
      <c r="A2524" s="88" t="s">
        <v>2631</v>
      </c>
      <c r="B2524" s="90"/>
      <c r="C2524" s="88" t="s">
        <v>3019</v>
      </c>
      <c r="D2524" s="90"/>
      <c r="E2524" s="106"/>
      <c r="F2524" s="107"/>
      <c r="G2524" s="107"/>
      <c r="H2524" s="107"/>
      <c r="I2524" s="108"/>
      <c r="J2524" s="88" t="s">
        <v>1499</v>
      </c>
      <c r="K2524" s="89"/>
      <c r="L2524" s="89"/>
      <c r="M2524" s="90"/>
      <c r="N2524" s="88" t="s">
        <v>22</v>
      </c>
      <c r="O2524" s="89"/>
      <c r="P2524" s="90"/>
      <c r="Q2524" s="133">
        <v>3000</v>
      </c>
      <c r="R2524" s="134"/>
      <c r="S2524" s="5" t="s">
        <v>2633</v>
      </c>
      <c r="T2524" s="6"/>
      <c r="U2524" s="6"/>
      <c r="V2524" s="5" t="s">
        <v>106</v>
      </c>
      <c r="W2524" s="12">
        <v>30544144</v>
      </c>
      <c r="X2524" s="6"/>
      <c r="Y2524" s="6"/>
    </row>
    <row r="2525" spans="1:25" ht="15" customHeight="1" x14ac:dyDescent="0.2">
      <c r="A2525" s="88" t="s">
        <v>2631</v>
      </c>
      <c r="B2525" s="90"/>
      <c r="C2525" s="88" t="s">
        <v>3020</v>
      </c>
      <c r="D2525" s="90"/>
      <c r="E2525" s="106"/>
      <c r="F2525" s="107"/>
      <c r="G2525" s="107"/>
      <c r="H2525" s="107"/>
      <c r="I2525" s="108"/>
      <c r="J2525" s="88" t="s">
        <v>1499</v>
      </c>
      <c r="K2525" s="89"/>
      <c r="L2525" s="89"/>
      <c r="M2525" s="90"/>
      <c r="N2525" s="88" t="s">
        <v>14</v>
      </c>
      <c r="O2525" s="89"/>
      <c r="P2525" s="90"/>
      <c r="Q2525" s="133">
        <v>3000</v>
      </c>
      <c r="R2525" s="134"/>
      <c r="S2525" s="5" t="s">
        <v>2633</v>
      </c>
      <c r="T2525" s="6"/>
      <c r="U2525" s="6"/>
      <c r="V2525" s="5" t="s">
        <v>106</v>
      </c>
      <c r="W2525" s="12">
        <v>30165021</v>
      </c>
      <c r="X2525" s="6"/>
      <c r="Y2525" s="6"/>
    </row>
    <row r="2526" spans="1:25" ht="15" customHeight="1" x14ac:dyDescent="0.2">
      <c r="A2526" s="88" t="s">
        <v>2631</v>
      </c>
      <c r="B2526" s="90"/>
      <c r="C2526" s="88" t="s">
        <v>3021</v>
      </c>
      <c r="D2526" s="90"/>
      <c r="E2526" s="106"/>
      <c r="F2526" s="107"/>
      <c r="G2526" s="107"/>
      <c r="H2526" s="107"/>
      <c r="I2526" s="108"/>
      <c r="J2526" s="88" t="s">
        <v>1499</v>
      </c>
      <c r="K2526" s="89"/>
      <c r="L2526" s="89"/>
      <c r="M2526" s="90"/>
      <c r="N2526" s="88" t="s">
        <v>22</v>
      </c>
      <c r="O2526" s="89"/>
      <c r="P2526" s="90"/>
      <c r="Q2526" s="133">
        <v>3000</v>
      </c>
      <c r="R2526" s="134"/>
      <c r="S2526" s="5" t="s">
        <v>2633</v>
      </c>
      <c r="T2526" s="6"/>
      <c r="U2526" s="6"/>
      <c r="V2526" s="5" t="s">
        <v>106</v>
      </c>
      <c r="W2526" s="12">
        <v>28895783</v>
      </c>
      <c r="X2526" s="6"/>
      <c r="Y2526" s="6"/>
    </row>
    <row r="2527" spans="1:25" ht="15" customHeight="1" x14ac:dyDescent="0.2">
      <c r="A2527" s="88" t="s">
        <v>2631</v>
      </c>
      <c r="B2527" s="90"/>
      <c r="C2527" s="88" t="s">
        <v>3022</v>
      </c>
      <c r="D2527" s="90"/>
      <c r="E2527" s="106"/>
      <c r="F2527" s="107"/>
      <c r="G2527" s="107"/>
      <c r="H2527" s="107"/>
      <c r="I2527" s="108"/>
      <c r="J2527" s="88" t="s">
        <v>1499</v>
      </c>
      <c r="K2527" s="89"/>
      <c r="L2527" s="89"/>
      <c r="M2527" s="90"/>
      <c r="N2527" s="88" t="s">
        <v>22</v>
      </c>
      <c r="O2527" s="89"/>
      <c r="P2527" s="90"/>
      <c r="Q2527" s="133">
        <v>3000</v>
      </c>
      <c r="R2527" s="134"/>
      <c r="S2527" s="5" t="s">
        <v>2633</v>
      </c>
      <c r="T2527" s="6"/>
      <c r="U2527" s="6"/>
      <c r="V2527" s="5" t="s">
        <v>106</v>
      </c>
      <c r="W2527" s="12">
        <v>31203489</v>
      </c>
      <c r="X2527" s="6"/>
      <c r="Y2527" s="6"/>
    </row>
    <row r="2528" spans="1:25" ht="15" customHeight="1" x14ac:dyDescent="0.2">
      <c r="A2528" s="88" t="s">
        <v>2631</v>
      </c>
      <c r="B2528" s="90"/>
      <c r="C2528" s="88" t="s">
        <v>3023</v>
      </c>
      <c r="D2528" s="89"/>
      <c r="E2528" s="89"/>
      <c r="F2528" s="89"/>
      <c r="G2528" s="89"/>
      <c r="H2528" s="89"/>
      <c r="I2528" s="90"/>
      <c r="J2528" s="88" t="s">
        <v>1499</v>
      </c>
      <c r="K2528" s="89"/>
      <c r="L2528" s="89"/>
      <c r="M2528" s="90"/>
      <c r="N2528" s="88" t="s">
        <v>701</v>
      </c>
      <c r="O2528" s="89"/>
      <c r="P2528" s="90"/>
      <c r="Q2528" s="133">
        <v>4367</v>
      </c>
      <c r="R2528" s="134"/>
      <c r="S2528" s="5" t="s">
        <v>2633</v>
      </c>
      <c r="T2528" s="6"/>
      <c r="U2528" s="8">
        <v>4</v>
      </c>
      <c r="V2528" s="5" t="s">
        <v>106</v>
      </c>
      <c r="W2528" s="12">
        <v>47038971</v>
      </c>
      <c r="X2528" s="6"/>
      <c r="Y2528" s="6"/>
    </row>
    <row r="2529" spans="1:25" ht="15" customHeight="1" x14ac:dyDescent="0.2">
      <c r="A2529" s="88" t="s">
        <v>2631</v>
      </c>
      <c r="B2529" s="90"/>
      <c r="C2529" s="88" t="s">
        <v>3024</v>
      </c>
      <c r="D2529" s="90"/>
      <c r="E2529" s="106"/>
      <c r="F2529" s="107"/>
      <c r="G2529" s="107"/>
      <c r="H2529" s="107"/>
      <c r="I2529" s="108"/>
      <c r="J2529" s="88" t="s">
        <v>1499</v>
      </c>
      <c r="K2529" s="89"/>
      <c r="L2529" s="89"/>
      <c r="M2529" s="90"/>
      <c r="N2529" s="88" t="s">
        <v>701</v>
      </c>
      <c r="O2529" s="89"/>
      <c r="P2529" s="90"/>
      <c r="Q2529" s="133">
        <v>4367</v>
      </c>
      <c r="R2529" s="134"/>
      <c r="S2529" s="5" t="s">
        <v>2633</v>
      </c>
      <c r="T2529" s="6"/>
      <c r="U2529" s="8">
        <v>5</v>
      </c>
      <c r="V2529" s="5" t="s">
        <v>106</v>
      </c>
      <c r="W2529" s="12">
        <v>39467386</v>
      </c>
      <c r="X2529" s="6"/>
      <c r="Y2529" s="6"/>
    </row>
    <row r="2530" spans="1:25" ht="15" customHeight="1" x14ac:dyDescent="0.2">
      <c r="A2530" s="88" t="s">
        <v>2631</v>
      </c>
      <c r="B2530" s="90"/>
      <c r="C2530" s="88" t="s">
        <v>3025</v>
      </c>
      <c r="D2530" s="89"/>
      <c r="E2530" s="89"/>
      <c r="F2530" s="89"/>
      <c r="G2530" s="89"/>
      <c r="H2530" s="89"/>
      <c r="I2530" s="90"/>
      <c r="J2530" s="88" t="s">
        <v>1499</v>
      </c>
      <c r="K2530" s="89"/>
      <c r="L2530" s="89"/>
      <c r="M2530" s="90"/>
      <c r="N2530" s="88" t="s">
        <v>701</v>
      </c>
      <c r="O2530" s="89"/>
      <c r="P2530" s="90"/>
      <c r="Q2530" s="133">
        <v>4395</v>
      </c>
      <c r="R2530" s="134"/>
      <c r="S2530" s="5" t="s">
        <v>2633</v>
      </c>
      <c r="T2530" s="6"/>
      <c r="U2530" s="8">
        <v>5</v>
      </c>
      <c r="V2530" s="5" t="s">
        <v>702</v>
      </c>
      <c r="W2530" s="12">
        <v>52300213</v>
      </c>
      <c r="X2530" s="6"/>
      <c r="Y2530" s="6"/>
    </row>
    <row r="2531" spans="1:25" ht="15" customHeight="1" x14ac:dyDescent="0.2">
      <c r="A2531" s="88" t="s">
        <v>2631</v>
      </c>
      <c r="B2531" s="90"/>
      <c r="C2531" s="88" t="s">
        <v>3026</v>
      </c>
      <c r="D2531" s="89"/>
      <c r="E2531" s="89"/>
      <c r="F2531" s="89"/>
      <c r="G2531" s="89"/>
      <c r="H2531" s="89"/>
      <c r="I2531" s="90"/>
      <c r="J2531" s="88" t="s">
        <v>1499</v>
      </c>
      <c r="K2531" s="89"/>
      <c r="L2531" s="89"/>
      <c r="M2531" s="90"/>
      <c r="N2531" s="88" t="s">
        <v>701</v>
      </c>
      <c r="O2531" s="89"/>
      <c r="P2531" s="90"/>
      <c r="Q2531" s="133">
        <v>4395</v>
      </c>
      <c r="R2531" s="134"/>
      <c r="S2531" s="5" t="s">
        <v>2633</v>
      </c>
      <c r="T2531" s="6"/>
      <c r="U2531" s="8">
        <v>5</v>
      </c>
      <c r="V2531" s="5" t="s">
        <v>702</v>
      </c>
      <c r="W2531" s="12">
        <v>50228551</v>
      </c>
      <c r="X2531" s="6"/>
      <c r="Y2531" s="6"/>
    </row>
    <row r="2532" spans="1:25" ht="15" customHeight="1" x14ac:dyDescent="0.2">
      <c r="A2532" s="88" t="s">
        <v>2631</v>
      </c>
      <c r="B2532" s="90"/>
      <c r="C2532" s="88" t="s">
        <v>3027</v>
      </c>
      <c r="D2532" s="89"/>
      <c r="E2532" s="89"/>
      <c r="F2532" s="89"/>
      <c r="G2532" s="89"/>
      <c r="H2532" s="89"/>
      <c r="I2532" s="90"/>
      <c r="J2532" s="88" t="s">
        <v>1499</v>
      </c>
      <c r="K2532" s="89"/>
      <c r="L2532" s="89"/>
      <c r="M2532" s="90"/>
      <c r="N2532" s="88" t="s">
        <v>701</v>
      </c>
      <c r="O2532" s="89"/>
      <c r="P2532" s="90"/>
      <c r="Q2532" s="133">
        <v>4395</v>
      </c>
      <c r="R2532" s="134"/>
      <c r="S2532" s="5" t="s">
        <v>2633</v>
      </c>
      <c r="T2532" s="6"/>
      <c r="U2532" s="8">
        <v>7</v>
      </c>
      <c r="V2532" s="5" t="s">
        <v>702</v>
      </c>
      <c r="W2532" s="12">
        <v>51261085</v>
      </c>
      <c r="X2532" s="6"/>
      <c r="Y2532" s="6"/>
    </row>
    <row r="2533" spans="1:25" ht="15" customHeight="1" x14ac:dyDescent="0.2">
      <c r="A2533" s="88" t="s">
        <v>2631</v>
      </c>
      <c r="B2533" s="90"/>
      <c r="C2533" s="88" t="s">
        <v>3028</v>
      </c>
      <c r="D2533" s="90"/>
      <c r="E2533" s="106"/>
      <c r="F2533" s="107"/>
      <c r="G2533" s="107"/>
      <c r="H2533" s="107"/>
      <c r="I2533" s="108"/>
      <c r="J2533" s="88" t="s">
        <v>1499</v>
      </c>
      <c r="K2533" s="89"/>
      <c r="L2533" s="89"/>
      <c r="M2533" s="90"/>
      <c r="N2533" s="88" t="s">
        <v>701</v>
      </c>
      <c r="O2533" s="89"/>
      <c r="P2533" s="90"/>
      <c r="Q2533" s="133">
        <v>4395</v>
      </c>
      <c r="R2533" s="134"/>
      <c r="S2533" s="5" t="s">
        <v>2633</v>
      </c>
      <c r="T2533" s="6"/>
      <c r="U2533" s="8">
        <v>5</v>
      </c>
      <c r="V2533" s="5" t="s">
        <v>702</v>
      </c>
      <c r="W2533" s="12">
        <v>46815454</v>
      </c>
      <c r="X2533" s="6"/>
      <c r="Y2533" s="6"/>
    </row>
    <row r="2534" spans="1:25" ht="15" customHeight="1" x14ac:dyDescent="0.2">
      <c r="A2534" s="88" t="s">
        <v>2631</v>
      </c>
      <c r="B2534" s="90"/>
      <c r="C2534" s="88" t="s">
        <v>3029</v>
      </c>
      <c r="D2534" s="90"/>
      <c r="E2534" s="106"/>
      <c r="F2534" s="107"/>
      <c r="G2534" s="107"/>
      <c r="H2534" s="107"/>
      <c r="I2534" s="108"/>
      <c r="J2534" s="88" t="s">
        <v>1499</v>
      </c>
      <c r="K2534" s="89"/>
      <c r="L2534" s="89"/>
      <c r="M2534" s="90"/>
      <c r="N2534" s="88" t="s">
        <v>701</v>
      </c>
      <c r="O2534" s="89"/>
      <c r="P2534" s="90"/>
      <c r="Q2534" s="133">
        <v>4395</v>
      </c>
      <c r="R2534" s="134"/>
      <c r="S2534" s="5" t="s">
        <v>2633</v>
      </c>
      <c r="T2534" s="6"/>
      <c r="U2534" s="8">
        <v>5</v>
      </c>
      <c r="V2534" s="5" t="s">
        <v>106</v>
      </c>
      <c r="W2534" s="12">
        <v>39262660</v>
      </c>
      <c r="X2534" s="6"/>
      <c r="Y2534" s="6"/>
    </row>
    <row r="2535" spans="1:25" ht="15" customHeight="1" x14ac:dyDescent="0.2">
      <c r="A2535" s="88" t="s">
        <v>2631</v>
      </c>
      <c r="B2535" s="90"/>
      <c r="C2535" s="88" t="s">
        <v>3030</v>
      </c>
      <c r="D2535" s="89"/>
      <c r="E2535" s="89"/>
      <c r="F2535" s="89"/>
      <c r="G2535" s="89"/>
      <c r="H2535" s="89"/>
      <c r="I2535" s="90"/>
      <c r="J2535" s="88" t="s">
        <v>1499</v>
      </c>
      <c r="K2535" s="89"/>
      <c r="L2535" s="89"/>
      <c r="M2535" s="90"/>
      <c r="N2535" s="88" t="s">
        <v>701</v>
      </c>
      <c r="O2535" s="89"/>
      <c r="P2535" s="90"/>
      <c r="Q2535" s="133">
        <v>4395</v>
      </c>
      <c r="R2535" s="134"/>
      <c r="S2535" s="5" t="s">
        <v>2633</v>
      </c>
      <c r="T2535" s="6"/>
      <c r="U2535" s="8">
        <v>4</v>
      </c>
      <c r="V2535" s="5" t="s">
        <v>106</v>
      </c>
      <c r="W2535" s="12">
        <v>66704257</v>
      </c>
      <c r="X2535" s="6"/>
      <c r="Y2535" s="6"/>
    </row>
    <row r="2536" spans="1:25" ht="15" customHeight="1" x14ac:dyDescent="0.2">
      <c r="A2536" s="88" t="s">
        <v>2631</v>
      </c>
      <c r="B2536" s="90"/>
      <c r="C2536" s="88" t="s">
        <v>3031</v>
      </c>
      <c r="D2536" s="89"/>
      <c r="E2536" s="89"/>
      <c r="F2536" s="89"/>
      <c r="G2536" s="89"/>
      <c r="H2536" s="89"/>
      <c r="I2536" s="90"/>
      <c r="J2536" s="88" t="s">
        <v>1499</v>
      </c>
      <c r="K2536" s="89"/>
      <c r="L2536" s="89"/>
      <c r="M2536" s="90"/>
      <c r="N2536" s="88" t="s">
        <v>701</v>
      </c>
      <c r="O2536" s="89"/>
      <c r="P2536" s="90"/>
      <c r="Q2536" s="133">
        <v>4395</v>
      </c>
      <c r="R2536" s="134"/>
      <c r="S2536" s="5" t="s">
        <v>2633</v>
      </c>
      <c r="T2536" s="6"/>
      <c r="U2536" s="8">
        <v>4</v>
      </c>
      <c r="V2536" s="5" t="s">
        <v>106</v>
      </c>
      <c r="W2536" s="12">
        <v>66908984</v>
      </c>
      <c r="X2536" s="6"/>
      <c r="Y2536" s="6"/>
    </row>
    <row r="2537" spans="1:25" ht="15" customHeight="1" x14ac:dyDescent="0.2">
      <c r="A2537" s="88" t="s">
        <v>2631</v>
      </c>
      <c r="B2537" s="90"/>
      <c r="C2537" s="88" t="s">
        <v>3032</v>
      </c>
      <c r="D2537" s="90"/>
      <c r="E2537" s="106"/>
      <c r="F2537" s="107"/>
      <c r="G2537" s="107"/>
      <c r="H2537" s="107"/>
      <c r="I2537" s="108"/>
      <c r="J2537" s="88" t="s">
        <v>1499</v>
      </c>
      <c r="K2537" s="89"/>
      <c r="L2537" s="89"/>
      <c r="M2537" s="90"/>
      <c r="N2537" s="88" t="s">
        <v>701</v>
      </c>
      <c r="O2537" s="89"/>
      <c r="P2537" s="90"/>
      <c r="Q2537" s="133">
        <v>4395</v>
      </c>
      <c r="R2537" s="134"/>
      <c r="S2537" s="5" t="s">
        <v>2633</v>
      </c>
      <c r="T2537" s="6"/>
      <c r="U2537" s="8">
        <v>5</v>
      </c>
      <c r="V2537" s="5" t="s">
        <v>702</v>
      </c>
      <c r="W2537" s="12">
        <v>60136195</v>
      </c>
      <c r="X2537" s="6"/>
      <c r="Y2537" s="6"/>
    </row>
    <row r="2538" spans="1:25" ht="15" customHeight="1" x14ac:dyDescent="0.2">
      <c r="A2538" s="88" t="s">
        <v>2631</v>
      </c>
      <c r="B2538" s="90"/>
      <c r="C2538" s="88" t="s">
        <v>3033</v>
      </c>
      <c r="D2538" s="89"/>
      <c r="E2538" s="89"/>
      <c r="F2538" s="89"/>
      <c r="G2538" s="89"/>
      <c r="H2538" s="89"/>
      <c r="I2538" s="90"/>
      <c r="J2538" s="88" t="s">
        <v>1499</v>
      </c>
      <c r="K2538" s="89"/>
      <c r="L2538" s="89"/>
      <c r="M2538" s="90"/>
      <c r="N2538" s="88" t="s">
        <v>701</v>
      </c>
      <c r="O2538" s="89"/>
      <c r="P2538" s="90"/>
      <c r="Q2538" s="133">
        <v>4395</v>
      </c>
      <c r="R2538" s="134"/>
      <c r="S2538" s="5" t="s">
        <v>2633</v>
      </c>
      <c r="T2538" s="6"/>
      <c r="U2538" s="8">
        <v>5</v>
      </c>
      <c r="V2538" s="5" t="s">
        <v>702</v>
      </c>
      <c r="W2538" s="12">
        <v>49669427</v>
      </c>
      <c r="X2538" s="6"/>
      <c r="Y2538" s="6"/>
    </row>
    <row r="2539" spans="1:25" ht="15" customHeight="1" x14ac:dyDescent="0.2">
      <c r="A2539" s="88" t="s">
        <v>2631</v>
      </c>
      <c r="B2539" s="90"/>
      <c r="C2539" s="88" t="s">
        <v>3034</v>
      </c>
      <c r="D2539" s="89"/>
      <c r="E2539" s="89"/>
      <c r="F2539" s="89"/>
      <c r="G2539" s="89"/>
      <c r="H2539" s="89"/>
      <c r="I2539" s="90"/>
      <c r="J2539" s="88" t="s">
        <v>1499</v>
      </c>
      <c r="K2539" s="89"/>
      <c r="L2539" s="89"/>
      <c r="M2539" s="90"/>
      <c r="N2539" s="88" t="s">
        <v>701</v>
      </c>
      <c r="O2539" s="89"/>
      <c r="P2539" s="90"/>
      <c r="Q2539" s="133">
        <v>4395</v>
      </c>
      <c r="R2539" s="134"/>
      <c r="S2539" s="5" t="s">
        <v>2633</v>
      </c>
      <c r="T2539" s="6"/>
      <c r="U2539" s="8">
        <v>5</v>
      </c>
      <c r="V2539" s="5" t="s">
        <v>702</v>
      </c>
      <c r="W2539" s="12">
        <v>51612516</v>
      </c>
      <c r="X2539" s="6"/>
      <c r="Y2539" s="6"/>
    </row>
    <row r="2540" spans="1:25" ht="15" customHeight="1" x14ac:dyDescent="0.2">
      <c r="A2540" s="88" t="s">
        <v>2631</v>
      </c>
      <c r="B2540" s="90"/>
      <c r="C2540" s="88" t="s">
        <v>3035</v>
      </c>
      <c r="D2540" s="89"/>
      <c r="E2540" s="89"/>
      <c r="F2540" s="89"/>
      <c r="G2540" s="89"/>
      <c r="H2540" s="89"/>
      <c r="I2540" s="90"/>
      <c r="J2540" s="88" t="s">
        <v>1499</v>
      </c>
      <c r="K2540" s="89"/>
      <c r="L2540" s="89"/>
      <c r="M2540" s="90"/>
      <c r="N2540" s="88" t="s">
        <v>701</v>
      </c>
      <c r="O2540" s="89"/>
      <c r="P2540" s="90"/>
      <c r="Q2540" s="133">
        <v>4395</v>
      </c>
      <c r="R2540" s="134"/>
      <c r="S2540" s="5" t="s">
        <v>2633</v>
      </c>
      <c r="T2540" s="6"/>
      <c r="U2540" s="8">
        <v>5</v>
      </c>
      <c r="V2540" s="5" t="s">
        <v>702</v>
      </c>
      <c r="W2540" s="12">
        <v>42896638</v>
      </c>
      <c r="X2540" s="6"/>
      <c r="Y2540" s="6"/>
    </row>
    <row r="2541" spans="1:25" ht="15" customHeight="1" x14ac:dyDescent="0.2">
      <c r="A2541" s="88" t="s">
        <v>2631</v>
      </c>
      <c r="B2541" s="90"/>
      <c r="C2541" s="88" t="s">
        <v>3036</v>
      </c>
      <c r="D2541" s="89"/>
      <c r="E2541" s="89"/>
      <c r="F2541" s="89"/>
      <c r="G2541" s="89"/>
      <c r="H2541" s="89"/>
      <c r="I2541" s="90"/>
      <c r="J2541" s="88" t="s">
        <v>1499</v>
      </c>
      <c r="K2541" s="89"/>
      <c r="L2541" s="89"/>
      <c r="M2541" s="90"/>
      <c r="N2541" s="88" t="s">
        <v>701</v>
      </c>
      <c r="O2541" s="89"/>
      <c r="P2541" s="90"/>
      <c r="Q2541" s="133">
        <v>4395</v>
      </c>
      <c r="R2541" s="134"/>
      <c r="S2541" s="5" t="s">
        <v>2633</v>
      </c>
      <c r="T2541" s="6"/>
      <c r="U2541" s="8">
        <v>5</v>
      </c>
      <c r="V2541" s="5" t="s">
        <v>702</v>
      </c>
      <c r="W2541" s="12">
        <v>42540922</v>
      </c>
      <c r="X2541" s="6"/>
      <c r="Y2541" s="6"/>
    </row>
    <row r="2542" spans="1:25" ht="15" customHeight="1" x14ac:dyDescent="0.2">
      <c r="A2542" s="88" t="s">
        <v>2631</v>
      </c>
      <c r="B2542" s="90"/>
      <c r="C2542" s="88" t="s">
        <v>3037</v>
      </c>
      <c r="D2542" s="89"/>
      <c r="E2542" s="89"/>
      <c r="F2542" s="89"/>
      <c r="G2542" s="89"/>
      <c r="H2542" s="89"/>
      <c r="I2542" s="90"/>
      <c r="J2542" s="88" t="s">
        <v>1499</v>
      </c>
      <c r="K2542" s="89"/>
      <c r="L2542" s="89"/>
      <c r="M2542" s="90"/>
      <c r="N2542" s="88" t="s">
        <v>701</v>
      </c>
      <c r="O2542" s="89"/>
      <c r="P2542" s="90"/>
      <c r="Q2542" s="133">
        <v>4395</v>
      </c>
      <c r="R2542" s="134"/>
      <c r="S2542" s="5" t="s">
        <v>2633</v>
      </c>
      <c r="T2542" s="6"/>
      <c r="U2542" s="8">
        <v>5</v>
      </c>
      <c r="V2542" s="5" t="s">
        <v>702</v>
      </c>
      <c r="W2542" s="12">
        <v>41126298</v>
      </c>
      <c r="X2542" s="6"/>
      <c r="Y2542" s="6"/>
    </row>
    <row r="2543" spans="1:25" ht="15" customHeight="1" x14ac:dyDescent="0.2">
      <c r="A2543" s="88" t="s">
        <v>2631</v>
      </c>
      <c r="B2543" s="90"/>
      <c r="C2543" s="88" t="s">
        <v>3038</v>
      </c>
      <c r="D2543" s="89"/>
      <c r="E2543" s="89"/>
      <c r="F2543" s="89"/>
      <c r="G2543" s="89"/>
      <c r="H2543" s="89"/>
      <c r="I2543" s="90"/>
      <c r="J2543" s="88" t="s">
        <v>1499</v>
      </c>
      <c r="K2543" s="89"/>
      <c r="L2543" s="89"/>
      <c r="M2543" s="90"/>
      <c r="N2543" s="88" t="s">
        <v>701</v>
      </c>
      <c r="O2543" s="89"/>
      <c r="P2543" s="90"/>
      <c r="Q2543" s="133">
        <v>4395</v>
      </c>
      <c r="R2543" s="134"/>
      <c r="S2543" s="5" t="s">
        <v>2633</v>
      </c>
      <c r="T2543" s="6"/>
      <c r="U2543" s="8">
        <v>4</v>
      </c>
      <c r="V2543" s="5" t="s">
        <v>702</v>
      </c>
      <c r="W2543" s="12">
        <v>47697657</v>
      </c>
      <c r="X2543" s="6"/>
      <c r="Y2543" s="6"/>
    </row>
    <row r="2544" spans="1:25" ht="15" customHeight="1" x14ac:dyDescent="0.2">
      <c r="A2544" s="88" t="s">
        <v>2631</v>
      </c>
      <c r="B2544" s="90"/>
      <c r="C2544" s="88" t="s">
        <v>3039</v>
      </c>
      <c r="D2544" s="90"/>
      <c r="E2544" s="106"/>
      <c r="F2544" s="107"/>
      <c r="G2544" s="107"/>
      <c r="H2544" s="107"/>
      <c r="I2544" s="108"/>
      <c r="J2544" s="88" t="s">
        <v>1499</v>
      </c>
      <c r="K2544" s="89"/>
      <c r="L2544" s="89"/>
      <c r="M2544" s="90"/>
      <c r="N2544" s="88" t="s">
        <v>701</v>
      </c>
      <c r="O2544" s="89"/>
      <c r="P2544" s="90"/>
      <c r="Q2544" s="133">
        <v>4395</v>
      </c>
      <c r="R2544" s="134"/>
      <c r="S2544" s="5" t="s">
        <v>2633</v>
      </c>
      <c r="T2544" s="6"/>
      <c r="U2544" s="8">
        <v>5</v>
      </c>
      <c r="V2544" s="5" t="s">
        <v>702</v>
      </c>
      <c r="W2544" s="12">
        <v>43525653</v>
      </c>
      <c r="X2544" s="6"/>
      <c r="Y2544" s="6"/>
    </row>
    <row r="2545" spans="1:25" ht="15" customHeight="1" x14ac:dyDescent="0.2">
      <c r="A2545" s="88" t="s">
        <v>2631</v>
      </c>
      <c r="B2545" s="90"/>
      <c r="C2545" s="88" t="s">
        <v>3040</v>
      </c>
      <c r="D2545" s="89"/>
      <c r="E2545" s="89"/>
      <c r="F2545" s="89"/>
      <c r="G2545" s="89"/>
      <c r="H2545" s="89"/>
      <c r="I2545" s="90"/>
      <c r="J2545" s="88" t="s">
        <v>1499</v>
      </c>
      <c r="K2545" s="89"/>
      <c r="L2545" s="89"/>
      <c r="M2545" s="90"/>
      <c r="N2545" s="88" t="s">
        <v>701</v>
      </c>
      <c r="O2545" s="89"/>
      <c r="P2545" s="90"/>
      <c r="Q2545" s="133">
        <v>4395</v>
      </c>
      <c r="R2545" s="134"/>
      <c r="S2545" s="5" t="s">
        <v>2633</v>
      </c>
      <c r="T2545" s="6"/>
      <c r="U2545" s="8">
        <v>7</v>
      </c>
      <c r="V2545" s="5" t="s">
        <v>702</v>
      </c>
      <c r="W2545" s="12">
        <v>47279962</v>
      </c>
      <c r="X2545" s="6"/>
      <c r="Y2545" s="6"/>
    </row>
    <row r="2546" spans="1:25" ht="15" customHeight="1" x14ac:dyDescent="0.2">
      <c r="A2546" s="88" t="s">
        <v>2631</v>
      </c>
      <c r="B2546" s="90"/>
      <c r="C2546" s="88" t="s">
        <v>3041</v>
      </c>
      <c r="D2546" s="90"/>
      <c r="E2546" s="106"/>
      <c r="F2546" s="107"/>
      <c r="G2546" s="107"/>
      <c r="H2546" s="107"/>
      <c r="I2546" s="108"/>
      <c r="J2546" s="88" t="s">
        <v>1499</v>
      </c>
      <c r="K2546" s="89"/>
      <c r="L2546" s="89"/>
      <c r="M2546" s="90"/>
      <c r="N2546" s="88" t="s">
        <v>701</v>
      </c>
      <c r="O2546" s="89"/>
      <c r="P2546" s="90"/>
      <c r="Q2546" s="133">
        <v>4395</v>
      </c>
      <c r="R2546" s="134"/>
      <c r="S2546" s="5" t="s">
        <v>2633</v>
      </c>
      <c r="T2546" s="6"/>
      <c r="U2546" s="8">
        <v>5</v>
      </c>
      <c r="V2546" s="5" t="s">
        <v>702</v>
      </c>
      <c r="W2546" s="12">
        <v>67653714</v>
      </c>
      <c r="X2546" s="6"/>
      <c r="Y2546" s="6"/>
    </row>
    <row r="2547" spans="1:25" ht="15" customHeight="1" x14ac:dyDescent="0.2">
      <c r="A2547" s="88" t="s">
        <v>2631</v>
      </c>
      <c r="B2547" s="90"/>
      <c r="C2547" s="88" t="s">
        <v>3042</v>
      </c>
      <c r="D2547" s="89"/>
      <c r="E2547" s="89"/>
      <c r="F2547" s="89"/>
      <c r="G2547" s="89"/>
      <c r="H2547" s="89"/>
      <c r="I2547" s="90"/>
      <c r="J2547" s="88" t="s">
        <v>1499</v>
      </c>
      <c r="K2547" s="89"/>
      <c r="L2547" s="89"/>
      <c r="M2547" s="90"/>
      <c r="N2547" s="88" t="s">
        <v>701</v>
      </c>
      <c r="O2547" s="89"/>
      <c r="P2547" s="90"/>
      <c r="Q2547" s="133">
        <v>4395</v>
      </c>
      <c r="R2547" s="134"/>
      <c r="S2547" s="5" t="s">
        <v>2633</v>
      </c>
      <c r="T2547" s="6"/>
      <c r="U2547" s="8">
        <v>5</v>
      </c>
      <c r="V2547" s="5" t="s">
        <v>702</v>
      </c>
      <c r="W2547" s="12">
        <v>50986798</v>
      </c>
      <c r="X2547" s="6"/>
      <c r="Y2547" s="6"/>
    </row>
    <row r="2548" spans="1:25" ht="15" customHeight="1" x14ac:dyDescent="0.2">
      <c r="A2548" s="88" t="s">
        <v>2631</v>
      </c>
      <c r="B2548" s="90"/>
      <c r="C2548" s="88" t="s">
        <v>3043</v>
      </c>
      <c r="D2548" s="89"/>
      <c r="E2548" s="89"/>
      <c r="F2548" s="89"/>
      <c r="G2548" s="89"/>
      <c r="H2548" s="89"/>
      <c r="I2548" s="90"/>
      <c r="J2548" s="88" t="s">
        <v>1499</v>
      </c>
      <c r="K2548" s="89"/>
      <c r="L2548" s="89"/>
      <c r="M2548" s="90"/>
      <c r="N2548" s="88" t="s">
        <v>701</v>
      </c>
      <c r="O2548" s="89"/>
      <c r="P2548" s="90"/>
      <c r="Q2548" s="133">
        <v>4395</v>
      </c>
      <c r="R2548" s="134"/>
      <c r="S2548" s="5" t="s">
        <v>2633</v>
      </c>
      <c r="T2548" s="6"/>
      <c r="U2548" s="8">
        <v>7</v>
      </c>
      <c r="V2548" s="5" t="s">
        <v>702</v>
      </c>
      <c r="W2548" s="12">
        <v>44890497</v>
      </c>
      <c r="X2548" s="6"/>
      <c r="Y2548" s="6"/>
    </row>
    <row r="2549" spans="1:25" ht="15" customHeight="1" x14ac:dyDescent="0.2">
      <c r="A2549" s="88" t="s">
        <v>2631</v>
      </c>
      <c r="B2549" s="90"/>
      <c r="C2549" s="88" t="s">
        <v>3044</v>
      </c>
      <c r="D2549" s="89"/>
      <c r="E2549" s="89"/>
      <c r="F2549" s="89"/>
      <c r="G2549" s="89"/>
      <c r="H2549" s="89"/>
      <c r="I2549" s="90"/>
      <c r="J2549" s="88" t="s">
        <v>1499</v>
      </c>
      <c r="K2549" s="89"/>
      <c r="L2549" s="89"/>
      <c r="M2549" s="90"/>
      <c r="N2549" s="88" t="s">
        <v>701</v>
      </c>
      <c r="O2549" s="89"/>
      <c r="P2549" s="90"/>
      <c r="Q2549" s="133">
        <v>4395</v>
      </c>
      <c r="R2549" s="134"/>
      <c r="S2549" s="5" t="s">
        <v>2633</v>
      </c>
      <c r="T2549" s="6"/>
      <c r="U2549" s="8">
        <v>4</v>
      </c>
      <c r="V2549" s="5" t="s">
        <v>106</v>
      </c>
      <c r="W2549" s="12">
        <v>46834245</v>
      </c>
      <c r="X2549" s="6"/>
      <c r="Y2549" s="6"/>
    </row>
    <row r="2550" spans="1:25" ht="15" customHeight="1" x14ac:dyDescent="0.2">
      <c r="A2550" s="88" t="s">
        <v>2631</v>
      </c>
      <c r="B2550" s="90"/>
      <c r="C2550" s="88" t="s">
        <v>3045</v>
      </c>
      <c r="D2550" s="89"/>
      <c r="E2550" s="89"/>
      <c r="F2550" s="89"/>
      <c r="G2550" s="89"/>
      <c r="H2550" s="89"/>
      <c r="I2550" s="90"/>
      <c r="J2550" s="88" t="s">
        <v>1499</v>
      </c>
      <c r="K2550" s="89"/>
      <c r="L2550" s="89"/>
      <c r="M2550" s="90"/>
      <c r="N2550" s="88" t="s">
        <v>701</v>
      </c>
      <c r="O2550" s="89"/>
      <c r="P2550" s="90"/>
      <c r="Q2550" s="133">
        <v>4395</v>
      </c>
      <c r="R2550" s="134"/>
      <c r="S2550" s="5" t="s">
        <v>2633</v>
      </c>
      <c r="T2550" s="6"/>
      <c r="U2550" s="8">
        <v>4</v>
      </c>
      <c r="V2550" s="5" t="s">
        <v>106</v>
      </c>
      <c r="W2550" s="12">
        <v>49086896</v>
      </c>
      <c r="X2550" s="6"/>
      <c r="Y2550" s="6"/>
    </row>
    <row r="2551" spans="1:25" ht="15" customHeight="1" x14ac:dyDescent="0.2">
      <c r="A2551" s="88" t="s">
        <v>2631</v>
      </c>
      <c r="B2551" s="90"/>
      <c r="C2551" s="88" t="s">
        <v>3046</v>
      </c>
      <c r="D2551" s="89"/>
      <c r="E2551" s="89"/>
      <c r="F2551" s="89"/>
      <c r="G2551" s="89"/>
      <c r="H2551" s="89"/>
      <c r="I2551" s="90"/>
      <c r="J2551" s="88" t="s">
        <v>1499</v>
      </c>
      <c r="K2551" s="89"/>
      <c r="L2551" s="89"/>
      <c r="M2551" s="90"/>
      <c r="N2551" s="88" t="s">
        <v>701</v>
      </c>
      <c r="O2551" s="89"/>
      <c r="P2551" s="90"/>
      <c r="Q2551" s="133">
        <v>4395</v>
      </c>
      <c r="R2551" s="134"/>
      <c r="S2551" s="5" t="s">
        <v>2633</v>
      </c>
      <c r="T2551" s="6"/>
      <c r="U2551" s="8">
        <v>4</v>
      </c>
      <c r="V2551" s="5" t="s">
        <v>106</v>
      </c>
      <c r="W2551" s="12">
        <v>48882170</v>
      </c>
      <c r="X2551" s="6"/>
      <c r="Y2551" s="6"/>
    </row>
    <row r="2552" spans="1:25" ht="15" customHeight="1" x14ac:dyDescent="0.2">
      <c r="A2552" s="88" t="s">
        <v>2631</v>
      </c>
      <c r="B2552" s="90"/>
      <c r="C2552" s="88" t="s">
        <v>3047</v>
      </c>
      <c r="D2552" s="89"/>
      <c r="E2552" s="89"/>
      <c r="F2552" s="89"/>
      <c r="G2552" s="89"/>
      <c r="H2552" s="89"/>
      <c r="I2552" s="90"/>
      <c r="J2552" s="88" t="s">
        <v>1499</v>
      </c>
      <c r="K2552" s="89"/>
      <c r="L2552" s="89"/>
      <c r="M2552" s="90"/>
      <c r="N2552" s="88" t="s">
        <v>701</v>
      </c>
      <c r="O2552" s="89"/>
      <c r="P2552" s="90"/>
      <c r="Q2552" s="133">
        <v>4395</v>
      </c>
      <c r="R2552" s="134"/>
      <c r="S2552" s="5" t="s">
        <v>2633</v>
      </c>
      <c r="T2552" s="6"/>
      <c r="U2552" s="8">
        <v>5</v>
      </c>
      <c r="V2552" s="5" t="s">
        <v>106</v>
      </c>
      <c r="W2552" s="12">
        <v>40917945</v>
      </c>
      <c r="X2552" s="6"/>
      <c r="Y2552" s="6"/>
    </row>
    <row r="2553" spans="1:25" ht="15" customHeight="1" x14ac:dyDescent="0.2">
      <c r="A2553" s="88" t="s">
        <v>2631</v>
      </c>
      <c r="B2553" s="90"/>
      <c r="C2553" s="88" t="s">
        <v>3048</v>
      </c>
      <c r="D2553" s="90"/>
      <c r="E2553" s="106"/>
      <c r="F2553" s="107"/>
      <c r="G2553" s="107"/>
      <c r="H2553" s="107"/>
      <c r="I2553" s="108"/>
      <c r="J2553" s="88" t="s">
        <v>1499</v>
      </c>
      <c r="K2553" s="89"/>
      <c r="L2553" s="89"/>
      <c r="M2553" s="90"/>
      <c r="N2553" s="88" t="s">
        <v>701</v>
      </c>
      <c r="O2553" s="89"/>
      <c r="P2553" s="90"/>
      <c r="Q2553" s="133">
        <v>4395</v>
      </c>
      <c r="R2553" s="134"/>
      <c r="S2553" s="5" t="s">
        <v>2633</v>
      </c>
      <c r="T2553" s="6"/>
      <c r="U2553" s="8">
        <v>5</v>
      </c>
      <c r="V2553" s="5" t="s">
        <v>106</v>
      </c>
      <c r="W2553" s="12">
        <v>41122671</v>
      </c>
      <c r="X2553" s="6"/>
      <c r="Y2553" s="6"/>
    </row>
    <row r="2554" spans="1:25" ht="15" customHeight="1" x14ac:dyDescent="0.2">
      <c r="A2554" s="88" t="s">
        <v>2631</v>
      </c>
      <c r="B2554" s="90"/>
      <c r="C2554" s="88" t="s">
        <v>3049</v>
      </c>
      <c r="D2554" s="90"/>
      <c r="E2554" s="106"/>
      <c r="F2554" s="107"/>
      <c r="G2554" s="107"/>
      <c r="H2554" s="107"/>
      <c r="I2554" s="108"/>
      <c r="J2554" s="88" t="s">
        <v>1499</v>
      </c>
      <c r="K2554" s="89"/>
      <c r="L2554" s="89"/>
      <c r="M2554" s="90"/>
      <c r="N2554" s="88" t="s">
        <v>701</v>
      </c>
      <c r="O2554" s="89"/>
      <c r="P2554" s="90"/>
      <c r="Q2554" s="133">
        <v>4395</v>
      </c>
      <c r="R2554" s="134"/>
      <c r="S2554" s="5" t="s">
        <v>2633</v>
      </c>
      <c r="T2554" s="6"/>
      <c r="U2554" s="8">
        <v>5</v>
      </c>
      <c r="V2554" s="5" t="s">
        <v>702</v>
      </c>
      <c r="W2554" s="12">
        <v>45845557</v>
      </c>
      <c r="X2554" s="6"/>
      <c r="Y2554" s="6"/>
    </row>
    <row r="2555" spans="1:25" ht="15" customHeight="1" x14ac:dyDescent="0.2">
      <c r="A2555" s="88" t="s">
        <v>2631</v>
      </c>
      <c r="B2555" s="90"/>
      <c r="C2555" s="88" t="s">
        <v>3050</v>
      </c>
      <c r="D2555" s="89"/>
      <c r="E2555" s="89"/>
      <c r="F2555" s="89"/>
      <c r="G2555" s="89"/>
      <c r="H2555" s="89"/>
      <c r="I2555" s="90"/>
      <c r="J2555" s="88" t="s">
        <v>1499</v>
      </c>
      <c r="K2555" s="89"/>
      <c r="L2555" s="89"/>
      <c r="M2555" s="90"/>
      <c r="N2555" s="88" t="s">
        <v>701</v>
      </c>
      <c r="O2555" s="89"/>
      <c r="P2555" s="90"/>
      <c r="Q2555" s="133">
        <v>4395</v>
      </c>
      <c r="R2555" s="134"/>
      <c r="S2555" s="5" t="s">
        <v>2633</v>
      </c>
      <c r="T2555" s="6"/>
      <c r="U2555" s="8">
        <v>4</v>
      </c>
      <c r="V2555" s="5" t="s">
        <v>702</v>
      </c>
      <c r="W2555" s="12">
        <v>49014698</v>
      </c>
      <c r="X2555" s="6"/>
      <c r="Y2555" s="6"/>
    </row>
    <row r="2556" spans="1:25" ht="15" customHeight="1" x14ac:dyDescent="0.2">
      <c r="A2556" s="88" t="s">
        <v>2631</v>
      </c>
      <c r="B2556" s="90"/>
      <c r="C2556" s="88" t="s">
        <v>3051</v>
      </c>
      <c r="D2556" s="89"/>
      <c r="E2556" s="89"/>
      <c r="F2556" s="89"/>
      <c r="G2556" s="89"/>
      <c r="H2556" s="89"/>
      <c r="I2556" s="90"/>
      <c r="J2556" s="88" t="s">
        <v>1499</v>
      </c>
      <c r="K2556" s="89"/>
      <c r="L2556" s="89"/>
      <c r="M2556" s="90"/>
      <c r="N2556" s="88" t="s">
        <v>701</v>
      </c>
      <c r="O2556" s="89"/>
      <c r="P2556" s="90"/>
      <c r="Q2556" s="133">
        <v>4395</v>
      </c>
      <c r="R2556" s="134"/>
      <c r="S2556" s="5" t="s">
        <v>2633</v>
      </c>
      <c r="T2556" s="6"/>
      <c r="U2556" s="8">
        <v>5</v>
      </c>
      <c r="V2556" s="5" t="s">
        <v>702</v>
      </c>
      <c r="W2556" s="12">
        <v>53684177</v>
      </c>
      <c r="X2556" s="6"/>
      <c r="Y2556" s="6"/>
    </row>
    <row r="2557" spans="1:25" ht="15" customHeight="1" x14ac:dyDescent="0.2">
      <c r="A2557" s="88" t="s">
        <v>2631</v>
      </c>
      <c r="B2557" s="90"/>
      <c r="C2557" s="88" t="s">
        <v>3052</v>
      </c>
      <c r="D2557" s="90"/>
      <c r="E2557" s="106"/>
      <c r="F2557" s="107"/>
      <c r="G2557" s="107"/>
      <c r="H2557" s="107"/>
      <c r="I2557" s="108"/>
      <c r="J2557" s="88" t="s">
        <v>1499</v>
      </c>
      <c r="K2557" s="89"/>
      <c r="L2557" s="89"/>
      <c r="M2557" s="90"/>
      <c r="N2557" s="88" t="s">
        <v>14</v>
      </c>
      <c r="O2557" s="89"/>
      <c r="P2557" s="90"/>
      <c r="Q2557" s="133">
        <v>5000</v>
      </c>
      <c r="R2557" s="134"/>
      <c r="S2557" s="5" t="s">
        <v>2633</v>
      </c>
      <c r="T2557" s="6"/>
      <c r="U2557" s="6"/>
      <c r="V2557" s="5" t="s">
        <v>106</v>
      </c>
      <c r="W2557" s="12">
        <v>49780527</v>
      </c>
      <c r="X2557" s="6"/>
      <c r="Y2557" s="6"/>
    </row>
    <row r="2558" spans="1:25" ht="15" customHeight="1" x14ac:dyDescent="0.2">
      <c r="A2558" s="88" t="s">
        <v>2631</v>
      </c>
      <c r="B2558" s="90"/>
      <c r="C2558" s="88" t="s">
        <v>3053</v>
      </c>
      <c r="D2558" s="90"/>
      <c r="E2558" s="106"/>
      <c r="F2558" s="107"/>
      <c r="G2558" s="107"/>
      <c r="H2558" s="107"/>
      <c r="I2558" s="108"/>
      <c r="J2558" s="88" t="s">
        <v>1499</v>
      </c>
      <c r="K2558" s="89"/>
      <c r="L2558" s="89"/>
      <c r="M2558" s="90"/>
      <c r="N2558" s="88" t="s">
        <v>701</v>
      </c>
      <c r="O2558" s="89"/>
      <c r="P2558" s="90"/>
      <c r="Q2558" s="133">
        <v>5000</v>
      </c>
      <c r="R2558" s="134"/>
      <c r="S2558" s="5" t="s">
        <v>2633</v>
      </c>
      <c r="T2558" s="6"/>
      <c r="U2558" s="8">
        <v>5</v>
      </c>
      <c r="V2558" s="5" t="s">
        <v>702</v>
      </c>
      <c r="W2558" s="12">
        <v>49457049</v>
      </c>
      <c r="X2558" s="6"/>
      <c r="Y2558" s="6"/>
    </row>
    <row r="2559" spans="1:25" ht="15" customHeight="1" x14ac:dyDescent="0.2">
      <c r="A2559" s="88" t="s">
        <v>2631</v>
      </c>
      <c r="B2559" s="90"/>
      <c r="C2559" s="88" t="s">
        <v>3054</v>
      </c>
      <c r="D2559" s="89"/>
      <c r="E2559" s="89"/>
      <c r="F2559" s="89"/>
      <c r="G2559" s="89"/>
      <c r="H2559" s="89"/>
      <c r="I2559" s="90"/>
      <c r="J2559" s="88" t="s">
        <v>1499</v>
      </c>
      <c r="K2559" s="89"/>
      <c r="L2559" s="89"/>
      <c r="M2559" s="90"/>
      <c r="N2559" s="88" t="s">
        <v>701</v>
      </c>
      <c r="O2559" s="89"/>
      <c r="P2559" s="90"/>
      <c r="Q2559" s="133">
        <v>5000</v>
      </c>
      <c r="R2559" s="134"/>
      <c r="S2559" s="5" t="s">
        <v>2633</v>
      </c>
      <c r="T2559" s="6"/>
      <c r="U2559" s="8">
        <v>5</v>
      </c>
      <c r="V2559" s="5" t="s">
        <v>702</v>
      </c>
      <c r="W2559" s="12">
        <v>39714443</v>
      </c>
      <c r="X2559" s="6"/>
      <c r="Y2559" s="6"/>
    </row>
    <row r="2560" spans="1:25" ht="15" customHeight="1" x14ac:dyDescent="0.2">
      <c r="A2560" s="88" t="s">
        <v>2631</v>
      </c>
      <c r="B2560" s="90"/>
      <c r="C2560" s="88" t="s">
        <v>3055</v>
      </c>
      <c r="D2560" s="89"/>
      <c r="E2560" s="89"/>
      <c r="F2560" s="89"/>
      <c r="G2560" s="89"/>
      <c r="H2560" s="89"/>
      <c r="I2560" s="90"/>
      <c r="J2560" s="88" t="s">
        <v>1499</v>
      </c>
      <c r="K2560" s="89"/>
      <c r="L2560" s="89"/>
      <c r="M2560" s="90"/>
      <c r="N2560" s="88" t="s">
        <v>701</v>
      </c>
      <c r="O2560" s="89"/>
      <c r="P2560" s="90"/>
      <c r="Q2560" s="133">
        <v>5000</v>
      </c>
      <c r="R2560" s="134"/>
      <c r="S2560" s="5" t="s">
        <v>2633</v>
      </c>
      <c r="T2560" s="6"/>
      <c r="U2560" s="8">
        <v>5</v>
      </c>
      <c r="V2560" s="5" t="s">
        <v>702</v>
      </c>
      <c r="W2560" s="12">
        <v>38778173</v>
      </c>
      <c r="X2560" s="6"/>
      <c r="Y2560" s="6"/>
    </row>
    <row r="2561" spans="1:25" ht="15" customHeight="1" x14ac:dyDescent="0.2">
      <c r="A2561" s="88" t="s">
        <v>2631</v>
      </c>
      <c r="B2561" s="90"/>
      <c r="C2561" s="88" t="s">
        <v>3056</v>
      </c>
      <c r="D2561" s="90"/>
      <c r="E2561" s="106"/>
      <c r="F2561" s="107"/>
      <c r="G2561" s="107"/>
      <c r="H2561" s="107"/>
      <c r="I2561" s="108"/>
      <c r="J2561" s="88" t="s">
        <v>1499</v>
      </c>
      <c r="K2561" s="89"/>
      <c r="L2561" s="89"/>
      <c r="M2561" s="90"/>
      <c r="N2561" s="88" t="s">
        <v>701</v>
      </c>
      <c r="O2561" s="89"/>
      <c r="P2561" s="90"/>
      <c r="Q2561" s="133">
        <v>5000</v>
      </c>
      <c r="R2561" s="134"/>
      <c r="S2561" s="5" t="s">
        <v>2633</v>
      </c>
      <c r="T2561" s="6"/>
      <c r="U2561" s="8">
        <v>5</v>
      </c>
      <c r="V2561" s="5" t="s">
        <v>702</v>
      </c>
      <c r="W2561" s="12">
        <v>39394858</v>
      </c>
      <c r="X2561" s="6"/>
      <c r="Y2561" s="6"/>
    </row>
    <row r="2562" spans="1:25" ht="15" customHeight="1" x14ac:dyDescent="0.2">
      <c r="A2562" s="88" t="s">
        <v>2631</v>
      </c>
      <c r="B2562" s="90"/>
      <c r="C2562" s="88" t="s">
        <v>3057</v>
      </c>
      <c r="D2562" s="89"/>
      <c r="E2562" s="89"/>
      <c r="F2562" s="89"/>
      <c r="G2562" s="89"/>
      <c r="H2562" s="89"/>
      <c r="I2562" s="90"/>
      <c r="J2562" s="88" t="s">
        <v>1499</v>
      </c>
      <c r="K2562" s="89"/>
      <c r="L2562" s="89"/>
      <c r="M2562" s="90"/>
      <c r="N2562" s="88" t="s">
        <v>701</v>
      </c>
      <c r="O2562" s="89"/>
      <c r="P2562" s="90"/>
      <c r="Q2562" s="133">
        <v>5000</v>
      </c>
      <c r="R2562" s="134"/>
      <c r="S2562" s="5" t="s">
        <v>2633</v>
      </c>
      <c r="T2562" s="6"/>
      <c r="U2562" s="8">
        <v>5</v>
      </c>
      <c r="V2562" s="5" t="s">
        <v>702</v>
      </c>
      <c r="W2562" s="12">
        <v>41050473</v>
      </c>
      <c r="X2562" s="6"/>
      <c r="Y2562" s="6"/>
    </row>
    <row r="2563" spans="1:25" ht="15" customHeight="1" x14ac:dyDescent="0.2">
      <c r="A2563" s="88" t="s">
        <v>2631</v>
      </c>
      <c r="B2563" s="90"/>
      <c r="C2563" s="88" t="s">
        <v>3058</v>
      </c>
      <c r="D2563" s="90"/>
      <c r="E2563" s="106"/>
      <c r="F2563" s="107"/>
      <c r="G2563" s="107"/>
      <c r="H2563" s="107"/>
      <c r="I2563" s="108"/>
      <c r="J2563" s="88" t="s">
        <v>1499</v>
      </c>
      <c r="K2563" s="89"/>
      <c r="L2563" s="89"/>
      <c r="M2563" s="90"/>
      <c r="N2563" s="88" t="s">
        <v>14</v>
      </c>
      <c r="O2563" s="89"/>
      <c r="P2563" s="90"/>
      <c r="Q2563" s="133">
        <v>5000</v>
      </c>
      <c r="R2563" s="134"/>
      <c r="S2563" s="5" t="s">
        <v>2633</v>
      </c>
      <c r="T2563" s="6"/>
      <c r="U2563" s="6"/>
      <c r="V2563" s="5" t="s">
        <v>106</v>
      </c>
      <c r="W2563" s="12">
        <v>32472728</v>
      </c>
      <c r="X2563" s="6"/>
      <c r="Y2563" s="6"/>
    </row>
    <row r="2564" spans="1:25" ht="15" customHeight="1" x14ac:dyDescent="0.2">
      <c r="A2564" s="88" t="s">
        <v>2631</v>
      </c>
      <c r="B2564" s="90"/>
      <c r="C2564" s="88" t="s">
        <v>3059</v>
      </c>
      <c r="D2564" s="90"/>
      <c r="E2564" s="106"/>
      <c r="F2564" s="107"/>
      <c r="G2564" s="107"/>
      <c r="H2564" s="107"/>
      <c r="I2564" s="108"/>
      <c r="J2564" s="88" t="s">
        <v>1499</v>
      </c>
      <c r="K2564" s="89"/>
      <c r="L2564" s="89"/>
      <c r="M2564" s="90"/>
      <c r="N2564" s="88" t="s">
        <v>14</v>
      </c>
      <c r="O2564" s="89"/>
      <c r="P2564" s="90"/>
      <c r="Q2564" s="133">
        <v>5000</v>
      </c>
      <c r="R2564" s="134"/>
      <c r="S2564" s="5" t="s">
        <v>2633</v>
      </c>
      <c r="T2564" s="6"/>
      <c r="U2564" s="6"/>
      <c r="V2564" s="5" t="s">
        <v>106</v>
      </c>
      <c r="W2564" s="12">
        <v>32143055</v>
      </c>
      <c r="X2564" s="6"/>
      <c r="Y2564" s="6"/>
    </row>
    <row r="2565" spans="1:25" ht="15" customHeight="1" x14ac:dyDescent="0.2">
      <c r="A2565" s="88" t="s">
        <v>2631</v>
      </c>
      <c r="B2565" s="90"/>
      <c r="C2565" s="88" t="s">
        <v>3060</v>
      </c>
      <c r="D2565" s="90"/>
      <c r="E2565" s="106"/>
      <c r="F2565" s="107"/>
      <c r="G2565" s="107"/>
      <c r="H2565" s="107"/>
      <c r="I2565" s="108"/>
      <c r="J2565" s="88" t="s">
        <v>1499</v>
      </c>
      <c r="K2565" s="89"/>
      <c r="L2565" s="89"/>
      <c r="M2565" s="90"/>
      <c r="N2565" s="88" t="s">
        <v>14</v>
      </c>
      <c r="O2565" s="89"/>
      <c r="P2565" s="90"/>
      <c r="Q2565" s="133">
        <v>5000</v>
      </c>
      <c r="R2565" s="134"/>
      <c r="S2565" s="5" t="s">
        <v>2633</v>
      </c>
      <c r="T2565" s="6"/>
      <c r="U2565" s="6"/>
      <c r="V2565" s="5" t="s">
        <v>106</v>
      </c>
      <c r="W2565" s="12">
        <v>28516659</v>
      </c>
      <c r="X2565" s="6"/>
      <c r="Y2565" s="6"/>
    </row>
    <row r="2566" spans="1:25" ht="15" customHeight="1" x14ac:dyDescent="0.2">
      <c r="A2566" s="88" t="s">
        <v>2631</v>
      </c>
      <c r="B2566" s="90"/>
      <c r="C2566" s="88" t="s">
        <v>3014</v>
      </c>
      <c r="D2566" s="90"/>
      <c r="E2566" s="106"/>
      <c r="F2566" s="107"/>
      <c r="G2566" s="107"/>
      <c r="H2566" s="107"/>
      <c r="I2566" s="108"/>
      <c r="J2566" s="88" t="s">
        <v>1499</v>
      </c>
      <c r="K2566" s="89"/>
      <c r="L2566" s="89"/>
      <c r="M2566" s="90"/>
      <c r="N2566" s="88" t="s">
        <v>14</v>
      </c>
      <c r="O2566" s="89"/>
      <c r="P2566" s="90"/>
      <c r="Q2566" s="133">
        <v>5000</v>
      </c>
      <c r="R2566" s="134"/>
      <c r="S2566" s="5" t="s">
        <v>2633</v>
      </c>
      <c r="T2566" s="6"/>
      <c r="U2566" s="6"/>
      <c r="V2566" s="5" t="s">
        <v>106</v>
      </c>
      <c r="W2566" s="12">
        <v>28846332</v>
      </c>
      <c r="X2566" s="6"/>
      <c r="Y2566" s="6"/>
    </row>
    <row r="2567" spans="1:25" ht="15" customHeight="1" x14ac:dyDescent="0.2">
      <c r="A2567" s="88" t="s">
        <v>2631</v>
      </c>
      <c r="B2567" s="90"/>
      <c r="C2567" s="88" t="s">
        <v>3061</v>
      </c>
      <c r="D2567" s="90"/>
      <c r="E2567" s="106"/>
      <c r="F2567" s="107"/>
      <c r="G2567" s="107"/>
      <c r="H2567" s="107"/>
      <c r="I2567" s="108"/>
      <c r="J2567" s="88" t="s">
        <v>1499</v>
      </c>
      <c r="K2567" s="89"/>
      <c r="L2567" s="89"/>
      <c r="M2567" s="90"/>
      <c r="N2567" s="88" t="s">
        <v>14</v>
      </c>
      <c r="O2567" s="89"/>
      <c r="P2567" s="90"/>
      <c r="Q2567" s="133">
        <v>5000</v>
      </c>
      <c r="R2567" s="134"/>
      <c r="S2567" s="5" t="s">
        <v>2633</v>
      </c>
      <c r="T2567" s="6"/>
      <c r="U2567" s="6"/>
      <c r="V2567" s="5" t="s">
        <v>106</v>
      </c>
      <c r="W2567" s="12">
        <v>38077158</v>
      </c>
      <c r="X2567" s="6"/>
      <c r="Y2567" s="6"/>
    </row>
    <row r="2568" spans="1:25" ht="15" customHeight="1" x14ac:dyDescent="0.2">
      <c r="A2568" s="88" t="s">
        <v>2631</v>
      </c>
      <c r="B2568" s="90"/>
      <c r="C2568" s="88" t="s">
        <v>3061</v>
      </c>
      <c r="D2568" s="90"/>
      <c r="E2568" s="106"/>
      <c r="F2568" s="107"/>
      <c r="G2568" s="107"/>
      <c r="H2568" s="107"/>
      <c r="I2568" s="108"/>
      <c r="J2568" s="88" t="s">
        <v>1499</v>
      </c>
      <c r="K2568" s="89"/>
      <c r="L2568" s="89"/>
      <c r="M2568" s="90"/>
      <c r="N2568" s="88" t="s">
        <v>14</v>
      </c>
      <c r="O2568" s="89"/>
      <c r="P2568" s="90"/>
      <c r="Q2568" s="133">
        <v>5000</v>
      </c>
      <c r="R2568" s="134"/>
      <c r="S2568" s="5" t="s">
        <v>2633</v>
      </c>
      <c r="T2568" s="6"/>
      <c r="U2568" s="6"/>
      <c r="V2568" s="5" t="s">
        <v>106</v>
      </c>
      <c r="W2568" s="12">
        <v>37747486</v>
      </c>
      <c r="X2568" s="6"/>
      <c r="Y2568" s="6"/>
    </row>
    <row r="2569" spans="1:25" ht="15" customHeight="1" x14ac:dyDescent="0.2">
      <c r="A2569" s="88" t="s">
        <v>2631</v>
      </c>
      <c r="B2569" s="90"/>
      <c r="C2569" s="88" t="s">
        <v>3062</v>
      </c>
      <c r="D2569" s="89"/>
      <c r="E2569" s="89"/>
      <c r="F2569" s="89"/>
      <c r="G2569" s="89"/>
      <c r="H2569" s="89"/>
      <c r="I2569" s="90"/>
      <c r="J2569" s="88" t="s">
        <v>1499</v>
      </c>
      <c r="K2569" s="89"/>
      <c r="L2569" s="89"/>
      <c r="M2569" s="90"/>
      <c r="N2569" s="88" t="s">
        <v>14</v>
      </c>
      <c r="O2569" s="89"/>
      <c r="P2569" s="90"/>
      <c r="Q2569" s="133">
        <v>5000</v>
      </c>
      <c r="R2569" s="134"/>
      <c r="S2569" s="5" t="s">
        <v>2633</v>
      </c>
      <c r="T2569" s="6"/>
      <c r="U2569" s="6"/>
      <c r="V2569" s="5" t="s">
        <v>106</v>
      </c>
      <c r="W2569" s="12">
        <v>42857407</v>
      </c>
      <c r="X2569" s="6"/>
      <c r="Y2569" s="6"/>
    </row>
    <row r="2570" spans="1:25" ht="15" customHeight="1" x14ac:dyDescent="0.2">
      <c r="A2570" s="88" t="s">
        <v>2631</v>
      </c>
      <c r="B2570" s="90"/>
      <c r="C2570" s="88" t="s">
        <v>3063</v>
      </c>
      <c r="D2570" s="90"/>
      <c r="E2570" s="106"/>
      <c r="F2570" s="107"/>
      <c r="G2570" s="107"/>
      <c r="H2570" s="107"/>
      <c r="I2570" s="108"/>
      <c r="J2570" s="88" t="s">
        <v>1499</v>
      </c>
      <c r="K2570" s="89"/>
      <c r="L2570" s="89"/>
      <c r="M2570" s="90"/>
      <c r="N2570" s="88" t="s">
        <v>14</v>
      </c>
      <c r="O2570" s="89"/>
      <c r="P2570" s="90"/>
      <c r="Q2570" s="133">
        <v>5000</v>
      </c>
      <c r="R2570" s="134"/>
      <c r="S2570" s="5" t="s">
        <v>2633</v>
      </c>
      <c r="T2570" s="6"/>
      <c r="U2570" s="6"/>
      <c r="V2570" s="5" t="s">
        <v>106</v>
      </c>
      <c r="W2570" s="12">
        <v>47637656</v>
      </c>
      <c r="X2570" s="6"/>
      <c r="Y2570" s="6"/>
    </row>
    <row r="2571" spans="1:25" ht="15" customHeight="1" x14ac:dyDescent="0.2">
      <c r="A2571" s="88" t="s">
        <v>2631</v>
      </c>
      <c r="B2571" s="90"/>
      <c r="C2571" s="88" t="s">
        <v>3064</v>
      </c>
      <c r="D2571" s="90"/>
      <c r="E2571" s="106"/>
      <c r="F2571" s="107"/>
      <c r="G2571" s="107"/>
      <c r="H2571" s="107"/>
      <c r="I2571" s="108"/>
      <c r="J2571" s="88" t="s">
        <v>1499</v>
      </c>
      <c r="K2571" s="89"/>
      <c r="L2571" s="89"/>
      <c r="M2571" s="90"/>
      <c r="N2571" s="88" t="s">
        <v>14</v>
      </c>
      <c r="O2571" s="89"/>
      <c r="P2571" s="90"/>
      <c r="Q2571" s="133">
        <v>5000</v>
      </c>
      <c r="R2571" s="134"/>
      <c r="S2571" s="5" t="s">
        <v>2633</v>
      </c>
      <c r="T2571" s="6"/>
      <c r="U2571" s="6"/>
      <c r="V2571" s="5" t="s">
        <v>106</v>
      </c>
      <c r="W2571" s="12">
        <v>51099216</v>
      </c>
      <c r="X2571" s="6"/>
      <c r="Y2571" s="6"/>
    </row>
    <row r="2572" spans="1:25" ht="15" customHeight="1" x14ac:dyDescent="0.2">
      <c r="A2572" s="88" t="s">
        <v>2631</v>
      </c>
      <c r="B2572" s="90"/>
      <c r="C2572" s="88" t="s">
        <v>3065</v>
      </c>
      <c r="D2572" s="90"/>
      <c r="E2572" s="106"/>
      <c r="F2572" s="107"/>
      <c r="G2572" s="107"/>
      <c r="H2572" s="107"/>
      <c r="I2572" s="108"/>
      <c r="J2572" s="88" t="s">
        <v>1499</v>
      </c>
      <c r="K2572" s="89"/>
      <c r="L2572" s="89"/>
      <c r="M2572" s="90"/>
      <c r="N2572" s="88" t="s">
        <v>14</v>
      </c>
      <c r="O2572" s="89"/>
      <c r="P2572" s="90"/>
      <c r="Q2572" s="133">
        <v>5000</v>
      </c>
      <c r="R2572" s="134"/>
      <c r="S2572" s="5" t="s">
        <v>2633</v>
      </c>
      <c r="T2572" s="6"/>
      <c r="U2572" s="6"/>
      <c r="V2572" s="5" t="s">
        <v>106</v>
      </c>
      <c r="W2572" s="12">
        <v>48956346</v>
      </c>
      <c r="X2572" s="6"/>
      <c r="Y2572" s="6"/>
    </row>
    <row r="2573" spans="1:25" ht="15" customHeight="1" x14ac:dyDescent="0.2">
      <c r="A2573" s="88" t="s">
        <v>2631</v>
      </c>
      <c r="B2573" s="90"/>
      <c r="C2573" s="88" t="s">
        <v>3066</v>
      </c>
      <c r="D2573" s="90"/>
      <c r="E2573" s="106"/>
      <c r="F2573" s="107"/>
      <c r="G2573" s="107"/>
      <c r="H2573" s="107"/>
      <c r="I2573" s="108"/>
      <c r="J2573" s="88" t="s">
        <v>1499</v>
      </c>
      <c r="K2573" s="89"/>
      <c r="L2573" s="89"/>
      <c r="M2573" s="90"/>
      <c r="N2573" s="88" t="s">
        <v>14</v>
      </c>
      <c r="O2573" s="89"/>
      <c r="P2573" s="90"/>
      <c r="Q2573" s="133">
        <v>5000</v>
      </c>
      <c r="R2573" s="134"/>
      <c r="S2573" s="5" t="s">
        <v>2633</v>
      </c>
      <c r="T2573" s="6"/>
      <c r="U2573" s="6"/>
      <c r="V2573" s="5" t="s">
        <v>106</v>
      </c>
      <c r="W2573" s="12">
        <v>31697998</v>
      </c>
      <c r="X2573" s="6"/>
      <c r="Y2573" s="6"/>
    </row>
    <row r="2574" spans="1:25" ht="15" customHeight="1" x14ac:dyDescent="0.2">
      <c r="A2574" s="88" t="s">
        <v>2631</v>
      </c>
      <c r="B2574" s="90"/>
      <c r="C2574" s="88" t="s">
        <v>3067</v>
      </c>
      <c r="D2574" s="90"/>
      <c r="E2574" s="106"/>
      <c r="F2574" s="107"/>
      <c r="G2574" s="107"/>
      <c r="H2574" s="107"/>
      <c r="I2574" s="108"/>
      <c r="J2574" s="88" t="s">
        <v>1499</v>
      </c>
      <c r="K2574" s="89"/>
      <c r="L2574" s="89"/>
      <c r="M2574" s="90"/>
      <c r="N2574" s="88" t="s">
        <v>14</v>
      </c>
      <c r="O2574" s="89"/>
      <c r="P2574" s="90"/>
      <c r="Q2574" s="133">
        <v>5000</v>
      </c>
      <c r="R2574" s="134"/>
      <c r="S2574" s="5" t="s">
        <v>2633</v>
      </c>
      <c r="T2574" s="6"/>
      <c r="U2574" s="6"/>
      <c r="V2574" s="5" t="s">
        <v>106</v>
      </c>
      <c r="W2574" s="12">
        <v>38505732</v>
      </c>
      <c r="X2574" s="6"/>
      <c r="Y2574" s="6"/>
    </row>
    <row r="2575" spans="1:25" ht="15" customHeight="1" x14ac:dyDescent="0.2">
      <c r="A2575" s="88" t="s">
        <v>2631</v>
      </c>
      <c r="B2575" s="90"/>
      <c r="C2575" s="88" t="s">
        <v>3068</v>
      </c>
      <c r="D2575" s="90"/>
      <c r="E2575" s="106"/>
      <c r="F2575" s="107"/>
      <c r="G2575" s="107"/>
      <c r="H2575" s="107"/>
      <c r="I2575" s="108"/>
      <c r="J2575" s="88" t="s">
        <v>1499</v>
      </c>
      <c r="K2575" s="89"/>
      <c r="L2575" s="89"/>
      <c r="M2575" s="90"/>
      <c r="N2575" s="88" t="s">
        <v>14</v>
      </c>
      <c r="O2575" s="89"/>
      <c r="P2575" s="90"/>
      <c r="Q2575" s="133">
        <v>5000</v>
      </c>
      <c r="R2575" s="134"/>
      <c r="S2575" s="5" t="s">
        <v>2633</v>
      </c>
      <c r="T2575" s="6"/>
      <c r="U2575" s="6"/>
      <c r="V2575" s="5" t="s">
        <v>106</v>
      </c>
      <c r="W2575" s="12">
        <v>34928787</v>
      </c>
      <c r="X2575" s="6"/>
      <c r="Y2575" s="6"/>
    </row>
    <row r="2576" spans="1:25" ht="15" customHeight="1" x14ac:dyDescent="0.2">
      <c r="A2576" s="88" t="s">
        <v>2631</v>
      </c>
      <c r="B2576" s="90"/>
      <c r="C2576" s="88" t="s">
        <v>3069</v>
      </c>
      <c r="D2576" s="90"/>
      <c r="E2576" s="106"/>
      <c r="F2576" s="107"/>
      <c r="G2576" s="107"/>
      <c r="H2576" s="107"/>
      <c r="I2576" s="108"/>
      <c r="J2576" s="88" t="s">
        <v>1499</v>
      </c>
      <c r="K2576" s="89"/>
      <c r="L2576" s="89"/>
      <c r="M2576" s="90"/>
      <c r="N2576" s="88" t="s">
        <v>14</v>
      </c>
      <c r="O2576" s="89"/>
      <c r="P2576" s="90"/>
      <c r="Q2576" s="133">
        <v>5000</v>
      </c>
      <c r="R2576" s="134"/>
      <c r="S2576" s="5" t="s">
        <v>2633</v>
      </c>
      <c r="T2576" s="6"/>
      <c r="U2576" s="6"/>
      <c r="V2576" s="5" t="s">
        <v>106</v>
      </c>
      <c r="W2576" s="12">
        <v>38736503</v>
      </c>
      <c r="X2576" s="6"/>
      <c r="Y2576" s="6"/>
    </row>
    <row r="2577" spans="1:25" ht="15" customHeight="1" x14ac:dyDescent="0.2">
      <c r="A2577" s="88" t="s">
        <v>2631</v>
      </c>
      <c r="B2577" s="90"/>
      <c r="C2577" s="88" t="s">
        <v>3070</v>
      </c>
      <c r="D2577" s="90"/>
      <c r="E2577" s="106"/>
      <c r="F2577" s="107"/>
      <c r="G2577" s="107"/>
      <c r="H2577" s="107"/>
      <c r="I2577" s="108"/>
      <c r="J2577" s="88" t="s">
        <v>1499</v>
      </c>
      <c r="K2577" s="89"/>
      <c r="L2577" s="89"/>
      <c r="M2577" s="90"/>
      <c r="N2577" s="88" t="s">
        <v>14</v>
      </c>
      <c r="O2577" s="89"/>
      <c r="P2577" s="90"/>
      <c r="Q2577" s="133">
        <v>5000</v>
      </c>
      <c r="R2577" s="134"/>
      <c r="S2577" s="5" t="s">
        <v>2633</v>
      </c>
      <c r="T2577" s="6"/>
      <c r="U2577" s="6"/>
      <c r="V2577" s="5" t="s">
        <v>106</v>
      </c>
      <c r="W2577" s="12">
        <v>37417813</v>
      </c>
      <c r="X2577" s="6"/>
      <c r="Y2577" s="6"/>
    </row>
    <row r="2578" spans="1:25" ht="15" customHeight="1" x14ac:dyDescent="0.2">
      <c r="A2578" s="88" t="s">
        <v>2631</v>
      </c>
      <c r="B2578" s="90"/>
      <c r="C2578" s="88" t="s">
        <v>3071</v>
      </c>
      <c r="D2578" s="89"/>
      <c r="E2578" s="89"/>
      <c r="F2578" s="89"/>
      <c r="G2578" s="89"/>
      <c r="H2578" s="89"/>
      <c r="I2578" s="90"/>
      <c r="J2578" s="88" t="s">
        <v>1499</v>
      </c>
      <c r="K2578" s="89"/>
      <c r="L2578" s="89"/>
      <c r="M2578" s="90"/>
      <c r="N2578" s="88" t="s">
        <v>701</v>
      </c>
      <c r="O2578" s="89"/>
      <c r="P2578" s="90"/>
      <c r="Q2578" s="133">
        <v>5000</v>
      </c>
      <c r="R2578" s="134"/>
      <c r="S2578" s="5" t="s">
        <v>2633</v>
      </c>
      <c r="T2578" s="6"/>
      <c r="U2578" s="8">
        <v>5</v>
      </c>
      <c r="V2578" s="5" t="s">
        <v>702</v>
      </c>
      <c r="W2578" s="12">
        <v>38982900</v>
      </c>
      <c r="X2578" s="6"/>
      <c r="Y2578" s="6"/>
    </row>
    <row r="2579" spans="1:25" ht="15" customHeight="1" x14ac:dyDescent="0.2">
      <c r="A2579" s="88" t="s">
        <v>2631</v>
      </c>
      <c r="B2579" s="90"/>
      <c r="C2579" s="88" t="s">
        <v>3072</v>
      </c>
      <c r="D2579" s="90"/>
      <c r="E2579" s="106"/>
      <c r="F2579" s="107"/>
      <c r="G2579" s="107"/>
      <c r="H2579" s="107"/>
      <c r="I2579" s="108"/>
      <c r="J2579" s="88" t="s">
        <v>1499</v>
      </c>
      <c r="K2579" s="89"/>
      <c r="L2579" s="89"/>
      <c r="M2579" s="90"/>
      <c r="N2579" s="88" t="s">
        <v>701</v>
      </c>
      <c r="O2579" s="89"/>
      <c r="P2579" s="90"/>
      <c r="Q2579" s="133">
        <v>5000</v>
      </c>
      <c r="R2579" s="134"/>
      <c r="S2579" s="5" t="s">
        <v>2633</v>
      </c>
      <c r="T2579" s="6"/>
      <c r="U2579" s="8">
        <v>5</v>
      </c>
      <c r="V2579" s="5" t="s">
        <v>702</v>
      </c>
      <c r="W2579" s="12">
        <v>49661775</v>
      </c>
      <c r="X2579" s="6"/>
      <c r="Y2579" s="6"/>
    </row>
    <row r="2580" spans="1:25" ht="15" customHeight="1" x14ac:dyDescent="0.2">
      <c r="A2580" s="88" t="s">
        <v>2631</v>
      </c>
      <c r="B2580" s="90"/>
      <c r="C2580" s="88" t="s">
        <v>3073</v>
      </c>
      <c r="D2580" s="89"/>
      <c r="E2580" s="89"/>
      <c r="F2580" s="89"/>
      <c r="G2580" s="89"/>
      <c r="H2580" s="89"/>
      <c r="I2580" s="90"/>
      <c r="J2580" s="88" t="s">
        <v>1499</v>
      </c>
      <c r="K2580" s="89"/>
      <c r="L2580" s="89"/>
      <c r="M2580" s="90"/>
      <c r="N2580" s="88" t="s">
        <v>701</v>
      </c>
      <c r="O2580" s="89"/>
      <c r="P2580" s="90"/>
      <c r="Q2580" s="133">
        <v>5000</v>
      </c>
      <c r="R2580" s="134"/>
      <c r="S2580" s="5" t="s">
        <v>2633</v>
      </c>
      <c r="T2580" s="6"/>
      <c r="U2580" s="8">
        <v>5</v>
      </c>
      <c r="V2580" s="5" t="s">
        <v>702</v>
      </c>
      <c r="W2580" s="12">
        <v>39919169</v>
      </c>
      <c r="X2580" s="6"/>
      <c r="Y2580" s="6"/>
    </row>
    <row r="2581" spans="1:25" ht="15" customHeight="1" x14ac:dyDescent="0.2">
      <c r="A2581" s="88" t="s">
        <v>2631</v>
      </c>
      <c r="B2581" s="90"/>
      <c r="C2581" s="88" t="s">
        <v>3074</v>
      </c>
      <c r="D2581" s="90"/>
      <c r="E2581" s="106"/>
      <c r="F2581" s="107"/>
      <c r="G2581" s="107"/>
      <c r="H2581" s="107"/>
      <c r="I2581" s="108"/>
      <c r="J2581" s="88" t="s">
        <v>1499</v>
      </c>
      <c r="K2581" s="89"/>
      <c r="L2581" s="89"/>
      <c r="M2581" s="90"/>
      <c r="N2581" s="88" t="s">
        <v>701</v>
      </c>
      <c r="O2581" s="89"/>
      <c r="P2581" s="90"/>
      <c r="Q2581" s="133">
        <v>5000</v>
      </c>
      <c r="R2581" s="134"/>
      <c r="S2581" s="5" t="s">
        <v>2633</v>
      </c>
      <c r="T2581" s="6"/>
      <c r="U2581" s="8">
        <v>5</v>
      </c>
      <c r="V2581" s="5" t="s">
        <v>702</v>
      </c>
      <c r="W2581" s="12">
        <v>39599585</v>
      </c>
      <c r="X2581" s="6"/>
      <c r="Y2581" s="6"/>
    </row>
    <row r="2582" spans="1:25" ht="15" customHeight="1" x14ac:dyDescent="0.2">
      <c r="A2582" s="88" t="s">
        <v>2631</v>
      </c>
      <c r="B2582" s="90"/>
      <c r="C2582" s="88" t="s">
        <v>3075</v>
      </c>
      <c r="D2582" s="89"/>
      <c r="E2582" s="89"/>
      <c r="F2582" s="89"/>
      <c r="G2582" s="89"/>
      <c r="H2582" s="89"/>
      <c r="I2582" s="90"/>
      <c r="J2582" s="88" t="s">
        <v>1499</v>
      </c>
      <c r="K2582" s="89"/>
      <c r="L2582" s="89"/>
      <c r="M2582" s="90"/>
      <c r="N2582" s="88" t="s">
        <v>701</v>
      </c>
      <c r="O2582" s="89"/>
      <c r="P2582" s="90"/>
      <c r="Q2582" s="133">
        <v>5000</v>
      </c>
      <c r="R2582" s="134"/>
      <c r="S2582" s="5" t="s">
        <v>2633</v>
      </c>
      <c r="T2582" s="6"/>
      <c r="U2582" s="8">
        <v>4</v>
      </c>
      <c r="V2582" s="5" t="s">
        <v>702</v>
      </c>
      <c r="W2582" s="12">
        <v>46966773</v>
      </c>
      <c r="X2582" s="6"/>
      <c r="Y2582" s="6"/>
    </row>
    <row r="2583" spans="1:25" ht="15" customHeight="1" x14ac:dyDescent="0.2">
      <c r="A2583" s="88" t="s">
        <v>2631</v>
      </c>
      <c r="B2583" s="90"/>
      <c r="C2583" s="88" t="s">
        <v>3076</v>
      </c>
      <c r="D2583" s="89"/>
      <c r="E2583" s="89"/>
      <c r="F2583" s="89"/>
      <c r="G2583" s="89"/>
      <c r="H2583" s="89"/>
      <c r="I2583" s="90"/>
      <c r="J2583" s="88" t="s">
        <v>1499</v>
      </c>
      <c r="K2583" s="89"/>
      <c r="L2583" s="89"/>
      <c r="M2583" s="90"/>
      <c r="N2583" s="88" t="s">
        <v>701</v>
      </c>
      <c r="O2583" s="89"/>
      <c r="P2583" s="90"/>
      <c r="Q2583" s="133">
        <v>5000</v>
      </c>
      <c r="R2583" s="134"/>
      <c r="S2583" s="5" t="s">
        <v>2633</v>
      </c>
      <c r="T2583" s="6"/>
      <c r="U2583" s="8">
        <v>4</v>
      </c>
      <c r="V2583" s="5" t="s">
        <v>702</v>
      </c>
      <c r="W2583" s="12">
        <v>49014698</v>
      </c>
      <c r="X2583" s="6"/>
      <c r="Y2583" s="6"/>
    </row>
    <row r="2584" spans="1:25" ht="15" customHeight="1" x14ac:dyDescent="0.2">
      <c r="A2584" s="88" t="s">
        <v>2631</v>
      </c>
      <c r="B2584" s="90"/>
      <c r="C2584" s="88" t="s">
        <v>3077</v>
      </c>
      <c r="D2584" s="89"/>
      <c r="E2584" s="89"/>
      <c r="F2584" s="89"/>
      <c r="G2584" s="89"/>
      <c r="H2584" s="89"/>
      <c r="I2584" s="90"/>
      <c r="J2584" s="88" t="s">
        <v>1499</v>
      </c>
      <c r="K2584" s="89"/>
      <c r="L2584" s="89"/>
      <c r="M2584" s="90"/>
      <c r="N2584" s="88" t="s">
        <v>701</v>
      </c>
      <c r="O2584" s="89"/>
      <c r="P2584" s="90"/>
      <c r="Q2584" s="133">
        <v>5000</v>
      </c>
      <c r="R2584" s="134"/>
      <c r="S2584" s="5" t="s">
        <v>2633</v>
      </c>
      <c r="T2584" s="6"/>
      <c r="U2584" s="8">
        <v>4</v>
      </c>
      <c r="V2584" s="5" t="s">
        <v>702</v>
      </c>
      <c r="W2584" s="12">
        <v>47171500</v>
      </c>
      <c r="X2584" s="6"/>
      <c r="Y2584" s="6"/>
    </row>
    <row r="2585" spans="1:25" ht="15" customHeight="1" x14ac:dyDescent="0.2">
      <c r="A2585" s="88" t="s">
        <v>2631</v>
      </c>
      <c r="B2585" s="90"/>
      <c r="C2585" s="88" t="s">
        <v>3078</v>
      </c>
      <c r="D2585" s="90"/>
      <c r="E2585" s="106"/>
      <c r="F2585" s="107"/>
      <c r="G2585" s="107"/>
      <c r="H2585" s="107"/>
      <c r="I2585" s="108"/>
      <c r="J2585" s="88" t="s">
        <v>1499</v>
      </c>
      <c r="K2585" s="89"/>
      <c r="L2585" s="89"/>
      <c r="M2585" s="90"/>
      <c r="N2585" s="88" t="s">
        <v>701</v>
      </c>
      <c r="O2585" s="89"/>
      <c r="P2585" s="90"/>
      <c r="Q2585" s="133">
        <v>5000</v>
      </c>
      <c r="R2585" s="134"/>
      <c r="S2585" s="5" t="s">
        <v>2633</v>
      </c>
      <c r="T2585" s="6"/>
      <c r="U2585" s="8">
        <v>5</v>
      </c>
      <c r="V2585" s="5" t="s">
        <v>702</v>
      </c>
      <c r="W2585" s="12">
        <v>41255199</v>
      </c>
      <c r="X2585" s="6"/>
      <c r="Y2585" s="6"/>
    </row>
    <row r="2586" spans="1:25" ht="15" customHeight="1" x14ac:dyDescent="0.2">
      <c r="A2586" s="88" t="s">
        <v>2631</v>
      </c>
      <c r="B2586" s="90"/>
      <c r="C2586" s="88" t="s">
        <v>3079</v>
      </c>
      <c r="D2586" s="89"/>
      <c r="E2586" s="89"/>
      <c r="F2586" s="89"/>
      <c r="G2586" s="89"/>
      <c r="H2586" s="89"/>
      <c r="I2586" s="90"/>
      <c r="J2586" s="88" t="s">
        <v>1499</v>
      </c>
      <c r="K2586" s="89"/>
      <c r="L2586" s="89"/>
      <c r="M2586" s="90"/>
      <c r="N2586" s="88" t="s">
        <v>701</v>
      </c>
      <c r="O2586" s="89"/>
      <c r="P2586" s="90"/>
      <c r="Q2586" s="133">
        <v>5000</v>
      </c>
      <c r="R2586" s="134"/>
      <c r="S2586" s="5" t="s">
        <v>2633</v>
      </c>
      <c r="T2586" s="6"/>
      <c r="U2586" s="8">
        <v>4</v>
      </c>
      <c r="V2586" s="5" t="s">
        <v>702</v>
      </c>
      <c r="W2586" s="12">
        <v>57928050</v>
      </c>
      <c r="X2586" s="6"/>
      <c r="Y2586" s="6"/>
    </row>
    <row r="2587" spans="1:25" ht="15" customHeight="1" x14ac:dyDescent="0.2">
      <c r="A2587" s="88" t="s">
        <v>2631</v>
      </c>
      <c r="B2587" s="90"/>
      <c r="C2587" s="88" t="s">
        <v>3080</v>
      </c>
      <c r="D2587" s="89"/>
      <c r="E2587" s="89"/>
      <c r="F2587" s="89"/>
      <c r="G2587" s="89"/>
      <c r="H2587" s="89"/>
      <c r="I2587" s="90"/>
      <c r="J2587" s="88" t="s">
        <v>1499</v>
      </c>
      <c r="K2587" s="89"/>
      <c r="L2587" s="89"/>
      <c r="M2587" s="90"/>
      <c r="N2587" s="88" t="s">
        <v>701</v>
      </c>
      <c r="O2587" s="89"/>
      <c r="P2587" s="90"/>
      <c r="Q2587" s="133">
        <v>5000</v>
      </c>
      <c r="R2587" s="134"/>
      <c r="S2587" s="5" t="s">
        <v>2633</v>
      </c>
      <c r="T2587" s="6"/>
      <c r="U2587" s="8">
        <v>4</v>
      </c>
      <c r="V2587" s="5" t="s">
        <v>702</v>
      </c>
      <c r="W2587" s="12">
        <v>59383932</v>
      </c>
      <c r="X2587" s="6"/>
      <c r="Y2587" s="6"/>
    </row>
    <row r="2588" spans="1:25" ht="15" customHeight="1" x14ac:dyDescent="0.2">
      <c r="A2588" s="88" t="s">
        <v>2631</v>
      </c>
      <c r="B2588" s="90"/>
      <c r="C2588" s="88" t="s">
        <v>3081</v>
      </c>
      <c r="D2588" s="89"/>
      <c r="E2588" s="89"/>
      <c r="F2588" s="89"/>
      <c r="G2588" s="89"/>
      <c r="H2588" s="89"/>
      <c r="I2588" s="90"/>
      <c r="J2588" s="88" t="s">
        <v>1499</v>
      </c>
      <c r="K2588" s="89"/>
      <c r="L2588" s="89"/>
      <c r="M2588" s="90"/>
      <c r="N2588" s="88" t="s">
        <v>701</v>
      </c>
      <c r="O2588" s="89"/>
      <c r="P2588" s="90"/>
      <c r="Q2588" s="133">
        <v>5000</v>
      </c>
      <c r="R2588" s="134"/>
      <c r="S2588" s="5" t="s">
        <v>2633</v>
      </c>
      <c r="T2588" s="6"/>
      <c r="U2588" s="8">
        <v>4</v>
      </c>
      <c r="V2588" s="5" t="s">
        <v>702</v>
      </c>
      <c r="W2588" s="12">
        <v>68697127</v>
      </c>
      <c r="X2588" s="6"/>
      <c r="Y2588" s="6"/>
    </row>
    <row r="2589" spans="1:25" ht="15" customHeight="1" x14ac:dyDescent="0.2">
      <c r="A2589" s="88" t="s">
        <v>2631</v>
      </c>
      <c r="B2589" s="90"/>
      <c r="C2589" s="88" t="s">
        <v>3082</v>
      </c>
      <c r="D2589" s="89"/>
      <c r="E2589" s="89"/>
      <c r="F2589" s="89"/>
      <c r="G2589" s="89"/>
      <c r="H2589" s="89"/>
      <c r="I2589" s="90"/>
      <c r="J2589" s="88" t="s">
        <v>1499</v>
      </c>
      <c r="K2589" s="89"/>
      <c r="L2589" s="89"/>
      <c r="M2589" s="90"/>
      <c r="N2589" s="88" t="s">
        <v>701</v>
      </c>
      <c r="O2589" s="89"/>
      <c r="P2589" s="90"/>
      <c r="Q2589" s="133">
        <v>5000</v>
      </c>
      <c r="R2589" s="134"/>
      <c r="S2589" s="5" t="s">
        <v>2633</v>
      </c>
      <c r="T2589" s="6"/>
      <c r="U2589" s="8">
        <v>4</v>
      </c>
      <c r="V2589" s="5" t="s">
        <v>702</v>
      </c>
      <c r="W2589" s="12">
        <v>59588659</v>
      </c>
      <c r="X2589" s="6"/>
      <c r="Y2589" s="6"/>
    </row>
    <row r="2590" spans="1:25" ht="15" customHeight="1" x14ac:dyDescent="0.2">
      <c r="A2590" s="88" t="s">
        <v>2631</v>
      </c>
      <c r="B2590" s="90"/>
      <c r="C2590" s="88" t="s">
        <v>3083</v>
      </c>
      <c r="D2590" s="89"/>
      <c r="E2590" s="89"/>
      <c r="F2590" s="89"/>
      <c r="G2590" s="89"/>
      <c r="H2590" s="89"/>
      <c r="I2590" s="90"/>
      <c r="J2590" s="88" t="s">
        <v>1499</v>
      </c>
      <c r="K2590" s="89"/>
      <c r="L2590" s="89"/>
      <c r="M2590" s="90"/>
      <c r="N2590" s="88" t="s">
        <v>701</v>
      </c>
      <c r="O2590" s="89"/>
      <c r="P2590" s="90"/>
      <c r="Q2590" s="133">
        <v>5000</v>
      </c>
      <c r="R2590" s="134"/>
      <c r="S2590" s="5" t="s">
        <v>2633</v>
      </c>
      <c r="T2590" s="6"/>
      <c r="U2590" s="8">
        <v>5</v>
      </c>
      <c r="V2590" s="5" t="s">
        <v>702</v>
      </c>
      <c r="W2590" s="12">
        <v>31710321</v>
      </c>
      <c r="X2590" s="6"/>
      <c r="Y2590" s="6"/>
    </row>
    <row r="2591" spans="1:25" ht="15" customHeight="1" x14ac:dyDescent="0.2">
      <c r="A2591" s="88" t="s">
        <v>2631</v>
      </c>
      <c r="B2591" s="90"/>
      <c r="C2591" s="88" t="s">
        <v>3084</v>
      </c>
      <c r="D2591" s="89"/>
      <c r="E2591" s="89"/>
      <c r="F2591" s="89"/>
      <c r="G2591" s="89"/>
      <c r="H2591" s="89"/>
      <c r="I2591" s="90"/>
      <c r="J2591" s="88" t="s">
        <v>1499</v>
      </c>
      <c r="K2591" s="89"/>
      <c r="L2591" s="89"/>
      <c r="M2591" s="90"/>
      <c r="N2591" s="88" t="s">
        <v>701</v>
      </c>
      <c r="O2591" s="89"/>
      <c r="P2591" s="90"/>
      <c r="Q2591" s="133">
        <v>5000</v>
      </c>
      <c r="R2591" s="134"/>
      <c r="S2591" s="5" t="s">
        <v>2633</v>
      </c>
      <c r="T2591" s="6"/>
      <c r="U2591" s="8">
        <v>5</v>
      </c>
      <c r="V2591" s="5" t="s">
        <v>702</v>
      </c>
      <c r="W2591" s="12">
        <v>35124048</v>
      </c>
      <c r="X2591" s="6"/>
      <c r="Y2591" s="6"/>
    </row>
    <row r="2592" spans="1:25" ht="15" customHeight="1" x14ac:dyDescent="0.2">
      <c r="A2592" s="88" t="s">
        <v>2631</v>
      </c>
      <c r="B2592" s="90"/>
      <c r="C2592" s="88" t="s">
        <v>3085</v>
      </c>
      <c r="D2592" s="89"/>
      <c r="E2592" s="89"/>
      <c r="F2592" s="89"/>
      <c r="G2592" s="89"/>
      <c r="H2592" s="89"/>
      <c r="I2592" s="90"/>
      <c r="J2592" s="88" t="s">
        <v>1499</v>
      </c>
      <c r="K2592" s="89"/>
      <c r="L2592" s="89"/>
      <c r="M2592" s="90"/>
      <c r="N2592" s="88" t="s">
        <v>701</v>
      </c>
      <c r="O2592" s="89"/>
      <c r="P2592" s="90"/>
      <c r="Q2592" s="133">
        <v>5000</v>
      </c>
      <c r="R2592" s="134"/>
      <c r="S2592" s="5" t="s">
        <v>2633</v>
      </c>
      <c r="T2592" s="6"/>
      <c r="U2592" s="8">
        <v>5</v>
      </c>
      <c r="V2592" s="5" t="s">
        <v>702</v>
      </c>
      <c r="W2592" s="12">
        <v>41037662</v>
      </c>
      <c r="X2592" s="6"/>
      <c r="Y2592" s="6"/>
    </row>
    <row r="2593" spans="1:25" ht="15" customHeight="1" x14ac:dyDescent="0.2">
      <c r="A2593" s="88" t="s">
        <v>2631</v>
      </c>
      <c r="B2593" s="90"/>
      <c r="C2593" s="88" t="s">
        <v>3086</v>
      </c>
      <c r="D2593" s="89"/>
      <c r="E2593" s="89"/>
      <c r="F2593" s="89"/>
      <c r="G2593" s="89"/>
      <c r="H2593" s="89"/>
      <c r="I2593" s="90"/>
      <c r="J2593" s="88" t="s">
        <v>1499</v>
      </c>
      <c r="K2593" s="89"/>
      <c r="L2593" s="89"/>
      <c r="M2593" s="90"/>
      <c r="N2593" s="88" t="s">
        <v>701</v>
      </c>
      <c r="O2593" s="89"/>
      <c r="P2593" s="90"/>
      <c r="Q2593" s="133">
        <v>5000</v>
      </c>
      <c r="R2593" s="134"/>
      <c r="S2593" s="5" t="s">
        <v>2633</v>
      </c>
      <c r="T2593" s="6"/>
      <c r="U2593" s="8">
        <v>5</v>
      </c>
      <c r="V2593" s="5" t="s">
        <v>702</v>
      </c>
      <c r="W2593" s="12">
        <v>30903833</v>
      </c>
      <c r="X2593" s="6"/>
      <c r="Y2593" s="6"/>
    </row>
    <row r="2594" spans="1:25" ht="15" customHeight="1" x14ac:dyDescent="0.2">
      <c r="A2594" s="88" t="s">
        <v>2631</v>
      </c>
      <c r="B2594" s="90"/>
      <c r="C2594" s="88" t="s">
        <v>3087</v>
      </c>
      <c r="D2594" s="89"/>
      <c r="E2594" s="89"/>
      <c r="F2594" s="89"/>
      <c r="G2594" s="89"/>
      <c r="H2594" s="89"/>
      <c r="I2594" s="90"/>
      <c r="J2594" s="88" t="s">
        <v>1499</v>
      </c>
      <c r="K2594" s="89"/>
      <c r="L2594" s="89"/>
      <c r="M2594" s="90"/>
      <c r="N2594" s="88" t="s">
        <v>701</v>
      </c>
      <c r="O2594" s="89"/>
      <c r="P2594" s="90"/>
      <c r="Q2594" s="133">
        <v>5000</v>
      </c>
      <c r="R2594" s="134"/>
      <c r="S2594" s="5" t="s">
        <v>2633</v>
      </c>
      <c r="T2594" s="6"/>
      <c r="U2594" s="8">
        <v>5</v>
      </c>
      <c r="V2594" s="5" t="s">
        <v>702</v>
      </c>
      <c r="W2594" s="12">
        <v>31915047</v>
      </c>
      <c r="X2594" s="6"/>
      <c r="Y2594" s="6"/>
    </row>
    <row r="2595" spans="1:25" ht="15" customHeight="1" x14ac:dyDescent="0.2">
      <c r="A2595" s="88" t="s">
        <v>2631</v>
      </c>
      <c r="B2595" s="90"/>
      <c r="C2595" s="88" t="s">
        <v>3088</v>
      </c>
      <c r="D2595" s="89"/>
      <c r="E2595" s="89"/>
      <c r="F2595" s="89"/>
      <c r="G2595" s="89"/>
      <c r="H2595" s="89"/>
      <c r="I2595" s="90"/>
      <c r="J2595" s="88" t="s">
        <v>1499</v>
      </c>
      <c r="K2595" s="89"/>
      <c r="L2595" s="89"/>
      <c r="M2595" s="90"/>
      <c r="N2595" s="88" t="s">
        <v>701</v>
      </c>
      <c r="O2595" s="89"/>
      <c r="P2595" s="90"/>
      <c r="Q2595" s="133">
        <v>5000</v>
      </c>
      <c r="R2595" s="134"/>
      <c r="S2595" s="5" t="s">
        <v>2633</v>
      </c>
      <c r="T2595" s="6"/>
      <c r="U2595" s="8">
        <v>5</v>
      </c>
      <c r="V2595" s="5" t="s">
        <v>702</v>
      </c>
      <c r="W2595" s="12">
        <v>35328775</v>
      </c>
      <c r="X2595" s="6"/>
      <c r="Y2595" s="6"/>
    </row>
    <row r="2596" spans="1:25" ht="15" customHeight="1" x14ac:dyDescent="0.2">
      <c r="A2596" s="88" t="s">
        <v>2631</v>
      </c>
      <c r="B2596" s="90"/>
      <c r="C2596" s="88" t="s">
        <v>3089</v>
      </c>
      <c r="D2596" s="89"/>
      <c r="E2596" s="89"/>
      <c r="F2596" s="89"/>
      <c r="G2596" s="89"/>
      <c r="H2596" s="89"/>
      <c r="I2596" s="90"/>
      <c r="J2596" s="88" t="s">
        <v>1499</v>
      </c>
      <c r="K2596" s="89"/>
      <c r="L2596" s="89"/>
      <c r="M2596" s="90"/>
      <c r="N2596" s="88" t="s">
        <v>701</v>
      </c>
      <c r="O2596" s="89"/>
      <c r="P2596" s="90"/>
      <c r="Q2596" s="133">
        <v>5000</v>
      </c>
      <c r="R2596" s="134"/>
      <c r="S2596" s="5" t="s">
        <v>2633</v>
      </c>
      <c r="T2596" s="6"/>
      <c r="U2596" s="8">
        <v>5</v>
      </c>
      <c r="V2596" s="5" t="s">
        <v>702</v>
      </c>
      <c r="W2596" s="12">
        <v>31108560</v>
      </c>
      <c r="X2596" s="6"/>
      <c r="Y2596" s="6"/>
    </row>
    <row r="2597" spans="1:25" ht="15" customHeight="1" x14ac:dyDescent="0.2">
      <c r="A2597" s="88" t="s">
        <v>2631</v>
      </c>
      <c r="B2597" s="90"/>
      <c r="C2597" s="88" t="s">
        <v>3090</v>
      </c>
      <c r="D2597" s="90"/>
      <c r="E2597" s="106"/>
      <c r="F2597" s="107"/>
      <c r="G2597" s="107"/>
      <c r="H2597" s="107"/>
      <c r="I2597" s="108"/>
      <c r="J2597" s="88" t="s">
        <v>1499</v>
      </c>
      <c r="K2597" s="89"/>
      <c r="L2597" s="89"/>
      <c r="M2597" s="90"/>
      <c r="N2597" s="88" t="s">
        <v>701</v>
      </c>
      <c r="O2597" s="89"/>
      <c r="P2597" s="90"/>
      <c r="Q2597" s="133">
        <v>5000</v>
      </c>
      <c r="R2597" s="134"/>
      <c r="S2597" s="5" t="s">
        <v>2633</v>
      </c>
      <c r="T2597" s="6"/>
      <c r="U2597" s="8">
        <v>5</v>
      </c>
      <c r="V2597" s="5" t="s">
        <v>702</v>
      </c>
      <c r="W2597" s="12">
        <v>41242388</v>
      </c>
      <c r="X2597" s="6"/>
      <c r="Y2597" s="6"/>
    </row>
    <row r="2598" spans="1:25" ht="15" customHeight="1" x14ac:dyDescent="0.2">
      <c r="A2598" s="88" t="s">
        <v>2631</v>
      </c>
      <c r="B2598" s="90"/>
      <c r="C2598" s="88" t="s">
        <v>3091</v>
      </c>
      <c r="D2598" s="89"/>
      <c r="E2598" s="89"/>
      <c r="F2598" s="89"/>
      <c r="G2598" s="89"/>
      <c r="H2598" s="89"/>
      <c r="I2598" s="90"/>
      <c r="J2598" s="88" t="s">
        <v>1499</v>
      </c>
      <c r="K2598" s="89"/>
      <c r="L2598" s="89"/>
      <c r="M2598" s="90"/>
      <c r="N2598" s="88" t="s">
        <v>701</v>
      </c>
      <c r="O2598" s="89"/>
      <c r="P2598" s="90"/>
      <c r="Q2598" s="133">
        <v>5000</v>
      </c>
      <c r="R2598" s="134"/>
      <c r="S2598" s="5" t="s">
        <v>2633</v>
      </c>
      <c r="T2598" s="6"/>
      <c r="U2598" s="8">
        <v>5</v>
      </c>
      <c r="V2598" s="5" t="s">
        <v>702</v>
      </c>
      <c r="W2598" s="12">
        <v>45455618</v>
      </c>
      <c r="X2598" s="6"/>
      <c r="Y2598" s="6"/>
    </row>
    <row r="2599" spans="1:25" ht="15" customHeight="1" x14ac:dyDescent="0.2">
      <c r="A2599" s="88" t="s">
        <v>2631</v>
      </c>
      <c r="B2599" s="90"/>
      <c r="C2599" s="88" t="s">
        <v>3092</v>
      </c>
      <c r="D2599" s="89"/>
      <c r="E2599" s="89"/>
      <c r="F2599" s="89"/>
      <c r="G2599" s="89"/>
      <c r="H2599" s="89"/>
      <c r="I2599" s="90"/>
      <c r="J2599" s="88" t="s">
        <v>1499</v>
      </c>
      <c r="K2599" s="89"/>
      <c r="L2599" s="89"/>
      <c r="M2599" s="90"/>
      <c r="N2599" s="88" t="s">
        <v>701</v>
      </c>
      <c r="O2599" s="89"/>
      <c r="P2599" s="90"/>
      <c r="Q2599" s="133">
        <v>5000</v>
      </c>
      <c r="R2599" s="134"/>
      <c r="S2599" s="5" t="s">
        <v>2633</v>
      </c>
      <c r="T2599" s="6"/>
      <c r="U2599" s="8">
        <v>5</v>
      </c>
      <c r="V2599" s="5" t="s">
        <v>106</v>
      </c>
      <c r="W2599" s="12">
        <v>45660344</v>
      </c>
      <c r="X2599" s="6"/>
      <c r="Y2599" s="6"/>
    </row>
    <row r="2600" spans="1:25" ht="15" customHeight="1" x14ac:dyDescent="0.2">
      <c r="A2600" s="88" t="s">
        <v>2631</v>
      </c>
      <c r="B2600" s="90"/>
      <c r="C2600" s="88" t="s">
        <v>3093</v>
      </c>
      <c r="D2600" s="90"/>
      <c r="E2600" s="106"/>
      <c r="F2600" s="107"/>
      <c r="G2600" s="107"/>
      <c r="H2600" s="107"/>
      <c r="I2600" s="108"/>
      <c r="J2600" s="88" t="s">
        <v>1499</v>
      </c>
      <c r="K2600" s="89"/>
      <c r="L2600" s="89"/>
      <c r="M2600" s="90"/>
      <c r="N2600" s="88" t="s">
        <v>14</v>
      </c>
      <c r="O2600" s="89"/>
      <c r="P2600" s="90"/>
      <c r="Q2600" s="133">
        <v>5000</v>
      </c>
      <c r="R2600" s="134"/>
      <c r="S2600" s="5" t="s">
        <v>2633</v>
      </c>
      <c r="T2600" s="6"/>
      <c r="U2600" s="6"/>
      <c r="V2600" s="5" t="s">
        <v>106</v>
      </c>
      <c r="W2600" s="12">
        <v>47143148</v>
      </c>
      <c r="X2600" s="6"/>
      <c r="Y2600" s="6"/>
    </row>
    <row r="2601" spans="1:25" ht="15" customHeight="1" x14ac:dyDescent="0.2">
      <c r="A2601" s="88" t="s">
        <v>2631</v>
      </c>
      <c r="B2601" s="90"/>
      <c r="C2601" s="88" t="s">
        <v>3094</v>
      </c>
      <c r="D2601" s="90"/>
      <c r="E2601" s="106"/>
      <c r="F2601" s="107"/>
      <c r="G2601" s="107"/>
      <c r="H2601" s="107"/>
      <c r="I2601" s="108"/>
      <c r="J2601" s="88" t="s">
        <v>1499</v>
      </c>
      <c r="K2601" s="89"/>
      <c r="L2601" s="89"/>
      <c r="M2601" s="90"/>
      <c r="N2601" s="88" t="s">
        <v>14</v>
      </c>
      <c r="O2601" s="89"/>
      <c r="P2601" s="90"/>
      <c r="Q2601" s="133">
        <v>5000</v>
      </c>
      <c r="R2601" s="134"/>
      <c r="S2601" s="5" t="s">
        <v>2633</v>
      </c>
      <c r="T2601" s="6"/>
      <c r="U2601" s="6"/>
      <c r="V2601" s="5" t="s">
        <v>106</v>
      </c>
      <c r="W2601" s="12">
        <v>49286018</v>
      </c>
      <c r="X2601" s="6"/>
      <c r="Y2601" s="6"/>
    </row>
    <row r="2602" spans="1:25" ht="15" customHeight="1" x14ac:dyDescent="0.2">
      <c r="A2602" s="88" t="s">
        <v>2631</v>
      </c>
      <c r="B2602" s="90"/>
      <c r="C2602" s="88" t="s">
        <v>3018</v>
      </c>
      <c r="D2602" s="90"/>
      <c r="E2602" s="106"/>
      <c r="F2602" s="107"/>
      <c r="G2602" s="107"/>
      <c r="H2602" s="107"/>
      <c r="I2602" s="108"/>
      <c r="J2602" s="88" t="s">
        <v>1499</v>
      </c>
      <c r="K2602" s="89"/>
      <c r="L2602" s="89"/>
      <c r="M2602" s="90"/>
      <c r="N2602" s="88" t="s">
        <v>22</v>
      </c>
      <c r="O2602" s="89"/>
      <c r="P2602" s="90"/>
      <c r="Q2602" s="133">
        <v>5000</v>
      </c>
      <c r="R2602" s="134"/>
      <c r="S2602" s="5" t="s">
        <v>2633</v>
      </c>
      <c r="T2602" s="6"/>
      <c r="U2602" s="6"/>
      <c r="V2602" s="5" t="s">
        <v>106</v>
      </c>
      <c r="W2602" s="12">
        <v>34251310</v>
      </c>
      <c r="X2602" s="6"/>
      <c r="Y2602" s="6"/>
    </row>
    <row r="2603" spans="1:25" ht="15" customHeight="1" x14ac:dyDescent="0.2">
      <c r="A2603" s="88" t="s">
        <v>2631</v>
      </c>
      <c r="B2603" s="90"/>
      <c r="C2603" s="88" t="s">
        <v>3095</v>
      </c>
      <c r="D2603" s="89"/>
      <c r="E2603" s="89"/>
      <c r="F2603" s="89"/>
      <c r="G2603" s="89"/>
      <c r="H2603" s="89"/>
      <c r="I2603" s="90"/>
      <c r="J2603" s="88" t="s">
        <v>1499</v>
      </c>
      <c r="K2603" s="89"/>
      <c r="L2603" s="89"/>
      <c r="M2603" s="90"/>
      <c r="N2603" s="88" t="s">
        <v>22</v>
      </c>
      <c r="O2603" s="89"/>
      <c r="P2603" s="90"/>
      <c r="Q2603" s="133">
        <v>5000</v>
      </c>
      <c r="R2603" s="134"/>
      <c r="S2603" s="5" t="s">
        <v>2633</v>
      </c>
      <c r="T2603" s="6"/>
      <c r="U2603" s="6"/>
      <c r="V2603" s="5" t="s">
        <v>106</v>
      </c>
      <c r="W2603" s="12">
        <v>46482155</v>
      </c>
      <c r="X2603" s="6"/>
      <c r="Y2603" s="6"/>
    </row>
    <row r="2604" spans="1:25" ht="15" customHeight="1" x14ac:dyDescent="0.2">
      <c r="A2604" s="88" t="s">
        <v>2631</v>
      </c>
      <c r="B2604" s="90"/>
      <c r="C2604" s="88" t="s">
        <v>3096</v>
      </c>
      <c r="D2604" s="89"/>
      <c r="E2604" s="89"/>
      <c r="F2604" s="89"/>
      <c r="G2604" s="89"/>
      <c r="H2604" s="89"/>
      <c r="I2604" s="90"/>
      <c r="J2604" s="88" t="s">
        <v>1499</v>
      </c>
      <c r="K2604" s="89"/>
      <c r="L2604" s="89"/>
      <c r="M2604" s="90"/>
      <c r="N2604" s="88" t="s">
        <v>22</v>
      </c>
      <c r="O2604" s="89"/>
      <c r="P2604" s="90"/>
      <c r="Q2604" s="133">
        <v>5000</v>
      </c>
      <c r="R2604" s="134"/>
      <c r="S2604" s="5" t="s">
        <v>2633</v>
      </c>
      <c r="T2604" s="6"/>
      <c r="U2604" s="6"/>
      <c r="V2604" s="5" t="s">
        <v>106</v>
      </c>
      <c r="W2604" s="12">
        <v>48130517</v>
      </c>
      <c r="X2604" s="6"/>
      <c r="Y2604" s="6"/>
    </row>
    <row r="2605" spans="1:25" ht="15" customHeight="1" x14ac:dyDescent="0.2">
      <c r="A2605" s="88" t="s">
        <v>2631</v>
      </c>
      <c r="B2605" s="90"/>
      <c r="C2605" s="88" t="s">
        <v>3097</v>
      </c>
      <c r="D2605" s="89"/>
      <c r="E2605" s="89"/>
      <c r="F2605" s="89"/>
      <c r="G2605" s="89"/>
      <c r="H2605" s="89"/>
      <c r="I2605" s="90"/>
      <c r="J2605" s="88" t="s">
        <v>1499</v>
      </c>
      <c r="K2605" s="89"/>
      <c r="L2605" s="89"/>
      <c r="M2605" s="90"/>
      <c r="N2605" s="88" t="s">
        <v>22</v>
      </c>
      <c r="O2605" s="89"/>
      <c r="P2605" s="90"/>
      <c r="Q2605" s="133">
        <v>5000</v>
      </c>
      <c r="R2605" s="134"/>
      <c r="S2605" s="5" t="s">
        <v>2633</v>
      </c>
      <c r="T2605" s="6"/>
      <c r="U2605" s="6"/>
      <c r="V2605" s="5" t="s">
        <v>106</v>
      </c>
      <c r="W2605" s="12">
        <v>56372326</v>
      </c>
      <c r="X2605" s="6"/>
      <c r="Y2605" s="6"/>
    </row>
    <row r="2606" spans="1:25" ht="15" customHeight="1" x14ac:dyDescent="0.2">
      <c r="A2606" s="88" t="s">
        <v>2631</v>
      </c>
      <c r="B2606" s="90"/>
      <c r="C2606" s="88" t="s">
        <v>3098</v>
      </c>
      <c r="D2606" s="89"/>
      <c r="E2606" s="89"/>
      <c r="F2606" s="89"/>
      <c r="G2606" s="89"/>
      <c r="H2606" s="89"/>
      <c r="I2606" s="90"/>
      <c r="J2606" s="88" t="s">
        <v>1499</v>
      </c>
      <c r="K2606" s="89"/>
      <c r="L2606" s="89"/>
      <c r="M2606" s="90"/>
      <c r="N2606" s="88" t="s">
        <v>701</v>
      </c>
      <c r="O2606" s="89"/>
      <c r="P2606" s="90"/>
      <c r="Q2606" s="133">
        <v>5000</v>
      </c>
      <c r="R2606" s="134"/>
      <c r="S2606" s="5" t="s">
        <v>2633</v>
      </c>
      <c r="T2606" s="6"/>
      <c r="U2606" s="8">
        <v>4</v>
      </c>
      <c r="V2606" s="5" t="s">
        <v>702</v>
      </c>
      <c r="W2606" s="12">
        <v>68492400</v>
      </c>
      <c r="X2606" s="6"/>
      <c r="Y2606" s="6"/>
    </row>
    <row r="2607" spans="1:25" ht="15" customHeight="1" x14ac:dyDescent="0.2">
      <c r="A2607" s="88" t="s">
        <v>2631</v>
      </c>
      <c r="B2607" s="90"/>
      <c r="C2607" s="88" t="s">
        <v>3099</v>
      </c>
      <c r="D2607" s="89"/>
      <c r="E2607" s="89"/>
      <c r="F2607" s="89"/>
      <c r="G2607" s="89"/>
      <c r="H2607" s="89"/>
      <c r="I2607" s="90"/>
      <c r="J2607" s="88" t="s">
        <v>1499</v>
      </c>
      <c r="K2607" s="89"/>
      <c r="L2607" s="89"/>
      <c r="M2607" s="90"/>
      <c r="N2607" s="88" t="s">
        <v>22</v>
      </c>
      <c r="O2607" s="89"/>
      <c r="P2607" s="90"/>
      <c r="Q2607" s="133">
        <v>5000</v>
      </c>
      <c r="R2607" s="134"/>
      <c r="S2607" s="5" t="s">
        <v>2633</v>
      </c>
      <c r="T2607" s="6"/>
      <c r="U2607" s="6"/>
      <c r="V2607" s="5" t="s">
        <v>106</v>
      </c>
      <c r="W2607" s="12">
        <v>65917989</v>
      </c>
      <c r="X2607" s="6"/>
      <c r="Y2607" s="6"/>
    </row>
    <row r="2608" spans="1:25" ht="15" customHeight="1" x14ac:dyDescent="0.2">
      <c r="A2608" s="88" t="s">
        <v>2631</v>
      </c>
      <c r="B2608" s="90"/>
      <c r="C2608" s="88" t="s">
        <v>3100</v>
      </c>
      <c r="D2608" s="90"/>
      <c r="E2608" s="106"/>
      <c r="F2608" s="107"/>
      <c r="G2608" s="107"/>
      <c r="H2608" s="107"/>
      <c r="I2608" s="108"/>
      <c r="J2608" s="88" t="s">
        <v>1499</v>
      </c>
      <c r="K2608" s="89"/>
      <c r="L2608" s="89"/>
      <c r="M2608" s="90"/>
      <c r="N2608" s="88" t="s">
        <v>14</v>
      </c>
      <c r="O2608" s="89"/>
      <c r="P2608" s="90"/>
      <c r="Q2608" s="133">
        <v>5000</v>
      </c>
      <c r="R2608" s="134"/>
      <c r="S2608" s="5" t="s">
        <v>2633</v>
      </c>
      <c r="T2608" s="6"/>
      <c r="U2608" s="6"/>
      <c r="V2608" s="5" t="s">
        <v>106</v>
      </c>
      <c r="W2608" s="12">
        <v>36247476</v>
      </c>
      <c r="X2608" s="6"/>
      <c r="Y2608" s="6"/>
    </row>
    <row r="2609" spans="1:25" ht="15" customHeight="1" x14ac:dyDescent="0.2">
      <c r="A2609" s="88" t="s">
        <v>2631</v>
      </c>
      <c r="B2609" s="90"/>
      <c r="C2609" s="88" t="s">
        <v>3101</v>
      </c>
      <c r="D2609" s="90"/>
      <c r="E2609" s="106"/>
      <c r="F2609" s="107"/>
      <c r="G2609" s="107"/>
      <c r="H2609" s="107"/>
      <c r="I2609" s="108"/>
      <c r="J2609" s="88" t="s">
        <v>1499</v>
      </c>
      <c r="K2609" s="89"/>
      <c r="L2609" s="89"/>
      <c r="M2609" s="90"/>
      <c r="N2609" s="88" t="s">
        <v>14</v>
      </c>
      <c r="O2609" s="89"/>
      <c r="P2609" s="90"/>
      <c r="Q2609" s="133">
        <v>5000</v>
      </c>
      <c r="R2609" s="134"/>
      <c r="S2609" s="5" t="s">
        <v>2633</v>
      </c>
      <c r="T2609" s="6"/>
      <c r="U2609" s="6"/>
      <c r="V2609" s="5" t="s">
        <v>106</v>
      </c>
      <c r="W2609" s="12">
        <v>59176189</v>
      </c>
      <c r="X2609" s="6"/>
      <c r="Y2609" s="6"/>
    </row>
    <row r="2610" spans="1:25" ht="15" customHeight="1" x14ac:dyDescent="0.2">
      <c r="A2610" s="88" t="s">
        <v>2631</v>
      </c>
      <c r="B2610" s="90"/>
      <c r="C2610" s="88" t="s">
        <v>3102</v>
      </c>
      <c r="D2610" s="90"/>
      <c r="E2610" s="106"/>
      <c r="F2610" s="107"/>
      <c r="G2610" s="107"/>
      <c r="H2610" s="107"/>
      <c r="I2610" s="108"/>
      <c r="J2610" s="88" t="s">
        <v>1499</v>
      </c>
      <c r="K2610" s="89"/>
      <c r="L2610" s="89"/>
      <c r="M2610" s="90"/>
      <c r="N2610" s="88" t="s">
        <v>14</v>
      </c>
      <c r="O2610" s="89"/>
      <c r="P2610" s="90"/>
      <c r="Q2610" s="133">
        <v>5000</v>
      </c>
      <c r="R2610" s="134"/>
      <c r="S2610" s="5" t="s">
        <v>2633</v>
      </c>
      <c r="T2610" s="6"/>
      <c r="U2610" s="6"/>
      <c r="V2610" s="5" t="s">
        <v>106</v>
      </c>
      <c r="W2610" s="12">
        <v>69560868</v>
      </c>
      <c r="X2610" s="6"/>
      <c r="Y2610" s="6"/>
    </row>
    <row r="2611" spans="1:25" ht="15" customHeight="1" x14ac:dyDescent="0.2">
      <c r="A2611" s="88" t="s">
        <v>2631</v>
      </c>
      <c r="B2611" s="90"/>
      <c r="C2611" s="88" t="s">
        <v>3020</v>
      </c>
      <c r="D2611" s="90"/>
      <c r="E2611" s="106"/>
      <c r="F2611" s="107"/>
      <c r="G2611" s="107"/>
      <c r="H2611" s="107"/>
      <c r="I2611" s="108"/>
      <c r="J2611" s="88" t="s">
        <v>1499</v>
      </c>
      <c r="K2611" s="89"/>
      <c r="L2611" s="89"/>
      <c r="M2611" s="90"/>
      <c r="N2611" s="88" t="s">
        <v>14</v>
      </c>
      <c r="O2611" s="89"/>
      <c r="P2611" s="90"/>
      <c r="Q2611" s="133">
        <v>5000</v>
      </c>
      <c r="R2611" s="134"/>
      <c r="S2611" s="5" t="s">
        <v>2633</v>
      </c>
      <c r="T2611" s="6"/>
      <c r="U2611" s="6"/>
      <c r="V2611" s="5" t="s">
        <v>106</v>
      </c>
      <c r="W2611" s="12">
        <v>30329857</v>
      </c>
      <c r="X2611" s="6"/>
      <c r="Y2611" s="6"/>
    </row>
    <row r="2612" spans="1:25" ht="15" customHeight="1" x14ac:dyDescent="0.2">
      <c r="A2612" s="88" t="s">
        <v>2631</v>
      </c>
      <c r="B2612" s="90"/>
      <c r="C2612" s="88" t="s">
        <v>3103</v>
      </c>
      <c r="D2612" s="90"/>
      <c r="E2612" s="106"/>
      <c r="F2612" s="107"/>
      <c r="G2612" s="107"/>
      <c r="H2612" s="107"/>
      <c r="I2612" s="108"/>
      <c r="J2612" s="88" t="s">
        <v>1499</v>
      </c>
      <c r="K2612" s="89"/>
      <c r="L2612" s="89"/>
      <c r="M2612" s="90"/>
      <c r="N2612" s="88" t="s">
        <v>14</v>
      </c>
      <c r="O2612" s="89"/>
      <c r="P2612" s="90"/>
      <c r="Q2612" s="133">
        <v>5000</v>
      </c>
      <c r="R2612" s="134"/>
      <c r="S2612" s="5" t="s">
        <v>2633</v>
      </c>
      <c r="T2612" s="6"/>
      <c r="U2612" s="6"/>
      <c r="V2612" s="5" t="s">
        <v>106</v>
      </c>
      <c r="W2612" s="12">
        <v>31961736</v>
      </c>
      <c r="X2612" s="6"/>
      <c r="Y2612" s="6"/>
    </row>
    <row r="2613" spans="1:25" ht="15" customHeight="1" x14ac:dyDescent="0.2">
      <c r="A2613" s="88" t="s">
        <v>2631</v>
      </c>
      <c r="B2613" s="90"/>
      <c r="C2613" s="88" t="s">
        <v>3104</v>
      </c>
      <c r="D2613" s="90"/>
      <c r="E2613" s="106"/>
      <c r="F2613" s="107"/>
      <c r="G2613" s="107"/>
      <c r="H2613" s="107"/>
      <c r="I2613" s="108"/>
      <c r="J2613" s="88" t="s">
        <v>1499</v>
      </c>
      <c r="K2613" s="89"/>
      <c r="L2613" s="89"/>
      <c r="M2613" s="90"/>
      <c r="N2613" s="88" t="s">
        <v>14</v>
      </c>
      <c r="O2613" s="89"/>
      <c r="P2613" s="90"/>
      <c r="Q2613" s="133">
        <v>5000</v>
      </c>
      <c r="R2613" s="134"/>
      <c r="S2613" s="5" t="s">
        <v>2633</v>
      </c>
      <c r="T2613" s="6"/>
      <c r="U2613" s="6"/>
      <c r="V2613" s="5" t="s">
        <v>106</v>
      </c>
      <c r="W2613" s="12">
        <v>30230956</v>
      </c>
      <c r="X2613" s="6"/>
      <c r="Y2613" s="6"/>
    </row>
    <row r="2614" spans="1:25" ht="15" customHeight="1" x14ac:dyDescent="0.2">
      <c r="A2614" s="88" t="s">
        <v>3105</v>
      </c>
      <c r="B2614" s="90"/>
      <c r="C2614" s="88" t="s">
        <v>3106</v>
      </c>
      <c r="D2614" s="90"/>
      <c r="E2614" s="88" t="s">
        <v>3107</v>
      </c>
      <c r="F2614" s="89"/>
      <c r="G2614" s="89"/>
      <c r="H2614" s="89"/>
      <c r="I2614" s="90"/>
      <c r="J2614" s="88" t="s">
        <v>770</v>
      </c>
      <c r="K2614" s="89"/>
      <c r="L2614" s="89"/>
      <c r="M2614" s="90"/>
      <c r="N2614" s="88" t="s">
        <v>26</v>
      </c>
      <c r="O2614" s="89"/>
      <c r="P2614" s="90"/>
      <c r="Q2614" s="133">
        <v>1797</v>
      </c>
      <c r="R2614" s="134"/>
      <c r="S2614" s="5" t="s">
        <v>27</v>
      </c>
      <c r="T2614" s="8">
        <v>1715</v>
      </c>
      <c r="U2614" s="8">
        <v>5</v>
      </c>
      <c r="V2614" s="5" t="s">
        <v>23</v>
      </c>
      <c r="W2614" s="12">
        <v>7714059</v>
      </c>
      <c r="X2614" s="6"/>
      <c r="Y2614" s="6"/>
    </row>
    <row r="2615" spans="1:25" ht="15" customHeight="1" x14ac:dyDescent="0.2">
      <c r="A2615" s="88" t="s">
        <v>3105</v>
      </c>
      <c r="B2615" s="90"/>
      <c r="C2615" s="88" t="s">
        <v>3108</v>
      </c>
      <c r="D2615" s="90"/>
      <c r="E2615" s="88" t="s">
        <v>3107</v>
      </c>
      <c r="F2615" s="89"/>
      <c r="G2615" s="89"/>
      <c r="H2615" s="89"/>
      <c r="I2615" s="90"/>
      <c r="J2615" s="88" t="s">
        <v>770</v>
      </c>
      <c r="K2615" s="89"/>
      <c r="L2615" s="89"/>
      <c r="M2615" s="90"/>
      <c r="N2615" s="88" t="s">
        <v>26</v>
      </c>
      <c r="O2615" s="89"/>
      <c r="P2615" s="90"/>
      <c r="Q2615" s="133">
        <v>1797</v>
      </c>
      <c r="R2615" s="134"/>
      <c r="S2615" s="5" t="s">
        <v>27</v>
      </c>
      <c r="T2615" s="8">
        <v>1715</v>
      </c>
      <c r="U2615" s="8">
        <v>5</v>
      </c>
      <c r="V2615" s="5" t="s">
        <v>23</v>
      </c>
      <c r="W2615" s="12">
        <v>7714059</v>
      </c>
      <c r="X2615" s="6"/>
      <c r="Y2615" s="6"/>
    </row>
    <row r="2616" spans="1:25" ht="15" customHeight="1" x14ac:dyDescent="0.2">
      <c r="A2616" s="88" t="s">
        <v>3105</v>
      </c>
      <c r="B2616" s="90"/>
      <c r="C2616" s="88" t="s">
        <v>3108</v>
      </c>
      <c r="D2616" s="90"/>
      <c r="E2616" s="88" t="s">
        <v>3109</v>
      </c>
      <c r="F2616" s="89"/>
      <c r="G2616" s="89"/>
      <c r="H2616" s="89"/>
      <c r="I2616" s="90"/>
      <c r="J2616" s="88" t="s">
        <v>770</v>
      </c>
      <c r="K2616" s="89"/>
      <c r="L2616" s="89"/>
      <c r="M2616" s="90"/>
      <c r="N2616" s="88" t="s">
        <v>26</v>
      </c>
      <c r="O2616" s="89"/>
      <c r="P2616" s="90"/>
      <c r="Q2616" s="133">
        <v>1797</v>
      </c>
      <c r="R2616" s="134"/>
      <c r="S2616" s="5" t="s">
        <v>27</v>
      </c>
      <c r="T2616" s="8">
        <v>1715</v>
      </c>
      <c r="U2616" s="8">
        <v>5</v>
      </c>
      <c r="V2616" s="5" t="s">
        <v>23</v>
      </c>
      <c r="W2616" s="12">
        <v>7750050</v>
      </c>
      <c r="X2616" s="6"/>
      <c r="Y2616" s="6"/>
    </row>
    <row r="2617" spans="1:25" ht="15" customHeight="1" x14ac:dyDescent="0.2">
      <c r="A2617" s="88" t="s">
        <v>3105</v>
      </c>
      <c r="B2617" s="90"/>
      <c r="C2617" s="88" t="s">
        <v>3110</v>
      </c>
      <c r="D2617" s="90"/>
      <c r="E2617" s="88" t="s">
        <v>3111</v>
      </c>
      <c r="F2617" s="89"/>
      <c r="G2617" s="89"/>
      <c r="H2617" s="89"/>
      <c r="I2617" s="90"/>
      <c r="J2617" s="88" t="s">
        <v>770</v>
      </c>
      <c r="K2617" s="89"/>
      <c r="L2617" s="89"/>
      <c r="M2617" s="90"/>
      <c r="N2617" s="88" t="s">
        <v>26</v>
      </c>
      <c r="O2617" s="89"/>
      <c r="P2617" s="90"/>
      <c r="Q2617" s="133">
        <v>2487</v>
      </c>
      <c r="R2617" s="134"/>
      <c r="S2617" s="5" t="s">
        <v>44</v>
      </c>
      <c r="T2617" s="8">
        <v>1955</v>
      </c>
      <c r="U2617" s="8">
        <v>5</v>
      </c>
      <c r="V2617" s="5" t="s">
        <v>23</v>
      </c>
      <c r="W2617" s="12">
        <v>9379777</v>
      </c>
      <c r="X2617" s="6"/>
      <c r="Y2617" s="6"/>
    </row>
    <row r="2618" spans="1:25" ht="15" customHeight="1" x14ac:dyDescent="0.2">
      <c r="A2618" s="88" t="s">
        <v>3105</v>
      </c>
      <c r="B2618" s="90"/>
      <c r="C2618" s="88" t="s">
        <v>3110</v>
      </c>
      <c r="D2618" s="90"/>
      <c r="E2618" s="88" t="s">
        <v>3112</v>
      </c>
      <c r="F2618" s="89"/>
      <c r="G2618" s="89"/>
      <c r="H2618" s="89"/>
      <c r="I2618" s="90"/>
      <c r="J2618" s="88" t="s">
        <v>2319</v>
      </c>
      <c r="K2618" s="89"/>
      <c r="L2618" s="89"/>
      <c r="M2618" s="90"/>
      <c r="N2618" s="88" t="s">
        <v>26</v>
      </c>
      <c r="O2618" s="89"/>
      <c r="P2618" s="90"/>
      <c r="Q2618" s="133">
        <v>2487</v>
      </c>
      <c r="R2618" s="134"/>
      <c r="S2618" s="5" t="s">
        <v>44</v>
      </c>
      <c r="T2618" s="8">
        <v>1945</v>
      </c>
      <c r="U2618" s="8">
        <v>5</v>
      </c>
      <c r="V2618" s="5" t="s">
        <v>23</v>
      </c>
      <c r="W2618" s="12">
        <v>9510919</v>
      </c>
      <c r="X2618" s="6"/>
      <c r="Y2618" s="6"/>
    </row>
    <row r="2619" spans="1:25" ht="15" customHeight="1" x14ac:dyDescent="0.2">
      <c r="A2619" s="88" t="s">
        <v>3105</v>
      </c>
      <c r="B2619" s="90"/>
      <c r="C2619" s="88" t="s">
        <v>3110</v>
      </c>
      <c r="D2619" s="90"/>
      <c r="E2619" s="88" t="s">
        <v>3112</v>
      </c>
      <c r="F2619" s="89"/>
      <c r="G2619" s="89"/>
      <c r="H2619" s="89"/>
      <c r="I2619" s="90"/>
      <c r="J2619" s="88" t="s">
        <v>770</v>
      </c>
      <c r="K2619" s="89"/>
      <c r="L2619" s="89"/>
      <c r="M2619" s="90"/>
      <c r="N2619" s="88" t="s">
        <v>22</v>
      </c>
      <c r="O2619" s="89"/>
      <c r="P2619" s="90"/>
      <c r="Q2619" s="133">
        <v>2487</v>
      </c>
      <c r="R2619" s="134"/>
      <c r="S2619" s="5" t="s">
        <v>44</v>
      </c>
      <c r="T2619" s="8">
        <v>1945</v>
      </c>
      <c r="U2619" s="8">
        <v>5</v>
      </c>
      <c r="V2619" s="5" t="s">
        <v>23</v>
      </c>
      <c r="W2619" s="12">
        <v>10514408</v>
      </c>
      <c r="X2619" s="6"/>
      <c r="Y2619" s="6"/>
    </row>
    <row r="2620" spans="1:25" ht="15" customHeight="1" x14ac:dyDescent="0.2">
      <c r="A2620" s="88" t="s">
        <v>3105</v>
      </c>
      <c r="B2620" s="90"/>
      <c r="C2620" s="88" t="s">
        <v>3113</v>
      </c>
      <c r="D2620" s="90"/>
      <c r="E2620" s="88" t="s">
        <v>3114</v>
      </c>
      <c r="F2620" s="89"/>
      <c r="G2620" s="89"/>
      <c r="H2620" s="89"/>
      <c r="I2620" s="90"/>
      <c r="J2620" s="88" t="s">
        <v>770</v>
      </c>
      <c r="K2620" s="89"/>
      <c r="L2620" s="89"/>
      <c r="M2620" s="90"/>
      <c r="N2620" s="88" t="s">
        <v>26</v>
      </c>
      <c r="O2620" s="89"/>
      <c r="P2620" s="90"/>
      <c r="Q2620" s="133">
        <v>2487</v>
      </c>
      <c r="R2620" s="134"/>
      <c r="S2620" s="5" t="s">
        <v>44</v>
      </c>
      <c r="T2620" s="8">
        <v>1985</v>
      </c>
      <c r="U2620" s="8">
        <v>5</v>
      </c>
      <c r="V2620" s="5" t="s">
        <v>23</v>
      </c>
      <c r="W2620" s="12">
        <v>11422629</v>
      </c>
      <c r="X2620" s="6"/>
      <c r="Y2620" s="6"/>
    </row>
    <row r="2621" spans="1:25" ht="15" customHeight="1" x14ac:dyDescent="0.2">
      <c r="A2621" s="88" t="s">
        <v>3105</v>
      </c>
      <c r="B2621" s="90"/>
      <c r="C2621" s="88" t="s">
        <v>3115</v>
      </c>
      <c r="D2621" s="90"/>
      <c r="E2621" s="88" t="s">
        <v>3116</v>
      </c>
      <c r="F2621" s="89"/>
      <c r="G2621" s="89"/>
      <c r="H2621" s="89"/>
      <c r="I2621" s="90"/>
      <c r="J2621" s="88" t="s">
        <v>770</v>
      </c>
      <c r="K2621" s="89"/>
      <c r="L2621" s="89"/>
      <c r="M2621" s="90"/>
      <c r="N2621" s="88" t="s">
        <v>26</v>
      </c>
      <c r="O2621" s="89"/>
      <c r="P2621" s="90"/>
      <c r="Q2621" s="133">
        <v>2487</v>
      </c>
      <c r="R2621" s="134"/>
      <c r="S2621" s="5" t="s">
        <v>44</v>
      </c>
      <c r="T2621" s="8">
        <v>1995</v>
      </c>
      <c r="U2621" s="8">
        <v>5</v>
      </c>
      <c r="V2621" s="5" t="s">
        <v>23</v>
      </c>
      <c r="W2621" s="12">
        <v>10172208</v>
      </c>
      <c r="X2621" s="6"/>
      <c r="Y2621" s="6"/>
    </row>
    <row r="2622" spans="1:25" ht="15" customHeight="1" x14ac:dyDescent="0.2">
      <c r="A2622" s="88" t="s">
        <v>3105</v>
      </c>
      <c r="B2622" s="90"/>
      <c r="C2622" s="88" t="s">
        <v>3115</v>
      </c>
      <c r="D2622" s="90"/>
      <c r="E2622" s="88" t="s">
        <v>3114</v>
      </c>
      <c r="F2622" s="89"/>
      <c r="G2622" s="89"/>
      <c r="H2622" s="89"/>
      <c r="I2622" s="90"/>
      <c r="J2622" s="88" t="s">
        <v>770</v>
      </c>
      <c r="K2622" s="89"/>
      <c r="L2622" s="89"/>
      <c r="M2622" s="90"/>
      <c r="N2622" s="88" t="s">
        <v>22</v>
      </c>
      <c r="O2622" s="89"/>
      <c r="P2622" s="90"/>
      <c r="Q2622" s="133">
        <v>2487</v>
      </c>
      <c r="R2622" s="134"/>
      <c r="S2622" s="5" t="s">
        <v>44</v>
      </c>
      <c r="T2622" s="8">
        <v>1985</v>
      </c>
      <c r="U2622" s="8">
        <v>5</v>
      </c>
      <c r="V2622" s="5" t="s">
        <v>23</v>
      </c>
      <c r="W2622" s="12">
        <v>11422629</v>
      </c>
      <c r="X2622" s="6"/>
      <c r="Y2622" s="6"/>
    </row>
    <row r="2623" spans="1:25" ht="15" customHeight="1" x14ac:dyDescent="0.2">
      <c r="A2623" s="88" t="s">
        <v>3105</v>
      </c>
      <c r="B2623" s="90"/>
      <c r="C2623" s="88" t="s">
        <v>3115</v>
      </c>
      <c r="D2623" s="90"/>
      <c r="E2623" s="88" t="s">
        <v>3114</v>
      </c>
      <c r="F2623" s="89"/>
      <c r="G2623" s="89"/>
      <c r="H2623" s="89"/>
      <c r="I2623" s="90"/>
      <c r="J2623" s="88" t="s">
        <v>770</v>
      </c>
      <c r="K2623" s="89"/>
      <c r="L2623" s="89"/>
      <c r="M2623" s="90"/>
      <c r="N2623" s="88" t="s">
        <v>26</v>
      </c>
      <c r="O2623" s="89"/>
      <c r="P2623" s="90"/>
      <c r="Q2623" s="133">
        <v>2487</v>
      </c>
      <c r="R2623" s="134"/>
      <c r="S2623" s="5" t="s">
        <v>44</v>
      </c>
      <c r="T2623" s="8">
        <v>1985</v>
      </c>
      <c r="U2623" s="8">
        <v>5</v>
      </c>
      <c r="V2623" s="5" t="s">
        <v>23</v>
      </c>
      <c r="W2623" s="12">
        <v>10303231</v>
      </c>
      <c r="X2623" s="6"/>
      <c r="Y2623" s="6"/>
    </row>
    <row r="2624" spans="1:25" ht="15" customHeight="1" x14ac:dyDescent="0.2">
      <c r="A2624" s="88" t="s">
        <v>3105</v>
      </c>
      <c r="B2624" s="90"/>
      <c r="C2624" s="88" t="s">
        <v>3117</v>
      </c>
      <c r="D2624" s="90"/>
      <c r="E2624" s="88" t="s">
        <v>3118</v>
      </c>
      <c r="F2624" s="89"/>
      <c r="G2624" s="89"/>
      <c r="H2624" s="89"/>
      <c r="I2624" s="90"/>
      <c r="J2624" s="88" t="s">
        <v>770</v>
      </c>
      <c r="K2624" s="89"/>
      <c r="L2624" s="89"/>
      <c r="M2624" s="90"/>
      <c r="N2624" s="88" t="s">
        <v>26</v>
      </c>
      <c r="O2624" s="89"/>
      <c r="P2624" s="90"/>
      <c r="Q2624" s="133">
        <v>2487</v>
      </c>
      <c r="R2624" s="134"/>
      <c r="S2624" s="5" t="s">
        <v>44</v>
      </c>
      <c r="T2624" s="8">
        <v>2005</v>
      </c>
      <c r="U2624" s="8">
        <v>5</v>
      </c>
      <c r="V2624" s="5" t="s">
        <v>23</v>
      </c>
      <c r="W2624" s="12">
        <v>11288078</v>
      </c>
      <c r="X2624" s="6"/>
      <c r="Y2624" s="6"/>
    </row>
    <row r="2625" spans="1:25" ht="15" customHeight="1" x14ac:dyDescent="0.2">
      <c r="A2625" s="88" t="s">
        <v>3105</v>
      </c>
      <c r="B2625" s="90"/>
      <c r="C2625" s="88" t="s">
        <v>3117</v>
      </c>
      <c r="D2625" s="90"/>
      <c r="E2625" s="88" t="s">
        <v>3119</v>
      </c>
      <c r="F2625" s="89"/>
      <c r="G2625" s="89"/>
      <c r="H2625" s="89"/>
      <c r="I2625" s="90"/>
      <c r="J2625" s="88" t="s">
        <v>770</v>
      </c>
      <c r="K2625" s="89"/>
      <c r="L2625" s="89"/>
      <c r="M2625" s="90"/>
      <c r="N2625" s="88" t="s">
        <v>26</v>
      </c>
      <c r="O2625" s="89"/>
      <c r="P2625" s="90"/>
      <c r="Q2625" s="133">
        <v>2487</v>
      </c>
      <c r="R2625" s="134"/>
      <c r="S2625" s="5" t="s">
        <v>44</v>
      </c>
      <c r="T2625" s="8">
        <v>1995</v>
      </c>
      <c r="U2625" s="8">
        <v>5</v>
      </c>
      <c r="V2625" s="5" t="s">
        <v>23</v>
      </c>
      <c r="W2625" s="12">
        <v>11321010</v>
      </c>
      <c r="X2625" s="6"/>
      <c r="Y2625" s="6"/>
    </row>
    <row r="2626" spans="1:25" ht="15" customHeight="1" x14ac:dyDescent="0.2">
      <c r="A2626" s="88" t="s">
        <v>3105</v>
      </c>
      <c r="B2626" s="90"/>
      <c r="C2626" s="88" t="s">
        <v>3120</v>
      </c>
      <c r="D2626" s="90"/>
      <c r="E2626" s="88" t="s">
        <v>3121</v>
      </c>
      <c r="F2626" s="89"/>
      <c r="G2626" s="89"/>
      <c r="H2626" s="89"/>
      <c r="I2626" s="90"/>
      <c r="J2626" s="88" t="s">
        <v>13</v>
      </c>
      <c r="K2626" s="89"/>
      <c r="L2626" s="89"/>
      <c r="M2626" s="90"/>
      <c r="N2626" s="88" t="s">
        <v>26</v>
      </c>
      <c r="O2626" s="89"/>
      <c r="P2626" s="90"/>
      <c r="Q2626" s="133">
        <v>4968</v>
      </c>
      <c r="R2626" s="134"/>
      <c r="S2626" s="5" t="s">
        <v>44</v>
      </c>
      <c r="T2626" s="8">
        <v>2105</v>
      </c>
      <c r="U2626" s="8">
        <v>5</v>
      </c>
      <c r="V2626" s="5" t="s">
        <v>23</v>
      </c>
      <c r="W2626" s="12">
        <v>19421962</v>
      </c>
      <c r="X2626" s="6"/>
      <c r="Y2626" s="6"/>
    </row>
    <row r="2627" spans="1:25" ht="15" customHeight="1" x14ac:dyDescent="0.2">
      <c r="A2627" s="88" t="s">
        <v>3105</v>
      </c>
      <c r="B2627" s="90"/>
      <c r="C2627" s="88" t="s">
        <v>3122</v>
      </c>
      <c r="D2627" s="90"/>
      <c r="E2627" s="88" t="s">
        <v>3123</v>
      </c>
      <c r="F2627" s="89"/>
      <c r="G2627" s="89"/>
      <c r="H2627" s="89"/>
      <c r="I2627" s="90"/>
      <c r="J2627" s="88" t="s">
        <v>2319</v>
      </c>
      <c r="K2627" s="89"/>
      <c r="L2627" s="89"/>
      <c r="M2627" s="90"/>
      <c r="N2627" s="88" t="s">
        <v>26</v>
      </c>
      <c r="O2627" s="89"/>
      <c r="P2627" s="90"/>
      <c r="Q2627" s="133">
        <v>1998</v>
      </c>
      <c r="R2627" s="134"/>
      <c r="S2627" s="5" t="s">
        <v>44</v>
      </c>
      <c r="T2627" s="8">
        <v>1965</v>
      </c>
      <c r="U2627" s="8">
        <v>5</v>
      </c>
      <c r="V2627" s="5" t="s">
        <v>23</v>
      </c>
      <c r="W2627" s="12">
        <v>10977574</v>
      </c>
      <c r="X2627" s="6"/>
      <c r="Y2627" s="6"/>
    </row>
    <row r="2628" spans="1:25" ht="15" customHeight="1" x14ac:dyDescent="0.2">
      <c r="A2628" s="88" t="s">
        <v>3105</v>
      </c>
      <c r="B2628" s="90"/>
      <c r="C2628" s="88" t="s">
        <v>3124</v>
      </c>
      <c r="D2628" s="90"/>
      <c r="E2628" s="88" t="s">
        <v>3125</v>
      </c>
      <c r="F2628" s="89"/>
      <c r="G2628" s="89"/>
      <c r="H2628" s="89"/>
      <c r="I2628" s="90"/>
      <c r="J2628" s="88" t="s">
        <v>770</v>
      </c>
      <c r="K2628" s="89"/>
      <c r="L2628" s="89"/>
      <c r="M2628" s="90"/>
      <c r="N2628" s="88" t="s">
        <v>26</v>
      </c>
      <c r="O2628" s="89"/>
      <c r="P2628" s="90"/>
      <c r="Q2628" s="133">
        <v>2493</v>
      </c>
      <c r="R2628" s="134"/>
      <c r="S2628" s="5" t="s">
        <v>44</v>
      </c>
      <c r="T2628" s="8">
        <v>2045</v>
      </c>
      <c r="U2628" s="8">
        <v>5</v>
      </c>
      <c r="V2628" s="5" t="s">
        <v>23</v>
      </c>
      <c r="W2628" s="12">
        <v>11596964</v>
      </c>
      <c r="X2628" s="6"/>
      <c r="Y2628" s="6"/>
    </row>
    <row r="2629" spans="1:25" ht="15" customHeight="1" x14ac:dyDescent="0.2">
      <c r="A2629" s="88" t="s">
        <v>3105</v>
      </c>
      <c r="B2629" s="90"/>
      <c r="C2629" s="88" t="s">
        <v>3126</v>
      </c>
      <c r="D2629" s="90"/>
      <c r="E2629" s="88" t="s">
        <v>3127</v>
      </c>
      <c r="F2629" s="89"/>
      <c r="G2629" s="89"/>
      <c r="H2629" s="89"/>
      <c r="I2629" s="90"/>
      <c r="J2629" s="88" t="s">
        <v>13</v>
      </c>
      <c r="K2629" s="89"/>
      <c r="L2629" s="89"/>
      <c r="M2629" s="90"/>
      <c r="N2629" s="88" t="s">
        <v>26</v>
      </c>
      <c r="O2629" s="89"/>
      <c r="P2629" s="90"/>
      <c r="Q2629" s="133">
        <v>3456</v>
      </c>
      <c r="R2629" s="134"/>
      <c r="S2629" s="5" t="s">
        <v>44</v>
      </c>
      <c r="T2629" s="8">
        <v>1965</v>
      </c>
      <c r="U2629" s="8">
        <v>5</v>
      </c>
      <c r="V2629" s="5" t="s">
        <v>23</v>
      </c>
      <c r="W2629" s="12">
        <v>13038215</v>
      </c>
      <c r="X2629" s="6"/>
      <c r="Y2629" s="6"/>
    </row>
    <row r="2630" spans="1:25" ht="15" customHeight="1" x14ac:dyDescent="0.2">
      <c r="A2630" s="88" t="s">
        <v>3105</v>
      </c>
      <c r="B2630" s="90"/>
      <c r="C2630" s="88" t="s">
        <v>3128</v>
      </c>
      <c r="D2630" s="90"/>
      <c r="E2630" s="88" t="s">
        <v>3127</v>
      </c>
      <c r="F2630" s="89"/>
      <c r="G2630" s="89"/>
      <c r="H2630" s="89"/>
      <c r="I2630" s="90"/>
      <c r="J2630" s="88" t="s">
        <v>2319</v>
      </c>
      <c r="K2630" s="89"/>
      <c r="L2630" s="89"/>
      <c r="M2630" s="90"/>
      <c r="N2630" s="88" t="s">
        <v>26</v>
      </c>
      <c r="O2630" s="89"/>
      <c r="P2630" s="90"/>
      <c r="Q2630" s="133">
        <v>3456</v>
      </c>
      <c r="R2630" s="134"/>
      <c r="S2630" s="5" t="s">
        <v>44</v>
      </c>
      <c r="T2630" s="8">
        <v>1965</v>
      </c>
      <c r="U2630" s="8">
        <v>5</v>
      </c>
      <c r="V2630" s="5" t="s">
        <v>23</v>
      </c>
      <c r="W2630" s="12">
        <v>13057427</v>
      </c>
      <c r="X2630" s="6"/>
      <c r="Y2630" s="6"/>
    </row>
    <row r="2631" spans="1:25" ht="15" customHeight="1" x14ac:dyDescent="0.2">
      <c r="A2631" s="88" t="s">
        <v>3105</v>
      </c>
      <c r="B2631" s="90"/>
      <c r="C2631" s="88" t="s">
        <v>3129</v>
      </c>
      <c r="D2631" s="90"/>
      <c r="E2631" s="88" t="s">
        <v>3130</v>
      </c>
      <c r="F2631" s="89"/>
      <c r="G2631" s="89"/>
      <c r="H2631" s="89"/>
      <c r="I2631" s="90"/>
      <c r="J2631" s="88" t="s">
        <v>770</v>
      </c>
      <c r="K2631" s="89"/>
      <c r="L2631" s="89"/>
      <c r="M2631" s="90"/>
      <c r="N2631" s="88" t="s">
        <v>26</v>
      </c>
      <c r="O2631" s="89"/>
      <c r="P2631" s="90"/>
      <c r="Q2631" s="133">
        <v>3456</v>
      </c>
      <c r="R2631" s="134"/>
      <c r="S2631" s="5" t="s">
        <v>44</v>
      </c>
      <c r="T2631" s="8">
        <v>2135</v>
      </c>
      <c r="U2631" s="8">
        <v>5</v>
      </c>
      <c r="V2631" s="5" t="s">
        <v>23</v>
      </c>
      <c r="W2631" s="12">
        <v>14732397</v>
      </c>
      <c r="X2631" s="6"/>
      <c r="Y2631" s="6"/>
    </row>
    <row r="2632" spans="1:25" ht="15" customHeight="1" x14ac:dyDescent="0.2">
      <c r="A2632" s="88" t="s">
        <v>3105</v>
      </c>
      <c r="B2632" s="90"/>
      <c r="C2632" s="88" t="s">
        <v>3131</v>
      </c>
      <c r="D2632" s="90"/>
      <c r="E2632" s="88" t="s">
        <v>3130</v>
      </c>
      <c r="F2632" s="89"/>
      <c r="G2632" s="89"/>
      <c r="H2632" s="89"/>
      <c r="I2632" s="90"/>
      <c r="J2632" s="88" t="s">
        <v>770</v>
      </c>
      <c r="K2632" s="89"/>
      <c r="L2632" s="89"/>
      <c r="M2632" s="90"/>
      <c r="N2632" s="88" t="s">
        <v>26</v>
      </c>
      <c r="O2632" s="89"/>
      <c r="P2632" s="90"/>
      <c r="Q2632" s="133">
        <v>3456</v>
      </c>
      <c r="R2632" s="134"/>
      <c r="S2632" s="5" t="s">
        <v>44</v>
      </c>
      <c r="T2632" s="8">
        <v>2135</v>
      </c>
      <c r="U2632" s="8">
        <v>5</v>
      </c>
      <c r="V2632" s="5" t="s">
        <v>23</v>
      </c>
      <c r="W2632" s="12">
        <v>14751609</v>
      </c>
      <c r="X2632" s="6"/>
      <c r="Y2632" s="6"/>
    </row>
    <row r="2633" spans="1:25" ht="15" customHeight="1" x14ac:dyDescent="0.2">
      <c r="A2633" s="88" t="s">
        <v>3105</v>
      </c>
      <c r="B2633" s="90"/>
      <c r="C2633" s="88" t="s">
        <v>3132</v>
      </c>
      <c r="D2633" s="90"/>
      <c r="E2633" s="88" t="s">
        <v>3133</v>
      </c>
      <c r="F2633" s="89"/>
      <c r="G2633" s="89"/>
      <c r="H2633" s="89"/>
      <c r="I2633" s="90"/>
      <c r="J2633" s="88" t="s">
        <v>770</v>
      </c>
      <c r="K2633" s="89"/>
      <c r="L2633" s="89"/>
      <c r="M2633" s="90"/>
      <c r="N2633" s="88" t="s">
        <v>26</v>
      </c>
      <c r="O2633" s="89"/>
      <c r="P2633" s="90"/>
      <c r="Q2633" s="133">
        <v>2352</v>
      </c>
      <c r="R2633" s="134"/>
      <c r="S2633" s="5" t="s">
        <v>44</v>
      </c>
      <c r="T2633" s="8">
        <v>1915</v>
      </c>
      <c r="U2633" s="8">
        <v>5</v>
      </c>
      <c r="V2633" s="5" t="s">
        <v>23</v>
      </c>
      <c r="W2633" s="12">
        <v>9226143</v>
      </c>
      <c r="X2633" s="6"/>
      <c r="Y2633" s="6"/>
    </row>
    <row r="2634" spans="1:25" ht="15" customHeight="1" x14ac:dyDescent="0.2">
      <c r="A2634" s="88" t="s">
        <v>3105</v>
      </c>
      <c r="B2634" s="90"/>
      <c r="C2634" s="88" t="s">
        <v>3134</v>
      </c>
      <c r="D2634" s="90"/>
      <c r="E2634" s="88" t="s">
        <v>3135</v>
      </c>
      <c r="F2634" s="89"/>
      <c r="G2634" s="89"/>
      <c r="H2634" s="89"/>
      <c r="I2634" s="90"/>
      <c r="J2634" s="88" t="s">
        <v>13</v>
      </c>
      <c r="K2634" s="89"/>
      <c r="L2634" s="89"/>
      <c r="M2634" s="90"/>
      <c r="N2634" s="88" t="s">
        <v>26</v>
      </c>
      <c r="O2634" s="89"/>
      <c r="P2634" s="90"/>
      <c r="Q2634" s="133">
        <v>1998</v>
      </c>
      <c r="R2634" s="134"/>
      <c r="S2634" s="5" t="s">
        <v>44</v>
      </c>
      <c r="T2634" s="8">
        <v>1905</v>
      </c>
      <c r="U2634" s="8">
        <v>5</v>
      </c>
      <c r="V2634" s="5" t="s">
        <v>23</v>
      </c>
      <c r="W2634" s="12">
        <v>8415926</v>
      </c>
      <c r="X2634" s="6"/>
      <c r="Y2634" s="6"/>
    </row>
    <row r="2635" spans="1:25" ht="15" customHeight="1" x14ac:dyDescent="0.2">
      <c r="A2635" s="88" t="s">
        <v>3105</v>
      </c>
      <c r="B2635" s="90"/>
      <c r="C2635" s="88" t="s">
        <v>3136</v>
      </c>
      <c r="D2635" s="90"/>
      <c r="E2635" s="88" t="s">
        <v>3135</v>
      </c>
      <c r="F2635" s="89"/>
      <c r="G2635" s="89"/>
      <c r="H2635" s="89"/>
      <c r="I2635" s="90"/>
      <c r="J2635" s="88" t="s">
        <v>3137</v>
      </c>
      <c r="K2635" s="89"/>
      <c r="L2635" s="89"/>
      <c r="M2635" s="90"/>
      <c r="N2635" s="88" t="s">
        <v>26</v>
      </c>
      <c r="O2635" s="89"/>
      <c r="P2635" s="90"/>
      <c r="Q2635" s="133">
        <v>1998</v>
      </c>
      <c r="R2635" s="134"/>
      <c r="S2635" s="5" t="s">
        <v>44</v>
      </c>
      <c r="T2635" s="8">
        <v>1905</v>
      </c>
      <c r="U2635" s="8">
        <v>5</v>
      </c>
      <c r="V2635" s="5" t="s">
        <v>23</v>
      </c>
      <c r="W2635" s="12">
        <v>8438565</v>
      </c>
      <c r="X2635" s="6"/>
      <c r="Y2635" s="6"/>
    </row>
    <row r="2636" spans="1:25" ht="15" customHeight="1" x14ac:dyDescent="0.2">
      <c r="A2636" s="88" t="s">
        <v>3105</v>
      </c>
      <c r="B2636" s="90"/>
      <c r="C2636" s="88" t="s">
        <v>3138</v>
      </c>
      <c r="D2636" s="90"/>
      <c r="E2636" s="88" t="s">
        <v>3139</v>
      </c>
      <c r="F2636" s="89"/>
      <c r="G2636" s="89"/>
      <c r="H2636" s="89"/>
      <c r="I2636" s="90"/>
      <c r="J2636" s="88" t="s">
        <v>2319</v>
      </c>
      <c r="K2636" s="89"/>
      <c r="L2636" s="89"/>
      <c r="M2636" s="90"/>
      <c r="N2636" s="88" t="s">
        <v>3140</v>
      </c>
      <c r="O2636" s="89"/>
      <c r="P2636" s="90"/>
      <c r="Q2636" s="133">
        <v>1998</v>
      </c>
      <c r="R2636" s="134"/>
      <c r="S2636" s="5" t="s">
        <v>44</v>
      </c>
      <c r="T2636" s="8">
        <v>1915</v>
      </c>
      <c r="U2636" s="8">
        <v>5</v>
      </c>
      <c r="V2636" s="5" t="s">
        <v>23</v>
      </c>
      <c r="W2636" s="12">
        <v>9710981</v>
      </c>
      <c r="X2636" s="6"/>
      <c r="Y2636" s="6"/>
    </row>
    <row r="2637" spans="1:25" ht="15" customHeight="1" x14ac:dyDescent="0.2">
      <c r="A2637" s="88" t="s">
        <v>3105</v>
      </c>
      <c r="B2637" s="90"/>
      <c r="C2637" s="88" t="s">
        <v>3141</v>
      </c>
      <c r="D2637" s="90"/>
      <c r="E2637" s="88" t="s">
        <v>3142</v>
      </c>
      <c r="F2637" s="89"/>
      <c r="G2637" s="89"/>
      <c r="H2637" s="89"/>
      <c r="I2637" s="90"/>
      <c r="J2637" s="88" t="s">
        <v>770</v>
      </c>
      <c r="K2637" s="89"/>
      <c r="L2637" s="89"/>
      <c r="M2637" s="90"/>
      <c r="N2637" s="88" t="s">
        <v>26</v>
      </c>
      <c r="O2637" s="89"/>
      <c r="P2637" s="90"/>
      <c r="Q2637" s="133">
        <v>2493</v>
      </c>
      <c r="R2637" s="134"/>
      <c r="S2637" s="5" t="s">
        <v>44</v>
      </c>
      <c r="T2637" s="8">
        <v>1955</v>
      </c>
      <c r="U2637" s="8">
        <v>5</v>
      </c>
      <c r="V2637" s="5" t="s">
        <v>23</v>
      </c>
      <c r="W2637" s="12">
        <v>9360371</v>
      </c>
      <c r="X2637" s="6"/>
      <c r="Y2637" s="6"/>
    </row>
    <row r="2638" spans="1:25" ht="15" customHeight="1" x14ac:dyDescent="0.2">
      <c r="A2638" s="88" t="s">
        <v>3105</v>
      </c>
      <c r="B2638" s="90"/>
      <c r="C2638" s="88" t="s">
        <v>3141</v>
      </c>
      <c r="D2638" s="90"/>
      <c r="E2638" s="88" t="s">
        <v>3143</v>
      </c>
      <c r="F2638" s="89"/>
      <c r="G2638" s="89"/>
      <c r="H2638" s="89"/>
      <c r="I2638" s="90"/>
      <c r="J2638" s="88" t="s">
        <v>770</v>
      </c>
      <c r="K2638" s="89"/>
      <c r="L2638" s="89"/>
      <c r="M2638" s="90"/>
      <c r="N2638" s="88" t="s">
        <v>26</v>
      </c>
      <c r="O2638" s="89"/>
      <c r="P2638" s="90"/>
      <c r="Q2638" s="133">
        <v>2493</v>
      </c>
      <c r="R2638" s="134"/>
      <c r="S2638" s="5" t="s">
        <v>44</v>
      </c>
      <c r="T2638" s="8">
        <v>1965</v>
      </c>
      <c r="U2638" s="8">
        <v>5</v>
      </c>
      <c r="V2638" s="5" t="s">
        <v>23</v>
      </c>
      <c r="W2638" s="12">
        <v>10496942</v>
      </c>
      <c r="X2638" s="6"/>
      <c r="Y2638" s="6"/>
    </row>
    <row r="2639" spans="1:25" ht="15" customHeight="1" x14ac:dyDescent="0.2">
      <c r="A2639" s="88" t="s">
        <v>3105</v>
      </c>
      <c r="B2639" s="90"/>
      <c r="C2639" s="88" t="s">
        <v>3144</v>
      </c>
      <c r="D2639" s="90"/>
      <c r="E2639" s="88" t="s">
        <v>3143</v>
      </c>
      <c r="F2639" s="89"/>
      <c r="G2639" s="89"/>
      <c r="H2639" s="89"/>
      <c r="I2639" s="90"/>
      <c r="J2639" s="88" t="s">
        <v>770</v>
      </c>
      <c r="K2639" s="89"/>
      <c r="L2639" s="89"/>
      <c r="M2639" s="90"/>
      <c r="N2639" s="88" t="s">
        <v>22</v>
      </c>
      <c r="O2639" s="89"/>
      <c r="P2639" s="90"/>
      <c r="Q2639" s="133">
        <v>2493</v>
      </c>
      <c r="R2639" s="134"/>
      <c r="S2639" s="5" t="s">
        <v>44</v>
      </c>
      <c r="T2639" s="8">
        <v>1965</v>
      </c>
      <c r="U2639" s="8">
        <v>5</v>
      </c>
      <c r="V2639" s="5" t="s">
        <v>23</v>
      </c>
      <c r="W2639" s="12">
        <v>10496942</v>
      </c>
      <c r="X2639" s="6"/>
      <c r="Y2639" s="6"/>
    </row>
    <row r="2640" spans="1:25" ht="15" customHeight="1" x14ac:dyDescent="0.2">
      <c r="A2640" s="88" t="s">
        <v>3105</v>
      </c>
      <c r="B2640" s="90"/>
      <c r="C2640" s="88" t="s">
        <v>3144</v>
      </c>
      <c r="D2640" s="90"/>
      <c r="E2640" s="88" t="s">
        <v>3145</v>
      </c>
      <c r="F2640" s="89"/>
      <c r="G2640" s="89"/>
      <c r="H2640" s="89"/>
      <c r="I2640" s="90"/>
      <c r="J2640" s="88" t="s">
        <v>770</v>
      </c>
      <c r="K2640" s="89"/>
      <c r="L2640" s="89"/>
      <c r="M2640" s="90"/>
      <c r="N2640" s="88" t="s">
        <v>26</v>
      </c>
      <c r="O2640" s="89"/>
      <c r="P2640" s="90"/>
      <c r="Q2640" s="133">
        <v>2493</v>
      </c>
      <c r="R2640" s="134"/>
      <c r="S2640" s="5" t="s">
        <v>44</v>
      </c>
      <c r="T2640" s="8">
        <v>1965</v>
      </c>
      <c r="U2640" s="8">
        <v>5</v>
      </c>
      <c r="V2640" s="5" t="s">
        <v>23</v>
      </c>
      <c r="W2640" s="12">
        <v>9383012</v>
      </c>
      <c r="X2640" s="6"/>
      <c r="Y2640" s="6"/>
    </row>
    <row r="2641" spans="1:25" ht="15" customHeight="1" x14ac:dyDescent="0.2">
      <c r="A2641" s="88" t="s">
        <v>3105</v>
      </c>
      <c r="B2641" s="90"/>
      <c r="C2641" s="88" t="s">
        <v>3146</v>
      </c>
      <c r="D2641" s="90"/>
      <c r="E2641" s="88" t="s">
        <v>3147</v>
      </c>
      <c r="F2641" s="89"/>
      <c r="G2641" s="89"/>
      <c r="H2641" s="89"/>
      <c r="I2641" s="90"/>
      <c r="J2641" s="88" t="s">
        <v>13</v>
      </c>
      <c r="K2641" s="89"/>
      <c r="L2641" s="89"/>
      <c r="M2641" s="90"/>
      <c r="N2641" s="88" t="s">
        <v>26</v>
      </c>
      <c r="O2641" s="89"/>
      <c r="P2641" s="90"/>
      <c r="Q2641" s="133">
        <v>3456</v>
      </c>
      <c r="R2641" s="134"/>
      <c r="S2641" s="5" t="s">
        <v>44</v>
      </c>
      <c r="T2641" s="8">
        <v>1915</v>
      </c>
      <c r="U2641" s="8">
        <v>5</v>
      </c>
      <c r="V2641" s="5" t="s">
        <v>23</v>
      </c>
      <c r="W2641" s="12">
        <v>10841018</v>
      </c>
      <c r="X2641" s="6"/>
      <c r="Y2641" s="6"/>
    </row>
    <row r="2642" spans="1:25" ht="15" customHeight="1" x14ac:dyDescent="0.2">
      <c r="A2642" s="88" t="s">
        <v>3105</v>
      </c>
      <c r="B2642" s="90"/>
      <c r="C2642" s="88" t="s">
        <v>3148</v>
      </c>
      <c r="D2642" s="90"/>
      <c r="E2642" s="88" t="s">
        <v>3149</v>
      </c>
      <c r="F2642" s="89"/>
      <c r="G2642" s="89"/>
      <c r="H2642" s="89"/>
      <c r="I2642" s="90"/>
      <c r="J2642" s="88" t="s">
        <v>770</v>
      </c>
      <c r="K2642" s="89"/>
      <c r="L2642" s="89"/>
      <c r="M2642" s="90"/>
      <c r="N2642" s="88" t="s">
        <v>22</v>
      </c>
      <c r="O2642" s="89"/>
      <c r="P2642" s="90"/>
      <c r="Q2642" s="133">
        <v>3456</v>
      </c>
      <c r="R2642" s="134"/>
      <c r="S2642" s="5" t="s">
        <v>44</v>
      </c>
      <c r="T2642" s="8">
        <v>1935</v>
      </c>
      <c r="U2642" s="8">
        <v>5</v>
      </c>
      <c r="V2642" s="5" t="s">
        <v>23</v>
      </c>
      <c r="W2642" s="12">
        <v>12279850</v>
      </c>
      <c r="X2642" s="6"/>
      <c r="Y2642" s="6"/>
    </row>
    <row r="2643" spans="1:25" ht="15" customHeight="1" x14ac:dyDescent="0.2">
      <c r="A2643" s="88" t="s">
        <v>3105</v>
      </c>
      <c r="B2643" s="90"/>
      <c r="C2643" s="88" t="s">
        <v>3148</v>
      </c>
      <c r="D2643" s="90"/>
      <c r="E2643" s="88" t="s">
        <v>3149</v>
      </c>
      <c r="F2643" s="89"/>
      <c r="G2643" s="89"/>
      <c r="H2643" s="89"/>
      <c r="I2643" s="90"/>
      <c r="J2643" s="88" t="s">
        <v>2319</v>
      </c>
      <c r="K2643" s="89"/>
      <c r="L2643" s="89"/>
      <c r="M2643" s="90"/>
      <c r="N2643" s="88" t="s">
        <v>26</v>
      </c>
      <c r="O2643" s="89"/>
      <c r="P2643" s="90"/>
      <c r="Q2643" s="133">
        <v>3456</v>
      </c>
      <c r="R2643" s="134"/>
      <c r="S2643" s="5" t="s">
        <v>44</v>
      </c>
      <c r="T2643" s="8">
        <v>1935</v>
      </c>
      <c r="U2643" s="8">
        <v>5</v>
      </c>
      <c r="V2643" s="5" t="s">
        <v>23</v>
      </c>
      <c r="W2643" s="12">
        <v>12279850</v>
      </c>
      <c r="X2643" s="6"/>
      <c r="Y2643" s="6"/>
    </row>
    <row r="2644" spans="1:25" ht="15" customHeight="1" x14ac:dyDescent="0.2">
      <c r="A2644" s="88" t="s">
        <v>3105</v>
      </c>
      <c r="B2644" s="90"/>
      <c r="C2644" s="88" t="s">
        <v>3150</v>
      </c>
      <c r="D2644" s="90"/>
      <c r="E2644" s="88" t="s">
        <v>3147</v>
      </c>
      <c r="F2644" s="89"/>
      <c r="G2644" s="89"/>
      <c r="H2644" s="89"/>
      <c r="I2644" s="90"/>
      <c r="J2644" s="88" t="s">
        <v>2319</v>
      </c>
      <c r="K2644" s="89"/>
      <c r="L2644" s="89"/>
      <c r="M2644" s="90"/>
      <c r="N2644" s="88" t="s">
        <v>26</v>
      </c>
      <c r="O2644" s="89"/>
      <c r="P2644" s="90"/>
      <c r="Q2644" s="133">
        <v>3456</v>
      </c>
      <c r="R2644" s="134"/>
      <c r="S2644" s="5" t="s">
        <v>44</v>
      </c>
      <c r="T2644" s="8">
        <v>1915</v>
      </c>
      <c r="U2644" s="8">
        <v>5</v>
      </c>
      <c r="V2644" s="5" t="s">
        <v>23</v>
      </c>
      <c r="W2644" s="12">
        <v>10902149</v>
      </c>
      <c r="X2644" s="6"/>
      <c r="Y2644" s="6"/>
    </row>
    <row r="2645" spans="1:25" ht="15" customHeight="1" x14ac:dyDescent="0.2">
      <c r="A2645" s="88" t="s">
        <v>3105</v>
      </c>
      <c r="B2645" s="90"/>
      <c r="C2645" s="88" t="s">
        <v>3151</v>
      </c>
      <c r="D2645" s="90"/>
      <c r="E2645" s="88" t="s">
        <v>3152</v>
      </c>
      <c r="F2645" s="89"/>
      <c r="G2645" s="89"/>
      <c r="H2645" s="89"/>
      <c r="I2645" s="90"/>
      <c r="J2645" s="88" t="s">
        <v>2319</v>
      </c>
      <c r="K2645" s="89"/>
      <c r="L2645" s="89"/>
      <c r="M2645" s="90"/>
      <c r="N2645" s="88" t="s">
        <v>22</v>
      </c>
      <c r="O2645" s="89"/>
      <c r="P2645" s="90"/>
      <c r="Q2645" s="133">
        <v>4968</v>
      </c>
      <c r="R2645" s="134"/>
      <c r="S2645" s="5" t="s">
        <v>44</v>
      </c>
      <c r="T2645" s="8">
        <v>1995</v>
      </c>
      <c r="U2645" s="8">
        <v>5</v>
      </c>
      <c r="V2645" s="5" t="s">
        <v>23</v>
      </c>
      <c r="W2645" s="12">
        <v>16033599</v>
      </c>
      <c r="X2645" s="6"/>
      <c r="Y2645" s="6"/>
    </row>
    <row r="2646" spans="1:25" ht="15" customHeight="1" x14ac:dyDescent="0.2">
      <c r="A2646" s="88" t="s">
        <v>3105</v>
      </c>
      <c r="B2646" s="90"/>
      <c r="C2646" s="88" t="s">
        <v>3153</v>
      </c>
      <c r="D2646" s="90"/>
      <c r="E2646" s="88" t="s">
        <v>3152</v>
      </c>
      <c r="F2646" s="89"/>
      <c r="G2646" s="89"/>
      <c r="H2646" s="89"/>
      <c r="I2646" s="90"/>
      <c r="J2646" s="88" t="s">
        <v>770</v>
      </c>
      <c r="K2646" s="89"/>
      <c r="L2646" s="89"/>
      <c r="M2646" s="90"/>
      <c r="N2646" s="88" t="s">
        <v>22</v>
      </c>
      <c r="O2646" s="89"/>
      <c r="P2646" s="90"/>
      <c r="Q2646" s="133">
        <v>4968</v>
      </c>
      <c r="R2646" s="134"/>
      <c r="S2646" s="5" t="s">
        <v>44</v>
      </c>
      <c r="T2646" s="8">
        <v>1995</v>
      </c>
      <c r="U2646" s="8">
        <v>5</v>
      </c>
      <c r="V2646" s="5" t="s">
        <v>23</v>
      </c>
      <c r="W2646" s="12">
        <v>16033599</v>
      </c>
      <c r="X2646" s="6"/>
      <c r="Y2646" s="6"/>
    </row>
    <row r="2647" spans="1:25" ht="15" customHeight="1" x14ac:dyDescent="0.2">
      <c r="A2647" s="88" t="s">
        <v>3105</v>
      </c>
      <c r="B2647" s="90"/>
      <c r="C2647" s="88" t="s">
        <v>3154</v>
      </c>
      <c r="D2647" s="90"/>
      <c r="E2647" s="88" t="s">
        <v>3155</v>
      </c>
      <c r="F2647" s="89"/>
      <c r="G2647" s="89"/>
      <c r="H2647" s="89"/>
      <c r="I2647" s="90"/>
      <c r="J2647" s="88" t="s">
        <v>3137</v>
      </c>
      <c r="K2647" s="89"/>
      <c r="L2647" s="89"/>
      <c r="M2647" s="90"/>
      <c r="N2647" s="88" t="s">
        <v>22</v>
      </c>
      <c r="O2647" s="89"/>
      <c r="P2647" s="90"/>
      <c r="Q2647" s="133">
        <v>4968</v>
      </c>
      <c r="R2647" s="134"/>
      <c r="S2647" s="5" t="s">
        <v>44</v>
      </c>
      <c r="T2647" s="8">
        <v>2170</v>
      </c>
      <c r="U2647" s="8">
        <v>4</v>
      </c>
      <c r="V2647" s="5" t="s">
        <v>23</v>
      </c>
      <c r="W2647" s="12">
        <v>26408280</v>
      </c>
      <c r="X2647" s="6"/>
      <c r="Y2647" s="6"/>
    </row>
    <row r="2648" spans="1:25" ht="15" customHeight="1" x14ac:dyDescent="0.2">
      <c r="A2648" s="88" t="s">
        <v>3105</v>
      </c>
      <c r="B2648" s="90"/>
      <c r="C2648" s="88" t="s">
        <v>3156</v>
      </c>
      <c r="D2648" s="90"/>
      <c r="E2648" s="88" t="s">
        <v>3157</v>
      </c>
      <c r="F2648" s="89"/>
      <c r="G2648" s="89"/>
      <c r="H2648" s="89"/>
      <c r="I2648" s="90"/>
      <c r="J2648" s="88" t="s">
        <v>3137</v>
      </c>
      <c r="K2648" s="89"/>
      <c r="L2648" s="89"/>
      <c r="M2648" s="90"/>
      <c r="N2648" s="88" t="s">
        <v>22</v>
      </c>
      <c r="O2648" s="89"/>
      <c r="P2648" s="90"/>
      <c r="Q2648" s="133">
        <v>4968</v>
      </c>
      <c r="R2648" s="134"/>
      <c r="S2648" s="5" t="s">
        <v>119</v>
      </c>
      <c r="T2648" s="8">
        <v>2270</v>
      </c>
      <c r="U2648" s="8">
        <v>4</v>
      </c>
      <c r="V2648" s="5" t="s">
        <v>23</v>
      </c>
      <c r="W2648" s="12">
        <v>29237739</v>
      </c>
      <c r="X2648" s="6"/>
      <c r="Y2648" s="6"/>
    </row>
    <row r="2649" spans="1:25" ht="15" customHeight="1" x14ac:dyDescent="0.2">
      <c r="A2649" s="88" t="s">
        <v>3105</v>
      </c>
      <c r="B2649" s="90"/>
      <c r="C2649" s="88" t="s">
        <v>3156</v>
      </c>
      <c r="D2649" s="90"/>
      <c r="E2649" s="88" t="s">
        <v>3158</v>
      </c>
      <c r="F2649" s="89"/>
      <c r="G2649" s="89"/>
      <c r="H2649" s="89"/>
      <c r="I2649" s="90"/>
      <c r="J2649" s="88" t="s">
        <v>770</v>
      </c>
      <c r="K2649" s="89"/>
      <c r="L2649" s="89"/>
      <c r="M2649" s="90"/>
      <c r="N2649" s="88" t="s">
        <v>26</v>
      </c>
      <c r="O2649" s="89"/>
      <c r="P2649" s="90"/>
      <c r="Q2649" s="133">
        <v>4968</v>
      </c>
      <c r="R2649" s="134"/>
      <c r="S2649" s="5" t="s">
        <v>119</v>
      </c>
      <c r="T2649" s="8">
        <v>2270</v>
      </c>
      <c r="U2649" s="8">
        <v>4</v>
      </c>
      <c r="V2649" s="5" t="s">
        <v>23</v>
      </c>
      <c r="W2649" s="12">
        <v>29237739</v>
      </c>
      <c r="X2649" s="6"/>
      <c r="Y2649" s="6"/>
    </row>
    <row r="2650" spans="1:25" ht="15" customHeight="1" x14ac:dyDescent="0.2">
      <c r="A2650" s="88" t="s">
        <v>3105</v>
      </c>
      <c r="B2650" s="90"/>
      <c r="C2650" s="88" t="s">
        <v>3156</v>
      </c>
      <c r="D2650" s="90"/>
      <c r="E2650" s="88" t="s">
        <v>3159</v>
      </c>
      <c r="F2650" s="89"/>
      <c r="G2650" s="89"/>
      <c r="H2650" s="89"/>
      <c r="I2650" s="90"/>
      <c r="J2650" s="88" t="s">
        <v>2319</v>
      </c>
      <c r="K2650" s="89"/>
      <c r="L2650" s="89"/>
      <c r="M2650" s="90"/>
      <c r="N2650" s="88" t="s">
        <v>26</v>
      </c>
      <c r="O2650" s="89"/>
      <c r="P2650" s="90"/>
      <c r="Q2650" s="133">
        <v>4968</v>
      </c>
      <c r="R2650" s="134"/>
      <c r="S2650" s="5" t="s">
        <v>119</v>
      </c>
      <c r="T2650" s="8">
        <v>2270</v>
      </c>
      <c r="U2650" s="8">
        <v>4</v>
      </c>
      <c r="V2650" s="5" t="s">
        <v>23</v>
      </c>
      <c r="W2650" s="12">
        <v>25722351</v>
      </c>
      <c r="X2650" s="6"/>
      <c r="Y2650" s="6"/>
    </row>
    <row r="2651" spans="1:25" ht="15" customHeight="1" x14ac:dyDescent="0.2">
      <c r="A2651" s="88" t="s">
        <v>3105</v>
      </c>
      <c r="B2651" s="90"/>
      <c r="C2651" s="88" t="s">
        <v>3160</v>
      </c>
      <c r="D2651" s="90"/>
      <c r="E2651" s="88" t="s">
        <v>3155</v>
      </c>
      <c r="F2651" s="89"/>
      <c r="G2651" s="89"/>
      <c r="H2651" s="89"/>
      <c r="I2651" s="90"/>
      <c r="J2651" s="88" t="s">
        <v>3137</v>
      </c>
      <c r="K2651" s="89"/>
      <c r="L2651" s="89"/>
      <c r="M2651" s="90"/>
      <c r="N2651" s="88" t="s">
        <v>22</v>
      </c>
      <c r="O2651" s="89"/>
      <c r="P2651" s="90"/>
      <c r="Q2651" s="133">
        <v>4968</v>
      </c>
      <c r="R2651" s="134"/>
      <c r="S2651" s="5" t="s">
        <v>271</v>
      </c>
      <c r="T2651" s="8">
        <v>2170</v>
      </c>
      <c r="U2651" s="8">
        <v>4</v>
      </c>
      <c r="V2651" s="5" t="s">
        <v>23</v>
      </c>
      <c r="W2651" s="12">
        <v>25785799</v>
      </c>
      <c r="X2651" s="6"/>
      <c r="Y2651" s="6"/>
    </row>
    <row r="2652" spans="1:25" ht="15" customHeight="1" x14ac:dyDescent="0.2">
      <c r="A2652" s="88" t="s">
        <v>3105</v>
      </c>
      <c r="B2652" s="90"/>
      <c r="C2652" s="88" t="s">
        <v>3160</v>
      </c>
      <c r="D2652" s="90"/>
      <c r="E2652" s="88" t="s">
        <v>3161</v>
      </c>
      <c r="F2652" s="89"/>
      <c r="G2652" s="89"/>
      <c r="H2652" s="89"/>
      <c r="I2652" s="90"/>
      <c r="J2652" s="88" t="s">
        <v>3137</v>
      </c>
      <c r="K2652" s="89"/>
      <c r="L2652" s="89"/>
      <c r="M2652" s="90"/>
      <c r="N2652" s="88" t="s">
        <v>26</v>
      </c>
      <c r="O2652" s="89"/>
      <c r="P2652" s="90"/>
      <c r="Q2652" s="133">
        <v>4968</v>
      </c>
      <c r="R2652" s="134"/>
      <c r="S2652" s="5" t="s">
        <v>271</v>
      </c>
      <c r="T2652" s="8">
        <v>2180</v>
      </c>
      <c r="U2652" s="8">
        <v>4</v>
      </c>
      <c r="V2652" s="5" t="s">
        <v>23</v>
      </c>
      <c r="W2652" s="12">
        <v>22743956</v>
      </c>
      <c r="X2652" s="6"/>
      <c r="Y2652" s="6"/>
    </row>
    <row r="2653" spans="1:25" ht="15" customHeight="1" x14ac:dyDescent="0.2">
      <c r="A2653" s="88" t="s">
        <v>3105</v>
      </c>
      <c r="B2653" s="90"/>
      <c r="C2653" s="88" t="s">
        <v>3162</v>
      </c>
      <c r="D2653" s="90"/>
      <c r="E2653" s="88" t="s">
        <v>3163</v>
      </c>
      <c r="F2653" s="89"/>
      <c r="G2653" s="89"/>
      <c r="H2653" s="89"/>
      <c r="I2653" s="90"/>
      <c r="J2653" s="88" t="s">
        <v>770</v>
      </c>
      <c r="K2653" s="89"/>
      <c r="L2653" s="89"/>
      <c r="M2653" s="90"/>
      <c r="N2653" s="88" t="s">
        <v>26</v>
      </c>
      <c r="O2653" s="89"/>
      <c r="P2653" s="90"/>
      <c r="Q2653" s="133">
        <v>3456</v>
      </c>
      <c r="R2653" s="134"/>
      <c r="S2653" s="5" t="s">
        <v>271</v>
      </c>
      <c r="T2653" s="8">
        <v>2230</v>
      </c>
      <c r="U2653" s="8">
        <v>4</v>
      </c>
      <c r="V2653" s="5" t="s">
        <v>23</v>
      </c>
      <c r="W2653" s="12">
        <v>28917067</v>
      </c>
      <c r="X2653" s="6"/>
      <c r="Y2653" s="6"/>
    </row>
    <row r="2654" spans="1:25" ht="15" customHeight="1" x14ac:dyDescent="0.2">
      <c r="A2654" s="88" t="s">
        <v>3105</v>
      </c>
      <c r="B2654" s="90"/>
      <c r="C2654" s="88" t="s">
        <v>3164</v>
      </c>
      <c r="D2654" s="90"/>
      <c r="E2654" s="88" t="s">
        <v>3165</v>
      </c>
      <c r="F2654" s="89"/>
      <c r="G2654" s="89"/>
      <c r="H2654" s="89"/>
      <c r="I2654" s="90"/>
      <c r="J2654" s="88" t="s">
        <v>2179</v>
      </c>
      <c r="K2654" s="89"/>
      <c r="L2654" s="89"/>
      <c r="M2654" s="90"/>
      <c r="N2654" s="88" t="s">
        <v>22</v>
      </c>
      <c r="O2654" s="89"/>
      <c r="P2654" s="90"/>
      <c r="Q2654" s="133">
        <v>2393</v>
      </c>
      <c r="R2654" s="134"/>
      <c r="S2654" s="5" t="s">
        <v>1101</v>
      </c>
      <c r="T2654" s="8">
        <v>2680</v>
      </c>
      <c r="U2654" s="8">
        <v>4</v>
      </c>
      <c r="V2654" s="5" t="s">
        <v>23</v>
      </c>
      <c r="W2654" s="12">
        <v>34931588</v>
      </c>
      <c r="X2654" s="6"/>
      <c r="Y2654" s="6"/>
    </row>
    <row r="2655" spans="1:25" ht="15" customHeight="1" x14ac:dyDescent="0.2">
      <c r="A2655" s="88" t="s">
        <v>3105</v>
      </c>
      <c r="B2655" s="90"/>
      <c r="C2655" s="88" t="s">
        <v>3166</v>
      </c>
      <c r="D2655" s="90"/>
      <c r="E2655" s="88" t="s">
        <v>3167</v>
      </c>
      <c r="F2655" s="89"/>
      <c r="G2655" s="89"/>
      <c r="H2655" s="89"/>
      <c r="I2655" s="90"/>
      <c r="J2655" s="88" t="s">
        <v>770</v>
      </c>
      <c r="K2655" s="89"/>
      <c r="L2655" s="89"/>
      <c r="M2655" s="90"/>
      <c r="N2655" s="88" t="s">
        <v>701</v>
      </c>
      <c r="O2655" s="89"/>
      <c r="P2655" s="90"/>
      <c r="Q2655" s="133">
        <v>2393</v>
      </c>
      <c r="R2655" s="134"/>
      <c r="S2655" s="5" t="s">
        <v>1101</v>
      </c>
      <c r="T2655" s="8">
        <v>2770</v>
      </c>
      <c r="U2655" s="8">
        <v>6</v>
      </c>
      <c r="V2655" s="5" t="s">
        <v>23</v>
      </c>
      <c r="W2655" s="12">
        <v>26198691</v>
      </c>
      <c r="X2655" s="6"/>
      <c r="Y2655" s="6"/>
    </row>
    <row r="2656" spans="1:25" ht="15" customHeight="1" x14ac:dyDescent="0.2">
      <c r="A2656" s="88" t="s">
        <v>3105</v>
      </c>
      <c r="B2656" s="90"/>
      <c r="C2656" s="88" t="s">
        <v>3168</v>
      </c>
      <c r="D2656" s="90"/>
      <c r="E2656" s="88" t="s">
        <v>3169</v>
      </c>
      <c r="F2656" s="89"/>
      <c r="G2656" s="89"/>
      <c r="H2656" s="89"/>
      <c r="I2656" s="90"/>
      <c r="J2656" s="88" t="s">
        <v>3137</v>
      </c>
      <c r="K2656" s="89"/>
      <c r="L2656" s="89"/>
      <c r="M2656" s="90"/>
      <c r="N2656" s="88" t="s">
        <v>26</v>
      </c>
      <c r="O2656" s="89"/>
      <c r="P2656" s="90"/>
      <c r="Q2656" s="133">
        <v>2487</v>
      </c>
      <c r="R2656" s="134"/>
      <c r="S2656" s="5" t="s">
        <v>44</v>
      </c>
      <c r="T2656" s="8">
        <v>2445</v>
      </c>
      <c r="U2656" s="8">
        <v>5</v>
      </c>
      <c r="V2656" s="5" t="s">
        <v>23</v>
      </c>
      <c r="W2656" s="12">
        <v>21273337</v>
      </c>
      <c r="X2656" s="6"/>
      <c r="Y2656" s="6"/>
    </row>
    <row r="2657" spans="1:25" ht="15" customHeight="1" x14ac:dyDescent="0.2">
      <c r="A2657" s="88" t="s">
        <v>3105</v>
      </c>
      <c r="B2657" s="90"/>
      <c r="C2657" s="88" t="s">
        <v>3170</v>
      </c>
      <c r="D2657" s="90"/>
      <c r="E2657" s="88" t="s">
        <v>3171</v>
      </c>
      <c r="F2657" s="89"/>
      <c r="G2657" s="89"/>
      <c r="H2657" s="89"/>
      <c r="I2657" s="90"/>
      <c r="J2657" s="88" t="s">
        <v>770</v>
      </c>
      <c r="K2657" s="89"/>
      <c r="L2657" s="89"/>
      <c r="M2657" s="90"/>
      <c r="N2657" s="88" t="s">
        <v>26</v>
      </c>
      <c r="O2657" s="89"/>
      <c r="P2657" s="90"/>
      <c r="Q2657" s="133">
        <v>3456</v>
      </c>
      <c r="R2657" s="134"/>
      <c r="S2657" s="5" t="s">
        <v>44</v>
      </c>
      <c r="T2657" s="8">
        <v>2495</v>
      </c>
      <c r="U2657" s="8">
        <v>5</v>
      </c>
      <c r="V2657" s="5" t="s">
        <v>23</v>
      </c>
      <c r="W2657" s="12">
        <v>20619036</v>
      </c>
      <c r="X2657" s="6"/>
      <c r="Y2657" s="6"/>
    </row>
    <row r="2658" spans="1:25" ht="15" customHeight="1" x14ac:dyDescent="0.2">
      <c r="A2658" s="88" t="s">
        <v>3105</v>
      </c>
      <c r="B2658" s="90"/>
      <c r="C2658" s="88" t="s">
        <v>3172</v>
      </c>
      <c r="D2658" s="90"/>
      <c r="E2658" s="88" t="s">
        <v>3173</v>
      </c>
      <c r="F2658" s="89"/>
      <c r="G2658" s="89"/>
      <c r="H2658" s="89"/>
      <c r="I2658" s="90"/>
      <c r="J2658" s="88" t="s">
        <v>770</v>
      </c>
      <c r="K2658" s="89"/>
      <c r="L2658" s="89"/>
      <c r="M2658" s="90"/>
      <c r="N2658" s="88" t="s">
        <v>26</v>
      </c>
      <c r="O2658" s="89"/>
      <c r="P2658" s="90"/>
      <c r="Q2658" s="133">
        <v>3456</v>
      </c>
      <c r="R2658" s="134"/>
      <c r="S2658" s="5" t="s">
        <v>44</v>
      </c>
      <c r="T2658" s="8">
        <v>2485</v>
      </c>
      <c r="U2658" s="8">
        <v>5</v>
      </c>
      <c r="V2658" s="5" t="s">
        <v>23</v>
      </c>
      <c r="W2658" s="12">
        <v>19586712</v>
      </c>
      <c r="X2658" s="6"/>
      <c r="Y2658" s="6"/>
    </row>
    <row r="2659" spans="1:25" ht="15" customHeight="1" x14ac:dyDescent="0.2">
      <c r="A2659" s="88" t="s">
        <v>3105</v>
      </c>
      <c r="B2659" s="90"/>
      <c r="C2659" s="88" t="s">
        <v>3172</v>
      </c>
      <c r="D2659" s="90"/>
      <c r="E2659" s="88" t="s">
        <v>3174</v>
      </c>
      <c r="F2659" s="89"/>
      <c r="G2659" s="89"/>
      <c r="H2659" s="89"/>
      <c r="I2659" s="90"/>
      <c r="J2659" s="88" t="s">
        <v>770</v>
      </c>
      <c r="K2659" s="89"/>
      <c r="L2659" s="89"/>
      <c r="M2659" s="90"/>
      <c r="N2659" s="88" t="s">
        <v>26</v>
      </c>
      <c r="O2659" s="89"/>
      <c r="P2659" s="90"/>
      <c r="Q2659" s="133">
        <v>3456</v>
      </c>
      <c r="R2659" s="134"/>
      <c r="S2659" s="5" t="s">
        <v>44</v>
      </c>
      <c r="T2659" s="8">
        <v>2485</v>
      </c>
      <c r="U2659" s="8">
        <v>5</v>
      </c>
      <c r="V2659" s="5" t="s">
        <v>23</v>
      </c>
      <c r="W2659" s="12">
        <v>19561688</v>
      </c>
      <c r="X2659" s="6"/>
      <c r="Y2659" s="6"/>
    </row>
    <row r="2660" spans="1:25" ht="15" customHeight="1" x14ac:dyDescent="0.2">
      <c r="A2660" s="88" t="s">
        <v>3105</v>
      </c>
      <c r="B2660" s="90"/>
      <c r="C2660" s="88" t="s">
        <v>3175</v>
      </c>
      <c r="D2660" s="90"/>
      <c r="E2660" s="88" t="s">
        <v>3176</v>
      </c>
      <c r="F2660" s="89"/>
      <c r="G2660" s="89"/>
      <c r="H2660" s="89"/>
      <c r="I2660" s="90"/>
      <c r="J2660" s="88" t="s">
        <v>770</v>
      </c>
      <c r="K2660" s="89"/>
      <c r="L2660" s="89"/>
      <c r="M2660" s="90"/>
      <c r="N2660" s="88" t="s">
        <v>22</v>
      </c>
      <c r="O2660" s="89"/>
      <c r="P2660" s="90"/>
      <c r="Q2660" s="133">
        <v>3456</v>
      </c>
      <c r="R2660" s="134"/>
      <c r="S2660" s="5" t="s">
        <v>44</v>
      </c>
      <c r="T2660" s="8">
        <v>2565</v>
      </c>
      <c r="U2660" s="8">
        <v>5</v>
      </c>
      <c r="V2660" s="5" t="s">
        <v>23</v>
      </c>
      <c r="W2660" s="12">
        <v>31878567</v>
      </c>
      <c r="X2660" s="6"/>
      <c r="Y2660" s="6"/>
    </row>
    <row r="2661" spans="1:25" ht="15" customHeight="1" x14ac:dyDescent="0.2">
      <c r="A2661" s="88" t="s">
        <v>3105</v>
      </c>
      <c r="B2661" s="90"/>
      <c r="C2661" s="88" t="s">
        <v>3175</v>
      </c>
      <c r="D2661" s="90"/>
      <c r="E2661" s="88" t="s">
        <v>3176</v>
      </c>
      <c r="F2661" s="89"/>
      <c r="G2661" s="89"/>
      <c r="H2661" s="89"/>
      <c r="I2661" s="90"/>
      <c r="J2661" s="88" t="s">
        <v>770</v>
      </c>
      <c r="K2661" s="89"/>
      <c r="L2661" s="89"/>
      <c r="M2661" s="90"/>
      <c r="N2661" s="88" t="s">
        <v>26</v>
      </c>
      <c r="O2661" s="89"/>
      <c r="P2661" s="90"/>
      <c r="Q2661" s="133">
        <v>3456</v>
      </c>
      <c r="R2661" s="134"/>
      <c r="S2661" s="5" t="s">
        <v>44</v>
      </c>
      <c r="T2661" s="8">
        <v>2595</v>
      </c>
      <c r="U2661" s="8">
        <v>5</v>
      </c>
      <c r="V2661" s="5" t="s">
        <v>23</v>
      </c>
      <c r="W2661" s="12">
        <v>28652984</v>
      </c>
      <c r="X2661" s="6"/>
      <c r="Y2661" s="6"/>
    </row>
    <row r="2662" spans="1:25" ht="15" customHeight="1" x14ac:dyDescent="0.2">
      <c r="A2662" s="88" t="s">
        <v>3105</v>
      </c>
      <c r="B2662" s="90"/>
      <c r="C2662" s="88" t="s">
        <v>3175</v>
      </c>
      <c r="D2662" s="90"/>
      <c r="E2662" s="88" t="s">
        <v>3177</v>
      </c>
      <c r="F2662" s="89"/>
      <c r="G2662" s="89"/>
      <c r="H2662" s="89"/>
      <c r="I2662" s="90"/>
      <c r="J2662" s="88" t="s">
        <v>770</v>
      </c>
      <c r="K2662" s="89"/>
      <c r="L2662" s="89"/>
      <c r="M2662" s="90"/>
      <c r="N2662" s="88" t="s">
        <v>26</v>
      </c>
      <c r="O2662" s="89"/>
      <c r="P2662" s="90"/>
      <c r="Q2662" s="133">
        <v>3456</v>
      </c>
      <c r="R2662" s="134"/>
      <c r="S2662" s="5" t="s">
        <v>44</v>
      </c>
      <c r="T2662" s="8">
        <v>2595</v>
      </c>
      <c r="U2662" s="8">
        <v>5</v>
      </c>
      <c r="V2662" s="5" t="s">
        <v>23</v>
      </c>
      <c r="W2662" s="12">
        <v>28643901</v>
      </c>
      <c r="X2662" s="6"/>
      <c r="Y2662" s="6"/>
    </row>
    <row r="2663" spans="1:25" ht="15" customHeight="1" x14ac:dyDescent="0.2">
      <c r="A2663" s="88" t="s">
        <v>3105</v>
      </c>
      <c r="B2663" s="90"/>
      <c r="C2663" s="88" t="s">
        <v>3178</v>
      </c>
      <c r="D2663" s="90"/>
      <c r="E2663" s="88" t="s">
        <v>3179</v>
      </c>
      <c r="F2663" s="89"/>
      <c r="G2663" s="89"/>
      <c r="H2663" s="89"/>
      <c r="I2663" s="90"/>
      <c r="J2663" s="88" t="s">
        <v>770</v>
      </c>
      <c r="K2663" s="89"/>
      <c r="L2663" s="89"/>
      <c r="M2663" s="90"/>
      <c r="N2663" s="88" t="s">
        <v>701</v>
      </c>
      <c r="O2663" s="89"/>
      <c r="P2663" s="90"/>
      <c r="Q2663" s="133">
        <v>3456</v>
      </c>
      <c r="R2663" s="134"/>
      <c r="S2663" s="5" t="s">
        <v>44</v>
      </c>
      <c r="T2663" s="8">
        <v>2675</v>
      </c>
      <c r="U2663" s="8">
        <v>5</v>
      </c>
      <c r="V2663" s="5" t="s">
        <v>23</v>
      </c>
      <c r="W2663" s="12">
        <v>33934640</v>
      </c>
      <c r="X2663" s="6"/>
      <c r="Y2663" s="6"/>
    </row>
    <row r="2664" spans="1:25" ht="15" customHeight="1" x14ac:dyDescent="0.2">
      <c r="A2664" s="88" t="s">
        <v>3105</v>
      </c>
      <c r="B2664" s="90"/>
      <c r="C2664" s="88" t="s">
        <v>3178</v>
      </c>
      <c r="D2664" s="90"/>
      <c r="E2664" s="88" t="s">
        <v>3176</v>
      </c>
      <c r="F2664" s="89"/>
      <c r="G2664" s="89"/>
      <c r="H2664" s="89"/>
      <c r="I2664" s="90"/>
      <c r="J2664" s="88" t="s">
        <v>770</v>
      </c>
      <c r="K2664" s="89"/>
      <c r="L2664" s="89"/>
      <c r="M2664" s="90"/>
      <c r="N2664" s="88" t="s">
        <v>22</v>
      </c>
      <c r="O2664" s="89"/>
      <c r="P2664" s="90"/>
      <c r="Q2664" s="133">
        <v>3456</v>
      </c>
      <c r="R2664" s="134"/>
      <c r="S2664" s="5" t="s">
        <v>44</v>
      </c>
      <c r="T2664" s="8">
        <v>2555</v>
      </c>
      <c r="U2664" s="8">
        <v>5</v>
      </c>
      <c r="V2664" s="5" t="s">
        <v>23</v>
      </c>
      <c r="W2664" s="12">
        <v>32255828</v>
      </c>
      <c r="X2664" s="6"/>
      <c r="Y2664" s="6"/>
    </row>
    <row r="2665" spans="1:25" ht="15" customHeight="1" x14ac:dyDescent="0.2">
      <c r="A2665" s="88" t="s">
        <v>3105</v>
      </c>
      <c r="B2665" s="90"/>
      <c r="C2665" s="88" t="s">
        <v>3178</v>
      </c>
      <c r="D2665" s="90"/>
      <c r="E2665" s="88" t="s">
        <v>3176</v>
      </c>
      <c r="F2665" s="89"/>
      <c r="G2665" s="89"/>
      <c r="H2665" s="89"/>
      <c r="I2665" s="90"/>
      <c r="J2665" s="88" t="s">
        <v>770</v>
      </c>
      <c r="K2665" s="89"/>
      <c r="L2665" s="89"/>
      <c r="M2665" s="90"/>
      <c r="N2665" s="88" t="s">
        <v>26</v>
      </c>
      <c r="O2665" s="89"/>
      <c r="P2665" s="90"/>
      <c r="Q2665" s="133">
        <v>3456</v>
      </c>
      <c r="R2665" s="134"/>
      <c r="S2665" s="5" t="s">
        <v>44</v>
      </c>
      <c r="T2665" s="8">
        <v>2555</v>
      </c>
      <c r="U2665" s="8">
        <v>5</v>
      </c>
      <c r="V2665" s="5" t="s">
        <v>23</v>
      </c>
      <c r="W2665" s="12">
        <v>32255828</v>
      </c>
      <c r="X2665" s="6"/>
      <c r="Y2665" s="6"/>
    </row>
    <row r="2666" spans="1:25" ht="15" customHeight="1" x14ac:dyDescent="0.2">
      <c r="A2666" s="88" t="s">
        <v>3105</v>
      </c>
      <c r="B2666" s="90"/>
      <c r="C2666" s="88" t="s">
        <v>3178</v>
      </c>
      <c r="D2666" s="90"/>
      <c r="E2666" s="88" t="s">
        <v>3180</v>
      </c>
      <c r="F2666" s="89"/>
      <c r="G2666" s="89"/>
      <c r="H2666" s="89"/>
      <c r="I2666" s="90"/>
      <c r="J2666" s="88" t="s">
        <v>770</v>
      </c>
      <c r="K2666" s="89"/>
      <c r="L2666" s="89"/>
      <c r="M2666" s="90"/>
      <c r="N2666" s="88" t="s">
        <v>701</v>
      </c>
      <c r="O2666" s="89"/>
      <c r="P2666" s="90"/>
      <c r="Q2666" s="133">
        <v>3456</v>
      </c>
      <c r="R2666" s="134"/>
      <c r="S2666" s="5" t="s">
        <v>44</v>
      </c>
      <c r="T2666" s="8">
        <v>2675</v>
      </c>
      <c r="U2666" s="8">
        <v>5</v>
      </c>
      <c r="V2666" s="5" t="s">
        <v>23</v>
      </c>
      <c r="W2666" s="12">
        <v>33934640</v>
      </c>
      <c r="X2666" s="6"/>
      <c r="Y2666" s="6"/>
    </row>
    <row r="2667" spans="1:25" ht="15" customHeight="1" x14ac:dyDescent="0.2">
      <c r="A2667" s="88" t="s">
        <v>3105</v>
      </c>
      <c r="B2667" s="90"/>
      <c r="C2667" s="88" t="s">
        <v>3181</v>
      </c>
      <c r="D2667" s="90"/>
      <c r="E2667" s="88" t="s">
        <v>3182</v>
      </c>
      <c r="F2667" s="89"/>
      <c r="G2667" s="89"/>
      <c r="H2667" s="89"/>
      <c r="I2667" s="90"/>
      <c r="J2667" s="88" t="s">
        <v>770</v>
      </c>
      <c r="K2667" s="89"/>
      <c r="L2667" s="89"/>
      <c r="M2667" s="90"/>
      <c r="N2667" s="88" t="s">
        <v>22</v>
      </c>
      <c r="O2667" s="89"/>
      <c r="P2667" s="90"/>
      <c r="Q2667" s="133">
        <v>3456</v>
      </c>
      <c r="R2667" s="134"/>
      <c r="S2667" s="5" t="s">
        <v>44</v>
      </c>
      <c r="T2667" s="8">
        <v>2505</v>
      </c>
      <c r="U2667" s="8">
        <v>5</v>
      </c>
      <c r="V2667" s="5" t="s">
        <v>23</v>
      </c>
      <c r="W2667" s="12">
        <v>25729210</v>
      </c>
      <c r="X2667" s="6"/>
      <c r="Y2667" s="6"/>
    </row>
    <row r="2668" spans="1:25" ht="15" customHeight="1" x14ac:dyDescent="0.2">
      <c r="A2668" s="88" t="s">
        <v>3105</v>
      </c>
      <c r="B2668" s="90"/>
      <c r="C2668" s="88" t="s">
        <v>3181</v>
      </c>
      <c r="D2668" s="90"/>
      <c r="E2668" s="88" t="s">
        <v>3182</v>
      </c>
      <c r="F2668" s="89"/>
      <c r="G2668" s="89"/>
      <c r="H2668" s="89"/>
      <c r="I2668" s="90"/>
      <c r="J2668" s="88" t="s">
        <v>770</v>
      </c>
      <c r="K2668" s="89"/>
      <c r="L2668" s="89"/>
      <c r="M2668" s="90"/>
      <c r="N2668" s="88" t="s">
        <v>26</v>
      </c>
      <c r="O2668" s="89"/>
      <c r="P2668" s="90"/>
      <c r="Q2668" s="133">
        <v>3456</v>
      </c>
      <c r="R2668" s="134"/>
      <c r="S2668" s="5" t="s">
        <v>44</v>
      </c>
      <c r="T2668" s="8">
        <v>2505</v>
      </c>
      <c r="U2668" s="8">
        <v>5</v>
      </c>
      <c r="V2668" s="5" t="s">
        <v>23</v>
      </c>
      <c r="W2668" s="12">
        <v>25729210</v>
      </c>
      <c r="X2668" s="6"/>
      <c r="Y2668" s="6"/>
    </row>
    <row r="2669" spans="1:25" ht="15" customHeight="1" x14ac:dyDescent="0.2">
      <c r="A2669" s="88" t="s">
        <v>3105</v>
      </c>
      <c r="B2669" s="90"/>
      <c r="C2669" s="88" t="s">
        <v>3183</v>
      </c>
      <c r="D2669" s="90"/>
      <c r="E2669" s="88" t="s">
        <v>3184</v>
      </c>
      <c r="F2669" s="89"/>
      <c r="G2669" s="89"/>
      <c r="H2669" s="89"/>
      <c r="I2669" s="90"/>
      <c r="J2669" s="88" t="s">
        <v>770</v>
      </c>
      <c r="K2669" s="89"/>
      <c r="L2669" s="89"/>
      <c r="M2669" s="90"/>
      <c r="N2669" s="88" t="s">
        <v>22</v>
      </c>
      <c r="O2669" s="89"/>
      <c r="P2669" s="90"/>
      <c r="Q2669" s="133">
        <v>3456</v>
      </c>
      <c r="R2669" s="134"/>
      <c r="S2669" s="5" t="s">
        <v>44</v>
      </c>
      <c r="T2669" s="8">
        <v>2475</v>
      </c>
      <c r="U2669" s="8">
        <v>5</v>
      </c>
      <c r="V2669" s="5" t="s">
        <v>23</v>
      </c>
      <c r="W2669" s="12">
        <v>26803088</v>
      </c>
      <c r="X2669" s="6"/>
      <c r="Y2669" s="6"/>
    </row>
    <row r="2670" spans="1:25" ht="15" customHeight="1" x14ac:dyDescent="0.2">
      <c r="A2670" s="88" t="s">
        <v>3105</v>
      </c>
      <c r="B2670" s="90"/>
      <c r="C2670" s="88" t="s">
        <v>3183</v>
      </c>
      <c r="D2670" s="90"/>
      <c r="E2670" s="88" t="s">
        <v>3184</v>
      </c>
      <c r="F2670" s="89"/>
      <c r="G2670" s="89"/>
      <c r="H2670" s="89"/>
      <c r="I2670" s="90"/>
      <c r="J2670" s="88" t="s">
        <v>770</v>
      </c>
      <c r="K2670" s="89"/>
      <c r="L2670" s="89"/>
      <c r="M2670" s="90"/>
      <c r="N2670" s="88" t="s">
        <v>26</v>
      </c>
      <c r="O2670" s="89"/>
      <c r="P2670" s="90"/>
      <c r="Q2670" s="133">
        <v>3444</v>
      </c>
      <c r="R2670" s="134"/>
      <c r="S2670" s="5" t="s">
        <v>44</v>
      </c>
      <c r="T2670" s="8">
        <v>2465</v>
      </c>
      <c r="U2670" s="8">
        <v>5</v>
      </c>
      <c r="V2670" s="5" t="s">
        <v>23</v>
      </c>
      <c r="W2670" s="12">
        <v>23390191</v>
      </c>
      <c r="X2670" s="6"/>
      <c r="Y2670" s="6"/>
    </row>
    <row r="2671" spans="1:25" ht="15" customHeight="1" x14ac:dyDescent="0.2">
      <c r="A2671" s="88" t="s">
        <v>3105</v>
      </c>
      <c r="B2671" s="90"/>
      <c r="C2671" s="88" t="s">
        <v>3183</v>
      </c>
      <c r="D2671" s="90"/>
      <c r="E2671" s="88" t="s">
        <v>3185</v>
      </c>
      <c r="F2671" s="89"/>
      <c r="G2671" s="89"/>
      <c r="H2671" s="89"/>
      <c r="I2671" s="90"/>
      <c r="J2671" s="88" t="s">
        <v>770</v>
      </c>
      <c r="K2671" s="89"/>
      <c r="L2671" s="89"/>
      <c r="M2671" s="90"/>
      <c r="N2671" s="88" t="s">
        <v>26</v>
      </c>
      <c r="O2671" s="89"/>
      <c r="P2671" s="90"/>
      <c r="Q2671" s="133">
        <v>3456</v>
      </c>
      <c r="R2671" s="134"/>
      <c r="S2671" s="5" t="s">
        <v>44</v>
      </c>
      <c r="T2671" s="8">
        <v>2495</v>
      </c>
      <c r="U2671" s="8">
        <v>5</v>
      </c>
      <c r="V2671" s="5" t="s">
        <v>23</v>
      </c>
      <c r="W2671" s="12">
        <v>23964694</v>
      </c>
      <c r="X2671" s="6"/>
      <c r="Y2671" s="6"/>
    </row>
    <row r="2672" spans="1:25" ht="15" customHeight="1" x14ac:dyDescent="0.2">
      <c r="A2672" s="88" t="s">
        <v>3105</v>
      </c>
      <c r="B2672" s="90"/>
      <c r="C2672" s="88" t="s">
        <v>3186</v>
      </c>
      <c r="D2672" s="90"/>
      <c r="E2672" s="88" t="s">
        <v>3187</v>
      </c>
      <c r="F2672" s="89"/>
      <c r="G2672" s="89"/>
      <c r="H2672" s="89"/>
      <c r="I2672" s="90"/>
      <c r="J2672" s="88" t="s">
        <v>770</v>
      </c>
      <c r="K2672" s="89"/>
      <c r="L2672" s="89"/>
      <c r="M2672" s="90"/>
      <c r="N2672" s="88" t="s">
        <v>22</v>
      </c>
      <c r="O2672" s="89"/>
      <c r="P2672" s="90"/>
      <c r="Q2672" s="133">
        <v>3456</v>
      </c>
      <c r="R2672" s="134"/>
      <c r="S2672" s="5" t="s">
        <v>44</v>
      </c>
      <c r="T2672" s="8">
        <v>2545</v>
      </c>
      <c r="U2672" s="8">
        <v>5</v>
      </c>
      <c r="V2672" s="5" t="s">
        <v>23</v>
      </c>
      <c r="W2672" s="12">
        <v>28766162</v>
      </c>
      <c r="X2672" s="6"/>
      <c r="Y2672" s="6"/>
    </row>
    <row r="2673" spans="1:25" ht="15" customHeight="1" x14ac:dyDescent="0.2">
      <c r="A2673" s="88" t="s">
        <v>3105</v>
      </c>
      <c r="B2673" s="90"/>
      <c r="C2673" s="88" t="s">
        <v>3186</v>
      </c>
      <c r="D2673" s="90"/>
      <c r="E2673" s="88" t="s">
        <v>3187</v>
      </c>
      <c r="F2673" s="89"/>
      <c r="G2673" s="89"/>
      <c r="H2673" s="89"/>
      <c r="I2673" s="90"/>
      <c r="J2673" s="88" t="s">
        <v>770</v>
      </c>
      <c r="K2673" s="89"/>
      <c r="L2673" s="89"/>
      <c r="M2673" s="90"/>
      <c r="N2673" s="88" t="s">
        <v>26</v>
      </c>
      <c r="O2673" s="89"/>
      <c r="P2673" s="90"/>
      <c r="Q2673" s="133">
        <v>3456</v>
      </c>
      <c r="R2673" s="134"/>
      <c r="S2673" s="5" t="s">
        <v>44</v>
      </c>
      <c r="T2673" s="8">
        <v>2575</v>
      </c>
      <c r="U2673" s="8">
        <v>5</v>
      </c>
      <c r="V2673" s="5" t="s">
        <v>23</v>
      </c>
      <c r="W2673" s="12">
        <v>25509712</v>
      </c>
      <c r="X2673" s="6"/>
      <c r="Y2673" s="6"/>
    </row>
    <row r="2674" spans="1:25" ht="15" customHeight="1" x14ac:dyDescent="0.2">
      <c r="A2674" s="88" t="s">
        <v>3105</v>
      </c>
      <c r="B2674" s="90"/>
      <c r="C2674" s="88" t="s">
        <v>3186</v>
      </c>
      <c r="D2674" s="90"/>
      <c r="E2674" s="88" t="s">
        <v>3188</v>
      </c>
      <c r="F2674" s="89"/>
      <c r="G2674" s="89"/>
      <c r="H2674" s="89"/>
      <c r="I2674" s="90"/>
      <c r="J2674" s="88" t="s">
        <v>770</v>
      </c>
      <c r="K2674" s="89"/>
      <c r="L2674" s="89"/>
      <c r="M2674" s="90"/>
      <c r="N2674" s="88" t="s">
        <v>26</v>
      </c>
      <c r="O2674" s="89"/>
      <c r="P2674" s="90"/>
      <c r="Q2674" s="133">
        <v>3456</v>
      </c>
      <c r="R2674" s="134"/>
      <c r="S2674" s="5" t="s">
        <v>44</v>
      </c>
      <c r="T2674" s="8">
        <v>2575</v>
      </c>
      <c r="U2674" s="8">
        <v>5</v>
      </c>
      <c r="V2674" s="5" t="s">
        <v>23</v>
      </c>
      <c r="W2674" s="12">
        <v>25500060</v>
      </c>
      <c r="X2674" s="6"/>
      <c r="Y2674" s="6"/>
    </row>
    <row r="2675" spans="1:25" ht="15" customHeight="1" x14ac:dyDescent="0.2">
      <c r="A2675" s="88" t="s">
        <v>3105</v>
      </c>
      <c r="B2675" s="90"/>
      <c r="C2675" s="88" t="s">
        <v>3189</v>
      </c>
      <c r="D2675" s="90"/>
      <c r="E2675" s="88" t="s">
        <v>3190</v>
      </c>
      <c r="F2675" s="89"/>
      <c r="G2675" s="89"/>
      <c r="H2675" s="89"/>
      <c r="I2675" s="90"/>
      <c r="J2675" s="88" t="s">
        <v>2319</v>
      </c>
      <c r="K2675" s="89"/>
      <c r="L2675" s="89"/>
      <c r="M2675" s="90"/>
      <c r="N2675" s="88" t="s">
        <v>22</v>
      </c>
      <c r="O2675" s="89"/>
      <c r="P2675" s="90"/>
      <c r="Q2675" s="133">
        <v>5662</v>
      </c>
      <c r="R2675" s="134"/>
      <c r="S2675" s="5" t="s">
        <v>16</v>
      </c>
      <c r="T2675" s="8">
        <v>3170</v>
      </c>
      <c r="U2675" s="8">
        <v>8</v>
      </c>
      <c r="V2675" s="5" t="s">
        <v>23</v>
      </c>
      <c r="W2675" s="12">
        <v>19474360</v>
      </c>
      <c r="X2675" s="6"/>
      <c r="Y2675" s="6"/>
    </row>
    <row r="2676" spans="1:25" ht="15" customHeight="1" x14ac:dyDescent="0.2">
      <c r="A2676" s="88" t="s">
        <v>3105</v>
      </c>
      <c r="B2676" s="90"/>
      <c r="C2676" s="88" t="s">
        <v>3189</v>
      </c>
      <c r="D2676" s="90"/>
      <c r="E2676" s="88" t="s">
        <v>3191</v>
      </c>
      <c r="F2676" s="89"/>
      <c r="G2676" s="89"/>
      <c r="H2676" s="89"/>
      <c r="I2676" s="90"/>
      <c r="J2676" s="88" t="s">
        <v>2319</v>
      </c>
      <c r="K2676" s="89"/>
      <c r="L2676" s="89"/>
      <c r="M2676" s="90"/>
      <c r="N2676" s="88" t="s">
        <v>26</v>
      </c>
      <c r="O2676" s="89"/>
      <c r="P2676" s="90"/>
      <c r="Q2676" s="133">
        <v>5662</v>
      </c>
      <c r="R2676" s="134"/>
      <c r="S2676" s="5" t="s">
        <v>16</v>
      </c>
      <c r="T2676" s="8">
        <v>3170</v>
      </c>
      <c r="U2676" s="8">
        <v>8</v>
      </c>
      <c r="V2676" s="5" t="s">
        <v>23</v>
      </c>
      <c r="W2676" s="12">
        <v>19474360</v>
      </c>
      <c r="X2676" s="6"/>
      <c r="Y2676" s="6"/>
    </row>
    <row r="2677" spans="1:25" ht="15" customHeight="1" x14ac:dyDescent="0.2">
      <c r="A2677" s="88" t="s">
        <v>3105</v>
      </c>
      <c r="B2677" s="90"/>
      <c r="C2677" s="88" t="s">
        <v>3192</v>
      </c>
      <c r="D2677" s="90"/>
      <c r="E2677" s="88" t="s">
        <v>3193</v>
      </c>
      <c r="F2677" s="89"/>
      <c r="G2677" s="89"/>
      <c r="H2677" s="89"/>
      <c r="I2677" s="90"/>
      <c r="J2677" s="88" t="s">
        <v>3137</v>
      </c>
      <c r="K2677" s="89"/>
      <c r="L2677" s="89"/>
      <c r="M2677" s="90"/>
      <c r="N2677" s="88" t="s">
        <v>22</v>
      </c>
      <c r="O2677" s="89"/>
      <c r="P2677" s="90"/>
      <c r="Q2677" s="133">
        <v>3444</v>
      </c>
      <c r="R2677" s="134"/>
      <c r="S2677" s="5" t="s">
        <v>16</v>
      </c>
      <c r="T2677" s="8">
        <v>2975</v>
      </c>
      <c r="U2677" s="8">
        <v>7</v>
      </c>
      <c r="V2677" s="5" t="s">
        <v>23</v>
      </c>
      <c r="W2677" s="12">
        <v>23578822</v>
      </c>
      <c r="X2677" s="6"/>
      <c r="Y2677" s="6"/>
    </row>
    <row r="2678" spans="1:25" ht="15" customHeight="1" x14ac:dyDescent="0.2">
      <c r="A2678" s="88" t="s">
        <v>3105</v>
      </c>
      <c r="B2678" s="90"/>
      <c r="C2678" s="88" t="s">
        <v>3192</v>
      </c>
      <c r="D2678" s="90"/>
      <c r="E2678" s="88" t="s">
        <v>3194</v>
      </c>
      <c r="F2678" s="89"/>
      <c r="G2678" s="89"/>
      <c r="H2678" s="89"/>
      <c r="I2678" s="90"/>
      <c r="J2678" s="88" t="s">
        <v>3137</v>
      </c>
      <c r="K2678" s="89"/>
      <c r="L2678" s="89"/>
      <c r="M2678" s="90"/>
      <c r="N2678" s="88" t="s">
        <v>701</v>
      </c>
      <c r="O2678" s="89"/>
      <c r="P2678" s="90"/>
      <c r="Q2678" s="133">
        <v>3444</v>
      </c>
      <c r="R2678" s="134"/>
      <c r="S2678" s="5" t="s">
        <v>16</v>
      </c>
      <c r="T2678" s="8">
        <v>2975</v>
      </c>
      <c r="U2678" s="8">
        <v>7</v>
      </c>
      <c r="V2678" s="5" t="s">
        <v>23</v>
      </c>
      <c r="W2678" s="12">
        <v>23578822</v>
      </c>
      <c r="X2678" s="6"/>
      <c r="Y2678" s="6"/>
    </row>
    <row r="2679" spans="1:25" ht="15" customHeight="1" x14ac:dyDescent="0.2">
      <c r="A2679" s="88" t="s">
        <v>3105</v>
      </c>
      <c r="B2679" s="90"/>
      <c r="C2679" s="88" t="s">
        <v>3195</v>
      </c>
      <c r="D2679" s="90"/>
      <c r="E2679" s="88" t="s">
        <v>3196</v>
      </c>
      <c r="F2679" s="89"/>
      <c r="G2679" s="89"/>
      <c r="H2679" s="89"/>
      <c r="I2679" s="90"/>
      <c r="J2679" s="88" t="s">
        <v>2319</v>
      </c>
      <c r="K2679" s="89"/>
      <c r="L2679" s="89"/>
      <c r="M2679" s="90"/>
      <c r="N2679" s="88" t="s">
        <v>22</v>
      </c>
      <c r="O2679" s="89"/>
      <c r="P2679" s="90"/>
      <c r="Q2679" s="133">
        <v>2487</v>
      </c>
      <c r="R2679" s="134"/>
      <c r="S2679" s="5" t="s">
        <v>16</v>
      </c>
      <c r="T2679" s="8">
        <v>1895</v>
      </c>
      <c r="U2679" s="8">
        <v>5</v>
      </c>
      <c r="V2679" s="5" t="s">
        <v>23</v>
      </c>
      <c r="W2679" s="12">
        <v>7946936</v>
      </c>
      <c r="X2679" s="6"/>
      <c r="Y2679" s="6"/>
    </row>
    <row r="2680" spans="1:25" ht="15" customHeight="1" x14ac:dyDescent="0.2">
      <c r="A2680" s="88" t="s">
        <v>3105</v>
      </c>
      <c r="B2680" s="90"/>
      <c r="C2680" s="88" t="s">
        <v>3195</v>
      </c>
      <c r="D2680" s="90"/>
      <c r="E2680" s="88" t="s">
        <v>3196</v>
      </c>
      <c r="F2680" s="89"/>
      <c r="G2680" s="89"/>
      <c r="H2680" s="89"/>
      <c r="I2680" s="90"/>
      <c r="J2680" s="88" t="s">
        <v>2319</v>
      </c>
      <c r="K2680" s="89"/>
      <c r="L2680" s="89"/>
      <c r="M2680" s="90"/>
      <c r="N2680" s="88" t="s">
        <v>26</v>
      </c>
      <c r="O2680" s="89"/>
      <c r="P2680" s="90"/>
      <c r="Q2680" s="133">
        <v>2487</v>
      </c>
      <c r="R2680" s="134"/>
      <c r="S2680" s="5" t="s">
        <v>16</v>
      </c>
      <c r="T2680" s="8">
        <v>1895</v>
      </c>
      <c r="U2680" s="8">
        <v>5</v>
      </c>
      <c r="V2680" s="5" t="s">
        <v>23</v>
      </c>
      <c r="W2680" s="12">
        <v>7946936</v>
      </c>
      <c r="X2680" s="6"/>
      <c r="Y2680" s="6"/>
    </row>
    <row r="2681" spans="1:25" ht="15" customHeight="1" x14ac:dyDescent="0.2">
      <c r="A2681" s="88" t="s">
        <v>3105</v>
      </c>
      <c r="B2681" s="90"/>
      <c r="C2681" s="88" t="s">
        <v>3197</v>
      </c>
      <c r="D2681" s="90"/>
      <c r="E2681" s="88" t="s">
        <v>3198</v>
      </c>
      <c r="F2681" s="89"/>
      <c r="G2681" s="89"/>
      <c r="H2681" s="89"/>
      <c r="I2681" s="90"/>
      <c r="J2681" s="88" t="s">
        <v>2179</v>
      </c>
      <c r="K2681" s="89"/>
      <c r="L2681" s="89"/>
      <c r="M2681" s="90"/>
      <c r="N2681" s="88" t="s">
        <v>26</v>
      </c>
      <c r="O2681" s="89"/>
      <c r="P2681" s="90"/>
      <c r="Q2681" s="133">
        <v>1998</v>
      </c>
      <c r="R2681" s="134"/>
      <c r="S2681" s="5" t="s">
        <v>16</v>
      </c>
      <c r="T2681" s="8">
        <v>1985</v>
      </c>
      <c r="U2681" s="8">
        <v>5</v>
      </c>
      <c r="V2681" s="5" t="s">
        <v>23</v>
      </c>
      <c r="W2681" s="12">
        <v>7156213</v>
      </c>
      <c r="X2681" s="6"/>
      <c r="Y2681" s="6"/>
    </row>
    <row r="2682" spans="1:25" ht="15" customHeight="1" x14ac:dyDescent="0.2">
      <c r="A2682" s="88" t="s">
        <v>3105</v>
      </c>
      <c r="B2682" s="90"/>
      <c r="C2682" s="88" t="s">
        <v>3197</v>
      </c>
      <c r="D2682" s="90"/>
      <c r="E2682" s="88" t="s">
        <v>3199</v>
      </c>
      <c r="F2682" s="89"/>
      <c r="G2682" s="89"/>
      <c r="H2682" s="89"/>
      <c r="I2682" s="90"/>
      <c r="J2682" s="88" t="s">
        <v>2179</v>
      </c>
      <c r="K2682" s="89"/>
      <c r="L2682" s="89"/>
      <c r="M2682" s="90"/>
      <c r="N2682" s="88" t="s">
        <v>26</v>
      </c>
      <c r="O2682" s="89"/>
      <c r="P2682" s="90"/>
      <c r="Q2682" s="133">
        <v>1998</v>
      </c>
      <c r="R2682" s="134"/>
      <c r="S2682" s="5" t="s">
        <v>16</v>
      </c>
      <c r="T2682" s="8">
        <v>1985</v>
      </c>
      <c r="U2682" s="8">
        <v>5</v>
      </c>
      <c r="V2682" s="5" t="s">
        <v>23</v>
      </c>
      <c r="W2682" s="12">
        <v>7218136</v>
      </c>
      <c r="X2682" s="6"/>
      <c r="Y2682" s="6"/>
    </row>
    <row r="2683" spans="1:25" ht="15" customHeight="1" x14ac:dyDescent="0.2">
      <c r="A2683" s="88" t="s">
        <v>3105</v>
      </c>
      <c r="B2683" s="90"/>
      <c r="C2683" s="88" t="s">
        <v>3200</v>
      </c>
      <c r="D2683" s="90"/>
      <c r="E2683" s="88" t="s">
        <v>3198</v>
      </c>
      <c r="F2683" s="89"/>
      <c r="G2683" s="89"/>
      <c r="H2683" s="89"/>
      <c r="I2683" s="90"/>
      <c r="J2683" s="88" t="s">
        <v>2179</v>
      </c>
      <c r="K2683" s="89"/>
      <c r="L2683" s="89"/>
      <c r="M2683" s="90"/>
      <c r="N2683" s="88" t="s">
        <v>26</v>
      </c>
      <c r="O2683" s="89"/>
      <c r="P2683" s="90"/>
      <c r="Q2683" s="133">
        <v>1998</v>
      </c>
      <c r="R2683" s="134"/>
      <c r="S2683" s="5" t="s">
        <v>16</v>
      </c>
      <c r="T2683" s="8">
        <v>1985</v>
      </c>
      <c r="U2683" s="8">
        <v>5</v>
      </c>
      <c r="V2683" s="5" t="s">
        <v>23</v>
      </c>
      <c r="W2683" s="12">
        <v>6848143</v>
      </c>
      <c r="X2683" s="6"/>
      <c r="Y2683" s="6"/>
    </row>
    <row r="2684" spans="1:25" ht="15" customHeight="1" x14ac:dyDescent="0.2">
      <c r="A2684" s="88" t="s">
        <v>3105</v>
      </c>
      <c r="B2684" s="90"/>
      <c r="C2684" s="88" t="s">
        <v>3201</v>
      </c>
      <c r="D2684" s="90"/>
      <c r="E2684" s="88" t="s">
        <v>3202</v>
      </c>
      <c r="F2684" s="89"/>
      <c r="G2684" s="89"/>
      <c r="H2684" s="89"/>
      <c r="I2684" s="90"/>
      <c r="J2684" s="88" t="s">
        <v>770</v>
      </c>
      <c r="K2684" s="89"/>
      <c r="L2684" s="89"/>
      <c r="M2684" s="90"/>
      <c r="N2684" s="88" t="s">
        <v>26</v>
      </c>
      <c r="O2684" s="89"/>
      <c r="P2684" s="90"/>
      <c r="Q2684" s="133">
        <v>2493</v>
      </c>
      <c r="R2684" s="134"/>
      <c r="S2684" s="5" t="s">
        <v>16</v>
      </c>
      <c r="T2684" s="8">
        <v>2065</v>
      </c>
      <c r="U2684" s="8">
        <v>4</v>
      </c>
      <c r="V2684" s="5" t="s">
        <v>23</v>
      </c>
      <c r="W2684" s="12">
        <v>9307680</v>
      </c>
      <c r="X2684" s="6"/>
      <c r="Y2684" s="6"/>
    </row>
    <row r="2685" spans="1:25" ht="15" customHeight="1" x14ac:dyDescent="0.2">
      <c r="A2685" s="88" t="s">
        <v>3105</v>
      </c>
      <c r="B2685" s="90"/>
      <c r="C2685" s="88" t="s">
        <v>3201</v>
      </c>
      <c r="D2685" s="90"/>
      <c r="E2685" s="88" t="s">
        <v>3203</v>
      </c>
      <c r="F2685" s="89"/>
      <c r="G2685" s="89"/>
      <c r="H2685" s="89"/>
      <c r="I2685" s="90"/>
      <c r="J2685" s="88" t="s">
        <v>770</v>
      </c>
      <c r="K2685" s="89"/>
      <c r="L2685" s="89"/>
      <c r="M2685" s="90"/>
      <c r="N2685" s="88" t="s">
        <v>26</v>
      </c>
      <c r="O2685" s="89"/>
      <c r="P2685" s="90"/>
      <c r="Q2685" s="133">
        <v>2493</v>
      </c>
      <c r="R2685" s="134"/>
      <c r="S2685" s="5" t="s">
        <v>16</v>
      </c>
      <c r="T2685" s="8">
        <v>2065</v>
      </c>
      <c r="U2685" s="8">
        <v>5</v>
      </c>
      <c r="V2685" s="5" t="s">
        <v>23</v>
      </c>
      <c r="W2685" s="12">
        <v>8866413</v>
      </c>
      <c r="X2685" s="6"/>
      <c r="Y2685" s="6"/>
    </row>
    <row r="2686" spans="1:25" ht="15" customHeight="1" x14ac:dyDescent="0.2">
      <c r="A2686" s="88" t="s">
        <v>3105</v>
      </c>
      <c r="B2686" s="90"/>
      <c r="C2686" s="88" t="s">
        <v>3201</v>
      </c>
      <c r="D2686" s="90"/>
      <c r="E2686" s="88" t="s">
        <v>3203</v>
      </c>
      <c r="F2686" s="89"/>
      <c r="G2686" s="89"/>
      <c r="H2686" s="89"/>
      <c r="I2686" s="90"/>
      <c r="J2686" s="88" t="s">
        <v>770</v>
      </c>
      <c r="K2686" s="89"/>
      <c r="L2686" s="89"/>
      <c r="M2686" s="90"/>
      <c r="N2686" s="88" t="s">
        <v>26</v>
      </c>
      <c r="O2686" s="89"/>
      <c r="P2686" s="90"/>
      <c r="Q2686" s="133">
        <v>2493</v>
      </c>
      <c r="R2686" s="134"/>
      <c r="S2686" s="5" t="s">
        <v>16</v>
      </c>
      <c r="T2686" s="8">
        <v>2065</v>
      </c>
      <c r="U2686" s="8">
        <v>5</v>
      </c>
      <c r="V2686" s="5" t="s">
        <v>23</v>
      </c>
      <c r="W2686" s="12">
        <v>9245755</v>
      </c>
      <c r="X2686" s="6"/>
      <c r="Y2686" s="6"/>
    </row>
    <row r="2687" spans="1:25" ht="15" customHeight="1" x14ac:dyDescent="0.2">
      <c r="A2687" s="88" t="s">
        <v>3105</v>
      </c>
      <c r="B2687" s="90"/>
      <c r="C2687" s="88" t="s">
        <v>3204</v>
      </c>
      <c r="D2687" s="90"/>
      <c r="E2687" s="88" t="s">
        <v>3205</v>
      </c>
      <c r="F2687" s="89"/>
      <c r="G2687" s="89"/>
      <c r="H2687" s="89"/>
      <c r="I2687" s="90"/>
      <c r="J2687" s="88" t="s">
        <v>2319</v>
      </c>
      <c r="K2687" s="89"/>
      <c r="L2687" s="89"/>
      <c r="M2687" s="90"/>
      <c r="N2687" s="88" t="s">
        <v>22</v>
      </c>
      <c r="O2687" s="89"/>
      <c r="P2687" s="90"/>
      <c r="Q2687" s="133">
        <v>2393</v>
      </c>
      <c r="R2687" s="134"/>
      <c r="S2687" s="5" t="s">
        <v>16</v>
      </c>
      <c r="T2687" s="8">
        <v>2055</v>
      </c>
      <c r="U2687" s="8">
        <v>5</v>
      </c>
      <c r="V2687" s="5" t="s">
        <v>23</v>
      </c>
      <c r="W2687" s="12">
        <v>10629682</v>
      </c>
      <c r="X2687" s="6"/>
      <c r="Y2687" s="6"/>
    </row>
    <row r="2688" spans="1:25" ht="15" customHeight="1" x14ac:dyDescent="0.2">
      <c r="A2688" s="88" t="s">
        <v>3105</v>
      </c>
      <c r="B2688" s="90"/>
      <c r="C2688" s="88" t="s">
        <v>3204</v>
      </c>
      <c r="D2688" s="90"/>
      <c r="E2688" s="88" t="s">
        <v>3205</v>
      </c>
      <c r="F2688" s="89"/>
      <c r="G2688" s="89"/>
      <c r="H2688" s="89"/>
      <c r="I2688" s="90"/>
      <c r="J2688" s="88" t="s">
        <v>2319</v>
      </c>
      <c r="K2688" s="89"/>
      <c r="L2688" s="89"/>
      <c r="M2688" s="90"/>
      <c r="N2688" s="88" t="s">
        <v>701</v>
      </c>
      <c r="O2688" s="89"/>
      <c r="P2688" s="90"/>
      <c r="Q2688" s="133">
        <v>2393</v>
      </c>
      <c r="R2688" s="134"/>
      <c r="S2688" s="5" t="s">
        <v>16</v>
      </c>
      <c r="T2688" s="8">
        <v>2055</v>
      </c>
      <c r="U2688" s="8">
        <v>5</v>
      </c>
      <c r="V2688" s="5" t="s">
        <v>23</v>
      </c>
      <c r="W2688" s="12">
        <v>10462010</v>
      </c>
      <c r="X2688" s="6"/>
      <c r="Y2688" s="6"/>
    </row>
    <row r="2689" spans="1:25" ht="15" customHeight="1" x14ac:dyDescent="0.2">
      <c r="A2689" s="88" t="s">
        <v>3105</v>
      </c>
      <c r="B2689" s="90"/>
      <c r="C2689" s="88" t="s">
        <v>3206</v>
      </c>
      <c r="D2689" s="90"/>
      <c r="E2689" s="88" t="s">
        <v>3207</v>
      </c>
      <c r="F2689" s="89"/>
      <c r="G2689" s="89"/>
      <c r="H2689" s="89"/>
      <c r="I2689" s="90"/>
      <c r="J2689" s="88" t="s">
        <v>770</v>
      </c>
      <c r="K2689" s="89"/>
      <c r="L2689" s="89"/>
      <c r="M2689" s="90"/>
      <c r="N2689" s="88" t="s">
        <v>22</v>
      </c>
      <c r="O2689" s="89"/>
      <c r="P2689" s="90"/>
      <c r="Q2689" s="133">
        <v>2487</v>
      </c>
      <c r="R2689" s="134"/>
      <c r="S2689" s="5" t="s">
        <v>16</v>
      </c>
      <c r="T2689" s="8">
        <v>2035</v>
      </c>
      <c r="U2689" s="8">
        <v>5</v>
      </c>
      <c r="V2689" s="5" t="s">
        <v>23</v>
      </c>
      <c r="W2689" s="12">
        <v>10786874</v>
      </c>
      <c r="X2689" s="6"/>
      <c r="Y2689" s="6"/>
    </row>
    <row r="2690" spans="1:25" ht="15" customHeight="1" x14ac:dyDescent="0.2">
      <c r="A2690" s="88" t="s">
        <v>3105</v>
      </c>
      <c r="B2690" s="90"/>
      <c r="C2690" s="88" t="s">
        <v>3206</v>
      </c>
      <c r="D2690" s="90"/>
      <c r="E2690" s="88" t="s">
        <v>3207</v>
      </c>
      <c r="F2690" s="89"/>
      <c r="G2690" s="89"/>
      <c r="H2690" s="89"/>
      <c r="I2690" s="90"/>
      <c r="J2690" s="88" t="s">
        <v>770</v>
      </c>
      <c r="K2690" s="89"/>
      <c r="L2690" s="89"/>
      <c r="M2690" s="90"/>
      <c r="N2690" s="88" t="s">
        <v>26</v>
      </c>
      <c r="O2690" s="89"/>
      <c r="P2690" s="90"/>
      <c r="Q2690" s="133">
        <v>2487</v>
      </c>
      <c r="R2690" s="134"/>
      <c r="S2690" s="5" t="s">
        <v>16</v>
      </c>
      <c r="T2690" s="8">
        <v>2035</v>
      </c>
      <c r="U2690" s="8">
        <v>5</v>
      </c>
      <c r="V2690" s="5" t="s">
        <v>23</v>
      </c>
      <c r="W2690" s="12">
        <v>10619203</v>
      </c>
      <c r="X2690" s="6"/>
      <c r="Y2690" s="6"/>
    </row>
    <row r="2691" spans="1:25" ht="15" customHeight="1" x14ac:dyDescent="0.2">
      <c r="A2691" s="88" t="s">
        <v>3105</v>
      </c>
      <c r="B2691" s="90"/>
      <c r="C2691" s="88" t="s">
        <v>3208</v>
      </c>
      <c r="D2691" s="90"/>
      <c r="E2691" s="88" t="s">
        <v>3209</v>
      </c>
      <c r="F2691" s="89"/>
      <c r="G2691" s="89"/>
      <c r="H2691" s="89"/>
      <c r="I2691" s="90"/>
      <c r="J2691" s="88" t="s">
        <v>770</v>
      </c>
      <c r="K2691" s="89"/>
      <c r="L2691" s="89"/>
      <c r="M2691" s="90"/>
      <c r="N2691" s="88" t="s">
        <v>22</v>
      </c>
      <c r="O2691" s="89"/>
      <c r="P2691" s="90"/>
      <c r="Q2691" s="133">
        <v>2487</v>
      </c>
      <c r="R2691" s="134"/>
      <c r="S2691" s="5" t="s">
        <v>16</v>
      </c>
      <c r="T2691" s="8">
        <v>2295</v>
      </c>
      <c r="U2691" s="8">
        <v>5</v>
      </c>
      <c r="V2691" s="5" t="s">
        <v>23</v>
      </c>
      <c r="W2691" s="12">
        <v>12741297</v>
      </c>
      <c r="X2691" s="6"/>
      <c r="Y2691" s="6"/>
    </row>
    <row r="2692" spans="1:25" ht="15" customHeight="1" x14ac:dyDescent="0.2">
      <c r="A2692" s="88" t="s">
        <v>3105</v>
      </c>
      <c r="B2692" s="90"/>
      <c r="C2692" s="88" t="s">
        <v>3208</v>
      </c>
      <c r="D2692" s="90"/>
      <c r="E2692" s="88" t="s">
        <v>3209</v>
      </c>
      <c r="F2692" s="89"/>
      <c r="G2692" s="89"/>
      <c r="H2692" s="89"/>
      <c r="I2692" s="90"/>
      <c r="J2692" s="88" t="s">
        <v>770</v>
      </c>
      <c r="K2692" s="89"/>
      <c r="L2692" s="89"/>
      <c r="M2692" s="90"/>
      <c r="N2692" s="88" t="s">
        <v>701</v>
      </c>
      <c r="O2692" s="89"/>
      <c r="P2692" s="90"/>
      <c r="Q2692" s="133">
        <v>2487</v>
      </c>
      <c r="R2692" s="134"/>
      <c r="S2692" s="5" t="s">
        <v>16</v>
      </c>
      <c r="T2692" s="8">
        <v>2285</v>
      </c>
      <c r="U2692" s="8">
        <v>5</v>
      </c>
      <c r="V2692" s="5" t="s">
        <v>23</v>
      </c>
      <c r="W2692" s="12">
        <v>12470577</v>
      </c>
      <c r="X2692" s="6"/>
      <c r="Y2692" s="6"/>
    </row>
    <row r="2693" spans="1:25" ht="15" customHeight="1" x14ac:dyDescent="0.2">
      <c r="A2693" s="88" t="s">
        <v>3105</v>
      </c>
      <c r="B2693" s="90"/>
      <c r="C2693" s="88" t="s">
        <v>3210</v>
      </c>
      <c r="D2693" s="90"/>
      <c r="E2693" s="88" t="s">
        <v>3211</v>
      </c>
      <c r="F2693" s="89"/>
      <c r="G2693" s="89"/>
      <c r="H2693" s="89"/>
      <c r="I2693" s="90"/>
      <c r="J2693" s="88" t="s">
        <v>2319</v>
      </c>
      <c r="K2693" s="89"/>
      <c r="L2693" s="89"/>
      <c r="M2693" s="90"/>
      <c r="N2693" s="88" t="s">
        <v>22</v>
      </c>
      <c r="O2693" s="89"/>
      <c r="P2693" s="90"/>
      <c r="Q2693" s="133">
        <v>4968</v>
      </c>
      <c r="R2693" s="134"/>
      <c r="S2693" s="5" t="s">
        <v>271</v>
      </c>
      <c r="T2693" s="8">
        <v>1990</v>
      </c>
      <c r="U2693" s="8">
        <v>4</v>
      </c>
      <c r="V2693" s="5" t="s">
        <v>23</v>
      </c>
      <c r="W2693" s="12">
        <v>19843936</v>
      </c>
      <c r="X2693" s="6"/>
      <c r="Y2693" s="6"/>
    </row>
    <row r="2694" spans="1:25" ht="15" customHeight="1" x14ac:dyDescent="0.2">
      <c r="A2694" s="88" t="s">
        <v>3105</v>
      </c>
      <c r="B2694" s="90"/>
      <c r="C2694" s="88" t="s">
        <v>3210</v>
      </c>
      <c r="D2694" s="90"/>
      <c r="E2694" s="88" t="s">
        <v>3211</v>
      </c>
      <c r="F2694" s="89"/>
      <c r="G2694" s="89"/>
      <c r="H2694" s="89"/>
      <c r="I2694" s="90"/>
      <c r="J2694" s="88" t="s">
        <v>2319</v>
      </c>
      <c r="K2694" s="89"/>
      <c r="L2694" s="89"/>
      <c r="M2694" s="90"/>
      <c r="N2694" s="88" t="s">
        <v>26</v>
      </c>
      <c r="O2694" s="89"/>
      <c r="P2694" s="90"/>
      <c r="Q2694" s="133">
        <v>4968</v>
      </c>
      <c r="R2694" s="134"/>
      <c r="S2694" s="5" t="s">
        <v>271</v>
      </c>
      <c r="T2694" s="8">
        <v>1990</v>
      </c>
      <c r="U2694" s="8">
        <v>4</v>
      </c>
      <c r="V2694" s="5" t="s">
        <v>23</v>
      </c>
      <c r="W2694" s="12">
        <v>17834162</v>
      </c>
      <c r="X2694" s="6"/>
      <c r="Y2694" s="6"/>
    </row>
    <row r="2695" spans="1:25" ht="15" customHeight="1" x14ac:dyDescent="0.2">
      <c r="A2695" s="88" t="s">
        <v>3105</v>
      </c>
      <c r="B2695" s="90"/>
      <c r="C2695" s="88" t="s">
        <v>3210</v>
      </c>
      <c r="D2695" s="90"/>
      <c r="E2695" s="88" t="s">
        <v>3211</v>
      </c>
      <c r="F2695" s="89"/>
      <c r="G2695" s="89"/>
      <c r="H2695" s="89"/>
      <c r="I2695" s="90"/>
      <c r="J2695" s="88" t="s">
        <v>2319</v>
      </c>
      <c r="K2695" s="89"/>
      <c r="L2695" s="89"/>
      <c r="M2695" s="90"/>
      <c r="N2695" s="88" t="s">
        <v>26</v>
      </c>
      <c r="O2695" s="89"/>
      <c r="P2695" s="90"/>
      <c r="Q2695" s="133">
        <v>4968</v>
      </c>
      <c r="R2695" s="134"/>
      <c r="S2695" s="5" t="s">
        <v>271</v>
      </c>
      <c r="T2695" s="8">
        <v>1990</v>
      </c>
      <c r="U2695" s="8">
        <v>4</v>
      </c>
      <c r="V2695" s="5" t="s">
        <v>23</v>
      </c>
      <c r="W2695" s="12">
        <v>17868459</v>
      </c>
      <c r="X2695" s="6"/>
      <c r="Y2695" s="6"/>
    </row>
    <row r="2696" spans="1:25" ht="15" customHeight="1" x14ac:dyDescent="0.2">
      <c r="A2696" s="88" t="s">
        <v>3105</v>
      </c>
      <c r="B2696" s="90"/>
      <c r="C2696" s="88" t="s">
        <v>3210</v>
      </c>
      <c r="D2696" s="90"/>
      <c r="E2696" s="88" t="s">
        <v>3212</v>
      </c>
      <c r="F2696" s="89"/>
      <c r="G2696" s="89"/>
      <c r="H2696" s="89"/>
      <c r="I2696" s="90"/>
      <c r="J2696" s="88" t="s">
        <v>13</v>
      </c>
      <c r="K2696" s="89"/>
      <c r="L2696" s="89"/>
      <c r="M2696" s="90"/>
      <c r="N2696" s="88" t="s">
        <v>26</v>
      </c>
      <c r="O2696" s="89"/>
      <c r="P2696" s="90"/>
      <c r="Q2696" s="133">
        <v>4968</v>
      </c>
      <c r="R2696" s="134"/>
      <c r="S2696" s="5" t="s">
        <v>271</v>
      </c>
      <c r="T2696" s="8">
        <v>2010</v>
      </c>
      <c r="U2696" s="8">
        <v>4</v>
      </c>
      <c r="V2696" s="5" t="s">
        <v>23</v>
      </c>
      <c r="W2696" s="12">
        <v>16889423</v>
      </c>
      <c r="X2696" s="6"/>
      <c r="Y2696" s="6"/>
    </row>
    <row r="2697" spans="1:25" ht="15" customHeight="1" x14ac:dyDescent="0.2">
      <c r="A2697" s="88" t="s">
        <v>3105</v>
      </c>
      <c r="B2697" s="90"/>
      <c r="C2697" s="88" t="s">
        <v>3213</v>
      </c>
      <c r="D2697" s="90"/>
      <c r="E2697" s="88" t="s">
        <v>3214</v>
      </c>
      <c r="F2697" s="89"/>
      <c r="G2697" s="89"/>
      <c r="H2697" s="89"/>
      <c r="I2697" s="90"/>
      <c r="J2697" s="88" t="s">
        <v>13</v>
      </c>
      <c r="K2697" s="89"/>
      <c r="L2697" s="89"/>
      <c r="M2697" s="90"/>
      <c r="N2697" s="88" t="s">
        <v>26</v>
      </c>
      <c r="O2697" s="89"/>
      <c r="P2697" s="90"/>
      <c r="Q2697" s="133">
        <v>1998</v>
      </c>
      <c r="R2697" s="134"/>
      <c r="S2697" s="5" t="s">
        <v>271</v>
      </c>
      <c r="T2697" s="8">
        <v>1900</v>
      </c>
      <c r="U2697" s="8">
        <v>4</v>
      </c>
      <c r="V2697" s="5" t="s">
        <v>23</v>
      </c>
      <c r="W2697" s="12">
        <v>9428294</v>
      </c>
      <c r="X2697" s="6"/>
      <c r="Y2697" s="6"/>
    </row>
    <row r="2698" spans="1:25" ht="15" customHeight="1" x14ac:dyDescent="0.2">
      <c r="A2698" s="88" t="s">
        <v>3105</v>
      </c>
      <c r="B2698" s="90"/>
      <c r="C2698" s="88" t="s">
        <v>3215</v>
      </c>
      <c r="D2698" s="90"/>
      <c r="E2698" s="88" t="s">
        <v>3216</v>
      </c>
      <c r="F2698" s="89"/>
      <c r="G2698" s="89"/>
      <c r="H2698" s="89"/>
      <c r="I2698" s="90"/>
      <c r="J2698" s="88" t="s">
        <v>2319</v>
      </c>
      <c r="K2698" s="89"/>
      <c r="L2698" s="89"/>
      <c r="M2698" s="90"/>
      <c r="N2698" s="88" t="s">
        <v>22</v>
      </c>
      <c r="O2698" s="89"/>
      <c r="P2698" s="90"/>
      <c r="Q2698" s="133">
        <v>1998</v>
      </c>
      <c r="R2698" s="134"/>
      <c r="S2698" s="5" t="s">
        <v>271</v>
      </c>
      <c r="T2698" s="8">
        <v>1900</v>
      </c>
      <c r="U2698" s="8">
        <v>4</v>
      </c>
      <c r="V2698" s="5" t="s">
        <v>23</v>
      </c>
      <c r="W2698" s="12">
        <v>11001703</v>
      </c>
      <c r="X2698" s="6"/>
      <c r="Y2698" s="6"/>
    </row>
    <row r="2699" spans="1:25" ht="15" customHeight="1" x14ac:dyDescent="0.2">
      <c r="A2699" s="88" t="s">
        <v>3105</v>
      </c>
      <c r="B2699" s="90"/>
      <c r="C2699" s="88" t="s">
        <v>3215</v>
      </c>
      <c r="D2699" s="90"/>
      <c r="E2699" s="88" t="s">
        <v>3216</v>
      </c>
      <c r="F2699" s="89"/>
      <c r="G2699" s="89"/>
      <c r="H2699" s="89"/>
      <c r="I2699" s="90"/>
      <c r="J2699" s="88" t="s">
        <v>2319</v>
      </c>
      <c r="K2699" s="89"/>
      <c r="L2699" s="89"/>
      <c r="M2699" s="90"/>
      <c r="N2699" s="88" t="s">
        <v>26</v>
      </c>
      <c r="O2699" s="89"/>
      <c r="P2699" s="90"/>
      <c r="Q2699" s="133">
        <v>1998</v>
      </c>
      <c r="R2699" s="134"/>
      <c r="S2699" s="5" t="s">
        <v>271</v>
      </c>
      <c r="T2699" s="8">
        <v>1900</v>
      </c>
      <c r="U2699" s="8">
        <v>4</v>
      </c>
      <c r="V2699" s="5" t="s">
        <v>23</v>
      </c>
      <c r="W2699" s="12">
        <v>10001549</v>
      </c>
      <c r="X2699" s="6"/>
      <c r="Y2699" s="6"/>
    </row>
    <row r="2700" spans="1:25" ht="15" customHeight="1" x14ac:dyDescent="0.2">
      <c r="A2700" s="88" t="s">
        <v>3105</v>
      </c>
      <c r="B2700" s="90"/>
      <c r="C2700" s="88" t="s">
        <v>3217</v>
      </c>
      <c r="D2700" s="90"/>
      <c r="E2700" s="88" t="s">
        <v>3218</v>
      </c>
      <c r="F2700" s="89"/>
      <c r="G2700" s="89"/>
      <c r="H2700" s="89"/>
      <c r="I2700" s="90"/>
      <c r="J2700" s="88" t="s">
        <v>2319</v>
      </c>
      <c r="K2700" s="89"/>
      <c r="L2700" s="89"/>
      <c r="M2700" s="90"/>
      <c r="N2700" s="88" t="s">
        <v>26</v>
      </c>
      <c r="O2700" s="89"/>
      <c r="P2700" s="90"/>
      <c r="Q2700" s="133">
        <v>1998</v>
      </c>
      <c r="R2700" s="134"/>
      <c r="S2700" s="5" t="s">
        <v>271</v>
      </c>
      <c r="T2700" s="8">
        <v>1900</v>
      </c>
      <c r="U2700" s="8">
        <v>4</v>
      </c>
      <c r="V2700" s="5" t="s">
        <v>23</v>
      </c>
      <c r="W2700" s="12">
        <v>9832596</v>
      </c>
      <c r="X2700" s="6"/>
      <c r="Y2700" s="6"/>
    </row>
    <row r="2701" spans="1:25" ht="15" customHeight="1" x14ac:dyDescent="0.2">
      <c r="A2701" s="88" t="s">
        <v>3105</v>
      </c>
      <c r="B2701" s="90"/>
      <c r="C2701" s="88" t="s">
        <v>3219</v>
      </c>
      <c r="D2701" s="90"/>
      <c r="E2701" s="88" t="s">
        <v>3220</v>
      </c>
      <c r="F2701" s="89"/>
      <c r="G2701" s="89"/>
      <c r="H2701" s="89"/>
      <c r="I2701" s="90"/>
      <c r="J2701" s="88" t="s">
        <v>770</v>
      </c>
      <c r="K2701" s="89"/>
      <c r="L2701" s="89"/>
      <c r="M2701" s="90"/>
      <c r="N2701" s="88" t="s">
        <v>26</v>
      </c>
      <c r="O2701" s="89"/>
      <c r="P2701" s="90"/>
      <c r="Q2701" s="133">
        <v>2493</v>
      </c>
      <c r="R2701" s="134"/>
      <c r="S2701" s="5" t="s">
        <v>271</v>
      </c>
      <c r="T2701" s="8">
        <v>1960</v>
      </c>
      <c r="U2701" s="8">
        <v>4</v>
      </c>
      <c r="V2701" s="5" t="s">
        <v>23</v>
      </c>
      <c r="W2701" s="12">
        <v>10139864</v>
      </c>
      <c r="X2701" s="6"/>
      <c r="Y2701" s="6"/>
    </row>
    <row r="2702" spans="1:25" ht="15" customHeight="1" x14ac:dyDescent="0.2">
      <c r="A2702" s="88" t="s">
        <v>3105</v>
      </c>
      <c r="B2702" s="90"/>
      <c r="C2702" s="88" t="s">
        <v>3221</v>
      </c>
      <c r="D2702" s="90"/>
      <c r="E2702" s="88" t="s">
        <v>3220</v>
      </c>
      <c r="F2702" s="89"/>
      <c r="G2702" s="89"/>
      <c r="H2702" s="89"/>
      <c r="I2702" s="90"/>
      <c r="J2702" s="88" t="s">
        <v>770</v>
      </c>
      <c r="K2702" s="89"/>
      <c r="L2702" s="89"/>
      <c r="M2702" s="90"/>
      <c r="N2702" s="88" t="s">
        <v>26</v>
      </c>
      <c r="O2702" s="89"/>
      <c r="P2702" s="90"/>
      <c r="Q2702" s="133">
        <v>2493</v>
      </c>
      <c r="R2702" s="134"/>
      <c r="S2702" s="5" t="s">
        <v>271</v>
      </c>
      <c r="T2702" s="8">
        <v>1960</v>
      </c>
      <c r="U2702" s="8">
        <v>4</v>
      </c>
      <c r="V2702" s="5" t="s">
        <v>23</v>
      </c>
      <c r="W2702" s="12">
        <v>10544164</v>
      </c>
      <c r="X2702" s="6"/>
      <c r="Y2702" s="6"/>
    </row>
    <row r="2703" spans="1:25" ht="15" customHeight="1" x14ac:dyDescent="0.2">
      <c r="A2703" s="88" t="s">
        <v>3105</v>
      </c>
      <c r="B2703" s="90"/>
      <c r="C2703" s="88" t="s">
        <v>3221</v>
      </c>
      <c r="D2703" s="90"/>
      <c r="E2703" s="88" t="s">
        <v>3222</v>
      </c>
      <c r="F2703" s="89"/>
      <c r="G2703" s="89"/>
      <c r="H2703" s="89"/>
      <c r="I2703" s="90"/>
      <c r="J2703" s="88" t="s">
        <v>770</v>
      </c>
      <c r="K2703" s="89"/>
      <c r="L2703" s="89"/>
      <c r="M2703" s="90"/>
      <c r="N2703" s="88" t="s">
        <v>26</v>
      </c>
      <c r="O2703" s="89"/>
      <c r="P2703" s="90"/>
      <c r="Q2703" s="133">
        <v>2493</v>
      </c>
      <c r="R2703" s="134"/>
      <c r="S2703" s="5" t="s">
        <v>271</v>
      </c>
      <c r="T2703" s="8">
        <v>1960</v>
      </c>
      <c r="U2703" s="8">
        <v>4</v>
      </c>
      <c r="V2703" s="5" t="s">
        <v>23</v>
      </c>
      <c r="W2703" s="12">
        <v>10712882</v>
      </c>
      <c r="X2703" s="6"/>
      <c r="Y2703" s="6"/>
    </row>
    <row r="2704" spans="1:25" ht="15" customHeight="1" x14ac:dyDescent="0.2">
      <c r="A2704" s="88" t="s">
        <v>3105</v>
      </c>
      <c r="B2704" s="90"/>
      <c r="C2704" s="88" t="s">
        <v>3221</v>
      </c>
      <c r="D2704" s="90"/>
      <c r="E2704" s="88" t="s">
        <v>3222</v>
      </c>
      <c r="F2704" s="89"/>
      <c r="G2704" s="89"/>
      <c r="H2704" s="89"/>
      <c r="I2704" s="90"/>
      <c r="J2704" s="88" t="s">
        <v>770</v>
      </c>
      <c r="K2704" s="89"/>
      <c r="L2704" s="89"/>
      <c r="M2704" s="90"/>
      <c r="N2704" s="88" t="s">
        <v>22</v>
      </c>
      <c r="O2704" s="89"/>
      <c r="P2704" s="90"/>
      <c r="Q2704" s="133">
        <v>2493</v>
      </c>
      <c r="R2704" s="134"/>
      <c r="S2704" s="5" t="s">
        <v>271</v>
      </c>
      <c r="T2704" s="8">
        <v>1960</v>
      </c>
      <c r="U2704" s="8">
        <v>4</v>
      </c>
      <c r="V2704" s="5" t="s">
        <v>23</v>
      </c>
      <c r="W2704" s="12">
        <v>11784171</v>
      </c>
      <c r="X2704" s="6"/>
      <c r="Y2704" s="6"/>
    </row>
    <row r="2705" spans="1:25" ht="15" customHeight="1" x14ac:dyDescent="0.2">
      <c r="A2705" s="88" t="s">
        <v>3105</v>
      </c>
      <c r="B2705" s="90"/>
      <c r="C2705" s="88" t="s">
        <v>3223</v>
      </c>
      <c r="D2705" s="90"/>
      <c r="E2705" s="88" t="s">
        <v>3224</v>
      </c>
      <c r="F2705" s="89"/>
      <c r="G2705" s="89"/>
      <c r="H2705" s="89"/>
      <c r="I2705" s="90"/>
      <c r="J2705" s="88" t="s">
        <v>13</v>
      </c>
      <c r="K2705" s="89"/>
      <c r="L2705" s="89"/>
      <c r="M2705" s="90"/>
      <c r="N2705" s="88" t="s">
        <v>26</v>
      </c>
      <c r="O2705" s="89"/>
      <c r="P2705" s="90"/>
      <c r="Q2705" s="133">
        <v>3456</v>
      </c>
      <c r="R2705" s="134"/>
      <c r="S2705" s="5" t="s">
        <v>271</v>
      </c>
      <c r="T2705" s="8">
        <v>1910</v>
      </c>
      <c r="U2705" s="8">
        <v>4</v>
      </c>
      <c r="V2705" s="5" t="s">
        <v>23</v>
      </c>
      <c r="W2705" s="12">
        <v>11583315</v>
      </c>
      <c r="X2705" s="6"/>
      <c r="Y2705" s="6"/>
    </row>
    <row r="2706" spans="1:25" ht="15" customHeight="1" x14ac:dyDescent="0.2">
      <c r="A2706" s="88" t="s">
        <v>3105</v>
      </c>
      <c r="B2706" s="90"/>
      <c r="C2706" s="88" t="s">
        <v>3225</v>
      </c>
      <c r="D2706" s="90"/>
      <c r="E2706" s="88" t="s">
        <v>3226</v>
      </c>
      <c r="F2706" s="89"/>
      <c r="G2706" s="89"/>
      <c r="H2706" s="89"/>
      <c r="I2706" s="90"/>
      <c r="J2706" s="88" t="s">
        <v>2319</v>
      </c>
      <c r="K2706" s="89"/>
      <c r="L2706" s="89"/>
      <c r="M2706" s="90"/>
      <c r="N2706" s="88" t="s">
        <v>26</v>
      </c>
      <c r="O2706" s="89"/>
      <c r="P2706" s="90"/>
      <c r="Q2706" s="133">
        <v>3456</v>
      </c>
      <c r="R2706" s="134"/>
      <c r="S2706" s="5" t="s">
        <v>271</v>
      </c>
      <c r="T2706" s="8">
        <v>1910</v>
      </c>
      <c r="U2706" s="8">
        <v>4</v>
      </c>
      <c r="V2706" s="5" t="s">
        <v>23</v>
      </c>
      <c r="W2706" s="12">
        <v>11929137</v>
      </c>
      <c r="X2706" s="6"/>
      <c r="Y2706" s="6"/>
    </row>
    <row r="2707" spans="1:25" ht="15" customHeight="1" x14ac:dyDescent="0.2">
      <c r="A2707" s="88" t="s">
        <v>3105</v>
      </c>
      <c r="B2707" s="90"/>
      <c r="C2707" s="88" t="s">
        <v>3225</v>
      </c>
      <c r="D2707" s="90"/>
      <c r="E2707" s="88" t="s">
        <v>3227</v>
      </c>
      <c r="F2707" s="89"/>
      <c r="G2707" s="89"/>
      <c r="H2707" s="89"/>
      <c r="I2707" s="90"/>
      <c r="J2707" s="88" t="s">
        <v>770</v>
      </c>
      <c r="K2707" s="89"/>
      <c r="L2707" s="89"/>
      <c r="M2707" s="90"/>
      <c r="N2707" s="88" t="s">
        <v>26</v>
      </c>
      <c r="O2707" s="89"/>
      <c r="P2707" s="90"/>
      <c r="Q2707" s="133">
        <v>3456</v>
      </c>
      <c r="R2707" s="134"/>
      <c r="S2707" s="5" t="s">
        <v>271</v>
      </c>
      <c r="T2707" s="8">
        <v>1910</v>
      </c>
      <c r="U2707" s="8">
        <v>4</v>
      </c>
      <c r="V2707" s="5" t="s">
        <v>23</v>
      </c>
      <c r="W2707" s="12">
        <v>12111797</v>
      </c>
      <c r="X2707" s="6"/>
      <c r="Y2707" s="6"/>
    </row>
    <row r="2708" spans="1:25" ht="15" customHeight="1" x14ac:dyDescent="0.2">
      <c r="A2708" s="88" t="s">
        <v>3105</v>
      </c>
      <c r="B2708" s="90"/>
      <c r="C2708" s="88" t="s">
        <v>3225</v>
      </c>
      <c r="D2708" s="90"/>
      <c r="E2708" s="88" t="s">
        <v>3227</v>
      </c>
      <c r="F2708" s="89"/>
      <c r="G2708" s="89"/>
      <c r="H2708" s="89"/>
      <c r="I2708" s="90"/>
      <c r="J2708" s="88" t="s">
        <v>2319</v>
      </c>
      <c r="K2708" s="89"/>
      <c r="L2708" s="89"/>
      <c r="M2708" s="90"/>
      <c r="N2708" s="88" t="s">
        <v>22</v>
      </c>
      <c r="O2708" s="89"/>
      <c r="P2708" s="90"/>
      <c r="Q2708" s="133">
        <v>3456</v>
      </c>
      <c r="R2708" s="134"/>
      <c r="S2708" s="5" t="s">
        <v>271</v>
      </c>
      <c r="T2708" s="8">
        <v>1910</v>
      </c>
      <c r="U2708" s="8">
        <v>4</v>
      </c>
      <c r="V2708" s="5" t="s">
        <v>23</v>
      </c>
      <c r="W2708" s="12">
        <v>13322977</v>
      </c>
      <c r="X2708" s="6"/>
      <c r="Y2708" s="6"/>
    </row>
    <row r="2709" spans="1:25" ht="15" customHeight="1" x14ac:dyDescent="0.2">
      <c r="A2709" s="88" t="s">
        <v>3105</v>
      </c>
      <c r="B2709" s="90"/>
      <c r="C2709" s="88" t="s">
        <v>3228</v>
      </c>
      <c r="D2709" s="90"/>
      <c r="E2709" s="88" t="s">
        <v>3229</v>
      </c>
      <c r="F2709" s="89"/>
      <c r="G2709" s="89"/>
      <c r="H2709" s="89"/>
      <c r="I2709" s="90"/>
      <c r="J2709" s="88" t="s">
        <v>13</v>
      </c>
      <c r="K2709" s="89"/>
      <c r="L2709" s="89"/>
      <c r="M2709" s="90"/>
      <c r="N2709" s="88" t="s">
        <v>22</v>
      </c>
      <c r="O2709" s="89"/>
      <c r="P2709" s="90"/>
      <c r="Q2709" s="133">
        <v>1998</v>
      </c>
      <c r="R2709" s="134"/>
      <c r="S2709" s="5" t="s">
        <v>16</v>
      </c>
      <c r="T2709" s="8">
        <v>2175</v>
      </c>
      <c r="U2709" s="8">
        <v>5</v>
      </c>
      <c r="V2709" s="5" t="s">
        <v>23</v>
      </c>
      <c r="W2709" s="12">
        <v>9363606</v>
      </c>
      <c r="X2709" s="6"/>
      <c r="Y2709" s="6"/>
    </row>
    <row r="2710" spans="1:25" ht="15" customHeight="1" x14ac:dyDescent="0.2">
      <c r="A2710" s="88" t="s">
        <v>3105</v>
      </c>
      <c r="B2710" s="90"/>
      <c r="C2710" s="88" t="s">
        <v>3230</v>
      </c>
      <c r="D2710" s="90"/>
      <c r="E2710" s="88" t="s">
        <v>3231</v>
      </c>
      <c r="F2710" s="89"/>
      <c r="G2710" s="89"/>
      <c r="H2710" s="89"/>
      <c r="I2710" s="90"/>
      <c r="J2710" s="88" t="s">
        <v>2179</v>
      </c>
      <c r="K2710" s="89"/>
      <c r="L2710" s="89"/>
      <c r="M2710" s="90"/>
      <c r="N2710" s="88" t="s">
        <v>26</v>
      </c>
      <c r="O2710" s="89"/>
      <c r="P2710" s="90"/>
      <c r="Q2710" s="133">
        <v>1998</v>
      </c>
      <c r="R2710" s="134"/>
      <c r="S2710" s="5" t="s">
        <v>16</v>
      </c>
      <c r="T2710" s="8">
        <v>2175</v>
      </c>
      <c r="U2710" s="8">
        <v>4</v>
      </c>
      <c r="V2710" s="5" t="s">
        <v>23</v>
      </c>
      <c r="W2710" s="12">
        <v>9717332</v>
      </c>
      <c r="X2710" s="6"/>
      <c r="Y2710" s="6"/>
    </row>
    <row r="2711" spans="1:25" ht="15" customHeight="1" x14ac:dyDescent="0.2">
      <c r="A2711" s="88" t="s">
        <v>3105</v>
      </c>
      <c r="B2711" s="90"/>
      <c r="C2711" s="88" t="s">
        <v>3230</v>
      </c>
      <c r="D2711" s="90"/>
      <c r="E2711" s="88" t="s">
        <v>3232</v>
      </c>
      <c r="F2711" s="89"/>
      <c r="G2711" s="89"/>
      <c r="H2711" s="89"/>
      <c r="I2711" s="90"/>
      <c r="J2711" s="88" t="s">
        <v>2179</v>
      </c>
      <c r="K2711" s="89"/>
      <c r="L2711" s="89"/>
      <c r="M2711" s="90"/>
      <c r="N2711" s="88" t="s">
        <v>26</v>
      </c>
      <c r="O2711" s="89"/>
      <c r="P2711" s="90"/>
      <c r="Q2711" s="133">
        <v>1998</v>
      </c>
      <c r="R2711" s="134"/>
      <c r="S2711" s="5" t="s">
        <v>16</v>
      </c>
      <c r="T2711" s="8">
        <v>2175</v>
      </c>
      <c r="U2711" s="8">
        <v>5</v>
      </c>
      <c r="V2711" s="5" t="s">
        <v>23</v>
      </c>
      <c r="W2711" s="12">
        <v>9558552</v>
      </c>
      <c r="X2711" s="6"/>
      <c r="Y2711" s="6"/>
    </row>
    <row r="2712" spans="1:25" ht="15" customHeight="1" x14ac:dyDescent="0.2">
      <c r="A2712" s="88" t="s">
        <v>3105</v>
      </c>
      <c r="B2712" s="90"/>
      <c r="C2712" s="88" t="s">
        <v>3233</v>
      </c>
      <c r="D2712" s="90"/>
      <c r="E2712" s="88" t="s">
        <v>3234</v>
      </c>
      <c r="F2712" s="89"/>
      <c r="G2712" s="89"/>
      <c r="H2712" s="89"/>
      <c r="I2712" s="90"/>
      <c r="J2712" s="88" t="s">
        <v>2319</v>
      </c>
      <c r="K2712" s="89"/>
      <c r="L2712" s="89"/>
      <c r="M2712" s="90"/>
      <c r="N2712" s="88" t="s">
        <v>22</v>
      </c>
      <c r="O2712" s="89"/>
      <c r="P2712" s="90"/>
      <c r="Q2712" s="133">
        <v>2393</v>
      </c>
      <c r="R2712" s="134"/>
      <c r="S2712" s="5" t="s">
        <v>16</v>
      </c>
      <c r="T2712" s="8">
        <v>2225</v>
      </c>
      <c r="U2712" s="8">
        <v>5</v>
      </c>
      <c r="V2712" s="5" t="s">
        <v>23</v>
      </c>
      <c r="W2712" s="12">
        <v>12348316</v>
      </c>
      <c r="X2712" s="6"/>
      <c r="Y2712" s="6"/>
    </row>
    <row r="2713" spans="1:25" ht="15" customHeight="1" x14ac:dyDescent="0.2">
      <c r="A2713" s="88" t="s">
        <v>3105</v>
      </c>
      <c r="B2713" s="90"/>
      <c r="C2713" s="88" t="s">
        <v>3235</v>
      </c>
      <c r="D2713" s="90"/>
      <c r="E2713" s="88" t="s">
        <v>3236</v>
      </c>
      <c r="F2713" s="89"/>
      <c r="G2713" s="89"/>
      <c r="H2713" s="89"/>
      <c r="I2713" s="90"/>
      <c r="J2713" s="88" t="s">
        <v>770</v>
      </c>
      <c r="K2713" s="89"/>
      <c r="L2713" s="89"/>
      <c r="M2713" s="90"/>
      <c r="N2713" s="88" t="s">
        <v>26</v>
      </c>
      <c r="O2713" s="89"/>
      <c r="P2713" s="90"/>
      <c r="Q2713" s="133">
        <v>2487</v>
      </c>
      <c r="R2713" s="134"/>
      <c r="S2713" s="5" t="s">
        <v>16</v>
      </c>
      <c r="T2713" s="8">
        <v>2215</v>
      </c>
      <c r="U2713" s="8">
        <v>5</v>
      </c>
      <c r="V2713" s="5" t="s">
        <v>23</v>
      </c>
      <c r="W2713" s="12">
        <v>13239072</v>
      </c>
      <c r="X2713" s="6"/>
      <c r="Y2713" s="6"/>
    </row>
    <row r="2714" spans="1:25" ht="15" customHeight="1" x14ac:dyDescent="0.2">
      <c r="A2714" s="88" t="s">
        <v>3105</v>
      </c>
      <c r="B2714" s="90"/>
      <c r="C2714" s="88" t="s">
        <v>3237</v>
      </c>
      <c r="D2714" s="90"/>
      <c r="E2714" s="88" t="s">
        <v>3238</v>
      </c>
      <c r="F2714" s="89"/>
      <c r="G2714" s="89"/>
      <c r="H2714" s="89"/>
      <c r="I2714" s="90"/>
      <c r="J2714" s="88" t="s">
        <v>770</v>
      </c>
      <c r="K2714" s="89"/>
      <c r="L2714" s="89"/>
      <c r="M2714" s="90"/>
      <c r="N2714" s="88" t="s">
        <v>26</v>
      </c>
      <c r="O2714" s="89"/>
      <c r="P2714" s="90"/>
      <c r="Q2714" s="133">
        <v>3456</v>
      </c>
      <c r="R2714" s="134"/>
      <c r="S2714" s="5" t="s">
        <v>16</v>
      </c>
      <c r="T2714" s="8">
        <v>2345</v>
      </c>
      <c r="U2714" s="8">
        <v>5</v>
      </c>
      <c r="V2714" s="5" t="s">
        <v>23</v>
      </c>
      <c r="W2714" s="12">
        <v>12501063</v>
      </c>
      <c r="X2714" s="6"/>
      <c r="Y2714" s="6"/>
    </row>
    <row r="2715" spans="1:25" ht="15" customHeight="1" x14ac:dyDescent="0.2">
      <c r="A2715" s="88" t="s">
        <v>3105</v>
      </c>
      <c r="B2715" s="90"/>
      <c r="C2715" s="88" t="s">
        <v>3239</v>
      </c>
      <c r="D2715" s="90"/>
      <c r="E2715" s="88" t="s">
        <v>3240</v>
      </c>
      <c r="F2715" s="89"/>
      <c r="G2715" s="89"/>
      <c r="H2715" s="89"/>
      <c r="I2715" s="90"/>
      <c r="J2715" s="88" t="s">
        <v>770</v>
      </c>
      <c r="K2715" s="89"/>
      <c r="L2715" s="89"/>
      <c r="M2715" s="90"/>
      <c r="N2715" s="88" t="s">
        <v>26</v>
      </c>
      <c r="O2715" s="89"/>
      <c r="P2715" s="90"/>
      <c r="Q2715" s="133">
        <v>3456</v>
      </c>
      <c r="R2715" s="134"/>
      <c r="S2715" s="5" t="s">
        <v>16</v>
      </c>
      <c r="T2715" s="8">
        <v>1625</v>
      </c>
      <c r="U2715" s="8">
        <v>7</v>
      </c>
      <c r="V2715" s="5" t="s">
        <v>23</v>
      </c>
      <c r="W2715" s="12">
        <v>13649995</v>
      </c>
      <c r="X2715" s="6"/>
      <c r="Y2715" s="6"/>
    </row>
    <row r="2716" spans="1:25" ht="15" customHeight="1" x14ac:dyDescent="0.2">
      <c r="A2716" s="88" t="s">
        <v>3105</v>
      </c>
      <c r="B2716" s="90"/>
      <c r="C2716" s="88" t="s">
        <v>3239</v>
      </c>
      <c r="D2716" s="90"/>
      <c r="E2716" s="88" t="s">
        <v>3241</v>
      </c>
      <c r="F2716" s="89"/>
      <c r="G2716" s="89"/>
      <c r="H2716" s="89"/>
      <c r="I2716" s="90"/>
      <c r="J2716" s="88" t="s">
        <v>770</v>
      </c>
      <c r="K2716" s="89"/>
      <c r="L2716" s="89"/>
      <c r="M2716" s="90"/>
      <c r="N2716" s="88" t="s">
        <v>22</v>
      </c>
      <c r="O2716" s="89"/>
      <c r="P2716" s="90"/>
      <c r="Q2716" s="133">
        <v>3456</v>
      </c>
      <c r="R2716" s="134"/>
      <c r="S2716" s="5" t="s">
        <v>16</v>
      </c>
      <c r="T2716" s="8">
        <v>2625</v>
      </c>
      <c r="U2716" s="8">
        <v>7</v>
      </c>
      <c r="V2716" s="5" t="s">
        <v>23</v>
      </c>
      <c r="W2716" s="12">
        <v>13649995</v>
      </c>
      <c r="X2716" s="6"/>
      <c r="Y2716" s="6"/>
    </row>
    <row r="2717" spans="1:25" ht="15" customHeight="1" x14ac:dyDescent="0.2">
      <c r="A2717" s="88" t="s">
        <v>3105</v>
      </c>
      <c r="B2717" s="90"/>
      <c r="C2717" s="88" t="s">
        <v>3242</v>
      </c>
      <c r="D2717" s="90"/>
      <c r="E2717" s="88" t="s">
        <v>3238</v>
      </c>
      <c r="F2717" s="89"/>
      <c r="G2717" s="89"/>
      <c r="H2717" s="89"/>
      <c r="I2717" s="90"/>
      <c r="J2717" s="88" t="s">
        <v>770</v>
      </c>
      <c r="K2717" s="89"/>
      <c r="L2717" s="89"/>
      <c r="M2717" s="90"/>
      <c r="N2717" s="88" t="s">
        <v>26</v>
      </c>
      <c r="O2717" s="89"/>
      <c r="P2717" s="90"/>
      <c r="Q2717" s="133">
        <v>3456</v>
      </c>
      <c r="R2717" s="134"/>
      <c r="S2717" s="5" t="s">
        <v>16</v>
      </c>
      <c r="T2717" s="8">
        <v>2345</v>
      </c>
      <c r="U2717" s="8">
        <v>5</v>
      </c>
      <c r="V2717" s="5" t="s">
        <v>23</v>
      </c>
      <c r="W2717" s="12">
        <v>13751169</v>
      </c>
      <c r="X2717" s="6"/>
      <c r="Y2717" s="6"/>
    </row>
    <row r="2718" spans="1:25" ht="15" customHeight="1" x14ac:dyDescent="0.2">
      <c r="A2718" s="88" t="s">
        <v>3105</v>
      </c>
      <c r="B2718" s="90"/>
      <c r="C2718" s="88" t="s">
        <v>3242</v>
      </c>
      <c r="D2718" s="90"/>
      <c r="E2718" s="88" t="s">
        <v>3243</v>
      </c>
      <c r="F2718" s="89"/>
      <c r="G2718" s="89"/>
      <c r="H2718" s="89"/>
      <c r="I2718" s="90"/>
      <c r="J2718" s="88" t="s">
        <v>770</v>
      </c>
      <c r="K2718" s="89"/>
      <c r="L2718" s="89"/>
      <c r="M2718" s="90"/>
      <c r="N2718" s="88" t="s">
        <v>22</v>
      </c>
      <c r="O2718" s="89"/>
      <c r="P2718" s="90"/>
      <c r="Q2718" s="133">
        <v>3456</v>
      </c>
      <c r="R2718" s="134"/>
      <c r="S2718" s="5" t="s">
        <v>16</v>
      </c>
      <c r="T2718" s="8">
        <v>2345</v>
      </c>
      <c r="U2718" s="8">
        <v>5</v>
      </c>
      <c r="V2718" s="5" t="s">
        <v>23</v>
      </c>
      <c r="W2718" s="12">
        <v>14267117</v>
      </c>
      <c r="X2718" s="6"/>
      <c r="Y2718" s="6"/>
    </row>
    <row r="2719" spans="1:25" ht="15" customHeight="1" x14ac:dyDescent="0.2">
      <c r="A2719" s="88" t="s">
        <v>3105</v>
      </c>
      <c r="B2719" s="90"/>
      <c r="C2719" s="88" t="s">
        <v>3244</v>
      </c>
      <c r="D2719" s="90"/>
      <c r="E2719" s="88" t="s">
        <v>3245</v>
      </c>
      <c r="F2719" s="89"/>
      <c r="G2719" s="89"/>
      <c r="H2719" s="89"/>
      <c r="I2719" s="90"/>
      <c r="J2719" s="88" t="s">
        <v>770</v>
      </c>
      <c r="K2719" s="89"/>
      <c r="L2719" s="89"/>
      <c r="M2719" s="90"/>
      <c r="N2719" s="88" t="s">
        <v>701</v>
      </c>
      <c r="O2719" s="89"/>
      <c r="P2719" s="90"/>
      <c r="Q2719" s="133">
        <v>2487</v>
      </c>
      <c r="R2719" s="134"/>
      <c r="S2719" s="5" t="s">
        <v>16</v>
      </c>
      <c r="T2719" s="8">
        <v>2435</v>
      </c>
      <c r="U2719" s="8">
        <v>5</v>
      </c>
      <c r="V2719" s="5" t="s">
        <v>23</v>
      </c>
      <c r="W2719" s="12">
        <v>15230172</v>
      </c>
      <c r="X2719" s="6"/>
      <c r="Y2719" s="6"/>
    </row>
    <row r="2720" spans="1:25" ht="15" customHeight="1" x14ac:dyDescent="0.2">
      <c r="A2720" s="88" t="s">
        <v>3105</v>
      </c>
      <c r="B2720" s="90"/>
      <c r="C2720" s="88" t="s">
        <v>3246</v>
      </c>
      <c r="D2720" s="90"/>
      <c r="E2720" s="88" t="s">
        <v>3247</v>
      </c>
      <c r="F2720" s="89"/>
      <c r="G2720" s="89"/>
      <c r="H2720" s="89"/>
      <c r="I2720" s="90"/>
      <c r="J2720" s="88" t="s">
        <v>770</v>
      </c>
      <c r="K2720" s="89"/>
      <c r="L2720" s="89"/>
      <c r="M2720" s="90"/>
      <c r="N2720" s="88" t="s">
        <v>26</v>
      </c>
      <c r="O2720" s="89"/>
      <c r="P2720" s="90"/>
      <c r="Q2720" s="133">
        <v>3456</v>
      </c>
      <c r="R2720" s="134"/>
      <c r="S2720" s="5" t="s">
        <v>16</v>
      </c>
      <c r="T2720" s="8">
        <v>2625</v>
      </c>
      <c r="U2720" s="8">
        <v>7</v>
      </c>
      <c r="V2720" s="5" t="s">
        <v>23</v>
      </c>
      <c r="W2720" s="12">
        <v>13431195</v>
      </c>
      <c r="X2720" s="6"/>
      <c r="Y2720" s="6"/>
    </row>
    <row r="2721" spans="1:25" ht="15" customHeight="1" x14ac:dyDescent="0.2">
      <c r="A2721" s="88" t="s">
        <v>3105</v>
      </c>
      <c r="B2721" s="90"/>
      <c r="C2721" s="88" t="s">
        <v>3248</v>
      </c>
      <c r="D2721" s="90"/>
      <c r="E2721" s="88" t="s">
        <v>3249</v>
      </c>
      <c r="F2721" s="89"/>
      <c r="G2721" s="89"/>
      <c r="H2721" s="89"/>
      <c r="I2721" s="90"/>
      <c r="J2721" s="88" t="s">
        <v>2179</v>
      </c>
      <c r="K2721" s="89"/>
      <c r="L2721" s="89"/>
      <c r="M2721" s="90"/>
      <c r="N2721" s="88" t="s">
        <v>22</v>
      </c>
      <c r="O2721" s="89"/>
      <c r="P2721" s="90"/>
      <c r="Q2721" s="133">
        <v>2393</v>
      </c>
      <c r="R2721" s="134"/>
      <c r="S2721" s="5" t="s">
        <v>16</v>
      </c>
      <c r="T2721" s="8">
        <v>2375</v>
      </c>
      <c r="U2721" s="8">
        <v>5</v>
      </c>
      <c r="V2721" s="5" t="s">
        <v>23</v>
      </c>
      <c r="W2721" s="12">
        <v>15736680</v>
      </c>
      <c r="X2721" s="6"/>
      <c r="Y2721" s="6"/>
    </row>
    <row r="2722" spans="1:25" ht="15" customHeight="1" x14ac:dyDescent="0.2">
      <c r="A2722" s="88" t="s">
        <v>3105</v>
      </c>
      <c r="B2722" s="90"/>
      <c r="C2722" s="88" t="s">
        <v>3250</v>
      </c>
      <c r="D2722" s="90"/>
      <c r="E2722" s="88" t="s">
        <v>3251</v>
      </c>
      <c r="F2722" s="89"/>
      <c r="G2722" s="89"/>
      <c r="H2722" s="89"/>
      <c r="I2722" s="90"/>
      <c r="J2722" s="88" t="s">
        <v>770</v>
      </c>
      <c r="K2722" s="89"/>
      <c r="L2722" s="89"/>
      <c r="M2722" s="90"/>
      <c r="N2722" s="88" t="s">
        <v>701</v>
      </c>
      <c r="O2722" s="89"/>
      <c r="P2722" s="90"/>
      <c r="Q2722" s="133">
        <v>2393</v>
      </c>
      <c r="R2722" s="134"/>
      <c r="S2722" s="5" t="s">
        <v>16</v>
      </c>
      <c r="T2722" s="8">
        <v>2375</v>
      </c>
      <c r="U2722" s="8">
        <v>5</v>
      </c>
      <c r="V2722" s="5" t="s">
        <v>23</v>
      </c>
      <c r="W2722" s="12">
        <v>15736680</v>
      </c>
      <c r="X2722" s="6"/>
      <c r="Y2722" s="6"/>
    </row>
    <row r="2723" spans="1:25" ht="15" customHeight="1" x14ac:dyDescent="0.2">
      <c r="A2723" s="88" t="s">
        <v>3105</v>
      </c>
      <c r="B2723" s="90"/>
      <c r="C2723" s="88" t="s">
        <v>3252</v>
      </c>
      <c r="D2723" s="90"/>
      <c r="E2723" s="88" t="s">
        <v>3253</v>
      </c>
      <c r="F2723" s="89"/>
      <c r="G2723" s="89"/>
      <c r="H2723" s="89"/>
      <c r="I2723" s="90"/>
      <c r="J2723" s="88" t="s">
        <v>770</v>
      </c>
      <c r="K2723" s="89"/>
      <c r="L2723" s="89"/>
      <c r="M2723" s="90"/>
      <c r="N2723" s="88" t="s">
        <v>22</v>
      </c>
      <c r="O2723" s="89"/>
      <c r="P2723" s="90"/>
      <c r="Q2723" s="133">
        <v>2487</v>
      </c>
      <c r="R2723" s="134"/>
      <c r="S2723" s="5" t="s">
        <v>16</v>
      </c>
      <c r="T2723" s="8">
        <v>2435</v>
      </c>
      <c r="U2723" s="8">
        <v>5</v>
      </c>
      <c r="V2723" s="5" t="s">
        <v>23</v>
      </c>
      <c r="W2723" s="12">
        <v>15230172</v>
      </c>
      <c r="X2723" s="6"/>
      <c r="Y2723" s="6"/>
    </row>
    <row r="2724" spans="1:25" ht="15" customHeight="1" x14ac:dyDescent="0.2">
      <c r="A2724" s="88" t="s">
        <v>3105</v>
      </c>
      <c r="B2724" s="90"/>
      <c r="C2724" s="88" t="s">
        <v>3254</v>
      </c>
      <c r="D2724" s="90"/>
      <c r="E2724" s="88" t="s">
        <v>3255</v>
      </c>
      <c r="F2724" s="89"/>
      <c r="G2724" s="89"/>
      <c r="H2724" s="89"/>
      <c r="I2724" s="90"/>
      <c r="J2724" s="88" t="s">
        <v>770</v>
      </c>
      <c r="K2724" s="89"/>
      <c r="L2724" s="89"/>
      <c r="M2724" s="90"/>
      <c r="N2724" s="88" t="s">
        <v>1725</v>
      </c>
      <c r="O2724" s="89"/>
      <c r="P2724" s="90"/>
      <c r="Q2724" s="133">
        <v>0</v>
      </c>
      <c r="R2724" s="134"/>
      <c r="S2724" s="5" t="s">
        <v>16</v>
      </c>
      <c r="T2724" s="8">
        <v>2375</v>
      </c>
      <c r="U2724" s="8">
        <v>5</v>
      </c>
      <c r="V2724" s="5" t="s">
        <v>17</v>
      </c>
      <c r="W2724" s="12">
        <v>13525511</v>
      </c>
      <c r="X2724" s="6"/>
      <c r="Y2724" s="6"/>
    </row>
    <row r="2725" spans="1:25" ht="15" customHeight="1" x14ac:dyDescent="0.2">
      <c r="A2725" s="88" t="s">
        <v>3105</v>
      </c>
      <c r="B2725" s="90"/>
      <c r="C2725" s="88" t="s">
        <v>3256</v>
      </c>
      <c r="D2725" s="90"/>
      <c r="E2725" s="88" t="s">
        <v>3257</v>
      </c>
      <c r="F2725" s="89"/>
      <c r="G2725" s="89"/>
      <c r="H2725" s="89"/>
      <c r="I2725" s="90"/>
      <c r="J2725" s="88" t="s">
        <v>770</v>
      </c>
      <c r="K2725" s="89"/>
      <c r="L2725" s="89"/>
      <c r="M2725" s="90"/>
      <c r="N2725" s="88" t="s">
        <v>26</v>
      </c>
      <c r="O2725" s="89"/>
      <c r="P2725" s="90"/>
      <c r="Q2725" s="133">
        <v>1986</v>
      </c>
      <c r="R2725" s="134"/>
      <c r="S2725" s="5" t="s">
        <v>16</v>
      </c>
      <c r="T2725" s="8">
        <v>1745</v>
      </c>
      <c r="U2725" s="8">
        <v>5</v>
      </c>
      <c r="V2725" s="5" t="s">
        <v>23</v>
      </c>
      <c r="W2725" s="12">
        <v>7417723</v>
      </c>
      <c r="X2725" s="6"/>
      <c r="Y2725" s="6"/>
    </row>
    <row r="2726" spans="1:25" ht="15" customHeight="1" x14ac:dyDescent="0.2">
      <c r="A2726" s="88" t="s">
        <v>3105</v>
      </c>
      <c r="B2726" s="90"/>
      <c r="C2726" s="88" t="s">
        <v>3256</v>
      </c>
      <c r="D2726" s="90"/>
      <c r="E2726" s="88" t="s">
        <v>3258</v>
      </c>
      <c r="F2726" s="89"/>
      <c r="G2726" s="89"/>
      <c r="H2726" s="89"/>
      <c r="I2726" s="90"/>
      <c r="J2726" s="88" t="s">
        <v>770</v>
      </c>
      <c r="K2726" s="89"/>
      <c r="L2726" s="89"/>
      <c r="M2726" s="90"/>
      <c r="N2726" s="88" t="s">
        <v>22</v>
      </c>
      <c r="O2726" s="89"/>
      <c r="P2726" s="90"/>
      <c r="Q2726" s="133">
        <v>1986</v>
      </c>
      <c r="R2726" s="134"/>
      <c r="S2726" s="5" t="s">
        <v>16</v>
      </c>
      <c r="T2726" s="8">
        <v>1745</v>
      </c>
      <c r="U2726" s="8">
        <v>5</v>
      </c>
      <c r="V2726" s="5" t="s">
        <v>23</v>
      </c>
      <c r="W2726" s="12">
        <v>7417723</v>
      </c>
      <c r="X2726" s="6"/>
      <c r="Y2726" s="6"/>
    </row>
    <row r="2727" spans="1:25" ht="15" customHeight="1" x14ac:dyDescent="0.2">
      <c r="A2727" s="88" t="s">
        <v>3105</v>
      </c>
      <c r="B2727" s="90"/>
      <c r="C2727" s="88" t="s">
        <v>3256</v>
      </c>
      <c r="D2727" s="90"/>
      <c r="E2727" s="88" t="s">
        <v>3259</v>
      </c>
      <c r="F2727" s="89"/>
      <c r="G2727" s="89"/>
      <c r="H2727" s="89"/>
      <c r="I2727" s="90"/>
      <c r="J2727" s="88" t="s">
        <v>770</v>
      </c>
      <c r="K2727" s="89"/>
      <c r="L2727" s="89"/>
      <c r="M2727" s="90"/>
      <c r="N2727" s="88" t="s">
        <v>26</v>
      </c>
      <c r="O2727" s="89"/>
      <c r="P2727" s="90"/>
      <c r="Q2727" s="133">
        <v>1986</v>
      </c>
      <c r="R2727" s="134"/>
      <c r="S2727" s="5" t="s">
        <v>16</v>
      </c>
      <c r="T2727" s="8">
        <v>1745</v>
      </c>
      <c r="U2727" s="8">
        <v>5</v>
      </c>
      <c r="V2727" s="5" t="s">
        <v>23</v>
      </c>
      <c r="W2727" s="12">
        <v>6695220</v>
      </c>
      <c r="X2727" s="6"/>
      <c r="Y2727" s="6"/>
    </row>
    <row r="2728" spans="1:25" ht="15" customHeight="1" x14ac:dyDescent="0.2">
      <c r="A2728" s="88" t="s">
        <v>3105</v>
      </c>
      <c r="B2728" s="90"/>
      <c r="C2728" s="88" t="s">
        <v>3260</v>
      </c>
      <c r="D2728" s="90"/>
      <c r="E2728" s="88" t="s">
        <v>3261</v>
      </c>
      <c r="F2728" s="89"/>
      <c r="G2728" s="89"/>
      <c r="H2728" s="89"/>
      <c r="I2728" s="90"/>
      <c r="J2728" s="88" t="s">
        <v>770</v>
      </c>
      <c r="K2728" s="89"/>
      <c r="L2728" s="89"/>
      <c r="M2728" s="90"/>
      <c r="N2728" s="88" t="s">
        <v>26</v>
      </c>
      <c r="O2728" s="89"/>
      <c r="P2728" s="90"/>
      <c r="Q2728" s="133">
        <v>1986</v>
      </c>
      <c r="R2728" s="134"/>
      <c r="S2728" s="5" t="s">
        <v>16</v>
      </c>
      <c r="T2728" s="8">
        <v>1855</v>
      </c>
      <c r="U2728" s="8">
        <v>5</v>
      </c>
      <c r="V2728" s="5" t="s">
        <v>23</v>
      </c>
      <c r="W2728" s="12">
        <v>8804507</v>
      </c>
      <c r="X2728" s="6"/>
      <c r="Y2728" s="6"/>
    </row>
    <row r="2729" spans="1:25" ht="15" customHeight="1" x14ac:dyDescent="0.2">
      <c r="A2729" s="88" t="s">
        <v>3105</v>
      </c>
      <c r="B2729" s="90"/>
      <c r="C2729" s="88" t="s">
        <v>3262</v>
      </c>
      <c r="D2729" s="90"/>
      <c r="E2729" s="88" t="s">
        <v>3257</v>
      </c>
      <c r="F2729" s="89"/>
      <c r="G2729" s="89"/>
      <c r="H2729" s="89"/>
      <c r="I2729" s="90"/>
      <c r="J2729" s="88" t="s">
        <v>770</v>
      </c>
      <c r="K2729" s="89"/>
      <c r="L2729" s="89"/>
      <c r="M2729" s="90"/>
      <c r="N2729" s="88" t="s">
        <v>22</v>
      </c>
      <c r="O2729" s="89"/>
      <c r="P2729" s="90"/>
      <c r="Q2729" s="133">
        <v>1986</v>
      </c>
      <c r="R2729" s="134"/>
      <c r="S2729" s="5" t="s">
        <v>16</v>
      </c>
      <c r="T2729" s="8">
        <v>1855</v>
      </c>
      <c r="U2729" s="8">
        <v>5</v>
      </c>
      <c r="V2729" s="5" t="s">
        <v>23</v>
      </c>
      <c r="W2729" s="12">
        <v>8804507</v>
      </c>
      <c r="X2729" s="6"/>
      <c r="Y2729" s="6"/>
    </row>
    <row r="2730" spans="1:25" ht="15" customHeight="1" x14ac:dyDescent="0.2">
      <c r="A2730" s="88" t="s">
        <v>3105</v>
      </c>
      <c r="B2730" s="90"/>
      <c r="C2730" s="88" t="s">
        <v>3262</v>
      </c>
      <c r="D2730" s="90"/>
      <c r="E2730" s="88" t="s">
        <v>3257</v>
      </c>
      <c r="F2730" s="89"/>
      <c r="G2730" s="89"/>
      <c r="H2730" s="89"/>
      <c r="I2730" s="90"/>
      <c r="J2730" s="88" t="s">
        <v>770</v>
      </c>
      <c r="K2730" s="89"/>
      <c r="L2730" s="89"/>
      <c r="M2730" s="90"/>
      <c r="N2730" s="88" t="s">
        <v>26</v>
      </c>
      <c r="O2730" s="89"/>
      <c r="P2730" s="90"/>
      <c r="Q2730" s="133">
        <v>1986</v>
      </c>
      <c r="R2730" s="134"/>
      <c r="S2730" s="5" t="s">
        <v>16</v>
      </c>
      <c r="T2730" s="8">
        <v>1845</v>
      </c>
      <c r="U2730" s="8">
        <v>7</v>
      </c>
      <c r="V2730" s="5" t="s">
        <v>23</v>
      </c>
      <c r="W2730" s="12">
        <v>7729408</v>
      </c>
      <c r="X2730" s="6"/>
      <c r="Y2730" s="6"/>
    </row>
    <row r="2731" spans="1:25" ht="15" customHeight="1" x14ac:dyDescent="0.2">
      <c r="A2731" s="88" t="s">
        <v>3105</v>
      </c>
      <c r="B2731" s="90"/>
      <c r="C2731" s="88" t="s">
        <v>3263</v>
      </c>
      <c r="D2731" s="90"/>
      <c r="E2731" s="88" t="s">
        <v>3264</v>
      </c>
      <c r="F2731" s="89"/>
      <c r="G2731" s="89"/>
      <c r="H2731" s="89"/>
      <c r="I2731" s="90"/>
      <c r="J2731" s="88" t="s">
        <v>770</v>
      </c>
      <c r="K2731" s="89"/>
      <c r="L2731" s="89"/>
      <c r="M2731" s="90"/>
      <c r="N2731" s="88" t="s">
        <v>22</v>
      </c>
      <c r="O2731" s="89"/>
      <c r="P2731" s="90"/>
      <c r="Q2731" s="133">
        <v>1986</v>
      </c>
      <c r="R2731" s="134"/>
      <c r="S2731" s="5" t="s">
        <v>16</v>
      </c>
      <c r="T2731" s="8">
        <v>1835</v>
      </c>
      <c r="U2731" s="8">
        <v>5</v>
      </c>
      <c r="V2731" s="5" t="s">
        <v>23</v>
      </c>
      <c r="W2731" s="12">
        <v>9068240</v>
      </c>
      <c r="X2731" s="6"/>
      <c r="Y2731" s="6"/>
    </row>
    <row r="2732" spans="1:25" ht="15" customHeight="1" x14ac:dyDescent="0.2">
      <c r="A2732" s="88" t="s">
        <v>3105</v>
      </c>
      <c r="B2732" s="90"/>
      <c r="C2732" s="88" t="s">
        <v>3263</v>
      </c>
      <c r="D2732" s="90"/>
      <c r="E2732" s="88" t="s">
        <v>3265</v>
      </c>
      <c r="F2732" s="89"/>
      <c r="G2732" s="89"/>
      <c r="H2732" s="89"/>
      <c r="I2732" s="90"/>
      <c r="J2732" s="88" t="s">
        <v>770</v>
      </c>
      <c r="K2732" s="89"/>
      <c r="L2732" s="89"/>
      <c r="M2732" s="90"/>
      <c r="N2732" s="88" t="s">
        <v>26</v>
      </c>
      <c r="O2732" s="89"/>
      <c r="P2732" s="90"/>
      <c r="Q2732" s="133">
        <v>1986</v>
      </c>
      <c r="R2732" s="134"/>
      <c r="S2732" s="5" t="s">
        <v>16</v>
      </c>
      <c r="T2732" s="8">
        <v>1855</v>
      </c>
      <c r="U2732" s="8">
        <v>5</v>
      </c>
      <c r="V2732" s="5" t="s">
        <v>23</v>
      </c>
      <c r="W2732" s="12">
        <v>8231564</v>
      </c>
      <c r="X2732" s="6"/>
      <c r="Y2732" s="6"/>
    </row>
    <row r="2733" spans="1:25" ht="15" customHeight="1" x14ac:dyDescent="0.2">
      <c r="A2733" s="88" t="s">
        <v>3105</v>
      </c>
      <c r="B2733" s="90"/>
      <c r="C2733" s="88" t="s">
        <v>3266</v>
      </c>
      <c r="D2733" s="90"/>
      <c r="E2733" s="88" t="s">
        <v>3267</v>
      </c>
      <c r="F2733" s="89"/>
      <c r="G2733" s="89"/>
      <c r="H2733" s="89"/>
      <c r="I2733" s="90"/>
      <c r="J2733" s="88" t="s">
        <v>770</v>
      </c>
      <c r="K2733" s="89"/>
      <c r="L2733" s="89"/>
      <c r="M2733" s="90"/>
      <c r="N2733" s="88" t="s">
        <v>26</v>
      </c>
      <c r="O2733" s="89"/>
      <c r="P2733" s="90"/>
      <c r="Q2733" s="133">
        <v>0</v>
      </c>
      <c r="R2733" s="134"/>
      <c r="S2733" s="5" t="s">
        <v>16</v>
      </c>
      <c r="T2733" s="8">
        <v>2075</v>
      </c>
      <c r="U2733" s="8">
        <v>5</v>
      </c>
      <c r="V2733" s="5" t="s">
        <v>17</v>
      </c>
      <c r="W2733" s="12">
        <v>9759886</v>
      </c>
      <c r="X2733" s="6"/>
      <c r="Y2733" s="6"/>
    </row>
    <row r="2734" spans="1:25" ht="15" customHeight="1" x14ac:dyDescent="0.2">
      <c r="A2734" s="88" t="s">
        <v>1246</v>
      </c>
      <c r="B2734" s="90"/>
      <c r="C2734" s="88" t="s">
        <v>3268</v>
      </c>
      <c r="D2734" s="90"/>
      <c r="E2734" s="106"/>
      <c r="F2734" s="107"/>
      <c r="G2734" s="107"/>
      <c r="H2734" s="107"/>
      <c r="I2734" s="108"/>
      <c r="J2734" s="106"/>
      <c r="K2734" s="107"/>
      <c r="L2734" s="107"/>
      <c r="M2734" s="108"/>
      <c r="N2734" s="88" t="s">
        <v>3269</v>
      </c>
      <c r="O2734" s="89"/>
      <c r="P2734" s="90"/>
      <c r="Q2734" s="106"/>
      <c r="R2734" s="108"/>
      <c r="S2734" s="5" t="s">
        <v>945</v>
      </c>
      <c r="T2734" s="6"/>
      <c r="U2734" s="6"/>
      <c r="V2734" s="5" t="s">
        <v>106</v>
      </c>
      <c r="W2734" s="10">
        <v>32258377</v>
      </c>
      <c r="X2734" s="6"/>
      <c r="Y2734" s="6"/>
    </row>
    <row r="2735" spans="1:25" ht="15" customHeight="1" x14ac:dyDescent="0.2">
      <c r="A2735" s="88" t="s">
        <v>1246</v>
      </c>
      <c r="B2735" s="90"/>
      <c r="C2735" s="88" t="s">
        <v>3270</v>
      </c>
      <c r="D2735" s="90"/>
      <c r="E2735" s="106"/>
      <c r="F2735" s="107"/>
      <c r="G2735" s="107"/>
      <c r="H2735" s="107"/>
      <c r="I2735" s="108"/>
      <c r="J2735" s="106"/>
      <c r="K2735" s="107"/>
      <c r="L2735" s="107"/>
      <c r="M2735" s="108"/>
      <c r="N2735" s="88" t="s">
        <v>1296</v>
      </c>
      <c r="O2735" s="89"/>
      <c r="P2735" s="90"/>
      <c r="Q2735" s="88" t="s">
        <v>3271</v>
      </c>
      <c r="R2735" s="90"/>
      <c r="S2735" s="5" t="s">
        <v>945</v>
      </c>
      <c r="T2735" s="8">
        <v>1200</v>
      </c>
      <c r="U2735" s="6"/>
      <c r="V2735" s="5" t="s">
        <v>106</v>
      </c>
      <c r="W2735" s="9">
        <v>12283139</v>
      </c>
      <c r="X2735" s="6"/>
      <c r="Y2735" s="6"/>
    </row>
    <row r="2736" spans="1:25" ht="15" customHeight="1" x14ac:dyDescent="0.2">
      <c r="A2736" s="88" t="s">
        <v>1246</v>
      </c>
      <c r="B2736" s="90"/>
      <c r="C2736" s="88" t="s">
        <v>3272</v>
      </c>
      <c r="D2736" s="90"/>
      <c r="E2736" s="106"/>
      <c r="F2736" s="107"/>
      <c r="G2736" s="107"/>
      <c r="H2736" s="107"/>
      <c r="I2736" s="108"/>
      <c r="J2736" s="106"/>
      <c r="K2736" s="107"/>
      <c r="L2736" s="107"/>
      <c r="M2736" s="108"/>
      <c r="N2736" s="106"/>
      <c r="O2736" s="107"/>
      <c r="P2736" s="108"/>
      <c r="Q2736" s="106"/>
      <c r="R2736" s="108"/>
      <c r="S2736" s="5" t="s">
        <v>945</v>
      </c>
      <c r="T2736" s="8">
        <v>5000</v>
      </c>
      <c r="U2736" s="6"/>
      <c r="V2736" s="5" t="s">
        <v>106</v>
      </c>
      <c r="W2736" s="10">
        <v>26996372</v>
      </c>
      <c r="X2736" s="6"/>
      <c r="Y2736" s="6"/>
    </row>
    <row r="2737" spans="1:25" ht="15" customHeight="1" x14ac:dyDescent="0.2">
      <c r="A2737" s="88" t="s">
        <v>1246</v>
      </c>
      <c r="B2737" s="90"/>
      <c r="C2737" s="88" t="s">
        <v>3273</v>
      </c>
      <c r="D2737" s="90"/>
      <c r="E2737" s="106"/>
      <c r="F2737" s="107"/>
      <c r="G2737" s="107"/>
      <c r="H2737" s="107"/>
      <c r="I2737" s="108"/>
      <c r="J2737" s="106"/>
      <c r="K2737" s="107"/>
      <c r="L2737" s="107"/>
      <c r="M2737" s="108"/>
      <c r="N2737" s="88" t="s">
        <v>3269</v>
      </c>
      <c r="O2737" s="89"/>
      <c r="P2737" s="90"/>
      <c r="Q2737" s="88" t="s">
        <v>3274</v>
      </c>
      <c r="R2737" s="90"/>
      <c r="S2737" s="5" t="s">
        <v>945</v>
      </c>
      <c r="T2737" s="6"/>
      <c r="U2737" s="6"/>
      <c r="V2737" s="5" t="s">
        <v>106</v>
      </c>
      <c r="W2737" s="10">
        <v>22855403</v>
      </c>
      <c r="X2737" s="6"/>
      <c r="Y2737" s="6"/>
    </row>
    <row r="2738" spans="1:25" ht="15" customHeight="1" x14ac:dyDescent="0.2">
      <c r="A2738" s="88" t="s">
        <v>1246</v>
      </c>
      <c r="B2738" s="90"/>
      <c r="C2738" s="88" t="s">
        <v>3275</v>
      </c>
      <c r="D2738" s="90"/>
      <c r="E2738" s="106"/>
      <c r="F2738" s="107"/>
      <c r="G2738" s="107"/>
      <c r="H2738" s="107"/>
      <c r="I2738" s="108"/>
      <c r="J2738" s="106"/>
      <c r="K2738" s="107"/>
      <c r="L2738" s="107"/>
      <c r="M2738" s="108"/>
      <c r="N2738" s="88" t="s">
        <v>3269</v>
      </c>
      <c r="O2738" s="89"/>
      <c r="P2738" s="90"/>
      <c r="Q2738" s="88" t="s">
        <v>3276</v>
      </c>
      <c r="R2738" s="90"/>
      <c r="S2738" s="5" t="s">
        <v>945</v>
      </c>
      <c r="T2738" s="6"/>
      <c r="U2738" s="6"/>
      <c r="V2738" s="5" t="s">
        <v>702</v>
      </c>
      <c r="W2738" s="9">
        <v>23198577</v>
      </c>
      <c r="X2738" s="6"/>
      <c r="Y2738" s="6"/>
    </row>
    <row r="2739" spans="1:25" ht="15" customHeight="1" x14ac:dyDescent="0.2">
      <c r="A2739" s="88" t="s">
        <v>1246</v>
      </c>
      <c r="B2739" s="90"/>
      <c r="C2739" s="88" t="s">
        <v>3277</v>
      </c>
      <c r="D2739" s="90"/>
      <c r="E2739" s="106"/>
      <c r="F2739" s="107"/>
      <c r="G2739" s="107"/>
      <c r="H2739" s="107"/>
      <c r="I2739" s="108"/>
      <c r="J2739" s="106"/>
      <c r="K2739" s="107"/>
      <c r="L2739" s="107"/>
      <c r="M2739" s="108"/>
      <c r="N2739" s="88" t="s">
        <v>3269</v>
      </c>
      <c r="O2739" s="89"/>
      <c r="P2739" s="90"/>
      <c r="Q2739" s="88" t="s">
        <v>3276</v>
      </c>
      <c r="R2739" s="90"/>
      <c r="S2739" s="5" t="s">
        <v>945</v>
      </c>
      <c r="T2739" s="8">
        <v>10600</v>
      </c>
      <c r="U2739" s="6"/>
      <c r="V2739" s="5" t="s">
        <v>106</v>
      </c>
      <c r="W2739" s="10">
        <v>29512983</v>
      </c>
      <c r="X2739" s="6"/>
      <c r="Y2739" s="6"/>
    </row>
    <row r="2740" spans="1:25" ht="15" customHeight="1" x14ac:dyDescent="0.2">
      <c r="A2740" s="88" t="s">
        <v>1246</v>
      </c>
      <c r="B2740" s="90"/>
      <c r="C2740" s="88" t="s">
        <v>3278</v>
      </c>
      <c r="D2740" s="90"/>
      <c r="E2740" s="106"/>
      <c r="F2740" s="107"/>
      <c r="G2740" s="107"/>
      <c r="H2740" s="107"/>
      <c r="I2740" s="108"/>
      <c r="J2740" s="106"/>
      <c r="K2740" s="107"/>
      <c r="L2740" s="107"/>
      <c r="M2740" s="108"/>
      <c r="N2740" s="88" t="s">
        <v>3269</v>
      </c>
      <c r="O2740" s="89"/>
      <c r="P2740" s="90"/>
      <c r="Q2740" s="88" t="s">
        <v>3276</v>
      </c>
      <c r="R2740" s="90"/>
      <c r="S2740" s="5" t="s">
        <v>945</v>
      </c>
      <c r="T2740" s="8">
        <v>10200</v>
      </c>
      <c r="U2740" s="6"/>
      <c r="V2740" s="5" t="s">
        <v>106</v>
      </c>
      <c r="W2740" s="10">
        <v>30176453</v>
      </c>
      <c r="X2740" s="6"/>
      <c r="Y2740" s="6"/>
    </row>
    <row r="2741" spans="1:25" ht="15" customHeight="1" x14ac:dyDescent="0.2">
      <c r="A2741" s="88" t="s">
        <v>1246</v>
      </c>
      <c r="B2741" s="90"/>
      <c r="C2741" s="88" t="s">
        <v>3279</v>
      </c>
      <c r="D2741" s="90"/>
      <c r="E2741" s="106"/>
      <c r="F2741" s="107"/>
      <c r="G2741" s="107"/>
      <c r="H2741" s="107"/>
      <c r="I2741" s="108"/>
      <c r="J2741" s="106"/>
      <c r="K2741" s="107"/>
      <c r="L2741" s="107"/>
      <c r="M2741" s="108"/>
      <c r="N2741" s="88" t="s">
        <v>3269</v>
      </c>
      <c r="O2741" s="89"/>
      <c r="P2741" s="90"/>
      <c r="Q2741" s="88" t="s">
        <v>3274</v>
      </c>
      <c r="R2741" s="90"/>
      <c r="S2741" s="5" t="s">
        <v>945</v>
      </c>
      <c r="T2741" s="6"/>
      <c r="U2741" s="6"/>
      <c r="V2741" s="5" t="s">
        <v>702</v>
      </c>
      <c r="W2741" s="9">
        <v>23198577</v>
      </c>
      <c r="X2741" s="6"/>
      <c r="Y2741" s="6"/>
    </row>
    <row r="2742" spans="1:25" ht="15" customHeight="1" x14ac:dyDescent="0.2">
      <c r="A2742" s="88" t="s">
        <v>1246</v>
      </c>
      <c r="B2742" s="90"/>
      <c r="C2742" s="88" t="s">
        <v>3280</v>
      </c>
      <c r="D2742" s="90"/>
      <c r="E2742" s="106"/>
      <c r="F2742" s="107"/>
      <c r="G2742" s="107"/>
      <c r="H2742" s="107"/>
      <c r="I2742" s="108"/>
      <c r="J2742" s="106"/>
      <c r="K2742" s="107"/>
      <c r="L2742" s="107"/>
      <c r="M2742" s="108"/>
      <c r="N2742" s="88" t="s">
        <v>1296</v>
      </c>
      <c r="O2742" s="89"/>
      <c r="P2742" s="90"/>
      <c r="Q2742" s="88" t="s">
        <v>3281</v>
      </c>
      <c r="R2742" s="90"/>
      <c r="S2742" s="5" t="s">
        <v>945</v>
      </c>
      <c r="T2742" s="6"/>
      <c r="U2742" s="6"/>
      <c r="V2742" s="5" t="s">
        <v>106</v>
      </c>
      <c r="W2742" s="10">
        <v>26515928</v>
      </c>
      <c r="X2742" s="6"/>
      <c r="Y2742" s="6"/>
    </row>
    <row r="2743" spans="1:25" ht="15" customHeight="1" x14ac:dyDescent="0.2">
      <c r="A2743" s="88" t="s">
        <v>1246</v>
      </c>
      <c r="B2743" s="90"/>
      <c r="C2743" s="88" t="s">
        <v>3282</v>
      </c>
      <c r="D2743" s="90"/>
      <c r="E2743" s="106"/>
      <c r="F2743" s="107"/>
      <c r="G2743" s="107"/>
      <c r="H2743" s="107"/>
      <c r="I2743" s="108"/>
      <c r="J2743" s="106"/>
      <c r="K2743" s="107"/>
      <c r="L2743" s="107"/>
      <c r="M2743" s="108"/>
      <c r="N2743" s="88" t="s">
        <v>1296</v>
      </c>
      <c r="O2743" s="89"/>
      <c r="P2743" s="90"/>
      <c r="Q2743" s="88" t="s">
        <v>3283</v>
      </c>
      <c r="R2743" s="90"/>
      <c r="S2743" s="5" t="s">
        <v>945</v>
      </c>
      <c r="T2743" s="6"/>
      <c r="U2743" s="6"/>
      <c r="V2743" s="5" t="s">
        <v>106</v>
      </c>
      <c r="W2743" s="10">
        <v>37726286</v>
      </c>
      <c r="X2743" s="6"/>
      <c r="Y2743" s="6"/>
    </row>
    <row r="2744" spans="1:25" ht="15" customHeight="1" x14ac:dyDescent="0.2">
      <c r="A2744" s="88" t="s">
        <v>1246</v>
      </c>
      <c r="B2744" s="90"/>
      <c r="C2744" s="88" t="s">
        <v>3284</v>
      </c>
      <c r="D2744" s="90"/>
      <c r="E2744" s="106"/>
      <c r="F2744" s="107"/>
      <c r="G2744" s="107"/>
      <c r="H2744" s="107"/>
      <c r="I2744" s="108"/>
      <c r="J2744" s="106"/>
      <c r="K2744" s="107"/>
      <c r="L2744" s="107"/>
      <c r="M2744" s="108"/>
      <c r="N2744" s="88" t="s">
        <v>1296</v>
      </c>
      <c r="O2744" s="89"/>
      <c r="P2744" s="90"/>
      <c r="Q2744" s="133">
        <v>320</v>
      </c>
      <c r="R2744" s="134"/>
      <c r="S2744" s="5" t="s">
        <v>945</v>
      </c>
      <c r="T2744" s="6"/>
      <c r="U2744" s="6"/>
      <c r="V2744" s="5" t="s">
        <v>106</v>
      </c>
      <c r="W2744" s="10">
        <v>26515928</v>
      </c>
      <c r="X2744" s="6"/>
      <c r="Y2744" s="6"/>
    </row>
    <row r="2745" spans="1:25" ht="15" customHeight="1" x14ac:dyDescent="0.2">
      <c r="A2745" s="88" t="s">
        <v>1246</v>
      </c>
      <c r="B2745" s="90"/>
      <c r="C2745" s="88" t="s">
        <v>3285</v>
      </c>
      <c r="D2745" s="90"/>
      <c r="E2745" s="106"/>
      <c r="F2745" s="107"/>
      <c r="G2745" s="107"/>
      <c r="H2745" s="107"/>
      <c r="I2745" s="108"/>
      <c r="J2745" s="106"/>
      <c r="K2745" s="107"/>
      <c r="L2745" s="107"/>
      <c r="M2745" s="108"/>
      <c r="N2745" s="88" t="s">
        <v>3269</v>
      </c>
      <c r="O2745" s="89"/>
      <c r="P2745" s="90"/>
      <c r="Q2745" s="88" t="s">
        <v>3281</v>
      </c>
      <c r="R2745" s="90"/>
      <c r="S2745" s="5" t="s">
        <v>945</v>
      </c>
      <c r="T2745" s="6"/>
      <c r="U2745" s="6"/>
      <c r="V2745" s="5" t="s">
        <v>106</v>
      </c>
      <c r="W2745" s="10">
        <v>25738066</v>
      </c>
      <c r="X2745" s="6"/>
      <c r="Y2745" s="6"/>
    </row>
    <row r="2746" spans="1:25" ht="15" customHeight="1" x14ac:dyDescent="0.2">
      <c r="A2746" s="88" t="s">
        <v>1246</v>
      </c>
      <c r="B2746" s="90"/>
      <c r="C2746" s="88" t="s">
        <v>3286</v>
      </c>
      <c r="D2746" s="90"/>
      <c r="E2746" s="106"/>
      <c r="F2746" s="107"/>
      <c r="G2746" s="107"/>
      <c r="H2746" s="107"/>
      <c r="I2746" s="108"/>
      <c r="J2746" s="106"/>
      <c r="K2746" s="107"/>
      <c r="L2746" s="107"/>
      <c r="M2746" s="108"/>
      <c r="N2746" s="88" t="s">
        <v>1296</v>
      </c>
      <c r="O2746" s="89"/>
      <c r="P2746" s="90"/>
      <c r="Q2746" s="88" t="s">
        <v>3281</v>
      </c>
      <c r="R2746" s="90"/>
      <c r="S2746" s="5" t="s">
        <v>945</v>
      </c>
      <c r="T2746" s="6"/>
      <c r="U2746" s="6"/>
      <c r="V2746" s="5" t="s">
        <v>106</v>
      </c>
      <c r="W2746" s="10">
        <v>30405236</v>
      </c>
      <c r="X2746" s="6"/>
      <c r="Y2746" s="6"/>
    </row>
    <row r="2747" spans="1:25" ht="15" customHeight="1" x14ac:dyDescent="0.2">
      <c r="A2747" s="88" t="s">
        <v>1246</v>
      </c>
      <c r="B2747" s="90"/>
      <c r="C2747" s="88" t="s">
        <v>3287</v>
      </c>
      <c r="D2747" s="90"/>
      <c r="E2747" s="106"/>
      <c r="F2747" s="107"/>
      <c r="G2747" s="107"/>
      <c r="H2747" s="107"/>
      <c r="I2747" s="108"/>
      <c r="J2747" s="106"/>
      <c r="K2747" s="107"/>
      <c r="L2747" s="107"/>
      <c r="M2747" s="108"/>
      <c r="N2747" s="88" t="s">
        <v>1296</v>
      </c>
      <c r="O2747" s="89"/>
      <c r="P2747" s="90"/>
      <c r="Q2747" s="88" t="s">
        <v>3281</v>
      </c>
      <c r="R2747" s="90"/>
      <c r="S2747" s="5" t="s">
        <v>945</v>
      </c>
      <c r="T2747" s="6"/>
      <c r="U2747" s="6"/>
      <c r="V2747" s="5" t="s">
        <v>106</v>
      </c>
      <c r="W2747" s="10">
        <v>26973494</v>
      </c>
      <c r="X2747" s="6"/>
      <c r="Y2747" s="6"/>
    </row>
    <row r="2748" spans="1:25" ht="15" customHeight="1" x14ac:dyDescent="0.2">
      <c r="A2748" s="88" t="s">
        <v>1246</v>
      </c>
      <c r="B2748" s="90"/>
      <c r="C2748" s="88" t="s">
        <v>3288</v>
      </c>
      <c r="D2748" s="90"/>
      <c r="E2748" s="106"/>
      <c r="F2748" s="107"/>
      <c r="G2748" s="107"/>
      <c r="H2748" s="107"/>
      <c r="I2748" s="108"/>
      <c r="J2748" s="106"/>
      <c r="K2748" s="107"/>
      <c r="L2748" s="107"/>
      <c r="M2748" s="108"/>
      <c r="N2748" s="88" t="s">
        <v>1289</v>
      </c>
      <c r="O2748" s="89"/>
      <c r="P2748" s="90"/>
      <c r="Q2748" s="88" t="s">
        <v>3289</v>
      </c>
      <c r="R2748" s="90"/>
      <c r="S2748" s="5" t="s">
        <v>945</v>
      </c>
      <c r="T2748" s="6"/>
      <c r="U2748" s="6"/>
      <c r="V2748" s="5" t="s">
        <v>106</v>
      </c>
      <c r="W2748" s="10">
        <v>33836978</v>
      </c>
      <c r="X2748" s="6"/>
      <c r="Y2748" s="6"/>
    </row>
    <row r="2749" spans="1:25" ht="15" customHeight="1" x14ac:dyDescent="0.2">
      <c r="A2749" s="88" t="s">
        <v>1246</v>
      </c>
      <c r="B2749" s="90"/>
      <c r="C2749" s="88" t="s">
        <v>3290</v>
      </c>
      <c r="D2749" s="90"/>
      <c r="E2749" s="106"/>
      <c r="F2749" s="107"/>
      <c r="G2749" s="107"/>
      <c r="H2749" s="107"/>
      <c r="I2749" s="108"/>
      <c r="J2749" s="106"/>
      <c r="K2749" s="107"/>
      <c r="L2749" s="107"/>
      <c r="M2749" s="108"/>
      <c r="N2749" s="88" t="s">
        <v>1311</v>
      </c>
      <c r="O2749" s="89"/>
      <c r="P2749" s="90"/>
      <c r="Q2749" s="88" t="s">
        <v>3291</v>
      </c>
      <c r="R2749" s="90"/>
      <c r="S2749" s="5" t="s">
        <v>945</v>
      </c>
      <c r="T2749" s="6"/>
      <c r="U2749" s="6"/>
      <c r="V2749" s="5" t="s">
        <v>106</v>
      </c>
      <c r="W2749" s="9">
        <v>54107135</v>
      </c>
      <c r="X2749" s="6"/>
      <c r="Y2749" s="6"/>
    </row>
    <row r="2750" spans="1:25" ht="15" customHeight="1" x14ac:dyDescent="0.2">
      <c r="A2750" s="88" t="s">
        <v>1246</v>
      </c>
      <c r="B2750" s="90"/>
      <c r="C2750" s="88" t="s">
        <v>3292</v>
      </c>
      <c r="D2750" s="90"/>
      <c r="E2750" s="106"/>
      <c r="F2750" s="107"/>
      <c r="G2750" s="107"/>
      <c r="H2750" s="107"/>
      <c r="I2750" s="108"/>
      <c r="J2750" s="106"/>
      <c r="K2750" s="107"/>
      <c r="L2750" s="107"/>
      <c r="M2750" s="108"/>
      <c r="N2750" s="88" t="s">
        <v>1293</v>
      </c>
      <c r="O2750" s="89"/>
      <c r="P2750" s="90"/>
      <c r="Q2750" s="88" t="s">
        <v>3293</v>
      </c>
      <c r="R2750" s="90"/>
      <c r="S2750" s="5" t="s">
        <v>945</v>
      </c>
      <c r="T2750" s="6"/>
      <c r="U2750" s="6"/>
      <c r="V2750" s="5" t="s">
        <v>106</v>
      </c>
      <c r="W2750" s="12">
        <v>48021512</v>
      </c>
      <c r="X2750" s="6"/>
      <c r="Y2750" s="6"/>
    </row>
    <row r="2751" spans="1:25" ht="15" customHeight="1" x14ac:dyDescent="0.2">
      <c r="A2751" s="88" t="s">
        <v>1246</v>
      </c>
      <c r="B2751" s="90"/>
      <c r="C2751" s="88" t="s">
        <v>3294</v>
      </c>
      <c r="D2751" s="90"/>
      <c r="E2751" s="106"/>
      <c r="F2751" s="107"/>
      <c r="G2751" s="107"/>
      <c r="H2751" s="107"/>
      <c r="I2751" s="108"/>
      <c r="J2751" s="106"/>
      <c r="K2751" s="107"/>
      <c r="L2751" s="107"/>
      <c r="M2751" s="108"/>
      <c r="N2751" s="88" t="s">
        <v>1289</v>
      </c>
      <c r="O2751" s="89"/>
      <c r="P2751" s="90"/>
      <c r="Q2751" s="88" t="s">
        <v>3295</v>
      </c>
      <c r="R2751" s="90"/>
      <c r="S2751" s="5" t="s">
        <v>945</v>
      </c>
      <c r="T2751" s="6"/>
      <c r="U2751" s="6"/>
      <c r="V2751" s="5" t="s">
        <v>106</v>
      </c>
      <c r="W2751" s="12">
        <v>41844376</v>
      </c>
      <c r="X2751" s="6"/>
      <c r="Y2751" s="6"/>
    </row>
    <row r="2752" spans="1:25" ht="15" customHeight="1" x14ac:dyDescent="0.2">
      <c r="A2752" s="88" t="s">
        <v>1246</v>
      </c>
      <c r="B2752" s="90"/>
      <c r="C2752" s="88" t="s">
        <v>3296</v>
      </c>
      <c r="D2752" s="90"/>
      <c r="E2752" s="106"/>
      <c r="F2752" s="107"/>
      <c r="G2752" s="107"/>
      <c r="H2752" s="107"/>
      <c r="I2752" s="108"/>
      <c r="J2752" s="106"/>
      <c r="K2752" s="107"/>
      <c r="L2752" s="107"/>
      <c r="M2752" s="108"/>
      <c r="N2752" s="88" t="s">
        <v>1289</v>
      </c>
      <c r="O2752" s="89"/>
      <c r="P2752" s="90"/>
      <c r="Q2752" s="88" t="s">
        <v>3297</v>
      </c>
      <c r="R2752" s="90"/>
      <c r="S2752" s="5" t="s">
        <v>945</v>
      </c>
      <c r="T2752" s="8">
        <v>18446</v>
      </c>
      <c r="U2752" s="6"/>
      <c r="V2752" s="5" t="s">
        <v>106</v>
      </c>
      <c r="W2752" s="12">
        <v>35461336</v>
      </c>
      <c r="X2752" s="6"/>
      <c r="Y2752" s="6"/>
    </row>
    <row r="2753" spans="1:25" ht="15" customHeight="1" x14ac:dyDescent="0.2">
      <c r="A2753" s="88" t="s">
        <v>1246</v>
      </c>
      <c r="B2753" s="90"/>
      <c r="C2753" s="88" t="s">
        <v>3298</v>
      </c>
      <c r="D2753" s="90"/>
      <c r="E2753" s="106"/>
      <c r="F2753" s="107"/>
      <c r="G2753" s="107"/>
      <c r="H2753" s="107"/>
      <c r="I2753" s="108"/>
      <c r="J2753" s="106"/>
      <c r="K2753" s="107"/>
      <c r="L2753" s="107"/>
      <c r="M2753" s="108"/>
      <c r="N2753" s="88" t="s">
        <v>1289</v>
      </c>
      <c r="O2753" s="89"/>
      <c r="P2753" s="90"/>
      <c r="Q2753" s="88" t="s">
        <v>3293</v>
      </c>
      <c r="R2753" s="90"/>
      <c r="S2753" s="5" t="s">
        <v>945</v>
      </c>
      <c r="T2753" s="6"/>
      <c r="U2753" s="6"/>
      <c r="V2753" s="5" t="s">
        <v>106</v>
      </c>
      <c r="W2753" s="12">
        <v>31549150</v>
      </c>
      <c r="X2753" s="6"/>
      <c r="Y2753" s="6"/>
    </row>
    <row r="2754" spans="1:25" ht="15" customHeight="1" x14ac:dyDescent="0.2">
      <c r="A2754" s="88" t="s">
        <v>1246</v>
      </c>
      <c r="B2754" s="90"/>
      <c r="C2754" s="88" t="s">
        <v>3299</v>
      </c>
      <c r="D2754" s="90"/>
      <c r="E2754" s="106"/>
      <c r="F2754" s="107"/>
      <c r="G2754" s="107"/>
      <c r="H2754" s="107"/>
      <c r="I2754" s="108"/>
      <c r="J2754" s="106"/>
      <c r="K2754" s="107"/>
      <c r="L2754" s="107"/>
      <c r="M2754" s="108"/>
      <c r="N2754" s="88" t="s">
        <v>1289</v>
      </c>
      <c r="O2754" s="89"/>
      <c r="P2754" s="90"/>
      <c r="Q2754" s="88" t="s">
        <v>3300</v>
      </c>
      <c r="R2754" s="90"/>
      <c r="S2754" s="5" t="s">
        <v>945</v>
      </c>
      <c r="T2754" s="6"/>
      <c r="U2754" s="6"/>
      <c r="V2754" s="5" t="s">
        <v>106</v>
      </c>
      <c r="W2754" s="12">
        <v>33608195</v>
      </c>
      <c r="X2754" s="6"/>
      <c r="Y2754" s="6"/>
    </row>
    <row r="2755" spans="1:25" ht="15" customHeight="1" x14ac:dyDescent="0.2">
      <c r="A2755" s="88" t="s">
        <v>1246</v>
      </c>
      <c r="B2755" s="90"/>
      <c r="C2755" s="88" t="s">
        <v>3301</v>
      </c>
      <c r="D2755" s="90"/>
      <c r="E2755" s="106"/>
      <c r="F2755" s="107"/>
      <c r="G2755" s="107"/>
      <c r="H2755" s="107"/>
      <c r="I2755" s="108"/>
      <c r="J2755" s="106"/>
      <c r="K2755" s="107"/>
      <c r="L2755" s="107"/>
      <c r="M2755" s="108"/>
      <c r="N2755" s="88" t="s">
        <v>1289</v>
      </c>
      <c r="O2755" s="89"/>
      <c r="P2755" s="90"/>
      <c r="Q2755" s="88" t="s">
        <v>3302</v>
      </c>
      <c r="R2755" s="90"/>
      <c r="S2755" s="5" t="s">
        <v>945</v>
      </c>
      <c r="T2755" s="8">
        <v>17500</v>
      </c>
      <c r="U2755" s="6"/>
      <c r="V2755" s="5" t="s">
        <v>106</v>
      </c>
      <c r="W2755" s="12">
        <v>37291598</v>
      </c>
      <c r="X2755" s="6"/>
      <c r="Y2755" s="6"/>
    </row>
    <row r="2756" spans="1:25" ht="15" customHeight="1" x14ac:dyDescent="0.2">
      <c r="A2756" s="88" t="s">
        <v>1246</v>
      </c>
      <c r="B2756" s="90"/>
      <c r="C2756" s="88" t="s">
        <v>3303</v>
      </c>
      <c r="D2756" s="90"/>
      <c r="E2756" s="106"/>
      <c r="F2756" s="107"/>
      <c r="G2756" s="107"/>
      <c r="H2756" s="107"/>
      <c r="I2756" s="108"/>
      <c r="J2756" s="106"/>
      <c r="K2756" s="107"/>
      <c r="L2756" s="107"/>
      <c r="M2756" s="108"/>
      <c r="N2756" s="88" t="s">
        <v>1289</v>
      </c>
      <c r="O2756" s="89"/>
      <c r="P2756" s="90"/>
      <c r="Q2756" s="88" t="s">
        <v>3304</v>
      </c>
      <c r="R2756" s="90"/>
      <c r="S2756" s="5" t="s">
        <v>945</v>
      </c>
      <c r="T2756" s="6"/>
      <c r="U2756" s="6"/>
      <c r="V2756" s="5" t="s">
        <v>106</v>
      </c>
      <c r="W2756" s="12">
        <v>31343245</v>
      </c>
      <c r="X2756" s="6"/>
      <c r="Y2756" s="6"/>
    </row>
    <row r="2757" spans="1:25" ht="15" customHeight="1" x14ac:dyDescent="0.2">
      <c r="A2757" s="88" t="s">
        <v>1246</v>
      </c>
      <c r="B2757" s="90"/>
      <c r="C2757" s="88" t="s">
        <v>3305</v>
      </c>
      <c r="D2757" s="90"/>
      <c r="E2757" s="106"/>
      <c r="F2757" s="107"/>
      <c r="G2757" s="107"/>
      <c r="H2757" s="107"/>
      <c r="I2757" s="108"/>
      <c r="J2757" s="106"/>
      <c r="K2757" s="107"/>
      <c r="L2757" s="107"/>
      <c r="M2757" s="108"/>
      <c r="N2757" s="88" t="s">
        <v>3306</v>
      </c>
      <c r="O2757" s="89"/>
      <c r="P2757" s="90"/>
      <c r="Q2757" s="88" t="s">
        <v>3304</v>
      </c>
      <c r="R2757" s="90"/>
      <c r="S2757" s="5" t="s">
        <v>945</v>
      </c>
      <c r="T2757" s="6"/>
      <c r="U2757" s="6"/>
      <c r="V2757" s="5" t="s">
        <v>106</v>
      </c>
      <c r="W2757" s="12">
        <v>33059116</v>
      </c>
      <c r="X2757" s="6"/>
      <c r="Y2757" s="6"/>
    </row>
    <row r="2758" spans="1:25" ht="15" customHeight="1" x14ac:dyDescent="0.2">
      <c r="A2758" s="88" t="s">
        <v>1246</v>
      </c>
      <c r="B2758" s="90"/>
      <c r="C2758" s="88" t="s">
        <v>3307</v>
      </c>
      <c r="D2758" s="90"/>
      <c r="E2758" s="106"/>
      <c r="F2758" s="107"/>
      <c r="G2758" s="107"/>
      <c r="H2758" s="107"/>
      <c r="I2758" s="108"/>
      <c r="J2758" s="106"/>
      <c r="K2758" s="107"/>
      <c r="L2758" s="107"/>
      <c r="M2758" s="108"/>
      <c r="N2758" s="88" t="s">
        <v>3306</v>
      </c>
      <c r="O2758" s="89"/>
      <c r="P2758" s="90"/>
      <c r="Q2758" s="88" t="s">
        <v>3304</v>
      </c>
      <c r="R2758" s="90"/>
      <c r="S2758" s="5" t="s">
        <v>945</v>
      </c>
      <c r="T2758" s="6"/>
      <c r="U2758" s="6"/>
      <c r="V2758" s="5" t="s">
        <v>106</v>
      </c>
      <c r="W2758" s="12">
        <v>11210358</v>
      </c>
      <c r="X2758" s="6"/>
      <c r="Y2758" s="6"/>
    </row>
    <row r="2759" spans="1:25" ht="15" customHeight="1" x14ac:dyDescent="0.2">
      <c r="A2759" s="88" t="s">
        <v>1246</v>
      </c>
      <c r="B2759" s="90"/>
      <c r="C2759" s="88" t="s">
        <v>3307</v>
      </c>
      <c r="D2759" s="90"/>
      <c r="E2759" s="106"/>
      <c r="F2759" s="107"/>
      <c r="G2759" s="107"/>
      <c r="H2759" s="107"/>
      <c r="I2759" s="108"/>
      <c r="J2759" s="106"/>
      <c r="K2759" s="107"/>
      <c r="L2759" s="107"/>
      <c r="M2759" s="108"/>
      <c r="N2759" s="88" t="s">
        <v>1289</v>
      </c>
      <c r="O2759" s="89"/>
      <c r="P2759" s="90"/>
      <c r="Q2759" s="88" t="s">
        <v>3304</v>
      </c>
      <c r="R2759" s="90"/>
      <c r="S2759" s="5" t="s">
        <v>945</v>
      </c>
      <c r="T2759" s="6"/>
      <c r="U2759" s="6"/>
      <c r="V2759" s="5" t="s">
        <v>106</v>
      </c>
      <c r="W2759" s="12">
        <v>32464281</v>
      </c>
      <c r="X2759" s="6"/>
      <c r="Y2759" s="6"/>
    </row>
    <row r="2760" spans="1:25" ht="15" customHeight="1" x14ac:dyDescent="0.2">
      <c r="A2760" s="88" t="s">
        <v>1246</v>
      </c>
      <c r="B2760" s="90"/>
      <c r="C2760" s="88" t="s">
        <v>3308</v>
      </c>
      <c r="D2760" s="90"/>
      <c r="E2760" s="106"/>
      <c r="F2760" s="107"/>
      <c r="G2760" s="107"/>
      <c r="H2760" s="107"/>
      <c r="I2760" s="108"/>
      <c r="J2760" s="106"/>
      <c r="K2760" s="107"/>
      <c r="L2760" s="107"/>
      <c r="M2760" s="108"/>
      <c r="N2760" s="88" t="s">
        <v>1289</v>
      </c>
      <c r="O2760" s="89"/>
      <c r="P2760" s="90"/>
      <c r="Q2760" s="88" t="s">
        <v>3309</v>
      </c>
      <c r="R2760" s="90"/>
      <c r="S2760" s="5" t="s">
        <v>945</v>
      </c>
      <c r="T2760" s="6"/>
      <c r="U2760" s="6"/>
      <c r="V2760" s="5" t="s">
        <v>106</v>
      </c>
      <c r="W2760" s="12">
        <v>32029594</v>
      </c>
      <c r="X2760" s="6"/>
      <c r="Y2760" s="6"/>
    </row>
    <row r="2761" spans="1:25" ht="15" customHeight="1" x14ac:dyDescent="0.2">
      <c r="A2761" s="88" t="s">
        <v>1246</v>
      </c>
      <c r="B2761" s="90"/>
      <c r="C2761" s="88" t="s">
        <v>3310</v>
      </c>
      <c r="D2761" s="90"/>
      <c r="E2761" s="106"/>
      <c r="F2761" s="107"/>
      <c r="G2761" s="107"/>
      <c r="H2761" s="107"/>
      <c r="I2761" s="108"/>
      <c r="J2761" s="106"/>
      <c r="K2761" s="107"/>
      <c r="L2761" s="107"/>
      <c r="M2761" s="108"/>
      <c r="N2761" s="88" t="s">
        <v>1289</v>
      </c>
      <c r="O2761" s="89"/>
      <c r="P2761" s="90"/>
      <c r="Q2761" s="88" t="s">
        <v>3311</v>
      </c>
      <c r="R2761" s="90"/>
      <c r="S2761" s="5" t="s">
        <v>945</v>
      </c>
      <c r="T2761" s="6"/>
      <c r="U2761" s="6"/>
      <c r="V2761" s="5" t="s">
        <v>106</v>
      </c>
      <c r="W2761" s="12">
        <v>28574973</v>
      </c>
      <c r="X2761" s="6"/>
      <c r="Y2761" s="6"/>
    </row>
    <row r="2762" spans="1:25" ht="15" customHeight="1" x14ac:dyDescent="0.2">
      <c r="A2762" s="88" t="s">
        <v>1246</v>
      </c>
      <c r="B2762" s="90"/>
      <c r="C2762" s="88" t="s">
        <v>3312</v>
      </c>
      <c r="D2762" s="90"/>
      <c r="E2762" s="106"/>
      <c r="F2762" s="107"/>
      <c r="G2762" s="107"/>
      <c r="H2762" s="107"/>
      <c r="I2762" s="108"/>
      <c r="J2762" s="106"/>
      <c r="K2762" s="107"/>
      <c r="L2762" s="107"/>
      <c r="M2762" s="108"/>
      <c r="N2762" s="88" t="s">
        <v>1289</v>
      </c>
      <c r="O2762" s="89"/>
      <c r="P2762" s="90"/>
      <c r="Q2762" s="88" t="s">
        <v>3304</v>
      </c>
      <c r="R2762" s="90"/>
      <c r="S2762" s="5" t="s">
        <v>945</v>
      </c>
      <c r="T2762" s="8">
        <v>38140</v>
      </c>
      <c r="U2762" s="6"/>
      <c r="V2762" s="5" t="s">
        <v>106</v>
      </c>
      <c r="W2762" s="12">
        <v>26081241</v>
      </c>
      <c r="X2762" s="6"/>
      <c r="Y2762" s="6"/>
    </row>
    <row r="2763" spans="1:25" ht="15" customHeight="1" x14ac:dyDescent="0.2">
      <c r="A2763" s="88" t="s">
        <v>1246</v>
      </c>
      <c r="B2763" s="90"/>
      <c r="C2763" s="88" t="s">
        <v>3313</v>
      </c>
      <c r="D2763" s="90"/>
      <c r="E2763" s="106"/>
      <c r="F2763" s="107"/>
      <c r="G2763" s="107"/>
      <c r="H2763" s="107"/>
      <c r="I2763" s="108"/>
      <c r="J2763" s="106"/>
      <c r="K2763" s="107"/>
      <c r="L2763" s="107"/>
      <c r="M2763" s="108"/>
      <c r="N2763" s="88" t="s">
        <v>3306</v>
      </c>
      <c r="O2763" s="89"/>
      <c r="P2763" s="90"/>
      <c r="Q2763" s="88" t="s">
        <v>3304</v>
      </c>
      <c r="R2763" s="90"/>
      <c r="S2763" s="5" t="s">
        <v>945</v>
      </c>
      <c r="T2763" s="6"/>
      <c r="U2763" s="6"/>
      <c r="V2763" s="5" t="s">
        <v>106</v>
      </c>
      <c r="W2763" s="12">
        <v>31343245</v>
      </c>
      <c r="X2763" s="6"/>
      <c r="Y2763" s="6"/>
    </row>
    <row r="2764" spans="1:25" ht="15" customHeight="1" x14ac:dyDescent="0.2">
      <c r="A2764" s="88" t="s">
        <v>1246</v>
      </c>
      <c r="B2764" s="90"/>
      <c r="C2764" s="88" t="s">
        <v>3314</v>
      </c>
      <c r="D2764" s="90"/>
      <c r="E2764" s="106"/>
      <c r="F2764" s="107"/>
      <c r="G2764" s="107"/>
      <c r="H2764" s="107"/>
      <c r="I2764" s="108"/>
      <c r="J2764" s="106"/>
      <c r="K2764" s="107"/>
      <c r="L2764" s="107"/>
      <c r="M2764" s="108"/>
      <c r="N2764" s="88" t="s">
        <v>3269</v>
      </c>
      <c r="O2764" s="89"/>
      <c r="P2764" s="90"/>
      <c r="Q2764" s="88" t="s">
        <v>3304</v>
      </c>
      <c r="R2764" s="90"/>
      <c r="S2764" s="5" t="s">
        <v>945</v>
      </c>
      <c r="T2764" s="8">
        <v>8500</v>
      </c>
      <c r="U2764" s="6"/>
      <c r="V2764" s="5" t="s">
        <v>106</v>
      </c>
      <c r="W2764" s="12">
        <v>34660596</v>
      </c>
      <c r="X2764" s="6"/>
      <c r="Y2764" s="6"/>
    </row>
    <row r="2765" spans="1:25" ht="15" customHeight="1" x14ac:dyDescent="0.2">
      <c r="A2765" s="88" t="s">
        <v>1246</v>
      </c>
      <c r="B2765" s="90"/>
      <c r="C2765" s="88" t="s">
        <v>3315</v>
      </c>
      <c r="D2765" s="90"/>
      <c r="E2765" s="106"/>
      <c r="F2765" s="107"/>
      <c r="G2765" s="107"/>
      <c r="H2765" s="107"/>
      <c r="I2765" s="108"/>
      <c r="J2765" s="106"/>
      <c r="K2765" s="107"/>
      <c r="L2765" s="107"/>
      <c r="M2765" s="108"/>
      <c r="N2765" s="88" t="s">
        <v>1311</v>
      </c>
      <c r="O2765" s="89"/>
      <c r="P2765" s="90"/>
      <c r="Q2765" s="88" t="s">
        <v>3295</v>
      </c>
      <c r="R2765" s="90"/>
      <c r="S2765" s="5" t="s">
        <v>945</v>
      </c>
      <c r="T2765" s="6"/>
      <c r="U2765" s="6"/>
      <c r="V2765" s="5" t="s">
        <v>106</v>
      </c>
      <c r="W2765" s="12">
        <v>66118233</v>
      </c>
      <c r="X2765" s="6"/>
      <c r="Y2765" s="6"/>
    </row>
    <row r="2766" spans="1:25" ht="15" customHeight="1" x14ac:dyDescent="0.2">
      <c r="A2766" s="88" t="s">
        <v>1246</v>
      </c>
      <c r="B2766" s="90"/>
      <c r="C2766" s="88" t="s">
        <v>3316</v>
      </c>
      <c r="D2766" s="90"/>
      <c r="E2766" s="106"/>
      <c r="F2766" s="107"/>
      <c r="G2766" s="107"/>
      <c r="H2766" s="107"/>
      <c r="I2766" s="108"/>
      <c r="J2766" s="106"/>
      <c r="K2766" s="107"/>
      <c r="L2766" s="107"/>
      <c r="M2766" s="108"/>
      <c r="N2766" s="88" t="s">
        <v>1311</v>
      </c>
      <c r="O2766" s="89"/>
      <c r="P2766" s="90"/>
      <c r="Q2766" s="88" t="s">
        <v>3300</v>
      </c>
      <c r="R2766" s="90"/>
      <c r="S2766" s="5" t="s">
        <v>945</v>
      </c>
      <c r="T2766" s="6"/>
      <c r="U2766" s="6"/>
      <c r="V2766" s="5" t="s">
        <v>106</v>
      </c>
      <c r="W2766" s="12">
        <v>72958839</v>
      </c>
      <c r="X2766" s="6"/>
      <c r="Y2766" s="6"/>
    </row>
    <row r="2767" spans="1:25" ht="15" customHeight="1" x14ac:dyDescent="0.2">
      <c r="A2767" s="88" t="s">
        <v>1246</v>
      </c>
      <c r="B2767" s="90"/>
      <c r="C2767" s="88" t="s">
        <v>3317</v>
      </c>
      <c r="D2767" s="90"/>
      <c r="E2767" s="106"/>
      <c r="F2767" s="107"/>
      <c r="G2767" s="107"/>
      <c r="H2767" s="107"/>
      <c r="I2767" s="108"/>
      <c r="J2767" s="106"/>
      <c r="K2767" s="107"/>
      <c r="L2767" s="107"/>
      <c r="M2767" s="108"/>
      <c r="N2767" s="88" t="s">
        <v>1296</v>
      </c>
      <c r="O2767" s="89"/>
      <c r="P2767" s="90"/>
      <c r="Q2767" s="88" t="s">
        <v>3304</v>
      </c>
      <c r="R2767" s="90"/>
      <c r="S2767" s="5" t="s">
        <v>945</v>
      </c>
      <c r="T2767" s="6"/>
      <c r="U2767" s="6"/>
      <c r="V2767" s="5" t="s">
        <v>106</v>
      </c>
      <c r="W2767" s="12">
        <v>29741766</v>
      </c>
      <c r="X2767" s="6"/>
      <c r="Y2767" s="6"/>
    </row>
    <row r="2768" spans="1:25" ht="15" customHeight="1" x14ac:dyDescent="0.2">
      <c r="A2768" s="88" t="s">
        <v>1246</v>
      </c>
      <c r="B2768" s="90"/>
      <c r="C2768" s="88" t="s">
        <v>3318</v>
      </c>
      <c r="D2768" s="90"/>
      <c r="E2768" s="106"/>
      <c r="F2768" s="107"/>
      <c r="G2768" s="107"/>
      <c r="H2768" s="107"/>
      <c r="I2768" s="108"/>
      <c r="J2768" s="106"/>
      <c r="K2768" s="107"/>
      <c r="L2768" s="107"/>
      <c r="M2768" s="108"/>
      <c r="N2768" s="106"/>
      <c r="O2768" s="107"/>
      <c r="P2768" s="108"/>
      <c r="Q2768" s="106"/>
      <c r="R2768" s="108"/>
      <c r="S2768" s="6"/>
      <c r="T2768" s="6"/>
      <c r="U2768" s="6"/>
      <c r="V2768" s="5" t="s">
        <v>106</v>
      </c>
      <c r="W2768" s="12">
        <v>3758902</v>
      </c>
      <c r="X2768" s="6"/>
      <c r="Y2768" s="6"/>
    </row>
    <row r="2769" spans="1:25" ht="15" customHeight="1" x14ac:dyDescent="0.2">
      <c r="A2769" s="88" t="s">
        <v>3319</v>
      </c>
      <c r="B2769" s="90"/>
      <c r="C2769" s="88" t="s">
        <v>3320</v>
      </c>
      <c r="D2769" s="90"/>
      <c r="E2769" s="106"/>
      <c r="F2769" s="107"/>
      <c r="G2769" s="107"/>
      <c r="H2769" s="107"/>
      <c r="I2769" s="108"/>
      <c r="J2769" s="88" t="s">
        <v>963</v>
      </c>
      <c r="K2769" s="89"/>
      <c r="L2769" s="89"/>
      <c r="M2769" s="90"/>
      <c r="N2769" s="88" t="s">
        <v>26</v>
      </c>
      <c r="O2769" s="89"/>
      <c r="P2769" s="90"/>
      <c r="Q2769" s="133">
        <v>1600</v>
      </c>
      <c r="R2769" s="134"/>
      <c r="S2769" s="5" t="s">
        <v>814</v>
      </c>
      <c r="T2769" s="6"/>
      <c r="U2769" s="6"/>
      <c r="V2769" s="5" t="s">
        <v>702</v>
      </c>
      <c r="W2769" s="12">
        <v>3892322</v>
      </c>
      <c r="X2769" s="6"/>
      <c r="Y2769" s="6"/>
    </row>
    <row r="2770" spans="1:25" ht="15" customHeight="1" x14ac:dyDescent="0.2">
      <c r="A2770" s="88" t="s">
        <v>3319</v>
      </c>
      <c r="B2770" s="90"/>
      <c r="C2770" s="88" t="s">
        <v>3321</v>
      </c>
      <c r="D2770" s="90"/>
      <c r="E2770" s="106"/>
      <c r="F2770" s="107"/>
      <c r="G2770" s="107"/>
      <c r="H2770" s="107"/>
      <c r="I2770" s="108"/>
      <c r="J2770" s="88" t="s">
        <v>963</v>
      </c>
      <c r="K2770" s="89"/>
      <c r="L2770" s="89"/>
      <c r="M2770" s="90"/>
      <c r="N2770" s="88" t="s">
        <v>26</v>
      </c>
      <c r="O2770" s="89"/>
      <c r="P2770" s="90"/>
      <c r="Q2770" s="133">
        <v>1400</v>
      </c>
      <c r="R2770" s="134"/>
      <c r="S2770" s="5" t="s">
        <v>27</v>
      </c>
      <c r="T2770" s="6"/>
      <c r="U2770" s="6"/>
      <c r="V2770" s="5" t="s">
        <v>702</v>
      </c>
      <c r="W2770" s="12">
        <v>3216572</v>
      </c>
      <c r="X2770" s="6"/>
      <c r="Y2770" s="6"/>
    </row>
    <row r="2771" spans="1:25" ht="15" customHeight="1" x14ac:dyDescent="0.2">
      <c r="A2771" s="88" t="s">
        <v>3319</v>
      </c>
      <c r="B2771" s="90"/>
      <c r="C2771" s="88" t="s">
        <v>3322</v>
      </c>
      <c r="D2771" s="90"/>
      <c r="E2771" s="106"/>
      <c r="F2771" s="107"/>
      <c r="G2771" s="107"/>
      <c r="H2771" s="107"/>
      <c r="I2771" s="108"/>
      <c r="J2771" s="88" t="s">
        <v>887</v>
      </c>
      <c r="K2771" s="89"/>
      <c r="L2771" s="89"/>
      <c r="M2771" s="90"/>
      <c r="N2771" s="88" t="s">
        <v>26</v>
      </c>
      <c r="O2771" s="89"/>
      <c r="P2771" s="90"/>
      <c r="Q2771" s="133">
        <v>1400</v>
      </c>
      <c r="R2771" s="134"/>
      <c r="S2771" s="5" t="s">
        <v>27</v>
      </c>
      <c r="T2771" s="6"/>
      <c r="U2771" s="6"/>
      <c r="V2771" s="5" t="s">
        <v>702</v>
      </c>
      <c r="W2771" s="12">
        <v>3475288</v>
      </c>
      <c r="X2771" s="6"/>
      <c r="Y2771" s="6"/>
    </row>
    <row r="2772" spans="1:25" ht="15" customHeight="1" x14ac:dyDescent="0.2">
      <c r="A2772" s="88" t="s">
        <v>3319</v>
      </c>
      <c r="B2772" s="90"/>
      <c r="C2772" s="88" t="s">
        <v>3323</v>
      </c>
      <c r="D2772" s="90"/>
      <c r="E2772" s="106"/>
      <c r="F2772" s="107"/>
      <c r="G2772" s="107"/>
      <c r="H2772" s="107"/>
      <c r="I2772" s="108"/>
      <c r="J2772" s="88" t="s">
        <v>887</v>
      </c>
      <c r="K2772" s="89"/>
      <c r="L2772" s="89"/>
      <c r="M2772" s="90"/>
      <c r="N2772" s="88" t="s">
        <v>26</v>
      </c>
      <c r="O2772" s="89"/>
      <c r="P2772" s="90"/>
      <c r="Q2772" s="133">
        <v>1400</v>
      </c>
      <c r="R2772" s="134"/>
      <c r="S2772" s="5" t="s">
        <v>27</v>
      </c>
      <c r="T2772" s="6"/>
      <c r="U2772" s="6"/>
      <c r="V2772" s="5" t="s">
        <v>702</v>
      </c>
      <c r="W2772" s="12">
        <v>4676193</v>
      </c>
      <c r="X2772" s="6"/>
      <c r="Y2772" s="6"/>
    </row>
    <row r="2773" spans="1:25" ht="15" customHeight="1" x14ac:dyDescent="0.2">
      <c r="A2773" s="88" t="s">
        <v>3319</v>
      </c>
      <c r="B2773" s="90"/>
      <c r="C2773" s="88" t="s">
        <v>3324</v>
      </c>
      <c r="D2773" s="90"/>
      <c r="E2773" s="106"/>
      <c r="F2773" s="107"/>
      <c r="G2773" s="107"/>
      <c r="H2773" s="107"/>
      <c r="I2773" s="108"/>
      <c r="J2773" s="88" t="s">
        <v>887</v>
      </c>
      <c r="K2773" s="89"/>
      <c r="L2773" s="89"/>
      <c r="M2773" s="90"/>
      <c r="N2773" s="88" t="s">
        <v>26</v>
      </c>
      <c r="O2773" s="89"/>
      <c r="P2773" s="90"/>
      <c r="Q2773" s="133">
        <v>1400</v>
      </c>
      <c r="R2773" s="134"/>
      <c r="S2773" s="5" t="s">
        <v>27</v>
      </c>
      <c r="T2773" s="6"/>
      <c r="U2773" s="6"/>
      <c r="V2773" s="5" t="s">
        <v>702</v>
      </c>
      <c r="W2773" s="12">
        <v>4541043</v>
      </c>
      <c r="X2773" s="6"/>
      <c r="Y2773" s="6"/>
    </row>
    <row r="2774" spans="1:25" ht="15" customHeight="1" x14ac:dyDescent="0.2">
      <c r="A2774" s="88" t="s">
        <v>3319</v>
      </c>
      <c r="B2774" s="90"/>
      <c r="C2774" s="88" t="s">
        <v>3325</v>
      </c>
      <c r="D2774" s="90"/>
      <c r="E2774" s="106"/>
      <c r="F2774" s="107"/>
      <c r="G2774" s="107"/>
      <c r="H2774" s="107"/>
      <c r="I2774" s="108"/>
      <c r="J2774" s="88" t="s">
        <v>887</v>
      </c>
      <c r="K2774" s="89"/>
      <c r="L2774" s="89"/>
      <c r="M2774" s="90"/>
      <c r="N2774" s="88" t="s">
        <v>26</v>
      </c>
      <c r="O2774" s="89"/>
      <c r="P2774" s="90"/>
      <c r="Q2774" s="133">
        <v>1400</v>
      </c>
      <c r="R2774" s="134"/>
      <c r="S2774" s="5" t="s">
        <v>27</v>
      </c>
      <c r="T2774" s="6"/>
      <c r="U2774" s="6"/>
      <c r="V2774" s="5" t="s">
        <v>702</v>
      </c>
      <c r="W2774" s="12">
        <v>4180643</v>
      </c>
      <c r="X2774" s="6"/>
      <c r="Y2774" s="6"/>
    </row>
    <row r="2775" spans="1:25" ht="15" customHeight="1" x14ac:dyDescent="0.2">
      <c r="A2775" s="88" t="s">
        <v>3319</v>
      </c>
      <c r="B2775" s="90"/>
      <c r="C2775" s="88" t="s">
        <v>3326</v>
      </c>
      <c r="D2775" s="90"/>
      <c r="E2775" s="106"/>
      <c r="F2775" s="107"/>
      <c r="G2775" s="107"/>
      <c r="H2775" s="107"/>
      <c r="I2775" s="108"/>
      <c r="J2775" s="88" t="s">
        <v>2179</v>
      </c>
      <c r="K2775" s="89"/>
      <c r="L2775" s="89"/>
      <c r="M2775" s="90"/>
      <c r="N2775" s="88" t="s">
        <v>26</v>
      </c>
      <c r="O2775" s="89"/>
      <c r="P2775" s="90"/>
      <c r="Q2775" s="133">
        <v>1000</v>
      </c>
      <c r="R2775" s="134"/>
      <c r="S2775" s="5" t="s">
        <v>27</v>
      </c>
      <c r="T2775" s="6"/>
      <c r="U2775" s="6"/>
      <c r="V2775" s="5" t="s">
        <v>702</v>
      </c>
      <c r="W2775" s="12">
        <v>4402031</v>
      </c>
      <c r="X2775" s="6"/>
      <c r="Y2775" s="6"/>
    </row>
    <row r="2776" spans="1:25" ht="15" customHeight="1" x14ac:dyDescent="0.2">
      <c r="A2776" s="88" t="s">
        <v>3319</v>
      </c>
      <c r="B2776" s="90"/>
      <c r="C2776" s="88" t="s">
        <v>3327</v>
      </c>
      <c r="D2776" s="90"/>
      <c r="E2776" s="106"/>
      <c r="F2776" s="107"/>
      <c r="G2776" s="107"/>
      <c r="H2776" s="107"/>
      <c r="I2776" s="108"/>
      <c r="J2776" s="88" t="s">
        <v>963</v>
      </c>
      <c r="K2776" s="89"/>
      <c r="L2776" s="89"/>
      <c r="M2776" s="90"/>
      <c r="N2776" s="88" t="s">
        <v>26</v>
      </c>
      <c r="O2776" s="89"/>
      <c r="P2776" s="90"/>
      <c r="Q2776" s="133">
        <v>1000</v>
      </c>
      <c r="R2776" s="134"/>
      <c r="S2776" s="5" t="s">
        <v>27</v>
      </c>
      <c r="T2776" s="6"/>
      <c r="U2776" s="6"/>
      <c r="V2776" s="5" t="s">
        <v>702</v>
      </c>
      <c r="W2776" s="12">
        <v>2872905</v>
      </c>
      <c r="X2776" s="6"/>
      <c r="Y2776" s="6"/>
    </row>
    <row r="2777" spans="1:25" ht="15" customHeight="1" x14ac:dyDescent="0.2">
      <c r="A2777" s="88" t="s">
        <v>3319</v>
      </c>
      <c r="B2777" s="90"/>
      <c r="C2777" s="88" t="s">
        <v>3328</v>
      </c>
      <c r="D2777" s="90"/>
      <c r="E2777" s="106"/>
      <c r="F2777" s="107"/>
      <c r="G2777" s="107"/>
      <c r="H2777" s="107"/>
      <c r="I2777" s="108"/>
      <c r="J2777" s="88" t="s">
        <v>963</v>
      </c>
      <c r="K2777" s="89"/>
      <c r="L2777" s="89"/>
      <c r="M2777" s="90"/>
      <c r="N2777" s="88" t="s">
        <v>22</v>
      </c>
      <c r="O2777" s="89"/>
      <c r="P2777" s="90"/>
      <c r="Q2777" s="133">
        <v>1900</v>
      </c>
      <c r="R2777" s="134"/>
      <c r="S2777" s="5" t="s">
        <v>16</v>
      </c>
      <c r="T2777" s="6"/>
      <c r="U2777" s="6"/>
      <c r="V2777" s="5" t="s">
        <v>106</v>
      </c>
      <c r="W2777" s="12">
        <v>3121967</v>
      </c>
      <c r="X2777" s="6"/>
      <c r="Y2777" s="6"/>
    </row>
    <row r="2778" spans="1:25" ht="15" customHeight="1" x14ac:dyDescent="0.2">
      <c r="A2778" s="88" t="s">
        <v>3319</v>
      </c>
      <c r="B2778" s="90"/>
      <c r="C2778" s="88" t="s">
        <v>3329</v>
      </c>
      <c r="D2778" s="90"/>
      <c r="E2778" s="106"/>
      <c r="F2778" s="107"/>
      <c r="G2778" s="107"/>
      <c r="H2778" s="107"/>
      <c r="I2778" s="108"/>
      <c r="J2778" s="88" t="s">
        <v>963</v>
      </c>
      <c r="K2778" s="89"/>
      <c r="L2778" s="89"/>
      <c r="M2778" s="90"/>
      <c r="N2778" s="88" t="s">
        <v>26</v>
      </c>
      <c r="O2778" s="89"/>
      <c r="P2778" s="90"/>
      <c r="Q2778" s="133">
        <v>2400</v>
      </c>
      <c r="R2778" s="134"/>
      <c r="S2778" s="5" t="s">
        <v>16</v>
      </c>
      <c r="T2778" s="6"/>
      <c r="U2778" s="6"/>
      <c r="V2778" s="5" t="s">
        <v>702</v>
      </c>
      <c r="W2778" s="12">
        <v>1662346</v>
      </c>
      <c r="X2778" s="6"/>
      <c r="Y2778" s="6"/>
    </row>
    <row r="2779" spans="1:25" ht="15" customHeight="1" x14ac:dyDescent="0.2">
      <c r="A2779" s="88" t="s">
        <v>3319</v>
      </c>
      <c r="B2779" s="90"/>
      <c r="C2779" s="88" t="s">
        <v>3330</v>
      </c>
      <c r="D2779" s="90"/>
      <c r="E2779" s="106"/>
      <c r="F2779" s="107"/>
      <c r="G2779" s="107"/>
      <c r="H2779" s="107"/>
      <c r="I2779" s="108"/>
      <c r="J2779" s="88" t="s">
        <v>887</v>
      </c>
      <c r="K2779" s="89"/>
      <c r="L2779" s="89"/>
      <c r="M2779" s="90"/>
      <c r="N2779" s="88" t="s">
        <v>26</v>
      </c>
      <c r="O2779" s="89"/>
      <c r="P2779" s="90"/>
      <c r="Q2779" s="133">
        <v>2400</v>
      </c>
      <c r="R2779" s="134"/>
      <c r="S2779" s="5" t="s">
        <v>16</v>
      </c>
      <c r="T2779" s="6"/>
      <c r="U2779" s="6"/>
      <c r="V2779" s="5" t="s">
        <v>96</v>
      </c>
      <c r="W2779" s="12">
        <v>9962492</v>
      </c>
      <c r="X2779" s="6"/>
      <c r="Y2779" s="6"/>
    </row>
    <row r="2780" spans="1:25" ht="15" customHeight="1" x14ac:dyDescent="0.2">
      <c r="A2780" s="88" t="s">
        <v>3319</v>
      </c>
      <c r="B2780" s="90"/>
      <c r="C2780" s="88" t="s">
        <v>3331</v>
      </c>
      <c r="D2780" s="90"/>
      <c r="E2780" s="106"/>
      <c r="F2780" s="107"/>
      <c r="G2780" s="107"/>
      <c r="H2780" s="107"/>
      <c r="I2780" s="108"/>
      <c r="J2780" s="88" t="s">
        <v>963</v>
      </c>
      <c r="K2780" s="89"/>
      <c r="L2780" s="89"/>
      <c r="M2780" s="90"/>
      <c r="N2780" s="88" t="s">
        <v>22</v>
      </c>
      <c r="O2780" s="89"/>
      <c r="P2780" s="90"/>
      <c r="Q2780" s="133">
        <v>2400</v>
      </c>
      <c r="R2780" s="134"/>
      <c r="S2780" s="5" t="s">
        <v>16</v>
      </c>
      <c r="T2780" s="6"/>
      <c r="U2780" s="6"/>
      <c r="V2780" s="5" t="s">
        <v>702</v>
      </c>
      <c r="W2780" s="12">
        <v>5653135</v>
      </c>
      <c r="X2780" s="6"/>
      <c r="Y2780" s="6"/>
    </row>
    <row r="2781" spans="1:25" ht="15" customHeight="1" x14ac:dyDescent="0.2">
      <c r="A2781" s="88" t="s">
        <v>3319</v>
      </c>
      <c r="B2781" s="90"/>
      <c r="C2781" s="88" t="s">
        <v>3332</v>
      </c>
      <c r="D2781" s="90"/>
      <c r="E2781" s="106"/>
      <c r="F2781" s="107"/>
      <c r="G2781" s="107"/>
      <c r="H2781" s="107"/>
      <c r="I2781" s="108"/>
      <c r="J2781" s="88" t="s">
        <v>887</v>
      </c>
      <c r="K2781" s="89"/>
      <c r="L2781" s="89"/>
      <c r="M2781" s="90"/>
      <c r="N2781" s="88" t="s">
        <v>22</v>
      </c>
      <c r="O2781" s="89"/>
      <c r="P2781" s="90"/>
      <c r="Q2781" s="133">
        <v>2400</v>
      </c>
      <c r="R2781" s="134"/>
      <c r="S2781" s="5" t="s">
        <v>16</v>
      </c>
      <c r="T2781" s="6"/>
      <c r="U2781" s="6"/>
      <c r="V2781" s="5" t="s">
        <v>702</v>
      </c>
      <c r="W2781" s="12">
        <v>3081422</v>
      </c>
      <c r="X2781" s="6"/>
      <c r="Y2781" s="6"/>
    </row>
    <row r="2782" spans="1:25" ht="15" customHeight="1" x14ac:dyDescent="0.2">
      <c r="A2782" s="88" t="s">
        <v>3319</v>
      </c>
      <c r="B2782" s="90"/>
      <c r="C2782" s="88" t="s">
        <v>3333</v>
      </c>
      <c r="D2782" s="90"/>
      <c r="E2782" s="106"/>
      <c r="F2782" s="107"/>
      <c r="G2782" s="107"/>
      <c r="H2782" s="107"/>
      <c r="I2782" s="108"/>
      <c r="J2782" s="88" t="s">
        <v>963</v>
      </c>
      <c r="K2782" s="89"/>
      <c r="L2782" s="89"/>
      <c r="M2782" s="90"/>
      <c r="N2782" s="88" t="s">
        <v>22</v>
      </c>
      <c r="O2782" s="89"/>
      <c r="P2782" s="90"/>
      <c r="Q2782" s="133">
        <v>2400</v>
      </c>
      <c r="R2782" s="134"/>
      <c r="S2782" s="5" t="s">
        <v>16</v>
      </c>
      <c r="T2782" s="6"/>
      <c r="U2782" s="6"/>
      <c r="V2782" s="5" t="s">
        <v>702</v>
      </c>
      <c r="W2782" s="12">
        <v>7413947</v>
      </c>
      <c r="X2782" s="6"/>
      <c r="Y2782" s="6"/>
    </row>
    <row r="2783" spans="1:25" ht="15" customHeight="1" x14ac:dyDescent="0.2">
      <c r="A2783" s="88" t="s">
        <v>3319</v>
      </c>
      <c r="B2783" s="90"/>
      <c r="C2783" s="88" t="s">
        <v>3334</v>
      </c>
      <c r="D2783" s="90"/>
      <c r="E2783" s="106"/>
      <c r="F2783" s="107"/>
      <c r="G2783" s="107"/>
      <c r="H2783" s="107"/>
      <c r="I2783" s="108"/>
      <c r="J2783" s="88" t="s">
        <v>963</v>
      </c>
      <c r="K2783" s="89"/>
      <c r="L2783" s="89"/>
      <c r="M2783" s="90"/>
      <c r="N2783" s="88" t="s">
        <v>22</v>
      </c>
      <c r="O2783" s="89"/>
      <c r="P2783" s="90"/>
      <c r="Q2783" s="133">
        <v>2400</v>
      </c>
      <c r="R2783" s="134"/>
      <c r="S2783" s="5" t="s">
        <v>16</v>
      </c>
      <c r="T2783" s="6"/>
      <c r="U2783" s="6"/>
      <c r="V2783" s="5" t="s">
        <v>702</v>
      </c>
      <c r="W2783" s="12">
        <v>2878697</v>
      </c>
      <c r="X2783" s="6"/>
      <c r="Y2783" s="6"/>
    </row>
    <row r="2784" spans="1:25" ht="15" customHeight="1" x14ac:dyDescent="0.2">
      <c r="A2784" s="88" t="s">
        <v>3319</v>
      </c>
      <c r="B2784" s="90"/>
      <c r="C2784" s="88" t="s">
        <v>3335</v>
      </c>
      <c r="D2784" s="90"/>
      <c r="E2784" s="106"/>
      <c r="F2784" s="107"/>
      <c r="G2784" s="107"/>
      <c r="H2784" s="107"/>
      <c r="I2784" s="108"/>
      <c r="J2784" s="88" t="s">
        <v>963</v>
      </c>
      <c r="K2784" s="89"/>
      <c r="L2784" s="89"/>
      <c r="M2784" s="90"/>
      <c r="N2784" s="88" t="s">
        <v>26</v>
      </c>
      <c r="O2784" s="89"/>
      <c r="P2784" s="90"/>
      <c r="Q2784" s="133">
        <v>2400</v>
      </c>
      <c r="R2784" s="134"/>
      <c r="S2784" s="5" t="s">
        <v>16</v>
      </c>
      <c r="T2784" s="6"/>
      <c r="U2784" s="6"/>
      <c r="V2784" s="5" t="s">
        <v>702</v>
      </c>
      <c r="W2784" s="12">
        <v>5097089</v>
      </c>
      <c r="X2784" s="6"/>
      <c r="Y2784" s="6"/>
    </row>
    <row r="2785" spans="1:25" ht="15" customHeight="1" x14ac:dyDescent="0.2">
      <c r="A2785" s="88" t="s">
        <v>3319</v>
      </c>
      <c r="B2785" s="90"/>
      <c r="C2785" s="88" t="s">
        <v>3336</v>
      </c>
      <c r="D2785" s="90"/>
      <c r="E2785" s="106"/>
      <c r="F2785" s="107"/>
      <c r="G2785" s="107"/>
      <c r="H2785" s="107"/>
      <c r="I2785" s="108"/>
      <c r="J2785" s="88" t="s">
        <v>963</v>
      </c>
      <c r="K2785" s="89"/>
      <c r="L2785" s="89"/>
      <c r="M2785" s="90"/>
      <c r="N2785" s="88" t="s">
        <v>26</v>
      </c>
      <c r="O2785" s="89"/>
      <c r="P2785" s="90"/>
      <c r="Q2785" s="133">
        <v>1200</v>
      </c>
      <c r="R2785" s="134"/>
      <c r="S2785" s="5" t="s">
        <v>16</v>
      </c>
      <c r="T2785" s="6"/>
      <c r="U2785" s="6"/>
      <c r="V2785" s="5" t="s">
        <v>96</v>
      </c>
      <c r="W2785" s="12">
        <v>3799648</v>
      </c>
      <c r="X2785" s="6"/>
      <c r="Y2785" s="6"/>
    </row>
    <row r="2786" spans="1:25" ht="15" customHeight="1" x14ac:dyDescent="0.2">
      <c r="A2786" s="88" t="s">
        <v>3319</v>
      </c>
      <c r="B2786" s="90"/>
      <c r="C2786" s="88" t="s">
        <v>3337</v>
      </c>
      <c r="D2786" s="90"/>
      <c r="E2786" s="106"/>
      <c r="F2786" s="107"/>
      <c r="G2786" s="107"/>
      <c r="H2786" s="107"/>
      <c r="I2786" s="108"/>
      <c r="J2786" s="88" t="s">
        <v>963</v>
      </c>
      <c r="K2786" s="89"/>
      <c r="L2786" s="89"/>
      <c r="M2786" s="90"/>
      <c r="N2786" s="88" t="s">
        <v>26</v>
      </c>
      <c r="O2786" s="89"/>
      <c r="P2786" s="90"/>
      <c r="Q2786" s="133">
        <v>1200</v>
      </c>
      <c r="R2786" s="134"/>
      <c r="S2786" s="5" t="s">
        <v>16</v>
      </c>
      <c r="T2786" s="6"/>
      <c r="U2786" s="6"/>
      <c r="V2786" s="5" t="s">
        <v>702</v>
      </c>
      <c r="W2786" s="12">
        <v>3869154</v>
      </c>
      <c r="X2786" s="6"/>
      <c r="Y2786" s="6"/>
    </row>
    <row r="2787" spans="1:25" ht="15" customHeight="1" x14ac:dyDescent="0.2">
      <c r="A2787" s="88" t="s">
        <v>3319</v>
      </c>
      <c r="B2787" s="90"/>
      <c r="C2787" s="88" t="s">
        <v>3338</v>
      </c>
      <c r="D2787" s="90"/>
      <c r="E2787" s="106"/>
      <c r="F2787" s="107"/>
      <c r="G2787" s="107"/>
      <c r="H2787" s="107"/>
      <c r="I2787" s="108"/>
      <c r="J2787" s="88" t="s">
        <v>770</v>
      </c>
      <c r="K2787" s="89"/>
      <c r="L2787" s="89"/>
      <c r="M2787" s="90"/>
      <c r="N2787" s="88" t="s">
        <v>26</v>
      </c>
      <c r="O2787" s="89"/>
      <c r="P2787" s="90"/>
      <c r="Q2787" s="133">
        <v>1200</v>
      </c>
      <c r="R2787" s="134"/>
      <c r="S2787" s="5" t="s">
        <v>16</v>
      </c>
      <c r="T2787" s="6"/>
      <c r="U2787" s="6"/>
      <c r="V2787" s="5" t="s">
        <v>96</v>
      </c>
      <c r="W2787" s="12">
        <v>4309357</v>
      </c>
      <c r="X2787" s="6"/>
      <c r="Y2787" s="6"/>
    </row>
    <row r="2788" spans="1:25" ht="15" customHeight="1" x14ac:dyDescent="0.2">
      <c r="A2788" s="88" t="s">
        <v>3319</v>
      </c>
      <c r="B2788" s="90"/>
      <c r="C2788" s="88" t="s">
        <v>3339</v>
      </c>
      <c r="D2788" s="90"/>
      <c r="E2788" s="106"/>
      <c r="F2788" s="107"/>
      <c r="G2788" s="107"/>
      <c r="H2788" s="107"/>
      <c r="I2788" s="108"/>
      <c r="J2788" s="88" t="s">
        <v>770</v>
      </c>
      <c r="K2788" s="89"/>
      <c r="L2788" s="89"/>
      <c r="M2788" s="90"/>
      <c r="N2788" s="88" t="s">
        <v>26</v>
      </c>
      <c r="O2788" s="89"/>
      <c r="P2788" s="90"/>
      <c r="Q2788" s="133">
        <v>1200</v>
      </c>
      <c r="R2788" s="134"/>
      <c r="S2788" s="5" t="s">
        <v>16</v>
      </c>
      <c r="T2788" s="6"/>
      <c r="U2788" s="6"/>
      <c r="V2788" s="5" t="s">
        <v>702</v>
      </c>
      <c r="W2788" s="12">
        <v>4402031</v>
      </c>
      <c r="X2788" s="6"/>
      <c r="Y2788" s="6"/>
    </row>
    <row r="2789" spans="1:25" ht="15" customHeight="1" x14ac:dyDescent="0.2">
      <c r="A2789" s="88" t="s">
        <v>3319</v>
      </c>
      <c r="B2789" s="90"/>
      <c r="C2789" s="88" t="s">
        <v>3340</v>
      </c>
      <c r="D2789" s="90"/>
      <c r="E2789" s="106"/>
      <c r="F2789" s="107"/>
      <c r="G2789" s="107"/>
      <c r="H2789" s="107"/>
      <c r="I2789" s="108"/>
      <c r="J2789" s="88" t="s">
        <v>770</v>
      </c>
      <c r="K2789" s="89"/>
      <c r="L2789" s="89"/>
      <c r="M2789" s="90"/>
      <c r="N2789" s="88" t="s">
        <v>26</v>
      </c>
      <c r="O2789" s="89"/>
      <c r="P2789" s="90"/>
      <c r="Q2789" s="133">
        <v>1200</v>
      </c>
      <c r="R2789" s="134"/>
      <c r="S2789" s="5" t="s">
        <v>16</v>
      </c>
      <c r="T2789" s="6"/>
      <c r="U2789" s="6"/>
      <c r="V2789" s="5" t="s">
        <v>96</v>
      </c>
      <c r="W2789" s="12">
        <v>4680054</v>
      </c>
      <c r="X2789" s="6"/>
      <c r="Y2789" s="6"/>
    </row>
    <row r="2790" spans="1:25" ht="15" customHeight="1" x14ac:dyDescent="0.2">
      <c r="A2790" s="88" t="s">
        <v>3319</v>
      </c>
      <c r="B2790" s="90"/>
      <c r="C2790" s="88" t="s">
        <v>3341</v>
      </c>
      <c r="D2790" s="90"/>
      <c r="E2790" s="106"/>
      <c r="F2790" s="107"/>
      <c r="G2790" s="107"/>
      <c r="H2790" s="107"/>
      <c r="I2790" s="108"/>
      <c r="J2790" s="88" t="s">
        <v>963</v>
      </c>
      <c r="K2790" s="89"/>
      <c r="L2790" s="89"/>
      <c r="M2790" s="90"/>
      <c r="N2790" s="88" t="s">
        <v>26</v>
      </c>
      <c r="O2790" s="89"/>
      <c r="P2790" s="90"/>
      <c r="Q2790" s="133">
        <v>1500</v>
      </c>
      <c r="R2790" s="134"/>
      <c r="S2790" s="5" t="s">
        <v>16</v>
      </c>
      <c r="T2790" s="6"/>
      <c r="U2790" s="6"/>
      <c r="V2790" s="5" t="s">
        <v>702</v>
      </c>
      <c r="W2790" s="12">
        <v>6365569</v>
      </c>
      <c r="X2790" s="6"/>
      <c r="Y2790" s="6"/>
    </row>
    <row r="2791" spans="1:25" ht="15" customHeight="1" x14ac:dyDescent="0.2">
      <c r="A2791" s="88" t="s">
        <v>3319</v>
      </c>
      <c r="B2791" s="90"/>
      <c r="C2791" s="88" t="s">
        <v>3342</v>
      </c>
      <c r="D2791" s="90"/>
      <c r="E2791" s="106"/>
      <c r="F2791" s="107"/>
      <c r="G2791" s="107"/>
      <c r="H2791" s="107"/>
      <c r="I2791" s="108"/>
      <c r="J2791" s="88" t="s">
        <v>887</v>
      </c>
      <c r="K2791" s="89"/>
      <c r="L2791" s="89"/>
      <c r="M2791" s="90"/>
      <c r="N2791" s="88" t="s">
        <v>26</v>
      </c>
      <c r="O2791" s="89"/>
      <c r="P2791" s="90"/>
      <c r="Q2791" s="133">
        <v>1500</v>
      </c>
      <c r="R2791" s="134"/>
      <c r="S2791" s="5" t="s">
        <v>16</v>
      </c>
      <c r="T2791" s="6"/>
      <c r="U2791" s="6"/>
      <c r="V2791" s="5" t="s">
        <v>96</v>
      </c>
      <c r="W2791" s="12">
        <v>6142571</v>
      </c>
      <c r="X2791" s="6"/>
      <c r="Y2791" s="6"/>
    </row>
    <row r="2792" spans="1:25" ht="15" customHeight="1" x14ac:dyDescent="0.2">
      <c r="A2792" s="88" t="s">
        <v>3319</v>
      </c>
      <c r="B2792" s="90"/>
      <c r="C2792" s="88" t="s">
        <v>3343</v>
      </c>
      <c r="D2792" s="90"/>
      <c r="E2792" s="106"/>
      <c r="F2792" s="107"/>
      <c r="G2792" s="107"/>
      <c r="H2792" s="107"/>
      <c r="I2792" s="108"/>
      <c r="J2792" s="88" t="s">
        <v>963</v>
      </c>
      <c r="K2792" s="89"/>
      <c r="L2792" s="89"/>
      <c r="M2792" s="90"/>
      <c r="N2792" s="88" t="s">
        <v>26</v>
      </c>
      <c r="O2792" s="89"/>
      <c r="P2792" s="90"/>
      <c r="Q2792" s="133">
        <v>1500</v>
      </c>
      <c r="R2792" s="134"/>
      <c r="S2792" s="5" t="s">
        <v>16</v>
      </c>
      <c r="T2792" s="6"/>
      <c r="U2792" s="6"/>
      <c r="V2792" s="5" t="s">
        <v>702</v>
      </c>
      <c r="W2792" s="12">
        <v>6689929</v>
      </c>
      <c r="X2792" s="6"/>
      <c r="Y2792" s="6"/>
    </row>
    <row r="2793" spans="1:25" ht="15" customHeight="1" x14ac:dyDescent="0.2">
      <c r="A2793" s="88" t="s">
        <v>3319</v>
      </c>
      <c r="B2793" s="90"/>
      <c r="C2793" s="88" t="s">
        <v>3344</v>
      </c>
      <c r="D2793" s="90"/>
      <c r="E2793" s="106"/>
      <c r="F2793" s="107"/>
      <c r="G2793" s="107"/>
      <c r="H2793" s="107"/>
      <c r="I2793" s="108"/>
      <c r="J2793" s="88" t="s">
        <v>963</v>
      </c>
      <c r="K2793" s="89"/>
      <c r="L2793" s="89"/>
      <c r="M2793" s="90"/>
      <c r="N2793" s="88" t="s">
        <v>26</v>
      </c>
      <c r="O2793" s="89"/>
      <c r="P2793" s="90"/>
      <c r="Q2793" s="133">
        <v>1500</v>
      </c>
      <c r="R2793" s="134"/>
      <c r="S2793" s="5" t="s">
        <v>16</v>
      </c>
      <c r="T2793" s="6"/>
      <c r="U2793" s="6"/>
      <c r="V2793" s="5" t="s">
        <v>96</v>
      </c>
      <c r="W2793" s="12">
        <v>5372216</v>
      </c>
      <c r="X2793" s="6"/>
      <c r="Y2793" s="6"/>
    </row>
    <row r="2794" spans="1:25" ht="15" customHeight="1" x14ac:dyDescent="0.2">
      <c r="A2794" s="88" t="s">
        <v>3319</v>
      </c>
      <c r="B2794" s="90"/>
      <c r="C2794" s="88" t="s">
        <v>3345</v>
      </c>
      <c r="D2794" s="90"/>
      <c r="E2794" s="106"/>
      <c r="F2794" s="107"/>
      <c r="G2794" s="107"/>
      <c r="H2794" s="107"/>
      <c r="I2794" s="108"/>
      <c r="J2794" s="88" t="s">
        <v>887</v>
      </c>
      <c r="K2794" s="89"/>
      <c r="L2794" s="89"/>
      <c r="M2794" s="90"/>
      <c r="N2794" s="88" t="s">
        <v>26</v>
      </c>
      <c r="O2794" s="89"/>
      <c r="P2794" s="90"/>
      <c r="Q2794" s="133">
        <v>1500</v>
      </c>
      <c r="R2794" s="134"/>
      <c r="S2794" s="5" t="s">
        <v>16</v>
      </c>
      <c r="T2794" s="6"/>
      <c r="U2794" s="6"/>
      <c r="V2794" s="5" t="s">
        <v>96</v>
      </c>
      <c r="W2794" s="12">
        <v>6487204</v>
      </c>
      <c r="X2794" s="6"/>
      <c r="Y2794" s="6"/>
    </row>
    <row r="2795" spans="1:25" ht="15" customHeight="1" x14ac:dyDescent="0.2">
      <c r="A2795" s="88" t="s">
        <v>3319</v>
      </c>
      <c r="B2795" s="90"/>
      <c r="C2795" s="88" t="s">
        <v>3346</v>
      </c>
      <c r="D2795" s="90"/>
      <c r="E2795" s="106"/>
      <c r="F2795" s="107"/>
      <c r="G2795" s="107"/>
      <c r="H2795" s="107"/>
      <c r="I2795" s="108"/>
      <c r="J2795" s="88" t="s">
        <v>963</v>
      </c>
      <c r="K2795" s="89"/>
      <c r="L2795" s="89"/>
      <c r="M2795" s="90"/>
      <c r="N2795" s="88" t="s">
        <v>26</v>
      </c>
      <c r="O2795" s="89"/>
      <c r="P2795" s="90"/>
      <c r="Q2795" s="133">
        <v>1500</v>
      </c>
      <c r="R2795" s="134"/>
      <c r="S2795" s="5" t="s">
        <v>16</v>
      </c>
      <c r="T2795" s="6"/>
      <c r="U2795" s="6"/>
      <c r="V2795" s="5" t="s">
        <v>96</v>
      </c>
      <c r="W2795" s="12">
        <v>7723827</v>
      </c>
      <c r="X2795" s="6"/>
      <c r="Y2795" s="6"/>
    </row>
    <row r="2796" spans="1:25" ht="15" customHeight="1" x14ac:dyDescent="0.2">
      <c r="A2796" s="88" t="s">
        <v>3319</v>
      </c>
      <c r="B2796" s="90"/>
      <c r="C2796" s="88" t="s">
        <v>3347</v>
      </c>
      <c r="D2796" s="90"/>
      <c r="E2796" s="106"/>
      <c r="F2796" s="107"/>
      <c r="G2796" s="107"/>
      <c r="H2796" s="107"/>
      <c r="I2796" s="108"/>
      <c r="J2796" s="88" t="s">
        <v>2179</v>
      </c>
      <c r="K2796" s="89"/>
      <c r="L2796" s="89"/>
      <c r="M2796" s="90"/>
      <c r="N2796" s="88" t="s">
        <v>26</v>
      </c>
      <c r="O2796" s="89"/>
      <c r="P2796" s="90"/>
      <c r="Q2796" s="133">
        <v>1400</v>
      </c>
      <c r="R2796" s="134"/>
      <c r="S2796" s="5" t="s">
        <v>16</v>
      </c>
      <c r="T2796" s="6"/>
      <c r="U2796" s="6"/>
      <c r="V2796" s="5" t="s">
        <v>96</v>
      </c>
      <c r="W2796" s="12">
        <v>6394530</v>
      </c>
      <c r="X2796" s="6"/>
      <c r="Y2796" s="6"/>
    </row>
    <row r="2797" spans="1:25" ht="15" customHeight="1" x14ac:dyDescent="0.2">
      <c r="A2797" s="88" t="s">
        <v>3319</v>
      </c>
      <c r="B2797" s="90"/>
      <c r="C2797" s="88" t="s">
        <v>3348</v>
      </c>
      <c r="D2797" s="90"/>
      <c r="E2797" s="106"/>
      <c r="F2797" s="107"/>
      <c r="G2797" s="107"/>
      <c r="H2797" s="107"/>
      <c r="I2797" s="108"/>
      <c r="J2797" s="88" t="s">
        <v>2179</v>
      </c>
      <c r="K2797" s="89"/>
      <c r="L2797" s="89"/>
      <c r="M2797" s="90"/>
      <c r="N2797" s="88" t="s">
        <v>26</v>
      </c>
      <c r="O2797" s="89"/>
      <c r="P2797" s="90"/>
      <c r="Q2797" s="133">
        <v>1400</v>
      </c>
      <c r="R2797" s="134"/>
      <c r="S2797" s="5" t="s">
        <v>16</v>
      </c>
      <c r="T2797" s="6"/>
      <c r="U2797" s="6"/>
      <c r="V2797" s="5" t="s">
        <v>96</v>
      </c>
      <c r="W2797" s="12">
        <v>6232349</v>
      </c>
      <c r="X2797" s="6"/>
      <c r="Y2797" s="6"/>
    </row>
    <row r="2798" spans="1:25" ht="15" customHeight="1" x14ac:dyDescent="0.2">
      <c r="A2798" s="88" t="s">
        <v>3319</v>
      </c>
      <c r="B2798" s="90"/>
      <c r="C2798" s="88" t="s">
        <v>3349</v>
      </c>
      <c r="D2798" s="90"/>
      <c r="E2798" s="106"/>
      <c r="F2798" s="107"/>
      <c r="G2798" s="107"/>
      <c r="H2798" s="107"/>
      <c r="I2798" s="108"/>
      <c r="J2798" s="88" t="s">
        <v>2179</v>
      </c>
      <c r="K2798" s="89"/>
      <c r="L2798" s="89"/>
      <c r="M2798" s="90"/>
      <c r="N2798" s="88" t="s">
        <v>26</v>
      </c>
      <c r="O2798" s="89"/>
      <c r="P2798" s="90"/>
      <c r="Q2798" s="133">
        <v>1400</v>
      </c>
      <c r="R2798" s="134"/>
      <c r="S2798" s="5" t="s">
        <v>16</v>
      </c>
      <c r="T2798" s="6"/>
      <c r="U2798" s="6"/>
      <c r="V2798" s="5" t="s">
        <v>96</v>
      </c>
      <c r="W2798" s="12">
        <v>6857901</v>
      </c>
      <c r="X2798" s="6"/>
      <c r="Y2798" s="6"/>
    </row>
    <row r="2799" spans="1:25" ht="15" customHeight="1" x14ac:dyDescent="0.2">
      <c r="A2799" s="88" t="s">
        <v>3319</v>
      </c>
      <c r="B2799" s="90"/>
      <c r="C2799" s="88" t="s">
        <v>3350</v>
      </c>
      <c r="D2799" s="90"/>
      <c r="E2799" s="106"/>
      <c r="F2799" s="107"/>
      <c r="G2799" s="107"/>
      <c r="H2799" s="107"/>
      <c r="I2799" s="108"/>
      <c r="J2799" s="88" t="s">
        <v>2179</v>
      </c>
      <c r="K2799" s="89"/>
      <c r="L2799" s="89"/>
      <c r="M2799" s="90"/>
      <c r="N2799" s="88" t="s">
        <v>26</v>
      </c>
      <c r="O2799" s="89"/>
      <c r="P2799" s="90"/>
      <c r="Q2799" s="133">
        <v>1400</v>
      </c>
      <c r="R2799" s="134"/>
      <c r="S2799" s="5" t="s">
        <v>16</v>
      </c>
      <c r="T2799" s="6"/>
      <c r="U2799" s="6"/>
      <c r="V2799" s="5" t="s">
        <v>702</v>
      </c>
      <c r="W2799" s="12">
        <v>6162844</v>
      </c>
      <c r="X2799" s="6"/>
      <c r="Y2799" s="6"/>
    </row>
    <row r="2800" spans="1:25" ht="15" customHeight="1" x14ac:dyDescent="0.2">
      <c r="A2800" s="88" t="s">
        <v>3319</v>
      </c>
      <c r="B2800" s="90"/>
      <c r="C2800" s="88" t="s">
        <v>3351</v>
      </c>
      <c r="D2800" s="90"/>
      <c r="E2800" s="106"/>
      <c r="F2800" s="107"/>
      <c r="G2800" s="107"/>
      <c r="H2800" s="107"/>
      <c r="I2800" s="108"/>
      <c r="J2800" s="88" t="s">
        <v>2179</v>
      </c>
      <c r="K2800" s="89"/>
      <c r="L2800" s="89"/>
      <c r="M2800" s="90"/>
      <c r="N2800" s="88" t="s">
        <v>26</v>
      </c>
      <c r="O2800" s="89"/>
      <c r="P2800" s="90"/>
      <c r="Q2800" s="133">
        <v>1400</v>
      </c>
      <c r="R2800" s="134"/>
      <c r="S2800" s="5" t="s">
        <v>16</v>
      </c>
      <c r="T2800" s="6"/>
      <c r="U2800" s="6"/>
      <c r="V2800" s="5" t="s">
        <v>702</v>
      </c>
      <c r="W2800" s="12">
        <v>6579878</v>
      </c>
      <c r="X2800" s="6"/>
      <c r="Y2800" s="6"/>
    </row>
    <row r="2801" spans="1:25" ht="15" customHeight="1" x14ac:dyDescent="0.2">
      <c r="A2801" s="88" t="s">
        <v>3319</v>
      </c>
      <c r="B2801" s="90"/>
      <c r="C2801" s="88" t="s">
        <v>3352</v>
      </c>
      <c r="D2801" s="90"/>
      <c r="E2801" s="106"/>
      <c r="F2801" s="107"/>
      <c r="G2801" s="107"/>
      <c r="H2801" s="107"/>
      <c r="I2801" s="108"/>
      <c r="J2801" s="88" t="s">
        <v>2179</v>
      </c>
      <c r="K2801" s="89"/>
      <c r="L2801" s="89"/>
      <c r="M2801" s="90"/>
      <c r="N2801" s="88" t="s">
        <v>26</v>
      </c>
      <c r="O2801" s="89"/>
      <c r="P2801" s="90"/>
      <c r="Q2801" s="133">
        <v>1400</v>
      </c>
      <c r="R2801" s="134"/>
      <c r="S2801" s="5" t="s">
        <v>16</v>
      </c>
      <c r="T2801" s="6"/>
      <c r="U2801" s="6"/>
      <c r="V2801" s="5" t="s">
        <v>96</v>
      </c>
      <c r="W2801" s="12">
        <v>6904238</v>
      </c>
      <c r="X2801" s="6"/>
      <c r="Y2801" s="6"/>
    </row>
    <row r="2802" spans="1:25" ht="15" customHeight="1" x14ac:dyDescent="0.2">
      <c r="A2802" s="88" t="s">
        <v>3319</v>
      </c>
      <c r="B2802" s="90"/>
      <c r="C2802" s="88" t="s">
        <v>3353</v>
      </c>
      <c r="D2802" s="90"/>
      <c r="E2802" s="106"/>
      <c r="F2802" s="107"/>
      <c r="G2802" s="107"/>
      <c r="H2802" s="107"/>
      <c r="I2802" s="108"/>
      <c r="J2802" s="88" t="s">
        <v>2179</v>
      </c>
      <c r="K2802" s="89"/>
      <c r="L2802" s="89"/>
      <c r="M2802" s="90"/>
      <c r="N2802" s="88" t="s">
        <v>26</v>
      </c>
      <c r="O2802" s="89"/>
      <c r="P2802" s="90"/>
      <c r="Q2802" s="133">
        <v>1400</v>
      </c>
      <c r="R2802" s="134"/>
      <c r="S2802" s="5" t="s">
        <v>16</v>
      </c>
      <c r="T2802" s="6"/>
      <c r="U2802" s="6"/>
      <c r="V2802" s="5" t="s">
        <v>702</v>
      </c>
      <c r="W2802" s="12">
        <v>6464035</v>
      </c>
      <c r="X2802" s="6"/>
      <c r="Y2802" s="6"/>
    </row>
    <row r="2803" spans="1:25" ht="15" customHeight="1" x14ac:dyDescent="0.2">
      <c r="A2803" s="88" t="s">
        <v>3319</v>
      </c>
      <c r="B2803" s="90"/>
      <c r="C2803" s="88" t="s">
        <v>3354</v>
      </c>
      <c r="D2803" s="90"/>
      <c r="E2803" s="106"/>
      <c r="F2803" s="107"/>
      <c r="G2803" s="107"/>
      <c r="H2803" s="107"/>
      <c r="I2803" s="108"/>
      <c r="J2803" s="88" t="s">
        <v>2179</v>
      </c>
      <c r="K2803" s="89"/>
      <c r="L2803" s="89"/>
      <c r="M2803" s="90"/>
      <c r="N2803" s="88" t="s">
        <v>26</v>
      </c>
      <c r="O2803" s="89"/>
      <c r="P2803" s="90"/>
      <c r="Q2803" s="133">
        <v>1400</v>
      </c>
      <c r="R2803" s="134"/>
      <c r="S2803" s="5" t="s">
        <v>16</v>
      </c>
      <c r="T2803" s="6"/>
      <c r="U2803" s="6"/>
      <c r="V2803" s="5" t="s">
        <v>702</v>
      </c>
      <c r="W2803" s="9">
        <v>7228599</v>
      </c>
      <c r="X2803" s="6"/>
      <c r="Y2803" s="6"/>
    </row>
    <row r="2804" spans="1:25" ht="15" customHeight="1" x14ac:dyDescent="0.2">
      <c r="A2804" s="88" t="s">
        <v>3319</v>
      </c>
      <c r="B2804" s="90"/>
      <c r="C2804" s="88" t="s">
        <v>3355</v>
      </c>
      <c r="D2804" s="90"/>
      <c r="E2804" s="106"/>
      <c r="F2804" s="107"/>
      <c r="G2804" s="107"/>
      <c r="H2804" s="107"/>
      <c r="I2804" s="108"/>
      <c r="J2804" s="88" t="s">
        <v>2179</v>
      </c>
      <c r="K2804" s="89"/>
      <c r="L2804" s="89"/>
      <c r="M2804" s="90"/>
      <c r="N2804" s="88" t="s">
        <v>26</v>
      </c>
      <c r="O2804" s="89"/>
      <c r="P2804" s="90"/>
      <c r="Q2804" s="133">
        <v>1400</v>
      </c>
      <c r="R2804" s="134"/>
      <c r="S2804" s="5" t="s">
        <v>16</v>
      </c>
      <c r="T2804" s="6"/>
      <c r="U2804" s="6"/>
      <c r="V2804" s="5" t="s">
        <v>702</v>
      </c>
      <c r="W2804" s="9">
        <v>7390779</v>
      </c>
      <c r="X2804" s="6"/>
      <c r="Y2804" s="6"/>
    </row>
    <row r="2805" spans="1:25" ht="15" customHeight="1" x14ac:dyDescent="0.2">
      <c r="A2805" s="88" t="s">
        <v>3319</v>
      </c>
      <c r="B2805" s="90"/>
      <c r="C2805" s="88" t="s">
        <v>3356</v>
      </c>
      <c r="D2805" s="90"/>
      <c r="E2805" s="106"/>
      <c r="F2805" s="107"/>
      <c r="G2805" s="107"/>
      <c r="H2805" s="107"/>
      <c r="I2805" s="108"/>
      <c r="J2805" s="88" t="s">
        <v>770</v>
      </c>
      <c r="K2805" s="89"/>
      <c r="L2805" s="89"/>
      <c r="M2805" s="90"/>
      <c r="N2805" s="88" t="s">
        <v>26</v>
      </c>
      <c r="O2805" s="89"/>
      <c r="P2805" s="90"/>
      <c r="Q2805" s="133">
        <v>1200</v>
      </c>
      <c r="R2805" s="134"/>
      <c r="S2805" s="5" t="s">
        <v>27</v>
      </c>
      <c r="T2805" s="6"/>
      <c r="U2805" s="6"/>
      <c r="V2805" s="5" t="s">
        <v>702</v>
      </c>
      <c r="W2805" s="9">
        <v>3961828</v>
      </c>
      <c r="X2805" s="6"/>
      <c r="Y2805" s="6"/>
    </row>
    <row r="2806" spans="1:25" ht="15" customHeight="1" x14ac:dyDescent="0.2">
      <c r="A2806" s="88" t="s">
        <v>3319</v>
      </c>
      <c r="B2806" s="90"/>
      <c r="C2806" s="88" t="s">
        <v>3357</v>
      </c>
      <c r="D2806" s="90"/>
      <c r="E2806" s="106"/>
      <c r="F2806" s="107"/>
      <c r="G2806" s="107"/>
      <c r="H2806" s="107"/>
      <c r="I2806" s="108"/>
      <c r="J2806" s="88" t="s">
        <v>963</v>
      </c>
      <c r="K2806" s="89"/>
      <c r="L2806" s="89"/>
      <c r="M2806" s="90"/>
      <c r="N2806" s="88" t="s">
        <v>26</v>
      </c>
      <c r="O2806" s="89"/>
      <c r="P2806" s="90"/>
      <c r="Q2806" s="133">
        <v>1200</v>
      </c>
      <c r="R2806" s="134"/>
      <c r="S2806" s="5" t="s">
        <v>27</v>
      </c>
      <c r="T2806" s="6"/>
      <c r="U2806" s="6"/>
      <c r="V2806" s="5" t="s">
        <v>702</v>
      </c>
      <c r="W2806" s="11">
        <v>3591131</v>
      </c>
      <c r="X2806" s="6"/>
      <c r="Y2806" s="6"/>
    </row>
    <row r="2807" spans="1:25" ht="15" customHeight="1" x14ac:dyDescent="0.2">
      <c r="A2807" s="88" t="s">
        <v>3319</v>
      </c>
      <c r="B2807" s="90"/>
      <c r="C2807" s="88" t="s">
        <v>3358</v>
      </c>
      <c r="D2807" s="90"/>
      <c r="E2807" s="106"/>
      <c r="F2807" s="107"/>
      <c r="G2807" s="107"/>
      <c r="H2807" s="107"/>
      <c r="I2807" s="108"/>
      <c r="J2807" s="88" t="s">
        <v>963</v>
      </c>
      <c r="K2807" s="89"/>
      <c r="L2807" s="89"/>
      <c r="M2807" s="90"/>
      <c r="N2807" s="88" t="s">
        <v>26</v>
      </c>
      <c r="O2807" s="89"/>
      <c r="P2807" s="90"/>
      <c r="Q2807" s="133">
        <v>1200</v>
      </c>
      <c r="R2807" s="134"/>
      <c r="S2807" s="5" t="s">
        <v>27</v>
      </c>
      <c r="T2807" s="6"/>
      <c r="U2807" s="6"/>
      <c r="V2807" s="5" t="s">
        <v>702</v>
      </c>
      <c r="W2807" s="9">
        <v>4124008</v>
      </c>
      <c r="X2807" s="6"/>
      <c r="Y2807" s="6"/>
    </row>
    <row r="2808" spans="1:25" ht="15" customHeight="1" x14ac:dyDescent="0.2">
      <c r="A2808" s="88" t="s">
        <v>3319</v>
      </c>
      <c r="B2808" s="90"/>
      <c r="C2808" s="88" t="s">
        <v>3359</v>
      </c>
      <c r="D2808" s="90"/>
      <c r="E2808" s="106"/>
      <c r="F2808" s="107"/>
      <c r="G2808" s="107"/>
      <c r="H2808" s="107"/>
      <c r="I2808" s="108"/>
      <c r="J2808" s="88" t="s">
        <v>770</v>
      </c>
      <c r="K2808" s="89"/>
      <c r="L2808" s="89"/>
      <c r="M2808" s="90"/>
      <c r="N2808" s="88" t="s">
        <v>26</v>
      </c>
      <c r="O2808" s="89"/>
      <c r="P2808" s="90"/>
      <c r="Q2808" s="133">
        <v>1200</v>
      </c>
      <c r="R2808" s="134"/>
      <c r="S2808" s="5" t="s">
        <v>27</v>
      </c>
      <c r="T2808" s="6"/>
      <c r="U2808" s="6"/>
      <c r="V2808" s="5" t="s">
        <v>702</v>
      </c>
      <c r="W2808" s="9">
        <v>4031334</v>
      </c>
      <c r="X2808" s="6"/>
      <c r="Y2808" s="6"/>
    </row>
    <row r="2809" spans="1:25" ht="15" customHeight="1" x14ac:dyDescent="0.2">
      <c r="A2809" s="88" t="s">
        <v>3319</v>
      </c>
      <c r="B2809" s="90"/>
      <c r="C2809" s="88" t="s">
        <v>3360</v>
      </c>
      <c r="D2809" s="90"/>
      <c r="E2809" s="106"/>
      <c r="F2809" s="107"/>
      <c r="G2809" s="107"/>
      <c r="H2809" s="107"/>
      <c r="I2809" s="108"/>
      <c r="J2809" s="88" t="s">
        <v>770</v>
      </c>
      <c r="K2809" s="89"/>
      <c r="L2809" s="89"/>
      <c r="M2809" s="90"/>
      <c r="N2809" s="88" t="s">
        <v>26</v>
      </c>
      <c r="O2809" s="89"/>
      <c r="P2809" s="90"/>
      <c r="Q2809" s="133">
        <v>1200</v>
      </c>
      <c r="R2809" s="134"/>
      <c r="S2809" s="5" t="s">
        <v>27</v>
      </c>
      <c r="T2809" s="6"/>
      <c r="U2809" s="6"/>
      <c r="V2809" s="5" t="s">
        <v>702</v>
      </c>
      <c r="W2809" s="9">
        <v>4216683</v>
      </c>
      <c r="X2809" s="6"/>
      <c r="Y2809" s="6"/>
    </row>
    <row r="2810" spans="1:25" ht="15" customHeight="1" x14ac:dyDescent="0.2">
      <c r="A2810" s="88" t="s">
        <v>3319</v>
      </c>
      <c r="B2810" s="90"/>
      <c r="C2810" s="88" t="s">
        <v>3361</v>
      </c>
      <c r="D2810" s="90"/>
      <c r="E2810" s="106"/>
      <c r="F2810" s="107"/>
      <c r="G2810" s="107"/>
      <c r="H2810" s="107"/>
      <c r="I2810" s="108"/>
      <c r="J2810" s="88" t="s">
        <v>770</v>
      </c>
      <c r="K2810" s="89"/>
      <c r="L2810" s="89"/>
      <c r="M2810" s="90"/>
      <c r="N2810" s="88" t="s">
        <v>26</v>
      </c>
      <c r="O2810" s="89"/>
      <c r="P2810" s="90"/>
      <c r="Q2810" s="133">
        <v>1200</v>
      </c>
      <c r="R2810" s="134"/>
      <c r="S2810" s="5" t="s">
        <v>27</v>
      </c>
      <c r="T2810" s="6"/>
      <c r="U2810" s="6"/>
      <c r="V2810" s="5" t="s">
        <v>702</v>
      </c>
      <c r="W2810" s="9">
        <v>4842234</v>
      </c>
      <c r="X2810" s="6"/>
      <c r="Y2810" s="6"/>
    </row>
    <row r="2811" spans="1:25" ht="15" customHeight="1" x14ac:dyDescent="0.2">
      <c r="A2811" s="88" t="s">
        <v>3319</v>
      </c>
      <c r="B2811" s="90"/>
      <c r="C2811" s="88" t="s">
        <v>3362</v>
      </c>
      <c r="D2811" s="90"/>
      <c r="E2811" s="106"/>
      <c r="F2811" s="107"/>
      <c r="G2811" s="107"/>
      <c r="H2811" s="107"/>
      <c r="I2811" s="108"/>
      <c r="J2811" s="88" t="s">
        <v>770</v>
      </c>
      <c r="K2811" s="89"/>
      <c r="L2811" s="89"/>
      <c r="M2811" s="90"/>
      <c r="N2811" s="88" t="s">
        <v>26</v>
      </c>
      <c r="O2811" s="89"/>
      <c r="P2811" s="90"/>
      <c r="Q2811" s="133">
        <v>1200</v>
      </c>
      <c r="R2811" s="134"/>
      <c r="S2811" s="5" t="s">
        <v>27</v>
      </c>
      <c r="T2811" s="6"/>
      <c r="U2811" s="6"/>
      <c r="V2811" s="5" t="s">
        <v>702</v>
      </c>
      <c r="W2811" s="11">
        <v>4147177</v>
      </c>
      <c r="X2811" s="6"/>
      <c r="Y2811" s="6"/>
    </row>
    <row r="2812" spans="1:25" ht="15" customHeight="1" x14ac:dyDescent="0.2">
      <c r="A2812" s="88" t="s">
        <v>3319</v>
      </c>
      <c r="B2812" s="90"/>
      <c r="C2812" s="88" t="s">
        <v>3363</v>
      </c>
      <c r="D2812" s="90"/>
      <c r="E2812" s="106"/>
      <c r="F2812" s="107"/>
      <c r="G2812" s="107"/>
      <c r="H2812" s="107"/>
      <c r="I2812" s="108"/>
      <c r="J2812" s="88" t="s">
        <v>770</v>
      </c>
      <c r="K2812" s="89"/>
      <c r="L2812" s="89"/>
      <c r="M2812" s="90"/>
      <c r="N2812" s="88" t="s">
        <v>26</v>
      </c>
      <c r="O2812" s="89"/>
      <c r="P2812" s="90"/>
      <c r="Q2812" s="133">
        <v>1200</v>
      </c>
      <c r="R2812" s="134"/>
      <c r="S2812" s="5" t="s">
        <v>27</v>
      </c>
      <c r="T2812" s="6"/>
      <c r="U2812" s="6"/>
      <c r="V2812" s="5" t="s">
        <v>702</v>
      </c>
      <c r="W2812" s="9">
        <v>4402031</v>
      </c>
      <c r="X2812" s="6"/>
      <c r="Y2812" s="6"/>
    </row>
    <row r="2813" spans="1:25" ht="15" customHeight="1" x14ac:dyDescent="0.2">
      <c r="A2813" s="88" t="s">
        <v>3319</v>
      </c>
      <c r="B2813" s="90"/>
      <c r="C2813" s="88" t="s">
        <v>3364</v>
      </c>
      <c r="D2813" s="90"/>
      <c r="E2813" s="106"/>
      <c r="F2813" s="107"/>
      <c r="G2813" s="107"/>
      <c r="H2813" s="107"/>
      <c r="I2813" s="108"/>
      <c r="J2813" s="88" t="s">
        <v>770</v>
      </c>
      <c r="K2813" s="89"/>
      <c r="L2813" s="89"/>
      <c r="M2813" s="90"/>
      <c r="N2813" s="88" t="s">
        <v>26</v>
      </c>
      <c r="O2813" s="89"/>
      <c r="P2813" s="90"/>
      <c r="Q2813" s="133">
        <v>1200</v>
      </c>
      <c r="R2813" s="134"/>
      <c r="S2813" s="5" t="s">
        <v>27</v>
      </c>
      <c r="T2813" s="6"/>
      <c r="U2813" s="6"/>
      <c r="V2813" s="5" t="s">
        <v>702</v>
      </c>
      <c r="W2813" s="9">
        <v>4402031</v>
      </c>
      <c r="X2813" s="6"/>
      <c r="Y2813" s="6"/>
    </row>
    <row r="2814" spans="1:25" ht="15" customHeight="1" x14ac:dyDescent="0.2">
      <c r="A2814" s="88" t="s">
        <v>3319</v>
      </c>
      <c r="B2814" s="90"/>
      <c r="C2814" s="88" t="s">
        <v>3365</v>
      </c>
      <c r="D2814" s="90"/>
      <c r="E2814" s="106"/>
      <c r="F2814" s="107"/>
      <c r="G2814" s="107"/>
      <c r="H2814" s="107"/>
      <c r="I2814" s="108"/>
      <c r="J2814" s="88" t="s">
        <v>770</v>
      </c>
      <c r="K2814" s="89"/>
      <c r="L2814" s="89"/>
      <c r="M2814" s="90"/>
      <c r="N2814" s="88" t="s">
        <v>26</v>
      </c>
      <c r="O2814" s="89"/>
      <c r="P2814" s="90"/>
      <c r="Q2814" s="133">
        <v>1200</v>
      </c>
      <c r="R2814" s="134"/>
      <c r="S2814" s="5" t="s">
        <v>27</v>
      </c>
      <c r="T2814" s="6"/>
      <c r="U2814" s="6"/>
      <c r="V2814" s="5" t="s">
        <v>702</v>
      </c>
      <c r="W2814" s="9">
        <v>4471537</v>
      </c>
      <c r="X2814" s="6"/>
      <c r="Y2814" s="6"/>
    </row>
    <row r="2815" spans="1:25" ht="15" customHeight="1" x14ac:dyDescent="0.2">
      <c r="A2815" s="88" t="s">
        <v>3319</v>
      </c>
      <c r="B2815" s="90"/>
      <c r="C2815" s="88" t="s">
        <v>3366</v>
      </c>
      <c r="D2815" s="90"/>
      <c r="E2815" s="106"/>
      <c r="F2815" s="107"/>
      <c r="G2815" s="107"/>
      <c r="H2815" s="107"/>
      <c r="I2815" s="108"/>
      <c r="J2815" s="88" t="s">
        <v>2179</v>
      </c>
      <c r="K2815" s="89"/>
      <c r="L2815" s="89"/>
      <c r="M2815" s="90"/>
      <c r="N2815" s="88" t="s">
        <v>26</v>
      </c>
      <c r="O2815" s="89"/>
      <c r="P2815" s="90"/>
      <c r="Q2815" s="133">
        <v>1000</v>
      </c>
      <c r="R2815" s="134"/>
      <c r="S2815" s="5" t="s">
        <v>27</v>
      </c>
      <c r="T2815" s="6"/>
      <c r="U2815" s="6"/>
      <c r="V2815" s="5" t="s">
        <v>702</v>
      </c>
      <c r="W2815" s="9">
        <v>4958077</v>
      </c>
      <c r="X2815" s="6"/>
      <c r="Y2815" s="6"/>
    </row>
    <row r="2816" spans="1:25" ht="15" customHeight="1" x14ac:dyDescent="0.2">
      <c r="A2816" s="88" t="s">
        <v>3319</v>
      </c>
      <c r="B2816" s="90"/>
      <c r="C2816" s="88" t="s">
        <v>3367</v>
      </c>
      <c r="D2816" s="90"/>
      <c r="E2816" s="106"/>
      <c r="F2816" s="107"/>
      <c r="G2816" s="107"/>
      <c r="H2816" s="107"/>
      <c r="I2816" s="108"/>
      <c r="J2816" s="88" t="s">
        <v>2179</v>
      </c>
      <c r="K2816" s="89"/>
      <c r="L2816" s="89"/>
      <c r="M2816" s="90"/>
      <c r="N2816" s="88" t="s">
        <v>26</v>
      </c>
      <c r="O2816" s="89"/>
      <c r="P2816" s="90"/>
      <c r="Q2816" s="133">
        <v>1000</v>
      </c>
      <c r="R2816" s="134"/>
      <c r="S2816" s="5" t="s">
        <v>27</v>
      </c>
      <c r="T2816" s="6"/>
      <c r="U2816" s="6"/>
      <c r="V2816" s="5" t="s">
        <v>702</v>
      </c>
      <c r="W2816" s="9">
        <v>5977495</v>
      </c>
      <c r="X2816" s="6"/>
      <c r="Y2816" s="6"/>
    </row>
    <row r="2817" spans="1:25" ht="15" customHeight="1" x14ac:dyDescent="0.2">
      <c r="A2817" s="88" t="s">
        <v>3319</v>
      </c>
      <c r="B2817" s="90"/>
      <c r="C2817" s="88" t="s">
        <v>3368</v>
      </c>
      <c r="D2817" s="90"/>
      <c r="E2817" s="106"/>
      <c r="F2817" s="107"/>
      <c r="G2817" s="107"/>
      <c r="H2817" s="107"/>
      <c r="I2817" s="108"/>
      <c r="J2817" s="88" t="s">
        <v>2179</v>
      </c>
      <c r="K2817" s="89"/>
      <c r="L2817" s="89"/>
      <c r="M2817" s="90"/>
      <c r="N2817" s="88" t="s">
        <v>26</v>
      </c>
      <c r="O2817" s="89"/>
      <c r="P2817" s="90"/>
      <c r="Q2817" s="133">
        <v>1000</v>
      </c>
      <c r="R2817" s="134"/>
      <c r="S2817" s="5" t="s">
        <v>27</v>
      </c>
      <c r="T2817" s="6"/>
      <c r="U2817" s="6"/>
      <c r="V2817" s="5" t="s">
        <v>96</v>
      </c>
      <c r="W2817" s="9">
        <v>5189763</v>
      </c>
      <c r="X2817" s="6"/>
      <c r="Y2817" s="6"/>
    </row>
    <row r="2818" spans="1:25" ht="15" customHeight="1" x14ac:dyDescent="0.2">
      <c r="A2818" s="88" t="s">
        <v>3319</v>
      </c>
      <c r="B2818" s="90"/>
      <c r="C2818" s="88" t="s">
        <v>3369</v>
      </c>
      <c r="D2818" s="90"/>
      <c r="E2818" s="106"/>
      <c r="F2818" s="107"/>
      <c r="G2818" s="107"/>
      <c r="H2818" s="107"/>
      <c r="I2818" s="108"/>
      <c r="J2818" s="88" t="s">
        <v>963</v>
      </c>
      <c r="K2818" s="89"/>
      <c r="L2818" s="89"/>
      <c r="M2818" s="90"/>
      <c r="N2818" s="88" t="s">
        <v>26</v>
      </c>
      <c r="O2818" s="89"/>
      <c r="P2818" s="90"/>
      <c r="Q2818" s="133">
        <v>1200</v>
      </c>
      <c r="R2818" s="134"/>
      <c r="S2818" s="5" t="s">
        <v>27</v>
      </c>
      <c r="T2818" s="6"/>
      <c r="U2818" s="6"/>
      <c r="V2818" s="5" t="s">
        <v>96</v>
      </c>
      <c r="W2818" s="9">
        <v>3811232</v>
      </c>
      <c r="X2818" s="6"/>
      <c r="Y2818" s="6"/>
    </row>
    <row r="2819" spans="1:25" ht="15" customHeight="1" x14ac:dyDescent="0.2">
      <c r="A2819" s="88" t="s">
        <v>3319</v>
      </c>
      <c r="B2819" s="90"/>
      <c r="C2819" s="88" t="s">
        <v>3370</v>
      </c>
      <c r="D2819" s="90"/>
      <c r="E2819" s="106"/>
      <c r="F2819" s="107"/>
      <c r="G2819" s="107"/>
      <c r="H2819" s="107"/>
      <c r="I2819" s="108"/>
      <c r="J2819" s="88" t="s">
        <v>770</v>
      </c>
      <c r="K2819" s="89"/>
      <c r="L2819" s="89"/>
      <c r="M2819" s="90"/>
      <c r="N2819" s="88" t="s">
        <v>26</v>
      </c>
      <c r="O2819" s="89"/>
      <c r="P2819" s="90"/>
      <c r="Q2819" s="133">
        <v>1200</v>
      </c>
      <c r="R2819" s="134"/>
      <c r="S2819" s="5" t="s">
        <v>27</v>
      </c>
      <c r="T2819" s="6"/>
      <c r="U2819" s="6"/>
      <c r="V2819" s="5" t="s">
        <v>96</v>
      </c>
      <c r="W2819" s="9">
        <v>4459953</v>
      </c>
      <c r="X2819" s="6"/>
      <c r="Y2819" s="6"/>
    </row>
    <row r="2820" spans="1:25" ht="15" customHeight="1" x14ac:dyDescent="0.2">
      <c r="A2820" s="88" t="s">
        <v>3319</v>
      </c>
      <c r="B2820" s="90"/>
      <c r="C2820" s="88" t="s">
        <v>3371</v>
      </c>
      <c r="D2820" s="90"/>
      <c r="E2820" s="106"/>
      <c r="F2820" s="107"/>
      <c r="G2820" s="107"/>
      <c r="H2820" s="107"/>
      <c r="I2820" s="108"/>
      <c r="J2820" s="88" t="s">
        <v>770</v>
      </c>
      <c r="K2820" s="89"/>
      <c r="L2820" s="89"/>
      <c r="M2820" s="90"/>
      <c r="N2820" s="88" t="s">
        <v>26</v>
      </c>
      <c r="O2820" s="89"/>
      <c r="P2820" s="90"/>
      <c r="Q2820" s="133">
        <v>1200</v>
      </c>
      <c r="R2820" s="134"/>
      <c r="S2820" s="5" t="s">
        <v>27</v>
      </c>
      <c r="T2820" s="6"/>
      <c r="U2820" s="6"/>
      <c r="V2820" s="5" t="s">
        <v>96</v>
      </c>
      <c r="W2820" s="9">
        <v>4297773</v>
      </c>
      <c r="X2820" s="6"/>
      <c r="Y2820" s="6"/>
    </row>
    <row r="2821" spans="1:25" ht="15" customHeight="1" x14ac:dyDescent="0.2">
      <c r="A2821" s="88" t="s">
        <v>3319</v>
      </c>
      <c r="B2821" s="90"/>
      <c r="C2821" s="88" t="s">
        <v>3372</v>
      </c>
      <c r="D2821" s="90"/>
      <c r="E2821" s="106"/>
      <c r="F2821" s="107"/>
      <c r="G2821" s="107"/>
      <c r="H2821" s="107"/>
      <c r="I2821" s="108"/>
      <c r="J2821" s="88" t="s">
        <v>2179</v>
      </c>
      <c r="K2821" s="89"/>
      <c r="L2821" s="89"/>
      <c r="M2821" s="90"/>
      <c r="N2821" s="88" t="s">
        <v>26</v>
      </c>
      <c r="O2821" s="89"/>
      <c r="P2821" s="90"/>
      <c r="Q2821" s="133">
        <v>1400</v>
      </c>
      <c r="R2821" s="134"/>
      <c r="S2821" s="5" t="s">
        <v>27</v>
      </c>
      <c r="T2821" s="6"/>
      <c r="U2821" s="6"/>
      <c r="V2821" s="5" t="s">
        <v>96</v>
      </c>
      <c r="W2821" s="9">
        <v>5583629</v>
      </c>
      <c r="X2821" s="6"/>
      <c r="Y2821" s="6"/>
    </row>
    <row r="2822" spans="1:25" ht="15" customHeight="1" x14ac:dyDescent="0.2">
      <c r="A2822" s="88" t="s">
        <v>3319</v>
      </c>
      <c r="B2822" s="90"/>
      <c r="C2822" s="88" t="s">
        <v>3373</v>
      </c>
      <c r="D2822" s="90"/>
      <c r="E2822" s="106"/>
      <c r="F2822" s="107"/>
      <c r="G2822" s="107"/>
      <c r="H2822" s="107"/>
      <c r="I2822" s="108"/>
      <c r="J2822" s="88" t="s">
        <v>1718</v>
      </c>
      <c r="K2822" s="89"/>
      <c r="L2822" s="89"/>
      <c r="M2822" s="90"/>
      <c r="N2822" s="88" t="s">
        <v>26</v>
      </c>
      <c r="O2822" s="89"/>
      <c r="P2822" s="90"/>
      <c r="Q2822" s="133">
        <v>1400</v>
      </c>
      <c r="R2822" s="134"/>
      <c r="S2822" s="5" t="s">
        <v>27</v>
      </c>
      <c r="T2822" s="6"/>
      <c r="U2822" s="6"/>
      <c r="V2822" s="5" t="s">
        <v>702</v>
      </c>
      <c r="W2822" s="9">
        <v>5792146</v>
      </c>
      <c r="X2822" s="6"/>
      <c r="Y2822" s="6"/>
    </row>
    <row r="2823" spans="1:25" ht="15" customHeight="1" x14ac:dyDescent="0.2">
      <c r="A2823" s="88" t="s">
        <v>3319</v>
      </c>
      <c r="B2823" s="90"/>
      <c r="C2823" s="88" t="s">
        <v>3374</v>
      </c>
      <c r="D2823" s="90"/>
      <c r="E2823" s="106"/>
      <c r="F2823" s="107"/>
      <c r="G2823" s="107"/>
      <c r="H2823" s="107"/>
      <c r="I2823" s="108"/>
      <c r="J2823" s="88" t="s">
        <v>963</v>
      </c>
      <c r="K2823" s="89"/>
      <c r="L2823" s="89"/>
      <c r="M2823" s="90"/>
      <c r="N2823" s="88" t="s">
        <v>26</v>
      </c>
      <c r="O2823" s="89"/>
      <c r="P2823" s="90"/>
      <c r="Q2823" s="133">
        <v>1600</v>
      </c>
      <c r="R2823" s="134"/>
      <c r="S2823" s="5" t="s">
        <v>16</v>
      </c>
      <c r="T2823" s="6"/>
      <c r="U2823" s="6"/>
      <c r="V2823" s="5" t="s">
        <v>702</v>
      </c>
      <c r="W2823" s="9">
        <v>5212932</v>
      </c>
      <c r="X2823" s="6"/>
      <c r="Y2823" s="6"/>
    </row>
    <row r="2824" spans="1:25" ht="15" customHeight="1" x14ac:dyDescent="0.2">
      <c r="A2824" s="88" t="s">
        <v>3319</v>
      </c>
      <c r="B2824" s="90"/>
      <c r="C2824" s="88" t="s">
        <v>3375</v>
      </c>
      <c r="D2824" s="90"/>
      <c r="E2824" s="106"/>
      <c r="F2824" s="107"/>
      <c r="G2824" s="107"/>
      <c r="H2824" s="107"/>
      <c r="I2824" s="108"/>
      <c r="J2824" s="88" t="s">
        <v>2179</v>
      </c>
      <c r="K2824" s="89"/>
      <c r="L2824" s="89"/>
      <c r="M2824" s="90"/>
      <c r="N2824" s="88" t="s">
        <v>26</v>
      </c>
      <c r="O2824" s="89"/>
      <c r="P2824" s="90"/>
      <c r="Q2824" s="133">
        <v>1600</v>
      </c>
      <c r="R2824" s="134"/>
      <c r="S2824" s="5" t="s">
        <v>16</v>
      </c>
      <c r="T2824" s="6"/>
      <c r="U2824" s="6"/>
      <c r="V2824" s="5" t="s">
        <v>702</v>
      </c>
      <c r="W2824" s="11">
        <v>5815315</v>
      </c>
      <c r="X2824" s="6"/>
      <c r="Y2824" s="6"/>
    </row>
    <row r="2825" spans="1:25" ht="15" customHeight="1" x14ac:dyDescent="0.2">
      <c r="A2825" s="88" t="s">
        <v>3319</v>
      </c>
      <c r="B2825" s="90"/>
      <c r="C2825" s="88" t="s">
        <v>3376</v>
      </c>
      <c r="D2825" s="90"/>
      <c r="E2825" s="106"/>
      <c r="F2825" s="107"/>
      <c r="G2825" s="107"/>
      <c r="H2825" s="107"/>
      <c r="I2825" s="108"/>
      <c r="J2825" s="88" t="s">
        <v>963</v>
      </c>
      <c r="K2825" s="89"/>
      <c r="L2825" s="89"/>
      <c r="M2825" s="90"/>
      <c r="N2825" s="88" t="s">
        <v>26</v>
      </c>
      <c r="O2825" s="89"/>
      <c r="P2825" s="90"/>
      <c r="Q2825" s="133">
        <v>1600</v>
      </c>
      <c r="R2825" s="134"/>
      <c r="S2825" s="5" t="s">
        <v>16</v>
      </c>
      <c r="T2825" s="6"/>
      <c r="U2825" s="6"/>
      <c r="V2825" s="5" t="s">
        <v>702</v>
      </c>
      <c r="W2825" s="9">
        <v>5398280</v>
      </c>
      <c r="X2825" s="6"/>
      <c r="Y2825" s="6"/>
    </row>
    <row r="2826" spans="1:25" ht="15" customHeight="1" x14ac:dyDescent="0.2">
      <c r="A2826" s="88" t="s">
        <v>3319</v>
      </c>
      <c r="B2826" s="90"/>
      <c r="C2826" s="88" t="s">
        <v>3377</v>
      </c>
      <c r="D2826" s="90"/>
      <c r="E2826" s="106"/>
      <c r="F2826" s="107"/>
      <c r="G2826" s="107"/>
      <c r="H2826" s="107"/>
      <c r="I2826" s="108"/>
      <c r="J2826" s="88" t="s">
        <v>2179</v>
      </c>
      <c r="K2826" s="89"/>
      <c r="L2826" s="89"/>
      <c r="M2826" s="90"/>
      <c r="N2826" s="88" t="s">
        <v>26</v>
      </c>
      <c r="O2826" s="89"/>
      <c r="P2826" s="90"/>
      <c r="Q2826" s="133">
        <v>1600</v>
      </c>
      <c r="R2826" s="134"/>
      <c r="S2826" s="5" t="s">
        <v>16</v>
      </c>
      <c r="T2826" s="6"/>
      <c r="U2826" s="6"/>
      <c r="V2826" s="5" t="s">
        <v>96</v>
      </c>
      <c r="W2826" s="9">
        <v>6649384</v>
      </c>
      <c r="X2826" s="6"/>
      <c r="Y2826" s="6"/>
    </row>
    <row r="2827" spans="1:25" ht="15" customHeight="1" x14ac:dyDescent="0.2">
      <c r="A2827" s="88" t="s">
        <v>3319</v>
      </c>
      <c r="B2827" s="90"/>
      <c r="C2827" s="88" t="s">
        <v>3378</v>
      </c>
      <c r="D2827" s="90"/>
      <c r="E2827" s="106"/>
      <c r="F2827" s="107"/>
      <c r="G2827" s="107"/>
      <c r="H2827" s="107"/>
      <c r="I2827" s="108"/>
      <c r="J2827" s="88" t="s">
        <v>2179</v>
      </c>
      <c r="K2827" s="89"/>
      <c r="L2827" s="89"/>
      <c r="M2827" s="90"/>
      <c r="N2827" s="88" t="s">
        <v>26</v>
      </c>
      <c r="O2827" s="89"/>
      <c r="P2827" s="90"/>
      <c r="Q2827" s="133">
        <v>1400</v>
      </c>
      <c r="R2827" s="134"/>
      <c r="S2827" s="5" t="s">
        <v>16</v>
      </c>
      <c r="T2827" s="6"/>
      <c r="U2827" s="6"/>
      <c r="V2827" s="5" t="s">
        <v>702</v>
      </c>
      <c r="W2827" s="9">
        <v>7020081</v>
      </c>
      <c r="X2827" s="6"/>
      <c r="Y2827" s="6"/>
    </row>
    <row r="2828" spans="1:25" ht="15" customHeight="1" x14ac:dyDescent="0.2">
      <c r="A2828" s="88" t="s">
        <v>3319</v>
      </c>
      <c r="B2828" s="90"/>
      <c r="C2828" s="88" t="s">
        <v>3379</v>
      </c>
      <c r="D2828" s="90"/>
      <c r="E2828" s="106"/>
      <c r="F2828" s="107"/>
      <c r="G2828" s="107"/>
      <c r="H2828" s="107"/>
      <c r="I2828" s="108"/>
      <c r="J2828" s="88" t="s">
        <v>2179</v>
      </c>
      <c r="K2828" s="89"/>
      <c r="L2828" s="89"/>
      <c r="M2828" s="90"/>
      <c r="N2828" s="88" t="s">
        <v>22</v>
      </c>
      <c r="O2828" s="89"/>
      <c r="P2828" s="90"/>
      <c r="Q2828" s="133">
        <v>1400</v>
      </c>
      <c r="R2828" s="134"/>
      <c r="S2828" s="5" t="s">
        <v>16</v>
      </c>
      <c r="T2828" s="6"/>
      <c r="U2828" s="6"/>
      <c r="V2828" s="5" t="s">
        <v>702</v>
      </c>
      <c r="W2828" s="9">
        <v>6811564</v>
      </c>
      <c r="X2828" s="6"/>
      <c r="Y2828" s="6"/>
    </row>
    <row r="2829" spans="1:25" ht="15" customHeight="1" x14ac:dyDescent="0.2">
      <c r="A2829" s="88" t="s">
        <v>3319</v>
      </c>
      <c r="B2829" s="90"/>
      <c r="C2829" s="88" t="s">
        <v>3380</v>
      </c>
      <c r="D2829" s="90"/>
      <c r="E2829" s="106"/>
      <c r="F2829" s="107"/>
      <c r="G2829" s="107"/>
      <c r="H2829" s="107"/>
      <c r="I2829" s="108"/>
      <c r="J2829" s="88" t="s">
        <v>2179</v>
      </c>
      <c r="K2829" s="89"/>
      <c r="L2829" s="89"/>
      <c r="M2829" s="90"/>
      <c r="N2829" s="88" t="s">
        <v>26</v>
      </c>
      <c r="O2829" s="89"/>
      <c r="P2829" s="90"/>
      <c r="Q2829" s="133">
        <v>1400</v>
      </c>
      <c r="R2829" s="134"/>
      <c r="S2829" s="5" t="s">
        <v>16</v>
      </c>
      <c r="T2829" s="6"/>
      <c r="U2829" s="6"/>
      <c r="V2829" s="5" t="s">
        <v>96</v>
      </c>
      <c r="W2829" s="9">
        <v>6649384</v>
      </c>
      <c r="X2829" s="6"/>
      <c r="Y2829" s="6"/>
    </row>
    <row r="2830" spans="1:25" ht="15" customHeight="1" x14ac:dyDescent="0.2">
      <c r="A2830" s="88" t="s">
        <v>3319</v>
      </c>
      <c r="B2830" s="90"/>
      <c r="C2830" s="88" t="s">
        <v>3381</v>
      </c>
      <c r="D2830" s="90"/>
      <c r="E2830" s="106"/>
      <c r="F2830" s="107"/>
      <c r="G2830" s="107"/>
      <c r="H2830" s="107"/>
      <c r="I2830" s="108"/>
      <c r="J2830" s="88" t="s">
        <v>2179</v>
      </c>
      <c r="K2830" s="89"/>
      <c r="L2830" s="89"/>
      <c r="M2830" s="90"/>
      <c r="N2830" s="88" t="s">
        <v>26</v>
      </c>
      <c r="O2830" s="89"/>
      <c r="P2830" s="90"/>
      <c r="Q2830" s="133">
        <v>1400</v>
      </c>
      <c r="R2830" s="134"/>
      <c r="S2830" s="5" t="s">
        <v>16</v>
      </c>
      <c r="T2830" s="6"/>
      <c r="U2830" s="6"/>
      <c r="V2830" s="5" t="s">
        <v>96</v>
      </c>
      <c r="W2830" s="9">
        <v>7483453</v>
      </c>
      <c r="X2830" s="6"/>
      <c r="Y2830" s="6"/>
    </row>
    <row r="2831" spans="1:25" ht="15" customHeight="1" x14ac:dyDescent="0.2">
      <c r="A2831" s="88" t="s">
        <v>3319</v>
      </c>
      <c r="B2831" s="90"/>
      <c r="C2831" s="88" t="s">
        <v>3382</v>
      </c>
      <c r="D2831" s="90"/>
      <c r="E2831" s="106"/>
      <c r="F2831" s="107"/>
      <c r="G2831" s="107"/>
      <c r="H2831" s="107"/>
      <c r="I2831" s="108"/>
      <c r="J2831" s="88" t="s">
        <v>2179</v>
      </c>
      <c r="K2831" s="89"/>
      <c r="L2831" s="89"/>
      <c r="M2831" s="90"/>
      <c r="N2831" s="88" t="s">
        <v>26</v>
      </c>
      <c r="O2831" s="89"/>
      <c r="P2831" s="90"/>
      <c r="Q2831" s="133">
        <v>1400</v>
      </c>
      <c r="R2831" s="134"/>
      <c r="S2831" s="5" t="s">
        <v>16</v>
      </c>
      <c r="T2831" s="6"/>
      <c r="U2831" s="6"/>
      <c r="V2831" s="5" t="s">
        <v>96</v>
      </c>
      <c r="W2831" s="9">
        <v>6649384</v>
      </c>
      <c r="X2831" s="6"/>
      <c r="Y2831" s="6"/>
    </row>
    <row r="2832" spans="1:25" ht="15" customHeight="1" x14ac:dyDescent="0.2">
      <c r="A2832" s="88" t="s">
        <v>3319</v>
      </c>
      <c r="B2832" s="90"/>
      <c r="C2832" s="88" t="s">
        <v>3383</v>
      </c>
      <c r="D2832" s="90"/>
      <c r="E2832" s="106"/>
      <c r="F2832" s="107"/>
      <c r="G2832" s="107"/>
      <c r="H2832" s="107"/>
      <c r="I2832" s="108"/>
      <c r="J2832" s="88" t="s">
        <v>2179</v>
      </c>
      <c r="K2832" s="89"/>
      <c r="L2832" s="89"/>
      <c r="M2832" s="90"/>
      <c r="N2832" s="88" t="s">
        <v>26</v>
      </c>
      <c r="O2832" s="89"/>
      <c r="P2832" s="90"/>
      <c r="Q2832" s="133">
        <v>1400</v>
      </c>
      <c r="R2832" s="134"/>
      <c r="S2832" s="5" t="s">
        <v>16</v>
      </c>
      <c r="T2832" s="6"/>
      <c r="U2832" s="6"/>
      <c r="V2832" s="5" t="s">
        <v>96</v>
      </c>
      <c r="W2832" s="9">
        <v>7668802</v>
      </c>
      <c r="X2832" s="6"/>
      <c r="Y2832" s="6"/>
    </row>
    <row r="2833" spans="1:25" ht="15" customHeight="1" x14ac:dyDescent="0.2">
      <c r="A2833" s="88" t="s">
        <v>3384</v>
      </c>
      <c r="B2833" s="90"/>
      <c r="C2833" s="88" t="s">
        <v>3385</v>
      </c>
      <c r="D2833" s="90"/>
      <c r="E2833" s="88" t="s">
        <v>3386</v>
      </c>
      <c r="F2833" s="89"/>
      <c r="G2833" s="89"/>
      <c r="H2833" s="89"/>
      <c r="I2833" s="90"/>
      <c r="J2833" s="88" t="s">
        <v>770</v>
      </c>
      <c r="K2833" s="89"/>
      <c r="L2833" s="89"/>
      <c r="M2833" s="90"/>
      <c r="N2833" s="88" t="s">
        <v>26</v>
      </c>
      <c r="O2833" s="89"/>
      <c r="P2833" s="90"/>
      <c r="Q2833" s="133">
        <v>658</v>
      </c>
      <c r="R2833" s="134"/>
      <c r="S2833" s="5" t="s">
        <v>44</v>
      </c>
      <c r="T2833" s="8">
        <v>1110</v>
      </c>
      <c r="U2833" s="8">
        <v>5</v>
      </c>
      <c r="V2833" s="5" t="s">
        <v>23</v>
      </c>
      <c r="W2833" s="12">
        <v>3111482</v>
      </c>
      <c r="X2833" s="6"/>
      <c r="Y2833" s="6"/>
    </row>
    <row r="2834" spans="1:25" ht="15" customHeight="1" x14ac:dyDescent="0.2">
      <c r="A2834" s="88" t="s">
        <v>3384</v>
      </c>
      <c r="B2834" s="90"/>
      <c r="C2834" s="88" t="s">
        <v>3387</v>
      </c>
      <c r="D2834" s="90"/>
      <c r="E2834" s="88" t="s">
        <v>3388</v>
      </c>
      <c r="F2834" s="89"/>
      <c r="G2834" s="89"/>
      <c r="H2834" s="89"/>
      <c r="I2834" s="90"/>
      <c r="J2834" s="88" t="s">
        <v>2179</v>
      </c>
      <c r="K2834" s="89"/>
      <c r="L2834" s="89"/>
      <c r="M2834" s="90"/>
      <c r="N2834" s="88" t="s">
        <v>26</v>
      </c>
      <c r="O2834" s="89"/>
      <c r="P2834" s="90"/>
      <c r="Q2834" s="133">
        <v>2488</v>
      </c>
      <c r="R2834" s="134"/>
      <c r="S2834" s="5" t="s">
        <v>44</v>
      </c>
      <c r="T2834" s="8">
        <v>1815</v>
      </c>
      <c r="U2834" s="8">
        <v>5</v>
      </c>
      <c r="V2834" s="5" t="s">
        <v>23</v>
      </c>
      <c r="W2834" s="12">
        <v>6902145</v>
      </c>
      <c r="X2834" s="6"/>
      <c r="Y2834" s="6"/>
    </row>
    <row r="2835" spans="1:25" ht="15" customHeight="1" x14ac:dyDescent="0.2">
      <c r="A2835" s="88" t="s">
        <v>3384</v>
      </c>
      <c r="B2835" s="90"/>
      <c r="C2835" s="88" t="s">
        <v>3389</v>
      </c>
      <c r="D2835" s="90"/>
      <c r="E2835" s="88" t="s">
        <v>3390</v>
      </c>
      <c r="F2835" s="89"/>
      <c r="G2835" s="89"/>
      <c r="H2835" s="89"/>
      <c r="I2835" s="90"/>
      <c r="J2835" s="88" t="s">
        <v>2179</v>
      </c>
      <c r="K2835" s="89"/>
      <c r="L2835" s="89"/>
      <c r="M2835" s="90"/>
      <c r="N2835" s="88" t="s">
        <v>3391</v>
      </c>
      <c r="O2835" s="89"/>
      <c r="P2835" s="90"/>
      <c r="Q2835" s="133">
        <v>2188</v>
      </c>
      <c r="R2835" s="134"/>
      <c r="S2835" s="5" t="s">
        <v>44</v>
      </c>
      <c r="T2835" s="8">
        <v>1965</v>
      </c>
      <c r="U2835" s="8">
        <v>5</v>
      </c>
      <c r="V2835" s="5" t="s">
        <v>106</v>
      </c>
      <c r="W2835" s="12">
        <v>8164733</v>
      </c>
      <c r="X2835" s="6"/>
      <c r="Y2835" s="6"/>
    </row>
    <row r="2836" spans="1:25" ht="15" customHeight="1" x14ac:dyDescent="0.2">
      <c r="A2836" s="88" t="s">
        <v>3384</v>
      </c>
      <c r="B2836" s="90"/>
      <c r="C2836" s="88" t="s">
        <v>3392</v>
      </c>
      <c r="D2836" s="90"/>
      <c r="E2836" s="88" t="s">
        <v>3393</v>
      </c>
      <c r="F2836" s="89"/>
      <c r="G2836" s="89"/>
      <c r="H2836" s="89"/>
      <c r="I2836" s="90"/>
      <c r="J2836" s="88" t="s">
        <v>2179</v>
      </c>
      <c r="K2836" s="89"/>
      <c r="L2836" s="89"/>
      <c r="M2836" s="90"/>
      <c r="N2836" s="88" t="s">
        <v>26</v>
      </c>
      <c r="O2836" s="89"/>
      <c r="P2836" s="90"/>
      <c r="Q2836" s="133">
        <v>2188</v>
      </c>
      <c r="R2836" s="134"/>
      <c r="S2836" s="5" t="s">
        <v>44</v>
      </c>
      <c r="T2836" s="8">
        <v>1815</v>
      </c>
      <c r="U2836" s="8">
        <v>5</v>
      </c>
      <c r="V2836" s="5" t="s">
        <v>106</v>
      </c>
      <c r="W2836" s="12">
        <v>7354572</v>
      </c>
      <c r="X2836" s="6"/>
      <c r="Y2836" s="6"/>
    </row>
    <row r="2837" spans="1:25" ht="15" customHeight="1" x14ac:dyDescent="0.2">
      <c r="A2837" s="88" t="s">
        <v>3384</v>
      </c>
      <c r="B2837" s="90"/>
      <c r="C2837" s="88" t="s">
        <v>3394</v>
      </c>
      <c r="D2837" s="90"/>
      <c r="E2837" s="88" t="s">
        <v>3395</v>
      </c>
      <c r="F2837" s="89"/>
      <c r="G2837" s="89"/>
      <c r="H2837" s="89"/>
      <c r="I2837" s="90"/>
      <c r="J2837" s="88" t="s">
        <v>2179</v>
      </c>
      <c r="K2837" s="89"/>
      <c r="L2837" s="89"/>
      <c r="M2837" s="90"/>
      <c r="N2837" s="88" t="s">
        <v>26</v>
      </c>
      <c r="O2837" s="89"/>
      <c r="P2837" s="90"/>
      <c r="Q2837" s="133">
        <v>1496</v>
      </c>
      <c r="R2837" s="134"/>
      <c r="S2837" s="5" t="s">
        <v>44</v>
      </c>
      <c r="T2837" s="8">
        <v>1545</v>
      </c>
      <c r="U2837" s="8">
        <v>5</v>
      </c>
      <c r="V2837" s="5" t="s">
        <v>23</v>
      </c>
      <c r="W2837" s="12">
        <v>4020079</v>
      </c>
      <c r="X2837" s="6"/>
      <c r="Y2837" s="6"/>
    </row>
    <row r="2838" spans="1:25" ht="15" customHeight="1" x14ac:dyDescent="0.2">
      <c r="A2838" s="88" t="s">
        <v>3384</v>
      </c>
      <c r="B2838" s="90"/>
      <c r="C2838" s="88" t="s">
        <v>3396</v>
      </c>
      <c r="D2838" s="90"/>
      <c r="E2838" s="88" t="s">
        <v>3397</v>
      </c>
      <c r="F2838" s="89"/>
      <c r="G2838" s="89"/>
      <c r="H2838" s="89"/>
      <c r="I2838" s="90"/>
      <c r="J2838" s="88" t="s">
        <v>770</v>
      </c>
      <c r="K2838" s="89"/>
      <c r="L2838" s="89"/>
      <c r="M2838" s="90"/>
      <c r="N2838" s="88" t="s">
        <v>26</v>
      </c>
      <c r="O2838" s="89"/>
      <c r="P2838" s="90"/>
      <c r="Q2838" s="133">
        <v>1997</v>
      </c>
      <c r="R2838" s="134"/>
      <c r="S2838" s="5" t="s">
        <v>44</v>
      </c>
      <c r="T2838" s="8">
        <v>1695</v>
      </c>
      <c r="U2838" s="8">
        <v>5</v>
      </c>
      <c r="V2838" s="5" t="s">
        <v>23</v>
      </c>
      <c r="W2838" s="12">
        <v>5609552</v>
      </c>
      <c r="X2838" s="6"/>
      <c r="Y2838" s="6"/>
    </row>
    <row r="2839" spans="1:25" ht="15" customHeight="1" x14ac:dyDescent="0.2">
      <c r="A2839" s="88" t="s">
        <v>3384</v>
      </c>
      <c r="B2839" s="90"/>
      <c r="C2839" s="88" t="s">
        <v>3398</v>
      </c>
      <c r="D2839" s="90"/>
      <c r="E2839" s="88" t="s">
        <v>3399</v>
      </c>
      <c r="F2839" s="89"/>
      <c r="G2839" s="89"/>
      <c r="H2839" s="89"/>
      <c r="I2839" s="90"/>
      <c r="J2839" s="88" t="s">
        <v>2179</v>
      </c>
      <c r="K2839" s="89"/>
      <c r="L2839" s="89"/>
      <c r="M2839" s="90"/>
      <c r="N2839" s="88" t="s">
        <v>26</v>
      </c>
      <c r="O2839" s="89"/>
      <c r="P2839" s="90"/>
      <c r="Q2839" s="133">
        <v>1498</v>
      </c>
      <c r="R2839" s="134"/>
      <c r="S2839" s="5" t="s">
        <v>44</v>
      </c>
      <c r="T2839" s="8">
        <v>1635</v>
      </c>
      <c r="U2839" s="8">
        <v>5</v>
      </c>
      <c r="V2839" s="5" t="s">
        <v>106</v>
      </c>
      <c r="W2839" s="12">
        <v>5030149</v>
      </c>
      <c r="X2839" s="6"/>
      <c r="Y2839" s="6"/>
    </row>
    <row r="2840" spans="1:25" ht="15" customHeight="1" x14ac:dyDescent="0.2">
      <c r="A2840" s="88" t="s">
        <v>3384</v>
      </c>
      <c r="B2840" s="90"/>
      <c r="C2840" s="88" t="s">
        <v>3400</v>
      </c>
      <c r="D2840" s="90"/>
      <c r="E2840" s="88" t="s">
        <v>3401</v>
      </c>
      <c r="F2840" s="89"/>
      <c r="G2840" s="89"/>
      <c r="H2840" s="89"/>
      <c r="I2840" s="90"/>
      <c r="J2840" s="88" t="s">
        <v>2179</v>
      </c>
      <c r="K2840" s="89"/>
      <c r="L2840" s="89"/>
      <c r="M2840" s="90"/>
      <c r="N2840" s="88" t="s">
        <v>26</v>
      </c>
      <c r="O2840" s="89"/>
      <c r="P2840" s="90"/>
      <c r="Q2840" s="133">
        <v>2188</v>
      </c>
      <c r="R2840" s="134"/>
      <c r="S2840" s="5" t="s">
        <v>44</v>
      </c>
      <c r="T2840" s="8">
        <v>1725</v>
      </c>
      <c r="U2840" s="8">
        <v>5</v>
      </c>
      <c r="V2840" s="5" t="s">
        <v>106</v>
      </c>
      <c r="W2840" s="12">
        <v>6018334</v>
      </c>
      <c r="X2840" s="6"/>
      <c r="Y2840" s="6"/>
    </row>
    <row r="2841" spans="1:25" ht="15" customHeight="1" x14ac:dyDescent="0.2">
      <c r="A2841" s="88" t="s">
        <v>3384</v>
      </c>
      <c r="B2841" s="90"/>
      <c r="C2841" s="88" t="s">
        <v>3402</v>
      </c>
      <c r="D2841" s="90"/>
      <c r="E2841" s="88" t="s">
        <v>3403</v>
      </c>
      <c r="F2841" s="89"/>
      <c r="G2841" s="89"/>
      <c r="H2841" s="89"/>
      <c r="I2841" s="90"/>
      <c r="J2841" s="88" t="s">
        <v>2179</v>
      </c>
      <c r="K2841" s="89"/>
      <c r="L2841" s="89"/>
      <c r="M2841" s="90"/>
      <c r="N2841" s="88" t="s">
        <v>26</v>
      </c>
      <c r="O2841" s="89"/>
      <c r="P2841" s="90"/>
      <c r="Q2841" s="133">
        <v>1998</v>
      </c>
      <c r="R2841" s="134"/>
      <c r="S2841" s="5" t="s">
        <v>814</v>
      </c>
      <c r="T2841" s="8">
        <v>3115</v>
      </c>
      <c r="U2841" s="8">
        <v>6</v>
      </c>
      <c r="V2841" s="5" t="s">
        <v>23</v>
      </c>
      <c r="W2841" s="12">
        <v>5074592</v>
      </c>
      <c r="X2841" s="6"/>
      <c r="Y2841" s="6"/>
    </row>
    <row r="2842" spans="1:25" ht="15" customHeight="1" x14ac:dyDescent="0.2">
      <c r="A2842" s="88" t="s">
        <v>3384</v>
      </c>
      <c r="B2842" s="90"/>
      <c r="C2842" s="88" t="s">
        <v>3404</v>
      </c>
      <c r="D2842" s="90"/>
      <c r="E2842" s="88" t="s">
        <v>3403</v>
      </c>
      <c r="F2842" s="89"/>
      <c r="G2842" s="89"/>
      <c r="H2842" s="89"/>
      <c r="I2842" s="90"/>
      <c r="J2842" s="88" t="s">
        <v>2179</v>
      </c>
      <c r="K2842" s="89"/>
      <c r="L2842" s="89"/>
      <c r="M2842" s="90"/>
      <c r="N2842" s="88" t="s">
        <v>26</v>
      </c>
      <c r="O2842" s="89"/>
      <c r="P2842" s="90"/>
      <c r="Q2842" s="133">
        <v>1998</v>
      </c>
      <c r="R2842" s="134"/>
      <c r="S2842" s="5" t="s">
        <v>814</v>
      </c>
      <c r="T2842" s="8">
        <v>3115</v>
      </c>
      <c r="U2842" s="8">
        <v>6</v>
      </c>
      <c r="V2842" s="5" t="s">
        <v>106</v>
      </c>
      <c r="W2842" s="12">
        <v>5728713</v>
      </c>
      <c r="X2842" s="6"/>
      <c r="Y2842" s="6"/>
    </row>
    <row r="2843" spans="1:25" ht="15" customHeight="1" x14ac:dyDescent="0.2">
      <c r="A2843" s="88" t="s">
        <v>3384</v>
      </c>
      <c r="B2843" s="90"/>
      <c r="C2843" s="88" t="s">
        <v>3404</v>
      </c>
      <c r="D2843" s="90"/>
      <c r="E2843" s="88" t="s">
        <v>3405</v>
      </c>
      <c r="F2843" s="89"/>
      <c r="G2843" s="89"/>
      <c r="H2843" s="89"/>
      <c r="I2843" s="90"/>
      <c r="J2843" s="88" t="s">
        <v>2179</v>
      </c>
      <c r="K2843" s="89"/>
      <c r="L2843" s="89"/>
      <c r="M2843" s="90"/>
      <c r="N2843" s="88" t="s">
        <v>26</v>
      </c>
      <c r="O2843" s="89"/>
      <c r="P2843" s="90"/>
      <c r="Q2843" s="133">
        <v>1998</v>
      </c>
      <c r="R2843" s="134"/>
      <c r="S2843" s="5" t="s">
        <v>814</v>
      </c>
      <c r="T2843" s="8">
        <v>3115</v>
      </c>
      <c r="U2843" s="8">
        <v>6</v>
      </c>
      <c r="V2843" s="5" t="s">
        <v>106</v>
      </c>
      <c r="W2843" s="12">
        <v>5159774</v>
      </c>
      <c r="X2843" s="6"/>
      <c r="Y2843" s="6"/>
    </row>
    <row r="2844" spans="1:25" ht="15" customHeight="1" x14ac:dyDescent="0.2">
      <c r="A2844" s="88" t="s">
        <v>3384</v>
      </c>
      <c r="B2844" s="90"/>
      <c r="C2844" s="88" t="s">
        <v>3404</v>
      </c>
      <c r="D2844" s="90"/>
      <c r="E2844" s="88" t="s">
        <v>3403</v>
      </c>
      <c r="F2844" s="89"/>
      <c r="G2844" s="89"/>
      <c r="H2844" s="89"/>
      <c r="I2844" s="90"/>
      <c r="J2844" s="88" t="s">
        <v>2179</v>
      </c>
      <c r="K2844" s="89"/>
      <c r="L2844" s="89"/>
      <c r="M2844" s="90"/>
      <c r="N2844" s="88" t="s">
        <v>26</v>
      </c>
      <c r="O2844" s="89"/>
      <c r="P2844" s="90"/>
      <c r="Q2844" s="133">
        <v>1998</v>
      </c>
      <c r="R2844" s="134"/>
      <c r="S2844" s="5" t="s">
        <v>814</v>
      </c>
      <c r="T2844" s="8">
        <v>3115</v>
      </c>
      <c r="U2844" s="8">
        <v>6</v>
      </c>
      <c r="V2844" s="5" t="s">
        <v>23</v>
      </c>
      <c r="W2844" s="12">
        <v>5582051</v>
      </c>
      <c r="X2844" s="6"/>
      <c r="Y2844" s="6"/>
    </row>
    <row r="2845" spans="1:25" ht="15" customHeight="1" x14ac:dyDescent="0.2">
      <c r="A2845" s="88" t="s">
        <v>3384</v>
      </c>
      <c r="B2845" s="90"/>
      <c r="C2845" s="88" t="s">
        <v>3406</v>
      </c>
      <c r="D2845" s="90"/>
      <c r="E2845" s="88" t="s">
        <v>3407</v>
      </c>
      <c r="F2845" s="89"/>
      <c r="G2845" s="89"/>
      <c r="H2845" s="89"/>
      <c r="I2845" s="90"/>
      <c r="J2845" s="88" t="s">
        <v>887</v>
      </c>
      <c r="K2845" s="89"/>
      <c r="L2845" s="89"/>
      <c r="M2845" s="90"/>
      <c r="N2845" s="88" t="s">
        <v>701</v>
      </c>
      <c r="O2845" s="89"/>
      <c r="P2845" s="90"/>
      <c r="Q2845" s="133">
        <v>1496</v>
      </c>
      <c r="R2845" s="134"/>
      <c r="S2845" s="5" t="s">
        <v>945</v>
      </c>
      <c r="T2845" s="8">
        <v>2090</v>
      </c>
      <c r="U2845" s="8">
        <v>2</v>
      </c>
      <c r="V2845" s="5" t="s">
        <v>23</v>
      </c>
      <c r="W2845" s="12">
        <v>4308757</v>
      </c>
      <c r="X2845" s="6"/>
      <c r="Y2845" s="6"/>
    </row>
    <row r="2846" spans="1:25" ht="15" customHeight="1" x14ac:dyDescent="0.2">
      <c r="A2846" s="88" t="s">
        <v>3384</v>
      </c>
      <c r="B2846" s="90"/>
      <c r="C2846" s="88" t="s">
        <v>3408</v>
      </c>
      <c r="D2846" s="90"/>
      <c r="E2846" s="88" t="s">
        <v>3409</v>
      </c>
      <c r="F2846" s="89"/>
      <c r="G2846" s="89"/>
      <c r="H2846" s="89"/>
      <c r="I2846" s="90"/>
      <c r="J2846" s="88" t="s">
        <v>963</v>
      </c>
      <c r="K2846" s="89"/>
      <c r="L2846" s="89"/>
      <c r="M2846" s="90"/>
      <c r="N2846" s="88" t="s">
        <v>26</v>
      </c>
      <c r="O2846" s="89"/>
      <c r="P2846" s="90"/>
      <c r="Q2846" s="133">
        <v>1998</v>
      </c>
      <c r="R2846" s="134"/>
      <c r="S2846" s="5" t="s">
        <v>945</v>
      </c>
      <c r="T2846" s="8">
        <v>2570</v>
      </c>
      <c r="U2846" s="8">
        <v>2</v>
      </c>
      <c r="V2846" s="5" t="s">
        <v>106</v>
      </c>
      <c r="W2846" s="12">
        <v>3486846</v>
      </c>
      <c r="X2846" s="6"/>
      <c r="Y2846" s="6"/>
    </row>
    <row r="2847" spans="1:25" ht="15" customHeight="1" x14ac:dyDescent="0.2">
      <c r="A2847" s="88" t="s">
        <v>3384</v>
      </c>
      <c r="B2847" s="90"/>
      <c r="C2847" s="88" t="s">
        <v>3410</v>
      </c>
      <c r="D2847" s="90"/>
      <c r="E2847" s="88" t="s">
        <v>3411</v>
      </c>
      <c r="F2847" s="89"/>
      <c r="G2847" s="89"/>
      <c r="H2847" s="89"/>
      <c r="I2847" s="90"/>
      <c r="J2847" s="88" t="s">
        <v>3412</v>
      </c>
      <c r="K2847" s="89"/>
      <c r="L2847" s="89"/>
      <c r="M2847" s="90"/>
      <c r="N2847" s="88" t="s">
        <v>26</v>
      </c>
      <c r="O2847" s="89"/>
      <c r="P2847" s="90"/>
      <c r="Q2847" s="133">
        <v>658</v>
      </c>
      <c r="R2847" s="134"/>
      <c r="S2847" s="5" t="s">
        <v>814</v>
      </c>
      <c r="T2847" s="8">
        <v>1350</v>
      </c>
      <c r="U2847" s="8">
        <v>4</v>
      </c>
      <c r="V2847" s="5" t="s">
        <v>23</v>
      </c>
      <c r="W2847" s="12">
        <v>2288819</v>
      </c>
      <c r="X2847" s="6"/>
      <c r="Y2847" s="6"/>
    </row>
    <row r="2848" spans="1:25" ht="15" customHeight="1" x14ac:dyDescent="0.2">
      <c r="A2848" s="88" t="s">
        <v>3384</v>
      </c>
      <c r="B2848" s="90"/>
      <c r="C2848" s="88" t="s">
        <v>3413</v>
      </c>
      <c r="D2848" s="90"/>
      <c r="E2848" s="88" t="s">
        <v>3414</v>
      </c>
      <c r="F2848" s="89"/>
      <c r="G2848" s="89"/>
      <c r="H2848" s="89"/>
      <c r="I2848" s="90"/>
      <c r="J2848" s="88" t="s">
        <v>887</v>
      </c>
      <c r="K2848" s="89"/>
      <c r="L2848" s="89"/>
      <c r="M2848" s="90"/>
      <c r="N2848" s="88" t="s">
        <v>3415</v>
      </c>
      <c r="O2848" s="89"/>
      <c r="P2848" s="90"/>
      <c r="Q2848" s="133">
        <v>1496</v>
      </c>
      <c r="R2848" s="134"/>
      <c r="S2848" s="5" t="s">
        <v>814</v>
      </c>
      <c r="T2848" s="8">
        <v>2160</v>
      </c>
      <c r="U2848" s="8">
        <v>5</v>
      </c>
      <c r="V2848" s="5" t="s">
        <v>23</v>
      </c>
      <c r="W2848" s="12">
        <v>4748743</v>
      </c>
      <c r="X2848" s="6"/>
      <c r="Y2848" s="6"/>
    </row>
    <row r="2849" spans="1:25" ht="15" customHeight="1" x14ac:dyDescent="0.2">
      <c r="A2849" s="88" t="s">
        <v>3384</v>
      </c>
      <c r="B2849" s="90"/>
      <c r="C2849" s="88" t="s">
        <v>3413</v>
      </c>
      <c r="D2849" s="90"/>
      <c r="E2849" s="88" t="s">
        <v>3416</v>
      </c>
      <c r="F2849" s="89"/>
      <c r="G2849" s="89"/>
      <c r="H2849" s="89"/>
      <c r="I2849" s="90"/>
      <c r="J2849" s="88" t="s">
        <v>887</v>
      </c>
      <c r="K2849" s="89"/>
      <c r="L2849" s="89"/>
      <c r="M2849" s="90"/>
      <c r="N2849" s="88" t="s">
        <v>701</v>
      </c>
      <c r="O2849" s="89"/>
      <c r="P2849" s="90"/>
      <c r="Q2849" s="133">
        <v>1496</v>
      </c>
      <c r="R2849" s="134"/>
      <c r="S2849" s="5" t="s">
        <v>814</v>
      </c>
      <c r="T2849" s="8">
        <v>2160</v>
      </c>
      <c r="U2849" s="8">
        <v>5</v>
      </c>
      <c r="V2849" s="5" t="s">
        <v>23</v>
      </c>
      <c r="W2849" s="12">
        <v>4748743</v>
      </c>
      <c r="X2849" s="6"/>
      <c r="Y2849" s="6"/>
    </row>
    <row r="2850" spans="1:25" ht="15" customHeight="1" x14ac:dyDescent="0.2">
      <c r="A2850" s="88" t="s">
        <v>3384</v>
      </c>
      <c r="B2850" s="90"/>
      <c r="C2850" s="88" t="s">
        <v>3417</v>
      </c>
      <c r="D2850" s="90"/>
      <c r="E2850" s="88" t="s">
        <v>3418</v>
      </c>
      <c r="F2850" s="89"/>
      <c r="G2850" s="89"/>
      <c r="H2850" s="89"/>
      <c r="I2850" s="90"/>
      <c r="J2850" s="88" t="s">
        <v>963</v>
      </c>
      <c r="K2850" s="89"/>
      <c r="L2850" s="89"/>
      <c r="M2850" s="90"/>
      <c r="N2850" s="88" t="s">
        <v>26</v>
      </c>
      <c r="O2850" s="89"/>
      <c r="P2850" s="90"/>
      <c r="Q2850" s="133">
        <v>1798</v>
      </c>
      <c r="R2850" s="134"/>
      <c r="S2850" s="5" t="s">
        <v>814</v>
      </c>
      <c r="T2850" s="8">
        <v>1150</v>
      </c>
      <c r="U2850" s="8">
        <v>5</v>
      </c>
      <c r="V2850" s="5" t="s">
        <v>106</v>
      </c>
      <c r="W2850" s="12">
        <v>3964525</v>
      </c>
      <c r="X2850" s="6"/>
      <c r="Y2850" s="6"/>
    </row>
    <row r="2851" spans="1:25" ht="15" customHeight="1" x14ac:dyDescent="0.2">
      <c r="A2851" s="88" t="s">
        <v>3384</v>
      </c>
      <c r="B2851" s="90"/>
      <c r="C2851" s="88" t="s">
        <v>3419</v>
      </c>
      <c r="D2851" s="90"/>
      <c r="E2851" s="88" t="s">
        <v>3420</v>
      </c>
      <c r="F2851" s="89"/>
      <c r="G2851" s="89"/>
      <c r="H2851" s="89"/>
      <c r="I2851" s="90"/>
      <c r="J2851" s="106"/>
      <c r="K2851" s="107"/>
      <c r="L2851" s="107"/>
      <c r="M2851" s="108"/>
      <c r="N2851" s="88" t="s">
        <v>26</v>
      </c>
      <c r="O2851" s="89"/>
      <c r="P2851" s="90"/>
      <c r="Q2851" s="133">
        <v>658</v>
      </c>
      <c r="R2851" s="134"/>
      <c r="S2851" s="5" t="s">
        <v>27</v>
      </c>
      <c r="T2851" s="8">
        <v>870</v>
      </c>
      <c r="U2851" s="8">
        <v>4</v>
      </c>
      <c r="V2851" s="5" t="s">
        <v>23</v>
      </c>
      <c r="W2851" s="12">
        <v>2066603</v>
      </c>
      <c r="X2851" s="6"/>
      <c r="Y2851" s="6"/>
    </row>
    <row r="2852" spans="1:25" ht="15" customHeight="1" x14ac:dyDescent="0.2">
      <c r="A2852" s="88" t="s">
        <v>3384</v>
      </c>
      <c r="B2852" s="90"/>
      <c r="C2852" s="88" t="s">
        <v>3419</v>
      </c>
      <c r="D2852" s="90"/>
      <c r="E2852" s="88" t="s">
        <v>3421</v>
      </c>
      <c r="F2852" s="89"/>
      <c r="G2852" s="89"/>
      <c r="H2852" s="89"/>
      <c r="I2852" s="90"/>
      <c r="J2852" s="88" t="s">
        <v>770</v>
      </c>
      <c r="K2852" s="89"/>
      <c r="L2852" s="89"/>
      <c r="M2852" s="90"/>
      <c r="N2852" s="88" t="s">
        <v>26</v>
      </c>
      <c r="O2852" s="89"/>
      <c r="P2852" s="90"/>
      <c r="Q2852" s="133">
        <v>658</v>
      </c>
      <c r="R2852" s="134"/>
      <c r="S2852" s="5" t="s">
        <v>27</v>
      </c>
      <c r="T2852" s="8">
        <v>870</v>
      </c>
      <c r="U2852" s="8">
        <v>4</v>
      </c>
      <c r="V2852" s="5" t="s">
        <v>23</v>
      </c>
      <c r="W2852" s="12">
        <v>2217710</v>
      </c>
      <c r="X2852" s="6"/>
      <c r="Y2852" s="6"/>
    </row>
    <row r="2853" spans="1:25" ht="15" customHeight="1" x14ac:dyDescent="0.2">
      <c r="A2853" s="88" t="s">
        <v>3384</v>
      </c>
      <c r="B2853" s="90"/>
      <c r="C2853" s="88" t="s">
        <v>3419</v>
      </c>
      <c r="D2853" s="90"/>
      <c r="E2853" s="88" t="s">
        <v>3422</v>
      </c>
      <c r="F2853" s="89"/>
      <c r="G2853" s="89"/>
      <c r="H2853" s="89"/>
      <c r="I2853" s="90"/>
      <c r="J2853" s="88" t="s">
        <v>770</v>
      </c>
      <c r="K2853" s="89"/>
      <c r="L2853" s="89"/>
      <c r="M2853" s="90"/>
      <c r="N2853" s="88" t="s">
        <v>26</v>
      </c>
      <c r="O2853" s="89"/>
      <c r="P2853" s="90"/>
      <c r="Q2853" s="133">
        <v>658</v>
      </c>
      <c r="R2853" s="134"/>
      <c r="S2853" s="5" t="s">
        <v>27</v>
      </c>
      <c r="T2853" s="8">
        <v>870</v>
      </c>
      <c r="U2853" s="8">
        <v>4</v>
      </c>
      <c r="V2853" s="5" t="s">
        <v>23</v>
      </c>
      <c r="W2853" s="12">
        <v>2066603</v>
      </c>
      <c r="X2853" s="6"/>
      <c r="Y2853" s="6"/>
    </row>
    <row r="2854" spans="1:25" ht="15" customHeight="1" x14ac:dyDescent="0.2">
      <c r="A2854" s="88" t="s">
        <v>3384</v>
      </c>
      <c r="B2854" s="90"/>
      <c r="C2854" s="88" t="s">
        <v>3419</v>
      </c>
      <c r="D2854" s="90"/>
      <c r="E2854" s="88" t="s">
        <v>3420</v>
      </c>
      <c r="F2854" s="89"/>
      <c r="G2854" s="89"/>
      <c r="H2854" s="89"/>
      <c r="I2854" s="90"/>
      <c r="J2854" s="88" t="s">
        <v>770</v>
      </c>
      <c r="K2854" s="89"/>
      <c r="L2854" s="89"/>
      <c r="M2854" s="90"/>
      <c r="N2854" s="88" t="s">
        <v>26</v>
      </c>
      <c r="O2854" s="89"/>
      <c r="P2854" s="90"/>
      <c r="Q2854" s="133">
        <v>658</v>
      </c>
      <c r="R2854" s="134"/>
      <c r="S2854" s="5" t="s">
        <v>27</v>
      </c>
      <c r="T2854" s="8">
        <v>870</v>
      </c>
      <c r="U2854" s="8">
        <v>4</v>
      </c>
      <c r="V2854" s="5" t="s">
        <v>23</v>
      </c>
      <c r="W2854" s="12">
        <v>1894891</v>
      </c>
      <c r="X2854" s="6"/>
      <c r="Y2854" s="6"/>
    </row>
    <row r="2855" spans="1:25" ht="15" customHeight="1" x14ac:dyDescent="0.2">
      <c r="A2855" s="88" t="s">
        <v>3384</v>
      </c>
      <c r="B2855" s="90"/>
      <c r="C2855" s="88" t="s">
        <v>3423</v>
      </c>
      <c r="D2855" s="90"/>
      <c r="E2855" s="88" t="s">
        <v>3424</v>
      </c>
      <c r="F2855" s="89"/>
      <c r="G2855" s="89"/>
      <c r="H2855" s="89"/>
      <c r="I2855" s="90"/>
      <c r="J2855" s="88" t="s">
        <v>770</v>
      </c>
      <c r="K2855" s="89"/>
      <c r="L2855" s="89"/>
      <c r="M2855" s="90"/>
      <c r="N2855" s="88" t="s">
        <v>26</v>
      </c>
      <c r="O2855" s="89"/>
      <c r="P2855" s="90"/>
      <c r="Q2855" s="133">
        <v>657</v>
      </c>
      <c r="R2855" s="134"/>
      <c r="S2855" s="5" t="s">
        <v>27</v>
      </c>
      <c r="T2855" s="8">
        <v>920</v>
      </c>
      <c r="U2855" s="8">
        <v>4</v>
      </c>
      <c r="V2855" s="5" t="s">
        <v>23</v>
      </c>
      <c r="W2855" s="12">
        <v>2217710</v>
      </c>
      <c r="X2855" s="6"/>
      <c r="Y2855" s="6"/>
    </row>
    <row r="2856" spans="1:25" ht="15" customHeight="1" x14ac:dyDescent="0.2">
      <c r="A2856" s="88" t="s">
        <v>3384</v>
      </c>
      <c r="B2856" s="90"/>
      <c r="C2856" s="88" t="s">
        <v>3425</v>
      </c>
      <c r="D2856" s="90"/>
      <c r="E2856" s="88" t="s">
        <v>3421</v>
      </c>
      <c r="F2856" s="89"/>
      <c r="G2856" s="89"/>
      <c r="H2856" s="89"/>
      <c r="I2856" s="90"/>
      <c r="J2856" s="88" t="s">
        <v>2179</v>
      </c>
      <c r="K2856" s="89"/>
      <c r="L2856" s="89"/>
      <c r="M2856" s="90"/>
      <c r="N2856" s="88" t="s">
        <v>26</v>
      </c>
      <c r="O2856" s="89"/>
      <c r="P2856" s="90"/>
      <c r="Q2856" s="133">
        <v>1496</v>
      </c>
      <c r="R2856" s="134"/>
      <c r="S2856" s="5" t="s">
        <v>16</v>
      </c>
      <c r="T2856" s="8">
        <v>1485</v>
      </c>
      <c r="U2856" s="8">
        <v>5</v>
      </c>
      <c r="V2856" s="5" t="s">
        <v>23</v>
      </c>
      <c r="W2856" s="12">
        <v>3474641</v>
      </c>
      <c r="X2856" s="6"/>
      <c r="Y2856" s="6"/>
    </row>
    <row r="2857" spans="1:25" ht="15" customHeight="1" x14ac:dyDescent="0.2">
      <c r="A2857" s="88" t="s">
        <v>3384</v>
      </c>
      <c r="B2857" s="90"/>
      <c r="C2857" s="88" t="s">
        <v>3426</v>
      </c>
      <c r="D2857" s="90"/>
      <c r="E2857" s="88" t="s">
        <v>3421</v>
      </c>
      <c r="F2857" s="89"/>
      <c r="G2857" s="89"/>
      <c r="H2857" s="89"/>
      <c r="I2857" s="90"/>
      <c r="J2857" s="88" t="s">
        <v>2179</v>
      </c>
      <c r="K2857" s="89"/>
      <c r="L2857" s="89"/>
      <c r="M2857" s="90"/>
      <c r="N2857" s="88" t="s">
        <v>26</v>
      </c>
      <c r="O2857" s="89"/>
      <c r="P2857" s="90"/>
      <c r="Q2857" s="133">
        <v>1496</v>
      </c>
      <c r="R2857" s="134"/>
      <c r="S2857" s="5" t="s">
        <v>16</v>
      </c>
      <c r="T2857" s="8">
        <v>1485</v>
      </c>
      <c r="U2857" s="8">
        <v>5</v>
      </c>
      <c r="V2857" s="5" t="s">
        <v>23</v>
      </c>
      <c r="W2857" s="12">
        <v>4022099</v>
      </c>
      <c r="X2857" s="6"/>
      <c r="Y2857" s="6"/>
    </row>
    <row r="2858" spans="1:25" ht="15" customHeight="1" x14ac:dyDescent="0.2">
      <c r="A2858" s="88" t="s">
        <v>3384</v>
      </c>
      <c r="B2858" s="90"/>
      <c r="C2858" s="88" t="s">
        <v>3427</v>
      </c>
      <c r="D2858" s="90"/>
      <c r="E2858" s="88" t="s">
        <v>3428</v>
      </c>
      <c r="F2858" s="89"/>
      <c r="G2858" s="89"/>
      <c r="H2858" s="89"/>
      <c r="I2858" s="90"/>
      <c r="J2858" s="88" t="s">
        <v>2179</v>
      </c>
      <c r="K2858" s="89"/>
      <c r="L2858" s="89"/>
      <c r="M2858" s="90"/>
      <c r="N2858" s="88" t="s">
        <v>26</v>
      </c>
      <c r="O2858" s="89"/>
      <c r="P2858" s="90"/>
      <c r="Q2858" s="133">
        <v>1496</v>
      </c>
      <c r="R2858" s="134"/>
      <c r="S2858" s="5" t="s">
        <v>16</v>
      </c>
      <c r="T2858" s="8">
        <v>1485</v>
      </c>
      <c r="U2858" s="8">
        <v>5</v>
      </c>
      <c r="V2858" s="5" t="s">
        <v>23</v>
      </c>
      <c r="W2858" s="12">
        <v>5115399</v>
      </c>
      <c r="X2858" s="6"/>
      <c r="Y2858" s="6"/>
    </row>
    <row r="2859" spans="1:25" ht="15" customHeight="1" x14ac:dyDescent="0.2">
      <c r="A2859" s="88" t="s">
        <v>3384</v>
      </c>
      <c r="B2859" s="90"/>
      <c r="C2859" s="88" t="s">
        <v>3429</v>
      </c>
      <c r="D2859" s="90"/>
      <c r="E2859" s="88" t="s">
        <v>3430</v>
      </c>
      <c r="F2859" s="89"/>
      <c r="G2859" s="89"/>
      <c r="H2859" s="89"/>
      <c r="I2859" s="90"/>
      <c r="J2859" s="88" t="s">
        <v>2179</v>
      </c>
      <c r="K2859" s="89"/>
      <c r="L2859" s="89"/>
      <c r="M2859" s="90"/>
      <c r="N2859" s="88" t="s">
        <v>26</v>
      </c>
      <c r="O2859" s="89"/>
      <c r="P2859" s="90"/>
      <c r="Q2859" s="133">
        <v>1997</v>
      </c>
      <c r="R2859" s="134"/>
      <c r="S2859" s="5" t="s">
        <v>16</v>
      </c>
      <c r="T2859" s="8">
        <v>1525</v>
      </c>
      <c r="U2859" s="8">
        <v>5</v>
      </c>
      <c r="V2859" s="5" t="s">
        <v>23</v>
      </c>
      <c r="W2859" s="12">
        <v>4145496</v>
      </c>
      <c r="X2859" s="6"/>
      <c r="Y2859" s="6"/>
    </row>
    <row r="2860" spans="1:25" ht="15" customHeight="1" x14ac:dyDescent="0.2">
      <c r="A2860" s="88" t="s">
        <v>3384</v>
      </c>
      <c r="B2860" s="90"/>
      <c r="C2860" s="88" t="s">
        <v>3431</v>
      </c>
      <c r="D2860" s="90"/>
      <c r="E2860" s="88" t="s">
        <v>3430</v>
      </c>
      <c r="F2860" s="89"/>
      <c r="G2860" s="89"/>
      <c r="H2860" s="89"/>
      <c r="I2860" s="90"/>
      <c r="J2860" s="88" t="s">
        <v>2179</v>
      </c>
      <c r="K2860" s="89"/>
      <c r="L2860" s="89"/>
      <c r="M2860" s="90"/>
      <c r="N2860" s="88" t="s">
        <v>26</v>
      </c>
      <c r="O2860" s="89"/>
      <c r="P2860" s="90"/>
      <c r="Q2860" s="133">
        <v>1997</v>
      </c>
      <c r="R2860" s="134"/>
      <c r="S2860" s="5" t="s">
        <v>16</v>
      </c>
      <c r="T2860" s="8">
        <v>1515</v>
      </c>
      <c r="U2860" s="8">
        <v>5</v>
      </c>
      <c r="V2860" s="5" t="s">
        <v>23</v>
      </c>
      <c r="W2860" s="12">
        <v>4272596</v>
      </c>
      <c r="X2860" s="6"/>
      <c r="Y2860" s="6"/>
    </row>
    <row r="2861" spans="1:25" ht="15" customHeight="1" x14ac:dyDescent="0.2">
      <c r="A2861" s="88" t="s">
        <v>3384</v>
      </c>
      <c r="B2861" s="90"/>
      <c r="C2861" s="88" t="s">
        <v>3432</v>
      </c>
      <c r="D2861" s="90"/>
      <c r="E2861" s="88" t="s">
        <v>3433</v>
      </c>
      <c r="F2861" s="89"/>
      <c r="G2861" s="89"/>
      <c r="H2861" s="89"/>
      <c r="I2861" s="90"/>
      <c r="J2861" s="88" t="s">
        <v>2179</v>
      </c>
      <c r="K2861" s="89"/>
      <c r="L2861" s="89"/>
      <c r="M2861" s="90"/>
      <c r="N2861" s="88" t="s">
        <v>26</v>
      </c>
      <c r="O2861" s="89"/>
      <c r="P2861" s="90"/>
      <c r="Q2861" s="133">
        <v>1498</v>
      </c>
      <c r="R2861" s="134"/>
      <c r="S2861" s="5" t="s">
        <v>16</v>
      </c>
      <c r="T2861" s="8">
        <v>1546</v>
      </c>
      <c r="U2861" s="8">
        <v>5</v>
      </c>
      <c r="V2861" s="5" t="s">
        <v>106</v>
      </c>
      <c r="W2861" s="12">
        <v>5252364</v>
      </c>
      <c r="X2861" s="6"/>
      <c r="Y2861" s="6"/>
    </row>
    <row r="2862" spans="1:25" ht="15" customHeight="1" x14ac:dyDescent="0.2">
      <c r="A2862" s="88" t="s">
        <v>3384</v>
      </c>
      <c r="B2862" s="90"/>
      <c r="C2862" s="88" t="s">
        <v>3434</v>
      </c>
      <c r="D2862" s="90"/>
      <c r="E2862" s="88" t="s">
        <v>3435</v>
      </c>
      <c r="F2862" s="89"/>
      <c r="G2862" s="89"/>
      <c r="H2862" s="89"/>
      <c r="I2862" s="90"/>
      <c r="J2862" s="88" t="s">
        <v>2179</v>
      </c>
      <c r="K2862" s="89"/>
      <c r="L2862" s="89"/>
      <c r="M2862" s="90"/>
      <c r="N2862" s="88" t="s">
        <v>26</v>
      </c>
      <c r="O2862" s="89"/>
      <c r="P2862" s="90"/>
      <c r="Q2862" s="133">
        <v>1756</v>
      </c>
      <c r="R2862" s="134"/>
      <c r="S2862" s="5" t="s">
        <v>16</v>
      </c>
      <c r="T2862" s="8">
        <v>1575</v>
      </c>
      <c r="U2862" s="8">
        <v>5</v>
      </c>
      <c r="V2862" s="5" t="s">
        <v>106</v>
      </c>
      <c r="W2862" s="12">
        <v>5315493</v>
      </c>
      <c r="X2862" s="6"/>
      <c r="Y2862" s="6"/>
    </row>
    <row r="2863" spans="1:25" ht="15" customHeight="1" x14ac:dyDescent="0.2">
      <c r="A2863" s="88" t="s">
        <v>3384</v>
      </c>
      <c r="B2863" s="90"/>
      <c r="C2863" s="88" t="s">
        <v>3436</v>
      </c>
      <c r="D2863" s="90"/>
      <c r="E2863" s="88" t="s">
        <v>3437</v>
      </c>
      <c r="F2863" s="89"/>
      <c r="G2863" s="89"/>
      <c r="H2863" s="89"/>
      <c r="I2863" s="90"/>
      <c r="J2863" s="88" t="s">
        <v>2179</v>
      </c>
      <c r="K2863" s="89"/>
      <c r="L2863" s="89"/>
      <c r="M2863" s="90"/>
      <c r="N2863" s="88" t="s">
        <v>26</v>
      </c>
      <c r="O2863" s="89"/>
      <c r="P2863" s="90"/>
      <c r="Q2863" s="133">
        <v>1756</v>
      </c>
      <c r="R2863" s="134"/>
      <c r="S2863" s="5" t="s">
        <v>16</v>
      </c>
      <c r="T2863" s="8">
        <v>1575</v>
      </c>
      <c r="U2863" s="8">
        <v>5</v>
      </c>
      <c r="V2863" s="5" t="s">
        <v>106</v>
      </c>
      <c r="W2863" s="12">
        <v>5578532</v>
      </c>
      <c r="X2863" s="6"/>
      <c r="Y2863" s="6"/>
    </row>
    <row r="2864" spans="1:25" ht="15" customHeight="1" x14ac:dyDescent="0.2">
      <c r="A2864" s="88" t="s">
        <v>3384</v>
      </c>
      <c r="B2864" s="90"/>
      <c r="C2864" s="88" t="s">
        <v>3438</v>
      </c>
      <c r="D2864" s="90"/>
      <c r="E2864" s="88" t="s">
        <v>3435</v>
      </c>
      <c r="F2864" s="89"/>
      <c r="G2864" s="89"/>
      <c r="H2864" s="89"/>
      <c r="I2864" s="90"/>
      <c r="J2864" s="88" t="s">
        <v>2179</v>
      </c>
      <c r="K2864" s="89"/>
      <c r="L2864" s="89"/>
      <c r="M2864" s="90"/>
      <c r="N2864" s="88" t="s">
        <v>26</v>
      </c>
      <c r="O2864" s="89"/>
      <c r="P2864" s="90"/>
      <c r="Q2864" s="133">
        <v>1756</v>
      </c>
      <c r="R2864" s="134"/>
      <c r="S2864" s="5" t="s">
        <v>16</v>
      </c>
      <c r="T2864" s="8">
        <v>1545</v>
      </c>
      <c r="U2864" s="8">
        <v>5</v>
      </c>
      <c r="V2864" s="5" t="s">
        <v>106</v>
      </c>
      <c r="W2864" s="12">
        <v>5161879</v>
      </c>
      <c r="X2864" s="6"/>
      <c r="Y2864" s="6"/>
    </row>
    <row r="2865" spans="1:25" ht="15" customHeight="1" x14ac:dyDescent="0.2">
      <c r="A2865" s="88" t="s">
        <v>3384</v>
      </c>
      <c r="B2865" s="90"/>
      <c r="C2865" s="88" t="s">
        <v>3439</v>
      </c>
      <c r="D2865" s="90"/>
      <c r="E2865" s="88" t="s">
        <v>3437</v>
      </c>
      <c r="F2865" s="89"/>
      <c r="G2865" s="89"/>
      <c r="H2865" s="89"/>
      <c r="I2865" s="90"/>
      <c r="J2865" s="88" t="s">
        <v>2179</v>
      </c>
      <c r="K2865" s="89"/>
      <c r="L2865" s="89"/>
      <c r="M2865" s="90"/>
      <c r="N2865" s="88" t="s">
        <v>26</v>
      </c>
      <c r="O2865" s="89"/>
      <c r="P2865" s="90"/>
      <c r="Q2865" s="133">
        <v>1756</v>
      </c>
      <c r="R2865" s="134"/>
      <c r="S2865" s="5" t="s">
        <v>16</v>
      </c>
      <c r="T2865" s="8">
        <v>1575</v>
      </c>
      <c r="U2865" s="8">
        <v>5</v>
      </c>
      <c r="V2865" s="5" t="s">
        <v>106</v>
      </c>
      <c r="W2865" s="12">
        <v>6717386</v>
      </c>
      <c r="X2865" s="6"/>
      <c r="Y2865" s="6"/>
    </row>
    <row r="2866" spans="1:25" ht="15" customHeight="1" x14ac:dyDescent="0.2">
      <c r="A2866" s="88" t="s">
        <v>3384</v>
      </c>
      <c r="B2866" s="90"/>
      <c r="C2866" s="88" t="s">
        <v>3440</v>
      </c>
      <c r="D2866" s="90"/>
      <c r="E2866" s="88" t="s">
        <v>3441</v>
      </c>
      <c r="F2866" s="89"/>
      <c r="G2866" s="89"/>
      <c r="H2866" s="89"/>
      <c r="I2866" s="90"/>
      <c r="J2866" s="88" t="s">
        <v>2179</v>
      </c>
      <c r="K2866" s="89"/>
      <c r="L2866" s="89"/>
      <c r="M2866" s="90"/>
      <c r="N2866" s="88" t="s">
        <v>26</v>
      </c>
      <c r="O2866" s="89"/>
      <c r="P2866" s="90"/>
      <c r="Q2866" s="133">
        <v>1997</v>
      </c>
      <c r="R2866" s="134"/>
      <c r="S2866" s="5" t="s">
        <v>16</v>
      </c>
      <c r="T2866" s="8">
        <v>1675</v>
      </c>
      <c r="U2866" s="8">
        <v>5</v>
      </c>
      <c r="V2866" s="5" t="s">
        <v>23</v>
      </c>
      <c r="W2866" s="12">
        <v>4576880</v>
      </c>
      <c r="X2866" s="6"/>
      <c r="Y2866" s="6"/>
    </row>
    <row r="2867" spans="1:25" ht="15" customHeight="1" x14ac:dyDescent="0.2">
      <c r="A2867" s="88" t="s">
        <v>3384</v>
      </c>
      <c r="B2867" s="90"/>
      <c r="C2867" s="88" t="s">
        <v>3442</v>
      </c>
      <c r="D2867" s="90"/>
      <c r="E2867" s="88" t="s">
        <v>3443</v>
      </c>
      <c r="F2867" s="89"/>
      <c r="G2867" s="89"/>
      <c r="H2867" s="89"/>
      <c r="I2867" s="90"/>
      <c r="J2867" s="88" t="s">
        <v>22</v>
      </c>
      <c r="K2867" s="89"/>
      <c r="L2867" s="89"/>
      <c r="M2867" s="90"/>
      <c r="N2867" s="88" t="s">
        <v>2179</v>
      </c>
      <c r="O2867" s="89"/>
      <c r="P2867" s="90"/>
      <c r="Q2867" s="133">
        <v>1997</v>
      </c>
      <c r="R2867" s="134"/>
      <c r="S2867" s="5" t="s">
        <v>16</v>
      </c>
      <c r="T2867" s="8">
        <v>1695</v>
      </c>
      <c r="U2867" s="8">
        <v>5</v>
      </c>
      <c r="V2867" s="5" t="s">
        <v>23</v>
      </c>
      <c r="W2867" s="12">
        <v>6340083</v>
      </c>
      <c r="X2867" s="6"/>
      <c r="Y2867" s="6"/>
    </row>
    <row r="2868" spans="1:25" ht="15" customHeight="1" x14ac:dyDescent="0.2">
      <c r="A2868" s="88" t="s">
        <v>3384</v>
      </c>
      <c r="B2868" s="90"/>
      <c r="C2868" s="88" t="s">
        <v>3444</v>
      </c>
      <c r="D2868" s="90"/>
      <c r="E2868" s="88" t="s">
        <v>3443</v>
      </c>
      <c r="F2868" s="89"/>
      <c r="G2868" s="89"/>
      <c r="H2868" s="89"/>
      <c r="I2868" s="90"/>
      <c r="J2868" s="88" t="s">
        <v>2179</v>
      </c>
      <c r="K2868" s="89"/>
      <c r="L2868" s="89"/>
      <c r="M2868" s="90"/>
      <c r="N2868" s="88" t="s">
        <v>26</v>
      </c>
      <c r="O2868" s="89"/>
      <c r="P2868" s="90"/>
      <c r="Q2868" s="133">
        <v>1997</v>
      </c>
      <c r="R2868" s="134"/>
      <c r="S2868" s="5" t="s">
        <v>16</v>
      </c>
      <c r="T2868" s="8">
        <v>1695</v>
      </c>
      <c r="U2868" s="8">
        <v>5</v>
      </c>
      <c r="V2868" s="5" t="s">
        <v>23</v>
      </c>
      <c r="W2868" s="12">
        <v>6678036</v>
      </c>
      <c r="X2868" s="6"/>
      <c r="Y2868" s="6"/>
    </row>
    <row r="2869" spans="1:25" ht="15" customHeight="1" x14ac:dyDescent="0.2">
      <c r="A2869" s="88" t="s">
        <v>3384</v>
      </c>
      <c r="B2869" s="90"/>
      <c r="C2869" s="88" t="s">
        <v>3445</v>
      </c>
      <c r="D2869" s="90"/>
      <c r="E2869" s="88" t="s">
        <v>3446</v>
      </c>
      <c r="F2869" s="89"/>
      <c r="G2869" s="89"/>
      <c r="H2869" s="89"/>
      <c r="I2869" s="90"/>
      <c r="J2869" s="88" t="s">
        <v>2179</v>
      </c>
      <c r="K2869" s="89"/>
      <c r="L2869" s="89"/>
      <c r="M2869" s="90"/>
      <c r="N2869" s="88" t="s">
        <v>26</v>
      </c>
      <c r="O2869" s="89"/>
      <c r="P2869" s="90"/>
      <c r="Q2869" s="133">
        <v>1997</v>
      </c>
      <c r="R2869" s="134"/>
      <c r="S2869" s="5" t="s">
        <v>16</v>
      </c>
      <c r="T2869" s="8">
        <v>1765</v>
      </c>
      <c r="U2869" s="8">
        <v>5</v>
      </c>
      <c r="V2869" s="5" t="s">
        <v>23</v>
      </c>
      <c r="W2869" s="12">
        <v>6826600</v>
      </c>
      <c r="X2869" s="6"/>
      <c r="Y2869" s="6"/>
    </row>
    <row r="2870" spans="1:25" ht="15" customHeight="1" x14ac:dyDescent="0.2">
      <c r="A2870" s="88" t="s">
        <v>3384</v>
      </c>
      <c r="B2870" s="90"/>
      <c r="C2870" s="88" t="s">
        <v>3445</v>
      </c>
      <c r="D2870" s="90"/>
      <c r="E2870" s="88" t="s">
        <v>3447</v>
      </c>
      <c r="F2870" s="89"/>
      <c r="G2870" s="89"/>
      <c r="H2870" s="89"/>
      <c r="I2870" s="90"/>
      <c r="J2870" s="88" t="s">
        <v>2179</v>
      </c>
      <c r="K2870" s="89"/>
      <c r="L2870" s="89"/>
      <c r="M2870" s="90"/>
      <c r="N2870" s="88" t="s">
        <v>26</v>
      </c>
      <c r="O2870" s="89"/>
      <c r="P2870" s="90"/>
      <c r="Q2870" s="133">
        <v>2997</v>
      </c>
      <c r="R2870" s="134"/>
      <c r="S2870" s="5" t="s">
        <v>16</v>
      </c>
      <c r="T2870" s="8">
        <v>1765</v>
      </c>
      <c r="U2870" s="8">
        <v>5</v>
      </c>
      <c r="V2870" s="5" t="s">
        <v>23</v>
      </c>
      <c r="W2870" s="12">
        <v>6651732</v>
      </c>
      <c r="X2870" s="6"/>
      <c r="Y2870" s="6"/>
    </row>
    <row r="2871" spans="1:25" ht="15" customHeight="1" x14ac:dyDescent="0.2">
      <c r="A2871" s="88" t="s">
        <v>3384</v>
      </c>
      <c r="B2871" s="90"/>
      <c r="C2871" s="88" t="s">
        <v>3448</v>
      </c>
      <c r="D2871" s="90"/>
      <c r="E2871" s="88" t="s">
        <v>3449</v>
      </c>
      <c r="F2871" s="89"/>
      <c r="G2871" s="89"/>
      <c r="H2871" s="89"/>
      <c r="I2871" s="90"/>
      <c r="J2871" s="88" t="s">
        <v>2179</v>
      </c>
      <c r="K2871" s="89"/>
      <c r="L2871" s="89"/>
      <c r="M2871" s="90"/>
      <c r="N2871" s="88" t="s">
        <v>22</v>
      </c>
      <c r="O2871" s="89"/>
      <c r="P2871" s="90"/>
      <c r="Q2871" s="133">
        <v>1756</v>
      </c>
      <c r="R2871" s="134"/>
      <c r="S2871" s="5" t="s">
        <v>16</v>
      </c>
      <c r="T2871" s="8">
        <v>1735</v>
      </c>
      <c r="U2871" s="8">
        <v>5</v>
      </c>
      <c r="V2871" s="5" t="s">
        <v>106</v>
      </c>
      <c r="W2871" s="12">
        <v>6421099</v>
      </c>
      <c r="X2871" s="6"/>
      <c r="Y2871" s="6"/>
    </row>
    <row r="2872" spans="1:25" ht="15" customHeight="1" x14ac:dyDescent="0.2">
      <c r="A2872" s="88" t="s">
        <v>3384</v>
      </c>
      <c r="B2872" s="90"/>
      <c r="C2872" s="88" t="s">
        <v>3448</v>
      </c>
      <c r="D2872" s="90"/>
      <c r="E2872" s="88" t="s">
        <v>3450</v>
      </c>
      <c r="F2872" s="89"/>
      <c r="G2872" s="89"/>
      <c r="H2872" s="89"/>
      <c r="I2872" s="90"/>
      <c r="J2872" s="88" t="s">
        <v>2179</v>
      </c>
      <c r="K2872" s="89"/>
      <c r="L2872" s="89"/>
      <c r="M2872" s="90"/>
      <c r="N2872" s="88" t="s">
        <v>26</v>
      </c>
      <c r="O2872" s="89"/>
      <c r="P2872" s="90"/>
      <c r="Q2872" s="133">
        <v>1756</v>
      </c>
      <c r="R2872" s="134"/>
      <c r="S2872" s="5" t="s">
        <v>16</v>
      </c>
      <c r="T2872" s="8">
        <v>1735</v>
      </c>
      <c r="U2872" s="8">
        <v>5</v>
      </c>
      <c r="V2872" s="5" t="s">
        <v>106</v>
      </c>
      <c r="W2872" s="12">
        <v>6215087</v>
      </c>
      <c r="X2872" s="6"/>
      <c r="Y2872" s="6"/>
    </row>
    <row r="2873" spans="1:25" ht="15" customHeight="1" x14ac:dyDescent="0.2">
      <c r="A2873" s="88" t="s">
        <v>3384</v>
      </c>
      <c r="B2873" s="90"/>
      <c r="C2873" s="88" t="s">
        <v>3451</v>
      </c>
      <c r="D2873" s="90"/>
      <c r="E2873" s="88" t="s">
        <v>3449</v>
      </c>
      <c r="F2873" s="89"/>
      <c r="G2873" s="89"/>
      <c r="H2873" s="89"/>
      <c r="I2873" s="90"/>
      <c r="J2873" s="88" t="s">
        <v>2179</v>
      </c>
      <c r="K2873" s="89"/>
      <c r="L2873" s="89"/>
      <c r="M2873" s="90"/>
      <c r="N2873" s="88" t="s">
        <v>26</v>
      </c>
      <c r="O2873" s="89"/>
      <c r="P2873" s="90"/>
      <c r="Q2873" s="133">
        <v>1756</v>
      </c>
      <c r="R2873" s="134"/>
      <c r="S2873" s="5" t="s">
        <v>16</v>
      </c>
      <c r="T2873" s="8">
        <v>1735</v>
      </c>
      <c r="U2873" s="8">
        <v>5</v>
      </c>
      <c r="V2873" s="5" t="s">
        <v>106</v>
      </c>
      <c r="W2873" s="12">
        <v>6932658</v>
      </c>
      <c r="X2873" s="6"/>
      <c r="Y2873" s="6"/>
    </row>
    <row r="2874" spans="1:25" ht="15" customHeight="1" x14ac:dyDescent="0.2">
      <c r="A2874" s="88" t="s">
        <v>3384</v>
      </c>
      <c r="B2874" s="90"/>
      <c r="C2874" s="88" t="s">
        <v>3452</v>
      </c>
      <c r="D2874" s="90"/>
      <c r="E2874" s="88" t="s">
        <v>3453</v>
      </c>
      <c r="F2874" s="89"/>
      <c r="G2874" s="89"/>
      <c r="H2874" s="89"/>
      <c r="I2874" s="90"/>
      <c r="J2874" s="88" t="s">
        <v>2179</v>
      </c>
      <c r="K2874" s="89"/>
      <c r="L2874" s="89"/>
      <c r="M2874" s="90"/>
      <c r="N2874" s="88" t="s">
        <v>22</v>
      </c>
      <c r="O2874" s="89"/>
      <c r="P2874" s="90"/>
      <c r="Q2874" s="133">
        <v>1997</v>
      </c>
      <c r="R2874" s="134"/>
      <c r="S2874" s="5" t="s">
        <v>16</v>
      </c>
      <c r="T2874" s="8">
        <v>1935</v>
      </c>
      <c r="U2874" s="8">
        <v>5</v>
      </c>
      <c r="V2874" s="5" t="s">
        <v>23</v>
      </c>
      <c r="W2874" s="12">
        <v>6839016</v>
      </c>
      <c r="X2874" s="6"/>
      <c r="Y2874" s="6"/>
    </row>
    <row r="2875" spans="1:25" ht="15" customHeight="1" x14ac:dyDescent="0.2">
      <c r="A2875" s="88" t="s">
        <v>3384</v>
      </c>
      <c r="B2875" s="90"/>
      <c r="C2875" s="88" t="s">
        <v>3452</v>
      </c>
      <c r="D2875" s="90"/>
      <c r="E2875" s="88" t="s">
        <v>3453</v>
      </c>
      <c r="F2875" s="89"/>
      <c r="G2875" s="89"/>
      <c r="H2875" s="89"/>
      <c r="I2875" s="90"/>
      <c r="J2875" s="88" t="s">
        <v>2179</v>
      </c>
      <c r="K2875" s="89"/>
      <c r="L2875" s="89"/>
      <c r="M2875" s="90"/>
      <c r="N2875" s="88" t="s">
        <v>26</v>
      </c>
      <c r="O2875" s="89"/>
      <c r="P2875" s="90"/>
      <c r="Q2875" s="133">
        <v>1997</v>
      </c>
      <c r="R2875" s="134"/>
      <c r="S2875" s="5" t="s">
        <v>16</v>
      </c>
      <c r="T2875" s="8">
        <v>1875</v>
      </c>
      <c r="U2875" s="8">
        <v>5</v>
      </c>
      <c r="V2875" s="5" t="s">
        <v>23</v>
      </c>
      <c r="W2875" s="12">
        <v>6333981</v>
      </c>
      <c r="X2875" s="6"/>
      <c r="Y2875" s="6"/>
    </row>
    <row r="2876" spans="1:25" ht="15" customHeight="1" x14ac:dyDescent="0.2">
      <c r="A2876" s="88" t="s">
        <v>3384</v>
      </c>
      <c r="B2876" s="90"/>
      <c r="C2876" s="88" t="s">
        <v>3454</v>
      </c>
      <c r="D2876" s="90"/>
      <c r="E2876" s="88" t="s">
        <v>3453</v>
      </c>
      <c r="F2876" s="89"/>
      <c r="G2876" s="89"/>
      <c r="H2876" s="89"/>
      <c r="I2876" s="90"/>
      <c r="J2876" s="88" t="s">
        <v>2179</v>
      </c>
      <c r="K2876" s="89"/>
      <c r="L2876" s="89"/>
      <c r="M2876" s="90"/>
      <c r="N2876" s="88" t="s">
        <v>26</v>
      </c>
      <c r="O2876" s="89"/>
      <c r="P2876" s="90"/>
      <c r="Q2876" s="133">
        <v>1997</v>
      </c>
      <c r="R2876" s="134"/>
      <c r="S2876" s="5" t="s">
        <v>16</v>
      </c>
      <c r="T2876" s="8">
        <v>1925</v>
      </c>
      <c r="U2876" s="8">
        <v>5</v>
      </c>
      <c r="V2876" s="5" t="s">
        <v>23</v>
      </c>
      <c r="W2876" s="12">
        <v>6400266</v>
      </c>
      <c r="X2876" s="6"/>
      <c r="Y2876" s="6"/>
    </row>
    <row r="2877" spans="1:25" ht="15" customHeight="1" x14ac:dyDescent="0.2">
      <c r="A2877" s="88" t="s">
        <v>3384</v>
      </c>
      <c r="B2877" s="90"/>
      <c r="C2877" s="88" t="s">
        <v>3454</v>
      </c>
      <c r="D2877" s="90"/>
      <c r="E2877" s="88" t="s">
        <v>3453</v>
      </c>
      <c r="F2877" s="89"/>
      <c r="G2877" s="89"/>
      <c r="H2877" s="89"/>
      <c r="I2877" s="90"/>
      <c r="J2877" s="88" t="s">
        <v>2179</v>
      </c>
      <c r="K2877" s="89"/>
      <c r="L2877" s="89"/>
      <c r="M2877" s="90"/>
      <c r="N2877" s="88" t="s">
        <v>22</v>
      </c>
      <c r="O2877" s="89"/>
      <c r="P2877" s="90"/>
      <c r="Q2877" s="133">
        <v>1997</v>
      </c>
      <c r="R2877" s="134"/>
      <c r="S2877" s="5" t="s">
        <v>16</v>
      </c>
      <c r="T2877" s="8">
        <v>1825</v>
      </c>
      <c r="U2877" s="8">
        <v>5</v>
      </c>
      <c r="V2877" s="5" t="s">
        <v>23</v>
      </c>
      <c r="W2877" s="12">
        <v>6816920</v>
      </c>
      <c r="X2877" s="6"/>
      <c r="Y2877" s="6"/>
    </row>
    <row r="2878" spans="1:25" ht="15" customHeight="1" x14ac:dyDescent="0.2">
      <c r="A2878" s="88" t="s">
        <v>3384</v>
      </c>
      <c r="B2878" s="90"/>
      <c r="C2878" s="88" t="s">
        <v>3455</v>
      </c>
      <c r="D2878" s="90"/>
      <c r="E2878" s="88" t="s">
        <v>3456</v>
      </c>
      <c r="F2878" s="89"/>
      <c r="G2878" s="89"/>
      <c r="H2878" s="89"/>
      <c r="I2878" s="90"/>
      <c r="J2878" s="88" t="s">
        <v>2179</v>
      </c>
      <c r="K2878" s="89"/>
      <c r="L2878" s="89"/>
      <c r="M2878" s="90"/>
      <c r="N2878" s="88" t="s">
        <v>26</v>
      </c>
      <c r="O2878" s="89"/>
      <c r="P2878" s="90"/>
      <c r="Q2878" s="133">
        <v>1997</v>
      </c>
      <c r="R2878" s="134"/>
      <c r="S2878" s="5" t="s">
        <v>16</v>
      </c>
      <c r="T2878" s="8">
        <v>1805</v>
      </c>
      <c r="U2878" s="8">
        <v>5</v>
      </c>
      <c r="V2878" s="5" t="s">
        <v>23</v>
      </c>
      <c r="W2878" s="12">
        <v>5239738</v>
      </c>
      <c r="X2878" s="6"/>
      <c r="Y2878" s="6"/>
    </row>
    <row r="2879" spans="1:25" ht="15" customHeight="1" x14ac:dyDescent="0.2">
      <c r="A2879" s="88" t="s">
        <v>3384</v>
      </c>
      <c r="B2879" s="90"/>
      <c r="C2879" s="88" t="s">
        <v>3457</v>
      </c>
      <c r="D2879" s="90"/>
      <c r="E2879" s="88" t="s">
        <v>3458</v>
      </c>
      <c r="F2879" s="89"/>
      <c r="G2879" s="89"/>
      <c r="H2879" s="89"/>
      <c r="I2879" s="90"/>
      <c r="J2879" s="88" t="s">
        <v>2179</v>
      </c>
      <c r="K2879" s="89"/>
      <c r="L2879" s="89"/>
      <c r="M2879" s="90"/>
      <c r="N2879" s="88" t="s">
        <v>26</v>
      </c>
      <c r="O2879" s="89"/>
      <c r="P2879" s="90"/>
      <c r="Q2879" s="133">
        <v>1997</v>
      </c>
      <c r="R2879" s="134"/>
      <c r="S2879" s="5" t="s">
        <v>16</v>
      </c>
      <c r="T2879" s="8">
        <v>1805</v>
      </c>
      <c r="U2879" s="8">
        <v>5</v>
      </c>
      <c r="V2879" s="5" t="s">
        <v>23</v>
      </c>
      <c r="W2879" s="12">
        <v>5239738</v>
      </c>
      <c r="X2879" s="6"/>
      <c r="Y2879" s="6"/>
    </row>
    <row r="2880" spans="1:25" ht="15" customHeight="1" x14ac:dyDescent="0.2">
      <c r="A2880" s="88" t="s">
        <v>3384</v>
      </c>
      <c r="B2880" s="90"/>
      <c r="C2880" s="88" t="s">
        <v>3459</v>
      </c>
      <c r="D2880" s="90"/>
      <c r="E2880" s="88" t="s">
        <v>3386</v>
      </c>
      <c r="F2880" s="89"/>
      <c r="G2880" s="89"/>
      <c r="H2880" s="89"/>
      <c r="I2880" s="90"/>
      <c r="J2880" s="88" t="s">
        <v>2179</v>
      </c>
      <c r="K2880" s="89"/>
      <c r="L2880" s="89"/>
      <c r="M2880" s="90"/>
      <c r="N2880" s="88" t="s">
        <v>701</v>
      </c>
      <c r="O2880" s="89"/>
      <c r="P2880" s="90"/>
      <c r="Q2880" s="133">
        <v>2488</v>
      </c>
      <c r="R2880" s="134"/>
      <c r="S2880" s="5" t="s">
        <v>16</v>
      </c>
      <c r="T2880" s="8">
        <v>1945</v>
      </c>
      <c r="U2880" s="8">
        <v>5</v>
      </c>
      <c r="V2880" s="5" t="s">
        <v>23</v>
      </c>
      <c r="W2880" s="12">
        <v>6733800</v>
      </c>
      <c r="X2880" s="6"/>
      <c r="Y2880" s="6"/>
    </row>
    <row r="2881" spans="1:25" ht="15" customHeight="1" x14ac:dyDescent="0.2">
      <c r="A2881" s="88" t="s">
        <v>3384</v>
      </c>
      <c r="B2881" s="90"/>
      <c r="C2881" s="88" t="s">
        <v>3459</v>
      </c>
      <c r="D2881" s="90"/>
      <c r="E2881" s="88" t="s">
        <v>3460</v>
      </c>
      <c r="F2881" s="89"/>
      <c r="G2881" s="89"/>
      <c r="H2881" s="89"/>
      <c r="I2881" s="90"/>
      <c r="J2881" s="88" t="s">
        <v>770</v>
      </c>
      <c r="K2881" s="89"/>
      <c r="L2881" s="89"/>
      <c r="M2881" s="90"/>
      <c r="N2881" s="88" t="s">
        <v>701</v>
      </c>
      <c r="O2881" s="89"/>
      <c r="P2881" s="90"/>
      <c r="Q2881" s="133">
        <v>2488</v>
      </c>
      <c r="R2881" s="134"/>
      <c r="S2881" s="5" t="s">
        <v>16</v>
      </c>
      <c r="T2881" s="8">
        <v>1945</v>
      </c>
      <c r="U2881" s="8">
        <v>5</v>
      </c>
      <c r="V2881" s="5" t="s">
        <v>23</v>
      </c>
      <c r="W2881" s="12">
        <v>6584394</v>
      </c>
      <c r="X2881" s="6"/>
      <c r="Y2881" s="6"/>
    </row>
    <row r="2882" spans="1:25" ht="15" customHeight="1" x14ac:dyDescent="0.2">
      <c r="A2882" s="88" t="s">
        <v>3384</v>
      </c>
      <c r="B2882" s="90"/>
      <c r="C2882" s="88" t="s">
        <v>3461</v>
      </c>
      <c r="D2882" s="90"/>
      <c r="E2882" s="88" t="s">
        <v>3460</v>
      </c>
      <c r="F2882" s="89"/>
      <c r="G2882" s="89"/>
      <c r="H2882" s="89"/>
      <c r="I2882" s="90"/>
      <c r="J2882" s="88" t="s">
        <v>2179</v>
      </c>
      <c r="K2882" s="89"/>
      <c r="L2882" s="89"/>
      <c r="M2882" s="90"/>
      <c r="N2882" s="88" t="s">
        <v>26</v>
      </c>
      <c r="O2882" s="89"/>
      <c r="P2882" s="90"/>
      <c r="Q2882" s="133">
        <v>2498</v>
      </c>
      <c r="R2882" s="134"/>
      <c r="S2882" s="5" t="s">
        <v>16</v>
      </c>
      <c r="T2882" s="8">
        <v>1865</v>
      </c>
      <c r="U2882" s="8">
        <v>5</v>
      </c>
      <c r="V2882" s="5" t="s">
        <v>23</v>
      </c>
      <c r="W2882" s="12">
        <v>6735904</v>
      </c>
      <c r="X2882" s="6"/>
      <c r="Y2882" s="6"/>
    </row>
    <row r="2883" spans="1:25" ht="15" customHeight="1" x14ac:dyDescent="0.2">
      <c r="A2883" s="88" t="s">
        <v>3384</v>
      </c>
      <c r="B2883" s="90"/>
      <c r="C2883" s="88" t="s">
        <v>3462</v>
      </c>
      <c r="D2883" s="90"/>
      <c r="E2883" s="88" t="s">
        <v>3460</v>
      </c>
      <c r="F2883" s="89"/>
      <c r="G2883" s="89"/>
      <c r="H2883" s="89"/>
      <c r="I2883" s="90"/>
      <c r="J2883" s="88" t="s">
        <v>2179</v>
      </c>
      <c r="K2883" s="89"/>
      <c r="L2883" s="89"/>
      <c r="M2883" s="90"/>
      <c r="N2883" s="88" t="s">
        <v>701</v>
      </c>
      <c r="O2883" s="89"/>
      <c r="P2883" s="90"/>
      <c r="Q2883" s="133">
        <v>2488</v>
      </c>
      <c r="R2883" s="134"/>
      <c r="S2883" s="5" t="s">
        <v>16</v>
      </c>
      <c r="T2883" s="8">
        <v>1945</v>
      </c>
      <c r="U2883" s="8">
        <v>5</v>
      </c>
      <c r="V2883" s="5" t="s">
        <v>23</v>
      </c>
      <c r="W2883" s="12">
        <v>6584394</v>
      </c>
      <c r="X2883" s="6"/>
      <c r="Y2883" s="6"/>
    </row>
    <row r="2884" spans="1:25" ht="15" customHeight="1" x14ac:dyDescent="0.2">
      <c r="A2884" s="88" t="s">
        <v>3384</v>
      </c>
      <c r="B2884" s="90"/>
      <c r="C2884" s="88" t="s">
        <v>3463</v>
      </c>
      <c r="D2884" s="90"/>
      <c r="E2884" s="88" t="s">
        <v>3460</v>
      </c>
      <c r="F2884" s="89"/>
      <c r="G2884" s="89"/>
      <c r="H2884" s="89"/>
      <c r="I2884" s="90"/>
      <c r="J2884" s="88" t="s">
        <v>2179</v>
      </c>
      <c r="K2884" s="89"/>
      <c r="L2884" s="89"/>
      <c r="M2884" s="90"/>
      <c r="N2884" s="88" t="s">
        <v>22</v>
      </c>
      <c r="O2884" s="89"/>
      <c r="P2884" s="90"/>
      <c r="Q2884" s="133">
        <v>2488</v>
      </c>
      <c r="R2884" s="134"/>
      <c r="S2884" s="5" t="s">
        <v>16</v>
      </c>
      <c r="T2884" s="8">
        <v>1865</v>
      </c>
      <c r="U2884" s="8">
        <v>5</v>
      </c>
      <c r="V2884" s="5" t="s">
        <v>23</v>
      </c>
      <c r="W2884" s="12">
        <v>7536806</v>
      </c>
      <c r="X2884" s="6"/>
      <c r="Y2884" s="6"/>
    </row>
    <row r="2885" spans="1:25" ht="15" customHeight="1" x14ac:dyDescent="0.2">
      <c r="A2885" s="88" t="s">
        <v>3384</v>
      </c>
      <c r="B2885" s="90"/>
      <c r="C2885" s="88" t="s">
        <v>3463</v>
      </c>
      <c r="D2885" s="90"/>
      <c r="E2885" s="88" t="s">
        <v>3460</v>
      </c>
      <c r="F2885" s="89"/>
      <c r="G2885" s="89"/>
      <c r="H2885" s="89"/>
      <c r="I2885" s="90"/>
      <c r="J2885" s="88" t="s">
        <v>2179</v>
      </c>
      <c r="K2885" s="89"/>
      <c r="L2885" s="89"/>
      <c r="M2885" s="90"/>
      <c r="N2885" s="88" t="s">
        <v>26</v>
      </c>
      <c r="O2885" s="89"/>
      <c r="P2885" s="90"/>
      <c r="Q2885" s="133">
        <v>2488</v>
      </c>
      <c r="R2885" s="134"/>
      <c r="S2885" s="5" t="s">
        <v>16</v>
      </c>
      <c r="T2885" s="8">
        <v>1865</v>
      </c>
      <c r="U2885" s="8">
        <v>5</v>
      </c>
      <c r="V2885" s="5" t="s">
        <v>23</v>
      </c>
      <c r="W2885" s="12">
        <v>7536806</v>
      </c>
      <c r="X2885" s="6"/>
      <c r="Y2885" s="6"/>
    </row>
    <row r="2886" spans="1:25" ht="15" customHeight="1" x14ac:dyDescent="0.2">
      <c r="A2886" s="88" t="s">
        <v>3384</v>
      </c>
      <c r="B2886" s="90"/>
      <c r="C2886" s="88" t="s">
        <v>3464</v>
      </c>
      <c r="D2886" s="90"/>
      <c r="E2886" s="88" t="s">
        <v>3465</v>
      </c>
      <c r="F2886" s="89"/>
      <c r="G2886" s="89"/>
      <c r="H2886" s="89"/>
      <c r="I2886" s="90"/>
      <c r="J2886" s="88" t="s">
        <v>2179</v>
      </c>
      <c r="K2886" s="89"/>
      <c r="L2886" s="89"/>
      <c r="M2886" s="90"/>
      <c r="N2886" s="88" t="s">
        <v>26</v>
      </c>
      <c r="O2886" s="89"/>
      <c r="P2886" s="90"/>
      <c r="Q2886" s="133">
        <v>2488</v>
      </c>
      <c r="R2886" s="134"/>
      <c r="S2886" s="5" t="s">
        <v>16</v>
      </c>
      <c r="T2886" s="8">
        <v>1895</v>
      </c>
      <c r="U2886" s="8">
        <v>5</v>
      </c>
      <c r="V2886" s="5" t="s">
        <v>23</v>
      </c>
      <c r="W2886" s="12">
        <v>7395606</v>
      </c>
      <c r="X2886" s="6"/>
      <c r="Y2886" s="6"/>
    </row>
    <row r="2887" spans="1:25" ht="15" customHeight="1" x14ac:dyDescent="0.2">
      <c r="A2887" s="88" t="s">
        <v>3384</v>
      </c>
      <c r="B2887" s="90"/>
      <c r="C2887" s="88" t="s">
        <v>3466</v>
      </c>
      <c r="D2887" s="90"/>
      <c r="E2887" s="88" t="s">
        <v>3467</v>
      </c>
      <c r="F2887" s="89"/>
      <c r="G2887" s="89"/>
      <c r="H2887" s="89"/>
      <c r="I2887" s="90"/>
      <c r="J2887" s="88" t="s">
        <v>2179</v>
      </c>
      <c r="K2887" s="89"/>
      <c r="L2887" s="89"/>
      <c r="M2887" s="90"/>
      <c r="N2887" s="88" t="s">
        <v>26</v>
      </c>
      <c r="O2887" s="89"/>
      <c r="P2887" s="90"/>
      <c r="Q2887" s="133">
        <v>2188</v>
      </c>
      <c r="R2887" s="134"/>
      <c r="S2887" s="5" t="s">
        <v>16</v>
      </c>
      <c r="T2887" s="8">
        <v>1945</v>
      </c>
      <c r="U2887" s="8">
        <v>5</v>
      </c>
      <c r="V2887" s="5" t="s">
        <v>106</v>
      </c>
      <c r="W2887" s="12">
        <v>6586498</v>
      </c>
      <c r="X2887" s="6"/>
      <c r="Y2887" s="6"/>
    </row>
    <row r="2888" spans="1:25" ht="15" customHeight="1" x14ac:dyDescent="0.2">
      <c r="A2888" s="88" t="s">
        <v>3384</v>
      </c>
      <c r="B2888" s="90"/>
      <c r="C2888" s="88" t="s">
        <v>3468</v>
      </c>
      <c r="D2888" s="90"/>
      <c r="E2888" s="88" t="s">
        <v>3467</v>
      </c>
      <c r="F2888" s="89"/>
      <c r="G2888" s="89"/>
      <c r="H2888" s="89"/>
      <c r="I2888" s="90"/>
      <c r="J2888" s="88" t="s">
        <v>2179</v>
      </c>
      <c r="K2888" s="89"/>
      <c r="L2888" s="89"/>
      <c r="M2888" s="90"/>
      <c r="N2888" s="88" t="s">
        <v>26</v>
      </c>
      <c r="O2888" s="89"/>
      <c r="P2888" s="90"/>
      <c r="Q2888" s="133">
        <v>2188</v>
      </c>
      <c r="R2888" s="134"/>
      <c r="S2888" s="5" t="s">
        <v>16</v>
      </c>
      <c r="T2888" s="8">
        <v>1905</v>
      </c>
      <c r="U2888" s="8">
        <v>5</v>
      </c>
      <c r="V2888" s="5" t="s">
        <v>106</v>
      </c>
      <c r="W2888" s="12">
        <v>7407180</v>
      </c>
      <c r="X2888" s="6"/>
      <c r="Y2888" s="6"/>
    </row>
    <row r="2889" spans="1:25" ht="15" customHeight="1" x14ac:dyDescent="0.2">
      <c r="A2889" s="88" t="s">
        <v>3384</v>
      </c>
      <c r="B2889" s="90"/>
      <c r="C2889" s="88" t="s">
        <v>3469</v>
      </c>
      <c r="D2889" s="90"/>
      <c r="E2889" s="88" t="s">
        <v>3467</v>
      </c>
      <c r="F2889" s="89"/>
      <c r="G2889" s="89"/>
      <c r="H2889" s="89"/>
      <c r="I2889" s="90"/>
      <c r="J2889" s="88" t="s">
        <v>2179</v>
      </c>
      <c r="K2889" s="89"/>
      <c r="L2889" s="89"/>
      <c r="M2889" s="90"/>
      <c r="N2889" s="88" t="s">
        <v>22</v>
      </c>
      <c r="O2889" s="89"/>
      <c r="P2889" s="90"/>
      <c r="Q2889" s="133">
        <v>2188</v>
      </c>
      <c r="R2889" s="134"/>
      <c r="S2889" s="5" t="s">
        <v>16</v>
      </c>
      <c r="T2889" s="8">
        <v>1925</v>
      </c>
      <c r="U2889" s="8">
        <v>5</v>
      </c>
      <c r="V2889" s="5" t="s">
        <v>106</v>
      </c>
      <c r="W2889" s="12">
        <v>8404835</v>
      </c>
      <c r="X2889" s="6"/>
      <c r="Y2889" s="6"/>
    </row>
    <row r="2890" spans="1:25" ht="15" customHeight="1" x14ac:dyDescent="0.2">
      <c r="A2890" s="88" t="s">
        <v>3384</v>
      </c>
      <c r="B2890" s="90"/>
      <c r="C2890" s="88" t="s">
        <v>3469</v>
      </c>
      <c r="D2890" s="90"/>
      <c r="E2890" s="88" t="s">
        <v>3467</v>
      </c>
      <c r="F2890" s="89"/>
      <c r="G2890" s="89"/>
      <c r="H2890" s="89"/>
      <c r="I2890" s="90"/>
      <c r="J2890" s="88" t="s">
        <v>2179</v>
      </c>
      <c r="K2890" s="89"/>
      <c r="L2890" s="89"/>
      <c r="M2890" s="90"/>
      <c r="N2890" s="88" t="s">
        <v>26</v>
      </c>
      <c r="O2890" s="89"/>
      <c r="P2890" s="90"/>
      <c r="Q2890" s="133">
        <v>2188</v>
      </c>
      <c r="R2890" s="134"/>
      <c r="S2890" s="5" t="s">
        <v>16</v>
      </c>
      <c r="T2890" s="8">
        <v>1925</v>
      </c>
      <c r="U2890" s="8">
        <v>5</v>
      </c>
      <c r="V2890" s="5" t="s">
        <v>106</v>
      </c>
      <c r="W2890" s="12">
        <v>8404835</v>
      </c>
      <c r="X2890" s="6"/>
      <c r="Y2890" s="6"/>
    </row>
    <row r="2891" spans="1:25" ht="15" customHeight="1" x14ac:dyDescent="0.2">
      <c r="A2891" s="88" t="s">
        <v>3384</v>
      </c>
      <c r="B2891" s="90"/>
      <c r="C2891" s="88" t="s">
        <v>3470</v>
      </c>
      <c r="D2891" s="90"/>
      <c r="E2891" s="88" t="s">
        <v>3467</v>
      </c>
      <c r="F2891" s="89"/>
      <c r="G2891" s="89"/>
      <c r="H2891" s="89"/>
      <c r="I2891" s="90"/>
      <c r="J2891" s="88" t="s">
        <v>2179</v>
      </c>
      <c r="K2891" s="89"/>
      <c r="L2891" s="89"/>
      <c r="M2891" s="90"/>
      <c r="N2891" s="88" t="s">
        <v>26</v>
      </c>
      <c r="O2891" s="89"/>
      <c r="P2891" s="90"/>
      <c r="Q2891" s="133">
        <v>2188</v>
      </c>
      <c r="R2891" s="134"/>
      <c r="S2891" s="5" t="s">
        <v>16</v>
      </c>
      <c r="T2891" s="8">
        <v>1905</v>
      </c>
      <c r="U2891" s="8">
        <v>5</v>
      </c>
      <c r="V2891" s="5" t="s">
        <v>106</v>
      </c>
      <c r="W2891" s="12">
        <v>6491804</v>
      </c>
      <c r="X2891" s="6"/>
      <c r="Y2891" s="6"/>
    </row>
    <row r="2892" spans="1:25" ht="15" customHeight="1" x14ac:dyDescent="0.2">
      <c r="A2892" s="88" t="s">
        <v>3384</v>
      </c>
      <c r="B2892" s="90"/>
      <c r="C2892" s="88" t="s">
        <v>3470</v>
      </c>
      <c r="D2892" s="90"/>
      <c r="E2892" s="88" t="s">
        <v>3471</v>
      </c>
      <c r="F2892" s="89"/>
      <c r="G2892" s="89"/>
      <c r="H2892" s="89"/>
      <c r="I2892" s="90"/>
      <c r="J2892" s="88" t="s">
        <v>2179</v>
      </c>
      <c r="K2892" s="89"/>
      <c r="L2892" s="89"/>
      <c r="M2892" s="90"/>
      <c r="N2892" s="88" t="s">
        <v>26</v>
      </c>
      <c r="O2892" s="89"/>
      <c r="P2892" s="90"/>
      <c r="Q2892" s="133">
        <v>2188</v>
      </c>
      <c r="R2892" s="134"/>
      <c r="S2892" s="5" t="s">
        <v>16</v>
      </c>
      <c r="T2892" s="8">
        <v>1895</v>
      </c>
      <c r="U2892" s="8">
        <v>5</v>
      </c>
      <c r="V2892" s="5" t="s">
        <v>106</v>
      </c>
      <c r="W2892" s="12">
        <v>6428675</v>
      </c>
      <c r="X2892" s="6"/>
      <c r="Y2892" s="6"/>
    </row>
    <row r="2893" spans="1:25" ht="15" customHeight="1" x14ac:dyDescent="0.2">
      <c r="A2893" s="88" t="s">
        <v>3384</v>
      </c>
      <c r="B2893" s="90"/>
      <c r="C2893" s="88" t="s">
        <v>3472</v>
      </c>
      <c r="D2893" s="90"/>
      <c r="E2893" s="88" t="s">
        <v>3471</v>
      </c>
      <c r="F2893" s="89"/>
      <c r="G2893" s="89"/>
      <c r="H2893" s="89"/>
      <c r="I2893" s="90"/>
      <c r="J2893" s="88" t="s">
        <v>2179</v>
      </c>
      <c r="K2893" s="89"/>
      <c r="L2893" s="89"/>
      <c r="M2893" s="90"/>
      <c r="N2893" s="88" t="s">
        <v>26</v>
      </c>
      <c r="O2893" s="89"/>
      <c r="P2893" s="90"/>
      <c r="Q2893" s="133">
        <v>2188</v>
      </c>
      <c r="R2893" s="134"/>
      <c r="S2893" s="5" t="s">
        <v>16</v>
      </c>
      <c r="T2893" s="8">
        <v>1935</v>
      </c>
      <c r="U2893" s="8">
        <v>5</v>
      </c>
      <c r="V2893" s="5" t="s">
        <v>106</v>
      </c>
      <c r="W2893" s="12">
        <v>6586498</v>
      </c>
      <c r="X2893" s="6"/>
      <c r="Y2893" s="6"/>
    </row>
    <row r="2894" spans="1:25" ht="15" customHeight="1" x14ac:dyDescent="0.2">
      <c r="A2894" s="88" t="s">
        <v>3384</v>
      </c>
      <c r="B2894" s="90"/>
      <c r="C2894" s="88" t="s">
        <v>3473</v>
      </c>
      <c r="D2894" s="90"/>
      <c r="E2894" s="88" t="s">
        <v>3474</v>
      </c>
      <c r="F2894" s="89"/>
      <c r="G2894" s="89"/>
      <c r="H2894" s="89"/>
      <c r="I2894" s="90"/>
      <c r="J2894" s="88" t="s">
        <v>2179</v>
      </c>
      <c r="K2894" s="89"/>
      <c r="L2894" s="89"/>
      <c r="M2894" s="90"/>
      <c r="N2894" s="88" t="s">
        <v>26</v>
      </c>
      <c r="O2894" s="89"/>
      <c r="P2894" s="90"/>
      <c r="Q2894" s="133">
        <v>2188</v>
      </c>
      <c r="R2894" s="134"/>
      <c r="S2894" s="5" t="s">
        <v>16</v>
      </c>
      <c r="T2894" s="8">
        <v>2170</v>
      </c>
      <c r="U2894" s="8">
        <v>5</v>
      </c>
      <c r="V2894" s="5" t="s">
        <v>106</v>
      </c>
      <c r="W2894" s="12">
        <v>9221939</v>
      </c>
      <c r="X2894" s="6"/>
      <c r="Y2894" s="6"/>
    </row>
    <row r="2895" spans="1:25" ht="15" customHeight="1" x14ac:dyDescent="0.2">
      <c r="A2895" s="88" t="s">
        <v>3384</v>
      </c>
      <c r="B2895" s="90"/>
      <c r="C2895" s="88" t="s">
        <v>3475</v>
      </c>
      <c r="D2895" s="90"/>
      <c r="E2895" s="88" t="s">
        <v>3476</v>
      </c>
      <c r="F2895" s="89"/>
      <c r="G2895" s="89"/>
      <c r="H2895" s="89"/>
      <c r="I2895" s="90"/>
      <c r="J2895" s="88" t="s">
        <v>2319</v>
      </c>
      <c r="K2895" s="89"/>
      <c r="L2895" s="89"/>
      <c r="M2895" s="90"/>
      <c r="N2895" s="88" t="s">
        <v>22</v>
      </c>
      <c r="O2895" s="89"/>
      <c r="P2895" s="90"/>
      <c r="Q2895" s="133">
        <v>2488</v>
      </c>
      <c r="R2895" s="134"/>
      <c r="S2895" s="5" t="s">
        <v>16</v>
      </c>
      <c r="T2895" s="8">
        <v>1995</v>
      </c>
      <c r="U2895" s="8">
        <v>5</v>
      </c>
      <c r="V2895" s="5" t="s">
        <v>23</v>
      </c>
      <c r="W2895" s="12">
        <v>8506683</v>
      </c>
      <c r="X2895" s="6"/>
      <c r="Y2895" s="6"/>
    </row>
    <row r="2896" spans="1:25" ht="15" customHeight="1" x14ac:dyDescent="0.2">
      <c r="A2896" s="88" t="s">
        <v>3384</v>
      </c>
      <c r="B2896" s="90"/>
      <c r="C2896" s="88" t="s">
        <v>3475</v>
      </c>
      <c r="D2896" s="90"/>
      <c r="E2896" s="88" t="s">
        <v>3476</v>
      </c>
      <c r="F2896" s="89"/>
      <c r="G2896" s="89"/>
      <c r="H2896" s="89"/>
      <c r="I2896" s="90"/>
      <c r="J2896" s="88" t="s">
        <v>2319</v>
      </c>
      <c r="K2896" s="89"/>
      <c r="L2896" s="89"/>
      <c r="M2896" s="90"/>
      <c r="N2896" s="88" t="s">
        <v>701</v>
      </c>
      <c r="O2896" s="89"/>
      <c r="P2896" s="90"/>
      <c r="Q2896" s="133">
        <v>2488</v>
      </c>
      <c r="R2896" s="134"/>
      <c r="S2896" s="5" t="s">
        <v>16</v>
      </c>
      <c r="T2896" s="8">
        <v>1725</v>
      </c>
      <c r="U2896" s="8">
        <v>5</v>
      </c>
      <c r="V2896" s="5" t="s">
        <v>23</v>
      </c>
      <c r="W2896" s="12">
        <v>8090029</v>
      </c>
      <c r="X2896" s="6"/>
      <c r="Y2896" s="6"/>
    </row>
    <row r="2897" spans="1:25" ht="15" customHeight="1" x14ac:dyDescent="0.2">
      <c r="A2897" s="88" t="s">
        <v>3384</v>
      </c>
      <c r="B2897" s="90"/>
      <c r="C2897" s="88" t="s">
        <v>3477</v>
      </c>
      <c r="D2897" s="90"/>
      <c r="E2897" s="88" t="s">
        <v>3478</v>
      </c>
      <c r="F2897" s="89"/>
      <c r="G2897" s="89"/>
      <c r="H2897" s="89"/>
      <c r="I2897" s="90"/>
      <c r="J2897" s="88" t="s">
        <v>2319</v>
      </c>
      <c r="K2897" s="89"/>
      <c r="L2897" s="89"/>
      <c r="M2897" s="90"/>
      <c r="N2897" s="88" t="s">
        <v>701</v>
      </c>
      <c r="O2897" s="89"/>
      <c r="P2897" s="90"/>
      <c r="Q2897" s="133">
        <v>2488</v>
      </c>
      <c r="R2897" s="134"/>
      <c r="S2897" s="5" t="s">
        <v>16</v>
      </c>
      <c r="T2897" s="8">
        <v>2365</v>
      </c>
      <c r="U2897" s="8">
        <v>5</v>
      </c>
      <c r="V2897" s="5" t="s">
        <v>23</v>
      </c>
      <c r="W2897" s="12">
        <v>13599120</v>
      </c>
      <c r="X2897" s="6"/>
      <c r="Y2897" s="6"/>
    </row>
    <row r="2898" spans="1:25" ht="15" customHeight="1" x14ac:dyDescent="0.2">
      <c r="A2898" s="88" t="s">
        <v>3384</v>
      </c>
      <c r="B2898" s="90"/>
      <c r="C2898" s="88" t="s">
        <v>3479</v>
      </c>
      <c r="D2898" s="90"/>
      <c r="E2898" s="88" t="s">
        <v>3480</v>
      </c>
      <c r="F2898" s="89"/>
      <c r="G2898" s="89"/>
      <c r="H2898" s="89"/>
      <c r="I2898" s="90"/>
      <c r="J2898" s="88" t="s">
        <v>2319</v>
      </c>
      <c r="K2898" s="89"/>
      <c r="L2898" s="89"/>
      <c r="M2898" s="90"/>
      <c r="N2898" s="88" t="s">
        <v>22</v>
      </c>
      <c r="O2898" s="89"/>
      <c r="P2898" s="90"/>
      <c r="Q2898" s="133">
        <v>3283</v>
      </c>
      <c r="R2898" s="134"/>
      <c r="S2898" s="5" t="s">
        <v>16</v>
      </c>
      <c r="T2898" s="8">
        <v>1685</v>
      </c>
      <c r="U2898" s="8">
        <v>5</v>
      </c>
      <c r="V2898" s="5" t="s">
        <v>106</v>
      </c>
      <c r="W2898" s="12">
        <v>10074691</v>
      </c>
      <c r="X2898" s="6"/>
      <c r="Y2898" s="6"/>
    </row>
    <row r="2899" spans="1:25" ht="15" customHeight="1" x14ac:dyDescent="0.2">
      <c r="A2899" s="88" t="s">
        <v>3384</v>
      </c>
      <c r="B2899" s="90"/>
      <c r="C2899" s="88" t="s">
        <v>3479</v>
      </c>
      <c r="D2899" s="90"/>
      <c r="E2899" s="88" t="s">
        <v>3481</v>
      </c>
      <c r="F2899" s="89"/>
      <c r="G2899" s="89"/>
      <c r="H2899" s="89"/>
      <c r="I2899" s="90"/>
      <c r="J2899" s="88" t="s">
        <v>2319</v>
      </c>
      <c r="K2899" s="89"/>
      <c r="L2899" s="89"/>
      <c r="M2899" s="90"/>
      <c r="N2899" s="88" t="s">
        <v>26</v>
      </c>
      <c r="O2899" s="89"/>
      <c r="P2899" s="90"/>
      <c r="Q2899" s="133">
        <v>3283</v>
      </c>
      <c r="R2899" s="134"/>
      <c r="S2899" s="5" t="s">
        <v>16</v>
      </c>
      <c r="T2899" s="8">
        <v>2115</v>
      </c>
      <c r="U2899" s="8">
        <v>5</v>
      </c>
      <c r="V2899" s="5" t="s">
        <v>106</v>
      </c>
      <c r="W2899" s="12">
        <v>10524677</v>
      </c>
      <c r="X2899" s="6"/>
      <c r="Y2899" s="6"/>
    </row>
    <row r="2900" spans="1:25" ht="15" customHeight="1" x14ac:dyDescent="0.2">
      <c r="A2900" s="88" t="s">
        <v>3384</v>
      </c>
      <c r="B2900" s="90"/>
      <c r="C2900" s="88" t="s">
        <v>3482</v>
      </c>
      <c r="D2900" s="90"/>
      <c r="E2900" s="88" t="s">
        <v>3483</v>
      </c>
      <c r="F2900" s="89"/>
      <c r="G2900" s="89"/>
      <c r="H2900" s="89"/>
      <c r="I2900" s="90"/>
      <c r="J2900" s="88" t="s">
        <v>2319</v>
      </c>
      <c r="K2900" s="89"/>
      <c r="L2900" s="89"/>
      <c r="M2900" s="90"/>
      <c r="N2900" s="88" t="s">
        <v>701</v>
      </c>
      <c r="O2900" s="89"/>
      <c r="P2900" s="90"/>
      <c r="Q2900" s="133">
        <v>3283</v>
      </c>
      <c r="R2900" s="134"/>
      <c r="S2900" s="5" t="s">
        <v>16</v>
      </c>
      <c r="T2900" s="8">
        <v>1655</v>
      </c>
      <c r="U2900" s="8">
        <v>5</v>
      </c>
      <c r="V2900" s="5" t="s">
        <v>106</v>
      </c>
      <c r="W2900" s="12">
        <v>11487147</v>
      </c>
      <c r="X2900" s="6"/>
      <c r="Y2900" s="6"/>
    </row>
    <row r="2901" spans="1:25" ht="15" customHeight="1" x14ac:dyDescent="0.2">
      <c r="A2901" s="88" t="s">
        <v>3384</v>
      </c>
      <c r="B2901" s="90"/>
      <c r="C2901" s="88" t="s">
        <v>3484</v>
      </c>
      <c r="D2901" s="90"/>
      <c r="E2901" s="88" t="s">
        <v>3483</v>
      </c>
      <c r="F2901" s="89"/>
      <c r="G2901" s="89"/>
      <c r="H2901" s="89"/>
      <c r="I2901" s="90"/>
      <c r="J2901" s="88" t="s">
        <v>2319</v>
      </c>
      <c r="K2901" s="89"/>
      <c r="L2901" s="89"/>
      <c r="M2901" s="90"/>
      <c r="N2901" s="88" t="s">
        <v>22</v>
      </c>
      <c r="O2901" s="89"/>
      <c r="P2901" s="90"/>
      <c r="Q2901" s="133">
        <v>3283</v>
      </c>
      <c r="R2901" s="134"/>
      <c r="S2901" s="5" t="s">
        <v>16</v>
      </c>
      <c r="T2901" s="8">
        <v>2215</v>
      </c>
      <c r="U2901" s="8">
        <v>5</v>
      </c>
      <c r="V2901" s="5" t="s">
        <v>106</v>
      </c>
      <c r="W2901" s="12">
        <v>12887104</v>
      </c>
      <c r="X2901" s="6"/>
      <c r="Y2901" s="6"/>
    </row>
    <row r="2902" spans="1:25" ht="15" customHeight="1" x14ac:dyDescent="0.2">
      <c r="A2902" s="88" t="s">
        <v>3384</v>
      </c>
      <c r="B2902" s="90"/>
      <c r="C2902" s="88" t="s">
        <v>3485</v>
      </c>
      <c r="D2902" s="90"/>
      <c r="E2902" s="88" t="s">
        <v>3483</v>
      </c>
      <c r="F2902" s="89"/>
      <c r="G2902" s="89"/>
      <c r="H2902" s="89"/>
      <c r="I2902" s="90"/>
      <c r="J2902" s="88" t="s">
        <v>2319</v>
      </c>
      <c r="K2902" s="89"/>
      <c r="L2902" s="89"/>
      <c r="M2902" s="90"/>
      <c r="N2902" s="88" t="s">
        <v>701</v>
      </c>
      <c r="O2902" s="89"/>
      <c r="P2902" s="90"/>
      <c r="Q2902" s="133">
        <v>3283</v>
      </c>
      <c r="R2902" s="134"/>
      <c r="S2902" s="5" t="s">
        <v>16</v>
      </c>
      <c r="T2902" s="8">
        <v>1725</v>
      </c>
      <c r="U2902" s="8">
        <v>5</v>
      </c>
      <c r="V2902" s="5" t="s">
        <v>106</v>
      </c>
      <c r="W2902" s="12">
        <v>12437118</v>
      </c>
      <c r="X2902" s="6"/>
      <c r="Y2902" s="6"/>
    </row>
    <row r="2903" spans="1:25" ht="15" customHeight="1" x14ac:dyDescent="0.2">
      <c r="A2903" s="88" t="s">
        <v>3384</v>
      </c>
      <c r="B2903" s="90"/>
      <c r="C2903" s="88" t="s">
        <v>3486</v>
      </c>
      <c r="D2903" s="90"/>
      <c r="E2903" s="88" t="s">
        <v>3483</v>
      </c>
      <c r="F2903" s="89"/>
      <c r="G2903" s="89"/>
      <c r="H2903" s="89"/>
      <c r="I2903" s="90"/>
      <c r="J2903" s="88" t="s">
        <v>2319</v>
      </c>
      <c r="K2903" s="89"/>
      <c r="L2903" s="89"/>
      <c r="M2903" s="90"/>
      <c r="N2903" s="88" t="s">
        <v>701</v>
      </c>
      <c r="O2903" s="89"/>
      <c r="P2903" s="90"/>
      <c r="Q2903" s="133">
        <v>1997</v>
      </c>
      <c r="R2903" s="134"/>
      <c r="S2903" s="5" t="s">
        <v>16</v>
      </c>
      <c r="T2903" s="8">
        <v>2185</v>
      </c>
      <c r="U2903" s="8">
        <v>5</v>
      </c>
      <c r="V2903" s="5" t="s">
        <v>106</v>
      </c>
      <c r="W2903" s="12">
        <v>11168639</v>
      </c>
      <c r="X2903" s="6"/>
      <c r="Y2903" s="6"/>
    </row>
    <row r="2904" spans="1:25" ht="15" customHeight="1" x14ac:dyDescent="0.2">
      <c r="A2904" s="88" t="s">
        <v>3384</v>
      </c>
      <c r="B2904" s="90"/>
      <c r="C2904" s="88" t="s">
        <v>3487</v>
      </c>
      <c r="D2904" s="90"/>
      <c r="E2904" s="88" t="s">
        <v>3483</v>
      </c>
      <c r="F2904" s="89"/>
      <c r="G2904" s="89"/>
      <c r="H2904" s="89"/>
      <c r="I2904" s="90"/>
      <c r="J2904" s="88" t="s">
        <v>2319</v>
      </c>
      <c r="K2904" s="89"/>
      <c r="L2904" s="89"/>
      <c r="M2904" s="90"/>
      <c r="N2904" s="88" t="s">
        <v>701</v>
      </c>
      <c r="O2904" s="89"/>
      <c r="P2904" s="90"/>
      <c r="Q2904" s="133">
        <v>3283</v>
      </c>
      <c r="R2904" s="134"/>
      <c r="S2904" s="5" t="s">
        <v>16</v>
      </c>
      <c r="T2904" s="8">
        <v>2215</v>
      </c>
      <c r="U2904" s="8">
        <v>5</v>
      </c>
      <c r="V2904" s="5" t="s">
        <v>106</v>
      </c>
      <c r="W2904" s="12">
        <v>12887104</v>
      </c>
      <c r="X2904" s="6"/>
      <c r="Y2904" s="6"/>
    </row>
    <row r="2905" spans="1:25" ht="15" customHeight="1" x14ac:dyDescent="0.2">
      <c r="A2905" s="88" t="s">
        <v>3384</v>
      </c>
      <c r="B2905" s="90"/>
      <c r="C2905" s="88" t="s">
        <v>3488</v>
      </c>
      <c r="D2905" s="90"/>
      <c r="E2905" s="88" t="s">
        <v>3489</v>
      </c>
      <c r="F2905" s="89"/>
      <c r="G2905" s="89"/>
      <c r="H2905" s="89"/>
      <c r="I2905" s="90"/>
      <c r="J2905" s="88" t="s">
        <v>2179</v>
      </c>
      <c r="K2905" s="89"/>
      <c r="L2905" s="89"/>
      <c r="M2905" s="90"/>
      <c r="N2905" s="88" t="s">
        <v>26</v>
      </c>
      <c r="O2905" s="89"/>
      <c r="P2905" s="90"/>
      <c r="Q2905" s="133">
        <v>2488</v>
      </c>
      <c r="R2905" s="134"/>
      <c r="S2905" s="5" t="s">
        <v>16</v>
      </c>
      <c r="T2905" s="8">
        <v>2140</v>
      </c>
      <c r="U2905" s="8">
        <v>6</v>
      </c>
      <c r="V2905" s="5" t="s">
        <v>23</v>
      </c>
      <c r="W2905" s="12">
        <v>8326765</v>
      </c>
      <c r="X2905" s="6"/>
      <c r="Y2905" s="6"/>
    </row>
    <row r="2906" spans="1:25" ht="15" customHeight="1" x14ac:dyDescent="0.2">
      <c r="A2906" s="88" t="s">
        <v>3384</v>
      </c>
      <c r="B2906" s="90"/>
      <c r="C2906" s="88" t="s">
        <v>3490</v>
      </c>
      <c r="D2906" s="90"/>
      <c r="E2906" s="88" t="s">
        <v>3489</v>
      </c>
      <c r="F2906" s="89"/>
      <c r="G2906" s="89"/>
      <c r="H2906" s="89"/>
      <c r="I2906" s="90"/>
      <c r="J2906" s="88" t="s">
        <v>2179</v>
      </c>
      <c r="K2906" s="89"/>
      <c r="L2906" s="89"/>
      <c r="M2906" s="90"/>
      <c r="N2906" s="88" t="s">
        <v>22</v>
      </c>
      <c r="O2906" s="89"/>
      <c r="P2906" s="90"/>
      <c r="Q2906" s="133">
        <v>2488</v>
      </c>
      <c r="R2906" s="134"/>
      <c r="S2906" s="5" t="s">
        <v>16</v>
      </c>
      <c r="T2906" s="8">
        <v>2140</v>
      </c>
      <c r="U2906" s="8">
        <v>6</v>
      </c>
      <c r="V2906" s="5" t="s">
        <v>23</v>
      </c>
      <c r="W2906" s="12">
        <v>10147837</v>
      </c>
      <c r="X2906" s="6"/>
      <c r="Y2906" s="6"/>
    </row>
    <row r="2907" spans="1:25" ht="15" customHeight="1" x14ac:dyDescent="0.2">
      <c r="A2907" s="88" t="s">
        <v>3384</v>
      </c>
      <c r="B2907" s="90"/>
      <c r="C2907" s="88" t="s">
        <v>3490</v>
      </c>
      <c r="D2907" s="90"/>
      <c r="E2907" s="88" t="s">
        <v>3489</v>
      </c>
      <c r="F2907" s="89"/>
      <c r="G2907" s="89"/>
      <c r="H2907" s="89"/>
      <c r="I2907" s="90"/>
      <c r="J2907" s="88" t="s">
        <v>2179</v>
      </c>
      <c r="K2907" s="89"/>
      <c r="L2907" s="89"/>
      <c r="M2907" s="90"/>
      <c r="N2907" s="88" t="s">
        <v>26</v>
      </c>
      <c r="O2907" s="89"/>
      <c r="P2907" s="90"/>
      <c r="Q2907" s="133">
        <v>2488</v>
      </c>
      <c r="R2907" s="134"/>
      <c r="S2907" s="5" t="s">
        <v>16</v>
      </c>
      <c r="T2907" s="8">
        <v>2170</v>
      </c>
      <c r="U2907" s="8">
        <v>6</v>
      </c>
      <c r="V2907" s="5" t="s">
        <v>23</v>
      </c>
      <c r="W2907" s="12">
        <v>10022840</v>
      </c>
      <c r="X2907" s="6"/>
      <c r="Y2907" s="6"/>
    </row>
    <row r="2908" spans="1:25" ht="15" customHeight="1" x14ac:dyDescent="0.2">
      <c r="A2908" s="88" t="s">
        <v>3384</v>
      </c>
      <c r="B2908" s="90"/>
      <c r="C2908" s="88" t="s">
        <v>3491</v>
      </c>
      <c r="D2908" s="90"/>
      <c r="E2908" s="88" t="s">
        <v>3489</v>
      </c>
      <c r="F2908" s="89"/>
      <c r="G2908" s="89"/>
      <c r="H2908" s="89"/>
      <c r="I2908" s="90"/>
      <c r="J2908" s="88" t="s">
        <v>2179</v>
      </c>
      <c r="K2908" s="89"/>
      <c r="L2908" s="89"/>
      <c r="M2908" s="90"/>
      <c r="N2908" s="88" t="s">
        <v>701</v>
      </c>
      <c r="O2908" s="89"/>
      <c r="P2908" s="90"/>
      <c r="Q2908" s="133">
        <v>2488</v>
      </c>
      <c r="R2908" s="134"/>
      <c r="S2908" s="5" t="s">
        <v>16</v>
      </c>
      <c r="T2908" s="8">
        <v>2210</v>
      </c>
      <c r="U2908" s="8">
        <v>6</v>
      </c>
      <c r="V2908" s="5" t="s">
        <v>23</v>
      </c>
      <c r="W2908" s="12">
        <v>8269948</v>
      </c>
      <c r="X2908" s="6"/>
      <c r="Y2908" s="6"/>
    </row>
    <row r="2909" spans="1:25" ht="15" customHeight="1" x14ac:dyDescent="0.2">
      <c r="A2909" s="88" t="s">
        <v>3384</v>
      </c>
      <c r="B2909" s="90"/>
      <c r="C2909" s="88" t="s">
        <v>3492</v>
      </c>
      <c r="D2909" s="90"/>
      <c r="E2909" s="88" t="s">
        <v>3474</v>
      </c>
      <c r="F2909" s="89"/>
      <c r="G2909" s="89"/>
      <c r="H2909" s="89"/>
      <c r="I2909" s="90"/>
      <c r="J2909" s="88" t="s">
        <v>701</v>
      </c>
      <c r="K2909" s="89"/>
      <c r="L2909" s="89"/>
      <c r="M2909" s="90"/>
      <c r="N2909" s="88" t="s">
        <v>2179</v>
      </c>
      <c r="O2909" s="89"/>
      <c r="P2909" s="90"/>
      <c r="Q2909" s="133">
        <v>2188</v>
      </c>
      <c r="R2909" s="134"/>
      <c r="S2909" s="5" t="s">
        <v>16</v>
      </c>
      <c r="T2909" s="8">
        <v>2170</v>
      </c>
      <c r="U2909" s="8">
        <v>6</v>
      </c>
      <c r="V2909" s="5" t="s">
        <v>106</v>
      </c>
      <c r="W2909" s="12">
        <v>10147837</v>
      </c>
      <c r="X2909" s="6"/>
      <c r="Y2909" s="6"/>
    </row>
    <row r="2910" spans="1:25" ht="15" customHeight="1" x14ac:dyDescent="0.2">
      <c r="A2910" s="88" t="s">
        <v>3384</v>
      </c>
      <c r="B2910" s="90"/>
      <c r="C2910" s="88" t="s">
        <v>3493</v>
      </c>
      <c r="D2910" s="90"/>
      <c r="E2910" s="88" t="s">
        <v>3474</v>
      </c>
      <c r="F2910" s="89"/>
      <c r="G2910" s="89"/>
      <c r="H2910" s="89"/>
      <c r="I2910" s="90"/>
      <c r="J2910" s="88" t="s">
        <v>2179</v>
      </c>
      <c r="K2910" s="89"/>
      <c r="L2910" s="89"/>
      <c r="M2910" s="90"/>
      <c r="N2910" s="88" t="s">
        <v>26</v>
      </c>
      <c r="O2910" s="89"/>
      <c r="P2910" s="90"/>
      <c r="Q2910" s="133">
        <v>2188</v>
      </c>
      <c r="R2910" s="134"/>
      <c r="S2910" s="5" t="s">
        <v>16</v>
      </c>
      <c r="T2910" s="8">
        <v>1210</v>
      </c>
      <c r="U2910" s="8">
        <v>6</v>
      </c>
      <c r="V2910" s="5" t="s">
        <v>23</v>
      </c>
      <c r="W2910" s="12">
        <v>9221939</v>
      </c>
      <c r="X2910" s="6"/>
      <c r="Y2910" s="6"/>
    </row>
    <row r="2911" spans="1:25" ht="15" customHeight="1" x14ac:dyDescent="0.2">
      <c r="A2911" s="88" t="s">
        <v>3384</v>
      </c>
      <c r="B2911" s="90"/>
      <c r="C2911" s="88" t="s">
        <v>3493</v>
      </c>
      <c r="D2911" s="90"/>
      <c r="E2911" s="88" t="s">
        <v>3474</v>
      </c>
      <c r="F2911" s="89"/>
      <c r="G2911" s="89"/>
      <c r="H2911" s="89"/>
      <c r="I2911" s="90"/>
      <c r="J2911" s="88" t="s">
        <v>2179</v>
      </c>
      <c r="K2911" s="89"/>
      <c r="L2911" s="89"/>
      <c r="M2911" s="90"/>
      <c r="N2911" s="88" t="s">
        <v>26</v>
      </c>
      <c r="O2911" s="89"/>
      <c r="P2911" s="90"/>
      <c r="Q2911" s="133">
        <v>2188</v>
      </c>
      <c r="R2911" s="134"/>
      <c r="S2911" s="5" t="s">
        <v>16</v>
      </c>
      <c r="T2911" s="8">
        <v>2160</v>
      </c>
      <c r="U2911" s="8">
        <v>6</v>
      </c>
      <c r="V2911" s="5" t="s">
        <v>106</v>
      </c>
      <c r="W2911" s="12">
        <v>8482484</v>
      </c>
      <c r="X2911" s="6"/>
      <c r="Y2911" s="6"/>
    </row>
    <row r="2912" spans="1:25" ht="15" customHeight="1" x14ac:dyDescent="0.2">
      <c r="A2912" s="88" t="s">
        <v>3384</v>
      </c>
      <c r="B2912" s="90"/>
      <c r="C2912" s="88" t="s">
        <v>3494</v>
      </c>
      <c r="D2912" s="90"/>
      <c r="E2912" s="88" t="s">
        <v>3495</v>
      </c>
      <c r="F2912" s="89"/>
      <c r="G2912" s="89"/>
      <c r="H2912" s="89"/>
      <c r="I2912" s="90"/>
      <c r="J2912" s="88" t="s">
        <v>2319</v>
      </c>
      <c r="K2912" s="89"/>
      <c r="L2912" s="89"/>
      <c r="M2912" s="90"/>
      <c r="N2912" s="88" t="s">
        <v>701</v>
      </c>
      <c r="O2912" s="89"/>
      <c r="P2912" s="90"/>
      <c r="Q2912" s="133">
        <v>2488</v>
      </c>
      <c r="R2912" s="134"/>
      <c r="S2912" s="5" t="s">
        <v>16</v>
      </c>
      <c r="T2912" s="8">
        <v>2570</v>
      </c>
      <c r="U2912" s="8">
        <v>6</v>
      </c>
      <c r="V2912" s="5" t="s">
        <v>23</v>
      </c>
      <c r="W2912" s="12">
        <v>14987966</v>
      </c>
      <c r="X2912" s="6"/>
      <c r="Y2912" s="6"/>
    </row>
    <row r="2913" spans="1:25" ht="15" customHeight="1" x14ac:dyDescent="0.2">
      <c r="A2913" s="88" t="s">
        <v>3384</v>
      </c>
      <c r="B2913" s="90"/>
      <c r="C2913" s="88" t="s">
        <v>3496</v>
      </c>
      <c r="D2913" s="90"/>
      <c r="E2913" s="88" t="s">
        <v>3478</v>
      </c>
      <c r="F2913" s="89"/>
      <c r="G2913" s="89"/>
      <c r="H2913" s="89"/>
      <c r="I2913" s="90"/>
      <c r="J2913" s="88" t="s">
        <v>2319</v>
      </c>
      <c r="K2913" s="89"/>
      <c r="L2913" s="89"/>
      <c r="M2913" s="90"/>
      <c r="N2913" s="88" t="s">
        <v>701</v>
      </c>
      <c r="O2913" s="89"/>
      <c r="P2913" s="90"/>
      <c r="Q2913" s="133">
        <v>2488</v>
      </c>
      <c r="R2913" s="134"/>
      <c r="S2913" s="5" t="s">
        <v>16</v>
      </c>
      <c r="T2913" s="8">
        <v>2570</v>
      </c>
      <c r="U2913" s="8">
        <v>6</v>
      </c>
      <c r="V2913" s="5" t="s">
        <v>23</v>
      </c>
      <c r="W2913" s="12">
        <v>14987966</v>
      </c>
      <c r="X2913" s="6"/>
      <c r="Y2913" s="6"/>
    </row>
    <row r="2914" spans="1:25" ht="15" customHeight="1" x14ac:dyDescent="0.2">
      <c r="A2914" s="88" t="s">
        <v>3384</v>
      </c>
      <c r="B2914" s="90"/>
      <c r="C2914" s="88" t="s">
        <v>3497</v>
      </c>
      <c r="D2914" s="90"/>
      <c r="E2914" s="88" t="s">
        <v>3498</v>
      </c>
      <c r="F2914" s="89"/>
      <c r="G2914" s="89"/>
      <c r="H2914" s="89"/>
      <c r="I2914" s="90"/>
      <c r="J2914" s="88" t="s">
        <v>2319</v>
      </c>
      <c r="K2914" s="89"/>
      <c r="L2914" s="89"/>
      <c r="M2914" s="90"/>
      <c r="N2914" s="88" t="s">
        <v>26</v>
      </c>
      <c r="O2914" s="89"/>
      <c r="P2914" s="90"/>
      <c r="Q2914" s="133">
        <v>3283</v>
      </c>
      <c r="R2914" s="134"/>
      <c r="S2914" s="5" t="s">
        <v>16</v>
      </c>
      <c r="T2914" s="8">
        <v>2330</v>
      </c>
      <c r="U2914" s="8">
        <v>6</v>
      </c>
      <c r="V2914" s="5" t="s">
        <v>106</v>
      </c>
      <c r="W2914" s="12">
        <v>11849636</v>
      </c>
      <c r="X2914" s="6"/>
      <c r="Y2914" s="6"/>
    </row>
    <row r="2915" spans="1:25" ht="15" customHeight="1" x14ac:dyDescent="0.2">
      <c r="A2915" s="88" t="s">
        <v>3384</v>
      </c>
      <c r="B2915" s="90"/>
      <c r="C2915" s="88" t="s">
        <v>3499</v>
      </c>
      <c r="D2915" s="90"/>
      <c r="E2915" s="88" t="s">
        <v>3500</v>
      </c>
      <c r="F2915" s="89"/>
      <c r="G2915" s="89"/>
      <c r="H2915" s="89"/>
      <c r="I2915" s="90"/>
      <c r="J2915" s="88" t="s">
        <v>2319</v>
      </c>
      <c r="K2915" s="89"/>
      <c r="L2915" s="89"/>
      <c r="M2915" s="90"/>
      <c r="N2915" s="88" t="s">
        <v>701</v>
      </c>
      <c r="O2915" s="89"/>
      <c r="P2915" s="90"/>
      <c r="Q2915" s="133">
        <v>3283</v>
      </c>
      <c r="R2915" s="134"/>
      <c r="S2915" s="5" t="s">
        <v>16</v>
      </c>
      <c r="T2915" s="8">
        <v>2420</v>
      </c>
      <c r="U2915" s="8">
        <v>6</v>
      </c>
      <c r="V2915" s="5" t="s">
        <v>106</v>
      </c>
      <c r="W2915" s="12">
        <v>13562084</v>
      </c>
      <c r="X2915" s="6"/>
      <c r="Y2915" s="6"/>
    </row>
    <row r="2916" spans="1:25" ht="15" customHeight="1" x14ac:dyDescent="0.2">
      <c r="A2916" s="88" t="s">
        <v>3384</v>
      </c>
      <c r="B2916" s="90"/>
      <c r="C2916" s="88" t="s">
        <v>3501</v>
      </c>
      <c r="D2916" s="90"/>
      <c r="E2916" s="88" t="s">
        <v>3435</v>
      </c>
      <c r="F2916" s="89"/>
      <c r="G2916" s="89"/>
      <c r="H2916" s="89"/>
      <c r="I2916" s="90"/>
      <c r="J2916" s="88" t="s">
        <v>2179</v>
      </c>
      <c r="K2916" s="89"/>
      <c r="L2916" s="89"/>
      <c r="M2916" s="90"/>
      <c r="N2916" s="88" t="s">
        <v>26</v>
      </c>
      <c r="O2916" s="89"/>
      <c r="P2916" s="90"/>
      <c r="Q2916" s="133">
        <v>1756</v>
      </c>
      <c r="R2916" s="134"/>
      <c r="S2916" s="5" t="s">
        <v>16</v>
      </c>
      <c r="T2916" s="8">
        <v>1575</v>
      </c>
      <c r="U2916" s="8">
        <v>5</v>
      </c>
      <c r="V2916" s="5" t="s">
        <v>106</v>
      </c>
      <c r="W2916" s="12">
        <v>5525925</v>
      </c>
      <c r="X2916" s="6"/>
      <c r="Y2916" s="6"/>
    </row>
    <row r="2917" spans="1:25" ht="15" customHeight="1" x14ac:dyDescent="0.2">
      <c r="A2917" s="88" t="s">
        <v>3384</v>
      </c>
      <c r="B2917" s="90"/>
      <c r="C2917" s="88" t="s">
        <v>3502</v>
      </c>
      <c r="D2917" s="90"/>
      <c r="E2917" s="88" t="s">
        <v>3503</v>
      </c>
      <c r="F2917" s="89"/>
      <c r="G2917" s="89"/>
      <c r="H2917" s="89"/>
      <c r="I2917" s="90"/>
      <c r="J2917" s="88" t="s">
        <v>2179</v>
      </c>
      <c r="K2917" s="89"/>
      <c r="L2917" s="89"/>
      <c r="M2917" s="90"/>
      <c r="N2917" s="88" t="s">
        <v>26</v>
      </c>
      <c r="O2917" s="89"/>
      <c r="P2917" s="90"/>
      <c r="Q2917" s="133">
        <v>1298</v>
      </c>
      <c r="R2917" s="134"/>
      <c r="S2917" s="5" t="s">
        <v>27</v>
      </c>
      <c r="T2917" s="8">
        <v>1335</v>
      </c>
      <c r="U2917" s="8">
        <v>5</v>
      </c>
      <c r="V2917" s="5" t="s">
        <v>23</v>
      </c>
      <c r="W2917" s="12">
        <v>3102531</v>
      </c>
      <c r="X2917" s="6"/>
      <c r="Y2917" s="6"/>
    </row>
    <row r="2918" spans="1:25" ht="15" customHeight="1" x14ac:dyDescent="0.2">
      <c r="A2918" s="88" t="s">
        <v>3384</v>
      </c>
      <c r="B2918" s="90"/>
      <c r="C2918" s="88" t="s">
        <v>3504</v>
      </c>
      <c r="D2918" s="90"/>
      <c r="E2918" s="88" t="s">
        <v>3503</v>
      </c>
      <c r="F2918" s="89"/>
      <c r="G2918" s="89"/>
      <c r="H2918" s="89"/>
      <c r="I2918" s="90"/>
      <c r="J2918" s="88" t="s">
        <v>2179</v>
      </c>
      <c r="K2918" s="89"/>
      <c r="L2918" s="89"/>
      <c r="M2918" s="90"/>
      <c r="N2918" s="88" t="s">
        <v>26</v>
      </c>
      <c r="O2918" s="89"/>
      <c r="P2918" s="90"/>
      <c r="Q2918" s="133">
        <v>1298</v>
      </c>
      <c r="R2918" s="134"/>
      <c r="S2918" s="5" t="s">
        <v>27</v>
      </c>
      <c r="T2918" s="8">
        <v>1315</v>
      </c>
      <c r="U2918" s="8">
        <v>5</v>
      </c>
      <c r="V2918" s="5" t="s">
        <v>23</v>
      </c>
      <c r="W2918" s="12">
        <v>3292828</v>
      </c>
      <c r="X2918" s="6"/>
      <c r="Y2918" s="6"/>
    </row>
    <row r="2919" spans="1:25" ht="15" customHeight="1" x14ac:dyDescent="0.2">
      <c r="A2919" s="88" t="s">
        <v>3384</v>
      </c>
      <c r="B2919" s="90"/>
      <c r="C2919" s="88" t="s">
        <v>3505</v>
      </c>
      <c r="D2919" s="90"/>
      <c r="E2919" s="88" t="s">
        <v>3506</v>
      </c>
      <c r="F2919" s="89"/>
      <c r="G2919" s="89"/>
      <c r="H2919" s="89"/>
      <c r="I2919" s="90"/>
      <c r="J2919" s="88" t="s">
        <v>2179</v>
      </c>
      <c r="K2919" s="89"/>
      <c r="L2919" s="89"/>
      <c r="M2919" s="90"/>
      <c r="N2919" s="88" t="s">
        <v>26</v>
      </c>
      <c r="O2919" s="89"/>
      <c r="P2919" s="90"/>
      <c r="Q2919" s="133">
        <v>1496</v>
      </c>
      <c r="R2919" s="134"/>
      <c r="S2919" s="5" t="s">
        <v>27</v>
      </c>
      <c r="T2919" s="8">
        <v>1335</v>
      </c>
      <c r="U2919" s="8">
        <v>5</v>
      </c>
      <c r="V2919" s="5" t="s">
        <v>23</v>
      </c>
      <c r="W2919" s="12">
        <v>3393835</v>
      </c>
      <c r="X2919" s="6"/>
      <c r="Y2919" s="6"/>
    </row>
    <row r="2920" spans="1:25" ht="15" customHeight="1" x14ac:dyDescent="0.2">
      <c r="A2920" s="88" t="s">
        <v>3384</v>
      </c>
      <c r="B2920" s="90"/>
      <c r="C2920" s="88" t="s">
        <v>3507</v>
      </c>
      <c r="D2920" s="90"/>
      <c r="E2920" s="88" t="s">
        <v>3508</v>
      </c>
      <c r="F2920" s="89"/>
      <c r="G2920" s="89"/>
      <c r="H2920" s="89"/>
      <c r="I2920" s="90"/>
      <c r="J2920" s="88" t="s">
        <v>2179</v>
      </c>
      <c r="K2920" s="89"/>
      <c r="L2920" s="89"/>
      <c r="M2920" s="90"/>
      <c r="N2920" s="88" t="s">
        <v>26</v>
      </c>
      <c r="O2920" s="89"/>
      <c r="P2920" s="90"/>
      <c r="Q2920" s="133">
        <v>1498</v>
      </c>
      <c r="R2920" s="134"/>
      <c r="S2920" s="5" t="s">
        <v>27</v>
      </c>
      <c r="T2920" s="8">
        <v>1405</v>
      </c>
      <c r="U2920" s="8">
        <v>5</v>
      </c>
      <c r="V2920" s="5" t="s">
        <v>106</v>
      </c>
      <c r="W2920" s="12">
        <v>3818065</v>
      </c>
      <c r="X2920" s="6"/>
      <c r="Y2920" s="6"/>
    </row>
    <row r="2921" spans="1:25" ht="15" customHeight="1" x14ac:dyDescent="0.2">
      <c r="A2921" s="88" t="s">
        <v>3384</v>
      </c>
      <c r="B2921" s="90"/>
      <c r="C2921" s="88" t="s">
        <v>3509</v>
      </c>
      <c r="D2921" s="90"/>
      <c r="E2921" s="88" t="s">
        <v>3510</v>
      </c>
      <c r="F2921" s="89"/>
      <c r="G2921" s="89"/>
      <c r="H2921" s="89"/>
      <c r="I2921" s="90"/>
      <c r="J2921" s="88" t="s">
        <v>770</v>
      </c>
      <c r="K2921" s="89"/>
      <c r="L2921" s="89"/>
      <c r="M2921" s="90"/>
      <c r="N2921" s="88" t="s">
        <v>26</v>
      </c>
      <c r="O2921" s="89"/>
      <c r="P2921" s="90"/>
      <c r="Q2921" s="133">
        <v>1496</v>
      </c>
      <c r="R2921" s="134"/>
      <c r="S2921" s="5" t="s">
        <v>814</v>
      </c>
      <c r="T2921" s="8">
        <v>1620</v>
      </c>
      <c r="U2921" s="8">
        <v>5</v>
      </c>
      <c r="V2921" s="5" t="s">
        <v>23</v>
      </c>
      <c r="W2921" s="12">
        <v>4188760</v>
      </c>
      <c r="X2921" s="6"/>
      <c r="Y2921" s="6"/>
    </row>
    <row r="2922" spans="1:25" ht="15" customHeight="1" x14ac:dyDescent="0.2">
      <c r="A2922" s="88" t="s">
        <v>3384</v>
      </c>
      <c r="B2922" s="90"/>
      <c r="C2922" s="88" t="s">
        <v>3509</v>
      </c>
      <c r="D2922" s="90"/>
      <c r="E2922" s="88" t="s">
        <v>3511</v>
      </c>
      <c r="F2922" s="89"/>
      <c r="G2922" s="89"/>
      <c r="H2922" s="89"/>
      <c r="I2922" s="90"/>
      <c r="J2922" s="88" t="s">
        <v>770</v>
      </c>
      <c r="K2922" s="89"/>
      <c r="L2922" s="89"/>
      <c r="M2922" s="90"/>
      <c r="N2922" s="88" t="s">
        <v>26</v>
      </c>
      <c r="O2922" s="89"/>
      <c r="P2922" s="90"/>
      <c r="Q2922" s="133">
        <v>1496</v>
      </c>
      <c r="R2922" s="134"/>
      <c r="S2922" s="5" t="s">
        <v>814</v>
      </c>
      <c r="T2922" s="8">
        <v>1600</v>
      </c>
      <c r="U2922" s="8">
        <v>5</v>
      </c>
      <c r="V2922" s="5" t="s">
        <v>106</v>
      </c>
      <c r="W2922" s="12">
        <v>3183741</v>
      </c>
      <c r="X2922" s="6"/>
      <c r="Y2922" s="6"/>
    </row>
    <row r="2923" spans="1:25" ht="15" customHeight="1" x14ac:dyDescent="0.2">
      <c r="A2923" s="88" t="s">
        <v>3384</v>
      </c>
      <c r="B2923" s="90"/>
      <c r="C2923" s="88" t="s">
        <v>3509</v>
      </c>
      <c r="D2923" s="90"/>
      <c r="E2923" s="88" t="s">
        <v>3512</v>
      </c>
      <c r="F2923" s="89"/>
      <c r="G2923" s="89"/>
      <c r="H2923" s="89"/>
      <c r="I2923" s="90"/>
      <c r="J2923" s="88" t="s">
        <v>770</v>
      </c>
      <c r="K2923" s="89"/>
      <c r="L2923" s="89"/>
      <c r="M2923" s="90"/>
      <c r="N2923" s="88" t="s">
        <v>26</v>
      </c>
      <c r="O2923" s="89"/>
      <c r="P2923" s="90"/>
      <c r="Q2923" s="133">
        <v>1496</v>
      </c>
      <c r="R2923" s="134"/>
      <c r="S2923" s="5" t="s">
        <v>814</v>
      </c>
      <c r="T2923" s="8">
        <v>1600</v>
      </c>
      <c r="U2923" s="8">
        <v>5</v>
      </c>
      <c r="V2923" s="5" t="s">
        <v>23</v>
      </c>
      <c r="W2923" s="12">
        <v>3502115</v>
      </c>
      <c r="X2923" s="6"/>
      <c r="Y2923" s="6"/>
    </row>
    <row r="2924" spans="1:25" ht="15" customHeight="1" x14ac:dyDescent="0.2">
      <c r="A2924" s="88" t="s">
        <v>3384</v>
      </c>
      <c r="B2924" s="90"/>
      <c r="C2924" s="88" t="s">
        <v>3513</v>
      </c>
      <c r="D2924" s="90"/>
      <c r="E2924" s="88" t="s">
        <v>3514</v>
      </c>
      <c r="F2924" s="89"/>
      <c r="G2924" s="89"/>
      <c r="H2924" s="89"/>
      <c r="I2924" s="90"/>
      <c r="J2924" s="88" t="s">
        <v>770</v>
      </c>
      <c r="K2924" s="89"/>
      <c r="L2924" s="89"/>
      <c r="M2924" s="90"/>
      <c r="N2924" s="88" t="s">
        <v>701</v>
      </c>
      <c r="O2924" s="89"/>
      <c r="P2924" s="90"/>
      <c r="Q2924" s="133">
        <v>658</v>
      </c>
      <c r="R2924" s="134"/>
      <c r="S2924" s="5" t="s">
        <v>70</v>
      </c>
      <c r="T2924" s="8">
        <v>1110</v>
      </c>
      <c r="U2924" s="8">
        <v>4</v>
      </c>
      <c r="V2924" s="5" t="s">
        <v>23</v>
      </c>
      <c r="W2924" s="12">
        <v>3688776</v>
      </c>
      <c r="X2924" s="6"/>
      <c r="Y2924" s="6"/>
    </row>
    <row r="2925" spans="1:25" ht="15" customHeight="1" x14ac:dyDescent="0.2">
      <c r="A2925" s="88" t="s">
        <v>3384</v>
      </c>
      <c r="B2925" s="90"/>
      <c r="C2925" s="88" t="s">
        <v>3513</v>
      </c>
      <c r="D2925" s="90"/>
      <c r="E2925" s="88" t="s">
        <v>3435</v>
      </c>
      <c r="F2925" s="89"/>
      <c r="G2925" s="89"/>
      <c r="H2925" s="89"/>
      <c r="I2925" s="90"/>
      <c r="J2925" s="88" t="s">
        <v>770</v>
      </c>
      <c r="K2925" s="89"/>
      <c r="L2925" s="89"/>
      <c r="M2925" s="90"/>
      <c r="N2925" s="88" t="s">
        <v>701</v>
      </c>
      <c r="O2925" s="89"/>
      <c r="P2925" s="90"/>
      <c r="Q2925" s="133">
        <v>658</v>
      </c>
      <c r="R2925" s="134"/>
      <c r="S2925" s="5" t="s">
        <v>70</v>
      </c>
      <c r="T2925" s="8">
        <v>1100</v>
      </c>
      <c r="U2925" s="8">
        <v>4</v>
      </c>
      <c r="V2925" s="5" t="s">
        <v>23</v>
      </c>
      <c r="W2925" s="12">
        <v>3635444</v>
      </c>
      <c r="X2925" s="6"/>
      <c r="Y2925" s="6"/>
    </row>
    <row r="2926" spans="1:25" ht="15" customHeight="1" x14ac:dyDescent="0.2">
      <c r="A2926" s="88" t="s">
        <v>3384</v>
      </c>
      <c r="B2926" s="90"/>
      <c r="C2926" s="88" t="s">
        <v>3515</v>
      </c>
      <c r="D2926" s="90"/>
      <c r="E2926" s="88" t="s">
        <v>3516</v>
      </c>
      <c r="F2926" s="89"/>
      <c r="G2926" s="89"/>
      <c r="H2926" s="89"/>
      <c r="I2926" s="90"/>
      <c r="J2926" s="88" t="s">
        <v>770</v>
      </c>
      <c r="K2926" s="89"/>
      <c r="L2926" s="89"/>
      <c r="M2926" s="90"/>
      <c r="N2926" s="88" t="s">
        <v>701</v>
      </c>
      <c r="O2926" s="89"/>
      <c r="P2926" s="90"/>
      <c r="Q2926" s="133">
        <v>658</v>
      </c>
      <c r="R2926" s="134"/>
      <c r="S2926" s="5" t="s">
        <v>70</v>
      </c>
      <c r="T2926" s="8">
        <v>1090</v>
      </c>
      <c r="U2926" s="8">
        <v>4</v>
      </c>
      <c r="V2926" s="5" t="s">
        <v>23</v>
      </c>
      <c r="W2926" s="12">
        <v>3151418</v>
      </c>
      <c r="X2926" s="6"/>
      <c r="Y2926" s="6"/>
    </row>
    <row r="2927" spans="1:25" ht="15" customHeight="1" x14ac:dyDescent="0.2">
      <c r="A2927" s="88" t="s">
        <v>3384</v>
      </c>
      <c r="B2927" s="90"/>
      <c r="C2927" s="88" t="s">
        <v>3515</v>
      </c>
      <c r="D2927" s="90"/>
      <c r="E2927" s="88" t="s">
        <v>3516</v>
      </c>
      <c r="F2927" s="89"/>
      <c r="G2927" s="89"/>
      <c r="H2927" s="89"/>
      <c r="I2927" s="90"/>
      <c r="J2927" s="88" t="s">
        <v>770</v>
      </c>
      <c r="K2927" s="89"/>
      <c r="L2927" s="89"/>
      <c r="M2927" s="90"/>
      <c r="N2927" s="88" t="s">
        <v>701</v>
      </c>
      <c r="O2927" s="89"/>
      <c r="P2927" s="90"/>
      <c r="Q2927" s="133">
        <v>658</v>
      </c>
      <c r="R2927" s="134"/>
      <c r="S2927" s="5" t="s">
        <v>70</v>
      </c>
      <c r="T2927" s="8">
        <v>1090</v>
      </c>
      <c r="U2927" s="8">
        <v>4</v>
      </c>
      <c r="V2927" s="5" t="s">
        <v>23</v>
      </c>
      <c r="W2927" s="12">
        <v>3151418</v>
      </c>
      <c r="X2927" s="6"/>
      <c r="Y2927" s="6"/>
    </row>
    <row r="2928" spans="1:25" ht="15" customHeight="1" x14ac:dyDescent="0.2">
      <c r="A2928" s="88" t="s">
        <v>3384</v>
      </c>
      <c r="B2928" s="90"/>
      <c r="C2928" s="88" t="s">
        <v>3517</v>
      </c>
      <c r="D2928" s="90"/>
      <c r="E2928" s="88" t="s">
        <v>3518</v>
      </c>
      <c r="F2928" s="89"/>
      <c r="G2928" s="89"/>
      <c r="H2928" s="89"/>
      <c r="I2928" s="90"/>
      <c r="J2928" s="88" t="s">
        <v>770</v>
      </c>
      <c r="K2928" s="89"/>
      <c r="L2928" s="89"/>
      <c r="M2928" s="90"/>
      <c r="N2928" s="88" t="s">
        <v>26</v>
      </c>
      <c r="O2928" s="89"/>
      <c r="P2928" s="90"/>
      <c r="Q2928" s="133">
        <v>657</v>
      </c>
      <c r="R2928" s="134"/>
      <c r="S2928" s="5" t="s">
        <v>70</v>
      </c>
      <c r="T2928" s="8">
        <v>1165</v>
      </c>
      <c r="U2928" s="8">
        <v>4</v>
      </c>
      <c r="V2928" s="5" t="s">
        <v>23</v>
      </c>
      <c r="W2928" s="12">
        <v>3953212</v>
      </c>
      <c r="X2928" s="6"/>
      <c r="Y2928" s="6"/>
    </row>
    <row r="2929" spans="1:25" ht="15" customHeight="1" x14ac:dyDescent="0.2">
      <c r="A2929" s="88" t="s">
        <v>3384</v>
      </c>
      <c r="B2929" s="90"/>
      <c r="C2929" s="88" t="s">
        <v>3519</v>
      </c>
      <c r="D2929" s="90"/>
      <c r="E2929" s="88" t="s">
        <v>3520</v>
      </c>
      <c r="F2929" s="89"/>
      <c r="G2929" s="89"/>
      <c r="H2929" s="89"/>
      <c r="I2929" s="90"/>
      <c r="J2929" s="88" t="s">
        <v>770</v>
      </c>
      <c r="K2929" s="89"/>
      <c r="L2929" s="89"/>
      <c r="M2929" s="90"/>
      <c r="N2929" s="88" t="s">
        <v>26</v>
      </c>
      <c r="O2929" s="89"/>
      <c r="P2929" s="90"/>
      <c r="Q2929" s="133">
        <v>658</v>
      </c>
      <c r="R2929" s="134"/>
      <c r="S2929" s="5" t="s">
        <v>70</v>
      </c>
      <c r="T2929" s="8">
        <v>1100</v>
      </c>
      <c r="U2929" s="8">
        <v>4</v>
      </c>
      <c r="V2929" s="5" t="s">
        <v>23</v>
      </c>
      <c r="W2929" s="12">
        <v>3240305</v>
      </c>
      <c r="X2929" s="6"/>
      <c r="Y2929" s="6"/>
    </row>
    <row r="2930" spans="1:25" ht="15" customHeight="1" x14ac:dyDescent="0.2">
      <c r="A2930" s="88" t="s">
        <v>3384</v>
      </c>
      <c r="B2930" s="90"/>
      <c r="C2930" s="88" t="s">
        <v>3521</v>
      </c>
      <c r="D2930" s="90"/>
      <c r="E2930" s="88" t="s">
        <v>3522</v>
      </c>
      <c r="F2930" s="89"/>
      <c r="G2930" s="89"/>
      <c r="H2930" s="89"/>
      <c r="I2930" s="90"/>
      <c r="J2930" s="88" t="s">
        <v>770</v>
      </c>
      <c r="K2930" s="89"/>
      <c r="L2930" s="89"/>
      <c r="M2930" s="90"/>
      <c r="N2930" s="88" t="s">
        <v>26</v>
      </c>
      <c r="O2930" s="89"/>
      <c r="P2930" s="90"/>
      <c r="Q2930" s="133">
        <v>657</v>
      </c>
      <c r="R2930" s="134"/>
      <c r="S2930" s="5" t="s">
        <v>70</v>
      </c>
      <c r="T2930" s="8">
        <v>1010</v>
      </c>
      <c r="U2930" s="8">
        <v>4</v>
      </c>
      <c r="V2930" s="5" t="s">
        <v>23</v>
      </c>
      <c r="W2930" s="12">
        <v>3297677</v>
      </c>
      <c r="X2930" s="6"/>
      <c r="Y2930" s="6"/>
    </row>
    <row r="2931" spans="1:25" ht="15" customHeight="1" x14ac:dyDescent="0.2">
      <c r="A2931" s="88" t="s">
        <v>3384</v>
      </c>
      <c r="B2931" s="90"/>
      <c r="C2931" s="88" t="s">
        <v>3521</v>
      </c>
      <c r="D2931" s="90"/>
      <c r="E2931" s="88" t="s">
        <v>3523</v>
      </c>
      <c r="F2931" s="89"/>
      <c r="G2931" s="89"/>
      <c r="H2931" s="89"/>
      <c r="I2931" s="90"/>
      <c r="J2931" s="88" t="s">
        <v>770</v>
      </c>
      <c r="K2931" s="89"/>
      <c r="L2931" s="89"/>
      <c r="M2931" s="90"/>
      <c r="N2931" s="88" t="s">
        <v>26</v>
      </c>
      <c r="O2931" s="89"/>
      <c r="P2931" s="90"/>
      <c r="Q2931" s="133">
        <v>658</v>
      </c>
      <c r="R2931" s="134"/>
      <c r="S2931" s="5" t="s">
        <v>70</v>
      </c>
      <c r="T2931" s="8">
        <v>1010</v>
      </c>
      <c r="U2931" s="8">
        <v>4</v>
      </c>
      <c r="V2931" s="5" t="s">
        <v>23</v>
      </c>
      <c r="W2931" s="12">
        <v>2636283</v>
      </c>
      <c r="X2931" s="6"/>
      <c r="Y2931" s="6"/>
    </row>
    <row r="2932" spans="1:25" ht="15" customHeight="1" x14ac:dyDescent="0.2">
      <c r="A2932" s="88" t="s">
        <v>3384</v>
      </c>
      <c r="B2932" s="90"/>
      <c r="C2932" s="88" t="s">
        <v>3521</v>
      </c>
      <c r="D2932" s="90"/>
      <c r="E2932" s="88" t="s">
        <v>3523</v>
      </c>
      <c r="F2932" s="89"/>
      <c r="G2932" s="89"/>
      <c r="H2932" s="89"/>
      <c r="I2932" s="90"/>
      <c r="J2932" s="88" t="s">
        <v>770</v>
      </c>
      <c r="K2932" s="89"/>
      <c r="L2932" s="89"/>
      <c r="M2932" s="90"/>
      <c r="N2932" s="88" t="s">
        <v>26</v>
      </c>
      <c r="O2932" s="89"/>
      <c r="P2932" s="90"/>
      <c r="Q2932" s="133">
        <v>658</v>
      </c>
      <c r="R2932" s="134"/>
      <c r="S2932" s="5" t="s">
        <v>70</v>
      </c>
      <c r="T2932" s="8">
        <v>1010</v>
      </c>
      <c r="U2932" s="8">
        <v>4</v>
      </c>
      <c r="V2932" s="5" t="s">
        <v>23</v>
      </c>
      <c r="W2932" s="12">
        <v>2636283</v>
      </c>
      <c r="X2932" s="6"/>
      <c r="Y2932" s="6"/>
    </row>
    <row r="2933" spans="1:25" ht="15" customHeight="1" x14ac:dyDescent="0.2">
      <c r="A2933" s="88" t="s">
        <v>3384</v>
      </c>
      <c r="B2933" s="90"/>
      <c r="C2933" s="88" t="s">
        <v>3524</v>
      </c>
      <c r="D2933" s="90"/>
      <c r="E2933" s="88" t="s">
        <v>3386</v>
      </c>
      <c r="F2933" s="89"/>
      <c r="G2933" s="89"/>
      <c r="H2933" s="89"/>
      <c r="I2933" s="90"/>
      <c r="J2933" s="88" t="s">
        <v>770</v>
      </c>
      <c r="K2933" s="89"/>
      <c r="L2933" s="89"/>
      <c r="M2933" s="90"/>
      <c r="N2933" s="88" t="s">
        <v>26</v>
      </c>
      <c r="O2933" s="89"/>
      <c r="P2933" s="90"/>
      <c r="Q2933" s="133">
        <v>658</v>
      </c>
      <c r="R2933" s="134"/>
      <c r="S2933" s="5" t="s">
        <v>70</v>
      </c>
      <c r="T2933" s="8">
        <v>1110</v>
      </c>
      <c r="U2933" s="8">
        <v>4</v>
      </c>
      <c r="V2933" s="5" t="s">
        <v>23</v>
      </c>
      <c r="W2933" s="12">
        <v>3748774</v>
      </c>
      <c r="X2933" s="6"/>
      <c r="Y2933" s="6"/>
    </row>
    <row r="2934" spans="1:25" ht="15" customHeight="1" x14ac:dyDescent="0.2">
      <c r="A2934" s="88" t="s">
        <v>3384</v>
      </c>
      <c r="B2934" s="90"/>
      <c r="C2934" s="88" t="s">
        <v>3525</v>
      </c>
      <c r="D2934" s="90"/>
      <c r="E2934" s="88" t="s">
        <v>3526</v>
      </c>
      <c r="F2934" s="89"/>
      <c r="G2934" s="89"/>
      <c r="H2934" s="89"/>
      <c r="I2934" s="90"/>
      <c r="J2934" s="88" t="s">
        <v>770</v>
      </c>
      <c r="K2934" s="89"/>
      <c r="L2934" s="89"/>
      <c r="M2934" s="90"/>
      <c r="N2934" s="88" t="s">
        <v>26</v>
      </c>
      <c r="O2934" s="89"/>
      <c r="P2934" s="90"/>
      <c r="Q2934" s="133">
        <v>658</v>
      </c>
      <c r="R2934" s="134"/>
      <c r="S2934" s="5" t="s">
        <v>70</v>
      </c>
      <c r="T2934" s="8">
        <v>1120</v>
      </c>
      <c r="U2934" s="8">
        <v>4</v>
      </c>
      <c r="V2934" s="5" t="s">
        <v>23</v>
      </c>
      <c r="W2934" s="12">
        <v>3500903</v>
      </c>
      <c r="X2934" s="6"/>
      <c r="Y2934" s="6"/>
    </row>
    <row r="2935" spans="1:25" ht="15" customHeight="1" x14ac:dyDescent="0.2">
      <c r="A2935" s="88" t="s">
        <v>3384</v>
      </c>
      <c r="B2935" s="90"/>
      <c r="C2935" s="88" t="s">
        <v>3525</v>
      </c>
      <c r="D2935" s="90"/>
      <c r="E2935" s="88" t="s">
        <v>3386</v>
      </c>
      <c r="F2935" s="89"/>
      <c r="G2935" s="89"/>
      <c r="H2935" s="89"/>
      <c r="I2935" s="90"/>
      <c r="J2935" s="88" t="s">
        <v>887</v>
      </c>
      <c r="K2935" s="89"/>
      <c r="L2935" s="89"/>
      <c r="M2935" s="90"/>
      <c r="N2935" s="88" t="s">
        <v>26</v>
      </c>
      <c r="O2935" s="89"/>
      <c r="P2935" s="90"/>
      <c r="Q2935" s="133">
        <v>658</v>
      </c>
      <c r="R2935" s="134"/>
      <c r="S2935" s="5" t="s">
        <v>70</v>
      </c>
      <c r="T2935" s="8">
        <v>1120</v>
      </c>
      <c r="U2935" s="8">
        <v>4</v>
      </c>
      <c r="V2935" s="5" t="s">
        <v>23</v>
      </c>
      <c r="W2935" s="12">
        <v>3529185</v>
      </c>
      <c r="X2935" s="6"/>
      <c r="Y2935" s="6"/>
    </row>
    <row r="2936" spans="1:25" ht="15" customHeight="1" x14ac:dyDescent="0.2">
      <c r="A2936" s="88" t="s">
        <v>3384</v>
      </c>
      <c r="B2936" s="90"/>
      <c r="C2936" s="88" t="s">
        <v>3527</v>
      </c>
      <c r="D2936" s="90"/>
      <c r="E2936" s="88" t="s">
        <v>3528</v>
      </c>
      <c r="F2936" s="89"/>
      <c r="G2936" s="89"/>
      <c r="H2936" s="89"/>
      <c r="I2936" s="90"/>
      <c r="J2936" s="88" t="s">
        <v>770</v>
      </c>
      <c r="K2936" s="89"/>
      <c r="L2936" s="89"/>
      <c r="M2936" s="90"/>
      <c r="N2936" s="88" t="s">
        <v>26</v>
      </c>
      <c r="O2936" s="89"/>
      <c r="P2936" s="90"/>
      <c r="Q2936" s="133">
        <v>658</v>
      </c>
      <c r="R2936" s="134"/>
      <c r="S2936" s="5" t="s">
        <v>70</v>
      </c>
      <c r="T2936" s="8">
        <v>1130</v>
      </c>
      <c r="U2936" s="8">
        <v>4</v>
      </c>
      <c r="V2936" s="5" t="s">
        <v>23</v>
      </c>
      <c r="W2936" s="12">
        <v>4606525</v>
      </c>
      <c r="X2936" s="6"/>
      <c r="Y2936" s="6"/>
    </row>
    <row r="2937" spans="1:25" ht="15" customHeight="1" x14ac:dyDescent="0.2">
      <c r="A2937" s="88" t="s">
        <v>3384</v>
      </c>
      <c r="B2937" s="90"/>
      <c r="C2937" s="88" t="s">
        <v>3529</v>
      </c>
      <c r="D2937" s="90"/>
      <c r="E2937" s="88" t="s">
        <v>3530</v>
      </c>
      <c r="F2937" s="89"/>
      <c r="G2937" s="89"/>
      <c r="H2937" s="89"/>
      <c r="I2937" s="90"/>
      <c r="J2937" s="88" t="s">
        <v>770</v>
      </c>
      <c r="K2937" s="89"/>
      <c r="L2937" s="89"/>
      <c r="M2937" s="90"/>
      <c r="N2937" s="88" t="s">
        <v>26</v>
      </c>
      <c r="O2937" s="89"/>
      <c r="P2937" s="90"/>
      <c r="Q2937" s="133">
        <v>658</v>
      </c>
      <c r="R2937" s="134"/>
      <c r="S2937" s="5" t="s">
        <v>70</v>
      </c>
      <c r="T2937" s="8">
        <v>1130</v>
      </c>
      <c r="U2937" s="8">
        <v>4</v>
      </c>
      <c r="V2937" s="5" t="s">
        <v>23</v>
      </c>
      <c r="W2937" s="12">
        <v>3242325</v>
      </c>
      <c r="X2937" s="6"/>
      <c r="Y2937" s="6"/>
    </row>
    <row r="2938" spans="1:25" ht="15" customHeight="1" x14ac:dyDescent="0.2">
      <c r="A2938" s="88" t="s">
        <v>3384</v>
      </c>
      <c r="B2938" s="90"/>
      <c r="C2938" s="88" t="s">
        <v>3531</v>
      </c>
      <c r="D2938" s="90"/>
      <c r="E2938" s="88" t="s">
        <v>3532</v>
      </c>
      <c r="F2938" s="89"/>
      <c r="G2938" s="89"/>
      <c r="H2938" s="89"/>
      <c r="I2938" s="90"/>
      <c r="J2938" s="88" t="s">
        <v>770</v>
      </c>
      <c r="K2938" s="89"/>
      <c r="L2938" s="89"/>
      <c r="M2938" s="90"/>
      <c r="N2938" s="88" t="s">
        <v>26</v>
      </c>
      <c r="O2938" s="89"/>
      <c r="P2938" s="90"/>
      <c r="Q2938" s="133">
        <v>658</v>
      </c>
      <c r="R2938" s="134"/>
      <c r="S2938" s="5" t="s">
        <v>70</v>
      </c>
      <c r="T2938" s="8">
        <v>1130</v>
      </c>
      <c r="U2938" s="8">
        <v>4</v>
      </c>
      <c r="V2938" s="5" t="s">
        <v>23</v>
      </c>
      <c r="W2938" s="12">
        <v>3268587</v>
      </c>
      <c r="X2938" s="6"/>
      <c r="Y2938" s="6"/>
    </row>
    <row r="2939" spans="1:25" ht="15" customHeight="1" x14ac:dyDescent="0.2">
      <c r="A2939" s="88" t="s">
        <v>3384</v>
      </c>
      <c r="B2939" s="90"/>
      <c r="C2939" s="88" t="s">
        <v>3531</v>
      </c>
      <c r="D2939" s="90"/>
      <c r="E2939" s="88" t="s">
        <v>3526</v>
      </c>
      <c r="F2939" s="89"/>
      <c r="G2939" s="89"/>
      <c r="H2939" s="89"/>
      <c r="I2939" s="90"/>
      <c r="J2939" s="88" t="s">
        <v>770</v>
      </c>
      <c r="K2939" s="89"/>
      <c r="L2939" s="89"/>
      <c r="M2939" s="90"/>
      <c r="N2939" s="88" t="s">
        <v>26</v>
      </c>
      <c r="O2939" s="89"/>
      <c r="P2939" s="90"/>
      <c r="Q2939" s="133">
        <v>658</v>
      </c>
      <c r="R2939" s="134"/>
      <c r="S2939" s="5" t="s">
        <v>70</v>
      </c>
      <c r="T2939" s="8">
        <v>1130</v>
      </c>
      <c r="U2939" s="8">
        <v>4</v>
      </c>
      <c r="V2939" s="5" t="s">
        <v>23</v>
      </c>
      <c r="W2939" s="12">
        <v>3232224</v>
      </c>
      <c r="X2939" s="6"/>
      <c r="Y2939" s="6"/>
    </row>
    <row r="2940" spans="1:25" ht="15" customHeight="1" x14ac:dyDescent="0.2">
      <c r="A2940" s="88" t="s">
        <v>3384</v>
      </c>
      <c r="B2940" s="90"/>
      <c r="C2940" s="88" t="s">
        <v>3533</v>
      </c>
      <c r="D2940" s="90"/>
      <c r="E2940" s="88" t="s">
        <v>3532</v>
      </c>
      <c r="F2940" s="89"/>
      <c r="G2940" s="89"/>
      <c r="H2940" s="89"/>
      <c r="I2940" s="90"/>
      <c r="J2940" s="88" t="s">
        <v>770</v>
      </c>
      <c r="K2940" s="89"/>
      <c r="L2940" s="89"/>
      <c r="M2940" s="90"/>
      <c r="N2940" s="88" t="s">
        <v>26</v>
      </c>
      <c r="O2940" s="89"/>
      <c r="P2940" s="90"/>
      <c r="Q2940" s="133">
        <v>658</v>
      </c>
      <c r="R2940" s="134"/>
      <c r="S2940" s="5" t="s">
        <v>70</v>
      </c>
      <c r="T2940" s="8">
        <v>1090</v>
      </c>
      <c r="U2940" s="8">
        <v>4</v>
      </c>
      <c r="V2940" s="5" t="s">
        <v>23</v>
      </c>
      <c r="W2940" s="12">
        <v>3097683</v>
      </c>
      <c r="X2940" s="6"/>
      <c r="Y2940" s="6"/>
    </row>
    <row r="2941" spans="1:25" ht="15" customHeight="1" x14ac:dyDescent="0.2">
      <c r="A2941" s="88" t="s">
        <v>3384</v>
      </c>
      <c r="B2941" s="90"/>
      <c r="C2941" s="88" t="s">
        <v>3533</v>
      </c>
      <c r="D2941" s="90"/>
      <c r="E2941" s="88" t="s">
        <v>3526</v>
      </c>
      <c r="F2941" s="89"/>
      <c r="G2941" s="89"/>
      <c r="H2941" s="89"/>
      <c r="I2941" s="90"/>
      <c r="J2941" s="88" t="s">
        <v>770</v>
      </c>
      <c r="K2941" s="89"/>
      <c r="L2941" s="89"/>
      <c r="M2941" s="90"/>
      <c r="N2941" s="88" t="s">
        <v>26</v>
      </c>
      <c r="O2941" s="89"/>
      <c r="P2941" s="90"/>
      <c r="Q2941" s="133">
        <v>658</v>
      </c>
      <c r="R2941" s="134"/>
      <c r="S2941" s="5" t="s">
        <v>70</v>
      </c>
      <c r="T2941" s="8">
        <v>1090</v>
      </c>
      <c r="U2941" s="8">
        <v>4</v>
      </c>
      <c r="V2941" s="5" t="s">
        <v>23</v>
      </c>
      <c r="W2941" s="12">
        <v>2747390</v>
      </c>
      <c r="X2941" s="6"/>
      <c r="Y2941" s="6"/>
    </row>
    <row r="2942" spans="1:25" ht="15" customHeight="1" x14ac:dyDescent="0.2">
      <c r="A2942" s="88" t="s">
        <v>3384</v>
      </c>
      <c r="B2942" s="90"/>
      <c r="C2942" s="88" t="s">
        <v>3533</v>
      </c>
      <c r="D2942" s="90"/>
      <c r="E2942" s="88" t="s">
        <v>3522</v>
      </c>
      <c r="F2942" s="89"/>
      <c r="G2942" s="89"/>
      <c r="H2942" s="89"/>
      <c r="I2942" s="90"/>
      <c r="J2942" s="88" t="s">
        <v>770</v>
      </c>
      <c r="K2942" s="89"/>
      <c r="L2942" s="89"/>
      <c r="M2942" s="90"/>
      <c r="N2942" s="88" t="s">
        <v>26</v>
      </c>
      <c r="O2942" s="89"/>
      <c r="P2942" s="90"/>
      <c r="Q2942" s="133">
        <v>657</v>
      </c>
      <c r="R2942" s="134"/>
      <c r="S2942" s="5" t="s">
        <v>70</v>
      </c>
      <c r="T2942" s="8">
        <v>1010</v>
      </c>
      <c r="U2942" s="8">
        <v>4</v>
      </c>
      <c r="V2942" s="5" t="s">
        <v>23</v>
      </c>
      <c r="W2942" s="12">
        <v>2871023</v>
      </c>
      <c r="X2942" s="6"/>
      <c r="Y2942" s="6"/>
    </row>
    <row r="2943" spans="1:25" ht="15" customHeight="1" x14ac:dyDescent="0.2">
      <c r="A2943" s="88" t="s">
        <v>3384</v>
      </c>
      <c r="B2943" s="90"/>
      <c r="C2943" s="88" t="s">
        <v>3534</v>
      </c>
      <c r="D2943" s="90"/>
      <c r="E2943" s="88" t="s">
        <v>3386</v>
      </c>
      <c r="F2943" s="89"/>
      <c r="G2943" s="89"/>
      <c r="H2943" s="89"/>
      <c r="I2943" s="90"/>
      <c r="J2943" s="88" t="s">
        <v>770</v>
      </c>
      <c r="K2943" s="89"/>
      <c r="L2943" s="89"/>
      <c r="M2943" s="90"/>
      <c r="N2943" s="88" t="s">
        <v>26</v>
      </c>
      <c r="O2943" s="89"/>
      <c r="P2943" s="90"/>
      <c r="Q2943" s="133">
        <v>658</v>
      </c>
      <c r="R2943" s="134"/>
      <c r="S2943" s="5" t="s">
        <v>70</v>
      </c>
      <c r="T2943" s="8">
        <v>1120</v>
      </c>
      <c r="U2943" s="8">
        <v>4</v>
      </c>
      <c r="V2943" s="5" t="s">
        <v>23</v>
      </c>
      <c r="W2943" s="12">
        <v>3910991</v>
      </c>
      <c r="X2943" s="6"/>
      <c r="Y2943" s="6"/>
    </row>
    <row r="2944" spans="1:25" ht="15" customHeight="1" x14ac:dyDescent="0.2">
      <c r="A2944" s="88" t="s">
        <v>3384</v>
      </c>
      <c r="B2944" s="90"/>
      <c r="C2944" s="88" t="s">
        <v>3535</v>
      </c>
      <c r="D2944" s="90"/>
      <c r="E2944" s="88" t="s">
        <v>3386</v>
      </c>
      <c r="F2944" s="89"/>
      <c r="G2944" s="89"/>
      <c r="H2944" s="89"/>
      <c r="I2944" s="90"/>
      <c r="J2944" s="88" t="s">
        <v>770</v>
      </c>
      <c r="K2944" s="89"/>
      <c r="L2944" s="89"/>
      <c r="M2944" s="90"/>
      <c r="N2944" s="88" t="s">
        <v>26</v>
      </c>
      <c r="O2944" s="89"/>
      <c r="P2944" s="90"/>
      <c r="Q2944" s="133">
        <v>658</v>
      </c>
      <c r="R2944" s="134"/>
      <c r="S2944" s="5" t="s">
        <v>70</v>
      </c>
      <c r="T2944" s="8">
        <v>1110</v>
      </c>
      <c r="U2944" s="8">
        <v>4</v>
      </c>
      <c r="V2944" s="5" t="s">
        <v>23</v>
      </c>
      <c r="W2944" s="12">
        <v>3753824</v>
      </c>
      <c r="X2944" s="6"/>
      <c r="Y2944" s="6"/>
    </row>
    <row r="2945" spans="1:25" ht="15" customHeight="1" x14ac:dyDescent="0.2">
      <c r="A2945" s="88" t="s">
        <v>3384</v>
      </c>
      <c r="B2945" s="90"/>
      <c r="C2945" s="88" t="s">
        <v>3536</v>
      </c>
      <c r="D2945" s="90"/>
      <c r="E2945" s="88" t="s">
        <v>3526</v>
      </c>
      <c r="F2945" s="89"/>
      <c r="G2945" s="89"/>
      <c r="H2945" s="89"/>
      <c r="I2945" s="90"/>
      <c r="J2945" s="88" t="s">
        <v>770</v>
      </c>
      <c r="K2945" s="89"/>
      <c r="L2945" s="89"/>
      <c r="M2945" s="90"/>
      <c r="N2945" s="88" t="s">
        <v>26</v>
      </c>
      <c r="O2945" s="89"/>
      <c r="P2945" s="90"/>
      <c r="Q2945" s="133">
        <v>658</v>
      </c>
      <c r="R2945" s="134"/>
      <c r="S2945" s="5" t="s">
        <v>70</v>
      </c>
      <c r="T2945" s="8">
        <v>1110</v>
      </c>
      <c r="U2945" s="8">
        <v>4</v>
      </c>
      <c r="V2945" s="5" t="s">
        <v>23</v>
      </c>
      <c r="W2945" s="12">
        <v>3918132</v>
      </c>
      <c r="X2945" s="6"/>
      <c r="Y2945" s="6"/>
    </row>
    <row r="2946" spans="1:25" ht="15" customHeight="1" x14ac:dyDescent="0.2">
      <c r="A2946" s="88" t="s">
        <v>3384</v>
      </c>
      <c r="B2946" s="90"/>
      <c r="C2946" s="88" t="s">
        <v>3537</v>
      </c>
      <c r="D2946" s="90"/>
      <c r="E2946" s="88" t="s">
        <v>3538</v>
      </c>
      <c r="F2946" s="89"/>
      <c r="G2946" s="89"/>
      <c r="H2946" s="89"/>
      <c r="I2946" s="90"/>
      <c r="J2946" s="88" t="s">
        <v>770</v>
      </c>
      <c r="K2946" s="89"/>
      <c r="L2946" s="89"/>
      <c r="M2946" s="90"/>
      <c r="N2946" s="88" t="s">
        <v>26</v>
      </c>
      <c r="O2946" s="89"/>
      <c r="P2946" s="90"/>
      <c r="Q2946" s="133">
        <v>658</v>
      </c>
      <c r="R2946" s="134"/>
      <c r="S2946" s="5" t="s">
        <v>70</v>
      </c>
      <c r="T2946" s="8">
        <v>1100</v>
      </c>
      <c r="U2946" s="8">
        <v>4</v>
      </c>
      <c r="V2946" s="5" t="s">
        <v>23</v>
      </c>
      <c r="W2946" s="12">
        <v>3010009</v>
      </c>
      <c r="X2946" s="6"/>
      <c r="Y2946" s="6"/>
    </row>
    <row r="2947" spans="1:25" ht="15" customHeight="1" x14ac:dyDescent="0.2">
      <c r="A2947" s="88" t="s">
        <v>3384</v>
      </c>
      <c r="B2947" s="90"/>
      <c r="C2947" s="88" t="s">
        <v>3539</v>
      </c>
      <c r="D2947" s="90"/>
      <c r="E2947" s="88" t="s">
        <v>3540</v>
      </c>
      <c r="F2947" s="89"/>
      <c r="G2947" s="89"/>
      <c r="H2947" s="89"/>
      <c r="I2947" s="90"/>
      <c r="J2947" s="88" t="s">
        <v>770</v>
      </c>
      <c r="K2947" s="89"/>
      <c r="L2947" s="89"/>
      <c r="M2947" s="90"/>
      <c r="N2947" s="88" t="s">
        <v>26</v>
      </c>
      <c r="O2947" s="89"/>
      <c r="P2947" s="90"/>
      <c r="Q2947" s="133">
        <v>657</v>
      </c>
      <c r="R2947" s="134"/>
      <c r="S2947" s="5" t="s">
        <v>70</v>
      </c>
      <c r="T2947" s="8">
        <v>1130</v>
      </c>
      <c r="U2947" s="8">
        <v>4</v>
      </c>
      <c r="V2947" s="5" t="s">
        <v>23</v>
      </c>
      <c r="W2947" s="12">
        <v>3698876</v>
      </c>
      <c r="X2947" s="6"/>
      <c r="Y2947" s="6"/>
    </row>
    <row r="2948" spans="1:25" ht="15" customHeight="1" x14ac:dyDescent="0.2">
      <c r="A2948" s="88" t="s">
        <v>3384</v>
      </c>
      <c r="B2948" s="90"/>
      <c r="C2948" s="88" t="s">
        <v>3541</v>
      </c>
      <c r="D2948" s="90"/>
      <c r="E2948" s="88" t="s">
        <v>3386</v>
      </c>
      <c r="F2948" s="89"/>
      <c r="G2948" s="89"/>
      <c r="H2948" s="89"/>
      <c r="I2948" s="90"/>
      <c r="J2948" s="88" t="s">
        <v>26</v>
      </c>
      <c r="K2948" s="89"/>
      <c r="L2948" s="89"/>
      <c r="M2948" s="90"/>
      <c r="N2948" s="88" t="s">
        <v>770</v>
      </c>
      <c r="O2948" s="89"/>
      <c r="P2948" s="90"/>
      <c r="Q2948" s="133">
        <v>658</v>
      </c>
      <c r="R2948" s="134"/>
      <c r="S2948" s="5" t="s">
        <v>70</v>
      </c>
      <c r="T2948" s="8">
        <v>1120</v>
      </c>
      <c r="U2948" s="8">
        <v>4</v>
      </c>
      <c r="V2948" s="5" t="s">
        <v>23</v>
      </c>
      <c r="W2948" s="12">
        <v>3910991</v>
      </c>
      <c r="X2948" s="6"/>
      <c r="Y2948" s="6"/>
    </row>
    <row r="2949" spans="1:25" ht="15" customHeight="1" x14ac:dyDescent="0.2">
      <c r="A2949" s="88" t="s">
        <v>3384</v>
      </c>
      <c r="B2949" s="90"/>
      <c r="C2949" s="88" t="s">
        <v>3542</v>
      </c>
      <c r="D2949" s="90"/>
      <c r="E2949" s="88" t="s">
        <v>3532</v>
      </c>
      <c r="F2949" s="89"/>
      <c r="G2949" s="89"/>
      <c r="H2949" s="89"/>
      <c r="I2949" s="90"/>
      <c r="J2949" s="88" t="s">
        <v>26</v>
      </c>
      <c r="K2949" s="89"/>
      <c r="L2949" s="89"/>
      <c r="M2949" s="90"/>
      <c r="N2949" s="88" t="s">
        <v>770</v>
      </c>
      <c r="O2949" s="89"/>
      <c r="P2949" s="90"/>
      <c r="Q2949" s="133">
        <v>658</v>
      </c>
      <c r="R2949" s="134"/>
      <c r="S2949" s="5" t="s">
        <v>70</v>
      </c>
      <c r="T2949" s="5" t="s">
        <v>3543</v>
      </c>
      <c r="U2949" s="5" t="s">
        <v>3544</v>
      </c>
      <c r="V2949" s="5" t="s">
        <v>23</v>
      </c>
      <c r="W2949" s="12">
        <v>3268587</v>
      </c>
      <c r="X2949" s="6"/>
      <c r="Y2949" s="6"/>
    </row>
    <row r="2950" spans="1:25" ht="15" customHeight="1" x14ac:dyDescent="0.2">
      <c r="A2950" s="88" t="s">
        <v>3384</v>
      </c>
      <c r="B2950" s="90"/>
      <c r="C2950" s="88" t="s">
        <v>3545</v>
      </c>
      <c r="D2950" s="90"/>
      <c r="E2950" s="88" t="s">
        <v>3520</v>
      </c>
      <c r="F2950" s="89"/>
      <c r="G2950" s="89"/>
      <c r="H2950" s="89"/>
      <c r="I2950" s="90"/>
      <c r="J2950" s="88" t="s">
        <v>770</v>
      </c>
      <c r="K2950" s="89"/>
      <c r="L2950" s="89"/>
      <c r="M2950" s="90"/>
      <c r="N2950" s="88" t="s">
        <v>26</v>
      </c>
      <c r="O2950" s="89"/>
      <c r="P2950" s="90"/>
      <c r="Q2950" s="133">
        <v>658</v>
      </c>
      <c r="R2950" s="134"/>
      <c r="S2950" s="5" t="s">
        <v>70</v>
      </c>
      <c r="T2950" s="8">
        <v>1070</v>
      </c>
      <c r="U2950" s="8">
        <v>4</v>
      </c>
      <c r="V2950" s="5" t="s">
        <v>23</v>
      </c>
      <c r="W2950" s="12">
        <v>2747390</v>
      </c>
      <c r="X2950" s="6"/>
      <c r="Y2950" s="6"/>
    </row>
    <row r="2951" spans="1:25" ht="15" customHeight="1" x14ac:dyDescent="0.2">
      <c r="A2951" s="88" t="s">
        <v>3384</v>
      </c>
      <c r="B2951" s="90"/>
      <c r="C2951" s="88" t="s">
        <v>3546</v>
      </c>
      <c r="D2951" s="90"/>
      <c r="E2951" s="88" t="s">
        <v>3514</v>
      </c>
      <c r="F2951" s="89"/>
      <c r="G2951" s="89"/>
      <c r="H2951" s="89"/>
      <c r="I2951" s="90"/>
      <c r="J2951" s="88" t="s">
        <v>26</v>
      </c>
      <c r="K2951" s="89"/>
      <c r="L2951" s="89"/>
      <c r="M2951" s="90"/>
      <c r="N2951" s="88" t="s">
        <v>770</v>
      </c>
      <c r="O2951" s="89"/>
      <c r="P2951" s="90"/>
      <c r="Q2951" s="133">
        <v>658</v>
      </c>
      <c r="R2951" s="134"/>
      <c r="S2951" s="5" t="s">
        <v>70</v>
      </c>
      <c r="T2951" s="8">
        <v>1110</v>
      </c>
      <c r="U2951" s="8">
        <v>4</v>
      </c>
      <c r="V2951" s="5" t="s">
        <v>23</v>
      </c>
      <c r="W2951" s="12">
        <v>3688776</v>
      </c>
      <c r="X2951" s="6"/>
      <c r="Y2951" s="6"/>
    </row>
    <row r="2952" spans="1:25" ht="15" customHeight="1" x14ac:dyDescent="0.2">
      <c r="A2952" s="88" t="s">
        <v>3384</v>
      </c>
      <c r="B2952" s="90"/>
      <c r="C2952" s="88" t="s">
        <v>3547</v>
      </c>
      <c r="D2952" s="90"/>
      <c r="E2952" s="88" t="s">
        <v>3516</v>
      </c>
      <c r="F2952" s="89"/>
      <c r="G2952" s="89"/>
      <c r="H2952" s="89"/>
      <c r="I2952" s="90"/>
      <c r="J2952" s="106"/>
      <c r="K2952" s="107"/>
      <c r="L2952" s="107"/>
      <c r="M2952" s="108"/>
      <c r="N2952" s="88" t="s">
        <v>26</v>
      </c>
      <c r="O2952" s="89"/>
      <c r="P2952" s="90"/>
      <c r="Q2952" s="133">
        <v>658</v>
      </c>
      <c r="R2952" s="134"/>
      <c r="S2952" s="5" t="s">
        <v>70</v>
      </c>
      <c r="T2952" s="8">
        <v>1070</v>
      </c>
      <c r="U2952" s="8">
        <v>4</v>
      </c>
      <c r="V2952" s="5" t="s">
        <v>23</v>
      </c>
      <c r="W2952" s="12">
        <v>3034250</v>
      </c>
      <c r="X2952" s="6"/>
      <c r="Y2952" s="6"/>
    </row>
    <row r="2953" spans="1:25" ht="15" customHeight="1" x14ac:dyDescent="0.2">
      <c r="A2953" s="88" t="s">
        <v>3384</v>
      </c>
      <c r="B2953" s="90"/>
      <c r="C2953" s="88" t="s">
        <v>3548</v>
      </c>
      <c r="D2953" s="90"/>
      <c r="E2953" s="88" t="s">
        <v>3549</v>
      </c>
      <c r="F2953" s="89"/>
      <c r="G2953" s="89"/>
      <c r="H2953" s="89"/>
      <c r="I2953" s="90"/>
      <c r="J2953" s="88" t="s">
        <v>22</v>
      </c>
      <c r="K2953" s="89"/>
      <c r="L2953" s="89"/>
      <c r="M2953" s="90"/>
      <c r="N2953" s="88" t="s">
        <v>2179</v>
      </c>
      <c r="O2953" s="89"/>
      <c r="P2953" s="90"/>
      <c r="Q2953" s="133">
        <v>1997</v>
      </c>
      <c r="R2953" s="134"/>
      <c r="S2953" s="5" t="s">
        <v>16</v>
      </c>
      <c r="T2953" s="8">
        <v>1795</v>
      </c>
      <c r="U2953" s="8">
        <v>5</v>
      </c>
      <c r="V2953" s="5" t="s">
        <v>23</v>
      </c>
      <c r="W2953" s="12">
        <v>6481283</v>
      </c>
      <c r="X2953" s="6"/>
      <c r="Y2953" s="6"/>
    </row>
    <row r="2954" spans="1:25" ht="15" customHeight="1" x14ac:dyDescent="0.2">
      <c r="A2954" s="88" t="s">
        <v>3384</v>
      </c>
      <c r="B2954" s="90"/>
      <c r="C2954" s="88" t="s">
        <v>3550</v>
      </c>
      <c r="D2954" s="90"/>
      <c r="E2954" s="88" t="s">
        <v>3467</v>
      </c>
      <c r="F2954" s="89"/>
      <c r="G2954" s="89"/>
      <c r="H2954" s="89"/>
      <c r="I2954" s="90"/>
      <c r="J2954" s="88" t="s">
        <v>2179</v>
      </c>
      <c r="K2954" s="89"/>
      <c r="L2954" s="89"/>
      <c r="M2954" s="90"/>
      <c r="N2954" s="88" t="s">
        <v>26</v>
      </c>
      <c r="O2954" s="89"/>
      <c r="P2954" s="90"/>
      <c r="Q2954" s="133">
        <v>2188</v>
      </c>
      <c r="R2954" s="134"/>
      <c r="S2954" s="5" t="s">
        <v>16</v>
      </c>
      <c r="T2954" s="8">
        <v>2150</v>
      </c>
      <c r="U2954" s="8">
        <v>5</v>
      </c>
      <c r="V2954" s="5" t="s">
        <v>106</v>
      </c>
      <c r="W2954" s="12">
        <v>7407180</v>
      </c>
      <c r="X2954" s="6"/>
      <c r="Y2954" s="6"/>
    </row>
    <row r="2955" spans="1:25" ht="15" customHeight="1" x14ac:dyDescent="0.2">
      <c r="A2955" s="88" t="s">
        <v>3384</v>
      </c>
      <c r="B2955" s="90"/>
      <c r="C2955" s="88" t="s">
        <v>3551</v>
      </c>
      <c r="D2955" s="90"/>
      <c r="E2955" s="88" t="s">
        <v>3522</v>
      </c>
      <c r="F2955" s="89"/>
      <c r="G2955" s="89"/>
      <c r="H2955" s="89"/>
      <c r="I2955" s="90"/>
      <c r="J2955" s="88" t="s">
        <v>770</v>
      </c>
      <c r="K2955" s="89"/>
      <c r="L2955" s="89"/>
      <c r="M2955" s="90"/>
      <c r="N2955" s="88" t="s">
        <v>26</v>
      </c>
      <c r="O2955" s="89"/>
      <c r="P2955" s="90"/>
      <c r="Q2955" s="133">
        <v>657</v>
      </c>
      <c r="R2955" s="134"/>
      <c r="S2955" s="5" t="s">
        <v>70</v>
      </c>
      <c r="T2955" s="8">
        <v>1090</v>
      </c>
      <c r="U2955" s="8">
        <v>4</v>
      </c>
      <c r="V2955" s="5" t="s">
        <v>23</v>
      </c>
      <c r="W2955" s="12">
        <v>3111016</v>
      </c>
      <c r="X2955" s="6"/>
      <c r="Y2955" s="6"/>
    </row>
    <row r="2956" spans="1:25" ht="15" customHeight="1" x14ac:dyDescent="0.2">
      <c r="A2956" s="88" t="s">
        <v>3384</v>
      </c>
      <c r="B2956" s="90"/>
      <c r="C2956" s="88" t="s">
        <v>3552</v>
      </c>
      <c r="D2956" s="90"/>
      <c r="E2956" s="88" t="s">
        <v>3532</v>
      </c>
      <c r="F2956" s="89"/>
      <c r="G2956" s="89"/>
      <c r="H2956" s="89"/>
      <c r="I2956" s="90"/>
      <c r="J2956" s="88" t="s">
        <v>770</v>
      </c>
      <c r="K2956" s="89"/>
      <c r="L2956" s="89"/>
      <c r="M2956" s="90"/>
      <c r="N2956" s="88" t="s">
        <v>26</v>
      </c>
      <c r="O2956" s="89"/>
      <c r="P2956" s="90"/>
      <c r="Q2956" s="133">
        <v>658</v>
      </c>
      <c r="R2956" s="134"/>
      <c r="S2956" s="5" t="s">
        <v>70</v>
      </c>
      <c r="T2956" s="8">
        <v>1130</v>
      </c>
      <c r="U2956" s="8">
        <v>4</v>
      </c>
      <c r="V2956" s="5" t="s">
        <v>23</v>
      </c>
      <c r="W2956" s="12">
        <v>3242325</v>
      </c>
      <c r="X2956" s="6"/>
      <c r="Y2956" s="6"/>
    </row>
    <row r="2957" spans="1:25" ht="15" customHeight="1" x14ac:dyDescent="0.2">
      <c r="A2957" s="88" t="s">
        <v>3384</v>
      </c>
      <c r="B2957" s="90"/>
      <c r="C2957" s="88" t="s">
        <v>3553</v>
      </c>
      <c r="D2957" s="90"/>
      <c r="E2957" s="88" t="s">
        <v>3554</v>
      </c>
      <c r="F2957" s="89"/>
      <c r="G2957" s="89"/>
      <c r="H2957" s="89"/>
      <c r="I2957" s="90"/>
      <c r="J2957" s="88" t="s">
        <v>1718</v>
      </c>
      <c r="K2957" s="89"/>
      <c r="L2957" s="89"/>
      <c r="M2957" s="90"/>
      <c r="N2957" s="88" t="s">
        <v>26</v>
      </c>
      <c r="O2957" s="89"/>
      <c r="P2957" s="90"/>
      <c r="Q2957" s="133">
        <v>1997</v>
      </c>
      <c r="R2957" s="134"/>
      <c r="S2957" s="5" t="s">
        <v>70</v>
      </c>
      <c r="T2957" s="8">
        <v>1210</v>
      </c>
      <c r="U2957" s="8">
        <v>4</v>
      </c>
      <c r="V2957" s="5" t="s">
        <v>23</v>
      </c>
      <c r="W2957" s="12">
        <v>7224105</v>
      </c>
      <c r="X2957" s="6"/>
      <c r="Y2957" s="6"/>
    </row>
    <row r="2958" spans="1:25" ht="15" customHeight="1" x14ac:dyDescent="0.2">
      <c r="A2958" s="88" t="s">
        <v>3384</v>
      </c>
      <c r="B2958" s="90"/>
      <c r="C2958" s="88" t="s">
        <v>3555</v>
      </c>
      <c r="D2958" s="90"/>
      <c r="E2958" s="88" t="s">
        <v>3556</v>
      </c>
      <c r="F2958" s="89"/>
      <c r="G2958" s="89"/>
      <c r="H2958" s="89"/>
      <c r="I2958" s="90"/>
      <c r="J2958" s="88" t="s">
        <v>1718</v>
      </c>
      <c r="K2958" s="89"/>
      <c r="L2958" s="89"/>
      <c r="M2958" s="90"/>
      <c r="N2958" s="88" t="s">
        <v>26</v>
      </c>
      <c r="O2958" s="89"/>
      <c r="P2958" s="90"/>
      <c r="Q2958" s="133">
        <v>1496</v>
      </c>
      <c r="R2958" s="134"/>
      <c r="S2958" s="5" t="s">
        <v>70</v>
      </c>
      <c r="T2958" s="8">
        <v>1120</v>
      </c>
      <c r="U2958" s="8">
        <v>4</v>
      </c>
      <c r="V2958" s="5" t="s">
        <v>23</v>
      </c>
      <c r="W2958" s="12">
        <v>5175599</v>
      </c>
      <c r="X2958" s="6"/>
      <c r="Y2958" s="6"/>
    </row>
    <row r="2959" spans="1:25" ht="15" customHeight="1" x14ac:dyDescent="0.2">
      <c r="A2959" s="88" t="s">
        <v>3384</v>
      </c>
      <c r="B2959" s="90"/>
      <c r="C2959" s="88" t="s">
        <v>3557</v>
      </c>
      <c r="D2959" s="90"/>
      <c r="E2959" s="88" t="s">
        <v>3558</v>
      </c>
      <c r="F2959" s="89"/>
      <c r="G2959" s="89"/>
      <c r="H2959" s="89"/>
      <c r="I2959" s="90"/>
      <c r="J2959" s="88" t="s">
        <v>3559</v>
      </c>
      <c r="K2959" s="89"/>
      <c r="L2959" s="89"/>
      <c r="M2959" s="90"/>
      <c r="N2959" s="88" t="s">
        <v>701</v>
      </c>
      <c r="O2959" s="89"/>
      <c r="P2959" s="90"/>
      <c r="Q2959" s="133">
        <v>2999</v>
      </c>
      <c r="R2959" s="134"/>
      <c r="S2959" s="5" t="s">
        <v>945</v>
      </c>
      <c r="T2959" s="8">
        <v>3915</v>
      </c>
      <c r="U2959" s="8">
        <v>3</v>
      </c>
      <c r="V2959" s="5" t="s">
        <v>23</v>
      </c>
      <c r="W2959" s="12">
        <v>7866425</v>
      </c>
      <c r="X2959" s="6"/>
      <c r="Y2959" s="6"/>
    </row>
    <row r="2960" spans="1:25" ht="15" customHeight="1" x14ac:dyDescent="0.2">
      <c r="A2960" s="88" t="s">
        <v>3384</v>
      </c>
      <c r="B2960" s="90"/>
      <c r="C2960" s="88" t="s">
        <v>3557</v>
      </c>
      <c r="D2960" s="90"/>
      <c r="E2960" s="88" t="s">
        <v>3560</v>
      </c>
      <c r="F2960" s="89"/>
      <c r="G2960" s="89"/>
      <c r="H2960" s="89"/>
      <c r="I2960" s="90"/>
      <c r="J2960" s="88" t="s">
        <v>3559</v>
      </c>
      <c r="K2960" s="89"/>
      <c r="L2960" s="89"/>
      <c r="M2960" s="90"/>
      <c r="N2960" s="88" t="s">
        <v>701</v>
      </c>
      <c r="O2960" s="89"/>
      <c r="P2960" s="90"/>
      <c r="Q2960" s="133">
        <v>2999</v>
      </c>
      <c r="R2960" s="134"/>
      <c r="S2960" s="5" t="s">
        <v>945</v>
      </c>
      <c r="T2960" s="8">
        <v>4675</v>
      </c>
      <c r="U2960" s="8">
        <v>3</v>
      </c>
      <c r="V2960" s="5" t="s">
        <v>23</v>
      </c>
      <c r="W2960" s="12">
        <v>10223929</v>
      </c>
      <c r="X2960" s="6"/>
      <c r="Y2960" s="6"/>
    </row>
    <row r="2961" spans="1:25" ht="15" customHeight="1" x14ac:dyDescent="0.2">
      <c r="A2961" s="88" t="s">
        <v>3384</v>
      </c>
      <c r="B2961" s="90"/>
      <c r="C2961" s="88" t="s">
        <v>3561</v>
      </c>
      <c r="D2961" s="90"/>
      <c r="E2961" s="88" t="s">
        <v>3562</v>
      </c>
      <c r="F2961" s="89"/>
      <c r="G2961" s="89"/>
      <c r="H2961" s="89"/>
      <c r="I2961" s="90"/>
      <c r="J2961" s="88" t="s">
        <v>22</v>
      </c>
      <c r="K2961" s="89"/>
      <c r="L2961" s="89"/>
      <c r="M2961" s="90"/>
      <c r="N2961" s="88" t="s">
        <v>2179</v>
      </c>
      <c r="O2961" s="89"/>
      <c r="P2961" s="90"/>
      <c r="Q2961" s="133">
        <v>1496</v>
      </c>
      <c r="R2961" s="134"/>
      <c r="S2961" s="5" t="s">
        <v>27</v>
      </c>
      <c r="T2961" s="8">
        <v>1435</v>
      </c>
      <c r="U2961" s="8">
        <v>5</v>
      </c>
      <c r="V2961" s="5" t="s">
        <v>106</v>
      </c>
      <c r="W2961" s="12">
        <v>4853184</v>
      </c>
      <c r="X2961" s="6"/>
      <c r="Y2961" s="6"/>
    </row>
    <row r="2962" spans="1:25" ht="15" customHeight="1" x14ac:dyDescent="0.2">
      <c r="A2962" s="88" t="s">
        <v>3384</v>
      </c>
      <c r="B2962" s="90"/>
      <c r="C2962" s="88" t="s">
        <v>3563</v>
      </c>
      <c r="D2962" s="90"/>
      <c r="E2962" s="88" t="s">
        <v>3564</v>
      </c>
      <c r="F2962" s="89"/>
      <c r="G2962" s="89"/>
      <c r="H2962" s="89"/>
      <c r="I2962" s="90"/>
      <c r="J2962" s="88" t="s">
        <v>2179</v>
      </c>
      <c r="K2962" s="89"/>
      <c r="L2962" s="89"/>
      <c r="M2962" s="90"/>
      <c r="N2962" s="88" t="s">
        <v>22</v>
      </c>
      <c r="O2962" s="89"/>
      <c r="P2962" s="90"/>
      <c r="Q2962" s="133">
        <v>1496</v>
      </c>
      <c r="R2962" s="134"/>
      <c r="S2962" s="5" t="s">
        <v>27</v>
      </c>
      <c r="T2962" s="8">
        <v>1365</v>
      </c>
      <c r="U2962" s="8">
        <v>5</v>
      </c>
      <c r="V2962" s="5" t="s">
        <v>23</v>
      </c>
      <c r="W2962" s="12">
        <v>3517670</v>
      </c>
      <c r="X2962" s="6"/>
      <c r="Y2962" s="6"/>
    </row>
    <row r="2963" spans="1:25" ht="15" customHeight="1" x14ac:dyDescent="0.2">
      <c r="A2963" s="88" t="s">
        <v>3384</v>
      </c>
      <c r="B2963" s="90"/>
      <c r="C2963" s="88" t="s">
        <v>3563</v>
      </c>
      <c r="D2963" s="90"/>
      <c r="E2963" s="88" t="s">
        <v>3564</v>
      </c>
      <c r="F2963" s="89"/>
      <c r="G2963" s="89"/>
      <c r="H2963" s="89"/>
      <c r="I2963" s="90"/>
      <c r="J2963" s="88" t="s">
        <v>2179</v>
      </c>
      <c r="K2963" s="89"/>
      <c r="L2963" s="89"/>
      <c r="M2963" s="90"/>
      <c r="N2963" s="88" t="s">
        <v>26</v>
      </c>
      <c r="O2963" s="89"/>
      <c r="P2963" s="90"/>
      <c r="Q2963" s="133">
        <v>1496</v>
      </c>
      <c r="R2963" s="134"/>
      <c r="S2963" s="5" t="s">
        <v>27</v>
      </c>
      <c r="T2963" s="8">
        <v>1365</v>
      </c>
      <c r="U2963" s="8">
        <v>5</v>
      </c>
      <c r="V2963" s="5" t="s">
        <v>23</v>
      </c>
      <c r="W2963" s="12">
        <v>3517670</v>
      </c>
      <c r="X2963" s="6"/>
      <c r="Y2963" s="6"/>
    </row>
    <row r="2964" spans="1:25" ht="15" customHeight="1" x14ac:dyDescent="0.2">
      <c r="A2964" s="88" t="s">
        <v>3384</v>
      </c>
      <c r="B2964" s="90"/>
      <c r="C2964" s="88" t="s">
        <v>3565</v>
      </c>
      <c r="D2964" s="90"/>
      <c r="E2964" s="88" t="s">
        <v>3564</v>
      </c>
      <c r="F2964" s="89"/>
      <c r="G2964" s="89"/>
      <c r="H2964" s="89"/>
      <c r="I2964" s="90"/>
      <c r="J2964" s="88" t="s">
        <v>2179</v>
      </c>
      <c r="K2964" s="89"/>
      <c r="L2964" s="89"/>
      <c r="M2964" s="90"/>
      <c r="N2964" s="88" t="s">
        <v>26</v>
      </c>
      <c r="O2964" s="89"/>
      <c r="P2964" s="90"/>
      <c r="Q2964" s="133">
        <v>1496</v>
      </c>
      <c r="R2964" s="134"/>
      <c r="S2964" s="5" t="s">
        <v>27</v>
      </c>
      <c r="T2964" s="8">
        <v>1140</v>
      </c>
      <c r="U2964" s="8">
        <v>5</v>
      </c>
      <c r="V2964" s="5" t="s">
        <v>23</v>
      </c>
      <c r="W2964" s="12">
        <v>4230981</v>
      </c>
      <c r="X2964" s="6"/>
      <c r="Y2964" s="6"/>
    </row>
    <row r="2965" spans="1:25" ht="15" customHeight="1" x14ac:dyDescent="0.2">
      <c r="A2965" s="88" t="s">
        <v>3384</v>
      </c>
      <c r="B2965" s="90"/>
      <c r="C2965" s="88" t="s">
        <v>3566</v>
      </c>
      <c r="D2965" s="90"/>
      <c r="E2965" s="88" t="s">
        <v>3567</v>
      </c>
      <c r="F2965" s="89"/>
      <c r="G2965" s="89"/>
      <c r="H2965" s="89"/>
      <c r="I2965" s="90"/>
      <c r="J2965" s="88" t="s">
        <v>2179</v>
      </c>
      <c r="K2965" s="89"/>
      <c r="L2965" s="89"/>
      <c r="M2965" s="90"/>
      <c r="N2965" s="88" t="s">
        <v>26</v>
      </c>
      <c r="O2965" s="89"/>
      <c r="P2965" s="90"/>
      <c r="Q2965" s="133">
        <v>1496</v>
      </c>
      <c r="R2965" s="134"/>
      <c r="S2965" s="5" t="s">
        <v>27</v>
      </c>
      <c r="T2965" s="8">
        <v>1335</v>
      </c>
      <c r="U2965" s="8">
        <v>5</v>
      </c>
      <c r="V2965" s="5" t="s">
        <v>23</v>
      </c>
      <c r="W2965" s="12">
        <v>2888800</v>
      </c>
      <c r="X2965" s="6"/>
      <c r="Y2965" s="6"/>
    </row>
    <row r="2966" spans="1:25" ht="15" customHeight="1" x14ac:dyDescent="0.2">
      <c r="A2966" s="88" t="s">
        <v>3384</v>
      </c>
      <c r="B2966" s="90"/>
      <c r="C2966" s="88" t="s">
        <v>3568</v>
      </c>
      <c r="D2966" s="90"/>
      <c r="E2966" s="88" t="s">
        <v>3564</v>
      </c>
      <c r="F2966" s="89"/>
      <c r="G2966" s="89"/>
      <c r="H2966" s="89"/>
      <c r="I2966" s="90"/>
      <c r="J2966" s="88" t="s">
        <v>2179</v>
      </c>
      <c r="K2966" s="89"/>
      <c r="L2966" s="89"/>
      <c r="M2966" s="90"/>
      <c r="N2966" s="88" t="s">
        <v>26</v>
      </c>
      <c r="O2966" s="89"/>
      <c r="P2966" s="90"/>
      <c r="Q2966" s="133">
        <v>1496</v>
      </c>
      <c r="R2966" s="134"/>
      <c r="S2966" s="5" t="s">
        <v>27</v>
      </c>
      <c r="T2966" s="8">
        <v>1365</v>
      </c>
      <c r="U2966" s="8">
        <v>5</v>
      </c>
      <c r="V2966" s="5" t="s">
        <v>23</v>
      </c>
      <c r="W2966" s="12">
        <v>4222093</v>
      </c>
      <c r="X2966" s="6"/>
      <c r="Y2966" s="6"/>
    </row>
    <row r="2967" spans="1:25" ht="15" customHeight="1" x14ac:dyDescent="0.2">
      <c r="A2967" s="88" t="s">
        <v>3384</v>
      </c>
      <c r="B2967" s="90"/>
      <c r="C2967" s="88" t="s">
        <v>3569</v>
      </c>
      <c r="D2967" s="90"/>
      <c r="E2967" s="88" t="s">
        <v>3562</v>
      </c>
      <c r="F2967" s="89"/>
      <c r="G2967" s="89"/>
      <c r="H2967" s="89"/>
      <c r="I2967" s="90"/>
      <c r="J2967" s="88" t="s">
        <v>2179</v>
      </c>
      <c r="K2967" s="89"/>
      <c r="L2967" s="89"/>
      <c r="M2967" s="90"/>
      <c r="N2967" s="88" t="s">
        <v>26</v>
      </c>
      <c r="O2967" s="89"/>
      <c r="P2967" s="90"/>
      <c r="Q2967" s="133">
        <v>1498</v>
      </c>
      <c r="R2967" s="134"/>
      <c r="S2967" s="5" t="s">
        <v>27</v>
      </c>
      <c r="T2967" s="8">
        <v>1445</v>
      </c>
      <c r="U2967" s="8">
        <v>5</v>
      </c>
      <c r="V2967" s="5" t="s">
        <v>106</v>
      </c>
      <c r="W2967" s="12">
        <v>4344311</v>
      </c>
      <c r="X2967" s="6"/>
      <c r="Y2967" s="6"/>
    </row>
    <row r="2968" spans="1:25" ht="15" customHeight="1" x14ac:dyDescent="0.2">
      <c r="A2968" s="88" t="s">
        <v>3384</v>
      </c>
      <c r="B2968" s="90"/>
      <c r="C2968" s="88" t="s">
        <v>3569</v>
      </c>
      <c r="D2968" s="90"/>
      <c r="E2968" s="88" t="s">
        <v>3570</v>
      </c>
      <c r="F2968" s="89"/>
      <c r="G2968" s="89"/>
      <c r="H2968" s="89"/>
      <c r="I2968" s="90"/>
      <c r="J2968" s="88" t="s">
        <v>2179</v>
      </c>
      <c r="K2968" s="89"/>
      <c r="L2968" s="89"/>
      <c r="M2968" s="90"/>
      <c r="N2968" s="88" t="s">
        <v>26</v>
      </c>
      <c r="O2968" s="89"/>
      <c r="P2968" s="90"/>
      <c r="Q2968" s="133">
        <v>1496</v>
      </c>
      <c r="R2968" s="134"/>
      <c r="S2968" s="5" t="s">
        <v>27</v>
      </c>
      <c r="T2968" s="8">
        <v>1445</v>
      </c>
      <c r="U2968" s="8">
        <v>5</v>
      </c>
      <c r="V2968" s="5" t="s">
        <v>106</v>
      </c>
      <c r="W2968" s="12">
        <v>4344311</v>
      </c>
      <c r="X2968" s="6"/>
      <c r="Y2968" s="6"/>
    </row>
    <row r="2969" spans="1:25" ht="15" customHeight="1" x14ac:dyDescent="0.2">
      <c r="A2969" s="88" t="s">
        <v>3384</v>
      </c>
      <c r="B2969" s="90"/>
      <c r="C2969" s="88" t="s">
        <v>3571</v>
      </c>
      <c r="D2969" s="90"/>
      <c r="E2969" s="88" t="s">
        <v>3562</v>
      </c>
      <c r="F2969" s="89"/>
      <c r="G2969" s="89"/>
      <c r="H2969" s="89"/>
      <c r="I2969" s="90"/>
      <c r="J2969" s="88" t="s">
        <v>2179</v>
      </c>
      <c r="K2969" s="89"/>
      <c r="L2969" s="89"/>
      <c r="M2969" s="90"/>
      <c r="N2969" s="88" t="s">
        <v>26</v>
      </c>
      <c r="O2969" s="89"/>
      <c r="P2969" s="90"/>
      <c r="Q2969" s="133">
        <v>1498</v>
      </c>
      <c r="R2969" s="134"/>
      <c r="S2969" s="5" t="s">
        <v>27</v>
      </c>
      <c r="T2969" s="8">
        <v>1425</v>
      </c>
      <c r="U2969" s="8">
        <v>5</v>
      </c>
      <c r="V2969" s="5" t="s">
        <v>23</v>
      </c>
      <c r="W2969" s="12">
        <v>4966514</v>
      </c>
      <c r="X2969" s="6"/>
      <c r="Y2969" s="6"/>
    </row>
    <row r="2970" spans="1:25" ht="15" customHeight="1" x14ac:dyDescent="0.2">
      <c r="A2970" s="88" t="s">
        <v>3384</v>
      </c>
      <c r="B2970" s="90"/>
      <c r="C2970" s="88" t="s">
        <v>3571</v>
      </c>
      <c r="D2970" s="90"/>
      <c r="E2970" s="88" t="s">
        <v>3562</v>
      </c>
      <c r="F2970" s="89"/>
      <c r="G2970" s="89"/>
      <c r="H2970" s="89"/>
      <c r="I2970" s="90"/>
      <c r="J2970" s="88" t="s">
        <v>2179</v>
      </c>
      <c r="K2970" s="89"/>
      <c r="L2970" s="89"/>
      <c r="M2970" s="90"/>
      <c r="N2970" s="88" t="s">
        <v>26</v>
      </c>
      <c r="O2970" s="89"/>
      <c r="P2970" s="90"/>
      <c r="Q2970" s="133">
        <v>1498</v>
      </c>
      <c r="R2970" s="134"/>
      <c r="S2970" s="5" t="s">
        <v>27</v>
      </c>
      <c r="T2970" s="8">
        <v>1425</v>
      </c>
      <c r="U2970" s="8">
        <v>5</v>
      </c>
      <c r="V2970" s="5" t="s">
        <v>106</v>
      </c>
      <c r="W2970" s="12">
        <v>4515013</v>
      </c>
      <c r="X2970" s="6"/>
      <c r="Y2970" s="6"/>
    </row>
    <row r="2971" spans="1:25" ht="15" customHeight="1" x14ac:dyDescent="0.2">
      <c r="A2971" s="88" t="s">
        <v>3384</v>
      </c>
      <c r="B2971" s="90"/>
      <c r="C2971" s="88" t="s">
        <v>3572</v>
      </c>
      <c r="D2971" s="90"/>
      <c r="E2971" s="88" t="s">
        <v>3573</v>
      </c>
      <c r="F2971" s="89"/>
      <c r="G2971" s="89"/>
      <c r="H2971" s="89"/>
      <c r="I2971" s="90"/>
      <c r="J2971" s="88" t="s">
        <v>2179</v>
      </c>
      <c r="K2971" s="89"/>
      <c r="L2971" s="89"/>
      <c r="M2971" s="90"/>
      <c r="N2971" s="88" t="s">
        <v>26</v>
      </c>
      <c r="O2971" s="89"/>
      <c r="P2971" s="90"/>
      <c r="Q2971" s="133">
        <v>1756</v>
      </c>
      <c r="R2971" s="134"/>
      <c r="S2971" s="5" t="s">
        <v>44</v>
      </c>
      <c r="T2971" s="8">
        <v>1675</v>
      </c>
      <c r="U2971" s="8">
        <v>5</v>
      </c>
      <c r="V2971" s="5" t="s">
        <v>106</v>
      </c>
      <c r="W2971" s="12">
        <v>6256237</v>
      </c>
      <c r="X2971" s="6"/>
      <c r="Y2971" s="6"/>
    </row>
    <row r="2972" spans="1:25" ht="15" customHeight="1" x14ac:dyDescent="0.2">
      <c r="A2972" s="88" t="s">
        <v>3384</v>
      </c>
      <c r="B2972" s="90"/>
      <c r="C2972" s="88" t="s">
        <v>3574</v>
      </c>
      <c r="D2972" s="90"/>
      <c r="E2972" s="88" t="s">
        <v>3575</v>
      </c>
      <c r="F2972" s="89"/>
      <c r="G2972" s="89"/>
      <c r="H2972" s="89"/>
      <c r="I2972" s="90"/>
      <c r="J2972" s="88" t="s">
        <v>2179</v>
      </c>
      <c r="K2972" s="89"/>
      <c r="L2972" s="89"/>
      <c r="M2972" s="90"/>
      <c r="N2972" s="88" t="s">
        <v>26</v>
      </c>
      <c r="O2972" s="89"/>
      <c r="P2972" s="90"/>
      <c r="Q2972" s="133">
        <v>1997</v>
      </c>
      <c r="R2972" s="134"/>
      <c r="S2972" s="5" t="s">
        <v>44</v>
      </c>
      <c r="T2972" s="8">
        <v>1655</v>
      </c>
      <c r="U2972" s="8">
        <v>5</v>
      </c>
      <c r="V2972" s="5" t="s">
        <v>23</v>
      </c>
      <c r="W2972" s="12">
        <v>6293788</v>
      </c>
      <c r="X2972" s="6"/>
      <c r="Y2972" s="6"/>
    </row>
    <row r="2973" spans="1:25" ht="15" customHeight="1" x14ac:dyDescent="0.2">
      <c r="A2973" s="88" t="s">
        <v>3384</v>
      </c>
      <c r="B2973" s="90"/>
      <c r="C2973" s="88" t="s">
        <v>3576</v>
      </c>
      <c r="D2973" s="90"/>
      <c r="E2973" s="88" t="s">
        <v>3577</v>
      </c>
      <c r="F2973" s="89"/>
      <c r="G2973" s="89"/>
      <c r="H2973" s="89"/>
      <c r="I2973" s="90"/>
      <c r="J2973" s="88" t="s">
        <v>2179</v>
      </c>
      <c r="K2973" s="89"/>
      <c r="L2973" s="89"/>
      <c r="M2973" s="90"/>
      <c r="N2973" s="88" t="s">
        <v>26</v>
      </c>
      <c r="O2973" s="89"/>
      <c r="P2973" s="90"/>
      <c r="Q2973" s="133">
        <v>1997</v>
      </c>
      <c r="R2973" s="134"/>
      <c r="S2973" s="5" t="s">
        <v>44</v>
      </c>
      <c r="T2973" s="8">
        <v>1635</v>
      </c>
      <c r="U2973" s="8">
        <v>5</v>
      </c>
      <c r="V2973" s="5" t="s">
        <v>23</v>
      </c>
      <c r="W2973" s="12">
        <v>5044117</v>
      </c>
      <c r="X2973" s="6"/>
      <c r="Y2973" s="6"/>
    </row>
    <row r="2974" spans="1:25" ht="15" customHeight="1" x14ac:dyDescent="0.2">
      <c r="A2974" s="88" t="s">
        <v>3384</v>
      </c>
      <c r="B2974" s="90"/>
      <c r="C2974" s="88" t="s">
        <v>3578</v>
      </c>
      <c r="D2974" s="90"/>
      <c r="E2974" s="88" t="s">
        <v>3579</v>
      </c>
      <c r="F2974" s="89"/>
      <c r="G2974" s="89"/>
      <c r="H2974" s="89"/>
      <c r="I2974" s="90"/>
      <c r="J2974" s="88" t="s">
        <v>2179</v>
      </c>
      <c r="K2974" s="89"/>
      <c r="L2974" s="89"/>
      <c r="M2974" s="90"/>
      <c r="N2974" s="88" t="s">
        <v>26</v>
      </c>
      <c r="O2974" s="89"/>
      <c r="P2974" s="90"/>
      <c r="Q2974" s="133">
        <v>1997</v>
      </c>
      <c r="R2974" s="134"/>
      <c r="S2974" s="5" t="s">
        <v>44</v>
      </c>
      <c r="T2974" s="8">
        <v>1997</v>
      </c>
      <c r="U2974" s="8">
        <v>5</v>
      </c>
      <c r="V2974" s="5" t="s">
        <v>23</v>
      </c>
      <c r="W2974" s="12">
        <v>7264009</v>
      </c>
      <c r="X2974" s="6"/>
      <c r="Y2974" s="6"/>
    </row>
    <row r="2975" spans="1:25" ht="15" customHeight="1" x14ac:dyDescent="0.2">
      <c r="A2975" s="88" t="s">
        <v>3384</v>
      </c>
      <c r="B2975" s="90"/>
      <c r="C2975" s="88" t="s">
        <v>3580</v>
      </c>
      <c r="D2975" s="90"/>
      <c r="E2975" s="88" t="s">
        <v>3581</v>
      </c>
      <c r="F2975" s="89"/>
      <c r="G2975" s="89"/>
      <c r="H2975" s="89"/>
      <c r="I2975" s="90"/>
      <c r="J2975" s="88" t="s">
        <v>2179</v>
      </c>
      <c r="K2975" s="89"/>
      <c r="L2975" s="89"/>
      <c r="M2975" s="90"/>
      <c r="N2975" s="88" t="s">
        <v>26</v>
      </c>
      <c r="O2975" s="89"/>
      <c r="P2975" s="90"/>
      <c r="Q2975" s="133">
        <v>1496</v>
      </c>
      <c r="R2975" s="134"/>
      <c r="S2975" s="5" t="s">
        <v>44</v>
      </c>
      <c r="T2975" s="8">
        <v>1925</v>
      </c>
      <c r="U2975" s="8">
        <v>5</v>
      </c>
      <c r="V2975" s="5" t="s">
        <v>23</v>
      </c>
      <c r="W2975" s="12">
        <v>4813186</v>
      </c>
      <c r="X2975" s="6"/>
      <c r="Y2975" s="6"/>
    </row>
    <row r="2976" spans="1:25" ht="15" customHeight="1" x14ac:dyDescent="0.2">
      <c r="A2976" s="88" t="s">
        <v>3384</v>
      </c>
      <c r="B2976" s="90"/>
      <c r="C2976" s="88" t="s">
        <v>3582</v>
      </c>
      <c r="D2976" s="90"/>
      <c r="E2976" s="88" t="s">
        <v>3581</v>
      </c>
      <c r="F2976" s="89"/>
      <c r="G2976" s="89"/>
      <c r="H2976" s="89"/>
      <c r="I2976" s="90"/>
      <c r="J2976" s="88" t="s">
        <v>2179</v>
      </c>
      <c r="K2976" s="89"/>
      <c r="L2976" s="89"/>
      <c r="M2976" s="90"/>
      <c r="N2976" s="88" t="s">
        <v>26</v>
      </c>
      <c r="O2976" s="89"/>
      <c r="P2976" s="90"/>
      <c r="Q2976" s="133">
        <v>1496</v>
      </c>
      <c r="R2976" s="134"/>
      <c r="S2976" s="5" t="s">
        <v>44</v>
      </c>
      <c r="T2976" s="8">
        <v>1615</v>
      </c>
      <c r="U2976" s="8">
        <v>5</v>
      </c>
      <c r="V2976" s="5" t="s">
        <v>23</v>
      </c>
      <c r="W2976" s="12">
        <v>4253294</v>
      </c>
      <c r="X2976" s="6"/>
      <c r="Y2976" s="6"/>
    </row>
    <row r="2977" spans="1:25" ht="15" customHeight="1" x14ac:dyDescent="0.2">
      <c r="A2977" s="88" t="s">
        <v>3384</v>
      </c>
      <c r="B2977" s="90"/>
      <c r="C2977" s="88" t="s">
        <v>3583</v>
      </c>
      <c r="D2977" s="90"/>
      <c r="E2977" s="88" t="s">
        <v>3577</v>
      </c>
      <c r="F2977" s="89"/>
      <c r="G2977" s="89"/>
      <c r="H2977" s="89"/>
      <c r="I2977" s="90"/>
      <c r="J2977" s="88" t="s">
        <v>2179</v>
      </c>
      <c r="K2977" s="89"/>
      <c r="L2977" s="89"/>
      <c r="M2977" s="90"/>
      <c r="N2977" s="88" t="s">
        <v>26</v>
      </c>
      <c r="O2977" s="89"/>
      <c r="P2977" s="90"/>
      <c r="Q2977" s="133">
        <v>1997</v>
      </c>
      <c r="R2977" s="134"/>
      <c r="S2977" s="5" t="s">
        <v>44</v>
      </c>
      <c r="T2977" s="8">
        <v>1635</v>
      </c>
      <c r="U2977" s="8">
        <v>5</v>
      </c>
      <c r="V2977" s="5" t="s">
        <v>23</v>
      </c>
      <c r="W2977" s="12">
        <v>5548527</v>
      </c>
      <c r="X2977" s="6"/>
      <c r="Y2977" s="6"/>
    </row>
    <row r="2978" spans="1:25" ht="15" customHeight="1" x14ac:dyDescent="0.2">
      <c r="A2978" s="88" t="s">
        <v>3384</v>
      </c>
      <c r="B2978" s="90"/>
      <c r="C2978" s="88" t="s">
        <v>3584</v>
      </c>
      <c r="D2978" s="90"/>
      <c r="E2978" s="88" t="s">
        <v>3575</v>
      </c>
      <c r="F2978" s="89"/>
      <c r="G2978" s="89"/>
      <c r="H2978" s="89"/>
      <c r="I2978" s="90"/>
      <c r="J2978" s="88" t="s">
        <v>2179</v>
      </c>
      <c r="K2978" s="89"/>
      <c r="L2978" s="89"/>
      <c r="M2978" s="90"/>
      <c r="N2978" s="88" t="s">
        <v>22</v>
      </c>
      <c r="O2978" s="89"/>
      <c r="P2978" s="90"/>
      <c r="Q2978" s="133">
        <v>1498</v>
      </c>
      <c r="R2978" s="134"/>
      <c r="S2978" s="5" t="s">
        <v>44</v>
      </c>
      <c r="T2978" s="8">
        <v>1655</v>
      </c>
      <c r="U2978" s="8">
        <v>5</v>
      </c>
      <c r="V2978" s="5" t="s">
        <v>23</v>
      </c>
      <c r="W2978" s="12">
        <v>7728652</v>
      </c>
      <c r="X2978" s="6"/>
      <c r="Y2978" s="6"/>
    </row>
    <row r="2979" spans="1:25" ht="15" customHeight="1" x14ac:dyDescent="0.2">
      <c r="A2979" s="88" t="s">
        <v>3384</v>
      </c>
      <c r="B2979" s="90"/>
      <c r="C2979" s="88" t="s">
        <v>3585</v>
      </c>
      <c r="D2979" s="90"/>
      <c r="E2979" s="88" t="s">
        <v>3575</v>
      </c>
      <c r="F2979" s="89"/>
      <c r="G2979" s="89"/>
      <c r="H2979" s="89"/>
      <c r="I2979" s="90"/>
      <c r="J2979" s="88" t="s">
        <v>2179</v>
      </c>
      <c r="K2979" s="89"/>
      <c r="L2979" s="89"/>
      <c r="M2979" s="90"/>
      <c r="N2979" s="88" t="s">
        <v>26</v>
      </c>
      <c r="O2979" s="89"/>
      <c r="P2979" s="90"/>
      <c r="Q2979" s="133">
        <v>1997</v>
      </c>
      <c r="R2979" s="134"/>
      <c r="S2979" s="5" t="s">
        <v>44</v>
      </c>
      <c r="T2979" s="8">
        <v>1655</v>
      </c>
      <c r="U2979" s="8">
        <v>5</v>
      </c>
      <c r="V2979" s="5" t="s">
        <v>23</v>
      </c>
      <c r="W2979" s="12">
        <v>6293788</v>
      </c>
      <c r="X2979" s="6"/>
      <c r="Y2979" s="6"/>
    </row>
    <row r="2980" spans="1:25" ht="15" customHeight="1" x14ac:dyDescent="0.2">
      <c r="A2980" s="88" t="s">
        <v>3384</v>
      </c>
      <c r="B2980" s="90"/>
      <c r="C2980" s="88" t="s">
        <v>3586</v>
      </c>
      <c r="D2980" s="90"/>
      <c r="E2980" s="88" t="s">
        <v>3587</v>
      </c>
      <c r="F2980" s="89"/>
      <c r="G2980" s="89"/>
      <c r="H2980" s="89"/>
      <c r="I2980" s="90"/>
      <c r="J2980" s="88" t="s">
        <v>2179</v>
      </c>
      <c r="K2980" s="89"/>
      <c r="L2980" s="89"/>
      <c r="M2980" s="90"/>
      <c r="N2980" s="88" t="s">
        <v>26</v>
      </c>
      <c r="O2980" s="89"/>
      <c r="P2980" s="90"/>
      <c r="Q2980" s="133">
        <v>1997</v>
      </c>
      <c r="R2980" s="134"/>
      <c r="S2980" s="5" t="s">
        <v>44</v>
      </c>
      <c r="T2980" s="8">
        <v>2150</v>
      </c>
      <c r="U2980" s="8">
        <v>5</v>
      </c>
      <c r="V2980" s="5" t="s">
        <v>23</v>
      </c>
      <c r="W2980" s="12">
        <v>5689640</v>
      </c>
      <c r="X2980" s="6"/>
      <c r="Y2980" s="6"/>
    </row>
    <row r="2981" spans="1:25" ht="15" customHeight="1" x14ac:dyDescent="0.2">
      <c r="A2981" s="88" t="s">
        <v>3384</v>
      </c>
      <c r="B2981" s="90"/>
      <c r="C2981" s="88" t="s">
        <v>3588</v>
      </c>
      <c r="D2981" s="90"/>
      <c r="E2981" s="88" t="s">
        <v>3579</v>
      </c>
      <c r="F2981" s="89"/>
      <c r="G2981" s="89"/>
      <c r="H2981" s="89"/>
      <c r="I2981" s="90"/>
      <c r="J2981" s="88" t="s">
        <v>2179</v>
      </c>
      <c r="K2981" s="89"/>
      <c r="L2981" s="89"/>
      <c r="M2981" s="90"/>
      <c r="N2981" s="88" t="s">
        <v>26</v>
      </c>
      <c r="O2981" s="89"/>
      <c r="P2981" s="90"/>
      <c r="Q2981" s="133">
        <v>1997</v>
      </c>
      <c r="R2981" s="134"/>
      <c r="S2981" s="5" t="s">
        <v>44</v>
      </c>
      <c r="T2981" s="8">
        <v>2170</v>
      </c>
      <c r="U2981" s="8">
        <v>5</v>
      </c>
      <c r="V2981" s="5" t="s">
        <v>23</v>
      </c>
      <c r="W2981" s="12">
        <v>7587688</v>
      </c>
      <c r="X2981" s="6"/>
      <c r="Y2981" s="6"/>
    </row>
    <row r="2982" spans="1:25" ht="15" customHeight="1" x14ac:dyDescent="0.2">
      <c r="A2982" s="88" t="s">
        <v>3384</v>
      </c>
      <c r="B2982" s="90"/>
      <c r="C2982" s="88" t="s">
        <v>3589</v>
      </c>
      <c r="D2982" s="90"/>
      <c r="E2982" s="88" t="s">
        <v>3590</v>
      </c>
      <c r="F2982" s="89"/>
      <c r="G2982" s="89"/>
      <c r="H2982" s="89"/>
      <c r="I2982" s="90"/>
      <c r="J2982" s="88" t="s">
        <v>2179</v>
      </c>
      <c r="K2982" s="89"/>
      <c r="L2982" s="89"/>
      <c r="M2982" s="90"/>
      <c r="N2982" s="88" t="s">
        <v>26</v>
      </c>
      <c r="O2982" s="89"/>
      <c r="P2982" s="90"/>
      <c r="Q2982" s="133">
        <v>1997</v>
      </c>
      <c r="R2982" s="134"/>
      <c r="S2982" s="5" t="s">
        <v>44</v>
      </c>
      <c r="T2982" s="8">
        <v>1715</v>
      </c>
      <c r="U2982" s="8">
        <v>5</v>
      </c>
      <c r="V2982" s="5" t="s">
        <v>23</v>
      </c>
      <c r="W2982" s="12">
        <v>6603646</v>
      </c>
      <c r="X2982" s="6"/>
      <c r="Y2982" s="6"/>
    </row>
    <row r="2983" spans="1:25" ht="15" customHeight="1" x14ac:dyDescent="0.2">
      <c r="A2983" s="88" t="s">
        <v>3384</v>
      </c>
      <c r="B2983" s="90"/>
      <c r="C2983" s="88" t="s">
        <v>3591</v>
      </c>
      <c r="D2983" s="90"/>
      <c r="E2983" s="88" t="s">
        <v>3592</v>
      </c>
      <c r="F2983" s="89"/>
      <c r="G2983" s="89"/>
      <c r="H2983" s="89"/>
      <c r="I2983" s="90"/>
      <c r="J2983" s="88" t="s">
        <v>2179</v>
      </c>
      <c r="K2983" s="89"/>
      <c r="L2983" s="89"/>
      <c r="M2983" s="90"/>
      <c r="N2983" s="88" t="s">
        <v>26</v>
      </c>
      <c r="O2983" s="89"/>
      <c r="P2983" s="90"/>
      <c r="Q2983" s="133">
        <v>1756</v>
      </c>
      <c r="R2983" s="134"/>
      <c r="S2983" s="5" t="s">
        <v>44</v>
      </c>
      <c r="T2983" s="8">
        <v>1695</v>
      </c>
      <c r="U2983" s="8">
        <v>5</v>
      </c>
      <c r="V2983" s="5" t="s">
        <v>106</v>
      </c>
      <c r="W2983" s="12">
        <v>6548410</v>
      </c>
      <c r="X2983" s="6"/>
      <c r="Y2983" s="6"/>
    </row>
    <row r="2984" spans="1:25" ht="15" customHeight="1" x14ac:dyDescent="0.2">
      <c r="A2984" s="88" t="s">
        <v>3384</v>
      </c>
      <c r="B2984" s="90"/>
      <c r="C2984" s="88" t="s">
        <v>3593</v>
      </c>
      <c r="D2984" s="90"/>
      <c r="E2984" s="88" t="s">
        <v>3594</v>
      </c>
      <c r="F2984" s="89"/>
      <c r="G2984" s="89"/>
      <c r="H2984" s="89"/>
      <c r="I2984" s="90"/>
      <c r="J2984" s="88" t="s">
        <v>22</v>
      </c>
      <c r="K2984" s="89"/>
      <c r="L2984" s="89"/>
      <c r="M2984" s="90"/>
      <c r="N2984" s="88" t="s">
        <v>2179</v>
      </c>
      <c r="O2984" s="89"/>
      <c r="P2984" s="90"/>
      <c r="Q2984" s="133">
        <v>1756</v>
      </c>
      <c r="R2984" s="134"/>
      <c r="S2984" s="5" t="s">
        <v>44</v>
      </c>
      <c r="T2984" s="8">
        <v>1655</v>
      </c>
      <c r="U2984" s="8">
        <v>5</v>
      </c>
      <c r="V2984" s="5" t="s">
        <v>23</v>
      </c>
      <c r="W2984" s="12">
        <v>9508967</v>
      </c>
      <c r="X2984" s="6"/>
      <c r="Y2984" s="6"/>
    </row>
    <row r="2985" spans="1:25" ht="15" customHeight="1" x14ac:dyDescent="0.2">
      <c r="A2985" s="88" t="s">
        <v>3384</v>
      </c>
      <c r="B2985" s="90"/>
      <c r="C2985" s="88" t="s">
        <v>3595</v>
      </c>
      <c r="D2985" s="90"/>
      <c r="E2985" s="88" t="s">
        <v>3579</v>
      </c>
      <c r="F2985" s="89"/>
      <c r="G2985" s="89"/>
      <c r="H2985" s="89"/>
      <c r="I2985" s="90"/>
      <c r="J2985" s="88" t="s">
        <v>2179</v>
      </c>
      <c r="K2985" s="89"/>
      <c r="L2985" s="89"/>
      <c r="M2985" s="90"/>
      <c r="N2985" s="88" t="s">
        <v>26</v>
      </c>
      <c r="O2985" s="89"/>
      <c r="P2985" s="90"/>
      <c r="Q2985" s="133">
        <v>1997</v>
      </c>
      <c r="R2985" s="134"/>
      <c r="S2985" s="5" t="s">
        <v>44</v>
      </c>
      <c r="T2985" s="8">
        <v>1120</v>
      </c>
      <c r="U2985" s="8">
        <v>5</v>
      </c>
      <c r="V2985" s="5" t="s">
        <v>23</v>
      </c>
      <c r="W2985" s="12">
        <v>7541393</v>
      </c>
      <c r="X2985" s="6"/>
      <c r="Y2985" s="6"/>
    </row>
    <row r="2986" spans="1:25" ht="15" customHeight="1" x14ac:dyDescent="0.2">
      <c r="A2986" s="88" t="s">
        <v>3384</v>
      </c>
      <c r="B2986" s="90"/>
      <c r="C2986" s="88" t="s">
        <v>3595</v>
      </c>
      <c r="D2986" s="90"/>
      <c r="E2986" s="88" t="s">
        <v>3596</v>
      </c>
      <c r="F2986" s="89"/>
      <c r="G2986" s="89"/>
      <c r="H2986" s="89"/>
      <c r="I2986" s="90"/>
      <c r="J2986" s="88" t="s">
        <v>2179</v>
      </c>
      <c r="K2986" s="89"/>
      <c r="L2986" s="89"/>
      <c r="M2986" s="90"/>
      <c r="N2986" s="88" t="s">
        <v>26</v>
      </c>
      <c r="O2986" s="89"/>
      <c r="P2986" s="90"/>
      <c r="Q2986" s="133">
        <v>1997</v>
      </c>
      <c r="R2986" s="134"/>
      <c r="S2986" s="5" t="s">
        <v>44</v>
      </c>
      <c r="T2986" s="8">
        <v>1715</v>
      </c>
      <c r="U2986" s="8">
        <v>5</v>
      </c>
      <c r="V2986" s="5" t="s">
        <v>23</v>
      </c>
      <c r="W2986" s="12">
        <v>6466866</v>
      </c>
      <c r="X2986" s="6"/>
      <c r="Y2986" s="6"/>
    </row>
    <row r="2987" spans="1:25" ht="15" customHeight="1" x14ac:dyDescent="0.2">
      <c r="A2987" s="88" t="s">
        <v>3384</v>
      </c>
      <c r="B2987" s="90"/>
      <c r="C2987" s="88" t="s">
        <v>3597</v>
      </c>
      <c r="D2987" s="90"/>
      <c r="E2987" s="88" t="s">
        <v>3592</v>
      </c>
      <c r="F2987" s="89"/>
      <c r="G2987" s="89"/>
      <c r="H2987" s="89"/>
      <c r="I2987" s="90"/>
      <c r="J2987" s="88" t="s">
        <v>22</v>
      </c>
      <c r="K2987" s="89"/>
      <c r="L2987" s="89"/>
      <c r="M2987" s="90"/>
      <c r="N2987" s="88" t="s">
        <v>2179</v>
      </c>
      <c r="O2987" s="89"/>
      <c r="P2987" s="90"/>
      <c r="Q2987" s="133">
        <v>1997</v>
      </c>
      <c r="R2987" s="134"/>
      <c r="S2987" s="5" t="s">
        <v>44</v>
      </c>
      <c r="T2987" s="8">
        <v>1685</v>
      </c>
      <c r="U2987" s="8">
        <v>5</v>
      </c>
      <c r="V2987" s="5" t="s">
        <v>106</v>
      </c>
      <c r="W2987" s="12">
        <v>5955836</v>
      </c>
      <c r="X2987" s="6"/>
      <c r="Y2987" s="6"/>
    </row>
    <row r="2988" spans="1:25" ht="15" customHeight="1" x14ac:dyDescent="0.2">
      <c r="A2988" s="88" t="s">
        <v>3384</v>
      </c>
      <c r="B2988" s="90"/>
      <c r="C2988" s="88" t="s">
        <v>3598</v>
      </c>
      <c r="D2988" s="90"/>
      <c r="E2988" s="88" t="s">
        <v>3573</v>
      </c>
      <c r="F2988" s="89"/>
      <c r="G2988" s="89"/>
      <c r="H2988" s="89"/>
      <c r="I2988" s="90"/>
      <c r="J2988" s="88" t="s">
        <v>2179</v>
      </c>
      <c r="K2988" s="89"/>
      <c r="L2988" s="89"/>
      <c r="M2988" s="90"/>
      <c r="N2988" s="88" t="s">
        <v>26</v>
      </c>
      <c r="O2988" s="89"/>
      <c r="P2988" s="90"/>
      <c r="Q2988" s="133">
        <v>1756</v>
      </c>
      <c r="R2988" s="134"/>
      <c r="S2988" s="5" t="s">
        <v>44</v>
      </c>
      <c r="T2988" s="8">
        <v>1675</v>
      </c>
      <c r="U2988" s="8">
        <v>5</v>
      </c>
      <c r="V2988" s="5" t="s">
        <v>106</v>
      </c>
      <c r="W2988" s="12">
        <v>5687490</v>
      </c>
      <c r="X2988" s="6"/>
      <c r="Y2988" s="6"/>
    </row>
    <row r="2989" spans="1:25" ht="15" customHeight="1" x14ac:dyDescent="0.2">
      <c r="A2989" s="88" t="s">
        <v>3384</v>
      </c>
      <c r="B2989" s="90"/>
      <c r="C2989" s="88" t="s">
        <v>3599</v>
      </c>
      <c r="D2989" s="90"/>
      <c r="E2989" s="88" t="s">
        <v>3573</v>
      </c>
      <c r="F2989" s="89"/>
      <c r="G2989" s="89"/>
      <c r="H2989" s="89"/>
      <c r="I2989" s="90"/>
      <c r="J2989" s="88" t="s">
        <v>2179</v>
      </c>
      <c r="K2989" s="89"/>
      <c r="L2989" s="89"/>
      <c r="M2989" s="90"/>
      <c r="N2989" s="88" t="s">
        <v>26</v>
      </c>
      <c r="O2989" s="89"/>
      <c r="P2989" s="90"/>
      <c r="Q2989" s="133">
        <v>1756</v>
      </c>
      <c r="R2989" s="134"/>
      <c r="S2989" s="5" t="s">
        <v>44</v>
      </c>
      <c r="T2989" s="8">
        <v>1210</v>
      </c>
      <c r="U2989" s="8">
        <v>5</v>
      </c>
      <c r="V2989" s="5" t="s">
        <v>106</v>
      </c>
      <c r="W2989" s="12">
        <v>6110924</v>
      </c>
      <c r="X2989" s="6"/>
      <c r="Y2989" s="6"/>
    </row>
    <row r="2990" spans="1:25" ht="15" customHeight="1" x14ac:dyDescent="0.2">
      <c r="A2990" s="88" t="s">
        <v>3384</v>
      </c>
      <c r="B2990" s="90"/>
      <c r="C2990" s="88" t="s">
        <v>3600</v>
      </c>
      <c r="D2990" s="90"/>
      <c r="E2990" s="88" t="s">
        <v>3592</v>
      </c>
      <c r="F2990" s="89"/>
      <c r="G2990" s="89"/>
      <c r="H2990" s="89"/>
      <c r="I2990" s="90"/>
      <c r="J2990" s="88" t="s">
        <v>2179</v>
      </c>
      <c r="K2990" s="89"/>
      <c r="L2990" s="89"/>
      <c r="M2990" s="90"/>
      <c r="N2990" s="88" t="s">
        <v>26</v>
      </c>
      <c r="O2990" s="89"/>
      <c r="P2990" s="90"/>
      <c r="Q2990" s="133">
        <v>1756</v>
      </c>
      <c r="R2990" s="134"/>
      <c r="S2990" s="5" t="s">
        <v>44</v>
      </c>
      <c r="T2990" s="8">
        <v>1685</v>
      </c>
      <c r="U2990" s="8">
        <v>5</v>
      </c>
      <c r="V2990" s="5" t="s">
        <v>106</v>
      </c>
      <c r="W2990" s="12">
        <v>6548410</v>
      </c>
      <c r="X2990" s="6"/>
      <c r="Y2990" s="6"/>
    </row>
    <row r="2991" spans="1:25" ht="15" customHeight="1" x14ac:dyDescent="0.2">
      <c r="A2991" s="88" t="s">
        <v>3384</v>
      </c>
      <c r="B2991" s="90"/>
      <c r="C2991" s="88" t="s">
        <v>3601</v>
      </c>
      <c r="D2991" s="90"/>
      <c r="E2991" s="88" t="s">
        <v>3581</v>
      </c>
      <c r="F2991" s="89"/>
      <c r="G2991" s="89"/>
      <c r="H2991" s="89"/>
      <c r="I2991" s="90"/>
      <c r="J2991" s="88" t="s">
        <v>2179</v>
      </c>
      <c r="K2991" s="89"/>
      <c r="L2991" s="89"/>
      <c r="M2991" s="90"/>
      <c r="N2991" s="88" t="s">
        <v>26</v>
      </c>
      <c r="O2991" s="89"/>
      <c r="P2991" s="90"/>
      <c r="Q2991" s="133">
        <v>1496</v>
      </c>
      <c r="R2991" s="134"/>
      <c r="S2991" s="5" t="s">
        <v>44</v>
      </c>
      <c r="T2991" s="8">
        <v>1615</v>
      </c>
      <c r="U2991" s="8">
        <v>5</v>
      </c>
      <c r="V2991" s="5" t="s">
        <v>23</v>
      </c>
      <c r="W2991" s="12">
        <v>4678622</v>
      </c>
      <c r="X2991" s="6"/>
      <c r="Y2991" s="6"/>
    </row>
    <row r="2992" spans="1:25" ht="15" customHeight="1" x14ac:dyDescent="0.2">
      <c r="A2992" s="88" t="s">
        <v>3384</v>
      </c>
      <c r="B2992" s="90"/>
      <c r="C2992" s="88" t="s">
        <v>3602</v>
      </c>
      <c r="D2992" s="90"/>
      <c r="E2992" s="88" t="s">
        <v>3603</v>
      </c>
      <c r="F2992" s="89"/>
      <c r="G2992" s="89"/>
      <c r="H2992" s="89"/>
      <c r="I2992" s="90"/>
      <c r="J2992" s="88" t="s">
        <v>2179</v>
      </c>
      <c r="K2992" s="89"/>
      <c r="L2992" s="89"/>
      <c r="M2992" s="90"/>
      <c r="N2992" s="88" t="s">
        <v>26</v>
      </c>
      <c r="O2992" s="89"/>
      <c r="P2992" s="90"/>
      <c r="Q2992" s="133">
        <v>2488</v>
      </c>
      <c r="R2992" s="134"/>
      <c r="S2992" s="5" t="s">
        <v>44</v>
      </c>
      <c r="T2992" s="8">
        <v>1865</v>
      </c>
      <c r="U2992" s="8">
        <v>5</v>
      </c>
      <c r="V2992" s="5" t="s">
        <v>23</v>
      </c>
      <c r="W2992" s="12">
        <v>9085369</v>
      </c>
      <c r="X2992" s="6"/>
      <c r="Y2992" s="6"/>
    </row>
    <row r="2993" spans="1:25" ht="15" customHeight="1" x14ac:dyDescent="0.2">
      <c r="A2993" s="88" t="s">
        <v>3384</v>
      </c>
      <c r="B2993" s="90"/>
      <c r="C2993" s="88" t="s">
        <v>3604</v>
      </c>
      <c r="D2993" s="90"/>
      <c r="E2993" s="88" t="s">
        <v>3605</v>
      </c>
      <c r="F2993" s="89"/>
      <c r="G2993" s="89"/>
      <c r="H2993" s="89"/>
      <c r="I2993" s="90"/>
      <c r="J2993" s="88" t="s">
        <v>22</v>
      </c>
      <c r="K2993" s="89"/>
      <c r="L2993" s="89"/>
      <c r="M2993" s="90"/>
      <c r="N2993" s="88" t="s">
        <v>2179</v>
      </c>
      <c r="O2993" s="89"/>
      <c r="P2993" s="90"/>
      <c r="Q2993" s="133">
        <v>2188</v>
      </c>
      <c r="R2993" s="134"/>
      <c r="S2993" s="5" t="s">
        <v>44</v>
      </c>
      <c r="T2993" s="8">
        <v>1785</v>
      </c>
      <c r="U2993" s="8">
        <v>5</v>
      </c>
      <c r="V2993" s="5" t="s">
        <v>23</v>
      </c>
      <c r="W2993" s="12">
        <v>6138280</v>
      </c>
      <c r="X2993" s="6"/>
      <c r="Y2993" s="6"/>
    </row>
    <row r="2994" spans="1:25" ht="15" customHeight="1" x14ac:dyDescent="0.2">
      <c r="A2994" s="88" t="s">
        <v>3384</v>
      </c>
      <c r="B2994" s="90"/>
      <c r="C2994" s="88" t="s">
        <v>3606</v>
      </c>
      <c r="D2994" s="90"/>
      <c r="E2994" s="88" t="s">
        <v>3603</v>
      </c>
      <c r="F2994" s="89"/>
      <c r="G2994" s="89"/>
      <c r="H2994" s="89"/>
      <c r="I2994" s="90"/>
      <c r="J2994" s="88" t="s">
        <v>2179</v>
      </c>
      <c r="K2994" s="89"/>
      <c r="L2994" s="89"/>
      <c r="M2994" s="90"/>
      <c r="N2994" s="88" t="s">
        <v>26</v>
      </c>
      <c r="O2994" s="89"/>
      <c r="P2994" s="90"/>
      <c r="Q2994" s="133">
        <v>2488</v>
      </c>
      <c r="R2994" s="134"/>
      <c r="S2994" s="5" t="s">
        <v>44</v>
      </c>
      <c r="T2994" s="8">
        <v>1425</v>
      </c>
      <c r="U2994" s="8">
        <v>5</v>
      </c>
      <c r="V2994" s="5" t="s">
        <v>23</v>
      </c>
      <c r="W2994" s="12">
        <v>9085369</v>
      </c>
      <c r="X2994" s="6"/>
      <c r="Y2994" s="6"/>
    </row>
    <row r="2995" spans="1:25" ht="15" customHeight="1" x14ac:dyDescent="0.2">
      <c r="A2995" s="88" t="s">
        <v>3384</v>
      </c>
      <c r="B2995" s="90"/>
      <c r="C2995" s="88" t="s">
        <v>3607</v>
      </c>
      <c r="D2995" s="90"/>
      <c r="E2995" s="88" t="s">
        <v>3608</v>
      </c>
      <c r="F2995" s="89"/>
      <c r="G2995" s="89"/>
      <c r="H2995" s="89"/>
      <c r="I2995" s="90"/>
      <c r="J2995" s="88" t="s">
        <v>2179</v>
      </c>
      <c r="K2995" s="89"/>
      <c r="L2995" s="89"/>
      <c r="M2995" s="90"/>
      <c r="N2995" s="88" t="s">
        <v>701</v>
      </c>
      <c r="O2995" s="89"/>
      <c r="P2995" s="90"/>
      <c r="Q2995" s="133">
        <v>2188</v>
      </c>
      <c r="R2995" s="134"/>
      <c r="S2995" s="5" t="s">
        <v>44</v>
      </c>
      <c r="T2995" s="8">
        <v>1965</v>
      </c>
      <c r="U2995" s="8">
        <v>5</v>
      </c>
      <c r="V2995" s="5" t="s">
        <v>106</v>
      </c>
      <c r="W2995" s="12">
        <v>9039074</v>
      </c>
      <c r="X2995" s="6"/>
      <c r="Y2995" s="6"/>
    </row>
    <row r="2996" spans="1:25" ht="15" customHeight="1" x14ac:dyDescent="0.2">
      <c r="A2996" s="88" t="s">
        <v>3384</v>
      </c>
      <c r="B2996" s="90"/>
      <c r="C2996" s="88" t="s">
        <v>3607</v>
      </c>
      <c r="D2996" s="90"/>
      <c r="E2996" s="88" t="s">
        <v>3390</v>
      </c>
      <c r="F2996" s="89"/>
      <c r="G2996" s="89"/>
      <c r="H2996" s="89"/>
      <c r="I2996" s="90"/>
      <c r="J2996" s="88" t="s">
        <v>2179</v>
      </c>
      <c r="K2996" s="89"/>
      <c r="L2996" s="89"/>
      <c r="M2996" s="90"/>
      <c r="N2996" s="88" t="s">
        <v>701</v>
      </c>
      <c r="O2996" s="89"/>
      <c r="P2996" s="90"/>
      <c r="Q2996" s="133">
        <v>2188</v>
      </c>
      <c r="R2996" s="134"/>
      <c r="S2996" s="5" t="s">
        <v>44</v>
      </c>
      <c r="T2996" s="8">
        <v>1965</v>
      </c>
      <c r="U2996" s="8">
        <v>5</v>
      </c>
      <c r="V2996" s="5" t="s">
        <v>106</v>
      </c>
      <c r="W2996" s="12">
        <v>8217340</v>
      </c>
      <c r="X2996" s="6"/>
      <c r="Y2996" s="6"/>
    </row>
    <row r="2997" spans="1:25" ht="15" customHeight="1" x14ac:dyDescent="0.2">
      <c r="A2997" s="88" t="s">
        <v>3384</v>
      </c>
      <c r="B2997" s="90"/>
      <c r="C2997" s="88" t="s">
        <v>3609</v>
      </c>
      <c r="D2997" s="90"/>
      <c r="E2997" s="88" t="s">
        <v>3390</v>
      </c>
      <c r="F2997" s="89"/>
      <c r="G2997" s="89"/>
      <c r="H2997" s="89"/>
      <c r="I2997" s="90"/>
      <c r="J2997" s="88" t="s">
        <v>701</v>
      </c>
      <c r="K2997" s="89"/>
      <c r="L2997" s="89"/>
      <c r="M2997" s="90"/>
      <c r="N2997" s="88" t="s">
        <v>2179</v>
      </c>
      <c r="O2997" s="89"/>
      <c r="P2997" s="90"/>
      <c r="Q2997" s="133">
        <v>1997</v>
      </c>
      <c r="R2997" s="134"/>
      <c r="S2997" s="5" t="s">
        <v>44</v>
      </c>
      <c r="T2997" s="8">
        <v>1965</v>
      </c>
      <c r="U2997" s="8">
        <v>5</v>
      </c>
      <c r="V2997" s="5" t="s">
        <v>106</v>
      </c>
      <c r="W2997" s="12">
        <v>6233605</v>
      </c>
      <c r="X2997" s="6"/>
      <c r="Y2997" s="6"/>
    </row>
    <row r="2998" spans="1:25" ht="15" customHeight="1" x14ac:dyDescent="0.2">
      <c r="A2998" s="88" t="s">
        <v>3384</v>
      </c>
      <c r="B2998" s="90"/>
      <c r="C2998" s="88" t="s">
        <v>3610</v>
      </c>
      <c r="D2998" s="90"/>
      <c r="E2998" s="88" t="s">
        <v>3579</v>
      </c>
      <c r="F2998" s="89"/>
      <c r="G2998" s="89"/>
      <c r="H2998" s="89"/>
      <c r="I2998" s="90"/>
      <c r="J2998" s="88" t="s">
        <v>2179</v>
      </c>
      <c r="K2998" s="89"/>
      <c r="L2998" s="89"/>
      <c r="M2998" s="90"/>
      <c r="N2998" s="88" t="s">
        <v>26</v>
      </c>
      <c r="O2998" s="89"/>
      <c r="P2998" s="90"/>
      <c r="Q2998" s="133">
        <v>1997</v>
      </c>
      <c r="R2998" s="134"/>
      <c r="S2998" s="5" t="s">
        <v>16</v>
      </c>
      <c r="T2998" s="8">
        <v>1735</v>
      </c>
      <c r="U2998" s="8">
        <v>5</v>
      </c>
      <c r="V2998" s="5" t="s">
        <v>23</v>
      </c>
      <c r="W2998" s="12">
        <v>5092436</v>
      </c>
      <c r="X2998" s="6"/>
      <c r="Y2998" s="6"/>
    </row>
    <row r="2999" spans="1:25" ht="15" customHeight="1" x14ac:dyDescent="0.2">
      <c r="A2999" s="88" t="s">
        <v>3384</v>
      </c>
      <c r="B2999" s="90"/>
      <c r="C2999" s="88" t="s">
        <v>3610</v>
      </c>
      <c r="D2999" s="90"/>
      <c r="E2999" s="88" t="s">
        <v>3611</v>
      </c>
      <c r="F2999" s="89"/>
      <c r="G2999" s="89"/>
      <c r="H2999" s="89"/>
      <c r="I2999" s="90"/>
      <c r="J2999" s="88" t="s">
        <v>2179</v>
      </c>
      <c r="K2999" s="89"/>
      <c r="L2999" s="89"/>
      <c r="M2999" s="90"/>
      <c r="N2999" s="88" t="s">
        <v>26</v>
      </c>
      <c r="O2999" s="89"/>
      <c r="P2999" s="90"/>
      <c r="Q2999" s="133">
        <v>1997</v>
      </c>
      <c r="R2999" s="134"/>
      <c r="S2999" s="5" t="s">
        <v>16</v>
      </c>
      <c r="T2999" s="8">
        <v>1735</v>
      </c>
      <c r="U2999" s="8">
        <v>5</v>
      </c>
      <c r="V2999" s="5" t="s">
        <v>23</v>
      </c>
      <c r="W2999" s="12">
        <v>4629488</v>
      </c>
      <c r="X2999" s="6"/>
      <c r="Y2999" s="6"/>
    </row>
    <row r="3000" spans="1:25" ht="15" customHeight="1" x14ac:dyDescent="0.2">
      <c r="A3000" s="88" t="s">
        <v>3384</v>
      </c>
      <c r="B3000" s="90"/>
      <c r="C3000" s="88" t="s">
        <v>3612</v>
      </c>
      <c r="D3000" s="90"/>
      <c r="E3000" s="88" t="s">
        <v>3613</v>
      </c>
      <c r="F3000" s="89"/>
      <c r="G3000" s="89"/>
      <c r="H3000" s="89"/>
      <c r="I3000" s="90"/>
      <c r="J3000" s="106"/>
      <c r="K3000" s="107"/>
      <c r="L3000" s="107"/>
      <c r="M3000" s="108"/>
      <c r="N3000" s="88" t="s">
        <v>26</v>
      </c>
      <c r="O3000" s="89"/>
      <c r="P3000" s="90"/>
      <c r="Q3000" s="133">
        <v>0</v>
      </c>
      <c r="R3000" s="134"/>
      <c r="S3000" s="5" t="s">
        <v>16</v>
      </c>
      <c r="T3000" s="8">
        <v>1925</v>
      </c>
      <c r="U3000" s="8">
        <v>5</v>
      </c>
      <c r="V3000" s="5" t="s">
        <v>17</v>
      </c>
      <c r="W3000" s="12">
        <v>8351595</v>
      </c>
      <c r="X3000" s="6"/>
      <c r="Y3000" s="6"/>
    </row>
    <row r="3001" spans="1:25" ht="15" customHeight="1" x14ac:dyDescent="0.2">
      <c r="A3001" s="88" t="s">
        <v>3384</v>
      </c>
      <c r="B3001" s="90"/>
      <c r="C3001" s="88" t="s">
        <v>3614</v>
      </c>
      <c r="D3001" s="90"/>
      <c r="E3001" s="88" t="s">
        <v>3613</v>
      </c>
      <c r="F3001" s="89"/>
      <c r="G3001" s="89"/>
      <c r="H3001" s="89"/>
      <c r="I3001" s="90"/>
      <c r="J3001" s="88" t="s">
        <v>770</v>
      </c>
      <c r="K3001" s="89"/>
      <c r="L3001" s="89"/>
      <c r="M3001" s="90"/>
      <c r="N3001" s="88" t="s">
        <v>22</v>
      </c>
      <c r="O3001" s="89"/>
      <c r="P3001" s="90"/>
      <c r="Q3001" s="133">
        <v>830</v>
      </c>
      <c r="R3001" s="134"/>
      <c r="S3001" s="5" t="s">
        <v>16</v>
      </c>
      <c r="T3001" s="8">
        <v>1925</v>
      </c>
      <c r="U3001" s="8">
        <v>5</v>
      </c>
      <c r="V3001" s="5" t="s">
        <v>23</v>
      </c>
      <c r="W3001" s="12">
        <v>10133224</v>
      </c>
      <c r="X3001" s="6"/>
      <c r="Y3001" s="6"/>
    </row>
    <row r="3002" spans="1:25" ht="15" customHeight="1" x14ac:dyDescent="0.2">
      <c r="A3002" s="88" t="s">
        <v>3384</v>
      </c>
      <c r="B3002" s="90"/>
      <c r="C3002" s="88" t="s">
        <v>3614</v>
      </c>
      <c r="D3002" s="90"/>
      <c r="E3002" s="88" t="s">
        <v>3613</v>
      </c>
      <c r="F3002" s="89"/>
      <c r="G3002" s="89"/>
      <c r="H3002" s="89"/>
      <c r="I3002" s="90"/>
      <c r="J3002" s="88" t="s">
        <v>2179</v>
      </c>
      <c r="K3002" s="89"/>
      <c r="L3002" s="89"/>
      <c r="M3002" s="90"/>
      <c r="N3002" s="88" t="s">
        <v>26</v>
      </c>
      <c r="O3002" s="89"/>
      <c r="P3002" s="90"/>
      <c r="Q3002" s="133">
        <v>0</v>
      </c>
      <c r="R3002" s="134"/>
      <c r="S3002" s="5" t="s">
        <v>16</v>
      </c>
      <c r="T3002" s="8">
        <v>1925</v>
      </c>
      <c r="U3002" s="8">
        <v>5</v>
      </c>
      <c r="V3002" s="5" t="s">
        <v>17</v>
      </c>
      <c r="W3002" s="12">
        <v>9288604</v>
      </c>
      <c r="X3002" s="6"/>
      <c r="Y3002" s="6"/>
    </row>
    <row r="3003" spans="1:25" ht="15" customHeight="1" x14ac:dyDescent="0.2">
      <c r="A3003" s="88" t="s">
        <v>3384</v>
      </c>
      <c r="B3003" s="90"/>
      <c r="C3003" s="88" t="s">
        <v>3615</v>
      </c>
      <c r="D3003" s="90"/>
      <c r="E3003" s="88" t="s">
        <v>3611</v>
      </c>
      <c r="F3003" s="89"/>
      <c r="G3003" s="89"/>
      <c r="H3003" s="89"/>
      <c r="I3003" s="90"/>
      <c r="J3003" s="88" t="s">
        <v>2179</v>
      </c>
      <c r="K3003" s="89"/>
      <c r="L3003" s="89"/>
      <c r="M3003" s="90"/>
      <c r="N3003" s="88" t="s">
        <v>22</v>
      </c>
      <c r="O3003" s="89"/>
      <c r="P3003" s="90"/>
      <c r="Q3003" s="133">
        <v>0</v>
      </c>
      <c r="R3003" s="134"/>
      <c r="S3003" s="5" t="s">
        <v>16</v>
      </c>
      <c r="T3003" s="8">
        <v>1735</v>
      </c>
      <c r="U3003" s="8">
        <v>5</v>
      </c>
      <c r="V3003" s="5" t="s">
        <v>17</v>
      </c>
      <c r="W3003" s="6"/>
      <c r="X3003" s="6"/>
      <c r="Y3003" s="6"/>
    </row>
    <row r="3004" spans="1:25" ht="15" customHeight="1" x14ac:dyDescent="0.2">
      <c r="A3004" s="88" t="s">
        <v>3384</v>
      </c>
      <c r="B3004" s="90"/>
      <c r="C3004" s="88" t="s">
        <v>3615</v>
      </c>
      <c r="D3004" s="90"/>
      <c r="E3004" s="88" t="s">
        <v>3611</v>
      </c>
      <c r="F3004" s="89"/>
      <c r="G3004" s="89"/>
      <c r="H3004" s="89"/>
      <c r="I3004" s="90"/>
      <c r="J3004" s="88" t="s">
        <v>2179</v>
      </c>
      <c r="K3004" s="89"/>
      <c r="L3004" s="89"/>
      <c r="M3004" s="90"/>
      <c r="N3004" s="88" t="s">
        <v>26</v>
      </c>
      <c r="O3004" s="89"/>
      <c r="P3004" s="90"/>
      <c r="Q3004" s="133">
        <v>1997</v>
      </c>
      <c r="R3004" s="134"/>
      <c r="S3004" s="5" t="s">
        <v>16</v>
      </c>
      <c r="T3004" s="8">
        <v>1735</v>
      </c>
      <c r="U3004" s="8">
        <v>5</v>
      </c>
      <c r="V3004" s="5" t="s">
        <v>23</v>
      </c>
      <c r="W3004" s="12">
        <v>5810007</v>
      </c>
      <c r="X3004" s="6"/>
      <c r="Y3004" s="6"/>
    </row>
    <row r="3005" spans="1:25" ht="15" customHeight="1" x14ac:dyDescent="0.2">
      <c r="A3005" s="88" t="s">
        <v>3384</v>
      </c>
      <c r="B3005" s="90"/>
      <c r="C3005" s="88" t="s">
        <v>3616</v>
      </c>
      <c r="D3005" s="90"/>
      <c r="E3005" s="88" t="s">
        <v>3613</v>
      </c>
      <c r="F3005" s="89"/>
      <c r="G3005" s="89"/>
      <c r="H3005" s="89"/>
      <c r="I3005" s="90"/>
      <c r="J3005" s="88" t="s">
        <v>770</v>
      </c>
      <c r="K3005" s="89"/>
      <c r="L3005" s="89"/>
      <c r="M3005" s="90"/>
      <c r="N3005" s="88" t="s">
        <v>26</v>
      </c>
      <c r="O3005" s="89"/>
      <c r="P3005" s="90"/>
      <c r="Q3005" s="133">
        <v>0</v>
      </c>
      <c r="R3005" s="134"/>
      <c r="S3005" s="5" t="s">
        <v>16</v>
      </c>
      <c r="T3005" s="8">
        <v>1615</v>
      </c>
      <c r="U3005" s="8">
        <v>5</v>
      </c>
      <c r="V3005" s="5" t="s">
        <v>17</v>
      </c>
      <c r="W3005" s="12">
        <v>9288604</v>
      </c>
      <c r="X3005" s="6"/>
      <c r="Y3005" s="6"/>
    </row>
    <row r="3006" spans="1:25" ht="15" customHeight="1" x14ac:dyDescent="0.2">
      <c r="A3006" s="88" t="s">
        <v>3384</v>
      </c>
      <c r="B3006" s="90"/>
      <c r="C3006" s="88" t="s">
        <v>3617</v>
      </c>
      <c r="D3006" s="90"/>
      <c r="E3006" s="88" t="s">
        <v>3618</v>
      </c>
      <c r="F3006" s="89"/>
      <c r="G3006" s="89"/>
      <c r="H3006" s="89"/>
      <c r="I3006" s="90"/>
      <c r="J3006" s="88" t="s">
        <v>2179</v>
      </c>
      <c r="K3006" s="89"/>
      <c r="L3006" s="89"/>
      <c r="M3006" s="90"/>
      <c r="N3006" s="88" t="s">
        <v>26</v>
      </c>
      <c r="O3006" s="89"/>
      <c r="P3006" s="90"/>
      <c r="Q3006" s="133">
        <v>830</v>
      </c>
      <c r="R3006" s="134"/>
      <c r="S3006" s="5" t="s">
        <v>16</v>
      </c>
      <c r="T3006" s="8">
        <v>2055</v>
      </c>
      <c r="U3006" s="8">
        <v>5</v>
      </c>
      <c r="V3006" s="5" t="s">
        <v>23</v>
      </c>
      <c r="W3006" s="12">
        <v>9933028</v>
      </c>
      <c r="X3006" s="6"/>
      <c r="Y3006" s="6"/>
    </row>
    <row r="3007" spans="1:25" ht="15" customHeight="1" x14ac:dyDescent="0.2">
      <c r="A3007" s="88" t="s">
        <v>3384</v>
      </c>
      <c r="B3007" s="90"/>
      <c r="C3007" s="88" t="s">
        <v>3619</v>
      </c>
      <c r="D3007" s="90"/>
      <c r="E3007" s="88" t="s">
        <v>3618</v>
      </c>
      <c r="F3007" s="89"/>
      <c r="G3007" s="89"/>
      <c r="H3007" s="89"/>
      <c r="I3007" s="90"/>
      <c r="J3007" s="88" t="s">
        <v>770</v>
      </c>
      <c r="K3007" s="89"/>
      <c r="L3007" s="89"/>
      <c r="M3007" s="90"/>
      <c r="N3007" s="88" t="s">
        <v>22</v>
      </c>
      <c r="O3007" s="89"/>
      <c r="P3007" s="90"/>
      <c r="Q3007" s="133">
        <v>1997</v>
      </c>
      <c r="R3007" s="134"/>
      <c r="S3007" s="5" t="s">
        <v>16</v>
      </c>
      <c r="T3007" s="8">
        <v>2055</v>
      </c>
      <c r="U3007" s="8">
        <v>5</v>
      </c>
      <c r="V3007" s="5" t="s">
        <v>23</v>
      </c>
      <c r="W3007" s="12">
        <v>10346905</v>
      </c>
      <c r="X3007" s="6"/>
      <c r="Y3007" s="6"/>
    </row>
    <row r="3008" spans="1:25" ht="15" customHeight="1" x14ac:dyDescent="0.2">
      <c r="A3008" s="88" t="s">
        <v>3384</v>
      </c>
      <c r="B3008" s="90"/>
      <c r="C3008" s="88" t="s">
        <v>3620</v>
      </c>
      <c r="D3008" s="90"/>
      <c r="E3008" s="88" t="s">
        <v>3613</v>
      </c>
      <c r="F3008" s="89"/>
      <c r="G3008" s="89"/>
      <c r="H3008" s="89"/>
      <c r="I3008" s="90"/>
      <c r="J3008" s="88" t="s">
        <v>770</v>
      </c>
      <c r="K3008" s="89"/>
      <c r="L3008" s="89"/>
      <c r="M3008" s="90"/>
      <c r="N3008" s="88" t="s">
        <v>26</v>
      </c>
      <c r="O3008" s="89"/>
      <c r="P3008" s="90"/>
      <c r="Q3008" s="133">
        <v>0</v>
      </c>
      <c r="R3008" s="134"/>
      <c r="S3008" s="5" t="s">
        <v>16</v>
      </c>
      <c r="T3008" s="8">
        <v>1925</v>
      </c>
      <c r="U3008" s="8">
        <v>5</v>
      </c>
      <c r="V3008" s="5" t="s">
        <v>17</v>
      </c>
      <c r="W3008" s="6"/>
      <c r="X3008" s="6"/>
      <c r="Y3008" s="6"/>
    </row>
    <row r="3009" spans="1:25" ht="15" customHeight="1" x14ac:dyDescent="0.2">
      <c r="A3009" s="88" t="s">
        <v>3384</v>
      </c>
      <c r="B3009" s="90"/>
      <c r="C3009" s="88" t="s">
        <v>3621</v>
      </c>
      <c r="D3009" s="90"/>
      <c r="E3009" s="88" t="s">
        <v>3613</v>
      </c>
      <c r="F3009" s="89"/>
      <c r="G3009" s="89"/>
      <c r="H3009" s="89"/>
      <c r="I3009" s="90"/>
      <c r="J3009" s="88" t="s">
        <v>2179</v>
      </c>
      <c r="K3009" s="89"/>
      <c r="L3009" s="89"/>
      <c r="M3009" s="90"/>
      <c r="N3009" s="88" t="s">
        <v>26</v>
      </c>
      <c r="O3009" s="89"/>
      <c r="P3009" s="90"/>
      <c r="Q3009" s="133">
        <v>0</v>
      </c>
      <c r="R3009" s="134"/>
      <c r="S3009" s="5" t="s">
        <v>16</v>
      </c>
      <c r="T3009" s="8">
        <v>1925</v>
      </c>
      <c r="U3009" s="8">
        <v>5</v>
      </c>
      <c r="V3009" s="5" t="s">
        <v>17</v>
      </c>
      <c r="W3009" s="12">
        <v>8444185</v>
      </c>
      <c r="X3009" s="6"/>
      <c r="Y3009" s="6"/>
    </row>
    <row r="3010" spans="1:25" ht="15" customHeight="1" x14ac:dyDescent="0.2">
      <c r="A3010" s="88" t="s">
        <v>3384</v>
      </c>
      <c r="B3010" s="90"/>
      <c r="C3010" s="88" t="s">
        <v>3621</v>
      </c>
      <c r="D3010" s="90"/>
      <c r="E3010" s="88" t="s">
        <v>3613</v>
      </c>
      <c r="F3010" s="89"/>
      <c r="G3010" s="89"/>
      <c r="H3010" s="89"/>
      <c r="I3010" s="90"/>
      <c r="J3010" s="88" t="s">
        <v>770</v>
      </c>
      <c r="K3010" s="89"/>
      <c r="L3010" s="89"/>
      <c r="M3010" s="90"/>
      <c r="N3010" s="88" t="s">
        <v>26</v>
      </c>
      <c r="O3010" s="89"/>
      <c r="P3010" s="90"/>
      <c r="Q3010" s="133">
        <v>0</v>
      </c>
      <c r="R3010" s="134"/>
      <c r="S3010" s="5" t="s">
        <v>16</v>
      </c>
      <c r="T3010" s="8">
        <v>1925</v>
      </c>
      <c r="U3010" s="8">
        <v>5</v>
      </c>
      <c r="V3010" s="5" t="s">
        <v>17</v>
      </c>
      <c r="W3010" s="12">
        <v>8444185</v>
      </c>
      <c r="X3010" s="6"/>
      <c r="Y3010" s="6"/>
    </row>
    <row r="3011" spans="1:25" ht="15" customHeight="1" x14ac:dyDescent="0.2">
      <c r="A3011" s="88" t="s">
        <v>3384</v>
      </c>
      <c r="B3011" s="90"/>
      <c r="C3011" s="88" t="s">
        <v>3622</v>
      </c>
      <c r="D3011" s="90"/>
      <c r="E3011" s="88" t="s">
        <v>3623</v>
      </c>
      <c r="F3011" s="89"/>
      <c r="G3011" s="89"/>
      <c r="H3011" s="89"/>
      <c r="I3011" s="90"/>
      <c r="J3011" s="88" t="s">
        <v>2179</v>
      </c>
      <c r="K3011" s="89"/>
      <c r="L3011" s="89"/>
      <c r="M3011" s="90"/>
      <c r="N3011" s="88" t="s">
        <v>26</v>
      </c>
      <c r="O3011" s="89"/>
      <c r="P3011" s="90"/>
      <c r="Q3011" s="133">
        <v>1997</v>
      </c>
      <c r="R3011" s="134"/>
      <c r="S3011" s="5" t="s">
        <v>1101</v>
      </c>
      <c r="T3011" s="8">
        <v>1885</v>
      </c>
      <c r="U3011" s="8">
        <v>7</v>
      </c>
      <c r="V3011" s="5" t="s">
        <v>23</v>
      </c>
      <c r="W3011" s="12">
        <v>4713660</v>
      </c>
      <c r="X3011" s="6"/>
      <c r="Y3011" s="6"/>
    </row>
    <row r="3012" spans="1:25" ht="15" customHeight="1" x14ac:dyDescent="0.2">
      <c r="A3012" s="88" t="s">
        <v>3384</v>
      </c>
      <c r="B3012" s="90"/>
      <c r="C3012" s="88" t="s">
        <v>3624</v>
      </c>
      <c r="D3012" s="90"/>
      <c r="E3012" s="88" t="s">
        <v>3623</v>
      </c>
      <c r="F3012" s="89"/>
      <c r="G3012" s="89"/>
      <c r="H3012" s="89"/>
      <c r="I3012" s="90"/>
      <c r="J3012" s="88" t="s">
        <v>2179</v>
      </c>
      <c r="K3012" s="89"/>
      <c r="L3012" s="89"/>
      <c r="M3012" s="90"/>
      <c r="N3012" s="88" t="s">
        <v>26</v>
      </c>
      <c r="O3012" s="89"/>
      <c r="P3012" s="90"/>
      <c r="Q3012" s="133">
        <v>1997</v>
      </c>
      <c r="R3012" s="134"/>
      <c r="S3012" s="5" t="s">
        <v>1101</v>
      </c>
      <c r="T3012" s="8">
        <v>1945</v>
      </c>
      <c r="U3012" s="8">
        <v>7</v>
      </c>
      <c r="V3012" s="5" t="s">
        <v>23</v>
      </c>
      <c r="W3012" s="12">
        <v>5281824</v>
      </c>
      <c r="X3012" s="6"/>
      <c r="Y3012" s="6"/>
    </row>
    <row r="3013" spans="1:25" ht="15" customHeight="1" x14ac:dyDescent="0.2">
      <c r="A3013" s="88" t="s">
        <v>3384</v>
      </c>
      <c r="B3013" s="90"/>
      <c r="C3013" s="88" t="s">
        <v>3625</v>
      </c>
      <c r="D3013" s="90"/>
      <c r="E3013" s="88" t="s">
        <v>3554</v>
      </c>
      <c r="F3013" s="89"/>
      <c r="G3013" s="89"/>
      <c r="H3013" s="89"/>
      <c r="I3013" s="90"/>
      <c r="J3013" s="88" t="s">
        <v>1718</v>
      </c>
      <c r="K3013" s="89"/>
      <c r="L3013" s="89"/>
      <c r="M3013" s="90"/>
      <c r="N3013" s="88" t="s">
        <v>22</v>
      </c>
      <c r="O3013" s="89"/>
      <c r="P3013" s="90"/>
      <c r="Q3013" s="133">
        <v>1997</v>
      </c>
      <c r="R3013" s="134"/>
      <c r="S3013" s="5" t="s">
        <v>119</v>
      </c>
      <c r="T3013" s="8">
        <v>1120</v>
      </c>
      <c r="U3013" s="8">
        <v>2</v>
      </c>
      <c r="V3013" s="5" t="s">
        <v>106</v>
      </c>
      <c r="W3013" s="12">
        <v>7907165</v>
      </c>
      <c r="X3013" s="6"/>
      <c r="Y3013" s="6"/>
    </row>
    <row r="3014" spans="1:25" ht="15" customHeight="1" x14ac:dyDescent="0.2">
      <c r="A3014" s="88" t="s">
        <v>3384</v>
      </c>
      <c r="B3014" s="90"/>
      <c r="C3014" s="88" t="s">
        <v>3625</v>
      </c>
      <c r="D3014" s="90"/>
      <c r="E3014" s="88" t="s">
        <v>3554</v>
      </c>
      <c r="F3014" s="89"/>
      <c r="G3014" s="89"/>
      <c r="H3014" s="89"/>
      <c r="I3014" s="90"/>
      <c r="J3014" s="88" t="s">
        <v>1718</v>
      </c>
      <c r="K3014" s="89"/>
      <c r="L3014" s="89"/>
      <c r="M3014" s="90"/>
      <c r="N3014" s="88" t="s">
        <v>26</v>
      </c>
      <c r="O3014" s="89"/>
      <c r="P3014" s="90"/>
      <c r="Q3014" s="133">
        <v>1997</v>
      </c>
      <c r="R3014" s="134"/>
      <c r="S3014" s="5" t="s">
        <v>119</v>
      </c>
      <c r="T3014" s="8">
        <v>1210</v>
      </c>
      <c r="U3014" s="8">
        <v>2</v>
      </c>
      <c r="V3014" s="5" t="s">
        <v>23</v>
      </c>
      <c r="W3014" s="12">
        <v>7860870</v>
      </c>
      <c r="X3014" s="6"/>
      <c r="Y3014" s="6"/>
    </row>
    <row r="3015" spans="1:25" ht="15" customHeight="1" x14ac:dyDescent="0.2">
      <c r="A3015" s="88" t="s">
        <v>3384</v>
      </c>
      <c r="B3015" s="90"/>
      <c r="C3015" s="88" t="s">
        <v>3625</v>
      </c>
      <c r="D3015" s="90"/>
      <c r="E3015" s="88" t="s">
        <v>3626</v>
      </c>
      <c r="F3015" s="89"/>
      <c r="G3015" s="89"/>
      <c r="H3015" s="89"/>
      <c r="I3015" s="90"/>
      <c r="J3015" s="88" t="s">
        <v>1718</v>
      </c>
      <c r="K3015" s="89"/>
      <c r="L3015" s="89"/>
      <c r="M3015" s="90"/>
      <c r="N3015" s="88" t="s">
        <v>26</v>
      </c>
      <c r="O3015" s="89"/>
      <c r="P3015" s="90"/>
      <c r="Q3015" s="133">
        <v>1997</v>
      </c>
      <c r="R3015" s="134"/>
      <c r="S3015" s="5" t="s">
        <v>119</v>
      </c>
      <c r="T3015" s="8">
        <v>1210</v>
      </c>
      <c r="U3015" s="8">
        <v>2</v>
      </c>
      <c r="V3015" s="5" t="s">
        <v>23</v>
      </c>
      <c r="W3015" s="12">
        <v>6965274</v>
      </c>
      <c r="X3015" s="6"/>
      <c r="Y3015" s="6"/>
    </row>
    <row r="3016" spans="1:25" ht="15" customHeight="1" x14ac:dyDescent="0.2">
      <c r="A3016" s="88" t="s">
        <v>3384</v>
      </c>
      <c r="B3016" s="90"/>
      <c r="C3016" s="88" t="s">
        <v>3627</v>
      </c>
      <c r="D3016" s="90"/>
      <c r="E3016" s="88" t="s">
        <v>3628</v>
      </c>
      <c r="F3016" s="89"/>
      <c r="G3016" s="89"/>
      <c r="H3016" s="89"/>
      <c r="I3016" s="90"/>
      <c r="J3016" s="88" t="s">
        <v>1718</v>
      </c>
      <c r="K3016" s="89"/>
      <c r="L3016" s="89"/>
      <c r="M3016" s="90"/>
      <c r="N3016" s="88" t="s">
        <v>26</v>
      </c>
      <c r="O3016" s="89"/>
      <c r="P3016" s="90"/>
      <c r="Q3016" s="133">
        <v>1496</v>
      </c>
      <c r="R3016" s="134"/>
      <c r="S3016" s="5" t="s">
        <v>119</v>
      </c>
      <c r="T3016" s="8">
        <v>1130</v>
      </c>
      <c r="U3016" s="8">
        <v>2</v>
      </c>
      <c r="V3016" s="5" t="s">
        <v>23</v>
      </c>
      <c r="W3016" s="12">
        <v>5676593</v>
      </c>
      <c r="X3016" s="6"/>
      <c r="Y3016" s="6"/>
    </row>
    <row r="3017" spans="1:25" ht="15" customHeight="1" x14ac:dyDescent="0.2">
      <c r="A3017" s="88" t="s">
        <v>3384</v>
      </c>
      <c r="B3017" s="90"/>
      <c r="C3017" s="88" t="s">
        <v>3629</v>
      </c>
      <c r="D3017" s="90"/>
      <c r="E3017" s="88" t="s">
        <v>3630</v>
      </c>
      <c r="F3017" s="89"/>
      <c r="G3017" s="89"/>
      <c r="H3017" s="89"/>
      <c r="I3017" s="90"/>
      <c r="J3017" s="88" t="s">
        <v>1718</v>
      </c>
      <c r="K3017" s="89"/>
      <c r="L3017" s="89"/>
      <c r="M3017" s="90"/>
      <c r="N3017" s="88" t="s">
        <v>26</v>
      </c>
      <c r="O3017" s="89"/>
      <c r="P3017" s="90"/>
      <c r="Q3017" s="133">
        <v>1496</v>
      </c>
      <c r="R3017" s="134"/>
      <c r="S3017" s="5" t="s">
        <v>119</v>
      </c>
      <c r="T3017" s="8">
        <v>1140</v>
      </c>
      <c r="U3017" s="8">
        <v>2</v>
      </c>
      <c r="V3017" s="5" t="s">
        <v>23</v>
      </c>
      <c r="W3017" s="12">
        <v>7177557</v>
      </c>
      <c r="X3017" s="6"/>
      <c r="Y3017" s="6"/>
    </row>
    <row r="3018" spans="1:25" ht="15" customHeight="1" x14ac:dyDescent="0.2">
      <c r="A3018" s="88" t="s">
        <v>3384</v>
      </c>
      <c r="B3018" s="90"/>
      <c r="C3018" s="88" t="s">
        <v>3631</v>
      </c>
      <c r="D3018" s="90"/>
      <c r="E3018" s="88" t="s">
        <v>3556</v>
      </c>
      <c r="F3018" s="89"/>
      <c r="G3018" s="89"/>
      <c r="H3018" s="89"/>
      <c r="I3018" s="90"/>
      <c r="J3018" s="88" t="s">
        <v>1718</v>
      </c>
      <c r="K3018" s="89"/>
      <c r="L3018" s="89"/>
      <c r="M3018" s="90"/>
      <c r="N3018" s="88" t="s">
        <v>26</v>
      </c>
      <c r="O3018" s="89"/>
      <c r="P3018" s="90"/>
      <c r="Q3018" s="133">
        <v>1496</v>
      </c>
      <c r="R3018" s="134"/>
      <c r="S3018" s="5" t="s">
        <v>119</v>
      </c>
      <c r="T3018" s="8">
        <v>1120</v>
      </c>
      <c r="U3018" s="8">
        <v>2</v>
      </c>
      <c r="V3018" s="5" t="s">
        <v>23</v>
      </c>
      <c r="W3018" s="12">
        <v>5689118</v>
      </c>
      <c r="X3018" s="6"/>
      <c r="Y3018" s="6"/>
    </row>
    <row r="3019" spans="1:25" ht="15" customHeight="1" x14ac:dyDescent="0.2">
      <c r="A3019" s="88" t="s">
        <v>3384</v>
      </c>
      <c r="B3019" s="90"/>
      <c r="C3019" s="88" t="s">
        <v>3632</v>
      </c>
      <c r="D3019" s="90"/>
      <c r="E3019" s="88" t="s">
        <v>3556</v>
      </c>
      <c r="F3019" s="89"/>
      <c r="G3019" s="89"/>
      <c r="H3019" s="89"/>
      <c r="I3019" s="90"/>
      <c r="J3019" s="88" t="s">
        <v>1718</v>
      </c>
      <c r="K3019" s="89"/>
      <c r="L3019" s="89"/>
      <c r="M3019" s="90"/>
      <c r="N3019" s="88" t="s">
        <v>22</v>
      </c>
      <c r="O3019" s="89"/>
      <c r="P3019" s="90"/>
      <c r="Q3019" s="133">
        <v>1496</v>
      </c>
      <c r="R3019" s="134"/>
      <c r="S3019" s="5" t="s">
        <v>119</v>
      </c>
      <c r="T3019" s="8">
        <v>1120</v>
      </c>
      <c r="U3019" s="8">
        <v>2</v>
      </c>
      <c r="V3019" s="5" t="s">
        <v>106</v>
      </c>
      <c r="W3019" s="12">
        <v>5737602</v>
      </c>
      <c r="X3019" s="6"/>
      <c r="Y3019" s="6"/>
    </row>
    <row r="3020" spans="1:25" ht="15" customHeight="1" x14ac:dyDescent="0.2">
      <c r="A3020" s="88" t="s">
        <v>3384</v>
      </c>
      <c r="B3020" s="90"/>
      <c r="C3020" s="88" t="s">
        <v>3633</v>
      </c>
      <c r="D3020" s="90"/>
      <c r="E3020" s="88" t="s">
        <v>3634</v>
      </c>
      <c r="F3020" s="89"/>
      <c r="G3020" s="89"/>
      <c r="H3020" s="89"/>
      <c r="I3020" s="90"/>
      <c r="J3020" s="88" t="s">
        <v>887</v>
      </c>
      <c r="K3020" s="89"/>
      <c r="L3020" s="89"/>
      <c r="M3020" s="90"/>
      <c r="N3020" s="88" t="s">
        <v>26</v>
      </c>
      <c r="O3020" s="89"/>
      <c r="P3020" s="90"/>
      <c r="Q3020" s="133">
        <v>658</v>
      </c>
      <c r="R3020" s="134"/>
      <c r="S3020" s="5" t="s">
        <v>814</v>
      </c>
      <c r="T3020" s="8">
        <v>1370</v>
      </c>
      <c r="U3020" s="8">
        <v>4</v>
      </c>
      <c r="V3020" s="5" t="s">
        <v>23</v>
      </c>
      <c r="W3020" s="12">
        <v>2637697</v>
      </c>
      <c r="X3020" s="6"/>
      <c r="Y3020" s="6"/>
    </row>
    <row r="3021" spans="1:25" ht="15" customHeight="1" x14ac:dyDescent="0.2">
      <c r="A3021" s="88" t="s">
        <v>3384</v>
      </c>
      <c r="B3021" s="90"/>
      <c r="C3021" s="88" t="s">
        <v>3635</v>
      </c>
      <c r="D3021" s="90"/>
      <c r="E3021" s="88" t="s">
        <v>3636</v>
      </c>
      <c r="F3021" s="89"/>
      <c r="G3021" s="89"/>
      <c r="H3021" s="89"/>
      <c r="I3021" s="90"/>
      <c r="J3021" s="88" t="s">
        <v>887</v>
      </c>
      <c r="K3021" s="89"/>
      <c r="L3021" s="89"/>
      <c r="M3021" s="90"/>
      <c r="N3021" s="88" t="s">
        <v>26</v>
      </c>
      <c r="O3021" s="89"/>
      <c r="P3021" s="90"/>
      <c r="Q3021" s="133">
        <v>658</v>
      </c>
      <c r="R3021" s="134"/>
      <c r="S3021" s="5" t="s">
        <v>814</v>
      </c>
      <c r="T3021" s="8">
        <v>1190</v>
      </c>
      <c r="U3021" s="8">
        <v>4</v>
      </c>
      <c r="V3021" s="5" t="s">
        <v>23</v>
      </c>
      <c r="W3021" s="12">
        <v>3338079</v>
      </c>
      <c r="X3021" s="6"/>
      <c r="Y3021" s="6"/>
    </row>
    <row r="3022" spans="1:25" ht="15" customHeight="1" x14ac:dyDescent="0.2">
      <c r="A3022" s="88" t="s">
        <v>3384</v>
      </c>
      <c r="B3022" s="90"/>
      <c r="C3022" s="88" t="s">
        <v>3637</v>
      </c>
      <c r="D3022" s="90"/>
      <c r="E3022" s="88" t="s">
        <v>3638</v>
      </c>
      <c r="F3022" s="89"/>
      <c r="G3022" s="89"/>
      <c r="H3022" s="89"/>
      <c r="I3022" s="90"/>
      <c r="J3022" s="88" t="s">
        <v>887</v>
      </c>
      <c r="K3022" s="89"/>
      <c r="L3022" s="89"/>
      <c r="M3022" s="90"/>
      <c r="N3022" s="88" t="s">
        <v>26</v>
      </c>
      <c r="O3022" s="89"/>
      <c r="P3022" s="90"/>
      <c r="Q3022" s="133">
        <v>658</v>
      </c>
      <c r="R3022" s="134"/>
      <c r="S3022" s="5" t="s">
        <v>945</v>
      </c>
      <c r="T3022" s="8">
        <v>1210</v>
      </c>
      <c r="U3022" s="8">
        <v>2</v>
      </c>
      <c r="V3022" s="5" t="s">
        <v>23</v>
      </c>
      <c r="W3022" s="12">
        <v>2302152</v>
      </c>
      <c r="X3022" s="6"/>
      <c r="Y3022" s="6"/>
    </row>
    <row r="3023" spans="1:25" ht="15" customHeight="1" x14ac:dyDescent="0.2">
      <c r="A3023" s="88" t="s">
        <v>3384</v>
      </c>
      <c r="B3023" s="90"/>
      <c r="C3023" s="88" t="s">
        <v>3637</v>
      </c>
      <c r="D3023" s="90"/>
      <c r="E3023" s="88" t="s">
        <v>3638</v>
      </c>
      <c r="F3023" s="89"/>
      <c r="G3023" s="89"/>
      <c r="H3023" s="89"/>
      <c r="I3023" s="90"/>
      <c r="J3023" s="88" t="s">
        <v>3639</v>
      </c>
      <c r="K3023" s="89"/>
      <c r="L3023" s="89"/>
      <c r="M3023" s="90"/>
      <c r="N3023" s="88" t="s">
        <v>26</v>
      </c>
      <c r="O3023" s="89"/>
      <c r="P3023" s="90"/>
      <c r="Q3023" s="133">
        <v>658</v>
      </c>
      <c r="R3023" s="134"/>
      <c r="S3023" s="5" t="s">
        <v>945</v>
      </c>
      <c r="T3023" s="8">
        <v>1190</v>
      </c>
      <c r="U3023" s="8">
        <v>2</v>
      </c>
      <c r="V3023" s="5" t="s">
        <v>23</v>
      </c>
      <c r="W3023" s="12">
        <v>1951051</v>
      </c>
      <c r="X3023" s="6"/>
      <c r="Y3023" s="6"/>
    </row>
    <row r="3024" spans="1:25" ht="15" customHeight="1" x14ac:dyDescent="0.2">
      <c r="A3024" s="88" t="s">
        <v>3384</v>
      </c>
      <c r="B3024" s="90"/>
      <c r="C3024" s="88" t="s">
        <v>3637</v>
      </c>
      <c r="D3024" s="90"/>
      <c r="E3024" s="88" t="s">
        <v>3640</v>
      </c>
      <c r="F3024" s="89"/>
      <c r="G3024" s="89"/>
      <c r="H3024" s="89"/>
      <c r="I3024" s="90"/>
      <c r="J3024" s="88" t="s">
        <v>3639</v>
      </c>
      <c r="K3024" s="89"/>
      <c r="L3024" s="89"/>
      <c r="M3024" s="90"/>
      <c r="N3024" s="88" t="s">
        <v>26</v>
      </c>
      <c r="O3024" s="89"/>
      <c r="P3024" s="90"/>
      <c r="Q3024" s="133">
        <v>658</v>
      </c>
      <c r="R3024" s="134"/>
      <c r="S3024" s="5" t="s">
        <v>945</v>
      </c>
      <c r="T3024" s="8">
        <v>1160</v>
      </c>
      <c r="U3024" s="8">
        <v>2</v>
      </c>
      <c r="V3024" s="5" t="s">
        <v>23</v>
      </c>
      <c r="W3024" s="12">
        <v>1733280</v>
      </c>
      <c r="X3024" s="6"/>
      <c r="Y3024" s="6"/>
    </row>
    <row r="3025" spans="1:25" ht="15" customHeight="1" x14ac:dyDescent="0.2">
      <c r="A3025" s="88" t="s">
        <v>3384</v>
      </c>
      <c r="B3025" s="90"/>
      <c r="C3025" s="88" t="s">
        <v>3641</v>
      </c>
      <c r="D3025" s="90"/>
      <c r="E3025" s="88" t="s">
        <v>3634</v>
      </c>
      <c r="F3025" s="89"/>
      <c r="G3025" s="89"/>
      <c r="H3025" s="89"/>
      <c r="I3025" s="90"/>
      <c r="J3025" s="88" t="s">
        <v>887</v>
      </c>
      <c r="K3025" s="89"/>
      <c r="L3025" s="89"/>
      <c r="M3025" s="90"/>
      <c r="N3025" s="88" t="s">
        <v>26</v>
      </c>
      <c r="O3025" s="89"/>
      <c r="P3025" s="90"/>
      <c r="Q3025" s="133">
        <v>658</v>
      </c>
      <c r="R3025" s="134"/>
      <c r="S3025" s="5" t="s">
        <v>814</v>
      </c>
      <c r="T3025" s="8">
        <v>1370</v>
      </c>
      <c r="U3025" s="8">
        <v>4</v>
      </c>
      <c r="V3025" s="5" t="s">
        <v>23</v>
      </c>
      <c r="W3025" s="12">
        <v>2802136</v>
      </c>
      <c r="X3025" s="6"/>
      <c r="Y3025" s="6"/>
    </row>
    <row r="3026" spans="1:25" ht="15" customHeight="1" x14ac:dyDescent="0.2">
      <c r="A3026" s="88" t="s">
        <v>3384</v>
      </c>
      <c r="B3026" s="90"/>
      <c r="C3026" s="88" t="s">
        <v>3642</v>
      </c>
      <c r="D3026" s="90"/>
      <c r="E3026" s="88" t="s">
        <v>3411</v>
      </c>
      <c r="F3026" s="89"/>
      <c r="G3026" s="89"/>
      <c r="H3026" s="89"/>
      <c r="I3026" s="90"/>
      <c r="J3026" s="88" t="s">
        <v>887</v>
      </c>
      <c r="K3026" s="89"/>
      <c r="L3026" s="89"/>
      <c r="M3026" s="90"/>
      <c r="N3026" s="88" t="s">
        <v>26</v>
      </c>
      <c r="O3026" s="89"/>
      <c r="P3026" s="90"/>
      <c r="Q3026" s="133">
        <v>658</v>
      </c>
      <c r="R3026" s="134"/>
      <c r="S3026" s="5" t="s">
        <v>814</v>
      </c>
      <c r="T3026" s="8">
        <v>1360</v>
      </c>
      <c r="U3026" s="8">
        <v>4</v>
      </c>
      <c r="V3026" s="5" t="s">
        <v>23</v>
      </c>
      <c r="W3026" s="12">
        <v>2379725</v>
      </c>
      <c r="X3026" s="6"/>
      <c r="Y3026" s="6"/>
    </row>
    <row r="3027" spans="1:25" ht="15" customHeight="1" x14ac:dyDescent="0.2">
      <c r="A3027" s="88" t="s">
        <v>3384</v>
      </c>
      <c r="B3027" s="90"/>
      <c r="C3027" s="88" t="s">
        <v>3642</v>
      </c>
      <c r="D3027" s="90"/>
      <c r="E3027" s="88" t="s">
        <v>3634</v>
      </c>
      <c r="F3027" s="89"/>
      <c r="G3027" s="89"/>
      <c r="H3027" s="89"/>
      <c r="I3027" s="90"/>
      <c r="J3027" s="88" t="s">
        <v>887</v>
      </c>
      <c r="K3027" s="89"/>
      <c r="L3027" s="89"/>
      <c r="M3027" s="90"/>
      <c r="N3027" s="88" t="s">
        <v>26</v>
      </c>
      <c r="O3027" s="89"/>
      <c r="P3027" s="90"/>
      <c r="Q3027" s="133">
        <v>658</v>
      </c>
      <c r="R3027" s="134"/>
      <c r="S3027" s="5" t="s">
        <v>814</v>
      </c>
      <c r="T3027" s="8">
        <v>1370</v>
      </c>
      <c r="U3027" s="8">
        <v>4</v>
      </c>
      <c r="V3027" s="5" t="s">
        <v>23</v>
      </c>
      <c r="W3027" s="12">
        <v>2802136</v>
      </c>
      <c r="X3027" s="6"/>
      <c r="Y3027" s="6"/>
    </row>
    <row r="3028" spans="1:25" ht="15" customHeight="1" x14ac:dyDescent="0.2">
      <c r="A3028" s="88" t="s">
        <v>3384</v>
      </c>
      <c r="B3028" s="90"/>
      <c r="C3028" s="88" t="s">
        <v>3643</v>
      </c>
      <c r="D3028" s="90"/>
      <c r="E3028" s="88" t="s">
        <v>3644</v>
      </c>
      <c r="F3028" s="89"/>
      <c r="G3028" s="89"/>
      <c r="H3028" s="89"/>
      <c r="I3028" s="90"/>
      <c r="J3028" s="88" t="s">
        <v>887</v>
      </c>
      <c r="K3028" s="89"/>
      <c r="L3028" s="89"/>
      <c r="M3028" s="90"/>
      <c r="N3028" s="88" t="s">
        <v>22</v>
      </c>
      <c r="O3028" s="89"/>
      <c r="P3028" s="90"/>
      <c r="Q3028" s="133">
        <v>658</v>
      </c>
      <c r="R3028" s="134"/>
      <c r="S3028" s="5" t="s">
        <v>70</v>
      </c>
      <c r="T3028" s="8">
        <v>1200</v>
      </c>
      <c r="U3028" s="8">
        <v>4</v>
      </c>
      <c r="V3028" s="5" t="s">
        <v>23</v>
      </c>
      <c r="W3028" s="12">
        <v>3637666</v>
      </c>
      <c r="X3028" s="6"/>
      <c r="Y3028" s="6"/>
    </row>
    <row r="3029" spans="1:25" ht="15" customHeight="1" x14ac:dyDescent="0.2">
      <c r="A3029" s="88" t="s">
        <v>3384</v>
      </c>
      <c r="B3029" s="90"/>
      <c r="C3029" s="88" t="s">
        <v>3643</v>
      </c>
      <c r="D3029" s="90"/>
      <c r="E3029" s="88" t="s">
        <v>3636</v>
      </c>
      <c r="F3029" s="89"/>
      <c r="G3029" s="89"/>
      <c r="H3029" s="89"/>
      <c r="I3029" s="90"/>
      <c r="J3029" s="88" t="s">
        <v>887</v>
      </c>
      <c r="K3029" s="89"/>
      <c r="L3029" s="89"/>
      <c r="M3029" s="90"/>
      <c r="N3029" s="88" t="s">
        <v>26</v>
      </c>
      <c r="O3029" s="89"/>
      <c r="P3029" s="90"/>
      <c r="Q3029" s="133">
        <v>658</v>
      </c>
      <c r="R3029" s="134"/>
      <c r="S3029" s="5" t="s">
        <v>70</v>
      </c>
      <c r="T3029" s="8">
        <v>1190</v>
      </c>
      <c r="U3029" s="8">
        <v>4</v>
      </c>
      <c r="V3029" s="5" t="s">
        <v>23</v>
      </c>
      <c r="W3029" s="12">
        <v>3191821</v>
      </c>
      <c r="X3029" s="6"/>
      <c r="Y3029" s="6"/>
    </row>
    <row r="3030" spans="1:25" ht="15" customHeight="1" x14ac:dyDescent="0.2">
      <c r="A3030" s="88" t="s">
        <v>3384</v>
      </c>
      <c r="B3030" s="90"/>
      <c r="C3030" s="88" t="s">
        <v>3643</v>
      </c>
      <c r="D3030" s="90"/>
      <c r="E3030" s="88" t="s">
        <v>3570</v>
      </c>
      <c r="F3030" s="89"/>
      <c r="G3030" s="89"/>
      <c r="H3030" s="89"/>
      <c r="I3030" s="90"/>
      <c r="J3030" s="88" t="s">
        <v>2179</v>
      </c>
      <c r="K3030" s="89"/>
      <c r="L3030" s="89"/>
      <c r="M3030" s="90"/>
      <c r="N3030" s="88" t="s">
        <v>26</v>
      </c>
      <c r="O3030" s="89"/>
      <c r="P3030" s="90"/>
      <c r="Q3030" s="133">
        <v>658</v>
      </c>
      <c r="R3030" s="134"/>
      <c r="S3030" s="5" t="s">
        <v>70</v>
      </c>
      <c r="T3030" s="8">
        <v>1190</v>
      </c>
      <c r="U3030" s="8">
        <v>4</v>
      </c>
      <c r="V3030" s="5" t="s">
        <v>23</v>
      </c>
      <c r="W3030" s="12">
        <v>3191821</v>
      </c>
      <c r="X3030" s="6"/>
      <c r="Y3030" s="6"/>
    </row>
    <row r="3031" spans="1:25" ht="15" customHeight="1" x14ac:dyDescent="0.2">
      <c r="A3031" s="88" t="s">
        <v>3384</v>
      </c>
      <c r="B3031" s="90"/>
      <c r="C3031" s="88" t="s">
        <v>3643</v>
      </c>
      <c r="D3031" s="90"/>
      <c r="E3031" s="88" t="s">
        <v>3644</v>
      </c>
      <c r="F3031" s="89"/>
      <c r="G3031" s="89"/>
      <c r="H3031" s="89"/>
      <c r="I3031" s="90"/>
      <c r="J3031" s="88" t="s">
        <v>887</v>
      </c>
      <c r="K3031" s="89"/>
      <c r="L3031" s="89"/>
      <c r="M3031" s="90"/>
      <c r="N3031" s="88" t="s">
        <v>26</v>
      </c>
      <c r="O3031" s="89"/>
      <c r="P3031" s="90"/>
      <c r="Q3031" s="133">
        <v>658</v>
      </c>
      <c r="R3031" s="134"/>
      <c r="S3031" s="5" t="s">
        <v>70</v>
      </c>
      <c r="T3031" s="8">
        <v>1200</v>
      </c>
      <c r="U3031" s="8">
        <v>4</v>
      </c>
      <c r="V3031" s="5" t="s">
        <v>23</v>
      </c>
      <c r="W3031" s="12">
        <v>3593223</v>
      </c>
      <c r="X3031" s="6"/>
      <c r="Y3031" s="6"/>
    </row>
    <row r="3032" spans="1:25" ht="15" customHeight="1" x14ac:dyDescent="0.2">
      <c r="A3032" s="88" t="s">
        <v>3384</v>
      </c>
      <c r="B3032" s="90"/>
      <c r="C3032" s="88" t="s">
        <v>3645</v>
      </c>
      <c r="D3032" s="90"/>
      <c r="E3032" s="88" t="s">
        <v>3644</v>
      </c>
      <c r="F3032" s="89"/>
      <c r="G3032" s="89"/>
      <c r="H3032" s="89"/>
      <c r="I3032" s="90"/>
      <c r="J3032" s="88" t="s">
        <v>770</v>
      </c>
      <c r="K3032" s="89"/>
      <c r="L3032" s="89"/>
      <c r="M3032" s="90"/>
      <c r="N3032" s="88" t="s">
        <v>26</v>
      </c>
      <c r="O3032" s="89"/>
      <c r="P3032" s="90"/>
      <c r="Q3032" s="133">
        <v>658</v>
      </c>
      <c r="R3032" s="134"/>
      <c r="S3032" s="5" t="s">
        <v>70</v>
      </c>
      <c r="T3032" s="8">
        <v>1220</v>
      </c>
      <c r="U3032" s="8">
        <v>4</v>
      </c>
      <c r="V3032" s="5" t="s">
        <v>23</v>
      </c>
      <c r="W3032" s="12">
        <v>3922102</v>
      </c>
      <c r="X3032" s="6"/>
      <c r="Y3032" s="6"/>
    </row>
    <row r="3033" spans="1:25" ht="15" customHeight="1" x14ac:dyDescent="0.2">
      <c r="A3033" s="88" t="s">
        <v>3384</v>
      </c>
      <c r="B3033" s="90"/>
      <c r="C3033" s="88" t="s">
        <v>3646</v>
      </c>
      <c r="D3033" s="90"/>
      <c r="E3033" s="88" t="s">
        <v>3644</v>
      </c>
      <c r="F3033" s="89"/>
      <c r="G3033" s="89"/>
      <c r="H3033" s="89"/>
      <c r="I3033" s="90"/>
      <c r="J3033" s="88" t="s">
        <v>26</v>
      </c>
      <c r="K3033" s="89"/>
      <c r="L3033" s="89"/>
      <c r="M3033" s="90"/>
      <c r="N3033" s="88" t="s">
        <v>887</v>
      </c>
      <c r="O3033" s="89"/>
      <c r="P3033" s="90"/>
      <c r="Q3033" s="133">
        <v>658</v>
      </c>
      <c r="R3033" s="134"/>
      <c r="S3033" s="5" t="s">
        <v>70</v>
      </c>
      <c r="T3033" s="8">
        <v>1200</v>
      </c>
      <c r="U3033" s="8">
        <v>4</v>
      </c>
      <c r="V3033" s="5" t="s">
        <v>23</v>
      </c>
      <c r="W3033" s="12">
        <v>3637666</v>
      </c>
      <c r="X3033" s="6"/>
      <c r="Y3033" s="6"/>
    </row>
    <row r="3034" spans="1:25" ht="15" customHeight="1" x14ac:dyDescent="0.2">
      <c r="A3034" s="88" t="s">
        <v>3384</v>
      </c>
      <c r="B3034" s="90"/>
      <c r="C3034" s="88" t="s">
        <v>3647</v>
      </c>
      <c r="D3034" s="90"/>
      <c r="E3034" s="88" t="s">
        <v>3558</v>
      </c>
      <c r="F3034" s="89"/>
      <c r="G3034" s="89"/>
      <c r="H3034" s="89"/>
      <c r="I3034" s="90"/>
      <c r="J3034" s="88" t="s">
        <v>3559</v>
      </c>
      <c r="K3034" s="89"/>
      <c r="L3034" s="89"/>
      <c r="M3034" s="90"/>
      <c r="N3034" s="88" t="s">
        <v>26</v>
      </c>
      <c r="O3034" s="89"/>
      <c r="P3034" s="90"/>
      <c r="Q3034" s="133">
        <v>2999</v>
      </c>
      <c r="R3034" s="134"/>
      <c r="S3034" s="5" t="s">
        <v>945</v>
      </c>
      <c r="T3034" s="8">
        <v>3915</v>
      </c>
      <c r="U3034" s="8">
        <v>3</v>
      </c>
      <c r="V3034" s="5" t="s">
        <v>106</v>
      </c>
      <c r="W3034" s="12">
        <v>8194193</v>
      </c>
      <c r="X3034" s="6"/>
      <c r="Y3034" s="6"/>
    </row>
    <row r="3035" spans="1:25" ht="15" customHeight="1" x14ac:dyDescent="0.2">
      <c r="A3035" s="88" t="s">
        <v>3384</v>
      </c>
      <c r="B3035" s="90"/>
      <c r="C3035" s="88" t="s">
        <v>3647</v>
      </c>
      <c r="D3035" s="90"/>
      <c r="E3035" s="88" t="s">
        <v>3648</v>
      </c>
      <c r="F3035" s="89"/>
      <c r="G3035" s="89"/>
      <c r="H3035" s="89"/>
      <c r="I3035" s="90"/>
      <c r="J3035" s="88" t="s">
        <v>3559</v>
      </c>
      <c r="K3035" s="89"/>
      <c r="L3035" s="89"/>
      <c r="M3035" s="90"/>
      <c r="N3035" s="88" t="s">
        <v>26</v>
      </c>
      <c r="O3035" s="89"/>
      <c r="P3035" s="90"/>
      <c r="Q3035" s="133">
        <v>2999</v>
      </c>
      <c r="R3035" s="134"/>
      <c r="S3035" s="5" t="s">
        <v>945</v>
      </c>
      <c r="T3035" s="8">
        <v>4675</v>
      </c>
      <c r="U3035" s="8">
        <v>3</v>
      </c>
      <c r="V3035" s="5" t="s">
        <v>106</v>
      </c>
      <c r="W3035" s="12">
        <v>10649926</v>
      </c>
      <c r="X3035" s="6"/>
      <c r="Y3035" s="6"/>
    </row>
    <row r="3036" spans="1:25" ht="15" customHeight="1" x14ac:dyDescent="0.2">
      <c r="A3036" s="88" t="s">
        <v>3384</v>
      </c>
      <c r="B3036" s="90"/>
      <c r="C3036" s="88" t="s">
        <v>3647</v>
      </c>
      <c r="D3036" s="90"/>
      <c r="E3036" s="88" t="s">
        <v>3649</v>
      </c>
      <c r="F3036" s="89"/>
      <c r="G3036" s="89"/>
      <c r="H3036" s="89"/>
      <c r="I3036" s="90"/>
      <c r="J3036" s="88" t="s">
        <v>2179</v>
      </c>
      <c r="K3036" s="89"/>
      <c r="L3036" s="89"/>
      <c r="M3036" s="90"/>
      <c r="N3036" s="88" t="s">
        <v>26</v>
      </c>
      <c r="O3036" s="89"/>
      <c r="P3036" s="90"/>
      <c r="Q3036" s="133">
        <v>2999</v>
      </c>
      <c r="R3036" s="134"/>
      <c r="S3036" s="5" t="s">
        <v>945</v>
      </c>
      <c r="T3036" s="8">
        <v>4605</v>
      </c>
      <c r="U3036" s="8">
        <v>3</v>
      </c>
      <c r="V3036" s="5" t="s">
        <v>106</v>
      </c>
      <c r="W3036" s="12">
        <v>9176907</v>
      </c>
      <c r="X3036" s="6"/>
      <c r="Y3036" s="6"/>
    </row>
    <row r="3037" spans="1:25" ht="15" customHeight="1" x14ac:dyDescent="0.2">
      <c r="A3037" s="88" t="s">
        <v>3384</v>
      </c>
      <c r="B3037" s="90"/>
      <c r="C3037" s="88" t="s">
        <v>3650</v>
      </c>
      <c r="D3037" s="90"/>
      <c r="E3037" s="88" t="s">
        <v>3651</v>
      </c>
      <c r="F3037" s="89"/>
      <c r="G3037" s="89"/>
      <c r="H3037" s="89"/>
      <c r="I3037" s="90"/>
      <c r="J3037" s="88" t="s">
        <v>3559</v>
      </c>
      <c r="K3037" s="89"/>
      <c r="L3037" s="89"/>
      <c r="M3037" s="90"/>
      <c r="N3037" s="88" t="s">
        <v>22</v>
      </c>
      <c r="O3037" s="89"/>
      <c r="P3037" s="90"/>
      <c r="Q3037" s="133">
        <v>2999</v>
      </c>
      <c r="R3037" s="134"/>
      <c r="S3037" s="5" t="s">
        <v>945</v>
      </c>
      <c r="T3037" s="8">
        <v>4885</v>
      </c>
      <c r="U3037" s="8">
        <v>3</v>
      </c>
      <c r="V3037" s="5" t="s">
        <v>106</v>
      </c>
      <c r="W3037" s="12">
        <v>9115882</v>
      </c>
      <c r="X3037" s="6"/>
      <c r="Y3037" s="6"/>
    </row>
    <row r="3038" spans="1:25" ht="15" customHeight="1" x14ac:dyDescent="0.2">
      <c r="A3038" s="88" t="s">
        <v>3652</v>
      </c>
      <c r="B3038" s="90"/>
      <c r="C3038" s="88" t="s">
        <v>3653</v>
      </c>
      <c r="D3038" s="90"/>
      <c r="E3038" s="106"/>
      <c r="F3038" s="107"/>
      <c r="G3038" s="107"/>
      <c r="H3038" s="107"/>
      <c r="I3038" s="108"/>
      <c r="J3038" s="88" t="s">
        <v>13</v>
      </c>
      <c r="K3038" s="89"/>
      <c r="L3038" s="89"/>
      <c r="M3038" s="90"/>
      <c r="N3038" s="88" t="s">
        <v>26</v>
      </c>
      <c r="O3038" s="89"/>
      <c r="P3038" s="90"/>
      <c r="Q3038" s="133">
        <v>1300</v>
      </c>
      <c r="R3038" s="134"/>
      <c r="S3038" s="5" t="s">
        <v>44</v>
      </c>
      <c r="T3038" s="6"/>
      <c r="U3038" s="8">
        <v>4</v>
      </c>
      <c r="V3038" s="5" t="s">
        <v>23</v>
      </c>
      <c r="W3038" s="12">
        <v>5931058</v>
      </c>
      <c r="X3038" s="6"/>
      <c r="Y3038" s="6"/>
    </row>
    <row r="3039" spans="1:25" ht="15" customHeight="1" x14ac:dyDescent="0.2">
      <c r="A3039" s="88" t="s">
        <v>3652</v>
      </c>
      <c r="B3039" s="90"/>
      <c r="C3039" s="88" t="s">
        <v>3654</v>
      </c>
      <c r="D3039" s="90"/>
      <c r="E3039" s="88" t="s">
        <v>3655</v>
      </c>
      <c r="F3039" s="89"/>
      <c r="G3039" s="89"/>
      <c r="H3039" s="89"/>
      <c r="I3039" s="90"/>
      <c r="J3039" s="88" t="s">
        <v>13</v>
      </c>
      <c r="K3039" s="89"/>
      <c r="L3039" s="89"/>
      <c r="M3039" s="90"/>
      <c r="N3039" s="88" t="s">
        <v>26</v>
      </c>
      <c r="O3039" s="89"/>
      <c r="P3039" s="90"/>
      <c r="Q3039" s="133">
        <v>1300</v>
      </c>
      <c r="R3039" s="134"/>
      <c r="S3039" s="5" t="s">
        <v>27</v>
      </c>
      <c r="T3039" s="6"/>
      <c r="U3039" s="8">
        <v>5</v>
      </c>
      <c r="V3039" s="5" t="s">
        <v>23</v>
      </c>
      <c r="W3039" s="12">
        <v>10662111</v>
      </c>
      <c r="X3039" s="6"/>
      <c r="Y3039" s="6"/>
    </row>
    <row r="3040" spans="1:25" ht="15" customHeight="1" x14ac:dyDescent="0.2">
      <c r="A3040" s="88" t="s">
        <v>3652</v>
      </c>
      <c r="B3040" s="90"/>
      <c r="C3040" s="88" t="s">
        <v>3656</v>
      </c>
      <c r="D3040" s="90"/>
      <c r="E3040" s="106"/>
      <c r="F3040" s="107"/>
      <c r="G3040" s="107"/>
      <c r="H3040" s="107"/>
      <c r="I3040" s="108"/>
      <c r="J3040" s="88" t="s">
        <v>13</v>
      </c>
      <c r="K3040" s="89"/>
      <c r="L3040" s="89"/>
      <c r="M3040" s="90"/>
      <c r="N3040" s="88" t="s">
        <v>26</v>
      </c>
      <c r="O3040" s="89"/>
      <c r="P3040" s="90"/>
      <c r="Q3040" s="133">
        <v>1300</v>
      </c>
      <c r="R3040" s="134"/>
      <c r="S3040" s="5" t="s">
        <v>27</v>
      </c>
      <c r="T3040" s="6"/>
      <c r="U3040" s="8">
        <v>5</v>
      </c>
      <c r="V3040" s="5" t="s">
        <v>23</v>
      </c>
      <c r="W3040" s="12">
        <v>8538649</v>
      </c>
      <c r="X3040" s="6"/>
      <c r="Y3040" s="6"/>
    </row>
    <row r="3041" spans="1:25" ht="15" customHeight="1" x14ac:dyDescent="0.2">
      <c r="A3041" s="88" t="s">
        <v>3652</v>
      </c>
      <c r="B3041" s="90"/>
      <c r="C3041" s="88" t="s">
        <v>3656</v>
      </c>
      <c r="D3041" s="90"/>
      <c r="E3041" s="106"/>
      <c r="F3041" s="107"/>
      <c r="G3041" s="107"/>
      <c r="H3041" s="107"/>
      <c r="I3041" s="108"/>
      <c r="J3041" s="88" t="s">
        <v>13</v>
      </c>
      <c r="K3041" s="89"/>
      <c r="L3041" s="89"/>
      <c r="M3041" s="90"/>
      <c r="N3041" s="88" t="s">
        <v>26</v>
      </c>
      <c r="O3041" s="89"/>
      <c r="P3041" s="90"/>
      <c r="Q3041" s="133">
        <v>1300</v>
      </c>
      <c r="R3041" s="134"/>
      <c r="S3041" s="5" t="s">
        <v>44</v>
      </c>
      <c r="T3041" s="6"/>
      <c r="U3041" s="8">
        <v>4</v>
      </c>
      <c r="V3041" s="5" t="s">
        <v>23</v>
      </c>
      <c r="W3041" s="12">
        <v>7109502</v>
      </c>
      <c r="X3041" s="6"/>
      <c r="Y3041" s="6"/>
    </row>
    <row r="3042" spans="1:25" ht="15" customHeight="1" x14ac:dyDescent="0.2">
      <c r="A3042" s="88" t="s">
        <v>3652</v>
      </c>
      <c r="B3042" s="90"/>
      <c r="C3042" s="88" t="s">
        <v>3657</v>
      </c>
      <c r="D3042" s="89"/>
      <c r="E3042" s="89"/>
      <c r="F3042" s="89"/>
      <c r="G3042" s="89"/>
      <c r="H3042" s="89"/>
      <c r="I3042" s="90"/>
      <c r="J3042" s="88" t="s">
        <v>13</v>
      </c>
      <c r="K3042" s="89"/>
      <c r="L3042" s="89"/>
      <c r="M3042" s="90"/>
      <c r="N3042" s="88" t="s">
        <v>26</v>
      </c>
      <c r="O3042" s="89"/>
      <c r="P3042" s="90"/>
      <c r="Q3042" s="133">
        <v>1300</v>
      </c>
      <c r="R3042" s="134"/>
      <c r="S3042" s="5" t="s">
        <v>27</v>
      </c>
      <c r="T3042" s="6"/>
      <c r="U3042" s="8">
        <v>5</v>
      </c>
      <c r="V3042" s="5" t="s">
        <v>23</v>
      </c>
      <c r="W3042" s="12">
        <v>7798629</v>
      </c>
      <c r="X3042" s="6"/>
      <c r="Y3042" s="6"/>
    </row>
    <row r="3043" spans="1:25" ht="15" customHeight="1" x14ac:dyDescent="0.2">
      <c r="A3043" s="88" t="s">
        <v>3652</v>
      </c>
      <c r="B3043" s="90"/>
      <c r="C3043" s="88" t="s">
        <v>3657</v>
      </c>
      <c r="D3043" s="89"/>
      <c r="E3043" s="89"/>
      <c r="F3043" s="89"/>
      <c r="G3043" s="89"/>
      <c r="H3043" s="89"/>
      <c r="I3043" s="90"/>
      <c r="J3043" s="88" t="s">
        <v>13</v>
      </c>
      <c r="K3043" s="89"/>
      <c r="L3043" s="89"/>
      <c r="M3043" s="90"/>
      <c r="N3043" s="88" t="s">
        <v>26</v>
      </c>
      <c r="O3043" s="89"/>
      <c r="P3043" s="90"/>
      <c r="Q3043" s="133">
        <v>1300</v>
      </c>
      <c r="R3043" s="134"/>
      <c r="S3043" s="5" t="s">
        <v>44</v>
      </c>
      <c r="T3043" s="6"/>
      <c r="U3043" s="8">
        <v>4</v>
      </c>
      <c r="V3043" s="5" t="s">
        <v>23</v>
      </c>
      <c r="W3043" s="12">
        <v>7719421</v>
      </c>
      <c r="X3043" s="6"/>
      <c r="Y3043" s="6"/>
    </row>
    <row r="3044" spans="1:25" ht="15" customHeight="1" x14ac:dyDescent="0.2">
      <c r="A3044" s="88" t="s">
        <v>3652</v>
      </c>
      <c r="B3044" s="90"/>
      <c r="C3044" s="88" t="s">
        <v>3658</v>
      </c>
      <c r="D3044" s="90"/>
      <c r="E3044" s="106"/>
      <c r="F3044" s="107"/>
      <c r="G3044" s="107"/>
      <c r="H3044" s="107"/>
      <c r="I3044" s="108"/>
      <c r="J3044" s="88" t="s">
        <v>13</v>
      </c>
      <c r="K3044" s="89"/>
      <c r="L3044" s="89"/>
      <c r="M3044" s="90"/>
      <c r="N3044" s="88" t="s">
        <v>26</v>
      </c>
      <c r="O3044" s="89"/>
      <c r="P3044" s="90"/>
      <c r="Q3044" s="133">
        <v>1400</v>
      </c>
      <c r="R3044" s="134"/>
      <c r="S3044" s="5" t="s">
        <v>27</v>
      </c>
      <c r="T3044" s="6"/>
      <c r="U3044" s="8">
        <v>5</v>
      </c>
      <c r="V3044" s="5" t="s">
        <v>23</v>
      </c>
      <c r="W3044" s="12">
        <v>10179964</v>
      </c>
      <c r="X3044" s="6"/>
      <c r="Y3044" s="6"/>
    </row>
    <row r="3045" spans="1:25" ht="15" customHeight="1" x14ac:dyDescent="0.2">
      <c r="A3045" s="88" t="s">
        <v>3652</v>
      </c>
      <c r="B3045" s="90"/>
      <c r="C3045" s="88" t="s">
        <v>3658</v>
      </c>
      <c r="D3045" s="90"/>
      <c r="E3045" s="106"/>
      <c r="F3045" s="107"/>
      <c r="G3045" s="107"/>
      <c r="H3045" s="107"/>
      <c r="I3045" s="108"/>
      <c r="J3045" s="88" t="s">
        <v>13</v>
      </c>
      <c r="K3045" s="89"/>
      <c r="L3045" s="89"/>
      <c r="M3045" s="90"/>
      <c r="N3045" s="88" t="s">
        <v>26</v>
      </c>
      <c r="O3045" s="89"/>
      <c r="P3045" s="90"/>
      <c r="Q3045" s="133">
        <v>1300</v>
      </c>
      <c r="R3045" s="134"/>
      <c r="S3045" s="5" t="s">
        <v>44</v>
      </c>
      <c r="T3045" s="6"/>
      <c r="U3045" s="8">
        <v>4</v>
      </c>
      <c r="V3045" s="5" t="s">
        <v>23</v>
      </c>
      <c r="W3045" s="12">
        <v>9580689</v>
      </c>
      <c r="X3045" s="6"/>
      <c r="Y3045" s="6"/>
    </row>
    <row r="3046" spans="1:25" ht="15" customHeight="1" x14ac:dyDescent="0.2">
      <c r="A3046" s="88" t="s">
        <v>3652</v>
      </c>
      <c r="B3046" s="90"/>
      <c r="C3046" s="88" t="s">
        <v>3659</v>
      </c>
      <c r="D3046" s="90"/>
      <c r="E3046" s="106"/>
      <c r="F3046" s="107"/>
      <c r="G3046" s="107"/>
      <c r="H3046" s="107"/>
      <c r="I3046" s="108"/>
      <c r="J3046" s="88" t="s">
        <v>13</v>
      </c>
      <c r="K3046" s="89"/>
      <c r="L3046" s="89"/>
      <c r="M3046" s="90"/>
      <c r="N3046" s="88" t="s">
        <v>26</v>
      </c>
      <c r="O3046" s="89"/>
      <c r="P3046" s="90"/>
      <c r="Q3046" s="133">
        <v>2000</v>
      </c>
      <c r="R3046" s="134"/>
      <c r="S3046" s="5" t="s">
        <v>27</v>
      </c>
      <c r="T3046" s="6"/>
      <c r="U3046" s="8">
        <v>5</v>
      </c>
      <c r="V3046" s="5" t="s">
        <v>106</v>
      </c>
      <c r="W3046" s="12">
        <v>7646406</v>
      </c>
      <c r="X3046" s="6"/>
      <c r="Y3046" s="6"/>
    </row>
    <row r="3047" spans="1:25" ht="15" customHeight="1" x14ac:dyDescent="0.2">
      <c r="A3047" s="88" t="s">
        <v>3652</v>
      </c>
      <c r="B3047" s="90"/>
      <c r="C3047" s="88" t="s">
        <v>3659</v>
      </c>
      <c r="D3047" s="90"/>
      <c r="E3047" s="106"/>
      <c r="F3047" s="107"/>
      <c r="G3047" s="107"/>
      <c r="H3047" s="107"/>
      <c r="I3047" s="108"/>
      <c r="J3047" s="88" t="s">
        <v>13</v>
      </c>
      <c r="K3047" s="89"/>
      <c r="L3047" s="89"/>
      <c r="M3047" s="90"/>
      <c r="N3047" s="88" t="s">
        <v>26</v>
      </c>
      <c r="O3047" s="89"/>
      <c r="P3047" s="90"/>
      <c r="Q3047" s="133">
        <v>2000</v>
      </c>
      <c r="R3047" s="134"/>
      <c r="S3047" s="5" t="s">
        <v>44</v>
      </c>
      <c r="T3047" s="6"/>
      <c r="U3047" s="8">
        <v>4</v>
      </c>
      <c r="V3047" s="5" t="s">
        <v>106</v>
      </c>
      <c r="W3047" s="12">
        <v>9024358</v>
      </c>
      <c r="X3047" s="6"/>
      <c r="Y3047" s="6"/>
    </row>
    <row r="3048" spans="1:25" ht="15" customHeight="1" x14ac:dyDescent="0.2">
      <c r="A3048" s="88" t="s">
        <v>3652</v>
      </c>
      <c r="B3048" s="90"/>
      <c r="C3048" s="88" t="s">
        <v>3660</v>
      </c>
      <c r="D3048" s="90"/>
      <c r="E3048" s="106"/>
      <c r="F3048" s="107"/>
      <c r="G3048" s="107"/>
      <c r="H3048" s="107"/>
      <c r="I3048" s="108"/>
      <c r="J3048" s="88" t="s">
        <v>13</v>
      </c>
      <c r="K3048" s="89"/>
      <c r="L3048" s="89"/>
      <c r="M3048" s="90"/>
      <c r="N3048" s="88" t="s">
        <v>26</v>
      </c>
      <c r="O3048" s="89"/>
      <c r="P3048" s="90"/>
      <c r="Q3048" s="133">
        <v>2000</v>
      </c>
      <c r="R3048" s="134"/>
      <c r="S3048" s="5" t="s">
        <v>27</v>
      </c>
      <c r="T3048" s="6"/>
      <c r="U3048" s="8">
        <v>5</v>
      </c>
      <c r="V3048" s="5" t="s">
        <v>106</v>
      </c>
      <c r="W3048" s="12">
        <v>7647153</v>
      </c>
      <c r="X3048" s="6"/>
      <c r="Y3048" s="6"/>
    </row>
    <row r="3049" spans="1:25" ht="15" customHeight="1" x14ac:dyDescent="0.2">
      <c r="A3049" s="88" t="s">
        <v>3652</v>
      </c>
      <c r="B3049" s="90"/>
      <c r="C3049" s="88" t="s">
        <v>3660</v>
      </c>
      <c r="D3049" s="90"/>
      <c r="E3049" s="106"/>
      <c r="F3049" s="107"/>
      <c r="G3049" s="107"/>
      <c r="H3049" s="107"/>
      <c r="I3049" s="108"/>
      <c r="J3049" s="88" t="s">
        <v>13</v>
      </c>
      <c r="K3049" s="89"/>
      <c r="L3049" s="89"/>
      <c r="M3049" s="90"/>
      <c r="N3049" s="88" t="s">
        <v>26</v>
      </c>
      <c r="O3049" s="89"/>
      <c r="P3049" s="90"/>
      <c r="Q3049" s="133">
        <v>2000</v>
      </c>
      <c r="R3049" s="134"/>
      <c r="S3049" s="5" t="s">
        <v>44</v>
      </c>
      <c r="T3049" s="6"/>
      <c r="U3049" s="8">
        <v>4</v>
      </c>
      <c r="V3049" s="5" t="s">
        <v>106</v>
      </c>
      <c r="W3049" s="12">
        <v>7265503</v>
      </c>
      <c r="X3049" s="6"/>
      <c r="Y3049" s="6"/>
    </row>
    <row r="3050" spans="1:25" ht="15" customHeight="1" x14ac:dyDescent="0.2">
      <c r="A3050" s="88" t="s">
        <v>3652</v>
      </c>
      <c r="B3050" s="90"/>
      <c r="C3050" s="88" t="s">
        <v>3661</v>
      </c>
      <c r="D3050" s="90"/>
      <c r="E3050" s="106"/>
      <c r="F3050" s="107"/>
      <c r="G3050" s="107"/>
      <c r="H3050" s="107"/>
      <c r="I3050" s="108"/>
      <c r="J3050" s="88" t="s">
        <v>13</v>
      </c>
      <c r="K3050" s="89"/>
      <c r="L3050" s="89"/>
      <c r="M3050" s="90"/>
      <c r="N3050" s="88" t="s">
        <v>26</v>
      </c>
      <c r="O3050" s="89"/>
      <c r="P3050" s="90"/>
      <c r="Q3050" s="133">
        <v>2000</v>
      </c>
      <c r="R3050" s="134"/>
      <c r="S3050" s="5" t="s">
        <v>27</v>
      </c>
      <c r="T3050" s="6"/>
      <c r="U3050" s="8">
        <v>5</v>
      </c>
      <c r="V3050" s="5" t="s">
        <v>106</v>
      </c>
      <c r="W3050" s="12">
        <v>6603061</v>
      </c>
      <c r="X3050" s="6"/>
      <c r="Y3050" s="6"/>
    </row>
    <row r="3051" spans="1:25" ht="15" customHeight="1" x14ac:dyDescent="0.2">
      <c r="A3051" s="88" t="s">
        <v>3652</v>
      </c>
      <c r="B3051" s="90"/>
      <c r="C3051" s="88" t="s">
        <v>3661</v>
      </c>
      <c r="D3051" s="90"/>
      <c r="E3051" s="106"/>
      <c r="F3051" s="107"/>
      <c r="G3051" s="107"/>
      <c r="H3051" s="107"/>
      <c r="I3051" s="108"/>
      <c r="J3051" s="88" t="s">
        <v>13</v>
      </c>
      <c r="K3051" s="89"/>
      <c r="L3051" s="89"/>
      <c r="M3051" s="90"/>
      <c r="N3051" s="88" t="s">
        <v>26</v>
      </c>
      <c r="O3051" s="89"/>
      <c r="P3051" s="90"/>
      <c r="Q3051" s="133">
        <v>2000</v>
      </c>
      <c r="R3051" s="134"/>
      <c r="S3051" s="5" t="s">
        <v>44</v>
      </c>
      <c r="T3051" s="6"/>
      <c r="U3051" s="8">
        <v>4</v>
      </c>
      <c r="V3051" s="5" t="s">
        <v>106</v>
      </c>
      <c r="W3051" s="12">
        <v>6830369</v>
      </c>
      <c r="X3051" s="6"/>
      <c r="Y3051" s="6"/>
    </row>
    <row r="3052" spans="1:25" ht="15" customHeight="1" x14ac:dyDescent="0.2">
      <c r="A3052" s="88" t="s">
        <v>3652</v>
      </c>
      <c r="B3052" s="90"/>
      <c r="C3052" s="88" t="s">
        <v>3662</v>
      </c>
      <c r="D3052" s="90"/>
      <c r="E3052" s="106"/>
      <c r="F3052" s="107"/>
      <c r="G3052" s="107"/>
      <c r="H3052" s="107"/>
      <c r="I3052" s="108"/>
      <c r="J3052" s="88" t="s">
        <v>13</v>
      </c>
      <c r="K3052" s="89"/>
      <c r="L3052" s="89"/>
      <c r="M3052" s="90"/>
      <c r="N3052" s="88" t="s">
        <v>22</v>
      </c>
      <c r="O3052" s="89"/>
      <c r="P3052" s="90"/>
      <c r="Q3052" s="133">
        <v>2000</v>
      </c>
      <c r="R3052" s="134"/>
      <c r="S3052" s="5" t="s">
        <v>44</v>
      </c>
      <c r="T3052" s="6"/>
      <c r="U3052" s="8">
        <v>5</v>
      </c>
      <c r="V3052" s="5" t="s">
        <v>106</v>
      </c>
      <c r="W3052" s="12">
        <v>8875460</v>
      </c>
      <c r="X3052" s="6"/>
      <c r="Y3052" s="6"/>
    </row>
    <row r="3053" spans="1:25" ht="15" customHeight="1" x14ac:dyDescent="0.2">
      <c r="A3053" s="88" t="s">
        <v>3652</v>
      </c>
      <c r="B3053" s="90"/>
      <c r="C3053" s="88" t="s">
        <v>3662</v>
      </c>
      <c r="D3053" s="90"/>
      <c r="E3053" s="106"/>
      <c r="F3053" s="107"/>
      <c r="G3053" s="107"/>
      <c r="H3053" s="107"/>
      <c r="I3053" s="108"/>
      <c r="J3053" s="88" t="s">
        <v>13</v>
      </c>
      <c r="K3053" s="89"/>
      <c r="L3053" s="89"/>
      <c r="M3053" s="90"/>
      <c r="N3053" s="88" t="s">
        <v>26</v>
      </c>
      <c r="O3053" s="89"/>
      <c r="P3053" s="90"/>
      <c r="Q3053" s="133">
        <v>2000</v>
      </c>
      <c r="R3053" s="134"/>
      <c r="S3053" s="5" t="s">
        <v>44</v>
      </c>
      <c r="T3053" s="6"/>
      <c r="U3053" s="8">
        <v>5</v>
      </c>
      <c r="V3053" s="5" t="s">
        <v>106</v>
      </c>
      <c r="W3053" s="12">
        <v>8194407</v>
      </c>
      <c r="X3053" s="6"/>
      <c r="Y3053" s="6"/>
    </row>
    <row r="3054" spans="1:25" ht="15" customHeight="1" x14ac:dyDescent="0.2">
      <c r="A3054" s="88" t="s">
        <v>3652</v>
      </c>
      <c r="B3054" s="90"/>
      <c r="C3054" s="88" t="s">
        <v>3663</v>
      </c>
      <c r="D3054" s="90"/>
      <c r="E3054" s="106"/>
      <c r="F3054" s="107"/>
      <c r="G3054" s="107"/>
      <c r="H3054" s="107"/>
      <c r="I3054" s="108"/>
      <c r="J3054" s="88" t="s">
        <v>13</v>
      </c>
      <c r="K3054" s="89"/>
      <c r="L3054" s="89"/>
      <c r="M3054" s="90"/>
      <c r="N3054" s="88" t="s">
        <v>26</v>
      </c>
      <c r="O3054" s="89"/>
      <c r="P3054" s="90"/>
      <c r="Q3054" s="133">
        <v>1400</v>
      </c>
      <c r="R3054" s="134"/>
      <c r="S3054" s="5" t="s">
        <v>44</v>
      </c>
      <c r="T3054" s="6"/>
      <c r="U3054" s="8">
        <v>4</v>
      </c>
      <c r="V3054" s="5" t="s">
        <v>23</v>
      </c>
      <c r="W3054" s="12">
        <v>9183973</v>
      </c>
      <c r="X3054" s="6"/>
      <c r="Y3054" s="6"/>
    </row>
    <row r="3055" spans="1:25" ht="15" customHeight="1" x14ac:dyDescent="0.2">
      <c r="A3055" s="88" t="s">
        <v>3652</v>
      </c>
      <c r="B3055" s="90"/>
      <c r="C3055" s="88" t="s">
        <v>3664</v>
      </c>
      <c r="D3055" s="89"/>
      <c r="E3055" s="89"/>
      <c r="F3055" s="89"/>
      <c r="G3055" s="89"/>
      <c r="H3055" s="89"/>
      <c r="I3055" s="90"/>
      <c r="J3055" s="88" t="s">
        <v>13</v>
      </c>
      <c r="K3055" s="89"/>
      <c r="L3055" s="89"/>
      <c r="M3055" s="90"/>
      <c r="N3055" s="88" t="s">
        <v>26</v>
      </c>
      <c r="O3055" s="89"/>
      <c r="P3055" s="90"/>
      <c r="Q3055" s="133">
        <v>1300</v>
      </c>
      <c r="R3055" s="134"/>
      <c r="S3055" s="5" t="s">
        <v>44</v>
      </c>
      <c r="T3055" s="6"/>
      <c r="U3055" s="8">
        <v>4</v>
      </c>
      <c r="V3055" s="5" t="s">
        <v>23</v>
      </c>
      <c r="W3055" s="12">
        <v>6724173</v>
      </c>
      <c r="X3055" s="6"/>
      <c r="Y3055" s="6"/>
    </row>
    <row r="3056" spans="1:25" ht="15" customHeight="1" x14ac:dyDescent="0.2">
      <c r="A3056" s="88" t="s">
        <v>3652</v>
      </c>
      <c r="B3056" s="90"/>
      <c r="C3056" s="88" t="s">
        <v>3665</v>
      </c>
      <c r="D3056" s="89"/>
      <c r="E3056" s="89"/>
      <c r="F3056" s="89"/>
      <c r="G3056" s="89"/>
      <c r="H3056" s="89"/>
      <c r="I3056" s="90"/>
      <c r="J3056" s="88" t="s">
        <v>13</v>
      </c>
      <c r="K3056" s="89"/>
      <c r="L3056" s="89"/>
      <c r="M3056" s="90"/>
      <c r="N3056" s="88" t="s">
        <v>26</v>
      </c>
      <c r="O3056" s="89"/>
      <c r="P3056" s="90"/>
      <c r="Q3056" s="133">
        <v>1300</v>
      </c>
      <c r="R3056" s="134"/>
      <c r="S3056" s="5" t="s">
        <v>44</v>
      </c>
      <c r="T3056" s="6"/>
      <c r="U3056" s="8">
        <v>4</v>
      </c>
      <c r="V3056" s="5" t="s">
        <v>23</v>
      </c>
      <c r="W3056" s="12">
        <v>11107491</v>
      </c>
      <c r="X3056" s="6"/>
      <c r="Y3056" s="6"/>
    </row>
    <row r="3057" spans="1:25" ht="15" customHeight="1" x14ac:dyDescent="0.2">
      <c r="A3057" s="88" t="s">
        <v>3652</v>
      </c>
      <c r="B3057" s="90"/>
      <c r="C3057" s="88" t="s">
        <v>3666</v>
      </c>
      <c r="D3057" s="90"/>
      <c r="E3057" s="106"/>
      <c r="F3057" s="107"/>
      <c r="G3057" s="107"/>
      <c r="H3057" s="107"/>
      <c r="I3057" s="108"/>
      <c r="J3057" s="88" t="s">
        <v>13</v>
      </c>
      <c r="K3057" s="89"/>
      <c r="L3057" s="89"/>
      <c r="M3057" s="90"/>
      <c r="N3057" s="88" t="s">
        <v>26</v>
      </c>
      <c r="O3057" s="89"/>
      <c r="P3057" s="90"/>
      <c r="Q3057" s="133">
        <v>1300</v>
      </c>
      <c r="R3057" s="134"/>
      <c r="S3057" s="5" t="s">
        <v>44</v>
      </c>
      <c r="T3057" s="6"/>
      <c r="U3057" s="8">
        <v>4</v>
      </c>
      <c r="V3057" s="5" t="s">
        <v>23</v>
      </c>
      <c r="W3057" s="12">
        <v>8893388</v>
      </c>
      <c r="X3057" s="6"/>
      <c r="Y3057" s="6"/>
    </row>
    <row r="3058" spans="1:25" ht="15" customHeight="1" x14ac:dyDescent="0.2">
      <c r="A3058" s="88" t="s">
        <v>3652</v>
      </c>
      <c r="B3058" s="90"/>
      <c r="C3058" s="88" t="s">
        <v>3667</v>
      </c>
      <c r="D3058" s="90"/>
      <c r="E3058" s="106"/>
      <c r="F3058" s="107"/>
      <c r="G3058" s="107"/>
      <c r="H3058" s="107"/>
      <c r="I3058" s="108"/>
      <c r="J3058" s="88" t="s">
        <v>13</v>
      </c>
      <c r="K3058" s="89"/>
      <c r="L3058" s="89"/>
      <c r="M3058" s="90"/>
      <c r="N3058" s="88" t="s">
        <v>26</v>
      </c>
      <c r="O3058" s="89"/>
      <c r="P3058" s="90"/>
      <c r="Q3058" s="133">
        <v>2000</v>
      </c>
      <c r="R3058" s="134"/>
      <c r="S3058" s="5" t="s">
        <v>44</v>
      </c>
      <c r="T3058" s="6"/>
      <c r="U3058" s="8">
        <v>4</v>
      </c>
      <c r="V3058" s="5" t="s">
        <v>106</v>
      </c>
      <c r="W3058" s="12">
        <v>6561538</v>
      </c>
      <c r="X3058" s="6"/>
      <c r="Y3058" s="6"/>
    </row>
    <row r="3059" spans="1:25" ht="15" customHeight="1" x14ac:dyDescent="0.2">
      <c r="A3059" s="88" t="s">
        <v>3652</v>
      </c>
      <c r="B3059" s="90"/>
      <c r="C3059" s="88" t="s">
        <v>3668</v>
      </c>
      <c r="D3059" s="89"/>
      <c r="E3059" s="89"/>
      <c r="F3059" s="89"/>
      <c r="G3059" s="89"/>
      <c r="H3059" s="89"/>
      <c r="I3059" s="90"/>
      <c r="J3059" s="88" t="s">
        <v>13</v>
      </c>
      <c r="K3059" s="89"/>
      <c r="L3059" s="89"/>
      <c r="M3059" s="90"/>
      <c r="N3059" s="88" t="s">
        <v>26</v>
      </c>
      <c r="O3059" s="89"/>
      <c r="P3059" s="90"/>
      <c r="Q3059" s="133">
        <v>2000</v>
      </c>
      <c r="R3059" s="134"/>
      <c r="S3059" s="5" t="s">
        <v>44</v>
      </c>
      <c r="T3059" s="6"/>
      <c r="U3059" s="8">
        <v>5</v>
      </c>
      <c r="V3059" s="5" t="s">
        <v>106</v>
      </c>
      <c r="W3059" s="12">
        <v>8982654</v>
      </c>
      <c r="X3059" s="6"/>
      <c r="Y3059" s="6"/>
    </row>
    <row r="3060" spans="1:25" ht="15" customHeight="1" x14ac:dyDescent="0.2">
      <c r="A3060" s="88" t="s">
        <v>3652</v>
      </c>
      <c r="B3060" s="90"/>
      <c r="C3060" s="88" t="s">
        <v>3669</v>
      </c>
      <c r="D3060" s="90"/>
      <c r="E3060" s="106"/>
      <c r="F3060" s="107"/>
      <c r="G3060" s="107"/>
      <c r="H3060" s="107"/>
      <c r="I3060" s="108"/>
      <c r="J3060" s="88" t="s">
        <v>13</v>
      </c>
      <c r="K3060" s="89"/>
      <c r="L3060" s="89"/>
      <c r="M3060" s="90"/>
      <c r="N3060" s="88" t="s">
        <v>26</v>
      </c>
      <c r="O3060" s="89"/>
      <c r="P3060" s="90"/>
      <c r="Q3060" s="133">
        <v>2000</v>
      </c>
      <c r="R3060" s="134"/>
      <c r="S3060" s="5" t="s">
        <v>44</v>
      </c>
      <c r="T3060" s="6"/>
      <c r="U3060" s="8">
        <v>4</v>
      </c>
      <c r="V3060" s="5" t="s">
        <v>106</v>
      </c>
      <c r="W3060" s="12">
        <v>10417218</v>
      </c>
      <c r="X3060" s="6"/>
      <c r="Y3060" s="6"/>
    </row>
    <row r="3061" spans="1:25" ht="15" customHeight="1" x14ac:dyDescent="0.2">
      <c r="A3061" s="88" t="s">
        <v>3652</v>
      </c>
      <c r="B3061" s="90"/>
      <c r="C3061" s="88" t="s">
        <v>3670</v>
      </c>
      <c r="D3061" s="89"/>
      <c r="E3061" s="89"/>
      <c r="F3061" s="89"/>
      <c r="G3061" s="89"/>
      <c r="H3061" s="89"/>
      <c r="I3061" s="90"/>
      <c r="J3061" s="88" t="s">
        <v>13</v>
      </c>
      <c r="K3061" s="89"/>
      <c r="L3061" s="89"/>
      <c r="M3061" s="90"/>
      <c r="N3061" s="88" t="s">
        <v>26</v>
      </c>
      <c r="O3061" s="89"/>
      <c r="P3061" s="90"/>
      <c r="Q3061" s="133">
        <v>2000</v>
      </c>
      <c r="R3061" s="134"/>
      <c r="S3061" s="5" t="s">
        <v>44</v>
      </c>
      <c r="T3061" s="6"/>
      <c r="U3061" s="8">
        <v>5</v>
      </c>
      <c r="V3061" s="5" t="s">
        <v>106</v>
      </c>
      <c r="W3061" s="12">
        <v>10264111</v>
      </c>
      <c r="X3061" s="6"/>
      <c r="Y3061" s="6"/>
    </row>
    <row r="3062" spans="1:25" ht="15" customHeight="1" x14ac:dyDescent="0.2">
      <c r="A3062" s="88" t="s">
        <v>3652</v>
      </c>
      <c r="B3062" s="90"/>
      <c r="C3062" s="88" t="s">
        <v>3671</v>
      </c>
      <c r="D3062" s="89"/>
      <c r="E3062" s="89"/>
      <c r="F3062" s="89"/>
      <c r="G3062" s="89"/>
      <c r="H3062" s="89"/>
      <c r="I3062" s="90"/>
      <c r="J3062" s="88" t="s">
        <v>13</v>
      </c>
      <c r="K3062" s="89"/>
      <c r="L3062" s="89"/>
      <c r="M3062" s="90"/>
      <c r="N3062" s="88" t="s">
        <v>22</v>
      </c>
      <c r="O3062" s="89"/>
      <c r="P3062" s="90"/>
      <c r="Q3062" s="133">
        <v>2000</v>
      </c>
      <c r="R3062" s="134"/>
      <c r="S3062" s="5" t="s">
        <v>44</v>
      </c>
      <c r="T3062" s="6"/>
      <c r="U3062" s="8">
        <v>4</v>
      </c>
      <c r="V3062" s="5" t="s">
        <v>23</v>
      </c>
      <c r="W3062" s="12">
        <v>10508804</v>
      </c>
      <c r="X3062" s="6"/>
      <c r="Y3062" s="6"/>
    </row>
    <row r="3063" spans="1:25" ht="15" customHeight="1" x14ac:dyDescent="0.2">
      <c r="A3063" s="88" t="s">
        <v>3652</v>
      </c>
      <c r="B3063" s="90"/>
      <c r="C3063" s="88" t="s">
        <v>3672</v>
      </c>
      <c r="D3063" s="90"/>
      <c r="E3063" s="106"/>
      <c r="F3063" s="107"/>
      <c r="G3063" s="107"/>
      <c r="H3063" s="107"/>
      <c r="I3063" s="108"/>
      <c r="J3063" s="88" t="s">
        <v>13</v>
      </c>
      <c r="K3063" s="89"/>
      <c r="L3063" s="89"/>
      <c r="M3063" s="90"/>
      <c r="N3063" s="88" t="s">
        <v>22</v>
      </c>
      <c r="O3063" s="89"/>
      <c r="P3063" s="90"/>
      <c r="Q3063" s="133">
        <v>2000</v>
      </c>
      <c r="R3063" s="134"/>
      <c r="S3063" s="5" t="s">
        <v>44</v>
      </c>
      <c r="T3063" s="6"/>
      <c r="U3063" s="8">
        <v>4</v>
      </c>
      <c r="V3063" s="5" t="s">
        <v>23</v>
      </c>
      <c r="W3063" s="12">
        <v>9305627</v>
      </c>
      <c r="X3063" s="6"/>
      <c r="Y3063" s="6"/>
    </row>
    <row r="3064" spans="1:25" ht="15" customHeight="1" x14ac:dyDescent="0.2">
      <c r="A3064" s="88" t="s">
        <v>3652</v>
      </c>
      <c r="B3064" s="90"/>
      <c r="C3064" s="88" t="s">
        <v>3673</v>
      </c>
      <c r="D3064" s="89"/>
      <c r="E3064" s="89"/>
      <c r="F3064" s="89"/>
      <c r="G3064" s="89"/>
      <c r="H3064" s="89"/>
      <c r="I3064" s="90"/>
      <c r="J3064" s="88" t="s">
        <v>13</v>
      </c>
      <c r="K3064" s="89"/>
      <c r="L3064" s="89"/>
      <c r="M3064" s="90"/>
      <c r="N3064" s="88" t="s">
        <v>22</v>
      </c>
      <c r="O3064" s="89"/>
      <c r="P3064" s="90"/>
      <c r="Q3064" s="133">
        <v>2000</v>
      </c>
      <c r="R3064" s="134"/>
      <c r="S3064" s="5" t="s">
        <v>44</v>
      </c>
      <c r="T3064" s="6"/>
      <c r="U3064" s="8">
        <v>5</v>
      </c>
      <c r="V3064" s="5" t="s">
        <v>23</v>
      </c>
      <c r="W3064" s="12">
        <v>11952237</v>
      </c>
      <c r="X3064" s="6"/>
      <c r="Y3064" s="6"/>
    </row>
    <row r="3065" spans="1:25" ht="15" customHeight="1" x14ac:dyDescent="0.2">
      <c r="A3065" s="88" t="s">
        <v>3652</v>
      </c>
      <c r="B3065" s="90"/>
      <c r="C3065" s="88" t="s">
        <v>3673</v>
      </c>
      <c r="D3065" s="89"/>
      <c r="E3065" s="89"/>
      <c r="F3065" s="89"/>
      <c r="G3065" s="89"/>
      <c r="H3065" s="89"/>
      <c r="I3065" s="90"/>
      <c r="J3065" s="88" t="s">
        <v>13</v>
      </c>
      <c r="K3065" s="89"/>
      <c r="L3065" s="89"/>
      <c r="M3065" s="90"/>
      <c r="N3065" s="88" t="s">
        <v>22</v>
      </c>
      <c r="O3065" s="89"/>
      <c r="P3065" s="90"/>
      <c r="Q3065" s="133">
        <v>2000</v>
      </c>
      <c r="R3065" s="134"/>
      <c r="S3065" s="5" t="s">
        <v>44</v>
      </c>
      <c r="T3065" s="6"/>
      <c r="U3065" s="8">
        <v>4</v>
      </c>
      <c r="V3065" s="5" t="s">
        <v>23</v>
      </c>
      <c r="W3065" s="12">
        <v>11066886</v>
      </c>
      <c r="X3065" s="6"/>
      <c r="Y3065" s="6"/>
    </row>
    <row r="3066" spans="1:25" ht="15" customHeight="1" x14ac:dyDescent="0.2">
      <c r="A3066" s="88" t="s">
        <v>3652</v>
      </c>
      <c r="B3066" s="90"/>
      <c r="C3066" s="88" t="s">
        <v>3674</v>
      </c>
      <c r="D3066" s="89"/>
      <c r="E3066" s="89"/>
      <c r="F3066" s="89"/>
      <c r="G3066" s="89"/>
      <c r="H3066" s="89"/>
      <c r="I3066" s="90"/>
      <c r="J3066" s="88" t="s">
        <v>13</v>
      </c>
      <c r="K3066" s="89"/>
      <c r="L3066" s="89"/>
      <c r="M3066" s="90"/>
      <c r="N3066" s="88" t="s">
        <v>22</v>
      </c>
      <c r="O3066" s="89"/>
      <c r="P3066" s="90"/>
      <c r="Q3066" s="133">
        <v>2000</v>
      </c>
      <c r="R3066" s="134"/>
      <c r="S3066" s="5" t="s">
        <v>44</v>
      </c>
      <c r="T3066" s="6"/>
      <c r="U3066" s="8">
        <v>5</v>
      </c>
      <c r="V3066" s="5" t="s">
        <v>23</v>
      </c>
      <c r="W3066" s="12">
        <v>12656919</v>
      </c>
      <c r="X3066" s="6"/>
      <c r="Y3066" s="6"/>
    </row>
    <row r="3067" spans="1:25" ht="15" customHeight="1" x14ac:dyDescent="0.2">
      <c r="A3067" s="88" t="s">
        <v>3652</v>
      </c>
      <c r="B3067" s="90"/>
      <c r="C3067" s="88" t="s">
        <v>3674</v>
      </c>
      <c r="D3067" s="89"/>
      <c r="E3067" s="89"/>
      <c r="F3067" s="89"/>
      <c r="G3067" s="89"/>
      <c r="H3067" s="89"/>
      <c r="I3067" s="90"/>
      <c r="J3067" s="88" t="s">
        <v>13</v>
      </c>
      <c r="K3067" s="89"/>
      <c r="L3067" s="89"/>
      <c r="M3067" s="90"/>
      <c r="N3067" s="88" t="s">
        <v>22</v>
      </c>
      <c r="O3067" s="89"/>
      <c r="P3067" s="90"/>
      <c r="Q3067" s="133">
        <v>2000</v>
      </c>
      <c r="R3067" s="134"/>
      <c r="S3067" s="5" t="s">
        <v>44</v>
      </c>
      <c r="T3067" s="6"/>
      <c r="U3067" s="8">
        <v>4</v>
      </c>
      <c r="V3067" s="5" t="s">
        <v>23</v>
      </c>
      <c r="W3067" s="12">
        <v>11719370</v>
      </c>
      <c r="X3067" s="6"/>
      <c r="Y3067" s="6"/>
    </row>
    <row r="3068" spans="1:25" ht="15" customHeight="1" x14ac:dyDescent="0.2">
      <c r="A3068" s="88" t="s">
        <v>3652</v>
      </c>
      <c r="B3068" s="90"/>
      <c r="C3068" s="88" t="s">
        <v>3675</v>
      </c>
      <c r="D3068" s="90"/>
      <c r="E3068" s="88" t="s">
        <v>3676</v>
      </c>
      <c r="F3068" s="89"/>
      <c r="G3068" s="89"/>
      <c r="H3068" s="89"/>
      <c r="I3068" s="90"/>
      <c r="J3068" s="88" t="s">
        <v>13</v>
      </c>
      <c r="K3068" s="89"/>
      <c r="L3068" s="89"/>
      <c r="M3068" s="90"/>
      <c r="N3068" s="88" t="s">
        <v>22</v>
      </c>
      <c r="O3068" s="89"/>
      <c r="P3068" s="90"/>
      <c r="Q3068" s="133">
        <v>2000</v>
      </c>
      <c r="R3068" s="134"/>
      <c r="S3068" s="5" t="s">
        <v>44</v>
      </c>
      <c r="T3068" s="6"/>
      <c r="U3068" s="8">
        <v>4</v>
      </c>
      <c r="V3068" s="5" t="s">
        <v>23</v>
      </c>
      <c r="W3068" s="12">
        <v>10944165</v>
      </c>
      <c r="X3068" s="6"/>
      <c r="Y3068" s="6"/>
    </row>
    <row r="3069" spans="1:25" ht="15" customHeight="1" x14ac:dyDescent="0.2">
      <c r="A3069" s="88" t="s">
        <v>3652</v>
      </c>
      <c r="B3069" s="90"/>
      <c r="C3069" s="88" t="s">
        <v>3677</v>
      </c>
      <c r="D3069" s="90"/>
      <c r="E3069" s="106"/>
      <c r="F3069" s="107"/>
      <c r="G3069" s="107"/>
      <c r="H3069" s="107"/>
      <c r="I3069" s="108"/>
      <c r="J3069" s="88" t="s">
        <v>13</v>
      </c>
      <c r="K3069" s="89"/>
      <c r="L3069" s="89"/>
      <c r="M3069" s="90"/>
      <c r="N3069" s="88" t="s">
        <v>22</v>
      </c>
      <c r="O3069" s="89"/>
      <c r="P3069" s="90"/>
      <c r="Q3069" s="133">
        <v>2000</v>
      </c>
      <c r="R3069" s="134"/>
      <c r="S3069" s="5" t="s">
        <v>27</v>
      </c>
      <c r="T3069" s="6"/>
      <c r="U3069" s="8">
        <v>5</v>
      </c>
      <c r="V3069" s="5" t="s">
        <v>23</v>
      </c>
      <c r="W3069" s="12">
        <v>16593114</v>
      </c>
      <c r="X3069" s="6"/>
      <c r="Y3069" s="6"/>
    </row>
    <row r="3070" spans="1:25" ht="15" customHeight="1" x14ac:dyDescent="0.2">
      <c r="A3070" s="88" t="s">
        <v>3652</v>
      </c>
      <c r="B3070" s="90"/>
      <c r="C3070" s="88" t="s">
        <v>3677</v>
      </c>
      <c r="D3070" s="90"/>
      <c r="E3070" s="106"/>
      <c r="F3070" s="107"/>
      <c r="G3070" s="107"/>
      <c r="H3070" s="107"/>
      <c r="I3070" s="108"/>
      <c r="J3070" s="88" t="s">
        <v>13</v>
      </c>
      <c r="K3070" s="89"/>
      <c r="L3070" s="89"/>
      <c r="M3070" s="90"/>
      <c r="N3070" s="88" t="s">
        <v>22</v>
      </c>
      <c r="O3070" s="89"/>
      <c r="P3070" s="90"/>
      <c r="Q3070" s="133">
        <v>2000</v>
      </c>
      <c r="R3070" s="134"/>
      <c r="S3070" s="5" t="s">
        <v>44</v>
      </c>
      <c r="T3070" s="6"/>
      <c r="U3070" s="8">
        <v>5</v>
      </c>
      <c r="V3070" s="5" t="s">
        <v>23</v>
      </c>
      <c r="W3070" s="12">
        <v>16517599</v>
      </c>
      <c r="X3070" s="6"/>
      <c r="Y3070" s="6"/>
    </row>
    <row r="3071" spans="1:25" ht="15" customHeight="1" x14ac:dyDescent="0.2">
      <c r="A3071" s="88" t="s">
        <v>3652</v>
      </c>
      <c r="B3071" s="90"/>
      <c r="C3071" s="88" t="s">
        <v>3677</v>
      </c>
      <c r="D3071" s="90"/>
      <c r="E3071" s="106"/>
      <c r="F3071" s="107"/>
      <c r="G3071" s="107"/>
      <c r="H3071" s="107"/>
      <c r="I3071" s="108"/>
      <c r="J3071" s="88" t="s">
        <v>13</v>
      </c>
      <c r="K3071" s="89"/>
      <c r="L3071" s="89"/>
      <c r="M3071" s="90"/>
      <c r="N3071" s="88" t="s">
        <v>22</v>
      </c>
      <c r="O3071" s="89"/>
      <c r="P3071" s="90"/>
      <c r="Q3071" s="133">
        <v>2000</v>
      </c>
      <c r="R3071" s="134"/>
      <c r="S3071" s="5" t="s">
        <v>27</v>
      </c>
      <c r="T3071" s="6"/>
      <c r="U3071" s="8">
        <v>4</v>
      </c>
      <c r="V3071" s="5" t="s">
        <v>23</v>
      </c>
      <c r="W3071" s="12">
        <v>15363995</v>
      </c>
      <c r="X3071" s="6"/>
      <c r="Y3071" s="6"/>
    </row>
    <row r="3072" spans="1:25" ht="15" customHeight="1" x14ac:dyDescent="0.2">
      <c r="A3072" s="88" t="s">
        <v>3652</v>
      </c>
      <c r="B3072" s="90"/>
      <c r="C3072" s="88" t="s">
        <v>3678</v>
      </c>
      <c r="D3072" s="90"/>
      <c r="E3072" s="106"/>
      <c r="F3072" s="107"/>
      <c r="G3072" s="107"/>
      <c r="H3072" s="107"/>
      <c r="I3072" s="108"/>
      <c r="J3072" s="88" t="s">
        <v>13</v>
      </c>
      <c r="K3072" s="89"/>
      <c r="L3072" s="89"/>
      <c r="M3072" s="90"/>
      <c r="N3072" s="88" t="s">
        <v>22</v>
      </c>
      <c r="O3072" s="89"/>
      <c r="P3072" s="90"/>
      <c r="Q3072" s="133">
        <v>3000</v>
      </c>
      <c r="R3072" s="134"/>
      <c r="S3072" s="5" t="s">
        <v>44</v>
      </c>
      <c r="T3072" s="6"/>
      <c r="U3072" s="8">
        <v>4</v>
      </c>
      <c r="V3072" s="5" t="s">
        <v>96</v>
      </c>
      <c r="W3072" s="12">
        <v>22096247</v>
      </c>
      <c r="X3072" s="6"/>
      <c r="Y3072" s="6"/>
    </row>
    <row r="3073" spans="1:25" ht="15" customHeight="1" x14ac:dyDescent="0.2">
      <c r="A3073" s="88" t="s">
        <v>3652</v>
      </c>
      <c r="B3073" s="90"/>
      <c r="C3073" s="88" t="s">
        <v>3679</v>
      </c>
      <c r="D3073" s="90"/>
      <c r="E3073" s="106"/>
      <c r="F3073" s="107"/>
      <c r="G3073" s="107"/>
      <c r="H3073" s="107"/>
      <c r="I3073" s="108"/>
      <c r="J3073" s="88" t="s">
        <v>13</v>
      </c>
      <c r="K3073" s="89"/>
      <c r="L3073" s="89"/>
      <c r="M3073" s="90"/>
      <c r="N3073" s="88" t="s">
        <v>22</v>
      </c>
      <c r="O3073" s="89"/>
      <c r="P3073" s="90"/>
      <c r="Q3073" s="133">
        <v>4000</v>
      </c>
      <c r="R3073" s="134"/>
      <c r="S3073" s="5" t="s">
        <v>44</v>
      </c>
      <c r="T3073" s="6"/>
      <c r="U3073" s="8">
        <v>5</v>
      </c>
      <c r="V3073" s="5" t="s">
        <v>23</v>
      </c>
      <c r="W3073" s="12">
        <v>41086354</v>
      </c>
      <c r="X3073" s="6"/>
      <c r="Y3073" s="6"/>
    </row>
    <row r="3074" spans="1:25" ht="15" customHeight="1" x14ac:dyDescent="0.2">
      <c r="A3074" s="88" t="s">
        <v>3652</v>
      </c>
      <c r="B3074" s="90"/>
      <c r="C3074" s="88" t="s">
        <v>3680</v>
      </c>
      <c r="D3074" s="89"/>
      <c r="E3074" s="89"/>
      <c r="F3074" s="89"/>
      <c r="G3074" s="89"/>
      <c r="H3074" s="89"/>
      <c r="I3074" s="90"/>
      <c r="J3074" s="88" t="s">
        <v>13</v>
      </c>
      <c r="K3074" s="89"/>
      <c r="L3074" s="89"/>
      <c r="M3074" s="90"/>
      <c r="N3074" s="88" t="s">
        <v>22</v>
      </c>
      <c r="O3074" s="89"/>
      <c r="P3074" s="90"/>
      <c r="Q3074" s="133">
        <v>3000</v>
      </c>
      <c r="R3074" s="134"/>
      <c r="S3074" s="5" t="s">
        <v>16</v>
      </c>
      <c r="T3074" s="6"/>
      <c r="U3074" s="8">
        <v>7</v>
      </c>
      <c r="V3074" s="5" t="s">
        <v>96</v>
      </c>
      <c r="W3074" s="12">
        <v>19280917</v>
      </c>
      <c r="X3074" s="6"/>
      <c r="Y3074" s="6"/>
    </row>
    <row r="3075" spans="1:25" ht="15" customHeight="1" x14ac:dyDescent="0.2">
      <c r="A3075" s="88" t="s">
        <v>3652</v>
      </c>
      <c r="B3075" s="90"/>
      <c r="C3075" s="88" t="s">
        <v>3681</v>
      </c>
      <c r="D3075" s="90"/>
      <c r="E3075" s="88" t="s">
        <v>3682</v>
      </c>
      <c r="F3075" s="89"/>
      <c r="G3075" s="89"/>
      <c r="H3075" s="89"/>
      <c r="I3075" s="90"/>
      <c r="J3075" s="88" t="s">
        <v>13</v>
      </c>
      <c r="K3075" s="89"/>
      <c r="L3075" s="89"/>
      <c r="M3075" s="90"/>
      <c r="N3075" s="88" t="s">
        <v>22</v>
      </c>
      <c r="O3075" s="89"/>
      <c r="P3075" s="90"/>
      <c r="Q3075" s="88" t="s">
        <v>181</v>
      </c>
      <c r="R3075" s="90"/>
      <c r="S3075" s="5" t="s">
        <v>44</v>
      </c>
      <c r="T3075" s="6"/>
      <c r="U3075" s="8">
        <v>4</v>
      </c>
      <c r="V3075" s="5" t="s">
        <v>17</v>
      </c>
      <c r="W3075" s="12">
        <v>16095928</v>
      </c>
      <c r="X3075" s="6"/>
      <c r="Y3075" s="6"/>
    </row>
    <row r="3076" spans="1:25" ht="15" customHeight="1" x14ac:dyDescent="0.2">
      <c r="A3076" s="88" t="s">
        <v>3652</v>
      </c>
      <c r="B3076" s="90"/>
      <c r="C3076" s="88" t="s">
        <v>3683</v>
      </c>
      <c r="D3076" s="90"/>
      <c r="E3076" s="106"/>
      <c r="F3076" s="107"/>
      <c r="G3076" s="107"/>
      <c r="H3076" s="107"/>
      <c r="I3076" s="108"/>
      <c r="J3076" s="88" t="s">
        <v>13</v>
      </c>
      <c r="K3076" s="89"/>
      <c r="L3076" s="89"/>
      <c r="M3076" s="90"/>
      <c r="N3076" s="88" t="s">
        <v>22</v>
      </c>
      <c r="O3076" s="89"/>
      <c r="P3076" s="90"/>
      <c r="Q3076" s="133">
        <v>2000</v>
      </c>
      <c r="R3076" s="134"/>
      <c r="S3076" s="5" t="s">
        <v>16</v>
      </c>
      <c r="T3076" s="6"/>
      <c r="U3076" s="8">
        <v>7</v>
      </c>
      <c r="V3076" s="5" t="s">
        <v>23</v>
      </c>
      <c r="W3076" s="12">
        <v>14459237</v>
      </c>
      <c r="X3076" s="6"/>
      <c r="Y3076" s="6"/>
    </row>
    <row r="3077" spans="1:25" ht="15" customHeight="1" x14ac:dyDescent="0.2">
      <c r="A3077" s="88" t="s">
        <v>3652</v>
      </c>
      <c r="B3077" s="90"/>
      <c r="C3077" s="88" t="s">
        <v>3684</v>
      </c>
      <c r="D3077" s="90"/>
      <c r="E3077" s="88" t="s">
        <v>3685</v>
      </c>
      <c r="F3077" s="89"/>
      <c r="G3077" s="89"/>
      <c r="H3077" s="89"/>
      <c r="I3077" s="90"/>
      <c r="J3077" s="88" t="s">
        <v>13</v>
      </c>
      <c r="K3077" s="89"/>
      <c r="L3077" s="89"/>
      <c r="M3077" s="90"/>
      <c r="N3077" s="88" t="s">
        <v>22</v>
      </c>
      <c r="O3077" s="89"/>
      <c r="P3077" s="90"/>
      <c r="Q3077" s="133">
        <v>2000</v>
      </c>
      <c r="R3077" s="134"/>
      <c r="S3077" s="5" t="s">
        <v>16</v>
      </c>
      <c r="T3077" s="6"/>
      <c r="U3077" s="8">
        <v>7</v>
      </c>
      <c r="V3077" s="5" t="s">
        <v>23</v>
      </c>
      <c r="W3077" s="12">
        <v>16423254</v>
      </c>
      <c r="X3077" s="6"/>
      <c r="Y3077" s="6"/>
    </row>
    <row r="3078" spans="1:25" ht="15" customHeight="1" x14ac:dyDescent="0.2">
      <c r="A3078" s="88" t="s">
        <v>3652</v>
      </c>
      <c r="B3078" s="90"/>
      <c r="C3078" s="88" t="s">
        <v>3686</v>
      </c>
      <c r="D3078" s="90"/>
      <c r="E3078" s="106"/>
      <c r="F3078" s="107"/>
      <c r="G3078" s="107"/>
      <c r="H3078" s="107"/>
      <c r="I3078" s="108"/>
      <c r="J3078" s="88" t="s">
        <v>13</v>
      </c>
      <c r="K3078" s="89"/>
      <c r="L3078" s="89"/>
      <c r="M3078" s="90"/>
      <c r="N3078" s="88" t="s">
        <v>22</v>
      </c>
      <c r="O3078" s="89"/>
      <c r="P3078" s="90"/>
      <c r="Q3078" s="133">
        <v>2000</v>
      </c>
      <c r="R3078" s="134"/>
      <c r="S3078" s="5" t="s">
        <v>16</v>
      </c>
      <c r="T3078" s="6"/>
      <c r="U3078" s="8">
        <v>7</v>
      </c>
      <c r="V3078" s="5" t="s">
        <v>23</v>
      </c>
      <c r="W3078" s="12">
        <v>12446202</v>
      </c>
      <c r="X3078" s="6"/>
      <c r="Y3078" s="6"/>
    </row>
    <row r="3079" spans="1:25" ht="15" customHeight="1" x14ac:dyDescent="0.2">
      <c r="A3079" s="88" t="s">
        <v>3652</v>
      </c>
      <c r="B3079" s="90"/>
      <c r="C3079" s="88" t="s">
        <v>3687</v>
      </c>
      <c r="D3079" s="90"/>
      <c r="E3079" s="106"/>
      <c r="F3079" s="107"/>
      <c r="G3079" s="107"/>
      <c r="H3079" s="107"/>
      <c r="I3079" s="108"/>
      <c r="J3079" s="88" t="s">
        <v>13</v>
      </c>
      <c r="K3079" s="89"/>
      <c r="L3079" s="89"/>
      <c r="M3079" s="90"/>
      <c r="N3079" s="88" t="s">
        <v>22</v>
      </c>
      <c r="O3079" s="89"/>
      <c r="P3079" s="90"/>
      <c r="Q3079" s="133">
        <v>3000</v>
      </c>
      <c r="R3079" s="134"/>
      <c r="S3079" s="5" t="s">
        <v>16</v>
      </c>
      <c r="T3079" s="6"/>
      <c r="U3079" s="8">
        <v>5</v>
      </c>
      <c r="V3079" s="5" t="s">
        <v>23</v>
      </c>
      <c r="W3079" s="12">
        <v>20231238</v>
      </c>
      <c r="X3079" s="6"/>
      <c r="Y3079" s="6"/>
    </row>
    <row r="3080" spans="1:25" ht="15" customHeight="1" x14ac:dyDescent="0.2">
      <c r="A3080" s="88" t="s">
        <v>3652</v>
      </c>
      <c r="B3080" s="90"/>
      <c r="C3080" s="88" t="s">
        <v>3688</v>
      </c>
      <c r="D3080" s="90"/>
      <c r="E3080" s="106"/>
      <c r="F3080" s="107"/>
      <c r="G3080" s="107"/>
      <c r="H3080" s="107"/>
      <c r="I3080" s="108"/>
      <c r="J3080" s="88" t="s">
        <v>13</v>
      </c>
      <c r="K3080" s="89"/>
      <c r="L3080" s="89"/>
      <c r="M3080" s="90"/>
      <c r="N3080" s="88" t="s">
        <v>22</v>
      </c>
      <c r="O3080" s="89"/>
      <c r="P3080" s="90"/>
      <c r="Q3080" s="133">
        <v>4000</v>
      </c>
      <c r="R3080" s="134"/>
      <c r="S3080" s="5" t="s">
        <v>16</v>
      </c>
      <c r="T3080" s="6"/>
      <c r="U3080" s="8">
        <v>5</v>
      </c>
      <c r="V3080" s="5" t="s">
        <v>23</v>
      </c>
      <c r="W3080" s="12">
        <v>25364562</v>
      </c>
      <c r="X3080" s="6"/>
      <c r="Y3080" s="6"/>
    </row>
    <row r="3081" spans="1:25" ht="15" customHeight="1" x14ac:dyDescent="0.2">
      <c r="A3081" s="88" t="s">
        <v>3652</v>
      </c>
      <c r="B3081" s="90"/>
      <c r="C3081" s="88" t="s">
        <v>3689</v>
      </c>
      <c r="D3081" s="90"/>
      <c r="E3081" s="106"/>
      <c r="F3081" s="107"/>
      <c r="G3081" s="107"/>
      <c r="H3081" s="107"/>
      <c r="I3081" s="108"/>
      <c r="J3081" s="88" t="s">
        <v>13</v>
      </c>
      <c r="K3081" s="89"/>
      <c r="L3081" s="89"/>
      <c r="M3081" s="90"/>
      <c r="N3081" s="88" t="s">
        <v>26</v>
      </c>
      <c r="O3081" s="89"/>
      <c r="P3081" s="90"/>
      <c r="Q3081" s="133">
        <v>2000</v>
      </c>
      <c r="R3081" s="134"/>
      <c r="S3081" s="5" t="s">
        <v>119</v>
      </c>
      <c r="T3081" s="6"/>
      <c r="U3081" s="8">
        <v>2</v>
      </c>
      <c r="V3081" s="5" t="s">
        <v>23</v>
      </c>
      <c r="W3081" s="12">
        <v>21767861</v>
      </c>
      <c r="X3081" s="6"/>
      <c r="Y3081" s="6"/>
    </row>
    <row r="3082" spans="1:25" ht="15" customHeight="1" x14ac:dyDescent="0.2">
      <c r="A3082" s="88" t="s">
        <v>3652</v>
      </c>
      <c r="B3082" s="90"/>
      <c r="C3082" s="88" t="s">
        <v>3690</v>
      </c>
      <c r="D3082" s="90"/>
      <c r="E3082" s="106"/>
      <c r="F3082" s="107"/>
      <c r="G3082" s="107"/>
      <c r="H3082" s="107"/>
      <c r="I3082" s="108"/>
      <c r="J3082" s="88" t="s">
        <v>13</v>
      </c>
      <c r="K3082" s="89"/>
      <c r="L3082" s="89"/>
      <c r="M3082" s="90"/>
      <c r="N3082" s="88" t="s">
        <v>22</v>
      </c>
      <c r="O3082" s="89"/>
      <c r="P3082" s="90"/>
      <c r="Q3082" s="133">
        <v>4000</v>
      </c>
      <c r="R3082" s="134"/>
      <c r="S3082" s="5" t="s">
        <v>119</v>
      </c>
      <c r="T3082" s="6"/>
      <c r="U3082" s="8">
        <v>2</v>
      </c>
      <c r="V3082" s="5" t="s">
        <v>23</v>
      </c>
      <c r="W3082" s="12">
        <v>45972847</v>
      </c>
      <c r="X3082" s="6"/>
      <c r="Y3082" s="6"/>
    </row>
    <row r="3083" spans="1:25" ht="15" customHeight="1" x14ac:dyDescent="0.2">
      <c r="A3083" s="88" t="s">
        <v>3652</v>
      </c>
      <c r="B3083" s="90"/>
      <c r="C3083" s="88" t="s">
        <v>3691</v>
      </c>
      <c r="D3083" s="90"/>
      <c r="E3083" s="106"/>
      <c r="F3083" s="107"/>
      <c r="G3083" s="107"/>
      <c r="H3083" s="107"/>
      <c r="I3083" s="108"/>
      <c r="J3083" s="88" t="s">
        <v>13</v>
      </c>
      <c r="K3083" s="89"/>
      <c r="L3083" s="89"/>
      <c r="M3083" s="90"/>
      <c r="N3083" s="88" t="s">
        <v>26</v>
      </c>
      <c r="O3083" s="89"/>
      <c r="P3083" s="90"/>
      <c r="Q3083" s="133">
        <v>1300</v>
      </c>
      <c r="R3083" s="134"/>
      <c r="S3083" s="5" t="s">
        <v>27</v>
      </c>
      <c r="T3083" s="6"/>
      <c r="U3083" s="8">
        <v>5</v>
      </c>
      <c r="V3083" s="5" t="s">
        <v>23</v>
      </c>
      <c r="W3083" s="12">
        <v>10975703</v>
      </c>
      <c r="X3083" s="6"/>
      <c r="Y3083" s="6"/>
    </row>
    <row r="3084" spans="1:25" ht="15" customHeight="1" x14ac:dyDescent="0.2">
      <c r="A3084" s="88" t="s">
        <v>3652</v>
      </c>
      <c r="B3084" s="90"/>
      <c r="C3084" s="88" t="s">
        <v>3692</v>
      </c>
      <c r="D3084" s="90"/>
      <c r="E3084" s="106"/>
      <c r="F3084" s="107"/>
      <c r="G3084" s="107"/>
      <c r="H3084" s="107"/>
      <c r="I3084" s="108"/>
      <c r="J3084" s="88" t="s">
        <v>13</v>
      </c>
      <c r="K3084" s="89"/>
      <c r="L3084" s="89"/>
      <c r="M3084" s="90"/>
      <c r="N3084" s="88" t="s">
        <v>26</v>
      </c>
      <c r="O3084" s="89"/>
      <c r="P3084" s="90"/>
      <c r="Q3084" s="133">
        <v>1400</v>
      </c>
      <c r="R3084" s="134"/>
      <c r="S3084" s="5" t="s">
        <v>27</v>
      </c>
      <c r="T3084" s="6"/>
      <c r="U3084" s="8">
        <v>5</v>
      </c>
      <c r="V3084" s="5" t="s">
        <v>23</v>
      </c>
      <c r="W3084" s="12">
        <v>8020103</v>
      </c>
      <c r="X3084" s="6"/>
      <c r="Y3084" s="6"/>
    </row>
    <row r="3085" spans="1:25" ht="15" customHeight="1" x14ac:dyDescent="0.2">
      <c r="A3085" s="88" t="s">
        <v>3652</v>
      </c>
      <c r="B3085" s="90"/>
      <c r="C3085" s="88" t="s">
        <v>3693</v>
      </c>
      <c r="D3085" s="89"/>
      <c r="E3085" s="89"/>
      <c r="F3085" s="89"/>
      <c r="G3085" s="89"/>
      <c r="H3085" s="89"/>
      <c r="I3085" s="90"/>
      <c r="J3085" s="88" t="s">
        <v>13</v>
      </c>
      <c r="K3085" s="89"/>
      <c r="L3085" s="89"/>
      <c r="M3085" s="90"/>
      <c r="N3085" s="88" t="s">
        <v>26</v>
      </c>
      <c r="O3085" s="89"/>
      <c r="P3085" s="90"/>
      <c r="Q3085" s="133">
        <v>1300</v>
      </c>
      <c r="R3085" s="134"/>
      <c r="S3085" s="5" t="s">
        <v>27</v>
      </c>
      <c r="T3085" s="6"/>
      <c r="U3085" s="8">
        <v>5</v>
      </c>
      <c r="V3085" s="5" t="s">
        <v>23</v>
      </c>
      <c r="W3085" s="12">
        <v>9661362</v>
      </c>
      <c r="X3085" s="6"/>
      <c r="Y3085" s="6"/>
    </row>
    <row r="3086" spans="1:25" ht="15" customHeight="1" x14ac:dyDescent="0.2">
      <c r="A3086" s="88" t="s">
        <v>3652</v>
      </c>
      <c r="B3086" s="90"/>
      <c r="C3086" s="88" t="s">
        <v>3694</v>
      </c>
      <c r="D3086" s="90"/>
      <c r="E3086" s="106"/>
      <c r="F3086" s="107"/>
      <c r="G3086" s="107"/>
      <c r="H3086" s="107"/>
      <c r="I3086" s="108"/>
      <c r="J3086" s="88" t="s">
        <v>13</v>
      </c>
      <c r="K3086" s="89"/>
      <c r="L3086" s="89"/>
      <c r="M3086" s="90"/>
      <c r="N3086" s="88" t="s">
        <v>26</v>
      </c>
      <c r="O3086" s="89"/>
      <c r="P3086" s="90"/>
      <c r="Q3086" s="133">
        <v>1300</v>
      </c>
      <c r="R3086" s="134"/>
      <c r="S3086" s="5" t="s">
        <v>27</v>
      </c>
      <c r="T3086" s="6"/>
      <c r="U3086" s="8">
        <v>5</v>
      </c>
      <c r="V3086" s="5" t="s">
        <v>23</v>
      </c>
      <c r="W3086" s="12">
        <v>9172961</v>
      </c>
      <c r="X3086" s="6"/>
      <c r="Y3086" s="6"/>
    </row>
    <row r="3087" spans="1:25" ht="15" customHeight="1" x14ac:dyDescent="0.2">
      <c r="A3087" s="88" t="s">
        <v>3652</v>
      </c>
      <c r="B3087" s="90"/>
      <c r="C3087" s="88" t="s">
        <v>3695</v>
      </c>
      <c r="D3087" s="90"/>
      <c r="E3087" s="106"/>
      <c r="F3087" s="107"/>
      <c r="G3087" s="107"/>
      <c r="H3087" s="107"/>
      <c r="I3087" s="108"/>
      <c r="J3087" s="88" t="s">
        <v>13</v>
      </c>
      <c r="K3087" s="89"/>
      <c r="L3087" s="89"/>
      <c r="M3087" s="90"/>
      <c r="N3087" s="88" t="s">
        <v>26</v>
      </c>
      <c r="O3087" s="89"/>
      <c r="P3087" s="90"/>
      <c r="Q3087" s="133">
        <v>2000</v>
      </c>
      <c r="R3087" s="134"/>
      <c r="S3087" s="5" t="s">
        <v>27</v>
      </c>
      <c r="T3087" s="6"/>
      <c r="U3087" s="8">
        <v>5</v>
      </c>
      <c r="V3087" s="5" t="s">
        <v>23</v>
      </c>
      <c r="W3087" s="12">
        <v>7051126</v>
      </c>
      <c r="X3087" s="6"/>
      <c r="Y3087" s="6"/>
    </row>
    <row r="3088" spans="1:25" ht="15" customHeight="1" x14ac:dyDescent="0.2">
      <c r="A3088" s="88" t="s">
        <v>3652</v>
      </c>
      <c r="B3088" s="90"/>
      <c r="C3088" s="88" t="s">
        <v>3696</v>
      </c>
      <c r="D3088" s="89"/>
      <c r="E3088" s="89"/>
      <c r="F3088" s="89"/>
      <c r="G3088" s="89"/>
      <c r="H3088" s="89"/>
      <c r="I3088" s="90"/>
      <c r="J3088" s="88" t="s">
        <v>13</v>
      </c>
      <c r="K3088" s="89"/>
      <c r="L3088" s="89"/>
      <c r="M3088" s="90"/>
      <c r="N3088" s="88" t="s">
        <v>26</v>
      </c>
      <c r="O3088" s="89"/>
      <c r="P3088" s="90"/>
      <c r="Q3088" s="133">
        <v>2000</v>
      </c>
      <c r="R3088" s="134"/>
      <c r="S3088" s="5" t="s">
        <v>27</v>
      </c>
      <c r="T3088" s="6"/>
      <c r="U3088" s="8">
        <v>4</v>
      </c>
      <c r="V3088" s="5" t="s">
        <v>106</v>
      </c>
      <c r="W3088" s="12">
        <v>9762975</v>
      </c>
      <c r="X3088" s="6"/>
      <c r="Y3088" s="6"/>
    </row>
    <row r="3089" spans="1:25" ht="15" customHeight="1" x14ac:dyDescent="0.2">
      <c r="A3089" s="88" t="s">
        <v>3652</v>
      </c>
      <c r="B3089" s="90"/>
      <c r="C3089" s="88" t="s">
        <v>3697</v>
      </c>
      <c r="D3089" s="90"/>
      <c r="E3089" s="106"/>
      <c r="F3089" s="107"/>
      <c r="G3089" s="107"/>
      <c r="H3089" s="107"/>
      <c r="I3089" s="108"/>
      <c r="J3089" s="88" t="s">
        <v>13</v>
      </c>
      <c r="K3089" s="89"/>
      <c r="L3089" s="89"/>
      <c r="M3089" s="90"/>
      <c r="N3089" s="88" t="s">
        <v>26</v>
      </c>
      <c r="O3089" s="89"/>
      <c r="P3089" s="90"/>
      <c r="Q3089" s="133">
        <v>2000</v>
      </c>
      <c r="R3089" s="134"/>
      <c r="S3089" s="5" t="s">
        <v>27</v>
      </c>
      <c r="T3089" s="6"/>
      <c r="U3089" s="8">
        <v>4</v>
      </c>
      <c r="V3089" s="5" t="s">
        <v>106</v>
      </c>
      <c r="W3089" s="12">
        <v>8066038</v>
      </c>
      <c r="X3089" s="6"/>
      <c r="Y3089" s="6"/>
    </row>
    <row r="3090" spans="1:25" ht="15" customHeight="1" x14ac:dyDescent="0.2">
      <c r="A3090" s="88" t="s">
        <v>3652</v>
      </c>
      <c r="B3090" s="90"/>
      <c r="C3090" s="88" t="s">
        <v>3698</v>
      </c>
      <c r="D3090" s="90"/>
      <c r="E3090" s="106"/>
      <c r="F3090" s="107"/>
      <c r="G3090" s="107"/>
      <c r="H3090" s="107"/>
      <c r="I3090" s="108"/>
      <c r="J3090" s="88" t="s">
        <v>13</v>
      </c>
      <c r="K3090" s="89"/>
      <c r="L3090" s="89"/>
      <c r="M3090" s="90"/>
      <c r="N3090" s="88" t="s">
        <v>26</v>
      </c>
      <c r="O3090" s="89"/>
      <c r="P3090" s="90"/>
      <c r="Q3090" s="133">
        <v>2000</v>
      </c>
      <c r="R3090" s="134"/>
      <c r="S3090" s="5" t="s">
        <v>27</v>
      </c>
      <c r="T3090" s="6"/>
      <c r="U3090" s="8">
        <v>5</v>
      </c>
      <c r="V3090" s="5" t="s">
        <v>106</v>
      </c>
      <c r="W3090" s="12">
        <v>7008182</v>
      </c>
      <c r="X3090" s="6"/>
      <c r="Y3090" s="6"/>
    </row>
    <row r="3091" spans="1:25" ht="15" customHeight="1" x14ac:dyDescent="0.2">
      <c r="A3091" s="88" t="s">
        <v>3652</v>
      </c>
      <c r="B3091" s="90"/>
      <c r="C3091" s="88" t="s">
        <v>3699</v>
      </c>
      <c r="D3091" s="89"/>
      <c r="E3091" s="89"/>
      <c r="F3091" s="89"/>
      <c r="G3091" s="89"/>
      <c r="H3091" s="89"/>
      <c r="I3091" s="90"/>
      <c r="J3091" s="88" t="s">
        <v>13</v>
      </c>
      <c r="K3091" s="89"/>
      <c r="L3091" s="89"/>
      <c r="M3091" s="90"/>
      <c r="N3091" s="88" t="s">
        <v>22</v>
      </c>
      <c r="O3091" s="89"/>
      <c r="P3091" s="90"/>
      <c r="Q3091" s="133">
        <v>2000</v>
      </c>
      <c r="R3091" s="134"/>
      <c r="S3091" s="5" t="s">
        <v>44</v>
      </c>
      <c r="T3091" s="6"/>
      <c r="U3091" s="8">
        <v>4</v>
      </c>
      <c r="V3091" s="5" t="s">
        <v>96</v>
      </c>
      <c r="W3091" s="12">
        <v>11700724</v>
      </c>
      <c r="X3091" s="6"/>
      <c r="Y3091" s="6"/>
    </row>
    <row r="3092" spans="1:25" ht="15" customHeight="1" x14ac:dyDescent="0.2">
      <c r="A3092" s="88" t="s">
        <v>3652</v>
      </c>
      <c r="B3092" s="90"/>
      <c r="C3092" s="88" t="s">
        <v>3700</v>
      </c>
      <c r="D3092" s="90"/>
      <c r="E3092" s="106"/>
      <c r="F3092" s="107"/>
      <c r="G3092" s="107"/>
      <c r="H3092" s="107"/>
      <c r="I3092" s="108"/>
      <c r="J3092" s="88" t="s">
        <v>13</v>
      </c>
      <c r="K3092" s="89"/>
      <c r="L3092" s="89"/>
      <c r="M3092" s="90"/>
      <c r="N3092" s="88" t="s">
        <v>26</v>
      </c>
      <c r="O3092" s="89"/>
      <c r="P3092" s="90"/>
      <c r="Q3092" s="133">
        <v>1500</v>
      </c>
      <c r="R3092" s="134"/>
      <c r="S3092" s="5" t="s">
        <v>44</v>
      </c>
      <c r="T3092" s="6"/>
      <c r="U3092" s="8">
        <v>5</v>
      </c>
      <c r="V3092" s="5" t="s">
        <v>96</v>
      </c>
      <c r="W3092" s="12">
        <v>9004780</v>
      </c>
      <c r="X3092" s="6"/>
      <c r="Y3092" s="6"/>
    </row>
    <row r="3093" spans="1:25" ht="15" customHeight="1" x14ac:dyDescent="0.2">
      <c r="A3093" s="88" t="s">
        <v>3652</v>
      </c>
      <c r="B3093" s="90"/>
      <c r="C3093" s="88" t="s">
        <v>3700</v>
      </c>
      <c r="D3093" s="90"/>
      <c r="E3093" s="106"/>
      <c r="F3093" s="107"/>
      <c r="G3093" s="107"/>
      <c r="H3093" s="107"/>
      <c r="I3093" s="108"/>
      <c r="J3093" s="88" t="s">
        <v>13</v>
      </c>
      <c r="K3093" s="89"/>
      <c r="L3093" s="89"/>
      <c r="M3093" s="90"/>
      <c r="N3093" s="88" t="s">
        <v>26</v>
      </c>
      <c r="O3093" s="89"/>
      <c r="P3093" s="90"/>
      <c r="Q3093" s="133">
        <v>1600</v>
      </c>
      <c r="R3093" s="134"/>
      <c r="S3093" s="5" t="s">
        <v>44</v>
      </c>
      <c r="T3093" s="6"/>
      <c r="U3093" s="8">
        <v>4</v>
      </c>
      <c r="V3093" s="5" t="s">
        <v>23</v>
      </c>
      <c r="W3093" s="12">
        <v>9104570</v>
      </c>
      <c r="X3093" s="6"/>
      <c r="Y3093" s="6"/>
    </row>
    <row r="3094" spans="1:25" ht="15" customHeight="1" x14ac:dyDescent="0.2">
      <c r="A3094" s="88" t="s">
        <v>3652</v>
      </c>
      <c r="B3094" s="90"/>
      <c r="C3094" s="88" t="s">
        <v>3701</v>
      </c>
      <c r="D3094" s="90"/>
      <c r="E3094" s="106"/>
      <c r="F3094" s="107"/>
      <c r="G3094" s="107"/>
      <c r="H3094" s="107"/>
      <c r="I3094" s="108"/>
      <c r="J3094" s="88" t="s">
        <v>13</v>
      </c>
      <c r="K3094" s="89"/>
      <c r="L3094" s="89"/>
      <c r="M3094" s="90"/>
      <c r="N3094" s="88" t="s">
        <v>26</v>
      </c>
      <c r="O3094" s="89"/>
      <c r="P3094" s="90"/>
      <c r="Q3094" s="133">
        <v>1600</v>
      </c>
      <c r="R3094" s="134"/>
      <c r="S3094" s="5" t="s">
        <v>44</v>
      </c>
      <c r="T3094" s="6"/>
      <c r="U3094" s="8">
        <v>4</v>
      </c>
      <c r="V3094" s="5" t="s">
        <v>23</v>
      </c>
      <c r="W3094" s="12">
        <v>9525154</v>
      </c>
      <c r="X3094" s="6"/>
      <c r="Y3094" s="6"/>
    </row>
    <row r="3095" spans="1:25" ht="15" customHeight="1" x14ac:dyDescent="0.2">
      <c r="A3095" s="88" t="s">
        <v>3652</v>
      </c>
      <c r="B3095" s="90"/>
      <c r="C3095" s="88" t="s">
        <v>3702</v>
      </c>
      <c r="D3095" s="90"/>
      <c r="E3095" s="106"/>
      <c r="F3095" s="107"/>
      <c r="G3095" s="107"/>
      <c r="H3095" s="107"/>
      <c r="I3095" s="108"/>
      <c r="J3095" s="88" t="s">
        <v>13</v>
      </c>
      <c r="K3095" s="89"/>
      <c r="L3095" s="89"/>
      <c r="M3095" s="90"/>
      <c r="N3095" s="88" t="s">
        <v>26</v>
      </c>
      <c r="O3095" s="89"/>
      <c r="P3095" s="90"/>
      <c r="Q3095" s="133">
        <v>1600</v>
      </c>
      <c r="R3095" s="134"/>
      <c r="S3095" s="5" t="s">
        <v>119</v>
      </c>
      <c r="T3095" s="6"/>
      <c r="U3095" s="8">
        <v>2</v>
      </c>
      <c r="V3095" s="5" t="s">
        <v>23</v>
      </c>
      <c r="W3095" s="12">
        <v>15567578</v>
      </c>
      <c r="X3095" s="6"/>
      <c r="Y3095" s="6"/>
    </row>
    <row r="3096" spans="1:25" ht="15" customHeight="1" x14ac:dyDescent="0.2">
      <c r="A3096" s="88" t="s">
        <v>3652</v>
      </c>
      <c r="B3096" s="90"/>
      <c r="C3096" s="88" t="s">
        <v>3703</v>
      </c>
      <c r="D3096" s="89"/>
      <c r="E3096" s="89"/>
      <c r="F3096" s="89"/>
      <c r="G3096" s="89"/>
      <c r="H3096" s="89"/>
      <c r="I3096" s="90"/>
      <c r="J3096" s="88" t="s">
        <v>13</v>
      </c>
      <c r="K3096" s="89"/>
      <c r="L3096" s="89"/>
      <c r="M3096" s="90"/>
      <c r="N3096" s="88" t="s">
        <v>26</v>
      </c>
      <c r="O3096" s="89"/>
      <c r="P3096" s="90"/>
      <c r="Q3096" s="133">
        <v>1600</v>
      </c>
      <c r="R3096" s="134"/>
      <c r="S3096" s="5" t="s">
        <v>119</v>
      </c>
      <c r="T3096" s="6"/>
      <c r="U3096" s="8">
        <v>2</v>
      </c>
      <c r="V3096" s="5" t="s">
        <v>23</v>
      </c>
      <c r="W3096" s="12">
        <v>20316025</v>
      </c>
      <c r="X3096" s="6"/>
      <c r="Y3096" s="6"/>
    </row>
    <row r="3097" spans="1:25" ht="15" customHeight="1" x14ac:dyDescent="0.2">
      <c r="A3097" s="88" t="s">
        <v>3652</v>
      </c>
      <c r="B3097" s="90"/>
      <c r="C3097" s="88" t="s">
        <v>3704</v>
      </c>
      <c r="D3097" s="90"/>
      <c r="E3097" s="106"/>
      <c r="F3097" s="107"/>
      <c r="G3097" s="107"/>
      <c r="H3097" s="107"/>
      <c r="I3097" s="108"/>
      <c r="J3097" s="88" t="s">
        <v>13</v>
      </c>
      <c r="K3097" s="89"/>
      <c r="L3097" s="89"/>
      <c r="M3097" s="90"/>
      <c r="N3097" s="88" t="s">
        <v>26</v>
      </c>
      <c r="O3097" s="89"/>
      <c r="P3097" s="90"/>
      <c r="Q3097" s="133">
        <v>1600</v>
      </c>
      <c r="R3097" s="134"/>
      <c r="S3097" s="5" t="s">
        <v>271</v>
      </c>
      <c r="T3097" s="6"/>
      <c r="U3097" s="8">
        <v>2</v>
      </c>
      <c r="V3097" s="5" t="s">
        <v>23</v>
      </c>
      <c r="W3097" s="12">
        <v>13296280</v>
      </c>
      <c r="X3097" s="6"/>
      <c r="Y3097" s="6"/>
    </row>
    <row r="3098" spans="1:25" ht="15" customHeight="1" x14ac:dyDescent="0.2">
      <c r="A3098" s="88" t="s">
        <v>3652</v>
      </c>
      <c r="B3098" s="90"/>
      <c r="C3098" s="88" t="s">
        <v>3705</v>
      </c>
      <c r="D3098" s="89"/>
      <c r="E3098" s="89"/>
      <c r="F3098" s="89"/>
      <c r="G3098" s="89"/>
      <c r="H3098" s="89"/>
      <c r="I3098" s="90"/>
      <c r="J3098" s="88" t="s">
        <v>13</v>
      </c>
      <c r="K3098" s="89"/>
      <c r="L3098" s="89"/>
      <c r="M3098" s="90"/>
      <c r="N3098" s="88" t="s">
        <v>26</v>
      </c>
      <c r="O3098" s="89"/>
      <c r="P3098" s="90"/>
      <c r="Q3098" s="88" t="s">
        <v>3706</v>
      </c>
      <c r="R3098" s="90"/>
      <c r="S3098" s="5" t="s">
        <v>271</v>
      </c>
      <c r="T3098" s="6"/>
      <c r="U3098" s="8">
        <v>2</v>
      </c>
      <c r="V3098" s="5" t="s">
        <v>23</v>
      </c>
      <c r="W3098" s="12">
        <v>13963782</v>
      </c>
      <c r="X3098" s="6"/>
      <c r="Y3098" s="6"/>
    </row>
    <row r="3099" spans="1:25" ht="15" customHeight="1" x14ac:dyDescent="0.2">
      <c r="A3099" s="88" t="s">
        <v>3652</v>
      </c>
      <c r="B3099" s="90"/>
      <c r="C3099" s="88" t="s">
        <v>3707</v>
      </c>
      <c r="D3099" s="90"/>
      <c r="E3099" s="88" t="s">
        <v>3708</v>
      </c>
      <c r="F3099" s="89"/>
      <c r="G3099" s="89"/>
      <c r="H3099" s="89"/>
      <c r="I3099" s="90"/>
      <c r="J3099" s="88" t="s">
        <v>13</v>
      </c>
      <c r="K3099" s="89"/>
      <c r="L3099" s="89"/>
      <c r="M3099" s="90"/>
      <c r="N3099" s="88" t="s">
        <v>26</v>
      </c>
      <c r="O3099" s="89"/>
      <c r="P3099" s="90"/>
      <c r="Q3099" s="133">
        <v>1600</v>
      </c>
      <c r="R3099" s="134"/>
      <c r="S3099" s="5" t="s">
        <v>44</v>
      </c>
      <c r="T3099" s="6"/>
      <c r="U3099" s="8">
        <v>4</v>
      </c>
      <c r="V3099" s="5" t="s">
        <v>23</v>
      </c>
      <c r="W3099" s="12">
        <v>11172964</v>
      </c>
      <c r="X3099" s="6"/>
      <c r="Y3099" s="6"/>
    </row>
    <row r="3100" spans="1:25" ht="15" customHeight="1" x14ac:dyDescent="0.2">
      <c r="A3100" s="88" t="s">
        <v>3652</v>
      </c>
      <c r="B3100" s="90"/>
      <c r="C3100" s="88" t="s">
        <v>3709</v>
      </c>
      <c r="D3100" s="90"/>
      <c r="E3100" s="106"/>
      <c r="F3100" s="107"/>
      <c r="G3100" s="107"/>
      <c r="H3100" s="107"/>
      <c r="I3100" s="108"/>
      <c r="J3100" s="88" t="s">
        <v>13</v>
      </c>
      <c r="K3100" s="89"/>
      <c r="L3100" s="89"/>
      <c r="M3100" s="90"/>
      <c r="N3100" s="88" t="s">
        <v>26</v>
      </c>
      <c r="O3100" s="89"/>
      <c r="P3100" s="90"/>
      <c r="Q3100" s="133">
        <v>1500</v>
      </c>
      <c r="R3100" s="134"/>
      <c r="S3100" s="5" t="s">
        <v>44</v>
      </c>
      <c r="T3100" s="6"/>
      <c r="U3100" s="8">
        <v>4</v>
      </c>
      <c r="V3100" s="5" t="s">
        <v>96</v>
      </c>
      <c r="W3100" s="12">
        <v>9260596</v>
      </c>
      <c r="X3100" s="6"/>
      <c r="Y3100" s="6"/>
    </row>
    <row r="3101" spans="1:25" ht="15" customHeight="1" x14ac:dyDescent="0.2">
      <c r="A3101" s="88" t="s">
        <v>3652</v>
      </c>
      <c r="B3101" s="90"/>
      <c r="C3101" s="88" t="s">
        <v>3710</v>
      </c>
      <c r="D3101" s="90"/>
      <c r="E3101" s="88" t="s">
        <v>3711</v>
      </c>
      <c r="F3101" s="89"/>
      <c r="G3101" s="89"/>
      <c r="H3101" s="89"/>
      <c r="I3101" s="90"/>
      <c r="J3101" s="88" t="s">
        <v>13</v>
      </c>
      <c r="K3101" s="89"/>
      <c r="L3101" s="89"/>
      <c r="M3101" s="90"/>
      <c r="N3101" s="88" t="s">
        <v>26</v>
      </c>
      <c r="O3101" s="89"/>
      <c r="P3101" s="90"/>
      <c r="Q3101" s="133">
        <v>1500</v>
      </c>
      <c r="R3101" s="134"/>
      <c r="S3101" s="5" t="s">
        <v>804</v>
      </c>
      <c r="T3101" s="6"/>
      <c r="U3101" s="8">
        <v>5</v>
      </c>
      <c r="V3101" s="5" t="s">
        <v>96</v>
      </c>
      <c r="W3101" s="12">
        <v>11689994</v>
      </c>
      <c r="X3101" s="6"/>
      <c r="Y3101" s="6"/>
    </row>
    <row r="3102" spans="1:25" ht="15" customHeight="1" x14ac:dyDescent="0.2">
      <c r="A3102" s="88" t="s">
        <v>3652</v>
      </c>
      <c r="B3102" s="90"/>
      <c r="C3102" s="88" t="s">
        <v>3712</v>
      </c>
      <c r="D3102" s="89"/>
      <c r="E3102" s="89"/>
      <c r="F3102" s="89"/>
      <c r="G3102" s="89"/>
      <c r="H3102" s="89"/>
      <c r="I3102" s="90"/>
      <c r="J3102" s="88" t="s">
        <v>13</v>
      </c>
      <c r="K3102" s="89"/>
      <c r="L3102" s="89"/>
      <c r="M3102" s="90"/>
      <c r="N3102" s="88" t="s">
        <v>26</v>
      </c>
      <c r="O3102" s="89"/>
      <c r="P3102" s="90"/>
      <c r="Q3102" s="133">
        <v>2000</v>
      </c>
      <c r="R3102" s="134"/>
      <c r="S3102" s="5" t="s">
        <v>44</v>
      </c>
      <c r="T3102" s="6"/>
      <c r="U3102" s="8">
        <v>4</v>
      </c>
      <c r="V3102" s="5" t="s">
        <v>106</v>
      </c>
      <c r="W3102" s="12">
        <v>12447081</v>
      </c>
      <c r="X3102" s="6"/>
      <c r="Y3102" s="6"/>
    </row>
    <row r="3103" spans="1:25" ht="15" customHeight="1" x14ac:dyDescent="0.2">
      <c r="A3103" s="88" t="s">
        <v>3652</v>
      </c>
      <c r="B3103" s="90"/>
      <c r="C3103" s="88" t="s">
        <v>3713</v>
      </c>
      <c r="D3103" s="90"/>
      <c r="E3103" s="106"/>
      <c r="F3103" s="107"/>
      <c r="G3103" s="107"/>
      <c r="H3103" s="107"/>
      <c r="I3103" s="108"/>
      <c r="J3103" s="88" t="s">
        <v>13</v>
      </c>
      <c r="K3103" s="89"/>
      <c r="L3103" s="89"/>
      <c r="M3103" s="90"/>
      <c r="N3103" s="88" t="s">
        <v>26</v>
      </c>
      <c r="O3103" s="89"/>
      <c r="P3103" s="90"/>
      <c r="Q3103" s="133">
        <v>2000</v>
      </c>
      <c r="R3103" s="134"/>
      <c r="S3103" s="5" t="s">
        <v>44</v>
      </c>
      <c r="T3103" s="6"/>
      <c r="U3103" s="8">
        <v>4</v>
      </c>
      <c r="V3103" s="5" t="s">
        <v>96</v>
      </c>
      <c r="W3103" s="12">
        <v>9687337</v>
      </c>
      <c r="X3103" s="6"/>
      <c r="Y3103" s="6"/>
    </row>
    <row r="3104" spans="1:25" ht="15" customHeight="1" x14ac:dyDescent="0.2">
      <c r="A3104" s="88" t="s">
        <v>3652</v>
      </c>
      <c r="B3104" s="90"/>
      <c r="C3104" s="88" t="s">
        <v>3714</v>
      </c>
      <c r="D3104" s="90"/>
      <c r="E3104" s="106"/>
      <c r="F3104" s="107"/>
      <c r="G3104" s="107"/>
      <c r="H3104" s="107"/>
      <c r="I3104" s="108"/>
      <c r="J3104" s="88" t="s">
        <v>13</v>
      </c>
      <c r="K3104" s="89"/>
      <c r="L3104" s="89"/>
      <c r="M3104" s="90"/>
      <c r="N3104" s="88" t="s">
        <v>26</v>
      </c>
      <c r="O3104" s="89"/>
      <c r="P3104" s="90"/>
      <c r="Q3104" s="133">
        <v>2200</v>
      </c>
      <c r="R3104" s="134"/>
      <c r="S3104" s="5" t="s">
        <v>44</v>
      </c>
      <c r="T3104" s="6"/>
      <c r="U3104" s="8">
        <v>4</v>
      </c>
      <c r="V3104" s="5" t="s">
        <v>106</v>
      </c>
      <c r="W3104" s="12">
        <v>8260235</v>
      </c>
      <c r="X3104" s="6"/>
      <c r="Y3104" s="6"/>
    </row>
    <row r="3105" spans="1:25" ht="15" customHeight="1" x14ac:dyDescent="0.2">
      <c r="A3105" s="88" t="s">
        <v>3652</v>
      </c>
      <c r="B3105" s="90"/>
      <c r="C3105" s="88" t="s">
        <v>3715</v>
      </c>
      <c r="D3105" s="89"/>
      <c r="E3105" s="89"/>
      <c r="F3105" s="89"/>
      <c r="G3105" s="89"/>
      <c r="H3105" s="89"/>
      <c r="I3105" s="90"/>
      <c r="J3105" s="88" t="s">
        <v>13</v>
      </c>
      <c r="K3105" s="89"/>
      <c r="L3105" s="89"/>
      <c r="M3105" s="90"/>
      <c r="N3105" s="88" t="s">
        <v>26</v>
      </c>
      <c r="O3105" s="89"/>
      <c r="P3105" s="90"/>
      <c r="Q3105" s="133">
        <v>2000</v>
      </c>
      <c r="R3105" s="134"/>
      <c r="S3105" s="5" t="s">
        <v>44</v>
      </c>
      <c r="T3105" s="6"/>
      <c r="U3105" s="8">
        <v>4</v>
      </c>
      <c r="V3105" s="5" t="s">
        <v>96</v>
      </c>
      <c r="W3105" s="12">
        <v>9333332</v>
      </c>
      <c r="X3105" s="6"/>
      <c r="Y3105" s="6"/>
    </row>
    <row r="3106" spans="1:25" ht="15" customHeight="1" x14ac:dyDescent="0.2">
      <c r="A3106" s="88" t="s">
        <v>3652</v>
      </c>
      <c r="B3106" s="90"/>
      <c r="C3106" s="88" t="s">
        <v>3716</v>
      </c>
      <c r="D3106" s="90"/>
      <c r="E3106" s="88" t="s">
        <v>3717</v>
      </c>
      <c r="F3106" s="89"/>
      <c r="G3106" s="89"/>
      <c r="H3106" s="89"/>
      <c r="I3106" s="90"/>
      <c r="J3106" s="88" t="s">
        <v>13</v>
      </c>
      <c r="K3106" s="89"/>
      <c r="L3106" s="89"/>
      <c r="M3106" s="90"/>
      <c r="N3106" s="88" t="s">
        <v>26</v>
      </c>
      <c r="O3106" s="89"/>
      <c r="P3106" s="90"/>
      <c r="Q3106" s="133">
        <v>2200</v>
      </c>
      <c r="R3106" s="134"/>
      <c r="S3106" s="5" t="s">
        <v>44</v>
      </c>
      <c r="T3106" s="6"/>
      <c r="U3106" s="8">
        <v>4</v>
      </c>
      <c r="V3106" s="5" t="s">
        <v>106</v>
      </c>
      <c r="W3106" s="12">
        <v>12139728</v>
      </c>
      <c r="X3106" s="6"/>
      <c r="Y3106" s="6"/>
    </row>
    <row r="3107" spans="1:25" ht="15" customHeight="1" x14ac:dyDescent="0.2">
      <c r="A3107" s="88" t="s">
        <v>3652</v>
      </c>
      <c r="B3107" s="90"/>
      <c r="C3107" s="88" t="s">
        <v>3718</v>
      </c>
      <c r="D3107" s="90"/>
      <c r="E3107" s="88" t="s">
        <v>3719</v>
      </c>
      <c r="F3107" s="89"/>
      <c r="G3107" s="89"/>
      <c r="H3107" s="89"/>
      <c r="I3107" s="90"/>
      <c r="J3107" s="88" t="s">
        <v>13</v>
      </c>
      <c r="K3107" s="89"/>
      <c r="L3107" s="89"/>
      <c r="M3107" s="90"/>
      <c r="N3107" s="88" t="s">
        <v>26</v>
      </c>
      <c r="O3107" s="89"/>
      <c r="P3107" s="90"/>
      <c r="Q3107" s="133">
        <v>2000</v>
      </c>
      <c r="R3107" s="134"/>
      <c r="S3107" s="5" t="s">
        <v>44</v>
      </c>
      <c r="T3107" s="6"/>
      <c r="U3107" s="8">
        <v>4</v>
      </c>
      <c r="V3107" s="5" t="s">
        <v>106</v>
      </c>
      <c r="W3107" s="12">
        <v>8861765</v>
      </c>
      <c r="X3107" s="6"/>
      <c r="Y3107" s="6"/>
    </row>
    <row r="3108" spans="1:25" ht="15" customHeight="1" x14ac:dyDescent="0.2">
      <c r="A3108" s="88" t="s">
        <v>3652</v>
      </c>
      <c r="B3108" s="90"/>
      <c r="C3108" s="88" t="s">
        <v>3720</v>
      </c>
      <c r="D3108" s="90"/>
      <c r="E3108" s="88" t="s">
        <v>3721</v>
      </c>
      <c r="F3108" s="89"/>
      <c r="G3108" s="89"/>
      <c r="H3108" s="89"/>
      <c r="I3108" s="90"/>
      <c r="J3108" s="88" t="s">
        <v>13</v>
      </c>
      <c r="K3108" s="89"/>
      <c r="L3108" s="89"/>
      <c r="M3108" s="90"/>
      <c r="N3108" s="88" t="s">
        <v>26</v>
      </c>
      <c r="O3108" s="89"/>
      <c r="P3108" s="90"/>
      <c r="Q3108" s="88" t="s">
        <v>463</v>
      </c>
      <c r="R3108" s="90"/>
      <c r="S3108" s="5" t="s">
        <v>44</v>
      </c>
      <c r="T3108" s="6"/>
      <c r="U3108" s="8">
        <v>5</v>
      </c>
      <c r="V3108" s="5" t="s">
        <v>176</v>
      </c>
      <c r="W3108" s="12">
        <v>12059553</v>
      </c>
      <c r="X3108" s="6"/>
      <c r="Y3108" s="6"/>
    </row>
    <row r="3109" spans="1:25" ht="15" customHeight="1" x14ac:dyDescent="0.2">
      <c r="A3109" s="88" t="s">
        <v>3652</v>
      </c>
      <c r="B3109" s="90"/>
      <c r="C3109" s="88" t="s">
        <v>3722</v>
      </c>
      <c r="D3109" s="89"/>
      <c r="E3109" s="89"/>
      <c r="F3109" s="89"/>
      <c r="G3109" s="89"/>
      <c r="H3109" s="89"/>
      <c r="I3109" s="90"/>
      <c r="J3109" s="88" t="s">
        <v>13</v>
      </c>
      <c r="K3109" s="89"/>
      <c r="L3109" s="89"/>
      <c r="M3109" s="90"/>
      <c r="N3109" s="88" t="s">
        <v>26</v>
      </c>
      <c r="O3109" s="89"/>
      <c r="P3109" s="90"/>
      <c r="Q3109" s="133">
        <v>1600</v>
      </c>
      <c r="R3109" s="134"/>
      <c r="S3109" s="5" t="s">
        <v>70</v>
      </c>
      <c r="T3109" s="6"/>
      <c r="U3109" s="8">
        <v>6</v>
      </c>
      <c r="V3109" s="5" t="s">
        <v>23</v>
      </c>
      <c r="W3109" s="12">
        <v>8347835</v>
      </c>
      <c r="X3109" s="6"/>
      <c r="Y3109" s="6"/>
    </row>
    <row r="3110" spans="1:25" ht="15" customHeight="1" x14ac:dyDescent="0.2">
      <c r="A3110" s="88" t="s">
        <v>3652</v>
      </c>
      <c r="B3110" s="90"/>
      <c r="C3110" s="88" t="s">
        <v>3723</v>
      </c>
      <c r="D3110" s="90"/>
      <c r="E3110" s="88" t="s">
        <v>3724</v>
      </c>
      <c r="F3110" s="89"/>
      <c r="G3110" s="89"/>
      <c r="H3110" s="89"/>
      <c r="I3110" s="90"/>
      <c r="J3110" s="88" t="s">
        <v>13</v>
      </c>
      <c r="K3110" s="89"/>
      <c r="L3110" s="89"/>
      <c r="M3110" s="90"/>
      <c r="N3110" s="88" t="s">
        <v>26</v>
      </c>
      <c r="O3110" s="89"/>
      <c r="P3110" s="90"/>
      <c r="Q3110" s="133">
        <v>1600</v>
      </c>
      <c r="R3110" s="134"/>
      <c r="S3110" s="5" t="s">
        <v>70</v>
      </c>
      <c r="T3110" s="6"/>
      <c r="U3110" s="8">
        <v>6</v>
      </c>
      <c r="V3110" s="5" t="s">
        <v>96</v>
      </c>
      <c r="W3110" s="12">
        <v>8800986</v>
      </c>
      <c r="X3110" s="6"/>
      <c r="Y3110" s="6"/>
    </row>
    <row r="3111" spans="1:25" ht="15" customHeight="1" x14ac:dyDescent="0.2">
      <c r="A3111" s="88" t="s">
        <v>3652</v>
      </c>
      <c r="B3111" s="90"/>
      <c r="C3111" s="88" t="s">
        <v>3725</v>
      </c>
      <c r="D3111" s="89"/>
      <c r="E3111" s="89"/>
      <c r="F3111" s="89"/>
      <c r="G3111" s="89"/>
      <c r="H3111" s="89"/>
      <c r="I3111" s="90"/>
      <c r="J3111" s="88" t="s">
        <v>13</v>
      </c>
      <c r="K3111" s="89"/>
      <c r="L3111" s="89"/>
      <c r="M3111" s="90"/>
      <c r="N3111" s="88" t="s">
        <v>26</v>
      </c>
      <c r="O3111" s="89"/>
      <c r="P3111" s="90"/>
      <c r="Q3111" s="133">
        <v>1500</v>
      </c>
      <c r="R3111" s="134"/>
      <c r="S3111" s="5" t="s">
        <v>70</v>
      </c>
      <c r="T3111" s="6"/>
      <c r="U3111" s="8">
        <v>6</v>
      </c>
      <c r="V3111" s="5" t="s">
        <v>96</v>
      </c>
      <c r="W3111" s="12">
        <v>8784602</v>
      </c>
      <c r="X3111" s="6"/>
      <c r="Y3111" s="6"/>
    </row>
    <row r="3112" spans="1:25" ht="15" customHeight="1" x14ac:dyDescent="0.2">
      <c r="A3112" s="88" t="s">
        <v>3652</v>
      </c>
      <c r="B3112" s="90"/>
      <c r="C3112" s="88" t="s">
        <v>3726</v>
      </c>
      <c r="D3112" s="90"/>
      <c r="E3112" s="88" t="s">
        <v>3727</v>
      </c>
      <c r="F3112" s="89"/>
      <c r="G3112" s="89"/>
      <c r="H3112" s="89"/>
      <c r="I3112" s="90"/>
      <c r="J3112" s="88" t="s">
        <v>13</v>
      </c>
      <c r="K3112" s="89"/>
      <c r="L3112" s="89"/>
      <c r="M3112" s="90"/>
      <c r="N3112" s="88" t="s">
        <v>22</v>
      </c>
      <c r="O3112" s="89"/>
      <c r="P3112" s="90"/>
      <c r="Q3112" s="133">
        <v>1500</v>
      </c>
      <c r="R3112" s="134"/>
      <c r="S3112" s="5" t="s">
        <v>70</v>
      </c>
      <c r="T3112" s="6"/>
      <c r="U3112" s="8">
        <v>5</v>
      </c>
      <c r="V3112" s="5" t="s">
        <v>96</v>
      </c>
      <c r="W3112" s="12">
        <v>8624882</v>
      </c>
      <c r="X3112" s="6"/>
      <c r="Y3112" s="6"/>
    </row>
    <row r="3113" spans="1:25" ht="15" customHeight="1" x14ac:dyDescent="0.2">
      <c r="A3113" s="88" t="s">
        <v>3652</v>
      </c>
      <c r="B3113" s="90"/>
      <c r="C3113" s="88" t="s">
        <v>3726</v>
      </c>
      <c r="D3113" s="90"/>
      <c r="E3113" s="88" t="s">
        <v>3728</v>
      </c>
      <c r="F3113" s="89"/>
      <c r="G3113" s="89"/>
      <c r="H3113" s="89"/>
      <c r="I3113" s="90"/>
      <c r="J3113" s="88" t="s">
        <v>13</v>
      </c>
      <c r="K3113" s="89"/>
      <c r="L3113" s="89"/>
      <c r="M3113" s="90"/>
      <c r="N3113" s="88" t="s">
        <v>26</v>
      </c>
      <c r="O3113" s="89"/>
      <c r="P3113" s="90"/>
      <c r="Q3113" s="133">
        <v>2000</v>
      </c>
      <c r="R3113" s="134"/>
      <c r="S3113" s="5" t="s">
        <v>70</v>
      </c>
      <c r="T3113" s="6"/>
      <c r="U3113" s="8">
        <v>5</v>
      </c>
      <c r="V3113" s="5" t="s">
        <v>96</v>
      </c>
      <c r="W3113" s="12">
        <v>8024560</v>
      </c>
      <c r="X3113" s="6"/>
      <c r="Y3113" s="6"/>
    </row>
    <row r="3114" spans="1:25" ht="15" customHeight="1" x14ac:dyDescent="0.2">
      <c r="A3114" s="88" t="s">
        <v>3652</v>
      </c>
      <c r="B3114" s="90"/>
      <c r="C3114" s="88" t="s">
        <v>3729</v>
      </c>
      <c r="D3114" s="89"/>
      <c r="E3114" s="89"/>
      <c r="F3114" s="89"/>
      <c r="G3114" s="89"/>
      <c r="H3114" s="89"/>
      <c r="I3114" s="90"/>
      <c r="J3114" s="88" t="s">
        <v>13</v>
      </c>
      <c r="K3114" s="89"/>
      <c r="L3114" s="89"/>
      <c r="M3114" s="90"/>
      <c r="N3114" s="88" t="s">
        <v>26</v>
      </c>
      <c r="O3114" s="89"/>
      <c r="P3114" s="90"/>
      <c r="Q3114" s="133">
        <v>1500</v>
      </c>
      <c r="R3114" s="134"/>
      <c r="S3114" s="5" t="s">
        <v>70</v>
      </c>
      <c r="T3114" s="6"/>
      <c r="U3114" s="8">
        <v>6</v>
      </c>
      <c r="V3114" s="5" t="s">
        <v>96</v>
      </c>
      <c r="W3114" s="12">
        <v>10085984</v>
      </c>
      <c r="X3114" s="6"/>
      <c r="Y3114" s="6"/>
    </row>
    <row r="3115" spans="1:25" ht="15" customHeight="1" x14ac:dyDescent="0.2">
      <c r="A3115" s="88" t="s">
        <v>3652</v>
      </c>
      <c r="B3115" s="90"/>
      <c r="C3115" s="88" t="s">
        <v>3730</v>
      </c>
      <c r="D3115" s="90"/>
      <c r="E3115" s="88" t="s">
        <v>3731</v>
      </c>
      <c r="F3115" s="89"/>
      <c r="G3115" s="89"/>
      <c r="H3115" s="89"/>
      <c r="I3115" s="90"/>
      <c r="J3115" s="88" t="s">
        <v>13</v>
      </c>
      <c r="K3115" s="89"/>
      <c r="L3115" s="89"/>
      <c r="M3115" s="90"/>
      <c r="N3115" s="88" t="s">
        <v>26</v>
      </c>
      <c r="O3115" s="89"/>
      <c r="P3115" s="90"/>
      <c r="Q3115" s="133">
        <v>1500</v>
      </c>
      <c r="R3115" s="134"/>
      <c r="S3115" s="5" t="s">
        <v>70</v>
      </c>
      <c r="T3115" s="6"/>
      <c r="U3115" s="8">
        <v>6</v>
      </c>
      <c r="V3115" s="5" t="s">
        <v>96</v>
      </c>
      <c r="W3115" s="12">
        <v>9810977</v>
      </c>
      <c r="X3115" s="6"/>
      <c r="Y3115" s="6"/>
    </row>
    <row r="3116" spans="1:25" ht="15" customHeight="1" x14ac:dyDescent="0.2">
      <c r="A3116" s="88" t="s">
        <v>3652</v>
      </c>
      <c r="B3116" s="90"/>
      <c r="C3116" s="88" t="s">
        <v>3732</v>
      </c>
      <c r="D3116" s="89"/>
      <c r="E3116" s="89"/>
      <c r="F3116" s="89"/>
      <c r="G3116" s="89"/>
      <c r="H3116" s="89"/>
      <c r="I3116" s="90"/>
      <c r="J3116" s="88" t="s">
        <v>13</v>
      </c>
      <c r="K3116" s="89"/>
      <c r="L3116" s="89"/>
      <c r="M3116" s="90"/>
      <c r="N3116" s="88" t="s">
        <v>26</v>
      </c>
      <c r="O3116" s="89"/>
      <c r="P3116" s="90"/>
      <c r="Q3116" s="133">
        <v>2200</v>
      </c>
      <c r="R3116" s="134"/>
      <c r="S3116" s="5" t="s">
        <v>70</v>
      </c>
      <c r="T3116" s="6"/>
      <c r="U3116" s="8">
        <v>6</v>
      </c>
      <c r="V3116" s="5" t="s">
        <v>106</v>
      </c>
      <c r="W3116" s="12">
        <v>9502990</v>
      </c>
      <c r="X3116" s="6"/>
      <c r="Y3116" s="6"/>
    </row>
    <row r="3117" spans="1:25" ht="15" customHeight="1" x14ac:dyDescent="0.2">
      <c r="A3117" s="88" t="s">
        <v>3652</v>
      </c>
      <c r="B3117" s="90"/>
      <c r="C3117" s="88" t="s">
        <v>3733</v>
      </c>
      <c r="D3117" s="89"/>
      <c r="E3117" s="89"/>
      <c r="F3117" s="89"/>
      <c r="G3117" s="89"/>
      <c r="H3117" s="89"/>
      <c r="I3117" s="90"/>
      <c r="J3117" s="88" t="s">
        <v>13</v>
      </c>
      <c r="K3117" s="89"/>
      <c r="L3117" s="89"/>
      <c r="M3117" s="90"/>
      <c r="N3117" s="88" t="s">
        <v>26</v>
      </c>
      <c r="O3117" s="89"/>
      <c r="P3117" s="90"/>
      <c r="Q3117" s="133">
        <v>2000</v>
      </c>
      <c r="R3117" s="134"/>
      <c r="S3117" s="5" t="s">
        <v>70</v>
      </c>
      <c r="T3117" s="6"/>
      <c r="U3117" s="8">
        <v>6</v>
      </c>
      <c r="V3117" s="5" t="s">
        <v>96</v>
      </c>
      <c r="W3117" s="12">
        <v>10466135</v>
      </c>
      <c r="X3117" s="6"/>
      <c r="Y3117" s="6"/>
    </row>
    <row r="3118" spans="1:25" ht="15" customHeight="1" x14ac:dyDescent="0.2">
      <c r="A3118" s="88" t="s">
        <v>3652</v>
      </c>
      <c r="B3118" s="90"/>
      <c r="C3118" s="88" t="s">
        <v>3734</v>
      </c>
      <c r="D3118" s="90"/>
      <c r="E3118" s="88" t="s">
        <v>3735</v>
      </c>
      <c r="F3118" s="89"/>
      <c r="G3118" s="89"/>
      <c r="H3118" s="89"/>
      <c r="I3118" s="90"/>
      <c r="J3118" s="88" t="s">
        <v>13</v>
      </c>
      <c r="K3118" s="89"/>
      <c r="L3118" s="89"/>
      <c r="M3118" s="90"/>
      <c r="N3118" s="88" t="s">
        <v>26</v>
      </c>
      <c r="O3118" s="89"/>
      <c r="P3118" s="90"/>
      <c r="Q3118" s="133">
        <v>2200</v>
      </c>
      <c r="R3118" s="134"/>
      <c r="S3118" s="5" t="s">
        <v>70</v>
      </c>
      <c r="T3118" s="6"/>
      <c r="U3118" s="8">
        <v>5</v>
      </c>
      <c r="V3118" s="5" t="s">
        <v>106</v>
      </c>
      <c r="W3118" s="12">
        <v>10335529</v>
      </c>
      <c r="X3118" s="6"/>
      <c r="Y3118" s="6"/>
    </row>
    <row r="3119" spans="1:25" ht="15" customHeight="1" x14ac:dyDescent="0.2">
      <c r="A3119" s="88" t="s">
        <v>3652</v>
      </c>
      <c r="B3119" s="90"/>
      <c r="C3119" s="88" t="s">
        <v>3736</v>
      </c>
      <c r="D3119" s="90"/>
      <c r="E3119" s="106"/>
      <c r="F3119" s="107"/>
      <c r="G3119" s="107"/>
      <c r="H3119" s="107"/>
      <c r="I3119" s="108"/>
      <c r="J3119" s="88" t="s">
        <v>13</v>
      </c>
      <c r="K3119" s="89"/>
      <c r="L3119" s="89"/>
      <c r="M3119" s="90"/>
      <c r="N3119" s="88" t="s">
        <v>26</v>
      </c>
      <c r="O3119" s="89"/>
      <c r="P3119" s="90"/>
      <c r="Q3119" s="133">
        <v>1400</v>
      </c>
      <c r="R3119" s="134"/>
      <c r="S3119" s="5" t="s">
        <v>44</v>
      </c>
      <c r="T3119" s="6"/>
      <c r="U3119" s="8">
        <v>4</v>
      </c>
      <c r="V3119" s="5" t="s">
        <v>96</v>
      </c>
      <c r="W3119" s="12">
        <v>9586218</v>
      </c>
      <c r="X3119" s="6"/>
      <c r="Y3119" s="6"/>
    </row>
    <row r="3120" spans="1:25" ht="15" customHeight="1" x14ac:dyDescent="0.2">
      <c r="A3120" s="88" t="s">
        <v>3652</v>
      </c>
      <c r="B3120" s="90"/>
      <c r="C3120" s="88" t="s">
        <v>3737</v>
      </c>
      <c r="D3120" s="90"/>
      <c r="E3120" s="106"/>
      <c r="F3120" s="107"/>
      <c r="G3120" s="107"/>
      <c r="H3120" s="107"/>
      <c r="I3120" s="108"/>
      <c r="J3120" s="88" t="s">
        <v>13</v>
      </c>
      <c r="K3120" s="89"/>
      <c r="L3120" s="89"/>
      <c r="M3120" s="90"/>
      <c r="N3120" s="88" t="s">
        <v>26</v>
      </c>
      <c r="O3120" s="89"/>
      <c r="P3120" s="90"/>
      <c r="Q3120" s="133">
        <v>1600</v>
      </c>
      <c r="R3120" s="134"/>
      <c r="S3120" s="5" t="s">
        <v>271</v>
      </c>
      <c r="T3120" s="6"/>
      <c r="U3120" s="8">
        <v>2</v>
      </c>
      <c r="V3120" s="5" t="s">
        <v>23</v>
      </c>
      <c r="W3120" s="12">
        <v>9257669</v>
      </c>
      <c r="X3120" s="6"/>
      <c r="Y3120" s="6"/>
    </row>
    <row r="3121" spans="1:25" ht="15" customHeight="1" x14ac:dyDescent="0.2">
      <c r="A3121" s="88" t="s">
        <v>3652</v>
      </c>
      <c r="B3121" s="90"/>
      <c r="C3121" s="88" t="s">
        <v>3737</v>
      </c>
      <c r="D3121" s="90"/>
      <c r="E3121" s="106"/>
      <c r="F3121" s="107"/>
      <c r="G3121" s="107"/>
      <c r="H3121" s="107"/>
      <c r="I3121" s="108"/>
      <c r="J3121" s="88" t="s">
        <v>13</v>
      </c>
      <c r="K3121" s="89"/>
      <c r="L3121" s="89"/>
      <c r="M3121" s="90"/>
      <c r="N3121" s="88" t="s">
        <v>26</v>
      </c>
      <c r="O3121" s="89"/>
      <c r="P3121" s="90"/>
      <c r="Q3121" s="133">
        <v>1600</v>
      </c>
      <c r="R3121" s="134"/>
      <c r="S3121" s="5" t="s">
        <v>44</v>
      </c>
      <c r="T3121" s="6"/>
      <c r="U3121" s="8">
        <v>5</v>
      </c>
      <c r="V3121" s="5" t="s">
        <v>23</v>
      </c>
      <c r="W3121" s="12">
        <v>9624213</v>
      </c>
      <c r="X3121" s="6"/>
      <c r="Y3121" s="6"/>
    </row>
    <row r="3122" spans="1:25" ht="15" customHeight="1" x14ac:dyDescent="0.2">
      <c r="A3122" s="88" t="s">
        <v>3652</v>
      </c>
      <c r="B3122" s="90"/>
      <c r="C3122" s="88" t="s">
        <v>3738</v>
      </c>
      <c r="D3122" s="90"/>
      <c r="E3122" s="106"/>
      <c r="F3122" s="107"/>
      <c r="G3122" s="107"/>
      <c r="H3122" s="107"/>
      <c r="I3122" s="108"/>
      <c r="J3122" s="88" t="s">
        <v>13</v>
      </c>
      <c r="K3122" s="89"/>
      <c r="L3122" s="89"/>
      <c r="M3122" s="90"/>
      <c r="N3122" s="88" t="s">
        <v>26</v>
      </c>
      <c r="O3122" s="89"/>
      <c r="P3122" s="90"/>
      <c r="Q3122" s="133">
        <v>2000</v>
      </c>
      <c r="R3122" s="134"/>
      <c r="S3122" s="5" t="s">
        <v>44</v>
      </c>
      <c r="T3122" s="6"/>
      <c r="U3122" s="8">
        <v>4</v>
      </c>
      <c r="V3122" s="5" t="s">
        <v>106</v>
      </c>
      <c r="W3122" s="12">
        <v>19998544</v>
      </c>
      <c r="X3122" s="6"/>
      <c r="Y3122" s="6"/>
    </row>
    <row r="3123" spans="1:25" ht="15" customHeight="1" x14ac:dyDescent="0.2">
      <c r="A3123" s="88" t="s">
        <v>3652</v>
      </c>
      <c r="B3123" s="90"/>
      <c r="C3123" s="88" t="s">
        <v>3739</v>
      </c>
      <c r="D3123" s="89"/>
      <c r="E3123" s="89"/>
      <c r="F3123" s="89"/>
      <c r="G3123" s="89"/>
      <c r="H3123" s="89"/>
      <c r="I3123" s="90"/>
      <c r="J3123" s="88" t="s">
        <v>13</v>
      </c>
      <c r="K3123" s="89"/>
      <c r="L3123" s="89"/>
      <c r="M3123" s="90"/>
      <c r="N3123" s="88" t="s">
        <v>26</v>
      </c>
      <c r="O3123" s="89"/>
      <c r="P3123" s="90"/>
      <c r="Q3123" s="133">
        <v>2000</v>
      </c>
      <c r="R3123" s="134"/>
      <c r="S3123" s="5" t="s">
        <v>271</v>
      </c>
      <c r="T3123" s="6"/>
      <c r="U3123" s="8">
        <v>2</v>
      </c>
      <c r="V3123" s="5" t="s">
        <v>106</v>
      </c>
      <c r="W3123" s="12">
        <v>13931302</v>
      </c>
      <c r="X3123" s="6"/>
      <c r="Y3123" s="6"/>
    </row>
    <row r="3124" spans="1:25" ht="15" customHeight="1" x14ac:dyDescent="0.2">
      <c r="A3124" s="88" t="s">
        <v>3652</v>
      </c>
      <c r="B3124" s="90"/>
      <c r="C3124" s="88" t="s">
        <v>3739</v>
      </c>
      <c r="D3124" s="89"/>
      <c r="E3124" s="89"/>
      <c r="F3124" s="89"/>
      <c r="G3124" s="89"/>
      <c r="H3124" s="89"/>
      <c r="I3124" s="90"/>
      <c r="J3124" s="88" t="s">
        <v>13</v>
      </c>
      <c r="K3124" s="89"/>
      <c r="L3124" s="89"/>
      <c r="M3124" s="90"/>
      <c r="N3124" s="88" t="s">
        <v>26</v>
      </c>
      <c r="O3124" s="89"/>
      <c r="P3124" s="90"/>
      <c r="Q3124" s="133">
        <v>2000</v>
      </c>
      <c r="R3124" s="134"/>
      <c r="S3124" s="5" t="s">
        <v>44</v>
      </c>
      <c r="T3124" s="6"/>
      <c r="U3124" s="8">
        <v>4</v>
      </c>
      <c r="V3124" s="5" t="s">
        <v>106</v>
      </c>
      <c r="W3124" s="12">
        <v>12995371</v>
      </c>
      <c r="X3124" s="6"/>
      <c r="Y3124" s="6"/>
    </row>
    <row r="3125" spans="1:25" ht="15" customHeight="1" x14ac:dyDescent="0.2">
      <c r="A3125" s="88" t="s">
        <v>3652</v>
      </c>
      <c r="B3125" s="90"/>
      <c r="C3125" s="88" t="s">
        <v>3740</v>
      </c>
      <c r="D3125" s="90"/>
      <c r="E3125" s="106"/>
      <c r="F3125" s="107"/>
      <c r="G3125" s="107"/>
      <c r="H3125" s="107"/>
      <c r="I3125" s="108"/>
      <c r="J3125" s="88" t="s">
        <v>13</v>
      </c>
      <c r="K3125" s="89"/>
      <c r="L3125" s="89"/>
      <c r="M3125" s="90"/>
      <c r="N3125" s="88" t="s">
        <v>26</v>
      </c>
      <c r="O3125" s="89"/>
      <c r="P3125" s="90"/>
      <c r="Q3125" s="133">
        <v>2000</v>
      </c>
      <c r="R3125" s="134"/>
      <c r="S3125" s="5" t="s">
        <v>44</v>
      </c>
      <c r="T3125" s="6"/>
      <c r="U3125" s="8">
        <v>5</v>
      </c>
      <c r="V3125" s="5" t="s">
        <v>106</v>
      </c>
      <c r="W3125" s="12">
        <v>9872830</v>
      </c>
      <c r="X3125" s="6"/>
      <c r="Y3125" s="6"/>
    </row>
    <row r="3126" spans="1:25" ht="15" customHeight="1" x14ac:dyDescent="0.2">
      <c r="A3126" s="88" t="s">
        <v>3652</v>
      </c>
      <c r="B3126" s="90"/>
      <c r="C3126" s="88" t="s">
        <v>3740</v>
      </c>
      <c r="D3126" s="90"/>
      <c r="E3126" s="106"/>
      <c r="F3126" s="107"/>
      <c r="G3126" s="107"/>
      <c r="H3126" s="107"/>
      <c r="I3126" s="108"/>
      <c r="J3126" s="88" t="s">
        <v>13</v>
      </c>
      <c r="K3126" s="89"/>
      <c r="L3126" s="89"/>
      <c r="M3126" s="90"/>
      <c r="N3126" s="88" t="s">
        <v>26</v>
      </c>
      <c r="O3126" s="89"/>
      <c r="P3126" s="90"/>
      <c r="Q3126" s="133">
        <v>2000</v>
      </c>
      <c r="R3126" s="134"/>
      <c r="S3126" s="5" t="s">
        <v>271</v>
      </c>
      <c r="T3126" s="6"/>
      <c r="U3126" s="8">
        <v>2</v>
      </c>
      <c r="V3126" s="5" t="s">
        <v>106</v>
      </c>
      <c r="W3126" s="12">
        <v>9799734</v>
      </c>
      <c r="X3126" s="6"/>
      <c r="Y3126" s="6"/>
    </row>
    <row r="3127" spans="1:25" ht="15" customHeight="1" x14ac:dyDescent="0.2">
      <c r="A3127" s="88" t="s">
        <v>3652</v>
      </c>
      <c r="B3127" s="90"/>
      <c r="C3127" s="88" t="s">
        <v>3741</v>
      </c>
      <c r="D3127" s="90"/>
      <c r="E3127" s="106"/>
      <c r="F3127" s="107"/>
      <c r="G3127" s="107"/>
      <c r="H3127" s="107"/>
      <c r="I3127" s="108"/>
      <c r="J3127" s="88" t="s">
        <v>13</v>
      </c>
      <c r="K3127" s="89"/>
      <c r="L3127" s="89"/>
      <c r="M3127" s="90"/>
      <c r="N3127" s="88" t="s">
        <v>26</v>
      </c>
      <c r="O3127" s="89"/>
      <c r="P3127" s="90"/>
      <c r="Q3127" s="133">
        <v>2000</v>
      </c>
      <c r="R3127" s="134"/>
      <c r="S3127" s="5" t="s">
        <v>271</v>
      </c>
      <c r="T3127" s="6"/>
      <c r="U3127" s="8">
        <v>2</v>
      </c>
      <c r="V3127" s="5" t="s">
        <v>106</v>
      </c>
      <c r="W3127" s="12">
        <v>8964797</v>
      </c>
      <c r="X3127" s="6"/>
      <c r="Y3127" s="6"/>
    </row>
    <row r="3128" spans="1:25" ht="15" customHeight="1" x14ac:dyDescent="0.2">
      <c r="A3128" s="88" t="s">
        <v>3652</v>
      </c>
      <c r="B3128" s="90"/>
      <c r="C3128" s="88" t="s">
        <v>3741</v>
      </c>
      <c r="D3128" s="90"/>
      <c r="E3128" s="106"/>
      <c r="F3128" s="107"/>
      <c r="G3128" s="107"/>
      <c r="H3128" s="107"/>
      <c r="I3128" s="108"/>
      <c r="J3128" s="88" t="s">
        <v>13</v>
      </c>
      <c r="K3128" s="89"/>
      <c r="L3128" s="89"/>
      <c r="M3128" s="90"/>
      <c r="N3128" s="88" t="s">
        <v>26</v>
      </c>
      <c r="O3128" s="89"/>
      <c r="P3128" s="90"/>
      <c r="Q3128" s="133">
        <v>2000</v>
      </c>
      <c r="R3128" s="134"/>
      <c r="S3128" s="5" t="s">
        <v>44</v>
      </c>
      <c r="T3128" s="6"/>
      <c r="U3128" s="8">
        <v>4</v>
      </c>
      <c r="V3128" s="5" t="s">
        <v>106</v>
      </c>
      <c r="W3128" s="12">
        <v>11707006</v>
      </c>
      <c r="X3128" s="6"/>
      <c r="Y3128" s="6"/>
    </row>
    <row r="3129" spans="1:25" ht="15" customHeight="1" x14ac:dyDescent="0.2">
      <c r="A3129" s="88" t="s">
        <v>3652</v>
      </c>
      <c r="B3129" s="90"/>
      <c r="C3129" s="88" t="s">
        <v>3742</v>
      </c>
      <c r="D3129" s="89"/>
      <c r="E3129" s="89"/>
      <c r="F3129" s="89"/>
      <c r="G3129" s="89"/>
      <c r="H3129" s="89"/>
      <c r="I3129" s="90"/>
      <c r="J3129" s="88" t="s">
        <v>13</v>
      </c>
      <c r="K3129" s="89"/>
      <c r="L3129" s="89"/>
      <c r="M3129" s="90"/>
      <c r="N3129" s="88" t="s">
        <v>26</v>
      </c>
      <c r="O3129" s="89"/>
      <c r="P3129" s="90"/>
      <c r="Q3129" s="133">
        <v>2000</v>
      </c>
      <c r="R3129" s="134"/>
      <c r="S3129" s="5" t="s">
        <v>44</v>
      </c>
      <c r="T3129" s="6"/>
      <c r="U3129" s="8">
        <v>4</v>
      </c>
      <c r="V3129" s="5" t="s">
        <v>23</v>
      </c>
      <c r="W3129" s="12">
        <v>13799600</v>
      </c>
      <c r="X3129" s="6"/>
      <c r="Y3129" s="6"/>
    </row>
    <row r="3130" spans="1:25" ht="15" customHeight="1" x14ac:dyDescent="0.2">
      <c r="A3130" s="88" t="s">
        <v>3652</v>
      </c>
      <c r="B3130" s="90"/>
      <c r="C3130" s="88" t="s">
        <v>3743</v>
      </c>
      <c r="D3130" s="90"/>
      <c r="E3130" s="106"/>
      <c r="F3130" s="107"/>
      <c r="G3130" s="107"/>
      <c r="H3130" s="107"/>
      <c r="I3130" s="108"/>
      <c r="J3130" s="88" t="s">
        <v>13</v>
      </c>
      <c r="K3130" s="89"/>
      <c r="L3130" s="89"/>
      <c r="M3130" s="90"/>
      <c r="N3130" s="88" t="s">
        <v>22</v>
      </c>
      <c r="O3130" s="89"/>
      <c r="P3130" s="90"/>
      <c r="Q3130" s="133">
        <v>2000</v>
      </c>
      <c r="R3130" s="134"/>
      <c r="S3130" s="5" t="s">
        <v>44</v>
      </c>
      <c r="T3130" s="6"/>
      <c r="U3130" s="8">
        <v>5</v>
      </c>
      <c r="V3130" s="5" t="s">
        <v>23</v>
      </c>
      <c r="W3130" s="12">
        <v>11199248</v>
      </c>
      <c r="X3130" s="6"/>
      <c r="Y3130" s="6"/>
    </row>
    <row r="3131" spans="1:25" ht="15" customHeight="1" x14ac:dyDescent="0.2">
      <c r="A3131" s="88" t="s">
        <v>3652</v>
      </c>
      <c r="B3131" s="90"/>
      <c r="C3131" s="88" t="s">
        <v>3744</v>
      </c>
      <c r="D3131" s="89"/>
      <c r="E3131" s="89"/>
      <c r="F3131" s="89"/>
      <c r="G3131" s="89"/>
      <c r="H3131" s="89"/>
      <c r="I3131" s="90"/>
      <c r="J3131" s="88" t="s">
        <v>13</v>
      </c>
      <c r="K3131" s="89"/>
      <c r="L3131" s="89"/>
      <c r="M3131" s="90"/>
      <c r="N3131" s="88" t="s">
        <v>26</v>
      </c>
      <c r="O3131" s="89"/>
      <c r="P3131" s="90"/>
      <c r="Q3131" s="133">
        <v>1600</v>
      </c>
      <c r="R3131" s="134"/>
      <c r="S3131" s="5" t="s">
        <v>70</v>
      </c>
      <c r="T3131" s="6"/>
      <c r="U3131" s="8">
        <v>5</v>
      </c>
      <c r="V3131" s="5" t="s">
        <v>23</v>
      </c>
      <c r="W3131" s="12">
        <v>7018233</v>
      </c>
      <c r="X3131" s="6"/>
      <c r="Y3131" s="6"/>
    </row>
    <row r="3132" spans="1:25" ht="15" customHeight="1" x14ac:dyDescent="0.2">
      <c r="A3132" s="88" t="s">
        <v>3652</v>
      </c>
      <c r="B3132" s="90"/>
      <c r="C3132" s="88" t="s">
        <v>3745</v>
      </c>
      <c r="D3132" s="89"/>
      <c r="E3132" s="89"/>
      <c r="F3132" s="89"/>
      <c r="G3132" s="89"/>
      <c r="H3132" s="89"/>
      <c r="I3132" s="90"/>
      <c r="J3132" s="88" t="s">
        <v>13</v>
      </c>
      <c r="K3132" s="89"/>
      <c r="L3132" s="89"/>
      <c r="M3132" s="90"/>
      <c r="N3132" s="88" t="s">
        <v>26</v>
      </c>
      <c r="O3132" s="89"/>
      <c r="P3132" s="90"/>
      <c r="Q3132" s="133">
        <v>2000</v>
      </c>
      <c r="R3132" s="134"/>
      <c r="S3132" s="5" t="s">
        <v>70</v>
      </c>
      <c r="T3132" s="6"/>
      <c r="U3132" s="8">
        <v>5</v>
      </c>
      <c r="V3132" s="5" t="s">
        <v>106</v>
      </c>
      <c r="W3132" s="12">
        <v>10093962</v>
      </c>
      <c r="X3132" s="6"/>
      <c r="Y3132" s="6"/>
    </row>
    <row r="3133" spans="1:25" ht="15" customHeight="1" x14ac:dyDescent="0.2">
      <c r="A3133" s="88" t="s">
        <v>3652</v>
      </c>
      <c r="B3133" s="90"/>
      <c r="C3133" s="88" t="s">
        <v>3746</v>
      </c>
      <c r="D3133" s="89"/>
      <c r="E3133" s="89"/>
      <c r="F3133" s="89"/>
      <c r="G3133" s="89"/>
      <c r="H3133" s="89"/>
      <c r="I3133" s="90"/>
      <c r="J3133" s="88" t="s">
        <v>13</v>
      </c>
      <c r="K3133" s="89"/>
      <c r="L3133" s="89"/>
      <c r="M3133" s="90"/>
      <c r="N3133" s="88" t="s">
        <v>26</v>
      </c>
      <c r="O3133" s="89"/>
      <c r="P3133" s="90"/>
      <c r="Q3133" s="133">
        <v>2000</v>
      </c>
      <c r="R3133" s="134"/>
      <c r="S3133" s="5" t="s">
        <v>70</v>
      </c>
      <c r="T3133" s="6"/>
      <c r="U3133" s="8">
        <v>6</v>
      </c>
      <c r="V3133" s="5" t="s">
        <v>106</v>
      </c>
      <c r="W3133" s="12">
        <v>9922203</v>
      </c>
      <c r="X3133" s="6"/>
      <c r="Y3133" s="6"/>
    </row>
    <row r="3134" spans="1:25" ht="15" customHeight="1" x14ac:dyDescent="0.2">
      <c r="A3134" s="88" t="s">
        <v>3652</v>
      </c>
      <c r="B3134" s="90"/>
      <c r="C3134" s="88" t="s">
        <v>3747</v>
      </c>
      <c r="D3134" s="89"/>
      <c r="E3134" s="89"/>
      <c r="F3134" s="89"/>
      <c r="G3134" s="89"/>
      <c r="H3134" s="89"/>
      <c r="I3134" s="90"/>
      <c r="J3134" s="88" t="s">
        <v>13</v>
      </c>
      <c r="K3134" s="89"/>
      <c r="L3134" s="89"/>
      <c r="M3134" s="90"/>
      <c r="N3134" s="88" t="s">
        <v>26</v>
      </c>
      <c r="O3134" s="89"/>
      <c r="P3134" s="90"/>
      <c r="Q3134" s="133">
        <v>2000</v>
      </c>
      <c r="R3134" s="134"/>
      <c r="S3134" s="5" t="s">
        <v>70</v>
      </c>
      <c r="T3134" s="6"/>
      <c r="U3134" s="8">
        <v>5</v>
      </c>
      <c r="V3134" s="5" t="s">
        <v>23</v>
      </c>
      <c r="W3134" s="12">
        <v>9493341</v>
      </c>
      <c r="X3134" s="6"/>
      <c r="Y3134" s="6"/>
    </row>
    <row r="3135" spans="1:25" ht="15" customHeight="1" x14ac:dyDescent="0.2">
      <c r="A3135" s="88" t="s">
        <v>3652</v>
      </c>
      <c r="B3135" s="90"/>
      <c r="C3135" s="88" t="s">
        <v>3748</v>
      </c>
      <c r="D3135" s="89"/>
      <c r="E3135" s="89"/>
      <c r="F3135" s="89"/>
      <c r="G3135" s="89"/>
      <c r="H3135" s="89"/>
      <c r="I3135" s="90"/>
      <c r="J3135" s="88" t="s">
        <v>13</v>
      </c>
      <c r="K3135" s="89"/>
      <c r="L3135" s="89"/>
      <c r="M3135" s="90"/>
      <c r="N3135" s="88" t="s">
        <v>26</v>
      </c>
      <c r="O3135" s="89"/>
      <c r="P3135" s="90"/>
      <c r="Q3135" s="133">
        <v>2000</v>
      </c>
      <c r="R3135" s="134"/>
      <c r="S3135" s="5" t="s">
        <v>70</v>
      </c>
      <c r="T3135" s="6"/>
      <c r="U3135" s="8">
        <v>6</v>
      </c>
      <c r="V3135" s="5" t="s">
        <v>23</v>
      </c>
      <c r="W3135" s="12">
        <v>9987277</v>
      </c>
      <c r="X3135" s="6"/>
      <c r="Y3135" s="6"/>
    </row>
    <row r="3136" spans="1:25" ht="15" customHeight="1" x14ac:dyDescent="0.2">
      <c r="A3136" s="88" t="s">
        <v>3652</v>
      </c>
      <c r="B3136" s="90"/>
      <c r="C3136" s="88" t="s">
        <v>3749</v>
      </c>
      <c r="D3136" s="89"/>
      <c r="E3136" s="89"/>
      <c r="F3136" s="89"/>
      <c r="G3136" s="89"/>
      <c r="H3136" s="89"/>
      <c r="I3136" s="90"/>
      <c r="J3136" s="88" t="s">
        <v>13</v>
      </c>
      <c r="K3136" s="89"/>
      <c r="L3136" s="89"/>
      <c r="M3136" s="90"/>
      <c r="N3136" s="88" t="s">
        <v>22</v>
      </c>
      <c r="O3136" s="89"/>
      <c r="P3136" s="90"/>
      <c r="Q3136" s="133">
        <v>2000</v>
      </c>
      <c r="R3136" s="134"/>
      <c r="S3136" s="5" t="s">
        <v>70</v>
      </c>
      <c r="T3136" s="6"/>
      <c r="U3136" s="8">
        <v>5</v>
      </c>
      <c r="V3136" s="5" t="s">
        <v>23</v>
      </c>
      <c r="W3136" s="12">
        <v>10238913</v>
      </c>
      <c r="X3136" s="6"/>
      <c r="Y3136" s="6"/>
    </row>
    <row r="3137" spans="1:25" ht="15" customHeight="1" x14ac:dyDescent="0.2">
      <c r="A3137" s="88" t="s">
        <v>3652</v>
      </c>
      <c r="B3137" s="90"/>
      <c r="C3137" s="88" t="s">
        <v>3750</v>
      </c>
      <c r="D3137" s="89"/>
      <c r="E3137" s="89"/>
      <c r="F3137" s="89"/>
      <c r="G3137" s="89"/>
      <c r="H3137" s="89"/>
      <c r="I3137" s="90"/>
      <c r="J3137" s="88" t="s">
        <v>13</v>
      </c>
      <c r="K3137" s="89"/>
      <c r="L3137" s="89"/>
      <c r="M3137" s="90"/>
      <c r="N3137" s="88" t="s">
        <v>22</v>
      </c>
      <c r="O3137" s="89"/>
      <c r="P3137" s="90"/>
      <c r="Q3137" s="133">
        <v>1900</v>
      </c>
      <c r="R3137" s="134"/>
      <c r="S3137" s="5" t="s">
        <v>70</v>
      </c>
      <c r="T3137" s="6"/>
      <c r="U3137" s="8">
        <v>6</v>
      </c>
      <c r="V3137" s="5" t="s">
        <v>106</v>
      </c>
      <c r="W3137" s="12">
        <v>11095165</v>
      </c>
      <c r="X3137" s="6"/>
      <c r="Y3137" s="6"/>
    </row>
    <row r="3138" spans="1:25" ht="15" customHeight="1" x14ac:dyDescent="0.2">
      <c r="A3138" s="88" t="s">
        <v>3652</v>
      </c>
      <c r="B3138" s="90"/>
      <c r="C3138" s="88" t="s">
        <v>3751</v>
      </c>
      <c r="D3138" s="90"/>
      <c r="E3138" s="106"/>
      <c r="F3138" s="107"/>
      <c r="G3138" s="107"/>
      <c r="H3138" s="107"/>
      <c r="I3138" s="108"/>
      <c r="J3138" s="88" t="s">
        <v>13</v>
      </c>
      <c r="K3138" s="89"/>
      <c r="L3138" s="89"/>
      <c r="M3138" s="90"/>
      <c r="N3138" s="88" t="s">
        <v>26</v>
      </c>
      <c r="O3138" s="89"/>
      <c r="P3138" s="90"/>
      <c r="Q3138" s="133">
        <v>2000</v>
      </c>
      <c r="R3138" s="134"/>
      <c r="S3138" s="5" t="s">
        <v>119</v>
      </c>
      <c r="T3138" s="6"/>
      <c r="U3138" s="8">
        <v>2</v>
      </c>
      <c r="V3138" s="5" t="s">
        <v>96</v>
      </c>
      <c r="W3138" s="12">
        <v>17377734</v>
      </c>
      <c r="X3138" s="6"/>
      <c r="Y3138" s="6"/>
    </row>
    <row r="3139" spans="1:25" ht="15" customHeight="1" x14ac:dyDescent="0.2">
      <c r="A3139" s="88" t="s">
        <v>3652</v>
      </c>
      <c r="B3139" s="90"/>
      <c r="C3139" s="88" t="s">
        <v>3752</v>
      </c>
      <c r="D3139" s="90"/>
      <c r="E3139" s="88" t="s">
        <v>3753</v>
      </c>
      <c r="F3139" s="89"/>
      <c r="G3139" s="89"/>
      <c r="H3139" s="89"/>
      <c r="I3139" s="90"/>
      <c r="J3139" s="88" t="s">
        <v>13</v>
      </c>
      <c r="K3139" s="89"/>
      <c r="L3139" s="89"/>
      <c r="M3139" s="90"/>
      <c r="N3139" s="88" t="s">
        <v>26</v>
      </c>
      <c r="O3139" s="89"/>
      <c r="P3139" s="90"/>
      <c r="Q3139" s="133">
        <v>2000</v>
      </c>
      <c r="R3139" s="134"/>
      <c r="S3139" s="5" t="s">
        <v>271</v>
      </c>
      <c r="T3139" s="6"/>
      <c r="U3139" s="8">
        <v>4</v>
      </c>
      <c r="V3139" s="5" t="s">
        <v>96</v>
      </c>
      <c r="W3139" s="12">
        <v>14291003</v>
      </c>
      <c r="X3139" s="6"/>
      <c r="Y3139" s="6"/>
    </row>
    <row r="3140" spans="1:25" ht="15" customHeight="1" x14ac:dyDescent="0.2">
      <c r="A3140" s="88" t="s">
        <v>3652</v>
      </c>
      <c r="B3140" s="90"/>
      <c r="C3140" s="88" t="s">
        <v>3754</v>
      </c>
      <c r="D3140" s="90"/>
      <c r="E3140" s="106"/>
      <c r="F3140" s="107"/>
      <c r="G3140" s="107"/>
      <c r="H3140" s="107"/>
      <c r="I3140" s="108"/>
      <c r="J3140" s="88" t="s">
        <v>13</v>
      </c>
      <c r="K3140" s="89"/>
      <c r="L3140" s="89"/>
      <c r="M3140" s="90"/>
      <c r="N3140" s="88" t="s">
        <v>26</v>
      </c>
      <c r="O3140" s="89"/>
      <c r="P3140" s="90"/>
      <c r="Q3140" s="133">
        <v>2000</v>
      </c>
      <c r="R3140" s="134"/>
      <c r="S3140" s="5" t="s">
        <v>44</v>
      </c>
      <c r="T3140" s="6"/>
      <c r="U3140" s="8">
        <v>5</v>
      </c>
      <c r="V3140" s="5" t="s">
        <v>106</v>
      </c>
      <c r="W3140" s="12">
        <v>12483092</v>
      </c>
      <c r="X3140" s="6"/>
      <c r="Y3140" s="6"/>
    </row>
    <row r="3141" spans="1:25" ht="15" customHeight="1" x14ac:dyDescent="0.2">
      <c r="A3141" s="88" t="s">
        <v>3652</v>
      </c>
      <c r="B3141" s="90"/>
      <c r="C3141" s="88" t="s">
        <v>3755</v>
      </c>
      <c r="D3141" s="90"/>
      <c r="E3141" s="88" t="s">
        <v>3756</v>
      </c>
      <c r="F3141" s="89"/>
      <c r="G3141" s="89"/>
      <c r="H3141" s="89"/>
      <c r="I3141" s="90"/>
      <c r="J3141" s="88" t="s">
        <v>13</v>
      </c>
      <c r="K3141" s="89"/>
      <c r="L3141" s="89"/>
      <c r="M3141" s="90"/>
      <c r="N3141" s="88" t="s">
        <v>26</v>
      </c>
      <c r="O3141" s="89"/>
      <c r="P3141" s="90"/>
      <c r="Q3141" s="133">
        <v>2000</v>
      </c>
      <c r="R3141" s="134"/>
      <c r="S3141" s="5" t="s">
        <v>44</v>
      </c>
      <c r="T3141" s="6"/>
      <c r="U3141" s="8">
        <v>4</v>
      </c>
      <c r="V3141" s="5" t="s">
        <v>106</v>
      </c>
      <c r="W3141" s="12">
        <v>15174811</v>
      </c>
      <c r="X3141" s="6"/>
      <c r="Y3141" s="6"/>
    </row>
    <row r="3142" spans="1:25" ht="15" customHeight="1" x14ac:dyDescent="0.2">
      <c r="A3142" s="88" t="s">
        <v>3652</v>
      </c>
      <c r="B3142" s="90"/>
      <c r="C3142" s="88" t="s">
        <v>3757</v>
      </c>
      <c r="D3142" s="90"/>
      <c r="E3142" s="88" t="s">
        <v>3758</v>
      </c>
      <c r="F3142" s="89"/>
      <c r="G3142" s="89"/>
      <c r="H3142" s="89"/>
      <c r="I3142" s="90"/>
      <c r="J3142" s="88" t="s">
        <v>13</v>
      </c>
      <c r="K3142" s="89"/>
      <c r="L3142" s="89"/>
      <c r="M3142" s="90"/>
      <c r="N3142" s="88" t="s">
        <v>26</v>
      </c>
      <c r="O3142" s="89"/>
      <c r="P3142" s="90"/>
      <c r="Q3142" s="133">
        <v>3000</v>
      </c>
      <c r="R3142" s="134"/>
      <c r="S3142" s="5" t="s">
        <v>44</v>
      </c>
      <c r="T3142" s="6"/>
      <c r="U3142" s="8">
        <v>4</v>
      </c>
      <c r="V3142" s="5" t="s">
        <v>106</v>
      </c>
      <c r="W3142" s="12">
        <v>17755762</v>
      </c>
      <c r="X3142" s="6"/>
      <c r="Y3142" s="6"/>
    </row>
    <row r="3143" spans="1:25" ht="15" customHeight="1" x14ac:dyDescent="0.2">
      <c r="A3143" s="88" t="s">
        <v>3652</v>
      </c>
      <c r="B3143" s="90"/>
      <c r="C3143" s="88" t="s">
        <v>3759</v>
      </c>
      <c r="D3143" s="90"/>
      <c r="E3143" s="106"/>
      <c r="F3143" s="107"/>
      <c r="G3143" s="107"/>
      <c r="H3143" s="107"/>
      <c r="I3143" s="108"/>
      <c r="J3143" s="88" t="s">
        <v>13</v>
      </c>
      <c r="K3143" s="89"/>
      <c r="L3143" s="89"/>
      <c r="M3143" s="90"/>
      <c r="N3143" s="88" t="s">
        <v>22</v>
      </c>
      <c r="O3143" s="89"/>
      <c r="P3143" s="90"/>
      <c r="Q3143" s="133">
        <v>2000</v>
      </c>
      <c r="R3143" s="134"/>
      <c r="S3143" s="5" t="s">
        <v>70</v>
      </c>
      <c r="T3143" s="6"/>
      <c r="U3143" s="8">
        <v>6</v>
      </c>
      <c r="V3143" s="5" t="s">
        <v>96</v>
      </c>
      <c r="W3143" s="12">
        <v>16719416</v>
      </c>
      <c r="X3143" s="6"/>
      <c r="Y3143" s="6"/>
    </row>
    <row r="3144" spans="1:25" ht="15" customHeight="1" x14ac:dyDescent="0.2">
      <c r="A3144" s="88" t="s">
        <v>3652</v>
      </c>
      <c r="B3144" s="90"/>
      <c r="C3144" s="88" t="s">
        <v>3760</v>
      </c>
      <c r="D3144" s="89"/>
      <c r="E3144" s="89"/>
      <c r="F3144" s="89"/>
      <c r="G3144" s="89"/>
      <c r="H3144" s="89"/>
      <c r="I3144" s="90"/>
      <c r="J3144" s="88" t="s">
        <v>13</v>
      </c>
      <c r="K3144" s="89"/>
      <c r="L3144" s="89"/>
      <c r="M3144" s="90"/>
      <c r="N3144" s="88" t="s">
        <v>22</v>
      </c>
      <c r="O3144" s="89"/>
      <c r="P3144" s="90"/>
      <c r="Q3144" s="133">
        <v>1900</v>
      </c>
      <c r="R3144" s="134"/>
      <c r="S3144" s="5" t="s">
        <v>70</v>
      </c>
      <c r="T3144" s="6"/>
      <c r="U3144" s="8">
        <v>5</v>
      </c>
      <c r="V3144" s="5" t="s">
        <v>106</v>
      </c>
      <c r="W3144" s="12">
        <v>11982778</v>
      </c>
      <c r="X3144" s="6"/>
      <c r="Y3144" s="6"/>
    </row>
    <row r="3145" spans="1:25" ht="15" customHeight="1" x14ac:dyDescent="0.2">
      <c r="A3145" s="88" t="s">
        <v>3652</v>
      </c>
      <c r="B3145" s="90"/>
      <c r="C3145" s="88" t="s">
        <v>3761</v>
      </c>
      <c r="D3145" s="90"/>
      <c r="E3145" s="88" t="s">
        <v>3762</v>
      </c>
      <c r="F3145" s="89"/>
      <c r="G3145" s="89"/>
      <c r="H3145" s="89"/>
      <c r="I3145" s="90"/>
      <c r="J3145" s="88" t="s">
        <v>13</v>
      </c>
      <c r="K3145" s="89"/>
      <c r="L3145" s="89"/>
      <c r="M3145" s="90"/>
      <c r="N3145" s="88" t="s">
        <v>22</v>
      </c>
      <c r="O3145" s="89"/>
      <c r="P3145" s="90"/>
      <c r="Q3145" s="133">
        <v>1900</v>
      </c>
      <c r="R3145" s="134"/>
      <c r="S3145" s="5" t="s">
        <v>70</v>
      </c>
      <c r="T3145" s="6"/>
      <c r="U3145" s="8">
        <v>6</v>
      </c>
      <c r="V3145" s="5" t="s">
        <v>106</v>
      </c>
      <c r="W3145" s="12">
        <v>13062801</v>
      </c>
      <c r="X3145" s="6"/>
      <c r="Y3145" s="6"/>
    </row>
    <row r="3146" spans="1:25" ht="15" customHeight="1" x14ac:dyDescent="0.2">
      <c r="A3146" s="88" t="s">
        <v>3652</v>
      </c>
      <c r="B3146" s="90"/>
      <c r="C3146" s="88" t="s">
        <v>3763</v>
      </c>
      <c r="D3146" s="90"/>
      <c r="E3146" s="106"/>
      <c r="F3146" s="107"/>
      <c r="G3146" s="107"/>
      <c r="H3146" s="107"/>
      <c r="I3146" s="108"/>
      <c r="J3146" s="88" t="s">
        <v>13</v>
      </c>
      <c r="K3146" s="89"/>
      <c r="L3146" s="89"/>
      <c r="M3146" s="90"/>
      <c r="N3146" s="88" t="s">
        <v>22</v>
      </c>
      <c r="O3146" s="89"/>
      <c r="P3146" s="90"/>
      <c r="Q3146" s="133">
        <v>2000</v>
      </c>
      <c r="R3146" s="134"/>
      <c r="S3146" s="5" t="s">
        <v>44</v>
      </c>
      <c r="T3146" s="6"/>
      <c r="U3146" s="8">
        <v>5</v>
      </c>
      <c r="V3146" s="5" t="s">
        <v>23</v>
      </c>
      <c r="W3146" s="12">
        <v>14683250</v>
      </c>
      <c r="X3146" s="6"/>
      <c r="Y3146" s="6"/>
    </row>
    <row r="3147" spans="1:25" ht="15" customHeight="1" x14ac:dyDescent="0.2">
      <c r="A3147" s="88" t="s">
        <v>3652</v>
      </c>
      <c r="B3147" s="90"/>
      <c r="C3147" s="88" t="s">
        <v>3764</v>
      </c>
      <c r="D3147" s="89"/>
      <c r="E3147" s="89"/>
      <c r="F3147" s="89"/>
      <c r="G3147" s="89"/>
      <c r="H3147" s="89"/>
      <c r="I3147" s="90"/>
      <c r="J3147" s="88" t="s">
        <v>13</v>
      </c>
      <c r="K3147" s="89"/>
      <c r="L3147" s="89"/>
      <c r="M3147" s="90"/>
      <c r="N3147" s="88" t="s">
        <v>26</v>
      </c>
      <c r="O3147" s="89"/>
      <c r="P3147" s="90"/>
      <c r="Q3147" s="133">
        <v>2000</v>
      </c>
      <c r="R3147" s="134"/>
      <c r="S3147" s="5" t="s">
        <v>44</v>
      </c>
      <c r="T3147" s="6"/>
      <c r="U3147" s="8">
        <v>4</v>
      </c>
      <c r="V3147" s="5" t="s">
        <v>96</v>
      </c>
      <c r="W3147" s="12">
        <v>14722564</v>
      </c>
      <c r="X3147" s="6"/>
      <c r="Y3147" s="6"/>
    </row>
    <row r="3148" spans="1:25" ht="15" customHeight="1" x14ac:dyDescent="0.2">
      <c r="A3148" s="88" t="s">
        <v>3652</v>
      </c>
      <c r="B3148" s="90"/>
      <c r="C3148" s="88" t="s">
        <v>3765</v>
      </c>
      <c r="D3148" s="90"/>
      <c r="E3148" s="106"/>
      <c r="F3148" s="107"/>
      <c r="G3148" s="107"/>
      <c r="H3148" s="107"/>
      <c r="I3148" s="108"/>
      <c r="J3148" s="88" t="s">
        <v>13</v>
      </c>
      <c r="K3148" s="89"/>
      <c r="L3148" s="89"/>
      <c r="M3148" s="90"/>
      <c r="N3148" s="88" t="s">
        <v>26</v>
      </c>
      <c r="O3148" s="89"/>
      <c r="P3148" s="90"/>
      <c r="Q3148" s="133">
        <v>2000</v>
      </c>
      <c r="R3148" s="134"/>
      <c r="S3148" s="5" t="s">
        <v>119</v>
      </c>
      <c r="T3148" s="6"/>
      <c r="U3148" s="8">
        <v>2</v>
      </c>
      <c r="V3148" s="5" t="s">
        <v>23</v>
      </c>
      <c r="W3148" s="12">
        <v>18546697</v>
      </c>
      <c r="X3148" s="6"/>
      <c r="Y3148" s="6"/>
    </row>
    <row r="3149" spans="1:25" ht="15" customHeight="1" x14ac:dyDescent="0.2">
      <c r="A3149" s="88" t="s">
        <v>3652</v>
      </c>
      <c r="B3149" s="90"/>
      <c r="C3149" s="88" t="s">
        <v>3765</v>
      </c>
      <c r="D3149" s="90"/>
      <c r="E3149" s="106"/>
      <c r="F3149" s="107"/>
      <c r="G3149" s="107"/>
      <c r="H3149" s="107"/>
      <c r="I3149" s="108"/>
      <c r="J3149" s="88" t="s">
        <v>13</v>
      </c>
      <c r="K3149" s="89"/>
      <c r="L3149" s="89"/>
      <c r="M3149" s="90"/>
      <c r="N3149" s="88" t="s">
        <v>26</v>
      </c>
      <c r="O3149" s="89"/>
      <c r="P3149" s="90"/>
      <c r="Q3149" s="133">
        <v>2000</v>
      </c>
      <c r="R3149" s="134"/>
      <c r="S3149" s="5" t="s">
        <v>44</v>
      </c>
      <c r="T3149" s="6"/>
      <c r="U3149" s="8">
        <v>4</v>
      </c>
      <c r="V3149" s="5" t="s">
        <v>23</v>
      </c>
      <c r="W3149" s="12">
        <v>17300424</v>
      </c>
      <c r="X3149" s="6"/>
      <c r="Y3149" s="6"/>
    </row>
    <row r="3150" spans="1:25" ht="15" customHeight="1" x14ac:dyDescent="0.2">
      <c r="A3150" s="88" t="s">
        <v>3652</v>
      </c>
      <c r="B3150" s="90"/>
      <c r="C3150" s="88" t="s">
        <v>3766</v>
      </c>
      <c r="D3150" s="90"/>
      <c r="E3150" s="106"/>
      <c r="F3150" s="107"/>
      <c r="G3150" s="107"/>
      <c r="H3150" s="107"/>
      <c r="I3150" s="108"/>
      <c r="J3150" s="88" t="s">
        <v>13</v>
      </c>
      <c r="K3150" s="89"/>
      <c r="L3150" s="89"/>
      <c r="M3150" s="90"/>
      <c r="N3150" s="88" t="s">
        <v>26</v>
      </c>
      <c r="O3150" s="89"/>
      <c r="P3150" s="90"/>
      <c r="Q3150" s="133">
        <v>2000</v>
      </c>
      <c r="R3150" s="134"/>
      <c r="S3150" s="5" t="s">
        <v>44</v>
      </c>
      <c r="T3150" s="6"/>
      <c r="U3150" s="8">
        <v>5</v>
      </c>
      <c r="V3150" s="5" t="s">
        <v>23</v>
      </c>
      <c r="W3150" s="12">
        <v>14315893</v>
      </c>
      <c r="X3150" s="6"/>
      <c r="Y3150" s="6"/>
    </row>
    <row r="3151" spans="1:25" ht="15" customHeight="1" x14ac:dyDescent="0.2">
      <c r="A3151" s="88" t="s">
        <v>3652</v>
      </c>
      <c r="B3151" s="90"/>
      <c r="C3151" s="88" t="s">
        <v>3766</v>
      </c>
      <c r="D3151" s="90"/>
      <c r="E3151" s="106"/>
      <c r="F3151" s="107"/>
      <c r="G3151" s="107"/>
      <c r="H3151" s="107"/>
      <c r="I3151" s="108"/>
      <c r="J3151" s="88" t="s">
        <v>13</v>
      </c>
      <c r="K3151" s="89"/>
      <c r="L3151" s="89"/>
      <c r="M3151" s="90"/>
      <c r="N3151" s="88" t="s">
        <v>26</v>
      </c>
      <c r="O3151" s="89"/>
      <c r="P3151" s="90"/>
      <c r="Q3151" s="133">
        <v>2000</v>
      </c>
      <c r="R3151" s="134"/>
      <c r="S3151" s="5" t="s">
        <v>271</v>
      </c>
      <c r="T3151" s="6"/>
      <c r="U3151" s="8">
        <v>2</v>
      </c>
      <c r="V3151" s="5" t="s">
        <v>23</v>
      </c>
      <c r="W3151" s="12">
        <v>14210175</v>
      </c>
      <c r="X3151" s="6"/>
      <c r="Y3151" s="6"/>
    </row>
    <row r="3152" spans="1:25" ht="15" customHeight="1" x14ac:dyDescent="0.2">
      <c r="A3152" s="88" t="s">
        <v>3652</v>
      </c>
      <c r="B3152" s="90"/>
      <c r="C3152" s="88" t="s">
        <v>3767</v>
      </c>
      <c r="D3152" s="90"/>
      <c r="E3152" s="106"/>
      <c r="F3152" s="107"/>
      <c r="G3152" s="107"/>
      <c r="H3152" s="107"/>
      <c r="I3152" s="108"/>
      <c r="J3152" s="88" t="s">
        <v>13</v>
      </c>
      <c r="K3152" s="89"/>
      <c r="L3152" s="89"/>
      <c r="M3152" s="90"/>
      <c r="N3152" s="88" t="s">
        <v>26</v>
      </c>
      <c r="O3152" s="89"/>
      <c r="P3152" s="90"/>
      <c r="Q3152" s="133">
        <v>1500</v>
      </c>
      <c r="R3152" s="134"/>
      <c r="S3152" s="5" t="s">
        <v>44</v>
      </c>
      <c r="T3152" s="6"/>
      <c r="U3152" s="8">
        <v>4</v>
      </c>
      <c r="V3152" s="5" t="s">
        <v>106</v>
      </c>
      <c r="W3152" s="12">
        <v>13663647</v>
      </c>
      <c r="X3152" s="6"/>
      <c r="Y3152" s="6"/>
    </row>
    <row r="3153" spans="1:25" ht="15" customHeight="1" x14ac:dyDescent="0.2">
      <c r="A3153" s="88" t="s">
        <v>3652</v>
      </c>
      <c r="B3153" s="90"/>
      <c r="C3153" s="88" t="s">
        <v>3768</v>
      </c>
      <c r="D3153" s="90"/>
      <c r="E3153" s="88" t="s">
        <v>3769</v>
      </c>
      <c r="F3153" s="89"/>
      <c r="G3153" s="89"/>
      <c r="H3153" s="89"/>
      <c r="I3153" s="90"/>
      <c r="J3153" s="88" t="s">
        <v>13</v>
      </c>
      <c r="K3153" s="89"/>
      <c r="L3153" s="89"/>
      <c r="M3153" s="90"/>
      <c r="N3153" s="88" t="s">
        <v>26</v>
      </c>
      <c r="O3153" s="89"/>
      <c r="P3153" s="90"/>
      <c r="Q3153" s="133">
        <v>2000</v>
      </c>
      <c r="R3153" s="134"/>
      <c r="S3153" s="5" t="s">
        <v>44</v>
      </c>
      <c r="T3153" s="6"/>
      <c r="U3153" s="8">
        <v>5</v>
      </c>
      <c r="V3153" s="5" t="s">
        <v>106</v>
      </c>
      <c r="W3153" s="12">
        <v>13108125</v>
      </c>
      <c r="X3153" s="6"/>
      <c r="Y3153" s="6"/>
    </row>
    <row r="3154" spans="1:25" ht="15" customHeight="1" x14ac:dyDescent="0.2">
      <c r="A3154" s="88" t="s">
        <v>3652</v>
      </c>
      <c r="B3154" s="90"/>
      <c r="C3154" s="88" t="s">
        <v>3770</v>
      </c>
      <c r="D3154" s="90"/>
      <c r="E3154" s="106"/>
      <c r="F3154" s="107"/>
      <c r="G3154" s="107"/>
      <c r="H3154" s="107"/>
      <c r="I3154" s="108"/>
      <c r="J3154" s="88" t="s">
        <v>13</v>
      </c>
      <c r="K3154" s="89"/>
      <c r="L3154" s="89"/>
      <c r="M3154" s="90"/>
      <c r="N3154" s="88" t="s">
        <v>26</v>
      </c>
      <c r="O3154" s="89"/>
      <c r="P3154" s="90"/>
      <c r="Q3154" s="133">
        <v>2000</v>
      </c>
      <c r="R3154" s="134"/>
      <c r="S3154" s="5" t="s">
        <v>44</v>
      </c>
      <c r="T3154" s="6"/>
      <c r="U3154" s="8">
        <v>5</v>
      </c>
      <c r="V3154" s="5" t="s">
        <v>106</v>
      </c>
      <c r="W3154" s="12">
        <v>12415841</v>
      </c>
      <c r="X3154" s="6"/>
      <c r="Y3154" s="6"/>
    </row>
    <row r="3155" spans="1:25" ht="15" customHeight="1" x14ac:dyDescent="0.2">
      <c r="A3155" s="88" t="s">
        <v>3652</v>
      </c>
      <c r="B3155" s="90"/>
      <c r="C3155" s="88" t="s">
        <v>3771</v>
      </c>
      <c r="D3155" s="89"/>
      <c r="E3155" s="89"/>
      <c r="F3155" s="89"/>
      <c r="G3155" s="89"/>
      <c r="H3155" s="89"/>
      <c r="I3155" s="90"/>
      <c r="J3155" s="88" t="s">
        <v>13</v>
      </c>
      <c r="K3155" s="89"/>
      <c r="L3155" s="89"/>
      <c r="M3155" s="90"/>
      <c r="N3155" s="88" t="s">
        <v>26</v>
      </c>
      <c r="O3155" s="89"/>
      <c r="P3155" s="90"/>
      <c r="Q3155" s="133">
        <v>2000</v>
      </c>
      <c r="R3155" s="134"/>
      <c r="S3155" s="5" t="s">
        <v>44</v>
      </c>
      <c r="T3155" s="6"/>
      <c r="U3155" s="8">
        <v>4</v>
      </c>
      <c r="V3155" s="5" t="s">
        <v>106</v>
      </c>
      <c r="W3155" s="12">
        <v>14417548</v>
      </c>
      <c r="X3155" s="6"/>
      <c r="Y3155" s="6"/>
    </row>
    <row r="3156" spans="1:25" ht="15" customHeight="1" x14ac:dyDescent="0.2">
      <c r="A3156" s="88" t="s">
        <v>3652</v>
      </c>
      <c r="B3156" s="90"/>
      <c r="C3156" s="88" t="s">
        <v>3772</v>
      </c>
      <c r="D3156" s="90"/>
      <c r="E3156" s="106"/>
      <c r="F3156" s="107"/>
      <c r="G3156" s="107"/>
      <c r="H3156" s="107"/>
      <c r="I3156" s="108"/>
      <c r="J3156" s="88" t="s">
        <v>13</v>
      </c>
      <c r="K3156" s="89"/>
      <c r="L3156" s="89"/>
      <c r="M3156" s="90"/>
      <c r="N3156" s="88" t="s">
        <v>26</v>
      </c>
      <c r="O3156" s="89"/>
      <c r="P3156" s="90"/>
      <c r="Q3156" s="133">
        <v>2000</v>
      </c>
      <c r="R3156" s="134"/>
      <c r="S3156" s="5" t="s">
        <v>44</v>
      </c>
      <c r="T3156" s="6"/>
      <c r="U3156" s="8">
        <v>5</v>
      </c>
      <c r="V3156" s="5" t="s">
        <v>106</v>
      </c>
      <c r="W3156" s="12">
        <v>14550377</v>
      </c>
      <c r="X3156" s="6"/>
      <c r="Y3156" s="6"/>
    </row>
    <row r="3157" spans="1:25" ht="15" customHeight="1" x14ac:dyDescent="0.2">
      <c r="A3157" s="88" t="s">
        <v>3652</v>
      </c>
      <c r="B3157" s="90"/>
      <c r="C3157" s="88" t="s">
        <v>3773</v>
      </c>
      <c r="D3157" s="90"/>
      <c r="E3157" s="88" t="s">
        <v>3769</v>
      </c>
      <c r="F3157" s="89"/>
      <c r="G3157" s="89"/>
      <c r="H3157" s="89"/>
      <c r="I3157" s="90"/>
      <c r="J3157" s="88" t="s">
        <v>13</v>
      </c>
      <c r="K3157" s="89"/>
      <c r="L3157" s="89"/>
      <c r="M3157" s="90"/>
      <c r="N3157" s="88" t="s">
        <v>26</v>
      </c>
      <c r="O3157" s="89"/>
      <c r="P3157" s="90"/>
      <c r="Q3157" s="88" t="s">
        <v>463</v>
      </c>
      <c r="R3157" s="90"/>
      <c r="S3157" s="5" t="s">
        <v>44</v>
      </c>
      <c r="T3157" s="6"/>
      <c r="U3157" s="8">
        <v>5</v>
      </c>
      <c r="V3157" s="5" t="s">
        <v>106</v>
      </c>
      <c r="W3157" s="12">
        <v>10473608</v>
      </c>
      <c r="X3157" s="6"/>
      <c r="Y3157" s="6"/>
    </row>
    <row r="3158" spans="1:25" ht="15" customHeight="1" x14ac:dyDescent="0.2">
      <c r="A3158" s="88" t="s">
        <v>3652</v>
      </c>
      <c r="B3158" s="90"/>
      <c r="C3158" s="88" t="s">
        <v>3774</v>
      </c>
      <c r="D3158" s="90"/>
      <c r="E3158" s="106"/>
      <c r="F3158" s="107"/>
      <c r="G3158" s="107"/>
      <c r="H3158" s="107"/>
      <c r="I3158" s="108"/>
      <c r="J3158" s="88" t="s">
        <v>13</v>
      </c>
      <c r="K3158" s="89"/>
      <c r="L3158" s="89"/>
      <c r="M3158" s="90"/>
      <c r="N3158" s="88" t="s">
        <v>26</v>
      </c>
      <c r="O3158" s="89"/>
      <c r="P3158" s="90"/>
      <c r="Q3158" s="133">
        <v>2000</v>
      </c>
      <c r="R3158" s="134"/>
      <c r="S3158" s="5" t="s">
        <v>44</v>
      </c>
      <c r="T3158" s="6"/>
      <c r="U3158" s="8">
        <v>4</v>
      </c>
      <c r="V3158" s="5" t="s">
        <v>23</v>
      </c>
      <c r="W3158" s="12">
        <v>13062466</v>
      </c>
      <c r="X3158" s="6"/>
      <c r="Y3158" s="6"/>
    </row>
    <row r="3159" spans="1:25" ht="15" customHeight="1" x14ac:dyDescent="0.2">
      <c r="A3159" s="88" t="s">
        <v>3652</v>
      </c>
      <c r="B3159" s="90"/>
      <c r="C3159" s="88" t="s">
        <v>3775</v>
      </c>
      <c r="D3159" s="90"/>
      <c r="E3159" s="106"/>
      <c r="F3159" s="107"/>
      <c r="G3159" s="107"/>
      <c r="H3159" s="107"/>
      <c r="I3159" s="108"/>
      <c r="J3159" s="88" t="s">
        <v>13</v>
      </c>
      <c r="K3159" s="89"/>
      <c r="L3159" s="89"/>
      <c r="M3159" s="90"/>
      <c r="N3159" s="88" t="s">
        <v>26</v>
      </c>
      <c r="O3159" s="89"/>
      <c r="P3159" s="90"/>
      <c r="Q3159" s="133">
        <v>2000</v>
      </c>
      <c r="R3159" s="134"/>
      <c r="S3159" s="5" t="s">
        <v>44</v>
      </c>
      <c r="T3159" s="6"/>
      <c r="U3159" s="8">
        <v>4</v>
      </c>
      <c r="V3159" s="5" t="s">
        <v>23</v>
      </c>
      <c r="W3159" s="12">
        <v>14900402</v>
      </c>
      <c r="X3159" s="6"/>
      <c r="Y3159" s="6"/>
    </row>
    <row r="3160" spans="1:25" ht="15" customHeight="1" x14ac:dyDescent="0.2">
      <c r="A3160" s="88" t="s">
        <v>3652</v>
      </c>
      <c r="B3160" s="90"/>
      <c r="C3160" s="88" t="s">
        <v>3776</v>
      </c>
      <c r="D3160" s="90"/>
      <c r="E3160" s="88" t="s">
        <v>3777</v>
      </c>
      <c r="F3160" s="89"/>
      <c r="G3160" s="89"/>
      <c r="H3160" s="89"/>
      <c r="I3160" s="90"/>
      <c r="J3160" s="88" t="s">
        <v>13</v>
      </c>
      <c r="K3160" s="89"/>
      <c r="L3160" s="89"/>
      <c r="M3160" s="90"/>
      <c r="N3160" s="88" t="s">
        <v>26</v>
      </c>
      <c r="O3160" s="89"/>
      <c r="P3160" s="90"/>
      <c r="Q3160" s="133">
        <v>2000</v>
      </c>
      <c r="R3160" s="134"/>
      <c r="S3160" s="5" t="s">
        <v>271</v>
      </c>
      <c r="T3160" s="6"/>
      <c r="U3160" s="8">
        <v>2</v>
      </c>
      <c r="V3160" s="5" t="s">
        <v>23</v>
      </c>
      <c r="W3160" s="12">
        <v>15826515</v>
      </c>
      <c r="X3160" s="6"/>
      <c r="Y3160" s="6"/>
    </row>
    <row r="3161" spans="1:25" ht="15" customHeight="1" x14ac:dyDescent="0.2">
      <c r="A3161" s="88" t="s">
        <v>3652</v>
      </c>
      <c r="B3161" s="90"/>
      <c r="C3161" s="88" t="s">
        <v>3778</v>
      </c>
      <c r="D3161" s="90"/>
      <c r="E3161" s="106"/>
      <c r="F3161" s="107"/>
      <c r="G3161" s="107"/>
      <c r="H3161" s="107"/>
      <c r="I3161" s="108"/>
      <c r="J3161" s="88" t="s">
        <v>13</v>
      </c>
      <c r="K3161" s="89"/>
      <c r="L3161" s="89"/>
      <c r="M3161" s="90"/>
      <c r="N3161" s="88" t="s">
        <v>26</v>
      </c>
      <c r="O3161" s="89"/>
      <c r="P3161" s="90"/>
      <c r="Q3161" s="133">
        <v>2000</v>
      </c>
      <c r="R3161" s="134"/>
      <c r="S3161" s="5" t="s">
        <v>44</v>
      </c>
      <c r="T3161" s="6"/>
      <c r="U3161" s="8">
        <v>5</v>
      </c>
      <c r="V3161" s="5" t="s">
        <v>96</v>
      </c>
      <c r="W3161" s="12">
        <v>21923063</v>
      </c>
      <c r="X3161" s="6"/>
      <c r="Y3161" s="6"/>
    </row>
    <row r="3162" spans="1:25" ht="15" customHeight="1" x14ac:dyDescent="0.2">
      <c r="A3162" s="88" t="s">
        <v>3652</v>
      </c>
      <c r="B3162" s="90"/>
      <c r="C3162" s="88" t="s">
        <v>3779</v>
      </c>
      <c r="D3162" s="90"/>
      <c r="E3162" s="106"/>
      <c r="F3162" s="107"/>
      <c r="G3162" s="107"/>
      <c r="H3162" s="107"/>
      <c r="I3162" s="108"/>
      <c r="J3162" s="88" t="s">
        <v>13</v>
      </c>
      <c r="K3162" s="89"/>
      <c r="L3162" s="89"/>
      <c r="M3162" s="90"/>
      <c r="N3162" s="88" t="s">
        <v>26</v>
      </c>
      <c r="O3162" s="89"/>
      <c r="P3162" s="90"/>
      <c r="Q3162" s="133">
        <v>2000</v>
      </c>
      <c r="R3162" s="134"/>
      <c r="S3162" s="5" t="s">
        <v>44</v>
      </c>
      <c r="T3162" s="6"/>
      <c r="U3162" s="8">
        <v>5</v>
      </c>
      <c r="V3162" s="5" t="s">
        <v>23</v>
      </c>
      <c r="W3162" s="12">
        <v>14317412</v>
      </c>
      <c r="X3162" s="6"/>
      <c r="Y3162" s="6"/>
    </row>
    <row r="3163" spans="1:25" ht="15" customHeight="1" x14ac:dyDescent="0.2">
      <c r="A3163" s="88" t="s">
        <v>3652</v>
      </c>
      <c r="B3163" s="90"/>
      <c r="C3163" s="88" t="s">
        <v>3780</v>
      </c>
      <c r="D3163" s="90"/>
      <c r="E3163" s="88" t="s">
        <v>3781</v>
      </c>
      <c r="F3163" s="89"/>
      <c r="G3163" s="89"/>
      <c r="H3163" s="89"/>
      <c r="I3163" s="90"/>
      <c r="J3163" s="88" t="s">
        <v>13</v>
      </c>
      <c r="K3163" s="89"/>
      <c r="L3163" s="89"/>
      <c r="M3163" s="90"/>
      <c r="N3163" s="88" t="s">
        <v>22</v>
      </c>
      <c r="O3163" s="89"/>
      <c r="P3163" s="90"/>
      <c r="Q3163" s="133">
        <v>3000</v>
      </c>
      <c r="R3163" s="134"/>
      <c r="S3163" s="5" t="s">
        <v>44</v>
      </c>
      <c r="T3163" s="6"/>
      <c r="U3163" s="8">
        <v>5</v>
      </c>
      <c r="V3163" s="5" t="s">
        <v>23</v>
      </c>
      <c r="W3163" s="12">
        <v>26502325</v>
      </c>
      <c r="X3163" s="6"/>
      <c r="Y3163" s="6"/>
    </row>
    <row r="3164" spans="1:25" ht="15" customHeight="1" x14ac:dyDescent="0.2">
      <c r="A3164" s="88" t="s">
        <v>3652</v>
      </c>
      <c r="B3164" s="90"/>
      <c r="C3164" s="88" t="s">
        <v>3782</v>
      </c>
      <c r="D3164" s="90"/>
      <c r="E3164" s="106"/>
      <c r="F3164" s="107"/>
      <c r="G3164" s="107"/>
      <c r="H3164" s="107"/>
      <c r="I3164" s="108"/>
      <c r="J3164" s="88" t="s">
        <v>13</v>
      </c>
      <c r="K3164" s="89"/>
      <c r="L3164" s="89"/>
      <c r="M3164" s="90"/>
      <c r="N3164" s="88" t="s">
        <v>22</v>
      </c>
      <c r="O3164" s="89"/>
      <c r="P3164" s="90"/>
      <c r="Q3164" s="133">
        <v>3000</v>
      </c>
      <c r="R3164" s="134"/>
      <c r="S3164" s="5" t="s">
        <v>271</v>
      </c>
      <c r="T3164" s="6"/>
      <c r="U3164" s="8">
        <v>2</v>
      </c>
      <c r="V3164" s="5" t="s">
        <v>23</v>
      </c>
      <c r="W3164" s="12">
        <v>17866876</v>
      </c>
      <c r="X3164" s="6"/>
      <c r="Y3164" s="6"/>
    </row>
    <row r="3165" spans="1:25" ht="15" customHeight="1" x14ac:dyDescent="0.2">
      <c r="A3165" s="88" t="s">
        <v>3652</v>
      </c>
      <c r="B3165" s="90"/>
      <c r="C3165" s="88" t="s">
        <v>3783</v>
      </c>
      <c r="D3165" s="90"/>
      <c r="E3165" s="106"/>
      <c r="F3165" s="107"/>
      <c r="G3165" s="107"/>
      <c r="H3165" s="107"/>
      <c r="I3165" s="108"/>
      <c r="J3165" s="88" t="s">
        <v>13</v>
      </c>
      <c r="K3165" s="89"/>
      <c r="L3165" s="89"/>
      <c r="M3165" s="90"/>
      <c r="N3165" s="88" t="s">
        <v>22</v>
      </c>
      <c r="O3165" s="89"/>
      <c r="P3165" s="90"/>
      <c r="Q3165" s="133">
        <v>3000</v>
      </c>
      <c r="R3165" s="134"/>
      <c r="S3165" s="5" t="s">
        <v>44</v>
      </c>
      <c r="T3165" s="6"/>
      <c r="U3165" s="8">
        <v>5</v>
      </c>
      <c r="V3165" s="5" t="s">
        <v>96</v>
      </c>
      <c r="W3165" s="12">
        <v>18264092</v>
      </c>
      <c r="X3165" s="6"/>
      <c r="Y3165" s="6"/>
    </row>
    <row r="3166" spans="1:25" ht="15" customHeight="1" x14ac:dyDescent="0.2">
      <c r="A3166" s="88" t="s">
        <v>3652</v>
      </c>
      <c r="B3166" s="90"/>
      <c r="C3166" s="88" t="s">
        <v>3784</v>
      </c>
      <c r="D3166" s="89"/>
      <c r="E3166" s="89"/>
      <c r="F3166" s="89"/>
      <c r="G3166" s="89"/>
      <c r="H3166" s="89"/>
      <c r="I3166" s="90"/>
      <c r="J3166" s="88" t="s">
        <v>13</v>
      </c>
      <c r="K3166" s="89"/>
      <c r="L3166" s="89"/>
      <c r="M3166" s="90"/>
      <c r="N3166" s="88" t="s">
        <v>26</v>
      </c>
      <c r="O3166" s="89"/>
      <c r="P3166" s="90"/>
      <c r="Q3166" s="133">
        <v>2000</v>
      </c>
      <c r="R3166" s="134"/>
      <c r="S3166" s="5" t="s">
        <v>70</v>
      </c>
      <c r="T3166" s="6"/>
      <c r="U3166" s="8">
        <v>6</v>
      </c>
      <c r="V3166" s="5" t="s">
        <v>106</v>
      </c>
      <c r="W3166" s="12">
        <v>15516503</v>
      </c>
      <c r="X3166" s="6"/>
      <c r="Y3166" s="6"/>
    </row>
    <row r="3167" spans="1:25" ht="15" customHeight="1" x14ac:dyDescent="0.2">
      <c r="A3167" s="88" t="s">
        <v>3652</v>
      </c>
      <c r="B3167" s="90"/>
      <c r="C3167" s="88" t="s">
        <v>3785</v>
      </c>
      <c r="D3167" s="89"/>
      <c r="E3167" s="89"/>
      <c r="F3167" s="89"/>
      <c r="G3167" s="89"/>
      <c r="H3167" s="89"/>
      <c r="I3167" s="90"/>
      <c r="J3167" s="88" t="s">
        <v>13</v>
      </c>
      <c r="K3167" s="89"/>
      <c r="L3167" s="89"/>
      <c r="M3167" s="90"/>
      <c r="N3167" s="88" t="s">
        <v>26</v>
      </c>
      <c r="O3167" s="89"/>
      <c r="P3167" s="90"/>
      <c r="Q3167" s="133">
        <v>2000</v>
      </c>
      <c r="R3167" s="134"/>
      <c r="S3167" s="5" t="s">
        <v>70</v>
      </c>
      <c r="T3167" s="6"/>
      <c r="U3167" s="8">
        <v>6</v>
      </c>
      <c r="V3167" s="5" t="s">
        <v>106</v>
      </c>
      <c r="W3167" s="12">
        <v>12014284</v>
      </c>
      <c r="X3167" s="6"/>
      <c r="Y3167" s="6"/>
    </row>
    <row r="3168" spans="1:25" ht="15" customHeight="1" x14ac:dyDescent="0.2">
      <c r="A3168" s="88" t="s">
        <v>3652</v>
      </c>
      <c r="B3168" s="90"/>
      <c r="C3168" s="88" t="s">
        <v>3786</v>
      </c>
      <c r="D3168" s="89"/>
      <c r="E3168" s="89"/>
      <c r="F3168" s="89"/>
      <c r="G3168" s="89"/>
      <c r="H3168" s="89"/>
      <c r="I3168" s="90"/>
      <c r="J3168" s="88" t="s">
        <v>13</v>
      </c>
      <c r="K3168" s="89"/>
      <c r="L3168" s="89"/>
      <c r="M3168" s="90"/>
      <c r="N3168" s="88" t="s">
        <v>26</v>
      </c>
      <c r="O3168" s="89"/>
      <c r="P3168" s="90"/>
      <c r="Q3168" s="133">
        <v>2000</v>
      </c>
      <c r="R3168" s="134"/>
      <c r="S3168" s="5" t="s">
        <v>70</v>
      </c>
      <c r="T3168" s="6"/>
      <c r="U3168" s="8">
        <v>6</v>
      </c>
      <c r="V3168" s="5" t="s">
        <v>106</v>
      </c>
      <c r="W3168" s="12">
        <v>12543441</v>
      </c>
      <c r="X3168" s="6"/>
      <c r="Y3168" s="6"/>
    </row>
    <row r="3169" spans="1:25" ht="15" customHeight="1" x14ac:dyDescent="0.2">
      <c r="A3169" s="88" t="s">
        <v>3652</v>
      </c>
      <c r="B3169" s="90"/>
      <c r="C3169" s="88" t="s">
        <v>3787</v>
      </c>
      <c r="D3169" s="89"/>
      <c r="E3169" s="89"/>
      <c r="F3169" s="89"/>
      <c r="G3169" s="89"/>
      <c r="H3169" s="89"/>
      <c r="I3169" s="90"/>
      <c r="J3169" s="88" t="s">
        <v>13</v>
      </c>
      <c r="K3169" s="89"/>
      <c r="L3169" s="89"/>
      <c r="M3169" s="90"/>
      <c r="N3169" s="88" t="s">
        <v>26</v>
      </c>
      <c r="O3169" s="89"/>
      <c r="P3169" s="90"/>
      <c r="Q3169" s="133">
        <v>2000</v>
      </c>
      <c r="R3169" s="134"/>
      <c r="S3169" s="5" t="s">
        <v>70</v>
      </c>
      <c r="T3169" s="6"/>
      <c r="U3169" s="8">
        <v>6</v>
      </c>
      <c r="V3169" s="5" t="s">
        <v>23</v>
      </c>
      <c r="W3169" s="12">
        <v>13154136</v>
      </c>
      <c r="X3169" s="6"/>
      <c r="Y3169" s="6"/>
    </row>
    <row r="3170" spans="1:25" ht="15" customHeight="1" x14ac:dyDescent="0.2">
      <c r="A3170" s="88" t="s">
        <v>3652</v>
      </c>
      <c r="B3170" s="90"/>
      <c r="C3170" s="88" t="s">
        <v>3788</v>
      </c>
      <c r="D3170" s="89"/>
      <c r="E3170" s="89"/>
      <c r="F3170" s="89"/>
      <c r="G3170" s="89"/>
      <c r="H3170" s="89"/>
      <c r="I3170" s="90"/>
      <c r="J3170" s="88" t="s">
        <v>13</v>
      </c>
      <c r="K3170" s="89"/>
      <c r="L3170" s="89"/>
      <c r="M3170" s="90"/>
      <c r="N3170" s="88" t="s">
        <v>26</v>
      </c>
      <c r="O3170" s="89"/>
      <c r="P3170" s="90"/>
      <c r="Q3170" s="133">
        <v>2000</v>
      </c>
      <c r="R3170" s="134"/>
      <c r="S3170" s="5" t="s">
        <v>70</v>
      </c>
      <c r="T3170" s="6"/>
      <c r="U3170" s="8">
        <v>6</v>
      </c>
      <c r="V3170" s="5" t="s">
        <v>96</v>
      </c>
      <c r="W3170" s="12">
        <v>11839922</v>
      </c>
      <c r="X3170" s="6"/>
      <c r="Y3170" s="6"/>
    </row>
    <row r="3171" spans="1:25" ht="15" customHeight="1" x14ac:dyDescent="0.2">
      <c r="A3171" s="88" t="s">
        <v>3652</v>
      </c>
      <c r="B3171" s="90"/>
      <c r="C3171" s="88" t="s">
        <v>3789</v>
      </c>
      <c r="D3171" s="90"/>
      <c r="E3171" s="88" t="s">
        <v>3790</v>
      </c>
      <c r="F3171" s="89"/>
      <c r="G3171" s="89"/>
      <c r="H3171" s="89"/>
      <c r="I3171" s="90"/>
      <c r="J3171" s="88" t="s">
        <v>13</v>
      </c>
      <c r="K3171" s="89"/>
      <c r="L3171" s="89"/>
      <c r="M3171" s="90"/>
      <c r="N3171" s="88" t="s">
        <v>22</v>
      </c>
      <c r="O3171" s="89"/>
      <c r="P3171" s="90"/>
      <c r="Q3171" s="133">
        <v>3000</v>
      </c>
      <c r="R3171" s="134"/>
      <c r="S3171" s="5" t="s">
        <v>70</v>
      </c>
      <c r="T3171" s="6"/>
      <c r="U3171" s="8">
        <v>6</v>
      </c>
      <c r="V3171" s="5" t="s">
        <v>96</v>
      </c>
      <c r="W3171" s="12">
        <v>21106968</v>
      </c>
      <c r="X3171" s="6"/>
      <c r="Y3171" s="6"/>
    </row>
    <row r="3172" spans="1:25" ht="15" customHeight="1" x14ac:dyDescent="0.2">
      <c r="A3172" s="88" t="s">
        <v>3652</v>
      </c>
      <c r="B3172" s="90"/>
      <c r="C3172" s="88" t="s">
        <v>3791</v>
      </c>
      <c r="D3172" s="89"/>
      <c r="E3172" s="89"/>
      <c r="F3172" s="89"/>
      <c r="G3172" s="89"/>
      <c r="H3172" s="89"/>
      <c r="I3172" s="90"/>
      <c r="J3172" s="88" t="s">
        <v>13</v>
      </c>
      <c r="K3172" s="89"/>
      <c r="L3172" s="89"/>
      <c r="M3172" s="90"/>
      <c r="N3172" s="88" t="s">
        <v>26</v>
      </c>
      <c r="O3172" s="89"/>
      <c r="P3172" s="90"/>
      <c r="Q3172" s="133">
        <v>1500</v>
      </c>
      <c r="R3172" s="134"/>
      <c r="S3172" s="5" t="s">
        <v>70</v>
      </c>
      <c r="T3172" s="6"/>
      <c r="U3172" s="8">
        <v>6</v>
      </c>
      <c r="V3172" s="5" t="s">
        <v>96</v>
      </c>
      <c r="W3172" s="12">
        <v>14798378</v>
      </c>
      <c r="X3172" s="6"/>
      <c r="Y3172" s="6"/>
    </row>
    <row r="3173" spans="1:25" ht="15" customHeight="1" x14ac:dyDescent="0.2">
      <c r="A3173" s="88" t="s">
        <v>3652</v>
      </c>
      <c r="B3173" s="90"/>
      <c r="C3173" s="88" t="s">
        <v>3792</v>
      </c>
      <c r="D3173" s="90"/>
      <c r="E3173" s="88" t="s">
        <v>3793</v>
      </c>
      <c r="F3173" s="89"/>
      <c r="G3173" s="89"/>
      <c r="H3173" s="89"/>
      <c r="I3173" s="90"/>
      <c r="J3173" s="88" t="s">
        <v>13</v>
      </c>
      <c r="K3173" s="89"/>
      <c r="L3173" s="89"/>
      <c r="M3173" s="90"/>
      <c r="N3173" s="88" t="s">
        <v>26</v>
      </c>
      <c r="O3173" s="89"/>
      <c r="P3173" s="90"/>
      <c r="Q3173" s="133">
        <v>1500</v>
      </c>
      <c r="R3173" s="134"/>
      <c r="S3173" s="5" t="s">
        <v>70</v>
      </c>
      <c r="T3173" s="6"/>
      <c r="U3173" s="8">
        <v>5</v>
      </c>
      <c r="V3173" s="5" t="s">
        <v>96</v>
      </c>
      <c r="W3173" s="12">
        <v>13953311</v>
      </c>
      <c r="X3173" s="6"/>
      <c r="Y3173" s="6"/>
    </row>
    <row r="3174" spans="1:25" ht="15" customHeight="1" x14ac:dyDescent="0.2">
      <c r="A3174" s="88" t="s">
        <v>3652</v>
      </c>
      <c r="B3174" s="90"/>
      <c r="C3174" s="88" t="s">
        <v>3794</v>
      </c>
      <c r="D3174" s="89"/>
      <c r="E3174" s="89"/>
      <c r="F3174" s="89"/>
      <c r="G3174" s="89"/>
      <c r="H3174" s="89"/>
      <c r="I3174" s="90"/>
      <c r="J3174" s="88" t="s">
        <v>13</v>
      </c>
      <c r="K3174" s="89"/>
      <c r="L3174" s="89"/>
      <c r="M3174" s="90"/>
      <c r="N3174" s="88" t="s">
        <v>26</v>
      </c>
      <c r="O3174" s="89"/>
      <c r="P3174" s="90"/>
      <c r="Q3174" s="133">
        <v>2000</v>
      </c>
      <c r="R3174" s="134"/>
      <c r="S3174" s="5" t="s">
        <v>70</v>
      </c>
      <c r="T3174" s="6"/>
      <c r="U3174" s="8">
        <v>6</v>
      </c>
      <c r="V3174" s="5" t="s">
        <v>23</v>
      </c>
      <c r="W3174" s="12">
        <v>7166595</v>
      </c>
      <c r="X3174" s="6"/>
      <c r="Y3174" s="6"/>
    </row>
    <row r="3175" spans="1:25" ht="15" customHeight="1" x14ac:dyDescent="0.2">
      <c r="A3175" s="88" t="s">
        <v>3652</v>
      </c>
      <c r="B3175" s="90"/>
      <c r="C3175" s="88" t="s">
        <v>3795</v>
      </c>
      <c r="D3175" s="89"/>
      <c r="E3175" s="89"/>
      <c r="F3175" s="89"/>
      <c r="G3175" s="89"/>
      <c r="H3175" s="89"/>
      <c r="I3175" s="90"/>
      <c r="J3175" s="88" t="s">
        <v>13</v>
      </c>
      <c r="K3175" s="89"/>
      <c r="L3175" s="89"/>
      <c r="M3175" s="90"/>
      <c r="N3175" s="88" t="s">
        <v>26</v>
      </c>
      <c r="O3175" s="89"/>
      <c r="P3175" s="90"/>
      <c r="Q3175" s="133">
        <v>2000</v>
      </c>
      <c r="R3175" s="134"/>
      <c r="S3175" s="5" t="s">
        <v>70</v>
      </c>
      <c r="T3175" s="6"/>
      <c r="U3175" s="8">
        <v>6</v>
      </c>
      <c r="V3175" s="5" t="s">
        <v>96</v>
      </c>
      <c r="W3175" s="12">
        <v>18474578</v>
      </c>
      <c r="X3175" s="6"/>
      <c r="Y3175" s="6"/>
    </row>
    <row r="3176" spans="1:25" ht="15" customHeight="1" x14ac:dyDescent="0.2">
      <c r="A3176" s="88" t="s">
        <v>3652</v>
      </c>
      <c r="B3176" s="90"/>
      <c r="C3176" s="88" t="s">
        <v>3796</v>
      </c>
      <c r="D3176" s="89"/>
      <c r="E3176" s="89"/>
      <c r="F3176" s="89"/>
      <c r="G3176" s="89"/>
      <c r="H3176" s="89"/>
      <c r="I3176" s="90"/>
      <c r="J3176" s="88" t="s">
        <v>13</v>
      </c>
      <c r="K3176" s="89"/>
      <c r="L3176" s="89"/>
      <c r="M3176" s="90"/>
      <c r="N3176" s="88" t="s">
        <v>26</v>
      </c>
      <c r="O3176" s="89"/>
      <c r="P3176" s="90"/>
      <c r="Q3176" s="133">
        <v>2000</v>
      </c>
      <c r="R3176" s="134"/>
      <c r="S3176" s="5" t="s">
        <v>70</v>
      </c>
      <c r="T3176" s="6"/>
      <c r="U3176" s="8">
        <v>6</v>
      </c>
      <c r="V3176" s="5" t="s">
        <v>23</v>
      </c>
      <c r="W3176" s="12">
        <v>10472393</v>
      </c>
      <c r="X3176" s="6"/>
      <c r="Y3176" s="6"/>
    </row>
    <row r="3177" spans="1:25" ht="15" customHeight="1" x14ac:dyDescent="0.2">
      <c r="A3177" s="88" t="s">
        <v>3652</v>
      </c>
      <c r="B3177" s="90"/>
      <c r="C3177" s="88" t="s">
        <v>3797</v>
      </c>
      <c r="D3177" s="90"/>
      <c r="E3177" s="88" t="s">
        <v>3798</v>
      </c>
      <c r="F3177" s="89"/>
      <c r="G3177" s="89"/>
      <c r="H3177" s="89"/>
      <c r="I3177" s="90"/>
      <c r="J3177" s="88" t="s">
        <v>13</v>
      </c>
      <c r="K3177" s="89"/>
      <c r="L3177" s="89"/>
      <c r="M3177" s="90"/>
      <c r="N3177" s="88" t="s">
        <v>26</v>
      </c>
      <c r="O3177" s="89"/>
      <c r="P3177" s="90"/>
      <c r="Q3177" s="133">
        <v>1500</v>
      </c>
      <c r="R3177" s="134"/>
      <c r="S3177" s="5" t="s">
        <v>70</v>
      </c>
      <c r="T3177" s="6"/>
      <c r="U3177" s="8">
        <v>6</v>
      </c>
      <c r="V3177" s="5" t="s">
        <v>96</v>
      </c>
      <c r="W3177" s="12">
        <v>8882316</v>
      </c>
      <c r="X3177" s="6"/>
      <c r="Y3177" s="6"/>
    </row>
    <row r="3178" spans="1:25" ht="15" customHeight="1" x14ac:dyDescent="0.2">
      <c r="A3178" s="88" t="s">
        <v>3652</v>
      </c>
      <c r="B3178" s="90"/>
      <c r="C3178" s="88" t="s">
        <v>3799</v>
      </c>
      <c r="D3178" s="89"/>
      <c r="E3178" s="89"/>
      <c r="F3178" s="89"/>
      <c r="G3178" s="89"/>
      <c r="H3178" s="89"/>
      <c r="I3178" s="90"/>
      <c r="J3178" s="88" t="s">
        <v>13</v>
      </c>
      <c r="K3178" s="89"/>
      <c r="L3178" s="89"/>
      <c r="M3178" s="90"/>
      <c r="N3178" s="88" t="s">
        <v>22</v>
      </c>
      <c r="O3178" s="89"/>
      <c r="P3178" s="90"/>
      <c r="Q3178" s="133">
        <v>2000</v>
      </c>
      <c r="R3178" s="134"/>
      <c r="S3178" s="5" t="s">
        <v>70</v>
      </c>
      <c r="T3178" s="6"/>
      <c r="U3178" s="8">
        <v>6</v>
      </c>
      <c r="V3178" s="5" t="s">
        <v>106</v>
      </c>
      <c r="W3178" s="12">
        <v>10723055</v>
      </c>
      <c r="X3178" s="6"/>
      <c r="Y3178" s="6"/>
    </row>
    <row r="3179" spans="1:25" ht="15" customHeight="1" x14ac:dyDescent="0.2">
      <c r="A3179" s="88" t="s">
        <v>3652</v>
      </c>
      <c r="B3179" s="90"/>
      <c r="C3179" s="88" t="s">
        <v>3800</v>
      </c>
      <c r="D3179" s="89"/>
      <c r="E3179" s="89"/>
      <c r="F3179" s="89"/>
      <c r="G3179" s="89"/>
      <c r="H3179" s="89"/>
      <c r="I3179" s="90"/>
      <c r="J3179" s="88" t="s">
        <v>13</v>
      </c>
      <c r="K3179" s="89"/>
      <c r="L3179" s="89"/>
      <c r="M3179" s="90"/>
      <c r="N3179" s="88" t="s">
        <v>26</v>
      </c>
      <c r="O3179" s="89"/>
      <c r="P3179" s="90"/>
      <c r="Q3179" s="133">
        <v>2000</v>
      </c>
      <c r="R3179" s="134"/>
      <c r="S3179" s="5" t="s">
        <v>70</v>
      </c>
      <c r="T3179" s="6"/>
      <c r="U3179" s="8">
        <v>5</v>
      </c>
      <c r="V3179" s="5" t="s">
        <v>106</v>
      </c>
      <c r="W3179" s="12">
        <v>9185499</v>
      </c>
      <c r="X3179" s="6"/>
      <c r="Y3179" s="6"/>
    </row>
    <row r="3180" spans="1:25" ht="15" customHeight="1" x14ac:dyDescent="0.2">
      <c r="A3180" s="88" t="s">
        <v>3652</v>
      </c>
      <c r="B3180" s="90"/>
      <c r="C3180" s="88" t="s">
        <v>3801</v>
      </c>
      <c r="D3180" s="89"/>
      <c r="E3180" s="89"/>
      <c r="F3180" s="89"/>
      <c r="G3180" s="89"/>
      <c r="H3180" s="89"/>
      <c r="I3180" s="90"/>
      <c r="J3180" s="88" t="s">
        <v>13</v>
      </c>
      <c r="K3180" s="89"/>
      <c r="L3180" s="89"/>
      <c r="M3180" s="90"/>
      <c r="N3180" s="88" t="s">
        <v>26</v>
      </c>
      <c r="O3180" s="89"/>
      <c r="P3180" s="90"/>
      <c r="Q3180" s="133">
        <v>2000</v>
      </c>
      <c r="R3180" s="134"/>
      <c r="S3180" s="5" t="s">
        <v>70</v>
      </c>
      <c r="T3180" s="6"/>
      <c r="U3180" s="8">
        <v>5</v>
      </c>
      <c r="V3180" s="5" t="s">
        <v>106</v>
      </c>
      <c r="W3180" s="12">
        <v>16757823</v>
      </c>
      <c r="X3180" s="6"/>
      <c r="Y3180" s="6"/>
    </row>
    <row r="3181" spans="1:25" ht="15" customHeight="1" x14ac:dyDescent="0.2">
      <c r="A3181" s="88" t="s">
        <v>3652</v>
      </c>
      <c r="B3181" s="90"/>
      <c r="C3181" s="88" t="s">
        <v>3802</v>
      </c>
      <c r="D3181" s="89"/>
      <c r="E3181" s="89"/>
      <c r="F3181" s="89"/>
      <c r="G3181" s="89"/>
      <c r="H3181" s="89"/>
      <c r="I3181" s="90"/>
      <c r="J3181" s="88" t="s">
        <v>13</v>
      </c>
      <c r="K3181" s="89"/>
      <c r="L3181" s="89"/>
      <c r="M3181" s="90"/>
      <c r="N3181" s="88" t="s">
        <v>26</v>
      </c>
      <c r="O3181" s="89"/>
      <c r="P3181" s="90"/>
      <c r="Q3181" s="133">
        <v>2000</v>
      </c>
      <c r="R3181" s="134"/>
      <c r="S3181" s="5" t="s">
        <v>70</v>
      </c>
      <c r="T3181" s="6"/>
      <c r="U3181" s="8">
        <v>5</v>
      </c>
      <c r="V3181" s="5" t="s">
        <v>106</v>
      </c>
      <c r="W3181" s="12">
        <v>12975427</v>
      </c>
      <c r="X3181" s="6"/>
      <c r="Y3181" s="6"/>
    </row>
    <row r="3182" spans="1:25" ht="15" customHeight="1" x14ac:dyDescent="0.2">
      <c r="A3182" s="88" t="s">
        <v>3652</v>
      </c>
      <c r="B3182" s="90"/>
      <c r="C3182" s="88" t="s">
        <v>3803</v>
      </c>
      <c r="D3182" s="89"/>
      <c r="E3182" s="89"/>
      <c r="F3182" s="89"/>
      <c r="G3182" s="89"/>
      <c r="H3182" s="89"/>
      <c r="I3182" s="90"/>
      <c r="J3182" s="88" t="s">
        <v>13</v>
      </c>
      <c r="K3182" s="89"/>
      <c r="L3182" s="89"/>
      <c r="M3182" s="90"/>
      <c r="N3182" s="88" t="s">
        <v>26</v>
      </c>
      <c r="O3182" s="89"/>
      <c r="P3182" s="90"/>
      <c r="Q3182" s="133">
        <v>2000</v>
      </c>
      <c r="R3182" s="134"/>
      <c r="S3182" s="5" t="s">
        <v>70</v>
      </c>
      <c r="T3182" s="6"/>
      <c r="U3182" s="8">
        <v>5</v>
      </c>
      <c r="V3182" s="5" t="s">
        <v>106</v>
      </c>
      <c r="W3182" s="12">
        <v>13546916</v>
      </c>
      <c r="X3182" s="6"/>
      <c r="Y3182" s="6"/>
    </row>
    <row r="3183" spans="1:25" ht="15" customHeight="1" x14ac:dyDescent="0.2">
      <c r="A3183" s="88" t="s">
        <v>3652</v>
      </c>
      <c r="B3183" s="90"/>
      <c r="C3183" s="88" t="s">
        <v>3804</v>
      </c>
      <c r="D3183" s="89"/>
      <c r="E3183" s="89"/>
      <c r="F3183" s="89"/>
      <c r="G3183" s="89"/>
      <c r="H3183" s="89"/>
      <c r="I3183" s="90"/>
      <c r="J3183" s="88" t="s">
        <v>13</v>
      </c>
      <c r="K3183" s="89"/>
      <c r="L3183" s="89"/>
      <c r="M3183" s="90"/>
      <c r="N3183" s="88" t="s">
        <v>26</v>
      </c>
      <c r="O3183" s="89"/>
      <c r="P3183" s="90"/>
      <c r="Q3183" s="133">
        <v>2000</v>
      </c>
      <c r="R3183" s="134"/>
      <c r="S3183" s="5" t="s">
        <v>70</v>
      </c>
      <c r="T3183" s="6"/>
      <c r="U3183" s="8">
        <v>5</v>
      </c>
      <c r="V3183" s="5" t="s">
        <v>23</v>
      </c>
      <c r="W3183" s="12">
        <v>14206467</v>
      </c>
      <c r="X3183" s="6"/>
      <c r="Y3183" s="6"/>
    </row>
    <row r="3184" spans="1:25" ht="15" customHeight="1" x14ac:dyDescent="0.2">
      <c r="A3184" s="88" t="s">
        <v>3652</v>
      </c>
      <c r="B3184" s="90"/>
      <c r="C3184" s="88" t="s">
        <v>3805</v>
      </c>
      <c r="D3184" s="89"/>
      <c r="E3184" s="89"/>
      <c r="F3184" s="89"/>
      <c r="G3184" s="89"/>
      <c r="H3184" s="89"/>
      <c r="I3184" s="90"/>
      <c r="J3184" s="88" t="s">
        <v>13</v>
      </c>
      <c r="K3184" s="89"/>
      <c r="L3184" s="89"/>
      <c r="M3184" s="90"/>
      <c r="N3184" s="88" t="s">
        <v>26</v>
      </c>
      <c r="O3184" s="89"/>
      <c r="P3184" s="90"/>
      <c r="Q3184" s="133">
        <v>2000</v>
      </c>
      <c r="R3184" s="134"/>
      <c r="S3184" s="5" t="s">
        <v>70</v>
      </c>
      <c r="T3184" s="6"/>
      <c r="U3184" s="8">
        <v>5</v>
      </c>
      <c r="V3184" s="5" t="s">
        <v>96</v>
      </c>
      <c r="W3184" s="12">
        <v>12787116</v>
      </c>
      <c r="X3184" s="6"/>
      <c r="Y3184" s="6"/>
    </row>
    <row r="3185" spans="1:25" ht="15" customHeight="1" x14ac:dyDescent="0.2">
      <c r="A3185" s="88" t="s">
        <v>3652</v>
      </c>
      <c r="B3185" s="90"/>
      <c r="C3185" s="88" t="s">
        <v>3806</v>
      </c>
      <c r="D3185" s="89"/>
      <c r="E3185" s="89"/>
      <c r="F3185" s="89"/>
      <c r="G3185" s="89"/>
      <c r="H3185" s="89"/>
      <c r="I3185" s="90"/>
      <c r="J3185" s="88" t="s">
        <v>13</v>
      </c>
      <c r="K3185" s="89"/>
      <c r="L3185" s="89"/>
      <c r="M3185" s="90"/>
      <c r="N3185" s="88" t="s">
        <v>26</v>
      </c>
      <c r="O3185" s="89"/>
      <c r="P3185" s="90"/>
      <c r="Q3185" s="133">
        <v>3500</v>
      </c>
      <c r="R3185" s="134"/>
      <c r="S3185" s="5" t="s">
        <v>70</v>
      </c>
      <c r="T3185" s="6"/>
      <c r="U3185" s="8">
        <v>5</v>
      </c>
      <c r="V3185" s="5" t="s">
        <v>23</v>
      </c>
      <c r="W3185" s="12">
        <v>15259039</v>
      </c>
      <c r="X3185" s="6"/>
      <c r="Y3185" s="6"/>
    </row>
    <row r="3186" spans="1:25" ht="15" customHeight="1" x14ac:dyDescent="0.2">
      <c r="A3186" s="88" t="s">
        <v>3652</v>
      </c>
      <c r="B3186" s="90"/>
      <c r="C3186" s="88" t="s">
        <v>3807</v>
      </c>
      <c r="D3186" s="90"/>
      <c r="E3186" s="88" t="s">
        <v>3790</v>
      </c>
      <c r="F3186" s="89"/>
      <c r="G3186" s="89"/>
      <c r="H3186" s="89"/>
      <c r="I3186" s="90"/>
      <c r="J3186" s="88" t="s">
        <v>13</v>
      </c>
      <c r="K3186" s="89"/>
      <c r="L3186" s="89"/>
      <c r="M3186" s="90"/>
      <c r="N3186" s="88" t="s">
        <v>22</v>
      </c>
      <c r="O3186" s="89"/>
      <c r="P3186" s="90"/>
      <c r="Q3186" s="133">
        <v>3000</v>
      </c>
      <c r="R3186" s="134"/>
      <c r="S3186" s="5" t="s">
        <v>70</v>
      </c>
      <c r="T3186" s="6"/>
      <c r="U3186" s="8">
        <v>5</v>
      </c>
      <c r="V3186" s="5" t="s">
        <v>96</v>
      </c>
      <c r="W3186" s="12">
        <v>22795525</v>
      </c>
      <c r="X3186" s="6"/>
      <c r="Y3186" s="6"/>
    </row>
    <row r="3187" spans="1:25" ht="15" customHeight="1" x14ac:dyDescent="0.2">
      <c r="A3187" s="88" t="s">
        <v>3652</v>
      </c>
      <c r="B3187" s="90"/>
      <c r="C3187" s="88" t="s">
        <v>3808</v>
      </c>
      <c r="D3187" s="90"/>
      <c r="E3187" s="106"/>
      <c r="F3187" s="107"/>
      <c r="G3187" s="107"/>
      <c r="H3187" s="107"/>
      <c r="I3187" s="108"/>
      <c r="J3187" s="88" t="s">
        <v>13</v>
      </c>
      <c r="K3187" s="89"/>
      <c r="L3187" s="89"/>
      <c r="M3187" s="90"/>
      <c r="N3187" s="88" t="s">
        <v>26</v>
      </c>
      <c r="O3187" s="89"/>
      <c r="P3187" s="90"/>
      <c r="Q3187" s="88" t="s">
        <v>181</v>
      </c>
      <c r="R3187" s="90"/>
      <c r="S3187" s="5" t="s">
        <v>16</v>
      </c>
      <c r="T3187" s="6"/>
      <c r="U3187" s="8">
        <v>5</v>
      </c>
      <c r="V3187" s="5" t="s">
        <v>17</v>
      </c>
      <c r="W3187" s="12">
        <v>7186280</v>
      </c>
      <c r="X3187" s="6"/>
      <c r="Y3187" s="6"/>
    </row>
    <row r="3188" spans="1:25" ht="15" customHeight="1" x14ac:dyDescent="0.2">
      <c r="A3188" s="88" t="s">
        <v>3652</v>
      </c>
      <c r="B3188" s="90"/>
      <c r="C3188" s="88" t="s">
        <v>3809</v>
      </c>
      <c r="D3188" s="89"/>
      <c r="E3188" s="89"/>
      <c r="F3188" s="89"/>
      <c r="G3188" s="89"/>
      <c r="H3188" s="89"/>
      <c r="I3188" s="90"/>
      <c r="J3188" s="88" t="s">
        <v>13</v>
      </c>
      <c r="K3188" s="89"/>
      <c r="L3188" s="89"/>
      <c r="M3188" s="90"/>
      <c r="N3188" s="88" t="s">
        <v>26</v>
      </c>
      <c r="O3188" s="89"/>
      <c r="P3188" s="90"/>
      <c r="Q3188" s="88" t="s">
        <v>181</v>
      </c>
      <c r="R3188" s="90"/>
      <c r="S3188" s="5" t="s">
        <v>16</v>
      </c>
      <c r="T3188" s="6"/>
      <c r="U3188" s="8">
        <v>5</v>
      </c>
      <c r="V3188" s="5" t="s">
        <v>17</v>
      </c>
      <c r="W3188" s="12">
        <v>10692726</v>
      </c>
      <c r="X3188" s="6"/>
      <c r="Y3188" s="6"/>
    </row>
    <row r="3189" spans="1:25" ht="15" customHeight="1" x14ac:dyDescent="0.2">
      <c r="A3189" s="88" t="s">
        <v>3652</v>
      </c>
      <c r="B3189" s="90"/>
      <c r="C3189" s="88" t="s">
        <v>3810</v>
      </c>
      <c r="D3189" s="90"/>
      <c r="E3189" s="106"/>
      <c r="F3189" s="107"/>
      <c r="G3189" s="107"/>
      <c r="H3189" s="107"/>
      <c r="I3189" s="108"/>
      <c r="J3189" s="88" t="s">
        <v>13</v>
      </c>
      <c r="K3189" s="89"/>
      <c r="L3189" s="89"/>
      <c r="M3189" s="90"/>
      <c r="N3189" s="88" t="s">
        <v>26</v>
      </c>
      <c r="O3189" s="89"/>
      <c r="P3189" s="90"/>
      <c r="Q3189" s="88" t="s">
        <v>181</v>
      </c>
      <c r="R3189" s="90"/>
      <c r="S3189" s="5" t="s">
        <v>16</v>
      </c>
      <c r="T3189" s="6"/>
      <c r="U3189" s="8">
        <v>5</v>
      </c>
      <c r="V3189" s="5" t="s">
        <v>17</v>
      </c>
      <c r="W3189" s="12">
        <v>11888051</v>
      </c>
      <c r="X3189" s="6"/>
      <c r="Y3189" s="6"/>
    </row>
    <row r="3190" spans="1:25" ht="15" customHeight="1" x14ac:dyDescent="0.2">
      <c r="A3190" s="88" t="s">
        <v>3652</v>
      </c>
      <c r="B3190" s="90"/>
      <c r="C3190" s="88" t="s">
        <v>3811</v>
      </c>
      <c r="D3190" s="90"/>
      <c r="E3190" s="106"/>
      <c r="F3190" s="107"/>
      <c r="G3190" s="107"/>
      <c r="H3190" s="107"/>
      <c r="I3190" s="108"/>
      <c r="J3190" s="88" t="s">
        <v>13</v>
      </c>
      <c r="K3190" s="89"/>
      <c r="L3190" s="89"/>
      <c r="M3190" s="90"/>
      <c r="N3190" s="88" t="s">
        <v>26</v>
      </c>
      <c r="O3190" s="89"/>
      <c r="P3190" s="90"/>
      <c r="Q3190" s="88" t="s">
        <v>181</v>
      </c>
      <c r="R3190" s="90"/>
      <c r="S3190" s="5" t="s">
        <v>16</v>
      </c>
      <c r="T3190" s="6"/>
      <c r="U3190" s="8">
        <v>5</v>
      </c>
      <c r="V3190" s="5" t="s">
        <v>17</v>
      </c>
      <c r="W3190" s="12">
        <v>7310171</v>
      </c>
      <c r="X3190" s="6"/>
      <c r="Y3190" s="6"/>
    </row>
    <row r="3191" spans="1:25" ht="15" customHeight="1" x14ac:dyDescent="0.2">
      <c r="A3191" s="88" t="s">
        <v>3652</v>
      </c>
      <c r="B3191" s="90"/>
      <c r="C3191" s="88" t="s">
        <v>3812</v>
      </c>
      <c r="D3191" s="90"/>
      <c r="E3191" s="88" t="s">
        <v>3813</v>
      </c>
      <c r="F3191" s="89"/>
      <c r="G3191" s="89"/>
      <c r="H3191" s="89"/>
      <c r="I3191" s="90"/>
      <c r="J3191" s="88" t="s">
        <v>13</v>
      </c>
      <c r="K3191" s="89"/>
      <c r="L3191" s="89"/>
      <c r="M3191" s="90"/>
      <c r="N3191" s="88" t="s">
        <v>26</v>
      </c>
      <c r="O3191" s="89"/>
      <c r="P3191" s="90"/>
      <c r="Q3191" s="88" t="s">
        <v>181</v>
      </c>
      <c r="R3191" s="90"/>
      <c r="S3191" s="5" t="s">
        <v>16</v>
      </c>
      <c r="T3191" s="6"/>
      <c r="U3191" s="8">
        <v>5</v>
      </c>
      <c r="V3191" s="5" t="s">
        <v>17</v>
      </c>
      <c r="W3191" s="12">
        <v>10778823</v>
      </c>
      <c r="X3191" s="6"/>
      <c r="Y3191" s="6"/>
    </row>
    <row r="3192" spans="1:25" ht="15" customHeight="1" x14ac:dyDescent="0.2">
      <c r="A3192" s="88" t="s">
        <v>3652</v>
      </c>
      <c r="B3192" s="90"/>
      <c r="C3192" s="88" t="s">
        <v>3814</v>
      </c>
      <c r="D3192" s="90"/>
      <c r="E3192" s="106"/>
      <c r="F3192" s="107"/>
      <c r="G3192" s="107"/>
      <c r="H3192" s="107"/>
      <c r="I3192" s="108"/>
      <c r="J3192" s="88" t="s">
        <v>13</v>
      </c>
      <c r="K3192" s="89"/>
      <c r="L3192" s="89"/>
      <c r="M3192" s="90"/>
      <c r="N3192" s="88" t="s">
        <v>26</v>
      </c>
      <c r="O3192" s="89"/>
      <c r="P3192" s="90"/>
      <c r="Q3192" s="88" t="s">
        <v>181</v>
      </c>
      <c r="R3192" s="90"/>
      <c r="S3192" s="5" t="s">
        <v>16</v>
      </c>
      <c r="T3192" s="6"/>
      <c r="U3192" s="8">
        <v>5</v>
      </c>
      <c r="V3192" s="5" t="s">
        <v>17</v>
      </c>
      <c r="W3192" s="12">
        <v>10559998</v>
      </c>
      <c r="X3192" s="6"/>
      <c r="Y3192" s="6"/>
    </row>
    <row r="3193" spans="1:25" ht="15" customHeight="1" x14ac:dyDescent="0.2">
      <c r="A3193" s="88" t="s">
        <v>3652</v>
      </c>
      <c r="B3193" s="90"/>
      <c r="C3193" s="88" t="s">
        <v>3815</v>
      </c>
      <c r="D3193" s="90"/>
      <c r="E3193" s="106"/>
      <c r="F3193" s="107"/>
      <c r="G3193" s="107"/>
      <c r="H3193" s="107"/>
      <c r="I3193" s="108"/>
      <c r="J3193" s="88" t="s">
        <v>13</v>
      </c>
      <c r="K3193" s="89"/>
      <c r="L3193" s="89"/>
      <c r="M3193" s="90"/>
      <c r="N3193" s="88" t="s">
        <v>26</v>
      </c>
      <c r="O3193" s="89"/>
      <c r="P3193" s="90"/>
      <c r="Q3193" s="88" t="s">
        <v>181</v>
      </c>
      <c r="R3193" s="90"/>
      <c r="S3193" s="5" t="s">
        <v>16</v>
      </c>
      <c r="T3193" s="6"/>
      <c r="U3193" s="8">
        <v>5</v>
      </c>
      <c r="V3193" s="5" t="s">
        <v>17</v>
      </c>
      <c r="W3193" s="12">
        <v>11103029</v>
      </c>
      <c r="X3193" s="6"/>
      <c r="Y3193" s="6"/>
    </row>
    <row r="3194" spans="1:25" ht="15" customHeight="1" x14ac:dyDescent="0.2">
      <c r="A3194" s="88" t="s">
        <v>3652</v>
      </c>
      <c r="B3194" s="90"/>
      <c r="C3194" s="88" t="s">
        <v>3816</v>
      </c>
      <c r="D3194" s="90"/>
      <c r="E3194" s="106"/>
      <c r="F3194" s="107"/>
      <c r="G3194" s="107"/>
      <c r="H3194" s="107"/>
      <c r="I3194" s="108"/>
      <c r="J3194" s="88" t="s">
        <v>13</v>
      </c>
      <c r="K3194" s="89"/>
      <c r="L3194" s="89"/>
      <c r="M3194" s="90"/>
      <c r="N3194" s="88" t="s">
        <v>26</v>
      </c>
      <c r="O3194" s="89"/>
      <c r="P3194" s="90"/>
      <c r="Q3194" s="88" t="s">
        <v>181</v>
      </c>
      <c r="R3194" s="90"/>
      <c r="S3194" s="5" t="s">
        <v>16</v>
      </c>
      <c r="T3194" s="6"/>
      <c r="U3194" s="8">
        <v>5</v>
      </c>
      <c r="V3194" s="5" t="s">
        <v>17</v>
      </c>
      <c r="W3194" s="12">
        <v>11773795</v>
      </c>
      <c r="X3194" s="6"/>
      <c r="Y3194" s="6"/>
    </row>
    <row r="3195" spans="1:25" ht="15" customHeight="1" x14ac:dyDescent="0.2">
      <c r="A3195" s="88" t="s">
        <v>3652</v>
      </c>
      <c r="B3195" s="90"/>
      <c r="C3195" s="88" t="s">
        <v>3817</v>
      </c>
      <c r="D3195" s="90"/>
      <c r="E3195" s="106"/>
      <c r="F3195" s="107"/>
      <c r="G3195" s="107"/>
      <c r="H3195" s="107"/>
      <c r="I3195" s="108"/>
      <c r="J3195" s="88" t="s">
        <v>13</v>
      </c>
      <c r="K3195" s="89"/>
      <c r="L3195" s="89"/>
      <c r="M3195" s="90"/>
      <c r="N3195" s="88" t="s">
        <v>22</v>
      </c>
      <c r="O3195" s="89"/>
      <c r="P3195" s="90"/>
      <c r="Q3195" s="88" t="s">
        <v>181</v>
      </c>
      <c r="R3195" s="90"/>
      <c r="S3195" s="5" t="s">
        <v>16</v>
      </c>
      <c r="T3195" s="6"/>
      <c r="U3195" s="8">
        <v>5</v>
      </c>
      <c r="V3195" s="5" t="s">
        <v>17</v>
      </c>
      <c r="W3195" s="12">
        <v>10360355</v>
      </c>
      <c r="X3195" s="6"/>
      <c r="Y3195" s="6"/>
    </row>
    <row r="3196" spans="1:25" ht="15" customHeight="1" x14ac:dyDescent="0.2">
      <c r="A3196" s="88" t="s">
        <v>3652</v>
      </c>
      <c r="B3196" s="90"/>
      <c r="C3196" s="88" t="s">
        <v>3818</v>
      </c>
      <c r="D3196" s="90"/>
      <c r="E3196" s="106"/>
      <c r="F3196" s="107"/>
      <c r="G3196" s="107"/>
      <c r="H3196" s="107"/>
      <c r="I3196" s="108"/>
      <c r="J3196" s="88" t="s">
        <v>13</v>
      </c>
      <c r="K3196" s="89"/>
      <c r="L3196" s="89"/>
      <c r="M3196" s="90"/>
      <c r="N3196" s="88" t="s">
        <v>22</v>
      </c>
      <c r="O3196" s="89"/>
      <c r="P3196" s="90"/>
      <c r="Q3196" s="88" t="s">
        <v>181</v>
      </c>
      <c r="R3196" s="90"/>
      <c r="S3196" s="5" t="s">
        <v>16</v>
      </c>
      <c r="T3196" s="6"/>
      <c r="U3196" s="8">
        <v>5</v>
      </c>
      <c r="V3196" s="5" t="s">
        <v>17</v>
      </c>
      <c r="W3196" s="12">
        <v>10917442</v>
      </c>
      <c r="X3196" s="6"/>
      <c r="Y3196" s="6"/>
    </row>
    <row r="3197" spans="1:25" ht="15" customHeight="1" x14ac:dyDescent="0.2">
      <c r="A3197" s="88" t="s">
        <v>3652</v>
      </c>
      <c r="B3197" s="90"/>
      <c r="C3197" s="88" t="s">
        <v>3819</v>
      </c>
      <c r="D3197" s="90"/>
      <c r="E3197" s="106"/>
      <c r="F3197" s="107"/>
      <c r="G3197" s="107"/>
      <c r="H3197" s="107"/>
      <c r="I3197" s="108"/>
      <c r="J3197" s="88" t="s">
        <v>13</v>
      </c>
      <c r="K3197" s="89"/>
      <c r="L3197" s="89"/>
      <c r="M3197" s="90"/>
      <c r="N3197" s="88" t="s">
        <v>22</v>
      </c>
      <c r="O3197" s="89"/>
      <c r="P3197" s="90"/>
      <c r="Q3197" s="88" t="s">
        <v>181</v>
      </c>
      <c r="R3197" s="90"/>
      <c r="S3197" s="5" t="s">
        <v>16</v>
      </c>
      <c r="T3197" s="6"/>
      <c r="U3197" s="8">
        <v>5</v>
      </c>
      <c r="V3197" s="5" t="s">
        <v>17</v>
      </c>
      <c r="W3197" s="12">
        <v>12754035</v>
      </c>
      <c r="X3197" s="6"/>
      <c r="Y3197" s="6"/>
    </row>
    <row r="3198" spans="1:25" ht="15" customHeight="1" x14ac:dyDescent="0.2">
      <c r="A3198" s="88" t="s">
        <v>3652</v>
      </c>
      <c r="B3198" s="90"/>
      <c r="C3198" s="88" t="s">
        <v>3820</v>
      </c>
      <c r="D3198" s="90"/>
      <c r="E3198" s="106"/>
      <c r="F3198" s="107"/>
      <c r="G3198" s="107"/>
      <c r="H3198" s="107"/>
      <c r="I3198" s="108"/>
      <c r="J3198" s="88" t="s">
        <v>13</v>
      </c>
      <c r="K3198" s="89"/>
      <c r="L3198" s="89"/>
      <c r="M3198" s="90"/>
      <c r="N3198" s="88" t="s">
        <v>22</v>
      </c>
      <c r="O3198" s="89"/>
      <c r="P3198" s="90"/>
      <c r="Q3198" s="88" t="s">
        <v>181</v>
      </c>
      <c r="R3198" s="90"/>
      <c r="S3198" s="5" t="s">
        <v>16</v>
      </c>
      <c r="T3198" s="6"/>
      <c r="U3198" s="8">
        <v>7</v>
      </c>
      <c r="V3198" s="5" t="s">
        <v>17</v>
      </c>
      <c r="W3198" s="12">
        <v>14292782</v>
      </c>
      <c r="X3198" s="6"/>
      <c r="Y3198" s="6"/>
    </row>
    <row r="3199" spans="1:25" ht="15" customHeight="1" x14ac:dyDescent="0.2">
      <c r="A3199" s="88" t="s">
        <v>3652</v>
      </c>
      <c r="B3199" s="90"/>
      <c r="C3199" s="88" t="s">
        <v>3821</v>
      </c>
      <c r="D3199" s="90"/>
      <c r="E3199" s="106"/>
      <c r="F3199" s="107"/>
      <c r="G3199" s="107"/>
      <c r="H3199" s="107"/>
      <c r="I3199" s="108"/>
      <c r="J3199" s="88" t="s">
        <v>13</v>
      </c>
      <c r="K3199" s="89"/>
      <c r="L3199" s="89"/>
      <c r="M3199" s="90"/>
      <c r="N3199" s="88" t="s">
        <v>22</v>
      </c>
      <c r="O3199" s="89"/>
      <c r="P3199" s="90"/>
      <c r="Q3199" s="88" t="s">
        <v>181</v>
      </c>
      <c r="R3199" s="90"/>
      <c r="S3199" s="5" t="s">
        <v>16</v>
      </c>
      <c r="T3199" s="6"/>
      <c r="U3199" s="8">
        <v>5</v>
      </c>
      <c r="V3199" s="5" t="s">
        <v>17</v>
      </c>
      <c r="W3199" s="12">
        <v>12609426</v>
      </c>
      <c r="X3199" s="6"/>
      <c r="Y3199" s="6"/>
    </row>
    <row r="3200" spans="1:25" ht="15" customHeight="1" x14ac:dyDescent="0.2">
      <c r="A3200" s="88" t="s">
        <v>3652</v>
      </c>
      <c r="B3200" s="90"/>
      <c r="C3200" s="88" t="s">
        <v>3822</v>
      </c>
      <c r="D3200" s="89"/>
      <c r="E3200" s="89"/>
      <c r="F3200" s="89"/>
      <c r="G3200" s="89"/>
      <c r="H3200" s="89"/>
      <c r="I3200" s="90"/>
      <c r="J3200" s="88" t="s">
        <v>13</v>
      </c>
      <c r="K3200" s="89"/>
      <c r="L3200" s="89"/>
      <c r="M3200" s="90"/>
      <c r="N3200" s="88" t="s">
        <v>22</v>
      </c>
      <c r="O3200" s="89"/>
      <c r="P3200" s="90"/>
      <c r="Q3200" s="88" t="s">
        <v>181</v>
      </c>
      <c r="R3200" s="90"/>
      <c r="S3200" s="5" t="s">
        <v>16</v>
      </c>
      <c r="T3200" s="6"/>
      <c r="U3200" s="8">
        <v>5</v>
      </c>
      <c r="V3200" s="5" t="s">
        <v>17</v>
      </c>
      <c r="W3200" s="12">
        <v>15212967</v>
      </c>
      <c r="X3200" s="6"/>
      <c r="Y3200" s="6"/>
    </row>
    <row r="3201" spans="1:25" ht="15" customHeight="1" x14ac:dyDescent="0.2">
      <c r="A3201" s="88" t="s">
        <v>3652</v>
      </c>
      <c r="B3201" s="90"/>
      <c r="C3201" s="88" t="s">
        <v>3823</v>
      </c>
      <c r="D3201" s="90"/>
      <c r="E3201" s="88" t="s">
        <v>3824</v>
      </c>
      <c r="F3201" s="89"/>
      <c r="G3201" s="89"/>
      <c r="H3201" s="89"/>
      <c r="I3201" s="90"/>
      <c r="J3201" s="88" t="s">
        <v>13</v>
      </c>
      <c r="K3201" s="89"/>
      <c r="L3201" s="89"/>
      <c r="M3201" s="90"/>
      <c r="N3201" s="88" t="s">
        <v>22</v>
      </c>
      <c r="O3201" s="89"/>
      <c r="P3201" s="90"/>
      <c r="Q3201" s="88" t="s">
        <v>181</v>
      </c>
      <c r="R3201" s="90"/>
      <c r="S3201" s="5" t="s">
        <v>16</v>
      </c>
      <c r="T3201" s="6"/>
      <c r="U3201" s="8">
        <v>5</v>
      </c>
      <c r="V3201" s="5" t="s">
        <v>17</v>
      </c>
      <c r="W3201" s="12">
        <v>13582194</v>
      </c>
      <c r="X3201" s="6"/>
      <c r="Y3201" s="6"/>
    </row>
    <row r="3202" spans="1:25" ht="15" customHeight="1" x14ac:dyDescent="0.2">
      <c r="A3202" s="88" t="s">
        <v>3652</v>
      </c>
      <c r="B3202" s="90"/>
      <c r="C3202" s="88" t="s">
        <v>3825</v>
      </c>
      <c r="D3202" s="90"/>
      <c r="E3202" s="88" t="s">
        <v>3826</v>
      </c>
      <c r="F3202" s="89"/>
      <c r="G3202" s="89"/>
      <c r="H3202" s="89"/>
      <c r="I3202" s="90"/>
      <c r="J3202" s="88" t="s">
        <v>13</v>
      </c>
      <c r="K3202" s="89"/>
      <c r="L3202" s="89"/>
      <c r="M3202" s="90"/>
      <c r="N3202" s="88" t="s">
        <v>26</v>
      </c>
      <c r="O3202" s="89"/>
      <c r="P3202" s="90"/>
      <c r="Q3202" s="88" t="s">
        <v>181</v>
      </c>
      <c r="R3202" s="90"/>
      <c r="S3202" s="5" t="s">
        <v>16</v>
      </c>
      <c r="T3202" s="6"/>
      <c r="U3202" s="8">
        <v>5</v>
      </c>
      <c r="V3202" s="5" t="s">
        <v>17</v>
      </c>
      <c r="W3202" s="12">
        <v>17503571</v>
      </c>
      <c r="X3202" s="6"/>
      <c r="Y3202" s="6"/>
    </row>
    <row r="3203" spans="1:25" ht="15" customHeight="1" x14ac:dyDescent="0.2">
      <c r="A3203" s="88" t="s">
        <v>3652</v>
      </c>
      <c r="B3203" s="90"/>
      <c r="C3203" s="88" t="s">
        <v>3827</v>
      </c>
      <c r="D3203" s="90"/>
      <c r="E3203" s="106"/>
      <c r="F3203" s="107"/>
      <c r="G3203" s="107"/>
      <c r="H3203" s="107"/>
      <c r="I3203" s="108"/>
      <c r="J3203" s="88" t="s">
        <v>13</v>
      </c>
      <c r="K3203" s="89"/>
      <c r="L3203" s="89"/>
      <c r="M3203" s="90"/>
      <c r="N3203" s="88" t="s">
        <v>26</v>
      </c>
      <c r="O3203" s="89"/>
      <c r="P3203" s="90"/>
      <c r="Q3203" s="88" t="s">
        <v>181</v>
      </c>
      <c r="R3203" s="90"/>
      <c r="S3203" s="5" t="s">
        <v>16</v>
      </c>
      <c r="T3203" s="6"/>
      <c r="U3203" s="8">
        <v>5</v>
      </c>
      <c r="V3203" s="5" t="s">
        <v>17</v>
      </c>
      <c r="W3203" s="12">
        <v>12425007</v>
      </c>
      <c r="X3203" s="6"/>
      <c r="Y3203" s="6"/>
    </row>
    <row r="3204" spans="1:25" ht="15" customHeight="1" x14ac:dyDescent="0.2">
      <c r="A3204" s="88" t="s">
        <v>3652</v>
      </c>
      <c r="B3204" s="90"/>
      <c r="C3204" s="88" t="s">
        <v>3828</v>
      </c>
      <c r="D3204" s="89"/>
      <c r="E3204" s="89"/>
      <c r="F3204" s="89"/>
      <c r="G3204" s="89"/>
      <c r="H3204" s="89"/>
      <c r="I3204" s="90"/>
      <c r="J3204" s="88" t="s">
        <v>13</v>
      </c>
      <c r="K3204" s="89"/>
      <c r="L3204" s="89"/>
      <c r="M3204" s="90"/>
      <c r="N3204" s="88" t="s">
        <v>22</v>
      </c>
      <c r="O3204" s="89"/>
      <c r="P3204" s="90"/>
      <c r="Q3204" s="88" t="s">
        <v>181</v>
      </c>
      <c r="R3204" s="90"/>
      <c r="S3204" s="5" t="s">
        <v>16</v>
      </c>
      <c r="T3204" s="6"/>
      <c r="U3204" s="8">
        <v>5</v>
      </c>
      <c r="V3204" s="5" t="s">
        <v>17</v>
      </c>
      <c r="W3204" s="12">
        <v>17177275</v>
      </c>
      <c r="X3204" s="6"/>
      <c r="Y3204" s="6"/>
    </row>
    <row r="3205" spans="1:25" ht="15" customHeight="1" x14ac:dyDescent="0.2">
      <c r="A3205" s="88" t="s">
        <v>3652</v>
      </c>
      <c r="B3205" s="90"/>
      <c r="C3205" s="88" t="s">
        <v>3829</v>
      </c>
      <c r="D3205" s="90"/>
      <c r="E3205" s="88" t="s">
        <v>3830</v>
      </c>
      <c r="F3205" s="89"/>
      <c r="G3205" s="89"/>
      <c r="H3205" s="89"/>
      <c r="I3205" s="90"/>
      <c r="J3205" s="88" t="s">
        <v>13</v>
      </c>
      <c r="K3205" s="89"/>
      <c r="L3205" s="89"/>
      <c r="M3205" s="90"/>
      <c r="N3205" s="88" t="s">
        <v>22</v>
      </c>
      <c r="O3205" s="89"/>
      <c r="P3205" s="90"/>
      <c r="Q3205" s="88" t="s">
        <v>181</v>
      </c>
      <c r="R3205" s="90"/>
      <c r="S3205" s="5" t="s">
        <v>16</v>
      </c>
      <c r="T3205" s="6"/>
      <c r="U3205" s="8">
        <v>5</v>
      </c>
      <c r="V3205" s="5" t="s">
        <v>17</v>
      </c>
      <c r="W3205" s="12">
        <v>22555342</v>
      </c>
      <c r="X3205" s="6"/>
      <c r="Y3205" s="6"/>
    </row>
    <row r="3206" spans="1:25" ht="15" customHeight="1" x14ac:dyDescent="0.2">
      <c r="A3206" s="88" t="s">
        <v>3652</v>
      </c>
      <c r="B3206" s="90"/>
      <c r="C3206" s="88" t="s">
        <v>3831</v>
      </c>
      <c r="D3206" s="90"/>
      <c r="E3206" s="106"/>
      <c r="F3206" s="107"/>
      <c r="G3206" s="107"/>
      <c r="H3206" s="107"/>
      <c r="I3206" s="108"/>
      <c r="J3206" s="88" t="s">
        <v>13</v>
      </c>
      <c r="K3206" s="89"/>
      <c r="L3206" s="89"/>
      <c r="M3206" s="90"/>
      <c r="N3206" s="88" t="s">
        <v>22</v>
      </c>
      <c r="O3206" s="89"/>
      <c r="P3206" s="90"/>
      <c r="Q3206" s="133">
        <v>3000</v>
      </c>
      <c r="R3206" s="134"/>
      <c r="S3206" s="5" t="s">
        <v>70</v>
      </c>
      <c r="T3206" s="6"/>
      <c r="U3206" s="8">
        <v>6</v>
      </c>
      <c r="V3206" s="5" t="s">
        <v>106</v>
      </c>
      <c r="W3206" s="12">
        <v>28557822</v>
      </c>
      <c r="X3206" s="6"/>
      <c r="Y3206" s="6"/>
    </row>
    <row r="3207" spans="1:25" ht="15" customHeight="1" x14ac:dyDescent="0.2">
      <c r="A3207" s="88" t="s">
        <v>3652</v>
      </c>
      <c r="B3207" s="90"/>
      <c r="C3207" s="88" t="s">
        <v>3832</v>
      </c>
      <c r="D3207" s="90"/>
      <c r="E3207" s="106"/>
      <c r="F3207" s="107"/>
      <c r="G3207" s="107"/>
      <c r="H3207" s="107"/>
      <c r="I3207" s="108"/>
      <c r="J3207" s="88" t="s">
        <v>13</v>
      </c>
      <c r="K3207" s="89"/>
      <c r="L3207" s="89"/>
      <c r="M3207" s="90"/>
      <c r="N3207" s="88" t="s">
        <v>22</v>
      </c>
      <c r="O3207" s="89"/>
      <c r="P3207" s="90"/>
      <c r="Q3207" s="133">
        <v>3000</v>
      </c>
      <c r="R3207" s="134"/>
      <c r="S3207" s="5" t="s">
        <v>70</v>
      </c>
      <c r="T3207" s="6"/>
      <c r="U3207" s="8">
        <v>6</v>
      </c>
      <c r="V3207" s="5" t="s">
        <v>106</v>
      </c>
      <c r="W3207" s="12">
        <v>46648571</v>
      </c>
      <c r="X3207" s="6"/>
      <c r="Y3207" s="6"/>
    </row>
    <row r="3208" spans="1:25" ht="15" customHeight="1" x14ac:dyDescent="0.2">
      <c r="A3208" s="88" t="s">
        <v>3652</v>
      </c>
      <c r="B3208" s="90"/>
      <c r="C3208" s="88" t="s">
        <v>3833</v>
      </c>
      <c r="D3208" s="90"/>
      <c r="E3208" s="88" t="s">
        <v>3834</v>
      </c>
      <c r="F3208" s="89"/>
      <c r="G3208" s="89"/>
      <c r="H3208" s="89"/>
      <c r="I3208" s="90"/>
      <c r="J3208" s="88" t="s">
        <v>13</v>
      </c>
      <c r="K3208" s="89"/>
      <c r="L3208" s="89"/>
      <c r="M3208" s="90"/>
      <c r="N3208" s="88" t="s">
        <v>22</v>
      </c>
      <c r="O3208" s="89"/>
      <c r="P3208" s="90"/>
      <c r="Q3208" s="133">
        <v>3000</v>
      </c>
      <c r="R3208" s="134"/>
      <c r="S3208" s="5" t="s">
        <v>70</v>
      </c>
      <c r="T3208" s="6"/>
      <c r="U3208" s="8">
        <v>6</v>
      </c>
      <c r="V3208" s="5" t="s">
        <v>106</v>
      </c>
      <c r="W3208" s="12">
        <v>47409410</v>
      </c>
      <c r="X3208" s="6"/>
      <c r="Y3208" s="6"/>
    </row>
    <row r="3209" spans="1:25" ht="15" customHeight="1" x14ac:dyDescent="0.2">
      <c r="A3209" s="88" t="s">
        <v>3652</v>
      </c>
      <c r="B3209" s="90"/>
      <c r="C3209" s="88" t="s">
        <v>3835</v>
      </c>
      <c r="D3209" s="90"/>
      <c r="E3209" s="88" t="s">
        <v>3836</v>
      </c>
      <c r="F3209" s="89"/>
      <c r="G3209" s="89"/>
      <c r="H3209" s="89"/>
      <c r="I3209" s="90"/>
      <c r="J3209" s="88" t="s">
        <v>13</v>
      </c>
      <c r="K3209" s="89"/>
      <c r="L3209" s="89"/>
      <c r="M3209" s="90"/>
      <c r="N3209" s="88" t="s">
        <v>22</v>
      </c>
      <c r="O3209" s="89"/>
      <c r="P3209" s="90"/>
      <c r="Q3209" s="133">
        <v>3000</v>
      </c>
      <c r="R3209" s="134"/>
      <c r="S3209" s="5" t="s">
        <v>70</v>
      </c>
      <c r="T3209" s="6"/>
      <c r="U3209" s="8">
        <v>6</v>
      </c>
      <c r="V3209" s="5" t="s">
        <v>106</v>
      </c>
      <c r="W3209" s="12">
        <v>47988202</v>
      </c>
      <c r="X3209" s="6"/>
      <c r="Y3209" s="6"/>
    </row>
    <row r="3210" spans="1:25" ht="15" customHeight="1" x14ac:dyDescent="0.2">
      <c r="A3210" s="88" t="s">
        <v>3652</v>
      </c>
      <c r="B3210" s="90"/>
      <c r="C3210" s="88" t="s">
        <v>3837</v>
      </c>
      <c r="D3210" s="90"/>
      <c r="E3210" s="106"/>
      <c r="F3210" s="107"/>
      <c r="G3210" s="107"/>
      <c r="H3210" s="107"/>
      <c r="I3210" s="108"/>
      <c r="J3210" s="88" t="s">
        <v>13</v>
      </c>
      <c r="K3210" s="89"/>
      <c r="L3210" s="89"/>
      <c r="M3210" s="90"/>
      <c r="N3210" s="88" t="s">
        <v>22</v>
      </c>
      <c r="O3210" s="89"/>
      <c r="P3210" s="90"/>
      <c r="Q3210" s="133">
        <v>3000</v>
      </c>
      <c r="R3210" s="134"/>
      <c r="S3210" s="5" t="s">
        <v>70</v>
      </c>
      <c r="T3210" s="6"/>
      <c r="U3210" s="8">
        <v>5</v>
      </c>
      <c r="V3210" s="5" t="s">
        <v>106</v>
      </c>
      <c r="W3210" s="12">
        <v>38596700</v>
      </c>
      <c r="X3210" s="6"/>
      <c r="Y3210" s="6"/>
    </row>
    <row r="3211" spans="1:25" ht="15" customHeight="1" x14ac:dyDescent="0.2">
      <c r="A3211" s="88" t="s">
        <v>3652</v>
      </c>
      <c r="B3211" s="90"/>
      <c r="C3211" s="88" t="s">
        <v>3838</v>
      </c>
      <c r="D3211" s="90"/>
      <c r="E3211" s="106"/>
      <c r="F3211" s="107"/>
      <c r="G3211" s="107"/>
      <c r="H3211" s="107"/>
      <c r="I3211" s="108"/>
      <c r="J3211" s="88" t="s">
        <v>13</v>
      </c>
      <c r="K3211" s="89"/>
      <c r="L3211" s="89"/>
      <c r="M3211" s="90"/>
      <c r="N3211" s="88" t="s">
        <v>22</v>
      </c>
      <c r="O3211" s="89"/>
      <c r="P3211" s="90"/>
      <c r="Q3211" s="133">
        <v>3000</v>
      </c>
      <c r="R3211" s="134"/>
      <c r="S3211" s="5" t="s">
        <v>70</v>
      </c>
      <c r="T3211" s="6"/>
      <c r="U3211" s="8">
        <v>5</v>
      </c>
      <c r="V3211" s="5" t="s">
        <v>106</v>
      </c>
      <c r="W3211" s="12">
        <v>35230838</v>
      </c>
      <c r="X3211" s="6"/>
      <c r="Y3211" s="6"/>
    </row>
    <row r="3212" spans="1:25" ht="15" customHeight="1" x14ac:dyDescent="0.2">
      <c r="A3212" s="88" t="s">
        <v>3652</v>
      </c>
      <c r="B3212" s="90"/>
      <c r="C3212" s="88" t="s">
        <v>3839</v>
      </c>
      <c r="D3212" s="90"/>
      <c r="E3212" s="88" t="s">
        <v>3840</v>
      </c>
      <c r="F3212" s="89"/>
      <c r="G3212" s="89"/>
      <c r="H3212" s="89"/>
      <c r="I3212" s="90"/>
      <c r="J3212" s="88" t="s">
        <v>13</v>
      </c>
      <c r="K3212" s="89"/>
      <c r="L3212" s="89"/>
      <c r="M3212" s="90"/>
      <c r="N3212" s="88" t="s">
        <v>22</v>
      </c>
      <c r="O3212" s="89"/>
      <c r="P3212" s="90"/>
      <c r="Q3212" s="133">
        <v>3000</v>
      </c>
      <c r="R3212" s="134"/>
      <c r="S3212" s="5" t="s">
        <v>70</v>
      </c>
      <c r="T3212" s="6"/>
      <c r="U3212" s="8">
        <v>5</v>
      </c>
      <c r="V3212" s="5" t="s">
        <v>106</v>
      </c>
      <c r="W3212" s="12">
        <v>43249699</v>
      </c>
      <c r="X3212" s="6"/>
      <c r="Y3212" s="6"/>
    </row>
    <row r="3213" spans="1:25" ht="15" customHeight="1" x14ac:dyDescent="0.2">
      <c r="A3213" s="88" t="s">
        <v>3652</v>
      </c>
      <c r="B3213" s="90"/>
      <c r="C3213" s="88" t="s">
        <v>3841</v>
      </c>
      <c r="D3213" s="90"/>
      <c r="E3213" s="106"/>
      <c r="F3213" s="107"/>
      <c r="G3213" s="107"/>
      <c r="H3213" s="107"/>
      <c r="I3213" s="108"/>
      <c r="J3213" s="88" t="s">
        <v>13</v>
      </c>
      <c r="K3213" s="89"/>
      <c r="L3213" s="89"/>
      <c r="M3213" s="90"/>
      <c r="N3213" s="88" t="s">
        <v>22</v>
      </c>
      <c r="O3213" s="89"/>
      <c r="P3213" s="90"/>
      <c r="Q3213" s="133">
        <v>4000</v>
      </c>
      <c r="R3213" s="134"/>
      <c r="S3213" s="5" t="s">
        <v>70</v>
      </c>
      <c r="T3213" s="6"/>
      <c r="U3213" s="8">
        <v>5</v>
      </c>
      <c r="V3213" s="5" t="s">
        <v>23</v>
      </c>
      <c r="W3213" s="12">
        <v>52522112</v>
      </c>
      <c r="X3213" s="6"/>
      <c r="Y3213" s="6"/>
    </row>
    <row r="3214" spans="1:25" ht="15" customHeight="1" x14ac:dyDescent="0.2">
      <c r="A3214" s="88" t="s">
        <v>3652</v>
      </c>
      <c r="B3214" s="90"/>
      <c r="C3214" s="88" t="s">
        <v>3842</v>
      </c>
      <c r="D3214" s="90"/>
      <c r="E3214" s="106"/>
      <c r="F3214" s="107"/>
      <c r="G3214" s="107"/>
      <c r="H3214" s="107"/>
      <c r="I3214" s="108"/>
      <c r="J3214" s="88" t="s">
        <v>13</v>
      </c>
      <c r="K3214" s="89"/>
      <c r="L3214" s="89"/>
      <c r="M3214" s="90"/>
      <c r="N3214" s="88" t="s">
        <v>26</v>
      </c>
      <c r="O3214" s="89"/>
      <c r="P3214" s="90"/>
      <c r="Q3214" s="133">
        <v>1400</v>
      </c>
      <c r="R3214" s="134"/>
      <c r="S3214" s="5" t="s">
        <v>16</v>
      </c>
      <c r="T3214" s="6"/>
      <c r="U3214" s="8">
        <v>5</v>
      </c>
      <c r="V3214" s="5" t="s">
        <v>23</v>
      </c>
      <c r="W3214" s="12">
        <v>9709587</v>
      </c>
      <c r="X3214" s="6"/>
      <c r="Y3214" s="6"/>
    </row>
    <row r="3215" spans="1:25" ht="15" customHeight="1" x14ac:dyDescent="0.2">
      <c r="A3215" s="88" t="s">
        <v>3652</v>
      </c>
      <c r="B3215" s="90"/>
      <c r="C3215" s="88" t="s">
        <v>3843</v>
      </c>
      <c r="D3215" s="90"/>
      <c r="E3215" s="106"/>
      <c r="F3215" s="107"/>
      <c r="G3215" s="107"/>
      <c r="H3215" s="107"/>
      <c r="I3215" s="108"/>
      <c r="J3215" s="88" t="s">
        <v>13</v>
      </c>
      <c r="K3215" s="89"/>
      <c r="L3215" s="89"/>
      <c r="M3215" s="90"/>
      <c r="N3215" s="88" t="s">
        <v>26</v>
      </c>
      <c r="O3215" s="89"/>
      <c r="P3215" s="90"/>
      <c r="Q3215" s="133">
        <v>1400</v>
      </c>
      <c r="R3215" s="134"/>
      <c r="S3215" s="5" t="s">
        <v>16</v>
      </c>
      <c r="T3215" s="6"/>
      <c r="U3215" s="8">
        <v>5</v>
      </c>
      <c r="V3215" s="5" t="s">
        <v>23</v>
      </c>
      <c r="W3215" s="12">
        <v>9579888</v>
      </c>
      <c r="X3215" s="6"/>
      <c r="Y3215" s="6"/>
    </row>
    <row r="3216" spans="1:25" ht="15" customHeight="1" x14ac:dyDescent="0.2">
      <c r="A3216" s="88" t="s">
        <v>3652</v>
      </c>
      <c r="B3216" s="90"/>
      <c r="C3216" s="88" t="s">
        <v>3844</v>
      </c>
      <c r="D3216" s="90"/>
      <c r="E3216" s="88" t="s">
        <v>3845</v>
      </c>
      <c r="F3216" s="89"/>
      <c r="G3216" s="89"/>
      <c r="H3216" s="89"/>
      <c r="I3216" s="90"/>
      <c r="J3216" s="88" t="s">
        <v>13</v>
      </c>
      <c r="K3216" s="89"/>
      <c r="L3216" s="89"/>
      <c r="M3216" s="90"/>
      <c r="N3216" s="88" t="s">
        <v>22</v>
      </c>
      <c r="O3216" s="89"/>
      <c r="P3216" s="90"/>
      <c r="Q3216" s="133">
        <v>2000</v>
      </c>
      <c r="R3216" s="134"/>
      <c r="S3216" s="5" t="s">
        <v>16</v>
      </c>
      <c r="T3216" s="6"/>
      <c r="U3216" s="8">
        <v>5</v>
      </c>
      <c r="V3216" s="5" t="s">
        <v>106</v>
      </c>
      <c r="W3216" s="12">
        <v>12464918</v>
      </c>
      <c r="X3216" s="6"/>
      <c r="Y3216" s="6"/>
    </row>
    <row r="3217" spans="1:25" ht="15" customHeight="1" x14ac:dyDescent="0.2">
      <c r="A3217" s="88" t="s">
        <v>3652</v>
      </c>
      <c r="B3217" s="90"/>
      <c r="C3217" s="88" t="s">
        <v>3844</v>
      </c>
      <c r="D3217" s="90"/>
      <c r="E3217" s="88" t="s">
        <v>3845</v>
      </c>
      <c r="F3217" s="89"/>
      <c r="G3217" s="89"/>
      <c r="H3217" s="89"/>
      <c r="I3217" s="90"/>
      <c r="J3217" s="88" t="s">
        <v>13</v>
      </c>
      <c r="K3217" s="89"/>
      <c r="L3217" s="89"/>
      <c r="M3217" s="90"/>
      <c r="N3217" s="88" t="s">
        <v>26</v>
      </c>
      <c r="O3217" s="89"/>
      <c r="P3217" s="90"/>
      <c r="Q3217" s="133">
        <v>1400</v>
      </c>
      <c r="R3217" s="134"/>
      <c r="S3217" s="5" t="s">
        <v>16</v>
      </c>
      <c r="T3217" s="6"/>
      <c r="U3217" s="8">
        <v>7</v>
      </c>
      <c r="V3217" s="5" t="s">
        <v>23</v>
      </c>
      <c r="W3217" s="12">
        <v>8131078</v>
      </c>
      <c r="X3217" s="6"/>
      <c r="Y3217" s="6"/>
    </row>
    <row r="3218" spans="1:25" ht="15" customHeight="1" x14ac:dyDescent="0.2">
      <c r="A3218" s="88" t="s">
        <v>3652</v>
      </c>
      <c r="B3218" s="90"/>
      <c r="C3218" s="88" t="s">
        <v>3846</v>
      </c>
      <c r="D3218" s="90"/>
      <c r="E3218" s="106"/>
      <c r="F3218" s="107"/>
      <c r="G3218" s="107"/>
      <c r="H3218" s="107"/>
      <c r="I3218" s="108"/>
      <c r="J3218" s="88" t="s">
        <v>13</v>
      </c>
      <c r="K3218" s="89"/>
      <c r="L3218" s="89"/>
      <c r="M3218" s="90"/>
      <c r="N3218" s="88" t="s">
        <v>22</v>
      </c>
      <c r="O3218" s="89"/>
      <c r="P3218" s="90"/>
      <c r="Q3218" s="133">
        <v>2000</v>
      </c>
      <c r="R3218" s="134"/>
      <c r="S3218" s="5" t="s">
        <v>16</v>
      </c>
      <c r="T3218" s="6"/>
      <c r="U3218" s="8">
        <v>5</v>
      </c>
      <c r="V3218" s="5" t="s">
        <v>106</v>
      </c>
      <c r="W3218" s="12">
        <v>12624092</v>
      </c>
      <c r="X3218" s="6"/>
      <c r="Y3218" s="6"/>
    </row>
    <row r="3219" spans="1:25" ht="15" customHeight="1" x14ac:dyDescent="0.2">
      <c r="A3219" s="88" t="s">
        <v>3652</v>
      </c>
      <c r="B3219" s="90"/>
      <c r="C3219" s="88" t="s">
        <v>3847</v>
      </c>
      <c r="D3219" s="89"/>
      <c r="E3219" s="89"/>
      <c r="F3219" s="89"/>
      <c r="G3219" s="89"/>
      <c r="H3219" s="89"/>
      <c r="I3219" s="90"/>
      <c r="J3219" s="88" t="s">
        <v>13</v>
      </c>
      <c r="K3219" s="89"/>
      <c r="L3219" s="89"/>
      <c r="M3219" s="90"/>
      <c r="N3219" s="88" t="s">
        <v>22</v>
      </c>
      <c r="O3219" s="89"/>
      <c r="P3219" s="90"/>
      <c r="Q3219" s="133">
        <v>2000</v>
      </c>
      <c r="R3219" s="134"/>
      <c r="S3219" s="5" t="s">
        <v>16</v>
      </c>
      <c r="T3219" s="6"/>
      <c r="U3219" s="8">
        <v>7</v>
      </c>
      <c r="V3219" s="5" t="s">
        <v>106</v>
      </c>
      <c r="W3219" s="12">
        <v>11688974</v>
      </c>
      <c r="X3219" s="6"/>
      <c r="Y3219" s="6"/>
    </row>
    <row r="3220" spans="1:25" ht="15" customHeight="1" x14ac:dyDescent="0.2">
      <c r="A3220" s="88" t="s">
        <v>3652</v>
      </c>
      <c r="B3220" s="90"/>
      <c r="C3220" s="88" t="s">
        <v>3848</v>
      </c>
      <c r="D3220" s="90"/>
      <c r="E3220" s="106"/>
      <c r="F3220" s="107"/>
      <c r="G3220" s="107"/>
      <c r="H3220" s="107"/>
      <c r="I3220" s="108"/>
      <c r="J3220" s="88" t="s">
        <v>13</v>
      </c>
      <c r="K3220" s="89"/>
      <c r="L3220" s="89"/>
      <c r="M3220" s="90"/>
      <c r="N3220" s="88" t="s">
        <v>22</v>
      </c>
      <c r="O3220" s="89"/>
      <c r="P3220" s="90"/>
      <c r="Q3220" s="133">
        <v>2000</v>
      </c>
      <c r="R3220" s="134"/>
      <c r="S3220" s="5" t="s">
        <v>16</v>
      </c>
      <c r="T3220" s="6"/>
      <c r="U3220" s="8">
        <v>5</v>
      </c>
      <c r="V3220" s="5" t="s">
        <v>23</v>
      </c>
      <c r="W3220" s="12">
        <v>7724209</v>
      </c>
      <c r="X3220" s="6"/>
      <c r="Y3220" s="6"/>
    </row>
    <row r="3221" spans="1:25" ht="15" customHeight="1" x14ac:dyDescent="0.2">
      <c r="A3221" s="88" t="s">
        <v>3652</v>
      </c>
      <c r="B3221" s="90"/>
      <c r="C3221" s="88" t="s">
        <v>3848</v>
      </c>
      <c r="D3221" s="90"/>
      <c r="E3221" s="106"/>
      <c r="F3221" s="107"/>
      <c r="G3221" s="107"/>
      <c r="H3221" s="107"/>
      <c r="I3221" s="108"/>
      <c r="J3221" s="88" t="s">
        <v>13</v>
      </c>
      <c r="K3221" s="89"/>
      <c r="L3221" s="89"/>
      <c r="M3221" s="90"/>
      <c r="N3221" s="88" t="s">
        <v>22</v>
      </c>
      <c r="O3221" s="89"/>
      <c r="P3221" s="90"/>
      <c r="Q3221" s="133">
        <v>2000</v>
      </c>
      <c r="R3221" s="134"/>
      <c r="S3221" s="5" t="s">
        <v>16</v>
      </c>
      <c r="T3221" s="6"/>
      <c r="U3221" s="8">
        <v>7</v>
      </c>
      <c r="V3221" s="5" t="s">
        <v>106</v>
      </c>
      <c r="W3221" s="12">
        <v>9381165</v>
      </c>
      <c r="X3221" s="6"/>
      <c r="Y3221" s="6"/>
    </row>
    <row r="3222" spans="1:25" ht="15" customHeight="1" x14ac:dyDescent="0.2">
      <c r="A3222" s="88" t="s">
        <v>3652</v>
      </c>
      <c r="B3222" s="90"/>
      <c r="C3222" s="88" t="s">
        <v>3849</v>
      </c>
      <c r="D3222" s="90"/>
      <c r="E3222" s="106"/>
      <c r="F3222" s="107"/>
      <c r="G3222" s="107"/>
      <c r="H3222" s="107"/>
      <c r="I3222" s="108"/>
      <c r="J3222" s="88" t="s">
        <v>13</v>
      </c>
      <c r="K3222" s="89"/>
      <c r="L3222" s="89"/>
      <c r="M3222" s="90"/>
      <c r="N3222" s="88" t="s">
        <v>22</v>
      </c>
      <c r="O3222" s="89"/>
      <c r="P3222" s="90"/>
      <c r="Q3222" s="133">
        <v>1400</v>
      </c>
      <c r="R3222" s="134"/>
      <c r="S3222" s="5" t="s">
        <v>16</v>
      </c>
      <c r="T3222" s="6"/>
      <c r="U3222" s="8">
        <v>5</v>
      </c>
      <c r="V3222" s="5" t="s">
        <v>23</v>
      </c>
      <c r="W3222" s="12">
        <v>9303854</v>
      </c>
      <c r="X3222" s="6"/>
      <c r="Y3222" s="6"/>
    </row>
    <row r="3223" spans="1:25" ht="15" customHeight="1" x14ac:dyDescent="0.2">
      <c r="A3223" s="88" t="s">
        <v>3652</v>
      </c>
      <c r="B3223" s="90"/>
      <c r="C3223" s="88" t="s">
        <v>3849</v>
      </c>
      <c r="D3223" s="90"/>
      <c r="E3223" s="106"/>
      <c r="F3223" s="107"/>
      <c r="G3223" s="107"/>
      <c r="H3223" s="107"/>
      <c r="I3223" s="108"/>
      <c r="J3223" s="88" t="s">
        <v>13</v>
      </c>
      <c r="K3223" s="89"/>
      <c r="L3223" s="89"/>
      <c r="M3223" s="90"/>
      <c r="N3223" s="88" t="s">
        <v>22</v>
      </c>
      <c r="O3223" s="89"/>
      <c r="P3223" s="90"/>
      <c r="Q3223" s="133">
        <v>2000</v>
      </c>
      <c r="R3223" s="134"/>
      <c r="S3223" s="5" t="s">
        <v>16</v>
      </c>
      <c r="T3223" s="6"/>
      <c r="U3223" s="8">
        <v>7</v>
      </c>
      <c r="V3223" s="5" t="s">
        <v>23</v>
      </c>
      <c r="W3223" s="12">
        <v>7152045</v>
      </c>
      <c r="X3223" s="6"/>
      <c r="Y3223" s="6"/>
    </row>
    <row r="3224" spans="1:25" ht="15" customHeight="1" x14ac:dyDescent="0.2">
      <c r="A3224" s="88" t="s">
        <v>3652</v>
      </c>
      <c r="B3224" s="90"/>
      <c r="C3224" s="88" t="s">
        <v>3850</v>
      </c>
      <c r="D3224" s="89"/>
      <c r="E3224" s="89"/>
      <c r="F3224" s="89"/>
      <c r="G3224" s="89"/>
      <c r="H3224" s="89"/>
      <c r="I3224" s="90"/>
      <c r="J3224" s="88" t="s">
        <v>13</v>
      </c>
      <c r="K3224" s="89"/>
      <c r="L3224" s="89"/>
      <c r="M3224" s="90"/>
      <c r="N3224" s="88" t="s">
        <v>26</v>
      </c>
      <c r="O3224" s="89"/>
      <c r="P3224" s="90"/>
      <c r="Q3224" s="133">
        <v>1400</v>
      </c>
      <c r="R3224" s="134"/>
      <c r="S3224" s="5" t="s">
        <v>16</v>
      </c>
      <c r="T3224" s="6"/>
      <c r="U3224" s="8">
        <v>5</v>
      </c>
      <c r="V3224" s="5" t="s">
        <v>23</v>
      </c>
      <c r="W3224" s="12">
        <v>12040544</v>
      </c>
      <c r="X3224" s="6"/>
      <c r="Y3224" s="6"/>
    </row>
    <row r="3225" spans="1:25" ht="15" customHeight="1" x14ac:dyDescent="0.2">
      <c r="A3225" s="88" t="s">
        <v>3652</v>
      </c>
      <c r="B3225" s="90"/>
      <c r="C3225" s="88" t="s">
        <v>3850</v>
      </c>
      <c r="D3225" s="89"/>
      <c r="E3225" s="89"/>
      <c r="F3225" s="89"/>
      <c r="G3225" s="89"/>
      <c r="H3225" s="89"/>
      <c r="I3225" s="90"/>
      <c r="J3225" s="88" t="s">
        <v>13</v>
      </c>
      <c r="K3225" s="89"/>
      <c r="L3225" s="89"/>
      <c r="M3225" s="90"/>
      <c r="N3225" s="88" t="s">
        <v>22</v>
      </c>
      <c r="O3225" s="89"/>
      <c r="P3225" s="90"/>
      <c r="Q3225" s="133">
        <v>1400</v>
      </c>
      <c r="R3225" s="134"/>
      <c r="S3225" s="5" t="s">
        <v>16</v>
      </c>
      <c r="T3225" s="6"/>
      <c r="U3225" s="8">
        <v>7</v>
      </c>
      <c r="V3225" s="5" t="s">
        <v>23</v>
      </c>
      <c r="W3225" s="12">
        <v>7896790</v>
      </c>
      <c r="X3225" s="6"/>
      <c r="Y3225" s="6"/>
    </row>
    <row r="3226" spans="1:25" ht="15" customHeight="1" x14ac:dyDescent="0.2">
      <c r="A3226" s="88" t="s">
        <v>3652</v>
      </c>
      <c r="B3226" s="90"/>
      <c r="C3226" s="88" t="s">
        <v>3851</v>
      </c>
      <c r="D3226" s="90"/>
      <c r="E3226" s="106"/>
      <c r="F3226" s="107"/>
      <c r="G3226" s="107"/>
      <c r="H3226" s="107"/>
      <c r="I3226" s="108"/>
      <c r="J3226" s="88" t="s">
        <v>13</v>
      </c>
      <c r="K3226" s="89"/>
      <c r="L3226" s="89"/>
      <c r="M3226" s="90"/>
      <c r="N3226" s="88" t="s">
        <v>22</v>
      </c>
      <c r="O3226" s="89"/>
      <c r="P3226" s="90"/>
      <c r="Q3226" s="133">
        <v>1400</v>
      </c>
      <c r="R3226" s="134"/>
      <c r="S3226" s="5" t="s">
        <v>16</v>
      </c>
      <c r="T3226" s="6"/>
      <c r="U3226" s="8">
        <v>5</v>
      </c>
      <c r="V3226" s="5" t="s">
        <v>23</v>
      </c>
      <c r="W3226" s="12">
        <v>13601477</v>
      </c>
      <c r="X3226" s="6"/>
      <c r="Y3226" s="6"/>
    </row>
    <row r="3227" spans="1:25" ht="15" customHeight="1" x14ac:dyDescent="0.2">
      <c r="A3227" s="88" t="s">
        <v>3652</v>
      </c>
      <c r="B3227" s="90"/>
      <c r="C3227" s="88" t="s">
        <v>3851</v>
      </c>
      <c r="D3227" s="90"/>
      <c r="E3227" s="106"/>
      <c r="F3227" s="107"/>
      <c r="G3227" s="107"/>
      <c r="H3227" s="107"/>
      <c r="I3227" s="108"/>
      <c r="J3227" s="88" t="s">
        <v>13</v>
      </c>
      <c r="K3227" s="89"/>
      <c r="L3227" s="89"/>
      <c r="M3227" s="90"/>
      <c r="N3227" s="88" t="s">
        <v>26</v>
      </c>
      <c r="O3227" s="89"/>
      <c r="P3227" s="90"/>
      <c r="Q3227" s="133">
        <v>1400</v>
      </c>
      <c r="R3227" s="134"/>
      <c r="S3227" s="5" t="s">
        <v>16</v>
      </c>
      <c r="T3227" s="6"/>
      <c r="U3227" s="8">
        <v>7</v>
      </c>
      <c r="V3227" s="5" t="s">
        <v>23</v>
      </c>
      <c r="W3227" s="12">
        <v>10219598</v>
      </c>
      <c r="X3227" s="6"/>
      <c r="Y3227" s="6"/>
    </row>
    <row r="3228" spans="1:25" ht="15" customHeight="1" x14ac:dyDescent="0.2">
      <c r="A3228" s="88" t="s">
        <v>3652</v>
      </c>
      <c r="B3228" s="90"/>
      <c r="C3228" s="88" t="s">
        <v>3852</v>
      </c>
      <c r="D3228" s="90"/>
      <c r="E3228" s="106"/>
      <c r="F3228" s="107"/>
      <c r="G3228" s="107"/>
      <c r="H3228" s="107"/>
      <c r="I3228" s="108"/>
      <c r="J3228" s="88" t="s">
        <v>13</v>
      </c>
      <c r="K3228" s="89"/>
      <c r="L3228" s="89"/>
      <c r="M3228" s="90"/>
      <c r="N3228" s="88" t="s">
        <v>26</v>
      </c>
      <c r="O3228" s="89"/>
      <c r="P3228" s="90"/>
      <c r="Q3228" s="133">
        <v>1400</v>
      </c>
      <c r="R3228" s="134"/>
      <c r="S3228" s="5" t="s">
        <v>16</v>
      </c>
      <c r="T3228" s="6"/>
      <c r="U3228" s="8">
        <v>5</v>
      </c>
      <c r="V3228" s="5" t="s">
        <v>23</v>
      </c>
      <c r="W3228" s="12">
        <v>11948583</v>
      </c>
      <c r="X3228" s="6"/>
      <c r="Y3228" s="6"/>
    </row>
    <row r="3229" spans="1:25" ht="15" customHeight="1" x14ac:dyDescent="0.2">
      <c r="A3229" s="88" t="s">
        <v>3652</v>
      </c>
      <c r="B3229" s="90"/>
      <c r="C3229" s="88" t="s">
        <v>3852</v>
      </c>
      <c r="D3229" s="90"/>
      <c r="E3229" s="106"/>
      <c r="F3229" s="107"/>
      <c r="G3229" s="107"/>
      <c r="H3229" s="107"/>
      <c r="I3229" s="108"/>
      <c r="J3229" s="88" t="s">
        <v>13</v>
      </c>
      <c r="K3229" s="89"/>
      <c r="L3229" s="89"/>
      <c r="M3229" s="90"/>
      <c r="N3229" s="88" t="s">
        <v>22</v>
      </c>
      <c r="O3229" s="89"/>
      <c r="P3229" s="90"/>
      <c r="Q3229" s="133">
        <v>1400</v>
      </c>
      <c r="R3229" s="134"/>
      <c r="S3229" s="5" t="s">
        <v>16</v>
      </c>
      <c r="T3229" s="6"/>
      <c r="U3229" s="8">
        <v>7</v>
      </c>
      <c r="V3229" s="5" t="s">
        <v>23</v>
      </c>
      <c r="W3229" s="12">
        <v>11544463</v>
      </c>
      <c r="X3229" s="6"/>
      <c r="Y3229" s="6"/>
    </row>
    <row r="3230" spans="1:25" ht="15" customHeight="1" x14ac:dyDescent="0.2">
      <c r="A3230" s="88" t="s">
        <v>3652</v>
      </c>
      <c r="B3230" s="90"/>
      <c r="C3230" s="88" t="s">
        <v>3853</v>
      </c>
      <c r="D3230" s="90"/>
      <c r="E3230" s="88" t="s">
        <v>3854</v>
      </c>
      <c r="F3230" s="89"/>
      <c r="G3230" s="89"/>
      <c r="H3230" s="89"/>
      <c r="I3230" s="90"/>
      <c r="J3230" s="88" t="s">
        <v>13</v>
      </c>
      <c r="K3230" s="89"/>
      <c r="L3230" s="89"/>
      <c r="M3230" s="90"/>
      <c r="N3230" s="88" t="s">
        <v>26</v>
      </c>
      <c r="O3230" s="89"/>
      <c r="P3230" s="90"/>
      <c r="Q3230" s="133">
        <v>2000</v>
      </c>
      <c r="R3230" s="134"/>
      <c r="S3230" s="5" t="s">
        <v>16</v>
      </c>
      <c r="T3230" s="6"/>
      <c r="U3230" s="8">
        <v>5</v>
      </c>
      <c r="V3230" s="5" t="s">
        <v>106</v>
      </c>
      <c r="W3230" s="12">
        <v>9716752</v>
      </c>
      <c r="X3230" s="6"/>
      <c r="Y3230" s="6"/>
    </row>
    <row r="3231" spans="1:25" ht="15" customHeight="1" x14ac:dyDescent="0.2">
      <c r="A3231" s="88" t="s">
        <v>3652</v>
      </c>
      <c r="B3231" s="90"/>
      <c r="C3231" s="88" t="s">
        <v>3853</v>
      </c>
      <c r="D3231" s="90"/>
      <c r="E3231" s="88" t="s">
        <v>3854</v>
      </c>
      <c r="F3231" s="89"/>
      <c r="G3231" s="89"/>
      <c r="H3231" s="89"/>
      <c r="I3231" s="90"/>
      <c r="J3231" s="88" t="s">
        <v>13</v>
      </c>
      <c r="K3231" s="89"/>
      <c r="L3231" s="89"/>
      <c r="M3231" s="90"/>
      <c r="N3231" s="88" t="s">
        <v>26</v>
      </c>
      <c r="O3231" s="89"/>
      <c r="P3231" s="90"/>
      <c r="Q3231" s="133">
        <v>1400</v>
      </c>
      <c r="R3231" s="134"/>
      <c r="S3231" s="5" t="s">
        <v>16</v>
      </c>
      <c r="T3231" s="6"/>
      <c r="U3231" s="8">
        <v>7</v>
      </c>
      <c r="V3231" s="5" t="s">
        <v>23</v>
      </c>
      <c r="W3231" s="12">
        <v>10141544</v>
      </c>
      <c r="X3231" s="6"/>
      <c r="Y3231" s="6"/>
    </row>
    <row r="3232" spans="1:25" ht="15" customHeight="1" x14ac:dyDescent="0.2">
      <c r="A3232" s="88" t="s">
        <v>3652</v>
      </c>
      <c r="B3232" s="90"/>
      <c r="C3232" s="88" t="s">
        <v>3855</v>
      </c>
      <c r="D3232" s="90"/>
      <c r="E3232" s="106"/>
      <c r="F3232" s="107"/>
      <c r="G3232" s="107"/>
      <c r="H3232" s="107"/>
      <c r="I3232" s="108"/>
      <c r="J3232" s="88" t="s">
        <v>13</v>
      </c>
      <c r="K3232" s="89"/>
      <c r="L3232" s="89"/>
      <c r="M3232" s="90"/>
      <c r="N3232" s="88" t="s">
        <v>22</v>
      </c>
      <c r="O3232" s="89"/>
      <c r="P3232" s="90"/>
      <c r="Q3232" s="133">
        <v>2000</v>
      </c>
      <c r="R3232" s="134"/>
      <c r="S3232" s="5" t="s">
        <v>16</v>
      </c>
      <c r="T3232" s="6"/>
      <c r="U3232" s="8">
        <v>5</v>
      </c>
      <c r="V3232" s="5" t="s">
        <v>106</v>
      </c>
      <c r="W3232" s="12">
        <v>13319402</v>
      </c>
      <c r="X3232" s="6"/>
      <c r="Y3232" s="6"/>
    </row>
    <row r="3233" spans="1:25" ht="15" customHeight="1" x14ac:dyDescent="0.2">
      <c r="A3233" s="88" t="s">
        <v>3652</v>
      </c>
      <c r="B3233" s="90"/>
      <c r="C3233" s="88" t="s">
        <v>3855</v>
      </c>
      <c r="D3233" s="90"/>
      <c r="E3233" s="106"/>
      <c r="F3233" s="107"/>
      <c r="G3233" s="107"/>
      <c r="H3233" s="107"/>
      <c r="I3233" s="108"/>
      <c r="J3233" s="88" t="s">
        <v>13</v>
      </c>
      <c r="K3233" s="89"/>
      <c r="L3233" s="89"/>
      <c r="M3233" s="90"/>
      <c r="N3233" s="88" t="s">
        <v>26</v>
      </c>
      <c r="O3233" s="89"/>
      <c r="P3233" s="90"/>
      <c r="Q3233" s="133">
        <v>2000</v>
      </c>
      <c r="R3233" s="134"/>
      <c r="S3233" s="5" t="s">
        <v>16</v>
      </c>
      <c r="T3233" s="6"/>
      <c r="U3233" s="8">
        <v>7</v>
      </c>
      <c r="V3233" s="5" t="s">
        <v>106</v>
      </c>
      <c r="W3233" s="12">
        <v>8996993</v>
      </c>
      <c r="X3233" s="6"/>
      <c r="Y3233" s="6"/>
    </row>
    <row r="3234" spans="1:25" ht="15" customHeight="1" x14ac:dyDescent="0.2">
      <c r="A3234" s="88" t="s">
        <v>3652</v>
      </c>
      <c r="B3234" s="90"/>
      <c r="C3234" s="88" t="s">
        <v>3856</v>
      </c>
      <c r="D3234" s="89"/>
      <c r="E3234" s="89"/>
      <c r="F3234" s="89"/>
      <c r="G3234" s="89"/>
      <c r="H3234" s="89"/>
      <c r="I3234" s="90"/>
      <c r="J3234" s="88" t="s">
        <v>13</v>
      </c>
      <c r="K3234" s="89"/>
      <c r="L3234" s="89"/>
      <c r="M3234" s="90"/>
      <c r="N3234" s="88" t="s">
        <v>22</v>
      </c>
      <c r="O3234" s="89"/>
      <c r="P3234" s="90"/>
      <c r="Q3234" s="133">
        <v>2000</v>
      </c>
      <c r="R3234" s="134"/>
      <c r="S3234" s="5" t="s">
        <v>16</v>
      </c>
      <c r="T3234" s="6"/>
      <c r="U3234" s="8">
        <v>7</v>
      </c>
      <c r="V3234" s="5" t="s">
        <v>106</v>
      </c>
      <c r="W3234" s="12">
        <v>12332779</v>
      </c>
      <c r="X3234" s="6"/>
      <c r="Y3234" s="6"/>
    </row>
    <row r="3235" spans="1:25" ht="15" customHeight="1" x14ac:dyDescent="0.2">
      <c r="A3235" s="88" t="s">
        <v>3652</v>
      </c>
      <c r="B3235" s="90"/>
      <c r="C3235" s="88" t="s">
        <v>3857</v>
      </c>
      <c r="D3235" s="90"/>
      <c r="E3235" s="106"/>
      <c r="F3235" s="107"/>
      <c r="G3235" s="107"/>
      <c r="H3235" s="107"/>
      <c r="I3235" s="108"/>
      <c r="J3235" s="88" t="s">
        <v>13</v>
      </c>
      <c r="K3235" s="89"/>
      <c r="L3235" s="89"/>
      <c r="M3235" s="90"/>
      <c r="N3235" s="88" t="s">
        <v>22</v>
      </c>
      <c r="O3235" s="89"/>
      <c r="P3235" s="90"/>
      <c r="Q3235" s="133">
        <v>2000</v>
      </c>
      <c r="R3235" s="134"/>
      <c r="S3235" s="5" t="s">
        <v>16</v>
      </c>
      <c r="T3235" s="6"/>
      <c r="U3235" s="8">
        <v>7</v>
      </c>
      <c r="V3235" s="5" t="s">
        <v>106</v>
      </c>
      <c r="W3235" s="12">
        <v>14253883</v>
      </c>
      <c r="X3235" s="6"/>
      <c r="Y3235" s="6"/>
    </row>
    <row r="3236" spans="1:25" ht="15" customHeight="1" x14ac:dyDescent="0.2">
      <c r="A3236" s="88" t="s">
        <v>3652</v>
      </c>
      <c r="B3236" s="90"/>
      <c r="C3236" s="88" t="s">
        <v>3858</v>
      </c>
      <c r="D3236" s="90"/>
      <c r="E3236" s="106"/>
      <c r="F3236" s="107"/>
      <c r="G3236" s="107"/>
      <c r="H3236" s="107"/>
      <c r="I3236" s="108"/>
      <c r="J3236" s="88" t="s">
        <v>13</v>
      </c>
      <c r="K3236" s="89"/>
      <c r="L3236" s="89"/>
      <c r="M3236" s="90"/>
      <c r="N3236" s="88" t="s">
        <v>22</v>
      </c>
      <c r="O3236" s="89"/>
      <c r="P3236" s="90"/>
      <c r="Q3236" s="133">
        <v>2000</v>
      </c>
      <c r="R3236" s="134"/>
      <c r="S3236" s="5" t="s">
        <v>16</v>
      </c>
      <c r="T3236" s="6"/>
      <c r="U3236" s="8">
        <v>7</v>
      </c>
      <c r="V3236" s="5" t="s">
        <v>106</v>
      </c>
      <c r="W3236" s="12">
        <v>13329235</v>
      </c>
      <c r="X3236" s="6"/>
      <c r="Y3236" s="6"/>
    </row>
    <row r="3237" spans="1:25" ht="15" customHeight="1" x14ac:dyDescent="0.2">
      <c r="A3237" s="88" t="s">
        <v>3652</v>
      </c>
      <c r="B3237" s="90"/>
      <c r="C3237" s="88" t="s">
        <v>3859</v>
      </c>
      <c r="D3237" s="90"/>
      <c r="E3237" s="88" t="s">
        <v>3860</v>
      </c>
      <c r="F3237" s="89"/>
      <c r="G3237" s="89"/>
      <c r="H3237" s="89"/>
      <c r="I3237" s="90"/>
      <c r="J3237" s="88" t="s">
        <v>13</v>
      </c>
      <c r="K3237" s="89"/>
      <c r="L3237" s="89"/>
      <c r="M3237" s="90"/>
      <c r="N3237" s="88" t="s">
        <v>26</v>
      </c>
      <c r="O3237" s="89"/>
      <c r="P3237" s="90"/>
      <c r="Q3237" s="133">
        <v>2000</v>
      </c>
      <c r="R3237" s="134"/>
      <c r="S3237" s="5" t="s">
        <v>16</v>
      </c>
      <c r="T3237" s="6"/>
      <c r="U3237" s="8">
        <v>5</v>
      </c>
      <c r="V3237" s="5" t="s">
        <v>106</v>
      </c>
      <c r="W3237" s="12">
        <v>15588904</v>
      </c>
      <c r="X3237" s="6"/>
      <c r="Y3237" s="6"/>
    </row>
    <row r="3238" spans="1:25" ht="15" customHeight="1" x14ac:dyDescent="0.2">
      <c r="A3238" s="88" t="s">
        <v>3652</v>
      </c>
      <c r="B3238" s="90"/>
      <c r="C3238" s="88" t="s">
        <v>3859</v>
      </c>
      <c r="D3238" s="90"/>
      <c r="E3238" s="88" t="s">
        <v>3860</v>
      </c>
      <c r="F3238" s="89"/>
      <c r="G3238" s="89"/>
      <c r="H3238" s="89"/>
      <c r="I3238" s="90"/>
      <c r="J3238" s="88" t="s">
        <v>13</v>
      </c>
      <c r="K3238" s="89"/>
      <c r="L3238" s="89"/>
      <c r="M3238" s="90"/>
      <c r="N3238" s="88" t="s">
        <v>22</v>
      </c>
      <c r="O3238" s="89"/>
      <c r="P3238" s="90"/>
      <c r="Q3238" s="133">
        <v>2000</v>
      </c>
      <c r="R3238" s="134"/>
      <c r="S3238" s="5" t="s">
        <v>16</v>
      </c>
      <c r="T3238" s="6"/>
      <c r="U3238" s="8">
        <v>7</v>
      </c>
      <c r="V3238" s="5" t="s">
        <v>106</v>
      </c>
      <c r="W3238" s="12">
        <v>10284000</v>
      </c>
      <c r="X3238" s="6"/>
      <c r="Y3238" s="6"/>
    </row>
    <row r="3239" spans="1:25" ht="15" customHeight="1" x14ac:dyDescent="0.2">
      <c r="A3239" s="88" t="s">
        <v>3652</v>
      </c>
      <c r="B3239" s="90"/>
      <c r="C3239" s="88" t="s">
        <v>3861</v>
      </c>
      <c r="D3239" s="90"/>
      <c r="E3239" s="88" t="s">
        <v>3860</v>
      </c>
      <c r="F3239" s="89"/>
      <c r="G3239" s="89"/>
      <c r="H3239" s="89"/>
      <c r="I3239" s="90"/>
      <c r="J3239" s="88" t="s">
        <v>13</v>
      </c>
      <c r="K3239" s="89"/>
      <c r="L3239" s="89"/>
      <c r="M3239" s="90"/>
      <c r="N3239" s="88" t="s">
        <v>22</v>
      </c>
      <c r="O3239" s="89"/>
      <c r="P3239" s="90"/>
      <c r="Q3239" s="133">
        <v>2000</v>
      </c>
      <c r="R3239" s="134"/>
      <c r="S3239" s="5" t="s">
        <v>16</v>
      </c>
      <c r="T3239" s="6"/>
      <c r="U3239" s="8">
        <v>5</v>
      </c>
      <c r="V3239" s="5" t="s">
        <v>106</v>
      </c>
      <c r="W3239" s="12">
        <v>15092214</v>
      </c>
      <c r="X3239" s="6"/>
      <c r="Y3239" s="6"/>
    </row>
    <row r="3240" spans="1:25" ht="15" customHeight="1" x14ac:dyDescent="0.2">
      <c r="A3240" s="88" t="s">
        <v>3652</v>
      </c>
      <c r="B3240" s="90"/>
      <c r="C3240" s="88" t="s">
        <v>3861</v>
      </c>
      <c r="D3240" s="90"/>
      <c r="E3240" s="88" t="s">
        <v>3860</v>
      </c>
      <c r="F3240" s="89"/>
      <c r="G3240" s="89"/>
      <c r="H3240" s="89"/>
      <c r="I3240" s="90"/>
      <c r="J3240" s="88" t="s">
        <v>13</v>
      </c>
      <c r="K3240" s="89"/>
      <c r="L3240" s="89"/>
      <c r="M3240" s="90"/>
      <c r="N3240" s="88" t="s">
        <v>26</v>
      </c>
      <c r="O3240" s="89"/>
      <c r="P3240" s="90"/>
      <c r="Q3240" s="133">
        <v>2000</v>
      </c>
      <c r="R3240" s="134"/>
      <c r="S3240" s="5" t="s">
        <v>16</v>
      </c>
      <c r="T3240" s="6"/>
      <c r="U3240" s="8">
        <v>7</v>
      </c>
      <c r="V3240" s="5" t="s">
        <v>106</v>
      </c>
      <c r="W3240" s="12">
        <v>14434171</v>
      </c>
      <c r="X3240" s="6"/>
      <c r="Y3240" s="6"/>
    </row>
    <row r="3241" spans="1:25" ht="15" customHeight="1" x14ac:dyDescent="0.2">
      <c r="A3241" s="88" t="s">
        <v>3652</v>
      </c>
      <c r="B3241" s="90"/>
      <c r="C3241" s="88" t="s">
        <v>3862</v>
      </c>
      <c r="D3241" s="90"/>
      <c r="E3241" s="106"/>
      <c r="F3241" s="107"/>
      <c r="G3241" s="107"/>
      <c r="H3241" s="107"/>
      <c r="I3241" s="108"/>
      <c r="J3241" s="88" t="s">
        <v>13</v>
      </c>
      <c r="K3241" s="89"/>
      <c r="L3241" s="89"/>
      <c r="M3241" s="90"/>
      <c r="N3241" s="88" t="s">
        <v>26</v>
      </c>
      <c r="O3241" s="89"/>
      <c r="P3241" s="90"/>
      <c r="Q3241" s="133">
        <v>2000</v>
      </c>
      <c r="R3241" s="134"/>
      <c r="S3241" s="5" t="s">
        <v>16</v>
      </c>
      <c r="T3241" s="6"/>
      <c r="U3241" s="8">
        <v>5</v>
      </c>
      <c r="V3241" s="5" t="s">
        <v>106</v>
      </c>
      <c r="W3241" s="12">
        <v>18706749</v>
      </c>
      <c r="X3241" s="6"/>
      <c r="Y3241" s="6"/>
    </row>
    <row r="3242" spans="1:25" ht="15" customHeight="1" x14ac:dyDescent="0.2">
      <c r="A3242" s="88" t="s">
        <v>3652</v>
      </c>
      <c r="B3242" s="90"/>
      <c r="C3242" s="88" t="s">
        <v>3862</v>
      </c>
      <c r="D3242" s="90"/>
      <c r="E3242" s="106"/>
      <c r="F3242" s="107"/>
      <c r="G3242" s="107"/>
      <c r="H3242" s="107"/>
      <c r="I3242" s="108"/>
      <c r="J3242" s="88" t="s">
        <v>13</v>
      </c>
      <c r="K3242" s="89"/>
      <c r="L3242" s="89"/>
      <c r="M3242" s="90"/>
      <c r="N3242" s="88" t="s">
        <v>22</v>
      </c>
      <c r="O3242" s="89"/>
      <c r="P3242" s="90"/>
      <c r="Q3242" s="133">
        <v>2000</v>
      </c>
      <c r="R3242" s="134"/>
      <c r="S3242" s="5" t="s">
        <v>16</v>
      </c>
      <c r="T3242" s="6"/>
      <c r="U3242" s="8">
        <v>7</v>
      </c>
      <c r="V3242" s="5" t="s">
        <v>106</v>
      </c>
      <c r="W3242" s="12">
        <v>13974272</v>
      </c>
      <c r="X3242" s="6"/>
      <c r="Y3242" s="6"/>
    </row>
    <row r="3243" spans="1:25" ht="15" customHeight="1" x14ac:dyDescent="0.2">
      <c r="A3243" s="88" t="s">
        <v>3652</v>
      </c>
      <c r="B3243" s="90"/>
      <c r="C3243" s="88" t="s">
        <v>3863</v>
      </c>
      <c r="D3243" s="90"/>
      <c r="E3243" s="106"/>
      <c r="F3243" s="107"/>
      <c r="G3243" s="107"/>
      <c r="H3243" s="107"/>
      <c r="I3243" s="108"/>
      <c r="J3243" s="88" t="s">
        <v>13</v>
      </c>
      <c r="K3243" s="89"/>
      <c r="L3243" s="89"/>
      <c r="M3243" s="90"/>
      <c r="N3243" s="88" t="s">
        <v>22</v>
      </c>
      <c r="O3243" s="89"/>
      <c r="P3243" s="90"/>
      <c r="Q3243" s="133">
        <v>2000</v>
      </c>
      <c r="R3243" s="134"/>
      <c r="S3243" s="5" t="s">
        <v>16</v>
      </c>
      <c r="T3243" s="6"/>
      <c r="U3243" s="8">
        <v>5</v>
      </c>
      <c r="V3243" s="5" t="s">
        <v>23</v>
      </c>
      <c r="W3243" s="12">
        <v>14519894</v>
      </c>
      <c r="X3243" s="6"/>
      <c r="Y3243" s="6"/>
    </row>
    <row r="3244" spans="1:25" ht="15" customHeight="1" x14ac:dyDescent="0.2">
      <c r="A3244" s="88" t="s">
        <v>3652</v>
      </c>
      <c r="B3244" s="90"/>
      <c r="C3244" s="88" t="s">
        <v>3863</v>
      </c>
      <c r="D3244" s="90"/>
      <c r="E3244" s="106"/>
      <c r="F3244" s="107"/>
      <c r="G3244" s="107"/>
      <c r="H3244" s="107"/>
      <c r="I3244" s="108"/>
      <c r="J3244" s="88" t="s">
        <v>13</v>
      </c>
      <c r="K3244" s="89"/>
      <c r="L3244" s="89"/>
      <c r="M3244" s="90"/>
      <c r="N3244" s="88" t="s">
        <v>26</v>
      </c>
      <c r="O3244" s="89"/>
      <c r="P3244" s="90"/>
      <c r="Q3244" s="133">
        <v>2000</v>
      </c>
      <c r="R3244" s="134"/>
      <c r="S3244" s="5" t="s">
        <v>16</v>
      </c>
      <c r="T3244" s="6"/>
      <c r="U3244" s="8">
        <v>7</v>
      </c>
      <c r="V3244" s="5" t="s">
        <v>106</v>
      </c>
      <c r="W3244" s="12">
        <v>17321063</v>
      </c>
      <c r="X3244" s="6"/>
      <c r="Y3244" s="6"/>
    </row>
    <row r="3245" spans="1:25" ht="15" customHeight="1" x14ac:dyDescent="0.2">
      <c r="A3245" s="88" t="s">
        <v>3652</v>
      </c>
      <c r="B3245" s="90"/>
      <c r="C3245" s="88" t="s">
        <v>3864</v>
      </c>
      <c r="D3245" s="90"/>
      <c r="E3245" s="106"/>
      <c r="F3245" s="107"/>
      <c r="G3245" s="107"/>
      <c r="H3245" s="107"/>
      <c r="I3245" s="108"/>
      <c r="J3245" s="88" t="s">
        <v>13</v>
      </c>
      <c r="K3245" s="89"/>
      <c r="L3245" s="89"/>
      <c r="M3245" s="90"/>
      <c r="N3245" s="88" t="s">
        <v>22</v>
      </c>
      <c r="O3245" s="89"/>
      <c r="P3245" s="90"/>
      <c r="Q3245" s="133">
        <v>2000</v>
      </c>
      <c r="R3245" s="134"/>
      <c r="S3245" s="5" t="s">
        <v>16</v>
      </c>
      <c r="T3245" s="6"/>
      <c r="U3245" s="8">
        <v>5</v>
      </c>
      <c r="V3245" s="5" t="s">
        <v>23</v>
      </c>
      <c r="W3245" s="12">
        <v>12027070</v>
      </c>
      <c r="X3245" s="6"/>
      <c r="Y3245" s="6"/>
    </row>
    <row r="3246" spans="1:25" ht="15" customHeight="1" x14ac:dyDescent="0.2">
      <c r="A3246" s="88" t="s">
        <v>3652</v>
      </c>
      <c r="B3246" s="90"/>
      <c r="C3246" s="88" t="s">
        <v>3865</v>
      </c>
      <c r="D3246" s="90"/>
      <c r="E3246" s="106"/>
      <c r="F3246" s="107"/>
      <c r="G3246" s="107"/>
      <c r="H3246" s="107"/>
      <c r="I3246" s="108"/>
      <c r="J3246" s="88" t="s">
        <v>13</v>
      </c>
      <c r="K3246" s="89"/>
      <c r="L3246" s="89"/>
      <c r="M3246" s="90"/>
      <c r="N3246" s="88" t="s">
        <v>22</v>
      </c>
      <c r="O3246" s="89"/>
      <c r="P3246" s="90"/>
      <c r="Q3246" s="133">
        <v>2000</v>
      </c>
      <c r="R3246" s="134"/>
      <c r="S3246" s="5" t="s">
        <v>16</v>
      </c>
      <c r="T3246" s="6"/>
      <c r="U3246" s="8">
        <v>7</v>
      </c>
      <c r="V3246" s="5" t="s">
        <v>23</v>
      </c>
      <c r="W3246" s="12">
        <v>11136176</v>
      </c>
      <c r="X3246" s="6"/>
      <c r="Y3246" s="6"/>
    </row>
    <row r="3247" spans="1:25" ht="15" customHeight="1" x14ac:dyDescent="0.2">
      <c r="A3247" s="88" t="s">
        <v>3652</v>
      </c>
      <c r="B3247" s="90"/>
      <c r="C3247" s="88" t="s">
        <v>3866</v>
      </c>
      <c r="D3247" s="90"/>
      <c r="E3247" s="88" t="s">
        <v>3867</v>
      </c>
      <c r="F3247" s="89"/>
      <c r="G3247" s="89"/>
      <c r="H3247" s="89"/>
      <c r="I3247" s="90"/>
      <c r="J3247" s="88" t="s">
        <v>13</v>
      </c>
      <c r="K3247" s="89"/>
      <c r="L3247" s="89"/>
      <c r="M3247" s="90"/>
      <c r="N3247" s="88" t="s">
        <v>22</v>
      </c>
      <c r="O3247" s="89"/>
      <c r="P3247" s="90"/>
      <c r="Q3247" s="133">
        <v>2000</v>
      </c>
      <c r="R3247" s="134"/>
      <c r="S3247" s="5" t="s">
        <v>271</v>
      </c>
      <c r="T3247" s="6"/>
      <c r="U3247" s="8">
        <v>2</v>
      </c>
      <c r="V3247" s="5" t="s">
        <v>176</v>
      </c>
      <c r="W3247" s="12">
        <v>18303747</v>
      </c>
      <c r="X3247" s="6"/>
      <c r="Y3247" s="6"/>
    </row>
    <row r="3248" spans="1:25" ht="15" customHeight="1" x14ac:dyDescent="0.2">
      <c r="A3248" s="88" t="s">
        <v>3652</v>
      </c>
      <c r="B3248" s="90"/>
      <c r="C3248" s="88" t="s">
        <v>3866</v>
      </c>
      <c r="D3248" s="90"/>
      <c r="E3248" s="88" t="s">
        <v>3867</v>
      </c>
      <c r="F3248" s="89"/>
      <c r="G3248" s="89"/>
      <c r="H3248" s="89"/>
      <c r="I3248" s="90"/>
      <c r="J3248" s="88" t="s">
        <v>13</v>
      </c>
      <c r="K3248" s="89"/>
      <c r="L3248" s="89"/>
      <c r="M3248" s="90"/>
      <c r="N3248" s="88" t="s">
        <v>22</v>
      </c>
      <c r="O3248" s="89"/>
      <c r="P3248" s="90"/>
      <c r="Q3248" s="133">
        <v>2000</v>
      </c>
      <c r="R3248" s="134"/>
      <c r="S3248" s="5" t="s">
        <v>16</v>
      </c>
      <c r="T3248" s="6"/>
      <c r="U3248" s="8">
        <v>7</v>
      </c>
      <c r="V3248" s="5" t="s">
        <v>106</v>
      </c>
      <c r="W3248" s="12">
        <v>10662368</v>
      </c>
      <c r="X3248" s="6"/>
      <c r="Y3248" s="6"/>
    </row>
    <row r="3249" spans="1:25" ht="15" customHeight="1" x14ac:dyDescent="0.2">
      <c r="A3249" s="88" t="s">
        <v>3652</v>
      </c>
      <c r="B3249" s="90"/>
      <c r="C3249" s="88" t="s">
        <v>3868</v>
      </c>
      <c r="D3249" s="90"/>
      <c r="E3249" s="106"/>
      <c r="F3249" s="107"/>
      <c r="G3249" s="107"/>
      <c r="H3249" s="107"/>
      <c r="I3249" s="108"/>
      <c r="J3249" s="88" t="s">
        <v>13</v>
      </c>
      <c r="K3249" s="89"/>
      <c r="L3249" s="89"/>
      <c r="M3249" s="90"/>
      <c r="N3249" s="88" t="s">
        <v>22</v>
      </c>
      <c r="O3249" s="89"/>
      <c r="P3249" s="90"/>
      <c r="Q3249" s="133">
        <v>2000</v>
      </c>
      <c r="R3249" s="134"/>
      <c r="S3249" s="5" t="s">
        <v>271</v>
      </c>
      <c r="T3249" s="6"/>
      <c r="U3249" s="8">
        <v>4</v>
      </c>
      <c r="V3249" s="5" t="s">
        <v>176</v>
      </c>
      <c r="W3249" s="12">
        <v>16947914</v>
      </c>
      <c r="X3249" s="6"/>
      <c r="Y3249" s="6"/>
    </row>
    <row r="3250" spans="1:25" ht="15" customHeight="1" x14ac:dyDescent="0.2">
      <c r="A3250" s="88" t="s">
        <v>3652</v>
      </c>
      <c r="B3250" s="90"/>
      <c r="C3250" s="88" t="s">
        <v>3869</v>
      </c>
      <c r="D3250" s="89"/>
      <c r="E3250" s="89"/>
      <c r="F3250" s="89"/>
      <c r="G3250" s="89"/>
      <c r="H3250" s="89"/>
      <c r="I3250" s="90"/>
      <c r="J3250" s="88" t="s">
        <v>13</v>
      </c>
      <c r="K3250" s="89"/>
      <c r="L3250" s="89"/>
      <c r="M3250" s="90"/>
      <c r="N3250" s="88" t="s">
        <v>22</v>
      </c>
      <c r="O3250" s="89"/>
      <c r="P3250" s="90"/>
      <c r="Q3250" s="133">
        <v>2000</v>
      </c>
      <c r="R3250" s="134"/>
      <c r="S3250" s="5" t="s">
        <v>271</v>
      </c>
      <c r="T3250" s="6"/>
      <c r="U3250" s="8">
        <v>2</v>
      </c>
      <c r="V3250" s="5" t="s">
        <v>96</v>
      </c>
      <c r="W3250" s="12">
        <v>18175514</v>
      </c>
      <c r="X3250" s="6"/>
      <c r="Y3250" s="6"/>
    </row>
    <row r="3251" spans="1:25" ht="15" customHeight="1" x14ac:dyDescent="0.2">
      <c r="A3251" s="88" t="s">
        <v>3652</v>
      </c>
      <c r="B3251" s="90"/>
      <c r="C3251" s="88" t="s">
        <v>3869</v>
      </c>
      <c r="D3251" s="89"/>
      <c r="E3251" s="89"/>
      <c r="F3251" s="89"/>
      <c r="G3251" s="89"/>
      <c r="H3251" s="89"/>
      <c r="I3251" s="90"/>
      <c r="J3251" s="88" t="s">
        <v>13</v>
      </c>
      <c r="K3251" s="89"/>
      <c r="L3251" s="89"/>
      <c r="M3251" s="90"/>
      <c r="N3251" s="88" t="s">
        <v>22</v>
      </c>
      <c r="O3251" s="89"/>
      <c r="P3251" s="90"/>
      <c r="Q3251" s="133">
        <v>2000</v>
      </c>
      <c r="R3251" s="134"/>
      <c r="S3251" s="5" t="s">
        <v>271</v>
      </c>
      <c r="T3251" s="6"/>
      <c r="U3251" s="8">
        <v>4</v>
      </c>
      <c r="V3251" s="5" t="s">
        <v>106</v>
      </c>
      <c r="W3251" s="12">
        <v>14341030</v>
      </c>
      <c r="X3251" s="6"/>
      <c r="Y3251" s="6"/>
    </row>
    <row r="3252" spans="1:25" ht="15" customHeight="1" x14ac:dyDescent="0.2">
      <c r="A3252" s="88" t="s">
        <v>3652</v>
      </c>
      <c r="B3252" s="90"/>
      <c r="C3252" s="88" t="s">
        <v>3870</v>
      </c>
      <c r="D3252" s="90"/>
      <c r="E3252" s="88" t="s">
        <v>3871</v>
      </c>
      <c r="F3252" s="89"/>
      <c r="G3252" s="89"/>
      <c r="H3252" s="89"/>
      <c r="I3252" s="90"/>
      <c r="J3252" s="88" t="s">
        <v>13</v>
      </c>
      <c r="K3252" s="89"/>
      <c r="L3252" s="89"/>
      <c r="M3252" s="90"/>
      <c r="N3252" s="88" t="s">
        <v>22</v>
      </c>
      <c r="O3252" s="89"/>
      <c r="P3252" s="90"/>
      <c r="Q3252" s="133">
        <v>2000</v>
      </c>
      <c r="R3252" s="134"/>
      <c r="S3252" s="5" t="s">
        <v>271</v>
      </c>
      <c r="T3252" s="6"/>
      <c r="U3252" s="8">
        <v>4</v>
      </c>
      <c r="V3252" s="5" t="s">
        <v>96</v>
      </c>
      <c r="W3252" s="12">
        <v>16829180</v>
      </c>
      <c r="X3252" s="6"/>
      <c r="Y3252" s="6"/>
    </row>
    <row r="3253" spans="1:25" ht="15" customHeight="1" x14ac:dyDescent="0.2">
      <c r="A3253" s="88" t="s">
        <v>3652</v>
      </c>
      <c r="B3253" s="90"/>
      <c r="C3253" s="88" t="s">
        <v>3872</v>
      </c>
      <c r="D3253" s="90"/>
      <c r="E3253" s="106"/>
      <c r="F3253" s="107"/>
      <c r="G3253" s="107"/>
      <c r="H3253" s="107"/>
      <c r="I3253" s="108"/>
      <c r="J3253" s="88" t="s">
        <v>13</v>
      </c>
      <c r="K3253" s="89"/>
      <c r="L3253" s="89"/>
      <c r="M3253" s="90"/>
      <c r="N3253" s="88" t="s">
        <v>22</v>
      </c>
      <c r="O3253" s="89"/>
      <c r="P3253" s="90"/>
      <c r="Q3253" s="133">
        <v>2100</v>
      </c>
      <c r="R3253" s="134"/>
      <c r="S3253" s="5" t="s">
        <v>271</v>
      </c>
      <c r="T3253" s="6"/>
      <c r="U3253" s="8">
        <v>2</v>
      </c>
      <c r="V3253" s="5" t="s">
        <v>106</v>
      </c>
      <c r="W3253" s="12">
        <v>12876422</v>
      </c>
      <c r="X3253" s="6"/>
      <c r="Y3253" s="6"/>
    </row>
    <row r="3254" spans="1:25" ht="15" customHeight="1" x14ac:dyDescent="0.2">
      <c r="A3254" s="88" t="s">
        <v>3652</v>
      </c>
      <c r="B3254" s="90"/>
      <c r="C3254" s="88" t="s">
        <v>3872</v>
      </c>
      <c r="D3254" s="90"/>
      <c r="E3254" s="106"/>
      <c r="F3254" s="107"/>
      <c r="G3254" s="107"/>
      <c r="H3254" s="107"/>
      <c r="I3254" s="108"/>
      <c r="J3254" s="88" t="s">
        <v>13</v>
      </c>
      <c r="K3254" s="89"/>
      <c r="L3254" s="89"/>
      <c r="M3254" s="90"/>
      <c r="N3254" s="88" t="s">
        <v>22</v>
      </c>
      <c r="O3254" s="89"/>
      <c r="P3254" s="90"/>
      <c r="Q3254" s="133">
        <v>2000</v>
      </c>
      <c r="R3254" s="134"/>
      <c r="S3254" s="5" t="s">
        <v>271</v>
      </c>
      <c r="T3254" s="6"/>
      <c r="U3254" s="8">
        <v>4</v>
      </c>
      <c r="V3254" s="5" t="s">
        <v>96</v>
      </c>
      <c r="W3254" s="12">
        <v>19900976</v>
      </c>
      <c r="X3254" s="6"/>
      <c r="Y3254" s="6"/>
    </row>
    <row r="3255" spans="1:25" ht="15" customHeight="1" x14ac:dyDescent="0.2">
      <c r="A3255" s="88" t="s">
        <v>3652</v>
      </c>
      <c r="B3255" s="90"/>
      <c r="C3255" s="88" t="s">
        <v>3873</v>
      </c>
      <c r="D3255" s="89"/>
      <c r="E3255" s="89"/>
      <c r="F3255" s="89"/>
      <c r="G3255" s="89"/>
      <c r="H3255" s="89"/>
      <c r="I3255" s="90"/>
      <c r="J3255" s="88" t="s">
        <v>13</v>
      </c>
      <c r="K3255" s="89"/>
      <c r="L3255" s="89"/>
      <c r="M3255" s="90"/>
      <c r="N3255" s="88" t="s">
        <v>22</v>
      </c>
      <c r="O3255" s="89"/>
      <c r="P3255" s="90"/>
      <c r="Q3255" s="133">
        <v>2000</v>
      </c>
      <c r="R3255" s="134"/>
      <c r="S3255" s="5" t="s">
        <v>271</v>
      </c>
      <c r="T3255" s="6"/>
      <c r="U3255" s="8">
        <v>2</v>
      </c>
      <c r="V3255" s="5" t="s">
        <v>96</v>
      </c>
      <c r="W3255" s="12">
        <v>24385429</v>
      </c>
      <c r="X3255" s="6"/>
      <c r="Y3255" s="6"/>
    </row>
    <row r="3256" spans="1:25" ht="15" customHeight="1" x14ac:dyDescent="0.2">
      <c r="A3256" s="88" t="s">
        <v>3652</v>
      </c>
      <c r="B3256" s="90"/>
      <c r="C3256" s="88" t="s">
        <v>3873</v>
      </c>
      <c r="D3256" s="89"/>
      <c r="E3256" s="89"/>
      <c r="F3256" s="89"/>
      <c r="G3256" s="89"/>
      <c r="H3256" s="89"/>
      <c r="I3256" s="90"/>
      <c r="J3256" s="88" t="s">
        <v>13</v>
      </c>
      <c r="K3256" s="89"/>
      <c r="L3256" s="89"/>
      <c r="M3256" s="90"/>
      <c r="N3256" s="88" t="s">
        <v>22</v>
      </c>
      <c r="O3256" s="89"/>
      <c r="P3256" s="90"/>
      <c r="Q3256" s="133">
        <v>2100</v>
      </c>
      <c r="R3256" s="134"/>
      <c r="S3256" s="5" t="s">
        <v>271</v>
      </c>
      <c r="T3256" s="6"/>
      <c r="U3256" s="8">
        <v>4</v>
      </c>
      <c r="V3256" s="5" t="s">
        <v>106</v>
      </c>
      <c r="W3256" s="12">
        <v>11922613</v>
      </c>
      <c r="X3256" s="6"/>
      <c r="Y3256" s="6"/>
    </row>
    <row r="3257" spans="1:25" ht="15" customHeight="1" x14ac:dyDescent="0.2">
      <c r="A3257" s="88" t="s">
        <v>3652</v>
      </c>
      <c r="B3257" s="90"/>
      <c r="C3257" s="88" t="s">
        <v>3874</v>
      </c>
      <c r="D3257" s="89"/>
      <c r="E3257" s="89"/>
      <c r="F3257" s="89"/>
      <c r="G3257" s="89"/>
      <c r="H3257" s="89"/>
      <c r="I3257" s="90"/>
      <c r="J3257" s="88" t="s">
        <v>13</v>
      </c>
      <c r="K3257" s="89"/>
      <c r="L3257" s="89"/>
      <c r="M3257" s="90"/>
      <c r="N3257" s="88" t="s">
        <v>22</v>
      </c>
      <c r="O3257" s="89"/>
      <c r="P3257" s="90"/>
      <c r="Q3257" s="133">
        <v>2000</v>
      </c>
      <c r="R3257" s="134"/>
      <c r="S3257" s="5" t="s">
        <v>16</v>
      </c>
      <c r="T3257" s="6"/>
      <c r="U3257" s="8">
        <v>5</v>
      </c>
      <c r="V3257" s="5" t="s">
        <v>96</v>
      </c>
      <c r="W3257" s="12">
        <v>16791448</v>
      </c>
      <c r="X3257" s="6"/>
      <c r="Y3257" s="6"/>
    </row>
    <row r="3258" spans="1:25" ht="15" customHeight="1" x14ac:dyDescent="0.2">
      <c r="A3258" s="88" t="s">
        <v>3652</v>
      </c>
      <c r="B3258" s="90"/>
      <c r="C3258" s="88" t="s">
        <v>3874</v>
      </c>
      <c r="D3258" s="89"/>
      <c r="E3258" s="89"/>
      <c r="F3258" s="89"/>
      <c r="G3258" s="89"/>
      <c r="H3258" s="89"/>
      <c r="I3258" s="90"/>
      <c r="J3258" s="88" t="s">
        <v>13</v>
      </c>
      <c r="K3258" s="89"/>
      <c r="L3258" s="89"/>
      <c r="M3258" s="90"/>
      <c r="N3258" s="88" t="s">
        <v>22</v>
      </c>
      <c r="O3258" s="89"/>
      <c r="P3258" s="90"/>
      <c r="Q3258" s="133">
        <v>2000</v>
      </c>
      <c r="R3258" s="134"/>
      <c r="S3258" s="5" t="s">
        <v>271</v>
      </c>
      <c r="T3258" s="6"/>
      <c r="U3258" s="8">
        <v>4</v>
      </c>
      <c r="V3258" s="5" t="s">
        <v>96</v>
      </c>
      <c r="W3258" s="12">
        <v>22579101</v>
      </c>
      <c r="X3258" s="6"/>
      <c r="Y3258" s="6"/>
    </row>
    <row r="3259" spans="1:25" ht="15" customHeight="1" x14ac:dyDescent="0.2">
      <c r="A3259" s="88" t="s">
        <v>3652</v>
      </c>
      <c r="B3259" s="90"/>
      <c r="C3259" s="88" t="s">
        <v>3875</v>
      </c>
      <c r="D3259" s="90"/>
      <c r="E3259" s="88" t="s">
        <v>3876</v>
      </c>
      <c r="F3259" s="89"/>
      <c r="G3259" s="89"/>
      <c r="H3259" s="89"/>
      <c r="I3259" s="90"/>
      <c r="J3259" s="88" t="s">
        <v>13</v>
      </c>
      <c r="K3259" s="89"/>
      <c r="L3259" s="89"/>
      <c r="M3259" s="90"/>
      <c r="N3259" s="88" t="s">
        <v>22</v>
      </c>
      <c r="O3259" s="89"/>
      <c r="P3259" s="90"/>
      <c r="Q3259" s="133">
        <v>2100</v>
      </c>
      <c r="R3259" s="134"/>
      <c r="S3259" s="5" t="s">
        <v>16</v>
      </c>
      <c r="T3259" s="6"/>
      <c r="U3259" s="8">
        <v>5</v>
      </c>
      <c r="V3259" s="5" t="s">
        <v>106</v>
      </c>
      <c r="W3259" s="12">
        <v>14441928</v>
      </c>
      <c r="X3259" s="6"/>
      <c r="Y3259" s="6"/>
    </row>
    <row r="3260" spans="1:25" ht="15" customHeight="1" x14ac:dyDescent="0.2">
      <c r="A3260" s="88" t="s">
        <v>3652</v>
      </c>
      <c r="B3260" s="90"/>
      <c r="C3260" s="88" t="s">
        <v>3875</v>
      </c>
      <c r="D3260" s="90"/>
      <c r="E3260" s="88" t="s">
        <v>3876</v>
      </c>
      <c r="F3260" s="89"/>
      <c r="G3260" s="89"/>
      <c r="H3260" s="89"/>
      <c r="I3260" s="90"/>
      <c r="J3260" s="88" t="s">
        <v>13</v>
      </c>
      <c r="K3260" s="89"/>
      <c r="L3260" s="89"/>
      <c r="M3260" s="90"/>
      <c r="N3260" s="88" t="s">
        <v>22</v>
      </c>
      <c r="O3260" s="89"/>
      <c r="P3260" s="90"/>
      <c r="Q3260" s="133">
        <v>2000</v>
      </c>
      <c r="R3260" s="134"/>
      <c r="S3260" s="5" t="s">
        <v>16</v>
      </c>
      <c r="T3260" s="6"/>
      <c r="U3260" s="8">
        <v>7</v>
      </c>
      <c r="V3260" s="5" t="s">
        <v>96</v>
      </c>
      <c r="W3260" s="12">
        <v>15547637</v>
      </c>
      <c r="X3260" s="6"/>
      <c r="Y3260" s="6"/>
    </row>
    <row r="3261" spans="1:25" ht="15" customHeight="1" x14ac:dyDescent="0.2">
      <c r="A3261" s="88" t="s">
        <v>3652</v>
      </c>
      <c r="B3261" s="90"/>
      <c r="C3261" s="88" t="s">
        <v>3877</v>
      </c>
      <c r="D3261" s="90"/>
      <c r="E3261" s="106"/>
      <c r="F3261" s="107"/>
      <c r="G3261" s="107"/>
      <c r="H3261" s="107"/>
      <c r="I3261" s="108"/>
      <c r="J3261" s="88" t="s">
        <v>13</v>
      </c>
      <c r="K3261" s="89"/>
      <c r="L3261" s="89"/>
      <c r="M3261" s="90"/>
      <c r="N3261" s="88" t="s">
        <v>22</v>
      </c>
      <c r="O3261" s="89"/>
      <c r="P3261" s="90"/>
      <c r="Q3261" s="133">
        <v>2100</v>
      </c>
      <c r="R3261" s="134"/>
      <c r="S3261" s="5" t="s">
        <v>271</v>
      </c>
      <c r="T3261" s="6"/>
      <c r="U3261" s="8">
        <v>2</v>
      </c>
      <c r="V3261" s="5" t="s">
        <v>96</v>
      </c>
      <c r="W3261" s="12">
        <v>17087525</v>
      </c>
      <c r="X3261" s="6"/>
      <c r="Y3261" s="6"/>
    </row>
    <row r="3262" spans="1:25" ht="15" customHeight="1" x14ac:dyDescent="0.2">
      <c r="A3262" s="88" t="s">
        <v>3652</v>
      </c>
      <c r="B3262" s="90"/>
      <c r="C3262" s="88" t="s">
        <v>3877</v>
      </c>
      <c r="D3262" s="90"/>
      <c r="E3262" s="106"/>
      <c r="F3262" s="107"/>
      <c r="G3262" s="107"/>
      <c r="H3262" s="107"/>
      <c r="I3262" s="108"/>
      <c r="J3262" s="88" t="s">
        <v>13</v>
      </c>
      <c r="K3262" s="89"/>
      <c r="L3262" s="89"/>
      <c r="M3262" s="90"/>
      <c r="N3262" s="88" t="s">
        <v>22</v>
      </c>
      <c r="O3262" s="89"/>
      <c r="P3262" s="90"/>
      <c r="Q3262" s="133">
        <v>2100</v>
      </c>
      <c r="R3262" s="134"/>
      <c r="S3262" s="5" t="s">
        <v>16</v>
      </c>
      <c r="T3262" s="6"/>
      <c r="U3262" s="8">
        <v>7</v>
      </c>
      <c r="V3262" s="5" t="s">
        <v>106</v>
      </c>
      <c r="W3262" s="12">
        <v>13372156</v>
      </c>
      <c r="X3262" s="6"/>
      <c r="Y3262" s="6"/>
    </row>
    <row r="3263" spans="1:25" ht="15" customHeight="1" x14ac:dyDescent="0.2">
      <c r="A3263" s="88" t="s">
        <v>3652</v>
      </c>
      <c r="B3263" s="90"/>
      <c r="C3263" s="88" t="s">
        <v>3878</v>
      </c>
      <c r="D3263" s="90"/>
      <c r="E3263" s="106"/>
      <c r="F3263" s="107"/>
      <c r="G3263" s="107"/>
      <c r="H3263" s="107"/>
      <c r="I3263" s="108"/>
      <c r="J3263" s="88" t="s">
        <v>13</v>
      </c>
      <c r="K3263" s="89"/>
      <c r="L3263" s="89"/>
      <c r="M3263" s="90"/>
      <c r="N3263" s="88" t="s">
        <v>22</v>
      </c>
      <c r="O3263" s="89"/>
      <c r="P3263" s="90"/>
      <c r="Q3263" s="133">
        <v>2000</v>
      </c>
      <c r="R3263" s="134"/>
      <c r="S3263" s="5" t="s">
        <v>16</v>
      </c>
      <c r="T3263" s="6"/>
      <c r="U3263" s="8">
        <v>5</v>
      </c>
      <c r="V3263" s="5" t="s">
        <v>23</v>
      </c>
      <c r="W3263" s="12">
        <v>19196740</v>
      </c>
      <c r="X3263" s="6"/>
      <c r="Y3263" s="6"/>
    </row>
    <row r="3264" spans="1:25" ht="15" customHeight="1" x14ac:dyDescent="0.2">
      <c r="A3264" s="88" t="s">
        <v>3652</v>
      </c>
      <c r="B3264" s="90"/>
      <c r="C3264" s="88" t="s">
        <v>3878</v>
      </c>
      <c r="D3264" s="90"/>
      <c r="E3264" s="106"/>
      <c r="F3264" s="107"/>
      <c r="G3264" s="107"/>
      <c r="H3264" s="107"/>
      <c r="I3264" s="108"/>
      <c r="J3264" s="88" t="s">
        <v>13</v>
      </c>
      <c r="K3264" s="89"/>
      <c r="L3264" s="89"/>
      <c r="M3264" s="90"/>
      <c r="N3264" s="88" t="s">
        <v>22</v>
      </c>
      <c r="O3264" s="89"/>
      <c r="P3264" s="90"/>
      <c r="Q3264" s="133">
        <v>2100</v>
      </c>
      <c r="R3264" s="134"/>
      <c r="S3264" s="5" t="s">
        <v>271</v>
      </c>
      <c r="T3264" s="6"/>
      <c r="U3264" s="8">
        <v>4</v>
      </c>
      <c r="V3264" s="5" t="s">
        <v>96</v>
      </c>
      <c r="W3264" s="12">
        <v>15821782</v>
      </c>
      <c r="X3264" s="6"/>
      <c r="Y3264" s="6"/>
    </row>
    <row r="3265" spans="1:25" ht="15" customHeight="1" x14ac:dyDescent="0.2">
      <c r="A3265" s="88" t="s">
        <v>3652</v>
      </c>
      <c r="B3265" s="90"/>
      <c r="C3265" s="88" t="s">
        <v>3879</v>
      </c>
      <c r="D3265" s="90"/>
      <c r="E3265" s="106"/>
      <c r="F3265" s="107"/>
      <c r="G3265" s="107"/>
      <c r="H3265" s="107"/>
      <c r="I3265" s="108"/>
      <c r="J3265" s="88" t="s">
        <v>13</v>
      </c>
      <c r="K3265" s="89"/>
      <c r="L3265" s="89"/>
      <c r="M3265" s="90"/>
      <c r="N3265" s="88" t="s">
        <v>22</v>
      </c>
      <c r="O3265" s="89"/>
      <c r="P3265" s="90"/>
      <c r="Q3265" s="133">
        <v>2000</v>
      </c>
      <c r="R3265" s="134"/>
      <c r="S3265" s="5" t="s">
        <v>271</v>
      </c>
      <c r="T3265" s="6"/>
      <c r="U3265" s="8">
        <v>2</v>
      </c>
      <c r="V3265" s="5" t="s">
        <v>23</v>
      </c>
      <c r="W3265" s="12">
        <v>20362827</v>
      </c>
      <c r="X3265" s="6"/>
      <c r="Y3265" s="6"/>
    </row>
    <row r="3266" spans="1:25" ht="15" customHeight="1" x14ac:dyDescent="0.2">
      <c r="A3266" s="88" t="s">
        <v>3652</v>
      </c>
      <c r="B3266" s="90"/>
      <c r="C3266" s="88" t="s">
        <v>3879</v>
      </c>
      <c r="D3266" s="90"/>
      <c r="E3266" s="106"/>
      <c r="F3266" s="107"/>
      <c r="G3266" s="107"/>
      <c r="H3266" s="107"/>
      <c r="I3266" s="108"/>
      <c r="J3266" s="88" t="s">
        <v>13</v>
      </c>
      <c r="K3266" s="89"/>
      <c r="L3266" s="89"/>
      <c r="M3266" s="90"/>
      <c r="N3266" s="88" t="s">
        <v>22</v>
      </c>
      <c r="O3266" s="89"/>
      <c r="P3266" s="90"/>
      <c r="Q3266" s="133">
        <v>2000</v>
      </c>
      <c r="R3266" s="134"/>
      <c r="S3266" s="5" t="s">
        <v>16</v>
      </c>
      <c r="T3266" s="6"/>
      <c r="U3266" s="8">
        <v>7</v>
      </c>
      <c r="V3266" s="5" t="s">
        <v>23</v>
      </c>
      <c r="W3266" s="12">
        <v>17774759</v>
      </c>
      <c r="X3266" s="6"/>
      <c r="Y3266" s="6"/>
    </row>
    <row r="3267" spans="1:25" ht="15" customHeight="1" x14ac:dyDescent="0.2">
      <c r="A3267" s="88" t="s">
        <v>3652</v>
      </c>
      <c r="B3267" s="90"/>
      <c r="C3267" s="88" t="s">
        <v>3880</v>
      </c>
      <c r="D3267" s="89"/>
      <c r="E3267" s="89"/>
      <c r="F3267" s="89"/>
      <c r="G3267" s="89"/>
      <c r="H3267" s="89"/>
      <c r="I3267" s="90"/>
      <c r="J3267" s="88" t="s">
        <v>13</v>
      </c>
      <c r="K3267" s="89"/>
      <c r="L3267" s="89"/>
      <c r="M3267" s="90"/>
      <c r="N3267" s="88" t="s">
        <v>22</v>
      </c>
      <c r="O3267" s="89"/>
      <c r="P3267" s="90"/>
      <c r="Q3267" s="133">
        <v>2000</v>
      </c>
      <c r="R3267" s="134"/>
      <c r="S3267" s="5" t="s">
        <v>271</v>
      </c>
      <c r="T3267" s="6"/>
      <c r="U3267" s="8">
        <v>2</v>
      </c>
      <c r="V3267" s="5" t="s">
        <v>176</v>
      </c>
      <c r="W3267" s="12">
        <v>18165540</v>
      </c>
      <c r="X3267" s="6"/>
      <c r="Y3267" s="6"/>
    </row>
    <row r="3268" spans="1:25" ht="15" customHeight="1" x14ac:dyDescent="0.2">
      <c r="A3268" s="88" t="s">
        <v>3652</v>
      </c>
      <c r="B3268" s="90"/>
      <c r="C3268" s="88" t="s">
        <v>3880</v>
      </c>
      <c r="D3268" s="89"/>
      <c r="E3268" s="89"/>
      <c r="F3268" s="89"/>
      <c r="G3268" s="89"/>
      <c r="H3268" s="89"/>
      <c r="I3268" s="90"/>
      <c r="J3268" s="88" t="s">
        <v>13</v>
      </c>
      <c r="K3268" s="89"/>
      <c r="L3268" s="89"/>
      <c r="M3268" s="90"/>
      <c r="N3268" s="88" t="s">
        <v>22</v>
      </c>
      <c r="O3268" s="89"/>
      <c r="P3268" s="90"/>
      <c r="Q3268" s="133">
        <v>2000</v>
      </c>
      <c r="R3268" s="134"/>
      <c r="S3268" s="5" t="s">
        <v>271</v>
      </c>
      <c r="T3268" s="6"/>
      <c r="U3268" s="8">
        <v>4</v>
      </c>
      <c r="V3268" s="5" t="s">
        <v>23</v>
      </c>
      <c r="W3268" s="12">
        <v>18854470</v>
      </c>
      <c r="X3268" s="6"/>
      <c r="Y3268" s="6"/>
    </row>
    <row r="3269" spans="1:25" ht="15" customHeight="1" x14ac:dyDescent="0.2">
      <c r="A3269" s="88" t="s">
        <v>3652</v>
      </c>
      <c r="B3269" s="90"/>
      <c r="C3269" s="88" t="s">
        <v>3881</v>
      </c>
      <c r="D3269" s="89"/>
      <c r="E3269" s="89"/>
      <c r="F3269" s="89"/>
      <c r="G3269" s="89"/>
      <c r="H3269" s="89"/>
      <c r="I3269" s="90"/>
      <c r="J3269" s="88" t="s">
        <v>13</v>
      </c>
      <c r="K3269" s="89"/>
      <c r="L3269" s="89"/>
      <c r="M3269" s="90"/>
      <c r="N3269" s="88" t="s">
        <v>22</v>
      </c>
      <c r="O3269" s="89"/>
      <c r="P3269" s="90"/>
      <c r="Q3269" s="133">
        <v>2000</v>
      </c>
      <c r="R3269" s="134"/>
      <c r="S3269" s="5" t="s">
        <v>16</v>
      </c>
      <c r="T3269" s="6"/>
      <c r="U3269" s="8">
        <v>5</v>
      </c>
      <c r="V3269" s="5" t="s">
        <v>176</v>
      </c>
      <c r="W3269" s="12">
        <v>14397189</v>
      </c>
      <c r="X3269" s="6"/>
      <c r="Y3269" s="6"/>
    </row>
    <row r="3270" spans="1:25" ht="15" customHeight="1" x14ac:dyDescent="0.2">
      <c r="A3270" s="88" t="s">
        <v>3652</v>
      </c>
      <c r="B3270" s="90"/>
      <c r="C3270" s="88" t="s">
        <v>3881</v>
      </c>
      <c r="D3270" s="89"/>
      <c r="E3270" s="89"/>
      <c r="F3270" s="89"/>
      <c r="G3270" s="89"/>
      <c r="H3270" s="89"/>
      <c r="I3270" s="90"/>
      <c r="J3270" s="88" t="s">
        <v>13</v>
      </c>
      <c r="K3270" s="89"/>
      <c r="L3270" s="89"/>
      <c r="M3270" s="90"/>
      <c r="N3270" s="88" t="s">
        <v>22</v>
      </c>
      <c r="O3270" s="89"/>
      <c r="P3270" s="90"/>
      <c r="Q3270" s="133">
        <v>2000</v>
      </c>
      <c r="R3270" s="134"/>
      <c r="S3270" s="5" t="s">
        <v>271</v>
      </c>
      <c r="T3270" s="6"/>
      <c r="U3270" s="8">
        <v>4</v>
      </c>
      <c r="V3270" s="5" t="s">
        <v>176</v>
      </c>
      <c r="W3270" s="12">
        <v>16819945</v>
      </c>
      <c r="X3270" s="6"/>
      <c r="Y3270" s="6"/>
    </row>
    <row r="3271" spans="1:25" ht="15" customHeight="1" x14ac:dyDescent="0.2">
      <c r="A3271" s="88" t="s">
        <v>3652</v>
      </c>
      <c r="B3271" s="90"/>
      <c r="C3271" s="88" t="s">
        <v>3882</v>
      </c>
      <c r="D3271" s="89"/>
      <c r="E3271" s="89"/>
      <c r="F3271" s="89"/>
      <c r="G3271" s="89"/>
      <c r="H3271" s="89"/>
      <c r="I3271" s="90"/>
      <c r="J3271" s="88" t="s">
        <v>13</v>
      </c>
      <c r="K3271" s="89"/>
      <c r="L3271" s="89"/>
      <c r="M3271" s="90"/>
      <c r="N3271" s="88" t="s">
        <v>22</v>
      </c>
      <c r="O3271" s="89"/>
      <c r="P3271" s="90"/>
      <c r="Q3271" s="133">
        <v>2000</v>
      </c>
      <c r="R3271" s="134"/>
      <c r="S3271" s="5" t="s">
        <v>16</v>
      </c>
      <c r="T3271" s="6"/>
      <c r="U3271" s="8">
        <v>7</v>
      </c>
      <c r="V3271" s="5" t="s">
        <v>176</v>
      </c>
      <c r="W3271" s="12">
        <v>13330730</v>
      </c>
      <c r="X3271" s="6"/>
      <c r="Y3271" s="6"/>
    </row>
    <row r="3272" spans="1:25" ht="15" customHeight="1" x14ac:dyDescent="0.2">
      <c r="A3272" s="88" t="s">
        <v>3652</v>
      </c>
      <c r="B3272" s="90"/>
      <c r="C3272" s="88" t="s">
        <v>3883</v>
      </c>
      <c r="D3272" s="90"/>
      <c r="E3272" s="106"/>
      <c r="F3272" s="107"/>
      <c r="G3272" s="107"/>
      <c r="H3272" s="107"/>
      <c r="I3272" s="108"/>
      <c r="J3272" s="88" t="s">
        <v>13</v>
      </c>
      <c r="K3272" s="89"/>
      <c r="L3272" s="89"/>
      <c r="M3272" s="90"/>
      <c r="N3272" s="88" t="s">
        <v>22</v>
      </c>
      <c r="O3272" s="89"/>
      <c r="P3272" s="90"/>
      <c r="Q3272" s="133">
        <v>3000</v>
      </c>
      <c r="R3272" s="134"/>
      <c r="S3272" s="5" t="s">
        <v>271</v>
      </c>
      <c r="T3272" s="6"/>
      <c r="U3272" s="8">
        <v>2</v>
      </c>
      <c r="V3272" s="5" t="s">
        <v>106</v>
      </c>
      <c r="W3272" s="12">
        <v>24721116</v>
      </c>
      <c r="X3272" s="6"/>
      <c r="Y3272" s="6"/>
    </row>
    <row r="3273" spans="1:25" ht="15" customHeight="1" x14ac:dyDescent="0.2">
      <c r="A3273" s="88" t="s">
        <v>3652</v>
      </c>
      <c r="B3273" s="90"/>
      <c r="C3273" s="88" t="s">
        <v>3883</v>
      </c>
      <c r="D3273" s="90"/>
      <c r="E3273" s="106"/>
      <c r="F3273" s="107"/>
      <c r="G3273" s="107"/>
      <c r="H3273" s="107"/>
      <c r="I3273" s="108"/>
      <c r="J3273" s="88" t="s">
        <v>13</v>
      </c>
      <c r="K3273" s="89"/>
      <c r="L3273" s="89"/>
      <c r="M3273" s="90"/>
      <c r="N3273" s="88" t="s">
        <v>22</v>
      </c>
      <c r="O3273" s="89"/>
      <c r="P3273" s="90"/>
      <c r="Q3273" s="133">
        <v>2000</v>
      </c>
      <c r="R3273" s="134"/>
      <c r="S3273" s="5" t="s">
        <v>16</v>
      </c>
      <c r="T3273" s="6"/>
      <c r="U3273" s="8">
        <v>7</v>
      </c>
      <c r="V3273" s="5" t="s">
        <v>176</v>
      </c>
      <c r="W3273" s="12">
        <v>12546554</v>
      </c>
      <c r="X3273" s="6"/>
      <c r="Y3273" s="6"/>
    </row>
    <row r="3274" spans="1:25" ht="15" customHeight="1" x14ac:dyDescent="0.2">
      <c r="A3274" s="88" t="s">
        <v>3652</v>
      </c>
      <c r="B3274" s="90"/>
      <c r="C3274" s="88" t="s">
        <v>3884</v>
      </c>
      <c r="D3274" s="90"/>
      <c r="E3274" s="106"/>
      <c r="F3274" s="107"/>
      <c r="G3274" s="107"/>
      <c r="H3274" s="107"/>
      <c r="I3274" s="108"/>
      <c r="J3274" s="88" t="s">
        <v>13</v>
      </c>
      <c r="K3274" s="89"/>
      <c r="L3274" s="89"/>
      <c r="M3274" s="90"/>
      <c r="N3274" s="88" t="s">
        <v>22</v>
      </c>
      <c r="O3274" s="89"/>
      <c r="P3274" s="90"/>
      <c r="Q3274" s="133">
        <v>2000</v>
      </c>
      <c r="R3274" s="134"/>
      <c r="S3274" s="5" t="s">
        <v>16</v>
      </c>
      <c r="T3274" s="6"/>
      <c r="U3274" s="8">
        <v>5</v>
      </c>
      <c r="V3274" s="5" t="s">
        <v>106</v>
      </c>
      <c r="W3274" s="12">
        <v>24168287</v>
      </c>
      <c r="X3274" s="6"/>
      <c r="Y3274" s="6"/>
    </row>
    <row r="3275" spans="1:25" ht="15" customHeight="1" x14ac:dyDescent="0.2">
      <c r="A3275" s="88" t="s">
        <v>3652</v>
      </c>
      <c r="B3275" s="90"/>
      <c r="C3275" s="88" t="s">
        <v>3884</v>
      </c>
      <c r="D3275" s="90"/>
      <c r="E3275" s="106"/>
      <c r="F3275" s="107"/>
      <c r="G3275" s="107"/>
      <c r="H3275" s="107"/>
      <c r="I3275" s="108"/>
      <c r="J3275" s="88" t="s">
        <v>13</v>
      </c>
      <c r="K3275" s="89"/>
      <c r="L3275" s="89"/>
      <c r="M3275" s="90"/>
      <c r="N3275" s="88" t="s">
        <v>22</v>
      </c>
      <c r="O3275" s="89"/>
      <c r="P3275" s="90"/>
      <c r="Q3275" s="133">
        <v>3000</v>
      </c>
      <c r="R3275" s="134"/>
      <c r="S3275" s="5" t="s">
        <v>271</v>
      </c>
      <c r="T3275" s="6"/>
      <c r="U3275" s="8">
        <v>4</v>
      </c>
      <c r="V3275" s="5" t="s">
        <v>106</v>
      </c>
      <c r="W3275" s="12">
        <v>22889922</v>
      </c>
      <c r="X3275" s="6"/>
      <c r="Y3275" s="6"/>
    </row>
    <row r="3276" spans="1:25" ht="15" customHeight="1" x14ac:dyDescent="0.2">
      <c r="A3276" s="88" t="s">
        <v>3652</v>
      </c>
      <c r="B3276" s="90"/>
      <c r="C3276" s="88" t="s">
        <v>3885</v>
      </c>
      <c r="D3276" s="90"/>
      <c r="E3276" s="106"/>
      <c r="F3276" s="107"/>
      <c r="G3276" s="107"/>
      <c r="H3276" s="107"/>
      <c r="I3276" s="108"/>
      <c r="J3276" s="88" t="s">
        <v>13</v>
      </c>
      <c r="K3276" s="89"/>
      <c r="L3276" s="89"/>
      <c r="M3276" s="90"/>
      <c r="N3276" s="88" t="s">
        <v>22</v>
      </c>
      <c r="O3276" s="89"/>
      <c r="P3276" s="90"/>
      <c r="Q3276" s="133">
        <v>2000</v>
      </c>
      <c r="R3276" s="134"/>
      <c r="S3276" s="5" t="s">
        <v>16</v>
      </c>
      <c r="T3276" s="6"/>
      <c r="U3276" s="8">
        <v>5</v>
      </c>
      <c r="V3276" s="5" t="s">
        <v>96</v>
      </c>
      <c r="W3276" s="12">
        <v>22558816</v>
      </c>
      <c r="X3276" s="6"/>
      <c r="Y3276" s="6"/>
    </row>
    <row r="3277" spans="1:25" ht="15" customHeight="1" x14ac:dyDescent="0.2">
      <c r="A3277" s="88" t="s">
        <v>3652</v>
      </c>
      <c r="B3277" s="90"/>
      <c r="C3277" s="88" t="s">
        <v>3885</v>
      </c>
      <c r="D3277" s="90"/>
      <c r="E3277" s="106"/>
      <c r="F3277" s="107"/>
      <c r="G3277" s="107"/>
      <c r="H3277" s="107"/>
      <c r="I3277" s="108"/>
      <c r="J3277" s="88" t="s">
        <v>13</v>
      </c>
      <c r="K3277" s="89"/>
      <c r="L3277" s="89"/>
      <c r="M3277" s="90"/>
      <c r="N3277" s="88" t="s">
        <v>22</v>
      </c>
      <c r="O3277" s="89"/>
      <c r="P3277" s="90"/>
      <c r="Q3277" s="133">
        <v>2000</v>
      </c>
      <c r="R3277" s="134"/>
      <c r="S3277" s="5" t="s">
        <v>16</v>
      </c>
      <c r="T3277" s="6"/>
      <c r="U3277" s="8">
        <v>7</v>
      </c>
      <c r="V3277" s="5" t="s">
        <v>106</v>
      </c>
      <c r="W3277" s="12">
        <v>22378044</v>
      </c>
      <c r="X3277" s="6"/>
      <c r="Y3277" s="6"/>
    </row>
    <row r="3278" spans="1:25" ht="15" customHeight="1" x14ac:dyDescent="0.2">
      <c r="A3278" s="88" t="s">
        <v>3652</v>
      </c>
      <c r="B3278" s="90"/>
      <c r="C3278" s="88" t="s">
        <v>3886</v>
      </c>
      <c r="D3278" s="90"/>
      <c r="E3278" s="106"/>
      <c r="F3278" s="107"/>
      <c r="G3278" s="107"/>
      <c r="H3278" s="107"/>
      <c r="I3278" s="108"/>
      <c r="J3278" s="88" t="s">
        <v>13</v>
      </c>
      <c r="K3278" s="89"/>
      <c r="L3278" s="89"/>
      <c r="M3278" s="90"/>
      <c r="N3278" s="88" t="s">
        <v>22</v>
      </c>
      <c r="O3278" s="89"/>
      <c r="P3278" s="90"/>
      <c r="Q3278" s="133">
        <v>2000</v>
      </c>
      <c r="R3278" s="134"/>
      <c r="S3278" s="5" t="s">
        <v>16</v>
      </c>
      <c r="T3278" s="6"/>
      <c r="U3278" s="8">
        <v>7</v>
      </c>
      <c r="V3278" s="5" t="s">
        <v>96</v>
      </c>
      <c r="W3278" s="12">
        <v>20887792</v>
      </c>
      <c r="X3278" s="6"/>
      <c r="Y3278" s="6"/>
    </row>
    <row r="3279" spans="1:25" ht="15" customHeight="1" x14ac:dyDescent="0.2">
      <c r="A3279" s="88" t="s">
        <v>3652</v>
      </c>
      <c r="B3279" s="90"/>
      <c r="C3279" s="88" t="s">
        <v>3887</v>
      </c>
      <c r="D3279" s="90"/>
      <c r="E3279" s="106"/>
      <c r="F3279" s="107"/>
      <c r="G3279" s="107"/>
      <c r="H3279" s="107"/>
      <c r="I3279" s="108"/>
      <c r="J3279" s="88" t="s">
        <v>13</v>
      </c>
      <c r="K3279" s="89"/>
      <c r="L3279" s="89"/>
      <c r="M3279" s="90"/>
      <c r="N3279" s="88" t="s">
        <v>22</v>
      </c>
      <c r="O3279" s="89"/>
      <c r="P3279" s="90"/>
      <c r="Q3279" s="133">
        <v>3000</v>
      </c>
      <c r="R3279" s="134"/>
      <c r="S3279" s="5" t="s">
        <v>271</v>
      </c>
      <c r="T3279" s="6"/>
      <c r="U3279" s="8">
        <v>4</v>
      </c>
      <c r="V3279" s="5" t="s">
        <v>106</v>
      </c>
      <c r="W3279" s="12">
        <v>22169222</v>
      </c>
      <c r="X3279" s="6"/>
      <c r="Y3279" s="6"/>
    </row>
    <row r="3280" spans="1:25" ht="15" customHeight="1" x14ac:dyDescent="0.2">
      <c r="A3280" s="88" t="s">
        <v>3652</v>
      </c>
      <c r="B3280" s="90"/>
      <c r="C3280" s="88" t="s">
        <v>3888</v>
      </c>
      <c r="D3280" s="90"/>
      <c r="E3280" s="106"/>
      <c r="F3280" s="107"/>
      <c r="G3280" s="107"/>
      <c r="H3280" s="107"/>
      <c r="I3280" s="108"/>
      <c r="J3280" s="88" t="s">
        <v>13</v>
      </c>
      <c r="K3280" s="89"/>
      <c r="L3280" s="89"/>
      <c r="M3280" s="90"/>
      <c r="N3280" s="88" t="s">
        <v>22</v>
      </c>
      <c r="O3280" s="89"/>
      <c r="P3280" s="90"/>
      <c r="Q3280" s="133">
        <v>3000</v>
      </c>
      <c r="R3280" s="134"/>
      <c r="S3280" s="5" t="s">
        <v>16</v>
      </c>
      <c r="T3280" s="6"/>
      <c r="U3280" s="8">
        <v>5</v>
      </c>
      <c r="V3280" s="5" t="s">
        <v>106</v>
      </c>
      <c r="W3280" s="12">
        <v>21514331</v>
      </c>
      <c r="X3280" s="6"/>
      <c r="Y3280" s="6"/>
    </row>
    <row r="3281" spans="1:25" ht="15" customHeight="1" x14ac:dyDescent="0.2">
      <c r="A3281" s="88" t="s">
        <v>3652</v>
      </c>
      <c r="B3281" s="90"/>
      <c r="C3281" s="88" t="s">
        <v>3888</v>
      </c>
      <c r="D3281" s="90"/>
      <c r="E3281" s="106"/>
      <c r="F3281" s="107"/>
      <c r="G3281" s="107"/>
      <c r="H3281" s="107"/>
      <c r="I3281" s="108"/>
      <c r="J3281" s="88" t="s">
        <v>13</v>
      </c>
      <c r="K3281" s="89"/>
      <c r="L3281" s="89"/>
      <c r="M3281" s="90"/>
      <c r="N3281" s="88" t="s">
        <v>22</v>
      </c>
      <c r="O3281" s="89"/>
      <c r="P3281" s="90"/>
      <c r="Q3281" s="133">
        <v>3000</v>
      </c>
      <c r="R3281" s="134"/>
      <c r="S3281" s="5" t="s">
        <v>271</v>
      </c>
      <c r="T3281" s="6"/>
      <c r="U3281" s="8">
        <v>4</v>
      </c>
      <c r="V3281" s="5" t="s">
        <v>106</v>
      </c>
      <c r="W3281" s="12">
        <v>23275783</v>
      </c>
      <c r="X3281" s="6"/>
      <c r="Y3281" s="6"/>
    </row>
    <row r="3282" spans="1:25" ht="15" customHeight="1" x14ac:dyDescent="0.2">
      <c r="A3282" s="88" t="s">
        <v>3652</v>
      </c>
      <c r="B3282" s="90"/>
      <c r="C3282" s="88" t="s">
        <v>3889</v>
      </c>
      <c r="D3282" s="90"/>
      <c r="E3282" s="106"/>
      <c r="F3282" s="107"/>
      <c r="G3282" s="107"/>
      <c r="H3282" s="107"/>
      <c r="I3282" s="108"/>
      <c r="J3282" s="88" t="s">
        <v>13</v>
      </c>
      <c r="K3282" s="89"/>
      <c r="L3282" s="89"/>
      <c r="M3282" s="90"/>
      <c r="N3282" s="88" t="s">
        <v>22</v>
      </c>
      <c r="O3282" s="89"/>
      <c r="P3282" s="90"/>
      <c r="Q3282" s="133">
        <v>3000</v>
      </c>
      <c r="R3282" s="134"/>
      <c r="S3282" s="5" t="s">
        <v>16</v>
      </c>
      <c r="T3282" s="6"/>
      <c r="U3282" s="8">
        <v>5</v>
      </c>
      <c r="V3282" s="5" t="s">
        <v>96</v>
      </c>
      <c r="W3282" s="12">
        <v>27582715</v>
      </c>
      <c r="X3282" s="6"/>
      <c r="Y3282" s="6"/>
    </row>
    <row r="3283" spans="1:25" ht="15" customHeight="1" x14ac:dyDescent="0.2">
      <c r="A3283" s="88" t="s">
        <v>3652</v>
      </c>
      <c r="B3283" s="90"/>
      <c r="C3283" s="88" t="s">
        <v>3889</v>
      </c>
      <c r="D3283" s="90"/>
      <c r="E3283" s="106"/>
      <c r="F3283" s="107"/>
      <c r="G3283" s="107"/>
      <c r="H3283" s="107"/>
      <c r="I3283" s="108"/>
      <c r="J3283" s="88" t="s">
        <v>13</v>
      </c>
      <c r="K3283" s="89"/>
      <c r="L3283" s="89"/>
      <c r="M3283" s="90"/>
      <c r="N3283" s="88" t="s">
        <v>22</v>
      </c>
      <c r="O3283" s="89"/>
      <c r="P3283" s="90"/>
      <c r="Q3283" s="133">
        <v>3000</v>
      </c>
      <c r="R3283" s="134"/>
      <c r="S3283" s="5" t="s">
        <v>16</v>
      </c>
      <c r="T3283" s="6"/>
      <c r="U3283" s="8">
        <v>7</v>
      </c>
      <c r="V3283" s="5" t="s">
        <v>106</v>
      </c>
      <c r="W3283" s="12">
        <v>19920677</v>
      </c>
      <c r="X3283" s="6"/>
      <c r="Y3283" s="6"/>
    </row>
    <row r="3284" spans="1:25" ht="15" customHeight="1" x14ac:dyDescent="0.2">
      <c r="A3284" s="88" t="s">
        <v>3652</v>
      </c>
      <c r="B3284" s="90"/>
      <c r="C3284" s="88" t="s">
        <v>3890</v>
      </c>
      <c r="D3284" s="90"/>
      <c r="E3284" s="106"/>
      <c r="F3284" s="107"/>
      <c r="G3284" s="107"/>
      <c r="H3284" s="107"/>
      <c r="I3284" s="108"/>
      <c r="J3284" s="88" t="s">
        <v>13</v>
      </c>
      <c r="K3284" s="89"/>
      <c r="L3284" s="89"/>
      <c r="M3284" s="90"/>
      <c r="N3284" s="88" t="s">
        <v>22</v>
      </c>
      <c r="O3284" s="89"/>
      <c r="P3284" s="90"/>
      <c r="Q3284" s="133">
        <v>3000</v>
      </c>
      <c r="R3284" s="134"/>
      <c r="S3284" s="5" t="s">
        <v>271</v>
      </c>
      <c r="T3284" s="6"/>
      <c r="U3284" s="8">
        <v>2</v>
      </c>
      <c r="V3284" s="5" t="s">
        <v>96</v>
      </c>
      <c r="W3284" s="12">
        <v>22349246</v>
      </c>
      <c r="X3284" s="6"/>
      <c r="Y3284" s="6"/>
    </row>
    <row r="3285" spans="1:25" ht="15" customHeight="1" x14ac:dyDescent="0.2">
      <c r="A3285" s="88" t="s">
        <v>3652</v>
      </c>
      <c r="B3285" s="90"/>
      <c r="C3285" s="88" t="s">
        <v>3890</v>
      </c>
      <c r="D3285" s="90"/>
      <c r="E3285" s="106"/>
      <c r="F3285" s="107"/>
      <c r="G3285" s="107"/>
      <c r="H3285" s="107"/>
      <c r="I3285" s="108"/>
      <c r="J3285" s="88" t="s">
        <v>13</v>
      </c>
      <c r="K3285" s="89"/>
      <c r="L3285" s="89"/>
      <c r="M3285" s="90"/>
      <c r="N3285" s="88" t="s">
        <v>22</v>
      </c>
      <c r="O3285" s="89"/>
      <c r="P3285" s="90"/>
      <c r="Q3285" s="133">
        <v>3000</v>
      </c>
      <c r="R3285" s="134"/>
      <c r="S3285" s="5" t="s">
        <v>16</v>
      </c>
      <c r="T3285" s="6"/>
      <c r="U3285" s="8">
        <v>7</v>
      </c>
      <c r="V3285" s="5" t="s">
        <v>96</v>
      </c>
      <c r="W3285" s="12">
        <v>25539551</v>
      </c>
      <c r="X3285" s="6"/>
      <c r="Y3285" s="6"/>
    </row>
    <row r="3286" spans="1:25" ht="15" customHeight="1" x14ac:dyDescent="0.2">
      <c r="A3286" s="88" t="s">
        <v>3652</v>
      </c>
      <c r="B3286" s="90"/>
      <c r="C3286" s="88" t="s">
        <v>3891</v>
      </c>
      <c r="D3286" s="90"/>
      <c r="E3286" s="88" t="s">
        <v>3892</v>
      </c>
      <c r="F3286" s="89"/>
      <c r="G3286" s="89"/>
      <c r="H3286" s="89"/>
      <c r="I3286" s="90"/>
      <c r="J3286" s="88" t="s">
        <v>13</v>
      </c>
      <c r="K3286" s="89"/>
      <c r="L3286" s="89"/>
      <c r="M3286" s="90"/>
      <c r="N3286" s="88" t="s">
        <v>22</v>
      </c>
      <c r="O3286" s="89"/>
      <c r="P3286" s="90"/>
      <c r="Q3286" s="133">
        <v>3000</v>
      </c>
      <c r="R3286" s="134"/>
      <c r="S3286" s="5" t="s">
        <v>16</v>
      </c>
      <c r="T3286" s="6"/>
      <c r="U3286" s="8">
        <v>5</v>
      </c>
      <c r="V3286" s="5" t="s">
        <v>106</v>
      </c>
      <c r="W3286" s="12">
        <v>30030294</v>
      </c>
      <c r="X3286" s="6"/>
      <c r="Y3286" s="6"/>
    </row>
    <row r="3287" spans="1:25" ht="15" customHeight="1" x14ac:dyDescent="0.2">
      <c r="A3287" s="88" t="s">
        <v>3652</v>
      </c>
      <c r="B3287" s="90"/>
      <c r="C3287" s="88" t="s">
        <v>3893</v>
      </c>
      <c r="D3287" s="90"/>
      <c r="E3287" s="106"/>
      <c r="F3287" s="107"/>
      <c r="G3287" s="107"/>
      <c r="H3287" s="107"/>
      <c r="I3287" s="108"/>
      <c r="J3287" s="88" t="s">
        <v>13</v>
      </c>
      <c r="K3287" s="89"/>
      <c r="L3287" s="89"/>
      <c r="M3287" s="90"/>
      <c r="N3287" s="88" t="s">
        <v>22</v>
      </c>
      <c r="O3287" s="89"/>
      <c r="P3287" s="90"/>
      <c r="Q3287" s="133">
        <v>3000</v>
      </c>
      <c r="R3287" s="134"/>
      <c r="S3287" s="5" t="s">
        <v>16</v>
      </c>
      <c r="T3287" s="6"/>
      <c r="U3287" s="8">
        <v>5</v>
      </c>
      <c r="V3287" s="5" t="s">
        <v>106</v>
      </c>
      <c r="W3287" s="12">
        <v>29506469</v>
      </c>
      <c r="X3287" s="6"/>
      <c r="Y3287" s="6"/>
    </row>
    <row r="3288" spans="1:25" ht="15" customHeight="1" x14ac:dyDescent="0.2">
      <c r="A3288" s="88" t="s">
        <v>3652</v>
      </c>
      <c r="B3288" s="90"/>
      <c r="C3288" s="88" t="s">
        <v>3894</v>
      </c>
      <c r="D3288" s="90"/>
      <c r="E3288" s="106"/>
      <c r="F3288" s="107"/>
      <c r="G3288" s="107"/>
      <c r="H3288" s="107"/>
      <c r="I3288" s="108"/>
      <c r="J3288" s="88" t="s">
        <v>13</v>
      </c>
      <c r="K3288" s="89"/>
      <c r="L3288" s="89"/>
      <c r="M3288" s="90"/>
      <c r="N3288" s="88" t="s">
        <v>22</v>
      </c>
      <c r="O3288" s="89"/>
      <c r="P3288" s="90"/>
      <c r="Q3288" s="133">
        <v>3000</v>
      </c>
      <c r="R3288" s="134"/>
      <c r="S3288" s="5" t="s">
        <v>16</v>
      </c>
      <c r="T3288" s="6"/>
      <c r="U3288" s="8">
        <v>7</v>
      </c>
      <c r="V3288" s="5" t="s">
        <v>106</v>
      </c>
      <c r="W3288" s="12">
        <v>27320804</v>
      </c>
      <c r="X3288" s="6"/>
      <c r="Y3288" s="6"/>
    </row>
    <row r="3289" spans="1:25" ht="15" customHeight="1" x14ac:dyDescent="0.2">
      <c r="A3289" s="88" t="s">
        <v>3652</v>
      </c>
      <c r="B3289" s="90"/>
      <c r="C3289" s="88" t="s">
        <v>3895</v>
      </c>
      <c r="D3289" s="90"/>
      <c r="E3289" s="106"/>
      <c r="F3289" s="107"/>
      <c r="G3289" s="107"/>
      <c r="H3289" s="107"/>
      <c r="I3289" s="108"/>
      <c r="J3289" s="88" t="s">
        <v>13</v>
      </c>
      <c r="K3289" s="89"/>
      <c r="L3289" s="89"/>
      <c r="M3289" s="90"/>
      <c r="N3289" s="88" t="s">
        <v>22</v>
      </c>
      <c r="O3289" s="89"/>
      <c r="P3289" s="90"/>
      <c r="Q3289" s="133">
        <v>3000</v>
      </c>
      <c r="R3289" s="134"/>
      <c r="S3289" s="5" t="s">
        <v>16</v>
      </c>
      <c r="T3289" s="6"/>
      <c r="U3289" s="8">
        <v>5</v>
      </c>
      <c r="V3289" s="5" t="s">
        <v>96</v>
      </c>
      <c r="W3289" s="12">
        <v>27244464</v>
      </c>
      <c r="X3289" s="6"/>
      <c r="Y3289" s="6"/>
    </row>
    <row r="3290" spans="1:25" ht="15" customHeight="1" x14ac:dyDescent="0.2">
      <c r="A3290" s="88" t="s">
        <v>3652</v>
      </c>
      <c r="B3290" s="90"/>
      <c r="C3290" s="88" t="s">
        <v>3896</v>
      </c>
      <c r="D3290" s="90"/>
      <c r="E3290" s="106"/>
      <c r="F3290" s="107"/>
      <c r="G3290" s="107"/>
      <c r="H3290" s="107"/>
      <c r="I3290" s="108"/>
      <c r="J3290" s="88" t="s">
        <v>13</v>
      </c>
      <c r="K3290" s="89"/>
      <c r="L3290" s="89"/>
      <c r="M3290" s="90"/>
      <c r="N3290" s="88" t="s">
        <v>26</v>
      </c>
      <c r="O3290" s="89"/>
      <c r="P3290" s="90"/>
      <c r="Q3290" s="133">
        <v>4000</v>
      </c>
      <c r="R3290" s="134"/>
      <c r="S3290" s="5" t="s">
        <v>44</v>
      </c>
      <c r="T3290" s="6"/>
      <c r="U3290" s="8">
        <v>5</v>
      </c>
      <c r="V3290" s="5" t="s">
        <v>23</v>
      </c>
      <c r="W3290" s="12">
        <v>24642303</v>
      </c>
      <c r="X3290" s="6"/>
      <c r="Y3290" s="6"/>
    </row>
    <row r="3291" spans="1:25" ht="15" customHeight="1" x14ac:dyDescent="0.2">
      <c r="A3291" s="88" t="s">
        <v>3652</v>
      </c>
      <c r="B3291" s="90"/>
      <c r="C3291" s="88" t="s">
        <v>3897</v>
      </c>
      <c r="D3291" s="90"/>
      <c r="E3291" s="106"/>
      <c r="F3291" s="107"/>
      <c r="G3291" s="107"/>
      <c r="H3291" s="107"/>
      <c r="I3291" s="108"/>
      <c r="J3291" s="88" t="s">
        <v>13</v>
      </c>
      <c r="K3291" s="89"/>
      <c r="L3291" s="89"/>
      <c r="M3291" s="90"/>
      <c r="N3291" s="88" t="s">
        <v>26</v>
      </c>
      <c r="O3291" s="89"/>
      <c r="P3291" s="90"/>
      <c r="Q3291" s="133">
        <v>3000</v>
      </c>
      <c r="R3291" s="134"/>
      <c r="S3291" s="5" t="s">
        <v>44</v>
      </c>
      <c r="T3291" s="6"/>
      <c r="U3291" s="8">
        <v>5</v>
      </c>
      <c r="V3291" s="5" t="s">
        <v>106</v>
      </c>
      <c r="W3291" s="12">
        <v>21376138</v>
      </c>
      <c r="X3291" s="6"/>
      <c r="Y3291" s="6"/>
    </row>
    <row r="3292" spans="1:25" ht="15" customHeight="1" x14ac:dyDescent="0.2">
      <c r="A3292" s="88" t="s">
        <v>3652</v>
      </c>
      <c r="B3292" s="90"/>
      <c r="C3292" s="88" t="s">
        <v>3897</v>
      </c>
      <c r="D3292" s="90"/>
      <c r="E3292" s="106"/>
      <c r="F3292" s="107"/>
      <c r="G3292" s="107"/>
      <c r="H3292" s="107"/>
      <c r="I3292" s="108"/>
      <c r="J3292" s="88" t="s">
        <v>13</v>
      </c>
      <c r="K3292" s="89"/>
      <c r="L3292" s="89"/>
      <c r="M3292" s="90"/>
      <c r="N3292" s="88" t="s">
        <v>26</v>
      </c>
      <c r="O3292" s="89"/>
      <c r="P3292" s="90"/>
      <c r="Q3292" s="133">
        <v>4000</v>
      </c>
      <c r="R3292" s="134"/>
      <c r="S3292" s="5" t="s">
        <v>44</v>
      </c>
      <c r="T3292" s="6"/>
      <c r="U3292" s="8">
        <v>4</v>
      </c>
      <c r="V3292" s="5" t="s">
        <v>23</v>
      </c>
      <c r="W3292" s="12">
        <v>24718359</v>
      </c>
      <c r="X3292" s="6"/>
      <c r="Y3292" s="6"/>
    </row>
    <row r="3293" spans="1:25" ht="15" customHeight="1" x14ac:dyDescent="0.2">
      <c r="A3293" s="88" t="s">
        <v>3652</v>
      </c>
      <c r="B3293" s="90"/>
      <c r="C3293" s="88" t="s">
        <v>3898</v>
      </c>
      <c r="D3293" s="90"/>
      <c r="E3293" s="106"/>
      <c r="F3293" s="107"/>
      <c r="G3293" s="107"/>
      <c r="H3293" s="107"/>
      <c r="I3293" s="108"/>
      <c r="J3293" s="88" t="s">
        <v>13</v>
      </c>
      <c r="K3293" s="89"/>
      <c r="L3293" s="89"/>
      <c r="M3293" s="90"/>
      <c r="N3293" s="88" t="s">
        <v>22</v>
      </c>
      <c r="O3293" s="89"/>
      <c r="P3293" s="90"/>
      <c r="Q3293" s="133">
        <v>3000</v>
      </c>
      <c r="R3293" s="134"/>
      <c r="S3293" s="5" t="s">
        <v>44</v>
      </c>
      <c r="T3293" s="6"/>
      <c r="U3293" s="8">
        <v>5</v>
      </c>
      <c r="V3293" s="5" t="s">
        <v>106</v>
      </c>
      <c r="W3293" s="12">
        <v>22433660</v>
      </c>
      <c r="X3293" s="6"/>
      <c r="Y3293" s="6"/>
    </row>
    <row r="3294" spans="1:25" ht="15" customHeight="1" x14ac:dyDescent="0.2">
      <c r="A3294" s="88" t="s">
        <v>3652</v>
      </c>
      <c r="B3294" s="90"/>
      <c r="C3294" s="88" t="s">
        <v>3898</v>
      </c>
      <c r="D3294" s="90"/>
      <c r="E3294" s="106"/>
      <c r="F3294" s="107"/>
      <c r="G3294" s="107"/>
      <c r="H3294" s="107"/>
      <c r="I3294" s="108"/>
      <c r="J3294" s="88" t="s">
        <v>13</v>
      </c>
      <c r="K3294" s="89"/>
      <c r="L3294" s="89"/>
      <c r="M3294" s="90"/>
      <c r="N3294" s="88" t="s">
        <v>26</v>
      </c>
      <c r="O3294" s="89"/>
      <c r="P3294" s="90"/>
      <c r="Q3294" s="133">
        <v>3000</v>
      </c>
      <c r="R3294" s="134"/>
      <c r="S3294" s="5" t="s">
        <v>44</v>
      </c>
      <c r="T3294" s="6"/>
      <c r="U3294" s="8">
        <v>4</v>
      </c>
      <c r="V3294" s="5" t="s">
        <v>106</v>
      </c>
      <c r="W3294" s="12">
        <v>19792720</v>
      </c>
      <c r="X3294" s="6"/>
      <c r="Y3294" s="6"/>
    </row>
    <row r="3295" spans="1:25" ht="15" customHeight="1" x14ac:dyDescent="0.2">
      <c r="A3295" s="88" t="s">
        <v>3652</v>
      </c>
      <c r="B3295" s="90"/>
      <c r="C3295" s="88" t="s">
        <v>3898</v>
      </c>
      <c r="D3295" s="90"/>
      <c r="E3295" s="106"/>
      <c r="F3295" s="107"/>
      <c r="G3295" s="107"/>
      <c r="H3295" s="107"/>
      <c r="I3295" s="108"/>
      <c r="J3295" s="88" t="s">
        <v>13</v>
      </c>
      <c r="K3295" s="89"/>
      <c r="L3295" s="89"/>
      <c r="M3295" s="90"/>
      <c r="N3295" s="88" t="s">
        <v>22</v>
      </c>
      <c r="O3295" s="89"/>
      <c r="P3295" s="90"/>
      <c r="Q3295" s="133">
        <v>3000</v>
      </c>
      <c r="R3295" s="134"/>
      <c r="S3295" s="5" t="s">
        <v>119</v>
      </c>
      <c r="T3295" s="6"/>
      <c r="U3295" s="8">
        <v>2</v>
      </c>
      <c r="V3295" s="5" t="s">
        <v>106</v>
      </c>
      <c r="W3295" s="12">
        <v>20103175</v>
      </c>
      <c r="X3295" s="6"/>
      <c r="Y3295" s="6"/>
    </row>
    <row r="3296" spans="1:25" ht="15" customHeight="1" x14ac:dyDescent="0.2">
      <c r="A3296" s="88" t="s">
        <v>3652</v>
      </c>
      <c r="B3296" s="90"/>
      <c r="C3296" s="88" t="s">
        <v>3899</v>
      </c>
      <c r="D3296" s="90"/>
      <c r="E3296" s="106"/>
      <c r="F3296" s="107"/>
      <c r="G3296" s="107"/>
      <c r="H3296" s="107"/>
      <c r="I3296" s="108"/>
      <c r="J3296" s="88" t="s">
        <v>13</v>
      </c>
      <c r="K3296" s="89"/>
      <c r="L3296" s="89"/>
      <c r="M3296" s="90"/>
      <c r="N3296" s="88" t="s">
        <v>22</v>
      </c>
      <c r="O3296" s="89"/>
      <c r="P3296" s="90"/>
      <c r="Q3296" s="133">
        <v>3000</v>
      </c>
      <c r="R3296" s="134"/>
      <c r="S3296" s="5" t="s">
        <v>44</v>
      </c>
      <c r="T3296" s="6"/>
      <c r="U3296" s="8">
        <v>4</v>
      </c>
      <c r="V3296" s="5" t="s">
        <v>106</v>
      </c>
      <c r="W3296" s="12">
        <v>20771908</v>
      </c>
      <c r="X3296" s="6"/>
      <c r="Y3296" s="6"/>
    </row>
    <row r="3297" spans="1:25" ht="15" customHeight="1" x14ac:dyDescent="0.2">
      <c r="A3297" s="88" t="s">
        <v>3652</v>
      </c>
      <c r="B3297" s="90"/>
      <c r="C3297" s="88" t="s">
        <v>3900</v>
      </c>
      <c r="D3297" s="90"/>
      <c r="E3297" s="88" t="s">
        <v>3901</v>
      </c>
      <c r="F3297" s="89"/>
      <c r="G3297" s="89"/>
      <c r="H3297" s="89"/>
      <c r="I3297" s="90"/>
      <c r="J3297" s="88" t="s">
        <v>13</v>
      </c>
      <c r="K3297" s="89"/>
      <c r="L3297" s="89"/>
      <c r="M3297" s="90"/>
      <c r="N3297" s="88" t="s">
        <v>26</v>
      </c>
      <c r="O3297" s="89"/>
      <c r="P3297" s="90"/>
      <c r="Q3297" s="133">
        <v>3000</v>
      </c>
      <c r="R3297" s="134"/>
      <c r="S3297" s="5" t="s">
        <v>44</v>
      </c>
      <c r="T3297" s="6"/>
      <c r="U3297" s="8">
        <v>5</v>
      </c>
      <c r="V3297" s="5" t="s">
        <v>106</v>
      </c>
      <c r="W3297" s="12">
        <v>19899794</v>
      </c>
      <c r="X3297" s="6"/>
      <c r="Y3297" s="6"/>
    </row>
    <row r="3298" spans="1:25" ht="15" customHeight="1" x14ac:dyDescent="0.2">
      <c r="A3298" s="88" t="s">
        <v>3652</v>
      </c>
      <c r="B3298" s="90"/>
      <c r="C3298" s="88" t="s">
        <v>3900</v>
      </c>
      <c r="D3298" s="90"/>
      <c r="E3298" s="88" t="s">
        <v>3901</v>
      </c>
      <c r="F3298" s="89"/>
      <c r="G3298" s="89"/>
      <c r="H3298" s="89"/>
      <c r="I3298" s="90"/>
      <c r="J3298" s="88" t="s">
        <v>13</v>
      </c>
      <c r="K3298" s="89"/>
      <c r="L3298" s="89"/>
      <c r="M3298" s="90"/>
      <c r="N3298" s="88" t="s">
        <v>26</v>
      </c>
      <c r="O3298" s="89"/>
      <c r="P3298" s="90"/>
      <c r="Q3298" s="133">
        <v>3000</v>
      </c>
      <c r="R3298" s="134"/>
      <c r="S3298" s="5" t="s">
        <v>119</v>
      </c>
      <c r="T3298" s="6"/>
      <c r="U3298" s="8">
        <v>2</v>
      </c>
      <c r="V3298" s="5" t="s">
        <v>106</v>
      </c>
      <c r="W3298" s="12">
        <v>21191236</v>
      </c>
      <c r="X3298" s="6"/>
      <c r="Y3298" s="6"/>
    </row>
    <row r="3299" spans="1:25" ht="15" customHeight="1" x14ac:dyDescent="0.2">
      <c r="A3299" s="88" t="s">
        <v>3652</v>
      </c>
      <c r="B3299" s="90"/>
      <c r="C3299" s="88" t="s">
        <v>3902</v>
      </c>
      <c r="D3299" s="90"/>
      <c r="E3299" s="106"/>
      <c r="F3299" s="107"/>
      <c r="G3299" s="107"/>
      <c r="H3299" s="107"/>
      <c r="I3299" s="108"/>
      <c r="J3299" s="88" t="s">
        <v>13</v>
      </c>
      <c r="K3299" s="89"/>
      <c r="L3299" s="89"/>
      <c r="M3299" s="90"/>
      <c r="N3299" s="88" t="s">
        <v>26</v>
      </c>
      <c r="O3299" s="89"/>
      <c r="P3299" s="90"/>
      <c r="Q3299" s="133">
        <v>3000</v>
      </c>
      <c r="R3299" s="134"/>
      <c r="S3299" s="5" t="s">
        <v>44</v>
      </c>
      <c r="T3299" s="6"/>
      <c r="U3299" s="8">
        <v>4</v>
      </c>
      <c r="V3299" s="5" t="s">
        <v>106</v>
      </c>
      <c r="W3299" s="12">
        <v>18425735</v>
      </c>
      <c r="X3299" s="6"/>
      <c r="Y3299" s="6"/>
    </row>
    <row r="3300" spans="1:25" ht="15" customHeight="1" x14ac:dyDescent="0.2">
      <c r="A3300" s="88" t="s">
        <v>3652</v>
      </c>
      <c r="B3300" s="90"/>
      <c r="C3300" s="88" t="s">
        <v>3903</v>
      </c>
      <c r="D3300" s="90"/>
      <c r="E3300" s="106"/>
      <c r="F3300" s="107"/>
      <c r="G3300" s="107"/>
      <c r="H3300" s="107"/>
      <c r="I3300" s="108"/>
      <c r="J3300" s="88" t="s">
        <v>13</v>
      </c>
      <c r="K3300" s="89"/>
      <c r="L3300" s="89"/>
      <c r="M3300" s="90"/>
      <c r="N3300" s="88" t="s">
        <v>26</v>
      </c>
      <c r="O3300" s="89"/>
      <c r="P3300" s="90"/>
      <c r="Q3300" s="133">
        <v>3000</v>
      </c>
      <c r="R3300" s="134"/>
      <c r="S3300" s="5" t="s">
        <v>44</v>
      </c>
      <c r="T3300" s="6"/>
      <c r="U3300" s="8">
        <v>5</v>
      </c>
      <c r="V3300" s="5" t="s">
        <v>96</v>
      </c>
      <c r="W3300" s="12">
        <v>24301650</v>
      </c>
      <c r="X3300" s="6"/>
      <c r="Y3300" s="6"/>
    </row>
    <row r="3301" spans="1:25" ht="15" customHeight="1" x14ac:dyDescent="0.2">
      <c r="A3301" s="88" t="s">
        <v>3652</v>
      </c>
      <c r="B3301" s="90"/>
      <c r="C3301" s="88" t="s">
        <v>3903</v>
      </c>
      <c r="D3301" s="90"/>
      <c r="E3301" s="106"/>
      <c r="F3301" s="107"/>
      <c r="G3301" s="107"/>
      <c r="H3301" s="107"/>
      <c r="I3301" s="108"/>
      <c r="J3301" s="88" t="s">
        <v>13</v>
      </c>
      <c r="K3301" s="89"/>
      <c r="L3301" s="89"/>
      <c r="M3301" s="90"/>
      <c r="N3301" s="88" t="s">
        <v>26</v>
      </c>
      <c r="O3301" s="89"/>
      <c r="P3301" s="90"/>
      <c r="Q3301" s="133">
        <v>3000</v>
      </c>
      <c r="R3301" s="134"/>
      <c r="S3301" s="5" t="s">
        <v>44</v>
      </c>
      <c r="T3301" s="6"/>
      <c r="U3301" s="8">
        <v>5</v>
      </c>
      <c r="V3301" s="5" t="s">
        <v>96</v>
      </c>
      <c r="W3301" s="12">
        <v>26132335</v>
      </c>
      <c r="X3301" s="6"/>
      <c r="Y3301" s="6"/>
    </row>
    <row r="3302" spans="1:25" ht="15" customHeight="1" x14ac:dyDescent="0.2">
      <c r="A3302" s="88" t="s">
        <v>3652</v>
      </c>
      <c r="B3302" s="90"/>
      <c r="C3302" s="88" t="s">
        <v>3904</v>
      </c>
      <c r="D3302" s="90"/>
      <c r="E3302" s="106"/>
      <c r="F3302" s="107"/>
      <c r="G3302" s="107"/>
      <c r="H3302" s="107"/>
      <c r="I3302" s="108"/>
      <c r="J3302" s="88" t="s">
        <v>13</v>
      </c>
      <c r="K3302" s="89"/>
      <c r="L3302" s="89"/>
      <c r="M3302" s="90"/>
      <c r="N3302" s="88" t="s">
        <v>22</v>
      </c>
      <c r="O3302" s="89"/>
      <c r="P3302" s="90"/>
      <c r="Q3302" s="133">
        <v>3000</v>
      </c>
      <c r="R3302" s="134"/>
      <c r="S3302" s="5" t="s">
        <v>44</v>
      </c>
      <c r="T3302" s="6"/>
      <c r="U3302" s="8">
        <v>5</v>
      </c>
      <c r="V3302" s="5" t="s">
        <v>96</v>
      </c>
      <c r="W3302" s="12">
        <v>25619889</v>
      </c>
      <c r="X3302" s="6"/>
      <c r="Y3302" s="6"/>
    </row>
    <row r="3303" spans="1:25" ht="15" customHeight="1" x14ac:dyDescent="0.2">
      <c r="A3303" s="88" t="s">
        <v>3652</v>
      </c>
      <c r="B3303" s="90"/>
      <c r="C3303" s="88" t="s">
        <v>3904</v>
      </c>
      <c r="D3303" s="90"/>
      <c r="E3303" s="106"/>
      <c r="F3303" s="107"/>
      <c r="G3303" s="107"/>
      <c r="H3303" s="107"/>
      <c r="I3303" s="108"/>
      <c r="J3303" s="88" t="s">
        <v>13</v>
      </c>
      <c r="K3303" s="89"/>
      <c r="L3303" s="89"/>
      <c r="M3303" s="90"/>
      <c r="N3303" s="88" t="s">
        <v>26</v>
      </c>
      <c r="O3303" s="89"/>
      <c r="P3303" s="90"/>
      <c r="Q3303" s="133">
        <v>3000</v>
      </c>
      <c r="R3303" s="134"/>
      <c r="S3303" s="5" t="s">
        <v>44</v>
      </c>
      <c r="T3303" s="6"/>
      <c r="U3303" s="8">
        <v>4</v>
      </c>
      <c r="V3303" s="5" t="s">
        <v>96</v>
      </c>
      <c r="W3303" s="12">
        <v>22501528</v>
      </c>
      <c r="X3303" s="6"/>
      <c r="Y3303" s="6"/>
    </row>
    <row r="3304" spans="1:25" ht="15" customHeight="1" x14ac:dyDescent="0.2">
      <c r="A3304" s="88" t="s">
        <v>3652</v>
      </c>
      <c r="B3304" s="90"/>
      <c r="C3304" s="88" t="s">
        <v>3905</v>
      </c>
      <c r="D3304" s="90"/>
      <c r="E3304" s="106"/>
      <c r="F3304" s="107"/>
      <c r="G3304" s="107"/>
      <c r="H3304" s="107"/>
      <c r="I3304" s="108"/>
      <c r="J3304" s="88" t="s">
        <v>13</v>
      </c>
      <c r="K3304" s="89"/>
      <c r="L3304" s="89"/>
      <c r="M3304" s="90"/>
      <c r="N3304" s="88" t="s">
        <v>22</v>
      </c>
      <c r="O3304" s="89"/>
      <c r="P3304" s="90"/>
      <c r="Q3304" s="133">
        <v>3000</v>
      </c>
      <c r="R3304" s="134"/>
      <c r="S3304" s="5" t="s">
        <v>44</v>
      </c>
      <c r="T3304" s="6"/>
      <c r="U3304" s="8">
        <v>5</v>
      </c>
      <c r="V3304" s="5" t="s">
        <v>96</v>
      </c>
      <c r="W3304" s="12">
        <v>24862144</v>
      </c>
      <c r="X3304" s="6"/>
      <c r="Y3304" s="6"/>
    </row>
    <row r="3305" spans="1:25" ht="15" customHeight="1" x14ac:dyDescent="0.2">
      <c r="A3305" s="88" t="s">
        <v>3652</v>
      </c>
      <c r="B3305" s="90"/>
      <c r="C3305" s="88" t="s">
        <v>3906</v>
      </c>
      <c r="D3305" s="90"/>
      <c r="E3305" s="106"/>
      <c r="F3305" s="107"/>
      <c r="G3305" s="107"/>
      <c r="H3305" s="107"/>
      <c r="I3305" s="108"/>
      <c r="J3305" s="88" t="s">
        <v>13</v>
      </c>
      <c r="K3305" s="89"/>
      <c r="L3305" s="89"/>
      <c r="M3305" s="90"/>
      <c r="N3305" s="88" t="s">
        <v>22</v>
      </c>
      <c r="O3305" s="89"/>
      <c r="P3305" s="90"/>
      <c r="Q3305" s="133">
        <v>3000</v>
      </c>
      <c r="R3305" s="134"/>
      <c r="S3305" s="5" t="s">
        <v>44</v>
      </c>
      <c r="T3305" s="6"/>
      <c r="U3305" s="8">
        <v>5</v>
      </c>
      <c r="V3305" s="5" t="s">
        <v>96</v>
      </c>
      <c r="W3305" s="12">
        <v>26045516</v>
      </c>
      <c r="X3305" s="6"/>
      <c r="Y3305" s="6"/>
    </row>
    <row r="3306" spans="1:25" ht="15" customHeight="1" x14ac:dyDescent="0.2">
      <c r="A3306" s="88" t="s">
        <v>3652</v>
      </c>
      <c r="B3306" s="90"/>
      <c r="C3306" s="88" t="s">
        <v>3907</v>
      </c>
      <c r="D3306" s="90"/>
      <c r="E3306" s="106"/>
      <c r="F3306" s="107"/>
      <c r="G3306" s="107"/>
      <c r="H3306" s="107"/>
      <c r="I3306" s="108"/>
      <c r="J3306" s="88" t="s">
        <v>13</v>
      </c>
      <c r="K3306" s="89"/>
      <c r="L3306" s="89"/>
      <c r="M3306" s="90"/>
      <c r="N3306" s="88" t="s">
        <v>22</v>
      </c>
      <c r="O3306" s="89"/>
      <c r="P3306" s="90"/>
      <c r="Q3306" s="133">
        <v>3000</v>
      </c>
      <c r="R3306" s="134"/>
      <c r="S3306" s="5" t="s">
        <v>44</v>
      </c>
      <c r="T3306" s="6"/>
      <c r="U3306" s="8">
        <v>4</v>
      </c>
      <c r="V3306" s="5" t="s">
        <v>96</v>
      </c>
      <c r="W3306" s="12">
        <v>23170311</v>
      </c>
      <c r="X3306" s="6"/>
      <c r="Y3306" s="6"/>
    </row>
    <row r="3307" spans="1:25" ht="15" customHeight="1" x14ac:dyDescent="0.2">
      <c r="A3307" s="88" t="s">
        <v>3652</v>
      </c>
      <c r="B3307" s="90"/>
      <c r="C3307" s="88" t="s">
        <v>3908</v>
      </c>
      <c r="D3307" s="90"/>
      <c r="E3307" s="88" t="s">
        <v>3909</v>
      </c>
      <c r="F3307" s="89"/>
      <c r="G3307" s="89"/>
      <c r="H3307" s="89"/>
      <c r="I3307" s="90"/>
      <c r="J3307" s="88" t="s">
        <v>13</v>
      </c>
      <c r="K3307" s="89"/>
      <c r="L3307" s="89"/>
      <c r="M3307" s="90"/>
      <c r="N3307" s="88" t="s">
        <v>22</v>
      </c>
      <c r="O3307" s="89"/>
      <c r="P3307" s="90"/>
      <c r="Q3307" s="88" t="s">
        <v>466</v>
      </c>
      <c r="R3307" s="90"/>
      <c r="S3307" s="5" t="s">
        <v>44</v>
      </c>
      <c r="T3307" s="6"/>
      <c r="U3307" s="8">
        <v>5</v>
      </c>
      <c r="V3307" s="5" t="s">
        <v>96</v>
      </c>
      <c r="W3307" s="12">
        <v>25774586</v>
      </c>
      <c r="X3307" s="6"/>
      <c r="Y3307" s="6"/>
    </row>
    <row r="3308" spans="1:25" ht="15" customHeight="1" x14ac:dyDescent="0.2">
      <c r="A3308" s="88" t="s">
        <v>3652</v>
      </c>
      <c r="B3308" s="90"/>
      <c r="C3308" s="88" t="s">
        <v>3910</v>
      </c>
      <c r="D3308" s="90"/>
      <c r="E3308" s="88" t="s">
        <v>3909</v>
      </c>
      <c r="F3308" s="89"/>
      <c r="G3308" s="89"/>
      <c r="H3308" s="89"/>
      <c r="I3308" s="90"/>
      <c r="J3308" s="88" t="s">
        <v>13</v>
      </c>
      <c r="K3308" s="89"/>
      <c r="L3308" s="89"/>
      <c r="M3308" s="90"/>
      <c r="N3308" s="88" t="s">
        <v>22</v>
      </c>
      <c r="O3308" s="89"/>
      <c r="P3308" s="90"/>
      <c r="Q3308" s="133">
        <v>3000</v>
      </c>
      <c r="R3308" s="134"/>
      <c r="S3308" s="5" t="s">
        <v>44</v>
      </c>
      <c r="T3308" s="6"/>
      <c r="U3308" s="8">
        <v>4</v>
      </c>
      <c r="V3308" s="5" t="s">
        <v>96</v>
      </c>
      <c r="W3308" s="12">
        <v>26632015</v>
      </c>
      <c r="X3308" s="6"/>
      <c r="Y3308" s="6"/>
    </row>
    <row r="3309" spans="1:25" ht="15" customHeight="1" x14ac:dyDescent="0.2">
      <c r="A3309" s="88" t="s">
        <v>3652</v>
      </c>
      <c r="B3309" s="90"/>
      <c r="C3309" s="88" t="s">
        <v>3911</v>
      </c>
      <c r="D3309" s="90"/>
      <c r="E3309" s="88" t="s">
        <v>3912</v>
      </c>
      <c r="F3309" s="89"/>
      <c r="G3309" s="89"/>
      <c r="H3309" s="89"/>
      <c r="I3309" s="90"/>
      <c r="J3309" s="88" t="s">
        <v>13</v>
      </c>
      <c r="K3309" s="89"/>
      <c r="L3309" s="89"/>
      <c r="M3309" s="90"/>
      <c r="N3309" s="88" t="s">
        <v>26</v>
      </c>
      <c r="O3309" s="89"/>
      <c r="P3309" s="90"/>
      <c r="Q3309" s="133">
        <v>4700</v>
      </c>
      <c r="R3309" s="134"/>
      <c r="S3309" s="5" t="s">
        <v>119</v>
      </c>
      <c r="T3309" s="6"/>
      <c r="U3309" s="8">
        <v>2</v>
      </c>
      <c r="V3309" s="5" t="s">
        <v>23</v>
      </c>
      <c r="W3309" s="12">
        <v>47948048</v>
      </c>
      <c r="X3309" s="6"/>
      <c r="Y3309" s="6"/>
    </row>
    <row r="3310" spans="1:25" ht="15" customHeight="1" x14ac:dyDescent="0.2">
      <c r="A3310" s="88" t="s">
        <v>3652</v>
      </c>
      <c r="B3310" s="90"/>
      <c r="C3310" s="88" t="s">
        <v>3911</v>
      </c>
      <c r="D3310" s="90"/>
      <c r="E3310" s="88" t="s">
        <v>3912</v>
      </c>
      <c r="F3310" s="89"/>
      <c r="G3310" s="89"/>
      <c r="H3310" s="89"/>
      <c r="I3310" s="90"/>
      <c r="J3310" s="88" t="s">
        <v>13</v>
      </c>
      <c r="K3310" s="89"/>
      <c r="L3310" s="89"/>
      <c r="M3310" s="90"/>
      <c r="N3310" s="88" t="s">
        <v>22</v>
      </c>
      <c r="O3310" s="89"/>
      <c r="P3310" s="90"/>
      <c r="Q3310" s="133">
        <v>3000</v>
      </c>
      <c r="R3310" s="134"/>
      <c r="S3310" s="5" t="s">
        <v>44</v>
      </c>
      <c r="T3310" s="6"/>
      <c r="U3310" s="8">
        <v>4</v>
      </c>
      <c r="V3310" s="5" t="s">
        <v>96</v>
      </c>
      <c r="W3310" s="12">
        <v>43804944</v>
      </c>
      <c r="X3310" s="6"/>
      <c r="Y3310" s="6"/>
    </row>
    <row r="3311" spans="1:25" ht="15" customHeight="1" x14ac:dyDescent="0.2">
      <c r="A3311" s="88" t="s">
        <v>3652</v>
      </c>
      <c r="B3311" s="90"/>
      <c r="C3311" s="88" t="s">
        <v>3913</v>
      </c>
      <c r="D3311" s="90"/>
      <c r="E3311" s="88" t="s">
        <v>3914</v>
      </c>
      <c r="F3311" s="89"/>
      <c r="G3311" s="89"/>
      <c r="H3311" s="89"/>
      <c r="I3311" s="90"/>
      <c r="J3311" s="88" t="s">
        <v>13</v>
      </c>
      <c r="K3311" s="89"/>
      <c r="L3311" s="89"/>
      <c r="M3311" s="90"/>
      <c r="N3311" s="88" t="s">
        <v>26</v>
      </c>
      <c r="O3311" s="89"/>
      <c r="P3311" s="90"/>
      <c r="Q3311" s="133">
        <v>4000</v>
      </c>
      <c r="R3311" s="134"/>
      <c r="S3311" s="5" t="s">
        <v>271</v>
      </c>
      <c r="T3311" s="6"/>
      <c r="U3311" s="8">
        <v>2</v>
      </c>
      <c r="V3311" s="5" t="s">
        <v>23</v>
      </c>
      <c r="W3311" s="12">
        <v>33032267</v>
      </c>
      <c r="X3311" s="6"/>
      <c r="Y3311" s="6"/>
    </row>
    <row r="3312" spans="1:25" ht="15" customHeight="1" x14ac:dyDescent="0.2">
      <c r="A3312" s="88" t="s">
        <v>3652</v>
      </c>
      <c r="B3312" s="90"/>
      <c r="C3312" s="88" t="s">
        <v>3913</v>
      </c>
      <c r="D3312" s="90"/>
      <c r="E3312" s="88" t="s">
        <v>3914</v>
      </c>
      <c r="F3312" s="89"/>
      <c r="G3312" s="89"/>
      <c r="H3312" s="89"/>
      <c r="I3312" s="90"/>
      <c r="J3312" s="88" t="s">
        <v>13</v>
      </c>
      <c r="K3312" s="89"/>
      <c r="L3312" s="89"/>
      <c r="M3312" s="90"/>
      <c r="N3312" s="88" t="s">
        <v>26</v>
      </c>
      <c r="O3312" s="89"/>
      <c r="P3312" s="90"/>
      <c r="Q3312" s="133">
        <v>4000</v>
      </c>
      <c r="R3312" s="134"/>
      <c r="S3312" s="5" t="s">
        <v>271</v>
      </c>
      <c r="T3312" s="6"/>
      <c r="U3312" s="8">
        <v>4</v>
      </c>
      <c r="V3312" s="5" t="s">
        <v>23</v>
      </c>
      <c r="W3312" s="12">
        <v>35520584</v>
      </c>
      <c r="X3312" s="6"/>
      <c r="Y3312" s="6"/>
    </row>
    <row r="3313" spans="1:25" ht="15" customHeight="1" x14ac:dyDescent="0.2">
      <c r="A3313" s="88" t="s">
        <v>3652</v>
      </c>
      <c r="B3313" s="90"/>
      <c r="C3313" s="88" t="s">
        <v>3915</v>
      </c>
      <c r="D3313" s="90"/>
      <c r="E3313" s="106"/>
      <c r="F3313" s="107"/>
      <c r="G3313" s="107"/>
      <c r="H3313" s="107"/>
      <c r="I3313" s="108"/>
      <c r="J3313" s="88" t="s">
        <v>13</v>
      </c>
      <c r="K3313" s="89"/>
      <c r="L3313" s="89"/>
      <c r="M3313" s="90"/>
      <c r="N3313" s="88" t="s">
        <v>26</v>
      </c>
      <c r="O3313" s="89"/>
      <c r="P3313" s="90"/>
      <c r="Q3313" s="133">
        <v>4000</v>
      </c>
      <c r="R3313" s="134"/>
      <c r="S3313" s="5" t="s">
        <v>271</v>
      </c>
      <c r="T3313" s="6"/>
      <c r="U3313" s="8">
        <v>4</v>
      </c>
      <c r="V3313" s="5" t="s">
        <v>23</v>
      </c>
      <c r="W3313" s="12">
        <v>33134218</v>
      </c>
      <c r="X3313" s="6"/>
      <c r="Y3313" s="6"/>
    </row>
    <row r="3314" spans="1:25" ht="15" customHeight="1" x14ac:dyDescent="0.2">
      <c r="A3314" s="88" t="s">
        <v>3652</v>
      </c>
      <c r="B3314" s="90"/>
      <c r="C3314" s="88" t="s">
        <v>3915</v>
      </c>
      <c r="D3314" s="90"/>
      <c r="E3314" s="106"/>
      <c r="F3314" s="107"/>
      <c r="G3314" s="107"/>
      <c r="H3314" s="107"/>
      <c r="I3314" s="108"/>
      <c r="J3314" s="88" t="s">
        <v>13</v>
      </c>
      <c r="K3314" s="89"/>
      <c r="L3314" s="89"/>
      <c r="M3314" s="90"/>
      <c r="N3314" s="88" t="s">
        <v>26</v>
      </c>
      <c r="O3314" s="89"/>
      <c r="P3314" s="90"/>
      <c r="Q3314" s="133">
        <v>4000</v>
      </c>
      <c r="R3314" s="134"/>
      <c r="S3314" s="5" t="s">
        <v>44</v>
      </c>
      <c r="T3314" s="6"/>
      <c r="U3314" s="8">
        <v>5</v>
      </c>
      <c r="V3314" s="5" t="s">
        <v>23</v>
      </c>
      <c r="W3314" s="12">
        <v>22830917</v>
      </c>
      <c r="X3314" s="6"/>
      <c r="Y3314" s="6"/>
    </row>
    <row r="3315" spans="1:25" ht="15" customHeight="1" x14ac:dyDescent="0.2">
      <c r="A3315" s="88" t="s">
        <v>3652</v>
      </c>
      <c r="B3315" s="90"/>
      <c r="C3315" s="88" t="s">
        <v>3916</v>
      </c>
      <c r="D3315" s="90"/>
      <c r="E3315" s="106"/>
      <c r="F3315" s="107"/>
      <c r="G3315" s="107"/>
      <c r="H3315" s="107"/>
      <c r="I3315" s="108"/>
      <c r="J3315" s="88" t="s">
        <v>13</v>
      </c>
      <c r="K3315" s="89"/>
      <c r="L3315" s="89"/>
      <c r="M3315" s="90"/>
      <c r="N3315" s="88" t="s">
        <v>26</v>
      </c>
      <c r="O3315" s="89"/>
      <c r="P3315" s="90"/>
      <c r="Q3315" s="133">
        <v>4000</v>
      </c>
      <c r="R3315" s="134"/>
      <c r="S3315" s="5" t="s">
        <v>44</v>
      </c>
      <c r="T3315" s="6"/>
      <c r="U3315" s="8">
        <v>4</v>
      </c>
      <c r="V3315" s="5" t="s">
        <v>23</v>
      </c>
      <c r="W3315" s="12">
        <v>21296742</v>
      </c>
      <c r="X3315" s="6"/>
      <c r="Y3315" s="6"/>
    </row>
    <row r="3316" spans="1:25" ht="15" customHeight="1" x14ac:dyDescent="0.2">
      <c r="A3316" s="88" t="s">
        <v>3652</v>
      </c>
      <c r="B3316" s="90"/>
      <c r="C3316" s="88" t="s">
        <v>3917</v>
      </c>
      <c r="D3316" s="90"/>
      <c r="E3316" s="88" t="s">
        <v>3918</v>
      </c>
      <c r="F3316" s="89"/>
      <c r="G3316" s="89"/>
      <c r="H3316" s="89"/>
      <c r="I3316" s="90"/>
      <c r="J3316" s="88" t="s">
        <v>13</v>
      </c>
      <c r="K3316" s="89"/>
      <c r="L3316" s="89"/>
      <c r="M3316" s="90"/>
      <c r="N3316" s="88" t="s">
        <v>26</v>
      </c>
      <c r="O3316" s="89"/>
      <c r="P3316" s="90"/>
      <c r="Q3316" s="133">
        <v>4000</v>
      </c>
      <c r="R3316" s="134"/>
      <c r="S3316" s="5" t="s">
        <v>44</v>
      </c>
      <c r="T3316" s="6"/>
      <c r="U3316" s="8">
        <v>4</v>
      </c>
      <c r="V3316" s="5" t="s">
        <v>23</v>
      </c>
      <c r="W3316" s="12">
        <v>25823835</v>
      </c>
      <c r="X3316" s="6"/>
      <c r="Y3316" s="6"/>
    </row>
    <row r="3317" spans="1:25" ht="15" customHeight="1" x14ac:dyDescent="0.2">
      <c r="A3317" s="88" t="s">
        <v>3652</v>
      </c>
      <c r="B3317" s="90"/>
      <c r="C3317" s="88" t="s">
        <v>3919</v>
      </c>
      <c r="D3317" s="90"/>
      <c r="E3317" s="88" t="s">
        <v>3918</v>
      </c>
      <c r="F3317" s="89"/>
      <c r="G3317" s="89"/>
      <c r="H3317" s="89"/>
      <c r="I3317" s="90"/>
      <c r="J3317" s="88" t="s">
        <v>13</v>
      </c>
      <c r="K3317" s="89"/>
      <c r="L3317" s="89"/>
      <c r="M3317" s="90"/>
      <c r="N3317" s="88" t="s">
        <v>26</v>
      </c>
      <c r="O3317" s="89"/>
      <c r="P3317" s="90"/>
      <c r="Q3317" s="133">
        <v>4000</v>
      </c>
      <c r="R3317" s="134"/>
      <c r="S3317" s="5" t="s">
        <v>44</v>
      </c>
      <c r="T3317" s="6"/>
      <c r="U3317" s="8">
        <v>5</v>
      </c>
      <c r="V3317" s="5" t="s">
        <v>23</v>
      </c>
      <c r="W3317" s="12">
        <v>23027548</v>
      </c>
      <c r="X3317" s="6"/>
      <c r="Y3317" s="6"/>
    </row>
    <row r="3318" spans="1:25" ht="15" customHeight="1" x14ac:dyDescent="0.2">
      <c r="A3318" s="88" t="s">
        <v>3652</v>
      </c>
      <c r="B3318" s="90"/>
      <c r="C3318" s="88" t="s">
        <v>3920</v>
      </c>
      <c r="D3318" s="90"/>
      <c r="E3318" s="88" t="s">
        <v>3921</v>
      </c>
      <c r="F3318" s="89"/>
      <c r="G3318" s="89"/>
      <c r="H3318" s="89"/>
      <c r="I3318" s="90"/>
      <c r="J3318" s="88" t="s">
        <v>13</v>
      </c>
      <c r="K3318" s="89"/>
      <c r="L3318" s="89"/>
      <c r="M3318" s="90"/>
      <c r="N3318" s="88" t="s">
        <v>26</v>
      </c>
      <c r="O3318" s="89"/>
      <c r="P3318" s="90"/>
      <c r="Q3318" s="133">
        <v>3000</v>
      </c>
      <c r="R3318" s="134"/>
      <c r="S3318" s="5" t="s">
        <v>44</v>
      </c>
      <c r="T3318" s="6"/>
      <c r="U3318" s="8">
        <v>5</v>
      </c>
      <c r="V3318" s="5" t="s">
        <v>176</v>
      </c>
      <c r="W3318" s="12">
        <v>23529083</v>
      </c>
      <c r="X3318" s="6"/>
      <c r="Y3318" s="6"/>
    </row>
    <row r="3319" spans="1:25" ht="15" customHeight="1" x14ac:dyDescent="0.2">
      <c r="A3319" s="88" t="s">
        <v>3652</v>
      </c>
      <c r="B3319" s="90"/>
      <c r="C3319" s="88" t="s">
        <v>3920</v>
      </c>
      <c r="D3319" s="90"/>
      <c r="E3319" s="88" t="s">
        <v>3921</v>
      </c>
      <c r="F3319" s="89"/>
      <c r="G3319" s="89"/>
      <c r="H3319" s="89"/>
      <c r="I3319" s="90"/>
      <c r="J3319" s="88" t="s">
        <v>13</v>
      </c>
      <c r="K3319" s="89"/>
      <c r="L3319" s="89"/>
      <c r="M3319" s="90"/>
      <c r="N3319" s="88" t="s">
        <v>26</v>
      </c>
      <c r="O3319" s="89"/>
      <c r="P3319" s="90"/>
      <c r="Q3319" s="133">
        <v>4000</v>
      </c>
      <c r="R3319" s="134"/>
      <c r="S3319" s="5" t="s">
        <v>44</v>
      </c>
      <c r="T3319" s="6"/>
      <c r="U3319" s="8">
        <v>4</v>
      </c>
      <c r="V3319" s="5" t="s">
        <v>23</v>
      </c>
      <c r="W3319" s="12">
        <v>23098621</v>
      </c>
      <c r="X3319" s="6"/>
      <c r="Y3319" s="6"/>
    </row>
    <row r="3320" spans="1:25" ht="15" customHeight="1" x14ac:dyDescent="0.2">
      <c r="A3320" s="88" t="s">
        <v>3652</v>
      </c>
      <c r="B3320" s="90"/>
      <c r="C3320" s="88" t="s">
        <v>3920</v>
      </c>
      <c r="D3320" s="90"/>
      <c r="E3320" s="106"/>
      <c r="F3320" s="107"/>
      <c r="G3320" s="107"/>
      <c r="H3320" s="107"/>
      <c r="I3320" s="108"/>
      <c r="J3320" s="88" t="s">
        <v>13</v>
      </c>
      <c r="K3320" s="89"/>
      <c r="L3320" s="89"/>
      <c r="M3320" s="90"/>
      <c r="N3320" s="88" t="s">
        <v>26</v>
      </c>
      <c r="O3320" s="89"/>
      <c r="P3320" s="90"/>
      <c r="Q3320" s="88" t="s">
        <v>466</v>
      </c>
      <c r="R3320" s="90"/>
      <c r="S3320" s="5" t="s">
        <v>44</v>
      </c>
      <c r="T3320" s="6"/>
      <c r="U3320" s="8">
        <v>5</v>
      </c>
      <c r="V3320" s="5" t="s">
        <v>176</v>
      </c>
      <c r="W3320" s="12">
        <v>25942183</v>
      </c>
      <c r="X3320" s="6"/>
      <c r="Y3320" s="6"/>
    </row>
    <row r="3321" spans="1:25" ht="15" customHeight="1" x14ac:dyDescent="0.2">
      <c r="A3321" s="88" t="s">
        <v>3652</v>
      </c>
      <c r="B3321" s="90"/>
      <c r="C3321" s="88" t="s">
        <v>3922</v>
      </c>
      <c r="D3321" s="90"/>
      <c r="E3321" s="106"/>
      <c r="F3321" s="107"/>
      <c r="G3321" s="107"/>
      <c r="H3321" s="107"/>
      <c r="I3321" s="108"/>
      <c r="J3321" s="88" t="s">
        <v>13</v>
      </c>
      <c r="K3321" s="89"/>
      <c r="L3321" s="89"/>
      <c r="M3321" s="90"/>
      <c r="N3321" s="88" t="s">
        <v>22</v>
      </c>
      <c r="O3321" s="89"/>
      <c r="P3321" s="90"/>
      <c r="Q3321" s="133">
        <v>4000</v>
      </c>
      <c r="R3321" s="134"/>
      <c r="S3321" s="5" t="s">
        <v>44</v>
      </c>
      <c r="T3321" s="6"/>
      <c r="U3321" s="8">
        <v>5</v>
      </c>
      <c r="V3321" s="5" t="s">
        <v>106</v>
      </c>
      <c r="W3321" s="12">
        <v>28535821</v>
      </c>
      <c r="X3321" s="6"/>
      <c r="Y3321" s="6"/>
    </row>
    <row r="3322" spans="1:25" ht="15" customHeight="1" x14ac:dyDescent="0.2">
      <c r="A3322" s="88" t="s">
        <v>3652</v>
      </c>
      <c r="B3322" s="90"/>
      <c r="C3322" s="88" t="s">
        <v>3922</v>
      </c>
      <c r="D3322" s="90"/>
      <c r="E3322" s="106"/>
      <c r="F3322" s="107"/>
      <c r="G3322" s="107"/>
      <c r="H3322" s="107"/>
      <c r="I3322" s="108"/>
      <c r="J3322" s="88" t="s">
        <v>13</v>
      </c>
      <c r="K3322" s="89"/>
      <c r="L3322" s="89"/>
      <c r="M3322" s="90"/>
      <c r="N3322" s="88" t="s">
        <v>26</v>
      </c>
      <c r="O3322" s="89"/>
      <c r="P3322" s="90"/>
      <c r="Q3322" s="133">
        <v>3000</v>
      </c>
      <c r="R3322" s="134"/>
      <c r="S3322" s="5" t="s">
        <v>44</v>
      </c>
      <c r="T3322" s="6"/>
      <c r="U3322" s="8">
        <v>4</v>
      </c>
      <c r="V3322" s="5" t="s">
        <v>176</v>
      </c>
      <c r="W3322" s="12">
        <v>21786188</v>
      </c>
      <c r="X3322" s="6"/>
      <c r="Y3322" s="6"/>
    </row>
    <row r="3323" spans="1:25" ht="15" customHeight="1" x14ac:dyDescent="0.2">
      <c r="A3323" s="88" t="s">
        <v>3652</v>
      </c>
      <c r="B3323" s="90"/>
      <c r="C3323" s="88" t="s">
        <v>3922</v>
      </c>
      <c r="D3323" s="90"/>
      <c r="E3323" s="106"/>
      <c r="F3323" s="107"/>
      <c r="G3323" s="107"/>
      <c r="H3323" s="107"/>
      <c r="I3323" s="108"/>
      <c r="J3323" s="88" t="s">
        <v>13</v>
      </c>
      <c r="K3323" s="89"/>
      <c r="L3323" s="89"/>
      <c r="M3323" s="90"/>
      <c r="N3323" s="88" t="s">
        <v>22</v>
      </c>
      <c r="O3323" s="89"/>
      <c r="P3323" s="90"/>
      <c r="Q3323" s="133">
        <v>4000</v>
      </c>
      <c r="R3323" s="134"/>
      <c r="S3323" s="5" t="s">
        <v>44</v>
      </c>
      <c r="T3323" s="6"/>
      <c r="U3323" s="8">
        <v>5</v>
      </c>
      <c r="V3323" s="5" t="s">
        <v>96</v>
      </c>
      <c r="W3323" s="12">
        <v>23393523</v>
      </c>
      <c r="X3323" s="6"/>
      <c r="Y3323" s="6"/>
    </row>
    <row r="3324" spans="1:25" ht="15" customHeight="1" x14ac:dyDescent="0.2">
      <c r="A3324" s="88" t="s">
        <v>3652</v>
      </c>
      <c r="B3324" s="90"/>
      <c r="C3324" s="88" t="s">
        <v>3923</v>
      </c>
      <c r="D3324" s="90"/>
      <c r="E3324" s="106"/>
      <c r="F3324" s="107"/>
      <c r="G3324" s="107"/>
      <c r="H3324" s="107"/>
      <c r="I3324" s="108"/>
      <c r="J3324" s="88" t="s">
        <v>13</v>
      </c>
      <c r="K3324" s="89"/>
      <c r="L3324" s="89"/>
      <c r="M3324" s="90"/>
      <c r="N3324" s="88" t="s">
        <v>22</v>
      </c>
      <c r="O3324" s="89"/>
      <c r="P3324" s="90"/>
      <c r="Q3324" s="133">
        <v>4000</v>
      </c>
      <c r="R3324" s="134"/>
      <c r="S3324" s="5" t="s">
        <v>44</v>
      </c>
      <c r="T3324" s="6"/>
      <c r="U3324" s="8">
        <v>5</v>
      </c>
      <c r="V3324" s="5" t="s">
        <v>96</v>
      </c>
      <c r="W3324" s="12">
        <v>22992043</v>
      </c>
      <c r="X3324" s="6"/>
      <c r="Y3324" s="6"/>
    </row>
    <row r="3325" spans="1:25" ht="15" customHeight="1" x14ac:dyDescent="0.2">
      <c r="A3325" s="88" t="s">
        <v>3652</v>
      </c>
      <c r="B3325" s="90"/>
      <c r="C3325" s="88" t="s">
        <v>3924</v>
      </c>
      <c r="D3325" s="90"/>
      <c r="E3325" s="106"/>
      <c r="F3325" s="107"/>
      <c r="G3325" s="107"/>
      <c r="H3325" s="107"/>
      <c r="I3325" s="108"/>
      <c r="J3325" s="88" t="s">
        <v>13</v>
      </c>
      <c r="K3325" s="89"/>
      <c r="L3325" s="89"/>
      <c r="M3325" s="90"/>
      <c r="N3325" s="88" t="s">
        <v>26</v>
      </c>
      <c r="O3325" s="89"/>
      <c r="P3325" s="90"/>
      <c r="Q3325" s="133">
        <v>3000</v>
      </c>
      <c r="R3325" s="134"/>
      <c r="S3325" s="5" t="s">
        <v>119</v>
      </c>
      <c r="T3325" s="6"/>
      <c r="U3325" s="8">
        <v>2</v>
      </c>
      <c r="V3325" s="5" t="s">
        <v>23</v>
      </c>
      <c r="W3325" s="12">
        <v>31195476</v>
      </c>
      <c r="X3325" s="6"/>
      <c r="Y3325" s="6"/>
    </row>
    <row r="3326" spans="1:25" ht="15" customHeight="1" x14ac:dyDescent="0.2">
      <c r="A3326" s="88" t="s">
        <v>3652</v>
      </c>
      <c r="B3326" s="90"/>
      <c r="C3326" s="88" t="s">
        <v>3924</v>
      </c>
      <c r="D3326" s="90"/>
      <c r="E3326" s="106"/>
      <c r="F3326" s="107"/>
      <c r="G3326" s="107"/>
      <c r="H3326" s="107"/>
      <c r="I3326" s="108"/>
      <c r="J3326" s="88" t="s">
        <v>13</v>
      </c>
      <c r="K3326" s="89"/>
      <c r="L3326" s="89"/>
      <c r="M3326" s="90"/>
      <c r="N3326" s="88" t="s">
        <v>22</v>
      </c>
      <c r="O3326" s="89"/>
      <c r="P3326" s="90"/>
      <c r="Q3326" s="133">
        <v>4000</v>
      </c>
      <c r="R3326" s="134"/>
      <c r="S3326" s="5" t="s">
        <v>44</v>
      </c>
      <c r="T3326" s="6"/>
      <c r="U3326" s="8">
        <v>4</v>
      </c>
      <c r="V3326" s="5" t="s">
        <v>106</v>
      </c>
      <c r="W3326" s="12">
        <v>26422057</v>
      </c>
      <c r="X3326" s="6"/>
      <c r="Y3326" s="6"/>
    </row>
    <row r="3327" spans="1:25" ht="15" customHeight="1" x14ac:dyDescent="0.2">
      <c r="A3327" s="88" t="s">
        <v>3652</v>
      </c>
      <c r="B3327" s="90"/>
      <c r="C3327" s="88" t="s">
        <v>3925</v>
      </c>
      <c r="D3327" s="90"/>
      <c r="E3327" s="106"/>
      <c r="F3327" s="107"/>
      <c r="G3327" s="107"/>
      <c r="H3327" s="107"/>
      <c r="I3327" s="108"/>
      <c r="J3327" s="88" t="s">
        <v>13</v>
      </c>
      <c r="K3327" s="89"/>
      <c r="L3327" s="89"/>
      <c r="M3327" s="90"/>
      <c r="N3327" s="88" t="s">
        <v>26</v>
      </c>
      <c r="O3327" s="89"/>
      <c r="P3327" s="90"/>
      <c r="Q3327" s="133">
        <v>1600</v>
      </c>
      <c r="R3327" s="134"/>
      <c r="S3327" s="5" t="s">
        <v>119</v>
      </c>
      <c r="T3327" s="6"/>
      <c r="U3327" s="8">
        <v>2</v>
      </c>
      <c r="V3327" s="5" t="s">
        <v>23</v>
      </c>
      <c r="W3327" s="12">
        <v>14057411</v>
      </c>
      <c r="X3327" s="6"/>
      <c r="Y3327" s="6"/>
    </row>
    <row r="3328" spans="1:25" ht="15" customHeight="1" x14ac:dyDescent="0.2">
      <c r="A3328" s="88" t="s">
        <v>3652</v>
      </c>
      <c r="B3328" s="90"/>
      <c r="C3328" s="88" t="s">
        <v>3926</v>
      </c>
      <c r="D3328" s="90"/>
      <c r="E3328" s="106"/>
      <c r="F3328" s="107"/>
      <c r="G3328" s="107"/>
      <c r="H3328" s="107"/>
      <c r="I3328" s="108"/>
      <c r="J3328" s="88" t="s">
        <v>13</v>
      </c>
      <c r="K3328" s="89"/>
      <c r="L3328" s="89"/>
      <c r="M3328" s="90"/>
      <c r="N3328" s="88" t="s">
        <v>26</v>
      </c>
      <c r="O3328" s="89"/>
      <c r="P3328" s="90"/>
      <c r="Q3328" s="133">
        <v>1600</v>
      </c>
      <c r="R3328" s="134"/>
      <c r="S3328" s="5" t="s">
        <v>119</v>
      </c>
      <c r="T3328" s="6"/>
      <c r="U3328" s="8">
        <v>2</v>
      </c>
      <c r="V3328" s="5" t="s">
        <v>23</v>
      </c>
      <c r="W3328" s="12">
        <v>7953935</v>
      </c>
      <c r="X3328" s="6"/>
      <c r="Y3328" s="6"/>
    </row>
    <row r="3329" spans="1:25" ht="15" customHeight="1" x14ac:dyDescent="0.2">
      <c r="A3329" s="88" t="s">
        <v>3652</v>
      </c>
      <c r="B3329" s="90"/>
      <c r="C3329" s="88" t="s">
        <v>3927</v>
      </c>
      <c r="D3329" s="90"/>
      <c r="E3329" s="106"/>
      <c r="F3329" s="107"/>
      <c r="G3329" s="107"/>
      <c r="H3329" s="107"/>
      <c r="I3329" s="108"/>
      <c r="J3329" s="88" t="s">
        <v>13</v>
      </c>
      <c r="K3329" s="89"/>
      <c r="L3329" s="89"/>
      <c r="M3329" s="90"/>
      <c r="N3329" s="88" t="s">
        <v>26</v>
      </c>
      <c r="O3329" s="89"/>
      <c r="P3329" s="90"/>
      <c r="Q3329" s="133">
        <v>2400</v>
      </c>
      <c r="R3329" s="134"/>
      <c r="S3329" s="5" t="s">
        <v>814</v>
      </c>
      <c r="T3329" s="6"/>
      <c r="U3329" s="8">
        <v>7</v>
      </c>
      <c r="V3329" s="5" t="s">
        <v>106</v>
      </c>
      <c r="W3329" s="12">
        <v>8101114</v>
      </c>
      <c r="X3329" s="6"/>
      <c r="Y3329" s="6"/>
    </row>
    <row r="3330" spans="1:25" ht="15" customHeight="1" x14ac:dyDescent="0.2">
      <c r="A3330" s="88" t="s">
        <v>3652</v>
      </c>
      <c r="B3330" s="90"/>
      <c r="C3330" s="88" t="s">
        <v>3928</v>
      </c>
      <c r="D3330" s="90"/>
      <c r="E3330" s="88" t="s">
        <v>3929</v>
      </c>
      <c r="F3330" s="89"/>
      <c r="G3330" s="89"/>
      <c r="H3330" s="89"/>
      <c r="I3330" s="90"/>
      <c r="J3330" s="88" t="s">
        <v>13</v>
      </c>
      <c r="K3330" s="89"/>
      <c r="L3330" s="89"/>
      <c r="M3330" s="90"/>
      <c r="N3330" s="88" t="s">
        <v>26</v>
      </c>
      <c r="O3330" s="89"/>
      <c r="P3330" s="90"/>
      <c r="Q3330" s="133">
        <v>2200</v>
      </c>
      <c r="R3330" s="134"/>
      <c r="S3330" s="5" t="s">
        <v>814</v>
      </c>
      <c r="T3330" s="6"/>
      <c r="U3330" s="8">
        <v>7</v>
      </c>
      <c r="V3330" s="5" t="s">
        <v>106</v>
      </c>
      <c r="W3330" s="12">
        <v>17541525</v>
      </c>
      <c r="X3330" s="6"/>
      <c r="Y3330" s="6"/>
    </row>
    <row r="3331" spans="1:25" ht="15" customHeight="1" x14ac:dyDescent="0.2">
      <c r="A3331" s="88" t="s">
        <v>3652</v>
      </c>
      <c r="B3331" s="90"/>
      <c r="C3331" s="88" t="s">
        <v>3930</v>
      </c>
      <c r="D3331" s="89"/>
      <c r="E3331" s="89"/>
      <c r="F3331" s="89"/>
      <c r="G3331" s="89"/>
      <c r="H3331" s="89"/>
      <c r="I3331" s="90"/>
      <c r="J3331" s="88" t="s">
        <v>13</v>
      </c>
      <c r="K3331" s="89"/>
      <c r="L3331" s="89"/>
      <c r="M3331" s="90"/>
      <c r="N3331" s="88" t="s">
        <v>26</v>
      </c>
      <c r="O3331" s="89"/>
      <c r="P3331" s="90"/>
      <c r="Q3331" s="133">
        <v>3000</v>
      </c>
      <c r="R3331" s="134"/>
      <c r="S3331" s="5" t="s">
        <v>119</v>
      </c>
      <c r="T3331" s="6"/>
      <c r="U3331" s="8">
        <v>2</v>
      </c>
      <c r="V3331" s="5" t="s">
        <v>23</v>
      </c>
      <c r="W3331" s="12">
        <v>28884700</v>
      </c>
      <c r="X3331" s="6"/>
      <c r="Y3331" s="6"/>
    </row>
    <row r="3332" spans="1:25" ht="15" customHeight="1" x14ac:dyDescent="0.2">
      <c r="A3332" s="88" t="s">
        <v>3652</v>
      </c>
      <c r="B3332" s="90"/>
      <c r="C3332" s="88" t="s">
        <v>3930</v>
      </c>
      <c r="D3332" s="89"/>
      <c r="E3332" s="89"/>
      <c r="F3332" s="89"/>
      <c r="G3332" s="89"/>
      <c r="H3332" s="89"/>
      <c r="I3332" s="90"/>
      <c r="J3332" s="88" t="s">
        <v>13</v>
      </c>
      <c r="K3332" s="89"/>
      <c r="L3332" s="89"/>
      <c r="M3332" s="90"/>
      <c r="N3332" s="88" t="s">
        <v>26</v>
      </c>
      <c r="O3332" s="89"/>
      <c r="P3332" s="90"/>
      <c r="Q3332" s="133">
        <v>2000</v>
      </c>
      <c r="R3332" s="134"/>
      <c r="S3332" s="5" t="s">
        <v>814</v>
      </c>
      <c r="T3332" s="6"/>
      <c r="U3332" s="8">
        <v>7</v>
      </c>
      <c r="V3332" s="5" t="s">
        <v>106</v>
      </c>
      <c r="W3332" s="12">
        <v>17675361</v>
      </c>
      <c r="X3332" s="6"/>
      <c r="Y3332" s="6"/>
    </row>
    <row r="3333" spans="1:25" ht="15" customHeight="1" x14ac:dyDescent="0.2">
      <c r="A3333" s="88" t="s">
        <v>3652</v>
      </c>
      <c r="B3333" s="90"/>
      <c r="C3333" s="88" t="s">
        <v>3931</v>
      </c>
      <c r="D3333" s="90"/>
      <c r="E3333" s="88" t="s">
        <v>3929</v>
      </c>
      <c r="F3333" s="89"/>
      <c r="G3333" s="89"/>
      <c r="H3333" s="89"/>
      <c r="I3333" s="90"/>
      <c r="J3333" s="88" t="s">
        <v>13</v>
      </c>
      <c r="K3333" s="89"/>
      <c r="L3333" s="89"/>
      <c r="M3333" s="90"/>
      <c r="N3333" s="88" t="s">
        <v>26</v>
      </c>
      <c r="O3333" s="89"/>
      <c r="P3333" s="90"/>
      <c r="Q3333" s="133">
        <v>2000</v>
      </c>
      <c r="R3333" s="134"/>
      <c r="S3333" s="5" t="s">
        <v>70</v>
      </c>
      <c r="T3333" s="6"/>
      <c r="U3333" s="8">
        <v>6</v>
      </c>
      <c r="V3333" s="5" t="s">
        <v>106</v>
      </c>
      <c r="W3333" s="12">
        <v>19235710</v>
      </c>
      <c r="X3333" s="6"/>
      <c r="Y3333" s="6"/>
    </row>
    <row r="3334" spans="1:25" ht="15" customHeight="1" x14ac:dyDescent="0.2">
      <c r="A3334" s="88" t="s">
        <v>3652</v>
      </c>
      <c r="B3334" s="90"/>
      <c r="C3334" s="88" t="s">
        <v>3931</v>
      </c>
      <c r="D3334" s="90"/>
      <c r="E3334" s="88" t="s">
        <v>3929</v>
      </c>
      <c r="F3334" s="89"/>
      <c r="G3334" s="89"/>
      <c r="H3334" s="89"/>
      <c r="I3334" s="90"/>
      <c r="J3334" s="88" t="s">
        <v>13</v>
      </c>
      <c r="K3334" s="89"/>
      <c r="L3334" s="89"/>
      <c r="M3334" s="90"/>
      <c r="N3334" s="88" t="s">
        <v>26</v>
      </c>
      <c r="O3334" s="89"/>
      <c r="P3334" s="90"/>
      <c r="Q3334" s="133">
        <v>2200</v>
      </c>
      <c r="R3334" s="134"/>
      <c r="S3334" s="5" t="s">
        <v>814</v>
      </c>
      <c r="T3334" s="6"/>
      <c r="U3334" s="8">
        <v>7</v>
      </c>
      <c r="V3334" s="5" t="s">
        <v>106</v>
      </c>
      <c r="W3334" s="12">
        <v>20025057</v>
      </c>
      <c r="X3334" s="6"/>
      <c r="Y3334" s="6"/>
    </row>
    <row r="3335" spans="1:25" ht="15" customHeight="1" x14ac:dyDescent="0.2">
      <c r="A3335" s="88" t="s">
        <v>3652</v>
      </c>
      <c r="B3335" s="90"/>
      <c r="C3335" s="88" t="s">
        <v>3932</v>
      </c>
      <c r="D3335" s="90"/>
      <c r="E3335" s="106"/>
      <c r="F3335" s="107"/>
      <c r="G3335" s="107"/>
      <c r="H3335" s="107"/>
      <c r="I3335" s="108"/>
      <c r="J3335" s="88" t="s">
        <v>13</v>
      </c>
      <c r="K3335" s="89"/>
      <c r="L3335" s="89"/>
      <c r="M3335" s="90"/>
      <c r="N3335" s="88" t="s">
        <v>26</v>
      </c>
      <c r="O3335" s="89"/>
      <c r="P3335" s="90"/>
      <c r="Q3335" s="133">
        <v>2200</v>
      </c>
      <c r="R3335" s="134"/>
      <c r="S3335" s="5" t="s">
        <v>70</v>
      </c>
      <c r="T3335" s="6"/>
      <c r="U3335" s="8">
        <v>6</v>
      </c>
      <c r="V3335" s="5" t="s">
        <v>106</v>
      </c>
      <c r="W3335" s="12">
        <v>18679706</v>
      </c>
      <c r="X3335" s="6"/>
      <c r="Y3335" s="6"/>
    </row>
    <row r="3336" spans="1:25" ht="15" customHeight="1" x14ac:dyDescent="0.2">
      <c r="A3336" s="88" t="s">
        <v>3652</v>
      </c>
      <c r="B3336" s="90"/>
      <c r="C3336" s="88" t="s">
        <v>3932</v>
      </c>
      <c r="D3336" s="90"/>
      <c r="E3336" s="106"/>
      <c r="F3336" s="107"/>
      <c r="G3336" s="107"/>
      <c r="H3336" s="107"/>
      <c r="I3336" s="108"/>
      <c r="J3336" s="88" t="s">
        <v>13</v>
      </c>
      <c r="K3336" s="89"/>
      <c r="L3336" s="89"/>
      <c r="M3336" s="90"/>
      <c r="N3336" s="88" t="s">
        <v>26</v>
      </c>
      <c r="O3336" s="89"/>
      <c r="P3336" s="90"/>
      <c r="Q3336" s="133">
        <v>2200</v>
      </c>
      <c r="R3336" s="134"/>
      <c r="S3336" s="5" t="s">
        <v>814</v>
      </c>
      <c r="T3336" s="6"/>
      <c r="U3336" s="8">
        <v>7</v>
      </c>
      <c r="V3336" s="5" t="s">
        <v>106</v>
      </c>
      <c r="W3336" s="12">
        <v>13831476</v>
      </c>
      <c r="X3336" s="6"/>
      <c r="Y3336" s="6"/>
    </row>
    <row r="3337" spans="1:25" ht="15" customHeight="1" x14ac:dyDescent="0.2">
      <c r="A3337" s="88" t="s">
        <v>3652</v>
      </c>
      <c r="B3337" s="90"/>
      <c r="C3337" s="88" t="s">
        <v>3933</v>
      </c>
      <c r="D3337" s="90"/>
      <c r="E3337" s="106"/>
      <c r="F3337" s="107"/>
      <c r="G3337" s="107"/>
      <c r="H3337" s="107"/>
      <c r="I3337" s="108"/>
      <c r="J3337" s="88" t="s">
        <v>13</v>
      </c>
      <c r="K3337" s="89"/>
      <c r="L3337" s="89"/>
      <c r="M3337" s="90"/>
      <c r="N3337" s="88" t="s">
        <v>26</v>
      </c>
      <c r="O3337" s="89"/>
      <c r="P3337" s="90"/>
      <c r="Q3337" s="133">
        <v>2200</v>
      </c>
      <c r="R3337" s="134"/>
      <c r="S3337" s="5" t="s">
        <v>814</v>
      </c>
      <c r="T3337" s="6"/>
      <c r="U3337" s="8">
        <v>7</v>
      </c>
      <c r="V3337" s="5" t="s">
        <v>106</v>
      </c>
      <c r="W3337" s="12">
        <v>15559104</v>
      </c>
      <c r="X3337" s="6"/>
      <c r="Y3337" s="6"/>
    </row>
    <row r="3338" spans="1:25" ht="15" customHeight="1" x14ac:dyDescent="0.2">
      <c r="A3338" s="88" t="s">
        <v>3652</v>
      </c>
      <c r="B3338" s="90"/>
      <c r="C3338" s="88" t="s">
        <v>3934</v>
      </c>
      <c r="D3338" s="89"/>
      <c r="E3338" s="89"/>
      <c r="F3338" s="89"/>
      <c r="G3338" s="89"/>
      <c r="H3338" s="89"/>
      <c r="I3338" s="90"/>
      <c r="J3338" s="88" t="s">
        <v>13</v>
      </c>
      <c r="K3338" s="89"/>
      <c r="L3338" s="89"/>
      <c r="M3338" s="90"/>
      <c r="N3338" s="88" t="s">
        <v>26</v>
      </c>
      <c r="O3338" s="89"/>
      <c r="P3338" s="90"/>
      <c r="Q3338" s="133">
        <v>2200</v>
      </c>
      <c r="R3338" s="134"/>
      <c r="S3338" s="5" t="s">
        <v>70</v>
      </c>
      <c r="T3338" s="6"/>
      <c r="U3338" s="8">
        <v>6</v>
      </c>
      <c r="V3338" s="5" t="s">
        <v>106</v>
      </c>
      <c r="W3338" s="12">
        <v>15482571</v>
      </c>
      <c r="X3338" s="6"/>
      <c r="Y3338" s="6"/>
    </row>
    <row r="3339" spans="1:25" ht="15" customHeight="1" x14ac:dyDescent="0.2">
      <c r="A3339" s="88" t="s">
        <v>3652</v>
      </c>
      <c r="B3339" s="90"/>
      <c r="C3339" s="88" t="s">
        <v>3935</v>
      </c>
      <c r="D3339" s="89"/>
      <c r="E3339" s="89"/>
      <c r="F3339" s="89"/>
      <c r="G3339" s="89"/>
      <c r="H3339" s="89"/>
      <c r="I3339" s="90"/>
      <c r="J3339" s="88" t="s">
        <v>13</v>
      </c>
      <c r="K3339" s="89"/>
      <c r="L3339" s="89"/>
      <c r="M3339" s="90"/>
      <c r="N3339" s="88" t="s">
        <v>26</v>
      </c>
      <c r="O3339" s="89"/>
      <c r="P3339" s="90"/>
      <c r="Q3339" s="133">
        <v>2000</v>
      </c>
      <c r="R3339" s="134"/>
      <c r="S3339" s="5" t="s">
        <v>814</v>
      </c>
      <c r="T3339" s="6"/>
      <c r="U3339" s="8">
        <v>7</v>
      </c>
      <c r="V3339" s="5" t="s">
        <v>106</v>
      </c>
      <c r="W3339" s="12">
        <v>20726438</v>
      </c>
      <c r="X3339" s="6"/>
      <c r="Y3339" s="6"/>
    </row>
    <row r="3340" spans="1:25" ht="15" customHeight="1" x14ac:dyDescent="0.2">
      <c r="A3340" s="88" t="s">
        <v>3652</v>
      </c>
      <c r="B3340" s="90"/>
      <c r="C3340" s="88" t="s">
        <v>3936</v>
      </c>
      <c r="D3340" s="90"/>
      <c r="E3340" s="88" t="s">
        <v>3929</v>
      </c>
      <c r="F3340" s="89"/>
      <c r="G3340" s="89"/>
      <c r="H3340" s="89"/>
      <c r="I3340" s="90"/>
      <c r="J3340" s="88" t="s">
        <v>13</v>
      </c>
      <c r="K3340" s="89"/>
      <c r="L3340" s="89"/>
      <c r="M3340" s="90"/>
      <c r="N3340" s="88" t="s">
        <v>26</v>
      </c>
      <c r="O3340" s="89"/>
      <c r="P3340" s="90"/>
      <c r="Q3340" s="133">
        <v>2000</v>
      </c>
      <c r="R3340" s="134"/>
      <c r="S3340" s="5" t="s">
        <v>70</v>
      </c>
      <c r="T3340" s="6"/>
      <c r="U3340" s="8">
        <v>6</v>
      </c>
      <c r="V3340" s="5" t="s">
        <v>106</v>
      </c>
      <c r="W3340" s="12">
        <v>19064029</v>
      </c>
      <c r="X3340" s="6"/>
      <c r="Y3340" s="6"/>
    </row>
    <row r="3341" spans="1:25" ht="15" customHeight="1" x14ac:dyDescent="0.2">
      <c r="A3341" s="88" t="s">
        <v>3652</v>
      </c>
      <c r="B3341" s="90"/>
      <c r="C3341" s="88" t="s">
        <v>3936</v>
      </c>
      <c r="D3341" s="90"/>
      <c r="E3341" s="88" t="s">
        <v>3929</v>
      </c>
      <c r="F3341" s="89"/>
      <c r="G3341" s="89"/>
      <c r="H3341" s="89"/>
      <c r="I3341" s="90"/>
      <c r="J3341" s="88" t="s">
        <v>13</v>
      </c>
      <c r="K3341" s="89"/>
      <c r="L3341" s="89"/>
      <c r="M3341" s="90"/>
      <c r="N3341" s="88" t="s">
        <v>26</v>
      </c>
      <c r="O3341" s="89"/>
      <c r="P3341" s="90"/>
      <c r="Q3341" s="133">
        <v>2200</v>
      </c>
      <c r="R3341" s="134"/>
      <c r="S3341" s="5" t="s">
        <v>814</v>
      </c>
      <c r="T3341" s="6"/>
      <c r="U3341" s="8">
        <v>7</v>
      </c>
      <c r="V3341" s="5" t="s">
        <v>106</v>
      </c>
      <c r="W3341" s="12">
        <v>15890129</v>
      </c>
      <c r="X3341" s="6"/>
      <c r="Y3341" s="6"/>
    </row>
    <row r="3342" spans="1:25" ht="15" customHeight="1" x14ac:dyDescent="0.2">
      <c r="A3342" s="88" t="s">
        <v>3652</v>
      </c>
      <c r="B3342" s="90"/>
      <c r="C3342" s="88" t="s">
        <v>3937</v>
      </c>
      <c r="D3342" s="90"/>
      <c r="E3342" s="106"/>
      <c r="F3342" s="107"/>
      <c r="G3342" s="107"/>
      <c r="H3342" s="107"/>
      <c r="I3342" s="108"/>
      <c r="J3342" s="88" t="s">
        <v>13</v>
      </c>
      <c r="K3342" s="89"/>
      <c r="L3342" s="89"/>
      <c r="M3342" s="90"/>
      <c r="N3342" s="88" t="s">
        <v>26</v>
      </c>
      <c r="O3342" s="89"/>
      <c r="P3342" s="90"/>
      <c r="Q3342" s="133">
        <v>2200</v>
      </c>
      <c r="R3342" s="134"/>
      <c r="S3342" s="5" t="s">
        <v>70</v>
      </c>
      <c r="T3342" s="6"/>
      <c r="U3342" s="8">
        <v>6</v>
      </c>
      <c r="V3342" s="5" t="s">
        <v>106</v>
      </c>
      <c r="W3342" s="12">
        <v>14446572</v>
      </c>
      <c r="X3342" s="6"/>
      <c r="Y3342" s="6"/>
    </row>
    <row r="3343" spans="1:25" ht="15" customHeight="1" x14ac:dyDescent="0.2">
      <c r="A3343" s="88" t="s">
        <v>3652</v>
      </c>
      <c r="B3343" s="90"/>
      <c r="C3343" s="88" t="s">
        <v>3937</v>
      </c>
      <c r="D3343" s="90"/>
      <c r="E3343" s="106"/>
      <c r="F3343" s="107"/>
      <c r="G3343" s="107"/>
      <c r="H3343" s="107"/>
      <c r="I3343" s="108"/>
      <c r="J3343" s="88" t="s">
        <v>13</v>
      </c>
      <c r="K3343" s="89"/>
      <c r="L3343" s="89"/>
      <c r="M3343" s="90"/>
      <c r="N3343" s="88" t="s">
        <v>26</v>
      </c>
      <c r="O3343" s="89"/>
      <c r="P3343" s="90"/>
      <c r="Q3343" s="133">
        <v>2200</v>
      </c>
      <c r="R3343" s="134"/>
      <c r="S3343" s="5" t="s">
        <v>814</v>
      </c>
      <c r="T3343" s="6"/>
      <c r="U3343" s="8">
        <v>7</v>
      </c>
      <c r="V3343" s="5" t="s">
        <v>106</v>
      </c>
      <c r="W3343" s="12">
        <v>19975082</v>
      </c>
      <c r="X3343" s="6"/>
      <c r="Y3343" s="6"/>
    </row>
    <row r="3344" spans="1:25" ht="15" customHeight="1" x14ac:dyDescent="0.2">
      <c r="A3344" s="88" t="s">
        <v>3652</v>
      </c>
      <c r="B3344" s="90"/>
      <c r="C3344" s="88" t="s">
        <v>3938</v>
      </c>
      <c r="D3344" s="89"/>
      <c r="E3344" s="89"/>
      <c r="F3344" s="89"/>
      <c r="G3344" s="89"/>
      <c r="H3344" s="89"/>
      <c r="I3344" s="90"/>
      <c r="J3344" s="88" t="s">
        <v>13</v>
      </c>
      <c r="K3344" s="89"/>
      <c r="L3344" s="89"/>
      <c r="M3344" s="90"/>
      <c r="N3344" s="88" t="s">
        <v>26</v>
      </c>
      <c r="O3344" s="89"/>
      <c r="P3344" s="90"/>
      <c r="Q3344" s="133">
        <v>2200</v>
      </c>
      <c r="R3344" s="134"/>
      <c r="S3344" s="5" t="s">
        <v>70</v>
      </c>
      <c r="T3344" s="6"/>
      <c r="U3344" s="8">
        <v>6</v>
      </c>
      <c r="V3344" s="5" t="s">
        <v>106</v>
      </c>
      <c r="W3344" s="12">
        <v>18633066</v>
      </c>
      <c r="X3344" s="6"/>
      <c r="Y3344" s="6"/>
    </row>
    <row r="3345" spans="1:25" ht="15" customHeight="1" x14ac:dyDescent="0.2">
      <c r="A3345" s="88" t="s">
        <v>3652</v>
      </c>
      <c r="B3345" s="90"/>
      <c r="C3345" s="88" t="s">
        <v>3938</v>
      </c>
      <c r="D3345" s="89"/>
      <c r="E3345" s="89"/>
      <c r="F3345" s="89"/>
      <c r="G3345" s="89"/>
      <c r="H3345" s="89"/>
      <c r="I3345" s="90"/>
      <c r="J3345" s="88" t="s">
        <v>13</v>
      </c>
      <c r="K3345" s="89"/>
      <c r="L3345" s="89"/>
      <c r="M3345" s="90"/>
      <c r="N3345" s="88" t="s">
        <v>26</v>
      </c>
      <c r="O3345" s="89"/>
      <c r="P3345" s="90"/>
      <c r="Q3345" s="133">
        <v>2000</v>
      </c>
      <c r="R3345" s="134"/>
      <c r="S3345" s="5" t="s">
        <v>814</v>
      </c>
      <c r="T3345" s="6"/>
      <c r="U3345" s="8">
        <v>7</v>
      </c>
      <c r="V3345" s="5" t="s">
        <v>106</v>
      </c>
      <c r="W3345" s="12">
        <v>13582768</v>
      </c>
      <c r="X3345" s="6"/>
      <c r="Y3345" s="6"/>
    </row>
    <row r="3346" spans="1:25" ht="15" customHeight="1" x14ac:dyDescent="0.2">
      <c r="A3346" s="88" t="s">
        <v>3652</v>
      </c>
      <c r="B3346" s="90"/>
      <c r="C3346" s="88" t="s">
        <v>3939</v>
      </c>
      <c r="D3346" s="90"/>
      <c r="E3346" s="106"/>
      <c r="F3346" s="107"/>
      <c r="G3346" s="107"/>
      <c r="H3346" s="107"/>
      <c r="I3346" s="108"/>
      <c r="J3346" s="88" t="s">
        <v>13</v>
      </c>
      <c r="K3346" s="89"/>
      <c r="L3346" s="89"/>
      <c r="M3346" s="90"/>
      <c r="N3346" s="88" t="s">
        <v>26</v>
      </c>
      <c r="O3346" s="89"/>
      <c r="P3346" s="90"/>
      <c r="Q3346" s="133">
        <v>2000</v>
      </c>
      <c r="R3346" s="134"/>
      <c r="S3346" s="5" t="s">
        <v>70</v>
      </c>
      <c r="T3346" s="6"/>
      <c r="U3346" s="8">
        <v>6</v>
      </c>
      <c r="V3346" s="5" t="s">
        <v>106</v>
      </c>
      <c r="W3346" s="12">
        <v>14781843</v>
      </c>
      <c r="X3346" s="6"/>
      <c r="Y3346" s="6"/>
    </row>
    <row r="3347" spans="1:25" ht="15" customHeight="1" x14ac:dyDescent="0.2">
      <c r="A3347" s="88" t="s">
        <v>3652</v>
      </c>
      <c r="B3347" s="90"/>
      <c r="C3347" s="88" t="s">
        <v>3939</v>
      </c>
      <c r="D3347" s="90"/>
      <c r="E3347" s="106"/>
      <c r="F3347" s="107"/>
      <c r="G3347" s="107"/>
      <c r="H3347" s="107"/>
      <c r="I3347" s="108"/>
      <c r="J3347" s="88" t="s">
        <v>13</v>
      </c>
      <c r="K3347" s="89"/>
      <c r="L3347" s="89"/>
      <c r="M3347" s="90"/>
      <c r="N3347" s="88" t="s">
        <v>26</v>
      </c>
      <c r="O3347" s="89"/>
      <c r="P3347" s="90"/>
      <c r="Q3347" s="133">
        <v>2200</v>
      </c>
      <c r="R3347" s="134"/>
      <c r="S3347" s="5" t="s">
        <v>814</v>
      </c>
      <c r="T3347" s="6"/>
      <c r="U3347" s="8">
        <v>7</v>
      </c>
      <c r="V3347" s="5" t="s">
        <v>106</v>
      </c>
      <c r="W3347" s="12">
        <v>16711814</v>
      </c>
      <c r="X3347" s="6"/>
      <c r="Y3347" s="6"/>
    </row>
    <row r="3348" spans="1:25" ht="15" customHeight="1" x14ac:dyDescent="0.2">
      <c r="A3348" s="88" t="s">
        <v>3652</v>
      </c>
      <c r="B3348" s="90"/>
      <c r="C3348" s="88" t="s">
        <v>3940</v>
      </c>
      <c r="D3348" s="90"/>
      <c r="E3348" s="88" t="s">
        <v>3929</v>
      </c>
      <c r="F3348" s="89"/>
      <c r="G3348" s="89"/>
      <c r="H3348" s="89"/>
      <c r="I3348" s="90"/>
      <c r="J3348" s="88" t="s">
        <v>13</v>
      </c>
      <c r="K3348" s="89"/>
      <c r="L3348" s="89"/>
      <c r="M3348" s="90"/>
      <c r="N3348" s="88" t="s">
        <v>26</v>
      </c>
      <c r="O3348" s="89"/>
      <c r="P3348" s="90"/>
      <c r="Q3348" s="133">
        <v>2200</v>
      </c>
      <c r="R3348" s="134"/>
      <c r="S3348" s="5" t="s">
        <v>70</v>
      </c>
      <c r="T3348" s="6"/>
      <c r="U3348" s="8">
        <v>6</v>
      </c>
      <c r="V3348" s="5" t="s">
        <v>106</v>
      </c>
      <c r="W3348" s="12">
        <v>18706664</v>
      </c>
      <c r="X3348" s="6"/>
      <c r="Y3348" s="6"/>
    </row>
    <row r="3349" spans="1:25" ht="15" customHeight="1" x14ac:dyDescent="0.2">
      <c r="A3349" s="88" t="s">
        <v>3652</v>
      </c>
      <c r="B3349" s="90"/>
      <c r="C3349" s="88" t="s">
        <v>3940</v>
      </c>
      <c r="D3349" s="90"/>
      <c r="E3349" s="88" t="s">
        <v>3929</v>
      </c>
      <c r="F3349" s="89"/>
      <c r="G3349" s="89"/>
      <c r="H3349" s="89"/>
      <c r="I3349" s="90"/>
      <c r="J3349" s="88" t="s">
        <v>13</v>
      </c>
      <c r="K3349" s="89"/>
      <c r="L3349" s="89"/>
      <c r="M3349" s="90"/>
      <c r="N3349" s="88" t="s">
        <v>26</v>
      </c>
      <c r="O3349" s="89"/>
      <c r="P3349" s="90"/>
      <c r="Q3349" s="133">
        <v>2200</v>
      </c>
      <c r="R3349" s="134"/>
      <c r="S3349" s="5" t="s">
        <v>814</v>
      </c>
      <c r="T3349" s="6"/>
      <c r="U3349" s="8">
        <v>7</v>
      </c>
      <c r="V3349" s="5" t="s">
        <v>106</v>
      </c>
      <c r="W3349" s="12">
        <v>14358011</v>
      </c>
      <c r="X3349" s="6"/>
      <c r="Y3349" s="6"/>
    </row>
    <row r="3350" spans="1:25" ht="15" customHeight="1" x14ac:dyDescent="0.2">
      <c r="A3350" s="88" t="s">
        <v>3652</v>
      </c>
      <c r="B3350" s="90"/>
      <c r="C3350" s="88" t="s">
        <v>3941</v>
      </c>
      <c r="D3350" s="90"/>
      <c r="E3350" s="88" t="s">
        <v>3942</v>
      </c>
      <c r="F3350" s="89"/>
      <c r="G3350" s="89"/>
      <c r="H3350" s="89"/>
      <c r="I3350" s="90"/>
      <c r="J3350" s="88" t="s">
        <v>13</v>
      </c>
      <c r="K3350" s="89"/>
      <c r="L3350" s="89"/>
      <c r="M3350" s="90"/>
      <c r="N3350" s="88" t="s">
        <v>26</v>
      </c>
      <c r="O3350" s="89"/>
      <c r="P3350" s="90"/>
      <c r="Q3350" s="133">
        <v>2000</v>
      </c>
      <c r="R3350" s="134"/>
      <c r="S3350" s="5" t="s">
        <v>814</v>
      </c>
      <c r="T3350" s="6"/>
      <c r="U3350" s="8">
        <v>7</v>
      </c>
      <c r="V3350" s="5" t="s">
        <v>23</v>
      </c>
      <c r="W3350" s="12">
        <v>18024194</v>
      </c>
      <c r="X3350" s="6"/>
      <c r="Y3350" s="6"/>
    </row>
    <row r="3351" spans="1:25" ht="15" customHeight="1" x14ac:dyDescent="0.2">
      <c r="A3351" s="88" t="s">
        <v>3652</v>
      </c>
      <c r="B3351" s="90"/>
      <c r="C3351" s="88" t="s">
        <v>3943</v>
      </c>
      <c r="D3351" s="90"/>
      <c r="E3351" s="106"/>
      <c r="F3351" s="107"/>
      <c r="G3351" s="107"/>
      <c r="H3351" s="107"/>
      <c r="I3351" s="108"/>
      <c r="J3351" s="88" t="s">
        <v>3944</v>
      </c>
      <c r="K3351" s="89"/>
      <c r="L3351" s="89"/>
      <c r="M3351" s="90"/>
      <c r="N3351" s="88" t="s">
        <v>701</v>
      </c>
      <c r="O3351" s="89"/>
      <c r="P3351" s="90"/>
      <c r="Q3351" s="133">
        <v>1991</v>
      </c>
      <c r="R3351" s="134"/>
      <c r="S3351" s="5" t="s">
        <v>16</v>
      </c>
      <c r="T3351" s="8">
        <v>1750</v>
      </c>
      <c r="U3351" s="8">
        <v>5</v>
      </c>
      <c r="V3351" s="5" t="s">
        <v>23</v>
      </c>
      <c r="W3351" s="12">
        <v>9167437</v>
      </c>
      <c r="X3351" s="6"/>
      <c r="Y3351" s="6"/>
    </row>
    <row r="3352" spans="1:25" ht="15" customHeight="1" x14ac:dyDescent="0.2">
      <c r="A3352" s="88" t="s">
        <v>3652</v>
      </c>
      <c r="B3352" s="90"/>
      <c r="C3352" s="88" t="s">
        <v>3945</v>
      </c>
      <c r="D3352" s="90"/>
      <c r="E3352" s="106"/>
      <c r="F3352" s="107"/>
      <c r="G3352" s="107"/>
      <c r="H3352" s="107"/>
      <c r="I3352" s="108"/>
      <c r="J3352" s="88" t="s">
        <v>3944</v>
      </c>
      <c r="K3352" s="89"/>
      <c r="L3352" s="89"/>
      <c r="M3352" s="90"/>
      <c r="N3352" s="88" t="s">
        <v>701</v>
      </c>
      <c r="O3352" s="89"/>
      <c r="P3352" s="90"/>
      <c r="Q3352" s="133">
        <v>1991</v>
      </c>
      <c r="R3352" s="134"/>
      <c r="S3352" s="5" t="s">
        <v>16</v>
      </c>
      <c r="T3352" s="8">
        <v>1750</v>
      </c>
      <c r="U3352" s="8">
        <v>5</v>
      </c>
      <c r="V3352" s="5" t="s">
        <v>23</v>
      </c>
      <c r="W3352" s="12">
        <v>9693516</v>
      </c>
      <c r="X3352" s="6"/>
      <c r="Y3352" s="6"/>
    </row>
    <row r="3353" spans="1:25" ht="15" customHeight="1" x14ac:dyDescent="0.2">
      <c r="A3353" s="88" t="s">
        <v>3652</v>
      </c>
      <c r="B3353" s="90"/>
      <c r="C3353" s="88" t="s">
        <v>3946</v>
      </c>
      <c r="D3353" s="90"/>
      <c r="E3353" s="106"/>
      <c r="F3353" s="107"/>
      <c r="G3353" s="107"/>
      <c r="H3353" s="107"/>
      <c r="I3353" s="108"/>
      <c r="J3353" s="88" t="s">
        <v>3944</v>
      </c>
      <c r="K3353" s="89"/>
      <c r="L3353" s="89"/>
      <c r="M3353" s="90"/>
      <c r="N3353" s="88" t="s">
        <v>701</v>
      </c>
      <c r="O3353" s="89"/>
      <c r="P3353" s="90"/>
      <c r="Q3353" s="133">
        <v>1991</v>
      </c>
      <c r="R3353" s="134"/>
      <c r="S3353" s="5" t="s">
        <v>16</v>
      </c>
      <c r="T3353" s="8">
        <v>1750</v>
      </c>
      <c r="U3353" s="8">
        <v>5</v>
      </c>
      <c r="V3353" s="5" t="s">
        <v>23</v>
      </c>
      <c r="W3353" s="12">
        <v>10521563</v>
      </c>
      <c r="X3353" s="6"/>
      <c r="Y3353" s="6"/>
    </row>
    <row r="3354" spans="1:25" ht="15" customHeight="1" x14ac:dyDescent="0.2">
      <c r="A3354" s="88" t="s">
        <v>3652</v>
      </c>
      <c r="B3354" s="90"/>
      <c r="C3354" s="88" t="s">
        <v>3947</v>
      </c>
      <c r="D3354" s="90"/>
      <c r="E3354" s="88" t="s">
        <v>3948</v>
      </c>
      <c r="F3354" s="89"/>
      <c r="G3354" s="89"/>
      <c r="H3354" s="89"/>
      <c r="I3354" s="90"/>
      <c r="J3354" s="88" t="s">
        <v>3944</v>
      </c>
      <c r="K3354" s="89"/>
      <c r="L3354" s="89"/>
      <c r="M3354" s="90"/>
      <c r="N3354" s="88" t="s">
        <v>701</v>
      </c>
      <c r="O3354" s="89"/>
      <c r="P3354" s="90"/>
      <c r="Q3354" s="133">
        <v>1991</v>
      </c>
      <c r="R3354" s="134"/>
      <c r="S3354" s="5" t="s">
        <v>16</v>
      </c>
      <c r="T3354" s="8">
        <v>1807</v>
      </c>
      <c r="U3354" s="8">
        <v>5</v>
      </c>
      <c r="V3354" s="5" t="s">
        <v>23</v>
      </c>
      <c r="W3354" s="12">
        <v>12363888</v>
      </c>
      <c r="X3354" s="6"/>
      <c r="Y3354" s="6"/>
    </row>
    <row r="3355" spans="1:25" ht="15" customHeight="1" x14ac:dyDescent="0.2">
      <c r="A3355" s="88" t="s">
        <v>3652</v>
      </c>
      <c r="B3355" s="90"/>
      <c r="C3355" s="88" t="s">
        <v>3949</v>
      </c>
      <c r="D3355" s="90"/>
      <c r="E3355" s="106"/>
      <c r="F3355" s="107"/>
      <c r="G3355" s="107"/>
      <c r="H3355" s="107"/>
      <c r="I3355" s="108"/>
      <c r="J3355" s="88" t="s">
        <v>3944</v>
      </c>
      <c r="K3355" s="89"/>
      <c r="L3355" s="89"/>
      <c r="M3355" s="90"/>
      <c r="N3355" s="88" t="s">
        <v>701</v>
      </c>
      <c r="O3355" s="89"/>
      <c r="P3355" s="90"/>
      <c r="Q3355" s="133">
        <v>1991</v>
      </c>
      <c r="R3355" s="134"/>
      <c r="S3355" s="5" t="s">
        <v>16</v>
      </c>
      <c r="T3355" s="8">
        <v>1807</v>
      </c>
      <c r="U3355" s="8">
        <v>5</v>
      </c>
      <c r="V3355" s="5" t="s">
        <v>23</v>
      </c>
      <c r="W3355" s="12">
        <v>13630684</v>
      </c>
      <c r="X3355" s="6"/>
      <c r="Y3355" s="6"/>
    </row>
    <row r="3356" spans="1:25" ht="15" customHeight="1" x14ac:dyDescent="0.2">
      <c r="A3356" s="88" t="s">
        <v>3652</v>
      </c>
      <c r="B3356" s="90"/>
      <c r="C3356" s="88" t="s">
        <v>3950</v>
      </c>
      <c r="D3356" s="90"/>
      <c r="E3356" s="106"/>
      <c r="F3356" s="107"/>
      <c r="G3356" s="107"/>
      <c r="H3356" s="107"/>
      <c r="I3356" s="108"/>
      <c r="J3356" s="88" t="s">
        <v>3944</v>
      </c>
      <c r="K3356" s="89"/>
      <c r="L3356" s="89"/>
      <c r="M3356" s="90"/>
      <c r="N3356" s="88" t="s">
        <v>701</v>
      </c>
      <c r="O3356" s="89"/>
      <c r="P3356" s="90"/>
      <c r="Q3356" s="133">
        <v>1991</v>
      </c>
      <c r="R3356" s="134"/>
      <c r="S3356" s="5" t="s">
        <v>16</v>
      </c>
      <c r="T3356" s="8">
        <v>1807</v>
      </c>
      <c r="U3356" s="8">
        <v>5</v>
      </c>
      <c r="V3356" s="5" t="s">
        <v>23</v>
      </c>
      <c r="W3356" s="12">
        <v>14893272</v>
      </c>
      <c r="X3356" s="6"/>
      <c r="Y3356" s="6"/>
    </row>
    <row r="3357" spans="1:25" ht="15" customHeight="1" x14ac:dyDescent="0.2">
      <c r="A3357" s="88" t="s">
        <v>3951</v>
      </c>
      <c r="B3357" s="90"/>
      <c r="C3357" s="88" t="s">
        <v>3952</v>
      </c>
      <c r="D3357" s="90"/>
      <c r="E3357" s="88" t="s">
        <v>3953</v>
      </c>
      <c r="F3357" s="89"/>
      <c r="G3357" s="89"/>
      <c r="H3357" s="89"/>
      <c r="I3357" s="90"/>
      <c r="J3357" s="88" t="s">
        <v>13</v>
      </c>
      <c r="K3357" s="89"/>
      <c r="L3357" s="89"/>
      <c r="M3357" s="90"/>
      <c r="N3357" s="88" t="s">
        <v>2360</v>
      </c>
      <c r="O3357" s="89"/>
      <c r="P3357" s="90"/>
      <c r="Q3357" s="133">
        <v>12800</v>
      </c>
      <c r="R3357" s="134"/>
      <c r="S3357" s="5" t="s">
        <v>945</v>
      </c>
      <c r="T3357" s="6"/>
      <c r="U3357" s="8">
        <v>2</v>
      </c>
      <c r="V3357" s="5" t="s">
        <v>106</v>
      </c>
      <c r="W3357" s="10">
        <v>25076750</v>
      </c>
      <c r="X3357" s="6"/>
      <c r="Y3357" s="6"/>
    </row>
    <row r="3358" spans="1:25" ht="15" customHeight="1" x14ac:dyDescent="0.2">
      <c r="A3358" s="88" t="s">
        <v>3951</v>
      </c>
      <c r="B3358" s="90"/>
      <c r="C3358" s="88" t="s">
        <v>3954</v>
      </c>
      <c r="D3358" s="90"/>
      <c r="E3358" s="88" t="s">
        <v>3955</v>
      </c>
      <c r="F3358" s="89"/>
      <c r="G3358" s="89"/>
      <c r="H3358" s="89"/>
      <c r="I3358" s="90"/>
      <c r="J3358" s="88" t="s">
        <v>13</v>
      </c>
      <c r="K3358" s="89"/>
      <c r="L3358" s="89"/>
      <c r="M3358" s="90"/>
      <c r="N3358" s="88" t="s">
        <v>2360</v>
      </c>
      <c r="O3358" s="89"/>
      <c r="P3358" s="90"/>
      <c r="Q3358" s="133">
        <v>12800</v>
      </c>
      <c r="R3358" s="134"/>
      <c r="S3358" s="5" t="s">
        <v>945</v>
      </c>
      <c r="T3358" s="6"/>
      <c r="U3358" s="8">
        <v>2</v>
      </c>
      <c r="V3358" s="5" t="s">
        <v>106</v>
      </c>
      <c r="W3358" s="10">
        <v>23936897</v>
      </c>
      <c r="X3358" s="6"/>
      <c r="Y3358" s="6"/>
    </row>
    <row r="3359" spans="1:25" ht="15" customHeight="1" x14ac:dyDescent="0.2">
      <c r="A3359" s="88" t="s">
        <v>3951</v>
      </c>
      <c r="B3359" s="90"/>
      <c r="C3359" s="88" t="s">
        <v>3956</v>
      </c>
      <c r="D3359" s="90"/>
      <c r="E3359" s="88" t="s">
        <v>3957</v>
      </c>
      <c r="F3359" s="89"/>
      <c r="G3359" s="89"/>
      <c r="H3359" s="89"/>
      <c r="I3359" s="90"/>
      <c r="J3359" s="88" t="s">
        <v>13</v>
      </c>
      <c r="K3359" s="89"/>
      <c r="L3359" s="89"/>
      <c r="M3359" s="90"/>
      <c r="N3359" s="88" t="s">
        <v>2360</v>
      </c>
      <c r="O3359" s="89"/>
      <c r="P3359" s="90"/>
      <c r="Q3359" s="133">
        <v>12800</v>
      </c>
      <c r="R3359" s="134"/>
      <c r="S3359" s="5" t="s">
        <v>945</v>
      </c>
      <c r="T3359" s="6"/>
      <c r="U3359" s="8">
        <v>2</v>
      </c>
      <c r="V3359" s="5" t="s">
        <v>106</v>
      </c>
      <c r="W3359" s="10">
        <v>25076750</v>
      </c>
      <c r="X3359" s="6"/>
      <c r="Y3359" s="6"/>
    </row>
    <row r="3360" spans="1:25" ht="15" customHeight="1" x14ac:dyDescent="0.2">
      <c r="A3360" s="88" t="s">
        <v>3951</v>
      </c>
      <c r="B3360" s="90"/>
      <c r="C3360" s="88" t="s">
        <v>3958</v>
      </c>
      <c r="D3360" s="90"/>
      <c r="E3360" s="133">
        <v>3341</v>
      </c>
      <c r="F3360" s="135"/>
      <c r="G3360" s="135"/>
      <c r="H3360" s="135"/>
      <c r="I3360" s="134"/>
      <c r="J3360" s="88" t="s">
        <v>13</v>
      </c>
      <c r="K3360" s="89"/>
      <c r="L3360" s="89"/>
      <c r="M3360" s="90"/>
      <c r="N3360" s="88" t="s">
        <v>2360</v>
      </c>
      <c r="O3360" s="89"/>
      <c r="P3360" s="90"/>
      <c r="Q3360" s="133">
        <v>12800</v>
      </c>
      <c r="R3360" s="134"/>
      <c r="S3360" s="5" t="s">
        <v>945</v>
      </c>
      <c r="T3360" s="6"/>
      <c r="U3360" s="8">
        <v>2</v>
      </c>
      <c r="V3360" s="5" t="s">
        <v>106</v>
      </c>
      <c r="W3360" s="10">
        <v>25532690</v>
      </c>
      <c r="X3360" s="6"/>
      <c r="Y3360" s="6"/>
    </row>
    <row r="3361" spans="1:25" ht="15" customHeight="1" x14ac:dyDescent="0.2">
      <c r="A3361" s="88" t="s">
        <v>3951</v>
      </c>
      <c r="B3361" s="90"/>
      <c r="C3361" s="88" t="s">
        <v>3959</v>
      </c>
      <c r="D3361" s="90"/>
      <c r="E3361" s="133">
        <v>4148</v>
      </c>
      <c r="F3361" s="135"/>
      <c r="G3361" s="135"/>
      <c r="H3361" s="135"/>
      <c r="I3361" s="134"/>
      <c r="J3361" s="88" t="s">
        <v>13</v>
      </c>
      <c r="K3361" s="89"/>
      <c r="L3361" s="89"/>
      <c r="M3361" s="90"/>
      <c r="N3361" s="88" t="s">
        <v>2366</v>
      </c>
      <c r="O3361" s="89"/>
      <c r="P3361" s="90"/>
      <c r="Q3361" s="133">
        <v>15900</v>
      </c>
      <c r="R3361" s="134"/>
      <c r="S3361" s="5" t="s">
        <v>945</v>
      </c>
      <c r="T3361" s="6"/>
      <c r="U3361" s="8">
        <v>2</v>
      </c>
      <c r="V3361" s="5" t="s">
        <v>106</v>
      </c>
      <c r="W3361" s="10">
        <v>27356454</v>
      </c>
      <c r="X3361" s="6"/>
      <c r="Y3361" s="6"/>
    </row>
    <row r="3362" spans="1:25" ht="15" customHeight="1" x14ac:dyDescent="0.2">
      <c r="A3362" s="88" t="s">
        <v>3951</v>
      </c>
      <c r="B3362" s="90"/>
      <c r="C3362" s="88" t="s">
        <v>3960</v>
      </c>
      <c r="D3362" s="90"/>
      <c r="E3362" s="133">
        <v>5044</v>
      </c>
      <c r="F3362" s="135"/>
      <c r="G3362" s="135"/>
      <c r="H3362" s="135"/>
      <c r="I3362" s="134"/>
      <c r="J3362" s="88" t="s">
        <v>13</v>
      </c>
      <c r="K3362" s="89"/>
      <c r="L3362" s="89"/>
      <c r="M3362" s="90"/>
      <c r="N3362" s="88" t="s">
        <v>2366</v>
      </c>
      <c r="O3362" s="89"/>
      <c r="P3362" s="90"/>
      <c r="Q3362" s="133">
        <v>15900</v>
      </c>
      <c r="R3362" s="134"/>
      <c r="S3362" s="5" t="s">
        <v>945</v>
      </c>
      <c r="T3362" s="6"/>
      <c r="U3362" s="8">
        <v>2</v>
      </c>
      <c r="V3362" s="5" t="s">
        <v>106</v>
      </c>
      <c r="W3362" s="10">
        <v>28496306</v>
      </c>
      <c r="X3362" s="6"/>
      <c r="Y3362" s="6"/>
    </row>
    <row r="3363" spans="1:25" ht="15" customHeight="1" x14ac:dyDescent="0.2">
      <c r="A3363" s="88" t="s">
        <v>3951</v>
      </c>
      <c r="B3363" s="90"/>
      <c r="C3363" s="88" t="s">
        <v>3961</v>
      </c>
      <c r="D3363" s="90"/>
      <c r="E3363" s="133">
        <v>2653</v>
      </c>
      <c r="F3363" s="135"/>
      <c r="G3363" s="135"/>
      <c r="H3363" s="135"/>
      <c r="I3363" s="134"/>
      <c r="J3363" s="88" t="s">
        <v>13</v>
      </c>
      <c r="K3363" s="89"/>
      <c r="L3363" s="89"/>
      <c r="M3363" s="90"/>
      <c r="N3363" s="88" t="s">
        <v>2360</v>
      </c>
      <c r="O3363" s="89"/>
      <c r="P3363" s="90"/>
      <c r="Q3363" s="133">
        <v>15600</v>
      </c>
      <c r="R3363" s="134"/>
      <c r="S3363" s="5" t="s">
        <v>945</v>
      </c>
      <c r="T3363" s="6"/>
      <c r="U3363" s="8">
        <v>2</v>
      </c>
      <c r="V3363" s="5" t="s">
        <v>106</v>
      </c>
      <c r="W3363" s="10">
        <v>26216602</v>
      </c>
      <c r="X3363" s="6"/>
      <c r="Y3363" s="6"/>
    </row>
    <row r="3364" spans="1:25" ht="15" customHeight="1" x14ac:dyDescent="0.2">
      <c r="A3364" s="88" t="s">
        <v>3951</v>
      </c>
      <c r="B3364" s="90"/>
      <c r="C3364" s="88" t="s">
        <v>3962</v>
      </c>
      <c r="D3364" s="90"/>
      <c r="E3364" s="133">
        <v>1845</v>
      </c>
      <c r="F3364" s="135"/>
      <c r="G3364" s="135"/>
      <c r="H3364" s="135"/>
      <c r="I3364" s="134"/>
      <c r="J3364" s="88" t="s">
        <v>13</v>
      </c>
      <c r="K3364" s="89"/>
      <c r="L3364" s="89"/>
      <c r="M3364" s="90"/>
      <c r="N3364" s="88" t="s">
        <v>2362</v>
      </c>
      <c r="O3364" s="89"/>
      <c r="P3364" s="90"/>
      <c r="Q3364" s="133">
        <v>12800</v>
      </c>
      <c r="R3364" s="134"/>
      <c r="S3364" s="5" t="s">
        <v>945</v>
      </c>
      <c r="T3364" s="6"/>
      <c r="U3364" s="8">
        <v>2</v>
      </c>
      <c r="V3364" s="5" t="s">
        <v>106</v>
      </c>
      <c r="W3364" s="10">
        <v>22797045</v>
      </c>
      <c r="X3364" s="6"/>
      <c r="Y3364" s="6"/>
    </row>
    <row r="3365" spans="1:25" ht="15" customHeight="1" x14ac:dyDescent="0.2">
      <c r="A3365" s="88" t="s">
        <v>3951</v>
      </c>
      <c r="B3365" s="90"/>
      <c r="C3365" s="88" t="s">
        <v>3963</v>
      </c>
      <c r="D3365" s="90"/>
      <c r="E3365" s="133">
        <v>2545</v>
      </c>
      <c r="F3365" s="135"/>
      <c r="G3365" s="135"/>
      <c r="H3365" s="135"/>
      <c r="I3365" s="134"/>
      <c r="J3365" s="88" t="s">
        <v>13</v>
      </c>
      <c r="K3365" s="89"/>
      <c r="L3365" s="89"/>
      <c r="M3365" s="90"/>
      <c r="N3365" s="88" t="s">
        <v>2364</v>
      </c>
      <c r="O3365" s="89"/>
      <c r="P3365" s="90"/>
      <c r="Q3365" s="133">
        <v>12800</v>
      </c>
      <c r="R3365" s="134"/>
      <c r="S3365" s="5" t="s">
        <v>945</v>
      </c>
      <c r="T3365" s="6"/>
      <c r="U3365" s="8">
        <v>2</v>
      </c>
      <c r="V3365" s="5" t="s">
        <v>106</v>
      </c>
      <c r="W3365" s="10">
        <v>23936897</v>
      </c>
      <c r="X3365" s="6"/>
      <c r="Y3365" s="6"/>
    </row>
    <row r="3366" spans="1:25" ht="15" customHeight="1" x14ac:dyDescent="0.2">
      <c r="A3366" s="88" t="s">
        <v>3951</v>
      </c>
      <c r="B3366" s="90"/>
      <c r="C3366" s="88" t="s">
        <v>3964</v>
      </c>
      <c r="D3366" s="90"/>
      <c r="E3366" s="133">
        <v>3345</v>
      </c>
      <c r="F3366" s="135"/>
      <c r="G3366" s="135"/>
      <c r="H3366" s="135"/>
      <c r="I3366" s="134"/>
      <c r="J3366" s="88" t="s">
        <v>13</v>
      </c>
      <c r="K3366" s="89"/>
      <c r="L3366" s="89"/>
      <c r="M3366" s="90"/>
      <c r="N3366" s="88" t="s">
        <v>2360</v>
      </c>
      <c r="O3366" s="89"/>
      <c r="P3366" s="90"/>
      <c r="Q3366" s="133">
        <v>12800</v>
      </c>
      <c r="R3366" s="134"/>
      <c r="S3366" s="5" t="s">
        <v>945</v>
      </c>
      <c r="T3366" s="6"/>
      <c r="U3366" s="8">
        <v>2</v>
      </c>
      <c r="V3366" s="5" t="s">
        <v>106</v>
      </c>
      <c r="W3366" s="10">
        <v>25076750</v>
      </c>
      <c r="X3366" s="6"/>
      <c r="Y3366" s="6"/>
    </row>
    <row r="3367" spans="1:25" ht="15" customHeight="1" x14ac:dyDescent="0.2">
      <c r="A3367" s="88" t="s">
        <v>3951</v>
      </c>
      <c r="B3367" s="90"/>
      <c r="C3367" s="88" t="s">
        <v>3965</v>
      </c>
      <c r="D3367" s="90"/>
      <c r="E3367" s="133">
        <v>4163</v>
      </c>
      <c r="F3367" s="135"/>
      <c r="G3367" s="135"/>
      <c r="H3367" s="135"/>
      <c r="I3367" s="134"/>
      <c r="J3367" s="88" t="s">
        <v>13</v>
      </c>
      <c r="K3367" s="89"/>
      <c r="L3367" s="89"/>
      <c r="M3367" s="90"/>
      <c r="N3367" s="88" t="s">
        <v>2366</v>
      </c>
      <c r="O3367" s="89"/>
      <c r="P3367" s="90"/>
      <c r="Q3367" s="133">
        <v>15600</v>
      </c>
      <c r="R3367" s="134"/>
      <c r="S3367" s="5" t="s">
        <v>945</v>
      </c>
      <c r="T3367" s="6"/>
      <c r="U3367" s="8">
        <v>2</v>
      </c>
      <c r="V3367" s="5" t="s">
        <v>106</v>
      </c>
      <c r="W3367" s="10">
        <v>29636159</v>
      </c>
      <c r="X3367" s="6"/>
      <c r="Y3367" s="6"/>
    </row>
    <row r="3368" spans="1:25" ht="15" customHeight="1" x14ac:dyDescent="0.2">
      <c r="A3368" s="88" t="s">
        <v>3951</v>
      </c>
      <c r="B3368" s="90"/>
      <c r="C3368" s="88" t="s">
        <v>3966</v>
      </c>
      <c r="D3368" s="90"/>
      <c r="E3368" s="133">
        <v>2651</v>
      </c>
      <c r="F3368" s="135"/>
      <c r="G3368" s="135"/>
      <c r="H3368" s="135"/>
      <c r="I3368" s="134"/>
      <c r="J3368" s="88" t="s">
        <v>13</v>
      </c>
      <c r="K3368" s="89"/>
      <c r="L3368" s="89"/>
      <c r="M3368" s="90"/>
      <c r="N3368" s="88" t="s">
        <v>2360</v>
      </c>
      <c r="O3368" s="89"/>
      <c r="P3368" s="90"/>
      <c r="Q3368" s="133">
        <v>15600</v>
      </c>
      <c r="R3368" s="134"/>
      <c r="S3368" s="5" t="s">
        <v>945</v>
      </c>
      <c r="T3368" s="6"/>
      <c r="U3368" s="8">
        <v>2</v>
      </c>
      <c r="V3368" s="5" t="s">
        <v>106</v>
      </c>
      <c r="W3368" s="10">
        <v>26216602</v>
      </c>
      <c r="X3368" s="6"/>
      <c r="Y3368" s="6"/>
    </row>
    <row r="3369" spans="1:25" ht="15" customHeight="1" x14ac:dyDescent="0.2">
      <c r="A3369" s="88" t="s">
        <v>3951</v>
      </c>
      <c r="B3369" s="90"/>
      <c r="C3369" s="88" t="s">
        <v>3967</v>
      </c>
      <c r="D3369" s="90"/>
      <c r="E3369" s="133">
        <v>1848</v>
      </c>
      <c r="F3369" s="135"/>
      <c r="G3369" s="135"/>
      <c r="H3369" s="135"/>
      <c r="I3369" s="134"/>
      <c r="J3369" s="88" t="s">
        <v>13</v>
      </c>
      <c r="K3369" s="89"/>
      <c r="L3369" s="89"/>
      <c r="M3369" s="90"/>
      <c r="N3369" s="88" t="s">
        <v>2362</v>
      </c>
      <c r="O3369" s="89"/>
      <c r="P3369" s="90"/>
      <c r="Q3369" s="133">
        <v>12800</v>
      </c>
      <c r="R3369" s="134"/>
      <c r="S3369" s="5" t="s">
        <v>945</v>
      </c>
      <c r="T3369" s="6"/>
      <c r="U3369" s="8">
        <v>2</v>
      </c>
      <c r="V3369" s="5" t="s">
        <v>106</v>
      </c>
      <c r="W3369" s="10">
        <v>23252986</v>
      </c>
      <c r="X3369" s="6"/>
      <c r="Y3369" s="6"/>
    </row>
    <row r="3370" spans="1:25" ht="15" customHeight="1" x14ac:dyDescent="0.2">
      <c r="A3370" s="88" t="s">
        <v>3951</v>
      </c>
      <c r="B3370" s="90"/>
      <c r="C3370" s="88" t="s">
        <v>3968</v>
      </c>
      <c r="D3370" s="90"/>
      <c r="E3370" s="133">
        <v>2548</v>
      </c>
      <c r="F3370" s="135"/>
      <c r="G3370" s="135"/>
      <c r="H3370" s="135"/>
      <c r="I3370" s="134"/>
      <c r="J3370" s="88" t="s">
        <v>13</v>
      </c>
      <c r="K3370" s="89"/>
      <c r="L3370" s="89"/>
      <c r="M3370" s="90"/>
      <c r="N3370" s="88" t="s">
        <v>2364</v>
      </c>
      <c r="O3370" s="89"/>
      <c r="P3370" s="90"/>
      <c r="Q3370" s="133">
        <v>12800</v>
      </c>
      <c r="R3370" s="134"/>
      <c r="S3370" s="5" t="s">
        <v>945</v>
      </c>
      <c r="T3370" s="6"/>
      <c r="U3370" s="8">
        <v>2</v>
      </c>
      <c r="V3370" s="5" t="s">
        <v>106</v>
      </c>
      <c r="W3370" s="10">
        <v>24392838</v>
      </c>
      <c r="X3370" s="6"/>
      <c r="Y3370" s="6"/>
    </row>
    <row r="3371" spans="1:25" ht="15" customHeight="1" x14ac:dyDescent="0.2">
      <c r="A3371" s="88" t="s">
        <v>3951</v>
      </c>
      <c r="B3371" s="90"/>
      <c r="C3371" s="88" t="s">
        <v>3969</v>
      </c>
      <c r="D3371" s="90"/>
      <c r="E3371" s="133">
        <v>3348</v>
      </c>
      <c r="F3371" s="135"/>
      <c r="G3371" s="135"/>
      <c r="H3371" s="135"/>
      <c r="I3371" s="134"/>
      <c r="J3371" s="88" t="s">
        <v>13</v>
      </c>
      <c r="K3371" s="89"/>
      <c r="L3371" s="89"/>
      <c r="M3371" s="90"/>
      <c r="N3371" s="88" t="s">
        <v>2360</v>
      </c>
      <c r="O3371" s="89"/>
      <c r="P3371" s="90"/>
      <c r="Q3371" s="133">
        <v>12800</v>
      </c>
      <c r="R3371" s="134"/>
      <c r="S3371" s="5" t="s">
        <v>945</v>
      </c>
      <c r="T3371" s="6"/>
      <c r="U3371" s="8">
        <v>2</v>
      </c>
      <c r="V3371" s="5" t="s">
        <v>106</v>
      </c>
      <c r="W3371" s="10">
        <v>25532690</v>
      </c>
      <c r="X3371" s="6"/>
      <c r="Y3371" s="6"/>
    </row>
    <row r="3372" spans="1:25" ht="15" customHeight="1" x14ac:dyDescent="0.2">
      <c r="A3372" s="88" t="s">
        <v>3970</v>
      </c>
      <c r="B3372" s="90"/>
      <c r="C3372" s="88" t="s">
        <v>3971</v>
      </c>
      <c r="D3372" s="90"/>
      <c r="E3372" s="88" t="s">
        <v>3972</v>
      </c>
      <c r="F3372" s="89"/>
      <c r="G3372" s="89"/>
      <c r="H3372" s="89"/>
      <c r="I3372" s="90"/>
      <c r="J3372" s="88" t="s">
        <v>13</v>
      </c>
      <c r="K3372" s="89"/>
      <c r="L3372" s="89"/>
      <c r="M3372" s="90"/>
      <c r="N3372" s="88" t="s">
        <v>22</v>
      </c>
      <c r="O3372" s="89"/>
      <c r="P3372" s="90"/>
      <c r="Q3372" s="133">
        <v>1500</v>
      </c>
      <c r="R3372" s="134"/>
      <c r="S3372" s="5" t="s">
        <v>70</v>
      </c>
      <c r="T3372" s="6"/>
      <c r="U3372" s="6"/>
      <c r="V3372" s="5" t="s">
        <v>106</v>
      </c>
      <c r="W3372" s="9">
        <v>9827317</v>
      </c>
      <c r="X3372" s="6"/>
      <c r="Y3372" s="6"/>
    </row>
    <row r="3373" spans="1:25" ht="15" customHeight="1" x14ac:dyDescent="0.2">
      <c r="A3373" s="88" t="s">
        <v>3970</v>
      </c>
      <c r="B3373" s="90"/>
      <c r="C3373" s="88" t="s">
        <v>3973</v>
      </c>
      <c r="D3373" s="90"/>
      <c r="E3373" s="88" t="s">
        <v>3974</v>
      </c>
      <c r="F3373" s="89"/>
      <c r="G3373" s="89"/>
      <c r="H3373" s="89"/>
      <c r="I3373" s="90"/>
      <c r="J3373" s="88" t="s">
        <v>13</v>
      </c>
      <c r="K3373" s="89"/>
      <c r="L3373" s="89"/>
      <c r="M3373" s="90"/>
      <c r="N3373" s="88" t="s">
        <v>26</v>
      </c>
      <c r="O3373" s="89"/>
      <c r="P3373" s="90"/>
      <c r="Q3373" s="133">
        <v>1500</v>
      </c>
      <c r="R3373" s="134"/>
      <c r="S3373" s="5" t="s">
        <v>70</v>
      </c>
      <c r="T3373" s="6"/>
      <c r="U3373" s="6"/>
      <c r="V3373" s="5" t="s">
        <v>106</v>
      </c>
      <c r="W3373" s="9">
        <v>6008800</v>
      </c>
      <c r="X3373" s="6"/>
      <c r="Y3373" s="6"/>
    </row>
    <row r="3374" spans="1:25" ht="15" customHeight="1" x14ac:dyDescent="0.2">
      <c r="A3374" s="88" t="s">
        <v>3970</v>
      </c>
      <c r="B3374" s="90"/>
      <c r="C3374" s="88" t="s">
        <v>3975</v>
      </c>
      <c r="D3374" s="90"/>
      <c r="E3374" s="88" t="s">
        <v>3976</v>
      </c>
      <c r="F3374" s="89"/>
      <c r="G3374" s="89"/>
      <c r="H3374" s="89"/>
      <c r="I3374" s="90"/>
      <c r="J3374" s="88" t="s">
        <v>13</v>
      </c>
      <c r="K3374" s="89"/>
      <c r="L3374" s="89"/>
      <c r="M3374" s="90"/>
      <c r="N3374" s="88" t="s">
        <v>26</v>
      </c>
      <c r="O3374" s="89"/>
      <c r="P3374" s="90"/>
      <c r="Q3374" s="133">
        <v>1500</v>
      </c>
      <c r="R3374" s="134"/>
      <c r="S3374" s="5" t="s">
        <v>70</v>
      </c>
      <c r="T3374" s="6"/>
      <c r="U3374" s="6"/>
      <c r="V3374" s="5" t="s">
        <v>23</v>
      </c>
      <c r="W3374" s="9">
        <v>11092979</v>
      </c>
      <c r="X3374" s="6"/>
      <c r="Y3374" s="6"/>
    </row>
    <row r="3375" spans="1:25" ht="15" customHeight="1" x14ac:dyDescent="0.2">
      <c r="A3375" s="88" t="s">
        <v>3970</v>
      </c>
      <c r="B3375" s="90"/>
      <c r="C3375" s="88" t="s">
        <v>3977</v>
      </c>
      <c r="D3375" s="90"/>
      <c r="E3375" s="88" t="s">
        <v>3978</v>
      </c>
      <c r="F3375" s="89"/>
      <c r="G3375" s="89"/>
      <c r="H3375" s="89"/>
      <c r="I3375" s="90"/>
      <c r="J3375" s="88" t="s">
        <v>599</v>
      </c>
      <c r="K3375" s="89"/>
      <c r="L3375" s="89"/>
      <c r="M3375" s="90"/>
      <c r="N3375" s="88" t="s">
        <v>26</v>
      </c>
      <c r="O3375" s="89"/>
      <c r="P3375" s="90"/>
      <c r="Q3375" s="133">
        <v>1500</v>
      </c>
      <c r="R3375" s="134"/>
      <c r="S3375" s="5" t="s">
        <v>70</v>
      </c>
      <c r="T3375" s="6"/>
      <c r="U3375" s="6"/>
      <c r="V3375" s="5" t="s">
        <v>23</v>
      </c>
      <c r="W3375" s="9">
        <v>9249470</v>
      </c>
      <c r="X3375" s="6"/>
      <c r="Y3375" s="6"/>
    </row>
    <row r="3376" spans="1:25" ht="15" customHeight="1" x14ac:dyDescent="0.2">
      <c r="A3376" s="88" t="s">
        <v>3970</v>
      </c>
      <c r="B3376" s="90"/>
      <c r="C3376" s="88" t="s">
        <v>3979</v>
      </c>
      <c r="D3376" s="90"/>
      <c r="E3376" s="88" t="s">
        <v>3980</v>
      </c>
      <c r="F3376" s="89"/>
      <c r="G3376" s="89"/>
      <c r="H3376" s="89"/>
      <c r="I3376" s="90"/>
      <c r="J3376" s="88" t="s">
        <v>13</v>
      </c>
      <c r="K3376" s="89"/>
      <c r="L3376" s="89"/>
      <c r="M3376" s="90"/>
      <c r="N3376" s="88" t="s">
        <v>26</v>
      </c>
      <c r="O3376" s="89"/>
      <c r="P3376" s="90"/>
      <c r="Q3376" s="133">
        <v>1500</v>
      </c>
      <c r="R3376" s="134"/>
      <c r="S3376" s="5" t="s">
        <v>70</v>
      </c>
      <c r="T3376" s="6"/>
      <c r="U3376" s="6"/>
      <c r="V3376" s="5" t="s">
        <v>106</v>
      </c>
      <c r="W3376" s="9">
        <v>7624931</v>
      </c>
      <c r="X3376" s="6"/>
      <c r="Y3376" s="6"/>
    </row>
    <row r="3377" spans="1:25" ht="15" customHeight="1" x14ac:dyDescent="0.2">
      <c r="A3377" s="88" t="s">
        <v>3970</v>
      </c>
      <c r="B3377" s="90"/>
      <c r="C3377" s="88" t="s">
        <v>3981</v>
      </c>
      <c r="D3377" s="90"/>
      <c r="E3377" s="88" t="s">
        <v>3982</v>
      </c>
      <c r="F3377" s="89"/>
      <c r="G3377" s="89"/>
      <c r="H3377" s="89"/>
      <c r="I3377" s="90"/>
      <c r="J3377" s="88" t="s">
        <v>13</v>
      </c>
      <c r="K3377" s="89"/>
      <c r="L3377" s="89"/>
      <c r="M3377" s="90"/>
      <c r="N3377" s="88" t="s">
        <v>26</v>
      </c>
      <c r="O3377" s="89"/>
      <c r="P3377" s="90"/>
      <c r="Q3377" s="133">
        <v>1500</v>
      </c>
      <c r="R3377" s="134"/>
      <c r="S3377" s="5" t="s">
        <v>70</v>
      </c>
      <c r="T3377" s="6"/>
      <c r="U3377" s="6"/>
      <c r="V3377" s="5" t="s">
        <v>106</v>
      </c>
      <c r="W3377" s="9">
        <v>6784654</v>
      </c>
      <c r="X3377" s="6"/>
      <c r="Y3377" s="6"/>
    </row>
    <row r="3378" spans="1:25" ht="15" customHeight="1" x14ac:dyDescent="0.2">
      <c r="A3378" s="88" t="s">
        <v>3970</v>
      </c>
      <c r="B3378" s="90"/>
      <c r="C3378" s="88" t="s">
        <v>3983</v>
      </c>
      <c r="D3378" s="90"/>
      <c r="E3378" s="88" t="s">
        <v>3984</v>
      </c>
      <c r="F3378" s="89"/>
      <c r="G3378" s="89"/>
      <c r="H3378" s="89"/>
      <c r="I3378" s="90"/>
      <c r="J3378" s="88" t="s">
        <v>13</v>
      </c>
      <c r="K3378" s="89"/>
      <c r="L3378" s="89"/>
      <c r="M3378" s="90"/>
      <c r="N3378" s="88" t="s">
        <v>26</v>
      </c>
      <c r="O3378" s="89"/>
      <c r="P3378" s="90"/>
      <c r="Q3378" s="133">
        <v>2000</v>
      </c>
      <c r="R3378" s="134"/>
      <c r="S3378" s="5" t="s">
        <v>70</v>
      </c>
      <c r="T3378" s="6"/>
      <c r="U3378" s="6"/>
      <c r="V3378" s="5" t="s">
        <v>106</v>
      </c>
      <c r="W3378" s="9">
        <v>9009899</v>
      </c>
      <c r="X3378" s="6"/>
      <c r="Y3378" s="6"/>
    </row>
    <row r="3379" spans="1:25" ht="15" customHeight="1" x14ac:dyDescent="0.2">
      <c r="A3379" s="88" t="s">
        <v>3970</v>
      </c>
      <c r="B3379" s="90"/>
      <c r="C3379" s="88" t="s">
        <v>3985</v>
      </c>
      <c r="D3379" s="90"/>
      <c r="E3379" s="88" t="s">
        <v>3986</v>
      </c>
      <c r="F3379" s="89"/>
      <c r="G3379" s="89"/>
      <c r="H3379" s="89"/>
      <c r="I3379" s="90"/>
      <c r="J3379" s="88" t="s">
        <v>13</v>
      </c>
      <c r="K3379" s="89"/>
      <c r="L3379" s="89"/>
      <c r="M3379" s="90"/>
      <c r="N3379" s="88" t="s">
        <v>26</v>
      </c>
      <c r="O3379" s="89"/>
      <c r="P3379" s="90"/>
      <c r="Q3379" s="133">
        <v>2000</v>
      </c>
      <c r="R3379" s="134"/>
      <c r="S3379" s="5" t="s">
        <v>70</v>
      </c>
      <c r="T3379" s="6"/>
      <c r="U3379" s="6"/>
      <c r="V3379" s="5" t="s">
        <v>23</v>
      </c>
      <c r="W3379" s="9">
        <v>9280825</v>
      </c>
      <c r="X3379" s="6"/>
      <c r="Y3379" s="6"/>
    </row>
    <row r="3380" spans="1:25" ht="15" customHeight="1" x14ac:dyDescent="0.2">
      <c r="A3380" s="88" t="s">
        <v>3970</v>
      </c>
      <c r="B3380" s="90"/>
      <c r="C3380" s="88" t="s">
        <v>3987</v>
      </c>
      <c r="D3380" s="90"/>
      <c r="E3380" s="88" t="s">
        <v>3988</v>
      </c>
      <c r="F3380" s="89"/>
      <c r="G3380" s="89"/>
      <c r="H3380" s="89"/>
      <c r="I3380" s="90"/>
      <c r="J3380" s="88" t="s">
        <v>13</v>
      </c>
      <c r="K3380" s="89"/>
      <c r="L3380" s="89"/>
      <c r="M3380" s="90"/>
      <c r="N3380" s="88" t="s">
        <v>26</v>
      </c>
      <c r="O3380" s="89"/>
      <c r="P3380" s="90"/>
      <c r="Q3380" s="133">
        <v>2000</v>
      </c>
      <c r="R3380" s="134"/>
      <c r="S3380" s="5" t="s">
        <v>70</v>
      </c>
      <c r="T3380" s="6"/>
      <c r="U3380" s="6"/>
      <c r="V3380" s="5" t="s">
        <v>106</v>
      </c>
      <c r="W3380" s="9">
        <v>9535005</v>
      </c>
      <c r="X3380" s="6"/>
      <c r="Y3380" s="6"/>
    </row>
    <row r="3381" spans="1:25" ht="15" customHeight="1" x14ac:dyDescent="0.2">
      <c r="A3381" s="88" t="s">
        <v>3970</v>
      </c>
      <c r="B3381" s="90"/>
      <c r="C3381" s="88" t="s">
        <v>3989</v>
      </c>
      <c r="D3381" s="90"/>
      <c r="E3381" s="88" t="s">
        <v>3990</v>
      </c>
      <c r="F3381" s="89"/>
      <c r="G3381" s="89"/>
      <c r="H3381" s="89"/>
      <c r="I3381" s="90"/>
      <c r="J3381" s="88" t="s">
        <v>13</v>
      </c>
      <c r="K3381" s="89"/>
      <c r="L3381" s="89"/>
      <c r="M3381" s="90"/>
      <c r="N3381" s="88" t="s">
        <v>26</v>
      </c>
      <c r="O3381" s="89"/>
      <c r="P3381" s="90"/>
      <c r="Q3381" s="133">
        <v>1500</v>
      </c>
      <c r="R3381" s="134"/>
      <c r="S3381" s="5" t="s">
        <v>70</v>
      </c>
      <c r="T3381" s="6"/>
      <c r="U3381" s="6"/>
      <c r="V3381" s="5" t="s">
        <v>106</v>
      </c>
      <c r="W3381" s="9">
        <v>6376714</v>
      </c>
      <c r="X3381" s="6"/>
      <c r="Y3381" s="6"/>
    </row>
    <row r="3382" spans="1:25" ht="15" customHeight="1" x14ac:dyDescent="0.2">
      <c r="A3382" s="88" t="s">
        <v>3970</v>
      </c>
      <c r="B3382" s="90"/>
      <c r="C3382" s="88" t="s">
        <v>3991</v>
      </c>
      <c r="D3382" s="90"/>
      <c r="E3382" s="88" t="s">
        <v>3992</v>
      </c>
      <c r="F3382" s="89"/>
      <c r="G3382" s="89"/>
      <c r="H3382" s="89"/>
      <c r="I3382" s="90"/>
      <c r="J3382" s="88" t="s">
        <v>13</v>
      </c>
      <c r="K3382" s="89"/>
      <c r="L3382" s="89"/>
      <c r="M3382" s="90"/>
      <c r="N3382" s="88" t="s">
        <v>26</v>
      </c>
      <c r="O3382" s="89"/>
      <c r="P3382" s="90"/>
      <c r="Q3382" s="133">
        <v>2000</v>
      </c>
      <c r="R3382" s="134"/>
      <c r="S3382" s="5" t="s">
        <v>70</v>
      </c>
      <c r="T3382" s="6"/>
      <c r="U3382" s="6"/>
      <c r="V3382" s="5" t="s">
        <v>23</v>
      </c>
      <c r="W3382" s="9">
        <v>6510351</v>
      </c>
      <c r="X3382" s="6"/>
      <c r="Y3382" s="6"/>
    </row>
    <row r="3383" spans="1:25" ht="15" customHeight="1" x14ac:dyDescent="0.2">
      <c r="A3383" s="88" t="s">
        <v>3970</v>
      </c>
      <c r="B3383" s="90"/>
      <c r="C3383" s="88" t="s">
        <v>3993</v>
      </c>
      <c r="D3383" s="90"/>
      <c r="E3383" s="88" t="s">
        <v>3994</v>
      </c>
      <c r="F3383" s="89"/>
      <c r="G3383" s="89"/>
      <c r="H3383" s="89"/>
      <c r="I3383" s="90"/>
      <c r="J3383" s="88" t="s">
        <v>13</v>
      </c>
      <c r="K3383" s="89"/>
      <c r="L3383" s="89"/>
      <c r="M3383" s="90"/>
      <c r="N3383" s="88" t="s">
        <v>26</v>
      </c>
      <c r="O3383" s="89"/>
      <c r="P3383" s="90"/>
      <c r="Q3383" s="133">
        <v>2000</v>
      </c>
      <c r="R3383" s="134"/>
      <c r="S3383" s="5" t="s">
        <v>70</v>
      </c>
      <c r="T3383" s="6"/>
      <c r="U3383" s="6"/>
      <c r="V3383" s="5" t="s">
        <v>23</v>
      </c>
      <c r="W3383" s="9">
        <v>8002420</v>
      </c>
      <c r="X3383" s="6"/>
      <c r="Y3383" s="6"/>
    </row>
    <row r="3384" spans="1:25" ht="15" customHeight="1" x14ac:dyDescent="0.2">
      <c r="A3384" s="88" t="s">
        <v>3970</v>
      </c>
      <c r="B3384" s="90"/>
      <c r="C3384" s="88" t="s">
        <v>3995</v>
      </c>
      <c r="D3384" s="90"/>
      <c r="E3384" s="88" t="s">
        <v>3996</v>
      </c>
      <c r="F3384" s="89"/>
      <c r="G3384" s="89"/>
      <c r="H3384" s="89"/>
      <c r="I3384" s="90"/>
      <c r="J3384" s="88" t="s">
        <v>13</v>
      </c>
      <c r="K3384" s="89"/>
      <c r="L3384" s="89"/>
      <c r="M3384" s="90"/>
      <c r="N3384" s="88" t="s">
        <v>26</v>
      </c>
      <c r="O3384" s="89"/>
      <c r="P3384" s="90"/>
      <c r="Q3384" s="133">
        <v>2000</v>
      </c>
      <c r="R3384" s="134"/>
      <c r="S3384" s="5" t="s">
        <v>70</v>
      </c>
      <c r="T3384" s="6"/>
      <c r="U3384" s="6"/>
      <c r="V3384" s="5" t="s">
        <v>23</v>
      </c>
      <c r="W3384" s="9">
        <v>11658156</v>
      </c>
      <c r="X3384" s="6"/>
      <c r="Y3384" s="6"/>
    </row>
    <row r="3385" spans="1:25" ht="15" customHeight="1" x14ac:dyDescent="0.2">
      <c r="A3385" s="88" t="s">
        <v>3970</v>
      </c>
      <c r="B3385" s="90"/>
      <c r="C3385" s="88" t="s">
        <v>3997</v>
      </c>
      <c r="D3385" s="90"/>
      <c r="E3385" s="88" t="s">
        <v>3974</v>
      </c>
      <c r="F3385" s="89"/>
      <c r="G3385" s="89"/>
      <c r="H3385" s="89"/>
      <c r="I3385" s="90"/>
      <c r="J3385" s="106"/>
      <c r="K3385" s="107"/>
      <c r="L3385" s="107"/>
      <c r="M3385" s="108"/>
      <c r="N3385" s="88" t="s">
        <v>26</v>
      </c>
      <c r="O3385" s="89"/>
      <c r="P3385" s="90"/>
      <c r="Q3385" s="133">
        <v>2000</v>
      </c>
      <c r="R3385" s="134"/>
      <c r="S3385" s="5" t="s">
        <v>70</v>
      </c>
      <c r="T3385" s="6"/>
      <c r="U3385" s="6"/>
      <c r="V3385" s="5" t="s">
        <v>106</v>
      </c>
      <c r="W3385" s="9">
        <v>7460755</v>
      </c>
      <c r="X3385" s="6"/>
      <c r="Y3385" s="6"/>
    </row>
    <row r="3386" spans="1:25" ht="15" customHeight="1" x14ac:dyDescent="0.2">
      <c r="A3386" s="88" t="s">
        <v>3970</v>
      </c>
      <c r="B3386" s="90"/>
      <c r="C3386" s="88" t="s">
        <v>3998</v>
      </c>
      <c r="D3386" s="90"/>
      <c r="E3386" s="88" t="s">
        <v>3999</v>
      </c>
      <c r="F3386" s="89"/>
      <c r="G3386" s="89"/>
      <c r="H3386" s="89"/>
      <c r="I3386" s="90"/>
      <c r="J3386" s="88" t="s">
        <v>13</v>
      </c>
      <c r="K3386" s="89"/>
      <c r="L3386" s="89"/>
      <c r="M3386" s="90"/>
      <c r="N3386" s="88" t="s">
        <v>26</v>
      </c>
      <c r="O3386" s="89"/>
      <c r="P3386" s="90"/>
      <c r="Q3386" s="133">
        <v>2000</v>
      </c>
      <c r="R3386" s="134"/>
      <c r="S3386" s="5" t="s">
        <v>70</v>
      </c>
      <c r="T3386" s="6"/>
      <c r="U3386" s="6"/>
      <c r="V3386" s="5" t="s">
        <v>106</v>
      </c>
      <c r="W3386" s="9">
        <v>4671585</v>
      </c>
      <c r="X3386" s="6"/>
      <c r="Y3386" s="6"/>
    </row>
    <row r="3387" spans="1:25" ht="15" customHeight="1" x14ac:dyDescent="0.2">
      <c r="A3387" s="88" t="s">
        <v>3970</v>
      </c>
      <c r="B3387" s="90"/>
      <c r="C3387" s="88" t="s">
        <v>4000</v>
      </c>
      <c r="D3387" s="90"/>
      <c r="E3387" s="88" t="s">
        <v>3984</v>
      </c>
      <c r="F3387" s="89"/>
      <c r="G3387" s="89"/>
      <c r="H3387" s="89"/>
      <c r="I3387" s="90"/>
      <c r="J3387" s="88" t="s">
        <v>13</v>
      </c>
      <c r="K3387" s="89"/>
      <c r="L3387" s="89"/>
      <c r="M3387" s="90"/>
      <c r="N3387" s="88" t="s">
        <v>26</v>
      </c>
      <c r="O3387" s="89"/>
      <c r="P3387" s="90"/>
      <c r="Q3387" s="133">
        <v>2000</v>
      </c>
      <c r="R3387" s="134"/>
      <c r="S3387" s="5" t="s">
        <v>70</v>
      </c>
      <c r="T3387" s="6"/>
      <c r="U3387" s="6"/>
      <c r="V3387" s="5" t="s">
        <v>106</v>
      </c>
      <c r="W3387" s="9">
        <v>9783028</v>
      </c>
      <c r="X3387" s="6"/>
      <c r="Y3387" s="6"/>
    </row>
    <row r="3388" spans="1:25" ht="15" customHeight="1" x14ac:dyDescent="0.2">
      <c r="A3388" s="88" t="s">
        <v>3970</v>
      </c>
      <c r="B3388" s="90"/>
      <c r="C3388" s="88" t="s">
        <v>4001</v>
      </c>
      <c r="D3388" s="90"/>
      <c r="E3388" s="88" t="s">
        <v>4002</v>
      </c>
      <c r="F3388" s="89"/>
      <c r="G3388" s="89"/>
      <c r="H3388" s="89"/>
      <c r="I3388" s="90"/>
      <c r="J3388" s="88" t="s">
        <v>13</v>
      </c>
      <c r="K3388" s="89"/>
      <c r="L3388" s="89"/>
      <c r="M3388" s="90"/>
      <c r="N3388" s="88" t="s">
        <v>22</v>
      </c>
      <c r="O3388" s="89"/>
      <c r="P3388" s="90"/>
      <c r="Q3388" s="133">
        <v>2000</v>
      </c>
      <c r="R3388" s="134"/>
      <c r="S3388" s="5" t="s">
        <v>70</v>
      </c>
      <c r="T3388" s="6"/>
      <c r="U3388" s="6"/>
      <c r="V3388" s="5" t="s">
        <v>23</v>
      </c>
      <c r="W3388" s="9">
        <v>10511619</v>
      </c>
      <c r="X3388" s="6"/>
      <c r="Y3388" s="6"/>
    </row>
    <row r="3389" spans="1:25" ht="15" customHeight="1" x14ac:dyDescent="0.2">
      <c r="A3389" s="88" t="s">
        <v>3970</v>
      </c>
      <c r="B3389" s="90"/>
      <c r="C3389" s="88" t="s">
        <v>4003</v>
      </c>
      <c r="D3389" s="90"/>
      <c r="E3389" s="88" t="s">
        <v>4004</v>
      </c>
      <c r="F3389" s="89"/>
      <c r="G3389" s="89"/>
      <c r="H3389" s="89"/>
      <c r="I3389" s="90"/>
      <c r="J3389" s="88" t="s">
        <v>13</v>
      </c>
      <c r="K3389" s="89"/>
      <c r="L3389" s="89"/>
      <c r="M3389" s="90"/>
      <c r="N3389" s="88" t="s">
        <v>26</v>
      </c>
      <c r="O3389" s="89"/>
      <c r="P3389" s="90"/>
      <c r="Q3389" s="133">
        <v>1000</v>
      </c>
      <c r="R3389" s="134"/>
      <c r="S3389" s="5" t="s">
        <v>70</v>
      </c>
      <c r="T3389" s="6"/>
      <c r="U3389" s="6"/>
      <c r="V3389" s="5" t="s">
        <v>106</v>
      </c>
      <c r="W3389" s="9">
        <v>8427123</v>
      </c>
      <c r="X3389" s="6"/>
      <c r="Y3389" s="6"/>
    </row>
    <row r="3390" spans="1:25" ht="15" customHeight="1" x14ac:dyDescent="0.2">
      <c r="A3390" s="88" t="s">
        <v>3970</v>
      </c>
      <c r="B3390" s="90"/>
      <c r="C3390" s="88" t="s">
        <v>4005</v>
      </c>
      <c r="D3390" s="90"/>
      <c r="E3390" s="88" t="s">
        <v>4006</v>
      </c>
      <c r="F3390" s="89"/>
      <c r="G3390" s="89"/>
      <c r="H3390" s="89"/>
      <c r="I3390" s="90"/>
      <c r="J3390" s="88" t="s">
        <v>13</v>
      </c>
      <c r="K3390" s="89"/>
      <c r="L3390" s="89"/>
      <c r="M3390" s="90"/>
      <c r="N3390" s="88" t="s">
        <v>26</v>
      </c>
      <c r="O3390" s="89"/>
      <c r="P3390" s="90"/>
      <c r="Q3390" s="133">
        <v>2000</v>
      </c>
      <c r="R3390" s="134"/>
      <c r="S3390" s="5" t="s">
        <v>70</v>
      </c>
      <c r="T3390" s="6"/>
      <c r="U3390" s="6"/>
      <c r="V3390" s="5" t="s">
        <v>23</v>
      </c>
      <c r="W3390" s="9">
        <v>14148416</v>
      </c>
      <c r="X3390" s="6"/>
      <c r="Y3390" s="6"/>
    </row>
    <row r="3391" spans="1:25" ht="15" customHeight="1" x14ac:dyDescent="0.2">
      <c r="A3391" s="88" t="s">
        <v>4007</v>
      </c>
      <c r="B3391" s="90"/>
      <c r="C3391" s="88" t="s">
        <v>4008</v>
      </c>
      <c r="D3391" s="90"/>
      <c r="E3391" s="88" t="s">
        <v>4009</v>
      </c>
      <c r="F3391" s="89"/>
      <c r="G3391" s="89"/>
      <c r="H3391" s="89"/>
      <c r="I3391" s="90"/>
      <c r="J3391" s="88" t="s">
        <v>2319</v>
      </c>
      <c r="K3391" s="89"/>
      <c r="L3391" s="89"/>
      <c r="M3391" s="90"/>
      <c r="N3391" s="88" t="s">
        <v>22</v>
      </c>
      <c r="O3391" s="89"/>
      <c r="P3391" s="90"/>
      <c r="Q3391" s="133">
        <v>2267</v>
      </c>
      <c r="R3391" s="134"/>
      <c r="S3391" s="5" t="s">
        <v>4010</v>
      </c>
      <c r="T3391" s="8">
        <v>1635</v>
      </c>
      <c r="U3391" s="8">
        <v>8</v>
      </c>
      <c r="V3391" s="5" t="s">
        <v>106</v>
      </c>
      <c r="W3391" s="12">
        <v>7817515</v>
      </c>
      <c r="X3391" s="6"/>
      <c r="Y3391" s="6"/>
    </row>
    <row r="3392" spans="1:25" ht="15" customHeight="1" x14ac:dyDescent="0.2">
      <c r="A3392" s="88" t="s">
        <v>4007</v>
      </c>
      <c r="B3392" s="90"/>
      <c r="C3392" s="88" t="s">
        <v>4011</v>
      </c>
      <c r="D3392" s="90"/>
      <c r="E3392" s="88" t="s">
        <v>4012</v>
      </c>
      <c r="F3392" s="89"/>
      <c r="G3392" s="89"/>
      <c r="H3392" s="89"/>
      <c r="I3392" s="90"/>
      <c r="J3392" s="88" t="s">
        <v>770</v>
      </c>
      <c r="K3392" s="89"/>
      <c r="L3392" s="89"/>
      <c r="M3392" s="90"/>
      <c r="N3392" s="88" t="s">
        <v>26</v>
      </c>
      <c r="O3392" s="89"/>
      <c r="P3392" s="90"/>
      <c r="Q3392" s="133">
        <v>1242</v>
      </c>
      <c r="R3392" s="134"/>
      <c r="S3392" s="5" t="s">
        <v>4010</v>
      </c>
      <c r="T3392" s="8">
        <v>1725</v>
      </c>
      <c r="U3392" s="8">
        <v>5</v>
      </c>
      <c r="V3392" s="5" t="s">
        <v>23</v>
      </c>
      <c r="W3392" s="12">
        <v>3165640</v>
      </c>
      <c r="X3392" s="6"/>
      <c r="Y3392" s="6"/>
    </row>
    <row r="3393" spans="1:25" ht="15" customHeight="1" x14ac:dyDescent="0.2">
      <c r="A3393" s="88" t="s">
        <v>4007</v>
      </c>
      <c r="B3393" s="90"/>
      <c r="C3393" s="88" t="s">
        <v>4013</v>
      </c>
      <c r="D3393" s="90"/>
      <c r="E3393" s="88" t="s">
        <v>4014</v>
      </c>
      <c r="F3393" s="89"/>
      <c r="G3393" s="89"/>
      <c r="H3393" s="89"/>
      <c r="I3393" s="90"/>
      <c r="J3393" s="88" t="s">
        <v>2319</v>
      </c>
      <c r="K3393" s="89"/>
      <c r="L3393" s="89"/>
      <c r="M3393" s="90"/>
      <c r="N3393" s="88" t="s">
        <v>22</v>
      </c>
      <c r="O3393" s="89"/>
      <c r="P3393" s="90"/>
      <c r="Q3393" s="133">
        <v>2267</v>
      </c>
      <c r="R3393" s="134"/>
      <c r="S3393" s="5" t="s">
        <v>4010</v>
      </c>
      <c r="T3393" s="8">
        <v>3115</v>
      </c>
      <c r="U3393" s="8">
        <v>8</v>
      </c>
      <c r="V3393" s="5" t="s">
        <v>106</v>
      </c>
      <c r="W3393" s="12">
        <v>8036536</v>
      </c>
      <c r="X3393" s="6"/>
      <c r="Y3393" s="6"/>
    </row>
    <row r="3394" spans="1:25" ht="15" customHeight="1" x14ac:dyDescent="0.2">
      <c r="A3394" s="88" t="s">
        <v>4007</v>
      </c>
      <c r="B3394" s="90"/>
      <c r="C3394" s="88" t="s">
        <v>4015</v>
      </c>
      <c r="D3394" s="90"/>
      <c r="E3394" s="88" t="s">
        <v>4016</v>
      </c>
      <c r="F3394" s="89"/>
      <c r="G3394" s="89"/>
      <c r="H3394" s="89"/>
      <c r="I3394" s="90"/>
      <c r="J3394" s="88" t="s">
        <v>770</v>
      </c>
      <c r="K3394" s="89"/>
      <c r="L3394" s="89"/>
      <c r="M3394" s="90"/>
      <c r="N3394" s="88" t="s">
        <v>22</v>
      </c>
      <c r="O3394" s="89"/>
      <c r="P3394" s="90"/>
      <c r="Q3394" s="133">
        <v>659</v>
      </c>
      <c r="R3394" s="134"/>
      <c r="S3394" s="5" t="s">
        <v>4010</v>
      </c>
      <c r="T3394" s="8">
        <v>3115</v>
      </c>
      <c r="U3394" s="8">
        <v>4</v>
      </c>
      <c r="V3394" s="5" t="s">
        <v>23</v>
      </c>
      <c r="W3394" s="12">
        <v>3901719</v>
      </c>
      <c r="X3394" s="6"/>
      <c r="Y3394" s="6"/>
    </row>
    <row r="3395" spans="1:25" ht="15" customHeight="1" x14ac:dyDescent="0.2">
      <c r="A3395" s="88" t="s">
        <v>4007</v>
      </c>
      <c r="B3395" s="90"/>
      <c r="C3395" s="88" t="s">
        <v>4017</v>
      </c>
      <c r="D3395" s="90"/>
      <c r="E3395" s="88" t="s">
        <v>4018</v>
      </c>
      <c r="F3395" s="89"/>
      <c r="G3395" s="89"/>
      <c r="H3395" s="89"/>
      <c r="I3395" s="90"/>
      <c r="J3395" s="88" t="s">
        <v>770</v>
      </c>
      <c r="K3395" s="89"/>
      <c r="L3395" s="89"/>
      <c r="M3395" s="90"/>
      <c r="N3395" s="88" t="s">
        <v>22</v>
      </c>
      <c r="O3395" s="89"/>
      <c r="P3395" s="90"/>
      <c r="Q3395" s="133">
        <v>1242</v>
      </c>
      <c r="R3395" s="134"/>
      <c r="S3395" s="5" t="s">
        <v>4010</v>
      </c>
      <c r="T3395" s="8">
        <v>3115</v>
      </c>
      <c r="U3395" s="8">
        <v>4</v>
      </c>
      <c r="V3395" s="5" t="s">
        <v>23</v>
      </c>
      <c r="W3395" s="12">
        <v>3591023</v>
      </c>
      <c r="X3395" s="6"/>
      <c r="Y3395" s="6"/>
    </row>
    <row r="3396" spans="1:25" ht="15" customHeight="1" x14ac:dyDescent="0.2">
      <c r="A3396" s="88" t="s">
        <v>4007</v>
      </c>
      <c r="B3396" s="90"/>
      <c r="C3396" s="88" t="s">
        <v>4017</v>
      </c>
      <c r="D3396" s="90"/>
      <c r="E3396" s="88" t="s">
        <v>4019</v>
      </c>
      <c r="F3396" s="89"/>
      <c r="G3396" s="89"/>
      <c r="H3396" s="89"/>
      <c r="I3396" s="90"/>
      <c r="J3396" s="88" t="s">
        <v>2319</v>
      </c>
      <c r="K3396" s="89"/>
      <c r="L3396" s="89"/>
      <c r="M3396" s="90"/>
      <c r="N3396" s="88" t="s">
        <v>22</v>
      </c>
      <c r="O3396" s="89"/>
      <c r="P3396" s="90"/>
      <c r="Q3396" s="133">
        <v>2267</v>
      </c>
      <c r="R3396" s="134"/>
      <c r="S3396" s="5" t="s">
        <v>4010</v>
      </c>
      <c r="T3396" s="8">
        <v>3115</v>
      </c>
      <c r="U3396" s="8">
        <v>4</v>
      </c>
      <c r="V3396" s="5" t="s">
        <v>106</v>
      </c>
      <c r="W3396" s="12">
        <v>7690189</v>
      </c>
      <c r="X3396" s="6"/>
      <c r="Y3396" s="6"/>
    </row>
    <row r="3397" spans="1:25" ht="15" customHeight="1" x14ac:dyDescent="0.2">
      <c r="A3397" s="88" t="s">
        <v>4007</v>
      </c>
      <c r="B3397" s="90"/>
      <c r="C3397" s="88" t="s">
        <v>4017</v>
      </c>
      <c r="D3397" s="90"/>
      <c r="E3397" s="88" t="s">
        <v>4019</v>
      </c>
      <c r="F3397" s="89"/>
      <c r="G3397" s="89"/>
      <c r="H3397" s="89"/>
      <c r="I3397" s="90"/>
      <c r="J3397" s="88" t="s">
        <v>2319</v>
      </c>
      <c r="K3397" s="89"/>
      <c r="L3397" s="89"/>
      <c r="M3397" s="90"/>
      <c r="N3397" s="88" t="s">
        <v>22</v>
      </c>
      <c r="O3397" s="89"/>
      <c r="P3397" s="90"/>
      <c r="Q3397" s="133">
        <v>2267</v>
      </c>
      <c r="R3397" s="134"/>
      <c r="S3397" s="5" t="s">
        <v>4010</v>
      </c>
      <c r="T3397" s="8">
        <v>2090</v>
      </c>
      <c r="U3397" s="8">
        <v>7</v>
      </c>
      <c r="V3397" s="5" t="s">
        <v>106</v>
      </c>
      <c r="W3397" s="12">
        <v>7550463</v>
      </c>
      <c r="X3397" s="6"/>
      <c r="Y3397" s="6"/>
    </row>
    <row r="3398" spans="1:25" ht="15" customHeight="1" x14ac:dyDescent="0.2">
      <c r="A3398" s="88" t="s">
        <v>4007</v>
      </c>
      <c r="B3398" s="90"/>
      <c r="C3398" s="88" t="s">
        <v>4020</v>
      </c>
      <c r="D3398" s="90"/>
      <c r="E3398" s="88" t="s">
        <v>4018</v>
      </c>
      <c r="F3398" s="89"/>
      <c r="G3398" s="89"/>
      <c r="H3398" s="89"/>
      <c r="I3398" s="90"/>
      <c r="J3398" s="88" t="s">
        <v>770</v>
      </c>
      <c r="K3398" s="89"/>
      <c r="L3398" s="89"/>
      <c r="M3398" s="90"/>
      <c r="N3398" s="88" t="s">
        <v>22</v>
      </c>
      <c r="O3398" s="89"/>
      <c r="P3398" s="90"/>
      <c r="Q3398" s="133">
        <v>1242</v>
      </c>
      <c r="R3398" s="134"/>
      <c r="S3398" s="5" t="s">
        <v>4010</v>
      </c>
      <c r="T3398" s="8">
        <v>2570</v>
      </c>
      <c r="U3398" s="8">
        <v>5</v>
      </c>
      <c r="V3398" s="5" t="s">
        <v>23</v>
      </c>
      <c r="W3398" s="12">
        <v>3720130</v>
      </c>
      <c r="X3398" s="6"/>
      <c r="Y3398" s="6"/>
    </row>
    <row r="3399" spans="1:25" ht="15" customHeight="1" x14ac:dyDescent="0.2">
      <c r="A3399" s="88" t="s">
        <v>4007</v>
      </c>
      <c r="B3399" s="90"/>
      <c r="C3399" s="88" t="s">
        <v>4020</v>
      </c>
      <c r="D3399" s="90"/>
      <c r="E3399" s="88" t="s">
        <v>4018</v>
      </c>
      <c r="F3399" s="89"/>
      <c r="G3399" s="89"/>
      <c r="H3399" s="89"/>
      <c r="I3399" s="90"/>
      <c r="J3399" s="88" t="s">
        <v>770</v>
      </c>
      <c r="K3399" s="89"/>
      <c r="L3399" s="89"/>
      <c r="M3399" s="90"/>
      <c r="N3399" s="88" t="s">
        <v>26</v>
      </c>
      <c r="O3399" s="89"/>
      <c r="P3399" s="90"/>
      <c r="Q3399" s="133">
        <v>1242</v>
      </c>
      <c r="R3399" s="134"/>
      <c r="S3399" s="5" t="s">
        <v>4010</v>
      </c>
      <c r="T3399" s="8">
        <v>1350</v>
      </c>
      <c r="U3399" s="8">
        <v>5</v>
      </c>
      <c r="V3399" s="5" t="s">
        <v>23</v>
      </c>
      <c r="W3399" s="12">
        <v>3720130</v>
      </c>
      <c r="X3399" s="6"/>
      <c r="Y3399" s="6"/>
    </row>
    <row r="3400" spans="1:25" ht="15" customHeight="1" x14ac:dyDescent="0.2">
      <c r="A3400" s="88" t="s">
        <v>4007</v>
      </c>
      <c r="B3400" s="90"/>
      <c r="C3400" s="88" t="s">
        <v>4021</v>
      </c>
      <c r="D3400" s="90"/>
      <c r="E3400" s="88" t="s">
        <v>4022</v>
      </c>
      <c r="F3400" s="89"/>
      <c r="G3400" s="89"/>
      <c r="H3400" s="89"/>
      <c r="I3400" s="90"/>
      <c r="J3400" s="88" t="s">
        <v>3412</v>
      </c>
      <c r="K3400" s="89"/>
      <c r="L3400" s="89"/>
      <c r="M3400" s="90"/>
      <c r="N3400" s="88" t="s">
        <v>26</v>
      </c>
      <c r="O3400" s="89"/>
      <c r="P3400" s="90"/>
      <c r="Q3400" s="133">
        <v>1242</v>
      </c>
      <c r="R3400" s="134"/>
      <c r="S3400" s="5" t="s">
        <v>4010</v>
      </c>
      <c r="T3400" s="8">
        <v>2160</v>
      </c>
      <c r="U3400" s="8">
        <v>5</v>
      </c>
      <c r="V3400" s="5" t="s">
        <v>23</v>
      </c>
      <c r="W3400" s="12">
        <v>3569729</v>
      </c>
      <c r="X3400" s="6"/>
      <c r="Y3400" s="6"/>
    </row>
    <row r="3401" spans="1:25" ht="15" customHeight="1" x14ac:dyDescent="0.2">
      <c r="A3401" s="88" t="s">
        <v>4007</v>
      </c>
      <c r="B3401" s="90"/>
      <c r="C3401" s="88" t="s">
        <v>4023</v>
      </c>
      <c r="D3401" s="90"/>
      <c r="E3401" s="88" t="s">
        <v>4024</v>
      </c>
      <c r="F3401" s="89"/>
      <c r="G3401" s="89"/>
      <c r="H3401" s="89"/>
      <c r="I3401" s="90"/>
      <c r="J3401" s="88" t="s">
        <v>3412</v>
      </c>
      <c r="K3401" s="89"/>
      <c r="L3401" s="89"/>
      <c r="M3401" s="90"/>
      <c r="N3401" s="88" t="s">
        <v>26</v>
      </c>
      <c r="O3401" s="89"/>
      <c r="P3401" s="90"/>
      <c r="Q3401" s="133">
        <v>1242</v>
      </c>
      <c r="R3401" s="134"/>
      <c r="S3401" s="5" t="s">
        <v>4010</v>
      </c>
      <c r="T3401" s="8">
        <v>2160</v>
      </c>
      <c r="U3401" s="8">
        <v>5</v>
      </c>
      <c r="V3401" s="5" t="s">
        <v>23</v>
      </c>
      <c r="W3401" s="12">
        <v>3589849</v>
      </c>
      <c r="X3401" s="6"/>
      <c r="Y3401" s="6"/>
    </row>
    <row r="3402" spans="1:25" ht="15" customHeight="1" x14ac:dyDescent="0.2">
      <c r="A3402" s="88" t="s">
        <v>4007</v>
      </c>
      <c r="B3402" s="90"/>
      <c r="C3402" s="88" t="s">
        <v>4025</v>
      </c>
      <c r="D3402" s="90"/>
      <c r="E3402" s="88" t="s">
        <v>4018</v>
      </c>
      <c r="F3402" s="89"/>
      <c r="G3402" s="89"/>
      <c r="H3402" s="89"/>
      <c r="I3402" s="90"/>
      <c r="J3402" s="88" t="s">
        <v>770</v>
      </c>
      <c r="K3402" s="89"/>
      <c r="L3402" s="89"/>
      <c r="M3402" s="90"/>
      <c r="N3402" s="88" t="s">
        <v>26</v>
      </c>
      <c r="O3402" s="89"/>
      <c r="P3402" s="90"/>
      <c r="Q3402" s="133">
        <v>1242</v>
      </c>
      <c r="R3402" s="134"/>
      <c r="S3402" s="5" t="s">
        <v>4010</v>
      </c>
      <c r="T3402" s="8">
        <v>1150</v>
      </c>
      <c r="U3402" s="8">
        <v>5</v>
      </c>
      <c r="V3402" s="5" t="s">
        <v>23</v>
      </c>
      <c r="W3402" s="12">
        <v>3591023</v>
      </c>
      <c r="X3402" s="6"/>
      <c r="Y3402" s="6"/>
    </row>
    <row r="3403" spans="1:25" ht="15" customHeight="1" x14ac:dyDescent="0.2">
      <c r="A3403" s="88" t="s">
        <v>4007</v>
      </c>
      <c r="B3403" s="90"/>
      <c r="C3403" s="88" t="s">
        <v>4026</v>
      </c>
      <c r="D3403" s="90"/>
      <c r="E3403" s="88" t="s">
        <v>4027</v>
      </c>
      <c r="F3403" s="89"/>
      <c r="G3403" s="89"/>
      <c r="H3403" s="89"/>
      <c r="I3403" s="90"/>
      <c r="J3403" s="88" t="s">
        <v>770</v>
      </c>
      <c r="K3403" s="89"/>
      <c r="L3403" s="89"/>
      <c r="M3403" s="90"/>
      <c r="N3403" s="88" t="s">
        <v>22</v>
      </c>
      <c r="O3403" s="89"/>
      <c r="P3403" s="90"/>
      <c r="Q3403" s="133">
        <v>1242</v>
      </c>
      <c r="R3403" s="134"/>
      <c r="S3403" s="5" t="s">
        <v>4010</v>
      </c>
      <c r="T3403" s="8">
        <v>870</v>
      </c>
      <c r="U3403" s="8">
        <v>5</v>
      </c>
      <c r="V3403" s="5" t="s">
        <v>23</v>
      </c>
      <c r="W3403" s="12">
        <v>3576268</v>
      </c>
      <c r="X3403" s="6"/>
      <c r="Y3403" s="6"/>
    </row>
    <row r="3404" spans="1:25" ht="15" customHeight="1" x14ac:dyDescent="0.2">
      <c r="A3404" s="88" t="s">
        <v>4007</v>
      </c>
      <c r="B3404" s="90"/>
      <c r="C3404" s="88" t="s">
        <v>4026</v>
      </c>
      <c r="D3404" s="90"/>
      <c r="E3404" s="88" t="s">
        <v>4027</v>
      </c>
      <c r="F3404" s="89"/>
      <c r="G3404" s="89"/>
      <c r="H3404" s="89"/>
      <c r="I3404" s="90"/>
      <c r="J3404" s="88" t="s">
        <v>770</v>
      </c>
      <c r="K3404" s="89"/>
      <c r="L3404" s="89"/>
      <c r="M3404" s="90"/>
      <c r="N3404" s="88" t="s">
        <v>26</v>
      </c>
      <c r="O3404" s="89"/>
      <c r="P3404" s="90"/>
      <c r="Q3404" s="133">
        <v>1242</v>
      </c>
      <c r="R3404" s="134"/>
      <c r="S3404" s="5" t="s">
        <v>4010</v>
      </c>
      <c r="T3404" s="8">
        <v>870</v>
      </c>
      <c r="U3404" s="8">
        <v>5</v>
      </c>
      <c r="V3404" s="5" t="s">
        <v>23</v>
      </c>
      <c r="W3404" s="12">
        <v>3576268</v>
      </c>
      <c r="X3404" s="6"/>
      <c r="Y3404" s="6"/>
    </row>
    <row r="3405" spans="1:25" ht="15" customHeight="1" x14ac:dyDescent="0.2">
      <c r="A3405" s="88" t="s">
        <v>4007</v>
      </c>
      <c r="B3405" s="90"/>
      <c r="C3405" s="88" t="s">
        <v>4028</v>
      </c>
      <c r="D3405" s="90"/>
      <c r="E3405" s="88" t="s">
        <v>4029</v>
      </c>
      <c r="F3405" s="89"/>
      <c r="G3405" s="89"/>
      <c r="H3405" s="89"/>
      <c r="I3405" s="90"/>
      <c r="J3405" s="88" t="s">
        <v>770</v>
      </c>
      <c r="K3405" s="89"/>
      <c r="L3405" s="89"/>
      <c r="M3405" s="90"/>
      <c r="N3405" s="88" t="s">
        <v>26</v>
      </c>
      <c r="O3405" s="89"/>
      <c r="P3405" s="90"/>
      <c r="Q3405" s="133">
        <v>1242</v>
      </c>
      <c r="R3405" s="134"/>
      <c r="S3405" s="5" t="s">
        <v>4010</v>
      </c>
      <c r="T3405" s="8">
        <v>870</v>
      </c>
      <c r="U3405" s="8">
        <v>5</v>
      </c>
      <c r="V3405" s="5" t="s">
        <v>23</v>
      </c>
      <c r="W3405" s="12">
        <v>3321239</v>
      </c>
      <c r="X3405" s="6"/>
      <c r="Y3405" s="6"/>
    </row>
    <row r="3406" spans="1:25" ht="15" customHeight="1" x14ac:dyDescent="0.2">
      <c r="A3406" s="88" t="s">
        <v>4007</v>
      </c>
      <c r="B3406" s="90"/>
      <c r="C3406" s="88" t="s">
        <v>4030</v>
      </c>
      <c r="D3406" s="90"/>
      <c r="E3406" s="88" t="s">
        <v>4027</v>
      </c>
      <c r="F3406" s="89"/>
      <c r="G3406" s="89"/>
      <c r="H3406" s="89"/>
      <c r="I3406" s="90"/>
      <c r="J3406" s="88" t="s">
        <v>770</v>
      </c>
      <c r="K3406" s="89"/>
      <c r="L3406" s="89"/>
      <c r="M3406" s="90"/>
      <c r="N3406" s="88" t="s">
        <v>26</v>
      </c>
      <c r="O3406" s="89"/>
      <c r="P3406" s="90"/>
      <c r="Q3406" s="133">
        <v>1242</v>
      </c>
      <c r="R3406" s="134"/>
      <c r="S3406" s="5" t="s">
        <v>4010</v>
      </c>
      <c r="T3406" s="8">
        <v>870</v>
      </c>
      <c r="U3406" s="8">
        <v>5</v>
      </c>
      <c r="V3406" s="5" t="s">
        <v>23</v>
      </c>
      <c r="W3406" s="12">
        <v>3447161</v>
      </c>
      <c r="X3406" s="6"/>
      <c r="Y3406" s="6"/>
    </row>
    <row r="3407" spans="1:25" ht="15" customHeight="1" x14ac:dyDescent="0.2">
      <c r="A3407" s="88" t="s">
        <v>4007</v>
      </c>
      <c r="B3407" s="90"/>
      <c r="C3407" s="88" t="s">
        <v>4031</v>
      </c>
      <c r="D3407" s="90"/>
      <c r="E3407" s="88" t="s">
        <v>4032</v>
      </c>
      <c r="F3407" s="89"/>
      <c r="G3407" s="89"/>
      <c r="H3407" s="89"/>
      <c r="I3407" s="90"/>
      <c r="J3407" s="88" t="s">
        <v>887</v>
      </c>
      <c r="K3407" s="89"/>
      <c r="L3407" s="89"/>
      <c r="M3407" s="90"/>
      <c r="N3407" s="88" t="s">
        <v>26</v>
      </c>
      <c r="O3407" s="89"/>
      <c r="P3407" s="90"/>
      <c r="Q3407" s="133">
        <v>1597</v>
      </c>
      <c r="R3407" s="134"/>
      <c r="S3407" s="5" t="s">
        <v>4010</v>
      </c>
      <c r="T3407" s="8">
        <v>920</v>
      </c>
      <c r="U3407" s="8">
        <v>7</v>
      </c>
      <c r="V3407" s="5" t="s">
        <v>23</v>
      </c>
      <c r="W3407" s="12">
        <v>3405830</v>
      </c>
      <c r="X3407" s="6"/>
      <c r="Y3407" s="6"/>
    </row>
    <row r="3408" spans="1:25" ht="15" customHeight="1" x14ac:dyDescent="0.2">
      <c r="A3408" s="88" t="s">
        <v>4007</v>
      </c>
      <c r="B3408" s="90"/>
      <c r="C3408" s="88" t="s">
        <v>4033</v>
      </c>
      <c r="D3408" s="90"/>
      <c r="E3408" s="88" t="s">
        <v>4019</v>
      </c>
      <c r="F3408" s="89"/>
      <c r="G3408" s="89"/>
      <c r="H3408" s="89"/>
      <c r="I3408" s="90"/>
      <c r="J3408" s="88" t="s">
        <v>770</v>
      </c>
      <c r="K3408" s="89"/>
      <c r="L3408" s="89"/>
      <c r="M3408" s="90"/>
      <c r="N3408" s="88" t="s">
        <v>22</v>
      </c>
      <c r="O3408" s="89"/>
      <c r="P3408" s="90"/>
      <c r="Q3408" s="133">
        <v>2267</v>
      </c>
      <c r="R3408" s="134"/>
      <c r="S3408" s="5" t="s">
        <v>4010</v>
      </c>
      <c r="T3408" s="8">
        <v>1485</v>
      </c>
      <c r="U3408" s="8">
        <v>7</v>
      </c>
      <c r="V3408" s="5" t="s">
        <v>106</v>
      </c>
      <c r="W3408" s="12">
        <v>7690189</v>
      </c>
      <c r="X3408" s="6"/>
      <c r="Y3408" s="6"/>
    </row>
    <row r="3409" spans="1:25" ht="15" customHeight="1" x14ac:dyDescent="0.2">
      <c r="A3409" s="88" t="s">
        <v>4007</v>
      </c>
      <c r="B3409" s="90"/>
      <c r="C3409" s="88" t="s">
        <v>4033</v>
      </c>
      <c r="D3409" s="90"/>
      <c r="E3409" s="88" t="s">
        <v>4019</v>
      </c>
      <c r="F3409" s="89"/>
      <c r="G3409" s="89"/>
      <c r="H3409" s="89"/>
      <c r="I3409" s="90"/>
      <c r="J3409" s="88" t="s">
        <v>2319</v>
      </c>
      <c r="K3409" s="89"/>
      <c r="L3409" s="89"/>
      <c r="M3409" s="90"/>
      <c r="N3409" s="88" t="s">
        <v>26</v>
      </c>
      <c r="O3409" s="89"/>
      <c r="P3409" s="90"/>
      <c r="Q3409" s="133">
        <v>2267</v>
      </c>
      <c r="R3409" s="134"/>
      <c r="S3409" s="5" t="s">
        <v>4010</v>
      </c>
      <c r="T3409" s="8">
        <v>1485</v>
      </c>
      <c r="U3409" s="8">
        <v>7</v>
      </c>
      <c r="V3409" s="5" t="s">
        <v>106</v>
      </c>
      <c r="W3409" s="12">
        <v>7524264</v>
      </c>
      <c r="X3409" s="6"/>
      <c r="Y3409" s="6"/>
    </row>
    <row r="3410" spans="1:25" ht="15" customHeight="1" x14ac:dyDescent="0.2">
      <c r="A3410" s="88" t="s">
        <v>4007</v>
      </c>
      <c r="B3410" s="90"/>
      <c r="C3410" s="88" t="s">
        <v>4033</v>
      </c>
      <c r="D3410" s="90"/>
      <c r="E3410" s="88" t="s">
        <v>4014</v>
      </c>
      <c r="F3410" s="89"/>
      <c r="G3410" s="89"/>
      <c r="H3410" s="89"/>
      <c r="I3410" s="90"/>
      <c r="J3410" s="88" t="s">
        <v>770</v>
      </c>
      <c r="K3410" s="89"/>
      <c r="L3410" s="89"/>
      <c r="M3410" s="90"/>
      <c r="N3410" s="88" t="s">
        <v>22</v>
      </c>
      <c r="O3410" s="89"/>
      <c r="P3410" s="90"/>
      <c r="Q3410" s="133">
        <v>2267</v>
      </c>
      <c r="R3410" s="134"/>
      <c r="S3410" s="5" t="s">
        <v>4010</v>
      </c>
      <c r="T3410" s="8">
        <v>3115</v>
      </c>
      <c r="U3410" s="8">
        <v>8</v>
      </c>
      <c r="V3410" s="5" t="s">
        <v>23</v>
      </c>
      <c r="W3410" s="12">
        <v>7663816</v>
      </c>
      <c r="X3410" s="6"/>
      <c r="Y3410" s="6"/>
    </row>
    <row r="3411" spans="1:25" ht="15" customHeight="1" x14ac:dyDescent="0.2">
      <c r="A3411" s="88" t="s">
        <v>4007</v>
      </c>
      <c r="B3411" s="90"/>
      <c r="C3411" s="88" t="s">
        <v>4033</v>
      </c>
      <c r="D3411" s="90"/>
      <c r="E3411" s="88" t="s">
        <v>4019</v>
      </c>
      <c r="F3411" s="89"/>
      <c r="G3411" s="89"/>
      <c r="H3411" s="89"/>
      <c r="I3411" s="90"/>
      <c r="J3411" s="88" t="s">
        <v>2319</v>
      </c>
      <c r="K3411" s="89"/>
      <c r="L3411" s="89"/>
      <c r="M3411" s="90"/>
      <c r="N3411" s="88" t="s">
        <v>22</v>
      </c>
      <c r="O3411" s="89"/>
      <c r="P3411" s="90"/>
      <c r="Q3411" s="133">
        <v>2267</v>
      </c>
      <c r="R3411" s="134"/>
      <c r="S3411" s="5" t="s">
        <v>4010</v>
      </c>
      <c r="T3411" s="8">
        <v>1485</v>
      </c>
      <c r="U3411" s="8">
        <v>7</v>
      </c>
      <c r="V3411" s="5" t="s">
        <v>106</v>
      </c>
      <c r="W3411" s="12">
        <v>7690189</v>
      </c>
      <c r="X3411" s="6"/>
      <c r="Y3411" s="6"/>
    </row>
    <row r="3412" spans="1:25" ht="15" customHeight="1" x14ac:dyDescent="0.2">
      <c r="A3412" s="88" t="s">
        <v>4007</v>
      </c>
      <c r="B3412" s="90"/>
      <c r="C3412" s="88" t="s">
        <v>4034</v>
      </c>
      <c r="D3412" s="90"/>
      <c r="E3412" s="88" t="s">
        <v>4035</v>
      </c>
      <c r="F3412" s="89"/>
      <c r="G3412" s="89"/>
      <c r="H3412" s="89"/>
      <c r="I3412" s="90"/>
      <c r="J3412" s="88" t="s">
        <v>770</v>
      </c>
      <c r="K3412" s="89"/>
      <c r="L3412" s="89"/>
      <c r="M3412" s="90"/>
      <c r="N3412" s="88" t="s">
        <v>22</v>
      </c>
      <c r="O3412" s="89"/>
      <c r="P3412" s="90"/>
      <c r="Q3412" s="133">
        <v>2359</v>
      </c>
      <c r="R3412" s="134"/>
      <c r="S3412" s="5" t="s">
        <v>4010</v>
      </c>
      <c r="T3412" s="8">
        <v>1525</v>
      </c>
      <c r="U3412" s="8">
        <v>7</v>
      </c>
      <c r="V3412" s="5" t="s">
        <v>23</v>
      </c>
      <c r="W3412" s="12">
        <v>5828335</v>
      </c>
      <c r="X3412" s="6"/>
      <c r="Y3412" s="6"/>
    </row>
    <row r="3413" spans="1:25" ht="15" customHeight="1" x14ac:dyDescent="0.2">
      <c r="A3413" s="88" t="s">
        <v>4007</v>
      </c>
      <c r="B3413" s="90"/>
      <c r="C3413" s="88" t="s">
        <v>4036</v>
      </c>
      <c r="D3413" s="90"/>
      <c r="E3413" s="88" t="s">
        <v>4037</v>
      </c>
      <c r="F3413" s="89"/>
      <c r="G3413" s="89"/>
      <c r="H3413" s="89"/>
      <c r="I3413" s="90"/>
      <c r="J3413" s="88" t="s">
        <v>2179</v>
      </c>
      <c r="K3413" s="89"/>
      <c r="L3413" s="89"/>
      <c r="M3413" s="90"/>
      <c r="N3413" s="88" t="s">
        <v>22</v>
      </c>
      <c r="O3413" s="89"/>
      <c r="P3413" s="90"/>
      <c r="Q3413" s="133">
        <v>2267</v>
      </c>
      <c r="R3413" s="134"/>
      <c r="S3413" s="5" t="s">
        <v>4010</v>
      </c>
      <c r="T3413" s="8">
        <v>1515</v>
      </c>
      <c r="U3413" s="8">
        <v>8</v>
      </c>
      <c r="V3413" s="5" t="s">
        <v>4038</v>
      </c>
      <c r="W3413" s="12">
        <v>5716554</v>
      </c>
      <c r="X3413" s="6"/>
      <c r="Y3413" s="6"/>
    </row>
    <row r="3414" spans="1:25" ht="15" customHeight="1" x14ac:dyDescent="0.2">
      <c r="A3414" s="88" t="s">
        <v>4007</v>
      </c>
      <c r="B3414" s="90"/>
      <c r="C3414" s="88" t="s">
        <v>4039</v>
      </c>
      <c r="D3414" s="90"/>
      <c r="E3414" s="88" t="s">
        <v>4040</v>
      </c>
      <c r="F3414" s="89"/>
      <c r="G3414" s="89"/>
      <c r="H3414" s="89"/>
      <c r="I3414" s="90"/>
      <c r="J3414" s="88" t="s">
        <v>2179</v>
      </c>
      <c r="K3414" s="89"/>
      <c r="L3414" s="89"/>
      <c r="M3414" s="90"/>
      <c r="N3414" s="88" t="s">
        <v>26</v>
      </c>
      <c r="O3414" s="89"/>
      <c r="P3414" s="90"/>
      <c r="Q3414" s="133">
        <v>2267</v>
      </c>
      <c r="R3414" s="134"/>
      <c r="S3414" s="5" t="s">
        <v>4010</v>
      </c>
      <c r="T3414" s="8">
        <v>1546</v>
      </c>
      <c r="U3414" s="8">
        <v>8</v>
      </c>
      <c r="V3414" s="5" t="s">
        <v>4038</v>
      </c>
      <c r="W3414" s="12">
        <v>6558406</v>
      </c>
      <c r="X3414" s="6"/>
      <c r="Y3414" s="6"/>
    </row>
    <row r="3415" spans="1:25" ht="15" customHeight="1" x14ac:dyDescent="0.2">
      <c r="A3415" s="88" t="s">
        <v>4007</v>
      </c>
      <c r="B3415" s="90"/>
      <c r="C3415" s="88" t="s">
        <v>4041</v>
      </c>
      <c r="D3415" s="90"/>
      <c r="E3415" s="88" t="s">
        <v>4014</v>
      </c>
      <c r="F3415" s="89"/>
      <c r="G3415" s="89"/>
      <c r="H3415" s="89"/>
      <c r="I3415" s="90"/>
      <c r="J3415" s="88" t="s">
        <v>2319</v>
      </c>
      <c r="K3415" s="89"/>
      <c r="L3415" s="89"/>
      <c r="M3415" s="90"/>
      <c r="N3415" s="88" t="s">
        <v>22</v>
      </c>
      <c r="O3415" s="89"/>
      <c r="P3415" s="90"/>
      <c r="Q3415" s="133">
        <v>2267</v>
      </c>
      <c r="R3415" s="134"/>
      <c r="S3415" s="5" t="s">
        <v>4010</v>
      </c>
      <c r="T3415" s="8">
        <v>1575</v>
      </c>
      <c r="U3415" s="8">
        <v>8</v>
      </c>
      <c r="V3415" s="5" t="s">
        <v>106</v>
      </c>
      <c r="W3415" s="12">
        <v>7817515</v>
      </c>
      <c r="X3415" s="6"/>
      <c r="Y3415" s="6"/>
    </row>
    <row r="3416" spans="1:25" ht="15" customHeight="1" x14ac:dyDescent="0.2">
      <c r="A3416" s="88" t="s">
        <v>4007</v>
      </c>
      <c r="B3416" s="90"/>
      <c r="C3416" s="88" t="s">
        <v>4042</v>
      </c>
      <c r="D3416" s="90"/>
      <c r="E3416" s="88" t="s">
        <v>4043</v>
      </c>
      <c r="F3416" s="89"/>
      <c r="G3416" s="89"/>
      <c r="H3416" s="89"/>
      <c r="I3416" s="90"/>
      <c r="J3416" s="88" t="s">
        <v>770</v>
      </c>
      <c r="K3416" s="89"/>
      <c r="L3416" s="89"/>
      <c r="M3416" s="90"/>
      <c r="N3416" s="88" t="s">
        <v>26</v>
      </c>
      <c r="O3416" s="89"/>
      <c r="P3416" s="90"/>
      <c r="Q3416" s="133">
        <v>1998</v>
      </c>
      <c r="R3416" s="134"/>
      <c r="S3416" s="5" t="s">
        <v>4010</v>
      </c>
      <c r="T3416" s="8">
        <v>1575</v>
      </c>
      <c r="U3416" s="8">
        <v>8</v>
      </c>
      <c r="V3416" s="5" t="s">
        <v>23</v>
      </c>
      <c r="W3416" s="12">
        <v>4885183</v>
      </c>
      <c r="X3416" s="6"/>
      <c r="Y3416" s="6"/>
    </row>
    <row r="3417" spans="1:25" ht="15" customHeight="1" x14ac:dyDescent="0.2">
      <c r="A3417" s="88" t="s">
        <v>4007</v>
      </c>
      <c r="B3417" s="90"/>
      <c r="C3417" s="88" t="s">
        <v>4044</v>
      </c>
      <c r="D3417" s="90"/>
      <c r="E3417" s="88" t="s">
        <v>4045</v>
      </c>
      <c r="F3417" s="89"/>
      <c r="G3417" s="89"/>
      <c r="H3417" s="89"/>
      <c r="I3417" s="90"/>
      <c r="J3417" s="88" t="s">
        <v>2319</v>
      </c>
      <c r="K3417" s="89"/>
      <c r="L3417" s="89"/>
      <c r="M3417" s="90"/>
      <c r="N3417" s="88" t="s">
        <v>22</v>
      </c>
      <c r="O3417" s="89"/>
      <c r="P3417" s="90"/>
      <c r="Q3417" s="133">
        <v>2267</v>
      </c>
      <c r="R3417" s="134"/>
      <c r="S3417" s="5" t="s">
        <v>4010</v>
      </c>
      <c r="T3417" s="8">
        <v>1545</v>
      </c>
      <c r="U3417" s="8">
        <v>7</v>
      </c>
      <c r="V3417" s="5" t="s">
        <v>106</v>
      </c>
      <c r="W3417" s="12">
        <v>6926934</v>
      </c>
      <c r="X3417" s="6"/>
      <c r="Y3417" s="6"/>
    </row>
    <row r="3418" spans="1:25" ht="15" customHeight="1" x14ac:dyDescent="0.2">
      <c r="A3418" s="88" t="s">
        <v>4007</v>
      </c>
      <c r="B3418" s="90"/>
      <c r="C3418" s="88" t="s">
        <v>4046</v>
      </c>
      <c r="D3418" s="90"/>
      <c r="E3418" s="88" t="s">
        <v>4047</v>
      </c>
      <c r="F3418" s="89"/>
      <c r="G3418" s="89"/>
      <c r="H3418" s="89"/>
      <c r="I3418" s="90"/>
      <c r="J3418" s="88" t="s">
        <v>770</v>
      </c>
      <c r="K3418" s="89"/>
      <c r="L3418" s="89"/>
      <c r="M3418" s="90"/>
      <c r="N3418" s="88" t="s">
        <v>22</v>
      </c>
      <c r="O3418" s="89"/>
      <c r="P3418" s="90"/>
      <c r="Q3418" s="133">
        <v>659</v>
      </c>
      <c r="R3418" s="134"/>
      <c r="S3418" s="5" t="s">
        <v>4010</v>
      </c>
      <c r="T3418" s="8">
        <v>1575</v>
      </c>
      <c r="U3418" s="8">
        <v>4</v>
      </c>
      <c r="V3418" s="5" t="s">
        <v>23</v>
      </c>
      <c r="W3418" s="12">
        <v>3753329</v>
      </c>
      <c r="X3418" s="6"/>
      <c r="Y3418" s="6"/>
    </row>
    <row r="3419" spans="1:25" ht="15" customHeight="1" x14ac:dyDescent="0.2">
      <c r="A3419" s="88" t="s">
        <v>4007</v>
      </c>
      <c r="B3419" s="90"/>
      <c r="C3419" s="88" t="s">
        <v>4046</v>
      </c>
      <c r="D3419" s="90"/>
      <c r="E3419" s="88" t="s">
        <v>4047</v>
      </c>
      <c r="F3419" s="89"/>
      <c r="G3419" s="89"/>
      <c r="H3419" s="89"/>
      <c r="I3419" s="90"/>
      <c r="J3419" s="88" t="s">
        <v>770</v>
      </c>
      <c r="K3419" s="89"/>
      <c r="L3419" s="89"/>
      <c r="M3419" s="90"/>
      <c r="N3419" s="88" t="s">
        <v>22</v>
      </c>
      <c r="O3419" s="89"/>
      <c r="P3419" s="90"/>
      <c r="Q3419" s="133">
        <v>659</v>
      </c>
      <c r="R3419" s="134"/>
      <c r="S3419" s="5" t="s">
        <v>4010</v>
      </c>
      <c r="T3419" s="8">
        <v>1675</v>
      </c>
      <c r="U3419" s="8">
        <v>4</v>
      </c>
      <c r="V3419" s="5" t="s">
        <v>23</v>
      </c>
      <c r="W3419" s="12">
        <v>3808661</v>
      </c>
      <c r="X3419" s="6"/>
      <c r="Y3419" s="6"/>
    </row>
    <row r="3420" spans="1:25" ht="15" customHeight="1" x14ac:dyDescent="0.2">
      <c r="A3420" s="88" t="s">
        <v>4007</v>
      </c>
      <c r="B3420" s="90"/>
      <c r="C3420" s="88" t="s">
        <v>4048</v>
      </c>
      <c r="D3420" s="90"/>
      <c r="E3420" s="88" t="s">
        <v>4049</v>
      </c>
      <c r="F3420" s="89"/>
      <c r="G3420" s="89"/>
      <c r="H3420" s="89"/>
      <c r="I3420" s="90"/>
      <c r="J3420" s="88" t="s">
        <v>887</v>
      </c>
      <c r="K3420" s="89"/>
      <c r="L3420" s="89"/>
      <c r="M3420" s="90"/>
      <c r="N3420" s="88" t="s">
        <v>26</v>
      </c>
      <c r="O3420" s="89"/>
      <c r="P3420" s="90"/>
      <c r="Q3420" s="133">
        <v>1597</v>
      </c>
      <c r="R3420" s="134"/>
      <c r="S3420" s="5" t="s">
        <v>4010</v>
      </c>
      <c r="T3420" s="8">
        <v>2000</v>
      </c>
      <c r="U3420" s="8">
        <v>5</v>
      </c>
      <c r="V3420" s="5" t="s">
        <v>23</v>
      </c>
      <c r="W3420" s="12">
        <v>3292302</v>
      </c>
      <c r="X3420" s="6"/>
      <c r="Y3420" s="6"/>
    </row>
    <row r="3421" spans="1:25" ht="15" customHeight="1" x14ac:dyDescent="0.2">
      <c r="A3421" s="88" t="s">
        <v>4007</v>
      </c>
      <c r="B3421" s="90"/>
      <c r="C3421" s="88" t="s">
        <v>4050</v>
      </c>
      <c r="D3421" s="90"/>
      <c r="E3421" s="88" t="s">
        <v>4051</v>
      </c>
      <c r="F3421" s="89"/>
      <c r="G3421" s="89"/>
      <c r="H3421" s="89"/>
      <c r="I3421" s="90"/>
      <c r="J3421" s="88" t="s">
        <v>770</v>
      </c>
      <c r="K3421" s="89"/>
      <c r="L3421" s="89"/>
      <c r="M3421" s="90"/>
      <c r="N3421" s="88" t="s">
        <v>26</v>
      </c>
      <c r="O3421" s="89"/>
      <c r="P3421" s="90"/>
      <c r="Q3421" s="133">
        <v>659</v>
      </c>
      <c r="R3421" s="134"/>
      <c r="S3421" s="5" t="s">
        <v>4010</v>
      </c>
      <c r="T3421" s="8">
        <v>3115</v>
      </c>
      <c r="U3421" s="8">
        <v>7</v>
      </c>
      <c r="V3421" s="5" t="s">
        <v>23</v>
      </c>
      <c r="W3421" s="12">
        <v>5595202</v>
      </c>
      <c r="X3421" s="6"/>
      <c r="Y3421" s="6"/>
    </row>
    <row r="3422" spans="1:25" ht="15" customHeight="1" x14ac:dyDescent="0.2">
      <c r="A3422" s="88" t="s">
        <v>4007</v>
      </c>
      <c r="B3422" s="90"/>
      <c r="C3422" s="88" t="s">
        <v>4052</v>
      </c>
      <c r="D3422" s="90"/>
      <c r="E3422" s="88" t="s">
        <v>4053</v>
      </c>
      <c r="F3422" s="89"/>
      <c r="G3422" s="89"/>
      <c r="H3422" s="89"/>
      <c r="I3422" s="90"/>
      <c r="J3422" s="88" t="s">
        <v>770</v>
      </c>
      <c r="K3422" s="89"/>
      <c r="L3422" s="89"/>
      <c r="M3422" s="90"/>
      <c r="N3422" s="88" t="s">
        <v>22</v>
      </c>
      <c r="O3422" s="89"/>
      <c r="P3422" s="90"/>
      <c r="Q3422" s="133">
        <v>1498</v>
      </c>
      <c r="R3422" s="134"/>
      <c r="S3422" s="5" t="s">
        <v>16</v>
      </c>
      <c r="T3422" s="8">
        <v>3115</v>
      </c>
      <c r="U3422" s="8">
        <v>5</v>
      </c>
      <c r="V3422" s="5" t="s">
        <v>23</v>
      </c>
      <c r="W3422" s="12">
        <v>5610628</v>
      </c>
      <c r="X3422" s="6"/>
      <c r="Y3422" s="6"/>
    </row>
    <row r="3423" spans="1:25" ht="15" customHeight="1" x14ac:dyDescent="0.2">
      <c r="A3423" s="88" t="s">
        <v>4007</v>
      </c>
      <c r="B3423" s="90"/>
      <c r="C3423" s="88" t="s">
        <v>4054</v>
      </c>
      <c r="D3423" s="90"/>
      <c r="E3423" s="88" t="s">
        <v>4055</v>
      </c>
      <c r="F3423" s="89"/>
      <c r="G3423" s="89"/>
      <c r="H3423" s="89"/>
      <c r="I3423" s="90"/>
      <c r="J3423" s="88" t="s">
        <v>770</v>
      </c>
      <c r="K3423" s="89"/>
      <c r="L3423" s="89"/>
      <c r="M3423" s="90"/>
      <c r="N3423" s="88" t="s">
        <v>22</v>
      </c>
      <c r="O3423" s="89"/>
      <c r="P3423" s="90"/>
      <c r="Q3423" s="133">
        <v>2359</v>
      </c>
      <c r="R3423" s="134"/>
      <c r="S3423" s="5" t="s">
        <v>16</v>
      </c>
      <c r="T3423" s="8">
        <v>2090</v>
      </c>
      <c r="U3423" s="8">
        <v>5</v>
      </c>
      <c r="V3423" s="5" t="s">
        <v>23</v>
      </c>
      <c r="W3423" s="12">
        <v>7877073</v>
      </c>
      <c r="X3423" s="6"/>
      <c r="Y3423" s="6"/>
    </row>
    <row r="3424" spans="1:25" ht="15" customHeight="1" x14ac:dyDescent="0.2">
      <c r="A3424" s="88" t="s">
        <v>4007</v>
      </c>
      <c r="B3424" s="90"/>
      <c r="C3424" s="88" t="s">
        <v>4056</v>
      </c>
      <c r="D3424" s="90"/>
      <c r="E3424" s="88" t="s">
        <v>4053</v>
      </c>
      <c r="F3424" s="89"/>
      <c r="G3424" s="89"/>
      <c r="H3424" s="89"/>
      <c r="I3424" s="90"/>
      <c r="J3424" s="88" t="s">
        <v>770</v>
      </c>
      <c r="K3424" s="89"/>
      <c r="L3424" s="89"/>
      <c r="M3424" s="90"/>
      <c r="N3424" s="88" t="s">
        <v>22</v>
      </c>
      <c r="O3424" s="89"/>
      <c r="P3424" s="90"/>
      <c r="Q3424" s="133">
        <v>1498</v>
      </c>
      <c r="R3424" s="134"/>
      <c r="S3424" s="5" t="s">
        <v>16</v>
      </c>
      <c r="T3424" s="8">
        <v>2570</v>
      </c>
      <c r="U3424" s="8">
        <v>5</v>
      </c>
      <c r="V3424" s="5" t="s">
        <v>23</v>
      </c>
      <c r="W3424" s="12">
        <v>5597885</v>
      </c>
      <c r="X3424" s="6"/>
      <c r="Y3424" s="6"/>
    </row>
    <row r="3425" spans="1:25" ht="15" customHeight="1" x14ac:dyDescent="0.2">
      <c r="A3425" s="88" t="s">
        <v>4007</v>
      </c>
      <c r="B3425" s="90"/>
      <c r="C3425" s="88" t="s">
        <v>4057</v>
      </c>
      <c r="D3425" s="90"/>
      <c r="E3425" s="88" t="s">
        <v>4055</v>
      </c>
      <c r="F3425" s="89"/>
      <c r="G3425" s="89"/>
      <c r="H3425" s="89"/>
      <c r="I3425" s="90"/>
      <c r="J3425" s="88" t="s">
        <v>770</v>
      </c>
      <c r="K3425" s="89"/>
      <c r="L3425" s="89"/>
      <c r="M3425" s="90"/>
      <c r="N3425" s="88" t="s">
        <v>22</v>
      </c>
      <c r="O3425" s="89"/>
      <c r="P3425" s="90"/>
      <c r="Q3425" s="133">
        <v>2359</v>
      </c>
      <c r="R3425" s="134"/>
      <c r="S3425" s="5" t="s">
        <v>16</v>
      </c>
      <c r="T3425" s="8">
        <v>1350</v>
      </c>
      <c r="U3425" s="8">
        <v>5</v>
      </c>
      <c r="V3425" s="5" t="s">
        <v>23</v>
      </c>
      <c r="W3425" s="12">
        <v>8122991</v>
      </c>
      <c r="X3425" s="6"/>
      <c r="Y3425" s="6"/>
    </row>
    <row r="3426" spans="1:25" ht="15" customHeight="1" x14ac:dyDescent="0.2">
      <c r="A3426" s="88" t="s">
        <v>4007</v>
      </c>
      <c r="B3426" s="90"/>
      <c r="C3426" s="88" t="s">
        <v>4058</v>
      </c>
      <c r="D3426" s="90"/>
      <c r="E3426" s="88" t="s">
        <v>4059</v>
      </c>
      <c r="F3426" s="89"/>
      <c r="G3426" s="89"/>
      <c r="H3426" s="89"/>
      <c r="I3426" s="90"/>
      <c r="J3426" s="88" t="s">
        <v>770</v>
      </c>
      <c r="K3426" s="89"/>
      <c r="L3426" s="89"/>
      <c r="M3426" s="90"/>
      <c r="N3426" s="88" t="s">
        <v>22</v>
      </c>
      <c r="O3426" s="89"/>
      <c r="P3426" s="90"/>
      <c r="Q3426" s="133">
        <v>1498</v>
      </c>
      <c r="R3426" s="134"/>
      <c r="S3426" s="5" t="s">
        <v>16</v>
      </c>
      <c r="T3426" s="8">
        <v>2160</v>
      </c>
      <c r="U3426" s="8">
        <v>5</v>
      </c>
      <c r="V3426" s="5" t="s">
        <v>23</v>
      </c>
      <c r="W3426" s="12">
        <v>4805469</v>
      </c>
      <c r="X3426" s="6"/>
      <c r="Y3426" s="6"/>
    </row>
    <row r="3427" spans="1:25" ht="15" customHeight="1" x14ac:dyDescent="0.2">
      <c r="A3427" s="88" t="s">
        <v>4007</v>
      </c>
      <c r="B3427" s="90"/>
      <c r="C3427" s="88" t="s">
        <v>4060</v>
      </c>
      <c r="D3427" s="90"/>
      <c r="E3427" s="88" t="s">
        <v>4053</v>
      </c>
      <c r="F3427" s="89"/>
      <c r="G3427" s="89"/>
      <c r="H3427" s="89"/>
      <c r="I3427" s="90"/>
      <c r="J3427" s="88" t="s">
        <v>770</v>
      </c>
      <c r="K3427" s="89"/>
      <c r="L3427" s="89"/>
      <c r="M3427" s="90"/>
      <c r="N3427" s="88" t="s">
        <v>22</v>
      </c>
      <c r="O3427" s="89"/>
      <c r="P3427" s="90"/>
      <c r="Q3427" s="133">
        <v>1498</v>
      </c>
      <c r="R3427" s="134"/>
      <c r="S3427" s="5" t="s">
        <v>16</v>
      </c>
      <c r="T3427" s="8">
        <v>2160</v>
      </c>
      <c r="U3427" s="8">
        <v>5</v>
      </c>
      <c r="V3427" s="5" t="s">
        <v>23</v>
      </c>
      <c r="W3427" s="12">
        <v>4837326</v>
      </c>
      <c r="X3427" s="6"/>
      <c r="Y3427" s="6"/>
    </row>
    <row r="3428" spans="1:25" ht="15" customHeight="1" x14ac:dyDescent="0.2">
      <c r="A3428" s="88" t="s">
        <v>4007</v>
      </c>
      <c r="B3428" s="90"/>
      <c r="C3428" s="88" t="s">
        <v>4061</v>
      </c>
      <c r="D3428" s="90"/>
      <c r="E3428" s="88" t="s">
        <v>4062</v>
      </c>
      <c r="F3428" s="89"/>
      <c r="G3428" s="89"/>
      <c r="H3428" s="89"/>
      <c r="I3428" s="90"/>
      <c r="J3428" s="88" t="s">
        <v>770</v>
      </c>
      <c r="K3428" s="89"/>
      <c r="L3428" s="89"/>
      <c r="M3428" s="90"/>
      <c r="N3428" s="88" t="s">
        <v>26</v>
      </c>
      <c r="O3428" s="89"/>
      <c r="P3428" s="90"/>
      <c r="Q3428" s="133">
        <v>659</v>
      </c>
      <c r="R3428" s="134"/>
      <c r="S3428" s="5" t="s">
        <v>70</v>
      </c>
      <c r="T3428" s="8">
        <v>1150</v>
      </c>
      <c r="U3428" s="8">
        <v>4</v>
      </c>
      <c r="V3428" s="5" t="s">
        <v>23</v>
      </c>
      <c r="W3428" s="12">
        <v>3606890</v>
      </c>
      <c r="X3428" s="6"/>
      <c r="Y3428" s="6"/>
    </row>
    <row r="3429" spans="1:25" ht="15" customHeight="1" x14ac:dyDescent="0.2">
      <c r="A3429" s="88" t="s">
        <v>4007</v>
      </c>
      <c r="B3429" s="90"/>
      <c r="C3429" s="88" t="s">
        <v>4063</v>
      </c>
      <c r="D3429" s="90"/>
      <c r="E3429" s="88" t="s">
        <v>4064</v>
      </c>
      <c r="F3429" s="89"/>
      <c r="G3429" s="89"/>
      <c r="H3429" s="89"/>
      <c r="I3429" s="90"/>
      <c r="J3429" s="88" t="s">
        <v>770</v>
      </c>
      <c r="K3429" s="89"/>
      <c r="L3429" s="89"/>
      <c r="M3429" s="90"/>
      <c r="N3429" s="88" t="s">
        <v>26</v>
      </c>
      <c r="O3429" s="89"/>
      <c r="P3429" s="90"/>
      <c r="Q3429" s="133">
        <v>659</v>
      </c>
      <c r="R3429" s="134"/>
      <c r="S3429" s="5" t="s">
        <v>70</v>
      </c>
      <c r="T3429" s="8">
        <v>870</v>
      </c>
      <c r="U3429" s="8">
        <v>4</v>
      </c>
      <c r="V3429" s="5" t="s">
        <v>23</v>
      </c>
      <c r="W3429" s="12">
        <v>2509835</v>
      </c>
      <c r="X3429" s="6"/>
      <c r="Y3429" s="6"/>
    </row>
    <row r="3430" spans="1:25" ht="15" customHeight="1" x14ac:dyDescent="0.2">
      <c r="A3430" s="88" t="s">
        <v>4007</v>
      </c>
      <c r="B3430" s="90"/>
      <c r="C3430" s="88" t="s">
        <v>4065</v>
      </c>
      <c r="D3430" s="90"/>
      <c r="E3430" s="88" t="s">
        <v>4066</v>
      </c>
      <c r="F3430" s="89"/>
      <c r="G3430" s="89"/>
      <c r="H3430" s="89"/>
      <c r="I3430" s="90"/>
      <c r="J3430" s="88" t="s">
        <v>770</v>
      </c>
      <c r="K3430" s="89"/>
      <c r="L3430" s="89"/>
      <c r="M3430" s="90"/>
      <c r="N3430" s="88" t="s">
        <v>22</v>
      </c>
      <c r="O3430" s="89"/>
      <c r="P3430" s="90"/>
      <c r="Q3430" s="133">
        <v>659</v>
      </c>
      <c r="R3430" s="134"/>
      <c r="S3430" s="5" t="s">
        <v>70</v>
      </c>
      <c r="T3430" s="8">
        <v>870</v>
      </c>
      <c r="U3430" s="8">
        <v>4</v>
      </c>
      <c r="V3430" s="5" t="s">
        <v>23</v>
      </c>
      <c r="W3430" s="12">
        <v>3052462</v>
      </c>
      <c r="X3430" s="6"/>
      <c r="Y3430" s="6"/>
    </row>
    <row r="3431" spans="1:25" ht="15" customHeight="1" x14ac:dyDescent="0.2">
      <c r="A3431" s="88" t="s">
        <v>4007</v>
      </c>
      <c r="B3431" s="90"/>
      <c r="C3431" s="88" t="s">
        <v>4067</v>
      </c>
      <c r="D3431" s="90"/>
      <c r="E3431" s="88" t="s">
        <v>4068</v>
      </c>
      <c r="F3431" s="89"/>
      <c r="G3431" s="89"/>
      <c r="H3431" s="89"/>
      <c r="I3431" s="90"/>
      <c r="J3431" s="88" t="s">
        <v>770</v>
      </c>
      <c r="K3431" s="89"/>
      <c r="L3431" s="89"/>
      <c r="M3431" s="90"/>
      <c r="N3431" s="88" t="s">
        <v>26</v>
      </c>
      <c r="O3431" s="89"/>
      <c r="P3431" s="90"/>
      <c r="Q3431" s="133">
        <v>659</v>
      </c>
      <c r="R3431" s="134"/>
      <c r="S3431" s="5" t="s">
        <v>70</v>
      </c>
      <c r="T3431" s="8">
        <v>870</v>
      </c>
      <c r="U3431" s="8">
        <v>4</v>
      </c>
      <c r="V3431" s="5" t="s">
        <v>23</v>
      </c>
      <c r="W3431" s="12">
        <v>2346061</v>
      </c>
      <c r="X3431" s="6"/>
      <c r="Y3431" s="6"/>
    </row>
    <row r="3432" spans="1:25" ht="15" customHeight="1" x14ac:dyDescent="0.2">
      <c r="A3432" s="88" t="s">
        <v>4007</v>
      </c>
      <c r="B3432" s="90"/>
      <c r="C3432" s="88" t="s">
        <v>4067</v>
      </c>
      <c r="D3432" s="90"/>
      <c r="E3432" s="88" t="s">
        <v>4069</v>
      </c>
      <c r="F3432" s="89"/>
      <c r="G3432" s="89"/>
      <c r="H3432" s="89"/>
      <c r="I3432" s="90"/>
      <c r="J3432" s="88" t="s">
        <v>770</v>
      </c>
      <c r="K3432" s="89"/>
      <c r="L3432" s="89"/>
      <c r="M3432" s="90"/>
      <c r="N3432" s="88" t="s">
        <v>26</v>
      </c>
      <c r="O3432" s="89"/>
      <c r="P3432" s="90"/>
      <c r="Q3432" s="133">
        <v>659</v>
      </c>
      <c r="R3432" s="134"/>
      <c r="S3432" s="5" t="s">
        <v>70</v>
      </c>
      <c r="T3432" s="8">
        <v>870</v>
      </c>
      <c r="U3432" s="8">
        <v>4</v>
      </c>
      <c r="V3432" s="5" t="s">
        <v>23</v>
      </c>
      <c r="W3432" s="12">
        <v>3526134</v>
      </c>
      <c r="X3432" s="6"/>
      <c r="Y3432" s="6"/>
    </row>
    <row r="3433" spans="1:25" ht="15" customHeight="1" x14ac:dyDescent="0.2">
      <c r="A3433" s="88" t="s">
        <v>4007</v>
      </c>
      <c r="B3433" s="90"/>
      <c r="C3433" s="88" t="s">
        <v>4067</v>
      </c>
      <c r="D3433" s="90"/>
      <c r="E3433" s="88" t="s">
        <v>4070</v>
      </c>
      <c r="F3433" s="89"/>
      <c r="G3433" s="89"/>
      <c r="H3433" s="89"/>
      <c r="I3433" s="90"/>
      <c r="J3433" s="88" t="s">
        <v>770</v>
      </c>
      <c r="K3433" s="89"/>
      <c r="L3433" s="89"/>
      <c r="M3433" s="90"/>
      <c r="N3433" s="88" t="s">
        <v>26</v>
      </c>
      <c r="O3433" s="89"/>
      <c r="P3433" s="90"/>
      <c r="Q3433" s="133">
        <v>659</v>
      </c>
      <c r="R3433" s="134"/>
      <c r="S3433" s="5" t="s">
        <v>70</v>
      </c>
      <c r="T3433" s="8">
        <v>920</v>
      </c>
      <c r="U3433" s="8">
        <v>4</v>
      </c>
      <c r="V3433" s="5" t="s">
        <v>23</v>
      </c>
      <c r="W3433" s="12">
        <v>3423854</v>
      </c>
      <c r="X3433" s="6"/>
      <c r="Y3433" s="6"/>
    </row>
    <row r="3434" spans="1:25" ht="15" customHeight="1" x14ac:dyDescent="0.2">
      <c r="A3434" s="88" t="s">
        <v>4007</v>
      </c>
      <c r="B3434" s="90"/>
      <c r="C3434" s="88" t="s">
        <v>4071</v>
      </c>
      <c r="D3434" s="90"/>
      <c r="E3434" s="88" t="s">
        <v>4072</v>
      </c>
      <c r="F3434" s="89"/>
      <c r="G3434" s="89"/>
      <c r="H3434" s="89"/>
      <c r="I3434" s="90"/>
      <c r="J3434" s="88" t="s">
        <v>770</v>
      </c>
      <c r="K3434" s="89"/>
      <c r="L3434" s="89"/>
      <c r="M3434" s="90"/>
      <c r="N3434" s="88" t="s">
        <v>26</v>
      </c>
      <c r="O3434" s="89"/>
      <c r="P3434" s="90"/>
      <c r="Q3434" s="133">
        <v>659</v>
      </c>
      <c r="R3434" s="134"/>
      <c r="S3434" s="5" t="s">
        <v>70</v>
      </c>
      <c r="T3434" s="8">
        <v>1485</v>
      </c>
      <c r="U3434" s="8">
        <v>4</v>
      </c>
      <c r="V3434" s="5" t="s">
        <v>23</v>
      </c>
      <c r="W3434" s="12">
        <v>2838681</v>
      </c>
      <c r="X3434" s="6"/>
      <c r="Y3434" s="6"/>
    </row>
    <row r="3435" spans="1:25" ht="15" customHeight="1" x14ac:dyDescent="0.2">
      <c r="A3435" s="88" t="s">
        <v>4007</v>
      </c>
      <c r="B3435" s="90"/>
      <c r="C3435" s="88" t="s">
        <v>4073</v>
      </c>
      <c r="D3435" s="90"/>
      <c r="E3435" s="88" t="s">
        <v>4074</v>
      </c>
      <c r="F3435" s="89"/>
      <c r="G3435" s="89"/>
      <c r="H3435" s="89"/>
      <c r="I3435" s="90"/>
      <c r="J3435" s="88" t="s">
        <v>770</v>
      </c>
      <c r="K3435" s="89"/>
      <c r="L3435" s="89"/>
      <c r="M3435" s="90"/>
      <c r="N3435" s="88" t="s">
        <v>22</v>
      </c>
      <c r="O3435" s="89"/>
      <c r="P3435" s="90"/>
      <c r="Q3435" s="133">
        <v>659</v>
      </c>
      <c r="R3435" s="134"/>
      <c r="S3435" s="5" t="s">
        <v>70</v>
      </c>
      <c r="T3435" s="8">
        <v>1485</v>
      </c>
      <c r="U3435" s="8">
        <v>4</v>
      </c>
      <c r="V3435" s="5" t="s">
        <v>23</v>
      </c>
      <c r="W3435" s="12">
        <v>2785026</v>
      </c>
      <c r="X3435" s="6"/>
      <c r="Y3435" s="6"/>
    </row>
    <row r="3436" spans="1:25" ht="15" customHeight="1" x14ac:dyDescent="0.2">
      <c r="A3436" s="88" t="s">
        <v>4007</v>
      </c>
      <c r="B3436" s="90"/>
      <c r="C3436" s="88" t="s">
        <v>4073</v>
      </c>
      <c r="D3436" s="90"/>
      <c r="E3436" s="88" t="s">
        <v>4074</v>
      </c>
      <c r="F3436" s="89"/>
      <c r="G3436" s="89"/>
      <c r="H3436" s="89"/>
      <c r="I3436" s="90"/>
      <c r="J3436" s="88" t="s">
        <v>770</v>
      </c>
      <c r="K3436" s="89"/>
      <c r="L3436" s="89"/>
      <c r="M3436" s="90"/>
      <c r="N3436" s="88" t="s">
        <v>26</v>
      </c>
      <c r="O3436" s="89"/>
      <c r="P3436" s="90"/>
      <c r="Q3436" s="133">
        <v>659</v>
      </c>
      <c r="R3436" s="134"/>
      <c r="S3436" s="5" t="s">
        <v>70</v>
      </c>
      <c r="T3436" s="8">
        <v>1485</v>
      </c>
      <c r="U3436" s="8">
        <v>4</v>
      </c>
      <c r="V3436" s="5" t="s">
        <v>23</v>
      </c>
      <c r="W3436" s="12">
        <v>2840357</v>
      </c>
      <c r="X3436" s="6"/>
      <c r="Y3436" s="6"/>
    </row>
    <row r="3437" spans="1:25" ht="15" customHeight="1" x14ac:dyDescent="0.2">
      <c r="A3437" s="88" t="s">
        <v>4007</v>
      </c>
      <c r="B3437" s="90"/>
      <c r="C3437" s="88" t="s">
        <v>4075</v>
      </c>
      <c r="D3437" s="90"/>
      <c r="E3437" s="88" t="s">
        <v>4076</v>
      </c>
      <c r="F3437" s="89"/>
      <c r="G3437" s="89"/>
      <c r="H3437" s="89"/>
      <c r="I3437" s="90"/>
      <c r="J3437" s="88" t="s">
        <v>770</v>
      </c>
      <c r="K3437" s="89"/>
      <c r="L3437" s="89"/>
      <c r="M3437" s="90"/>
      <c r="N3437" s="88" t="s">
        <v>26</v>
      </c>
      <c r="O3437" s="89"/>
      <c r="P3437" s="90"/>
      <c r="Q3437" s="133">
        <v>659</v>
      </c>
      <c r="R3437" s="134"/>
      <c r="S3437" s="5" t="s">
        <v>70</v>
      </c>
      <c r="T3437" s="8">
        <v>1525</v>
      </c>
      <c r="U3437" s="8">
        <v>4</v>
      </c>
      <c r="V3437" s="5" t="s">
        <v>23</v>
      </c>
      <c r="W3437" s="12">
        <v>2293748</v>
      </c>
      <c r="X3437" s="6"/>
      <c r="Y3437" s="6"/>
    </row>
    <row r="3438" spans="1:25" ht="15" customHeight="1" x14ac:dyDescent="0.2">
      <c r="A3438" s="88" t="s">
        <v>4007</v>
      </c>
      <c r="B3438" s="90"/>
      <c r="C3438" s="88" t="s">
        <v>4077</v>
      </c>
      <c r="D3438" s="90"/>
      <c r="E3438" s="88" t="s">
        <v>4068</v>
      </c>
      <c r="F3438" s="89"/>
      <c r="G3438" s="89"/>
      <c r="H3438" s="89"/>
      <c r="I3438" s="90"/>
      <c r="J3438" s="88" t="s">
        <v>770</v>
      </c>
      <c r="K3438" s="89"/>
      <c r="L3438" s="89"/>
      <c r="M3438" s="90"/>
      <c r="N3438" s="88" t="s">
        <v>22</v>
      </c>
      <c r="O3438" s="89"/>
      <c r="P3438" s="90"/>
      <c r="Q3438" s="133">
        <v>659</v>
      </c>
      <c r="R3438" s="134"/>
      <c r="S3438" s="5" t="s">
        <v>70</v>
      </c>
      <c r="T3438" s="8">
        <v>1515</v>
      </c>
      <c r="U3438" s="8">
        <v>4</v>
      </c>
      <c r="V3438" s="5" t="s">
        <v>23</v>
      </c>
      <c r="W3438" s="12">
        <v>2346061</v>
      </c>
      <c r="X3438" s="6"/>
      <c r="Y3438" s="6"/>
    </row>
    <row r="3439" spans="1:25" ht="15" customHeight="1" x14ac:dyDescent="0.2">
      <c r="A3439" s="88" t="s">
        <v>4007</v>
      </c>
      <c r="B3439" s="90"/>
      <c r="C3439" s="88" t="s">
        <v>4078</v>
      </c>
      <c r="D3439" s="90"/>
      <c r="E3439" s="88" t="s">
        <v>4069</v>
      </c>
      <c r="F3439" s="89"/>
      <c r="G3439" s="89"/>
      <c r="H3439" s="89"/>
      <c r="I3439" s="90"/>
      <c r="J3439" s="88" t="s">
        <v>770</v>
      </c>
      <c r="K3439" s="89"/>
      <c r="L3439" s="89"/>
      <c r="M3439" s="90"/>
      <c r="N3439" s="88" t="s">
        <v>26</v>
      </c>
      <c r="O3439" s="89"/>
      <c r="P3439" s="90"/>
      <c r="Q3439" s="133">
        <v>659</v>
      </c>
      <c r="R3439" s="134"/>
      <c r="S3439" s="5" t="s">
        <v>70</v>
      </c>
      <c r="T3439" s="8">
        <v>1546</v>
      </c>
      <c r="U3439" s="8">
        <v>4</v>
      </c>
      <c r="V3439" s="5" t="s">
        <v>23</v>
      </c>
      <c r="W3439" s="12">
        <v>3526134</v>
      </c>
      <c r="X3439" s="6"/>
      <c r="Y3439" s="6"/>
    </row>
    <row r="3440" spans="1:25" ht="15" customHeight="1" x14ac:dyDescent="0.2">
      <c r="A3440" s="88" t="s">
        <v>4007</v>
      </c>
      <c r="B3440" s="90"/>
      <c r="C3440" s="88" t="s">
        <v>4079</v>
      </c>
      <c r="D3440" s="90"/>
      <c r="E3440" s="88" t="s">
        <v>4080</v>
      </c>
      <c r="F3440" s="89"/>
      <c r="G3440" s="89"/>
      <c r="H3440" s="89"/>
      <c r="I3440" s="90"/>
      <c r="J3440" s="88" t="s">
        <v>770</v>
      </c>
      <c r="K3440" s="89"/>
      <c r="L3440" s="89"/>
      <c r="M3440" s="90"/>
      <c r="N3440" s="88" t="s">
        <v>26</v>
      </c>
      <c r="O3440" s="89"/>
      <c r="P3440" s="90"/>
      <c r="Q3440" s="133">
        <v>659</v>
      </c>
      <c r="R3440" s="134"/>
      <c r="S3440" s="5" t="s">
        <v>70</v>
      </c>
      <c r="T3440" s="8">
        <v>1575</v>
      </c>
      <c r="U3440" s="8">
        <v>4</v>
      </c>
      <c r="V3440" s="5" t="s">
        <v>23</v>
      </c>
      <c r="W3440" s="12">
        <v>2360816</v>
      </c>
      <c r="X3440" s="6"/>
      <c r="Y3440" s="6"/>
    </row>
    <row r="3441" spans="1:25" ht="15" customHeight="1" x14ac:dyDescent="0.2">
      <c r="A3441" s="88" t="s">
        <v>4007</v>
      </c>
      <c r="B3441" s="90"/>
      <c r="C3441" s="88" t="s">
        <v>4079</v>
      </c>
      <c r="D3441" s="90"/>
      <c r="E3441" s="88" t="s">
        <v>4081</v>
      </c>
      <c r="F3441" s="89"/>
      <c r="G3441" s="89"/>
      <c r="H3441" s="89"/>
      <c r="I3441" s="90"/>
      <c r="J3441" s="88" t="s">
        <v>770</v>
      </c>
      <c r="K3441" s="89"/>
      <c r="L3441" s="89"/>
      <c r="M3441" s="90"/>
      <c r="N3441" s="88" t="s">
        <v>26</v>
      </c>
      <c r="O3441" s="89"/>
      <c r="P3441" s="90"/>
      <c r="Q3441" s="133">
        <v>659</v>
      </c>
      <c r="R3441" s="134"/>
      <c r="S3441" s="5" t="s">
        <v>70</v>
      </c>
      <c r="T3441" s="8">
        <v>1575</v>
      </c>
      <c r="U3441" s="8">
        <v>4</v>
      </c>
      <c r="V3441" s="5" t="s">
        <v>23</v>
      </c>
      <c r="W3441" s="12">
        <v>1963435</v>
      </c>
      <c r="X3441" s="6"/>
      <c r="Y3441" s="6"/>
    </row>
    <row r="3442" spans="1:25" ht="15" customHeight="1" x14ac:dyDescent="0.2">
      <c r="A3442" s="88" t="s">
        <v>4007</v>
      </c>
      <c r="B3442" s="90"/>
      <c r="C3442" s="88" t="s">
        <v>4082</v>
      </c>
      <c r="D3442" s="90"/>
      <c r="E3442" s="88" t="s">
        <v>4080</v>
      </c>
      <c r="F3442" s="89"/>
      <c r="G3442" s="89"/>
      <c r="H3442" s="89"/>
      <c r="I3442" s="90"/>
      <c r="J3442" s="88" t="s">
        <v>770</v>
      </c>
      <c r="K3442" s="89"/>
      <c r="L3442" s="89"/>
      <c r="M3442" s="90"/>
      <c r="N3442" s="88" t="s">
        <v>22</v>
      </c>
      <c r="O3442" s="89"/>
      <c r="P3442" s="90"/>
      <c r="Q3442" s="133">
        <v>659</v>
      </c>
      <c r="R3442" s="134"/>
      <c r="S3442" s="5" t="s">
        <v>70</v>
      </c>
      <c r="T3442" s="8">
        <v>1545</v>
      </c>
      <c r="U3442" s="8">
        <v>4</v>
      </c>
      <c r="V3442" s="5" t="s">
        <v>23</v>
      </c>
      <c r="W3442" s="12">
        <v>2360816</v>
      </c>
      <c r="X3442" s="6"/>
      <c r="Y3442" s="6"/>
    </row>
    <row r="3443" spans="1:25" ht="15" customHeight="1" x14ac:dyDescent="0.2">
      <c r="A3443" s="88" t="s">
        <v>4007</v>
      </c>
      <c r="B3443" s="90"/>
      <c r="C3443" s="88" t="s">
        <v>4082</v>
      </c>
      <c r="D3443" s="90"/>
      <c r="E3443" s="88" t="s">
        <v>4083</v>
      </c>
      <c r="F3443" s="89"/>
      <c r="G3443" s="89"/>
      <c r="H3443" s="89"/>
      <c r="I3443" s="90"/>
      <c r="J3443" s="88" t="s">
        <v>770</v>
      </c>
      <c r="K3443" s="89"/>
      <c r="L3443" s="89"/>
      <c r="M3443" s="90"/>
      <c r="N3443" s="88" t="s">
        <v>26</v>
      </c>
      <c r="O3443" s="89"/>
      <c r="P3443" s="90"/>
      <c r="Q3443" s="133">
        <v>659</v>
      </c>
      <c r="R3443" s="134"/>
      <c r="S3443" s="5" t="s">
        <v>70</v>
      </c>
      <c r="T3443" s="8">
        <v>1575</v>
      </c>
      <c r="U3443" s="8">
        <v>4</v>
      </c>
      <c r="V3443" s="5" t="s">
        <v>23</v>
      </c>
      <c r="W3443" s="12">
        <v>2129430</v>
      </c>
      <c r="X3443" s="6"/>
      <c r="Y3443" s="6"/>
    </row>
    <row r="3444" spans="1:25" ht="15" customHeight="1" x14ac:dyDescent="0.2">
      <c r="A3444" s="88" t="s">
        <v>4007</v>
      </c>
      <c r="B3444" s="90"/>
      <c r="C3444" s="88" t="s">
        <v>4084</v>
      </c>
      <c r="D3444" s="90"/>
      <c r="E3444" s="88" t="s">
        <v>4080</v>
      </c>
      <c r="F3444" s="89"/>
      <c r="G3444" s="89"/>
      <c r="H3444" s="89"/>
      <c r="I3444" s="90"/>
      <c r="J3444" s="88" t="s">
        <v>770</v>
      </c>
      <c r="K3444" s="89"/>
      <c r="L3444" s="89"/>
      <c r="M3444" s="90"/>
      <c r="N3444" s="88" t="s">
        <v>26</v>
      </c>
      <c r="O3444" s="89"/>
      <c r="P3444" s="90"/>
      <c r="Q3444" s="133">
        <v>659</v>
      </c>
      <c r="R3444" s="134"/>
      <c r="S3444" s="5" t="s">
        <v>70</v>
      </c>
      <c r="T3444" s="8">
        <v>1675</v>
      </c>
      <c r="U3444" s="8">
        <v>4</v>
      </c>
      <c r="V3444" s="5" t="s">
        <v>23</v>
      </c>
      <c r="W3444" s="12">
        <v>2146197</v>
      </c>
      <c r="X3444" s="6"/>
      <c r="Y3444" s="6"/>
    </row>
    <row r="3445" spans="1:25" ht="15" customHeight="1" x14ac:dyDescent="0.2">
      <c r="A3445" s="88" t="s">
        <v>4007</v>
      </c>
      <c r="B3445" s="90"/>
      <c r="C3445" s="88" t="s">
        <v>4085</v>
      </c>
      <c r="D3445" s="90"/>
      <c r="E3445" s="88" t="s">
        <v>4086</v>
      </c>
      <c r="F3445" s="89"/>
      <c r="G3445" s="89"/>
      <c r="H3445" s="89"/>
      <c r="I3445" s="90"/>
      <c r="J3445" s="88" t="s">
        <v>770</v>
      </c>
      <c r="K3445" s="89"/>
      <c r="L3445" s="89"/>
      <c r="M3445" s="90"/>
      <c r="N3445" s="88" t="s">
        <v>26</v>
      </c>
      <c r="O3445" s="89"/>
      <c r="P3445" s="90"/>
      <c r="Q3445" s="133">
        <v>659</v>
      </c>
      <c r="R3445" s="134"/>
      <c r="S3445" s="5" t="s">
        <v>70</v>
      </c>
      <c r="T3445" s="8">
        <v>1515</v>
      </c>
      <c r="U3445" s="8">
        <v>4</v>
      </c>
      <c r="V3445" s="5" t="s">
        <v>23</v>
      </c>
      <c r="W3445" s="12">
        <v>2194822</v>
      </c>
      <c r="X3445" s="6"/>
      <c r="Y3445" s="6"/>
    </row>
    <row r="3446" spans="1:25" ht="15" customHeight="1" x14ac:dyDescent="0.2">
      <c r="A3446" s="88" t="s">
        <v>4007</v>
      </c>
      <c r="B3446" s="90"/>
      <c r="C3446" s="88" t="s">
        <v>4087</v>
      </c>
      <c r="D3446" s="90"/>
      <c r="E3446" s="88" t="s">
        <v>4088</v>
      </c>
      <c r="F3446" s="89"/>
      <c r="G3446" s="89"/>
      <c r="H3446" s="89"/>
      <c r="I3446" s="90"/>
      <c r="J3446" s="88" t="s">
        <v>770</v>
      </c>
      <c r="K3446" s="89"/>
      <c r="L3446" s="89"/>
      <c r="M3446" s="90"/>
      <c r="N3446" s="88" t="s">
        <v>26</v>
      </c>
      <c r="O3446" s="89"/>
      <c r="P3446" s="90"/>
      <c r="Q3446" s="133">
        <v>0</v>
      </c>
      <c r="R3446" s="134"/>
      <c r="S3446" s="5" t="s">
        <v>70</v>
      </c>
      <c r="T3446" s="8">
        <v>1546</v>
      </c>
      <c r="U3446" s="8">
        <v>4</v>
      </c>
      <c r="V3446" s="5" t="s">
        <v>17</v>
      </c>
      <c r="W3446" s="12">
        <v>5122019</v>
      </c>
      <c r="X3446" s="6"/>
      <c r="Y3446" s="6"/>
    </row>
    <row r="3447" spans="1:25" ht="15" customHeight="1" x14ac:dyDescent="0.2">
      <c r="A3447" s="88" t="s">
        <v>4007</v>
      </c>
      <c r="B3447" s="90"/>
      <c r="C3447" s="88" t="s">
        <v>4089</v>
      </c>
      <c r="D3447" s="90"/>
      <c r="E3447" s="88" t="s">
        <v>4088</v>
      </c>
      <c r="F3447" s="89"/>
      <c r="G3447" s="89"/>
      <c r="H3447" s="89"/>
      <c r="I3447" s="90"/>
      <c r="J3447" s="88" t="s">
        <v>770</v>
      </c>
      <c r="K3447" s="89"/>
      <c r="L3447" s="89"/>
      <c r="M3447" s="90"/>
      <c r="N3447" s="88" t="s">
        <v>26</v>
      </c>
      <c r="O3447" s="89"/>
      <c r="P3447" s="90"/>
      <c r="Q3447" s="133">
        <v>0</v>
      </c>
      <c r="R3447" s="134"/>
      <c r="S3447" s="5" t="s">
        <v>70</v>
      </c>
      <c r="T3447" s="8">
        <v>1575</v>
      </c>
      <c r="U3447" s="8">
        <v>4</v>
      </c>
      <c r="V3447" s="5" t="s">
        <v>17</v>
      </c>
      <c r="W3447" s="12">
        <v>4813391</v>
      </c>
      <c r="X3447" s="6"/>
      <c r="Y3447" s="6"/>
    </row>
    <row r="3448" spans="1:25" ht="15" customHeight="1" x14ac:dyDescent="0.2">
      <c r="A3448" s="88" t="s">
        <v>4007</v>
      </c>
      <c r="B3448" s="90"/>
      <c r="C3448" s="88" t="s">
        <v>4090</v>
      </c>
      <c r="D3448" s="90"/>
      <c r="E3448" s="88" t="s">
        <v>4091</v>
      </c>
      <c r="F3448" s="89"/>
      <c r="G3448" s="89"/>
      <c r="H3448" s="89"/>
      <c r="I3448" s="90"/>
      <c r="J3448" s="88" t="s">
        <v>770</v>
      </c>
      <c r="K3448" s="89"/>
      <c r="L3448" s="89"/>
      <c r="M3448" s="90"/>
      <c r="N3448" s="88" t="s">
        <v>26</v>
      </c>
      <c r="O3448" s="89"/>
      <c r="P3448" s="90"/>
      <c r="Q3448" s="133">
        <v>659</v>
      </c>
      <c r="R3448" s="134"/>
      <c r="S3448" s="5" t="s">
        <v>70</v>
      </c>
      <c r="T3448" s="8">
        <v>1575</v>
      </c>
      <c r="U3448" s="8">
        <v>4</v>
      </c>
      <c r="V3448" s="5" t="s">
        <v>23</v>
      </c>
      <c r="W3448" s="12">
        <v>2833650</v>
      </c>
      <c r="X3448" s="6"/>
      <c r="Y3448" s="6"/>
    </row>
    <row r="3449" spans="1:25" ht="15" customHeight="1" x14ac:dyDescent="0.2">
      <c r="A3449" s="88" t="s">
        <v>4007</v>
      </c>
      <c r="B3449" s="90"/>
      <c r="C3449" s="88" t="s">
        <v>4092</v>
      </c>
      <c r="D3449" s="90"/>
      <c r="E3449" s="88" t="s">
        <v>4091</v>
      </c>
      <c r="F3449" s="89"/>
      <c r="G3449" s="89"/>
      <c r="H3449" s="89"/>
      <c r="I3449" s="90"/>
      <c r="J3449" s="88" t="s">
        <v>770</v>
      </c>
      <c r="K3449" s="89"/>
      <c r="L3449" s="89"/>
      <c r="M3449" s="90"/>
      <c r="N3449" s="88" t="s">
        <v>26</v>
      </c>
      <c r="O3449" s="89"/>
      <c r="P3449" s="90"/>
      <c r="Q3449" s="133">
        <v>659</v>
      </c>
      <c r="R3449" s="134"/>
      <c r="S3449" s="5" t="s">
        <v>70</v>
      </c>
      <c r="T3449" s="8">
        <v>1515</v>
      </c>
      <c r="U3449" s="8">
        <v>4</v>
      </c>
      <c r="V3449" s="5" t="s">
        <v>23</v>
      </c>
      <c r="W3449" s="12">
        <v>3366008</v>
      </c>
      <c r="X3449" s="6"/>
      <c r="Y3449" s="6"/>
    </row>
    <row r="3450" spans="1:25" ht="15" customHeight="1" x14ac:dyDescent="0.2">
      <c r="A3450" s="88" t="s">
        <v>4007</v>
      </c>
      <c r="B3450" s="90"/>
      <c r="C3450" s="88" t="s">
        <v>4093</v>
      </c>
      <c r="D3450" s="90"/>
      <c r="E3450" s="88" t="s">
        <v>4066</v>
      </c>
      <c r="F3450" s="89"/>
      <c r="G3450" s="89"/>
      <c r="H3450" s="89"/>
      <c r="I3450" s="90"/>
      <c r="J3450" s="88" t="s">
        <v>770</v>
      </c>
      <c r="K3450" s="89"/>
      <c r="L3450" s="89"/>
      <c r="M3450" s="90"/>
      <c r="N3450" s="88" t="s">
        <v>26</v>
      </c>
      <c r="O3450" s="89"/>
      <c r="P3450" s="90"/>
      <c r="Q3450" s="133">
        <v>659</v>
      </c>
      <c r="R3450" s="134"/>
      <c r="S3450" s="5" t="s">
        <v>70</v>
      </c>
      <c r="T3450" s="8">
        <v>1546</v>
      </c>
      <c r="U3450" s="8">
        <v>4</v>
      </c>
      <c r="V3450" s="5" t="s">
        <v>23</v>
      </c>
      <c r="W3450" s="12">
        <v>3052462</v>
      </c>
      <c r="X3450" s="6"/>
      <c r="Y3450" s="6"/>
    </row>
    <row r="3451" spans="1:25" ht="15" customHeight="1" x14ac:dyDescent="0.2">
      <c r="A3451" s="88" t="s">
        <v>4007</v>
      </c>
      <c r="B3451" s="90"/>
      <c r="C3451" s="88" t="s">
        <v>4093</v>
      </c>
      <c r="D3451" s="90"/>
      <c r="E3451" s="88" t="s">
        <v>4066</v>
      </c>
      <c r="F3451" s="89"/>
      <c r="G3451" s="89"/>
      <c r="H3451" s="89"/>
      <c r="I3451" s="90"/>
      <c r="J3451" s="88" t="s">
        <v>770</v>
      </c>
      <c r="K3451" s="89"/>
      <c r="L3451" s="89"/>
      <c r="M3451" s="90"/>
      <c r="N3451" s="88" t="s">
        <v>22</v>
      </c>
      <c r="O3451" s="89"/>
      <c r="P3451" s="90"/>
      <c r="Q3451" s="133">
        <v>659</v>
      </c>
      <c r="R3451" s="134"/>
      <c r="S3451" s="5" t="s">
        <v>70</v>
      </c>
      <c r="T3451" s="8">
        <v>1575</v>
      </c>
      <c r="U3451" s="8">
        <v>4</v>
      </c>
      <c r="V3451" s="5" t="s">
        <v>23</v>
      </c>
      <c r="W3451" s="12">
        <v>3214768</v>
      </c>
      <c r="X3451" s="6"/>
      <c r="Y3451" s="6"/>
    </row>
    <row r="3452" spans="1:25" ht="15" customHeight="1" x14ac:dyDescent="0.2">
      <c r="A3452" s="88" t="s">
        <v>4007</v>
      </c>
      <c r="B3452" s="90"/>
      <c r="C3452" s="88" t="s">
        <v>4094</v>
      </c>
      <c r="D3452" s="90"/>
      <c r="E3452" s="88" t="s">
        <v>4027</v>
      </c>
      <c r="F3452" s="89"/>
      <c r="G3452" s="89"/>
      <c r="H3452" s="89"/>
      <c r="I3452" s="90"/>
      <c r="J3452" s="88" t="s">
        <v>770</v>
      </c>
      <c r="K3452" s="89"/>
      <c r="L3452" s="89"/>
      <c r="M3452" s="90"/>
      <c r="N3452" s="88" t="s">
        <v>26</v>
      </c>
      <c r="O3452" s="89"/>
      <c r="P3452" s="90"/>
      <c r="Q3452" s="133">
        <v>1242</v>
      </c>
      <c r="R3452" s="134"/>
      <c r="S3452" s="5" t="s">
        <v>16</v>
      </c>
      <c r="T3452" s="8">
        <v>1575</v>
      </c>
      <c r="U3452" s="8">
        <v>5</v>
      </c>
      <c r="V3452" s="5" t="s">
        <v>23</v>
      </c>
      <c r="W3452" s="12">
        <v>3447161</v>
      </c>
      <c r="X3452" s="6"/>
      <c r="Y3452" s="6"/>
    </row>
    <row r="3453" spans="1:25" ht="15" customHeight="1" x14ac:dyDescent="0.2">
      <c r="A3453" s="88" t="s">
        <v>4007</v>
      </c>
      <c r="B3453" s="90"/>
      <c r="C3453" s="88" t="s">
        <v>4095</v>
      </c>
      <c r="D3453" s="90"/>
      <c r="E3453" s="88" t="s">
        <v>4096</v>
      </c>
      <c r="F3453" s="89"/>
      <c r="G3453" s="89"/>
      <c r="H3453" s="89"/>
      <c r="I3453" s="90"/>
      <c r="J3453" s="88" t="s">
        <v>770</v>
      </c>
      <c r="K3453" s="89"/>
      <c r="L3453" s="89"/>
      <c r="M3453" s="90"/>
      <c r="N3453" s="88" t="s">
        <v>26</v>
      </c>
      <c r="O3453" s="89"/>
      <c r="P3453" s="90"/>
      <c r="Q3453" s="133">
        <v>0</v>
      </c>
      <c r="R3453" s="134"/>
      <c r="S3453" s="5" t="s">
        <v>27</v>
      </c>
      <c r="T3453" s="8">
        <v>1545</v>
      </c>
      <c r="U3453" s="8">
        <v>4</v>
      </c>
      <c r="V3453" s="5" t="s">
        <v>17</v>
      </c>
      <c r="W3453" s="12">
        <v>4195982</v>
      </c>
      <c r="X3453" s="6"/>
      <c r="Y3453" s="6"/>
    </row>
    <row r="3454" spans="1:25" ht="15" customHeight="1" x14ac:dyDescent="0.2">
      <c r="A3454" s="88" t="s">
        <v>4007</v>
      </c>
      <c r="B3454" s="90"/>
      <c r="C3454" s="88" t="s">
        <v>4095</v>
      </c>
      <c r="D3454" s="90"/>
      <c r="E3454" s="88" t="s">
        <v>4097</v>
      </c>
      <c r="F3454" s="89"/>
      <c r="G3454" s="89"/>
      <c r="H3454" s="89"/>
      <c r="I3454" s="90"/>
      <c r="J3454" s="88" t="s">
        <v>770</v>
      </c>
      <c r="K3454" s="89"/>
      <c r="L3454" s="89"/>
      <c r="M3454" s="90"/>
      <c r="N3454" s="88" t="s">
        <v>26</v>
      </c>
      <c r="O3454" s="89"/>
      <c r="P3454" s="90"/>
      <c r="Q3454" s="133">
        <v>659</v>
      </c>
      <c r="R3454" s="134"/>
      <c r="S3454" s="5" t="s">
        <v>27</v>
      </c>
      <c r="T3454" s="8">
        <v>1575</v>
      </c>
      <c r="U3454" s="8">
        <v>4</v>
      </c>
      <c r="V3454" s="5" t="s">
        <v>23</v>
      </c>
      <c r="W3454" s="12">
        <v>4074420</v>
      </c>
      <c r="X3454" s="6"/>
      <c r="Y3454" s="6"/>
    </row>
    <row r="3455" spans="1:25" ht="15" customHeight="1" x14ac:dyDescent="0.2">
      <c r="A3455" s="88" t="s">
        <v>4007</v>
      </c>
      <c r="B3455" s="90"/>
      <c r="C3455" s="88" t="s">
        <v>4098</v>
      </c>
      <c r="D3455" s="90"/>
      <c r="E3455" s="88" t="s">
        <v>4096</v>
      </c>
      <c r="F3455" s="89"/>
      <c r="G3455" s="89"/>
      <c r="H3455" s="89"/>
      <c r="I3455" s="90"/>
      <c r="J3455" s="88" t="s">
        <v>770</v>
      </c>
      <c r="K3455" s="89"/>
      <c r="L3455" s="89"/>
      <c r="M3455" s="90"/>
      <c r="N3455" s="88" t="s">
        <v>26</v>
      </c>
      <c r="O3455" s="89"/>
      <c r="P3455" s="90"/>
      <c r="Q3455" s="133">
        <v>0</v>
      </c>
      <c r="R3455" s="134"/>
      <c r="S3455" s="5" t="s">
        <v>27</v>
      </c>
      <c r="T3455" s="8">
        <v>1675</v>
      </c>
      <c r="U3455" s="8">
        <v>4</v>
      </c>
      <c r="V3455" s="5" t="s">
        <v>17</v>
      </c>
      <c r="W3455" s="12">
        <v>4195982</v>
      </c>
      <c r="X3455" s="6"/>
      <c r="Y3455" s="6"/>
    </row>
    <row r="3456" spans="1:25" ht="15" customHeight="1" x14ac:dyDescent="0.2">
      <c r="A3456" s="88" t="s">
        <v>4007</v>
      </c>
      <c r="B3456" s="90"/>
      <c r="C3456" s="88" t="s">
        <v>4099</v>
      </c>
      <c r="D3456" s="90"/>
      <c r="E3456" s="88" t="s">
        <v>4100</v>
      </c>
      <c r="F3456" s="89"/>
      <c r="G3456" s="89"/>
      <c r="H3456" s="89"/>
      <c r="I3456" s="90"/>
      <c r="J3456" s="88" t="s">
        <v>770</v>
      </c>
      <c r="K3456" s="89"/>
      <c r="L3456" s="89"/>
      <c r="M3456" s="90"/>
      <c r="N3456" s="88" t="s">
        <v>26</v>
      </c>
      <c r="O3456" s="89"/>
      <c r="P3456" s="90"/>
      <c r="Q3456" s="133">
        <v>1498</v>
      </c>
      <c r="R3456" s="134"/>
      <c r="S3456" s="5" t="s">
        <v>814</v>
      </c>
      <c r="T3456" s="5" t="s">
        <v>4101</v>
      </c>
      <c r="U3456" s="5" t="s">
        <v>4102</v>
      </c>
      <c r="V3456" s="5" t="s">
        <v>23</v>
      </c>
      <c r="W3456" s="12">
        <v>2726410</v>
      </c>
      <c r="X3456" s="6"/>
      <c r="Y3456" s="6"/>
    </row>
    <row r="3457" spans="1:25" ht="15" customHeight="1" x14ac:dyDescent="0.2">
      <c r="A3457" s="88" t="s">
        <v>4007</v>
      </c>
      <c r="B3457" s="90"/>
      <c r="C3457" s="88" t="s">
        <v>4103</v>
      </c>
      <c r="D3457" s="90"/>
      <c r="E3457" s="88" t="s">
        <v>4104</v>
      </c>
      <c r="F3457" s="89"/>
      <c r="G3457" s="89"/>
      <c r="H3457" s="89"/>
      <c r="I3457" s="90"/>
      <c r="J3457" s="88" t="s">
        <v>770</v>
      </c>
      <c r="K3457" s="89"/>
      <c r="L3457" s="89"/>
      <c r="M3457" s="90"/>
      <c r="N3457" s="88" t="s">
        <v>26</v>
      </c>
      <c r="O3457" s="89"/>
      <c r="P3457" s="90"/>
      <c r="Q3457" s="133">
        <v>0</v>
      </c>
      <c r="R3457" s="134"/>
      <c r="S3457" s="5" t="s">
        <v>814</v>
      </c>
      <c r="T3457" s="8">
        <v>1560</v>
      </c>
      <c r="U3457" s="8">
        <v>2</v>
      </c>
      <c r="V3457" s="5" t="s">
        <v>17</v>
      </c>
      <c r="W3457" s="12">
        <v>4168316</v>
      </c>
      <c r="X3457" s="6"/>
      <c r="Y3457" s="6"/>
    </row>
    <row r="3458" spans="1:25" ht="15" customHeight="1" x14ac:dyDescent="0.2">
      <c r="A3458" s="88" t="s">
        <v>4007</v>
      </c>
      <c r="B3458" s="90"/>
      <c r="C3458" s="88" t="s">
        <v>4105</v>
      </c>
      <c r="D3458" s="90"/>
      <c r="E3458" s="88" t="s">
        <v>4106</v>
      </c>
      <c r="F3458" s="89"/>
      <c r="G3458" s="89"/>
      <c r="H3458" s="89"/>
      <c r="I3458" s="90"/>
      <c r="J3458" s="88" t="s">
        <v>887</v>
      </c>
      <c r="K3458" s="89"/>
      <c r="L3458" s="89"/>
      <c r="M3458" s="90"/>
      <c r="N3458" s="88" t="s">
        <v>26</v>
      </c>
      <c r="O3458" s="89"/>
      <c r="P3458" s="90"/>
      <c r="Q3458" s="133">
        <v>658</v>
      </c>
      <c r="R3458" s="134"/>
      <c r="S3458" s="5" t="s">
        <v>814</v>
      </c>
      <c r="T3458" s="8">
        <v>1330</v>
      </c>
      <c r="U3458" s="8">
        <v>4</v>
      </c>
      <c r="V3458" s="5" t="s">
        <v>23</v>
      </c>
      <c r="W3458" s="12">
        <v>1911456</v>
      </c>
      <c r="X3458" s="6"/>
      <c r="Y3458" s="6"/>
    </row>
    <row r="3459" spans="1:25" ht="15" customHeight="1" x14ac:dyDescent="0.2">
      <c r="A3459" s="88" t="s">
        <v>4007</v>
      </c>
      <c r="B3459" s="90"/>
      <c r="C3459" s="88" t="s">
        <v>4107</v>
      </c>
      <c r="D3459" s="90"/>
      <c r="E3459" s="88" t="s">
        <v>4108</v>
      </c>
      <c r="F3459" s="89"/>
      <c r="G3459" s="89"/>
      <c r="H3459" s="89"/>
      <c r="I3459" s="90"/>
      <c r="J3459" s="88" t="s">
        <v>26</v>
      </c>
      <c r="K3459" s="89"/>
      <c r="L3459" s="89"/>
      <c r="M3459" s="90"/>
      <c r="N3459" s="88" t="s">
        <v>26</v>
      </c>
      <c r="O3459" s="89"/>
      <c r="P3459" s="90"/>
      <c r="Q3459" s="133">
        <v>0</v>
      </c>
      <c r="R3459" s="134"/>
      <c r="S3459" s="5" t="s">
        <v>814</v>
      </c>
      <c r="T3459" s="8">
        <v>1560</v>
      </c>
      <c r="U3459" s="8">
        <v>4</v>
      </c>
      <c r="V3459" s="5" t="s">
        <v>17</v>
      </c>
      <c r="W3459" s="12">
        <v>4076097</v>
      </c>
      <c r="X3459" s="6"/>
      <c r="Y3459" s="6"/>
    </row>
    <row r="3460" spans="1:25" ht="15" customHeight="1" x14ac:dyDescent="0.2">
      <c r="A3460" s="88" t="s">
        <v>4007</v>
      </c>
      <c r="B3460" s="90"/>
      <c r="C3460" s="88" t="s">
        <v>4107</v>
      </c>
      <c r="D3460" s="90"/>
      <c r="E3460" s="88" t="s">
        <v>4109</v>
      </c>
      <c r="F3460" s="89"/>
      <c r="G3460" s="89"/>
      <c r="H3460" s="89"/>
      <c r="I3460" s="90"/>
      <c r="J3460" s="88" t="s">
        <v>770</v>
      </c>
      <c r="K3460" s="89"/>
      <c r="L3460" s="89"/>
      <c r="M3460" s="90"/>
      <c r="N3460" s="88" t="s">
        <v>26</v>
      </c>
      <c r="O3460" s="89"/>
      <c r="P3460" s="90"/>
      <c r="Q3460" s="133">
        <v>0</v>
      </c>
      <c r="R3460" s="134"/>
      <c r="S3460" s="5" t="s">
        <v>814</v>
      </c>
      <c r="T3460" s="8">
        <v>1546</v>
      </c>
      <c r="U3460" s="8">
        <v>4</v>
      </c>
      <c r="V3460" s="5" t="s">
        <v>17</v>
      </c>
      <c r="W3460" s="12">
        <v>4076097</v>
      </c>
      <c r="X3460" s="6"/>
      <c r="Y3460" s="6"/>
    </row>
    <row r="3461" spans="1:25" ht="15" customHeight="1" x14ac:dyDescent="0.2">
      <c r="A3461" s="88" t="s">
        <v>4007</v>
      </c>
      <c r="B3461" s="90"/>
      <c r="C3461" s="88" t="s">
        <v>4110</v>
      </c>
      <c r="D3461" s="90"/>
      <c r="E3461" s="88" t="s">
        <v>4111</v>
      </c>
      <c r="F3461" s="89"/>
      <c r="G3461" s="89"/>
      <c r="H3461" s="89"/>
      <c r="I3461" s="90"/>
      <c r="J3461" s="88" t="s">
        <v>770</v>
      </c>
      <c r="K3461" s="89"/>
      <c r="L3461" s="89"/>
      <c r="M3461" s="90"/>
      <c r="N3461" s="88" t="s">
        <v>26</v>
      </c>
      <c r="O3461" s="89"/>
      <c r="P3461" s="90"/>
      <c r="Q3461" s="133">
        <v>0</v>
      </c>
      <c r="R3461" s="134"/>
      <c r="S3461" s="5" t="s">
        <v>814</v>
      </c>
      <c r="T3461" s="8">
        <v>1570</v>
      </c>
      <c r="U3461" s="8">
        <v>4</v>
      </c>
      <c r="V3461" s="5" t="s">
        <v>17</v>
      </c>
      <c r="W3461" s="12">
        <v>3060147</v>
      </c>
      <c r="X3461" s="6"/>
      <c r="Y3461" s="6"/>
    </row>
    <row r="3462" spans="1:25" ht="15" customHeight="1" x14ac:dyDescent="0.2">
      <c r="A3462" s="88" t="s">
        <v>4007</v>
      </c>
      <c r="B3462" s="90"/>
      <c r="C3462" s="88" t="s">
        <v>4112</v>
      </c>
      <c r="D3462" s="90"/>
      <c r="E3462" s="88" t="s">
        <v>4113</v>
      </c>
      <c r="F3462" s="89"/>
      <c r="G3462" s="89"/>
      <c r="H3462" s="89"/>
      <c r="I3462" s="90"/>
      <c r="J3462" s="88" t="s">
        <v>963</v>
      </c>
      <c r="K3462" s="89"/>
      <c r="L3462" s="89"/>
      <c r="M3462" s="90"/>
      <c r="N3462" s="88" t="s">
        <v>22</v>
      </c>
      <c r="O3462" s="89"/>
      <c r="P3462" s="90"/>
      <c r="Q3462" s="133">
        <v>658</v>
      </c>
      <c r="R3462" s="134"/>
      <c r="S3462" s="5" t="s">
        <v>945</v>
      </c>
      <c r="T3462" s="8">
        <v>1200</v>
      </c>
      <c r="U3462" s="8">
        <v>2</v>
      </c>
      <c r="V3462" s="5" t="s">
        <v>23</v>
      </c>
      <c r="W3462" s="12">
        <v>1914810</v>
      </c>
      <c r="X3462" s="6"/>
      <c r="Y3462" s="6"/>
    </row>
    <row r="3463" spans="1:25" ht="15" customHeight="1" x14ac:dyDescent="0.2">
      <c r="A3463" s="88" t="s">
        <v>4007</v>
      </c>
      <c r="B3463" s="90"/>
      <c r="C3463" s="88" t="s">
        <v>4114</v>
      </c>
      <c r="D3463" s="90"/>
      <c r="E3463" s="88" t="s">
        <v>4115</v>
      </c>
      <c r="F3463" s="89"/>
      <c r="G3463" s="89"/>
      <c r="H3463" s="89"/>
      <c r="I3463" s="90"/>
      <c r="J3463" s="88" t="s">
        <v>963</v>
      </c>
      <c r="K3463" s="89"/>
      <c r="L3463" s="89"/>
      <c r="M3463" s="90"/>
      <c r="N3463" s="88" t="s">
        <v>22</v>
      </c>
      <c r="O3463" s="89"/>
      <c r="P3463" s="90"/>
      <c r="Q3463" s="133">
        <v>658</v>
      </c>
      <c r="R3463" s="134"/>
      <c r="S3463" s="5" t="s">
        <v>945</v>
      </c>
      <c r="T3463" s="8">
        <v>1240</v>
      </c>
      <c r="U3463" s="8">
        <v>2</v>
      </c>
      <c r="V3463" s="5" t="s">
        <v>23</v>
      </c>
      <c r="W3463" s="12">
        <v>2537878</v>
      </c>
      <c r="X3463" s="6"/>
      <c r="Y3463" s="6"/>
    </row>
    <row r="3464" spans="1:25" ht="15" customHeight="1" x14ac:dyDescent="0.2">
      <c r="A3464" s="88" t="s">
        <v>4007</v>
      </c>
      <c r="B3464" s="90"/>
      <c r="C3464" s="88" t="s">
        <v>4114</v>
      </c>
      <c r="D3464" s="90"/>
      <c r="E3464" s="88" t="s">
        <v>4116</v>
      </c>
      <c r="F3464" s="89"/>
      <c r="G3464" s="89"/>
      <c r="H3464" s="89"/>
      <c r="I3464" s="90"/>
      <c r="J3464" s="88" t="s">
        <v>963</v>
      </c>
      <c r="K3464" s="89"/>
      <c r="L3464" s="89"/>
      <c r="M3464" s="90"/>
      <c r="N3464" s="88" t="s">
        <v>22</v>
      </c>
      <c r="O3464" s="89"/>
      <c r="P3464" s="90"/>
      <c r="Q3464" s="133">
        <v>658</v>
      </c>
      <c r="R3464" s="134"/>
      <c r="S3464" s="5" t="s">
        <v>945</v>
      </c>
      <c r="T3464" s="8">
        <v>1240</v>
      </c>
      <c r="U3464" s="8">
        <v>2</v>
      </c>
      <c r="V3464" s="5" t="s">
        <v>23</v>
      </c>
      <c r="W3464" s="12">
        <v>2150556</v>
      </c>
      <c r="X3464" s="6"/>
      <c r="Y3464" s="6"/>
    </row>
    <row r="3465" spans="1:25" ht="15" customHeight="1" x14ac:dyDescent="0.2">
      <c r="A3465" s="88" t="s">
        <v>4007</v>
      </c>
      <c r="B3465" s="90"/>
      <c r="C3465" s="88" t="s">
        <v>4114</v>
      </c>
      <c r="D3465" s="90"/>
      <c r="E3465" s="88" t="s">
        <v>4117</v>
      </c>
      <c r="F3465" s="89"/>
      <c r="G3465" s="89"/>
      <c r="H3465" s="89"/>
      <c r="I3465" s="90"/>
      <c r="J3465" s="88" t="s">
        <v>963</v>
      </c>
      <c r="K3465" s="89"/>
      <c r="L3465" s="89"/>
      <c r="M3465" s="90"/>
      <c r="N3465" s="88" t="s">
        <v>22</v>
      </c>
      <c r="O3465" s="89"/>
      <c r="P3465" s="90"/>
      <c r="Q3465" s="133">
        <v>658</v>
      </c>
      <c r="R3465" s="134"/>
      <c r="S3465" s="5" t="s">
        <v>945</v>
      </c>
      <c r="T3465" s="8">
        <v>1200</v>
      </c>
      <c r="U3465" s="8">
        <v>2</v>
      </c>
      <c r="V3465" s="5" t="s">
        <v>23</v>
      </c>
      <c r="W3465" s="12">
        <v>2122890</v>
      </c>
      <c r="X3465" s="6"/>
      <c r="Y3465" s="6"/>
    </row>
    <row r="3466" spans="1:25" ht="15" customHeight="1" x14ac:dyDescent="0.2">
      <c r="A3466" s="88" t="s">
        <v>4007</v>
      </c>
      <c r="B3466" s="90"/>
      <c r="C3466" s="88" t="s">
        <v>4114</v>
      </c>
      <c r="D3466" s="90"/>
      <c r="E3466" s="88" t="s">
        <v>4113</v>
      </c>
      <c r="F3466" s="89"/>
      <c r="G3466" s="89"/>
      <c r="H3466" s="89"/>
      <c r="I3466" s="90"/>
      <c r="J3466" s="88" t="s">
        <v>963</v>
      </c>
      <c r="K3466" s="89"/>
      <c r="L3466" s="89"/>
      <c r="M3466" s="90"/>
      <c r="N3466" s="88" t="s">
        <v>22</v>
      </c>
      <c r="O3466" s="89"/>
      <c r="P3466" s="90"/>
      <c r="Q3466" s="133">
        <v>658</v>
      </c>
      <c r="R3466" s="134"/>
      <c r="S3466" s="5" t="s">
        <v>945</v>
      </c>
      <c r="T3466" s="8">
        <v>1160</v>
      </c>
      <c r="U3466" s="8">
        <v>2</v>
      </c>
      <c r="V3466" s="5" t="s">
        <v>23</v>
      </c>
      <c r="W3466" s="12">
        <v>1914810</v>
      </c>
      <c r="X3466" s="6"/>
      <c r="Y3466" s="6"/>
    </row>
    <row r="3467" spans="1:25" ht="15" customHeight="1" x14ac:dyDescent="0.2">
      <c r="A3467" s="88" t="s">
        <v>4007</v>
      </c>
      <c r="B3467" s="90"/>
      <c r="C3467" s="88" t="s">
        <v>4118</v>
      </c>
      <c r="D3467" s="90"/>
      <c r="E3467" s="88" t="s">
        <v>4119</v>
      </c>
      <c r="F3467" s="89"/>
      <c r="G3467" s="89"/>
      <c r="H3467" s="89"/>
      <c r="I3467" s="90"/>
      <c r="J3467" s="88" t="s">
        <v>963</v>
      </c>
      <c r="K3467" s="89"/>
      <c r="L3467" s="89"/>
      <c r="M3467" s="90"/>
      <c r="N3467" s="88" t="s">
        <v>26</v>
      </c>
      <c r="O3467" s="89"/>
      <c r="P3467" s="90"/>
      <c r="Q3467" s="133">
        <v>658</v>
      </c>
      <c r="R3467" s="134"/>
      <c r="S3467" s="5" t="s">
        <v>945</v>
      </c>
      <c r="T3467" s="8">
        <v>1150</v>
      </c>
      <c r="U3467" s="8">
        <v>2</v>
      </c>
      <c r="V3467" s="5" t="s">
        <v>23</v>
      </c>
      <c r="W3467" s="12">
        <v>1352272</v>
      </c>
      <c r="X3467" s="6"/>
      <c r="Y3467" s="6"/>
    </row>
    <row r="3468" spans="1:25" ht="15" customHeight="1" x14ac:dyDescent="0.2">
      <c r="A3468" s="88" t="s">
        <v>4007</v>
      </c>
      <c r="B3468" s="90"/>
      <c r="C3468" s="88" t="s">
        <v>4120</v>
      </c>
      <c r="D3468" s="90"/>
      <c r="E3468" s="88" t="s">
        <v>4121</v>
      </c>
      <c r="F3468" s="89"/>
      <c r="G3468" s="89"/>
      <c r="H3468" s="89"/>
      <c r="I3468" s="90"/>
      <c r="J3468" s="88" t="s">
        <v>770</v>
      </c>
      <c r="K3468" s="89"/>
      <c r="L3468" s="89"/>
      <c r="M3468" s="90"/>
      <c r="N3468" s="88" t="s">
        <v>26</v>
      </c>
      <c r="O3468" s="89"/>
      <c r="P3468" s="90"/>
      <c r="Q3468" s="133">
        <v>658</v>
      </c>
      <c r="R3468" s="134"/>
      <c r="S3468" s="5" t="s">
        <v>814</v>
      </c>
      <c r="T3468" s="8">
        <v>1370</v>
      </c>
      <c r="U3468" s="8">
        <v>4</v>
      </c>
      <c r="V3468" s="5" t="s">
        <v>23</v>
      </c>
      <c r="W3468" s="12">
        <v>2552633</v>
      </c>
      <c r="X3468" s="6"/>
      <c r="Y3468" s="6"/>
    </row>
    <row r="3469" spans="1:25" ht="15" customHeight="1" x14ac:dyDescent="0.2">
      <c r="A3469" s="88" t="s">
        <v>4007</v>
      </c>
      <c r="B3469" s="90"/>
      <c r="C3469" s="88" t="s">
        <v>4120</v>
      </c>
      <c r="D3469" s="90"/>
      <c r="E3469" s="88" t="s">
        <v>4122</v>
      </c>
      <c r="F3469" s="89"/>
      <c r="G3469" s="89"/>
      <c r="H3469" s="89"/>
      <c r="I3469" s="90"/>
      <c r="J3469" s="88" t="s">
        <v>887</v>
      </c>
      <c r="K3469" s="89"/>
      <c r="L3469" s="89"/>
      <c r="M3469" s="90"/>
      <c r="N3469" s="88" t="s">
        <v>26</v>
      </c>
      <c r="O3469" s="89"/>
      <c r="P3469" s="90"/>
      <c r="Q3469" s="133">
        <v>658</v>
      </c>
      <c r="R3469" s="134"/>
      <c r="S3469" s="5" t="s">
        <v>814</v>
      </c>
      <c r="T3469" s="8">
        <v>1240</v>
      </c>
      <c r="U3469" s="8">
        <v>4</v>
      </c>
      <c r="V3469" s="5" t="s">
        <v>23</v>
      </c>
      <c r="W3469" s="12">
        <v>2239087</v>
      </c>
      <c r="X3469" s="6"/>
      <c r="Y3469" s="6"/>
    </row>
    <row r="3470" spans="1:25" ht="15" customHeight="1" x14ac:dyDescent="0.2">
      <c r="A3470" s="88" t="s">
        <v>4007</v>
      </c>
      <c r="B3470" s="90"/>
      <c r="C3470" s="88" t="s">
        <v>4120</v>
      </c>
      <c r="D3470" s="90"/>
      <c r="E3470" s="88" t="s">
        <v>4123</v>
      </c>
      <c r="F3470" s="89"/>
      <c r="G3470" s="89"/>
      <c r="H3470" s="89"/>
      <c r="I3470" s="90"/>
      <c r="J3470" s="88" t="s">
        <v>887</v>
      </c>
      <c r="K3470" s="89"/>
      <c r="L3470" s="89"/>
      <c r="M3470" s="90"/>
      <c r="N3470" s="88" t="s">
        <v>26</v>
      </c>
      <c r="O3470" s="89"/>
      <c r="P3470" s="90"/>
      <c r="Q3470" s="133">
        <v>658</v>
      </c>
      <c r="R3470" s="134"/>
      <c r="S3470" s="5" t="s">
        <v>814</v>
      </c>
      <c r="T3470" s="8">
        <v>1330</v>
      </c>
      <c r="U3470" s="8">
        <v>4</v>
      </c>
      <c r="V3470" s="5" t="s">
        <v>23</v>
      </c>
      <c r="W3470" s="12">
        <v>2161958</v>
      </c>
      <c r="X3470" s="6"/>
      <c r="Y3470" s="6"/>
    </row>
    <row r="3471" spans="1:25" ht="15" customHeight="1" x14ac:dyDescent="0.2">
      <c r="A3471" s="88" t="s">
        <v>4007</v>
      </c>
      <c r="B3471" s="90"/>
      <c r="C3471" s="88" t="s">
        <v>4120</v>
      </c>
      <c r="D3471" s="90"/>
      <c r="E3471" s="88" t="s">
        <v>4106</v>
      </c>
      <c r="F3471" s="89"/>
      <c r="G3471" s="89"/>
      <c r="H3471" s="89"/>
      <c r="I3471" s="90"/>
      <c r="J3471" s="88" t="s">
        <v>887</v>
      </c>
      <c r="K3471" s="89"/>
      <c r="L3471" s="89"/>
      <c r="M3471" s="90"/>
      <c r="N3471" s="88" t="s">
        <v>26</v>
      </c>
      <c r="O3471" s="89"/>
      <c r="P3471" s="90"/>
      <c r="Q3471" s="133">
        <v>658</v>
      </c>
      <c r="R3471" s="134"/>
      <c r="S3471" s="5" t="s">
        <v>814</v>
      </c>
      <c r="T3471" s="8">
        <v>1330</v>
      </c>
      <c r="U3471" s="8">
        <v>4</v>
      </c>
      <c r="V3471" s="5" t="s">
        <v>23</v>
      </c>
      <c r="W3471" s="12">
        <v>1911456</v>
      </c>
      <c r="X3471" s="6"/>
      <c r="Y3471" s="6"/>
    </row>
    <row r="3472" spans="1:25" ht="15" customHeight="1" x14ac:dyDescent="0.2">
      <c r="A3472" s="88" t="s">
        <v>4007</v>
      </c>
      <c r="B3472" s="90"/>
      <c r="C3472" s="88" t="s">
        <v>4120</v>
      </c>
      <c r="D3472" s="90"/>
      <c r="E3472" s="88" t="s">
        <v>4124</v>
      </c>
      <c r="F3472" s="89"/>
      <c r="G3472" s="89"/>
      <c r="H3472" s="89"/>
      <c r="I3472" s="90"/>
      <c r="J3472" s="88" t="s">
        <v>3412</v>
      </c>
      <c r="K3472" s="89"/>
      <c r="L3472" s="89"/>
      <c r="M3472" s="90"/>
      <c r="N3472" s="88" t="s">
        <v>26</v>
      </c>
      <c r="O3472" s="89"/>
      <c r="P3472" s="90"/>
      <c r="Q3472" s="133">
        <v>658</v>
      </c>
      <c r="R3472" s="134"/>
      <c r="S3472" s="5" t="s">
        <v>814</v>
      </c>
      <c r="T3472" s="8">
        <v>1230</v>
      </c>
      <c r="U3472" s="8">
        <v>4</v>
      </c>
      <c r="V3472" s="5" t="s">
        <v>23</v>
      </c>
      <c r="W3472" s="12">
        <v>1768936</v>
      </c>
      <c r="X3472" s="6"/>
      <c r="Y3472" s="6"/>
    </row>
    <row r="3473" spans="1:25" ht="15" customHeight="1" x14ac:dyDescent="0.2">
      <c r="A3473" s="88" t="s">
        <v>4007</v>
      </c>
      <c r="B3473" s="90"/>
      <c r="C3473" s="88" t="s">
        <v>4120</v>
      </c>
      <c r="D3473" s="90"/>
      <c r="E3473" s="88" t="s">
        <v>4122</v>
      </c>
      <c r="F3473" s="89"/>
      <c r="G3473" s="89"/>
      <c r="H3473" s="89"/>
      <c r="I3473" s="90"/>
      <c r="J3473" s="88" t="s">
        <v>887</v>
      </c>
      <c r="K3473" s="89"/>
      <c r="L3473" s="89"/>
      <c r="M3473" s="90"/>
      <c r="N3473" s="88" t="s">
        <v>26</v>
      </c>
      <c r="O3473" s="89"/>
      <c r="P3473" s="90"/>
      <c r="Q3473" s="133">
        <v>658</v>
      </c>
      <c r="R3473" s="134"/>
      <c r="S3473" s="5" t="s">
        <v>814</v>
      </c>
      <c r="T3473" s="8">
        <v>1575</v>
      </c>
      <c r="U3473" s="8">
        <v>4</v>
      </c>
      <c r="V3473" s="5" t="s">
        <v>23</v>
      </c>
      <c r="W3473" s="12">
        <v>2239087</v>
      </c>
      <c r="X3473" s="6"/>
      <c r="Y3473" s="6"/>
    </row>
    <row r="3474" spans="1:25" ht="15" customHeight="1" x14ac:dyDescent="0.2">
      <c r="A3474" s="88" t="s">
        <v>4007</v>
      </c>
      <c r="B3474" s="90"/>
      <c r="C3474" s="88" t="s">
        <v>4125</v>
      </c>
      <c r="D3474" s="90"/>
      <c r="E3474" s="88" t="s">
        <v>4126</v>
      </c>
      <c r="F3474" s="89"/>
      <c r="G3474" s="89"/>
      <c r="H3474" s="89"/>
      <c r="I3474" s="90"/>
      <c r="J3474" s="88" t="s">
        <v>770</v>
      </c>
      <c r="K3474" s="89"/>
      <c r="L3474" s="89"/>
      <c r="M3474" s="90"/>
      <c r="N3474" s="88" t="s">
        <v>26</v>
      </c>
      <c r="O3474" s="89"/>
      <c r="P3474" s="90"/>
      <c r="Q3474" s="133">
        <v>0</v>
      </c>
      <c r="R3474" s="134"/>
      <c r="S3474" s="5" t="s">
        <v>814</v>
      </c>
      <c r="T3474" s="8">
        <v>1570</v>
      </c>
      <c r="U3474" s="8">
        <v>4</v>
      </c>
      <c r="V3474" s="5" t="s">
        <v>17</v>
      </c>
      <c r="W3474" s="12">
        <v>3739077</v>
      </c>
      <c r="X3474" s="6"/>
      <c r="Y3474" s="6"/>
    </row>
    <row r="3475" spans="1:25" ht="15" customHeight="1" x14ac:dyDescent="0.2">
      <c r="A3475" s="88" t="s">
        <v>4007</v>
      </c>
      <c r="B3475" s="90"/>
      <c r="C3475" s="88" t="s">
        <v>4127</v>
      </c>
      <c r="D3475" s="90"/>
      <c r="E3475" s="88" t="s">
        <v>4128</v>
      </c>
      <c r="F3475" s="89"/>
      <c r="G3475" s="89"/>
      <c r="H3475" s="89"/>
      <c r="I3475" s="90"/>
      <c r="J3475" s="88" t="s">
        <v>770</v>
      </c>
      <c r="K3475" s="89"/>
      <c r="L3475" s="89"/>
      <c r="M3475" s="90"/>
      <c r="N3475" s="88" t="s">
        <v>26</v>
      </c>
      <c r="O3475" s="89"/>
      <c r="P3475" s="90"/>
      <c r="Q3475" s="133">
        <v>1192</v>
      </c>
      <c r="R3475" s="134"/>
      <c r="S3475" s="5" t="s">
        <v>27</v>
      </c>
      <c r="T3475" s="8">
        <v>1635</v>
      </c>
      <c r="U3475" s="8">
        <v>5</v>
      </c>
      <c r="V3475" s="5" t="s">
        <v>23</v>
      </c>
      <c r="W3475" s="12">
        <v>2631941</v>
      </c>
      <c r="X3475" s="6"/>
      <c r="Y3475" s="6"/>
    </row>
    <row r="3476" spans="1:25" ht="15" customHeight="1" x14ac:dyDescent="0.2">
      <c r="A3476" s="88" t="s">
        <v>4007</v>
      </c>
      <c r="B3476" s="90"/>
      <c r="C3476" s="88" t="s">
        <v>4129</v>
      </c>
      <c r="D3476" s="90"/>
      <c r="E3476" s="88" t="s">
        <v>4130</v>
      </c>
      <c r="F3476" s="89"/>
      <c r="G3476" s="89"/>
      <c r="H3476" s="89"/>
      <c r="I3476" s="90"/>
      <c r="J3476" s="88" t="s">
        <v>770</v>
      </c>
      <c r="K3476" s="89"/>
      <c r="L3476" s="89"/>
      <c r="M3476" s="90"/>
      <c r="N3476" s="88" t="s">
        <v>26</v>
      </c>
      <c r="O3476" s="89"/>
      <c r="P3476" s="90"/>
      <c r="Q3476" s="133">
        <v>1192</v>
      </c>
      <c r="R3476" s="134"/>
      <c r="S3476" s="5" t="s">
        <v>27</v>
      </c>
      <c r="T3476" s="8">
        <v>1725</v>
      </c>
      <c r="U3476" s="8">
        <v>5</v>
      </c>
      <c r="V3476" s="5" t="s">
        <v>23</v>
      </c>
      <c r="W3476" s="12">
        <v>2711250</v>
      </c>
      <c r="X3476" s="6"/>
      <c r="Y3476" s="6"/>
    </row>
    <row r="3477" spans="1:25" ht="15" customHeight="1" x14ac:dyDescent="0.2">
      <c r="A3477" s="88" t="s">
        <v>4007</v>
      </c>
      <c r="B3477" s="90"/>
      <c r="C3477" s="88" t="s">
        <v>4129</v>
      </c>
      <c r="D3477" s="90"/>
      <c r="E3477" s="88" t="s">
        <v>4131</v>
      </c>
      <c r="F3477" s="89"/>
      <c r="G3477" s="89"/>
      <c r="H3477" s="89"/>
      <c r="I3477" s="90"/>
      <c r="J3477" s="88" t="s">
        <v>770</v>
      </c>
      <c r="K3477" s="89"/>
      <c r="L3477" s="89"/>
      <c r="M3477" s="90"/>
      <c r="N3477" s="88" t="s">
        <v>26</v>
      </c>
      <c r="O3477" s="89"/>
      <c r="P3477" s="90"/>
      <c r="Q3477" s="133">
        <v>1192</v>
      </c>
      <c r="R3477" s="134"/>
      <c r="S3477" s="5" t="s">
        <v>27</v>
      </c>
      <c r="T3477" s="8">
        <v>3115</v>
      </c>
      <c r="U3477" s="8">
        <v>5</v>
      </c>
      <c r="V3477" s="5" t="s">
        <v>23</v>
      </c>
      <c r="W3477" s="12">
        <v>2305485</v>
      </c>
      <c r="X3477" s="6"/>
      <c r="Y3477" s="6"/>
    </row>
    <row r="3478" spans="1:25" ht="15" customHeight="1" x14ac:dyDescent="0.2">
      <c r="A3478" s="88" t="s">
        <v>4007</v>
      </c>
      <c r="B3478" s="90"/>
      <c r="C3478" s="88" t="s">
        <v>4132</v>
      </c>
      <c r="D3478" s="90"/>
      <c r="E3478" s="88" t="s">
        <v>4133</v>
      </c>
      <c r="F3478" s="89"/>
      <c r="G3478" s="89"/>
      <c r="H3478" s="89"/>
      <c r="I3478" s="90"/>
      <c r="J3478" s="88" t="s">
        <v>770</v>
      </c>
      <c r="K3478" s="89"/>
      <c r="L3478" s="89"/>
      <c r="M3478" s="90"/>
      <c r="N3478" s="88" t="s">
        <v>26</v>
      </c>
      <c r="O3478" s="89"/>
      <c r="P3478" s="90"/>
      <c r="Q3478" s="133">
        <v>2359</v>
      </c>
      <c r="R3478" s="134"/>
      <c r="S3478" s="5" t="s">
        <v>16</v>
      </c>
      <c r="T3478" s="8">
        <v>3115</v>
      </c>
      <c r="U3478" s="8">
        <v>7</v>
      </c>
      <c r="V3478" s="5" t="s">
        <v>23</v>
      </c>
      <c r="W3478" s="12">
        <v>5311348</v>
      </c>
      <c r="X3478" s="6"/>
      <c r="Y3478" s="6"/>
    </row>
    <row r="3479" spans="1:25" ht="15" customHeight="1" x14ac:dyDescent="0.2">
      <c r="A3479" s="88" t="s">
        <v>4007</v>
      </c>
      <c r="B3479" s="90"/>
      <c r="C3479" s="88" t="s">
        <v>4134</v>
      </c>
      <c r="D3479" s="90"/>
      <c r="E3479" s="88" t="s">
        <v>4133</v>
      </c>
      <c r="F3479" s="89"/>
      <c r="G3479" s="89"/>
      <c r="H3479" s="89"/>
      <c r="I3479" s="90"/>
      <c r="J3479" s="88" t="s">
        <v>770</v>
      </c>
      <c r="K3479" s="89"/>
      <c r="L3479" s="89"/>
      <c r="M3479" s="90"/>
      <c r="N3479" s="88" t="s">
        <v>22</v>
      </c>
      <c r="O3479" s="89"/>
      <c r="P3479" s="90"/>
      <c r="Q3479" s="133">
        <v>2359</v>
      </c>
      <c r="R3479" s="134"/>
      <c r="S3479" s="5" t="s">
        <v>16</v>
      </c>
      <c r="T3479" s="8">
        <v>3115</v>
      </c>
      <c r="U3479" s="8">
        <v>7</v>
      </c>
      <c r="V3479" s="5" t="s">
        <v>23</v>
      </c>
      <c r="W3479" s="12">
        <v>5431862</v>
      </c>
      <c r="X3479" s="6"/>
      <c r="Y3479" s="6"/>
    </row>
    <row r="3480" spans="1:25" ht="15" customHeight="1" x14ac:dyDescent="0.2">
      <c r="A3480" s="88" t="s">
        <v>4007</v>
      </c>
      <c r="B3480" s="90"/>
      <c r="C3480" s="88" t="s">
        <v>4135</v>
      </c>
      <c r="D3480" s="90"/>
      <c r="E3480" s="88" t="s">
        <v>4136</v>
      </c>
      <c r="F3480" s="89"/>
      <c r="G3480" s="89"/>
      <c r="H3480" s="89"/>
      <c r="I3480" s="90"/>
      <c r="J3480" s="88" t="s">
        <v>770</v>
      </c>
      <c r="K3480" s="89"/>
      <c r="L3480" s="89"/>
      <c r="M3480" s="90"/>
      <c r="N3480" s="88" t="s">
        <v>22</v>
      </c>
      <c r="O3480" s="89"/>
      <c r="P3480" s="90"/>
      <c r="Q3480" s="133">
        <v>2359</v>
      </c>
      <c r="R3480" s="134"/>
      <c r="S3480" s="5" t="s">
        <v>16</v>
      </c>
      <c r="T3480" s="8">
        <v>3115</v>
      </c>
      <c r="U3480" s="8">
        <v>7</v>
      </c>
      <c r="V3480" s="5" t="s">
        <v>23</v>
      </c>
      <c r="W3480" s="12">
        <v>9581210</v>
      </c>
      <c r="X3480" s="6"/>
      <c r="Y3480" s="6"/>
    </row>
    <row r="3481" spans="1:25" ht="15" customHeight="1" x14ac:dyDescent="0.2">
      <c r="A3481" s="88" t="s">
        <v>4007</v>
      </c>
      <c r="B3481" s="90"/>
      <c r="C3481" s="88" t="s">
        <v>4137</v>
      </c>
      <c r="D3481" s="90"/>
      <c r="E3481" s="88" t="s">
        <v>4138</v>
      </c>
      <c r="F3481" s="89"/>
      <c r="G3481" s="89"/>
      <c r="H3481" s="89"/>
      <c r="I3481" s="90"/>
      <c r="J3481" s="88" t="s">
        <v>770</v>
      </c>
      <c r="K3481" s="89"/>
      <c r="L3481" s="89"/>
      <c r="M3481" s="90"/>
      <c r="N3481" s="88" t="s">
        <v>26</v>
      </c>
      <c r="O3481" s="89"/>
      <c r="P3481" s="90"/>
      <c r="Q3481" s="133">
        <v>1998</v>
      </c>
      <c r="R3481" s="134"/>
      <c r="S3481" s="5" t="s">
        <v>16</v>
      </c>
      <c r="T3481" s="8">
        <v>2090</v>
      </c>
      <c r="U3481" s="8">
        <v>5</v>
      </c>
      <c r="V3481" s="5" t="s">
        <v>23</v>
      </c>
      <c r="W3481" s="12">
        <v>7745206</v>
      </c>
      <c r="X3481" s="6"/>
      <c r="Y3481" s="6"/>
    </row>
    <row r="3482" spans="1:25" ht="15" customHeight="1" x14ac:dyDescent="0.2">
      <c r="A3482" s="88" t="s">
        <v>4007</v>
      </c>
      <c r="B3482" s="90"/>
      <c r="C3482" s="88" t="s">
        <v>4139</v>
      </c>
      <c r="D3482" s="90"/>
      <c r="E3482" s="88" t="s">
        <v>4140</v>
      </c>
      <c r="F3482" s="89"/>
      <c r="G3482" s="89"/>
      <c r="H3482" s="89"/>
      <c r="I3482" s="90"/>
      <c r="J3482" s="88" t="s">
        <v>770</v>
      </c>
      <c r="K3482" s="89"/>
      <c r="L3482" s="89"/>
      <c r="M3482" s="90"/>
      <c r="N3482" s="88" t="s">
        <v>22</v>
      </c>
      <c r="O3482" s="89"/>
      <c r="P3482" s="90"/>
      <c r="Q3482" s="133">
        <v>2359</v>
      </c>
      <c r="R3482" s="134"/>
      <c r="S3482" s="5" t="s">
        <v>16</v>
      </c>
      <c r="T3482" s="8">
        <v>2570</v>
      </c>
      <c r="U3482" s="8">
        <v>5</v>
      </c>
      <c r="V3482" s="5" t="s">
        <v>23</v>
      </c>
      <c r="W3482" s="12">
        <v>8231629</v>
      </c>
      <c r="X3482" s="6"/>
      <c r="Y3482" s="6"/>
    </row>
    <row r="3483" spans="1:25" ht="15" customHeight="1" x14ac:dyDescent="0.2">
      <c r="A3483" s="88" t="s">
        <v>4007</v>
      </c>
      <c r="B3483" s="90"/>
      <c r="C3483" s="88" t="s">
        <v>4141</v>
      </c>
      <c r="D3483" s="90"/>
      <c r="E3483" s="88" t="s">
        <v>4142</v>
      </c>
      <c r="F3483" s="89"/>
      <c r="G3483" s="89"/>
      <c r="H3483" s="89"/>
      <c r="I3483" s="90"/>
      <c r="J3483" s="88" t="s">
        <v>2258</v>
      </c>
      <c r="K3483" s="89"/>
      <c r="L3483" s="89"/>
      <c r="M3483" s="90"/>
      <c r="N3483" s="88" t="s">
        <v>26</v>
      </c>
      <c r="O3483" s="89"/>
      <c r="P3483" s="90"/>
      <c r="Q3483" s="133">
        <v>3200</v>
      </c>
      <c r="R3483" s="134"/>
      <c r="S3483" s="5" t="s">
        <v>16</v>
      </c>
      <c r="T3483" s="8">
        <v>1350</v>
      </c>
      <c r="U3483" s="8">
        <v>7</v>
      </c>
      <c r="V3483" s="5" t="s">
        <v>106</v>
      </c>
      <c r="W3483" s="12">
        <v>8648712</v>
      </c>
      <c r="X3483" s="6"/>
      <c r="Y3483" s="6"/>
    </row>
    <row r="3484" spans="1:25" ht="15" customHeight="1" x14ac:dyDescent="0.2">
      <c r="A3484" s="88" t="s">
        <v>4007</v>
      </c>
      <c r="B3484" s="90"/>
      <c r="C3484" s="88" t="s">
        <v>4143</v>
      </c>
      <c r="D3484" s="90"/>
      <c r="E3484" s="88" t="s">
        <v>4144</v>
      </c>
      <c r="F3484" s="89"/>
      <c r="G3484" s="89"/>
      <c r="H3484" s="89"/>
      <c r="I3484" s="90"/>
      <c r="J3484" s="88" t="s">
        <v>2258</v>
      </c>
      <c r="K3484" s="89"/>
      <c r="L3484" s="89"/>
      <c r="M3484" s="90"/>
      <c r="N3484" s="88" t="s">
        <v>26</v>
      </c>
      <c r="O3484" s="89"/>
      <c r="P3484" s="90"/>
      <c r="Q3484" s="133">
        <v>3200</v>
      </c>
      <c r="R3484" s="134"/>
      <c r="S3484" s="5" t="s">
        <v>16</v>
      </c>
      <c r="T3484" s="8">
        <v>2160</v>
      </c>
      <c r="U3484" s="8">
        <v>5</v>
      </c>
      <c r="V3484" s="5" t="s">
        <v>106</v>
      </c>
      <c r="W3484" s="12">
        <v>6988763</v>
      </c>
      <c r="X3484" s="6"/>
      <c r="Y3484" s="6"/>
    </row>
    <row r="3485" spans="1:25" ht="15" customHeight="1" x14ac:dyDescent="0.2">
      <c r="A3485" s="88" t="s">
        <v>4007</v>
      </c>
      <c r="B3485" s="90"/>
      <c r="C3485" s="88" t="s">
        <v>4145</v>
      </c>
      <c r="D3485" s="90"/>
      <c r="E3485" s="88" t="s">
        <v>4142</v>
      </c>
      <c r="F3485" s="89"/>
      <c r="G3485" s="89"/>
      <c r="H3485" s="89"/>
      <c r="I3485" s="90"/>
      <c r="J3485" s="88" t="s">
        <v>3412</v>
      </c>
      <c r="K3485" s="89"/>
      <c r="L3485" s="89"/>
      <c r="M3485" s="90"/>
      <c r="N3485" s="88" t="s">
        <v>22</v>
      </c>
      <c r="O3485" s="89"/>
      <c r="P3485" s="90"/>
      <c r="Q3485" s="133">
        <v>3200</v>
      </c>
      <c r="R3485" s="134"/>
      <c r="S3485" s="5" t="s">
        <v>16</v>
      </c>
      <c r="T3485" s="8">
        <v>2160</v>
      </c>
      <c r="U3485" s="8">
        <v>7</v>
      </c>
      <c r="V3485" s="5" t="s">
        <v>4038</v>
      </c>
      <c r="W3485" s="12">
        <v>8008066</v>
      </c>
      <c r="X3485" s="6"/>
      <c r="Y3485" s="6"/>
    </row>
    <row r="3486" spans="1:25" ht="15" customHeight="1" x14ac:dyDescent="0.2">
      <c r="A3486" s="88" t="s">
        <v>4007</v>
      </c>
      <c r="B3486" s="90"/>
      <c r="C3486" s="88" t="s">
        <v>4146</v>
      </c>
      <c r="D3486" s="90"/>
      <c r="E3486" s="88" t="s">
        <v>4147</v>
      </c>
      <c r="F3486" s="89"/>
      <c r="G3486" s="89"/>
      <c r="H3486" s="89"/>
      <c r="I3486" s="90"/>
      <c r="J3486" s="88" t="s">
        <v>770</v>
      </c>
      <c r="K3486" s="89"/>
      <c r="L3486" s="89"/>
      <c r="M3486" s="90"/>
      <c r="N3486" s="88" t="s">
        <v>22</v>
      </c>
      <c r="O3486" s="89"/>
      <c r="P3486" s="90"/>
      <c r="Q3486" s="133">
        <v>1798</v>
      </c>
      <c r="R3486" s="134"/>
      <c r="S3486" s="5" t="s">
        <v>70</v>
      </c>
      <c r="T3486" s="8">
        <v>1150</v>
      </c>
      <c r="U3486" s="8">
        <v>5</v>
      </c>
      <c r="V3486" s="5" t="s">
        <v>23</v>
      </c>
      <c r="W3486" s="12">
        <v>4559096</v>
      </c>
      <c r="X3486" s="6"/>
      <c r="Y3486" s="6"/>
    </row>
    <row r="3487" spans="1:25" ht="15" customHeight="1" x14ac:dyDescent="0.2">
      <c r="A3487" s="88" t="s">
        <v>4007</v>
      </c>
      <c r="B3487" s="90"/>
      <c r="C3487" s="88" t="s">
        <v>4148</v>
      </c>
      <c r="D3487" s="90"/>
      <c r="E3487" s="88" t="s">
        <v>4147</v>
      </c>
      <c r="F3487" s="89"/>
      <c r="G3487" s="89"/>
      <c r="H3487" s="89"/>
      <c r="I3487" s="90"/>
      <c r="J3487" s="88" t="s">
        <v>770</v>
      </c>
      <c r="K3487" s="89"/>
      <c r="L3487" s="89"/>
      <c r="M3487" s="90"/>
      <c r="N3487" s="88" t="s">
        <v>22</v>
      </c>
      <c r="O3487" s="89"/>
      <c r="P3487" s="90"/>
      <c r="Q3487" s="133">
        <v>1798</v>
      </c>
      <c r="R3487" s="134"/>
      <c r="S3487" s="5" t="s">
        <v>70</v>
      </c>
      <c r="T3487" s="8">
        <v>870</v>
      </c>
      <c r="U3487" s="8">
        <v>5</v>
      </c>
      <c r="V3487" s="5" t="s">
        <v>23</v>
      </c>
      <c r="W3487" s="12">
        <v>4712795</v>
      </c>
      <c r="X3487" s="6"/>
      <c r="Y3487" s="6"/>
    </row>
    <row r="3488" spans="1:25" ht="15" customHeight="1" x14ac:dyDescent="0.2">
      <c r="A3488" s="88" t="s">
        <v>4007</v>
      </c>
      <c r="B3488" s="90"/>
      <c r="C3488" s="88" t="s">
        <v>4148</v>
      </c>
      <c r="D3488" s="90"/>
      <c r="E3488" s="88" t="s">
        <v>4149</v>
      </c>
      <c r="F3488" s="89"/>
      <c r="G3488" s="89"/>
      <c r="H3488" s="89"/>
      <c r="I3488" s="90"/>
      <c r="J3488" s="88" t="s">
        <v>770</v>
      </c>
      <c r="K3488" s="89"/>
      <c r="L3488" s="89"/>
      <c r="M3488" s="90"/>
      <c r="N3488" s="88" t="s">
        <v>26</v>
      </c>
      <c r="O3488" s="89"/>
      <c r="P3488" s="90"/>
      <c r="Q3488" s="133">
        <v>1798</v>
      </c>
      <c r="R3488" s="134"/>
      <c r="S3488" s="5" t="s">
        <v>70</v>
      </c>
      <c r="T3488" s="8">
        <v>870</v>
      </c>
      <c r="U3488" s="8">
        <v>5</v>
      </c>
      <c r="V3488" s="5" t="s">
        <v>23</v>
      </c>
      <c r="W3488" s="12">
        <v>4376732</v>
      </c>
      <c r="X3488" s="6"/>
      <c r="Y3488" s="6"/>
    </row>
    <row r="3489" spans="1:25" ht="15" customHeight="1" x14ac:dyDescent="0.2">
      <c r="A3489" s="88" t="s">
        <v>4007</v>
      </c>
      <c r="B3489" s="90"/>
      <c r="C3489" s="88" t="s">
        <v>4148</v>
      </c>
      <c r="D3489" s="90"/>
      <c r="E3489" s="88" t="s">
        <v>4150</v>
      </c>
      <c r="F3489" s="89"/>
      <c r="G3489" s="89"/>
      <c r="H3489" s="89"/>
      <c r="I3489" s="90"/>
      <c r="J3489" s="88" t="s">
        <v>770</v>
      </c>
      <c r="K3489" s="89"/>
      <c r="L3489" s="89"/>
      <c r="M3489" s="90"/>
      <c r="N3489" s="88" t="s">
        <v>26</v>
      </c>
      <c r="O3489" s="89"/>
      <c r="P3489" s="90"/>
      <c r="Q3489" s="133">
        <v>1798</v>
      </c>
      <c r="R3489" s="134"/>
      <c r="S3489" s="5" t="s">
        <v>70</v>
      </c>
      <c r="T3489" s="8">
        <v>870</v>
      </c>
      <c r="U3489" s="8">
        <v>5</v>
      </c>
      <c r="V3489" s="5" t="s">
        <v>23</v>
      </c>
      <c r="W3489" s="12">
        <v>4104462</v>
      </c>
      <c r="X3489" s="6"/>
      <c r="Y3489" s="6"/>
    </row>
    <row r="3490" spans="1:25" ht="15" customHeight="1" x14ac:dyDescent="0.2">
      <c r="A3490" s="88" t="s">
        <v>4007</v>
      </c>
      <c r="B3490" s="90"/>
      <c r="C3490" s="88" t="s">
        <v>4151</v>
      </c>
      <c r="D3490" s="90"/>
      <c r="E3490" s="88" t="s">
        <v>4152</v>
      </c>
      <c r="F3490" s="89"/>
      <c r="G3490" s="89"/>
      <c r="H3490" s="89"/>
      <c r="I3490" s="90"/>
      <c r="J3490" s="88" t="s">
        <v>887</v>
      </c>
      <c r="K3490" s="89"/>
      <c r="L3490" s="89"/>
      <c r="M3490" s="90"/>
      <c r="N3490" s="88" t="s">
        <v>26</v>
      </c>
      <c r="O3490" s="89"/>
      <c r="P3490" s="90"/>
      <c r="Q3490" s="133">
        <v>658</v>
      </c>
      <c r="R3490" s="134"/>
      <c r="S3490" s="5" t="s">
        <v>4010</v>
      </c>
      <c r="T3490" s="8">
        <v>870</v>
      </c>
      <c r="U3490" s="8">
        <v>4</v>
      </c>
      <c r="V3490" s="5" t="s">
        <v>23</v>
      </c>
      <c r="W3490" s="12">
        <v>2982375</v>
      </c>
      <c r="X3490" s="6"/>
      <c r="Y3490" s="6"/>
    </row>
    <row r="3491" spans="1:25" ht="15" customHeight="1" x14ac:dyDescent="0.2">
      <c r="A3491" s="88" t="s">
        <v>4007</v>
      </c>
      <c r="B3491" s="90"/>
      <c r="C3491" s="88" t="s">
        <v>4153</v>
      </c>
      <c r="D3491" s="90"/>
      <c r="E3491" s="88" t="s">
        <v>4152</v>
      </c>
      <c r="F3491" s="89"/>
      <c r="G3491" s="89"/>
      <c r="H3491" s="89"/>
      <c r="I3491" s="90"/>
      <c r="J3491" s="88" t="s">
        <v>887</v>
      </c>
      <c r="K3491" s="89"/>
      <c r="L3491" s="89"/>
      <c r="M3491" s="90"/>
      <c r="N3491" s="88" t="s">
        <v>22</v>
      </c>
      <c r="O3491" s="89"/>
      <c r="P3491" s="90"/>
      <c r="Q3491" s="133">
        <v>658</v>
      </c>
      <c r="R3491" s="134"/>
      <c r="S3491" s="5" t="s">
        <v>4010</v>
      </c>
      <c r="T3491" s="8">
        <v>920</v>
      </c>
      <c r="U3491" s="8">
        <v>4</v>
      </c>
      <c r="V3491" s="5" t="s">
        <v>23</v>
      </c>
      <c r="W3491" s="12">
        <v>2982375</v>
      </c>
      <c r="X3491" s="6"/>
      <c r="Y3491" s="6"/>
    </row>
    <row r="3492" spans="1:25" ht="15" customHeight="1" x14ac:dyDescent="0.2">
      <c r="A3492" s="88" t="s">
        <v>4007</v>
      </c>
      <c r="B3492" s="90"/>
      <c r="C3492" s="88" t="s">
        <v>4153</v>
      </c>
      <c r="D3492" s="90"/>
      <c r="E3492" s="88" t="s">
        <v>4154</v>
      </c>
      <c r="F3492" s="89"/>
      <c r="G3492" s="89"/>
      <c r="H3492" s="89"/>
      <c r="I3492" s="90"/>
      <c r="J3492" s="88" t="s">
        <v>770</v>
      </c>
      <c r="K3492" s="89"/>
      <c r="L3492" s="89"/>
      <c r="M3492" s="90"/>
      <c r="N3492" s="88" t="s">
        <v>26</v>
      </c>
      <c r="O3492" s="89"/>
      <c r="P3492" s="90"/>
      <c r="Q3492" s="133">
        <v>658</v>
      </c>
      <c r="R3492" s="134"/>
      <c r="S3492" s="5" t="s">
        <v>4010</v>
      </c>
      <c r="T3492" s="8">
        <v>1485</v>
      </c>
      <c r="U3492" s="8">
        <v>4</v>
      </c>
      <c r="V3492" s="5" t="s">
        <v>23</v>
      </c>
      <c r="W3492" s="12">
        <v>3222146</v>
      </c>
      <c r="X3492" s="6"/>
      <c r="Y3492" s="6"/>
    </row>
    <row r="3493" spans="1:25" ht="15" customHeight="1" x14ac:dyDescent="0.2">
      <c r="A3493" s="88" t="s">
        <v>4007</v>
      </c>
      <c r="B3493" s="90"/>
      <c r="C3493" s="88" t="s">
        <v>4153</v>
      </c>
      <c r="D3493" s="90"/>
      <c r="E3493" s="88" t="s">
        <v>4155</v>
      </c>
      <c r="F3493" s="89"/>
      <c r="G3493" s="89"/>
      <c r="H3493" s="89"/>
      <c r="I3493" s="90"/>
      <c r="J3493" s="88" t="s">
        <v>770</v>
      </c>
      <c r="K3493" s="89"/>
      <c r="L3493" s="89"/>
      <c r="M3493" s="90"/>
      <c r="N3493" s="88" t="s">
        <v>26</v>
      </c>
      <c r="O3493" s="89"/>
      <c r="P3493" s="90"/>
      <c r="Q3493" s="133">
        <v>658</v>
      </c>
      <c r="R3493" s="134"/>
      <c r="S3493" s="5" t="s">
        <v>4010</v>
      </c>
      <c r="T3493" s="8">
        <v>1485</v>
      </c>
      <c r="U3493" s="8">
        <v>4</v>
      </c>
      <c r="V3493" s="5" t="s">
        <v>23</v>
      </c>
      <c r="W3493" s="12">
        <v>2942134</v>
      </c>
      <c r="X3493" s="6"/>
      <c r="Y3493" s="6"/>
    </row>
    <row r="3494" spans="1:25" ht="15" customHeight="1" x14ac:dyDescent="0.2">
      <c r="A3494" s="88" t="s">
        <v>4007</v>
      </c>
      <c r="B3494" s="90"/>
      <c r="C3494" s="88" t="s">
        <v>4153</v>
      </c>
      <c r="D3494" s="90"/>
      <c r="E3494" s="88" t="s">
        <v>4156</v>
      </c>
      <c r="F3494" s="89"/>
      <c r="G3494" s="89"/>
      <c r="H3494" s="89"/>
      <c r="I3494" s="90"/>
      <c r="J3494" s="88" t="s">
        <v>887</v>
      </c>
      <c r="K3494" s="89"/>
      <c r="L3494" s="89"/>
      <c r="M3494" s="90"/>
      <c r="N3494" s="88" t="s">
        <v>26</v>
      </c>
      <c r="O3494" s="89"/>
      <c r="P3494" s="90"/>
      <c r="Q3494" s="133">
        <v>658</v>
      </c>
      <c r="R3494" s="134"/>
      <c r="S3494" s="5" t="s">
        <v>4010</v>
      </c>
      <c r="T3494" s="8">
        <v>1485</v>
      </c>
      <c r="U3494" s="8">
        <v>4</v>
      </c>
      <c r="V3494" s="5" t="s">
        <v>23</v>
      </c>
      <c r="W3494" s="12">
        <v>2612324</v>
      </c>
      <c r="X3494" s="6"/>
      <c r="Y3494" s="6"/>
    </row>
    <row r="3495" spans="1:25" ht="15" customHeight="1" x14ac:dyDescent="0.2">
      <c r="A3495" s="88" t="s">
        <v>4007</v>
      </c>
      <c r="B3495" s="90"/>
      <c r="C3495" s="88" t="s">
        <v>4153</v>
      </c>
      <c r="D3495" s="90"/>
      <c r="E3495" s="88" t="s">
        <v>4157</v>
      </c>
      <c r="F3495" s="89"/>
      <c r="G3495" s="89"/>
      <c r="H3495" s="89"/>
      <c r="I3495" s="90"/>
      <c r="J3495" s="88" t="s">
        <v>887</v>
      </c>
      <c r="K3495" s="89"/>
      <c r="L3495" s="89"/>
      <c r="M3495" s="90"/>
      <c r="N3495" s="88" t="s">
        <v>26</v>
      </c>
      <c r="O3495" s="89"/>
      <c r="P3495" s="90"/>
      <c r="Q3495" s="133">
        <v>658</v>
      </c>
      <c r="R3495" s="134"/>
      <c r="S3495" s="5" t="s">
        <v>4010</v>
      </c>
      <c r="T3495" s="8">
        <v>1525</v>
      </c>
      <c r="U3495" s="8">
        <v>4</v>
      </c>
      <c r="V3495" s="5" t="s">
        <v>23</v>
      </c>
      <c r="W3495" s="12">
        <v>2498307</v>
      </c>
      <c r="X3495" s="6"/>
      <c r="Y3495" s="6"/>
    </row>
    <row r="3496" spans="1:25" ht="15" customHeight="1" x14ac:dyDescent="0.2">
      <c r="A3496" s="88" t="s">
        <v>4007</v>
      </c>
      <c r="B3496" s="90"/>
      <c r="C3496" s="88" t="s">
        <v>4158</v>
      </c>
      <c r="D3496" s="90"/>
      <c r="E3496" s="88" t="s">
        <v>4159</v>
      </c>
      <c r="F3496" s="89"/>
      <c r="G3496" s="89"/>
      <c r="H3496" s="89"/>
      <c r="I3496" s="90"/>
      <c r="J3496" s="88" t="s">
        <v>2179</v>
      </c>
      <c r="K3496" s="89"/>
      <c r="L3496" s="89"/>
      <c r="M3496" s="90"/>
      <c r="N3496" s="88" t="s">
        <v>22</v>
      </c>
      <c r="O3496" s="89"/>
      <c r="P3496" s="90"/>
      <c r="Q3496" s="133">
        <v>2439</v>
      </c>
      <c r="R3496" s="134"/>
      <c r="S3496" s="5" t="s">
        <v>793</v>
      </c>
      <c r="T3496" s="8">
        <v>1515</v>
      </c>
      <c r="U3496" s="8">
        <v>5</v>
      </c>
      <c r="V3496" s="5" t="s">
        <v>106</v>
      </c>
      <c r="W3496" s="12">
        <v>9433275</v>
      </c>
      <c r="X3496" s="6"/>
      <c r="Y3496" s="6"/>
    </row>
    <row r="3497" spans="1:25" ht="15" customHeight="1" x14ac:dyDescent="0.2">
      <c r="A3497" s="88" t="s">
        <v>4160</v>
      </c>
      <c r="B3497" s="90"/>
      <c r="C3497" s="88" t="s">
        <v>4161</v>
      </c>
      <c r="D3497" s="90"/>
      <c r="E3497" s="106"/>
      <c r="F3497" s="107"/>
      <c r="G3497" s="107"/>
      <c r="H3497" s="107"/>
      <c r="I3497" s="108"/>
      <c r="J3497" s="88" t="s">
        <v>13</v>
      </c>
      <c r="K3497" s="89"/>
      <c r="L3497" s="89"/>
      <c r="M3497" s="90"/>
      <c r="N3497" s="88" t="s">
        <v>14</v>
      </c>
      <c r="O3497" s="89"/>
      <c r="P3497" s="90"/>
      <c r="Q3497" s="88" t="s">
        <v>4162</v>
      </c>
      <c r="R3497" s="90"/>
      <c r="S3497" s="5" t="s">
        <v>16</v>
      </c>
      <c r="T3497" s="6"/>
      <c r="U3497" s="8">
        <v>5</v>
      </c>
      <c r="V3497" s="5" t="s">
        <v>17</v>
      </c>
      <c r="W3497" s="9">
        <v>2673728</v>
      </c>
      <c r="X3497" s="6"/>
      <c r="Y3497" s="6"/>
    </row>
    <row r="3498" spans="1:25" ht="15" customHeight="1" x14ac:dyDescent="0.2">
      <c r="A3498" s="88" t="s">
        <v>4160</v>
      </c>
      <c r="B3498" s="90"/>
      <c r="C3498" s="88" t="s">
        <v>4163</v>
      </c>
      <c r="D3498" s="90"/>
      <c r="E3498" s="106"/>
      <c r="F3498" s="107"/>
      <c r="G3498" s="107"/>
      <c r="H3498" s="107"/>
      <c r="I3498" s="108"/>
      <c r="J3498" s="88" t="s">
        <v>13</v>
      </c>
      <c r="K3498" s="89"/>
      <c r="L3498" s="89"/>
      <c r="M3498" s="90"/>
      <c r="N3498" s="88" t="s">
        <v>14</v>
      </c>
      <c r="O3498" s="89"/>
      <c r="P3498" s="90"/>
      <c r="Q3498" s="88" t="s">
        <v>4164</v>
      </c>
      <c r="R3498" s="90"/>
      <c r="S3498" s="5" t="s">
        <v>16</v>
      </c>
      <c r="T3498" s="6"/>
      <c r="U3498" s="8">
        <v>5</v>
      </c>
      <c r="V3498" s="5" t="s">
        <v>17</v>
      </c>
      <c r="W3498" s="9">
        <v>4221675</v>
      </c>
      <c r="X3498" s="6"/>
      <c r="Y3498" s="6"/>
    </row>
    <row r="3499" spans="1:25" ht="15" customHeight="1" x14ac:dyDescent="0.2">
      <c r="A3499" s="88" t="s">
        <v>4160</v>
      </c>
      <c r="B3499" s="90"/>
      <c r="C3499" s="88" t="s">
        <v>4165</v>
      </c>
      <c r="D3499" s="90"/>
      <c r="E3499" s="106"/>
      <c r="F3499" s="107"/>
      <c r="G3499" s="107"/>
      <c r="H3499" s="107"/>
      <c r="I3499" s="108"/>
      <c r="J3499" s="88" t="s">
        <v>13</v>
      </c>
      <c r="K3499" s="89"/>
      <c r="L3499" s="89"/>
      <c r="M3499" s="90"/>
      <c r="N3499" s="88" t="s">
        <v>4166</v>
      </c>
      <c r="O3499" s="89"/>
      <c r="P3499" s="90"/>
      <c r="Q3499" s="88" t="s">
        <v>4167</v>
      </c>
      <c r="R3499" s="90"/>
      <c r="S3499" s="5" t="s">
        <v>16</v>
      </c>
      <c r="T3499" s="6"/>
      <c r="U3499" s="8">
        <v>5</v>
      </c>
      <c r="V3499" s="5" t="s">
        <v>17</v>
      </c>
      <c r="W3499" s="9">
        <v>5628900</v>
      </c>
      <c r="X3499" s="6"/>
      <c r="Y3499" s="6"/>
    </row>
    <row r="3500" spans="1:25" ht="15" customHeight="1" x14ac:dyDescent="0.2">
      <c r="A3500" s="88" t="s">
        <v>4160</v>
      </c>
      <c r="B3500" s="90"/>
      <c r="C3500" s="88" t="s">
        <v>4168</v>
      </c>
      <c r="D3500" s="90"/>
      <c r="E3500" s="106"/>
      <c r="F3500" s="107"/>
      <c r="G3500" s="107"/>
      <c r="H3500" s="107"/>
      <c r="I3500" s="108"/>
      <c r="J3500" s="88" t="s">
        <v>13</v>
      </c>
      <c r="K3500" s="89"/>
      <c r="L3500" s="89"/>
      <c r="M3500" s="90"/>
      <c r="N3500" s="88" t="s">
        <v>1231</v>
      </c>
      <c r="O3500" s="89"/>
      <c r="P3500" s="90"/>
      <c r="Q3500" s="88" t="s">
        <v>4169</v>
      </c>
      <c r="R3500" s="90"/>
      <c r="S3500" s="5" t="s">
        <v>44</v>
      </c>
      <c r="T3500" s="6"/>
      <c r="U3500" s="8">
        <v>5</v>
      </c>
      <c r="V3500" s="5" t="s">
        <v>17</v>
      </c>
      <c r="W3500" s="9">
        <v>7359787</v>
      </c>
      <c r="X3500" s="6"/>
      <c r="Y3500" s="6"/>
    </row>
    <row r="3501" spans="1:25" ht="15" customHeight="1" x14ac:dyDescent="0.2">
      <c r="A3501" s="88" t="s">
        <v>4160</v>
      </c>
      <c r="B3501" s="90"/>
      <c r="C3501" s="88" t="s">
        <v>4170</v>
      </c>
      <c r="D3501" s="90"/>
      <c r="E3501" s="106"/>
      <c r="F3501" s="107"/>
      <c r="G3501" s="107"/>
      <c r="H3501" s="107"/>
      <c r="I3501" s="108"/>
      <c r="J3501" s="88" t="s">
        <v>13</v>
      </c>
      <c r="K3501" s="89"/>
      <c r="L3501" s="89"/>
      <c r="M3501" s="90"/>
      <c r="N3501" s="88" t="s">
        <v>1231</v>
      </c>
      <c r="O3501" s="89"/>
      <c r="P3501" s="90"/>
      <c r="Q3501" s="88" t="s">
        <v>4171</v>
      </c>
      <c r="R3501" s="90"/>
      <c r="S3501" s="5" t="s">
        <v>271</v>
      </c>
      <c r="T3501" s="6"/>
      <c r="U3501" s="8">
        <v>4</v>
      </c>
      <c r="V3501" s="5" t="s">
        <v>17</v>
      </c>
      <c r="W3501" s="9">
        <v>8443350</v>
      </c>
      <c r="X3501" s="6"/>
      <c r="Y3501" s="6"/>
    </row>
    <row r="3502" spans="1:25" ht="15" customHeight="1" x14ac:dyDescent="0.2">
      <c r="A3502" s="88" t="s">
        <v>4160</v>
      </c>
      <c r="B3502" s="90"/>
      <c r="C3502" s="88" t="s">
        <v>4172</v>
      </c>
      <c r="D3502" s="90"/>
      <c r="E3502" s="106"/>
      <c r="F3502" s="107"/>
      <c r="G3502" s="107"/>
      <c r="H3502" s="107"/>
      <c r="I3502" s="108"/>
      <c r="J3502" s="88" t="s">
        <v>13</v>
      </c>
      <c r="K3502" s="89"/>
      <c r="L3502" s="89"/>
      <c r="M3502" s="90"/>
      <c r="N3502" s="88" t="s">
        <v>14</v>
      </c>
      <c r="O3502" s="89"/>
      <c r="P3502" s="90"/>
      <c r="Q3502" s="88" t="s">
        <v>4164</v>
      </c>
      <c r="R3502" s="90"/>
      <c r="S3502" s="5" t="s">
        <v>16</v>
      </c>
      <c r="T3502" s="6"/>
      <c r="U3502" s="8">
        <v>5</v>
      </c>
      <c r="V3502" s="5" t="s">
        <v>17</v>
      </c>
      <c r="W3502" s="9">
        <v>4221675</v>
      </c>
      <c r="X3502" s="6"/>
      <c r="Y3502" s="6"/>
    </row>
    <row r="3503" spans="1:25" ht="15" customHeight="1" x14ac:dyDescent="0.2">
      <c r="A3503" s="88" t="s">
        <v>4173</v>
      </c>
      <c r="B3503" s="90"/>
      <c r="C3503" s="88" t="s">
        <v>4174</v>
      </c>
      <c r="D3503" s="90"/>
      <c r="E3503" s="106"/>
      <c r="F3503" s="107"/>
      <c r="G3503" s="107"/>
      <c r="H3503" s="107"/>
      <c r="I3503" s="108"/>
      <c r="J3503" s="88" t="s">
        <v>13</v>
      </c>
      <c r="K3503" s="89"/>
      <c r="L3503" s="89"/>
      <c r="M3503" s="90"/>
      <c r="N3503" s="88" t="s">
        <v>701</v>
      </c>
      <c r="O3503" s="89"/>
      <c r="P3503" s="90"/>
      <c r="Q3503" s="88" t="s">
        <v>4175</v>
      </c>
      <c r="R3503" s="90"/>
      <c r="S3503" s="5" t="s">
        <v>16</v>
      </c>
      <c r="T3503" s="7">
        <v>2600</v>
      </c>
      <c r="U3503" s="5" t="s">
        <v>4176</v>
      </c>
      <c r="V3503" s="5" t="s">
        <v>17</v>
      </c>
      <c r="W3503" s="9">
        <v>14775863</v>
      </c>
      <c r="X3503" s="6"/>
      <c r="Y3503" s="6"/>
    </row>
    <row r="3504" spans="1:25" ht="15" customHeight="1" x14ac:dyDescent="0.2">
      <c r="A3504" s="88" t="s">
        <v>4173</v>
      </c>
      <c r="B3504" s="90"/>
      <c r="C3504" s="88" t="s">
        <v>4177</v>
      </c>
      <c r="D3504" s="90"/>
      <c r="E3504" s="106"/>
      <c r="F3504" s="107"/>
      <c r="G3504" s="107"/>
      <c r="H3504" s="107"/>
      <c r="I3504" s="108"/>
      <c r="J3504" s="88" t="s">
        <v>13</v>
      </c>
      <c r="K3504" s="89"/>
      <c r="L3504" s="89"/>
      <c r="M3504" s="90"/>
      <c r="N3504" s="88" t="s">
        <v>701</v>
      </c>
      <c r="O3504" s="89"/>
      <c r="P3504" s="90"/>
      <c r="Q3504" s="88" t="s">
        <v>4175</v>
      </c>
      <c r="R3504" s="90"/>
      <c r="S3504" s="5" t="s">
        <v>16</v>
      </c>
      <c r="T3504" s="7">
        <v>2300</v>
      </c>
      <c r="U3504" s="8">
        <v>5</v>
      </c>
      <c r="V3504" s="5" t="s">
        <v>17</v>
      </c>
      <c r="W3504" s="10">
        <v>10976355</v>
      </c>
      <c r="X3504" s="6"/>
      <c r="Y3504" s="6"/>
    </row>
    <row r="3505" spans="1:25" ht="15" customHeight="1" x14ac:dyDescent="0.2">
      <c r="A3505" s="88" t="s">
        <v>4173</v>
      </c>
      <c r="B3505" s="90"/>
      <c r="C3505" s="88" t="s">
        <v>4178</v>
      </c>
      <c r="D3505" s="90"/>
      <c r="E3505" s="106"/>
      <c r="F3505" s="107"/>
      <c r="G3505" s="107"/>
      <c r="H3505" s="107"/>
      <c r="I3505" s="108"/>
      <c r="J3505" s="88" t="s">
        <v>13</v>
      </c>
      <c r="K3505" s="89"/>
      <c r="L3505" s="89"/>
      <c r="M3505" s="90"/>
      <c r="N3505" s="88" t="s">
        <v>701</v>
      </c>
      <c r="O3505" s="89"/>
      <c r="P3505" s="90"/>
      <c r="Q3505" s="88" t="s">
        <v>4179</v>
      </c>
      <c r="R3505" s="90"/>
      <c r="S3505" s="5" t="s">
        <v>4180</v>
      </c>
      <c r="T3505" s="7">
        <v>2300</v>
      </c>
      <c r="U3505" s="8">
        <v>5</v>
      </c>
      <c r="V3505" s="5" t="s">
        <v>17</v>
      </c>
      <c r="W3505" s="10">
        <v>10132020</v>
      </c>
      <c r="X3505" s="6"/>
      <c r="Y3505" s="6"/>
    </row>
    <row r="3506" spans="1:25" ht="15" customHeight="1" x14ac:dyDescent="0.2">
      <c r="A3506" s="88" t="s">
        <v>4173</v>
      </c>
      <c r="B3506" s="90"/>
      <c r="C3506" s="88" t="s">
        <v>4181</v>
      </c>
      <c r="D3506" s="90"/>
      <c r="E3506" s="106"/>
      <c r="F3506" s="107"/>
      <c r="G3506" s="107"/>
      <c r="H3506" s="107"/>
      <c r="I3506" s="108"/>
      <c r="J3506" s="88" t="s">
        <v>13</v>
      </c>
      <c r="K3506" s="89"/>
      <c r="L3506" s="89"/>
      <c r="M3506" s="90"/>
      <c r="N3506" s="88" t="s">
        <v>701</v>
      </c>
      <c r="O3506" s="89"/>
      <c r="P3506" s="90"/>
      <c r="Q3506" s="88" t="s">
        <v>4182</v>
      </c>
      <c r="R3506" s="90"/>
      <c r="S3506" s="5" t="s">
        <v>44</v>
      </c>
      <c r="T3506" s="7">
        <v>2145</v>
      </c>
      <c r="U3506" s="8">
        <v>5</v>
      </c>
      <c r="V3506" s="5" t="s">
        <v>17</v>
      </c>
      <c r="W3506" s="9">
        <v>9076601</v>
      </c>
      <c r="X3506" s="6"/>
      <c r="Y3506" s="6"/>
    </row>
    <row r="3507" spans="1:25" ht="15" customHeight="1" x14ac:dyDescent="0.2">
      <c r="A3507" s="88" t="s">
        <v>4173</v>
      </c>
      <c r="B3507" s="90"/>
      <c r="C3507" s="88" t="s">
        <v>4183</v>
      </c>
      <c r="D3507" s="90"/>
      <c r="E3507" s="106"/>
      <c r="F3507" s="107"/>
      <c r="G3507" s="107"/>
      <c r="H3507" s="107"/>
      <c r="I3507" s="108"/>
      <c r="J3507" s="88" t="s">
        <v>13</v>
      </c>
      <c r="K3507" s="89"/>
      <c r="L3507" s="89"/>
      <c r="M3507" s="90"/>
      <c r="N3507" s="88" t="s">
        <v>701</v>
      </c>
      <c r="O3507" s="89"/>
      <c r="P3507" s="90"/>
      <c r="Q3507" s="88" t="s">
        <v>4175</v>
      </c>
      <c r="R3507" s="90"/>
      <c r="S3507" s="5" t="s">
        <v>44</v>
      </c>
      <c r="T3507" s="7">
        <v>2400</v>
      </c>
      <c r="U3507" s="8">
        <v>5</v>
      </c>
      <c r="V3507" s="5" t="s">
        <v>17</v>
      </c>
      <c r="W3507" s="10">
        <v>13720444</v>
      </c>
      <c r="X3507" s="6"/>
      <c r="Y3507" s="6"/>
    </row>
    <row r="3508" spans="1:25" ht="15" customHeight="1" x14ac:dyDescent="0.2">
      <c r="A3508" s="88" t="s">
        <v>4173</v>
      </c>
      <c r="B3508" s="90"/>
      <c r="C3508" s="88" t="s">
        <v>4184</v>
      </c>
      <c r="D3508" s="90"/>
      <c r="E3508" s="106"/>
      <c r="F3508" s="107"/>
      <c r="G3508" s="107"/>
      <c r="H3508" s="107"/>
      <c r="I3508" s="108"/>
      <c r="J3508" s="88" t="s">
        <v>13</v>
      </c>
      <c r="K3508" s="89"/>
      <c r="L3508" s="89"/>
      <c r="M3508" s="90"/>
      <c r="N3508" s="88" t="s">
        <v>701</v>
      </c>
      <c r="O3508" s="89"/>
      <c r="P3508" s="90"/>
      <c r="Q3508" s="88" t="s">
        <v>4175</v>
      </c>
      <c r="R3508" s="90"/>
      <c r="S3508" s="5" t="s">
        <v>16</v>
      </c>
      <c r="T3508" s="7">
        <v>2500</v>
      </c>
      <c r="U3508" s="8">
        <v>5</v>
      </c>
      <c r="V3508" s="5" t="s">
        <v>17</v>
      </c>
      <c r="W3508" s="10">
        <v>13720444</v>
      </c>
      <c r="X3508" s="6"/>
      <c r="Y3508" s="6"/>
    </row>
    <row r="3509" spans="1:25" ht="15" customHeight="1" x14ac:dyDescent="0.2">
      <c r="A3509" s="88" t="s">
        <v>4173</v>
      </c>
      <c r="B3509" s="90"/>
      <c r="C3509" s="88" t="s">
        <v>4185</v>
      </c>
      <c r="D3509" s="90"/>
      <c r="E3509" s="106"/>
      <c r="F3509" s="107"/>
      <c r="G3509" s="107"/>
      <c r="H3509" s="107"/>
      <c r="I3509" s="108"/>
      <c r="J3509" s="88" t="s">
        <v>13</v>
      </c>
      <c r="K3509" s="89"/>
      <c r="L3509" s="89"/>
      <c r="M3509" s="90"/>
      <c r="N3509" s="88" t="s">
        <v>701</v>
      </c>
      <c r="O3509" s="89"/>
      <c r="P3509" s="90"/>
      <c r="Q3509" s="88" t="s">
        <v>4182</v>
      </c>
      <c r="R3509" s="90"/>
      <c r="S3509" s="5" t="s">
        <v>4180</v>
      </c>
      <c r="T3509" s="7">
        <v>2400</v>
      </c>
      <c r="U3509" s="8">
        <v>5</v>
      </c>
      <c r="V3509" s="5" t="s">
        <v>17</v>
      </c>
      <c r="W3509" s="10">
        <v>13720444</v>
      </c>
      <c r="X3509" s="6"/>
      <c r="Y3509" s="6"/>
    </row>
    <row r="3510" spans="1:25" ht="15" customHeight="1" x14ac:dyDescent="0.2">
      <c r="A3510" s="88" t="s">
        <v>4173</v>
      </c>
      <c r="B3510" s="90"/>
      <c r="C3510" s="88" t="s">
        <v>4186</v>
      </c>
      <c r="D3510" s="90"/>
      <c r="E3510" s="106"/>
      <c r="F3510" s="107"/>
      <c r="G3510" s="107"/>
      <c r="H3510" s="107"/>
      <c r="I3510" s="108"/>
      <c r="J3510" s="88" t="s">
        <v>13</v>
      </c>
      <c r="K3510" s="89"/>
      <c r="L3510" s="89"/>
      <c r="M3510" s="90"/>
      <c r="N3510" s="88" t="s">
        <v>701</v>
      </c>
      <c r="O3510" s="89"/>
      <c r="P3510" s="90"/>
      <c r="Q3510" s="88" t="s">
        <v>4175</v>
      </c>
      <c r="R3510" s="90"/>
      <c r="S3510" s="5" t="s">
        <v>16</v>
      </c>
      <c r="T3510" s="7">
        <v>2300</v>
      </c>
      <c r="U3510" s="8">
        <v>5</v>
      </c>
      <c r="V3510" s="5" t="s">
        <v>17</v>
      </c>
      <c r="W3510" s="10">
        <v>10976355</v>
      </c>
      <c r="X3510" s="6"/>
      <c r="Y3510" s="6"/>
    </row>
    <row r="3511" spans="1:25" ht="15" customHeight="1" x14ac:dyDescent="0.2">
      <c r="A3511" s="88" t="s">
        <v>4173</v>
      </c>
      <c r="B3511" s="90"/>
      <c r="C3511" s="88" t="s">
        <v>4187</v>
      </c>
      <c r="D3511" s="90"/>
      <c r="E3511" s="106"/>
      <c r="F3511" s="107"/>
      <c r="G3511" s="107"/>
      <c r="H3511" s="107"/>
      <c r="I3511" s="108"/>
      <c r="J3511" s="88" t="s">
        <v>13</v>
      </c>
      <c r="K3511" s="89"/>
      <c r="L3511" s="89"/>
      <c r="M3511" s="90"/>
      <c r="N3511" s="88" t="s">
        <v>701</v>
      </c>
      <c r="O3511" s="89"/>
      <c r="P3511" s="90"/>
      <c r="Q3511" s="88" t="s">
        <v>4175</v>
      </c>
      <c r="R3511" s="90"/>
      <c r="S3511" s="5" t="s">
        <v>1539</v>
      </c>
      <c r="T3511" s="7">
        <v>2200</v>
      </c>
      <c r="U3511" s="8">
        <v>5</v>
      </c>
      <c r="V3511" s="5" t="s">
        <v>17</v>
      </c>
      <c r="W3511" s="9">
        <v>9076601</v>
      </c>
      <c r="X3511" s="6"/>
      <c r="Y3511" s="6"/>
    </row>
    <row r="3512" spans="1:25" ht="15" customHeight="1" x14ac:dyDescent="0.2">
      <c r="A3512" s="88" t="s">
        <v>4173</v>
      </c>
      <c r="B3512" s="90"/>
      <c r="C3512" s="88" t="s">
        <v>4188</v>
      </c>
      <c r="D3512" s="90"/>
      <c r="E3512" s="106"/>
      <c r="F3512" s="107"/>
      <c r="G3512" s="107"/>
      <c r="H3512" s="107"/>
      <c r="I3512" s="108"/>
      <c r="J3512" s="88" t="s">
        <v>13</v>
      </c>
      <c r="K3512" s="89"/>
      <c r="L3512" s="89"/>
      <c r="M3512" s="90"/>
      <c r="N3512" s="88" t="s">
        <v>701</v>
      </c>
      <c r="O3512" s="89"/>
      <c r="P3512" s="90"/>
      <c r="Q3512" s="88" t="s">
        <v>4189</v>
      </c>
      <c r="R3512" s="90"/>
      <c r="S3512" s="5" t="s">
        <v>44</v>
      </c>
      <c r="T3512" s="7">
        <v>2379</v>
      </c>
      <c r="U3512" s="8">
        <v>4</v>
      </c>
      <c r="V3512" s="5" t="s">
        <v>17</v>
      </c>
      <c r="W3512" s="9">
        <v>21108375</v>
      </c>
      <c r="X3512" s="6"/>
      <c r="Y3512" s="6"/>
    </row>
    <row r="3513" spans="1:25" ht="15" customHeight="1" x14ac:dyDescent="0.2">
      <c r="A3513" s="88" t="s">
        <v>4190</v>
      </c>
      <c r="B3513" s="90"/>
      <c r="C3513" s="88" t="s">
        <v>4191</v>
      </c>
      <c r="D3513" s="90"/>
      <c r="E3513" s="88" t="s">
        <v>4192</v>
      </c>
      <c r="F3513" s="89"/>
      <c r="G3513" s="89"/>
      <c r="H3513" s="89"/>
      <c r="I3513" s="90"/>
      <c r="J3513" s="88" t="s">
        <v>770</v>
      </c>
      <c r="K3513" s="89"/>
      <c r="L3513" s="89"/>
      <c r="M3513" s="90"/>
      <c r="N3513" s="88" t="s">
        <v>26</v>
      </c>
      <c r="O3513" s="89"/>
      <c r="P3513" s="90"/>
      <c r="Q3513" s="133">
        <v>1498</v>
      </c>
      <c r="R3513" s="134"/>
      <c r="S3513" s="5" t="s">
        <v>814</v>
      </c>
      <c r="T3513" s="8">
        <v>1700</v>
      </c>
      <c r="U3513" s="8">
        <v>5</v>
      </c>
      <c r="V3513" s="5" t="s">
        <v>23</v>
      </c>
      <c r="W3513" s="12">
        <v>2814536</v>
      </c>
      <c r="X3513" s="6"/>
      <c r="Y3513" s="6"/>
    </row>
    <row r="3514" spans="1:25" ht="15" customHeight="1" x14ac:dyDescent="0.2">
      <c r="A3514" s="88" t="s">
        <v>4190</v>
      </c>
      <c r="B3514" s="90"/>
      <c r="C3514" s="88" t="s">
        <v>4193</v>
      </c>
      <c r="D3514" s="90"/>
      <c r="E3514" s="88" t="s">
        <v>4194</v>
      </c>
      <c r="F3514" s="89"/>
      <c r="G3514" s="89"/>
      <c r="H3514" s="89"/>
      <c r="I3514" s="90"/>
      <c r="J3514" s="88" t="s">
        <v>770</v>
      </c>
      <c r="K3514" s="89"/>
      <c r="L3514" s="89"/>
      <c r="M3514" s="90"/>
      <c r="N3514" s="88" t="s">
        <v>26</v>
      </c>
      <c r="O3514" s="89"/>
      <c r="P3514" s="90"/>
      <c r="Q3514" s="133">
        <v>0</v>
      </c>
      <c r="R3514" s="134"/>
      <c r="S3514" s="5" t="s">
        <v>16</v>
      </c>
      <c r="T3514" s="8">
        <v>2195</v>
      </c>
      <c r="U3514" s="8">
        <v>5</v>
      </c>
      <c r="V3514" s="5" t="s">
        <v>17</v>
      </c>
      <c r="W3514" s="12">
        <v>8284375</v>
      </c>
      <c r="X3514" s="6"/>
      <c r="Y3514" s="6"/>
    </row>
    <row r="3515" spans="1:25" ht="15" customHeight="1" x14ac:dyDescent="0.2">
      <c r="A3515" s="88" t="s">
        <v>4190</v>
      </c>
      <c r="B3515" s="90"/>
      <c r="C3515" s="88" t="s">
        <v>4195</v>
      </c>
      <c r="D3515" s="90"/>
      <c r="E3515" s="88" t="s">
        <v>4194</v>
      </c>
      <c r="F3515" s="89"/>
      <c r="G3515" s="89"/>
      <c r="H3515" s="89"/>
      <c r="I3515" s="90"/>
      <c r="J3515" s="88" t="s">
        <v>770</v>
      </c>
      <c r="K3515" s="89"/>
      <c r="L3515" s="89"/>
      <c r="M3515" s="90"/>
      <c r="N3515" s="88" t="s">
        <v>26</v>
      </c>
      <c r="O3515" s="89"/>
      <c r="P3515" s="90"/>
      <c r="Q3515" s="133">
        <v>0</v>
      </c>
      <c r="R3515" s="134"/>
      <c r="S3515" s="5" t="s">
        <v>16</v>
      </c>
      <c r="T3515" s="8">
        <v>2485</v>
      </c>
      <c r="U3515" s="8">
        <v>5</v>
      </c>
      <c r="V3515" s="5" t="s">
        <v>17</v>
      </c>
      <c r="W3515" s="12">
        <v>13222877</v>
      </c>
      <c r="X3515" s="6"/>
      <c r="Y3515" s="6"/>
    </row>
    <row r="3516" spans="1:25" ht="15" customHeight="1" x14ac:dyDescent="0.2">
      <c r="A3516" s="88" t="s">
        <v>4190</v>
      </c>
      <c r="B3516" s="90"/>
      <c r="C3516" s="88" t="s">
        <v>4196</v>
      </c>
      <c r="D3516" s="90"/>
      <c r="E3516" s="88" t="s">
        <v>4197</v>
      </c>
      <c r="F3516" s="89"/>
      <c r="G3516" s="89"/>
      <c r="H3516" s="89"/>
      <c r="I3516" s="90"/>
      <c r="J3516" s="88" t="s">
        <v>3559</v>
      </c>
      <c r="K3516" s="89"/>
      <c r="L3516" s="89"/>
      <c r="M3516" s="90"/>
      <c r="N3516" s="88" t="s">
        <v>22</v>
      </c>
      <c r="O3516" s="89"/>
      <c r="P3516" s="90"/>
      <c r="Q3516" s="133">
        <v>2999</v>
      </c>
      <c r="R3516" s="134"/>
      <c r="S3516" s="5" t="s">
        <v>945</v>
      </c>
      <c r="T3516" s="8">
        <v>3915</v>
      </c>
      <c r="U3516" s="8">
        <v>3</v>
      </c>
      <c r="V3516" s="5" t="s">
        <v>106</v>
      </c>
      <c r="W3516" s="12">
        <v>6571051</v>
      </c>
      <c r="X3516" s="6"/>
      <c r="Y3516" s="6"/>
    </row>
    <row r="3517" spans="1:25" ht="15" customHeight="1" x14ac:dyDescent="0.2">
      <c r="A3517" s="88" t="s">
        <v>4190</v>
      </c>
      <c r="B3517" s="90"/>
      <c r="C3517" s="88" t="s">
        <v>4196</v>
      </c>
      <c r="D3517" s="90"/>
      <c r="E3517" s="88" t="s">
        <v>4198</v>
      </c>
      <c r="F3517" s="89"/>
      <c r="G3517" s="89"/>
      <c r="H3517" s="89"/>
      <c r="I3517" s="90"/>
      <c r="J3517" s="88" t="s">
        <v>3412</v>
      </c>
      <c r="K3517" s="89"/>
      <c r="L3517" s="89"/>
      <c r="M3517" s="90"/>
      <c r="N3517" s="88" t="s">
        <v>22</v>
      </c>
      <c r="O3517" s="89"/>
      <c r="P3517" s="90"/>
      <c r="Q3517" s="133">
        <v>2999</v>
      </c>
      <c r="R3517" s="134"/>
      <c r="S3517" s="5" t="s">
        <v>945</v>
      </c>
      <c r="T3517" s="8">
        <v>4520</v>
      </c>
      <c r="U3517" s="8">
        <v>5</v>
      </c>
      <c r="V3517" s="5" t="s">
        <v>106</v>
      </c>
      <c r="W3517" s="12">
        <v>7110953</v>
      </c>
      <c r="X3517" s="6"/>
      <c r="Y3517" s="6"/>
    </row>
    <row r="3518" spans="1:25" ht="15" customHeight="1" x14ac:dyDescent="0.2">
      <c r="A3518" s="88" t="s">
        <v>4190</v>
      </c>
      <c r="B3518" s="90"/>
      <c r="C3518" s="88" t="s">
        <v>4199</v>
      </c>
      <c r="D3518" s="90"/>
      <c r="E3518" s="88" t="s">
        <v>4198</v>
      </c>
      <c r="F3518" s="89"/>
      <c r="G3518" s="89"/>
      <c r="H3518" s="89"/>
      <c r="I3518" s="90"/>
      <c r="J3518" s="88" t="s">
        <v>3412</v>
      </c>
      <c r="K3518" s="89"/>
      <c r="L3518" s="89"/>
      <c r="M3518" s="90"/>
      <c r="N3518" s="88" t="s">
        <v>22</v>
      </c>
      <c r="O3518" s="89"/>
      <c r="P3518" s="90"/>
      <c r="Q3518" s="133">
        <v>2999</v>
      </c>
      <c r="R3518" s="134"/>
      <c r="S3518" s="5" t="s">
        <v>945</v>
      </c>
      <c r="T3518" s="8">
        <v>4520</v>
      </c>
      <c r="U3518" s="8">
        <v>6</v>
      </c>
      <c r="V3518" s="5" t="s">
        <v>106</v>
      </c>
      <c r="W3518" s="12">
        <v>7407243</v>
      </c>
      <c r="X3518" s="6"/>
      <c r="Y3518" s="6"/>
    </row>
    <row r="3519" spans="1:25" ht="15" customHeight="1" x14ac:dyDescent="0.2">
      <c r="A3519" s="88" t="s">
        <v>4190</v>
      </c>
      <c r="B3519" s="90"/>
      <c r="C3519" s="88" t="s">
        <v>4200</v>
      </c>
      <c r="D3519" s="90"/>
      <c r="E3519" s="88" t="s">
        <v>4197</v>
      </c>
      <c r="F3519" s="89"/>
      <c r="G3519" s="89"/>
      <c r="H3519" s="89"/>
      <c r="I3519" s="90"/>
      <c r="J3519" s="88" t="s">
        <v>3559</v>
      </c>
      <c r="K3519" s="89"/>
      <c r="L3519" s="89"/>
      <c r="M3519" s="90"/>
      <c r="N3519" s="88" t="s">
        <v>26</v>
      </c>
      <c r="O3519" s="89"/>
      <c r="P3519" s="90"/>
      <c r="Q3519" s="133">
        <v>2999</v>
      </c>
      <c r="R3519" s="134"/>
      <c r="S3519" s="5" t="s">
        <v>945</v>
      </c>
      <c r="T3519" s="8">
        <v>3915</v>
      </c>
      <c r="U3519" s="8">
        <v>3</v>
      </c>
      <c r="V3519" s="5" t="s">
        <v>106</v>
      </c>
      <c r="W3519" s="12">
        <v>6844845</v>
      </c>
      <c r="X3519" s="6"/>
      <c r="Y3519" s="6"/>
    </row>
    <row r="3520" spans="1:25" ht="15" customHeight="1" x14ac:dyDescent="0.2">
      <c r="A3520" s="88" t="s">
        <v>4190</v>
      </c>
      <c r="B3520" s="90"/>
      <c r="C3520" s="88" t="s">
        <v>4201</v>
      </c>
      <c r="D3520" s="90"/>
      <c r="E3520" s="88" t="s">
        <v>4202</v>
      </c>
      <c r="F3520" s="89"/>
      <c r="G3520" s="89"/>
      <c r="H3520" s="89"/>
      <c r="I3520" s="90"/>
      <c r="J3520" s="88" t="s">
        <v>2258</v>
      </c>
      <c r="K3520" s="89"/>
      <c r="L3520" s="89"/>
      <c r="M3520" s="90"/>
      <c r="N3520" s="88" t="s">
        <v>22</v>
      </c>
      <c r="O3520" s="89"/>
      <c r="P3520" s="90"/>
      <c r="Q3520" s="133">
        <v>1998</v>
      </c>
      <c r="R3520" s="134"/>
      <c r="S3520" s="5" t="s">
        <v>945</v>
      </c>
      <c r="T3520" s="8">
        <v>3270</v>
      </c>
      <c r="U3520" s="8">
        <v>6</v>
      </c>
      <c r="V3520" s="5" t="s">
        <v>23</v>
      </c>
      <c r="W3520" s="12">
        <v>4211003</v>
      </c>
      <c r="X3520" s="6"/>
      <c r="Y3520" s="6"/>
    </row>
    <row r="3521" spans="1:25" ht="15" customHeight="1" x14ac:dyDescent="0.2">
      <c r="A3521" s="88" t="s">
        <v>4190</v>
      </c>
      <c r="B3521" s="90"/>
      <c r="C3521" s="88" t="s">
        <v>4203</v>
      </c>
      <c r="D3521" s="90"/>
      <c r="E3521" s="88" t="s">
        <v>4202</v>
      </c>
      <c r="F3521" s="89"/>
      <c r="G3521" s="89"/>
      <c r="H3521" s="89"/>
      <c r="I3521" s="90"/>
      <c r="J3521" s="88" t="s">
        <v>3412</v>
      </c>
      <c r="K3521" s="89"/>
      <c r="L3521" s="89"/>
      <c r="M3521" s="90"/>
      <c r="N3521" s="88" t="s">
        <v>22</v>
      </c>
      <c r="O3521" s="89"/>
      <c r="P3521" s="90"/>
      <c r="Q3521" s="133">
        <v>1998</v>
      </c>
      <c r="R3521" s="134"/>
      <c r="S3521" s="5" t="s">
        <v>945</v>
      </c>
      <c r="T3521" s="8">
        <v>3270</v>
      </c>
      <c r="U3521" s="8">
        <v>3</v>
      </c>
      <c r="V3521" s="5" t="s">
        <v>23</v>
      </c>
      <c r="W3521" s="12">
        <v>4042563</v>
      </c>
      <c r="X3521" s="6"/>
      <c r="Y3521" s="6"/>
    </row>
    <row r="3522" spans="1:25" ht="15" customHeight="1" x14ac:dyDescent="0.2">
      <c r="A3522" s="88" t="s">
        <v>4190</v>
      </c>
      <c r="B3522" s="90"/>
      <c r="C3522" s="88" t="s">
        <v>4204</v>
      </c>
      <c r="D3522" s="90"/>
      <c r="E3522" s="88" t="s">
        <v>4202</v>
      </c>
      <c r="F3522" s="89"/>
      <c r="G3522" s="89"/>
      <c r="H3522" s="89"/>
      <c r="I3522" s="90"/>
      <c r="J3522" s="88" t="s">
        <v>2258</v>
      </c>
      <c r="K3522" s="89"/>
      <c r="L3522" s="89"/>
      <c r="M3522" s="90"/>
      <c r="N3522" s="88" t="s">
        <v>26</v>
      </c>
      <c r="O3522" s="89"/>
      <c r="P3522" s="90"/>
      <c r="Q3522" s="133">
        <v>1998</v>
      </c>
      <c r="R3522" s="134"/>
      <c r="S3522" s="5" t="s">
        <v>945</v>
      </c>
      <c r="T3522" s="8">
        <v>3270</v>
      </c>
      <c r="U3522" s="8">
        <v>6</v>
      </c>
      <c r="V3522" s="5" t="s">
        <v>106</v>
      </c>
      <c r="W3522" s="12">
        <v>4211003</v>
      </c>
      <c r="X3522" s="6"/>
      <c r="Y3522" s="6"/>
    </row>
    <row r="3523" spans="1:25" ht="15" customHeight="1" x14ac:dyDescent="0.2">
      <c r="A3523" s="88" t="s">
        <v>4190</v>
      </c>
      <c r="B3523" s="90"/>
      <c r="C3523" s="88" t="s">
        <v>4205</v>
      </c>
      <c r="D3523" s="90"/>
      <c r="E3523" s="88" t="s">
        <v>4206</v>
      </c>
      <c r="F3523" s="89"/>
      <c r="G3523" s="89"/>
      <c r="H3523" s="89"/>
      <c r="I3523" s="90"/>
      <c r="J3523" s="88" t="s">
        <v>770</v>
      </c>
      <c r="K3523" s="89"/>
      <c r="L3523" s="89"/>
      <c r="M3523" s="90"/>
      <c r="N3523" s="88" t="s">
        <v>26</v>
      </c>
      <c r="O3523" s="89"/>
      <c r="P3523" s="90"/>
      <c r="Q3523" s="133">
        <v>1198</v>
      </c>
      <c r="R3523" s="134"/>
      <c r="S3523" s="5" t="s">
        <v>27</v>
      </c>
      <c r="T3523" s="8">
        <v>1535</v>
      </c>
      <c r="U3523" s="8">
        <v>5</v>
      </c>
      <c r="V3523" s="5" t="s">
        <v>23</v>
      </c>
      <c r="W3523" s="12">
        <v>4590681</v>
      </c>
      <c r="X3523" s="6"/>
      <c r="Y3523" s="6"/>
    </row>
    <row r="3524" spans="1:25" ht="15" customHeight="1" x14ac:dyDescent="0.2">
      <c r="A3524" s="88" t="s">
        <v>4190</v>
      </c>
      <c r="B3524" s="90"/>
      <c r="C3524" s="88" t="s">
        <v>4207</v>
      </c>
      <c r="D3524" s="90"/>
      <c r="E3524" s="88" t="s">
        <v>4206</v>
      </c>
      <c r="F3524" s="89"/>
      <c r="G3524" s="89"/>
      <c r="H3524" s="89"/>
      <c r="I3524" s="90"/>
      <c r="J3524" s="88" t="s">
        <v>770</v>
      </c>
      <c r="K3524" s="89"/>
      <c r="L3524" s="89"/>
      <c r="M3524" s="90"/>
      <c r="N3524" s="88" t="s">
        <v>26</v>
      </c>
      <c r="O3524" s="89"/>
      <c r="P3524" s="90"/>
      <c r="Q3524" s="133">
        <v>1198</v>
      </c>
      <c r="R3524" s="134"/>
      <c r="S3524" s="5" t="s">
        <v>27</v>
      </c>
      <c r="T3524" s="8">
        <v>1535</v>
      </c>
      <c r="U3524" s="8">
        <v>5</v>
      </c>
      <c r="V3524" s="5" t="s">
        <v>23</v>
      </c>
      <c r="W3524" s="12">
        <v>4666301</v>
      </c>
      <c r="X3524" s="6"/>
      <c r="Y3524" s="6"/>
    </row>
    <row r="3525" spans="1:25" ht="15" customHeight="1" x14ac:dyDescent="0.2">
      <c r="A3525" s="88" t="s">
        <v>4190</v>
      </c>
      <c r="B3525" s="90"/>
      <c r="C3525" s="88" t="s">
        <v>4208</v>
      </c>
      <c r="D3525" s="90"/>
      <c r="E3525" s="88" t="s">
        <v>4209</v>
      </c>
      <c r="F3525" s="89"/>
      <c r="G3525" s="89"/>
      <c r="H3525" s="89"/>
      <c r="I3525" s="90"/>
      <c r="J3525" s="88" t="s">
        <v>770</v>
      </c>
      <c r="K3525" s="89"/>
      <c r="L3525" s="89"/>
      <c r="M3525" s="90"/>
      <c r="N3525" s="88" t="s">
        <v>26</v>
      </c>
      <c r="O3525" s="89"/>
      <c r="P3525" s="90"/>
      <c r="Q3525" s="133">
        <v>2488</v>
      </c>
      <c r="R3525" s="134"/>
      <c r="S3525" s="5" t="s">
        <v>814</v>
      </c>
      <c r="T3525" s="8">
        <v>2800</v>
      </c>
      <c r="U3525" s="8">
        <v>10</v>
      </c>
      <c r="V3525" s="5" t="s">
        <v>23</v>
      </c>
      <c r="W3525" s="12">
        <v>7080633</v>
      </c>
      <c r="X3525" s="6"/>
      <c r="Y3525" s="6"/>
    </row>
    <row r="3526" spans="1:25" ht="15" customHeight="1" x14ac:dyDescent="0.2">
      <c r="A3526" s="88" t="s">
        <v>4190</v>
      </c>
      <c r="B3526" s="90"/>
      <c r="C3526" s="88" t="s">
        <v>4208</v>
      </c>
      <c r="D3526" s="90"/>
      <c r="E3526" s="88" t="s">
        <v>4210</v>
      </c>
      <c r="F3526" s="89"/>
      <c r="G3526" s="89"/>
      <c r="H3526" s="89"/>
      <c r="I3526" s="90"/>
      <c r="J3526" s="88" t="s">
        <v>4211</v>
      </c>
      <c r="K3526" s="89"/>
      <c r="L3526" s="89"/>
      <c r="M3526" s="90"/>
      <c r="N3526" s="88" t="s">
        <v>26</v>
      </c>
      <c r="O3526" s="89"/>
      <c r="P3526" s="90"/>
      <c r="Q3526" s="133">
        <v>2488</v>
      </c>
      <c r="R3526" s="134"/>
      <c r="S3526" s="5" t="s">
        <v>814</v>
      </c>
      <c r="T3526" s="8">
        <v>2650</v>
      </c>
      <c r="U3526" s="8">
        <v>10</v>
      </c>
      <c r="V3526" s="5" t="s">
        <v>23</v>
      </c>
      <c r="W3526" s="12">
        <v>6379737</v>
      </c>
      <c r="X3526" s="6"/>
      <c r="Y3526" s="6"/>
    </row>
    <row r="3527" spans="1:25" ht="15" customHeight="1" x14ac:dyDescent="0.2">
      <c r="A3527" s="88" t="s">
        <v>4190</v>
      </c>
      <c r="B3527" s="90"/>
      <c r="C3527" s="88" t="s">
        <v>4208</v>
      </c>
      <c r="D3527" s="90"/>
      <c r="E3527" s="88" t="s">
        <v>4212</v>
      </c>
      <c r="F3527" s="89"/>
      <c r="G3527" s="89"/>
      <c r="H3527" s="89"/>
      <c r="I3527" s="90"/>
      <c r="J3527" s="88" t="s">
        <v>4211</v>
      </c>
      <c r="K3527" s="89"/>
      <c r="L3527" s="89"/>
      <c r="M3527" s="90"/>
      <c r="N3527" s="88" t="s">
        <v>26</v>
      </c>
      <c r="O3527" s="89"/>
      <c r="P3527" s="90"/>
      <c r="Q3527" s="133">
        <v>2488</v>
      </c>
      <c r="R3527" s="134"/>
      <c r="S3527" s="5" t="s">
        <v>814</v>
      </c>
      <c r="T3527" s="8">
        <v>2800</v>
      </c>
      <c r="U3527" s="8">
        <v>10</v>
      </c>
      <c r="V3527" s="5" t="s">
        <v>23</v>
      </c>
      <c r="W3527" s="12">
        <v>6549253</v>
      </c>
      <c r="X3527" s="6"/>
      <c r="Y3527" s="6"/>
    </row>
    <row r="3528" spans="1:25" ht="15" customHeight="1" x14ac:dyDescent="0.2">
      <c r="A3528" s="88" t="s">
        <v>4190</v>
      </c>
      <c r="B3528" s="90"/>
      <c r="C3528" s="88" t="s">
        <v>4208</v>
      </c>
      <c r="D3528" s="90"/>
      <c r="E3528" s="88" t="s">
        <v>4213</v>
      </c>
      <c r="F3528" s="89"/>
      <c r="G3528" s="89"/>
      <c r="H3528" s="89"/>
      <c r="I3528" s="90"/>
      <c r="J3528" s="88" t="s">
        <v>4211</v>
      </c>
      <c r="K3528" s="89"/>
      <c r="L3528" s="89"/>
      <c r="M3528" s="90"/>
      <c r="N3528" s="88" t="s">
        <v>26</v>
      </c>
      <c r="O3528" s="89"/>
      <c r="P3528" s="90"/>
      <c r="Q3528" s="133">
        <v>1998</v>
      </c>
      <c r="R3528" s="134"/>
      <c r="S3528" s="5" t="s">
        <v>814</v>
      </c>
      <c r="T3528" s="8">
        <v>3185</v>
      </c>
      <c r="U3528" s="8">
        <v>6</v>
      </c>
      <c r="V3528" s="5" t="s">
        <v>23</v>
      </c>
      <c r="W3528" s="12">
        <v>5779082</v>
      </c>
      <c r="X3528" s="6"/>
      <c r="Y3528" s="6"/>
    </row>
    <row r="3529" spans="1:25" ht="15" customHeight="1" x14ac:dyDescent="0.2">
      <c r="A3529" s="88" t="s">
        <v>4190</v>
      </c>
      <c r="B3529" s="90"/>
      <c r="C3529" s="88" t="s">
        <v>4214</v>
      </c>
      <c r="D3529" s="90"/>
      <c r="E3529" s="88" t="s">
        <v>4212</v>
      </c>
      <c r="F3529" s="89"/>
      <c r="G3529" s="89"/>
      <c r="H3529" s="89"/>
      <c r="I3529" s="90"/>
      <c r="J3529" s="88" t="s">
        <v>4211</v>
      </c>
      <c r="K3529" s="89"/>
      <c r="L3529" s="89"/>
      <c r="M3529" s="90"/>
      <c r="N3529" s="88" t="s">
        <v>26</v>
      </c>
      <c r="O3529" s="89"/>
      <c r="P3529" s="90"/>
      <c r="Q3529" s="133">
        <v>2488</v>
      </c>
      <c r="R3529" s="134"/>
      <c r="S3529" s="5" t="s">
        <v>814</v>
      </c>
      <c r="T3529" s="8">
        <v>2800</v>
      </c>
      <c r="U3529" s="8">
        <v>10</v>
      </c>
      <c r="V3529" s="5" t="s">
        <v>23</v>
      </c>
      <c r="W3529" s="12">
        <v>7029982</v>
      </c>
      <c r="X3529" s="6"/>
      <c r="Y3529" s="6"/>
    </row>
    <row r="3530" spans="1:25" ht="15" customHeight="1" x14ac:dyDescent="0.2">
      <c r="A3530" s="88" t="s">
        <v>4190</v>
      </c>
      <c r="B3530" s="90"/>
      <c r="C3530" s="88" t="s">
        <v>4215</v>
      </c>
      <c r="D3530" s="90"/>
      <c r="E3530" s="88" t="s">
        <v>4216</v>
      </c>
      <c r="F3530" s="89"/>
      <c r="G3530" s="89"/>
      <c r="H3530" s="89"/>
      <c r="I3530" s="90"/>
      <c r="J3530" s="88" t="s">
        <v>4211</v>
      </c>
      <c r="K3530" s="89"/>
      <c r="L3530" s="89"/>
      <c r="M3530" s="90"/>
      <c r="N3530" s="88" t="s">
        <v>26</v>
      </c>
      <c r="O3530" s="89"/>
      <c r="P3530" s="90"/>
      <c r="Q3530" s="133">
        <v>2488</v>
      </c>
      <c r="R3530" s="134"/>
      <c r="S3530" s="5" t="s">
        <v>814</v>
      </c>
      <c r="T3530" s="8">
        <v>2410</v>
      </c>
      <c r="U3530" s="8">
        <v>14</v>
      </c>
      <c r="V3530" s="5" t="s">
        <v>23</v>
      </c>
      <c r="W3530" s="12">
        <v>6872266</v>
      </c>
      <c r="X3530" s="6"/>
      <c r="Y3530" s="6"/>
    </row>
    <row r="3531" spans="1:25" ht="30" customHeight="1" x14ac:dyDescent="0.2">
      <c r="A3531" s="88" t="s">
        <v>4190</v>
      </c>
      <c r="B3531" s="90"/>
      <c r="C3531" s="97" t="s">
        <v>4217</v>
      </c>
      <c r="D3531" s="99"/>
      <c r="E3531" s="88" t="s">
        <v>4216</v>
      </c>
      <c r="F3531" s="89"/>
      <c r="G3531" s="89"/>
      <c r="H3531" s="89"/>
      <c r="I3531" s="90"/>
      <c r="J3531" s="88" t="s">
        <v>4211</v>
      </c>
      <c r="K3531" s="89"/>
      <c r="L3531" s="89"/>
      <c r="M3531" s="90"/>
      <c r="N3531" s="88" t="s">
        <v>26</v>
      </c>
      <c r="O3531" s="89"/>
      <c r="P3531" s="90"/>
      <c r="Q3531" s="133">
        <v>2488</v>
      </c>
      <c r="R3531" s="134"/>
      <c r="S3531" s="5" t="s">
        <v>814</v>
      </c>
      <c r="T3531" s="8">
        <v>2410</v>
      </c>
      <c r="U3531" s="8">
        <v>13</v>
      </c>
      <c r="V3531" s="5" t="s">
        <v>23</v>
      </c>
      <c r="W3531" s="12">
        <v>6772362</v>
      </c>
      <c r="X3531" s="4"/>
      <c r="Y3531" s="4"/>
    </row>
    <row r="3532" spans="1:25" ht="15" customHeight="1" x14ac:dyDescent="0.2">
      <c r="A3532" s="88" t="s">
        <v>4190</v>
      </c>
      <c r="B3532" s="90"/>
      <c r="C3532" s="88" t="s">
        <v>4218</v>
      </c>
      <c r="D3532" s="90"/>
      <c r="E3532" s="88" t="s">
        <v>4213</v>
      </c>
      <c r="F3532" s="89"/>
      <c r="G3532" s="89"/>
      <c r="H3532" s="89"/>
      <c r="I3532" s="90"/>
      <c r="J3532" s="88" t="s">
        <v>4211</v>
      </c>
      <c r="K3532" s="89"/>
      <c r="L3532" s="89"/>
      <c r="M3532" s="90"/>
      <c r="N3532" s="88" t="s">
        <v>26</v>
      </c>
      <c r="O3532" s="89"/>
      <c r="P3532" s="90"/>
      <c r="Q3532" s="133">
        <v>1998</v>
      </c>
      <c r="R3532" s="134"/>
      <c r="S3532" s="5" t="s">
        <v>814</v>
      </c>
      <c r="T3532" s="8">
        <v>2990</v>
      </c>
      <c r="U3532" s="8">
        <v>5</v>
      </c>
      <c r="V3532" s="5" t="s">
        <v>23</v>
      </c>
      <c r="W3532" s="12">
        <v>6874187</v>
      </c>
      <c r="X3532" s="6"/>
      <c r="Y3532" s="6"/>
    </row>
    <row r="3533" spans="1:25" ht="15" customHeight="1" x14ac:dyDescent="0.2">
      <c r="A3533" s="88" t="s">
        <v>4190</v>
      </c>
      <c r="B3533" s="90"/>
      <c r="C3533" s="88" t="s">
        <v>4219</v>
      </c>
      <c r="D3533" s="90"/>
      <c r="E3533" s="88" t="s">
        <v>4213</v>
      </c>
      <c r="F3533" s="89"/>
      <c r="G3533" s="89"/>
      <c r="H3533" s="89"/>
      <c r="I3533" s="90"/>
      <c r="J3533" s="88" t="s">
        <v>4211</v>
      </c>
      <c r="K3533" s="89"/>
      <c r="L3533" s="89"/>
      <c r="M3533" s="90"/>
      <c r="N3533" s="88" t="s">
        <v>26</v>
      </c>
      <c r="O3533" s="89"/>
      <c r="P3533" s="90"/>
      <c r="Q3533" s="133">
        <v>1998</v>
      </c>
      <c r="R3533" s="134"/>
      <c r="S3533" s="5" t="s">
        <v>814</v>
      </c>
      <c r="T3533" s="8">
        <v>3010</v>
      </c>
      <c r="U3533" s="8">
        <v>5</v>
      </c>
      <c r="V3533" s="5" t="s">
        <v>23</v>
      </c>
      <c r="W3533" s="12">
        <v>7024044</v>
      </c>
      <c r="X3533" s="6"/>
      <c r="Y3533" s="6"/>
    </row>
    <row r="3534" spans="1:25" ht="15" customHeight="1" x14ac:dyDescent="0.2">
      <c r="A3534" s="88" t="s">
        <v>4190</v>
      </c>
      <c r="B3534" s="90"/>
      <c r="C3534" s="88" t="s">
        <v>4220</v>
      </c>
      <c r="D3534" s="90"/>
      <c r="E3534" s="88" t="s">
        <v>4213</v>
      </c>
      <c r="F3534" s="89"/>
      <c r="G3534" s="89"/>
      <c r="H3534" s="89"/>
      <c r="I3534" s="90"/>
      <c r="J3534" s="88" t="s">
        <v>4221</v>
      </c>
      <c r="K3534" s="89"/>
      <c r="L3534" s="89"/>
      <c r="M3534" s="90"/>
      <c r="N3534" s="88" t="s">
        <v>26</v>
      </c>
      <c r="O3534" s="89"/>
      <c r="P3534" s="90"/>
      <c r="Q3534" s="133">
        <v>1998</v>
      </c>
      <c r="R3534" s="134"/>
      <c r="S3534" s="5" t="s">
        <v>814</v>
      </c>
      <c r="T3534" s="8">
        <v>2930</v>
      </c>
      <c r="U3534" s="8">
        <v>5</v>
      </c>
      <c r="V3534" s="5" t="s">
        <v>23</v>
      </c>
      <c r="W3534" s="12">
        <v>5316064</v>
      </c>
      <c r="X3534" s="6"/>
      <c r="Y3534" s="6"/>
    </row>
    <row r="3535" spans="1:25" ht="15" customHeight="1" x14ac:dyDescent="0.2">
      <c r="A3535" s="88" t="s">
        <v>4190</v>
      </c>
      <c r="B3535" s="90"/>
      <c r="C3535" s="88" t="s">
        <v>4220</v>
      </c>
      <c r="D3535" s="90"/>
      <c r="E3535" s="88" t="s">
        <v>4213</v>
      </c>
      <c r="F3535" s="89"/>
      <c r="G3535" s="89"/>
      <c r="H3535" s="89"/>
      <c r="I3535" s="90"/>
      <c r="J3535" s="88" t="s">
        <v>4211</v>
      </c>
      <c r="K3535" s="89"/>
      <c r="L3535" s="89"/>
      <c r="M3535" s="90"/>
      <c r="N3535" s="88" t="s">
        <v>26</v>
      </c>
      <c r="O3535" s="89"/>
      <c r="P3535" s="90"/>
      <c r="Q3535" s="133">
        <v>1998</v>
      </c>
      <c r="R3535" s="134"/>
      <c r="S3535" s="5" t="s">
        <v>814</v>
      </c>
      <c r="T3535" s="8">
        <v>2930</v>
      </c>
      <c r="U3535" s="8">
        <v>5</v>
      </c>
      <c r="V3535" s="5" t="s">
        <v>23</v>
      </c>
      <c r="W3535" s="12">
        <v>5175813</v>
      </c>
      <c r="X3535" s="6"/>
      <c r="Y3535" s="6"/>
    </row>
    <row r="3536" spans="1:25" ht="15" customHeight="1" x14ac:dyDescent="0.2">
      <c r="A3536" s="88" t="s">
        <v>4190</v>
      </c>
      <c r="B3536" s="90"/>
      <c r="C3536" s="88" t="s">
        <v>4220</v>
      </c>
      <c r="D3536" s="90"/>
      <c r="E3536" s="88" t="s">
        <v>4210</v>
      </c>
      <c r="F3536" s="89"/>
      <c r="G3536" s="89"/>
      <c r="H3536" s="89"/>
      <c r="I3536" s="90"/>
      <c r="J3536" s="88" t="s">
        <v>4211</v>
      </c>
      <c r="K3536" s="89"/>
      <c r="L3536" s="89"/>
      <c r="M3536" s="90"/>
      <c r="N3536" s="88" t="s">
        <v>26</v>
      </c>
      <c r="O3536" s="89"/>
      <c r="P3536" s="90"/>
      <c r="Q3536" s="133">
        <v>2488</v>
      </c>
      <c r="R3536" s="134"/>
      <c r="S3536" s="5" t="s">
        <v>814</v>
      </c>
      <c r="T3536" s="8">
        <v>2460</v>
      </c>
      <c r="U3536" s="8">
        <v>10</v>
      </c>
      <c r="V3536" s="5" t="s">
        <v>23</v>
      </c>
      <c r="W3536" s="12">
        <v>6651324</v>
      </c>
      <c r="X3536" s="6"/>
      <c r="Y3536" s="6"/>
    </row>
    <row r="3537" spans="1:25" ht="15" customHeight="1" x14ac:dyDescent="0.2">
      <c r="A3537" s="88" t="s">
        <v>4190</v>
      </c>
      <c r="B3537" s="90"/>
      <c r="C3537" s="88" t="s">
        <v>4222</v>
      </c>
      <c r="D3537" s="90"/>
      <c r="E3537" s="88" t="s">
        <v>4213</v>
      </c>
      <c r="F3537" s="89"/>
      <c r="G3537" s="89"/>
      <c r="H3537" s="89"/>
      <c r="I3537" s="90"/>
      <c r="J3537" s="88" t="s">
        <v>4211</v>
      </c>
      <c r="K3537" s="89"/>
      <c r="L3537" s="89"/>
      <c r="M3537" s="90"/>
      <c r="N3537" s="88" t="s">
        <v>26</v>
      </c>
      <c r="O3537" s="89"/>
      <c r="P3537" s="90"/>
      <c r="Q3537" s="133">
        <v>1998</v>
      </c>
      <c r="R3537" s="134"/>
      <c r="S3537" s="5" t="s">
        <v>814</v>
      </c>
      <c r="T3537" s="8">
        <v>3265</v>
      </c>
      <c r="U3537" s="8">
        <v>3</v>
      </c>
      <c r="V3537" s="5" t="s">
        <v>23</v>
      </c>
      <c r="W3537" s="12">
        <v>7120105</v>
      </c>
      <c r="X3537" s="6"/>
      <c r="Y3537" s="6"/>
    </row>
    <row r="3538" spans="1:25" ht="15" customHeight="1" x14ac:dyDescent="0.2">
      <c r="A3538" s="88" t="s">
        <v>4190</v>
      </c>
      <c r="B3538" s="90"/>
      <c r="C3538" s="88" t="s">
        <v>4223</v>
      </c>
      <c r="D3538" s="90"/>
      <c r="E3538" s="88" t="s">
        <v>4213</v>
      </c>
      <c r="F3538" s="89"/>
      <c r="G3538" s="89"/>
      <c r="H3538" s="89"/>
      <c r="I3538" s="90"/>
      <c r="J3538" s="88" t="s">
        <v>4211</v>
      </c>
      <c r="K3538" s="89"/>
      <c r="L3538" s="89"/>
      <c r="M3538" s="90"/>
      <c r="N3538" s="88" t="s">
        <v>26</v>
      </c>
      <c r="O3538" s="89"/>
      <c r="P3538" s="90"/>
      <c r="Q3538" s="133">
        <v>1998</v>
      </c>
      <c r="R3538" s="134"/>
      <c r="S3538" s="5" t="s">
        <v>814</v>
      </c>
      <c r="T3538" s="8">
        <v>3265</v>
      </c>
      <c r="U3538" s="8">
        <v>3</v>
      </c>
      <c r="V3538" s="5" t="s">
        <v>23</v>
      </c>
      <c r="W3538" s="12">
        <v>6749307</v>
      </c>
      <c r="X3538" s="6"/>
      <c r="Y3538" s="6"/>
    </row>
    <row r="3539" spans="1:25" ht="15" customHeight="1" x14ac:dyDescent="0.2">
      <c r="A3539" s="88" t="s">
        <v>4190</v>
      </c>
      <c r="B3539" s="90"/>
      <c r="C3539" s="88" t="s">
        <v>4224</v>
      </c>
      <c r="D3539" s="90"/>
      <c r="E3539" s="88" t="s">
        <v>4210</v>
      </c>
      <c r="F3539" s="89"/>
      <c r="G3539" s="89"/>
      <c r="H3539" s="89"/>
      <c r="I3539" s="90"/>
      <c r="J3539" s="88" t="s">
        <v>4211</v>
      </c>
      <c r="K3539" s="89"/>
      <c r="L3539" s="89"/>
      <c r="M3539" s="90"/>
      <c r="N3539" s="88" t="s">
        <v>26</v>
      </c>
      <c r="O3539" s="89"/>
      <c r="P3539" s="90"/>
      <c r="Q3539" s="133">
        <v>2488</v>
      </c>
      <c r="R3539" s="134"/>
      <c r="S3539" s="5" t="s">
        <v>814</v>
      </c>
      <c r="T3539" s="8">
        <v>2650</v>
      </c>
      <c r="U3539" s="8">
        <v>10</v>
      </c>
      <c r="V3539" s="5" t="s">
        <v>23</v>
      </c>
      <c r="W3539" s="12">
        <v>6760834</v>
      </c>
      <c r="X3539" s="6"/>
      <c r="Y3539" s="6"/>
    </row>
    <row r="3540" spans="1:25" ht="15" customHeight="1" x14ac:dyDescent="0.2">
      <c r="A3540" s="88" t="s">
        <v>4190</v>
      </c>
      <c r="B3540" s="90"/>
      <c r="C3540" s="88" t="s">
        <v>4225</v>
      </c>
      <c r="D3540" s="90"/>
      <c r="E3540" s="88" t="s">
        <v>4226</v>
      </c>
      <c r="F3540" s="89"/>
      <c r="G3540" s="89"/>
      <c r="H3540" s="89"/>
      <c r="I3540" s="90"/>
      <c r="J3540" s="88" t="s">
        <v>4211</v>
      </c>
      <c r="K3540" s="89"/>
      <c r="L3540" s="89"/>
      <c r="M3540" s="90"/>
      <c r="N3540" s="88" t="s">
        <v>26</v>
      </c>
      <c r="O3540" s="89"/>
      <c r="P3540" s="90"/>
      <c r="Q3540" s="133">
        <v>3498</v>
      </c>
      <c r="R3540" s="134"/>
      <c r="S3540" s="5" t="s">
        <v>44</v>
      </c>
      <c r="T3540" s="8">
        <v>2225</v>
      </c>
      <c r="U3540" s="8">
        <v>5</v>
      </c>
      <c r="V3540" s="5" t="s">
        <v>23</v>
      </c>
      <c r="W3540" s="12">
        <v>15765743</v>
      </c>
      <c r="X3540" s="6"/>
      <c r="Y3540" s="6"/>
    </row>
    <row r="3541" spans="1:25" ht="15" customHeight="1" x14ac:dyDescent="0.2">
      <c r="A3541" s="88" t="s">
        <v>4190</v>
      </c>
      <c r="B3541" s="90"/>
      <c r="C3541" s="88" t="s">
        <v>4225</v>
      </c>
      <c r="D3541" s="90"/>
      <c r="E3541" s="88" t="s">
        <v>4227</v>
      </c>
      <c r="F3541" s="89"/>
      <c r="G3541" s="89"/>
      <c r="H3541" s="89"/>
      <c r="I3541" s="90"/>
      <c r="J3541" s="88" t="s">
        <v>4221</v>
      </c>
      <c r="K3541" s="89"/>
      <c r="L3541" s="89"/>
      <c r="M3541" s="90"/>
      <c r="N3541" s="88" t="s">
        <v>26</v>
      </c>
      <c r="O3541" s="89"/>
      <c r="P3541" s="90"/>
      <c r="Q3541" s="133">
        <v>3498</v>
      </c>
      <c r="R3541" s="134"/>
      <c r="S3541" s="5" t="s">
        <v>44</v>
      </c>
      <c r="T3541" s="8">
        <v>2225</v>
      </c>
      <c r="U3541" s="8">
        <v>4</v>
      </c>
      <c r="V3541" s="5" t="s">
        <v>23</v>
      </c>
      <c r="W3541" s="12">
        <v>15645942</v>
      </c>
      <c r="X3541" s="6"/>
      <c r="Y3541" s="6"/>
    </row>
    <row r="3542" spans="1:25" ht="15" customHeight="1" x14ac:dyDescent="0.2">
      <c r="A3542" s="88" t="s">
        <v>4190</v>
      </c>
      <c r="B3542" s="90"/>
      <c r="C3542" s="88" t="s">
        <v>4228</v>
      </c>
      <c r="D3542" s="90"/>
      <c r="E3542" s="88" t="s">
        <v>4229</v>
      </c>
      <c r="F3542" s="89"/>
      <c r="G3542" s="89"/>
      <c r="H3542" s="89"/>
      <c r="I3542" s="90"/>
      <c r="J3542" s="88" t="s">
        <v>887</v>
      </c>
      <c r="K3542" s="89"/>
      <c r="L3542" s="89"/>
      <c r="M3542" s="90"/>
      <c r="N3542" s="88" t="s">
        <v>26</v>
      </c>
      <c r="O3542" s="89"/>
      <c r="P3542" s="90"/>
      <c r="Q3542" s="133">
        <v>4478</v>
      </c>
      <c r="R3542" s="134"/>
      <c r="S3542" s="5" t="s">
        <v>1320</v>
      </c>
      <c r="T3542" s="8">
        <v>5425</v>
      </c>
      <c r="U3542" s="8">
        <v>29</v>
      </c>
      <c r="V3542" s="5" t="s">
        <v>106</v>
      </c>
      <c r="W3542" s="12">
        <v>12500269</v>
      </c>
      <c r="X3542" s="6"/>
      <c r="Y3542" s="6"/>
    </row>
    <row r="3543" spans="1:25" ht="15" customHeight="1" x14ac:dyDescent="0.2">
      <c r="A3543" s="88" t="s">
        <v>4190</v>
      </c>
      <c r="B3543" s="90"/>
      <c r="C3543" s="88" t="s">
        <v>4230</v>
      </c>
      <c r="D3543" s="90"/>
      <c r="E3543" s="88" t="s">
        <v>4231</v>
      </c>
      <c r="F3543" s="89"/>
      <c r="G3543" s="89"/>
      <c r="H3543" s="89"/>
      <c r="I3543" s="90"/>
      <c r="J3543" s="88" t="s">
        <v>770</v>
      </c>
      <c r="K3543" s="89"/>
      <c r="L3543" s="89"/>
      <c r="M3543" s="90"/>
      <c r="N3543" s="88" t="s">
        <v>26</v>
      </c>
      <c r="O3543" s="89"/>
      <c r="P3543" s="90"/>
      <c r="Q3543" s="133">
        <v>658</v>
      </c>
      <c r="R3543" s="134"/>
      <c r="S3543" s="5" t="s">
        <v>814</v>
      </c>
      <c r="T3543" s="8">
        <v>1220</v>
      </c>
      <c r="U3543" s="8">
        <v>4</v>
      </c>
      <c r="V3543" s="5" t="s">
        <v>17</v>
      </c>
      <c r="W3543" s="12">
        <v>2657763</v>
      </c>
      <c r="X3543" s="6"/>
      <c r="Y3543" s="6"/>
    </row>
    <row r="3544" spans="1:25" ht="15" customHeight="1" x14ac:dyDescent="0.2">
      <c r="A3544" s="88" t="s">
        <v>4190</v>
      </c>
      <c r="B3544" s="90"/>
      <c r="C3544" s="88" t="s">
        <v>4232</v>
      </c>
      <c r="D3544" s="90"/>
      <c r="E3544" s="88" t="s">
        <v>4233</v>
      </c>
      <c r="F3544" s="89"/>
      <c r="G3544" s="89"/>
      <c r="H3544" s="89"/>
      <c r="I3544" s="90"/>
      <c r="J3544" s="88" t="s">
        <v>770</v>
      </c>
      <c r="K3544" s="89"/>
      <c r="L3544" s="89"/>
      <c r="M3544" s="90"/>
      <c r="N3544" s="88" t="s">
        <v>26</v>
      </c>
      <c r="O3544" s="89"/>
      <c r="P3544" s="90"/>
      <c r="Q3544" s="133">
        <v>658</v>
      </c>
      <c r="R3544" s="134"/>
      <c r="S3544" s="5" t="s">
        <v>814</v>
      </c>
      <c r="T3544" s="8">
        <v>1260</v>
      </c>
      <c r="U3544" s="8">
        <v>4</v>
      </c>
      <c r="V3544" s="5" t="s">
        <v>23</v>
      </c>
      <c r="W3544" s="12">
        <v>3839680</v>
      </c>
      <c r="X3544" s="6"/>
      <c r="Y3544" s="6"/>
    </row>
    <row r="3545" spans="1:25" ht="15" customHeight="1" x14ac:dyDescent="0.2">
      <c r="A3545" s="88" t="s">
        <v>4190</v>
      </c>
      <c r="B3545" s="90"/>
      <c r="C3545" s="88" t="s">
        <v>4234</v>
      </c>
      <c r="D3545" s="90"/>
      <c r="E3545" s="88" t="s">
        <v>4235</v>
      </c>
      <c r="F3545" s="89"/>
      <c r="G3545" s="89"/>
      <c r="H3545" s="89"/>
      <c r="I3545" s="90"/>
      <c r="J3545" s="88" t="s">
        <v>963</v>
      </c>
      <c r="K3545" s="89"/>
      <c r="L3545" s="89"/>
      <c r="M3545" s="90"/>
      <c r="N3545" s="88" t="s">
        <v>26</v>
      </c>
      <c r="O3545" s="89"/>
      <c r="P3545" s="90"/>
      <c r="Q3545" s="133">
        <v>658</v>
      </c>
      <c r="R3545" s="134"/>
      <c r="S3545" s="5" t="s">
        <v>945</v>
      </c>
      <c r="T3545" s="8">
        <v>1330</v>
      </c>
      <c r="U3545" s="8">
        <v>2</v>
      </c>
      <c r="V3545" s="5" t="s">
        <v>23</v>
      </c>
      <c r="W3545" s="12">
        <v>3074594</v>
      </c>
      <c r="X3545" s="6"/>
      <c r="Y3545" s="6"/>
    </row>
    <row r="3546" spans="1:25" ht="15" customHeight="1" x14ac:dyDescent="0.2">
      <c r="A3546" s="88" t="s">
        <v>4190</v>
      </c>
      <c r="B3546" s="90"/>
      <c r="C3546" s="88" t="s">
        <v>4236</v>
      </c>
      <c r="D3546" s="90"/>
      <c r="E3546" s="88" t="s">
        <v>4235</v>
      </c>
      <c r="F3546" s="89"/>
      <c r="G3546" s="89"/>
      <c r="H3546" s="89"/>
      <c r="I3546" s="90"/>
      <c r="J3546" s="88" t="s">
        <v>963</v>
      </c>
      <c r="K3546" s="89"/>
      <c r="L3546" s="89"/>
      <c r="M3546" s="90"/>
      <c r="N3546" s="88" t="s">
        <v>22</v>
      </c>
      <c r="O3546" s="89"/>
      <c r="P3546" s="90"/>
      <c r="Q3546" s="133">
        <v>658</v>
      </c>
      <c r="R3546" s="134"/>
      <c r="S3546" s="5" t="s">
        <v>945</v>
      </c>
      <c r="T3546" s="8">
        <v>1220</v>
      </c>
      <c r="U3546" s="8">
        <v>2</v>
      </c>
      <c r="V3546" s="5" t="s">
        <v>23</v>
      </c>
      <c r="W3546" s="12">
        <v>2296263</v>
      </c>
      <c r="X3546" s="6"/>
      <c r="Y3546" s="6"/>
    </row>
    <row r="3547" spans="1:25" ht="15" customHeight="1" x14ac:dyDescent="0.2">
      <c r="A3547" s="88" t="s">
        <v>4190</v>
      </c>
      <c r="B3547" s="90"/>
      <c r="C3547" s="88" t="s">
        <v>4237</v>
      </c>
      <c r="D3547" s="90"/>
      <c r="E3547" s="88" t="s">
        <v>4238</v>
      </c>
      <c r="F3547" s="89"/>
      <c r="G3547" s="89"/>
      <c r="H3547" s="89"/>
      <c r="I3547" s="90"/>
      <c r="J3547" s="88" t="s">
        <v>770</v>
      </c>
      <c r="K3547" s="89"/>
      <c r="L3547" s="89"/>
      <c r="M3547" s="90"/>
      <c r="N3547" s="88" t="s">
        <v>26</v>
      </c>
      <c r="O3547" s="89"/>
      <c r="P3547" s="90"/>
      <c r="Q3547" s="133">
        <v>1498</v>
      </c>
      <c r="R3547" s="134"/>
      <c r="S3547" s="5" t="s">
        <v>1101</v>
      </c>
      <c r="T3547" s="8">
        <v>1475</v>
      </c>
      <c r="U3547" s="8">
        <v>5</v>
      </c>
      <c r="V3547" s="5" t="s">
        <v>23</v>
      </c>
      <c r="W3547" s="12">
        <v>2766582</v>
      </c>
      <c r="X3547" s="6"/>
      <c r="Y3547" s="6"/>
    </row>
    <row r="3548" spans="1:25" ht="15" customHeight="1" x14ac:dyDescent="0.2">
      <c r="A3548" s="88" t="s">
        <v>4190</v>
      </c>
      <c r="B3548" s="90"/>
      <c r="C3548" s="88" t="s">
        <v>4239</v>
      </c>
      <c r="D3548" s="90"/>
      <c r="E3548" s="88" t="s">
        <v>4238</v>
      </c>
      <c r="F3548" s="89"/>
      <c r="G3548" s="89"/>
      <c r="H3548" s="89"/>
      <c r="I3548" s="90"/>
      <c r="J3548" s="88" t="s">
        <v>770</v>
      </c>
      <c r="K3548" s="89"/>
      <c r="L3548" s="89"/>
      <c r="M3548" s="90"/>
      <c r="N3548" s="88" t="s">
        <v>26</v>
      </c>
      <c r="O3548" s="89"/>
      <c r="P3548" s="90"/>
      <c r="Q3548" s="133">
        <v>1498</v>
      </c>
      <c r="R3548" s="134"/>
      <c r="S3548" s="5" t="s">
        <v>1101</v>
      </c>
      <c r="T3548" s="8">
        <v>1475</v>
      </c>
      <c r="U3548" s="8">
        <v>5</v>
      </c>
      <c r="V3548" s="5" t="s">
        <v>23</v>
      </c>
      <c r="W3548" s="12">
        <v>2878922</v>
      </c>
      <c r="X3548" s="6"/>
      <c r="Y3548" s="6"/>
    </row>
    <row r="3549" spans="1:25" ht="15" customHeight="1" x14ac:dyDescent="0.2">
      <c r="A3549" s="88" t="s">
        <v>4190</v>
      </c>
      <c r="B3549" s="90"/>
      <c r="C3549" s="88" t="s">
        <v>4240</v>
      </c>
      <c r="D3549" s="90"/>
      <c r="E3549" s="88" t="s">
        <v>4241</v>
      </c>
      <c r="F3549" s="89"/>
      <c r="G3549" s="89"/>
      <c r="H3549" s="89"/>
      <c r="I3549" s="90"/>
      <c r="J3549" s="88" t="s">
        <v>770</v>
      </c>
      <c r="K3549" s="89"/>
      <c r="L3549" s="89"/>
      <c r="M3549" s="90"/>
      <c r="N3549" s="88" t="s">
        <v>26</v>
      </c>
      <c r="O3549" s="89"/>
      <c r="P3549" s="90"/>
      <c r="Q3549" s="133">
        <v>659</v>
      </c>
      <c r="R3549" s="134"/>
      <c r="S3549" s="5" t="s">
        <v>1101</v>
      </c>
      <c r="T3549" s="8">
        <v>1180</v>
      </c>
      <c r="U3549" s="8">
        <v>4</v>
      </c>
      <c r="V3549" s="5" t="s">
        <v>23</v>
      </c>
      <c r="W3549" s="12">
        <v>2657595</v>
      </c>
      <c r="X3549" s="6"/>
      <c r="Y3549" s="6"/>
    </row>
    <row r="3550" spans="1:25" ht="15" customHeight="1" x14ac:dyDescent="0.2">
      <c r="A3550" s="88" t="s">
        <v>4190</v>
      </c>
      <c r="B3550" s="90"/>
      <c r="C3550" s="88" t="s">
        <v>4242</v>
      </c>
      <c r="D3550" s="90"/>
      <c r="E3550" s="88" t="s">
        <v>4243</v>
      </c>
      <c r="F3550" s="89"/>
      <c r="G3550" s="89"/>
      <c r="H3550" s="89"/>
      <c r="I3550" s="90"/>
      <c r="J3550" s="88" t="s">
        <v>770</v>
      </c>
      <c r="K3550" s="89"/>
      <c r="L3550" s="89"/>
      <c r="M3550" s="90"/>
      <c r="N3550" s="88" t="s">
        <v>26</v>
      </c>
      <c r="O3550" s="89"/>
      <c r="P3550" s="90"/>
      <c r="Q3550" s="133">
        <v>659</v>
      </c>
      <c r="R3550" s="134"/>
      <c r="S3550" s="5" t="s">
        <v>1101</v>
      </c>
      <c r="T3550" s="8">
        <v>1100</v>
      </c>
      <c r="U3550" s="8">
        <v>4</v>
      </c>
      <c r="V3550" s="5" t="s">
        <v>23</v>
      </c>
      <c r="W3550" s="12">
        <v>3235056</v>
      </c>
      <c r="X3550" s="6"/>
      <c r="Y3550" s="6"/>
    </row>
    <row r="3551" spans="1:25" ht="15" customHeight="1" x14ac:dyDescent="0.2">
      <c r="A3551" s="88" t="s">
        <v>4190</v>
      </c>
      <c r="B3551" s="90"/>
      <c r="C3551" s="88" t="s">
        <v>4242</v>
      </c>
      <c r="D3551" s="90"/>
      <c r="E3551" s="88" t="s">
        <v>4244</v>
      </c>
      <c r="F3551" s="89"/>
      <c r="G3551" s="89"/>
      <c r="H3551" s="89"/>
      <c r="I3551" s="90"/>
      <c r="J3551" s="88" t="s">
        <v>770</v>
      </c>
      <c r="K3551" s="89"/>
      <c r="L3551" s="89"/>
      <c r="M3551" s="90"/>
      <c r="N3551" s="88" t="s">
        <v>26</v>
      </c>
      <c r="O3551" s="89"/>
      <c r="P3551" s="90"/>
      <c r="Q3551" s="133">
        <v>659</v>
      </c>
      <c r="R3551" s="134"/>
      <c r="S3551" s="5" t="s">
        <v>1101</v>
      </c>
      <c r="T3551" s="8">
        <v>1090</v>
      </c>
      <c r="U3551" s="8">
        <v>6</v>
      </c>
      <c r="V3551" s="5" t="s">
        <v>23</v>
      </c>
      <c r="W3551" s="12">
        <v>2794248</v>
      </c>
      <c r="X3551" s="6"/>
      <c r="Y3551" s="6"/>
    </row>
    <row r="3552" spans="1:25" ht="15" customHeight="1" x14ac:dyDescent="0.2">
      <c r="A3552" s="88" t="s">
        <v>4190</v>
      </c>
      <c r="B3552" s="90"/>
      <c r="C3552" s="88" t="s">
        <v>4245</v>
      </c>
      <c r="D3552" s="90"/>
      <c r="E3552" s="88" t="s">
        <v>4246</v>
      </c>
      <c r="F3552" s="89"/>
      <c r="G3552" s="89"/>
      <c r="H3552" s="89"/>
      <c r="I3552" s="90"/>
      <c r="J3552" s="88" t="s">
        <v>770</v>
      </c>
      <c r="K3552" s="89"/>
      <c r="L3552" s="89"/>
      <c r="M3552" s="90"/>
      <c r="N3552" s="88" t="s">
        <v>26</v>
      </c>
      <c r="O3552" s="89"/>
      <c r="P3552" s="90"/>
      <c r="Q3552" s="133">
        <v>659</v>
      </c>
      <c r="R3552" s="134"/>
      <c r="S3552" s="5" t="s">
        <v>1101</v>
      </c>
      <c r="T3552" s="8">
        <v>1100</v>
      </c>
      <c r="U3552" s="8">
        <v>4</v>
      </c>
      <c r="V3552" s="5" t="s">
        <v>23</v>
      </c>
      <c r="W3552" s="12">
        <v>2360816</v>
      </c>
      <c r="X3552" s="6"/>
      <c r="Y3552" s="6"/>
    </row>
    <row r="3553" spans="1:25" ht="15" customHeight="1" x14ac:dyDescent="0.2">
      <c r="A3553" s="88" t="s">
        <v>4190</v>
      </c>
      <c r="B3553" s="90"/>
      <c r="C3553" s="88" t="s">
        <v>4247</v>
      </c>
      <c r="D3553" s="90"/>
      <c r="E3553" s="88" t="s">
        <v>4246</v>
      </c>
      <c r="F3553" s="89"/>
      <c r="G3553" s="89"/>
      <c r="H3553" s="89"/>
      <c r="I3553" s="90"/>
      <c r="J3553" s="88" t="s">
        <v>770</v>
      </c>
      <c r="K3553" s="89"/>
      <c r="L3553" s="89"/>
      <c r="M3553" s="90"/>
      <c r="N3553" s="88" t="s">
        <v>26</v>
      </c>
      <c r="O3553" s="89"/>
      <c r="P3553" s="90"/>
      <c r="Q3553" s="133">
        <v>659</v>
      </c>
      <c r="R3553" s="134"/>
      <c r="S3553" s="5" t="s">
        <v>1101</v>
      </c>
      <c r="T3553" s="8">
        <v>1100</v>
      </c>
      <c r="U3553" s="8">
        <v>4</v>
      </c>
      <c r="V3553" s="5" t="s">
        <v>23</v>
      </c>
      <c r="W3553" s="12">
        <v>2322252</v>
      </c>
      <c r="X3553" s="6"/>
      <c r="Y3553" s="6"/>
    </row>
    <row r="3554" spans="1:25" ht="15" customHeight="1" x14ac:dyDescent="0.2">
      <c r="A3554" s="88" t="s">
        <v>4190</v>
      </c>
      <c r="B3554" s="90"/>
      <c r="C3554" s="88" t="s">
        <v>4248</v>
      </c>
      <c r="D3554" s="90"/>
      <c r="E3554" s="88" t="s">
        <v>4249</v>
      </c>
      <c r="F3554" s="89"/>
      <c r="G3554" s="89"/>
      <c r="H3554" s="89"/>
      <c r="I3554" s="90"/>
      <c r="J3554" s="88" t="s">
        <v>770</v>
      </c>
      <c r="K3554" s="89"/>
      <c r="L3554" s="89"/>
      <c r="M3554" s="90"/>
      <c r="N3554" s="88" t="s">
        <v>26</v>
      </c>
      <c r="O3554" s="89"/>
      <c r="P3554" s="90"/>
      <c r="Q3554" s="133">
        <v>659</v>
      </c>
      <c r="R3554" s="134"/>
      <c r="S3554" s="5" t="s">
        <v>1101</v>
      </c>
      <c r="T3554" s="8">
        <v>1200</v>
      </c>
      <c r="U3554" s="8">
        <v>6</v>
      </c>
      <c r="V3554" s="5" t="s">
        <v>23</v>
      </c>
      <c r="W3554" s="12">
        <v>3015071</v>
      </c>
      <c r="X3554" s="6"/>
      <c r="Y3554" s="6"/>
    </row>
    <row r="3555" spans="1:25" ht="15" customHeight="1" x14ac:dyDescent="0.2">
      <c r="A3555" s="88" t="s">
        <v>4190</v>
      </c>
      <c r="B3555" s="90"/>
      <c r="C3555" s="88" t="s">
        <v>4250</v>
      </c>
      <c r="D3555" s="90"/>
      <c r="E3555" s="88" t="s">
        <v>4249</v>
      </c>
      <c r="F3555" s="89"/>
      <c r="G3555" s="89"/>
      <c r="H3555" s="89"/>
      <c r="I3555" s="90"/>
      <c r="J3555" s="88" t="s">
        <v>770</v>
      </c>
      <c r="K3555" s="89"/>
      <c r="L3555" s="89"/>
      <c r="M3555" s="90"/>
      <c r="N3555" s="88" t="s">
        <v>26</v>
      </c>
      <c r="O3555" s="89"/>
      <c r="P3555" s="90"/>
      <c r="Q3555" s="133">
        <v>659</v>
      </c>
      <c r="R3555" s="134"/>
      <c r="S3555" s="5" t="s">
        <v>1101</v>
      </c>
      <c r="T3555" s="8">
        <v>1180</v>
      </c>
      <c r="U3555" s="8">
        <v>44</v>
      </c>
      <c r="V3555" s="5" t="s">
        <v>23</v>
      </c>
      <c r="W3555" s="12">
        <v>2640828</v>
      </c>
      <c r="X3555" s="6"/>
      <c r="Y3555" s="6"/>
    </row>
    <row r="3556" spans="1:25" ht="15" customHeight="1" x14ac:dyDescent="0.2">
      <c r="A3556" s="88" t="s">
        <v>4190</v>
      </c>
      <c r="B3556" s="90"/>
      <c r="C3556" s="88" t="s">
        <v>4251</v>
      </c>
      <c r="D3556" s="90"/>
      <c r="E3556" s="88" t="s">
        <v>4252</v>
      </c>
      <c r="F3556" s="89"/>
      <c r="G3556" s="89"/>
      <c r="H3556" s="89"/>
      <c r="I3556" s="90"/>
      <c r="J3556" s="88" t="s">
        <v>770</v>
      </c>
      <c r="K3556" s="89"/>
      <c r="L3556" s="89"/>
      <c r="M3556" s="90"/>
      <c r="N3556" s="88" t="s">
        <v>26</v>
      </c>
      <c r="O3556" s="89"/>
      <c r="P3556" s="90"/>
      <c r="Q3556" s="133">
        <v>659</v>
      </c>
      <c r="R3556" s="134"/>
      <c r="S3556" s="5" t="s">
        <v>1101</v>
      </c>
      <c r="T3556" s="8">
        <v>1080</v>
      </c>
      <c r="U3556" s="8">
        <v>4</v>
      </c>
      <c r="V3556" s="5" t="s">
        <v>23</v>
      </c>
      <c r="W3556" s="12">
        <v>2432915</v>
      </c>
      <c r="X3556" s="6"/>
      <c r="Y3556" s="6"/>
    </row>
    <row r="3557" spans="1:25" ht="15" customHeight="1" x14ac:dyDescent="0.2">
      <c r="A3557" s="88" t="s">
        <v>4190</v>
      </c>
      <c r="B3557" s="90"/>
      <c r="C3557" s="88" t="s">
        <v>4253</v>
      </c>
      <c r="D3557" s="90"/>
      <c r="E3557" s="88" t="s">
        <v>4249</v>
      </c>
      <c r="F3557" s="89"/>
      <c r="G3557" s="89"/>
      <c r="H3557" s="89"/>
      <c r="I3557" s="90"/>
      <c r="J3557" s="88" t="s">
        <v>770</v>
      </c>
      <c r="K3557" s="89"/>
      <c r="L3557" s="89"/>
      <c r="M3557" s="90"/>
      <c r="N3557" s="88" t="s">
        <v>26</v>
      </c>
      <c r="O3557" s="89"/>
      <c r="P3557" s="90"/>
      <c r="Q3557" s="133">
        <v>659</v>
      </c>
      <c r="R3557" s="134"/>
      <c r="S3557" s="5" t="s">
        <v>1101</v>
      </c>
      <c r="T3557" s="8">
        <v>1180</v>
      </c>
      <c r="U3557" s="8">
        <v>4</v>
      </c>
      <c r="V3557" s="5" t="s">
        <v>23</v>
      </c>
      <c r="W3557" s="12">
        <v>2657595</v>
      </c>
      <c r="X3557" s="6"/>
      <c r="Y3557" s="6"/>
    </row>
    <row r="3558" spans="1:25" ht="15" customHeight="1" x14ac:dyDescent="0.2">
      <c r="A3558" s="88" t="s">
        <v>4190</v>
      </c>
      <c r="B3558" s="90"/>
      <c r="C3558" s="88" t="s">
        <v>4254</v>
      </c>
      <c r="D3558" s="90"/>
      <c r="E3558" s="88" t="s">
        <v>4244</v>
      </c>
      <c r="F3558" s="89"/>
      <c r="G3558" s="89"/>
      <c r="H3558" s="89"/>
      <c r="I3558" s="90"/>
      <c r="J3558" s="88" t="s">
        <v>770</v>
      </c>
      <c r="K3558" s="89"/>
      <c r="L3558" s="89"/>
      <c r="M3558" s="90"/>
      <c r="N3558" s="88" t="s">
        <v>26</v>
      </c>
      <c r="O3558" s="89"/>
      <c r="P3558" s="90"/>
      <c r="Q3558" s="133">
        <v>659</v>
      </c>
      <c r="R3558" s="134"/>
      <c r="S3558" s="5" t="s">
        <v>1101</v>
      </c>
      <c r="T3558" s="8">
        <v>1090</v>
      </c>
      <c r="U3558" s="8">
        <v>4</v>
      </c>
      <c r="V3558" s="5" t="s">
        <v>23</v>
      </c>
      <c r="W3558" s="12">
        <v>2836668</v>
      </c>
      <c r="X3558" s="6"/>
      <c r="Y3558" s="6"/>
    </row>
    <row r="3559" spans="1:25" ht="15" customHeight="1" x14ac:dyDescent="0.2">
      <c r="A3559" s="88" t="s">
        <v>4190</v>
      </c>
      <c r="B3559" s="90"/>
      <c r="C3559" s="88" t="s">
        <v>4255</v>
      </c>
      <c r="D3559" s="90"/>
      <c r="E3559" s="88" t="s">
        <v>4244</v>
      </c>
      <c r="F3559" s="89"/>
      <c r="G3559" s="89"/>
      <c r="H3559" s="89"/>
      <c r="I3559" s="90"/>
      <c r="J3559" s="88" t="s">
        <v>770</v>
      </c>
      <c r="K3559" s="89"/>
      <c r="L3559" s="89"/>
      <c r="M3559" s="90"/>
      <c r="N3559" s="88" t="s">
        <v>26</v>
      </c>
      <c r="O3559" s="89"/>
      <c r="P3559" s="90"/>
      <c r="Q3559" s="133">
        <v>659</v>
      </c>
      <c r="R3559" s="134"/>
      <c r="S3559" s="5" t="s">
        <v>1101</v>
      </c>
      <c r="T3559" s="8">
        <v>1090</v>
      </c>
      <c r="U3559" s="8">
        <v>5</v>
      </c>
      <c r="V3559" s="5" t="s">
        <v>23</v>
      </c>
      <c r="W3559" s="12">
        <v>2540225</v>
      </c>
      <c r="X3559" s="6"/>
      <c r="Y3559" s="6"/>
    </row>
    <row r="3560" spans="1:25" ht="15" customHeight="1" x14ac:dyDescent="0.2">
      <c r="A3560" s="88" t="s">
        <v>4190</v>
      </c>
      <c r="B3560" s="90"/>
      <c r="C3560" s="88" t="s">
        <v>4256</v>
      </c>
      <c r="D3560" s="90"/>
      <c r="E3560" s="88" t="s">
        <v>4243</v>
      </c>
      <c r="F3560" s="89"/>
      <c r="G3560" s="89"/>
      <c r="H3560" s="89"/>
      <c r="I3560" s="90"/>
      <c r="J3560" s="88" t="s">
        <v>770</v>
      </c>
      <c r="K3560" s="89"/>
      <c r="L3560" s="89"/>
      <c r="M3560" s="90"/>
      <c r="N3560" s="88" t="s">
        <v>22</v>
      </c>
      <c r="O3560" s="89"/>
      <c r="P3560" s="90"/>
      <c r="Q3560" s="133">
        <v>659</v>
      </c>
      <c r="R3560" s="134"/>
      <c r="S3560" s="5" t="s">
        <v>1101</v>
      </c>
      <c r="T3560" s="8">
        <v>1100</v>
      </c>
      <c r="U3560" s="8">
        <v>4</v>
      </c>
      <c r="V3560" s="5" t="s">
        <v>23</v>
      </c>
      <c r="W3560" s="12">
        <v>3235056</v>
      </c>
      <c r="X3560" s="6"/>
      <c r="Y3560" s="6"/>
    </row>
    <row r="3561" spans="1:25" ht="15" customHeight="1" x14ac:dyDescent="0.2">
      <c r="A3561" s="88" t="s">
        <v>4190</v>
      </c>
      <c r="B3561" s="90"/>
      <c r="C3561" s="88" t="s">
        <v>4257</v>
      </c>
      <c r="D3561" s="90"/>
      <c r="E3561" s="88" t="s">
        <v>4258</v>
      </c>
      <c r="F3561" s="89"/>
      <c r="G3561" s="89"/>
      <c r="H3561" s="89"/>
      <c r="I3561" s="90"/>
      <c r="J3561" s="88" t="s">
        <v>770</v>
      </c>
      <c r="K3561" s="89"/>
      <c r="L3561" s="89"/>
      <c r="M3561" s="90"/>
      <c r="N3561" s="88" t="s">
        <v>22</v>
      </c>
      <c r="O3561" s="89"/>
      <c r="P3561" s="90"/>
      <c r="Q3561" s="133">
        <v>2488</v>
      </c>
      <c r="R3561" s="134"/>
      <c r="S3561" s="5" t="s">
        <v>1101</v>
      </c>
      <c r="T3561" s="8">
        <v>2375</v>
      </c>
      <c r="U3561" s="8">
        <v>7</v>
      </c>
      <c r="V3561" s="5" t="s">
        <v>23</v>
      </c>
      <c r="W3561" s="12">
        <v>6905975</v>
      </c>
      <c r="X3561" s="6"/>
      <c r="Y3561" s="6"/>
    </row>
    <row r="3562" spans="1:25" ht="15" customHeight="1" x14ac:dyDescent="0.2">
      <c r="A3562" s="88" t="s">
        <v>4190</v>
      </c>
      <c r="B3562" s="90"/>
      <c r="C3562" s="88" t="s">
        <v>4257</v>
      </c>
      <c r="D3562" s="90"/>
      <c r="E3562" s="88" t="s">
        <v>4258</v>
      </c>
      <c r="F3562" s="89"/>
      <c r="G3562" s="89"/>
      <c r="H3562" s="89"/>
      <c r="I3562" s="90"/>
      <c r="J3562" s="88" t="s">
        <v>1718</v>
      </c>
      <c r="K3562" s="89"/>
      <c r="L3562" s="89"/>
      <c r="M3562" s="90"/>
      <c r="N3562" s="88" t="s">
        <v>26</v>
      </c>
      <c r="O3562" s="89"/>
      <c r="P3562" s="90"/>
      <c r="Q3562" s="133">
        <v>2488</v>
      </c>
      <c r="R3562" s="134"/>
      <c r="S3562" s="5" t="s">
        <v>1101</v>
      </c>
      <c r="T3562" s="8">
        <v>2335</v>
      </c>
      <c r="U3562" s="8">
        <v>6</v>
      </c>
      <c r="V3562" s="5" t="s">
        <v>23</v>
      </c>
      <c r="W3562" s="12">
        <v>7810982</v>
      </c>
      <c r="X3562" s="6"/>
      <c r="Y3562" s="6"/>
    </row>
    <row r="3563" spans="1:25" ht="15" customHeight="1" x14ac:dyDescent="0.2">
      <c r="A3563" s="88" t="s">
        <v>4190</v>
      </c>
      <c r="B3563" s="90"/>
      <c r="C3563" s="88" t="s">
        <v>4259</v>
      </c>
      <c r="D3563" s="90"/>
      <c r="E3563" s="88" t="s">
        <v>4260</v>
      </c>
      <c r="F3563" s="89"/>
      <c r="G3563" s="89"/>
      <c r="H3563" s="89"/>
      <c r="I3563" s="90"/>
      <c r="J3563" s="88" t="s">
        <v>770</v>
      </c>
      <c r="K3563" s="89"/>
      <c r="L3563" s="89"/>
      <c r="M3563" s="90"/>
      <c r="N3563" s="88" t="s">
        <v>26</v>
      </c>
      <c r="O3563" s="89"/>
      <c r="P3563" s="90"/>
      <c r="Q3563" s="133">
        <v>2488</v>
      </c>
      <c r="R3563" s="134"/>
      <c r="S3563" s="5" t="s">
        <v>1101</v>
      </c>
      <c r="T3563" s="8">
        <v>2335</v>
      </c>
      <c r="U3563" s="8">
        <v>7</v>
      </c>
      <c r="V3563" s="5" t="s">
        <v>23</v>
      </c>
      <c r="W3563" s="12">
        <v>6740399</v>
      </c>
      <c r="X3563" s="6"/>
      <c r="Y3563" s="6"/>
    </row>
    <row r="3564" spans="1:25" ht="15" customHeight="1" x14ac:dyDescent="0.2">
      <c r="A3564" s="88" t="s">
        <v>4190</v>
      </c>
      <c r="B3564" s="90"/>
      <c r="C3564" s="88" t="s">
        <v>4261</v>
      </c>
      <c r="D3564" s="90"/>
      <c r="E3564" s="88" t="s">
        <v>4260</v>
      </c>
      <c r="F3564" s="89"/>
      <c r="G3564" s="89"/>
      <c r="H3564" s="89"/>
      <c r="I3564" s="90"/>
      <c r="J3564" s="88" t="s">
        <v>4211</v>
      </c>
      <c r="K3564" s="89"/>
      <c r="L3564" s="89"/>
      <c r="M3564" s="90"/>
      <c r="N3564" s="88" t="s">
        <v>26</v>
      </c>
      <c r="O3564" s="89"/>
      <c r="P3564" s="90"/>
      <c r="Q3564" s="133">
        <v>2488</v>
      </c>
      <c r="R3564" s="134"/>
      <c r="S3564" s="5" t="s">
        <v>1101</v>
      </c>
      <c r="T3564" s="8">
        <v>2335</v>
      </c>
      <c r="U3564" s="8">
        <v>7</v>
      </c>
      <c r="V3564" s="5" t="s">
        <v>23</v>
      </c>
      <c r="W3564" s="12">
        <v>7241318</v>
      </c>
      <c r="X3564" s="6"/>
      <c r="Y3564" s="6"/>
    </row>
    <row r="3565" spans="1:25" ht="15" customHeight="1" x14ac:dyDescent="0.2">
      <c r="A3565" s="88" t="s">
        <v>4190</v>
      </c>
      <c r="B3565" s="90"/>
      <c r="C3565" s="88" t="s">
        <v>4261</v>
      </c>
      <c r="D3565" s="90"/>
      <c r="E3565" s="88" t="s">
        <v>4260</v>
      </c>
      <c r="F3565" s="89"/>
      <c r="G3565" s="89"/>
      <c r="H3565" s="89"/>
      <c r="I3565" s="90"/>
      <c r="J3565" s="88" t="s">
        <v>4262</v>
      </c>
      <c r="K3565" s="89"/>
      <c r="L3565" s="89"/>
      <c r="M3565" s="90"/>
      <c r="N3565" s="88" t="s">
        <v>26</v>
      </c>
      <c r="O3565" s="89"/>
      <c r="P3565" s="90"/>
      <c r="Q3565" s="133">
        <v>2488</v>
      </c>
      <c r="R3565" s="134"/>
      <c r="S3565" s="5" t="s">
        <v>1101</v>
      </c>
      <c r="T3565" s="8">
        <v>2335</v>
      </c>
      <c r="U3565" s="8">
        <v>7</v>
      </c>
      <c r="V3565" s="5" t="s">
        <v>23</v>
      </c>
      <c r="W3565" s="12">
        <v>7021249</v>
      </c>
      <c r="X3565" s="6"/>
      <c r="Y3565" s="6"/>
    </row>
    <row r="3566" spans="1:25" ht="15" customHeight="1" x14ac:dyDescent="0.2">
      <c r="A3566" s="88" t="s">
        <v>4190</v>
      </c>
      <c r="B3566" s="90"/>
      <c r="C3566" s="88" t="s">
        <v>4261</v>
      </c>
      <c r="D3566" s="90"/>
      <c r="E3566" s="88" t="s">
        <v>4258</v>
      </c>
      <c r="F3566" s="89"/>
      <c r="G3566" s="89"/>
      <c r="H3566" s="89"/>
      <c r="I3566" s="90"/>
      <c r="J3566" s="88" t="s">
        <v>770</v>
      </c>
      <c r="K3566" s="89"/>
      <c r="L3566" s="89"/>
      <c r="M3566" s="90"/>
      <c r="N3566" s="88" t="s">
        <v>26</v>
      </c>
      <c r="O3566" s="89"/>
      <c r="P3566" s="90"/>
      <c r="Q3566" s="133">
        <v>2488</v>
      </c>
      <c r="R3566" s="134"/>
      <c r="S3566" s="5" t="s">
        <v>1101</v>
      </c>
      <c r="T3566" s="8">
        <v>2335</v>
      </c>
      <c r="U3566" s="8">
        <v>7</v>
      </c>
      <c r="V3566" s="5" t="s">
        <v>23</v>
      </c>
      <c r="W3566" s="12">
        <v>7100893</v>
      </c>
      <c r="X3566" s="6"/>
      <c r="Y3566" s="6"/>
    </row>
    <row r="3567" spans="1:25" ht="15" customHeight="1" x14ac:dyDescent="0.2">
      <c r="A3567" s="88" t="s">
        <v>4190</v>
      </c>
      <c r="B3567" s="90"/>
      <c r="C3567" s="88" t="s">
        <v>4263</v>
      </c>
      <c r="D3567" s="90"/>
      <c r="E3567" s="88" t="s">
        <v>4260</v>
      </c>
      <c r="F3567" s="89"/>
      <c r="G3567" s="89"/>
      <c r="H3567" s="89"/>
      <c r="I3567" s="90"/>
      <c r="J3567" s="88" t="s">
        <v>4262</v>
      </c>
      <c r="K3567" s="89"/>
      <c r="L3567" s="89"/>
      <c r="M3567" s="90"/>
      <c r="N3567" s="88" t="s">
        <v>26</v>
      </c>
      <c r="O3567" s="89"/>
      <c r="P3567" s="90"/>
      <c r="Q3567" s="133">
        <v>2488</v>
      </c>
      <c r="R3567" s="134"/>
      <c r="S3567" s="5" t="s">
        <v>1101</v>
      </c>
      <c r="T3567" s="8">
        <v>2375</v>
      </c>
      <c r="U3567" s="8">
        <v>7</v>
      </c>
      <c r="V3567" s="5" t="s">
        <v>23</v>
      </c>
      <c r="W3567" s="12">
        <v>6425666</v>
      </c>
      <c r="X3567" s="6"/>
      <c r="Y3567" s="6"/>
    </row>
    <row r="3568" spans="1:25" ht="15" customHeight="1" x14ac:dyDescent="0.2">
      <c r="A3568" s="88" t="s">
        <v>4190</v>
      </c>
      <c r="B3568" s="90"/>
      <c r="C3568" s="88" t="s">
        <v>4263</v>
      </c>
      <c r="D3568" s="90"/>
      <c r="E3568" s="88" t="s">
        <v>4260</v>
      </c>
      <c r="F3568" s="89"/>
      <c r="G3568" s="89"/>
      <c r="H3568" s="89"/>
      <c r="I3568" s="90"/>
      <c r="J3568" s="88" t="s">
        <v>770</v>
      </c>
      <c r="K3568" s="89"/>
      <c r="L3568" s="89"/>
      <c r="M3568" s="90"/>
      <c r="N3568" s="88" t="s">
        <v>26</v>
      </c>
      <c r="O3568" s="89"/>
      <c r="P3568" s="90"/>
      <c r="Q3568" s="133">
        <v>2488</v>
      </c>
      <c r="R3568" s="134"/>
      <c r="S3568" s="5" t="s">
        <v>1101</v>
      </c>
      <c r="T3568" s="8">
        <v>2375</v>
      </c>
      <c r="U3568" s="8">
        <v>7</v>
      </c>
      <c r="V3568" s="5" t="s">
        <v>23</v>
      </c>
      <c r="W3568" s="12">
        <v>6645735</v>
      </c>
      <c r="X3568" s="6"/>
      <c r="Y3568" s="6"/>
    </row>
    <row r="3569" spans="1:25" ht="15" customHeight="1" x14ac:dyDescent="0.2">
      <c r="A3569" s="88" t="s">
        <v>4190</v>
      </c>
      <c r="B3569" s="90"/>
      <c r="C3569" s="88" t="s">
        <v>4263</v>
      </c>
      <c r="D3569" s="90"/>
      <c r="E3569" s="88" t="s">
        <v>4260</v>
      </c>
      <c r="F3569" s="89"/>
      <c r="G3569" s="89"/>
      <c r="H3569" s="89"/>
      <c r="I3569" s="90"/>
      <c r="J3569" s="88" t="s">
        <v>770</v>
      </c>
      <c r="K3569" s="89"/>
      <c r="L3569" s="89"/>
      <c r="M3569" s="90"/>
      <c r="N3569" s="88" t="s">
        <v>26</v>
      </c>
      <c r="O3569" s="89"/>
      <c r="P3569" s="90"/>
      <c r="Q3569" s="133">
        <v>2488</v>
      </c>
      <c r="R3569" s="134"/>
      <c r="S3569" s="5" t="s">
        <v>1101</v>
      </c>
      <c r="T3569" s="8">
        <v>2375</v>
      </c>
      <c r="U3569" s="8">
        <v>7</v>
      </c>
      <c r="V3569" s="5" t="s">
        <v>23</v>
      </c>
      <c r="W3569" s="12">
        <v>6168639</v>
      </c>
      <c r="X3569" s="6"/>
      <c r="Y3569" s="6"/>
    </row>
    <row r="3570" spans="1:25" ht="15" customHeight="1" x14ac:dyDescent="0.2">
      <c r="A3570" s="88" t="s">
        <v>4190</v>
      </c>
      <c r="B3570" s="90"/>
      <c r="C3570" s="88" t="s">
        <v>4263</v>
      </c>
      <c r="D3570" s="90"/>
      <c r="E3570" s="88" t="s">
        <v>4258</v>
      </c>
      <c r="F3570" s="89"/>
      <c r="G3570" s="89"/>
      <c r="H3570" s="89"/>
      <c r="I3570" s="90"/>
      <c r="J3570" s="88" t="s">
        <v>770</v>
      </c>
      <c r="K3570" s="89"/>
      <c r="L3570" s="89"/>
      <c r="M3570" s="90"/>
      <c r="N3570" s="88" t="s">
        <v>26</v>
      </c>
      <c r="O3570" s="89"/>
      <c r="P3570" s="90"/>
      <c r="Q3570" s="133">
        <v>2488</v>
      </c>
      <c r="R3570" s="134"/>
      <c r="S3570" s="5" t="s">
        <v>1101</v>
      </c>
      <c r="T3570" s="8">
        <v>2375</v>
      </c>
      <c r="U3570" s="8">
        <v>6</v>
      </c>
      <c r="V3570" s="5" t="s">
        <v>23</v>
      </c>
      <c r="W3570" s="12">
        <v>6629736</v>
      </c>
      <c r="X3570" s="6"/>
      <c r="Y3570" s="6"/>
    </row>
    <row r="3571" spans="1:25" ht="15" customHeight="1" x14ac:dyDescent="0.2">
      <c r="A3571" s="88" t="s">
        <v>4190</v>
      </c>
      <c r="B3571" s="90"/>
      <c r="C3571" s="88" t="s">
        <v>4264</v>
      </c>
      <c r="D3571" s="90"/>
      <c r="E3571" s="88" t="s">
        <v>4258</v>
      </c>
      <c r="F3571" s="89"/>
      <c r="G3571" s="89"/>
      <c r="H3571" s="89"/>
      <c r="I3571" s="90"/>
      <c r="J3571" s="88" t="s">
        <v>770</v>
      </c>
      <c r="K3571" s="89"/>
      <c r="L3571" s="89"/>
      <c r="M3571" s="90"/>
      <c r="N3571" s="88" t="s">
        <v>26</v>
      </c>
      <c r="O3571" s="89"/>
      <c r="P3571" s="90"/>
      <c r="Q3571" s="133">
        <v>2488</v>
      </c>
      <c r="R3571" s="134"/>
      <c r="S3571" s="5" t="s">
        <v>1101</v>
      </c>
      <c r="T3571" s="8">
        <v>2375</v>
      </c>
      <c r="U3571" s="8">
        <v>7</v>
      </c>
      <c r="V3571" s="5" t="s">
        <v>23</v>
      </c>
      <c r="W3571" s="12">
        <v>7485839</v>
      </c>
      <c r="X3571" s="6"/>
      <c r="Y3571" s="6"/>
    </row>
    <row r="3572" spans="1:25" ht="15" customHeight="1" x14ac:dyDescent="0.2">
      <c r="A3572" s="88" t="s">
        <v>4190</v>
      </c>
      <c r="B3572" s="90"/>
      <c r="C3572" s="88" t="s">
        <v>4265</v>
      </c>
      <c r="D3572" s="90"/>
      <c r="E3572" s="88" t="s">
        <v>4266</v>
      </c>
      <c r="F3572" s="89"/>
      <c r="G3572" s="89"/>
      <c r="H3572" s="89"/>
      <c r="I3572" s="90"/>
      <c r="J3572" s="88" t="s">
        <v>770</v>
      </c>
      <c r="K3572" s="89"/>
      <c r="L3572" s="89"/>
      <c r="M3572" s="90"/>
      <c r="N3572" s="88" t="s">
        <v>26</v>
      </c>
      <c r="O3572" s="89"/>
      <c r="P3572" s="90"/>
      <c r="Q3572" s="133">
        <v>0</v>
      </c>
      <c r="R3572" s="134"/>
      <c r="S3572" s="5" t="s">
        <v>814</v>
      </c>
      <c r="T3572" s="8">
        <v>2240</v>
      </c>
      <c r="U3572" s="8">
        <v>5</v>
      </c>
      <c r="V3572" s="5" t="s">
        <v>17</v>
      </c>
      <c r="W3572" s="12">
        <v>5769860</v>
      </c>
      <c r="X3572" s="6"/>
      <c r="Y3572" s="6"/>
    </row>
    <row r="3573" spans="1:25" ht="15" customHeight="1" x14ac:dyDescent="0.2">
      <c r="A3573" s="88" t="s">
        <v>4190</v>
      </c>
      <c r="B3573" s="90"/>
      <c r="C3573" s="88" t="s">
        <v>4267</v>
      </c>
      <c r="D3573" s="90"/>
      <c r="E3573" s="88" t="s">
        <v>4268</v>
      </c>
      <c r="F3573" s="89"/>
      <c r="G3573" s="89"/>
      <c r="H3573" s="89"/>
      <c r="I3573" s="90"/>
      <c r="J3573" s="88" t="s">
        <v>770</v>
      </c>
      <c r="K3573" s="89"/>
      <c r="L3573" s="89"/>
      <c r="M3573" s="90"/>
      <c r="N3573" s="88" t="s">
        <v>26</v>
      </c>
      <c r="O3573" s="89"/>
      <c r="P3573" s="90"/>
      <c r="Q3573" s="133">
        <v>0</v>
      </c>
      <c r="R3573" s="134"/>
      <c r="S3573" s="5" t="s">
        <v>814</v>
      </c>
      <c r="T3573" s="8">
        <v>1970</v>
      </c>
      <c r="U3573" s="8">
        <v>5</v>
      </c>
      <c r="V3573" s="5" t="s">
        <v>17</v>
      </c>
      <c r="W3573" s="12">
        <v>5769860</v>
      </c>
      <c r="X3573" s="6"/>
      <c r="Y3573" s="6"/>
    </row>
    <row r="3574" spans="1:25" ht="15" customHeight="1" x14ac:dyDescent="0.2">
      <c r="A3574" s="88" t="s">
        <v>4190</v>
      </c>
      <c r="B3574" s="90"/>
      <c r="C3574" s="88" t="s">
        <v>4269</v>
      </c>
      <c r="D3574" s="90"/>
      <c r="E3574" s="88" t="s">
        <v>4266</v>
      </c>
      <c r="F3574" s="89"/>
      <c r="G3574" s="89"/>
      <c r="H3574" s="89"/>
      <c r="I3574" s="90"/>
      <c r="J3574" s="88" t="s">
        <v>963</v>
      </c>
      <c r="K3574" s="89"/>
      <c r="L3574" s="89"/>
      <c r="M3574" s="90"/>
      <c r="N3574" s="88" t="s">
        <v>26</v>
      </c>
      <c r="O3574" s="89"/>
      <c r="P3574" s="90"/>
      <c r="Q3574" s="133">
        <v>0</v>
      </c>
      <c r="R3574" s="134"/>
      <c r="S3574" s="5" t="s">
        <v>814</v>
      </c>
      <c r="T3574" s="8">
        <v>2145</v>
      </c>
      <c r="U3574" s="8">
        <v>5</v>
      </c>
      <c r="V3574" s="5" t="s">
        <v>23</v>
      </c>
      <c r="W3574" s="12">
        <v>5808145</v>
      </c>
      <c r="X3574" s="6"/>
      <c r="Y3574" s="6"/>
    </row>
    <row r="3575" spans="1:25" ht="15" customHeight="1" x14ac:dyDescent="0.2">
      <c r="A3575" s="88" t="s">
        <v>4190</v>
      </c>
      <c r="B3575" s="90"/>
      <c r="C3575" s="88" t="s">
        <v>4270</v>
      </c>
      <c r="D3575" s="90"/>
      <c r="E3575" s="88" t="s">
        <v>4271</v>
      </c>
      <c r="F3575" s="89"/>
      <c r="G3575" s="89"/>
      <c r="H3575" s="89"/>
      <c r="I3575" s="90"/>
      <c r="J3575" s="88" t="s">
        <v>1718</v>
      </c>
      <c r="K3575" s="89"/>
      <c r="L3575" s="89"/>
      <c r="M3575" s="90"/>
      <c r="N3575" s="88" t="s">
        <v>26</v>
      </c>
      <c r="O3575" s="89"/>
      <c r="P3575" s="90"/>
      <c r="Q3575" s="133">
        <v>2997</v>
      </c>
      <c r="R3575" s="134"/>
      <c r="S3575" s="5" t="s">
        <v>271</v>
      </c>
      <c r="T3575" s="8">
        <v>1700</v>
      </c>
      <c r="U3575" s="8">
        <v>2</v>
      </c>
      <c r="V3575" s="5" t="s">
        <v>23</v>
      </c>
      <c r="W3575" s="12">
        <v>11627328</v>
      </c>
      <c r="X3575" s="6"/>
      <c r="Y3575" s="6"/>
    </row>
    <row r="3576" spans="1:25" ht="15" customHeight="1" x14ac:dyDescent="0.2">
      <c r="A3576" s="88" t="s">
        <v>4190</v>
      </c>
      <c r="B3576" s="90"/>
      <c r="C3576" s="88" t="s">
        <v>4270</v>
      </c>
      <c r="D3576" s="90"/>
      <c r="E3576" s="88" t="s">
        <v>4272</v>
      </c>
      <c r="F3576" s="89"/>
      <c r="G3576" s="89"/>
      <c r="H3576" s="89"/>
      <c r="I3576" s="90"/>
      <c r="J3576" s="88" t="s">
        <v>4211</v>
      </c>
      <c r="K3576" s="89"/>
      <c r="L3576" s="89"/>
      <c r="M3576" s="90"/>
      <c r="N3576" s="88" t="s">
        <v>26</v>
      </c>
      <c r="O3576" s="89"/>
      <c r="P3576" s="90"/>
      <c r="Q3576" s="133">
        <v>3696</v>
      </c>
      <c r="R3576" s="134"/>
      <c r="S3576" s="5" t="s">
        <v>271</v>
      </c>
      <c r="T3576" s="8">
        <v>1660</v>
      </c>
      <c r="U3576" s="8">
        <v>2</v>
      </c>
      <c r="V3576" s="5" t="s">
        <v>23</v>
      </c>
      <c r="W3576" s="12">
        <v>9103311</v>
      </c>
      <c r="X3576" s="6"/>
      <c r="Y3576" s="6"/>
    </row>
    <row r="3577" spans="1:25" ht="15" customHeight="1" x14ac:dyDescent="0.2">
      <c r="A3577" s="88" t="s">
        <v>4190</v>
      </c>
      <c r="B3577" s="90"/>
      <c r="C3577" s="88" t="s">
        <v>4273</v>
      </c>
      <c r="D3577" s="90"/>
      <c r="E3577" s="88" t="s">
        <v>4271</v>
      </c>
      <c r="F3577" s="89"/>
      <c r="G3577" s="89"/>
      <c r="H3577" s="89"/>
      <c r="I3577" s="90"/>
      <c r="J3577" s="88" t="s">
        <v>1718</v>
      </c>
      <c r="K3577" s="89"/>
      <c r="L3577" s="89"/>
      <c r="M3577" s="90"/>
      <c r="N3577" s="88" t="s">
        <v>22</v>
      </c>
      <c r="O3577" s="89"/>
      <c r="P3577" s="90"/>
      <c r="Q3577" s="133">
        <v>2997</v>
      </c>
      <c r="R3577" s="134"/>
      <c r="S3577" s="5" t="s">
        <v>271</v>
      </c>
      <c r="T3577" s="8">
        <v>1700</v>
      </c>
      <c r="U3577" s="8">
        <v>2</v>
      </c>
      <c r="V3577" s="5" t="s">
        <v>23</v>
      </c>
      <c r="W3577" s="12">
        <v>11287269</v>
      </c>
      <c r="X3577" s="6"/>
      <c r="Y3577" s="6"/>
    </row>
    <row r="3578" spans="1:25" ht="15" customHeight="1" x14ac:dyDescent="0.2">
      <c r="A3578" s="88" t="s">
        <v>4190</v>
      </c>
      <c r="B3578" s="90"/>
      <c r="C3578" s="88" t="s">
        <v>4273</v>
      </c>
      <c r="D3578" s="90"/>
      <c r="E3578" s="88" t="s">
        <v>4272</v>
      </c>
      <c r="F3578" s="89"/>
      <c r="G3578" s="89"/>
      <c r="H3578" s="89"/>
      <c r="I3578" s="90"/>
      <c r="J3578" s="88" t="s">
        <v>770</v>
      </c>
      <c r="K3578" s="89"/>
      <c r="L3578" s="89"/>
      <c r="M3578" s="90"/>
      <c r="N3578" s="88" t="s">
        <v>26</v>
      </c>
      <c r="O3578" s="89"/>
      <c r="P3578" s="90"/>
      <c r="Q3578" s="133">
        <v>3696</v>
      </c>
      <c r="R3578" s="134"/>
      <c r="S3578" s="5" t="s">
        <v>271</v>
      </c>
      <c r="T3578" s="8">
        <v>1660</v>
      </c>
      <c r="U3578" s="8">
        <v>2</v>
      </c>
      <c r="V3578" s="5" t="s">
        <v>23</v>
      </c>
      <c r="W3578" s="12">
        <v>9103311</v>
      </c>
      <c r="X3578" s="6"/>
      <c r="Y3578" s="6"/>
    </row>
    <row r="3579" spans="1:25" ht="15" customHeight="1" x14ac:dyDescent="0.2">
      <c r="A3579" s="88" t="s">
        <v>4190</v>
      </c>
      <c r="B3579" s="90"/>
      <c r="C3579" s="88" t="s">
        <v>4273</v>
      </c>
      <c r="D3579" s="90"/>
      <c r="E3579" s="88" t="s">
        <v>4274</v>
      </c>
      <c r="F3579" s="89"/>
      <c r="G3579" s="89"/>
      <c r="H3579" s="89"/>
      <c r="I3579" s="90"/>
      <c r="J3579" s="88" t="s">
        <v>4211</v>
      </c>
      <c r="K3579" s="89"/>
      <c r="L3579" s="89"/>
      <c r="M3579" s="90"/>
      <c r="N3579" s="88" t="s">
        <v>26</v>
      </c>
      <c r="O3579" s="89"/>
      <c r="P3579" s="90"/>
      <c r="Q3579" s="133">
        <v>3696</v>
      </c>
      <c r="R3579" s="134"/>
      <c r="S3579" s="5" t="s">
        <v>271</v>
      </c>
      <c r="T3579" s="8">
        <v>1660</v>
      </c>
      <c r="U3579" s="8">
        <v>2</v>
      </c>
      <c r="V3579" s="5" t="s">
        <v>23</v>
      </c>
      <c r="W3579" s="12">
        <v>8091832</v>
      </c>
      <c r="X3579" s="6"/>
      <c r="Y3579" s="6"/>
    </row>
    <row r="3580" spans="1:25" ht="15" customHeight="1" x14ac:dyDescent="0.2">
      <c r="A3580" s="88" t="s">
        <v>4190</v>
      </c>
      <c r="B3580" s="90"/>
      <c r="C3580" s="88" t="s">
        <v>4275</v>
      </c>
      <c r="D3580" s="90"/>
      <c r="E3580" s="88" t="s">
        <v>4276</v>
      </c>
      <c r="F3580" s="89"/>
      <c r="G3580" s="89"/>
      <c r="H3580" s="89"/>
      <c r="I3580" s="90"/>
      <c r="J3580" s="88" t="s">
        <v>4211</v>
      </c>
      <c r="K3580" s="89"/>
      <c r="L3580" s="89"/>
      <c r="M3580" s="90"/>
      <c r="N3580" s="88" t="s">
        <v>26</v>
      </c>
      <c r="O3580" s="89"/>
      <c r="P3580" s="90"/>
      <c r="Q3580" s="133">
        <v>3696</v>
      </c>
      <c r="R3580" s="134"/>
      <c r="S3580" s="5" t="s">
        <v>44</v>
      </c>
      <c r="T3580" s="8">
        <v>2045</v>
      </c>
      <c r="U3580" s="8">
        <v>5</v>
      </c>
      <c r="V3580" s="5" t="s">
        <v>23</v>
      </c>
      <c r="W3580" s="12">
        <v>9976671</v>
      </c>
      <c r="X3580" s="6"/>
      <c r="Y3580" s="6"/>
    </row>
    <row r="3581" spans="1:25" ht="15" customHeight="1" x14ac:dyDescent="0.2">
      <c r="A3581" s="88" t="s">
        <v>4190</v>
      </c>
      <c r="B3581" s="90"/>
      <c r="C3581" s="88" t="s">
        <v>4277</v>
      </c>
      <c r="D3581" s="90"/>
      <c r="E3581" s="88" t="s">
        <v>4278</v>
      </c>
      <c r="F3581" s="89"/>
      <c r="G3581" s="89"/>
      <c r="H3581" s="89"/>
      <c r="I3581" s="90"/>
      <c r="J3581" s="88" t="s">
        <v>4211</v>
      </c>
      <c r="K3581" s="89"/>
      <c r="L3581" s="89"/>
      <c r="M3581" s="90"/>
      <c r="N3581" s="88" t="s">
        <v>26</v>
      </c>
      <c r="O3581" s="89"/>
      <c r="P3581" s="90"/>
      <c r="Q3581" s="133">
        <v>3696</v>
      </c>
      <c r="R3581" s="134"/>
      <c r="S3581" s="5" t="s">
        <v>44</v>
      </c>
      <c r="T3581" s="8">
        <v>2045</v>
      </c>
      <c r="U3581" s="8">
        <v>5</v>
      </c>
      <c r="V3581" s="5" t="s">
        <v>23</v>
      </c>
      <c r="W3581" s="12">
        <v>9077742</v>
      </c>
      <c r="X3581" s="6"/>
      <c r="Y3581" s="6"/>
    </row>
    <row r="3582" spans="1:25" ht="15" customHeight="1" x14ac:dyDescent="0.2">
      <c r="A3582" s="88" t="s">
        <v>4190</v>
      </c>
      <c r="B3582" s="90"/>
      <c r="C3582" s="88" t="s">
        <v>4277</v>
      </c>
      <c r="D3582" s="90"/>
      <c r="E3582" s="88" t="s">
        <v>4278</v>
      </c>
      <c r="F3582" s="89"/>
      <c r="G3582" s="89"/>
      <c r="H3582" s="89"/>
      <c r="I3582" s="90"/>
      <c r="J3582" s="88" t="s">
        <v>4221</v>
      </c>
      <c r="K3582" s="89"/>
      <c r="L3582" s="89"/>
      <c r="M3582" s="90"/>
      <c r="N3582" s="88" t="s">
        <v>26</v>
      </c>
      <c r="O3582" s="89"/>
      <c r="P3582" s="90"/>
      <c r="Q3582" s="133">
        <v>3696</v>
      </c>
      <c r="R3582" s="134"/>
      <c r="S3582" s="5" t="s">
        <v>44</v>
      </c>
      <c r="T3582" s="8">
        <v>2045</v>
      </c>
      <c r="U3582" s="8">
        <v>4</v>
      </c>
      <c r="V3582" s="5" t="s">
        <v>23</v>
      </c>
      <c r="W3582" s="12">
        <v>9985516</v>
      </c>
      <c r="X3582" s="6"/>
      <c r="Y3582" s="6"/>
    </row>
    <row r="3583" spans="1:25" ht="15" customHeight="1" x14ac:dyDescent="0.2">
      <c r="A3583" s="88" t="s">
        <v>4190</v>
      </c>
      <c r="B3583" s="90"/>
      <c r="C3583" s="88" t="s">
        <v>4279</v>
      </c>
      <c r="D3583" s="90"/>
      <c r="E3583" s="88" t="s">
        <v>4280</v>
      </c>
      <c r="F3583" s="89"/>
      <c r="G3583" s="89"/>
      <c r="H3583" s="89"/>
      <c r="I3583" s="90"/>
      <c r="J3583" s="88" t="s">
        <v>4211</v>
      </c>
      <c r="K3583" s="89"/>
      <c r="L3583" s="89"/>
      <c r="M3583" s="90"/>
      <c r="N3583" s="88" t="s">
        <v>26</v>
      </c>
      <c r="O3583" s="89"/>
      <c r="P3583" s="90"/>
      <c r="Q3583" s="133">
        <v>3498</v>
      </c>
      <c r="R3583" s="134"/>
      <c r="S3583" s="5" t="s">
        <v>44</v>
      </c>
      <c r="T3583" s="8">
        <v>2125</v>
      </c>
      <c r="U3583" s="8">
        <v>5</v>
      </c>
      <c r="V3583" s="5" t="s">
        <v>23</v>
      </c>
      <c r="W3583" s="12">
        <v>10995276</v>
      </c>
      <c r="X3583" s="6"/>
      <c r="Y3583" s="6"/>
    </row>
    <row r="3584" spans="1:25" ht="15" customHeight="1" x14ac:dyDescent="0.2">
      <c r="A3584" s="88" t="s">
        <v>4190</v>
      </c>
      <c r="B3584" s="90"/>
      <c r="C3584" s="88" t="s">
        <v>4279</v>
      </c>
      <c r="D3584" s="90"/>
      <c r="E3584" s="88" t="s">
        <v>4280</v>
      </c>
      <c r="F3584" s="89"/>
      <c r="G3584" s="89"/>
      <c r="H3584" s="89"/>
      <c r="I3584" s="90"/>
      <c r="J3584" s="88" t="s">
        <v>4211</v>
      </c>
      <c r="K3584" s="89"/>
      <c r="L3584" s="89"/>
      <c r="M3584" s="90"/>
      <c r="N3584" s="88" t="s">
        <v>26</v>
      </c>
      <c r="O3584" s="89"/>
      <c r="P3584" s="90"/>
      <c r="Q3584" s="133">
        <v>3498</v>
      </c>
      <c r="R3584" s="134"/>
      <c r="S3584" s="5" t="s">
        <v>44</v>
      </c>
      <c r="T3584" s="8">
        <v>2125</v>
      </c>
      <c r="U3584" s="8">
        <v>5</v>
      </c>
      <c r="V3584" s="5" t="s">
        <v>23</v>
      </c>
      <c r="W3584" s="12">
        <v>10951891</v>
      </c>
      <c r="X3584" s="6"/>
      <c r="Y3584" s="6"/>
    </row>
    <row r="3585" spans="1:25" ht="15" customHeight="1" x14ac:dyDescent="0.2">
      <c r="A3585" s="88" t="s">
        <v>4190</v>
      </c>
      <c r="B3585" s="90"/>
      <c r="C3585" s="88" t="s">
        <v>4279</v>
      </c>
      <c r="D3585" s="90"/>
      <c r="E3585" s="88" t="s">
        <v>4227</v>
      </c>
      <c r="F3585" s="89"/>
      <c r="G3585" s="89"/>
      <c r="H3585" s="89"/>
      <c r="I3585" s="90"/>
      <c r="J3585" s="88" t="s">
        <v>4211</v>
      </c>
      <c r="K3585" s="89"/>
      <c r="L3585" s="89"/>
      <c r="M3585" s="90"/>
      <c r="N3585" s="88" t="s">
        <v>26</v>
      </c>
      <c r="O3585" s="89"/>
      <c r="P3585" s="90"/>
      <c r="Q3585" s="133">
        <v>3498</v>
      </c>
      <c r="R3585" s="134"/>
      <c r="S3585" s="5" t="s">
        <v>44</v>
      </c>
      <c r="T3585" s="8">
        <v>2135</v>
      </c>
      <c r="U3585" s="8">
        <v>5</v>
      </c>
      <c r="V3585" s="5" t="s">
        <v>23</v>
      </c>
      <c r="W3585" s="12">
        <v>9968078</v>
      </c>
      <c r="X3585" s="6"/>
      <c r="Y3585" s="6"/>
    </row>
    <row r="3586" spans="1:25" ht="15" customHeight="1" x14ac:dyDescent="0.2">
      <c r="A3586" s="88" t="s">
        <v>4190</v>
      </c>
      <c r="B3586" s="90"/>
      <c r="C3586" s="88" t="s">
        <v>4279</v>
      </c>
      <c r="D3586" s="90"/>
      <c r="E3586" s="88" t="s">
        <v>4281</v>
      </c>
      <c r="F3586" s="89"/>
      <c r="G3586" s="89"/>
      <c r="H3586" s="89"/>
      <c r="I3586" s="90"/>
      <c r="J3586" s="88" t="s">
        <v>4221</v>
      </c>
      <c r="K3586" s="89"/>
      <c r="L3586" s="89"/>
      <c r="M3586" s="90"/>
      <c r="N3586" s="88" t="s">
        <v>26</v>
      </c>
      <c r="O3586" s="89"/>
      <c r="P3586" s="90"/>
      <c r="Q3586" s="133">
        <v>3498</v>
      </c>
      <c r="R3586" s="134"/>
      <c r="S3586" s="5" t="s">
        <v>44</v>
      </c>
      <c r="T3586" s="8">
        <v>2135</v>
      </c>
      <c r="U3586" s="8">
        <v>4</v>
      </c>
      <c r="V3586" s="5" t="s">
        <v>23</v>
      </c>
      <c r="W3586" s="12">
        <v>10981485</v>
      </c>
      <c r="X3586" s="6"/>
      <c r="Y3586" s="6"/>
    </row>
    <row r="3587" spans="1:25" ht="15" customHeight="1" x14ac:dyDescent="0.2">
      <c r="A3587" s="88" t="s">
        <v>4190</v>
      </c>
      <c r="B3587" s="90"/>
      <c r="C3587" s="88" t="s">
        <v>4282</v>
      </c>
      <c r="D3587" s="90"/>
      <c r="E3587" s="88" t="s">
        <v>4276</v>
      </c>
      <c r="F3587" s="89"/>
      <c r="G3587" s="89"/>
      <c r="H3587" s="89"/>
      <c r="I3587" s="90"/>
      <c r="J3587" s="88" t="s">
        <v>4211</v>
      </c>
      <c r="K3587" s="89"/>
      <c r="L3587" s="89"/>
      <c r="M3587" s="90"/>
      <c r="N3587" s="88" t="s">
        <v>26</v>
      </c>
      <c r="O3587" s="89"/>
      <c r="P3587" s="90"/>
      <c r="Q3587" s="133">
        <v>3696</v>
      </c>
      <c r="R3587" s="134"/>
      <c r="S3587" s="5" t="s">
        <v>44</v>
      </c>
      <c r="T3587" s="8">
        <v>2055</v>
      </c>
      <c r="U3587" s="8">
        <v>5</v>
      </c>
      <c r="V3587" s="5" t="s">
        <v>23</v>
      </c>
      <c r="W3587" s="12">
        <v>10848144</v>
      </c>
      <c r="X3587" s="6"/>
      <c r="Y3587" s="6"/>
    </row>
    <row r="3588" spans="1:25" ht="15" customHeight="1" x14ac:dyDescent="0.2">
      <c r="A3588" s="88" t="s">
        <v>4190</v>
      </c>
      <c r="B3588" s="90"/>
      <c r="C3588" s="88" t="s">
        <v>4283</v>
      </c>
      <c r="D3588" s="90"/>
      <c r="E3588" s="88" t="s">
        <v>4284</v>
      </c>
      <c r="F3588" s="89"/>
      <c r="G3588" s="89"/>
      <c r="H3588" s="89"/>
      <c r="I3588" s="90"/>
      <c r="J3588" s="88" t="s">
        <v>3559</v>
      </c>
      <c r="K3588" s="89"/>
      <c r="L3588" s="89"/>
      <c r="M3588" s="90"/>
      <c r="N3588" s="88" t="s">
        <v>26</v>
      </c>
      <c r="O3588" s="89"/>
      <c r="P3588" s="90"/>
      <c r="Q3588" s="133">
        <v>3799</v>
      </c>
      <c r="R3588" s="134"/>
      <c r="S3588" s="5" t="s">
        <v>271</v>
      </c>
      <c r="T3588" s="8">
        <v>1980</v>
      </c>
      <c r="U3588" s="8">
        <v>4</v>
      </c>
      <c r="V3588" s="5" t="s">
        <v>23</v>
      </c>
      <c r="W3588" s="12">
        <v>29401847</v>
      </c>
      <c r="X3588" s="6"/>
      <c r="Y3588" s="6"/>
    </row>
    <row r="3589" spans="1:25" ht="15" customHeight="1" x14ac:dyDescent="0.2">
      <c r="A3589" s="88" t="s">
        <v>4190</v>
      </c>
      <c r="B3589" s="90"/>
      <c r="C3589" s="88" t="s">
        <v>4285</v>
      </c>
      <c r="D3589" s="90"/>
      <c r="E3589" s="88" t="s">
        <v>4286</v>
      </c>
      <c r="F3589" s="89"/>
      <c r="G3589" s="89"/>
      <c r="H3589" s="89"/>
      <c r="I3589" s="90"/>
      <c r="J3589" s="88" t="s">
        <v>4211</v>
      </c>
      <c r="K3589" s="89"/>
      <c r="L3589" s="89"/>
      <c r="M3589" s="90"/>
      <c r="N3589" s="88" t="s">
        <v>22</v>
      </c>
      <c r="O3589" s="89"/>
      <c r="P3589" s="90"/>
      <c r="Q3589" s="133">
        <v>3799</v>
      </c>
      <c r="R3589" s="134"/>
      <c r="S3589" s="5" t="s">
        <v>271</v>
      </c>
      <c r="T3589" s="8">
        <v>1990</v>
      </c>
      <c r="U3589" s="8">
        <v>4</v>
      </c>
      <c r="V3589" s="5" t="s">
        <v>23</v>
      </c>
      <c r="W3589" s="12">
        <v>21143601</v>
      </c>
      <c r="X3589" s="6"/>
      <c r="Y3589" s="6"/>
    </row>
    <row r="3590" spans="1:25" ht="15" customHeight="1" x14ac:dyDescent="0.2">
      <c r="A3590" s="88" t="s">
        <v>4190</v>
      </c>
      <c r="B3590" s="90"/>
      <c r="C3590" s="88" t="s">
        <v>4285</v>
      </c>
      <c r="D3590" s="90"/>
      <c r="E3590" s="88" t="s">
        <v>4286</v>
      </c>
      <c r="F3590" s="89"/>
      <c r="G3590" s="89"/>
      <c r="H3590" s="89"/>
      <c r="I3590" s="90"/>
      <c r="J3590" s="88" t="s">
        <v>3559</v>
      </c>
      <c r="K3590" s="89"/>
      <c r="L3590" s="89"/>
      <c r="M3590" s="90"/>
      <c r="N3590" s="88" t="s">
        <v>22</v>
      </c>
      <c r="O3590" s="89"/>
      <c r="P3590" s="90"/>
      <c r="Q3590" s="133">
        <v>3799</v>
      </c>
      <c r="R3590" s="134"/>
      <c r="S3590" s="5" t="s">
        <v>271</v>
      </c>
      <c r="T3590" s="8">
        <v>1625</v>
      </c>
      <c r="U3590" s="8">
        <v>4</v>
      </c>
      <c r="V3590" s="5" t="s">
        <v>23</v>
      </c>
      <c r="W3590" s="12">
        <v>18794312</v>
      </c>
      <c r="X3590" s="6"/>
      <c r="Y3590" s="6"/>
    </row>
    <row r="3591" spans="1:25" ht="15" customHeight="1" x14ac:dyDescent="0.2">
      <c r="A3591" s="88" t="s">
        <v>4190</v>
      </c>
      <c r="B3591" s="90"/>
      <c r="C3591" s="88" t="s">
        <v>4285</v>
      </c>
      <c r="D3591" s="90"/>
      <c r="E3591" s="88" t="s">
        <v>4287</v>
      </c>
      <c r="F3591" s="89"/>
      <c r="G3591" s="89"/>
      <c r="H3591" s="89"/>
      <c r="I3591" s="90"/>
      <c r="J3591" s="88" t="s">
        <v>2179</v>
      </c>
      <c r="K3591" s="89"/>
      <c r="L3591" s="89"/>
      <c r="M3591" s="90"/>
      <c r="N3591" s="88" t="s">
        <v>26</v>
      </c>
      <c r="O3591" s="89"/>
      <c r="P3591" s="90"/>
      <c r="Q3591" s="133">
        <v>3799</v>
      </c>
      <c r="R3591" s="134"/>
      <c r="S3591" s="5" t="s">
        <v>271</v>
      </c>
      <c r="T3591" s="8">
        <v>1990</v>
      </c>
      <c r="U3591" s="8">
        <v>4</v>
      </c>
      <c r="V3591" s="5" t="s">
        <v>23</v>
      </c>
      <c r="W3591" s="12">
        <v>20443781</v>
      </c>
      <c r="X3591" s="6"/>
      <c r="Y3591" s="6"/>
    </row>
    <row r="3592" spans="1:25" ht="15" customHeight="1" x14ac:dyDescent="0.2">
      <c r="A3592" s="88" t="s">
        <v>4190</v>
      </c>
      <c r="B3592" s="90"/>
      <c r="C3592" s="88" t="s">
        <v>4288</v>
      </c>
      <c r="D3592" s="90"/>
      <c r="E3592" s="88" t="s">
        <v>4286</v>
      </c>
      <c r="F3592" s="89"/>
      <c r="G3592" s="89"/>
      <c r="H3592" s="89"/>
      <c r="I3592" s="90"/>
      <c r="J3592" s="88" t="s">
        <v>3559</v>
      </c>
      <c r="K3592" s="89"/>
      <c r="L3592" s="89"/>
      <c r="M3592" s="90"/>
      <c r="N3592" s="88" t="s">
        <v>22</v>
      </c>
      <c r="O3592" s="89"/>
      <c r="P3592" s="90"/>
      <c r="Q3592" s="133">
        <v>3799</v>
      </c>
      <c r="R3592" s="134"/>
      <c r="S3592" s="5" t="s">
        <v>271</v>
      </c>
      <c r="T3592" s="8">
        <v>1980</v>
      </c>
      <c r="U3592" s="8">
        <v>4</v>
      </c>
      <c r="V3592" s="5" t="s">
        <v>23</v>
      </c>
      <c r="W3592" s="12">
        <v>35765677</v>
      </c>
      <c r="X3592" s="6"/>
      <c r="Y3592" s="6"/>
    </row>
    <row r="3593" spans="1:25" ht="15" customHeight="1" x14ac:dyDescent="0.2">
      <c r="A3593" s="88" t="s">
        <v>4190</v>
      </c>
      <c r="B3593" s="90"/>
      <c r="C3593" s="88" t="s">
        <v>4289</v>
      </c>
      <c r="D3593" s="90"/>
      <c r="E3593" s="88" t="s">
        <v>4290</v>
      </c>
      <c r="F3593" s="89"/>
      <c r="G3593" s="89"/>
      <c r="H3593" s="89"/>
      <c r="I3593" s="90"/>
      <c r="J3593" s="88" t="s">
        <v>770</v>
      </c>
      <c r="K3593" s="89"/>
      <c r="L3593" s="89"/>
      <c r="M3593" s="90"/>
      <c r="N3593" s="88" t="s">
        <v>26</v>
      </c>
      <c r="O3593" s="89"/>
      <c r="P3593" s="90"/>
      <c r="Q3593" s="133">
        <v>1498</v>
      </c>
      <c r="R3593" s="134"/>
      <c r="S3593" s="5" t="s">
        <v>16</v>
      </c>
      <c r="T3593" s="8">
        <v>1475</v>
      </c>
      <c r="U3593" s="8">
        <v>5</v>
      </c>
      <c r="V3593" s="5" t="s">
        <v>23</v>
      </c>
      <c r="W3593" s="12">
        <v>3279657</v>
      </c>
      <c r="X3593" s="6"/>
      <c r="Y3593" s="6"/>
    </row>
    <row r="3594" spans="1:25" ht="15" customHeight="1" x14ac:dyDescent="0.2">
      <c r="A3594" s="88" t="s">
        <v>4190</v>
      </c>
      <c r="B3594" s="90"/>
      <c r="C3594" s="88" t="s">
        <v>4291</v>
      </c>
      <c r="D3594" s="90"/>
      <c r="E3594" s="88" t="s">
        <v>4290</v>
      </c>
      <c r="F3594" s="89"/>
      <c r="G3594" s="89"/>
      <c r="H3594" s="89"/>
      <c r="I3594" s="90"/>
      <c r="J3594" s="88" t="s">
        <v>770</v>
      </c>
      <c r="K3594" s="89"/>
      <c r="L3594" s="89"/>
      <c r="M3594" s="90"/>
      <c r="N3594" s="88" t="s">
        <v>26</v>
      </c>
      <c r="O3594" s="89"/>
      <c r="P3594" s="90"/>
      <c r="Q3594" s="133">
        <v>1498</v>
      </c>
      <c r="R3594" s="134"/>
      <c r="S3594" s="5" t="s">
        <v>16</v>
      </c>
      <c r="T3594" s="8">
        <v>1475</v>
      </c>
      <c r="U3594" s="8">
        <v>5</v>
      </c>
      <c r="V3594" s="5" t="s">
        <v>23</v>
      </c>
      <c r="W3594" s="12">
        <v>3279657</v>
      </c>
      <c r="X3594" s="6"/>
      <c r="Y3594" s="6"/>
    </row>
    <row r="3595" spans="1:25" ht="15" customHeight="1" x14ac:dyDescent="0.2">
      <c r="A3595" s="88" t="s">
        <v>4190</v>
      </c>
      <c r="B3595" s="90"/>
      <c r="C3595" s="88" t="s">
        <v>4292</v>
      </c>
      <c r="D3595" s="90"/>
      <c r="E3595" s="88" t="s">
        <v>4293</v>
      </c>
      <c r="F3595" s="89"/>
      <c r="G3595" s="89"/>
      <c r="H3595" s="89"/>
      <c r="I3595" s="90"/>
      <c r="J3595" s="88" t="s">
        <v>599</v>
      </c>
      <c r="K3595" s="89"/>
      <c r="L3595" s="89"/>
      <c r="M3595" s="90"/>
      <c r="N3595" s="88" t="s">
        <v>22</v>
      </c>
      <c r="O3595" s="89"/>
      <c r="P3595" s="90"/>
      <c r="Q3595" s="133">
        <v>1198</v>
      </c>
      <c r="R3595" s="134"/>
      <c r="S3595" s="5" t="s">
        <v>16</v>
      </c>
      <c r="T3595" s="8">
        <v>1635</v>
      </c>
      <c r="U3595" s="8">
        <v>5</v>
      </c>
      <c r="V3595" s="5" t="s">
        <v>23</v>
      </c>
      <c r="W3595" s="12">
        <v>5027801</v>
      </c>
      <c r="X3595" s="6"/>
      <c r="Y3595" s="6"/>
    </row>
    <row r="3596" spans="1:25" ht="15" customHeight="1" x14ac:dyDescent="0.2">
      <c r="A3596" s="88" t="s">
        <v>4190</v>
      </c>
      <c r="B3596" s="90"/>
      <c r="C3596" s="88" t="s">
        <v>4292</v>
      </c>
      <c r="D3596" s="90"/>
      <c r="E3596" s="88" t="s">
        <v>4294</v>
      </c>
      <c r="F3596" s="89"/>
      <c r="G3596" s="89"/>
      <c r="H3596" s="89"/>
      <c r="I3596" s="90"/>
      <c r="J3596" s="88" t="s">
        <v>770</v>
      </c>
      <c r="K3596" s="89"/>
      <c r="L3596" s="89"/>
      <c r="M3596" s="90"/>
      <c r="N3596" s="88" t="s">
        <v>26</v>
      </c>
      <c r="O3596" s="89"/>
      <c r="P3596" s="90"/>
      <c r="Q3596" s="133">
        <v>1198</v>
      </c>
      <c r="R3596" s="134"/>
      <c r="S3596" s="5" t="s">
        <v>16</v>
      </c>
      <c r="T3596" s="8">
        <v>1635</v>
      </c>
      <c r="U3596" s="8">
        <v>5</v>
      </c>
      <c r="V3596" s="5" t="s">
        <v>23</v>
      </c>
      <c r="W3596" s="12">
        <v>4692123</v>
      </c>
      <c r="X3596" s="6"/>
      <c r="Y3596" s="6"/>
    </row>
    <row r="3597" spans="1:25" ht="15" customHeight="1" x14ac:dyDescent="0.2">
      <c r="A3597" s="88" t="s">
        <v>4190</v>
      </c>
      <c r="B3597" s="90"/>
      <c r="C3597" s="88" t="s">
        <v>4295</v>
      </c>
      <c r="D3597" s="90"/>
      <c r="E3597" s="88" t="s">
        <v>4296</v>
      </c>
      <c r="F3597" s="89"/>
      <c r="G3597" s="89"/>
      <c r="H3597" s="89"/>
      <c r="I3597" s="90"/>
      <c r="J3597" s="88" t="s">
        <v>770</v>
      </c>
      <c r="K3597" s="89"/>
      <c r="L3597" s="89"/>
      <c r="M3597" s="90"/>
      <c r="N3597" s="88" t="s">
        <v>22</v>
      </c>
      <c r="O3597" s="89"/>
      <c r="P3597" s="90"/>
      <c r="Q3597" s="133">
        <v>1198</v>
      </c>
      <c r="R3597" s="134"/>
      <c r="S3597" s="5" t="s">
        <v>16</v>
      </c>
      <c r="T3597" s="8">
        <v>1755</v>
      </c>
      <c r="U3597" s="8">
        <v>5</v>
      </c>
      <c r="V3597" s="5" t="s">
        <v>23</v>
      </c>
      <c r="W3597" s="12">
        <v>5837487</v>
      </c>
      <c r="X3597" s="6"/>
      <c r="Y3597" s="6"/>
    </row>
    <row r="3598" spans="1:25" ht="15" customHeight="1" x14ac:dyDescent="0.2">
      <c r="A3598" s="88" t="s">
        <v>4190</v>
      </c>
      <c r="B3598" s="90"/>
      <c r="C3598" s="88" t="s">
        <v>4297</v>
      </c>
      <c r="D3598" s="90"/>
      <c r="E3598" s="88" t="s">
        <v>4298</v>
      </c>
      <c r="F3598" s="89"/>
      <c r="G3598" s="89"/>
      <c r="H3598" s="89"/>
      <c r="I3598" s="90"/>
      <c r="J3598" s="88" t="s">
        <v>2179</v>
      </c>
      <c r="K3598" s="89"/>
      <c r="L3598" s="89"/>
      <c r="M3598" s="90"/>
      <c r="N3598" s="88" t="s">
        <v>26</v>
      </c>
      <c r="O3598" s="89"/>
      <c r="P3598" s="90"/>
      <c r="Q3598" s="133">
        <v>1997</v>
      </c>
      <c r="R3598" s="134"/>
      <c r="S3598" s="5" t="s">
        <v>1101</v>
      </c>
      <c r="T3598" s="8">
        <v>1885</v>
      </c>
      <c r="U3598" s="8">
        <v>7</v>
      </c>
      <c r="V3598" s="5" t="s">
        <v>23</v>
      </c>
      <c r="W3598" s="12">
        <v>4366448</v>
      </c>
      <c r="X3598" s="6"/>
      <c r="Y3598" s="6"/>
    </row>
    <row r="3599" spans="1:25" ht="15" customHeight="1" x14ac:dyDescent="0.2">
      <c r="A3599" s="88" t="s">
        <v>4190</v>
      </c>
      <c r="B3599" s="90"/>
      <c r="C3599" s="88" t="s">
        <v>4299</v>
      </c>
      <c r="D3599" s="90"/>
      <c r="E3599" s="88" t="s">
        <v>4300</v>
      </c>
      <c r="F3599" s="89"/>
      <c r="G3599" s="89"/>
      <c r="H3599" s="89"/>
      <c r="I3599" s="90"/>
      <c r="J3599" s="88" t="s">
        <v>770</v>
      </c>
      <c r="K3599" s="89"/>
      <c r="L3599" s="89"/>
      <c r="M3599" s="90"/>
      <c r="N3599" s="88" t="s">
        <v>26</v>
      </c>
      <c r="O3599" s="89"/>
      <c r="P3599" s="90"/>
      <c r="Q3599" s="133">
        <v>0</v>
      </c>
      <c r="R3599" s="134"/>
      <c r="S3599" s="5" t="s">
        <v>27</v>
      </c>
      <c r="T3599" s="8">
        <v>1995</v>
      </c>
      <c r="U3599" s="8">
        <v>5</v>
      </c>
      <c r="V3599" s="5" t="s">
        <v>17</v>
      </c>
      <c r="W3599" s="12">
        <v>7386620</v>
      </c>
      <c r="X3599" s="6"/>
      <c r="Y3599" s="6"/>
    </row>
    <row r="3600" spans="1:25" ht="15" customHeight="1" x14ac:dyDescent="0.2">
      <c r="A3600" s="88" t="s">
        <v>4190</v>
      </c>
      <c r="B3600" s="90"/>
      <c r="C3600" s="88" t="s">
        <v>4301</v>
      </c>
      <c r="D3600" s="90"/>
      <c r="E3600" s="88" t="s">
        <v>4300</v>
      </c>
      <c r="F3600" s="89"/>
      <c r="G3600" s="89"/>
      <c r="H3600" s="89"/>
      <c r="I3600" s="90"/>
      <c r="J3600" s="88" t="s">
        <v>770</v>
      </c>
      <c r="K3600" s="89"/>
      <c r="L3600" s="89"/>
      <c r="M3600" s="90"/>
      <c r="N3600" s="88" t="s">
        <v>26</v>
      </c>
      <c r="O3600" s="89"/>
      <c r="P3600" s="90"/>
      <c r="Q3600" s="133">
        <v>0</v>
      </c>
      <c r="R3600" s="134"/>
      <c r="S3600" s="5" t="s">
        <v>27</v>
      </c>
      <c r="T3600" s="8">
        <v>1795</v>
      </c>
      <c r="U3600" s="8">
        <v>5</v>
      </c>
      <c r="V3600" s="5" t="s">
        <v>17</v>
      </c>
      <c r="W3600" s="12">
        <v>6195466</v>
      </c>
      <c r="X3600" s="6"/>
      <c r="Y3600" s="6"/>
    </row>
    <row r="3601" spans="1:25" ht="15" customHeight="1" x14ac:dyDescent="0.2">
      <c r="A3601" s="88" t="s">
        <v>4190</v>
      </c>
      <c r="B3601" s="90"/>
      <c r="C3601" s="88" t="s">
        <v>4301</v>
      </c>
      <c r="D3601" s="90"/>
      <c r="E3601" s="88" t="s">
        <v>4300</v>
      </c>
      <c r="F3601" s="89"/>
      <c r="G3601" s="89"/>
      <c r="H3601" s="89"/>
      <c r="I3601" s="90"/>
      <c r="J3601" s="88" t="s">
        <v>770</v>
      </c>
      <c r="K3601" s="89"/>
      <c r="L3601" s="89"/>
      <c r="M3601" s="90"/>
      <c r="N3601" s="88" t="s">
        <v>26</v>
      </c>
      <c r="O3601" s="89"/>
      <c r="P3601" s="90"/>
      <c r="Q3601" s="133">
        <v>2488</v>
      </c>
      <c r="R3601" s="134"/>
      <c r="S3601" s="5" t="s">
        <v>27</v>
      </c>
      <c r="T3601" s="8">
        <v>1795</v>
      </c>
      <c r="U3601" s="8">
        <v>5</v>
      </c>
      <c r="V3601" s="5" t="s">
        <v>23</v>
      </c>
      <c r="W3601" s="12">
        <v>6453611</v>
      </c>
      <c r="X3601" s="6"/>
      <c r="Y3601" s="6"/>
    </row>
    <row r="3602" spans="1:25" ht="15" customHeight="1" x14ac:dyDescent="0.2">
      <c r="A3602" s="88" t="s">
        <v>4190</v>
      </c>
      <c r="B3602" s="90"/>
      <c r="C3602" s="88" t="s">
        <v>4302</v>
      </c>
      <c r="D3602" s="90"/>
      <c r="E3602" s="88" t="s">
        <v>4303</v>
      </c>
      <c r="F3602" s="89"/>
      <c r="G3602" s="89"/>
      <c r="H3602" s="89"/>
      <c r="I3602" s="90"/>
      <c r="J3602" s="88" t="s">
        <v>770</v>
      </c>
      <c r="K3602" s="89"/>
      <c r="L3602" s="89"/>
      <c r="M3602" s="90"/>
      <c r="N3602" s="88" t="s">
        <v>26</v>
      </c>
      <c r="O3602" s="89"/>
      <c r="P3602" s="90"/>
      <c r="Q3602" s="133">
        <v>1198</v>
      </c>
      <c r="R3602" s="134"/>
      <c r="S3602" s="5" t="s">
        <v>27</v>
      </c>
      <c r="T3602" s="8">
        <v>1225</v>
      </c>
      <c r="U3602" s="8">
        <v>5</v>
      </c>
      <c r="V3602" s="5" t="s">
        <v>23</v>
      </c>
      <c r="W3602" s="12">
        <v>2417825</v>
      </c>
      <c r="X3602" s="6"/>
      <c r="Y3602" s="6"/>
    </row>
    <row r="3603" spans="1:25" ht="15" customHeight="1" x14ac:dyDescent="0.2">
      <c r="A3603" s="88" t="s">
        <v>4190</v>
      </c>
      <c r="B3603" s="90"/>
      <c r="C3603" s="88" t="s">
        <v>4302</v>
      </c>
      <c r="D3603" s="90"/>
      <c r="E3603" s="88" t="s">
        <v>4304</v>
      </c>
      <c r="F3603" s="89"/>
      <c r="G3603" s="89"/>
      <c r="H3603" s="89"/>
      <c r="I3603" s="90"/>
      <c r="J3603" s="88" t="s">
        <v>770</v>
      </c>
      <c r="K3603" s="89"/>
      <c r="L3603" s="89"/>
      <c r="M3603" s="90"/>
      <c r="N3603" s="88" t="s">
        <v>26</v>
      </c>
      <c r="O3603" s="89"/>
      <c r="P3603" s="90"/>
      <c r="Q3603" s="133">
        <v>1198</v>
      </c>
      <c r="R3603" s="134"/>
      <c r="S3603" s="5" t="s">
        <v>27</v>
      </c>
      <c r="T3603" s="8">
        <v>1245</v>
      </c>
      <c r="U3603" s="8">
        <v>5</v>
      </c>
      <c r="V3603" s="5" t="s">
        <v>23</v>
      </c>
      <c r="W3603" s="12">
        <v>2545255</v>
      </c>
      <c r="X3603" s="6"/>
      <c r="Y3603" s="6"/>
    </row>
    <row r="3604" spans="1:25" ht="15" customHeight="1" x14ac:dyDescent="0.2">
      <c r="A3604" s="88" t="s">
        <v>4190</v>
      </c>
      <c r="B3604" s="90"/>
      <c r="C3604" s="88" t="s">
        <v>4302</v>
      </c>
      <c r="D3604" s="90"/>
      <c r="E3604" s="88" t="s">
        <v>4303</v>
      </c>
      <c r="F3604" s="89"/>
      <c r="G3604" s="89"/>
      <c r="H3604" s="89"/>
      <c r="I3604" s="90"/>
      <c r="J3604" s="88" t="s">
        <v>770</v>
      </c>
      <c r="K3604" s="89"/>
      <c r="L3604" s="89"/>
      <c r="M3604" s="90"/>
      <c r="N3604" s="88" t="s">
        <v>26</v>
      </c>
      <c r="O3604" s="89"/>
      <c r="P3604" s="90"/>
      <c r="Q3604" s="133">
        <v>1198</v>
      </c>
      <c r="R3604" s="134"/>
      <c r="S3604" s="5" t="s">
        <v>27</v>
      </c>
      <c r="T3604" s="8">
        <v>1225</v>
      </c>
      <c r="U3604" s="8">
        <v>5</v>
      </c>
      <c r="V3604" s="5" t="s">
        <v>23</v>
      </c>
      <c r="W3604" s="12">
        <v>2417825</v>
      </c>
      <c r="X3604" s="6"/>
      <c r="Y3604" s="6"/>
    </row>
    <row r="3605" spans="1:25" ht="15" customHeight="1" x14ac:dyDescent="0.2">
      <c r="A3605" s="88" t="s">
        <v>4190</v>
      </c>
      <c r="B3605" s="90"/>
      <c r="C3605" s="88" t="s">
        <v>4302</v>
      </c>
      <c r="D3605" s="90"/>
      <c r="E3605" s="88" t="s">
        <v>4305</v>
      </c>
      <c r="F3605" s="89"/>
      <c r="G3605" s="89"/>
      <c r="H3605" s="89"/>
      <c r="I3605" s="90"/>
      <c r="J3605" s="88" t="s">
        <v>770</v>
      </c>
      <c r="K3605" s="89"/>
      <c r="L3605" s="89"/>
      <c r="M3605" s="90"/>
      <c r="N3605" s="88" t="s">
        <v>26</v>
      </c>
      <c r="O3605" s="89"/>
      <c r="P3605" s="90"/>
      <c r="Q3605" s="133">
        <v>1198</v>
      </c>
      <c r="R3605" s="134"/>
      <c r="S3605" s="5" t="s">
        <v>27</v>
      </c>
      <c r="T3605" s="8">
        <v>1245</v>
      </c>
      <c r="U3605" s="8">
        <v>4</v>
      </c>
      <c r="V3605" s="5" t="s">
        <v>23</v>
      </c>
      <c r="W3605" s="12">
        <v>2799781</v>
      </c>
      <c r="X3605" s="6"/>
      <c r="Y3605" s="6"/>
    </row>
    <row r="3606" spans="1:25" ht="15" customHeight="1" x14ac:dyDescent="0.2">
      <c r="A3606" s="88" t="s">
        <v>4190</v>
      </c>
      <c r="B3606" s="90"/>
      <c r="C3606" s="88" t="s">
        <v>4306</v>
      </c>
      <c r="D3606" s="90"/>
      <c r="E3606" s="88" t="s">
        <v>4307</v>
      </c>
      <c r="F3606" s="89"/>
      <c r="G3606" s="89"/>
      <c r="H3606" s="89"/>
      <c r="I3606" s="90"/>
      <c r="J3606" s="88" t="s">
        <v>770</v>
      </c>
      <c r="K3606" s="89"/>
      <c r="L3606" s="89"/>
      <c r="M3606" s="90"/>
      <c r="N3606" s="88" t="s">
        <v>26</v>
      </c>
      <c r="O3606" s="89"/>
      <c r="P3606" s="90"/>
      <c r="Q3606" s="133">
        <v>1198</v>
      </c>
      <c r="R3606" s="134"/>
      <c r="S3606" s="5" t="s">
        <v>27</v>
      </c>
      <c r="T3606" s="8">
        <v>1505</v>
      </c>
      <c r="U3606" s="8">
        <v>5</v>
      </c>
      <c r="V3606" s="5" t="s">
        <v>23</v>
      </c>
      <c r="W3606" s="12">
        <v>3764228</v>
      </c>
      <c r="X3606" s="6"/>
      <c r="Y3606" s="6"/>
    </row>
    <row r="3607" spans="1:25" ht="15" customHeight="1" x14ac:dyDescent="0.2">
      <c r="A3607" s="88" t="s">
        <v>4190</v>
      </c>
      <c r="B3607" s="90"/>
      <c r="C3607" s="88" t="s">
        <v>4308</v>
      </c>
      <c r="D3607" s="90"/>
      <c r="E3607" s="88" t="s">
        <v>4307</v>
      </c>
      <c r="F3607" s="89"/>
      <c r="G3607" s="89"/>
      <c r="H3607" s="89"/>
      <c r="I3607" s="90"/>
      <c r="J3607" s="88" t="s">
        <v>770</v>
      </c>
      <c r="K3607" s="89"/>
      <c r="L3607" s="89"/>
      <c r="M3607" s="90"/>
      <c r="N3607" s="88" t="s">
        <v>26</v>
      </c>
      <c r="O3607" s="89"/>
      <c r="P3607" s="90"/>
      <c r="Q3607" s="133">
        <v>1198</v>
      </c>
      <c r="R3607" s="134"/>
      <c r="S3607" s="5" t="s">
        <v>27</v>
      </c>
      <c r="T3607" s="8">
        <v>1485</v>
      </c>
      <c r="U3607" s="8">
        <v>5</v>
      </c>
      <c r="V3607" s="5" t="s">
        <v>23</v>
      </c>
      <c r="W3607" s="12">
        <v>3246123</v>
      </c>
      <c r="X3607" s="6"/>
      <c r="Y3607" s="6"/>
    </row>
    <row r="3608" spans="1:25" ht="15" customHeight="1" x14ac:dyDescent="0.2">
      <c r="A3608" s="88" t="s">
        <v>4190</v>
      </c>
      <c r="B3608" s="90"/>
      <c r="C3608" s="88" t="s">
        <v>4309</v>
      </c>
      <c r="D3608" s="90"/>
      <c r="E3608" s="88" t="s">
        <v>4310</v>
      </c>
      <c r="F3608" s="89"/>
      <c r="G3608" s="89"/>
      <c r="H3608" s="89"/>
      <c r="I3608" s="90"/>
      <c r="J3608" s="88" t="s">
        <v>770</v>
      </c>
      <c r="K3608" s="89"/>
      <c r="L3608" s="89"/>
      <c r="M3608" s="90"/>
      <c r="N3608" s="88" t="s">
        <v>22</v>
      </c>
      <c r="O3608" s="89"/>
      <c r="P3608" s="90"/>
      <c r="Q3608" s="133">
        <v>1198</v>
      </c>
      <c r="R3608" s="134"/>
      <c r="S3608" s="5" t="s">
        <v>27</v>
      </c>
      <c r="T3608" s="8">
        <v>1495</v>
      </c>
      <c r="U3608" s="8">
        <v>5</v>
      </c>
      <c r="V3608" s="5" t="s">
        <v>23</v>
      </c>
      <c r="W3608" s="12">
        <v>3771773</v>
      </c>
      <c r="X3608" s="6"/>
      <c r="Y3608" s="6"/>
    </row>
    <row r="3609" spans="1:25" ht="15" customHeight="1" x14ac:dyDescent="0.2">
      <c r="A3609" s="88" t="s">
        <v>4190</v>
      </c>
      <c r="B3609" s="90"/>
      <c r="C3609" s="88" t="s">
        <v>4309</v>
      </c>
      <c r="D3609" s="90"/>
      <c r="E3609" s="88" t="s">
        <v>4310</v>
      </c>
      <c r="F3609" s="89"/>
      <c r="G3609" s="89"/>
      <c r="H3609" s="89"/>
      <c r="I3609" s="90"/>
      <c r="J3609" s="88" t="s">
        <v>770</v>
      </c>
      <c r="K3609" s="89"/>
      <c r="L3609" s="89"/>
      <c r="M3609" s="90"/>
      <c r="N3609" s="88" t="s">
        <v>26</v>
      </c>
      <c r="O3609" s="89"/>
      <c r="P3609" s="90"/>
      <c r="Q3609" s="133">
        <v>1198</v>
      </c>
      <c r="R3609" s="134"/>
      <c r="S3609" s="5" t="s">
        <v>27</v>
      </c>
      <c r="T3609" s="8">
        <v>1495</v>
      </c>
      <c r="U3609" s="8">
        <v>5</v>
      </c>
      <c r="V3609" s="5" t="s">
        <v>23</v>
      </c>
      <c r="W3609" s="12">
        <v>3666643</v>
      </c>
      <c r="X3609" s="6"/>
      <c r="Y3609" s="6"/>
    </row>
    <row r="3610" spans="1:25" ht="15" customHeight="1" x14ac:dyDescent="0.2">
      <c r="A3610" s="88" t="s">
        <v>4190</v>
      </c>
      <c r="B3610" s="90"/>
      <c r="C3610" s="88" t="s">
        <v>4311</v>
      </c>
      <c r="D3610" s="90"/>
      <c r="E3610" s="88" t="s">
        <v>4235</v>
      </c>
      <c r="F3610" s="89"/>
      <c r="G3610" s="89"/>
      <c r="H3610" s="89"/>
      <c r="I3610" s="90"/>
      <c r="J3610" s="88" t="s">
        <v>26</v>
      </c>
      <c r="K3610" s="89"/>
      <c r="L3610" s="89"/>
      <c r="M3610" s="90"/>
      <c r="N3610" s="88" t="s">
        <v>963</v>
      </c>
      <c r="O3610" s="89"/>
      <c r="P3610" s="90"/>
      <c r="Q3610" s="133">
        <v>658</v>
      </c>
      <c r="R3610" s="134"/>
      <c r="S3610" s="5" t="s">
        <v>945</v>
      </c>
      <c r="T3610" s="8">
        <v>1310</v>
      </c>
      <c r="U3610" s="8">
        <v>2</v>
      </c>
      <c r="V3610" s="5" t="s">
        <v>23</v>
      </c>
      <c r="W3610" s="12">
        <v>2687273</v>
      </c>
      <c r="X3610" s="6"/>
      <c r="Y3610" s="6"/>
    </row>
    <row r="3611" spans="1:25" ht="15" customHeight="1" x14ac:dyDescent="0.2">
      <c r="A3611" s="88" t="s">
        <v>4190</v>
      </c>
      <c r="B3611" s="90"/>
      <c r="C3611" s="88" t="s">
        <v>4311</v>
      </c>
      <c r="D3611" s="90"/>
      <c r="E3611" s="88" t="s">
        <v>4235</v>
      </c>
      <c r="F3611" s="89"/>
      <c r="G3611" s="89"/>
      <c r="H3611" s="89"/>
      <c r="I3611" s="90"/>
      <c r="J3611" s="88" t="s">
        <v>22</v>
      </c>
      <c r="K3611" s="89"/>
      <c r="L3611" s="89"/>
      <c r="M3611" s="90"/>
      <c r="N3611" s="88" t="s">
        <v>963</v>
      </c>
      <c r="O3611" s="89"/>
      <c r="P3611" s="90"/>
      <c r="Q3611" s="133">
        <v>658</v>
      </c>
      <c r="R3611" s="134"/>
      <c r="S3611" s="5" t="s">
        <v>945</v>
      </c>
      <c r="T3611" s="8">
        <v>1450</v>
      </c>
      <c r="U3611" s="8">
        <v>2</v>
      </c>
      <c r="V3611" s="5" t="s">
        <v>23</v>
      </c>
      <c r="W3611" s="12">
        <v>2855112</v>
      </c>
      <c r="X3611" s="6"/>
      <c r="Y3611" s="6"/>
    </row>
    <row r="3612" spans="1:25" ht="15" customHeight="1" x14ac:dyDescent="0.2">
      <c r="A3612" s="88" t="s">
        <v>4190</v>
      </c>
      <c r="B3612" s="90"/>
      <c r="C3612" s="88" t="s">
        <v>4312</v>
      </c>
      <c r="D3612" s="90"/>
      <c r="E3612" s="88" t="s">
        <v>4313</v>
      </c>
      <c r="F3612" s="89"/>
      <c r="G3612" s="89"/>
      <c r="H3612" s="89"/>
      <c r="I3612" s="90"/>
      <c r="J3612" s="88" t="s">
        <v>963</v>
      </c>
      <c r="K3612" s="89"/>
      <c r="L3612" s="89"/>
      <c r="M3612" s="90"/>
      <c r="N3612" s="88" t="s">
        <v>22</v>
      </c>
      <c r="O3612" s="89"/>
      <c r="P3612" s="90"/>
      <c r="Q3612" s="133">
        <v>658</v>
      </c>
      <c r="R3612" s="134"/>
      <c r="S3612" s="5" t="s">
        <v>945</v>
      </c>
      <c r="T3612" s="8">
        <v>2975</v>
      </c>
      <c r="U3612" s="8">
        <v>2</v>
      </c>
      <c r="V3612" s="5" t="s">
        <v>106</v>
      </c>
      <c r="W3612" s="12">
        <v>1592880</v>
      </c>
      <c r="X3612" s="6"/>
      <c r="Y3612" s="6"/>
    </row>
    <row r="3613" spans="1:25" ht="15" customHeight="1" x14ac:dyDescent="0.2">
      <c r="A3613" s="88" t="s">
        <v>4190</v>
      </c>
      <c r="B3613" s="90"/>
      <c r="C3613" s="88" t="s">
        <v>4312</v>
      </c>
      <c r="D3613" s="90"/>
      <c r="E3613" s="88" t="s">
        <v>4313</v>
      </c>
      <c r="F3613" s="89"/>
      <c r="G3613" s="89"/>
      <c r="H3613" s="89"/>
      <c r="I3613" s="90"/>
      <c r="J3613" s="88" t="s">
        <v>963</v>
      </c>
      <c r="K3613" s="89"/>
      <c r="L3613" s="89"/>
      <c r="M3613" s="90"/>
      <c r="N3613" s="88" t="s">
        <v>22</v>
      </c>
      <c r="O3613" s="89"/>
      <c r="P3613" s="90"/>
      <c r="Q3613" s="133">
        <v>658</v>
      </c>
      <c r="R3613" s="134"/>
      <c r="S3613" s="5" t="s">
        <v>945</v>
      </c>
      <c r="T3613" s="8">
        <v>1230</v>
      </c>
      <c r="U3613" s="8">
        <v>2</v>
      </c>
      <c r="V3613" s="5" t="s">
        <v>23</v>
      </c>
      <c r="W3613" s="12">
        <v>1592880</v>
      </c>
      <c r="X3613" s="6"/>
      <c r="Y3613" s="6"/>
    </row>
    <row r="3614" spans="1:25" ht="15" customHeight="1" x14ac:dyDescent="0.2">
      <c r="A3614" s="88" t="s">
        <v>4190</v>
      </c>
      <c r="B3614" s="90"/>
      <c r="C3614" s="88" t="s">
        <v>4312</v>
      </c>
      <c r="D3614" s="90"/>
      <c r="E3614" s="88" t="s">
        <v>4235</v>
      </c>
      <c r="F3614" s="89"/>
      <c r="G3614" s="89"/>
      <c r="H3614" s="89"/>
      <c r="I3614" s="90"/>
      <c r="J3614" s="88" t="s">
        <v>4314</v>
      </c>
      <c r="K3614" s="89"/>
      <c r="L3614" s="89"/>
      <c r="M3614" s="90"/>
      <c r="N3614" s="88" t="s">
        <v>22</v>
      </c>
      <c r="O3614" s="89"/>
      <c r="P3614" s="90"/>
      <c r="Q3614" s="133">
        <v>658</v>
      </c>
      <c r="R3614" s="134"/>
      <c r="S3614" s="5" t="s">
        <v>945</v>
      </c>
      <c r="T3614" s="8">
        <v>1220</v>
      </c>
      <c r="U3614" s="8">
        <v>2</v>
      </c>
      <c r="V3614" s="5" t="s">
        <v>23</v>
      </c>
      <c r="W3614" s="12">
        <v>1792745</v>
      </c>
      <c r="X3614" s="6"/>
      <c r="Y3614" s="6"/>
    </row>
    <row r="3615" spans="1:25" ht="15" customHeight="1" x14ac:dyDescent="0.2">
      <c r="A3615" s="88" t="s">
        <v>4190</v>
      </c>
      <c r="B3615" s="90"/>
      <c r="C3615" s="88" t="s">
        <v>4315</v>
      </c>
      <c r="D3615" s="90"/>
      <c r="E3615" s="88" t="s">
        <v>4316</v>
      </c>
      <c r="F3615" s="89"/>
      <c r="G3615" s="89"/>
      <c r="H3615" s="89"/>
      <c r="I3615" s="90"/>
      <c r="J3615" s="88" t="s">
        <v>3559</v>
      </c>
      <c r="K3615" s="89"/>
      <c r="L3615" s="89"/>
      <c r="M3615" s="90"/>
      <c r="N3615" s="88" t="s">
        <v>22</v>
      </c>
      <c r="O3615" s="89"/>
      <c r="P3615" s="90"/>
      <c r="Q3615" s="133">
        <v>2998</v>
      </c>
      <c r="R3615" s="134"/>
      <c r="S3615" s="5" t="s">
        <v>945</v>
      </c>
      <c r="T3615" s="8">
        <v>4890</v>
      </c>
      <c r="U3615" s="8">
        <v>6</v>
      </c>
      <c r="V3615" s="5" t="s">
        <v>106</v>
      </c>
      <c r="W3615" s="12">
        <v>8088409</v>
      </c>
      <c r="X3615" s="6"/>
      <c r="Y3615" s="6"/>
    </row>
    <row r="3616" spans="1:25" ht="15" customHeight="1" x14ac:dyDescent="0.2">
      <c r="A3616" s="88" t="s">
        <v>4190</v>
      </c>
      <c r="B3616" s="90"/>
      <c r="C3616" s="88" t="s">
        <v>4317</v>
      </c>
      <c r="D3616" s="90"/>
      <c r="E3616" s="88" t="s">
        <v>4318</v>
      </c>
      <c r="F3616" s="89"/>
      <c r="G3616" s="89"/>
      <c r="H3616" s="89"/>
      <c r="I3616" s="90"/>
      <c r="J3616" s="88" t="s">
        <v>3559</v>
      </c>
      <c r="K3616" s="89"/>
      <c r="L3616" s="89"/>
      <c r="M3616" s="90"/>
      <c r="N3616" s="88" t="s">
        <v>22</v>
      </c>
      <c r="O3616" s="89"/>
      <c r="P3616" s="90"/>
      <c r="Q3616" s="133">
        <v>2998</v>
      </c>
      <c r="R3616" s="134"/>
      <c r="S3616" s="5" t="s">
        <v>945</v>
      </c>
      <c r="T3616" s="8">
        <v>5525</v>
      </c>
      <c r="U3616" s="8">
        <v>3</v>
      </c>
      <c r="V3616" s="5" t="s">
        <v>106</v>
      </c>
      <c r="W3616" s="12">
        <v>7552209</v>
      </c>
      <c r="X3616" s="6"/>
      <c r="Y3616" s="6"/>
    </row>
    <row r="3617" spans="1:25" ht="15" customHeight="1" x14ac:dyDescent="0.2">
      <c r="A3617" s="88" t="s">
        <v>4190</v>
      </c>
      <c r="B3617" s="90"/>
      <c r="C3617" s="88" t="s">
        <v>4319</v>
      </c>
      <c r="D3617" s="90"/>
      <c r="E3617" s="88" t="s">
        <v>4320</v>
      </c>
      <c r="F3617" s="89"/>
      <c r="G3617" s="89"/>
      <c r="H3617" s="89"/>
      <c r="I3617" s="90"/>
      <c r="J3617" s="88" t="s">
        <v>963</v>
      </c>
      <c r="K3617" s="89"/>
      <c r="L3617" s="89"/>
      <c r="M3617" s="90"/>
      <c r="N3617" s="88" t="s">
        <v>26</v>
      </c>
      <c r="O3617" s="89"/>
      <c r="P3617" s="90"/>
      <c r="Q3617" s="133">
        <v>2998</v>
      </c>
      <c r="R3617" s="134"/>
      <c r="S3617" s="5" t="s">
        <v>945</v>
      </c>
      <c r="T3617" s="8">
        <v>4925</v>
      </c>
      <c r="U3617" s="8">
        <v>3</v>
      </c>
      <c r="V3617" s="5" t="s">
        <v>106</v>
      </c>
      <c r="W3617" s="12">
        <v>7632552</v>
      </c>
      <c r="X3617" s="6"/>
      <c r="Y3617" s="6"/>
    </row>
    <row r="3618" spans="1:25" ht="15" customHeight="1" x14ac:dyDescent="0.2">
      <c r="A3618" s="88" t="s">
        <v>4190</v>
      </c>
      <c r="B3618" s="90"/>
      <c r="C3618" s="88" t="s">
        <v>4319</v>
      </c>
      <c r="D3618" s="90"/>
      <c r="E3618" s="88" t="s">
        <v>4321</v>
      </c>
      <c r="F3618" s="89"/>
      <c r="G3618" s="89"/>
      <c r="H3618" s="89"/>
      <c r="I3618" s="90"/>
      <c r="J3618" s="88" t="s">
        <v>3559</v>
      </c>
      <c r="K3618" s="89"/>
      <c r="L3618" s="89"/>
      <c r="M3618" s="90"/>
      <c r="N3618" s="88" t="s">
        <v>22</v>
      </c>
      <c r="O3618" s="89"/>
      <c r="P3618" s="90"/>
      <c r="Q3618" s="133">
        <v>2998</v>
      </c>
      <c r="R3618" s="134"/>
      <c r="S3618" s="5" t="s">
        <v>945</v>
      </c>
      <c r="T3618" s="8">
        <v>4905</v>
      </c>
      <c r="U3618" s="8">
        <v>3</v>
      </c>
      <c r="V3618" s="5" t="s">
        <v>106</v>
      </c>
      <c r="W3618" s="12">
        <v>8736390</v>
      </c>
      <c r="X3618" s="6"/>
      <c r="Y3618" s="6"/>
    </row>
    <row r="3619" spans="1:25" ht="15" customHeight="1" x14ac:dyDescent="0.2">
      <c r="A3619" s="88" t="s">
        <v>4190</v>
      </c>
      <c r="B3619" s="90"/>
      <c r="C3619" s="88" t="s">
        <v>4322</v>
      </c>
      <c r="D3619" s="90"/>
      <c r="E3619" s="88" t="s">
        <v>4320</v>
      </c>
      <c r="F3619" s="89"/>
      <c r="G3619" s="89"/>
      <c r="H3619" s="89"/>
      <c r="I3619" s="90"/>
      <c r="J3619" s="88" t="s">
        <v>963</v>
      </c>
      <c r="K3619" s="89"/>
      <c r="L3619" s="89"/>
      <c r="M3619" s="90"/>
      <c r="N3619" s="88" t="s">
        <v>26</v>
      </c>
      <c r="O3619" s="89"/>
      <c r="P3619" s="90"/>
      <c r="Q3619" s="133">
        <v>2998</v>
      </c>
      <c r="R3619" s="134"/>
      <c r="S3619" s="5" t="s">
        <v>945</v>
      </c>
      <c r="T3619" s="8">
        <v>4735</v>
      </c>
      <c r="U3619" s="8">
        <v>3</v>
      </c>
      <c r="V3619" s="5" t="s">
        <v>106</v>
      </c>
      <c r="W3619" s="12">
        <v>7609846</v>
      </c>
      <c r="X3619" s="6"/>
      <c r="Y3619" s="6"/>
    </row>
    <row r="3620" spans="1:25" ht="15" customHeight="1" x14ac:dyDescent="0.2">
      <c r="A3620" s="88" t="s">
        <v>4190</v>
      </c>
      <c r="B3620" s="90"/>
      <c r="C3620" s="88" t="s">
        <v>4323</v>
      </c>
      <c r="D3620" s="90"/>
      <c r="E3620" s="88" t="s">
        <v>4233</v>
      </c>
      <c r="F3620" s="89"/>
      <c r="G3620" s="89"/>
      <c r="H3620" s="89"/>
      <c r="I3620" s="90"/>
      <c r="J3620" s="88" t="s">
        <v>887</v>
      </c>
      <c r="K3620" s="89"/>
      <c r="L3620" s="89"/>
      <c r="M3620" s="90"/>
      <c r="N3620" s="88" t="s">
        <v>22</v>
      </c>
      <c r="O3620" s="89"/>
      <c r="P3620" s="90"/>
      <c r="Q3620" s="133">
        <v>658</v>
      </c>
      <c r="R3620" s="134"/>
      <c r="S3620" s="5" t="s">
        <v>814</v>
      </c>
      <c r="T3620" s="8">
        <v>1220</v>
      </c>
      <c r="U3620" s="8">
        <v>4</v>
      </c>
      <c r="V3620" s="5" t="s">
        <v>23</v>
      </c>
      <c r="W3620" s="12">
        <v>3131771</v>
      </c>
      <c r="X3620" s="6"/>
      <c r="Y3620" s="6"/>
    </row>
    <row r="3621" spans="1:25" ht="15" customHeight="1" x14ac:dyDescent="0.2">
      <c r="A3621" s="88" t="s">
        <v>4190</v>
      </c>
      <c r="B3621" s="90"/>
      <c r="C3621" s="88" t="s">
        <v>4324</v>
      </c>
      <c r="D3621" s="90"/>
      <c r="E3621" s="88" t="s">
        <v>4325</v>
      </c>
      <c r="F3621" s="89"/>
      <c r="G3621" s="89"/>
      <c r="H3621" s="89"/>
      <c r="I3621" s="90"/>
      <c r="J3621" s="88" t="s">
        <v>963</v>
      </c>
      <c r="K3621" s="89"/>
      <c r="L3621" s="89"/>
      <c r="M3621" s="90"/>
      <c r="N3621" s="88" t="s">
        <v>26</v>
      </c>
      <c r="O3621" s="89"/>
      <c r="P3621" s="90"/>
      <c r="Q3621" s="133">
        <v>658</v>
      </c>
      <c r="R3621" s="134"/>
      <c r="S3621" s="5" t="s">
        <v>814</v>
      </c>
      <c r="T3621" s="8">
        <v>1220</v>
      </c>
      <c r="U3621" s="8">
        <v>4</v>
      </c>
      <c r="V3621" s="5" t="s">
        <v>23</v>
      </c>
      <c r="W3621" s="12">
        <v>2233554</v>
      </c>
      <c r="X3621" s="6"/>
      <c r="Y3621" s="6"/>
    </row>
    <row r="3622" spans="1:25" ht="15" customHeight="1" x14ac:dyDescent="0.2">
      <c r="A3622" s="88" t="s">
        <v>4190</v>
      </c>
      <c r="B3622" s="90"/>
      <c r="C3622" s="88" t="s">
        <v>4324</v>
      </c>
      <c r="D3622" s="90"/>
      <c r="E3622" s="88" t="s">
        <v>4325</v>
      </c>
      <c r="F3622" s="89"/>
      <c r="G3622" s="89"/>
      <c r="H3622" s="89"/>
      <c r="I3622" s="90"/>
      <c r="J3622" s="88" t="s">
        <v>3639</v>
      </c>
      <c r="K3622" s="89"/>
      <c r="L3622" s="89"/>
      <c r="M3622" s="90"/>
      <c r="N3622" s="88" t="s">
        <v>26</v>
      </c>
      <c r="O3622" s="89"/>
      <c r="P3622" s="90"/>
      <c r="Q3622" s="133">
        <v>658</v>
      </c>
      <c r="R3622" s="134"/>
      <c r="S3622" s="5" t="s">
        <v>814</v>
      </c>
      <c r="T3622" s="8">
        <v>1220</v>
      </c>
      <c r="U3622" s="8">
        <v>4</v>
      </c>
      <c r="V3622" s="5" t="s">
        <v>23</v>
      </c>
      <c r="W3622" s="12">
        <v>2233554</v>
      </c>
      <c r="X3622" s="6"/>
      <c r="Y3622" s="6"/>
    </row>
    <row r="3623" spans="1:25" ht="15" customHeight="1" x14ac:dyDescent="0.2">
      <c r="A3623" s="88" t="s">
        <v>4190</v>
      </c>
      <c r="B3623" s="90"/>
      <c r="C3623" s="88" t="s">
        <v>4324</v>
      </c>
      <c r="D3623" s="90"/>
      <c r="E3623" s="88" t="s">
        <v>4326</v>
      </c>
      <c r="F3623" s="89"/>
      <c r="G3623" s="89"/>
      <c r="H3623" s="89"/>
      <c r="I3623" s="90"/>
      <c r="J3623" s="88" t="s">
        <v>887</v>
      </c>
      <c r="K3623" s="89"/>
      <c r="L3623" s="89"/>
      <c r="M3623" s="90"/>
      <c r="N3623" s="88" t="s">
        <v>26</v>
      </c>
      <c r="O3623" s="89"/>
      <c r="P3623" s="90"/>
      <c r="Q3623" s="133">
        <v>658</v>
      </c>
      <c r="R3623" s="134"/>
      <c r="S3623" s="5" t="s">
        <v>814</v>
      </c>
      <c r="T3623" s="8">
        <v>1220</v>
      </c>
      <c r="U3623" s="8">
        <v>4</v>
      </c>
      <c r="V3623" s="5" t="s">
        <v>23</v>
      </c>
      <c r="W3623" s="12">
        <v>2089691</v>
      </c>
      <c r="X3623" s="6"/>
      <c r="Y3623" s="6"/>
    </row>
    <row r="3624" spans="1:25" ht="15" customHeight="1" x14ac:dyDescent="0.2">
      <c r="A3624" s="88" t="s">
        <v>4190</v>
      </c>
      <c r="B3624" s="90"/>
      <c r="C3624" s="88" t="s">
        <v>4324</v>
      </c>
      <c r="D3624" s="90"/>
      <c r="E3624" s="88" t="s">
        <v>4327</v>
      </c>
      <c r="F3624" s="89"/>
      <c r="G3624" s="89"/>
      <c r="H3624" s="89"/>
      <c r="I3624" s="90"/>
      <c r="J3624" s="88" t="s">
        <v>963</v>
      </c>
      <c r="K3624" s="89"/>
      <c r="L3624" s="89"/>
      <c r="M3624" s="90"/>
      <c r="N3624" s="88" t="s">
        <v>26</v>
      </c>
      <c r="O3624" s="89"/>
      <c r="P3624" s="90"/>
      <c r="Q3624" s="133">
        <v>658</v>
      </c>
      <c r="R3624" s="134"/>
      <c r="S3624" s="5" t="s">
        <v>814</v>
      </c>
      <c r="T3624" s="8">
        <v>1220</v>
      </c>
      <c r="U3624" s="8">
        <v>4</v>
      </c>
      <c r="V3624" s="5" t="s">
        <v>23</v>
      </c>
      <c r="W3624" s="12">
        <v>1750492</v>
      </c>
      <c r="X3624" s="6"/>
      <c r="Y3624" s="6"/>
    </row>
    <row r="3625" spans="1:25" ht="15" customHeight="1" x14ac:dyDescent="0.2">
      <c r="A3625" s="88" t="s">
        <v>4190</v>
      </c>
      <c r="B3625" s="90"/>
      <c r="C3625" s="88" t="s">
        <v>4324</v>
      </c>
      <c r="D3625" s="90"/>
      <c r="E3625" s="88" t="s">
        <v>4328</v>
      </c>
      <c r="F3625" s="89"/>
      <c r="G3625" s="89"/>
      <c r="H3625" s="89"/>
      <c r="I3625" s="90"/>
      <c r="J3625" s="88" t="s">
        <v>963</v>
      </c>
      <c r="K3625" s="89"/>
      <c r="L3625" s="89"/>
      <c r="M3625" s="90"/>
      <c r="N3625" s="88" t="s">
        <v>26</v>
      </c>
      <c r="O3625" s="89"/>
      <c r="P3625" s="90"/>
      <c r="Q3625" s="133">
        <v>658</v>
      </c>
      <c r="R3625" s="134"/>
      <c r="S3625" s="5" t="s">
        <v>814</v>
      </c>
      <c r="T3625" s="8">
        <v>350</v>
      </c>
      <c r="U3625" s="8">
        <v>4</v>
      </c>
      <c r="V3625" s="5" t="s">
        <v>23</v>
      </c>
      <c r="W3625" s="12">
        <v>2441969</v>
      </c>
      <c r="X3625" s="6"/>
      <c r="Y3625" s="6"/>
    </row>
    <row r="3626" spans="1:25" ht="15" customHeight="1" x14ac:dyDescent="0.2">
      <c r="A3626" s="88" t="s">
        <v>4190</v>
      </c>
      <c r="B3626" s="90"/>
      <c r="C3626" s="88" t="s">
        <v>4329</v>
      </c>
      <c r="D3626" s="90"/>
      <c r="E3626" s="88" t="s">
        <v>4330</v>
      </c>
      <c r="F3626" s="89"/>
      <c r="G3626" s="89"/>
      <c r="H3626" s="89"/>
      <c r="I3626" s="90"/>
      <c r="J3626" s="88" t="s">
        <v>887</v>
      </c>
      <c r="K3626" s="89"/>
      <c r="L3626" s="89"/>
      <c r="M3626" s="90"/>
      <c r="N3626" s="88" t="s">
        <v>26</v>
      </c>
      <c r="O3626" s="89"/>
      <c r="P3626" s="90"/>
      <c r="Q3626" s="133">
        <v>658</v>
      </c>
      <c r="R3626" s="134"/>
      <c r="S3626" s="5" t="s">
        <v>814</v>
      </c>
      <c r="T3626" s="8">
        <v>1220</v>
      </c>
      <c r="U3626" s="8">
        <v>4</v>
      </c>
      <c r="V3626" s="5" t="s">
        <v>23</v>
      </c>
      <c r="W3626" s="12">
        <v>3388643</v>
      </c>
      <c r="X3626" s="6"/>
      <c r="Y3626" s="6"/>
    </row>
    <row r="3627" spans="1:25" ht="15" customHeight="1" x14ac:dyDescent="0.2">
      <c r="A3627" s="88" t="s">
        <v>4190</v>
      </c>
      <c r="B3627" s="90"/>
      <c r="C3627" s="88" t="s">
        <v>4329</v>
      </c>
      <c r="D3627" s="90"/>
      <c r="E3627" s="88" t="s">
        <v>4233</v>
      </c>
      <c r="F3627" s="89"/>
      <c r="G3627" s="89"/>
      <c r="H3627" s="89"/>
      <c r="I3627" s="90"/>
      <c r="J3627" s="88" t="s">
        <v>887</v>
      </c>
      <c r="K3627" s="89"/>
      <c r="L3627" s="89"/>
      <c r="M3627" s="90"/>
      <c r="N3627" s="88" t="s">
        <v>26</v>
      </c>
      <c r="O3627" s="89"/>
      <c r="P3627" s="90"/>
      <c r="Q3627" s="133">
        <v>658</v>
      </c>
      <c r="R3627" s="134"/>
      <c r="S3627" s="5" t="s">
        <v>814</v>
      </c>
      <c r="T3627" s="8">
        <v>1220</v>
      </c>
      <c r="U3627" s="8">
        <v>7</v>
      </c>
      <c r="V3627" s="5" t="s">
        <v>23</v>
      </c>
      <c r="W3627" s="12">
        <v>3373553</v>
      </c>
      <c r="X3627" s="6"/>
      <c r="Y3627" s="6"/>
    </row>
    <row r="3628" spans="1:25" ht="15" customHeight="1" x14ac:dyDescent="0.2">
      <c r="A3628" s="88" t="s">
        <v>4190</v>
      </c>
      <c r="B3628" s="90"/>
      <c r="C3628" s="88" t="s">
        <v>4331</v>
      </c>
      <c r="D3628" s="90"/>
      <c r="E3628" s="88" t="s">
        <v>4233</v>
      </c>
      <c r="F3628" s="89"/>
      <c r="G3628" s="89"/>
      <c r="H3628" s="89"/>
      <c r="I3628" s="90"/>
      <c r="J3628" s="88" t="s">
        <v>2258</v>
      </c>
      <c r="K3628" s="89"/>
      <c r="L3628" s="89"/>
      <c r="M3628" s="90"/>
      <c r="N3628" s="88" t="s">
        <v>26</v>
      </c>
      <c r="O3628" s="89"/>
      <c r="P3628" s="90"/>
      <c r="Q3628" s="133">
        <v>658</v>
      </c>
      <c r="R3628" s="134"/>
      <c r="S3628" s="5" t="s">
        <v>814</v>
      </c>
      <c r="T3628" s="8">
        <v>1230</v>
      </c>
      <c r="U3628" s="8">
        <v>4</v>
      </c>
      <c r="V3628" s="5" t="s">
        <v>23</v>
      </c>
      <c r="W3628" s="12">
        <v>3459066</v>
      </c>
      <c r="X3628" s="6"/>
      <c r="Y3628" s="6"/>
    </row>
    <row r="3629" spans="1:25" ht="15" customHeight="1" x14ac:dyDescent="0.2">
      <c r="A3629" s="88" t="s">
        <v>4190</v>
      </c>
      <c r="B3629" s="90"/>
      <c r="C3629" s="88" t="s">
        <v>4332</v>
      </c>
      <c r="D3629" s="90"/>
      <c r="E3629" s="88" t="s">
        <v>4233</v>
      </c>
      <c r="F3629" s="89"/>
      <c r="G3629" s="89"/>
      <c r="H3629" s="89"/>
      <c r="I3629" s="90"/>
      <c r="J3629" s="88" t="s">
        <v>887</v>
      </c>
      <c r="K3629" s="89"/>
      <c r="L3629" s="89"/>
      <c r="M3629" s="90"/>
      <c r="N3629" s="88" t="s">
        <v>26</v>
      </c>
      <c r="O3629" s="89"/>
      <c r="P3629" s="90"/>
      <c r="Q3629" s="133">
        <v>658</v>
      </c>
      <c r="R3629" s="134"/>
      <c r="S3629" s="5" t="s">
        <v>814</v>
      </c>
      <c r="T3629" s="8">
        <v>1220</v>
      </c>
      <c r="U3629" s="8">
        <v>4</v>
      </c>
      <c r="V3629" s="5" t="s">
        <v>23</v>
      </c>
      <c r="W3629" s="12">
        <v>3399207</v>
      </c>
      <c r="X3629" s="6"/>
      <c r="Y3629" s="6"/>
    </row>
    <row r="3630" spans="1:25" ht="15" customHeight="1" x14ac:dyDescent="0.2">
      <c r="A3630" s="88" t="s">
        <v>4190</v>
      </c>
      <c r="B3630" s="90"/>
      <c r="C3630" s="88" t="s">
        <v>4332</v>
      </c>
      <c r="D3630" s="90"/>
      <c r="E3630" s="88" t="s">
        <v>4330</v>
      </c>
      <c r="F3630" s="89"/>
      <c r="G3630" s="89"/>
      <c r="H3630" s="89"/>
      <c r="I3630" s="90"/>
      <c r="J3630" s="88" t="s">
        <v>887</v>
      </c>
      <c r="K3630" s="89"/>
      <c r="L3630" s="89"/>
      <c r="M3630" s="90"/>
      <c r="N3630" s="88" t="s">
        <v>26</v>
      </c>
      <c r="O3630" s="89"/>
      <c r="P3630" s="90"/>
      <c r="Q3630" s="133">
        <v>658</v>
      </c>
      <c r="R3630" s="134"/>
      <c r="S3630" s="5" t="s">
        <v>814</v>
      </c>
      <c r="T3630" s="8">
        <v>1180</v>
      </c>
      <c r="U3630" s="8">
        <v>4</v>
      </c>
      <c r="V3630" s="5" t="s">
        <v>23</v>
      </c>
      <c r="W3630" s="12">
        <v>2744784</v>
      </c>
      <c r="X3630" s="6"/>
      <c r="Y3630" s="6"/>
    </row>
    <row r="3631" spans="1:25" ht="15" customHeight="1" x14ac:dyDescent="0.2">
      <c r="A3631" s="88" t="s">
        <v>4190</v>
      </c>
      <c r="B3631" s="90"/>
      <c r="C3631" s="88" t="s">
        <v>4333</v>
      </c>
      <c r="D3631" s="90"/>
      <c r="E3631" s="88" t="s">
        <v>4330</v>
      </c>
      <c r="F3631" s="89"/>
      <c r="G3631" s="89"/>
      <c r="H3631" s="89"/>
      <c r="I3631" s="90"/>
      <c r="J3631" s="88" t="s">
        <v>887</v>
      </c>
      <c r="K3631" s="89"/>
      <c r="L3631" s="89"/>
      <c r="M3631" s="90"/>
      <c r="N3631" s="88" t="s">
        <v>26</v>
      </c>
      <c r="O3631" s="89"/>
      <c r="P3631" s="90"/>
      <c r="Q3631" s="133">
        <v>658</v>
      </c>
      <c r="R3631" s="134"/>
      <c r="S3631" s="5" t="s">
        <v>814</v>
      </c>
      <c r="T3631" s="8">
        <v>1180</v>
      </c>
      <c r="U3631" s="8">
        <v>4</v>
      </c>
      <c r="V3631" s="5" t="s">
        <v>23</v>
      </c>
      <c r="W3631" s="12">
        <v>2627414</v>
      </c>
      <c r="X3631" s="6"/>
      <c r="Y3631" s="6"/>
    </row>
    <row r="3632" spans="1:25" ht="15" customHeight="1" x14ac:dyDescent="0.2">
      <c r="A3632" s="88" t="s">
        <v>4190</v>
      </c>
      <c r="B3632" s="90"/>
      <c r="C3632" s="88" t="s">
        <v>4334</v>
      </c>
      <c r="D3632" s="90"/>
      <c r="E3632" s="88" t="s">
        <v>4335</v>
      </c>
      <c r="F3632" s="89"/>
      <c r="G3632" s="89"/>
      <c r="H3632" s="89"/>
      <c r="I3632" s="90"/>
      <c r="J3632" s="88" t="s">
        <v>770</v>
      </c>
      <c r="K3632" s="89"/>
      <c r="L3632" s="89"/>
      <c r="M3632" s="90"/>
      <c r="N3632" s="88" t="s">
        <v>26</v>
      </c>
      <c r="O3632" s="89"/>
      <c r="P3632" s="90"/>
      <c r="Q3632" s="133">
        <v>1498</v>
      </c>
      <c r="R3632" s="134"/>
      <c r="S3632" s="5" t="s">
        <v>814</v>
      </c>
      <c r="T3632" s="8">
        <v>1700</v>
      </c>
      <c r="U3632" s="8">
        <v>5</v>
      </c>
      <c r="V3632" s="5" t="s">
        <v>23</v>
      </c>
      <c r="W3632" s="12">
        <v>2471480</v>
      </c>
      <c r="X3632" s="6"/>
      <c r="Y3632" s="6"/>
    </row>
    <row r="3633" spans="1:25" ht="15" customHeight="1" x14ac:dyDescent="0.2">
      <c r="A3633" s="88" t="s">
        <v>4190</v>
      </c>
      <c r="B3633" s="90"/>
      <c r="C3633" s="88" t="s">
        <v>4336</v>
      </c>
      <c r="D3633" s="90"/>
      <c r="E3633" s="88" t="s">
        <v>4335</v>
      </c>
      <c r="F3633" s="89"/>
      <c r="G3633" s="89"/>
      <c r="H3633" s="89"/>
      <c r="I3633" s="90"/>
      <c r="J3633" s="88" t="s">
        <v>770</v>
      </c>
      <c r="K3633" s="89"/>
      <c r="L3633" s="89"/>
      <c r="M3633" s="90"/>
      <c r="N3633" s="88" t="s">
        <v>26</v>
      </c>
      <c r="O3633" s="89"/>
      <c r="P3633" s="90"/>
      <c r="Q3633" s="133">
        <v>1498</v>
      </c>
      <c r="R3633" s="134"/>
      <c r="S3633" s="5" t="s">
        <v>814</v>
      </c>
      <c r="T3633" s="8">
        <v>1700</v>
      </c>
      <c r="U3633" s="8">
        <v>5</v>
      </c>
      <c r="V3633" s="5" t="s">
        <v>23</v>
      </c>
      <c r="W3633" s="12">
        <v>2471480</v>
      </c>
      <c r="X3633" s="6"/>
      <c r="Y3633" s="6"/>
    </row>
    <row r="3634" spans="1:25" ht="15" customHeight="1" x14ac:dyDescent="0.2">
      <c r="A3634" s="88" t="s">
        <v>4190</v>
      </c>
      <c r="B3634" s="90"/>
      <c r="C3634" s="88" t="s">
        <v>4337</v>
      </c>
      <c r="D3634" s="90"/>
      <c r="E3634" s="88" t="s">
        <v>4338</v>
      </c>
      <c r="F3634" s="89"/>
      <c r="G3634" s="89"/>
      <c r="H3634" s="89"/>
      <c r="I3634" s="90"/>
      <c r="J3634" s="88" t="s">
        <v>770</v>
      </c>
      <c r="K3634" s="89"/>
      <c r="L3634" s="89"/>
      <c r="M3634" s="90"/>
      <c r="N3634" s="88" t="s">
        <v>26</v>
      </c>
      <c r="O3634" s="89"/>
      <c r="P3634" s="90"/>
      <c r="Q3634" s="133">
        <v>1597</v>
      </c>
      <c r="R3634" s="134"/>
      <c r="S3634" s="5" t="s">
        <v>814</v>
      </c>
      <c r="T3634" s="8">
        <v>1800</v>
      </c>
      <c r="U3634" s="8">
        <v>6</v>
      </c>
      <c r="V3634" s="5" t="s">
        <v>23</v>
      </c>
      <c r="W3634" s="12">
        <v>5237992</v>
      </c>
      <c r="X3634" s="6"/>
      <c r="Y3634" s="6"/>
    </row>
    <row r="3635" spans="1:25" ht="15" customHeight="1" x14ac:dyDescent="0.2">
      <c r="A3635" s="88" t="s">
        <v>4190</v>
      </c>
      <c r="B3635" s="90"/>
      <c r="C3635" s="88" t="s">
        <v>4339</v>
      </c>
      <c r="D3635" s="90"/>
      <c r="E3635" s="88" t="s">
        <v>4340</v>
      </c>
      <c r="F3635" s="89"/>
      <c r="G3635" s="89"/>
      <c r="H3635" s="89"/>
      <c r="I3635" s="90"/>
      <c r="J3635" s="88" t="s">
        <v>770</v>
      </c>
      <c r="K3635" s="89"/>
      <c r="L3635" s="89"/>
      <c r="M3635" s="90"/>
      <c r="N3635" s="88" t="s">
        <v>26</v>
      </c>
      <c r="O3635" s="89"/>
      <c r="P3635" s="90"/>
      <c r="Q3635" s="133">
        <v>1597</v>
      </c>
      <c r="R3635" s="134"/>
      <c r="S3635" s="5" t="s">
        <v>814</v>
      </c>
      <c r="T3635" s="8">
        <v>1625</v>
      </c>
      <c r="U3635" s="8">
        <v>7</v>
      </c>
      <c r="V3635" s="5" t="s">
        <v>23</v>
      </c>
      <c r="W3635" s="12">
        <v>3910102</v>
      </c>
      <c r="X3635" s="6"/>
      <c r="Y3635" s="6"/>
    </row>
    <row r="3636" spans="1:25" ht="15" customHeight="1" x14ac:dyDescent="0.2">
      <c r="A3636" s="88" t="s">
        <v>4190</v>
      </c>
      <c r="B3636" s="90"/>
      <c r="C3636" s="88" t="s">
        <v>4341</v>
      </c>
      <c r="D3636" s="90"/>
      <c r="E3636" s="88" t="s">
        <v>4342</v>
      </c>
      <c r="F3636" s="89"/>
      <c r="G3636" s="89"/>
      <c r="H3636" s="89"/>
      <c r="I3636" s="90"/>
      <c r="J3636" s="88" t="s">
        <v>770</v>
      </c>
      <c r="K3636" s="89"/>
      <c r="L3636" s="89"/>
      <c r="M3636" s="90"/>
      <c r="N3636" s="88" t="s">
        <v>26</v>
      </c>
      <c r="O3636" s="89"/>
      <c r="P3636" s="90"/>
      <c r="Q3636" s="133">
        <v>1597</v>
      </c>
      <c r="R3636" s="134"/>
      <c r="S3636" s="5" t="s">
        <v>814</v>
      </c>
      <c r="T3636" s="8">
        <v>1585</v>
      </c>
      <c r="U3636" s="8">
        <v>5</v>
      </c>
      <c r="V3636" s="5" t="s">
        <v>23</v>
      </c>
      <c r="W3636" s="12">
        <v>3618354</v>
      </c>
      <c r="X3636" s="6"/>
      <c r="Y3636" s="6"/>
    </row>
    <row r="3637" spans="1:25" ht="15" customHeight="1" x14ac:dyDescent="0.2">
      <c r="A3637" s="88" t="s">
        <v>4190</v>
      </c>
      <c r="B3637" s="90"/>
      <c r="C3637" s="88" t="s">
        <v>4341</v>
      </c>
      <c r="D3637" s="90"/>
      <c r="E3637" s="88" t="s">
        <v>4343</v>
      </c>
      <c r="F3637" s="89"/>
      <c r="G3637" s="89"/>
      <c r="H3637" s="89"/>
      <c r="I3637" s="90"/>
      <c r="J3637" s="88" t="s">
        <v>887</v>
      </c>
      <c r="K3637" s="89"/>
      <c r="L3637" s="89"/>
      <c r="M3637" s="90"/>
      <c r="N3637" s="88" t="s">
        <v>26</v>
      </c>
      <c r="O3637" s="89"/>
      <c r="P3637" s="90"/>
      <c r="Q3637" s="133">
        <v>1597</v>
      </c>
      <c r="R3637" s="134"/>
      <c r="S3637" s="5" t="s">
        <v>814</v>
      </c>
      <c r="T3637" s="8">
        <v>1780</v>
      </c>
      <c r="U3637" s="8">
        <v>6</v>
      </c>
      <c r="V3637" s="5" t="s">
        <v>23</v>
      </c>
      <c r="W3637" s="12">
        <v>4669655</v>
      </c>
      <c r="X3637" s="6"/>
      <c r="Y3637" s="6"/>
    </row>
    <row r="3638" spans="1:25" ht="15" customHeight="1" x14ac:dyDescent="0.2">
      <c r="A3638" s="88" t="s">
        <v>4190</v>
      </c>
      <c r="B3638" s="90"/>
      <c r="C3638" s="88" t="s">
        <v>4341</v>
      </c>
      <c r="D3638" s="90"/>
      <c r="E3638" s="88" t="s">
        <v>4344</v>
      </c>
      <c r="F3638" s="89"/>
      <c r="G3638" s="89"/>
      <c r="H3638" s="89"/>
      <c r="I3638" s="90"/>
      <c r="J3638" s="88" t="s">
        <v>770</v>
      </c>
      <c r="K3638" s="89"/>
      <c r="L3638" s="89"/>
      <c r="M3638" s="90"/>
      <c r="N3638" s="88" t="s">
        <v>26</v>
      </c>
      <c r="O3638" s="89"/>
      <c r="P3638" s="90"/>
      <c r="Q3638" s="133">
        <v>1597</v>
      </c>
      <c r="R3638" s="134"/>
      <c r="S3638" s="5" t="s">
        <v>814</v>
      </c>
      <c r="T3638" s="8">
        <v>1800</v>
      </c>
      <c r="U3638" s="8">
        <v>6</v>
      </c>
      <c r="V3638" s="5" t="s">
        <v>23</v>
      </c>
      <c r="W3638" s="12">
        <v>4842356</v>
      </c>
      <c r="X3638" s="6"/>
      <c r="Y3638" s="6"/>
    </row>
    <row r="3639" spans="1:25" ht="15" customHeight="1" x14ac:dyDescent="0.2">
      <c r="A3639" s="88" t="s">
        <v>4190</v>
      </c>
      <c r="B3639" s="90"/>
      <c r="C3639" s="88" t="s">
        <v>4345</v>
      </c>
      <c r="D3639" s="90"/>
      <c r="E3639" s="88" t="s">
        <v>4342</v>
      </c>
      <c r="F3639" s="89"/>
      <c r="G3639" s="89"/>
      <c r="H3639" s="89"/>
      <c r="I3639" s="90"/>
      <c r="J3639" s="88" t="s">
        <v>887</v>
      </c>
      <c r="K3639" s="89"/>
      <c r="L3639" s="89"/>
      <c r="M3639" s="90"/>
      <c r="N3639" s="88" t="s">
        <v>26</v>
      </c>
      <c r="O3639" s="89"/>
      <c r="P3639" s="90"/>
      <c r="Q3639" s="133">
        <v>1597</v>
      </c>
      <c r="R3639" s="134"/>
      <c r="S3639" s="5" t="s">
        <v>814</v>
      </c>
      <c r="T3639" s="8">
        <v>1585</v>
      </c>
      <c r="U3639" s="8">
        <v>5</v>
      </c>
      <c r="V3639" s="5" t="s">
        <v>23</v>
      </c>
      <c r="W3639" s="12">
        <v>3769118</v>
      </c>
      <c r="X3639" s="6"/>
      <c r="Y3639" s="6"/>
    </row>
    <row r="3640" spans="1:25" ht="15" customHeight="1" x14ac:dyDescent="0.2">
      <c r="A3640" s="88" t="s">
        <v>4190</v>
      </c>
      <c r="B3640" s="90"/>
      <c r="C3640" s="88" t="s">
        <v>4346</v>
      </c>
      <c r="D3640" s="90"/>
      <c r="E3640" s="88" t="s">
        <v>4340</v>
      </c>
      <c r="F3640" s="89"/>
      <c r="G3640" s="89"/>
      <c r="H3640" s="89"/>
      <c r="I3640" s="90"/>
      <c r="J3640" s="88" t="s">
        <v>770</v>
      </c>
      <c r="K3640" s="89"/>
      <c r="L3640" s="89"/>
      <c r="M3640" s="90"/>
      <c r="N3640" s="88" t="s">
        <v>26</v>
      </c>
      <c r="O3640" s="89"/>
      <c r="P3640" s="90"/>
      <c r="Q3640" s="133">
        <v>1597</v>
      </c>
      <c r="R3640" s="134"/>
      <c r="S3640" s="5" t="s">
        <v>814</v>
      </c>
      <c r="T3640" s="8">
        <v>1625</v>
      </c>
      <c r="U3640" s="8">
        <v>5</v>
      </c>
      <c r="V3640" s="5" t="s">
        <v>23</v>
      </c>
      <c r="W3640" s="12">
        <v>4073023</v>
      </c>
      <c r="X3640" s="6"/>
      <c r="Y3640" s="6"/>
    </row>
    <row r="3641" spans="1:25" ht="15" customHeight="1" x14ac:dyDescent="0.2">
      <c r="A3641" s="88" t="s">
        <v>4190</v>
      </c>
      <c r="B3641" s="90"/>
      <c r="C3641" s="88" t="s">
        <v>4346</v>
      </c>
      <c r="D3641" s="90"/>
      <c r="E3641" s="88" t="s">
        <v>4342</v>
      </c>
      <c r="F3641" s="89"/>
      <c r="G3641" s="89"/>
      <c r="H3641" s="89"/>
      <c r="I3641" s="90"/>
      <c r="J3641" s="88" t="s">
        <v>887</v>
      </c>
      <c r="K3641" s="89"/>
      <c r="L3641" s="89"/>
      <c r="M3641" s="90"/>
      <c r="N3641" s="88" t="s">
        <v>22</v>
      </c>
      <c r="O3641" s="89"/>
      <c r="P3641" s="90"/>
      <c r="Q3641" s="133">
        <v>1597</v>
      </c>
      <c r="R3641" s="134"/>
      <c r="S3641" s="5" t="s">
        <v>814</v>
      </c>
      <c r="T3641" s="8">
        <v>1585</v>
      </c>
      <c r="U3641" s="8">
        <v>5</v>
      </c>
      <c r="V3641" s="5" t="s">
        <v>23</v>
      </c>
      <c r="W3641" s="12">
        <v>3133363</v>
      </c>
      <c r="X3641" s="6"/>
      <c r="Y3641" s="6"/>
    </row>
    <row r="3642" spans="1:25" ht="15" customHeight="1" x14ac:dyDescent="0.2">
      <c r="A3642" s="88" t="s">
        <v>4190</v>
      </c>
      <c r="B3642" s="90"/>
      <c r="C3642" s="88" t="s">
        <v>4346</v>
      </c>
      <c r="D3642" s="90"/>
      <c r="E3642" s="88" t="s">
        <v>4342</v>
      </c>
      <c r="F3642" s="89"/>
      <c r="G3642" s="89"/>
      <c r="H3642" s="89"/>
      <c r="I3642" s="90"/>
      <c r="J3642" s="88" t="s">
        <v>770</v>
      </c>
      <c r="K3642" s="89"/>
      <c r="L3642" s="89"/>
      <c r="M3642" s="90"/>
      <c r="N3642" s="88" t="s">
        <v>26</v>
      </c>
      <c r="O3642" s="89"/>
      <c r="P3642" s="90"/>
      <c r="Q3642" s="133">
        <v>1597</v>
      </c>
      <c r="R3642" s="134"/>
      <c r="S3642" s="5" t="s">
        <v>814</v>
      </c>
      <c r="T3642" s="8">
        <v>1585</v>
      </c>
      <c r="U3642" s="8">
        <v>5</v>
      </c>
      <c r="V3642" s="5" t="s">
        <v>23</v>
      </c>
      <c r="W3642" s="12">
        <v>3008029</v>
      </c>
      <c r="X3642" s="6"/>
      <c r="Y3642" s="6"/>
    </row>
    <row r="3643" spans="1:25" ht="15" customHeight="1" x14ac:dyDescent="0.2">
      <c r="A3643" s="88" t="s">
        <v>4190</v>
      </c>
      <c r="B3643" s="90"/>
      <c r="C3643" s="88" t="s">
        <v>4347</v>
      </c>
      <c r="D3643" s="90"/>
      <c r="E3643" s="88" t="s">
        <v>4344</v>
      </c>
      <c r="F3643" s="89"/>
      <c r="G3643" s="89"/>
      <c r="H3643" s="89"/>
      <c r="I3643" s="90"/>
      <c r="J3643" s="88" t="s">
        <v>770</v>
      </c>
      <c r="K3643" s="89"/>
      <c r="L3643" s="89"/>
      <c r="M3643" s="90"/>
      <c r="N3643" s="88" t="s">
        <v>26</v>
      </c>
      <c r="O3643" s="89"/>
      <c r="P3643" s="90"/>
      <c r="Q3643" s="133">
        <v>1597</v>
      </c>
      <c r="R3643" s="134"/>
      <c r="S3643" s="5" t="s">
        <v>814</v>
      </c>
      <c r="T3643" s="8">
        <v>1800</v>
      </c>
      <c r="U3643" s="8">
        <v>6</v>
      </c>
      <c r="V3643" s="5" t="s">
        <v>23</v>
      </c>
      <c r="W3643" s="12">
        <v>5044121</v>
      </c>
      <c r="X3643" s="6"/>
      <c r="Y3643" s="6"/>
    </row>
    <row r="3644" spans="1:25" ht="15" customHeight="1" x14ac:dyDescent="0.2">
      <c r="A3644" s="88" t="s">
        <v>4190</v>
      </c>
      <c r="B3644" s="90"/>
      <c r="C3644" s="88" t="s">
        <v>4348</v>
      </c>
      <c r="D3644" s="90"/>
      <c r="E3644" s="88" t="s">
        <v>4344</v>
      </c>
      <c r="F3644" s="89"/>
      <c r="G3644" s="89"/>
      <c r="H3644" s="89"/>
      <c r="I3644" s="90"/>
      <c r="J3644" s="88" t="s">
        <v>770</v>
      </c>
      <c r="K3644" s="89"/>
      <c r="L3644" s="89"/>
      <c r="M3644" s="90"/>
      <c r="N3644" s="88" t="s">
        <v>26</v>
      </c>
      <c r="O3644" s="89"/>
      <c r="P3644" s="90"/>
      <c r="Q3644" s="133">
        <v>1597</v>
      </c>
      <c r="R3644" s="134"/>
      <c r="S3644" s="5" t="s">
        <v>814</v>
      </c>
      <c r="T3644" s="8">
        <v>2065</v>
      </c>
      <c r="U3644" s="8">
        <v>2</v>
      </c>
      <c r="V3644" s="5" t="s">
        <v>23</v>
      </c>
      <c r="W3644" s="12">
        <v>5083594</v>
      </c>
      <c r="X3644" s="6"/>
      <c r="Y3644" s="6"/>
    </row>
    <row r="3645" spans="1:25" ht="15" customHeight="1" x14ac:dyDescent="0.2">
      <c r="A3645" s="88" t="s">
        <v>4190</v>
      </c>
      <c r="B3645" s="90"/>
      <c r="C3645" s="88" t="s">
        <v>4349</v>
      </c>
      <c r="D3645" s="90"/>
      <c r="E3645" s="88" t="s">
        <v>4344</v>
      </c>
      <c r="F3645" s="89"/>
      <c r="G3645" s="89"/>
      <c r="H3645" s="89"/>
      <c r="I3645" s="90"/>
      <c r="J3645" s="88" t="s">
        <v>770</v>
      </c>
      <c r="K3645" s="89"/>
      <c r="L3645" s="89"/>
      <c r="M3645" s="90"/>
      <c r="N3645" s="88" t="s">
        <v>26</v>
      </c>
      <c r="O3645" s="89"/>
      <c r="P3645" s="90"/>
      <c r="Q3645" s="133">
        <v>1597</v>
      </c>
      <c r="R3645" s="134"/>
      <c r="S3645" s="5" t="s">
        <v>814</v>
      </c>
      <c r="T3645" s="8">
        <v>2080</v>
      </c>
      <c r="U3645" s="8">
        <v>5</v>
      </c>
      <c r="V3645" s="5" t="s">
        <v>23</v>
      </c>
      <c r="W3645" s="12">
        <v>4436137</v>
      </c>
      <c r="X3645" s="6"/>
      <c r="Y3645" s="6"/>
    </row>
    <row r="3646" spans="1:25" ht="15" customHeight="1" x14ac:dyDescent="0.2">
      <c r="A3646" s="88" t="s">
        <v>4190</v>
      </c>
      <c r="B3646" s="90"/>
      <c r="C3646" s="88" t="s">
        <v>4349</v>
      </c>
      <c r="D3646" s="90"/>
      <c r="E3646" s="88" t="s">
        <v>4350</v>
      </c>
      <c r="F3646" s="89"/>
      <c r="G3646" s="89"/>
      <c r="H3646" s="89"/>
      <c r="I3646" s="90"/>
      <c r="J3646" s="88" t="s">
        <v>4351</v>
      </c>
      <c r="K3646" s="89"/>
      <c r="L3646" s="89"/>
      <c r="M3646" s="90"/>
      <c r="N3646" s="88" t="s">
        <v>22</v>
      </c>
      <c r="O3646" s="89"/>
      <c r="P3646" s="90"/>
      <c r="Q3646" s="133">
        <v>1597</v>
      </c>
      <c r="R3646" s="134"/>
      <c r="S3646" s="5" t="s">
        <v>814</v>
      </c>
      <c r="T3646" s="8">
        <v>2180</v>
      </c>
      <c r="U3646" s="8">
        <v>5</v>
      </c>
      <c r="V3646" s="5" t="s">
        <v>23</v>
      </c>
      <c r="W3646" s="12">
        <v>5829034</v>
      </c>
      <c r="X3646" s="6"/>
      <c r="Y3646" s="6"/>
    </row>
    <row r="3647" spans="1:25" ht="15" customHeight="1" x14ac:dyDescent="0.2">
      <c r="A3647" s="88" t="s">
        <v>4190</v>
      </c>
      <c r="B3647" s="90"/>
      <c r="C3647" s="88" t="s">
        <v>4352</v>
      </c>
      <c r="D3647" s="90"/>
      <c r="E3647" s="88" t="s">
        <v>4350</v>
      </c>
      <c r="F3647" s="89"/>
      <c r="G3647" s="89"/>
      <c r="H3647" s="89"/>
      <c r="I3647" s="90"/>
      <c r="J3647" s="88" t="s">
        <v>4351</v>
      </c>
      <c r="K3647" s="89"/>
      <c r="L3647" s="89"/>
      <c r="M3647" s="90"/>
      <c r="N3647" s="88" t="s">
        <v>26</v>
      </c>
      <c r="O3647" s="89"/>
      <c r="P3647" s="90"/>
      <c r="Q3647" s="133">
        <v>1597</v>
      </c>
      <c r="R3647" s="134"/>
      <c r="S3647" s="5" t="s">
        <v>814</v>
      </c>
      <c r="T3647" s="8">
        <v>2180</v>
      </c>
      <c r="U3647" s="8">
        <v>5</v>
      </c>
      <c r="V3647" s="5" t="s">
        <v>23</v>
      </c>
      <c r="W3647" s="12">
        <v>5585037</v>
      </c>
      <c r="X3647" s="6"/>
      <c r="Y3647" s="6"/>
    </row>
    <row r="3648" spans="1:25" ht="15" customHeight="1" x14ac:dyDescent="0.2">
      <c r="A3648" s="88" t="s">
        <v>4190</v>
      </c>
      <c r="B3648" s="90"/>
      <c r="C3648" s="88" t="s">
        <v>4353</v>
      </c>
      <c r="D3648" s="90"/>
      <c r="E3648" s="88" t="s">
        <v>4344</v>
      </c>
      <c r="F3648" s="89"/>
      <c r="G3648" s="89"/>
      <c r="H3648" s="89"/>
      <c r="I3648" s="90"/>
      <c r="J3648" s="88" t="s">
        <v>770</v>
      </c>
      <c r="K3648" s="89"/>
      <c r="L3648" s="89"/>
      <c r="M3648" s="90"/>
      <c r="N3648" s="88" t="s">
        <v>26</v>
      </c>
      <c r="O3648" s="89"/>
      <c r="P3648" s="90"/>
      <c r="Q3648" s="133">
        <v>1597</v>
      </c>
      <c r="R3648" s="134"/>
      <c r="S3648" s="5" t="s">
        <v>814</v>
      </c>
      <c r="T3648" s="8">
        <v>2020</v>
      </c>
      <c r="U3648" s="8">
        <v>2</v>
      </c>
      <c r="V3648" s="5" t="s">
        <v>23</v>
      </c>
      <c r="W3648" s="12">
        <v>3971198</v>
      </c>
      <c r="X3648" s="6"/>
      <c r="Y3648" s="6"/>
    </row>
    <row r="3649" spans="1:25" ht="15" customHeight="1" x14ac:dyDescent="0.2">
      <c r="A3649" s="88" t="s">
        <v>4190</v>
      </c>
      <c r="B3649" s="90"/>
      <c r="C3649" s="88" t="s">
        <v>4354</v>
      </c>
      <c r="D3649" s="90"/>
      <c r="E3649" s="88" t="s">
        <v>4343</v>
      </c>
      <c r="F3649" s="89"/>
      <c r="G3649" s="89"/>
      <c r="H3649" s="89"/>
      <c r="I3649" s="90"/>
      <c r="J3649" s="88" t="s">
        <v>963</v>
      </c>
      <c r="K3649" s="89"/>
      <c r="L3649" s="89"/>
      <c r="M3649" s="90"/>
      <c r="N3649" s="88" t="s">
        <v>26</v>
      </c>
      <c r="O3649" s="89"/>
      <c r="P3649" s="90"/>
      <c r="Q3649" s="133">
        <v>1597</v>
      </c>
      <c r="R3649" s="134"/>
      <c r="S3649" s="5" t="s">
        <v>814</v>
      </c>
      <c r="T3649" s="8">
        <v>1970</v>
      </c>
      <c r="U3649" s="8">
        <v>5</v>
      </c>
      <c r="V3649" s="5" t="s">
        <v>23</v>
      </c>
      <c r="W3649" s="12">
        <v>3163055</v>
      </c>
      <c r="X3649" s="6"/>
      <c r="Y3649" s="6"/>
    </row>
    <row r="3650" spans="1:25" ht="15" customHeight="1" x14ac:dyDescent="0.2">
      <c r="A3650" s="88" t="s">
        <v>4190</v>
      </c>
      <c r="B3650" s="90"/>
      <c r="C3650" s="88" t="s">
        <v>4354</v>
      </c>
      <c r="D3650" s="90"/>
      <c r="E3650" s="88" t="s">
        <v>4344</v>
      </c>
      <c r="F3650" s="89"/>
      <c r="G3650" s="89"/>
      <c r="H3650" s="89"/>
      <c r="I3650" s="90"/>
      <c r="J3650" s="88" t="s">
        <v>770</v>
      </c>
      <c r="K3650" s="89"/>
      <c r="L3650" s="89"/>
      <c r="M3650" s="90"/>
      <c r="N3650" s="88" t="s">
        <v>26</v>
      </c>
      <c r="O3650" s="89"/>
      <c r="P3650" s="90"/>
      <c r="Q3650" s="133">
        <v>1597</v>
      </c>
      <c r="R3650" s="134"/>
      <c r="S3650" s="5" t="s">
        <v>814</v>
      </c>
      <c r="T3650" s="8">
        <v>650</v>
      </c>
      <c r="U3650" s="8">
        <v>5</v>
      </c>
      <c r="V3650" s="5" t="s">
        <v>23</v>
      </c>
      <c r="W3650" s="12">
        <v>4251698</v>
      </c>
      <c r="X3650" s="6"/>
      <c r="Y3650" s="6"/>
    </row>
    <row r="3651" spans="1:25" ht="15" customHeight="1" x14ac:dyDescent="0.2">
      <c r="A3651" s="88" t="s">
        <v>4190</v>
      </c>
      <c r="B3651" s="90"/>
      <c r="C3651" s="88" t="s">
        <v>4355</v>
      </c>
      <c r="D3651" s="90"/>
      <c r="E3651" s="88" t="s">
        <v>4344</v>
      </c>
      <c r="F3651" s="89"/>
      <c r="G3651" s="89"/>
      <c r="H3651" s="89"/>
      <c r="I3651" s="90"/>
      <c r="J3651" s="88" t="s">
        <v>770</v>
      </c>
      <c r="K3651" s="89"/>
      <c r="L3651" s="89"/>
      <c r="M3651" s="90"/>
      <c r="N3651" s="88" t="s">
        <v>26</v>
      </c>
      <c r="O3651" s="89"/>
      <c r="P3651" s="90"/>
      <c r="Q3651" s="133">
        <v>1597</v>
      </c>
      <c r="R3651" s="134"/>
      <c r="S3651" s="5" t="s">
        <v>814</v>
      </c>
      <c r="T3651" s="8">
        <v>2065</v>
      </c>
      <c r="U3651" s="8">
        <v>2</v>
      </c>
      <c r="V3651" s="5" t="s">
        <v>23</v>
      </c>
      <c r="W3651" s="12">
        <v>5025957</v>
      </c>
      <c r="X3651" s="6"/>
      <c r="Y3651" s="6"/>
    </row>
    <row r="3652" spans="1:25" ht="15" customHeight="1" x14ac:dyDescent="0.2">
      <c r="A3652" s="88" t="s">
        <v>4190</v>
      </c>
      <c r="B3652" s="90"/>
      <c r="C3652" s="88" t="s">
        <v>4356</v>
      </c>
      <c r="D3652" s="90"/>
      <c r="E3652" s="88" t="s">
        <v>4344</v>
      </c>
      <c r="F3652" s="89"/>
      <c r="G3652" s="89"/>
      <c r="H3652" s="89"/>
      <c r="I3652" s="90"/>
      <c r="J3652" s="88" t="s">
        <v>770</v>
      </c>
      <c r="K3652" s="89"/>
      <c r="L3652" s="89"/>
      <c r="M3652" s="90"/>
      <c r="N3652" s="88" t="s">
        <v>26</v>
      </c>
      <c r="O3652" s="89"/>
      <c r="P3652" s="90"/>
      <c r="Q3652" s="133">
        <v>1597</v>
      </c>
      <c r="R3652" s="134"/>
      <c r="S3652" s="5" t="s">
        <v>814</v>
      </c>
      <c r="T3652" s="8">
        <v>2020</v>
      </c>
      <c r="U3652" s="8">
        <v>2</v>
      </c>
      <c r="V3652" s="5" t="s">
        <v>23</v>
      </c>
      <c r="W3652" s="12">
        <v>4146030</v>
      </c>
      <c r="X3652" s="6"/>
      <c r="Y3652" s="6"/>
    </row>
    <row r="3653" spans="1:25" ht="15" customHeight="1" x14ac:dyDescent="0.2">
      <c r="A3653" s="88" t="s">
        <v>4190</v>
      </c>
      <c r="B3653" s="90"/>
      <c r="C3653" s="88" t="s">
        <v>4357</v>
      </c>
      <c r="D3653" s="90"/>
      <c r="E3653" s="88" t="s">
        <v>4358</v>
      </c>
      <c r="F3653" s="89"/>
      <c r="G3653" s="89"/>
      <c r="H3653" s="89"/>
      <c r="I3653" s="90"/>
      <c r="J3653" s="88" t="s">
        <v>770</v>
      </c>
      <c r="K3653" s="89"/>
      <c r="L3653" s="89"/>
      <c r="M3653" s="90"/>
      <c r="N3653" s="88" t="s">
        <v>26</v>
      </c>
      <c r="O3653" s="89"/>
      <c r="P3653" s="90"/>
      <c r="Q3653" s="133">
        <v>2488</v>
      </c>
      <c r="R3653" s="134"/>
      <c r="S3653" s="5" t="s">
        <v>814</v>
      </c>
      <c r="T3653" s="8">
        <v>2620</v>
      </c>
      <c r="U3653" s="8">
        <v>5</v>
      </c>
      <c r="V3653" s="5" t="s">
        <v>23</v>
      </c>
      <c r="W3653" s="12">
        <v>5434237</v>
      </c>
      <c r="X3653" s="6"/>
      <c r="Y3653" s="6"/>
    </row>
    <row r="3654" spans="1:25" ht="15" customHeight="1" x14ac:dyDescent="0.2">
      <c r="A3654" s="88" t="s">
        <v>4190</v>
      </c>
      <c r="B3654" s="90"/>
      <c r="C3654" s="88" t="s">
        <v>4357</v>
      </c>
      <c r="D3654" s="90"/>
      <c r="E3654" s="88" t="s">
        <v>4359</v>
      </c>
      <c r="F3654" s="89"/>
      <c r="G3654" s="89"/>
      <c r="H3654" s="89"/>
      <c r="I3654" s="90"/>
      <c r="J3654" s="88" t="s">
        <v>2258</v>
      </c>
      <c r="K3654" s="89"/>
      <c r="L3654" s="89"/>
      <c r="M3654" s="90"/>
      <c r="N3654" s="88" t="s">
        <v>26</v>
      </c>
      <c r="O3654" s="89"/>
      <c r="P3654" s="90"/>
      <c r="Q3654" s="133">
        <v>2488</v>
      </c>
      <c r="R3654" s="134"/>
      <c r="S3654" s="5" t="s">
        <v>814</v>
      </c>
      <c r="T3654" s="8">
        <v>2790</v>
      </c>
      <c r="U3654" s="8">
        <v>10</v>
      </c>
      <c r="V3654" s="5" t="s">
        <v>23</v>
      </c>
      <c r="W3654" s="12">
        <v>6165285</v>
      </c>
      <c r="X3654" s="6"/>
      <c r="Y3654" s="6"/>
    </row>
    <row r="3655" spans="1:25" ht="15" customHeight="1" x14ac:dyDescent="0.2">
      <c r="A3655" s="88" t="s">
        <v>4190</v>
      </c>
      <c r="B3655" s="90"/>
      <c r="C3655" s="88" t="s">
        <v>4357</v>
      </c>
      <c r="D3655" s="90"/>
      <c r="E3655" s="88" t="s">
        <v>4360</v>
      </c>
      <c r="F3655" s="89"/>
      <c r="G3655" s="89"/>
      <c r="H3655" s="89"/>
      <c r="I3655" s="90"/>
      <c r="J3655" s="88" t="s">
        <v>2258</v>
      </c>
      <c r="K3655" s="89"/>
      <c r="L3655" s="89"/>
      <c r="M3655" s="90"/>
      <c r="N3655" s="88" t="s">
        <v>26</v>
      </c>
      <c r="O3655" s="89"/>
      <c r="P3655" s="90"/>
      <c r="Q3655" s="133">
        <v>2488</v>
      </c>
      <c r="R3655" s="134"/>
      <c r="S3655" s="5" t="s">
        <v>814</v>
      </c>
      <c r="T3655" s="8">
        <v>2450</v>
      </c>
      <c r="U3655" s="8">
        <v>10</v>
      </c>
      <c r="V3655" s="5" t="s">
        <v>23</v>
      </c>
      <c r="W3655" s="12">
        <v>4637168</v>
      </c>
      <c r="X3655" s="6"/>
      <c r="Y3655" s="6"/>
    </row>
    <row r="3656" spans="1:25" ht="15" customHeight="1" x14ac:dyDescent="0.2">
      <c r="A3656" s="88" t="s">
        <v>4190</v>
      </c>
      <c r="B3656" s="90"/>
      <c r="C3656" s="88" t="s">
        <v>4357</v>
      </c>
      <c r="D3656" s="90"/>
      <c r="E3656" s="88" t="s">
        <v>4361</v>
      </c>
      <c r="F3656" s="89"/>
      <c r="G3656" s="89"/>
      <c r="H3656" s="89"/>
      <c r="I3656" s="90"/>
      <c r="J3656" s="88" t="s">
        <v>4362</v>
      </c>
      <c r="K3656" s="89"/>
      <c r="L3656" s="89"/>
      <c r="M3656" s="90"/>
      <c r="N3656" s="88" t="s">
        <v>26</v>
      </c>
      <c r="O3656" s="89"/>
      <c r="P3656" s="90"/>
      <c r="Q3656" s="133">
        <v>2488</v>
      </c>
      <c r="R3656" s="134"/>
      <c r="S3656" s="5" t="s">
        <v>814</v>
      </c>
      <c r="T3656" s="8">
        <v>2790</v>
      </c>
      <c r="U3656" s="8">
        <v>10</v>
      </c>
      <c r="V3656" s="5" t="s">
        <v>23</v>
      </c>
      <c r="W3656" s="12">
        <v>6422172</v>
      </c>
      <c r="X3656" s="6"/>
      <c r="Y3656" s="6"/>
    </row>
    <row r="3657" spans="1:25" ht="15" customHeight="1" x14ac:dyDescent="0.2">
      <c r="A3657" s="88" t="s">
        <v>4190</v>
      </c>
      <c r="B3657" s="90"/>
      <c r="C3657" s="88" t="s">
        <v>4357</v>
      </c>
      <c r="D3657" s="90"/>
      <c r="E3657" s="88" t="s">
        <v>4359</v>
      </c>
      <c r="F3657" s="89"/>
      <c r="G3657" s="89"/>
      <c r="H3657" s="89"/>
      <c r="I3657" s="90"/>
      <c r="J3657" s="88" t="s">
        <v>2258</v>
      </c>
      <c r="K3657" s="89"/>
      <c r="L3657" s="89"/>
      <c r="M3657" s="90"/>
      <c r="N3657" s="88" t="s">
        <v>26</v>
      </c>
      <c r="O3657" s="89"/>
      <c r="P3657" s="90"/>
      <c r="Q3657" s="133">
        <v>2488</v>
      </c>
      <c r="R3657" s="134"/>
      <c r="S3657" s="5" t="s">
        <v>814</v>
      </c>
      <c r="T3657" s="8">
        <v>2790</v>
      </c>
      <c r="U3657" s="8">
        <v>14</v>
      </c>
      <c r="V3657" s="5" t="s">
        <v>23</v>
      </c>
      <c r="W3657" s="12">
        <v>6165285</v>
      </c>
      <c r="X3657" s="6"/>
      <c r="Y3657" s="6"/>
    </row>
    <row r="3658" spans="1:25" ht="15" customHeight="1" x14ac:dyDescent="0.2">
      <c r="A3658" s="88" t="s">
        <v>4190</v>
      </c>
      <c r="B3658" s="90"/>
      <c r="C3658" s="88" t="s">
        <v>4363</v>
      </c>
      <c r="D3658" s="90"/>
      <c r="E3658" s="88" t="s">
        <v>4364</v>
      </c>
      <c r="F3658" s="89"/>
      <c r="G3658" s="89"/>
      <c r="H3658" s="89"/>
      <c r="I3658" s="90"/>
      <c r="J3658" s="88" t="s">
        <v>4365</v>
      </c>
      <c r="K3658" s="89"/>
      <c r="L3658" s="89"/>
      <c r="M3658" s="90"/>
      <c r="N3658" s="88" t="s">
        <v>26</v>
      </c>
      <c r="O3658" s="89"/>
      <c r="P3658" s="90"/>
      <c r="Q3658" s="133">
        <v>1998</v>
      </c>
      <c r="R3658" s="134"/>
      <c r="S3658" s="5" t="s">
        <v>814</v>
      </c>
      <c r="T3658" s="8">
        <v>3125</v>
      </c>
      <c r="U3658" s="8">
        <v>3</v>
      </c>
      <c r="V3658" s="5" t="s">
        <v>23</v>
      </c>
      <c r="W3658" s="12">
        <v>3585727</v>
      </c>
      <c r="X3658" s="6"/>
      <c r="Y3658" s="6"/>
    </row>
    <row r="3659" spans="1:25" ht="15" customHeight="1" x14ac:dyDescent="0.2">
      <c r="A3659" s="88" t="s">
        <v>4190</v>
      </c>
      <c r="B3659" s="90"/>
      <c r="C3659" s="88" t="s">
        <v>4363</v>
      </c>
      <c r="D3659" s="90"/>
      <c r="E3659" s="88" t="s">
        <v>4364</v>
      </c>
      <c r="F3659" s="89"/>
      <c r="G3659" s="89"/>
      <c r="H3659" s="89"/>
      <c r="I3659" s="90"/>
      <c r="J3659" s="88" t="s">
        <v>2258</v>
      </c>
      <c r="K3659" s="89"/>
      <c r="L3659" s="89"/>
      <c r="M3659" s="90"/>
      <c r="N3659" s="88" t="s">
        <v>26</v>
      </c>
      <c r="O3659" s="89"/>
      <c r="P3659" s="90"/>
      <c r="Q3659" s="133">
        <v>1998</v>
      </c>
      <c r="R3659" s="134"/>
      <c r="S3659" s="5" t="s">
        <v>814</v>
      </c>
      <c r="T3659" s="8">
        <v>1250</v>
      </c>
      <c r="U3659" s="8">
        <v>3</v>
      </c>
      <c r="V3659" s="5" t="s">
        <v>23</v>
      </c>
      <c r="W3659" s="12">
        <v>3585727</v>
      </c>
      <c r="X3659" s="6"/>
      <c r="Y3659" s="6"/>
    </row>
    <row r="3660" spans="1:25" ht="15" customHeight="1" x14ac:dyDescent="0.2">
      <c r="A3660" s="88" t="s">
        <v>4190</v>
      </c>
      <c r="B3660" s="90"/>
      <c r="C3660" s="88" t="s">
        <v>4363</v>
      </c>
      <c r="D3660" s="90"/>
      <c r="E3660" s="88" t="s">
        <v>4366</v>
      </c>
      <c r="F3660" s="89"/>
      <c r="G3660" s="89"/>
      <c r="H3660" s="89"/>
      <c r="I3660" s="90"/>
      <c r="J3660" s="88" t="s">
        <v>2258</v>
      </c>
      <c r="K3660" s="89"/>
      <c r="L3660" s="89"/>
      <c r="M3660" s="90"/>
      <c r="N3660" s="88" t="s">
        <v>26</v>
      </c>
      <c r="O3660" s="89"/>
      <c r="P3660" s="90"/>
      <c r="Q3660" s="133">
        <v>2488</v>
      </c>
      <c r="R3660" s="134"/>
      <c r="S3660" s="5" t="s">
        <v>814</v>
      </c>
      <c r="T3660" s="5" t="s">
        <v>4367</v>
      </c>
      <c r="U3660" s="8">
        <v>5</v>
      </c>
      <c r="V3660" s="5" t="s">
        <v>23</v>
      </c>
      <c r="W3660" s="12">
        <v>4198777</v>
      </c>
      <c r="X3660" s="6"/>
      <c r="Y3660" s="6"/>
    </row>
    <row r="3661" spans="1:25" ht="15" customHeight="1" x14ac:dyDescent="0.2">
      <c r="A3661" s="88" t="s">
        <v>4190</v>
      </c>
      <c r="B3661" s="90"/>
      <c r="C3661" s="144" t="s">
        <v>9949</v>
      </c>
      <c r="D3661" s="145"/>
      <c r="E3661" s="88" t="s">
        <v>4359</v>
      </c>
      <c r="F3661" s="89"/>
      <c r="G3661" s="89"/>
      <c r="H3661" s="89"/>
      <c r="I3661" s="90"/>
      <c r="J3661" s="88" t="s">
        <v>4365</v>
      </c>
      <c r="K3661" s="89"/>
      <c r="L3661" s="89"/>
      <c r="M3661" s="90"/>
      <c r="N3661" s="88" t="s">
        <v>26</v>
      </c>
      <c r="O3661" s="89"/>
      <c r="P3661" s="90"/>
      <c r="Q3661" s="133">
        <v>2488</v>
      </c>
      <c r="R3661" s="134"/>
      <c r="S3661" s="5" t="s">
        <v>814</v>
      </c>
      <c r="T3661" s="8">
        <v>3155</v>
      </c>
      <c r="U3661" s="8">
        <v>9</v>
      </c>
      <c r="V3661" s="5" t="s">
        <v>23</v>
      </c>
      <c r="W3661" s="12">
        <v>4030826</v>
      </c>
      <c r="X3661" s="6"/>
      <c r="Y3661" s="6"/>
    </row>
    <row r="3662" spans="1:25" ht="15" customHeight="1" x14ac:dyDescent="0.2">
      <c r="A3662" s="88" t="s">
        <v>4190</v>
      </c>
      <c r="B3662" s="90"/>
      <c r="C3662" s="88" t="s">
        <v>4368</v>
      </c>
      <c r="D3662" s="90"/>
      <c r="E3662" s="88" t="s">
        <v>4364</v>
      </c>
      <c r="F3662" s="89"/>
      <c r="G3662" s="89"/>
      <c r="H3662" s="89"/>
      <c r="I3662" s="90"/>
      <c r="J3662" s="88" t="s">
        <v>4365</v>
      </c>
      <c r="K3662" s="89"/>
      <c r="L3662" s="89"/>
      <c r="M3662" s="90"/>
      <c r="N3662" s="88" t="s">
        <v>26</v>
      </c>
      <c r="O3662" s="89"/>
      <c r="P3662" s="90"/>
      <c r="Q3662" s="133">
        <v>1998</v>
      </c>
      <c r="R3662" s="134"/>
      <c r="S3662" s="5" t="s">
        <v>814</v>
      </c>
      <c r="T3662" s="8">
        <v>2920</v>
      </c>
      <c r="U3662" s="8">
        <v>5</v>
      </c>
      <c r="V3662" s="5" t="s">
        <v>23</v>
      </c>
      <c r="W3662" s="12">
        <v>4705285</v>
      </c>
      <c r="X3662" s="6"/>
      <c r="Y3662" s="6"/>
    </row>
    <row r="3663" spans="1:25" ht="15" customHeight="1" x14ac:dyDescent="0.2">
      <c r="A3663" s="88" t="s">
        <v>4190</v>
      </c>
      <c r="B3663" s="90"/>
      <c r="C3663" s="88" t="s">
        <v>4368</v>
      </c>
      <c r="D3663" s="90"/>
      <c r="E3663" s="88" t="s">
        <v>4364</v>
      </c>
      <c r="F3663" s="89"/>
      <c r="G3663" s="89"/>
      <c r="H3663" s="89"/>
      <c r="I3663" s="90"/>
      <c r="J3663" s="88" t="s">
        <v>2258</v>
      </c>
      <c r="K3663" s="89"/>
      <c r="L3663" s="89"/>
      <c r="M3663" s="90"/>
      <c r="N3663" s="88" t="s">
        <v>26</v>
      </c>
      <c r="O3663" s="89"/>
      <c r="P3663" s="90"/>
      <c r="Q3663" s="133">
        <v>1998</v>
      </c>
      <c r="R3663" s="134"/>
      <c r="S3663" s="5" t="s">
        <v>814</v>
      </c>
      <c r="T3663" s="5" t="s">
        <v>4369</v>
      </c>
      <c r="U3663" s="8">
        <v>5</v>
      </c>
      <c r="V3663" s="5" t="s">
        <v>23</v>
      </c>
      <c r="W3663" s="12">
        <v>4705285</v>
      </c>
      <c r="X3663" s="6"/>
      <c r="Y3663" s="6"/>
    </row>
    <row r="3664" spans="1:25" ht="15" customHeight="1" x14ac:dyDescent="0.2">
      <c r="A3664" s="88" t="s">
        <v>4190</v>
      </c>
      <c r="B3664" s="90"/>
      <c r="C3664" s="88" t="s">
        <v>4370</v>
      </c>
      <c r="D3664" s="90"/>
      <c r="E3664" s="88" t="s">
        <v>4364</v>
      </c>
      <c r="F3664" s="89"/>
      <c r="G3664" s="89"/>
      <c r="H3664" s="89"/>
      <c r="I3664" s="90"/>
      <c r="J3664" s="88" t="s">
        <v>4365</v>
      </c>
      <c r="K3664" s="89"/>
      <c r="L3664" s="89"/>
      <c r="M3664" s="90"/>
      <c r="N3664" s="88" t="s">
        <v>26</v>
      </c>
      <c r="O3664" s="89"/>
      <c r="P3664" s="90"/>
      <c r="Q3664" s="133">
        <v>1998</v>
      </c>
      <c r="R3664" s="134"/>
      <c r="S3664" s="5" t="s">
        <v>814</v>
      </c>
      <c r="T3664" s="8">
        <v>2920</v>
      </c>
      <c r="U3664" s="8">
        <v>5</v>
      </c>
      <c r="V3664" s="5" t="s">
        <v>23</v>
      </c>
      <c r="W3664" s="12">
        <v>4705285</v>
      </c>
      <c r="X3664" s="6"/>
      <c r="Y3664" s="6"/>
    </row>
    <row r="3665" spans="1:25" ht="15" customHeight="1" x14ac:dyDescent="0.2">
      <c r="A3665" s="88" t="s">
        <v>4190</v>
      </c>
      <c r="B3665" s="90"/>
      <c r="C3665" s="88" t="s">
        <v>4371</v>
      </c>
      <c r="D3665" s="90"/>
      <c r="E3665" s="88" t="s">
        <v>4361</v>
      </c>
      <c r="F3665" s="89"/>
      <c r="G3665" s="89"/>
      <c r="H3665" s="89"/>
      <c r="I3665" s="90"/>
      <c r="J3665" s="88" t="s">
        <v>2258</v>
      </c>
      <c r="K3665" s="89"/>
      <c r="L3665" s="89"/>
      <c r="M3665" s="90"/>
      <c r="N3665" s="88" t="s">
        <v>26</v>
      </c>
      <c r="O3665" s="89"/>
      <c r="P3665" s="90"/>
      <c r="Q3665" s="133">
        <v>2488</v>
      </c>
      <c r="R3665" s="134"/>
      <c r="S3665" s="5" t="s">
        <v>814</v>
      </c>
      <c r="T3665" s="8">
        <v>2730</v>
      </c>
      <c r="U3665" s="8">
        <v>10</v>
      </c>
      <c r="V3665" s="5" t="s">
        <v>23</v>
      </c>
      <c r="W3665" s="12">
        <v>6154946</v>
      </c>
      <c r="X3665" s="6"/>
      <c r="Y3665" s="6"/>
    </row>
    <row r="3666" spans="1:25" ht="15" customHeight="1" x14ac:dyDescent="0.2">
      <c r="A3666" s="88" t="s">
        <v>4190</v>
      </c>
      <c r="B3666" s="90"/>
      <c r="C3666" s="88" t="s">
        <v>4372</v>
      </c>
      <c r="D3666" s="90"/>
      <c r="E3666" s="88" t="s">
        <v>4373</v>
      </c>
      <c r="F3666" s="89"/>
      <c r="G3666" s="89"/>
      <c r="H3666" s="89"/>
      <c r="I3666" s="90"/>
      <c r="J3666" s="88" t="s">
        <v>770</v>
      </c>
      <c r="K3666" s="89"/>
      <c r="L3666" s="89"/>
      <c r="M3666" s="90"/>
      <c r="N3666" s="88" t="s">
        <v>26</v>
      </c>
      <c r="O3666" s="89"/>
      <c r="P3666" s="90"/>
      <c r="Q3666" s="133">
        <v>659</v>
      </c>
      <c r="R3666" s="134"/>
      <c r="S3666" s="5" t="s">
        <v>1101</v>
      </c>
      <c r="T3666" s="8">
        <v>1220</v>
      </c>
      <c r="U3666" s="8">
        <v>7</v>
      </c>
      <c r="V3666" s="5" t="s">
        <v>23</v>
      </c>
      <c r="W3666" s="12">
        <v>3240589</v>
      </c>
      <c r="X3666" s="6"/>
      <c r="Y3666" s="6"/>
    </row>
    <row r="3667" spans="1:25" ht="15" customHeight="1" x14ac:dyDescent="0.2">
      <c r="A3667" s="88" t="s">
        <v>4190</v>
      </c>
      <c r="B3667" s="90"/>
      <c r="C3667" s="88" t="s">
        <v>4374</v>
      </c>
      <c r="D3667" s="90"/>
      <c r="E3667" s="88" t="s">
        <v>4373</v>
      </c>
      <c r="F3667" s="89"/>
      <c r="G3667" s="89"/>
      <c r="H3667" s="89"/>
      <c r="I3667" s="90"/>
      <c r="J3667" s="88" t="s">
        <v>770</v>
      </c>
      <c r="K3667" s="89"/>
      <c r="L3667" s="89"/>
      <c r="M3667" s="90"/>
      <c r="N3667" s="88" t="s">
        <v>26</v>
      </c>
      <c r="O3667" s="89"/>
      <c r="P3667" s="90"/>
      <c r="Q3667" s="133">
        <v>659</v>
      </c>
      <c r="R3667" s="134"/>
      <c r="S3667" s="5" t="s">
        <v>1101</v>
      </c>
      <c r="T3667" s="8">
        <v>1220</v>
      </c>
      <c r="U3667" s="8">
        <v>4</v>
      </c>
      <c r="V3667" s="5" t="s">
        <v>23</v>
      </c>
      <c r="W3667" s="12">
        <v>3283010</v>
      </c>
      <c r="X3667" s="6"/>
      <c r="Y3667" s="6"/>
    </row>
    <row r="3668" spans="1:25" ht="15" customHeight="1" x14ac:dyDescent="0.2">
      <c r="A3668" s="88" t="s">
        <v>4190</v>
      </c>
      <c r="B3668" s="90"/>
      <c r="C3668" s="88" t="s">
        <v>4375</v>
      </c>
      <c r="D3668" s="90"/>
      <c r="E3668" s="88" t="s">
        <v>4376</v>
      </c>
      <c r="F3668" s="89"/>
      <c r="G3668" s="89"/>
      <c r="H3668" s="89"/>
      <c r="I3668" s="90"/>
      <c r="J3668" s="88" t="s">
        <v>770</v>
      </c>
      <c r="K3668" s="89"/>
      <c r="L3668" s="89"/>
      <c r="M3668" s="90"/>
      <c r="N3668" s="88" t="s">
        <v>22</v>
      </c>
      <c r="O3668" s="89"/>
      <c r="P3668" s="90"/>
      <c r="Q3668" s="133">
        <v>659</v>
      </c>
      <c r="R3668" s="134"/>
      <c r="S3668" s="5" t="s">
        <v>1101</v>
      </c>
      <c r="T3668" s="8">
        <v>1230</v>
      </c>
      <c r="U3668" s="8">
        <v>4</v>
      </c>
      <c r="V3668" s="5" t="s">
        <v>23</v>
      </c>
      <c r="W3668" s="12">
        <v>3631600</v>
      </c>
      <c r="X3668" s="6"/>
      <c r="Y3668" s="6"/>
    </row>
    <row r="3669" spans="1:25" ht="15" customHeight="1" x14ac:dyDescent="0.2">
      <c r="A3669" s="88" t="s">
        <v>4190</v>
      </c>
      <c r="B3669" s="90"/>
      <c r="C3669" s="88" t="s">
        <v>4377</v>
      </c>
      <c r="D3669" s="90"/>
      <c r="E3669" s="88" t="s">
        <v>4373</v>
      </c>
      <c r="F3669" s="89"/>
      <c r="G3669" s="89"/>
      <c r="H3669" s="89"/>
      <c r="I3669" s="90"/>
      <c r="J3669" s="88" t="s">
        <v>770</v>
      </c>
      <c r="K3669" s="89"/>
      <c r="L3669" s="89"/>
      <c r="M3669" s="90"/>
      <c r="N3669" s="88" t="s">
        <v>26</v>
      </c>
      <c r="O3669" s="89"/>
      <c r="P3669" s="90"/>
      <c r="Q3669" s="133">
        <v>659</v>
      </c>
      <c r="R3669" s="134"/>
      <c r="S3669" s="5" t="s">
        <v>1101</v>
      </c>
      <c r="T3669" s="8">
        <v>1230</v>
      </c>
      <c r="U3669" s="8">
        <v>5</v>
      </c>
      <c r="V3669" s="5" t="s">
        <v>23</v>
      </c>
      <c r="W3669" s="12">
        <v>2945990</v>
      </c>
      <c r="X3669" s="6"/>
      <c r="Y3669" s="6"/>
    </row>
    <row r="3670" spans="1:25" ht="15" customHeight="1" x14ac:dyDescent="0.2">
      <c r="A3670" s="88" t="s">
        <v>4190</v>
      </c>
      <c r="B3670" s="90"/>
      <c r="C3670" s="88" t="s">
        <v>4378</v>
      </c>
      <c r="D3670" s="90"/>
      <c r="E3670" s="88" t="s">
        <v>4379</v>
      </c>
      <c r="F3670" s="89"/>
      <c r="G3670" s="89"/>
      <c r="H3670" s="89"/>
      <c r="I3670" s="90"/>
      <c r="J3670" s="88" t="s">
        <v>770</v>
      </c>
      <c r="K3670" s="89"/>
      <c r="L3670" s="89"/>
      <c r="M3670" s="90"/>
      <c r="N3670" s="88" t="s">
        <v>26</v>
      </c>
      <c r="O3670" s="89"/>
      <c r="P3670" s="90"/>
      <c r="Q3670" s="133">
        <v>659</v>
      </c>
      <c r="R3670" s="134"/>
      <c r="S3670" s="5" t="s">
        <v>1101</v>
      </c>
      <c r="T3670" s="8">
        <v>1230</v>
      </c>
      <c r="U3670" s="8">
        <v>7</v>
      </c>
      <c r="V3670" s="5" t="s">
        <v>23</v>
      </c>
      <c r="W3670" s="12">
        <v>6239061</v>
      </c>
      <c r="X3670" s="6"/>
      <c r="Y3670" s="6"/>
    </row>
    <row r="3671" spans="1:25" ht="15" customHeight="1" x14ac:dyDescent="0.2">
      <c r="A3671" s="88" t="s">
        <v>4190</v>
      </c>
      <c r="B3671" s="90"/>
      <c r="C3671" s="88" t="s">
        <v>4380</v>
      </c>
      <c r="D3671" s="90"/>
      <c r="E3671" s="88" t="s">
        <v>4381</v>
      </c>
      <c r="F3671" s="89"/>
      <c r="G3671" s="89"/>
      <c r="H3671" s="89"/>
      <c r="I3671" s="90"/>
      <c r="J3671" s="88" t="s">
        <v>770</v>
      </c>
      <c r="K3671" s="89"/>
      <c r="L3671" s="89"/>
      <c r="M3671" s="90"/>
      <c r="N3671" s="88" t="s">
        <v>26</v>
      </c>
      <c r="O3671" s="89"/>
      <c r="P3671" s="90"/>
      <c r="Q3671" s="133">
        <v>659</v>
      </c>
      <c r="R3671" s="134"/>
      <c r="S3671" s="5" t="s">
        <v>1101</v>
      </c>
      <c r="T3671" s="8">
        <v>1230</v>
      </c>
      <c r="U3671" s="8">
        <v>7</v>
      </c>
      <c r="V3671" s="5" t="s">
        <v>23</v>
      </c>
      <c r="W3671" s="12">
        <v>3472479</v>
      </c>
      <c r="X3671" s="6"/>
      <c r="Y3671" s="6"/>
    </row>
    <row r="3672" spans="1:25" ht="15" customHeight="1" x14ac:dyDescent="0.2">
      <c r="A3672" s="88" t="s">
        <v>4190</v>
      </c>
      <c r="B3672" s="90"/>
      <c r="C3672" s="88" t="s">
        <v>4382</v>
      </c>
      <c r="D3672" s="90"/>
      <c r="E3672" s="88" t="s">
        <v>4381</v>
      </c>
      <c r="F3672" s="89"/>
      <c r="G3672" s="89"/>
      <c r="H3672" s="89"/>
      <c r="I3672" s="90"/>
      <c r="J3672" s="88" t="s">
        <v>770</v>
      </c>
      <c r="K3672" s="89"/>
      <c r="L3672" s="89"/>
      <c r="M3672" s="90"/>
      <c r="N3672" s="88" t="s">
        <v>26</v>
      </c>
      <c r="O3672" s="89"/>
      <c r="P3672" s="90"/>
      <c r="Q3672" s="133">
        <v>659</v>
      </c>
      <c r="R3672" s="134"/>
      <c r="S3672" s="5" t="s">
        <v>1101</v>
      </c>
      <c r="T3672" s="8">
        <v>1210</v>
      </c>
      <c r="U3672" s="8">
        <v>4</v>
      </c>
      <c r="V3672" s="5" t="s">
        <v>23</v>
      </c>
      <c r="W3672" s="12">
        <v>3375230</v>
      </c>
      <c r="X3672" s="6"/>
      <c r="Y3672" s="6"/>
    </row>
    <row r="3673" spans="1:25" ht="15" customHeight="1" x14ac:dyDescent="0.2">
      <c r="A3673" s="88" t="s">
        <v>4190</v>
      </c>
      <c r="B3673" s="90"/>
      <c r="C3673" s="88" t="s">
        <v>4383</v>
      </c>
      <c r="D3673" s="90"/>
      <c r="E3673" s="88" t="s">
        <v>4384</v>
      </c>
      <c r="F3673" s="89"/>
      <c r="G3673" s="89"/>
      <c r="H3673" s="89"/>
      <c r="I3673" s="90"/>
      <c r="J3673" s="88" t="s">
        <v>770</v>
      </c>
      <c r="K3673" s="89"/>
      <c r="L3673" s="89"/>
      <c r="M3673" s="90"/>
      <c r="N3673" s="88" t="s">
        <v>22</v>
      </c>
      <c r="O3673" s="89"/>
      <c r="P3673" s="90"/>
      <c r="Q3673" s="133">
        <v>0</v>
      </c>
      <c r="R3673" s="134"/>
      <c r="S3673" s="5" t="s">
        <v>1101</v>
      </c>
      <c r="T3673" s="8">
        <v>1330</v>
      </c>
      <c r="U3673" s="8">
        <v>4</v>
      </c>
      <c r="V3673" s="5" t="s">
        <v>17</v>
      </c>
      <c r="W3673" s="12">
        <v>4737310</v>
      </c>
      <c r="X3673" s="6"/>
      <c r="Y3673" s="6"/>
    </row>
    <row r="3674" spans="1:25" ht="15" customHeight="1" x14ac:dyDescent="0.2">
      <c r="A3674" s="88" t="s">
        <v>4190</v>
      </c>
      <c r="B3674" s="90"/>
      <c r="C3674" s="88" t="s">
        <v>4383</v>
      </c>
      <c r="D3674" s="90"/>
      <c r="E3674" s="88" t="s">
        <v>4384</v>
      </c>
      <c r="F3674" s="89"/>
      <c r="G3674" s="89"/>
      <c r="H3674" s="89"/>
      <c r="I3674" s="90"/>
      <c r="J3674" s="88" t="s">
        <v>770</v>
      </c>
      <c r="K3674" s="89"/>
      <c r="L3674" s="89"/>
      <c r="M3674" s="90"/>
      <c r="N3674" s="88" t="s">
        <v>26</v>
      </c>
      <c r="O3674" s="89"/>
      <c r="P3674" s="90"/>
      <c r="Q3674" s="133">
        <v>0</v>
      </c>
      <c r="R3674" s="134"/>
      <c r="S3674" s="5" t="s">
        <v>1101</v>
      </c>
      <c r="T3674" s="8">
        <v>1330</v>
      </c>
      <c r="U3674" s="8">
        <v>4</v>
      </c>
      <c r="V3674" s="5" t="s">
        <v>17</v>
      </c>
      <c r="W3674" s="12">
        <v>3687392</v>
      </c>
      <c r="X3674" s="6"/>
      <c r="Y3674" s="6"/>
    </row>
    <row r="3675" spans="1:25" ht="15" customHeight="1" x14ac:dyDescent="0.2">
      <c r="A3675" s="88" t="s">
        <v>4190</v>
      </c>
      <c r="B3675" s="90"/>
      <c r="C3675" s="88" t="s">
        <v>4385</v>
      </c>
      <c r="D3675" s="90"/>
      <c r="E3675" s="88" t="s">
        <v>4386</v>
      </c>
      <c r="F3675" s="89"/>
      <c r="G3675" s="89"/>
      <c r="H3675" s="89"/>
      <c r="I3675" s="90"/>
      <c r="J3675" s="88" t="s">
        <v>770</v>
      </c>
      <c r="K3675" s="89"/>
      <c r="L3675" s="89"/>
      <c r="M3675" s="90"/>
      <c r="N3675" s="88" t="s">
        <v>26</v>
      </c>
      <c r="O3675" s="89"/>
      <c r="P3675" s="90"/>
      <c r="Q3675" s="133">
        <v>1433</v>
      </c>
      <c r="R3675" s="134"/>
      <c r="S3675" s="5" t="s">
        <v>1101</v>
      </c>
      <c r="T3675" s="8">
        <v>2295</v>
      </c>
      <c r="U3675" s="8">
        <v>7</v>
      </c>
      <c r="V3675" s="5" t="s">
        <v>23</v>
      </c>
      <c r="W3675" s="12">
        <v>6948312</v>
      </c>
      <c r="X3675" s="6"/>
      <c r="Y3675" s="6"/>
    </row>
    <row r="3676" spans="1:25" ht="15" customHeight="1" x14ac:dyDescent="0.2">
      <c r="A3676" s="88" t="s">
        <v>4190</v>
      </c>
      <c r="B3676" s="90"/>
      <c r="C3676" s="88" t="s">
        <v>4387</v>
      </c>
      <c r="D3676" s="90"/>
      <c r="E3676" s="88" t="s">
        <v>4388</v>
      </c>
      <c r="F3676" s="89"/>
      <c r="G3676" s="89"/>
      <c r="H3676" s="89"/>
      <c r="I3676" s="90"/>
      <c r="J3676" s="88" t="s">
        <v>770</v>
      </c>
      <c r="K3676" s="89"/>
      <c r="L3676" s="89"/>
      <c r="M3676" s="90"/>
      <c r="N3676" s="88" t="s">
        <v>26</v>
      </c>
      <c r="O3676" s="89"/>
      <c r="P3676" s="90"/>
      <c r="Q3676" s="133">
        <v>1198</v>
      </c>
      <c r="R3676" s="134"/>
      <c r="S3676" s="5" t="s">
        <v>1101</v>
      </c>
      <c r="T3676" s="8">
        <v>2145</v>
      </c>
      <c r="U3676" s="8">
        <v>7</v>
      </c>
      <c r="V3676" s="5" t="s">
        <v>23</v>
      </c>
      <c r="W3676" s="12">
        <v>5285009</v>
      </c>
      <c r="X3676" s="6"/>
      <c r="Y3676" s="6"/>
    </row>
    <row r="3677" spans="1:25" ht="15" customHeight="1" x14ac:dyDescent="0.2">
      <c r="A3677" s="88" t="s">
        <v>4190</v>
      </c>
      <c r="B3677" s="90"/>
      <c r="C3677" s="88" t="s">
        <v>4387</v>
      </c>
      <c r="D3677" s="90"/>
      <c r="E3677" s="88" t="s">
        <v>4389</v>
      </c>
      <c r="F3677" s="89"/>
      <c r="G3677" s="89"/>
      <c r="H3677" s="89"/>
      <c r="I3677" s="90"/>
      <c r="J3677" s="88" t="s">
        <v>770</v>
      </c>
      <c r="K3677" s="89"/>
      <c r="L3677" s="89"/>
      <c r="M3677" s="90"/>
      <c r="N3677" s="88" t="s">
        <v>26</v>
      </c>
      <c r="O3677" s="89"/>
      <c r="P3677" s="90"/>
      <c r="Q3677" s="133">
        <v>1198</v>
      </c>
      <c r="R3677" s="134"/>
      <c r="S3677" s="5" t="s">
        <v>1101</v>
      </c>
      <c r="T3677" s="8">
        <v>2165</v>
      </c>
      <c r="U3677" s="8">
        <v>7</v>
      </c>
      <c r="V3677" s="5" t="s">
        <v>23</v>
      </c>
      <c r="W3677" s="12">
        <v>6007171</v>
      </c>
      <c r="X3677" s="6"/>
      <c r="Y3677" s="6"/>
    </row>
    <row r="3678" spans="1:25" ht="15" customHeight="1" x14ac:dyDescent="0.2">
      <c r="A3678" s="88" t="s">
        <v>4190</v>
      </c>
      <c r="B3678" s="90"/>
      <c r="C3678" s="88" t="s">
        <v>4390</v>
      </c>
      <c r="D3678" s="90"/>
      <c r="E3678" s="88" t="s">
        <v>4388</v>
      </c>
      <c r="F3678" s="89"/>
      <c r="G3678" s="89"/>
      <c r="H3678" s="89"/>
      <c r="I3678" s="90"/>
      <c r="J3678" s="88" t="s">
        <v>770</v>
      </c>
      <c r="K3678" s="89"/>
      <c r="L3678" s="89"/>
      <c r="M3678" s="90"/>
      <c r="N3678" s="88" t="s">
        <v>26</v>
      </c>
      <c r="O3678" s="89"/>
      <c r="P3678" s="90"/>
      <c r="Q3678" s="133">
        <v>1198</v>
      </c>
      <c r="R3678" s="134"/>
      <c r="S3678" s="5" t="s">
        <v>1101</v>
      </c>
      <c r="T3678" s="8">
        <v>2205</v>
      </c>
      <c r="U3678" s="8">
        <v>7</v>
      </c>
      <c r="V3678" s="5" t="s">
        <v>23</v>
      </c>
      <c r="W3678" s="12">
        <v>6336311</v>
      </c>
      <c r="X3678" s="6"/>
      <c r="Y3678" s="6"/>
    </row>
    <row r="3679" spans="1:25" ht="15" customHeight="1" x14ac:dyDescent="0.2">
      <c r="A3679" s="88" t="s">
        <v>4190</v>
      </c>
      <c r="B3679" s="90"/>
      <c r="C3679" s="88" t="s">
        <v>4391</v>
      </c>
      <c r="D3679" s="90"/>
      <c r="E3679" s="88" t="s">
        <v>4388</v>
      </c>
      <c r="F3679" s="89"/>
      <c r="G3679" s="89"/>
      <c r="H3679" s="89"/>
      <c r="I3679" s="90"/>
      <c r="J3679" s="88" t="s">
        <v>770</v>
      </c>
      <c r="K3679" s="89"/>
      <c r="L3679" s="89"/>
      <c r="M3679" s="90"/>
      <c r="N3679" s="88" t="s">
        <v>26</v>
      </c>
      <c r="O3679" s="89"/>
      <c r="P3679" s="90"/>
      <c r="Q3679" s="133">
        <v>1198</v>
      </c>
      <c r="R3679" s="134"/>
      <c r="S3679" s="5" t="s">
        <v>1101</v>
      </c>
      <c r="T3679" s="8">
        <v>2145</v>
      </c>
      <c r="U3679" s="8">
        <v>5</v>
      </c>
      <c r="V3679" s="5" t="s">
        <v>23</v>
      </c>
      <c r="W3679" s="12">
        <v>5333634</v>
      </c>
      <c r="X3679" s="6"/>
      <c r="Y3679" s="6"/>
    </row>
    <row r="3680" spans="1:25" ht="15" customHeight="1" x14ac:dyDescent="0.2">
      <c r="A3680" s="88" t="s">
        <v>4190</v>
      </c>
      <c r="B3680" s="90"/>
      <c r="C3680" s="88" t="s">
        <v>4391</v>
      </c>
      <c r="D3680" s="90"/>
      <c r="E3680" s="88" t="s">
        <v>4389</v>
      </c>
      <c r="F3680" s="89"/>
      <c r="G3680" s="89"/>
      <c r="H3680" s="89"/>
      <c r="I3680" s="90"/>
      <c r="J3680" s="88" t="s">
        <v>770</v>
      </c>
      <c r="K3680" s="89"/>
      <c r="L3680" s="89"/>
      <c r="M3680" s="90"/>
      <c r="N3680" s="88" t="s">
        <v>26</v>
      </c>
      <c r="O3680" s="89"/>
      <c r="P3680" s="90"/>
      <c r="Q3680" s="133">
        <v>1198</v>
      </c>
      <c r="R3680" s="134"/>
      <c r="S3680" s="5" t="s">
        <v>1101</v>
      </c>
      <c r="T3680" s="8">
        <v>2205</v>
      </c>
      <c r="U3680" s="8">
        <v>7</v>
      </c>
      <c r="V3680" s="5" t="s">
        <v>23</v>
      </c>
      <c r="W3680" s="12">
        <v>6621185</v>
      </c>
      <c r="X3680" s="6"/>
      <c r="Y3680" s="6"/>
    </row>
    <row r="3681" spans="1:25" ht="15" customHeight="1" x14ac:dyDescent="0.2">
      <c r="A3681" s="88" t="s">
        <v>4190</v>
      </c>
      <c r="B3681" s="90"/>
      <c r="C3681" s="88" t="s">
        <v>4392</v>
      </c>
      <c r="D3681" s="90"/>
      <c r="E3681" s="88" t="s">
        <v>4386</v>
      </c>
      <c r="F3681" s="89"/>
      <c r="G3681" s="89"/>
      <c r="H3681" s="89"/>
      <c r="I3681" s="90"/>
      <c r="J3681" s="88" t="s">
        <v>770</v>
      </c>
      <c r="K3681" s="89"/>
      <c r="L3681" s="89"/>
      <c r="M3681" s="90"/>
      <c r="N3681" s="88" t="s">
        <v>26</v>
      </c>
      <c r="O3681" s="89"/>
      <c r="P3681" s="90"/>
      <c r="Q3681" s="133">
        <v>1433</v>
      </c>
      <c r="R3681" s="134"/>
      <c r="S3681" s="5" t="s">
        <v>1101</v>
      </c>
      <c r="T3681" s="8">
        <v>2235</v>
      </c>
      <c r="U3681" s="8">
        <v>7</v>
      </c>
      <c r="V3681" s="5" t="s">
        <v>23</v>
      </c>
      <c r="W3681" s="12">
        <v>6490568</v>
      </c>
      <c r="X3681" s="6"/>
      <c r="Y3681" s="6"/>
    </row>
    <row r="3682" spans="1:25" ht="15" customHeight="1" x14ac:dyDescent="0.2">
      <c r="A3682" s="88" t="s">
        <v>4190</v>
      </c>
      <c r="B3682" s="90"/>
      <c r="C3682" s="88" t="s">
        <v>4393</v>
      </c>
      <c r="D3682" s="90"/>
      <c r="E3682" s="88" t="s">
        <v>4388</v>
      </c>
      <c r="F3682" s="89"/>
      <c r="G3682" s="89"/>
      <c r="H3682" s="89"/>
      <c r="I3682" s="90"/>
      <c r="J3682" s="88" t="s">
        <v>770</v>
      </c>
      <c r="K3682" s="89"/>
      <c r="L3682" s="89"/>
      <c r="M3682" s="90"/>
      <c r="N3682" s="88" t="s">
        <v>26</v>
      </c>
      <c r="O3682" s="89"/>
      <c r="P3682" s="90"/>
      <c r="Q3682" s="133">
        <v>1198</v>
      </c>
      <c r="R3682" s="134"/>
      <c r="S3682" s="5" t="s">
        <v>1101</v>
      </c>
      <c r="T3682" s="8">
        <v>2185</v>
      </c>
      <c r="U3682" s="8">
        <v>7</v>
      </c>
      <c r="V3682" s="5" t="s">
        <v>23</v>
      </c>
      <c r="W3682" s="12">
        <v>6313340</v>
      </c>
      <c r="X3682" s="6"/>
      <c r="Y3682" s="6"/>
    </row>
    <row r="3683" spans="1:25" ht="15" customHeight="1" x14ac:dyDescent="0.2">
      <c r="A3683" s="88" t="s">
        <v>4190</v>
      </c>
      <c r="B3683" s="90"/>
      <c r="C3683" s="88" t="s">
        <v>4394</v>
      </c>
      <c r="D3683" s="90"/>
      <c r="E3683" s="88" t="s">
        <v>4386</v>
      </c>
      <c r="F3683" s="89"/>
      <c r="G3683" s="89"/>
      <c r="H3683" s="89"/>
      <c r="I3683" s="90"/>
      <c r="J3683" s="88" t="s">
        <v>770</v>
      </c>
      <c r="K3683" s="89"/>
      <c r="L3683" s="89"/>
      <c r="M3683" s="90"/>
      <c r="N3683" s="88" t="s">
        <v>22</v>
      </c>
      <c r="O3683" s="89"/>
      <c r="P3683" s="90"/>
      <c r="Q3683" s="133">
        <v>1433</v>
      </c>
      <c r="R3683" s="134"/>
      <c r="S3683" s="5" t="s">
        <v>1101</v>
      </c>
      <c r="T3683" s="8">
        <v>2235</v>
      </c>
      <c r="U3683" s="8">
        <v>7</v>
      </c>
      <c r="V3683" s="5" t="s">
        <v>23</v>
      </c>
      <c r="W3683" s="12">
        <v>8045220</v>
      </c>
      <c r="X3683" s="6"/>
      <c r="Y3683" s="6"/>
    </row>
    <row r="3684" spans="1:25" ht="15" customHeight="1" x14ac:dyDescent="0.2">
      <c r="A3684" s="88" t="s">
        <v>4190</v>
      </c>
      <c r="B3684" s="90"/>
      <c r="C3684" s="88" t="s">
        <v>4394</v>
      </c>
      <c r="D3684" s="90"/>
      <c r="E3684" s="88" t="s">
        <v>4386</v>
      </c>
      <c r="F3684" s="89"/>
      <c r="G3684" s="89"/>
      <c r="H3684" s="89"/>
      <c r="I3684" s="90"/>
      <c r="J3684" s="88" t="s">
        <v>770</v>
      </c>
      <c r="K3684" s="89"/>
      <c r="L3684" s="89"/>
      <c r="M3684" s="90"/>
      <c r="N3684" s="88" t="s">
        <v>26</v>
      </c>
      <c r="O3684" s="89"/>
      <c r="P3684" s="90"/>
      <c r="Q3684" s="133">
        <v>1433</v>
      </c>
      <c r="R3684" s="134"/>
      <c r="S3684" s="5" t="s">
        <v>1101</v>
      </c>
      <c r="T3684" s="8">
        <v>2235</v>
      </c>
      <c r="U3684" s="8">
        <v>7</v>
      </c>
      <c r="V3684" s="5" t="s">
        <v>23</v>
      </c>
      <c r="W3684" s="12">
        <v>8128217</v>
      </c>
      <c r="X3684" s="6"/>
      <c r="Y3684" s="6"/>
    </row>
    <row r="3685" spans="1:25" ht="15" customHeight="1" x14ac:dyDescent="0.2">
      <c r="A3685" s="88" t="s">
        <v>4190</v>
      </c>
      <c r="B3685" s="90"/>
      <c r="C3685" s="88" t="s">
        <v>4395</v>
      </c>
      <c r="D3685" s="90"/>
      <c r="E3685" s="88" t="s">
        <v>4386</v>
      </c>
      <c r="F3685" s="89"/>
      <c r="G3685" s="89"/>
      <c r="H3685" s="89"/>
      <c r="I3685" s="90"/>
      <c r="J3685" s="88" t="s">
        <v>770</v>
      </c>
      <c r="K3685" s="89"/>
      <c r="L3685" s="89"/>
      <c r="M3685" s="90"/>
      <c r="N3685" s="88" t="s">
        <v>26</v>
      </c>
      <c r="O3685" s="89"/>
      <c r="P3685" s="90"/>
      <c r="Q3685" s="133">
        <v>1433</v>
      </c>
      <c r="R3685" s="134"/>
      <c r="S3685" s="5" t="s">
        <v>1101</v>
      </c>
      <c r="T3685" s="8">
        <v>2235</v>
      </c>
      <c r="U3685" s="8">
        <v>7</v>
      </c>
      <c r="V3685" s="5" t="s">
        <v>23</v>
      </c>
      <c r="W3685" s="12">
        <v>6713572</v>
      </c>
      <c r="X3685" s="6"/>
      <c r="Y3685" s="6"/>
    </row>
    <row r="3686" spans="1:25" ht="15" customHeight="1" x14ac:dyDescent="0.2">
      <c r="A3686" s="88" t="s">
        <v>4190</v>
      </c>
      <c r="B3686" s="90"/>
      <c r="C3686" s="88" t="s">
        <v>4396</v>
      </c>
      <c r="D3686" s="90"/>
      <c r="E3686" s="88" t="s">
        <v>4397</v>
      </c>
      <c r="F3686" s="89"/>
      <c r="G3686" s="89"/>
      <c r="H3686" s="89"/>
      <c r="I3686" s="90"/>
      <c r="J3686" s="88" t="s">
        <v>770</v>
      </c>
      <c r="K3686" s="89"/>
      <c r="L3686" s="89"/>
      <c r="M3686" s="90"/>
      <c r="N3686" s="88" t="s">
        <v>26</v>
      </c>
      <c r="O3686" s="89"/>
      <c r="P3686" s="90"/>
      <c r="Q3686" s="133">
        <v>1997</v>
      </c>
      <c r="R3686" s="134"/>
      <c r="S3686" s="5" t="s">
        <v>1101</v>
      </c>
      <c r="T3686" s="8">
        <v>2090</v>
      </c>
      <c r="U3686" s="8">
        <v>8</v>
      </c>
      <c r="V3686" s="5" t="s">
        <v>23</v>
      </c>
      <c r="W3686" s="12">
        <v>4331517</v>
      </c>
      <c r="X3686" s="6"/>
      <c r="Y3686" s="6"/>
    </row>
    <row r="3687" spans="1:25" ht="15" customHeight="1" x14ac:dyDescent="0.2">
      <c r="A3687" s="88" t="s">
        <v>4190</v>
      </c>
      <c r="B3687" s="90"/>
      <c r="C3687" s="88" t="s">
        <v>4398</v>
      </c>
      <c r="D3687" s="90"/>
      <c r="E3687" s="88" t="s">
        <v>4397</v>
      </c>
      <c r="F3687" s="89"/>
      <c r="G3687" s="89"/>
      <c r="H3687" s="89"/>
      <c r="I3687" s="90"/>
      <c r="J3687" s="88" t="s">
        <v>770</v>
      </c>
      <c r="K3687" s="89"/>
      <c r="L3687" s="89"/>
      <c r="M3687" s="90"/>
      <c r="N3687" s="88" t="s">
        <v>26</v>
      </c>
      <c r="O3687" s="89"/>
      <c r="P3687" s="90"/>
      <c r="Q3687" s="133">
        <v>1997</v>
      </c>
      <c r="R3687" s="134"/>
      <c r="S3687" s="5" t="s">
        <v>1101</v>
      </c>
      <c r="T3687" s="8">
        <v>2160</v>
      </c>
      <c r="U3687" s="8">
        <v>8</v>
      </c>
      <c r="V3687" s="5" t="s">
        <v>23</v>
      </c>
      <c r="W3687" s="12">
        <v>5093025</v>
      </c>
      <c r="X3687" s="6"/>
      <c r="Y3687" s="6"/>
    </row>
    <row r="3688" spans="1:25" ht="15" customHeight="1" x14ac:dyDescent="0.2">
      <c r="A3688" s="88" t="s">
        <v>4190</v>
      </c>
      <c r="B3688" s="90"/>
      <c r="C3688" s="88" t="s">
        <v>4399</v>
      </c>
      <c r="D3688" s="90"/>
      <c r="E3688" s="88" t="s">
        <v>4400</v>
      </c>
      <c r="F3688" s="89"/>
      <c r="G3688" s="89"/>
      <c r="H3688" s="89"/>
      <c r="I3688" s="90"/>
      <c r="J3688" s="88" t="s">
        <v>770</v>
      </c>
      <c r="K3688" s="89"/>
      <c r="L3688" s="89"/>
      <c r="M3688" s="90"/>
      <c r="N3688" s="88" t="s">
        <v>22</v>
      </c>
      <c r="O3688" s="89"/>
      <c r="P3688" s="90"/>
      <c r="Q3688" s="133">
        <v>1997</v>
      </c>
      <c r="R3688" s="134"/>
      <c r="S3688" s="5" t="s">
        <v>1101</v>
      </c>
      <c r="T3688" s="8">
        <v>1955</v>
      </c>
      <c r="U3688" s="8">
        <v>5</v>
      </c>
      <c r="V3688" s="5" t="s">
        <v>23</v>
      </c>
      <c r="W3688" s="12">
        <v>6707039</v>
      </c>
      <c r="X3688" s="6"/>
      <c r="Y3688" s="6"/>
    </row>
    <row r="3689" spans="1:25" ht="15" customHeight="1" x14ac:dyDescent="0.2">
      <c r="A3689" s="88" t="s">
        <v>4190</v>
      </c>
      <c r="B3689" s="90"/>
      <c r="C3689" s="88" t="s">
        <v>4401</v>
      </c>
      <c r="D3689" s="90"/>
      <c r="E3689" s="88" t="s">
        <v>4400</v>
      </c>
      <c r="F3689" s="89"/>
      <c r="G3689" s="89"/>
      <c r="H3689" s="89"/>
      <c r="I3689" s="90"/>
      <c r="J3689" s="88" t="s">
        <v>770</v>
      </c>
      <c r="K3689" s="89"/>
      <c r="L3689" s="89"/>
      <c r="M3689" s="90"/>
      <c r="N3689" s="88" t="s">
        <v>26</v>
      </c>
      <c r="O3689" s="89"/>
      <c r="P3689" s="90"/>
      <c r="Q3689" s="133">
        <v>1997</v>
      </c>
      <c r="R3689" s="134"/>
      <c r="S3689" s="5" t="s">
        <v>1101</v>
      </c>
      <c r="T3689" s="8">
        <v>1935</v>
      </c>
      <c r="U3689" s="8">
        <v>5</v>
      </c>
      <c r="V3689" s="5" t="s">
        <v>23</v>
      </c>
      <c r="W3689" s="12">
        <v>6532207</v>
      </c>
      <c r="X3689" s="6"/>
      <c r="Y3689" s="6"/>
    </row>
    <row r="3690" spans="1:25" ht="15" customHeight="1" x14ac:dyDescent="0.2">
      <c r="A3690" s="88" t="s">
        <v>4190</v>
      </c>
      <c r="B3690" s="90"/>
      <c r="C3690" s="88" t="s">
        <v>4402</v>
      </c>
      <c r="D3690" s="90"/>
      <c r="E3690" s="88" t="s">
        <v>4403</v>
      </c>
      <c r="F3690" s="89"/>
      <c r="G3690" s="89"/>
      <c r="H3690" s="89"/>
      <c r="I3690" s="90"/>
      <c r="J3690" s="88" t="s">
        <v>4211</v>
      </c>
      <c r="K3690" s="89"/>
      <c r="L3690" s="89"/>
      <c r="M3690" s="90"/>
      <c r="N3690" s="88" t="s">
        <v>26</v>
      </c>
      <c r="O3690" s="89"/>
      <c r="P3690" s="90"/>
      <c r="Q3690" s="133">
        <v>3498</v>
      </c>
      <c r="R3690" s="134"/>
      <c r="S3690" s="5" t="s">
        <v>44</v>
      </c>
      <c r="T3690" s="8">
        <v>2085</v>
      </c>
      <c r="U3690" s="8">
        <v>5</v>
      </c>
      <c r="V3690" s="5" t="s">
        <v>23</v>
      </c>
      <c r="W3690" s="12">
        <v>8631735</v>
      </c>
      <c r="X3690" s="6"/>
      <c r="Y3690" s="6"/>
    </row>
    <row r="3691" spans="1:25" ht="15" customHeight="1" x14ac:dyDescent="0.2">
      <c r="A3691" s="88" t="s">
        <v>4190</v>
      </c>
      <c r="B3691" s="90"/>
      <c r="C3691" s="88" t="s">
        <v>4404</v>
      </c>
      <c r="D3691" s="90"/>
      <c r="E3691" s="88" t="s">
        <v>4405</v>
      </c>
      <c r="F3691" s="89"/>
      <c r="G3691" s="89"/>
      <c r="H3691" s="89"/>
      <c r="I3691" s="90"/>
      <c r="J3691" s="88" t="s">
        <v>4211</v>
      </c>
      <c r="K3691" s="89"/>
      <c r="L3691" s="89"/>
      <c r="M3691" s="90"/>
      <c r="N3691" s="88" t="s">
        <v>22</v>
      </c>
      <c r="O3691" s="89"/>
      <c r="P3691" s="90"/>
      <c r="Q3691" s="133">
        <v>2997</v>
      </c>
      <c r="R3691" s="134"/>
      <c r="S3691" s="5" t="s">
        <v>44</v>
      </c>
      <c r="T3691" s="8">
        <v>2035</v>
      </c>
      <c r="U3691" s="8">
        <v>5</v>
      </c>
      <c r="V3691" s="5" t="s">
        <v>23</v>
      </c>
      <c r="W3691" s="12">
        <v>10303596</v>
      </c>
      <c r="X3691" s="6"/>
      <c r="Y3691" s="6"/>
    </row>
    <row r="3692" spans="1:25" ht="15" customHeight="1" x14ac:dyDescent="0.2">
      <c r="A3692" s="88" t="s">
        <v>4190</v>
      </c>
      <c r="B3692" s="90"/>
      <c r="C3692" s="88" t="s">
        <v>4404</v>
      </c>
      <c r="D3692" s="90"/>
      <c r="E3692" s="88" t="s">
        <v>4405</v>
      </c>
      <c r="F3692" s="89"/>
      <c r="G3692" s="89"/>
      <c r="H3692" s="89"/>
      <c r="I3692" s="90"/>
      <c r="J3692" s="88" t="s">
        <v>4211</v>
      </c>
      <c r="K3692" s="89"/>
      <c r="L3692" s="89"/>
      <c r="M3692" s="90"/>
      <c r="N3692" s="88" t="s">
        <v>26</v>
      </c>
      <c r="O3692" s="89"/>
      <c r="P3692" s="90"/>
      <c r="Q3692" s="133">
        <v>2997</v>
      </c>
      <c r="R3692" s="134"/>
      <c r="S3692" s="5" t="s">
        <v>44</v>
      </c>
      <c r="T3692" s="8">
        <v>2035</v>
      </c>
      <c r="U3692" s="8">
        <v>5</v>
      </c>
      <c r="V3692" s="5" t="s">
        <v>23</v>
      </c>
      <c r="W3692" s="12">
        <v>9825208</v>
      </c>
      <c r="X3692" s="6"/>
      <c r="Y3692" s="6"/>
    </row>
    <row r="3693" spans="1:25" ht="15" customHeight="1" x14ac:dyDescent="0.2">
      <c r="A3693" s="88" t="s">
        <v>4190</v>
      </c>
      <c r="B3693" s="90"/>
      <c r="C3693" s="88" t="s">
        <v>4406</v>
      </c>
      <c r="D3693" s="90"/>
      <c r="E3693" s="88" t="s">
        <v>4407</v>
      </c>
      <c r="F3693" s="89"/>
      <c r="G3693" s="89"/>
      <c r="H3693" s="89"/>
      <c r="I3693" s="90"/>
      <c r="J3693" s="88" t="s">
        <v>4221</v>
      </c>
      <c r="K3693" s="89"/>
      <c r="L3693" s="89"/>
      <c r="M3693" s="90"/>
      <c r="N3693" s="88" t="s">
        <v>26</v>
      </c>
      <c r="O3693" s="89"/>
      <c r="P3693" s="90"/>
      <c r="Q3693" s="133">
        <v>3498</v>
      </c>
      <c r="R3693" s="134"/>
      <c r="S3693" s="5" t="s">
        <v>44</v>
      </c>
      <c r="T3693" s="8">
        <v>2115</v>
      </c>
      <c r="U3693" s="8">
        <v>7</v>
      </c>
      <c r="V3693" s="5" t="s">
        <v>23</v>
      </c>
      <c r="W3693" s="12">
        <v>10328572</v>
      </c>
      <c r="X3693" s="6"/>
      <c r="Y3693" s="6"/>
    </row>
    <row r="3694" spans="1:25" ht="15" customHeight="1" x14ac:dyDescent="0.2">
      <c r="A3694" s="88" t="s">
        <v>4190</v>
      </c>
      <c r="B3694" s="90"/>
      <c r="C3694" s="88" t="s">
        <v>4408</v>
      </c>
      <c r="D3694" s="90"/>
      <c r="E3694" s="88" t="s">
        <v>4405</v>
      </c>
      <c r="F3694" s="89"/>
      <c r="G3694" s="89"/>
      <c r="H3694" s="89"/>
      <c r="I3694" s="90"/>
      <c r="J3694" s="88" t="s">
        <v>4409</v>
      </c>
      <c r="K3694" s="89"/>
      <c r="L3694" s="89"/>
      <c r="M3694" s="90"/>
      <c r="N3694" s="88" t="s">
        <v>22</v>
      </c>
      <c r="O3694" s="89"/>
      <c r="P3694" s="90"/>
      <c r="Q3694" s="133">
        <v>2997</v>
      </c>
      <c r="R3694" s="134"/>
      <c r="S3694" s="5" t="s">
        <v>44</v>
      </c>
      <c r="T3694" s="8">
        <v>2015</v>
      </c>
      <c r="U3694" s="8">
        <v>5</v>
      </c>
      <c r="V3694" s="5" t="s">
        <v>23</v>
      </c>
      <c r="W3694" s="12">
        <v>14793527</v>
      </c>
      <c r="X3694" s="6"/>
      <c r="Y3694" s="6"/>
    </row>
    <row r="3695" spans="1:25" ht="15" customHeight="1" x14ac:dyDescent="0.2">
      <c r="A3695" s="88" t="s">
        <v>4190</v>
      </c>
      <c r="B3695" s="90"/>
      <c r="C3695" s="88" t="s">
        <v>4410</v>
      </c>
      <c r="D3695" s="90"/>
      <c r="E3695" s="88" t="s">
        <v>4411</v>
      </c>
      <c r="F3695" s="89"/>
      <c r="G3695" s="89"/>
      <c r="H3695" s="89"/>
      <c r="I3695" s="90"/>
      <c r="J3695" s="88" t="s">
        <v>770</v>
      </c>
      <c r="K3695" s="89"/>
      <c r="L3695" s="89"/>
      <c r="M3695" s="90"/>
      <c r="N3695" s="88" t="s">
        <v>26</v>
      </c>
      <c r="O3695" s="89"/>
      <c r="P3695" s="90"/>
      <c r="Q3695" s="133">
        <v>1798</v>
      </c>
      <c r="R3695" s="134"/>
      <c r="S3695" s="5" t="s">
        <v>44</v>
      </c>
      <c r="T3695" s="8">
        <v>1515</v>
      </c>
      <c r="U3695" s="8">
        <v>5</v>
      </c>
      <c r="V3695" s="5" t="s">
        <v>23</v>
      </c>
      <c r="W3695" s="12">
        <v>3975215</v>
      </c>
      <c r="X3695" s="6"/>
      <c r="Y3695" s="6"/>
    </row>
    <row r="3696" spans="1:25" ht="15" customHeight="1" x14ac:dyDescent="0.2">
      <c r="A3696" s="88" t="s">
        <v>4190</v>
      </c>
      <c r="B3696" s="90"/>
      <c r="C3696" s="88" t="s">
        <v>4412</v>
      </c>
      <c r="D3696" s="90"/>
      <c r="E3696" s="88" t="s">
        <v>4411</v>
      </c>
      <c r="F3696" s="89"/>
      <c r="G3696" s="89"/>
      <c r="H3696" s="89"/>
      <c r="I3696" s="90"/>
      <c r="J3696" s="88" t="s">
        <v>770</v>
      </c>
      <c r="K3696" s="89"/>
      <c r="L3696" s="89"/>
      <c r="M3696" s="90"/>
      <c r="N3696" s="88" t="s">
        <v>26</v>
      </c>
      <c r="O3696" s="89"/>
      <c r="P3696" s="90"/>
      <c r="Q3696" s="133">
        <v>1798</v>
      </c>
      <c r="R3696" s="134"/>
      <c r="S3696" s="5" t="s">
        <v>44</v>
      </c>
      <c r="T3696" s="8">
        <v>1525</v>
      </c>
      <c r="U3696" s="8">
        <v>5</v>
      </c>
      <c r="V3696" s="5" t="s">
        <v>23</v>
      </c>
      <c r="W3696" s="12">
        <v>3641618</v>
      </c>
      <c r="X3696" s="6"/>
      <c r="Y3696" s="6"/>
    </row>
    <row r="3697" spans="1:25" ht="15" customHeight="1" x14ac:dyDescent="0.2">
      <c r="A3697" s="88" t="s">
        <v>4190</v>
      </c>
      <c r="B3697" s="90"/>
      <c r="C3697" s="88" t="s">
        <v>4413</v>
      </c>
      <c r="D3697" s="90"/>
      <c r="E3697" s="88" t="s">
        <v>4414</v>
      </c>
      <c r="F3697" s="89"/>
      <c r="G3697" s="89"/>
      <c r="H3697" s="89"/>
      <c r="I3697" s="90"/>
      <c r="J3697" s="88" t="s">
        <v>770</v>
      </c>
      <c r="K3697" s="89"/>
      <c r="L3697" s="89"/>
      <c r="M3697" s="90"/>
      <c r="N3697" s="88" t="s">
        <v>26</v>
      </c>
      <c r="O3697" s="89"/>
      <c r="P3697" s="90"/>
      <c r="Q3697" s="133">
        <v>2488</v>
      </c>
      <c r="R3697" s="134"/>
      <c r="S3697" s="5" t="s">
        <v>44</v>
      </c>
      <c r="T3697" s="8">
        <v>1755</v>
      </c>
      <c r="U3697" s="8">
        <v>5</v>
      </c>
      <c r="V3697" s="5" t="s">
        <v>23</v>
      </c>
      <c r="W3697" s="12">
        <v>5681623</v>
      </c>
      <c r="X3697" s="6"/>
      <c r="Y3697" s="6"/>
    </row>
    <row r="3698" spans="1:25" ht="15" customHeight="1" x14ac:dyDescent="0.2">
      <c r="A3698" s="88" t="s">
        <v>4190</v>
      </c>
      <c r="B3698" s="90"/>
      <c r="C3698" s="88" t="s">
        <v>4415</v>
      </c>
      <c r="D3698" s="90"/>
      <c r="E3698" s="88" t="s">
        <v>4414</v>
      </c>
      <c r="F3698" s="89"/>
      <c r="G3698" s="89"/>
      <c r="H3698" s="89"/>
      <c r="I3698" s="90"/>
      <c r="J3698" s="88" t="s">
        <v>770</v>
      </c>
      <c r="K3698" s="89"/>
      <c r="L3698" s="89"/>
      <c r="M3698" s="90"/>
      <c r="N3698" s="88" t="s">
        <v>26</v>
      </c>
      <c r="O3698" s="89"/>
      <c r="P3698" s="90"/>
      <c r="Q3698" s="133">
        <v>2498</v>
      </c>
      <c r="R3698" s="134"/>
      <c r="S3698" s="5" t="s">
        <v>44</v>
      </c>
      <c r="T3698" s="8">
        <v>1755</v>
      </c>
      <c r="U3698" s="8">
        <v>5</v>
      </c>
      <c r="V3698" s="5" t="s">
        <v>23</v>
      </c>
      <c r="W3698" s="12">
        <v>5681623</v>
      </c>
      <c r="X3698" s="6"/>
      <c r="Y3698" s="6"/>
    </row>
    <row r="3699" spans="1:25" ht="15" customHeight="1" x14ac:dyDescent="0.2">
      <c r="A3699" s="88" t="s">
        <v>4190</v>
      </c>
      <c r="B3699" s="90"/>
      <c r="C3699" s="88" t="s">
        <v>4416</v>
      </c>
      <c r="D3699" s="90"/>
      <c r="E3699" s="88" t="s">
        <v>4340</v>
      </c>
      <c r="F3699" s="89"/>
      <c r="G3699" s="89"/>
      <c r="H3699" s="89"/>
      <c r="I3699" s="90"/>
      <c r="J3699" s="88" t="s">
        <v>770</v>
      </c>
      <c r="K3699" s="89"/>
      <c r="L3699" s="89"/>
      <c r="M3699" s="90"/>
      <c r="N3699" s="88" t="s">
        <v>22</v>
      </c>
      <c r="O3699" s="89"/>
      <c r="P3699" s="90"/>
      <c r="Q3699" s="133">
        <v>1597</v>
      </c>
      <c r="R3699" s="134"/>
      <c r="S3699" s="5" t="s">
        <v>1101</v>
      </c>
      <c r="T3699" s="8">
        <v>1625</v>
      </c>
      <c r="U3699" s="8">
        <v>5</v>
      </c>
      <c r="V3699" s="5" t="s">
        <v>23</v>
      </c>
      <c r="W3699" s="12">
        <v>4073023</v>
      </c>
      <c r="X3699" s="6"/>
      <c r="Y3699" s="6"/>
    </row>
    <row r="3700" spans="1:25" ht="15" customHeight="1" x14ac:dyDescent="0.2">
      <c r="A3700" s="88" t="s">
        <v>4190</v>
      </c>
      <c r="B3700" s="90"/>
      <c r="C3700" s="88" t="s">
        <v>4417</v>
      </c>
      <c r="D3700" s="90"/>
      <c r="E3700" s="88" t="s">
        <v>4418</v>
      </c>
      <c r="F3700" s="89"/>
      <c r="G3700" s="89"/>
      <c r="H3700" s="89"/>
      <c r="I3700" s="90"/>
      <c r="J3700" s="88" t="s">
        <v>770</v>
      </c>
      <c r="K3700" s="89"/>
      <c r="L3700" s="89"/>
      <c r="M3700" s="90"/>
      <c r="N3700" s="88" t="s">
        <v>26</v>
      </c>
      <c r="O3700" s="89"/>
      <c r="P3700" s="90"/>
      <c r="Q3700" s="133">
        <v>1498</v>
      </c>
      <c r="R3700" s="134"/>
      <c r="S3700" s="5" t="s">
        <v>70</v>
      </c>
      <c r="T3700" s="8">
        <v>1495</v>
      </c>
      <c r="U3700" s="8">
        <v>5</v>
      </c>
      <c r="V3700" s="5" t="s">
        <v>23</v>
      </c>
      <c r="W3700" s="12">
        <v>3135459</v>
      </c>
      <c r="X3700" s="6"/>
      <c r="Y3700" s="6"/>
    </row>
    <row r="3701" spans="1:25" ht="15" customHeight="1" x14ac:dyDescent="0.2">
      <c r="A3701" s="88" t="s">
        <v>4190</v>
      </c>
      <c r="B3701" s="90"/>
      <c r="C3701" s="88" t="s">
        <v>4419</v>
      </c>
      <c r="D3701" s="90"/>
      <c r="E3701" s="88" t="s">
        <v>4420</v>
      </c>
      <c r="F3701" s="89"/>
      <c r="G3701" s="89"/>
      <c r="H3701" s="89"/>
      <c r="I3701" s="90"/>
      <c r="J3701" s="88" t="s">
        <v>770</v>
      </c>
      <c r="K3701" s="89"/>
      <c r="L3701" s="89"/>
      <c r="M3701" s="90"/>
      <c r="N3701" s="88" t="s">
        <v>22</v>
      </c>
      <c r="O3701" s="89"/>
      <c r="P3701" s="90"/>
      <c r="Q3701" s="133">
        <v>1997</v>
      </c>
      <c r="R3701" s="134"/>
      <c r="S3701" s="5" t="s">
        <v>16</v>
      </c>
      <c r="T3701" s="8">
        <v>1815</v>
      </c>
      <c r="U3701" s="8">
        <v>5</v>
      </c>
      <c r="V3701" s="5" t="s">
        <v>23</v>
      </c>
      <c r="W3701" s="12">
        <v>4455524</v>
      </c>
      <c r="X3701" s="6"/>
      <c r="Y3701" s="6"/>
    </row>
    <row r="3702" spans="1:25" ht="15" customHeight="1" x14ac:dyDescent="0.2">
      <c r="A3702" s="88" t="s">
        <v>4190</v>
      </c>
      <c r="B3702" s="90"/>
      <c r="C3702" s="88" t="s">
        <v>4421</v>
      </c>
      <c r="D3702" s="90"/>
      <c r="E3702" s="88" t="s">
        <v>4422</v>
      </c>
      <c r="F3702" s="89"/>
      <c r="G3702" s="89"/>
      <c r="H3702" s="89"/>
      <c r="I3702" s="90"/>
      <c r="J3702" s="88" t="s">
        <v>770</v>
      </c>
      <c r="K3702" s="89"/>
      <c r="L3702" s="89"/>
      <c r="M3702" s="90"/>
      <c r="N3702" s="88" t="s">
        <v>22</v>
      </c>
      <c r="O3702" s="89"/>
      <c r="P3702" s="90"/>
      <c r="Q3702" s="133">
        <v>1997</v>
      </c>
      <c r="R3702" s="134"/>
      <c r="S3702" s="5" t="s">
        <v>16</v>
      </c>
      <c r="T3702" s="8">
        <v>1915</v>
      </c>
      <c r="U3702" s="8">
        <v>5</v>
      </c>
      <c r="V3702" s="5" t="s">
        <v>23</v>
      </c>
      <c r="W3702" s="12">
        <v>5010936</v>
      </c>
      <c r="X3702" s="6"/>
      <c r="Y3702" s="6"/>
    </row>
    <row r="3703" spans="1:25" ht="15" customHeight="1" x14ac:dyDescent="0.2">
      <c r="A3703" s="88" t="s">
        <v>4190</v>
      </c>
      <c r="B3703" s="90"/>
      <c r="C3703" s="88" t="s">
        <v>4423</v>
      </c>
      <c r="D3703" s="90"/>
      <c r="E3703" s="88" t="s">
        <v>4420</v>
      </c>
      <c r="F3703" s="89"/>
      <c r="G3703" s="89"/>
      <c r="H3703" s="89"/>
      <c r="I3703" s="90"/>
      <c r="J3703" s="88" t="s">
        <v>770</v>
      </c>
      <c r="K3703" s="89"/>
      <c r="L3703" s="89"/>
      <c r="M3703" s="90"/>
      <c r="N3703" s="88" t="s">
        <v>22</v>
      </c>
      <c r="O3703" s="89"/>
      <c r="P3703" s="90"/>
      <c r="Q3703" s="133">
        <v>1997</v>
      </c>
      <c r="R3703" s="134"/>
      <c r="S3703" s="5" t="s">
        <v>16</v>
      </c>
      <c r="T3703" s="8">
        <v>1815</v>
      </c>
      <c r="U3703" s="8">
        <v>5</v>
      </c>
      <c r="V3703" s="5" t="s">
        <v>23</v>
      </c>
      <c r="W3703" s="12">
        <v>5082546</v>
      </c>
      <c r="X3703" s="6"/>
      <c r="Y3703" s="6"/>
    </row>
    <row r="3704" spans="1:25" ht="15" customHeight="1" x14ac:dyDescent="0.2">
      <c r="A3704" s="88" t="s">
        <v>4190</v>
      </c>
      <c r="B3704" s="90"/>
      <c r="C3704" s="88" t="s">
        <v>4423</v>
      </c>
      <c r="D3704" s="90"/>
      <c r="E3704" s="88" t="s">
        <v>4424</v>
      </c>
      <c r="F3704" s="89"/>
      <c r="G3704" s="89"/>
      <c r="H3704" s="89"/>
      <c r="I3704" s="90"/>
      <c r="J3704" s="88" t="s">
        <v>770</v>
      </c>
      <c r="K3704" s="89"/>
      <c r="L3704" s="89"/>
      <c r="M3704" s="90"/>
      <c r="N3704" s="88" t="s">
        <v>22</v>
      </c>
      <c r="O3704" s="89"/>
      <c r="P3704" s="90"/>
      <c r="Q3704" s="133">
        <v>1997</v>
      </c>
      <c r="R3704" s="134"/>
      <c r="S3704" s="5" t="s">
        <v>16</v>
      </c>
      <c r="T3704" s="8">
        <v>1845</v>
      </c>
      <c r="U3704" s="8">
        <v>5</v>
      </c>
      <c r="V3704" s="5" t="s">
        <v>23</v>
      </c>
      <c r="W3704" s="12">
        <v>5459388</v>
      </c>
      <c r="X3704" s="6"/>
      <c r="Y3704" s="6"/>
    </row>
    <row r="3705" spans="1:25" ht="15" customHeight="1" x14ac:dyDescent="0.2">
      <c r="A3705" s="88" t="s">
        <v>4190</v>
      </c>
      <c r="B3705" s="90"/>
      <c r="C3705" s="88" t="s">
        <v>4425</v>
      </c>
      <c r="D3705" s="90"/>
      <c r="E3705" s="88" t="s">
        <v>4426</v>
      </c>
      <c r="F3705" s="89"/>
      <c r="G3705" s="89"/>
      <c r="H3705" s="89"/>
      <c r="I3705" s="90"/>
      <c r="J3705" s="88" t="s">
        <v>3559</v>
      </c>
      <c r="K3705" s="89"/>
      <c r="L3705" s="89"/>
      <c r="M3705" s="90"/>
      <c r="N3705" s="88" t="s">
        <v>22</v>
      </c>
      <c r="O3705" s="89"/>
      <c r="P3705" s="90"/>
      <c r="Q3705" s="133">
        <v>1997</v>
      </c>
      <c r="R3705" s="134"/>
      <c r="S3705" s="5" t="s">
        <v>16</v>
      </c>
      <c r="T3705" s="8">
        <v>1915</v>
      </c>
      <c r="U3705" s="8">
        <v>5</v>
      </c>
      <c r="V3705" s="5" t="s">
        <v>23</v>
      </c>
      <c r="W3705" s="12">
        <v>5341040</v>
      </c>
      <c r="X3705" s="6"/>
      <c r="Y3705" s="6"/>
    </row>
    <row r="3706" spans="1:25" ht="15" customHeight="1" x14ac:dyDescent="0.2">
      <c r="A3706" s="88" t="s">
        <v>4190</v>
      </c>
      <c r="B3706" s="90"/>
      <c r="C3706" s="88" t="s">
        <v>4427</v>
      </c>
      <c r="D3706" s="90"/>
      <c r="E3706" s="88" t="s">
        <v>4428</v>
      </c>
      <c r="F3706" s="89"/>
      <c r="G3706" s="89"/>
      <c r="H3706" s="89"/>
      <c r="I3706" s="90"/>
      <c r="J3706" s="88" t="s">
        <v>770</v>
      </c>
      <c r="K3706" s="89"/>
      <c r="L3706" s="89"/>
      <c r="M3706" s="90"/>
      <c r="N3706" s="88" t="s">
        <v>22</v>
      </c>
      <c r="O3706" s="89"/>
      <c r="P3706" s="90"/>
      <c r="Q3706" s="133">
        <v>1997</v>
      </c>
      <c r="R3706" s="134"/>
      <c r="S3706" s="5" t="s">
        <v>16</v>
      </c>
      <c r="T3706" s="8">
        <v>1915</v>
      </c>
      <c r="U3706" s="8">
        <v>5</v>
      </c>
      <c r="V3706" s="5" t="s">
        <v>23</v>
      </c>
      <c r="W3706" s="12">
        <v>5088834</v>
      </c>
      <c r="X3706" s="6"/>
      <c r="Y3706" s="6"/>
    </row>
    <row r="3707" spans="1:25" ht="15" customHeight="1" x14ac:dyDescent="0.2">
      <c r="A3707" s="88" t="s">
        <v>4190</v>
      </c>
      <c r="B3707" s="90"/>
      <c r="C3707" s="88" t="s">
        <v>4429</v>
      </c>
      <c r="D3707" s="90"/>
      <c r="E3707" s="88" t="s">
        <v>4420</v>
      </c>
      <c r="F3707" s="89"/>
      <c r="G3707" s="89"/>
      <c r="H3707" s="89"/>
      <c r="I3707" s="90"/>
      <c r="J3707" s="88" t="s">
        <v>770</v>
      </c>
      <c r="K3707" s="89"/>
      <c r="L3707" s="89"/>
      <c r="M3707" s="90"/>
      <c r="N3707" s="88" t="s">
        <v>22</v>
      </c>
      <c r="O3707" s="89"/>
      <c r="P3707" s="90"/>
      <c r="Q3707" s="133">
        <v>1997</v>
      </c>
      <c r="R3707" s="134"/>
      <c r="S3707" s="5" t="s">
        <v>16</v>
      </c>
      <c r="T3707" s="8">
        <v>1875</v>
      </c>
      <c r="U3707" s="8">
        <v>5</v>
      </c>
      <c r="V3707" s="5" t="s">
        <v>23</v>
      </c>
      <c r="W3707" s="12">
        <v>5452681</v>
      </c>
      <c r="X3707" s="6"/>
      <c r="Y3707" s="6"/>
    </row>
    <row r="3708" spans="1:25" ht="15" customHeight="1" x14ac:dyDescent="0.2">
      <c r="A3708" s="88" t="s">
        <v>4190</v>
      </c>
      <c r="B3708" s="90"/>
      <c r="C3708" s="88" t="s">
        <v>4430</v>
      </c>
      <c r="D3708" s="90"/>
      <c r="E3708" s="88" t="s">
        <v>4420</v>
      </c>
      <c r="F3708" s="89"/>
      <c r="G3708" s="89"/>
      <c r="H3708" s="89"/>
      <c r="I3708" s="90"/>
      <c r="J3708" s="88" t="s">
        <v>770</v>
      </c>
      <c r="K3708" s="89"/>
      <c r="L3708" s="89"/>
      <c r="M3708" s="90"/>
      <c r="N3708" s="88" t="s">
        <v>22</v>
      </c>
      <c r="O3708" s="89"/>
      <c r="P3708" s="90"/>
      <c r="Q3708" s="133">
        <v>1997</v>
      </c>
      <c r="R3708" s="134"/>
      <c r="S3708" s="5" t="s">
        <v>16</v>
      </c>
      <c r="T3708" s="8">
        <v>1875</v>
      </c>
      <c r="U3708" s="8">
        <v>5</v>
      </c>
      <c r="V3708" s="5" t="s">
        <v>23</v>
      </c>
      <c r="W3708" s="12">
        <v>6184638</v>
      </c>
      <c r="X3708" s="6"/>
      <c r="Y3708" s="6"/>
    </row>
    <row r="3709" spans="1:25" ht="15" customHeight="1" x14ac:dyDescent="0.2">
      <c r="A3709" s="88" t="s">
        <v>4190</v>
      </c>
      <c r="B3709" s="90"/>
      <c r="C3709" s="88" t="s">
        <v>4431</v>
      </c>
      <c r="D3709" s="90"/>
      <c r="E3709" s="88" t="s">
        <v>4420</v>
      </c>
      <c r="F3709" s="89"/>
      <c r="G3709" s="89"/>
      <c r="H3709" s="89"/>
      <c r="I3709" s="90"/>
      <c r="J3709" s="88" t="s">
        <v>770</v>
      </c>
      <c r="K3709" s="89"/>
      <c r="L3709" s="89"/>
      <c r="M3709" s="90"/>
      <c r="N3709" s="88" t="s">
        <v>26</v>
      </c>
      <c r="O3709" s="89"/>
      <c r="P3709" s="90"/>
      <c r="Q3709" s="133">
        <v>1997</v>
      </c>
      <c r="R3709" s="134"/>
      <c r="S3709" s="5" t="s">
        <v>16</v>
      </c>
      <c r="T3709" s="8">
        <v>1875</v>
      </c>
      <c r="U3709" s="8">
        <v>5</v>
      </c>
      <c r="V3709" s="5" t="s">
        <v>23</v>
      </c>
      <c r="W3709" s="12">
        <v>5267683</v>
      </c>
      <c r="X3709" s="6"/>
      <c r="Y3709" s="6"/>
    </row>
    <row r="3710" spans="1:25" ht="15" customHeight="1" x14ac:dyDescent="0.2">
      <c r="A3710" s="88" t="s">
        <v>4190</v>
      </c>
      <c r="B3710" s="90"/>
      <c r="C3710" s="88" t="s">
        <v>4432</v>
      </c>
      <c r="D3710" s="90"/>
      <c r="E3710" s="88" t="s">
        <v>4433</v>
      </c>
      <c r="F3710" s="89"/>
      <c r="G3710" s="89"/>
      <c r="H3710" s="89"/>
      <c r="I3710" s="90"/>
      <c r="J3710" s="88" t="s">
        <v>770</v>
      </c>
      <c r="K3710" s="89"/>
      <c r="L3710" s="89"/>
      <c r="M3710" s="90"/>
      <c r="N3710" s="88" t="s">
        <v>22</v>
      </c>
      <c r="O3710" s="89"/>
      <c r="P3710" s="90"/>
      <c r="Q3710" s="133">
        <v>1497</v>
      </c>
      <c r="R3710" s="134"/>
      <c r="S3710" s="5" t="s">
        <v>16</v>
      </c>
      <c r="T3710" s="8">
        <v>2125</v>
      </c>
      <c r="U3710" s="8">
        <v>5</v>
      </c>
      <c r="V3710" s="5" t="s">
        <v>23</v>
      </c>
      <c r="W3710" s="12">
        <v>6370516</v>
      </c>
      <c r="X3710" s="6"/>
      <c r="Y3710" s="6"/>
    </row>
    <row r="3711" spans="1:25" ht="15" customHeight="1" x14ac:dyDescent="0.2">
      <c r="A3711" s="88" t="s">
        <v>4190</v>
      </c>
      <c r="B3711" s="90"/>
      <c r="C3711" s="88" t="s">
        <v>4434</v>
      </c>
      <c r="D3711" s="90"/>
      <c r="E3711" s="106"/>
      <c r="F3711" s="107"/>
      <c r="G3711" s="107"/>
      <c r="H3711" s="107"/>
      <c r="I3711" s="108"/>
      <c r="J3711" s="88" t="s">
        <v>2179</v>
      </c>
      <c r="K3711" s="89"/>
      <c r="L3711" s="89"/>
      <c r="M3711" s="90"/>
      <c r="N3711" s="88" t="s">
        <v>26</v>
      </c>
      <c r="O3711" s="89"/>
      <c r="P3711" s="90"/>
      <c r="Q3711" s="133">
        <v>2300</v>
      </c>
      <c r="R3711" s="134"/>
      <c r="S3711" s="5" t="s">
        <v>2181</v>
      </c>
      <c r="T3711" s="6"/>
      <c r="U3711" s="8">
        <v>5</v>
      </c>
      <c r="V3711" s="5" t="s">
        <v>106</v>
      </c>
      <c r="W3711" s="12">
        <v>5268509</v>
      </c>
      <c r="X3711" s="6"/>
      <c r="Y3711" s="6"/>
    </row>
    <row r="3712" spans="1:25" ht="15" customHeight="1" x14ac:dyDescent="0.2">
      <c r="A3712" s="88" t="s">
        <v>4190</v>
      </c>
      <c r="B3712" s="90"/>
      <c r="C3712" s="88" t="s">
        <v>4434</v>
      </c>
      <c r="D3712" s="90"/>
      <c r="E3712" s="106"/>
      <c r="F3712" s="107"/>
      <c r="G3712" s="107"/>
      <c r="H3712" s="107"/>
      <c r="I3712" s="108"/>
      <c r="J3712" s="88" t="s">
        <v>775</v>
      </c>
      <c r="K3712" s="89"/>
      <c r="L3712" s="89"/>
      <c r="M3712" s="90"/>
      <c r="N3712" s="88" t="s">
        <v>26</v>
      </c>
      <c r="O3712" s="89"/>
      <c r="P3712" s="90"/>
      <c r="Q3712" s="133">
        <v>2300</v>
      </c>
      <c r="R3712" s="134"/>
      <c r="S3712" s="5" t="s">
        <v>1589</v>
      </c>
      <c r="T3712" s="6"/>
      <c r="U3712" s="8">
        <v>4</v>
      </c>
      <c r="V3712" s="5" t="s">
        <v>106</v>
      </c>
      <c r="W3712" s="12">
        <v>5361593</v>
      </c>
      <c r="X3712" s="6"/>
      <c r="Y3712" s="6"/>
    </row>
    <row r="3713" spans="1:25" ht="15" customHeight="1" x14ac:dyDescent="0.2">
      <c r="A3713" s="88" t="s">
        <v>4190</v>
      </c>
      <c r="B3713" s="90"/>
      <c r="C3713" s="88" t="s">
        <v>4435</v>
      </c>
      <c r="D3713" s="90"/>
      <c r="E3713" s="106"/>
      <c r="F3713" s="107"/>
      <c r="G3713" s="107"/>
      <c r="H3713" s="107"/>
      <c r="I3713" s="108"/>
      <c r="J3713" s="88" t="s">
        <v>775</v>
      </c>
      <c r="K3713" s="89"/>
      <c r="L3713" s="89"/>
      <c r="M3713" s="90"/>
      <c r="N3713" s="88" t="s">
        <v>26</v>
      </c>
      <c r="O3713" s="89"/>
      <c r="P3713" s="90"/>
      <c r="Q3713" s="133">
        <v>2300</v>
      </c>
      <c r="R3713" s="134"/>
      <c r="S3713" s="5" t="s">
        <v>1589</v>
      </c>
      <c r="T3713" s="6"/>
      <c r="U3713" s="8">
        <v>4</v>
      </c>
      <c r="V3713" s="5" t="s">
        <v>106</v>
      </c>
      <c r="W3713" s="12">
        <v>6076472</v>
      </c>
      <c r="X3713" s="6"/>
      <c r="Y3713" s="6"/>
    </row>
    <row r="3714" spans="1:25" ht="15" customHeight="1" x14ac:dyDescent="0.2">
      <c r="A3714" s="88" t="s">
        <v>4190</v>
      </c>
      <c r="B3714" s="90"/>
      <c r="C3714" s="88" t="s">
        <v>4436</v>
      </c>
      <c r="D3714" s="90"/>
      <c r="E3714" s="106"/>
      <c r="F3714" s="107"/>
      <c r="G3714" s="107"/>
      <c r="H3714" s="107"/>
      <c r="I3714" s="108"/>
      <c r="J3714" s="88" t="s">
        <v>775</v>
      </c>
      <c r="K3714" s="89"/>
      <c r="L3714" s="89"/>
      <c r="M3714" s="90"/>
      <c r="N3714" s="88" t="s">
        <v>26</v>
      </c>
      <c r="O3714" s="89"/>
      <c r="P3714" s="90"/>
      <c r="Q3714" s="133">
        <v>2300</v>
      </c>
      <c r="R3714" s="134"/>
      <c r="S3714" s="5" t="s">
        <v>1589</v>
      </c>
      <c r="T3714" s="6"/>
      <c r="U3714" s="8">
        <v>4</v>
      </c>
      <c r="V3714" s="5" t="s">
        <v>106</v>
      </c>
      <c r="W3714" s="12">
        <v>6582844</v>
      </c>
      <c r="X3714" s="6"/>
      <c r="Y3714" s="6"/>
    </row>
    <row r="3715" spans="1:25" ht="15" customHeight="1" x14ac:dyDescent="0.2">
      <c r="A3715" s="88" t="s">
        <v>4190</v>
      </c>
      <c r="B3715" s="90"/>
      <c r="C3715" s="88" t="s">
        <v>4435</v>
      </c>
      <c r="D3715" s="90"/>
      <c r="E3715" s="106"/>
      <c r="F3715" s="107"/>
      <c r="G3715" s="107"/>
      <c r="H3715" s="107"/>
      <c r="I3715" s="108"/>
      <c r="J3715" s="88" t="s">
        <v>2179</v>
      </c>
      <c r="K3715" s="89"/>
      <c r="L3715" s="89"/>
      <c r="M3715" s="90"/>
      <c r="N3715" s="88" t="s">
        <v>22</v>
      </c>
      <c r="O3715" s="89"/>
      <c r="P3715" s="90"/>
      <c r="Q3715" s="133">
        <v>2300</v>
      </c>
      <c r="R3715" s="134"/>
      <c r="S3715" s="5" t="s">
        <v>1589</v>
      </c>
      <c r="T3715" s="6"/>
      <c r="U3715" s="8">
        <v>4</v>
      </c>
      <c r="V3715" s="5" t="s">
        <v>106</v>
      </c>
      <c r="W3715" s="12">
        <v>6731777</v>
      </c>
      <c r="X3715" s="6"/>
      <c r="Y3715" s="6"/>
    </row>
    <row r="3716" spans="1:25" ht="15" customHeight="1" x14ac:dyDescent="0.2">
      <c r="A3716" s="88" t="s">
        <v>4190</v>
      </c>
      <c r="B3716" s="90"/>
      <c r="C3716" s="88" t="s">
        <v>4437</v>
      </c>
      <c r="D3716" s="90"/>
      <c r="E3716" s="106"/>
      <c r="F3716" s="107"/>
      <c r="G3716" s="107"/>
      <c r="H3716" s="107"/>
      <c r="I3716" s="108"/>
      <c r="J3716" s="88" t="s">
        <v>775</v>
      </c>
      <c r="K3716" s="89"/>
      <c r="L3716" s="89"/>
      <c r="M3716" s="90"/>
      <c r="N3716" s="88" t="s">
        <v>26</v>
      </c>
      <c r="O3716" s="89"/>
      <c r="P3716" s="90"/>
      <c r="Q3716" s="133">
        <v>2300</v>
      </c>
      <c r="R3716" s="134"/>
      <c r="S3716" s="5" t="s">
        <v>1589</v>
      </c>
      <c r="T3716" s="6"/>
      <c r="U3716" s="8">
        <v>4</v>
      </c>
      <c r="V3716" s="5" t="s">
        <v>106</v>
      </c>
      <c r="W3716" s="12">
        <v>6761564</v>
      </c>
      <c r="X3716" s="6"/>
      <c r="Y3716" s="6"/>
    </row>
    <row r="3717" spans="1:25" ht="15" customHeight="1" x14ac:dyDescent="0.2">
      <c r="A3717" s="88" t="s">
        <v>4190</v>
      </c>
      <c r="B3717" s="90"/>
      <c r="C3717" s="88" t="s">
        <v>4438</v>
      </c>
      <c r="D3717" s="90"/>
      <c r="E3717" s="106"/>
      <c r="F3717" s="107"/>
      <c r="G3717" s="107"/>
      <c r="H3717" s="107"/>
      <c r="I3717" s="108"/>
      <c r="J3717" s="88" t="s">
        <v>775</v>
      </c>
      <c r="K3717" s="89"/>
      <c r="L3717" s="89"/>
      <c r="M3717" s="90"/>
      <c r="N3717" s="88" t="s">
        <v>26</v>
      </c>
      <c r="O3717" s="89"/>
      <c r="P3717" s="90"/>
      <c r="Q3717" s="133">
        <v>2300</v>
      </c>
      <c r="R3717" s="134"/>
      <c r="S3717" s="5" t="s">
        <v>1589</v>
      </c>
      <c r="T3717" s="6"/>
      <c r="U3717" s="8">
        <v>4</v>
      </c>
      <c r="V3717" s="5" t="s">
        <v>106</v>
      </c>
      <c r="W3717" s="12">
        <v>6895604</v>
      </c>
      <c r="X3717" s="6"/>
      <c r="Y3717" s="6"/>
    </row>
    <row r="3718" spans="1:25" ht="15" customHeight="1" x14ac:dyDescent="0.2">
      <c r="A3718" s="88" t="s">
        <v>4190</v>
      </c>
      <c r="B3718" s="90"/>
      <c r="C3718" s="88" t="s">
        <v>4439</v>
      </c>
      <c r="D3718" s="90"/>
      <c r="E3718" s="106"/>
      <c r="F3718" s="107"/>
      <c r="G3718" s="107"/>
      <c r="H3718" s="107"/>
      <c r="I3718" s="108"/>
      <c r="J3718" s="88" t="s">
        <v>2179</v>
      </c>
      <c r="K3718" s="89"/>
      <c r="L3718" s="89"/>
      <c r="M3718" s="90"/>
      <c r="N3718" s="88" t="s">
        <v>22</v>
      </c>
      <c r="O3718" s="89"/>
      <c r="P3718" s="90"/>
      <c r="Q3718" s="133">
        <v>2300</v>
      </c>
      <c r="R3718" s="134"/>
      <c r="S3718" s="5" t="s">
        <v>1589</v>
      </c>
      <c r="T3718" s="6"/>
      <c r="U3718" s="8">
        <v>4</v>
      </c>
      <c r="V3718" s="5" t="s">
        <v>106</v>
      </c>
      <c r="W3718" s="12">
        <v>7163683</v>
      </c>
      <c r="X3718" s="6"/>
      <c r="Y3718" s="6"/>
    </row>
    <row r="3719" spans="1:25" ht="15" customHeight="1" x14ac:dyDescent="0.2">
      <c r="A3719" s="88" t="s">
        <v>4190</v>
      </c>
      <c r="B3719" s="90"/>
      <c r="C3719" s="88" t="s">
        <v>4436</v>
      </c>
      <c r="D3719" s="90"/>
      <c r="E3719" s="106"/>
      <c r="F3719" s="107"/>
      <c r="G3719" s="107"/>
      <c r="H3719" s="107"/>
      <c r="I3719" s="108"/>
      <c r="J3719" s="88" t="s">
        <v>2179</v>
      </c>
      <c r="K3719" s="89"/>
      <c r="L3719" s="89"/>
      <c r="M3719" s="90"/>
      <c r="N3719" s="88" t="s">
        <v>22</v>
      </c>
      <c r="O3719" s="89"/>
      <c r="P3719" s="90"/>
      <c r="Q3719" s="133">
        <v>2300</v>
      </c>
      <c r="R3719" s="134"/>
      <c r="S3719" s="5" t="s">
        <v>1589</v>
      </c>
      <c r="T3719" s="6"/>
      <c r="U3719" s="8">
        <v>4</v>
      </c>
      <c r="V3719" s="5" t="s">
        <v>106</v>
      </c>
      <c r="W3719" s="12">
        <v>7178577</v>
      </c>
      <c r="X3719" s="6"/>
      <c r="Y3719" s="6"/>
    </row>
    <row r="3720" spans="1:25" ht="15" customHeight="1" x14ac:dyDescent="0.2">
      <c r="A3720" s="88" t="s">
        <v>4190</v>
      </c>
      <c r="B3720" s="90"/>
      <c r="C3720" s="88" t="s">
        <v>4439</v>
      </c>
      <c r="D3720" s="90"/>
      <c r="E3720" s="106"/>
      <c r="F3720" s="107"/>
      <c r="G3720" s="107"/>
      <c r="H3720" s="107"/>
      <c r="I3720" s="108"/>
      <c r="J3720" s="88" t="s">
        <v>775</v>
      </c>
      <c r="K3720" s="89"/>
      <c r="L3720" s="89"/>
      <c r="M3720" s="90"/>
      <c r="N3720" s="88" t="s">
        <v>22</v>
      </c>
      <c r="O3720" s="89"/>
      <c r="P3720" s="90"/>
      <c r="Q3720" s="133">
        <v>2300</v>
      </c>
      <c r="R3720" s="134"/>
      <c r="S3720" s="5" t="s">
        <v>1589</v>
      </c>
      <c r="T3720" s="6"/>
      <c r="U3720" s="8">
        <v>4</v>
      </c>
      <c r="V3720" s="5" t="s">
        <v>106</v>
      </c>
      <c r="W3720" s="12">
        <v>7223257</v>
      </c>
      <c r="X3720" s="6"/>
      <c r="Y3720" s="6"/>
    </row>
    <row r="3721" spans="1:25" ht="15" customHeight="1" x14ac:dyDescent="0.2">
      <c r="A3721" s="88" t="s">
        <v>4190</v>
      </c>
      <c r="B3721" s="90"/>
      <c r="C3721" s="88" t="s">
        <v>4440</v>
      </c>
      <c r="D3721" s="90"/>
      <c r="E3721" s="106"/>
      <c r="F3721" s="107"/>
      <c r="G3721" s="107"/>
      <c r="H3721" s="107"/>
      <c r="I3721" s="108"/>
      <c r="J3721" s="88" t="s">
        <v>2179</v>
      </c>
      <c r="K3721" s="89"/>
      <c r="L3721" s="89"/>
      <c r="M3721" s="90"/>
      <c r="N3721" s="88" t="s">
        <v>22</v>
      </c>
      <c r="O3721" s="89"/>
      <c r="P3721" s="90"/>
      <c r="Q3721" s="133">
        <v>2300</v>
      </c>
      <c r="R3721" s="134"/>
      <c r="S3721" s="5" t="s">
        <v>1589</v>
      </c>
      <c r="T3721" s="6"/>
      <c r="U3721" s="8">
        <v>4</v>
      </c>
      <c r="V3721" s="5" t="s">
        <v>106</v>
      </c>
      <c r="W3721" s="12">
        <v>7536016</v>
      </c>
      <c r="X3721" s="6"/>
      <c r="Y3721" s="6"/>
    </row>
    <row r="3722" spans="1:25" ht="15" customHeight="1" x14ac:dyDescent="0.2">
      <c r="A3722" s="88" t="s">
        <v>4190</v>
      </c>
      <c r="B3722" s="90"/>
      <c r="C3722" s="88" t="s">
        <v>4441</v>
      </c>
      <c r="D3722" s="90"/>
      <c r="E3722" s="106"/>
      <c r="F3722" s="107"/>
      <c r="G3722" s="107"/>
      <c r="H3722" s="107"/>
      <c r="I3722" s="108"/>
      <c r="J3722" s="88" t="s">
        <v>775</v>
      </c>
      <c r="K3722" s="89"/>
      <c r="L3722" s="89"/>
      <c r="M3722" s="90"/>
      <c r="N3722" s="88" t="s">
        <v>22</v>
      </c>
      <c r="O3722" s="89"/>
      <c r="P3722" s="90"/>
      <c r="Q3722" s="133">
        <v>2300</v>
      </c>
      <c r="R3722" s="134"/>
      <c r="S3722" s="5" t="s">
        <v>1589</v>
      </c>
      <c r="T3722" s="6"/>
      <c r="U3722" s="8">
        <v>4</v>
      </c>
      <c r="V3722" s="5" t="s">
        <v>106</v>
      </c>
      <c r="W3722" s="12">
        <v>7789202</v>
      </c>
      <c r="X3722" s="6"/>
      <c r="Y3722" s="6"/>
    </row>
    <row r="3723" spans="1:25" ht="15" customHeight="1" x14ac:dyDescent="0.2">
      <c r="A3723" s="88" t="s">
        <v>4190</v>
      </c>
      <c r="B3723" s="90"/>
      <c r="C3723" s="88" t="s">
        <v>4438</v>
      </c>
      <c r="D3723" s="90"/>
      <c r="E3723" s="106"/>
      <c r="F3723" s="107"/>
      <c r="G3723" s="107"/>
      <c r="H3723" s="107"/>
      <c r="I3723" s="108"/>
      <c r="J3723" s="88" t="s">
        <v>775</v>
      </c>
      <c r="K3723" s="89"/>
      <c r="L3723" s="89"/>
      <c r="M3723" s="90"/>
      <c r="N3723" s="88" t="s">
        <v>22</v>
      </c>
      <c r="O3723" s="89"/>
      <c r="P3723" s="90"/>
      <c r="Q3723" s="133">
        <v>2300</v>
      </c>
      <c r="R3723" s="134"/>
      <c r="S3723" s="5" t="s">
        <v>1589</v>
      </c>
      <c r="T3723" s="6"/>
      <c r="U3723" s="8">
        <v>4</v>
      </c>
      <c r="V3723" s="5" t="s">
        <v>106</v>
      </c>
      <c r="W3723" s="12">
        <v>7818989</v>
      </c>
      <c r="X3723" s="6"/>
      <c r="Y3723" s="6"/>
    </row>
    <row r="3724" spans="1:25" ht="15" customHeight="1" x14ac:dyDescent="0.2">
      <c r="A3724" s="88" t="s">
        <v>4190</v>
      </c>
      <c r="B3724" s="90"/>
      <c r="C3724" s="88" t="s">
        <v>4442</v>
      </c>
      <c r="D3724" s="90"/>
      <c r="E3724" s="106"/>
      <c r="F3724" s="107"/>
      <c r="G3724" s="107"/>
      <c r="H3724" s="107"/>
      <c r="I3724" s="108"/>
      <c r="J3724" s="88" t="s">
        <v>775</v>
      </c>
      <c r="K3724" s="89"/>
      <c r="L3724" s="89"/>
      <c r="M3724" s="90"/>
      <c r="N3724" s="88" t="s">
        <v>22</v>
      </c>
      <c r="O3724" s="89"/>
      <c r="P3724" s="90"/>
      <c r="Q3724" s="133">
        <v>2300</v>
      </c>
      <c r="R3724" s="134"/>
      <c r="S3724" s="5" t="s">
        <v>1589</v>
      </c>
      <c r="T3724" s="6"/>
      <c r="U3724" s="8">
        <v>4</v>
      </c>
      <c r="V3724" s="5" t="s">
        <v>106</v>
      </c>
      <c r="W3724" s="12">
        <v>7848776</v>
      </c>
      <c r="X3724" s="6"/>
      <c r="Y3724" s="6"/>
    </row>
    <row r="3725" spans="1:25" ht="15" customHeight="1" x14ac:dyDescent="0.2">
      <c r="A3725" s="88" t="s">
        <v>4190</v>
      </c>
      <c r="B3725" s="90"/>
      <c r="C3725" s="88" t="s">
        <v>4440</v>
      </c>
      <c r="D3725" s="90"/>
      <c r="E3725" s="106"/>
      <c r="F3725" s="107"/>
      <c r="G3725" s="107"/>
      <c r="H3725" s="107"/>
      <c r="I3725" s="108"/>
      <c r="J3725" s="88" t="s">
        <v>775</v>
      </c>
      <c r="K3725" s="89"/>
      <c r="L3725" s="89"/>
      <c r="M3725" s="90"/>
      <c r="N3725" s="88" t="s">
        <v>22</v>
      </c>
      <c r="O3725" s="89"/>
      <c r="P3725" s="90"/>
      <c r="Q3725" s="133">
        <v>2300</v>
      </c>
      <c r="R3725" s="134"/>
      <c r="S3725" s="5" t="s">
        <v>1589</v>
      </c>
      <c r="T3725" s="6"/>
      <c r="U3725" s="8">
        <v>4</v>
      </c>
      <c r="V3725" s="5" t="s">
        <v>106</v>
      </c>
      <c r="W3725" s="12">
        <v>7848776</v>
      </c>
      <c r="X3725" s="6"/>
      <c r="Y3725" s="6"/>
    </row>
    <row r="3726" spans="1:25" ht="15" customHeight="1" x14ac:dyDescent="0.2">
      <c r="A3726" s="88" t="s">
        <v>4190</v>
      </c>
      <c r="B3726" s="90"/>
      <c r="C3726" s="88" t="s">
        <v>4443</v>
      </c>
      <c r="D3726" s="90"/>
      <c r="E3726" s="106"/>
      <c r="F3726" s="107"/>
      <c r="G3726" s="107"/>
      <c r="H3726" s="107"/>
      <c r="I3726" s="108"/>
      <c r="J3726" s="88" t="s">
        <v>2179</v>
      </c>
      <c r="K3726" s="89"/>
      <c r="L3726" s="89"/>
      <c r="M3726" s="90"/>
      <c r="N3726" s="88" t="s">
        <v>22</v>
      </c>
      <c r="O3726" s="89"/>
      <c r="P3726" s="90"/>
      <c r="Q3726" s="133">
        <v>2300</v>
      </c>
      <c r="R3726" s="134"/>
      <c r="S3726" s="5" t="s">
        <v>1589</v>
      </c>
      <c r="T3726" s="6"/>
      <c r="U3726" s="8">
        <v>4</v>
      </c>
      <c r="V3726" s="5" t="s">
        <v>106</v>
      </c>
      <c r="W3726" s="12">
        <v>8265788</v>
      </c>
      <c r="X3726" s="6"/>
      <c r="Y3726" s="6"/>
    </row>
    <row r="3727" spans="1:25" ht="15" customHeight="1" x14ac:dyDescent="0.2">
      <c r="A3727" s="88" t="s">
        <v>4190</v>
      </c>
      <c r="B3727" s="90"/>
      <c r="C3727" s="88" t="s">
        <v>4443</v>
      </c>
      <c r="D3727" s="90"/>
      <c r="E3727" s="106"/>
      <c r="F3727" s="107"/>
      <c r="G3727" s="107"/>
      <c r="H3727" s="107"/>
      <c r="I3727" s="108"/>
      <c r="J3727" s="88" t="s">
        <v>775</v>
      </c>
      <c r="K3727" s="89"/>
      <c r="L3727" s="89"/>
      <c r="M3727" s="90"/>
      <c r="N3727" s="88" t="s">
        <v>22</v>
      </c>
      <c r="O3727" s="89"/>
      <c r="P3727" s="90"/>
      <c r="Q3727" s="133">
        <v>2300</v>
      </c>
      <c r="R3727" s="134"/>
      <c r="S3727" s="5" t="s">
        <v>1589</v>
      </c>
      <c r="T3727" s="6"/>
      <c r="U3727" s="8">
        <v>4</v>
      </c>
      <c r="V3727" s="5" t="s">
        <v>106</v>
      </c>
      <c r="W3727" s="12">
        <v>8593441</v>
      </c>
      <c r="X3727" s="6"/>
      <c r="Y3727" s="6"/>
    </row>
    <row r="3728" spans="1:25" ht="15" customHeight="1" x14ac:dyDescent="0.2">
      <c r="A3728" s="88" t="s">
        <v>4444</v>
      </c>
      <c r="B3728" s="90"/>
      <c r="C3728" s="88" t="s">
        <v>4445</v>
      </c>
      <c r="D3728" s="90"/>
      <c r="E3728" s="88" t="s">
        <v>4446</v>
      </c>
      <c r="F3728" s="89"/>
      <c r="G3728" s="89"/>
      <c r="H3728" s="89"/>
      <c r="I3728" s="90"/>
      <c r="J3728" s="88" t="s">
        <v>13</v>
      </c>
      <c r="K3728" s="89"/>
      <c r="L3728" s="89"/>
      <c r="M3728" s="90"/>
      <c r="N3728" s="88" t="s">
        <v>26</v>
      </c>
      <c r="O3728" s="89"/>
      <c r="P3728" s="90"/>
      <c r="Q3728" s="88" t="s">
        <v>466</v>
      </c>
      <c r="R3728" s="90"/>
      <c r="S3728" s="5" t="s">
        <v>1291</v>
      </c>
      <c r="T3728" s="6"/>
      <c r="U3728" s="6"/>
      <c r="V3728" s="5" t="s">
        <v>106</v>
      </c>
      <c r="W3728" s="9">
        <v>7709834</v>
      </c>
      <c r="X3728" s="6"/>
      <c r="Y3728" s="6"/>
    </row>
    <row r="3729" spans="1:25" ht="15" customHeight="1" x14ac:dyDescent="0.2">
      <c r="A3729" s="88" t="s">
        <v>4444</v>
      </c>
      <c r="B3729" s="90"/>
      <c r="C3729" s="88" t="s">
        <v>4447</v>
      </c>
      <c r="D3729" s="90"/>
      <c r="E3729" s="88" t="s">
        <v>4448</v>
      </c>
      <c r="F3729" s="89"/>
      <c r="G3729" s="89"/>
      <c r="H3729" s="89"/>
      <c r="I3729" s="90"/>
      <c r="J3729" s="88" t="s">
        <v>599</v>
      </c>
      <c r="K3729" s="89"/>
      <c r="L3729" s="89"/>
      <c r="M3729" s="90"/>
      <c r="N3729" s="88" t="s">
        <v>26</v>
      </c>
      <c r="O3729" s="89"/>
      <c r="P3729" s="90"/>
      <c r="Q3729" s="88" t="s">
        <v>4449</v>
      </c>
      <c r="R3729" s="90"/>
      <c r="S3729" s="5" t="s">
        <v>1291</v>
      </c>
      <c r="T3729" s="6"/>
      <c r="U3729" s="6"/>
      <c r="V3729" s="5" t="s">
        <v>106</v>
      </c>
      <c r="W3729" s="9">
        <v>12549773</v>
      </c>
      <c r="X3729" s="6"/>
      <c r="Y3729" s="6"/>
    </row>
    <row r="3730" spans="1:25" ht="15" customHeight="1" x14ac:dyDescent="0.2">
      <c r="A3730" s="88" t="s">
        <v>4444</v>
      </c>
      <c r="B3730" s="90"/>
      <c r="C3730" s="88" t="s">
        <v>4450</v>
      </c>
      <c r="D3730" s="90"/>
      <c r="E3730" s="88" t="s">
        <v>4451</v>
      </c>
      <c r="F3730" s="89"/>
      <c r="G3730" s="89"/>
      <c r="H3730" s="89"/>
      <c r="I3730" s="90"/>
      <c r="J3730" s="88" t="s">
        <v>599</v>
      </c>
      <c r="K3730" s="89"/>
      <c r="L3730" s="89"/>
      <c r="M3730" s="90"/>
      <c r="N3730" s="88" t="s">
        <v>26</v>
      </c>
      <c r="O3730" s="89"/>
      <c r="P3730" s="90"/>
      <c r="Q3730" s="88" t="s">
        <v>4452</v>
      </c>
      <c r="R3730" s="90"/>
      <c r="S3730" s="5" t="s">
        <v>1291</v>
      </c>
      <c r="T3730" s="6"/>
      <c r="U3730" s="6"/>
      <c r="V3730" s="5" t="s">
        <v>106</v>
      </c>
      <c r="W3730" s="10">
        <v>30650868</v>
      </c>
      <c r="X3730" s="6"/>
      <c r="Y3730" s="6"/>
    </row>
    <row r="3731" spans="1:25" ht="15" customHeight="1" x14ac:dyDescent="0.2">
      <c r="A3731" s="88" t="s">
        <v>4444</v>
      </c>
      <c r="B3731" s="90"/>
      <c r="C3731" s="88" t="s">
        <v>4450</v>
      </c>
      <c r="D3731" s="90"/>
      <c r="E3731" s="88" t="s">
        <v>4453</v>
      </c>
      <c r="F3731" s="89"/>
      <c r="G3731" s="89"/>
      <c r="H3731" s="89"/>
      <c r="I3731" s="90"/>
      <c r="J3731" s="88" t="s">
        <v>13</v>
      </c>
      <c r="K3731" s="89"/>
      <c r="L3731" s="89"/>
      <c r="M3731" s="90"/>
      <c r="N3731" s="88" t="s">
        <v>26</v>
      </c>
      <c r="O3731" s="89"/>
      <c r="P3731" s="90"/>
      <c r="Q3731" s="88" t="s">
        <v>4454</v>
      </c>
      <c r="R3731" s="90"/>
      <c r="S3731" s="5" t="s">
        <v>1291</v>
      </c>
      <c r="T3731" s="6"/>
      <c r="U3731" s="6"/>
      <c r="V3731" s="5" t="s">
        <v>106</v>
      </c>
      <c r="W3731" s="9">
        <v>18051581</v>
      </c>
      <c r="X3731" s="6"/>
      <c r="Y3731" s="6"/>
    </row>
    <row r="3732" spans="1:25" ht="15" customHeight="1" x14ac:dyDescent="0.2">
      <c r="A3732" s="88" t="s">
        <v>4444</v>
      </c>
      <c r="B3732" s="90"/>
      <c r="C3732" s="88" t="s">
        <v>4455</v>
      </c>
      <c r="D3732" s="90"/>
      <c r="E3732" s="88" t="s">
        <v>4456</v>
      </c>
      <c r="F3732" s="89"/>
      <c r="G3732" s="89"/>
      <c r="H3732" s="89"/>
      <c r="I3732" s="90"/>
      <c r="J3732" s="88" t="s">
        <v>13</v>
      </c>
      <c r="K3732" s="89"/>
      <c r="L3732" s="89"/>
      <c r="M3732" s="90"/>
      <c r="N3732" s="88" t="s">
        <v>26</v>
      </c>
      <c r="O3732" s="89"/>
      <c r="P3732" s="90"/>
      <c r="Q3732" s="88" t="s">
        <v>4457</v>
      </c>
      <c r="R3732" s="90"/>
      <c r="S3732" s="5" t="s">
        <v>1291</v>
      </c>
      <c r="T3732" s="6"/>
      <c r="U3732" s="6"/>
      <c r="V3732" s="5" t="s">
        <v>106</v>
      </c>
      <c r="W3732" s="10">
        <v>49709432</v>
      </c>
      <c r="X3732" s="6"/>
      <c r="Y3732" s="6"/>
    </row>
    <row r="3733" spans="1:25" ht="15" customHeight="1" x14ac:dyDescent="0.2">
      <c r="A3733" s="88" t="s">
        <v>4444</v>
      </c>
      <c r="B3733" s="90"/>
      <c r="C3733" s="88" t="s">
        <v>4450</v>
      </c>
      <c r="D3733" s="90"/>
      <c r="E3733" s="88" t="s">
        <v>4458</v>
      </c>
      <c r="F3733" s="89"/>
      <c r="G3733" s="89"/>
      <c r="H3733" s="89"/>
      <c r="I3733" s="90"/>
      <c r="J3733" s="88" t="s">
        <v>13</v>
      </c>
      <c r="K3733" s="89"/>
      <c r="L3733" s="89"/>
      <c r="M3733" s="90"/>
      <c r="N3733" s="88" t="s">
        <v>26</v>
      </c>
      <c r="O3733" s="89"/>
      <c r="P3733" s="90"/>
      <c r="Q3733" s="88" t="s">
        <v>4452</v>
      </c>
      <c r="R3733" s="90"/>
      <c r="S3733" s="5" t="s">
        <v>1291</v>
      </c>
      <c r="T3733" s="6"/>
      <c r="U3733" s="6"/>
      <c r="V3733" s="5" t="s">
        <v>106</v>
      </c>
      <c r="W3733" s="10">
        <v>26553914</v>
      </c>
      <c r="X3733" s="6"/>
      <c r="Y3733" s="6"/>
    </row>
    <row r="3734" spans="1:25" ht="15" customHeight="1" x14ac:dyDescent="0.2">
      <c r="A3734" s="88" t="s">
        <v>4459</v>
      </c>
      <c r="B3734" s="90"/>
      <c r="C3734" s="88" t="s">
        <v>4460</v>
      </c>
      <c r="D3734" s="90"/>
      <c r="E3734" s="106"/>
      <c r="F3734" s="107"/>
      <c r="G3734" s="107"/>
      <c r="H3734" s="107"/>
      <c r="I3734" s="108"/>
      <c r="J3734" s="88" t="s">
        <v>1718</v>
      </c>
      <c r="K3734" s="89"/>
      <c r="L3734" s="89"/>
      <c r="M3734" s="90"/>
      <c r="N3734" s="88" t="s">
        <v>26</v>
      </c>
      <c r="O3734" s="89"/>
      <c r="P3734" s="90"/>
      <c r="Q3734" s="133">
        <v>1400</v>
      </c>
      <c r="R3734" s="134"/>
      <c r="S3734" s="5" t="s">
        <v>27</v>
      </c>
      <c r="T3734" s="6"/>
      <c r="U3734" s="6"/>
      <c r="V3734" s="5" t="s">
        <v>702</v>
      </c>
      <c r="W3734" s="9">
        <v>3321158</v>
      </c>
      <c r="X3734" s="6"/>
      <c r="Y3734" s="6"/>
    </row>
    <row r="3735" spans="1:25" ht="15" customHeight="1" x14ac:dyDescent="0.2">
      <c r="A3735" s="88" t="s">
        <v>4459</v>
      </c>
      <c r="B3735" s="90"/>
      <c r="C3735" s="88" t="s">
        <v>4461</v>
      </c>
      <c r="D3735" s="90"/>
      <c r="E3735" s="106"/>
      <c r="F3735" s="107"/>
      <c r="G3735" s="107"/>
      <c r="H3735" s="107"/>
      <c r="I3735" s="108"/>
      <c r="J3735" s="88" t="s">
        <v>2179</v>
      </c>
      <c r="K3735" s="89"/>
      <c r="L3735" s="89"/>
      <c r="M3735" s="90"/>
      <c r="N3735" s="88" t="s">
        <v>22</v>
      </c>
      <c r="O3735" s="89"/>
      <c r="P3735" s="90"/>
      <c r="Q3735" s="133">
        <v>1400</v>
      </c>
      <c r="R3735" s="134"/>
      <c r="S3735" s="5" t="s">
        <v>70</v>
      </c>
      <c r="T3735" s="6"/>
      <c r="U3735" s="6"/>
      <c r="V3735" s="5" t="s">
        <v>702</v>
      </c>
      <c r="W3735" s="9">
        <v>3840089</v>
      </c>
      <c r="X3735" s="6"/>
      <c r="Y3735" s="6"/>
    </row>
    <row r="3736" spans="1:25" ht="15" customHeight="1" x14ac:dyDescent="0.2">
      <c r="A3736" s="88" t="s">
        <v>4459</v>
      </c>
      <c r="B3736" s="90"/>
      <c r="C3736" s="88" t="s">
        <v>4462</v>
      </c>
      <c r="D3736" s="90"/>
      <c r="E3736" s="106"/>
      <c r="F3736" s="107"/>
      <c r="G3736" s="107"/>
      <c r="H3736" s="107"/>
      <c r="I3736" s="108"/>
      <c r="J3736" s="88" t="s">
        <v>1718</v>
      </c>
      <c r="K3736" s="89"/>
      <c r="L3736" s="89"/>
      <c r="M3736" s="90"/>
      <c r="N3736" s="88" t="s">
        <v>26</v>
      </c>
      <c r="O3736" s="89"/>
      <c r="P3736" s="90"/>
      <c r="Q3736" s="133">
        <v>1600</v>
      </c>
      <c r="R3736" s="134"/>
      <c r="S3736" s="5" t="s">
        <v>27</v>
      </c>
      <c r="T3736" s="6"/>
      <c r="U3736" s="6"/>
      <c r="V3736" s="5" t="s">
        <v>702</v>
      </c>
      <c r="W3736" s="11">
        <v>4415631</v>
      </c>
      <c r="X3736" s="6"/>
      <c r="Y3736" s="6"/>
    </row>
    <row r="3737" spans="1:25" ht="15" customHeight="1" x14ac:dyDescent="0.2">
      <c r="A3737" s="88" t="s">
        <v>4459</v>
      </c>
      <c r="B3737" s="90"/>
      <c r="C3737" s="88" t="s">
        <v>4463</v>
      </c>
      <c r="D3737" s="90"/>
      <c r="E3737" s="106"/>
      <c r="F3737" s="107"/>
      <c r="G3737" s="107"/>
      <c r="H3737" s="107"/>
      <c r="I3737" s="108"/>
      <c r="J3737" s="88" t="s">
        <v>2179</v>
      </c>
      <c r="K3737" s="89"/>
      <c r="L3737" s="89"/>
      <c r="M3737" s="90"/>
      <c r="N3737" s="88" t="s">
        <v>22</v>
      </c>
      <c r="O3737" s="89"/>
      <c r="P3737" s="90"/>
      <c r="Q3737" s="133">
        <v>1600</v>
      </c>
      <c r="R3737" s="134"/>
      <c r="S3737" s="5" t="s">
        <v>70</v>
      </c>
      <c r="T3737" s="6"/>
      <c r="U3737" s="6"/>
      <c r="V3737" s="5" t="s">
        <v>702</v>
      </c>
      <c r="W3737" s="9">
        <v>4585463</v>
      </c>
      <c r="X3737" s="6"/>
      <c r="Y3737" s="6"/>
    </row>
    <row r="3738" spans="1:25" ht="15" customHeight="1" x14ac:dyDescent="0.2">
      <c r="A3738" s="88" t="s">
        <v>4459</v>
      </c>
      <c r="B3738" s="90"/>
      <c r="C3738" s="88" t="s">
        <v>4464</v>
      </c>
      <c r="D3738" s="90"/>
      <c r="E3738" s="106"/>
      <c r="F3738" s="107"/>
      <c r="G3738" s="107"/>
      <c r="H3738" s="107"/>
      <c r="I3738" s="108"/>
      <c r="J3738" s="88" t="s">
        <v>2179</v>
      </c>
      <c r="K3738" s="89"/>
      <c r="L3738" s="89"/>
      <c r="M3738" s="90"/>
      <c r="N3738" s="88" t="s">
        <v>26</v>
      </c>
      <c r="O3738" s="89"/>
      <c r="P3738" s="90"/>
      <c r="Q3738" s="133">
        <v>1600</v>
      </c>
      <c r="R3738" s="134"/>
      <c r="S3738" s="5" t="s">
        <v>27</v>
      </c>
      <c r="T3738" s="6"/>
      <c r="U3738" s="6"/>
      <c r="V3738" s="5" t="s">
        <v>702</v>
      </c>
      <c r="W3738" s="9">
        <v>3736303</v>
      </c>
      <c r="X3738" s="6"/>
      <c r="Y3738" s="6"/>
    </row>
    <row r="3739" spans="1:25" ht="15" customHeight="1" x14ac:dyDescent="0.2">
      <c r="A3739" s="88" t="s">
        <v>4459</v>
      </c>
      <c r="B3739" s="90"/>
      <c r="C3739" s="88" t="s">
        <v>4465</v>
      </c>
      <c r="D3739" s="90"/>
      <c r="E3739" s="106"/>
      <c r="F3739" s="107"/>
      <c r="G3739" s="107"/>
      <c r="H3739" s="107"/>
      <c r="I3739" s="108"/>
      <c r="J3739" s="88" t="s">
        <v>1718</v>
      </c>
      <c r="K3739" s="89"/>
      <c r="L3739" s="89"/>
      <c r="M3739" s="90"/>
      <c r="N3739" s="88" t="s">
        <v>26</v>
      </c>
      <c r="O3739" s="89"/>
      <c r="P3739" s="90"/>
      <c r="Q3739" s="133">
        <v>2000</v>
      </c>
      <c r="R3739" s="134"/>
      <c r="S3739" s="5" t="s">
        <v>27</v>
      </c>
      <c r="T3739" s="6"/>
      <c r="U3739" s="6"/>
      <c r="V3739" s="5" t="s">
        <v>106</v>
      </c>
      <c r="W3739" s="9">
        <v>4245799</v>
      </c>
      <c r="X3739" s="6"/>
      <c r="Y3739" s="6"/>
    </row>
    <row r="3740" spans="1:25" ht="15" customHeight="1" x14ac:dyDescent="0.2">
      <c r="A3740" s="88" t="s">
        <v>4459</v>
      </c>
      <c r="B3740" s="90"/>
      <c r="C3740" s="88" t="s">
        <v>4466</v>
      </c>
      <c r="D3740" s="90"/>
      <c r="E3740" s="106"/>
      <c r="F3740" s="107"/>
      <c r="G3740" s="107"/>
      <c r="H3740" s="107"/>
      <c r="I3740" s="108"/>
      <c r="J3740" s="88" t="s">
        <v>1718</v>
      </c>
      <c r="K3740" s="89"/>
      <c r="L3740" s="89"/>
      <c r="M3740" s="90"/>
      <c r="N3740" s="88" t="s">
        <v>26</v>
      </c>
      <c r="O3740" s="89"/>
      <c r="P3740" s="90"/>
      <c r="Q3740" s="133">
        <v>2000</v>
      </c>
      <c r="R3740" s="134"/>
      <c r="S3740" s="5" t="s">
        <v>27</v>
      </c>
      <c r="T3740" s="6"/>
      <c r="U3740" s="6"/>
      <c r="V3740" s="5" t="s">
        <v>106</v>
      </c>
      <c r="W3740" s="9">
        <v>4868516</v>
      </c>
      <c r="X3740" s="6"/>
      <c r="Y3740" s="6"/>
    </row>
    <row r="3741" spans="1:25" ht="15" customHeight="1" x14ac:dyDescent="0.2">
      <c r="A3741" s="88" t="s">
        <v>4459</v>
      </c>
      <c r="B3741" s="90"/>
      <c r="C3741" s="88" t="s">
        <v>4467</v>
      </c>
      <c r="D3741" s="90"/>
      <c r="E3741" s="106"/>
      <c r="F3741" s="107"/>
      <c r="G3741" s="107"/>
      <c r="H3741" s="107"/>
      <c r="I3741" s="108"/>
      <c r="J3741" s="88" t="s">
        <v>2179</v>
      </c>
      <c r="K3741" s="89"/>
      <c r="L3741" s="89"/>
      <c r="M3741" s="90"/>
      <c r="N3741" s="88" t="s">
        <v>22</v>
      </c>
      <c r="O3741" s="89"/>
      <c r="P3741" s="90"/>
      <c r="Q3741" s="133">
        <v>2000</v>
      </c>
      <c r="R3741" s="134"/>
      <c r="S3741" s="5" t="s">
        <v>70</v>
      </c>
      <c r="T3741" s="6"/>
      <c r="U3741" s="6"/>
      <c r="V3741" s="5" t="s">
        <v>106</v>
      </c>
      <c r="W3741" s="9">
        <v>4981737</v>
      </c>
      <c r="X3741" s="6"/>
      <c r="Y3741" s="6"/>
    </row>
    <row r="3742" spans="1:25" ht="15" customHeight="1" x14ac:dyDescent="0.2">
      <c r="A3742" s="88" t="s">
        <v>4459</v>
      </c>
      <c r="B3742" s="90"/>
      <c r="C3742" s="88" t="s">
        <v>4468</v>
      </c>
      <c r="D3742" s="90"/>
      <c r="E3742" s="106"/>
      <c r="F3742" s="107"/>
      <c r="G3742" s="107"/>
      <c r="H3742" s="107"/>
      <c r="I3742" s="108"/>
      <c r="J3742" s="88" t="s">
        <v>2179</v>
      </c>
      <c r="K3742" s="89"/>
      <c r="L3742" s="89"/>
      <c r="M3742" s="90"/>
      <c r="N3742" s="88" t="s">
        <v>22</v>
      </c>
      <c r="O3742" s="89"/>
      <c r="P3742" s="90"/>
      <c r="Q3742" s="133">
        <v>2000</v>
      </c>
      <c r="R3742" s="134"/>
      <c r="S3742" s="5" t="s">
        <v>70</v>
      </c>
      <c r="T3742" s="6"/>
      <c r="U3742" s="6"/>
      <c r="V3742" s="5" t="s">
        <v>106</v>
      </c>
      <c r="W3742" s="9">
        <v>4472241</v>
      </c>
      <c r="X3742" s="6"/>
      <c r="Y3742" s="6"/>
    </row>
    <row r="3743" spans="1:25" ht="15" customHeight="1" x14ac:dyDescent="0.2">
      <c r="A3743" s="88" t="s">
        <v>4459</v>
      </c>
      <c r="B3743" s="90"/>
      <c r="C3743" s="88" t="s">
        <v>4469</v>
      </c>
      <c r="D3743" s="90"/>
      <c r="E3743" s="106"/>
      <c r="F3743" s="107"/>
      <c r="G3743" s="107"/>
      <c r="H3743" s="107"/>
      <c r="I3743" s="108"/>
      <c r="J3743" s="88" t="s">
        <v>1718</v>
      </c>
      <c r="K3743" s="89"/>
      <c r="L3743" s="89"/>
      <c r="M3743" s="90"/>
      <c r="N3743" s="88" t="s">
        <v>26</v>
      </c>
      <c r="O3743" s="89"/>
      <c r="P3743" s="90"/>
      <c r="Q3743" s="133">
        <v>1400</v>
      </c>
      <c r="R3743" s="134"/>
      <c r="S3743" s="5" t="s">
        <v>27</v>
      </c>
      <c r="T3743" s="6"/>
      <c r="U3743" s="6"/>
      <c r="V3743" s="5" t="s">
        <v>702</v>
      </c>
      <c r="W3743" s="9">
        <v>3736303</v>
      </c>
      <c r="X3743" s="6"/>
      <c r="Y3743" s="6"/>
    </row>
    <row r="3744" spans="1:25" ht="15" customHeight="1" x14ac:dyDescent="0.2">
      <c r="A3744" s="88" t="s">
        <v>4459</v>
      </c>
      <c r="B3744" s="90"/>
      <c r="C3744" s="88" t="s">
        <v>4470</v>
      </c>
      <c r="D3744" s="90"/>
      <c r="E3744" s="106"/>
      <c r="F3744" s="107"/>
      <c r="G3744" s="107"/>
      <c r="H3744" s="107"/>
      <c r="I3744" s="108"/>
      <c r="J3744" s="88" t="s">
        <v>1718</v>
      </c>
      <c r="K3744" s="89"/>
      <c r="L3744" s="89"/>
      <c r="M3744" s="90"/>
      <c r="N3744" s="88" t="s">
        <v>26</v>
      </c>
      <c r="O3744" s="89"/>
      <c r="P3744" s="90"/>
      <c r="Q3744" s="133">
        <v>1600</v>
      </c>
      <c r="R3744" s="134"/>
      <c r="S3744" s="5" t="s">
        <v>27</v>
      </c>
      <c r="T3744" s="6"/>
      <c r="U3744" s="6"/>
      <c r="V3744" s="5" t="s">
        <v>702</v>
      </c>
      <c r="W3744" s="9">
        <v>4925127</v>
      </c>
      <c r="X3744" s="6"/>
      <c r="Y3744" s="6"/>
    </row>
    <row r="3745" spans="1:25" ht="15" customHeight="1" x14ac:dyDescent="0.2">
      <c r="A3745" s="88" t="s">
        <v>4459</v>
      </c>
      <c r="B3745" s="90"/>
      <c r="C3745" s="88" t="s">
        <v>4471</v>
      </c>
      <c r="D3745" s="90"/>
      <c r="E3745" s="106"/>
      <c r="F3745" s="107"/>
      <c r="G3745" s="107"/>
      <c r="H3745" s="107"/>
      <c r="I3745" s="108"/>
      <c r="J3745" s="88" t="s">
        <v>1718</v>
      </c>
      <c r="K3745" s="89"/>
      <c r="L3745" s="89"/>
      <c r="M3745" s="90"/>
      <c r="N3745" s="88" t="s">
        <v>26</v>
      </c>
      <c r="O3745" s="89"/>
      <c r="P3745" s="90"/>
      <c r="Q3745" s="133">
        <v>2000</v>
      </c>
      <c r="R3745" s="134"/>
      <c r="S3745" s="5" t="s">
        <v>27</v>
      </c>
      <c r="T3745" s="6"/>
      <c r="U3745" s="6"/>
      <c r="V3745" s="5" t="s">
        <v>702</v>
      </c>
      <c r="W3745" s="11">
        <v>7019721</v>
      </c>
      <c r="X3745" s="6"/>
      <c r="Y3745" s="6"/>
    </row>
    <row r="3746" spans="1:25" ht="15" customHeight="1" x14ac:dyDescent="0.2">
      <c r="A3746" s="88" t="s">
        <v>4459</v>
      </c>
      <c r="B3746" s="90"/>
      <c r="C3746" s="88" t="s">
        <v>4472</v>
      </c>
      <c r="D3746" s="90"/>
      <c r="E3746" s="106"/>
      <c r="F3746" s="107"/>
      <c r="G3746" s="107"/>
      <c r="H3746" s="107"/>
      <c r="I3746" s="108"/>
      <c r="J3746" s="88" t="s">
        <v>963</v>
      </c>
      <c r="K3746" s="89"/>
      <c r="L3746" s="89"/>
      <c r="M3746" s="90"/>
      <c r="N3746" s="88" t="s">
        <v>26</v>
      </c>
      <c r="O3746" s="89"/>
      <c r="P3746" s="90"/>
      <c r="Q3746" s="133">
        <v>1400</v>
      </c>
      <c r="R3746" s="134"/>
      <c r="S3746" s="5" t="s">
        <v>27</v>
      </c>
      <c r="T3746" s="6"/>
      <c r="U3746" s="6"/>
      <c r="V3746" s="5" t="s">
        <v>702</v>
      </c>
      <c r="W3746" s="9">
        <v>3113586</v>
      </c>
      <c r="X3746" s="6"/>
      <c r="Y3746" s="6"/>
    </row>
    <row r="3747" spans="1:25" ht="15" customHeight="1" x14ac:dyDescent="0.2">
      <c r="A3747" s="88" t="s">
        <v>4459</v>
      </c>
      <c r="B3747" s="90"/>
      <c r="C3747" s="88" t="s">
        <v>4473</v>
      </c>
      <c r="D3747" s="90"/>
      <c r="E3747" s="106"/>
      <c r="F3747" s="107"/>
      <c r="G3747" s="107"/>
      <c r="H3747" s="107"/>
      <c r="I3747" s="108"/>
      <c r="J3747" s="88" t="s">
        <v>963</v>
      </c>
      <c r="K3747" s="89"/>
      <c r="L3747" s="89"/>
      <c r="M3747" s="90"/>
      <c r="N3747" s="88" t="s">
        <v>26</v>
      </c>
      <c r="O3747" s="89"/>
      <c r="P3747" s="90"/>
      <c r="Q3747" s="133">
        <v>1400</v>
      </c>
      <c r="R3747" s="134"/>
      <c r="S3747" s="5" t="s">
        <v>27</v>
      </c>
      <c r="T3747" s="6"/>
      <c r="U3747" s="6"/>
      <c r="V3747" s="5" t="s">
        <v>702</v>
      </c>
      <c r="W3747" s="9">
        <v>2906013</v>
      </c>
      <c r="X3747" s="6"/>
      <c r="Y3747" s="6"/>
    </row>
    <row r="3748" spans="1:25" ht="15" customHeight="1" x14ac:dyDescent="0.2">
      <c r="A3748" s="88" t="s">
        <v>4459</v>
      </c>
      <c r="B3748" s="90"/>
      <c r="C3748" s="88" t="s">
        <v>4474</v>
      </c>
      <c r="D3748" s="90"/>
      <c r="E3748" s="106"/>
      <c r="F3748" s="107"/>
      <c r="G3748" s="107"/>
      <c r="H3748" s="107"/>
      <c r="I3748" s="108"/>
      <c r="J3748" s="88" t="s">
        <v>963</v>
      </c>
      <c r="K3748" s="89"/>
      <c r="L3748" s="89"/>
      <c r="M3748" s="90"/>
      <c r="N3748" s="88" t="s">
        <v>26</v>
      </c>
      <c r="O3748" s="89"/>
      <c r="P3748" s="90"/>
      <c r="Q3748" s="133">
        <v>1400</v>
      </c>
      <c r="R3748" s="134"/>
      <c r="S3748" s="5" t="s">
        <v>27</v>
      </c>
      <c r="T3748" s="6"/>
      <c r="U3748" s="6"/>
      <c r="V3748" s="5" t="s">
        <v>702</v>
      </c>
      <c r="W3748" s="9">
        <v>2957907</v>
      </c>
      <c r="X3748" s="6"/>
      <c r="Y3748" s="6"/>
    </row>
    <row r="3749" spans="1:25" ht="15" customHeight="1" x14ac:dyDescent="0.2">
      <c r="A3749" s="88" t="s">
        <v>4459</v>
      </c>
      <c r="B3749" s="90"/>
      <c r="C3749" s="88" t="s">
        <v>4475</v>
      </c>
      <c r="D3749" s="90"/>
      <c r="E3749" s="106"/>
      <c r="F3749" s="107"/>
      <c r="G3749" s="107"/>
      <c r="H3749" s="107"/>
      <c r="I3749" s="108"/>
      <c r="J3749" s="88" t="s">
        <v>1718</v>
      </c>
      <c r="K3749" s="89"/>
      <c r="L3749" s="89"/>
      <c r="M3749" s="90"/>
      <c r="N3749" s="88" t="s">
        <v>26</v>
      </c>
      <c r="O3749" s="89"/>
      <c r="P3749" s="90"/>
      <c r="Q3749" s="133">
        <v>1600</v>
      </c>
      <c r="R3749" s="134"/>
      <c r="S3749" s="5" t="s">
        <v>27</v>
      </c>
      <c r="T3749" s="6"/>
      <c r="U3749" s="6"/>
      <c r="V3749" s="5" t="s">
        <v>702</v>
      </c>
      <c r="W3749" s="9">
        <v>4642073</v>
      </c>
      <c r="X3749" s="6"/>
      <c r="Y3749" s="6"/>
    </row>
    <row r="3750" spans="1:25" ht="15" customHeight="1" x14ac:dyDescent="0.2">
      <c r="A3750" s="88" t="s">
        <v>4459</v>
      </c>
      <c r="B3750" s="90"/>
      <c r="C3750" s="88" t="s">
        <v>4476</v>
      </c>
      <c r="D3750" s="90"/>
      <c r="E3750" s="106"/>
      <c r="F3750" s="107"/>
      <c r="G3750" s="107"/>
      <c r="H3750" s="107"/>
      <c r="I3750" s="108"/>
      <c r="J3750" s="88" t="s">
        <v>2179</v>
      </c>
      <c r="K3750" s="89"/>
      <c r="L3750" s="89"/>
      <c r="M3750" s="90"/>
      <c r="N3750" s="88" t="s">
        <v>26</v>
      </c>
      <c r="O3750" s="89"/>
      <c r="P3750" s="90"/>
      <c r="Q3750" s="133">
        <v>2000</v>
      </c>
      <c r="R3750" s="134"/>
      <c r="S3750" s="5" t="s">
        <v>44</v>
      </c>
      <c r="T3750" s="6"/>
      <c r="U3750" s="6"/>
      <c r="V3750" s="5" t="s">
        <v>702</v>
      </c>
      <c r="W3750" s="9">
        <v>6340393</v>
      </c>
      <c r="X3750" s="6"/>
      <c r="Y3750" s="6"/>
    </row>
    <row r="3751" spans="1:25" ht="15" customHeight="1" x14ac:dyDescent="0.2">
      <c r="A3751" s="88" t="s">
        <v>4459</v>
      </c>
      <c r="B3751" s="90"/>
      <c r="C3751" s="88" t="s">
        <v>4477</v>
      </c>
      <c r="D3751" s="90"/>
      <c r="E3751" s="106"/>
      <c r="F3751" s="107"/>
      <c r="G3751" s="107"/>
      <c r="H3751" s="107"/>
      <c r="I3751" s="108"/>
      <c r="J3751" s="88" t="s">
        <v>2179</v>
      </c>
      <c r="K3751" s="89"/>
      <c r="L3751" s="89"/>
      <c r="M3751" s="90"/>
      <c r="N3751" s="88" t="s">
        <v>26</v>
      </c>
      <c r="O3751" s="89"/>
      <c r="P3751" s="90"/>
      <c r="Q3751" s="133">
        <v>2000</v>
      </c>
      <c r="R3751" s="134"/>
      <c r="S3751" s="5" t="s">
        <v>44</v>
      </c>
      <c r="T3751" s="6"/>
      <c r="U3751" s="6"/>
      <c r="V3751" s="5" t="s">
        <v>106</v>
      </c>
      <c r="W3751" s="11">
        <v>6170561</v>
      </c>
      <c r="X3751" s="6"/>
      <c r="Y3751" s="6"/>
    </row>
    <row r="3752" spans="1:25" ht="15" customHeight="1" x14ac:dyDescent="0.2">
      <c r="A3752" s="88" t="s">
        <v>4459</v>
      </c>
      <c r="B3752" s="90"/>
      <c r="C3752" s="88" t="s">
        <v>4478</v>
      </c>
      <c r="D3752" s="90"/>
      <c r="E3752" s="106"/>
      <c r="F3752" s="107"/>
      <c r="G3752" s="107"/>
      <c r="H3752" s="107"/>
      <c r="I3752" s="108"/>
      <c r="J3752" s="88" t="s">
        <v>2179</v>
      </c>
      <c r="K3752" s="89"/>
      <c r="L3752" s="89"/>
      <c r="M3752" s="90"/>
      <c r="N3752" s="88" t="s">
        <v>26</v>
      </c>
      <c r="O3752" s="89"/>
      <c r="P3752" s="90"/>
      <c r="Q3752" s="133">
        <v>2000</v>
      </c>
      <c r="R3752" s="134"/>
      <c r="S3752" s="5" t="s">
        <v>44</v>
      </c>
      <c r="T3752" s="6"/>
      <c r="U3752" s="6"/>
      <c r="V3752" s="5" t="s">
        <v>106</v>
      </c>
      <c r="W3752" s="9">
        <v>7246163</v>
      </c>
      <c r="X3752" s="6"/>
      <c r="Y3752" s="6"/>
    </row>
    <row r="3753" spans="1:25" ht="15" customHeight="1" x14ac:dyDescent="0.2">
      <c r="A3753" s="88" t="s">
        <v>4459</v>
      </c>
      <c r="B3753" s="90"/>
      <c r="C3753" s="88" t="s">
        <v>4479</v>
      </c>
      <c r="D3753" s="90"/>
      <c r="E3753" s="106"/>
      <c r="F3753" s="107"/>
      <c r="G3753" s="107"/>
      <c r="H3753" s="107"/>
      <c r="I3753" s="108"/>
      <c r="J3753" s="88" t="s">
        <v>2179</v>
      </c>
      <c r="K3753" s="89"/>
      <c r="L3753" s="89"/>
      <c r="M3753" s="90"/>
      <c r="N3753" s="88" t="s">
        <v>22</v>
      </c>
      <c r="O3753" s="89"/>
      <c r="P3753" s="90"/>
      <c r="Q3753" s="133">
        <v>2000</v>
      </c>
      <c r="R3753" s="134"/>
      <c r="S3753" s="5" t="s">
        <v>70</v>
      </c>
      <c r="T3753" s="6"/>
      <c r="U3753" s="6"/>
      <c r="V3753" s="5" t="s">
        <v>106</v>
      </c>
      <c r="W3753" s="9">
        <v>7529217</v>
      </c>
      <c r="X3753" s="6"/>
      <c r="Y3753" s="6"/>
    </row>
    <row r="3754" spans="1:25" ht="15" customHeight="1" x14ac:dyDescent="0.2">
      <c r="A3754" s="88" t="s">
        <v>4459</v>
      </c>
      <c r="B3754" s="90"/>
      <c r="C3754" s="88" t="s">
        <v>4480</v>
      </c>
      <c r="D3754" s="90"/>
      <c r="E3754" s="106"/>
      <c r="F3754" s="107"/>
      <c r="G3754" s="107"/>
      <c r="H3754" s="107"/>
      <c r="I3754" s="108"/>
      <c r="J3754" s="88" t="s">
        <v>2179</v>
      </c>
      <c r="K3754" s="89"/>
      <c r="L3754" s="89"/>
      <c r="M3754" s="90"/>
      <c r="N3754" s="88" t="s">
        <v>22</v>
      </c>
      <c r="O3754" s="89"/>
      <c r="P3754" s="90"/>
      <c r="Q3754" s="133">
        <v>2000</v>
      </c>
      <c r="R3754" s="134"/>
      <c r="S3754" s="5" t="s">
        <v>70</v>
      </c>
      <c r="T3754" s="6"/>
      <c r="U3754" s="6"/>
      <c r="V3754" s="5" t="s">
        <v>106</v>
      </c>
      <c r="W3754" s="9">
        <v>6453614</v>
      </c>
      <c r="X3754" s="6"/>
      <c r="Y3754" s="6"/>
    </row>
    <row r="3755" spans="1:25" ht="15" customHeight="1" x14ac:dyDescent="0.2">
      <c r="A3755" s="88" t="s">
        <v>4459</v>
      </c>
      <c r="B3755" s="90"/>
      <c r="C3755" s="88" t="s">
        <v>4481</v>
      </c>
      <c r="D3755" s="90"/>
      <c r="E3755" s="106"/>
      <c r="F3755" s="107"/>
      <c r="G3755" s="107"/>
      <c r="H3755" s="107"/>
      <c r="I3755" s="108"/>
      <c r="J3755" s="88" t="s">
        <v>2179</v>
      </c>
      <c r="K3755" s="89"/>
      <c r="L3755" s="89"/>
      <c r="M3755" s="90"/>
      <c r="N3755" s="88" t="s">
        <v>26</v>
      </c>
      <c r="O3755" s="89"/>
      <c r="P3755" s="90"/>
      <c r="Q3755" s="133">
        <v>2800</v>
      </c>
      <c r="R3755" s="134"/>
      <c r="S3755" s="5" t="s">
        <v>27</v>
      </c>
      <c r="T3755" s="6"/>
      <c r="U3755" s="6"/>
      <c r="V3755" s="5" t="s">
        <v>702</v>
      </c>
      <c r="W3755" s="9">
        <v>11718405</v>
      </c>
      <c r="X3755" s="6"/>
      <c r="Y3755" s="6"/>
    </row>
    <row r="3756" spans="1:25" ht="15" customHeight="1" x14ac:dyDescent="0.2">
      <c r="A3756" s="88" t="s">
        <v>4459</v>
      </c>
      <c r="B3756" s="90"/>
      <c r="C3756" s="88" t="s">
        <v>4482</v>
      </c>
      <c r="D3756" s="90"/>
      <c r="E3756" s="106"/>
      <c r="F3756" s="107"/>
      <c r="G3756" s="107"/>
      <c r="H3756" s="107"/>
      <c r="I3756" s="108"/>
      <c r="J3756" s="88" t="s">
        <v>2179</v>
      </c>
      <c r="K3756" s="89"/>
      <c r="L3756" s="89"/>
      <c r="M3756" s="90"/>
      <c r="N3756" s="88" t="s">
        <v>26</v>
      </c>
      <c r="O3756" s="89"/>
      <c r="P3756" s="90"/>
      <c r="Q3756" s="133">
        <v>2000</v>
      </c>
      <c r="R3756" s="134"/>
      <c r="S3756" s="5" t="s">
        <v>44</v>
      </c>
      <c r="T3756" s="6"/>
      <c r="U3756" s="6"/>
      <c r="V3756" s="5" t="s">
        <v>702</v>
      </c>
      <c r="W3756" s="12">
        <v>7019721</v>
      </c>
      <c r="X3756" s="6"/>
      <c r="Y3756" s="6"/>
    </row>
    <row r="3757" spans="1:25" ht="15" customHeight="1" x14ac:dyDescent="0.2">
      <c r="A3757" s="88" t="s">
        <v>4459</v>
      </c>
      <c r="B3757" s="90"/>
      <c r="C3757" s="88" t="s">
        <v>4483</v>
      </c>
      <c r="D3757" s="90"/>
      <c r="E3757" s="106"/>
      <c r="F3757" s="107"/>
      <c r="G3757" s="107"/>
      <c r="H3757" s="107"/>
      <c r="I3757" s="108"/>
      <c r="J3757" s="88" t="s">
        <v>2179</v>
      </c>
      <c r="K3757" s="89"/>
      <c r="L3757" s="89"/>
      <c r="M3757" s="90"/>
      <c r="N3757" s="88" t="s">
        <v>22</v>
      </c>
      <c r="O3757" s="89"/>
      <c r="P3757" s="90"/>
      <c r="Q3757" s="133">
        <v>2000</v>
      </c>
      <c r="R3757" s="134"/>
      <c r="S3757" s="5" t="s">
        <v>70</v>
      </c>
      <c r="T3757" s="6"/>
      <c r="U3757" s="6"/>
      <c r="V3757" s="5" t="s">
        <v>702</v>
      </c>
      <c r="W3757" s="12">
        <v>7868881</v>
      </c>
      <c r="X3757" s="6"/>
      <c r="Y3757" s="6"/>
    </row>
    <row r="3758" spans="1:25" ht="15" customHeight="1" x14ac:dyDescent="0.2">
      <c r="A3758" s="88" t="s">
        <v>4459</v>
      </c>
      <c r="B3758" s="90"/>
      <c r="C3758" s="88" t="s">
        <v>4484</v>
      </c>
      <c r="D3758" s="90"/>
      <c r="E3758" s="106"/>
      <c r="F3758" s="107"/>
      <c r="G3758" s="107"/>
      <c r="H3758" s="107"/>
      <c r="I3758" s="108"/>
      <c r="J3758" s="88" t="s">
        <v>2179</v>
      </c>
      <c r="K3758" s="89"/>
      <c r="L3758" s="89"/>
      <c r="M3758" s="90"/>
      <c r="N3758" s="88" t="s">
        <v>22</v>
      </c>
      <c r="O3758" s="89"/>
      <c r="P3758" s="90"/>
      <c r="Q3758" s="133">
        <v>2000</v>
      </c>
      <c r="R3758" s="134"/>
      <c r="S3758" s="5" t="s">
        <v>70</v>
      </c>
      <c r="T3758" s="6"/>
      <c r="U3758" s="6"/>
      <c r="V3758" s="5" t="s">
        <v>702</v>
      </c>
      <c r="W3758" s="12">
        <v>6680057</v>
      </c>
      <c r="X3758" s="6"/>
      <c r="Y3758" s="6"/>
    </row>
    <row r="3759" spans="1:25" ht="15" customHeight="1" x14ac:dyDescent="0.2">
      <c r="A3759" s="88" t="s">
        <v>4459</v>
      </c>
      <c r="B3759" s="90"/>
      <c r="C3759" s="88" t="s">
        <v>4485</v>
      </c>
      <c r="D3759" s="90"/>
      <c r="E3759" s="106"/>
      <c r="F3759" s="107"/>
      <c r="G3759" s="107"/>
      <c r="H3759" s="107"/>
      <c r="I3759" s="108"/>
      <c r="J3759" s="88" t="s">
        <v>2179</v>
      </c>
      <c r="K3759" s="89"/>
      <c r="L3759" s="89"/>
      <c r="M3759" s="90"/>
      <c r="N3759" s="88" t="s">
        <v>22</v>
      </c>
      <c r="O3759" s="89"/>
      <c r="P3759" s="90"/>
      <c r="Q3759" s="133">
        <v>1600</v>
      </c>
      <c r="R3759" s="134"/>
      <c r="S3759" s="5" t="s">
        <v>70</v>
      </c>
      <c r="T3759" s="6"/>
      <c r="U3759" s="6"/>
      <c r="V3759" s="5" t="s">
        <v>702</v>
      </c>
      <c r="W3759" s="12">
        <v>5774286</v>
      </c>
      <c r="X3759" s="6"/>
      <c r="Y3759" s="6"/>
    </row>
    <row r="3760" spans="1:25" ht="15" customHeight="1" x14ac:dyDescent="0.2">
      <c r="A3760" s="88" t="s">
        <v>4459</v>
      </c>
      <c r="B3760" s="90"/>
      <c r="C3760" s="88" t="s">
        <v>4486</v>
      </c>
      <c r="D3760" s="90"/>
      <c r="E3760" s="106"/>
      <c r="F3760" s="107"/>
      <c r="G3760" s="107"/>
      <c r="H3760" s="107"/>
      <c r="I3760" s="108"/>
      <c r="J3760" s="88" t="s">
        <v>2179</v>
      </c>
      <c r="K3760" s="89"/>
      <c r="L3760" s="89"/>
      <c r="M3760" s="90"/>
      <c r="N3760" s="88" t="s">
        <v>22</v>
      </c>
      <c r="O3760" s="89"/>
      <c r="P3760" s="90"/>
      <c r="Q3760" s="133">
        <v>2000</v>
      </c>
      <c r="R3760" s="134"/>
      <c r="S3760" s="5" t="s">
        <v>70</v>
      </c>
      <c r="T3760" s="6"/>
      <c r="U3760" s="6"/>
      <c r="V3760" s="5" t="s">
        <v>106</v>
      </c>
      <c r="W3760" s="12">
        <v>6849889</v>
      </c>
      <c r="X3760" s="6"/>
      <c r="Y3760" s="6"/>
    </row>
    <row r="3761" spans="1:25" ht="15" customHeight="1" x14ac:dyDescent="0.2">
      <c r="A3761" s="88" t="s">
        <v>4487</v>
      </c>
      <c r="B3761" s="90"/>
      <c r="C3761" s="88" t="s">
        <v>4488</v>
      </c>
      <c r="D3761" s="90"/>
      <c r="E3761" s="106"/>
      <c r="F3761" s="107"/>
      <c r="G3761" s="107"/>
      <c r="H3761" s="107"/>
      <c r="I3761" s="108"/>
      <c r="J3761" s="88" t="s">
        <v>2179</v>
      </c>
      <c r="K3761" s="89"/>
      <c r="L3761" s="89"/>
      <c r="M3761" s="90"/>
      <c r="N3761" s="106"/>
      <c r="O3761" s="107"/>
      <c r="P3761" s="108"/>
      <c r="Q3761" s="133">
        <v>1200</v>
      </c>
      <c r="R3761" s="134"/>
      <c r="S3761" s="5" t="s">
        <v>16</v>
      </c>
      <c r="T3761" s="6"/>
      <c r="U3761" s="6"/>
      <c r="V3761" s="5" t="s">
        <v>17</v>
      </c>
      <c r="W3761" s="12">
        <v>6018420</v>
      </c>
      <c r="X3761" s="6"/>
      <c r="Y3761" s="6"/>
    </row>
    <row r="3762" spans="1:25" ht="15" customHeight="1" x14ac:dyDescent="0.2">
      <c r="A3762" s="88" t="s">
        <v>4487</v>
      </c>
      <c r="B3762" s="90"/>
      <c r="C3762" s="88" t="s">
        <v>4488</v>
      </c>
      <c r="D3762" s="90"/>
      <c r="E3762" s="106"/>
      <c r="F3762" s="107"/>
      <c r="G3762" s="107"/>
      <c r="H3762" s="107"/>
      <c r="I3762" s="108"/>
      <c r="J3762" s="88" t="s">
        <v>2179</v>
      </c>
      <c r="K3762" s="89"/>
      <c r="L3762" s="89"/>
      <c r="M3762" s="90"/>
      <c r="N3762" s="106"/>
      <c r="O3762" s="107"/>
      <c r="P3762" s="108"/>
      <c r="Q3762" s="133">
        <v>1200</v>
      </c>
      <c r="R3762" s="134"/>
      <c r="S3762" s="5" t="s">
        <v>16</v>
      </c>
      <c r="T3762" s="6"/>
      <c r="U3762" s="6"/>
      <c r="V3762" s="5" t="s">
        <v>702</v>
      </c>
      <c r="W3762" s="12">
        <v>5402393</v>
      </c>
      <c r="X3762" s="6"/>
      <c r="Y3762" s="6"/>
    </row>
    <row r="3763" spans="1:25" ht="15" customHeight="1" x14ac:dyDescent="0.2">
      <c r="A3763" s="88" t="s">
        <v>4487</v>
      </c>
      <c r="B3763" s="90"/>
      <c r="C3763" s="88" t="s">
        <v>4489</v>
      </c>
      <c r="D3763" s="90"/>
      <c r="E3763" s="106"/>
      <c r="F3763" s="107"/>
      <c r="G3763" s="107"/>
      <c r="H3763" s="107"/>
      <c r="I3763" s="108"/>
      <c r="J3763" s="88" t="s">
        <v>2179</v>
      </c>
      <c r="K3763" s="89"/>
      <c r="L3763" s="89"/>
      <c r="M3763" s="90"/>
      <c r="N3763" s="106"/>
      <c r="O3763" s="107"/>
      <c r="P3763" s="108"/>
      <c r="Q3763" s="133">
        <v>1200</v>
      </c>
      <c r="R3763" s="134"/>
      <c r="S3763" s="5" t="s">
        <v>16</v>
      </c>
      <c r="T3763" s="6"/>
      <c r="U3763" s="6"/>
      <c r="V3763" s="5" t="s">
        <v>17</v>
      </c>
      <c r="W3763" s="12">
        <v>5740127</v>
      </c>
      <c r="X3763" s="6"/>
      <c r="Y3763" s="6"/>
    </row>
    <row r="3764" spans="1:25" ht="15" customHeight="1" x14ac:dyDescent="0.2">
      <c r="A3764" s="88" t="s">
        <v>4487</v>
      </c>
      <c r="B3764" s="90"/>
      <c r="C3764" s="88" t="s">
        <v>4490</v>
      </c>
      <c r="D3764" s="90"/>
      <c r="E3764" s="106"/>
      <c r="F3764" s="107"/>
      <c r="G3764" s="107"/>
      <c r="H3764" s="107"/>
      <c r="I3764" s="108"/>
      <c r="J3764" s="88" t="s">
        <v>2179</v>
      </c>
      <c r="K3764" s="89"/>
      <c r="L3764" s="89"/>
      <c r="M3764" s="90"/>
      <c r="N3764" s="106"/>
      <c r="O3764" s="107"/>
      <c r="P3764" s="108"/>
      <c r="Q3764" s="133">
        <v>1200</v>
      </c>
      <c r="R3764" s="134"/>
      <c r="S3764" s="5" t="s">
        <v>16</v>
      </c>
      <c r="T3764" s="6"/>
      <c r="U3764" s="6"/>
      <c r="V3764" s="5" t="s">
        <v>17</v>
      </c>
      <c r="W3764" s="12">
        <v>6798585</v>
      </c>
      <c r="X3764" s="6"/>
      <c r="Y3764" s="6"/>
    </row>
    <row r="3765" spans="1:25" ht="15" customHeight="1" x14ac:dyDescent="0.2">
      <c r="A3765" s="88" t="s">
        <v>4487</v>
      </c>
      <c r="B3765" s="90"/>
      <c r="C3765" s="88" t="s">
        <v>4490</v>
      </c>
      <c r="D3765" s="90"/>
      <c r="E3765" s="106"/>
      <c r="F3765" s="107"/>
      <c r="G3765" s="107"/>
      <c r="H3765" s="107"/>
      <c r="I3765" s="108"/>
      <c r="J3765" s="88" t="s">
        <v>2179</v>
      </c>
      <c r="K3765" s="89"/>
      <c r="L3765" s="89"/>
      <c r="M3765" s="90"/>
      <c r="N3765" s="106"/>
      <c r="O3765" s="107"/>
      <c r="P3765" s="108"/>
      <c r="Q3765" s="133">
        <v>1200</v>
      </c>
      <c r="R3765" s="134"/>
      <c r="S3765" s="5" t="s">
        <v>16</v>
      </c>
      <c r="T3765" s="6"/>
      <c r="U3765" s="6"/>
      <c r="V3765" s="5" t="s">
        <v>702</v>
      </c>
      <c r="W3765" s="12">
        <v>6010314</v>
      </c>
      <c r="X3765" s="6"/>
      <c r="Y3765" s="6"/>
    </row>
    <row r="3766" spans="1:25" ht="15" customHeight="1" x14ac:dyDescent="0.2">
      <c r="A3766" s="88" t="s">
        <v>4487</v>
      </c>
      <c r="B3766" s="90"/>
      <c r="C3766" s="88" t="s">
        <v>4491</v>
      </c>
      <c r="D3766" s="90"/>
      <c r="E3766" s="106"/>
      <c r="F3766" s="107"/>
      <c r="G3766" s="107"/>
      <c r="H3766" s="107"/>
      <c r="I3766" s="108"/>
      <c r="J3766" s="88" t="s">
        <v>2179</v>
      </c>
      <c r="K3766" s="89"/>
      <c r="L3766" s="89"/>
      <c r="M3766" s="90"/>
      <c r="N3766" s="106"/>
      <c r="O3766" s="107"/>
      <c r="P3766" s="108"/>
      <c r="Q3766" s="133">
        <v>1200</v>
      </c>
      <c r="R3766" s="134"/>
      <c r="S3766" s="5" t="s">
        <v>16</v>
      </c>
      <c r="T3766" s="6"/>
      <c r="U3766" s="6"/>
      <c r="V3766" s="5" t="s">
        <v>17</v>
      </c>
      <c r="W3766" s="12">
        <v>6685782</v>
      </c>
      <c r="X3766" s="6"/>
      <c r="Y3766" s="6"/>
    </row>
    <row r="3767" spans="1:25" ht="15" customHeight="1" x14ac:dyDescent="0.2">
      <c r="A3767" s="88" t="s">
        <v>4487</v>
      </c>
      <c r="B3767" s="90"/>
      <c r="C3767" s="88" t="s">
        <v>4492</v>
      </c>
      <c r="D3767" s="90"/>
      <c r="E3767" s="106"/>
      <c r="F3767" s="107"/>
      <c r="G3767" s="107"/>
      <c r="H3767" s="107"/>
      <c r="I3767" s="108"/>
      <c r="J3767" s="88" t="s">
        <v>2179</v>
      </c>
      <c r="K3767" s="89"/>
      <c r="L3767" s="89"/>
      <c r="M3767" s="90"/>
      <c r="N3767" s="106"/>
      <c r="O3767" s="107"/>
      <c r="P3767" s="108"/>
      <c r="Q3767" s="133">
        <v>1600</v>
      </c>
      <c r="R3767" s="134"/>
      <c r="S3767" s="5" t="s">
        <v>16</v>
      </c>
      <c r="T3767" s="6"/>
      <c r="U3767" s="6"/>
      <c r="V3767" s="5" t="s">
        <v>17</v>
      </c>
      <c r="W3767" s="12">
        <v>7931683</v>
      </c>
      <c r="X3767" s="6"/>
      <c r="Y3767" s="6"/>
    </row>
    <row r="3768" spans="1:25" ht="15" customHeight="1" x14ac:dyDescent="0.2">
      <c r="A3768" s="88" t="s">
        <v>4487</v>
      </c>
      <c r="B3768" s="90"/>
      <c r="C3768" s="88" t="s">
        <v>4492</v>
      </c>
      <c r="D3768" s="90"/>
      <c r="E3768" s="106"/>
      <c r="F3768" s="107"/>
      <c r="G3768" s="107"/>
      <c r="H3768" s="107"/>
      <c r="I3768" s="108"/>
      <c r="J3768" s="88" t="s">
        <v>2179</v>
      </c>
      <c r="K3768" s="89"/>
      <c r="L3768" s="89"/>
      <c r="M3768" s="90"/>
      <c r="N3768" s="106"/>
      <c r="O3768" s="107"/>
      <c r="P3768" s="108"/>
      <c r="Q3768" s="133">
        <v>1600</v>
      </c>
      <c r="R3768" s="134"/>
      <c r="S3768" s="5" t="s">
        <v>16</v>
      </c>
      <c r="T3768" s="6"/>
      <c r="U3768" s="6"/>
      <c r="V3768" s="5" t="s">
        <v>702</v>
      </c>
      <c r="W3768" s="12">
        <v>6764812</v>
      </c>
      <c r="X3768" s="6"/>
      <c r="Y3768" s="6"/>
    </row>
    <row r="3769" spans="1:25" ht="15" customHeight="1" x14ac:dyDescent="0.2">
      <c r="A3769" s="88" t="s">
        <v>4487</v>
      </c>
      <c r="B3769" s="90"/>
      <c r="C3769" s="88" t="s">
        <v>4493</v>
      </c>
      <c r="D3769" s="90"/>
      <c r="E3769" s="106"/>
      <c r="F3769" s="107"/>
      <c r="G3769" s="107"/>
      <c r="H3769" s="107"/>
      <c r="I3769" s="108"/>
      <c r="J3769" s="88" t="s">
        <v>2179</v>
      </c>
      <c r="K3769" s="89"/>
      <c r="L3769" s="89"/>
      <c r="M3769" s="90"/>
      <c r="N3769" s="106"/>
      <c r="O3769" s="107"/>
      <c r="P3769" s="108"/>
      <c r="Q3769" s="133">
        <v>1200</v>
      </c>
      <c r="R3769" s="134"/>
      <c r="S3769" s="5" t="s">
        <v>16</v>
      </c>
      <c r="T3769" s="6"/>
      <c r="U3769" s="6"/>
      <c r="V3769" s="5" t="s">
        <v>17</v>
      </c>
      <c r="W3769" s="12">
        <v>7158610</v>
      </c>
      <c r="X3769" s="6"/>
      <c r="Y3769" s="6"/>
    </row>
    <row r="3770" spans="1:25" ht="15" customHeight="1" x14ac:dyDescent="0.2">
      <c r="A3770" s="88" t="s">
        <v>4487</v>
      </c>
      <c r="B3770" s="90"/>
      <c r="C3770" s="88" t="s">
        <v>4494</v>
      </c>
      <c r="D3770" s="90"/>
      <c r="E3770" s="106"/>
      <c r="F3770" s="107"/>
      <c r="G3770" s="107"/>
      <c r="H3770" s="107"/>
      <c r="I3770" s="108"/>
      <c r="J3770" s="88" t="s">
        <v>2179</v>
      </c>
      <c r="K3770" s="89"/>
      <c r="L3770" s="89"/>
      <c r="M3770" s="90"/>
      <c r="N3770" s="106"/>
      <c r="O3770" s="107"/>
      <c r="P3770" s="108"/>
      <c r="Q3770" s="133">
        <v>1600</v>
      </c>
      <c r="R3770" s="134"/>
      <c r="S3770" s="5" t="s">
        <v>16</v>
      </c>
      <c r="T3770" s="6"/>
      <c r="U3770" s="6"/>
      <c r="V3770" s="5" t="s">
        <v>17</v>
      </c>
      <c r="W3770" s="12">
        <v>9176233</v>
      </c>
      <c r="X3770" s="6"/>
      <c r="Y3770" s="6"/>
    </row>
    <row r="3771" spans="1:25" ht="15" customHeight="1" x14ac:dyDescent="0.2">
      <c r="A3771" s="88" t="s">
        <v>4487</v>
      </c>
      <c r="B3771" s="90"/>
      <c r="C3771" s="88" t="s">
        <v>4495</v>
      </c>
      <c r="D3771" s="90"/>
      <c r="E3771" s="106"/>
      <c r="F3771" s="107"/>
      <c r="G3771" s="107"/>
      <c r="H3771" s="107"/>
      <c r="I3771" s="108"/>
      <c r="J3771" s="88" t="s">
        <v>2179</v>
      </c>
      <c r="K3771" s="89"/>
      <c r="L3771" s="89"/>
      <c r="M3771" s="90"/>
      <c r="N3771" s="106"/>
      <c r="O3771" s="107"/>
      <c r="P3771" s="108"/>
      <c r="Q3771" s="133">
        <v>1200</v>
      </c>
      <c r="R3771" s="134"/>
      <c r="S3771" s="5" t="s">
        <v>16</v>
      </c>
      <c r="T3771" s="6"/>
      <c r="U3771" s="6"/>
      <c r="V3771" s="5" t="s">
        <v>17</v>
      </c>
      <c r="W3771" s="12">
        <v>8779733</v>
      </c>
      <c r="X3771" s="6"/>
      <c r="Y3771" s="6"/>
    </row>
    <row r="3772" spans="1:25" ht="15" customHeight="1" x14ac:dyDescent="0.2">
      <c r="A3772" s="88" t="s">
        <v>4487</v>
      </c>
      <c r="B3772" s="90"/>
      <c r="C3772" s="88" t="s">
        <v>4496</v>
      </c>
      <c r="D3772" s="90"/>
      <c r="E3772" s="106"/>
      <c r="F3772" s="107"/>
      <c r="G3772" s="107"/>
      <c r="H3772" s="107"/>
      <c r="I3772" s="108"/>
      <c r="J3772" s="88" t="s">
        <v>2319</v>
      </c>
      <c r="K3772" s="89"/>
      <c r="L3772" s="89"/>
      <c r="M3772" s="90"/>
      <c r="N3772" s="106"/>
      <c r="O3772" s="107"/>
      <c r="P3772" s="108"/>
      <c r="Q3772" s="133">
        <v>1600</v>
      </c>
      <c r="R3772" s="134"/>
      <c r="S3772" s="5" t="s">
        <v>16</v>
      </c>
      <c r="T3772" s="6"/>
      <c r="U3772" s="6"/>
      <c r="V3772" s="5" t="s">
        <v>17</v>
      </c>
      <c r="W3772" s="12">
        <v>9473439</v>
      </c>
      <c r="X3772" s="6"/>
      <c r="Y3772" s="6"/>
    </row>
    <row r="3773" spans="1:25" ht="15" customHeight="1" x14ac:dyDescent="0.2">
      <c r="A3773" s="88" t="s">
        <v>4487</v>
      </c>
      <c r="B3773" s="90"/>
      <c r="C3773" s="88" t="s">
        <v>4496</v>
      </c>
      <c r="D3773" s="90"/>
      <c r="E3773" s="106"/>
      <c r="F3773" s="107"/>
      <c r="G3773" s="107"/>
      <c r="H3773" s="107"/>
      <c r="I3773" s="108"/>
      <c r="J3773" s="88" t="s">
        <v>2319</v>
      </c>
      <c r="K3773" s="89"/>
      <c r="L3773" s="89"/>
      <c r="M3773" s="90"/>
      <c r="N3773" s="106"/>
      <c r="O3773" s="107"/>
      <c r="P3773" s="108"/>
      <c r="Q3773" s="133">
        <v>1600</v>
      </c>
      <c r="R3773" s="134"/>
      <c r="S3773" s="5" t="s">
        <v>16</v>
      </c>
      <c r="T3773" s="6"/>
      <c r="U3773" s="6"/>
      <c r="V3773" s="5" t="s">
        <v>702</v>
      </c>
      <c r="W3773" s="12">
        <v>7754373</v>
      </c>
      <c r="X3773" s="6"/>
      <c r="Y3773" s="6"/>
    </row>
    <row r="3774" spans="1:25" ht="15" customHeight="1" x14ac:dyDescent="0.2">
      <c r="A3774" s="88" t="s">
        <v>4487</v>
      </c>
      <c r="B3774" s="90"/>
      <c r="C3774" s="88" t="s">
        <v>4497</v>
      </c>
      <c r="D3774" s="90"/>
      <c r="E3774" s="106"/>
      <c r="F3774" s="107"/>
      <c r="G3774" s="107"/>
      <c r="H3774" s="107"/>
      <c r="I3774" s="108"/>
      <c r="J3774" s="88" t="s">
        <v>2319</v>
      </c>
      <c r="K3774" s="89"/>
      <c r="L3774" s="89"/>
      <c r="M3774" s="90"/>
      <c r="N3774" s="106"/>
      <c r="O3774" s="107"/>
      <c r="P3774" s="108"/>
      <c r="Q3774" s="133">
        <v>1600</v>
      </c>
      <c r="R3774" s="134"/>
      <c r="S3774" s="5" t="s">
        <v>16</v>
      </c>
      <c r="T3774" s="6"/>
      <c r="U3774" s="6"/>
      <c r="V3774" s="5" t="s">
        <v>17</v>
      </c>
      <c r="W3774" s="12">
        <v>11201286</v>
      </c>
      <c r="X3774" s="6"/>
      <c r="Y3774" s="6"/>
    </row>
    <row r="3775" spans="1:25" ht="15" customHeight="1" x14ac:dyDescent="0.2">
      <c r="A3775" s="88" t="s">
        <v>4487</v>
      </c>
      <c r="B3775" s="90"/>
      <c r="C3775" s="88" t="s">
        <v>4498</v>
      </c>
      <c r="D3775" s="90"/>
      <c r="E3775" s="106"/>
      <c r="F3775" s="107"/>
      <c r="G3775" s="107"/>
      <c r="H3775" s="107"/>
      <c r="I3775" s="108"/>
      <c r="J3775" s="88" t="s">
        <v>2319</v>
      </c>
      <c r="K3775" s="89"/>
      <c r="L3775" s="89"/>
      <c r="M3775" s="90"/>
      <c r="N3775" s="106"/>
      <c r="O3775" s="107"/>
      <c r="P3775" s="108"/>
      <c r="Q3775" s="133">
        <v>1200</v>
      </c>
      <c r="R3775" s="134"/>
      <c r="S3775" s="5" t="s">
        <v>27</v>
      </c>
      <c r="T3775" s="6"/>
      <c r="U3775" s="6"/>
      <c r="V3775" s="5" t="s">
        <v>702</v>
      </c>
      <c r="W3775" s="12">
        <v>5942767</v>
      </c>
      <c r="X3775" s="6"/>
      <c r="Y3775" s="6"/>
    </row>
    <row r="3776" spans="1:25" ht="15" customHeight="1" x14ac:dyDescent="0.2">
      <c r="A3776" s="88" t="s">
        <v>4487</v>
      </c>
      <c r="B3776" s="90"/>
      <c r="C3776" s="88" t="s">
        <v>4499</v>
      </c>
      <c r="D3776" s="90"/>
      <c r="E3776" s="106"/>
      <c r="F3776" s="107"/>
      <c r="G3776" s="107"/>
      <c r="H3776" s="107"/>
      <c r="I3776" s="108"/>
      <c r="J3776" s="88" t="s">
        <v>2179</v>
      </c>
      <c r="K3776" s="89"/>
      <c r="L3776" s="89"/>
      <c r="M3776" s="90"/>
      <c r="N3776" s="106"/>
      <c r="O3776" s="107"/>
      <c r="P3776" s="108"/>
      <c r="Q3776" s="133">
        <v>1200</v>
      </c>
      <c r="R3776" s="134"/>
      <c r="S3776" s="5" t="s">
        <v>27</v>
      </c>
      <c r="T3776" s="6"/>
      <c r="U3776" s="6"/>
      <c r="V3776" s="5" t="s">
        <v>17</v>
      </c>
      <c r="W3776" s="12">
        <v>6618235</v>
      </c>
      <c r="X3776" s="6"/>
      <c r="Y3776" s="6"/>
    </row>
    <row r="3777" spans="1:25" ht="15" customHeight="1" x14ac:dyDescent="0.2">
      <c r="A3777" s="88" t="s">
        <v>4487</v>
      </c>
      <c r="B3777" s="90"/>
      <c r="C3777" s="88" t="s">
        <v>4500</v>
      </c>
      <c r="D3777" s="90"/>
      <c r="E3777" s="106"/>
      <c r="F3777" s="107"/>
      <c r="G3777" s="107"/>
      <c r="H3777" s="107"/>
      <c r="I3777" s="108"/>
      <c r="J3777" s="88" t="s">
        <v>2319</v>
      </c>
      <c r="K3777" s="89"/>
      <c r="L3777" s="89"/>
      <c r="M3777" s="90"/>
      <c r="N3777" s="106"/>
      <c r="O3777" s="107"/>
      <c r="P3777" s="108"/>
      <c r="Q3777" s="133">
        <v>1200</v>
      </c>
      <c r="R3777" s="134"/>
      <c r="S3777" s="5" t="s">
        <v>27</v>
      </c>
      <c r="T3777" s="6"/>
      <c r="U3777" s="6"/>
      <c r="V3777" s="5" t="s">
        <v>702</v>
      </c>
      <c r="W3777" s="12">
        <v>6618235</v>
      </c>
      <c r="X3777" s="6"/>
      <c r="Y3777" s="6"/>
    </row>
    <row r="3778" spans="1:25" ht="15" customHeight="1" x14ac:dyDescent="0.2">
      <c r="A3778" s="88" t="s">
        <v>4487</v>
      </c>
      <c r="B3778" s="90"/>
      <c r="C3778" s="88" t="s">
        <v>4500</v>
      </c>
      <c r="D3778" s="90"/>
      <c r="E3778" s="106"/>
      <c r="F3778" s="107"/>
      <c r="G3778" s="107"/>
      <c r="H3778" s="107"/>
      <c r="I3778" s="108"/>
      <c r="J3778" s="88" t="s">
        <v>2319</v>
      </c>
      <c r="K3778" s="89"/>
      <c r="L3778" s="89"/>
      <c r="M3778" s="90"/>
      <c r="N3778" s="106"/>
      <c r="O3778" s="107"/>
      <c r="P3778" s="108"/>
      <c r="Q3778" s="133">
        <v>1200</v>
      </c>
      <c r="R3778" s="134"/>
      <c r="S3778" s="5" t="s">
        <v>70</v>
      </c>
      <c r="T3778" s="6"/>
      <c r="U3778" s="6"/>
      <c r="V3778" s="5" t="s">
        <v>702</v>
      </c>
      <c r="W3778" s="12">
        <v>6820876</v>
      </c>
      <c r="X3778" s="6"/>
      <c r="Y3778" s="6"/>
    </row>
    <row r="3779" spans="1:25" ht="15" customHeight="1" x14ac:dyDescent="0.2">
      <c r="A3779" s="88" t="s">
        <v>4487</v>
      </c>
      <c r="B3779" s="90"/>
      <c r="C3779" s="88" t="s">
        <v>4501</v>
      </c>
      <c r="D3779" s="90"/>
      <c r="E3779" s="106"/>
      <c r="F3779" s="107"/>
      <c r="G3779" s="107"/>
      <c r="H3779" s="107"/>
      <c r="I3779" s="108"/>
      <c r="J3779" s="88" t="s">
        <v>2319</v>
      </c>
      <c r="K3779" s="89"/>
      <c r="L3779" s="89"/>
      <c r="M3779" s="90"/>
      <c r="N3779" s="106"/>
      <c r="O3779" s="107"/>
      <c r="P3779" s="108"/>
      <c r="Q3779" s="133">
        <v>1600</v>
      </c>
      <c r="R3779" s="134"/>
      <c r="S3779" s="5" t="s">
        <v>27</v>
      </c>
      <c r="T3779" s="6"/>
      <c r="U3779" s="6"/>
      <c r="V3779" s="5" t="s">
        <v>17</v>
      </c>
      <c r="W3779" s="12">
        <v>8779733</v>
      </c>
      <c r="X3779" s="6"/>
      <c r="Y3779" s="6"/>
    </row>
    <row r="3780" spans="1:25" ht="15" customHeight="1" x14ac:dyDescent="0.2">
      <c r="A3780" s="88" t="s">
        <v>4487</v>
      </c>
      <c r="B3780" s="90"/>
      <c r="C3780" s="88" t="s">
        <v>4502</v>
      </c>
      <c r="D3780" s="90"/>
      <c r="E3780" s="106"/>
      <c r="F3780" s="107"/>
      <c r="G3780" s="107"/>
      <c r="H3780" s="107"/>
      <c r="I3780" s="108"/>
      <c r="J3780" s="88" t="s">
        <v>2319</v>
      </c>
      <c r="K3780" s="89"/>
      <c r="L3780" s="89"/>
      <c r="M3780" s="90"/>
      <c r="N3780" s="106"/>
      <c r="O3780" s="107"/>
      <c r="P3780" s="108"/>
      <c r="Q3780" s="133">
        <v>1600</v>
      </c>
      <c r="R3780" s="134"/>
      <c r="S3780" s="5" t="s">
        <v>16</v>
      </c>
      <c r="T3780" s="6"/>
      <c r="U3780" s="6"/>
      <c r="V3780" s="5" t="s">
        <v>17</v>
      </c>
      <c r="W3780" s="12">
        <v>9185014</v>
      </c>
      <c r="X3780" s="6"/>
      <c r="Y3780" s="6"/>
    </row>
    <row r="3781" spans="1:25" ht="15" customHeight="1" x14ac:dyDescent="0.2">
      <c r="A3781" s="88" t="s">
        <v>4487</v>
      </c>
      <c r="B3781" s="90"/>
      <c r="C3781" s="88" t="s">
        <v>4503</v>
      </c>
      <c r="D3781" s="90"/>
      <c r="E3781" s="106"/>
      <c r="F3781" s="107"/>
      <c r="G3781" s="107"/>
      <c r="H3781" s="107"/>
      <c r="I3781" s="108"/>
      <c r="J3781" s="88" t="s">
        <v>2179</v>
      </c>
      <c r="K3781" s="89"/>
      <c r="L3781" s="89"/>
      <c r="M3781" s="90"/>
      <c r="N3781" s="106"/>
      <c r="O3781" s="107"/>
      <c r="P3781" s="108"/>
      <c r="Q3781" s="133">
        <v>1200</v>
      </c>
      <c r="R3781" s="134"/>
      <c r="S3781" s="5" t="s">
        <v>16</v>
      </c>
      <c r="T3781" s="6"/>
      <c r="U3781" s="6"/>
      <c r="V3781" s="5" t="s">
        <v>17</v>
      </c>
      <c r="W3781" s="12">
        <v>7834078</v>
      </c>
      <c r="X3781" s="6"/>
      <c r="Y3781" s="6"/>
    </row>
    <row r="3782" spans="1:25" ht="15" customHeight="1" x14ac:dyDescent="0.2">
      <c r="A3782" s="88" t="s">
        <v>4487</v>
      </c>
      <c r="B3782" s="90"/>
      <c r="C3782" s="88" t="s">
        <v>4504</v>
      </c>
      <c r="D3782" s="90"/>
      <c r="E3782" s="106"/>
      <c r="F3782" s="107"/>
      <c r="G3782" s="107"/>
      <c r="H3782" s="107"/>
      <c r="I3782" s="108"/>
      <c r="J3782" s="88" t="s">
        <v>2319</v>
      </c>
      <c r="K3782" s="89"/>
      <c r="L3782" s="89"/>
      <c r="M3782" s="90"/>
      <c r="N3782" s="106"/>
      <c r="O3782" s="107"/>
      <c r="P3782" s="108"/>
      <c r="Q3782" s="133">
        <v>1600</v>
      </c>
      <c r="R3782" s="134"/>
      <c r="S3782" s="5" t="s">
        <v>44</v>
      </c>
      <c r="T3782" s="6"/>
      <c r="U3782" s="6"/>
      <c r="V3782" s="5" t="s">
        <v>17</v>
      </c>
      <c r="W3782" s="12">
        <v>10123577</v>
      </c>
      <c r="X3782" s="6"/>
      <c r="Y3782" s="6"/>
    </row>
    <row r="3783" spans="1:25" ht="15" customHeight="1" x14ac:dyDescent="0.2">
      <c r="A3783" s="88" t="s">
        <v>4487</v>
      </c>
      <c r="B3783" s="90"/>
      <c r="C3783" s="88" t="s">
        <v>4504</v>
      </c>
      <c r="D3783" s="90"/>
      <c r="E3783" s="106"/>
      <c r="F3783" s="107"/>
      <c r="G3783" s="107"/>
      <c r="H3783" s="107"/>
      <c r="I3783" s="108"/>
      <c r="J3783" s="88" t="s">
        <v>2319</v>
      </c>
      <c r="K3783" s="89"/>
      <c r="L3783" s="89"/>
      <c r="M3783" s="90"/>
      <c r="N3783" s="106"/>
      <c r="O3783" s="107"/>
      <c r="P3783" s="108"/>
      <c r="Q3783" s="133">
        <v>1600</v>
      </c>
      <c r="R3783" s="134"/>
      <c r="S3783" s="5" t="s">
        <v>70</v>
      </c>
      <c r="T3783" s="6"/>
      <c r="U3783" s="6"/>
      <c r="V3783" s="5" t="s">
        <v>17</v>
      </c>
      <c r="W3783" s="12">
        <v>10290755</v>
      </c>
      <c r="X3783" s="6"/>
      <c r="Y3783" s="6"/>
    </row>
    <row r="3784" spans="1:25" ht="15" customHeight="1" x14ac:dyDescent="0.2">
      <c r="A3784" s="88" t="s">
        <v>4487</v>
      </c>
      <c r="B3784" s="90"/>
      <c r="C3784" s="88" t="s">
        <v>4505</v>
      </c>
      <c r="D3784" s="90"/>
      <c r="E3784" s="106"/>
      <c r="F3784" s="107"/>
      <c r="G3784" s="107"/>
      <c r="H3784" s="107"/>
      <c r="I3784" s="108"/>
      <c r="J3784" s="88" t="s">
        <v>1718</v>
      </c>
      <c r="K3784" s="89"/>
      <c r="L3784" s="89"/>
      <c r="M3784" s="90"/>
      <c r="N3784" s="106"/>
      <c r="O3784" s="107"/>
      <c r="P3784" s="108"/>
      <c r="Q3784" s="133">
        <v>2000</v>
      </c>
      <c r="R3784" s="134"/>
      <c r="S3784" s="5" t="s">
        <v>814</v>
      </c>
      <c r="T3784" s="6"/>
      <c r="U3784" s="6"/>
      <c r="V3784" s="5" t="s">
        <v>106</v>
      </c>
      <c r="W3784" s="12">
        <v>7366249</v>
      </c>
      <c r="X3784" s="6"/>
      <c r="Y3784" s="6"/>
    </row>
    <row r="3785" spans="1:25" ht="15" customHeight="1" x14ac:dyDescent="0.2">
      <c r="A3785" s="88" t="s">
        <v>4487</v>
      </c>
      <c r="B3785" s="90"/>
      <c r="C3785" s="88" t="s">
        <v>4506</v>
      </c>
      <c r="D3785" s="90"/>
      <c r="E3785" s="106"/>
      <c r="F3785" s="107"/>
      <c r="G3785" s="107"/>
      <c r="H3785" s="107"/>
      <c r="I3785" s="108"/>
      <c r="J3785" s="88" t="s">
        <v>4507</v>
      </c>
      <c r="K3785" s="89"/>
      <c r="L3785" s="89"/>
      <c r="M3785" s="90"/>
      <c r="N3785" s="106"/>
      <c r="O3785" s="107"/>
      <c r="P3785" s="108"/>
      <c r="Q3785" s="106"/>
      <c r="R3785" s="108"/>
      <c r="S3785" s="5" t="s">
        <v>16</v>
      </c>
      <c r="T3785" s="6"/>
      <c r="U3785" s="6"/>
      <c r="V3785" s="5" t="s">
        <v>17</v>
      </c>
      <c r="W3785" s="12">
        <v>7615902</v>
      </c>
      <c r="X3785" s="6"/>
      <c r="Y3785" s="6"/>
    </row>
    <row r="3786" spans="1:25" ht="15" customHeight="1" x14ac:dyDescent="0.2">
      <c r="A3786" s="88" t="s">
        <v>4487</v>
      </c>
      <c r="B3786" s="90"/>
      <c r="C3786" s="88" t="s">
        <v>4508</v>
      </c>
      <c r="D3786" s="90"/>
      <c r="E3786" s="106"/>
      <c r="F3786" s="107"/>
      <c r="G3786" s="107"/>
      <c r="H3786" s="107"/>
      <c r="I3786" s="108"/>
      <c r="J3786" s="88" t="s">
        <v>4507</v>
      </c>
      <c r="K3786" s="89"/>
      <c r="L3786" s="89"/>
      <c r="M3786" s="90"/>
      <c r="N3786" s="106"/>
      <c r="O3786" s="107"/>
      <c r="P3786" s="108"/>
      <c r="Q3786" s="106"/>
      <c r="R3786" s="108"/>
      <c r="S3786" s="5" t="s">
        <v>27</v>
      </c>
      <c r="T3786" s="6"/>
      <c r="U3786" s="6"/>
      <c r="V3786" s="5" t="s">
        <v>17</v>
      </c>
      <c r="W3786" s="12">
        <v>7597326</v>
      </c>
      <c r="X3786" s="6"/>
      <c r="Y3786" s="6"/>
    </row>
    <row r="3787" spans="1:25" ht="15" customHeight="1" x14ac:dyDescent="0.2">
      <c r="A3787" s="88" t="s">
        <v>4487</v>
      </c>
      <c r="B3787" s="90"/>
      <c r="C3787" s="88" t="s">
        <v>4509</v>
      </c>
      <c r="D3787" s="90"/>
      <c r="E3787" s="106"/>
      <c r="F3787" s="107"/>
      <c r="G3787" s="107"/>
      <c r="H3787" s="107"/>
      <c r="I3787" s="108"/>
      <c r="J3787" s="88" t="s">
        <v>4507</v>
      </c>
      <c r="K3787" s="89"/>
      <c r="L3787" s="89"/>
      <c r="M3787" s="90"/>
      <c r="N3787" s="106"/>
      <c r="O3787" s="107"/>
      <c r="P3787" s="108"/>
      <c r="Q3787" s="106"/>
      <c r="R3787" s="108"/>
      <c r="S3787" s="5" t="s">
        <v>27</v>
      </c>
      <c r="T3787" s="6"/>
      <c r="U3787" s="6"/>
      <c r="V3787" s="5" t="s">
        <v>17</v>
      </c>
      <c r="W3787" s="12">
        <v>9185014</v>
      </c>
      <c r="X3787" s="6"/>
      <c r="Y3787" s="6"/>
    </row>
    <row r="3788" spans="1:25" ht="15" customHeight="1" x14ac:dyDescent="0.2">
      <c r="A3788" s="88" t="s">
        <v>4487</v>
      </c>
      <c r="B3788" s="90"/>
      <c r="C3788" s="88" t="s">
        <v>4510</v>
      </c>
      <c r="D3788" s="90"/>
      <c r="E3788" s="106"/>
      <c r="F3788" s="107"/>
      <c r="G3788" s="107"/>
      <c r="H3788" s="107"/>
      <c r="I3788" s="108"/>
      <c r="J3788" s="88" t="s">
        <v>4507</v>
      </c>
      <c r="K3788" s="89"/>
      <c r="L3788" s="89"/>
      <c r="M3788" s="90"/>
      <c r="N3788" s="106"/>
      <c r="O3788" s="107"/>
      <c r="P3788" s="108"/>
      <c r="Q3788" s="106"/>
      <c r="R3788" s="108"/>
      <c r="S3788" s="5" t="s">
        <v>814</v>
      </c>
      <c r="T3788" s="6"/>
      <c r="U3788" s="6"/>
      <c r="V3788" s="5" t="s">
        <v>17</v>
      </c>
      <c r="W3788" s="12">
        <v>10806137</v>
      </c>
      <c r="X3788" s="6"/>
      <c r="Y3788" s="6"/>
    </row>
    <row r="3789" spans="1:25" ht="15" customHeight="1" x14ac:dyDescent="0.2">
      <c r="A3789" s="88" t="s">
        <v>4487</v>
      </c>
      <c r="B3789" s="90"/>
      <c r="C3789" s="88" t="s">
        <v>4511</v>
      </c>
      <c r="D3789" s="90"/>
      <c r="E3789" s="106"/>
      <c r="F3789" s="107"/>
      <c r="G3789" s="107"/>
      <c r="H3789" s="107"/>
      <c r="I3789" s="108"/>
      <c r="J3789" s="88" t="s">
        <v>4507</v>
      </c>
      <c r="K3789" s="89"/>
      <c r="L3789" s="89"/>
      <c r="M3789" s="90"/>
      <c r="N3789" s="106"/>
      <c r="O3789" s="107"/>
      <c r="P3789" s="108"/>
      <c r="Q3789" s="106"/>
      <c r="R3789" s="108"/>
      <c r="S3789" s="5" t="s">
        <v>814</v>
      </c>
      <c r="T3789" s="6"/>
      <c r="U3789" s="6"/>
      <c r="V3789" s="5" t="s">
        <v>17</v>
      </c>
      <c r="W3789" s="12">
        <v>6687133</v>
      </c>
      <c r="X3789" s="6"/>
      <c r="Y3789" s="6"/>
    </row>
    <row r="3790" spans="1:25" ht="15" customHeight="1" x14ac:dyDescent="0.2">
      <c r="A3790" s="88" t="s">
        <v>4487</v>
      </c>
      <c r="B3790" s="90"/>
      <c r="C3790" s="88" t="s">
        <v>4512</v>
      </c>
      <c r="D3790" s="90"/>
      <c r="E3790" s="106"/>
      <c r="F3790" s="107"/>
      <c r="G3790" s="107"/>
      <c r="H3790" s="107"/>
      <c r="I3790" s="108"/>
      <c r="J3790" s="88" t="s">
        <v>1718</v>
      </c>
      <c r="K3790" s="89"/>
      <c r="L3790" s="89"/>
      <c r="M3790" s="90"/>
      <c r="N3790" s="106"/>
      <c r="O3790" s="107"/>
      <c r="P3790" s="108"/>
      <c r="Q3790" s="133">
        <v>2000</v>
      </c>
      <c r="R3790" s="134"/>
      <c r="S3790" s="5" t="s">
        <v>814</v>
      </c>
      <c r="T3790" s="6"/>
      <c r="U3790" s="6"/>
      <c r="V3790" s="5" t="s">
        <v>106</v>
      </c>
      <c r="W3790" s="12">
        <v>5875221</v>
      </c>
      <c r="X3790" s="6"/>
      <c r="Y3790" s="6"/>
    </row>
    <row r="3791" spans="1:25" ht="15" customHeight="1" x14ac:dyDescent="0.2">
      <c r="A3791" s="88" t="s">
        <v>4487</v>
      </c>
      <c r="B3791" s="90"/>
      <c r="C3791" s="88" t="s">
        <v>4513</v>
      </c>
      <c r="D3791" s="90"/>
      <c r="E3791" s="106"/>
      <c r="F3791" s="107"/>
      <c r="G3791" s="107"/>
      <c r="H3791" s="107"/>
      <c r="I3791" s="108"/>
      <c r="J3791" s="88" t="s">
        <v>2319</v>
      </c>
      <c r="K3791" s="89"/>
      <c r="L3791" s="89"/>
      <c r="M3791" s="90"/>
      <c r="N3791" s="106"/>
      <c r="O3791" s="107"/>
      <c r="P3791" s="108"/>
      <c r="Q3791" s="133">
        <v>2000</v>
      </c>
      <c r="R3791" s="134"/>
      <c r="S3791" s="5" t="s">
        <v>814</v>
      </c>
      <c r="T3791" s="6"/>
      <c r="U3791" s="6"/>
      <c r="V3791" s="5" t="s">
        <v>106</v>
      </c>
      <c r="W3791" s="12">
        <v>7361250</v>
      </c>
      <c r="X3791" s="6"/>
      <c r="Y3791" s="6"/>
    </row>
    <row r="3792" spans="1:25" ht="15" customHeight="1" x14ac:dyDescent="0.2">
      <c r="A3792" s="88" t="s">
        <v>4487</v>
      </c>
      <c r="B3792" s="90"/>
      <c r="C3792" s="88" t="s">
        <v>4514</v>
      </c>
      <c r="D3792" s="90"/>
      <c r="E3792" s="106"/>
      <c r="F3792" s="107"/>
      <c r="G3792" s="107"/>
      <c r="H3792" s="107"/>
      <c r="I3792" s="108"/>
      <c r="J3792" s="88" t="s">
        <v>2319</v>
      </c>
      <c r="K3792" s="89"/>
      <c r="L3792" s="89"/>
      <c r="M3792" s="90"/>
      <c r="N3792" s="106"/>
      <c r="O3792" s="107"/>
      <c r="P3792" s="108"/>
      <c r="Q3792" s="133">
        <v>2000</v>
      </c>
      <c r="R3792" s="134"/>
      <c r="S3792" s="5" t="s">
        <v>814</v>
      </c>
      <c r="T3792" s="6"/>
      <c r="U3792" s="6"/>
      <c r="V3792" s="5" t="s">
        <v>106</v>
      </c>
      <c r="W3792" s="12">
        <v>7023516</v>
      </c>
      <c r="X3792" s="6"/>
      <c r="Y3792" s="6"/>
    </row>
    <row r="3793" spans="1:25" ht="15" customHeight="1" x14ac:dyDescent="0.2">
      <c r="A3793" s="88" t="s">
        <v>4487</v>
      </c>
      <c r="B3793" s="90"/>
      <c r="C3793" s="88" t="s">
        <v>4515</v>
      </c>
      <c r="D3793" s="90"/>
      <c r="E3793" s="106"/>
      <c r="F3793" s="107"/>
      <c r="G3793" s="107"/>
      <c r="H3793" s="107"/>
      <c r="I3793" s="108"/>
      <c r="J3793" s="88" t="s">
        <v>1718</v>
      </c>
      <c r="K3793" s="89"/>
      <c r="L3793" s="89"/>
      <c r="M3793" s="90"/>
      <c r="N3793" s="106"/>
      <c r="O3793" s="107"/>
      <c r="P3793" s="108"/>
      <c r="Q3793" s="133">
        <v>2000</v>
      </c>
      <c r="R3793" s="134"/>
      <c r="S3793" s="5" t="s">
        <v>814</v>
      </c>
      <c r="T3793" s="6"/>
      <c r="U3793" s="6"/>
      <c r="V3793" s="5" t="s">
        <v>106</v>
      </c>
      <c r="W3793" s="12">
        <v>6348048</v>
      </c>
      <c r="X3793" s="6"/>
      <c r="Y3793" s="6"/>
    </row>
    <row r="3794" spans="1:25" ht="15" customHeight="1" x14ac:dyDescent="0.2">
      <c r="A3794" s="88" t="s">
        <v>4487</v>
      </c>
      <c r="B3794" s="90"/>
      <c r="C3794" s="88" t="s">
        <v>4515</v>
      </c>
      <c r="D3794" s="90"/>
      <c r="E3794" s="106"/>
      <c r="F3794" s="107"/>
      <c r="G3794" s="107"/>
      <c r="H3794" s="107"/>
      <c r="I3794" s="108"/>
      <c r="J3794" s="88" t="s">
        <v>2319</v>
      </c>
      <c r="K3794" s="89"/>
      <c r="L3794" s="89"/>
      <c r="M3794" s="90"/>
      <c r="N3794" s="106"/>
      <c r="O3794" s="107"/>
      <c r="P3794" s="108"/>
      <c r="Q3794" s="133">
        <v>2000</v>
      </c>
      <c r="R3794" s="134"/>
      <c r="S3794" s="5" t="s">
        <v>814</v>
      </c>
      <c r="T3794" s="6"/>
      <c r="U3794" s="6"/>
      <c r="V3794" s="5" t="s">
        <v>106</v>
      </c>
      <c r="W3794" s="12">
        <v>6820876</v>
      </c>
      <c r="X3794" s="6"/>
      <c r="Y3794" s="6"/>
    </row>
    <row r="3795" spans="1:25" ht="15" customHeight="1" x14ac:dyDescent="0.2">
      <c r="A3795" s="88" t="s">
        <v>4487</v>
      </c>
      <c r="B3795" s="90"/>
      <c r="C3795" s="88" t="s">
        <v>4516</v>
      </c>
      <c r="D3795" s="90"/>
      <c r="E3795" s="106"/>
      <c r="F3795" s="107"/>
      <c r="G3795" s="107"/>
      <c r="H3795" s="107"/>
      <c r="I3795" s="108"/>
      <c r="J3795" s="88" t="s">
        <v>2319</v>
      </c>
      <c r="K3795" s="89"/>
      <c r="L3795" s="89"/>
      <c r="M3795" s="90"/>
      <c r="N3795" s="106"/>
      <c r="O3795" s="107"/>
      <c r="P3795" s="108"/>
      <c r="Q3795" s="133">
        <v>2000</v>
      </c>
      <c r="R3795" s="134"/>
      <c r="S3795" s="5" t="s">
        <v>814</v>
      </c>
      <c r="T3795" s="6"/>
      <c r="U3795" s="6"/>
      <c r="V3795" s="5" t="s">
        <v>106</v>
      </c>
      <c r="W3795" s="12">
        <v>6483142</v>
      </c>
      <c r="X3795" s="6"/>
      <c r="Y3795" s="6"/>
    </row>
    <row r="3796" spans="1:25" ht="15" customHeight="1" x14ac:dyDescent="0.2">
      <c r="A3796" s="88" t="s">
        <v>4487</v>
      </c>
      <c r="B3796" s="90"/>
      <c r="C3796" s="88" t="s">
        <v>4517</v>
      </c>
      <c r="D3796" s="90"/>
      <c r="E3796" s="106"/>
      <c r="F3796" s="107"/>
      <c r="G3796" s="107"/>
      <c r="H3796" s="107"/>
      <c r="I3796" s="108"/>
      <c r="J3796" s="88" t="s">
        <v>1718</v>
      </c>
      <c r="K3796" s="89"/>
      <c r="L3796" s="89"/>
      <c r="M3796" s="90"/>
      <c r="N3796" s="106"/>
      <c r="O3796" s="107"/>
      <c r="P3796" s="108"/>
      <c r="Q3796" s="133">
        <v>1200</v>
      </c>
      <c r="R3796" s="134"/>
      <c r="S3796" s="5" t="s">
        <v>814</v>
      </c>
      <c r="T3796" s="6"/>
      <c r="U3796" s="6"/>
      <c r="V3796" s="5" t="s">
        <v>702</v>
      </c>
      <c r="W3796" s="12">
        <v>4086581</v>
      </c>
      <c r="X3796" s="6"/>
      <c r="Y3796" s="6"/>
    </row>
    <row r="3797" spans="1:25" ht="15" customHeight="1" x14ac:dyDescent="0.2">
      <c r="A3797" s="88" t="s">
        <v>4487</v>
      </c>
      <c r="B3797" s="90"/>
      <c r="C3797" s="88" t="s">
        <v>4518</v>
      </c>
      <c r="D3797" s="90"/>
      <c r="E3797" s="106"/>
      <c r="F3797" s="107"/>
      <c r="G3797" s="107"/>
      <c r="H3797" s="107"/>
      <c r="I3797" s="108"/>
      <c r="J3797" s="88" t="s">
        <v>2319</v>
      </c>
      <c r="K3797" s="89"/>
      <c r="L3797" s="89"/>
      <c r="M3797" s="90"/>
      <c r="N3797" s="106"/>
      <c r="O3797" s="107"/>
      <c r="P3797" s="108"/>
      <c r="Q3797" s="133">
        <v>1200</v>
      </c>
      <c r="R3797" s="134"/>
      <c r="S3797" s="5" t="s">
        <v>814</v>
      </c>
      <c r="T3797" s="6"/>
      <c r="U3797" s="6"/>
      <c r="V3797" s="5" t="s">
        <v>702</v>
      </c>
      <c r="W3797" s="12">
        <v>5739789</v>
      </c>
      <c r="X3797" s="6"/>
      <c r="Y3797" s="6"/>
    </row>
    <row r="3798" spans="1:25" ht="15" customHeight="1" x14ac:dyDescent="0.2">
      <c r="A3798" s="88" t="s">
        <v>4487</v>
      </c>
      <c r="B3798" s="90"/>
      <c r="C3798" s="88" t="s">
        <v>4519</v>
      </c>
      <c r="D3798" s="90"/>
      <c r="E3798" s="106"/>
      <c r="F3798" s="107"/>
      <c r="G3798" s="107"/>
      <c r="H3798" s="107"/>
      <c r="I3798" s="108"/>
      <c r="J3798" s="88" t="s">
        <v>2319</v>
      </c>
      <c r="K3798" s="89"/>
      <c r="L3798" s="89"/>
      <c r="M3798" s="90"/>
      <c r="N3798" s="106"/>
      <c r="O3798" s="107"/>
      <c r="P3798" s="108"/>
      <c r="Q3798" s="133">
        <v>1200</v>
      </c>
      <c r="R3798" s="134"/>
      <c r="S3798" s="5" t="s">
        <v>814</v>
      </c>
      <c r="T3798" s="6"/>
      <c r="U3798" s="6"/>
      <c r="V3798" s="5" t="s">
        <v>702</v>
      </c>
      <c r="W3798" s="12">
        <v>4885322</v>
      </c>
      <c r="X3798" s="6"/>
      <c r="Y3798" s="6"/>
    </row>
    <row r="3799" spans="1:25" ht="15" customHeight="1" x14ac:dyDescent="0.2">
      <c r="A3799" s="88" t="s">
        <v>4487</v>
      </c>
      <c r="B3799" s="90"/>
      <c r="C3799" s="88" t="s">
        <v>4520</v>
      </c>
      <c r="D3799" s="90"/>
      <c r="E3799" s="106"/>
      <c r="F3799" s="107"/>
      <c r="G3799" s="107"/>
      <c r="H3799" s="107"/>
      <c r="I3799" s="108"/>
      <c r="J3799" s="88" t="s">
        <v>2319</v>
      </c>
      <c r="K3799" s="89"/>
      <c r="L3799" s="89"/>
      <c r="M3799" s="90"/>
      <c r="N3799" s="106"/>
      <c r="O3799" s="107"/>
      <c r="P3799" s="108"/>
      <c r="Q3799" s="133">
        <v>1200</v>
      </c>
      <c r="R3799" s="134"/>
      <c r="S3799" s="5" t="s">
        <v>814</v>
      </c>
      <c r="T3799" s="6"/>
      <c r="U3799" s="6"/>
      <c r="V3799" s="5" t="s">
        <v>702</v>
      </c>
      <c r="W3799" s="12">
        <v>5331131</v>
      </c>
      <c r="X3799" s="6"/>
      <c r="Y3799" s="6"/>
    </row>
    <row r="3800" spans="1:25" ht="15" customHeight="1" x14ac:dyDescent="0.2">
      <c r="A3800" s="88" t="s">
        <v>4487</v>
      </c>
      <c r="B3800" s="90"/>
      <c r="C3800" s="88" t="s">
        <v>4521</v>
      </c>
      <c r="D3800" s="90"/>
      <c r="E3800" s="106"/>
      <c r="F3800" s="107"/>
      <c r="G3800" s="107"/>
      <c r="H3800" s="107"/>
      <c r="I3800" s="108"/>
      <c r="J3800" s="88" t="s">
        <v>2319</v>
      </c>
      <c r="K3800" s="89"/>
      <c r="L3800" s="89"/>
      <c r="M3800" s="90"/>
      <c r="N3800" s="106"/>
      <c r="O3800" s="107"/>
      <c r="P3800" s="108"/>
      <c r="Q3800" s="133">
        <v>1200</v>
      </c>
      <c r="R3800" s="134"/>
      <c r="S3800" s="5" t="s">
        <v>814</v>
      </c>
      <c r="T3800" s="6"/>
      <c r="U3800" s="6"/>
      <c r="V3800" s="5" t="s">
        <v>702</v>
      </c>
      <c r="W3800" s="12">
        <v>4941048</v>
      </c>
      <c r="X3800" s="6"/>
      <c r="Y3800" s="6"/>
    </row>
    <row r="3801" spans="1:25" ht="15" customHeight="1" x14ac:dyDescent="0.2">
      <c r="A3801" s="88" t="s">
        <v>4487</v>
      </c>
      <c r="B3801" s="90"/>
      <c r="C3801" s="88" t="s">
        <v>4522</v>
      </c>
      <c r="D3801" s="90"/>
      <c r="E3801" s="88" t="s">
        <v>4523</v>
      </c>
      <c r="F3801" s="89"/>
      <c r="G3801" s="89"/>
      <c r="H3801" s="89"/>
      <c r="I3801" s="90"/>
      <c r="J3801" s="88" t="s">
        <v>13</v>
      </c>
      <c r="K3801" s="89"/>
      <c r="L3801" s="89"/>
      <c r="M3801" s="90"/>
      <c r="N3801" s="88" t="s">
        <v>26</v>
      </c>
      <c r="O3801" s="89"/>
      <c r="P3801" s="90"/>
      <c r="Q3801" s="133">
        <v>1200</v>
      </c>
      <c r="R3801" s="134"/>
      <c r="S3801" s="5" t="s">
        <v>27</v>
      </c>
      <c r="T3801" s="6"/>
      <c r="U3801" s="6"/>
      <c r="V3801" s="5" t="s">
        <v>23</v>
      </c>
      <c r="W3801" s="12">
        <v>1107943</v>
      </c>
      <c r="X3801" s="6"/>
      <c r="Y3801" s="6"/>
    </row>
    <row r="3802" spans="1:25" ht="15" customHeight="1" x14ac:dyDescent="0.2">
      <c r="A3802" s="88" t="s">
        <v>4487</v>
      </c>
      <c r="B3802" s="90"/>
      <c r="C3802" s="88" t="s">
        <v>4524</v>
      </c>
      <c r="D3802" s="90"/>
      <c r="E3802" s="88" t="s">
        <v>4525</v>
      </c>
      <c r="F3802" s="89"/>
      <c r="G3802" s="89"/>
      <c r="H3802" s="89"/>
      <c r="I3802" s="90"/>
      <c r="J3802" s="88" t="s">
        <v>13</v>
      </c>
      <c r="K3802" s="89"/>
      <c r="L3802" s="89"/>
      <c r="M3802" s="90"/>
      <c r="N3802" s="88" t="s">
        <v>26</v>
      </c>
      <c r="O3802" s="89"/>
      <c r="P3802" s="90"/>
      <c r="Q3802" s="133">
        <v>1200</v>
      </c>
      <c r="R3802" s="134"/>
      <c r="S3802" s="5" t="s">
        <v>27</v>
      </c>
      <c r="T3802" s="6"/>
      <c r="U3802" s="6"/>
      <c r="V3802" s="5" t="s">
        <v>23</v>
      </c>
      <c r="W3802" s="12">
        <v>1203336</v>
      </c>
      <c r="X3802" s="6"/>
      <c r="Y3802" s="6"/>
    </row>
    <row r="3803" spans="1:25" ht="15" customHeight="1" x14ac:dyDescent="0.2">
      <c r="A3803" s="88" t="s">
        <v>4487</v>
      </c>
      <c r="B3803" s="90"/>
      <c r="C3803" s="133">
        <v>2008</v>
      </c>
      <c r="D3803" s="134"/>
      <c r="E3803" s="88" t="s">
        <v>4526</v>
      </c>
      <c r="F3803" s="89"/>
      <c r="G3803" s="89"/>
      <c r="H3803" s="89"/>
      <c r="I3803" s="90"/>
      <c r="J3803" s="88" t="s">
        <v>13</v>
      </c>
      <c r="K3803" s="89"/>
      <c r="L3803" s="89"/>
      <c r="M3803" s="90"/>
      <c r="N3803" s="88" t="s">
        <v>26</v>
      </c>
      <c r="O3803" s="89"/>
      <c r="P3803" s="90"/>
      <c r="Q3803" s="133">
        <v>1200</v>
      </c>
      <c r="R3803" s="134"/>
      <c r="S3803" s="5" t="s">
        <v>27</v>
      </c>
      <c r="T3803" s="6"/>
      <c r="U3803" s="6"/>
      <c r="V3803" s="5" t="s">
        <v>23</v>
      </c>
      <c r="W3803" s="12">
        <v>1483901</v>
      </c>
      <c r="X3803" s="6"/>
      <c r="Y3803" s="6"/>
    </row>
    <row r="3804" spans="1:25" ht="15" customHeight="1" x14ac:dyDescent="0.2">
      <c r="A3804" s="88" t="s">
        <v>4487</v>
      </c>
      <c r="B3804" s="90"/>
      <c r="C3804" s="88" t="s">
        <v>4527</v>
      </c>
      <c r="D3804" s="90"/>
      <c r="E3804" s="88" t="s">
        <v>4528</v>
      </c>
      <c r="F3804" s="89"/>
      <c r="G3804" s="89"/>
      <c r="H3804" s="89"/>
      <c r="I3804" s="90"/>
      <c r="J3804" s="88" t="s">
        <v>13</v>
      </c>
      <c r="K3804" s="89"/>
      <c r="L3804" s="89"/>
      <c r="M3804" s="90"/>
      <c r="N3804" s="88" t="s">
        <v>26</v>
      </c>
      <c r="O3804" s="89"/>
      <c r="P3804" s="90"/>
      <c r="Q3804" s="133">
        <v>1200</v>
      </c>
      <c r="R3804" s="134"/>
      <c r="S3804" s="5" t="s">
        <v>27</v>
      </c>
      <c r="T3804" s="6"/>
      <c r="U3804" s="6"/>
      <c r="V3804" s="5" t="s">
        <v>23</v>
      </c>
      <c r="W3804" s="12">
        <v>1551043</v>
      </c>
      <c r="X3804" s="6"/>
      <c r="Y3804" s="6"/>
    </row>
    <row r="3805" spans="1:25" ht="15" customHeight="1" x14ac:dyDescent="0.2">
      <c r="A3805" s="88" t="s">
        <v>4487</v>
      </c>
      <c r="B3805" s="90"/>
      <c r="C3805" s="88" t="s">
        <v>4529</v>
      </c>
      <c r="D3805" s="90"/>
      <c r="E3805" s="88" t="s">
        <v>4523</v>
      </c>
      <c r="F3805" s="89"/>
      <c r="G3805" s="89"/>
      <c r="H3805" s="89"/>
      <c r="I3805" s="90"/>
      <c r="J3805" s="88" t="s">
        <v>13</v>
      </c>
      <c r="K3805" s="89"/>
      <c r="L3805" s="89"/>
      <c r="M3805" s="90"/>
      <c r="N3805" s="88" t="s">
        <v>26</v>
      </c>
      <c r="O3805" s="89"/>
      <c r="P3805" s="90"/>
      <c r="Q3805" s="133">
        <v>1200</v>
      </c>
      <c r="R3805" s="134"/>
      <c r="S3805" s="5" t="s">
        <v>27</v>
      </c>
      <c r="T3805" s="6"/>
      <c r="U3805" s="6"/>
      <c r="V3805" s="5" t="s">
        <v>23</v>
      </c>
      <c r="W3805" s="12">
        <v>1376512</v>
      </c>
      <c r="X3805" s="6"/>
      <c r="Y3805" s="6"/>
    </row>
    <row r="3806" spans="1:25" ht="15" customHeight="1" x14ac:dyDescent="0.2">
      <c r="A3806" s="88" t="s">
        <v>4487</v>
      </c>
      <c r="B3806" s="90"/>
      <c r="C3806" s="88" t="s">
        <v>4530</v>
      </c>
      <c r="D3806" s="90"/>
      <c r="E3806" s="88" t="s">
        <v>4531</v>
      </c>
      <c r="F3806" s="89"/>
      <c r="G3806" s="89"/>
      <c r="H3806" s="89"/>
      <c r="I3806" s="90"/>
      <c r="J3806" s="88" t="s">
        <v>13</v>
      </c>
      <c r="K3806" s="89"/>
      <c r="L3806" s="89"/>
      <c r="M3806" s="90"/>
      <c r="N3806" s="88" t="s">
        <v>26</v>
      </c>
      <c r="O3806" s="89"/>
      <c r="P3806" s="90"/>
      <c r="Q3806" s="133">
        <v>1200</v>
      </c>
      <c r="R3806" s="134"/>
      <c r="S3806" s="5" t="s">
        <v>27</v>
      </c>
      <c r="T3806" s="6"/>
      <c r="U3806" s="6"/>
      <c r="V3806" s="5" t="s">
        <v>23</v>
      </c>
      <c r="W3806" s="12">
        <v>2692655</v>
      </c>
      <c r="X3806" s="6"/>
      <c r="Y3806" s="6"/>
    </row>
    <row r="3807" spans="1:25" ht="15" customHeight="1" x14ac:dyDescent="0.2">
      <c r="A3807" s="88" t="s">
        <v>4487</v>
      </c>
      <c r="B3807" s="90"/>
      <c r="C3807" s="88" t="s">
        <v>4532</v>
      </c>
      <c r="D3807" s="90"/>
      <c r="E3807" s="88" t="s">
        <v>4533</v>
      </c>
      <c r="F3807" s="89"/>
      <c r="G3807" s="89"/>
      <c r="H3807" s="89"/>
      <c r="I3807" s="90"/>
      <c r="J3807" s="88" t="s">
        <v>13</v>
      </c>
      <c r="K3807" s="89"/>
      <c r="L3807" s="89"/>
      <c r="M3807" s="90"/>
      <c r="N3807" s="88" t="s">
        <v>26</v>
      </c>
      <c r="O3807" s="89"/>
      <c r="P3807" s="90"/>
      <c r="Q3807" s="133">
        <v>1200</v>
      </c>
      <c r="R3807" s="134"/>
      <c r="S3807" s="5" t="s">
        <v>27</v>
      </c>
      <c r="T3807" s="6"/>
      <c r="U3807" s="6"/>
      <c r="V3807" s="5" t="s">
        <v>23</v>
      </c>
      <c r="W3807" s="12">
        <v>2025102</v>
      </c>
      <c r="X3807" s="6"/>
      <c r="Y3807" s="6"/>
    </row>
    <row r="3808" spans="1:25" ht="15" customHeight="1" x14ac:dyDescent="0.2">
      <c r="A3808" s="88" t="s">
        <v>4487</v>
      </c>
      <c r="B3808" s="90"/>
      <c r="C3808" s="88" t="s">
        <v>4534</v>
      </c>
      <c r="D3808" s="90"/>
      <c r="E3808" s="88" t="s">
        <v>4535</v>
      </c>
      <c r="F3808" s="89"/>
      <c r="G3808" s="89"/>
      <c r="H3808" s="89"/>
      <c r="I3808" s="90"/>
      <c r="J3808" s="88" t="s">
        <v>13</v>
      </c>
      <c r="K3808" s="89"/>
      <c r="L3808" s="89"/>
      <c r="M3808" s="90"/>
      <c r="N3808" s="88" t="s">
        <v>26</v>
      </c>
      <c r="O3808" s="89"/>
      <c r="P3808" s="90"/>
      <c r="Q3808" s="133">
        <v>1500</v>
      </c>
      <c r="R3808" s="134"/>
      <c r="S3808" s="5" t="s">
        <v>16</v>
      </c>
      <c r="T3808" s="6"/>
      <c r="U3808" s="6"/>
      <c r="V3808" s="5" t="s">
        <v>106</v>
      </c>
      <c r="W3808" s="12">
        <v>1807616</v>
      </c>
      <c r="X3808" s="6"/>
      <c r="Y3808" s="6"/>
    </row>
    <row r="3809" spans="1:25" ht="15" customHeight="1" x14ac:dyDescent="0.2">
      <c r="A3809" s="88" t="s">
        <v>4487</v>
      </c>
      <c r="B3809" s="90"/>
      <c r="C3809" s="88" t="s">
        <v>4536</v>
      </c>
      <c r="D3809" s="90"/>
      <c r="E3809" s="88" t="s">
        <v>4537</v>
      </c>
      <c r="F3809" s="89"/>
      <c r="G3809" s="89"/>
      <c r="H3809" s="89"/>
      <c r="I3809" s="90"/>
      <c r="J3809" s="88" t="s">
        <v>13</v>
      </c>
      <c r="K3809" s="89"/>
      <c r="L3809" s="89"/>
      <c r="M3809" s="90"/>
      <c r="N3809" s="88" t="s">
        <v>26</v>
      </c>
      <c r="O3809" s="89"/>
      <c r="P3809" s="90"/>
      <c r="Q3809" s="133">
        <v>1200</v>
      </c>
      <c r="R3809" s="134"/>
      <c r="S3809" s="5" t="s">
        <v>27</v>
      </c>
      <c r="T3809" s="6"/>
      <c r="U3809" s="6"/>
      <c r="V3809" s="5" t="s">
        <v>23</v>
      </c>
      <c r="W3809" s="12">
        <v>1646629</v>
      </c>
      <c r="X3809" s="6"/>
      <c r="Y3809" s="6"/>
    </row>
    <row r="3810" spans="1:25" ht="15" customHeight="1" x14ac:dyDescent="0.2">
      <c r="A3810" s="88" t="s">
        <v>4487</v>
      </c>
      <c r="B3810" s="90"/>
      <c r="C3810" s="88" t="s">
        <v>4538</v>
      </c>
      <c r="D3810" s="90"/>
      <c r="E3810" s="88" t="s">
        <v>4539</v>
      </c>
      <c r="F3810" s="89"/>
      <c r="G3810" s="89"/>
      <c r="H3810" s="89"/>
      <c r="I3810" s="90"/>
      <c r="J3810" s="88" t="s">
        <v>13</v>
      </c>
      <c r="K3810" s="89"/>
      <c r="L3810" s="89"/>
      <c r="M3810" s="90"/>
      <c r="N3810" s="88" t="s">
        <v>26</v>
      </c>
      <c r="O3810" s="89"/>
      <c r="P3810" s="90"/>
      <c r="Q3810" s="133">
        <v>1200</v>
      </c>
      <c r="R3810" s="134"/>
      <c r="S3810" s="5" t="s">
        <v>27</v>
      </c>
      <c r="T3810" s="6"/>
      <c r="U3810" s="6"/>
      <c r="V3810" s="5" t="s">
        <v>23</v>
      </c>
      <c r="W3810" s="12">
        <v>1712997</v>
      </c>
      <c r="X3810" s="6"/>
      <c r="Y3810" s="6"/>
    </row>
    <row r="3811" spans="1:25" ht="15" customHeight="1" x14ac:dyDescent="0.2">
      <c r="A3811" s="88" t="s">
        <v>4487</v>
      </c>
      <c r="B3811" s="90"/>
      <c r="C3811" s="88" t="s">
        <v>4540</v>
      </c>
      <c r="D3811" s="90"/>
      <c r="E3811" s="88" t="s">
        <v>4541</v>
      </c>
      <c r="F3811" s="89"/>
      <c r="G3811" s="89"/>
      <c r="H3811" s="89"/>
      <c r="I3811" s="90"/>
      <c r="J3811" s="88" t="s">
        <v>13</v>
      </c>
      <c r="K3811" s="89"/>
      <c r="L3811" s="89"/>
      <c r="M3811" s="90"/>
      <c r="N3811" s="88" t="s">
        <v>26</v>
      </c>
      <c r="O3811" s="89"/>
      <c r="P3811" s="90"/>
      <c r="Q3811" s="133">
        <v>1200</v>
      </c>
      <c r="R3811" s="134"/>
      <c r="S3811" s="5" t="s">
        <v>27</v>
      </c>
      <c r="T3811" s="6"/>
      <c r="U3811" s="6"/>
      <c r="V3811" s="5" t="s">
        <v>23</v>
      </c>
      <c r="W3811" s="12">
        <v>4008797</v>
      </c>
      <c r="X3811" s="6"/>
      <c r="Y3811" s="6"/>
    </row>
    <row r="3812" spans="1:25" ht="15" customHeight="1" x14ac:dyDescent="0.2">
      <c r="A3812" s="88" t="s">
        <v>4487</v>
      </c>
      <c r="B3812" s="90"/>
      <c r="C3812" s="88" t="s">
        <v>4488</v>
      </c>
      <c r="D3812" s="90"/>
      <c r="E3812" s="88" t="s">
        <v>4542</v>
      </c>
      <c r="F3812" s="89"/>
      <c r="G3812" s="89"/>
      <c r="H3812" s="89"/>
      <c r="I3812" s="90"/>
      <c r="J3812" s="88" t="s">
        <v>13</v>
      </c>
      <c r="K3812" s="89"/>
      <c r="L3812" s="89"/>
      <c r="M3812" s="90"/>
      <c r="N3812" s="88" t="s">
        <v>26</v>
      </c>
      <c r="O3812" s="89"/>
      <c r="P3812" s="90"/>
      <c r="Q3812" s="133">
        <v>1200</v>
      </c>
      <c r="R3812" s="134"/>
      <c r="S3812" s="5" t="s">
        <v>16</v>
      </c>
      <c r="T3812" s="6"/>
      <c r="U3812" s="6"/>
      <c r="V3812" s="5" t="s">
        <v>23</v>
      </c>
      <c r="W3812" s="12">
        <v>3035138</v>
      </c>
      <c r="X3812" s="6"/>
      <c r="Y3812" s="6"/>
    </row>
    <row r="3813" spans="1:25" ht="15" customHeight="1" x14ac:dyDescent="0.2">
      <c r="A3813" s="88" t="s">
        <v>4487</v>
      </c>
      <c r="B3813" s="90"/>
      <c r="C3813" s="88" t="s">
        <v>4543</v>
      </c>
      <c r="D3813" s="90"/>
      <c r="E3813" s="88" t="s">
        <v>4544</v>
      </c>
      <c r="F3813" s="89"/>
      <c r="G3813" s="89"/>
      <c r="H3813" s="89"/>
      <c r="I3813" s="90"/>
      <c r="J3813" s="88" t="s">
        <v>13</v>
      </c>
      <c r="K3813" s="89"/>
      <c r="L3813" s="89"/>
      <c r="M3813" s="90"/>
      <c r="N3813" s="88" t="s">
        <v>26</v>
      </c>
      <c r="O3813" s="89"/>
      <c r="P3813" s="90"/>
      <c r="Q3813" s="133">
        <v>1200</v>
      </c>
      <c r="R3813" s="134"/>
      <c r="S3813" s="5" t="s">
        <v>16</v>
      </c>
      <c r="T3813" s="6"/>
      <c r="U3813" s="6"/>
      <c r="V3813" s="5" t="s">
        <v>23</v>
      </c>
      <c r="W3813" s="12">
        <v>2343399</v>
      </c>
      <c r="X3813" s="6"/>
      <c r="Y3813" s="6"/>
    </row>
    <row r="3814" spans="1:25" ht="15" customHeight="1" x14ac:dyDescent="0.2">
      <c r="A3814" s="88" t="s">
        <v>4487</v>
      </c>
      <c r="B3814" s="90"/>
      <c r="C3814" s="88" t="s">
        <v>4545</v>
      </c>
      <c r="D3814" s="90"/>
      <c r="E3814" s="88" t="s">
        <v>4546</v>
      </c>
      <c r="F3814" s="89"/>
      <c r="G3814" s="89"/>
      <c r="H3814" s="89"/>
      <c r="I3814" s="90"/>
      <c r="J3814" s="88" t="s">
        <v>13</v>
      </c>
      <c r="K3814" s="89"/>
      <c r="L3814" s="89"/>
      <c r="M3814" s="90"/>
      <c r="N3814" s="88" t="s">
        <v>26</v>
      </c>
      <c r="O3814" s="89"/>
      <c r="P3814" s="90"/>
      <c r="Q3814" s="133">
        <v>1200</v>
      </c>
      <c r="R3814" s="134"/>
      <c r="S3814" s="5" t="s">
        <v>16</v>
      </c>
      <c r="T3814" s="6"/>
      <c r="U3814" s="6"/>
      <c r="V3814" s="5" t="s">
        <v>23</v>
      </c>
      <c r="W3814" s="12">
        <v>3780475</v>
      </c>
      <c r="X3814" s="6"/>
      <c r="Y3814" s="6"/>
    </row>
    <row r="3815" spans="1:25" ht="15" customHeight="1" x14ac:dyDescent="0.2">
      <c r="A3815" s="88" t="s">
        <v>4487</v>
      </c>
      <c r="B3815" s="90"/>
      <c r="C3815" s="88" t="s">
        <v>4547</v>
      </c>
      <c r="D3815" s="90"/>
      <c r="E3815" s="88" t="s">
        <v>4548</v>
      </c>
      <c r="F3815" s="89"/>
      <c r="G3815" s="89"/>
      <c r="H3815" s="89"/>
      <c r="I3815" s="90"/>
      <c r="J3815" s="88" t="s">
        <v>13</v>
      </c>
      <c r="K3815" s="89"/>
      <c r="L3815" s="89"/>
      <c r="M3815" s="90"/>
      <c r="N3815" s="88" t="s">
        <v>26</v>
      </c>
      <c r="O3815" s="89"/>
      <c r="P3815" s="90"/>
      <c r="Q3815" s="133">
        <v>1600</v>
      </c>
      <c r="R3815" s="134"/>
      <c r="S3815" s="5" t="s">
        <v>16</v>
      </c>
      <c r="T3815" s="6"/>
      <c r="U3815" s="6"/>
      <c r="V3815" s="5" t="s">
        <v>106</v>
      </c>
      <c r="W3815" s="12">
        <v>1959068</v>
      </c>
      <c r="X3815" s="6"/>
      <c r="Y3815" s="6"/>
    </row>
    <row r="3816" spans="1:25" ht="15" customHeight="1" x14ac:dyDescent="0.2">
      <c r="A3816" s="88" t="s">
        <v>4487</v>
      </c>
      <c r="B3816" s="90"/>
      <c r="C3816" s="88" t="s">
        <v>4549</v>
      </c>
      <c r="D3816" s="90"/>
      <c r="E3816" s="88" t="s">
        <v>4550</v>
      </c>
      <c r="F3816" s="89"/>
      <c r="G3816" s="89"/>
      <c r="H3816" s="89"/>
      <c r="I3816" s="90"/>
      <c r="J3816" s="88" t="s">
        <v>13</v>
      </c>
      <c r="K3816" s="89"/>
      <c r="L3816" s="89"/>
      <c r="M3816" s="90"/>
      <c r="N3816" s="88" t="s">
        <v>26</v>
      </c>
      <c r="O3816" s="89"/>
      <c r="P3816" s="90"/>
      <c r="Q3816" s="133">
        <v>1500</v>
      </c>
      <c r="R3816" s="134"/>
      <c r="S3816" s="5" t="s">
        <v>16</v>
      </c>
      <c r="T3816" s="6"/>
      <c r="U3816" s="6"/>
      <c r="V3816" s="5" t="s">
        <v>106</v>
      </c>
      <c r="W3816" s="12">
        <v>2249361</v>
      </c>
      <c r="X3816" s="6"/>
      <c r="Y3816" s="6"/>
    </row>
    <row r="3817" spans="1:25" ht="15" customHeight="1" x14ac:dyDescent="0.2">
      <c r="A3817" s="88" t="s">
        <v>4487</v>
      </c>
      <c r="B3817" s="90"/>
      <c r="C3817" s="88" t="s">
        <v>4551</v>
      </c>
      <c r="D3817" s="90"/>
      <c r="E3817" s="88" t="s">
        <v>4552</v>
      </c>
      <c r="F3817" s="89"/>
      <c r="G3817" s="89"/>
      <c r="H3817" s="89"/>
      <c r="I3817" s="90"/>
      <c r="J3817" s="88" t="s">
        <v>13</v>
      </c>
      <c r="K3817" s="89"/>
      <c r="L3817" s="89"/>
      <c r="M3817" s="90"/>
      <c r="N3817" s="88" t="s">
        <v>26</v>
      </c>
      <c r="O3817" s="89"/>
      <c r="P3817" s="90"/>
      <c r="Q3817" s="133">
        <v>1600</v>
      </c>
      <c r="R3817" s="134"/>
      <c r="S3817" s="5" t="s">
        <v>16</v>
      </c>
      <c r="T3817" s="6"/>
      <c r="U3817" s="6"/>
      <c r="V3817" s="5" t="s">
        <v>23</v>
      </c>
      <c r="W3817" s="12">
        <v>2278227</v>
      </c>
      <c r="X3817" s="6"/>
      <c r="Y3817" s="6"/>
    </row>
    <row r="3818" spans="1:25" ht="15" customHeight="1" x14ac:dyDescent="0.2">
      <c r="A3818" s="88" t="s">
        <v>4487</v>
      </c>
      <c r="B3818" s="90"/>
      <c r="C3818" s="88" t="s">
        <v>4508</v>
      </c>
      <c r="D3818" s="90"/>
      <c r="E3818" s="88" t="s">
        <v>4553</v>
      </c>
      <c r="F3818" s="89"/>
      <c r="G3818" s="89"/>
      <c r="H3818" s="89"/>
      <c r="I3818" s="90"/>
      <c r="J3818" s="88" t="s">
        <v>13</v>
      </c>
      <c r="K3818" s="89"/>
      <c r="L3818" s="89"/>
      <c r="M3818" s="90"/>
      <c r="N3818" s="88" t="s">
        <v>26</v>
      </c>
      <c r="O3818" s="89"/>
      <c r="P3818" s="90"/>
      <c r="Q3818" s="88" t="s">
        <v>181</v>
      </c>
      <c r="R3818" s="90"/>
      <c r="S3818" s="5" t="s">
        <v>16</v>
      </c>
      <c r="T3818" s="6"/>
      <c r="U3818" s="6"/>
      <c r="V3818" s="5" t="s">
        <v>17</v>
      </c>
      <c r="W3818" s="12">
        <v>4061040</v>
      </c>
      <c r="X3818" s="6"/>
      <c r="Y3818" s="6"/>
    </row>
    <row r="3819" spans="1:25" ht="15" customHeight="1" x14ac:dyDescent="0.2">
      <c r="A3819" s="88" t="s">
        <v>4487</v>
      </c>
      <c r="B3819" s="90"/>
      <c r="C3819" s="88" t="s">
        <v>4554</v>
      </c>
      <c r="D3819" s="90"/>
      <c r="E3819" s="88" t="s">
        <v>4555</v>
      </c>
      <c r="F3819" s="89"/>
      <c r="G3819" s="89"/>
      <c r="H3819" s="89"/>
      <c r="I3819" s="90"/>
      <c r="J3819" s="88" t="s">
        <v>13</v>
      </c>
      <c r="K3819" s="89"/>
      <c r="L3819" s="89"/>
      <c r="M3819" s="90"/>
      <c r="N3819" s="88" t="s">
        <v>26</v>
      </c>
      <c r="O3819" s="89"/>
      <c r="P3819" s="90"/>
      <c r="Q3819" s="133">
        <v>1500</v>
      </c>
      <c r="R3819" s="134"/>
      <c r="S3819" s="5" t="s">
        <v>27</v>
      </c>
      <c r="T3819" s="6"/>
      <c r="U3819" s="6"/>
      <c r="V3819" s="5" t="s">
        <v>106</v>
      </c>
      <c r="W3819" s="12">
        <v>3639418</v>
      </c>
      <c r="X3819" s="6"/>
      <c r="Y3819" s="6"/>
    </row>
    <row r="3820" spans="1:25" ht="15" customHeight="1" x14ac:dyDescent="0.2">
      <c r="A3820" s="88" t="s">
        <v>4487</v>
      </c>
      <c r="B3820" s="90"/>
      <c r="C3820" s="88" t="s">
        <v>4556</v>
      </c>
      <c r="D3820" s="90"/>
      <c r="E3820" s="88" t="s">
        <v>4557</v>
      </c>
      <c r="F3820" s="89"/>
      <c r="G3820" s="89"/>
      <c r="H3820" s="89"/>
      <c r="I3820" s="90"/>
      <c r="J3820" s="88" t="s">
        <v>13</v>
      </c>
      <c r="K3820" s="89"/>
      <c r="L3820" s="89"/>
      <c r="M3820" s="90"/>
      <c r="N3820" s="88" t="s">
        <v>26</v>
      </c>
      <c r="O3820" s="89"/>
      <c r="P3820" s="90"/>
      <c r="Q3820" s="133">
        <v>1500</v>
      </c>
      <c r="R3820" s="134"/>
      <c r="S3820" s="5" t="s">
        <v>16</v>
      </c>
      <c r="T3820" s="6"/>
      <c r="U3820" s="6"/>
      <c r="V3820" s="5" t="s">
        <v>106</v>
      </c>
      <c r="W3820" s="12">
        <v>2759797</v>
      </c>
      <c r="X3820" s="6"/>
      <c r="Y3820" s="6"/>
    </row>
    <row r="3821" spans="1:25" ht="15" customHeight="1" x14ac:dyDescent="0.2">
      <c r="A3821" s="88" t="s">
        <v>4487</v>
      </c>
      <c r="B3821" s="90"/>
      <c r="C3821" s="88" t="s">
        <v>4558</v>
      </c>
      <c r="D3821" s="90"/>
      <c r="E3821" s="88" t="s">
        <v>4559</v>
      </c>
      <c r="F3821" s="89"/>
      <c r="G3821" s="89"/>
      <c r="H3821" s="89"/>
      <c r="I3821" s="90"/>
      <c r="J3821" s="88" t="s">
        <v>13</v>
      </c>
      <c r="K3821" s="89"/>
      <c r="L3821" s="89"/>
      <c r="M3821" s="90"/>
      <c r="N3821" s="88" t="s">
        <v>26</v>
      </c>
      <c r="O3821" s="89"/>
      <c r="P3821" s="90"/>
      <c r="Q3821" s="133">
        <v>1500</v>
      </c>
      <c r="R3821" s="134"/>
      <c r="S3821" s="5" t="s">
        <v>16</v>
      </c>
      <c r="T3821" s="6"/>
      <c r="U3821" s="6"/>
      <c r="V3821" s="5" t="s">
        <v>106</v>
      </c>
      <c r="W3821" s="12">
        <v>2559531</v>
      </c>
      <c r="X3821" s="6"/>
      <c r="Y3821" s="6"/>
    </row>
    <row r="3822" spans="1:25" ht="15" customHeight="1" x14ac:dyDescent="0.2">
      <c r="A3822" s="88" t="s">
        <v>4487</v>
      </c>
      <c r="B3822" s="90"/>
      <c r="C3822" s="88" t="s">
        <v>4560</v>
      </c>
      <c r="D3822" s="90"/>
      <c r="E3822" s="88" t="s">
        <v>4561</v>
      </c>
      <c r="F3822" s="89"/>
      <c r="G3822" s="89"/>
      <c r="H3822" s="89"/>
      <c r="I3822" s="90"/>
      <c r="J3822" s="88" t="s">
        <v>13</v>
      </c>
      <c r="K3822" s="89"/>
      <c r="L3822" s="89"/>
      <c r="M3822" s="90"/>
      <c r="N3822" s="88" t="s">
        <v>26</v>
      </c>
      <c r="O3822" s="89"/>
      <c r="P3822" s="90"/>
      <c r="Q3822" s="133">
        <v>1600</v>
      </c>
      <c r="R3822" s="134"/>
      <c r="S3822" s="5" t="s">
        <v>16</v>
      </c>
      <c r="T3822" s="6"/>
      <c r="U3822" s="6"/>
      <c r="V3822" s="5" t="s">
        <v>23</v>
      </c>
      <c r="W3822" s="12">
        <v>3246679</v>
      </c>
      <c r="X3822" s="6"/>
      <c r="Y3822" s="6"/>
    </row>
    <row r="3823" spans="1:25" ht="15" customHeight="1" x14ac:dyDescent="0.2">
      <c r="A3823" s="88" t="s">
        <v>4487</v>
      </c>
      <c r="B3823" s="90"/>
      <c r="C3823" s="88" t="s">
        <v>4562</v>
      </c>
      <c r="D3823" s="90"/>
      <c r="E3823" s="88" t="s">
        <v>4563</v>
      </c>
      <c r="F3823" s="89"/>
      <c r="G3823" s="89"/>
      <c r="H3823" s="89"/>
      <c r="I3823" s="90"/>
      <c r="J3823" s="88" t="s">
        <v>13</v>
      </c>
      <c r="K3823" s="89"/>
      <c r="L3823" s="89"/>
      <c r="M3823" s="90"/>
      <c r="N3823" s="88" t="s">
        <v>26</v>
      </c>
      <c r="O3823" s="89"/>
      <c r="P3823" s="90"/>
      <c r="Q3823" s="88" t="s">
        <v>181</v>
      </c>
      <c r="R3823" s="90"/>
      <c r="S3823" s="5" t="s">
        <v>16</v>
      </c>
      <c r="T3823" s="6"/>
      <c r="U3823" s="6"/>
      <c r="V3823" s="5" t="s">
        <v>17</v>
      </c>
      <c r="W3823" s="12">
        <v>3256811</v>
      </c>
      <c r="X3823" s="6"/>
      <c r="Y3823" s="6"/>
    </row>
    <row r="3824" spans="1:25" ht="15" customHeight="1" x14ac:dyDescent="0.2">
      <c r="A3824" s="88" t="s">
        <v>4487</v>
      </c>
      <c r="B3824" s="90"/>
      <c r="C3824" s="88" t="s">
        <v>4564</v>
      </c>
      <c r="D3824" s="90"/>
      <c r="E3824" s="88" t="s">
        <v>4565</v>
      </c>
      <c r="F3824" s="89"/>
      <c r="G3824" s="89"/>
      <c r="H3824" s="89"/>
      <c r="I3824" s="90"/>
      <c r="J3824" s="88" t="s">
        <v>13</v>
      </c>
      <c r="K3824" s="89"/>
      <c r="L3824" s="89"/>
      <c r="M3824" s="90"/>
      <c r="N3824" s="88" t="s">
        <v>26</v>
      </c>
      <c r="O3824" s="89"/>
      <c r="P3824" s="90"/>
      <c r="Q3824" s="133">
        <v>1200</v>
      </c>
      <c r="R3824" s="134"/>
      <c r="S3824" s="5" t="s">
        <v>27</v>
      </c>
      <c r="T3824" s="6"/>
      <c r="U3824" s="6"/>
      <c r="V3824" s="5" t="s">
        <v>23</v>
      </c>
      <c r="W3824" s="12">
        <v>3270039</v>
      </c>
      <c r="X3824" s="6"/>
      <c r="Y3824" s="6"/>
    </row>
    <row r="3825" spans="1:25" ht="15" customHeight="1" x14ac:dyDescent="0.2">
      <c r="A3825" s="88" t="s">
        <v>4487</v>
      </c>
      <c r="B3825" s="90"/>
      <c r="C3825" s="88" t="s">
        <v>4566</v>
      </c>
      <c r="D3825" s="90"/>
      <c r="E3825" s="88" t="s">
        <v>4544</v>
      </c>
      <c r="F3825" s="89"/>
      <c r="G3825" s="89"/>
      <c r="H3825" s="89"/>
      <c r="I3825" s="90"/>
      <c r="J3825" s="88" t="s">
        <v>13</v>
      </c>
      <c r="K3825" s="89"/>
      <c r="L3825" s="89"/>
      <c r="M3825" s="90"/>
      <c r="N3825" s="88" t="s">
        <v>26</v>
      </c>
      <c r="O3825" s="89"/>
      <c r="P3825" s="90"/>
      <c r="Q3825" s="133">
        <v>1200</v>
      </c>
      <c r="R3825" s="134"/>
      <c r="S3825" s="5" t="s">
        <v>16</v>
      </c>
      <c r="T3825" s="6"/>
      <c r="U3825" s="6"/>
      <c r="V3825" s="5" t="s">
        <v>23</v>
      </c>
      <c r="W3825" s="12">
        <v>2959869</v>
      </c>
      <c r="X3825" s="6"/>
      <c r="Y3825" s="6"/>
    </row>
    <row r="3826" spans="1:25" ht="15" customHeight="1" x14ac:dyDescent="0.2">
      <c r="A3826" s="88" t="s">
        <v>4487</v>
      </c>
      <c r="B3826" s="90"/>
      <c r="C3826" s="88" t="s">
        <v>4567</v>
      </c>
      <c r="D3826" s="90"/>
      <c r="E3826" s="88" t="s">
        <v>4568</v>
      </c>
      <c r="F3826" s="89"/>
      <c r="G3826" s="89"/>
      <c r="H3826" s="89"/>
      <c r="I3826" s="90"/>
      <c r="J3826" s="88" t="s">
        <v>13</v>
      </c>
      <c r="K3826" s="89"/>
      <c r="L3826" s="89"/>
      <c r="M3826" s="90"/>
      <c r="N3826" s="88" t="s">
        <v>26</v>
      </c>
      <c r="O3826" s="89"/>
      <c r="P3826" s="90"/>
      <c r="Q3826" s="133">
        <v>1200</v>
      </c>
      <c r="R3826" s="134"/>
      <c r="S3826" s="5" t="s">
        <v>27</v>
      </c>
      <c r="T3826" s="6"/>
      <c r="U3826" s="6"/>
      <c r="V3826" s="5" t="s">
        <v>23</v>
      </c>
      <c r="W3826" s="12">
        <v>5271148</v>
      </c>
      <c r="X3826" s="6"/>
      <c r="Y3826" s="6"/>
    </row>
    <row r="3827" spans="1:25" ht="15" customHeight="1" x14ac:dyDescent="0.2">
      <c r="A3827" s="88" t="s">
        <v>4487</v>
      </c>
      <c r="B3827" s="90"/>
      <c r="C3827" s="88" t="s">
        <v>4499</v>
      </c>
      <c r="D3827" s="90"/>
      <c r="E3827" s="88" t="s">
        <v>4569</v>
      </c>
      <c r="F3827" s="89"/>
      <c r="G3827" s="89"/>
      <c r="H3827" s="89"/>
      <c r="I3827" s="90"/>
      <c r="J3827" s="88" t="s">
        <v>13</v>
      </c>
      <c r="K3827" s="89"/>
      <c r="L3827" s="89"/>
      <c r="M3827" s="90"/>
      <c r="N3827" s="88" t="s">
        <v>26</v>
      </c>
      <c r="O3827" s="89"/>
      <c r="P3827" s="90"/>
      <c r="Q3827" s="133">
        <v>1600</v>
      </c>
      <c r="R3827" s="134"/>
      <c r="S3827" s="5" t="s">
        <v>16</v>
      </c>
      <c r="T3827" s="6"/>
      <c r="U3827" s="6"/>
      <c r="V3827" s="5" t="s">
        <v>176</v>
      </c>
      <c r="W3827" s="12">
        <v>6731883</v>
      </c>
      <c r="X3827" s="6"/>
      <c r="Y3827" s="6"/>
    </row>
    <row r="3828" spans="1:25" ht="15" customHeight="1" x14ac:dyDescent="0.2">
      <c r="A3828" s="88" t="s">
        <v>4487</v>
      </c>
      <c r="B3828" s="90"/>
      <c r="C3828" s="133">
        <v>308</v>
      </c>
      <c r="D3828" s="134"/>
      <c r="E3828" s="88" t="s">
        <v>4570</v>
      </c>
      <c r="F3828" s="89"/>
      <c r="G3828" s="89"/>
      <c r="H3828" s="89"/>
      <c r="I3828" s="90"/>
      <c r="J3828" s="88" t="s">
        <v>13</v>
      </c>
      <c r="K3828" s="89"/>
      <c r="L3828" s="89"/>
      <c r="M3828" s="90"/>
      <c r="N3828" s="88" t="s">
        <v>26</v>
      </c>
      <c r="O3828" s="89"/>
      <c r="P3828" s="90"/>
      <c r="Q3828" s="133">
        <v>1600</v>
      </c>
      <c r="R3828" s="134"/>
      <c r="S3828" s="5" t="s">
        <v>16</v>
      </c>
      <c r="T3828" s="6"/>
      <c r="U3828" s="6"/>
      <c r="V3828" s="5" t="s">
        <v>176</v>
      </c>
      <c r="W3828" s="12">
        <v>6731883</v>
      </c>
      <c r="X3828" s="6"/>
      <c r="Y3828" s="6"/>
    </row>
    <row r="3829" spans="1:25" ht="15" customHeight="1" x14ac:dyDescent="0.2">
      <c r="A3829" s="88" t="s">
        <v>4487</v>
      </c>
      <c r="B3829" s="90"/>
      <c r="C3829" s="88" t="s">
        <v>4571</v>
      </c>
      <c r="D3829" s="90"/>
      <c r="E3829" s="88" t="s">
        <v>4572</v>
      </c>
      <c r="F3829" s="89"/>
      <c r="G3829" s="89"/>
      <c r="H3829" s="89"/>
      <c r="I3829" s="90"/>
      <c r="J3829" s="88" t="s">
        <v>13</v>
      </c>
      <c r="K3829" s="89"/>
      <c r="L3829" s="89"/>
      <c r="M3829" s="90"/>
      <c r="N3829" s="88" t="s">
        <v>26</v>
      </c>
      <c r="O3829" s="89"/>
      <c r="P3829" s="90"/>
      <c r="Q3829" s="133">
        <v>1200</v>
      </c>
      <c r="R3829" s="134"/>
      <c r="S3829" s="5" t="s">
        <v>16</v>
      </c>
      <c r="T3829" s="6"/>
      <c r="U3829" s="6"/>
      <c r="V3829" s="5" t="s">
        <v>23</v>
      </c>
      <c r="W3829" s="12">
        <v>5391888</v>
      </c>
      <c r="X3829" s="6"/>
      <c r="Y3829" s="6"/>
    </row>
    <row r="3830" spans="1:25" ht="15" customHeight="1" x14ac:dyDescent="0.2">
      <c r="A3830" s="88" t="s">
        <v>4487</v>
      </c>
      <c r="B3830" s="90"/>
      <c r="C3830" s="88" t="s">
        <v>4573</v>
      </c>
      <c r="D3830" s="90"/>
      <c r="E3830" s="88" t="s">
        <v>4574</v>
      </c>
      <c r="F3830" s="89"/>
      <c r="G3830" s="89"/>
      <c r="H3830" s="89"/>
      <c r="I3830" s="90"/>
      <c r="J3830" s="88" t="s">
        <v>13</v>
      </c>
      <c r="K3830" s="89"/>
      <c r="L3830" s="89"/>
      <c r="M3830" s="90"/>
      <c r="N3830" s="88" t="s">
        <v>26</v>
      </c>
      <c r="O3830" s="89"/>
      <c r="P3830" s="90"/>
      <c r="Q3830" s="133">
        <v>1600</v>
      </c>
      <c r="R3830" s="134"/>
      <c r="S3830" s="5" t="s">
        <v>16</v>
      </c>
      <c r="T3830" s="6"/>
      <c r="U3830" s="6"/>
      <c r="V3830" s="5" t="s">
        <v>23</v>
      </c>
      <c r="W3830" s="12">
        <v>2374903</v>
      </c>
      <c r="X3830" s="6"/>
      <c r="Y3830" s="6"/>
    </row>
    <row r="3831" spans="1:25" ht="15" customHeight="1" x14ac:dyDescent="0.2">
      <c r="A3831" s="88" t="s">
        <v>4487</v>
      </c>
      <c r="B3831" s="90"/>
      <c r="C3831" s="88" t="s">
        <v>4490</v>
      </c>
      <c r="D3831" s="90"/>
      <c r="E3831" s="88" t="s">
        <v>4575</v>
      </c>
      <c r="F3831" s="89"/>
      <c r="G3831" s="89"/>
      <c r="H3831" s="89"/>
      <c r="I3831" s="90"/>
      <c r="J3831" s="88" t="s">
        <v>13</v>
      </c>
      <c r="K3831" s="89"/>
      <c r="L3831" s="89"/>
      <c r="M3831" s="90"/>
      <c r="N3831" s="88" t="s">
        <v>26</v>
      </c>
      <c r="O3831" s="89"/>
      <c r="P3831" s="90"/>
      <c r="Q3831" s="133">
        <v>1200</v>
      </c>
      <c r="R3831" s="134"/>
      <c r="S3831" s="5" t="s">
        <v>27</v>
      </c>
      <c r="T3831" s="6"/>
      <c r="U3831" s="6"/>
      <c r="V3831" s="5" t="s">
        <v>23</v>
      </c>
      <c r="W3831" s="12">
        <v>5441616</v>
      </c>
      <c r="X3831" s="6"/>
      <c r="Y3831" s="6"/>
    </row>
    <row r="3832" spans="1:25" ht="15" customHeight="1" x14ac:dyDescent="0.2">
      <c r="A3832" s="88" t="s">
        <v>4487</v>
      </c>
      <c r="B3832" s="90"/>
      <c r="C3832" s="88" t="s">
        <v>4506</v>
      </c>
      <c r="D3832" s="90"/>
      <c r="E3832" s="88" t="s">
        <v>4576</v>
      </c>
      <c r="F3832" s="89"/>
      <c r="G3832" s="89"/>
      <c r="H3832" s="89"/>
      <c r="I3832" s="90"/>
      <c r="J3832" s="88" t="s">
        <v>13</v>
      </c>
      <c r="K3832" s="89"/>
      <c r="L3832" s="89"/>
      <c r="M3832" s="90"/>
      <c r="N3832" s="88" t="s">
        <v>26</v>
      </c>
      <c r="O3832" s="89"/>
      <c r="P3832" s="90"/>
      <c r="Q3832" s="88" t="s">
        <v>181</v>
      </c>
      <c r="R3832" s="90"/>
      <c r="S3832" s="5" t="s">
        <v>16</v>
      </c>
      <c r="T3832" s="6"/>
      <c r="U3832" s="6"/>
      <c r="V3832" s="5" t="s">
        <v>17</v>
      </c>
      <c r="W3832" s="12">
        <v>3406258</v>
      </c>
      <c r="X3832" s="6"/>
      <c r="Y3832" s="6"/>
    </row>
    <row r="3833" spans="1:25" ht="15" customHeight="1" x14ac:dyDescent="0.2">
      <c r="A3833" s="88" t="s">
        <v>4487</v>
      </c>
      <c r="B3833" s="90"/>
      <c r="C3833" s="88" t="s">
        <v>4577</v>
      </c>
      <c r="D3833" s="90"/>
      <c r="E3833" s="88" t="s">
        <v>4578</v>
      </c>
      <c r="F3833" s="89"/>
      <c r="G3833" s="89"/>
      <c r="H3833" s="89"/>
      <c r="I3833" s="90"/>
      <c r="J3833" s="88" t="s">
        <v>13</v>
      </c>
      <c r="K3833" s="89"/>
      <c r="L3833" s="89"/>
      <c r="M3833" s="90"/>
      <c r="N3833" s="88" t="s">
        <v>26</v>
      </c>
      <c r="O3833" s="89"/>
      <c r="P3833" s="90"/>
      <c r="Q3833" s="133">
        <v>1600</v>
      </c>
      <c r="R3833" s="134"/>
      <c r="S3833" s="5" t="s">
        <v>16</v>
      </c>
      <c r="T3833" s="6"/>
      <c r="U3833" s="6"/>
      <c r="V3833" s="5" t="s">
        <v>176</v>
      </c>
      <c r="W3833" s="12">
        <v>6849034</v>
      </c>
      <c r="X3833" s="6"/>
      <c r="Y3833" s="6"/>
    </row>
    <row r="3834" spans="1:25" ht="15" customHeight="1" x14ac:dyDescent="0.2">
      <c r="A3834" s="88" t="s">
        <v>4487</v>
      </c>
      <c r="B3834" s="90"/>
      <c r="C3834" s="88" t="s">
        <v>4579</v>
      </c>
      <c r="D3834" s="90"/>
      <c r="E3834" s="88" t="s">
        <v>4580</v>
      </c>
      <c r="F3834" s="89"/>
      <c r="G3834" s="89"/>
      <c r="H3834" s="89"/>
      <c r="I3834" s="90"/>
      <c r="J3834" s="88" t="s">
        <v>13</v>
      </c>
      <c r="K3834" s="89"/>
      <c r="L3834" s="89"/>
      <c r="M3834" s="90"/>
      <c r="N3834" s="88" t="s">
        <v>26</v>
      </c>
      <c r="O3834" s="89"/>
      <c r="P3834" s="90"/>
      <c r="Q3834" s="133">
        <v>1600</v>
      </c>
      <c r="R3834" s="134"/>
      <c r="S3834" s="5" t="s">
        <v>27</v>
      </c>
      <c r="T3834" s="6"/>
      <c r="U3834" s="6"/>
      <c r="V3834" s="5" t="s">
        <v>23</v>
      </c>
      <c r="W3834" s="12">
        <v>3083934</v>
      </c>
      <c r="X3834" s="6"/>
      <c r="Y3834" s="6"/>
    </row>
    <row r="3835" spans="1:25" ht="15" customHeight="1" x14ac:dyDescent="0.2">
      <c r="A3835" s="88" t="s">
        <v>4487</v>
      </c>
      <c r="B3835" s="90"/>
      <c r="C3835" s="88" t="s">
        <v>4581</v>
      </c>
      <c r="D3835" s="90"/>
      <c r="E3835" s="88" t="s">
        <v>4582</v>
      </c>
      <c r="F3835" s="89"/>
      <c r="G3835" s="89"/>
      <c r="H3835" s="89"/>
      <c r="I3835" s="90"/>
      <c r="J3835" s="88" t="s">
        <v>13</v>
      </c>
      <c r="K3835" s="89"/>
      <c r="L3835" s="89"/>
      <c r="M3835" s="90"/>
      <c r="N3835" s="88" t="s">
        <v>26</v>
      </c>
      <c r="O3835" s="89"/>
      <c r="P3835" s="90"/>
      <c r="Q3835" s="133">
        <v>2000</v>
      </c>
      <c r="R3835" s="134"/>
      <c r="S3835" s="5" t="s">
        <v>16</v>
      </c>
      <c r="T3835" s="6"/>
      <c r="U3835" s="6"/>
      <c r="V3835" s="5" t="s">
        <v>106</v>
      </c>
      <c r="W3835" s="12">
        <v>2406988</v>
      </c>
      <c r="X3835" s="6"/>
      <c r="Y3835" s="6"/>
    </row>
    <row r="3836" spans="1:25" ht="15" customHeight="1" x14ac:dyDescent="0.2">
      <c r="A3836" s="88" t="s">
        <v>4487</v>
      </c>
      <c r="B3836" s="90"/>
      <c r="C3836" s="88" t="s">
        <v>4583</v>
      </c>
      <c r="D3836" s="90"/>
      <c r="E3836" s="88" t="s">
        <v>4584</v>
      </c>
      <c r="F3836" s="89"/>
      <c r="G3836" s="89"/>
      <c r="H3836" s="89"/>
      <c r="I3836" s="90"/>
      <c r="J3836" s="88" t="s">
        <v>13</v>
      </c>
      <c r="K3836" s="89"/>
      <c r="L3836" s="89"/>
      <c r="M3836" s="90"/>
      <c r="N3836" s="88" t="s">
        <v>26</v>
      </c>
      <c r="O3836" s="89"/>
      <c r="P3836" s="90"/>
      <c r="Q3836" s="133">
        <v>1500</v>
      </c>
      <c r="R3836" s="134"/>
      <c r="S3836" s="5" t="s">
        <v>70</v>
      </c>
      <c r="T3836" s="6"/>
      <c r="U3836" s="6"/>
      <c r="V3836" s="5" t="s">
        <v>106</v>
      </c>
      <c r="W3836" s="12">
        <v>3122404</v>
      </c>
      <c r="X3836" s="6"/>
      <c r="Y3836" s="6"/>
    </row>
    <row r="3837" spans="1:25" ht="15" customHeight="1" x14ac:dyDescent="0.2">
      <c r="A3837" s="88" t="s">
        <v>4487</v>
      </c>
      <c r="B3837" s="90"/>
      <c r="C3837" s="88" t="s">
        <v>4585</v>
      </c>
      <c r="D3837" s="90"/>
      <c r="E3837" s="88" t="s">
        <v>4586</v>
      </c>
      <c r="F3837" s="89"/>
      <c r="G3837" s="89"/>
      <c r="H3837" s="89"/>
      <c r="I3837" s="90"/>
      <c r="J3837" s="88" t="s">
        <v>13</v>
      </c>
      <c r="K3837" s="89"/>
      <c r="L3837" s="89"/>
      <c r="M3837" s="90"/>
      <c r="N3837" s="88" t="s">
        <v>26</v>
      </c>
      <c r="O3837" s="89"/>
      <c r="P3837" s="90"/>
      <c r="Q3837" s="133">
        <v>1200</v>
      </c>
      <c r="R3837" s="134"/>
      <c r="S3837" s="5" t="s">
        <v>16</v>
      </c>
      <c r="T3837" s="6"/>
      <c r="U3837" s="6"/>
      <c r="V3837" s="5" t="s">
        <v>23</v>
      </c>
      <c r="W3837" s="12">
        <v>4894997</v>
      </c>
      <c r="X3837" s="6"/>
      <c r="Y3837" s="6"/>
    </row>
    <row r="3838" spans="1:25" ht="15" customHeight="1" x14ac:dyDescent="0.2">
      <c r="A3838" s="88" t="s">
        <v>4487</v>
      </c>
      <c r="B3838" s="90"/>
      <c r="C3838" s="88" t="s">
        <v>4587</v>
      </c>
      <c r="D3838" s="90"/>
      <c r="E3838" s="88" t="s">
        <v>4588</v>
      </c>
      <c r="F3838" s="89"/>
      <c r="G3838" s="89"/>
      <c r="H3838" s="89"/>
      <c r="I3838" s="90"/>
      <c r="J3838" s="88" t="s">
        <v>13</v>
      </c>
      <c r="K3838" s="89"/>
      <c r="L3838" s="89"/>
      <c r="M3838" s="90"/>
      <c r="N3838" s="88" t="s">
        <v>26</v>
      </c>
      <c r="O3838" s="89"/>
      <c r="P3838" s="90"/>
      <c r="Q3838" s="133">
        <v>1500</v>
      </c>
      <c r="R3838" s="134"/>
      <c r="S3838" s="5" t="s">
        <v>27</v>
      </c>
      <c r="T3838" s="6"/>
      <c r="U3838" s="6"/>
      <c r="V3838" s="5" t="s">
        <v>106</v>
      </c>
      <c r="W3838" s="12">
        <v>4230347</v>
      </c>
      <c r="X3838" s="6"/>
      <c r="Y3838" s="6"/>
    </row>
    <row r="3839" spans="1:25" ht="15" customHeight="1" x14ac:dyDescent="0.2">
      <c r="A3839" s="88" t="s">
        <v>4487</v>
      </c>
      <c r="B3839" s="90"/>
      <c r="C3839" s="88" t="s">
        <v>4589</v>
      </c>
      <c r="D3839" s="90"/>
      <c r="E3839" s="88" t="s">
        <v>4590</v>
      </c>
      <c r="F3839" s="89"/>
      <c r="G3839" s="89"/>
      <c r="H3839" s="89"/>
      <c r="I3839" s="90"/>
      <c r="J3839" s="88" t="s">
        <v>13</v>
      </c>
      <c r="K3839" s="89"/>
      <c r="L3839" s="89"/>
      <c r="M3839" s="90"/>
      <c r="N3839" s="88" t="s">
        <v>26</v>
      </c>
      <c r="O3839" s="89"/>
      <c r="P3839" s="90"/>
      <c r="Q3839" s="133">
        <v>1500</v>
      </c>
      <c r="R3839" s="134"/>
      <c r="S3839" s="5" t="s">
        <v>16</v>
      </c>
      <c r="T3839" s="6"/>
      <c r="U3839" s="6"/>
      <c r="V3839" s="5" t="s">
        <v>106</v>
      </c>
      <c r="W3839" s="12">
        <v>4249116</v>
      </c>
      <c r="X3839" s="6"/>
      <c r="Y3839" s="6"/>
    </row>
    <row r="3840" spans="1:25" ht="15" customHeight="1" x14ac:dyDescent="0.2">
      <c r="A3840" s="88" t="s">
        <v>4487</v>
      </c>
      <c r="B3840" s="90"/>
      <c r="C3840" s="88" t="s">
        <v>4591</v>
      </c>
      <c r="D3840" s="90"/>
      <c r="E3840" s="88" t="s">
        <v>4592</v>
      </c>
      <c r="F3840" s="89"/>
      <c r="G3840" s="89"/>
      <c r="H3840" s="89"/>
      <c r="I3840" s="90"/>
      <c r="J3840" s="88" t="s">
        <v>13</v>
      </c>
      <c r="K3840" s="89"/>
      <c r="L3840" s="89"/>
      <c r="M3840" s="90"/>
      <c r="N3840" s="88" t="s">
        <v>26</v>
      </c>
      <c r="O3840" s="89"/>
      <c r="P3840" s="90"/>
      <c r="Q3840" s="133">
        <v>1500</v>
      </c>
      <c r="R3840" s="134"/>
      <c r="S3840" s="5" t="s">
        <v>70</v>
      </c>
      <c r="T3840" s="6"/>
      <c r="U3840" s="6"/>
      <c r="V3840" s="5" t="s">
        <v>106</v>
      </c>
      <c r="W3840" s="12">
        <v>4304262</v>
      </c>
      <c r="X3840" s="6"/>
      <c r="Y3840" s="6"/>
    </row>
    <row r="3841" spans="1:25" ht="15" customHeight="1" x14ac:dyDescent="0.2">
      <c r="A3841" s="88" t="s">
        <v>4487</v>
      </c>
      <c r="B3841" s="90"/>
      <c r="C3841" s="88" t="s">
        <v>4581</v>
      </c>
      <c r="D3841" s="90"/>
      <c r="E3841" s="88" t="s">
        <v>4593</v>
      </c>
      <c r="F3841" s="89"/>
      <c r="G3841" s="89"/>
      <c r="H3841" s="89"/>
      <c r="I3841" s="90"/>
      <c r="J3841" s="88" t="s">
        <v>13</v>
      </c>
      <c r="K3841" s="89"/>
      <c r="L3841" s="89"/>
      <c r="M3841" s="90"/>
      <c r="N3841" s="88" t="s">
        <v>26</v>
      </c>
      <c r="O3841" s="89"/>
      <c r="P3841" s="90"/>
      <c r="Q3841" s="133">
        <v>1500</v>
      </c>
      <c r="R3841" s="134"/>
      <c r="S3841" s="5" t="s">
        <v>16</v>
      </c>
      <c r="T3841" s="6"/>
      <c r="U3841" s="6"/>
      <c r="V3841" s="5" t="s">
        <v>106</v>
      </c>
      <c r="W3841" s="12">
        <v>5751979</v>
      </c>
      <c r="X3841" s="6"/>
      <c r="Y3841" s="6"/>
    </row>
    <row r="3842" spans="1:25" ht="15" customHeight="1" x14ac:dyDescent="0.2">
      <c r="A3842" s="88" t="s">
        <v>4487</v>
      </c>
      <c r="B3842" s="90"/>
      <c r="C3842" s="88" t="s">
        <v>4594</v>
      </c>
      <c r="D3842" s="90"/>
      <c r="E3842" s="88" t="s">
        <v>4595</v>
      </c>
      <c r="F3842" s="89"/>
      <c r="G3842" s="89"/>
      <c r="H3842" s="89"/>
      <c r="I3842" s="90"/>
      <c r="J3842" s="88" t="s">
        <v>13</v>
      </c>
      <c r="K3842" s="89"/>
      <c r="L3842" s="89"/>
      <c r="M3842" s="90"/>
      <c r="N3842" s="88" t="s">
        <v>26</v>
      </c>
      <c r="O3842" s="89"/>
      <c r="P3842" s="90"/>
      <c r="Q3842" s="133">
        <v>2000</v>
      </c>
      <c r="R3842" s="134"/>
      <c r="S3842" s="5" t="s">
        <v>16</v>
      </c>
      <c r="T3842" s="6"/>
      <c r="U3842" s="6"/>
      <c r="V3842" s="5" t="s">
        <v>106</v>
      </c>
      <c r="W3842" s="12">
        <v>2519918</v>
      </c>
      <c r="X3842" s="6"/>
      <c r="Y3842" s="6"/>
    </row>
    <row r="3843" spans="1:25" ht="15" customHeight="1" x14ac:dyDescent="0.2">
      <c r="A3843" s="88" t="s">
        <v>4487</v>
      </c>
      <c r="B3843" s="90"/>
      <c r="C3843" s="88" t="s">
        <v>4596</v>
      </c>
      <c r="D3843" s="90"/>
      <c r="E3843" s="88" t="s">
        <v>4584</v>
      </c>
      <c r="F3843" s="89"/>
      <c r="G3843" s="89"/>
      <c r="H3843" s="89"/>
      <c r="I3843" s="90"/>
      <c r="J3843" s="88" t="s">
        <v>13</v>
      </c>
      <c r="K3843" s="89"/>
      <c r="L3843" s="89"/>
      <c r="M3843" s="90"/>
      <c r="N3843" s="88" t="s">
        <v>26</v>
      </c>
      <c r="O3843" s="89"/>
      <c r="P3843" s="90"/>
      <c r="Q3843" s="133">
        <v>1500</v>
      </c>
      <c r="R3843" s="134"/>
      <c r="S3843" s="5" t="s">
        <v>70</v>
      </c>
      <c r="T3843" s="6"/>
      <c r="U3843" s="6"/>
      <c r="V3843" s="5" t="s">
        <v>106</v>
      </c>
      <c r="W3843" s="12">
        <v>3373558</v>
      </c>
      <c r="X3843" s="6"/>
      <c r="Y3843" s="6"/>
    </row>
    <row r="3844" spans="1:25" ht="15" customHeight="1" x14ac:dyDescent="0.2">
      <c r="A3844" s="88" t="s">
        <v>4487</v>
      </c>
      <c r="B3844" s="90"/>
      <c r="C3844" s="88" t="s">
        <v>4597</v>
      </c>
      <c r="D3844" s="90"/>
      <c r="E3844" s="88" t="s">
        <v>4598</v>
      </c>
      <c r="F3844" s="89"/>
      <c r="G3844" s="89"/>
      <c r="H3844" s="89"/>
      <c r="I3844" s="90"/>
      <c r="J3844" s="88" t="s">
        <v>13</v>
      </c>
      <c r="K3844" s="89"/>
      <c r="L3844" s="89"/>
      <c r="M3844" s="90"/>
      <c r="N3844" s="88" t="s">
        <v>26</v>
      </c>
      <c r="O3844" s="89"/>
      <c r="P3844" s="90"/>
      <c r="Q3844" s="133">
        <v>1600</v>
      </c>
      <c r="R3844" s="134"/>
      <c r="S3844" s="5" t="s">
        <v>27</v>
      </c>
      <c r="T3844" s="6"/>
      <c r="U3844" s="6"/>
      <c r="V3844" s="5" t="s">
        <v>23</v>
      </c>
      <c r="W3844" s="12">
        <v>2632637</v>
      </c>
      <c r="X3844" s="6"/>
      <c r="Y3844" s="6"/>
    </row>
    <row r="3845" spans="1:25" ht="15" customHeight="1" x14ac:dyDescent="0.2">
      <c r="A3845" s="88" t="s">
        <v>4487</v>
      </c>
      <c r="B3845" s="90"/>
      <c r="C3845" s="88" t="s">
        <v>4599</v>
      </c>
      <c r="D3845" s="90"/>
      <c r="E3845" s="88" t="s">
        <v>4600</v>
      </c>
      <c r="F3845" s="89"/>
      <c r="G3845" s="89"/>
      <c r="H3845" s="89"/>
      <c r="I3845" s="90"/>
      <c r="J3845" s="88" t="s">
        <v>13</v>
      </c>
      <c r="K3845" s="89"/>
      <c r="L3845" s="89"/>
      <c r="M3845" s="90"/>
      <c r="N3845" s="88" t="s">
        <v>26</v>
      </c>
      <c r="O3845" s="89"/>
      <c r="P3845" s="90"/>
      <c r="Q3845" s="133">
        <v>1500</v>
      </c>
      <c r="R3845" s="134"/>
      <c r="S3845" s="5" t="s">
        <v>70</v>
      </c>
      <c r="T3845" s="6"/>
      <c r="U3845" s="6"/>
      <c r="V3845" s="5" t="s">
        <v>106</v>
      </c>
      <c r="W3845" s="12">
        <v>3907987</v>
      </c>
      <c r="X3845" s="6"/>
      <c r="Y3845" s="6"/>
    </row>
    <row r="3846" spans="1:25" ht="15" customHeight="1" x14ac:dyDescent="0.2">
      <c r="A3846" s="88" t="s">
        <v>4487</v>
      </c>
      <c r="B3846" s="90"/>
      <c r="C3846" s="88" t="s">
        <v>4601</v>
      </c>
      <c r="D3846" s="90"/>
      <c r="E3846" s="88" t="s">
        <v>4602</v>
      </c>
      <c r="F3846" s="89"/>
      <c r="G3846" s="89"/>
      <c r="H3846" s="89"/>
      <c r="I3846" s="90"/>
      <c r="J3846" s="88" t="s">
        <v>13</v>
      </c>
      <c r="K3846" s="89"/>
      <c r="L3846" s="89"/>
      <c r="M3846" s="90"/>
      <c r="N3846" s="88" t="s">
        <v>26</v>
      </c>
      <c r="O3846" s="89"/>
      <c r="P3846" s="90"/>
      <c r="Q3846" s="88" t="s">
        <v>181</v>
      </c>
      <c r="R3846" s="90"/>
      <c r="S3846" s="5" t="s">
        <v>16</v>
      </c>
      <c r="T3846" s="6"/>
      <c r="U3846" s="6"/>
      <c r="V3846" s="5" t="s">
        <v>17</v>
      </c>
      <c r="W3846" s="12">
        <v>3523410</v>
      </c>
      <c r="X3846" s="6"/>
      <c r="Y3846" s="6"/>
    </row>
    <row r="3847" spans="1:25" ht="15" customHeight="1" x14ac:dyDescent="0.2">
      <c r="A3847" s="88" t="s">
        <v>4487</v>
      </c>
      <c r="B3847" s="90"/>
      <c r="C3847" s="88" t="s">
        <v>4603</v>
      </c>
      <c r="D3847" s="90"/>
      <c r="E3847" s="88" t="s">
        <v>4604</v>
      </c>
      <c r="F3847" s="89"/>
      <c r="G3847" s="89"/>
      <c r="H3847" s="89"/>
      <c r="I3847" s="90"/>
      <c r="J3847" s="88" t="s">
        <v>13</v>
      </c>
      <c r="K3847" s="89"/>
      <c r="L3847" s="89"/>
      <c r="M3847" s="90"/>
      <c r="N3847" s="88" t="s">
        <v>26</v>
      </c>
      <c r="O3847" s="89"/>
      <c r="P3847" s="90"/>
      <c r="Q3847" s="133">
        <v>2000</v>
      </c>
      <c r="R3847" s="134"/>
      <c r="S3847" s="5" t="s">
        <v>16</v>
      </c>
      <c r="T3847" s="6"/>
      <c r="U3847" s="6"/>
      <c r="V3847" s="5" t="s">
        <v>106</v>
      </c>
      <c r="W3847" s="12">
        <v>3157180</v>
      </c>
      <c r="X3847" s="6"/>
      <c r="Y3847" s="6"/>
    </row>
    <row r="3848" spans="1:25" ht="15" customHeight="1" x14ac:dyDescent="0.2">
      <c r="A3848" s="88" t="s">
        <v>4487</v>
      </c>
      <c r="B3848" s="90"/>
      <c r="C3848" s="88" t="s">
        <v>4605</v>
      </c>
      <c r="D3848" s="90"/>
      <c r="E3848" s="88" t="s">
        <v>4606</v>
      </c>
      <c r="F3848" s="89"/>
      <c r="G3848" s="89"/>
      <c r="H3848" s="89"/>
      <c r="I3848" s="90"/>
      <c r="J3848" s="88" t="s">
        <v>13</v>
      </c>
      <c r="K3848" s="89"/>
      <c r="L3848" s="89"/>
      <c r="M3848" s="90"/>
      <c r="N3848" s="88" t="s">
        <v>26</v>
      </c>
      <c r="O3848" s="89"/>
      <c r="P3848" s="90"/>
      <c r="Q3848" s="88" t="s">
        <v>181</v>
      </c>
      <c r="R3848" s="90"/>
      <c r="S3848" s="5" t="s">
        <v>16</v>
      </c>
      <c r="T3848" s="6"/>
      <c r="U3848" s="6"/>
      <c r="V3848" s="5" t="s">
        <v>17</v>
      </c>
      <c r="W3848" s="12">
        <v>4018612</v>
      </c>
      <c r="X3848" s="6"/>
      <c r="Y3848" s="6"/>
    </row>
    <row r="3849" spans="1:25" ht="15" customHeight="1" x14ac:dyDescent="0.2">
      <c r="A3849" s="88" t="s">
        <v>4487</v>
      </c>
      <c r="B3849" s="90"/>
      <c r="C3849" s="88" t="s">
        <v>4607</v>
      </c>
      <c r="D3849" s="90"/>
      <c r="E3849" s="88" t="s">
        <v>4608</v>
      </c>
      <c r="F3849" s="89"/>
      <c r="G3849" s="89"/>
      <c r="H3849" s="89"/>
      <c r="I3849" s="90"/>
      <c r="J3849" s="88" t="s">
        <v>13</v>
      </c>
      <c r="K3849" s="89"/>
      <c r="L3849" s="89"/>
      <c r="M3849" s="90"/>
      <c r="N3849" s="88" t="s">
        <v>26</v>
      </c>
      <c r="O3849" s="89"/>
      <c r="P3849" s="90"/>
      <c r="Q3849" s="133">
        <v>1200</v>
      </c>
      <c r="R3849" s="134"/>
      <c r="S3849" s="5" t="s">
        <v>16</v>
      </c>
      <c r="T3849" s="6"/>
      <c r="U3849" s="6"/>
      <c r="V3849" s="5" t="s">
        <v>23</v>
      </c>
      <c r="W3849" s="12">
        <v>6460939</v>
      </c>
      <c r="X3849" s="6"/>
      <c r="Y3849" s="6"/>
    </row>
    <row r="3850" spans="1:25" ht="15" customHeight="1" x14ac:dyDescent="0.2">
      <c r="A3850" s="88" t="s">
        <v>4487</v>
      </c>
      <c r="B3850" s="90"/>
      <c r="C3850" s="88" t="s">
        <v>4609</v>
      </c>
      <c r="D3850" s="90"/>
      <c r="E3850" s="88" t="s">
        <v>4610</v>
      </c>
      <c r="F3850" s="89"/>
      <c r="G3850" s="89"/>
      <c r="H3850" s="89"/>
      <c r="I3850" s="90"/>
      <c r="J3850" s="88" t="s">
        <v>13</v>
      </c>
      <c r="K3850" s="89"/>
      <c r="L3850" s="89"/>
      <c r="M3850" s="90"/>
      <c r="N3850" s="88" t="s">
        <v>26</v>
      </c>
      <c r="O3850" s="89"/>
      <c r="P3850" s="90"/>
      <c r="Q3850" s="133">
        <v>2000</v>
      </c>
      <c r="R3850" s="134"/>
      <c r="S3850" s="5" t="s">
        <v>27</v>
      </c>
      <c r="T3850" s="6"/>
      <c r="U3850" s="6"/>
      <c r="V3850" s="5" t="s">
        <v>106</v>
      </c>
      <c r="W3850" s="12">
        <v>4052386</v>
      </c>
      <c r="X3850" s="6"/>
      <c r="Y3850" s="6"/>
    </row>
    <row r="3851" spans="1:25" ht="15" customHeight="1" x14ac:dyDescent="0.2">
      <c r="A3851" s="88" t="s">
        <v>4487</v>
      </c>
      <c r="B3851" s="90"/>
      <c r="C3851" s="133">
        <v>408</v>
      </c>
      <c r="D3851" s="134"/>
      <c r="E3851" s="88" t="s">
        <v>4546</v>
      </c>
      <c r="F3851" s="89"/>
      <c r="G3851" s="89"/>
      <c r="H3851" s="89"/>
      <c r="I3851" s="90"/>
      <c r="J3851" s="88" t="s">
        <v>13</v>
      </c>
      <c r="K3851" s="89"/>
      <c r="L3851" s="89"/>
      <c r="M3851" s="90"/>
      <c r="N3851" s="88" t="s">
        <v>26</v>
      </c>
      <c r="O3851" s="89"/>
      <c r="P3851" s="90"/>
      <c r="Q3851" s="133">
        <v>1200</v>
      </c>
      <c r="R3851" s="134"/>
      <c r="S3851" s="5" t="s">
        <v>27</v>
      </c>
      <c r="T3851" s="6"/>
      <c r="U3851" s="6"/>
      <c r="V3851" s="5" t="s">
        <v>176</v>
      </c>
      <c r="W3851" s="12">
        <v>6490544</v>
      </c>
      <c r="X3851" s="6"/>
      <c r="Y3851" s="6"/>
    </row>
    <row r="3852" spans="1:25" ht="15" customHeight="1" x14ac:dyDescent="0.2">
      <c r="A3852" s="88" t="s">
        <v>4487</v>
      </c>
      <c r="B3852" s="90"/>
      <c r="C3852" s="88" t="s">
        <v>4611</v>
      </c>
      <c r="D3852" s="90"/>
      <c r="E3852" s="88" t="s">
        <v>4612</v>
      </c>
      <c r="F3852" s="89"/>
      <c r="G3852" s="89"/>
      <c r="H3852" s="89"/>
      <c r="I3852" s="90"/>
      <c r="J3852" s="88" t="s">
        <v>13</v>
      </c>
      <c r="K3852" s="89"/>
      <c r="L3852" s="89"/>
      <c r="M3852" s="90"/>
      <c r="N3852" s="88" t="s">
        <v>26</v>
      </c>
      <c r="O3852" s="89"/>
      <c r="P3852" s="90"/>
      <c r="Q3852" s="133">
        <v>1600</v>
      </c>
      <c r="R3852" s="134"/>
      <c r="S3852" s="5" t="s">
        <v>16</v>
      </c>
      <c r="T3852" s="6"/>
      <c r="U3852" s="6"/>
      <c r="V3852" s="5" t="s">
        <v>23</v>
      </c>
      <c r="W3852" s="12">
        <v>5742956</v>
      </c>
      <c r="X3852" s="6"/>
      <c r="Y3852" s="6"/>
    </row>
    <row r="3853" spans="1:25" ht="15" customHeight="1" x14ac:dyDescent="0.2">
      <c r="A3853" s="88" t="s">
        <v>4487</v>
      </c>
      <c r="B3853" s="90"/>
      <c r="C3853" s="88" t="s">
        <v>4603</v>
      </c>
      <c r="D3853" s="90"/>
      <c r="E3853" s="88" t="s">
        <v>4613</v>
      </c>
      <c r="F3853" s="89"/>
      <c r="G3853" s="89"/>
      <c r="H3853" s="89"/>
      <c r="I3853" s="90"/>
      <c r="J3853" s="88" t="s">
        <v>13</v>
      </c>
      <c r="K3853" s="89"/>
      <c r="L3853" s="89"/>
      <c r="M3853" s="90"/>
      <c r="N3853" s="88" t="s">
        <v>26</v>
      </c>
      <c r="O3853" s="89"/>
      <c r="P3853" s="90"/>
      <c r="Q3853" s="133">
        <v>2000</v>
      </c>
      <c r="R3853" s="134"/>
      <c r="S3853" s="5" t="s">
        <v>16</v>
      </c>
      <c r="T3853" s="6"/>
      <c r="U3853" s="6"/>
      <c r="V3853" s="5" t="s">
        <v>106</v>
      </c>
      <c r="W3853" s="12">
        <v>3708108</v>
      </c>
      <c r="X3853" s="6"/>
      <c r="Y3853" s="6"/>
    </row>
    <row r="3854" spans="1:25" ht="15" customHeight="1" x14ac:dyDescent="0.2">
      <c r="A3854" s="88" t="s">
        <v>4487</v>
      </c>
      <c r="B3854" s="90"/>
      <c r="C3854" s="88" t="s">
        <v>4614</v>
      </c>
      <c r="D3854" s="90"/>
      <c r="E3854" s="88" t="s">
        <v>4615</v>
      </c>
      <c r="F3854" s="89"/>
      <c r="G3854" s="89"/>
      <c r="H3854" s="89"/>
      <c r="I3854" s="90"/>
      <c r="J3854" s="88" t="s">
        <v>13</v>
      </c>
      <c r="K3854" s="89"/>
      <c r="L3854" s="89"/>
      <c r="M3854" s="90"/>
      <c r="N3854" s="88" t="s">
        <v>26</v>
      </c>
      <c r="O3854" s="89"/>
      <c r="P3854" s="90"/>
      <c r="Q3854" s="133">
        <v>1200</v>
      </c>
      <c r="R3854" s="134"/>
      <c r="S3854" s="5" t="s">
        <v>27</v>
      </c>
      <c r="T3854" s="6"/>
      <c r="U3854" s="6"/>
      <c r="V3854" s="5" t="s">
        <v>23</v>
      </c>
      <c r="W3854" s="12">
        <v>4141727</v>
      </c>
      <c r="X3854" s="6"/>
      <c r="Y3854" s="6"/>
    </row>
    <row r="3855" spans="1:25" ht="15" customHeight="1" x14ac:dyDescent="0.2">
      <c r="A3855" s="88" t="s">
        <v>4487</v>
      </c>
      <c r="B3855" s="90"/>
      <c r="C3855" s="88" t="s">
        <v>4616</v>
      </c>
      <c r="D3855" s="90"/>
      <c r="E3855" s="88" t="s">
        <v>4617</v>
      </c>
      <c r="F3855" s="89"/>
      <c r="G3855" s="89"/>
      <c r="H3855" s="89"/>
      <c r="I3855" s="90"/>
      <c r="J3855" s="88" t="s">
        <v>13</v>
      </c>
      <c r="K3855" s="89"/>
      <c r="L3855" s="89"/>
      <c r="M3855" s="90"/>
      <c r="N3855" s="88" t="s">
        <v>26</v>
      </c>
      <c r="O3855" s="89"/>
      <c r="P3855" s="90"/>
      <c r="Q3855" s="133">
        <v>1500</v>
      </c>
      <c r="R3855" s="134"/>
      <c r="S3855" s="5" t="s">
        <v>70</v>
      </c>
      <c r="T3855" s="6"/>
      <c r="U3855" s="6"/>
      <c r="V3855" s="5" t="s">
        <v>106</v>
      </c>
      <c r="W3855" s="12">
        <v>6653078</v>
      </c>
      <c r="X3855" s="6"/>
      <c r="Y3855" s="6"/>
    </row>
    <row r="3856" spans="1:25" ht="15" customHeight="1" x14ac:dyDescent="0.2">
      <c r="A3856" s="88" t="s">
        <v>4487</v>
      </c>
      <c r="B3856" s="90"/>
      <c r="C3856" s="88" t="s">
        <v>4618</v>
      </c>
      <c r="D3856" s="90"/>
      <c r="E3856" s="88" t="s">
        <v>4619</v>
      </c>
      <c r="F3856" s="89"/>
      <c r="G3856" s="89"/>
      <c r="H3856" s="89"/>
      <c r="I3856" s="90"/>
      <c r="J3856" s="88" t="s">
        <v>13</v>
      </c>
      <c r="K3856" s="89"/>
      <c r="L3856" s="89"/>
      <c r="M3856" s="90"/>
      <c r="N3856" s="88" t="s">
        <v>26</v>
      </c>
      <c r="O3856" s="89"/>
      <c r="P3856" s="90"/>
      <c r="Q3856" s="133">
        <v>1600</v>
      </c>
      <c r="R3856" s="134"/>
      <c r="S3856" s="5" t="s">
        <v>16</v>
      </c>
      <c r="T3856" s="6"/>
      <c r="U3856" s="6"/>
      <c r="V3856" s="5" t="s">
        <v>23</v>
      </c>
      <c r="W3856" s="12">
        <v>3373963</v>
      </c>
      <c r="X3856" s="6"/>
      <c r="Y3856" s="6"/>
    </row>
    <row r="3857" spans="1:25" ht="15" customHeight="1" x14ac:dyDescent="0.2">
      <c r="A3857" s="88" t="s">
        <v>4487</v>
      </c>
      <c r="B3857" s="90"/>
      <c r="C3857" s="88" t="s">
        <v>4620</v>
      </c>
      <c r="D3857" s="90"/>
      <c r="E3857" s="88" t="s">
        <v>4621</v>
      </c>
      <c r="F3857" s="89"/>
      <c r="G3857" s="89"/>
      <c r="H3857" s="89"/>
      <c r="I3857" s="90"/>
      <c r="J3857" s="88" t="s">
        <v>13</v>
      </c>
      <c r="K3857" s="89"/>
      <c r="L3857" s="89"/>
      <c r="M3857" s="90"/>
      <c r="N3857" s="88" t="s">
        <v>26</v>
      </c>
      <c r="O3857" s="89"/>
      <c r="P3857" s="90"/>
      <c r="Q3857" s="133">
        <v>2000</v>
      </c>
      <c r="R3857" s="134"/>
      <c r="S3857" s="5" t="s">
        <v>16</v>
      </c>
      <c r="T3857" s="6"/>
      <c r="U3857" s="6"/>
      <c r="V3857" s="5" t="s">
        <v>106</v>
      </c>
      <c r="W3857" s="12">
        <v>3889640</v>
      </c>
      <c r="X3857" s="6"/>
      <c r="Y3857" s="6"/>
    </row>
    <row r="3858" spans="1:25" ht="15" customHeight="1" x14ac:dyDescent="0.2">
      <c r="A3858" s="88" t="s">
        <v>4487</v>
      </c>
      <c r="B3858" s="90"/>
      <c r="C3858" s="88" t="s">
        <v>4609</v>
      </c>
      <c r="D3858" s="90"/>
      <c r="E3858" s="88" t="s">
        <v>4622</v>
      </c>
      <c r="F3858" s="89"/>
      <c r="G3858" s="89"/>
      <c r="H3858" s="89"/>
      <c r="I3858" s="90"/>
      <c r="J3858" s="88" t="s">
        <v>13</v>
      </c>
      <c r="K3858" s="89"/>
      <c r="L3858" s="89"/>
      <c r="M3858" s="90"/>
      <c r="N3858" s="88" t="s">
        <v>26</v>
      </c>
      <c r="O3858" s="89"/>
      <c r="P3858" s="90"/>
      <c r="Q3858" s="133">
        <v>2000</v>
      </c>
      <c r="R3858" s="134"/>
      <c r="S3858" s="5" t="s">
        <v>27</v>
      </c>
      <c r="T3858" s="6"/>
      <c r="U3858" s="6"/>
      <c r="V3858" s="5" t="s">
        <v>106</v>
      </c>
      <c r="W3858" s="12">
        <v>5259574</v>
      </c>
      <c r="X3858" s="6"/>
      <c r="Y3858" s="6"/>
    </row>
    <row r="3859" spans="1:25" ht="15" customHeight="1" x14ac:dyDescent="0.2">
      <c r="A3859" s="88" t="s">
        <v>4487</v>
      </c>
      <c r="B3859" s="90"/>
      <c r="C3859" s="88" t="s">
        <v>4623</v>
      </c>
      <c r="D3859" s="90"/>
      <c r="E3859" s="88" t="s">
        <v>4595</v>
      </c>
      <c r="F3859" s="89"/>
      <c r="G3859" s="89"/>
      <c r="H3859" s="89"/>
      <c r="I3859" s="90"/>
      <c r="J3859" s="88" t="s">
        <v>13</v>
      </c>
      <c r="K3859" s="89"/>
      <c r="L3859" s="89"/>
      <c r="M3859" s="90"/>
      <c r="N3859" s="88" t="s">
        <v>26</v>
      </c>
      <c r="O3859" s="89"/>
      <c r="P3859" s="90"/>
      <c r="Q3859" s="133">
        <v>2000</v>
      </c>
      <c r="R3859" s="134"/>
      <c r="S3859" s="5" t="s">
        <v>16</v>
      </c>
      <c r="T3859" s="6"/>
      <c r="U3859" s="6"/>
      <c r="V3859" s="5" t="s">
        <v>106</v>
      </c>
      <c r="W3859" s="12">
        <v>3539452</v>
      </c>
      <c r="X3859" s="6"/>
      <c r="Y3859" s="6"/>
    </row>
    <row r="3860" spans="1:25" ht="15" customHeight="1" x14ac:dyDescent="0.2">
      <c r="A3860" s="88" t="s">
        <v>4487</v>
      </c>
      <c r="B3860" s="90"/>
      <c r="C3860" s="88" t="s">
        <v>4624</v>
      </c>
      <c r="D3860" s="90"/>
      <c r="E3860" s="88" t="s">
        <v>4625</v>
      </c>
      <c r="F3860" s="89"/>
      <c r="G3860" s="89"/>
      <c r="H3860" s="89"/>
      <c r="I3860" s="90"/>
      <c r="J3860" s="88" t="s">
        <v>13</v>
      </c>
      <c r="K3860" s="89"/>
      <c r="L3860" s="89"/>
      <c r="M3860" s="90"/>
      <c r="N3860" s="88" t="s">
        <v>26</v>
      </c>
      <c r="O3860" s="89"/>
      <c r="P3860" s="90"/>
      <c r="Q3860" s="133">
        <v>1600</v>
      </c>
      <c r="R3860" s="134"/>
      <c r="S3860" s="5" t="s">
        <v>27</v>
      </c>
      <c r="T3860" s="6"/>
      <c r="U3860" s="6"/>
      <c r="V3860" s="5" t="s">
        <v>23</v>
      </c>
      <c r="W3860" s="12">
        <v>3990749</v>
      </c>
      <c r="X3860" s="6"/>
      <c r="Y3860" s="6"/>
    </row>
    <row r="3861" spans="1:25" ht="15" customHeight="1" x14ac:dyDescent="0.2">
      <c r="A3861" s="88" t="s">
        <v>4487</v>
      </c>
      <c r="B3861" s="90"/>
      <c r="C3861" s="88" t="s">
        <v>4626</v>
      </c>
      <c r="D3861" s="90"/>
      <c r="E3861" s="88" t="s">
        <v>4627</v>
      </c>
      <c r="F3861" s="89"/>
      <c r="G3861" s="89"/>
      <c r="H3861" s="89"/>
      <c r="I3861" s="90"/>
      <c r="J3861" s="88" t="s">
        <v>13</v>
      </c>
      <c r="K3861" s="89"/>
      <c r="L3861" s="89"/>
      <c r="M3861" s="90"/>
      <c r="N3861" s="88" t="s">
        <v>26</v>
      </c>
      <c r="O3861" s="89"/>
      <c r="P3861" s="90"/>
      <c r="Q3861" s="133">
        <v>1500</v>
      </c>
      <c r="R3861" s="134"/>
      <c r="S3861" s="5" t="s">
        <v>16</v>
      </c>
      <c r="T3861" s="6"/>
      <c r="U3861" s="6"/>
      <c r="V3861" s="5" t="s">
        <v>106</v>
      </c>
      <c r="W3861" s="12">
        <v>5456515</v>
      </c>
      <c r="X3861" s="6"/>
      <c r="Y3861" s="6"/>
    </row>
    <row r="3862" spans="1:25" ht="15" customHeight="1" x14ac:dyDescent="0.2">
      <c r="A3862" s="88" t="s">
        <v>4487</v>
      </c>
      <c r="B3862" s="90"/>
      <c r="C3862" s="88" t="s">
        <v>4628</v>
      </c>
      <c r="D3862" s="90"/>
      <c r="E3862" s="88" t="s">
        <v>4629</v>
      </c>
      <c r="F3862" s="89"/>
      <c r="G3862" s="89"/>
      <c r="H3862" s="89"/>
      <c r="I3862" s="90"/>
      <c r="J3862" s="88" t="s">
        <v>13</v>
      </c>
      <c r="K3862" s="89"/>
      <c r="L3862" s="89"/>
      <c r="M3862" s="90"/>
      <c r="N3862" s="88" t="s">
        <v>26</v>
      </c>
      <c r="O3862" s="89"/>
      <c r="P3862" s="90"/>
      <c r="Q3862" s="133">
        <v>1200</v>
      </c>
      <c r="R3862" s="134"/>
      <c r="S3862" s="5" t="s">
        <v>27</v>
      </c>
      <c r="T3862" s="6"/>
      <c r="U3862" s="6"/>
      <c r="V3862" s="5" t="s">
        <v>23</v>
      </c>
      <c r="W3862" s="12">
        <v>3189546</v>
      </c>
      <c r="X3862" s="6"/>
      <c r="Y3862" s="6"/>
    </row>
    <row r="3863" spans="1:25" ht="15" customHeight="1" x14ac:dyDescent="0.2">
      <c r="A3863" s="88" t="s">
        <v>4487</v>
      </c>
      <c r="B3863" s="90"/>
      <c r="C3863" s="88" t="s">
        <v>4630</v>
      </c>
      <c r="D3863" s="90"/>
      <c r="E3863" s="88" t="s">
        <v>4631</v>
      </c>
      <c r="F3863" s="89"/>
      <c r="G3863" s="89"/>
      <c r="H3863" s="89"/>
      <c r="I3863" s="90"/>
      <c r="J3863" s="88" t="s">
        <v>13</v>
      </c>
      <c r="K3863" s="89"/>
      <c r="L3863" s="89"/>
      <c r="M3863" s="90"/>
      <c r="N3863" s="88" t="s">
        <v>26</v>
      </c>
      <c r="O3863" s="89"/>
      <c r="P3863" s="90"/>
      <c r="Q3863" s="133">
        <v>2000</v>
      </c>
      <c r="R3863" s="134"/>
      <c r="S3863" s="5" t="s">
        <v>16</v>
      </c>
      <c r="T3863" s="6"/>
      <c r="U3863" s="6"/>
      <c r="V3863" s="5" t="s">
        <v>106</v>
      </c>
      <c r="W3863" s="12">
        <v>4163627</v>
      </c>
      <c r="X3863" s="6"/>
      <c r="Y3863" s="6"/>
    </row>
    <row r="3864" spans="1:25" ht="15" customHeight="1" x14ac:dyDescent="0.2">
      <c r="A3864" s="88" t="s">
        <v>4487</v>
      </c>
      <c r="B3864" s="90"/>
      <c r="C3864" s="88" t="s">
        <v>4632</v>
      </c>
      <c r="D3864" s="90"/>
      <c r="E3864" s="88" t="s">
        <v>4633</v>
      </c>
      <c r="F3864" s="89"/>
      <c r="G3864" s="89"/>
      <c r="H3864" s="89"/>
      <c r="I3864" s="90"/>
      <c r="J3864" s="88" t="s">
        <v>13</v>
      </c>
      <c r="K3864" s="89"/>
      <c r="L3864" s="89"/>
      <c r="M3864" s="90"/>
      <c r="N3864" s="88" t="s">
        <v>26</v>
      </c>
      <c r="O3864" s="89"/>
      <c r="P3864" s="90"/>
      <c r="Q3864" s="133">
        <v>1600</v>
      </c>
      <c r="R3864" s="134"/>
      <c r="S3864" s="5" t="s">
        <v>27</v>
      </c>
      <c r="T3864" s="6"/>
      <c r="U3864" s="6"/>
      <c r="V3864" s="5" t="s">
        <v>23</v>
      </c>
      <c r="W3864" s="12">
        <v>4695558</v>
      </c>
      <c r="X3864" s="6"/>
      <c r="Y3864" s="6"/>
    </row>
    <row r="3865" spans="1:25" ht="15" customHeight="1" x14ac:dyDescent="0.2">
      <c r="A3865" s="88" t="s">
        <v>4487</v>
      </c>
      <c r="B3865" s="90"/>
      <c r="C3865" s="88" t="s">
        <v>4634</v>
      </c>
      <c r="D3865" s="90"/>
      <c r="E3865" s="88" t="s">
        <v>4635</v>
      </c>
      <c r="F3865" s="89"/>
      <c r="G3865" s="89"/>
      <c r="H3865" s="89"/>
      <c r="I3865" s="90"/>
      <c r="J3865" s="88" t="s">
        <v>13</v>
      </c>
      <c r="K3865" s="89"/>
      <c r="L3865" s="89"/>
      <c r="M3865" s="90"/>
      <c r="N3865" s="88" t="s">
        <v>26</v>
      </c>
      <c r="O3865" s="89"/>
      <c r="P3865" s="90"/>
      <c r="Q3865" s="133">
        <v>2000</v>
      </c>
      <c r="R3865" s="134"/>
      <c r="S3865" s="5" t="s">
        <v>16</v>
      </c>
      <c r="T3865" s="6"/>
      <c r="U3865" s="6"/>
      <c r="V3865" s="5" t="s">
        <v>106</v>
      </c>
      <c r="W3865" s="12">
        <v>4755506</v>
      </c>
      <c r="X3865" s="6"/>
      <c r="Y3865" s="6"/>
    </row>
    <row r="3866" spans="1:25" ht="15" customHeight="1" x14ac:dyDescent="0.2">
      <c r="A3866" s="88" t="s">
        <v>4487</v>
      </c>
      <c r="B3866" s="90"/>
      <c r="C3866" s="88" t="s">
        <v>4636</v>
      </c>
      <c r="D3866" s="90"/>
      <c r="E3866" s="88" t="s">
        <v>4625</v>
      </c>
      <c r="F3866" s="89"/>
      <c r="G3866" s="89"/>
      <c r="H3866" s="89"/>
      <c r="I3866" s="90"/>
      <c r="J3866" s="88" t="s">
        <v>13</v>
      </c>
      <c r="K3866" s="89"/>
      <c r="L3866" s="89"/>
      <c r="M3866" s="90"/>
      <c r="N3866" s="88" t="s">
        <v>26</v>
      </c>
      <c r="O3866" s="89"/>
      <c r="P3866" s="90"/>
      <c r="Q3866" s="133">
        <v>1600</v>
      </c>
      <c r="R3866" s="134"/>
      <c r="S3866" s="5" t="s">
        <v>16</v>
      </c>
      <c r="T3866" s="6"/>
      <c r="U3866" s="6"/>
      <c r="V3866" s="5" t="s">
        <v>23</v>
      </c>
      <c r="W3866" s="12">
        <v>4292599</v>
      </c>
      <c r="X3866" s="6"/>
      <c r="Y3866" s="6"/>
    </row>
    <row r="3867" spans="1:25" ht="15" customHeight="1" x14ac:dyDescent="0.2">
      <c r="A3867" s="88" t="s">
        <v>4487</v>
      </c>
      <c r="B3867" s="90"/>
      <c r="C3867" s="88" t="s">
        <v>4637</v>
      </c>
      <c r="D3867" s="90"/>
      <c r="E3867" s="88" t="s">
        <v>4638</v>
      </c>
      <c r="F3867" s="89"/>
      <c r="G3867" s="89"/>
      <c r="H3867" s="89"/>
      <c r="I3867" s="90"/>
      <c r="J3867" s="88" t="s">
        <v>13</v>
      </c>
      <c r="K3867" s="89"/>
      <c r="L3867" s="89"/>
      <c r="M3867" s="90"/>
      <c r="N3867" s="88" t="s">
        <v>26</v>
      </c>
      <c r="O3867" s="89"/>
      <c r="P3867" s="90"/>
      <c r="Q3867" s="133">
        <v>1500</v>
      </c>
      <c r="R3867" s="134"/>
      <c r="S3867" s="5" t="s">
        <v>70</v>
      </c>
      <c r="T3867" s="6"/>
      <c r="U3867" s="6"/>
      <c r="V3867" s="5" t="s">
        <v>106</v>
      </c>
      <c r="W3867" s="12">
        <v>4304262</v>
      </c>
      <c r="X3867" s="6"/>
      <c r="Y3867" s="6"/>
    </row>
    <row r="3868" spans="1:25" ht="15" customHeight="1" x14ac:dyDescent="0.2">
      <c r="A3868" s="88" t="s">
        <v>4487</v>
      </c>
      <c r="B3868" s="90"/>
      <c r="C3868" s="88" t="s">
        <v>4639</v>
      </c>
      <c r="D3868" s="90"/>
      <c r="E3868" s="88" t="s">
        <v>4640</v>
      </c>
      <c r="F3868" s="89"/>
      <c r="G3868" s="89"/>
      <c r="H3868" s="89"/>
      <c r="I3868" s="90"/>
      <c r="J3868" s="88" t="s">
        <v>13</v>
      </c>
      <c r="K3868" s="89"/>
      <c r="L3868" s="89"/>
      <c r="M3868" s="90"/>
      <c r="N3868" s="88" t="s">
        <v>26</v>
      </c>
      <c r="O3868" s="89"/>
      <c r="P3868" s="90"/>
      <c r="Q3868" s="133">
        <v>2000</v>
      </c>
      <c r="R3868" s="134"/>
      <c r="S3868" s="5" t="s">
        <v>16</v>
      </c>
      <c r="T3868" s="6"/>
      <c r="U3868" s="6"/>
      <c r="V3868" s="5" t="s">
        <v>106</v>
      </c>
      <c r="W3868" s="12">
        <v>7757328</v>
      </c>
      <c r="X3868" s="6"/>
      <c r="Y3868" s="6"/>
    </row>
    <row r="3869" spans="1:25" ht="15" customHeight="1" x14ac:dyDescent="0.2">
      <c r="A3869" s="88" t="s">
        <v>4487</v>
      </c>
      <c r="B3869" s="90"/>
      <c r="C3869" s="88" t="s">
        <v>4641</v>
      </c>
      <c r="D3869" s="90"/>
      <c r="E3869" s="88" t="s">
        <v>4642</v>
      </c>
      <c r="F3869" s="89"/>
      <c r="G3869" s="89"/>
      <c r="H3869" s="89"/>
      <c r="I3869" s="90"/>
      <c r="J3869" s="88" t="s">
        <v>13</v>
      </c>
      <c r="K3869" s="89"/>
      <c r="L3869" s="89"/>
      <c r="M3869" s="90"/>
      <c r="N3869" s="88" t="s">
        <v>26</v>
      </c>
      <c r="O3869" s="89"/>
      <c r="P3869" s="90"/>
      <c r="Q3869" s="133">
        <v>1600</v>
      </c>
      <c r="R3869" s="134"/>
      <c r="S3869" s="5" t="s">
        <v>16</v>
      </c>
      <c r="T3869" s="6"/>
      <c r="U3869" s="6"/>
      <c r="V3869" s="5" t="s">
        <v>23</v>
      </c>
      <c r="W3869" s="12">
        <v>3918981</v>
      </c>
      <c r="X3869" s="6"/>
      <c r="Y3869" s="6"/>
    </row>
    <row r="3870" spans="1:25" ht="15" customHeight="1" x14ac:dyDescent="0.2">
      <c r="A3870" s="88" t="s">
        <v>4487</v>
      </c>
      <c r="B3870" s="90"/>
      <c r="C3870" s="88" t="s">
        <v>4643</v>
      </c>
      <c r="D3870" s="90"/>
      <c r="E3870" s="88" t="s">
        <v>4644</v>
      </c>
      <c r="F3870" s="89"/>
      <c r="G3870" s="89"/>
      <c r="H3870" s="89"/>
      <c r="I3870" s="90"/>
      <c r="J3870" s="88" t="s">
        <v>13</v>
      </c>
      <c r="K3870" s="89"/>
      <c r="L3870" s="89"/>
      <c r="M3870" s="90"/>
      <c r="N3870" s="88" t="s">
        <v>26</v>
      </c>
      <c r="O3870" s="89"/>
      <c r="P3870" s="90"/>
      <c r="Q3870" s="133">
        <v>1600</v>
      </c>
      <c r="R3870" s="134"/>
      <c r="S3870" s="5" t="s">
        <v>16</v>
      </c>
      <c r="T3870" s="6"/>
      <c r="U3870" s="6"/>
      <c r="V3870" s="5" t="s">
        <v>23</v>
      </c>
      <c r="W3870" s="12">
        <v>7837962</v>
      </c>
      <c r="X3870" s="6"/>
      <c r="Y3870" s="6"/>
    </row>
    <row r="3871" spans="1:25" ht="15" customHeight="1" x14ac:dyDescent="0.2">
      <c r="A3871" s="88" t="s">
        <v>4487</v>
      </c>
      <c r="B3871" s="90"/>
      <c r="C3871" s="88" t="s">
        <v>4645</v>
      </c>
      <c r="D3871" s="90"/>
      <c r="E3871" s="88" t="s">
        <v>4646</v>
      </c>
      <c r="F3871" s="89"/>
      <c r="G3871" s="89"/>
      <c r="H3871" s="89"/>
      <c r="I3871" s="90"/>
      <c r="J3871" s="88" t="s">
        <v>13</v>
      </c>
      <c r="K3871" s="89"/>
      <c r="L3871" s="89"/>
      <c r="M3871" s="90"/>
      <c r="N3871" s="88" t="s">
        <v>26</v>
      </c>
      <c r="O3871" s="89"/>
      <c r="P3871" s="90"/>
      <c r="Q3871" s="133">
        <v>2000</v>
      </c>
      <c r="R3871" s="134"/>
      <c r="S3871" s="5" t="s">
        <v>27</v>
      </c>
      <c r="T3871" s="6"/>
      <c r="U3871" s="6"/>
      <c r="V3871" s="5" t="s">
        <v>106</v>
      </c>
      <c r="W3871" s="12">
        <v>4417139</v>
      </c>
      <c r="X3871" s="6"/>
      <c r="Y3871" s="6"/>
    </row>
    <row r="3872" spans="1:25" ht="15" customHeight="1" x14ac:dyDescent="0.2">
      <c r="A3872" s="88" t="s">
        <v>4487</v>
      </c>
      <c r="B3872" s="90"/>
      <c r="C3872" s="88" t="s">
        <v>4636</v>
      </c>
      <c r="D3872" s="90"/>
      <c r="E3872" s="88" t="s">
        <v>4647</v>
      </c>
      <c r="F3872" s="89"/>
      <c r="G3872" s="89"/>
      <c r="H3872" s="89"/>
      <c r="I3872" s="90"/>
      <c r="J3872" s="88" t="s">
        <v>13</v>
      </c>
      <c r="K3872" s="89"/>
      <c r="L3872" s="89"/>
      <c r="M3872" s="90"/>
      <c r="N3872" s="88" t="s">
        <v>26</v>
      </c>
      <c r="O3872" s="89"/>
      <c r="P3872" s="90"/>
      <c r="Q3872" s="133">
        <v>1600</v>
      </c>
      <c r="R3872" s="134"/>
      <c r="S3872" s="5" t="s">
        <v>27</v>
      </c>
      <c r="T3872" s="6"/>
      <c r="U3872" s="6"/>
      <c r="V3872" s="5" t="s">
        <v>23</v>
      </c>
      <c r="W3872" s="12">
        <v>3962253</v>
      </c>
      <c r="X3872" s="6"/>
      <c r="Y3872" s="6"/>
    </row>
    <row r="3873" spans="1:25" ht="15" customHeight="1" x14ac:dyDescent="0.2">
      <c r="A3873" s="88" t="s">
        <v>4487</v>
      </c>
      <c r="B3873" s="90"/>
      <c r="C3873" s="133">
        <v>408</v>
      </c>
      <c r="D3873" s="134"/>
      <c r="E3873" s="88" t="s">
        <v>4648</v>
      </c>
      <c r="F3873" s="89"/>
      <c r="G3873" s="89"/>
      <c r="H3873" s="89"/>
      <c r="I3873" s="90"/>
      <c r="J3873" s="88" t="s">
        <v>13</v>
      </c>
      <c r="K3873" s="89"/>
      <c r="L3873" s="89"/>
      <c r="M3873" s="90"/>
      <c r="N3873" s="88" t="s">
        <v>26</v>
      </c>
      <c r="O3873" s="89"/>
      <c r="P3873" s="90"/>
      <c r="Q3873" s="133">
        <v>1600</v>
      </c>
      <c r="R3873" s="134"/>
      <c r="S3873" s="5" t="s">
        <v>27</v>
      </c>
      <c r="T3873" s="6"/>
      <c r="U3873" s="6"/>
      <c r="V3873" s="5" t="s">
        <v>176</v>
      </c>
      <c r="W3873" s="12">
        <v>8047568</v>
      </c>
      <c r="X3873" s="6"/>
      <c r="Y3873" s="6"/>
    </row>
    <row r="3874" spans="1:25" ht="15" customHeight="1" x14ac:dyDescent="0.2">
      <c r="A3874" s="88" t="s">
        <v>4487</v>
      </c>
      <c r="B3874" s="90"/>
      <c r="C3874" s="88" t="s">
        <v>4649</v>
      </c>
      <c r="D3874" s="90"/>
      <c r="E3874" s="88" t="s">
        <v>4650</v>
      </c>
      <c r="F3874" s="89"/>
      <c r="G3874" s="89"/>
      <c r="H3874" s="89"/>
      <c r="I3874" s="90"/>
      <c r="J3874" s="88" t="s">
        <v>13</v>
      </c>
      <c r="K3874" s="89"/>
      <c r="L3874" s="89"/>
      <c r="M3874" s="90"/>
      <c r="N3874" s="88" t="s">
        <v>26</v>
      </c>
      <c r="O3874" s="89"/>
      <c r="P3874" s="90"/>
      <c r="Q3874" s="133">
        <v>1600</v>
      </c>
      <c r="R3874" s="134"/>
      <c r="S3874" s="5" t="s">
        <v>16</v>
      </c>
      <c r="T3874" s="6"/>
      <c r="U3874" s="6"/>
      <c r="V3874" s="5" t="s">
        <v>176</v>
      </c>
      <c r="W3874" s="12">
        <v>8063610</v>
      </c>
      <c r="X3874" s="6"/>
      <c r="Y3874" s="6"/>
    </row>
    <row r="3875" spans="1:25" ht="15" customHeight="1" x14ac:dyDescent="0.2">
      <c r="A3875" s="88" t="s">
        <v>4487</v>
      </c>
      <c r="B3875" s="90"/>
      <c r="C3875" s="88" t="s">
        <v>4651</v>
      </c>
      <c r="D3875" s="90"/>
      <c r="E3875" s="88" t="s">
        <v>4644</v>
      </c>
      <c r="F3875" s="89"/>
      <c r="G3875" s="89"/>
      <c r="H3875" s="89"/>
      <c r="I3875" s="90"/>
      <c r="J3875" s="88" t="s">
        <v>13</v>
      </c>
      <c r="K3875" s="89"/>
      <c r="L3875" s="89"/>
      <c r="M3875" s="90"/>
      <c r="N3875" s="88" t="s">
        <v>26</v>
      </c>
      <c r="O3875" s="89"/>
      <c r="P3875" s="90"/>
      <c r="Q3875" s="133">
        <v>1600</v>
      </c>
      <c r="R3875" s="134"/>
      <c r="S3875" s="5" t="s">
        <v>16</v>
      </c>
      <c r="T3875" s="6"/>
      <c r="U3875" s="6"/>
      <c r="V3875" s="5" t="s">
        <v>23</v>
      </c>
      <c r="W3875" s="12">
        <v>8065088</v>
      </c>
      <c r="X3875" s="6"/>
      <c r="Y3875" s="6"/>
    </row>
    <row r="3876" spans="1:25" ht="15" customHeight="1" x14ac:dyDescent="0.2">
      <c r="A3876" s="88" t="s">
        <v>4487</v>
      </c>
      <c r="B3876" s="90"/>
      <c r="C3876" s="133">
        <v>3008</v>
      </c>
      <c r="D3876" s="134"/>
      <c r="E3876" s="88" t="s">
        <v>4652</v>
      </c>
      <c r="F3876" s="89"/>
      <c r="G3876" s="89"/>
      <c r="H3876" s="89"/>
      <c r="I3876" s="90"/>
      <c r="J3876" s="88" t="s">
        <v>13</v>
      </c>
      <c r="K3876" s="89"/>
      <c r="L3876" s="89"/>
      <c r="M3876" s="90"/>
      <c r="N3876" s="88" t="s">
        <v>26</v>
      </c>
      <c r="O3876" s="89"/>
      <c r="P3876" s="90"/>
      <c r="Q3876" s="133">
        <v>2000</v>
      </c>
      <c r="R3876" s="134"/>
      <c r="S3876" s="5" t="s">
        <v>16</v>
      </c>
      <c r="T3876" s="6"/>
      <c r="U3876" s="6"/>
      <c r="V3876" s="5" t="s">
        <v>106</v>
      </c>
      <c r="W3876" s="12">
        <v>3535231</v>
      </c>
      <c r="X3876" s="6"/>
      <c r="Y3876" s="6"/>
    </row>
    <row r="3877" spans="1:25" ht="15" customHeight="1" x14ac:dyDescent="0.2">
      <c r="A3877" s="88" t="s">
        <v>4487</v>
      </c>
      <c r="B3877" s="90"/>
      <c r="C3877" s="88" t="s">
        <v>4653</v>
      </c>
      <c r="D3877" s="90"/>
      <c r="E3877" s="88" t="s">
        <v>4654</v>
      </c>
      <c r="F3877" s="89"/>
      <c r="G3877" s="89"/>
      <c r="H3877" s="89"/>
      <c r="I3877" s="90"/>
      <c r="J3877" s="88" t="s">
        <v>13</v>
      </c>
      <c r="K3877" s="89"/>
      <c r="L3877" s="89"/>
      <c r="M3877" s="90"/>
      <c r="N3877" s="88" t="s">
        <v>26</v>
      </c>
      <c r="O3877" s="89"/>
      <c r="P3877" s="90"/>
      <c r="Q3877" s="133">
        <v>2000</v>
      </c>
      <c r="R3877" s="134"/>
      <c r="S3877" s="5" t="s">
        <v>16</v>
      </c>
      <c r="T3877" s="6"/>
      <c r="U3877" s="6"/>
      <c r="V3877" s="5" t="s">
        <v>106</v>
      </c>
      <c r="W3877" s="12">
        <v>3571748</v>
      </c>
      <c r="X3877" s="6"/>
      <c r="Y3877" s="6"/>
    </row>
    <row r="3878" spans="1:25" ht="15" customHeight="1" x14ac:dyDescent="0.2">
      <c r="A3878" s="88" t="s">
        <v>4487</v>
      </c>
      <c r="B3878" s="90"/>
      <c r="C3878" s="88" t="s">
        <v>4655</v>
      </c>
      <c r="D3878" s="90"/>
      <c r="E3878" s="88" t="s">
        <v>4656</v>
      </c>
      <c r="F3878" s="89"/>
      <c r="G3878" s="89"/>
      <c r="H3878" s="89"/>
      <c r="I3878" s="90"/>
      <c r="J3878" s="88" t="s">
        <v>13</v>
      </c>
      <c r="K3878" s="89"/>
      <c r="L3878" s="89"/>
      <c r="M3878" s="90"/>
      <c r="N3878" s="88" t="s">
        <v>26</v>
      </c>
      <c r="O3878" s="89"/>
      <c r="P3878" s="90"/>
      <c r="Q3878" s="133">
        <v>1600</v>
      </c>
      <c r="R3878" s="134"/>
      <c r="S3878" s="5" t="s">
        <v>16</v>
      </c>
      <c r="T3878" s="6"/>
      <c r="U3878" s="6"/>
      <c r="V3878" s="5" t="s">
        <v>23</v>
      </c>
      <c r="W3878" s="12">
        <v>8208625</v>
      </c>
      <c r="X3878" s="6"/>
      <c r="Y3878" s="6"/>
    </row>
    <row r="3879" spans="1:25" ht="15" customHeight="1" x14ac:dyDescent="0.2">
      <c r="A3879" s="88" t="s">
        <v>4487</v>
      </c>
      <c r="B3879" s="90"/>
      <c r="C3879" s="88" t="s">
        <v>4657</v>
      </c>
      <c r="D3879" s="90"/>
      <c r="E3879" s="88" t="s">
        <v>4658</v>
      </c>
      <c r="F3879" s="89"/>
      <c r="G3879" s="89"/>
      <c r="H3879" s="89"/>
      <c r="I3879" s="90"/>
      <c r="J3879" s="88" t="s">
        <v>13</v>
      </c>
      <c r="K3879" s="89"/>
      <c r="L3879" s="89"/>
      <c r="M3879" s="90"/>
      <c r="N3879" s="88" t="s">
        <v>26</v>
      </c>
      <c r="O3879" s="89"/>
      <c r="P3879" s="90"/>
      <c r="Q3879" s="133">
        <v>2000</v>
      </c>
      <c r="R3879" s="134"/>
      <c r="S3879" s="5" t="s">
        <v>16</v>
      </c>
      <c r="T3879" s="6"/>
      <c r="U3879" s="6"/>
      <c r="V3879" s="5" t="s">
        <v>106</v>
      </c>
      <c r="W3879" s="12">
        <v>4679305</v>
      </c>
      <c r="X3879" s="6"/>
      <c r="Y3879" s="6"/>
    </row>
    <row r="3880" spans="1:25" ht="15" customHeight="1" x14ac:dyDescent="0.2">
      <c r="A3880" s="88" t="s">
        <v>4487</v>
      </c>
      <c r="B3880" s="90"/>
      <c r="C3880" s="88" t="s">
        <v>4659</v>
      </c>
      <c r="D3880" s="90"/>
      <c r="E3880" s="88" t="s">
        <v>4660</v>
      </c>
      <c r="F3880" s="89"/>
      <c r="G3880" s="89"/>
      <c r="H3880" s="89"/>
      <c r="I3880" s="90"/>
      <c r="J3880" s="88" t="s">
        <v>13</v>
      </c>
      <c r="K3880" s="89"/>
      <c r="L3880" s="89"/>
      <c r="M3880" s="90"/>
      <c r="N3880" s="88" t="s">
        <v>26</v>
      </c>
      <c r="O3880" s="89"/>
      <c r="P3880" s="90"/>
      <c r="Q3880" s="133">
        <v>1600</v>
      </c>
      <c r="R3880" s="134"/>
      <c r="S3880" s="5" t="s">
        <v>27</v>
      </c>
      <c r="T3880" s="6"/>
      <c r="U3880" s="6"/>
      <c r="V3880" s="5" t="s">
        <v>23</v>
      </c>
      <c r="W3880" s="12">
        <v>5281527</v>
      </c>
      <c r="X3880" s="6"/>
      <c r="Y3880" s="6"/>
    </row>
    <row r="3881" spans="1:25" ht="15" customHeight="1" x14ac:dyDescent="0.2">
      <c r="A3881" s="88" t="s">
        <v>4487</v>
      </c>
      <c r="B3881" s="90"/>
      <c r="C3881" s="88" t="s">
        <v>4661</v>
      </c>
      <c r="D3881" s="90"/>
      <c r="E3881" s="88" t="s">
        <v>4662</v>
      </c>
      <c r="F3881" s="89"/>
      <c r="G3881" s="89"/>
      <c r="H3881" s="89"/>
      <c r="I3881" s="90"/>
      <c r="J3881" s="88" t="s">
        <v>13</v>
      </c>
      <c r="K3881" s="89"/>
      <c r="L3881" s="89"/>
      <c r="M3881" s="90"/>
      <c r="N3881" s="88" t="s">
        <v>26</v>
      </c>
      <c r="O3881" s="89"/>
      <c r="P3881" s="90"/>
      <c r="Q3881" s="133">
        <v>1600</v>
      </c>
      <c r="R3881" s="134"/>
      <c r="S3881" s="5" t="s">
        <v>16</v>
      </c>
      <c r="T3881" s="6"/>
      <c r="U3881" s="6"/>
      <c r="V3881" s="5" t="s">
        <v>96</v>
      </c>
      <c r="W3881" s="12">
        <v>5341474</v>
      </c>
      <c r="X3881" s="6"/>
      <c r="Y3881" s="6"/>
    </row>
    <row r="3882" spans="1:25" ht="15" customHeight="1" x14ac:dyDescent="0.2">
      <c r="A3882" s="88" t="s">
        <v>4487</v>
      </c>
      <c r="B3882" s="90"/>
      <c r="C3882" s="88" t="s">
        <v>4663</v>
      </c>
      <c r="D3882" s="90"/>
      <c r="E3882" s="88" t="s">
        <v>4664</v>
      </c>
      <c r="F3882" s="89"/>
      <c r="G3882" s="89"/>
      <c r="H3882" s="89"/>
      <c r="I3882" s="90"/>
      <c r="J3882" s="88" t="s">
        <v>13</v>
      </c>
      <c r="K3882" s="89"/>
      <c r="L3882" s="89"/>
      <c r="M3882" s="90"/>
      <c r="N3882" s="88" t="s">
        <v>26</v>
      </c>
      <c r="O3882" s="89"/>
      <c r="P3882" s="90"/>
      <c r="Q3882" s="133">
        <v>2000</v>
      </c>
      <c r="R3882" s="134"/>
      <c r="S3882" s="5" t="s">
        <v>16</v>
      </c>
      <c r="T3882" s="6"/>
      <c r="U3882" s="6"/>
      <c r="V3882" s="5" t="s">
        <v>106</v>
      </c>
      <c r="W3882" s="12">
        <v>6468239</v>
      </c>
      <c r="X3882" s="6"/>
      <c r="Y3882" s="6"/>
    </row>
    <row r="3883" spans="1:25" ht="15" customHeight="1" x14ac:dyDescent="0.2">
      <c r="A3883" s="88" t="s">
        <v>4487</v>
      </c>
      <c r="B3883" s="90"/>
      <c r="C3883" s="88" t="s">
        <v>4665</v>
      </c>
      <c r="D3883" s="90"/>
      <c r="E3883" s="88" t="s">
        <v>4666</v>
      </c>
      <c r="F3883" s="89"/>
      <c r="G3883" s="89"/>
      <c r="H3883" s="89"/>
      <c r="I3883" s="90"/>
      <c r="J3883" s="88" t="s">
        <v>13</v>
      </c>
      <c r="K3883" s="89"/>
      <c r="L3883" s="89"/>
      <c r="M3883" s="90"/>
      <c r="N3883" s="88" t="s">
        <v>26</v>
      </c>
      <c r="O3883" s="89"/>
      <c r="P3883" s="90"/>
      <c r="Q3883" s="133">
        <v>1600</v>
      </c>
      <c r="R3883" s="134"/>
      <c r="S3883" s="5" t="s">
        <v>27</v>
      </c>
      <c r="T3883" s="6"/>
      <c r="U3883" s="6"/>
      <c r="V3883" s="5" t="s">
        <v>176</v>
      </c>
      <c r="W3883" s="12">
        <v>7725243</v>
      </c>
      <c r="X3883" s="6"/>
      <c r="Y3883" s="6"/>
    </row>
    <row r="3884" spans="1:25" ht="15" customHeight="1" x14ac:dyDescent="0.2">
      <c r="A3884" s="88" t="s">
        <v>4487</v>
      </c>
      <c r="B3884" s="90"/>
      <c r="C3884" s="88" t="s">
        <v>4667</v>
      </c>
      <c r="D3884" s="90"/>
      <c r="E3884" s="88" t="s">
        <v>4668</v>
      </c>
      <c r="F3884" s="89"/>
      <c r="G3884" s="89"/>
      <c r="H3884" s="89"/>
      <c r="I3884" s="90"/>
      <c r="J3884" s="88" t="s">
        <v>13</v>
      </c>
      <c r="K3884" s="89"/>
      <c r="L3884" s="89"/>
      <c r="M3884" s="90"/>
      <c r="N3884" s="88" t="s">
        <v>26</v>
      </c>
      <c r="O3884" s="89"/>
      <c r="P3884" s="90"/>
      <c r="Q3884" s="133">
        <v>1600</v>
      </c>
      <c r="R3884" s="134"/>
      <c r="S3884" s="5" t="s">
        <v>27</v>
      </c>
      <c r="T3884" s="6"/>
      <c r="U3884" s="6"/>
      <c r="V3884" s="5" t="s">
        <v>23</v>
      </c>
      <c r="W3884" s="12">
        <v>6613254</v>
      </c>
      <c r="X3884" s="6"/>
      <c r="Y3884" s="6"/>
    </row>
    <row r="3885" spans="1:25" ht="15" customHeight="1" x14ac:dyDescent="0.2">
      <c r="A3885" s="88" t="s">
        <v>4487</v>
      </c>
      <c r="B3885" s="90"/>
      <c r="C3885" s="88" t="s">
        <v>4669</v>
      </c>
      <c r="D3885" s="90"/>
      <c r="E3885" s="88" t="s">
        <v>4670</v>
      </c>
      <c r="F3885" s="89"/>
      <c r="G3885" s="89"/>
      <c r="H3885" s="89"/>
      <c r="I3885" s="90"/>
      <c r="J3885" s="88" t="s">
        <v>13</v>
      </c>
      <c r="K3885" s="89"/>
      <c r="L3885" s="89"/>
      <c r="M3885" s="90"/>
      <c r="N3885" s="88" t="s">
        <v>26</v>
      </c>
      <c r="O3885" s="89"/>
      <c r="P3885" s="90"/>
      <c r="Q3885" s="133">
        <v>1200</v>
      </c>
      <c r="R3885" s="134"/>
      <c r="S3885" s="5" t="s">
        <v>16</v>
      </c>
      <c r="T3885" s="6"/>
      <c r="U3885" s="6"/>
      <c r="V3885" s="5" t="s">
        <v>23</v>
      </c>
      <c r="W3885" s="12">
        <v>4841399</v>
      </c>
      <c r="X3885" s="6"/>
      <c r="Y3885" s="6"/>
    </row>
    <row r="3886" spans="1:25" ht="15" customHeight="1" x14ac:dyDescent="0.2">
      <c r="A3886" s="88" t="s">
        <v>4671</v>
      </c>
      <c r="B3886" s="90"/>
      <c r="C3886" s="88" t="s">
        <v>4672</v>
      </c>
      <c r="D3886" s="90"/>
      <c r="E3886" s="106"/>
      <c r="F3886" s="107"/>
      <c r="G3886" s="107"/>
      <c r="H3886" s="107"/>
      <c r="I3886" s="108"/>
      <c r="J3886" s="88" t="s">
        <v>4673</v>
      </c>
      <c r="K3886" s="89"/>
      <c r="L3886" s="89"/>
      <c r="M3886" s="90"/>
      <c r="N3886" s="88" t="s">
        <v>26</v>
      </c>
      <c r="O3886" s="89"/>
      <c r="P3886" s="90"/>
      <c r="Q3886" s="133">
        <v>2000</v>
      </c>
      <c r="R3886" s="134"/>
      <c r="S3886" s="5" t="s">
        <v>119</v>
      </c>
      <c r="T3886" s="6"/>
      <c r="U3886" s="6"/>
      <c r="V3886" s="5" t="s">
        <v>702</v>
      </c>
      <c r="W3886" s="12">
        <v>18251145</v>
      </c>
      <c r="X3886" s="6"/>
      <c r="Y3886" s="6"/>
    </row>
    <row r="3887" spans="1:25" ht="15" customHeight="1" x14ac:dyDescent="0.2">
      <c r="A3887" s="88" t="s">
        <v>4671</v>
      </c>
      <c r="B3887" s="90"/>
      <c r="C3887" s="88" t="s">
        <v>4672</v>
      </c>
      <c r="D3887" s="90"/>
      <c r="E3887" s="106"/>
      <c r="F3887" s="107"/>
      <c r="G3887" s="107"/>
      <c r="H3887" s="107"/>
      <c r="I3887" s="108"/>
      <c r="J3887" s="88" t="s">
        <v>4674</v>
      </c>
      <c r="K3887" s="89"/>
      <c r="L3887" s="89"/>
      <c r="M3887" s="90"/>
      <c r="N3887" s="88" t="s">
        <v>26</v>
      </c>
      <c r="O3887" s="89"/>
      <c r="P3887" s="90"/>
      <c r="Q3887" s="133">
        <v>2000</v>
      </c>
      <c r="R3887" s="134"/>
      <c r="S3887" s="5" t="s">
        <v>119</v>
      </c>
      <c r="T3887" s="6"/>
      <c r="U3887" s="6"/>
      <c r="V3887" s="5" t="s">
        <v>702</v>
      </c>
      <c r="W3887" s="12">
        <v>18869874</v>
      </c>
      <c r="X3887" s="6"/>
      <c r="Y3887" s="6"/>
    </row>
    <row r="3888" spans="1:25" ht="15" customHeight="1" x14ac:dyDescent="0.2">
      <c r="A3888" s="88" t="s">
        <v>4671</v>
      </c>
      <c r="B3888" s="90"/>
      <c r="C3888" s="88" t="s">
        <v>4675</v>
      </c>
      <c r="D3888" s="90"/>
      <c r="E3888" s="106"/>
      <c r="F3888" s="107"/>
      <c r="G3888" s="107"/>
      <c r="H3888" s="107"/>
      <c r="I3888" s="108"/>
      <c r="J3888" s="88" t="s">
        <v>4673</v>
      </c>
      <c r="K3888" s="89"/>
      <c r="L3888" s="89"/>
      <c r="M3888" s="90"/>
      <c r="N3888" s="88" t="s">
        <v>22</v>
      </c>
      <c r="O3888" s="89"/>
      <c r="P3888" s="90"/>
      <c r="Q3888" s="133">
        <v>4000</v>
      </c>
      <c r="R3888" s="134"/>
      <c r="S3888" s="5" t="s">
        <v>119</v>
      </c>
      <c r="T3888" s="6"/>
      <c r="U3888" s="6"/>
      <c r="V3888" s="5" t="s">
        <v>702</v>
      </c>
      <c r="W3888" s="12">
        <v>28904402</v>
      </c>
      <c r="X3888" s="6"/>
      <c r="Y3888" s="6"/>
    </row>
    <row r="3889" spans="1:25" ht="15" customHeight="1" x14ac:dyDescent="0.2">
      <c r="A3889" s="88" t="s">
        <v>4671</v>
      </c>
      <c r="B3889" s="90"/>
      <c r="C3889" s="88" t="s">
        <v>4675</v>
      </c>
      <c r="D3889" s="90"/>
      <c r="E3889" s="106"/>
      <c r="F3889" s="107"/>
      <c r="G3889" s="107"/>
      <c r="H3889" s="107"/>
      <c r="I3889" s="108"/>
      <c r="J3889" s="88" t="s">
        <v>4674</v>
      </c>
      <c r="K3889" s="89"/>
      <c r="L3889" s="89"/>
      <c r="M3889" s="90"/>
      <c r="N3889" s="88" t="s">
        <v>22</v>
      </c>
      <c r="O3889" s="89"/>
      <c r="P3889" s="90"/>
      <c r="Q3889" s="133">
        <v>4000</v>
      </c>
      <c r="R3889" s="134"/>
      <c r="S3889" s="5" t="s">
        <v>119</v>
      </c>
      <c r="T3889" s="6"/>
      <c r="U3889" s="6"/>
      <c r="V3889" s="5" t="s">
        <v>702</v>
      </c>
      <c r="W3889" s="12">
        <v>29693236</v>
      </c>
      <c r="X3889" s="6"/>
      <c r="Y3889" s="6"/>
    </row>
    <row r="3890" spans="1:25" ht="15" customHeight="1" x14ac:dyDescent="0.2">
      <c r="A3890" s="88" t="s">
        <v>4671</v>
      </c>
      <c r="B3890" s="90"/>
      <c r="C3890" s="88" t="s">
        <v>4676</v>
      </c>
      <c r="D3890" s="90"/>
      <c r="E3890" s="106"/>
      <c r="F3890" s="107"/>
      <c r="G3890" s="107"/>
      <c r="H3890" s="107"/>
      <c r="I3890" s="108"/>
      <c r="J3890" s="88" t="s">
        <v>4673</v>
      </c>
      <c r="K3890" s="89"/>
      <c r="L3890" s="89"/>
      <c r="M3890" s="90"/>
      <c r="N3890" s="88" t="s">
        <v>22</v>
      </c>
      <c r="O3890" s="89"/>
      <c r="P3890" s="90"/>
      <c r="Q3890" s="133">
        <v>2500</v>
      </c>
      <c r="R3890" s="134"/>
      <c r="S3890" s="5" t="s">
        <v>119</v>
      </c>
      <c r="T3890" s="6"/>
      <c r="U3890" s="6"/>
      <c r="V3890" s="5" t="s">
        <v>702</v>
      </c>
      <c r="W3890" s="12">
        <v>21763579</v>
      </c>
      <c r="X3890" s="6"/>
      <c r="Y3890" s="6"/>
    </row>
    <row r="3891" spans="1:25" ht="15" customHeight="1" x14ac:dyDescent="0.2">
      <c r="A3891" s="88" t="s">
        <v>4671</v>
      </c>
      <c r="B3891" s="90"/>
      <c r="C3891" s="88" t="s">
        <v>4676</v>
      </c>
      <c r="D3891" s="90"/>
      <c r="E3891" s="106"/>
      <c r="F3891" s="107"/>
      <c r="G3891" s="107"/>
      <c r="H3891" s="107"/>
      <c r="I3891" s="108"/>
      <c r="J3891" s="88" t="s">
        <v>4674</v>
      </c>
      <c r="K3891" s="89"/>
      <c r="L3891" s="89"/>
      <c r="M3891" s="90"/>
      <c r="N3891" s="88" t="s">
        <v>22</v>
      </c>
      <c r="O3891" s="89"/>
      <c r="P3891" s="90"/>
      <c r="Q3891" s="133">
        <v>2500</v>
      </c>
      <c r="R3891" s="134"/>
      <c r="S3891" s="5" t="s">
        <v>119</v>
      </c>
      <c r="T3891" s="6"/>
      <c r="U3891" s="6"/>
      <c r="V3891" s="5" t="s">
        <v>702</v>
      </c>
      <c r="W3891" s="12">
        <v>22382308</v>
      </c>
      <c r="X3891" s="6"/>
      <c r="Y3891" s="6"/>
    </row>
    <row r="3892" spans="1:25" ht="15" customHeight="1" x14ac:dyDescent="0.2">
      <c r="A3892" s="88" t="s">
        <v>4671</v>
      </c>
      <c r="B3892" s="90"/>
      <c r="C3892" s="88" t="s">
        <v>4677</v>
      </c>
      <c r="D3892" s="90"/>
      <c r="E3892" s="106"/>
      <c r="F3892" s="107"/>
      <c r="G3892" s="107"/>
      <c r="H3892" s="107"/>
      <c r="I3892" s="108"/>
      <c r="J3892" s="88" t="s">
        <v>4673</v>
      </c>
      <c r="K3892" s="89"/>
      <c r="L3892" s="89"/>
      <c r="M3892" s="90"/>
      <c r="N3892" s="88" t="s">
        <v>26</v>
      </c>
      <c r="O3892" s="89"/>
      <c r="P3892" s="90"/>
      <c r="Q3892" s="133">
        <v>2000</v>
      </c>
      <c r="R3892" s="134"/>
      <c r="S3892" s="5" t="s">
        <v>119</v>
      </c>
      <c r="T3892" s="6"/>
      <c r="U3892" s="6"/>
      <c r="V3892" s="5" t="s">
        <v>702</v>
      </c>
      <c r="W3892" s="12">
        <v>18818538</v>
      </c>
      <c r="X3892" s="6"/>
      <c r="Y3892" s="6"/>
    </row>
    <row r="3893" spans="1:25" ht="15" customHeight="1" x14ac:dyDescent="0.2">
      <c r="A3893" s="88" t="s">
        <v>4671</v>
      </c>
      <c r="B3893" s="90"/>
      <c r="C3893" s="88" t="s">
        <v>4677</v>
      </c>
      <c r="D3893" s="90"/>
      <c r="E3893" s="106"/>
      <c r="F3893" s="107"/>
      <c r="G3893" s="107"/>
      <c r="H3893" s="107"/>
      <c r="I3893" s="108"/>
      <c r="J3893" s="88" t="s">
        <v>4674</v>
      </c>
      <c r="K3893" s="89"/>
      <c r="L3893" s="89"/>
      <c r="M3893" s="90"/>
      <c r="N3893" s="88" t="s">
        <v>26</v>
      </c>
      <c r="O3893" s="89"/>
      <c r="P3893" s="90"/>
      <c r="Q3893" s="133">
        <v>2000</v>
      </c>
      <c r="R3893" s="134"/>
      <c r="S3893" s="5" t="s">
        <v>119</v>
      </c>
      <c r="T3893" s="6"/>
      <c r="U3893" s="6"/>
      <c r="V3893" s="5" t="s">
        <v>702</v>
      </c>
      <c r="W3893" s="12">
        <v>19539938</v>
      </c>
      <c r="X3893" s="6"/>
      <c r="Y3893" s="6"/>
    </row>
    <row r="3894" spans="1:25" ht="15" customHeight="1" x14ac:dyDescent="0.2">
      <c r="A3894" s="88" t="s">
        <v>4671</v>
      </c>
      <c r="B3894" s="90"/>
      <c r="C3894" s="88" t="s">
        <v>4678</v>
      </c>
      <c r="D3894" s="90"/>
      <c r="E3894" s="106"/>
      <c r="F3894" s="107"/>
      <c r="G3894" s="107"/>
      <c r="H3894" s="107"/>
      <c r="I3894" s="108"/>
      <c r="J3894" s="88" t="s">
        <v>4673</v>
      </c>
      <c r="K3894" s="89"/>
      <c r="L3894" s="89"/>
      <c r="M3894" s="90"/>
      <c r="N3894" s="88" t="s">
        <v>26</v>
      </c>
      <c r="O3894" s="89"/>
      <c r="P3894" s="90"/>
      <c r="Q3894" s="133">
        <v>2000</v>
      </c>
      <c r="R3894" s="134"/>
      <c r="S3894" s="5" t="s">
        <v>271</v>
      </c>
      <c r="T3894" s="6"/>
      <c r="U3894" s="6"/>
      <c r="V3894" s="5" t="s">
        <v>702</v>
      </c>
      <c r="W3894" s="12">
        <v>17899902</v>
      </c>
      <c r="X3894" s="6"/>
      <c r="Y3894" s="6"/>
    </row>
    <row r="3895" spans="1:25" ht="15" customHeight="1" x14ac:dyDescent="0.2">
      <c r="A3895" s="88" t="s">
        <v>4671</v>
      </c>
      <c r="B3895" s="90"/>
      <c r="C3895" s="88" t="s">
        <v>4678</v>
      </c>
      <c r="D3895" s="90"/>
      <c r="E3895" s="106"/>
      <c r="F3895" s="107"/>
      <c r="G3895" s="107"/>
      <c r="H3895" s="107"/>
      <c r="I3895" s="108"/>
      <c r="J3895" s="88" t="s">
        <v>4674</v>
      </c>
      <c r="K3895" s="89"/>
      <c r="L3895" s="89"/>
      <c r="M3895" s="90"/>
      <c r="N3895" s="88" t="s">
        <v>26</v>
      </c>
      <c r="O3895" s="89"/>
      <c r="P3895" s="90"/>
      <c r="Q3895" s="133">
        <v>2000</v>
      </c>
      <c r="R3895" s="134"/>
      <c r="S3895" s="5" t="s">
        <v>271</v>
      </c>
      <c r="T3895" s="6"/>
      <c r="U3895" s="6"/>
      <c r="V3895" s="5" t="s">
        <v>702</v>
      </c>
      <c r="W3895" s="12">
        <v>18507823</v>
      </c>
      <c r="X3895" s="6"/>
      <c r="Y3895" s="6"/>
    </row>
    <row r="3896" spans="1:25" ht="15" customHeight="1" x14ac:dyDescent="0.2">
      <c r="A3896" s="88" t="s">
        <v>4671</v>
      </c>
      <c r="B3896" s="90"/>
      <c r="C3896" s="88" t="s">
        <v>4679</v>
      </c>
      <c r="D3896" s="90"/>
      <c r="E3896" s="106"/>
      <c r="F3896" s="107"/>
      <c r="G3896" s="107"/>
      <c r="H3896" s="107"/>
      <c r="I3896" s="108"/>
      <c r="J3896" s="88" t="s">
        <v>4674</v>
      </c>
      <c r="K3896" s="89"/>
      <c r="L3896" s="89"/>
      <c r="M3896" s="90"/>
      <c r="N3896" s="88" t="s">
        <v>22</v>
      </c>
      <c r="O3896" s="89"/>
      <c r="P3896" s="90"/>
      <c r="Q3896" s="133">
        <v>4000</v>
      </c>
      <c r="R3896" s="134"/>
      <c r="S3896" s="5" t="s">
        <v>271</v>
      </c>
      <c r="T3896" s="6"/>
      <c r="U3896" s="6"/>
      <c r="V3896" s="5" t="s">
        <v>702</v>
      </c>
      <c r="W3896" s="12">
        <v>49071624</v>
      </c>
      <c r="X3896" s="6"/>
      <c r="Y3896" s="6"/>
    </row>
    <row r="3897" spans="1:25" ht="15" customHeight="1" x14ac:dyDescent="0.2">
      <c r="A3897" s="88" t="s">
        <v>4671</v>
      </c>
      <c r="B3897" s="90"/>
      <c r="C3897" s="88" t="s">
        <v>4680</v>
      </c>
      <c r="D3897" s="90"/>
      <c r="E3897" s="106"/>
      <c r="F3897" s="107"/>
      <c r="G3897" s="107"/>
      <c r="H3897" s="107"/>
      <c r="I3897" s="108"/>
      <c r="J3897" s="88" t="s">
        <v>4673</v>
      </c>
      <c r="K3897" s="89"/>
      <c r="L3897" s="89"/>
      <c r="M3897" s="90"/>
      <c r="N3897" s="88" t="s">
        <v>22</v>
      </c>
      <c r="O3897" s="89"/>
      <c r="P3897" s="90"/>
      <c r="Q3897" s="133">
        <v>4000</v>
      </c>
      <c r="R3897" s="134"/>
      <c r="S3897" s="5" t="s">
        <v>271</v>
      </c>
      <c r="T3897" s="6"/>
      <c r="U3897" s="6"/>
      <c r="V3897" s="5" t="s">
        <v>702</v>
      </c>
      <c r="W3897" s="12">
        <v>28523888</v>
      </c>
      <c r="X3897" s="6"/>
      <c r="Y3897" s="6"/>
    </row>
    <row r="3898" spans="1:25" ht="15" customHeight="1" x14ac:dyDescent="0.2">
      <c r="A3898" s="88" t="s">
        <v>4671</v>
      </c>
      <c r="B3898" s="90"/>
      <c r="C3898" s="88" t="s">
        <v>4680</v>
      </c>
      <c r="D3898" s="90"/>
      <c r="E3898" s="106"/>
      <c r="F3898" s="107"/>
      <c r="G3898" s="107"/>
      <c r="H3898" s="107"/>
      <c r="I3898" s="108"/>
      <c r="J3898" s="88" t="s">
        <v>4674</v>
      </c>
      <c r="K3898" s="89"/>
      <c r="L3898" s="89"/>
      <c r="M3898" s="90"/>
      <c r="N3898" s="88" t="s">
        <v>22</v>
      </c>
      <c r="O3898" s="89"/>
      <c r="P3898" s="90"/>
      <c r="Q3898" s="133">
        <v>4000</v>
      </c>
      <c r="R3898" s="134"/>
      <c r="S3898" s="5" t="s">
        <v>271</v>
      </c>
      <c r="T3898" s="6"/>
      <c r="U3898" s="6"/>
      <c r="V3898" s="5" t="s">
        <v>702</v>
      </c>
      <c r="W3898" s="12">
        <v>29312722</v>
      </c>
      <c r="X3898" s="6"/>
      <c r="Y3898" s="6"/>
    </row>
    <row r="3899" spans="1:25" ht="15" customHeight="1" x14ac:dyDescent="0.2">
      <c r="A3899" s="88" t="s">
        <v>4671</v>
      </c>
      <c r="B3899" s="90"/>
      <c r="C3899" s="88" t="s">
        <v>4681</v>
      </c>
      <c r="D3899" s="90"/>
      <c r="E3899" s="106"/>
      <c r="F3899" s="107"/>
      <c r="G3899" s="107"/>
      <c r="H3899" s="107"/>
      <c r="I3899" s="108"/>
      <c r="J3899" s="88" t="s">
        <v>4673</v>
      </c>
      <c r="K3899" s="89"/>
      <c r="L3899" s="89"/>
      <c r="M3899" s="90"/>
      <c r="N3899" s="88" t="s">
        <v>22</v>
      </c>
      <c r="O3899" s="89"/>
      <c r="P3899" s="90"/>
      <c r="Q3899" s="133">
        <v>2500</v>
      </c>
      <c r="R3899" s="134"/>
      <c r="S3899" s="5" t="s">
        <v>271</v>
      </c>
      <c r="T3899" s="6"/>
      <c r="U3899" s="6"/>
      <c r="V3899" s="5" t="s">
        <v>702</v>
      </c>
      <c r="W3899" s="12">
        <v>21425845</v>
      </c>
      <c r="X3899" s="6"/>
      <c r="Y3899" s="6"/>
    </row>
    <row r="3900" spans="1:25" ht="15" customHeight="1" x14ac:dyDescent="0.2">
      <c r="A3900" s="88" t="s">
        <v>4671</v>
      </c>
      <c r="B3900" s="90"/>
      <c r="C3900" s="88" t="s">
        <v>4681</v>
      </c>
      <c r="D3900" s="90"/>
      <c r="E3900" s="106"/>
      <c r="F3900" s="107"/>
      <c r="G3900" s="107"/>
      <c r="H3900" s="107"/>
      <c r="I3900" s="108"/>
      <c r="J3900" s="88" t="s">
        <v>4674</v>
      </c>
      <c r="K3900" s="89"/>
      <c r="L3900" s="89"/>
      <c r="M3900" s="90"/>
      <c r="N3900" s="88" t="s">
        <v>22</v>
      </c>
      <c r="O3900" s="89"/>
      <c r="P3900" s="90"/>
      <c r="Q3900" s="133">
        <v>2500</v>
      </c>
      <c r="R3900" s="134"/>
      <c r="S3900" s="5" t="s">
        <v>271</v>
      </c>
      <c r="T3900" s="6"/>
      <c r="U3900" s="6"/>
      <c r="V3900" s="5" t="s">
        <v>702</v>
      </c>
      <c r="W3900" s="12">
        <v>22044574</v>
      </c>
      <c r="X3900" s="6"/>
      <c r="Y3900" s="6"/>
    </row>
    <row r="3901" spans="1:25" ht="15" customHeight="1" x14ac:dyDescent="0.2">
      <c r="A3901" s="88" t="s">
        <v>4671</v>
      </c>
      <c r="B3901" s="90"/>
      <c r="C3901" s="88" t="s">
        <v>4682</v>
      </c>
      <c r="D3901" s="90"/>
      <c r="E3901" s="106"/>
      <c r="F3901" s="107"/>
      <c r="G3901" s="107"/>
      <c r="H3901" s="107"/>
      <c r="I3901" s="108"/>
      <c r="J3901" s="88" t="s">
        <v>4673</v>
      </c>
      <c r="K3901" s="89"/>
      <c r="L3901" s="89"/>
      <c r="M3901" s="90"/>
      <c r="N3901" s="88" t="s">
        <v>26</v>
      </c>
      <c r="O3901" s="89"/>
      <c r="P3901" s="90"/>
      <c r="Q3901" s="133">
        <v>2000</v>
      </c>
      <c r="R3901" s="134"/>
      <c r="S3901" s="5" t="s">
        <v>271</v>
      </c>
      <c r="T3901" s="6"/>
      <c r="U3901" s="6"/>
      <c r="V3901" s="5" t="s">
        <v>702</v>
      </c>
      <c r="W3901" s="12">
        <v>18467295</v>
      </c>
      <c r="X3901" s="6"/>
      <c r="Y3901" s="6"/>
    </row>
    <row r="3902" spans="1:25" ht="15" customHeight="1" x14ac:dyDescent="0.2">
      <c r="A3902" s="88" t="s">
        <v>4671</v>
      </c>
      <c r="B3902" s="90"/>
      <c r="C3902" s="88" t="s">
        <v>4682</v>
      </c>
      <c r="D3902" s="90"/>
      <c r="E3902" s="106"/>
      <c r="F3902" s="107"/>
      <c r="G3902" s="107"/>
      <c r="H3902" s="107"/>
      <c r="I3902" s="108"/>
      <c r="J3902" s="88" t="s">
        <v>4674</v>
      </c>
      <c r="K3902" s="89"/>
      <c r="L3902" s="89"/>
      <c r="M3902" s="90"/>
      <c r="N3902" s="88" t="s">
        <v>26</v>
      </c>
      <c r="O3902" s="89"/>
      <c r="P3902" s="90"/>
      <c r="Q3902" s="133">
        <v>2000</v>
      </c>
      <c r="R3902" s="134"/>
      <c r="S3902" s="5" t="s">
        <v>271</v>
      </c>
      <c r="T3902" s="6"/>
      <c r="U3902" s="6"/>
      <c r="V3902" s="5" t="s">
        <v>702</v>
      </c>
      <c r="W3902" s="12">
        <v>19188695</v>
      </c>
      <c r="X3902" s="6"/>
      <c r="Y3902" s="6"/>
    </row>
    <row r="3903" spans="1:25" ht="15" customHeight="1" x14ac:dyDescent="0.2">
      <c r="A3903" s="88" t="s">
        <v>4671</v>
      </c>
      <c r="B3903" s="90"/>
      <c r="C3903" s="88" t="s">
        <v>4683</v>
      </c>
      <c r="D3903" s="90"/>
      <c r="E3903" s="106"/>
      <c r="F3903" s="107"/>
      <c r="G3903" s="107"/>
      <c r="H3903" s="107"/>
      <c r="I3903" s="108"/>
      <c r="J3903" s="88" t="s">
        <v>4674</v>
      </c>
      <c r="K3903" s="89"/>
      <c r="L3903" s="89"/>
      <c r="M3903" s="90"/>
      <c r="N3903" s="88" t="s">
        <v>22</v>
      </c>
      <c r="O3903" s="89"/>
      <c r="P3903" s="90"/>
      <c r="Q3903" s="133">
        <v>4000</v>
      </c>
      <c r="R3903" s="134"/>
      <c r="S3903" s="5" t="s">
        <v>119</v>
      </c>
      <c r="T3903" s="6"/>
      <c r="U3903" s="6"/>
      <c r="V3903" s="5" t="s">
        <v>702</v>
      </c>
      <c r="W3903" s="12">
        <v>49071624</v>
      </c>
      <c r="X3903" s="6"/>
      <c r="Y3903" s="6"/>
    </row>
    <row r="3904" spans="1:25" ht="15" customHeight="1" x14ac:dyDescent="0.2">
      <c r="A3904" s="88" t="s">
        <v>4671</v>
      </c>
      <c r="B3904" s="90"/>
      <c r="C3904" s="88" t="s">
        <v>4684</v>
      </c>
      <c r="D3904" s="90"/>
      <c r="E3904" s="106"/>
      <c r="F3904" s="107"/>
      <c r="G3904" s="107"/>
      <c r="H3904" s="107"/>
      <c r="I3904" s="108"/>
      <c r="J3904" s="88" t="s">
        <v>2319</v>
      </c>
      <c r="K3904" s="89"/>
      <c r="L3904" s="89"/>
      <c r="M3904" s="90"/>
      <c r="N3904" s="88" t="s">
        <v>22</v>
      </c>
      <c r="O3904" s="89"/>
      <c r="P3904" s="90"/>
      <c r="Q3904" s="133">
        <v>3000</v>
      </c>
      <c r="R3904" s="134"/>
      <c r="S3904" s="5" t="s">
        <v>271</v>
      </c>
      <c r="T3904" s="6"/>
      <c r="U3904" s="6"/>
      <c r="V3904" s="5" t="s">
        <v>702</v>
      </c>
      <c r="W3904" s="12">
        <v>34891975</v>
      </c>
      <c r="X3904" s="6"/>
      <c r="Y3904" s="6"/>
    </row>
    <row r="3905" spans="1:25" ht="15" customHeight="1" x14ac:dyDescent="0.2">
      <c r="A3905" s="88" t="s">
        <v>4671</v>
      </c>
      <c r="B3905" s="90"/>
      <c r="C3905" s="88" t="s">
        <v>4684</v>
      </c>
      <c r="D3905" s="90"/>
      <c r="E3905" s="106"/>
      <c r="F3905" s="107"/>
      <c r="G3905" s="107"/>
      <c r="H3905" s="107"/>
      <c r="I3905" s="108"/>
      <c r="J3905" s="88" t="s">
        <v>2319</v>
      </c>
      <c r="K3905" s="89"/>
      <c r="L3905" s="89"/>
      <c r="M3905" s="90"/>
      <c r="N3905" s="88" t="s">
        <v>22</v>
      </c>
      <c r="O3905" s="89"/>
      <c r="P3905" s="90"/>
      <c r="Q3905" s="133">
        <v>3000</v>
      </c>
      <c r="R3905" s="134"/>
      <c r="S3905" s="5" t="s">
        <v>271</v>
      </c>
      <c r="T3905" s="6"/>
      <c r="U3905" s="6"/>
      <c r="V3905" s="5" t="s">
        <v>702</v>
      </c>
      <c r="W3905" s="12">
        <v>37529002</v>
      </c>
      <c r="X3905" s="6"/>
      <c r="Y3905" s="6"/>
    </row>
    <row r="3906" spans="1:25" ht="15" customHeight="1" x14ac:dyDescent="0.2">
      <c r="A3906" s="88" t="s">
        <v>4671</v>
      </c>
      <c r="B3906" s="90"/>
      <c r="C3906" s="88" t="s">
        <v>4685</v>
      </c>
      <c r="D3906" s="90"/>
      <c r="E3906" s="106"/>
      <c r="F3906" s="107"/>
      <c r="G3906" s="107"/>
      <c r="H3906" s="107"/>
      <c r="I3906" s="108"/>
      <c r="J3906" s="88" t="s">
        <v>2319</v>
      </c>
      <c r="K3906" s="89"/>
      <c r="L3906" s="89"/>
      <c r="M3906" s="90"/>
      <c r="N3906" s="88" t="s">
        <v>22</v>
      </c>
      <c r="O3906" s="89"/>
      <c r="P3906" s="90"/>
      <c r="Q3906" s="133">
        <v>3000</v>
      </c>
      <c r="R3906" s="134"/>
      <c r="S3906" s="5" t="s">
        <v>119</v>
      </c>
      <c r="T3906" s="6"/>
      <c r="U3906" s="6"/>
      <c r="V3906" s="5" t="s">
        <v>702</v>
      </c>
      <c r="W3906" s="12">
        <v>39736432</v>
      </c>
      <c r="X3906" s="6"/>
      <c r="Y3906" s="6"/>
    </row>
    <row r="3907" spans="1:25" ht="15" customHeight="1" x14ac:dyDescent="0.2">
      <c r="A3907" s="88" t="s">
        <v>4671</v>
      </c>
      <c r="B3907" s="90"/>
      <c r="C3907" s="88" t="s">
        <v>4685</v>
      </c>
      <c r="D3907" s="90"/>
      <c r="E3907" s="106"/>
      <c r="F3907" s="107"/>
      <c r="G3907" s="107"/>
      <c r="H3907" s="107"/>
      <c r="I3907" s="108"/>
      <c r="J3907" s="88" t="s">
        <v>2319</v>
      </c>
      <c r="K3907" s="89"/>
      <c r="L3907" s="89"/>
      <c r="M3907" s="90"/>
      <c r="N3907" s="88" t="s">
        <v>22</v>
      </c>
      <c r="O3907" s="89"/>
      <c r="P3907" s="90"/>
      <c r="Q3907" s="133">
        <v>3000</v>
      </c>
      <c r="R3907" s="134"/>
      <c r="S3907" s="5" t="s">
        <v>271</v>
      </c>
      <c r="T3907" s="6"/>
      <c r="U3907" s="6"/>
      <c r="V3907" s="5" t="s">
        <v>702</v>
      </c>
      <c r="W3907" s="12">
        <v>37076439</v>
      </c>
      <c r="X3907" s="6"/>
      <c r="Y3907" s="6"/>
    </row>
    <row r="3908" spans="1:25" ht="15" customHeight="1" x14ac:dyDescent="0.2">
      <c r="A3908" s="88" t="s">
        <v>4671</v>
      </c>
      <c r="B3908" s="90"/>
      <c r="C3908" s="88" t="s">
        <v>4686</v>
      </c>
      <c r="D3908" s="90"/>
      <c r="E3908" s="106"/>
      <c r="F3908" s="107"/>
      <c r="G3908" s="107"/>
      <c r="H3908" s="107"/>
      <c r="I3908" s="108"/>
      <c r="J3908" s="88" t="s">
        <v>2319</v>
      </c>
      <c r="K3908" s="89"/>
      <c r="L3908" s="89"/>
      <c r="M3908" s="90"/>
      <c r="N3908" s="88" t="s">
        <v>22</v>
      </c>
      <c r="O3908" s="89"/>
      <c r="P3908" s="90"/>
      <c r="Q3908" s="133">
        <v>3000</v>
      </c>
      <c r="R3908" s="134"/>
      <c r="S3908" s="5" t="s">
        <v>271</v>
      </c>
      <c r="T3908" s="6"/>
      <c r="U3908" s="6"/>
      <c r="V3908" s="5" t="s">
        <v>702</v>
      </c>
      <c r="W3908" s="12">
        <v>50389913</v>
      </c>
      <c r="X3908" s="6"/>
      <c r="Y3908" s="6"/>
    </row>
    <row r="3909" spans="1:25" ht="15" customHeight="1" x14ac:dyDescent="0.2">
      <c r="A3909" s="88" t="s">
        <v>4671</v>
      </c>
      <c r="B3909" s="90"/>
      <c r="C3909" s="88" t="s">
        <v>4686</v>
      </c>
      <c r="D3909" s="90"/>
      <c r="E3909" s="106"/>
      <c r="F3909" s="107"/>
      <c r="G3909" s="107"/>
      <c r="H3909" s="107"/>
      <c r="I3909" s="108"/>
      <c r="J3909" s="88" t="s">
        <v>2319</v>
      </c>
      <c r="K3909" s="89"/>
      <c r="L3909" s="89"/>
      <c r="M3909" s="90"/>
      <c r="N3909" s="88" t="s">
        <v>22</v>
      </c>
      <c r="O3909" s="89"/>
      <c r="P3909" s="90"/>
      <c r="Q3909" s="133">
        <v>3600</v>
      </c>
      <c r="R3909" s="134"/>
      <c r="S3909" s="5" t="s">
        <v>271</v>
      </c>
      <c r="T3909" s="6"/>
      <c r="U3909" s="6"/>
      <c r="V3909" s="5" t="s">
        <v>2586</v>
      </c>
      <c r="W3909" s="12">
        <v>58730817</v>
      </c>
      <c r="X3909" s="6"/>
      <c r="Y3909" s="6"/>
    </row>
    <row r="3910" spans="1:25" ht="15" customHeight="1" x14ac:dyDescent="0.2">
      <c r="A3910" s="88" t="s">
        <v>4671</v>
      </c>
      <c r="B3910" s="90"/>
      <c r="C3910" s="88" t="s">
        <v>4687</v>
      </c>
      <c r="D3910" s="90"/>
      <c r="E3910" s="106"/>
      <c r="F3910" s="107"/>
      <c r="G3910" s="107"/>
      <c r="H3910" s="107"/>
      <c r="I3910" s="108"/>
      <c r="J3910" s="88" t="s">
        <v>2319</v>
      </c>
      <c r="K3910" s="89"/>
      <c r="L3910" s="89"/>
      <c r="M3910" s="90"/>
      <c r="N3910" s="88" t="s">
        <v>22</v>
      </c>
      <c r="O3910" s="89"/>
      <c r="P3910" s="90"/>
      <c r="Q3910" s="133">
        <v>3000</v>
      </c>
      <c r="R3910" s="134"/>
      <c r="S3910" s="5" t="s">
        <v>119</v>
      </c>
      <c r="T3910" s="6"/>
      <c r="U3910" s="6"/>
      <c r="V3910" s="5" t="s">
        <v>702</v>
      </c>
      <c r="W3910" s="12">
        <v>44670050</v>
      </c>
      <c r="X3910" s="6"/>
      <c r="Y3910" s="6"/>
    </row>
    <row r="3911" spans="1:25" ht="15" customHeight="1" x14ac:dyDescent="0.2">
      <c r="A3911" s="88" t="s">
        <v>4671</v>
      </c>
      <c r="B3911" s="90"/>
      <c r="C3911" s="88" t="s">
        <v>4687</v>
      </c>
      <c r="D3911" s="90"/>
      <c r="E3911" s="106"/>
      <c r="F3911" s="107"/>
      <c r="G3911" s="107"/>
      <c r="H3911" s="107"/>
      <c r="I3911" s="108"/>
      <c r="J3911" s="88" t="s">
        <v>2319</v>
      </c>
      <c r="K3911" s="89"/>
      <c r="L3911" s="89"/>
      <c r="M3911" s="90"/>
      <c r="N3911" s="88" t="s">
        <v>22</v>
      </c>
      <c r="O3911" s="89"/>
      <c r="P3911" s="90"/>
      <c r="Q3911" s="133">
        <v>3000</v>
      </c>
      <c r="R3911" s="134"/>
      <c r="S3911" s="5" t="s">
        <v>271</v>
      </c>
      <c r="T3911" s="6"/>
      <c r="U3911" s="6"/>
      <c r="V3911" s="5" t="s">
        <v>702</v>
      </c>
      <c r="W3911" s="12">
        <v>42010057</v>
      </c>
      <c r="X3911" s="6"/>
      <c r="Y3911" s="6"/>
    </row>
    <row r="3912" spans="1:25" ht="15" customHeight="1" x14ac:dyDescent="0.2">
      <c r="A3912" s="88" t="s">
        <v>4671</v>
      </c>
      <c r="B3912" s="90"/>
      <c r="C3912" s="88" t="s">
        <v>4688</v>
      </c>
      <c r="D3912" s="90"/>
      <c r="E3912" s="106"/>
      <c r="F3912" s="107"/>
      <c r="G3912" s="107"/>
      <c r="H3912" s="107"/>
      <c r="I3912" s="108"/>
      <c r="J3912" s="88" t="s">
        <v>2319</v>
      </c>
      <c r="K3912" s="89"/>
      <c r="L3912" s="89"/>
      <c r="M3912" s="90"/>
      <c r="N3912" s="88" t="s">
        <v>22</v>
      </c>
      <c r="O3912" s="89"/>
      <c r="P3912" s="90"/>
      <c r="Q3912" s="133">
        <v>3000</v>
      </c>
      <c r="R3912" s="134"/>
      <c r="S3912" s="5" t="s">
        <v>119</v>
      </c>
      <c r="T3912" s="6"/>
      <c r="U3912" s="6"/>
      <c r="V3912" s="5" t="s">
        <v>702</v>
      </c>
      <c r="W3912" s="12">
        <v>52267714</v>
      </c>
      <c r="X3912" s="6"/>
      <c r="Y3912" s="6"/>
    </row>
    <row r="3913" spans="1:25" ht="15" customHeight="1" x14ac:dyDescent="0.2">
      <c r="A3913" s="88" t="s">
        <v>4671</v>
      </c>
      <c r="B3913" s="90"/>
      <c r="C3913" s="88" t="s">
        <v>4688</v>
      </c>
      <c r="D3913" s="90"/>
      <c r="E3913" s="106"/>
      <c r="F3913" s="107"/>
      <c r="G3913" s="107"/>
      <c r="H3913" s="107"/>
      <c r="I3913" s="108"/>
      <c r="J3913" s="88" t="s">
        <v>2319</v>
      </c>
      <c r="K3913" s="89"/>
      <c r="L3913" s="89"/>
      <c r="M3913" s="90"/>
      <c r="N3913" s="88" t="s">
        <v>22</v>
      </c>
      <c r="O3913" s="89"/>
      <c r="P3913" s="90"/>
      <c r="Q3913" s="133">
        <v>3600</v>
      </c>
      <c r="R3913" s="134"/>
      <c r="S3913" s="5" t="s">
        <v>119</v>
      </c>
      <c r="T3913" s="6"/>
      <c r="U3913" s="6"/>
      <c r="V3913" s="5" t="s">
        <v>2586</v>
      </c>
      <c r="W3913" s="12">
        <v>61087074</v>
      </c>
      <c r="X3913" s="6"/>
      <c r="Y3913" s="6"/>
    </row>
    <row r="3914" spans="1:25" ht="15" customHeight="1" x14ac:dyDescent="0.2">
      <c r="A3914" s="88" t="s">
        <v>4671</v>
      </c>
      <c r="B3914" s="90"/>
      <c r="C3914" s="88" t="s">
        <v>4688</v>
      </c>
      <c r="D3914" s="90"/>
      <c r="E3914" s="106"/>
      <c r="F3914" s="107"/>
      <c r="G3914" s="107"/>
      <c r="H3914" s="107"/>
      <c r="I3914" s="108"/>
      <c r="J3914" s="88" t="s">
        <v>4409</v>
      </c>
      <c r="K3914" s="89"/>
      <c r="L3914" s="89"/>
      <c r="M3914" s="90"/>
      <c r="N3914" s="88" t="s">
        <v>22</v>
      </c>
      <c r="O3914" s="89"/>
      <c r="P3914" s="90"/>
      <c r="Q3914" s="133">
        <v>3000</v>
      </c>
      <c r="R3914" s="134"/>
      <c r="S3914" s="5" t="s">
        <v>271</v>
      </c>
      <c r="T3914" s="6"/>
      <c r="U3914" s="6"/>
      <c r="V3914" s="5" t="s">
        <v>702</v>
      </c>
      <c r="W3914" s="12">
        <v>47782606</v>
      </c>
      <c r="X3914" s="6"/>
      <c r="Y3914" s="6"/>
    </row>
    <row r="3915" spans="1:25" ht="15" customHeight="1" x14ac:dyDescent="0.2">
      <c r="A3915" s="88" t="s">
        <v>4671</v>
      </c>
      <c r="B3915" s="90"/>
      <c r="C3915" s="88" t="s">
        <v>4688</v>
      </c>
      <c r="D3915" s="90"/>
      <c r="E3915" s="106"/>
      <c r="F3915" s="107"/>
      <c r="G3915" s="107"/>
      <c r="H3915" s="107"/>
      <c r="I3915" s="108"/>
      <c r="J3915" s="88" t="s">
        <v>2319</v>
      </c>
      <c r="K3915" s="89"/>
      <c r="L3915" s="89"/>
      <c r="M3915" s="90"/>
      <c r="N3915" s="88" t="s">
        <v>22</v>
      </c>
      <c r="O3915" s="89"/>
      <c r="P3915" s="90"/>
      <c r="Q3915" s="133">
        <v>3600</v>
      </c>
      <c r="R3915" s="134"/>
      <c r="S3915" s="5" t="s">
        <v>271</v>
      </c>
      <c r="T3915" s="6"/>
      <c r="U3915" s="6"/>
      <c r="V3915" s="5" t="s">
        <v>2586</v>
      </c>
      <c r="W3915" s="12">
        <v>55789154</v>
      </c>
      <c r="X3915" s="6"/>
      <c r="Y3915" s="6"/>
    </row>
    <row r="3916" spans="1:25" ht="15" customHeight="1" x14ac:dyDescent="0.2">
      <c r="A3916" s="88" t="s">
        <v>4671</v>
      </c>
      <c r="B3916" s="90"/>
      <c r="C3916" s="88" t="s">
        <v>4689</v>
      </c>
      <c r="D3916" s="90"/>
      <c r="E3916" s="106"/>
      <c r="F3916" s="107"/>
      <c r="G3916" s="107"/>
      <c r="H3916" s="107"/>
      <c r="I3916" s="108"/>
      <c r="J3916" s="88" t="s">
        <v>2319</v>
      </c>
      <c r="K3916" s="89"/>
      <c r="L3916" s="89"/>
      <c r="M3916" s="90"/>
      <c r="N3916" s="88" t="s">
        <v>22</v>
      </c>
      <c r="O3916" s="89"/>
      <c r="P3916" s="90"/>
      <c r="Q3916" s="133">
        <v>3000</v>
      </c>
      <c r="R3916" s="134"/>
      <c r="S3916" s="5" t="s">
        <v>119</v>
      </c>
      <c r="T3916" s="6"/>
      <c r="U3916" s="6"/>
      <c r="V3916" s="5" t="s">
        <v>702</v>
      </c>
      <c r="W3916" s="12">
        <v>42470726</v>
      </c>
      <c r="X3916" s="6"/>
      <c r="Y3916" s="6"/>
    </row>
    <row r="3917" spans="1:25" ht="15" customHeight="1" x14ac:dyDescent="0.2">
      <c r="A3917" s="88" t="s">
        <v>4671</v>
      </c>
      <c r="B3917" s="90"/>
      <c r="C3917" s="88" t="s">
        <v>4689</v>
      </c>
      <c r="D3917" s="90"/>
      <c r="E3917" s="106"/>
      <c r="F3917" s="107"/>
      <c r="G3917" s="107"/>
      <c r="H3917" s="107"/>
      <c r="I3917" s="108"/>
      <c r="J3917" s="88" t="s">
        <v>2319</v>
      </c>
      <c r="K3917" s="89"/>
      <c r="L3917" s="89"/>
      <c r="M3917" s="90"/>
      <c r="N3917" s="88" t="s">
        <v>22</v>
      </c>
      <c r="O3917" s="89"/>
      <c r="P3917" s="90"/>
      <c r="Q3917" s="133">
        <v>3000</v>
      </c>
      <c r="R3917" s="134"/>
      <c r="S3917" s="5" t="s">
        <v>271</v>
      </c>
      <c r="T3917" s="6"/>
      <c r="U3917" s="6"/>
      <c r="V3917" s="5" t="s">
        <v>702</v>
      </c>
      <c r="W3917" s="12">
        <v>39825593</v>
      </c>
      <c r="X3917" s="6"/>
      <c r="Y3917" s="6"/>
    </row>
    <row r="3918" spans="1:25" ht="15" customHeight="1" x14ac:dyDescent="0.2">
      <c r="A3918" s="88" t="s">
        <v>4671</v>
      </c>
      <c r="B3918" s="90"/>
      <c r="C3918" s="88" t="s">
        <v>4690</v>
      </c>
      <c r="D3918" s="90"/>
      <c r="E3918" s="106"/>
      <c r="F3918" s="107"/>
      <c r="G3918" s="107"/>
      <c r="H3918" s="107"/>
      <c r="I3918" s="108"/>
      <c r="J3918" s="88" t="s">
        <v>1718</v>
      </c>
      <c r="K3918" s="89"/>
      <c r="L3918" s="89"/>
      <c r="M3918" s="90"/>
      <c r="N3918" s="88" t="s">
        <v>22</v>
      </c>
      <c r="O3918" s="89"/>
      <c r="P3918" s="90"/>
      <c r="Q3918" s="133">
        <v>3000</v>
      </c>
      <c r="R3918" s="134"/>
      <c r="S3918" s="5" t="s">
        <v>119</v>
      </c>
      <c r="T3918" s="6"/>
      <c r="U3918" s="6"/>
      <c r="V3918" s="5" t="s">
        <v>702</v>
      </c>
      <c r="W3918" s="12">
        <v>44594397</v>
      </c>
      <c r="X3918" s="6"/>
      <c r="Y3918" s="6"/>
    </row>
    <row r="3919" spans="1:25" ht="15" customHeight="1" x14ac:dyDescent="0.2">
      <c r="A3919" s="88" t="s">
        <v>4671</v>
      </c>
      <c r="B3919" s="90"/>
      <c r="C3919" s="88" t="s">
        <v>4690</v>
      </c>
      <c r="D3919" s="90"/>
      <c r="E3919" s="106"/>
      <c r="F3919" s="107"/>
      <c r="G3919" s="107"/>
      <c r="H3919" s="107"/>
      <c r="I3919" s="108"/>
      <c r="J3919" s="88" t="s">
        <v>2319</v>
      </c>
      <c r="K3919" s="89"/>
      <c r="L3919" s="89"/>
      <c r="M3919" s="90"/>
      <c r="N3919" s="88" t="s">
        <v>22</v>
      </c>
      <c r="O3919" s="89"/>
      <c r="P3919" s="90"/>
      <c r="Q3919" s="133">
        <v>3000</v>
      </c>
      <c r="R3919" s="134"/>
      <c r="S3919" s="5" t="s">
        <v>271</v>
      </c>
      <c r="T3919" s="6"/>
      <c r="U3919" s="6"/>
      <c r="V3919" s="5" t="s">
        <v>702</v>
      </c>
      <c r="W3919" s="12">
        <v>37581689</v>
      </c>
      <c r="X3919" s="6"/>
      <c r="Y3919" s="6"/>
    </row>
    <row r="3920" spans="1:25" ht="15" customHeight="1" x14ac:dyDescent="0.2">
      <c r="A3920" s="88" t="s">
        <v>4671</v>
      </c>
      <c r="B3920" s="90"/>
      <c r="C3920" s="88" t="s">
        <v>4690</v>
      </c>
      <c r="D3920" s="90"/>
      <c r="E3920" s="106"/>
      <c r="F3920" s="107"/>
      <c r="G3920" s="107"/>
      <c r="H3920" s="107"/>
      <c r="I3920" s="108"/>
      <c r="J3920" s="88" t="s">
        <v>1718</v>
      </c>
      <c r="K3920" s="89"/>
      <c r="L3920" s="89"/>
      <c r="M3920" s="90"/>
      <c r="N3920" s="88" t="s">
        <v>22</v>
      </c>
      <c r="O3920" s="89"/>
      <c r="P3920" s="90"/>
      <c r="Q3920" s="133">
        <v>3000</v>
      </c>
      <c r="R3920" s="134"/>
      <c r="S3920" s="5" t="s">
        <v>271</v>
      </c>
      <c r="T3920" s="6"/>
      <c r="U3920" s="6"/>
      <c r="V3920" s="5" t="s">
        <v>702</v>
      </c>
      <c r="W3920" s="12">
        <v>41446716</v>
      </c>
      <c r="X3920" s="6"/>
      <c r="Y3920" s="6"/>
    </row>
    <row r="3921" spans="1:25" ht="15" customHeight="1" x14ac:dyDescent="0.2">
      <c r="A3921" s="88" t="s">
        <v>4671</v>
      </c>
      <c r="B3921" s="90"/>
      <c r="C3921" s="88" t="s">
        <v>4691</v>
      </c>
      <c r="D3921" s="90"/>
      <c r="E3921" s="106"/>
      <c r="F3921" s="107"/>
      <c r="G3921" s="107"/>
      <c r="H3921" s="107"/>
      <c r="I3921" s="108"/>
      <c r="J3921" s="88" t="s">
        <v>2319</v>
      </c>
      <c r="K3921" s="89"/>
      <c r="L3921" s="89"/>
      <c r="M3921" s="90"/>
      <c r="N3921" s="88" t="s">
        <v>22</v>
      </c>
      <c r="O3921" s="89"/>
      <c r="P3921" s="90"/>
      <c r="Q3921" s="133">
        <v>3000</v>
      </c>
      <c r="R3921" s="134"/>
      <c r="S3921" s="5" t="s">
        <v>271</v>
      </c>
      <c r="T3921" s="6"/>
      <c r="U3921" s="6"/>
      <c r="V3921" s="5" t="s">
        <v>702</v>
      </c>
      <c r="W3921" s="12">
        <v>66182355</v>
      </c>
      <c r="X3921" s="6"/>
      <c r="Y3921" s="6"/>
    </row>
    <row r="3922" spans="1:25" ht="15" customHeight="1" x14ac:dyDescent="0.2">
      <c r="A3922" s="88" t="s">
        <v>4671</v>
      </c>
      <c r="B3922" s="90"/>
      <c r="C3922" s="88" t="s">
        <v>4692</v>
      </c>
      <c r="D3922" s="90"/>
      <c r="E3922" s="106"/>
      <c r="F3922" s="107"/>
      <c r="G3922" s="107"/>
      <c r="H3922" s="107"/>
      <c r="I3922" s="108"/>
      <c r="J3922" s="88" t="s">
        <v>2319</v>
      </c>
      <c r="K3922" s="89"/>
      <c r="L3922" s="89"/>
      <c r="M3922" s="90"/>
      <c r="N3922" s="88" t="s">
        <v>22</v>
      </c>
      <c r="O3922" s="89"/>
      <c r="P3922" s="90"/>
      <c r="Q3922" s="133">
        <v>3000</v>
      </c>
      <c r="R3922" s="134"/>
      <c r="S3922" s="5" t="s">
        <v>271</v>
      </c>
      <c r="T3922" s="6"/>
      <c r="U3922" s="6"/>
      <c r="V3922" s="5" t="s">
        <v>702</v>
      </c>
      <c r="W3922" s="12">
        <v>57509346</v>
      </c>
      <c r="X3922" s="6"/>
      <c r="Y3922" s="6"/>
    </row>
    <row r="3923" spans="1:25" ht="15" customHeight="1" x14ac:dyDescent="0.2">
      <c r="A3923" s="88" t="s">
        <v>4671</v>
      </c>
      <c r="B3923" s="90"/>
      <c r="C3923" s="88" t="s">
        <v>4693</v>
      </c>
      <c r="D3923" s="90"/>
      <c r="E3923" s="106"/>
      <c r="F3923" s="107"/>
      <c r="G3923" s="107"/>
      <c r="H3923" s="107"/>
      <c r="I3923" s="108"/>
      <c r="J3923" s="88" t="s">
        <v>775</v>
      </c>
      <c r="K3923" s="89"/>
      <c r="L3923" s="89"/>
      <c r="M3923" s="90"/>
      <c r="N3923" s="88" t="s">
        <v>22</v>
      </c>
      <c r="O3923" s="89"/>
      <c r="P3923" s="90"/>
      <c r="Q3923" s="133">
        <v>4000</v>
      </c>
      <c r="R3923" s="134"/>
      <c r="S3923" s="5" t="s">
        <v>271</v>
      </c>
      <c r="T3923" s="6"/>
      <c r="U3923" s="6"/>
      <c r="V3923" s="5" t="s">
        <v>702</v>
      </c>
      <c r="W3923" s="12">
        <v>61087074</v>
      </c>
      <c r="X3923" s="6"/>
      <c r="Y3923" s="6"/>
    </row>
    <row r="3924" spans="1:25" ht="15" customHeight="1" x14ac:dyDescent="0.2">
      <c r="A3924" s="88" t="s">
        <v>4671</v>
      </c>
      <c r="B3924" s="90"/>
      <c r="C3924" s="88" t="s">
        <v>4693</v>
      </c>
      <c r="D3924" s="90"/>
      <c r="E3924" s="106"/>
      <c r="F3924" s="107"/>
      <c r="G3924" s="107"/>
      <c r="H3924" s="107"/>
      <c r="I3924" s="108"/>
      <c r="J3924" s="88" t="s">
        <v>4409</v>
      </c>
      <c r="K3924" s="89"/>
      <c r="L3924" s="89"/>
      <c r="M3924" s="90"/>
      <c r="N3924" s="88" t="s">
        <v>22</v>
      </c>
      <c r="O3924" s="89"/>
      <c r="P3924" s="90"/>
      <c r="Q3924" s="133">
        <v>4000</v>
      </c>
      <c r="R3924" s="134"/>
      <c r="S3924" s="5" t="s">
        <v>271</v>
      </c>
      <c r="T3924" s="6"/>
      <c r="U3924" s="6"/>
      <c r="V3924" s="5" t="s">
        <v>702</v>
      </c>
      <c r="W3924" s="12">
        <v>61087074</v>
      </c>
      <c r="X3924" s="6"/>
      <c r="Y3924" s="6"/>
    </row>
    <row r="3925" spans="1:25" ht="15" customHeight="1" x14ac:dyDescent="0.2">
      <c r="A3925" s="88" t="s">
        <v>4671</v>
      </c>
      <c r="B3925" s="90"/>
      <c r="C3925" s="88" t="s">
        <v>4694</v>
      </c>
      <c r="D3925" s="90"/>
      <c r="E3925" s="106"/>
      <c r="F3925" s="107"/>
      <c r="G3925" s="107"/>
      <c r="H3925" s="107"/>
      <c r="I3925" s="108"/>
      <c r="J3925" s="88" t="s">
        <v>775</v>
      </c>
      <c r="K3925" s="89"/>
      <c r="L3925" s="89"/>
      <c r="M3925" s="90"/>
      <c r="N3925" s="88" t="s">
        <v>22</v>
      </c>
      <c r="O3925" s="89"/>
      <c r="P3925" s="90"/>
      <c r="Q3925" s="133">
        <v>4000</v>
      </c>
      <c r="R3925" s="134"/>
      <c r="S3925" s="5" t="s">
        <v>271</v>
      </c>
      <c r="T3925" s="6"/>
      <c r="U3925" s="6"/>
      <c r="V3925" s="5" t="s">
        <v>702</v>
      </c>
      <c r="W3925" s="12">
        <v>78678513</v>
      </c>
      <c r="X3925" s="6"/>
      <c r="Y3925" s="6"/>
    </row>
    <row r="3926" spans="1:25" ht="15" customHeight="1" x14ac:dyDescent="0.2">
      <c r="A3926" s="88" t="s">
        <v>4671</v>
      </c>
      <c r="B3926" s="90"/>
      <c r="C3926" s="88" t="s">
        <v>4695</v>
      </c>
      <c r="D3926" s="90"/>
      <c r="E3926" s="106"/>
      <c r="F3926" s="107"/>
      <c r="G3926" s="107"/>
      <c r="H3926" s="107"/>
      <c r="I3926" s="108"/>
      <c r="J3926" s="88" t="s">
        <v>1718</v>
      </c>
      <c r="K3926" s="89"/>
      <c r="L3926" s="89"/>
      <c r="M3926" s="90"/>
      <c r="N3926" s="88" t="s">
        <v>22</v>
      </c>
      <c r="O3926" s="89"/>
      <c r="P3926" s="90"/>
      <c r="Q3926" s="133">
        <v>4000</v>
      </c>
      <c r="R3926" s="134"/>
      <c r="S3926" s="5" t="s">
        <v>271</v>
      </c>
      <c r="T3926" s="6"/>
      <c r="U3926" s="6"/>
      <c r="V3926" s="5" t="s">
        <v>702</v>
      </c>
      <c r="W3926" s="12">
        <v>61087074</v>
      </c>
      <c r="X3926" s="6"/>
      <c r="Y3926" s="6"/>
    </row>
    <row r="3927" spans="1:25" ht="15" customHeight="1" x14ac:dyDescent="0.2">
      <c r="A3927" s="88" t="s">
        <v>4671</v>
      </c>
      <c r="B3927" s="90"/>
      <c r="C3927" s="88" t="s">
        <v>4695</v>
      </c>
      <c r="D3927" s="90"/>
      <c r="E3927" s="106"/>
      <c r="F3927" s="107"/>
      <c r="G3927" s="107"/>
      <c r="H3927" s="107"/>
      <c r="I3927" s="108"/>
      <c r="J3927" s="88" t="s">
        <v>775</v>
      </c>
      <c r="K3927" s="89"/>
      <c r="L3927" s="89"/>
      <c r="M3927" s="90"/>
      <c r="N3927" s="88" t="s">
        <v>22</v>
      </c>
      <c r="O3927" s="89"/>
      <c r="P3927" s="90"/>
      <c r="Q3927" s="133">
        <v>4000</v>
      </c>
      <c r="R3927" s="134"/>
      <c r="S3927" s="5" t="s">
        <v>271</v>
      </c>
      <c r="T3927" s="6"/>
      <c r="U3927" s="6"/>
      <c r="V3927" s="5" t="s">
        <v>702</v>
      </c>
      <c r="W3927" s="12">
        <v>61087074</v>
      </c>
      <c r="X3927" s="6"/>
      <c r="Y3927" s="6"/>
    </row>
    <row r="3928" spans="1:25" ht="15" customHeight="1" x14ac:dyDescent="0.2">
      <c r="A3928" s="88" t="s">
        <v>4671</v>
      </c>
      <c r="B3928" s="90"/>
      <c r="C3928" s="88" t="s">
        <v>4696</v>
      </c>
      <c r="D3928" s="90"/>
      <c r="E3928" s="106"/>
      <c r="F3928" s="107"/>
      <c r="G3928" s="107"/>
      <c r="H3928" s="107"/>
      <c r="I3928" s="108"/>
      <c r="J3928" s="88" t="s">
        <v>1718</v>
      </c>
      <c r="K3928" s="89"/>
      <c r="L3928" s="89"/>
      <c r="M3928" s="90"/>
      <c r="N3928" s="88" t="s">
        <v>22</v>
      </c>
      <c r="O3928" s="89"/>
      <c r="P3928" s="90"/>
      <c r="Q3928" s="133">
        <v>4000</v>
      </c>
      <c r="R3928" s="134"/>
      <c r="S3928" s="5" t="s">
        <v>271</v>
      </c>
      <c r="T3928" s="6"/>
      <c r="U3928" s="6"/>
      <c r="V3928" s="5" t="s">
        <v>702</v>
      </c>
      <c r="W3928" s="12">
        <v>96665100</v>
      </c>
      <c r="X3928" s="6"/>
      <c r="Y3928" s="6"/>
    </row>
    <row r="3929" spans="1:25" ht="15" customHeight="1" x14ac:dyDescent="0.2">
      <c r="A3929" s="88" t="s">
        <v>4671</v>
      </c>
      <c r="B3929" s="90"/>
      <c r="C3929" s="88" t="s">
        <v>4697</v>
      </c>
      <c r="D3929" s="90"/>
      <c r="E3929" s="106"/>
      <c r="F3929" s="107"/>
      <c r="G3929" s="107"/>
      <c r="H3929" s="107"/>
      <c r="I3929" s="108"/>
      <c r="J3929" s="88" t="s">
        <v>2319</v>
      </c>
      <c r="K3929" s="89"/>
      <c r="L3929" s="89"/>
      <c r="M3929" s="90"/>
      <c r="N3929" s="88" t="s">
        <v>22</v>
      </c>
      <c r="O3929" s="89"/>
      <c r="P3929" s="90"/>
      <c r="Q3929" s="133">
        <v>3000</v>
      </c>
      <c r="R3929" s="134"/>
      <c r="S3929" s="5" t="s">
        <v>119</v>
      </c>
      <c r="T3929" s="6"/>
      <c r="U3929" s="6"/>
      <c r="V3929" s="5" t="s">
        <v>702</v>
      </c>
      <c r="W3929" s="12">
        <v>39736432</v>
      </c>
      <c r="X3929" s="6"/>
      <c r="Y3929" s="6"/>
    </row>
    <row r="3930" spans="1:25" ht="15" customHeight="1" x14ac:dyDescent="0.2">
      <c r="A3930" s="88" t="s">
        <v>4671</v>
      </c>
      <c r="B3930" s="90"/>
      <c r="C3930" s="88" t="s">
        <v>4698</v>
      </c>
      <c r="D3930" s="90"/>
      <c r="E3930" s="106"/>
      <c r="F3930" s="107"/>
      <c r="G3930" s="107"/>
      <c r="H3930" s="107"/>
      <c r="I3930" s="108"/>
      <c r="J3930" s="88" t="s">
        <v>2319</v>
      </c>
      <c r="K3930" s="89"/>
      <c r="L3930" s="89"/>
      <c r="M3930" s="90"/>
      <c r="N3930" s="88" t="s">
        <v>22</v>
      </c>
      <c r="O3930" s="89"/>
      <c r="P3930" s="90"/>
      <c r="Q3930" s="133">
        <v>3000</v>
      </c>
      <c r="R3930" s="134"/>
      <c r="S3930" s="5" t="s">
        <v>119</v>
      </c>
      <c r="T3930" s="6"/>
      <c r="U3930" s="6"/>
      <c r="V3930" s="5" t="s">
        <v>702</v>
      </c>
      <c r="W3930" s="12">
        <v>51074837</v>
      </c>
      <c r="X3930" s="6"/>
      <c r="Y3930" s="6"/>
    </row>
    <row r="3931" spans="1:25" ht="15" customHeight="1" x14ac:dyDescent="0.2">
      <c r="A3931" s="88" t="s">
        <v>4671</v>
      </c>
      <c r="B3931" s="90"/>
      <c r="C3931" s="88" t="s">
        <v>4699</v>
      </c>
      <c r="D3931" s="90"/>
      <c r="E3931" s="106"/>
      <c r="F3931" s="107"/>
      <c r="G3931" s="107"/>
      <c r="H3931" s="107"/>
      <c r="I3931" s="108"/>
      <c r="J3931" s="88" t="s">
        <v>2319</v>
      </c>
      <c r="K3931" s="89"/>
      <c r="L3931" s="89"/>
      <c r="M3931" s="90"/>
      <c r="N3931" s="88" t="s">
        <v>22</v>
      </c>
      <c r="O3931" s="89"/>
      <c r="P3931" s="90"/>
      <c r="Q3931" s="133">
        <v>3000</v>
      </c>
      <c r="R3931" s="134"/>
      <c r="S3931" s="5" t="s">
        <v>119</v>
      </c>
      <c r="T3931" s="6"/>
      <c r="U3931" s="6"/>
      <c r="V3931" s="5" t="s">
        <v>702</v>
      </c>
      <c r="W3931" s="12">
        <v>44670050</v>
      </c>
      <c r="X3931" s="6"/>
      <c r="Y3931" s="6"/>
    </row>
    <row r="3932" spans="1:25" ht="15" customHeight="1" x14ac:dyDescent="0.2">
      <c r="A3932" s="88" t="s">
        <v>4671</v>
      </c>
      <c r="B3932" s="90"/>
      <c r="C3932" s="88" t="s">
        <v>4700</v>
      </c>
      <c r="D3932" s="90"/>
      <c r="E3932" s="106"/>
      <c r="F3932" s="107"/>
      <c r="G3932" s="107"/>
      <c r="H3932" s="107"/>
      <c r="I3932" s="108"/>
      <c r="J3932" s="88" t="s">
        <v>2319</v>
      </c>
      <c r="K3932" s="89"/>
      <c r="L3932" s="89"/>
      <c r="M3932" s="90"/>
      <c r="N3932" s="88" t="s">
        <v>22</v>
      </c>
      <c r="O3932" s="89"/>
      <c r="P3932" s="90"/>
      <c r="Q3932" s="133">
        <v>3700</v>
      </c>
      <c r="R3932" s="134"/>
      <c r="S3932" s="5" t="s">
        <v>271</v>
      </c>
      <c r="T3932" s="6"/>
      <c r="U3932" s="6"/>
      <c r="V3932" s="5" t="s">
        <v>702</v>
      </c>
      <c r="W3932" s="12">
        <v>67789968</v>
      </c>
      <c r="X3932" s="6"/>
      <c r="Y3932" s="6"/>
    </row>
    <row r="3933" spans="1:25" ht="15" customHeight="1" x14ac:dyDescent="0.2">
      <c r="A3933" s="88" t="s">
        <v>4671</v>
      </c>
      <c r="B3933" s="90"/>
      <c r="C3933" s="88" t="s">
        <v>4701</v>
      </c>
      <c r="D3933" s="90"/>
      <c r="E3933" s="106"/>
      <c r="F3933" s="107"/>
      <c r="G3933" s="107"/>
      <c r="H3933" s="107"/>
      <c r="I3933" s="108"/>
      <c r="J3933" s="88" t="s">
        <v>2319</v>
      </c>
      <c r="K3933" s="89"/>
      <c r="L3933" s="89"/>
      <c r="M3933" s="90"/>
      <c r="N3933" s="88" t="s">
        <v>22</v>
      </c>
      <c r="O3933" s="89"/>
      <c r="P3933" s="90"/>
      <c r="Q3933" s="133">
        <v>3700</v>
      </c>
      <c r="R3933" s="134"/>
      <c r="S3933" s="5" t="s">
        <v>271</v>
      </c>
      <c r="T3933" s="6"/>
      <c r="U3933" s="6"/>
      <c r="V3933" s="5" t="s">
        <v>702</v>
      </c>
      <c r="W3933" s="12">
        <v>78839499</v>
      </c>
      <c r="X3933" s="6"/>
      <c r="Y3933" s="6"/>
    </row>
    <row r="3934" spans="1:25" ht="15" customHeight="1" x14ac:dyDescent="0.2">
      <c r="A3934" s="88" t="s">
        <v>4671</v>
      </c>
      <c r="B3934" s="90"/>
      <c r="C3934" s="88" t="s">
        <v>4702</v>
      </c>
      <c r="D3934" s="90"/>
      <c r="E3934" s="106"/>
      <c r="F3934" s="107"/>
      <c r="G3934" s="107"/>
      <c r="H3934" s="107"/>
      <c r="I3934" s="108"/>
      <c r="J3934" s="88" t="s">
        <v>2319</v>
      </c>
      <c r="K3934" s="89"/>
      <c r="L3934" s="89"/>
      <c r="M3934" s="90"/>
      <c r="N3934" s="88" t="s">
        <v>22</v>
      </c>
      <c r="O3934" s="89"/>
      <c r="P3934" s="90"/>
      <c r="Q3934" s="133">
        <v>3000</v>
      </c>
      <c r="R3934" s="134"/>
      <c r="S3934" s="5" t="s">
        <v>16</v>
      </c>
      <c r="T3934" s="6"/>
      <c r="U3934" s="6"/>
      <c r="V3934" s="5" t="s">
        <v>702</v>
      </c>
      <c r="W3934" s="12">
        <v>18737482</v>
      </c>
      <c r="X3934" s="6"/>
      <c r="Y3934" s="6"/>
    </row>
    <row r="3935" spans="1:25" ht="15" customHeight="1" x14ac:dyDescent="0.2">
      <c r="A3935" s="88" t="s">
        <v>4671</v>
      </c>
      <c r="B3935" s="90"/>
      <c r="C3935" s="88" t="s">
        <v>4703</v>
      </c>
      <c r="D3935" s="90"/>
      <c r="E3935" s="106"/>
      <c r="F3935" s="107"/>
      <c r="G3935" s="107"/>
      <c r="H3935" s="107"/>
      <c r="I3935" s="108"/>
      <c r="J3935" s="88" t="s">
        <v>4674</v>
      </c>
      <c r="K3935" s="89"/>
      <c r="L3935" s="89"/>
      <c r="M3935" s="90"/>
      <c r="N3935" s="88" t="s">
        <v>22</v>
      </c>
      <c r="O3935" s="89"/>
      <c r="P3935" s="90"/>
      <c r="Q3935" s="133">
        <v>2000</v>
      </c>
      <c r="R3935" s="134"/>
      <c r="S3935" s="5" t="s">
        <v>16</v>
      </c>
      <c r="T3935" s="6"/>
      <c r="U3935" s="6"/>
      <c r="V3935" s="5" t="s">
        <v>702</v>
      </c>
      <c r="W3935" s="12">
        <v>12671780</v>
      </c>
      <c r="X3935" s="6"/>
      <c r="Y3935" s="6"/>
    </row>
    <row r="3936" spans="1:25" ht="15" customHeight="1" x14ac:dyDescent="0.2">
      <c r="A3936" s="88" t="s">
        <v>4671</v>
      </c>
      <c r="B3936" s="90"/>
      <c r="C3936" s="88" t="s">
        <v>4704</v>
      </c>
      <c r="D3936" s="90"/>
      <c r="E3936" s="106"/>
      <c r="F3936" s="107"/>
      <c r="G3936" s="107"/>
      <c r="H3936" s="107"/>
      <c r="I3936" s="108"/>
      <c r="J3936" s="88" t="s">
        <v>4705</v>
      </c>
      <c r="K3936" s="89"/>
      <c r="L3936" s="89"/>
      <c r="M3936" s="90"/>
      <c r="N3936" s="88" t="s">
        <v>22</v>
      </c>
      <c r="O3936" s="89"/>
      <c r="P3936" s="90"/>
      <c r="Q3936" s="106"/>
      <c r="R3936" s="108"/>
      <c r="S3936" s="5" t="s">
        <v>16</v>
      </c>
      <c r="T3936" s="6"/>
      <c r="U3936" s="6"/>
      <c r="V3936" s="5" t="s">
        <v>17</v>
      </c>
      <c r="W3936" s="12">
        <v>17346018</v>
      </c>
      <c r="X3936" s="6"/>
      <c r="Y3936" s="6"/>
    </row>
    <row r="3937" spans="1:25" ht="15" customHeight="1" x14ac:dyDescent="0.2">
      <c r="A3937" s="88" t="s">
        <v>4671</v>
      </c>
      <c r="B3937" s="90"/>
      <c r="C3937" s="88" t="s">
        <v>4706</v>
      </c>
      <c r="D3937" s="90"/>
      <c r="E3937" s="106"/>
      <c r="F3937" s="107"/>
      <c r="G3937" s="107"/>
      <c r="H3937" s="107"/>
      <c r="I3937" s="108"/>
      <c r="J3937" s="88" t="s">
        <v>4705</v>
      </c>
      <c r="K3937" s="89"/>
      <c r="L3937" s="89"/>
      <c r="M3937" s="90"/>
      <c r="N3937" s="88" t="s">
        <v>22</v>
      </c>
      <c r="O3937" s="89"/>
      <c r="P3937" s="90"/>
      <c r="Q3937" s="106"/>
      <c r="R3937" s="108"/>
      <c r="S3937" s="5" t="s">
        <v>16</v>
      </c>
      <c r="T3937" s="6"/>
      <c r="U3937" s="6"/>
      <c r="V3937" s="5" t="s">
        <v>17</v>
      </c>
      <c r="W3937" s="12">
        <v>18156580</v>
      </c>
      <c r="X3937" s="6"/>
      <c r="Y3937" s="6"/>
    </row>
    <row r="3938" spans="1:25" ht="15" customHeight="1" x14ac:dyDescent="0.2">
      <c r="A3938" s="88" t="s">
        <v>4671</v>
      </c>
      <c r="B3938" s="90"/>
      <c r="C3938" s="88" t="s">
        <v>4707</v>
      </c>
      <c r="D3938" s="90"/>
      <c r="E3938" s="106"/>
      <c r="F3938" s="107"/>
      <c r="G3938" s="107"/>
      <c r="H3938" s="107"/>
      <c r="I3938" s="108"/>
      <c r="J3938" s="88" t="s">
        <v>4705</v>
      </c>
      <c r="K3938" s="89"/>
      <c r="L3938" s="89"/>
      <c r="M3938" s="90"/>
      <c r="N3938" s="88" t="s">
        <v>22</v>
      </c>
      <c r="O3938" s="89"/>
      <c r="P3938" s="90"/>
      <c r="Q3938" s="106"/>
      <c r="R3938" s="108"/>
      <c r="S3938" s="5" t="s">
        <v>16</v>
      </c>
      <c r="T3938" s="6"/>
      <c r="U3938" s="6"/>
      <c r="V3938" s="5" t="s">
        <v>17</v>
      </c>
      <c r="W3938" s="12">
        <v>20169474</v>
      </c>
      <c r="X3938" s="6"/>
      <c r="Y3938" s="6"/>
    </row>
    <row r="3939" spans="1:25" ht="15" customHeight="1" x14ac:dyDescent="0.2">
      <c r="A3939" s="88" t="s">
        <v>4671</v>
      </c>
      <c r="B3939" s="90"/>
      <c r="C3939" s="88" t="s">
        <v>4708</v>
      </c>
      <c r="D3939" s="90"/>
      <c r="E3939" s="106"/>
      <c r="F3939" s="107"/>
      <c r="G3939" s="107"/>
      <c r="H3939" s="107"/>
      <c r="I3939" s="108"/>
      <c r="J3939" s="88" t="s">
        <v>4705</v>
      </c>
      <c r="K3939" s="89"/>
      <c r="L3939" s="89"/>
      <c r="M3939" s="90"/>
      <c r="N3939" s="88" t="s">
        <v>22</v>
      </c>
      <c r="O3939" s="89"/>
      <c r="P3939" s="90"/>
      <c r="Q3939" s="106"/>
      <c r="R3939" s="108"/>
      <c r="S3939" s="5" t="s">
        <v>16</v>
      </c>
      <c r="T3939" s="6"/>
      <c r="U3939" s="6"/>
      <c r="V3939" s="5" t="s">
        <v>17</v>
      </c>
      <c r="W3939" s="12">
        <v>24911260</v>
      </c>
      <c r="X3939" s="6"/>
      <c r="Y3939" s="6"/>
    </row>
    <row r="3940" spans="1:25" ht="15" customHeight="1" x14ac:dyDescent="0.2">
      <c r="A3940" s="88" t="s">
        <v>4671</v>
      </c>
      <c r="B3940" s="90"/>
      <c r="C3940" s="88" t="s">
        <v>4709</v>
      </c>
      <c r="D3940" s="90"/>
      <c r="E3940" s="106"/>
      <c r="F3940" s="107"/>
      <c r="G3940" s="107"/>
      <c r="H3940" s="107"/>
      <c r="I3940" s="108"/>
      <c r="J3940" s="88" t="s">
        <v>4674</v>
      </c>
      <c r="K3940" s="89"/>
      <c r="L3940" s="89"/>
      <c r="M3940" s="90"/>
      <c r="N3940" s="88" t="s">
        <v>22</v>
      </c>
      <c r="O3940" s="89"/>
      <c r="P3940" s="90"/>
      <c r="Q3940" s="133">
        <v>2900</v>
      </c>
      <c r="R3940" s="134"/>
      <c r="S3940" s="5" t="s">
        <v>16</v>
      </c>
      <c r="T3940" s="6"/>
      <c r="U3940" s="6"/>
      <c r="V3940" s="5" t="s">
        <v>702</v>
      </c>
      <c r="W3940" s="12">
        <v>19142763</v>
      </c>
      <c r="X3940" s="6"/>
      <c r="Y3940" s="6"/>
    </row>
    <row r="3941" spans="1:25" ht="15" customHeight="1" x14ac:dyDescent="0.2">
      <c r="A3941" s="88" t="s">
        <v>4671</v>
      </c>
      <c r="B3941" s="90"/>
      <c r="C3941" s="88" t="s">
        <v>4710</v>
      </c>
      <c r="D3941" s="90"/>
      <c r="E3941" s="106"/>
      <c r="F3941" s="107"/>
      <c r="G3941" s="107"/>
      <c r="H3941" s="107"/>
      <c r="I3941" s="108"/>
      <c r="J3941" s="88" t="s">
        <v>4674</v>
      </c>
      <c r="K3941" s="89"/>
      <c r="L3941" s="89"/>
      <c r="M3941" s="90"/>
      <c r="N3941" s="88" t="s">
        <v>22</v>
      </c>
      <c r="O3941" s="89"/>
      <c r="P3941" s="90"/>
      <c r="Q3941" s="133">
        <v>2900</v>
      </c>
      <c r="R3941" s="134"/>
      <c r="S3941" s="5" t="s">
        <v>16</v>
      </c>
      <c r="T3941" s="6"/>
      <c r="U3941" s="6"/>
      <c r="V3941" s="5" t="s">
        <v>702</v>
      </c>
      <c r="W3941" s="12">
        <v>15873498</v>
      </c>
      <c r="X3941" s="6"/>
      <c r="Y3941" s="6"/>
    </row>
    <row r="3942" spans="1:25" ht="15" customHeight="1" x14ac:dyDescent="0.2">
      <c r="A3942" s="88" t="s">
        <v>4671</v>
      </c>
      <c r="B3942" s="90"/>
      <c r="C3942" s="88" t="s">
        <v>4711</v>
      </c>
      <c r="D3942" s="90"/>
      <c r="E3942" s="106"/>
      <c r="F3942" s="107"/>
      <c r="G3942" s="107"/>
      <c r="H3942" s="107"/>
      <c r="I3942" s="108"/>
      <c r="J3942" s="88" t="s">
        <v>4674</v>
      </c>
      <c r="K3942" s="89"/>
      <c r="L3942" s="89"/>
      <c r="M3942" s="90"/>
      <c r="N3942" s="88" t="s">
        <v>22</v>
      </c>
      <c r="O3942" s="89"/>
      <c r="P3942" s="90"/>
      <c r="Q3942" s="133">
        <v>2000</v>
      </c>
      <c r="R3942" s="134"/>
      <c r="S3942" s="5" t="s">
        <v>16</v>
      </c>
      <c r="T3942" s="6"/>
      <c r="U3942" s="6"/>
      <c r="V3942" s="5" t="s">
        <v>702</v>
      </c>
      <c r="W3942" s="12">
        <v>13131098</v>
      </c>
      <c r="X3942" s="6"/>
      <c r="Y3942" s="6"/>
    </row>
    <row r="3943" spans="1:25" ht="15" customHeight="1" x14ac:dyDescent="0.2">
      <c r="A3943" s="88" t="s">
        <v>4671</v>
      </c>
      <c r="B3943" s="90"/>
      <c r="C3943" s="88" t="s">
        <v>4712</v>
      </c>
      <c r="D3943" s="90"/>
      <c r="E3943" s="106"/>
      <c r="F3943" s="107"/>
      <c r="G3943" s="107"/>
      <c r="H3943" s="107"/>
      <c r="I3943" s="108"/>
      <c r="J3943" s="88" t="s">
        <v>4713</v>
      </c>
      <c r="K3943" s="89"/>
      <c r="L3943" s="89"/>
      <c r="M3943" s="90"/>
      <c r="N3943" s="88" t="s">
        <v>26</v>
      </c>
      <c r="O3943" s="89"/>
      <c r="P3943" s="90"/>
      <c r="Q3943" s="133">
        <v>2900</v>
      </c>
      <c r="R3943" s="134"/>
      <c r="S3943" s="5" t="s">
        <v>44</v>
      </c>
      <c r="T3943" s="6"/>
      <c r="U3943" s="6"/>
      <c r="V3943" s="5" t="s">
        <v>702</v>
      </c>
      <c r="W3943" s="12">
        <v>27761735</v>
      </c>
      <c r="X3943" s="6"/>
      <c r="Y3943" s="6"/>
    </row>
    <row r="3944" spans="1:25" ht="15" customHeight="1" x14ac:dyDescent="0.2">
      <c r="A3944" s="88" t="s">
        <v>4671</v>
      </c>
      <c r="B3944" s="90"/>
      <c r="C3944" s="88" t="s">
        <v>4714</v>
      </c>
      <c r="D3944" s="90"/>
      <c r="E3944" s="106"/>
      <c r="F3944" s="107"/>
      <c r="G3944" s="107"/>
      <c r="H3944" s="107"/>
      <c r="I3944" s="108"/>
      <c r="J3944" s="88" t="s">
        <v>4713</v>
      </c>
      <c r="K3944" s="89"/>
      <c r="L3944" s="89"/>
      <c r="M3944" s="90"/>
      <c r="N3944" s="88" t="s">
        <v>26</v>
      </c>
      <c r="O3944" s="89"/>
      <c r="P3944" s="90"/>
      <c r="Q3944" s="133">
        <v>2900</v>
      </c>
      <c r="R3944" s="134"/>
      <c r="S3944" s="5" t="s">
        <v>44</v>
      </c>
      <c r="T3944" s="6"/>
      <c r="U3944" s="6"/>
      <c r="V3944" s="5" t="s">
        <v>702</v>
      </c>
      <c r="W3944" s="12">
        <v>25425966</v>
      </c>
      <c r="X3944" s="6"/>
      <c r="Y3944" s="6"/>
    </row>
    <row r="3945" spans="1:25" ht="15" customHeight="1" x14ac:dyDescent="0.2">
      <c r="A3945" s="88" t="s">
        <v>4671</v>
      </c>
      <c r="B3945" s="90"/>
      <c r="C3945" s="88" t="s">
        <v>4715</v>
      </c>
      <c r="D3945" s="90"/>
      <c r="E3945" s="106"/>
      <c r="F3945" s="107"/>
      <c r="G3945" s="107"/>
      <c r="H3945" s="107"/>
      <c r="I3945" s="108"/>
      <c r="J3945" s="88" t="s">
        <v>4713</v>
      </c>
      <c r="K3945" s="89"/>
      <c r="L3945" s="89"/>
      <c r="M3945" s="90"/>
      <c r="N3945" s="88" t="s">
        <v>26</v>
      </c>
      <c r="O3945" s="89"/>
      <c r="P3945" s="90"/>
      <c r="Q3945" s="133">
        <v>2900</v>
      </c>
      <c r="R3945" s="134"/>
      <c r="S3945" s="5" t="s">
        <v>44</v>
      </c>
      <c r="T3945" s="6"/>
      <c r="U3945" s="6"/>
      <c r="V3945" s="5" t="s">
        <v>2586</v>
      </c>
      <c r="W3945" s="12">
        <v>33962531</v>
      </c>
      <c r="X3945" s="6"/>
      <c r="Y3945" s="6"/>
    </row>
    <row r="3946" spans="1:25" ht="15" customHeight="1" x14ac:dyDescent="0.2">
      <c r="A3946" s="88" t="s">
        <v>4671</v>
      </c>
      <c r="B3946" s="90"/>
      <c r="C3946" s="88" t="s">
        <v>4716</v>
      </c>
      <c r="D3946" s="90"/>
      <c r="E3946" s="106"/>
      <c r="F3946" s="107"/>
      <c r="G3946" s="107"/>
      <c r="H3946" s="107"/>
      <c r="I3946" s="108"/>
      <c r="J3946" s="88" t="s">
        <v>4713</v>
      </c>
      <c r="K3946" s="89"/>
      <c r="L3946" s="89"/>
      <c r="M3946" s="90"/>
      <c r="N3946" s="88" t="s">
        <v>26</v>
      </c>
      <c r="O3946" s="89"/>
      <c r="P3946" s="90"/>
      <c r="Q3946" s="133">
        <v>2900</v>
      </c>
      <c r="R3946" s="134"/>
      <c r="S3946" s="5" t="s">
        <v>44</v>
      </c>
      <c r="T3946" s="6"/>
      <c r="U3946" s="6"/>
      <c r="V3946" s="5" t="s">
        <v>2586</v>
      </c>
      <c r="W3946" s="12">
        <v>30745952</v>
      </c>
      <c r="X3946" s="6"/>
      <c r="Y3946" s="6"/>
    </row>
    <row r="3947" spans="1:25" ht="15" customHeight="1" x14ac:dyDescent="0.2">
      <c r="A3947" s="88" t="s">
        <v>4671</v>
      </c>
      <c r="B3947" s="90"/>
      <c r="C3947" s="88" t="s">
        <v>4717</v>
      </c>
      <c r="D3947" s="90"/>
      <c r="E3947" s="106"/>
      <c r="F3947" s="107"/>
      <c r="G3947" s="107"/>
      <c r="H3947" s="107"/>
      <c r="I3947" s="108"/>
      <c r="J3947" s="88" t="s">
        <v>4713</v>
      </c>
      <c r="K3947" s="89"/>
      <c r="L3947" s="89"/>
      <c r="M3947" s="90"/>
      <c r="N3947" s="88" t="s">
        <v>26</v>
      </c>
      <c r="O3947" s="89"/>
      <c r="P3947" s="90"/>
      <c r="Q3947" s="133">
        <v>2900</v>
      </c>
      <c r="R3947" s="134"/>
      <c r="S3947" s="5" t="s">
        <v>44</v>
      </c>
      <c r="T3947" s="6"/>
      <c r="U3947" s="6"/>
      <c r="V3947" s="5" t="s">
        <v>2586</v>
      </c>
      <c r="W3947" s="12">
        <v>29408526</v>
      </c>
      <c r="X3947" s="6"/>
      <c r="Y3947" s="6"/>
    </row>
    <row r="3948" spans="1:25" ht="15" customHeight="1" x14ac:dyDescent="0.2">
      <c r="A3948" s="88" t="s">
        <v>4671</v>
      </c>
      <c r="B3948" s="90"/>
      <c r="C3948" s="88" t="s">
        <v>4718</v>
      </c>
      <c r="D3948" s="90"/>
      <c r="E3948" s="106"/>
      <c r="F3948" s="107"/>
      <c r="G3948" s="107"/>
      <c r="H3948" s="107"/>
      <c r="I3948" s="108"/>
      <c r="J3948" s="88" t="s">
        <v>4713</v>
      </c>
      <c r="K3948" s="89"/>
      <c r="L3948" s="89"/>
      <c r="M3948" s="90"/>
      <c r="N3948" s="88" t="s">
        <v>22</v>
      </c>
      <c r="O3948" s="89"/>
      <c r="P3948" s="90"/>
      <c r="Q3948" s="133">
        <v>2900</v>
      </c>
      <c r="R3948" s="134"/>
      <c r="S3948" s="5" t="s">
        <v>70</v>
      </c>
      <c r="T3948" s="6"/>
      <c r="U3948" s="6"/>
      <c r="V3948" s="5" t="s">
        <v>2586</v>
      </c>
      <c r="W3948" s="12">
        <v>30478467</v>
      </c>
      <c r="X3948" s="6"/>
      <c r="Y3948" s="6"/>
    </row>
    <row r="3949" spans="1:25" ht="15" customHeight="1" x14ac:dyDescent="0.2">
      <c r="A3949" s="88" t="s">
        <v>4671</v>
      </c>
      <c r="B3949" s="90"/>
      <c r="C3949" s="88" t="s">
        <v>4719</v>
      </c>
      <c r="D3949" s="90"/>
      <c r="E3949" s="106"/>
      <c r="F3949" s="107"/>
      <c r="G3949" s="107"/>
      <c r="H3949" s="107"/>
      <c r="I3949" s="108"/>
      <c r="J3949" s="88" t="s">
        <v>4713</v>
      </c>
      <c r="K3949" s="89"/>
      <c r="L3949" s="89"/>
      <c r="M3949" s="90"/>
      <c r="N3949" s="88" t="s">
        <v>26</v>
      </c>
      <c r="O3949" s="89"/>
      <c r="P3949" s="90"/>
      <c r="Q3949" s="133">
        <v>2900</v>
      </c>
      <c r="R3949" s="134"/>
      <c r="S3949" s="5" t="s">
        <v>44</v>
      </c>
      <c r="T3949" s="6"/>
      <c r="U3949" s="6"/>
      <c r="V3949" s="5" t="s">
        <v>702</v>
      </c>
      <c r="W3949" s="12">
        <v>26540489</v>
      </c>
      <c r="X3949" s="6"/>
      <c r="Y3949" s="6"/>
    </row>
    <row r="3950" spans="1:25" ht="15" customHeight="1" x14ac:dyDescent="0.2">
      <c r="A3950" s="88" t="s">
        <v>4671</v>
      </c>
      <c r="B3950" s="90"/>
      <c r="C3950" s="88" t="s">
        <v>4720</v>
      </c>
      <c r="D3950" s="90"/>
      <c r="E3950" s="106"/>
      <c r="F3950" s="107"/>
      <c r="G3950" s="107"/>
      <c r="H3950" s="107"/>
      <c r="I3950" s="108"/>
      <c r="J3950" s="88" t="s">
        <v>4713</v>
      </c>
      <c r="K3950" s="89"/>
      <c r="L3950" s="89"/>
      <c r="M3950" s="90"/>
      <c r="N3950" s="88" t="s">
        <v>26</v>
      </c>
      <c r="O3950" s="89"/>
      <c r="P3950" s="90"/>
      <c r="Q3950" s="133">
        <v>2900</v>
      </c>
      <c r="R3950" s="134"/>
      <c r="S3950" s="5" t="s">
        <v>44</v>
      </c>
      <c r="T3950" s="6"/>
      <c r="U3950" s="6"/>
      <c r="V3950" s="5" t="s">
        <v>702</v>
      </c>
      <c r="W3950" s="12">
        <v>25292224</v>
      </c>
      <c r="X3950" s="6"/>
      <c r="Y3950" s="6"/>
    </row>
    <row r="3951" spans="1:25" ht="15" customHeight="1" x14ac:dyDescent="0.2">
      <c r="A3951" s="88" t="s">
        <v>4671</v>
      </c>
      <c r="B3951" s="90"/>
      <c r="C3951" s="88" t="s">
        <v>4721</v>
      </c>
      <c r="D3951" s="90"/>
      <c r="E3951" s="106"/>
      <c r="F3951" s="107"/>
      <c r="G3951" s="107"/>
      <c r="H3951" s="107"/>
      <c r="I3951" s="108"/>
      <c r="J3951" s="88" t="s">
        <v>4713</v>
      </c>
      <c r="K3951" s="89"/>
      <c r="L3951" s="89"/>
      <c r="M3951" s="90"/>
      <c r="N3951" s="88" t="s">
        <v>22</v>
      </c>
      <c r="O3951" s="89"/>
      <c r="P3951" s="90"/>
      <c r="Q3951" s="133">
        <v>2900</v>
      </c>
      <c r="R3951" s="134"/>
      <c r="S3951" s="5" t="s">
        <v>70</v>
      </c>
      <c r="T3951" s="6"/>
      <c r="U3951" s="6"/>
      <c r="V3951" s="5" t="s">
        <v>702</v>
      </c>
      <c r="W3951" s="12">
        <v>26763393</v>
      </c>
      <c r="X3951" s="6"/>
      <c r="Y3951" s="6"/>
    </row>
    <row r="3952" spans="1:25" ht="15" customHeight="1" x14ac:dyDescent="0.2">
      <c r="A3952" s="88" t="s">
        <v>4671</v>
      </c>
      <c r="B3952" s="90"/>
      <c r="C3952" s="88" t="s">
        <v>4722</v>
      </c>
      <c r="D3952" s="90"/>
      <c r="E3952" s="106"/>
      <c r="F3952" s="107"/>
      <c r="G3952" s="107"/>
      <c r="H3952" s="107"/>
      <c r="I3952" s="108"/>
      <c r="J3952" s="88" t="s">
        <v>4713</v>
      </c>
      <c r="K3952" s="89"/>
      <c r="L3952" s="89"/>
      <c r="M3952" s="90"/>
      <c r="N3952" s="88" t="s">
        <v>26</v>
      </c>
      <c r="O3952" s="89"/>
      <c r="P3952" s="90"/>
      <c r="Q3952" s="133">
        <v>2900</v>
      </c>
      <c r="R3952" s="134"/>
      <c r="S3952" s="5" t="s">
        <v>44</v>
      </c>
      <c r="T3952" s="6"/>
      <c r="U3952" s="6"/>
      <c r="V3952" s="5" t="s">
        <v>2586</v>
      </c>
      <c r="W3952" s="12">
        <v>40190346</v>
      </c>
      <c r="X3952" s="6"/>
      <c r="Y3952" s="6"/>
    </row>
    <row r="3953" spans="1:25" ht="15" customHeight="1" x14ac:dyDescent="0.2">
      <c r="A3953" s="88" t="s">
        <v>4671</v>
      </c>
      <c r="B3953" s="90"/>
      <c r="C3953" s="88" t="s">
        <v>4723</v>
      </c>
      <c r="D3953" s="90"/>
      <c r="E3953" s="106"/>
      <c r="F3953" s="107"/>
      <c r="G3953" s="107"/>
      <c r="H3953" s="107"/>
      <c r="I3953" s="108"/>
      <c r="J3953" s="88" t="s">
        <v>4713</v>
      </c>
      <c r="K3953" s="89"/>
      <c r="L3953" s="89"/>
      <c r="M3953" s="90"/>
      <c r="N3953" s="88" t="s">
        <v>26</v>
      </c>
      <c r="O3953" s="89"/>
      <c r="P3953" s="90"/>
      <c r="Q3953" s="133">
        <v>4000</v>
      </c>
      <c r="R3953" s="134"/>
      <c r="S3953" s="5" t="s">
        <v>44</v>
      </c>
      <c r="T3953" s="6"/>
      <c r="U3953" s="6"/>
      <c r="V3953" s="5" t="s">
        <v>702</v>
      </c>
      <c r="W3953" s="12">
        <v>46305583</v>
      </c>
      <c r="X3953" s="6"/>
      <c r="Y3953" s="6"/>
    </row>
    <row r="3954" spans="1:25" ht="15" customHeight="1" x14ac:dyDescent="0.2">
      <c r="A3954" s="88" t="s">
        <v>4671</v>
      </c>
      <c r="B3954" s="90"/>
      <c r="C3954" s="88" t="s">
        <v>4724</v>
      </c>
      <c r="D3954" s="90"/>
      <c r="E3954" s="106"/>
      <c r="F3954" s="107"/>
      <c r="G3954" s="107"/>
      <c r="H3954" s="107"/>
      <c r="I3954" s="108"/>
      <c r="J3954" s="88" t="s">
        <v>4713</v>
      </c>
      <c r="K3954" s="89"/>
      <c r="L3954" s="89"/>
      <c r="M3954" s="90"/>
      <c r="N3954" s="88" t="s">
        <v>22</v>
      </c>
      <c r="O3954" s="89"/>
      <c r="P3954" s="90"/>
      <c r="Q3954" s="133">
        <v>4000</v>
      </c>
      <c r="R3954" s="134"/>
      <c r="S3954" s="5" t="s">
        <v>70</v>
      </c>
      <c r="T3954" s="6"/>
      <c r="U3954" s="6"/>
      <c r="V3954" s="5" t="s">
        <v>702</v>
      </c>
      <c r="W3954" s="12">
        <v>42065783</v>
      </c>
      <c r="X3954" s="6"/>
      <c r="Y3954" s="6"/>
    </row>
    <row r="3955" spans="1:25" ht="15" customHeight="1" x14ac:dyDescent="0.2">
      <c r="A3955" s="88" t="s">
        <v>4671</v>
      </c>
      <c r="B3955" s="90"/>
      <c r="C3955" s="88" t="s">
        <v>4725</v>
      </c>
      <c r="D3955" s="90"/>
      <c r="E3955" s="106"/>
      <c r="F3955" s="107"/>
      <c r="G3955" s="107"/>
      <c r="H3955" s="107"/>
      <c r="I3955" s="108"/>
      <c r="J3955" s="88" t="s">
        <v>4713</v>
      </c>
      <c r="K3955" s="89"/>
      <c r="L3955" s="89"/>
      <c r="M3955" s="90"/>
      <c r="N3955" s="88" t="s">
        <v>26</v>
      </c>
      <c r="O3955" s="89"/>
      <c r="P3955" s="90"/>
      <c r="Q3955" s="133">
        <v>2900</v>
      </c>
      <c r="R3955" s="134"/>
      <c r="S3955" s="5" t="s">
        <v>44</v>
      </c>
      <c r="T3955" s="6"/>
      <c r="U3955" s="6"/>
      <c r="V3955" s="5" t="s">
        <v>702</v>
      </c>
      <c r="W3955" s="12">
        <v>24207422</v>
      </c>
      <c r="X3955" s="6"/>
      <c r="Y3955" s="6"/>
    </row>
    <row r="3956" spans="1:25" ht="15" customHeight="1" x14ac:dyDescent="0.2">
      <c r="A3956" s="88" t="s">
        <v>4671</v>
      </c>
      <c r="B3956" s="90"/>
      <c r="C3956" s="88" t="s">
        <v>4726</v>
      </c>
      <c r="D3956" s="90"/>
      <c r="E3956" s="106"/>
      <c r="F3956" s="107"/>
      <c r="G3956" s="107"/>
      <c r="H3956" s="107"/>
      <c r="I3956" s="108"/>
      <c r="J3956" s="88" t="s">
        <v>4713</v>
      </c>
      <c r="K3956" s="89"/>
      <c r="L3956" s="89"/>
      <c r="M3956" s="90"/>
      <c r="N3956" s="88" t="s">
        <v>26</v>
      </c>
      <c r="O3956" s="89"/>
      <c r="P3956" s="90"/>
      <c r="Q3956" s="133">
        <v>4000</v>
      </c>
      <c r="R3956" s="134"/>
      <c r="S3956" s="5" t="s">
        <v>44</v>
      </c>
      <c r="T3956" s="6"/>
      <c r="U3956" s="6"/>
      <c r="V3956" s="5" t="s">
        <v>702</v>
      </c>
      <c r="W3956" s="12">
        <v>53866096</v>
      </c>
      <c r="X3956" s="6"/>
      <c r="Y3956" s="6"/>
    </row>
    <row r="3957" spans="1:25" ht="15" customHeight="1" x14ac:dyDescent="0.2">
      <c r="A3957" s="88" t="s">
        <v>4671</v>
      </c>
      <c r="B3957" s="90"/>
      <c r="C3957" s="88" t="s">
        <v>4727</v>
      </c>
      <c r="D3957" s="90"/>
      <c r="E3957" s="106"/>
      <c r="F3957" s="107"/>
      <c r="G3957" s="107"/>
      <c r="H3957" s="107"/>
      <c r="I3957" s="108"/>
      <c r="J3957" s="88" t="s">
        <v>4713</v>
      </c>
      <c r="K3957" s="89"/>
      <c r="L3957" s="89"/>
      <c r="M3957" s="90"/>
      <c r="N3957" s="88" t="s">
        <v>26</v>
      </c>
      <c r="O3957" s="89"/>
      <c r="P3957" s="90"/>
      <c r="Q3957" s="133">
        <v>4000</v>
      </c>
      <c r="R3957" s="134"/>
      <c r="S3957" s="5" t="s">
        <v>44</v>
      </c>
      <c r="T3957" s="6"/>
      <c r="U3957" s="6"/>
      <c r="V3957" s="5" t="s">
        <v>2586</v>
      </c>
      <c r="W3957" s="12">
        <v>63253075</v>
      </c>
      <c r="X3957" s="6"/>
      <c r="Y3957" s="6"/>
    </row>
    <row r="3958" spans="1:25" ht="15" customHeight="1" x14ac:dyDescent="0.2">
      <c r="A3958" s="88" t="s">
        <v>4671</v>
      </c>
      <c r="B3958" s="90"/>
      <c r="C3958" s="88" t="s">
        <v>4728</v>
      </c>
      <c r="D3958" s="90"/>
      <c r="E3958" s="106"/>
      <c r="F3958" s="107"/>
      <c r="G3958" s="107"/>
      <c r="H3958" s="107"/>
      <c r="I3958" s="108"/>
      <c r="J3958" s="88" t="s">
        <v>4729</v>
      </c>
      <c r="K3958" s="89"/>
      <c r="L3958" s="89"/>
      <c r="M3958" s="90"/>
      <c r="N3958" s="88" t="s">
        <v>26</v>
      </c>
      <c r="O3958" s="89"/>
      <c r="P3958" s="90"/>
      <c r="Q3958" s="106"/>
      <c r="R3958" s="108"/>
      <c r="S3958" s="5" t="s">
        <v>44</v>
      </c>
      <c r="T3958" s="6"/>
      <c r="U3958" s="6"/>
      <c r="V3958" s="5" t="s">
        <v>17</v>
      </c>
      <c r="W3958" s="12">
        <v>18040399</v>
      </c>
      <c r="X3958" s="6"/>
      <c r="Y3958" s="6"/>
    </row>
    <row r="3959" spans="1:25" ht="15" customHeight="1" x14ac:dyDescent="0.2">
      <c r="A3959" s="88" t="s">
        <v>4671</v>
      </c>
      <c r="B3959" s="90"/>
      <c r="C3959" s="88" t="s">
        <v>4730</v>
      </c>
      <c r="D3959" s="90"/>
      <c r="E3959" s="106"/>
      <c r="F3959" s="107"/>
      <c r="G3959" s="107"/>
      <c r="H3959" s="107"/>
      <c r="I3959" s="108"/>
      <c r="J3959" s="106"/>
      <c r="K3959" s="107"/>
      <c r="L3959" s="107"/>
      <c r="M3959" s="108"/>
      <c r="N3959" s="88" t="s">
        <v>26</v>
      </c>
      <c r="O3959" s="89"/>
      <c r="P3959" s="90"/>
      <c r="Q3959" s="106"/>
      <c r="R3959" s="108"/>
      <c r="S3959" s="5" t="s">
        <v>44</v>
      </c>
      <c r="T3959" s="6"/>
      <c r="U3959" s="6"/>
      <c r="V3959" s="5" t="s">
        <v>17</v>
      </c>
      <c r="W3959" s="12">
        <v>21740613</v>
      </c>
      <c r="X3959" s="6"/>
      <c r="Y3959" s="6"/>
    </row>
    <row r="3960" spans="1:25" ht="15" customHeight="1" x14ac:dyDescent="0.2">
      <c r="A3960" s="88" t="s">
        <v>4671</v>
      </c>
      <c r="B3960" s="90"/>
      <c r="C3960" s="88" t="s">
        <v>4731</v>
      </c>
      <c r="D3960" s="90"/>
      <c r="E3960" s="106"/>
      <c r="F3960" s="107"/>
      <c r="G3960" s="107"/>
      <c r="H3960" s="107"/>
      <c r="I3960" s="108"/>
      <c r="J3960" s="106"/>
      <c r="K3960" s="107"/>
      <c r="L3960" s="107"/>
      <c r="M3960" s="108"/>
      <c r="N3960" s="88" t="s">
        <v>22</v>
      </c>
      <c r="O3960" s="89"/>
      <c r="P3960" s="90"/>
      <c r="Q3960" s="106"/>
      <c r="R3960" s="108"/>
      <c r="S3960" s="5" t="s">
        <v>70</v>
      </c>
      <c r="T3960" s="6"/>
      <c r="U3960" s="6"/>
      <c r="V3960" s="5" t="s">
        <v>17</v>
      </c>
      <c r="W3960" s="12">
        <v>18872576</v>
      </c>
      <c r="X3960" s="6"/>
      <c r="Y3960" s="6"/>
    </row>
    <row r="3961" spans="1:25" ht="15" customHeight="1" x14ac:dyDescent="0.2">
      <c r="A3961" s="88" t="s">
        <v>4671</v>
      </c>
      <c r="B3961" s="90"/>
      <c r="C3961" s="88" t="s">
        <v>4732</v>
      </c>
      <c r="D3961" s="90"/>
      <c r="E3961" s="106"/>
      <c r="F3961" s="107"/>
      <c r="G3961" s="107"/>
      <c r="H3961" s="107"/>
      <c r="I3961" s="108"/>
      <c r="J3961" s="106"/>
      <c r="K3961" s="107"/>
      <c r="L3961" s="107"/>
      <c r="M3961" s="108"/>
      <c r="N3961" s="88" t="s">
        <v>26</v>
      </c>
      <c r="O3961" s="89"/>
      <c r="P3961" s="90"/>
      <c r="Q3961" s="106"/>
      <c r="R3961" s="108"/>
      <c r="S3961" s="5" t="s">
        <v>44</v>
      </c>
      <c r="T3961" s="6"/>
      <c r="U3961" s="6"/>
      <c r="V3961" s="5" t="s">
        <v>17</v>
      </c>
      <c r="W3961" s="12">
        <v>22528209</v>
      </c>
      <c r="X3961" s="6"/>
      <c r="Y3961" s="6"/>
    </row>
    <row r="3962" spans="1:25" ht="15" customHeight="1" x14ac:dyDescent="0.2">
      <c r="A3962" s="88" t="s">
        <v>4671</v>
      </c>
      <c r="B3962" s="90"/>
      <c r="C3962" s="88" t="s">
        <v>4733</v>
      </c>
      <c r="D3962" s="90"/>
      <c r="E3962" s="106"/>
      <c r="F3962" s="107"/>
      <c r="G3962" s="107"/>
      <c r="H3962" s="107"/>
      <c r="I3962" s="108"/>
      <c r="J3962" s="106"/>
      <c r="K3962" s="107"/>
      <c r="L3962" s="107"/>
      <c r="M3962" s="108"/>
      <c r="N3962" s="88" t="s">
        <v>22</v>
      </c>
      <c r="O3962" s="89"/>
      <c r="P3962" s="90"/>
      <c r="Q3962" s="106"/>
      <c r="R3962" s="108"/>
      <c r="S3962" s="5" t="s">
        <v>70</v>
      </c>
      <c r="T3962" s="6"/>
      <c r="U3962" s="6"/>
      <c r="V3962" s="5" t="s">
        <v>17</v>
      </c>
      <c r="W3962" s="12">
        <v>25485408</v>
      </c>
      <c r="X3962" s="6"/>
      <c r="Y3962" s="6"/>
    </row>
    <row r="3963" spans="1:25" ht="15" customHeight="1" x14ac:dyDescent="0.2">
      <c r="A3963" s="88" t="s">
        <v>4671</v>
      </c>
      <c r="B3963" s="90"/>
      <c r="C3963" s="88" t="s">
        <v>4734</v>
      </c>
      <c r="D3963" s="90"/>
      <c r="E3963" s="106"/>
      <c r="F3963" s="107"/>
      <c r="G3963" s="107"/>
      <c r="H3963" s="107"/>
      <c r="I3963" s="108"/>
      <c r="J3963" s="106"/>
      <c r="K3963" s="107"/>
      <c r="L3963" s="107"/>
      <c r="M3963" s="108"/>
      <c r="N3963" s="88" t="s">
        <v>26</v>
      </c>
      <c r="O3963" s="89"/>
      <c r="P3963" s="90"/>
      <c r="Q3963" s="106"/>
      <c r="R3963" s="108"/>
      <c r="S3963" s="5" t="s">
        <v>44</v>
      </c>
      <c r="T3963" s="6"/>
      <c r="U3963" s="6"/>
      <c r="V3963" s="5" t="s">
        <v>17</v>
      </c>
      <c r="W3963" s="12">
        <v>49098418</v>
      </c>
      <c r="X3963" s="6"/>
      <c r="Y3963" s="6"/>
    </row>
    <row r="3964" spans="1:25" ht="15" customHeight="1" x14ac:dyDescent="0.2">
      <c r="A3964" s="88" t="s">
        <v>4671</v>
      </c>
      <c r="B3964" s="90"/>
      <c r="C3964" s="88" t="s">
        <v>4735</v>
      </c>
      <c r="D3964" s="90"/>
      <c r="E3964" s="106"/>
      <c r="F3964" s="107"/>
      <c r="G3964" s="107"/>
      <c r="H3964" s="107"/>
      <c r="I3964" s="108"/>
      <c r="J3964" s="106"/>
      <c r="K3964" s="107"/>
      <c r="L3964" s="107"/>
      <c r="M3964" s="108"/>
      <c r="N3964" s="88" t="s">
        <v>26</v>
      </c>
      <c r="O3964" s="89"/>
      <c r="P3964" s="90"/>
      <c r="Q3964" s="106"/>
      <c r="R3964" s="108"/>
      <c r="S3964" s="5" t="s">
        <v>44</v>
      </c>
      <c r="T3964" s="6"/>
      <c r="U3964" s="6"/>
      <c r="V3964" s="5" t="s">
        <v>17</v>
      </c>
      <c r="W3964" s="12">
        <v>27224062</v>
      </c>
      <c r="X3964" s="6"/>
      <c r="Y3964" s="6"/>
    </row>
    <row r="3965" spans="1:25" ht="15" customHeight="1" x14ac:dyDescent="0.2">
      <c r="A3965" s="88" t="s">
        <v>4671</v>
      </c>
      <c r="B3965" s="90"/>
      <c r="C3965" s="88" t="s">
        <v>4736</v>
      </c>
      <c r="D3965" s="90"/>
      <c r="E3965" s="106"/>
      <c r="F3965" s="107"/>
      <c r="G3965" s="107"/>
      <c r="H3965" s="107"/>
      <c r="I3965" s="108"/>
      <c r="J3965" s="106"/>
      <c r="K3965" s="107"/>
      <c r="L3965" s="107"/>
      <c r="M3965" s="108"/>
      <c r="N3965" s="88" t="s">
        <v>26</v>
      </c>
      <c r="O3965" s="89"/>
      <c r="P3965" s="90"/>
      <c r="Q3965" s="106"/>
      <c r="R3965" s="108"/>
      <c r="S3965" s="5" t="s">
        <v>44</v>
      </c>
      <c r="T3965" s="6"/>
      <c r="U3965" s="6"/>
      <c r="V3965" s="5" t="s">
        <v>17</v>
      </c>
      <c r="W3965" s="12">
        <v>32083379</v>
      </c>
      <c r="X3965" s="6"/>
      <c r="Y3965" s="6"/>
    </row>
    <row r="3966" spans="1:25" ht="15" customHeight="1" x14ac:dyDescent="0.2">
      <c r="A3966" s="88" t="s">
        <v>4671</v>
      </c>
      <c r="B3966" s="90"/>
      <c r="C3966" s="88" t="s">
        <v>4737</v>
      </c>
      <c r="D3966" s="90"/>
      <c r="E3966" s="106"/>
      <c r="F3966" s="107"/>
      <c r="G3966" s="107"/>
      <c r="H3966" s="107"/>
      <c r="I3966" s="108"/>
      <c r="J3966" s="106"/>
      <c r="K3966" s="107"/>
      <c r="L3966" s="107"/>
      <c r="M3966" s="108"/>
      <c r="N3966" s="88" t="s">
        <v>22</v>
      </c>
      <c r="O3966" s="89"/>
      <c r="P3966" s="90"/>
      <c r="Q3966" s="106"/>
      <c r="R3966" s="108"/>
      <c r="S3966" s="5" t="s">
        <v>70</v>
      </c>
      <c r="T3966" s="6"/>
      <c r="U3966" s="6"/>
      <c r="V3966" s="5" t="s">
        <v>17</v>
      </c>
      <c r="W3966" s="12">
        <v>32380585</v>
      </c>
      <c r="X3966" s="6"/>
      <c r="Y3966" s="6"/>
    </row>
    <row r="3967" spans="1:25" ht="15" customHeight="1" x14ac:dyDescent="0.2">
      <c r="A3967" s="88" t="s">
        <v>4671</v>
      </c>
      <c r="B3967" s="90"/>
      <c r="C3967" s="88" t="s">
        <v>4738</v>
      </c>
      <c r="D3967" s="90"/>
      <c r="E3967" s="106"/>
      <c r="F3967" s="107"/>
      <c r="G3967" s="107"/>
      <c r="H3967" s="107"/>
      <c r="I3967" s="108"/>
      <c r="J3967" s="106"/>
      <c r="K3967" s="107"/>
      <c r="L3967" s="107"/>
      <c r="M3967" s="108"/>
      <c r="N3967" s="88" t="s">
        <v>26</v>
      </c>
      <c r="O3967" s="89"/>
      <c r="P3967" s="90"/>
      <c r="Q3967" s="106"/>
      <c r="R3967" s="108"/>
      <c r="S3967" s="5" t="s">
        <v>44</v>
      </c>
      <c r="T3967" s="6"/>
      <c r="U3967" s="6"/>
      <c r="V3967" s="5" t="s">
        <v>17</v>
      </c>
      <c r="W3967" s="12">
        <v>42886814</v>
      </c>
      <c r="X3967" s="6"/>
      <c r="Y3967" s="6"/>
    </row>
    <row r="3968" spans="1:25" ht="15" customHeight="1" x14ac:dyDescent="0.2">
      <c r="A3968" s="88" t="s">
        <v>4671</v>
      </c>
      <c r="B3968" s="90"/>
      <c r="C3968" s="88" t="s">
        <v>4739</v>
      </c>
      <c r="D3968" s="90"/>
      <c r="E3968" s="133">
        <v>45</v>
      </c>
      <c r="F3968" s="135"/>
      <c r="G3968" s="135"/>
      <c r="H3968" s="135"/>
      <c r="I3968" s="134"/>
      <c r="J3968" s="88" t="s">
        <v>599</v>
      </c>
      <c r="K3968" s="89"/>
      <c r="L3968" s="89"/>
      <c r="M3968" s="90"/>
      <c r="N3968" s="88" t="s">
        <v>26</v>
      </c>
      <c r="O3968" s="89"/>
      <c r="P3968" s="90"/>
      <c r="Q3968" s="133">
        <v>1600</v>
      </c>
      <c r="R3968" s="134"/>
      <c r="S3968" s="5" t="s">
        <v>271</v>
      </c>
      <c r="T3968" s="6"/>
      <c r="U3968" s="6"/>
      <c r="V3968" s="5" t="s">
        <v>23</v>
      </c>
      <c r="W3968" s="12">
        <v>23453688</v>
      </c>
      <c r="X3968" s="6"/>
      <c r="Y3968" s="6"/>
    </row>
    <row r="3969" spans="1:25" ht="15" customHeight="1" x14ac:dyDescent="0.2">
      <c r="A3969" s="88" t="s">
        <v>4671</v>
      </c>
      <c r="B3969" s="90"/>
      <c r="C3969" s="88" t="s">
        <v>4740</v>
      </c>
      <c r="D3969" s="90"/>
      <c r="E3969" s="88" t="s">
        <v>4741</v>
      </c>
      <c r="F3969" s="89"/>
      <c r="G3969" s="89"/>
      <c r="H3969" s="89"/>
      <c r="I3969" s="90"/>
      <c r="J3969" s="88" t="s">
        <v>599</v>
      </c>
      <c r="K3969" s="89"/>
      <c r="L3969" s="89"/>
      <c r="M3969" s="90"/>
      <c r="N3969" s="88" t="s">
        <v>26</v>
      </c>
      <c r="O3969" s="89"/>
      <c r="P3969" s="90"/>
      <c r="Q3969" s="133">
        <v>2000</v>
      </c>
      <c r="R3969" s="134"/>
      <c r="S3969" s="5" t="s">
        <v>119</v>
      </c>
      <c r="T3969" s="6"/>
      <c r="U3969" s="6"/>
      <c r="V3969" s="5" t="s">
        <v>23</v>
      </c>
      <c r="W3969" s="12">
        <v>12473728</v>
      </c>
      <c r="X3969" s="6"/>
      <c r="Y3969" s="6"/>
    </row>
    <row r="3970" spans="1:25" ht="15" customHeight="1" x14ac:dyDescent="0.2">
      <c r="A3970" s="88" t="s">
        <v>4671</v>
      </c>
      <c r="B3970" s="90"/>
      <c r="C3970" s="88" t="s">
        <v>4742</v>
      </c>
      <c r="D3970" s="90"/>
      <c r="E3970" s="88" t="s">
        <v>4743</v>
      </c>
      <c r="F3970" s="89"/>
      <c r="G3970" s="89"/>
      <c r="H3970" s="89"/>
      <c r="I3970" s="90"/>
      <c r="J3970" s="88" t="s">
        <v>13</v>
      </c>
      <c r="K3970" s="89"/>
      <c r="L3970" s="89"/>
      <c r="M3970" s="90"/>
      <c r="N3970" s="88" t="s">
        <v>22</v>
      </c>
      <c r="O3970" s="89"/>
      <c r="P3970" s="90"/>
      <c r="Q3970" s="133">
        <v>2000</v>
      </c>
      <c r="R3970" s="134"/>
      <c r="S3970" s="5" t="s">
        <v>271</v>
      </c>
      <c r="T3970" s="6"/>
      <c r="U3970" s="6"/>
      <c r="V3970" s="5" t="s">
        <v>23</v>
      </c>
      <c r="W3970" s="12">
        <v>4553618</v>
      </c>
      <c r="X3970" s="6"/>
      <c r="Y3970" s="6"/>
    </row>
    <row r="3971" spans="1:25" ht="15" customHeight="1" x14ac:dyDescent="0.2">
      <c r="A3971" s="88" t="s">
        <v>4671</v>
      </c>
      <c r="B3971" s="90"/>
      <c r="C3971" s="88" t="s">
        <v>4744</v>
      </c>
      <c r="D3971" s="90"/>
      <c r="E3971" s="88" t="s">
        <v>4745</v>
      </c>
      <c r="F3971" s="89"/>
      <c r="G3971" s="89"/>
      <c r="H3971" s="89"/>
      <c r="I3971" s="90"/>
      <c r="J3971" s="88" t="s">
        <v>13</v>
      </c>
      <c r="K3971" s="89"/>
      <c r="L3971" s="89"/>
      <c r="M3971" s="90"/>
      <c r="N3971" s="88" t="s">
        <v>26</v>
      </c>
      <c r="O3971" s="89"/>
      <c r="P3971" s="90"/>
      <c r="Q3971" s="133">
        <v>2000</v>
      </c>
      <c r="R3971" s="134"/>
      <c r="S3971" s="5" t="s">
        <v>119</v>
      </c>
      <c r="T3971" s="6"/>
      <c r="U3971" s="6"/>
      <c r="V3971" s="5" t="s">
        <v>23</v>
      </c>
      <c r="W3971" s="12">
        <v>10812219</v>
      </c>
      <c r="X3971" s="6"/>
      <c r="Y3971" s="6"/>
    </row>
    <row r="3972" spans="1:25" ht="15" customHeight="1" x14ac:dyDescent="0.2">
      <c r="A3972" s="88" t="s">
        <v>4671</v>
      </c>
      <c r="B3972" s="90"/>
      <c r="C3972" s="88" t="s">
        <v>4746</v>
      </c>
      <c r="D3972" s="90"/>
      <c r="E3972" s="88" t="s">
        <v>4747</v>
      </c>
      <c r="F3972" s="89"/>
      <c r="G3972" s="89"/>
      <c r="H3972" s="89"/>
      <c r="I3972" s="90"/>
      <c r="J3972" s="88" t="s">
        <v>13</v>
      </c>
      <c r="K3972" s="89"/>
      <c r="L3972" s="89"/>
      <c r="M3972" s="90"/>
      <c r="N3972" s="88" t="s">
        <v>26</v>
      </c>
      <c r="O3972" s="89"/>
      <c r="P3972" s="90"/>
      <c r="Q3972" s="133">
        <v>2000</v>
      </c>
      <c r="R3972" s="134"/>
      <c r="S3972" s="5" t="s">
        <v>271</v>
      </c>
      <c r="T3972" s="6"/>
      <c r="U3972" s="6"/>
      <c r="V3972" s="5" t="s">
        <v>23</v>
      </c>
      <c r="W3972" s="12">
        <v>16050374</v>
      </c>
      <c r="X3972" s="6"/>
      <c r="Y3972" s="6"/>
    </row>
    <row r="3973" spans="1:25" ht="15" customHeight="1" x14ac:dyDescent="0.2">
      <c r="A3973" s="88" t="s">
        <v>4671</v>
      </c>
      <c r="B3973" s="90"/>
      <c r="C3973" s="88" t="s">
        <v>4748</v>
      </c>
      <c r="D3973" s="90"/>
      <c r="E3973" s="88" t="s">
        <v>4749</v>
      </c>
      <c r="F3973" s="89"/>
      <c r="G3973" s="89"/>
      <c r="H3973" s="89"/>
      <c r="I3973" s="90"/>
      <c r="J3973" s="88" t="s">
        <v>599</v>
      </c>
      <c r="K3973" s="89"/>
      <c r="L3973" s="89"/>
      <c r="M3973" s="90"/>
      <c r="N3973" s="88" t="s">
        <v>26</v>
      </c>
      <c r="O3973" s="89"/>
      <c r="P3973" s="90"/>
      <c r="Q3973" s="133">
        <v>2000</v>
      </c>
      <c r="R3973" s="134"/>
      <c r="S3973" s="5" t="s">
        <v>119</v>
      </c>
      <c r="T3973" s="6"/>
      <c r="U3973" s="6"/>
      <c r="V3973" s="5" t="s">
        <v>23</v>
      </c>
      <c r="W3973" s="12">
        <v>17522300</v>
      </c>
      <c r="X3973" s="6"/>
      <c r="Y3973" s="6"/>
    </row>
    <row r="3974" spans="1:25" ht="15" customHeight="1" x14ac:dyDescent="0.2">
      <c r="A3974" s="88" t="s">
        <v>4671</v>
      </c>
      <c r="B3974" s="90"/>
      <c r="C3974" s="88" t="s">
        <v>4750</v>
      </c>
      <c r="D3974" s="90"/>
      <c r="E3974" s="88" t="s">
        <v>4751</v>
      </c>
      <c r="F3974" s="89"/>
      <c r="G3974" s="89"/>
      <c r="H3974" s="89"/>
      <c r="I3974" s="90"/>
      <c r="J3974" s="88" t="s">
        <v>13</v>
      </c>
      <c r="K3974" s="89"/>
      <c r="L3974" s="89"/>
      <c r="M3974" s="90"/>
      <c r="N3974" s="88" t="s">
        <v>26</v>
      </c>
      <c r="O3974" s="89"/>
      <c r="P3974" s="90"/>
      <c r="Q3974" s="133">
        <v>2000</v>
      </c>
      <c r="R3974" s="134"/>
      <c r="S3974" s="5" t="s">
        <v>271</v>
      </c>
      <c r="T3974" s="6"/>
      <c r="U3974" s="6"/>
      <c r="V3974" s="5" t="s">
        <v>23</v>
      </c>
      <c r="W3974" s="12">
        <v>18835179</v>
      </c>
      <c r="X3974" s="6"/>
      <c r="Y3974" s="6"/>
    </row>
    <row r="3975" spans="1:25" ht="15" customHeight="1" x14ac:dyDescent="0.2">
      <c r="A3975" s="88" t="s">
        <v>4671</v>
      </c>
      <c r="B3975" s="90"/>
      <c r="C3975" s="88" t="s">
        <v>4752</v>
      </c>
      <c r="D3975" s="90"/>
      <c r="E3975" s="88" t="s">
        <v>4753</v>
      </c>
      <c r="F3975" s="89"/>
      <c r="G3975" s="89"/>
      <c r="H3975" s="89"/>
      <c r="I3975" s="90"/>
      <c r="J3975" s="88" t="s">
        <v>599</v>
      </c>
      <c r="K3975" s="89"/>
      <c r="L3975" s="89"/>
      <c r="M3975" s="90"/>
      <c r="N3975" s="88" t="s">
        <v>26</v>
      </c>
      <c r="O3975" s="89"/>
      <c r="P3975" s="90"/>
      <c r="Q3975" s="133">
        <v>2000</v>
      </c>
      <c r="R3975" s="134"/>
      <c r="S3975" s="5" t="s">
        <v>119</v>
      </c>
      <c r="T3975" s="6"/>
      <c r="U3975" s="6"/>
      <c r="V3975" s="5" t="s">
        <v>23</v>
      </c>
      <c r="W3975" s="12">
        <v>17993291</v>
      </c>
      <c r="X3975" s="6"/>
      <c r="Y3975" s="6"/>
    </row>
    <row r="3976" spans="1:25" ht="15" customHeight="1" x14ac:dyDescent="0.2">
      <c r="A3976" s="88" t="s">
        <v>4671</v>
      </c>
      <c r="B3976" s="90"/>
      <c r="C3976" s="88" t="s">
        <v>4672</v>
      </c>
      <c r="D3976" s="90"/>
      <c r="E3976" s="88" t="s">
        <v>4753</v>
      </c>
      <c r="F3976" s="89"/>
      <c r="G3976" s="89"/>
      <c r="H3976" s="89"/>
      <c r="I3976" s="90"/>
      <c r="J3976" s="88" t="s">
        <v>599</v>
      </c>
      <c r="K3976" s="89"/>
      <c r="L3976" s="89"/>
      <c r="M3976" s="90"/>
      <c r="N3976" s="88" t="s">
        <v>26</v>
      </c>
      <c r="O3976" s="89"/>
      <c r="P3976" s="90"/>
      <c r="Q3976" s="133">
        <v>2000</v>
      </c>
      <c r="R3976" s="134"/>
      <c r="S3976" s="5" t="s">
        <v>119</v>
      </c>
      <c r="T3976" s="6"/>
      <c r="U3976" s="6"/>
      <c r="V3976" s="5" t="s">
        <v>23</v>
      </c>
      <c r="W3976" s="12">
        <v>16344717</v>
      </c>
      <c r="X3976" s="6"/>
      <c r="Y3976" s="6"/>
    </row>
    <row r="3977" spans="1:25" ht="15" customHeight="1" x14ac:dyDescent="0.2">
      <c r="A3977" s="88" t="s">
        <v>4671</v>
      </c>
      <c r="B3977" s="90"/>
      <c r="C3977" s="88" t="s">
        <v>4754</v>
      </c>
      <c r="D3977" s="90"/>
      <c r="E3977" s="88" t="s">
        <v>4755</v>
      </c>
      <c r="F3977" s="89"/>
      <c r="G3977" s="89"/>
      <c r="H3977" s="89"/>
      <c r="I3977" s="90"/>
      <c r="J3977" s="88" t="s">
        <v>13</v>
      </c>
      <c r="K3977" s="89"/>
      <c r="L3977" s="89"/>
      <c r="M3977" s="90"/>
      <c r="N3977" s="88" t="s">
        <v>22</v>
      </c>
      <c r="O3977" s="89"/>
      <c r="P3977" s="90"/>
      <c r="Q3977" s="133">
        <v>2000</v>
      </c>
      <c r="R3977" s="134"/>
      <c r="S3977" s="5" t="s">
        <v>271</v>
      </c>
      <c r="T3977" s="6"/>
      <c r="U3977" s="6"/>
      <c r="V3977" s="5" t="s">
        <v>23</v>
      </c>
      <c r="W3977" s="12">
        <v>14900996</v>
      </c>
      <c r="X3977" s="6"/>
      <c r="Y3977" s="6"/>
    </row>
    <row r="3978" spans="1:25" ht="15" customHeight="1" x14ac:dyDescent="0.2">
      <c r="A3978" s="88" t="s">
        <v>4671</v>
      </c>
      <c r="B3978" s="90"/>
      <c r="C3978" s="88" t="s">
        <v>4752</v>
      </c>
      <c r="D3978" s="90"/>
      <c r="E3978" s="88" t="s">
        <v>4756</v>
      </c>
      <c r="F3978" s="89"/>
      <c r="G3978" s="89"/>
      <c r="H3978" s="89"/>
      <c r="I3978" s="90"/>
      <c r="J3978" s="88" t="s">
        <v>13</v>
      </c>
      <c r="K3978" s="89"/>
      <c r="L3978" s="89"/>
      <c r="M3978" s="90"/>
      <c r="N3978" s="88" t="s">
        <v>26</v>
      </c>
      <c r="O3978" s="89"/>
      <c r="P3978" s="90"/>
      <c r="Q3978" s="133">
        <v>2000</v>
      </c>
      <c r="R3978" s="134"/>
      <c r="S3978" s="5" t="s">
        <v>119</v>
      </c>
      <c r="T3978" s="6"/>
      <c r="U3978" s="6"/>
      <c r="V3978" s="5" t="s">
        <v>23</v>
      </c>
      <c r="W3978" s="12">
        <v>17831275</v>
      </c>
      <c r="X3978" s="6"/>
      <c r="Y3978" s="6"/>
    </row>
    <row r="3979" spans="1:25" ht="15" customHeight="1" x14ac:dyDescent="0.2">
      <c r="A3979" s="88" t="s">
        <v>4671</v>
      </c>
      <c r="B3979" s="90"/>
      <c r="C3979" s="88" t="s">
        <v>4757</v>
      </c>
      <c r="D3979" s="90"/>
      <c r="E3979" s="88" t="s">
        <v>4758</v>
      </c>
      <c r="F3979" s="89"/>
      <c r="G3979" s="89"/>
      <c r="H3979" s="89"/>
      <c r="I3979" s="90"/>
      <c r="J3979" s="88" t="s">
        <v>599</v>
      </c>
      <c r="K3979" s="89"/>
      <c r="L3979" s="89"/>
      <c r="M3979" s="90"/>
      <c r="N3979" s="88" t="s">
        <v>26</v>
      </c>
      <c r="O3979" s="89"/>
      <c r="P3979" s="90"/>
      <c r="Q3979" s="133">
        <v>2500</v>
      </c>
      <c r="R3979" s="134"/>
      <c r="S3979" s="5" t="s">
        <v>271</v>
      </c>
      <c r="T3979" s="6"/>
      <c r="U3979" s="6"/>
      <c r="V3979" s="5" t="s">
        <v>23</v>
      </c>
      <c r="W3979" s="12">
        <v>10157158</v>
      </c>
      <c r="X3979" s="6"/>
      <c r="Y3979" s="6"/>
    </row>
    <row r="3980" spans="1:25" ht="15" customHeight="1" x14ac:dyDescent="0.2">
      <c r="A3980" s="88" t="s">
        <v>4671</v>
      </c>
      <c r="B3980" s="90"/>
      <c r="C3980" s="88" t="s">
        <v>4759</v>
      </c>
      <c r="D3980" s="90"/>
      <c r="E3980" s="88" t="s">
        <v>4760</v>
      </c>
      <c r="F3980" s="89"/>
      <c r="G3980" s="89"/>
      <c r="H3980" s="89"/>
      <c r="I3980" s="90"/>
      <c r="J3980" s="88" t="s">
        <v>599</v>
      </c>
      <c r="K3980" s="89"/>
      <c r="L3980" s="89"/>
      <c r="M3980" s="90"/>
      <c r="N3980" s="88" t="s">
        <v>26</v>
      </c>
      <c r="O3980" s="89"/>
      <c r="P3980" s="90"/>
      <c r="Q3980" s="133">
        <v>2500</v>
      </c>
      <c r="R3980" s="134"/>
      <c r="S3980" s="5" t="s">
        <v>119</v>
      </c>
      <c r="T3980" s="6"/>
      <c r="U3980" s="6"/>
      <c r="V3980" s="5" t="s">
        <v>23</v>
      </c>
      <c r="W3980" s="12">
        <v>14560847</v>
      </c>
      <c r="X3980" s="6"/>
      <c r="Y3980" s="6"/>
    </row>
    <row r="3981" spans="1:25" ht="15" customHeight="1" x14ac:dyDescent="0.2">
      <c r="A3981" s="88" t="s">
        <v>4671</v>
      </c>
      <c r="B3981" s="90"/>
      <c r="C3981" s="88" t="s">
        <v>4761</v>
      </c>
      <c r="D3981" s="90"/>
      <c r="E3981" s="88" t="s">
        <v>4762</v>
      </c>
      <c r="F3981" s="89"/>
      <c r="G3981" s="89"/>
      <c r="H3981" s="89"/>
      <c r="I3981" s="90"/>
      <c r="J3981" s="88" t="s">
        <v>599</v>
      </c>
      <c r="K3981" s="89"/>
      <c r="L3981" s="89"/>
      <c r="M3981" s="90"/>
      <c r="N3981" s="88" t="s">
        <v>26</v>
      </c>
      <c r="O3981" s="89"/>
      <c r="P3981" s="90"/>
      <c r="Q3981" s="133">
        <v>2500</v>
      </c>
      <c r="R3981" s="134"/>
      <c r="S3981" s="5" t="s">
        <v>271</v>
      </c>
      <c r="T3981" s="6"/>
      <c r="U3981" s="6"/>
      <c r="V3981" s="5" t="s">
        <v>23</v>
      </c>
      <c r="W3981" s="12">
        <v>14431277</v>
      </c>
      <c r="X3981" s="6"/>
      <c r="Y3981" s="6"/>
    </row>
    <row r="3982" spans="1:25" ht="15" customHeight="1" x14ac:dyDescent="0.2">
      <c r="A3982" s="88" t="s">
        <v>4671</v>
      </c>
      <c r="B3982" s="90"/>
      <c r="C3982" s="88" t="s">
        <v>4763</v>
      </c>
      <c r="D3982" s="90"/>
      <c r="E3982" s="88" t="s">
        <v>4764</v>
      </c>
      <c r="F3982" s="89"/>
      <c r="G3982" s="89"/>
      <c r="H3982" s="89"/>
      <c r="I3982" s="90"/>
      <c r="J3982" s="88" t="s">
        <v>13</v>
      </c>
      <c r="K3982" s="89"/>
      <c r="L3982" s="89"/>
      <c r="M3982" s="90"/>
      <c r="N3982" s="88" t="s">
        <v>26</v>
      </c>
      <c r="O3982" s="89"/>
      <c r="P3982" s="90"/>
      <c r="Q3982" s="133">
        <v>2500</v>
      </c>
      <c r="R3982" s="134"/>
      <c r="S3982" s="5" t="s">
        <v>271</v>
      </c>
      <c r="T3982" s="6"/>
      <c r="U3982" s="6"/>
      <c r="V3982" s="5" t="s">
        <v>23</v>
      </c>
      <c r="W3982" s="12">
        <v>10545656</v>
      </c>
      <c r="X3982" s="6"/>
      <c r="Y3982" s="6"/>
    </row>
    <row r="3983" spans="1:25" ht="15" customHeight="1" x14ac:dyDescent="0.2">
      <c r="A3983" s="88" t="s">
        <v>4671</v>
      </c>
      <c r="B3983" s="90"/>
      <c r="C3983" s="88" t="s">
        <v>4757</v>
      </c>
      <c r="D3983" s="90"/>
      <c r="E3983" s="88" t="s">
        <v>4760</v>
      </c>
      <c r="F3983" s="89"/>
      <c r="G3983" s="89"/>
      <c r="H3983" s="89"/>
      <c r="I3983" s="90"/>
      <c r="J3983" s="88" t="s">
        <v>599</v>
      </c>
      <c r="K3983" s="89"/>
      <c r="L3983" s="89"/>
      <c r="M3983" s="90"/>
      <c r="N3983" s="88" t="s">
        <v>26</v>
      </c>
      <c r="O3983" s="89"/>
      <c r="P3983" s="90"/>
      <c r="Q3983" s="133">
        <v>2500</v>
      </c>
      <c r="R3983" s="134"/>
      <c r="S3983" s="5" t="s">
        <v>119</v>
      </c>
      <c r="T3983" s="6"/>
      <c r="U3983" s="6"/>
      <c r="V3983" s="5" t="s">
        <v>23</v>
      </c>
      <c r="W3983" s="12">
        <v>17183636</v>
      </c>
      <c r="X3983" s="6"/>
      <c r="Y3983" s="6"/>
    </row>
    <row r="3984" spans="1:25" ht="15" customHeight="1" x14ac:dyDescent="0.2">
      <c r="A3984" s="88" t="s">
        <v>4671</v>
      </c>
      <c r="B3984" s="90"/>
      <c r="C3984" s="88" t="s">
        <v>4757</v>
      </c>
      <c r="D3984" s="90"/>
      <c r="E3984" s="88" t="s">
        <v>4760</v>
      </c>
      <c r="F3984" s="89"/>
      <c r="G3984" s="89"/>
      <c r="H3984" s="89"/>
      <c r="I3984" s="90"/>
      <c r="J3984" s="88" t="s">
        <v>13</v>
      </c>
      <c r="K3984" s="89"/>
      <c r="L3984" s="89"/>
      <c r="M3984" s="90"/>
      <c r="N3984" s="88" t="s">
        <v>26</v>
      </c>
      <c r="O3984" s="89"/>
      <c r="P3984" s="90"/>
      <c r="Q3984" s="133">
        <v>2500</v>
      </c>
      <c r="R3984" s="134"/>
      <c r="S3984" s="5" t="s">
        <v>119</v>
      </c>
      <c r="T3984" s="6"/>
      <c r="U3984" s="6"/>
      <c r="V3984" s="5" t="s">
        <v>23</v>
      </c>
      <c r="W3984" s="12">
        <v>13427585</v>
      </c>
      <c r="X3984" s="6"/>
      <c r="Y3984" s="6"/>
    </row>
    <row r="3985" spans="1:25" ht="15" customHeight="1" x14ac:dyDescent="0.2">
      <c r="A3985" s="88" t="s">
        <v>4671</v>
      </c>
      <c r="B3985" s="90"/>
      <c r="C3985" s="88" t="s">
        <v>4750</v>
      </c>
      <c r="D3985" s="90"/>
      <c r="E3985" s="88" t="s">
        <v>4751</v>
      </c>
      <c r="F3985" s="89"/>
      <c r="G3985" s="89"/>
      <c r="H3985" s="89"/>
      <c r="I3985" s="90"/>
      <c r="J3985" s="88" t="s">
        <v>599</v>
      </c>
      <c r="K3985" s="89"/>
      <c r="L3985" s="89"/>
      <c r="M3985" s="90"/>
      <c r="N3985" s="88" t="s">
        <v>26</v>
      </c>
      <c r="O3985" s="89"/>
      <c r="P3985" s="90"/>
      <c r="Q3985" s="133">
        <v>2500</v>
      </c>
      <c r="R3985" s="134"/>
      <c r="S3985" s="5" t="s">
        <v>271</v>
      </c>
      <c r="T3985" s="6"/>
      <c r="U3985" s="6"/>
      <c r="V3985" s="5" t="s">
        <v>23</v>
      </c>
      <c r="W3985" s="12">
        <v>15532306</v>
      </c>
      <c r="X3985" s="6"/>
      <c r="Y3985" s="6"/>
    </row>
    <row r="3986" spans="1:25" ht="15" customHeight="1" x14ac:dyDescent="0.2">
      <c r="A3986" s="88" t="s">
        <v>4671</v>
      </c>
      <c r="B3986" s="90"/>
      <c r="C3986" s="88" t="s">
        <v>4765</v>
      </c>
      <c r="D3986" s="90"/>
      <c r="E3986" s="88" t="s">
        <v>4766</v>
      </c>
      <c r="F3986" s="89"/>
      <c r="G3986" s="89"/>
      <c r="H3986" s="89"/>
      <c r="I3986" s="90"/>
      <c r="J3986" s="88" t="s">
        <v>13</v>
      </c>
      <c r="K3986" s="89"/>
      <c r="L3986" s="89"/>
      <c r="M3986" s="90"/>
      <c r="N3986" s="88" t="s">
        <v>22</v>
      </c>
      <c r="O3986" s="89"/>
      <c r="P3986" s="90"/>
      <c r="Q3986" s="133">
        <v>2900</v>
      </c>
      <c r="R3986" s="134"/>
      <c r="S3986" s="5" t="s">
        <v>70</v>
      </c>
      <c r="T3986" s="6"/>
      <c r="U3986" s="6"/>
      <c r="V3986" s="5" t="s">
        <v>23</v>
      </c>
      <c r="W3986" s="12">
        <v>10139344</v>
      </c>
      <c r="X3986" s="6"/>
      <c r="Y3986" s="6"/>
    </row>
    <row r="3987" spans="1:25" ht="15" customHeight="1" x14ac:dyDescent="0.2">
      <c r="A3987" s="88" t="s">
        <v>4671</v>
      </c>
      <c r="B3987" s="90"/>
      <c r="C3987" s="88" t="s">
        <v>4715</v>
      </c>
      <c r="D3987" s="90"/>
      <c r="E3987" s="88" t="s">
        <v>4767</v>
      </c>
      <c r="F3987" s="89"/>
      <c r="G3987" s="89"/>
      <c r="H3987" s="89"/>
      <c r="I3987" s="90"/>
      <c r="J3987" s="88" t="s">
        <v>13</v>
      </c>
      <c r="K3987" s="89"/>
      <c r="L3987" s="89"/>
      <c r="M3987" s="90"/>
      <c r="N3987" s="88" t="s">
        <v>22</v>
      </c>
      <c r="O3987" s="89"/>
      <c r="P3987" s="90"/>
      <c r="Q3987" s="133">
        <v>2900</v>
      </c>
      <c r="R3987" s="134"/>
      <c r="S3987" s="5" t="s">
        <v>271</v>
      </c>
      <c r="T3987" s="6"/>
      <c r="U3987" s="6"/>
      <c r="V3987" s="5" t="s">
        <v>176</v>
      </c>
      <c r="W3987" s="12">
        <v>9541964</v>
      </c>
      <c r="X3987" s="6"/>
      <c r="Y3987" s="6"/>
    </row>
    <row r="3988" spans="1:25" ht="15" customHeight="1" x14ac:dyDescent="0.2">
      <c r="A3988" s="88" t="s">
        <v>4671</v>
      </c>
      <c r="B3988" s="90"/>
      <c r="C3988" s="88" t="s">
        <v>4718</v>
      </c>
      <c r="D3988" s="90"/>
      <c r="E3988" s="88" t="s">
        <v>4767</v>
      </c>
      <c r="F3988" s="89"/>
      <c r="G3988" s="89"/>
      <c r="H3988" s="89"/>
      <c r="I3988" s="90"/>
      <c r="J3988" s="88" t="s">
        <v>13</v>
      </c>
      <c r="K3988" s="89"/>
      <c r="L3988" s="89"/>
      <c r="M3988" s="90"/>
      <c r="N3988" s="88" t="s">
        <v>22</v>
      </c>
      <c r="O3988" s="89"/>
      <c r="P3988" s="90"/>
      <c r="Q3988" s="133">
        <v>2900</v>
      </c>
      <c r="R3988" s="134"/>
      <c r="S3988" s="5" t="s">
        <v>271</v>
      </c>
      <c r="T3988" s="6"/>
      <c r="U3988" s="6"/>
      <c r="V3988" s="5" t="s">
        <v>176</v>
      </c>
      <c r="W3988" s="12">
        <v>9865784</v>
      </c>
      <c r="X3988" s="6"/>
      <c r="Y3988" s="6"/>
    </row>
    <row r="3989" spans="1:25" ht="15" customHeight="1" x14ac:dyDescent="0.2">
      <c r="A3989" s="88" t="s">
        <v>4671</v>
      </c>
      <c r="B3989" s="90"/>
      <c r="C3989" s="88" t="s">
        <v>4768</v>
      </c>
      <c r="D3989" s="90"/>
      <c r="E3989" s="88" t="s">
        <v>4769</v>
      </c>
      <c r="F3989" s="89"/>
      <c r="G3989" s="89"/>
      <c r="H3989" s="89"/>
      <c r="I3989" s="90"/>
      <c r="J3989" s="88" t="s">
        <v>13</v>
      </c>
      <c r="K3989" s="89"/>
      <c r="L3989" s="89"/>
      <c r="M3989" s="90"/>
      <c r="N3989" s="88" t="s">
        <v>22</v>
      </c>
      <c r="O3989" s="89"/>
      <c r="P3989" s="90"/>
      <c r="Q3989" s="133">
        <v>2900</v>
      </c>
      <c r="R3989" s="134"/>
      <c r="S3989" s="5" t="s">
        <v>271</v>
      </c>
      <c r="T3989" s="6"/>
      <c r="U3989" s="6"/>
      <c r="V3989" s="5" t="s">
        <v>23</v>
      </c>
      <c r="W3989" s="12">
        <v>10869476</v>
      </c>
      <c r="X3989" s="6"/>
      <c r="Y3989" s="6"/>
    </row>
    <row r="3990" spans="1:25" ht="15" customHeight="1" x14ac:dyDescent="0.2">
      <c r="A3990" s="88" t="s">
        <v>4671</v>
      </c>
      <c r="B3990" s="90"/>
      <c r="C3990" s="88" t="s">
        <v>4770</v>
      </c>
      <c r="D3990" s="90"/>
      <c r="E3990" s="88" t="s">
        <v>4771</v>
      </c>
      <c r="F3990" s="89"/>
      <c r="G3990" s="89"/>
      <c r="H3990" s="89"/>
      <c r="I3990" s="90"/>
      <c r="J3990" s="88" t="s">
        <v>13</v>
      </c>
      <c r="K3990" s="89"/>
      <c r="L3990" s="89"/>
      <c r="M3990" s="90"/>
      <c r="N3990" s="88" t="s">
        <v>22</v>
      </c>
      <c r="O3990" s="89"/>
      <c r="P3990" s="90"/>
      <c r="Q3990" s="133">
        <v>2900</v>
      </c>
      <c r="R3990" s="134"/>
      <c r="S3990" s="5" t="s">
        <v>271</v>
      </c>
      <c r="T3990" s="6"/>
      <c r="U3990" s="6"/>
      <c r="V3990" s="5" t="s">
        <v>23</v>
      </c>
      <c r="W3990" s="12">
        <v>11484669</v>
      </c>
      <c r="X3990" s="6"/>
      <c r="Y3990" s="6"/>
    </row>
    <row r="3991" spans="1:25" ht="15" customHeight="1" x14ac:dyDescent="0.2">
      <c r="A3991" s="88" t="s">
        <v>4671</v>
      </c>
      <c r="B3991" s="90"/>
      <c r="C3991" s="88" t="s">
        <v>4714</v>
      </c>
      <c r="D3991" s="90"/>
      <c r="E3991" s="88" t="s">
        <v>4772</v>
      </c>
      <c r="F3991" s="89"/>
      <c r="G3991" s="89"/>
      <c r="H3991" s="89"/>
      <c r="I3991" s="90"/>
      <c r="J3991" s="88" t="s">
        <v>13</v>
      </c>
      <c r="K3991" s="89"/>
      <c r="L3991" s="89"/>
      <c r="M3991" s="90"/>
      <c r="N3991" s="88" t="s">
        <v>22</v>
      </c>
      <c r="O3991" s="89"/>
      <c r="P3991" s="90"/>
      <c r="Q3991" s="133">
        <v>2900</v>
      </c>
      <c r="R3991" s="134"/>
      <c r="S3991" s="5" t="s">
        <v>271</v>
      </c>
      <c r="T3991" s="6"/>
      <c r="U3991" s="6"/>
      <c r="V3991" s="5" t="s">
        <v>23</v>
      </c>
      <c r="W3991" s="12">
        <v>18462797</v>
      </c>
      <c r="X3991" s="6"/>
      <c r="Y3991" s="6"/>
    </row>
    <row r="3992" spans="1:25" ht="15" customHeight="1" x14ac:dyDescent="0.2">
      <c r="A3992" s="88" t="s">
        <v>4671</v>
      </c>
      <c r="B3992" s="90"/>
      <c r="C3992" s="88" t="s">
        <v>4717</v>
      </c>
      <c r="D3992" s="90"/>
      <c r="E3992" s="88" t="s">
        <v>4773</v>
      </c>
      <c r="F3992" s="89"/>
      <c r="G3992" s="89"/>
      <c r="H3992" s="89"/>
      <c r="I3992" s="90"/>
      <c r="J3992" s="88" t="s">
        <v>13</v>
      </c>
      <c r="K3992" s="89"/>
      <c r="L3992" s="89"/>
      <c r="M3992" s="90"/>
      <c r="N3992" s="88" t="s">
        <v>22</v>
      </c>
      <c r="O3992" s="89"/>
      <c r="P3992" s="90"/>
      <c r="Q3992" s="133">
        <v>2900</v>
      </c>
      <c r="R3992" s="134"/>
      <c r="S3992" s="5" t="s">
        <v>271</v>
      </c>
      <c r="T3992" s="6"/>
      <c r="U3992" s="6"/>
      <c r="V3992" s="5" t="s">
        <v>176</v>
      </c>
      <c r="W3992" s="12">
        <v>15402736</v>
      </c>
      <c r="X3992" s="6"/>
      <c r="Y3992" s="6"/>
    </row>
    <row r="3993" spans="1:25" ht="15" customHeight="1" x14ac:dyDescent="0.2">
      <c r="A3993" s="88" t="s">
        <v>4671</v>
      </c>
      <c r="B3993" s="90"/>
      <c r="C3993" s="88" t="s">
        <v>4718</v>
      </c>
      <c r="D3993" s="90"/>
      <c r="E3993" s="88" t="s">
        <v>4774</v>
      </c>
      <c r="F3993" s="89"/>
      <c r="G3993" s="89"/>
      <c r="H3993" s="89"/>
      <c r="I3993" s="90"/>
      <c r="J3993" s="88" t="s">
        <v>13</v>
      </c>
      <c r="K3993" s="89"/>
      <c r="L3993" s="89"/>
      <c r="M3993" s="90"/>
      <c r="N3993" s="88" t="s">
        <v>22</v>
      </c>
      <c r="O3993" s="89"/>
      <c r="P3993" s="90"/>
      <c r="Q3993" s="133">
        <v>2900</v>
      </c>
      <c r="R3993" s="134"/>
      <c r="S3993" s="5" t="s">
        <v>271</v>
      </c>
      <c r="T3993" s="6"/>
      <c r="U3993" s="6"/>
      <c r="V3993" s="5" t="s">
        <v>23</v>
      </c>
      <c r="W3993" s="12">
        <v>17036465</v>
      </c>
      <c r="X3993" s="6"/>
      <c r="Y3993" s="6"/>
    </row>
    <row r="3994" spans="1:25" ht="15" customHeight="1" x14ac:dyDescent="0.2">
      <c r="A3994" s="88" t="s">
        <v>4671</v>
      </c>
      <c r="B3994" s="90"/>
      <c r="C3994" s="88" t="s">
        <v>4775</v>
      </c>
      <c r="D3994" s="90"/>
      <c r="E3994" s="88" t="s">
        <v>4776</v>
      </c>
      <c r="F3994" s="89"/>
      <c r="G3994" s="89"/>
      <c r="H3994" s="89"/>
      <c r="I3994" s="90"/>
      <c r="J3994" s="88" t="s">
        <v>13</v>
      </c>
      <c r="K3994" s="89"/>
      <c r="L3994" s="89"/>
      <c r="M3994" s="90"/>
      <c r="N3994" s="88" t="s">
        <v>26</v>
      </c>
      <c r="O3994" s="89"/>
      <c r="P3994" s="90"/>
      <c r="Q3994" s="133">
        <v>3000</v>
      </c>
      <c r="R3994" s="134"/>
      <c r="S3994" s="5" t="s">
        <v>271</v>
      </c>
      <c r="T3994" s="6"/>
      <c r="U3994" s="6"/>
      <c r="V3994" s="5" t="s">
        <v>23</v>
      </c>
      <c r="W3994" s="12">
        <v>8382619</v>
      </c>
      <c r="X3994" s="6"/>
      <c r="Y3994" s="6"/>
    </row>
    <row r="3995" spans="1:25" ht="15" customHeight="1" x14ac:dyDescent="0.2">
      <c r="A3995" s="88" t="s">
        <v>4671</v>
      </c>
      <c r="B3995" s="90"/>
      <c r="C3995" s="88" t="s">
        <v>4719</v>
      </c>
      <c r="D3995" s="90"/>
      <c r="E3995" s="88" t="s">
        <v>4777</v>
      </c>
      <c r="F3995" s="89"/>
      <c r="G3995" s="89"/>
      <c r="H3995" s="89"/>
      <c r="I3995" s="90"/>
      <c r="J3995" s="88" t="s">
        <v>13</v>
      </c>
      <c r="K3995" s="89"/>
      <c r="L3995" s="89"/>
      <c r="M3995" s="90"/>
      <c r="N3995" s="88" t="s">
        <v>22</v>
      </c>
      <c r="O3995" s="89"/>
      <c r="P3995" s="90"/>
      <c r="Q3995" s="133">
        <v>3000</v>
      </c>
      <c r="R3995" s="134"/>
      <c r="S3995" s="5" t="s">
        <v>271</v>
      </c>
      <c r="T3995" s="6"/>
      <c r="U3995" s="6"/>
      <c r="V3995" s="5" t="s">
        <v>23</v>
      </c>
      <c r="W3995" s="12">
        <v>10619242</v>
      </c>
      <c r="X3995" s="6"/>
      <c r="Y3995" s="6"/>
    </row>
    <row r="3996" spans="1:25" ht="15" customHeight="1" x14ac:dyDescent="0.2">
      <c r="A3996" s="88" t="s">
        <v>4671</v>
      </c>
      <c r="B3996" s="90"/>
      <c r="C3996" s="88" t="s">
        <v>2067</v>
      </c>
      <c r="D3996" s="90"/>
      <c r="E3996" s="88" t="s">
        <v>4778</v>
      </c>
      <c r="F3996" s="89"/>
      <c r="G3996" s="89"/>
      <c r="H3996" s="89"/>
      <c r="I3996" s="90"/>
      <c r="J3996" s="88" t="s">
        <v>599</v>
      </c>
      <c r="K3996" s="89"/>
      <c r="L3996" s="89"/>
      <c r="M3996" s="90"/>
      <c r="N3996" s="88" t="s">
        <v>26</v>
      </c>
      <c r="O3996" s="89"/>
      <c r="P3996" s="90"/>
      <c r="Q3996" s="133">
        <v>3000</v>
      </c>
      <c r="R3996" s="134"/>
      <c r="S3996" s="5" t="s">
        <v>119</v>
      </c>
      <c r="T3996" s="6"/>
      <c r="U3996" s="6"/>
      <c r="V3996" s="5" t="s">
        <v>23</v>
      </c>
      <c r="W3996" s="12">
        <v>27412895</v>
      </c>
      <c r="X3996" s="6"/>
      <c r="Y3996" s="6"/>
    </row>
    <row r="3997" spans="1:25" ht="15" customHeight="1" x14ac:dyDescent="0.2">
      <c r="A3997" s="88" t="s">
        <v>4671</v>
      </c>
      <c r="B3997" s="90"/>
      <c r="C3997" s="88" t="s">
        <v>4779</v>
      </c>
      <c r="D3997" s="90"/>
      <c r="E3997" s="88" t="s">
        <v>4780</v>
      </c>
      <c r="F3997" s="89"/>
      <c r="G3997" s="89"/>
      <c r="H3997" s="89"/>
      <c r="I3997" s="90"/>
      <c r="J3997" s="88" t="s">
        <v>13</v>
      </c>
      <c r="K3997" s="89"/>
      <c r="L3997" s="89"/>
      <c r="M3997" s="90"/>
      <c r="N3997" s="88" t="s">
        <v>26</v>
      </c>
      <c r="O3997" s="89"/>
      <c r="P3997" s="90"/>
      <c r="Q3997" s="133">
        <v>3000</v>
      </c>
      <c r="R3997" s="134"/>
      <c r="S3997" s="5" t="s">
        <v>271</v>
      </c>
      <c r="T3997" s="6"/>
      <c r="U3997" s="6"/>
      <c r="V3997" s="5" t="s">
        <v>23</v>
      </c>
      <c r="W3997" s="12">
        <v>26703546</v>
      </c>
      <c r="X3997" s="6"/>
      <c r="Y3997" s="6"/>
    </row>
    <row r="3998" spans="1:25" ht="15" customHeight="1" x14ac:dyDescent="0.2">
      <c r="A3998" s="88" t="s">
        <v>4671</v>
      </c>
      <c r="B3998" s="90"/>
      <c r="C3998" s="88" t="s">
        <v>4781</v>
      </c>
      <c r="D3998" s="90"/>
      <c r="E3998" s="88" t="s">
        <v>4782</v>
      </c>
      <c r="F3998" s="89"/>
      <c r="G3998" s="89"/>
      <c r="H3998" s="89"/>
      <c r="I3998" s="90"/>
      <c r="J3998" s="88" t="s">
        <v>599</v>
      </c>
      <c r="K3998" s="89"/>
      <c r="L3998" s="89"/>
      <c r="M3998" s="90"/>
      <c r="N3998" s="88" t="s">
        <v>26</v>
      </c>
      <c r="O3998" s="89"/>
      <c r="P3998" s="90"/>
      <c r="Q3998" s="133">
        <v>3000</v>
      </c>
      <c r="R3998" s="134"/>
      <c r="S3998" s="5" t="s">
        <v>271</v>
      </c>
      <c r="T3998" s="6"/>
      <c r="U3998" s="6"/>
      <c r="V3998" s="5" t="s">
        <v>23</v>
      </c>
      <c r="W3998" s="12">
        <v>23497797</v>
      </c>
      <c r="X3998" s="6"/>
      <c r="Y3998" s="6"/>
    </row>
    <row r="3999" spans="1:25" ht="15" customHeight="1" x14ac:dyDescent="0.2">
      <c r="A3999" s="88" t="s">
        <v>4671</v>
      </c>
      <c r="B3999" s="90"/>
      <c r="C3999" s="88" t="s">
        <v>4783</v>
      </c>
      <c r="D3999" s="90"/>
      <c r="E3999" s="88" t="s">
        <v>4784</v>
      </c>
      <c r="F3999" s="89"/>
      <c r="G3999" s="89"/>
      <c r="H3999" s="89"/>
      <c r="I3999" s="90"/>
      <c r="J3999" s="88" t="s">
        <v>13</v>
      </c>
      <c r="K3999" s="89"/>
      <c r="L3999" s="89"/>
      <c r="M3999" s="90"/>
      <c r="N3999" s="88" t="s">
        <v>22</v>
      </c>
      <c r="O3999" s="89"/>
      <c r="P3999" s="90"/>
      <c r="Q3999" s="133">
        <v>3000</v>
      </c>
      <c r="R3999" s="134"/>
      <c r="S3999" s="5" t="s">
        <v>271</v>
      </c>
      <c r="T3999" s="6"/>
      <c r="U3999" s="6"/>
      <c r="V3999" s="5" t="s">
        <v>23</v>
      </c>
      <c r="W3999" s="12">
        <v>10707672</v>
      </c>
      <c r="X3999" s="6"/>
      <c r="Y3999" s="6"/>
    </row>
    <row r="4000" spans="1:25" ht="15" customHeight="1" x14ac:dyDescent="0.2">
      <c r="A4000" s="88" t="s">
        <v>4671</v>
      </c>
      <c r="B4000" s="90"/>
      <c r="C4000" s="88" t="s">
        <v>4721</v>
      </c>
      <c r="D4000" s="90"/>
      <c r="E4000" s="88" t="s">
        <v>4785</v>
      </c>
      <c r="F4000" s="89"/>
      <c r="G4000" s="89"/>
      <c r="H4000" s="89"/>
      <c r="I4000" s="90"/>
      <c r="J4000" s="88" t="s">
        <v>13</v>
      </c>
      <c r="K4000" s="89"/>
      <c r="L4000" s="89"/>
      <c r="M4000" s="90"/>
      <c r="N4000" s="88" t="s">
        <v>26</v>
      </c>
      <c r="O4000" s="89"/>
      <c r="P4000" s="90"/>
      <c r="Q4000" s="133">
        <v>3000</v>
      </c>
      <c r="R4000" s="134"/>
      <c r="S4000" s="5" t="s">
        <v>271</v>
      </c>
      <c r="T4000" s="6"/>
      <c r="U4000" s="6"/>
      <c r="V4000" s="5" t="s">
        <v>23</v>
      </c>
      <c r="W4000" s="12">
        <v>8036321</v>
      </c>
      <c r="X4000" s="6"/>
      <c r="Y4000" s="6"/>
    </row>
    <row r="4001" spans="1:25" ht="15" customHeight="1" x14ac:dyDescent="0.2">
      <c r="A4001" s="88" t="s">
        <v>4671</v>
      </c>
      <c r="B4001" s="90"/>
      <c r="C4001" s="88" t="s">
        <v>4786</v>
      </c>
      <c r="D4001" s="90"/>
      <c r="E4001" s="88" t="s">
        <v>4787</v>
      </c>
      <c r="F4001" s="89"/>
      <c r="G4001" s="89"/>
      <c r="H4001" s="89"/>
      <c r="I4001" s="90"/>
      <c r="J4001" s="88" t="s">
        <v>13</v>
      </c>
      <c r="K4001" s="89"/>
      <c r="L4001" s="89"/>
      <c r="M4001" s="90"/>
      <c r="N4001" s="88" t="s">
        <v>26</v>
      </c>
      <c r="O4001" s="89"/>
      <c r="P4001" s="90"/>
      <c r="Q4001" s="133">
        <v>3000</v>
      </c>
      <c r="R4001" s="134"/>
      <c r="S4001" s="5" t="s">
        <v>271</v>
      </c>
      <c r="T4001" s="6"/>
      <c r="U4001" s="6"/>
      <c r="V4001" s="5" t="s">
        <v>23</v>
      </c>
      <c r="W4001" s="12">
        <v>25343589</v>
      </c>
      <c r="X4001" s="6"/>
      <c r="Y4001" s="6"/>
    </row>
    <row r="4002" spans="1:25" ht="15" customHeight="1" x14ac:dyDescent="0.2">
      <c r="A4002" s="88" t="s">
        <v>4671</v>
      </c>
      <c r="B4002" s="90"/>
      <c r="C4002" s="88" t="s">
        <v>4788</v>
      </c>
      <c r="D4002" s="90"/>
      <c r="E4002" s="88" t="s">
        <v>4789</v>
      </c>
      <c r="F4002" s="89"/>
      <c r="G4002" s="89"/>
      <c r="H4002" s="89"/>
      <c r="I4002" s="90"/>
      <c r="J4002" s="88" t="s">
        <v>13</v>
      </c>
      <c r="K4002" s="89"/>
      <c r="L4002" s="89"/>
      <c r="M4002" s="90"/>
      <c r="N4002" s="88" t="s">
        <v>26</v>
      </c>
      <c r="O4002" s="89"/>
      <c r="P4002" s="90"/>
      <c r="Q4002" s="133">
        <v>3000</v>
      </c>
      <c r="R4002" s="134"/>
      <c r="S4002" s="5" t="s">
        <v>119</v>
      </c>
      <c r="T4002" s="6"/>
      <c r="U4002" s="6"/>
      <c r="V4002" s="5" t="s">
        <v>23</v>
      </c>
      <c r="W4002" s="12">
        <v>30945432</v>
      </c>
      <c r="X4002" s="6"/>
      <c r="Y4002" s="6"/>
    </row>
    <row r="4003" spans="1:25" ht="15" customHeight="1" x14ac:dyDescent="0.2">
      <c r="A4003" s="88" t="s">
        <v>4671</v>
      </c>
      <c r="B4003" s="90"/>
      <c r="C4003" s="133">
        <v>911</v>
      </c>
      <c r="D4003" s="134"/>
      <c r="E4003" s="88" t="s">
        <v>4790</v>
      </c>
      <c r="F4003" s="89"/>
      <c r="G4003" s="89"/>
      <c r="H4003" s="89"/>
      <c r="I4003" s="90"/>
      <c r="J4003" s="88" t="s">
        <v>13</v>
      </c>
      <c r="K4003" s="89"/>
      <c r="L4003" s="89"/>
      <c r="M4003" s="90"/>
      <c r="N4003" s="88" t="s">
        <v>26</v>
      </c>
      <c r="O4003" s="89"/>
      <c r="P4003" s="90"/>
      <c r="Q4003" s="133">
        <v>3000</v>
      </c>
      <c r="R4003" s="134"/>
      <c r="S4003" s="5" t="s">
        <v>271</v>
      </c>
      <c r="T4003" s="6"/>
      <c r="U4003" s="6"/>
      <c r="V4003" s="5" t="s">
        <v>23</v>
      </c>
      <c r="W4003" s="12">
        <v>20348245</v>
      </c>
      <c r="X4003" s="6"/>
      <c r="Y4003" s="6"/>
    </row>
    <row r="4004" spans="1:25" ht="15" customHeight="1" x14ac:dyDescent="0.2">
      <c r="A4004" s="88" t="s">
        <v>4671</v>
      </c>
      <c r="B4004" s="90"/>
      <c r="C4004" s="88" t="s">
        <v>4791</v>
      </c>
      <c r="D4004" s="90"/>
      <c r="E4004" s="88" t="s">
        <v>4771</v>
      </c>
      <c r="F4004" s="89"/>
      <c r="G4004" s="89"/>
      <c r="H4004" s="89"/>
      <c r="I4004" s="90"/>
      <c r="J4004" s="88" t="s">
        <v>13</v>
      </c>
      <c r="K4004" s="89"/>
      <c r="L4004" s="89"/>
      <c r="M4004" s="90"/>
      <c r="N4004" s="88" t="s">
        <v>22</v>
      </c>
      <c r="O4004" s="89"/>
      <c r="P4004" s="90"/>
      <c r="Q4004" s="133">
        <v>3000</v>
      </c>
      <c r="R4004" s="134"/>
      <c r="S4004" s="5" t="s">
        <v>271</v>
      </c>
      <c r="T4004" s="6"/>
      <c r="U4004" s="6"/>
      <c r="V4004" s="5" t="s">
        <v>176</v>
      </c>
      <c r="W4004" s="12">
        <v>12618143</v>
      </c>
      <c r="X4004" s="6"/>
      <c r="Y4004" s="6"/>
    </row>
    <row r="4005" spans="1:25" ht="15" customHeight="1" x14ac:dyDescent="0.2">
      <c r="A4005" s="88" t="s">
        <v>4671</v>
      </c>
      <c r="B4005" s="90"/>
      <c r="C4005" s="88" t="s">
        <v>4792</v>
      </c>
      <c r="D4005" s="90"/>
      <c r="E4005" s="88" t="s">
        <v>4793</v>
      </c>
      <c r="F4005" s="89"/>
      <c r="G4005" s="89"/>
      <c r="H4005" s="89"/>
      <c r="I4005" s="90"/>
      <c r="J4005" s="88" t="s">
        <v>13</v>
      </c>
      <c r="K4005" s="89"/>
      <c r="L4005" s="89"/>
      <c r="M4005" s="90"/>
      <c r="N4005" s="88" t="s">
        <v>26</v>
      </c>
      <c r="O4005" s="89"/>
      <c r="P4005" s="90"/>
      <c r="Q4005" s="133">
        <v>3000</v>
      </c>
      <c r="R4005" s="134"/>
      <c r="S4005" s="5" t="s">
        <v>271</v>
      </c>
      <c r="T4005" s="6"/>
      <c r="U4005" s="6"/>
      <c r="V4005" s="5" t="s">
        <v>23</v>
      </c>
      <c r="W4005" s="12">
        <v>37113906</v>
      </c>
      <c r="X4005" s="6"/>
      <c r="Y4005" s="6"/>
    </row>
    <row r="4006" spans="1:25" ht="15" customHeight="1" x14ac:dyDescent="0.2">
      <c r="A4006" s="88" t="s">
        <v>4671</v>
      </c>
      <c r="B4006" s="90"/>
      <c r="C4006" s="88" t="s">
        <v>4794</v>
      </c>
      <c r="D4006" s="90"/>
      <c r="E4006" s="88" t="s">
        <v>4795</v>
      </c>
      <c r="F4006" s="89"/>
      <c r="G4006" s="89"/>
      <c r="H4006" s="89"/>
      <c r="I4006" s="90"/>
      <c r="J4006" s="88" t="s">
        <v>13</v>
      </c>
      <c r="K4006" s="89"/>
      <c r="L4006" s="89"/>
      <c r="M4006" s="90"/>
      <c r="N4006" s="88" t="s">
        <v>22</v>
      </c>
      <c r="O4006" s="89"/>
      <c r="P4006" s="90"/>
      <c r="Q4006" s="133">
        <v>3000</v>
      </c>
      <c r="R4006" s="134"/>
      <c r="S4006" s="5" t="s">
        <v>70</v>
      </c>
      <c r="T4006" s="6"/>
      <c r="U4006" s="6"/>
      <c r="V4006" s="5" t="s">
        <v>23</v>
      </c>
      <c r="W4006" s="12">
        <v>11355311</v>
      </c>
      <c r="X4006" s="6"/>
      <c r="Y4006" s="6"/>
    </row>
    <row r="4007" spans="1:25" ht="15" customHeight="1" x14ac:dyDescent="0.2">
      <c r="A4007" s="88" t="s">
        <v>4671</v>
      </c>
      <c r="B4007" s="90"/>
      <c r="C4007" s="88" t="s">
        <v>4796</v>
      </c>
      <c r="D4007" s="90"/>
      <c r="E4007" s="88" t="s">
        <v>4797</v>
      </c>
      <c r="F4007" s="89"/>
      <c r="G4007" s="89"/>
      <c r="H4007" s="89"/>
      <c r="I4007" s="90"/>
      <c r="J4007" s="88" t="s">
        <v>13</v>
      </c>
      <c r="K4007" s="89"/>
      <c r="L4007" s="89"/>
      <c r="M4007" s="90"/>
      <c r="N4007" s="88" t="s">
        <v>22</v>
      </c>
      <c r="O4007" s="89"/>
      <c r="P4007" s="90"/>
      <c r="Q4007" s="133">
        <v>3000</v>
      </c>
      <c r="R4007" s="134"/>
      <c r="S4007" s="5" t="s">
        <v>271</v>
      </c>
      <c r="T4007" s="6"/>
      <c r="U4007" s="6"/>
      <c r="V4007" s="5" t="s">
        <v>23</v>
      </c>
      <c r="W4007" s="12">
        <v>19450373</v>
      </c>
      <c r="X4007" s="6"/>
      <c r="Y4007" s="6"/>
    </row>
    <row r="4008" spans="1:25" ht="15" customHeight="1" x14ac:dyDescent="0.2">
      <c r="A4008" s="88" t="s">
        <v>4671</v>
      </c>
      <c r="B4008" s="90"/>
      <c r="C4008" s="88" t="s">
        <v>4798</v>
      </c>
      <c r="D4008" s="90"/>
      <c r="E4008" s="88" t="s">
        <v>4799</v>
      </c>
      <c r="F4008" s="89"/>
      <c r="G4008" s="89"/>
      <c r="H4008" s="89"/>
      <c r="I4008" s="90"/>
      <c r="J4008" s="88" t="s">
        <v>13</v>
      </c>
      <c r="K4008" s="89"/>
      <c r="L4008" s="89"/>
      <c r="M4008" s="90"/>
      <c r="N4008" s="88" t="s">
        <v>22</v>
      </c>
      <c r="O4008" s="89"/>
      <c r="P4008" s="90"/>
      <c r="Q4008" s="133">
        <v>3000</v>
      </c>
      <c r="R4008" s="134"/>
      <c r="S4008" s="5" t="s">
        <v>271</v>
      </c>
      <c r="T4008" s="6"/>
      <c r="U4008" s="6"/>
      <c r="V4008" s="5" t="s">
        <v>23</v>
      </c>
      <c r="W4008" s="12">
        <v>44054712</v>
      </c>
      <c r="X4008" s="6"/>
      <c r="Y4008" s="6"/>
    </row>
    <row r="4009" spans="1:25" ht="15" customHeight="1" x14ac:dyDescent="0.2">
      <c r="A4009" s="88" t="s">
        <v>4671</v>
      </c>
      <c r="B4009" s="90"/>
      <c r="C4009" s="88" t="s">
        <v>4800</v>
      </c>
      <c r="D4009" s="90"/>
      <c r="E4009" s="88" t="s">
        <v>4801</v>
      </c>
      <c r="F4009" s="89"/>
      <c r="G4009" s="89"/>
      <c r="H4009" s="89"/>
      <c r="I4009" s="90"/>
      <c r="J4009" s="88" t="s">
        <v>13</v>
      </c>
      <c r="K4009" s="89"/>
      <c r="L4009" s="89"/>
      <c r="M4009" s="90"/>
      <c r="N4009" s="88" t="s">
        <v>22</v>
      </c>
      <c r="O4009" s="89"/>
      <c r="P4009" s="90"/>
      <c r="Q4009" s="133">
        <v>3000</v>
      </c>
      <c r="R4009" s="134"/>
      <c r="S4009" s="5" t="s">
        <v>271</v>
      </c>
      <c r="T4009" s="6"/>
      <c r="U4009" s="6"/>
      <c r="V4009" s="5" t="s">
        <v>23</v>
      </c>
      <c r="W4009" s="12">
        <v>15969367</v>
      </c>
      <c r="X4009" s="6"/>
      <c r="Y4009" s="6"/>
    </row>
    <row r="4010" spans="1:25" ht="15" customHeight="1" x14ac:dyDescent="0.2">
      <c r="A4010" s="88" t="s">
        <v>4671</v>
      </c>
      <c r="B4010" s="90"/>
      <c r="C4010" s="88" t="s">
        <v>4802</v>
      </c>
      <c r="D4010" s="90"/>
      <c r="E4010" s="88" t="s">
        <v>4803</v>
      </c>
      <c r="F4010" s="89"/>
      <c r="G4010" s="89"/>
      <c r="H4010" s="89"/>
      <c r="I4010" s="90"/>
      <c r="J4010" s="88" t="s">
        <v>13</v>
      </c>
      <c r="K4010" s="89"/>
      <c r="L4010" s="89"/>
      <c r="M4010" s="90"/>
      <c r="N4010" s="88" t="s">
        <v>22</v>
      </c>
      <c r="O4010" s="89"/>
      <c r="P4010" s="90"/>
      <c r="Q4010" s="133">
        <v>3000</v>
      </c>
      <c r="R4010" s="134"/>
      <c r="S4010" s="5" t="s">
        <v>271</v>
      </c>
      <c r="T4010" s="6"/>
      <c r="U4010" s="6"/>
      <c r="V4010" s="5" t="s">
        <v>23</v>
      </c>
      <c r="W4010" s="12">
        <v>20259815</v>
      </c>
      <c r="X4010" s="6"/>
      <c r="Y4010" s="6"/>
    </row>
    <row r="4011" spans="1:25" ht="15" customHeight="1" x14ac:dyDescent="0.2">
      <c r="A4011" s="88" t="s">
        <v>4671</v>
      </c>
      <c r="B4011" s="90"/>
      <c r="C4011" s="88" t="s">
        <v>4804</v>
      </c>
      <c r="D4011" s="90"/>
      <c r="E4011" s="88" t="s">
        <v>4803</v>
      </c>
      <c r="F4011" s="89"/>
      <c r="G4011" s="89"/>
      <c r="H4011" s="89"/>
      <c r="I4011" s="90"/>
      <c r="J4011" s="88" t="s">
        <v>13</v>
      </c>
      <c r="K4011" s="89"/>
      <c r="L4011" s="89"/>
      <c r="M4011" s="90"/>
      <c r="N4011" s="88" t="s">
        <v>22</v>
      </c>
      <c r="O4011" s="89"/>
      <c r="P4011" s="90"/>
      <c r="Q4011" s="133">
        <v>3000</v>
      </c>
      <c r="R4011" s="134"/>
      <c r="S4011" s="5" t="s">
        <v>271</v>
      </c>
      <c r="T4011" s="6"/>
      <c r="U4011" s="6"/>
      <c r="V4011" s="5" t="s">
        <v>23</v>
      </c>
      <c r="W4011" s="12">
        <v>17102841</v>
      </c>
      <c r="X4011" s="6"/>
      <c r="Y4011" s="6"/>
    </row>
    <row r="4012" spans="1:25" ht="15" customHeight="1" x14ac:dyDescent="0.2">
      <c r="A4012" s="88" t="s">
        <v>4671</v>
      </c>
      <c r="B4012" s="90"/>
      <c r="C4012" s="88" t="s">
        <v>4781</v>
      </c>
      <c r="D4012" s="90"/>
      <c r="E4012" s="88" t="s">
        <v>4805</v>
      </c>
      <c r="F4012" s="89"/>
      <c r="G4012" s="89"/>
      <c r="H4012" s="89"/>
      <c r="I4012" s="90"/>
      <c r="J4012" s="88" t="s">
        <v>13</v>
      </c>
      <c r="K4012" s="89"/>
      <c r="L4012" s="89"/>
      <c r="M4012" s="90"/>
      <c r="N4012" s="88" t="s">
        <v>26</v>
      </c>
      <c r="O4012" s="89"/>
      <c r="P4012" s="90"/>
      <c r="Q4012" s="133">
        <v>3000</v>
      </c>
      <c r="R4012" s="134"/>
      <c r="S4012" s="5" t="s">
        <v>271</v>
      </c>
      <c r="T4012" s="6"/>
      <c r="U4012" s="6"/>
      <c r="V4012" s="5" t="s">
        <v>23</v>
      </c>
      <c r="W4012" s="12">
        <v>35284443</v>
      </c>
      <c r="X4012" s="6"/>
      <c r="Y4012" s="6"/>
    </row>
    <row r="4013" spans="1:25" ht="15" customHeight="1" x14ac:dyDescent="0.2">
      <c r="A4013" s="88" t="s">
        <v>4671</v>
      </c>
      <c r="B4013" s="90"/>
      <c r="C4013" s="88" t="s">
        <v>4806</v>
      </c>
      <c r="D4013" s="90"/>
      <c r="E4013" s="88" t="s">
        <v>4807</v>
      </c>
      <c r="F4013" s="89"/>
      <c r="G4013" s="89"/>
      <c r="H4013" s="89"/>
      <c r="I4013" s="90"/>
      <c r="J4013" s="88" t="s">
        <v>13</v>
      </c>
      <c r="K4013" s="89"/>
      <c r="L4013" s="89"/>
      <c r="M4013" s="90"/>
      <c r="N4013" s="88" t="s">
        <v>26</v>
      </c>
      <c r="O4013" s="89"/>
      <c r="P4013" s="90"/>
      <c r="Q4013" s="133">
        <v>3000</v>
      </c>
      <c r="R4013" s="134"/>
      <c r="S4013" s="5" t="s">
        <v>271</v>
      </c>
      <c r="T4013" s="6"/>
      <c r="U4013" s="6"/>
      <c r="V4013" s="5" t="s">
        <v>23</v>
      </c>
      <c r="W4013" s="12">
        <v>43039569</v>
      </c>
      <c r="X4013" s="6"/>
      <c r="Y4013" s="6"/>
    </row>
    <row r="4014" spans="1:25" ht="15" customHeight="1" x14ac:dyDescent="0.2">
      <c r="A4014" s="88" t="s">
        <v>4671</v>
      </c>
      <c r="B4014" s="90"/>
      <c r="C4014" s="88" t="s">
        <v>4806</v>
      </c>
      <c r="D4014" s="90"/>
      <c r="E4014" s="88" t="s">
        <v>4807</v>
      </c>
      <c r="F4014" s="89"/>
      <c r="G4014" s="89"/>
      <c r="H4014" s="89"/>
      <c r="I4014" s="90"/>
      <c r="J4014" s="88" t="s">
        <v>599</v>
      </c>
      <c r="K4014" s="89"/>
      <c r="L4014" s="89"/>
      <c r="M4014" s="90"/>
      <c r="N4014" s="88" t="s">
        <v>26</v>
      </c>
      <c r="O4014" s="89"/>
      <c r="P4014" s="90"/>
      <c r="Q4014" s="133">
        <v>3000</v>
      </c>
      <c r="R4014" s="134"/>
      <c r="S4014" s="5" t="s">
        <v>271</v>
      </c>
      <c r="T4014" s="6"/>
      <c r="U4014" s="6"/>
      <c r="V4014" s="5" t="s">
        <v>23</v>
      </c>
      <c r="W4014" s="12">
        <v>37274226</v>
      </c>
      <c r="X4014" s="6"/>
      <c r="Y4014" s="6"/>
    </row>
    <row r="4015" spans="1:25" ht="15" customHeight="1" x14ac:dyDescent="0.2">
      <c r="A4015" s="88" t="s">
        <v>4671</v>
      </c>
      <c r="B4015" s="90"/>
      <c r="C4015" s="88" t="s">
        <v>4808</v>
      </c>
      <c r="D4015" s="90"/>
      <c r="E4015" s="88" t="s">
        <v>4809</v>
      </c>
      <c r="F4015" s="89"/>
      <c r="G4015" s="89"/>
      <c r="H4015" s="89"/>
      <c r="I4015" s="90"/>
      <c r="J4015" s="88" t="s">
        <v>13</v>
      </c>
      <c r="K4015" s="89"/>
      <c r="L4015" s="89"/>
      <c r="M4015" s="90"/>
      <c r="N4015" s="88" t="s">
        <v>22</v>
      </c>
      <c r="O4015" s="89"/>
      <c r="P4015" s="90"/>
      <c r="Q4015" s="133">
        <v>3000</v>
      </c>
      <c r="R4015" s="134"/>
      <c r="S4015" s="5" t="s">
        <v>271</v>
      </c>
      <c r="T4015" s="6"/>
      <c r="U4015" s="6"/>
      <c r="V4015" s="5" t="s">
        <v>23</v>
      </c>
      <c r="W4015" s="12">
        <v>40416780</v>
      </c>
      <c r="X4015" s="6"/>
      <c r="Y4015" s="6"/>
    </row>
    <row r="4016" spans="1:25" ht="15" customHeight="1" x14ac:dyDescent="0.2">
      <c r="A4016" s="88" t="s">
        <v>4671</v>
      </c>
      <c r="B4016" s="90"/>
      <c r="C4016" s="88" t="s">
        <v>4810</v>
      </c>
      <c r="D4016" s="90"/>
      <c r="E4016" s="88" t="s">
        <v>4811</v>
      </c>
      <c r="F4016" s="89"/>
      <c r="G4016" s="89"/>
      <c r="H4016" s="89"/>
      <c r="I4016" s="90"/>
      <c r="J4016" s="88" t="s">
        <v>13</v>
      </c>
      <c r="K4016" s="89"/>
      <c r="L4016" s="89"/>
      <c r="M4016" s="90"/>
      <c r="N4016" s="88" t="s">
        <v>22</v>
      </c>
      <c r="O4016" s="89"/>
      <c r="P4016" s="90"/>
      <c r="Q4016" s="133">
        <v>3000</v>
      </c>
      <c r="R4016" s="134"/>
      <c r="S4016" s="5" t="s">
        <v>70</v>
      </c>
      <c r="T4016" s="6"/>
      <c r="U4016" s="6"/>
      <c r="V4016" s="5" t="s">
        <v>23</v>
      </c>
      <c r="W4016" s="12">
        <v>17960846</v>
      </c>
      <c r="X4016" s="6"/>
      <c r="Y4016" s="6"/>
    </row>
    <row r="4017" spans="1:25" ht="15" customHeight="1" x14ac:dyDescent="0.2">
      <c r="A4017" s="88" t="s">
        <v>4671</v>
      </c>
      <c r="B4017" s="90"/>
      <c r="C4017" s="88" t="s">
        <v>4812</v>
      </c>
      <c r="D4017" s="90"/>
      <c r="E4017" s="88" t="s">
        <v>4813</v>
      </c>
      <c r="F4017" s="89"/>
      <c r="G4017" s="89"/>
      <c r="H4017" s="89"/>
      <c r="I4017" s="90"/>
      <c r="J4017" s="88" t="s">
        <v>599</v>
      </c>
      <c r="K4017" s="89"/>
      <c r="L4017" s="89"/>
      <c r="M4017" s="90"/>
      <c r="N4017" s="88" t="s">
        <v>26</v>
      </c>
      <c r="O4017" s="89"/>
      <c r="P4017" s="90"/>
      <c r="Q4017" s="133">
        <v>3000</v>
      </c>
      <c r="R4017" s="134"/>
      <c r="S4017" s="5" t="s">
        <v>271</v>
      </c>
      <c r="T4017" s="6"/>
      <c r="U4017" s="6"/>
      <c r="V4017" s="5" t="s">
        <v>23</v>
      </c>
      <c r="W4017" s="12">
        <v>36951891</v>
      </c>
      <c r="X4017" s="6"/>
      <c r="Y4017" s="6"/>
    </row>
    <row r="4018" spans="1:25" ht="15" customHeight="1" x14ac:dyDescent="0.2">
      <c r="A4018" s="88" t="s">
        <v>4671</v>
      </c>
      <c r="B4018" s="90"/>
      <c r="C4018" s="88" t="s">
        <v>4814</v>
      </c>
      <c r="D4018" s="90"/>
      <c r="E4018" s="88" t="s">
        <v>4815</v>
      </c>
      <c r="F4018" s="89"/>
      <c r="G4018" s="89"/>
      <c r="H4018" s="89"/>
      <c r="I4018" s="90"/>
      <c r="J4018" s="88" t="s">
        <v>13</v>
      </c>
      <c r="K4018" s="89"/>
      <c r="L4018" s="89"/>
      <c r="M4018" s="90"/>
      <c r="N4018" s="88" t="s">
        <v>22</v>
      </c>
      <c r="O4018" s="89"/>
      <c r="P4018" s="90"/>
      <c r="Q4018" s="133">
        <v>3600</v>
      </c>
      <c r="R4018" s="134"/>
      <c r="S4018" s="5" t="s">
        <v>70</v>
      </c>
      <c r="T4018" s="6"/>
      <c r="U4018" s="6"/>
      <c r="V4018" s="5" t="s">
        <v>23</v>
      </c>
      <c r="W4018" s="12">
        <v>6258424</v>
      </c>
      <c r="X4018" s="6"/>
      <c r="Y4018" s="6"/>
    </row>
    <row r="4019" spans="1:25" ht="15" customHeight="1" x14ac:dyDescent="0.2">
      <c r="A4019" s="88" t="s">
        <v>4671</v>
      </c>
      <c r="B4019" s="90"/>
      <c r="C4019" s="88" t="s">
        <v>4816</v>
      </c>
      <c r="D4019" s="90"/>
      <c r="E4019" s="88" t="s">
        <v>4817</v>
      </c>
      <c r="F4019" s="89"/>
      <c r="G4019" s="89"/>
      <c r="H4019" s="89"/>
      <c r="I4019" s="90"/>
      <c r="J4019" s="88" t="s">
        <v>599</v>
      </c>
      <c r="K4019" s="89"/>
      <c r="L4019" s="89"/>
      <c r="M4019" s="90"/>
      <c r="N4019" s="88" t="s">
        <v>26</v>
      </c>
      <c r="O4019" s="89"/>
      <c r="P4019" s="90"/>
      <c r="Q4019" s="133">
        <v>3700</v>
      </c>
      <c r="R4019" s="134"/>
      <c r="S4019" s="5" t="s">
        <v>271</v>
      </c>
      <c r="T4019" s="6"/>
      <c r="U4019" s="6"/>
      <c r="V4019" s="5" t="s">
        <v>23</v>
      </c>
      <c r="W4019" s="12">
        <v>124569559</v>
      </c>
      <c r="X4019" s="6"/>
      <c r="Y4019" s="6"/>
    </row>
    <row r="4020" spans="1:25" ht="15" customHeight="1" x14ac:dyDescent="0.2">
      <c r="A4020" s="88" t="s">
        <v>4671</v>
      </c>
      <c r="B4020" s="90"/>
      <c r="C4020" s="88" t="s">
        <v>4818</v>
      </c>
      <c r="D4020" s="90"/>
      <c r="E4020" s="88" t="s">
        <v>4819</v>
      </c>
      <c r="F4020" s="89"/>
      <c r="G4020" s="89"/>
      <c r="H4020" s="89"/>
      <c r="I4020" s="90"/>
      <c r="J4020" s="88" t="s">
        <v>13</v>
      </c>
      <c r="K4020" s="89"/>
      <c r="L4020" s="89"/>
      <c r="M4020" s="90"/>
      <c r="N4020" s="88" t="s">
        <v>26</v>
      </c>
      <c r="O4020" s="89"/>
      <c r="P4020" s="90"/>
      <c r="Q4020" s="133">
        <v>3800</v>
      </c>
      <c r="R4020" s="134"/>
      <c r="S4020" s="5" t="s">
        <v>271</v>
      </c>
      <c r="T4020" s="6"/>
      <c r="U4020" s="6"/>
      <c r="V4020" s="5" t="s">
        <v>23</v>
      </c>
      <c r="W4020" s="12">
        <v>81996793</v>
      </c>
      <c r="X4020" s="6"/>
      <c r="Y4020" s="6"/>
    </row>
    <row r="4021" spans="1:25" ht="15" customHeight="1" x14ac:dyDescent="0.2">
      <c r="A4021" s="88" t="s">
        <v>4671</v>
      </c>
      <c r="B4021" s="90"/>
      <c r="C4021" s="88" t="s">
        <v>4820</v>
      </c>
      <c r="D4021" s="90"/>
      <c r="E4021" s="88" t="s">
        <v>4821</v>
      </c>
      <c r="F4021" s="89"/>
      <c r="G4021" s="89"/>
      <c r="H4021" s="89"/>
      <c r="I4021" s="90"/>
      <c r="J4021" s="88" t="s">
        <v>13</v>
      </c>
      <c r="K4021" s="89"/>
      <c r="L4021" s="89"/>
      <c r="M4021" s="90"/>
      <c r="N4021" s="88" t="s">
        <v>22</v>
      </c>
      <c r="O4021" s="89"/>
      <c r="P4021" s="90"/>
      <c r="Q4021" s="133">
        <v>3800</v>
      </c>
      <c r="R4021" s="134"/>
      <c r="S4021" s="5" t="s">
        <v>271</v>
      </c>
      <c r="T4021" s="6"/>
      <c r="U4021" s="6"/>
      <c r="V4021" s="5" t="s">
        <v>23</v>
      </c>
      <c r="W4021" s="12">
        <v>46503292</v>
      </c>
      <c r="X4021" s="6"/>
      <c r="Y4021" s="6"/>
    </row>
    <row r="4022" spans="1:25" ht="15" customHeight="1" x14ac:dyDescent="0.2">
      <c r="A4022" s="88" t="s">
        <v>4671</v>
      </c>
      <c r="B4022" s="90"/>
      <c r="C4022" s="88" t="s">
        <v>4822</v>
      </c>
      <c r="D4022" s="90"/>
      <c r="E4022" s="88" t="s">
        <v>4823</v>
      </c>
      <c r="F4022" s="89"/>
      <c r="G4022" s="89"/>
      <c r="H4022" s="89"/>
      <c r="I4022" s="90"/>
      <c r="J4022" s="88" t="s">
        <v>13</v>
      </c>
      <c r="K4022" s="89"/>
      <c r="L4022" s="89"/>
      <c r="M4022" s="90"/>
      <c r="N4022" s="88" t="s">
        <v>26</v>
      </c>
      <c r="O4022" s="89"/>
      <c r="P4022" s="90"/>
      <c r="Q4022" s="133">
        <v>3800</v>
      </c>
      <c r="R4022" s="134"/>
      <c r="S4022" s="5" t="s">
        <v>119</v>
      </c>
      <c r="T4022" s="6"/>
      <c r="U4022" s="6"/>
      <c r="V4022" s="5" t="s">
        <v>23</v>
      </c>
      <c r="W4022" s="12">
        <v>56079769</v>
      </c>
      <c r="X4022" s="6"/>
      <c r="Y4022" s="6"/>
    </row>
    <row r="4023" spans="1:25" ht="15" customHeight="1" x14ac:dyDescent="0.2">
      <c r="A4023" s="88" t="s">
        <v>4671</v>
      </c>
      <c r="B4023" s="90"/>
      <c r="C4023" s="88" t="s">
        <v>4824</v>
      </c>
      <c r="D4023" s="90"/>
      <c r="E4023" s="88" t="s">
        <v>4825</v>
      </c>
      <c r="F4023" s="89"/>
      <c r="G4023" s="89"/>
      <c r="H4023" s="89"/>
      <c r="I4023" s="90"/>
      <c r="J4023" s="88" t="s">
        <v>13</v>
      </c>
      <c r="K4023" s="89"/>
      <c r="L4023" s="89"/>
      <c r="M4023" s="90"/>
      <c r="N4023" s="88" t="s">
        <v>22</v>
      </c>
      <c r="O4023" s="89"/>
      <c r="P4023" s="90"/>
      <c r="Q4023" s="133">
        <v>3800</v>
      </c>
      <c r="R4023" s="134"/>
      <c r="S4023" s="5" t="s">
        <v>119</v>
      </c>
      <c r="T4023" s="6"/>
      <c r="U4023" s="6"/>
      <c r="V4023" s="5" t="s">
        <v>23</v>
      </c>
      <c r="W4023" s="12">
        <v>73514081</v>
      </c>
      <c r="X4023" s="6"/>
      <c r="Y4023" s="6"/>
    </row>
    <row r="4024" spans="1:25" ht="15" customHeight="1" x14ac:dyDescent="0.2">
      <c r="A4024" s="88" t="s">
        <v>4671</v>
      </c>
      <c r="B4024" s="90"/>
      <c r="C4024" s="88" t="s">
        <v>4826</v>
      </c>
      <c r="D4024" s="90"/>
      <c r="E4024" s="88" t="s">
        <v>4827</v>
      </c>
      <c r="F4024" s="89"/>
      <c r="G4024" s="89"/>
      <c r="H4024" s="89"/>
      <c r="I4024" s="90"/>
      <c r="J4024" s="88" t="s">
        <v>13</v>
      </c>
      <c r="K4024" s="89"/>
      <c r="L4024" s="89"/>
      <c r="M4024" s="90"/>
      <c r="N4024" s="88" t="s">
        <v>22</v>
      </c>
      <c r="O4024" s="89"/>
      <c r="P4024" s="90"/>
      <c r="Q4024" s="133">
        <v>4000</v>
      </c>
      <c r="R4024" s="134"/>
      <c r="S4024" s="5" t="s">
        <v>70</v>
      </c>
      <c r="T4024" s="6"/>
      <c r="U4024" s="6"/>
      <c r="V4024" s="5" t="s">
        <v>23</v>
      </c>
      <c r="W4024" s="12">
        <v>15423447</v>
      </c>
      <c r="X4024" s="6"/>
      <c r="Y4024" s="6"/>
    </row>
    <row r="4025" spans="1:25" ht="15" customHeight="1" x14ac:dyDescent="0.2">
      <c r="A4025" s="88" t="s">
        <v>4671</v>
      </c>
      <c r="B4025" s="90"/>
      <c r="C4025" s="88" t="s">
        <v>4727</v>
      </c>
      <c r="D4025" s="90"/>
      <c r="E4025" s="88" t="s">
        <v>4828</v>
      </c>
      <c r="F4025" s="89"/>
      <c r="G4025" s="89"/>
      <c r="H4025" s="89"/>
      <c r="I4025" s="90"/>
      <c r="J4025" s="88" t="s">
        <v>13</v>
      </c>
      <c r="K4025" s="89"/>
      <c r="L4025" s="89"/>
      <c r="M4025" s="90"/>
      <c r="N4025" s="88" t="s">
        <v>22</v>
      </c>
      <c r="O4025" s="89"/>
      <c r="P4025" s="90"/>
      <c r="Q4025" s="133">
        <v>4000</v>
      </c>
      <c r="R4025" s="134"/>
      <c r="S4025" s="5" t="s">
        <v>271</v>
      </c>
      <c r="T4025" s="6"/>
      <c r="U4025" s="6"/>
      <c r="V4025" s="5" t="s">
        <v>23</v>
      </c>
      <c r="W4025" s="12">
        <v>17177469</v>
      </c>
      <c r="X4025" s="6"/>
      <c r="Y4025" s="6"/>
    </row>
    <row r="4026" spans="1:25" ht="15" customHeight="1" x14ac:dyDescent="0.2">
      <c r="A4026" s="88" t="s">
        <v>4671</v>
      </c>
      <c r="B4026" s="90"/>
      <c r="C4026" s="88" t="s">
        <v>4829</v>
      </c>
      <c r="D4026" s="90"/>
      <c r="E4026" s="88" t="s">
        <v>4830</v>
      </c>
      <c r="F4026" s="89"/>
      <c r="G4026" s="89"/>
      <c r="H4026" s="89"/>
      <c r="I4026" s="90"/>
      <c r="J4026" s="88" t="s">
        <v>13</v>
      </c>
      <c r="K4026" s="89"/>
      <c r="L4026" s="89"/>
      <c r="M4026" s="90"/>
      <c r="N4026" s="88" t="s">
        <v>22</v>
      </c>
      <c r="O4026" s="89"/>
      <c r="P4026" s="90"/>
      <c r="Q4026" s="133">
        <v>4000</v>
      </c>
      <c r="R4026" s="134"/>
      <c r="S4026" s="5" t="s">
        <v>271</v>
      </c>
      <c r="T4026" s="6"/>
      <c r="U4026" s="6"/>
      <c r="V4026" s="5" t="s">
        <v>23</v>
      </c>
      <c r="W4026" s="12">
        <v>16160205</v>
      </c>
      <c r="X4026" s="6"/>
      <c r="Y4026" s="6"/>
    </row>
    <row r="4027" spans="1:25" ht="15" customHeight="1" x14ac:dyDescent="0.2">
      <c r="A4027" s="88" t="s">
        <v>4671</v>
      </c>
      <c r="B4027" s="90"/>
      <c r="C4027" s="88" t="s">
        <v>4831</v>
      </c>
      <c r="D4027" s="90"/>
      <c r="E4027" s="88" t="s">
        <v>4832</v>
      </c>
      <c r="F4027" s="89"/>
      <c r="G4027" s="89"/>
      <c r="H4027" s="89"/>
      <c r="I4027" s="90"/>
      <c r="J4027" s="88" t="s">
        <v>13</v>
      </c>
      <c r="K4027" s="89"/>
      <c r="L4027" s="89"/>
      <c r="M4027" s="90"/>
      <c r="N4027" s="88" t="s">
        <v>22</v>
      </c>
      <c r="O4027" s="89"/>
      <c r="P4027" s="90"/>
      <c r="Q4027" s="133">
        <v>4000</v>
      </c>
      <c r="R4027" s="134"/>
      <c r="S4027" s="5" t="s">
        <v>271</v>
      </c>
      <c r="T4027" s="6"/>
      <c r="U4027" s="6"/>
      <c r="V4027" s="5" t="s">
        <v>23</v>
      </c>
      <c r="W4027" s="12">
        <v>11837523</v>
      </c>
      <c r="X4027" s="6"/>
      <c r="Y4027" s="6"/>
    </row>
    <row r="4028" spans="1:25" ht="15" customHeight="1" x14ac:dyDescent="0.2">
      <c r="A4028" s="88" t="s">
        <v>4671</v>
      </c>
      <c r="B4028" s="90"/>
      <c r="C4028" s="88" t="s">
        <v>4833</v>
      </c>
      <c r="D4028" s="90"/>
      <c r="E4028" s="88" t="s">
        <v>4834</v>
      </c>
      <c r="F4028" s="89"/>
      <c r="G4028" s="89"/>
      <c r="H4028" s="89"/>
      <c r="I4028" s="90"/>
      <c r="J4028" s="88" t="s">
        <v>13</v>
      </c>
      <c r="K4028" s="89"/>
      <c r="L4028" s="89"/>
      <c r="M4028" s="90"/>
      <c r="N4028" s="88" t="s">
        <v>22</v>
      </c>
      <c r="O4028" s="89"/>
      <c r="P4028" s="90"/>
      <c r="Q4028" s="133">
        <v>4000</v>
      </c>
      <c r="R4028" s="134"/>
      <c r="S4028" s="5" t="s">
        <v>271</v>
      </c>
      <c r="T4028" s="6"/>
      <c r="U4028" s="6"/>
      <c r="V4028" s="5" t="s">
        <v>23</v>
      </c>
      <c r="W4028" s="12">
        <v>15598964</v>
      </c>
      <c r="X4028" s="6"/>
      <c r="Y4028" s="6"/>
    </row>
    <row r="4029" spans="1:25" ht="15" customHeight="1" x14ac:dyDescent="0.2">
      <c r="A4029" s="88" t="s">
        <v>4671</v>
      </c>
      <c r="B4029" s="90"/>
      <c r="C4029" s="88" t="s">
        <v>4835</v>
      </c>
      <c r="D4029" s="90"/>
      <c r="E4029" s="88" t="s">
        <v>4836</v>
      </c>
      <c r="F4029" s="89"/>
      <c r="G4029" s="89"/>
      <c r="H4029" s="89"/>
      <c r="I4029" s="90"/>
      <c r="J4029" s="88" t="s">
        <v>599</v>
      </c>
      <c r="K4029" s="89"/>
      <c r="L4029" s="89"/>
      <c r="M4029" s="90"/>
      <c r="N4029" s="88" t="s">
        <v>26</v>
      </c>
      <c r="O4029" s="89"/>
      <c r="P4029" s="90"/>
      <c r="Q4029" s="133">
        <v>4000</v>
      </c>
      <c r="R4029" s="134"/>
      <c r="S4029" s="5" t="s">
        <v>119</v>
      </c>
      <c r="T4029" s="6"/>
      <c r="U4029" s="6"/>
      <c r="V4029" s="5" t="s">
        <v>23</v>
      </c>
      <c r="W4029" s="12">
        <v>21693128</v>
      </c>
      <c r="X4029" s="6"/>
      <c r="Y4029" s="6"/>
    </row>
    <row r="4030" spans="1:25" ht="15" customHeight="1" x14ac:dyDescent="0.2">
      <c r="A4030" s="88" t="s">
        <v>4671</v>
      </c>
      <c r="B4030" s="90"/>
      <c r="C4030" s="88" t="s">
        <v>4835</v>
      </c>
      <c r="D4030" s="90"/>
      <c r="E4030" s="88" t="s">
        <v>4836</v>
      </c>
      <c r="F4030" s="89"/>
      <c r="G4030" s="89"/>
      <c r="H4030" s="89"/>
      <c r="I4030" s="90"/>
      <c r="J4030" s="88" t="s">
        <v>599</v>
      </c>
      <c r="K4030" s="89"/>
      <c r="L4030" s="89"/>
      <c r="M4030" s="90"/>
      <c r="N4030" s="88" t="s">
        <v>26</v>
      </c>
      <c r="O4030" s="89"/>
      <c r="P4030" s="90"/>
      <c r="Q4030" s="133">
        <v>4000</v>
      </c>
      <c r="R4030" s="134"/>
      <c r="S4030" s="5" t="s">
        <v>119</v>
      </c>
      <c r="T4030" s="6"/>
      <c r="U4030" s="6"/>
      <c r="V4030" s="5" t="s">
        <v>23</v>
      </c>
      <c r="W4030" s="12">
        <v>23351351</v>
      </c>
      <c r="X4030" s="6"/>
      <c r="Y4030" s="6"/>
    </row>
    <row r="4031" spans="1:25" ht="15" customHeight="1" x14ac:dyDescent="0.2">
      <c r="A4031" s="88" t="s">
        <v>4671</v>
      </c>
      <c r="B4031" s="90"/>
      <c r="C4031" s="88" t="s">
        <v>4837</v>
      </c>
      <c r="D4031" s="90"/>
      <c r="E4031" s="88" t="s">
        <v>4836</v>
      </c>
      <c r="F4031" s="89"/>
      <c r="G4031" s="89"/>
      <c r="H4031" s="89"/>
      <c r="I4031" s="90"/>
      <c r="J4031" s="88" t="s">
        <v>599</v>
      </c>
      <c r="K4031" s="89"/>
      <c r="L4031" s="89"/>
      <c r="M4031" s="90"/>
      <c r="N4031" s="88" t="s">
        <v>26</v>
      </c>
      <c r="O4031" s="89"/>
      <c r="P4031" s="90"/>
      <c r="Q4031" s="133">
        <v>4000</v>
      </c>
      <c r="R4031" s="134"/>
      <c r="S4031" s="5" t="s">
        <v>119</v>
      </c>
      <c r="T4031" s="6"/>
      <c r="U4031" s="6"/>
      <c r="V4031" s="5" t="s">
        <v>23</v>
      </c>
      <c r="W4031" s="12">
        <v>21964214</v>
      </c>
      <c r="X4031" s="6"/>
      <c r="Y4031" s="6"/>
    </row>
    <row r="4032" spans="1:25" ht="15" customHeight="1" x14ac:dyDescent="0.2">
      <c r="A4032" s="88" t="s">
        <v>4671</v>
      </c>
      <c r="B4032" s="90"/>
      <c r="C4032" s="88" t="s">
        <v>4838</v>
      </c>
      <c r="D4032" s="90"/>
      <c r="E4032" s="88" t="s">
        <v>4839</v>
      </c>
      <c r="F4032" s="89"/>
      <c r="G4032" s="89"/>
      <c r="H4032" s="89"/>
      <c r="I4032" s="90"/>
      <c r="J4032" s="88" t="s">
        <v>13</v>
      </c>
      <c r="K4032" s="89"/>
      <c r="L4032" s="89"/>
      <c r="M4032" s="90"/>
      <c r="N4032" s="88" t="s">
        <v>22</v>
      </c>
      <c r="O4032" s="89"/>
      <c r="P4032" s="90"/>
      <c r="Q4032" s="133">
        <v>4000</v>
      </c>
      <c r="R4032" s="134"/>
      <c r="S4032" s="5" t="s">
        <v>70</v>
      </c>
      <c r="T4032" s="6"/>
      <c r="U4032" s="6"/>
      <c r="V4032" s="5" t="s">
        <v>23</v>
      </c>
      <c r="W4032" s="12">
        <v>13318850</v>
      </c>
      <c r="X4032" s="6"/>
      <c r="Y4032" s="6"/>
    </row>
    <row r="4033" spans="1:25" ht="15" customHeight="1" x14ac:dyDescent="0.2">
      <c r="A4033" s="88" t="s">
        <v>4671</v>
      </c>
      <c r="B4033" s="90"/>
      <c r="C4033" s="88" t="s">
        <v>4840</v>
      </c>
      <c r="D4033" s="90"/>
      <c r="E4033" s="88" t="s">
        <v>4841</v>
      </c>
      <c r="F4033" s="89"/>
      <c r="G4033" s="89"/>
      <c r="H4033" s="89"/>
      <c r="I4033" s="90"/>
      <c r="J4033" s="88" t="s">
        <v>13</v>
      </c>
      <c r="K4033" s="89"/>
      <c r="L4033" s="89"/>
      <c r="M4033" s="90"/>
      <c r="N4033" s="88" t="s">
        <v>22</v>
      </c>
      <c r="O4033" s="89"/>
      <c r="P4033" s="90"/>
      <c r="Q4033" s="133">
        <v>4000</v>
      </c>
      <c r="R4033" s="134"/>
      <c r="S4033" s="5" t="s">
        <v>271</v>
      </c>
      <c r="T4033" s="6"/>
      <c r="U4033" s="6"/>
      <c r="V4033" s="5" t="s">
        <v>23</v>
      </c>
      <c r="W4033" s="12">
        <v>21948133</v>
      </c>
      <c r="X4033" s="6"/>
      <c r="Y4033" s="6"/>
    </row>
    <row r="4034" spans="1:25" ht="15" customHeight="1" x14ac:dyDescent="0.2">
      <c r="A4034" s="88" t="s">
        <v>4671</v>
      </c>
      <c r="B4034" s="90"/>
      <c r="C4034" s="88" t="s">
        <v>4723</v>
      </c>
      <c r="D4034" s="90"/>
      <c r="E4034" s="88" t="s">
        <v>4842</v>
      </c>
      <c r="F4034" s="89"/>
      <c r="G4034" s="89"/>
      <c r="H4034" s="89"/>
      <c r="I4034" s="90"/>
      <c r="J4034" s="88" t="s">
        <v>13</v>
      </c>
      <c r="K4034" s="89"/>
      <c r="L4034" s="89"/>
      <c r="M4034" s="90"/>
      <c r="N4034" s="88" t="s">
        <v>22</v>
      </c>
      <c r="O4034" s="89"/>
      <c r="P4034" s="90"/>
      <c r="Q4034" s="133">
        <v>4000</v>
      </c>
      <c r="R4034" s="134"/>
      <c r="S4034" s="5" t="s">
        <v>271</v>
      </c>
      <c r="T4034" s="6"/>
      <c r="U4034" s="6"/>
      <c r="V4034" s="5" t="s">
        <v>23</v>
      </c>
      <c r="W4034" s="12">
        <v>13494138</v>
      </c>
      <c r="X4034" s="6"/>
      <c r="Y4034" s="6"/>
    </row>
    <row r="4035" spans="1:25" ht="15" customHeight="1" x14ac:dyDescent="0.2">
      <c r="A4035" s="88" t="s">
        <v>4671</v>
      </c>
      <c r="B4035" s="90"/>
      <c r="C4035" s="88" t="s">
        <v>4724</v>
      </c>
      <c r="D4035" s="90"/>
      <c r="E4035" s="88" t="s">
        <v>4842</v>
      </c>
      <c r="F4035" s="89"/>
      <c r="G4035" s="89"/>
      <c r="H4035" s="89"/>
      <c r="I4035" s="90"/>
      <c r="J4035" s="88" t="s">
        <v>13</v>
      </c>
      <c r="K4035" s="89"/>
      <c r="L4035" s="89"/>
      <c r="M4035" s="90"/>
      <c r="N4035" s="88" t="s">
        <v>22</v>
      </c>
      <c r="O4035" s="89"/>
      <c r="P4035" s="90"/>
      <c r="Q4035" s="133">
        <v>4000</v>
      </c>
      <c r="R4035" s="134"/>
      <c r="S4035" s="5" t="s">
        <v>271</v>
      </c>
      <c r="T4035" s="6"/>
      <c r="U4035" s="6"/>
      <c r="V4035" s="5" t="s">
        <v>23</v>
      </c>
      <c r="W4035" s="12">
        <v>24754568</v>
      </c>
      <c r="X4035" s="6"/>
      <c r="Y4035" s="6"/>
    </row>
    <row r="4036" spans="1:25" ht="15" customHeight="1" x14ac:dyDescent="0.2">
      <c r="A4036" s="88" t="s">
        <v>4671</v>
      </c>
      <c r="B4036" s="90"/>
      <c r="C4036" s="88" t="s">
        <v>4843</v>
      </c>
      <c r="D4036" s="90"/>
      <c r="E4036" s="88" t="s">
        <v>4844</v>
      </c>
      <c r="F4036" s="89"/>
      <c r="G4036" s="89"/>
      <c r="H4036" s="89"/>
      <c r="I4036" s="90"/>
      <c r="J4036" s="88" t="s">
        <v>599</v>
      </c>
      <c r="K4036" s="89"/>
      <c r="L4036" s="89"/>
      <c r="M4036" s="90"/>
      <c r="N4036" s="88" t="s">
        <v>26</v>
      </c>
      <c r="O4036" s="89"/>
      <c r="P4036" s="90"/>
      <c r="Q4036" s="133">
        <v>4000</v>
      </c>
      <c r="R4036" s="134"/>
      <c r="S4036" s="5" t="s">
        <v>271</v>
      </c>
      <c r="T4036" s="6"/>
      <c r="U4036" s="6"/>
      <c r="V4036" s="5" t="s">
        <v>23</v>
      </c>
      <c r="W4036" s="12">
        <v>20334479</v>
      </c>
      <c r="X4036" s="6"/>
      <c r="Y4036" s="6"/>
    </row>
    <row r="4037" spans="1:25" ht="15" customHeight="1" x14ac:dyDescent="0.2">
      <c r="A4037" s="88" t="s">
        <v>4671</v>
      </c>
      <c r="B4037" s="90"/>
      <c r="C4037" s="88" t="s">
        <v>4845</v>
      </c>
      <c r="D4037" s="90"/>
      <c r="E4037" s="88" t="s">
        <v>4846</v>
      </c>
      <c r="F4037" s="89"/>
      <c r="G4037" s="89"/>
      <c r="H4037" s="89"/>
      <c r="I4037" s="90"/>
      <c r="J4037" s="88" t="s">
        <v>13</v>
      </c>
      <c r="K4037" s="89"/>
      <c r="L4037" s="89"/>
      <c r="M4037" s="90"/>
      <c r="N4037" s="88" t="s">
        <v>22</v>
      </c>
      <c r="O4037" s="89"/>
      <c r="P4037" s="90"/>
      <c r="Q4037" s="133">
        <v>4000</v>
      </c>
      <c r="R4037" s="134"/>
      <c r="S4037" s="5" t="s">
        <v>271</v>
      </c>
      <c r="T4037" s="6"/>
      <c r="U4037" s="6"/>
      <c r="V4037" s="5" t="s">
        <v>23</v>
      </c>
      <c r="W4037" s="12">
        <v>23590504</v>
      </c>
      <c r="X4037" s="6"/>
      <c r="Y4037" s="6"/>
    </row>
    <row r="4038" spans="1:25" ht="15" customHeight="1" x14ac:dyDescent="0.2">
      <c r="A4038" s="88" t="s">
        <v>4671</v>
      </c>
      <c r="B4038" s="90"/>
      <c r="C4038" s="88" t="s">
        <v>4847</v>
      </c>
      <c r="D4038" s="90"/>
      <c r="E4038" s="88" t="s">
        <v>4848</v>
      </c>
      <c r="F4038" s="89"/>
      <c r="G4038" s="89"/>
      <c r="H4038" s="89"/>
      <c r="I4038" s="90"/>
      <c r="J4038" s="88" t="s">
        <v>13</v>
      </c>
      <c r="K4038" s="89"/>
      <c r="L4038" s="89"/>
      <c r="M4038" s="90"/>
      <c r="N4038" s="88" t="s">
        <v>22</v>
      </c>
      <c r="O4038" s="89"/>
      <c r="P4038" s="90"/>
      <c r="Q4038" s="133">
        <v>4000</v>
      </c>
      <c r="R4038" s="134"/>
      <c r="S4038" s="5" t="s">
        <v>271</v>
      </c>
      <c r="T4038" s="6"/>
      <c r="U4038" s="6"/>
      <c r="V4038" s="5" t="s">
        <v>23</v>
      </c>
      <c r="W4038" s="12">
        <v>44047891</v>
      </c>
      <c r="X4038" s="6"/>
      <c r="Y4038" s="6"/>
    </row>
    <row r="4039" spans="1:25" ht="15" customHeight="1" x14ac:dyDescent="0.2">
      <c r="A4039" s="88" t="s">
        <v>4671</v>
      </c>
      <c r="B4039" s="90"/>
      <c r="C4039" s="88" t="s">
        <v>4678</v>
      </c>
      <c r="D4039" s="90"/>
      <c r="E4039" s="88" t="s">
        <v>4848</v>
      </c>
      <c r="F4039" s="89"/>
      <c r="G4039" s="89"/>
      <c r="H4039" s="89"/>
      <c r="I4039" s="90"/>
      <c r="J4039" s="88" t="s">
        <v>13</v>
      </c>
      <c r="K4039" s="89"/>
      <c r="L4039" s="89"/>
      <c r="M4039" s="90"/>
      <c r="N4039" s="88" t="s">
        <v>26</v>
      </c>
      <c r="O4039" s="89"/>
      <c r="P4039" s="90"/>
      <c r="Q4039" s="133">
        <v>4000</v>
      </c>
      <c r="R4039" s="134"/>
      <c r="S4039" s="5" t="s">
        <v>271</v>
      </c>
      <c r="T4039" s="6"/>
      <c r="U4039" s="6"/>
      <c r="V4039" s="5" t="s">
        <v>23</v>
      </c>
      <c r="W4039" s="12">
        <v>39232428</v>
      </c>
      <c r="X4039" s="6"/>
      <c r="Y4039" s="6"/>
    </row>
    <row r="4040" spans="1:25" ht="15" customHeight="1" x14ac:dyDescent="0.2">
      <c r="A4040" s="88" t="s">
        <v>4671</v>
      </c>
      <c r="B4040" s="90"/>
      <c r="C4040" s="88" t="s">
        <v>4849</v>
      </c>
      <c r="D4040" s="90"/>
      <c r="E4040" s="88" t="s">
        <v>4850</v>
      </c>
      <c r="F4040" s="89"/>
      <c r="G4040" s="89"/>
      <c r="H4040" s="89"/>
      <c r="I4040" s="90"/>
      <c r="J4040" s="88" t="s">
        <v>13</v>
      </c>
      <c r="K4040" s="89"/>
      <c r="L4040" s="89"/>
      <c r="M4040" s="90"/>
      <c r="N4040" s="88" t="s">
        <v>26</v>
      </c>
      <c r="O4040" s="89"/>
      <c r="P4040" s="90"/>
      <c r="Q4040" s="133">
        <v>4000</v>
      </c>
      <c r="R4040" s="134"/>
      <c r="S4040" s="5" t="s">
        <v>271</v>
      </c>
      <c r="T4040" s="6"/>
      <c r="U4040" s="6"/>
      <c r="V4040" s="5" t="s">
        <v>23</v>
      </c>
      <c r="W4040" s="12">
        <v>52020363</v>
      </c>
      <c r="X4040" s="6"/>
      <c r="Y4040" s="6"/>
    </row>
    <row r="4041" spans="1:25" ht="15" customHeight="1" x14ac:dyDescent="0.2">
      <c r="A4041" s="88" t="s">
        <v>4671</v>
      </c>
      <c r="B4041" s="90"/>
      <c r="C4041" s="88" t="s">
        <v>4851</v>
      </c>
      <c r="D4041" s="90"/>
      <c r="E4041" s="88" t="s">
        <v>4823</v>
      </c>
      <c r="F4041" s="89"/>
      <c r="G4041" s="89"/>
      <c r="H4041" s="89"/>
      <c r="I4041" s="90"/>
      <c r="J4041" s="88" t="s">
        <v>599</v>
      </c>
      <c r="K4041" s="89"/>
      <c r="L4041" s="89"/>
      <c r="M4041" s="90"/>
      <c r="N4041" s="88" t="s">
        <v>26</v>
      </c>
      <c r="O4041" s="89"/>
      <c r="P4041" s="90"/>
      <c r="Q4041" s="133">
        <v>4000</v>
      </c>
      <c r="R4041" s="134"/>
      <c r="S4041" s="5" t="s">
        <v>271</v>
      </c>
      <c r="T4041" s="6"/>
      <c r="U4041" s="6"/>
      <c r="V4041" s="5" t="s">
        <v>23</v>
      </c>
      <c r="W4041" s="12">
        <v>54826568</v>
      </c>
      <c r="X4041" s="6"/>
      <c r="Y4041" s="6"/>
    </row>
    <row r="4042" spans="1:25" ht="15" customHeight="1" x14ac:dyDescent="0.2">
      <c r="A4042" s="88" t="s">
        <v>4671</v>
      </c>
      <c r="B4042" s="90"/>
      <c r="C4042" s="88" t="s">
        <v>4852</v>
      </c>
      <c r="D4042" s="90"/>
      <c r="E4042" s="88" t="s">
        <v>4853</v>
      </c>
      <c r="F4042" s="89"/>
      <c r="G4042" s="89"/>
      <c r="H4042" s="89"/>
      <c r="I4042" s="90"/>
      <c r="J4042" s="88" t="s">
        <v>13</v>
      </c>
      <c r="K4042" s="89"/>
      <c r="L4042" s="89"/>
      <c r="M4042" s="90"/>
      <c r="N4042" s="88" t="s">
        <v>22</v>
      </c>
      <c r="O4042" s="89"/>
      <c r="P4042" s="90"/>
      <c r="Q4042" s="133">
        <v>4000</v>
      </c>
      <c r="R4042" s="134"/>
      <c r="S4042" s="5" t="s">
        <v>70</v>
      </c>
      <c r="T4042" s="6"/>
      <c r="U4042" s="6"/>
      <c r="V4042" s="5" t="s">
        <v>176</v>
      </c>
      <c r="W4042" s="12">
        <v>17738710</v>
      </c>
      <c r="X4042" s="6"/>
      <c r="Y4042" s="6"/>
    </row>
    <row r="4043" spans="1:25" ht="15" customHeight="1" x14ac:dyDescent="0.2">
      <c r="A4043" s="88" t="s">
        <v>4671</v>
      </c>
      <c r="B4043" s="90"/>
      <c r="C4043" s="88" t="s">
        <v>4854</v>
      </c>
      <c r="D4043" s="90"/>
      <c r="E4043" s="88" t="s">
        <v>4855</v>
      </c>
      <c r="F4043" s="89"/>
      <c r="G4043" s="89"/>
      <c r="H4043" s="89"/>
      <c r="I4043" s="90"/>
      <c r="J4043" s="88" t="s">
        <v>13</v>
      </c>
      <c r="K4043" s="89"/>
      <c r="L4043" s="89"/>
      <c r="M4043" s="90"/>
      <c r="N4043" s="88" t="s">
        <v>22</v>
      </c>
      <c r="O4043" s="89"/>
      <c r="P4043" s="90"/>
      <c r="Q4043" s="133">
        <v>4000</v>
      </c>
      <c r="R4043" s="134"/>
      <c r="S4043" s="5" t="s">
        <v>271</v>
      </c>
      <c r="T4043" s="6"/>
      <c r="U4043" s="6"/>
      <c r="V4043" s="5" t="s">
        <v>23</v>
      </c>
      <c r="W4043" s="12">
        <v>45626396</v>
      </c>
      <c r="X4043" s="6"/>
      <c r="Y4043" s="6"/>
    </row>
    <row r="4044" spans="1:25" ht="15" customHeight="1" x14ac:dyDescent="0.2">
      <c r="A4044" s="88" t="s">
        <v>4671</v>
      </c>
      <c r="B4044" s="90"/>
      <c r="C4044" s="88" t="s">
        <v>4856</v>
      </c>
      <c r="D4044" s="90"/>
      <c r="E4044" s="88" t="s">
        <v>4857</v>
      </c>
      <c r="F4044" s="89"/>
      <c r="G4044" s="89"/>
      <c r="H4044" s="89"/>
      <c r="I4044" s="90"/>
      <c r="J4044" s="88" t="s">
        <v>599</v>
      </c>
      <c r="K4044" s="89"/>
      <c r="L4044" s="89"/>
      <c r="M4044" s="90"/>
      <c r="N4044" s="88" t="s">
        <v>26</v>
      </c>
      <c r="O4044" s="89"/>
      <c r="P4044" s="90"/>
      <c r="Q4044" s="133">
        <v>4000</v>
      </c>
      <c r="R4044" s="134"/>
      <c r="S4044" s="5" t="s">
        <v>271</v>
      </c>
      <c r="T4044" s="6"/>
      <c r="U4044" s="6"/>
      <c r="V4044" s="5" t="s">
        <v>23</v>
      </c>
      <c r="W4044" s="12">
        <v>39976998</v>
      </c>
      <c r="X4044" s="6"/>
      <c r="Y4044" s="6"/>
    </row>
    <row r="4045" spans="1:25" ht="15" customHeight="1" x14ac:dyDescent="0.2">
      <c r="A4045" s="88" t="s">
        <v>4671</v>
      </c>
      <c r="B4045" s="90"/>
      <c r="C4045" s="88" t="s">
        <v>4847</v>
      </c>
      <c r="D4045" s="90"/>
      <c r="E4045" s="88" t="s">
        <v>4857</v>
      </c>
      <c r="F4045" s="89"/>
      <c r="G4045" s="89"/>
      <c r="H4045" s="89"/>
      <c r="I4045" s="90"/>
      <c r="J4045" s="88" t="s">
        <v>599</v>
      </c>
      <c r="K4045" s="89"/>
      <c r="L4045" s="89"/>
      <c r="M4045" s="90"/>
      <c r="N4045" s="88" t="s">
        <v>26</v>
      </c>
      <c r="O4045" s="89"/>
      <c r="P4045" s="90"/>
      <c r="Q4045" s="133">
        <v>4000</v>
      </c>
      <c r="R4045" s="134"/>
      <c r="S4045" s="5" t="s">
        <v>271</v>
      </c>
      <c r="T4045" s="6"/>
      <c r="U4045" s="6"/>
      <c r="V4045" s="5" t="s">
        <v>23</v>
      </c>
      <c r="W4045" s="12">
        <v>25390703</v>
      </c>
      <c r="X4045" s="6"/>
      <c r="Y4045" s="6"/>
    </row>
    <row r="4046" spans="1:25" ht="15" customHeight="1" x14ac:dyDescent="0.2">
      <c r="A4046" s="88" t="s">
        <v>4671</v>
      </c>
      <c r="B4046" s="90"/>
      <c r="C4046" s="88" t="s">
        <v>4849</v>
      </c>
      <c r="D4046" s="90"/>
      <c r="E4046" s="88" t="s">
        <v>4823</v>
      </c>
      <c r="F4046" s="89"/>
      <c r="G4046" s="89"/>
      <c r="H4046" s="89"/>
      <c r="I4046" s="90"/>
      <c r="J4046" s="88" t="s">
        <v>599</v>
      </c>
      <c r="K4046" s="89"/>
      <c r="L4046" s="89"/>
      <c r="M4046" s="90"/>
      <c r="N4046" s="88" t="s">
        <v>26</v>
      </c>
      <c r="O4046" s="89"/>
      <c r="P4046" s="90"/>
      <c r="Q4046" s="133">
        <v>4000</v>
      </c>
      <c r="R4046" s="134"/>
      <c r="S4046" s="5" t="s">
        <v>271</v>
      </c>
      <c r="T4046" s="6"/>
      <c r="U4046" s="6"/>
      <c r="V4046" s="5" t="s">
        <v>23</v>
      </c>
      <c r="W4046" s="12">
        <v>55687613</v>
      </c>
      <c r="X4046" s="6"/>
      <c r="Y4046" s="6"/>
    </row>
    <row r="4047" spans="1:25" ht="15" customHeight="1" x14ac:dyDescent="0.2">
      <c r="A4047" s="88" t="s">
        <v>4671</v>
      </c>
      <c r="B4047" s="90"/>
      <c r="C4047" s="88" t="s">
        <v>4858</v>
      </c>
      <c r="D4047" s="90"/>
      <c r="E4047" s="88" t="s">
        <v>4859</v>
      </c>
      <c r="F4047" s="89"/>
      <c r="G4047" s="89"/>
      <c r="H4047" s="89"/>
      <c r="I4047" s="90"/>
      <c r="J4047" s="88" t="s">
        <v>13</v>
      </c>
      <c r="K4047" s="89"/>
      <c r="L4047" s="89"/>
      <c r="M4047" s="90"/>
      <c r="N4047" s="88" t="s">
        <v>26</v>
      </c>
      <c r="O4047" s="89"/>
      <c r="P4047" s="90"/>
      <c r="Q4047" s="133">
        <v>4000</v>
      </c>
      <c r="R4047" s="134"/>
      <c r="S4047" s="5" t="s">
        <v>271</v>
      </c>
      <c r="T4047" s="6"/>
      <c r="U4047" s="6"/>
      <c r="V4047" s="5" t="s">
        <v>23</v>
      </c>
      <c r="W4047" s="12">
        <v>94912230</v>
      </c>
      <c r="X4047" s="6"/>
      <c r="Y4047" s="6"/>
    </row>
    <row r="4048" spans="1:25" ht="15" customHeight="1" x14ac:dyDescent="0.2">
      <c r="A4048" s="88" t="s">
        <v>4671</v>
      </c>
      <c r="B4048" s="90"/>
      <c r="C4048" s="88" t="s">
        <v>4770</v>
      </c>
      <c r="D4048" s="90"/>
      <c r="E4048" s="88" t="s">
        <v>4860</v>
      </c>
      <c r="F4048" s="89"/>
      <c r="G4048" s="89"/>
      <c r="H4048" s="89"/>
      <c r="I4048" s="90"/>
      <c r="J4048" s="88" t="s">
        <v>13</v>
      </c>
      <c r="K4048" s="89"/>
      <c r="L4048" s="89"/>
      <c r="M4048" s="90"/>
      <c r="N4048" s="88" t="s">
        <v>22</v>
      </c>
      <c r="O4048" s="89"/>
      <c r="P4048" s="90"/>
      <c r="Q4048" s="133">
        <v>4000</v>
      </c>
      <c r="R4048" s="134"/>
      <c r="S4048" s="5" t="s">
        <v>271</v>
      </c>
      <c r="T4048" s="6"/>
      <c r="U4048" s="6"/>
      <c r="V4048" s="5" t="s">
        <v>23</v>
      </c>
      <c r="W4048" s="12">
        <v>27823819</v>
      </c>
      <c r="X4048" s="6"/>
      <c r="Y4048" s="6"/>
    </row>
    <row r="4049" spans="1:25" ht="15" customHeight="1" x14ac:dyDescent="0.2">
      <c r="A4049" s="88" t="s">
        <v>4671</v>
      </c>
      <c r="B4049" s="90"/>
      <c r="C4049" s="88" t="s">
        <v>4861</v>
      </c>
      <c r="D4049" s="90"/>
      <c r="E4049" s="88" t="s">
        <v>4862</v>
      </c>
      <c r="F4049" s="89"/>
      <c r="G4049" s="89"/>
      <c r="H4049" s="89"/>
      <c r="I4049" s="90"/>
      <c r="J4049" s="88" t="s">
        <v>599</v>
      </c>
      <c r="K4049" s="89"/>
      <c r="L4049" s="89"/>
      <c r="M4049" s="90"/>
      <c r="N4049" s="88" t="s">
        <v>26</v>
      </c>
      <c r="O4049" s="89"/>
      <c r="P4049" s="90"/>
      <c r="Q4049" s="133">
        <v>4000</v>
      </c>
      <c r="R4049" s="134"/>
      <c r="S4049" s="5" t="s">
        <v>119</v>
      </c>
      <c r="T4049" s="6"/>
      <c r="U4049" s="6"/>
      <c r="V4049" s="5" t="s">
        <v>23</v>
      </c>
      <c r="W4049" s="12">
        <v>24435697</v>
      </c>
      <c r="X4049" s="6"/>
      <c r="Y4049" s="6"/>
    </row>
    <row r="4050" spans="1:25" ht="15" customHeight="1" x14ac:dyDescent="0.2">
      <c r="A4050" s="88" t="s">
        <v>4671</v>
      </c>
      <c r="B4050" s="90"/>
      <c r="C4050" s="88" t="s">
        <v>4863</v>
      </c>
      <c r="D4050" s="90"/>
      <c r="E4050" s="88" t="s">
        <v>4864</v>
      </c>
      <c r="F4050" s="89"/>
      <c r="G4050" s="89"/>
      <c r="H4050" s="89"/>
      <c r="I4050" s="90"/>
      <c r="J4050" s="88" t="s">
        <v>13</v>
      </c>
      <c r="K4050" s="89"/>
      <c r="L4050" s="89"/>
      <c r="M4050" s="90"/>
      <c r="N4050" s="88" t="s">
        <v>26</v>
      </c>
      <c r="O4050" s="89"/>
      <c r="P4050" s="90"/>
      <c r="Q4050" s="133">
        <v>4000</v>
      </c>
      <c r="R4050" s="134"/>
      <c r="S4050" s="5" t="s">
        <v>119</v>
      </c>
      <c r="T4050" s="6"/>
      <c r="U4050" s="6"/>
      <c r="V4050" s="5" t="s">
        <v>23</v>
      </c>
      <c r="W4050" s="12">
        <v>54220759</v>
      </c>
      <c r="X4050" s="6"/>
      <c r="Y4050" s="6"/>
    </row>
    <row r="4051" spans="1:25" ht="15" customHeight="1" x14ac:dyDescent="0.2">
      <c r="A4051" s="88" t="s">
        <v>4671</v>
      </c>
      <c r="B4051" s="90"/>
      <c r="C4051" s="88" t="s">
        <v>4865</v>
      </c>
      <c r="D4051" s="90"/>
      <c r="E4051" s="88" t="s">
        <v>4866</v>
      </c>
      <c r="F4051" s="89"/>
      <c r="G4051" s="89"/>
      <c r="H4051" s="89"/>
      <c r="I4051" s="90"/>
      <c r="J4051" s="88" t="s">
        <v>13</v>
      </c>
      <c r="K4051" s="89"/>
      <c r="L4051" s="89"/>
      <c r="M4051" s="90"/>
      <c r="N4051" s="88" t="s">
        <v>22</v>
      </c>
      <c r="O4051" s="89"/>
      <c r="P4051" s="90"/>
      <c r="Q4051" s="133">
        <v>4000</v>
      </c>
      <c r="R4051" s="134"/>
      <c r="S4051" s="5" t="s">
        <v>271</v>
      </c>
      <c r="T4051" s="6"/>
      <c r="U4051" s="6"/>
      <c r="V4051" s="5" t="s">
        <v>176</v>
      </c>
      <c r="W4051" s="12">
        <v>43697086</v>
      </c>
      <c r="X4051" s="6"/>
      <c r="Y4051" s="6"/>
    </row>
    <row r="4052" spans="1:25" ht="15" customHeight="1" x14ac:dyDescent="0.2">
      <c r="A4052" s="88" t="s">
        <v>4671</v>
      </c>
      <c r="B4052" s="90"/>
      <c r="C4052" s="88" t="s">
        <v>4867</v>
      </c>
      <c r="D4052" s="90"/>
      <c r="E4052" s="88" t="s">
        <v>4868</v>
      </c>
      <c r="F4052" s="89"/>
      <c r="G4052" s="89"/>
      <c r="H4052" s="89"/>
      <c r="I4052" s="90"/>
      <c r="J4052" s="88" t="s">
        <v>13</v>
      </c>
      <c r="K4052" s="89"/>
      <c r="L4052" s="89"/>
      <c r="M4052" s="90"/>
      <c r="N4052" s="88" t="s">
        <v>22</v>
      </c>
      <c r="O4052" s="89"/>
      <c r="P4052" s="90"/>
      <c r="Q4052" s="133">
        <v>4000</v>
      </c>
      <c r="R4052" s="134"/>
      <c r="S4052" s="5" t="s">
        <v>271</v>
      </c>
      <c r="T4052" s="6"/>
      <c r="U4052" s="6"/>
      <c r="V4052" s="5" t="s">
        <v>23</v>
      </c>
      <c r="W4052" s="12">
        <v>22060473</v>
      </c>
      <c r="X4052" s="6"/>
      <c r="Y4052" s="6"/>
    </row>
    <row r="4053" spans="1:25" ht="15" customHeight="1" x14ac:dyDescent="0.2">
      <c r="A4053" s="88" t="s">
        <v>4671</v>
      </c>
      <c r="B4053" s="90"/>
      <c r="C4053" s="88" t="s">
        <v>4856</v>
      </c>
      <c r="D4053" s="90"/>
      <c r="E4053" s="133">
        <v>99999</v>
      </c>
      <c r="F4053" s="135"/>
      <c r="G4053" s="135"/>
      <c r="H4053" s="135"/>
      <c r="I4053" s="134"/>
      <c r="J4053" s="88" t="s">
        <v>13</v>
      </c>
      <c r="K4053" s="89"/>
      <c r="L4053" s="89"/>
      <c r="M4053" s="90"/>
      <c r="N4053" s="88" t="s">
        <v>26</v>
      </c>
      <c r="O4053" s="89"/>
      <c r="P4053" s="90"/>
      <c r="Q4053" s="133">
        <v>4000</v>
      </c>
      <c r="R4053" s="134"/>
      <c r="S4053" s="5" t="s">
        <v>271</v>
      </c>
      <c r="T4053" s="6"/>
      <c r="U4053" s="6"/>
      <c r="V4053" s="5" t="s">
        <v>23</v>
      </c>
      <c r="W4053" s="12">
        <v>48831420</v>
      </c>
      <c r="X4053" s="6"/>
      <c r="Y4053" s="6"/>
    </row>
    <row r="4054" spans="1:25" ht="15" customHeight="1" x14ac:dyDescent="0.2">
      <c r="A4054" s="88" t="s">
        <v>4671</v>
      </c>
      <c r="B4054" s="90"/>
      <c r="C4054" s="88" t="s">
        <v>4869</v>
      </c>
      <c r="D4054" s="90"/>
      <c r="E4054" s="88" t="s">
        <v>4870</v>
      </c>
      <c r="F4054" s="89"/>
      <c r="G4054" s="89"/>
      <c r="H4054" s="89"/>
      <c r="I4054" s="90"/>
      <c r="J4054" s="88" t="s">
        <v>13</v>
      </c>
      <c r="K4054" s="89"/>
      <c r="L4054" s="89"/>
      <c r="M4054" s="90"/>
      <c r="N4054" s="88" t="s">
        <v>22</v>
      </c>
      <c r="O4054" s="89"/>
      <c r="P4054" s="90"/>
      <c r="Q4054" s="88" t="s">
        <v>181</v>
      </c>
      <c r="R4054" s="90"/>
      <c r="S4054" s="5" t="s">
        <v>271</v>
      </c>
      <c r="T4054" s="6"/>
      <c r="U4054" s="6"/>
      <c r="V4054" s="5" t="s">
        <v>17</v>
      </c>
      <c r="W4054" s="12">
        <v>20930869</v>
      </c>
      <c r="X4054" s="6"/>
      <c r="Y4054" s="6"/>
    </row>
    <row r="4055" spans="1:25" ht="15" customHeight="1" x14ac:dyDescent="0.2">
      <c r="A4055" s="88" t="s">
        <v>4671</v>
      </c>
      <c r="B4055" s="90"/>
      <c r="C4055" s="88" t="s">
        <v>4871</v>
      </c>
      <c r="D4055" s="90"/>
      <c r="E4055" s="88" t="s">
        <v>4872</v>
      </c>
      <c r="F4055" s="89"/>
      <c r="G4055" s="89"/>
      <c r="H4055" s="89"/>
      <c r="I4055" s="90"/>
      <c r="J4055" s="88" t="s">
        <v>13</v>
      </c>
      <c r="K4055" s="89"/>
      <c r="L4055" s="89"/>
      <c r="M4055" s="90"/>
      <c r="N4055" s="88" t="s">
        <v>22</v>
      </c>
      <c r="O4055" s="89"/>
      <c r="P4055" s="90"/>
      <c r="Q4055" s="88" t="s">
        <v>181</v>
      </c>
      <c r="R4055" s="90"/>
      <c r="S4055" s="5" t="s">
        <v>271</v>
      </c>
      <c r="T4055" s="6"/>
      <c r="U4055" s="6"/>
      <c r="V4055" s="5" t="s">
        <v>17</v>
      </c>
      <c r="W4055" s="12">
        <v>11787671</v>
      </c>
      <c r="X4055" s="6"/>
      <c r="Y4055" s="6"/>
    </row>
    <row r="4056" spans="1:25" ht="15" customHeight="1" x14ac:dyDescent="0.2">
      <c r="A4056" s="88" t="s">
        <v>4671</v>
      </c>
      <c r="B4056" s="90"/>
      <c r="C4056" s="88" t="s">
        <v>4873</v>
      </c>
      <c r="D4056" s="90"/>
      <c r="E4056" s="88" t="s">
        <v>4874</v>
      </c>
      <c r="F4056" s="89"/>
      <c r="G4056" s="89"/>
      <c r="H4056" s="89"/>
      <c r="I4056" s="90"/>
      <c r="J4056" s="88" t="s">
        <v>13</v>
      </c>
      <c r="K4056" s="89"/>
      <c r="L4056" s="89"/>
      <c r="M4056" s="90"/>
      <c r="N4056" s="88" t="s">
        <v>22</v>
      </c>
      <c r="O4056" s="89"/>
      <c r="P4056" s="90"/>
      <c r="Q4056" s="88" t="s">
        <v>181</v>
      </c>
      <c r="R4056" s="90"/>
      <c r="S4056" s="5" t="s">
        <v>271</v>
      </c>
      <c r="T4056" s="6"/>
      <c r="U4056" s="6"/>
      <c r="V4056" s="5" t="s">
        <v>17</v>
      </c>
      <c r="W4056" s="12">
        <v>22491914</v>
      </c>
      <c r="X4056" s="6"/>
      <c r="Y4056" s="6"/>
    </row>
    <row r="4057" spans="1:25" ht="15" customHeight="1" x14ac:dyDescent="0.2">
      <c r="A4057" s="88" t="s">
        <v>4671</v>
      </c>
      <c r="B4057" s="90"/>
      <c r="C4057" s="88" t="s">
        <v>4875</v>
      </c>
      <c r="D4057" s="90"/>
      <c r="E4057" s="88" t="s">
        <v>4876</v>
      </c>
      <c r="F4057" s="89"/>
      <c r="G4057" s="89"/>
      <c r="H4057" s="89"/>
      <c r="I4057" s="90"/>
      <c r="J4057" s="88" t="s">
        <v>13</v>
      </c>
      <c r="K4057" s="89"/>
      <c r="L4057" s="89"/>
      <c r="M4057" s="90"/>
      <c r="N4057" s="88" t="s">
        <v>22</v>
      </c>
      <c r="O4057" s="89"/>
      <c r="P4057" s="90"/>
      <c r="Q4057" s="88" t="s">
        <v>181</v>
      </c>
      <c r="R4057" s="90"/>
      <c r="S4057" s="5" t="s">
        <v>271</v>
      </c>
      <c r="T4057" s="6"/>
      <c r="U4057" s="6"/>
      <c r="V4057" s="5" t="s">
        <v>17</v>
      </c>
      <c r="W4057" s="12">
        <v>20345047</v>
      </c>
      <c r="X4057" s="6"/>
      <c r="Y4057" s="6"/>
    </row>
    <row r="4058" spans="1:25" ht="15" customHeight="1" x14ac:dyDescent="0.2">
      <c r="A4058" s="88" t="s">
        <v>4671</v>
      </c>
      <c r="B4058" s="90"/>
      <c r="C4058" s="88" t="s">
        <v>4877</v>
      </c>
      <c r="D4058" s="90"/>
      <c r="E4058" s="88" t="s">
        <v>4878</v>
      </c>
      <c r="F4058" s="89"/>
      <c r="G4058" s="89"/>
      <c r="H4058" s="89"/>
      <c r="I4058" s="90"/>
      <c r="J4058" s="88" t="s">
        <v>13</v>
      </c>
      <c r="K4058" s="89"/>
      <c r="L4058" s="89"/>
      <c r="M4058" s="90"/>
      <c r="N4058" s="88" t="s">
        <v>22</v>
      </c>
      <c r="O4058" s="89"/>
      <c r="P4058" s="90"/>
      <c r="Q4058" s="88" t="s">
        <v>181</v>
      </c>
      <c r="R4058" s="90"/>
      <c r="S4058" s="5" t="s">
        <v>271</v>
      </c>
      <c r="T4058" s="6"/>
      <c r="U4058" s="6"/>
      <c r="V4058" s="5" t="s">
        <v>17</v>
      </c>
      <c r="W4058" s="12">
        <v>15984688</v>
      </c>
      <c r="X4058" s="6"/>
      <c r="Y4058" s="6"/>
    </row>
    <row r="4059" spans="1:25" ht="15" customHeight="1" x14ac:dyDescent="0.2">
      <c r="A4059" s="88" t="s">
        <v>4671</v>
      </c>
      <c r="B4059" s="90"/>
      <c r="C4059" s="88" t="s">
        <v>4879</v>
      </c>
      <c r="D4059" s="90"/>
      <c r="E4059" s="88" t="s">
        <v>4880</v>
      </c>
      <c r="F4059" s="89"/>
      <c r="G4059" s="89"/>
      <c r="H4059" s="89"/>
      <c r="I4059" s="90"/>
      <c r="J4059" s="88" t="s">
        <v>13</v>
      </c>
      <c r="K4059" s="89"/>
      <c r="L4059" s="89"/>
      <c r="M4059" s="90"/>
      <c r="N4059" s="88" t="s">
        <v>22</v>
      </c>
      <c r="O4059" s="89"/>
      <c r="P4059" s="90"/>
      <c r="Q4059" s="88" t="s">
        <v>181</v>
      </c>
      <c r="R4059" s="90"/>
      <c r="S4059" s="5" t="s">
        <v>271</v>
      </c>
      <c r="T4059" s="6"/>
      <c r="U4059" s="6"/>
      <c r="V4059" s="5" t="s">
        <v>17</v>
      </c>
      <c r="W4059" s="12">
        <v>32436656</v>
      </c>
      <c r="X4059" s="6"/>
      <c r="Y4059" s="6"/>
    </row>
    <row r="4060" spans="1:25" ht="15" customHeight="1" x14ac:dyDescent="0.2">
      <c r="A4060" s="88" t="s">
        <v>4671</v>
      </c>
      <c r="B4060" s="90"/>
      <c r="C4060" s="88" t="s">
        <v>4881</v>
      </c>
      <c r="D4060" s="90"/>
      <c r="E4060" s="88" t="s">
        <v>4882</v>
      </c>
      <c r="F4060" s="89"/>
      <c r="G4060" s="89"/>
      <c r="H4060" s="89"/>
      <c r="I4060" s="90"/>
      <c r="J4060" s="88" t="s">
        <v>13</v>
      </c>
      <c r="K4060" s="89"/>
      <c r="L4060" s="89"/>
      <c r="M4060" s="90"/>
      <c r="N4060" s="88" t="s">
        <v>26</v>
      </c>
      <c r="O4060" s="89"/>
      <c r="P4060" s="90"/>
      <c r="Q4060" s="88" t="s">
        <v>181</v>
      </c>
      <c r="R4060" s="90"/>
      <c r="S4060" s="5" t="s">
        <v>27</v>
      </c>
      <c r="T4060" s="6"/>
      <c r="U4060" s="6"/>
      <c r="V4060" s="5" t="s">
        <v>17</v>
      </c>
      <c r="W4060" s="12">
        <v>18264802</v>
      </c>
      <c r="X4060" s="6"/>
      <c r="Y4060" s="6"/>
    </row>
    <row r="4061" spans="1:25" ht="15" customHeight="1" x14ac:dyDescent="0.2">
      <c r="A4061" s="88" t="s">
        <v>4671</v>
      </c>
      <c r="B4061" s="90"/>
      <c r="C4061" s="88" t="s">
        <v>4883</v>
      </c>
      <c r="D4061" s="90"/>
      <c r="E4061" s="88" t="s">
        <v>4884</v>
      </c>
      <c r="F4061" s="89"/>
      <c r="G4061" s="89"/>
      <c r="H4061" s="89"/>
      <c r="I4061" s="90"/>
      <c r="J4061" s="88" t="s">
        <v>13</v>
      </c>
      <c r="K4061" s="89"/>
      <c r="L4061" s="89"/>
      <c r="M4061" s="90"/>
      <c r="N4061" s="88" t="s">
        <v>26</v>
      </c>
      <c r="O4061" s="89"/>
      <c r="P4061" s="90"/>
      <c r="Q4061" s="88" t="s">
        <v>181</v>
      </c>
      <c r="R4061" s="90"/>
      <c r="S4061" s="5" t="s">
        <v>27</v>
      </c>
      <c r="T4061" s="6"/>
      <c r="U4061" s="6"/>
      <c r="V4061" s="5" t="s">
        <v>17</v>
      </c>
      <c r="W4061" s="12">
        <v>17706777</v>
      </c>
      <c r="X4061" s="6"/>
      <c r="Y4061" s="6"/>
    </row>
    <row r="4062" spans="1:25" ht="15" customHeight="1" x14ac:dyDescent="0.2">
      <c r="A4062" s="88" t="s">
        <v>4671</v>
      </c>
      <c r="B4062" s="90"/>
      <c r="C4062" s="88" t="s">
        <v>4885</v>
      </c>
      <c r="D4062" s="90"/>
      <c r="E4062" s="88" t="s">
        <v>4886</v>
      </c>
      <c r="F4062" s="89"/>
      <c r="G4062" s="89"/>
      <c r="H4062" s="89"/>
      <c r="I4062" s="90"/>
      <c r="J4062" s="88" t="s">
        <v>13</v>
      </c>
      <c r="K4062" s="89"/>
      <c r="L4062" s="89"/>
      <c r="M4062" s="90"/>
      <c r="N4062" s="88" t="s">
        <v>22</v>
      </c>
      <c r="O4062" s="89"/>
      <c r="P4062" s="90"/>
      <c r="Q4062" s="88" t="s">
        <v>181</v>
      </c>
      <c r="R4062" s="90"/>
      <c r="S4062" s="5" t="s">
        <v>271</v>
      </c>
      <c r="T4062" s="6"/>
      <c r="U4062" s="6"/>
      <c r="V4062" s="5" t="s">
        <v>17</v>
      </c>
      <c r="W4062" s="12">
        <v>18405169</v>
      </c>
      <c r="X4062" s="6"/>
      <c r="Y4062" s="6"/>
    </row>
    <row r="4063" spans="1:25" ht="15" customHeight="1" x14ac:dyDescent="0.2">
      <c r="A4063" s="88" t="s">
        <v>4671</v>
      </c>
      <c r="B4063" s="90"/>
      <c r="C4063" s="88" t="s">
        <v>4887</v>
      </c>
      <c r="D4063" s="90"/>
      <c r="E4063" s="88" t="s">
        <v>4888</v>
      </c>
      <c r="F4063" s="89"/>
      <c r="G4063" s="89"/>
      <c r="H4063" s="89"/>
      <c r="I4063" s="90"/>
      <c r="J4063" s="88" t="s">
        <v>13</v>
      </c>
      <c r="K4063" s="89"/>
      <c r="L4063" s="89"/>
      <c r="M4063" s="90"/>
      <c r="N4063" s="88" t="s">
        <v>26</v>
      </c>
      <c r="O4063" s="89"/>
      <c r="P4063" s="90"/>
      <c r="Q4063" s="88" t="s">
        <v>4889</v>
      </c>
      <c r="R4063" s="90"/>
      <c r="S4063" s="5" t="s">
        <v>271</v>
      </c>
      <c r="T4063" s="6"/>
      <c r="U4063" s="6"/>
      <c r="V4063" s="5" t="s">
        <v>17</v>
      </c>
      <c r="W4063" s="12">
        <v>13318850</v>
      </c>
      <c r="X4063" s="6"/>
      <c r="Y4063" s="6"/>
    </row>
    <row r="4064" spans="1:25" ht="15" customHeight="1" x14ac:dyDescent="0.2">
      <c r="A4064" s="88" t="s">
        <v>4890</v>
      </c>
      <c r="B4064" s="90"/>
      <c r="C4064" s="88" t="s">
        <v>4891</v>
      </c>
      <c r="D4064" s="90"/>
      <c r="E4064" s="106"/>
      <c r="F4064" s="107"/>
      <c r="G4064" s="107"/>
      <c r="H4064" s="107"/>
      <c r="I4064" s="108"/>
      <c r="J4064" s="88" t="s">
        <v>775</v>
      </c>
      <c r="K4064" s="89"/>
      <c r="L4064" s="89"/>
      <c r="M4064" s="90"/>
      <c r="N4064" s="88" t="s">
        <v>26</v>
      </c>
      <c r="O4064" s="89"/>
      <c r="P4064" s="90"/>
      <c r="Q4064" s="133">
        <v>1300</v>
      </c>
      <c r="R4064" s="134"/>
      <c r="S4064" s="5" t="s">
        <v>16</v>
      </c>
      <c r="T4064" s="6"/>
      <c r="U4064" s="6"/>
      <c r="V4064" s="5" t="s">
        <v>702</v>
      </c>
      <c r="W4064" s="12">
        <v>5572611</v>
      </c>
      <c r="X4064" s="6"/>
      <c r="Y4064" s="6"/>
    </row>
    <row r="4065" spans="1:25" ht="15" customHeight="1" x14ac:dyDescent="0.2">
      <c r="A4065" s="88" t="s">
        <v>4890</v>
      </c>
      <c r="B4065" s="90"/>
      <c r="C4065" s="88" t="s">
        <v>4892</v>
      </c>
      <c r="D4065" s="90"/>
      <c r="E4065" s="106"/>
      <c r="F4065" s="107"/>
      <c r="G4065" s="107"/>
      <c r="H4065" s="107"/>
      <c r="I4065" s="108"/>
      <c r="J4065" s="88" t="s">
        <v>775</v>
      </c>
      <c r="K4065" s="89"/>
      <c r="L4065" s="89"/>
      <c r="M4065" s="90"/>
      <c r="N4065" s="88" t="s">
        <v>26</v>
      </c>
      <c r="O4065" s="89"/>
      <c r="P4065" s="90"/>
      <c r="Q4065" s="133">
        <v>1300</v>
      </c>
      <c r="R4065" s="134"/>
      <c r="S4065" s="5" t="s">
        <v>16</v>
      </c>
      <c r="T4065" s="6"/>
      <c r="U4065" s="6"/>
      <c r="V4065" s="5" t="s">
        <v>702</v>
      </c>
      <c r="W4065" s="12">
        <v>4658703</v>
      </c>
      <c r="X4065" s="6"/>
      <c r="Y4065" s="6"/>
    </row>
    <row r="4066" spans="1:25" ht="15" customHeight="1" x14ac:dyDescent="0.2">
      <c r="A4066" s="88" t="s">
        <v>4890</v>
      </c>
      <c r="B4066" s="90"/>
      <c r="C4066" s="88" t="s">
        <v>4893</v>
      </c>
      <c r="D4066" s="90"/>
      <c r="E4066" s="106"/>
      <c r="F4066" s="107"/>
      <c r="G4066" s="107"/>
      <c r="H4066" s="107"/>
      <c r="I4066" s="108"/>
      <c r="J4066" s="88" t="s">
        <v>775</v>
      </c>
      <c r="K4066" s="89"/>
      <c r="L4066" s="89"/>
      <c r="M4066" s="90"/>
      <c r="N4066" s="88" t="s">
        <v>26</v>
      </c>
      <c r="O4066" s="89"/>
      <c r="P4066" s="90"/>
      <c r="Q4066" s="133">
        <v>1300</v>
      </c>
      <c r="R4066" s="134"/>
      <c r="S4066" s="5" t="s">
        <v>16</v>
      </c>
      <c r="T4066" s="6"/>
      <c r="U4066" s="6"/>
      <c r="V4066" s="5" t="s">
        <v>702</v>
      </c>
      <c r="W4066" s="12">
        <v>5121849</v>
      </c>
      <c r="X4066" s="6"/>
      <c r="Y4066" s="6"/>
    </row>
    <row r="4067" spans="1:25" ht="15" customHeight="1" x14ac:dyDescent="0.2">
      <c r="A4067" s="88" t="s">
        <v>4890</v>
      </c>
      <c r="B4067" s="90"/>
      <c r="C4067" s="88" t="s">
        <v>4894</v>
      </c>
      <c r="D4067" s="90"/>
      <c r="E4067" s="106"/>
      <c r="F4067" s="107"/>
      <c r="G4067" s="107"/>
      <c r="H4067" s="107"/>
      <c r="I4067" s="108"/>
      <c r="J4067" s="88" t="s">
        <v>775</v>
      </c>
      <c r="K4067" s="89"/>
      <c r="L4067" s="89"/>
      <c r="M4067" s="90"/>
      <c r="N4067" s="88" t="s">
        <v>26</v>
      </c>
      <c r="O4067" s="89"/>
      <c r="P4067" s="90"/>
      <c r="Q4067" s="133">
        <v>1300</v>
      </c>
      <c r="R4067" s="134"/>
      <c r="S4067" s="5" t="s">
        <v>16</v>
      </c>
      <c r="T4067" s="6"/>
      <c r="U4067" s="6"/>
      <c r="V4067" s="5" t="s">
        <v>702</v>
      </c>
      <c r="W4067" s="12">
        <v>5077268</v>
      </c>
      <c r="X4067" s="6"/>
      <c r="Y4067" s="6"/>
    </row>
    <row r="4068" spans="1:25" ht="15" customHeight="1" x14ac:dyDescent="0.2">
      <c r="A4068" s="88" t="s">
        <v>4890</v>
      </c>
      <c r="B4068" s="90"/>
      <c r="C4068" s="88" t="s">
        <v>4895</v>
      </c>
      <c r="D4068" s="90"/>
      <c r="E4068" s="106"/>
      <c r="F4068" s="107"/>
      <c r="G4068" s="107"/>
      <c r="H4068" s="107"/>
      <c r="I4068" s="108"/>
      <c r="J4068" s="88" t="s">
        <v>775</v>
      </c>
      <c r="K4068" s="89"/>
      <c r="L4068" s="89"/>
      <c r="M4068" s="90"/>
      <c r="N4068" s="88" t="s">
        <v>26</v>
      </c>
      <c r="O4068" s="89"/>
      <c r="P4068" s="90"/>
      <c r="Q4068" s="133">
        <v>1300</v>
      </c>
      <c r="R4068" s="134"/>
      <c r="S4068" s="5" t="s">
        <v>16</v>
      </c>
      <c r="T4068" s="6"/>
      <c r="U4068" s="6"/>
      <c r="V4068" s="5" t="s">
        <v>702</v>
      </c>
      <c r="W4068" s="12">
        <v>4209179</v>
      </c>
      <c r="X4068" s="6"/>
      <c r="Y4068" s="6"/>
    </row>
    <row r="4069" spans="1:25" ht="15" customHeight="1" x14ac:dyDescent="0.2">
      <c r="A4069" s="88" t="s">
        <v>4890</v>
      </c>
      <c r="B4069" s="90"/>
      <c r="C4069" s="88" t="s">
        <v>4896</v>
      </c>
      <c r="D4069" s="90"/>
      <c r="E4069" s="106"/>
      <c r="F4069" s="107"/>
      <c r="G4069" s="107"/>
      <c r="H4069" s="107"/>
      <c r="I4069" s="108"/>
      <c r="J4069" s="88" t="s">
        <v>775</v>
      </c>
      <c r="K4069" s="89"/>
      <c r="L4069" s="89"/>
      <c r="M4069" s="90"/>
      <c r="N4069" s="88" t="s">
        <v>26</v>
      </c>
      <c r="O4069" s="89"/>
      <c r="P4069" s="90"/>
      <c r="Q4069" s="133">
        <v>1300</v>
      </c>
      <c r="R4069" s="134"/>
      <c r="S4069" s="5" t="s">
        <v>16</v>
      </c>
      <c r="T4069" s="6"/>
      <c r="U4069" s="6"/>
      <c r="V4069" s="5" t="s">
        <v>702</v>
      </c>
      <c r="W4069" s="12">
        <v>4440752</v>
      </c>
      <c r="X4069" s="6"/>
      <c r="Y4069" s="6"/>
    </row>
    <row r="4070" spans="1:25" ht="15" customHeight="1" x14ac:dyDescent="0.2">
      <c r="A4070" s="88" t="s">
        <v>4890</v>
      </c>
      <c r="B4070" s="90"/>
      <c r="C4070" s="88" t="s">
        <v>4897</v>
      </c>
      <c r="D4070" s="90"/>
      <c r="E4070" s="106"/>
      <c r="F4070" s="107"/>
      <c r="G4070" s="107"/>
      <c r="H4070" s="107"/>
      <c r="I4070" s="108"/>
      <c r="J4070" s="88" t="s">
        <v>775</v>
      </c>
      <c r="K4070" s="89"/>
      <c r="L4070" s="89"/>
      <c r="M4070" s="90"/>
      <c r="N4070" s="88" t="s">
        <v>26</v>
      </c>
      <c r="O4070" s="89"/>
      <c r="P4070" s="90"/>
      <c r="Q4070" s="133">
        <v>1300</v>
      </c>
      <c r="R4070" s="134"/>
      <c r="S4070" s="5" t="s">
        <v>16</v>
      </c>
      <c r="T4070" s="6"/>
      <c r="U4070" s="6"/>
      <c r="V4070" s="5" t="s">
        <v>702</v>
      </c>
      <c r="W4070" s="12">
        <v>3664301</v>
      </c>
      <c r="X4070" s="6"/>
      <c r="Y4070" s="6"/>
    </row>
    <row r="4071" spans="1:25" ht="15" customHeight="1" x14ac:dyDescent="0.2">
      <c r="A4071" s="88" t="s">
        <v>4890</v>
      </c>
      <c r="B4071" s="90"/>
      <c r="C4071" s="88" t="s">
        <v>4898</v>
      </c>
      <c r="D4071" s="90"/>
      <c r="E4071" s="106"/>
      <c r="F4071" s="107"/>
      <c r="G4071" s="107"/>
      <c r="H4071" s="107"/>
      <c r="I4071" s="108"/>
      <c r="J4071" s="88" t="s">
        <v>775</v>
      </c>
      <c r="K4071" s="89"/>
      <c r="L4071" s="89"/>
      <c r="M4071" s="90"/>
      <c r="N4071" s="88" t="s">
        <v>26</v>
      </c>
      <c r="O4071" s="89"/>
      <c r="P4071" s="90"/>
      <c r="Q4071" s="133">
        <v>1300</v>
      </c>
      <c r="R4071" s="134"/>
      <c r="S4071" s="5" t="s">
        <v>16</v>
      </c>
      <c r="T4071" s="6"/>
      <c r="U4071" s="6"/>
      <c r="V4071" s="5" t="s">
        <v>702</v>
      </c>
      <c r="W4071" s="12">
        <v>4685947</v>
      </c>
      <c r="X4071" s="6"/>
      <c r="Y4071" s="6"/>
    </row>
    <row r="4072" spans="1:25" ht="15" customHeight="1" x14ac:dyDescent="0.2">
      <c r="A4072" s="88" t="s">
        <v>4890</v>
      </c>
      <c r="B4072" s="90"/>
      <c r="C4072" s="88" t="s">
        <v>4899</v>
      </c>
      <c r="D4072" s="90"/>
      <c r="E4072" s="106"/>
      <c r="F4072" s="107"/>
      <c r="G4072" s="107"/>
      <c r="H4072" s="107"/>
      <c r="I4072" s="108"/>
      <c r="J4072" s="88" t="s">
        <v>775</v>
      </c>
      <c r="K4072" s="89"/>
      <c r="L4072" s="89"/>
      <c r="M4072" s="90"/>
      <c r="N4072" s="88" t="s">
        <v>26</v>
      </c>
      <c r="O4072" s="89"/>
      <c r="P4072" s="90"/>
      <c r="Q4072" s="133">
        <v>1300</v>
      </c>
      <c r="R4072" s="134"/>
      <c r="S4072" s="5" t="s">
        <v>16</v>
      </c>
      <c r="T4072" s="6"/>
      <c r="U4072" s="6"/>
      <c r="V4072" s="5" t="s">
        <v>702</v>
      </c>
      <c r="W4072" s="12">
        <v>3623436</v>
      </c>
      <c r="X4072" s="6"/>
      <c r="Y4072" s="6"/>
    </row>
    <row r="4073" spans="1:25" ht="15" customHeight="1" x14ac:dyDescent="0.2">
      <c r="A4073" s="88" t="s">
        <v>4890</v>
      </c>
      <c r="B4073" s="90"/>
      <c r="C4073" s="88" t="s">
        <v>4900</v>
      </c>
      <c r="D4073" s="90"/>
      <c r="E4073" s="106"/>
      <c r="F4073" s="107"/>
      <c r="G4073" s="107"/>
      <c r="H4073" s="107"/>
      <c r="I4073" s="108"/>
      <c r="J4073" s="88" t="s">
        <v>13</v>
      </c>
      <c r="K4073" s="89"/>
      <c r="L4073" s="89"/>
      <c r="M4073" s="90"/>
      <c r="N4073" s="88" t="s">
        <v>26</v>
      </c>
      <c r="O4073" s="89"/>
      <c r="P4073" s="90"/>
      <c r="Q4073" s="106"/>
      <c r="R4073" s="108"/>
      <c r="S4073" s="5" t="s">
        <v>814</v>
      </c>
      <c r="T4073" s="6"/>
      <c r="U4073" s="6"/>
      <c r="V4073" s="5" t="s">
        <v>17</v>
      </c>
      <c r="W4073" s="12">
        <v>8374452</v>
      </c>
      <c r="X4073" s="6"/>
      <c r="Y4073" s="6"/>
    </row>
    <row r="4074" spans="1:25" ht="15" customHeight="1" x14ac:dyDescent="0.2">
      <c r="A4074" s="88" t="s">
        <v>4890</v>
      </c>
      <c r="B4074" s="90"/>
      <c r="C4074" s="88" t="s">
        <v>4901</v>
      </c>
      <c r="D4074" s="90"/>
      <c r="E4074" s="106"/>
      <c r="F4074" s="107"/>
      <c r="G4074" s="107"/>
      <c r="H4074" s="107"/>
      <c r="I4074" s="108"/>
      <c r="J4074" s="88" t="s">
        <v>775</v>
      </c>
      <c r="K4074" s="89"/>
      <c r="L4074" s="89"/>
      <c r="M4074" s="90"/>
      <c r="N4074" s="88" t="s">
        <v>26</v>
      </c>
      <c r="O4074" s="89"/>
      <c r="P4074" s="90"/>
      <c r="Q4074" s="133">
        <v>1300</v>
      </c>
      <c r="R4074" s="134"/>
      <c r="S4074" s="5" t="s">
        <v>814</v>
      </c>
      <c r="T4074" s="6"/>
      <c r="U4074" s="6"/>
      <c r="V4074" s="5" t="s">
        <v>702</v>
      </c>
      <c r="W4074" s="12">
        <v>5447537</v>
      </c>
      <c r="X4074" s="6"/>
      <c r="Y4074" s="6"/>
    </row>
    <row r="4075" spans="1:25" ht="15" customHeight="1" x14ac:dyDescent="0.2">
      <c r="A4075" s="88" t="s">
        <v>4890</v>
      </c>
      <c r="B4075" s="90"/>
      <c r="C4075" s="88" t="s">
        <v>4902</v>
      </c>
      <c r="D4075" s="90"/>
      <c r="E4075" s="106"/>
      <c r="F4075" s="107"/>
      <c r="G4075" s="107"/>
      <c r="H4075" s="107"/>
      <c r="I4075" s="108"/>
      <c r="J4075" s="88" t="s">
        <v>2179</v>
      </c>
      <c r="K4075" s="89"/>
      <c r="L4075" s="89"/>
      <c r="M4075" s="90"/>
      <c r="N4075" s="88" t="s">
        <v>26</v>
      </c>
      <c r="O4075" s="89"/>
      <c r="P4075" s="90"/>
      <c r="Q4075" s="133">
        <v>1300</v>
      </c>
      <c r="R4075" s="134"/>
      <c r="S4075" s="5" t="s">
        <v>814</v>
      </c>
      <c r="T4075" s="6"/>
      <c r="U4075" s="6"/>
      <c r="V4075" s="5" t="s">
        <v>702</v>
      </c>
      <c r="W4075" s="12">
        <v>4828358</v>
      </c>
      <c r="X4075" s="6"/>
      <c r="Y4075" s="6"/>
    </row>
    <row r="4076" spans="1:25" ht="15" customHeight="1" x14ac:dyDescent="0.2">
      <c r="A4076" s="88" t="s">
        <v>4890</v>
      </c>
      <c r="B4076" s="90"/>
      <c r="C4076" s="88" t="s">
        <v>4902</v>
      </c>
      <c r="D4076" s="90"/>
      <c r="E4076" s="106"/>
      <c r="F4076" s="107"/>
      <c r="G4076" s="107"/>
      <c r="H4076" s="107"/>
      <c r="I4076" s="108"/>
      <c r="J4076" s="88" t="s">
        <v>775</v>
      </c>
      <c r="K4076" s="89"/>
      <c r="L4076" s="89"/>
      <c r="M4076" s="90"/>
      <c r="N4076" s="88" t="s">
        <v>22</v>
      </c>
      <c r="O4076" s="89"/>
      <c r="P4076" s="90"/>
      <c r="Q4076" s="133">
        <v>1300</v>
      </c>
      <c r="R4076" s="134"/>
      <c r="S4076" s="5" t="s">
        <v>814</v>
      </c>
      <c r="T4076" s="6"/>
      <c r="U4076" s="6"/>
      <c r="V4076" s="5" t="s">
        <v>702</v>
      </c>
      <c r="W4076" s="12">
        <v>5199865</v>
      </c>
      <c r="X4076" s="6"/>
      <c r="Y4076" s="6"/>
    </row>
    <row r="4077" spans="1:25" ht="15" customHeight="1" x14ac:dyDescent="0.2">
      <c r="A4077" s="88" t="s">
        <v>4890</v>
      </c>
      <c r="B4077" s="90"/>
      <c r="C4077" s="88" t="s">
        <v>4903</v>
      </c>
      <c r="D4077" s="90"/>
      <c r="E4077" s="106"/>
      <c r="F4077" s="107"/>
      <c r="G4077" s="107"/>
      <c r="H4077" s="107"/>
      <c r="I4077" s="108"/>
      <c r="J4077" s="88" t="s">
        <v>770</v>
      </c>
      <c r="K4077" s="89"/>
      <c r="L4077" s="89"/>
      <c r="M4077" s="90"/>
      <c r="N4077" s="88" t="s">
        <v>26</v>
      </c>
      <c r="O4077" s="89"/>
      <c r="P4077" s="90"/>
      <c r="Q4077" s="133">
        <v>2500</v>
      </c>
      <c r="R4077" s="134"/>
      <c r="S4077" s="5" t="s">
        <v>16</v>
      </c>
      <c r="T4077" s="6"/>
      <c r="U4077" s="6"/>
      <c r="V4077" s="5" t="s">
        <v>702</v>
      </c>
      <c r="W4077" s="12">
        <v>4799876</v>
      </c>
      <c r="X4077" s="6"/>
      <c r="Y4077" s="6"/>
    </row>
    <row r="4078" spans="1:25" ht="15" customHeight="1" x14ac:dyDescent="0.2">
      <c r="A4078" s="88" t="s">
        <v>4890</v>
      </c>
      <c r="B4078" s="90"/>
      <c r="C4078" s="88" t="s">
        <v>4904</v>
      </c>
      <c r="D4078" s="90"/>
      <c r="E4078" s="106"/>
      <c r="F4078" s="107"/>
      <c r="G4078" s="107"/>
      <c r="H4078" s="107"/>
      <c r="I4078" s="108"/>
      <c r="J4078" s="88" t="s">
        <v>770</v>
      </c>
      <c r="K4078" s="89"/>
      <c r="L4078" s="89"/>
      <c r="M4078" s="90"/>
      <c r="N4078" s="88" t="s">
        <v>26</v>
      </c>
      <c r="O4078" s="89"/>
      <c r="P4078" s="90"/>
      <c r="Q4078" s="133">
        <v>2500</v>
      </c>
      <c r="R4078" s="134"/>
      <c r="S4078" s="5" t="s">
        <v>16</v>
      </c>
      <c r="T4078" s="6"/>
      <c r="U4078" s="6"/>
      <c r="V4078" s="5" t="s">
        <v>702</v>
      </c>
      <c r="W4078" s="12">
        <v>5066010</v>
      </c>
      <c r="X4078" s="6"/>
      <c r="Y4078" s="6"/>
    </row>
    <row r="4079" spans="1:25" ht="15" customHeight="1" x14ac:dyDescent="0.2">
      <c r="A4079" s="88" t="s">
        <v>4890</v>
      </c>
      <c r="B4079" s="90"/>
      <c r="C4079" s="88" t="s">
        <v>4904</v>
      </c>
      <c r="D4079" s="90"/>
      <c r="E4079" s="106"/>
      <c r="F4079" s="107"/>
      <c r="G4079" s="107"/>
      <c r="H4079" s="107"/>
      <c r="I4079" s="108"/>
      <c r="J4079" s="88" t="s">
        <v>770</v>
      </c>
      <c r="K4079" s="89"/>
      <c r="L4079" s="89"/>
      <c r="M4079" s="90"/>
      <c r="N4079" s="88" t="s">
        <v>26</v>
      </c>
      <c r="O4079" s="89"/>
      <c r="P4079" s="90"/>
      <c r="Q4079" s="133">
        <v>2500</v>
      </c>
      <c r="R4079" s="134"/>
      <c r="S4079" s="5" t="s">
        <v>16</v>
      </c>
      <c r="T4079" s="6"/>
      <c r="U4079" s="6"/>
      <c r="V4079" s="5" t="s">
        <v>702</v>
      </c>
      <c r="W4079" s="12">
        <v>4472949</v>
      </c>
      <c r="X4079" s="6"/>
      <c r="Y4079" s="6"/>
    </row>
    <row r="4080" spans="1:25" ht="15" customHeight="1" x14ac:dyDescent="0.2">
      <c r="A4080" s="88" t="s">
        <v>4890</v>
      </c>
      <c r="B4080" s="90"/>
      <c r="C4080" s="88" t="s">
        <v>4905</v>
      </c>
      <c r="D4080" s="90"/>
      <c r="E4080" s="106"/>
      <c r="F4080" s="107"/>
      <c r="G4080" s="107"/>
      <c r="H4080" s="107"/>
      <c r="I4080" s="108"/>
      <c r="J4080" s="88" t="s">
        <v>770</v>
      </c>
      <c r="K4080" s="89"/>
      <c r="L4080" s="89"/>
      <c r="M4080" s="90"/>
      <c r="N4080" s="88" t="s">
        <v>26</v>
      </c>
      <c r="O4080" s="89"/>
      <c r="P4080" s="90"/>
      <c r="Q4080" s="133">
        <v>2500</v>
      </c>
      <c r="R4080" s="134"/>
      <c r="S4080" s="5" t="s">
        <v>16</v>
      </c>
      <c r="T4080" s="6"/>
      <c r="U4080" s="6"/>
      <c r="V4080" s="5" t="s">
        <v>702</v>
      </c>
      <c r="W4080" s="12">
        <v>5741478</v>
      </c>
      <c r="X4080" s="6"/>
      <c r="Y4080" s="6"/>
    </row>
    <row r="4081" spans="1:25" ht="15" customHeight="1" x14ac:dyDescent="0.2">
      <c r="A4081" s="88" t="s">
        <v>4890</v>
      </c>
      <c r="B4081" s="90"/>
      <c r="C4081" s="88" t="s">
        <v>4906</v>
      </c>
      <c r="D4081" s="90"/>
      <c r="E4081" s="106"/>
      <c r="F4081" s="107"/>
      <c r="G4081" s="107"/>
      <c r="H4081" s="107"/>
      <c r="I4081" s="108"/>
      <c r="J4081" s="88" t="s">
        <v>2179</v>
      </c>
      <c r="K4081" s="89"/>
      <c r="L4081" s="89"/>
      <c r="M4081" s="90"/>
      <c r="N4081" s="88" t="s">
        <v>26</v>
      </c>
      <c r="O4081" s="89"/>
      <c r="P4081" s="90"/>
      <c r="Q4081" s="133">
        <v>2300</v>
      </c>
      <c r="R4081" s="134"/>
      <c r="S4081" s="5" t="s">
        <v>2181</v>
      </c>
      <c r="T4081" s="6"/>
      <c r="U4081" s="6"/>
      <c r="V4081" s="5" t="s">
        <v>106</v>
      </c>
      <c r="W4081" s="12">
        <v>7051886</v>
      </c>
      <c r="X4081" s="6"/>
      <c r="Y4081" s="6"/>
    </row>
    <row r="4082" spans="1:25" ht="15" customHeight="1" x14ac:dyDescent="0.2">
      <c r="A4082" s="88" t="s">
        <v>4890</v>
      </c>
      <c r="B4082" s="90"/>
      <c r="C4082" s="88" t="s">
        <v>4907</v>
      </c>
      <c r="D4082" s="90"/>
      <c r="E4082" s="106"/>
      <c r="F4082" s="107"/>
      <c r="G4082" s="107"/>
      <c r="H4082" s="107"/>
      <c r="I4082" s="108"/>
      <c r="J4082" s="88" t="s">
        <v>2179</v>
      </c>
      <c r="K4082" s="89"/>
      <c r="L4082" s="89"/>
      <c r="M4082" s="90"/>
      <c r="N4082" s="88" t="s">
        <v>26</v>
      </c>
      <c r="O4082" s="89"/>
      <c r="P4082" s="90"/>
      <c r="Q4082" s="133">
        <v>2300</v>
      </c>
      <c r="R4082" s="134"/>
      <c r="S4082" s="5" t="s">
        <v>814</v>
      </c>
      <c r="T4082" s="6"/>
      <c r="U4082" s="6"/>
      <c r="V4082" s="5" t="s">
        <v>106</v>
      </c>
      <c r="W4082" s="12">
        <v>8132635</v>
      </c>
      <c r="X4082" s="6"/>
      <c r="Y4082" s="6"/>
    </row>
    <row r="4083" spans="1:25" ht="15" customHeight="1" x14ac:dyDescent="0.2">
      <c r="A4083" s="88" t="s">
        <v>4890</v>
      </c>
      <c r="B4083" s="90"/>
      <c r="C4083" s="88" t="s">
        <v>4908</v>
      </c>
      <c r="D4083" s="90"/>
      <c r="E4083" s="106"/>
      <c r="F4083" s="107"/>
      <c r="G4083" s="107"/>
      <c r="H4083" s="107"/>
      <c r="I4083" s="108"/>
      <c r="J4083" s="88" t="s">
        <v>2179</v>
      </c>
      <c r="K4083" s="89"/>
      <c r="L4083" s="89"/>
      <c r="M4083" s="90"/>
      <c r="N4083" s="88" t="s">
        <v>26</v>
      </c>
      <c r="O4083" s="89"/>
      <c r="P4083" s="90"/>
      <c r="Q4083" s="133">
        <v>2300</v>
      </c>
      <c r="R4083" s="134"/>
      <c r="S4083" s="5" t="s">
        <v>1560</v>
      </c>
      <c r="T4083" s="6"/>
      <c r="U4083" s="6"/>
      <c r="V4083" s="5" t="s">
        <v>106</v>
      </c>
      <c r="W4083" s="12">
        <v>9280930</v>
      </c>
      <c r="X4083" s="6"/>
      <c r="Y4083" s="6"/>
    </row>
    <row r="4084" spans="1:25" ht="15" customHeight="1" x14ac:dyDescent="0.2">
      <c r="A4084" s="88" t="s">
        <v>4890</v>
      </c>
      <c r="B4084" s="90"/>
      <c r="C4084" s="88" t="s">
        <v>4908</v>
      </c>
      <c r="D4084" s="90"/>
      <c r="E4084" s="106"/>
      <c r="F4084" s="107"/>
      <c r="G4084" s="107"/>
      <c r="H4084" s="107"/>
      <c r="I4084" s="108"/>
      <c r="J4084" s="88" t="s">
        <v>2179</v>
      </c>
      <c r="K4084" s="89"/>
      <c r="L4084" s="89"/>
      <c r="M4084" s="90"/>
      <c r="N4084" s="88" t="s">
        <v>26</v>
      </c>
      <c r="O4084" s="89"/>
      <c r="P4084" s="90"/>
      <c r="Q4084" s="133">
        <v>2300</v>
      </c>
      <c r="R4084" s="134"/>
      <c r="S4084" s="5" t="s">
        <v>814</v>
      </c>
      <c r="T4084" s="6"/>
      <c r="U4084" s="6"/>
      <c r="V4084" s="5" t="s">
        <v>106</v>
      </c>
      <c r="W4084" s="12">
        <v>7727354</v>
      </c>
      <c r="X4084" s="6"/>
      <c r="Y4084" s="6"/>
    </row>
    <row r="4085" spans="1:25" ht="15" customHeight="1" x14ac:dyDescent="0.2">
      <c r="A4085" s="88" t="s">
        <v>4890</v>
      </c>
      <c r="B4085" s="90"/>
      <c r="C4085" s="88" t="s">
        <v>4909</v>
      </c>
      <c r="D4085" s="90"/>
      <c r="E4085" s="106"/>
      <c r="F4085" s="107"/>
      <c r="G4085" s="107"/>
      <c r="H4085" s="107"/>
      <c r="I4085" s="108"/>
      <c r="J4085" s="88" t="s">
        <v>2179</v>
      </c>
      <c r="K4085" s="89"/>
      <c r="L4085" s="89"/>
      <c r="M4085" s="90"/>
      <c r="N4085" s="88" t="s">
        <v>26</v>
      </c>
      <c r="O4085" s="89"/>
      <c r="P4085" s="90"/>
      <c r="Q4085" s="133">
        <v>2300</v>
      </c>
      <c r="R4085" s="134"/>
      <c r="S4085" s="5" t="s">
        <v>814</v>
      </c>
      <c r="T4085" s="6"/>
      <c r="U4085" s="6"/>
      <c r="V4085" s="5" t="s">
        <v>106</v>
      </c>
      <c r="W4085" s="12">
        <v>7389620</v>
      </c>
      <c r="X4085" s="6"/>
      <c r="Y4085" s="6"/>
    </row>
    <row r="4086" spans="1:25" ht="15" customHeight="1" x14ac:dyDescent="0.2">
      <c r="A4086" s="88" t="s">
        <v>4890</v>
      </c>
      <c r="B4086" s="90"/>
      <c r="C4086" s="88" t="s">
        <v>4910</v>
      </c>
      <c r="D4086" s="90"/>
      <c r="E4086" s="106"/>
      <c r="F4086" s="107"/>
      <c r="G4086" s="107"/>
      <c r="H4086" s="107"/>
      <c r="I4086" s="108"/>
      <c r="J4086" s="88" t="s">
        <v>2179</v>
      </c>
      <c r="K4086" s="89"/>
      <c r="L4086" s="89"/>
      <c r="M4086" s="90"/>
      <c r="N4086" s="88" t="s">
        <v>22</v>
      </c>
      <c r="O4086" s="89"/>
      <c r="P4086" s="90"/>
      <c r="Q4086" s="133">
        <v>2300</v>
      </c>
      <c r="R4086" s="134"/>
      <c r="S4086" s="5" t="s">
        <v>814</v>
      </c>
      <c r="T4086" s="6"/>
      <c r="U4086" s="6"/>
      <c r="V4086" s="5" t="s">
        <v>106</v>
      </c>
      <c r="W4086" s="12">
        <v>7727354</v>
      </c>
      <c r="X4086" s="6"/>
      <c r="Y4086" s="6"/>
    </row>
    <row r="4087" spans="1:25" ht="15" customHeight="1" x14ac:dyDescent="0.2">
      <c r="A4087" s="88" t="s">
        <v>4890</v>
      </c>
      <c r="B4087" s="90"/>
      <c r="C4087" s="88" t="s">
        <v>4911</v>
      </c>
      <c r="D4087" s="90"/>
      <c r="E4087" s="106"/>
      <c r="F4087" s="107"/>
      <c r="G4087" s="107"/>
      <c r="H4087" s="107"/>
      <c r="I4087" s="108"/>
      <c r="J4087" s="88" t="s">
        <v>2179</v>
      </c>
      <c r="K4087" s="89"/>
      <c r="L4087" s="89"/>
      <c r="M4087" s="90"/>
      <c r="N4087" s="88" t="s">
        <v>26</v>
      </c>
      <c r="O4087" s="89"/>
      <c r="P4087" s="90"/>
      <c r="Q4087" s="133">
        <v>2300</v>
      </c>
      <c r="R4087" s="134"/>
      <c r="S4087" s="5" t="s">
        <v>814</v>
      </c>
      <c r="T4087" s="6"/>
      <c r="U4087" s="6"/>
      <c r="V4087" s="5" t="s">
        <v>106</v>
      </c>
      <c r="W4087" s="12">
        <v>7457167</v>
      </c>
      <c r="X4087" s="6"/>
      <c r="Y4087" s="6"/>
    </row>
    <row r="4088" spans="1:25" ht="15" customHeight="1" x14ac:dyDescent="0.2">
      <c r="A4088" s="88" t="s">
        <v>4890</v>
      </c>
      <c r="B4088" s="90"/>
      <c r="C4088" s="88" t="s">
        <v>4912</v>
      </c>
      <c r="D4088" s="90"/>
      <c r="E4088" s="106"/>
      <c r="F4088" s="107"/>
      <c r="G4088" s="107"/>
      <c r="H4088" s="107"/>
      <c r="I4088" s="108"/>
      <c r="J4088" s="88" t="s">
        <v>2179</v>
      </c>
      <c r="K4088" s="89"/>
      <c r="L4088" s="89"/>
      <c r="M4088" s="90"/>
      <c r="N4088" s="88" t="s">
        <v>22</v>
      </c>
      <c r="O4088" s="89"/>
      <c r="P4088" s="90"/>
      <c r="Q4088" s="133">
        <v>2300</v>
      </c>
      <c r="R4088" s="134"/>
      <c r="S4088" s="5" t="s">
        <v>814</v>
      </c>
      <c r="T4088" s="6"/>
      <c r="U4088" s="6"/>
      <c r="V4088" s="5" t="s">
        <v>106</v>
      </c>
      <c r="W4088" s="12">
        <v>7389620</v>
      </c>
      <c r="X4088" s="6"/>
      <c r="Y4088" s="6"/>
    </row>
    <row r="4089" spans="1:25" ht="15" customHeight="1" x14ac:dyDescent="0.2">
      <c r="A4089" s="88" t="s">
        <v>4890</v>
      </c>
      <c r="B4089" s="90"/>
      <c r="C4089" s="88" t="s">
        <v>4913</v>
      </c>
      <c r="D4089" s="90"/>
      <c r="E4089" s="106"/>
      <c r="F4089" s="107"/>
      <c r="G4089" s="107"/>
      <c r="H4089" s="107"/>
      <c r="I4089" s="108"/>
      <c r="J4089" s="88" t="s">
        <v>2179</v>
      </c>
      <c r="K4089" s="89"/>
      <c r="L4089" s="89"/>
      <c r="M4089" s="90"/>
      <c r="N4089" s="88" t="s">
        <v>26</v>
      </c>
      <c r="O4089" s="89"/>
      <c r="P4089" s="90"/>
      <c r="Q4089" s="133">
        <v>2300</v>
      </c>
      <c r="R4089" s="134"/>
      <c r="S4089" s="5" t="s">
        <v>814</v>
      </c>
      <c r="T4089" s="6"/>
      <c r="U4089" s="6"/>
      <c r="V4089" s="5" t="s">
        <v>106</v>
      </c>
      <c r="W4089" s="12">
        <v>6714152</v>
      </c>
      <c r="X4089" s="6"/>
      <c r="Y4089" s="6"/>
    </row>
    <row r="4090" spans="1:25" ht="15" customHeight="1" x14ac:dyDescent="0.2">
      <c r="A4090" s="88" t="s">
        <v>4890</v>
      </c>
      <c r="B4090" s="90"/>
      <c r="C4090" s="88" t="s">
        <v>4914</v>
      </c>
      <c r="D4090" s="90"/>
      <c r="E4090" s="106"/>
      <c r="F4090" s="107"/>
      <c r="G4090" s="107"/>
      <c r="H4090" s="107"/>
      <c r="I4090" s="108"/>
      <c r="J4090" s="88" t="s">
        <v>13</v>
      </c>
      <c r="K4090" s="89"/>
      <c r="L4090" s="89"/>
      <c r="M4090" s="90"/>
      <c r="N4090" s="88" t="s">
        <v>26</v>
      </c>
      <c r="O4090" s="89"/>
      <c r="P4090" s="90"/>
      <c r="Q4090" s="106"/>
      <c r="R4090" s="108"/>
      <c r="S4090" s="5" t="s">
        <v>16</v>
      </c>
      <c r="T4090" s="6"/>
      <c r="U4090" s="6"/>
      <c r="V4090" s="5" t="s">
        <v>17</v>
      </c>
      <c r="W4090" s="12">
        <v>7428797</v>
      </c>
      <c r="X4090" s="6"/>
      <c r="Y4090" s="6"/>
    </row>
    <row r="4091" spans="1:25" ht="15" customHeight="1" x14ac:dyDescent="0.2">
      <c r="A4091" s="88" t="s">
        <v>4890</v>
      </c>
      <c r="B4091" s="90"/>
      <c r="C4091" s="88" t="s">
        <v>4915</v>
      </c>
      <c r="D4091" s="90"/>
      <c r="E4091" s="106"/>
      <c r="F4091" s="107"/>
      <c r="G4091" s="107"/>
      <c r="H4091" s="107"/>
      <c r="I4091" s="108"/>
      <c r="J4091" s="88" t="s">
        <v>13</v>
      </c>
      <c r="K4091" s="89"/>
      <c r="L4091" s="89"/>
      <c r="M4091" s="90"/>
      <c r="N4091" s="88" t="s">
        <v>22</v>
      </c>
      <c r="O4091" s="89"/>
      <c r="P4091" s="90"/>
      <c r="Q4091" s="106"/>
      <c r="R4091" s="108"/>
      <c r="S4091" s="5" t="s">
        <v>16</v>
      </c>
      <c r="T4091" s="6"/>
      <c r="U4091" s="6"/>
      <c r="V4091" s="5" t="s">
        <v>17</v>
      </c>
      <c r="W4091" s="12">
        <v>6003560</v>
      </c>
      <c r="X4091" s="6"/>
      <c r="Y4091" s="6"/>
    </row>
    <row r="4092" spans="1:25" ht="15" customHeight="1" x14ac:dyDescent="0.2">
      <c r="A4092" s="88" t="s">
        <v>4890</v>
      </c>
      <c r="B4092" s="90"/>
      <c r="C4092" s="88" t="s">
        <v>4916</v>
      </c>
      <c r="D4092" s="90"/>
      <c r="E4092" s="106"/>
      <c r="F4092" s="107"/>
      <c r="G4092" s="107"/>
      <c r="H4092" s="107"/>
      <c r="I4092" s="108"/>
      <c r="J4092" s="88" t="s">
        <v>2179</v>
      </c>
      <c r="K4092" s="89"/>
      <c r="L4092" s="89"/>
      <c r="M4092" s="90"/>
      <c r="N4092" s="88" t="s">
        <v>26</v>
      </c>
      <c r="O4092" s="89"/>
      <c r="P4092" s="90"/>
      <c r="Q4092" s="133">
        <v>1800</v>
      </c>
      <c r="R4092" s="134"/>
      <c r="S4092" s="5" t="s">
        <v>27</v>
      </c>
      <c r="T4092" s="6"/>
      <c r="U4092" s="6"/>
      <c r="V4092" s="5" t="s">
        <v>702</v>
      </c>
      <c r="W4092" s="12">
        <v>7801655</v>
      </c>
      <c r="X4092" s="6"/>
      <c r="Y4092" s="6"/>
    </row>
    <row r="4093" spans="1:25" ht="15" customHeight="1" x14ac:dyDescent="0.2">
      <c r="A4093" s="88" t="s">
        <v>4890</v>
      </c>
      <c r="B4093" s="90"/>
      <c r="C4093" s="88" t="s">
        <v>4917</v>
      </c>
      <c r="D4093" s="90"/>
      <c r="E4093" s="106"/>
      <c r="F4093" s="107"/>
      <c r="G4093" s="107"/>
      <c r="H4093" s="107"/>
      <c r="I4093" s="108"/>
      <c r="J4093" s="88" t="s">
        <v>2179</v>
      </c>
      <c r="K4093" s="89"/>
      <c r="L4093" s="89"/>
      <c r="M4093" s="90"/>
      <c r="N4093" s="88" t="s">
        <v>26</v>
      </c>
      <c r="O4093" s="89"/>
      <c r="P4093" s="90"/>
      <c r="Q4093" s="133">
        <v>1800</v>
      </c>
      <c r="R4093" s="134"/>
      <c r="S4093" s="5" t="s">
        <v>27</v>
      </c>
      <c r="T4093" s="6"/>
      <c r="U4093" s="6"/>
      <c r="V4093" s="5" t="s">
        <v>702</v>
      </c>
      <c r="W4093" s="12">
        <v>7920538</v>
      </c>
      <c r="X4093" s="6"/>
      <c r="Y4093" s="6"/>
    </row>
    <row r="4094" spans="1:25" ht="15" customHeight="1" x14ac:dyDescent="0.2">
      <c r="A4094" s="88" t="s">
        <v>4890</v>
      </c>
      <c r="B4094" s="90"/>
      <c r="C4094" s="88" t="s">
        <v>4918</v>
      </c>
      <c r="D4094" s="90"/>
      <c r="E4094" s="106"/>
      <c r="F4094" s="107"/>
      <c r="G4094" s="107"/>
      <c r="H4094" s="107"/>
      <c r="I4094" s="108"/>
      <c r="J4094" s="88" t="s">
        <v>2179</v>
      </c>
      <c r="K4094" s="89"/>
      <c r="L4094" s="89"/>
      <c r="M4094" s="90"/>
      <c r="N4094" s="88" t="s">
        <v>26</v>
      </c>
      <c r="O4094" s="89"/>
      <c r="P4094" s="90"/>
      <c r="Q4094" s="133">
        <v>2000</v>
      </c>
      <c r="R4094" s="134"/>
      <c r="S4094" s="5" t="s">
        <v>814</v>
      </c>
      <c r="T4094" s="6"/>
      <c r="U4094" s="6"/>
      <c r="V4094" s="5" t="s">
        <v>106</v>
      </c>
      <c r="W4094" s="12">
        <v>5676633</v>
      </c>
      <c r="X4094" s="6"/>
      <c r="Y4094" s="6"/>
    </row>
    <row r="4095" spans="1:25" ht="15" customHeight="1" x14ac:dyDescent="0.2">
      <c r="A4095" s="88" t="s">
        <v>4890</v>
      </c>
      <c r="B4095" s="90"/>
      <c r="C4095" s="88" t="s">
        <v>4919</v>
      </c>
      <c r="D4095" s="90"/>
      <c r="E4095" s="106"/>
      <c r="F4095" s="107"/>
      <c r="G4095" s="107"/>
      <c r="H4095" s="107"/>
      <c r="I4095" s="108"/>
      <c r="J4095" s="88" t="s">
        <v>2179</v>
      </c>
      <c r="K4095" s="89"/>
      <c r="L4095" s="89"/>
      <c r="M4095" s="90"/>
      <c r="N4095" s="88" t="s">
        <v>22</v>
      </c>
      <c r="O4095" s="89"/>
      <c r="P4095" s="90"/>
      <c r="Q4095" s="133">
        <v>2000</v>
      </c>
      <c r="R4095" s="134"/>
      <c r="S4095" s="5" t="s">
        <v>814</v>
      </c>
      <c r="T4095" s="6"/>
      <c r="U4095" s="6"/>
      <c r="V4095" s="5" t="s">
        <v>106</v>
      </c>
      <c r="W4095" s="12">
        <v>6619586</v>
      </c>
      <c r="X4095" s="6"/>
      <c r="Y4095" s="6"/>
    </row>
    <row r="4096" spans="1:25" ht="15" customHeight="1" x14ac:dyDescent="0.2">
      <c r="A4096" s="88" t="s">
        <v>4890</v>
      </c>
      <c r="B4096" s="90"/>
      <c r="C4096" s="88" t="s">
        <v>4920</v>
      </c>
      <c r="D4096" s="90"/>
      <c r="E4096" s="106"/>
      <c r="F4096" s="107"/>
      <c r="G4096" s="107"/>
      <c r="H4096" s="107"/>
      <c r="I4096" s="108"/>
      <c r="J4096" s="88" t="s">
        <v>2179</v>
      </c>
      <c r="K4096" s="89"/>
      <c r="L4096" s="89"/>
      <c r="M4096" s="90"/>
      <c r="N4096" s="88" t="s">
        <v>26</v>
      </c>
      <c r="O4096" s="89"/>
      <c r="P4096" s="90"/>
      <c r="Q4096" s="133">
        <v>2000</v>
      </c>
      <c r="R4096" s="134"/>
      <c r="S4096" s="5" t="s">
        <v>814</v>
      </c>
      <c r="T4096" s="6"/>
      <c r="U4096" s="6"/>
      <c r="V4096" s="5" t="s">
        <v>106</v>
      </c>
      <c r="W4096" s="12">
        <v>8510897</v>
      </c>
      <c r="X4096" s="6"/>
      <c r="Y4096" s="6"/>
    </row>
    <row r="4097" spans="1:25" ht="15" customHeight="1" x14ac:dyDescent="0.2">
      <c r="A4097" s="88" t="s">
        <v>4890</v>
      </c>
      <c r="B4097" s="90"/>
      <c r="C4097" s="88" t="s">
        <v>4921</v>
      </c>
      <c r="D4097" s="90"/>
      <c r="E4097" s="106"/>
      <c r="F4097" s="107"/>
      <c r="G4097" s="107"/>
      <c r="H4097" s="107"/>
      <c r="I4097" s="108"/>
      <c r="J4097" s="88" t="s">
        <v>2179</v>
      </c>
      <c r="K4097" s="89"/>
      <c r="L4097" s="89"/>
      <c r="M4097" s="90"/>
      <c r="N4097" s="88" t="s">
        <v>26</v>
      </c>
      <c r="O4097" s="89"/>
      <c r="P4097" s="90"/>
      <c r="Q4097" s="133">
        <v>2000</v>
      </c>
      <c r="R4097" s="134"/>
      <c r="S4097" s="5" t="s">
        <v>814</v>
      </c>
      <c r="T4097" s="6"/>
      <c r="U4097" s="6"/>
      <c r="V4097" s="5" t="s">
        <v>106</v>
      </c>
      <c r="W4097" s="12">
        <v>7835429</v>
      </c>
      <c r="X4097" s="6"/>
      <c r="Y4097" s="6"/>
    </row>
    <row r="4098" spans="1:25" ht="15" customHeight="1" x14ac:dyDescent="0.2">
      <c r="A4098" s="88" t="s">
        <v>4890</v>
      </c>
      <c r="B4098" s="90"/>
      <c r="C4098" s="88" t="s">
        <v>4922</v>
      </c>
      <c r="D4098" s="90"/>
      <c r="E4098" s="106"/>
      <c r="F4098" s="107"/>
      <c r="G4098" s="107"/>
      <c r="H4098" s="107"/>
      <c r="I4098" s="108"/>
      <c r="J4098" s="88" t="s">
        <v>2179</v>
      </c>
      <c r="K4098" s="89"/>
      <c r="L4098" s="89"/>
      <c r="M4098" s="90"/>
      <c r="N4098" s="88" t="s">
        <v>26</v>
      </c>
      <c r="O4098" s="89"/>
      <c r="P4098" s="90"/>
      <c r="Q4098" s="133">
        <v>2000</v>
      </c>
      <c r="R4098" s="134"/>
      <c r="S4098" s="5" t="s">
        <v>814</v>
      </c>
      <c r="T4098" s="6"/>
      <c r="U4098" s="6"/>
      <c r="V4098" s="5" t="s">
        <v>106</v>
      </c>
      <c r="W4098" s="12">
        <v>7565242</v>
      </c>
      <c r="X4098" s="6"/>
      <c r="Y4098" s="6"/>
    </row>
    <row r="4099" spans="1:25" ht="15" customHeight="1" x14ac:dyDescent="0.2">
      <c r="A4099" s="88" t="s">
        <v>4890</v>
      </c>
      <c r="B4099" s="90"/>
      <c r="C4099" s="88" t="s">
        <v>4923</v>
      </c>
      <c r="D4099" s="90"/>
      <c r="E4099" s="106"/>
      <c r="F4099" s="107"/>
      <c r="G4099" s="107"/>
      <c r="H4099" s="107"/>
      <c r="I4099" s="108"/>
      <c r="J4099" s="88" t="s">
        <v>2179</v>
      </c>
      <c r="K4099" s="89"/>
      <c r="L4099" s="89"/>
      <c r="M4099" s="90"/>
      <c r="N4099" s="88" t="s">
        <v>22</v>
      </c>
      <c r="O4099" s="89"/>
      <c r="P4099" s="90"/>
      <c r="Q4099" s="133">
        <v>2000</v>
      </c>
      <c r="R4099" s="134"/>
      <c r="S4099" s="5" t="s">
        <v>814</v>
      </c>
      <c r="T4099" s="6"/>
      <c r="U4099" s="6"/>
      <c r="V4099" s="5" t="s">
        <v>106</v>
      </c>
      <c r="W4099" s="12">
        <v>7159961</v>
      </c>
      <c r="X4099" s="6"/>
      <c r="Y4099" s="6"/>
    </row>
    <row r="4100" spans="1:25" ht="15" customHeight="1" x14ac:dyDescent="0.2">
      <c r="A4100" s="88" t="s">
        <v>4890</v>
      </c>
      <c r="B4100" s="90"/>
      <c r="C4100" s="88" t="s">
        <v>4923</v>
      </c>
      <c r="D4100" s="90"/>
      <c r="E4100" s="106"/>
      <c r="F4100" s="107"/>
      <c r="G4100" s="107"/>
      <c r="H4100" s="107"/>
      <c r="I4100" s="108"/>
      <c r="J4100" s="88" t="s">
        <v>2179</v>
      </c>
      <c r="K4100" s="89"/>
      <c r="L4100" s="89"/>
      <c r="M4100" s="90"/>
      <c r="N4100" s="88" t="s">
        <v>26</v>
      </c>
      <c r="O4100" s="89"/>
      <c r="P4100" s="90"/>
      <c r="Q4100" s="133">
        <v>2000</v>
      </c>
      <c r="R4100" s="134"/>
      <c r="S4100" s="5" t="s">
        <v>814</v>
      </c>
      <c r="T4100" s="6"/>
      <c r="U4100" s="6"/>
      <c r="V4100" s="5" t="s">
        <v>106</v>
      </c>
      <c r="W4100" s="12">
        <v>6889774</v>
      </c>
      <c r="X4100" s="6"/>
      <c r="Y4100" s="6"/>
    </row>
    <row r="4101" spans="1:25" ht="15" customHeight="1" x14ac:dyDescent="0.2">
      <c r="A4101" s="88" t="s">
        <v>4890</v>
      </c>
      <c r="B4101" s="90"/>
      <c r="C4101" s="88" t="s">
        <v>4924</v>
      </c>
      <c r="D4101" s="90"/>
      <c r="E4101" s="88" t="s">
        <v>4925</v>
      </c>
      <c r="F4101" s="89"/>
      <c r="G4101" s="89"/>
      <c r="H4101" s="89"/>
      <c r="I4101" s="90"/>
      <c r="J4101" s="88" t="s">
        <v>13</v>
      </c>
      <c r="K4101" s="89"/>
      <c r="L4101" s="89"/>
      <c r="M4101" s="90"/>
      <c r="N4101" s="88" t="s">
        <v>26</v>
      </c>
      <c r="O4101" s="89"/>
      <c r="P4101" s="90"/>
      <c r="Q4101" s="133">
        <v>900</v>
      </c>
      <c r="R4101" s="134"/>
      <c r="S4101" s="5" t="s">
        <v>27</v>
      </c>
      <c r="T4101" s="6"/>
      <c r="U4101" s="6"/>
      <c r="V4101" s="5" t="s">
        <v>23</v>
      </c>
      <c r="W4101" s="12">
        <v>1556461</v>
      </c>
      <c r="X4101" s="6"/>
      <c r="Y4101" s="6"/>
    </row>
    <row r="4102" spans="1:25" ht="15" customHeight="1" x14ac:dyDescent="0.2">
      <c r="A4102" s="88" t="s">
        <v>4890</v>
      </c>
      <c r="B4102" s="90"/>
      <c r="C4102" s="88" t="s">
        <v>4926</v>
      </c>
      <c r="D4102" s="90"/>
      <c r="E4102" s="88" t="s">
        <v>4927</v>
      </c>
      <c r="F4102" s="89"/>
      <c r="G4102" s="89"/>
      <c r="H4102" s="89"/>
      <c r="I4102" s="90"/>
      <c r="J4102" s="88" t="s">
        <v>13</v>
      </c>
      <c r="K4102" s="89"/>
      <c r="L4102" s="89"/>
      <c r="M4102" s="90"/>
      <c r="N4102" s="88" t="s">
        <v>26</v>
      </c>
      <c r="O4102" s="89"/>
      <c r="P4102" s="90"/>
      <c r="Q4102" s="133">
        <v>900</v>
      </c>
      <c r="R4102" s="134"/>
      <c r="S4102" s="5" t="s">
        <v>27</v>
      </c>
      <c r="T4102" s="6"/>
      <c r="U4102" s="6"/>
      <c r="V4102" s="5" t="s">
        <v>23</v>
      </c>
      <c r="W4102" s="12">
        <v>2605389</v>
      </c>
      <c r="X4102" s="6"/>
      <c r="Y4102" s="6"/>
    </row>
    <row r="4103" spans="1:25" ht="15" customHeight="1" x14ac:dyDescent="0.2">
      <c r="A4103" s="88" t="s">
        <v>4890</v>
      </c>
      <c r="B4103" s="90"/>
      <c r="C4103" s="88" t="s">
        <v>4928</v>
      </c>
      <c r="D4103" s="90"/>
      <c r="E4103" s="88" t="s">
        <v>4929</v>
      </c>
      <c r="F4103" s="89"/>
      <c r="G4103" s="89"/>
      <c r="H4103" s="89"/>
      <c r="I4103" s="90"/>
      <c r="J4103" s="88" t="s">
        <v>13</v>
      </c>
      <c r="K4103" s="89"/>
      <c r="L4103" s="89"/>
      <c r="M4103" s="90"/>
      <c r="N4103" s="88" t="s">
        <v>26</v>
      </c>
      <c r="O4103" s="89"/>
      <c r="P4103" s="90"/>
      <c r="Q4103" s="133">
        <v>900</v>
      </c>
      <c r="R4103" s="134"/>
      <c r="S4103" s="5" t="s">
        <v>27</v>
      </c>
      <c r="T4103" s="6"/>
      <c r="U4103" s="6"/>
      <c r="V4103" s="5" t="s">
        <v>23</v>
      </c>
      <c r="W4103" s="12">
        <v>913289</v>
      </c>
      <c r="X4103" s="6"/>
      <c r="Y4103" s="6"/>
    </row>
    <row r="4104" spans="1:25" ht="15" customHeight="1" x14ac:dyDescent="0.2">
      <c r="A4104" s="88" t="s">
        <v>4890</v>
      </c>
      <c r="B4104" s="90"/>
      <c r="C4104" s="88" t="s">
        <v>4930</v>
      </c>
      <c r="D4104" s="90"/>
      <c r="E4104" s="88" t="s">
        <v>4931</v>
      </c>
      <c r="F4104" s="89"/>
      <c r="G4104" s="89"/>
      <c r="H4104" s="89"/>
      <c r="I4104" s="90"/>
      <c r="J4104" s="88" t="s">
        <v>13</v>
      </c>
      <c r="K4104" s="89"/>
      <c r="L4104" s="89"/>
      <c r="M4104" s="90"/>
      <c r="N4104" s="88" t="s">
        <v>26</v>
      </c>
      <c r="O4104" s="89"/>
      <c r="P4104" s="90"/>
      <c r="Q4104" s="133">
        <v>900</v>
      </c>
      <c r="R4104" s="134"/>
      <c r="S4104" s="5" t="s">
        <v>27</v>
      </c>
      <c r="T4104" s="6"/>
      <c r="U4104" s="6"/>
      <c r="V4104" s="5" t="s">
        <v>23</v>
      </c>
      <c r="W4104" s="12">
        <v>2900854</v>
      </c>
      <c r="X4104" s="6"/>
      <c r="Y4104" s="6"/>
    </row>
    <row r="4105" spans="1:25" ht="15" customHeight="1" x14ac:dyDescent="0.2">
      <c r="A4105" s="88" t="s">
        <v>4890</v>
      </c>
      <c r="B4105" s="90"/>
      <c r="C4105" s="88" t="s">
        <v>4932</v>
      </c>
      <c r="D4105" s="90"/>
      <c r="E4105" s="88" t="s">
        <v>4925</v>
      </c>
      <c r="F4105" s="89"/>
      <c r="G4105" s="89"/>
      <c r="H4105" s="89"/>
      <c r="I4105" s="90"/>
      <c r="J4105" s="88" t="s">
        <v>13</v>
      </c>
      <c r="K4105" s="89"/>
      <c r="L4105" s="89"/>
      <c r="M4105" s="90"/>
      <c r="N4105" s="88" t="s">
        <v>26</v>
      </c>
      <c r="O4105" s="89"/>
      <c r="P4105" s="90"/>
      <c r="Q4105" s="133">
        <v>900</v>
      </c>
      <c r="R4105" s="134"/>
      <c r="S4105" s="5" t="s">
        <v>27</v>
      </c>
      <c r="T4105" s="6"/>
      <c r="U4105" s="6"/>
      <c r="V4105" s="5" t="s">
        <v>23</v>
      </c>
      <c r="W4105" s="12">
        <v>1423531</v>
      </c>
      <c r="X4105" s="6"/>
      <c r="Y4105" s="6"/>
    </row>
    <row r="4106" spans="1:25" ht="15" customHeight="1" x14ac:dyDescent="0.2">
      <c r="A4106" s="88" t="s">
        <v>4890</v>
      </c>
      <c r="B4106" s="90"/>
      <c r="C4106" s="88" t="s">
        <v>4933</v>
      </c>
      <c r="D4106" s="90"/>
      <c r="E4106" s="88" t="s">
        <v>4934</v>
      </c>
      <c r="F4106" s="89"/>
      <c r="G4106" s="89"/>
      <c r="H4106" s="89"/>
      <c r="I4106" s="90"/>
      <c r="J4106" s="88" t="s">
        <v>13</v>
      </c>
      <c r="K4106" s="89"/>
      <c r="L4106" s="89"/>
      <c r="M4106" s="90"/>
      <c r="N4106" s="88" t="s">
        <v>26</v>
      </c>
      <c r="O4106" s="89"/>
      <c r="P4106" s="90"/>
      <c r="Q4106" s="133">
        <v>900</v>
      </c>
      <c r="R4106" s="134"/>
      <c r="S4106" s="5" t="s">
        <v>27</v>
      </c>
      <c r="T4106" s="6"/>
      <c r="U4106" s="6"/>
      <c r="V4106" s="5" t="s">
        <v>23</v>
      </c>
      <c r="W4106" s="12">
        <v>2014460</v>
      </c>
      <c r="X4106" s="6"/>
      <c r="Y4106" s="6"/>
    </row>
    <row r="4107" spans="1:25" ht="15" customHeight="1" x14ac:dyDescent="0.2">
      <c r="A4107" s="88" t="s">
        <v>4890</v>
      </c>
      <c r="B4107" s="90"/>
      <c r="C4107" s="88" t="s">
        <v>4935</v>
      </c>
      <c r="D4107" s="90"/>
      <c r="E4107" s="88" t="s">
        <v>4934</v>
      </c>
      <c r="F4107" s="89"/>
      <c r="G4107" s="89"/>
      <c r="H4107" s="89"/>
      <c r="I4107" s="90"/>
      <c r="J4107" s="88" t="s">
        <v>13</v>
      </c>
      <c r="K4107" s="89"/>
      <c r="L4107" s="89"/>
      <c r="M4107" s="90"/>
      <c r="N4107" s="88" t="s">
        <v>26</v>
      </c>
      <c r="O4107" s="89"/>
      <c r="P4107" s="90"/>
      <c r="Q4107" s="133">
        <v>900</v>
      </c>
      <c r="R4107" s="134"/>
      <c r="S4107" s="5" t="s">
        <v>27</v>
      </c>
      <c r="T4107" s="6"/>
      <c r="U4107" s="6"/>
      <c r="V4107" s="5" t="s">
        <v>23</v>
      </c>
      <c r="W4107" s="12">
        <v>2309925</v>
      </c>
      <c r="X4107" s="6"/>
      <c r="Y4107" s="6"/>
    </row>
    <row r="4108" spans="1:25" ht="15" customHeight="1" x14ac:dyDescent="0.2">
      <c r="A4108" s="88" t="s">
        <v>4890</v>
      </c>
      <c r="B4108" s="90"/>
      <c r="C4108" s="88" t="s">
        <v>4936</v>
      </c>
      <c r="D4108" s="90"/>
      <c r="E4108" s="88" t="s">
        <v>4937</v>
      </c>
      <c r="F4108" s="89"/>
      <c r="G4108" s="89"/>
      <c r="H4108" s="89"/>
      <c r="I4108" s="90"/>
      <c r="J4108" s="88" t="s">
        <v>13</v>
      </c>
      <c r="K4108" s="89"/>
      <c r="L4108" s="89"/>
      <c r="M4108" s="90"/>
      <c r="N4108" s="88" t="s">
        <v>26</v>
      </c>
      <c r="O4108" s="89"/>
      <c r="P4108" s="90"/>
      <c r="Q4108" s="133">
        <v>900</v>
      </c>
      <c r="R4108" s="134"/>
      <c r="S4108" s="5" t="s">
        <v>27</v>
      </c>
      <c r="T4108" s="6"/>
      <c r="U4108" s="6"/>
      <c r="V4108" s="5" t="s">
        <v>23</v>
      </c>
      <c r="W4108" s="12">
        <v>1631730</v>
      </c>
      <c r="X4108" s="6"/>
      <c r="Y4108" s="6"/>
    </row>
    <row r="4109" spans="1:25" ht="15" customHeight="1" x14ac:dyDescent="0.2">
      <c r="A4109" s="88" t="s">
        <v>4890</v>
      </c>
      <c r="B4109" s="90"/>
      <c r="C4109" s="88" t="s">
        <v>4938</v>
      </c>
      <c r="D4109" s="90"/>
      <c r="E4109" s="88" t="s">
        <v>4939</v>
      </c>
      <c r="F4109" s="89"/>
      <c r="G4109" s="89"/>
      <c r="H4109" s="89"/>
      <c r="I4109" s="90"/>
      <c r="J4109" s="88" t="s">
        <v>13</v>
      </c>
      <c r="K4109" s="89"/>
      <c r="L4109" s="89"/>
      <c r="M4109" s="90"/>
      <c r="N4109" s="88" t="s">
        <v>26</v>
      </c>
      <c r="O4109" s="89"/>
      <c r="P4109" s="90"/>
      <c r="Q4109" s="133">
        <v>900</v>
      </c>
      <c r="R4109" s="134"/>
      <c r="S4109" s="5" t="s">
        <v>27</v>
      </c>
      <c r="T4109" s="6"/>
      <c r="U4109" s="6"/>
      <c r="V4109" s="5" t="s">
        <v>23</v>
      </c>
      <c r="W4109" s="12">
        <v>3295193</v>
      </c>
      <c r="X4109" s="6"/>
      <c r="Y4109" s="6"/>
    </row>
    <row r="4110" spans="1:25" ht="15" customHeight="1" x14ac:dyDescent="0.2">
      <c r="A4110" s="88" t="s">
        <v>4890</v>
      </c>
      <c r="B4110" s="90"/>
      <c r="C4110" s="88" t="s">
        <v>4940</v>
      </c>
      <c r="D4110" s="90"/>
      <c r="E4110" s="88" t="s">
        <v>4941</v>
      </c>
      <c r="F4110" s="89"/>
      <c r="G4110" s="89"/>
      <c r="H4110" s="89"/>
      <c r="I4110" s="90"/>
      <c r="J4110" s="88" t="s">
        <v>13</v>
      </c>
      <c r="K4110" s="89"/>
      <c r="L4110" s="89"/>
      <c r="M4110" s="90"/>
      <c r="N4110" s="88" t="s">
        <v>26</v>
      </c>
      <c r="O4110" s="89"/>
      <c r="P4110" s="90"/>
      <c r="Q4110" s="133">
        <v>900</v>
      </c>
      <c r="R4110" s="134"/>
      <c r="S4110" s="5" t="s">
        <v>27</v>
      </c>
      <c r="T4110" s="6"/>
      <c r="U4110" s="6"/>
      <c r="V4110" s="5" t="s">
        <v>23</v>
      </c>
      <c r="W4110" s="12">
        <v>2677756</v>
      </c>
      <c r="X4110" s="6"/>
      <c r="Y4110" s="6"/>
    </row>
    <row r="4111" spans="1:25" ht="15" customHeight="1" x14ac:dyDescent="0.2">
      <c r="A4111" s="88" t="s">
        <v>4890</v>
      </c>
      <c r="B4111" s="90"/>
      <c r="C4111" s="88" t="s">
        <v>4942</v>
      </c>
      <c r="D4111" s="90"/>
      <c r="E4111" s="88" t="s">
        <v>4943</v>
      </c>
      <c r="F4111" s="89"/>
      <c r="G4111" s="89"/>
      <c r="H4111" s="89"/>
      <c r="I4111" s="90"/>
      <c r="J4111" s="88" t="s">
        <v>13</v>
      </c>
      <c r="K4111" s="89"/>
      <c r="L4111" s="89"/>
      <c r="M4111" s="90"/>
      <c r="N4111" s="88" t="s">
        <v>26</v>
      </c>
      <c r="O4111" s="89"/>
      <c r="P4111" s="90"/>
      <c r="Q4111" s="133">
        <v>900</v>
      </c>
      <c r="R4111" s="134"/>
      <c r="S4111" s="5" t="s">
        <v>27</v>
      </c>
      <c r="T4111" s="6"/>
      <c r="U4111" s="6"/>
      <c r="V4111" s="5" t="s">
        <v>23</v>
      </c>
      <c r="W4111" s="12">
        <v>1980792</v>
      </c>
      <c r="X4111" s="6"/>
      <c r="Y4111" s="6"/>
    </row>
    <row r="4112" spans="1:25" ht="15" customHeight="1" x14ac:dyDescent="0.2">
      <c r="A4112" s="88" t="s">
        <v>4890</v>
      </c>
      <c r="B4112" s="90"/>
      <c r="C4112" s="88" t="s">
        <v>4944</v>
      </c>
      <c r="D4112" s="90"/>
      <c r="E4112" s="88" t="s">
        <v>4939</v>
      </c>
      <c r="F4112" s="89"/>
      <c r="G4112" s="89"/>
      <c r="H4112" s="89"/>
      <c r="I4112" s="90"/>
      <c r="J4112" s="88" t="s">
        <v>13</v>
      </c>
      <c r="K4112" s="89"/>
      <c r="L4112" s="89"/>
      <c r="M4112" s="90"/>
      <c r="N4112" s="88" t="s">
        <v>26</v>
      </c>
      <c r="O4112" s="89"/>
      <c r="P4112" s="90"/>
      <c r="Q4112" s="133">
        <v>900</v>
      </c>
      <c r="R4112" s="134"/>
      <c r="S4112" s="5" t="s">
        <v>27</v>
      </c>
      <c r="T4112" s="6"/>
      <c r="U4112" s="6"/>
      <c r="V4112" s="5" t="s">
        <v>23</v>
      </c>
      <c r="W4112" s="12">
        <v>2664405</v>
      </c>
      <c r="X4112" s="6"/>
      <c r="Y4112" s="6"/>
    </row>
    <row r="4113" spans="1:25" ht="15" customHeight="1" x14ac:dyDescent="0.2">
      <c r="A4113" s="88" t="s">
        <v>4890</v>
      </c>
      <c r="B4113" s="90"/>
      <c r="C4113" s="88" t="s">
        <v>4945</v>
      </c>
      <c r="D4113" s="90"/>
      <c r="E4113" s="88" t="s">
        <v>4946</v>
      </c>
      <c r="F4113" s="89"/>
      <c r="G4113" s="89"/>
      <c r="H4113" s="89"/>
      <c r="I4113" s="90"/>
      <c r="J4113" s="88" t="s">
        <v>13</v>
      </c>
      <c r="K4113" s="89"/>
      <c r="L4113" s="89"/>
      <c r="M4113" s="90"/>
      <c r="N4113" s="88" t="s">
        <v>26</v>
      </c>
      <c r="O4113" s="89"/>
      <c r="P4113" s="90"/>
      <c r="Q4113" s="133">
        <v>900</v>
      </c>
      <c r="R4113" s="134"/>
      <c r="S4113" s="5" t="s">
        <v>27</v>
      </c>
      <c r="T4113" s="6"/>
      <c r="U4113" s="6"/>
      <c r="V4113" s="5" t="s">
        <v>23</v>
      </c>
      <c r="W4113" s="12">
        <v>3934883</v>
      </c>
      <c r="X4113" s="6"/>
      <c r="Y4113" s="6"/>
    </row>
    <row r="4114" spans="1:25" ht="15" customHeight="1" x14ac:dyDescent="0.2">
      <c r="A4114" s="88" t="s">
        <v>4890</v>
      </c>
      <c r="B4114" s="90"/>
      <c r="C4114" s="88" t="s">
        <v>4947</v>
      </c>
      <c r="D4114" s="90"/>
      <c r="E4114" s="88" t="s">
        <v>4948</v>
      </c>
      <c r="F4114" s="89"/>
      <c r="G4114" s="89"/>
      <c r="H4114" s="89"/>
      <c r="I4114" s="90"/>
      <c r="J4114" s="88" t="s">
        <v>13</v>
      </c>
      <c r="K4114" s="89"/>
      <c r="L4114" s="89"/>
      <c r="M4114" s="90"/>
      <c r="N4114" s="88" t="s">
        <v>26</v>
      </c>
      <c r="O4114" s="89"/>
      <c r="P4114" s="90"/>
      <c r="Q4114" s="133">
        <v>900</v>
      </c>
      <c r="R4114" s="134"/>
      <c r="S4114" s="5" t="s">
        <v>27</v>
      </c>
      <c r="T4114" s="6"/>
      <c r="U4114" s="6"/>
      <c r="V4114" s="5" t="s">
        <v>23</v>
      </c>
      <c r="W4114" s="12">
        <v>2826939</v>
      </c>
      <c r="X4114" s="6"/>
      <c r="Y4114" s="6"/>
    </row>
    <row r="4115" spans="1:25" ht="15" customHeight="1" x14ac:dyDescent="0.2">
      <c r="A4115" s="88" t="s">
        <v>4890</v>
      </c>
      <c r="B4115" s="90"/>
      <c r="C4115" s="88" t="s">
        <v>4945</v>
      </c>
      <c r="D4115" s="90"/>
      <c r="E4115" s="88" t="s">
        <v>4946</v>
      </c>
      <c r="F4115" s="89"/>
      <c r="G4115" s="89"/>
      <c r="H4115" s="89"/>
      <c r="I4115" s="90"/>
      <c r="J4115" s="88" t="s">
        <v>13</v>
      </c>
      <c r="K4115" s="89"/>
      <c r="L4115" s="89"/>
      <c r="M4115" s="90"/>
      <c r="N4115" s="88" t="s">
        <v>26</v>
      </c>
      <c r="O4115" s="89"/>
      <c r="P4115" s="90"/>
      <c r="Q4115" s="133">
        <v>900</v>
      </c>
      <c r="R4115" s="134"/>
      <c r="S4115" s="5" t="s">
        <v>27</v>
      </c>
      <c r="T4115" s="6"/>
      <c r="U4115" s="6"/>
      <c r="V4115" s="5" t="s">
        <v>23</v>
      </c>
      <c r="W4115" s="12">
        <v>3934883</v>
      </c>
      <c r="X4115" s="6"/>
      <c r="Y4115" s="6"/>
    </row>
    <row r="4116" spans="1:25" ht="15" customHeight="1" x14ac:dyDescent="0.2">
      <c r="A4116" s="88" t="s">
        <v>4890</v>
      </c>
      <c r="B4116" s="90"/>
      <c r="C4116" s="88" t="s">
        <v>4949</v>
      </c>
      <c r="D4116" s="90"/>
      <c r="E4116" s="88" t="s">
        <v>4950</v>
      </c>
      <c r="F4116" s="89"/>
      <c r="G4116" s="89"/>
      <c r="H4116" s="89"/>
      <c r="I4116" s="90"/>
      <c r="J4116" s="88" t="s">
        <v>13</v>
      </c>
      <c r="K4116" s="89"/>
      <c r="L4116" s="89"/>
      <c r="M4116" s="90"/>
      <c r="N4116" s="88" t="s">
        <v>26</v>
      </c>
      <c r="O4116" s="89"/>
      <c r="P4116" s="90"/>
      <c r="Q4116" s="133">
        <v>900</v>
      </c>
      <c r="R4116" s="134"/>
      <c r="S4116" s="5" t="s">
        <v>27</v>
      </c>
      <c r="T4116" s="6"/>
      <c r="U4116" s="6"/>
      <c r="V4116" s="5" t="s">
        <v>23</v>
      </c>
      <c r="W4116" s="12">
        <v>3816658</v>
      </c>
      <c r="X4116" s="6"/>
      <c r="Y4116" s="6"/>
    </row>
    <row r="4117" spans="1:25" ht="15" customHeight="1" x14ac:dyDescent="0.2">
      <c r="A4117" s="88" t="s">
        <v>4890</v>
      </c>
      <c r="B4117" s="90"/>
      <c r="C4117" s="88" t="s">
        <v>4951</v>
      </c>
      <c r="D4117" s="90"/>
      <c r="E4117" s="88" t="s">
        <v>4939</v>
      </c>
      <c r="F4117" s="89"/>
      <c r="G4117" s="89"/>
      <c r="H4117" s="89"/>
      <c r="I4117" s="90"/>
      <c r="J4117" s="88" t="s">
        <v>13</v>
      </c>
      <c r="K4117" s="89"/>
      <c r="L4117" s="89"/>
      <c r="M4117" s="90"/>
      <c r="N4117" s="88" t="s">
        <v>26</v>
      </c>
      <c r="O4117" s="89"/>
      <c r="P4117" s="90"/>
      <c r="Q4117" s="133">
        <v>900</v>
      </c>
      <c r="R4117" s="134"/>
      <c r="S4117" s="5" t="s">
        <v>27</v>
      </c>
      <c r="T4117" s="6"/>
      <c r="U4117" s="6"/>
      <c r="V4117" s="5" t="s">
        <v>23</v>
      </c>
      <c r="W4117" s="12">
        <v>4772516</v>
      </c>
      <c r="X4117" s="6"/>
      <c r="Y4117" s="6"/>
    </row>
    <row r="4118" spans="1:25" ht="15" customHeight="1" x14ac:dyDescent="0.2">
      <c r="A4118" s="88" t="s">
        <v>4890</v>
      </c>
      <c r="B4118" s="90"/>
      <c r="C4118" s="88" t="s">
        <v>4952</v>
      </c>
      <c r="D4118" s="90"/>
      <c r="E4118" s="88" t="s">
        <v>4953</v>
      </c>
      <c r="F4118" s="89"/>
      <c r="G4118" s="89"/>
      <c r="H4118" s="89"/>
      <c r="I4118" s="90"/>
      <c r="J4118" s="88" t="s">
        <v>13</v>
      </c>
      <c r="K4118" s="89"/>
      <c r="L4118" s="89"/>
      <c r="M4118" s="90"/>
      <c r="N4118" s="88" t="s">
        <v>26</v>
      </c>
      <c r="O4118" s="89"/>
      <c r="P4118" s="90"/>
      <c r="Q4118" s="133">
        <v>1200</v>
      </c>
      <c r="R4118" s="134"/>
      <c r="S4118" s="5" t="s">
        <v>70</v>
      </c>
      <c r="T4118" s="6"/>
      <c r="U4118" s="6"/>
      <c r="V4118" s="5" t="s">
        <v>23</v>
      </c>
      <c r="W4118" s="12">
        <v>1877467</v>
      </c>
      <c r="X4118" s="6"/>
      <c r="Y4118" s="6"/>
    </row>
    <row r="4119" spans="1:25" ht="15" customHeight="1" x14ac:dyDescent="0.2">
      <c r="A4119" s="88" t="s">
        <v>4890</v>
      </c>
      <c r="B4119" s="90"/>
      <c r="C4119" s="88" t="s">
        <v>4954</v>
      </c>
      <c r="D4119" s="90"/>
      <c r="E4119" s="88" t="s">
        <v>4955</v>
      </c>
      <c r="F4119" s="89"/>
      <c r="G4119" s="89"/>
      <c r="H4119" s="89"/>
      <c r="I4119" s="90"/>
      <c r="J4119" s="88" t="s">
        <v>13</v>
      </c>
      <c r="K4119" s="89"/>
      <c r="L4119" s="89"/>
      <c r="M4119" s="90"/>
      <c r="N4119" s="88" t="s">
        <v>26</v>
      </c>
      <c r="O4119" s="89"/>
      <c r="P4119" s="90"/>
      <c r="Q4119" s="133">
        <v>1200</v>
      </c>
      <c r="R4119" s="134"/>
      <c r="S4119" s="5" t="s">
        <v>70</v>
      </c>
      <c r="T4119" s="6"/>
      <c r="U4119" s="6"/>
      <c r="V4119" s="5" t="s">
        <v>23</v>
      </c>
      <c r="W4119" s="12">
        <v>2720518</v>
      </c>
      <c r="X4119" s="6"/>
      <c r="Y4119" s="6"/>
    </row>
    <row r="4120" spans="1:25" ht="15" customHeight="1" x14ac:dyDescent="0.2">
      <c r="A4120" s="88" t="s">
        <v>4890</v>
      </c>
      <c r="B4120" s="90"/>
      <c r="C4120" s="88" t="s">
        <v>4956</v>
      </c>
      <c r="D4120" s="90"/>
      <c r="E4120" s="88" t="s">
        <v>4957</v>
      </c>
      <c r="F4120" s="89"/>
      <c r="G4120" s="89"/>
      <c r="H4120" s="89"/>
      <c r="I4120" s="90"/>
      <c r="J4120" s="88" t="s">
        <v>13</v>
      </c>
      <c r="K4120" s="89"/>
      <c r="L4120" s="89"/>
      <c r="M4120" s="90"/>
      <c r="N4120" s="88" t="s">
        <v>26</v>
      </c>
      <c r="O4120" s="89"/>
      <c r="P4120" s="90"/>
      <c r="Q4120" s="133">
        <v>1200</v>
      </c>
      <c r="R4120" s="134"/>
      <c r="S4120" s="5" t="s">
        <v>27</v>
      </c>
      <c r="T4120" s="6"/>
      <c r="U4120" s="6"/>
      <c r="V4120" s="5" t="s">
        <v>23</v>
      </c>
      <c r="W4120" s="12">
        <v>2100178</v>
      </c>
      <c r="X4120" s="6"/>
      <c r="Y4120" s="6"/>
    </row>
    <row r="4121" spans="1:25" ht="15" customHeight="1" x14ac:dyDescent="0.2">
      <c r="A4121" s="88" t="s">
        <v>4890</v>
      </c>
      <c r="B4121" s="90"/>
      <c r="C4121" s="88" t="s">
        <v>4958</v>
      </c>
      <c r="D4121" s="90"/>
      <c r="E4121" s="88" t="s">
        <v>4959</v>
      </c>
      <c r="F4121" s="89"/>
      <c r="G4121" s="89"/>
      <c r="H4121" s="89"/>
      <c r="I4121" s="90"/>
      <c r="J4121" s="88" t="s">
        <v>13</v>
      </c>
      <c r="K4121" s="89"/>
      <c r="L4121" s="89"/>
      <c r="M4121" s="90"/>
      <c r="N4121" s="88" t="s">
        <v>26</v>
      </c>
      <c r="O4121" s="89"/>
      <c r="P4121" s="90"/>
      <c r="Q4121" s="133">
        <v>1200</v>
      </c>
      <c r="R4121" s="134"/>
      <c r="S4121" s="5" t="s">
        <v>70</v>
      </c>
      <c r="T4121" s="6"/>
      <c r="U4121" s="6"/>
      <c r="V4121" s="5" t="s">
        <v>23</v>
      </c>
      <c r="W4121" s="12">
        <v>2679110</v>
      </c>
      <c r="X4121" s="6"/>
      <c r="Y4121" s="6"/>
    </row>
    <row r="4122" spans="1:25" ht="15" customHeight="1" x14ac:dyDescent="0.2">
      <c r="A4122" s="88" t="s">
        <v>4890</v>
      </c>
      <c r="B4122" s="90"/>
      <c r="C4122" s="88" t="s">
        <v>4960</v>
      </c>
      <c r="D4122" s="90"/>
      <c r="E4122" s="88" t="s">
        <v>4961</v>
      </c>
      <c r="F4122" s="89"/>
      <c r="G4122" s="89"/>
      <c r="H4122" s="89"/>
      <c r="I4122" s="90"/>
      <c r="J4122" s="88" t="s">
        <v>13</v>
      </c>
      <c r="K4122" s="89"/>
      <c r="L4122" s="89"/>
      <c r="M4122" s="90"/>
      <c r="N4122" s="88" t="s">
        <v>26</v>
      </c>
      <c r="O4122" s="89"/>
      <c r="P4122" s="90"/>
      <c r="Q4122" s="133">
        <v>1200</v>
      </c>
      <c r="R4122" s="134"/>
      <c r="S4122" s="5" t="s">
        <v>27</v>
      </c>
      <c r="T4122" s="6"/>
      <c r="U4122" s="6"/>
      <c r="V4122" s="5" t="s">
        <v>23</v>
      </c>
      <c r="W4122" s="12">
        <v>1423531</v>
      </c>
      <c r="X4122" s="6"/>
      <c r="Y4122" s="6"/>
    </row>
    <row r="4123" spans="1:25" ht="15" customHeight="1" x14ac:dyDescent="0.2">
      <c r="A4123" s="88" t="s">
        <v>4890</v>
      </c>
      <c r="B4123" s="90"/>
      <c r="C4123" s="88" t="s">
        <v>4962</v>
      </c>
      <c r="D4123" s="90"/>
      <c r="E4123" s="88" t="s">
        <v>4963</v>
      </c>
      <c r="F4123" s="89"/>
      <c r="G4123" s="89"/>
      <c r="H4123" s="89"/>
      <c r="I4123" s="90"/>
      <c r="J4123" s="88" t="s">
        <v>13</v>
      </c>
      <c r="K4123" s="89"/>
      <c r="L4123" s="89"/>
      <c r="M4123" s="90"/>
      <c r="N4123" s="88" t="s">
        <v>26</v>
      </c>
      <c r="O4123" s="89"/>
      <c r="P4123" s="90"/>
      <c r="Q4123" s="133">
        <v>1200</v>
      </c>
      <c r="R4123" s="134"/>
      <c r="S4123" s="5" t="s">
        <v>27</v>
      </c>
      <c r="T4123" s="6"/>
      <c r="U4123" s="6"/>
      <c r="V4123" s="5" t="s">
        <v>23</v>
      </c>
      <c r="W4123" s="12">
        <v>1346714</v>
      </c>
      <c r="X4123" s="6"/>
      <c r="Y4123" s="6"/>
    </row>
    <row r="4124" spans="1:25" ht="15" customHeight="1" x14ac:dyDescent="0.2">
      <c r="A4124" s="88" t="s">
        <v>4890</v>
      </c>
      <c r="B4124" s="90"/>
      <c r="C4124" s="88" t="s">
        <v>4964</v>
      </c>
      <c r="D4124" s="90"/>
      <c r="E4124" s="88" t="s">
        <v>4965</v>
      </c>
      <c r="F4124" s="89"/>
      <c r="G4124" s="89"/>
      <c r="H4124" s="89"/>
      <c r="I4124" s="90"/>
      <c r="J4124" s="88" t="s">
        <v>13</v>
      </c>
      <c r="K4124" s="89"/>
      <c r="L4124" s="89"/>
      <c r="M4124" s="90"/>
      <c r="N4124" s="88" t="s">
        <v>26</v>
      </c>
      <c r="O4124" s="89"/>
      <c r="P4124" s="90"/>
      <c r="Q4124" s="133">
        <v>1200</v>
      </c>
      <c r="R4124" s="134"/>
      <c r="S4124" s="5" t="s">
        <v>70</v>
      </c>
      <c r="T4124" s="6"/>
      <c r="U4124" s="6"/>
      <c r="V4124" s="5" t="s">
        <v>23</v>
      </c>
      <c r="W4124" s="12">
        <v>3228438</v>
      </c>
      <c r="X4124" s="6"/>
      <c r="Y4124" s="6"/>
    </row>
    <row r="4125" spans="1:25" ht="15" customHeight="1" x14ac:dyDescent="0.2">
      <c r="A4125" s="88" t="s">
        <v>4890</v>
      </c>
      <c r="B4125" s="90"/>
      <c r="C4125" s="88" t="s">
        <v>4966</v>
      </c>
      <c r="D4125" s="90"/>
      <c r="E4125" s="88" t="s">
        <v>4965</v>
      </c>
      <c r="F4125" s="89"/>
      <c r="G4125" s="89"/>
      <c r="H4125" s="89"/>
      <c r="I4125" s="90"/>
      <c r="J4125" s="88" t="s">
        <v>13</v>
      </c>
      <c r="K4125" s="89"/>
      <c r="L4125" s="89"/>
      <c r="M4125" s="90"/>
      <c r="N4125" s="88" t="s">
        <v>26</v>
      </c>
      <c r="O4125" s="89"/>
      <c r="P4125" s="90"/>
      <c r="Q4125" s="133">
        <v>1200</v>
      </c>
      <c r="R4125" s="134"/>
      <c r="S4125" s="5" t="s">
        <v>70</v>
      </c>
      <c r="T4125" s="6"/>
      <c r="U4125" s="6"/>
      <c r="V4125" s="5" t="s">
        <v>23</v>
      </c>
      <c r="W4125" s="12">
        <v>3713333</v>
      </c>
      <c r="X4125" s="6"/>
      <c r="Y4125" s="6"/>
    </row>
    <row r="4126" spans="1:25" ht="15" customHeight="1" x14ac:dyDescent="0.2">
      <c r="A4126" s="88" t="s">
        <v>4890</v>
      </c>
      <c r="B4126" s="90"/>
      <c r="C4126" s="88" t="s">
        <v>4967</v>
      </c>
      <c r="D4126" s="90"/>
      <c r="E4126" s="88" t="s">
        <v>4955</v>
      </c>
      <c r="F4126" s="89"/>
      <c r="G4126" s="89"/>
      <c r="H4126" s="89"/>
      <c r="I4126" s="90"/>
      <c r="J4126" s="88" t="s">
        <v>13</v>
      </c>
      <c r="K4126" s="89"/>
      <c r="L4126" s="89"/>
      <c r="M4126" s="90"/>
      <c r="N4126" s="88" t="s">
        <v>26</v>
      </c>
      <c r="O4126" s="89"/>
      <c r="P4126" s="90"/>
      <c r="Q4126" s="133">
        <v>1200</v>
      </c>
      <c r="R4126" s="134"/>
      <c r="S4126" s="5" t="s">
        <v>70</v>
      </c>
      <c r="T4126" s="6"/>
      <c r="U4126" s="6"/>
      <c r="V4126" s="5" t="s">
        <v>23</v>
      </c>
      <c r="W4126" s="12">
        <v>3373558</v>
      </c>
      <c r="X4126" s="6"/>
      <c r="Y4126" s="6"/>
    </row>
    <row r="4127" spans="1:25" ht="15" customHeight="1" x14ac:dyDescent="0.2">
      <c r="A4127" s="88" t="s">
        <v>4890</v>
      </c>
      <c r="B4127" s="90"/>
      <c r="C4127" s="88" t="s">
        <v>4968</v>
      </c>
      <c r="D4127" s="90"/>
      <c r="E4127" s="88" t="s">
        <v>4969</v>
      </c>
      <c r="F4127" s="89"/>
      <c r="G4127" s="89"/>
      <c r="H4127" s="89"/>
      <c r="I4127" s="90"/>
      <c r="J4127" s="88" t="s">
        <v>13</v>
      </c>
      <c r="K4127" s="89"/>
      <c r="L4127" s="89"/>
      <c r="M4127" s="90"/>
      <c r="N4127" s="88" t="s">
        <v>26</v>
      </c>
      <c r="O4127" s="89"/>
      <c r="P4127" s="90"/>
      <c r="Q4127" s="133">
        <v>1200</v>
      </c>
      <c r="R4127" s="134"/>
      <c r="S4127" s="5" t="s">
        <v>70</v>
      </c>
      <c r="T4127" s="6"/>
      <c r="U4127" s="6"/>
      <c r="V4127" s="5" t="s">
        <v>23</v>
      </c>
      <c r="W4127" s="12">
        <v>2664405</v>
      </c>
      <c r="X4127" s="6"/>
      <c r="Y4127" s="6"/>
    </row>
    <row r="4128" spans="1:25" ht="15" customHeight="1" x14ac:dyDescent="0.2">
      <c r="A4128" s="88" t="s">
        <v>4890</v>
      </c>
      <c r="B4128" s="90"/>
      <c r="C4128" s="88" t="s">
        <v>4970</v>
      </c>
      <c r="D4128" s="90"/>
      <c r="E4128" s="88" t="s">
        <v>4971</v>
      </c>
      <c r="F4128" s="89"/>
      <c r="G4128" s="89"/>
      <c r="H4128" s="89"/>
      <c r="I4128" s="90"/>
      <c r="J4128" s="88" t="s">
        <v>13</v>
      </c>
      <c r="K4128" s="89"/>
      <c r="L4128" s="89"/>
      <c r="M4128" s="90"/>
      <c r="N4128" s="88" t="s">
        <v>26</v>
      </c>
      <c r="O4128" s="89"/>
      <c r="P4128" s="90"/>
      <c r="Q4128" s="133">
        <v>1300</v>
      </c>
      <c r="R4128" s="134"/>
      <c r="S4128" s="5" t="s">
        <v>27</v>
      </c>
      <c r="T4128" s="6"/>
      <c r="U4128" s="6"/>
      <c r="V4128" s="5" t="s">
        <v>23</v>
      </c>
      <c r="W4128" s="12">
        <v>2812234</v>
      </c>
      <c r="X4128" s="6"/>
      <c r="Y4128" s="6"/>
    </row>
    <row r="4129" spans="1:25" ht="15" customHeight="1" x14ac:dyDescent="0.2">
      <c r="A4129" s="88" t="s">
        <v>4890</v>
      </c>
      <c r="B4129" s="90"/>
      <c r="C4129" s="88" t="s">
        <v>4972</v>
      </c>
      <c r="D4129" s="90"/>
      <c r="E4129" s="88" t="s">
        <v>4973</v>
      </c>
      <c r="F4129" s="89"/>
      <c r="G4129" s="89"/>
      <c r="H4129" s="89"/>
      <c r="I4129" s="90"/>
      <c r="J4129" s="88" t="s">
        <v>13</v>
      </c>
      <c r="K4129" s="89"/>
      <c r="L4129" s="89"/>
      <c r="M4129" s="90"/>
      <c r="N4129" s="88" t="s">
        <v>26</v>
      </c>
      <c r="O4129" s="89"/>
      <c r="P4129" s="90"/>
      <c r="Q4129" s="133">
        <v>1300</v>
      </c>
      <c r="R4129" s="134"/>
      <c r="S4129" s="5" t="s">
        <v>27</v>
      </c>
      <c r="T4129" s="6"/>
      <c r="U4129" s="6"/>
      <c r="V4129" s="5" t="s">
        <v>96</v>
      </c>
      <c r="W4129" s="12">
        <v>2606744</v>
      </c>
      <c r="X4129" s="6"/>
      <c r="Y4129" s="6"/>
    </row>
    <row r="4130" spans="1:25" ht="15" customHeight="1" x14ac:dyDescent="0.2">
      <c r="A4130" s="88" t="s">
        <v>4890</v>
      </c>
      <c r="B4130" s="90"/>
      <c r="C4130" s="88" t="s">
        <v>4896</v>
      </c>
      <c r="D4130" s="90"/>
      <c r="E4130" s="88" t="s">
        <v>4974</v>
      </c>
      <c r="F4130" s="89"/>
      <c r="G4130" s="89"/>
      <c r="H4130" s="89"/>
      <c r="I4130" s="90"/>
      <c r="J4130" s="88" t="s">
        <v>13</v>
      </c>
      <c r="K4130" s="89"/>
      <c r="L4130" s="89"/>
      <c r="M4130" s="90"/>
      <c r="N4130" s="88" t="s">
        <v>26</v>
      </c>
      <c r="O4130" s="89"/>
      <c r="P4130" s="90"/>
      <c r="Q4130" s="133">
        <v>1300</v>
      </c>
      <c r="R4130" s="134"/>
      <c r="S4130" s="5" t="s">
        <v>27</v>
      </c>
      <c r="T4130" s="6"/>
      <c r="U4130" s="6"/>
      <c r="V4130" s="5" t="s">
        <v>23</v>
      </c>
      <c r="W4130" s="12">
        <v>3295193</v>
      </c>
      <c r="X4130" s="6"/>
      <c r="Y4130" s="6"/>
    </row>
    <row r="4131" spans="1:25" ht="15" customHeight="1" x14ac:dyDescent="0.2">
      <c r="A4131" s="88" t="s">
        <v>4890</v>
      </c>
      <c r="B4131" s="90"/>
      <c r="C4131" s="88" t="s">
        <v>4975</v>
      </c>
      <c r="D4131" s="90"/>
      <c r="E4131" s="88" t="s">
        <v>4976</v>
      </c>
      <c r="F4131" s="89"/>
      <c r="G4131" s="89"/>
      <c r="H4131" s="89"/>
      <c r="I4131" s="90"/>
      <c r="J4131" s="88" t="s">
        <v>13</v>
      </c>
      <c r="K4131" s="89"/>
      <c r="L4131" s="89"/>
      <c r="M4131" s="90"/>
      <c r="N4131" s="88" t="s">
        <v>26</v>
      </c>
      <c r="O4131" s="89"/>
      <c r="P4131" s="90"/>
      <c r="Q4131" s="133">
        <v>1300</v>
      </c>
      <c r="R4131" s="134"/>
      <c r="S4131" s="5" t="s">
        <v>27</v>
      </c>
      <c r="T4131" s="6"/>
      <c r="U4131" s="6"/>
      <c r="V4131" s="5" t="s">
        <v>23</v>
      </c>
      <c r="W4131" s="12">
        <v>3107698</v>
      </c>
      <c r="X4131" s="6"/>
      <c r="Y4131" s="6"/>
    </row>
    <row r="4132" spans="1:25" ht="15" customHeight="1" x14ac:dyDescent="0.2">
      <c r="A4132" s="88" t="s">
        <v>4890</v>
      </c>
      <c r="B4132" s="90"/>
      <c r="C4132" s="88" t="s">
        <v>4977</v>
      </c>
      <c r="D4132" s="90"/>
      <c r="E4132" s="88" t="s">
        <v>4978</v>
      </c>
      <c r="F4132" s="89"/>
      <c r="G4132" s="89"/>
      <c r="H4132" s="89"/>
      <c r="I4132" s="90"/>
      <c r="J4132" s="88" t="s">
        <v>13</v>
      </c>
      <c r="K4132" s="89"/>
      <c r="L4132" s="89"/>
      <c r="M4132" s="90"/>
      <c r="N4132" s="88" t="s">
        <v>26</v>
      </c>
      <c r="O4132" s="89"/>
      <c r="P4132" s="90"/>
      <c r="Q4132" s="133">
        <v>1300</v>
      </c>
      <c r="R4132" s="134"/>
      <c r="S4132" s="5" t="s">
        <v>27</v>
      </c>
      <c r="T4132" s="6"/>
      <c r="U4132" s="6"/>
      <c r="V4132" s="5" t="s">
        <v>23</v>
      </c>
      <c r="W4132" s="12">
        <v>2930265</v>
      </c>
      <c r="X4132" s="6"/>
      <c r="Y4132" s="6"/>
    </row>
    <row r="4133" spans="1:25" ht="15" customHeight="1" x14ac:dyDescent="0.2">
      <c r="A4133" s="88" t="s">
        <v>4890</v>
      </c>
      <c r="B4133" s="90"/>
      <c r="C4133" s="88" t="s">
        <v>4979</v>
      </c>
      <c r="D4133" s="90"/>
      <c r="E4133" s="88" t="s">
        <v>4980</v>
      </c>
      <c r="F4133" s="89"/>
      <c r="G4133" s="89"/>
      <c r="H4133" s="89"/>
      <c r="I4133" s="90"/>
      <c r="J4133" s="88" t="s">
        <v>13</v>
      </c>
      <c r="K4133" s="89"/>
      <c r="L4133" s="89"/>
      <c r="M4133" s="90"/>
      <c r="N4133" s="88" t="s">
        <v>26</v>
      </c>
      <c r="O4133" s="89"/>
      <c r="P4133" s="90"/>
      <c r="Q4133" s="133">
        <v>1300</v>
      </c>
      <c r="R4133" s="134"/>
      <c r="S4133" s="5" t="s">
        <v>70</v>
      </c>
      <c r="T4133" s="6"/>
      <c r="U4133" s="6"/>
      <c r="V4133" s="5" t="s">
        <v>23</v>
      </c>
      <c r="W4133" s="12">
        <v>5037408</v>
      </c>
      <c r="X4133" s="6"/>
      <c r="Y4133" s="6"/>
    </row>
    <row r="4134" spans="1:25" ht="15" customHeight="1" x14ac:dyDescent="0.2">
      <c r="A4134" s="88" t="s">
        <v>4890</v>
      </c>
      <c r="B4134" s="90"/>
      <c r="C4134" s="88" t="s">
        <v>4981</v>
      </c>
      <c r="D4134" s="90"/>
      <c r="E4134" s="88" t="s">
        <v>4982</v>
      </c>
      <c r="F4134" s="89"/>
      <c r="G4134" s="89"/>
      <c r="H4134" s="89"/>
      <c r="I4134" s="90"/>
      <c r="J4134" s="88" t="s">
        <v>13</v>
      </c>
      <c r="K4134" s="89"/>
      <c r="L4134" s="89"/>
      <c r="M4134" s="90"/>
      <c r="N4134" s="88" t="s">
        <v>26</v>
      </c>
      <c r="O4134" s="89"/>
      <c r="P4134" s="90"/>
      <c r="Q4134" s="133">
        <v>1300</v>
      </c>
      <c r="R4134" s="134"/>
      <c r="S4134" s="5" t="s">
        <v>27</v>
      </c>
      <c r="T4134" s="6"/>
      <c r="U4134" s="6"/>
      <c r="V4134" s="5" t="s">
        <v>96</v>
      </c>
      <c r="W4134" s="12">
        <v>5038376</v>
      </c>
      <c r="X4134" s="6"/>
      <c r="Y4134" s="6"/>
    </row>
    <row r="4135" spans="1:25" ht="15" customHeight="1" x14ac:dyDescent="0.2">
      <c r="A4135" s="88" t="s">
        <v>4890</v>
      </c>
      <c r="B4135" s="90"/>
      <c r="C4135" s="88" t="s">
        <v>4983</v>
      </c>
      <c r="D4135" s="90"/>
      <c r="E4135" s="88" t="s">
        <v>4980</v>
      </c>
      <c r="F4135" s="89"/>
      <c r="G4135" s="89"/>
      <c r="H4135" s="89"/>
      <c r="I4135" s="90"/>
      <c r="J4135" s="88" t="s">
        <v>13</v>
      </c>
      <c r="K4135" s="89"/>
      <c r="L4135" s="89"/>
      <c r="M4135" s="90"/>
      <c r="N4135" s="88" t="s">
        <v>26</v>
      </c>
      <c r="O4135" s="89"/>
      <c r="P4135" s="90"/>
      <c r="Q4135" s="133">
        <v>1300</v>
      </c>
      <c r="R4135" s="134"/>
      <c r="S4135" s="5" t="s">
        <v>70</v>
      </c>
      <c r="T4135" s="6"/>
      <c r="U4135" s="6"/>
      <c r="V4135" s="5" t="s">
        <v>23</v>
      </c>
      <c r="W4135" s="12">
        <v>5269794</v>
      </c>
      <c r="X4135" s="6"/>
      <c r="Y4135" s="6"/>
    </row>
    <row r="4136" spans="1:25" ht="15" customHeight="1" x14ac:dyDescent="0.2">
      <c r="A4136" s="88" t="s">
        <v>4890</v>
      </c>
      <c r="B4136" s="90"/>
      <c r="C4136" s="88" t="s">
        <v>4984</v>
      </c>
      <c r="D4136" s="90"/>
      <c r="E4136" s="88" t="s">
        <v>4985</v>
      </c>
      <c r="F4136" s="89"/>
      <c r="G4136" s="89"/>
      <c r="H4136" s="89"/>
      <c r="I4136" s="90"/>
      <c r="J4136" s="88" t="s">
        <v>13</v>
      </c>
      <c r="K4136" s="89"/>
      <c r="L4136" s="89"/>
      <c r="M4136" s="90"/>
      <c r="N4136" s="88" t="s">
        <v>26</v>
      </c>
      <c r="O4136" s="89"/>
      <c r="P4136" s="90"/>
      <c r="Q4136" s="133">
        <v>1300</v>
      </c>
      <c r="R4136" s="134"/>
      <c r="S4136" s="5" t="s">
        <v>27</v>
      </c>
      <c r="T4136" s="6"/>
      <c r="U4136" s="6"/>
      <c r="V4136" s="5" t="s">
        <v>23</v>
      </c>
      <c r="W4136" s="12">
        <v>3827494</v>
      </c>
      <c r="X4136" s="6"/>
      <c r="Y4136" s="6"/>
    </row>
    <row r="4137" spans="1:25" ht="15" customHeight="1" x14ac:dyDescent="0.2">
      <c r="A4137" s="88" t="s">
        <v>4890</v>
      </c>
      <c r="B4137" s="90"/>
      <c r="C4137" s="88" t="s">
        <v>4986</v>
      </c>
      <c r="D4137" s="90"/>
      <c r="E4137" s="88" t="s">
        <v>4987</v>
      </c>
      <c r="F4137" s="89"/>
      <c r="G4137" s="89"/>
      <c r="H4137" s="89"/>
      <c r="I4137" s="90"/>
      <c r="J4137" s="88" t="s">
        <v>13</v>
      </c>
      <c r="K4137" s="89"/>
      <c r="L4137" s="89"/>
      <c r="M4137" s="90"/>
      <c r="N4137" s="88" t="s">
        <v>26</v>
      </c>
      <c r="O4137" s="89"/>
      <c r="P4137" s="90"/>
      <c r="Q4137" s="133">
        <v>1500</v>
      </c>
      <c r="R4137" s="134"/>
      <c r="S4137" s="5" t="s">
        <v>70</v>
      </c>
      <c r="T4137" s="6"/>
      <c r="U4137" s="6"/>
      <c r="V4137" s="5" t="s">
        <v>106</v>
      </c>
      <c r="W4137" s="12">
        <v>5633755</v>
      </c>
      <c r="X4137" s="6"/>
      <c r="Y4137" s="6"/>
    </row>
    <row r="4138" spans="1:25" ht="15" customHeight="1" x14ac:dyDescent="0.2">
      <c r="A4138" s="88" t="s">
        <v>4890</v>
      </c>
      <c r="B4138" s="90"/>
      <c r="C4138" s="88" t="s">
        <v>4988</v>
      </c>
      <c r="D4138" s="90"/>
      <c r="E4138" s="88" t="s">
        <v>4989</v>
      </c>
      <c r="F4138" s="89"/>
      <c r="G4138" s="89"/>
      <c r="H4138" s="89"/>
      <c r="I4138" s="90"/>
      <c r="J4138" s="88" t="s">
        <v>13</v>
      </c>
      <c r="K4138" s="89"/>
      <c r="L4138" s="89"/>
      <c r="M4138" s="90"/>
      <c r="N4138" s="88" t="s">
        <v>26</v>
      </c>
      <c r="O4138" s="89"/>
      <c r="P4138" s="90"/>
      <c r="Q4138" s="133">
        <v>1500</v>
      </c>
      <c r="R4138" s="134"/>
      <c r="S4138" s="5" t="s">
        <v>70</v>
      </c>
      <c r="T4138" s="6"/>
      <c r="U4138" s="6"/>
      <c r="V4138" s="5" t="s">
        <v>106</v>
      </c>
      <c r="W4138" s="12">
        <v>6047250</v>
      </c>
      <c r="X4138" s="6"/>
      <c r="Y4138" s="6"/>
    </row>
    <row r="4139" spans="1:25" ht="15" customHeight="1" x14ac:dyDescent="0.2">
      <c r="A4139" s="88" t="s">
        <v>4890</v>
      </c>
      <c r="B4139" s="90"/>
      <c r="C4139" s="88" t="s">
        <v>4990</v>
      </c>
      <c r="D4139" s="90"/>
      <c r="E4139" s="88" t="s">
        <v>4991</v>
      </c>
      <c r="F4139" s="89"/>
      <c r="G4139" s="89"/>
      <c r="H4139" s="89"/>
      <c r="I4139" s="90"/>
      <c r="J4139" s="88" t="s">
        <v>13</v>
      </c>
      <c r="K4139" s="89"/>
      <c r="L4139" s="89"/>
      <c r="M4139" s="90"/>
      <c r="N4139" s="88" t="s">
        <v>26</v>
      </c>
      <c r="O4139" s="89"/>
      <c r="P4139" s="90"/>
      <c r="Q4139" s="133">
        <v>1600</v>
      </c>
      <c r="R4139" s="134"/>
      <c r="S4139" s="5" t="s">
        <v>27</v>
      </c>
      <c r="T4139" s="6"/>
      <c r="U4139" s="6"/>
      <c r="V4139" s="5" t="s">
        <v>23</v>
      </c>
      <c r="W4139" s="12">
        <v>2453849</v>
      </c>
      <c r="X4139" s="6"/>
      <c r="Y4139" s="6"/>
    </row>
    <row r="4140" spans="1:25" ht="15" customHeight="1" x14ac:dyDescent="0.2">
      <c r="A4140" s="88" t="s">
        <v>4890</v>
      </c>
      <c r="B4140" s="90"/>
      <c r="C4140" s="88" t="s">
        <v>4992</v>
      </c>
      <c r="D4140" s="90"/>
      <c r="E4140" s="88" t="s">
        <v>4993</v>
      </c>
      <c r="F4140" s="89"/>
      <c r="G4140" s="89"/>
      <c r="H4140" s="89"/>
      <c r="I4140" s="90"/>
      <c r="J4140" s="88" t="s">
        <v>13</v>
      </c>
      <c r="K4140" s="89"/>
      <c r="L4140" s="89"/>
      <c r="M4140" s="90"/>
      <c r="N4140" s="88" t="s">
        <v>26</v>
      </c>
      <c r="O4140" s="89"/>
      <c r="P4140" s="90"/>
      <c r="Q4140" s="133">
        <v>1600</v>
      </c>
      <c r="R4140" s="134"/>
      <c r="S4140" s="5" t="s">
        <v>27</v>
      </c>
      <c r="T4140" s="6"/>
      <c r="U4140" s="6"/>
      <c r="V4140" s="5" t="s">
        <v>23</v>
      </c>
      <c r="W4140" s="12">
        <v>3083934</v>
      </c>
      <c r="X4140" s="6"/>
      <c r="Y4140" s="6"/>
    </row>
    <row r="4141" spans="1:25" ht="15" customHeight="1" x14ac:dyDescent="0.2">
      <c r="A4141" s="88" t="s">
        <v>4890</v>
      </c>
      <c r="B4141" s="90"/>
      <c r="C4141" s="88" t="s">
        <v>4994</v>
      </c>
      <c r="D4141" s="90"/>
      <c r="E4141" s="88" t="s">
        <v>4995</v>
      </c>
      <c r="F4141" s="89"/>
      <c r="G4141" s="89"/>
      <c r="H4141" s="89"/>
      <c r="I4141" s="90"/>
      <c r="J4141" s="88" t="s">
        <v>13</v>
      </c>
      <c r="K4141" s="89"/>
      <c r="L4141" s="89"/>
      <c r="M4141" s="90"/>
      <c r="N4141" s="88" t="s">
        <v>26</v>
      </c>
      <c r="O4141" s="89"/>
      <c r="P4141" s="90"/>
      <c r="Q4141" s="133">
        <v>1600</v>
      </c>
      <c r="R4141" s="134"/>
      <c r="S4141" s="5" t="s">
        <v>27</v>
      </c>
      <c r="T4141" s="6"/>
      <c r="U4141" s="6"/>
      <c r="V4141" s="5" t="s">
        <v>23</v>
      </c>
      <c r="W4141" s="12">
        <v>3385361</v>
      </c>
      <c r="X4141" s="6"/>
      <c r="Y4141" s="6"/>
    </row>
    <row r="4142" spans="1:25" ht="15" customHeight="1" x14ac:dyDescent="0.2">
      <c r="A4142" s="88" t="s">
        <v>4890</v>
      </c>
      <c r="B4142" s="90"/>
      <c r="C4142" s="88" t="s">
        <v>4996</v>
      </c>
      <c r="D4142" s="90"/>
      <c r="E4142" s="88" t="s">
        <v>4997</v>
      </c>
      <c r="F4142" s="89"/>
      <c r="G4142" s="89"/>
      <c r="H4142" s="89"/>
      <c r="I4142" s="90"/>
      <c r="J4142" s="88" t="s">
        <v>13</v>
      </c>
      <c r="K4142" s="89"/>
      <c r="L4142" s="89"/>
      <c r="M4142" s="90"/>
      <c r="N4142" s="88" t="s">
        <v>26</v>
      </c>
      <c r="O4142" s="89"/>
      <c r="P4142" s="90"/>
      <c r="Q4142" s="133">
        <v>1600</v>
      </c>
      <c r="R4142" s="134"/>
      <c r="S4142" s="5" t="s">
        <v>27</v>
      </c>
      <c r="T4142" s="6"/>
      <c r="U4142" s="6"/>
      <c r="V4142" s="5" t="s">
        <v>96</v>
      </c>
      <c r="W4142" s="12">
        <v>5148122</v>
      </c>
      <c r="X4142" s="6"/>
      <c r="Y4142" s="6"/>
    </row>
    <row r="4143" spans="1:25" ht="15" customHeight="1" x14ac:dyDescent="0.2">
      <c r="A4143" s="88" t="s">
        <v>4890</v>
      </c>
      <c r="B4143" s="90"/>
      <c r="C4143" s="88" t="s">
        <v>4998</v>
      </c>
      <c r="D4143" s="90"/>
      <c r="E4143" s="88" t="s">
        <v>4997</v>
      </c>
      <c r="F4143" s="89"/>
      <c r="G4143" s="89"/>
      <c r="H4143" s="89"/>
      <c r="I4143" s="90"/>
      <c r="J4143" s="88" t="s">
        <v>13</v>
      </c>
      <c r="K4143" s="89"/>
      <c r="L4143" s="89"/>
      <c r="M4143" s="90"/>
      <c r="N4143" s="88" t="s">
        <v>26</v>
      </c>
      <c r="O4143" s="89"/>
      <c r="P4143" s="90"/>
      <c r="Q4143" s="133">
        <v>1600</v>
      </c>
      <c r="R4143" s="134"/>
      <c r="S4143" s="5" t="s">
        <v>27</v>
      </c>
      <c r="T4143" s="6"/>
      <c r="U4143" s="6"/>
      <c r="V4143" s="5" t="s">
        <v>96</v>
      </c>
      <c r="W4143" s="12">
        <v>4516770</v>
      </c>
      <c r="X4143" s="6"/>
      <c r="Y4143" s="6"/>
    </row>
    <row r="4144" spans="1:25" ht="15" customHeight="1" x14ac:dyDescent="0.2">
      <c r="A4144" s="88" t="s">
        <v>4890</v>
      </c>
      <c r="B4144" s="90"/>
      <c r="C4144" s="88" t="s">
        <v>4999</v>
      </c>
      <c r="D4144" s="90"/>
      <c r="E4144" s="88" t="s">
        <v>5000</v>
      </c>
      <c r="F4144" s="89"/>
      <c r="G4144" s="89"/>
      <c r="H4144" s="89"/>
      <c r="I4144" s="90"/>
      <c r="J4144" s="88" t="s">
        <v>13</v>
      </c>
      <c r="K4144" s="89"/>
      <c r="L4144" s="89"/>
      <c r="M4144" s="90"/>
      <c r="N4144" s="88" t="s">
        <v>26</v>
      </c>
      <c r="O4144" s="89"/>
      <c r="P4144" s="90"/>
      <c r="Q4144" s="133">
        <v>1600</v>
      </c>
      <c r="R4144" s="134"/>
      <c r="S4144" s="5" t="s">
        <v>27</v>
      </c>
      <c r="T4144" s="6"/>
      <c r="U4144" s="6"/>
      <c r="V4144" s="5" t="s">
        <v>96</v>
      </c>
      <c r="W4144" s="12">
        <v>4610069</v>
      </c>
      <c r="X4144" s="6"/>
      <c r="Y4144" s="6"/>
    </row>
    <row r="4145" spans="1:25" ht="15" customHeight="1" x14ac:dyDescent="0.2">
      <c r="A4145" s="88" t="s">
        <v>4890</v>
      </c>
      <c r="B4145" s="90"/>
      <c r="C4145" s="88" t="s">
        <v>5001</v>
      </c>
      <c r="D4145" s="90"/>
      <c r="E4145" s="88" t="s">
        <v>5002</v>
      </c>
      <c r="F4145" s="89"/>
      <c r="G4145" s="89"/>
      <c r="H4145" s="89"/>
      <c r="I4145" s="90"/>
      <c r="J4145" s="88" t="s">
        <v>13</v>
      </c>
      <c r="K4145" s="89"/>
      <c r="L4145" s="89"/>
      <c r="M4145" s="90"/>
      <c r="N4145" s="88" t="s">
        <v>26</v>
      </c>
      <c r="O4145" s="89"/>
      <c r="P4145" s="90"/>
      <c r="Q4145" s="133">
        <v>1600</v>
      </c>
      <c r="R4145" s="134"/>
      <c r="S4145" s="5" t="s">
        <v>27</v>
      </c>
      <c r="T4145" s="6"/>
      <c r="U4145" s="6"/>
      <c r="V4145" s="5" t="s">
        <v>96</v>
      </c>
      <c r="W4145" s="12">
        <v>5001629</v>
      </c>
      <c r="X4145" s="6"/>
      <c r="Y4145" s="6"/>
    </row>
    <row r="4146" spans="1:25" ht="15" customHeight="1" x14ac:dyDescent="0.2">
      <c r="A4146" s="88" t="s">
        <v>4890</v>
      </c>
      <c r="B4146" s="90"/>
      <c r="C4146" s="88" t="s">
        <v>5003</v>
      </c>
      <c r="D4146" s="90"/>
      <c r="E4146" s="88" t="s">
        <v>5002</v>
      </c>
      <c r="F4146" s="89"/>
      <c r="G4146" s="89"/>
      <c r="H4146" s="89"/>
      <c r="I4146" s="90"/>
      <c r="J4146" s="88" t="s">
        <v>13</v>
      </c>
      <c r="K4146" s="89"/>
      <c r="L4146" s="89"/>
      <c r="M4146" s="90"/>
      <c r="N4146" s="88" t="s">
        <v>26</v>
      </c>
      <c r="O4146" s="89"/>
      <c r="P4146" s="90"/>
      <c r="Q4146" s="133">
        <v>1600</v>
      </c>
      <c r="R4146" s="134"/>
      <c r="S4146" s="5" t="s">
        <v>27</v>
      </c>
      <c r="T4146" s="6"/>
      <c r="U4146" s="6"/>
      <c r="V4146" s="5" t="s">
        <v>96</v>
      </c>
      <c r="W4146" s="12">
        <v>5641424</v>
      </c>
      <c r="X4146" s="6"/>
      <c r="Y4146" s="6"/>
    </row>
    <row r="4147" spans="1:25" ht="15" customHeight="1" x14ac:dyDescent="0.2">
      <c r="A4147" s="88" t="s">
        <v>4890</v>
      </c>
      <c r="B4147" s="90"/>
      <c r="C4147" s="88" t="s">
        <v>5004</v>
      </c>
      <c r="D4147" s="90"/>
      <c r="E4147" s="88" t="s">
        <v>5000</v>
      </c>
      <c r="F4147" s="89"/>
      <c r="G4147" s="89"/>
      <c r="H4147" s="89"/>
      <c r="I4147" s="90"/>
      <c r="J4147" s="88" t="s">
        <v>13</v>
      </c>
      <c r="K4147" s="89"/>
      <c r="L4147" s="89"/>
      <c r="M4147" s="90"/>
      <c r="N4147" s="88" t="s">
        <v>26</v>
      </c>
      <c r="O4147" s="89"/>
      <c r="P4147" s="90"/>
      <c r="Q4147" s="133">
        <v>1600</v>
      </c>
      <c r="R4147" s="134"/>
      <c r="S4147" s="5" t="s">
        <v>27</v>
      </c>
      <c r="T4147" s="6"/>
      <c r="U4147" s="6"/>
      <c r="V4147" s="5" t="s">
        <v>96</v>
      </c>
      <c r="W4147" s="12">
        <v>3739771</v>
      </c>
      <c r="X4147" s="6"/>
      <c r="Y4147" s="6"/>
    </row>
    <row r="4148" spans="1:25" ht="15" customHeight="1" x14ac:dyDescent="0.2">
      <c r="A4148" s="88" t="s">
        <v>4890</v>
      </c>
      <c r="B4148" s="90"/>
      <c r="C4148" s="88" t="s">
        <v>5005</v>
      </c>
      <c r="D4148" s="90"/>
      <c r="E4148" s="88" t="s">
        <v>5006</v>
      </c>
      <c r="F4148" s="89"/>
      <c r="G4148" s="89"/>
      <c r="H4148" s="89"/>
      <c r="I4148" s="90"/>
      <c r="J4148" s="88" t="s">
        <v>13</v>
      </c>
      <c r="K4148" s="89"/>
      <c r="L4148" s="89"/>
      <c r="M4148" s="90"/>
      <c r="N4148" s="88" t="s">
        <v>26</v>
      </c>
      <c r="O4148" s="89"/>
      <c r="P4148" s="90"/>
      <c r="Q4148" s="133">
        <v>1600</v>
      </c>
      <c r="R4148" s="134"/>
      <c r="S4148" s="5" t="s">
        <v>27</v>
      </c>
      <c r="T4148" s="6"/>
      <c r="U4148" s="6"/>
      <c r="V4148" s="5" t="s">
        <v>23</v>
      </c>
      <c r="W4148" s="12">
        <v>2039702</v>
      </c>
      <c r="X4148" s="6"/>
      <c r="Y4148" s="6"/>
    </row>
    <row r="4149" spans="1:25" ht="15" customHeight="1" x14ac:dyDescent="0.2">
      <c r="A4149" s="88" t="s">
        <v>4890</v>
      </c>
      <c r="B4149" s="90"/>
      <c r="C4149" s="88" t="s">
        <v>5007</v>
      </c>
      <c r="D4149" s="90"/>
      <c r="E4149" s="88" t="s">
        <v>5002</v>
      </c>
      <c r="F4149" s="89"/>
      <c r="G4149" s="89"/>
      <c r="H4149" s="89"/>
      <c r="I4149" s="90"/>
      <c r="J4149" s="88" t="s">
        <v>13</v>
      </c>
      <c r="K4149" s="89"/>
      <c r="L4149" s="89"/>
      <c r="M4149" s="90"/>
      <c r="N4149" s="88" t="s">
        <v>26</v>
      </c>
      <c r="O4149" s="89"/>
      <c r="P4149" s="90"/>
      <c r="Q4149" s="133">
        <v>1600</v>
      </c>
      <c r="R4149" s="134"/>
      <c r="S4149" s="5" t="s">
        <v>27</v>
      </c>
      <c r="T4149" s="6"/>
      <c r="U4149" s="6"/>
      <c r="V4149" s="5" t="s">
        <v>96</v>
      </c>
      <c r="W4149" s="12">
        <v>5385169</v>
      </c>
      <c r="X4149" s="6"/>
      <c r="Y4149" s="6"/>
    </row>
    <row r="4150" spans="1:25" ht="15" customHeight="1" x14ac:dyDescent="0.2">
      <c r="A4150" s="88" t="s">
        <v>4890</v>
      </c>
      <c r="B4150" s="90"/>
      <c r="C4150" s="88" t="s">
        <v>5008</v>
      </c>
      <c r="D4150" s="90"/>
      <c r="E4150" s="88" t="s">
        <v>5009</v>
      </c>
      <c r="F4150" s="89"/>
      <c r="G4150" s="89"/>
      <c r="H4150" s="89"/>
      <c r="I4150" s="90"/>
      <c r="J4150" s="88" t="s">
        <v>13</v>
      </c>
      <c r="K4150" s="89"/>
      <c r="L4150" s="89"/>
      <c r="M4150" s="90"/>
      <c r="N4150" s="88" t="s">
        <v>26</v>
      </c>
      <c r="O4150" s="89"/>
      <c r="P4150" s="90"/>
      <c r="Q4150" s="133">
        <v>1800</v>
      </c>
      <c r="R4150" s="134"/>
      <c r="S4150" s="5" t="s">
        <v>27</v>
      </c>
      <c r="T4150" s="6"/>
      <c r="U4150" s="6"/>
      <c r="V4150" s="5" t="s">
        <v>23</v>
      </c>
      <c r="W4150" s="12">
        <v>6366708</v>
      </c>
      <c r="X4150" s="6"/>
      <c r="Y4150" s="6"/>
    </row>
    <row r="4151" spans="1:25" ht="15" customHeight="1" x14ac:dyDescent="0.2">
      <c r="A4151" s="88" t="s">
        <v>4890</v>
      </c>
      <c r="B4151" s="90"/>
      <c r="C4151" s="88" t="s">
        <v>5010</v>
      </c>
      <c r="D4151" s="90"/>
      <c r="E4151" s="88" t="s">
        <v>5011</v>
      </c>
      <c r="F4151" s="89"/>
      <c r="G4151" s="89"/>
      <c r="H4151" s="89"/>
      <c r="I4151" s="90"/>
      <c r="J4151" s="88" t="s">
        <v>13</v>
      </c>
      <c r="K4151" s="89"/>
      <c r="L4151" s="89"/>
      <c r="M4151" s="90"/>
      <c r="N4151" s="88" t="s">
        <v>26</v>
      </c>
      <c r="O4151" s="89"/>
      <c r="P4151" s="90"/>
      <c r="Q4151" s="133">
        <v>1800</v>
      </c>
      <c r="R4151" s="134"/>
      <c r="S4151" s="5" t="s">
        <v>27</v>
      </c>
      <c r="T4151" s="6"/>
      <c r="U4151" s="6"/>
      <c r="V4151" s="5" t="s">
        <v>23</v>
      </c>
      <c r="W4151" s="12">
        <v>9675235</v>
      </c>
      <c r="X4151" s="6"/>
      <c r="Y4151" s="6"/>
    </row>
    <row r="4152" spans="1:25" ht="15" customHeight="1" x14ac:dyDescent="0.2">
      <c r="A4152" s="88" t="s">
        <v>5012</v>
      </c>
      <c r="B4152" s="90"/>
      <c r="C4152" s="88" t="s">
        <v>5013</v>
      </c>
      <c r="D4152" s="90"/>
      <c r="E4152" s="106"/>
      <c r="F4152" s="107"/>
      <c r="G4152" s="107"/>
      <c r="H4152" s="107"/>
      <c r="I4152" s="108"/>
      <c r="J4152" s="88" t="s">
        <v>5014</v>
      </c>
      <c r="K4152" s="89"/>
      <c r="L4152" s="89"/>
      <c r="M4152" s="90"/>
      <c r="N4152" s="88" t="s">
        <v>1231</v>
      </c>
      <c r="O4152" s="89"/>
      <c r="P4152" s="90"/>
      <c r="Q4152" s="133">
        <v>2000</v>
      </c>
      <c r="R4152" s="134"/>
      <c r="S4152" s="5" t="s">
        <v>713</v>
      </c>
      <c r="T4152" s="7">
        <v>2200</v>
      </c>
      <c r="U4152" s="5" t="s">
        <v>5015</v>
      </c>
      <c r="V4152" s="5" t="s">
        <v>5016</v>
      </c>
      <c r="W4152" s="12">
        <v>9709853</v>
      </c>
      <c r="X4152" s="6"/>
      <c r="Y4152" s="6"/>
    </row>
    <row r="4153" spans="1:25" ht="15" customHeight="1" x14ac:dyDescent="0.2">
      <c r="A4153" s="88" t="s">
        <v>5012</v>
      </c>
      <c r="B4153" s="90"/>
      <c r="C4153" s="88" t="s">
        <v>5017</v>
      </c>
      <c r="D4153" s="90"/>
      <c r="E4153" s="106"/>
      <c r="F4153" s="107"/>
      <c r="G4153" s="107"/>
      <c r="H4153" s="107"/>
      <c r="I4153" s="108"/>
      <c r="J4153" s="88" t="s">
        <v>5018</v>
      </c>
      <c r="K4153" s="89"/>
      <c r="L4153" s="89"/>
      <c r="M4153" s="90"/>
      <c r="N4153" s="88" t="s">
        <v>725</v>
      </c>
      <c r="O4153" s="89"/>
      <c r="P4153" s="90"/>
      <c r="Q4153" s="88" t="s">
        <v>5019</v>
      </c>
      <c r="R4153" s="90"/>
      <c r="S4153" s="5" t="s">
        <v>5020</v>
      </c>
      <c r="T4153" s="7">
        <v>1800</v>
      </c>
      <c r="U4153" s="8">
        <v>2</v>
      </c>
      <c r="V4153" s="5" t="s">
        <v>17</v>
      </c>
      <c r="W4153" s="12">
        <v>12665025</v>
      </c>
      <c r="X4153" s="6"/>
      <c r="Y4153" s="6"/>
    </row>
    <row r="4154" spans="1:25" ht="15" customHeight="1" x14ac:dyDescent="0.2">
      <c r="A4154" s="88" t="s">
        <v>5012</v>
      </c>
      <c r="B4154" s="90"/>
      <c r="C4154" s="88" t="s">
        <v>5021</v>
      </c>
      <c r="D4154" s="90"/>
      <c r="E4154" s="106"/>
      <c r="F4154" s="107"/>
      <c r="G4154" s="107"/>
      <c r="H4154" s="107"/>
      <c r="I4154" s="108"/>
      <c r="J4154" s="88" t="s">
        <v>5018</v>
      </c>
      <c r="K4154" s="89"/>
      <c r="L4154" s="89"/>
      <c r="M4154" s="90"/>
      <c r="N4154" s="88" t="s">
        <v>701</v>
      </c>
      <c r="O4154" s="89"/>
      <c r="P4154" s="90"/>
      <c r="Q4154" s="133">
        <v>1500</v>
      </c>
      <c r="R4154" s="134"/>
      <c r="S4154" s="5" t="s">
        <v>16</v>
      </c>
      <c r="T4154" s="7">
        <v>1700</v>
      </c>
      <c r="U4154" s="8">
        <v>5</v>
      </c>
      <c r="V4154" s="5" t="s">
        <v>702</v>
      </c>
      <c r="W4154" s="12">
        <v>10642139</v>
      </c>
      <c r="X4154" s="6"/>
      <c r="Y4154" s="6"/>
    </row>
    <row r="4155" spans="1:25" ht="15" customHeight="1" x14ac:dyDescent="0.2">
      <c r="A4155" s="88" t="s">
        <v>5012</v>
      </c>
      <c r="B4155" s="90"/>
      <c r="C4155" s="88" t="s">
        <v>5022</v>
      </c>
      <c r="D4155" s="90"/>
      <c r="E4155" s="106"/>
      <c r="F4155" s="107"/>
      <c r="G4155" s="107"/>
      <c r="H4155" s="107"/>
      <c r="I4155" s="108"/>
      <c r="J4155" s="88" t="s">
        <v>5023</v>
      </c>
      <c r="K4155" s="89"/>
      <c r="L4155" s="89"/>
      <c r="M4155" s="90"/>
      <c r="N4155" s="88" t="s">
        <v>14</v>
      </c>
      <c r="O4155" s="89"/>
      <c r="P4155" s="90"/>
      <c r="Q4155" s="133">
        <v>1500</v>
      </c>
      <c r="R4155" s="134"/>
      <c r="S4155" s="5" t="s">
        <v>27</v>
      </c>
      <c r="T4155" s="7">
        <v>1200</v>
      </c>
      <c r="U4155" s="8">
        <v>5</v>
      </c>
      <c r="V4155" s="5" t="s">
        <v>702</v>
      </c>
      <c r="W4155" s="12">
        <v>3265202</v>
      </c>
      <c r="X4155" s="6"/>
      <c r="Y4155" s="6"/>
    </row>
    <row r="4156" spans="1:25" ht="15" customHeight="1" x14ac:dyDescent="0.2">
      <c r="A4156" s="88" t="s">
        <v>5012</v>
      </c>
      <c r="B4156" s="90"/>
      <c r="C4156" s="88" t="s">
        <v>5024</v>
      </c>
      <c r="D4156" s="90"/>
      <c r="E4156" s="106"/>
      <c r="F4156" s="107"/>
      <c r="G4156" s="107"/>
      <c r="H4156" s="107"/>
      <c r="I4156" s="108"/>
      <c r="J4156" s="88" t="s">
        <v>5018</v>
      </c>
      <c r="K4156" s="89"/>
      <c r="L4156" s="89"/>
      <c r="M4156" s="90"/>
      <c r="N4156" s="88" t="s">
        <v>725</v>
      </c>
      <c r="O4156" s="89"/>
      <c r="P4156" s="90"/>
      <c r="Q4156" s="88" t="s">
        <v>5025</v>
      </c>
      <c r="R4156" s="90"/>
      <c r="S4156" s="5" t="s">
        <v>27</v>
      </c>
      <c r="T4156" s="7">
        <v>1600</v>
      </c>
      <c r="U4156" s="8">
        <v>5</v>
      </c>
      <c r="V4156" s="5" t="s">
        <v>17</v>
      </c>
      <c r="W4156" s="12">
        <v>10554188</v>
      </c>
      <c r="X4156" s="6"/>
      <c r="Y4156" s="6"/>
    </row>
    <row r="4157" spans="1:25" ht="15" customHeight="1" x14ac:dyDescent="0.2">
      <c r="A4157" s="88" t="s">
        <v>5012</v>
      </c>
      <c r="B4157" s="90"/>
      <c r="C4157" s="88" t="s">
        <v>5026</v>
      </c>
      <c r="D4157" s="90"/>
      <c r="E4157" s="106"/>
      <c r="F4157" s="107"/>
      <c r="G4157" s="107"/>
      <c r="H4157" s="107"/>
      <c r="I4157" s="108"/>
      <c r="J4157" s="88" t="s">
        <v>5018</v>
      </c>
      <c r="K4157" s="89"/>
      <c r="L4157" s="89"/>
      <c r="M4157" s="90"/>
      <c r="N4157" s="88" t="s">
        <v>14</v>
      </c>
      <c r="O4157" s="89"/>
      <c r="P4157" s="90"/>
      <c r="Q4157" s="88" t="s">
        <v>5027</v>
      </c>
      <c r="R4157" s="90"/>
      <c r="S4157" s="5" t="s">
        <v>16</v>
      </c>
      <c r="T4157" s="7">
        <v>1500</v>
      </c>
      <c r="U4157" s="8">
        <v>5</v>
      </c>
      <c r="V4157" s="5" t="s">
        <v>17</v>
      </c>
      <c r="W4157" s="12">
        <v>13134100</v>
      </c>
      <c r="X4157" s="6"/>
      <c r="Y4157" s="6"/>
    </row>
    <row r="4158" spans="1:25" ht="15" customHeight="1" x14ac:dyDescent="0.2">
      <c r="A4158" s="88" t="s">
        <v>5012</v>
      </c>
      <c r="B4158" s="90"/>
      <c r="C4158" s="88" t="s">
        <v>5028</v>
      </c>
      <c r="D4158" s="90"/>
      <c r="E4158" s="106"/>
      <c r="F4158" s="107"/>
      <c r="G4158" s="107"/>
      <c r="H4158" s="107"/>
      <c r="I4158" s="108"/>
      <c r="J4158" s="88" t="s">
        <v>5018</v>
      </c>
      <c r="K4158" s="89"/>
      <c r="L4158" s="89"/>
      <c r="M4158" s="90"/>
      <c r="N4158" s="88" t="s">
        <v>1231</v>
      </c>
      <c r="O4158" s="89"/>
      <c r="P4158" s="90"/>
      <c r="Q4158" s="88" t="s">
        <v>5029</v>
      </c>
      <c r="R4158" s="90"/>
      <c r="S4158" s="5" t="s">
        <v>44</v>
      </c>
      <c r="T4158" s="7">
        <v>1700</v>
      </c>
      <c r="U4158" s="8">
        <v>5</v>
      </c>
      <c r="V4158" s="5" t="s">
        <v>17</v>
      </c>
      <c r="W4158" s="12">
        <v>8443350</v>
      </c>
      <c r="X4158" s="6"/>
      <c r="Y4158" s="6"/>
    </row>
    <row r="4159" spans="1:25" ht="15" customHeight="1" x14ac:dyDescent="0.2">
      <c r="A4159" s="88" t="s">
        <v>5012</v>
      </c>
      <c r="B4159" s="90"/>
      <c r="C4159" s="88" t="s">
        <v>5030</v>
      </c>
      <c r="D4159" s="90"/>
      <c r="E4159" s="106"/>
      <c r="F4159" s="107"/>
      <c r="G4159" s="107"/>
      <c r="H4159" s="107"/>
      <c r="I4159" s="108"/>
      <c r="J4159" s="88" t="s">
        <v>5018</v>
      </c>
      <c r="K4159" s="89"/>
      <c r="L4159" s="89"/>
      <c r="M4159" s="90"/>
      <c r="N4159" s="88" t="s">
        <v>14</v>
      </c>
      <c r="O4159" s="89"/>
      <c r="P4159" s="90"/>
      <c r="Q4159" s="133">
        <v>1500</v>
      </c>
      <c r="R4159" s="134"/>
      <c r="S4159" s="5" t="s">
        <v>44</v>
      </c>
      <c r="T4159" s="7">
        <v>1500</v>
      </c>
      <c r="U4159" s="8">
        <v>5</v>
      </c>
      <c r="V4159" s="5" t="s">
        <v>702</v>
      </c>
      <c r="W4159" s="12">
        <v>7739738</v>
      </c>
      <c r="X4159" s="6"/>
      <c r="Y4159" s="6"/>
    </row>
    <row r="4160" spans="1:25" ht="15" customHeight="1" x14ac:dyDescent="0.2">
      <c r="A4160" s="88" t="s">
        <v>5012</v>
      </c>
      <c r="B4160" s="90"/>
      <c r="C4160" s="88" t="s">
        <v>5031</v>
      </c>
      <c r="D4160" s="90"/>
      <c r="E4160" s="106"/>
      <c r="F4160" s="107"/>
      <c r="G4160" s="107"/>
      <c r="H4160" s="107"/>
      <c r="I4160" s="108"/>
      <c r="J4160" s="88" t="s">
        <v>5018</v>
      </c>
      <c r="K4160" s="89"/>
      <c r="L4160" s="89"/>
      <c r="M4160" s="90"/>
      <c r="N4160" s="88" t="s">
        <v>701</v>
      </c>
      <c r="O4160" s="89"/>
      <c r="P4160" s="90"/>
      <c r="Q4160" s="133">
        <v>2000</v>
      </c>
      <c r="R4160" s="134"/>
      <c r="S4160" s="5" t="s">
        <v>16</v>
      </c>
      <c r="T4160" s="7">
        <v>1800</v>
      </c>
      <c r="U4160" s="8">
        <v>7</v>
      </c>
      <c r="V4160" s="5" t="s">
        <v>702</v>
      </c>
      <c r="W4160" s="12">
        <v>11257800</v>
      </c>
      <c r="X4160" s="6"/>
      <c r="Y4160" s="6"/>
    </row>
    <row r="4161" spans="1:25" ht="15" customHeight="1" x14ac:dyDescent="0.2">
      <c r="A4161" s="88" t="s">
        <v>5032</v>
      </c>
      <c r="B4161" s="90"/>
      <c r="C4161" s="88" t="s">
        <v>5033</v>
      </c>
      <c r="D4161" s="90"/>
      <c r="E4161" s="88" t="s">
        <v>5034</v>
      </c>
      <c r="F4161" s="89"/>
      <c r="G4161" s="89"/>
      <c r="H4161" s="89"/>
      <c r="I4161" s="90"/>
      <c r="J4161" s="88" t="s">
        <v>13</v>
      </c>
      <c r="K4161" s="89"/>
      <c r="L4161" s="89"/>
      <c r="M4161" s="90"/>
      <c r="N4161" s="88" t="s">
        <v>2362</v>
      </c>
      <c r="O4161" s="89"/>
      <c r="P4161" s="90"/>
      <c r="Q4161" s="133">
        <v>13000</v>
      </c>
      <c r="R4161" s="134"/>
      <c r="S4161" s="5" t="s">
        <v>945</v>
      </c>
      <c r="T4161" s="6"/>
      <c r="U4161" s="8">
        <v>2</v>
      </c>
      <c r="V4161" s="5" t="s">
        <v>106</v>
      </c>
      <c r="W4161" s="12">
        <v>8707205</v>
      </c>
      <c r="X4161" s="6"/>
      <c r="Y4161" s="6"/>
    </row>
    <row r="4162" spans="1:25" ht="15" customHeight="1" x14ac:dyDescent="0.2">
      <c r="A4162" s="88" t="s">
        <v>5032</v>
      </c>
      <c r="B4162" s="90"/>
      <c r="C4162" s="88" t="s">
        <v>5035</v>
      </c>
      <c r="D4162" s="90"/>
      <c r="E4162" s="88" t="s">
        <v>5036</v>
      </c>
      <c r="F4162" s="89"/>
      <c r="G4162" s="89"/>
      <c r="H4162" s="89"/>
      <c r="I4162" s="90"/>
      <c r="J4162" s="88" t="s">
        <v>13</v>
      </c>
      <c r="K4162" s="89"/>
      <c r="L4162" s="89"/>
      <c r="M4162" s="90"/>
      <c r="N4162" s="88" t="s">
        <v>2364</v>
      </c>
      <c r="O4162" s="89"/>
      <c r="P4162" s="90"/>
      <c r="Q4162" s="133">
        <v>13000</v>
      </c>
      <c r="R4162" s="134"/>
      <c r="S4162" s="5" t="s">
        <v>945</v>
      </c>
      <c r="T4162" s="6"/>
      <c r="U4162" s="8">
        <v>2</v>
      </c>
      <c r="V4162" s="5" t="s">
        <v>106</v>
      </c>
      <c r="W4162" s="12">
        <v>9023830</v>
      </c>
      <c r="X4162" s="6"/>
      <c r="Y4162" s="6"/>
    </row>
    <row r="4163" spans="1:25" ht="15" customHeight="1" x14ac:dyDescent="0.2">
      <c r="A4163" s="88" t="s">
        <v>5032</v>
      </c>
      <c r="B4163" s="90"/>
      <c r="C4163" s="88" t="s">
        <v>5037</v>
      </c>
      <c r="D4163" s="90"/>
      <c r="E4163" s="88" t="s">
        <v>5038</v>
      </c>
      <c r="F4163" s="89"/>
      <c r="G4163" s="89"/>
      <c r="H4163" s="89"/>
      <c r="I4163" s="90"/>
      <c r="J4163" s="88" t="s">
        <v>599</v>
      </c>
      <c r="K4163" s="89"/>
      <c r="L4163" s="89"/>
      <c r="M4163" s="90"/>
      <c r="N4163" s="88" t="s">
        <v>2364</v>
      </c>
      <c r="O4163" s="89"/>
      <c r="P4163" s="90"/>
      <c r="Q4163" s="133">
        <v>12700</v>
      </c>
      <c r="R4163" s="134"/>
      <c r="S4163" s="5" t="s">
        <v>945</v>
      </c>
      <c r="T4163" s="7">
        <v>23800</v>
      </c>
      <c r="U4163" s="8">
        <v>2</v>
      </c>
      <c r="V4163" s="5" t="s">
        <v>106</v>
      </c>
      <c r="W4163" s="12">
        <v>7124077</v>
      </c>
      <c r="X4163" s="6"/>
      <c r="Y4163" s="6"/>
    </row>
    <row r="4164" spans="1:25" ht="15" customHeight="1" x14ac:dyDescent="0.2">
      <c r="A4164" s="88" t="s">
        <v>5032</v>
      </c>
      <c r="B4164" s="90"/>
      <c r="C4164" s="88" t="s">
        <v>5039</v>
      </c>
      <c r="D4164" s="90"/>
      <c r="E4164" s="88" t="s">
        <v>5040</v>
      </c>
      <c r="F4164" s="89"/>
      <c r="G4164" s="89"/>
      <c r="H4164" s="89"/>
      <c r="I4164" s="90"/>
      <c r="J4164" s="88" t="s">
        <v>13</v>
      </c>
      <c r="K4164" s="89"/>
      <c r="L4164" s="89"/>
      <c r="M4164" s="90"/>
      <c r="N4164" s="88" t="s">
        <v>2364</v>
      </c>
      <c r="O4164" s="89"/>
      <c r="P4164" s="90"/>
      <c r="Q4164" s="133">
        <v>13000</v>
      </c>
      <c r="R4164" s="134"/>
      <c r="S4164" s="5" t="s">
        <v>945</v>
      </c>
      <c r="T4164" s="6"/>
      <c r="U4164" s="8">
        <v>2</v>
      </c>
      <c r="V4164" s="5" t="s">
        <v>106</v>
      </c>
      <c r="W4164" s="12">
        <v>9182143</v>
      </c>
      <c r="X4164" s="6"/>
      <c r="Y4164" s="6"/>
    </row>
    <row r="4165" spans="1:25" ht="15" customHeight="1" x14ac:dyDescent="0.2">
      <c r="A4165" s="88" t="s">
        <v>5032</v>
      </c>
      <c r="B4165" s="90"/>
      <c r="C4165" s="88" t="s">
        <v>5041</v>
      </c>
      <c r="D4165" s="90"/>
      <c r="E4165" s="88" t="s">
        <v>5042</v>
      </c>
      <c r="F4165" s="89"/>
      <c r="G4165" s="89"/>
      <c r="H4165" s="89"/>
      <c r="I4165" s="90"/>
      <c r="J4165" s="88" t="s">
        <v>13</v>
      </c>
      <c r="K4165" s="89"/>
      <c r="L4165" s="89"/>
      <c r="M4165" s="90"/>
      <c r="N4165" s="88" t="s">
        <v>2364</v>
      </c>
      <c r="O4165" s="89"/>
      <c r="P4165" s="90"/>
      <c r="Q4165" s="133">
        <v>13000</v>
      </c>
      <c r="R4165" s="134"/>
      <c r="S4165" s="5" t="s">
        <v>945</v>
      </c>
      <c r="T4165" s="6"/>
      <c r="U4165" s="8">
        <v>2</v>
      </c>
      <c r="V4165" s="5" t="s">
        <v>106</v>
      </c>
      <c r="W4165" s="12">
        <v>9498769</v>
      </c>
      <c r="X4165" s="6"/>
      <c r="Y4165" s="6"/>
    </row>
    <row r="4166" spans="1:25" ht="15" customHeight="1" x14ac:dyDescent="0.2">
      <c r="A4166" s="88" t="s">
        <v>5032</v>
      </c>
      <c r="B4166" s="90"/>
      <c r="C4166" s="88" t="s">
        <v>5043</v>
      </c>
      <c r="D4166" s="90"/>
      <c r="E4166" s="88" t="s">
        <v>5044</v>
      </c>
      <c r="F4166" s="89"/>
      <c r="G4166" s="89"/>
      <c r="H4166" s="89"/>
      <c r="I4166" s="90"/>
      <c r="J4166" s="88" t="s">
        <v>13</v>
      </c>
      <c r="K4166" s="89"/>
      <c r="L4166" s="89"/>
      <c r="M4166" s="90"/>
      <c r="N4166" s="88" t="s">
        <v>2364</v>
      </c>
      <c r="O4166" s="89"/>
      <c r="P4166" s="90"/>
      <c r="Q4166" s="133">
        <v>13000</v>
      </c>
      <c r="R4166" s="134"/>
      <c r="S4166" s="5" t="s">
        <v>945</v>
      </c>
      <c r="T4166" s="6"/>
      <c r="U4166" s="8">
        <v>2</v>
      </c>
      <c r="V4166" s="5" t="s">
        <v>106</v>
      </c>
      <c r="W4166" s="12">
        <v>9498769</v>
      </c>
      <c r="X4166" s="6"/>
      <c r="Y4166" s="6"/>
    </row>
    <row r="4167" spans="1:25" ht="15" customHeight="1" x14ac:dyDescent="0.2">
      <c r="A4167" s="88" t="s">
        <v>5032</v>
      </c>
      <c r="B4167" s="90"/>
      <c r="C4167" s="88" t="s">
        <v>5045</v>
      </c>
      <c r="D4167" s="90"/>
      <c r="E4167" s="88" t="s">
        <v>5046</v>
      </c>
      <c r="F4167" s="89"/>
      <c r="G4167" s="89"/>
      <c r="H4167" s="89"/>
      <c r="I4167" s="90"/>
      <c r="J4167" s="88" t="s">
        <v>13</v>
      </c>
      <c r="K4167" s="89"/>
      <c r="L4167" s="89"/>
      <c r="M4167" s="90"/>
      <c r="N4167" s="88" t="s">
        <v>2364</v>
      </c>
      <c r="O4167" s="89"/>
      <c r="P4167" s="90"/>
      <c r="Q4167" s="133">
        <v>13000</v>
      </c>
      <c r="R4167" s="134"/>
      <c r="S4167" s="5" t="s">
        <v>945</v>
      </c>
      <c r="T4167" s="6"/>
      <c r="U4167" s="8">
        <v>2</v>
      </c>
      <c r="V4167" s="5" t="s">
        <v>106</v>
      </c>
      <c r="W4167" s="12">
        <v>9657082</v>
      </c>
      <c r="X4167" s="6"/>
      <c r="Y4167" s="6"/>
    </row>
    <row r="4168" spans="1:25" ht="15" customHeight="1" x14ac:dyDescent="0.2">
      <c r="A4168" s="88" t="s">
        <v>5032</v>
      </c>
      <c r="B4168" s="90"/>
      <c r="C4168" s="88" t="s">
        <v>5047</v>
      </c>
      <c r="D4168" s="90"/>
      <c r="E4168" s="88" t="s">
        <v>5048</v>
      </c>
      <c r="F4168" s="89"/>
      <c r="G4168" s="89"/>
      <c r="H4168" s="89"/>
      <c r="I4168" s="90"/>
      <c r="J4168" s="88" t="s">
        <v>13</v>
      </c>
      <c r="K4168" s="89"/>
      <c r="L4168" s="89"/>
      <c r="M4168" s="90"/>
      <c r="N4168" s="88" t="s">
        <v>2364</v>
      </c>
      <c r="O4168" s="89"/>
      <c r="P4168" s="90"/>
      <c r="Q4168" s="133">
        <v>13000</v>
      </c>
      <c r="R4168" s="134"/>
      <c r="S4168" s="5" t="s">
        <v>945</v>
      </c>
      <c r="T4168" s="6"/>
      <c r="U4168" s="8">
        <v>2</v>
      </c>
      <c r="V4168" s="5" t="s">
        <v>106</v>
      </c>
      <c r="W4168" s="12">
        <v>9815394</v>
      </c>
      <c r="X4168" s="6"/>
      <c r="Y4168" s="6"/>
    </row>
    <row r="4169" spans="1:25" ht="15" customHeight="1" x14ac:dyDescent="0.2">
      <c r="A4169" s="88" t="s">
        <v>5032</v>
      </c>
      <c r="B4169" s="90"/>
      <c r="C4169" s="88" t="s">
        <v>5049</v>
      </c>
      <c r="D4169" s="90"/>
      <c r="E4169" s="88" t="s">
        <v>5050</v>
      </c>
      <c r="F4169" s="89"/>
      <c r="G4169" s="89"/>
      <c r="H4169" s="89"/>
      <c r="I4169" s="90"/>
      <c r="J4169" s="88" t="s">
        <v>13</v>
      </c>
      <c r="K4169" s="89"/>
      <c r="L4169" s="89"/>
      <c r="M4169" s="90"/>
      <c r="N4169" s="88" t="s">
        <v>2360</v>
      </c>
      <c r="O4169" s="89"/>
      <c r="P4169" s="90"/>
      <c r="Q4169" s="133">
        <v>13000</v>
      </c>
      <c r="R4169" s="134"/>
      <c r="S4169" s="5" t="s">
        <v>945</v>
      </c>
      <c r="T4169" s="6"/>
      <c r="U4169" s="8">
        <v>2</v>
      </c>
      <c r="V4169" s="5" t="s">
        <v>106</v>
      </c>
      <c r="W4169" s="12">
        <v>8707205</v>
      </c>
      <c r="X4169" s="6"/>
      <c r="Y4169" s="6"/>
    </row>
    <row r="4170" spans="1:25" ht="15" customHeight="1" x14ac:dyDescent="0.2">
      <c r="A4170" s="88" t="s">
        <v>5032</v>
      </c>
      <c r="B4170" s="90"/>
      <c r="C4170" s="88" t="s">
        <v>5051</v>
      </c>
      <c r="D4170" s="90"/>
      <c r="E4170" s="88" t="s">
        <v>5052</v>
      </c>
      <c r="F4170" s="89"/>
      <c r="G4170" s="89"/>
      <c r="H4170" s="89"/>
      <c r="I4170" s="90"/>
      <c r="J4170" s="88" t="s">
        <v>13</v>
      </c>
      <c r="K4170" s="89"/>
      <c r="L4170" s="89"/>
      <c r="M4170" s="90"/>
      <c r="N4170" s="88" t="s">
        <v>2360</v>
      </c>
      <c r="O4170" s="89"/>
      <c r="P4170" s="90"/>
      <c r="Q4170" s="133">
        <v>13000</v>
      </c>
      <c r="R4170" s="134"/>
      <c r="S4170" s="5" t="s">
        <v>945</v>
      </c>
      <c r="T4170" s="6"/>
      <c r="U4170" s="8">
        <v>2</v>
      </c>
      <c r="V4170" s="5" t="s">
        <v>106</v>
      </c>
      <c r="W4170" s="12">
        <v>9340456</v>
      </c>
      <c r="X4170" s="6"/>
      <c r="Y4170" s="6"/>
    </row>
    <row r="4171" spans="1:25" ht="15" customHeight="1" x14ac:dyDescent="0.2">
      <c r="A4171" s="88" t="s">
        <v>5032</v>
      </c>
      <c r="B4171" s="90"/>
      <c r="C4171" s="88" t="s">
        <v>5053</v>
      </c>
      <c r="D4171" s="90"/>
      <c r="E4171" s="88" t="s">
        <v>5054</v>
      </c>
      <c r="F4171" s="89"/>
      <c r="G4171" s="89"/>
      <c r="H4171" s="89"/>
      <c r="I4171" s="90"/>
      <c r="J4171" s="88" t="s">
        <v>13</v>
      </c>
      <c r="K4171" s="89"/>
      <c r="L4171" s="89"/>
      <c r="M4171" s="90"/>
      <c r="N4171" s="88" t="s">
        <v>2360</v>
      </c>
      <c r="O4171" s="89"/>
      <c r="P4171" s="90"/>
      <c r="Q4171" s="133">
        <v>12700</v>
      </c>
      <c r="R4171" s="134"/>
      <c r="S4171" s="5" t="s">
        <v>945</v>
      </c>
      <c r="T4171" s="6"/>
      <c r="U4171" s="8">
        <v>2</v>
      </c>
      <c r="V4171" s="5" t="s">
        <v>106</v>
      </c>
      <c r="W4171" s="12">
        <v>7915641</v>
      </c>
      <c r="X4171" s="6"/>
      <c r="Y4171" s="6"/>
    </row>
    <row r="4172" spans="1:25" ht="15" customHeight="1" x14ac:dyDescent="0.2">
      <c r="A4172" s="88" t="s">
        <v>5032</v>
      </c>
      <c r="B4172" s="90"/>
      <c r="C4172" s="88" t="s">
        <v>5055</v>
      </c>
      <c r="D4172" s="90"/>
      <c r="E4172" s="88" t="s">
        <v>5056</v>
      </c>
      <c r="F4172" s="89"/>
      <c r="G4172" s="89"/>
      <c r="H4172" s="89"/>
      <c r="I4172" s="90"/>
      <c r="J4172" s="88" t="s">
        <v>13</v>
      </c>
      <c r="K4172" s="89"/>
      <c r="L4172" s="89"/>
      <c r="M4172" s="90"/>
      <c r="N4172" s="88" t="s">
        <v>2360</v>
      </c>
      <c r="O4172" s="89"/>
      <c r="P4172" s="90"/>
      <c r="Q4172" s="133">
        <v>13000</v>
      </c>
      <c r="R4172" s="134"/>
      <c r="S4172" s="5" t="s">
        <v>945</v>
      </c>
      <c r="T4172" s="6"/>
      <c r="U4172" s="8">
        <v>2</v>
      </c>
      <c r="V4172" s="5" t="s">
        <v>106</v>
      </c>
      <c r="W4172" s="12">
        <v>10290333</v>
      </c>
      <c r="X4172" s="6"/>
      <c r="Y4172" s="6"/>
    </row>
    <row r="4173" spans="1:25" ht="15" customHeight="1" x14ac:dyDescent="0.2">
      <c r="A4173" s="88" t="s">
        <v>5032</v>
      </c>
      <c r="B4173" s="90"/>
      <c r="C4173" s="88" t="s">
        <v>5057</v>
      </c>
      <c r="D4173" s="90"/>
      <c r="E4173" s="88" t="s">
        <v>5058</v>
      </c>
      <c r="F4173" s="89"/>
      <c r="G4173" s="89"/>
      <c r="H4173" s="89"/>
      <c r="I4173" s="90"/>
      <c r="J4173" s="88" t="s">
        <v>13</v>
      </c>
      <c r="K4173" s="89"/>
      <c r="L4173" s="89"/>
      <c r="M4173" s="90"/>
      <c r="N4173" s="88" t="s">
        <v>2360</v>
      </c>
      <c r="O4173" s="89"/>
      <c r="P4173" s="90"/>
      <c r="Q4173" s="133">
        <v>13000</v>
      </c>
      <c r="R4173" s="134"/>
      <c r="S4173" s="5" t="s">
        <v>945</v>
      </c>
      <c r="T4173" s="6"/>
      <c r="U4173" s="8">
        <v>2</v>
      </c>
      <c r="V4173" s="5" t="s">
        <v>106</v>
      </c>
      <c r="W4173" s="12">
        <v>11081897</v>
      </c>
      <c r="X4173" s="6"/>
      <c r="Y4173" s="6"/>
    </row>
    <row r="4174" spans="1:25" ht="15" customHeight="1" x14ac:dyDescent="0.2">
      <c r="A4174" s="88" t="s">
        <v>5032</v>
      </c>
      <c r="B4174" s="90"/>
      <c r="C4174" s="88" t="s">
        <v>5059</v>
      </c>
      <c r="D4174" s="90"/>
      <c r="E4174" s="88" t="s">
        <v>5060</v>
      </c>
      <c r="F4174" s="89"/>
      <c r="G4174" s="89"/>
      <c r="H4174" s="89"/>
      <c r="I4174" s="90"/>
      <c r="J4174" s="88" t="s">
        <v>13</v>
      </c>
      <c r="K4174" s="89"/>
      <c r="L4174" s="89"/>
      <c r="M4174" s="90"/>
      <c r="N4174" s="88" t="s">
        <v>2360</v>
      </c>
      <c r="O4174" s="89"/>
      <c r="P4174" s="90"/>
      <c r="Q4174" s="133">
        <v>16400</v>
      </c>
      <c r="R4174" s="134"/>
      <c r="S4174" s="5" t="s">
        <v>945</v>
      </c>
      <c r="T4174" s="6"/>
      <c r="U4174" s="8">
        <v>2</v>
      </c>
      <c r="V4174" s="5" t="s">
        <v>106</v>
      </c>
      <c r="W4174" s="12">
        <v>12665025</v>
      </c>
      <c r="X4174" s="6"/>
      <c r="Y4174" s="6"/>
    </row>
    <row r="4175" spans="1:25" ht="15" customHeight="1" x14ac:dyDescent="0.2">
      <c r="A4175" s="88" t="s">
        <v>5032</v>
      </c>
      <c r="B4175" s="90"/>
      <c r="C4175" s="88" t="s">
        <v>5061</v>
      </c>
      <c r="D4175" s="90"/>
      <c r="E4175" s="88" t="s">
        <v>5062</v>
      </c>
      <c r="F4175" s="89"/>
      <c r="G4175" s="89"/>
      <c r="H4175" s="89"/>
      <c r="I4175" s="90"/>
      <c r="J4175" s="88" t="s">
        <v>13</v>
      </c>
      <c r="K4175" s="89"/>
      <c r="L4175" s="89"/>
      <c r="M4175" s="90"/>
      <c r="N4175" s="88" t="s">
        <v>2360</v>
      </c>
      <c r="O4175" s="89"/>
      <c r="P4175" s="90"/>
      <c r="Q4175" s="133">
        <v>16400</v>
      </c>
      <c r="R4175" s="134"/>
      <c r="S4175" s="5" t="s">
        <v>945</v>
      </c>
      <c r="T4175" s="6"/>
      <c r="U4175" s="8">
        <v>2</v>
      </c>
      <c r="V4175" s="5" t="s">
        <v>106</v>
      </c>
      <c r="W4175" s="12">
        <v>13456589</v>
      </c>
      <c r="X4175" s="6"/>
      <c r="Y4175" s="6"/>
    </row>
    <row r="4176" spans="1:25" ht="15" customHeight="1" x14ac:dyDescent="0.2">
      <c r="A4176" s="88" t="s">
        <v>5032</v>
      </c>
      <c r="B4176" s="90"/>
      <c r="C4176" s="88" t="s">
        <v>5063</v>
      </c>
      <c r="D4176" s="90"/>
      <c r="E4176" s="106"/>
      <c r="F4176" s="107"/>
      <c r="G4176" s="107"/>
      <c r="H4176" s="107"/>
      <c r="I4176" s="108"/>
      <c r="J4176" s="88" t="s">
        <v>599</v>
      </c>
      <c r="K4176" s="89"/>
      <c r="L4176" s="89"/>
      <c r="M4176" s="90"/>
      <c r="N4176" s="88" t="s">
        <v>5064</v>
      </c>
      <c r="O4176" s="89"/>
      <c r="P4176" s="90"/>
      <c r="Q4176" s="133">
        <v>5346</v>
      </c>
      <c r="R4176" s="134"/>
      <c r="S4176" s="6"/>
      <c r="T4176" s="6"/>
      <c r="U4176" s="6"/>
      <c r="V4176" s="5" t="s">
        <v>106</v>
      </c>
      <c r="W4176" s="12">
        <v>14421124</v>
      </c>
      <c r="X4176" s="6"/>
      <c r="Y4176" s="6"/>
    </row>
    <row r="4177" spans="1:25" ht="15" customHeight="1" x14ac:dyDescent="0.2">
      <c r="A4177" s="88" t="s">
        <v>5032</v>
      </c>
      <c r="B4177" s="90"/>
      <c r="C4177" s="88" t="s">
        <v>5065</v>
      </c>
      <c r="D4177" s="90"/>
      <c r="E4177" s="106"/>
      <c r="F4177" s="107"/>
      <c r="G4177" s="107"/>
      <c r="H4177" s="107"/>
      <c r="I4177" s="108"/>
      <c r="J4177" s="88" t="s">
        <v>599</v>
      </c>
      <c r="K4177" s="89"/>
      <c r="L4177" s="89"/>
      <c r="M4177" s="90"/>
      <c r="N4177" s="88" t="s">
        <v>5064</v>
      </c>
      <c r="O4177" s="89"/>
      <c r="P4177" s="90"/>
      <c r="Q4177" s="133">
        <v>5346</v>
      </c>
      <c r="R4177" s="134"/>
      <c r="S4177" s="6"/>
      <c r="T4177" s="6"/>
      <c r="U4177" s="6"/>
      <c r="V4177" s="5" t="s">
        <v>106</v>
      </c>
      <c r="W4177" s="12">
        <v>9447686</v>
      </c>
      <c r="X4177" s="6"/>
      <c r="Y4177" s="6"/>
    </row>
    <row r="4178" spans="1:25" ht="15" customHeight="1" x14ac:dyDescent="0.2">
      <c r="A4178" s="88" t="s">
        <v>5032</v>
      </c>
      <c r="B4178" s="90"/>
      <c r="C4178" s="88" t="s">
        <v>5066</v>
      </c>
      <c r="D4178" s="90"/>
      <c r="E4178" s="106"/>
      <c r="F4178" s="107"/>
      <c r="G4178" s="107"/>
      <c r="H4178" s="107"/>
      <c r="I4178" s="108"/>
      <c r="J4178" s="88" t="s">
        <v>599</v>
      </c>
      <c r="K4178" s="89"/>
      <c r="L4178" s="89"/>
      <c r="M4178" s="90"/>
      <c r="N4178" s="88" t="s">
        <v>5064</v>
      </c>
      <c r="O4178" s="89"/>
      <c r="P4178" s="90"/>
      <c r="Q4178" s="133">
        <v>5345</v>
      </c>
      <c r="R4178" s="134"/>
      <c r="S4178" s="6"/>
      <c r="T4178" s="6"/>
      <c r="U4178" s="6"/>
      <c r="V4178" s="5" t="s">
        <v>106</v>
      </c>
      <c r="W4178" s="12">
        <v>9447686</v>
      </c>
      <c r="X4178" s="6"/>
      <c r="Y4178" s="6"/>
    </row>
    <row r="4179" spans="1:25" ht="15" customHeight="1" x14ac:dyDescent="0.2">
      <c r="A4179" s="88" t="s">
        <v>5032</v>
      </c>
      <c r="B4179" s="90"/>
      <c r="C4179" s="88" t="s">
        <v>5067</v>
      </c>
      <c r="D4179" s="90"/>
      <c r="E4179" s="106"/>
      <c r="F4179" s="107"/>
      <c r="G4179" s="107"/>
      <c r="H4179" s="107"/>
      <c r="I4179" s="108"/>
      <c r="J4179" s="88" t="s">
        <v>599</v>
      </c>
      <c r="K4179" s="89"/>
      <c r="L4179" s="89"/>
      <c r="M4179" s="90"/>
      <c r="N4179" s="88" t="s">
        <v>5064</v>
      </c>
      <c r="O4179" s="89"/>
      <c r="P4179" s="90"/>
      <c r="Q4179" s="133">
        <v>5742</v>
      </c>
      <c r="R4179" s="134"/>
      <c r="S4179" s="6"/>
      <c r="T4179" s="6"/>
      <c r="U4179" s="6"/>
      <c r="V4179" s="5" t="s">
        <v>106</v>
      </c>
      <c r="W4179" s="12">
        <v>12234414</v>
      </c>
      <c r="X4179" s="6"/>
      <c r="Y4179" s="6"/>
    </row>
    <row r="4180" spans="1:25" ht="15" customHeight="1" x14ac:dyDescent="0.2">
      <c r="A4180" s="88" t="s">
        <v>5032</v>
      </c>
      <c r="B4180" s="90"/>
      <c r="C4180" s="88" t="s">
        <v>5068</v>
      </c>
      <c r="D4180" s="90"/>
      <c r="E4180" s="106"/>
      <c r="F4180" s="107"/>
      <c r="G4180" s="107"/>
      <c r="H4180" s="107"/>
      <c r="I4180" s="108"/>
      <c r="J4180" s="88" t="s">
        <v>599</v>
      </c>
      <c r="K4180" s="89"/>
      <c r="L4180" s="89"/>
      <c r="M4180" s="90"/>
      <c r="N4180" s="88" t="s">
        <v>5064</v>
      </c>
      <c r="O4180" s="89"/>
      <c r="P4180" s="90"/>
      <c r="Q4180" s="133">
        <v>5742</v>
      </c>
      <c r="R4180" s="134"/>
      <c r="S4180" s="6"/>
      <c r="T4180" s="6"/>
      <c r="U4180" s="6"/>
      <c r="V4180" s="5" t="s">
        <v>106</v>
      </c>
      <c r="W4180" s="12">
        <v>11554724</v>
      </c>
      <c r="X4180" s="6"/>
      <c r="Y4180" s="6"/>
    </row>
    <row r="4181" spans="1:25" ht="15" customHeight="1" x14ac:dyDescent="0.2">
      <c r="A4181" s="88" t="s">
        <v>5032</v>
      </c>
      <c r="B4181" s="90"/>
      <c r="C4181" s="88" t="s">
        <v>5068</v>
      </c>
      <c r="D4181" s="90"/>
      <c r="E4181" s="106"/>
      <c r="F4181" s="107"/>
      <c r="G4181" s="107"/>
      <c r="H4181" s="107"/>
      <c r="I4181" s="108"/>
      <c r="J4181" s="88" t="s">
        <v>599</v>
      </c>
      <c r="K4181" s="89"/>
      <c r="L4181" s="89"/>
      <c r="M4181" s="90"/>
      <c r="N4181" s="88" t="s">
        <v>5064</v>
      </c>
      <c r="O4181" s="89"/>
      <c r="P4181" s="90"/>
      <c r="Q4181" s="133">
        <v>5346</v>
      </c>
      <c r="R4181" s="134"/>
      <c r="S4181" s="6"/>
      <c r="T4181" s="6"/>
      <c r="U4181" s="6"/>
      <c r="V4181" s="5" t="s">
        <v>106</v>
      </c>
      <c r="W4181" s="12">
        <v>9447686</v>
      </c>
      <c r="X4181" s="6"/>
      <c r="Y4181" s="6"/>
    </row>
    <row r="4182" spans="1:25" ht="15" customHeight="1" x14ac:dyDescent="0.2">
      <c r="A4182" s="88" t="s">
        <v>5032</v>
      </c>
      <c r="B4182" s="90"/>
      <c r="C4182" s="88" t="s">
        <v>5069</v>
      </c>
      <c r="D4182" s="90"/>
      <c r="E4182" s="106"/>
      <c r="F4182" s="107"/>
      <c r="G4182" s="107"/>
      <c r="H4182" s="107"/>
      <c r="I4182" s="108"/>
      <c r="J4182" s="88" t="s">
        <v>599</v>
      </c>
      <c r="K4182" s="89"/>
      <c r="L4182" s="89"/>
      <c r="M4182" s="90"/>
      <c r="N4182" s="88" t="s">
        <v>5064</v>
      </c>
      <c r="O4182" s="89"/>
      <c r="P4182" s="90"/>
      <c r="Q4182" s="133">
        <v>5330</v>
      </c>
      <c r="R4182" s="134"/>
      <c r="S4182" s="6"/>
      <c r="T4182" s="6"/>
      <c r="U4182" s="6"/>
      <c r="V4182" s="5" t="s">
        <v>106</v>
      </c>
      <c r="W4182" s="12">
        <v>10807066</v>
      </c>
      <c r="X4182" s="6"/>
      <c r="Y4182" s="6"/>
    </row>
    <row r="4183" spans="1:25" ht="15" customHeight="1" x14ac:dyDescent="0.2">
      <c r="A4183" s="88" t="s">
        <v>5032</v>
      </c>
      <c r="B4183" s="90"/>
      <c r="C4183" s="88" t="s">
        <v>5070</v>
      </c>
      <c r="D4183" s="90"/>
      <c r="E4183" s="106"/>
      <c r="F4183" s="107"/>
      <c r="G4183" s="107"/>
      <c r="H4183" s="107"/>
      <c r="I4183" s="108"/>
      <c r="J4183" s="88" t="s">
        <v>599</v>
      </c>
      <c r="K4183" s="89"/>
      <c r="L4183" s="89"/>
      <c r="M4183" s="90"/>
      <c r="N4183" s="88" t="s">
        <v>5064</v>
      </c>
      <c r="O4183" s="89"/>
      <c r="P4183" s="90"/>
      <c r="Q4183" s="133">
        <v>10951</v>
      </c>
      <c r="R4183" s="134"/>
      <c r="S4183" s="6"/>
      <c r="T4183" s="6"/>
      <c r="U4183" s="6"/>
      <c r="V4183" s="5" t="s">
        <v>106</v>
      </c>
      <c r="W4183" s="12">
        <v>13253949</v>
      </c>
      <c r="X4183" s="6"/>
      <c r="Y4183" s="6"/>
    </row>
    <row r="4184" spans="1:25" ht="15" customHeight="1" x14ac:dyDescent="0.2">
      <c r="A4184" s="88" t="s">
        <v>5032</v>
      </c>
      <c r="B4184" s="90"/>
      <c r="C4184" s="88" t="s">
        <v>5038</v>
      </c>
      <c r="D4184" s="90"/>
      <c r="E4184" s="106"/>
      <c r="F4184" s="107"/>
      <c r="G4184" s="107"/>
      <c r="H4184" s="107"/>
      <c r="I4184" s="108"/>
      <c r="J4184" s="88" t="s">
        <v>599</v>
      </c>
      <c r="K4184" s="89"/>
      <c r="L4184" s="89"/>
      <c r="M4184" s="90"/>
      <c r="N4184" s="88" t="s">
        <v>5064</v>
      </c>
      <c r="O4184" s="89"/>
      <c r="P4184" s="90"/>
      <c r="Q4184" s="133">
        <v>5466</v>
      </c>
      <c r="R4184" s="134"/>
      <c r="S4184" s="6"/>
      <c r="T4184" s="6"/>
      <c r="U4184" s="6"/>
      <c r="V4184" s="5" t="s">
        <v>106</v>
      </c>
      <c r="W4184" s="12">
        <v>19031311</v>
      </c>
      <c r="X4184" s="6"/>
      <c r="Y4184" s="6"/>
    </row>
    <row r="4185" spans="1:25" ht="15" customHeight="1" x14ac:dyDescent="0.2">
      <c r="A4185" s="88" t="s">
        <v>5032</v>
      </c>
      <c r="B4185" s="90"/>
      <c r="C4185" s="88" t="s">
        <v>5044</v>
      </c>
      <c r="D4185" s="90"/>
      <c r="E4185" s="106"/>
      <c r="F4185" s="107"/>
      <c r="G4185" s="107"/>
      <c r="H4185" s="107"/>
      <c r="I4185" s="108"/>
      <c r="J4185" s="88" t="s">
        <v>599</v>
      </c>
      <c r="K4185" s="89"/>
      <c r="L4185" s="89"/>
      <c r="M4185" s="90"/>
      <c r="N4185" s="88" t="s">
        <v>5064</v>
      </c>
      <c r="O4185" s="89"/>
      <c r="P4185" s="90"/>
      <c r="Q4185" s="133">
        <v>5345</v>
      </c>
      <c r="R4185" s="134"/>
      <c r="S4185" s="6"/>
      <c r="T4185" s="6"/>
      <c r="U4185" s="6"/>
      <c r="V4185" s="5" t="s">
        <v>106</v>
      </c>
      <c r="W4185" s="12">
        <v>9447686</v>
      </c>
      <c r="X4185" s="6"/>
      <c r="Y4185" s="6"/>
    </row>
    <row r="4186" spans="1:25" ht="15" customHeight="1" x14ac:dyDescent="0.2">
      <c r="A4186" s="88" t="s">
        <v>5032</v>
      </c>
      <c r="B4186" s="90"/>
      <c r="C4186" s="88" t="s">
        <v>5071</v>
      </c>
      <c r="D4186" s="90"/>
      <c r="E4186" s="106"/>
      <c r="F4186" s="107"/>
      <c r="G4186" s="107"/>
      <c r="H4186" s="107"/>
      <c r="I4186" s="108"/>
      <c r="J4186" s="88" t="s">
        <v>599</v>
      </c>
      <c r="K4186" s="89"/>
      <c r="L4186" s="89"/>
      <c r="M4186" s="90"/>
      <c r="N4186" s="88" t="s">
        <v>5064</v>
      </c>
      <c r="O4186" s="89"/>
      <c r="P4186" s="90"/>
      <c r="Q4186" s="133">
        <v>5472</v>
      </c>
      <c r="R4186" s="134"/>
      <c r="S4186" s="6"/>
      <c r="T4186" s="6"/>
      <c r="U4186" s="6"/>
      <c r="V4186" s="5" t="s">
        <v>106</v>
      </c>
      <c r="W4186" s="12">
        <v>14273483</v>
      </c>
      <c r="X4186" s="6"/>
      <c r="Y4186" s="6"/>
    </row>
    <row r="4187" spans="1:25" ht="15" customHeight="1" x14ac:dyDescent="0.2">
      <c r="A4187" s="88" t="s">
        <v>5032</v>
      </c>
      <c r="B4187" s="90"/>
      <c r="C4187" s="88" t="s">
        <v>5072</v>
      </c>
      <c r="D4187" s="90"/>
      <c r="E4187" s="106"/>
      <c r="F4187" s="107"/>
      <c r="G4187" s="107"/>
      <c r="H4187" s="107"/>
      <c r="I4187" s="108"/>
      <c r="J4187" s="88" t="s">
        <v>599</v>
      </c>
      <c r="K4187" s="89"/>
      <c r="L4187" s="89"/>
      <c r="M4187" s="90"/>
      <c r="N4187" s="88" t="s">
        <v>5064</v>
      </c>
      <c r="O4187" s="89"/>
      <c r="P4187" s="90"/>
      <c r="Q4187" s="133">
        <v>5346</v>
      </c>
      <c r="R4187" s="134"/>
      <c r="S4187" s="6"/>
      <c r="T4187" s="6"/>
      <c r="U4187" s="6"/>
      <c r="V4187" s="5" t="s">
        <v>106</v>
      </c>
      <c r="W4187" s="12">
        <v>10626800</v>
      </c>
      <c r="X4187" s="6"/>
      <c r="Y4187" s="6"/>
    </row>
    <row r="4188" spans="1:25" ht="15" customHeight="1" x14ac:dyDescent="0.2">
      <c r="A4188" s="88" t="s">
        <v>5032</v>
      </c>
      <c r="B4188" s="90"/>
      <c r="C4188" s="88" t="s">
        <v>5073</v>
      </c>
      <c r="D4188" s="90"/>
      <c r="E4188" s="106"/>
      <c r="F4188" s="107"/>
      <c r="G4188" s="107"/>
      <c r="H4188" s="107"/>
      <c r="I4188" s="108"/>
      <c r="J4188" s="88" t="s">
        <v>599</v>
      </c>
      <c r="K4188" s="89"/>
      <c r="L4188" s="89"/>
      <c r="M4188" s="90"/>
      <c r="N4188" s="88" t="s">
        <v>5074</v>
      </c>
      <c r="O4188" s="89"/>
      <c r="P4188" s="90"/>
      <c r="Q4188" s="133">
        <v>10879</v>
      </c>
      <c r="R4188" s="134"/>
      <c r="S4188" s="6"/>
      <c r="T4188" s="6"/>
      <c r="U4188" s="6"/>
      <c r="V4188" s="5" t="s">
        <v>106</v>
      </c>
      <c r="W4188" s="12">
        <v>8088307</v>
      </c>
      <c r="X4188" s="6"/>
      <c r="Y4188" s="6"/>
    </row>
    <row r="4189" spans="1:25" ht="15" customHeight="1" x14ac:dyDescent="0.2">
      <c r="A4189" s="88" t="s">
        <v>5032</v>
      </c>
      <c r="B4189" s="90"/>
      <c r="C4189" s="88" t="s">
        <v>5075</v>
      </c>
      <c r="D4189" s="90"/>
      <c r="E4189" s="106"/>
      <c r="F4189" s="107"/>
      <c r="G4189" s="107"/>
      <c r="H4189" s="107"/>
      <c r="I4189" s="108"/>
      <c r="J4189" s="88" t="s">
        <v>599</v>
      </c>
      <c r="K4189" s="89"/>
      <c r="L4189" s="89"/>
      <c r="M4189" s="90"/>
      <c r="N4189" s="88" t="s">
        <v>5064</v>
      </c>
      <c r="O4189" s="89"/>
      <c r="P4189" s="90"/>
      <c r="Q4189" s="133">
        <v>13000</v>
      </c>
      <c r="R4189" s="134"/>
      <c r="S4189" s="6"/>
      <c r="T4189" s="6"/>
      <c r="U4189" s="6"/>
      <c r="V4189" s="5" t="s">
        <v>106</v>
      </c>
      <c r="W4189" s="12">
        <v>6796897</v>
      </c>
      <c r="X4189" s="6"/>
      <c r="Y4189" s="6"/>
    </row>
    <row r="4190" spans="1:25" ht="15" customHeight="1" x14ac:dyDescent="0.2">
      <c r="A4190" s="88" t="s">
        <v>5032</v>
      </c>
      <c r="B4190" s="90"/>
      <c r="C4190" s="88" t="s">
        <v>5076</v>
      </c>
      <c r="D4190" s="90"/>
      <c r="E4190" s="106"/>
      <c r="F4190" s="107"/>
      <c r="G4190" s="107"/>
      <c r="H4190" s="107"/>
      <c r="I4190" s="108"/>
      <c r="J4190" s="88" t="s">
        <v>599</v>
      </c>
      <c r="K4190" s="89"/>
      <c r="L4190" s="89"/>
      <c r="M4190" s="90"/>
      <c r="N4190" s="88" t="s">
        <v>5064</v>
      </c>
      <c r="O4190" s="89"/>
      <c r="P4190" s="90"/>
      <c r="Q4190" s="133">
        <v>5346</v>
      </c>
      <c r="R4190" s="134"/>
      <c r="S4190" s="6"/>
      <c r="T4190" s="6"/>
      <c r="U4190" s="6"/>
      <c r="V4190" s="5" t="s">
        <v>106</v>
      </c>
      <c r="W4190" s="12">
        <v>11702483</v>
      </c>
      <c r="X4190" s="6"/>
      <c r="Y4190" s="6"/>
    </row>
    <row r="4191" spans="1:25" ht="15" customHeight="1" x14ac:dyDescent="0.2">
      <c r="A4191" s="88" t="s">
        <v>5032</v>
      </c>
      <c r="B4191" s="90"/>
      <c r="C4191" s="88" t="s">
        <v>5077</v>
      </c>
      <c r="D4191" s="90"/>
      <c r="E4191" s="106"/>
      <c r="F4191" s="107"/>
      <c r="G4191" s="107"/>
      <c r="H4191" s="107"/>
      <c r="I4191" s="108"/>
      <c r="J4191" s="88" t="s">
        <v>599</v>
      </c>
      <c r="K4191" s="89"/>
      <c r="L4191" s="89"/>
      <c r="M4191" s="90"/>
      <c r="N4191" s="88" t="s">
        <v>5064</v>
      </c>
      <c r="O4191" s="89"/>
      <c r="P4191" s="90"/>
      <c r="Q4191" s="133">
        <v>5330</v>
      </c>
      <c r="R4191" s="134"/>
      <c r="S4191" s="6"/>
      <c r="T4191" s="6"/>
      <c r="U4191" s="6"/>
      <c r="V4191" s="5" t="s">
        <v>106</v>
      </c>
      <c r="W4191" s="12">
        <v>10127376</v>
      </c>
      <c r="X4191" s="6"/>
      <c r="Y4191" s="6"/>
    </row>
    <row r="4192" spans="1:25" ht="15" customHeight="1" x14ac:dyDescent="0.2">
      <c r="A4192" s="88" t="s">
        <v>5032</v>
      </c>
      <c r="B4192" s="90"/>
      <c r="C4192" s="88" t="s">
        <v>5078</v>
      </c>
      <c r="D4192" s="90"/>
      <c r="E4192" s="106"/>
      <c r="F4192" s="107"/>
      <c r="G4192" s="107"/>
      <c r="H4192" s="107"/>
      <c r="I4192" s="108"/>
      <c r="J4192" s="88" t="s">
        <v>599</v>
      </c>
      <c r="K4192" s="89"/>
      <c r="L4192" s="89"/>
      <c r="M4192" s="90"/>
      <c r="N4192" s="88" t="s">
        <v>5064</v>
      </c>
      <c r="O4192" s="89"/>
      <c r="P4192" s="90"/>
      <c r="Q4192" s="133">
        <v>5346</v>
      </c>
      <c r="R4192" s="134"/>
      <c r="S4192" s="6"/>
      <c r="T4192" s="6"/>
      <c r="U4192" s="6"/>
      <c r="V4192" s="5" t="s">
        <v>106</v>
      </c>
      <c r="W4192" s="12">
        <v>8088307</v>
      </c>
      <c r="X4192" s="6"/>
      <c r="Y4192" s="6"/>
    </row>
    <row r="4193" spans="1:25" ht="15" customHeight="1" x14ac:dyDescent="0.2">
      <c r="A4193" s="88" t="s">
        <v>5032</v>
      </c>
      <c r="B4193" s="90"/>
      <c r="C4193" s="88" t="s">
        <v>5079</v>
      </c>
      <c r="D4193" s="90"/>
      <c r="E4193" s="106"/>
      <c r="F4193" s="107"/>
      <c r="G4193" s="107"/>
      <c r="H4193" s="107"/>
      <c r="I4193" s="108"/>
      <c r="J4193" s="88" t="s">
        <v>599</v>
      </c>
      <c r="K4193" s="89"/>
      <c r="L4193" s="89"/>
      <c r="M4193" s="90"/>
      <c r="N4193" s="88" t="s">
        <v>5064</v>
      </c>
      <c r="O4193" s="89"/>
      <c r="P4193" s="90"/>
      <c r="Q4193" s="133">
        <v>5346</v>
      </c>
      <c r="R4193" s="134"/>
      <c r="S4193" s="6"/>
      <c r="T4193" s="6"/>
      <c r="U4193" s="6"/>
      <c r="V4193" s="5" t="s">
        <v>106</v>
      </c>
      <c r="W4193" s="12">
        <v>14953173</v>
      </c>
      <c r="X4193" s="6"/>
      <c r="Y4193" s="6"/>
    </row>
    <row r="4194" spans="1:25" ht="15" customHeight="1" x14ac:dyDescent="0.2">
      <c r="A4194" s="88" t="s">
        <v>5032</v>
      </c>
      <c r="B4194" s="90"/>
      <c r="C4194" s="88" t="s">
        <v>5080</v>
      </c>
      <c r="D4194" s="90"/>
      <c r="E4194" s="106"/>
      <c r="F4194" s="107"/>
      <c r="G4194" s="107"/>
      <c r="H4194" s="107"/>
      <c r="I4194" s="108"/>
      <c r="J4194" s="88" t="s">
        <v>599</v>
      </c>
      <c r="K4194" s="89"/>
      <c r="L4194" s="89"/>
      <c r="M4194" s="90"/>
      <c r="N4194" s="88" t="s">
        <v>5064</v>
      </c>
      <c r="O4194" s="89"/>
      <c r="P4194" s="90"/>
      <c r="Q4194" s="133">
        <v>5330</v>
      </c>
      <c r="R4194" s="134"/>
      <c r="S4194" s="6"/>
      <c r="T4194" s="6"/>
      <c r="U4194" s="6"/>
      <c r="V4194" s="5" t="s">
        <v>106</v>
      </c>
      <c r="W4194" s="12">
        <v>10807066</v>
      </c>
      <c r="X4194" s="6"/>
      <c r="Y4194" s="6"/>
    </row>
    <row r="4195" spans="1:25" ht="15" customHeight="1" x14ac:dyDescent="0.2">
      <c r="A4195" s="88" t="s">
        <v>5081</v>
      </c>
      <c r="B4195" s="90"/>
      <c r="C4195" s="88" t="s">
        <v>5082</v>
      </c>
      <c r="D4195" s="90"/>
      <c r="E4195" s="88" t="s">
        <v>5083</v>
      </c>
      <c r="F4195" s="89"/>
      <c r="G4195" s="89"/>
      <c r="H4195" s="89"/>
      <c r="I4195" s="90"/>
      <c r="J4195" s="88" t="s">
        <v>599</v>
      </c>
      <c r="K4195" s="89"/>
      <c r="L4195" s="89"/>
      <c r="M4195" s="90"/>
      <c r="N4195" s="88" t="s">
        <v>1293</v>
      </c>
      <c r="O4195" s="89"/>
      <c r="P4195" s="90"/>
      <c r="Q4195" s="133">
        <v>10800</v>
      </c>
      <c r="R4195" s="134"/>
      <c r="S4195" s="5" t="s">
        <v>5084</v>
      </c>
      <c r="T4195" s="6"/>
      <c r="U4195" s="6"/>
      <c r="V4195" s="6"/>
      <c r="W4195" s="12">
        <v>9366490</v>
      </c>
      <c r="X4195" s="6"/>
      <c r="Y4195" s="6"/>
    </row>
    <row r="4196" spans="1:25" ht="15" customHeight="1" x14ac:dyDescent="0.2">
      <c r="A4196" s="88" t="s">
        <v>5081</v>
      </c>
      <c r="B4196" s="90"/>
      <c r="C4196" s="88" t="s">
        <v>5085</v>
      </c>
      <c r="D4196" s="90"/>
      <c r="E4196" s="88" t="s">
        <v>5083</v>
      </c>
      <c r="F4196" s="89"/>
      <c r="G4196" s="89"/>
      <c r="H4196" s="89"/>
      <c r="I4196" s="90"/>
      <c r="J4196" s="88" t="s">
        <v>599</v>
      </c>
      <c r="K4196" s="89"/>
      <c r="L4196" s="89"/>
      <c r="M4196" s="90"/>
      <c r="N4196" s="88" t="s">
        <v>1293</v>
      </c>
      <c r="O4196" s="89"/>
      <c r="P4196" s="90"/>
      <c r="Q4196" s="133">
        <v>10800</v>
      </c>
      <c r="R4196" s="134"/>
      <c r="S4196" s="5" t="s">
        <v>5084</v>
      </c>
      <c r="T4196" s="6"/>
      <c r="U4196" s="6"/>
      <c r="V4196" s="6"/>
      <c r="W4196" s="12">
        <v>9456552</v>
      </c>
      <c r="X4196" s="6"/>
      <c r="Y4196" s="6"/>
    </row>
    <row r="4197" spans="1:25" ht="15" customHeight="1" x14ac:dyDescent="0.2">
      <c r="A4197" s="88" t="s">
        <v>5081</v>
      </c>
      <c r="B4197" s="90"/>
      <c r="C4197" s="88" t="s">
        <v>5086</v>
      </c>
      <c r="D4197" s="90"/>
      <c r="E4197" s="88" t="s">
        <v>5087</v>
      </c>
      <c r="F4197" s="89"/>
      <c r="G4197" s="89"/>
      <c r="H4197" s="89"/>
      <c r="I4197" s="90"/>
      <c r="J4197" s="88" t="s">
        <v>599</v>
      </c>
      <c r="K4197" s="89"/>
      <c r="L4197" s="89"/>
      <c r="M4197" s="90"/>
      <c r="N4197" s="88" t="s">
        <v>1293</v>
      </c>
      <c r="O4197" s="89"/>
      <c r="P4197" s="90"/>
      <c r="Q4197" s="133">
        <v>10800</v>
      </c>
      <c r="R4197" s="134"/>
      <c r="S4197" s="5" t="s">
        <v>945</v>
      </c>
      <c r="T4197" s="6"/>
      <c r="U4197" s="6"/>
      <c r="V4197" s="6"/>
      <c r="W4197" s="12">
        <v>5583869</v>
      </c>
      <c r="X4197" s="6"/>
      <c r="Y4197" s="6"/>
    </row>
    <row r="4198" spans="1:25" ht="15" customHeight="1" x14ac:dyDescent="0.2">
      <c r="A4198" s="88" t="s">
        <v>5081</v>
      </c>
      <c r="B4198" s="90"/>
      <c r="C4198" s="88" t="s">
        <v>5088</v>
      </c>
      <c r="D4198" s="90"/>
      <c r="E4198" s="88" t="s">
        <v>5083</v>
      </c>
      <c r="F4198" s="89"/>
      <c r="G4198" s="89"/>
      <c r="H4198" s="89"/>
      <c r="I4198" s="90"/>
      <c r="J4198" s="88" t="s">
        <v>599</v>
      </c>
      <c r="K4198" s="89"/>
      <c r="L4198" s="89"/>
      <c r="M4198" s="90"/>
      <c r="N4198" s="88" t="s">
        <v>1293</v>
      </c>
      <c r="O4198" s="89"/>
      <c r="P4198" s="90"/>
      <c r="Q4198" s="133">
        <v>10800</v>
      </c>
      <c r="R4198" s="134"/>
      <c r="S4198" s="5" t="s">
        <v>945</v>
      </c>
      <c r="T4198" s="6"/>
      <c r="U4198" s="6"/>
      <c r="V4198" s="6"/>
      <c r="W4198" s="12">
        <v>6574555</v>
      </c>
      <c r="X4198" s="6"/>
      <c r="Y4198" s="6"/>
    </row>
    <row r="4199" spans="1:25" ht="15" customHeight="1" x14ac:dyDescent="0.2">
      <c r="A4199" s="88" t="s">
        <v>5081</v>
      </c>
      <c r="B4199" s="90"/>
      <c r="C4199" s="88" t="s">
        <v>5089</v>
      </c>
      <c r="D4199" s="90"/>
      <c r="E4199" s="88" t="s">
        <v>5090</v>
      </c>
      <c r="F4199" s="89"/>
      <c r="G4199" s="89"/>
      <c r="H4199" s="89"/>
      <c r="I4199" s="90"/>
      <c r="J4199" s="88" t="s">
        <v>599</v>
      </c>
      <c r="K4199" s="89"/>
      <c r="L4199" s="89"/>
      <c r="M4199" s="90"/>
      <c r="N4199" s="88" t="s">
        <v>1293</v>
      </c>
      <c r="O4199" s="89"/>
      <c r="P4199" s="90"/>
      <c r="Q4199" s="133">
        <v>10800</v>
      </c>
      <c r="R4199" s="134"/>
      <c r="S4199" s="5" t="s">
        <v>945</v>
      </c>
      <c r="T4199" s="6"/>
      <c r="U4199" s="6"/>
      <c r="V4199" s="6"/>
      <c r="W4199" s="12">
        <v>5763994</v>
      </c>
      <c r="X4199" s="6"/>
      <c r="Y4199" s="6"/>
    </row>
    <row r="4200" spans="1:25" ht="15" customHeight="1" x14ac:dyDescent="0.2">
      <c r="A4200" s="88" t="s">
        <v>5081</v>
      </c>
      <c r="B4200" s="90"/>
      <c r="C4200" s="88" t="s">
        <v>5091</v>
      </c>
      <c r="D4200" s="90"/>
      <c r="E4200" s="88" t="s">
        <v>5092</v>
      </c>
      <c r="F4200" s="89"/>
      <c r="G4200" s="89"/>
      <c r="H4200" s="89"/>
      <c r="I4200" s="90"/>
      <c r="J4200" s="88" t="s">
        <v>599</v>
      </c>
      <c r="K4200" s="89"/>
      <c r="L4200" s="89"/>
      <c r="M4200" s="90"/>
      <c r="N4200" s="88" t="s">
        <v>1293</v>
      </c>
      <c r="O4200" s="89"/>
      <c r="P4200" s="90"/>
      <c r="Q4200" s="133">
        <v>10800</v>
      </c>
      <c r="R4200" s="134"/>
      <c r="S4200" s="5" t="s">
        <v>945</v>
      </c>
      <c r="T4200" s="6"/>
      <c r="U4200" s="6"/>
      <c r="V4200" s="6"/>
      <c r="W4200" s="12">
        <v>7114930</v>
      </c>
      <c r="X4200" s="6"/>
      <c r="Y4200" s="6"/>
    </row>
    <row r="4201" spans="1:25" ht="15" customHeight="1" x14ac:dyDescent="0.2">
      <c r="A4201" s="88" t="s">
        <v>5081</v>
      </c>
      <c r="B4201" s="90"/>
      <c r="C4201" s="88" t="s">
        <v>5093</v>
      </c>
      <c r="D4201" s="90"/>
      <c r="E4201" s="88" t="s">
        <v>5090</v>
      </c>
      <c r="F4201" s="89"/>
      <c r="G4201" s="89"/>
      <c r="H4201" s="89"/>
      <c r="I4201" s="90"/>
      <c r="J4201" s="88" t="s">
        <v>599</v>
      </c>
      <c r="K4201" s="89"/>
      <c r="L4201" s="89"/>
      <c r="M4201" s="90"/>
      <c r="N4201" s="88" t="s">
        <v>1293</v>
      </c>
      <c r="O4201" s="89"/>
      <c r="P4201" s="90"/>
      <c r="Q4201" s="133">
        <v>10800</v>
      </c>
      <c r="R4201" s="134"/>
      <c r="S4201" s="5" t="s">
        <v>945</v>
      </c>
      <c r="T4201" s="6"/>
      <c r="U4201" s="6"/>
      <c r="V4201" s="6"/>
      <c r="W4201" s="12">
        <v>7475179</v>
      </c>
      <c r="X4201" s="6"/>
      <c r="Y4201" s="6"/>
    </row>
    <row r="4202" spans="1:25" ht="15" customHeight="1" x14ac:dyDescent="0.2">
      <c r="A4202" s="88" t="s">
        <v>5081</v>
      </c>
      <c r="B4202" s="90"/>
      <c r="C4202" s="88" t="s">
        <v>5094</v>
      </c>
      <c r="D4202" s="90"/>
      <c r="E4202" s="88" t="s">
        <v>5083</v>
      </c>
      <c r="F4202" s="89"/>
      <c r="G4202" s="89"/>
      <c r="H4202" s="89"/>
      <c r="I4202" s="90"/>
      <c r="J4202" s="88" t="s">
        <v>599</v>
      </c>
      <c r="K4202" s="89"/>
      <c r="L4202" s="89"/>
      <c r="M4202" s="90"/>
      <c r="N4202" s="88" t="s">
        <v>1293</v>
      </c>
      <c r="O4202" s="89"/>
      <c r="P4202" s="90"/>
      <c r="Q4202" s="133">
        <v>10800</v>
      </c>
      <c r="R4202" s="134"/>
      <c r="S4202" s="5" t="s">
        <v>5084</v>
      </c>
      <c r="T4202" s="6"/>
      <c r="U4202" s="6"/>
      <c r="V4202" s="6"/>
      <c r="W4202" s="12">
        <v>6934805</v>
      </c>
      <c r="X4202" s="6"/>
      <c r="Y4202" s="6"/>
    </row>
    <row r="4203" spans="1:25" ht="15" customHeight="1" x14ac:dyDescent="0.2">
      <c r="A4203" s="88" t="s">
        <v>5095</v>
      </c>
      <c r="B4203" s="90"/>
      <c r="C4203" s="88" t="s">
        <v>5096</v>
      </c>
      <c r="D4203" s="90"/>
      <c r="E4203" s="88" t="s">
        <v>5097</v>
      </c>
      <c r="F4203" s="89"/>
      <c r="G4203" s="89"/>
      <c r="H4203" s="89"/>
      <c r="I4203" s="90"/>
      <c r="J4203" s="88" t="s">
        <v>13</v>
      </c>
      <c r="K4203" s="89"/>
      <c r="L4203" s="89"/>
      <c r="M4203" s="90"/>
      <c r="N4203" s="88" t="s">
        <v>22</v>
      </c>
      <c r="O4203" s="89"/>
      <c r="P4203" s="90"/>
      <c r="Q4203" s="106"/>
      <c r="R4203" s="108"/>
      <c r="S4203" s="5" t="s">
        <v>16</v>
      </c>
      <c r="T4203" s="6"/>
      <c r="U4203" s="6"/>
      <c r="V4203" s="5" t="s">
        <v>17</v>
      </c>
      <c r="W4203" s="12">
        <v>15128682</v>
      </c>
      <c r="X4203" s="6"/>
      <c r="Y4203" s="6"/>
    </row>
    <row r="4204" spans="1:25" ht="15" customHeight="1" x14ac:dyDescent="0.2">
      <c r="A4204" s="88" t="s">
        <v>5095</v>
      </c>
      <c r="B4204" s="90"/>
      <c r="C4204" s="88" t="s">
        <v>5098</v>
      </c>
      <c r="D4204" s="90"/>
      <c r="E4204" s="106"/>
      <c r="F4204" s="107"/>
      <c r="G4204" s="107"/>
      <c r="H4204" s="107"/>
      <c r="I4204" s="108"/>
      <c r="J4204" s="88" t="s">
        <v>13</v>
      </c>
      <c r="K4204" s="89"/>
      <c r="L4204" s="89"/>
      <c r="M4204" s="90"/>
      <c r="N4204" s="88" t="s">
        <v>26</v>
      </c>
      <c r="O4204" s="89"/>
      <c r="P4204" s="90"/>
      <c r="Q4204" s="106"/>
      <c r="R4204" s="108"/>
      <c r="S4204" s="5" t="s">
        <v>16</v>
      </c>
      <c r="T4204" s="6"/>
      <c r="U4204" s="6"/>
      <c r="V4204" s="5" t="s">
        <v>17</v>
      </c>
      <c r="W4204" s="12">
        <v>12606935</v>
      </c>
      <c r="X4204" s="6"/>
      <c r="Y4204" s="6"/>
    </row>
    <row r="4205" spans="1:25" ht="15" customHeight="1" x14ac:dyDescent="0.2">
      <c r="A4205" s="88" t="s">
        <v>5095</v>
      </c>
      <c r="B4205" s="90"/>
      <c r="C4205" s="88" t="s">
        <v>5099</v>
      </c>
      <c r="D4205" s="90"/>
      <c r="E4205" s="88" t="s">
        <v>5100</v>
      </c>
      <c r="F4205" s="89"/>
      <c r="G4205" s="89"/>
      <c r="H4205" s="89"/>
      <c r="I4205" s="90"/>
      <c r="J4205" s="88" t="s">
        <v>775</v>
      </c>
      <c r="K4205" s="89"/>
      <c r="L4205" s="89"/>
      <c r="M4205" s="90"/>
      <c r="N4205" s="88" t="s">
        <v>22</v>
      </c>
      <c r="O4205" s="89"/>
      <c r="P4205" s="90"/>
      <c r="Q4205" s="133">
        <v>1500</v>
      </c>
      <c r="R4205" s="134"/>
      <c r="S4205" s="5" t="s">
        <v>27</v>
      </c>
      <c r="T4205" s="6"/>
      <c r="U4205" s="6"/>
      <c r="V4205" s="5" t="s">
        <v>702</v>
      </c>
      <c r="W4205" s="12">
        <v>5594076</v>
      </c>
      <c r="X4205" s="6"/>
      <c r="Y4205" s="6"/>
    </row>
    <row r="4206" spans="1:25" ht="15" customHeight="1" x14ac:dyDescent="0.2">
      <c r="A4206" s="88" t="s">
        <v>5095</v>
      </c>
      <c r="B4206" s="90"/>
      <c r="C4206" s="88" t="s">
        <v>5101</v>
      </c>
      <c r="D4206" s="90"/>
      <c r="E4206" s="88" t="s">
        <v>5100</v>
      </c>
      <c r="F4206" s="89"/>
      <c r="G4206" s="89"/>
      <c r="H4206" s="89"/>
      <c r="I4206" s="90"/>
      <c r="J4206" s="88" t="s">
        <v>775</v>
      </c>
      <c r="K4206" s="89"/>
      <c r="L4206" s="89"/>
      <c r="M4206" s="90"/>
      <c r="N4206" s="88" t="s">
        <v>22</v>
      </c>
      <c r="O4206" s="89"/>
      <c r="P4206" s="90"/>
      <c r="Q4206" s="133">
        <v>1500</v>
      </c>
      <c r="R4206" s="134"/>
      <c r="S4206" s="5" t="s">
        <v>27</v>
      </c>
      <c r="T4206" s="6"/>
      <c r="U4206" s="6"/>
      <c r="V4206" s="5" t="s">
        <v>2586</v>
      </c>
      <c r="W4206" s="12">
        <v>6553391</v>
      </c>
      <c r="X4206" s="6"/>
      <c r="Y4206" s="6"/>
    </row>
    <row r="4207" spans="1:25" ht="15" customHeight="1" x14ac:dyDescent="0.2">
      <c r="A4207" s="88" t="s">
        <v>5095</v>
      </c>
      <c r="B4207" s="90"/>
      <c r="C4207" s="88" t="s">
        <v>5101</v>
      </c>
      <c r="D4207" s="90"/>
      <c r="E4207" s="88" t="s">
        <v>5100</v>
      </c>
      <c r="F4207" s="89"/>
      <c r="G4207" s="89"/>
      <c r="H4207" s="89"/>
      <c r="I4207" s="90"/>
      <c r="J4207" s="88" t="s">
        <v>775</v>
      </c>
      <c r="K4207" s="89"/>
      <c r="L4207" s="89"/>
      <c r="M4207" s="90"/>
      <c r="N4207" s="88" t="s">
        <v>26</v>
      </c>
      <c r="O4207" s="89"/>
      <c r="P4207" s="90"/>
      <c r="Q4207" s="133">
        <v>1500</v>
      </c>
      <c r="R4207" s="134"/>
      <c r="S4207" s="5" t="s">
        <v>27</v>
      </c>
      <c r="T4207" s="6"/>
      <c r="U4207" s="6"/>
      <c r="V4207" s="5" t="s">
        <v>702</v>
      </c>
      <c r="W4207" s="12">
        <v>6553391</v>
      </c>
      <c r="X4207" s="6"/>
      <c r="Y4207" s="6"/>
    </row>
    <row r="4208" spans="1:25" ht="15" customHeight="1" x14ac:dyDescent="0.2">
      <c r="A4208" s="88" t="s">
        <v>5095</v>
      </c>
      <c r="B4208" s="90"/>
      <c r="C4208" s="88" t="s">
        <v>5102</v>
      </c>
      <c r="D4208" s="90"/>
      <c r="E4208" s="106"/>
      <c r="F4208" s="107"/>
      <c r="G4208" s="107"/>
      <c r="H4208" s="107"/>
      <c r="I4208" s="108"/>
      <c r="J4208" s="88" t="s">
        <v>775</v>
      </c>
      <c r="K4208" s="89"/>
      <c r="L4208" s="89"/>
      <c r="M4208" s="90"/>
      <c r="N4208" s="88" t="s">
        <v>26</v>
      </c>
      <c r="O4208" s="89"/>
      <c r="P4208" s="90"/>
      <c r="Q4208" s="133">
        <v>1500</v>
      </c>
      <c r="R4208" s="134"/>
      <c r="S4208" s="5" t="s">
        <v>27</v>
      </c>
      <c r="T4208" s="6"/>
      <c r="U4208" s="6"/>
      <c r="V4208" s="5" t="s">
        <v>702</v>
      </c>
      <c r="W4208" s="12">
        <v>4922060</v>
      </c>
      <c r="X4208" s="6"/>
      <c r="Y4208" s="6"/>
    </row>
    <row r="4209" spans="1:25" ht="15" customHeight="1" x14ac:dyDescent="0.2">
      <c r="A4209" s="88" t="s">
        <v>5095</v>
      </c>
      <c r="B4209" s="90"/>
      <c r="C4209" s="88" t="s">
        <v>5103</v>
      </c>
      <c r="D4209" s="90"/>
      <c r="E4209" s="88" t="s">
        <v>5104</v>
      </c>
      <c r="F4209" s="89"/>
      <c r="G4209" s="89"/>
      <c r="H4209" s="89"/>
      <c r="I4209" s="90"/>
      <c r="J4209" s="88" t="s">
        <v>775</v>
      </c>
      <c r="K4209" s="89"/>
      <c r="L4209" s="89"/>
      <c r="M4209" s="90"/>
      <c r="N4209" s="88" t="s">
        <v>26</v>
      </c>
      <c r="O4209" s="89"/>
      <c r="P4209" s="90"/>
      <c r="Q4209" s="133">
        <v>1000</v>
      </c>
      <c r="R4209" s="134"/>
      <c r="S4209" s="5" t="s">
        <v>27</v>
      </c>
      <c r="T4209" s="6"/>
      <c r="U4209" s="6"/>
      <c r="V4209" s="5" t="s">
        <v>2586</v>
      </c>
      <c r="W4209" s="12">
        <v>5348055</v>
      </c>
      <c r="X4209" s="6"/>
      <c r="Y4209" s="6"/>
    </row>
    <row r="4210" spans="1:25" ht="15" customHeight="1" x14ac:dyDescent="0.2">
      <c r="A4210" s="88" t="s">
        <v>5095</v>
      </c>
      <c r="B4210" s="90"/>
      <c r="C4210" s="88" t="s">
        <v>5103</v>
      </c>
      <c r="D4210" s="90"/>
      <c r="E4210" s="88" t="s">
        <v>5104</v>
      </c>
      <c r="F4210" s="89"/>
      <c r="G4210" s="89"/>
      <c r="H4210" s="89"/>
      <c r="I4210" s="90"/>
      <c r="J4210" s="88" t="s">
        <v>775</v>
      </c>
      <c r="K4210" s="89"/>
      <c r="L4210" s="89"/>
      <c r="M4210" s="90"/>
      <c r="N4210" s="88" t="s">
        <v>26</v>
      </c>
      <c r="O4210" s="89"/>
      <c r="P4210" s="90"/>
      <c r="Q4210" s="133">
        <v>1000</v>
      </c>
      <c r="R4210" s="134"/>
      <c r="S4210" s="5" t="s">
        <v>27</v>
      </c>
      <c r="T4210" s="6"/>
      <c r="U4210" s="6"/>
      <c r="V4210" s="5" t="s">
        <v>702</v>
      </c>
      <c r="W4210" s="12">
        <v>5348055</v>
      </c>
      <c r="X4210" s="6"/>
      <c r="Y4210" s="6"/>
    </row>
    <row r="4211" spans="1:25" ht="15" customHeight="1" x14ac:dyDescent="0.2">
      <c r="A4211" s="88" t="s">
        <v>5095</v>
      </c>
      <c r="B4211" s="90"/>
      <c r="C4211" s="88" t="s">
        <v>5105</v>
      </c>
      <c r="D4211" s="90"/>
      <c r="E4211" s="88" t="s">
        <v>5100</v>
      </c>
      <c r="F4211" s="89"/>
      <c r="G4211" s="89"/>
      <c r="H4211" s="89"/>
      <c r="I4211" s="90"/>
      <c r="J4211" s="88" t="s">
        <v>775</v>
      </c>
      <c r="K4211" s="89"/>
      <c r="L4211" s="89"/>
      <c r="M4211" s="90"/>
      <c r="N4211" s="88" t="s">
        <v>26</v>
      </c>
      <c r="O4211" s="89"/>
      <c r="P4211" s="90"/>
      <c r="Q4211" s="133">
        <v>1500</v>
      </c>
      <c r="R4211" s="134"/>
      <c r="S4211" s="5" t="s">
        <v>16</v>
      </c>
      <c r="T4211" s="6"/>
      <c r="U4211" s="6"/>
      <c r="V4211" s="5" t="s">
        <v>2586</v>
      </c>
      <c r="W4211" s="12">
        <v>7048734</v>
      </c>
      <c r="X4211" s="6"/>
      <c r="Y4211" s="6"/>
    </row>
    <row r="4212" spans="1:25" ht="15" customHeight="1" x14ac:dyDescent="0.2">
      <c r="A4212" s="88" t="s">
        <v>5095</v>
      </c>
      <c r="B4212" s="90"/>
      <c r="C4212" s="88" t="s">
        <v>5105</v>
      </c>
      <c r="D4212" s="90"/>
      <c r="E4212" s="88" t="s">
        <v>5100</v>
      </c>
      <c r="F4212" s="89"/>
      <c r="G4212" s="89"/>
      <c r="H4212" s="89"/>
      <c r="I4212" s="90"/>
      <c r="J4212" s="88" t="s">
        <v>775</v>
      </c>
      <c r="K4212" s="89"/>
      <c r="L4212" s="89"/>
      <c r="M4212" s="90"/>
      <c r="N4212" s="88" t="s">
        <v>26</v>
      </c>
      <c r="O4212" s="89"/>
      <c r="P4212" s="90"/>
      <c r="Q4212" s="133">
        <v>1500</v>
      </c>
      <c r="R4212" s="134"/>
      <c r="S4212" s="5" t="s">
        <v>16</v>
      </c>
      <c r="T4212" s="6"/>
      <c r="U4212" s="6"/>
      <c r="V4212" s="5" t="s">
        <v>702</v>
      </c>
      <c r="W4212" s="12">
        <v>7048734</v>
      </c>
      <c r="X4212" s="6"/>
      <c r="Y4212" s="6"/>
    </row>
    <row r="4213" spans="1:25" ht="15" customHeight="1" x14ac:dyDescent="0.2">
      <c r="A4213" s="88" t="s">
        <v>5095</v>
      </c>
      <c r="B4213" s="90"/>
      <c r="C4213" s="88" t="s">
        <v>5106</v>
      </c>
      <c r="D4213" s="90"/>
      <c r="E4213" s="88" t="s">
        <v>5104</v>
      </c>
      <c r="F4213" s="89"/>
      <c r="G4213" s="89"/>
      <c r="H4213" s="89"/>
      <c r="I4213" s="90"/>
      <c r="J4213" s="88" t="s">
        <v>775</v>
      </c>
      <c r="K4213" s="89"/>
      <c r="L4213" s="89"/>
      <c r="M4213" s="90"/>
      <c r="N4213" s="88" t="s">
        <v>26</v>
      </c>
      <c r="O4213" s="89"/>
      <c r="P4213" s="90"/>
      <c r="Q4213" s="133">
        <v>1000</v>
      </c>
      <c r="R4213" s="134"/>
      <c r="S4213" s="5" t="s">
        <v>16</v>
      </c>
      <c r="T4213" s="6"/>
      <c r="U4213" s="6"/>
      <c r="V4213" s="5" t="s">
        <v>702</v>
      </c>
      <c r="W4213" s="12">
        <v>4704109</v>
      </c>
      <c r="X4213" s="6"/>
      <c r="Y4213" s="6"/>
    </row>
    <row r="4214" spans="1:25" ht="15" customHeight="1" x14ac:dyDescent="0.2">
      <c r="A4214" s="88" t="s">
        <v>5095</v>
      </c>
      <c r="B4214" s="90"/>
      <c r="C4214" s="88" t="s">
        <v>5107</v>
      </c>
      <c r="D4214" s="90"/>
      <c r="E4214" s="88" t="s">
        <v>5104</v>
      </c>
      <c r="F4214" s="89"/>
      <c r="G4214" s="89"/>
      <c r="H4214" s="89"/>
      <c r="I4214" s="90"/>
      <c r="J4214" s="88" t="s">
        <v>775</v>
      </c>
      <c r="K4214" s="89"/>
      <c r="L4214" s="89"/>
      <c r="M4214" s="90"/>
      <c r="N4214" s="88" t="s">
        <v>26</v>
      </c>
      <c r="O4214" s="89"/>
      <c r="P4214" s="90"/>
      <c r="Q4214" s="133">
        <v>1000</v>
      </c>
      <c r="R4214" s="134"/>
      <c r="S4214" s="5" t="s">
        <v>16</v>
      </c>
      <c r="T4214" s="6"/>
      <c r="U4214" s="6"/>
      <c r="V4214" s="5" t="s">
        <v>2586</v>
      </c>
      <c r="W4214" s="12">
        <v>5430613</v>
      </c>
      <c r="X4214" s="6"/>
      <c r="Y4214" s="6"/>
    </row>
    <row r="4215" spans="1:25" ht="15" customHeight="1" x14ac:dyDescent="0.2">
      <c r="A4215" s="88" t="s">
        <v>5095</v>
      </c>
      <c r="B4215" s="90"/>
      <c r="C4215" s="88" t="s">
        <v>5107</v>
      </c>
      <c r="D4215" s="90"/>
      <c r="E4215" s="88" t="s">
        <v>5104</v>
      </c>
      <c r="F4215" s="89"/>
      <c r="G4215" s="89"/>
      <c r="H4215" s="89"/>
      <c r="I4215" s="90"/>
      <c r="J4215" s="88" t="s">
        <v>775</v>
      </c>
      <c r="K4215" s="89"/>
      <c r="L4215" s="89"/>
      <c r="M4215" s="90"/>
      <c r="N4215" s="88" t="s">
        <v>26</v>
      </c>
      <c r="O4215" s="89"/>
      <c r="P4215" s="90"/>
      <c r="Q4215" s="133">
        <v>1000</v>
      </c>
      <c r="R4215" s="134"/>
      <c r="S4215" s="5" t="s">
        <v>16</v>
      </c>
      <c r="T4215" s="6"/>
      <c r="U4215" s="6"/>
      <c r="V4215" s="5" t="s">
        <v>702</v>
      </c>
      <c r="W4215" s="12">
        <v>5430613</v>
      </c>
      <c r="X4215" s="6"/>
      <c r="Y4215" s="6"/>
    </row>
    <row r="4216" spans="1:25" ht="15" customHeight="1" x14ac:dyDescent="0.2">
      <c r="A4216" s="88" t="s">
        <v>5095</v>
      </c>
      <c r="B4216" s="90"/>
      <c r="C4216" s="88" t="s">
        <v>5108</v>
      </c>
      <c r="D4216" s="90"/>
      <c r="E4216" s="88" t="s">
        <v>5100</v>
      </c>
      <c r="F4216" s="89"/>
      <c r="G4216" s="89"/>
      <c r="H4216" s="89"/>
      <c r="I4216" s="90"/>
      <c r="J4216" s="88" t="s">
        <v>775</v>
      </c>
      <c r="K4216" s="89"/>
      <c r="L4216" s="89"/>
      <c r="M4216" s="90"/>
      <c r="N4216" s="88" t="s">
        <v>26</v>
      </c>
      <c r="O4216" s="89"/>
      <c r="P4216" s="90"/>
      <c r="Q4216" s="133">
        <v>1500</v>
      </c>
      <c r="R4216" s="134"/>
      <c r="S4216" s="5" t="s">
        <v>16</v>
      </c>
      <c r="T4216" s="6"/>
      <c r="U4216" s="6"/>
      <c r="V4216" s="5" t="s">
        <v>702</v>
      </c>
      <c r="W4216" s="12">
        <v>6538530</v>
      </c>
      <c r="X4216" s="6"/>
      <c r="Y4216" s="6"/>
    </row>
    <row r="4217" spans="1:25" ht="15" customHeight="1" x14ac:dyDescent="0.2">
      <c r="A4217" s="88" t="s">
        <v>5095</v>
      </c>
      <c r="B4217" s="90"/>
      <c r="C4217" s="88" t="s">
        <v>5109</v>
      </c>
      <c r="D4217" s="90"/>
      <c r="E4217" s="88" t="s">
        <v>5104</v>
      </c>
      <c r="F4217" s="89"/>
      <c r="G4217" s="89"/>
      <c r="H4217" s="89"/>
      <c r="I4217" s="90"/>
      <c r="J4217" s="88" t="s">
        <v>775</v>
      </c>
      <c r="K4217" s="89"/>
      <c r="L4217" s="89"/>
      <c r="M4217" s="90"/>
      <c r="N4217" s="88" t="s">
        <v>22</v>
      </c>
      <c r="O4217" s="89"/>
      <c r="P4217" s="90"/>
      <c r="Q4217" s="133">
        <v>1000</v>
      </c>
      <c r="R4217" s="134"/>
      <c r="S4217" s="5" t="s">
        <v>16</v>
      </c>
      <c r="T4217" s="6"/>
      <c r="U4217" s="6"/>
      <c r="V4217" s="5" t="s">
        <v>702</v>
      </c>
      <c r="W4217" s="12">
        <v>5485100</v>
      </c>
      <c r="X4217" s="6"/>
      <c r="Y4217" s="6"/>
    </row>
    <row r="4218" spans="1:25" ht="15" customHeight="1" x14ac:dyDescent="0.2">
      <c r="A4218" s="88" t="s">
        <v>5095</v>
      </c>
      <c r="B4218" s="90"/>
      <c r="C4218" s="88" t="s">
        <v>5110</v>
      </c>
      <c r="D4218" s="90"/>
      <c r="E4218" s="106"/>
      <c r="F4218" s="107"/>
      <c r="G4218" s="107"/>
      <c r="H4218" s="107"/>
      <c r="I4218" s="108"/>
      <c r="J4218" s="88" t="s">
        <v>2319</v>
      </c>
      <c r="K4218" s="89"/>
      <c r="L4218" s="89"/>
      <c r="M4218" s="90"/>
      <c r="N4218" s="88" t="s">
        <v>22</v>
      </c>
      <c r="O4218" s="89"/>
      <c r="P4218" s="90"/>
      <c r="Q4218" s="133">
        <v>1400</v>
      </c>
      <c r="R4218" s="134"/>
      <c r="S4218" s="5" t="s">
        <v>16</v>
      </c>
      <c r="T4218" s="6"/>
      <c r="U4218" s="6"/>
      <c r="V4218" s="5" t="s">
        <v>702</v>
      </c>
      <c r="W4218" s="12">
        <v>5957328</v>
      </c>
      <c r="X4218" s="6"/>
      <c r="Y4218" s="6"/>
    </row>
    <row r="4219" spans="1:25" ht="15" customHeight="1" x14ac:dyDescent="0.2">
      <c r="A4219" s="88" t="s">
        <v>5095</v>
      </c>
      <c r="B4219" s="90"/>
      <c r="C4219" s="88" t="s">
        <v>5110</v>
      </c>
      <c r="D4219" s="90"/>
      <c r="E4219" s="106"/>
      <c r="F4219" s="107"/>
      <c r="G4219" s="107"/>
      <c r="H4219" s="107"/>
      <c r="I4219" s="108"/>
      <c r="J4219" s="88" t="s">
        <v>2319</v>
      </c>
      <c r="K4219" s="89"/>
      <c r="L4219" s="89"/>
      <c r="M4219" s="90"/>
      <c r="N4219" s="88" t="s">
        <v>26</v>
      </c>
      <c r="O4219" s="89"/>
      <c r="P4219" s="90"/>
      <c r="Q4219" s="133">
        <v>1400</v>
      </c>
      <c r="R4219" s="134"/>
      <c r="S4219" s="5" t="s">
        <v>16</v>
      </c>
      <c r="T4219" s="6"/>
      <c r="U4219" s="6"/>
      <c r="V4219" s="5" t="s">
        <v>702</v>
      </c>
      <c r="W4219" s="12">
        <v>6602925</v>
      </c>
      <c r="X4219" s="6"/>
      <c r="Y4219" s="6"/>
    </row>
    <row r="4220" spans="1:25" ht="15" customHeight="1" x14ac:dyDescent="0.2">
      <c r="A4220" s="88" t="s">
        <v>5095</v>
      </c>
      <c r="B4220" s="90"/>
      <c r="C4220" s="88" t="s">
        <v>5111</v>
      </c>
      <c r="D4220" s="90"/>
      <c r="E4220" s="88" t="s">
        <v>5100</v>
      </c>
      <c r="F4220" s="89"/>
      <c r="G4220" s="89"/>
      <c r="H4220" s="89"/>
      <c r="I4220" s="90"/>
      <c r="J4220" s="88" t="s">
        <v>2319</v>
      </c>
      <c r="K4220" s="89"/>
      <c r="L4220" s="89"/>
      <c r="M4220" s="90"/>
      <c r="N4220" s="88" t="s">
        <v>26</v>
      </c>
      <c r="O4220" s="89"/>
      <c r="P4220" s="90"/>
      <c r="Q4220" s="133">
        <v>1400</v>
      </c>
      <c r="R4220" s="134"/>
      <c r="S4220" s="5" t="s">
        <v>16</v>
      </c>
      <c r="T4220" s="6"/>
      <c r="U4220" s="6"/>
      <c r="V4220" s="5" t="s">
        <v>2586</v>
      </c>
      <c r="W4220" s="12">
        <v>7345940</v>
      </c>
      <c r="X4220" s="6"/>
      <c r="Y4220" s="6"/>
    </row>
    <row r="4221" spans="1:25" ht="15" customHeight="1" x14ac:dyDescent="0.2">
      <c r="A4221" s="88" t="s">
        <v>5095</v>
      </c>
      <c r="B4221" s="90"/>
      <c r="C4221" s="88" t="s">
        <v>5111</v>
      </c>
      <c r="D4221" s="90"/>
      <c r="E4221" s="88" t="s">
        <v>5100</v>
      </c>
      <c r="F4221" s="89"/>
      <c r="G4221" s="89"/>
      <c r="H4221" s="89"/>
      <c r="I4221" s="90"/>
      <c r="J4221" s="88" t="s">
        <v>2319</v>
      </c>
      <c r="K4221" s="89"/>
      <c r="L4221" s="89"/>
      <c r="M4221" s="90"/>
      <c r="N4221" s="88" t="s">
        <v>26</v>
      </c>
      <c r="O4221" s="89"/>
      <c r="P4221" s="90"/>
      <c r="Q4221" s="133">
        <v>1400</v>
      </c>
      <c r="R4221" s="134"/>
      <c r="S4221" s="5" t="s">
        <v>16</v>
      </c>
      <c r="T4221" s="6"/>
      <c r="U4221" s="6"/>
      <c r="V4221" s="5" t="s">
        <v>702</v>
      </c>
      <c r="W4221" s="12">
        <v>7593611</v>
      </c>
      <c r="X4221" s="6"/>
      <c r="Y4221" s="6"/>
    </row>
    <row r="4222" spans="1:25" ht="15" customHeight="1" x14ac:dyDescent="0.2">
      <c r="A4222" s="88" t="s">
        <v>5095</v>
      </c>
      <c r="B4222" s="90"/>
      <c r="C4222" s="88" t="s">
        <v>5112</v>
      </c>
      <c r="D4222" s="90"/>
      <c r="E4222" s="88" t="s">
        <v>5100</v>
      </c>
      <c r="F4222" s="89"/>
      <c r="G4222" s="89"/>
      <c r="H4222" s="89"/>
      <c r="I4222" s="90"/>
      <c r="J4222" s="88" t="s">
        <v>2319</v>
      </c>
      <c r="K4222" s="89"/>
      <c r="L4222" s="89"/>
      <c r="M4222" s="90"/>
      <c r="N4222" s="88" t="s">
        <v>26</v>
      </c>
      <c r="O4222" s="89"/>
      <c r="P4222" s="90"/>
      <c r="Q4222" s="133">
        <v>1400</v>
      </c>
      <c r="R4222" s="134"/>
      <c r="S4222" s="5" t="s">
        <v>16</v>
      </c>
      <c r="T4222" s="6"/>
      <c r="U4222" s="6"/>
      <c r="V4222" s="5" t="s">
        <v>702</v>
      </c>
      <c r="W4222" s="12">
        <v>6738319</v>
      </c>
      <c r="X4222" s="6"/>
      <c r="Y4222" s="6"/>
    </row>
    <row r="4223" spans="1:25" ht="15" customHeight="1" x14ac:dyDescent="0.2">
      <c r="A4223" s="88" t="s">
        <v>5095</v>
      </c>
      <c r="B4223" s="90"/>
      <c r="C4223" s="88" t="s">
        <v>5113</v>
      </c>
      <c r="D4223" s="90"/>
      <c r="E4223" s="88" t="s">
        <v>5114</v>
      </c>
      <c r="F4223" s="89"/>
      <c r="G4223" s="89"/>
      <c r="H4223" s="89"/>
      <c r="I4223" s="90"/>
      <c r="J4223" s="88" t="s">
        <v>775</v>
      </c>
      <c r="K4223" s="89"/>
      <c r="L4223" s="89"/>
      <c r="M4223" s="90"/>
      <c r="N4223" s="88" t="s">
        <v>22</v>
      </c>
      <c r="O4223" s="89"/>
      <c r="P4223" s="90"/>
      <c r="Q4223" s="133">
        <v>2000</v>
      </c>
      <c r="R4223" s="134"/>
      <c r="S4223" s="5" t="s">
        <v>16</v>
      </c>
      <c r="T4223" s="6"/>
      <c r="U4223" s="6"/>
      <c r="V4223" s="5" t="s">
        <v>702</v>
      </c>
      <c r="W4223" s="12">
        <v>10838109</v>
      </c>
      <c r="X4223" s="6"/>
      <c r="Y4223" s="6"/>
    </row>
    <row r="4224" spans="1:25" ht="15" customHeight="1" x14ac:dyDescent="0.2">
      <c r="A4224" s="88" t="s">
        <v>5095</v>
      </c>
      <c r="B4224" s="90"/>
      <c r="C4224" s="88" t="s">
        <v>5113</v>
      </c>
      <c r="D4224" s="90"/>
      <c r="E4224" s="88" t="s">
        <v>5114</v>
      </c>
      <c r="F4224" s="89"/>
      <c r="G4224" s="89"/>
      <c r="H4224" s="89"/>
      <c r="I4224" s="90"/>
      <c r="J4224" s="88" t="s">
        <v>775</v>
      </c>
      <c r="K4224" s="89"/>
      <c r="L4224" s="89"/>
      <c r="M4224" s="90"/>
      <c r="N4224" s="88" t="s">
        <v>22</v>
      </c>
      <c r="O4224" s="89"/>
      <c r="P4224" s="90"/>
      <c r="Q4224" s="133">
        <v>2000</v>
      </c>
      <c r="R4224" s="134"/>
      <c r="S4224" s="5" t="s">
        <v>16</v>
      </c>
      <c r="T4224" s="6"/>
      <c r="U4224" s="6"/>
      <c r="V4224" s="5" t="s">
        <v>702</v>
      </c>
      <c r="W4224" s="12">
        <v>12715010</v>
      </c>
      <c r="X4224" s="6"/>
      <c r="Y4224" s="6"/>
    </row>
    <row r="4225" spans="1:25" ht="15" customHeight="1" x14ac:dyDescent="0.2">
      <c r="A4225" s="88" t="s">
        <v>5095</v>
      </c>
      <c r="B4225" s="90"/>
      <c r="C4225" s="88" t="s">
        <v>5115</v>
      </c>
      <c r="D4225" s="90"/>
      <c r="E4225" s="106"/>
      <c r="F4225" s="107"/>
      <c r="G4225" s="107"/>
      <c r="H4225" s="107"/>
      <c r="I4225" s="108"/>
      <c r="J4225" s="88" t="s">
        <v>775</v>
      </c>
      <c r="K4225" s="89"/>
      <c r="L4225" s="89"/>
      <c r="M4225" s="90"/>
      <c r="N4225" s="88" t="s">
        <v>22</v>
      </c>
      <c r="O4225" s="89"/>
      <c r="P4225" s="90"/>
      <c r="Q4225" s="133">
        <v>2000</v>
      </c>
      <c r="R4225" s="134"/>
      <c r="S4225" s="5" t="s">
        <v>16</v>
      </c>
      <c r="T4225" s="6"/>
      <c r="U4225" s="6"/>
      <c r="V4225" s="5" t="s">
        <v>2586</v>
      </c>
      <c r="W4225" s="12">
        <v>9905063</v>
      </c>
      <c r="X4225" s="6"/>
      <c r="Y4225" s="6"/>
    </row>
    <row r="4226" spans="1:25" ht="15" customHeight="1" x14ac:dyDescent="0.2">
      <c r="A4226" s="88" t="s">
        <v>5095</v>
      </c>
      <c r="B4226" s="90"/>
      <c r="C4226" s="88" t="s">
        <v>5116</v>
      </c>
      <c r="D4226" s="90"/>
      <c r="E4226" s="106"/>
      <c r="F4226" s="107"/>
      <c r="G4226" s="107"/>
      <c r="H4226" s="107"/>
      <c r="I4226" s="108"/>
      <c r="J4226" s="88" t="s">
        <v>775</v>
      </c>
      <c r="K4226" s="89"/>
      <c r="L4226" s="89"/>
      <c r="M4226" s="90"/>
      <c r="N4226" s="88" t="s">
        <v>22</v>
      </c>
      <c r="O4226" s="89"/>
      <c r="P4226" s="90"/>
      <c r="Q4226" s="133">
        <v>2000</v>
      </c>
      <c r="R4226" s="134"/>
      <c r="S4226" s="5" t="s">
        <v>16</v>
      </c>
      <c r="T4226" s="6"/>
      <c r="U4226" s="6"/>
      <c r="V4226" s="5" t="s">
        <v>2586</v>
      </c>
      <c r="W4226" s="12">
        <v>10625562</v>
      </c>
      <c r="X4226" s="6"/>
      <c r="Y4226" s="6"/>
    </row>
    <row r="4227" spans="1:25" ht="15" customHeight="1" x14ac:dyDescent="0.2">
      <c r="A4227" s="88" t="s">
        <v>5095</v>
      </c>
      <c r="B4227" s="90"/>
      <c r="C4227" s="88" t="s">
        <v>5117</v>
      </c>
      <c r="D4227" s="90"/>
      <c r="E4227" s="88" t="s">
        <v>5118</v>
      </c>
      <c r="F4227" s="89"/>
      <c r="G4227" s="89"/>
      <c r="H4227" s="89"/>
      <c r="I4227" s="90"/>
      <c r="J4227" s="88" t="s">
        <v>775</v>
      </c>
      <c r="K4227" s="89"/>
      <c r="L4227" s="89"/>
      <c r="M4227" s="90"/>
      <c r="N4227" s="88" t="s">
        <v>22</v>
      </c>
      <c r="O4227" s="89"/>
      <c r="P4227" s="90"/>
      <c r="Q4227" s="133">
        <v>2000</v>
      </c>
      <c r="R4227" s="134"/>
      <c r="S4227" s="5" t="s">
        <v>16</v>
      </c>
      <c r="T4227" s="6"/>
      <c r="U4227" s="6"/>
      <c r="V4227" s="5" t="s">
        <v>702</v>
      </c>
      <c r="W4227" s="12">
        <v>10409412</v>
      </c>
      <c r="X4227" s="6"/>
      <c r="Y4227" s="6"/>
    </row>
    <row r="4228" spans="1:25" ht="15" customHeight="1" x14ac:dyDescent="0.2">
      <c r="A4228" s="88" t="s">
        <v>5095</v>
      </c>
      <c r="B4228" s="90"/>
      <c r="C4228" s="88" t="s">
        <v>5119</v>
      </c>
      <c r="D4228" s="90"/>
      <c r="E4228" s="88" t="s">
        <v>5118</v>
      </c>
      <c r="F4228" s="89"/>
      <c r="G4228" s="89"/>
      <c r="H4228" s="89"/>
      <c r="I4228" s="90"/>
      <c r="J4228" s="88" t="s">
        <v>775</v>
      </c>
      <c r="K4228" s="89"/>
      <c r="L4228" s="89"/>
      <c r="M4228" s="90"/>
      <c r="N4228" s="88" t="s">
        <v>22</v>
      </c>
      <c r="O4228" s="89"/>
      <c r="P4228" s="90"/>
      <c r="Q4228" s="133">
        <v>2000</v>
      </c>
      <c r="R4228" s="134"/>
      <c r="S4228" s="5" t="s">
        <v>16</v>
      </c>
      <c r="T4228" s="6"/>
      <c r="U4228" s="6"/>
      <c r="V4228" s="5" t="s">
        <v>702</v>
      </c>
      <c r="W4228" s="12">
        <v>9598851</v>
      </c>
      <c r="X4228" s="6"/>
      <c r="Y4228" s="6"/>
    </row>
    <row r="4229" spans="1:25" ht="15" customHeight="1" x14ac:dyDescent="0.2">
      <c r="A4229" s="88" t="s">
        <v>5095</v>
      </c>
      <c r="B4229" s="90"/>
      <c r="C4229" s="88" t="s">
        <v>5120</v>
      </c>
      <c r="D4229" s="90"/>
      <c r="E4229" s="88" t="s">
        <v>5114</v>
      </c>
      <c r="F4229" s="89"/>
      <c r="G4229" s="89"/>
      <c r="H4229" s="89"/>
      <c r="I4229" s="90"/>
      <c r="J4229" s="88" t="s">
        <v>775</v>
      </c>
      <c r="K4229" s="89"/>
      <c r="L4229" s="89"/>
      <c r="M4229" s="90"/>
      <c r="N4229" s="88" t="s">
        <v>26</v>
      </c>
      <c r="O4229" s="89"/>
      <c r="P4229" s="90"/>
      <c r="Q4229" s="133">
        <v>2000</v>
      </c>
      <c r="R4229" s="134"/>
      <c r="S4229" s="5" t="s">
        <v>44</v>
      </c>
      <c r="T4229" s="6"/>
      <c r="U4229" s="6"/>
      <c r="V4229" s="5" t="s">
        <v>702</v>
      </c>
      <c r="W4229" s="12">
        <v>8718040</v>
      </c>
      <c r="X4229" s="6"/>
      <c r="Y4229" s="6"/>
    </row>
    <row r="4230" spans="1:25" ht="15" customHeight="1" x14ac:dyDescent="0.2">
      <c r="A4230" s="88" t="s">
        <v>5095</v>
      </c>
      <c r="B4230" s="90"/>
      <c r="C4230" s="88" t="s">
        <v>5120</v>
      </c>
      <c r="D4230" s="90"/>
      <c r="E4230" s="88" t="s">
        <v>5114</v>
      </c>
      <c r="F4230" s="89"/>
      <c r="G4230" s="89"/>
      <c r="H4230" s="89"/>
      <c r="I4230" s="90"/>
      <c r="J4230" s="88" t="s">
        <v>775</v>
      </c>
      <c r="K4230" s="89"/>
      <c r="L4230" s="89"/>
      <c r="M4230" s="90"/>
      <c r="N4230" s="88" t="s">
        <v>22</v>
      </c>
      <c r="O4230" s="89"/>
      <c r="P4230" s="90"/>
      <c r="Q4230" s="133">
        <v>2000</v>
      </c>
      <c r="R4230" s="134"/>
      <c r="S4230" s="5" t="s">
        <v>70</v>
      </c>
      <c r="T4230" s="6"/>
      <c r="U4230" s="6"/>
      <c r="V4230" s="5" t="s">
        <v>702</v>
      </c>
      <c r="W4230" s="12">
        <v>8935991</v>
      </c>
      <c r="X4230" s="6"/>
      <c r="Y4230" s="6"/>
    </row>
    <row r="4231" spans="1:25" ht="15" customHeight="1" x14ac:dyDescent="0.2">
      <c r="A4231" s="88" t="s">
        <v>5095</v>
      </c>
      <c r="B4231" s="90"/>
      <c r="C4231" s="88" t="s">
        <v>5120</v>
      </c>
      <c r="D4231" s="90"/>
      <c r="E4231" s="88" t="s">
        <v>5114</v>
      </c>
      <c r="F4231" s="89"/>
      <c r="G4231" s="89"/>
      <c r="H4231" s="89"/>
      <c r="I4231" s="90"/>
      <c r="J4231" s="88" t="s">
        <v>775</v>
      </c>
      <c r="K4231" s="89"/>
      <c r="L4231" s="89"/>
      <c r="M4231" s="90"/>
      <c r="N4231" s="88" t="s">
        <v>22</v>
      </c>
      <c r="O4231" s="89"/>
      <c r="P4231" s="90"/>
      <c r="Q4231" s="133">
        <v>2000</v>
      </c>
      <c r="R4231" s="134"/>
      <c r="S4231" s="5" t="s">
        <v>44</v>
      </c>
      <c r="T4231" s="6"/>
      <c r="U4231" s="6"/>
      <c r="V4231" s="5" t="s">
        <v>702</v>
      </c>
      <c r="W4231" s="12">
        <v>9472763</v>
      </c>
      <c r="X4231" s="6"/>
      <c r="Y4231" s="6"/>
    </row>
    <row r="4232" spans="1:25" ht="15" customHeight="1" x14ac:dyDescent="0.2">
      <c r="A4232" s="88" t="s">
        <v>5095</v>
      </c>
      <c r="B4232" s="90"/>
      <c r="C4232" s="88" t="s">
        <v>5121</v>
      </c>
      <c r="D4232" s="90"/>
      <c r="E4232" s="88" t="s">
        <v>5122</v>
      </c>
      <c r="F4232" s="89"/>
      <c r="G4232" s="89"/>
      <c r="H4232" s="89"/>
      <c r="I4232" s="90"/>
      <c r="J4232" s="88" t="s">
        <v>775</v>
      </c>
      <c r="K4232" s="89"/>
      <c r="L4232" s="89"/>
      <c r="M4232" s="90"/>
      <c r="N4232" s="88" t="s">
        <v>22</v>
      </c>
      <c r="O4232" s="89"/>
      <c r="P4232" s="90"/>
      <c r="Q4232" s="133">
        <v>2000</v>
      </c>
      <c r="R4232" s="134"/>
      <c r="S4232" s="5" t="s">
        <v>70</v>
      </c>
      <c r="T4232" s="6"/>
      <c r="U4232" s="6"/>
      <c r="V4232" s="5" t="s">
        <v>2586</v>
      </c>
      <c r="W4232" s="12">
        <v>9946491</v>
      </c>
      <c r="X4232" s="6"/>
      <c r="Y4232" s="6"/>
    </row>
    <row r="4233" spans="1:25" ht="15" customHeight="1" x14ac:dyDescent="0.2">
      <c r="A4233" s="88" t="s">
        <v>5095</v>
      </c>
      <c r="B4233" s="90"/>
      <c r="C4233" s="88" t="s">
        <v>5121</v>
      </c>
      <c r="D4233" s="90"/>
      <c r="E4233" s="88" t="s">
        <v>5122</v>
      </c>
      <c r="F4233" s="89"/>
      <c r="G4233" s="89"/>
      <c r="H4233" s="89"/>
      <c r="I4233" s="90"/>
      <c r="J4233" s="88" t="s">
        <v>775</v>
      </c>
      <c r="K4233" s="89"/>
      <c r="L4233" s="89"/>
      <c r="M4233" s="90"/>
      <c r="N4233" s="88" t="s">
        <v>26</v>
      </c>
      <c r="O4233" s="89"/>
      <c r="P4233" s="90"/>
      <c r="Q4233" s="133">
        <v>2000</v>
      </c>
      <c r="R4233" s="134"/>
      <c r="S4233" s="5" t="s">
        <v>44</v>
      </c>
      <c r="T4233" s="6"/>
      <c r="U4233" s="6"/>
      <c r="V4233" s="5" t="s">
        <v>2586</v>
      </c>
      <c r="W4233" s="9">
        <v>10355375</v>
      </c>
      <c r="X4233" s="6"/>
      <c r="Y4233" s="6"/>
    </row>
    <row r="4234" spans="1:25" ht="15" customHeight="1" x14ac:dyDescent="0.2">
      <c r="A4234" s="88" t="s">
        <v>5095</v>
      </c>
      <c r="B4234" s="90"/>
      <c r="C4234" s="88" t="s">
        <v>5123</v>
      </c>
      <c r="D4234" s="90"/>
      <c r="E4234" s="88" t="s">
        <v>5100</v>
      </c>
      <c r="F4234" s="89"/>
      <c r="G4234" s="89"/>
      <c r="H4234" s="89"/>
      <c r="I4234" s="90"/>
      <c r="J4234" s="88" t="s">
        <v>2319</v>
      </c>
      <c r="K4234" s="89"/>
      <c r="L4234" s="89"/>
      <c r="M4234" s="90"/>
      <c r="N4234" s="88" t="s">
        <v>22</v>
      </c>
      <c r="O4234" s="89"/>
      <c r="P4234" s="90"/>
      <c r="Q4234" s="133">
        <v>1400</v>
      </c>
      <c r="R4234" s="134"/>
      <c r="S4234" s="5" t="s">
        <v>44</v>
      </c>
      <c r="T4234" s="6"/>
      <c r="U4234" s="6"/>
      <c r="V4234" s="5" t="s">
        <v>702</v>
      </c>
      <c r="W4234" s="9">
        <v>5812027</v>
      </c>
      <c r="X4234" s="6"/>
      <c r="Y4234" s="6"/>
    </row>
    <row r="4235" spans="1:25" ht="15" customHeight="1" x14ac:dyDescent="0.2">
      <c r="A4235" s="88" t="s">
        <v>5095</v>
      </c>
      <c r="B4235" s="90"/>
      <c r="C4235" s="88" t="s">
        <v>5123</v>
      </c>
      <c r="D4235" s="90"/>
      <c r="E4235" s="88" t="s">
        <v>5100</v>
      </c>
      <c r="F4235" s="89"/>
      <c r="G4235" s="89"/>
      <c r="H4235" s="89"/>
      <c r="I4235" s="90"/>
      <c r="J4235" s="88" t="s">
        <v>2319</v>
      </c>
      <c r="K4235" s="89"/>
      <c r="L4235" s="89"/>
      <c r="M4235" s="90"/>
      <c r="N4235" s="88" t="s">
        <v>22</v>
      </c>
      <c r="O4235" s="89"/>
      <c r="P4235" s="90"/>
      <c r="Q4235" s="133">
        <v>1400</v>
      </c>
      <c r="R4235" s="134"/>
      <c r="S4235" s="5" t="s">
        <v>44</v>
      </c>
      <c r="T4235" s="6"/>
      <c r="U4235" s="6"/>
      <c r="V4235" s="5" t="s">
        <v>702</v>
      </c>
      <c r="W4235" s="9">
        <v>6536879</v>
      </c>
      <c r="X4235" s="6"/>
      <c r="Y4235" s="6"/>
    </row>
    <row r="4236" spans="1:25" ht="15" customHeight="1" x14ac:dyDescent="0.2">
      <c r="A4236" s="88" t="s">
        <v>5095</v>
      </c>
      <c r="B4236" s="90"/>
      <c r="C4236" s="88" t="s">
        <v>5124</v>
      </c>
      <c r="D4236" s="90"/>
      <c r="E4236" s="88" t="s">
        <v>5100</v>
      </c>
      <c r="F4236" s="89"/>
      <c r="G4236" s="89"/>
      <c r="H4236" s="89"/>
      <c r="I4236" s="90"/>
      <c r="J4236" s="88" t="s">
        <v>2319</v>
      </c>
      <c r="K4236" s="89"/>
      <c r="L4236" s="89"/>
      <c r="M4236" s="90"/>
      <c r="N4236" s="88" t="s">
        <v>22</v>
      </c>
      <c r="O4236" s="89"/>
      <c r="P4236" s="90"/>
      <c r="Q4236" s="133">
        <v>1400</v>
      </c>
      <c r="R4236" s="134"/>
      <c r="S4236" s="5" t="s">
        <v>44</v>
      </c>
      <c r="T4236" s="6"/>
      <c r="U4236" s="6"/>
      <c r="V4236" s="5" t="s">
        <v>2586</v>
      </c>
      <c r="W4236" s="9">
        <v>7345940</v>
      </c>
      <c r="X4236" s="6"/>
      <c r="Y4236" s="6"/>
    </row>
    <row r="4237" spans="1:25" ht="15" customHeight="1" x14ac:dyDescent="0.2">
      <c r="A4237" s="88" t="s">
        <v>5095</v>
      </c>
      <c r="B4237" s="90"/>
      <c r="C4237" s="88" t="s">
        <v>5124</v>
      </c>
      <c r="D4237" s="90"/>
      <c r="E4237" s="88" t="s">
        <v>5100</v>
      </c>
      <c r="F4237" s="89"/>
      <c r="G4237" s="89"/>
      <c r="H4237" s="89"/>
      <c r="I4237" s="90"/>
      <c r="J4237" s="88" t="s">
        <v>2319</v>
      </c>
      <c r="K4237" s="89"/>
      <c r="L4237" s="89"/>
      <c r="M4237" s="90"/>
      <c r="N4237" s="88" t="s">
        <v>26</v>
      </c>
      <c r="O4237" s="89"/>
      <c r="P4237" s="90"/>
      <c r="Q4237" s="133">
        <v>1400</v>
      </c>
      <c r="R4237" s="134"/>
      <c r="S4237" s="5" t="s">
        <v>44</v>
      </c>
      <c r="T4237" s="6"/>
      <c r="U4237" s="6"/>
      <c r="V4237" s="5" t="s">
        <v>702</v>
      </c>
      <c r="W4237" s="9">
        <v>6701993</v>
      </c>
      <c r="X4237" s="6"/>
      <c r="Y4237" s="6"/>
    </row>
    <row r="4238" spans="1:25" ht="15" customHeight="1" x14ac:dyDescent="0.2">
      <c r="A4238" s="88" t="s">
        <v>5095</v>
      </c>
      <c r="B4238" s="90"/>
      <c r="C4238" s="88" t="s">
        <v>5125</v>
      </c>
      <c r="D4238" s="90"/>
      <c r="E4238" s="88" t="s">
        <v>5100</v>
      </c>
      <c r="F4238" s="89"/>
      <c r="G4238" s="89"/>
      <c r="H4238" s="89"/>
      <c r="I4238" s="90"/>
      <c r="J4238" s="88" t="s">
        <v>2319</v>
      </c>
      <c r="K4238" s="89"/>
      <c r="L4238" s="89"/>
      <c r="M4238" s="90"/>
      <c r="N4238" s="88" t="s">
        <v>22</v>
      </c>
      <c r="O4238" s="89"/>
      <c r="P4238" s="90"/>
      <c r="Q4238" s="133">
        <v>1400</v>
      </c>
      <c r="R4238" s="134"/>
      <c r="S4238" s="5" t="s">
        <v>70</v>
      </c>
      <c r="T4238" s="6"/>
      <c r="U4238" s="6"/>
      <c r="V4238" s="5" t="s">
        <v>702</v>
      </c>
      <c r="W4238" s="9">
        <v>6229766</v>
      </c>
      <c r="X4238" s="6"/>
      <c r="Y4238" s="6"/>
    </row>
    <row r="4239" spans="1:25" ht="15" customHeight="1" x14ac:dyDescent="0.2">
      <c r="A4239" s="88" t="s">
        <v>5095</v>
      </c>
      <c r="B4239" s="90"/>
      <c r="C4239" s="88" t="s">
        <v>5125</v>
      </c>
      <c r="D4239" s="90"/>
      <c r="E4239" s="88" t="s">
        <v>5100</v>
      </c>
      <c r="F4239" s="89"/>
      <c r="G4239" s="89"/>
      <c r="H4239" s="89"/>
      <c r="I4239" s="90"/>
      <c r="J4239" s="88" t="s">
        <v>2319</v>
      </c>
      <c r="K4239" s="89"/>
      <c r="L4239" s="89"/>
      <c r="M4239" s="90"/>
      <c r="N4239" s="88" t="s">
        <v>22</v>
      </c>
      <c r="O4239" s="89"/>
      <c r="P4239" s="90"/>
      <c r="Q4239" s="133">
        <v>1400</v>
      </c>
      <c r="R4239" s="134"/>
      <c r="S4239" s="5" t="s">
        <v>44</v>
      </c>
      <c r="T4239" s="6"/>
      <c r="U4239" s="6"/>
      <c r="V4239" s="5" t="s">
        <v>702</v>
      </c>
      <c r="W4239" s="9">
        <v>6701993</v>
      </c>
      <c r="X4239" s="6"/>
      <c r="Y4239" s="6"/>
    </row>
    <row r="4240" spans="1:25" ht="15" customHeight="1" x14ac:dyDescent="0.2">
      <c r="A4240" s="88" t="s">
        <v>5095</v>
      </c>
      <c r="B4240" s="90"/>
      <c r="C4240" s="88" t="s">
        <v>5126</v>
      </c>
      <c r="D4240" s="90"/>
      <c r="E4240" s="88" t="s">
        <v>5104</v>
      </c>
      <c r="F4240" s="89"/>
      <c r="G4240" s="89"/>
      <c r="H4240" s="89"/>
      <c r="I4240" s="90"/>
      <c r="J4240" s="88" t="s">
        <v>775</v>
      </c>
      <c r="K4240" s="89"/>
      <c r="L4240" s="89"/>
      <c r="M4240" s="90"/>
      <c r="N4240" s="88" t="s">
        <v>22</v>
      </c>
      <c r="O4240" s="89"/>
      <c r="P4240" s="90"/>
      <c r="Q4240" s="133">
        <v>1000</v>
      </c>
      <c r="R4240" s="134"/>
      <c r="S4240" s="5" t="s">
        <v>27</v>
      </c>
      <c r="T4240" s="6"/>
      <c r="U4240" s="6"/>
      <c r="V4240" s="5" t="s">
        <v>702</v>
      </c>
      <c r="W4240" s="9">
        <v>4885735</v>
      </c>
      <c r="X4240" s="6"/>
      <c r="Y4240" s="6"/>
    </row>
    <row r="4241" spans="1:25" ht="15" customHeight="1" x14ac:dyDescent="0.2">
      <c r="A4241" s="88" t="s">
        <v>5095</v>
      </c>
      <c r="B4241" s="90"/>
      <c r="C4241" s="88" t="s">
        <v>5127</v>
      </c>
      <c r="D4241" s="90"/>
      <c r="E4241" s="88" t="s">
        <v>5100</v>
      </c>
      <c r="F4241" s="89"/>
      <c r="G4241" s="89"/>
      <c r="H4241" s="89"/>
      <c r="I4241" s="90"/>
      <c r="J4241" s="88" t="s">
        <v>775</v>
      </c>
      <c r="K4241" s="89"/>
      <c r="L4241" s="89"/>
      <c r="M4241" s="90"/>
      <c r="N4241" s="88" t="s">
        <v>26</v>
      </c>
      <c r="O4241" s="89"/>
      <c r="P4241" s="90"/>
      <c r="Q4241" s="133">
        <v>1500</v>
      </c>
      <c r="R4241" s="134"/>
      <c r="S4241" s="5" t="s">
        <v>27</v>
      </c>
      <c r="T4241" s="6"/>
      <c r="U4241" s="6"/>
      <c r="V4241" s="5" t="s">
        <v>2586</v>
      </c>
      <c r="W4241" s="9">
        <v>6999199</v>
      </c>
      <c r="X4241" s="6"/>
      <c r="Y4241" s="6"/>
    </row>
    <row r="4242" spans="1:25" ht="15" customHeight="1" x14ac:dyDescent="0.2">
      <c r="A4242" s="88" t="s">
        <v>5095</v>
      </c>
      <c r="B4242" s="90"/>
      <c r="C4242" s="88" t="s">
        <v>5127</v>
      </c>
      <c r="D4242" s="90"/>
      <c r="E4242" s="88" t="s">
        <v>5100</v>
      </c>
      <c r="F4242" s="89"/>
      <c r="G4242" s="89"/>
      <c r="H4242" s="89"/>
      <c r="I4242" s="90"/>
      <c r="J4242" s="88" t="s">
        <v>775</v>
      </c>
      <c r="K4242" s="89"/>
      <c r="L4242" s="89"/>
      <c r="M4242" s="90"/>
      <c r="N4242" s="88" t="s">
        <v>22</v>
      </c>
      <c r="O4242" s="89"/>
      <c r="P4242" s="90"/>
      <c r="Q4242" s="133">
        <v>1500</v>
      </c>
      <c r="R4242" s="134"/>
      <c r="S4242" s="5" t="s">
        <v>27</v>
      </c>
      <c r="T4242" s="6"/>
      <c r="U4242" s="6"/>
      <c r="V4242" s="5" t="s">
        <v>702</v>
      </c>
      <c r="W4242" s="9">
        <v>6999199</v>
      </c>
      <c r="X4242" s="6"/>
      <c r="Y4242" s="6"/>
    </row>
    <row r="4243" spans="1:25" ht="15" customHeight="1" x14ac:dyDescent="0.2">
      <c r="A4243" s="88" t="s">
        <v>5095</v>
      </c>
      <c r="B4243" s="90"/>
      <c r="C4243" s="88" t="s">
        <v>5128</v>
      </c>
      <c r="D4243" s="90"/>
      <c r="E4243" s="88" t="s">
        <v>5104</v>
      </c>
      <c r="F4243" s="89"/>
      <c r="G4243" s="89"/>
      <c r="H4243" s="89"/>
      <c r="I4243" s="90"/>
      <c r="J4243" s="88" t="s">
        <v>775</v>
      </c>
      <c r="K4243" s="89"/>
      <c r="L4243" s="89"/>
      <c r="M4243" s="90"/>
      <c r="N4243" s="88" t="s">
        <v>22</v>
      </c>
      <c r="O4243" s="89"/>
      <c r="P4243" s="90"/>
      <c r="Q4243" s="133">
        <v>1000</v>
      </c>
      <c r="R4243" s="134"/>
      <c r="S4243" s="5" t="s">
        <v>27</v>
      </c>
      <c r="T4243" s="6"/>
      <c r="U4243" s="6"/>
      <c r="V4243" s="5" t="s">
        <v>2586</v>
      </c>
      <c r="W4243" s="9">
        <v>5364567</v>
      </c>
      <c r="X4243" s="6"/>
      <c r="Y4243" s="6"/>
    </row>
    <row r="4244" spans="1:25" ht="15" customHeight="1" x14ac:dyDescent="0.2">
      <c r="A4244" s="88" t="s">
        <v>5095</v>
      </c>
      <c r="B4244" s="90"/>
      <c r="C4244" s="88" t="s">
        <v>5128</v>
      </c>
      <c r="D4244" s="90"/>
      <c r="E4244" s="88" t="s">
        <v>5104</v>
      </c>
      <c r="F4244" s="89"/>
      <c r="G4244" s="89"/>
      <c r="H4244" s="89"/>
      <c r="I4244" s="90"/>
      <c r="J4244" s="88" t="s">
        <v>775</v>
      </c>
      <c r="K4244" s="89"/>
      <c r="L4244" s="89"/>
      <c r="M4244" s="90"/>
      <c r="N4244" s="88" t="s">
        <v>26</v>
      </c>
      <c r="O4244" s="89"/>
      <c r="P4244" s="90"/>
      <c r="Q4244" s="133">
        <v>1000</v>
      </c>
      <c r="R4244" s="134"/>
      <c r="S4244" s="5" t="s">
        <v>27</v>
      </c>
      <c r="T4244" s="6"/>
      <c r="U4244" s="6"/>
      <c r="V4244" s="5" t="s">
        <v>702</v>
      </c>
      <c r="W4244" s="9">
        <v>5364567</v>
      </c>
      <c r="X4244" s="6"/>
      <c r="Y4244" s="6"/>
    </row>
    <row r="4245" spans="1:25" ht="15" customHeight="1" x14ac:dyDescent="0.2">
      <c r="A4245" s="88" t="s">
        <v>5095</v>
      </c>
      <c r="B4245" s="90"/>
      <c r="C4245" s="88" t="s">
        <v>5129</v>
      </c>
      <c r="D4245" s="90"/>
      <c r="E4245" s="88" t="s">
        <v>5100</v>
      </c>
      <c r="F4245" s="89"/>
      <c r="G4245" s="89"/>
      <c r="H4245" s="89"/>
      <c r="I4245" s="90"/>
      <c r="J4245" s="88" t="s">
        <v>775</v>
      </c>
      <c r="K4245" s="89"/>
      <c r="L4245" s="89"/>
      <c r="M4245" s="90"/>
      <c r="N4245" s="88" t="s">
        <v>22</v>
      </c>
      <c r="O4245" s="89"/>
      <c r="P4245" s="90"/>
      <c r="Q4245" s="133">
        <v>1500</v>
      </c>
      <c r="R4245" s="134"/>
      <c r="S4245" s="5" t="s">
        <v>27</v>
      </c>
      <c r="T4245" s="6"/>
      <c r="U4245" s="6"/>
      <c r="V4245" s="5" t="s">
        <v>702</v>
      </c>
      <c r="W4245" s="9">
        <v>6284254</v>
      </c>
      <c r="X4245" s="6"/>
      <c r="Y4245" s="6"/>
    </row>
    <row r="4246" spans="1:25" ht="15" customHeight="1" x14ac:dyDescent="0.2">
      <c r="A4246" s="88" t="s">
        <v>5095</v>
      </c>
      <c r="B4246" s="90"/>
      <c r="C4246" s="88" t="s">
        <v>5130</v>
      </c>
      <c r="D4246" s="90"/>
      <c r="E4246" s="88" t="s">
        <v>5131</v>
      </c>
      <c r="F4246" s="89"/>
      <c r="G4246" s="89"/>
      <c r="H4246" s="89"/>
      <c r="I4246" s="90"/>
      <c r="J4246" s="88" t="s">
        <v>775</v>
      </c>
      <c r="K4246" s="89"/>
      <c r="L4246" s="89"/>
      <c r="M4246" s="90"/>
      <c r="N4246" s="88" t="s">
        <v>22</v>
      </c>
      <c r="O4246" s="89"/>
      <c r="P4246" s="90"/>
      <c r="Q4246" s="133">
        <v>2000</v>
      </c>
      <c r="R4246" s="134"/>
      <c r="S4246" s="5" t="s">
        <v>44</v>
      </c>
      <c r="T4246" s="6"/>
      <c r="U4246" s="6"/>
      <c r="V4246" s="5" t="s">
        <v>702</v>
      </c>
      <c r="W4246" s="9">
        <v>11814386</v>
      </c>
      <c r="X4246" s="6"/>
      <c r="Y4246" s="6"/>
    </row>
    <row r="4247" spans="1:25" ht="15" customHeight="1" x14ac:dyDescent="0.2">
      <c r="A4247" s="88" t="s">
        <v>5095</v>
      </c>
      <c r="B4247" s="90"/>
      <c r="C4247" s="88" t="s">
        <v>5130</v>
      </c>
      <c r="D4247" s="90"/>
      <c r="E4247" s="88" t="s">
        <v>5131</v>
      </c>
      <c r="F4247" s="89"/>
      <c r="G4247" s="89"/>
      <c r="H4247" s="89"/>
      <c r="I4247" s="90"/>
      <c r="J4247" s="88" t="s">
        <v>775</v>
      </c>
      <c r="K4247" s="89"/>
      <c r="L4247" s="89"/>
      <c r="M4247" s="90"/>
      <c r="N4247" s="88" t="s">
        <v>22</v>
      </c>
      <c r="O4247" s="89"/>
      <c r="P4247" s="90"/>
      <c r="Q4247" s="133">
        <v>2000</v>
      </c>
      <c r="R4247" s="134"/>
      <c r="S4247" s="5" t="s">
        <v>70</v>
      </c>
      <c r="T4247" s="6"/>
      <c r="U4247" s="6"/>
      <c r="V4247" s="5" t="s">
        <v>702</v>
      </c>
      <c r="W4247" s="10">
        <v>12120598</v>
      </c>
      <c r="X4247" s="6"/>
      <c r="Y4247" s="6"/>
    </row>
    <row r="4248" spans="1:25" ht="15" customHeight="1" x14ac:dyDescent="0.2">
      <c r="A4248" s="88" t="s">
        <v>5132</v>
      </c>
      <c r="B4248" s="90"/>
      <c r="C4248" s="88" t="s">
        <v>5133</v>
      </c>
      <c r="D4248" s="90"/>
      <c r="E4248" s="88" t="s">
        <v>5134</v>
      </c>
      <c r="F4248" s="89"/>
      <c r="G4248" s="89"/>
      <c r="H4248" s="89"/>
      <c r="I4248" s="90"/>
      <c r="J4248" s="88" t="s">
        <v>770</v>
      </c>
      <c r="K4248" s="89"/>
      <c r="L4248" s="89"/>
      <c r="M4248" s="90"/>
      <c r="N4248" s="88" t="s">
        <v>22</v>
      </c>
      <c r="O4248" s="89"/>
      <c r="P4248" s="90"/>
      <c r="Q4248" s="133">
        <v>1998</v>
      </c>
      <c r="R4248" s="134"/>
      <c r="S4248" s="5" t="s">
        <v>271</v>
      </c>
      <c r="T4248" s="8">
        <v>1470</v>
      </c>
      <c r="U4248" s="8">
        <v>4</v>
      </c>
      <c r="V4248" s="5" t="s">
        <v>23</v>
      </c>
      <c r="W4248" s="12">
        <v>5361999</v>
      </c>
      <c r="X4248" s="6"/>
      <c r="Y4248" s="6"/>
    </row>
    <row r="4249" spans="1:25" ht="15" customHeight="1" x14ac:dyDescent="0.2">
      <c r="A4249" s="88" t="s">
        <v>5132</v>
      </c>
      <c r="B4249" s="90"/>
      <c r="C4249" s="88" t="s">
        <v>5135</v>
      </c>
      <c r="D4249" s="90"/>
      <c r="E4249" s="88" t="s">
        <v>5136</v>
      </c>
      <c r="F4249" s="89"/>
      <c r="G4249" s="89"/>
      <c r="H4249" s="89"/>
      <c r="I4249" s="90"/>
      <c r="J4249" s="88" t="s">
        <v>1718</v>
      </c>
      <c r="K4249" s="89"/>
      <c r="L4249" s="89"/>
      <c r="M4249" s="90"/>
      <c r="N4249" s="88" t="s">
        <v>701</v>
      </c>
      <c r="O4249" s="89"/>
      <c r="P4249" s="90"/>
      <c r="Q4249" s="133">
        <v>1998</v>
      </c>
      <c r="R4249" s="134"/>
      <c r="S4249" s="5" t="s">
        <v>271</v>
      </c>
      <c r="T4249" s="8">
        <v>1460</v>
      </c>
      <c r="U4249" s="8">
        <v>5</v>
      </c>
      <c r="V4249" s="5" t="s">
        <v>23</v>
      </c>
      <c r="W4249" s="12">
        <v>4610970</v>
      </c>
      <c r="X4249" s="6"/>
      <c r="Y4249" s="6"/>
    </row>
    <row r="4250" spans="1:25" ht="15" customHeight="1" x14ac:dyDescent="0.2">
      <c r="A4250" s="88" t="s">
        <v>5132</v>
      </c>
      <c r="B4250" s="90"/>
      <c r="C4250" s="88" t="s">
        <v>5135</v>
      </c>
      <c r="D4250" s="90"/>
      <c r="E4250" s="88" t="s">
        <v>5134</v>
      </c>
      <c r="F4250" s="89"/>
      <c r="G4250" s="89"/>
      <c r="H4250" s="89"/>
      <c r="I4250" s="90"/>
      <c r="J4250" s="88" t="s">
        <v>1718</v>
      </c>
      <c r="K4250" s="89"/>
      <c r="L4250" s="89"/>
      <c r="M4250" s="90"/>
      <c r="N4250" s="88" t="s">
        <v>26</v>
      </c>
      <c r="O4250" s="89"/>
      <c r="P4250" s="90"/>
      <c r="Q4250" s="133">
        <v>1998</v>
      </c>
      <c r="R4250" s="134"/>
      <c r="S4250" s="5" t="s">
        <v>271</v>
      </c>
      <c r="T4250" s="8">
        <v>1490</v>
      </c>
      <c r="U4250" s="8">
        <v>4</v>
      </c>
      <c r="V4250" s="5" t="s">
        <v>23</v>
      </c>
      <c r="W4250" s="12">
        <v>4803093</v>
      </c>
      <c r="X4250" s="6"/>
      <c r="Y4250" s="6"/>
    </row>
    <row r="4251" spans="1:25" ht="15" customHeight="1" x14ac:dyDescent="0.2">
      <c r="A4251" s="88" t="s">
        <v>5132</v>
      </c>
      <c r="B4251" s="90"/>
      <c r="C4251" s="88" t="s">
        <v>5137</v>
      </c>
      <c r="D4251" s="90"/>
      <c r="E4251" s="88" t="s">
        <v>5136</v>
      </c>
      <c r="F4251" s="89"/>
      <c r="G4251" s="89"/>
      <c r="H4251" s="89"/>
      <c r="I4251" s="90"/>
      <c r="J4251" s="88" t="s">
        <v>1718</v>
      </c>
      <c r="K4251" s="89"/>
      <c r="L4251" s="89"/>
      <c r="M4251" s="90"/>
      <c r="N4251" s="88" t="s">
        <v>701</v>
      </c>
      <c r="O4251" s="89"/>
      <c r="P4251" s="90"/>
      <c r="Q4251" s="133">
        <v>1998</v>
      </c>
      <c r="R4251" s="134"/>
      <c r="S4251" s="5" t="s">
        <v>271</v>
      </c>
      <c r="T4251" s="8">
        <v>1470</v>
      </c>
      <c r="U4251" s="8">
        <v>5</v>
      </c>
      <c r="V4251" s="5" t="s">
        <v>23</v>
      </c>
      <c r="W4251" s="12">
        <v>5482862</v>
      </c>
      <c r="X4251" s="6"/>
      <c r="Y4251" s="6"/>
    </row>
    <row r="4252" spans="1:25" ht="15" customHeight="1" x14ac:dyDescent="0.2">
      <c r="A4252" s="88" t="s">
        <v>5132</v>
      </c>
      <c r="B4252" s="90"/>
      <c r="C4252" s="88" t="s">
        <v>5137</v>
      </c>
      <c r="D4252" s="90"/>
      <c r="E4252" s="88" t="s">
        <v>5134</v>
      </c>
      <c r="F4252" s="89"/>
      <c r="G4252" s="89"/>
      <c r="H4252" s="89"/>
      <c r="I4252" s="90"/>
      <c r="J4252" s="88" t="s">
        <v>770</v>
      </c>
      <c r="K4252" s="89"/>
      <c r="L4252" s="89"/>
      <c r="M4252" s="90"/>
      <c r="N4252" s="88" t="s">
        <v>22</v>
      </c>
      <c r="O4252" s="89"/>
      <c r="P4252" s="90"/>
      <c r="Q4252" s="133">
        <v>1998</v>
      </c>
      <c r="R4252" s="134"/>
      <c r="S4252" s="5" t="s">
        <v>271</v>
      </c>
      <c r="T4252" s="8">
        <v>1470</v>
      </c>
      <c r="U4252" s="8">
        <v>4</v>
      </c>
      <c r="V4252" s="5" t="s">
        <v>23</v>
      </c>
      <c r="W4252" s="12">
        <v>5711315</v>
      </c>
      <c r="X4252" s="6"/>
      <c r="Y4252" s="6"/>
    </row>
    <row r="4253" spans="1:25" ht="15" customHeight="1" x14ac:dyDescent="0.2">
      <c r="A4253" s="88" t="s">
        <v>5132</v>
      </c>
      <c r="B4253" s="90"/>
      <c r="C4253" s="88" t="s">
        <v>5137</v>
      </c>
      <c r="D4253" s="90"/>
      <c r="E4253" s="88" t="s">
        <v>5134</v>
      </c>
      <c r="F4253" s="89"/>
      <c r="G4253" s="89"/>
      <c r="H4253" s="89"/>
      <c r="I4253" s="90"/>
      <c r="J4253" s="88" t="s">
        <v>1718</v>
      </c>
      <c r="K4253" s="89"/>
      <c r="L4253" s="89"/>
      <c r="M4253" s="90"/>
      <c r="N4253" s="88" t="s">
        <v>26</v>
      </c>
      <c r="O4253" s="89"/>
      <c r="P4253" s="90"/>
      <c r="Q4253" s="133">
        <v>1998</v>
      </c>
      <c r="R4253" s="134"/>
      <c r="S4253" s="5" t="s">
        <v>271</v>
      </c>
      <c r="T4253" s="8">
        <v>1470</v>
      </c>
      <c r="U4253" s="8">
        <v>4</v>
      </c>
      <c r="V4253" s="5" t="s">
        <v>23</v>
      </c>
      <c r="W4253" s="12">
        <v>5711315</v>
      </c>
      <c r="X4253" s="6"/>
      <c r="Y4253" s="6"/>
    </row>
    <row r="4254" spans="1:25" ht="15" customHeight="1" x14ac:dyDescent="0.2">
      <c r="A4254" s="88" t="s">
        <v>5132</v>
      </c>
      <c r="B4254" s="90"/>
      <c r="C4254" s="88" t="s">
        <v>5138</v>
      </c>
      <c r="D4254" s="90"/>
      <c r="E4254" s="88" t="s">
        <v>5139</v>
      </c>
      <c r="F4254" s="89"/>
      <c r="G4254" s="89"/>
      <c r="H4254" s="89"/>
      <c r="I4254" s="90"/>
      <c r="J4254" s="88" t="s">
        <v>770</v>
      </c>
      <c r="K4254" s="89"/>
      <c r="L4254" s="89"/>
      <c r="M4254" s="90"/>
      <c r="N4254" s="88" t="s">
        <v>26</v>
      </c>
      <c r="O4254" s="89"/>
      <c r="P4254" s="90"/>
      <c r="Q4254" s="133">
        <v>658</v>
      </c>
      <c r="R4254" s="134"/>
      <c r="S4254" s="5" t="s">
        <v>1101</v>
      </c>
      <c r="T4254" s="8">
        <v>1140</v>
      </c>
      <c r="U4254" s="8">
        <v>4</v>
      </c>
      <c r="V4254" s="5" t="s">
        <v>23</v>
      </c>
      <c r="W4254" s="12">
        <v>3024796</v>
      </c>
      <c r="X4254" s="6"/>
      <c r="Y4254" s="6"/>
    </row>
    <row r="4255" spans="1:25" ht="15" customHeight="1" x14ac:dyDescent="0.2">
      <c r="A4255" s="88" t="s">
        <v>5132</v>
      </c>
      <c r="B4255" s="90"/>
      <c r="C4255" s="88" t="s">
        <v>5138</v>
      </c>
      <c r="D4255" s="90"/>
      <c r="E4255" s="88" t="s">
        <v>5140</v>
      </c>
      <c r="F4255" s="89"/>
      <c r="G4255" s="89"/>
      <c r="H4255" s="89"/>
      <c r="I4255" s="90"/>
      <c r="J4255" s="88" t="s">
        <v>770</v>
      </c>
      <c r="K4255" s="89"/>
      <c r="L4255" s="89"/>
      <c r="M4255" s="90"/>
      <c r="N4255" s="88" t="s">
        <v>26</v>
      </c>
      <c r="O4255" s="89"/>
      <c r="P4255" s="90"/>
      <c r="Q4255" s="133">
        <v>658</v>
      </c>
      <c r="R4255" s="134"/>
      <c r="S4255" s="5" t="s">
        <v>1101</v>
      </c>
      <c r="T4255" s="8">
        <v>1160</v>
      </c>
      <c r="U4255" s="8">
        <v>4</v>
      </c>
      <c r="V4255" s="5" t="s">
        <v>23</v>
      </c>
      <c r="W4255" s="12">
        <v>2615677</v>
      </c>
      <c r="X4255" s="6"/>
      <c r="Y4255" s="6"/>
    </row>
    <row r="4256" spans="1:25" ht="15" customHeight="1" x14ac:dyDescent="0.2">
      <c r="A4256" s="88" t="s">
        <v>5132</v>
      </c>
      <c r="B4256" s="90"/>
      <c r="C4256" s="88" t="s">
        <v>5138</v>
      </c>
      <c r="D4256" s="90"/>
      <c r="E4256" s="88" t="s">
        <v>5141</v>
      </c>
      <c r="F4256" s="89"/>
      <c r="G4256" s="89"/>
      <c r="H4256" s="89"/>
      <c r="I4256" s="90"/>
      <c r="J4256" s="88" t="s">
        <v>770</v>
      </c>
      <c r="K4256" s="89"/>
      <c r="L4256" s="89"/>
      <c r="M4256" s="90"/>
      <c r="N4256" s="88" t="s">
        <v>22</v>
      </c>
      <c r="O4256" s="89"/>
      <c r="P4256" s="90"/>
      <c r="Q4256" s="133">
        <v>658</v>
      </c>
      <c r="R4256" s="134"/>
      <c r="S4256" s="5" t="s">
        <v>1101</v>
      </c>
      <c r="T4256" s="8">
        <v>1160</v>
      </c>
      <c r="U4256" s="8">
        <v>4</v>
      </c>
      <c r="V4256" s="5" t="s">
        <v>23</v>
      </c>
      <c r="W4256" s="12">
        <v>2808500</v>
      </c>
      <c r="X4256" s="6"/>
      <c r="Y4256" s="6"/>
    </row>
    <row r="4257" spans="1:25" ht="15" customHeight="1" x14ac:dyDescent="0.2">
      <c r="A4257" s="88" t="s">
        <v>5132</v>
      </c>
      <c r="B4257" s="90"/>
      <c r="C4257" s="88" t="s">
        <v>5142</v>
      </c>
      <c r="D4257" s="90"/>
      <c r="E4257" s="88" t="s">
        <v>5140</v>
      </c>
      <c r="F4257" s="89"/>
      <c r="G4257" s="89"/>
      <c r="H4257" s="89"/>
      <c r="I4257" s="90"/>
      <c r="J4257" s="88" t="s">
        <v>770</v>
      </c>
      <c r="K4257" s="89"/>
      <c r="L4257" s="89"/>
      <c r="M4257" s="90"/>
      <c r="N4257" s="88" t="s">
        <v>26</v>
      </c>
      <c r="O4257" s="89"/>
      <c r="P4257" s="90"/>
      <c r="Q4257" s="133">
        <v>658</v>
      </c>
      <c r="R4257" s="134"/>
      <c r="S4257" s="5" t="s">
        <v>1101</v>
      </c>
      <c r="T4257" s="8">
        <v>1160</v>
      </c>
      <c r="U4257" s="8">
        <v>4</v>
      </c>
      <c r="V4257" s="5" t="s">
        <v>23</v>
      </c>
      <c r="W4257" s="12">
        <v>2565376</v>
      </c>
      <c r="X4257" s="6"/>
      <c r="Y4257" s="6"/>
    </row>
    <row r="4258" spans="1:25" ht="15" customHeight="1" x14ac:dyDescent="0.2">
      <c r="A4258" s="88" t="s">
        <v>5132</v>
      </c>
      <c r="B4258" s="90"/>
      <c r="C4258" s="88" t="s">
        <v>5142</v>
      </c>
      <c r="D4258" s="90"/>
      <c r="E4258" s="88" t="s">
        <v>5141</v>
      </c>
      <c r="F4258" s="89"/>
      <c r="G4258" s="89"/>
      <c r="H4258" s="89"/>
      <c r="I4258" s="90"/>
      <c r="J4258" s="88" t="s">
        <v>770</v>
      </c>
      <c r="K4258" s="89"/>
      <c r="L4258" s="89"/>
      <c r="M4258" s="90"/>
      <c r="N4258" s="88" t="s">
        <v>22</v>
      </c>
      <c r="O4258" s="89"/>
      <c r="P4258" s="90"/>
      <c r="Q4258" s="133">
        <v>658</v>
      </c>
      <c r="R4258" s="134"/>
      <c r="S4258" s="5" t="s">
        <v>1101</v>
      </c>
      <c r="T4258" s="8">
        <v>1210</v>
      </c>
      <c r="U4258" s="8">
        <v>4</v>
      </c>
      <c r="V4258" s="5" t="s">
        <v>23</v>
      </c>
      <c r="W4258" s="12">
        <v>2758198</v>
      </c>
      <c r="X4258" s="6"/>
      <c r="Y4258" s="6"/>
    </row>
    <row r="4259" spans="1:25" ht="15" customHeight="1" x14ac:dyDescent="0.2">
      <c r="A4259" s="88" t="s">
        <v>5132</v>
      </c>
      <c r="B4259" s="90"/>
      <c r="C4259" s="88" t="s">
        <v>5143</v>
      </c>
      <c r="D4259" s="90"/>
      <c r="E4259" s="88" t="s">
        <v>5139</v>
      </c>
      <c r="F4259" s="89"/>
      <c r="G4259" s="89"/>
      <c r="H4259" s="89"/>
      <c r="I4259" s="90"/>
      <c r="J4259" s="88" t="s">
        <v>770</v>
      </c>
      <c r="K4259" s="89"/>
      <c r="L4259" s="89"/>
      <c r="M4259" s="90"/>
      <c r="N4259" s="88" t="s">
        <v>26</v>
      </c>
      <c r="O4259" s="89"/>
      <c r="P4259" s="90"/>
      <c r="Q4259" s="133">
        <v>658</v>
      </c>
      <c r="R4259" s="134"/>
      <c r="S4259" s="5" t="s">
        <v>1101</v>
      </c>
      <c r="T4259" s="8">
        <v>1140</v>
      </c>
      <c r="U4259" s="8">
        <v>5</v>
      </c>
      <c r="V4259" s="5" t="s">
        <v>23</v>
      </c>
      <c r="W4259" s="12">
        <v>2774965</v>
      </c>
      <c r="X4259" s="6"/>
      <c r="Y4259" s="6"/>
    </row>
    <row r="4260" spans="1:25" ht="15" customHeight="1" x14ac:dyDescent="0.2">
      <c r="A4260" s="88" t="s">
        <v>5132</v>
      </c>
      <c r="B4260" s="90"/>
      <c r="C4260" s="88" t="s">
        <v>5144</v>
      </c>
      <c r="D4260" s="90"/>
      <c r="E4260" s="88" t="s">
        <v>5145</v>
      </c>
      <c r="F4260" s="89"/>
      <c r="G4260" s="89"/>
      <c r="H4260" s="89"/>
      <c r="I4260" s="90"/>
      <c r="J4260" s="88" t="s">
        <v>770</v>
      </c>
      <c r="K4260" s="89"/>
      <c r="L4260" s="89"/>
      <c r="M4260" s="90"/>
      <c r="N4260" s="88" t="s">
        <v>3415</v>
      </c>
      <c r="O4260" s="89"/>
      <c r="P4260" s="90"/>
      <c r="Q4260" s="133">
        <v>658</v>
      </c>
      <c r="R4260" s="134"/>
      <c r="S4260" s="5" t="s">
        <v>1101</v>
      </c>
      <c r="T4260" s="8">
        <v>1120</v>
      </c>
      <c r="U4260" s="8">
        <v>5</v>
      </c>
      <c r="V4260" s="5" t="s">
        <v>23</v>
      </c>
      <c r="W4260" s="12">
        <v>2330636</v>
      </c>
      <c r="X4260" s="6"/>
      <c r="Y4260" s="6"/>
    </row>
    <row r="4261" spans="1:25" ht="15" customHeight="1" x14ac:dyDescent="0.2">
      <c r="A4261" s="88" t="s">
        <v>5132</v>
      </c>
      <c r="B4261" s="90"/>
      <c r="C4261" s="88" t="s">
        <v>5146</v>
      </c>
      <c r="D4261" s="90"/>
      <c r="E4261" s="88" t="s">
        <v>5147</v>
      </c>
      <c r="F4261" s="89"/>
      <c r="G4261" s="89"/>
      <c r="H4261" s="89"/>
      <c r="I4261" s="90"/>
      <c r="J4261" s="88" t="s">
        <v>770</v>
      </c>
      <c r="K4261" s="89"/>
      <c r="L4261" s="89"/>
      <c r="M4261" s="90"/>
      <c r="N4261" s="88" t="s">
        <v>701</v>
      </c>
      <c r="O4261" s="89"/>
      <c r="P4261" s="90"/>
      <c r="Q4261" s="133">
        <v>1995</v>
      </c>
      <c r="R4261" s="134"/>
      <c r="S4261" s="5" t="s">
        <v>16</v>
      </c>
      <c r="T4261" s="8">
        <v>1885</v>
      </c>
      <c r="U4261" s="8">
        <v>5</v>
      </c>
      <c r="V4261" s="5" t="s">
        <v>23</v>
      </c>
      <c r="W4261" s="12">
        <v>5744500</v>
      </c>
      <c r="X4261" s="6"/>
      <c r="Y4261" s="6"/>
    </row>
    <row r="4262" spans="1:25" ht="15" customHeight="1" x14ac:dyDescent="0.2">
      <c r="A4262" s="88" t="s">
        <v>5132</v>
      </c>
      <c r="B4262" s="90"/>
      <c r="C4262" s="88" t="s">
        <v>5148</v>
      </c>
      <c r="D4262" s="90"/>
      <c r="E4262" s="88" t="s">
        <v>5149</v>
      </c>
      <c r="F4262" s="89"/>
      <c r="G4262" s="89"/>
      <c r="H4262" s="89"/>
      <c r="I4262" s="90"/>
      <c r="J4262" s="88" t="s">
        <v>887</v>
      </c>
      <c r="K4262" s="89"/>
      <c r="L4262" s="89"/>
      <c r="M4262" s="90"/>
      <c r="N4262" s="88" t="s">
        <v>26</v>
      </c>
      <c r="O4262" s="89"/>
      <c r="P4262" s="90"/>
      <c r="Q4262" s="133">
        <v>658</v>
      </c>
      <c r="R4262" s="134"/>
      <c r="S4262" s="5" t="s">
        <v>70</v>
      </c>
      <c r="T4262" s="8">
        <v>1230</v>
      </c>
      <c r="U4262" s="8">
        <v>4</v>
      </c>
      <c r="V4262" s="5" t="s">
        <v>23</v>
      </c>
      <c r="W4262" s="12">
        <v>2607294</v>
      </c>
      <c r="X4262" s="6"/>
      <c r="Y4262" s="6"/>
    </row>
    <row r="4263" spans="1:25" ht="15" customHeight="1" x14ac:dyDescent="0.2">
      <c r="A4263" s="88" t="s">
        <v>5132</v>
      </c>
      <c r="B4263" s="90"/>
      <c r="C4263" s="88" t="s">
        <v>5148</v>
      </c>
      <c r="D4263" s="90"/>
      <c r="E4263" s="88" t="s">
        <v>5150</v>
      </c>
      <c r="F4263" s="89"/>
      <c r="G4263" s="89"/>
      <c r="H4263" s="89"/>
      <c r="I4263" s="90"/>
      <c r="J4263" s="88" t="s">
        <v>887</v>
      </c>
      <c r="K4263" s="89"/>
      <c r="L4263" s="89"/>
      <c r="M4263" s="90"/>
      <c r="N4263" s="88" t="s">
        <v>22</v>
      </c>
      <c r="O4263" s="89"/>
      <c r="P4263" s="90"/>
      <c r="Q4263" s="133">
        <v>658</v>
      </c>
      <c r="R4263" s="134"/>
      <c r="S4263" s="5" t="s">
        <v>70</v>
      </c>
      <c r="T4263" s="8">
        <v>1230</v>
      </c>
      <c r="U4263" s="8">
        <v>4</v>
      </c>
      <c r="V4263" s="5" t="s">
        <v>23</v>
      </c>
      <c r="W4263" s="12">
        <v>2816883</v>
      </c>
      <c r="X4263" s="6"/>
      <c r="Y4263" s="6"/>
    </row>
    <row r="4264" spans="1:25" ht="15" customHeight="1" x14ac:dyDescent="0.2">
      <c r="A4264" s="88" t="s">
        <v>5132</v>
      </c>
      <c r="B4264" s="90"/>
      <c r="C4264" s="88" t="s">
        <v>5151</v>
      </c>
      <c r="D4264" s="90"/>
      <c r="E4264" s="88" t="s">
        <v>5149</v>
      </c>
      <c r="F4264" s="89"/>
      <c r="G4264" s="89"/>
      <c r="H4264" s="89"/>
      <c r="I4264" s="90"/>
      <c r="J4264" s="88" t="s">
        <v>770</v>
      </c>
      <c r="K4264" s="89"/>
      <c r="L4264" s="89"/>
      <c r="M4264" s="90"/>
      <c r="N4264" s="88" t="s">
        <v>22</v>
      </c>
      <c r="O4264" s="89"/>
      <c r="P4264" s="90"/>
      <c r="Q4264" s="133">
        <v>658</v>
      </c>
      <c r="R4264" s="134"/>
      <c r="S4264" s="5" t="s">
        <v>70</v>
      </c>
      <c r="T4264" s="8">
        <v>1210</v>
      </c>
      <c r="U4264" s="8">
        <v>4</v>
      </c>
      <c r="V4264" s="5" t="s">
        <v>23</v>
      </c>
      <c r="W4264" s="12">
        <v>2506691</v>
      </c>
      <c r="X4264" s="6"/>
      <c r="Y4264" s="6"/>
    </row>
    <row r="4265" spans="1:25" ht="15" customHeight="1" x14ac:dyDescent="0.2">
      <c r="A4265" s="88" t="s">
        <v>5132</v>
      </c>
      <c r="B4265" s="90"/>
      <c r="C4265" s="88" t="s">
        <v>5152</v>
      </c>
      <c r="D4265" s="90"/>
      <c r="E4265" s="88" t="s">
        <v>5153</v>
      </c>
      <c r="F4265" s="89"/>
      <c r="G4265" s="89"/>
      <c r="H4265" s="89"/>
      <c r="I4265" s="90"/>
      <c r="J4265" s="88" t="s">
        <v>770</v>
      </c>
      <c r="K4265" s="89"/>
      <c r="L4265" s="89"/>
      <c r="M4265" s="90"/>
      <c r="N4265" s="88" t="s">
        <v>701</v>
      </c>
      <c r="O4265" s="89"/>
      <c r="P4265" s="90"/>
      <c r="Q4265" s="133">
        <v>1995</v>
      </c>
      <c r="R4265" s="134"/>
      <c r="S4265" s="5" t="s">
        <v>16</v>
      </c>
      <c r="T4265" s="8">
        <v>1785</v>
      </c>
      <c r="U4265" s="8">
        <v>5</v>
      </c>
      <c r="V4265" s="5" t="s">
        <v>23</v>
      </c>
      <c r="W4265" s="12">
        <v>4348983</v>
      </c>
      <c r="X4265" s="6"/>
      <c r="Y4265" s="6"/>
    </row>
    <row r="4266" spans="1:25" ht="15" customHeight="1" x14ac:dyDescent="0.2">
      <c r="A4266" s="88" t="s">
        <v>5132</v>
      </c>
      <c r="B4266" s="90"/>
      <c r="C4266" s="88" t="s">
        <v>5154</v>
      </c>
      <c r="D4266" s="90"/>
      <c r="E4266" s="88" t="s">
        <v>5155</v>
      </c>
      <c r="F4266" s="89"/>
      <c r="G4266" s="89"/>
      <c r="H4266" s="89"/>
      <c r="I4266" s="90"/>
      <c r="J4266" s="88" t="s">
        <v>770</v>
      </c>
      <c r="K4266" s="89"/>
      <c r="L4266" s="89"/>
      <c r="M4266" s="90"/>
      <c r="N4266" s="88" t="s">
        <v>701</v>
      </c>
      <c r="O4266" s="89"/>
      <c r="P4266" s="90"/>
      <c r="Q4266" s="133">
        <v>1998</v>
      </c>
      <c r="R4266" s="134"/>
      <c r="S4266" s="5" t="s">
        <v>16</v>
      </c>
      <c r="T4266" s="8">
        <v>1885</v>
      </c>
      <c r="U4266" s="8">
        <v>5</v>
      </c>
      <c r="V4266" s="5" t="s">
        <v>23</v>
      </c>
      <c r="W4266" s="12">
        <v>5059840</v>
      </c>
      <c r="X4266" s="6"/>
      <c r="Y4266" s="6"/>
    </row>
    <row r="4267" spans="1:25" ht="15" customHeight="1" x14ac:dyDescent="0.2">
      <c r="A4267" s="88" t="s">
        <v>5132</v>
      </c>
      <c r="B4267" s="90"/>
      <c r="C4267" s="88" t="s">
        <v>5156</v>
      </c>
      <c r="D4267" s="90"/>
      <c r="E4267" s="88" t="s">
        <v>5157</v>
      </c>
      <c r="F4267" s="89"/>
      <c r="G4267" s="89"/>
      <c r="H4267" s="89"/>
      <c r="I4267" s="90"/>
      <c r="J4267" s="88" t="s">
        <v>770</v>
      </c>
      <c r="K4267" s="89"/>
      <c r="L4267" s="89"/>
      <c r="M4267" s="90"/>
      <c r="N4267" s="88" t="s">
        <v>701</v>
      </c>
      <c r="O4267" s="89"/>
      <c r="P4267" s="90"/>
      <c r="Q4267" s="133">
        <v>1995</v>
      </c>
      <c r="R4267" s="134"/>
      <c r="S4267" s="5" t="s">
        <v>16</v>
      </c>
      <c r="T4267" s="8">
        <v>1915</v>
      </c>
      <c r="U4267" s="8">
        <v>5</v>
      </c>
      <c r="V4267" s="5" t="s">
        <v>23</v>
      </c>
      <c r="W4267" s="12">
        <v>4812175</v>
      </c>
      <c r="X4267" s="6"/>
      <c r="Y4267" s="6"/>
    </row>
    <row r="4268" spans="1:25" ht="15" customHeight="1" x14ac:dyDescent="0.2">
      <c r="A4268" s="88" t="s">
        <v>5132</v>
      </c>
      <c r="B4268" s="90"/>
      <c r="C4268" s="88" t="s">
        <v>5158</v>
      </c>
      <c r="D4268" s="90"/>
      <c r="E4268" s="88" t="s">
        <v>5159</v>
      </c>
      <c r="F4268" s="89"/>
      <c r="G4268" s="89"/>
      <c r="H4268" s="89"/>
      <c r="I4268" s="90"/>
      <c r="J4268" s="88" t="s">
        <v>770</v>
      </c>
      <c r="K4268" s="89"/>
      <c r="L4268" s="89"/>
      <c r="M4268" s="90"/>
      <c r="N4268" s="88" t="s">
        <v>701</v>
      </c>
      <c r="O4268" s="89"/>
      <c r="P4268" s="90"/>
      <c r="Q4268" s="133">
        <v>1795</v>
      </c>
      <c r="R4268" s="134"/>
      <c r="S4268" s="5" t="s">
        <v>16</v>
      </c>
      <c r="T4268" s="8">
        <v>1845</v>
      </c>
      <c r="U4268" s="8">
        <v>5</v>
      </c>
      <c r="V4268" s="5" t="s">
        <v>23</v>
      </c>
      <c r="W4268" s="12">
        <v>6724331</v>
      </c>
      <c r="X4268" s="6"/>
      <c r="Y4268" s="6"/>
    </row>
    <row r="4269" spans="1:25" ht="15" customHeight="1" x14ac:dyDescent="0.2">
      <c r="A4269" s="88" t="s">
        <v>5132</v>
      </c>
      <c r="B4269" s="90"/>
      <c r="C4269" s="88" t="s">
        <v>5160</v>
      </c>
      <c r="D4269" s="90"/>
      <c r="E4269" s="88" t="s">
        <v>5161</v>
      </c>
      <c r="F4269" s="89"/>
      <c r="G4269" s="89"/>
      <c r="H4269" s="89"/>
      <c r="I4269" s="90"/>
      <c r="J4269" s="88" t="s">
        <v>770</v>
      </c>
      <c r="K4269" s="89"/>
      <c r="L4269" s="89"/>
      <c r="M4269" s="90"/>
      <c r="N4269" s="88" t="s">
        <v>701</v>
      </c>
      <c r="O4269" s="89"/>
      <c r="P4269" s="90"/>
      <c r="Q4269" s="133">
        <v>1795</v>
      </c>
      <c r="R4269" s="134"/>
      <c r="S4269" s="5" t="s">
        <v>16</v>
      </c>
      <c r="T4269" s="8">
        <v>1845</v>
      </c>
      <c r="U4269" s="8">
        <v>5</v>
      </c>
      <c r="V4269" s="5" t="s">
        <v>23</v>
      </c>
      <c r="W4269" s="12">
        <v>6340083</v>
      </c>
      <c r="X4269" s="6"/>
      <c r="Y4269" s="6"/>
    </row>
    <row r="4270" spans="1:25" ht="15" customHeight="1" x14ac:dyDescent="0.2">
      <c r="A4270" s="88" t="s">
        <v>5132</v>
      </c>
      <c r="B4270" s="90"/>
      <c r="C4270" s="88" t="s">
        <v>5162</v>
      </c>
      <c r="D4270" s="90"/>
      <c r="E4270" s="88" t="s">
        <v>5163</v>
      </c>
      <c r="F4270" s="89"/>
      <c r="G4270" s="89"/>
      <c r="H4270" s="89"/>
      <c r="I4270" s="90"/>
      <c r="J4270" s="88" t="s">
        <v>770</v>
      </c>
      <c r="K4270" s="89"/>
      <c r="L4270" s="89"/>
      <c r="M4270" s="90"/>
      <c r="N4270" s="88" t="s">
        <v>701</v>
      </c>
      <c r="O4270" s="89"/>
      <c r="P4270" s="90"/>
      <c r="Q4270" s="133">
        <v>2498</v>
      </c>
      <c r="R4270" s="134"/>
      <c r="S4270" s="5" t="s">
        <v>16</v>
      </c>
      <c r="T4270" s="8">
        <v>1805</v>
      </c>
      <c r="U4270" s="8">
        <v>5</v>
      </c>
      <c r="V4270" s="5" t="s">
        <v>23</v>
      </c>
      <c r="W4270" s="12">
        <v>4527134</v>
      </c>
      <c r="X4270" s="6"/>
      <c r="Y4270" s="6"/>
    </row>
    <row r="4271" spans="1:25" ht="15" customHeight="1" x14ac:dyDescent="0.2">
      <c r="A4271" s="88" t="s">
        <v>5132</v>
      </c>
      <c r="B4271" s="90"/>
      <c r="C4271" s="88" t="s">
        <v>5164</v>
      </c>
      <c r="D4271" s="90"/>
      <c r="E4271" s="88" t="s">
        <v>5157</v>
      </c>
      <c r="F4271" s="89"/>
      <c r="G4271" s="89"/>
      <c r="H4271" s="89"/>
      <c r="I4271" s="90"/>
      <c r="J4271" s="88" t="s">
        <v>770</v>
      </c>
      <c r="K4271" s="89"/>
      <c r="L4271" s="89"/>
      <c r="M4271" s="90"/>
      <c r="N4271" s="88" t="s">
        <v>701</v>
      </c>
      <c r="O4271" s="89"/>
      <c r="P4271" s="90"/>
      <c r="Q4271" s="133">
        <v>1995</v>
      </c>
      <c r="R4271" s="134"/>
      <c r="S4271" s="5" t="s">
        <v>16</v>
      </c>
      <c r="T4271" s="8">
        <v>1915</v>
      </c>
      <c r="U4271" s="8">
        <v>5</v>
      </c>
      <c r="V4271" s="5" t="s">
        <v>23</v>
      </c>
      <c r="W4271" s="12">
        <v>5012683</v>
      </c>
      <c r="X4271" s="6"/>
      <c r="Y4271" s="6"/>
    </row>
    <row r="4272" spans="1:25" ht="15" customHeight="1" x14ac:dyDescent="0.2">
      <c r="A4272" s="88" t="s">
        <v>5132</v>
      </c>
      <c r="B4272" s="90"/>
      <c r="C4272" s="88" t="s">
        <v>5165</v>
      </c>
      <c r="D4272" s="90"/>
      <c r="E4272" s="88" t="s">
        <v>5161</v>
      </c>
      <c r="F4272" s="89"/>
      <c r="G4272" s="89"/>
      <c r="H4272" s="89"/>
      <c r="I4272" s="90"/>
      <c r="J4272" s="88" t="s">
        <v>770</v>
      </c>
      <c r="K4272" s="89"/>
      <c r="L4272" s="89"/>
      <c r="M4272" s="90"/>
      <c r="N4272" s="88" t="s">
        <v>701</v>
      </c>
      <c r="O4272" s="89"/>
      <c r="P4272" s="90"/>
      <c r="Q4272" s="133">
        <v>1795</v>
      </c>
      <c r="R4272" s="134"/>
      <c r="S4272" s="5" t="s">
        <v>16</v>
      </c>
      <c r="T4272" s="8">
        <v>1845</v>
      </c>
      <c r="U4272" s="8">
        <v>5</v>
      </c>
      <c r="V4272" s="5" t="s">
        <v>23</v>
      </c>
      <c r="W4272" s="12">
        <v>5222272</v>
      </c>
      <c r="X4272" s="6"/>
      <c r="Y4272" s="6"/>
    </row>
    <row r="4273" spans="1:25" ht="15" customHeight="1" x14ac:dyDescent="0.2">
      <c r="A4273" s="88" t="s">
        <v>5132</v>
      </c>
      <c r="B4273" s="90"/>
      <c r="C4273" s="88" t="s">
        <v>5166</v>
      </c>
      <c r="D4273" s="90"/>
      <c r="E4273" s="88" t="s">
        <v>5157</v>
      </c>
      <c r="F4273" s="89"/>
      <c r="G4273" s="89"/>
      <c r="H4273" s="89"/>
      <c r="I4273" s="90"/>
      <c r="J4273" s="88" t="s">
        <v>770</v>
      </c>
      <c r="K4273" s="89"/>
      <c r="L4273" s="89"/>
      <c r="M4273" s="90"/>
      <c r="N4273" s="88" t="s">
        <v>701</v>
      </c>
      <c r="O4273" s="89"/>
      <c r="P4273" s="90"/>
      <c r="Q4273" s="133">
        <v>1995</v>
      </c>
      <c r="R4273" s="134"/>
      <c r="S4273" s="5" t="s">
        <v>16</v>
      </c>
      <c r="T4273" s="8">
        <v>1915</v>
      </c>
      <c r="U4273" s="8">
        <v>5</v>
      </c>
      <c r="V4273" s="5" t="s">
        <v>23</v>
      </c>
      <c r="W4273" s="12">
        <v>5763712</v>
      </c>
      <c r="X4273" s="6"/>
      <c r="Y4273" s="6"/>
    </row>
    <row r="4274" spans="1:25" ht="15" customHeight="1" x14ac:dyDescent="0.2">
      <c r="A4274" s="88" t="s">
        <v>5132</v>
      </c>
      <c r="B4274" s="90"/>
      <c r="C4274" s="88" t="s">
        <v>5167</v>
      </c>
      <c r="D4274" s="90"/>
      <c r="E4274" s="88" t="s">
        <v>5157</v>
      </c>
      <c r="F4274" s="89"/>
      <c r="G4274" s="89"/>
      <c r="H4274" s="89"/>
      <c r="I4274" s="90"/>
      <c r="J4274" s="88" t="s">
        <v>770</v>
      </c>
      <c r="K4274" s="89"/>
      <c r="L4274" s="89"/>
      <c r="M4274" s="90"/>
      <c r="N4274" s="88" t="s">
        <v>701</v>
      </c>
      <c r="O4274" s="89"/>
      <c r="P4274" s="90"/>
      <c r="Q4274" s="133">
        <v>1995</v>
      </c>
      <c r="R4274" s="134"/>
      <c r="S4274" s="5" t="s">
        <v>16</v>
      </c>
      <c r="T4274" s="8">
        <v>1905</v>
      </c>
      <c r="U4274" s="8">
        <v>5</v>
      </c>
      <c r="V4274" s="5" t="s">
        <v>23</v>
      </c>
      <c r="W4274" s="12">
        <v>4855491</v>
      </c>
      <c r="X4274" s="6"/>
      <c r="Y4274" s="6"/>
    </row>
    <row r="4275" spans="1:25" ht="15" customHeight="1" x14ac:dyDescent="0.2">
      <c r="A4275" s="88" t="s">
        <v>5132</v>
      </c>
      <c r="B4275" s="90"/>
      <c r="C4275" s="88" t="s">
        <v>5167</v>
      </c>
      <c r="D4275" s="90"/>
      <c r="E4275" s="88" t="s">
        <v>5163</v>
      </c>
      <c r="F4275" s="89"/>
      <c r="G4275" s="89"/>
      <c r="H4275" s="89"/>
      <c r="I4275" s="90"/>
      <c r="J4275" s="88" t="s">
        <v>770</v>
      </c>
      <c r="K4275" s="89"/>
      <c r="L4275" s="89"/>
      <c r="M4275" s="90"/>
      <c r="N4275" s="88" t="s">
        <v>701</v>
      </c>
      <c r="O4275" s="89"/>
      <c r="P4275" s="90"/>
      <c r="Q4275" s="133">
        <v>2498</v>
      </c>
      <c r="R4275" s="134"/>
      <c r="S4275" s="5" t="s">
        <v>16</v>
      </c>
      <c r="T4275" s="8">
        <v>1805</v>
      </c>
      <c r="U4275" s="8">
        <v>5</v>
      </c>
      <c r="V4275" s="5" t="s">
        <v>23</v>
      </c>
      <c r="W4275" s="12">
        <v>4715764</v>
      </c>
      <c r="X4275" s="6"/>
      <c r="Y4275" s="6"/>
    </row>
    <row r="4276" spans="1:25" ht="15" customHeight="1" x14ac:dyDescent="0.2">
      <c r="A4276" s="88" t="s">
        <v>5132</v>
      </c>
      <c r="B4276" s="90"/>
      <c r="C4276" s="88" t="s">
        <v>5168</v>
      </c>
      <c r="D4276" s="90"/>
      <c r="E4276" s="88" t="s">
        <v>5169</v>
      </c>
      <c r="F4276" s="89"/>
      <c r="G4276" s="89"/>
      <c r="H4276" s="89"/>
      <c r="I4276" s="90"/>
      <c r="J4276" s="88" t="s">
        <v>770</v>
      </c>
      <c r="K4276" s="89"/>
      <c r="L4276" s="89"/>
      <c r="M4276" s="90"/>
      <c r="N4276" s="88" t="s">
        <v>701</v>
      </c>
      <c r="O4276" s="89"/>
      <c r="P4276" s="90"/>
      <c r="Q4276" s="133">
        <v>1995</v>
      </c>
      <c r="R4276" s="134"/>
      <c r="S4276" s="5" t="s">
        <v>44</v>
      </c>
      <c r="T4276" s="8">
        <v>1675</v>
      </c>
      <c r="U4276" s="8">
        <v>5</v>
      </c>
      <c r="V4276" s="5" t="s">
        <v>23</v>
      </c>
      <c r="W4276" s="12">
        <v>4124722</v>
      </c>
      <c r="X4276" s="6"/>
      <c r="Y4276" s="6"/>
    </row>
    <row r="4277" spans="1:25" ht="15" customHeight="1" x14ac:dyDescent="0.2">
      <c r="A4277" s="88" t="s">
        <v>5132</v>
      </c>
      <c r="B4277" s="90"/>
      <c r="C4277" s="88" t="s">
        <v>5168</v>
      </c>
      <c r="D4277" s="90"/>
      <c r="E4277" s="88" t="s">
        <v>5170</v>
      </c>
      <c r="F4277" s="89"/>
      <c r="G4277" s="89"/>
      <c r="H4277" s="89"/>
      <c r="I4277" s="90"/>
      <c r="J4277" s="88" t="s">
        <v>770</v>
      </c>
      <c r="K4277" s="89"/>
      <c r="L4277" s="89"/>
      <c r="M4277" s="90"/>
      <c r="N4277" s="88" t="s">
        <v>701</v>
      </c>
      <c r="O4277" s="89"/>
      <c r="P4277" s="90"/>
      <c r="Q4277" s="133">
        <v>1995</v>
      </c>
      <c r="R4277" s="134"/>
      <c r="S4277" s="5" t="s">
        <v>44</v>
      </c>
      <c r="T4277" s="8">
        <v>1675</v>
      </c>
      <c r="U4277" s="8">
        <v>5</v>
      </c>
      <c r="V4277" s="5" t="s">
        <v>23</v>
      </c>
      <c r="W4277" s="12">
        <v>4783881</v>
      </c>
      <c r="X4277" s="6"/>
      <c r="Y4277" s="6"/>
    </row>
    <row r="4278" spans="1:25" ht="15" customHeight="1" x14ac:dyDescent="0.2">
      <c r="A4278" s="88" t="s">
        <v>5132</v>
      </c>
      <c r="B4278" s="90"/>
      <c r="C4278" s="88" t="s">
        <v>5171</v>
      </c>
      <c r="D4278" s="90"/>
      <c r="E4278" s="88" t="s">
        <v>5170</v>
      </c>
      <c r="F4278" s="89"/>
      <c r="G4278" s="89"/>
      <c r="H4278" s="89"/>
      <c r="I4278" s="90"/>
      <c r="J4278" s="88" t="s">
        <v>770</v>
      </c>
      <c r="K4278" s="89"/>
      <c r="L4278" s="89"/>
      <c r="M4278" s="90"/>
      <c r="N4278" s="88" t="s">
        <v>701</v>
      </c>
      <c r="O4278" s="89"/>
      <c r="P4278" s="90"/>
      <c r="Q4278" s="133">
        <v>1995</v>
      </c>
      <c r="R4278" s="134"/>
      <c r="S4278" s="5" t="s">
        <v>44</v>
      </c>
      <c r="T4278" s="8">
        <v>1675</v>
      </c>
      <c r="U4278" s="8">
        <v>5</v>
      </c>
      <c r="V4278" s="5" t="s">
        <v>23</v>
      </c>
      <c r="W4278" s="12">
        <v>4296585</v>
      </c>
      <c r="X4278" s="6"/>
      <c r="Y4278" s="6"/>
    </row>
    <row r="4279" spans="1:25" ht="15" customHeight="1" x14ac:dyDescent="0.2">
      <c r="A4279" s="88" t="s">
        <v>5132</v>
      </c>
      <c r="B4279" s="90"/>
      <c r="C4279" s="88" t="s">
        <v>5171</v>
      </c>
      <c r="D4279" s="90"/>
      <c r="E4279" s="88" t="s">
        <v>5172</v>
      </c>
      <c r="F4279" s="89"/>
      <c r="G4279" s="89"/>
      <c r="H4279" s="89"/>
      <c r="I4279" s="90"/>
      <c r="J4279" s="88" t="s">
        <v>770</v>
      </c>
      <c r="K4279" s="89"/>
      <c r="L4279" s="89"/>
      <c r="M4279" s="90"/>
      <c r="N4279" s="88" t="s">
        <v>26</v>
      </c>
      <c r="O4279" s="89"/>
      <c r="P4279" s="90"/>
      <c r="Q4279" s="133">
        <v>1995</v>
      </c>
      <c r="R4279" s="134"/>
      <c r="S4279" s="5" t="s">
        <v>44</v>
      </c>
      <c r="T4279" s="8">
        <v>1625</v>
      </c>
      <c r="U4279" s="8">
        <v>5</v>
      </c>
      <c r="V4279" s="5" t="s">
        <v>23</v>
      </c>
      <c r="W4279" s="12">
        <v>3877406</v>
      </c>
      <c r="X4279" s="6"/>
      <c r="Y4279" s="6"/>
    </row>
    <row r="4280" spans="1:25" ht="15" customHeight="1" x14ac:dyDescent="0.2">
      <c r="A4280" s="88" t="s">
        <v>5132</v>
      </c>
      <c r="B4280" s="90"/>
      <c r="C4280" s="88" t="s">
        <v>5171</v>
      </c>
      <c r="D4280" s="90"/>
      <c r="E4280" s="88" t="s">
        <v>5169</v>
      </c>
      <c r="F4280" s="89"/>
      <c r="G4280" s="89"/>
      <c r="H4280" s="89"/>
      <c r="I4280" s="90"/>
      <c r="J4280" s="88" t="s">
        <v>770</v>
      </c>
      <c r="K4280" s="89"/>
      <c r="L4280" s="89"/>
      <c r="M4280" s="90"/>
      <c r="N4280" s="88" t="s">
        <v>701</v>
      </c>
      <c r="O4280" s="89"/>
      <c r="P4280" s="90"/>
      <c r="Q4280" s="133">
        <v>1995</v>
      </c>
      <c r="R4280" s="134"/>
      <c r="S4280" s="5" t="s">
        <v>44</v>
      </c>
      <c r="T4280" s="8">
        <v>1675</v>
      </c>
      <c r="U4280" s="8">
        <v>5</v>
      </c>
      <c r="V4280" s="5" t="s">
        <v>23</v>
      </c>
      <c r="W4280" s="12">
        <v>4226722</v>
      </c>
      <c r="X4280" s="6"/>
      <c r="Y4280" s="6"/>
    </row>
    <row r="4281" spans="1:25" ht="15" customHeight="1" x14ac:dyDescent="0.2">
      <c r="A4281" s="88" t="s">
        <v>5132</v>
      </c>
      <c r="B4281" s="90"/>
      <c r="C4281" s="88" t="s">
        <v>5173</v>
      </c>
      <c r="D4281" s="90"/>
      <c r="E4281" s="88" t="s">
        <v>5174</v>
      </c>
      <c r="F4281" s="89"/>
      <c r="G4281" s="89"/>
      <c r="H4281" s="89"/>
      <c r="I4281" s="90"/>
      <c r="J4281" s="88" t="s">
        <v>770</v>
      </c>
      <c r="K4281" s="89"/>
      <c r="L4281" s="89"/>
      <c r="M4281" s="90"/>
      <c r="N4281" s="88" t="s">
        <v>701</v>
      </c>
      <c r="O4281" s="89"/>
      <c r="P4281" s="90"/>
      <c r="Q4281" s="133">
        <v>1995</v>
      </c>
      <c r="R4281" s="134"/>
      <c r="S4281" s="5" t="s">
        <v>44</v>
      </c>
      <c r="T4281" s="8">
        <v>1675</v>
      </c>
      <c r="U4281" s="8">
        <v>5</v>
      </c>
      <c r="V4281" s="5" t="s">
        <v>23</v>
      </c>
      <c r="W4281" s="12">
        <v>4124722</v>
      </c>
      <c r="X4281" s="6"/>
      <c r="Y4281" s="6"/>
    </row>
    <row r="4282" spans="1:25" ht="15" customHeight="1" x14ac:dyDescent="0.2">
      <c r="A4282" s="88" t="s">
        <v>5132</v>
      </c>
      <c r="B4282" s="90"/>
      <c r="C4282" s="88" t="s">
        <v>5175</v>
      </c>
      <c r="D4282" s="90"/>
      <c r="E4282" s="88" t="s">
        <v>5176</v>
      </c>
      <c r="F4282" s="89"/>
      <c r="G4282" s="89"/>
      <c r="H4282" s="89"/>
      <c r="I4282" s="90"/>
      <c r="J4282" s="88" t="s">
        <v>770</v>
      </c>
      <c r="K4282" s="89"/>
      <c r="L4282" s="89"/>
      <c r="M4282" s="90"/>
      <c r="N4282" s="88" t="s">
        <v>26</v>
      </c>
      <c r="O4282" s="89"/>
      <c r="P4282" s="90"/>
      <c r="Q4282" s="133">
        <v>1995</v>
      </c>
      <c r="R4282" s="134"/>
      <c r="S4282" s="5" t="s">
        <v>44</v>
      </c>
      <c r="T4282" s="8">
        <v>1625</v>
      </c>
      <c r="U4282" s="8">
        <v>5</v>
      </c>
      <c r="V4282" s="5" t="s">
        <v>23</v>
      </c>
      <c r="W4282" s="12">
        <v>3877406</v>
      </c>
      <c r="X4282" s="6"/>
      <c r="Y4282" s="6"/>
    </row>
    <row r="4283" spans="1:25" ht="15" customHeight="1" x14ac:dyDescent="0.2">
      <c r="A4283" s="88" t="s">
        <v>5132</v>
      </c>
      <c r="B4283" s="90"/>
      <c r="C4283" s="88" t="s">
        <v>5177</v>
      </c>
      <c r="D4283" s="90"/>
      <c r="E4283" s="88" t="s">
        <v>5178</v>
      </c>
      <c r="F4283" s="89"/>
      <c r="G4283" s="89"/>
      <c r="H4283" s="89"/>
      <c r="I4283" s="90"/>
      <c r="J4283" s="88" t="s">
        <v>770</v>
      </c>
      <c r="K4283" s="89"/>
      <c r="L4283" s="89"/>
      <c r="M4283" s="90"/>
      <c r="N4283" s="88" t="s">
        <v>701</v>
      </c>
      <c r="O4283" s="89"/>
      <c r="P4283" s="90"/>
      <c r="Q4283" s="133">
        <v>1995</v>
      </c>
      <c r="R4283" s="134"/>
      <c r="S4283" s="5" t="s">
        <v>44</v>
      </c>
      <c r="T4283" s="8">
        <v>1805</v>
      </c>
      <c r="U4283" s="8">
        <v>5</v>
      </c>
      <c r="V4283" s="5" t="s">
        <v>23</v>
      </c>
      <c r="W4283" s="12">
        <v>4418846</v>
      </c>
      <c r="X4283" s="6"/>
      <c r="Y4283" s="6"/>
    </row>
    <row r="4284" spans="1:25" ht="15" customHeight="1" x14ac:dyDescent="0.2">
      <c r="A4284" s="88" t="s">
        <v>5132</v>
      </c>
      <c r="B4284" s="90"/>
      <c r="C4284" s="88" t="s">
        <v>5179</v>
      </c>
      <c r="D4284" s="90"/>
      <c r="E4284" s="88" t="s">
        <v>5147</v>
      </c>
      <c r="F4284" s="89"/>
      <c r="G4284" s="89"/>
      <c r="H4284" s="89"/>
      <c r="I4284" s="90"/>
      <c r="J4284" s="88" t="s">
        <v>770</v>
      </c>
      <c r="K4284" s="89"/>
      <c r="L4284" s="89"/>
      <c r="M4284" s="90"/>
      <c r="N4284" s="88" t="s">
        <v>701</v>
      </c>
      <c r="O4284" s="89"/>
      <c r="P4284" s="90"/>
      <c r="Q4284" s="133">
        <v>1995</v>
      </c>
      <c r="R4284" s="134"/>
      <c r="S4284" s="5" t="s">
        <v>44</v>
      </c>
      <c r="T4284" s="8">
        <v>1855</v>
      </c>
      <c r="U4284" s="8">
        <v>5</v>
      </c>
      <c r="V4284" s="5" t="s">
        <v>23</v>
      </c>
      <c r="W4284" s="12">
        <v>5610013</v>
      </c>
      <c r="X4284" s="6"/>
      <c r="Y4284" s="6"/>
    </row>
    <row r="4285" spans="1:25" ht="15" customHeight="1" x14ac:dyDescent="0.2">
      <c r="A4285" s="88" t="s">
        <v>5132</v>
      </c>
      <c r="B4285" s="90"/>
      <c r="C4285" s="88" t="s">
        <v>5180</v>
      </c>
      <c r="D4285" s="90"/>
      <c r="E4285" s="88" t="s">
        <v>5181</v>
      </c>
      <c r="F4285" s="89"/>
      <c r="G4285" s="89"/>
      <c r="H4285" s="89"/>
      <c r="I4285" s="90"/>
      <c r="J4285" s="88" t="s">
        <v>770</v>
      </c>
      <c r="K4285" s="89"/>
      <c r="L4285" s="89"/>
      <c r="M4285" s="90"/>
      <c r="N4285" s="88" t="s">
        <v>701</v>
      </c>
      <c r="O4285" s="89"/>
      <c r="P4285" s="90"/>
      <c r="Q4285" s="133">
        <v>1995</v>
      </c>
      <c r="R4285" s="134"/>
      <c r="S4285" s="5" t="s">
        <v>44</v>
      </c>
      <c r="T4285" s="8">
        <v>1675</v>
      </c>
      <c r="U4285" s="8">
        <v>5</v>
      </c>
      <c r="V4285" s="5" t="s">
        <v>23</v>
      </c>
      <c r="W4285" s="12">
        <v>4645901</v>
      </c>
      <c r="X4285" s="6"/>
      <c r="Y4285" s="6"/>
    </row>
    <row r="4286" spans="1:25" ht="15" customHeight="1" x14ac:dyDescent="0.2">
      <c r="A4286" s="88" t="s">
        <v>5132</v>
      </c>
      <c r="B4286" s="90"/>
      <c r="C4286" s="88" t="s">
        <v>5182</v>
      </c>
      <c r="D4286" s="90"/>
      <c r="E4286" s="88" t="s">
        <v>5183</v>
      </c>
      <c r="F4286" s="89"/>
      <c r="G4286" s="89"/>
      <c r="H4286" s="89"/>
      <c r="I4286" s="90"/>
      <c r="J4286" s="88" t="s">
        <v>770</v>
      </c>
      <c r="K4286" s="89"/>
      <c r="L4286" s="89"/>
      <c r="M4286" s="90"/>
      <c r="N4286" s="88" t="s">
        <v>701</v>
      </c>
      <c r="O4286" s="89"/>
      <c r="P4286" s="90"/>
      <c r="Q4286" s="133">
        <v>996</v>
      </c>
      <c r="R4286" s="134"/>
      <c r="S4286" s="5" t="s">
        <v>27</v>
      </c>
      <c r="T4286" s="8">
        <v>1365</v>
      </c>
      <c r="U4286" s="8">
        <v>5</v>
      </c>
      <c r="V4286" s="5" t="s">
        <v>23</v>
      </c>
      <c r="W4286" s="12">
        <v>2994615</v>
      </c>
      <c r="X4286" s="6"/>
      <c r="Y4286" s="6"/>
    </row>
    <row r="4287" spans="1:25" ht="15" customHeight="1" x14ac:dyDescent="0.2">
      <c r="A4287" s="88" t="s">
        <v>5132</v>
      </c>
      <c r="B4287" s="90"/>
      <c r="C4287" s="88" t="s">
        <v>5184</v>
      </c>
      <c r="D4287" s="90"/>
      <c r="E4287" s="88" t="s">
        <v>5185</v>
      </c>
      <c r="F4287" s="89"/>
      <c r="G4287" s="89"/>
      <c r="H4287" s="89"/>
      <c r="I4287" s="90"/>
      <c r="J4287" s="88" t="s">
        <v>770</v>
      </c>
      <c r="K4287" s="89"/>
      <c r="L4287" s="89"/>
      <c r="M4287" s="90"/>
      <c r="N4287" s="88" t="s">
        <v>26</v>
      </c>
      <c r="O4287" s="89"/>
      <c r="P4287" s="90"/>
      <c r="Q4287" s="133">
        <v>996</v>
      </c>
      <c r="R4287" s="134"/>
      <c r="S4287" s="5" t="s">
        <v>27</v>
      </c>
      <c r="T4287" s="8">
        <v>1375</v>
      </c>
      <c r="U4287" s="8">
        <v>5</v>
      </c>
      <c r="V4287" s="5" t="s">
        <v>23</v>
      </c>
      <c r="W4287" s="12">
        <v>3215942</v>
      </c>
      <c r="X4287" s="6"/>
      <c r="Y4287" s="6"/>
    </row>
    <row r="4288" spans="1:25" ht="15" customHeight="1" x14ac:dyDescent="0.2">
      <c r="A4288" s="88" t="s">
        <v>5132</v>
      </c>
      <c r="B4288" s="90"/>
      <c r="C4288" s="88" t="s">
        <v>5186</v>
      </c>
      <c r="D4288" s="90"/>
      <c r="E4288" s="88" t="s">
        <v>5185</v>
      </c>
      <c r="F4288" s="89"/>
      <c r="G4288" s="89"/>
      <c r="H4288" s="89"/>
      <c r="I4288" s="90"/>
      <c r="J4288" s="88" t="s">
        <v>770</v>
      </c>
      <c r="K4288" s="89"/>
      <c r="L4288" s="89"/>
      <c r="M4288" s="90"/>
      <c r="N4288" s="88" t="s">
        <v>26</v>
      </c>
      <c r="O4288" s="89"/>
      <c r="P4288" s="90"/>
      <c r="Q4288" s="133">
        <v>996</v>
      </c>
      <c r="R4288" s="134"/>
      <c r="S4288" s="5" t="s">
        <v>27</v>
      </c>
      <c r="T4288" s="8">
        <v>1355</v>
      </c>
      <c r="U4288" s="8">
        <v>4</v>
      </c>
      <c r="V4288" s="5" t="s">
        <v>23</v>
      </c>
      <c r="W4288" s="12">
        <v>3014736</v>
      </c>
      <c r="X4288" s="6"/>
      <c r="Y4288" s="6"/>
    </row>
    <row r="4289" spans="1:25" ht="15" customHeight="1" x14ac:dyDescent="0.2">
      <c r="A4289" s="88" t="s">
        <v>5132</v>
      </c>
      <c r="B4289" s="90"/>
      <c r="C4289" s="88" t="s">
        <v>5186</v>
      </c>
      <c r="D4289" s="90"/>
      <c r="E4289" s="88" t="s">
        <v>5187</v>
      </c>
      <c r="F4289" s="89"/>
      <c r="G4289" s="89"/>
      <c r="H4289" s="89"/>
      <c r="I4289" s="90"/>
      <c r="J4289" s="88" t="s">
        <v>770</v>
      </c>
      <c r="K4289" s="89"/>
      <c r="L4289" s="89"/>
      <c r="M4289" s="90"/>
      <c r="N4289" s="88" t="s">
        <v>22</v>
      </c>
      <c r="O4289" s="89"/>
      <c r="P4289" s="90"/>
      <c r="Q4289" s="133">
        <v>996</v>
      </c>
      <c r="R4289" s="134"/>
      <c r="S4289" s="5" t="s">
        <v>27</v>
      </c>
      <c r="T4289" s="8">
        <v>1355</v>
      </c>
      <c r="U4289" s="8">
        <v>4</v>
      </c>
      <c r="V4289" s="5" t="s">
        <v>23</v>
      </c>
      <c r="W4289" s="12">
        <v>3319898</v>
      </c>
      <c r="X4289" s="6"/>
      <c r="Y4289" s="6"/>
    </row>
    <row r="4290" spans="1:25" ht="15" customHeight="1" x14ac:dyDescent="0.2">
      <c r="A4290" s="88" t="s">
        <v>5132</v>
      </c>
      <c r="B4290" s="90"/>
      <c r="C4290" s="88" t="s">
        <v>5188</v>
      </c>
      <c r="D4290" s="90"/>
      <c r="E4290" s="88" t="s">
        <v>5189</v>
      </c>
      <c r="F4290" s="89"/>
      <c r="G4290" s="89"/>
      <c r="H4290" s="89"/>
      <c r="I4290" s="90"/>
      <c r="J4290" s="88" t="s">
        <v>770</v>
      </c>
      <c r="K4290" s="89"/>
      <c r="L4290" s="89"/>
      <c r="M4290" s="90"/>
      <c r="N4290" s="88" t="s">
        <v>701</v>
      </c>
      <c r="O4290" s="89"/>
      <c r="P4290" s="90"/>
      <c r="Q4290" s="133">
        <v>2498</v>
      </c>
      <c r="R4290" s="134"/>
      <c r="S4290" s="5" t="s">
        <v>44</v>
      </c>
      <c r="T4290" s="8">
        <v>1815</v>
      </c>
      <c r="U4290" s="8">
        <v>5</v>
      </c>
      <c r="V4290" s="5" t="s">
        <v>23</v>
      </c>
      <c r="W4290" s="12">
        <v>5239738</v>
      </c>
      <c r="X4290" s="6"/>
      <c r="Y4290" s="6"/>
    </row>
    <row r="4291" spans="1:25" ht="15" customHeight="1" x14ac:dyDescent="0.2">
      <c r="A4291" s="88" t="s">
        <v>5132</v>
      </c>
      <c r="B4291" s="90"/>
      <c r="C4291" s="88" t="s">
        <v>5190</v>
      </c>
      <c r="D4291" s="90"/>
      <c r="E4291" s="88" t="s">
        <v>5191</v>
      </c>
      <c r="F4291" s="89"/>
      <c r="G4291" s="89"/>
      <c r="H4291" s="89"/>
      <c r="I4291" s="90"/>
      <c r="J4291" s="88" t="s">
        <v>770</v>
      </c>
      <c r="K4291" s="89"/>
      <c r="L4291" s="89"/>
      <c r="M4291" s="90"/>
      <c r="N4291" s="88" t="s">
        <v>701</v>
      </c>
      <c r="O4291" s="89"/>
      <c r="P4291" s="90"/>
      <c r="Q4291" s="133">
        <v>2498</v>
      </c>
      <c r="R4291" s="134"/>
      <c r="S4291" s="5" t="s">
        <v>16</v>
      </c>
      <c r="T4291" s="8">
        <v>1855</v>
      </c>
      <c r="U4291" s="8">
        <v>5</v>
      </c>
      <c r="V4291" s="5" t="s">
        <v>23</v>
      </c>
      <c r="W4291" s="12">
        <v>5763712</v>
      </c>
      <c r="X4291" s="6"/>
      <c r="Y4291" s="6"/>
    </row>
    <row r="4292" spans="1:25" ht="15" customHeight="1" x14ac:dyDescent="0.2">
      <c r="A4292" s="88" t="s">
        <v>5132</v>
      </c>
      <c r="B4292" s="90"/>
      <c r="C4292" s="88" t="s">
        <v>5192</v>
      </c>
      <c r="D4292" s="90"/>
      <c r="E4292" s="88" t="s">
        <v>5193</v>
      </c>
      <c r="F4292" s="89"/>
      <c r="G4292" s="89"/>
      <c r="H4292" s="89"/>
      <c r="I4292" s="90"/>
      <c r="J4292" s="88" t="s">
        <v>770</v>
      </c>
      <c r="K4292" s="89"/>
      <c r="L4292" s="89"/>
      <c r="M4292" s="90"/>
      <c r="N4292" s="88" t="s">
        <v>701</v>
      </c>
      <c r="O4292" s="89"/>
      <c r="P4292" s="90"/>
      <c r="Q4292" s="133">
        <v>1795</v>
      </c>
      <c r="R4292" s="134"/>
      <c r="S4292" s="5" t="s">
        <v>16</v>
      </c>
      <c r="T4292" s="8">
        <v>1965</v>
      </c>
      <c r="U4292" s="8">
        <v>5</v>
      </c>
      <c r="V4292" s="5" t="s">
        <v>23</v>
      </c>
      <c r="W4292" s="12">
        <v>7877073</v>
      </c>
      <c r="X4292" s="6"/>
      <c r="Y4292" s="6"/>
    </row>
    <row r="4293" spans="1:25" ht="15" customHeight="1" x14ac:dyDescent="0.2">
      <c r="A4293" s="88" t="s">
        <v>5132</v>
      </c>
      <c r="B4293" s="90"/>
      <c r="C4293" s="88" t="s">
        <v>5194</v>
      </c>
      <c r="D4293" s="90"/>
      <c r="E4293" s="88" t="s">
        <v>5193</v>
      </c>
      <c r="F4293" s="89"/>
      <c r="G4293" s="89"/>
      <c r="H4293" s="89"/>
      <c r="I4293" s="90"/>
      <c r="J4293" s="88" t="s">
        <v>770</v>
      </c>
      <c r="K4293" s="89"/>
      <c r="L4293" s="89"/>
      <c r="M4293" s="90"/>
      <c r="N4293" s="88" t="s">
        <v>701</v>
      </c>
      <c r="O4293" s="89"/>
      <c r="P4293" s="90"/>
      <c r="Q4293" s="133">
        <v>1795</v>
      </c>
      <c r="R4293" s="134"/>
      <c r="S4293" s="5" t="s">
        <v>16</v>
      </c>
      <c r="T4293" s="8">
        <v>1965</v>
      </c>
      <c r="U4293" s="8">
        <v>5</v>
      </c>
      <c r="V4293" s="5" t="s">
        <v>23</v>
      </c>
      <c r="W4293" s="12">
        <v>7684949</v>
      </c>
      <c r="X4293" s="6"/>
      <c r="Y4293" s="6"/>
    </row>
    <row r="4294" spans="1:25" ht="15" customHeight="1" x14ac:dyDescent="0.2">
      <c r="A4294" s="88" t="s">
        <v>5132</v>
      </c>
      <c r="B4294" s="90"/>
      <c r="C4294" s="88" t="s">
        <v>5194</v>
      </c>
      <c r="D4294" s="90"/>
      <c r="E4294" s="88" t="s">
        <v>5191</v>
      </c>
      <c r="F4294" s="89"/>
      <c r="G4294" s="89"/>
      <c r="H4294" s="89"/>
      <c r="I4294" s="90"/>
      <c r="J4294" s="88" t="s">
        <v>770</v>
      </c>
      <c r="K4294" s="89"/>
      <c r="L4294" s="89"/>
      <c r="M4294" s="90"/>
      <c r="N4294" s="88" t="s">
        <v>701</v>
      </c>
      <c r="O4294" s="89"/>
      <c r="P4294" s="90"/>
      <c r="Q4294" s="133">
        <v>2498</v>
      </c>
      <c r="R4294" s="134"/>
      <c r="S4294" s="5" t="s">
        <v>16</v>
      </c>
      <c r="T4294" s="8">
        <v>1855</v>
      </c>
      <c r="U4294" s="8">
        <v>5</v>
      </c>
      <c r="V4294" s="5" t="s">
        <v>23</v>
      </c>
      <c r="W4294" s="12">
        <v>5763712</v>
      </c>
      <c r="X4294" s="6"/>
      <c r="Y4294" s="6"/>
    </row>
    <row r="4295" spans="1:25" ht="15" customHeight="1" x14ac:dyDescent="0.2">
      <c r="A4295" s="88" t="s">
        <v>5132</v>
      </c>
      <c r="B4295" s="90"/>
      <c r="C4295" s="88" t="s">
        <v>5194</v>
      </c>
      <c r="D4295" s="90"/>
      <c r="E4295" s="88" t="s">
        <v>5195</v>
      </c>
      <c r="F4295" s="89"/>
      <c r="G4295" s="89"/>
      <c r="H4295" s="89"/>
      <c r="I4295" s="90"/>
      <c r="J4295" s="88" t="s">
        <v>770</v>
      </c>
      <c r="K4295" s="89"/>
      <c r="L4295" s="89"/>
      <c r="M4295" s="90"/>
      <c r="N4295" s="88" t="s">
        <v>701</v>
      </c>
      <c r="O4295" s="89"/>
      <c r="P4295" s="90"/>
      <c r="Q4295" s="133">
        <v>2498</v>
      </c>
      <c r="R4295" s="134"/>
      <c r="S4295" s="5" t="s">
        <v>16</v>
      </c>
      <c r="T4295" s="8">
        <v>1855</v>
      </c>
      <c r="U4295" s="8">
        <v>5</v>
      </c>
      <c r="V4295" s="5" t="s">
        <v>23</v>
      </c>
      <c r="W4295" s="12">
        <v>5763712</v>
      </c>
      <c r="X4295" s="6"/>
      <c r="Y4295" s="6"/>
    </row>
    <row r="4296" spans="1:25" ht="15" customHeight="1" x14ac:dyDescent="0.2">
      <c r="A4296" s="88" t="s">
        <v>5132</v>
      </c>
      <c r="B4296" s="90"/>
      <c r="C4296" s="88" t="s">
        <v>5196</v>
      </c>
      <c r="D4296" s="90"/>
      <c r="E4296" s="88" t="s">
        <v>5193</v>
      </c>
      <c r="F4296" s="89"/>
      <c r="G4296" s="89"/>
      <c r="H4296" s="89"/>
      <c r="I4296" s="90"/>
      <c r="J4296" s="88" t="s">
        <v>770</v>
      </c>
      <c r="K4296" s="89"/>
      <c r="L4296" s="89"/>
      <c r="M4296" s="90"/>
      <c r="N4296" s="88" t="s">
        <v>701</v>
      </c>
      <c r="O4296" s="89"/>
      <c r="P4296" s="90"/>
      <c r="Q4296" s="133">
        <v>1795</v>
      </c>
      <c r="R4296" s="134"/>
      <c r="S4296" s="5" t="s">
        <v>16</v>
      </c>
      <c r="T4296" s="8">
        <v>1965</v>
      </c>
      <c r="U4296" s="8">
        <v>5</v>
      </c>
      <c r="V4296" s="5" t="s">
        <v>23</v>
      </c>
      <c r="W4296" s="12">
        <v>7492826</v>
      </c>
      <c r="X4296" s="6"/>
      <c r="Y4296" s="6"/>
    </row>
    <row r="4297" spans="1:25" ht="15" customHeight="1" x14ac:dyDescent="0.2">
      <c r="A4297" s="88" t="s">
        <v>5132</v>
      </c>
      <c r="B4297" s="90"/>
      <c r="C4297" s="88" t="s">
        <v>5197</v>
      </c>
      <c r="D4297" s="90"/>
      <c r="E4297" s="88" t="s">
        <v>5193</v>
      </c>
      <c r="F4297" s="89"/>
      <c r="G4297" s="89"/>
      <c r="H4297" s="89"/>
      <c r="I4297" s="90"/>
      <c r="J4297" s="88" t="s">
        <v>770</v>
      </c>
      <c r="K4297" s="89"/>
      <c r="L4297" s="89"/>
      <c r="M4297" s="90"/>
      <c r="N4297" s="88" t="s">
        <v>701</v>
      </c>
      <c r="O4297" s="89"/>
      <c r="P4297" s="90"/>
      <c r="Q4297" s="133">
        <v>1795</v>
      </c>
      <c r="R4297" s="134"/>
      <c r="S4297" s="5" t="s">
        <v>16</v>
      </c>
      <c r="T4297" s="8">
        <v>1965</v>
      </c>
      <c r="U4297" s="8">
        <v>5</v>
      </c>
      <c r="V4297" s="5" t="s">
        <v>23</v>
      </c>
      <c r="W4297" s="12">
        <v>7857861</v>
      </c>
      <c r="X4297" s="6"/>
      <c r="Y4297" s="6"/>
    </row>
    <row r="4298" spans="1:25" ht="15" customHeight="1" x14ac:dyDescent="0.2">
      <c r="A4298" s="88" t="s">
        <v>5132</v>
      </c>
      <c r="B4298" s="90"/>
      <c r="C4298" s="88" t="s">
        <v>5198</v>
      </c>
      <c r="D4298" s="90"/>
      <c r="E4298" s="88" t="s">
        <v>5193</v>
      </c>
      <c r="F4298" s="89"/>
      <c r="G4298" s="89"/>
      <c r="H4298" s="89"/>
      <c r="I4298" s="90"/>
      <c r="J4298" s="88" t="s">
        <v>770</v>
      </c>
      <c r="K4298" s="89"/>
      <c r="L4298" s="89"/>
      <c r="M4298" s="90"/>
      <c r="N4298" s="88" t="s">
        <v>701</v>
      </c>
      <c r="O4298" s="89"/>
      <c r="P4298" s="90"/>
      <c r="Q4298" s="133">
        <v>1795</v>
      </c>
      <c r="R4298" s="134"/>
      <c r="S4298" s="5" t="s">
        <v>16</v>
      </c>
      <c r="T4298" s="8">
        <v>1955</v>
      </c>
      <c r="U4298" s="8">
        <v>5</v>
      </c>
      <c r="V4298" s="5" t="s">
        <v>23</v>
      </c>
      <c r="W4298" s="12">
        <v>7243065</v>
      </c>
      <c r="X4298" s="6"/>
      <c r="Y4298" s="6"/>
    </row>
    <row r="4299" spans="1:25" ht="15" customHeight="1" x14ac:dyDescent="0.2">
      <c r="A4299" s="88" t="s">
        <v>5132</v>
      </c>
      <c r="B4299" s="90"/>
      <c r="C4299" s="88" t="s">
        <v>5199</v>
      </c>
      <c r="D4299" s="90"/>
      <c r="E4299" s="88" t="s">
        <v>5200</v>
      </c>
      <c r="F4299" s="89"/>
      <c r="G4299" s="89"/>
      <c r="H4299" s="89"/>
      <c r="I4299" s="90"/>
      <c r="J4299" s="88" t="s">
        <v>770</v>
      </c>
      <c r="K4299" s="89"/>
      <c r="L4299" s="89"/>
      <c r="M4299" s="90"/>
      <c r="N4299" s="88" t="s">
        <v>701</v>
      </c>
      <c r="O4299" s="89"/>
      <c r="P4299" s="90"/>
      <c r="Q4299" s="133">
        <v>1599</v>
      </c>
      <c r="R4299" s="134"/>
      <c r="S4299" s="5" t="s">
        <v>70</v>
      </c>
      <c r="T4299" s="8">
        <v>1835</v>
      </c>
      <c r="U4299" s="8">
        <v>5</v>
      </c>
      <c r="V4299" s="5" t="s">
        <v>23</v>
      </c>
      <c r="W4299" s="12">
        <v>4977751</v>
      </c>
      <c r="X4299" s="6"/>
      <c r="Y4299" s="6"/>
    </row>
    <row r="4300" spans="1:25" ht="15" customHeight="1" x14ac:dyDescent="0.2">
      <c r="A4300" s="88" t="s">
        <v>5132</v>
      </c>
      <c r="B4300" s="90"/>
      <c r="C4300" s="88" t="s">
        <v>5201</v>
      </c>
      <c r="D4300" s="90"/>
      <c r="E4300" s="88" t="s">
        <v>5202</v>
      </c>
      <c r="F4300" s="89"/>
      <c r="G4300" s="89"/>
      <c r="H4300" s="89"/>
      <c r="I4300" s="90"/>
      <c r="J4300" s="88" t="s">
        <v>770</v>
      </c>
      <c r="K4300" s="89"/>
      <c r="L4300" s="89"/>
      <c r="M4300" s="90"/>
      <c r="N4300" s="88" t="s">
        <v>701</v>
      </c>
      <c r="O4300" s="89"/>
      <c r="P4300" s="90"/>
      <c r="Q4300" s="133">
        <v>1795</v>
      </c>
      <c r="R4300" s="134"/>
      <c r="S4300" s="5" t="s">
        <v>70</v>
      </c>
      <c r="T4300" s="8">
        <v>1855</v>
      </c>
      <c r="U4300" s="8">
        <v>5</v>
      </c>
      <c r="V4300" s="5" t="s">
        <v>23</v>
      </c>
      <c r="W4300" s="12">
        <v>6628269</v>
      </c>
      <c r="X4300" s="6"/>
      <c r="Y4300" s="6"/>
    </row>
    <row r="4301" spans="1:25" ht="15" customHeight="1" x14ac:dyDescent="0.2">
      <c r="A4301" s="88" t="s">
        <v>5132</v>
      </c>
      <c r="B4301" s="90"/>
      <c r="C4301" s="88" t="s">
        <v>5203</v>
      </c>
      <c r="D4301" s="90"/>
      <c r="E4301" s="88" t="s">
        <v>5202</v>
      </c>
      <c r="F4301" s="89"/>
      <c r="G4301" s="89"/>
      <c r="H4301" s="89"/>
      <c r="I4301" s="90"/>
      <c r="J4301" s="88" t="s">
        <v>770</v>
      </c>
      <c r="K4301" s="89"/>
      <c r="L4301" s="89"/>
      <c r="M4301" s="90"/>
      <c r="N4301" s="88" t="s">
        <v>701</v>
      </c>
      <c r="O4301" s="89"/>
      <c r="P4301" s="90"/>
      <c r="Q4301" s="133">
        <v>1795</v>
      </c>
      <c r="R4301" s="134"/>
      <c r="S4301" s="5" t="s">
        <v>70</v>
      </c>
      <c r="T4301" s="8">
        <v>1855</v>
      </c>
      <c r="U4301" s="8">
        <v>5</v>
      </c>
      <c r="V4301" s="5" t="s">
        <v>23</v>
      </c>
      <c r="W4301" s="12">
        <v>6628269</v>
      </c>
      <c r="X4301" s="6"/>
      <c r="Y4301" s="6"/>
    </row>
    <row r="4302" spans="1:25" ht="15" customHeight="1" x14ac:dyDescent="0.2">
      <c r="A4302" s="88" t="s">
        <v>5132</v>
      </c>
      <c r="B4302" s="90"/>
      <c r="C4302" s="88" t="s">
        <v>5204</v>
      </c>
      <c r="D4302" s="90"/>
      <c r="E4302" s="88" t="s">
        <v>5200</v>
      </c>
      <c r="F4302" s="89"/>
      <c r="G4302" s="89"/>
      <c r="H4302" s="89"/>
      <c r="I4302" s="90"/>
      <c r="J4302" s="88" t="s">
        <v>770</v>
      </c>
      <c r="K4302" s="89"/>
      <c r="L4302" s="89"/>
      <c r="M4302" s="90"/>
      <c r="N4302" s="88" t="s">
        <v>701</v>
      </c>
      <c r="O4302" s="89"/>
      <c r="P4302" s="90"/>
      <c r="Q4302" s="133">
        <v>1599</v>
      </c>
      <c r="R4302" s="134"/>
      <c r="S4302" s="5" t="s">
        <v>70</v>
      </c>
      <c r="T4302" s="8">
        <v>1835</v>
      </c>
      <c r="U4302" s="8">
        <v>5</v>
      </c>
      <c r="V4302" s="5" t="s">
        <v>23</v>
      </c>
      <c r="W4302" s="12">
        <v>4977751</v>
      </c>
      <c r="X4302" s="6"/>
      <c r="Y4302" s="6"/>
    </row>
    <row r="4303" spans="1:25" ht="15" customHeight="1" x14ac:dyDescent="0.2">
      <c r="A4303" s="88" t="s">
        <v>5132</v>
      </c>
      <c r="B4303" s="90"/>
      <c r="C4303" s="88" t="s">
        <v>5205</v>
      </c>
      <c r="D4303" s="90"/>
      <c r="E4303" s="88" t="s">
        <v>5202</v>
      </c>
      <c r="F4303" s="89"/>
      <c r="G4303" s="89"/>
      <c r="H4303" s="89"/>
      <c r="I4303" s="90"/>
      <c r="J4303" s="88" t="s">
        <v>770</v>
      </c>
      <c r="K4303" s="89"/>
      <c r="L4303" s="89"/>
      <c r="M4303" s="90"/>
      <c r="N4303" s="88" t="s">
        <v>701</v>
      </c>
      <c r="O4303" s="89"/>
      <c r="P4303" s="90"/>
      <c r="Q4303" s="133">
        <v>1795</v>
      </c>
      <c r="R4303" s="134"/>
      <c r="S4303" s="5" t="s">
        <v>70</v>
      </c>
      <c r="T4303" s="8">
        <v>1875</v>
      </c>
      <c r="U4303" s="8">
        <v>5</v>
      </c>
      <c r="V4303" s="5" t="s">
        <v>23</v>
      </c>
      <c r="W4303" s="12">
        <v>6974091</v>
      </c>
      <c r="X4303" s="6"/>
      <c r="Y4303" s="6"/>
    </row>
    <row r="4304" spans="1:25" ht="15" customHeight="1" x14ac:dyDescent="0.2">
      <c r="A4304" s="88" t="s">
        <v>5132</v>
      </c>
      <c r="B4304" s="90"/>
      <c r="C4304" s="88" t="s">
        <v>5206</v>
      </c>
      <c r="D4304" s="90"/>
      <c r="E4304" s="88" t="s">
        <v>5207</v>
      </c>
      <c r="F4304" s="89"/>
      <c r="G4304" s="89"/>
      <c r="H4304" s="89"/>
      <c r="I4304" s="90"/>
      <c r="J4304" s="88" t="s">
        <v>770</v>
      </c>
      <c r="K4304" s="89"/>
      <c r="L4304" s="89"/>
      <c r="M4304" s="90"/>
      <c r="N4304" s="88" t="s">
        <v>701</v>
      </c>
      <c r="O4304" s="89"/>
      <c r="P4304" s="90"/>
      <c r="Q4304" s="133">
        <v>1995</v>
      </c>
      <c r="R4304" s="134"/>
      <c r="S4304" s="5" t="s">
        <v>70</v>
      </c>
      <c r="T4304" s="8">
        <v>1715</v>
      </c>
      <c r="U4304" s="8">
        <v>5</v>
      </c>
      <c r="V4304" s="5" t="s">
        <v>23</v>
      </c>
      <c r="W4304" s="12">
        <v>5533163</v>
      </c>
      <c r="X4304" s="6"/>
      <c r="Y4304" s="6"/>
    </row>
    <row r="4305" spans="1:25" ht="15" customHeight="1" x14ac:dyDescent="0.2">
      <c r="A4305" s="88" t="s">
        <v>5132</v>
      </c>
      <c r="B4305" s="90"/>
      <c r="C4305" s="88" t="s">
        <v>5208</v>
      </c>
      <c r="D4305" s="90"/>
      <c r="E4305" s="88" t="s">
        <v>5200</v>
      </c>
      <c r="F4305" s="89"/>
      <c r="G4305" s="89"/>
      <c r="H4305" s="89"/>
      <c r="I4305" s="90"/>
      <c r="J4305" s="88" t="s">
        <v>770</v>
      </c>
      <c r="K4305" s="89"/>
      <c r="L4305" s="89"/>
      <c r="M4305" s="90"/>
      <c r="N4305" s="88" t="s">
        <v>701</v>
      </c>
      <c r="O4305" s="89"/>
      <c r="P4305" s="90"/>
      <c r="Q4305" s="133">
        <v>1599</v>
      </c>
      <c r="R4305" s="134"/>
      <c r="S4305" s="5" t="s">
        <v>70</v>
      </c>
      <c r="T4305" s="8">
        <v>1835</v>
      </c>
      <c r="U4305" s="8">
        <v>5</v>
      </c>
      <c r="V4305" s="5" t="s">
        <v>23</v>
      </c>
      <c r="W4305" s="12">
        <v>5533163</v>
      </c>
      <c r="X4305" s="6"/>
      <c r="Y4305" s="6"/>
    </row>
    <row r="4306" spans="1:25" ht="15" customHeight="1" x14ac:dyDescent="0.2">
      <c r="A4306" s="88" t="s">
        <v>5132</v>
      </c>
      <c r="B4306" s="90"/>
      <c r="C4306" s="88" t="s">
        <v>5209</v>
      </c>
      <c r="D4306" s="90"/>
      <c r="E4306" s="88" t="s">
        <v>5200</v>
      </c>
      <c r="F4306" s="89"/>
      <c r="G4306" s="89"/>
      <c r="H4306" s="89"/>
      <c r="I4306" s="90"/>
      <c r="J4306" s="88" t="s">
        <v>770</v>
      </c>
      <c r="K4306" s="89"/>
      <c r="L4306" s="89"/>
      <c r="M4306" s="90"/>
      <c r="N4306" s="88" t="s">
        <v>701</v>
      </c>
      <c r="O4306" s="89"/>
      <c r="P4306" s="90"/>
      <c r="Q4306" s="133">
        <v>1599</v>
      </c>
      <c r="R4306" s="134"/>
      <c r="S4306" s="5" t="s">
        <v>70</v>
      </c>
      <c r="T4306" s="8">
        <v>1835</v>
      </c>
      <c r="U4306" s="8">
        <v>5</v>
      </c>
      <c r="V4306" s="5" t="s">
        <v>23</v>
      </c>
      <c r="W4306" s="12">
        <v>5763712</v>
      </c>
      <c r="X4306" s="6"/>
      <c r="Y4306" s="6"/>
    </row>
    <row r="4307" spans="1:25" ht="15" customHeight="1" x14ac:dyDescent="0.2">
      <c r="A4307" s="88" t="s">
        <v>5132</v>
      </c>
      <c r="B4307" s="90"/>
      <c r="C4307" s="88" t="s">
        <v>5210</v>
      </c>
      <c r="D4307" s="90"/>
      <c r="E4307" s="88" t="s">
        <v>5211</v>
      </c>
      <c r="F4307" s="89"/>
      <c r="G4307" s="89"/>
      <c r="H4307" s="89"/>
      <c r="I4307" s="90"/>
      <c r="J4307" s="88" t="s">
        <v>770</v>
      </c>
      <c r="K4307" s="89"/>
      <c r="L4307" s="89"/>
      <c r="M4307" s="90"/>
      <c r="N4307" s="88" t="s">
        <v>701</v>
      </c>
      <c r="O4307" s="89"/>
      <c r="P4307" s="90"/>
      <c r="Q4307" s="133">
        <v>2387</v>
      </c>
      <c r="R4307" s="134"/>
      <c r="S4307" s="5" t="s">
        <v>70</v>
      </c>
      <c r="T4307" s="8">
        <v>1915</v>
      </c>
      <c r="U4307" s="8">
        <v>5</v>
      </c>
      <c r="V4307" s="5" t="s">
        <v>23</v>
      </c>
      <c r="W4307" s="12">
        <v>8780055</v>
      </c>
      <c r="X4307" s="6"/>
      <c r="Y4307" s="6"/>
    </row>
    <row r="4308" spans="1:25" ht="15" customHeight="1" x14ac:dyDescent="0.2">
      <c r="A4308" s="88" t="s">
        <v>5132</v>
      </c>
      <c r="B4308" s="90"/>
      <c r="C4308" s="88" t="s">
        <v>5210</v>
      </c>
      <c r="D4308" s="90"/>
      <c r="E4308" s="88" t="s">
        <v>5202</v>
      </c>
      <c r="F4308" s="89"/>
      <c r="G4308" s="89"/>
      <c r="H4308" s="89"/>
      <c r="I4308" s="90"/>
      <c r="J4308" s="88" t="s">
        <v>770</v>
      </c>
      <c r="K4308" s="89"/>
      <c r="L4308" s="89"/>
      <c r="M4308" s="90"/>
      <c r="N4308" s="88" t="s">
        <v>701</v>
      </c>
      <c r="O4308" s="89"/>
      <c r="P4308" s="90"/>
      <c r="Q4308" s="133">
        <v>1795</v>
      </c>
      <c r="R4308" s="134"/>
      <c r="S4308" s="5" t="s">
        <v>70</v>
      </c>
      <c r="T4308" s="8">
        <v>155</v>
      </c>
      <c r="U4308" s="8">
        <v>5</v>
      </c>
      <c r="V4308" s="5" t="s">
        <v>23</v>
      </c>
      <c r="W4308" s="12">
        <v>6497275</v>
      </c>
      <c r="X4308" s="6"/>
      <c r="Y4308" s="6"/>
    </row>
    <row r="4309" spans="1:25" ht="15" customHeight="1" x14ac:dyDescent="0.2">
      <c r="A4309" s="88" t="s">
        <v>5132</v>
      </c>
      <c r="B4309" s="90"/>
      <c r="C4309" s="88" t="s">
        <v>5212</v>
      </c>
      <c r="D4309" s="90"/>
      <c r="E4309" s="88" t="s">
        <v>5200</v>
      </c>
      <c r="F4309" s="89"/>
      <c r="G4309" s="89"/>
      <c r="H4309" s="89"/>
      <c r="I4309" s="90"/>
      <c r="J4309" s="88" t="s">
        <v>770</v>
      </c>
      <c r="K4309" s="89"/>
      <c r="L4309" s="89"/>
      <c r="M4309" s="90"/>
      <c r="N4309" s="88" t="s">
        <v>701</v>
      </c>
      <c r="O4309" s="89"/>
      <c r="P4309" s="90"/>
      <c r="Q4309" s="133">
        <v>1599</v>
      </c>
      <c r="R4309" s="134"/>
      <c r="S4309" s="5" t="s">
        <v>70</v>
      </c>
      <c r="T4309" s="8">
        <v>1835</v>
      </c>
      <c r="U4309" s="8">
        <v>5</v>
      </c>
      <c r="V4309" s="5" t="s">
        <v>23</v>
      </c>
      <c r="W4309" s="12">
        <v>5763712</v>
      </c>
      <c r="X4309" s="6"/>
      <c r="Y4309" s="6"/>
    </row>
    <row r="4310" spans="1:25" ht="15" customHeight="1" x14ac:dyDescent="0.2">
      <c r="A4310" s="88" t="s">
        <v>5132</v>
      </c>
      <c r="B4310" s="90"/>
      <c r="C4310" s="88" t="s">
        <v>5213</v>
      </c>
      <c r="D4310" s="90"/>
      <c r="E4310" s="88" t="s">
        <v>5211</v>
      </c>
      <c r="F4310" s="89"/>
      <c r="G4310" s="89"/>
      <c r="H4310" s="89"/>
      <c r="I4310" s="90"/>
      <c r="J4310" s="88" t="s">
        <v>770</v>
      </c>
      <c r="K4310" s="89"/>
      <c r="L4310" s="89"/>
      <c r="M4310" s="90"/>
      <c r="N4310" s="88" t="s">
        <v>701</v>
      </c>
      <c r="O4310" s="89"/>
      <c r="P4310" s="90"/>
      <c r="Q4310" s="133">
        <v>2387</v>
      </c>
      <c r="R4310" s="134"/>
      <c r="S4310" s="5" t="s">
        <v>70</v>
      </c>
      <c r="T4310" s="8">
        <v>1905</v>
      </c>
      <c r="U4310" s="8">
        <v>5</v>
      </c>
      <c r="V4310" s="5" t="s">
        <v>23</v>
      </c>
      <c r="W4310" s="12">
        <v>8338170</v>
      </c>
      <c r="X4310" s="6"/>
      <c r="Y4310" s="6"/>
    </row>
    <row r="4311" spans="1:25" ht="15" customHeight="1" x14ac:dyDescent="0.2">
      <c r="A4311" s="88" t="s">
        <v>5132</v>
      </c>
      <c r="B4311" s="90"/>
      <c r="C4311" s="88" t="s">
        <v>5214</v>
      </c>
      <c r="D4311" s="90"/>
      <c r="E4311" s="88" t="s">
        <v>5202</v>
      </c>
      <c r="F4311" s="89"/>
      <c r="G4311" s="89"/>
      <c r="H4311" s="89"/>
      <c r="I4311" s="90"/>
      <c r="J4311" s="88" t="s">
        <v>770</v>
      </c>
      <c r="K4311" s="89"/>
      <c r="L4311" s="89"/>
      <c r="M4311" s="90"/>
      <c r="N4311" s="88" t="s">
        <v>701</v>
      </c>
      <c r="O4311" s="89"/>
      <c r="P4311" s="90"/>
      <c r="Q4311" s="133">
        <v>1795</v>
      </c>
      <c r="R4311" s="134"/>
      <c r="S4311" s="5" t="s">
        <v>70</v>
      </c>
      <c r="T4311" s="8">
        <v>1875</v>
      </c>
      <c r="U4311" s="8">
        <v>5</v>
      </c>
      <c r="V4311" s="5" t="s">
        <v>23</v>
      </c>
      <c r="W4311" s="12">
        <v>6974091</v>
      </c>
      <c r="X4311" s="6"/>
      <c r="Y4311" s="6"/>
    </row>
    <row r="4312" spans="1:25" ht="15" customHeight="1" x14ac:dyDescent="0.2">
      <c r="A4312" s="88" t="s">
        <v>5132</v>
      </c>
      <c r="B4312" s="90"/>
      <c r="C4312" s="88" t="s">
        <v>5215</v>
      </c>
      <c r="D4312" s="90"/>
      <c r="E4312" s="88" t="s">
        <v>5216</v>
      </c>
      <c r="F4312" s="89"/>
      <c r="G4312" s="89"/>
      <c r="H4312" s="89"/>
      <c r="I4312" s="90"/>
      <c r="J4312" s="88" t="s">
        <v>770</v>
      </c>
      <c r="K4312" s="89"/>
      <c r="L4312" s="89"/>
      <c r="M4312" s="90"/>
      <c r="N4312" s="88" t="s">
        <v>26</v>
      </c>
      <c r="O4312" s="89"/>
      <c r="P4312" s="90"/>
      <c r="Q4312" s="133">
        <v>658</v>
      </c>
      <c r="R4312" s="134"/>
      <c r="S4312" s="5" t="s">
        <v>70</v>
      </c>
      <c r="T4312" s="8">
        <v>890</v>
      </c>
      <c r="U4312" s="8">
        <v>4</v>
      </c>
      <c r="V4312" s="5" t="s">
        <v>23</v>
      </c>
      <c r="W4312" s="12">
        <v>1894689</v>
      </c>
      <c r="X4312" s="6"/>
      <c r="Y4312" s="6"/>
    </row>
    <row r="4313" spans="1:25" ht="15" customHeight="1" x14ac:dyDescent="0.2">
      <c r="A4313" s="88" t="s">
        <v>5132</v>
      </c>
      <c r="B4313" s="90"/>
      <c r="C4313" s="88" t="s">
        <v>5215</v>
      </c>
      <c r="D4313" s="90"/>
      <c r="E4313" s="88" t="s">
        <v>5217</v>
      </c>
      <c r="F4313" s="89"/>
      <c r="G4313" s="89"/>
      <c r="H4313" s="89"/>
      <c r="I4313" s="90"/>
      <c r="J4313" s="88" t="s">
        <v>770</v>
      </c>
      <c r="K4313" s="89"/>
      <c r="L4313" s="89"/>
      <c r="M4313" s="90"/>
      <c r="N4313" s="88" t="s">
        <v>22</v>
      </c>
      <c r="O4313" s="89"/>
      <c r="P4313" s="90"/>
      <c r="Q4313" s="133">
        <v>658</v>
      </c>
      <c r="R4313" s="134"/>
      <c r="S4313" s="5" t="s">
        <v>70</v>
      </c>
      <c r="T4313" s="8">
        <v>960</v>
      </c>
      <c r="U4313" s="8">
        <v>4</v>
      </c>
      <c r="V4313" s="5" t="s">
        <v>23</v>
      </c>
      <c r="W4313" s="12">
        <v>2095895</v>
      </c>
      <c r="X4313" s="6"/>
      <c r="Y4313" s="6"/>
    </row>
    <row r="4314" spans="1:25" ht="15" customHeight="1" x14ac:dyDescent="0.2">
      <c r="A4314" s="88" t="s">
        <v>5132</v>
      </c>
      <c r="B4314" s="90"/>
      <c r="C4314" s="88" t="s">
        <v>5218</v>
      </c>
      <c r="D4314" s="90"/>
      <c r="E4314" s="88" t="s">
        <v>5219</v>
      </c>
      <c r="F4314" s="89"/>
      <c r="G4314" s="89"/>
      <c r="H4314" s="89"/>
      <c r="I4314" s="90"/>
      <c r="J4314" s="88" t="s">
        <v>770</v>
      </c>
      <c r="K4314" s="89"/>
      <c r="L4314" s="89"/>
      <c r="M4314" s="90"/>
      <c r="N4314" s="88" t="s">
        <v>701</v>
      </c>
      <c r="O4314" s="89"/>
      <c r="P4314" s="90"/>
      <c r="Q4314" s="133">
        <v>658</v>
      </c>
      <c r="R4314" s="134"/>
      <c r="S4314" s="5" t="s">
        <v>70</v>
      </c>
      <c r="T4314" s="8">
        <v>890</v>
      </c>
      <c r="U4314" s="8">
        <v>5</v>
      </c>
      <c r="V4314" s="5" t="s">
        <v>23</v>
      </c>
      <c r="W4314" s="12">
        <v>1894689</v>
      </c>
      <c r="X4314" s="6"/>
      <c r="Y4314" s="6"/>
    </row>
    <row r="4315" spans="1:25" ht="15" customHeight="1" x14ac:dyDescent="0.2">
      <c r="A4315" s="88" t="s">
        <v>5132</v>
      </c>
      <c r="B4315" s="90"/>
      <c r="C4315" s="88" t="s">
        <v>5218</v>
      </c>
      <c r="D4315" s="90"/>
      <c r="E4315" s="88" t="s">
        <v>5219</v>
      </c>
      <c r="F4315" s="89"/>
      <c r="G4315" s="89"/>
      <c r="H4315" s="89"/>
      <c r="I4315" s="90"/>
      <c r="J4315" s="88" t="s">
        <v>770</v>
      </c>
      <c r="K4315" s="89"/>
      <c r="L4315" s="89"/>
      <c r="M4315" s="90"/>
      <c r="N4315" s="88" t="s">
        <v>26</v>
      </c>
      <c r="O4315" s="89"/>
      <c r="P4315" s="90"/>
      <c r="Q4315" s="133">
        <v>658</v>
      </c>
      <c r="R4315" s="134"/>
      <c r="S4315" s="5" t="s">
        <v>70</v>
      </c>
      <c r="T4315" s="8">
        <v>890</v>
      </c>
      <c r="U4315" s="8">
        <v>5</v>
      </c>
      <c r="V4315" s="5" t="s">
        <v>23</v>
      </c>
      <c r="W4315" s="12">
        <v>1894689</v>
      </c>
      <c r="X4315" s="6"/>
      <c r="Y4315" s="6"/>
    </row>
    <row r="4316" spans="1:25" ht="15" customHeight="1" x14ac:dyDescent="0.2">
      <c r="A4316" s="88" t="s">
        <v>5132</v>
      </c>
      <c r="B4316" s="90"/>
      <c r="C4316" s="88" t="s">
        <v>5218</v>
      </c>
      <c r="D4316" s="90"/>
      <c r="E4316" s="88" t="s">
        <v>5220</v>
      </c>
      <c r="F4316" s="89"/>
      <c r="G4316" s="89"/>
      <c r="H4316" s="89"/>
      <c r="I4316" s="90"/>
      <c r="J4316" s="88" t="s">
        <v>770</v>
      </c>
      <c r="K4316" s="89"/>
      <c r="L4316" s="89"/>
      <c r="M4316" s="90"/>
      <c r="N4316" s="88" t="s">
        <v>22</v>
      </c>
      <c r="O4316" s="89"/>
      <c r="P4316" s="90"/>
      <c r="Q4316" s="133">
        <v>658</v>
      </c>
      <c r="R4316" s="134"/>
      <c r="S4316" s="5" t="s">
        <v>70</v>
      </c>
      <c r="T4316" s="8">
        <v>890</v>
      </c>
      <c r="U4316" s="8">
        <v>4</v>
      </c>
      <c r="V4316" s="5" t="s">
        <v>23</v>
      </c>
      <c r="W4316" s="12">
        <v>2095895</v>
      </c>
      <c r="X4316" s="6"/>
      <c r="Y4316" s="6"/>
    </row>
    <row r="4317" spans="1:25" ht="15" customHeight="1" x14ac:dyDescent="0.2">
      <c r="A4317" s="88" t="s">
        <v>5132</v>
      </c>
      <c r="B4317" s="90"/>
      <c r="C4317" s="88" t="s">
        <v>5221</v>
      </c>
      <c r="D4317" s="90"/>
      <c r="E4317" s="88" t="s">
        <v>5222</v>
      </c>
      <c r="F4317" s="89"/>
      <c r="G4317" s="89"/>
      <c r="H4317" s="89"/>
      <c r="I4317" s="90"/>
      <c r="J4317" s="88" t="s">
        <v>770</v>
      </c>
      <c r="K4317" s="89"/>
      <c r="L4317" s="89"/>
      <c r="M4317" s="90"/>
      <c r="N4317" s="88" t="s">
        <v>701</v>
      </c>
      <c r="O4317" s="89"/>
      <c r="P4317" s="90"/>
      <c r="Q4317" s="133">
        <v>1196</v>
      </c>
      <c r="R4317" s="134"/>
      <c r="S4317" s="5" t="s">
        <v>16</v>
      </c>
      <c r="T4317" s="8">
        <v>1155</v>
      </c>
      <c r="U4317" s="8">
        <v>5</v>
      </c>
      <c r="V4317" s="5" t="s">
        <v>23</v>
      </c>
      <c r="W4317" s="12">
        <v>3640319</v>
      </c>
      <c r="X4317" s="6"/>
      <c r="Y4317" s="6"/>
    </row>
    <row r="4318" spans="1:25" ht="15" customHeight="1" x14ac:dyDescent="0.2">
      <c r="A4318" s="88" t="s">
        <v>5132</v>
      </c>
      <c r="B4318" s="90"/>
      <c r="C4318" s="88" t="s">
        <v>5223</v>
      </c>
      <c r="D4318" s="90"/>
      <c r="E4318" s="88" t="s">
        <v>5222</v>
      </c>
      <c r="F4318" s="89"/>
      <c r="G4318" s="89"/>
      <c r="H4318" s="89"/>
      <c r="I4318" s="90"/>
      <c r="J4318" s="88" t="s">
        <v>770</v>
      </c>
      <c r="K4318" s="89"/>
      <c r="L4318" s="89"/>
      <c r="M4318" s="90"/>
      <c r="N4318" s="88" t="s">
        <v>26</v>
      </c>
      <c r="O4318" s="89"/>
      <c r="P4318" s="90"/>
      <c r="Q4318" s="133">
        <v>1196</v>
      </c>
      <c r="R4318" s="134"/>
      <c r="S4318" s="5" t="s">
        <v>16</v>
      </c>
      <c r="T4318" s="8">
        <v>1255</v>
      </c>
      <c r="U4318" s="8">
        <v>5</v>
      </c>
      <c r="V4318" s="5" t="s">
        <v>23</v>
      </c>
      <c r="W4318" s="12">
        <v>3791998</v>
      </c>
      <c r="X4318" s="6"/>
      <c r="Y4318" s="6"/>
    </row>
    <row r="4319" spans="1:25" ht="15" customHeight="1" x14ac:dyDescent="0.2">
      <c r="A4319" s="88" t="s">
        <v>5132</v>
      </c>
      <c r="B4319" s="90"/>
      <c r="C4319" s="88" t="s">
        <v>5224</v>
      </c>
      <c r="D4319" s="90"/>
      <c r="E4319" s="88" t="s">
        <v>5225</v>
      </c>
      <c r="F4319" s="89"/>
      <c r="G4319" s="89"/>
      <c r="H4319" s="89"/>
      <c r="I4319" s="90"/>
      <c r="J4319" s="88" t="s">
        <v>770</v>
      </c>
      <c r="K4319" s="89"/>
      <c r="L4319" s="89"/>
      <c r="M4319" s="90"/>
      <c r="N4319" s="88" t="s">
        <v>22</v>
      </c>
      <c r="O4319" s="89"/>
      <c r="P4319" s="90"/>
      <c r="Q4319" s="133">
        <v>658</v>
      </c>
      <c r="R4319" s="134"/>
      <c r="S4319" s="5" t="s">
        <v>814</v>
      </c>
      <c r="T4319" s="8">
        <v>1410</v>
      </c>
      <c r="U4319" s="8">
        <v>4</v>
      </c>
      <c r="V4319" s="5" t="s">
        <v>23</v>
      </c>
      <c r="W4319" s="12">
        <v>2388482</v>
      </c>
      <c r="X4319" s="6"/>
      <c r="Y4319" s="6"/>
    </row>
    <row r="4320" spans="1:25" ht="15" customHeight="1" x14ac:dyDescent="0.2">
      <c r="A4320" s="88" t="s">
        <v>5132</v>
      </c>
      <c r="B4320" s="90"/>
      <c r="C4320" s="88" t="s">
        <v>5226</v>
      </c>
      <c r="D4320" s="90"/>
      <c r="E4320" s="88" t="s">
        <v>5227</v>
      </c>
      <c r="F4320" s="89"/>
      <c r="G4320" s="89"/>
      <c r="H4320" s="89"/>
      <c r="I4320" s="90"/>
      <c r="J4320" s="88" t="s">
        <v>770</v>
      </c>
      <c r="K4320" s="89"/>
      <c r="L4320" s="89"/>
      <c r="M4320" s="90"/>
      <c r="N4320" s="88" t="s">
        <v>22</v>
      </c>
      <c r="O4320" s="89"/>
      <c r="P4320" s="90"/>
      <c r="Q4320" s="133">
        <v>658</v>
      </c>
      <c r="R4320" s="134"/>
      <c r="S4320" s="5" t="s">
        <v>945</v>
      </c>
      <c r="T4320" s="8">
        <v>1320</v>
      </c>
      <c r="U4320" s="8">
        <v>2</v>
      </c>
      <c r="V4320" s="5" t="s">
        <v>23</v>
      </c>
      <c r="W4320" s="12">
        <v>2351594</v>
      </c>
      <c r="X4320" s="6"/>
      <c r="Y4320" s="6"/>
    </row>
    <row r="4321" spans="1:25" ht="15" customHeight="1" x14ac:dyDescent="0.2">
      <c r="A4321" s="88" t="s">
        <v>5132</v>
      </c>
      <c r="B4321" s="90"/>
      <c r="C4321" s="88" t="s">
        <v>5228</v>
      </c>
      <c r="D4321" s="90"/>
      <c r="E4321" s="88" t="s">
        <v>5229</v>
      </c>
      <c r="F4321" s="89"/>
      <c r="G4321" s="89"/>
      <c r="H4321" s="89"/>
      <c r="I4321" s="90"/>
      <c r="J4321" s="88" t="s">
        <v>887</v>
      </c>
      <c r="K4321" s="89"/>
      <c r="L4321" s="89"/>
      <c r="M4321" s="90"/>
      <c r="N4321" s="88" t="s">
        <v>26</v>
      </c>
      <c r="O4321" s="89"/>
      <c r="P4321" s="90"/>
      <c r="Q4321" s="133">
        <v>658</v>
      </c>
      <c r="R4321" s="134"/>
      <c r="S4321" s="5" t="s">
        <v>945</v>
      </c>
      <c r="T4321" s="8">
        <v>1230</v>
      </c>
      <c r="U4321" s="8">
        <v>2</v>
      </c>
      <c r="V4321" s="5" t="s">
        <v>23</v>
      </c>
      <c r="W4321" s="12">
        <v>1525812</v>
      </c>
      <c r="X4321" s="6"/>
      <c r="Y4321" s="6"/>
    </row>
    <row r="4322" spans="1:25" ht="15" customHeight="1" x14ac:dyDescent="0.2">
      <c r="A4322" s="88" t="s">
        <v>5132</v>
      </c>
      <c r="B4322" s="90"/>
      <c r="C4322" s="88" t="s">
        <v>5228</v>
      </c>
      <c r="D4322" s="90"/>
      <c r="E4322" s="88" t="s">
        <v>5230</v>
      </c>
      <c r="F4322" s="89"/>
      <c r="G4322" s="89"/>
      <c r="H4322" s="89"/>
      <c r="I4322" s="90"/>
      <c r="J4322" s="88" t="s">
        <v>887</v>
      </c>
      <c r="K4322" s="89"/>
      <c r="L4322" s="89"/>
      <c r="M4322" s="90"/>
      <c r="N4322" s="88" t="s">
        <v>26</v>
      </c>
      <c r="O4322" s="89"/>
      <c r="P4322" s="90"/>
      <c r="Q4322" s="133">
        <v>658</v>
      </c>
      <c r="R4322" s="134"/>
      <c r="S4322" s="5" t="s">
        <v>945</v>
      </c>
      <c r="T4322" s="8">
        <v>1230</v>
      </c>
      <c r="U4322" s="8">
        <v>2</v>
      </c>
      <c r="V4322" s="5" t="s">
        <v>23</v>
      </c>
      <c r="W4322" s="12">
        <v>1550962</v>
      </c>
      <c r="X4322" s="6"/>
      <c r="Y4322" s="6"/>
    </row>
    <row r="4323" spans="1:25" ht="15" customHeight="1" x14ac:dyDescent="0.2">
      <c r="A4323" s="88" t="s">
        <v>5132</v>
      </c>
      <c r="B4323" s="90"/>
      <c r="C4323" s="88" t="s">
        <v>5231</v>
      </c>
      <c r="D4323" s="90"/>
      <c r="E4323" s="88" t="s">
        <v>5230</v>
      </c>
      <c r="F4323" s="89"/>
      <c r="G4323" s="89"/>
      <c r="H4323" s="89"/>
      <c r="I4323" s="90"/>
      <c r="J4323" s="88" t="s">
        <v>887</v>
      </c>
      <c r="K4323" s="89"/>
      <c r="L4323" s="89"/>
      <c r="M4323" s="90"/>
      <c r="N4323" s="88" t="s">
        <v>26</v>
      </c>
      <c r="O4323" s="89"/>
      <c r="P4323" s="90"/>
      <c r="Q4323" s="133">
        <v>658</v>
      </c>
      <c r="R4323" s="134"/>
      <c r="S4323" s="5" t="s">
        <v>945</v>
      </c>
      <c r="T4323" s="8">
        <v>1230</v>
      </c>
      <c r="U4323" s="8">
        <v>2</v>
      </c>
      <c r="V4323" s="5" t="s">
        <v>23</v>
      </c>
      <c r="W4323" s="12">
        <v>1706059</v>
      </c>
      <c r="X4323" s="6"/>
      <c r="Y4323" s="6"/>
    </row>
    <row r="4324" spans="1:25" ht="15" customHeight="1" x14ac:dyDescent="0.2">
      <c r="A4324" s="88" t="s">
        <v>5132</v>
      </c>
      <c r="B4324" s="90"/>
      <c r="C4324" s="88" t="s">
        <v>5232</v>
      </c>
      <c r="D4324" s="90"/>
      <c r="E4324" s="88" t="s">
        <v>5227</v>
      </c>
      <c r="F4324" s="89"/>
      <c r="G4324" s="89"/>
      <c r="H4324" s="89"/>
      <c r="I4324" s="90"/>
      <c r="J4324" s="88" t="s">
        <v>770</v>
      </c>
      <c r="K4324" s="89"/>
      <c r="L4324" s="89"/>
      <c r="M4324" s="90"/>
      <c r="N4324" s="88" t="s">
        <v>22</v>
      </c>
      <c r="O4324" s="89"/>
      <c r="P4324" s="90"/>
      <c r="Q4324" s="133">
        <v>658</v>
      </c>
      <c r="R4324" s="134"/>
      <c r="S4324" s="5" t="s">
        <v>945</v>
      </c>
      <c r="T4324" s="8">
        <v>1320</v>
      </c>
      <c r="U4324" s="8">
        <v>2</v>
      </c>
      <c r="V4324" s="5" t="s">
        <v>23</v>
      </c>
      <c r="W4324" s="12">
        <v>2351594</v>
      </c>
      <c r="X4324" s="6"/>
      <c r="Y4324" s="6"/>
    </row>
    <row r="4325" spans="1:25" ht="15" customHeight="1" x14ac:dyDescent="0.2">
      <c r="A4325" s="88" t="s">
        <v>5132</v>
      </c>
      <c r="B4325" s="90"/>
      <c r="C4325" s="88" t="s">
        <v>5233</v>
      </c>
      <c r="D4325" s="90"/>
      <c r="E4325" s="88" t="s">
        <v>5225</v>
      </c>
      <c r="F4325" s="89"/>
      <c r="G4325" s="89"/>
      <c r="H4325" s="89"/>
      <c r="I4325" s="90"/>
      <c r="J4325" s="88" t="s">
        <v>770</v>
      </c>
      <c r="K4325" s="89"/>
      <c r="L4325" s="89"/>
      <c r="M4325" s="90"/>
      <c r="N4325" s="88" t="s">
        <v>22</v>
      </c>
      <c r="O4325" s="89"/>
      <c r="P4325" s="90"/>
      <c r="Q4325" s="133">
        <v>658</v>
      </c>
      <c r="R4325" s="134"/>
      <c r="S4325" s="5" t="s">
        <v>814</v>
      </c>
      <c r="T4325" s="8">
        <v>1410</v>
      </c>
      <c r="U4325" s="8">
        <v>4</v>
      </c>
      <c r="V4325" s="5" t="s">
        <v>23</v>
      </c>
      <c r="W4325" s="12">
        <v>2388482</v>
      </c>
      <c r="X4325" s="6"/>
      <c r="Y4325" s="6"/>
    </row>
    <row r="4326" spans="1:25" ht="15" customHeight="1" x14ac:dyDescent="0.2">
      <c r="A4326" s="88" t="s">
        <v>5132</v>
      </c>
      <c r="B4326" s="90"/>
      <c r="C4326" s="88" t="s">
        <v>5233</v>
      </c>
      <c r="D4326" s="90"/>
      <c r="E4326" s="88" t="s">
        <v>5234</v>
      </c>
      <c r="F4326" s="89"/>
      <c r="G4326" s="89"/>
      <c r="H4326" s="89"/>
      <c r="I4326" s="90"/>
      <c r="J4326" s="88" t="s">
        <v>887</v>
      </c>
      <c r="K4326" s="89"/>
      <c r="L4326" s="89"/>
      <c r="M4326" s="90"/>
      <c r="N4326" s="88" t="s">
        <v>26</v>
      </c>
      <c r="O4326" s="89"/>
      <c r="P4326" s="90"/>
      <c r="Q4326" s="133">
        <v>658</v>
      </c>
      <c r="R4326" s="134"/>
      <c r="S4326" s="5" t="s">
        <v>814</v>
      </c>
      <c r="T4326" s="8">
        <v>1390</v>
      </c>
      <c r="U4326" s="8">
        <v>4</v>
      </c>
      <c r="V4326" s="5" t="s">
        <v>23</v>
      </c>
      <c r="W4326" s="12">
        <v>1991939</v>
      </c>
      <c r="X4326" s="6"/>
      <c r="Y4326" s="6"/>
    </row>
    <row r="4327" spans="1:25" ht="15" customHeight="1" x14ac:dyDescent="0.2">
      <c r="A4327" s="88" t="s">
        <v>5132</v>
      </c>
      <c r="B4327" s="90"/>
      <c r="C4327" s="88" t="s">
        <v>5233</v>
      </c>
      <c r="D4327" s="90"/>
      <c r="E4327" s="88" t="s">
        <v>5235</v>
      </c>
      <c r="F4327" s="89"/>
      <c r="G4327" s="89"/>
      <c r="H4327" s="89"/>
      <c r="I4327" s="90"/>
      <c r="J4327" s="88" t="s">
        <v>887</v>
      </c>
      <c r="K4327" s="89"/>
      <c r="L4327" s="89"/>
      <c r="M4327" s="90"/>
      <c r="N4327" s="88" t="s">
        <v>26</v>
      </c>
      <c r="O4327" s="89"/>
      <c r="P4327" s="90"/>
      <c r="Q4327" s="133">
        <v>658</v>
      </c>
      <c r="R4327" s="134"/>
      <c r="S4327" s="5" t="s">
        <v>814</v>
      </c>
      <c r="T4327" s="8">
        <v>1390</v>
      </c>
      <c r="U4327" s="8">
        <v>4</v>
      </c>
      <c r="V4327" s="5" t="s">
        <v>23</v>
      </c>
      <c r="W4327" s="12">
        <v>1794086</v>
      </c>
      <c r="X4327" s="6"/>
      <c r="Y4327" s="6"/>
    </row>
    <row r="4328" spans="1:25" ht="15" customHeight="1" x14ac:dyDescent="0.2">
      <c r="A4328" s="88" t="s">
        <v>5132</v>
      </c>
      <c r="B4328" s="90"/>
      <c r="C4328" s="88" t="s">
        <v>5236</v>
      </c>
      <c r="D4328" s="90"/>
      <c r="E4328" s="88" t="s">
        <v>5225</v>
      </c>
      <c r="F4328" s="89"/>
      <c r="G4328" s="89"/>
      <c r="H4328" s="89"/>
      <c r="I4328" s="90"/>
      <c r="J4328" s="88" t="s">
        <v>770</v>
      </c>
      <c r="K4328" s="89"/>
      <c r="L4328" s="89"/>
      <c r="M4328" s="90"/>
      <c r="N4328" s="88" t="s">
        <v>26</v>
      </c>
      <c r="O4328" s="89"/>
      <c r="P4328" s="90"/>
      <c r="Q4328" s="133">
        <v>658</v>
      </c>
      <c r="R4328" s="134"/>
      <c r="S4328" s="5" t="s">
        <v>814</v>
      </c>
      <c r="T4328" s="8">
        <v>1410</v>
      </c>
      <c r="U4328" s="8">
        <v>4</v>
      </c>
      <c r="V4328" s="5" t="s">
        <v>23</v>
      </c>
      <c r="W4328" s="12">
        <v>2388482</v>
      </c>
      <c r="X4328" s="6"/>
      <c r="Y4328" s="6"/>
    </row>
    <row r="4329" spans="1:25" ht="15" customHeight="1" x14ac:dyDescent="0.2">
      <c r="A4329" s="88" t="s">
        <v>5132</v>
      </c>
      <c r="B4329" s="90"/>
      <c r="C4329" s="88" t="s">
        <v>5237</v>
      </c>
      <c r="D4329" s="90"/>
      <c r="E4329" s="88" t="s">
        <v>5235</v>
      </c>
      <c r="F4329" s="89"/>
      <c r="G4329" s="89"/>
      <c r="H4329" s="89"/>
      <c r="I4329" s="90"/>
      <c r="J4329" s="88" t="s">
        <v>963</v>
      </c>
      <c r="K4329" s="89"/>
      <c r="L4329" s="89"/>
      <c r="M4329" s="90"/>
      <c r="N4329" s="88" t="s">
        <v>26</v>
      </c>
      <c r="O4329" s="89"/>
      <c r="P4329" s="90"/>
      <c r="Q4329" s="133">
        <v>658</v>
      </c>
      <c r="R4329" s="134"/>
      <c r="S4329" s="5" t="s">
        <v>814</v>
      </c>
      <c r="T4329" s="5" t="s">
        <v>5238</v>
      </c>
      <c r="U4329" s="5" t="s">
        <v>964</v>
      </c>
      <c r="V4329" s="5" t="s">
        <v>23</v>
      </c>
      <c r="W4329" s="12">
        <v>1453155</v>
      </c>
      <c r="X4329" s="6"/>
      <c r="Y4329" s="6"/>
    </row>
    <row r="4330" spans="1:25" ht="15" customHeight="1" x14ac:dyDescent="0.2">
      <c r="A4330" s="88" t="s">
        <v>5132</v>
      </c>
      <c r="B4330" s="90"/>
      <c r="C4330" s="88" t="s">
        <v>5239</v>
      </c>
      <c r="D4330" s="90"/>
      <c r="E4330" s="88" t="s">
        <v>5240</v>
      </c>
      <c r="F4330" s="89"/>
      <c r="G4330" s="89"/>
      <c r="H4330" s="89"/>
      <c r="I4330" s="90"/>
      <c r="J4330" s="88" t="s">
        <v>770</v>
      </c>
      <c r="K4330" s="89"/>
      <c r="L4330" s="89"/>
      <c r="M4330" s="90"/>
      <c r="N4330" s="88" t="s">
        <v>701</v>
      </c>
      <c r="O4330" s="89"/>
      <c r="P4330" s="90"/>
      <c r="Q4330" s="133">
        <v>0</v>
      </c>
      <c r="R4330" s="134"/>
      <c r="S4330" s="5" t="s">
        <v>16</v>
      </c>
      <c r="T4330" s="8">
        <v>2305</v>
      </c>
      <c r="U4330" s="8">
        <v>5</v>
      </c>
      <c r="V4330" s="5" t="s">
        <v>17</v>
      </c>
      <c r="W4330" s="12">
        <v>10482271</v>
      </c>
      <c r="X4330" s="6"/>
      <c r="Y4330" s="6"/>
    </row>
    <row r="4331" spans="1:25" ht="15" customHeight="1" x14ac:dyDescent="0.2">
      <c r="A4331" s="88" t="s">
        <v>5132</v>
      </c>
      <c r="B4331" s="90"/>
      <c r="C4331" s="88" t="s">
        <v>5241</v>
      </c>
      <c r="D4331" s="90"/>
      <c r="E4331" s="88" t="s">
        <v>5242</v>
      </c>
      <c r="F4331" s="89"/>
      <c r="G4331" s="89"/>
      <c r="H4331" s="89"/>
      <c r="I4331" s="90"/>
      <c r="J4331" s="88" t="s">
        <v>770</v>
      </c>
      <c r="K4331" s="89"/>
      <c r="L4331" s="89"/>
      <c r="M4331" s="90"/>
      <c r="N4331" s="88" t="s">
        <v>26</v>
      </c>
      <c r="O4331" s="89"/>
      <c r="P4331" s="90"/>
      <c r="Q4331" s="133">
        <v>658</v>
      </c>
      <c r="R4331" s="134"/>
      <c r="S4331" s="5" t="s">
        <v>16</v>
      </c>
      <c r="T4331" s="8">
        <v>1070</v>
      </c>
      <c r="U4331" s="8">
        <v>4</v>
      </c>
      <c r="V4331" s="5" t="s">
        <v>23</v>
      </c>
      <c r="W4331" s="12">
        <v>2523458</v>
      </c>
      <c r="X4331" s="6"/>
      <c r="Y4331" s="6"/>
    </row>
    <row r="4332" spans="1:25" ht="15" customHeight="1" x14ac:dyDescent="0.2">
      <c r="A4332" s="88" t="s">
        <v>5132</v>
      </c>
      <c r="B4332" s="90"/>
      <c r="C4332" s="88" t="s">
        <v>5241</v>
      </c>
      <c r="D4332" s="90"/>
      <c r="E4332" s="88" t="s">
        <v>5243</v>
      </c>
      <c r="F4332" s="89"/>
      <c r="G4332" s="89"/>
      <c r="H4332" s="89"/>
      <c r="I4332" s="90"/>
      <c r="J4332" s="88" t="s">
        <v>770</v>
      </c>
      <c r="K4332" s="89"/>
      <c r="L4332" s="89"/>
      <c r="M4332" s="90"/>
      <c r="N4332" s="88" t="s">
        <v>22</v>
      </c>
      <c r="O4332" s="89"/>
      <c r="P4332" s="90"/>
      <c r="Q4332" s="133">
        <v>658</v>
      </c>
      <c r="R4332" s="134"/>
      <c r="S4332" s="5" t="s">
        <v>16</v>
      </c>
      <c r="T4332" s="8">
        <v>1070</v>
      </c>
      <c r="U4332" s="8">
        <v>4</v>
      </c>
      <c r="V4332" s="5" t="s">
        <v>23</v>
      </c>
      <c r="W4332" s="12">
        <v>2716280</v>
      </c>
      <c r="X4332" s="6"/>
      <c r="Y4332" s="6"/>
    </row>
    <row r="4333" spans="1:25" ht="15" customHeight="1" x14ac:dyDescent="0.2">
      <c r="A4333" s="88" t="s">
        <v>5132</v>
      </c>
      <c r="B4333" s="90"/>
      <c r="C4333" s="88" t="s">
        <v>5244</v>
      </c>
      <c r="D4333" s="90"/>
      <c r="E4333" s="88" t="s">
        <v>5245</v>
      </c>
      <c r="F4333" s="89"/>
      <c r="G4333" s="89"/>
      <c r="H4333" s="89"/>
      <c r="I4333" s="90"/>
      <c r="J4333" s="88" t="s">
        <v>770</v>
      </c>
      <c r="K4333" s="89"/>
      <c r="L4333" s="89"/>
      <c r="M4333" s="90"/>
      <c r="N4333" s="88" t="s">
        <v>26</v>
      </c>
      <c r="O4333" s="89"/>
      <c r="P4333" s="90"/>
      <c r="Q4333" s="133">
        <v>658</v>
      </c>
      <c r="R4333" s="134"/>
      <c r="S4333" s="5" t="s">
        <v>16</v>
      </c>
      <c r="T4333" s="8">
        <v>1050</v>
      </c>
      <c r="U4333" s="8">
        <v>4</v>
      </c>
      <c r="V4333" s="5" t="s">
        <v>23</v>
      </c>
      <c r="W4333" s="12">
        <v>2545255</v>
      </c>
      <c r="X4333" s="6"/>
      <c r="Y4333" s="6"/>
    </row>
    <row r="4334" spans="1:25" ht="15" customHeight="1" x14ac:dyDescent="0.2">
      <c r="A4334" s="88" t="s">
        <v>5132</v>
      </c>
      <c r="B4334" s="90"/>
      <c r="C4334" s="88" t="s">
        <v>5246</v>
      </c>
      <c r="D4334" s="90"/>
      <c r="E4334" s="88" t="s">
        <v>5242</v>
      </c>
      <c r="F4334" s="89"/>
      <c r="G4334" s="89"/>
      <c r="H4334" s="89"/>
      <c r="I4334" s="90"/>
      <c r="J4334" s="88" t="s">
        <v>770</v>
      </c>
      <c r="K4334" s="89"/>
      <c r="L4334" s="89"/>
      <c r="M4334" s="90"/>
      <c r="N4334" s="88" t="s">
        <v>26</v>
      </c>
      <c r="O4334" s="89"/>
      <c r="P4334" s="90"/>
      <c r="Q4334" s="133">
        <v>658</v>
      </c>
      <c r="R4334" s="134"/>
      <c r="S4334" s="5" t="s">
        <v>16</v>
      </c>
      <c r="T4334" s="8">
        <v>1070</v>
      </c>
      <c r="U4334" s="8">
        <v>5</v>
      </c>
      <c r="V4334" s="5" t="s">
        <v>23</v>
      </c>
      <c r="W4334" s="12">
        <v>2523458</v>
      </c>
      <c r="X4334" s="6"/>
      <c r="Y4334" s="6"/>
    </row>
    <row r="4335" spans="1:25" ht="15" customHeight="1" x14ac:dyDescent="0.2">
      <c r="A4335" s="88" t="s">
        <v>5132</v>
      </c>
      <c r="B4335" s="90"/>
      <c r="C4335" s="88" t="s">
        <v>5247</v>
      </c>
      <c r="D4335" s="90"/>
      <c r="E4335" s="88" t="s">
        <v>5243</v>
      </c>
      <c r="F4335" s="89"/>
      <c r="G4335" s="89"/>
      <c r="H4335" s="89"/>
      <c r="I4335" s="90"/>
      <c r="J4335" s="88" t="s">
        <v>770</v>
      </c>
      <c r="K4335" s="89"/>
      <c r="L4335" s="89"/>
      <c r="M4335" s="90"/>
      <c r="N4335" s="88" t="s">
        <v>26</v>
      </c>
      <c r="O4335" s="89"/>
      <c r="P4335" s="90"/>
      <c r="Q4335" s="133">
        <v>658</v>
      </c>
      <c r="R4335" s="134"/>
      <c r="S4335" s="5" t="s">
        <v>16</v>
      </c>
      <c r="T4335" s="8">
        <v>1070</v>
      </c>
      <c r="U4335" s="8">
        <v>4</v>
      </c>
      <c r="V4335" s="5" t="s">
        <v>23</v>
      </c>
      <c r="W4335" s="12">
        <v>2523458</v>
      </c>
      <c r="X4335" s="6"/>
      <c r="Y4335" s="6"/>
    </row>
    <row r="4336" spans="1:25" ht="15" customHeight="1" x14ac:dyDescent="0.2">
      <c r="A4336" s="88" t="s">
        <v>5132</v>
      </c>
      <c r="B4336" s="90"/>
      <c r="C4336" s="88" t="s">
        <v>5247</v>
      </c>
      <c r="D4336" s="90"/>
      <c r="E4336" s="88" t="s">
        <v>5242</v>
      </c>
      <c r="F4336" s="89"/>
      <c r="G4336" s="89"/>
      <c r="H4336" s="89"/>
      <c r="I4336" s="90"/>
      <c r="J4336" s="88" t="s">
        <v>770</v>
      </c>
      <c r="K4336" s="89"/>
      <c r="L4336" s="89"/>
      <c r="M4336" s="90"/>
      <c r="N4336" s="88" t="s">
        <v>22</v>
      </c>
      <c r="O4336" s="89"/>
      <c r="P4336" s="90"/>
      <c r="Q4336" s="133">
        <v>658</v>
      </c>
      <c r="R4336" s="134"/>
      <c r="S4336" s="5" t="s">
        <v>16</v>
      </c>
      <c r="T4336" s="8">
        <v>1120</v>
      </c>
      <c r="U4336" s="8">
        <v>4</v>
      </c>
      <c r="V4336" s="5" t="s">
        <v>23</v>
      </c>
      <c r="W4336" s="12">
        <v>2716280</v>
      </c>
      <c r="X4336" s="6"/>
      <c r="Y4336" s="6"/>
    </row>
    <row r="4337" spans="1:25" ht="15" customHeight="1" x14ac:dyDescent="0.2">
      <c r="A4337" s="88" t="s">
        <v>5132</v>
      </c>
      <c r="B4337" s="90"/>
      <c r="C4337" s="88" t="s">
        <v>5248</v>
      </c>
      <c r="D4337" s="90"/>
      <c r="E4337" s="88" t="s">
        <v>5245</v>
      </c>
      <c r="F4337" s="89"/>
      <c r="G4337" s="89"/>
      <c r="H4337" s="89"/>
      <c r="I4337" s="90"/>
      <c r="J4337" s="88" t="s">
        <v>770</v>
      </c>
      <c r="K4337" s="89"/>
      <c r="L4337" s="89"/>
      <c r="M4337" s="90"/>
      <c r="N4337" s="88" t="s">
        <v>701</v>
      </c>
      <c r="O4337" s="89"/>
      <c r="P4337" s="90"/>
      <c r="Q4337" s="133">
        <v>658</v>
      </c>
      <c r="R4337" s="134"/>
      <c r="S4337" s="5" t="s">
        <v>16</v>
      </c>
      <c r="T4337" s="8">
        <v>1050</v>
      </c>
      <c r="U4337" s="8">
        <v>5</v>
      </c>
      <c r="V4337" s="5" t="s">
        <v>23</v>
      </c>
      <c r="W4337" s="12">
        <v>2313868</v>
      </c>
      <c r="X4337" s="6"/>
      <c r="Y4337" s="6"/>
    </row>
    <row r="4338" spans="1:25" ht="15" customHeight="1" x14ac:dyDescent="0.2">
      <c r="A4338" s="88" t="s">
        <v>5132</v>
      </c>
      <c r="B4338" s="90"/>
      <c r="C4338" s="88" t="s">
        <v>5249</v>
      </c>
      <c r="D4338" s="90"/>
      <c r="E4338" s="88" t="s">
        <v>5250</v>
      </c>
      <c r="F4338" s="89"/>
      <c r="G4338" s="89"/>
      <c r="H4338" s="89"/>
      <c r="I4338" s="90"/>
      <c r="J4338" s="88" t="s">
        <v>770</v>
      </c>
      <c r="K4338" s="89"/>
      <c r="L4338" s="89"/>
      <c r="M4338" s="90"/>
      <c r="N4338" s="88" t="s">
        <v>701</v>
      </c>
      <c r="O4338" s="89"/>
      <c r="P4338" s="90"/>
      <c r="Q4338" s="133">
        <v>2387</v>
      </c>
      <c r="R4338" s="134"/>
      <c r="S4338" s="5" t="s">
        <v>271</v>
      </c>
      <c r="T4338" s="8">
        <v>1510</v>
      </c>
      <c r="U4338" s="8">
        <v>4</v>
      </c>
      <c r="V4338" s="5" t="s">
        <v>23</v>
      </c>
      <c r="W4338" s="12">
        <v>5994260</v>
      </c>
      <c r="X4338" s="6"/>
      <c r="Y4338" s="6"/>
    </row>
    <row r="4339" spans="1:25" ht="15" customHeight="1" x14ac:dyDescent="0.2">
      <c r="A4339" s="88" t="s">
        <v>5132</v>
      </c>
      <c r="B4339" s="90"/>
      <c r="C4339" s="88" t="s">
        <v>5251</v>
      </c>
      <c r="D4339" s="90"/>
      <c r="E4339" s="88" t="s">
        <v>5250</v>
      </c>
      <c r="F4339" s="89"/>
      <c r="G4339" s="89"/>
      <c r="H4339" s="89"/>
      <c r="I4339" s="90"/>
      <c r="J4339" s="88" t="s">
        <v>770</v>
      </c>
      <c r="K4339" s="89"/>
      <c r="L4339" s="89"/>
      <c r="M4339" s="90"/>
      <c r="N4339" s="88" t="s">
        <v>701</v>
      </c>
      <c r="O4339" s="89"/>
      <c r="P4339" s="90"/>
      <c r="Q4339" s="133">
        <v>2387</v>
      </c>
      <c r="R4339" s="134"/>
      <c r="S4339" s="5" t="s">
        <v>271</v>
      </c>
      <c r="T4339" s="8">
        <v>1490</v>
      </c>
      <c r="U4339" s="8">
        <v>5</v>
      </c>
      <c r="V4339" s="5" t="s">
        <v>23</v>
      </c>
      <c r="W4339" s="12">
        <v>6609056</v>
      </c>
      <c r="X4339" s="6"/>
      <c r="Y4339" s="6"/>
    </row>
    <row r="4340" spans="1:25" ht="15" customHeight="1" x14ac:dyDescent="0.2">
      <c r="A4340" s="88" t="s">
        <v>5132</v>
      </c>
      <c r="B4340" s="90"/>
      <c r="C4340" s="88" t="s">
        <v>5252</v>
      </c>
      <c r="D4340" s="90"/>
      <c r="E4340" s="88" t="s">
        <v>5250</v>
      </c>
      <c r="F4340" s="89"/>
      <c r="G4340" s="89"/>
      <c r="H4340" s="89"/>
      <c r="I4340" s="90"/>
      <c r="J4340" s="88" t="s">
        <v>770</v>
      </c>
      <c r="K4340" s="89"/>
      <c r="L4340" s="89"/>
      <c r="M4340" s="90"/>
      <c r="N4340" s="88" t="s">
        <v>725</v>
      </c>
      <c r="O4340" s="89"/>
      <c r="P4340" s="90"/>
      <c r="Q4340" s="133">
        <v>2387</v>
      </c>
      <c r="R4340" s="134"/>
      <c r="S4340" s="5" t="s">
        <v>271</v>
      </c>
      <c r="T4340" s="8">
        <v>1490</v>
      </c>
      <c r="U4340" s="8">
        <v>4</v>
      </c>
      <c r="V4340" s="5" t="s">
        <v>23</v>
      </c>
      <c r="W4340" s="12">
        <v>6570632</v>
      </c>
      <c r="X4340" s="6"/>
      <c r="Y4340" s="6"/>
    </row>
    <row r="4341" spans="1:25" ht="15" customHeight="1" x14ac:dyDescent="0.2">
      <c r="A4341" s="88" t="s">
        <v>5132</v>
      </c>
      <c r="B4341" s="90"/>
      <c r="C4341" s="88" t="s">
        <v>5253</v>
      </c>
      <c r="D4341" s="90"/>
      <c r="E4341" s="88" t="s">
        <v>5174</v>
      </c>
      <c r="F4341" s="89"/>
      <c r="G4341" s="89"/>
      <c r="H4341" s="89"/>
      <c r="I4341" s="90"/>
      <c r="J4341" s="88" t="s">
        <v>770</v>
      </c>
      <c r="K4341" s="89"/>
      <c r="L4341" s="89"/>
      <c r="M4341" s="90"/>
      <c r="N4341" s="88" t="s">
        <v>701</v>
      </c>
      <c r="O4341" s="89"/>
      <c r="P4341" s="90"/>
      <c r="Q4341" s="133">
        <v>1995</v>
      </c>
      <c r="R4341" s="134"/>
      <c r="S4341" s="5" t="s">
        <v>16</v>
      </c>
      <c r="T4341" s="8">
        <v>1715</v>
      </c>
      <c r="U4341" s="8">
        <v>5</v>
      </c>
      <c r="V4341" s="5" t="s">
        <v>23</v>
      </c>
      <c r="W4341" s="12">
        <v>4366448</v>
      </c>
      <c r="X4341" s="6"/>
      <c r="Y4341" s="6"/>
    </row>
    <row r="4342" spans="1:25" ht="15" customHeight="1" x14ac:dyDescent="0.2">
      <c r="A4342" s="88" t="s">
        <v>5132</v>
      </c>
      <c r="B4342" s="90"/>
      <c r="C4342" s="88" t="s">
        <v>5254</v>
      </c>
      <c r="D4342" s="90"/>
      <c r="E4342" s="88" t="s">
        <v>5178</v>
      </c>
      <c r="F4342" s="89"/>
      <c r="G4342" s="89"/>
      <c r="H4342" s="89"/>
      <c r="I4342" s="90"/>
      <c r="J4342" s="88" t="s">
        <v>770</v>
      </c>
      <c r="K4342" s="89"/>
      <c r="L4342" s="89"/>
      <c r="M4342" s="90"/>
      <c r="N4342" s="88" t="s">
        <v>701</v>
      </c>
      <c r="O4342" s="89"/>
      <c r="P4342" s="90"/>
      <c r="Q4342" s="133">
        <v>1995</v>
      </c>
      <c r="R4342" s="134"/>
      <c r="S4342" s="5" t="s">
        <v>16</v>
      </c>
      <c r="T4342" s="8">
        <v>1825</v>
      </c>
      <c r="U4342" s="8">
        <v>5</v>
      </c>
      <c r="V4342" s="5" t="s">
        <v>23</v>
      </c>
      <c r="W4342" s="12">
        <v>4576038</v>
      </c>
      <c r="X4342" s="6"/>
      <c r="Y4342" s="6"/>
    </row>
    <row r="4343" spans="1:25" ht="15" customHeight="1" x14ac:dyDescent="0.2">
      <c r="A4343" s="88" t="s">
        <v>5132</v>
      </c>
      <c r="B4343" s="90"/>
      <c r="C4343" s="88" t="s">
        <v>5255</v>
      </c>
      <c r="D4343" s="90"/>
      <c r="E4343" s="88" t="s">
        <v>5256</v>
      </c>
      <c r="F4343" s="89"/>
      <c r="G4343" s="89"/>
      <c r="H4343" s="89"/>
      <c r="I4343" s="90"/>
      <c r="J4343" s="88" t="s">
        <v>770</v>
      </c>
      <c r="K4343" s="89"/>
      <c r="L4343" s="89"/>
      <c r="M4343" s="90"/>
      <c r="N4343" s="88" t="s">
        <v>701</v>
      </c>
      <c r="O4343" s="89"/>
      <c r="P4343" s="90"/>
      <c r="Q4343" s="133">
        <v>1998</v>
      </c>
      <c r="R4343" s="134"/>
      <c r="S4343" s="5" t="s">
        <v>44</v>
      </c>
      <c r="T4343" s="8">
        <v>1815</v>
      </c>
      <c r="U4343" s="8">
        <v>5</v>
      </c>
      <c r="V4343" s="5" t="s">
        <v>23</v>
      </c>
      <c r="W4343" s="12">
        <v>6043165</v>
      </c>
      <c r="X4343" s="6"/>
      <c r="Y4343" s="6"/>
    </row>
    <row r="4344" spans="1:25" ht="15" customHeight="1" x14ac:dyDescent="0.2">
      <c r="A4344" s="88" t="s">
        <v>5132</v>
      </c>
      <c r="B4344" s="90"/>
      <c r="C4344" s="88" t="s">
        <v>5257</v>
      </c>
      <c r="D4344" s="90"/>
      <c r="E4344" s="88" t="s">
        <v>5256</v>
      </c>
      <c r="F4344" s="89"/>
      <c r="G4344" s="89"/>
      <c r="H4344" s="89"/>
      <c r="I4344" s="90"/>
      <c r="J4344" s="88" t="s">
        <v>770</v>
      </c>
      <c r="K4344" s="89"/>
      <c r="L4344" s="89"/>
      <c r="M4344" s="90"/>
      <c r="N4344" s="88" t="s">
        <v>701</v>
      </c>
      <c r="O4344" s="89"/>
      <c r="P4344" s="90"/>
      <c r="Q4344" s="133">
        <v>1998</v>
      </c>
      <c r="R4344" s="134"/>
      <c r="S4344" s="5" t="s">
        <v>44</v>
      </c>
      <c r="T4344" s="8">
        <v>1815</v>
      </c>
      <c r="U4344" s="8">
        <v>5</v>
      </c>
      <c r="V4344" s="5" t="s">
        <v>23</v>
      </c>
      <c r="W4344" s="12">
        <v>6043165</v>
      </c>
      <c r="X4344" s="6"/>
      <c r="Y4344" s="6"/>
    </row>
    <row r="4345" spans="1:25" ht="15" customHeight="1" x14ac:dyDescent="0.2">
      <c r="A4345" s="88" t="s">
        <v>5132</v>
      </c>
      <c r="B4345" s="90"/>
      <c r="C4345" s="88" t="s">
        <v>5258</v>
      </c>
      <c r="D4345" s="90"/>
      <c r="E4345" s="88" t="s">
        <v>5256</v>
      </c>
      <c r="F4345" s="89"/>
      <c r="G4345" s="89"/>
      <c r="H4345" s="89"/>
      <c r="I4345" s="90"/>
      <c r="J4345" s="88" t="s">
        <v>770</v>
      </c>
      <c r="K4345" s="89"/>
      <c r="L4345" s="89"/>
      <c r="M4345" s="90"/>
      <c r="N4345" s="88" t="s">
        <v>701</v>
      </c>
      <c r="O4345" s="89"/>
      <c r="P4345" s="90"/>
      <c r="Q4345" s="133">
        <v>1998</v>
      </c>
      <c r="R4345" s="134"/>
      <c r="S4345" s="5" t="s">
        <v>44</v>
      </c>
      <c r="T4345" s="8">
        <v>1815</v>
      </c>
      <c r="U4345" s="8">
        <v>5</v>
      </c>
      <c r="V4345" s="5" t="s">
        <v>23</v>
      </c>
      <c r="W4345" s="12">
        <v>6354754</v>
      </c>
      <c r="X4345" s="6"/>
      <c r="Y4345" s="6"/>
    </row>
    <row r="4346" spans="1:25" ht="15" customHeight="1" x14ac:dyDescent="0.2">
      <c r="A4346" s="88" t="s">
        <v>5132</v>
      </c>
      <c r="B4346" s="90"/>
      <c r="C4346" s="88" t="s">
        <v>5259</v>
      </c>
      <c r="D4346" s="90"/>
      <c r="E4346" s="88" t="s">
        <v>5260</v>
      </c>
      <c r="F4346" s="89"/>
      <c r="G4346" s="89"/>
      <c r="H4346" s="89"/>
      <c r="I4346" s="90"/>
      <c r="J4346" s="88" t="s">
        <v>770</v>
      </c>
      <c r="K4346" s="89"/>
      <c r="L4346" s="89"/>
      <c r="M4346" s="90"/>
      <c r="N4346" s="88" t="s">
        <v>701</v>
      </c>
      <c r="O4346" s="89"/>
      <c r="P4346" s="90"/>
      <c r="Q4346" s="133">
        <v>2387</v>
      </c>
      <c r="R4346" s="134"/>
      <c r="S4346" s="5" t="s">
        <v>44</v>
      </c>
      <c r="T4346" s="8">
        <v>1875</v>
      </c>
      <c r="U4346" s="8">
        <v>5</v>
      </c>
      <c r="V4346" s="5" t="s">
        <v>23</v>
      </c>
      <c r="W4346" s="12">
        <v>8338170</v>
      </c>
      <c r="X4346" s="6"/>
      <c r="Y4346" s="6"/>
    </row>
    <row r="4347" spans="1:25" ht="15" customHeight="1" x14ac:dyDescent="0.2">
      <c r="A4347" s="88" t="s">
        <v>5132</v>
      </c>
      <c r="B4347" s="90"/>
      <c r="C4347" s="88" t="s">
        <v>5261</v>
      </c>
      <c r="D4347" s="90"/>
      <c r="E4347" s="88" t="s">
        <v>5256</v>
      </c>
      <c r="F4347" s="89"/>
      <c r="G4347" s="89"/>
      <c r="H4347" s="89"/>
      <c r="I4347" s="90"/>
      <c r="J4347" s="88" t="s">
        <v>770</v>
      </c>
      <c r="K4347" s="89"/>
      <c r="L4347" s="89"/>
      <c r="M4347" s="90"/>
      <c r="N4347" s="88" t="s">
        <v>701</v>
      </c>
      <c r="O4347" s="89"/>
      <c r="P4347" s="90"/>
      <c r="Q4347" s="133">
        <v>1998</v>
      </c>
      <c r="R4347" s="134"/>
      <c r="S4347" s="5" t="s">
        <v>44</v>
      </c>
      <c r="T4347" s="8">
        <v>1815</v>
      </c>
      <c r="U4347" s="8">
        <v>5</v>
      </c>
      <c r="V4347" s="5" t="s">
        <v>23</v>
      </c>
      <c r="W4347" s="12">
        <v>6619536</v>
      </c>
      <c r="X4347" s="6"/>
      <c r="Y4347" s="6"/>
    </row>
    <row r="4348" spans="1:25" ht="15" customHeight="1" x14ac:dyDescent="0.2">
      <c r="A4348" s="88" t="s">
        <v>5132</v>
      </c>
      <c r="B4348" s="90"/>
      <c r="C4348" s="88" t="s">
        <v>5262</v>
      </c>
      <c r="D4348" s="90"/>
      <c r="E4348" s="88" t="s">
        <v>5260</v>
      </c>
      <c r="F4348" s="89"/>
      <c r="G4348" s="89"/>
      <c r="H4348" s="89"/>
      <c r="I4348" s="90"/>
      <c r="J4348" s="88" t="s">
        <v>770</v>
      </c>
      <c r="K4348" s="89"/>
      <c r="L4348" s="89"/>
      <c r="M4348" s="90"/>
      <c r="N4348" s="88" t="s">
        <v>701</v>
      </c>
      <c r="O4348" s="89"/>
      <c r="P4348" s="90"/>
      <c r="Q4348" s="133">
        <v>2387</v>
      </c>
      <c r="R4348" s="134"/>
      <c r="S4348" s="5" t="s">
        <v>44</v>
      </c>
      <c r="T4348" s="8">
        <v>1885</v>
      </c>
      <c r="U4348" s="8">
        <v>5</v>
      </c>
      <c r="V4348" s="5" t="s">
        <v>23</v>
      </c>
      <c r="W4348" s="12">
        <v>8780055</v>
      </c>
      <c r="X4348" s="6"/>
      <c r="Y4348" s="6"/>
    </row>
    <row r="4349" spans="1:25" ht="15" customHeight="1" x14ac:dyDescent="0.2">
      <c r="A4349" s="88" t="s">
        <v>5132</v>
      </c>
      <c r="B4349" s="90"/>
      <c r="C4349" s="88" t="s">
        <v>5263</v>
      </c>
      <c r="D4349" s="90"/>
      <c r="E4349" s="88" t="s">
        <v>5260</v>
      </c>
      <c r="F4349" s="89"/>
      <c r="G4349" s="89"/>
      <c r="H4349" s="89"/>
      <c r="I4349" s="90"/>
      <c r="J4349" s="88" t="s">
        <v>770</v>
      </c>
      <c r="K4349" s="89"/>
      <c r="L4349" s="89"/>
      <c r="M4349" s="90"/>
      <c r="N4349" s="88" t="s">
        <v>701</v>
      </c>
      <c r="O4349" s="89"/>
      <c r="P4349" s="90"/>
      <c r="Q4349" s="133">
        <v>2387</v>
      </c>
      <c r="R4349" s="134"/>
      <c r="S4349" s="5" t="s">
        <v>44</v>
      </c>
      <c r="T4349" s="8">
        <v>1885</v>
      </c>
      <c r="U4349" s="8">
        <v>5</v>
      </c>
      <c r="V4349" s="5" t="s">
        <v>23</v>
      </c>
      <c r="W4349" s="12">
        <v>8780055</v>
      </c>
      <c r="X4349" s="6"/>
      <c r="Y4349" s="6"/>
    </row>
    <row r="4350" spans="1:25" ht="15" customHeight="1" x14ac:dyDescent="0.2">
      <c r="A4350" s="88" t="s">
        <v>5132</v>
      </c>
      <c r="B4350" s="90"/>
      <c r="C4350" s="88" t="s">
        <v>5264</v>
      </c>
      <c r="D4350" s="90"/>
      <c r="E4350" s="88" t="s">
        <v>5265</v>
      </c>
      <c r="F4350" s="89"/>
      <c r="G4350" s="89"/>
      <c r="H4350" s="89"/>
      <c r="I4350" s="90"/>
      <c r="J4350" s="88" t="s">
        <v>1718</v>
      </c>
      <c r="K4350" s="89"/>
      <c r="L4350" s="89"/>
      <c r="M4350" s="90"/>
      <c r="N4350" s="88" t="s">
        <v>701</v>
      </c>
      <c r="O4350" s="89"/>
      <c r="P4350" s="90"/>
      <c r="Q4350" s="133">
        <v>1994</v>
      </c>
      <c r="R4350" s="134"/>
      <c r="S4350" s="5" t="s">
        <v>44</v>
      </c>
      <c r="T4350" s="8">
        <v>1765</v>
      </c>
      <c r="U4350" s="8">
        <v>5</v>
      </c>
      <c r="V4350" s="5" t="s">
        <v>23</v>
      </c>
      <c r="W4350" s="12">
        <v>6304453</v>
      </c>
      <c r="X4350" s="6"/>
      <c r="Y4350" s="6"/>
    </row>
    <row r="4351" spans="1:25" ht="15" customHeight="1" x14ac:dyDescent="0.2">
      <c r="A4351" s="88" t="s">
        <v>5132</v>
      </c>
      <c r="B4351" s="90"/>
      <c r="C4351" s="88" t="s">
        <v>5264</v>
      </c>
      <c r="D4351" s="90"/>
      <c r="E4351" s="88" t="s">
        <v>5265</v>
      </c>
      <c r="F4351" s="89"/>
      <c r="G4351" s="89"/>
      <c r="H4351" s="89"/>
      <c r="I4351" s="90"/>
      <c r="J4351" s="88" t="s">
        <v>770</v>
      </c>
      <c r="K4351" s="89"/>
      <c r="L4351" s="89"/>
      <c r="M4351" s="90"/>
      <c r="N4351" s="88" t="s">
        <v>701</v>
      </c>
      <c r="O4351" s="89"/>
      <c r="P4351" s="90"/>
      <c r="Q4351" s="133">
        <v>1994</v>
      </c>
      <c r="R4351" s="134"/>
      <c r="S4351" s="5" t="s">
        <v>44</v>
      </c>
      <c r="T4351" s="8">
        <v>1765</v>
      </c>
      <c r="U4351" s="8">
        <v>5</v>
      </c>
      <c r="V4351" s="5" t="s">
        <v>23</v>
      </c>
      <c r="W4351" s="12">
        <v>6654467</v>
      </c>
      <c r="X4351" s="6"/>
      <c r="Y4351" s="6"/>
    </row>
    <row r="4352" spans="1:25" ht="15" customHeight="1" x14ac:dyDescent="0.2">
      <c r="A4352" s="88" t="s">
        <v>5132</v>
      </c>
      <c r="B4352" s="90"/>
      <c r="C4352" s="88" t="s">
        <v>5266</v>
      </c>
      <c r="D4352" s="90"/>
      <c r="E4352" s="88" t="s">
        <v>5174</v>
      </c>
      <c r="F4352" s="89"/>
      <c r="G4352" s="89"/>
      <c r="H4352" s="89"/>
      <c r="I4352" s="90"/>
      <c r="J4352" s="88" t="s">
        <v>770</v>
      </c>
      <c r="K4352" s="89"/>
      <c r="L4352" s="89"/>
      <c r="M4352" s="90"/>
      <c r="N4352" s="88" t="s">
        <v>701</v>
      </c>
      <c r="O4352" s="89"/>
      <c r="P4352" s="90"/>
      <c r="Q4352" s="133">
        <v>1995</v>
      </c>
      <c r="R4352" s="134"/>
      <c r="S4352" s="5" t="s">
        <v>16</v>
      </c>
      <c r="T4352" s="8">
        <v>1715</v>
      </c>
      <c r="U4352" s="8">
        <v>5</v>
      </c>
      <c r="V4352" s="5" t="s">
        <v>23</v>
      </c>
      <c r="W4352" s="12">
        <v>4331517</v>
      </c>
      <c r="X4352" s="6"/>
      <c r="Y4352" s="6"/>
    </row>
    <row r="4353" spans="1:25" ht="15" customHeight="1" x14ac:dyDescent="0.2">
      <c r="A4353" s="88" t="s">
        <v>5267</v>
      </c>
      <c r="B4353" s="90"/>
      <c r="C4353" s="88" t="s">
        <v>5268</v>
      </c>
      <c r="D4353" s="90"/>
      <c r="E4353" s="88" t="s">
        <v>5269</v>
      </c>
      <c r="F4353" s="89"/>
      <c r="G4353" s="89"/>
      <c r="H4353" s="89"/>
      <c r="I4353" s="90"/>
      <c r="J4353" s="88" t="s">
        <v>770</v>
      </c>
      <c r="K4353" s="89"/>
      <c r="L4353" s="89"/>
      <c r="M4353" s="90"/>
      <c r="N4353" s="88" t="s">
        <v>22</v>
      </c>
      <c r="O4353" s="89"/>
      <c r="P4353" s="90"/>
      <c r="Q4353" s="133">
        <v>657</v>
      </c>
      <c r="R4353" s="134"/>
      <c r="S4353" s="5" t="s">
        <v>5270</v>
      </c>
      <c r="T4353" s="8">
        <v>930</v>
      </c>
      <c r="U4353" s="8">
        <v>4</v>
      </c>
      <c r="V4353" s="5" t="s">
        <v>23</v>
      </c>
      <c r="W4353" s="12">
        <v>2111824</v>
      </c>
      <c r="X4353" s="6"/>
      <c r="Y4353" s="6"/>
    </row>
    <row r="4354" spans="1:25" ht="15" customHeight="1" x14ac:dyDescent="0.2">
      <c r="A4354" s="88" t="s">
        <v>5267</v>
      </c>
      <c r="B4354" s="90"/>
      <c r="C4354" s="88" t="s">
        <v>5268</v>
      </c>
      <c r="D4354" s="90"/>
      <c r="E4354" s="88" t="s">
        <v>5269</v>
      </c>
      <c r="F4354" s="89"/>
      <c r="G4354" s="89"/>
      <c r="H4354" s="89"/>
      <c r="I4354" s="90"/>
      <c r="J4354" s="88" t="s">
        <v>770</v>
      </c>
      <c r="K4354" s="89"/>
      <c r="L4354" s="89"/>
      <c r="M4354" s="90"/>
      <c r="N4354" s="88" t="s">
        <v>26</v>
      </c>
      <c r="O4354" s="89"/>
      <c r="P4354" s="90"/>
      <c r="Q4354" s="133">
        <v>657</v>
      </c>
      <c r="R4354" s="134"/>
      <c r="S4354" s="5" t="s">
        <v>5270</v>
      </c>
      <c r="T4354" s="8">
        <v>930</v>
      </c>
      <c r="U4354" s="8">
        <v>4</v>
      </c>
      <c r="V4354" s="5" t="s">
        <v>23</v>
      </c>
      <c r="W4354" s="12">
        <v>2111824</v>
      </c>
      <c r="X4354" s="6"/>
      <c r="Y4354" s="6"/>
    </row>
    <row r="4355" spans="1:25" ht="15" customHeight="1" x14ac:dyDescent="0.2">
      <c r="A4355" s="88" t="s">
        <v>5267</v>
      </c>
      <c r="B4355" s="90"/>
      <c r="C4355" s="88" t="s">
        <v>5268</v>
      </c>
      <c r="D4355" s="90"/>
      <c r="E4355" s="88" t="s">
        <v>5271</v>
      </c>
      <c r="F4355" s="89"/>
      <c r="G4355" s="89"/>
      <c r="H4355" s="89"/>
      <c r="I4355" s="90"/>
      <c r="J4355" s="88" t="s">
        <v>770</v>
      </c>
      <c r="K4355" s="89"/>
      <c r="L4355" s="89"/>
      <c r="M4355" s="90"/>
      <c r="N4355" s="88" t="s">
        <v>26</v>
      </c>
      <c r="O4355" s="89"/>
      <c r="P4355" s="90"/>
      <c r="Q4355" s="133">
        <v>657</v>
      </c>
      <c r="R4355" s="134"/>
      <c r="S4355" s="5" t="s">
        <v>5270</v>
      </c>
      <c r="T4355" s="8">
        <v>930</v>
      </c>
      <c r="U4355" s="8">
        <v>4</v>
      </c>
      <c r="V4355" s="5" t="s">
        <v>23</v>
      </c>
      <c r="W4355" s="12">
        <v>2314707</v>
      </c>
      <c r="X4355" s="6"/>
      <c r="Y4355" s="6"/>
    </row>
    <row r="4356" spans="1:25" ht="15" customHeight="1" x14ac:dyDescent="0.2">
      <c r="A4356" s="88" t="s">
        <v>5267</v>
      </c>
      <c r="B4356" s="90"/>
      <c r="C4356" s="88" t="s">
        <v>5272</v>
      </c>
      <c r="D4356" s="90"/>
      <c r="E4356" s="88" t="s">
        <v>5273</v>
      </c>
      <c r="F4356" s="89"/>
      <c r="G4356" s="89"/>
      <c r="H4356" s="89"/>
      <c r="I4356" s="90"/>
      <c r="J4356" s="88" t="s">
        <v>770</v>
      </c>
      <c r="K4356" s="89"/>
      <c r="L4356" s="89"/>
      <c r="M4356" s="90"/>
      <c r="N4356" s="88" t="s">
        <v>26</v>
      </c>
      <c r="O4356" s="89"/>
      <c r="P4356" s="90"/>
      <c r="Q4356" s="133">
        <v>658</v>
      </c>
      <c r="R4356" s="134"/>
      <c r="S4356" s="5" t="s">
        <v>5270</v>
      </c>
      <c r="T4356" s="8">
        <v>870</v>
      </c>
      <c r="U4356" s="8">
        <v>4</v>
      </c>
      <c r="V4356" s="5" t="s">
        <v>23</v>
      </c>
      <c r="W4356" s="12">
        <v>1840699</v>
      </c>
      <c r="X4356" s="6"/>
      <c r="Y4356" s="6"/>
    </row>
    <row r="4357" spans="1:25" ht="15" customHeight="1" x14ac:dyDescent="0.2">
      <c r="A4357" s="88" t="s">
        <v>5267</v>
      </c>
      <c r="B4357" s="90"/>
      <c r="C4357" s="88" t="s">
        <v>5272</v>
      </c>
      <c r="D4357" s="90"/>
      <c r="E4357" s="88" t="s">
        <v>5274</v>
      </c>
      <c r="F4357" s="89"/>
      <c r="G4357" s="89"/>
      <c r="H4357" s="89"/>
      <c r="I4357" s="90"/>
      <c r="J4357" s="88" t="s">
        <v>770</v>
      </c>
      <c r="K4357" s="89"/>
      <c r="L4357" s="89"/>
      <c r="M4357" s="90"/>
      <c r="N4357" s="88" t="s">
        <v>26</v>
      </c>
      <c r="O4357" s="89"/>
      <c r="P4357" s="90"/>
      <c r="Q4357" s="133">
        <v>658</v>
      </c>
      <c r="R4357" s="134"/>
      <c r="S4357" s="5" t="s">
        <v>5270</v>
      </c>
      <c r="T4357" s="8">
        <v>870</v>
      </c>
      <c r="U4357" s="8">
        <v>4</v>
      </c>
      <c r="V4357" s="5" t="s">
        <v>23</v>
      </c>
      <c r="W4357" s="12">
        <v>1673363</v>
      </c>
      <c r="X4357" s="6"/>
      <c r="Y4357" s="6"/>
    </row>
    <row r="4358" spans="1:25" ht="15" customHeight="1" x14ac:dyDescent="0.2">
      <c r="A4358" s="88" t="s">
        <v>5267</v>
      </c>
      <c r="B4358" s="90"/>
      <c r="C4358" s="88" t="s">
        <v>5275</v>
      </c>
      <c r="D4358" s="90"/>
      <c r="E4358" s="88" t="s">
        <v>5276</v>
      </c>
      <c r="F4358" s="89"/>
      <c r="G4358" s="89"/>
      <c r="H4358" s="89"/>
      <c r="I4358" s="90"/>
      <c r="J4358" s="88" t="s">
        <v>5277</v>
      </c>
      <c r="K4358" s="89"/>
      <c r="L4358" s="89"/>
      <c r="M4358" s="90"/>
      <c r="N4358" s="88" t="s">
        <v>26</v>
      </c>
      <c r="O4358" s="89"/>
      <c r="P4358" s="90"/>
      <c r="Q4358" s="133">
        <v>658</v>
      </c>
      <c r="R4358" s="134"/>
      <c r="S4358" s="5" t="s">
        <v>5270</v>
      </c>
      <c r="T4358" s="8">
        <v>890</v>
      </c>
      <c r="U4358" s="8">
        <v>4</v>
      </c>
      <c r="V4358" s="5" t="s">
        <v>23</v>
      </c>
      <c r="W4358" s="12">
        <v>2008706</v>
      </c>
      <c r="X4358" s="6"/>
      <c r="Y4358" s="6"/>
    </row>
    <row r="4359" spans="1:25" ht="15" customHeight="1" x14ac:dyDescent="0.2">
      <c r="A4359" s="88" t="s">
        <v>5267</v>
      </c>
      <c r="B4359" s="90"/>
      <c r="C4359" s="88" t="s">
        <v>5278</v>
      </c>
      <c r="D4359" s="90"/>
      <c r="E4359" s="88" t="s">
        <v>5279</v>
      </c>
      <c r="F4359" s="89"/>
      <c r="G4359" s="89"/>
      <c r="H4359" s="89"/>
      <c r="I4359" s="90"/>
      <c r="J4359" s="88" t="s">
        <v>5277</v>
      </c>
      <c r="K4359" s="89"/>
      <c r="L4359" s="89"/>
      <c r="M4359" s="90"/>
      <c r="N4359" s="88" t="s">
        <v>26</v>
      </c>
      <c r="O4359" s="89"/>
      <c r="P4359" s="90"/>
      <c r="Q4359" s="133">
        <v>658</v>
      </c>
      <c r="R4359" s="134"/>
      <c r="S4359" s="5" t="s">
        <v>814</v>
      </c>
      <c r="T4359" s="8">
        <v>930</v>
      </c>
      <c r="U4359" s="8">
        <v>4</v>
      </c>
      <c r="V4359" s="5" t="s">
        <v>106</v>
      </c>
      <c r="W4359" s="12">
        <v>1249154</v>
      </c>
      <c r="X4359" s="6"/>
      <c r="Y4359" s="6"/>
    </row>
    <row r="4360" spans="1:25" ht="15" customHeight="1" x14ac:dyDescent="0.2">
      <c r="A4360" s="88" t="s">
        <v>5267</v>
      </c>
      <c r="B4360" s="90"/>
      <c r="C4360" s="88" t="s">
        <v>5278</v>
      </c>
      <c r="D4360" s="90"/>
      <c r="E4360" s="88" t="s">
        <v>5280</v>
      </c>
      <c r="F4360" s="89"/>
      <c r="G4360" s="89"/>
      <c r="H4360" s="89"/>
      <c r="I4360" s="90"/>
      <c r="J4360" s="88" t="s">
        <v>5277</v>
      </c>
      <c r="K4360" s="89"/>
      <c r="L4360" s="89"/>
      <c r="M4360" s="90"/>
      <c r="N4360" s="88" t="s">
        <v>26</v>
      </c>
      <c r="O4360" s="89"/>
      <c r="P4360" s="90"/>
      <c r="Q4360" s="133">
        <v>658</v>
      </c>
      <c r="R4360" s="134"/>
      <c r="S4360" s="5" t="s">
        <v>814</v>
      </c>
      <c r="T4360" s="8">
        <v>1350</v>
      </c>
      <c r="U4360" s="8">
        <v>4</v>
      </c>
      <c r="V4360" s="5" t="s">
        <v>23</v>
      </c>
      <c r="W4360" s="12">
        <v>1249154</v>
      </c>
      <c r="X4360" s="6"/>
      <c r="Y4360" s="6"/>
    </row>
    <row r="4361" spans="1:25" ht="15" customHeight="1" x14ac:dyDescent="0.2">
      <c r="A4361" s="88" t="s">
        <v>5267</v>
      </c>
      <c r="B4361" s="90"/>
      <c r="C4361" s="88" t="s">
        <v>5278</v>
      </c>
      <c r="D4361" s="90"/>
      <c r="E4361" s="88" t="s">
        <v>5279</v>
      </c>
      <c r="F4361" s="89"/>
      <c r="G4361" s="89"/>
      <c r="H4361" s="89"/>
      <c r="I4361" s="90"/>
      <c r="J4361" s="88" t="s">
        <v>5277</v>
      </c>
      <c r="K4361" s="89"/>
      <c r="L4361" s="89"/>
      <c r="M4361" s="90"/>
      <c r="N4361" s="88" t="s">
        <v>26</v>
      </c>
      <c r="O4361" s="89"/>
      <c r="P4361" s="90"/>
      <c r="Q4361" s="133">
        <v>658</v>
      </c>
      <c r="R4361" s="134"/>
      <c r="S4361" s="5" t="s">
        <v>814</v>
      </c>
      <c r="T4361" s="8">
        <v>930</v>
      </c>
      <c r="U4361" s="8">
        <v>4</v>
      </c>
      <c r="V4361" s="5" t="s">
        <v>23</v>
      </c>
      <c r="W4361" s="12">
        <v>1249154</v>
      </c>
      <c r="X4361" s="6"/>
      <c r="Y4361" s="6"/>
    </row>
    <row r="4362" spans="1:25" ht="15" customHeight="1" x14ac:dyDescent="0.2">
      <c r="A4362" s="88" t="s">
        <v>5267</v>
      </c>
      <c r="B4362" s="90"/>
      <c r="C4362" s="88" t="s">
        <v>5281</v>
      </c>
      <c r="D4362" s="90"/>
      <c r="E4362" s="88" t="s">
        <v>5282</v>
      </c>
      <c r="F4362" s="89"/>
      <c r="G4362" s="89"/>
      <c r="H4362" s="89"/>
      <c r="I4362" s="90"/>
      <c r="J4362" s="88" t="s">
        <v>5277</v>
      </c>
      <c r="K4362" s="89"/>
      <c r="L4362" s="89"/>
      <c r="M4362" s="90"/>
      <c r="N4362" s="88" t="s">
        <v>26</v>
      </c>
      <c r="O4362" s="89"/>
      <c r="P4362" s="90"/>
      <c r="Q4362" s="133">
        <v>658</v>
      </c>
      <c r="R4362" s="134"/>
      <c r="S4362" s="5" t="s">
        <v>814</v>
      </c>
      <c r="T4362" s="5" t="s">
        <v>5283</v>
      </c>
      <c r="U4362" s="5" t="s">
        <v>964</v>
      </c>
      <c r="V4362" s="5" t="s">
        <v>23</v>
      </c>
      <c r="W4362" s="12">
        <v>1207236</v>
      </c>
      <c r="X4362" s="6"/>
      <c r="Y4362" s="6"/>
    </row>
    <row r="4363" spans="1:25" ht="15" customHeight="1" x14ac:dyDescent="0.2">
      <c r="A4363" s="88" t="s">
        <v>5267</v>
      </c>
      <c r="B4363" s="90"/>
      <c r="C4363" s="88" t="s">
        <v>5284</v>
      </c>
      <c r="D4363" s="90"/>
      <c r="E4363" s="88" t="s">
        <v>5285</v>
      </c>
      <c r="F4363" s="89"/>
      <c r="G4363" s="89"/>
      <c r="H4363" s="89"/>
      <c r="I4363" s="90"/>
      <c r="J4363" s="88" t="s">
        <v>963</v>
      </c>
      <c r="K4363" s="89"/>
      <c r="L4363" s="89"/>
      <c r="M4363" s="90"/>
      <c r="N4363" s="88" t="s">
        <v>26</v>
      </c>
      <c r="O4363" s="89"/>
      <c r="P4363" s="90"/>
      <c r="Q4363" s="133">
        <v>658</v>
      </c>
      <c r="R4363" s="134"/>
      <c r="S4363" s="5" t="s">
        <v>5270</v>
      </c>
      <c r="T4363" s="8">
        <v>890</v>
      </c>
      <c r="U4363" s="8">
        <v>4</v>
      </c>
      <c r="V4363" s="5" t="s">
        <v>23</v>
      </c>
      <c r="W4363" s="12">
        <v>2578454</v>
      </c>
      <c r="X4363" s="6"/>
      <c r="Y4363" s="6"/>
    </row>
    <row r="4364" spans="1:25" ht="15" customHeight="1" x14ac:dyDescent="0.2">
      <c r="A4364" s="88" t="s">
        <v>5267</v>
      </c>
      <c r="B4364" s="90"/>
      <c r="C4364" s="88" t="s">
        <v>5284</v>
      </c>
      <c r="D4364" s="90"/>
      <c r="E4364" s="88" t="s">
        <v>5285</v>
      </c>
      <c r="F4364" s="89"/>
      <c r="G4364" s="89"/>
      <c r="H4364" s="89"/>
      <c r="I4364" s="90"/>
      <c r="J4364" s="88" t="s">
        <v>963</v>
      </c>
      <c r="K4364" s="89"/>
      <c r="L4364" s="89"/>
      <c r="M4364" s="90"/>
      <c r="N4364" s="88" t="s">
        <v>26</v>
      </c>
      <c r="O4364" s="89"/>
      <c r="P4364" s="90"/>
      <c r="Q4364" s="133">
        <v>658</v>
      </c>
      <c r="R4364" s="134"/>
      <c r="S4364" s="5" t="s">
        <v>5270</v>
      </c>
      <c r="T4364" s="8">
        <v>890</v>
      </c>
      <c r="U4364" s="8">
        <v>4</v>
      </c>
      <c r="V4364" s="5" t="s">
        <v>23</v>
      </c>
      <c r="W4364" s="12">
        <v>2344049</v>
      </c>
      <c r="X4364" s="6"/>
      <c r="Y4364" s="6"/>
    </row>
    <row r="4365" spans="1:25" ht="15" customHeight="1" x14ac:dyDescent="0.2">
      <c r="A4365" s="88" t="s">
        <v>5267</v>
      </c>
      <c r="B4365" s="90"/>
      <c r="C4365" s="88" t="s">
        <v>5284</v>
      </c>
      <c r="D4365" s="90"/>
      <c r="E4365" s="88" t="s">
        <v>5286</v>
      </c>
      <c r="F4365" s="89"/>
      <c r="G4365" s="89"/>
      <c r="H4365" s="89"/>
      <c r="I4365" s="90"/>
      <c r="J4365" s="88" t="s">
        <v>963</v>
      </c>
      <c r="K4365" s="89"/>
      <c r="L4365" s="89"/>
      <c r="M4365" s="90"/>
      <c r="N4365" s="88" t="s">
        <v>26</v>
      </c>
      <c r="O4365" s="89"/>
      <c r="P4365" s="90"/>
      <c r="Q4365" s="133">
        <v>658</v>
      </c>
      <c r="R4365" s="134"/>
      <c r="S4365" s="5" t="s">
        <v>5270</v>
      </c>
      <c r="T4365" s="8">
        <v>890</v>
      </c>
      <c r="U4365" s="8">
        <v>4</v>
      </c>
      <c r="V4365" s="5" t="s">
        <v>23</v>
      </c>
      <c r="W4365" s="12">
        <v>2344049</v>
      </c>
      <c r="X4365" s="6"/>
      <c r="Y4365" s="6"/>
    </row>
    <row r="4366" spans="1:25" ht="15" customHeight="1" x14ac:dyDescent="0.2">
      <c r="A4366" s="88" t="s">
        <v>5267</v>
      </c>
      <c r="B4366" s="90"/>
      <c r="C4366" s="88" t="s">
        <v>5284</v>
      </c>
      <c r="D4366" s="90"/>
      <c r="E4366" s="88" t="s">
        <v>5287</v>
      </c>
      <c r="F4366" s="89"/>
      <c r="G4366" s="89"/>
      <c r="H4366" s="89"/>
      <c r="I4366" s="90"/>
      <c r="J4366" s="88" t="s">
        <v>963</v>
      </c>
      <c r="K4366" s="89"/>
      <c r="L4366" s="89"/>
      <c r="M4366" s="90"/>
      <c r="N4366" s="88" t="s">
        <v>26</v>
      </c>
      <c r="O4366" s="89"/>
      <c r="P4366" s="90"/>
      <c r="Q4366" s="133">
        <v>658</v>
      </c>
      <c r="R4366" s="134"/>
      <c r="S4366" s="5" t="s">
        <v>5270</v>
      </c>
      <c r="T4366" s="8">
        <v>890</v>
      </c>
      <c r="U4366" s="8">
        <v>4</v>
      </c>
      <c r="V4366" s="5" t="s">
        <v>23</v>
      </c>
      <c r="W4366" s="12">
        <v>2344049</v>
      </c>
      <c r="X4366" s="6"/>
      <c r="Y4366" s="6"/>
    </row>
    <row r="4367" spans="1:25" ht="15" customHeight="1" x14ac:dyDescent="0.2">
      <c r="A4367" s="88" t="s">
        <v>5267</v>
      </c>
      <c r="B4367" s="90"/>
      <c r="C4367" s="88" t="s">
        <v>5288</v>
      </c>
      <c r="D4367" s="90"/>
      <c r="E4367" s="88" t="s">
        <v>5289</v>
      </c>
      <c r="F4367" s="89"/>
      <c r="G4367" s="89"/>
      <c r="H4367" s="89"/>
      <c r="I4367" s="90"/>
      <c r="J4367" s="88" t="s">
        <v>770</v>
      </c>
      <c r="K4367" s="89"/>
      <c r="L4367" s="89"/>
      <c r="M4367" s="90"/>
      <c r="N4367" s="88" t="s">
        <v>26</v>
      </c>
      <c r="O4367" s="89"/>
      <c r="P4367" s="90"/>
      <c r="Q4367" s="133">
        <v>658</v>
      </c>
      <c r="R4367" s="134"/>
      <c r="S4367" s="5" t="s">
        <v>5270</v>
      </c>
      <c r="T4367" s="8">
        <v>970</v>
      </c>
      <c r="U4367" s="8">
        <v>4</v>
      </c>
      <c r="V4367" s="5" t="s">
        <v>23</v>
      </c>
      <c r="W4367" s="12">
        <v>1819237</v>
      </c>
      <c r="X4367" s="6"/>
      <c r="Y4367" s="6"/>
    </row>
    <row r="4368" spans="1:25" ht="15" customHeight="1" x14ac:dyDescent="0.2">
      <c r="A4368" s="88" t="s">
        <v>5267</v>
      </c>
      <c r="B4368" s="90"/>
      <c r="C4368" s="88" t="s">
        <v>5288</v>
      </c>
      <c r="D4368" s="90"/>
      <c r="E4368" s="88" t="s">
        <v>5290</v>
      </c>
      <c r="F4368" s="89"/>
      <c r="G4368" s="89"/>
      <c r="H4368" s="89"/>
      <c r="I4368" s="90"/>
      <c r="J4368" s="88" t="s">
        <v>770</v>
      </c>
      <c r="K4368" s="89"/>
      <c r="L4368" s="89"/>
      <c r="M4368" s="90"/>
      <c r="N4368" s="88" t="s">
        <v>26</v>
      </c>
      <c r="O4368" s="89"/>
      <c r="P4368" s="90"/>
      <c r="Q4368" s="133">
        <v>658</v>
      </c>
      <c r="R4368" s="134"/>
      <c r="S4368" s="5" t="s">
        <v>5270</v>
      </c>
      <c r="T4368" s="8">
        <v>870</v>
      </c>
      <c r="U4368" s="8">
        <v>4</v>
      </c>
      <c r="V4368" s="5" t="s">
        <v>23</v>
      </c>
      <c r="W4368" s="12">
        <v>1760552</v>
      </c>
      <c r="X4368" s="6"/>
      <c r="Y4368" s="6"/>
    </row>
    <row r="4369" spans="1:25" ht="15" customHeight="1" x14ac:dyDescent="0.2">
      <c r="A4369" s="88" t="s">
        <v>5267</v>
      </c>
      <c r="B4369" s="90"/>
      <c r="C4369" s="88" t="s">
        <v>5291</v>
      </c>
      <c r="D4369" s="90"/>
      <c r="E4369" s="88" t="s">
        <v>5292</v>
      </c>
      <c r="F4369" s="89"/>
      <c r="G4369" s="89"/>
      <c r="H4369" s="89"/>
      <c r="I4369" s="90"/>
      <c r="J4369" s="88" t="s">
        <v>770</v>
      </c>
      <c r="K4369" s="89"/>
      <c r="L4369" s="89"/>
      <c r="M4369" s="90"/>
      <c r="N4369" s="88" t="s">
        <v>26</v>
      </c>
      <c r="O4369" s="89"/>
      <c r="P4369" s="90"/>
      <c r="Q4369" s="133">
        <v>1242</v>
      </c>
      <c r="R4369" s="134"/>
      <c r="S4369" s="5" t="s">
        <v>5270</v>
      </c>
      <c r="T4369" s="8">
        <v>1185</v>
      </c>
      <c r="U4369" s="8">
        <v>5</v>
      </c>
      <c r="V4369" s="5" t="s">
        <v>23</v>
      </c>
      <c r="W4369" s="12">
        <v>2397704</v>
      </c>
      <c r="X4369" s="6"/>
      <c r="Y4369" s="6"/>
    </row>
    <row r="4370" spans="1:25" ht="15" customHeight="1" x14ac:dyDescent="0.2">
      <c r="A4370" s="88" t="s">
        <v>5267</v>
      </c>
      <c r="B4370" s="90"/>
      <c r="C4370" s="88" t="s">
        <v>5293</v>
      </c>
      <c r="D4370" s="90"/>
      <c r="E4370" s="88" t="s">
        <v>5294</v>
      </c>
      <c r="F4370" s="89"/>
      <c r="G4370" s="89"/>
      <c r="H4370" s="89"/>
      <c r="I4370" s="90"/>
      <c r="J4370" s="88" t="s">
        <v>963</v>
      </c>
      <c r="K4370" s="89"/>
      <c r="L4370" s="89"/>
      <c r="M4370" s="90"/>
      <c r="N4370" s="88" t="s">
        <v>22</v>
      </c>
      <c r="O4370" s="89"/>
      <c r="P4370" s="90"/>
      <c r="Q4370" s="133">
        <v>658</v>
      </c>
      <c r="R4370" s="134"/>
      <c r="S4370" s="5" t="s">
        <v>945</v>
      </c>
      <c r="T4370" s="8">
        <v>1420</v>
      </c>
      <c r="U4370" s="8">
        <v>2</v>
      </c>
      <c r="V4370" s="5" t="s">
        <v>23</v>
      </c>
      <c r="W4370" s="12">
        <v>2053977</v>
      </c>
      <c r="X4370" s="6"/>
      <c r="Y4370" s="6"/>
    </row>
    <row r="4371" spans="1:25" ht="15" customHeight="1" x14ac:dyDescent="0.2">
      <c r="A4371" s="88" t="s">
        <v>5267</v>
      </c>
      <c r="B4371" s="90"/>
      <c r="C4371" s="88" t="s">
        <v>5293</v>
      </c>
      <c r="D4371" s="90"/>
      <c r="E4371" s="88" t="s">
        <v>5295</v>
      </c>
      <c r="F4371" s="89"/>
      <c r="G4371" s="89"/>
      <c r="H4371" s="89"/>
      <c r="I4371" s="90"/>
      <c r="J4371" s="88" t="s">
        <v>963</v>
      </c>
      <c r="K4371" s="89"/>
      <c r="L4371" s="89"/>
      <c r="M4371" s="90"/>
      <c r="N4371" s="88" t="s">
        <v>22</v>
      </c>
      <c r="O4371" s="89"/>
      <c r="P4371" s="90"/>
      <c r="Q4371" s="133">
        <v>658</v>
      </c>
      <c r="R4371" s="134"/>
      <c r="S4371" s="5" t="s">
        <v>945</v>
      </c>
      <c r="T4371" s="8">
        <v>1430</v>
      </c>
      <c r="U4371" s="8">
        <v>2</v>
      </c>
      <c r="V4371" s="5" t="s">
        <v>106</v>
      </c>
      <c r="W4371" s="12">
        <v>2087512</v>
      </c>
      <c r="X4371" s="6"/>
      <c r="Y4371" s="6"/>
    </row>
    <row r="4372" spans="1:25" ht="15" customHeight="1" x14ac:dyDescent="0.2">
      <c r="A4372" s="88" t="s">
        <v>5267</v>
      </c>
      <c r="B4372" s="90"/>
      <c r="C4372" s="88" t="s">
        <v>5293</v>
      </c>
      <c r="D4372" s="90"/>
      <c r="E4372" s="88" t="s">
        <v>5296</v>
      </c>
      <c r="F4372" s="89"/>
      <c r="G4372" s="89"/>
      <c r="H4372" s="89"/>
      <c r="I4372" s="90"/>
      <c r="J4372" s="88" t="s">
        <v>963</v>
      </c>
      <c r="K4372" s="89"/>
      <c r="L4372" s="89"/>
      <c r="M4372" s="90"/>
      <c r="N4372" s="88" t="s">
        <v>22</v>
      </c>
      <c r="O4372" s="89"/>
      <c r="P4372" s="90"/>
      <c r="Q4372" s="133">
        <v>658</v>
      </c>
      <c r="R4372" s="134"/>
      <c r="S4372" s="5" t="s">
        <v>945</v>
      </c>
      <c r="T4372" s="8">
        <v>1430</v>
      </c>
      <c r="U4372" s="8">
        <v>2</v>
      </c>
      <c r="V4372" s="5" t="s">
        <v>23</v>
      </c>
      <c r="W4372" s="12">
        <v>2323929</v>
      </c>
      <c r="X4372" s="6"/>
      <c r="Y4372" s="6"/>
    </row>
    <row r="4373" spans="1:25" ht="15" customHeight="1" x14ac:dyDescent="0.2">
      <c r="A4373" s="88" t="s">
        <v>5267</v>
      </c>
      <c r="B4373" s="90"/>
      <c r="C4373" s="88" t="s">
        <v>5293</v>
      </c>
      <c r="D4373" s="90"/>
      <c r="E4373" s="88" t="s">
        <v>5297</v>
      </c>
      <c r="F4373" s="89"/>
      <c r="G4373" s="89"/>
      <c r="H4373" s="89"/>
      <c r="I4373" s="90"/>
      <c r="J4373" s="88" t="s">
        <v>963</v>
      </c>
      <c r="K4373" s="89"/>
      <c r="L4373" s="89"/>
      <c r="M4373" s="90"/>
      <c r="N4373" s="88" t="s">
        <v>22</v>
      </c>
      <c r="O4373" s="89"/>
      <c r="P4373" s="90"/>
      <c r="Q4373" s="133">
        <v>658</v>
      </c>
      <c r="R4373" s="134"/>
      <c r="S4373" s="5" t="s">
        <v>945</v>
      </c>
      <c r="T4373" s="8">
        <v>1440</v>
      </c>
      <c r="U4373" s="8">
        <v>2</v>
      </c>
      <c r="V4373" s="5" t="s">
        <v>23</v>
      </c>
      <c r="W4373" s="12">
        <v>2360816</v>
      </c>
      <c r="X4373" s="6"/>
      <c r="Y4373" s="6"/>
    </row>
    <row r="4374" spans="1:25" ht="15" customHeight="1" x14ac:dyDescent="0.2">
      <c r="A4374" s="88" t="s">
        <v>5267</v>
      </c>
      <c r="B4374" s="90"/>
      <c r="C4374" s="88" t="s">
        <v>5293</v>
      </c>
      <c r="D4374" s="90"/>
      <c r="E4374" s="88" t="s">
        <v>5298</v>
      </c>
      <c r="F4374" s="89"/>
      <c r="G4374" s="89"/>
      <c r="H4374" s="89"/>
      <c r="I4374" s="90"/>
      <c r="J4374" s="88" t="s">
        <v>770</v>
      </c>
      <c r="K4374" s="89"/>
      <c r="L4374" s="89"/>
      <c r="M4374" s="90"/>
      <c r="N4374" s="88" t="s">
        <v>22</v>
      </c>
      <c r="O4374" s="89"/>
      <c r="P4374" s="90"/>
      <c r="Q4374" s="133">
        <v>658</v>
      </c>
      <c r="R4374" s="134"/>
      <c r="S4374" s="5" t="s">
        <v>945</v>
      </c>
      <c r="T4374" s="8">
        <v>1440</v>
      </c>
      <c r="U4374" s="8">
        <v>2</v>
      </c>
      <c r="V4374" s="5" t="s">
        <v>23</v>
      </c>
      <c r="W4374" s="12">
        <v>2360816</v>
      </c>
      <c r="X4374" s="6"/>
      <c r="Y4374" s="6"/>
    </row>
    <row r="4375" spans="1:25" ht="27" customHeight="1" x14ac:dyDescent="0.2">
      <c r="A4375" s="88" t="s">
        <v>5267</v>
      </c>
      <c r="B4375" s="90"/>
      <c r="C4375" s="88" t="s">
        <v>5299</v>
      </c>
      <c r="D4375" s="90"/>
      <c r="E4375" s="88" t="s">
        <v>5300</v>
      </c>
      <c r="F4375" s="89"/>
      <c r="G4375" s="89"/>
      <c r="H4375" s="89"/>
      <c r="I4375" s="90"/>
      <c r="J4375" s="88" t="s">
        <v>963</v>
      </c>
      <c r="K4375" s="89"/>
      <c r="L4375" s="89"/>
      <c r="M4375" s="90"/>
      <c r="N4375" s="88" t="s">
        <v>22</v>
      </c>
      <c r="O4375" s="89"/>
      <c r="P4375" s="90"/>
      <c r="Q4375" s="133">
        <v>658</v>
      </c>
      <c r="R4375" s="134"/>
      <c r="S4375" s="5" t="s">
        <v>945</v>
      </c>
      <c r="T4375" s="8">
        <v>1440</v>
      </c>
      <c r="U4375" s="8">
        <v>2</v>
      </c>
      <c r="V4375" s="5" t="s">
        <v>23</v>
      </c>
      <c r="W4375" s="12">
        <v>2709406</v>
      </c>
      <c r="X4375" s="4"/>
      <c r="Y4375" s="4"/>
    </row>
    <row r="4376" spans="1:25" ht="15" customHeight="1" x14ac:dyDescent="0.2">
      <c r="A4376" s="88" t="s">
        <v>5267</v>
      </c>
      <c r="B4376" s="90"/>
      <c r="C4376" s="88" t="s">
        <v>5301</v>
      </c>
      <c r="D4376" s="90"/>
      <c r="E4376" s="88" t="s">
        <v>5302</v>
      </c>
      <c r="F4376" s="89"/>
      <c r="G4376" s="89"/>
      <c r="H4376" s="89"/>
      <c r="I4376" s="90"/>
      <c r="J4376" s="88" t="s">
        <v>963</v>
      </c>
      <c r="K4376" s="89"/>
      <c r="L4376" s="89"/>
      <c r="M4376" s="90"/>
      <c r="N4376" s="88" t="s">
        <v>22</v>
      </c>
      <c r="O4376" s="89"/>
      <c r="P4376" s="90"/>
      <c r="Q4376" s="133">
        <v>658</v>
      </c>
      <c r="R4376" s="134"/>
      <c r="S4376" s="5" t="s">
        <v>945</v>
      </c>
      <c r="T4376" s="8">
        <v>1190</v>
      </c>
      <c r="U4376" s="8">
        <v>2</v>
      </c>
      <c r="V4376" s="5" t="s">
        <v>23</v>
      </c>
      <c r="W4376" s="12">
        <v>1542579</v>
      </c>
      <c r="X4376" s="6"/>
      <c r="Y4376" s="6"/>
    </row>
    <row r="4377" spans="1:25" ht="15" customHeight="1" x14ac:dyDescent="0.2">
      <c r="A4377" s="88" t="s">
        <v>5267</v>
      </c>
      <c r="B4377" s="90"/>
      <c r="C4377" s="88" t="s">
        <v>5301</v>
      </c>
      <c r="D4377" s="90"/>
      <c r="E4377" s="88" t="s">
        <v>5303</v>
      </c>
      <c r="F4377" s="89"/>
      <c r="G4377" s="89"/>
      <c r="H4377" s="89"/>
      <c r="I4377" s="90"/>
      <c r="J4377" s="88" t="s">
        <v>963</v>
      </c>
      <c r="K4377" s="89"/>
      <c r="L4377" s="89"/>
      <c r="M4377" s="90"/>
      <c r="N4377" s="88" t="s">
        <v>22</v>
      </c>
      <c r="O4377" s="89"/>
      <c r="P4377" s="90"/>
      <c r="Q4377" s="133">
        <v>658</v>
      </c>
      <c r="R4377" s="134"/>
      <c r="S4377" s="5" t="s">
        <v>945</v>
      </c>
      <c r="T4377" s="8">
        <v>1190</v>
      </c>
      <c r="U4377" s="8">
        <v>2</v>
      </c>
      <c r="V4377" s="5" t="s">
        <v>106</v>
      </c>
      <c r="W4377" s="12">
        <v>1542579</v>
      </c>
      <c r="X4377" s="6"/>
      <c r="Y4377" s="6"/>
    </row>
    <row r="4378" spans="1:25" ht="15" customHeight="1" x14ac:dyDescent="0.2">
      <c r="A4378" s="88" t="s">
        <v>5267</v>
      </c>
      <c r="B4378" s="90"/>
      <c r="C4378" s="88" t="s">
        <v>5301</v>
      </c>
      <c r="D4378" s="90"/>
      <c r="E4378" s="88" t="s">
        <v>5303</v>
      </c>
      <c r="F4378" s="89"/>
      <c r="G4378" s="89"/>
      <c r="H4378" s="89"/>
      <c r="I4378" s="90"/>
      <c r="J4378" s="88" t="s">
        <v>887</v>
      </c>
      <c r="K4378" s="89"/>
      <c r="L4378" s="89"/>
      <c r="M4378" s="90"/>
      <c r="N4378" s="88" t="s">
        <v>22</v>
      </c>
      <c r="O4378" s="89"/>
      <c r="P4378" s="90"/>
      <c r="Q4378" s="133">
        <v>658</v>
      </c>
      <c r="R4378" s="134"/>
      <c r="S4378" s="5" t="s">
        <v>945</v>
      </c>
      <c r="T4378" s="8">
        <v>1190</v>
      </c>
      <c r="U4378" s="8">
        <v>2</v>
      </c>
      <c r="V4378" s="5" t="s">
        <v>23</v>
      </c>
      <c r="W4378" s="12">
        <v>1542579</v>
      </c>
      <c r="X4378" s="6"/>
      <c r="Y4378" s="6"/>
    </row>
    <row r="4379" spans="1:25" ht="15" customHeight="1" x14ac:dyDescent="0.2">
      <c r="A4379" s="88" t="s">
        <v>5267</v>
      </c>
      <c r="B4379" s="90"/>
      <c r="C4379" s="88" t="s">
        <v>5301</v>
      </c>
      <c r="D4379" s="90"/>
      <c r="E4379" s="88" t="s">
        <v>5304</v>
      </c>
      <c r="F4379" s="89"/>
      <c r="G4379" s="89"/>
      <c r="H4379" s="89"/>
      <c r="I4379" s="90"/>
      <c r="J4379" s="88" t="s">
        <v>963</v>
      </c>
      <c r="K4379" s="89"/>
      <c r="L4379" s="89"/>
      <c r="M4379" s="90"/>
      <c r="N4379" s="88" t="s">
        <v>22</v>
      </c>
      <c r="O4379" s="89"/>
      <c r="P4379" s="90"/>
      <c r="Q4379" s="133">
        <v>658</v>
      </c>
      <c r="R4379" s="134"/>
      <c r="S4379" s="5" t="s">
        <v>945</v>
      </c>
      <c r="T4379" s="8">
        <v>1120</v>
      </c>
      <c r="U4379" s="8">
        <v>2</v>
      </c>
      <c r="V4379" s="5" t="s">
        <v>23</v>
      </c>
      <c r="W4379" s="12">
        <v>1733725</v>
      </c>
      <c r="X4379" s="6"/>
      <c r="Y4379" s="6"/>
    </row>
    <row r="4380" spans="1:25" ht="15" customHeight="1" x14ac:dyDescent="0.2">
      <c r="A4380" s="88" t="s">
        <v>5267</v>
      </c>
      <c r="B4380" s="90"/>
      <c r="C4380" s="88" t="s">
        <v>5301</v>
      </c>
      <c r="D4380" s="90"/>
      <c r="E4380" s="88" t="s">
        <v>5305</v>
      </c>
      <c r="F4380" s="89"/>
      <c r="G4380" s="89"/>
      <c r="H4380" s="89"/>
      <c r="I4380" s="90"/>
      <c r="J4380" s="88" t="s">
        <v>770</v>
      </c>
      <c r="K4380" s="89"/>
      <c r="L4380" s="89"/>
      <c r="M4380" s="90"/>
      <c r="N4380" s="88" t="s">
        <v>22</v>
      </c>
      <c r="O4380" s="89"/>
      <c r="P4380" s="90"/>
      <c r="Q4380" s="133">
        <v>658</v>
      </c>
      <c r="R4380" s="134"/>
      <c r="S4380" s="5" t="s">
        <v>945</v>
      </c>
      <c r="T4380" s="8">
        <v>1230</v>
      </c>
      <c r="U4380" s="8">
        <v>2</v>
      </c>
      <c r="V4380" s="5" t="s">
        <v>23</v>
      </c>
      <c r="W4380" s="12">
        <v>1733725</v>
      </c>
      <c r="X4380" s="6"/>
      <c r="Y4380" s="6"/>
    </row>
    <row r="4381" spans="1:25" ht="15" customHeight="1" x14ac:dyDescent="0.2">
      <c r="A4381" s="88" t="s">
        <v>5267</v>
      </c>
      <c r="B4381" s="90"/>
      <c r="C4381" s="88" t="s">
        <v>5301</v>
      </c>
      <c r="D4381" s="90"/>
      <c r="E4381" s="88" t="s">
        <v>5305</v>
      </c>
      <c r="F4381" s="89"/>
      <c r="G4381" s="89"/>
      <c r="H4381" s="89"/>
      <c r="I4381" s="90"/>
      <c r="J4381" s="88" t="s">
        <v>963</v>
      </c>
      <c r="K4381" s="89"/>
      <c r="L4381" s="89"/>
      <c r="M4381" s="90"/>
      <c r="N4381" s="88" t="s">
        <v>22</v>
      </c>
      <c r="O4381" s="89"/>
      <c r="P4381" s="90"/>
      <c r="Q4381" s="133">
        <v>658</v>
      </c>
      <c r="R4381" s="134"/>
      <c r="S4381" s="5" t="s">
        <v>945</v>
      </c>
      <c r="T4381" s="8">
        <v>1230</v>
      </c>
      <c r="U4381" s="8">
        <v>2</v>
      </c>
      <c r="V4381" s="5" t="s">
        <v>23</v>
      </c>
      <c r="W4381" s="12">
        <v>1733725</v>
      </c>
      <c r="X4381" s="6"/>
      <c r="Y4381" s="6"/>
    </row>
    <row r="4382" spans="1:25" ht="15" customHeight="1" x14ac:dyDescent="0.2">
      <c r="A4382" s="88" t="s">
        <v>5267</v>
      </c>
      <c r="B4382" s="90"/>
      <c r="C4382" s="88" t="s">
        <v>5301</v>
      </c>
      <c r="D4382" s="90"/>
      <c r="E4382" s="88" t="s">
        <v>5306</v>
      </c>
      <c r="F4382" s="89"/>
      <c r="G4382" s="89"/>
      <c r="H4382" s="89"/>
      <c r="I4382" s="90"/>
      <c r="J4382" s="88" t="s">
        <v>963</v>
      </c>
      <c r="K4382" s="89"/>
      <c r="L4382" s="89"/>
      <c r="M4382" s="90"/>
      <c r="N4382" s="88" t="s">
        <v>22</v>
      </c>
      <c r="O4382" s="89"/>
      <c r="P4382" s="90"/>
      <c r="Q4382" s="133">
        <v>658</v>
      </c>
      <c r="R4382" s="134"/>
      <c r="S4382" s="5" t="s">
        <v>945</v>
      </c>
      <c r="T4382" s="8">
        <v>1230</v>
      </c>
      <c r="U4382" s="8">
        <v>2</v>
      </c>
      <c r="V4382" s="5" t="s">
        <v>23</v>
      </c>
      <c r="W4382" s="12">
        <v>2128424</v>
      </c>
      <c r="X4382" s="6"/>
      <c r="Y4382" s="6"/>
    </row>
    <row r="4383" spans="1:25" ht="15" customHeight="1" x14ac:dyDescent="0.2">
      <c r="A4383" s="88" t="s">
        <v>5267</v>
      </c>
      <c r="B4383" s="90"/>
      <c r="C4383" s="88" t="s">
        <v>5307</v>
      </c>
      <c r="D4383" s="90"/>
      <c r="E4383" s="88" t="s">
        <v>5295</v>
      </c>
      <c r="F4383" s="89"/>
      <c r="G4383" s="89"/>
      <c r="H4383" s="89"/>
      <c r="I4383" s="90"/>
      <c r="J4383" s="88" t="s">
        <v>963</v>
      </c>
      <c r="K4383" s="89"/>
      <c r="L4383" s="89"/>
      <c r="M4383" s="90"/>
      <c r="N4383" s="88" t="s">
        <v>22</v>
      </c>
      <c r="O4383" s="89"/>
      <c r="P4383" s="90"/>
      <c r="Q4383" s="133">
        <v>658</v>
      </c>
      <c r="R4383" s="134"/>
      <c r="S4383" s="5" t="s">
        <v>945</v>
      </c>
      <c r="T4383" s="8">
        <v>1280</v>
      </c>
      <c r="U4383" s="8">
        <v>2</v>
      </c>
      <c r="V4383" s="5" t="s">
        <v>23</v>
      </c>
      <c r="W4383" s="12">
        <v>2087512</v>
      </c>
      <c r="X4383" s="6"/>
      <c r="Y4383" s="6"/>
    </row>
    <row r="4384" spans="1:25" ht="15" customHeight="1" x14ac:dyDescent="0.2">
      <c r="A4384" s="88" t="s">
        <v>5267</v>
      </c>
      <c r="B4384" s="90"/>
      <c r="C4384" s="88" t="s">
        <v>5308</v>
      </c>
      <c r="D4384" s="90"/>
      <c r="E4384" s="88" t="s">
        <v>5309</v>
      </c>
      <c r="F4384" s="89"/>
      <c r="G4384" s="89"/>
      <c r="H4384" s="89"/>
      <c r="I4384" s="90"/>
      <c r="J4384" s="88" t="s">
        <v>5310</v>
      </c>
      <c r="K4384" s="89"/>
      <c r="L4384" s="89"/>
      <c r="M4384" s="90"/>
      <c r="N4384" s="88" t="s">
        <v>22</v>
      </c>
      <c r="O4384" s="89"/>
      <c r="P4384" s="90"/>
      <c r="Q4384" s="133">
        <v>1460</v>
      </c>
      <c r="R4384" s="134"/>
      <c r="S4384" s="5" t="s">
        <v>16</v>
      </c>
      <c r="T4384" s="8">
        <v>1595</v>
      </c>
      <c r="U4384" s="8">
        <v>5</v>
      </c>
      <c r="V4384" s="5" t="s">
        <v>23</v>
      </c>
      <c r="W4384" s="12">
        <v>4979847</v>
      </c>
      <c r="X4384" s="6"/>
      <c r="Y4384" s="6"/>
    </row>
    <row r="4385" spans="1:25" ht="15" customHeight="1" x14ac:dyDescent="0.2">
      <c r="A4385" s="88" t="s">
        <v>5267</v>
      </c>
      <c r="B4385" s="90"/>
      <c r="C4385" s="88" t="s">
        <v>5308</v>
      </c>
      <c r="D4385" s="90"/>
      <c r="E4385" s="88" t="s">
        <v>5311</v>
      </c>
      <c r="F4385" s="89"/>
      <c r="G4385" s="89"/>
      <c r="H4385" s="89"/>
      <c r="I4385" s="90"/>
      <c r="J4385" s="88" t="s">
        <v>2179</v>
      </c>
      <c r="K4385" s="89"/>
      <c r="L4385" s="89"/>
      <c r="M4385" s="90"/>
      <c r="N4385" s="88" t="s">
        <v>22</v>
      </c>
      <c r="O4385" s="89"/>
      <c r="P4385" s="90"/>
      <c r="Q4385" s="133">
        <v>1371</v>
      </c>
      <c r="R4385" s="134"/>
      <c r="S4385" s="5" t="s">
        <v>16</v>
      </c>
      <c r="T4385" s="8">
        <v>1495</v>
      </c>
      <c r="U4385" s="8">
        <v>5</v>
      </c>
      <c r="V4385" s="5" t="s">
        <v>23</v>
      </c>
      <c r="W4385" s="12">
        <v>4128075</v>
      </c>
      <c r="X4385" s="6"/>
      <c r="Y4385" s="6"/>
    </row>
    <row r="4386" spans="1:25" ht="15" customHeight="1" x14ac:dyDescent="0.2">
      <c r="A4386" s="88" t="s">
        <v>5267</v>
      </c>
      <c r="B4386" s="90"/>
      <c r="C4386" s="88" t="s">
        <v>5308</v>
      </c>
      <c r="D4386" s="90"/>
      <c r="E4386" s="88" t="s">
        <v>5312</v>
      </c>
      <c r="F4386" s="89"/>
      <c r="G4386" s="89"/>
      <c r="H4386" s="89"/>
      <c r="I4386" s="90"/>
      <c r="J4386" s="88" t="s">
        <v>2179</v>
      </c>
      <c r="K4386" s="89"/>
      <c r="L4386" s="89"/>
      <c r="M4386" s="90"/>
      <c r="N4386" s="88" t="s">
        <v>22</v>
      </c>
      <c r="O4386" s="89"/>
      <c r="P4386" s="90"/>
      <c r="Q4386" s="133">
        <v>1371</v>
      </c>
      <c r="R4386" s="134"/>
      <c r="S4386" s="5" t="s">
        <v>16</v>
      </c>
      <c r="T4386" s="8">
        <v>1495</v>
      </c>
      <c r="U4386" s="8">
        <v>5</v>
      </c>
      <c r="V4386" s="5" t="s">
        <v>23</v>
      </c>
      <c r="W4386" s="12">
        <v>4128075</v>
      </c>
      <c r="X4386" s="6"/>
      <c r="Y4386" s="6"/>
    </row>
    <row r="4387" spans="1:25" ht="15" customHeight="1" x14ac:dyDescent="0.2">
      <c r="A4387" s="88" t="s">
        <v>5267</v>
      </c>
      <c r="B4387" s="90"/>
      <c r="C4387" s="88" t="s">
        <v>5308</v>
      </c>
      <c r="D4387" s="90"/>
      <c r="E4387" s="88" t="s">
        <v>5313</v>
      </c>
      <c r="F4387" s="89"/>
      <c r="G4387" s="89"/>
      <c r="H4387" s="89"/>
      <c r="I4387" s="90"/>
      <c r="J4387" s="88" t="s">
        <v>2179</v>
      </c>
      <c r="K4387" s="89"/>
      <c r="L4387" s="89"/>
      <c r="M4387" s="90"/>
      <c r="N4387" s="88" t="s">
        <v>22</v>
      </c>
      <c r="O4387" s="89"/>
      <c r="P4387" s="90"/>
      <c r="Q4387" s="133">
        <v>1371</v>
      </c>
      <c r="R4387" s="134"/>
      <c r="S4387" s="5" t="s">
        <v>16</v>
      </c>
      <c r="T4387" s="8">
        <v>1495</v>
      </c>
      <c r="U4387" s="8">
        <v>5</v>
      </c>
      <c r="V4387" s="5" t="s">
        <v>23</v>
      </c>
      <c r="W4387" s="12">
        <v>4015735</v>
      </c>
      <c r="X4387" s="6"/>
      <c r="Y4387" s="6"/>
    </row>
    <row r="4388" spans="1:25" ht="15" customHeight="1" x14ac:dyDescent="0.2">
      <c r="A4388" s="88" t="s">
        <v>5267</v>
      </c>
      <c r="B4388" s="90"/>
      <c r="C4388" s="88" t="s">
        <v>5314</v>
      </c>
      <c r="D4388" s="90"/>
      <c r="E4388" s="88" t="s">
        <v>5313</v>
      </c>
      <c r="F4388" s="89"/>
      <c r="G4388" s="89"/>
      <c r="H4388" s="89"/>
      <c r="I4388" s="90"/>
      <c r="J4388" s="88" t="s">
        <v>2179</v>
      </c>
      <c r="K4388" s="89"/>
      <c r="L4388" s="89"/>
      <c r="M4388" s="90"/>
      <c r="N4388" s="88" t="s">
        <v>22</v>
      </c>
      <c r="O4388" s="89"/>
      <c r="P4388" s="90"/>
      <c r="Q4388" s="133">
        <v>1371</v>
      </c>
      <c r="R4388" s="134"/>
      <c r="S4388" s="5" t="s">
        <v>16</v>
      </c>
      <c r="T4388" s="8">
        <v>1495</v>
      </c>
      <c r="U4388" s="8">
        <v>5</v>
      </c>
      <c r="V4388" s="5" t="s">
        <v>23</v>
      </c>
      <c r="W4388" s="12">
        <v>4028456</v>
      </c>
      <c r="X4388" s="6"/>
      <c r="Y4388" s="6"/>
    </row>
    <row r="4389" spans="1:25" ht="15" customHeight="1" x14ac:dyDescent="0.2">
      <c r="A4389" s="88" t="s">
        <v>5267</v>
      </c>
      <c r="B4389" s="90"/>
      <c r="C4389" s="88" t="s">
        <v>5315</v>
      </c>
      <c r="D4389" s="90"/>
      <c r="E4389" s="88" t="s">
        <v>5316</v>
      </c>
      <c r="F4389" s="89"/>
      <c r="G4389" s="89"/>
      <c r="H4389" s="89"/>
      <c r="I4389" s="90"/>
      <c r="J4389" s="88" t="s">
        <v>770</v>
      </c>
      <c r="K4389" s="89"/>
      <c r="L4389" s="89"/>
      <c r="M4389" s="90"/>
      <c r="N4389" s="88" t="s">
        <v>26</v>
      </c>
      <c r="O4389" s="89"/>
      <c r="P4389" s="90"/>
      <c r="Q4389" s="133">
        <v>658</v>
      </c>
      <c r="R4389" s="134"/>
      <c r="S4389" s="5" t="s">
        <v>814</v>
      </c>
      <c r="T4389" s="8">
        <v>1595</v>
      </c>
      <c r="U4389" s="8">
        <v>4</v>
      </c>
      <c r="V4389" s="6"/>
      <c r="W4389" s="12">
        <v>3060007</v>
      </c>
      <c r="X4389" s="6"/>
      <c r="Y4389" s="6"/>
    </row>
    <row r="4390" spans="1:25" ht="15" customHeight="1" x14ac:dyDescent="0.2">
      <c r="A4390" s="88" t="s">
        <v>5267</v>
      </c>
      <c r="B4390" s="90"/>
      <c r="C4390" s="88" t="s">
        <v>5315</v>
      </c>
      <c r="D4390" s="90"/>
      <c r="E4390" s="88" t="s">
        <v>5317</v>
      </c>
      <c r="F4390" s="89"/>
      <c r="G4390" s="89"/>
      <c r="H4390" s="89"/>
      <c r="I4390" s="90"/>
      <c r="J4390" s="88" t="s">
        <v>887</v>
      </c>
      <c r="K4390" s="89"/>
      <c r="L4390" s="89"/>
      <c r="M4390" s="90"/>
      <c r="N4390" s="88" t="s">
        <v>26</v>
      </c>
      <c r="O4390" s="89"/>
      <c r="P4390" s="90"/>
      <c r="Q4390" s="133">
        <v>658</v>
      </c>
      <c r="R4390" s="134"/>
      <c r="S4390" s="5" t="s">
        <v>814</v>
      </c>
      <c r="T4390" s="8">
        <v>1595</v>
      </c>
      <c r="U4390" s="8">
        <v>4</v>
      </c>
      <c r="V4390" s="5" t="s">
        <v>106</v>
      </c>
      <c r="W4390" s="12">
        <v>2791732</v>
      </c>
      <c r="X4390" s="6"/>
      <c r="Y4390" s="6"/>
    </row>
    <row r="4391" spans="1:25" ht="15" customHeight="1" x14ac:dyDescent="0.2">
      <c r="A4391" s="88" t="s">
        <v>5267</v>
      </c>
      <c r="B4391" s="90"/>
      <c r="C4391" s="88" t="s">
        <v>5315</v>
      </c>
      <c r="D4391" s="90"/>
      <c r="E4391" s="88" t="s">
        <v>5317</v>
      </c>
      <c r="F4391" s="89"/>
      <c r="G4391" s="89"/>
      <c r="H4391" s="89"/>
      <c r="I4391" s="90"/>
      <c r="J4391" s="88" t="s">
        <v>887</v>
      </c>
      <c r="K4391" s="89"/>
      <c r="L4391" s="89"/>
      <c r="M4391" s="90"/>
      <c r="N4391" s="88" t="s">
        <v>26</v>
      </c>
      <c r="O4391" s="89"/>
      <c r="P4391" s="90"/>
      <c r="Q4391" s="133">
        <v>658</v>
      </c>
      <c r="R4391" s="134"/>
      <c r="S4391" s="5" t="s">
        <v>814</v>
      </c>
      <c r="T4391" s="8">
        <v>1595</v>
      </c>
      <c r="U4391" s="8">
        <v>4</v>
      </c>
      <c r="V4391" s="5" t="s">
        <v>23</v>
      </c>
      <c r="W4391" s="12">
        <v>2791732</v>
      </c>
      <c r="X4391" s="6"/>
      <c r="Y4391" s="6"/>
    </row>
    <row r="4392" spans="1:25" ht="15" customHeight="1" x14ac:dyDescent="0.2">
      <c r="A4392" s="88" t="s">
        <v>5267</v>
      </c>
      <c r="B4392" s="90"/>
      <c r="C4392" s="88" t="s">
        <v>5318</v>
      </c>
      <c r="D4392" s="90"/>
      <c r="E4392" s="88" t="s">
        <v>5319</v>
      </c>
      <c r="F4392" s="89"/>
      <c r="G4392" s="89"/>
      <c r="H4392" s="89"/>
      <c r="I4392" s="90"/>
      <c r="J4392" s="88" t="s">
        <v>887</v>
      </c>
      <c r="K4392" s="89"/>
      <c r="L4392" s="89"/>
      <c r="M4392" s="90"/>
      <c r="N4392" s="88" t="s">
        <v>26</v>
      </c>
      <c r="O4392" s="89"/>
      <c r="P4392" s="90"/>
      <c r="Q4392" s="133">
        <v>658</v>
      </c>
      <c r="R4392" s="134"/>
      <c r="S4392" s="5" t="s">
        <v>814</v>
      </c>
      <c r="T4392" s="8">
        <v>1330</v>
      </c>
      <c r="U4392" s="8">
        <v>4</v>
      </c>
      <c r="V4392" s="5" t="s">
        <v>23</v>
      </c>
      <c r="W4392" s="12">
        <v>1765582</v>
      </c>
      <c r="X4392" s="6"/>
      <c r="Y4392" s="6"/>
    </row>
    <row r="4393" spans="1:25" ht="15" customHeight="1" x14ac:dyDescent="0.2">
      <c r="A4393" s="88" t="s">
        <v>5267</v>
      </c>
      <c r="B4393" s="90"/>
      <c r="C4393" s="88" t="s">
        <v>5318</v>
      </c>
      <c r="D4393" s="90"/>
      <c r="E4393" s="88" t="s">
        <v>5320</v>
      </c>
      <c r="F4393" s="89"/>
      <c r="G4393" s="89"/>
      <c r="H4393" s="89"/>
      <c r="I4393" s="90"/>
      <c r="J4393" s="88" t="s">
        <v>5277</v>
      </c>
      <c r="K4393" s="89"/>
      <c r="L4393" s="89"/>
      <c r="M4393" s="90"/>
      <c r="N4393" s="88" t="s">
        <v>26</v>
      </c>
      <c r="O4393" s="89"/>
      <c r="P4393" s="90"/>
      <c r="Q4393" s="133">
        <v>658</v>
      </c>
      <c r="R4393" s="134"/>
      <c r="S4393" s="5" t="s">
        <v>814</v>
      </c>
      <c r="T4393" s="8">
        <v>1595</v>
      </c>
      <c r="U4393" s="8">
        <v>4</v>
      </c>
      <c r="V4393" s="5" t="s">
        <v>23</v>
      </c>
      <c r="W4393" s="12">
        <v>2682746</v>
      </c>
      <c r="X4393" s="6"/>
      <c r="Y4393" s="6"/>
    </row>
    <row r="4394" spans="1:25" ht="15" customHeight="1" x14ac:dyDescent="0.2">
      <c r="A4394" s="88" t="s">
        <v>5267</v>
      </c>
      <c r="B4394" s="90"/>
      <c r="C4394" s="88" t="s">
        <v>5321</v>
      </c>
      <c r="D4394" s="90"/>
      <c r="E4394" s="88" t="s">
        <v>5322</v>
      </c>
      <c r="F4394" s="89"/>
      <c r="G4394" s="89"/>
      <c r="H4394" s="89"/>
      <c r="I4394" s="90"/>
      <c r="J4394" s="88" t="s">
        <v>887</v>
      </c>
      <c r="K4394" s="89"/>
      <c r="L4394" s="89"/>
      <c r="M4394" s="90"/>
      <c r="N4394" s="88" t="s">
        <v>26</v>
      </c>
      <c r="O4394" s="89"/>
      <c r="P4394" s="90"/>
      <c r="Q4394" s="133">
        <v>658</v>
      </c>
      <c r="R4394" s="134"/>
      <c r="S4394" s="5" t="s">
        <v>70</v>
      </c>
      <c r="T4394" s="8">
        <v>1040</v>
      </c>
      <c r="U4394" s="8">
        <v>4</v>
      </c>
      <c r="V4394" s="5" t="s">
        <v>23</v>
      </c>
      <c r="W4394" s="12">
        <v>3227679</v>
      </c>
      <c r="X4394" s="6"/>
      <c r="Y4394" s="6"/>
    </row>
    <row r="4395" spans="1:25" ht="15" customHeight="1" x14ac:dyDescent="0.2">
      <c r="A4395" s="88" t="s">
        <v>5267</v>
      </c>
      <c r="B4395" s="90"/>
      <c r="C4395" s="88" t="s">
        <v>5323</v>
      </c>
      <c r="D4395" s="90"/>
      <c r="E4395" s="88" t="s">
        <v>5324</v>
      </c>
      <c r="F4395" s="89"/>
      <c r="G4395" s="89"/>
      <c r="H4395" s="89"/>
      <c r="I4395" s="90"/>
      <c r="J4395" s="88" t="s">
        <v>887</v>
      </c>
      <c r="K4395" s="89"/>
      <c r="L4395" s="89"/>
      <c r="M4395" s="90"/>
      <c r="N4395" s="88" t="s">
        <v>26</v>
      </c>
      <c r="O4395" s="89"/>
      <c r="P4395" s="90"/>
      <c r="Q4395" s="133">
        <v>658</v>
      </c>
      <c r="R4395" s="134"/>
      <c r="S4395" s="5" t="s">
        <v>814</v>
      </c>
      <c r="T4395" s="8">
        <v>1595</v>
      </c>
      <c r="U4395" s="8">
        <v>4</v>
      </c>
      <c r="V4395" s="5" t="s">
        <v>23</v>
      </c>
      <c r="W4395" s="12">
        <v>2815206</v>
      </c>
      <c r="X4395" s="6"/>
      <c r="Y4395" s="6"/>
    </row>
    <row r="4396" spans="1:25" ht="15" customHeight="1" x14ac:dyDescent="0.2">
      <c r="A4396" s="88" t="s">
        <v>5267</v>
      </c>
      <c r="B4396" s="90"/>
      <c r="C4396" s="88" t="s">
        <v>5325</v>
      </c>
      <c r="D4396" s="90"/>
      <c r="E4396" s="88" t="s">
        <v>5326</v>
      </c>
      <c r="F4396" s="89"/>
      <c r="G4396" s="89"/>
      <c r="H4396" s="89"/>
      <c r="I4396" s="90"/>
      <c r="J4396" s="88" t="s">
        <v>887</v>
      </c>
      <c r="K4396" s="89"/>
      <c r="L4396" s="89"/>
      <c r="M4396" s="90"/>
      <c r="N4396" s="88" t="s">
        <v>26</v>
      </c>
      <c r="O4396" s="89"/>
      <c r="P4396" s="90"/>
      <c r="Q4396" s="133">
        <v>658</v>
      </c>
      <c r="R4396" s="134"/>
      <c r="S4396" s="5" t="s">
        <v>814</v>
      </c>
      <c r="T4396" s="8">
        <v>1910</v>
      </c>
      <c r="U4396" s="8">
        <v>4</v>
      </c>
      <c r="V4396" s="5" t="s">
        <v>23</v>
      </c>
      <c r="W4396" s="12">
        <v>1765582</v>
      </c>
      <c r="X4396" s="6"/>
      <c r="Y4396" s="6"/>
    </row>
    <row r="4397" spans="1:25" ht="15" customHeight="1" x14ac:dyDescent="0.2">
      <c r="A4397" s="88" t="s">
        <v>5267</v>
      </c>
      <c r="B4397" s="90"/>
      <c r="C4397" s="88" t="s">
        <v>5325</v>
      </c>
      <c r="D4397" s="90"/>
      <c r="E4397" s="88" t="s">
        <v>5326</v>
      </c>
      <c r="F4397" s="89"/>
      <c r="G4397" s="89"/>
      <c r="H4397" s="89"/>
      <c r="I4397" s="90"/>
      <c r="J4397" s="88" t="s">
        <v>887</v>
      </c>
      <c r="K4397" s="89"/>
      <c r="L4397" s="89"/>
      <c r="M4397" s="90"/>
      <c r="N4397" s="88" t="s">
        <v>26</v>
      </c>
      <c r="O4397" s="89"/>
      <c r="P4397" s="90"/>
      <c r="Q4397" s="133">
        <v>658</v>
      </c>
      <c r="R4397" s="134"/>
      <c r="S4397" s="5" t="s">
        <v>814</v>
      </c>
      <c r="T4397" s="8">
        <v>1330</v>
      </c>
      <c r="U4397" s="8">
        <v>4</v>
      </c>
      <c r="V4397" s="5" t="s">
        <v>106</v>
      </c>
      <c r="W4397" s="12">
        <v>1765582</v>
      </c>
      <c r="X4397" s="6"/>
      <c r="Y4397" s="6"/>
    </row>
    <row r="4398" spans="1:25" ht="15" customHeight="1" x14ac:dyDescent="0.2">
      <c r="A4398" s="88" t="s">
        <v>5267</v>
      </c>
      <c r="B4398" s="90"/>
      <c r="C4398" s="88" t="s">
        <v>5325</v>
      </c>
      <c r="D4398" s="90"/>
      <c r="E4398" s="88" t="s">
        <v>5327</v>
      </c>
      <c r="F4398" s="89"/>
      <c r="G4398" s="89"/>
      <c r="H4398" s="89"/>
      <c r="I4398" s="90"/>
      <c r="J4398" s="88" t="s">
        <v>887</v>
      </c>
      <c r="K4398" s="89"/>
      <c r="L4398" s="89"/>
      <c r="M4398" s="90"/>
      <c r="N4398" s="88" t="s">
        <v>26</v>
      </c>
      <c r="O4398" s="89"/>
      <c r="P4398" s="90"/>
      <c r="Q4398" s="133">
        <v>658</v>
      </c>
      <c r="R4398" s="134"/>
      <c r="S4398" s="5" t="s">
        <v>814</v>
      </c>
      <c r="T4398" s="8">
        <v>1350</v>
      </c>
      <c r="U4398" s="8">
        <v>4</v>
      </c>
      <c r="V4398" s="5" t="s">
        <v>23</v>
      </c>
      <c r="W4398" s="12">
        <v>1995628</v>
      </c>
      <c r="X4398" s="6"/>
      <c r="Y4398" s="6"/>
    </row>
    <row r="4399" spans="1:25" ht="15" customHeight="1" x14ac:dyDescent="0.2">
      <c r="A4399" s="88" t="s">
        <v>5267</v>
      </c>
      <c r="B4399" s="90"/>
      <c r="C4399" s="88" t="s">
        <v>5325</v>
      </c>
      <c r="D4399" s="90"/>
      <c r="E4399" s="88" t="s">
        <v>5328</v>
      </c>
      <c r="F4399" s="89"/>
      <c r="G4399" s="89"/>
      <c r="H4399" s="89"/>
      <c r="I4399" s="90"/>
      <c r="J4399" s="88" t="s">
        <v>770</v>
      </c>
      <c r="K4399" s="89"/>
      <c r="L4399" s="89"/>
      <c r="M4399" s="90"/>
      <c r="N4399" s="88" t="s">
        <v>26</v>
      </c>
      <c r="O4399" s="89"/>
      <c r="P4399" s="90"/>
      <c r="Q4399" s="133">
        <v>658</v>
      </c>
      <c r="R4399" s="134"/>
      <c r="S4399" s="5" t="s">
        <v>814</v>
      </c>
      <c r="T4399" s="8">
        <v>1350</v>
      </c>
      <c r="U4399" s="8">
        <v>4</v>
      </c>
      <c r="V4399" s="5" t="s">
        <v>23</v>
      </c>
      <c r="W4399" s="12">
        <v>2176378</v>
      </c>
      <c r="X4399" s="6"/>
      <c r="Y4399" s="6"/>
    </row>
    <row r="4400" spans="1:25" ht="15" customHeight="1" x14ac:dyDescent="0.2">
      <c r="A4400" s="88" t="s">
        <v>5267</v>
      </c>
      <c r="B4400" s="90"/>
      <c r="C4400" s="88" t="s">
        <v>5325</v>
      </c>
      <c r="D4400" s="90"/>
      <c r="E4400" s="88" t="s">
        <v>5329</v>
      </c>
      <c r="F4400" s="89"/>
      <c r="G4400" s="89"/>
      <c r="H4400" s="89"/>
      <c r="I4400" s="90"/>
      <c r="J4400" s="88" t="s">
        <v>770</v>
      </c>
      <c r="K4400" s="89"/>
      <c r="L4400" s="89"/>
      <c r="M4400" s="90"/>
      <c r="N4400" s="88" t="s">
        <v>26</v>
      </c>
      <c r="O4400" s="89"/>
      <c r="P4400" s="90"/>
      <c r="Q4400" s="133">
        <v>658</v>
      </c>
      <c r="R4400" s="134"/>
      <c r="S4400" s="5" t="s">
        <v>814</v>
      </c>
      <c r="T4400" s="8">
        <v>1370</v>
      </c>
      <c r="U4400" s="8">
        <v>4</v>
      </c>
      <c r="V4400" s="6"/>
      <c r="W4400" s="12">
        <v>2489924</v>
      </c>
      <c r="X4400" s="6"/>
      <c r="Y4400" s="6"/>
    </row>
    <row r="4401" spans="1:25" ht="15" customHeight="1" x14ac:dyDescent="0.2">
      <c r="A4401" s="88" t="s">
        <v>5267</v>
      </c>
      <c r="B4401" s="90"/>
      <c r="C4401" s="88" t="s">
        <v>5325</v>
      </c>
      <c r="D4401" s="90"/>
      <c r="E4401" s="88" t="s">
        <v>5330</v>
      </c>
      <c r="F4401" s="89"/>
      <c r="G4401" s="89"/>
      <c r="H4401" s="89"/>
      <c r="I4401" s="90"/>
      <c r="J4401" s="88" t="s">
        <v>770</v>
      </c>
      <c r="K4401" s="89"/>
      <c r="L4401" s="89"/>
      <c r="M4401" s="90"/>
      <c r="N4401" s="88" t="s">
        <v>26</v>
      </c>
      <c r="O4401" s="89"/>
      <c r="P4401" s="90"/>
      <c r="Q4401" s="133">
        <v>658</v>
      </c>
      <c r="R4401" s="134"/>
      <c r="S4401" s="5" t="s">
        <v>814</v>
      </c>
      <c r="T4401" s="8">
        <v>1595</v>
      </c>
      <c r="U4401" s="8">
        <v>4</v>
      </c>
      <c r="V4401" s="5" t="s">
        <v>23</v>
      </c>
      <c r="W4401" s="12">
        <v>2865508</v>
      </c>
      <c r="X4401" s="6"/>
      <c r="Y4401" s="6"/>
    </row>
    <row r="4402" spans="1:25" ht="15" customHeight="1" x14ac:dyDescent="0.2">
      <c r="A4402" s="88" t="s">
        <v>5267</v>
      </c>
      <c r="B4402" s="90"/>
      <c r="C4402" s="88" t="s">
        <v>5325</v>
      </c>
      <c r="D4402" s="90"/>
      <c r="E4402" s="88" t="s">
        <v>5320</v>
      </c>
      <c r="F4402" s="89"/>
      <c r="G4402" s="89"/>
      <c r="H4402" s="89"/>
      <c r="I4402" s="90"/>
      <c r="J4402" s="88" t="s">
        <v>5277</v>
      </c>
      <c r="K4402" s="89"/>
      <c r="L4402" s="89"/>
      <c r="M4402" s="90"/>
      <c r="N4402" s="88" t="s">
        <v>26</v>
      </c>
      <c r="O4402" s="89"/>
      <c r="P4402" s="90"/>
      <c r="Q4402" s="133">
        <v>658</v>
      </c>
      <c r="R4402" s="134"/>
      <c r="S4402" s="5" t="s">
        <v>814</v>
      </c>
      <c r="T4402" s="8">
        <v>1595</v>
      </c>
      <c r="U4402" s="8">
        <v>4</v>
      </c>
      <c r="V4402" s="6"/>
      <c r="W4402" s="12">
        <v>2682746</v>
      </c>
      <c r="X4402" s="6"/>
      <c r="Y4402" s="6"/>
    </row>
    <row r="4403" spans="1:25" ht="15" customHeight="1" x14ac:dyDescent="0.2">
      <c r="A4403" s="88" t="s">
        <v>5267</v>
      </c>
      <c r="B4403" s="90"/>
      <c r="C4403" s="88" t="s">
        <v>5331</v>
      </c>
      <c r="D4403" s="90"/>
      <c r="E4403" s="88" t="s">
        <v>5332</v>
      </c>
      <c r="F4403" s="89"/>
      <c r="G4403" s="89"/>
      <c r="H4403" s="89"/>
      <c r="I4403" s="90"/>
      <c r="J4403" s="88" t="s">
        <v>770</v>
      </c>
      <c r="K4403" s="89"/>
      <c r="L4403" s="89"/>
      <c r="M4403" s="90"/>
      <c r="N4403" s="88" t="s">
        <v>26</v>
      </c>
      <c r="O4403" s="89"/>
      <c r="P4403" s="90"/>
      <c r="Q4403" s="133">
        <v>658</v>
      </c>
      <c r="R4403" s="134"/>
      <c r="S4403" s="5" t="s">
        <v>70</v>
      </c>
      <c r="T4403" s="8">
        <v>1595</v>
      </c>
      <c r="U4403" s="8">
        <v>4</v>
      </c>
      <c r="V4403" s="5" t="s">
        <v>23</v>
      </c>
      <c r="W4403" s="12">
        <v>3844749</v>
      </c>
      <c r="X4403" s="6"/>
      <c r="Y4403" s="6"/>
    </row>
    <row r="4404" spans="1:25" ht="15" customHeight="1" x14ac:dyDescent="0.2">
      <c r="A4404" s="88" t="s">
        <v>5267</v>
      </c>
      <c r="B4404" s="90"/>
      <c r="C4404" s="88" t="s">
        <v>5331</v>
      </c>
      <c r="D4404" s="90"/>
      <c r="E4404" s="88" t="s">
        <v>5333</v>
      </c>
      <c r="F4404" s="89"/>
      <c r="G4404" s="89"/>
      <c r="H4404" s="89"/>
      <c r="I4404" s="90"/>
      <c r="J4404" s="88" t="s">
        <v>770</v>
      </c>
      <c r="K4404" s="89"/>
      <c r="L4404" s="89"/>
      <c r="M4404" s="90"/>
      <c r="N4404" s="88" t="s">
        <v>26</v>
      </c>
      <c r="O4404" s="89"/>
      <c r="P4404" s="90"/>
      <c r="Q4404" s="133">
        <v>658</v>
      </c>
      <c r="R4404" s="134"/>
      <c r="S4404" s="5" t="s">
        <v>70</v>
      </c>
      <c r="T4404" s="8">
        <v>900</v>
      </c>
      <c r="U4404" s="8">
        <v>4</v>
      </c>
      <c r="V4404" s="5" t="s">
        <v>23</v>
      </c>
      <c r="W4404" s="12">
        <v>2429059</v>
      </c>
      <c r="X4404" s="6"/>
      <c r="Y4404" s="6"/>
    </row>
    <row r="4405" spans="1:25" ht="15" customHeight="1" x14ac:dyDescent="0.2">
      <c r="A4405" s="88" t="s">
        <v>5267</v>
      </c>
      <c r="B4405" s="90"/>
      <c r="C4405" s="88" t="s">
        <v>5331</v>
      </c>
      <c r="D4405" s="90"/>
      <c r="E4405" s="88" t="s">
        <v>5334</v>
      </c>
      <c r="F4405" s="89"/>
      <c r="G4405" s="89"/>
      <c r="H4405" s="89"/>
      <c r="I4405" s="90"/>
      <c r="J4405" s="88" t="s">
        <v>887</v>
      </c>
      <c r="K4405" s="89"/>
      <c r="L4405" s="89"/>
      <c r="M4405" s="90"/>
      <c r="N4405" s="88" t="s">
        <v>26</v>
      </c>
      <c r="O4405" s="89"/>
      <c r="P4405" s="90"/>
      <c r="Q4405" s="133">
        <v>658</v>
      </c>
      <c r="R4405" s="134"/>
      <c r="S4405" s="5" t="s">
        <v>70</v>
      </c>
      <c r="T4405" s="8">
        <v>1595</v>
      </c>
      <c r="U4405" s="8">
        <v>4</v>
      </c>
      <c r="V4405" s="5" t="s">
        <v>23</v>
      </c>
      <c r="W4405" s="12">
        <v>3227679</v>
      </c>
      <c r="X4405" s="6"/>
      <c r="Y4405" s="6"/>
    </row>
    <row r="4406" spans="1:25" ht="15" customHeight="1" x14ac:dyDescent="0.2">
      <c r="A4406" s="88" t="s">
        <v>5267</v>
      </c>
      <c r="B4406" s="90"/>
      <c r="C4406" s="88" t="s">
        <v>5331</v>
      </c>
      <c r="D4406" s="90"/>
      <c r="E4406" s="88" t="s">
        <v>5335</v>
      </c>
      <c r="F4406" s="89"/>
      <c r="G4406" s="89"/>
      <c r="H4406" s="89"/>
      <c r="I4406" s="90"/>
      <c r="J4406" s="88" t="s">
        <v>887</v>
      </c>
      <c r="K4406" s="89"/>
      <c r="L4406" s="89"/>
      <c r="M4406" s="90"/>
      <c r="N4406" s="88" t="s">
        <v>26</v>
      </c>
      <c r="O4406" s="89"/>
      <c r="P4406" s="90"/>
      <c r="Q4406" s="133">
        <v>658</v>
      </c>
      <c r="R4406" s="134"/>
      <c r="S4406" s="5" t="s">
        <v>70</v>
      </c>
      <c r="T4406" s="8">
        <v>1595</v>
      </c>
      <c r="U4406" s="8">
        <v>4</v>
      </c>
      <c r="V4406" s="5" t="s">
        <v>23</v>
      </c>
      <c r="W4406" s="12">
        <v>3177377</v>
      </c>
      <c r="X4406" s="6"/>
      <c r="Y4406" s="6"/>
    </row>
    <row r="4407" spans="1:25" ht="15" customHeight="1" x14ac:dyDescent="0.2">
      <c r="A4407" s="88" t="s">
        <v>5267</v>
      </c>
      <c r="B4407" s="90"/>
      <c r="C4407" s="88" t="s">
        <v>5336</v>
      </c>
      <c r="D4407" s="90"/>
      <c r="E4407" s="88" t="s">
        <v>5332</v>
      </c>
      <c r="F4407" s="89"/>
      <c r="G4407" s="89"/>
      <c r="H4407" s="89"/>
      <c r="I4407" s="90"/>
      <c r="J4407" s="88" t="s">
        <v>887</v>
      </c>
      <c r="K4407" s="89"/>
      <c r="L4407" s="89"/>
      <c r="M4407" s="90"/>
      <c r="N4407" s="88" t="s">
        <v>22</v>
      </c>
      <c r="O4407" s="89"/>
      <c r="P4407" s="90"/>
      <c r="Q4407" s="133">
        <v>658</v>
      </c>
      <c r="R4407" s="134"/>
      <c r="S4407" s="5" t="s">
        <v>70</v>
      </c>
      <c r="T4407" s="8">
        <v>1040</v>
      </c>
      <c r="U4407" s="8">
        <v>4</v>
      </c>
      <c r="V4407" s="5" t="s">
        <v>23</v>
      </c>
      <c r="W4407" s="12">
        <v>3306484</v>
      </c>
      <c r="X4407" s="6"/>
      <c r="Y4407" s="6"/>
    </row>
    <row r="4408" spans="1:25" ht="15" customHeight="1" x14ac:dyDescent="0.2">
      <c r="A4408" s="88" t="s">
        <v>5267</v>
      </c>
      <c r="B4408" s="90"/>
      <c r="C4408" s="88" t="s">
        <v>5336</v>
      </c>
      <c r="D4408" s="90"/>
      <c r="E4408" s="88" t="s">
        <v>5337</v>
      </c>
      <c r="F4408" s="89"/>
      <c r="G4408" s="89"/>
      <c r="H4408" s="89"/>
      <c r="I4408" s="90"/>
      <c r="J4408" s="88" t="s">
        <v>770</v>
      </c>
      <c r="K4408" s="89"/>
      <c r="L4408" s="89"/>
      <c r="M4408" s="90"/>
      <c r="N4408" s="88" t="s">
        <v>26</v>
      </c>
      <c r="O4408" s="89"/>
      <c r="P4408" s="90"/>
      <c r="Q4408" s="133">
        <v>658</v>
      </c>
      <c r="R4408" s="134"/>
      <c r="S4408" s="5" t="s">
        <v>70</v>
      </c>
      <c r="T4408" s="8">
        <v>1200</v>
      </c>
      <c r="U4408" s="8">
        <v>4</v>
      </c>
      <c r="V4408" s="5" t="s">
        <v>23</v>
      </c>
      <c r="W4408" s="12">
        <v>2989753</v>
      </c>
      <c r="X4408" s="6"/>
      <c r="Y4408" s="6"/>
    </row>
    <row r="4409" spans="1:25" ht="15" customHeight="1" x14ac:dyDescent="0.2">
      <c r="A4409" s="88" t="s">
        <v>5267</v>
      </c>
      <c r="B4409" s="90"/>
      <c r="C4409" s="88" t="s">
        <v>5336</v>
      </c>
      <c r="D4409" s="90"/>
      <c r="E4409" s="88" t="s">
        <v>5338</v>
      </c>
      <c r="F4409" s="89"/>
      <c r="G4409" s="89"/>
      <c r="H4409" s="89"/>
      <c r="I4409" s="90"/>
      <c r="J4409" s="88" t="s">
        <v>770</v>
      </c>
      <c r="K4409" s="89"/>
      <c r="L4409" s="89"/>
      <c r="M4409" s="90"/>
      <c r="N4409" s="88" t="s">
        <v>26</v>
      </c>
      <c r="O4409" s="89"/>
      <c r="P4409" s="90"/>
      <c r="Q4409" s="133">
        <v>658</v>
      </c>
      <c r="R4409" s="134"/>
      <c r="S4409" s="5" t="s">
        <v>70</v>
      </c>
      <c r="T4409" s="8">
        <v>1220</v>
      </c>
      <c r="U4409" s="8">
        <v>4</v>
      </c>
      <c r="V4409" s="5" t="s">
        <v>23</v>
      </c>
      <c r="W4409" s="12">
        <v>3205546</v>
      </c>
      <c r="X4409" s="6"/>
      <c r="Y4409" s="6"/>
    </row>
    <row r="4410" spans="1:25" ht="15" customHeight="1" x14ac:dyDescent="0.2">
      <c r="A4410" s="88" t="s">
        <v>5267</v>
      </c>
      <c r="B4410" s="90"/>
      <c r="C4410" s="88" t="s">
        <v>5336</v>
      </c>
      <c r="D4410" s="90"/>
      <c r="E4410" s="88" t="s">
        <v>5339</v>
      </c>
      <c r="F4410" s="89"/>
      <c r="G4410" s="89"/>
      <c r="H4410" s="89"/>
      <c r="I4410" s="90"/>
      <c r="J4410" s="88" t="s">
        <v>770</v>
      </c>
      <c r="K4410" s="89"/>
      <c r="L4410" s="89"/>
      <c r="M4410" s="90"/>
      <c r="N4410" s="88" t="s">
        <v>26</v>
      </c>
      <c r="O4410" s="89"/>
      <c r="P4410" s="90"/>
      <c r="Q4410" s="133">
        <v>658</v>
      </c>
      <c r="R4410" s="134"/>
      <c r="S4410" s="5" t="s">
        <v>70</v>
      </c>
      <c r="T4410" s="8">
        <v>1130</v>
      </c>
      <c r="U4410" s="8">
        <v>4</v>
      </c>
      <c r="V4410" s="5" t="s">
        <v>23</v>
      </c>
      <c r="W4410" s="12">
        <v>3640151</v>
      </c>
      <c r="X4410" s="6"/>
      <c r="Y4410" s="6"/>
    </row>
    <row r="4411" spans="1:25" ht="15" customHeight="1" x14ac:dyDescent="0.2">
      <c r="A4411" s="88" t="s">
        <v>5267</v>
      </c>
      <c r="B4411" s="90"/>
      <c r="C4411" s="88" t="s">
        <v>5336</v>
      </c>
      <c r="D4411" s="90"/>
      <c r="E4411" s="88" t="s">
        <v>5340</v>
      </c>
      <c r="F4411" s="89"/>
      <c r="G4411" s="89"/>
      <c r="H4411" s="89"/>
      <c r="I4411" s="90"/>
      <c r="J4411" s="88" t="s">
        <v>770</v>
      </c>
      <c r="K4411" s="89"/>
      <c r="L4411" s="89"/>
      <c r="M4411" s="90"/>
      <c r="N4411" s="88" t="s">
        <v>26</v>
      </c>
      <c r="O4411" s="89"/>
      <c r="P4411" s="90"/>
      <c r="Q4411" s="133">
        <v>657</v>
      </c>
      <c r="R4411" s="134"/>
      <c r="S4411" s="5" t="s">
        <v>70</v>
      </c>
      <c r="T4411" s="8">
        <v>1010</v>
      </c>
      <c r="U4411" s="8">
        <v>4</v>
      </c>
      <c r="V4411" s="5" t="s">
        <v>23</v>
      </c>
      <c r="W4411" s="12">
        <v>2382949</v>
      </c>
      <c r="X4411" s="6"/>
      <c r="Y4411" s="6"/>
    </row>
    <row r="4412" spans="1:25" ht="15" customHeight="1" x14ac:dyDescent="0.2">
      <c r="A4412" s="88" t="s">
        <v>5267</v>
      </c>
      <c r="B4412" s="90"/>
      <c r="C4412" s="88" t="s">
        <v>5341</v>
      </c>
      <c r="D4412" s="90"/>
      <c r="E4412" s="88" t="s">
        <v>5342</v>
      </c>
      <c r="F4412" s="89"/>
      <c r="G4412" s="89"/>
      <c r="H4412" s="89"/>
      <c r="I4412" s="90"/>
      <c r="J4412" s="88" t="s">
        <v>887</v>
      </c>
      <c r="K4412" s="89"/>
      <c r="L4412" s="89"/>
      <c r="M4412" s="90"/>
      <c r="N4412" s="88" t="s">
        <v>26</v>
      </c>
      <c r="O4412" s="89"/>
      <c r="P4412" s="90"/>
      <c r="Q4412" s="133">
        <v>658</v>
      </c>
      <c r="R4412" s="134"/>
      <c r="S4412" s="5" t="s">
        <v>70</v>
      </c>
      <c r="T4412" s="8">
        <v>1190</v>
      </c>
      <c r="U4412" s="8">
        <v>4</v>
      </c>
      <c r="V4412" s="5" t="s">
        <v>23</v>
      </c>
      <c r="W4412" s="12">
        <v>2632444</v>
      </c>
      <c r="X4412" s="6"/>
      <c r="Y4412" s="6"/>
    </row>
    <row r="4413" spans="1:25" ht="15" customHeight="1" x14ac:dyDescent="0.2">
      <c r="A4413" s="88" t="s">
        <v>5267</v>
      </c>
      <c r="B4413" s="90"/>
      <c r="C4413" s="88" t="s">
        <v>5341</v>
      </c>
      <c r="D4413" s="90"/>
      <c r="E4413" s="88" t="s">
        <v>5343</v>
      </c>
      <c r="F4413" s="89"/>
      <c r="G4413" s="89"/>
      <c r="H4413" s="89"/>
      <c r="I4413" s="90"/>
      <c r="J4413" s="88" t="s">
        <v>887</v>
      </c>
      <c r="K4413" s="89"/>
      <c r="L4413" s="89"/>
      <c r="M4413" s="90"/>
      <c r="N4413" s="88" t="s">
        <v>26</v>
      </c>
      <c r="O4413" s="89"/>
      <c r="P4413" s="90"/>
      <c r="Q4413" s="133">
        <v>658</v>
      </c>
      <c r="R4413" s="134"/>
      <c r="S4413" s="5" t="s">
        <v>70</v>
      </c>
      <c r="T4413" s="8">
        <v>1190</v>
      </c>
      <c r="U4413" s="8">
        <v>4</v>
      </c>
      <c r="V4413" s="5" t="s">
        <v>23</v>
      </c>
      <c r="W4413" s="12">
        <v>2647535</v>
      </c>
      <c r="X4413" s="6"/>
      <c r="Y4413" s="6"/>
    </row>
    <row r="4414" spans="1:25" ht="15" customHeight="1" x14ac:dyDescent="0.2">
      <c r="A4414" s="88" t="s">
        <v>5267</v>
      </c>
      <c r="B4414" s="90"/>
      <c r="C4414" s="88" t="s">
        <v>5341</v>
      </c>
      <c r="D4414" s="90"/>
      <c r="E4414" s="88" t="s">
        <v>5344</v>
      </c>
      <c r="F4414" s="89"/>
      <c r="G4414" s="89"/>
      <c r="H4414" s="89"/>
      <c r="I4414" s="90"/>
      <c r="J4414" s="88" t="s">
        <v>887</v>
      </c>
      <c r="K4414" s="89"/>
      <c r="L4414" s="89"/>
      <c r="M4414" s="90"/>
      <c r="N4414" s="88" t="s">
        <v>26</v>
      </c>
      <c r="O4414" s="89"/>
      <c r="P4414" s="90"/>
      <c r="Q4414" s="133">
        <v>658</v>
      </c>
      <c r="R4414" s="134"/>
      <c r="S4414" s="5" t="s">
        <v>70</v>
      </c>
      <c r="T4414" s="8">
        <v>1190</v>
      </c>
      <c r="U4414" s="8">
        <v>4</v>
      </c>
      <c r="V4414" s="5" t="s">
        <v>23</v>
      </c>
      <c r="W4414" s="12">
        <v>2548609</v>
      </c>
      <c r="X4414" s="6"/>
      <c r="Y4414" s="6"/>
    </row>
    <row r="4415" spans="1:25" ht="15" customHeight="1" x14ac:dyDescent="0.2">
      <c r="A4415" s="88" t="s">
        <v>5267</v>
      </c>
      <c r="B4415" s="90"/>
      <c r="C4415" s="88" t="s">
        <v>5345</v>
      </c>
      <c r="D4415" s="90"/>
      <c r="E4415" s="88" t="s">
        <v>5337</v>
      </c>
      <c r="F4415" s="89"/>
      <c r="G4415" s="89"/>
      <c r="H4415" s="89"/>
      <c r="I4415" s="90"/>
      <c r="J4415" s="88" t="s">
        <v>887</v>
      </c>
      <c r="K4415" s="89"/>
      <c r="L4415" s="89"/>
      <c r="M4415" s="90"/>
      <c r="N4415" s="88" t="s">
        <v>22</v>
      </c>
      <c r="O4415" s="89"/>
      <c r="P4415" s="90"/>
      <c r="Q4415" s="133">
        <v>658</v>
      </c>
      <c r="R4415" s="134"/>
      <c r="S4415" s="5" t="s">
        <v>70</v>
      </c>
      <c r="T4415" s="8">
        <v>1200</v>
      </c>
      <c r="U4415" s="8">
        <v>4</v>
      </c>
      <c r="V4415" s="5" t="s">
        <v>23</v>
      </c>
      <c r="W4415" s="12">
        <v>2989753</v>
      </c>
      <c r="X4415" s="6"/>
      <c r="Y4415" s="6"/>
    </row>
    <row r="4416" spans="1:25" ht="15" customHeight="1" x14ac:dyDescent="0.2">
      <c r="A4416" s="88" t="s">
        <v>5267</v>
      </c>
      <c r="B4416" s="90"/>
      <c r="C4416" s="88" t="s">
        <v>5346</v>
      </c>
      <c r="D4416" s="90"/>
      <c r="E4416" s="88" t="s">
        <v>5347</v>
      </c>
      <c r="F4416" s="89"/>
      <c r="G4416" s="89"/>
      <c r="H4416" s="89"/>
      <c r="I4416" s="90"/>
      <c r="J4416" s="88" t="s">
        <v>2179</v>
      </c>
      <c r="K4416" s="89"/>
      <c r="L4416" s="89"/>
      <c r="M4416" s="90"/>
      <c r="N4416" s="88" t="s">
        <v>26</v>
      </c>
      <c r="O4416" s="89"/>
      <c r="P4416" s="90"/>
      <c r="Q4416" s="133">
        <v>1460</v>
      </c>
      <c r="R4416" s="134"/>
      <c r="S4416" s="5" t="s">
        <v>16</v>
      </c>
      <c r="T4416" s="8">
        <v>1345</v>
      </c>
      <c r="U4416" s="8">
        <v>5</v>
      </c>
      <c r="V4416" s="5" t="s">
        <v>23</v>
      </c>
      <c r="W4416" s="12">
        <v>4260536</v>
      </c>
      <c r="X4416" s="6"/>
      <c r="Y4416" s="6"/>
    </row>
    <row r="4417" spans="1:25" ht="15" customHeight="1" x14ac:dyDescent="0.2">
      <c r="A4417" s="88" t="s">
        <v>5267</v>
      </c>
      <c r="B4417" s="90"/>
      <c r="C4417" s="88" t="s">
        <v>5348</v>
      </c>
      <c r="D4417" s="90"/>
      <c r="E4417" s="88" t="s">
        <v>5349</v>
      </c>
      <c r="F4417" s="89"/>
      <c r="G4417" s="89"/>
      <c r="H4417" s="89"/>
      <c r="I4417" s="90"/>
      <c r="J4417" s="88" t="s">
        <v>770</v>
      </c>
      <c r="K4417" s="89"/>
      <c r="L4417" s="89"/>
      <c r="M4417" s="90"/>
      <c r="N4417" s="88" t="s">
        <v>22</v>
      </c>
      <c r="O4417" s="89"/>
      <c r="P4417" s="90"/>
      <c r="Q4417" s="133">
        <v>657</v>
      </c>
      <c r="R4417" s="134"/>
      <c r="S4417" s="5" t="s">
        <v>5270</v>
      </c>
      <c r="T4417" s="8">
        <v>1040</v>
      </c>
      <c r="U4417" s="8">
        <v>4</v>
      </c>
      <c r="V4417" s="5" t="s">
        <v>23</v>
      </c>
      <c r="W4417" s="12">
        <v>2578790</v>
      </c>
      <c r="X4417" s="6"/>
      <c r="Y4417" s="6"/>
    </row>
    <row r="4418" spans="1:25" ht="15" customHeight="1" x14ac:dyDescent="0.2">
      <c r="A4418" s="88" t="s">
        <v>5267</v>
      </c>
      <c r="B4418" s="90"/>
      <c r="C4418" s="88" t="s">
        <v>5348</v>
      </c>
      <c r="D4418" s="90"/>
      <c r="E4418" s="88" t="s">
        <v>5349</v>
      </c>
      <c r="F4418" s="89"/>
      <c r="G4418" s="89"/>
      <c r="H4418" s="89"/>
      <c r="I4418" s="90"/>
      <c r="J4418" s="88" t="s">
        <v>770</v>
      </c>
      <c r="K4418" s="89"/>
      <c r="L4418" s="89"/>
      <c r="M4418" s="90"/>
      <c r="N4418" s="88" t="s">
        <v>26</v>
      </c>
      <c r="O4418" s="89"/>
      <c r="P4418" s="90"/>
      <c r="Q4418" s="133">
        <v>657</v>
      </c>
      <c r="R4418" s="134"/>
      <c r="S4418" s="5" t="s">
        <v>5270</v>
      </c>
      <c r="T4418" s="8">
        <v>1040</v>
      </c>
      <c r="U4418" s="8">
        <v>4</v>
      </c>
      <c r="V4418" s="5" t="s">
        <v>23</v>
      </c>
      <c r="W4418" s="12">
        <v>2580299</v>
      </c>
      <c r="X4418" s="6"/>
      <c r="Y4418" s="6"/>
    </row>
    <row r="4419" spans="1:25" ht="15" customHeight="1" x14ac:dyDescent="0.2">
      <c r="A4419" s="88" t="s">
        <v>5267</v>
      </c>
      <c r="B4419" s="90"/>
      <c r="C4419" s="88" t="s">
        <v>5348</v>
      </c>
      <c r="D4419" s="90"/>
      <c r="E4419" s="88" t="s">
        <v>5350</v>
      </c>
      <c r="F4419" s="89"/>
      <c r="G4419" s="89"/>
      <c r="H4419" s="89"/>
      <c r="I4419" s="90"/>
      <c r="J4419" s="88" t="s">
        <v>770</v>
      </c>
      <c r="K4419" s="89"/>
      <c r="L4419" s="89"/>
      <c r="M4419" s="90"/>
      <c r="N4419" s="88" t="s">
        <v>26</v>
      </c>
      <c r="O4419" s="89"/>
      <c r="P4419" s="90"/>
      <c r="Q4419" s="133">
        <v>657</v>
      </c>
      <c r="R4419" s="134"/>
      <c r="S4419" s="5" t="s">
        <v>5270</v>
      </c>
      <c r="T4419" s="8">
        <v>1040</v>
      </c>
      <c r="U4419" s="8">
        <v>4</v>
      </c>
      <c r="V4419" s="5" t="s">
        <v>23</v>
      </c>
      <c r="W4419" s="12">
        <v>2803469</v>
      </c>
      <c r="X4419" s="6"/>
      <c r="Y4419" s="6"/>
    </row>
    <row r="4420" spans="1:25" ht="15" customHeight="1" x14ac:dyDescent="0.2">
      <c r="A4420" s="88" t="s">
        <v>5267</v>
      </c>
      <c r="B4420" s="90"/>
      <c r="C4420" s="88" t="s">
        <v>5348</v>
      </c>
      <c r="D4420" s="90"/>
      <c r="E4420" s="88" t="s">
        <v>5351</v>
      </c>
      <c r="F4420" s="89"/>
      <c r="G4420" s="89"/>
      <c r="H4420" s="89"/>
      <c r="I4420" s="90"/>
      <c r="J4420" s="88" t="s">
        <v>770</v>
      </c>
      <c r="K4420" s="89"/>
      <c r="L4420" s="89"/>
      <c r="M4420" s="90"/>
      <c r="N4420" s="88" t="s">
        <v>26</v>
      </c>
      <c r="O4420" s="89"/>
      <c r="P4420" s="90"/>
      <c r="Q4420" s="133">
        <v>657</v>
      </c>
      <c r="R4420" s="134"/>
      <c r="S4420" s="5" t="s">
        <v>5270</v>
      </c>
      <c r="T4420" s="8">
        <v>1040</v>
      </c>
      <c r="U4420" s="8">
        <v>4</v>
      </c>
      <c r="V4420" s="5" t="s">
        <v>23</v>
      </c>
      <c r="W4420" s="12">
        <v>2545255</v>
      </c>
      <c r="X4420" s="6"/>
      <c r="Y4420" s="6"/>
    </row>
    <row r="4421" spans="1:25" ht="15" customHeight="1" x14ac:dyDescent="0.2">
      <c r="A4421" s="88" t="s">
        <v>5267</v>
      </c>
      <c r="B4421" s="90"/>
      <c r="C4421" s="88" t="s">
        <v>5348</v>
      </c>
      <c r="D4421" s="90"/>
      <c r="E4421" s="88" t="s">
        <v>5352</v>
      </c>
      <c r="F4421" s="89"/>
      <c r="G4421" s="89"/>
      <c r="H4421" s="89"/>
      <c r="I4421" s="90"/>
      <c r="J4421" s="88" t="s">
        <v>770</v>
      </c>
      <c r="K4421" s="89"/>
      <c r="L4421" s="89"/>
      <c r="M4421" s="90"/>
      <c r="N4421" s="88" t="s">
        <v>26</v>
      </c>
      <c r="O4421" s="89"/>
      <c r="P4421" s="90"/>
      <c r="Q4421" s="133">
        <v>658</v>
      </c>
      <c r="R4421" s="134"/>
      <c r="S4421" s="5" t="s">
        <v>5270</v>
      </c>
      <c r="T4421" s="8">
        <v>1040</v>
      </c>
      <c r="U4421" s="8">
        <v>4</v>
      </c>
      <c r="V4421" s="5" t="s">
        <v>23</v>
      </c>
      <c r="W4421" s="12">
        <v>2858801</v>
      </c>
      <c r="X4421" s="6"/>
      <c r="Y4421" s="6"/>
    </row>
    <row r="4422" spans="1:25" ht="15" customHeight="1" x14ac:dyDescent="0.2">
      <c r="A4422" s="88" t="s">
        <v>5267</v>
      </c>
      <c r="B4422" s="90"/>
      <c r="C4422" s="88" t="s">
        <v>5353</v>
      </c>
      <c r="D4422" s="90"/>
      <c r="E4422" s="88" t="s">
        <v>5354</v>
      </c>
      <c r="F4422" s="89"/>
      <c r="G4422" s="89"/>
      <c r="H4422" s="89"/>
      <c r="I4422" s="90"/>
      <c r="J4422" s="88" t="s">
        <v>770</v>
      </c>
      <c r="K4422" s="89"/>
      <c r="L4422" s="89"/>
      <c r="M4422" s="90"/>
      <c r="N4422" s="88" t="s">
        <v>26</v>
      </c>
      <c r="O4422" s="89"/>
      <c r="P4422" s="90"/>
      <c r="Q4422" s="133">
        <v>658</v>
      </c>
      <c r="R4422" s="134"/>
      <c r="S4422" s="5" t="s">
        <v>5270</v>
      </c>
      <c r="T4422" s="8">
        <v>1020</v>
      </c>
      <c r="U4422" s="8">
        <v>4</v>
      </c>
      <c r="V4422" s="5" t="s">
        <v>23</v>
      </c>
      <c r="W4422" s="12">
        <v>2305485</v>
      </c>
      <c r="X4422" s="6"/>
      <c r="Y4422" s="6"/>
    </row>
    <row r="4423" spans="1:25" ht="15" customHeight="1" x14ac:dyDescent="0.2">
      <c r="A4423" s="88" t="s">
        <v>5267</v>
      </c>
      <c r="B4423" s="90"/>
      <c r="C4423" s="88" t="s">
        <v>5355</v>
      </c>
      <c r="D4423" s="90"/>
      <c r="E4423" s="88" t="s">
        <v>5356</v>
      </c>
      <c r="F4423" s="89"/>
      <c r="G4423" s="89"/>
      <c r="H4423" s="89"/>
      <c r="I4423" s="90"/>
      <c r="J4423" s="88" t="s">
        <v>770</v>
      </c>
      <c r="K4423" s="89"/>
      <c r="L4423" s="89"/>
      <c r="M4423" s="90"/>
      <c r="N4423" s="88" t="s">
        <v>26</v>
      </c>
      <c r="O4423" s="89"/>
      <c r="P4423" s="90"/>
      <c r="Q4423" s="133">
        <v>657</v>
      </c>
      <c r="R4423" s="134"/>
      <c r="S4423" s="5" t="s">
        <v>5270</v>
      </c>
      <c r="T4423" s="8">
        <v>1050</v>
      </c>
      <c r="U4423" s="8">
        <v>4</v>
      </c>
      <c r="V4423" s="5" t="s">
        <v>23</v>
      </c>
      <c r="W4423" s="12">
        <v>2951021</v>
      </c>
      <c r="X4423" s="6"/>
      <c r="Y4423" s="6"/>
    </row>
    <row r="4424" spans="1:25" ht="15" customHeight="1" x14ac:dyDescent="0.2">
      <c r="A4424" s="88" t="s">
        <v>5267</v>
      </c>
      <c r="B4424" s="90"/>
      <c r="C4424" s="88" t="s">
        <v>5357</v>
      </c>
      <c r="D4424" s="90"/>
      <c r="E4424" s="88" t="s">
        <v>5358</v>
      </c>
      <c r="F4424" s="89"/>
      <c r="G4424" s="89"/>
      <c r="H4424" s="89"/>
      <c r="I4424" s="90"/>
      <c r="J4424" s="88" t="s">
        <v>770</v>
      </c>
      <c r="K4424" s="89"/>
      <c r="L4424" s="89"/>
      <c r="M4424" s="90"/>
      <c r="N4424" s="88" t="s">
        <v>26</v>
      </c>
      <c r="O4424" s="89"/>
      <c r="P4424" s="90"/>
      <c r="Q4424" s="133">
        <v>658</v>
      </c>
      <c r="R4424" s="134"/>
      <c r="S4424" s="5" t="s">
        <v>5270</v>
      </c>
      <c r="T4424" s="8">
        <v>1020</v>
      </c>
      <c r="U4424" s="8">
        <v>4</v>
      </c>
      <c r="V4424" s="5" t="s">
        <v>23</v>
      </c>
      <c r="W4424" s="12">
        <v>2275783</v>
      </c>
      <c r="X4424" s="6"/>
      <c r="Y4424" s="6"/>
    </row>
    <row r="4425" spans="1:25" ht="15" customHeight="1" x14ac:dyDescent="0.2">
      <c r="A4425" s="88" t="s">
        <v>5267</v>
      </c>
      <c r="B4425" s="90"/>
      <c r="C4425" s="88" t="s">
        <v>5359</v>
      </c>
      <c r="D4425" s="90"/>
      <c r="E4425" s="88" t="s">
        <v>5360</v>
      </c>
      <c r="F4425" s="89"/>
      <c r="G4425" s="89"/>
      <c r="H4425" s="89"/>
      <c r="I4425" s="90"/>
      <c r="J4425" s="88" t="s">
        <v>770</v>
      </c>
      <c r="K4425" s="89"/>
      <c r="L4425" s="89"/>
      <c r="M4425" s="90"/>
      <c r="N4425" s="88" t="s">
        <v>22</v>
      </c>
      <c r="O4425" s="89"/>
      <c r="P4425" s="90"/>
      <c r="Q4425" s="133">
        <v>1242</v>
      </c>
      <c r="R4425" s="134"/>
      <c r="S4425" s="5" t="s">
        <v>16</v>
      </c>
      <c r="T4425" s="8">
        <v>1155</v>
      </c>
      <c r="U4425" s="8">
        <v>5</v>
      </c>
      <c r="V4425" s="5" t="s">
        <v>23</v>
      </c>
      <c r="W4425" s="12">
        <v>3131771</v>
      </c>
      <c r="X4425" s="6"/>
      <c r="Y4425" s="6"/>
    </row>
    <row r="4426" spans="1:25" ht="15" customHeight="1" x14ac:dyDescent="0.2">
      <c r="A4426" s="88" t="s">
        <v>5267</v>
      </c>
      <c r="B4426" s="90"/>
      <c r="C4426" s="88" t="s">
        <v>5359</v>
      </c>
      <c r="D4426" s="90"/>
      <c r="E4426" s="88" t="s">
        <v>5361</v>
      </c>
      <c r="F4426" s="89"/>
      <c r="G4426" s="89"/>
      <c r="H4426" s="89"/>
      <c r="I4426" s="90"/>
      <c r="J4426" s="88" t="s">
        <v>770</v>
      </c>
      <c r="K4426" s="89"/>
      <c r="L4426" s="89"/>
      <c r="M4426" s="90"/>
      <c r="N4426" s="88" t="s">
        <v>26</v>
      </c>
      <c r="O4426" s="89"/>
      <c r="P4426" s="90"/>
      <c r="Q4426" s="133">
        <v>1242</v>
      </c>
      <c r="R4426" s="134"/>
      <c r="S4426" s="5" t="s">
        <v>16</v>
      </c>
      <c r="T4426" s="8">
        <v>1155</v>
      </c>
      <c r="U4426" s="8">
        <v>5</v>
      </c>
      <c r="V4426" s="5" t="s">
        <v>23</v>
      </c>
      <c r="W4426" s="12">
        <v>3113327</v>
      </c>
      <c r="X4426" s="6"/>
      <c r="Y4426" s="6"/>
    </row>
    <row r="4427" spans="1:25" ht="15" customHeight="1" x14ac:dyDescent="0.2">
      <c r="A4427" s="88" t="s">
        <v>5267</v>
      </c>
      <c r="B4427" s="90"/>
      <c r="C4427" s="88" t="s">
        <v>5359</v>
      </c>
      <c r="D4427" s="90"/>
      <c r="E4427" s="88" t="s">
        <v>5362</v>
      </c>
      <c r="F4427" s="89"/>
      <c r="G4427" s="89"/>
      <c r="H4427" s="89"/>
      <c r="I4427" s="90"/>
      <c r="J4427" s="88" t="s">
        <v>770</v>
      </c>
      <c r="K4427" s="89"/>
      <c r="L4427" s="89"/>
      <c r="M4427" s="90"/>
      <c r="N4427" s="88" t="s">
        <v>26</v>
      </c>
      <c r="O4427" s="89"/>
      <c r="P4427" s="90"/>
      <c r="Q4427" s="133">
        <v>1242</v>
      </c>
      <c r="R4427" s="134"/>
      <c r="S4427" s="5" t="s">
        <v>16</v>
      </c>
      <c r="T4427" s="8">
        <v>1155</v>
      </c>
      <c r="U4427" s="8">
        <v>5</v>
      </c>
      <c r="V4427" s="5" t="s">
        <v>23</v>
      </c>
      <c r="W4427" s="12">
        <v>2887305</v>
      </c>
      <c r="X4427" s="6"/>
      <c r="Y4427" s="6"/>
    </row>
    <row r="4428" spans="1:25" ht="15" customHeight="1" x14ac:dyDescent="0.2">
      <c r="A4428" s="88" t="s">
        <v>5267</v>
      </c>
      <c r="B4428" s="90"/>
      <c r="C4428" s="88" t="s">
        <v>5363</v>
      </c>
      <c r="D4428" s="90"/>
      <c r="E4428" s="88" t="s">
        <v>5364</v>
      </c>
      <c r="F4428" s="89"/>
      <c r="G4428" s="89"/>
      <c r="H4428" s="89"/>
      <c r="I4428" s="90"/>
      <c r="J4428" s="88" t="s">
        <v>770</v>
      </c>
      <c r="K4428" s="89"/>
      <c r="L4428" s="89"/>
      <c r="M4428" s="90"/>
      <c r="N4428" s="88" t="s">
        <v>26</v>
      </c>
      <c r="O4428" s="89"/>
      <c r="P4428" s="90"/>
      <c r="Q4428" s="133">
        <v>1242</v>
      </c>
      <c r="R4428" s="134"/>
      <c r="S4428" s="5" t="s">
        <v>16</v>
      </c>
      <c r="T4428" s="8">
        <v>1155</v>
      </c>
      <c r="U4428" s="8">
        <v>5</v>
      </c>
      <c r="V4428" s="5" t="s">
        <v>23</v>
      </c>
      <c r="W4428" s="12">
        <v>2699513</v>
      </c>
      <c r="X4428" s="6"/>
      <c r="Y4428" s="6"/>
    </row>
    <row r="4429" spans="1:25" ht="15" customHeight="1" x14ac:dyDescent="0.2">
      <c r="A4429" s="88" t="s">
        <v>5267</v>
      </c>
      <c r="B4429" s="90"/>
      <c r="C4429" s="88" t="s">
        <v>5365</v>
      </c>
      <c r="D4429" s="90"/>
      <c r="E4429" s="88" t="s">
        <v>5366</v>
      </c>
      <c r="F4429" s="89"/>
      <c r="G4429" s="89"/>
      <c r="H4429" s="89"/>
      <c r="I4429" s="90"/>
      <c r="J4429" s="88" t="s">
        <v>963</v>
      </c>
      <c r="K4429" s="89"/>
      <c r="L4429" s="89"/>
      <c r="M4429" s="90"/>
      <c r="N4429" s="88" t="s">
        <v>26</v>
      </c>
      <c r="O4429" s="89"/>
      <c r="P4429" s="90"/>
      <c r="Q4429" s="133">
        <v>1328</v>
      </c>
      <c r="R4429" s="134"/>
      <c r="S4429" s="5" t="s">
        <v>16</v>
      </c>
      <c r="T4429" s="8">
        <v>1280</v>
      </c>
      <c r="U4429" s="8">
        <v>4</v>
      </c>
      <c r="V4429" s="5" t="s">
        <v>23</v>
      </c>
      <c r="W4429" s="12">
        <v>2598733</v>
      </c>
      <c r="X4429" s="6"/>
      <c r="Y4429" s="6"/>
    </row>
    <row r="4430" spans="1:25" ht="15" customHeight="1" x14ac:dyDescent="0.2">
      <c r="A4430" s="88" t="s">
        <v>5267</v>
      </c>
      <c r="B4430" s="90"/>
      <c r="C4430" s="88" t="s">
        <v>5367</v>
      </c>
      <c r="D4430" s="90"/>
      <c r="E4430" s="88" t="s">
        <v>5368</v>
      </c>
      <c r="F4430" s="89"/>
      <c r="G4430" s="89"/>
      <c r="H4430" s="89"/>
      <c r="I4430" s="90"/>
      <c r="J4430" s="88" t="s">
        <v>963</v>
      </c>
      <c r="K4430" s="89"/>
      <c r="L4430" s="89"/>
      <c r="M4430" s="90"/>
      <c r="N4430" s="88" t="s">
        <v>26</v>
      </c>
      <c r="O4430" s="89"/>
      <c r="P4430" s="90"/>
      <c r="Q4430" s="133">
        <v>1460</v>
      </c>
      <c r="R4430" s="134"/>
      <c r="S4430" s="5" t="s">
        <v>16</v>
      </c>
      <c r="T4430" s="8">
        <v>1290</v>
      </c>
      <c r="U4430" s="8">
        <v>4</v>
      </c>
      <c r="V4430" s="5" t="s">
        <v>23</v>
      </c>
      <c r="W4430" s="12">
        <v>3283010</v>
      </c>
      <c r="X4430" s="6"/>
      <c r="Y4430" s="6"/>
    </row>
    <row r="4431" spans="1:25" ht="15" customHeight="1" x14ac:dyDescent="0.2">
      <c r="A4431" s="88" t="s">
        <v>5267</v>
      </c>
      <c r="B4431" s="90"/>
      <c r="C4431" s="88" t="s">
        <v>5367</v>
      </c>
      <c r="D4431" s="90"/>
      <c r="E4431" s="88" t="s">
        <v>5369</v>
      </c>
      <c r="F4431" s="89"/>
      <c r="G4431" s="89"/>
      <c r="H4431" s="89"/>
      <c r="I4431" s="90"/>
      <c r="J4431" s="88" t="s">
        <v>963</v>
      </c>
      <c r="K4431" s="89"/>
      <c r="L4431" s="89"/>
      <c r="M4431" s="90"/>
      <c r="N4431" s="88" t="s">
        <v>22</v>
      </c>
      <c r="O4431" s="89"/>
      <c r="P4431" s="90"/>
      <c r="Q4431" s="133">
        <v>1460</v>
      </c>
      <c r="R4431" s="134"/>
      <c r="S4431" s="5" t="s">
        <v>16</v>
      </c>
      <c r="T4431" s="8">
        <v>1300</v>
      </c>
      <c r="U4431" s="8">
        <v>4</v>
      </c>
      <c r="V4431" s="5" t="s">
        <v>23</v>
      </c>
      <c r="W4431" s="12">
        <v>3329120</v>
      </c>
      <c r="X4431" s="6"/>
      <c r="Y4431" s="6"/>
    </row>
    <row r="4432" spans="1:25" ht="15" customHeight="1" x14ac:dyDescent="0.2">
      <c r="A4432" s="88" t="s">
        <v>5267</v>
      </c>
      <c r="B4432" s="90"/>
      <c r="C4432" s="88" t="s">
        <v>5367</v>
      </c>
      <c r="D4432" s="90"/>
      <c r="E4432" s="88" t="s">
        <v>5370</v>
      </c>
      <c r="F4432" s="89"/>
      <c r="G4432" s="89"/>
      <c r="H4432" s="89"/>
      <c r="I4432" s="90"/>
      <c r="J4432" s="88" t="s">
        <v>963</v>
      </c>
      <c r="K4432" s="89"/>
      <c r="L4432" s="89"/>
      <c r="M4432" s="90"/>
      <c r="N4432" s="88" t="s">
        <v>1296</v>
      </c>
      <c r="O4432" s="89"/>
      <c r="P4432" s="90"/>
      <c r="Q4432" s="133">
        <v>1460</v>
      </c>
      <c r="R4432" s="134"/>
      <c r="S4432" s="5" t="s">
        <v>16</v>
      </c>
      <c r="T4432" s="8">
        <v>1300</v>
      </c>
      <c r="U4432" s="8">
        <v>4</v>
      </c>
      <c r="V4432" s="5" t="s">
        <v>23</v>
      </c>
      <c r="W4432" s="12">
        <v>3495115</v>
      </c>
      <c r="X4432" s="6"/>
      <c r="Y4432" s="6"/>
    </row>
    <row r="4433" spans="1:25" ht="15" customHeight="1" x14ac:dyDescent="0.2">
      <c r="A4433" s="88" t="s">
        <v>5267</v>
      </c>
      <c r="B4433" s="90"/>
      <c r="C4433" s="88" t="s">
        <v>5367</v>
      </c>
      <c r="D4433" s="90"/>
      <c r="E4433" s="88" t="s">
        <v>5371</v>
      </c>
      <c r="F4433" s="89"/>
      <c r="G4433" s="89"/>
      <c r="H4433" s="89"/>
      <c r="I4433" s="90"/>
      <c r="J4433" s="88" t="s">
        <v>887</v>
      </c>
      <c r="K4433" s="89"/>
      <c r="L4433" s="89"/>
      <c r="M4433" s="90"/>
      <c r="N4433" s="88" t="s">
        <v>22</v>
      </c>
      <c r="O4433" s="89"/>
      <c r="P4433" s="90"/>
      <c r="Q4433" s="133">
        <v>1460</v>
      </c>
      <c r="R4433" s="134"/>
      <c r="S4433" s="5" t="s">
        <v>16</v>
      </c>
      <c r="T4433" s="8">
        <v>1310</v>
      </c>
      <c r="U4433" s="8">
        <v>4</v>
      </c>
      <c r="V4433" s="5" t="s">
        <v>23</v>
      </c>
      <c r="W4433" s="12">
        <v>3135459</v>
      </c>
      <c r="X4433" s="6"/>
      <c r="Y4433" s="6"/>
    </row>
    <row r="4434" spans="1:25" ht="15" customHeight="1" x14ac:dyDescent="0.2">
      <c r="A4434" s="88" t="s">
        <v>5267</v>
      </c>
      <c r="B4434" s="90"/>
      <c r="C4434" s="88" t="s">
        <v>5367</v>
      </c>
      <c r="D4434" s="90"/>
      <c r="E4434" s="88" t="s">
        <v>5372</v>
      </c>
      <c r="F4434" s="89"/>
      <c r="G4434" s="89"/>
      <c r="H4434" s="89"/>
      <c r="I4434" s="90"/>
      <c r="J4434" s="88" t="s">
        <v>2179</v>
      </c>
      <c r="K4434" s="89"/>
      <c r="L4434" s="89"/>
      <c r="M4434" s="90"/>
      <c r="N4434" s="88" t="s">
        <v>22</v>
      </c>
      <c r="O4434" s="89"/>
      <c r="P4434" s="90"/>
      <c r="Q4434" s="133">
        <v>1460</v>
      </c>
      <c r="R4434" s="134"/>
      <c r="S4434" s="5" t="s">
        <v>16</v>
      </c>
      <c r="T4434" s="8">
        <v>1310</v>
      </c>
      <c r="U4434" s="8">
        <v>4</v>
      </c>
      <c r="V4434" s="5" t="s">
        <v>23</v>
      </c>
      <c r="W4434" s="12">
        <v>3135459</v>
      </c>
      <c r="X4434" s="6"/>
      <c r="Y4434" s="6"/>
    </row>
    <row r="4435" spans="1:25" ht="15" customHeight="1" x14ac:dyDescent="0.2">
      <c r="A4435" s="88" t="s">
        <v>5267</v>
      </c>
      <c r="B4435" s="90"/>
      <c r="C4435" s="88" t="s">
        <v>5373</v>
      </c>
      <c r="D4435" s="90"/>
      <c r="E4435" s="88" t="s">
        <v>5374</v>
      </c>
      <c r="F4435" s="89"/>
      <c r="G4435" s="89"/>
      <c r="H4435" s="89"/>
      <c r="I4435" s="90"/>
      <c r="J4435" s="88" t="s">
        <v>963</v>
      </c>
      <c r="K4435" s="89"/>
      <c r="L4435" s="89"/>
      <c r="M4435" s="90"/>
      <c r="N4435" s="88" t="s">
        <v>22</v>
      </c>
      <c r="O4435" s="89"/>
      <c r="P4435" s="90"/>
      <c r="Q4435" s="133">
        <v>658</v>
      </c>
      <c r="R4435" s="134"/>
      <c r="S4435" s="5" t="s">
        <v>16</v>
      </c>
      <c r="T4435" s="8">
        <v>1260</v>
      </c>
      <c r="U4435" s="8">
        <v>4</v>
      </c>
      <c r="V4435" s="5" t="s">
        <v>23</v>
      </c>
      <c r="W4435" s="12">
        <v>3024796</v>
      </c>
      <c r="X4435" s="6"/>
      <c r="Y4435" s="6"/>
    </row>
    <row r="4436" spans="1:25" ht="15" customHeight="1" x14ac:dyDescent="0.2">
      <c r="A4436" s="88" t="s">
        <v>5267</v>
      </c>
      <c r="B4436" s="90"/>
      <c r="C4436" s="88" t="s">
        <v>5373</v>
      </c>
      <c r="D4436" s="90"/>
      <c r="E4436" s="88" t="s">
        <v>5374</v>
      </c>
      <c r="F4436" s="89"/>
      <c r="G4436" s="89"/>
      <c r="H4436" s="89"/>
      <c r="I4436" s="90"/>
      <c r="J4436" s="88" t="s">
        <v>887</v>
      </c>
      <c r="K4436" s="89"/>
      <c r="L4436" s="89"/>
      <c r="M4436" s="90"/>
      <c r="N4436" s="88" t="s">
        <v>22</v>
      </c>
      <c r="O4436" s="89"/>
      <c r="P4436" s="90"/>
      <c r="Q4436" s="133">
        <v>658</v>
      </c>
      <c r="R4436" s="134"/>
      <c r="S4436" s="5" t="s">
        <v>16</v>
      </c>
      <c r="T4436" s="8">
        <v>1260</v>
      </c>
      <c r="U4436" s="8">
        <v>4</v>
      </c>
      <c r="V4436" s="5" t="s">
        <v>23</v>
      </c>
      <c r="W4436" s="12">
        <v>3024796</v>
      </c>
      <c r="X4436" s="6"/>
      <c r="Y4436" s="6"/>
    </row>
    <row r="4437" spans="1:25" ht="15" customHeight="1" x14ac:dyDescent="0.2">
      <c r="A4437" s="88" t="s">
        <v>5267</v>
      </c>
      <c r="B4437" s="90"/>
      <c r="C4437" s="88" t="s">
        <v>5373</v>
      </c>
      <c r="D4437" s="90"/>
      <c r="E4437" s="88" t="s">
        <v>5375</v>
      </c>
      <c r="F4437" s="89"/>
      <c r="G4437" s="89"/>
      <c r="H4437" s="89"/>
      <c r="I4437" s="90"/>
      <c r="J4437" s="88" t="s">
        <v>963</v>
      </c>
      <c r="K4437" s="89"/>
      <c r="L4437" s="89"/>
      <c r="M4437" s="90"/>
      <c r="N4437" s="88" t="s">
        <v>22</v>
      </c>
      <c r="O4437" s="89"/>
      <c r="P4437" s="90"/>
      <c r="Q4437" s="133">
        <v>658</v>
      </c>
      <c r="R4437" s="134"/>
      <c r="S4437" s="5" t="s">
        <v>16</v>
      </c>
      <c r="T4437" s="8">
        <v>1260</v>
      </c>
      <c r="U4437" s="8">
        <v>4</v>
      </c>
      <c r="V4437" s="5" t="s">
        <v>23</v>
      </c>
      <c r="W4437" s="12">
        <v>3190791</v>
      </c>
      <c r="X4437" s="6"/>
      <c r="Y4437" s="6"/>
    </row>
    <row r="4438" spans="1:25" ht="15" customHeight="1" x14ac:dyDescent="0.2">
      <c r="A4438" s="88" t="s">
        <v>5267</v>
      </c>
      <c r="B4438" s="90"/>
      <c r="C4438" s="88" t="s">
        <v>5373</v>
      </c>
      <c r="D4438" s="90"/>
      <c r="E4438" s="88" t="s">
        <v>5376</v>
      </c>
      <c r="F4438" s="89"/>
      <c r="G4438" s="89"/>
      <c r="H4438" s="89"/>
      <c r="I4438" s="90"/>
      <c r="J4438" s="88" t="s">
        <v>887</v>
      </c>
      <c r="K4438" s="89"/>
      <c r="L4438" s="89"/>
      <c r="M4438" s="90"/>
      <c r="N4438" s="88" t="s">
        <v>22</v>
      </c>
      <c r="O4438" s="89"/>
      <c r="P4438" s="90"/>
      <c r="Q4438" s="133">
        <v>658</v>
      </c>
      <c r="R4438" s="134"/>
      <c r="S4438" s="5" t="s">
        <v>16</v>
      </c>
      <c r="T4438" s="8">
        <v>1040</v>
      </c>
      <c r="U4438" s="8">
        <v>4</v>
      </c>
      <c r="V4438" s="5" t="s">
        <v>23</v>
      </c>
      <c r="W4438" s="12">
        <v>2858801</v>
      </c>
      <c r="X4438" s="6"/>
      <c r="Y4438" s="6"/>
    </row>
    <row r="4439" spans="1:25" ht="15" customHeight="1" x14ac:dyDescent="0.2">
      <c r="A4439" s="88" t="s">
        <v>5267</v>
      </c>
      <c r="B4439" s="90"/>
      <c r="C4439" s="88" t="s">
        <v>5373</v>
      </c>
      <c r="D4439" s="90"/>
      <c r="E4439" s="88" t="s">
        <v>5376</v>
      </c>
      <c r="F4439" s="89"/>
      <c r="G4439" s="89"/>
      <c r="H4439" s="89"/>
      <c r="I4439" s="90"/>
      <c r="J4439" s="88" t="s">
        <v>887</v>
      </c>
      <c r="K4439" s="89"/>
      <c r="L4439" s="89"/>
      <c r="M4439" s="90"/>
      <c r="N4439" s="88" t="s">
        <v>26</v>
      </c>
      <c r="O4439" s="89"/>
      <c r="P4439" s="90"/>
      <c r="Q4439" s="133">
        <v>658</v>
      </c>
      <c r="R4439" s="134"/>
      <c r="S4439" s="5" t="s">
        <v>16</v>
      </c>
      <c r="T4439" s="8">
        <v>1260</v>
      </c>
      <c r="U4439" s="8">
        <v>4</v>
      </c>
      <c r="V4439" s="5" t="s">
        <v>23</v>
      </c>
      <c r="W4439" s="12">
        <v>3227679</v>
      </c>
      <c r="X4439" s="6"/>
      <c r="Y4439" s="6"/>
    </row>
    <row r="4440" spans="1:25" ht="15" customHeight="1" x14ac:dyDescent="0.2">
      <c r="A4440" s="88" t="s">
        <v>5267</v>
      </c>
      <c r="B4440" s="90"/>
      <c r="C4440" s="88" t="s">
        <v>5373</v>
      </c>
      <c r="D4440" s="90"/>
      <c r="E4440" s="88" t="s">
        <v>5377</v>
      </c>
      <c r="F4440" s="89"/>
      <c r="G4440" s="89"/>
      <c r="H4440" s="89"/>
      <c r="I4440" s="90"/>
      <c r="J4440" s="88" t="s">
        <v>770</v>
      </c>
      <c r="K4440" s="89"/>
      <c r="L4440" s="89"/>
      <c r="M4440" s="90"/>
      <c r="N4440" s="88" t="s">
        <v>26</v>
      </c>
      <c r="O4440" s="89"/>
      <c r="P4440" s="90"/>
      <c r="Q4440" s="133">
        <v>657</v>
      </c>
      <c r="R4440" s="134"/>
      <c r="S4440" s="5" t="s">
        <v>16</v>
      </c>
      <c r="T4440" s="8">
        <v>1040</v>
      </c>
      <c r="U4440" s="8">
        <v>4</v>
      </c>
      <c r="V4440" s="5" t="s">
        <v>23</v>
      </c>
      <c r="W4440" s="12">
        <v>2545255</v>
      </c>
      <c r="X4440" s="6"/>
      <c r="Y4440" s="6"/>
    </row>
    <row r="4441" spans="1:25" ht="15" customHeight="1" x14ac:dyDescent="0.2">
      <c r="A4441" s="88" t="s">
        <v>5267</v>
      </c>
      <c r="B4441" s="90"/>
      <c r="C4441" s="88" t="s">
        <v>5373</v>
      </c>
      <c r="D4441" s="90"/>
      <c r="E4441" s="88" t="s">
        <v>5378</v>
      </c>
      <c r="F4441" s="89"/>
      <c r="G4441" s="89"/>
      <c r="H4441" s="89"/>
      <c r="I4441" s="90"/>
      <c r="J4441" s="88" t="s">
        <v>963</v>
      </c>
      <c r="K4441" s="89"/>
      <c r="L4441" s="89"/>
      <c r="M4441" s="90"/>
      <c r="N4441" s="88" t="s">
        <v>26</v>
      </c>
      <c r="O4441" s="89"/>
      <c r="P4441" s="90"/>
      <c r="Q4441" s="133">
        <v>658</v>
      </c>
      <c r="R4441" s="134"/>
      <c r="S4441" s="5" t="s">
        <v>16</v>
      </c>
      <c r="T4441" s="8">
        <v>1210</v>
      </c>
      <c r="U4441" s="8">
        <v>4</v>
      </c>
      <c r="V4441" s="5" t="s">
        <v>23</v>
      </c>
      <c r="W4441" s="12">
        <v>2358203</v>
      </c>
      <c r="X4441" s="6"/>
      <c r="Y4441" s="6"/>
    </row>
    <row r="4442" spans="1:25" ht="15" customHeight="1" x14ac:dyDescent="0.2">
      <c r="A4442" s="88" t="s">
        <v>5267</v>
      </c>
      <c r="B4442" s="90"/>
      <c r="C4442" s="88" t="s">
        <v>5373</v>
      </c>
      <c r="D4442" s="90"/>
      <c r="E4442" s="88" t="s">
        <v>5376</v>
      </c>
      <c r="F4442" s="89"/>
      <c r="G4442" s="89"/>
      <c r="H4442" s="89"/>
      <c r="I4442" s="90"/>
      <c r="J4442" s="88" t="s">
        <v>887</v>
      </c>
      <c r="K4442" s="89"/>
      <c r="L4442" s="89"/>
      <c r="M4442" s="90"/>
      <c r="N4442" s="88" t="s">
        <v>22</v>
      </c>
      <c r="O4442" s="89"/>
      <c r="P4442" s="90"/>
      <c r="Q4442" s="133">
        <v>658</v>
      </c>
      <c r="R4442" s="134"/>
      <c r="S4442" s="5" t="s">
        <v>16</v>
      </c>
      <c r="T4442" s="8">
        <v>1260</v>
      </c>
      <c r="U4442" s="8">
        <v>4</v>
      </c>
      <c r="V4442" s="5" t="s">
        <v>23</v>
      </c>
      <c r="W4442" s="12">
        <v>2858801</v>
      </c>
      <c r="X4442" s="6"/>
      <c r="Y4442" s="6"/>
    </row>
    <row r="4443" spans="1:25" ht="15" customHeight="1" x14ac:dyDescent="0.2">
      <c r="A4443" s="88" t="s">
        <v>5267</v>
      </c>
      <c r="B4443" s="90"/>
      <c r="C4443" s="88" t="s">
        <v>5379</v>
      </c>
      <c r="D4443" s="90"/>
      <c r="E4443" s="88" t="s">
        <v>5380</v>
      </c>
      <c r="F4443" s="89"/>
      <c r="G4443" s="89"/>
      <c r="H4443" s="89"/>
      <c r="I4443" s="90"/>
      <c r="J4443" s="88" t="s">
        <v>770</v>
      </c>
      <c r="K4443" s="89"/>
      <c r="L4443" s="89"/>
      <c r="M4443" s="90"/>
      <c r="N4443" s="88" t="s">
        <v>26</v>
      </c>
      <c r="O4443" s="89"/>
      <c r="P4443" s="90"/>
      <c r="Q4443" s="133">
        <v>1997</v>
      </c>
      <c r="R4443" s="134"/>
      <c r="S4443" s="5" t="s">
        <v>1101</v>
      </c>
      <c r="T4443" s="8">
        <v>2130</v>
      </c>
      <c r="U4443" s="8">
        <v>8</v>
      </c>
      <c r="V4443" s="5" t="s">
        <v>23</v>
      </c>
      <c r="W4443" s="12">
        <v>4797854</v>
      </c>
      <c r="X4443" s="6"/>
      <c r="Y4443" s="6"/>
    </row>
    <row r="4444" spans="1:25" ht="15" customHeight="1" x14ac:dyDescent="0.2">
      <c r="A4444" s="88" t="s">
        <v>5267</v>
      </c>
      <c r="B4444" s="90"/>
      <c r="C4444" s="88" t="s">
        <v>5379</v>
      </c>
      <c r="D4444" s="90"/>
      <c r="E4444" s="88" t="s">
        <v>5381</v>
      </c>
      <c r="F4444" s="89"/>
      <c r="G4444" s="89"/>
      <c r="H4444" s="89"/>
      <c r="I4444" s="90"/>
      <c r="J4444" s="88" t="s">
        <v>770</v>
      </c>
      <c r="K4444" s="89"/>
      <c r="L4444" s="89"/>
      <c r="M4444" s="90"/>
      <c r="N4444" s="88" t="s">
        <v>26</v>
      </c>
      <c r="O4444" s="89"/>
      <c r="P4444" s="90"/>
      <c r="Q4444" s="133">
        <v>1997</v>
      </c>
      <c r="R4444" s="134"/>
      <c r="S4444" s="5" t="s">
        <v>1101</v>
      </c>
      <c r="T4444" s="8">
        <v>2140</v>
      </c>
      <c r="U4444" s="8">
        <v>8</v>
      </c>
      <c r="V4444" s="5" t="s">
        <v>23</v>
      </c>
      <c r="W4444" s="12">
        <v>5009190</v>
      </c>
      <c r="X4444" s="6"/>
      <c r="Y4444" s="6"/>
    </row>
    <row r="4445" spans="1:25" ht="15" customHeight="1" x14ac:dyDescent="0.2">
      <c r="A4445" s="88" t="s">
        <v>5267</v>
      </c>
      <c r="B4445" s="90"/>
      <c r="C4445" s="88" t="s">
        <v>5382</v>
      </c>
      <c r="D4445" s="90"/>
      <c r="E4445" s="88" t="s">
        <v>5383</v>
      </c>
      <c r="F4445" s="89"/>
      <c r="G4445" s="89"/>
      <c r="H4445" s="89"/>
      <c r="I4445" s="90"/>
      <c r="J4445" s="88" t="s">
        <v>770</v>
      </c>
      <c r="K4445" s="89"/>
      <c r="L4445" s="89"/>
      <c r="M4445" s="90"/>
      <c r="N4445" s="88" t="s">
        <v>22</v>
      </c>
      <c r="O4445" s="89"/>
      <c r="P4445" s="90"/>
      <c r="Q4445" s="133">
        <v>1797</v>
      </c>
      <c r="R4445" s="134"/>
      <c r="S4445" s="5" t="s">
        <v>1101</v>
      </c>
      <c r="T4445" s="8">
        <v>2035</v>
      </c>
      <c r="U4445" s="8">
        <v>7</v>
      </c>
      <c r="V4445" s="5" t="s">
        <v>23</v>
      </c>
      <c r="W4445" s="12">
        <v>6026921</v>
      </c>
      <c r="X4445" s="6"/>
      <c r="Y4445" s="6"/>
    </row>
    <row r="4446" spans="1:25" ht="15" customHeight="1" x14ac:dyDescent="0.2">
      <c r="A4446" s="88" t="s">
        <v>5267</v>
      </c>
      <c r="B4446" s="90"/>
      <c r="C4446" s="88" t="s">
        <v>5382</v>
      </c>
      <c r="D4446" s="90"/>
      <c r="E4446" s="88" t="s">
        <v>5383</v>
      </c>
      <c r="F4446" s="89"/>
      <c r="G4446" s="89"/>
      <c r="H4446" s="89"/>
      <c r="I4446" s="90"/>
      <c r="J4446" s="88" t="s">
        <v>770</v>
      </c>
      <c r="K4446" s="89"/>
      <c r="L4446" s="89"/>
      <c r="M4446" s="90"/>
      <c r="N4446" s="88" t="s">
        <v>26</v>
      </c>
      <c r="O4446" s="89"/>
      <c r="P4446" s="90"/>
      <c r="Q4446" s="133">
        <v>1797</v>
      </c>
      <c r="R4446" s="134"/>
      <c r="S4446" s="5" t="s">
        <v>1101</v>
      </c>
      <c r="T4446" s="8">
        <v>2035</v>
      </c>
      <c r="U4446" s="8">
        <v>7</v>
      </c>
      <c r="V4446" s="5" t="s">
        <v>23</v>
      </c>
      <c r="W4446" s="12">
        <v>6026921</v>
      </c>
      <c r="X4446" s="6"/>
      <c r="Y4446" s="6"/>
    </row>
    <row r="4447" spans="1:25" ht="15" customHeight="1" x14ac:dyDescent="0.2">
      <c r="A4447" s="88" t="s">
        <v>5267</v>
      </c>
      <c r="B4447" s="90"/>
      <c r="C4447" s="88" t="s">
        <v>5384</v>
      </c>
      <c r="D4447" s="90"/>
      <c r="E4447" s="88" t="s">
        <v>5385</v>
      </c>
      <c r="F4447" s="89"/>
      <c r="G4447" s="89"/>
      <c r="H4447" s="89"/>
      <c r="I4447" s="90"/>
      <c r="J4447" s="88" t="s">
        <v>770</v>
      </c>
      <c r="K4447" s="89"/>
      <c r="L4447" s="89"/>
      <c r="M4447" s="90"/>
      <c r="N4447" s="88" t="s">
        <v>26</v>
      </c>
      <c r="O4447" s="89"/>
      <c r="P4447" s="90"/>
      <c r="Q4447" s="133">
        <v>658</v>
      </c>
      <c r="R4447" s="134"/>
      <c r="S4447" s="5" t="s">
        <v>5270</v>
      </c>
      <c r="T4447" s="8">
        <v>900</v>
      </c>
      <c r="U4447" s="8">
        <v>4</v>
      </c>
      <c r="V4447" s="5" t="s">
        <v>23</v>
      </c>
      <c r="W4447" s="12">
        <v>2720472</v>
      </c>
      <c r="X4447" s="6"/>
      <c r="Y4447" s="6"/>
    </row>
    <row r="4448" spans="1:25" ht="15" customHeight="1" x14ac:dyDescent="0.2">
      <c r="A4448" s="88" t="s">
        <v>5267</v>
      </c>
      <c r="B4448" s="90"/>
      <c r="C4448" s="88" t="s">
        <v>5386</v>
      </c>
      <c r="D4448" s="90"/>
      <c r="E4448" s="88" t="s">
        <v>5387</v>
      </c>
      <c r="F4448" s="89"/>
      <c r="G4448" s="89"/>
      <c r="H4448" s="89"/>
      <c r="I4448" s="90"/>
      <c r="J4448" s="88" t="s">
        <v>770</v>
      </c>
      <c r="K4448" s="89"/>
      <c r="L4448" s="89"/>
      <c r="M4448" s="90"/>
      <c r="N4448" s="88" t="s">
        <v>22</v>
      </c>
      <c r="O4448" s="89"/>
      <c r="P4448" s="90"/>
      <c r="Q4448" s="133">
        <v>658</v>
      </c>
      <c r="R4448" s="134"/>
      <c r="S4448" s="5" t="s">
        <v>5270</v>
      </c>
      <c r="T4448" s="8">
        <v>900</v>
      </c>
      <c r="U4448" s="8">
        <v>4</v>
      </c>
      <c r="V4448" s="5" t="s">
        <v>23</v>
      </c>
      <c r="W4448" s="12">
        <v>2591365</v>
      </c>
      <c r="X4448" s="6"/>
      <c r="Y4448" s="6"/>
    </row>
    <row r="4449" spans="1:25" ht="15" customHeight="1" x14ac:dyDescent="0.2">
      <c r="A4449" s="88" t="s">
        <v>5267</v>
      </c>
      <c r="B4449" s="90"/>
      <c r="C4449" s="88" t="s">
        <v>5386</v>
      </c>
      <c r="D4449" s="90"/>
      <c r="E4449" s="88" t="s">
        <v>5387</v>
      </c>
      <c r="F4449" s="89"/>
      <c r="G4449" s="89"/>
      <c r="H4449" s="89"/>
      <c r="I4449" s="90"/>
      <c r="J4449" s="88" t="s">
        <v>963</v>
      </c>
      <c r="K4449" s="89"/>
      <c r="L4449" s="89"/>
      <c r="M4449" s="90"/>
      <c r="N4449" s="88" t="s">
        <v>22</v>
      </c>
      <c r="O4449" s="89"/>
      <c r="P4449" s="90"/>
      <c r="Q4449" s="133">
        <v>658</v>
      </c>
      <c r="R4449" s="134"/>
      <c r="S4449" s="5" t="s">
        <v>5270</v>
      </c>
      <c r="T4449" s="8">
        <v>900</v>
      </c>
      <c r="U4449" s="8">
        <v>4</v>
      </c>
      <c r="V4449" s="5" t="s">
        <v>23</v>
      </c>
      <c r="W4449" s="12">
        <v>2591365</v>
      </c>
      <c r="X4449" s="6"/>
      <c r="Y4449" s="6"/>
    </row>
    <row r="4450" spans="1:25" ht="15" customHeight="1" x14ac:dyDescent="0.2">
      <c r="A4450" s="88" t="s">
        <v>5267</v>
      </c>
      <c r="B4450" s="90"/>
      <c r="C4450" s="88" t="s">
        <v>5388</v>
      </c>
      <c r="D4450" s="90"/>
      <c r="E4450" s="88" t="s">
        <v>5389</v>
      </c>
      <c r="F4450" s="89"/>
      <c r="G4450" s="89"/>
      <c r="H4450" s="89"/>
      <c r="I4450" s="90"/>
      <c r="J4450" s="88" t="s">
        <v>770</v>
      </c>
      <c r="K4450" s="89"/>
      <c r="L4450" s="89"/>
      <c r="M4450" s="90"/>
      <c r="N4450" s="88" t="s">
        <v>22</v>
      </c>
      <c r="O4450" s="89"/>
      <c r="P4450" s="90"/>
      <c r="Q4450" s="133">
        <v>658</v>
      </c>
      <c r="R4450" s="134"/>
      <c r="S4450" s="5" t="s">
        <v>5270</v>
      </c>
      <c r="T4450" s="8">
        <v>900</v>
      </c>
      <c r="U4450" s="8">
        <v>4</v>
      </c>
      <c r="V4450" s="5" t="s">
        <v>23</v>
      </c>
      <c r="W4450" s="12">
        <v>2508367</v>
      </c>
      <c r="X4450" s="6"/>
      <c r="Y4450" s="6"/>
    </row>
    <row r="4451" spans="1:25" ht="15" customHeight="1" x14ac:dyDescent="0.2">
      <c r="A4451" s="88" t="s">
        <v>5267</v>
      </c>
      <c r="B4451" s="90"/>
      <c r="C4451" s="88" t="s">
        <v>5388</v>
      </c>
      <c r="D4451" s="90"/>
      <c r="E4451" s="88" t="s">
        <v>5390</v>
      </c>
      <c r="F4451" s="89"/>
      <c r="G4451" s="89"/>
      <c r="H4451" s="89"/>
      <c r="I4451" s="90"/>
      <c r="J4451" s="88" t="s">
        <v>770</v>
      </c>
      <c r="K4451" s="89"/>
      <c r="L4451" s="89"/>
      <c r="M4451" s="90"/>
      <c r="N4451" s="88" t="s">
        <v>26</v>
      </c>
      <c r="O4451" s="89"/>
      <c r="P4451" s="90"/>
      <c r="Q4451" s="133">
        <v>658</v>
      </c>
      <c r="R4451" s="134"/>
      <c r="S4451" s="5" t="s">
        <v>5270</v>
      </c>
      <c r="T4451" s="8">
        <v>900</v>
      </c>
      <c r="U4451" s="8">
        <v>4</v>
      </c>
      <c r="V4451" s="5" t="s">
        <v>23</v>
      </c>
      <c r="W4451" s="12">
        <v>2637475</v>
      </c>
      <c r="X4451" s="6"/>
      <c r="Y4451" s="6"/>
    </row>
    <row r="4452" spans="1:25" ht="15" customHeight="1" x14ac:dyDescent="0.2">
      <c r="A4452" s="88" t="s">
        <v>5267</v>
      </c>
      <c r="B4452" s="90"/>
      <c r="C4452" s="88" t="s">
        <v>5388</v>
      </c>
      <c r="D4452" s="90"/>
      <c r="E4452" s="88" t="s">
        <v>5391</v>
      </c>
      <c r="F4452" s="89"/>
      <c r="G4452" s="89"/>
      <c r="H4452" s="89"/>
      <c r="I4452" s="90"/>
      <c r="J4452" s="88" t="s">
        <v>770</v>
      </c>
      <c r="K4452" s="89"/>
      <c r="L4452" s="89"/>
      <c r="M4452" s="90"/>
      <c r="N4452" s="88" t="s">
        <v>26</v>
      </c>
      <c r="O4452" s="89"/>
      <c r="P4452" s="90"/>
      <c r="Q4452" s="133">
        <v>658</v>
      </c>
      <c r="R4452" s="134"/>
      <c r="S4452" s="5" t="s">
        <v>5270</v>
      </c>
      <c r="T4452" s="8">
        <v>900</v>
      </c>
      <c r="U4452" s="8">
        <v>4</v>
      </c>
      <c r="V4452" s="5" t="s">
        <v>23</v>
      </c>
      <c r="W4452" s="12">
        <v>2191468</v>
      </c>
      <c r="X4452" s="6"/>
      <c r="Y4452" s="6"/>
    </row>
    <row r="4453" spans="1:25" ht="15" customHeight="1" x14ac:dyDescent="0.2">
      <c r="A4453" s="88" t="s">
        <v>5267</v>
      </c>
      <c r="B4453" s="90"/>
      <c r="C4453" s="88" t="s">
        <v>5388</v>
      </c>
      <c r="D4453" s="90"/>
      <c r="E4453" s="88" t="s">
        <v>5392</v>
      </c>
      <c r="F4453" s="89"/>
      <c r="G4453" s="89"/>
      <c r="H4453" s="89"/>
      <c r="I4453" s="90"/>
      <c r="J4453" s="88" t="s">
        <v>770</v>
      </c>
      <c r="K4453" s="89"/>
      <c r="L4453" s="89"/>
      <c r="M4453" s="90"/>
      <c r="N4453" s="88" t="s">
        <v>26</v>
      </c>
      <c r="O4453" s="89"/>
      <c r="P4453" s="90"/>
      <c r="Q4453" s="133">
        <v>658</v>
      </c>
      <c r="R4453" s="134"/>
      <c r="S4453" s="5" t="s">
        <v>5270</v>
      </c>
      <c r="T4453" s="8">
        <v>900</v>
      </c>
      <c r="U4453" s="8">
        <v>4</v>
      </c>
      <c r="V4453" s="5" t="s">
        <v>23</v>
      </c>
      <c r="W4453" s="12">
        <v>2429059</v>
      </c>
      <c r="X4453" s="6"/>
      <c r="Y4453" s="6"/>
    </row>
    <row r="4454" spans="1:25" ht="15" customHeight="1" x14ac:dyDescent="0.2">
      <c r="A4454" s="88" t="s">
        <v>5267</v>
      </c>
      <c r="B4454" s="90"/>
      <c r="C4454" s="88" t="s">
        <v>5388</v>
      </c>
      <c r="D4454" s="90"/>
      <c r="E4454" s="88" t="s">
        <v>5393</v>
      </c>
      <c r="F4454" s="89"/>
      <c r="G4454" s="89"/>
      <c r="H4454" s="89"/>
      <c r="I4454" s="90"/>
      <c r="J4454" s="88" t="s">
        <v>770</v>
      </c>
      <c r="K4454" s="89"/>
      <c r="L4454" s="89"/>
      <c r="M4454" s="90"/>
      <c r="N4454" s="88" t="s">
        <v>26</v>
      </c>
      <c r="O4454" s="89"/>
      <c r="P4454" s="90"/>
      <c r="Q4454" s="133">
        <v>658</v>
      </c>
      <c r="R4454" s="134"/>
      <c r="S4454" s="5" t="s">
        <v>5270</v>
      </c>
      <c r="T4454" s="8">
        <v>900</v>
      </c>
      <c r="U4454" s="8">
        <v>4</v>
      </c>
      <c r="V4454" s="5" t="s">
        <v>23</v>
      </c>
      <c r="W4454" s="12">
        <v>2288718</v>
      </c>
      <c r="X4454" s="6"/>
      <c r="Y4454" s="6"/>
    </row>
    <row r="4455" spans="1:25" ht="15" customHeight="1" x14ac:dyDescent="0.2">
      <c r="A4455" s="88" t="s">
        <v>5267</v>
      </c>
      <c r="B4455" s="90"/>
      <c r="C4455" s="88" t="s">
        <v>5388</v>
      </c>
      <c r="D4455" s="90"/>
      <c r="E4455" s="88" t="s">
        <v>5394</v>
      </c>
      <c r="F4455" s="89"/>
      <c r="G4455" s="89"/>
      <c r="H4455" s="89"/>
      <c r="I4455" s="90"/>
      <c r="J4455" s="88" t="s">
        <v>770</v>
      </c>
      <c r="K4455" s="89"/>
      <c r="L4455" s="89"/>
      <c r="M4455" s="90"/>
      <c r="N4455" s="88" t="s">
        <v>26</v>
      </c>
      <c r="O4455" s="89"/>
      <c r="P4455" s="90"/>
      <c r="Q4455" s="133">
        <v>658</v>
      </c>
      <c r="R4455" s="134"/>
      <c r="S4455" s="5" t="s">
        <v>5270</v>
      </c>
      <c r="T4455" s="8">
        <v>900</v>
      </c>
      <c r="U4455" s="8">
        <v>4</v>
      </c>
      <c r="V4455" s="5" t="s">
        <v>23</v>
      </c>
      <c r="W4455" s="12">
        <v>2157934</v>
      </c>
      <c r="X4455" s="6"/>
      <c r="Y4455" s="6"/>
    </row>
    <row r="4456" spans="1:25" ht="15" customHeight="1" x14ac:dyDescent="0.2">
      <c r="A4456" s="88" t="s">
        <v>5267</v>
      </c>
      <c r="B4456" s="90"/>
      <c r="C4456" s="88" t="s">
        <v>5395</v>
      </c>
      <c r="D4456" s="90"/>
      <c r="E4456" s="88" t="s">
        <v>5396</v>
      </c>
      <c r="F4456" s="89"/>
      <c r="G4456" s="89"/>
      <c r="H4456" s="89"/>
      <c r="I4456" s="90"/>
      <c r="J4456" s="88" t="s">
        <v>963</v>
      </c>
      <c r="K4456" s="89"/>
      <c r="L4456" s="89"/>
      <c r="M4456" s="90"/>
      <c r="N4456" s="88" t="s">
        <v>26</v>
      </c>
      <c r="O4456" s="89"/>
      <c r="P4456" s="90"/>
      <c r="Q4456" s="133">
        <v>658</v>
      </c>
      <c r="R4456" s="134"/>
      <c r="S4456" s="5" t="s">
        <v>814</v>
      </c>
      <c r="T4456" s="8">
        <v>1360</v>
      </c>
      <c r="U4456" s="5" t="s">
        <v>964</v>
      </c>
      <c r="V4456" s="8">
        <v>40</v>
      </c>
      <c r="W4456" s="12">
        <v>1596873</v>
      </c>
      <c r="X4456" s="6"/>
      <c r="Y4456" s="6"/>
    </row>
    <row r="4457" spans="1:25" ht="15" customHeight="1" x14ac:dyDescent="0.2">
      <c r="A4457" s="88" t="s">
        <v>5267</v>
      </c>
      <c r="B4457" s="90"/>
      <c r="C4457" s="88" t="s">
        <v>5232</v>
      </c>
      <c r="D4457" s="90"/>
      <c r="E4457" s="88" t="s">
        <v>5227</v>
      </c>
      <c r="F4457" s="89"/>
      <c r="G4457" s="89"/>
      <c r="H4457" s="89"/>
      <c r="I4457" s="90"/>
      <c r="J4457" s="88" t="s">
        <v>22</v>
      </c>
      <c r="K4457" s="89"/>
      <c r="L4457" s="89"/>
      <c r="M4457" s="90"/>
      <c r="N4457" s="88" t="s">
        <v>770</v>
      </c>
      <c r="O4457" s="89"/>
      <c r="P4457" s="90"/>
      <c r="Q4457" s="133">
        <v>658</v>
      </c>
      <c r="R4457" s="134"/>
      <c r="S4457" s="5" t="s">
        <v>945</v>
      </c>
      <c r="T4457" s="8">
        <v>1320</v>
      </c>
      <c r="U4457" s="8">
        <v>2</v>
      </c>
      <c r="V4457" s="6"/>
      <c r="W4457" s="12">
        <v>2351594</v>
      </c>
      <c r="X4457" s="6"/>
      <c r="Y4457" s="6"/>
    </row>
    <row r="4458" spans="1:25" ht="15" customHeight="1" x14ac:dyDescent="0.2">
      <c r="A4458" s="88" t="s">
        <v>5267</v>
      </c>
      <c r="B4458" s="90"/>
      <c r="C4458" s="88" t="s">
        <v>5237</v>
      </c>
      <c r="D4458" s="90"/>
      <c r="E4458" s="88" t="s">
        <v>5397</v>
      </c>
      <c r="F4458" s="89"/>
      <c r="G4458" s="89"/>
      <c r="H4458" s="89"/>
      <c r="I4458" s="90"/>
      <c r="J4458" s="88" t="s">
        <v>5277</v>
      </c>
      <c r="K4458" s="89"/>
      <c r="L4458" s="89"/>
      <c r="M4458" s="90"/>
      <c r="N4458" s="88" t="s">
        <v>26</v>
      </c>
      <c r="O4458" s="89"/>
      <c r="P4458" s="90"/>
      <c r="Q4458" s="133">
        <v>658</v>
      </c>
      <c r="R4458" s="134"/>
      <c r="S4458" s="5" t="s">
        <v>814</v>
      </c>
      <c r="T4458" s="5" t="s">
        <v>5398</v>
      </c>
      <c r="U4458" s="5" t="s">
        <v>964</v>
      </c>
      <c r="V4458" s="8">
        <v>37</v>
      </c>
      <c r="W4458" s="12">
        <v>1740431</v>
      </c>
      <c r="X4458" s="6"/>
      <c r="Y4458" s="6"/>
    </row>
    <row r="4459" spans="1:25" ht="15" customHeight="1" x14ac:dyDescent="0.2">
      <c r="A4459" s="88" t="s">
        <v>5267</v>
      </c>
      <c r="B4459" s="90"/>
      <c r="C4459" s="88" t="s">
        <v>5399</v>
      </c>
      <c r="D4459" s="90"/>
      <c r="E4459" s="88" t="s">
        <v>5400</v>
      </c>
      <c r="F4459" s="89"/>
      <c r="G4459" s="89"/>
      <c r="H4459" s="89"/>
      <c r="I4459" s="90"/>
      <c r="J4459" s="88" t="s">
        <v>770</v>
      </c>
      <c r="K4459" s="89"/>
      <c r="L4459" s="89"/>
      <c r="M4459" s="90"/>
      <c r="N4459" s="88" t="s">
        <v>26</v>
      </c>
      <c r="O4459" s="89"/>
      <c r="P4459" s="90"/>
      <c r="Q4459" s="133">
        <v>1242</v>
      </c>
      <c r="R4459" s="134"/>
      <c r="S4459" s="5" t="s">
        <v>1101</v>
      </c>
      <c r="T4459" s="8">
        <v>1275</v>
      </c>
      <c r="U4459" s="8">
        <v>5</v>
      </c>
      <c r="V4459" s="5" t="s">
        <v>23</v>
      </c>
      <c r="W4459" s="12">
        <v>3364163</v>
      </c>
      <c r="X4459" s="6"/>
      <c r="Y4459" s="6"/>
    </row>
    <row r="4460" spans="1:25" ht="15" customHeight="1" x14ac:dyDescent="0.2">
      <c r="A4460" s="88" t="s">
        <v>5267</v>
      </c>
      <c r="B4460" s="90"/>
      <c r="C4460" s="88" t="s">
        <v>5399</v>
      </c>
      <c r="D4460" s="90"/>
      <c r="E4460" s="88" t="s">
        <v>5401</v>
      </c>
      <c r="F4460" s="89"/>
      <c r="G4460" s="89"/>
      <c r="H4460" s="89"/>
      <c r="I4460" s="90"/>
      <c r="J4460" s="88" t="s">
        <v>770</v>
      </c>
      <c r="K4460" s="89"/>
      <c r="L4460" s="89"/>
      <c r="M4460" s="90"/>
      <c r="N4460" s="88" t="s">
        <v>26</v>
      </c>
      <c r="O4460" s="89"/>
      <c r="P4460" s="90"/>
      <c r="Q4460" s="133">
        <v>1242</v>
      </c>
      <c r="R4460" s="134"/>
      <c r="S4460" s="5" t="s">
        <v>1101</v>
      </c>
      <c r="T4460" s="8">
        <v>1225</v>
      </c>
      <c r="U4460" s="8">
        <v>5</v>
      </c>
      <c r="V4460" s="5" t="s">
        <v>23</v>
      </c>
      <c r="W4460" s="12">
        <v>3090188</v>
      </c>
      <c r="X4460" s="6"/>
      <c r="Y4460" s="6"/>
    </row>
    <row r="4461" spans="1:25" ht="15" customHeight="1" x14ac:dyDescent="0.2">
      <c r="A4461" s="88" t="s">
        <v>5267</v>
      </c>
      <c r="B4461" s="90"/>
      <c r="C4461" s="88" t="s">
        <v>5402</v>
      </c>
      <c r="D4461" s="90"/>
      <c r="E4461" s="88" t="s">
        <v>5403</v>
      </c>
      <c r="F4461" s="89"/>
      <c r="G4461" s="89"/>
      <c r="H4461" s="89"/>
      <c r="I4461" s="90"/>
      <c r="J4461" s="88" t="s">
        <v>770</v>
      </c>
      <c r="K4461" s="89"/>
      <c r="L4461" s="89"/>
      <c r="M4461" s="90"/>
      <c r="N4461" s="88" t="s">
        <v>1296</v>
      </c>
      <c r="O4461" s="89"/>
      <c r="P4461" s="90"/>
      <c r="Q4461" s="133">
        <v>1242</v>
      </c>
      <c r="R4461" s="134"/>
      <c r="S4461" s="5" t="s">
        <v>1101</v>
      </c>
      <c r="T4461" s="8">
        <v>1325</v>
      </c>
      <c r="U4461" s="8">
        <v>5</v>
      </c>
      <c r="V4461" s="5" t="s">
        <v>23</v>
      </c>
      <c r="W4461" s="12">
        <v>3886125</v>
      </c>
      <c r="X4461" s="6"/>
      <c r="Y4461" s="6"/>
    </row>
    <row r="4462" spans="1:25" ht="15" customHeight="1" x14ac:dyDescent="0.2">
      <c r="A4462" s="88" t="s">
        <v>5267</v>
      </c>
      <c r="B4462" s="90"/>
      <c r="C4462" s="88" t="s">
        <v>5402</v>
      </c>
      <c r="D4462" s="90"/>
      <c r="E4462" s="88" t="s">
        <v>5404</v>
      </c>
      <c r="F4462" s="89"/>
      <c r="G4462" s="89"/>
      <c r="H4462" s="89"/>
      <c r="I4462" s="90"/>
      <c r="J4462" s="88" t="s">
        <v>5277</v>
      </c>
      <c r="K4462" s="89"/>
      <c r="L4462" s="89"/>
      <c r="M4462" s="90"/>
      <c r="N4462" s="88" t="s">
        <v>26</v>
      </c>
      <c r="O4462" s="89"/>
      <c r="P4462" s="90"/>
      <c r="Q4462" s="133">
        <v>1242</v>
      </c>
      <c r="R4462" s="134"/>
      <c r="S4462" s="5" t="s">
        <v>1101</v>
      </c>
      <c r="T4462" s="8">
        <v>1265</v>
      </c>
      <c r="U4462" s="8">
        <v>5</v>
      </c>
      <c r="V4462" s="5" t="s">
        <v>23</v>
      </c>
      <c r="W4462" s="12">
        <v>3366846</v>
      </c>
      <c r="X4462" s="6"/>
      <c r="Y4462" s="6"/>
    </row>
    <row r="4463" spans="1:25" ht="15" customHeight="1" x14ac:dyDescent="0.2">
      <c r="A4463" s="88" t="s">
        <v>5267</v>
      </c>
      <c r="B4463" s="90"/>
      <c r="C4463" s="88" t="s">
        <v>5402</v>
      </c>
      <c r="D4463" s="90"/>
      <c r="E4463" s="88" t="s">
        <v>5405</v>
      </c>
      <c r="F4463" s="89"/>
      <c r="G4463" s="89"/>
      <c r="H4463" s="89"/>
      <c r="I4463" s="90"/>
      <c r="J4463" s="88" t="s">
        <v>5277</v>
      </c>
      <c r="K4463" s="89"/>
      <c r="L4463" s="89"/>
      <c r="M4463" s="90"/>
      <c r="N4463" s="88" t="s">
        <v>26</v>
      </c>
      <c r="O4463" s="89"/>
      <c r="P4463" s="90"/>
      <c r="Q4463" s="133">
        <v>1242</v>
      </c>
      <c r="R4463" s="134"/>
      <c r="S4463" s="5" t="s">
        <v>1101</v>
      </c>
      <c r="T4463" s="8">
        <v>1265</v>
      </c>
      <c r="U4463" s="8">
        <v>4</v>
      </c>
      <c r="V4463" s="5" t="s">
        <v>23</v>
      </c>
      <c r="W4463" s="12">
        <v>3187442</v>
      </c>
      <c r="X4463" s="6"/>
      <c r="Y4463" s="6"/>
    </row>
    <row r="4464" spans="1:25" ht="15" customHeight="1" x14ac:dyDescent="0.2">
      <c r="A4464" s="88" t="s">
        <v>5267</v>
      </c>
      <c r="B4464" s="90"/>
      <c r="C4464" s="88" t="s">
        <v>5406</v>
      </c>
      <c r="D4464" s="90"/>
      <c r="E4464" s="88" t="s">
        <v>5407</v>
      </c>
      <c r="F4464" s="89"/>
      <c r="G4464" s="89"/>
      <c r="H4464" s="89"/>
      <c r="I4464" s="90"/>
      <c r="J4464" s="88" t="s">
        <v>770</v>
      </c>
      <c r="K4464" s="89"/>
      <c r="L4464" s="89"/>
      <c r="M4464" s="90"/>
      <c r="N4464" s="88" t="s">
        <v>26</v>
      </c>
      <c r="O4464" s="89"/>
      <c r="P4464" s="90"/>
      <c r="Q4464" s="133">
        <v>1242</v>
      </c>
      <c r="R4464" s="134"/>
      <c r="S4464" s="5" t="s">
        <v>1101</v>
      </c>
      <c r="T4464" s="8">
        <v>1275</v>
      </c>
      <c r="U4464" s="8">
        <v>5</v>
      </c>
      <c r="V4464" s="5" t="s">
        <v>23</v>
      </c>
      <c r="W4464" s="12">
        <v>3391829</v>
      </c>
      <c r="X4464" s="6"/>
      <c r="Y4464" s="6"/>
    </row>
    <row r="4465" spans="1:25" ht="15" customHeight="1" x14ac:dyDescent="0.2">
      <c r="A4465" s="88" t="s">
        <v>5267</v>
      </c>
      <c r="B4465" s="90"/>
      <c r="C4465" s="88" t="s">
        <v>5406</v>
      </c>
      <c r="D4465" s="90"/>
      <c r="E4465" s="88" t="s">
        <v>5408</v>
      </c>
      <c r="F4465" s="89"/>
      <c r="G4465" s="89"/>
      <c r="H4465" s="89"/>
      <c r="I4465" s="90"/>
      <c r="J4465" s="88" t="s">
        <v>770</v>
      </c>
      <c r="K4465" s="89"/>
      <c r="L4465" s="89"/>
      <c r="M4465" s="90"/>
      <c r="N4465" s="88" t="s">
        <v>26</v>
      </c>
      <c r="O4465" s="89"/>
      <c r="P4465" s="90"/>
      <c r="Q4465" s="133">
        <v>1242</v>
      </c>
      <c r="R4465" s="134"/>
      <c r="S4465" s="5" t="s">
        <v>1101</v>
      </c>
      <c r="T4465" s="8">
        <v>1225</v>
      </c>
      <c r="U4465" s="8">
        <v>5</v>
      </c>
      <c r="V4465" s="5" t="s">
        <v>23</v>
      </c>
      <c r="W4465" s="12">
        <v>3034856</v>
      </c>
      <c r="X4465" s="6"/>
      <c r="Y4465" s="6"/>
    </row>
    <row r="4466" spans="1:25" ht="15" customHeight="1" x14ac:dyDescent="0.2">
      <c r="A4466" s="88" t="s">
        <v>5267</v>
      </c>
      <c r="B4466" s="90"/>
      <c r="C4466" s="88" t="s">
        <v>5409</v>
      </c>
      <c r="D4466" s="90"/>
      <c r="E4466" s="88" t="s">
        <v>5410</v>
      </c>
      <c r="F4466" s="89"/>
      <c r="G4466" s="89"/>
      <c r="H4466" s="89"/>
      <c r="I4466" s="90"/>
      <c r="J4466" s="88" t="s">
        <v>5277</v>
      </c>
      <c r="K4466" s="89"/>
      <c r="L4466" s="89"/>
      <c r="M4466" s="90"/>
      <c r="N4466" s="88" t="s">
        <v>26</v>
      </c>
      <c r="O4466" s="89"/>
      <c r="P4466" s="90"/>
      <c r="Q4466" s="133">
        <v>1242</v>
      </c>
      <c r="R4466" s="134"/>
      <c r="S4466" s="5" t="s">
        <v>1101</v>
      </c>
      <c r="T4466" s="8">
        <v>1325</v>
      </c>
      <c r="U4466" s="8">
        <v>5</v>
      </c>
      <c r="V4466" s="5" t="s">
        <v>23</v>
      </c>
      <c r="W4466" s="12">
        <v>3845549</v>
      </c>
      <c r="X4466" s="6"/>
      <c r="Y4466" s="6"/>
    </row>
    <row r="4467" spans="1:25" ht="15" customHeight="1" x14ac:dyDescent="0.2">
      <c r="A4467" s="88" t="s">
        <v>5267</v>
      </c>
      <c r="B4467" s="90"/>
      <c r="C4467" s="88" t="s">
        <v>5411</v>
      </c>
      <c r="D4467" s="90"/>
      <c r="E4467" s="88" t="s">
        <v>5412</v>
      </c>
      <c r="F4467" s="89"/>
      <c r="G4467" s="89"/>
      <c r="H4467" s="89"/>
      <c r="I4467" s="90"/>
      <c r="J4467" s="88" t="s">
        <v>770</v>
      </c>
      <c r="K4467" s="89"/>
      <c r="L4467" s="89"/>
      <c r="M4467" s="90"/>
      <c r="N4467" s="88" t="s">
        <v>22</v>
      </c>
      <c r="O4467" s="89"/>
      <c r="P4467" s="90"/>
      <c r="Q4467" s="133">
        <v>1242</v>
      </c>
      <c r="R4467" s="134"/>
      <c r="S4467" s="5" t="s">
        <v>1101</v>
      </c>
      <c r="T4467" s="8">
        <v>1325</v>
      </c>
      <c r="U4467" s="8">
        <v>5</v>
      </c>
      <c r="V4467" s="5" t="s">
        <v>23</v>
      </c>
      <c r="W4467" s="12">
        <v>3845549</v>
      </c>
      <c r="X4467" s="6"/>
      <c r="Y4467" s="6"/>
    </row>
    <row r="4468" spans="1:25" ht="15" customHeight="1" x14ac:dyDescent="0.2">
      <c r="A4468" s="88" t="s">
        <v>5267</v>
      </c>
      <c r="B4468" s="90"/>
      <c r="C4468" s="88" t="s">
        <v>5409</v>
      </c>
      <c r="D4468" s="90"/>
      <c r="E4468" s="88" t="s">
        <v>5413</v>
      </c>
      <c r="F4468" s="89"/>
      <c r="G4468" s="89"/>
      <c r="H4468" s="89"/>
      <c r="I4468" s="90"/>
      <c r="J4468" s="88" t="s">
        <v>5277</v>
      </c>
      <c r="K4468" s="89"/>
      <c r="L4468" s="89"/>
      <c r="M4468" s="90"/>
      <c r="N4468" s="88" t="s">
        <v>26</v>
      </c>
      <c r="O4468" s="89"/>
      <c r="P4468" s="90"/>
      <c r="Q4468" s="133">
        <v>1242</v>
      </c>
      <c r="R4468" s="134"/>
      <c r="S4468" s="5" t="s">
        <v>1101</v>
      </c>
      <c r="T4468" s="8">
        <v>1325</v>
      </c>
      <c r="U4468" s="8">
        <v>5</v>
      </c>
      <c r="V4468" s="5" t="s">
        <v>23</v>
      </c>
      <c r="W4468" s="12">
        <v>3886125</v>
      </c>
      <c r="X4468" s="6"/>
      <c r="Y4468" s="6"/>
    </row>
    <row r="4469" spans="1:25" ht="15" customHeight="1" x14ac:dyDescent="0.2">
      <c r="A4469" s="88" t="s">
        <v>5267</v>
      </c>
      <c r="B4469" s="90"/>
      <c r="C4469" s="88" t="s">
        <v>5411</v>
      </c>
      <c r="D4469" s="90"/>
      <c r="E4469" s="88" t="s">
        <v>5414</v>
      </c>
      <c r="F4469" s="89"/>
      <c r="G4469" s="89"/>
      <c r="H4469" s="89"/>
      <c r="I4469" s="90"/>
      <c r="J4469" s="88" t="s">
        <v>5277</v>
      </c>
      <c r="K4469" s="89"/>
      <c r="L4469" s="89"/>
      <c r="M4469" s="90"/>
      <c r="N4469" s="88" t="s">
        <v>26</v>
      </c>
      <c r="O4469" s="89"/>
      <c r="P4469" s="90"/>
      <c r="Q4469" s="133">
        <v>1242</v>
      </c>
      <c r="R4469" s="134"/>
      <c r="S4469" s="5" t="s">
        <v>1101</v>
      </c>
      <c r="T4469" s="8">
        <v>1265</v>
      </c>
      <c r="U4469" s="8">
        <v>5</v>
      </c>
      <c r="V4469" s="5" t="s">
        <v>23</v>
      </c>
      <c r="W4469" s="12">
        <v>3489246</v>
      </c>
      <c r="X4469" s="6"/>
      <c r="Y4469" s="6"/>
    </row>
    <row r="4470" spans="1:25" ht="15" customHeight="1" x14ac:dyDescent="0.2">
      <c r="A4470" s="88" t="s">
        <v>5267</v>
      </c>
      <c r="B4470" s="90"/>
      <c r="C4470" s="88" t="s">
        <v>5411</v>
      </c>
      <c r="D4470" s="90"/>
      <c r="E4470" s="88" t="s">
        <v>5415</v>
      </c>
      <c r="F4470" s="89"/>
      <c r="G4470" s="89"/>
      <c r="H4470" s="89"/>
      <c r="I4470" s="90"/>
      <c r="J4470" s="88" t="s">
        <v>5277</v>
      </c>
      <c r="K4470" s="89"/>
      <c r="L4470" s="89"/>
      <c r="M4470" s="90"/>
      <c r="N4470" s="88" t="s">
        <v>26</v>
      </c>
      <c r="O4470" s="89"/>
      <c r="P4470" s="90"/>
      <c r="Q4470" s="133">
        <v>1242</v>
      </c>
      <c r="R4470" s="134"/>
      <c r="S4470" s="5" t="s">
        <v>1101</v>
      </c>
      <c r="T4470" s="8">
        <v>1265</v>
      </c>
      <c r="U4470" s="8">
        <v>4</v>
      </c>
      <c r="V4470" s="5" t="s">
        <v>23</v>
      </c>
      <c r="W4470" s="12">
        <v>3212673</v>
      </c>
      <c r="X4470" s="6"/>
      <c r="Y4470" s="6"/>
    </row>
    <row r="4471" spans="1:25" ht="15" customHeight="1" x14ac:dyDescent="0.2">
      <c r="A4471" s="88" t="s">
        <v>5267</v>
      </c>
      <c r="B4471" s="90"/>
      <c r="C4471" s="88" t="s">
        <v>5416</v>
      </c>
      <c r="D4471" s="90"/>
      <c r="E4471" s="88" t="s">
        <v>5417</v>
      </c>
      <c r="F4471" s="89"/>
      <c r="G4471" s="89"/>
      <c r="H4471" s="89"/>
      <c r="I4471" s="90"/>
      <c r="J4471" s="88" t="s">
        <v>770</v>
      </c>
      <c r="K4471" s="89"/>
      <c r="L4471" s="89"/>
      <c r="M4471" s="90"/>
      <c r="N4471" s="88" t="s">
        <v>26</v>
      </c>
      <c r="O4471" s="89"/>
      <c r="P4471" s="90"/>
      <c r="Q4471" s="133">
        <v>658</v>
      </c>
      <c r="R4471" s="134"/>
      <c r="S4471" s="5" t="s">
        <v>814</v>
      </c>
      <c r="T4471" s="8">
        <v>890</v>
      </c>
      <c r="U4471" s="8">
        <v>4</v>
      </c>
      <c r="V4471" s="5" t="s">
        <v>23</v>
      </c>
      <c r="W4471" s="12">
        <v>2842627</v>
      </c>
      <c r="X4471" s="6"/>
      <c r="Y4471" s="6"/>
    </row>
    <row r="4472" spans="1:25" ht="15" customHeight="1" x14ac:dyDescent="0.2">
      <c r="A4472" s="88" t="s">
        <v>5267</v>
      </c>
      <c r="B4472" s="90"/>
      <c r="C4472" s="88" t="s">
        <v>5418</v>
      </c>
      <c r="D4472" s="90"/>
      <c r="E4472" s="88" t="s">
        <v>5419</v>
      </c>
      <c r="F4472" s="89"/>
      <c r="G4472" s="89"/>
      <c r="H4472" s="89"/>
      <c r="I4472" s="90"/>
      <c r="J4472" s="88" t="s">
        <v>770</v>
      </c>
      <c r="K4472" s="89"/>
      <c r="L4472" s="89"/>
      <c r="M4472" s="90"/>
      <c r="N4472" s="88" t="s">
        <v>26</v>
      </c>
      <c r="O4472" s="89"/>
      <c r="P4472" s="90"/>
      <c r="Q4472" s="133">
        <v>658</v>
      </c>
      <c r="R4472" s="134"/>
      <c r="S4472" s="5" t="s">
        <v>814</v>
      </c>
      <c r="T4472" s="8">
        <v>1180</v>
      </c>
      <c r="U4472" s="8">
        <v>4</v>
      </c>
      <c r="V4472" s="5" t="s">
        <v>23</v>
      </c>
      <c r="W4472" s="12">
        <v>2724161</v>
      </c>
      <c r="X4472" s="6"/>
      <c r="Y4472" s="6"/>
    </row>
    <row r="4473" spans="1:25" ht="15" customHeight="1" x14ac:dyDescent="0.2">
      <c r="A4473" s="88" t="s">
        <v>5267</v>
      </c>
      <c r="B4473" s="90"/>
      <c r="C4473" s="88" t="s">
        <v>5418</v>
      </c>
      <c r="D4473" s="90"/>
      <c r="E4473" s="88" t="s">
        <v>5420</v>
      </c>
      <c r="F4473" s="89"/>
      <c r="G4473" s="89"/>
      <c r="H4473" s="89"/>
      <c r="I4473" s="90"/>
      <c r="J4473" s="88" t="s">
        <v>770</v>
      </c>
      <c r="K4473" s="89"/>
      <c r="L4473" s="89"/>
      <c r="M4473" s="90"/>
      <c r="N4473" s="88" t="s">
        <v>26</v>
      </c>
      <c r="O4473" s="89"/>
      <c r="P4473" s="90"/>
      <c r="Q4473" s="133">
        <v>658</v>
      </c>
      <c r="R4473" s="134"/>
      <c r="S4473" s="5" t="s">
        <v>814</v>
      </c>
      <c r="T4473" s="8">
        <v>1180</v>
      </c>
      <c r="U4473" s="8">
        <v>4</v>
      </c>
      <c r="V4473" s="5" t="s">
        <v>23</v>
      </c>
      <c r="W4473" s="12">
        <v>2595054</v>
      </c>
      <c r="X4473" s="6"/>
      <c r="Y4473" s="6"/>
    </row>
    <row r="4474" spans="1:25" ht="15" customHeight="1" x14ac:dyDescent="0.2">
      <c r="A4474" s="88" t="s">
        <v>5267</v>
      </c>
      <c r="B4474" s="90"/>
      <c r="C4474" s="88" t="s">
        <v>5421</v>
      </c>
      <c r="D4474" s="90"/>
      <c r="E4474" s="88" t="s">
        <v>5422</v>
      </c>
      <c r="F4474" s="89"/>
      <c r="G4474" s="89"/>
      <c r="H4474" s="89"/>
      <c r="I4474" s="90"/>
      <c r="J4474" s="88" t="s">
        <v>770</v>
      </c>
      <c r="K4474" s="89"/>
      <c r="L4474" s="89"/>
      <c r="M4474" s="90"/>
      <c r="N4474" s="88" t="s">
        <v>26</v>
      </c>
      <c r="O4474" s="89"/>
      <c r="P4474" s="90"/>
      <c r="Q4474" s="133">
        <v>657</v>
      </c>
      <c r="R4474" s="134"/>
      <c r="S4474" s="5" t="s">
        <v>814</v>
      </c>
      <c r="T4474" s="8">
        <v>1130</v>
      </c>
      <c r="U4474" s="8">
        <v>4</v>
      </c>
      <c r="V4474" s="5" t="s">
        <v>23</v>
      </c>
      <c r="W4474" s="12">
        <v>3345720</v>
      </c>
      <c r="X4474" s="6"/>
      <c r="Y4474" s="6"/>
    </row>
    <row r="4475" spans="1:25" ht="15" customHeight="1" x14ac:dyDescent="0.2">
      <c r="A4475" s="88" t="s">
        <v>5267</v>
      </c>
      <c r="B4475" s="90"/>
      <c r="C4475" s="88" t="s">
        <v>5423</v>
      </c>
      <c r="D4475" s="90"/>
      <c r="E4475" s="88" t="s">
        <v>5424</v>
      </c>
      <c r="F4475" s="89"/>
      <c r="G4475" s="89"/>
      <c r="H4475" s="89"/>
      <c r="I4475" s="90"/>
      <c r="J4475" s="88" t="s">
        <v>770</v>
      </c>
      <c r="K4475" s="89"/>
      <c r="L4475" s="89"/>
      <c r="M4475" s="90"/>
      <c r="N4475" s="88" t="s">
        <v>26</v>
      </c>
      <c r="O4475" s="89"/>
      <c r="P4475" s="90"/>
      <c r="Q4475" s="133">
        <v>658</v>
      </c>
      <c r="R4475" s="134"/>
      <c r="S4475" s="5" t="s">
        <v>814</v>
      </c>
      <c r="T4475" s="8">
        <v>1120</v>
      </c>
      <c r="U4475" s="8">
        <v>4</v>
      </c>
      <c r="V4475" s="5" t="s">
        <v>23</v>
      </c>
      <c r="W4475" s="12">
        <v>3061516</v>
      </c>
      <c r="X4475" s="6"/>
      <c r="Y4475" s="6"/>
    </row>
    <row r="4476" spans="1:25" ht="15" customHeight="1" x14ac:dyDescent="0.2">
      <c r="A4476" s="88" t="s">
        <v>5267</v>
      </c>
      <c r="B4476" s="90"/>
      <c r="C4476" s="88" t="s">
        <v>5421</v>
      </c>
      <c r="D4476" s="90"/>
      <c r="E4476" s="88" t="s">
        <v>5425</v>
      </c>
      <c r="F4476" s="89"/>
      <c r="G4476" s="89"/>
      <c r="H4476" s="89"/>
      <c r="I4476" s="90"/>
      <c r="J4476" s="88" t="s">
        <v>770</v>
      </c>
      <c r="K4476" s="89"/>
      <c r="L4476" s="89"/>
      <c r="M4476" s="90"/>
      <c r="N4476" s="88" t="s">
        <v>26</v>
      </c>
      <c r="O4476" s="89"/>
      <c r="P4476" s="90"/>
      <c r="Q4476" s="133">
        <v>658</v>
      </c>
      <c r="R4476" s="134"/>
      <c r="S4476" s="5" t="s">
        <v>814</v>
      </c>
      <c r="T4476" s="8">
        <v>1120</v>
      </c>
      <c r="U4476" s="8">
        <v>4</v>
      </c>
      <c r="V4476" s="5" t="s">
        <v>23</v>
      </c>
      <c r="W4476" s="12">
        <v>3157592</v>
      </c>
      <c r="X4476" s="6"/>
      <c r="Y4476" s="6"/>
    </row>
    <row r="4477" spans="1:25" ht="15" customHeight="1" x14ac:dyDescent="0.2">
      <c r="A4477" s="88" t="s">
        <v>5267</v>
      </c>
      <c r="B4477" s="90"/>
      <c r="C4477" s="88" t="s">
        <v>5426</v>
      </c>
      <c r="D4477" s="90"/>
      <c r="E4477" s="88" t="s">
        <v>5427</v>
      </c>
      <c r="F4477" s="89"/>
      <c r="G4477" s="89"/>
      <c r="H4477" s="89"/>
      <c r="I4477" s="90"/>
      <c r="J4477" s="88" t="s">
        <v>770</v>
      </c>
      <c r="K4477" s="89"/>
      <c r="L4477" s="89"/>
      <c r="M4477" s="90"/>
      <c r="N4477" s="88" t="s">
        <v>26</v>
      </c>
      <c r="O4477" s="89"/>
      <c r="P4477" s="90"/>
      <c r="Q4477" s="133">
        <v>658</v>
      </c>
      <c r="R4477" s="134"/>
      <c r="S4477" s="5" t="s">
        <v>814</v>
      </c>
      <c r="T4477" s="8">
        <v>1120</v>
      </c>
      <c r="U4477" s="8">
        <v>4</v>
      </c>
      <c r="V4477" s="5" t="s">
        <v>23</v>
      </c>
      <c r="W4477" s="12">
        <v>2774965</v>
      </c>
      <c r="X4477" s="6"/>
      <c r="Y4477" s="6"/>
    </row>
    <row r="4478" spans="1:25" ht="15" customHeight="1" x14ac:dyDescent="0.2">
      <c r="A4478" s="88" t="s">
        <v>5267</v>
      </c>
      <c r="B4478" s="90"/>
      <c r="C4478" s="88" t="s">
        <v>5428</v>
      </c>
      <c r="D4478" s="90"/>
      <c r="E4478" s="88" t="s">
        <v>5427</v>
      </c>
      <c r="F4478" s="89"/>
      <c r="G4478" s="89"/>
      <c r="H4478" s="89"/>
      <c r="I4478" s="90"/>
      <c r="J4478" s="88" t="s">
        <v>770</v>
      </c>
      <c r="K4478" s="89"/>
      <c r="L4478" s="89"/>
      <c r="M4478" s="90"/>
      <c r="N4478" s="88" t="s">
        <v>26</v>
      </c>
      <c r="O4478" s="89"/>
      <c r="P4478" s="90"/>
      <c r="Q4478" s="133">
        <v>658</v>
      </c>
      <c r="R4478" s="134"/>
      <c r="S4478" s="5" t="s">
        <v>814</v>
      </c>
      <c r="T4478" s="8">
        <v>1120</v>
      </c>
      <c r="U4478" s="8">
        <v>4</v>
      </c>
      <c r="V4478" s="5" t="s">
        <v>23</v>
      </c>
      <c r="W4478" s="12">
        <v>2774965</v>
      </c>
      <c r="X4478" s="6"/>
      <c r="Y4478" s="6"/>
    </row>
    <row r="4479" spans="1:25" ht="15" customHeight="1" x14ac:dyDescent="0.2">
      <c r="A4479" s="88" t="s">
        <v>5267</v>
      </c>
      <c r="B4479" s="90"/>
      <c r="C4479" s="88" t="s">
        <v>5429</v>
      </c>
      <c r="D4479" s="90"/>
      <c r="E4479" s="88" t="s">
        <v>5430</v>
      </c>
      <c r="F4479" s="89"/>
      <c r="G4479" s="89"/>
      <c r="H4479" s="89"/>
      <c r="I4479" s="90"/>
      <c r="J4479" s="88" t="s">
        <v>770</v>
      </c>
      <c r="K4479" s="89"/>
      <c r="L4479" s="89"/>
      <c r="M4479" s="90"/>
      <c r="N4479" s="88" t="s">
        <v>26</v>
      </c>
      <c r="O4479" s="89"/>
      <c r="P4479" s="90"/>
      <c r="Q4479" s="133">
        <v>658</v>
      </c>
      <c r="R4479" s="134"/>
      <c r="S4479" s="5" t="s">
        <v>814</v>
      </c>
      <c r="T4479" s="8">
        <v>1110</v>
      </c>
      <c r="U4479" s="8">
        <v>4</v>
      </c>
      <c r="V4479" s="5" t="s">
        <v>23</v>
      </c>
      <c r="W4479" s="12">
        <v>2489401</v>
      </c>
      <c r="X4479" s="6"/>
      <c r="Y4479" s="6"/>
    </row>
    <row r="4480" spans="1:25" ht="15" customHeight="1" x14ac:dyDescent="0.2">
      <c r="A4480" s="88" t="s">
        <v>5267</v>
      </c>
      <c r="B4480" s="90"/>
      <c r="C4480" s="88" t="s">
        <v>5431</v>
      </c>
      <c r="D4480" s="90"/>
      <c r="E4480" s="88" t="s">
        <v>5432</v>
      </c>
      <c r="F4480" s="89"/>
      <c r="G4480" s="89"/>
      <c r="H4480" s="89"/>
      <c r="I4480" s="90"/>
      <c r="J4480" s="88" t="s">
        <v>770</v>
      </c>
      <c r="K4480" s="89"/>
      <c r="L4480" s="89"/>
      <c r="M4480" s="90"/>
      <c r="N4480" s="88" t="s">
        <v>26</v>
      </c>
      <c r="O4480" s="89"/>
      <c r="P4480" s="90"/>
      <c r="Q4480" s="133">
        <v>658</v>
      </c>
      <c r="R4480" s="134"/>
      <c r="S4480" s="5" t="s">
        <v>814</v>
      </c>
      <c r="T4480" s="8">
        <v>1110</v>
      </c>
      <c r="U4480" s="8">
        <v>4</v>
      </c>
      <c r="V4480" s="5" t="s">
        <v>23</v>
      </c>
      <c r="W4480" s="12">
        <v>2699513</v>
      </c>
      <c r="X4480" s="6"/>
      <c r="Y4480" s="6"/>
    </row>
    <row r="4481" spans="1:25" ht="15" customHeight="1" x14ac:dyDescent="0.2">
      <c r="A4481" s="88" t="s">
        <v>5267</v>
      </c>
      <c r="B4481" s="90"/>
      <c r="C4481" s="88" t="s">
        <v>5433</v>
      </c>
      <c r="D4481" s="90"/>
      <c r="E4481" s="88" t="s">
        <v>5434</v>
      </c>
      <c r="F4481" s="89"/>
      <c r="G4481" s="89"/>
      <c r="H4481" s="89"/>
      <c r="I4481" s="90"/>
      <c r="J4481" s="88" t="s">
        <v>770</v>
      </c>
      <c r="K4481" s="89"/>
      <c r="L4481" s="89"/>
      <c r="M4481" s="90"/>
      <c r="N4481" s="88" t="s">
        <v>26</v>
      </c>
      <c r="O4481" s="89"/>
      <c r="P4481" s="90"/>
      <c r="Q4481" s="133">
        <v>657</v>
      </c>
      <c r="R4481" s="134"/>
      <c r="S4481" s="5" t="s">
        <v>814</v>
      </c>
      <c r="T4481" s="8">
        <v>1120</v>
      </c>
      <c r="U4481" s="8">
        <v>4</v>
      </c>
      <c r="V4481" s="5" t="s">
        <v>23</v>
      </c>
      <c r="W4481" s="12">
        <v>3273788</v>
      </c>
      <c r="X4481" s="6"/>
      <c r="Y4481" s="6"/>
    </row>
    <row r="4482" spans="1:25" ht="15" customHeight="1" x14ac:dyDescent="0.2">
      <c r="A4482" s="88" t="s">
        <v>5267</v>
      </c>
      <c r="B4482" s="90"/>
      <c r="C4482" s="88" t="s">
        <v>5435</v>
      </c>
      <c r="D4482" s="90"/>
      <c r="E4482" s="88" t="s">
        <v>5436</v>
      </c>
      <c r="F4482" s="89"/>
      <c r="G4482" s="89"/>
      <c r="H4482" s="89"/>
      <c r="I4482" s="90"/>
      <c r="J4482" s="88" t="s">
        <v>770</v>
      </c>
      <c r="K4482" s="89"/>
      <c r="L4482" s="89"/>
      <c r="M4482" s="90"/>
      <c r="N4482" s="88" t="s">
        <v>26</v>
      </c>
      <c r="O4482" s="89"/>
      <c r="P4482" s="90"/>
      <c r="Q4482" s="133">
        <v>658</v>
      </c>
      <c r="R4482" s="134"/>
      <c r="S4482" s="5" t="s">
        <v>814</v>
      </c>
      <c r="T4482" s="8">
        <v>1110</v>
      </c>
      <c r="U4482" s="8">
        <v>4</v>
      </c>
      <c r="V4482" s="5" t="s">
        <v>23</v>
      </c>
      <c r="W4482" s="12">
        <v>3022952</v>
      </c>
      <c r="X4482" s="6"/>
      <c r="Y4482" s="6"/>
    </row>
    <row r="4483" spans="1:25" ht="15" customHeight="1" x14ac:dyDescent="0.2">
      <c r="A4483" s="88" t="s">
        <v>5267</v>
      </c>
      <c r="B4483" s="90"/>
      <c r="C4483" s="88" t="s">
        <v>5435</v>
      </c>
      <c r="D4483" s="90"/>
      <c r="E4483" s="88" t="s">
        <v>5437</v>
      </c>
      <c r="F4483" s="89"/>
      <c r="G4483" s="89"/>
      <c r="H4483" s="89"/>
      <c r="I4483" s="90"/>
      <c r="J4483" s="88" t="s">
        <v>770</v>
      </c>
      <c r="K4483" s="89"/>
      <c r="L4483" s="89"/>
      <c r="M4483" s="90"/>
      <c r="N4483" s="88" t="s">
        <v>26</v>
      </c>
      <c r="O4483" s="89"/>
      <c r="P4483" s="90"/>
      <c r="Q4483" s="133">
        <v>658</v>
      </c>
      <c r="R4483" s="134"/>
      <c r="S4483" s="5" t="s">
        <v>814</v>
      </c>
      <c r="T4483" s="8">
        <v>1110</v>
      </c>
      <c r="U4483" s="8">
        <v>4</v>
      </c>
      <c r="V4483" s="5" t="s">
        <v>23</v>
      </c>
      <c r="W4483" s="12">
        <v>2820237</v>
      </c>
      <c r="X4483" s="6"/>
      <c r="Y4483" s="6"/>
    </row>
    <row r="4484" spans="1:25" ht="15" customHeight="1" x14ac:dyDescent="0.2">
      <c r="A4484" s="88" t="s">
        <v>5267</v>
      </c>
      <c r="B4484" s="90"/>
      <c r="C4484" s="88" t="s">
        <v>5438</v>
      </c>
      <c r="D4484" s="90"/>
      <c r="E4484" s="88" t="s">
        <v>5424</v>
      </c>
      <c r="F4484" s="89"/>
      <c r="G4484" s="89"/>
      <c r="H4484" s="89"/>
      <c r="I4484" s="90"/>
      <c r="J4484" s="88" t="s">
        <v>770</v>
      </c>
      <c r="K4484" s="89"/>
      <c r="L4484" s="89"/>
      <c r="M4484" s="90"/>
      <c r="N4484" s="88" t="s">
        <v>26</v>
      </c>
      <c r="O4484" s="89"/>
      <c r="P4484" s="90"/>
      <c r="Q4484" s="133">
        <v>658</v>
      </c>
      <c r="R4484" s="134"/>
      <c r="S4484" s="5" t="s">
        <v>814</v>
      </c>
      <c r="T4484" s="8">
        <v>1110</v>
      </c>
      <c r="U4484" s="8">
        <v>4</v>
      </c>
      <c r="V4484" s="5" t="s">
        <v>23</v>
      </c>
      <c r="W4484" s="12">
        <v>2958398</v>
      </c>
      <c r="X4484" s="6"/>
      <c r="Y4484" s="6"/>
    </row>
    <row r="4485" spans="1:25" ht="15" customHeight="1" x14ac:dyDescent="0.2">
      <c r="A4485" s="88" t="s">
        <v>5267</v>
      </c>
      <c r="B4485" s="90"/>
      <c r="C4485" s="88" t="s">
        <v>5439</v>
      </c>
      <c r="D4485" s="90"/>
      <c r="E4485" s="88" t="s">
        <v>5440</v>
      </c>
      <c r="F4485" s="89"/>
      <c r="G4485" s="89"/>
      <c r="H4485" s="89"/>
      <c r="I4485" s="90"/>
      <c r="J4485" s="88" t="s">
        <v>770</v>
      </c>
      <c r="K4485" s="89"/>
      <c r="L4485" s="89"/>
      <c r="M4485" s="90"/>
      <c r="N4485" s="88" t="s">
        <v>26</v>
      </c>
      <c r="O4485" s="89"/>
      <c r="P4485" s="90"/>
      <c r="Q4485" s="133">
        <v>658</v>
      </c>
      <c r="R4485" s="134"/>
      <c r="S4485" s="5" t="s">
        <v>814</v>
      </c>
      <c r="T4485" s="8">
        <v>1595</v>
      </c>
      <c r="U4485" s="8">
        <v>4</v>
      </c>
      <c r="V4485" s="5" t="s">
        <v>23</v>
      </c>
      <c r="W4485" s="12">
        <v>2927546</v>
      </c>
      <c r="X4485" s="6"/>
      <c r="Y4485" s="6"/>
    </row>
    <row r="4486" spans="1:25" ht="15" customHeight="1" x14ac:dyDescent="0.2">
      <c r="A4486" s="88" t="s">
        <v>5267</v>
      </c>
      <c r="B4486" s="90"/>
      <c r="C4486" s="88" t="s">
        <v>5441</v>
      </c>
      <c r="D4486" s="90"/>
      <c r="E4486" s="88" t="s">
        <v>5442</v>
      </c>
      <c r="F4486" s="89"/>
      <c r="G4486" s="89"/>
      <c r="H4486" s="89"/>
      <c r="I4486" s="90"/>
      <c r="J4486" s="88" t="s">
        <v>770</v>
      </c>
      <c r="K4486" s="89"/>
      <c r="L4486" s="89"/>
      <c r="M4486" s="90"/>
      <c r="N4486" s="88" t="s">
        <v>26</v>
      </c>
      <c r="O4486" s="89"/>
      <c r="P4486" s="90"/>
      <c r="Q4486" s="133">
        <v>658</v>
      </c>
      <c r="R4486" s="134"/>
      <c r="S4486" s="5" t="s">
        <v>814</v>
      </c>
      <c r="T4486" s="8">
        <v>1090</v>
      </c>
      <c r="U4486" s="8">
        <v>4</v>
      </c>
      <c r="V4486" s="5" t="s">
        <v>23</v>
      </c>
      <c r="W4486" s="12">
        <v>2571077</v>
      </c>
      <c r="X4486" s="6"/>
      <c r="Y4486" s="6"/>
    </row>
    <row r="4487" spans="1:25" ht="15" customHeight="1" x14ac:dyDescent="0.2">
      <c r="A4487" s="88" t="s">
        <v>5267</v>
      </c>
      <c r="B4487" s="90"/>
      <c r="C4487" s="88" t="s">
        <v>5441</v>
      </c>
      <c r="D4487" s="90"/>
      <c r="E4487" s="88" t="s">
        <v>5443</v>
      </c>
      <c r="F4487" s="89"/>
      <c r="G4487" s="89"/>
      <c r="H4487" s="89"/>
      <c r="I4487" s="90"/>
      <c r="J4487" s="88" t="s">
        <v>887</v>
      </c>
      <c r="K4487" s="89"/>
      <c r="L4487" s="89"/>
      <c r="M4487" s="90"/>
      <c r="N4487" s="88" t="s">
        <v>22</v>
      </c>
      <c r="O4487" s="89"/>
      <c r="P4487" s="90"/>
      <c r="Q4487" s="133">
        <v>658</v>
      </c>
      <c r="R4487" s="134"/>
      <c r="S4487" s="5" t="s">
        <v>814</v>
      </c>
      <c r="T4487" s="8">
        <v>1595</v>
      </c>
      <c r="U4487" s="8">
        <v>4</v>
      </c>
      <c r="V4487" s="5" t="s">
        <v>23</v>
      </c>
      <c r="W4487" s="12">
        <v>2940960</v>
      </c>
      <c r="X4487" s="6"/>
      <c r="Y4487" s="6"/>
    </row>
    <row r="4488" spans="1:25" ht="15" customHeight="1" x14ac:dyDescent="0.2">
      <c r="A4488" s="88" t="s">
        <v>5267</v>
      </c>
      <c r="B4488" s="90"/>
      <c r="C4488" s="88" t="s">
        <v>5441</v>
      </c>
      <c r="D4488" s="90"/>
      <c r="E4488" s="88" t="s">
        <v>5444</v>
      </c>
      <c r="F4488" s="89"/>
      <c r="G4488" s="89"/>
      <c r="H4488" s="89"/>
      <c r="I4488" s="90"/>
      <c r="J4488" s="88" t="s">
        <v>770</v>
      </c>
      <c r="K4488" s="89"/>
      <c r="L4488" s="89"/>
      <c r="M4488" s="90"/>
      <c r="N4488" s="88" t="s">
        <v>26</v>
      </c>
      <c r="O4488" s="89"/>
      <c r="P4488" s="90"/>
      <c r="Q4488" s="133">
        <v>657</v>
      </c>
      <c r="R4488" s="134"/>
      <c r="S4488" s="5" t="s">
        <v>814</v>
      </c>
      <c r="T4488" s="8">
        <v>1100</v>
      </c>
      <c r="U4488" s="8">
        <v>4</v>
      </c>
      <c r="V4488" s="5" t="s">
        <v>23</v>
      </c>
      <c r="W4488" s="12">
        <v>2858801</v>
      </c>
      <c r="X4488" s="6"/>
      <c r="Y4488" s="6"/>
    </row>
    <row r="4489" spans="1:25" ht="15" customHeight="1" x14ac:dyDescent="0.2">
      <c r="A4489" s="88" t="s">
        <v>5267</v>
      </c>
      <c r="B4489" s="90"/>
      <c r="C4489" s="88" t="s">
        <v>5441</v>
      </c>
      <c r="D4489" s="90"/>
      <c r="E4489" s="88" t="s">
        <v>5445</v>
      </c>
      <c r="F4489" s="89"/>
      <c r="G4489" s="89"/>
      <c r="H4489" s="89"/>
      <c r="I4489" s="90"/>
      <c r="J4489" s="88" t="s">
        <v>770</v>
      </c>
      <c r="K4489" s="89"/>
      <c r="L4489" s="89"/>
      <c r="M4489" s="90"/>
      <c r="N4489" s="88" t="s">
        <v>26</v>
      </c>
      <c r="O4489" s="89"/>
      <c r="P4489" s="90"/>
      <c r="Q4489" s="133">
        <v>657</v>
      </c>
      <c r="R4489" s="134"/>
      <c r="S4489" s="5" t="s">
        <v>814</v>
      </c>
      <c r="T4489" s="8">
        <v>1120</v>
      </c>
      <c r="U4489" s="8">
        <v>4</v>
      </c>
      <c r="V4489" s="5" t="s">
        <v>23</v>
      </c>
      <c r="W4489" s="12">
        <v>3195821</v>
      </c>
      <c r="X4489" s="6"/>
      <c r="Y4489" s="6"/>
    </row>
    <row r="4490" spans="1:25" ht="15" customHeight="1" x14ac:dyDescent="0.2">
      <c r="A4490" s="88" t="s">
        <v>5267</v>
      </c>
      <c r="B4490" s="90"/>
      <c r="C4490" s="88" t="s">
        <v>5441</v>
      </c>
      <c r="D4490" s="90"/>
      <c r="E4490" s="88" t="s">
        <v>5446</v>
      </c>
      <c r="F4490" s="89"/>
      <c r="G4490" s="89"/>
      <c r="H4490" s="89"/>
      <c r="I4490" s="90"/>
      <c r="J4490" s="88" t="s">
        <v>770</v>
      </c>
      <c r="K4490" s="89"/>
      <c r="L4490" s="89"/>
      <c r="M4490" s="90"/>
      <c r="N4490" s="88" t="s">
        <v>26</v>
      </c>
      <c r="O4490" s="89"/>
      <c r="P4490" s="90"/>
      <c r="Q4490" s="133">
        <v>658</v>
      </c>
      <c r="R4490" s="134"/>
      <c r="S4490" s="5" t="s">
        <v>814</v>
      </c>
      <c r="T4490" s="8">
        <v>1090</v>
      </c>
      <c r="U4490" s="8">
        <v>4</v>
      </c>
      <c r="V4490" s="5" t="s">
        <v>23</v>
      </c>
      <c r="W4490" s="12">
        <v>2556322</v>
      </c>
      <c r="X4490" s="6"/>
      <c r="Y4490" s="6"/>
    </row>
    <row r="4491" spans="1:25" ht="15" customHeight="1" x14ac:dyDescent="0.2">
      <c r="A4491" s="88" t="s">
        <v>5267</v>
      </c>
      <c r="B4491" s="90"/>
      <c r="C4491" s="88" t="s">
        <v>5441</v>
      </c>
      <c r="D4491" s="90"/>
      <c r="E4491" s="88" t="s">
        <v>5447</v>
      </c>
      <c r="F4491" s="89"/>
      <c r="G4491" s="89"/>
      <c r="H4491" s="89"/>
      <c r="I4491" s="90"/>
      <c r="J4491" s="88" t="s">
        <v>770</v>
      </c>
      <c r="K4491" s="89"/>
      <c r="L4491" s="89"/>
      <c r="M4491" s="90"/>
      <c r="N4491" s="88" t="s">
        <v>26</v>
      </c>
      <c r="O4491" s="89"/>
      <c r="P4491" s="90"/>
      <c r="Q4491" s="133">
        <v>658</v>
      </c>
      <c r="R4491" s="134"/>
      <c r="S4491" s="5" t="s">
        <v>814</v>
      </c>
      <c r="T4491" s="8">
        <v>1020</v>
      </c>
      <c r="U4491" s="8">
        <v>4</v>
      </c>
      <c r="V4491" s="5" t="s">
        <v>23</v>
      </c>
      <c r="W4491" s="12">
        <v>2772115</v>
      </c>
      <c r="X4491" s="6"/>
      <c r="Y4491" s="6"/>
    </row>
    <row r="4492" spans="1:25" ht="15" customHeight="1" x14ac:dyDescent="0.2">
      <c r="A4492" s="88" t="s">
        <v>5267</v>
      </c>
      <c r="B4492" s="90"/>
      <c r="C4492" s="88" t="s">
        <v>5441</v>
      </c>
      <c r="D4492" s="90"/>
      <c r="E4492" s="88" t="s">
        <v>5448</v>
      </c>
      <c r="F4492" s="89"/>
      <c r="G4492" s="89"/>
      <c r="H4492" s="89"/>
      <c r="I4492" s="90"/>
      <c r="J4492" s="88" t="s">
        <v>770</v>
      </c>
      <c r="K4492" s="89"/>
      <c r="L4492" s="89"/>
      <c r="M4492" s="90"/>
      <c r="N4492" s="88" t="s">
        <v>26</v>
      </c>
      <c r="O4492" s="89"/>
      <c r="P4492" s="90"/>
      <c r="Q4492" s="133">
        <v>658</v>
      </c>
      <c r="R4492" s="134"/>
      <c r="S4492" s="5" t="s">
        <v>814</v>
      </c>
      <c r="T4492" s="8">
        <v>1090</v>
      </c>
      <c r="U4492" s="8">
        <v>4</v>
      </c>
      <c r="V4492" s="5" t="s">
        <v>23</v>
      </c>
      <c r="W4492" s="12">
        <v>2458066</v>
      </c>
      <c r="X4492" s="6"/>
      <c r="Y4492" s="6"/>
    </row>
    <row r="4493" spans="1:25" ht="15" customHeight="1" x14ac:dyDescent="0.2">
      <c r="A4493" s="88" t="s">
        <v>5267</v>
      </c>
      <c r="B4493" s="90"/>
      <c r="C4493" s="88" t="s">
        <v>5441</v>
      </c>
      <c r="D4493" s="90"/>
      <c r="E4493" s="88" t="s">
        <v>5449</v>
      </c>
      <c r="F4493" s="89"/>
      <c r="G4493" s="89"/>
      <c r="H4493" s="89"/>
      <c r="I4493" s="90"/>
      <c r="J4493" s="88" t="s">
        <v>770</v>
      </c>
      <c r="K4493" s="89"/>
      <c r="L4493" s="89"/>
      <c r="M4493" s="90"/>
      <c r="N4493" s="88" t="s">
        <v>26</v>
      </c>
      <c r="O4493" s="89"/>
      <c r="P4493" s="90"/>
      <c r="Q4493" s="133">
        <v>658</v>
      </c>
      <c r="R4493" s="134"/>
      <c r="S4493" s="5" t="s">
        <v>814</v>
      </c>
      <c r="T4493" s="8">
        <v>1090</v>
      </c>
      <c r="U4493" s="8">
        <v>4</v>
      </c>
      <c r="V4493" s="5" t="s">
        <v>23</v>
      </c>
      <c r="W4493" s="12">
        <v>2280334</v>
      </c>
      <c r="X4493" s="6"/>
      <c r="Y4493" s="6"/>
    </row>
    <row r="4494" spans="1:25" ht="15" customHeight="1" x14ac:dyDescent="0.2">
      <c r="A4494" s="88" t="s">
        <v>5267</v>
      </c>
      <c r="B4494" s="90"/>
      <c r="C4494" s="88" t="s">
        <v>5441</v>
      </c>
      <c r="D4494" s="90"/>
      <c r="E4494" s="88" t="s">
        <v>5449</v>
      </c>
      <c r="F4494" s="89"/>
      <c r="G4494" s="89"/>
      <c r="H4494" s="89"/>
      <c r="I4494" s="90"/>
      <c r="J4494" s="88" t="s">
        <v>887</v>
      </c>
      <c r="K4494" s="89"/>
      <c r="L4494" s="89"/>
      <c r="M4494" s="90"/>
      <c r="N4494" s="88" t="s">
        <v>26</v>
      </c>
      <c r="O4494" s="89"/>
      <c r="P4494" s="90"/>
      <c r="Q4494" s="133">
        <v>658</v>
      </c>
      <c r="R4494" s="134"/>
      <c r="S4494" s="5" t="s">
        <v>814</v>
      </c>
      <c r="T4494" s="8">
        <v>1090</v>
      </c>
      <c r="U4494" s="8">
        <v>4</v>
      </c>
      <c r="V4494" s="5" t="s">
        <v>23</v>
      </c>
      <c r="W4494" s="12">
        <v>2280334</v>
      </c>
      <c r="X4494" s="6"/>
      <c r="Y4494" s="6"/>
    </row>
    <row r="4495" spans="1:25" ht="15" customHeight="1" x14ac:dyDescent="0.2">
      <c r="A4495" s="88" t="s">
        <v>5267</v>
      </c>
      <c r="B4495" s="90"/>
      <c r="C4495" s="88" t="s">
        <v>5441</v>
      </c>
      <c r="D4495" s="90"/>
      <c r="E4495" s="88" t="s">
        <v>5450</v>
      </c>
      <c r="F4495" s="89"/>
      <c r="G4495" s="89"/>
      <c r="H4495" s="89"/>
      <c r="I4495" s="90"/>
      <c r="J4495" s="88" t="s">
        <v>770</v>
      </c>
      <c r="K4495" s="89"/>
      <c r="L4495" s="89"/>
      <c r="M4495" s="90"/>
      <c r="N4495" s="88" t="s">
        <v>26</v>
      </c>
      <c r="O4495" s="89"/>
      <c r="P4495" s="90"/>
      <c r="Q4495" s="133">
        <v>658</v>
      </c>
      <c r="R4495" s="134"/>
      <c r="S4495" s="5" t="s">
        <v>814</v>
      </c>
      <c r="T4495" s="8">
        <v>1040</v>
      </c>
      <c r="U4495" s="8">
        <v>4</v>
      </c>
      <c r="V4495" s="5" t="s">
        <v>23</v>
      </c>
      <c r="W4495" s="12">
        <v>2912456</v>
      </c>
      <c r="X4495" s="6"/>
      <c r="Y4495" s="6"/>
    </row>
    <row r="4496" spans="1:25" ht="15" customHeight="1" x14ac:dyDescent="0.2">
      <c r="A4496" s="88" t="s">
        <v>5267</v>
      </c>
      <c r="B4496" s="90"/>
      <c r="C4496" s="88" t="s">
        <v>5441</v>
      </c>
      <c r="D4496" s="90"/>
      <c r="E4496" s="88" t="s">
        <v>5451</v>
      </c>
      <c r="F4496" s="89"/>
      <c r="G4496" s="89"/>
      <c r="H4496" s="89"/>
      <c r="I4496" s="90"/>
      <c r="J4496" s="88" t="s">
        <v>770</v>
      </c>
      <c r="K4496" s="89"/>
      <c r="L4496" s="89"/>
      <c r="M4496" s="90"/>
      <c r="N4496" s="88" t="s">
        <v>26</v>
      </c>
      <c r="O4496" s="89"/>
      <c r="P4496" s="90"/>
      <c r="Q4496" s="133">
        <v>658</v>
      </c>
      <c r="R4496" s="134"/>
      <c r="S4496" s="5" t="s">
        <v>814</v>
      </c>
      <c r="T4496" s="8">
        <v>1595</v>
      </c>
      <c r="U4496" s="8">
        <v>4</v>
      </c>
      <c r="V4496" s="5" t="s">
        <v>23</v>
      </c>
      <c r="W4496" s="12">
        <v>2912456</v>
      </c>
      <c r="X4496" s="6"/>
      <c r="Y4496" s="6"/>
    </row>
    <row r="4497" spans="1:25" ht="15" customHeight="1" x14ac:dyDescent="0.2">
      <c r="A4497" s="88" t="s">
        <v>5267</v>
      </c>
      <c r="B4497" s="90"/>
      <c r="C4497" s="88" t="s">
        <v>5452</v>
      </c>
      <c r="D4497" s="90"/>
      <c r="E4497" s="88" t="s">
        <v>5453</v>
      </c>
      <c r="F4497" s="89"/>
      <c r="G4497" s="89"/>
      <c r="H4497" s="89"/>
      <c r="I4497" s="90"/>
      <c r="J4497" s="88" t="s">
        <v>770</v>
      </c>
      <c r="K4497" s="89"/>
      <c r="L4497" s="89"/>
      <c r="M4497" s="90"/>
      <c r="N4497" s="88" t="s">
        <v>26</v>
      </c>
      <c r="O4497" s="89"/>
      <c r="P4497" s="90"/>
      <c r="Q4497" s="133">
        <v>658</v>
      </c>
      <c r="R4497" s="134"/>
      <c r="S4497" s="5" t="s">
        <v>814</v>
      </c>
      <c r="T4497" s="8">
        <v>1120</v>
      </c>
      <c r="U4497" s="8">
        <v>4</v>
      </c>
      <c r="V4497" s="5" t="s">
        <v>23</v>
      </c>
      <c r="W4497" s="12">
        <v>2929223</v>
      </c>
      <c r="X4497" s="6"/>
      <c r="Y4497" s="6"/>
    </row>
    <row r="4498" spans="1:25" ht="15" customHeight="1" x14ac:dyDescent="0.2">
      <c r="A4498" s="88" t="s">
        <v>5267</v>
      </c>
      <c r="B4498" s="90"/>
      <c r="C4498" s="88" t="s">
        <v>5454</v>
      </c>
      <c r="D4498" s="90"/>
      <c r="E4498" s="88" t="s">
        <v>5455</v>
      </c>
      <c r="F4498" s="89"/>
      <c r="G4498" s="89"/>
      <c r="H4498" s="89"/>
      <c r="I4498" s="90"/>
      <c r="J4498" s="88" t="s">
        <v>770</v>
      </c>
      <c r="K4498" s="89"/>
      <c r="L4498" s="89"/>
      <c r="M4498" s="90"/>
      <c r="N4498" s="88" t="s">
        <v>26</v>
      </c>
      <c r="O4498" s="89"/>
      <c r="P4498" s="90"/>
      <c r="Q4498" s="133">
        <v>658</v>
      </c>
      <c r="R4498" s="134"/>
      <c r="S4498" s="5" t="s">
        <v>814</v>
      </c>
      <c r="T4498" s="8">
        <v>1070</v>
      </c>
      <c r="U4498" s="8">
        <v>4</v>
      </c>
      <c r="V4498" s="5" t="s">
        <v>23</v>
      </c>
      <c r="W4498" s="12">
        <v>2270737</v>
      </c>
      <c r="X4498" s="6"/>
      <c r="Y4498" s="6"/>
    </row>
    <row r="4499" spans="1:25" ht="15" customHeight="1" x14ac:dyDescent="0.2">
      <c r="A4499" s="88" t="s">
        <v>5267</v>
      </c>
      <c r="B4499" s="90"/>
      <c r="C4499" s="88" t="s">
        <v>5456</v>
      </c>
      <c r="D4499" s="90"/>
      <c r="E4499" s="88" t="s">
        <v>5457</v>
      </c>
      <c r="F4499" s="89"/>
      <c r="G4499" s="89"/>
      <c r="H4499" s="89"/>
      <c r="I4499" s="90"/>
      <c r="J4499" s="88" t="s">
        <v>963</v>
      </c>
      <c r="K4499" s="89"/>
      <c r="L4499" s="89"/>
      <c r="M4499" s="90"/>
      <c r="N4499" s="88" t="s">
        <v>22</v>
      </c>
      <c r="O4499" s="89"/>
      <c r="P4499" s="90"/>
      <c r="Q4499" s="133">
        <v>658</v>
      </c>
      <c r="R4499" s="134"/>
      <c r="S4499" s="5" t="s">
        <v>945</v>
      </c>
      <c r="T4499" s="8">
        <v>1300</v>
      </c>
      <c r="U4499" s="8">
        <v>2</v>
      </c>
      <c r="V4499" s="6"/>
      <c r="W4499" s="12">
        <v>2609809</v>
      </c>
      <c r="X4499" s="6"/>
      <c r="Y4499" s="6"/>
    </row>
    <row r="4500" spans="1:25" ht="15" customHeight="1" x14ac:dyDescent="0.2">
      <c r="A4500" s="88" t="s">
        <v>5267</v>
      </c>
      <c r="B4500" s="90"/>
      <c r="C4500" s="88" t="s">
        <v>5456</v>
      </c>
      <c r="D4500" s="90"/>
      <c r="E4500" s="88" t="s">
        <v>5458</v>
      </c>
      <c r="F4500" s="89"/>
      <c r="G4500" s="89"/>
      <c r="H4500" s="89"/>
      <c r="I4500" s="90"/>
      <c r="J4500" s="88" t="s">
        <v>963</v>
      </c>
      <c r="K4500" s="89"/>
      <c r="L4500" s="89"/>
      <c r="M4500" s="90"/>
      <c r="N4500" s="88" t="s">
        <v>22</v>
      </c>
      <c r="O4500" s="89"/>
      <c r="P4500" s="90"/>
      <c r="Q4500" s="133">
        <v>658</v>
      </c>
      <c r="R4500" s="134"/>
      <c r="S4500" s="5" t="s">
        <v>945</v>
      </c>
      <c r="T4500" s="8">
        <v>1280</v>
      </c>
      <c r="U4500" s="8">
        <v>2</v>
      </c>
      <c r="V4500" s="5" t="s">
        <v>106</v>
      </c>
      <c r="W4500" s="12">
        <v>2018766</v>
      </c>
      <c r="X4500" s="6"/>
      <c r="Y4500" s="6"/>
    </row>
    <row r="4501" spans="1:25" ht="15" customHeight="1" x14ac:dyDescent="0.2">
      <c r="A4501" s="88" t="s">
        <v>5267</v>
      </c>
      <c r="B4501" s="90"/>
      <c r="C4501" s="88" t="s">
        <v>5456</v>
      </c>
      <c r="D4501" s="90"/>
      <c r="E4501" s="88" t="s">
        <v>5459</v>
      </c>
      <c r="F4501" s="89"/>
      <c r="G4501" s="89"/>
      <c r="H4501" s="89"/>
      <c r="I4501" s="90"/>
      <c r="J4501" s="88" t="s">
        <v>963</v>
      </c>
      <c r="K4501" s="89"/>
      <c r="L4501" s="89"/>
      <c r="M4501" s="90"/>
      <c r="N4501" s="88" t="s">
        <v>22</v>
      </c>
      <c r="O4501" s="89"/>
      <c r="P4501" s="90"/>
      <c r="Q4501" s="133">
        <v>658</v>
      </c>
      <c r="R4501" s="134"/>
      <c r="S4501" s="5" t="s">
        <v>945</v>
      </c>
      <c r="T4501" s="8">
        <v>1300</v>
      </c>
      <c r="U4501" s="8">
        <v>2</v>
      </c>
      <c r="V4501" s="6"/>
      <c r="W4501" s="12">
        <v>2239087</v>
      </c>
      <c r="X4501" s="6"/>
      <c r="Y4501" s="6"/>
    </row>
    <row r="4502" spans="1:25" ht="15" customHeight="1" x14ac:dyDescent="0.2">
      <c r="A4502" s="88" t="s">
        <v>5267</v>
      </c>
      <c r="B4502" s="90"/>
      <c r="C4502" s="88" t="s">
        <v>5456</v>
      </c>
      <c r="D4502" s="90"/>
      <c r="E4502" s="88" t="s">
        <v>5459</v>
      </c>
      <c r="F4502" s="89"/>
      <c r="G4502" s="89"/>
      <c r="H4502" s="89"/>
      <c r="I4502" s="90"/>
      <c r="J4502" s="88" t="s">
        <v>770</v>
      </c>
      <c r="K4502" s="89"/>
      <c r="L4502" s="89"/>
      <c r="M4502" s="90"/>
      <c r="N4502" s="88" t="s">
        <v>22</v>
      </c>
      <c r="O4502" s="89"/>
      <c r="P4502" s="90"/>
      <c r="Q4502" s="133">
        <v>658</v>
      </c>
      <c r="R4502" s="134"/>
      <c r="S4502" s="5" t="s">
        <v>945</v>
      </c>
      <c r="T4502" s="8">
        <v>1300</v>
      </c>
      <c r="U4502" s="8">
        <v>2</v>
      </c>
      <c r="V4502" s="5" t="s">
        <v>23</v>
      </c>
      <c r="W4502" s="12">
        <v>2239087</v>
      </c>
      <c r="X4502" s="6"/>
      <c r="Y4502" s="6"/>
    </row>
    <row r="4503" spans="1:25" ht="15" customHeight="1" x14ac:dyDescent="0.2">
      <c r="A4503" s="88" t="s">
        <v>5267</v>
      </c>
      <c r="B4503" s="90"/>
      <c r="C4503" s="88" t="s">
        <v>5456</v>
      </c>
      <c r="D4503" s="90"/>
      <c r="E4503" s="88" t="s">
        <v>5460</v>
      </c>
      <c r="F4503" s="89"/>
      <c r="G4503" s="89"/>
      <c r="H4503" s="89"/>
      <c r="I4503" s="90"/>
      <c r="J4503" s="88" t="s">
        <v>963</v>
      </c>
      <c r="K4503" s="89"/>
      <c r="L4503" s="89"/>
      <c r="M4503" s="90"/>
      <c r="N4503" s="88" t="s">
        <v>22</v>
      </c>
      <c r="O4503" s="89"/>
      <c r="P4503" s="90"/>
      <c r="Q4503" s="133">
        <v>658</v>
      </c>
      <c r="R4503" s="134"/>
      <c r="S4503" s="5" t="s">
        <v>945</v>
      </c>
      <c r="T4503" s="8">
        <v>1290</v>
      </c>
      <c r="U4503" s="8">
        <v>2</v>
      </c>
      <c r="V4503" s="5" t="s">
        <v>23</v>
      </c>
      <c r="W4503" s="12">
        <v>2239087</v>
      </c>
      <c r="X4503" s="6"/>
      <c r="Y4503" s="6"/>
    </row>
    <row r="4504" spans="1:25" ht="15" customHeight="1" x14ac:dyDescent="0.2">
      <c r="A4504" s="88" t="s">
        <v>5267</v>
      </c>
      <c r="B4504" s="90"/>
      <c r="C4504" s="88" t="s">
        <v>5456</v>
      </c>
      <c r="D4504" s="90"/>
      <c r="E4504" s="88" t="s">
        <v>5458</v>
      </c>
      <c r="F4504" s="89"/>
      <c r="G4504" s="89"/>
      <c r="H4504" s="89"/>
      <c r="I4504" s="90"/>
      <c r="J4504" s="88" t="s">
        <v>963</v>
      </c>
      <c r="K4504" s="89"/>
      <c r="L4504" s="89"/>
      <c r="M4504" s="90"/>
      <c r="N4504" s="88" t="s">
        <v>22</v>
      </c>
      <c r="O4504" s="89"/>
      <c r="P4504" s="90"/>
      <c r="Q4504" s="133">
        <v>658</v>
      </c>
      <c r="R4504" s="134"/>
      <c r="S4504" s="5" t="s">
        <v>945</v>
      </c>
      <c r="T4504" s="8">
        <v>1280</v>
      </c>
      <c r="U4504" s="8">
        <v>2</v>
      </c>
      <c r="V4504" s="5" t="s">
        <v>23</v>
      </c>
      <c r="W4504" s="12">
        <v>2018766</v>
      </c>
      <c r="X4504" s="6"/>
      <c r="Y4504" s="6"/>
    </row>
    <row r="4505" spans="1:25" ht="15" customHeight="1" x14ac:dyDescent="0.2">
      <c r="A4505" s="88" t="s">
        <v>5267</v>
      </c>
      <c r="B4505" s="90"/>
      <c r="C4505" s="88" t="s">
        <v>5456</v>
      </c>
      <c r="D4505" s="90"/>
      <c r="E4505" s="88" t="s">
        <v>5461</v>
      </c>
      <c r="F4505" s="89"/>
      <c r="G4505" s="89"/>
      <c r="H4505" s="89"/>
      <c r="I4505" s="90"/>
      <c r="J4505" s="88" t="s">
        <v>963</v>
      </c>
      <c r="K4505" s="89"/>
      <c r="L4505" s="89"/>
      <c r="M4505" s="90"/>
      <c r="N4505" s="88" t="s">
        <v>22</v>
      </c>
      <c r="O4505" s="89"/>
      <c r="P4505" s="90"/>
      <c r="Q4505" s="133">
        <v>658</v>
      </c>
      <c r="R4505" s="134"/>
      <c r="S4505" s="5" t="s">
        <v>945</v>
      </c>
      <c r="T4505" s="8">
        <v>1280</v>
      </c>
      <c r="U4505" s="8">
        <v>2</v>
      </c>
      <c r="V4505" s="5" t="s">
        <v>23</v>
      </c>
      <c r="W4505" s="12">
        <v>1943314</v>
      </c>
      <c r="X4505" s="6"/>
      <c r="Y4505" s="6"/>
    </row>
    <row r="4506" spans="1:25" ht="15" customHeight="1" x14ac:dyDescent="0.2">
      <c r="A4506" s="88" t="s">
        <v>5267</v>
      </c>
      <c r="B4506" s="90"/>
      <c r="C4506" s="88" t="s">
        <v>5462</v>
      </c>
      <c r="D4506" s="90"/>
      <c r="E4506" s="88" t="s">
        <v>5463</v>
      </c>
      <c r="F4506" s="89"/>
      <c r="G4506" s="89"/>
      <c r="H4506" s="89"/>
      <c r="I4506" s="90"/>
      <c r="J4506" s="88" t="s">
        <v>770</v>
      </c>
      <c r="K4506" s="89"/>
      <c r="L4506" s="89"/>
      <c r="M4506" s="90"/>
      <c r="N4506" s="88" t="s">
        <v>26</v>
      </c>
      <c r="O4506" s="89"/>
      <c r="P4506" s="90"/>
      <c r="Q4506" s="133">
        <v>1197</v>
      </c>
      <c r="R4506" s="134"/>
      <c r="S4506" s="5" t="s">
        <v>5270</v>
      </c>
      <c r="T4506" s="8">
        <v>1225</v>
      </c>
      <c r="U4506" s="8">
        <v>5</v>
      </c>
      <c r="V4506" s="5" t="s">
        <v>23</v>
      </c>
      <c r="W4506" s="12">
        <v>3633444</v>
      </c>
      <c r="X4506" s="6"/>
      <c r="Y4506" s="6"/>
    </row>
    <row r="4507" spans="1:25" ht="15" customHeight="1" x14ac:dyDescent="0.2">
      <c r="A4507" s="88" t="s">
        <v>5267</v>
      </c>
      <c r="B4507" s="90"/>
      <c r="C4507" s="88" t="s">
        <v>5464</v>
      </c>
      <c r="D4507" s="90"/>
      <c r="E4507" s="88" t="s">
        <v>5465</v>
      </c>
      <c r="F4507" s="89"/>
      <c r="G4507" s="89"/>
      <c r="H4507" s="89"/>
      <c r="I4507" s="90"/>
      <c r="J4507" s="88" t="s">
        <v>770</v>
      </c>
      <c r="K4507" s="89"/>
      <c r="L4507" s="89"/>
      <c r="M4507" s="90"/>
      <c r="N4507" s="88" t="s">
        <v>26</v>
      </c>
      <c r="O4507" s="89"/>
      <c r="P4507" s="90"/>
      <c r="Q4507" s="133">
        <v>1242</v>
      </c>
      <c r="R4507" s="134"/>
      <c r="S4507" s="5" t="s">
        <v>5270</v>
      </c>
      <c r="T4507" s="8">
        <v>1185</v>
      </c>
      <c r="U4507" s="8">
        <v>5</v>
      </c>
      <c r="V4507" s="5" t="s">
        <v>23</v>
      </c>
      <c r="W4507" s="12">
        <v>3170503</v>
      </c>
      <c r="X4507" s="6"/>
      <c r="Y4507" s="6"/>
    </row>
    <row r="4508" spans="1:25" ht="15" customHeight="1" x14ac:dyDescent="0.2">
      <c r="A4508" s="88" t="s">
        <v>5267</v>
      </c>
      <c r="B4508" s="90"/>
      <c r="C4508" s="88" t="s">
        <v>5464</v>
      </c>
      <c r="D4508" s="90"/>
      <c r="E4508" s="88" t="s">
        <v>5466</v>
      </c>
      <c r="F4508" s="89"/>
      <c r="G4508" s="89"/>
      <c r="H4508" s="89"/>
      <c r="I4508" s="90"/>
      <c r="J4508" s="88" t="s">
        <v>770</v>
      </c>
      <c r="K4508" s="89"/>
      <c r="L4508" s="89"/>
      <c r="M4508" s="90"/>
      <c r="N4508" s="88" t="s">
        <v>26</v>
      </c>
      <c r="O4508" s="89"/>
      <c r="P4508" s="90"/>
      <c r="Q4508" s="133">
        <v>1242</v>
      </c>
      <c r="R4508" s="134"/>
      <c r="S4508" s="5" t="s">
        <v>5270</v>
      </c>
      <c r="T4508" s="8">
        <v>1185</v>
      </c>
      <c r="U4508" s="8">
        <v>4</v>
      </c>
      <c r="V4508" s="5" t="s">
        <v>23</v>
      </c>
      <c r="W4508" s="12">
        <v>2634055</v>
      </c>
      <c r="X4508" s="6"/>
      <c r="Y4508" s="6"/>
    </row>
    <row r="4509" spans="1:25" ht="15" customHeight="1" x14ac:dyDescent="0.2">
      <c r="A4509" s="88" t="s">
        <v>5267</v>
      </c>
      <c r="B4509" s="90"/>
      <c r="C4509" s="88" t="s">
        <v>5467</v>
      </c>
      <c r="D4509" s="90"/>
      <c r="E4509" s="88" t="s">
        <v>5468</v>
      </c>
      <c r="F4509" s="89"/>
      <c r="G4509" s="89"/>
      <c r="H4509" s="89"/>
      <c r="I4509" s="90"/>
      <c r="J4509" s="88" t="s">
        <v>5277</v>
      </c>
      <c r="K4509" s="89"/>
      <c r="L4509" s="89"/>
      <c r="M4509" s="90"/>
      <c r="N4509" s="88" t="s">
        <v>26</v>
      </c>
      <c r="O4509" s="89"/>
      <c r="P4509" s="90"/>
      <c r="Q4509" s="133">
        <v>1242</v>
      </c>
      <c r="R4509" s="134"/>
      <c r="S4509" s="5" t="s">
        <v>5270</v>
      </c>
      <c r="T4509" s="8">
        <v>1235</v>
      </c>
      <c r="U4509" s="8">
        <v>5</v>
      </c>
      <c r="V4509" s="5" t="s">
        <v>23</v>
      </c>
      <c r="W4509" s="12">
        <v>3026473</v>
      </c>
      <c r="X4509" s="6"/>
      <c r="Y4509" s="6"/>
    </row>
    <row r="4510" spans="1:25" ht="15" customHeight="1" x14ac:dyDescent="0.2">
      <c r="A4510" s="88" t="s">
        <v>5267</v>
      </c>
      <c r="B4510" s="90"/>
      <c r="C4510" s="88" t="s">
        <v>5469</v>
      </c>
      <c r="D4510" s="90"/>
      <c r="E4510" s="88" t="s">
        <v>5470</v>
      </c>
      <c r="F4510" s="89"/>
      <c r="G4510" s="89"/>
      <c r="H4510" s="89"/>
      <c r="I4510" s="90"/>
      <c r="J4510" s="88" t="s">
        <v>5277</v>
      </c>
      <c r="K4510" s="89"/>
      <c r="L4510" s="89"/>
      <c r="M4510" s="90"/>
      <c r="N4510" s="88" t="s">
        <v>26</v>
      </c>
      <c r="O4510" s="89"/>
      <c r="P4510" s="90"/>
      <c r="Q4510" s="133">
        <v>1242</v>
      </c>
      <c r="R4510" s="134"/>
      <c r="S4510" s="5" t="s">
        <v>5270</v>
      </c>
      <c r="T4510" s="8">
        <v>1245</v>
      </c>
      <c r="U4510" s="8">
        <v>5</v>
      </c>
      <c r="V4510" s="5" t="s">
        <v>23</v>
      </c>
      <c r="W4510" s="12">
        <v>3500648</v>
      </c>
      <c r="X4510" s="6"/>
      <c r="Y4510" s="6"/>
    </row>
    <row r="4511" spans="1:25" ht="15" customHeight="1" x14ac:dyDescent="0.2">
      <c r="A4511" s="88" t="s">
        <v>5267</v>
      </c>
      <c r="B4511" s="90"/>
      <c r="C4511" s="88" t="s">
        <v>5469</v>
      </c>
      <c r="D4511" s="90"/>
      <c r="E4511" s="88" t="s">
        <v>5471</v>
      </c>
      <c r="F4511" s="89"/>
      <c r="G4511" s="89"/>
      <c r="H4511" s="89"/>
      <c r="I4511" s="90"/>
      <c r="J4511" s="88" t="s">
        <v>5277</v>
      </c>
      <c r="K4511" s="89"/>
      <c r="L4511" s="89"/>
      <c r="M4511" s="90"/>
      <c r="N4511" s="88" t="s">
        <v>26</v>
      </c>
      <c r="O4511" s="89"/>
      <c r="P4511" s="90"/>
      <c r="Q4511" s="133">
        <v>1242</v>
      </c>
      <c r="R4511" s="134"/>
      <c r="S4511" s="5" t="s">
        <v>5270</v>
      </c>
      <c r="T4511" s="8">
        <v>1245</v>
      </c>
      <c r="U4511" s="8">
        <v>5</v>
      </c>
      <c r="V4511" s="5" t="s">
        <v>23</v>
      </c>
      <c r="W4511" s="12">
        <v>3262890</v>
      </c>
      <c r="X4511" s="6"/>
      <c r="Y4511" s="6"/>
    </row>
    <row r="4512" spans="1:25" ht="15" customHeight="1" x14ac:dyDescent="0.2">
      <c r="A4512" s="88" t="s">
        <v>5267</v>
      </c>
      <c r="B4512" s="90"/>
      <c r="C4512" s="88" t="s">
        <v>5472</v>
      </c>
      <c r="D4512" s="90"/>
      <c r="E4512" s="88" t="s">
        <v>5473</v>
      </c>
      <c r="F4512" s="89"/>
      <c r="G4512" s="89"/>
      <c r="H4512" s="89"/>
      <c r="I4512" s="90"/>
      <c r="J4512" s="88" t="s">
        <v>2179</v>
      </c>
      <c r="K4512" s="89"/>
      <c r="L4512" s="89"/>
      <c r="M4512" s="90"/>
      <c r="N4512" s="88" t="s">
        <v>1296</v>
      </c>
      <c r="O4512" s="89"/>
      <c r="P4512" s="90"/>
      <c r="Q4512" s="133">
        <v>1371</v>
      </c>
      <c r="R4512" s="134"/>
      <c r="S4512" s="5" t="s">
        <v>5270</v>
      </c>
      <c r="T4512" s="8">
        <v>1265</v>
      </c>
      <c r="U4512" s="8">
        <v>5</v>
      </c>
      <c r="V4512" s="5" t="s">
        <v>23</v>
      </c>
      <c r="W4512" s="12">
        <v>3749640</v>
      </c>
      <c r="X4512" s="6"/>
      <c r="Y4512" s="6"/>
    </row>
    <row r="4513" spans="1:25" ht="15" customHeight="1" x14ac:dyDescent="0.2">
      <c r="A4513" s="88" t="s">
        <v>5267</v>
      </c>
      <c r="B4513" s="90"/>
      <c r="C4513" s="88" t="s">
        <v>5472</v>
      </c>
      <c r="D4513" s="90"/>
      <c r="E4513" s="88" t="s">
        <v>5474</v>
      </c>
      <c r="F4513" s="89"/>
      <c r="G4513" s="89"/>
      <c r="H4513" s="89"/>
      <c r="I4513" s="90"/>
      <c r="J4513" s="88" t="s">
        <v>1718</v>
      </c>
      <c r="K4513" s="89"/>
      <c r="L4513" s="89"/>
      <c r="M4513" s="90"/>
      <c r="N4513" s="88" t="s">
        <v>26</v>
      </c>
      <c r="O4513" s="89"/>
      <c r="P4513" s="90"/>
      <c r="Q4513" s="133">
        <v>1371</v>
      </c>
      <c r="R4513" s="134"/>
      <c r="S4513" s="5" t="s">
        <v>5270</v>
      </c>
      <c r="T4513" s="8">
        <v>1245</v>
      </c>
      <c r="U4513" s="8">
        <v>5</v>
      </c>
      <c r="V4513" s="5" t="s">
        <v>23</v>
      </c>
      <c r="W4513" s="12">
        <v>3401051</v>
      </c>
      <c r="X4513" s="6"/>
      <c r="Y4513" s="6"/>
    </row>
    <row r="4514" spans="1:25" ht="15" customHeight="1" x14ac:dyDescent="0.2">
      <c r="A4514" s="88" t="s">
        <v>5267</v>
      </c>
      <c r="B4514" s="90"/>
      <c r="C4514" s="88" t="s">
        <v>5472</v>
      </c>
      <c r="D4514" s="90"/>
      <c r="E4514" s="88" t="s">
        <v>5475</v>
      </c>
      <c r="F4514" s="89"/>
      <c r="G4514" s="89"/>
      <c r="H4514" s="89"/>
      <c r="I4514" s="90"/>
      <c r="J4514" s="88" t="s">
        <v>2179</v>
      </c>
      <c r="K4514" s="89"/>
      <c r="L4514" s="89"/>
      <c r="M4514" s="90"/>
      <c r="N4514" s="88" t="s">
        <v>26</v>
      </c>
      <c r="O4514" s="89"/>
      <c r="P4514" s="90"/>
      <c r="Q4514" s="133">
        <v>1371</v>
      </c>
      <c r="R4514" s="134"/>
      <c r="S4514" s="5" t="s">
        <v>5270</v>
      </c>
      <c r="T4514" s="8">
        <v>1265</v>
      </c>
      <c r="U4514" s="8">
        <v>5</v>
      </c>
      <c r="V4514" s="5" t="s">
        <v>23</v>
      </c>
      <c r="W4514" s="12">
        <v>3749640</v>
      </c>
      <c r="X4514" s="6"/>
      <c r="Y4514" s="6"/>
    </row>
    <row r="4515" spans="1:25" ht="15" customHeight="1" x14ac:dyDescent="0.2">
      <c r="A4515" s="88" t="s">
        <v>5267</v>
      </c>
      <c r="B4515" s="90"/>
      <c r="C4515" s="88" t="s">
        <v>5472</v>
      </c>
      <c r="D4515" s="90"/>
      <c r="E4515" s="88" t="s">
        <v>5468</v>
      </c>
      <c r="F4515" s="89"/>
      <c r="G4515" s="89"/>
      <c r="H4515" s="89"/>
      <c r="I4515" s="90"/>
      <c r="J4515" s="88" t="s">
        <v>1718</v>
      </c>
      <c r="K4515" s="89"/>
      <c r="L4515" s="89"/>
      <c r="M4515" s="90"/>
      <c r="N4515" s="88" t="s">
        <v>26</v>
      </c>
      <c r="O4515" s="89"/>
      <c r="P4515" s="90"/>
      <c r="Q4515" s="133">
        <v>1371</v>
      </c>
      <c r="R4515" s="134"/>
      <c r="S4515" s="5" t="s">
        <v>5270</v>
      </c>
      <c r="T4515" s="8">
        <v>1245</v>
      </c>
      <c r="U4515" s="8">
        <v>5</v>
      </c>
      <c r="V4515" s="5" t="s">
        <v>23</v>
      </c>
      <c r="W4515" s="12">
        <v>2850418</v>
      </c>
      <c r="X4515" s="6"/>
      <c r="Y4515" s="6"/>
    </row>
    <row r="4516" spans="1:25" ht="15" customHeight="1" x14ac:dyDescent="0.2">
      <c r="A4516" s="88" t="s">
        <v>5267</v>
      </c>
      <c r="B4516" s="90"/>
      <c r="C4516" s="88" t="s">
        <v>5472</v>
      </c>
      <c r="D4516" s="90"/>
      <c r="E4516" s="88" t="s">
        <v>5476</v>
      </c>
      <c r="F4516" s="89"/>
      <c r="G4516" s="89"/>
      <c r="H4516" s="89"/>
      <c r="I4516" s="90"/>
      <c r="J4516" s="88" t="s">
        <v>5477</v>
      </c>
      <c r="K4516" s="89"/>
      <c r="L4516" s="89"/>
      <c r="M4516" s="90"/>
      <c r="N4516" s="88" t="s">
        <v>26</v>
      </c>
      <c r="O4516" s="89"/>
      <c r="P4516" s="90"/>
      <c r="Q4516" s="133">
        <v>1371</v>
      </c>
      <c r="R4516" s="134"/>
      <c r="S4516" s="5" t="s">
        <v>5270</v>
      </c>
      <c r="T4516" s="8">
        <v>1245</v>
      </c>
      <c r="U4516" s="8">
        <v>5</v>
      </c>
      <c r="V4516" s="5" t="s">
        <v>23</v>
      </c>
      <c r="W4516" s="12">
        <v>3155580</v>
      </c>
      <c r="X4516" s="6"/>
      <c r="Y4516" s="6"/>
    </row>
    <row r="4517" spans="1:25" ht="15" customHeight="1" x14ac:dyDescent="0.2">
      <c r="A4517" s="88" t="s">
        <v>5267</v>
      </c>
      <c r="B4517" s="90"/>
      <c r="C4517" s="88" t="s">
        <v>5472</v>
      </c>
      <c r="D4517" s="90"/>
      <c r="E4517" s="88" t="s">
        <v>5478</v>
      </c>
      <c r="F4517" s="89"/>
      <c r="G4517" s="89"/>
      <c r="H4517" s="89"/>
      <c r="I4517" s="90"/>
      <c r="J4517" s="88" t="s">
        <v>1718</v>
      </c>
      <c r="K4517" s="89"/>
      <c r="L4517" s="89"/>
      <c r="M4517" s="90"/>
      <c r="N4517" s="88" t="s">
        <v>26</v>
      </c>
      <c r="O4517" s="89"/>
      <c r="P4517" s="90"/>
      <c r="Q4517" s="133">
        <v>1371</v>
      </c>
      <c r="R4517" s="134"/>
      <c r="S4517" s="5" t="s">
        <v>5270</v>
      </c>
      <c r="T4517" s="8">
        <v>1245</v>
      </c>
      <c r="U4517" s="8">
        <v>4</v>
      </c>
      <c r="V4517" s="5" t="s">
        <v>23</v>
      </c>
      <c r="W4517" s="12">
        <v>2859447</v>
      </c>
      <c r="X4517" s="6"/>
      <c r="Y4517" s="6"/>
    </row>
    <row r="4518" spans="1:25" ht="15" customHeight="1" x14ac:dyDescent="0.2">
      <c r="A4518" s="88" t="s">
        <v>5267</v>
      </c>
      <c r="B4518" s="90"/>
      <c r="C4518" s="88" t="s">
        <v>5472</v>
      </c>
      <c r="D4518" s="90"/>
      <c r="E4518" s="88" t="s">
        <v>5479</v>
      </c>
      <c r="F4518" s="89"/>
      <c r="G4518" s="89"/>
      <c r="H4518" s="89"/>
      <c r="I4518" s="90"/>
      <c r="J4518" s="88" t="s">
        <v>1718</v>
      </c>
      <c r="K4518" s="89"/>
      <c r="L4518" s="89"/>
      <c r="M4518" s="90"/>
      <c r="N4518" s="88" t="s">
        <v>26</v>
      </c>
      <c r="O4518" s="89"/>
      <c r="P4518" s="90"/>
      <c r="Q4518" s="133">
        <v>1371</v>
      </c>
      <c r="R4518" s="134"/>
      <c r="S4518" s="5" t="s">
        <v>5270</v>
      </c>
      <c r="T4518" s="8">
        <v>1245</v>
      </c>
      <c r="U4518" s="8">
        <v>5</v>
      </c>
      <c r="V4518" s="5" t="s">
        <v>23</v>
      </c>
      <c r="W4518" s="12">
        <v>3382607</v>
      </c>
      <c r="X4518" s="6"/>
      <c r="Y4518" s="6"/>
    </row>
    <row r="4519" spans="1:25" ht="15" customHeight="1" x14ac:dyDescent="0.2">
      <c r="A4519" s="88" t="s">
        <v>5267</v>
      </c>
      <c r="B4519" s="90"/>
      <c r="C4519" s="88" t="s">
        <v>5480</v>
      </c>
      <c r="D4519" s="90"/>
      <c r="E4519" s="88" t="s">
        <v>5481</v>
      </c>
      <c r="F4519" s="89"/>
      <c r="G4519" s="89"/>
      <c r="H4519" s="89"/>
      <c r="I4519" s="90"/>
      <c r="J4519" s="88" t="s">
        <v>2179</v>
      </c>
      <c r="K4519" s="89"/>
      <c r="L4519" s="89"/>
      <c r="M4519" s="90"/>
      <c r="N4519" s="88" t="s">
        <v>26</v>
      </c>
      <c r="O4519" s="89"/>
      <c r="P4519" s="90"/>
      <c r="Q4519" s="133">
        <v>1586</v>
      </c>
      <c r="R4519" s="134"/>
      <c r="S4519" s="5" t="s">
        <v>16</v>
      </c>
      <c r="T4519" s="8">
        <v>1425</v>
      </c>
      <c r="U4519" s="8">
        <v>5</v>
      </c>
      <c r="V4519" s="5" t="s">
        <v>23</v>
      </c>
      <c r="W4519" s="12">
        <v>3335967</v>
      </c>
      <c r="X4519" s="6"/>
      <c r="Y4519" s="6"/>
    </row>
    <row r="4520" spans="1:25" ht="15" customHeight="1" x14ac:dyDescent="0.2">
      <c r="A4520" s="88" t="s">
        <v>5267</v>
      </c>
      <c r="B4520" s="90"/>
      <c r="C4520" s="88" t="s">
        <v>5482</v>
      </c>
      <c r="D4520" s="90"/>
      <c r="E4520" s="88" t="s">
        <v>5483</v>
      </c>
      <c r="F4520" s="89"/>
      <c r="G4520" s="89"/>
      <c r="H4520" s="89"/>
      <c r="I4520" s="90"/>
      <c r="J4520" s="88" t="s">
        <v>2179</v>
      </c>
      <c r="K4520" s="89"/>
      <c r="L4520" s="89"/>
      <c r="M4520" s="90"/>
      <c r="N4520" s="88" t="s">
        <v>26</v>
      </c>
      <c r="O4520" s="89"/>
      <c r="P4520" s="90"/>
      <c r="Q4520" s="133">
        <v>1586</v>
      </c>
      <c r="R4520" s="134"/>
      <c r="S4520" s="5" t="s">
        <v>16</v>
      </c>
      <c r="T4520" s="8">
        <v>1425</v>
      </c>
      <c r="U4520" s="8">
        <v>5</v>
      </c>
      <c r="V4520" s="5" t="s">
        <v>23</v>
      </c>
      <c r="W4520" s="12">
        <v>3461720</v>
      </c>
      <c r="X4520" s="6"/>
      <c r="Y4520" s="6"/>
    </row>
    <row r="4521" spans="1:25" ht="15" customHeight="1" x14ac:dyDescent="0.2">
      <c r="A4521" s="88" t="s">
        <v>5267</v>
      </c>
      <c r="B4521" s="90"/>
      <c r="C4521" s="88" t="s">
        <v>5484</v>
      </c>
      <c r="D4521" s="90"/>
      <c r="E4521" s="88" t="s">
        <v>5485</v>
      </c>
      <c r="F4521" s="89"/>
      <c r="G4521" s="89"/>
      <c r="H4521" s="89"/>
      <c r="I4521" s="90"/>
      <c r="J4521" s="88" t="s">
        <v>770</v>
      </c>
      <c r="K4521" s="89"/>
      <c r="L4521" s="89"/>
      <c r="M4521" s="90"/>
      <c r="N4521" s="88" t="s">
        <v>26</v>
      </c>
      <c r="O4521" s="89"/>
      <c r="P4521" s="90"/>
      <c r="Q4521" s="133">
        <v>657</v>
      </c>
      <c r="R4521" s="134"/>
      <c r="S4521" s="5" t="s">
        <v>70</v>
      </c>
      <c r="T4521" s="8">
        <v>1040</v>
      </c>
      <c r="U4521" s="8">
        <v>4</v>
      </c>
      <c r="V4521" s="5" t="s">
        <v>23</v>
      </c>
      <c r="W4521" s="12">
        <v>2528488</v>
      </c>
      <c r="X4521" s="6"/>
      <c r="Y4521" s="6"/>
    </row>
    <row r="4522" spans="1:25" ht="15" customHeight="1" x14ac:dyDescent="0.2">
      <c r="A4522" s="88" t="s">
        <v>5267</v>
      </c>
      <c r="B4522" s="90"/>
      <c r="C4522" s="88" t="s">
        <v>5484</v>
      </c>
      <c r="D4522" s="90"/>
      <c r="E4522" s="88" t="s">
        <v>5486</v>
      </c>
      <c r="F4522" s="89"/>
      <c r="G4522" s="89"/>
      <c r="H4522" s="89"/>
      <c r="I4522" s="90"/>
      <c r="J4522" s="88" t="s">
        <v>770</v>
      </c>
      <c r="K4522" s="89"/>
      <c r="L4522" s="89"/>
      <c r="M4522" s="90"/>
      <c r="N4522" s="88" t="s">
        <v>22</v>
      </c>
      <c r="O4522" s="89"/>
      <c r="P4522" s="90"/>
      <c r="Q4522" s="133">
        <v>657</v>
      </c>
      <c r="R4522" s="134"/>
      <c r="S4522" s="5" t="s">
        <v>70</v>
      </c>
      <c r="T4522" s="8">
        <v>1020</v>
      </c>
      <c r="U4522" s="8">
        <v>4</v>
      </c>
      <c r="V4522" s="5" t="s">
        <v>23</v>
      </c>
      <c r="W4522" s="12">
        <v>2528488</v>
      </c>
      <c r="X4522" s="6"/>
      <c r="Y4522" s="6"/>
    </row>
    <row r="4523" spans="1:25" ht="15" customHeight="1" x14ac:dyDescent="0.2">
      <c r="A4523" s="88" t="s">
        <v>5267</v>
      </c>
      <c r="B4523" s="90"/>
      <c r="C4523" s="88" t="s">
        <v>5484</v>
      </c>
      <c r="D4523" s="90"/>
      <c r="E4523" s="88" t="s">
        <v>5486</v>
      </c>
      <c r="F4523" s="89"/>
      <c r="G4523" s="89"/>
      <c r="H4523" s="89"/>
      <c r="I4523" s="90"/>
      <c r="J4523" s="88" t="s">
        <v>770</v>
      </c>
      <c r="K4523" s="89"/>
      <c r="L4523" s="89"/>
      <c r="M4523" s="90"/>
      <c r="N4523" s="88" t="s">
        <v>26</v>
      </c>
      <c r="O4523" s="89"/>
      <c r="P4523" s="90"/>
      <c r="Q4523" s="133">
        <v>657</v>
      </c>
      <c r="R4523" s="134"/>
      <c r="S4523" s="5" t="s">
        <v>70</v>
      </c>
      <c r="T4523" s="8">
        <v>1595</v>
      </c>
      <c r="U4523" s="8">
        <v>4</v>
      </c>
      <c r="V4523" s="5" t="s">
        <v>23</v>
      </c>
      <c r="W4523" s="12">
        <v>2411118</v>
      </c>
      <c r="X4523" s="6"/>
      <c r="Y4523" s="6"/>
    </row>
    <row r="4524" spans="1:25" ht="15" customHeight="1" x14ac:dyDescent="0.2">
      <c r="A4524" s="88" t="s">
        <v>5267</v>
      </c>
      <c r="B4524" s="90"/>
      <c r="C4524" s="88" t="s">
        <v>5484</v>
      </c>
      <c r="D4524" s="90"/>
      <c r="E4524" s="88" t="s">
        <v>5487</v>
      </c>
      <c r="F4524" s="89"/>
      <c r="G4524" s="89"/>
      <c r="H4524" s="89"/>
      <c r="I4524" s="90"/>
      <c r="J4524" s="88" t="s">
        <v>770</v>
      </c>
      <c r="K4524" s="89"/>
      <c r="L4524" s="89"/>
      <c r="M4524" s="90"/>
      <c r="N4524" s="88" t="s">
        <v>26</v>
      </c>
      <c r="O4524" s="89"/>
      <c r="P4524" s="90"/>
      <c r="Q4524" s="133">
        <v>658</v>
      </c>
      <c r="R4524" s="134"/>
      <c r="S4524" s="5" t="s">
        <v>70</v>
      </c>
      <c r="T4524" s="8">
        <v>1040</v>
      </c>
      <c r="U4524" s="8">
        <v>4</v>
      </c>
      <c r="V4524" s="5" t="s">
        <v>23</v>
      </c>
      <c r="W4524" s="12">
        <v>2330636</v>
      </c>
      <c r="X4524" s="6"/>
      <c r="Y4524" s="6"/>
    </row>
    <row r="4525" spans="1:25" ht="15" customHeight="1" x14ac:dyDescent="0.2">
      <c r="A4525" s="88" t="s">
        <v>5267</v>
      </c>
      <c r="B4525" s="90"/>
      <c r="C4525" s="88" t="s">
        <v>5484</v>
      </c>
      <c r="D4525" s="90"/>
      <c r="E4525" s="88" t="s">
        <v>5488</v>
      </c>
      <c r="F4525" s="89"/>
      <c r="G4525" s="89"/>
      <c r="H4525" s="89"/>
      <c r="I4525" s="90"/>
      <c r="J4525" s="88" t="s">
        <v>770</v>
      </c>
      <c r="K4525" s="89"/>
      <c r="L4525" s="89"/>
      <c r="M4525" s="90"/>
      <c r="N4525" s="88" t="s">
        <v>26</v>
      </c>
      <c r="O4525" s="89"/>
      <c r="P4525" s="90"/>
      <c r="Q4525" s="133">
        <v>657</v>
      </c>
      <c r="R4525" s="134"/>
      <c r="S4525" s="5" t="s">
        <v>70</v>
      </c>
      <c r="T4525" s="8">
        <v>1595</v>
      </c>
      <c r="U4525" s="8">
        <v>4</v>
      </c>
      <c r="V4525" s="5" t="s">
        <v>23</v>
      </c>
      <c r="W4525" s="12">
        <v>2335666</v>
      </c>
      <c r="X4525" s="6"/>
      <c r="Y4525" s="6"/>
    </row>
    <row r="4526" spans="1:25" ht="15" customHeight="1" x14ac:dyDescent="0.2">
      <c r="A4526" s="88" t="s">
        <v>5267</v>
      </c>
      <c r="B4526" s="90"/>
      <c r="C4526" s="88" t="s">
        <v>5484</v>
      </c>
      <c r="D4526" s="90"/>
      <c r="E4526" s="88" t="s">
        <v>5487</v>
      </c>
      <c r="F4526" s="89"/>
      <c r="G4526" s="89"/>
      <c r="H4526" s="89"/>
      <c r="I4526" s="90"/>
      <c r="J4526" s="88" t="s">
        <v>770</v>
      </c>
      <c r="K4526" s="89"/>
      <c r="L4526" s="89"/>
      <c r="M4526" s="90"/>
      <c r="N4526" s="88" t="s">
        <v>26</v>
      </c>
      <c r="O4526" s="89"/>
      <c r="P4526" s="90"/>
      <c r="Q4526" s="133">
        <v>658</v>
      </c>
      <c r="R4526" s="134"/>
      <c r="S4526" s="5" t="s">
        <v>70</v>
      </c>
      <c r="T4526" s="8">
        <v>890</v>
      </c>
      <c r="U4526" s="8">
        <v>4</v>
      </c>
      <c r="V4526" s="5" t="s">
        <v>23</v>
      </c>
      <c r="W4526" s="12">
        <v>2338018</v>
      </c>
      <c r="X4526" s="6"/>
      <c r="Y4526" s="6"/>
    </row>
    <row r="4527" spans="1:25" ht="15" customHeight="1" x14ac:dyDescent="0.2">
      <c r="A4527" s="88" t="s">
        <v>5267</v>
      </c>
      <c r="B4527" s="90"/>
      <c r="C4527" s="88" t="s">
        <v>5489</v>
      </c>
      <c r="D4527" s="90"/>
      <c r="E4527" s="88" t="s">
        <v>5490</v>
      </c>
      <c r="F4527" s="89"/>
      <c r="G4527" s="89"/>
      <c r="H4527" s="89"/>
      <c r="I4527" s="90"/>
      <c r="J4527" s="88" t="s">
        <v>770</v>
      </c>
      <c r="K4527" s="89"/>
      <c r="L4527" s="89"/>
      <c r="M4527" s="90"/>
      <c r="N4527" s="88" t="s">
        <v>1296</v>
      </c>
      <c r="O4527" s="89"/>
      <c r="P4527" s="90"/>
      <c r="Q4527" s="133">
        <v>657</v>
      </c>
      <c r="R4527" s="134"/>
      <c r="S4527" s="5" t="s">
        <v>70</v>
      </c>
      <c r="T4527" s="8">
        <v>990</v>
      </c>
      <c r="U4527" s="8">
        <v>4</v>
      </c>
      <c r="V4527" s="5" t="s">
        <v>23</v>
      </c>
      <c r="W4527" s="12">
        <v>2453036</v>
      </c>
      <c r="X4527" s="6"/>
      <c r="Y4527" s="6"/>
    </row>
    <row r="4528" spans="1:25" ht="15" customHeight="1" x14ac:dyDescent="0.2">
      <c r="A4528" s="88" t="s">
        <v>5267</v>
      </c>
      <c r="B4528" s="90"/>
      <c r="C4528" s="88" t="s">
        <v>5491</v>
      </c>
      <c r="D4528" s="90"/>
      <c r="E4528" s="88" t="s">
        <v>5492</v>
      </c>
      <c r="F4528" s="89"/>
      <c r="G4528" s="89"/>
      <c r="H4528" s="89"/>
      <c r="I4528" s="90"/>
      <c r="J4528" s="88" t="s">
        <v>770</v>
      </c>
      <c r="K4528" s="89"/>
      <c r="L4528" s="89"/>
      <c r="M4528" s="90"/>
      <c r="N4528" s="88" t="s">
        <v>1296</v>
      </c>
      <c r="O4528" s="89"/>
      <c r="P4528" s="90"/>
      <c r="Q4528" s="133">
        <v>658</v>
      </c>
      <c r="R4528" s="134"/>
      <c r="S4528" s="5" t="s">
        <v>70</v>
      </c>
      <c r="T4528" s="8">
        <v>1020</v>
      </c>
      <c r="U4528" s="8">
        <v>4</v>
      </c>
      <c r="V4528" s="5" t="s">
        <v>23</v>
      </c>
      <c r="W4528" s="12">
        <v>2868023</v>
      </c>
      <c r="X4528" s="6"/>
      <c r="Y4528" s="6"/>
    </row>
    <row r="4529" spans="1:25" ht="15" customHeight="1" x14ac:dyDescent="0.2">
      <c r="A4529" s="88" t="s">
        <v>5267</v>
      </c>
      <c r="B4529" s="90"/>
      <c r="C4529" s="88" t="s">
        <v>5493</v>
      </c>
      <c r="D4529" s="90"/>
      <c r="E4529" s="88" t="s">
        <v>5494</v>
      </c>
      <c r="F4529" s="89"/>
      <c r="G4529" s="89"/>
      <c r="H4529" s="89"/>
      <c r="I4529" s="90"/>
      <c r="J4529" s="88" t="s">
        <v>770</v>
      </c>
      <c r="K4529" s="89"/>
      <c r="L4529" s="89"/>
      <c r="M4529" s="90"/>
      <c r="N4529" s="88" t="s">
        <v>22</v>
      </c>
      <c r="O4529" s="89"/>
      <c r="P4529" s="90"/>
      <c r="Q4529" s="133">
        <v>657</v>
      </c>
      <c r="R4529" s="134"/>
      <c r="S4529" s="5" t="s">
        <v>70</v>
      </c>
      <c r="T4529" s="8">
        <v>1040</v>
      </c>
      <c r="U4529" s="8">
        <v>4</v>
      </c>
      <c r="V4529" s="5" t="s">
        <v>23</v>
      </c>
      <c r="W4529" s="12">
        <v>2764905</v>
      </c>
      <c r="X4529" s="6"/>
      <c r="Y4529" s="6"/>
    </row>
    <row r="4530" spans="1:25" ht="15" customHeight="1" x14ac:dyDescent="0.2">
      <c r="A4530" s="88" t="s">
        <v>5267</v>
      </c>
      <c r="B4530" s="90"/>
      <c r="C4530" s="88" t="s">
        <v>5493</v>
      </c>
      <c r="D4530" s="90"/>
      <c r="E4530" s="88" t="s">
        <v>5494</v>
      </c>
      <c r="F4530" s="89"/>
      <c r="G4530" s="89"/>
      <c r="H4530" s="89"/>
      <c r="I4530" s="90"/>
      <c r="J4530" s="88" t="s">
        <v>770</v>
      </c>
      <c r="K4530" s="89"/>
      <c r="L4530" s="89"/>
      <c r="M4530" s="90"/>
      <c r="N4530" s="88" t="s">
        <v>26</v>
      </c>
      <c r="O4530" s="89"/>
      <c r="P4530" s="90"/>
      <c r="Q4530" s="133">
        <v>657</v>
      </c>
      <c r="R4530" s="134"/>
      <c r="S4530" s="5" t="s">
        <v>70</v>
      </c>
      <c r="T4530" s="8">
        <v>1595</v>
      </c>
      <c r="U4530" s="8">
        <v>4</v>
      </c>
      <c r="V4530" s="5" t="s">
        <v>23</v>
      </c>
      <c r="W4530" s="12">
        <v>2647535</v>
      </c>
      <c r="X4530" s="6"/>
      <c r="Y4530" s="6"/>
    </row>
    <row r="4531" spans="1:25" ht="15" customHeight="1" x14ac:dyDescent="0.2">
      <c r="A4531" s="88" t="s">
        <v>5267</v>
      </c>
      <c r="B4531" s="90"/>
      <c r="C4531" s="88" t="s">
        <v>5493</v>
      </c>
      <c r="D4531" s="90"/>
      <c r="E4531" s="88" t="s">
        <v>5495</v>
      </c>
      <c r="F4531" s="89"/>
      <c r="G4531" s="89"/>
      <c r="H4531" s="89"/>
      <c r="I4531" s="90"/>
      <c r="J4531" s="88" t="s">
        <v>770</v>
      </c>
      <c r="K4531" s="89"/>
      <c r="L4531" s="89"/>
      <c r="M4531" s="90"/>
      <c r="N4531" s="88" t="s">
        <v>26</v>
      </c>
      <c r="O4531" s="89"/>
      <c r="P4531" s="90"/>
      <c r="Q4531" s="133">
        <v>657</v>
      </c>
      <c r="R4531" s="134"/>
      <c r="S4531" s="5" t="s">
        <v>70</v>
      </c>
      <c r="T4531" s="8">
        <v>1050</v>
      </c>
      <c r="U4531" s="8">
        <v>4</v>
      </c>
      <c r="V4531" s="5" t="s">
        <v>23</v>
      </c>
      <c r="W4531" s="12">
        <v>2764905</v>
      </c>
      <c r="X4531" s="6"/>
      <c r="Y4531" s="6"/>
    </row>
    <row r="4532" spans="1:25" ht="15" customHeight="1" x14ac:dyDescent="0.2">
      <c r="A4532" s="88" t="s">
        <v>5267</v>
      </c>
      <c r="B4532" s="90"/>
      <c r="C4532" s="88" t="s">
        <v>5493</v>
      </c>
      <c r="D4532" s="90"/>
      <c r="E4532" s="88" t="s">
        <v>5492</v>
      </c>
      <c r="F4532" s="89"/>
      <c r="G4532" s="89"/>
      <c r="H4532" s="89"/>
      <c r="I4532" s="90"/>
      <c r="J4532" s="88" t="s">
        <v>770</v>
      </c>
      <c r="K4532" s="89"/>
      <c r="L4532" s="89"/>
      <c r="M4532" s="90"/>
      <c r="N4532" s="88" t="s">
        <v>26</v>
      </c>
      <c r="O4532" s="89"/>
      <c r="P4532" s="90"/>
      <c r="Q4532" s="133">
        <v>658</v>
      </c>
      <c r="R4532" s="134"/>
      <c r="S4532" s="5" t="s">
        <v>70</v>
      </c>
      <c r="T4532" s="8">
        <v>1020</v>
      </c>
      <c r="U4532" s="8">
        <v>4</v>
      </c>
      <c r="V4532" s="5" t="s">
        <v>23</v>
      </c>
      <c r="W4532" s="12">
        <v>2868023</v>
      </c>
      <c r="X4532" s="6"/>
      <c r="Y4532" s="6"/>
    </row>
    <row r="4533" spans="1:25" ht="15" customHeight="1" x14ac:dyDescent="0.2">
      <c r="A4533" s="88" t="s">
        <v>5267</v>
      </c>
      <c r="B4533" s="90"/>
      <c r="C4533" s="88" t="s">
        <v>5496</v>
      </c>
      <c r="D4533" s="90"/>
      <c r="E4533" s="88" t="s">
        <v>5497</v>
      </c>
      <c r="F4533" s="89"/>
      <c r="G4533" s="89"/>
      <c r="H4533" s="89"/>
      <c r="I4533" s="90"/>
      <c r="J4533" s="88" t="s">
        <v>770</v>
      </c>
      <c r="K4533" s="89"/>
      <c r="L4533" s="89"/>
      <c r="M4533" s="90"/>
      <c r="N4533" s="88" t="s">
        <v>26</v>
      </c>
      <c r="O4533" s="89"/>
      <c r="P4533" s="90"/>
      <c r="Q4533" s="133">
        <v>658</v>
      </c>
      <c r="R4533" s="134"/>
      <c r="S4533" s="5" t="s">
        <v>70</v>
      </c>
      <c r="T4533" s="8">
        <v>1595</v>
      </c>
      <c r="U4533" s="8">
        <v>4</v>
      </c>
      <c r="V4533" s="5" t="s">
        <v>23</v>
      </c>
      <c r="W4533" s="12">
        <v>2330636</v>
      </c>
      <c r="X4533" s="6"/>
      <c r="Y4533" s="6"/>
    </row>
    <row r="4534" spans="1:25" ht="15" customHeight="1" x14ac:dyDescent="0.2">
      <c r="A4534" s="88" t="s">
        <v>5267</v>
      </c>
      <c r="B4534" s="90"/>
      <c r="C4534" s="88" t="s">
        <v>5498</v>
      </c>
      <c r="D4534" s="90"/>
      <c r="E4534" s="88" t="s">
        <v>5499</v>
      </c>
      <c r="F4534" s="89"/>
      <c r="G4534" s="89"/>
      <c r="H4534" s="89"/>
      <c r="I4534" s="90"/>
      <c r="J4534" s="88" t="s">
        <v>770</v>
      </c>
      <c r="K4534" s="89"/>
      <c r="L4534" s="89"/>
      <c r="M4534" s="90"/>
      <c r="N4534" s="88" t="s">
        <v>26</v>
      </c>
      <c r="O4534" s="89"/>
      <c r="P4534" s="90"/>
      <c r="Q4534" s="133">
        <v>657</v>
      </c>
      <c r="R4534" s="134"/>
      <c r="S4534" s="5" t="s">
        <v>70</v>
      </c>
      <c r="T4534" s="8">
        <v>990</v>
      </c>
      <c r="U4534" s="8">
        <v>4</v>
      </c>
      <c r="V4534" s="5" t="s">
        <v>23</v>
      </c>
      <c r="W4534" s="12">
        <v>2323929</v>
      </c>
      <c r="X4534" s="6"/>
      <c r="Y4534" s="6"/>
    </row>
    <row r="4535" spans="1:25" ht="15" customHeight="1" x14ac:dyDescent="0.2">
      <c r="A4535" s="88" t="s">
        <v>5267</v>
      </c>
      <c r="B4535" s="90"/>
      <c r="C4535" s="88" t="s">
        <v>5498</v>
      </c>
      <c r="D4535" s="90"/>
      <c r="E4535" s="88" t="s">
        <v>5490</v>
      </c>
      <c r="F4535" s="89"/>
      <c r="G4535" s="89"/>
      <c r="H4535" s="89"/>
      <c r="I4535" s="90"/>
      <c r="J4535" s="88" t="s">
        <v>770</v>
      </c>
      <c r="K4535" s="89"/>
      <c r="L4535" s="89"/>
      <c r="M4535" s="90"/>
      <c r="N4535" s="88" t="s">
        <v>26</v>
      </c>
      <c r="O4535" s="89"/>
      <c r="P4535" s="90"/>
      <c r="Q4535" s="133">
        <v>657</v>
      </c>
      <c r="R4535" s="134"/>
      <c r="S4535" s="5" t="s">
        <v>70</v>
      </c>
      <c r="T4535" s="8">
        <v>990</v>
      </c>
      <c r="U4535" s="8">
        <v>4</v>
      </c>
      <c r="V4535" s="5" t="s">
        <v>23</v>
      </c>
      <c r="W4535" s="12">
        <v>2453036</v>
      </c>
      <c r="X4535" s="6"/>
      <c r="Y4535" s="6"/>
    </row>
    <row r="4536" spans="1:25" ht="15" customHeight="1" x14ac:dyDescent="0.2">
      <c r="A4536" s="88" t="s">
        <v>5267</v>
      </c>
      <c r="B4536" s="90"/>
      <c r="C4536" s="88" t="s">
        <v>5500</v>
      </c>
      <c r="D4536" s="90"/>
      <c r="E4536" s="88" t="s">
        <v>5501</v>
      </c>
      <c r="F4536" s="89"/>
      <c r="G4536" s="89"/>
      <c r="H4536" s="89"/>
      <c r="I4536" s="90"/>
      <c r="J4536" s="88" t="s">
        <v>770</v>
      </c>
      <c r="K4536" s="89"/>
      <c r="L4536" s="89"/>
      <c r="M4536" s="90"/>
      <c r="N4536" s="88" t="s">
        <v>26</v>
      </c>
      <c r="O4536" s="89"/>
      <c r="P4536" s="90"/>
      <c r="Q4536" s="133">
        <v>658</v>
      </c>
      <c r="R4536" s="134"/>
      <c r="S4536" s="5" t="s">
        <v>70</v>
      </c>
      <c r="T4536" s="8">
        <v>1010</v>
      </c>
      <c r="U4536" s="8">
        <v>4</v>
      </c>
      <c r="V4536" s="5" t="s">
        <v>23</v>
      </c>
      <c r="W4536" s="12">
        <v>2095895</v>
      </c>
      <c r="X4536" s="6"/>
      <c r="Y4536" s="6"/>
    </row>
    <row r="4537" spans="1:25" ht="15" customHeight="1" x14ac:dyDescent="0.2">
      <c r="A4537" s="88" t="s">
        <v>5267</v>
      </c>
      <c r="B4537" s="90"/>
      <c r="C4537" s="88" t="s">
        <v>5500</v>
      </c>
      <c r="D4537" s="90"/>
      <c r="E4537" s="88" t="s">
        <v>5502</v>
      </c>
      <c r="F4537" s="89"/>
      <c r="G4537" s="89"/>
      <c r="H4537" s="89"/>
      <c r="I4537" s="90"/>
      <c r="J4537" s="88" t="s">
        <v>770</v>
      </c>
      <c r="K4537" s="89"/>
      <c r="L4537" s="89"/>
      <c r="M4537" s="90"/>
      <c r="N4537" s="88" t="s">
        <v>26</v>
      </c>
      <c r="O4537" s="89"/>
      <c r="P4537" s="90"/>
      <c r="Q4537" s="133">
        <v>657</v>
      </c>
      <c r="R4537" s="134"/>
      <c r="S4537" s="5" t="s">
        <v>70</v>
      </c>
      <c r="T4537" s="8">
        <v>1010</v>
      </c>
      <c r="U4537" s="8">
        <v>4</v>
      </c>
      <c r="V4537" s="5" t="s">
        <v>23</v>
      </c>
      <c r="W4537" s="12">
        <v>2382949</v>
      </c>
      <c r="X4537" s="6"/>
      <c r="Y4537" s="6"/>
    </row>
    <row r="4538" spans="1:25" ht="15" customHeight="1" x14ac:dyDescent="0.2">
      <c r="A4538" s="88" t="s">
        <v>5267</v>
      </c>
      <c r="B4538" s="90"/>
      <c r="C4538" s="88" t="s">
        <v>5500</v>
      </c>
      <c r="D4538" s="90"/>
      <c r="E4538" s="88" t="s">
        <v>5503</v>
      </c>
      <c r="F4538" s="89"/>
      <c r="G4538" s="89"/>
      <c r="H4538" s="89"/>
      <c r="I4538" s="90"/>
      <c r="J4538" s="88" t="s">
        <v>770</v>
      </c>
      <c r="K4538" s="89"/>
      <c r="L4538" s="89"/>
      <c r="M4538" s="90"/>
      <c r="N4538" s="88" t="s">
        <v>26</v>
      </c>
      <c r="O4538" s="89"/>
      <c r="P4538" s="90"/>
      <c r="Q4538" s="133">
        <v>657</v>
      </c>
      <c r="R4538" s="134"/>
      <c r="S4538" s="5" t="s">
        <v>70</v>
      </c>
      <c r="T4538" s="8">
        <v>1010</v>
      </c>
      <c r="U4538" s="8">
        <v>4</v>
      </c>
      <c r="V4538" s="5" t="s">
        <v>23</v>
      </c>
      <c r="W4538" s="12">
        <v>2276981</v>
      </c>
      <c r="X4538" s="6"/>
      <c r="Y4538" s="6"/>
    </row>
    <row r="4539" spans="1:25" ht="15" customHeight="1" x14ac:dyDescent="0.2">
      <c r="A4539" s="88" t="s">
        <v>5267</v>
      </c>
      <c r="B4539" s="90"/>
      <c r="C4539" s="88" t="s">
        <v>5500</v>
      </c>
      <c r="D4539" s="90"/>
      <c r="E4539" s="88" t="s">
        <v>5504</v>
      </c>
      <c r="F4539" s="89"/>
      <c r="G4539" s="89"/>
      <c r="H4539" s="89"/>
      <c r="I4539" s="90"/>
      <c r="J4539" s="88" t="s">
        <v>770</v>
      </c>
      <c r="K4539" s="89"/>
      <c r="L4539" s="89"/>
      <c r="M4539" s="90"/>
      <c r="N4539" s="88" t="s">
        <v>26</v>
      </c>
      <c r="O4539" s="89"/>
      <c r="P4539" s="90"/>
      <c r="Q4539" s="133">
        <v>658</v>
      </c>
      <c r="R4539" s="134"/>
      <c r="S4539" s="5" t="s">
        <v>70</v>
      </c>
      <c r="T4539" s="8">
        <v>1010</v>
      </c>
      <c r="U4539" s="8">
        <v>4</v>
      </c>
      <c r="V4539" s="5" t="s">
        <v>23</v>
      </c>
      <c r="W4539" s="12">
        <v>2095895</v>
      </c>
      <c r="X4539" s="6"/>
      <c r="Y4539" s="6"/>
    </row>
    <row r="4540" spans="1:25" ht="15" customHeight="1" x14ac:dyDescent="0.2">
      <c r="A4540" s="88" t="s">
        <v>5267</v>
      </c>
      <c r="B4540" s="90"/>
      <c r="C4540" s="88" t="s">
        <v>5505</v>
      </c>
      <c r="D4540" s="90"/>
      <c r="E4540" s="88" t="s">
        <v>5506</v>
      </c>
      <c r="F4540" s="89"/>
      <c r="G4540" s="89"/>
      <c r="H4540" s="89"/>
      <c r="I4540" s="90"/>
      <c r="J4540" s="88" t="s">
        <v>770</v>
      </c>
      <c r="K4540" s="89"/>
      <c r="L4540" s="89"/>
      <c r="M4540" s="90"/>
      <c r="N4540" s="88" t="s">
        <v>22</v>
      </c>
      <c r="O4540" s="89"/>
      <c r="P4540" s="90"/>
      <c r="Q4540" s="133">
        <v>657</v>
      </c>
      <c r="R4540" s="134"/>
      <c r="S4540" s="5" t="s">
        <v>70</v>
      </c>
      <c r="T4540" s="8">
        <v>1090</v>
      </c>
      <c r="U4540" s="8">
        <v>7</v>
      </c>
      <c r="V4540" s="5" t="s">
        <v>23</v>
      </c>
      <c r="W4540" s="12">
        <v>2762893</v>
      </c>
      <c r="X4540" s="6"/>
      <c r="Y4540" s="6"/>
    </row>
    <row r="4541" spans="1:25" ht="15" customHeight="1" x14ac:dyDescent="0.2">
      <c r="A4541" s="88" t="s">
        <v>5267</v>
      </c>
      <c r="B4541" s="90"/>
      <c r="C4541" s="88" t="s">
        <v>5505</v>
      </c>
      <c r="D4541" s="90"/>
      <c r="E4541" s="88" t="s">
        <v>5506</v>
      </c>
      <c r="F4541" s="89"/>
      <c r="G4541" s="89"/>
      <c r="H4541" s="89"/>
      <c r="I4541" s="90"/>
      <c r="J4541" s="88" t="s">
        <v>770</v>
      </c>
      <c r="K4541" s="89"/>
      <c r="L4541" s="89"/>
      <c r="M4541" s="90"/>
      <c r="N4541" s="88" t="s">
        <v>26</v>
      </c>
      <c r="O4541" s="89"/>
      <c r="P4541" s="90"/>
      <c r="Q4541" s="133">
        <v>657</v>
      </c>
      <c r="R4541" s="134"/>
      <c r="S4541" s="5" t="s">
        <v>70</v>
      </c>
      <c r="T4541" s="8">
        <v>1090</v>
      </c>
      <c r="U4541" s="8">
        <v>4</v>
      </c>
      <c r="V4541" s="5" t="s">
        <v>23</v>
      </c>
      <c r="W4541" s="12">
        <v>2762893</v>
      </c>
      <c r="X4541" s="6"/>
      <c r="Y4541" s="6"/>
    </row>
    <row r="4542" spans="1:25" ht="15" customHeight="1" x14ac:dyDescent="0.2">
      <c r="A4542" s="88" t="s">
        <v>5267</v>
      </c>
      <c r="B4542" s="90"/>
      <c r="C4542" s="88" t="s">
        <v>5505</v>
      </c>
      <c r="D4542" s="90"/>
      <c r="E4542" s="88" t="s">
        <v>5507</v>
      </c>
      <c r="F4542" s="89"/>
      <c r="G4542" s="89"/>
      <c r="H4542" s="89"/>
      <c r="I4542" s="90"/>
      <c r="J4542" s="88" t="s">
        <v>770</v>
      </c>
      <c r="K4542" s="89"/>
      <c r="L4542" s="89"/>
      <c r="M4542" s="90"/>
      <c r="N4542" s="88" t="s">
        <v>26</v>
      </c>
      <c r="O4542" s="89"/>
      <c r="P4542" s="90"/>
      <c r="Q4542" s="133">
        <v>657</v>
      </c>
      <c r="R4542" s="134"/>
      <c r="S4542" s="5" t="s">
        <v>70</v>
      </c>
      <c r="T4542" s="8">
        <v>1090</v>
      </c>
      <c r="U4542" s="8">
        <v>4</v>
      </c>
      <c r="V4542" s="5" t="s">
        <v>23</v>
      </c>
      <c r="W4542" s="12">
        <v>2670674</v>
      </c>
      <c r="X4542" s="6"/>
      <c r="Y4542" s="6"/>
    </row>
    <row r="4543" spans="1:25" ht="15" customHeight="1" x14ac:dyDescent="0.2">
      <c r="A4543" s="88" t="s">
        <v>5267</v>
      </c>
      <c r="B4543" s="90"/>
      <c r="C4543" s="88" t="s">
        <v>5508</v>
      </c>
      <c r="D4543" s="90"/>
      <c r="E4543" s="88" t="s">
        <v>5497</v>
      </c>
      <c r="F4543" s="89"/>
      <c r="G4543" s="89"/>
      <c r="H4543" s="89"/>
      <c r="I4543" s="90"/>
      <c r="J4543" s="88" t="s">
        <v>770</v>
      </c>
      <c r="K4543" s="89"/>
      <c r="L4543" s="89"/>
      <c r="M4543" s="90"/>
      <c r="N4543" s="88" t="s">
        <v>26</v>
      </c>
      <c r="O4543" s="89"/>
      <c r="P4543" s="90"/>
      <c r="Q4543" s="133">
        <v>658</v>
      </c>
      <c r="R4543" s="134"/>
      <c r="S4543" s="5" t="s">
        <v>70</v>
      </c>
      <c r="T4543" s="8">
        <v>1595</v>
      </c>
      <c r="U4543" s="8">
        <v>4</v>
      </c>
      <c r="V4543" s="5" t="s">
        <v>23</v>
      </c>
      <c r="W4543" s="12">
        <v>2577113</v>
      </c>
      <c r="X4543" s="6"/>
      <c r="Y4543" s="6"/>
    </row>
    <row r="4544" spans="1:25" ht="15" customHeight="1" x14ac:dyDescent="0.2">
      <c r="A4544" s="88" t="s">
        <v>5267</v>
      </c>
      <c r="B4544" s="90"/>
      <c r="C4544" s="88" t="s">
        <v>5509</v>
      </c>
      <c r="D4544" s="90"/>
      <c r="E4544" s="88" t="s">
        <v>5510</v>
      </c>
      <c r="F4544" s="89"/>
      <c r="G4544" s="89"/>
      <c r="H4544" s="89"/>
      <c r="I4544" s="90"/>
      <c r="J4544" s="88" t="s">
        <v>770</v>
      </c>
      <c r="K4544" s="89"/>
      <c r="L4544" s="89"/>
      <c r="M4544" s="90"/>
      <c r="N4544" s="88" t="s">
        <v>26</v>
      </c>
      <c r="O4544" s="89"/>
      <c r="P4544" s="90"/>
      <c r="Q4544" s="133">
        <v>658</v>
      </c>
      <c r="R4544" s="134"/>
      <c r="S4544" s="5" t="s">
        <v>70</v>
      </c>
      <c r="T4544" s="8">
        <v>1020</v>
      </c>
      <c r="U4544" s="8">
        <v>4</v>
      </c>
      <c r="V4544" s="5" t="s">
        <v>23</v>
      </c>
      <c r="W4544" s="12">
        <v>2747299</v>
      </c>
      <c r="X4544" s="6"/>
      <c r="Y4544" s="6"/>
    </row>
    <row r="4545" spans="1:25" ht="15" customHeight="1" x14ac:dyDescent="0.2">
      <c r="A4545" s="88" t="s">
        <v>5267</v>
      </c>
      <c r="B4545" s="90"/>
      <c r="C4545" s="88" t="s">
        <v>5509</v>
      </c>
      <c r="D4545" s="90"/>
      <c r="E4545" s="88" t="s">
        <v>5511</v>
      </c>
      <c r="F4545" s="89"/>
      <c r="G4545" s="89"/>
      <c r="H4545" s="89"/>
      <c r="I4545" s="90"/>
      <c r="J4545" s="88" t="s">
        <v>770</v>
      </c>
      <c r="K4545" s="89"/>
      <c r="L4545" s="89"/>
      <c r="M4545" s="90"/>
      <c r="N4545" s="88" t="s">
        <v>22</v>
      </c>
      <c r="O4545" s="89"/>
      <c r="P4545" s="90"/>
      <c r="Q4545" s="133">
        <v>658</v>
      </c>
      <c r="R4545" s="134"/>
      <c r="S4545" s="5" t="s">
        <v>70</v>
      </c>
      <c r="T4545" s="8">
        <v>1020</v>
      </c>
      <c r="U4545" s="8">
        <v>4</v>
      </c>
      <c r="V4545" s="5" t="s">
        <v>23</v>
      </c>
      <c r="W4545" s="12">
        <v>2960242</v>
      </c>
      <c r="X4545" s="6"/>
      <c r="Y4545" s="6"/>
    </row>
    <row r="4546" spans="1:25" ht="15" customHeight="1" x14ac:dyDescent="0.2">
      <c r="A4546" s="88" t="s">
        <v>5267</v>
      </c>
      <c r="B4546" s="90"/>
      <c r="C4546" s="88" t="s">
        <v>5509</v>
      </c>
      <c r="D4546" s="90"/>
      <c r="E4546" s="88" t="s">
        <v>5511</v>
      </c>
      <c r="F4546" s="89"/>
      <c r="G4546" s="89"/>
      <c r="H4546" s="89"/>
      <c r="I4546" s="90"/>
      <c r="J4546" s="88" t="s">
        <v>770</v>
      </c>
      <c r="K4546" s="89"/>
      <c r="L4546" s="89"/>
      <c r="M4546" s="90"/>
      <c r="N4546" s="88" t="s">
        <v>26</v>
      </c>
      <c r="O4546" s="89"/>
      <c r="P4546" s="90"/>
      <c r="Q4546" s="133">
        <v>658</v>
      </c>
      <c r="R4546" s="134"/>
      <c r="S4546" s="5" t="s">
        <v>70</v>
      </c>
      <c r="T4546" s="8">
        <v>1020</v>
      </c>
      <c r="U4546" s="8">
        <v>4</v>
      </c>
      <c r="V4546" s="5" t="s">
        <v>23</v>
      </c>
      <c r="W4546" s="12">
        <v>2960242</v>
      </c>
      <c r="X4546" s="6"/>
      <c r="Y4546" s="6"/>
    </row>
    <row r="4547" spans="1:25" ht="15" customHeight="1" x14ac:dyDescent="0.2">
      <c r="A4547" s="88" t="s">
        <v>5267</v>
      </c>
      <c r="B4547" s="90"/>
      <c r="C4547" s="88" t="s">
        <v>5509</v>
      </c>
      <c r="D4547" s="90"/>
      <c r="E4547" s="88" t="s">
        <v>5512</v>
      </c>
      <c r="F4547" s="89"/>
      <c r="G4547" s="89"/>
      <c r="H4547" s="89"/>
      <c r="I4547" s="90"/>
      <c r="J4547" s="88" t="s">
        <v>770</v>
      </c>
      <c r="K4547" s="89"/>
      <c r="L4547" s="89"/>
      <c r="M4547" s="90"/>
      <c r="N4547" s="88" t="s">
        <v>26</v>
      </c>
      <c r="O4547" s="89"/>
      <c r="P4547" s="90"/>
      <c r="Q4547" s="133">
        <v>658</v>
      </c>
      <c r="R4547" s="134"/>
      <c r="S4547" s="5" t="s">
        <v>70</v>
      </c>
      <c r="T4547" s="8">
        <v>1020</v>
      </c>
      <c r="U4547" s="8">
        <v>4</v>
      </c>
      <c r="V4547" s="5" t="s">
        <v>23</v>
      </c>
      <c r="W4547" s="12">
        <v>2575436</v>
      </c>
      <c r="X4547" s="6"/>
      <c r="Y4547" s="6"/>
    </row>
    <row r="4548" spans="1:25" ht="15" customHeight="1" x14ac:dyDescent="0.2">
      <c r="A4548" s="88" t="s">
        <v>5267</v>
      </c>
      <c r="B4548" s="90"/>
      <c r="C4548" s="88" t="s">
        <v>5509</v>
      </c>
      <c r="D4548" s="90"/>
      <c r="E4548" s="88" t="s">
        <v>5513</v>
      </c>
      <c r="F4548" s="89"/>
      <c r="G4548" s="89"/>
      <c r="H4548" s="89"/>
      <c r="I4548" s="90"/>
      <c r="J4548" s="88" t="s">
        <v>770</v>
      </c>
      <c r="K4548" s="89"/>
      <c r="L4548" s="89"/>
      <c r="M4548" s="90"/>
      <c r="N4548" s="88" t="s">
        <v>26</v>
      </c>
      <c r="O4548" s="89"/>
      <c r="P4548" s="90"/>
      <c r="Q4548" s="133">
        <v>658</v>
      </c>
      <c r="R4548" s="134"/>
      <c r="S4548" s="5" t="s">
        <v>70</v>
      </c>
      <c r="T4548" s="8">
        <v>1020</v>
      </c>
      <c r="U4548" s="8">
        <v>4</v>
      </c>
      <c r="V4548" s="5" t="s">
        <v>23</v>
      </c>
      <c r="W4548" s="12">
        <v>2772115</v>
      </c>
      <c r="X4548" s="6"/>
      <c r="Y4548" s="6"/>
    </row>
    <row r="4549" spans="1:25" ht="15" customHeight="1" x14ac:dyDescent="0.2">
      <c r="A4549" s="88" t="s">
        <v>5267</v>
      </c>
      <c r="B4549" s="90"/>
      <c r="C4549" s="88" t="s">
        <v>5509</v>
      </c>
      <c r="D4549" s="90"/>
      <c r="E4549" s="88" t="s">
        <v>5514</v>
      </c>
      <c r="F4549" s="89"/>
      <c r="G4549" s="89"/>
      <c r="H4549" s="89"/>
      <c r="I4549" s="90"/>
      <c r="J4549" s="88" t="s">
        <v>770</v>
      </c>
      <c r="K4549" s="89"/>
      <c r="L4549" s="89"/>
      <c r="M4549" s="90"/>
      <c r="N4549" s="88" t="s">
        <v>26</v>
      </c>
      <c r="O4549" s="89"/>
      <c r="P4549" s="90"/>
      <c r="Q4549" s="133">
        <v>658</v>
      </c>
      <c r="R4549" s="134"/>
      <c r="S4549" s="5" t="s">
        <v>70</v>
      </c>
      <c r="T4549" s="8">
        <v>1020</v>
      </c>
      <c r="U4549" s="8">
        <v>4</v>
      </c>
      <c r="V4549" s="5" t="s">
        <v>23</v>
      </c>
      <c r="W4549" s="12">
        <v>2630768</v>
      </c>
      <c r="X4549" s="6"/>
      <c r="Y4549" s="6"/>
    </row>
    <row r="4550" spans="1:25" ht="15" customHeight="1" x14ac:dyDescent="0.2">
      <c r="A4550" s="88" t="s">
        <v>5267</v>
      </c>
      <c r="B4550" s="90"/>
      <c r="C4550" s="88" t="s">
        <v>5509</v>
      </c>
      <c r="D4550" s="90"/>
      <c r="E4550" s="88" t="s">
        <v>5515</v>
      </c>
      <c r="F4550" s="89"/>
      <c r="G4550" s="89"/>
      <c r="H4550" s="89"/>
      <c r="I4550" s="90"/>
      <c r="J4550" s="88" t="s">
        <v>770</v>
      </c>
      <c r="K4550" s="89"/>
      <c r="L4550" s="89"/>
      <c r="M4550" s="90"/>
      <c r="N4550" s="88" t="s">
        <v>26</v>
      </c>
      <c r="O4550" s="89"/>
      <c r="P4550" s="90"/>
      <c r="Q4550" s="133">
        <v>658</v>
      </c>
      <c r="R4550" s="134"/>
      <c r="S4550" s="5" t="s">
        <v>70</v>
      </c>
      <c r="T4550" s="8">
        <v>1020</v>
      </c>
      <c r="U4550" s="8">
        <v>4</v>
      </c>
      <c r="V4550" s="5" t="s">
        <v>23</v>
      </c>
      <c r="W4550" s="12">
        <v>2583594</v>
      </c>
      <c r="X4550" s="6"/>
      <c r="Y4550" s="6"/>
    </row>
    <row r="4551" spans="1:25" ht="15" customHeight="1" x14ac:dyDescent="0.2">
      <c r="A4551" s="88" t="s">
        <v>5267</v>
      </c>
      <c r="B4551" s="90"/>
      <c r="C4551" s="88" t="s">
        <v>5509</v>
      </c>
      <c r="D4551" s="90"/>
      <c r="E4551" s="88" t="s">
        <v>5515</v>
      </c>
      <c r="F4551" s="89"/>
      <c r="G4551" s="89"/>
      <c r="H4551" s="89"/>
      <c r="I4551" s="90"/>
      <c r="J4551" s="88" t="s">
        <v>770</v>
      </c>
      <c r="K4551" s="89"/>
      <c r="L4551" s="89"/>
      <c r="M4551" s="90"/>
      <c r="N4551" s="88" t="s">
        <v>26</v>
      </c>
      <c r="O4551" s="89"/>
      <c r="P4551" s="90"/>
      <c r="Q4551" s="133">
        <v>658</v>
      </c>
      <c r="R4551" s="134"/>
      <c r="S4551" s="5" t="s">
        <v>70</v>
      </c>
      <c r="T4551" s="8">
        <v>1020</v>
      </c>
      <c r="U4551" s="8">
        <v>4</v>
      </c>
      <c r="V4551" s="5" t="s">
        <v>23</v>
      </c>
      <c r="W4551" s="12">
        <v>2575436</v>
      </c>
      <c r="X4551" s="6"/>
      <c r="Y4551" s="6"/>
    </row>
    <row r="4552" spans="1:25" ht="15" customHeight="1" x14ac:dyDescent="0.2">
      <c r="A4552" s="88" t="s">
        <v>5267</v>
      </c>
      <c r="B4552" s="90"/>
      <c r="C4552" s="88" t="s">
        <v>5516</v>
      </c>
      <c r="D4552" s="90"/>
      <c r="E4552" s="88" t="s">
        <v>5497</v>
      </c>
      <c r="F4552" s="89"/>
      <c r="G4552" s="89"/>
      <c r="H4552" s="89"/>
      <c r="I4552" s="90"/>
      <c r="J4552" s="88" t="s">
        <v>770</v>
      </c>
      <c r="K4552" s="89"/>
      <c r="L4552" s="89"/>
      <c r="M4552" s="90"/>
      <c r="N4552" s="88" t="s">
        <v>26</v>
      </c>
      <c r="O4552" s="89"/>
      <c r="P4552" s="90"/>
      <c r="Q4552" s="133">
        <v>658</v>
      </c>
      <c r="R4552" s="134"/>
      <c r="S4552" s="5" t="s">
        <v>70</v>
      </c>
      <c r="T4552" s="8">
        <v>1040</v>
      </c>
      <c r="U4552" s="8">
        <v>4</v>
      </c>
      <c r="V4552" s="5" t="s">
        <v>23</v>
      </c>
      <c r="W4552" s="12">
        <v>2577113</v>
      </c>
      <c r="X4552" s="6"/>
      <c r="Y4552" s="6"/>
    </row>
    <row r="4553" spans="1:25" ht="15" customHeight="1" x14ac:dyDescent="0.2">
      <c r="A4553" s="88" t="s">
        <v>5267</v>
      </c>
      <c r="B4553" s="90"/>
      <c r="C4553" s="88" t="s">
        <v>5517</v>
      </c>
      <c r="D4553" s="90"/>
      <c r="E4553" s="88" t="s">
        <v>5285</v>
      </c>
      <c r="F4553" s="89"/>
      <c r="G4553" s="89"/>
      <c r="H4553" s="89"/>
      <c r="I4553" s="90"/>
      <c r="J4553" s="88" t="s">
        <v>963</v>
      </c>
      <c r="K4553" s="89"/>
      <c r="L4553" s="89"/>
      <c r="M4553" s="90"/>
      <c r="N4553" s="88" t="s">
        <v>26</v>
      </c>
      <c r="O4553" s="89"/>
      <c r="P4553" s="90"/>
      <c r="Q4553" s="133">
        <v>658</v>
      </c>
      <c r="R4553" s="134"/>
      <c r="S4553" s="5" t="s">
        <v>70</v>
      </c>
      <c r="T4553" s="8">
        <v>890</v>
      </c>
      <c r="U4553" s="8">
        <v>4</v>
      </c>
      <c r="V4553" s="5" t="s">
        <v>23</v>
      </c>
      <c r="W4553" s="12">
        <v>2578454</v>
      </c>
      <c r="X4553" s="6"/>
      <c r="Y4553" s="6"/>
    </row>
    <row r="4554" spans="1:25" ht="15" customHeight="1" x14ac:dyDescent="0.2">
      <c r="A4554" s="88" t="s">
        <v>5267</v>
      </c>
      <c r="B4554" s="90"/>
      <c r="C4554" s="88" t="s">
        <v>5517</v>
      </c>
      <c r="D4554" s="90"/>
      <c r="E4554" s="88" t="s">
        <v>5518</v>
      </c>
      <c r="F4554" s="89"/>
      <c r="G4554" s="89"/>
      <c r="H4554" s="89"/>
      <c r="I4554" s="90"/>
      <c r="J4554" s="88" t="s">
        <v>770</v>
      </c>
      <c r="K4554" s="89"/>
      <c r="L4554" s="89"/>
      <c r="M4554" s="90"/>
      <c r="N4554" s="88" t="s">
        <v>26</v>
      </c>
      <c r="O4554" s="89"/>
      <c r="P4554" s="90"/>
      <c r="Q4554" s="133">
        <v>657</v>
      </c>
      <c r="R4554" s="134"/>
      <c r="S4554" s="5" t="s">
        <v>70</v>
      </c>
      <c r="T4554" s="8">
        <v>1595</v>
      </c>
      <c r="U4554" s="8">
        <v>4</v>
      </c>
      <c r="V4554" s="5" t="s">
        <v>23</v>
      </c>
      <c r="W4554" s="12">
        <v>2665979</v>
      </c>
      <c r="X4554" s="6"/>
      <c r="Y4554" s="6"/>
    </row>
    <row r="4555" spans="1:25" ht="15" customHeight="1" x14ac:dyDescent="0.2">
      <c r="A4555" s="88" t="s">
        <v>5267</v>
      </c>
      <c r="B4555" s="90"/>
      <c r="C4555" s="88" t="s">
        <v>5519</v>
      </c>
      <c r="D4555" s="90"/>
      <c r="E4555" s="88" t="s">
        <v>5510</v>
      </c>
      <c r="F4555" s="89"/>
      <c r="G4555" s="89"/>
      <c r="H4555" s="89"/>
      <c r="I4555" s="90"/>
      <c r="J4555" s="88" t="s">
        <v>770</v>
      </c>
      <c r="K4555" s="89"/>
      <c r="L4555" s="89"/>
      <c r="M4555" s="90"/>
      <c r="N4555" s="88" t="s">
        <v>26</v>
      </c>
      <c r="O4555" s="89"/>
      <c r="P4555" s="90"/>
      <c r="Q4555" s="133">
        <v>658</v>
      </c>
      <c r="R4555" s="134"/>
      <c r="S4555" s="5" t="s">
        <v>70</v>
      </c>
      <c r="T4555" s="8">
        <v>1020</v>
      </c>
      <c r="U4555" s="8">
        <v>4</v>
      </c>
      <c r="V4555" s="5" t="s">
        <v>23</v>
      </c>
      <c r="W4555" s="12">
        <v>2738916</v>
      </c>
      <c r="X4555" s="6"/>
      <c r="Y4555" s="6"/>
    </row>
    <row r="4556" spans="1:25" ht="15" customHeight="1" x14ac:dyDescent="0.2">
      <c r="A4556" s="88" t="s">
        <v>5267</v>
      </c>
      <c r="B4556" s="90"/>
      <c r="C4556" s="88" t="s">
        <v>5520</v>
      </c>
      <c r="D4556" s="90"/>
      <c r="E4556" s="88" t="s">
        <v>5521</v>
      </c>
      <c r="F4556" s="89"/>
      <c r="G4556" s="89"/>
      <c r="H4556" s="89"/>
      <c r="I4556" s="90"/>
      <c r="J4556" s="88" t="s">
        <v>2179</v>
      </c>
      <c r="K4556" s="89"/>
      <c r="L4556" s="89"/>
      <c r="M4556" s="90"/>
      <c r="N4556" s="88" t="s">
        <v>26</v>
      </c>
      <c r="O4556" s="89"/>
      <c r="P4556" s="90"/>
      <c r="Q4556" s="133">
        <v>996</v>
      </c>
      <c r="R4556" s="134"/>
      <c r="S4556" s="5" t="s">
        <v>16</v>
      </c>
      <c r="T4556" s="8">
        <v>1235</v>
      </c>
      <c r="U4556" s="8">
        <v>5</v>
      </c>
      <c r="V4556" s="5" t="s">
        <v>23</v>
      </c>
      <c r="W4556" s="12">
        <v>3110309</v>
      </c>
      <c r="X4556" s="6"/>
      <c r="Y4556" s="6"/>
    </row>
    <row r="4557" spans="1:25" ht="15" customHeight="1" x14ac:dyDescent="0.2">
      <c r="A4557" s="88" t="s">
        <v>5267</v>
      </c>
      <c r="B4557" s="90"/>
      <c r="C4557" s="88" t="s">
        <v>5522</v>
      </c>
      <c r="D4557" s="90"/>
      <c r="E4557" s="88" t="s">
        <v>5523</v>
      </c>
      <c r="F4557" s="89"/>
      <c r="G4557" s="89"/>
      <c r="H4557" s="89"/>
      <c r="I4557" s="90"/>
      <c r="J4557" s="88" t="s">
        <v>2179</v>
      </c>
      <c r="K4557" s="89"/>
      <c r="L4557" s="89"/>
      <c r="M4557" s="90"/>
      <c r="N4557" s="88" t="s">
        <v>22</v>
      </c>
      <c r="O4557" s="89"/>
      <c r="P4557" s="90"/>
      <c r="Q4557" s="133">
        <v>996</v>
      </c>
      <c r="R4557" s="134"/>
      <c r="S4557" s="5" t="s">
        <v>16</v>
      </c>
      <c r="T4557" s="8">
        <v>1235</v>
      </c>
      <c r="U4557" s="8">
        <v>5</v>
      </c>
      <c r="V4557" s="5" t="s">
        <v>23</v>
      </c>
      <c r="W4557" s="12">
        <v>3520936</v>
      </c>
      <c r="X4557" s="6"/>
      <c r="Y4557" s="6"/>
    </row>
    <row r="4558" spans="1:25" ht="15" customHeight="1" x14ac:dyDescent="0.2">
      <c r="A4558" s="88" t="s">
        <v>5267</v>
      </c>
      <c r="B4558" s="90"/>
      <c r="C4558" s="88" t="s">
        <v>5522</v>
      </c>
      <c r="D4558" s="90"/>
      <c r="E4558" s="88" t="s">
        <v>5523</v>
      </c>
      <c r="F4558" s="89"/>
      <c r="G4558" s="89"/>
      <c r="H4558" s="89"/>
      <c r="I4558" s="90"/>
      <c r="J4558" s="88" t="s">
        <v>2179</v>
      </c>
      <c r="K4558" s="89"/>
      <c r="L4558" s="89"/>
      <c r="M4558" s="90"/>
      <c r="N4558" s="88" t="s">
        <v>26</v>
      </c>
      <c r="O4558" s="89"/>
      <c r="P4558" s="90"/>
      <c r="Q4558" s="133">
        <v>996</v>
      </c>
      <c r="R4558" s="134"/>
      <c r="S4558" s="5" t="s">
        <v>16</v>
      </c>
      <c r="T4558" s="8">
        <v>1235</v>
      </c>
      <c r="U4558" s="8">
        <v>5</v>
      </c>
      <c r="V4558" s="5" t="s">
        <v>23</v>
      </c>
      <c r="W4558" s="12">
        <v>3520936</v>
      </c>
      <c r="X4558" s="6"/>
      <c r="Y4558" s="6"/>
    </row>
    <row r="4559" spans="1:25" ht="15" customHeight="1" x14ac:dyDescent="0.2">
      <c r="A4559" s="88" t="s">
        <v>5267</v>
      </c>
      <c r="B4559" s="90"/>
      <c r="C4559" s="88" t="s">
        <v>5522</v>
      </c>
      <c r="D4559" s="90"/>
      <c r="E4559" s="88" t="s">
        <v>5524</v>
      </c>
      <c r="F4559" s="89"/>
      <c r="G4559" s="89"/>
      <c r="H4559" s="89"/>
      <c r="I4559" s="90"/>
      <c r="J4559" s="88" t="s">
        <v>2179</v>
      </c>
      <c r="K4559" s="89"/>
      <c r="L4559" s="89"/>
      <c r="M4559" s="90"/>
      <c r="N4559" s="88" t="s">
        <v>26</v>
      </c>
      <c r="O4559" s="89"/>
      <c r="P4559" s="90"/>
      <c r="Q4559" s="133">
        <v>996</v>
      </c>
      <c r="R4559" s="134"/>
      <c r="S4559" s="5" t="s">
        <v>16</v>
      </c>
      <c r="T4559" s="8">
        <v>1235</v>
      </c>
      <c r="U4559" s="8">
        <v>5</v>
      </c>
      <c r="V4559" s="5" t="s">
        <v>23</v>
      </c>
      <c r="W4559" s="12">
        <v>3672176</v>
      </c>
      <c r="X4559" s="6"/>
      <c r="Y4559" s="6"/>
    </row>
    <row r="4560" spans="1:25" ht="15" customHeight="1" x14ac:dyDescent="0.2">
      <c r="A4560" s="88" t="s">
        <v>5267</v>
      </c>
      <c r="B4560" s="90"/>
      <c r="C4560" s="88" t="s">
        <v>5522</v>
      </c>
      <c r="D4560" s="90"/>
      <c r="E4560" s="88" t="s">
        <v>5525</v>
      </c>
      <c r="F4560" s="89"/>
      <c r="G4560" s="89"/>
      <c r="H4560" s="89"/>
      <c r="I4560" s="90"/>
      <c r="J4560" s="88" t="s">
        <v>2179</v>
      </c>
      <c r="K4560" s="89"/>
      <c r="L4560" s="89"/>
      <c r="M4560" s="90"/>
      <c r="N4560" s="88" t="s">
        <v>26</v>
      </c>
      <c r="O4560" s="89"/>
      <c r="P4560" s="90"/>
      <c r="Q4560" s="133">
        <v>996</v>
      </c>
      <c r="R4560" s="134"/>
      <c r="S4560" s="5" t="s">
        <v>16</v>
      </c>
      <c r="T4560" s="8">
        <v>1235</v>
      </c>
      <c r="U4560" s="8">
        <v>5</v>
      </c>
      <c r="V4560" s="5" t="s">
        <v>23</v>
      </c>
      <c r="W4560" s="12">
        <v>3458227</v>
      </c>
      <c r="X4560" s="6"/>
      <c r="Y4560" s="6"/>
    </row>
    <row r="4561" spans="1:25" ht="15" customHeight="1" x14ac:dyDescent="0.2">
      <c r="A4561" s="88" t="s">
        <v>5267</v>
      </c>
      <c r="B4561" s="90"/>
      <c r="C4561" s="88" t="s">
        <v>5522</v>
      </c>
      <c r="D4561" s="90"/>
      <c r="E4561" s="88" t="s">
        <v>5526</v>
      </c>
      <c r="F4561" s="89"/>
      <c r="G4561" s="89"/>
      <c r="H4561" s="89"/>
      <c r="I4561" s="90"/>
      <c r="J4561" s="88" t="s">
        <v>2179</v>
      </c>
      <c r="K4561" s="89"/>
      <c r="L4561" s="89"/>
      <c r="M4561" s="90"/>
      <c r="N4561" s="88" t="s">
        <v>26</v>
      </c>
      <c r="O4561" s="89"/>
      <c r="P4561" s="90"/>
      <c r="Q4561" s="133">
        <v>996</v>
      </c>
      <c r="R4561" s="134"/>
      <c r="S4561" s="5" t="s">
        <v>16</v>
      </c>
      <c r="T4561" s="8">
        <v>1235</v>
      </c>
      <c r="U4561" s="8">
        <v>5</v>
      </c>
      <c r="V4561" s="5" t="s">
        <v>23</v>
      </c>
      <c r="W4561" s="12">
        <v>3227679</v>
      </c>
      <c r="X4561" s="6"/>
      <c r="Y4561" s="6"/>
    </row>
    <row r="4562" spans="1:25" ht="15" customHeight="1" x14ac:dyDescent="0.2">
      <c r="A4562" s="88" t="s">
        <v>5527</v>
      </c>
      <c r="B4562" s="90"/>
      <c r="C4562" s="88" t="s">
        <v>5528</v>
      </c>
      <c r="D4562" s="90"/>
      <c r="E4562" s="106"/>
      <c r="F4562" s="107"/>
      <c r="G4562" s="107"/>
      <c r="H4562" s="107"/>
      <c r="I4562" s="108"/>
      <c r="J4562" s="88" t="s">
        <v>1602</v>
      </c>
      <c r="K4562" s="89"/>
      <c r="L4562" s="89"/>
      <c r="M4562" s="90"/>
      <c r="N4562" s="88" t="s">
        <v>26</v>
      </c>
      <c r="O4562" s="89"/>
      <c r="P4562" s="90"/>
      <c r="Q4562" s="133">
        <v>2956</v>
      </c>
      <c r="R4562" s="134"/>
      <c r="S4562" s="5" t="s">
        <v>5529</v>
      </c>
      <c r="T4562" s="8">
        <v>3450</v>
      </c>
      <c r="U4562" s="6"/>
      <c r="V4562" s="5" t="s">
        <v>106</v>
      </c>
      <c r="W4562" s="9">
        <v>2001444</v>
      </c>
      <c r="X4562" s="6"/>
      <c r="Y4562" s="6"/>
    </row>
    <row r="4563" spans="1:25" ht="15" customHeight="1" x14ac:dyDescent="0.2">
      <c r="A4563" s="88" t="s">
        <v>5527</v>
      </c>
      <c r="B4563" s="90"/>
      <c r="C4563" s="88" t="s">
        <v>5530</v>
      </c>
      <c r="D4563" s="90"/>
      <c r="E4563" s="106"/>
      <c r="F4563" s="107"/>
      <c r="G4563" s="107"/>
      <c r="H4563" s="107"/>
      <c r="I4563" s="108"/>
      <c r="J4563" s="88" t="s">
        <v>1602</v>
      </c>
      <c r="K4563" s="89"/>
      <c r="L4563" s="89"/>
      <c r="M4563" s="90"/>
      <c r="N4563" s="88" t="s">
        <v>26</v>
      </c>
      <c r="O4563" s="89"/>
      <c r="P4563" s="90"/>
      <c r="Q4563" s="133">
        <v>5676</v>
      </c>
      <c r="R4563" s="134"/>
      <c r="S4563" s="5" t="s">
        <v>945</v>
      </c>
      <c r="T4563" s="8">
        <v>12600</v>
      </c>
      <c r="U4563" s="6"/>
      <c r="V4563" s="5" t="s">
        <v>106</v>
      </c>
      <c r="W4563" s="9">
        <v>3784679</v>
      </c>
      <c r="X4563" s="6"/>
      <c r="Y4563" s="6"/>
    </row>
    <row r="4564" spans="1:25" ht="15" customHeight="1" x14ac:dyDescent="0.2">
      <c r="A4564" s="88" t="s">
        <v>5527</v>
      </c>
      <c r="B4564" s="90"/>
      <c r="C4564" s="88" t="s">
        <v>5531</v>
      </c>
      <c r="D4564" s="90"/>
      <c r="E4564" s="106"/>
      <c r="F4564" s="107"/>
      <c r="G4564" s="107"/>
      <c r="H4564" s="107"/>
      <c r="I4564" s="108"/>
      <c r="J4564" s="88" t="s">
        <v>1602</v>
      </c>
      <c r="K4564" s="89"/>
      <c r="L4564" s="89"/>
      <c r="M4564" s="90"/>
      <c r="N4564" s="88" t="s">
        <v>1293</v>
      </c>
      <c r="O4564" s="89"/>
      <c r="P4564" s="90"/>
      <c r="Q4564" s="133">
        <v>5883</v>
      </c>
      <c r="R4564" s="134"/>
      <c r="S4564" s="5" t="s">
        <v>1305</v>
      </c>
      <c r="T4564" s="8">
        <v>25000</v>
      </c>
      <c r="U4564" s="6"/>
      <c r="V4564" s="5" t="s">
        <v>106</v>
      </c>
      <c r="W4564" s="9">
        <v>6206071</v>
      </c>
      <c r="X4564" s="6"/>
      <c r="Y4564" s="6"/>
    </row>
    <row r="4565" spans="1:25" ht="15" customHeight="1" x14ac:dyDescent="0.2">
      <c r="A4565" s="88" t="s">
        <v>5527</v>
      </c>
      <c r="B4565" s="90"/>
      <c r="C4565" s="88" t="s">
        <v>5532</v>
      </c>
      <c r="D4565" s="90"/>
      <c r="E4565" s="106"/>
      <c r="F4565" s="107"/>
      <c r="G4565" s="107"/>
      <c r="H4565" s="107"/>
      <c r="I4565" s="108"/>
      <c r="J4565" s="88" t="s">
        <v>1602</v>
      </c>
      <c r="K4565" s="89"/>
      <c r="L4565" s="89"/>
      <c r="M4565" s="90"/>
      <c r="N4565" s="88" t="s">
        <v>1293</v>
      </c>
      <c r="O4565" s="89"/>
      <c r="P4565" s="90"/>
      <c r="Q4565" s="133">
        <v>5883</v>
      </c>
      <c r="R4565" s="134"/>
      <c r="S4565" s="5" t="s">
        <v>1305</v>
      </c>
      <c r="T4565" s="8">
        <v>25000</v>
      </c>
      <c r="U4565" s="6"/>
      <c r="V4565" s="5" t="s">
        <v>106</v>
      </c>
      <c r="W4565" s="9">
        <v>7331079</v>
      </c>
      <c r="X4565" s="6"/>
      <c r="Y4565" s="6"/>
    </row>
    <row r="4566" spans="1:25" ht="15" customHeight="1" x14ac:dyDescent="0.2">
      <c r="A4566" s="88" t="s">
        <v>5527</v>
      </c>
      <c r="B4566" s="90"/>
      <c r="C4566" s="88" t="s">
        <v>5533</v>
      </c>
      <c r="D4566" s="90"/>
      <c r="E4566" s="106"/>
      <c r="F4566" s="107"/>
      <c r="G4566" s="107"/>
      <c r="H4566" s="107"/>
      <c r="I4566" s="108"/>
      <c r="J4566" s="88" t="s">
        <v>1602</v>
      </c>
      <c r="K4566" s="89"/>
      <c r="L4566" s="89"/>
      <c r="M4566" s="90"/>
      <c r="N4566" s="88" t="s">
        <v>1293</v>
      </c>
      <c r="O4566" s="89"/>
      <c r="P4566" s="90"/>
      <c r="Q4566" s="133">
        <v>5883</v>
      </c>
      <c r="R4566" s="134"/>
      <c r="S4566" s="5" t="s">
        <v>5534</v>
      </c>
      <c r="T4566" s="8">
        <v>25000</v>
      </c>
      <c r="U4566" s="6"/>
      <c r="V4566" s="5" t="s">
        <v>106</v>
      </c>
      <c r="W4566" s="10">
        <v>11766009</v>
      </c>
      <c r="X4566" s="6"/>
      <c r="Y4566" s="6"/>
    </row>
    <row r="4567" spans="1:25" ht="15" customHeight="1" x14ac:dyDescent="0.2">
      <c r="A4567" s="88" t="s">
        <v>5527</v>
      </c>
      <c r="B4567" s="90"/>
      <c r="C4567" s="88" t="s">
        <v>5535</v>
      </c>
      <c r="D4567" s="90"/>
      <c r="E4567" s="106"/>
      <c r="F4567" s="107"/>
      <c r="G4567" s="107"/>
      <c r="H4567" s="107"/>
      <c r="I4567" s="108"/>
      <c r="J4567" s="88" t="s">
        <v>5536</v>
      </c>
      <c r="K4567" s="89"/>
      <c r="L4567" s="89"/>
      <c r="M4567" s="90"/>
      <c r="N4567" s="88" t="s">
        <v>3269</v>
      </c>
      <c r="O4567" s="89"/>
      <c r="P4567" s="90"/>
      <c r="Q4567" s="133">
        <v>5883</v>
      </c>
      <c r="R4567" s="134"/>
      <c r="S4567" s="5" t="s">
        <v>1320</v>
      </c>
      <c r="T4567" s="6"/>
      <c r="U4567" s="6"/>
      <c r="V4567" s="5" t="s">
        <v>5537</v>
      </c>
      <c r="W4567" s="9">
        <v>4122799</v>
      </c>
      <c r="X4567" s="6"/>
      <c r="Y4567" s="6"/>
    </row>
    <row r="4568" spans="1:25" ht="15" customHeight="1" x14ac:dyDescent="0.2">
      <c r="A4568" s="88" t="s">
        <v>5527</v>
      </c>
      <c r="B4568" s="90"/>
      <c r="C4568" s="88" t="s">
        <v>5538</v>
      </c>
      <c r="D4568" s="90"/>
      <c r="E4568" s="106"/>
      <c r="F4568" s="107"/>
      <c r="G4568" s="107"/>
      <c r="H4568" s="107"/>
      <c r="I4568" s="108"/>
      <c r="J4568" s="88" t="s">
        <v>1602</v>
      </c>
      <c r="K4568" s="89"/>
      <c r="L4568" s="89"/>
      <c r="M4568" s="90"/>
      <c r="N4568" s="88" t="s">
        <v>26</v>
      </c>
      <c r="O4568" s="89"/>
      <c r="P4568" s="90"/>
      <c r="Q4568" s="133">
        <v>3784</v>
      </c>
      <c r="R4568" s="134"/>
      <c r="S4568" s="5" t="s">
        <v>945</v>
      </c>
      <c r="T4568" s="8">
        <v>8720</v>
      </c>
      <c r="U4568" s="6"/>
      <c r="V4568" s="5" t="s">
        <v>106</v>
      </c>
      <c r="W4568" s="9">
        <v>2541304</v>
      </c>
      <c r="X4568" s="6"/>
      <c r="Y4568" s="6"/>
    </row>
    <row r="4569" spans="1:25" ht="15" customHeight="1" x14ac:dyDescent="0.2">
      <c r="A4569" s="88" t="s">
        <v>5527</v>
      </c>
      <c r="B4569" s="90"/>
      <c r="C4569" s="88" t="s">
        <v>5539</v>
      </c>
      <c r="D4569" s="90"/>
      <c r="E4569" s="106"/>
      <c r="F4569" s="107"/>
      <c r="G4569" s="107"/>
      <c r="H4569" s="107"/>
      <c r="I4569" s="108"/>
      <c r="J4569" s="88" t="s">
        <v>1602</v>
      </c>
      <c r="K4569" s="89"/>
      <c r="L4569" s="89"/>
      <c r="M4569" s="90"/>
      <c r="N4569" s="88" t="s">
        <v>26</v>
      </c>
      <c r="O4569" s="89"/>
      <c r="P4569" s="90"/>
      <c r="Q4569" s="133">
        <v>5883</v>
      </c>
      <c r="R4569" s="134"/>
      <c r="S4569" s="5" t="s">
        <v>945</v>
      </c>
      <c r="T4569" s="8">
        <v>16000</v>
      </c>
      <c r="U4569" s="6"/>
      <c r="V4569" s="5" t="s">
        <v>106</v>
      </c>
      <c r="W4569" s="9">
        <v>5077718</v>
      </c>
      <c r="X4569" s="6"/>
      <c r="Y4569" s="6"/>
    </row>
    <row r="4570" spans="1:25" ht="15" customHeight="1" x14ac:dyDescent="0.2">
      <c r="A4570" s="88" t="s">
        <v>5527</v>
      </c>
      <c r="B4570" s="90"/>
      <c r="C4570" s="88" t="s">
        <v>5540</v>
      </c>
      <c r="D4570" s="90"/>
      <c r="E4570" s="106"/>
      <c r="F4570" s="107"/>
      <c r="G4570" s="107"/>
      <c r="H4570" s="107"/>
      <c r="I4570" s="108"/>
      <c r="J4570" s="88" t="s">
        <v>1602</v>
      </c>
      <c r="K4570" s="89"/>
      <c r="L4570" s="89"/>
      <c r="M4570" s="90"/>
      <c r="N4570" s="88" t="s">
        <v>1293</v>
      </c>
      <c r="O4570" s="89"/>
      <c r="P4570" s="90"/>
      <c r="Q4570" s="133">
        <v>11015</v>
      </c>
      <c r="R4570" s="134"/>
      <c r="S4570" s="5" t="s">
        <v>5541</v>
      </c>
      <c r="T4570" s="6"/>
      <c r="U4570" s="6"/>
      <c r="V4570" s="5" t="s">
        <v>106</v>
      </c>
      <c r="W4570" s="9">
        <v>11347862</v>
      </c>
      <c r="X4570" s="6"/>
      <c r="Y4570" s="6"/>
    </row>
    <row r="4571" spans="1:25" ht="15" customHeight="1" x14ac:dyDescent="0.2">
      <c r="A4571" s="88" t="s">
        <v>5527</v>
      </c>
      <c r="B4571" s="90"/>
      <c r="C4571" s="88" t="s">
        <v>5542</v>
      </c>
      <c r="D4571" s="90"/>
      <c r="E4571" s="106"/>
      <c r="F4571" s="107"/>
      <c r="G4571" s="107"/>
      <c r="H4571" s="107"/>
      <c r="I4571" s="108"/>
      <c r="J4571" s="88" t="s">
        <v>1602</v>
      </c>
      <c r="K4571" s="89"/>
      <c r="L4571" s="89"/>
      <c r="M4571" s="90"/>
      <c r="N4571" s="88" t="s">
        <v>3269</v>
      </c>
      <c r="O4571" s="89"/>
      <c r="P4571" s="90"/>
      <c r="Q4571" s="133">
        <v>5883</v>
      </c>
      <c r="R4571" s="134"/>
      <c r="S4571" s="5" t="s">
        <v>1305</v>
      </c>
      <c r="T4571" s="8">
        <v>16200</v>
      </c>
      <c r="U4571" s="6"/>
      <c r="V4571" s="5" t="s">
        <v>106</v>
      </c>
      <c r="W4571" s="9">
        <v>5027798</v>
      </c>
      <c r="X4571" s="6"/>
      <c r="Y4571" s="6"/>
    </row>
    <row r="4572" spans="1:25" ht="15" customHeight="1" x14ac:dyDescent="0.2">
      <c r="A4572" s="88" t="s">
        <v>5527</v>
      </c>
      <c r="B4572" s="90"/>
      <c r="C4572" s="88" t="s">
        <v>5543</v>
      </c>
      <c r="D4572" s="90"/>
      <c r="E4572" s="106"/>
      <c r="F4572" s="107"/>
      <c r="G4572" s="107"/>
      <c r="H4572" s="107"/>
      <c r="I4572" s="108"/>
      <c r="J4572" s="88" t="s">
        <v>1602</v>
      </c>
      <c r="K4572" s="89"/>
      <c r="L4572" s="89"/>
      <c r="M4572" s="90"/>
      <c r="N4572" s="88" t="s">
        <v>1293</v>
      </c>
      <c r="O4572" s="89"/>
      <c r="P4572" s="90"/>
      <c r="Q4572" s="133">
        <v>5883</v>
      </c>
      <c r="R4572" s="134"/>
      <c r="S4572" s="5" t="s">
        <v>945</v>
      </c>
      <c r="T4572" s="8">
        <v>25000</v>
      </c>
      <c r="U4572" s="6"/>
      <c r="V4572" s="5" t="s">
        <v>106</v>
      </c>
      <c r="W4572" s="9">
        <v>5069998</v>
      </c>
      <c r="X4572" s="6"/>
      <c r="Y4572" s="6"/>
    </row>
    <row r="4573" spans="1:25" ht="15" customHeight="1" x14ac:dyDescent="0.2">
      <c r="A4573" s="88" t="s">
        <v>5527</v>
      </c>
      <c r="B4573" s="90"/>
      <c r="C4573" s="88" t="s">
        <v>5544</v>
      </c>
      <c r="D4573" s="90"/>
      <c r="E4573" s="106"/>
      <c r="F4573" s="107"/>
      <c r="G4573" s="107"/>
      <c r="H4573" s="107"/>
      <c r="I4573" s="108"/>
      <c r="J4573" s="88" t="s">
        <v>1602</v>
      </c>
      <c r="K4573" s="89"/>
      <c r="L4573" s="89"/>
      <c r="M4573" s="90"/>
      <c r="N4573" s="88" t="s">
        <v>26</v>
      </c>
      <c r="O4573" s="89"/>
      <c r="P4573" s="90"/>
      <c r="Q4573" s="133">
        <v>2956</v>
      </c>
      <c r="R4573" s="134"/>
      <c r="S4573" s="5" t="s">
        <v>5529</v>
      </c>
      <c r="T4573" s="8">
        <v>5400</v>
      </c>
      <c r="U4573" s="6"/>
      <c r="V4573" s="5" t="s">
        <v>106</v>
      </c>
      <c r="W4573" s="9">
        <v>2418304</v>
      </c>
      <c r="X4573" s="6"/>
      <c r="Y4573" s="6"/>
    </row>
    <row r="4574" spans="1:25" ht="15" customHeight="1" x14ac:dyDescent="0.2">
      <c r="A4574" s="88" t="s">
        <v>5527</v>
      </c>
      <c r="B4574" s="90"/>
      <c r="C4574" s="88" t="s">
        <v>5545</v>
      </c>
      <c r="D4574" s="90"/>
      <c r="E4574" s="106"/>
      <c r="F4574" s="107"/>
      <c r="G4574" s="107"/>
      <c r="H4574" s="107"/>
      <c r="I4574" s="108"/>
      <c r="J4574" s="88" t="s">
        <v>1602</v>
      </c>
      <c r="K4574" s="89"/>
      <c r="L4574" s="89"/>
      <c r="M4574" s="90"/>
      <c r="N4574" s="88" t="s">
        <v>1293</v>
      </c>
      <c r="O4574" s="89"/>
      <c r="P4574" s="90"/>
      <c r="Q4574" s="133">
        <v>11015</v>
      </c>
      <c r="R4574" s="134"/>
      <c r="S4574" s="5" t="s">
        <v>1320</v>
      </c>
      <c r="T4574" s="6"/>
      <c r="U4574" s="6"/>
      <c r="V4574" s="5" t="s">
        <v>106</v>
      </c>
      <c r="W4574" s="9">
        <v>9006240</v>
      </c>
      <c r="X4574" s="6"/>
      <c r="Y4574" s="6"/>
    </row>
    <row r="4575" spans="1:25" ht="15" customHeight="1" x14ac:dyDescent="0.2">
      <c r="A4575" s="88" t="s">
        <v>5527</v>
      </c>
      <c r="B4575" s="90"/>
      <c r="C4575" s="88" t="s">
        <v>5546</v>
      </c>
      <c r="D4575" s="90"/>
      <c r="E4575" s="106"/>
      <c r="F4575" s="107"/>
      <c r="G4575" s="107"/>
      <c r="H4575" s="107"/>
      <c r="I4575" s="108"/>
      <c r="J4575" s="88" t="s">
        <v>1602</v>
      </c>
      <c r="K4575" s="89"/>
      <c r="L4575" s="89"/>
      <c r="M4575" s="90"/>
      <c r="N4575" s="88" t="s">
        <v>26</v>
      </c>
      <c r="O4575" s="89"/>
      <c r="P4575" s="90"/>
      <c r="Q4575" s="133">
        <v>1396</v>
      </c>
      <c r="R4575" s="134"/>
      <c r="S4575" s="5" t="s">
        <v>5529</v>
      </c>
      <c r="T4575" s="8">
        <v>2300</v>
      </c>
      <c r="U4575" s="6"/>
      <c r="V4575" s="5" t="s">
        <v>106</v>
      </c>
      <c r="W4575" s="9">
        <v>1540324</v>
      </c>
      <c r="X4575" s="6"/>
      <c r="Y4575" s="6"/>
    </row>
    <row r="4576" spans="1:25" ht="15" customHeight="1" x14ac:dyDescent="0.2">
      <c r="A4576" s="88" t="s">
        <v>5527</v>
      </c>
      <c r="B4576" s="90"/>
      <c r="C4576" s="88" t="s">
        <v>5547</v>
      </c>
      <c r="D4576" s="90"/>
      <c r="E4576" s="106"/>
      <c r="F4576" s="107"/>
      <c r="G4576" s="107"/>
      <c r="H4576" s="107"/>
      <c r="I4576" s="108"/>
      <c r="J4576" s="88" t="s">
        <v>2179</v>
      </c>
      <c r="K4576" s="89"/>
      <c r="L4576" s="89"/>
      <c r="M4576" s="90"/>
      <c r="N4576" s="88" t="s">
        <v>26</v>
      </c>
      <c r="O4576" s="89"/>
      <c r="P4576" s="90"/>
      <c r="Q4576" s="133">
        <v>2200</v>
      </c>
      <c r="R4576" s="134"/>
      <c r="S4576" s="5" t="s">
        <v>1589</v>
      </c>
      <c r="T4576" s="6"/>
      <c r="U4576" s="6"/>
      <c r="V4576" s="5" t="s">
        <v>106</v>
      </c>
      <c r="W4576" s="9">
        <v>5195600</v>
      </c>
      <c r="X4576" s="6"/>
      <c r="Y4576" s="6"/>
    </row>
    <row r="4577" spans="1:25" ht="15" customHeight="1" x14ac:dyDescent="0.2">
      <c r="A4577" s="88" t="s">
        <v>5527</v>
      </c>
      <c r="B4577" s="90"/>
      <c r="C4577" s="88" t="s">
        <v>5547</v>
      </c>
      <c r="D4577" s="90"/>
      <c r="E4577" s="106"/>
      <c r="F4577" s="107"/>
      <c r="G4577" s="107"/>
      <c r="H4577" s="107"/>
      <c r="I4577" s="108"/>
      <c r="J4577" s="88" t="s">
        <v>963</v>
      </c>
      <c r="K4577" s="89"/>
      <c r="L4577" s="89"/>
      <c r="M4577" s="90"/>
      <c r="N4577" s="88" t="s">
        <v>26</v>
      </c>
      <c r="O4577" s="89"/>
      <c r="P4577" s="90"/>
      <c r="Q4577" s="133">
        <v>2200</v>
      </c>
      <c r="R4577" s="134"/>
      <c r="S4577" s="5" t="s">
        <v>2181</v>
      </c>
      <c r="T4577" s="6"/>
      <c r="U4577" s="6"/>
      <c r="V4577" s="5" t="s">
        <v>106</v>
      </c>
      <c r="W4577" s="9">
        <v>5856057</v>
      </c>
      <c r="X4577" s="6"/>
      <c r="Y4577" s="6"/>
    </row>
    <row r="4578" spans="1:25" ht="15" customHeight="1" x14ac:dyDescent="0.2">
      <c r="A4578" s="88" t="s">
        <v>5527</v>
      </c>
      <c r="B4578" s="90"/>
      <c r="C4578" s="88" t="s">
        <v>5548</v>
      </c>
      <c r="D4578" s="90"/>
      <c r="E4578" s="106"/>
      <c r="F4578" s="107"/>
      <c r="G4578" s="107"/>
      <c r="H4578" s="107"/>
      <c r="I4578" s="108"/>
      <c r="J4578" s="88" t="s">
        <v>1602</v>
      </c>
      <c r="K4578" s="89"/>
      <c r="L4578" s="89"/>
      <c r="M4578" s="90"/>
      <c r="N4578" s="88" t="s">
        <v>22</v>
      </c>
      <c r="O4578" s="89"/>
      <c r="P4578" s="90"/>
      <c r="Q4578" s="133">
        <v>2956</v>
      </c>
      <c r="R4578" s="134"/>
      <c r="S4578" s="5" t="s">
        <v>5529</v>
      </c>
      <c r="T4578" s="8">
        <v>3150</v>
      </c>
      <c r="U4578" s="6"/>
      <c r="V4578" s="5" t="s">
        <v>106</v>
      </c>
      <c r="W4578" s="9">
        <v>3242246</v>
      </c>
      <c r="X4578" s="6"/>
      <c r="Y4578" s="6"/>
    </row>
    <row r="4579" spans="1:25" ht="15" customHeight="1" x14ac:dyDescent="0.2">
      <c r="A4579" s="88" t="s">
        <v>5527</v>
      </c>
      <c r="B4579" s="90"/>
      <c r="C4579" s="88" t="s">
        <v>5549</v>
      </c>
      <c r="D4579" s="90"/>
      <c r="E4579" s="106"/>
      <c r="F4579" s="107"/>
      <c r="G4579" s="107"/>
      <c r="H4579" s="107"/>
      <c r="I4579" s="108"/>
      <c r="J4579" s="88" t="s">
        <v>1602</v>
      </c>
      <c r="K4579" s="89"/>
      <c r="L4579" s="89"/>
      <c r="M4579" s="90"/>
      <c r="N4579" s="88" t="s">
        <v>26</v>
      </c>
      <c r="O4579" s="89"/>
      <c r="P4579" s="90"/>
      <c r="Q4579" s="133">
        <v>2596</v>
      </c>
      <c r="R4579" s="134"/>
      <c r="S4579" s="5" t="s">
        <v>5550</v>
      </c>
      <c r="T4579" s="8">
        <v>6780</v>
      </c>
      <c r="U4579" s="6"/>
      <c r="V4579" s="5" t="s">
        <v>5551</v>
      </c>
      <c r="W4579" s="9">
        <v>7496074</v>
      </c>
      <c r="X4579" s="6"/>
      <c r="Y4579" s="6"/>
    </row>
    <row r="4580" spans="1:25" ht="15" customHeight="1" x14ac:dyDescent="0.2">
      <c r="A4580" s="88" t="s">
        <v>5527</v>
      </c>
      <c r="B4580" s="90"/>
      <c r="C4580" s="88" t="s">
        <v>5552</v>
      </c>
      <c r="D4580" s="90"/>
      <c r="E4580" s="106"/>
      <c r="F4580" s="107"/>
      <c r="G4580" s="107"/>
      <c r="H4580" s="107"/>
      <c r="I4580" s="108"/>
      <c r="J4580" s="88" t="s">
        <v>5553</v>
      </c>
      <c r="K4580" s="89"/>
      <c r="L4580" s="89"/>
      <c r="M4580" s="90"/>
      <c r="N4580" s="88" t="s">
        <v>26</v>
      </c>
      <c r="O4580" s="89"/>
      <c r="P4580" s="90"/>
      <c r="Q4580" s="133">
        <v>2596</v>
      </c>
      <c r="R4580" s="134"/>
      <c r="S4580" s="5" t="s">
        <v>5554</v>
      </c>
      <c r="T4580" s="8">
        <v>6780</v>
      </c>
      <c r="U4580" s="6"/>
      <c r="V4580" s="5" t="s">
        <v>5551</v>
      </c>
      <c r="W4580" s="11">
        <v>5731931</v>
      </c>
      <c r="X4580" s="6"/>
      <c r="Y4580" s="6"/>
    </row>
    <row r="4581" spans="1:25" ht="15" customHeight="1" x14ac:dyDescent="0.2">
      <c r="A4581" s="88" t="s">
        <v>5555</v>
      </c>
      <c r="B4581" s="90"/>
      <c r="C4581" s="88" t="s">
        <v>5556</v>
      </c>
      <c r="D4581" s="90"/>
      <c r="E4581" s="88" t="s">
        <v>5557</v>
      </c>
      <c r="F4581" s="89"/>
      <c r="G4581" s="89"/>
      <c r="H4581" s="89"/>
      <c r="I4581" s="90"/>
      <c r="J4581" s="88" t="s">
        <v>2179</v>
      </c>
      <c r="K4581" s="89"/>
      <c r="L4581" s="89"/>
      <c r="M4581" s="90"/>
      <c r="N4581" s="88" t="s">
        <v>26</v>
      </c>
      <c r="O4581" s="89"/>
      <c r="P4581" s="90"/>
      <c r="Q4581" s="133">
        <v>1998</v>
      </c>
      <c r="R4581" s="134"/>
      <c r="S4581" s="5" t="s">
        <v>271</v>
      </c>
      <c r="T4581" s="8">
        <v>1480</v>
      </c>
      <c r="U4581" s="8">
        <v>4</v>
      </c>
      <c r="V4581" s="5" t="s">
        <v>23</v>
      </c>
      <c r="W4581" s="12">
        <v>5257204</v>
      </c>
      <c r="X4581" s="6"/>
      <c r="Y4581" s="6"/>
    </row>
    <row r="4582" spans="1:25" ht="15" customHeight="1" x14ac:dyDescent="0.2">
      <c r="A4582" s="88" t="s">
        <v>5555</v>
      </c>
      <c r="B4582" s="90"/>
      <c r="C4582" s="88" t="s">
        <v>5556</v>
      </c>
      <c r="D4582" s="90"/>
      <c r="E4582" s="88" t="s">
        <v>5558</v>
      </c>
      <c r="F4582" s="89"/>
      <c r="G4582" s="89"/>
      <c r="H4582" s="89"/>
      <c r="I4582" s="90"/>
      <c r="J4582" s="88" t="s">
        <v>2179</v>
      </c>
      <c r="K4582" s="89"/>
      <c r="L4582" s="89"/>
      <c r="M4582" s="90"/>
      <c r="N4582" s="88" t="s">
        <v>26</v>
      </c>
      <c r="O4582" s="89"/>
      <c r="P4582" s="90"/>
      <c r="Q4582" s="133">
        <v>1998</v>
      </c>
      <c r="R4582" s="134"/>
      <c r="S4582" s="5" t="s">
        <v>271</v>
      </c>
      <c r="T4582" s="8">
        <v>1480</v>
      </c>
      <c r="U4582" s="8">
        <v>4</v>
      </c>
      <c r="V4582" s="5" t="s">
        <v>23</v>
      </c>
      <c r="W4582" s="12">
        <v>5257204</v>
      </c>
      <c r="X4582" s="6"/>
      <c r="Y4582" s="6"/>
    </row>
    <row r="4583" spans="1:25" ht="15" customHeight="1" x14ac:dyDescent="0.2">
      <c r="A4583" s="88" t="s">
        <v>5555</v>
      </c>
      <c r="B4583" s="90"/>
      <c r="C4583" s="88" t="s">
        <v>5559</v>
      </c>
      <c r="D4583" s="90"/>
      <c r="E4583" s="88" t="s">
        <v>5560</v>
      </c>
      <c r="F4583" s="89"/>
      <c r="G4583" s="89"/>
      <c r="H4583" s="89"/>
      <c r="I4583" s="90"/>
      <c r="J4583" s="88" t="s">
        <v>770</v>
      </c>
      <c r="K4583" s="89"/>
      <c r="L4583" s="89"/>
      <c r="M4583" s="90"/>
      <c r="N4583" s="88" t="s">
        <v>701</v>
      </c>
      <c r="O4583" s="89"/>
      <c r="P4583" s="90"/>
      <c r="Q4583" s="133">
        <v>2362</v>
      </c>
      <c r="R4583" s="134"/>
      <c r="S4583" s="5" t="s">
        <v>814</v>
      </c>
      <c r="T4583" s="8">
        <v>2405</v>
      </c>
      <c r="U4583" s="8">
        <v>7</v>
      </c>
      <c r="V4583" s="5" t="s">
        <v>23</v>
      </c>
      <c r="W4583" s="12">
        <v>7570876</v>
      </c>
      <c r="X4583" s="6"/>
      <c r="Y4583" s="6"/>
    </row>
    <row r="4584" spans="1:25" ht="15" customHeight="1" x14ac:dyDescent="0.2">
      <c r="A4584" s="88" t="s">
        <v>5555</v>
      </c>
      <c r="B4584" s="90"/>
      <c r="C4584" s="88" t="s">
        <v>5561</v>
      </c>
      <c r="D4584" s="90"/>
      <c r="E4584" s="88" t="s">
        <v>5562</v>
      </c>
      <c r="F4584" s="89"/>
      <c r="G4584" s="89"/>
      <c r="H4584" s="89"/>
      <c r="I4584" s="90"/>
      <c r="J4584" s="88" t="s">
        <v>770</v>
      </c>
      <c r="K4584" s="89"/>
      <c r="L4584" s="89"/>
      <c r="M4584" s="90"/>
      <c r="N4584" s="88" t="s">
        <v>26</v>
      </c>
      <c r="O4584" s="89"/>
      <c r="P4584" s="90"/>
      <c r="Q4584" s="133">
        <v>1797</v>
      </c>
      <c r="R4584" s="134"/>
      <c r="S4584" s="5" t="s">
        <v>44</v>
      </c>
      <c r="T4584" s="8">
        <v>1545</v>
      </c>
      <c r="U4584" s="8">
        <v>5</v>
      </c>
      <c r="V4584" s="5" t="s">
        <v>23</v>
      </c>
      <c r="W4584" s="12">
        <v>3954256</v>
      </c>
      <c r="X4584" s="6"/>
      <c r="Y4584" s="6"/>
    </row>
    <row r="4585" spans="1:25" ht="15" customHeight="1" x14ac:dyDescent="0.2">
      <c r="A4585" s="88" t="s">
        <v>5555</v>
      </c>
      <c r="B4585" s="90"/>
      <c r="C4585" s="88" t="s">
        <v>5563</v>
      </c>
      <c r="D4585" s="90"/>
      <c r="E4585" s="88" t="s">
        <v>5564</v>
      </c>
      <c r="F4585" s="89"/>
      <c r="G4585" s="89"/>
      <c r="H4585" s="89"/>
      <c r="I4585" s="90"/>
      <c r="J4585" s="88" t="s">
        <v>770</v>
      </c>
      <c r="K4585" s="89"/>
      <c r="L4585" s="89"/>
      <c r="M4585" s="90"/>
      <c r="N4585" s="88" t="s">
        <v>26</v>
      </c>
      <c r="O4585" s="89"/>
      <c r="P4585" s="90"/>
      <c r="Q4585" s="133">
        <v>1496</v>
      </c>
      <c r="R4585" s="134"/>
      <c r="S4585" s="5" t="s">
        <v>44</v>
      </c>
      <c r="T4585" s="8">
        <v>1475</v>
      </c>
      <c r="U4585" s="8">
        <v>5</v>
      </c>
      <c r="V4585" s="5" t="s">
        <v>23</v>
      </c>
      <c r="W4585" s="12">
        <v>3524152</v>
      </c>
      <c r="X4585" s="6"/>
      <c r="Y4585" s="6"/>
    </row>
    <row r="4586" spans="1:25" ht="15" customHeight="1" x14ac:dyDescent="0.2">
      <c r="A4586" s="88" t="s">
        <v>5555</v>
      </c>
      <c r="B4586" s="90"/>
      <c r="C4586" s="88" t="s">
        <v>5565</v>
      </c>
      <c r="D4586" s="90"/>
      <c r="E4586" s="88" t="s">
        <v>5566</v>
      </c>
      <c r="F4586" s="89"/>
      <c r="G4586" s="89"/>
      <c r="H4586" s="89"/>
      <c r="I4586" s="90"/>
      <c r="J4586" s="88" t="s">
        <v>770</v>
      </c>
      <c r="K4586" s="89"/>
      <c r="L4586" s="89"/>
      <c r="M4586" s="90"/>
      <c r="N4586" s="88" t="s">
        <v>26</v>
      </c>
      <c r="O4586" s="89"/>
      <c r="P4586" s="90"/>
      <c r="Q4586" s="133">
        <v>1986</v>
      </c>
      <c r="R4586" s="134"/>
      <c r="S4586" s="5" t="s">
        <v>44</v>
      </c>
      <c r="T4586" s="8">
        <v>1545</v>
      </c>
      <c r="U4586" s="8">
        <v>5</v>
      </c>
      <c r="V4586" s="5" t="s">
        <v>23</v>
      </c>
      <c r="W4586" s="12">
        <v>4287058</v>
      </c>
      <c r="X4586" s="6"/>
      <c r="Y4586" s="6"/>
    </row>
    <row r="4587" spans="1:25" ht="15" customHeight="1" x14ac:dyDescent="0.2">
      <c r="A4587" s="88" t="s">
        <v>5555</v>
      </c>
      <c r="B4587" s="90"/>
      <c r="C4587" s="88" t="s">
        <v>5567</v>
      </c>
      <c r="D4587" s="90"/>
      <c r="E4587" s="88" t="s">
        <v>5568</v>
      </c>
      <c r="F4587" s="89"/>
      <c r="G4587" s="89"/>
      <c r="H4587" s="89"/>
      <c r="I4587" s="90"/>
      <c r="J4587" s="88" t="s">
        <v>770</v>
      </c>
      <c r="K4587" s="89"/>
      <c r="L4587" s="89"/>
      <c r="M4587" s="90"/>
      <c r="N4587" s="88" t="s">
        <v>26</v>
      </c>
      <c r="O4587" s="89"/>
      <c r="P4587" s="90"/>
      <c r="Q4587" s="133">
        <v>1986</v>
      </c>
      <c r="R4587" s="134"/>
      <c r="S4587" s="5" t="s">
        <v>44</v>
      </c>
      <c r="T4587" s="8">
        <v>1545</v>
      </c>
      <c r="U4587" s="8">
        <v>5</v>
      </c>
      <c r="V4587" s="5" t="s">
        <v>23</v>
      </c>
      <c r="W4587" s="12">
        <v>4300638</v>
      </c>
      <c r="X4587" s="6"/>
      <c r="Y4587" s="6"/>
    </row>
    <row r="4588" spans="1:25" ht="15" customHeight="1" x14ac:dyDescent="0.2">
      <c r="A4588" s="88" t="s">
        <v>5555</v>
      </c>
      <c r="B4588" s="90"/>
      <c r="C4588" s="88" t="s">
        <v>5569</v>
      </c>
      <c r="D4588" s="90"/>
      <c r="E4588" s="88" t="s">
        <v>5566</v>
      </c>
      <c r="F4588" s="89"/>
      <c r="G4588" s="89"/>
      <c r="H4588" s="89"/>
      <c r="I4588" s="90"/>
      <c r="J4588" s="88" t="s">
        <v>770</v>
      </c>
      <c r="K4588" s="89"/>
      <c r="L4588" s="89"/>
      <c r="M4588" s="90"/>
      <c r="N4588" s="88" t="s">
        <v>26</v>
      </c>
      <c r="O4588" s="89"/>
      <c r="P4588" s="90"/>
      <c r="Q4588" s="133">
        <v>1986</v>
      </c>
      <c r="R4588" s="134"/>
      <c r="S4588" s="5" t="s">
        <v>44</v>
      </c>
      <c r="T4588" s="8">
        <v>1545</v>
      </c>
      <c r="U4588" s="8">
        <v>5</v>
      </c>
      <c r="V4588" s="5" t="s">
        <v>23</v>
      </c>
      <c r="W4588" s="12">
        <v>4287058</v>
      </c>
      <c r="X4588" s="6"/>
      <c r="Y4588" s="6"/>
    </row>
    <row r="4589" spans="1:25" ht="15" customHeight="1" x14ac:dyDescent="0.2">
      <c r="A4589" s="88" t="s">
        <v>5555</v>
      </c>
      <c r="B4589" s="90"/>
      <c r="C4589" s="88" t="s">
        <v>5570</v>
      </c>
      <c r="D4589" s="90"/>
      <c r="E4589" s="88" t="s">
        <v>5571</v>
      </c>
      <c r="F4589" s="89"/>
      <c r="G4589" s="89"/>
      <c r="H4589" s="89"/>
      <c r="I4589" s="90"/>
      <c r="J4589" s="88" t="s">
        <v>770</v>
      </c>
      <c r="K4589" s="89"/>
      <c r="L4589" s="89"/>
      <c r="M4589" s="90"/>
      <c r="N4589" s="88" t="s">
        <v>22</v>
      </c>
      <c r="O4589" s="89"/>
      <c r="P4589" s="90"/>
      <c r="Q4589" s="133">
        <v>2487</v>
      </c>
      <c r="R4589" s="134"/>
      <c r="S4589" s="5" t="s">
        <v>814</v>
      </c>
      <c r="T4589" s="8">
        <v>2675</v>
      </c>
      <c r="U4589" s="8">
        <v>7</v>
      </c>
      <c r="V4589" s="5" t="s">
        <v>23</v>
      </c>
      <c r="W4589" s="12">
        <v>15230172</v>
      </c>
      <c r="X4589" s="6"/>
      <c r="Y4589" s="6"/>
    </row>
    <row r="4590" spans="1:25" ht="15" customHeight="1" x14ac:dyDescent="0.2">
      <c r="A4590" s="88" t="s">
        <v>5555</v>
      </c>
      <c r="B4590" s="90"/>
      <c r="C4590" s="88" t="s">
        <v>5572</v>
      </c>
      <c r="D4590" s="90"/>
      <c r="E4590" s="88" t="s">
        <v>5573</v>
      </c>
      <c r="F4590" s="89"/>
      <c r="G4590" s="89"/>
      <c r="H4590" s="89"/>
      <c r="I4590" s="90"/>
      <c r="J4590" s="88" t="s">
        <v>770</v>
      </c>
      <c r="K4590" s="89"/>
      <c r="L4590" s="89"/>
      <c r="M4590" s="90"/>
      <c r="N4590" s="88" t="s">
        <v>22</v>
      </c>
      <c r="O4590" s="89"/>
      <c r="P4590" s="90"/>
      <c r="Q4590" s="133">
        <v>2493</v>
      </c>
      <c r="R4590" s="134"/>
      <c r="S4590" s="5" t="s">
        <v>814</v>
      </c>
      <c r="T4590" s="8">
        <v>2625</v>
      </c>
      <c r="U4590" s="8">
        <v>7</v>
      </c>
      <c r="V4590" s="5" t="s">
        <v>23</v>
      </c>
      <c r="W4590" s="12">
        <v>13539483</v>
      </c>
      <c r="X4590" s="6"/>
      <c r="Y4590" s="6"/>
    </row>
    <row r="4591" spans="1:25" ht="15" customHeight="1" x14ac:dyDescent="0.2">
      <c r="A4591" s="88" t="s">
        <v>5555</v>
      </c>
      <c r="B4591" s="90"/>
      <c r="C4591" s="88" t="s">
        <v>5574</v>
      </c>
      <c r="D4591" s="90"/>
      <c r="E4591" s="88" t="s">
        <v>5575</v>
      </c>
      <c r="F4591" s="89"/>
      <c r="G4591" s="89"/>
      <c r="H4591" s="89"/>
      <c r="I4591" s="90"/>
      <c r="J4591" s="88" t="s">
        <v>770</v>
      </c>
      <c r="K4591" s="89"/>
      <c r="L4591" s="89"/>
      <c r="M4591" s="90"/>
      <c r="N4591" s="88" t="s">
        <v>22</v>
      </c>
      <c r="O4591" s="89"/>
      <c r="P4591" s="90"/>
      <c r="Q4591" s="133">
        <v>2493</v>
      </c>
      <c r="R4591" s="134"/>
      <c r="S4591" s="5" t="s">
        <v>814</v>
      </c>
      <c r="T4591" s="8">
        <v>2575</v>
      </c>
      <c r="U4591" s="8">
        <v>5</v>
      </c>
      <c r="V4591" s="5" t="s">
        <v>23</v>
      </c>
      <c r="W4591" s="12">
        <v>8744012</v>
      </c>
      <c r="X4591" s="6"/>
      <c r="Y4591" s="6"/>
    </row>
    <row r="4592" spans="1:25" ht="15" customHeight="1" x14ac:dyDescent="0.2">
      <c r="A4592" s="88" t="s">
        <v>5555</v>
      </c>
      <c r="B4592" s="90"/>
      <c r="C4592" s="88" t="s">
        <v>5576</v>
      </c>
      <c r="D4592" s="90"/>
      <c r="E4592" s="88" t="s">
        <v>5577</v>
      </c>
      <c r="F4592" s="89"/>
      <c r="G4592" s="89"/>
      <c r="H4592" s="89"/>
      <c r="I4592" s="90"/>
      <c r="J4592" s="88" t="s">
        <v>770</v>
      </c>
      <c r="K4592" s="89"/>
      <c r="L4592" s="89"/>
      <c r="M4592" s="90"/>
      <c r="N4592" s="88" t="s">
        <v>22</v>
      </c>
      <c r="O4592" s="89"/>
      <c r="P4592" s="90"/>
      <c r="Q4592" s="133">
        <v>2493</v>
      </c>
      <c r="R4592" s="134"/>
      <c r="S4592" s="5" t="s">
        <v>814</v>
      </c>
      <c r="T4592" s="8">
        <v>2575</v>
      </c>
      <c r="U4592" s="8">
        <v>7</v>
      </c>
      <c r="V4592" s="5" t="s">
        <v>23</v>
      </c>
      <c r="W4592" s="12">
        <v>8942486</v>
      </c>
      <c r="X4592" s="6"/>
      <c r="Y4592" s="6"/>
    </row>
    <row r="4593" spans="1:25" ht="15" customHeight="1" x14ac:dyDescent="0.2">
      <c r="A4593" s="88" t="s">
        <v>5555</v>
      </c>
      <c r="B4593" s="90"/>
      <c r="C4593" s="88" t="s">
        <v>5578</v>
      </c>
      <c r="D4593" s="90"/>
      <c r="E4593" s="88" t="s">
        <v>5579</v>
      </c>
      <c r="F4593" s="89"/>
      <c r="G4593" s="89"/>
      <c r="H4593" s="89"/>
      <c r="I4593" s="90"/>
      <c r="J4593" s="88" t="s">
        <v>770</v>
      </c>
      <c r="K4593" s="89"/>
      <c r="L4593" s="89"/>
      <c r="M4593" s="90"/>
      <c r="N4593" s="88" t="s">
        <v>26</v>
      </c>
      <c r="O4593" s="89"/>
      <c r="P4593" s="90"/>
      <c r="Q4593" s="133">
        <v>2493</v>
      </c>
      <c r="R4593" s="134"/>
      <c r="S4593" s="5" t="s">
        <v>814</v>
      </c>
      <c r="T4593" s="8">
        <v>2625</v>
      </c>
      <c r="U4593" s="8">
        <v>5</v>
      </c>
      <c r="V4593" s="5" t="s">
        <v>23</v>
      </c>
      <c r="W4593" s="12">
        <v>13539483</v>
      </c>
      <c r="X4593" s="6"/>
      <c r="Y4593" s="6"/>
    </row>
    <row r="4594" spans="1:25" ht="15" customHeight="1" x14ac:dyDescent="0.2">
      <c r="A4594" s="88" t="s">
        <v>5555</v>
      </c>
      <c r="B4594" s="90"/>
      <c r="C4594" s="88" t="s">
        <v>5580</v>
      </c>
      <c r="D4594" s="90"/>
      <c r="E4594" s="88" t="s">
        <v>5577</v>
      </c>
      <c r="F4594" s="89"/>
      <c r="G4594" s="89"/>
      <c r="H4594" s="89"/>
      <c r="I4594" s="90"/>
      <c r="J4594" s="88" t="s">
        <v>770</v>
      </c>
      <c r="K4594" s="89"/>
      <c r="L4594" s="89"/>
      <c r="M4594" s="90"/>
      <c r="N4594" s="88" t="s">
        <v>22</v>
      </c>
      <c r="O4594" s="89"/>
      <c r="P4594" s="90"/>
      <c r="Q4594" s="133">
        <v>2493</v>
      </c>
      <c r="R4594" s="134"/>
      <c r="S4594" s="5" t="s">
        <v>814</v>
      </c>
      <c r="T4594" s="8">
        <v>2575</v>
      </c>
      <c r="U4594" s="8">
        <v>7</v>
      </c>
      <c r="V4594" s="5" t="s">
        <v>23</v>
      </c>
      <c r="W4594" s="12">
        <v>8977418</v>
      </c>
      <c r="X4594" s="6"/>
      <c r="Y4594" s="6"/>
    </row>
    <row r="4595" spans="1:25" ht="15" customHeight="1" x14ac:dyDescent="0.2">
      <c r="A4595" s="88" t="s">
        <v>5555</v>
      </c>
      <c r="B4595" s="90"/>
      <c r="C4595" s="88" t="s">
        <v>5580</v>
      </c>
      <c r="D4595" s="90"/>
      <c r="E4595" s="88" t="s">
        <v>5581</v>
      </c>
      <c r="F4595" s="89"/>
      <c r="G4595" s="89"/>
      <c r="H4595" s="89"/>
      <c r="I4595" s="90"/>
      <c r="J4595" s="88" t="s">
        <v>770</v>
      </c>
      <c r="K4595" s="89"/>
      <c r="L4595" s="89"/>
      <c r="M4595" s="90"/>
      <c r="N4595" s="88" t="s">
        <v>701</v>
      </c>
      <c r="O4595" s="89"/>
      <c r="P4595" s="90"/>
      <c r="Q4595" s="133">
        <v>2493</v>
      </c>
      <c r="R4595" s="134"/>
      <c r="S4595" s="5" t="s">
        <v>814</v>
      </c>
      <c r="T4595" s="8">
        <v>2565</v>
      </c>
      <c r="U4595" s="8">
        <v>7</v>
      </c>
      <c r="V4595" s="5" t="s">
        <v>23</v>
      </c>
      <c r="W4595" s="12">
        <v>8690476</v>
      </c>
      <c r="X4595" s="6"/>
      <c r="Y4595" s="6"/>
    </row>
    <row r="4596" spans="1:25" ht="15" customHeight="1" x14ac:dyDescent="0.2">
      <c r="A4596" s="88" t="s">
        <v>5555</v>
      </c>
      <c r="B4596" s="90"/>
      <c r="C4596" s="88" t="s">
        <v>5582</v>
      </c>
      <c r="D4596" s="90"/>
      <c r="E4596" s="88" t="s">
        <v>5583</v>
      </c>
      <c r="F4596" s="89"/>
      <c r="G4596" s="89"/>
      <c r="H4596" s="89"/>
      <c r="I4596" s="90"/>
      <c r="J4596" s="88" t="s">
        <v>770</v>
      </c>
      <c r="K4596" s="89"/>
      <c r="L4596" s="89"/>
      <c r="M4596" s="90"/>
      <c r="N4596" s="88" t="s">
        <v>701</v>
      </c>
      <c r="O4596" s="89"/>
      <c r="P4596" s="90"/>
      <c r="Q4596" s="133">
        <v>2493</v>
      </c>
      <c r="R4596" s="134"/>
      <c r="S4596" s="5" t="s">
        <v>814</v>
      </c>
      <c r="T4596" s="8">
        <v>2425</v>
      </c>
      <c r="U4596" s="8">
        <v>7</v>
      </c>
      <c r="V4596" s="5" t="s">
        <v>23</v>
      </c>
      <c r="W4596" s="12">
        <v>6414482</v>
      </c>
      <c r="X4596" s="6"/>
      <c r="Y4596" s="6"/>
    </row>
    <row r="4597" spans="1:25" ht="15" customHeight="1" x14ac:dyDescent="0.2">
      <c r="A4597" s="88" t="s">
        <v>5555</v>
      </c>
      <c r="B4597" s="90"/>
      <c r="C4597" s="88" t="s">
        <v>5582</v>
      </c>
      <c r="D4597" s="90"/>
      <c r="E4597" s="88" t="s">
        <v>5583</v>
      </c>
      <c r="F4597" s="89"/>
      <c r="G4597" s="89"/>
      <c r="H4597" s="89"/>
      <c r="I4597" s="90"/>
      <c r="J4597" s="88" t="s">
        <v>770</v>
      </c>
      <c r="K4597" s="89"/>
      <c r="L4597" s="89"/>
      <c r="M4597" s="90"/>
      <c r="N4597" s="88" t="s">
        <v>26</v>
      </c>
      <c r="O4597" s="89"/>
      <c r="P4597" s="90"/>
      <c r="Q4597" s="133">
        <v>2493</v>
      </c>
      <c r="R4597" s="134"/>
      <c r="S4597" s="5" t="s">
        <v>814</v>
      </c>
      <c r="T4597" s="8">
        <v>2425</v>
      </c>
      <c r="U4597" s="8">
        <v>7</v>
      </c>
      <c r="V4597" s="5" t="s">
        <v>23</v>
      </c>
      <c r="W4597" s="12">
        <v>6671933</v>
      </c>
      <c r="X4597" s="6"/>
      <c r="Y4597" s="6"/>
    </row>
    <row r="4598" spans="1:25" ht="15" customHeight="1" x14ac:dyDescent="0.2">
      <c r="A4598" s="88" t="s">
        <v>5555</v>
      </c>
      <c r="B4598" s="90"/>
      <c r="C4598" s="88" t="s">
        <v>5582</v>
      </c>
      <c r="D4598" s="90"/>
      <c r="E4598" s="88" t="s">
        <v>5584</v>
      </c>
      <c r="F4598" s="89"/>
      <c r="G4598" s="89"/>
      <c r="H4598" s="89"/>
      <c r="I4598" s="90"/>
      <c r="J4598" s="88" t="s">
        <v>770</v>
      </c>
      <c r="K4598" s="89"/>
      <c r="L4598" s="89"/>
      <c r="M4598" s="90"/>
      <c r="N4598" s="88" t="s">
        <v>26</v>
      </c>
      <c r="O4598" s="89"/>
      <c r="P4598" s="90"/>
      <c r="Q4598" s="133">
        <v>2493</v>
      </c>
      <c r="R4598" s="134"/>
      <c r="S4598" s="5" t="s">
        <v>814</v>
      </c>
      <c r="T4598" s="8">
        <v>2425</v>
      </c>
      <c r="U4598" s="8">
        <v>7</v>
      </c>
      <c r="V4598" s="5" t="s">
        <v>23</v>
      </c>
      <c r="W4598" s="12">
        <v>6836112</v>
      </c>
      <c r="X4598" s="6"/>
      <c r="Y4598" s="6"/>
    </row>
    <row r="4599" spans="1:25" ht="15" customHeight="1" x14ac:dyDescent="0.2">
      <c r="A4599" s="88" t="s">
        <v>5555</v>
      </c>
      <c r="B4599" s="90"/>
      <c r="C4599" s="88" t="s">
        <v>5585</v>
      </c>
      <c r="D4599" s="90"/>
      <c r="E4599" s="88" t="s">
        <v>5586</v>
      </c>
      <c r="F4599" s="89"/>
      <c r="G4599" s="89"/>
      <c r="H4599" s="89"/>
      <c r="I4599" s="90"/>
      <c r="J4599" s="88" t="s">
        <v>770</v>
      </c>
      <c r="K4599" s="89"/>
      <c r="L4599" s="89"/>
      <c r="M4599" s="90"/>
      <c r="N4599" s="88" t="s">
        <v>26</v>
      </c>
      <c r="O4599" s="89"/>
      <c r="P4599" s="90"/>
      <c r="Q4599" s="133">
        <v>2493</v>
      </c>
      <c r="R4599" s="134"/>
      <c r="S4599" s="5" t="s">
        <v>814</v>
      </c>
      <c r="T4599" s="8">
        <v>2435</v>
      </c>
      <c r="U4599" s="8">
        <v>7</v>
      </c>
      <c r="V4599" s="5" t="s">
        <v>23</v>
      </c>
      <c r="W4599" s="12">
        <v>8243855</v>
      </c>
      <c r="X4599" s="6"/>
      <c r="Y4599" s="6"/>
    </row>
    <row r="4600" spans="1:25" ht="15" customHeight="1" x14ac:dyDescent="0.2">
      <c r="A4600" s="88" t="s">
        <v>5555</v>
      </c>
      <c r="B4600" s="90"/>
      <c r="C4600" s="88" t="s">
        <v>5587</v>
      </c>
      <c r="D4600" s="90"/>
      <c r="E4600" s="88" t="s">
        <v>5588</v>
      </c>
      <c r="F4600" s="89"/>
      <c r="G4600" s="89"/>
      <c r="H4600" s="89"/>
      <c r="I4600" s="90"/>
      <c r="J4600" s="88" t="s">
        <v>770</v>
      </c>
      <c r="K4600" s="89"/>
      <c r="L4600" s="89"/>
      <c r="M4600" s="90"/>
      <c r="N4600" s="88" t="s">
        <v>26</v>
      </c>
      <c r="O4600" s="89"/>
      <c r="P4600" s="90"/>
      <c r="Q4600" s="133">
        <v>1496</v>
      </c>
      <c r="R4600" s="134"/>
      <c r="S4600" s="5" t="s">
        <v>27</v>
      </c>
      <c r="T4600" s="8">
        <v>1375</v>
      </c>
      <c r="U4600" s="8">
        <v>5</v>
      </c>
      <c r="V4600" s="5" t="s">
        <v>23</v>
      </c>
      <c r="W4600" s="12">
        <v>3212673</v>
      </c>
      <c r="X4600" s="6"/>
      <c r="Y4600" s="6"/>
    </row>
    <row r="4601" spans="1:25" ht="15" customHeight="1" x14ac:dyDescent="0.2">
      <c r="A4601" s="88" t="s">
        <v>5555</v>
      </c>
      <c r="B4601" s="90"/>
      <c r="C4601" s="88" t="s">
        <v>5589</v>
      </c>
      <c r="D4601" s="90"/>
      <c r="E4601" s="88" t="s">
        <v>5590</v>
      </c>
      <c r="F4601" s="89"/>
      <c r="G4601" s="89"/>
      <c r="H4601" s="89"/>
      <c r="I4601" s="90"/>
      <c r="J4601" s="88" t="s">
        <v>770</v>
      </c>
      <c r="K4601" s="89"/>
      <c r="L4601" s="89"/>
      <c r="M4601" s="90"/>
      <c r="N4601" s="88" t="s">
        <v>26</v>
      </c>
      <c r="O4601" s="89"/>
      <c r="P4601" s="90"/>
      <c r="Q4601" s="133">
        <v>1496</v>
      </c>
      <c r="R4601" s="134"/>
      <c r="S4601" s="5" t="s">
        <v>27</v>
      </c>
      <c r="T4601" s="8">
        <v>1365</v>
      </c>
      <c r="U4601" s="8">
        <v>5</v>
      </c>
      <c r="V4601" s="5" t="s">
        <v>23</v>
      </c>
      <c r="W4601" s="12">
        <v>3241092</v>
      </c>
      <c r="X4601" s="6"/>
      <c r="Y4601" s="6"/>
    </row>
    <row r="4602" spans="1:25" ht="15" customHeight="1" x14ac:dyDescent="0.2">
      <c r="A4602" s="88" t="s">
        <v>5555</v>
      </c>
      <c r="B4602" s="90"/>
      <c r="C4602" s="88" t="s">
        <v>5591</v>
      </c>
      <c r="D4602" s="90"/>
      <c r="E4602" s="88" t="s">
        <v>5592</v>
      </c>
      <c r="F4602" s="89"/>
      <c r="G4602" s="89"/>
      <c r="H4602" s="89"/>
      <c r="I4602" s="90"/>
      <c r="J4602" s="88" t="s">
        <v>770</v>
      </c>
      <c r="K4602" s="89"/>
      <c r="L4602" s="89"/>
      <c r="M4602" s="90"/>
      <c r="N4602" s="88" t="s">
        <v>26</v>
      </c>
      <c r="O4602" s="89"/>
      <c r="P4602" s="90"/>
      <c r="Q4602" s="133">
        <v>1496</v>
      </c>
      <c r="R4602" s="134"/>
      <c r="S4602" s="5" t="s">
        <v>27</v>
      </c>
      <c r="T4602" s="8">
        <v>1465</v>
      </c>
      <c r="U4602" s="8">
        <v>5</v>
      </c>
      <c r="V4602" s="5" t="s">
        <v>23</v>
      </c>
      <c r="W4602" s="12">
        <v>4513720</v>
      </c>
      <c r="X4602" s="6"/>
      <c r="Y4602" s="6"/>
    </row>
    <row r="4603" spans="1:25" ht="15" customHeight="1" x14ac:dyDescent="0.2">
      <c r="A4603" s="88" t="s">
        <v>5555</v>
      </c>
      <c r="B4603" s="90"/>
      <c r="C4603" s="88" t="s">
        <v>5591</v>
      </c>
      <c r="D4603" s="90"/>
      <c r="E4603" s="88" t="s">
        <v>5593</v>
      </c>
      <c r="F4603" s="89"/>
      <c r="G4603" s="89"/>
      <c r="H4603" s="89"/>
      <c r="I4603" s="90"/>
      <c r="J4603" s="88" t="s">
        <v>770</v>
      </c>
      <c r="K4603" s="89"/>
      <c r="L4603" s="89"/>
      <c r="M4603" s="90"/>
      <c r="N4603" s="88" t="s">
        <v>26</v>
      </c>
      <c r="O4603" s="89"/>
      <c r="P4603" s="90"/>
      <c r="Q4603" s="133">
        <v>1496</v>
      </c>
      <c r="R4603" s="134"/>
      <c r="S4603" s="5" t="s">
        <v>27</v>
      </c>
      <c r="T4603" s="8">
        <v>1465</v>
      </c>
      <c r="U4603" s="8">
        <v>5</v>
      </c>
      <c r="V4603" s="5" t="s">
        <v>23</v>
      </c>
      <c r="W4603" s="12">
        <v>4513720</v>
      </c>
      <c r="X4603" s="6"/>
      <c r="Y4603" s="6"/>
    </row>
    <row r="4604" spans="1:25" ht="15" customHeight="1" x14ac:dyDescent="0.2">
      <c r="A4604" s="88" t="s">
        <v>5555</v>
      </c>
      <c r="B4604" s="90"/>
      <c r="C4604" s="88" t="s">
        <v>5594</v>
      </c>
      <c r="D4604" s="90"/>
      <c r="E4604" s="88" t="s">
        <v>5595</v>
      </c>
      <c r="F4604" s="89"/>
      <c r="G4604" s="89"/>
      <c r="H4604" s="89"/>
      <c r="I4604" s="90"/>
      <c r="J4604" s="88" t="s">
        <v>770</v>
      </c>
      <c r="K4604" s="89"/>
      <c r="L4604" s="89"/>
      <c r="M4604" s="90"/>
      <c r="N4604" s="88" t="s">
        <v>26</v>
      </c>
      <c r="O4604" s="89"/>
      <c r="P4604" s="90"/>
      <c r="Q4604" s="133">
        <v>1490</v>
      </c>
      <c r="R4604" s="134"/>
      <c r="S4604" s="5" t="s">
        <v>27</v>
      </c>
      <c r="T4604" s="8">
        <v>1395</v>
      </c>
      <c r="U4604" s="8">
        <v>5</v>
      </c>
      <c r="V4604" s="5" t="s">
        <v>23</v>
      </c>
      <c r="W4604" s="12">
        <v>3635121</v>
      </c>
      <c r="X4604" s="6"/>
      <c r="Y4604" s="6"/>
    </row>
    <row r="4605" spans="1:25" ht="15" customHeight="1" x14ac:dyDescent="0.2">
      <c r="A4605" s="88" t="s">
        <v>5555</v>
      </c>
      <c r="B4605" s="90"/>
      <c r="C4605" s="88" t="s">
        <v>5594</v>
      </c>
      <c r="D4605" s="90"/>
      <c r="E4605" s="88" t="s">
        <v>5596</v>
      </c>
      <c r="F4605" s="89"/>
      <c r="G4605" s="89"/>
      <c r="H4605" s="89"/>
      <c r="I4605" s="90"/>
      <c r="J4605" s="88" t="s">
        <v>770</v>
      </c>
      <c r="K4605" s="89"/>
      <c r="L4605" s="89"/>
      <c r="M4605" s="90"/>
      <c r="N4605" s="88" t="s">
        <v>26</v>
      </c>
      <c r="O4605" s="89"/>
      <c r="P4605" s="90"/>
      <c r="Q4605" s="133">
        <v>1490</v>
      </c>
      <c r="R4605" s="134"/>
      <c r="S4605" s="5" t="s">
        <v>27</v>
      </c>
      <c r="T4605" s="8">
        <v>1445</v>
      </c>
      <c r="U4605" s="8">
        <v>5</v>
      </c>
      <c r="V4605" s="5" t="s">
        <v>23</v>
      </c>
      <c r="W4605" s="12">
        <v>3616677</v>
      </c>
      <c r="X4605" s="6"/>
      <c r="Y4605" s="6"/>
    </row>
    <row r="4606" spans="1:25" ht="15" customHeight="1" x14ac:dyDescent="0.2">
      <c r="A4606" s="88" t="s">
        <v>5555</v>
      </c>
      <c r="B4606" s="90"/>
      <c r="C4606" s="88" t="s">
        <v>5594</v>
      </c>
      <c r="D4606" s="90"/>
      <c r="E4606" s="88" t="s">
        <v>5597</v>
      </c>
      <c r="F4606" s="89"/>
      <c r="G4606" s="89"/>
      <c r="H4606" s="89"/>
      <c r="I4606" s="90"/>
      <c r="J4606" s="88" t="s">
        <v>770</v>
      </c>
      <c r="K4606" s="89"/>
      <c r="L4606" s="89"/>
      <c r="M4606" s="90"/>
      <c r="N4606" s="88" t="s">
        <v>26</v>
      </c>
      <c r="O4606" s="89"/>
      <c r="P4606" s="90"/>
      <c r="Q4606" s="133">
        <v>1496</v>
      </c>
      <c r="R4606" s="134"/>
      <c r="S4606" s="5" t="s">
        <v>27</v>
      </c>
      <c r="T4606" s="8">
        <v>1445</v>
      </c>
      <c r="U4606" s="8">
        <v>5</v>
      </c>
      <c r="V4606" s="5" t="s">
        <v>23</v>
      </c>
      <c r="W4606" s="12">
        <v>3641828</v>
      </c>
      <c r="X4606" s="6"/>
      <c r="Y4606" s="6"/>
    </row>
    <row r="4607" spans="1:25" ht="15" customHeight="1" x14ac:dyDescent="0.2">
      <c r="A4607" s="88" t="s">
        <v>5555</v>
      </c>
      <c r="B4607" s="90"/>
      <c r="C4607" s="88" t="s">
        <v>5598</v>
      </c>
      <c r="D4607" s="90"/>
      <c r="E4607" s="88" t="s">
        <v>5596</v>
      </c>
      <c r="F4607" s="89"/>
      <c r="G4607" s="89"/>
      <c r="H4607" s="89"/>
      <c r="I4607" s="90"/>
      <c r="J4607" s="88" t="s">
        <v>770</v>
      </c>
      <c r="K4607" s="89"/>
      <c r="L4607" s="89"/>
      <c r="M4607" s="90"/>
      <c r="N4607" s="88" t="s">
        <v>26</v>
      </c>
      <c r="O4607" s="89"/>
      <c r="P4607" s="90"/>
      <c r="Q4607" s="133">
        <v>1490</v>
      </c>
      <c r="R4607" s="134"/>
      <c r="S4607" s="5" t="s">
        <v>27</v>
      </c>
      <c r="T4607" s="8">
        <v>1445</v>
      </c>
      <c r="U4607" s="8">
        <v>5</v>
      </c>
      <c r="V4607" s="5" t="s">
        <v>23</v>
      </c>
      <c r="W4607" s="12">
        <v>3616677</v>
      </c>
      <c r="X4607" s="6"/>
      <c r="Y4607" s="6"/>
    </row>
    <row r="4608" spans="1:25" ht="15" customHeight="1" x14ac:dyDescent="0.2">
      <c r="A4608" s="88" t="s">
        <v>5555</v>
      </c>
      <c r="B4608" s="90"/>
      <c r="C4608" s="88" t="s">
        <v>5599</v>
      </c>
      <c r="D4608" s="90"/>
      <c r="E4608" s="88" t="s">
        <v>5600</v>
      </c>
      <c r="F4608" s="89"/>
      <c r="G4608" s="89"/>
      <c r="H4608" s="89"/>
      <c r="I4608" s="90"/>
      <c r="J4608" s="88" t="s">
        <v>770</v>
      </c>
      <c r="K4608" s="89"/>
      <c r="L4608" s="89"/>
      <c r="M4608" s="90"/>
      <c r="N4608" s="88" t="s">
        <v>26</v>
      </c>
      <c r="O4608" s="89"/>
      <c r="P4608" s="90"/>
      <c r="Q4608" s="133">
        <v>1490</v>
      </c>
      <c r="R4608" s="134"/>
      <c r="S4608" s="5" t="s">
        <v>27</v>
      </c>
      <c r="T4608" s="8">
        <v>1405</v>
      </c>
      <c r="U4608" s="8">
        <v>5</v>
      </c>
      <c r="V4608" s="5" t="s">
        <v>23</v>
      </c>
      <c r="W4608" s="12">
        <v>4024119</v>
      </c>
      <c r="X4608" s="6"/>
      <c r="Y4608" s="6"/>
    </row>
    <row r="4609" spans="1:25" ht="15" customHeight="1" x14ac:dyDescent="0.2">
      <c r="A4609" s="88" t="s">
        <v>5555</v>
      </c>
      <c r="B4609" s="90"/>
      <c r="C4609" s="88" t="s">
        <v>5601</v>
      </c>
      <c r="D4609" s="90"/>
      <c r="E4609" s="88" t="s">
        <v>5602</v>
      </c>
      <c r="F4609" s="89"/>
      <c r="G4609" s="89"/>
      <c r="H4609" s="89"/>
      <c r="I4609" s="90"/>
      <c r="J4609" s="88" t="s">
        <v>770</v>
      </c>
      <c r="K4609" s="89"/>
      <c r="L4609" s="89"/>
      <c r="M4609" s="90"/>
      <c r="N4609" s="88" t="s">
        <v>26</v>
      </c>
      <c r="O4609" s="89"/>
      <c r="P4609" s="90"/>
      <c r="Q4609" s="133">
        <v>1797</v>
      </c>
      <c r="R4609" s="134"/>
      <c r="S4609" s="5" t="s">
        <v>27</v>
      </c>
      <c r="T4609" s="8">
        <v>1675</v>
      </c>
      <c r="U4609" s="8">
        <v>5</v>
      </c>
      <c r="V4609" s="5" t="s">
        <v>23</v>
      </c>
      <c r="W4609" s="12">
        <v>4595312</v>
      </c>
      <c r="X4609" s="6"/>
      <c r="Y4609" s="6"/>
    </row>
    <row r="4610" spans="1:25" ht="15" customHeight="1" x14ac:dyDescent="0.2">
      <c r="A4610" s="88" t="s">
        <v>5555</v>
      </c>
      <c r="B4610" s="90"/>
      <c r="C4610" s="88" t="s">
        <v>5603</v>
      </c>
      <c r="D4610" s="90"/>
      <c r="E4610" s="88" t="s">
        <v>5604</v>
      </c>
      <c r="F4610" s="89"/>
      <c r="G4610" s="89"/>
      <c r="H4610" s="89"/>
      <c r="I4610" s="90"/>
      <c r="J4610" s="88" t="s">
        <v>770</v>
      </c>
      <c r="K4610" s="89"/>
      <c r="L4610" s="89"/>
      <c r="M4610" s="90"/>
      <c r="N4610" s="88" t="s">
        <v>26</v>
      </c>
      <c r="O4610" s="89"/>
      <c r="P4610" s="90"/>
      <c r="Q4610" s="133">
        <v>1986</v>
      </c>
      <c r="R4610" s="134"/>
      <c r="S4610" s="5" t="s">
        <v>44</v>
      </c>
      <c r="T4610" s="8">
        <v>1755</v>
      </c>
      <c r="U4610" s="8">
        <v>5</v>
      </c>
      <c r="V4610" s="5" t="s">
        <v>23</v>
      </c>
      <c r="W4610" s="12">
        <v>4840607</v>
      </c>
      <c r="X4610" s="6"/>
      <c r="Y4610" s="6"/>
    </row>
    <row r="4611" spans="1:25" ht="15" customHeight="1" x14ac:dyDescent="0.2">
      <c r="A4611" s="88" t="s">
        <v>5555</v>
      </c>
      <c r="B4611" s="90"/>
      <c r="C4611" s="88" t="s">
        <v>5605</v>
      </c>
      <c r="D4611" s="90"/>
      <c r="E4611" s="88" t="s">
        <v>5606</v>
      </c>
      <c r="F4611" s="89"/>
      <c r="G4611" s="89"/>
      <c r="H4611" s="89"/>
      <c r="I4611" s="90"/>
      <c r="J4611" s="88" t="s">
        <v>887</v>
      </c>
      <c r="K4611" s="89"/>
      <c r="L4611" s="89"/>
      <c r="M4611" s="90"/>
      <c r="N4611" s="88" t="s">
        <v>26</v>
      </c>
      <c r="O4611" s="89"/>
      <c r="P4611" s="90"/>
      <c r="Q4611" s="133">
        <v>1500</v>
      </c>
      <c r="R4611" s="134"/>
      <c r="S4611" s="5" t="s">
        <v>44</v>
      </c>
      <c r="T4611" s="6"/>
      <c r="U4611" s="6"/>
      <c r="V4611" s="5" t="s">
        <v>23</v>
      </c>
      <c r="W4611" s="12">
        <v>2195000</v>
      </c>
      <c r="X4611" s="6"/>
      <c r="Y4611" s="6"/>
    </row>
    <row r="4612" spans="1:25" ht="15" customHeight="1" x14ac:dyDescent="0.2">
      <c r="A4612" s="88" t="s">
        <v>5555</v>
      </c>
      <c r="B4612" s="90"/>
      <c r="C4612" s="88" t="s">
        <v>5607</v>
      </c>
      <c r="D4612" s="90"/>
      <c r="E4612" s="88" t="s">
        <v>5608</v>
      </c>
      <c r="F4612" s="89"/>
      <c r="G4612" s="89"/>
      <c r="H4612" s="89"/>
      <c r="I4612" s="90"/>
      <c r="J4612" s="88" t="s">
        <v>770</v>
      </c>
      <c r="K4612" s="89"/>
      <c r="L4612" s="89"/>
      <c r="M4612" s="90"/>
      <c r="N4612" s="88" t="s">
        <v>26</v>
      </c>
      <c r="O4612" s="89"/>
      <c r="P4612" s="90"/>
      <c r="Q4612" s="133">
        <v>0</v>
      </c>
      <c r="R4612" s="134"/>
      <c r="S4612" s="5" t="s">
        <v>16</v>
      </c>
      <c r="T4612" s="8">
        <v>1645</v>
      </c>
      <c r="U4612" s="8">
        <v>5</v>
      </c>
      <c r="V4612" s="5" t="s">
        <v>17</v>
      </c>
      <c r="W4612" s="12">
        <v>9990434</v>
      </c>
      <c r="X4612" s="6"/>
      <c r="Y4612" s="6"/>
    </row>
    <row r="4613" spans="1:25" ht="15" customHeight="1" x14ac:dyDescent="0.2">
      <c r="A4613" s="88" t="s">
        <v>5555</v>
      </c>
      <c r="B4613" s="90"/>
      <c r="C4613" s="88" t="s">
        <v>5609</v>
      </c>
      <c r="D4613" s="90"/>
      <c r="E4613" s="88" t="s">
        <v>5608</v>
      </c>
      <c r="F4613" s="89"/>
      <c r="G4613" s="89"/>
      <c r="H4613" s="89"/>
      <c r="I4613" s="90"/>
      <c r="J4613" s="88" t="s">
        <v>770</v>
      </c>
      <c r="K4613" s="89"/>
      <c r="L4613" s="89"/>
      <c r="M4613" s="90"/>
      <c r="N4613" s="88" t="s">
        <v>22</v>
      </c>
      <c r="O4613" s="89"/>
      <c r="P4613" s="90"/>
      <c r="Q4613" s="133">
        <v>0</v>
      </c>
      <c r="R4613" s="134"/>
      <c r="S4613" s="5" t="s">
        <v>16</v>
      </c>
      <c r="T4613" s="8">
        <v>2285</v>
      </c>
      <c r="U4613" s="8">
        <v>5</v>
      </c>
      <c r="V4613" s="5" t="s">
        <v>17</v>
      </c>
      <c r="W4613" s="12">
        <v>9990434</v>
      </c>
      <c r="X4613" s="6"/>
      <c r="Y4613" s="6"/>
    </row>
    <row r="4614" spans="1:25" ht="15" customHeight="1" x14ac:dyDescent="0.2">
      <c r="A4614" s="88" t="s">
        <v>5555</v>
      </c>
      <c r="B4614" s="90"/>
      <c r="C4614" s="88" t="s">
        <v>5610</v>
      </c>
      <c r="D4614" s="90"/>
      <c r="E4614" s="88" t="s">
        <v>5611</v>
      </c>
      <c r="F4614" s="89"/>
      <c r="G4614" s="89"/>
      <c r="H4614" s="89"/>
      <c r="I4614" s="90"/>
      <c r="J4614" s="88" t="s">
        <v>770</v>
      </c>
      <c r="K4614" s="89"/>
      <c r="L4614" s="89"/>
      <c r="M4614" s="90"/>
      <c r="N4614" s="88" t="s">
        <v>26</v>
      </c>
      <c r="O4614" s="89"/>
      <c r="P4614" s="90"/>
      <c r="Q4614" s="133">
        <v>0</v>
      </c>
      <c r="R4614" s="134"/>
      <c r="S4614" s="5" t="s">
        <v>27</v>
      </c>
      <c r="T4614" s="8">
        <v>800</v>
      </c>
      <c r="U4614" s="8">
        <v>5</v>
      </c>
      <c r="V4614" s="5" t="s">
        <v>17</v>
      </c>
      <c r="W4614" s="12">
        <v>2877245</v>
      </c>
      <c r="X4614" s="6"/>
      <c r="Y4614" s="6"/>
    </row>
    <row r="4615" spans="1:25" ht="15" customHeight="1" x14ac:dyDescent="0.2">
      <c r="A4615" s="88" t="s">
        <v>5555</v>
      </c>
      <c r="B4615" s="90"/>
      <c r="C4615" s="88" t="s">
        <v>5612</v>
      </c>
      <c r="D4615" s="90"/>
      <c r="E4615" s="88" t="s">
        <v>5613</v>
      </c>
      <c r="F4615" s="89"/>
      <c r="G4615" s="89"/>
      <c r="H4615" s="89"/>
      <c r="I4615" s="90"/>
      <c r="J4615" s="88" t="s">
        <v>770</v>
      </c>
      <c r="K4615" s="89"/>
      <c r="L4615" s="89"/>
      <c r="M4615" s="90"/>
      <c r="N4615" s="88" t="s">
        <v>26</v>
      </c>
      <c r="O4615" s="89"/>
      <c r="P4615" s="90"/>
      <c r="Q4615" s="133">
        <v>0</v>
      </c>
      <c r="R4615" s="134"/>
      <c r="S4615" s="5" t="s">
        <v>27</v>
      </c>
      <c r="T4615" s="8">
        <v>1645</v>
      </c>
      <c r="U4615" s="8">
        <v>1</v>
      </c>
      <c r="V4615" s="5" t="s">
        <v>17</v>
      </c>
      <c r="W4615" s="12">
        <v>776180</v>
      </c>
      <c r="X4615" s="6"/>
      <c r="Y4615" s="6"/>
    </row>
    <row r="4616" spans="1:25" ht="15" customHeight="1" x14ac:dyDescent="0.2">
      <c r="A4616" s="88" t="s">
        <v>5555</v>
      </c>
      <c r="B4616" s="90"/>
      <c r="C4616" s="88" t="s">
        <v>5614</v>
      </c>
      <c r="D4616" s="90"/>
      <c r="E4616" s="88" t="s">
        <v>5615</v>
      </c>
      <c r="F4616" s="89"/>
      <c r="G4616" s="89"/>
      <c r="H4616" s="89"/>
      <c r="I4616" s="90"/>
      <c r="J4616" s="88" t="s">
        <v>770</v>
      </c>
      <c r="K4616" s="89"/>
      <c r="L4616" s="89"/>
      <c r="M4616" s="90"/>
      <c r="N4616" s="88" t="s">
        <v>26</v>
      </c>
      <c r="O4616" s="89"/>
      <c r="P4616" s="90"/>
      <c r="Q4616" s="133">
        <v>0</v>
      </c>
      <c r="R4616" s="134"/>
      <c r="S4616" s="5" t="s">
        <v>27</v>
      </c>
      <c r="T4616" s="8">
        <v>1645</v>
      </c>
      <c r="U4616" s="8">
        <v>1</v>
      </c>
      <c r="V4616" s="5" t="s">
        <v>17</v>
      </c>
      <c r="W4616" s="12">
        <v>578216</v>
      </c>
      <c r="X4616" s="6"/>
      <c r="Y4616" s="6"/>
    </row>
    <row r="4617" spans="1:25" ht="15" customHeight="1" x14ac:dyDescent="0.2">
      <c r="A4617" s="88" t="s">
        <v>5555</v>
      </c>
      <c r="B4617" s="90"/>
      <c r="C4617" s="88" t="s">
        <v>5616</v>
      </c>
      <c r="D4617" s="90"/>
      <c r="E4617" s="88" t="s">
        <v>5611</v>
      </c>
      <c r="F4617" s="89"/>
      <c r="G4617" s="89"/>
      <c r="H4617" s="89"/>
      <c r="I4617" s="90"/>
      <c r="J4617" s="88" t="s">
        <v>770</v>
      </c>
      <c r="K4617" s="89"/>
      <c r="L4617" s="89"/>
      <c r="M4617" s="90"/>
      <c r="N4617" s="88" t="s">
        <v>26</v>
      </c>
      <c r="O4617" s="89"/>
      <c r="P4617" s="90"/>
      <c r="Q4617" s="133">
        <v>0</v>
      </c>
      <c r="R4617" s="134"/>
      <c r="S4617" s="5" t="s">
        <v>27</v>
      </c>
      <c r="T4617" s="8">
        <v>800</v>
      </c>
      <c r="U4617" s="8">
        <v>1</v>
      </c>
      <c r="V4617" s="5" t="s">
        <v>17</v>
      </c>
      <c r="W4617" s="12">
        <v>2637475</v>
      </c>
      <c r="X4617" s="6"/>
      <c r="Y4617" s="6"/>
    </row>
    <row r="4618" spans="1:25" ht="15" customHeight="1" x14ac:dyDescent="0.2">
      <c r="A4618" s="88" t="s">
        <v>5555</v>
      </c>
      <c r="B4618" s="90"/>
      <c r="C4618" s="88" t="s">
        <v>5617</v>
      </c>
      <c r="D4618" s="90"/>
      <c r="E4618" s="88" t="s">
        <v>5618</v>
      </c>
      <c r="F4618" s="89"/>
      <c r="G4618" s="89"/>
      <c r="H4618" s="89"/>
      <c r="I4618" s="90"/>
      <c r="J4618" s="88" t="s">
        <v>770</v>
      </c>
      <c r="K4618" s="89"/>
      <c r="L4618" s="89"/>
      <c r="M4618" s="90"/>
      <c r="N4618" s="88" t="s">
        <v>26</v>
      </c>
      <c r="O4618" s="89"/>
      <c r="P4618" s="90"/>
      <c r="Q4618" s="133">
        <v>0</v>
      </c>
      <c r="R4618" s="134"/>
      <c r="S4618" s="5" t="s">
        <v>27</v>
      </c>
      <c r="T4618" s="8">
        <v>1645</v>
      </c>
      <c r="U4618" s="8">
        <v>1</v>
      </c>
      <c r="V4618" s="5" t="s">
        <v>17</v>
      </c>
      <c r="W4618" s="12">
        <v>544402</v>
      </c>
      <c r="X4618" s="6"/>
      <c r="Y4618" s="6"/>
    </row>
    <row r="4619" spans="1:25" ht="15" customHeight="1" x14ac:dyDescent="0.2">
      <c r="A4619" s="88" t="s">
        <v>5555</v>
      </c>
      <c r="B4619" s="90"/>
      <c r="C4619" s="88" t="s">
        <v>5619</v>
      </c>
      <c r="D4619" s="90"/>
      <c r="E4619" s="88" t="s">
        <v>5620</v>
      </c>
      <c r="F4619" s="89"/>
      <c r="G4619" s="89"/>
      <c r="H4619" s="89"/>
      <c r="I4619" s="90"/>
      <c r="J4619" s="88" t="s">
        <v>770</v>
      </c>
      <c r="K4619" s="89"/>
      <c r="L4619" s="89"/>
      <c r="M4619" s="90"/>
      <c r="N4619" s="88" t="s">
        <v>26</v>
      </c>
      <c r="O4619" s="89"/>
      <c r="P4619" s="90"/>
      <c r="Q4619" s="133">
        <v>2487</v>
      </c>
      <c r="R4619" s="134"/>
      <c r="S4619" s="5" t="s">
        <v>44</v>
      </c>
      <c r="T4619" s="8">
        <v>1875</v>
      </c>
      <c r="U4619" s="8">
        <v>5</v>
      </c>
      <c r="V4619" s="5" t="s">
        <v>23</v>
      </c>
      <c r="W4619" s="12">
        <v>7065708</v>
      </c>
      <c r="X4619" s="6"/>
      <c r="Y4619" s="6"/>
    </row>
    <row r="4620" spans="1:25" ht="15" customHeight="1" x14ac:dyDescent="0.2">
      <c r="A4620" s="88" t="s">
        <v>5555</v>
      </c>
      <c r="B4620" s="90"/>
      <c r="C4620" s="88" t="s">
        <v>5621</v>
      </c>
      <c r="D4620" s="90"/>
      <c r="E4620" s="88" t="s">
        <v>5622</v>
      </c>
      <c r="F4620" s="89"/>
      <c r="G4620" s="89"/>
      <c r="H4620" s="89"/>
      <c r="I4620" s="90"/>
      <c r="J4620" s="88" t="s">
        <v>770</v>
      </c>
      <c r="K4620" s="89"/>
      <c r="L4620" s="89"/>
      <c r="M4620" s="90"/>
      <c r="N4620" s="88" t="s">
        <v>701</v>
      </c>
      <c r="O4620" s="89"/>
      <c r="P4620" s="90"/>
      <c r="Q4620" s="133">
        <v>2487</v>
      </c>
      <c r="R4620" s="134"/>
      <c r="S4620" s="5" t="s">
        <v>44</v>
      </c>
      <c r="T4620" s="8">
        <v>1875</v>
      </c>
      <c r="U4620" s="8">
        <v>5</v>
      </c>
      <c r="V4620" s="5" t="s">
        <v>23</v>
      </c>
      <c r="W4620" s="12">
        <v>6806955</v>
      </c>
      <c r="X4620" s="6"/>
      <c r="Y4620" s="6"/>
    </row>
    <row r="4621" spans="1:25" ht="15" customHeight="1" x14ac:dyDescent="0.2">
      <c r="A4621" s="88" t="s">
        <v>5555</v>
      </c>
      <c r="B4621" s="90"/>
      <c r="C4621" s="88" t="s">
        <v>5623</v>
      </c>
      <c r="D4621" s="90"/>
      <c r="E4621" s="88" t="s">
        <v>5624</v>
      </c>
      <c r="F4621" s="89"/>
      <c r="G4621" s="89"/>
      <c r="H4621" s="89"/>
      <c r="I4621" s="90"/>
      <c r="J4621" s="88" t="s">
        <v>770</v>
      </c>
      <c r="K4621" s="89"/>
      <c r="L4621" s="89"/>
      <c r="M4621" s="90"/>
      <c r="N4621" s="88" t="s">
        <v>26</v>
      </c>
      <c r="O4621" s="89"/>
      <c r="P4621" s="90"/>
      <c r="Q4621" s="133">
        <v>2487</v>
      </c>
      <c r="R4621" s="134"/>
      <c r="S4621" s="5" t="s">
        <v>44</v>
      </c>
      <c r="T4621" s="8">
        <v>1875</v>
      </c>
      <c r="U4621" s="8">
        <v>5</v>
      </c>
      <c r="V4621" s="5" t="s">
        <v>23</v>
      </c>
      <c r="W4621" s="12">
        <v>7831662</v>
      </c>
      <c r="X4621" s="6"/>
      <c r="Y4621" s="6"/>
    </row>
    <row r="4622" spans="1:25" ht="15" customHeight="1" x14ac:dyDescent="0.2">
      <c r="A4622" s="88" t="s">
        <v>5555</v>
      </c>
      <c r="B4622" s="90"/>
      <c r="C4622" s="88" t="s">
        <v>5625</v>
      </c>
      <c r="D4622" s="90"/>
      <c r="E4622" s="88" t="s">
        <v>5626</v>
      </c>
      <c r="F4622" s="89"/>
      <c r="G4622" s="89"/>
      <c r="H4622" s="89"/>
      <c r="I4622" s="90"/>
      <c r="J4622" s="88" t="s">
        <v>770</v>
      </c>
      <c r="K4622" s="89"/>
      <c r="L4622" s="89"/>
      <c r="M4622" s="90"/>
      <c r="N4622" s="88" t="s">
        <v>26</v>
      </c>
      <c r="O4622" s="89"/>
      <c r="P4622" s="90"/>
      <c r="Q4622" s="133">
        <v>2487</v>
      </c>
      <c r="R4622" s="134"/>
      <c r="S4622" s="5" t="s">
        <v>44</v>
      </c>
      <c r="T4622" s="8">
        <v>1875</v>
      </c>
      <c r="U4622" s="8">
        <v>5</v>
      </c>
      <c r="V4622" s="5" t="s">
        <v>23</v>
      </c>
      <c r="W4622" s="12">
        <v>7814196</v>
      </c>
      <c r="X4622" s="6"/>
      <c r="Y4622" s="6"/>
    </row>
    <row r="4623" spans="1:25" ht="15" customHeight="1" x14ac:dyDescent="0.2">
      <c r="A4623" s="88" t="s">
        <v>5555</v>
      </c>
      <c r="B4623" s="90"/>
      <c r="C4623" s="88" t="s">
        <v>5627</v>
      </c>
      <c r="D4623" s="90"/>
      <c r="E4623" s="88" t="s">
        <v>5624</v>
      </c>
      <c r="F4623" s="89"/>
      <c r="G4623" s="89"/>
      <c r="H4623" s="89"/>
      <c r="I4623" s="90"/>
      <c r="J4623" s="88" t="s">
        <v>770</v>
      </c>
      <c r="K4623" s="89"/>
      <c r="L4623" s="89"/>
      <c r="M4623" s="90"/>
      <c r="N4623" s="88" t="s">
        <v>26</v>
      </c>
      <c r="O4623" s="89"/>
      <c r="P4623" s="90"/>
      <c r="Q4623" s="133">
        <v>2487</v>
      </c>
      <c r="R4623" s="134"/>
      <c r="S4623" s="5" t="s">
        <v>44</v>
      </c>
      <c r="T4623" s="8">
        <v>1875</v>
      </c>
      <c r="U4623" s="8">
        <v>5</v>
      </c>
      <c r="V4623" s="5" t="s">
        <v>23</v>
      </c>
      <c r="W4623" s="12">
        <v>7065708</v>
      </c>
      <c r="X4623" s="6"/>
      <c r="Y4623" s="6"/>
    </row>
    <row r="4624" spans="1:25" ht="15" customHeight="1" x14ac:dyDescent="0.2">
      <c r="A4624" s="88" t="s">
        <v>5555</v>
      </c>
      <c r="B4624" s="90"/>
      <c r="C4624" s="88" t="s">
        <v>5627</v>
      </c>
      <c r="D4624" s="90"/>
      <c r="E4624" s="88" t="s">
        <v>5628</v>
      </c>
      <c r="F4624" s="89"/>
      <c r="G4624" s="89"/>
      <c r="H4624" s="89"/>
      <c r="I4624" s="90"/>
      <c r="J4624" s="88" t="s">
        <v>770</v>
      </c>
      <c r="K4624" s="89"/>
      <c r="L4624" s="89"/>
      <c r="M4624" s="90"/>
      <c r="N4624" s="88" t="s">
        <v>26</v>
      </c>
      <c r="O4624" s="89"/>
      <c r="P4624" s="90"/>
      <c r="Q4624" s="133">
        <v>2487</v>
      </c>
      <c r="R4624" s="134"/>
      <c r="S4624" s="5" t="s">
        <v>44</v>
      </c>
      <c r="T4624" s="8">
        <v>1875</v>
      </c>
      <c r="U4624" s="8">
        <v>5</v>
      </c>
      <c r="V4624" s="5" t="s">
        <v>23</v>
      </c>
      <c r="W4624" s="12">
        <v>6986318</v>
      </c>
      <c r="X4624" s="6"/>
      <c r="Y4624" s="6"/>
    </row>
    <row r="4625" spans="1:25" ht="15" customHeight="1" x14ac:dyDescent="0.2">
      <c r="A4625" s="88" t="s">
        <v>5555</v>
      </c>
      <c r="B4625" s="90"/>
      <c r="C4625" s="88" t="s">
        <v>5629</v>
      </c>
      <c r="D4625" s="90"/>
      <c r="E4625" s="88" t="s">
        <v>5630</v>
      </c>
      <c r="F4625" s="89"/>
      <c r="G4625" s="89"/>
      <c r="H4625" s="89"/>
      <c r="I4625" s="90"/>
      <c r="J4625" s="88" t="s">
        <v>770</v>
      </c>
      <c r="K4625" s="89"/>
      <c r="L4625" s="89"/>
      <c r="M4625" s="90"/>
      <c r="N4625" s="88" t="s">
        <v>22</v>
      </c>
      <c r="O4625" s="89"/>
      <c r="P4625" s="90"/>
      <c r="Q4625" s="133">
        <v>4968</v>
      </c>
      <c r="R4625" s="134"/>
      <c r="S4625" s="5" t="s">
        <v>44</v>
      </c>
      <c r="T4625" s="8">
        <v>2645</v>
      </c>
      <c r="U4625" s="8">
        <v>5</v>
      </c>
      <c r="V4625" s="5" t="s">
        <v>23</v>
      </c>
      <c r="W4625" s="12">
        <v>37877019</v>
      </c>
      <c r="X4625" s="6"/>
      <c r="Y4625" s="6"/>
    </row>
    <row r="4626" spans="1:25" ht="15" customHeight="1" x14ac:dyDescent="0.2">
      <c r="A4626" s="88" t="s">
        <v>5555</v>
      </c>
      <c r="B4626" s="90"/>
      <c r="C4626" s="88" t="s">
        <v>5629</v>
      </c>
      <c r="D4626" s="90"/>
      <c r="E4626" s="88" t="s">
        <v>5630</v>
      </c>
      <c r="F4626" s="89"/>
      <c r="G4626" s="89"/>
      <c r="H4626" s="89"/>
      <c r="I4626" s="90"/>
      <c r="J4626" s="88" t="s">
        <v>770</v>
      </c>
      <c r="K4626" s="89"/>
      <c r="L4626" s="89"/>
      <c r="M4626" s="90"/>
      <c r="N4626" s="88" t="s">
        <v>26</v>
      </c>
      <c r="O4626" s="89"/>
      <c r="P4626" s="90"/>
      <c r="Q4626" s="133">
        <v>4968</v>
      </c>
      <c r="R4626" s="134"/>
      <c r="S4626" s="5" t="s">
        <v>44</v>
      </c>
      <c r="T4626" s="8">
        <v>2645</v>
      </c>
      <c r="U4626" s="8">
        <v>5</v>
      </c>
      <c r="V4626" s="5" t="s">
        <v>23</v>
      </c>
      <c r="W4626" s="12">
        <v>34232955</v>
      </c>
      <c r="X4626" s="6"/>
      <c r="Y4626" s="6"/>
    </row>
    <row r="4627" spans="1:25" ht="15" customHeight="1" x14ac:dyDescent="0.2">
      <c r="A4627" s="88" t="s">
        <v>5555</v>
      </c>
      <c r="B4627" s="90"/>
      <c r="C4627" s="88" t="s">
        <v>5629</v>
      </c>
      <c r="D4627" s="90"/>
      <c r="E4627" s="88" t="s">
        <v>5631</v>
      </c>
      <c r="F4627" s="89"/>
      <c r="G4627" s="89"/>
      <c r="H4627" s="89"/>
      <c r="I4627" s="90"/>
      <c r="J4627" s="88" t="s">
        <v>770</v>
      </c>
      <c r="K4627" s="89"/>
      <c r="L4627" s="89"/>
      <c r="M4627" s="90"/>
      <c r="N4627" s="88" t="s">
        <v>26</v>
      </c>
      <c r="O4627" s="89"/>
      <c r="P4627" s="90"/>
      <c r="Q4627" s="133">
        <v>4968</v>
      </c>
      <c r="R4627" s="134"/>
      <c r="S4627" s="5" t="s">
        <v>44</v>
      </c>
      <c r="T4627" s="8">
        <v>2645</v>
      </c>
      <c r="U4627" s="8">
        <v>5</v>
      </c>
      <c r="V4627" s="5" t="s">
        <v>23</v>
      </c>
      <c r="W4627" s="12">
        <v>34232955</v>
      </c>
      <c r="X4627" s="6"/>
      <c r="Y4627" s="6"/>
    </row>
    <row r="4628" spans="1:25" ht="15" customHeight="1" x14ac:dyDescent="0.2">
      <c r="A4628" s="88" t="s">
        <v>5555</v>
      </c>
      <c r="B4628" s="90"/>
      <c r="C4628" s="88" t="s">
        <v>5629</v>
      </c>
      <c r="D4628" s="90"/>
      <c r="E4628" s="88" t="s">
        <v>5632</v>
      </c>
      <c r="F4628" s="89"/>
      <c r="G4628" s="89"/>
      <c r="H4628" s="89"/>
      <c r="I4628" s="90"/>
      <c r="J4628" s="88" t="s">
        <v>2179</v>
      </c>
      <c r="K4628" s="89"/>
      <c r="L4628" s="89"/>
      <c r="M4628" s="90"/>
      <c r="N4628" s="88" t="s">
        <v>701</v>
      </c>
      <c r="O4628" s="89"/>
      <c r="P4628" s="90"/>
      <c r="Q4628" s="133">
        <v>4996</v>
      </c>
      <c r="R4628" s="134"/>
      <c r="S4628" s="5" t="s">
        <v>44</v>
      </c>
      <c r="T4628" s="8">
        <v>2345</v>
      </c>
      <c r="U4628" s="8">
        <v>5</v>
      </c>
      <c r="V4628" s="5" t="s">
        <v>23</v>
      </c>
      <c r="W4628" s="12">
        <v>21968482</v>
      </c>
      <c r="X4628" s="6"/>
      <c r="Y4628" s="6"/>
    </row>
    <row r="4629" spans="1:25" ht="15" customHeight="1" x14ac:dyDescent="0.2">
      <c r="A4629" s="88" t="s">
        <v>5555</v>
      </c>
      <c r="B4629" s="90"/>
      <c r="C4629" s="88" t="s">
        <v>5633</v>
      </c>
      <c r="D4629" s="90"/>
      <c r="E4629" s="88" t="s">
        <v>5634</v>
      </c>
      <c r="F4629" s="89"/>
      <c r="G4629" s="89"/>
      <c r="H4629" s="89"/>
      <c r="I4629" s="90"/>
      <c r="J4629" s="88" t="s">
        <v>770</v>
      </c>
      <c r="K4629" s="89"/>
      <c r="L4629" s="89"/>
      <c r="M4629" s="90"/>
      <c r="N4629" s="88" t="s">
        <v>22</v>
      </c>
      <c r="O4629" s="89"/>
      <c r="P4629" s="90"/>
      <c r="Q4629" s="133">
        <v>2790</v>
      </c>
      <c r="R4629" s="134"/>
      <c r="S4629" s="5" t="s">
        <v>44</v>
      </c>
      <c r="T4629" s="8">
        <v>2790</v>
      </c>
      <c r="U4629" s="8">
        <v>4</v>
      </c>
      <c r="V4629" s="5" t="s">
        <v>23</v>
      </c>
      <c r="W4629" s="12">
        <v>43664484</v>
      </c>
      <c r="X4629" s="6"/>
      <c r="Y4629" s="6"/>
    </row>
    <row r="4630" spans="1:25" ht="15" customHeight="1" x14ac:dyDescent="0.2">
      <c r="A4630" s="88" t="s">
        <v>5555</v>
      </c>
      <c r="B4630" s="90"/>
      <c r="C4630" s="88" t="s">
        <v>5635</v>
      </c>
      <c r="D4630" s="90"/>
      <c r="E4630" s="88" t="s">
        <v>5630</v>
      </c>
      <c r="F4630" s="89"/>
      <c r="G4630" s="89"/>
      <c r="H4630" s="89"/>
      <c r="I4630" s="90"/>
      <c r="J4630" s="88" t="s">
        <v>770</v>
      </c>
      <c r="K4630" s="89"/>
      <c r="L4630" s="89"/>
      <c r="M4630" s="90"/>
      <c r="N4630" s="88" t="s">
        <v>22</v>
      </c>
      <c r="O4630" s="89"/>
      <c r="P4630" s="90"/>
      <c r="Q4630" s="133">
        <v>4968</v>
      </c>
      <c r="R4630" s="134"/>
      <c r="S4630" s="5" t="s">
        <v>44</v>
      </c>
      <c r="T4630" s="8">
        <v>2645</v>
      </c>
      <c r="U4630" s="8">
        <v>5</v>
      </c>
      <c r="V4630" s="5" t="s">
        <v>23</v>
      </c>
      <c r="W4630" s="12">
        <v>37877019</v>
      </c>
      <c r="X4630" s="6"/>
      <c r="Y4630" s="6"/>
    </row>
    <row r="4631" spans="1:25" ht="15" customHeight="1" x14ac:dyDescent="0.2">
      <c r="A4631" s="88" t="s">
        <v>5555</v>
      </c>
      <c r="B4631" s="90"/>
      <c r="C4631" s="88" t="s">
        <v>5636</v>
      </c>
      <c r="D4631" s="90"/>
      <c r="E4631" s="88" t="s">
        <v>5630</v>
      </c>
      <c r="F4631" s="89"/>
      <c r="G4631" s="89"/>
      <c r="H4631" s="89"/>
      <c r="I4631" s="90"/>
      <c r="J4631" s="88" t="s">
        <v>770</v>
      </c>
      <c r="K4631" s="89"/>
      <c r="L4631" s="89"/>
      <c r="M4631" s="90"/>
      <c r="N4631" s="88" t="s">
        <v>26</v>
      </c>
      <c r="O4631" s="89"/>
      <c r="P4631" s="90"/>
      <c r="Q4631" s="133">
        <v>2645</v>
      </c>
      <c r="R4631" s="134"/>
      <c r="S4631" s="5" t="s">
        <v>44</v>
      </c>
      <c r="T4631" s="8">
        <v>2645</v>
      </c>
      <c r="U4631" s="8">
        <v>5</v>
      </c>
      <c r="V4631" s="5" t="s">
        <v>23</v>
      </c>
      <c r="W4631" s="12">
        <v>35071314</v>
      </c>
      <c r="X4631" s="6"/>
      <c r="Y4631" s="6"/>
    </row>
    <row r="4632" spans="1:25" ht="30" customHeight="1" x14ac:dyDescent="0.2">
      <c r="A4632" s="88" t="s">
        <v>5555</v>
      </c>
      <c r="B4632" s="90"/>
      <c r="C4632" s="97" t="s">
        <v>5637</v>
      </c>
      <c r="D4632" s="99"/>
      <c r="E4632" s="88" t="s">
        <v>5638</v>
      </c>
      <c r="F4632" s="89"/>
      <c r="G4632" s="89"/>
      <c r="H4632" s="89"/>
      <c r="I4632" s="90"/>
      <c r="J4632" s="88" t="s">
        <v>770</v>
      </c>
      <c r="K4632" s="89"/>
      <c r="L4632" s="89"/>
      <c r="M4632" s="90"/>
      <c r="N4632" s="88" t="s">
        <v>22</v>
      </c>
      <c r="O4632" s="89"/>
      <c r="P4632" s="90"/>
      <c r="Q4632" s="133">
        <v>3456</v>
      </c>
      <c r="R4632" s="134"/>
      <c r="S4632" s="5" t="s">
        <v>44</v>
      </c>
      <c r="T4632" s="8">
        <v>2790</v>
      </c>
      <c r="U4632" s="8">
        <v>4</v>
      </c>
      <c r="V4632" s="5" t="s">
        <v>23</v>
      </c>
      <c r="W4632" s="12">
        <v>47157643</v>
      </c>
      <c r="X4632" s="4"/>
      <c r="Y4632" s="4"/>
    </row>
    <row r="4633" spans="1:25" ht="15" customHeight="1" x14ac:dyDescent="0.2">
      <c r="A4633" s="88" t="s">
        <v>5555</v>
      </c>
      <c r="B4633" s="90"/>
      <c r="C4633" s="88" t="s">
        <v>5639</v>
      </c>
      <c r="D4633" s="90"/>
      <c r="E4633" s="88" t="s">
        <v>5640</v>
      </c>
      <c r="F4633" s="89"/>
      <c r="G4633" s="89"/>
      <c r="H4633" s="89"/>
      <c r="I4633" s="90"/>
      <c r="J4633" s="88" t="s">
        <v>770</v>
      </c>
      <c r="K4633" s="89"/>
      <c r="L4633" s="89"/>
      <c r="M4633" s="90"/>
      <c r="N4633" s="88" t="s">
        <v>26</v>
      </c>
      <c r="O4633" s="89"/>
      <c r="P4633" s="90"/>
      <c r="Q4633" s="133">
        <v>1797</v>
      </c>
      <c r="R4633" s="134"/>
      <c r="S4633" s="5" t="s">
        <v>16</v>
      </c>
      <c r="T4633" s="8">
        <v>1715</v>
      </c>
      <c r="U4633" s="8">
        <v>5</v>
      </c>
      <c r="V4633" s="5" t="s">
        <v>23</v>
      </c>
      <c r="W4633" s="12">
        <v>4755459</v>
      </c>
      <c r="X4633" s="6"/>
      <c r="Y4633" s="6"/>
    </row>
    <row r="4634" spans="1:25" ht="15" customHeight="1" x14ac:dyDescent="0.2">
      <c r="A4634" s="88" t="s">
        <v>5555</v>
      </c>
      <c r="B4634" s="90"/>
      <c r="C4634" s="88" t="s">
        <v>5639</v>
      </c>
      <c r="D4634" s="90"/>
      <c r="E4634" s="88" t="s">
        <v>5641</v>
      </c>
      <c r="F4634" s="89"/>
      <c r="G4634" s="89"/>
      <c r="H4634" s="89"/>
      <c r="I4634" s="90"/>
      <c r="J4634" s="88" t="s">
        <v>770</v>
      </c>
      <c r="K4634" s="89"/>
      <c r="L4634" s="89"/>
      <c r="M4634" s="90"/>
      <c r="N4634" s="88" t="s">
        <v>26</v>
      </c>
      <c r="O4634" s="89"/>
      <c r="P4634" s="90"/>
      <c r="Q4634" s="133">
        <v>1797</v>
      </c>
      <c r="R4634" s="134"/>
      <c r="S4634" s="5" t="s">
        <v>16</v>
      </c>
      <c r="T4634" s="8">
        <v>1715</v>
      </c>
      <c r="U4634" s="8">
        <v>5</v>
      </c>
      <c r="V4634" s="5" t="s">
        <v>23</v>
      </c>
      <c r="W4634" s="12">
        <v>4737111</v>
      </c>
      <c r="X4634" s="6"/>
      <c r="Y4634" s="6"/>
    </row>
    <row r="4635" spans="1:25" ht="15" customHeight="1" x14ac:dyDescent="0.2">
      <c r="A4635" s="88" t="s">
        <v>5555</v>
      </c>
      <c r="B4635" s="90"/>
      <c r="C4635" s="88" t="s">
        <v>5642</v>
      </c>
      <c r="D4635" s="90"/>
      <c r="E4635" s="88" t="s">
        <v>5643</v>
      </c>
      <c r="F4635" s="89"/>
      <c r="G4635" s="89"/>
      <c r="H4635" s="89"/>
      <c r="I4635" s="90"/>
      <c r="J4635" s="88" t="s">
        <v>770</v>
      </c>
      <c r="K4635" s="89"/>
      <c r="L4635" s="89"/>
      <c r="M4635" s="90"/>
      <c r="N4635" s="88" t="s">
        <v>26</v>
      </c>
      <c r="O4635" s="89"/>
      <c r="P4635" s="90"/>
      <c r="Q4635" s="133">
        <v>1797</v>
      </c>
      <c r="R4635" s="134"/>
      <c r="S4635" s="5" t="s">
        <v>16</v>
      </c>
      <c r="T4635" s="8">
        <v>1725</v>
      </c>
      <c r="U4635" s="8">
        <v>5</v>
      </c>
      <c r="V4635" s="5" t="s">
        <v>23</v>
      </c>
      <c r="W4635" s="12">
        <v>5492992</v>
      </c>
      <c r="X4635" s="6"/>
      <c r="Y4635" s="6"/>
    </row>
    <row r="4636" spans="1:25" ht="15" customHeight="1" x14ac:dyDescent="0.2">
      <c r="A4636" s="88" t="s">
        <v>5555</v>
      </c>
      <c r="B4636" s="90"/>
      <c r="C4636" s="88" t="s">
        <v>5644</v>
      </c>
      <c r="D4636" s="90"/>
      <c r="E4636" s="88" t="s">
        <v>5643</v>
      </c>
      <c r="F4636" s="89"/>
      <c r="G4636" s="89"/>
      <c r="H4636" s="89"/>
      <c r="I4636" s="90"/>
      <c r="J4636" s="88" t="s">
        <v>770</v>
      </c>
      <c r="K4636" s="89"/>
      <c r="L4636" s="89"/>
      <c r="M4636" s="90"/>
      <c r="N4636" s="88" t="s">
        <v>26</v>
      </c>
      <c r="O4636" s="89"/>
      <c r="P4636" s="90"/>
      <c r="Q4636" s="133">
        <v>1797</v>
      </c>
      <c r="R4636" s="134"/>
      <c r="S4636" s="5" t="s">
        <v>16</v>
      </c>
      <c r="T4636" s="8">
        <v>1725</v>
      </c>
      <c r="U4636" s="8">
        <v>5</v>
      </c>
      <c r="V4636" s="5" t="s">
        <v>23</v>
      </c>
      <c r="W4636" s="12">
        <v>5510458</v>
      </c>
      <c r="X4636" s="6"/>
      <c r="Y4636" s="6"/>
    </row>
    <row r="4637" spans="1:25" ht="15" customHeight="1" x14ac:dyDescent="0.2">
      <c r="A4637" s="88" t="s">
        <v>5555</v>
      </c>
      <c r="B4637" s="90"/>
      <c r="C4637" s="88" t="s">
        <v>5645</v>
      </c>
      <c r="D4637" s="90"/>
      <c r="E4637" s="88" t="s">
        <v>5646</v>
      </c>
      <c r="F4637" s="89"/>
      <c r="G4637" s="89"/>
      <c r="H4637" s="89"/>
      <c r="I4637" s="90"/>
      <c r="J4637" s="88" t="s">
        <v>2179</v>
      </c>
      <c r="K4637" s="89"/>
      <c r="L4637" s="89"/>
      <c r="M4637" s="90"/>
      <c r="N4637" s="88" t="s">
        <v>701</v>
      </c>
      <c r="O4637" s="89"/>
      <c r="P4637" s="90"/>
      <c r="Q4637" s="133">
        <v>4009</v>
      </c>
      <c r="R4637" s="134"/>
      <c r="S4637" s="5" t="s">
        <v>1320</v>
      </c>
      <c r="T4637" s="8">
        <v>5515</v>
      </c>
      <c r="U4637" s="8">
        <v>29</v>
      </c>
      <c r="V4637" s="5" t="s">
        <v>106</v>
      </c>
      <c r="W4637" s="12">
        <v>14990891</v>
      </c>
      <c r="X4637" s="6"/>
      <c r="Y4637" s="6"/>
    </row>
    <row r="4638" spans="1:25" ht="15" customHeight="1" x14ac:dyDescent="0.2">
      <c r="A4638" s="88" t="s">
        <v>5555</v>
      </c>
      <c r="B4638" s="90"/>
      <c r="C4638" s="88" t="s">
        <v>5645</v>
      </c>
      <c r="D4638" s="90"/>
      <c r="E4638" s="88" t="s">
        <v>5647</v>
      </c>
      <c r="F4638" s="89"/>
      <c r="G4638" s="89"/>
      <c r="H4638" s="89"/>
      <c r="I4638" s="90"/>
      <c r="J4638" s="88" t="s">
        <v>2179</v>
      </c>
      <c r="K4638" s="89"/>
      <c r="L4638" s="89"/>
      <c r="M4638" s="90"/>
      <c r="N4638" s="88" t="s">
        <v>26</v>
      </c>
      <c r="O4638" s="89"/>
      <c r="P4638" s="90"/>
      <c r="Q4638" s="133">
        <v>4009</v>
      </c>
      <c r="R4638" s="134"/>
      <c r="S4638" s="5" t="s">
        <v>814</v>
      </c>
      <c r="T4638" s="8">
        <v>5475</v>
      </c>
      <c r="U4638" s="8">
        <v>29</v>
      </c>
      <c r="V4638" s="5" t="s">
        <v>106</v>
      </c>
      <c r="W4638" s="12">
        <v>14292259</v>
      </c>
      <c r="X4638" s="6"/>
      <c r="Y4638" s="6"/>
    </row>
    <row r="4639" spans="1:25" ht="15" customHeight="1" x14ac:dyDescent="0.2">
      <c r="A4639" s="88" t="s">
        <v>5555</v>
      </c>
      <c r="B4639" s="90"/>
      <c r="C4639" s="88" t="s">
        <v>5648</v>
      </c>
      <c r="D4639" s="90"/>
      <c r="E4639" s="88" t="s">
        <v>5649</v>
      </c>
      <c r="F4639" s="89"/>
      <c r="G4639" s="89"/>
      <c r="H4639" s="89"/>
      <c r="I4639" s="90"/>
      <c r="J4639" s="88" t="s">
        <v>2179</v>
      </c>
      <c r="K4639" s="89"/>
      <c r="L4639" s="89"/>
      <c r="M4639" s="90"/>
      <c r="N4639" s="88" t="s">
        <v>26</v>
      </c>
      <c r="O4639" s="89"/>
      <c r="P4639" s="90"/>
      <c r="Q4639" s="133">
        <v>2754</v>
      </c>
      <c r="R4639" s="134"/>
      <c r="S4639" s="5" t="s">
        <v>1320</v>
      </c>
      <c r="T4639" s="8">
        <v>5050</v>
      </c>
      <c r="U4639" s="8">
        <v>24</v>
      </c>
      <c r="V4639" s="5" t="s">
        <v>106</v>
      </c>
      <c r="W4639" s="12">
        <v>14666027</v>
      </c>
      <c r="X4639" s="6"/>
      <c r="Y4639" s="6"/>
    </row>
    <row r="4640" spans="1:25" ht="15" customHeight="1" x14ac:dyDescent="0.2">
      <c r="A4640" s="88" t="s">
        <v>5555</v>
      </c>
      <c r="B4640" s="90"/>
      <c r="C4640" s="88" t="s">
        <v>5648</v>
      </c>
      <c r="D4640" s="90"/>
      <c r="E4640" s="88" t="s">
        <v>5649</v>
      </c>
      <c r="F4640" s="89"/>
      <c r="G4640" s="89"/>
      <c r="H4640" s="89"/>
      <c r="I4640" s="90"/>
      <c r="J4640" s="88" t="s">
        <v>2179</v>
      </c>
      <c r="K4640" s="89"/>
      <c r="L4640" s="89"/>
      <c r="M4640" s="90"/>
      <c r="N4640" s="88" t="s">
        <v>22</v>
      </c>
      <c r="O4640" s="89"/>
      <c r="P4640" s="90"/>
      <c r="Q4640" s="133">
        <v>2754</v>
      </c>
      <c r="R4640" s="134"/>
      <c r="S4640" s="5" t="s">
        <v>1320</v>
      </c>
      <c r="T4640" s="8">
        <v>5050</v>
      </c>
      <c r="U4640" s="8">
        <v>24</v>
      </c>
      <c r="V4640" s="5" t="s">
        <v>106</v>
      </c>
      <c r="W4640" s="12">
        <v>14711438</v>
      </c>
      <c r="X4640" s="6"/>
      <c r="Y4640" s="6"/>
    </row>
    <row r="4641" spans="1:25" ht="15" customHeight="1" x14ac:dyDescent="0.2">
      <c r="A4641" s="88" t="s">
        <v>5555</v>
      </c>
      <c r="B4641" s="90"/>
      <c r="C4641" s="88" t="s">
        <v>5650</v>
      </c>
      <c r="D4641" s="90"/>
      <c r="E4641" s="88" t="s">
        <v>5651</v>
      </c>
      <c r="F4641" s="89"/>
      <c r="G4641" s="89"/>
      <c r="H4641" s="89"/>
      <c r="I4641" s="90"/>
      <c r="J4641" s="88" t="s">
        <v>963</v>
      </c>
      <c r="K4641" s="89"/>
      <c r="L4641" s="89"/>
      <c r="M4641" s="90"/>
      <c r="N4641" s="88" t="s">
        <v>26</v>
      </c>
      <c r="O4641" s="89"/>
      <c r="P4641" s="90"/>
      <c r="Q4641" s="133">
        <v>4200</v>
      </c>
      <c r="R4641" s="134"/>
      <c r="S4641" s="5" t="s">
        <v>1320</v>
      </c>
      <c r="T4641" s="6"/>
      <c r="U4641" s="8">
        <v>30</v>
      </c>
      <c r="V4641" s="5" t="s">
        <v>106</v>
      </c>
      <c r="W4641" s="12">
        <v>6583500</v>
      </c>
      <c r="X4641" s="6"/>
      <c r="Y4641" s="6"/>
    </row>
    <row r="4642" spans="1:25" ht="15" customHeight="1" x14ac:dyDescent="0.2">
      <c r="A4642" s="88" t="s">
        <v>5555</v>
      </c>
      <c r="B4642" s="90"/>
      <c r="C4642" s="88" t="s">
        <v>5652</v>
      </c>
      <c r="D4642" s="90"/>
      <c r="E4642" s="88" t="s">
        <v>5653</v>
      </c>
      <c r="F4642" s="89"/>
      <c r="G4642" s="89"/>
      <c r="H4642" s="89"/>
      <c r="I4642" s="90"/>
      <c r="J4642" s="88" t="s">
        <v>887</v>
      </c>
      <c r="K4642" s="89"/>
      <c r="L4642" s="89"/>
      <c r="M4642" s="90"/>
      <c r="N4642" s="88" t="s">
        <v>26</v>
      </c>
      <c r="O4642" s="89"/>
      <c r="P4642" s="90"/>
      <c r="Q4642" s="133">
        <v>1998</v>
      </c>
      <c r="R4642" s="134"/>
      <c r="S4642" s="5" t="s">
        <v>44</v>
      </c>
      <c r="T4642" s="8">
        <v>1665</v>
      </c>
      <c r="U4642" s="8">
        <v>5</v>
      </c>
      <c r="V4642" s="5" t="s">
        <v>23</v>
      </c>
      <c r="W4642" s="12">
        <v>5191030</v>
      </c>
      <c r="X4642" s="6"/>
      <c r="Y4642" s="6"/>
    </row>
    <row r="4643" spans="1:25" ht="15" customHeight="1" x14ac:dyDescent="0.2">
      <c r="A4643" s="88" t="s">
        <v>5555</v>
      </c>
      <c r="B4643" s="90"/>
      <c r="C4643" s="88" t="s">
        <v>5654</v>
      </c>
      <c r="D4643" s="90"/>
      <c r="E4643" s="88" t="s">
        <v>5655</v>
      </c>
      <c r="F4643" s="89"/>
      <c r="G4643" s="89"/>
      <c r="H4643" s="89"/>
      <c r="I4643" s="90"/>
      <c r="J4643" s="88" t="s">
        <v>887</v>
      </c>
      <c r="K4643" s="89"/>
      <c r="L4643" s="89"/>
      <c r="M4643" s="90"/>
      <c r="N4643" s="88" t="s">
        <v>26</v>
      </c>
      <c r="O4643" s="89"/>
      <c r="P4643" s="90"/>
      <c r="Q4643" s="133">
        <v>1998</v>
      </c>
      <c r="R4643" s="134"/>
      <c r="S4643" s="5" t="s">
        <v>44</v>
      </c>
      <c r="T4643" s="8">
        <v>1615</v>
      </c>
      <c r="U4643" s="8">
        <v>5</v>
      </c>
      <c r="V4643" s="5" t="s">
        <v>23</v>
      </c>
      <c r="W4643" s="12">
        <v>4357981</v>
      </c>
      <c r="X4643" s="6"/>
      <c r="Y4643" s="6"/>
    </row>
    <row r="4644" spans="1:25" ht="15" customHeight="1" x14ac:dyDescent="0.2">
      <c r="A4644" s="88" t="s">
        <v>5555</v>
      </c>
      <c r="B4644" s="90"/>
      <c r="C4644" s="88" t="s">
        <v>935</v>
      </c>
      <c r="D4644" s="90"/>
      <c r="E4644" s="88" t="s">
        <v>5656</v>
      </c>
      <c r="F4644" s="89"/>
      <c r="G4644" s="89"/>
      <c r="H4644" s="89"/>
      <c r="I4644" s="90"/>
      <c r="J4644" s="88" t="s">
        <v>963</v>
      </c>
      <c r="K4644" s="89"/>
      <c r="L4644" s="89"/>
      <c r="M4644" s="90"/>
      <c r="N4644" s="88" t="s">
        <v>22</v>
      </c>
      <c r="O4644" s="89"/>
      <c r="P4644" s="90"/>
      <c r="Q4644" s="133">
        <v>658</v>
      </c>
      <c r="R4644" s="134"/>
      <c r="S4644" s="5" t="s">
        <v>400</v>
      </c>
      <c r="T4644" s="8">
        <v>960</v>
      </c>
      <c r="U4644" s="8">
        <v>2</v>
      </c>
      <c r="V4644" s="5" t="s">
        <v>23</v>
      </c>
      <c r="W4644" s="12">
        <v>4086493</v>
      </c>
      <c r="X4644" s="6"/>
      <c r="Y4644" s="6"/>
    </row>
    <row r="4645" spans="1:25" ht="15" customHeight="1" x14ac:dyDescent="0.2">
      <c r="A4645" s="88" t="s">
        <v>5555</v>
      </c>
      <c r="B4645" s="90"/>
      <c r="C4645" s="88" t="s">
        <v>935</v>
      </c>
      <c r="D4645" s="90"/>
      <c r="E4645" s="88" t="s">
        <v>5656</v>
      </c>
      <c r="F4645" s="89"/>
      <c r="G4645" s="89"/>
      <c r="H4645" s="89"/>
      <c r="I4645" s="90"/>
      <c r="J4645" s="88" t="s">
        <v>963</v>
      </c>
      <c r="K4645" s="89"/>
      <c r="L4645" s="89"/>
      <c r="M4645" s="90"/>
      <c r="N4645" s="88" t="s">
        <v>26</v>
      </c>
      <c r="O4645" s="89"/>
      <c r="P4645" s="90"/>
      <c r="Q4645" s="133">
        <v>658</v>
      </c>
      <c r="R4645" s="134"/>
      <c r="S4645" s="5" t="s">
        <v>400</v>
      </c>
      <c r="T4645" s="8">
        <v>960</v>
      </c>
      <c r="U4645" s="8">
        <v>2</v>
      </c>
      <c r="V4645" s="5" t="s">
        <v>23</v>
      </c>
      <c r="W4645" s="12">
        <v>4086493</v>
      </c>
      <c r="X4645" s="6"/>
      <c r="Y4645" s="6"/>
    </row>
    <row r="4646" spans="1:25" ht="15" customHeight="1" x14ac:dyDescent="0.2">
      <c r="A4646" s="88" t="s">
        <v>5555</v>
      </c>
      <c r="B4646" s="90"/>
      <c r="C4646" s="88" t="s">
        <v>935</v>
      </c>
      <c r="D4646" s="90"/>
      <c r="E4646" s="88" t="s">
        <v>5656</v>
      </c>
      <c r="F4646" s="89"/>
      <c r="G4646" s="89"/>
      <c r="H4646" s="89"/>
      <c r="I4646" s="90"/>
      <c r="J4646" s="88" t="s">
        <v>5657</v>
      </c>
      <c r="K4646" s="89"/>
      <c r="L4646" s="89"/>
      <c r="M4646" s="90"/>
      <c r="N4646" s="88" t="s">
        <v>26</v>
      </c>
      <c r="O4646" s="89"/>
      <c r="P4646" s="90"/>
      <c r="Q4646" s="133">
        <v>658</v>
      </c>
      <c r="R4646" s="134"/>
      <c r="S4646" s="5" t="s">
        <v>400</v>
      </c>
      <c r="T4646" s="8">
        <v>960</v>
      </c>
      <c r="U4646" s="8">
        <v>5</v>
      </c>
      <c r="V4646" s="5" t="s">
        <v>23</v>
      </c>
      <c r="W4646" s="12">
        <v>4086493</v>
      </c>
      <c r="X4646" s="6"/>
      <c r="Y4646" s="6"/>
    </row>
    <row r="4647" spans="1:25" ht="15" customHeight="1" x14ac:dyDescent="0.2">
      <c r="A4647" s="88" t="s">
        <v>5555</v>
      </c>
      <c r="B4647" s="90"/>
      <c r="C4647" s="88" t="s">
        <v>5658</v>
      </c>
      <c r="D4647" s="90"/>
      <c r="E4647" s="88" t="s">
        <v>5659</v>
      </c>
      <c r="F4647" s="89"/>
      <c r="G4647" s="89"/>
      <c r="H4647" s="89"/>
      <c r="I4647" s="90"/>
      <c r="J4647" s="88" t="s">
        <v>770</v>
      </c>
      <c r="K4647" s="89"/>
      <c r="L4647" s="89"/>
      <c r="M4647" s="90"/>
      <c r="N4647" s="88" t="s">
        <v>26</v>
      </c>
      <c r="O4647" s="89"/>
      <c r="P4647" s="90"/>
      <c r="Q4647" s="133">
        <v>1496</v>
      </c>
      <c r="R4647" s="134"/>
      <c r="S4647" s="5" t="s">
        <v>5660</v>
      </c>
      <c r="T4647" s="8">
        <v>1415</v>
      </c>
      <c r="U4647" s="8">
        <v>5</v>
      </c>
      <c r="V4647" s="5" t="s">
        <v>23</v>
      </c>
      <c r="W4647" s="12">
        <v>3236062</v>
      </c>
      <c r="X4647" s="6"/>
      <c r="Y4647" s="6"/>
    </row>
    <row r="4648" spans="1:25" ht="15" customHeight="1" x14ac:dyDescent="0.2">
      <c r="A4648" s="88" t="s">
        <v>5555</v>
      </c>
      <c r="B4648" s="90"/>
      <c r="C4648" s="88" t="s">
        <v>5661</v>
      </c>
      <c r="D4648" s="90"/>
      <c r="E4648" s="88" t="s">
        <v>5659</v>
      </c>
      <c r="F4648" s="89"/>
      <c r="G4648" s="89"/>
      <c r="H4648" s="89"/>
      <c r="I4648" s="90"/>
      <c r="J4648" s="88" t="s">
        <v>770</v>
      </c>
      <c r="K4648" s="89"/>
      <c r="L4648" s="89"/>
      <c r="M4648" s="90"/>
      <c r="N4648" s="88" t="s">
        <v>26</v>
      </c>
      <c r="O4648" s="89"/>
      <c r="P4648" s="90"/>
      <c r="Q4648" s="133">
        <v>1496</v>
      </c>
      <c r="R4648" s="134"/>
      <c r="S4648" s="5" t="s">
        <v>814</v>
      </c>
      <c r="T4648" s="8">
        <v>1415</v>
      </c>
      <c r="U4648" s="8">
        <v>5</v>
      </c>
      <c r="V4648" s="5" t="s">
        <v>23</v>
      </c>
      <c r="W4648" s="12">
        <v>3698165</v>
      </c>
      <c r="X4648" s="6"/>
      <c r="Y4648" s="6"/>
    </row>
    <row r="4649" spans="1:25" ht="15" customHeight="1" x14ac:dyDescent="0.2">
      <c r="A4649" s="88" t="s">
        <v>5555</v>
      </c>
      <c r="B4649" s="90"/>
      <c r="C4649" s="88" t="s">
        <v>5661</v>
      </c>
      <c r="D4649" s="90"/>
      <c r="E4649" s="88" t="s">
        <v>5659</v>
      </c>
      <c r="F4649" s="89"/>
      <c r="G4649" s="89"/>
      <c r="H4649" s="89"/>
      <c r="I4649" s="90"/>
      <c r="J4649" s="88" t="s">
        <v>770</v>
      </c>
      <c r="K4649" s="89"/>
      <c r="L4649" s="89"/>
      <c r="M4649" s="90"/>
      <c r="N4649" s="88" t="s">
        <v>26</v>
      </c>
      <c r="O4649" s="89"/>
      <c r="P4649" s="90"/>
      <c r="Q4649" s="133">
        <v>1496</v>
      </c>
      <c r="R4649" s="134"/>
      <c r="S4649" s="5" t="s">
        <v>5660</v>
      </c>
      <c r="T4649" s="8">
        <v>1415</v>
      </c>
      <c r="U4649" s="8">
        <v>5</v>
      </c>
      <c r="V4649" s="5" t="s">
        <v>23</v>
      </c>
      <c r="W4649" s="12">
        <v>3650211</v>
      </c>
      <c r="X4649" s="6"/>
      <c r="Y4649" s="6"/>
    </row>
    <row r="4650" spans="1:25" ht="15" customHeight="1" x14ac:dyDescent="0.2">
      <c r="A4650" s="88" t="s">
        <v>5555</v>
      </c>
      <c r="B4650" s="90"/>
      <c r="C4650" s="88" t="s">
        <v>5662</v>
      </c>
      <c r="D4650" s="90"/>
      <c r="E4650" s="88" t="s">
        <v>5663</v>
      </c>
      <c r="F4650" s="89"/>
      <c r="G4650" s="89"/>
      <c r="H4650" s="89"/>
      <c r="I4650" s="90"/>
      <c r="J4650" s="88" t="s">
        <v>770</v>
      </c>
      <c r="K4650" s="89"/>
      <c r="L4650" s="89"/>
      <c r="M4650" s="90"/>
      <c r="N4650" s="88" t="s">
        <v>26</v>
      </c>
      <c r="O4650" s="89"/>
      <c r="P4650" s="90"/>
      <c r="Q4650" s="133">
        <v>1496</v>
      </c>
      <c r="R4650" s="134"/>
      <c r="S4650" s="5" t="s">
        <v>5660</v>
      </c>
      <c r="T4650" s="8">
        <v>1405</v>
      </c>
      <c r="U4650" s="8">
        <v>4</v>
      </c>
      <c r="V4650" s="5" t="s">
        <v>23</v>
      </c>
      <c r="W4650" s="12">
        <v>3406106</v>
      </c>
      <c r="X4650" s="6"/>
      <c r="Y4650" s="6"/>
    </row>
    <row r="4651" spans="1:25" ht="15" customHeight="1" x14ac:dyDescent="0.2">
      <c r="A4651" s="88" t="s">
        <v>5555</v>
      </c>
      <c r="B4651" s="90"/>
      <c r="C4651" s="88" t="s">
        <v>5664</v>
      </c>
      <c r="D4651" s="90"/>
      <c r="E4651" s="88" t="s">
        <v>5665</v>
      </c>
      <c r="F4651" s="89"/>
      <c r="G4651" s="89"/>
      <c r="H4651" s="89"/>
      <c r="I4651" s="90"/>
      <c r="J4651" s="88" t="s">
        <v>770</v>
      </c>
      <c r="K4651" s="89"/>
      <c r="L4651" s="89"/>
      <c r="M4651" s="90"/>
      <c r="N4651" s="88" t="s">
        <v>26</v>
      </c>
      <c r="O4651" s="89"/>
      <c r="P4651" s="90"/>
      <c r="Q4651" s="133">
        <v>1496</v>
      </c>
      <c r="R4651" s="134"/>
      <c r="S4651" s="5" t="s">
        <v>5660</v>
      </c>
      <c r="T4651" s="8">
        <v>1415</v>
      </c>
      <c r="U4651" s="8">
        <v>5</v>
      </c>
      <c r="V4651" s="5" t="s">
        <v>23</v>
      </c>
      <c r="W4651" s="12">
        <v>3236062</v>
      </c>
      <c r="X4651" s="6"/>
      <c r="Y4651" s="6"/>
    </row>
    <row r="4652" spans="1:25" ht="15" customHeight="1" x14ac:dyDescent="0.2">
      <c r="A4652" s="88" t="s">
        <v>5555</v>
      </c>
      <c r="B4652" s="90"/>
      <c r="C4652" s="88" t="s">
        <v>5664</v>
      </c>
      <c r="D4652" s="90"/>
      <c r="E4652" s="88" t="s">
        <v>5659</v>
      </c>
      <c r="F4652" s="89"/>
      <c r="G4652" s="89"/>
      <c r="H4652" s="89"/>
      <c r="I4652" s="90"/>
      <c r="J4652" s="88" t="s">
        <v>770</v>
      </c>
      <c r="K4652" s="89"/>
      <c r="L4652" s="89"/>
      <c r="M4652" s="90"/>
      <c r="N4652" s="88" t="s">
        <v>26</v>
      </c>
      <c r="O4652" s="89"/>
      <c r="P4652" s="90"/>
      <c r="Q4652" s="133">
        <v>1496</v>
      </c>
      <c r="R4652" s="134"/>
      <c r="S4652" s="5" t="s">
        <v>5660</v>
      </c>
      <c r="T4652" s="8">
        <v>1415</v>
      </c>
      <c r="U4652" s="8">
        <v>5</v>
      </c>
      <c r="V4652" s="5" t="s">
        <v>23</v>
      </c>
      <c r="W4652" s="12">
        <v>3578112</v>
      </c>
      <c r="X4652" s="6"/>
      <c r="Y4652" s="6"/>
    </row>
    <row r="4653" spans="1:25" ht="15" customHeight="1" x14ac:dyDescent="0.2">
      <c r="A4653" s="88" t="s">
        <v>5555</v>
      </c>
      <c r="B4653" s="90"/>
      <c r="C4653" s="88" t="s">
        <v>5666</v>
      </c>
      <c r="D4653" s="90"/>
      <c r="E4653" s="88" t="s">
        <v>5667</v>
      </c>
      <c r="F4653" s="89"/>
      <c r="G4653" s="89"/>
      <c r="H4653" s="89"/>
      <c r="I4653" s="90"/>
      <c r="J4653" s="88" t="s">
        <v>770</v>
      </c>
      <c r="K4653" s="89"/>
      <c r="L4653" s="89"/>
      <c r="M4653" s="90"/>
      <c r="N4653" s="88" t="s">
        <v>26</v>
      </c>
      <c r="O4653" s="89"/>
      <c r="P4653" s="90"/>
      <c r="Q4653" s="133">
        <v>1496</v>
      </c>
      <c r="R4653" s="134"/>
      <c r="S4653" s="5" t="s">
        <v>5660</v>
      </c>
      <c r="T4653" s="8">
        <v>1415</v>
      </c>
      <c r="U4653" s="8">
        <v>5</v>
      </c>
      <c r="V4653" s="5" t="s">
        <v>23</v>
      </c>
      <c r="W4653" s="12">
        <v>3579355</v>
      </c>
      <c r="X4653" s="6"/>
      <c r="Y4653" s="6"/>
    </row>
    <row r="4654" spans="1:25" ht="15" customHeight="1" x14ac:dyDescent="0.2">
      <c r="A4654" s="88" t="s">
        <v>5555</v>
      </c>
      <c r="B4654" s="90"/>
      <c r="C4654" s="88" t="s">
        <v>5668</v>
      </c>
      <c r="D4654" s="90"/>
      <c r="E4654" s="88" t="s">
        <v>5669</v>
      </c>
      <c r="F4654" s="89"/>
      <c r="G4654" s="89"/>
      <c r="H4654" s="89"/>
      <c r="I4654" s="90"/>
      <c r="J4654" s="88" t="s">
        <v>770</v>
      </c>
      <c r="K4654" s="89"/>
      <c r="L4654" s="89"/>
      <c r="M4654" s="90"/>
      <c r="N4654" s="88" t="s">
        <v>26</v>
      </c>
      <c r="O4654" s="89"/>
      <c r="P4654" s="90"/>
      <c r="Q4654" s="133">
        <v>1797</v>
      </c>
      <c r="R4654" s="134"/>
      <c r="S4654" s="5" t="s">
        <v>5660</v>
      </c>
      <c r="T4654" s="8">
        <v>1685</v>
      </c>
      <c r="U4654" s="8">
        <v>5</v>
      </c>
      <c r="V4654" s="5" t="s">
        <v>23</v>
      </c>
      <c r="W4654" s="12">
        <v>5222272</v>
      </c>
      <c r="X4654" s="6"/>
      <c r="Y4654" s="6"/>
    </row>
    <row r="4655" spans="1:25" ht="15" customHeight="1" x14ac:dyDescent="0.2">
      <c r="A4655" s="88" t="s">
        <v>5555</v>
      </c>
      <c r="B4655" s="90"/>
      <c r="C4655" s="88" t="s">
        <v>5668</v>
      </c>
      <c r="D4655" s="90"/>
      <c r="E4655" s="88" t="s">
        <v>5670</v>
      </c>
      <c r="F4655" s="89"/>
      <c r="G4655" s="89"/>
      <c r="H4655" s="89"/>
      <c r="I4655" s="90"/>
      <c r="J4655" s="88" t="s">
        <v>770</v>
      </c>
      <c r="K4655" s="89"/>
      <c r="L4655" s="89"/>
      <c r="M4655" s="90"/>
      <c r="N4655" s="88" t="s">
        <v>26</v>
      </c>
      <c r="O4655" s="89"/>
      <c r="P4655" s="90"/>
      <c r="Q4655" s="133">
        <v>1797</v>
      </c>
      <c r="R4655" s="134"/>
      <c r="S4655" s="5" t="s">
        <v>5660</v>
      </c>
      <c r="T4655" s="8">
        <v>1675</v>
      </c>
      <c r="U4655" s="8">
        <v>5</v>
      </c>
      <c r="V4655" s="5" t="s">
        <v>23</v>
      </c>
      <c r="W4655" s="12">
        <v>5676383</v>
      </c>
      <c r="X4655" s="6"/>
      <c r="Y4655" s="6"/>
    </row>
    <row r="4656" spans="1:25" ht="15" customHeight="1" x14ac:dyDescent="0.2">
      <c r="A4656" s="88" t="s">
        <v>5555</v>
      </c>
      <c r="B4656" s="90"/>
      <c r="C4656" s="88" t="s">
        <v>5671</v>
      </c>
      <c r="D4656" s="90"/>
      <c r="E4656" s="88" t="s">
        <v>5672</v>
      </c>
      <c r="F4656" s="89"/>
      <c r="G4656" s="89"/>
      <c r="H4656" s="89"/>
      <c r="I4656" s="90"/>
      <c r="J4656" s="88" t="s">
        <v>770</v>
      </c>
      <c r="K4656" s="89"/>
      <c r="L4656" s="89"/>
      <c r="M4656" s="90"/>
      <c r="N4656" s="88" t="s">
        <v>26</v>
      </c>
      <c r="O4656" s="89"/>
      <c r="P4656" s="90"/>
      <c r="Q4656" s="133">
        <v>1496</v>
      </c>
      <c r="R4656" s="134"/>
      <c r="S4656" s="5" t="s">
        <v>70</v>
      </c>
      <c r="T4656" s="8">
        <v>1445</v>
      </c>
      <c r="U4656" s="8">
        <v>5</v>
      </c>
      <c r="V4656" s="5" t="s">
        <v>23</v>
      </c>
      <c r="W4656" s="12">
        <v>3955374</v>
      </c>
      <c r="X4656" s="6"/>
      <c r="Y4656" s="6"/>
    </row>
    <row r="4657" spans="1:25" ht="15" customHeight="1" x14ac:dyDescent="0.2">
      <c r="A4657" s="88" t="s">
        <v>5555</v>
      </c>
      <c r="B4657" s="90"/>
      <c r="C4657" s="88" t="s">
        <v>5671</v>
      </c>
      <c r="D4657" s="90"/>
      <c r="E4657" s="88" t="s">
        <v>5673</v>
      </c>
      <c r="F4657" s="89"/>
      <c r="G4657" s="89"/>
      <c r="H4657" s="89"/>
      <c r="I4657" s="90"/>
      <c r="J4657" s="88" t="s">
        <v>770</v>
      </c>
      <c r="K4657" s="89"/>
      <c r="L4657" s="89"/>
      <c r="M4657" s="90"/>
      <c r="N4657" s="88" t="s">
        <v>26</v>
      </c>
      <c r="O4657" s="89"/>
      <c r="P4657" s="90"/>
      <c r="Q4657" s="133">
        <v>1496</v>
      </c>
      <c r="R4657" s="134"/>
      <c r="S4657" s="5" t="s">
        <v>70</v>
      </c>
      <c r="T4657" s="8">
        <v>1445</v>
      </c>
      <c r="U4657" s="8">
        <v>5</v>
      </c>
      <c r="V4657" s="5" t="s">
        <v>23</v>
      </c>
      <c r="W4657" s="12">
        <v>3907419</v>
      </c>
      <c r="X4657" s="6"/>
      <c r="Y4657" s="6"/>
    </row>
    <row r="4658" spans="1:25" ht="15" customHeight="1" x14ac:dyDescent="0.2">
      <c r="A4658" s="88" t="s">
        <v>5555</v>
      </c>
      <c r="B4658" s="90"/>
      <c r="C4658" s="88" t="s">
        <v>5674</v>
      </c>
      <c r="D4658" s="90"/>
      <c r="E4658" s="88" t="s">
        <v>5672</v>
      </c>
      <c r="F4658" s="89"/>
      <c r="G4658" s="89"/>
      <c r="H4658" s="89"/>
      <c r="I4658" s="90"/>
      <c r="J4658" s="88" t="s">
        <v>770</v>
      </c>
      <c r="K4658" s="89"/>
      <c r="L4658" s="89"/>
      <c r="M4658" s="90"/>
      <c r="N4658" s="88" t="s">
        <v>26</v>
      </c>
      <c r="O4658" s="89"/>
      <c r="P4658" s="90"/>
      <c r="Q4658" s="133">
        <v>1496</v>
      </c>
      <c r="R4658" s="134"/>
      <c r="S4658" s="5" t="s">
        <v>70</v>
      </c>
      <c r="T4658" s="8">
        <v>1445</v>
      </c>
      <c r="U4658" s="8">
        <v>5</v>
      </c>
      <c r="V4658" s="5" t="s">
        <v>23</v>
      </c>
      <c r="W4658" s="12">
        <v>3843704</v>
      </c>
      <c r="X4658" s="6"/>
      <c r="Y4658" s="6"/>
    </row>
    <row r="4659" spans="1:25" ht="15" customHeight="1" x14ac:dyDescent="0.2">
      <c r="A4659" s="88" t="s">
        <v>5555</v>
      </c>
      <c r="B4659" s="90"/>
      <c r="C4659" s="88" t="s">
        <v>5675</v>
      </c>
      <c r="D4659" s="90"/>
      <c r="E4659" s="88" t="s">
        <v>5676</v>
      </c>
      <c r="F4659" s="89"/>
      <c r="G4659" s="89"/>
      <c r="H4659" s="89"/>
      <c r="I4659" s="90"/>
      <c r="J4659" s="88" t="s">
        <v>770</v>
      </c>
      <c r="K4659" s="89"/>
      <c r="L4659" s="89"/>
      <c r="M4659" s="90"/>
      <c r="N4659" s="88" t="s">
        <v>26</v>
      </c>
      <c r="O4659" s="89"/>
      <c r="P4659" s="90"/>
      <c r="Q4659" s="133">
        <v>1496</v>
      </c>
      <c r="R4659" s="134"/>
      <c r="S4659" s="5" t="s">
        <v>70</v>
      </c>
      <c r="T4659" s="8">
        <v>1445</v>
      </c>
      <c r="U4659" s="8">
        <v>5</v>
      </c>
      <c r="V4659" s="5" t="s">
        <v>23</v>
      </c>
      <c r="W4659" s="12">
        <v>3938606</v>
      </c>
      <c r="X4659" s="6"/>
      <c r="Y4659" s="6"/>
    </row>
    <row r="4660" spans="1:25" ht="15" customHeight="1" x14ac:dyDescent="0.2">
      <c r="A4660" s="88" t="s">
        <v>5555</v>
      </c>
      <c r="B4660" s="90"/>
      <c r="C4660" s="88" t="s">
        <v>5677</v>
      </c>
      <c r="D4660" s="90"/>
      <c r="E4660" s="88" t="s">
        <v>5678</v>
      </c>
      <c r="F4660" s="89"/>
      <c r="G4660" s="89"/>
      <c r="H4660" s="89"/>
      <c r="I4660" s="90"/>
      <c r="J4660" s="88" t="s">
        <v>770</v>
      </c>
      <c r="K4660" s="89"/>
      <c r="L4660" s="89"/>
      <c r="M4660" s="90"/>
      <c r="N4660" s="88" t="s">
        <v>26</v>
      </c>
      <c r="O4660" s="89"/>
      <c r="P4660" s="90"/>
      <c r="Q4660" s="133">
        <v>1496</v>
      </c>
      <c r="R4660" s="134"/>
      <c r="S4660" s="5" t="s">
        <v>70</v>
      </c>
      <c r="T4660" s="8">
        <v>1445</v>
      </c>
      <c r="U4660" s="8">
        <v>5</v>
      </c>
      <c r="V4660" s="5" t="s">
        <v>23</v>
      </c>
      <c r="W4660" s="12">
        <v>3477509</v>
      </c>
      <c r="X4660" s="6"/>
      <c r="Y4660" s="6"/>
    </row>
    <row r="4661" spans="1:25" ht="15" customHeight="1" x14ac:dyDescent="0.2">
      <c r="A4661" s="88" t="s">
        <v>5555</v>
      </c>
      <c r="B4661" s="90"/>
      <c r="C4661" s="88" t="s">
        <v>5679</v>
      </c>
      <c r="D4661" s="90"/>
      <c r="E4661" s="88" t="s">
        <v>5680</v>
      </c>
      <c r="F4661" s="89"/>
      <c r="G4661" s="89"/>
      <c r="H4661" s="89"/>
      <c r="I4661" s="90"/>
      <c r="J4661" s="88" t="s">
        <v>770</v>
      </c>
      <c r="K4661" s="89"/>
      <c r="L4661" s="89"/>
      <c r="M4661" s="90"/>
      <c r="N4661" s="88" t="s">
        <v>26</v>
      </c>
      <c r="O4661" s="89"/>
      <c r="P4661" s="90"/>
      <c r="Q4661" s="133">
        <v>1496</v>
      </c>
      <c r="R4661" s="134"/>
      <c r="S4661" s="5" t="s">
        <v>70</v>
      </c>
      <c r="T4661" s="8">
        <v>1485</v>
      </c>
      <c r="U4661" s="8">
        <v>5</v>
      </c>
      <c r="V4661" s="5" t="s">
        <v>23</v>
      </c>
      <c r="W4661" s="12">
        <v>3958727</v>
      </c>
      <c r="X4661" s="6"/>
      <c r="Y4661" s="6"/>
    </row>
    <row r="4662" spans="1:25" ht="15" customHeight="1" x14ac:dyDescent="0.2">
      <c r="A4662" s="88" t="s">
        <v>5555</v>
      </c>
      <c r="B4662" s="90"/>
      <c r="C4662" s="88" t="s">
        <v>5681</v>
      </c>
      <c r="D4662" s="90"/>
      <c r="E4662" s="88" t="s">
        <v>5673</v>
      </c>
      <c r="F4662" s="89"/>
      <c r="G4662" s="89"/>
      <c r="H4662" s="89"/>
      <c r="I4662" s="90"/>
      <c r="J4662" s="88" t="s">
        <v>770</v>
      </c>
      <c r="K4662" s="89"/>
      <c r="L4662" s="89"/>
      <c r="M4662" s="90"/>
      <c r="N4662" s="88" t="s">
        <v>26</v>
      </c>
      <c r="O4662" s="89"/>
      <c r="P4662" s="90"/>
      <c r="Q4662" s="133">
        <v>1496</v>
      </c>
      <c r="R4662" s="134"/>
      <c r="S4662" s="5" t="s">
        <v>70</v>
      </c>
      <c r="T4662" s="8">
        <v>1445</v>
      </c>
      <c r="U4662" s="8">
        <v>5</v>
      </c>
      <c r="V4662" s="5" t="s">
        <v>23</v>
      </c>
      <c r="W4662" s="12">
        <v>3477509</v>
      </c>
      <c r="X4662" s="6"/>
      <c r="Y4662" s="6"/>
    </row>
    <row r="4663" spans="1:25" ht="15" customHeight="1" x14ac:dyDescent="0.2">
      <c r="A4663" s="88" t="s">
        <v>5555</v>
      </c>
      <c r="B4663" s="90"/>
      <c r="C4663" s="88" t="s">
        <v>5682</v>
      </c>
      <c r="D4663" s="90"/>
      <c r="E4663" s="88" t="s">
        <v>5683</v>
      </c>
      <c r="F4663" s="89"/>
      <c r="G4663" s="89"/>
      <c r="H4663" s="89"/>
      <c r="I4663" s="90"/>
      <c r="J4663" s="88" t="s">
        <v>770</v>
      </c>
      <c r="K4663" s="89"/>
      <c r="L4663" s="89"/>
      <c r="M4663" s="90"/>
      <c r="N4663" s="88" t="s">
        <v>26</v>
      </c>
      <c r="O4663" s="89"/>
      <c r="P4663" s="90"/>
      <c r="Q4663" s="133">
        <v>1800</v>
      </c>
      <c r="R4663" s="134"/>
      <c r="S4663" s="5" t="s">
        <v>44</v>
      </c>
      <c r="T4663" s="6"/>
      <c r="U4663" s="6"/>
      <c r="V4663" s="5" t="s">
        <v>23</v>
      </c>
      <c r="W4663" s="12">
        <v>4620000</v>
      </c>
      <c r="X4663" s="6"/>
      <c r="Y4663" s="6"/>
    </row>
    <row r="4664" spans="1:25" ht="15" customHeight="1" x14ac:dyDescent="0.2">
      <c r="A4664" s="88" t="s">
        <v>5555</v>
      </c>
      <c r="B4664" s="90"/>
      <c r="C4664" s="88" t="s">
        <v>5684</v>
      </c>
      <c r="D4664" s="90"/>
      <c r="E4664" s="88" t="s">
        <v>5685</v>
      </c>
      <c r="F4664" s="89"/>
      <c r="G4664" s="89"/>
      <c r="H4664" s="89"/>
      <c r="I4664" s="90"/>
      <c r="J4664" s="88" t="s">
        <v>599</v>
      </c>
      <c r="K4664" s="89"/>
      <c r="L4664" s="89"/>
      <c r="M4664" s="90"/>
      <c r="N4664" s="88" t="s">
        <v>26</v>
      </c>
      <c r="O4664" s="89"/>
      <c r="P4664" s="90"/>
      <c r="Q4664" s="133">
        <v>1800</v>
      </c>
      <c r="R4664" s="134"/>
      <c r="S4664" s="5" t="s">
        <v>44</v>
      </c>
      <c r="T4664" s="6"/>
      <c r="U4664" s="6"/>
      <c r="V4664" s="5" t="s">
        <v>23</v>
      </c>
      <c r="W4664" s="12">
        <v>4368000</v>
      </c>
      <c r="X4664" s="6"/>
      <c r="Y4664" s="6"/>
    </row>
    <row r="4665" spans="1:25" ht="15" customHeight="1" x14ac:dyDescent="0.2">
      <c r="A4665" s="88" t="s">
        <v>5555</v>
      </c>
      <c r="B4665" s="90"/>
      <c r="C4665" s="88" t="s">
        <v>5684</v>
      </c>
      <c r="D4665" s="90"/>
      <c r="E4665" s="88" t="s">
        <v>5686</v>
      </c>
      <c r="F4665" s="89"/>
      <c r="G4665" s="89"/>
      <c r="H4665" s="89"/>
      <c r="I4665" s="90"/>
      <c r="J4665" s="88" t="s">
        <v>770</v>
      </c>
      <c r="K4665" s="89"/>
      <c r="L4665" s="89"/>
      <c r="M4665" s="90"/>
      <c r="N4665" s="88" t="s">
        <v>26</v>
      </c>
      <c r="O4665" s="89"/>
      <c r="P4665" s="90"/>
      <c r="Q4665" s="133">
        <v>1800</v>
      </c>
      <c r="R4665" s="134"/>
      <c r="S4665" s="5" t="s">
        <v>44</v>
      </c>
      <c r="T4665" s="6"/>
      <c r="U4665" s="6"/>
      <c r="V4665" s="5" t="s">
        <v>23</v>
      </c>
      <c r="W4665" s="12">
        <v>4620000</v>
      </c>
      <c r="X4665" s="6"/>
      <c r="Y4665" s="6"/>
    </row>
    <row r="4666" spans="1:25" ht="15" customHeight="1" x14ac:dyDescent="0.2">
      <c r="A4666" s="88" t="s">
        <v>5555</v>
      </c>
      <c r="B4666" s="90"/>
      <c r="C4666" s="88" t="s">
        <v>5687</v>
      </c>
      <c r="D4666" s="90"/>
      <c r="E4666" s="88" t="s">
        <v>5688</v>
      </c>
      <c r="F4666" s="89"/>
      <c r="G4666" s="89"/>
      <c r="H4666" s="89"/>
      <c r="I4666" s="90"/>
      <c r="J4666" s="88" t="s">
        <v>770</v>
      </c>
      <c r="K4666" s="89"/>
      <c r="L4666" s="89"/>
      <c r="M4666" s="90"/>
      <c r="N4666" s="88" t="s">
        <v>26</v>
      </c>
      <c r="O4666" s="89"/>
      <c r="P4666" s="90"/>
      <c r="Q4666" s="133">
        <v>1797</v>
      </c>
      <c r="R4666" s="134"/>
      <c r="S4666" s="5" t="s">
        <v>70</v>
      </c>
      <c r="T4666" s="8">
        <v>1645</v>
      </c>
      <c r="U4666" s="8">
        <v>5</v>
      </c>
      <c r="V4666" s="5" t="s">
        <v>23</v>
      </c>
      <c r="W4666" s="12">
        <v>4366448</v>
      </c>
      <c r="X4666" s="6"/>
      <c r="Y4666" s="6"/>
    </row>
    <row r="4667" spans="1:25" ht="15" customHeight="1" x14ac:dyDescent="0.2">
      <c r="A4667" s="88" t="s">
        <v>5555</v>
      </c>
      <c r="B4667" s="90"/>
      <c r="C4667" s="88" t="s">
        <v>5689</v>
      </c>
      <c r="D4667" s="90"/>
      <c r="E4667" s="88" t="s">
        <v>5690</v>
      </c>
      <c r="F4667" s="89"/>
      <c r="G4667" s="89"/>
      <c r="H4667" s="89"/>
      <c r="I4667" s="90"/>
      <c r="J4667" s="88" t="s">
        <v>770</v>
      </c>
      <c r="K4667" s="89"/>
      <c r="L4667" s="89"/>
      <c r="M4667" s="90"/>
      <c r="N4667" s="88" t="s">
        <v>26</v>
      </c>
      <c r="O4667" s="89"/>
      <c r="P4667" s="90"/>
      <c r="Q4667" s="133">
        <v>1797</v>
      </c>
      <c r="R4667" s="134"/>
      <c r="S4667" s="5" t="s">
        <v>70</v>
      </c>
      <c r="T4667" s="8">
        <v>1665</v>
      </c>
      <c r="U4667" s="8">
        <v>5</v>
      </c>
      <c r="V4667" s="5" t="s">
        <v>23</v>
      </c>
      <c r="W4667" s="12">
        <v>5047614</v>
      </c>
      <c r="X4667" s="6"/>
      <c r="Y4667" s="6"/>
    </row>
    <row r="4668" spans="1:25" ht="15" customHeight="1" x14ac:dyDescent="0.2">
      <c r="A4668" s="88" t="s">
        <v>5555</v>
      </c>
      <c r="B4668" s="90"/>
      <c r="C4668" s="88" t="s">
        <v>5689</v>
      </c>
      <c r="D4668" s="90"/>
      <c r="E4668" s="88" t="s">
        <v>5691</v>
      </c>
      <c r="F4668" s="89"/>
      <c r="G4668" s="89"/>
      <c r="H4668" s="89"/>
      <c r="I4668" s="90"/>
      <c r="J4668" s="88" t="s">
        <v>770</v>
      </c>
      <c r="K4668" s="89"/>
      <c r="L4668" s="89"/>
      <c r="M4668" s="90"/>
      <c r="N4668" s="88" t="s">
        <v>26</v>
      </c>
      <c r="O4668" s="89"/>
      <c r="P4668" s="90"/>
      <c r="Q4668" s="133">
        <v>1797</v>
      </c>
      <c r="R4668" s="134"/>
      <c r="S4668" s="5" t="s">
        <v>70</v>
      </c>
      <c r="T4668" s="8">
        <v>1665</v>
      </c>
      <c r="U4668" s="8">
        <v>5</v>
      </c>
      <c r="V4668" s="5" t="s">
        <v>23</v>
      </c>
      <c r="W4668" s="12">
        <v>5201488</v>
      </c>
      <c r="X4668" s="6"/>
      <c r="Y4668" s="6"/>
    </row>
    <row r="4669" spans="1:25" ht="15" customHeight="1" x14ac:dyDescent="0.2">
      <c r="A4669" s="88" t="s">
        <v>5555</v>
      </c>
      <c r="B4669" s="90"/>
      <c r="C4669" s="88" t="s">
        <v>5692</v>
      </c>
      <c r="D4669" s="90"/>
      <c r="E4669" s="88" t="s">
        <v>5693</v>
      </c>
      <c r="F4669" s="89"/>
      <c r="G4669" s="89"/>
      <c r="H4669" s="89"/>
      <c r="I4669" s="90"/>
      <c r="J4669" s="88" t="s">
        <v>770</v>
      </c>
      <c r="K4669" s="89"/>
      <c r="L4669" s="89"/>
      <c r="M4669" s="90"/>
      <c r="N4669" s="88" t="s">
        <v>26</v>
      </c>
      <c r="O4669" s="89"/>
      <c r="P4669" s="90"/>
      <c r="Q4669" s="133">
        <v>1797</v>
      </c>
      <c r="R4669" s="134"/>
      <c r="S4669" s="5" t="s">
        <v>70</v>
      </c>
      <c r="T4669" s="8">
        <v>1665</v>
      </c>
      <c r="U4669" s="8">
        <v>5</v>
      </c>
      <c r="V4669" s="5" t="s">
        <v>23</v>
      </c>
      <c r="W4669" s="12">
        <v>5047614</v>
      </c>
      <c r="X4669" s="6"/>
      <c r="Y4669" s="6"/>
    </row>
    <row r="4670" spans="1:25" ht="15" customHeight="1" x14ac:dyDescent="0.2">
      <c r="A4670" s="88" t="s">
        <v>5555</v>
      </c>
      <c r="B4670" s="90"/>
      <c r="C4670" s="88" t="s">
        <v>5694</v>
      </c>
      <c r="D4670" s="90"/>
      <c r="E4670" s="88" t="s">
        <v>5695</v>
      </c>
      <c r="F4670" s="89"/>
      <c r="G4670" s="89"/>
      <c r="H4670" s="89"/>
      <c r="I4670" s="90"/>
      <c r="J4670" s="88" t="s">
        <v>770</v>
      </c>
      <c r="K4670" s="89"/>
      <c r="L4670" s="89"/>
      <c r="M4670" s="90"/>
      <c r="N4670" s="88" t="s">
        <v>26</v>
      </c>
      <c r="O4670" s="89"/>
      <c r="P4670" s="90"/>
      <c r="Q4670" s="133">
        <v>1797</v>
      </c>
      <c r="R4670" s="134"/>
      <c r="S4670" s="5" t="s">
        <v>70</v>
      </c>
      <c r="T4670" s="8">
        <v>1675</v>
      </c>
      <c r="U4670" s="8">
        <v>5</v>
      </c>
      <c r="V4670" s="5" t="s">
        <v>23</v>
      </c>
      <c r="W4670" s="12">
        <v>4485216</v>
      </c>
      <c r="X4670" s="6"/>
      <c r="Y4670" s="6"/>
    </row>
    <row r="4671" spans="1:25" ht="15" customHeight="1" x14ac:dyDescent="0.2">
      <c r="A4671" s="88" t="s">
        <v>5555</v>
      </c>
      <c r="B4671" s="90"/>
      <c r="C4671" s="88" t="s">
        <v>5694</v>
      </c>
      <c r="D4671" s="90"/>
      <c r="E4671" s="88" t="s">
        <v>5696</v>
      </c>
      <c r="F4671" s="89"/>
      <c r="G4671" s="89"/>
      <c r="H4671" s="89"/>
      <c r="I4671" s="90"/>
      <c r="J4671" s="88" t="s">
        <v>770</v>
      </c>
      <c r="K4671" s="89"/>
      <c r="L4671" s="89"/>
      <c r="M4671" s="90"/>
      <c r="N4671" s="88" t="s">
        <v>26</v>
      </c>
      <c r="O4671" s="89"/>
      <c r="P4671" s="90"/>
      <c r="Q4671" s="133">
        <v>1797</v>
      </c>
      <c r="R4671" s="134"/>
      <c r="S4671" s="5" t="s">
        <v>70</v>
      </c>
      <c r="T4671" s="8">
        <v>1665</v>
      </c>
      <c r="U4671" s="8">
        <v>5</v>
      </c>
      <c r="V4671" s="5" t="s">
        <v>23</v>
      </c>
      <c r="W4671" s="12">
        <v>4962032</v>
      </c>
      <c r="X4671" s="6"/>
      <c r="Y4671" s="6"/>
    </row>
    <row r="4672" spans="1:25" ht="15" customHeight="1" x14ac:dyDescent="0.2">
      <c r="A4672" s="88" t="s">
        <v>5555</v>
      </c>
      <c r="B4672" s="90"/>
      <c r="C4672" s="88" t="s">
        <v>5697</v>
      </c>
      <c r="D4672" s="90"/>
      <c r="E4672" s="88" t="s">
        <v>5696</v>
      </c>
      <c r="F4672" s="89"/>
      <c r="G4672" s="89"/>
      <c r="H4672" s="89"/>
      <c r="I4672" s="90"/>
      <c r="J4672" s="88" t="s">
        <v>770</v>
      </c>
      <c r="K4672" s="89"/>
      <c r="L4672" s="89"/>
      <c r="M4672" s="90"/>
      <c r="N4672" s="88" t="s">
        <v>26</v>
      </c>
      <c r="O4672" s="89"/>
      <c r="P4672" s="90"/>
      <c r="Q4672" s="133">
        <v>1797</v>
      </c>
      <c r="R4672" s="134"/>
      <c r="S4672" s="5" t="s">
        <v>70</v>
      </c>
      <c r="T4672" s="8">
        <v>1665</v>
      </c>
      <c r="U4672" s="8">
        <v>5</v>
      </c>
      <c r="V4672" s="5" t="s">
        <v>23</v>
      </c>
      <c r="W4672" s="12">
        <v>4510938</v>
      </c>
      <c r="X4672" s="6"/>
      <c r="Y4672" s="6"/>
    </row>
    <row r="4673" spans="1:25" ht="15" customHeight="1" x14ac:dyDescent="0.2">
      <c r="A4673" s="88" t="s">
        <v>5555</v>
      </c>
      <c r="B4673" s="90"/>
      <c r="C4673" s="88" t="s">
        <v>5697</v>
      </c>
      <c r="D4673" s="90"/>
      <c r="E4673" s="88" t="s">
        <v>5698</v>
      </c>
      <c r="F4673" s="89"/>
      <c r="G4673" s="89"/>
      <c r="H4673" s="89"/>
      <c r="I4673" s="90"/>
      <c r="J4673" s="88" t="s">
        <v>770</v>
      </c>
      <c r="K4673" s="89"/>
      <c r="L4673" s="89"/>
      <c r="M4673" s="90"/>
      <c r="N4673" s="88" t="s">
        <v>26</v>
      </c>
      <c r="O4673" s="89"/>
      <c r="P4673" s="90"/>
      <c r="Q4673" s="133">
        <v>1797</v>
      </c>
      <c r="R4673" s="134"/>
      <c r="S4673" s="5" t="s">
        <v>70</v>
      </c>
      <c r="T4673" s="8">
        <v>1675</v>
      </c>
      <c r="U4673" s="8">
        <v>5</v>
      </c>
      <c r="V4673" s="5" t="s">
        <v>23</v>
      </c>
      <c r="W4673" s="12">
        <v>4348983</v>
      </c>
      <c r="X4673" s="6"/>
      <c r="Y4673" s="6"/>
    </row>
    <row r="4674" spans="1:25" ht="15" customHeight="1" x14ac:dyDescent="0.2">
      <c r="A4674" s="88" t="s">
        <v>5555</v>
      </c>
      <c r="B4674" s="90"/>
      <c r="C4674" s="88" t="s">
        <v>5699</v>
      </c>
      <c r="D4674" s="90"/>
      <c r="E4674" s="88" t="s">
        <v>5700</v>
      </c>
      <c r="F4674" s="89"/>
      <c r="G4674" s="89"/>
      <c r="H4674" s="89"/>
      <c r="I4674" s="90"/>
      <c r="J4674" s="88" t="s">
        <v>770</v>
      </c>
      <c r="K4674" s="89"/>
      <c r="L4674" s="89"/>
      <c r="M4674" s="90"/>
      <c r="N4674" s="88" t="s">
        <v>26</v>
      </c>
      <c r="O4674" s="89"/>
      <c r="P4674" s="90"/>
      <c r="Q4674" s="133">
        <v>1797</v>
      </c>
      <c r="R4674" s="134"/>
      <c r="S4674" s="5" t="s">
        <v>70</v>
      </c>
      <c r="T4674" s="8">
        <v>1665</v>
      </c>
      <c r="U4674" s="8">
        <v>5</v>
      </c>
      <c r="V4674" s="5" t="s">
        <v>23</v>
      </c>
      <c r="W4674" s="12">
        <v>4445045</v>
      </c>
      <c r="X4674" s="6"/>
      <c r="Y4674" s="6"/>
    </row>
    <row r="4675" spans="1:25" ht="15" customHeight="1" x14ac:dyDescent="0.2">
      <c r="A4675" s="88" t="s">
        <v>5555</v>
      </c>
      <c r="B4675" s="90"/>
      <c r="C4675" s="88" t="s">
        <v>5701</v>
      </c>
      <c r="D4675" s="90"/>
      <c r="E4675" s="88" t="s">
        <v>5702</v>
      </c>
      <c r="F4675" s="89"/>
      <c r="G4675" s="89"/>
      <c r="H4675" s="89"/>
      <c r="I4675" s="90"/>
      <c r="J4675" s="88" t="s">
        <v>770</v>
      </c>
      <c r="K4675" s="89"/>
      <c r="L4675" s="89"/>
      <c r="M4675" s="90"/>
      <c r="N4675" s="88" t="s">
        <v>26</v>
      </c>
      <c r="O4675" s="89"/>
      <c r="P4675" s="90"/>
      <c r="Q4675" s="133">
        <v>1797</v>
      </c>
      <c r="R4675" s="134"/>
      <c r="S4675" s="5" t="s">
        <v>70</v>
      </c>
      <c r="T4675" s="8">
        <v>1665</v>
      </c>
      <c r="U4675" s="8">
        <v>5</v>
      </c>
      <c r="V4675" s="5" t="s">
        <v>23</v>
      </c>
      <c r="W4675" s="12">
        <v>4977751</v>
      </c>
      <c r="X4675" s="6"/>
      <c r="Y4675" s="6"/>
    </row>
    <row r="4676" spans="1:25" ht="15" customHeight="1" x14ac:dyDescent="0.2">
      <c r="A4676" s="88" t="s">
        <v>5555</v>
      </c>
      <c r="B4676" s="90"/>
      <c r="C4676" s="88" t="s">
        <v>5701</v>
      </c>
      <c r="D4676" s="90"/>
      <c r="E4676" s="88" t="s">
        <v>5703</v>
      </c>
      <c r="F4676" s="89"/>
      <c r="G4676" s="89"/>
      <c r="H4676" s="89"/>
      <c r="I4676" s="90"/>
      <c r="J4676" s="88" t="s">
        <v>770</v>
      </c>
      <c r="K4676" s="89"/>
      <c r="L4676" s="89"/>
      <c r="M4676" s="90"/>
      <c r="N4676" s="88" t="s">
        <v>26</v>
      </c>
      <c r="O4676" s="89"/>
      <c r="P4676" s="90"/>
      <c r="Q4676" s="133">
        <v>1797</v>
      </c>
      <c r="R4676" s="134"/>
      <c r="S4676" s="5" t="s">
        <v>70</v>
      </c>
      <c r="T4676" s="8">
        <v>1665</v>
      </c>
      <c r="U4676" s="8">
        <v>5</v>
      </c>
      <c r="V4676" s="5" t="s">
        <v>23</v>
      </c>
      <c r="W4676" s="12">
        <v>4882563</v>
      </c>
      <c r="X4676" s="6"/>
      <c r="Y4676" s="6"/>
    </row>
    <row r="4677" spans="1:25" ht="15" customHeight="1" x14ac:dyDescent="0.2">
      <c r="A4677" s="88" t="s">
        <v>5555</v>
      </c>
      <c r="B4677" s="90"/>
      <c r="C4677" s="88" t="s">
        <v>5704</v>
      </c>
      <c r="D4677" s="90"/>
      <c r="E4677" s="88" t="s">
        <v>5705</v>
      </c>
      <c r="F4677" s="89"/>
      <c r="G4677" s="89"/>
      <c r="H4677" s="89"/>
      <c r="I4677" s="90"/>
      <c r="J4677" s="88" t="s">
        <v>770</v>
      </c>
      <c r="K4677" s="89"/>
      <c r="L4677" s="89"/>
      <c r="M4677" s="90"/>
      <c r="N4677" s="88" t="s">
        <v>26</v>
      </c>
      <c r="O4677" s="89"/>
      <c r="P4677" s="90"/>
      <c r="Q4677" s="133">
        <v>1797</v>
      </c>
      <c r="R4677" s="134"/>
      <c r="S4677" s="5" t="s">
        <v>70</v>
      </c>
      <c r="T4677" s="8">
        <v>1665</v>
      </c>
      <c r="U4677" s="8">
        <v>5</v>
      </c>
      <c r="V4677" s="5" t="s">
        <v>23</v>
      </c>
      <c r="W4677" s="12">
        <v>4977751</v>
      </c>
      <c r="X4677" s="6"/>
      <c r="Y4677" s="6"/>
    </row>
    <row r="4678" spans="1:25" ht="15" customHeight="1" x14ac:dyDescent="0.2">
      <c r="A4678" s="88" t="s">
        <v>5555</v>
      </c>
      <c r="B4678" s="90"/>
      <c r="C4678" s="88" t="s">
        <v>5706</v>
      </c>
      <c r="D4678" s="90"/>
      <c r="E4678" s="88" t="s">
        <v>5707</v>
      </c>
      <c r="F4678" s="89"/>
      <c r="G4678" s="89"/>
      <c r="H4678" s="89"/>
      <c r="I4678" s="90"/>
      <c r="J4678" s="88" t="s">
        <v>770</v>
      </c>
      <c r="K4678" s="89"/>
      <c r="L4678" s="89"/>
      <c r="M4678" s="90"/>
      <c r="N4678" s="88" t="s">
        <v>26</v>
      </c>
      <c r="O4678" s="89"/>
      <c r="P4678" s="90"/>
      <c r="Q4678" s="133">
        <v>1797</v>
      </c>
      <c r="R4678" s="134"/>
      <c r="S4678" s="5" t="s">
        <v>70</v>
      </c>
      <c r="T4678" s="8">
        <v>1665</v>
      </c>
      <c r="U4678" s="8">
        <v>5</v>
      </c>
      <c r="V4678" s="5" t="s">
        <v>23</v>
      </c>
      <c r="W4678" s="12">
        <v>5097043</v>
      </c>
      <c r="X4678" s="6"/>
      <c r="Y4678" s="6"/>
    </row>
    <row r="4679" spans="1:25" ht="15" customHeight="1" x14ac:dyDescent="0.2">
      <c r="A4679" s="88" t="s">
        <v>5555</v>
      </c>
      <c r="B4679" s="90"/>
      <c r="C4679" s="88" t="s">
        <v>5708</v>
      </c>
      <c r="D4679" s="90"/>
      <c r="E4679" s="88" t="s">
        <v>5709</v>
      </c>
      <c r="F4679" s="89"/>
      <c r="G4679" s="89"/>
      <c r="H4679" s="89"/>
      <c r="I4679" s="90"/>
      <c r="J4679" s="88" t="s">
        <v>770</v>
      </c>
      <c r="K4679" s="89"/>
      <c r="L4679" s="89"/>
      <c r="M4679" s="90"/>
      <c r="N4679" s="88" t="s">
        <v>26</v>
      </c>
      <c r="O4679" s="89"/>
      <c r="P4679" s="90"/>
      <c r="Q4679" s="133">
        <v>1797</v>
      </c>
      <c r="R4679" s="134"/>
      <c r="S4679" s="5" t="s">
        <v>70</v>
      </c>
      <c r="T4679" s="8">
        <v>1645</v>
      </c>
      <c r="U4679" s="8">
        <v>5</v>
      </c>
      <c r="V4679" s="5" t="s">
        <v>23</v>
      </c>
      <c r="W4679" s="12">
        <v>4890422</v>
      </c>
      <c r="X4679" s="6"/>
      <c r="Y4679" s="6"/>
    </row>
    <row r="4680" spans="1:25" ht="15" customHeight="1" x14ac:dyDescent="0.2">
      <c r="A4680" s="88" t="s">
        <v>5555</v>
      </c>
      <c r="B4680" s="90"/>
      <c r="C4680" s="88" t="s">
        <v>5710</v>
      </c>
      <c r="D4680" s="90"/>
      <c r="E4680" s="88" t="s">
        <v>5709</v>
      </c>
      <c r="F4680" s="89"/>
      <c r="G4680" s="89"/>
      <c r="H4680" s="89"/>
      <c r="I4680" s="90"/>
      <c r="J4680" s="88" t="s">
        <v>770</v>
      </c>
      <c r="K4680" s="89"/>
      <c r="L4680" s="89"/>
      <c r="M4680" s="90"/>
      <c r="N4680" s="88" t="s">
        <v>26</v>
      </c>
      <c r="O4680" s="89"/>
      <c r="P4680" s="90"/>
      <c r="Q4680" s="133">
        <v>1797</v>
      </c>
      <c r="R4680" s="134"/>
      <c r="S4680" s="5" t="s">
        <v>70</v>
      </c>
      <c r="T4680" s="8">
        <v>1645</v>
      </c>
      <c r="U4680" s="8">
        <v>5</v>
      </c>
      <c r="V4680" s="5" t="s">
        <v>23</v>
      </c>
      <c r="W4680" s="12">
        <v>5009714</v>
      </c>
      <c r="X4680" s="6"/>
      <c r="Y4680" s="6"/>
    </row>
    <row r="4681" spans="1:25" ht="15" customHeight="1" x14ac:dyDescent="0.2">
      <c r="A4681" s="88" t="s">
        <v>5555</v>
      </c>
      <c r="B4681" s="90"/>
      <c r="C4681" s="88" t="s">
        <v>5711</v>
      </c>
      <c r="D4681" s="90"/>
      <c r="E4681" s="88" t="s">
        <v>5670</v>
      </c>
      <c r="F4681" s="89"/>
      <c r="G4681" s="89"/>
      <c r="H4681" s="89"/>
      <c r="I4681" s="90"/>
      <c r="J4681" s="88" t="s">
        <v>770</v>
      </c>
      <c r="K4681" s="89"/>
      <c r="L4681" s="89"/>
      <c r="M4681" s="90"/>
      <c r="N4681" s="88" t="s">
        <v>22</v>
      </c>
      <c r="O4681" s="89"/>
      <c r="P4681" s="90"/>
      <c r="Q4681" s="133">
        <v>1797</v>
      </c>
      <c r="R4681" s="134"/>
      <c r="S4681" s="5" t="s">
        <v>70</v>
      </c>
      <c r="T4681" s="8">
        <v>1685</v>
      </c>
      <c r="U4681" s="8">
        <v>5</v>
      </c>
      <c r="V4681" s="5" t="s">
        <v>23</v>
      </c>
      <c r="W4681" s="12">
        <v>5676383</v>
      </c>
      <c r="X4681" s="6"/>
      <c r="Y4681" s="6"/>
    </row>
    <row r="4682" spans="1:25" ht="15" customHeight="1" x14ac:dyDescent="0.2">
      <c r="A4682" s="88" t="s">
        <v>5555</v>
      </c>
      <c r="B4682" s="90"/>
      <c r="C4682" s="88" t="s">
        <v>5712</v>
      </c>
      <c r="D4682" s="90"/>
      <c r="E4682" s="88" t="s">
        <v>5713</v>
      </c>
      <c r="F4682" s="89"/>
      <c r="G4682" s="89"/>
      <c r="H4682" s="89"/>
      <c r="I4682" s="90"/>
      <c r="J4682" s="88" t="s">
        <v>770</v>
      </c>
      <c r="K4682" s="89"/>
      <c r="L4682" s="89"/>
      <c r="M4682" s="90"/>
      <c r="N4682" s="88" t="s">
        <v>26</v>
      </c>
      <c r="O4682" s="89"/>
      <c r="P4682" s="90"/>
      <c r="Q4682" s="133">
        <v>2487</v>
      </c>
      <c r="R4682" s="134"/>
      <c r="S4682" s="5" t="s">
        <v>44</v>
      </c>
      <c r="T4682" s="8">
        <v>2045</v>
      </c>
      <c r="U4682" s="8">
        <v>5</v>
      </c>
      <c r="V4682" s="5" t="s">
        <v>23</v>
      </c>
      <c r="W4682" s="12">
        <v>9379131</v>
      </c>
      <c r="X4682" s="6"/>
      <c r="Y4682" s="6"/>
    </row>
    <row r="4683" spans="1:25" ht="15" customHeight="1" x14ac:dyDescent="0.2">
      <c r="A4683" s="88" t="s">
        <v>5555</v>
      </c>
      <c r="B4683" s="90"/>
      <c r="C4683" s="88" t="s">
        <v>5714</v>
      </c>
      <c r="D4683" s="90"/>
      <c r="E4683" s="88" t="s">
        <v>5715</v>
      </c>
      <c r="F4683" s="89"/>
      <c r="G4683" s="89"/>
      <c r="H4683" s="89"/>
      <c r="I4683" s="90"/>
      <c r="J4683" s="88" t="s">
        <v>2319</v>
      </c>
      <c r="K4683" s="89"/>
      <c r="L4683" s="89"/>
      <c r="M4683" s="90"/>
      <c r="N4683" s="88" t="s">
        <v>26</v>
      </c>
      <c r="O4683" s="89"/>
      <c r="P4683" s="90"/>
      <c r="Q4683" s="133">
        <v>1998</v>
      </c>
      <c r="R4683" s="134"/>
      <c r="S4683" s="5" t="s">
        <v>44</v>
      </c>
      <c r="T4683" s="8">
        <v>1905</v>
      </c>
      <c r="U4683" s="8">
        <v>5</v>
      </c>
      <c r="V4683" s="5" t="s">
        <v>23</v>
      </c>
      <c r="W4683" s="12">
        <v>8778082</v>
      </c>
      <c r="X4683" s="6"/>
      <c r="Y4683" s="6"/>
    </row>
    <row r="4684" spans="1:25" ht="15" customHeight="1" x14ac:dyDescent="0.2">
      <c r="A4684" s="88" t="s">
        <v>5555</v>
      </c>
      <c r="B4684" s="90"/>
      <c r="C4684" s="88" t="s">
        <v>5716</v>
      </c>
      <c r="D4684" s="90"/>
      <c r="E4684" s="88" t="s">
        <v>5717</v>
      </c>
      <c r="F4684" s="89"/>
      <c r="G4684" s="89"/>
      <c r="H4684" s="89"/>
      <c r="I4684" s="90"/>
      <c r="J4684" s="88" t="s">
        <v>887</v>
      </c>
      <c r="K4684" s="89"/>
      <c r="L4684" s="89"/>
      <c r="M4684" s="90"/>
      <c r="N4684" s="88" t="s">
        <v>26</v>
      </c>
      <c r="O4684" s="89"/>
      <c r="P4684" s="90"/>
      <c r="Q4684" s="133">
        <v>1998</v>
      </c>
      <c r="R4684" s="134"/>
      <c r="S4684" s="5" t="s">
        <v>44</v>
      </c>
      <c r="T4684" s="8">
        <v>1675</v>
      </c>
      <c r="U4684" s="8">
        <v>5</v>
      </c>
      <c r="V4684" s="5" t="s">
        <v>23</v>
      </c>
      <c r="W4684" s="12">
        <v>4357981</v>
      </c>
      <c r="X4684" s="6"/>
      <c r="Y4684" s="6"/>
    </row>
    <row r="4685" spans="1:25" ht="15" customHeight="1" x14ac:dyDescent="0.2">
      <c r="A4685" s="88" t="s">
        <v>5555</v>
      </c>
      <c r="B4685" s="90"/>
      <c r="C4685" s="88" t="s">
        <v>5718</v>
      </c>
      <c r="D4685" s="90"/>
      <c r="E4685" s="88" t="s">
        <v>5719</v>
      </c>
      <c r="F4685" s="89"/>
      <c r="G4685" s="89"/>
      <c r="H4685" s="89"/>
      <c r="I4685" s="90"/>
      <c r="J4685" s="88" t="s">
        <v>2179</v>
      </c>
      <c r="K4685" s="89"/>
      <c r="L4685" s="89"/>
      <c r="M4685" s="90"/>
      <c r="N4685" s="88" t="s">
        <v>22</v>
      </c>
      <c r="O4685" s="89"/>
      <c r="P4685" s="90"/>
      <c r="Q4685" s="133">
        <v>2185</v>
      </c>
      <c r="R4685" s="134"/>
      <c r="S4685" s="5" t="s">
        <v>44</v>
      </c>
      <c r="T4685" s="8">
        <v>2185</v>
      </c>
      <c r="U4685" s="8">
        <v>5</v>
      </c>
      <c r="V4685" s="5" t="s">
        <v>23</v>
      </c>
      <c r="W4685" s="12">
        <v>11702082</v>
      </c>
      <c r="X4685" s="6"/>
      <c r="Y4685" s="6"/>
    </row>
    <row r="4686" spans="1:25" ht="15" customHeight="1" x14ac:dyDescent="0.2">
      <c r="A4686" s="88" t="s">
        <v>5555</v>
      </c>
      <c r="B4686" s="90"/>
      <c r="C4686" s="88" t="s">
        <v>5720</v>
      </c>
      <c r="D4686" s="90"/>
      <c r="E4686" s="88" t="s">
        <v>5721</v>
      </c>
      <c r="F4686" s="89"/>
      <c r="G4686" s="89"/>
      <c r="H4686" s="89"/>
      <c r="I4686" s="90"/>
      <c r="J4686" s="88" t="s">
        <v>770</v>
      </c>
      <c r="K4686" s="89"/>
      <c r="L4686" s="89"/>
      <c r="M4686" s="90"/>
      <c r="N4686" s="88" t="s">
        <v>26</v>
      </c>
      <c r="O4686" s="89"/>
      <c r="P4686" s="90"/>
      <c r="Q4686" s="133">
        <v>3456</v>
      </c>
      <c r="R4686" s="134"/>
      <c r="S4686" s="5" t="s">
        <v>44</v>
      </c>
      <c r="T4686" s="8">
        <v>2175</v>
      </c>
      <c r="U4686" s="8">
        <v>5</v>
      </c>
      <c r="V4686" s="5" t="s">
        <v>23</v>
      </c>
      <c r="W4686" s="12">
        <v>13945458</v>
      </c>
      <c r="X4686" s="6"/>
      <c r="Y4686" s="6"/>
    </row>
    <row r="4687" spans="1:25" ht="15" customHeight="1" x14ac:dyDescent="0.2">
      <c r="A4687" s="88" t="s">
        <v>5555</v>
      </c>
      <c r="B4687" s="90"/>
      <c r="C4687" s="88" t="s">
        <v>5722</v>
      </c>
      <c r="D4687" s="90"/>
      <c r="E4687" s="88" t="s">
        <v>5723</v>
      </c>
      <c r="F4687" s="89"/>
      <c r="G4687" s="89"/>
      <c r="H4687" s="89"/>
      <c r="I4687" s="90"/>
      <c r="J4687" s="88" t="s">
        <v>770</v>
      </c>
      <c r="K4687" s="89"/>
      <c r="L4687" s="89"/>
      <c r="M4687" s="90"/>
      <c r="N4687" s="88" t="s">
        <v>701</v>
      </c>
      <c r="O4687" s="89"/>
      <c r="P4687" s="90"/>
      <c r="Q4687" s="133">
        <v>2493</v>
      </c>
      <c r="R4687" s="134"/>
      <c r="S4687" s="5" t="s">
        <v>44</v>
      </c>
      <c r="T4687" s="8">
        <v>1955</v>
      </c>
      <c r="U4687" s="8">
        <v>5</v>
      </c>
      <c r="V4687" s="5" t="s">
        <v>23</v>
      </c>
      <c r="W4687" s="12">
        <v>9365039</v>
      </c>
      <c r="X4687" s="6"/>
      <c r="Y4687" s="6"/>
    </row>
    <row r="4688" spans="1:25" ht="15" customHeight="1" x14ac:dyDescent="0.2">
      <c r="A4688" s="88" t="s">
        <v>5555</v>
      </c>
      <c r="B4688" s="90"/>
      <c r="C4688" s="88" t="s">
        <v>5724</v>
      </c>
      <c r="D4688" s="90"/>
      <c r="E4688" s="88" t="s">
        <v>5725</v>
      </c>
      <c r="F4688" s="89"/>
      <c r="G4688" s="89"/>
      <c r="H4688" s="89"/>
      <c r="I4688" s="90"/>
      <c r="J4688" s="88" t="s">
        <v>770</v>
      </c>
      <c r="K4688" s="89"/>
      <c r="L4688" s="89"/>
      <c r="M4688" s="90"/>
      <c r="N4688" s="88" t="s">
        <v>701</v>
      </c>
      <c r="O4688" s="89"/>
      <c r="P4688" s="90"/>
      <c r="Q4688" s="133">
        <v>3456</v>
      </c>
      <c r="R4688" s="134"/>
      <c r="S4688" s="5" t="s">
        <v>44</v>
      </c>
      <c r="T4688" s="8">
        <v>2105</v>
      </c>
      <c r="U4688" s="8">
        <v>5</v>
      </c>
      <c r="V4688" s="5" t="s">
        <v>23</v>
      </c>
      <c r="W4688" s="12">
        <v>12243058</v>
      </c>
      <c r="X4688" s="6"/>
      <c r="Y4688" s="6"/>
    </row>
    <row r="4689" spans="1:25" ht="15" customHeight="1" x14ac:dyDescent="0.2">
      <c r="A4689" s="88" t="s">
        <v>5555</v>
      </c>
      <c r="B4689" s="90"/>
      <c r="C4689" s="88" t="s">
        <v>5726</v>
      </c>
      <c r="D4689" s="90"/>
      <c r="E4689" s="88" t="s">
        <v>5713</v>
      </c>
      <c r="F4689" s="89"/>
      <c r="G4689" s="89"/>
      <c r="H4689" s="89"/>
      <c r="I4689" s="90"/>
      <c r="J4689" s="88" t="s">
        <v>770</v>
      </c>
      <c r="K4689" s="89"/>
      <c r="L4689" s="89"/>
      <c r="M4689" s="90"/>
      <c r="N4689" s="88" t="s">
        <v>26</v>
      </c>
      <c r="O4689" s="89"/>
      <c r="P4689" s="90"/>
      <c r="Q4689" s="133">
        <v>2487</v>
      </c>
      <c r="R4689" s="134"/>
      <c r="S4689" s="5" t="s">
        <v>44</v>
      </c>
      <c r="T4689" s="8">
        <v>2045</v>
      </c>
      <c r="U4689" s="8">
        <v>5</v>
      </c>
      <c r="V4689" s="5" t="s">
        <v>23</v>
      </c>
      <c r="W4689" s="12">
        <v>9379131</v>
      </c>
      <c r="X4689" s="6"/>
      <c r="Y4689" s="6"/>
    </row>
    <row r="4690" spans="1:25" ht="15" customHeight="1" x14ac:dyDescent="0.2">
      <c r="A4690" s="88" t="s">
        <v>5555</v>
      </c>
      <c r="B4690" s="90"/>
      <c r="C4690" s="88" t="s">
        <v>5727</v>
      </c>
      <c r="D4690" s="90"/>
      <c r="E4690" s="88" t="s">
        <v>5728</v>
      </c>
      <c r="F4690" s="89"/>
      <c r="G4690" s="89"/>
      <c r="H4690" s="89"/>
      <c r="I4690" s="90"/>
      <c r="J4690" s="88" t="s">
        <v>2179</v>
      </c>
      <c r="K4690" s="89"/>
      <c r="L4690" s="89"/>
      <c r="M4690" s="90"/>
      <c r="N4690" s="88" t="s">
        <v>701</v>
      </c>
      <c r="O4690" s="89"/>
      <c r="P4690" s="90"/>
      <c r="Q4690" s="133">
        <v>2393</v>
      </c>
      <c r="R4690" s="134"/>
      <c r="S4690" s="5" t="s">
        <v>44</v>
      </c>
      <c r="T4690" s="8">
        <v>2195</v>
      </c>
      <c r="U4690" s="8">
        <v>5</v>
      </c>
      <c r="V4690" s="5" t="s">
        <v>23</v>
      </c>
      <c r="W4690" s="12">
        <v>11178108</v>
      </c>
      <c r="X4690" s="6"/>
      <c r="Y4690" s="6"/>
    </row>
    <row r="4691" spans="1:25" ht="15" customHeight="1" x14ac:dyDescent="0.2">
      <c r="A4691" s="88" t="s">
        <v>5555</v>
      </c>
      <c r="B4691" s="90"/>
      <c r="C4691" s="88" t="s">
        <v>5729</v>
      </c>
      <c r="D4691" s="90"/>
      <c r="E4691" s="88" t="s">
        <v>5730</v>
      </c>
      <c r="F4691" s="89"/>
      <c r="G4691" s="89"/>
      <c r="H4691" s="89"/>
      <c r="I4691" s="90"/>
      <c r="J4691" s="88" t="s">
        <v>887</v>
      </c>
      <c r="K4691" s="89"/>
      <c r="L4691" s="89"/>
      <c r="M4691" s="90"/>
      <c r="N4691" s="88" t="s">
        <v>26</v>
      </c>
      <c r="O4691" s="89"/>
      <c r="P4691" s="90"/>
      <c r="Q4691" s="133">
        <v>1998</v>
      </c>
      <c r="R4691" s="134"/>
      <c r="S4691" s="5" t="s">
        <v>44</v>
      </c>
      <c r="T4691" s="8">
        <v>1735</v>
      </c>
      <c r="U4691" s="8">
        <v>5</v>
      </c>
      <c r="V4691" s="5" t="s">
        <v>23</v>
      </c>
      <c r="W4691" s="12">
        <v>4961981</v>
      </c>
      <c r="X4691" s="6"/>
      <c r="Y4691" s="6"/>
    </row>
    <row r="4692" spans="1:25" ht="15" customHeight="1" x14ac:dyDescent="0.2">
      <c r="A4692" s="88" t="s">
        <v>5555</v>
      </c>
      <c r="B4692" s="90"/>
      <c r="C4692" s="88" t="s">
        <v>5731</v>
      </c>
      <c r="D4692" s="90"/>
      <c r="E4692" s="88" t="s">
        <v>5732</v>
      </c>
      <c r="F4692" s="89"/>
      <c r="G4692" s="89"/>
      <c r="H4692" s="89"/>
      <c r="I4692" s="90"/>
      <c r="J4692" s="88" t="s">
        <v>770</v>
      </c>
      <c r="K4692" s="89"/>
      <c r="L4692" s="89"/>
      <c r="M4692" s="90"/>
      <c r="N4692" s="88" t="s">
        <v>22</v>
      </c>
      <c r="O4692" s="89"/>
      <c r="P4692" s="90"/>
      <c r="Q4692" s="133">
        <v>2305</v>
      </c>
      <c r="R4692" s="134"/>
      <c r="S4692" s="5" t="s">
        <v>44</v>
      </c>
      <c r="T4692" s="8">
        <v>2305</v>
      </c>
      <c r="U4692" s="8">
        <v>5</v>
      </c>
      <c r="V4692" s="5" t="s">
        <v>23</v>
      </c>
      <c r="W4692" s="12">
        <v>13361332</v>
      </c>
      <c r="X4692" s="6"/>
      <c r="Y4692" s="6"/>
    </row>
    <row r="4693" spans="1:25" ht="15" customHeight="1" x14ac:dyDescent="0.2">
      <c r="A4693" s="88" t="s">
        <v>5555</v>
      </c>
      <c r="B4693" s="90"/>
      <c r="C4693" s="88" t="s">
        <v>5733</v>
      </c>
      <c r="D4693" s="90"/>
      <c r="E4693" s="88" t="s">
        <v>5734</v>
      </c>
      <c r="F4693" s="89"/>
      <c r="G4693" s="89"/>
      <c r="H4693" s="89"/>
      <c r="I4693" s="90"/>
      <c r="J4693" s="88" t="s">
        <v>770</v>
      </c>
      <c r="K4693" s="89"/>
      <c r="L4693" s="89"/>
      <c r="M4693" s="90"/>
      <c r="N4693" s="88" t="s">
        <v>22</v>
      </c>
      <c r="O4693" s="89"/>
      <c r="P4693" s="90"/>
      <c r="Q4693" s="133">
        <v>2085</v>
      </c>
      <c r="R4693" s="134"/>
      <c r="S4693" s="5" t="s">
        <v>44</v>
      </c>
      <c r="T4693" s="8">
        <v>2085</v>
      </c>
      <c r="U4693" s="8">
        <v>5</v>
      </c>
      <c r="V4693" s="5" t="s">
        <v>23</v>
      </c>
      <c r="W4693" s="12">
        <v>10304818</v>
      </c>
      <c r="X4693" s="6"/>
      <c r="Y4693" s="6"/>
    </row>
    <row r="4694" spans="1:25" ht="15" customHeight="1" x14ac:dyDescent="0.2">
      <c r="A4694" s="88" t="s">
        <v>5555</v>
      </c>
      <c r="B4694" s="90"/>
      <c r="C4694" s="88" t="s">
        <v>5735</v>
      </c>
      <c r="D4694" s="90"/>
      <c r="E4694" s="88" t="s">
        <v>5736</v>
      </c>
      <c r="F4694" s="89"/>
      <c r="G4694" s="89"/>
      <c r="H4694" s="89"/>
      <c r="I4694" s="90"/>
      <c r="J4694" s="88" t="s">
        <v>770</v>
      </c>
      <c r="K4694" s="89"/>
      <c r="L4694" s="89"/>
      <c r="M4694" s="90"/>
      <c r="N4694" s="88" t="s">
        <v>22</v>
      </c>
      <c r="O4694" s="89"/>
      <c r="P4694" s="90"/>
      <c r="Q4694" s="133">
        <v>2487</v>
      </c>
      <c r="R4694" s="134"/>
      <c r="S4694" s="5" t="s">
        <v>44</v>
      </c>
      <c r="T4694" s="8">
        <v>2085</v>
      </c>
      <c r="U4694" s="8">
        <v>5</v>
      </c>
      <c r="V4694" s="5" t="s">
        <v>23</v>
      </c>
      <c r="W4694" s="12">
        <v>10304818</v>
      </c>
      <c r="X4694" s="6"/>
      <c r="Y4694" s="6"/>
    </row>
    <row r="4695" spans="1:25" ht="15" customHeight="1" x14ac:dyDescent="0.2">
      <c r="A4695" s="88" t="s">
        <v>5555</v>
      </c>
      <c r="B4695" s="90"/>
      <c r="C4695" s="88" t="s">
        <v>5737</v>
      </c>
      <c r="D4695" s="90"/>
      <c r="E4695" s="88" t="s">
        <v>5738</v>
      </c>
      <c r="F4695" s="89"/>
      <c r="G4695" s="89"/>
      <c r="H4695" s="89"/>
      <c r="I4695" s="90"/>
      <c r="J4695" s="88" t="s">
        <v>2179</v>
      </c>
      <c r="K4695" s="89"/>
      <c r="L4695" s="89"/>
      <c r="M4695" s="90"/>
      <c r="N4695" s="88" t="s">
        <v>22</v>
      </c>
      <c r="O4695" s="89"/>
      <c r="P4695" s="90"/>
      <c r="Q4695" s="133">
        <v>2393</v>
      </c>
      <c r="R4695" s="134"/>
      <c r="S4695" s="5" t="s">
        <v>44</v>
      </c>
      <c r="T4695" s="8">
        <v>2195</v>
      </c>
      <c r="U4695" s="8">
        <v>5</v>
      </c>
      <c r="V4695" s="5" t="s">
        <v>23</v>
      </c>
      <c r="W4695" s="12">
        <v>11178108</v>
      </c>
      <c r="X4695" s="6"/>
      <c r="Y4695" s="6"/>
    </row>
    <row r="4696" spans="1:25" ht="15" customHeight="1" x14ac:dyDescent="0.2">
      <c r="A4696" s="88" t="s">
        <v>5555</v>
      </c>
      <c r="B4696" s="90"/>
      <c r="C4696" s="88" t="s">
        <v>5739</v>
      </c>
      <c r="D4696" s="90"/>
      <c r="E4696" s="88" t="s">
        <v>5740</v>
      </c>
      <c r="F4696" s="89"/>
      <c r="G4696" s="89"/>
      <c r="H4696" s="89"/>
      <c r="I4696" s="90"/>
      <c r="J4696" s="88" t="s">
        <v>770</v>
      </c>
      <c r="K4696" s="89"/>
      <c r="L4696" s="89"/>
      <c r="M4696" s="90"/>
      <c r="N4696" s="88" t="s">
        <v>26</v>
      </c>
      <c r="O4696" s="89"/>
      <c r="P4696" s="90"/>
      <c r="Q4696" s="133">
        <v>2295</v>
      </c>
      <c r="R4696" s="134"/>
      <c r="S4696" s="5" t="s">
        <v>44</v>
      </c>
      <c r="T4696" s="8">
        <v>2295</v>
      </c>
      <c r="U4696" s="8">
        <v>5</v>
      </c>
      <c r="V4696" s="5" t="s">
        <v>23</v>
      </c>
      <c r="W4696" s="12">
        <v>12750029</v>
      </c>
      <c r="X4696" s="6"/>
      <c r="Y4696" s="6"/>
    </row>
    <row r="4697" spans="1:25" ht="15" customHeight="1" x14ac:dyDescent="0.2">
      <c r="A4697" s="88" t="s">
        <v>5555</v>
      </c>
      <c r="B4697" s="90"/>
      <c r="C4697" s="88" t="s">
        <v>5741</v>
      </c>
      <c r="D4697" s="90"/>
      <c r="E4697" s="88" t="s">
        <v>5742</v>
      </c>
      <c r="F4697" s="89"/>
      <c r="G4697" s="89"/>
      <c r="H4697" s="89"/>
      <c r="I4697" s="90"/>
      <c r="J4697" s="88" t="s">
        <v>963</v>
      </c>
      <c r="K4697" s="89"/>
      <c r="L4697" s="89"/>
      <c r="M4697" s="90"/>
      <c r="N4697" s="88" t="s">
        <v>26</v>
      </c>
      <c r="O4697" s="89"/>
      <c r="P4697" s="90"/>
      <c r="Q4697" s="133">
        <v>1496</v>
      </c>
      <c r="R4697" s="134"/>
      <c r="S4697" s="5" t="s">
        <v>44</v>
      </c>
      <c r="T4697" s="8">
        <v>1355</v>
      </c>
      <c r="U4697" s="8">
        <v>5</v>
      </c>
      <c r="V4697" s="5" t="s">
        <v>23</v>
      </c>
      <c r="W4697" s="12">
        <v>2929223</v>
      </c>
      <c r="X4697" s="6"/>
      <c r="Y4697" s="6"/>
    </row>
    <row r="4698" spans="1:25" ht="15" customHeight="1" x14ac:dyDescent="0.2">
      <c r="A4698" s="88" t="s">
        <v>5555</v>
      </c>
      <c r="B4698" s="90"/>
      <c r="C4698" s="88" t="s">
        <v>5743</v>
      </c>
      <c r="D4698" s="90"/>
      <c r="E4698" s="88" t="s">
        <v>5744</v>
      </c>
      <c r="F4698" s="89"/>
      <c r="G4698" s="89"/>
      <c r="H4698" s="89"/>
      <c r="I4698" s="90"/>
      <c r="J4698" s="88" t="s">
        <v>963</v>
      </c>
      <c r="K4698" s="89"/>
      <c r="L4698" s="89"/>
      <c r="M4698" s="90"/>
      <c r="N4698" s="88" t="s">
        <v>26</v>
      </c>
      <c r="O4698" s="89"/>
      <c r="P4698" s="90"/>
      <c r="Q4698" s="133">
        <v>1496</v>
      </c>
      <c r="R4698" s="134"/>
      <c r="S4698" s="5" t="s">
        <v>44</v>
      </c>
      <c r="T4698" s="8">
        <v>1355</v>
      </c>
      <c r="U4698" s="8">
        <v>5</v>
      </c>
      <c r="V4698" s="5" t="s">
        <v>23</v>
      </c>
      <c r="W4698" s="12">
        <v>3257357</v>
      </c>
      <c r="X4698" s="6"/>
      <c r="Y4698" s="6"/>
    </row>
    <row r="4699" spans="1:25" ht="15" customHeight="1" x14ac:dyDescent="0.2">
      <c r="A4699" s="88" t="s">
        <v>5555</v>
      </c>
      <c r="B4699" s="90"/>
      <c r="C4699" s="88" t="s">
        <v>5745</v>
      </c>
      <c r="D4699" s="90"/>
      <c r="E4699" s="88" t="s">
        <v>5746</v>
      </c>
      <c r="F4699" s="89"/>
      <c r="G4699" s="89"/>
      <c r="H4699" s="89"/>
      <c r="I4699" s="90"/>
      <c r="J4699" s="88" t="s">
        <v>1718</v>
      </c>
      <c r="K4699" s="89"/>
      <c r="L4699" s="89"/>
      <c r="M4699" s="90"/>
      <c r="N4699" s="88" t="s">
        <v>22</v>
      </c>
      <c r="O4699" s="89"/>
      <c r="P4699" s="90"/>
      <c r="Q4699" s="133">
        <v>4009</v>
      </c>
      <c r="R4699" s="134"/>
      <c r="S4699" s="5" t="s">
        <v>945</v>
      </c>
      <c r="T4699" s="8">
        <v>6025</v>
      </c>
      <c r="U4699" s="8">
        <v>3</v>
      </c>
      <c r="V4699" s="5" t="s">
        <v>106</v>
      </c>
      <c r="W4699" s="12">
        <v>9646358</v>
      </c>
      <c r="X4699" s="6"/>
      <c r="Y4699" s="6"/>
    </row>
    <row r="4700" spans="1:25" ht="15" customHeight="1" x14ac:dyDescent="0.2">
      <c r="A4700" s="88" t="s">
        <v>5555</v>
      </c>
      <c r="B4700" s="90"/>
      <c r="C4700" s="88" t="s">
        <v>5747</v>
      </c>
      <c r="D4700" s="90"/>
      <c r="E4700" s="88" t="s">
        <v>5748</v>
      </c>
      <c r="F4700" s="89"/>
      <c r="G4700" s="89"/>
      <c r="H4700" s="89"/>
      <c r="I4700" s="90"/>
      <c r="J4700" s="88" t="s">
        <v>963</v>
      </c>
      <c r="K4700" s="89"/>
      <c r="L4700" s="89"/>
      <c r="M4700" s="90"/>
      <c r="N4700" s="88" t="s">
        <v>26</v>
      </c>
      <c r="O4700" s="89"/>
      <c r="P4700" s="90"/>
      <c r="Q4700" s="133">
        <v>2754</v>
      </c>
      <c r="R4700" s="134"/>
      <c r="S4700" s="5" t="s">
        <v>814</v>
      </c>
      <c r="T4700" s="8">
        <v>3555</v>
      </c>
      <c r="U4700" s="8">
        <v>3</v>
      </c>
      <c r="V4700" s="5" t="s">
        <v>106</v>
      </c>
      <c r="W4700" s="12">
        <v>6630015</v>
      </c>
      <c r="X4700" s="6"/>
      <c r="Y4700" s="6"/>
    </row>
    <row r="4701" spans="1:25" ht="15" customHeight="1" x14ac:dyDescent="0.2">
      <c r="A4701" s="88" t="s">
        <v>5555</v>
      </c>
      <c r="B4701" s="90"/>
      <c r="C4701" s="88" t="s">
        <v>5749</v>
      </c>
      <c r="D4701" s="90"/>
      <c r="E4701" s="88" t="s">
        <v>5750</v>
      </c>
      <c r="F4701" s="89"/>
      <c r="G4701" s="89"/>
      <c r="H4701" s="89"/>
      <c r="I4701" s="90"/>
      <c r="J4701" s="88" t="s">
        <v>963</v>
      </c>
      <c r="K4701" s="89"/>
      <c r="L4701" s="89"/>
      <c r="M4701" s="90"/>
      <c r="N4701" s="88" t="s">
        <v>26</v>
      </c>
      <c r="O4701" s="89"/>
      <c r="P4701" s="90"/>
      <c r="Q4701" s="133">
        <v>4104</v>
      </c>
      <c r="R4701" s="134"/>
      <c r="S4701" s="5" t="s">
        <v>945</v>
      </c>
      <c r="T4701" s="8">
        <v>5575</v>
      </c>
      <c r="U4701" s="8">
        <v>3</v>
      </c>
      <c r="V4701" s="5" t="s">
        <v>106</v>
      </c>
      <c r="W4701" s="12">
        <v>6096393</v>
      </c>
      <c r="X4701" s="6"/>
      <c r="Y4701" s="6"/>
    </row>
    <row r="4702" spans="1:25" ht="15" customHeight="1" x14ac:dyDescent="0.2">
      <c r="A4702" s="88" t="s">
        <v>5555</v>
      </c>
      <c r="B4702" s="90"/>
      <c r="C4702" s="88" t="s">
        <v>5751</v>
      </c>
      <c r="D4702" s="90"/>
      <c r="E4702" s="88" t="s">
        <v>5748</v>
      </c>
      <c r="F4702" s="89"/>
      <c r="G4702" s="89"/>
      <c r="H4702" s="89"/>
      <c r="I4702" s="90"/>
      <c r="J4702" s="88" t="s">
        <v>963</v>
      </c>
      <c r="K4702" s="89"/>
      <c r="L4702" s="89"/>
      <c r="M4702" s="90"/>
      <c r="N4702" s="88" t="s">
        <v>26</v>
      </c>
      <c r="O4702" s="89"/>
      <c r="P4702" s="90"/>
      <c r="Q4702" s="133">
        <v>2754</v>
      </c>
      <c r="R4702" s="134"/>
      <c r="S4702" s="5" t="s">
        <v>945</v>
      </c>
      <c r="T4702" s="8">
        <v>3555</v>
      </c>
      <c r="U4702" s="8">
        <v>2</v>
      </c>
      <c r="V4702" s="5" t="s">
        <v>106</v>
      </c>
      <c r="W4702" s="12">
        <v>6189877</v>
      </c>
      <c r="X4702" s="6"/>
      <c r="Y4702" s="6"/>
    </row>
    <row r="4703" spans="1:25" ht="15" customHeight="1" x14ac:dyDescent="0.2">
      <c r="A4703" s="88" t="s">
        <v>5555</v>
      </c>
      <c r="B4703" s="90"/>
      <c r="C4703" s="88" t="s">
        <v>5752</v>
      </c>
      <c r="D4703" s="90"/>
      <c r="E4703" s="88" t="s">
        <v>5753</v>
      </c>
      <c r="F4703" s="89"/>
      <c r="G4703" s="89"/>
      <c r="H4703" s="89"/>
      <c r="I4703" s="90"/>
      <c r="J4703" s="88" t="s">
        <v>3412</v>
      </c>
      <c r="K4703" s="89"/>
      <c r="L4703" s="89"/>
      <c r="M4703" s="90"/>
      <c r="N4703" s="88" t="s">
        <v>22</v>
      </c>
      <c r="O4703" s="89"/>
      <c r="P4703" s="90"/>
      <c r="Q4703" s="133">
        <v>4009</v>
      </c>
      <c r="R4703" s="134"/>
      <c r="S4703" s="5" t="s">
        <v>945</v>
      </c>
      <c r="T4703" s="8">
        <v>4595</v>
      </c>
      <c r="U4703" s="8">
        <v>3</v>
      </c>
      <c r="V4703" s="5" t="s">
        <v>106</v>
      </c>
      <c r="W4703" s="12">
        <v>7803717</v>
      </c>
      <c r="X4703" s="6"/>
      <c r="Y4703" s="6"/>
    </row>
    <row r="4704" spans="1:25" ht="15" customHeight="1" x14ac:dyDescent="0.2">
      <c r="A4704" s="88" t="s">
        <v>5555</v>
      </c>
      <c r="B4704" s="90"/>
      <c r="C4704" s="88" t="s">
        <v>5754</v>
      </c>
      <c r="D4704" s="90"/>
      <c r="E4704" s="88" t="s">
        <v>5750</v>
      </c>
      <c r="F4704" s="89"/>
      <c r="G4704" s="89"/>
      <c r="H4704" s="89"/>
      <c r="I4704" s="90"/>
      <c r="J4704" s="88" t="s">
        <v>963</v>
      </c>
      <c r="K4704" s="89"/>
      <c r="L4704" s="89"/>
      <c r="M4704" s="90"/>
      <c r="N4704" s="88" t="s">
        <v>26</v>
      </c>
      <c r="O4704" s="89"/>
      <c r="P4704" s="90"/>
      <c r="Q4704" s="133">
        <v>4104</v>
      </c>
      <c r="R4704" s="134"/>
      <c r="S4704" s="5" t="s">
        <v>945</v>
      </c>
      <c r="T4704" s="8">
        <v>5575</v>
      </c>
      <c r="U4704" s="8">
        <v>3</v>
      </c>
      <c r="V4704" s="5" t="s">
        <v>106</v>
      </c>
      <c r="W4704" s="12">
        <v>6096393</v>
      </c>
      <c r="X4704" s="6"/>
      <c r="Y4704" s="6"/>
    </row>
    <row r="4705" spans="1:25" ht="15" customHeight="1" x14ac:dyDescent="0.2">
      <c r="A4705" s="88" t="s">
        <v>5555</v>
      </c>
      <c r="B4705" s="90"/>
      <c r="C4705" s="88" t="s">
        <v>5755</v>
      </c>
      <c r="D4705" s="90"/>
      <c r="E4705" s="88" t="s">
        <v>5756</v>
      </c>
      <c r="F4705" s="89"/>
      <c r="G4705" s="89"/>
      <c r="H4705" s="89"/>
      <c r="I4705" s="90"/>
      <c r="J4705" s="88" t="s">
        <v>1718</v>
      </c>
      <c r="K4705" s="89"/>
      <c r="L4705" s="89"/>
      <c r="M4705" s="90"/>
      <c r="N4705" s="88" t="s">
        <v>26</v>
      </c>
      <c r="O4705" s="89"/>
      <c r="P4705" s="90"/>
      <c r="Q4705" s="133">
        <v>4009</v>
      </c>
      <c r="R4705" s="134"/>
      <c r="S4705" s="5" t="s">
        <v>945</v>
      </c>
      <c r="T4705" s="8">
        <v>5215</v>
      </c>
      <c r="U4705" s="8">
        <v>3</v>
      </c>
      <c r="V4705" s="5" t="s">
        <v>106</v>
      </c>
      <c r="W4705" s="12">
        <v>9138103</v>
      </c>
      <c r="X4705" s="6"/>
      <c r="Y4705" s="6"/>
    </row>
    <row r="4706" spans="1:25" ht="15" customHeight="1" x14ac:dyDescent="0.2">
      <c r="A4706" s="88" t="s">
        <v>5555</v>
      </c>
      <c r="B4706" s="90"/>
      <c r="C4706" s="88" t="s">
        <v>5755</v>
      </c>
      <c r="D4706" s="90"/>
      <c r="E4706" s="88" t="s">
        <v>5756</v>
      </c>
      <c r="F4706" s="89"/>
      <c r="G4706" s="89"/>
      <c r="H4706" s="89"/>
      <c r="I4706" s="90"/>
      <c r="J4706" s="88" t="s">
        <v>5757</v>
      </c>
      <c r="K4706" s="89"/>
      <c r="L4706" s="89"/>
      <c r="M4706" s="90"/>
      <c r="N4706" s="88" t="s">
        <v>22</v>
      </c>
      <c r="O4706" s="89"/>
      <c r="P4706" s="90"/>
      <c r="Q4706" s="133">
        <v>4009</v>
      </c>
      <c r="R4706" s="134"/>
      <c r="S4706" s="5" t="s">
        <v>945</v>
      </c>
      <c r="T4706" s="8">
        <v>5215</v>
      </c>
      <c r="U4706" s="8">
        <v>3</v>
      </c>
      <c r="V4706" s="5" t="s">
        <v>106</v>
      </c>
      <c r="W4706" s="12">
        <v>9225114</v>
      </c>
      <c r="X4706" s="6"/>
      <c r="Y4706" s="6"/>
    </row>
    <row r="4707" spans="1:25" ht="15" customHeight="1" x14ac:dyDescent="0.2">
      <c r="A4707" s="88" t="s">
        <v>5555</v>
      </c>
      <c r="B4707" s="90"/>
      <c r="C4707" s="88" t="s">
        <v>5755</v>
      </c>
      <c r="D4707" s="90"/>
      <c r="E4707" s="88" t="s">
        <v>5758</v>
      </c>
      <c r="F4707" s="89"/>
      <c r="G4707" s="89"/>
      <c r="H4707" s="89"/>
      <c r="I4707" s="90"/>
      <c r="J4707" s="88" t="s">
        <v>963</v>
      </c>
      <c r="K4707" s="89"/>
      <c r="L4707" s="89"/>
      <c r="M4707" s="90"/>
      <c r="N4707" s="88" t="s">
        <v>22</v>
      </c>
      <c r="O4707" s="89"/>
      <c r="P4707" s="90"/>
      <c r="Q4707" s="133">
        <v>4009</v>
      </c>
      <c r="R4707" s="134"/>
      <c r="S4707" s="5" t="s">
        <v>945</v>
      </c>
      <c r="T4707" s="8">
        <v>5115</v>
      </c>
      <c r="U4707" s="8">
        <v>3</v>
      </c>
      <c r="V4707" s="5" t="s">
        <v>106</v>
      </c>
      <c r="W4707" s="12">
        <v>8025532</v>
      </c>
      <c r="X4707" s="6"/>
      <c r="Y4707" s="6"/>
    </row>
    <row r="4708" spans="1:25" ht="15" customHeight="1" x14ac:dyDescent="0.2">
      <c r="A4708" s="88" t="s">
        <v>5555</v>
      </c>
      <c r="B4708" s="90"/>
      <c r="C4708" s="88" t="s">
        <v>5759</v>
      </c>
      <c r="D4708" s="90"/>
      <c r="E4708" s="88" t="s">
        <v>5746</v>
      </c>
      <c r="F4708" s="89"/>
      <c r="G4708" s="89"/>
      <c r="H4708" s="89"/>
      <c r="I4708" s="90"/>
      <c r="J4708" s="88" t="s">
        <v>1718</v>
      </c>
      <c r="K4708" s="89"/>
      <c r="L4708" s="89"/>
      <c r="M4708" s="90"/>
      <c r="N4708" s="88" t="s">
        <v>26</v>
      </c>
      <c r="O4708" s="89"/>
      <c r="P4708" s="90"/>
      <c r="Q4708" s="133">
        <v>4009</v>
      </c>
      <c r="R4708" s="134"/>
      <c r="S4708" s="5" t="s">
        <v>945</v>
      </c>
      <c r="T4708" s="8">
        <v>6025</v>
      </c>
      <c r="U4708" s="8">
        <v>3</v>
      </c>
      <c r="V4708" s="5" t="s">
        <v>106</v>
      </c>
      <c r="W4708" s="12">
        <v>9646358</v>
      </c>
      <c r="X4708" s="6"/>
      <c r="Y4708" s="6"/>
    </row>
    <row r="4709" spans="1:25" ht="15" customHeight="1" x14ac:dyDescent="0.2">
      <c r="A4709" s="88" t="s">
        <v>5555</v>
      </c>
      <c r="B4709" s="90"/>
      <c r="C4709" s="88" t="s">
        <v>5760</v>
      </c>
      <c r="D4709" s="90"/>
      <c r="E4709" s="88" t="s">
        <v>5761</v>
      </c>
      <c r="F4709" s="89"/>
      <c r="G4709" s="89"/>
      <c r="H4709" s="89"/>
      <c r="I4709" s="90"/>
      <c r="J4709" s="88" t="s">
        <v>963</v>
      </c>
      <c r="K4709" s="89"/>
      <c r="L4709" s="89"/>
      <c r="M4709" s="90"/>
      <c r="N4709" s="88" t="s">
        <v>26</v>
      </c>
      <c r="O4709" s="89"/>
      <c r="P4709" s="90"/>
      <c r="Q4709" s="133">
        <v>2992</v>
      </c>
      <c r="R4709" s="134"/>
      <c r="S4709" s="5" t="s">
        <v>814</v>
      </c>
      <c r="T4709" s="8">
        <v>3435</v>
      </c>
      <c r="U4709" s="8">
        <v>3</v>
      </c>
      <c r="V4709" s="5" t="s">
        <v>106</v>
      </c>
      <c r="W4709" s="12">
        <v>5180354</v>
      </c>
      <c r="X4709" s="6"/>
      <c r="Y4709" s="6"/>
    </row>
    <row r="4710" spans="1:25" ht="15" customHeight="1" x14ac:dyDescent="0.2">
      <c r="A4710" s="88" t="s">
        <v>5555</v>
      </c>
      <c r="B4710" s="90"/>
      <c r="C4710" s="88" t="s">
        <v>5762</v>
      </c>
      <c r="D4710" s="90"/>
      <c r="E4710" s="88" t="s">
        <v>5763</v>
      </c>
      <c r="F4710" s="89"/>
      <c r="G4710" s="89"/>
      <c r="H4710" s="89"/>
      <c r="I4710" s="90"/>
      <c r="J4710" s="88" t="s">
        <v>1718</v>
      </c>
      <c r="K4710" s="89"/>
      <c r="L4710" s="89"/>
      <c r="M4710" s="90"/>
      <c r="N4710" s="88" t="s">
        <v>22</v>
      </c>
      <c r="O4710" s="89"/>
      <c r="P4710" s="90"/>
      <c r="Q4710" s="133">
        <v>4009</v>
      </c>
      <c r="R4710" s="134"/>
      <c r="S4710" s="5" t="s">
        <v>945</v>
      </c>
      <c r="T4710" s="8">
        <v>6025</v>
      </c>
      <c r="U4710" s="8">
        <v>3</v>
      </c>
      <c r="V4710" s="5" t="s">
        <v>106</v>
      </c>
      <c r="W4710" s="12">
        <v>8986151</v>
      </c>
      <c r="X4710" s="6"/>
      <c r="Y4710" s="6"/>
    </row>
    <row r="4711" spans="1:25" ht="15" customHeight="1" x14ac:dyDescent="0.2">
      <c r="A4711" s="88" t="s">
        <v>5555</v>
      </c>
      <c r="B4711" s="90"/>
      <c r="C4711" s="88" t="s">
        <v>5764</v>
      </c>
      <c r="D4711" s="90"/>
      <c r="E4711" s="88" t="s">
        <v>5765</v>
      </c>
      <c r="F4711" s="89"/>
      <c r="G4711" s="89"/>
      <c r="H4711" s="89"/>
      <c r="I4711" s="90"/>
      <c r="J4711" s="88" t="s">
        <v>770</v>
      </c>
      <c r="K4711" s="89"/>
      <c r="L4711" s="89"/>
      <c r="M4711" s="90"/>
      <c r="N4711" s="88" t="s">
        <v>26</v>
      </c>
      <c r="O4711" s="89"/>
      <c r="P4711" s="90"/>
      <c r="Q4711" s="133">
        <v>1797</v>
      </c>
      <c r="R4711" s="134"/>
      <c r="S4711" s="5" t="s">
        <v>1101</v>
      </c>
      <c r="T4711" s="8">
        <v>2005</v>
      </c>
      <c r="U4711" s="8">
        <v>7</v>
      </c>
      <c r="V4711" s="5" t="s">
        <v>23</v>
      </c>
      <c r="W4711" s="12">
        <v>5365492</v>
      </c>
      <c r="X4711" s="6"/>
      <c r="Y4711" s="6"/>
    </row>
    <row r="4712" spans="1:25" ht="15" customHeight="1" x14ac:dyDescent="0.2">
      <c r="A4712" s="88" t="s">
        <v>5555</v>
      </c>
      <c r="B4712" s="90"/>
      <c r="C4712" s="88" t="s">
        <v>5764</v>
      </c>
      <c r="D4712" s="90"/>
      <c r="E4712" s="88" t="s">
        <v>5766</v>
      </c>
      <c r="F4712" s="89"/>
      <c r="G4712" s="89"/>
      <c r="H4712" s="89"/>
      <c r="I4712" s="90"/>
      <c r="J4712" s="88" t="s">
        <v>770</v>
      </c>
      <c r="K4712" s="89"/>
      <c r="L4712" s="89"/>
      <c r="M4712" s="90"/>
      <c r="N4712" s="88" t="s">
        <v>26</v>
      </c>
      <c r="O4712" s="89"/>
      <c r="P4712" s="90"/>
      <c r="Q4712" s="133">
        <v>1797</v>
      </c>
      <c r="R4712" s="134"/>
      <c r="S4712" s="5" t="s">
        <v>1101</v>
      </c>
      <c r="T4712" s="8">
        <v>2005</v>
      </c>
      <c r="U4712" s="8">
        <v>7</v>
      </c>
      <c r="V4712" s="5" t="s">
        <v>23</v>
      </c>
      <c r="W4712" s="12">
        <v>5431862</v>
      </c>
      <c r="X4712" s="6"/>
      <c r="Y4712" s="6"/>
    </row>
    <row r="4713" spans="1:25" ht="15" customHeight="1" x14ac:dyDescent="0.2">
      <c r="A4713" s="88" t="s">
        <v>5555</v>
      </c>
      <c r="B4713" s="90"/>
      <c r="C4713" s="88" t="s">
        <v>5767</v>
      </c>
      <c r="D4713" s="90"/>
      <c r="E4713" s="88" t="s">
        <v>5768</v>
      </c>
      <c r="F4713" s="89"/>
      <c r="G4713" s="89"/>
      <c r="H4713" s="89"/>
      <c r="I4713" s="90"/>
      <c r="J4713" s="88" t="s">
        <v>770</v>
      </c>
      <c r="K4713" s="89"/>
      <c r="L4713" s="89"/>
      <c r="M4713" s="90"/>
      <c r="N4713" s="88" t="s">
        <v>26</v>
      </c>
      <c r="O4713" s="89"/>
      <c r="P4713" s="90"/>
      <c r="Q4713" s="133">
        <v>1986</v>
      </c>
      <c r="R4713" s="134"/>
      <c r="S4713" s="5" t="s">
        <v>1101</v>
      </c>
      <c r="T4713" s="8">
        <v>2045</v>
      </c>
      <c r="U4713" s="8">
        <v>7</v>
      </c>
      <c r="V4713" s="5" t="s">
        <v>23</v>
      </c>
      <c r="W4713" s="12">
        <v>5547136</v>
      </c>
      <c r="X4713" s="6"/>
      <c r="Y4713" s="6"/>
    </row>
    <row r="4714" spans="1:25" ht="15" customHeight="1" x14ac:dyDescent="0.2">
      <c r="A4714" s="88" t="s">
        <v>5555</v>
      </c>
      <c r="B4714" s="90"/>
      <c r="C4714" s="88" t="s">
        <v>5769</v>
      </c>
      <c r="D4714" s="90"/>
      <c r="E4714" s="88" t="s">
        <v>5770</v>
      </c>
      <c r="F4714" s="89"/>
      <c r="G4714" s="89"/>
      <c r="H4714" s="89"/>
      <c r="I4714" s="90"/>
      <c r="J4714" s="88" t="s">
        <v>770</v>
      </c>
      <c r="K4714" s="89"/>
      <c r="L4714" s="89"/>
      <c r="M4714" s="90"/>
      <c r="N4714" s="88" t="s">
        <v>701</v>
      </c>
      <c r="O4714" s="89"/>
      <c r="P4714" s="90"/>
      <c r="Q4714" s="133">
        <v>2362</v>
      </c>
      <c r="R4714" s="134"/>
      <c r="S4714" s="5" t="s">
        <v>1101</v>
      </c>
      <c r="T4714" s="8">
        <v>2165</v>
      </c>
      <c r="U4714" s="8">
        <v>7</v>
      </c>
      <c r="V4714" s="5" t="s">
        <v>23</v>
      </c>
      <c r="W4714" s="12">
        <v>5702328</v>
      </c>
      <c r="X4714" s="6"/>
      <c r="Y4714" s="6"/>
    </row>
    <row r="4715" spans="1:25" ht="15" customHeight="1" x14ac:dyDescent="0.2">
      <c r="A4715" s="88" t="s">
        <v>5555</v>
      </c>
      <c r="B4715" s="90"/>
      <c r="C4715" s="88" t="s">
        <v>5769</v>
      </c>
      <c r="D4715" s="90"/>
      <c r="E4715" s="88" t="s">
        <v>5770</v>
      </c>
      <c r="F4715" s="89"/>
      <c r="G4715" s="89"/>
      <c r="H4715" s="89"/>
      <c r="I4715" s="90"/>
      <c r="J4715" s="88" t="s">
        <v>770</v>
      </c>
      <c r="K4715" s="89"/>
      <c r="L4715" s="89"/>
      <c r="M4715" s="90"/>
      <c r="N4715" s="88" t="s">
        <v>26</v>
      </c>
      <c r="O4715" s="89"/>
      <c r="P4715" s="90"/>
      <c r="Q4715" s="133">
        <v>2362</v>
      </c>
      <c r="R4715" s="134"/>
      <c r="S4715" s="5" t="s">
        <v>1101</v>
      </c>
      <c r="T4715" s="8">
        <v>2165</v>
      </c>
      <c r="U4715" s="8">
        <v>7</v>
      </c>
      <c r="V4715" s="5" t="s">
        <v>23</v>
      </c>
      <c r="W4715" s="12">
        <v>5684321</v>
      </c>
      <c r="X4715" s="6"/>
      <c r="Y4715" s="6"/>
    </row>
    <row r="4716" spans="1:25" ht="15" customHeight="1" x14ac:dyDescent="0.2">
      <c r="A4716" s="88" t="s">
        <v>5555</v>
      </c>
      <c r="B4716" s="90"/>
      <c r="C4716" s="88" t="s">
        <v>5771</v>
      </c>
      <c r="D4716" s="90"/>
      <c r="E4716" s="88" t="s">
        <v>5772</v>
      </c>
      <c r="F4716" s="89"/>
      <c r="G4716" s="89"/>
      <c r="H4716" s="89"/>
      <c r="I4716" s="90"/>
      <c r="J4716" s="88" t="s">
        <v>770</v>
      </c>
      <c r="K4716" s="89"/>
      <c r="L4716" s="89"/>
      <c r="M4716" s="90"/>
      <c r="N4716" s="88" t="s">
        <v>22</v>
      </c>
      <c r="O4716" s="89"/>
      <c r="P4716" s="90"/>
      <c r="Q4716" s="133">
        <v>2362</v>
      </c>
      <c r="R4716" s="134"/>
      <c r="S4716" s="5" t="s">
        <v>1101</v>
      </c>
      <c r="T4716" s="8">
        <v>2405</v>
      </c>
      <c r="U4716" s="8">
        <v>7</v>
      </c>
      <c r="V4716" s="5" t="s">
        <v>23</v>
      </c>
      <c r="W4716" s="12">
        <v>7546969</v>
      </c>
      <c r="X4716" s="6"/>
      <c r="Y4716" s="6"/>
    </row>
    <row r="4717" spans="1:25" ht="15" customHeight="1" x14ac:dyDescent="0.2">
      <c r="A4717" s="88" t="s">
        <v>5555</v>
      </c>
      <c r="B4717" s="90"/>
      <c r="C4717" s="88" t="s">
        <v>5773</v>
      </c>
      <c r="D4717" s="90"/>
      <c r="E4717" s="88" t="s">
        <v>5774</v>
      </c>
      <c r="F4717" s="89"/>
      <c r="G4717" s="89"/>
      <c r="H4717" s="89"/>
      <c r="I4717" s="90"/>
      <c r="J4717" s="88" t="s">
        <v>770</v>
      </c>
      <c r="K4717" s="89"/>
      <c r="L4717" s="89"/>
      <c r="M4717" s="90"/>
      <c r="N4717" s="88" t="s">
        <v>701</v>
      </c>
      <c r="O4717" s="89"/>
      <c r="P4717" s="90"/>
      <c r="Q4717" s="133">
        <v>2362</v>
      </c>
      <c r="R4717" s="134"/>
      <c r="S4717" s="5" t="s">
        <v>1101</v>
      </c>
      <c r="T4717" s="8">
        <v>2375</v>
      </c>
      <c r="U4717" s="8">
        <v>7</v>
      </c>
      <c r="V4717" s="5" t="s">
        <v>23</v>
      </c>
      <c r="W4717" s="12">
        <v>7996002</v>
      </c>
      <c r="X4717" s="6"/>
      <c r="Y4717" s="6"/>
    </row>
    <row r="4718" spans="1:25" ht="15" customHeight="1" x14ac:dyDescent="0.2">
      <c r="A4718" s="88" t="s">
        <v>5555</v>
      </c>
      <c r="B4718" s="90"/>
      <c r="C4718" s="88" t="s">
        <v>5773</v>
      </c>
      <c r="D4718" s="90"/>
      <c r="E4718" s="88" t="s">
        <v>5775</v>
      </c>
      <c r="F4718" s="89"/>
      <c r="G4718" s="89"/>
      <c r="H4718" s="89"/>
      <c r="I4718" s="90"/>
      <c r="J4718" s="88" t="s">
        <v>770</v>
      </c>
      <c r="K4718" s="89"/>
      <c r="L4718" s="89"/>
      <c r="M4718" s="90"/>
      <c r="N4718" s="88" t="s">
        <v>22</v>
      </c>
      <c r="O4718" s="89"/>
      <c r="P4718" s="90"/>
      <c r="Q4718" s="133">
        <v>2362</v>
      </c>
      <c r="R4718" s="134"/>
      <c r="S4718" s="5" t="s">
        <v>1101</v>
      </c>
      <c r="T4718" s="8">
        <v>2375</v>
      </c>
      <c r="U4718" s="8">
        <v>7</v>
      </c>
      <c r="V4718" s="5" t="s">
        <v>23</v>
      </c>
      <c r="W4718" s="12">
        <v>7970751</v>
      </c>
      <c r="X4718" s="6"/>
      <c r="Y4718" s="6"/>
    </row>
    <row r="4719" spans="1:25" ht="15" customHeight="1" x14ac:dyDescent="0.2">
      <c r="A4719" s="88" t="s">
        <v>5555</v>
      </c>
      <c r="B4719" s="90"/>
      <c r="C4719" s="88" t="s">
        <v>5776</v>
      </c>
      <c r="D4719" s="90"/>
      <c r="E4719" s="88" t="s">
        <v>5777</v>
      </c>
      <c r="F4719" s="89"/>
      <c r="G4719" s="89"/>
      <c r="H4719" s="89"/>
      <c r="I4719" s="90"/>
      <c r="J4719" s="88" t="s">
        <v>2258</v>
      </c>
      <c r="K4719" s="89"/>
      <c r="L4719" s="89"/>
      <c r="M4719" s="90"/>
      <c r="N4719" s="88" t="s">
        <v>701</v>
      </c>
      <c r="O4719" s="89"/>
      <c r="P4719" s="90"/>
      <c r="Q4719" s="133">
        <v>3994</v>
      </c>
      <c r="R4719" s="134"/>
      <c r="S4719" s="5" t="s">
        <v>16</v>
      </c>
      <c r="T4719" s="8">
        <v>2215</v>
      </c>
      <c r="U4719" s="8">
        <v>5</v>
      </c>
      <c r="V4719" s="5" t="s">
        <v>23</v>
      </c>
      <c r="W4719" s="12">
        <v>5857060</v>
      </c>
      <c r="X4719" s="6"/>
      <c r="Y4719" s="6"/>
    </row>
    <row r="4720" spans="1:25" ht="15" customHeight="1" x14ac:dyDescent="0.2">
      <c r="A4720" s="88" t="s">
        <v>5555</v>
      </c>
      <c r="B4720" s="90"/>
      <c r="C4720" s="88" t="s">
        <v>5778</v>
      </c>
      <c r="D4720" s="90"/>
      <c r="E4720" s="88" t="s">
        <v>5779</v>
      </c>
      <c r="F4720" s="89"/>
      <c r="G4720" s="89"/>
      <c r="H4720" s="89"/>
      <c r="I4720" s="90"/>
      <c r="J4720" s="88" t="s">
        <v>599</v>
      </c>
      <c r="K4720" s="89"/>
      <c r="L4720" s="89"/>
      <c r="M4720" s="90"/>
      <c r="N4720" s="88" t="s">
        <v>22</v>
      </c>
      <c r="O4720" s="89"/>
      <c r="P4720" s="90"/>
      <c r="Q4720" s="133">
        <v>2800</v>
      </c>
      <c r="R4720" s="134"/>
      <c r="S4720" s="5" t="s">
        <v>2633</v>
      </c>
      <c r="T4720" s="6"/>
      <c r="U4720" s="6"/>
      <c r="V4720" s="5" t="s">
        <v>106</v>
      </c>
      <c r="W4720" s="12">
        <v>7529000</v>
      </c>
      <c r="X4720" s="6"/>
      <c r="Y4720" s="6"/>
    </row>
    <row r="4721" spans="1:25" ht="15" customHeight="1" x14ac:dyDescent="0.2">
      <c r="A4721" s="88" t="s">
        <v>5555</v>
      </c>
      <c r="B4721" s="90"/>
      <c r="C4721" s="88" t="s">
        <v>5780</v>
      </c>
      <c r="D4721" s="90"/>
      <c r="E4721" s="88" t="s">
        <v>5781</v>
      </c>
      <c r="F4721" s="89"/>
      <c r="G4721" s="89"/>
      <c r="H4721" s="89"/>
      <c r="I4721" s="90"/>
      <c r="J4721" s="88" t="s">
        <v>2179</v>
      </c>
      <c r="K4721" s="89"/>
      <c r="L4721" s="89"/>
      <c r="M4721" s="90"/>
      <c r="N4721" s="88" t="s">
        <v>22</v>
      </c>
      <c r="O4721" s="89"/>
      <c r="P4721" s="90"/>
      <c r="Q4721" s="133">
        <v>2800</v>
      </c>
      <c r="R4721" s="134"/>
      <c r="S4721" s="5" t="s">
        <v>2633</v>
      </c>
      <c r="T4721" s="6"/>
      <c r="U4721" s="6"/>
      <c r="V4721" s="5" t="s">
        <v>106</v>
      </c>
      <c r="W4721" s="12">
        <v>7592000</v>
      </c>
      <c r="X4721" s="6"/>
      <c r="Y4721" s="6"/>
    </row>
    <row r="4722" spans="1:25" ht="15" customHeight="1" x14ac:dyDescent="0.2">
      <c r="A4722" s="88" t="s">
        <v>5555</v>
      </c>
      <c r="B4722" s="90"/>
      <c r="C4722" s="88" t="s">
        <v>5782</v>
      </c>
      <c r="D4722" s="90"/>
      <c r="E4722" s="88" t="s">
        <v>5783</v>
      </c>
      <c r="F4722" s="89"/>
      <c r="G4722" s="89"/>
      <c r="H4722" s="89"/>
      <c r="I4722" s="90"/>
      <c r="J4722" s="88" t="s">
        <v>2179</v>
      </c>
      <c r="K4722" s="89"/>
      <c r="L4722" s="89"/>
      <c r="M4722" s="90"/>
      <c r="N4722" s="88" t="s">
        <v>22</v>
      </c>
      <c r="O4722" s="89"/>
      <c r="P4722" s="90"/>
      <c r="Q4722" s="133">
        <v>2800</v>
      </c>
      <c r="R4722" s="134"/>
      <c r="S4722" s="5" t="s">
        <v>2633</v>
      </c>
      <c r="T4722" s="6"/>
      <c r="U4722" s="6"/>
      <c r="V4722" s="5" t="s">
        <v>106</v>
      </c>
      <c r="W4722" s="12">
        <v>7592000</v>
      </c>
      <c r="X4722" s="6"/>
      <c r="Y4722" s="6"/>
    </row>
    <row r="4723" spans="1:25" ht="15" customHeight="1" x14ac:dyDescent="0.2">
      <c r="A4723" s="88" t="s">
        <v>5555</v>
      </c>
      <c r="B4723" s="90"/>
      <c r="C4723" s="88" t="s">
        <v>5784</v>
      </c>
      <c r="D4723" s="90"/>
      <c r="E4723" s="88" t="s">
        <v>5785</v>
      </c>
      <c r="F4723" s="89"/>
      <c r="G4723" s="89"/>
      <c r="H4723" s="89"/>
      <c r="I4723" s="90"/>
      <c r="J4723" s="88" t="s">
        <v>599</v>
      </c>
      <c r="K4723" s="89"/>
      <c r="L4723" s="89"/>
      <c r="M4723" s="90"/>
      <c r="N4723" s="88" t="s">
        <v>22</v>
      </c>
      <c r="O4723" s="89"/>
      <c r="P4723" s="90"/>
      <c r="Q4723" s="133">
        <v>1618</v>
      </c>
      <c r="R4723" s="134"/>
      <c r="S4723" s="5" t="s">
        <v>27</v>
      </c>
      <c r="T4723" s="8">
        <v>1745</v>
      </c>
      <c r="U4723" s="8">
        <v>5</v>
      </c>
      <c r="V4723" s="5" t="s">
        <v>23</v>
      </c>
      <c r="W4723" s="12">
        <v>9169542</v>
      </c>
      <c r="X4723" s="6"/>
      <c r="Y4723" s="6"/>
    </row>
    <row r="4724" spans="1:25" ht="15" customHeight="1" x14ac:dyDescent="0.2">
      <c r="A4724" s="88" t="s">
        <v>5555</v>
      </c>
      <c r="B4724" s="90"/>
      <c r="C4724" s="88" t="s">
        <v>5786</v>
      </c>
      <c r="D4724" s="90"/>
      <c r="E4724" s="88" t="s">
        <v>5787</v>
      </c>
      <c r="F4724" s="89"/>
      <c r="G4724" s="89"/>
      <c r="H4724" s="89"/>
      <c r="I4724" s="90"/>
      <c r="J4724" s="88" t="s">
        <v>1718</v>
      </c>
      <c r="K4724" s="89"/>
      <c r="L4724" s="89"/>
      <c r="M4724" s="90"/>
      <c r="N4724" s="88" t="s">
        <v>26</v>
      </c>
      <c r="O4724" s="89"/>
      <c r="P4724" s="90"/>
      <c r="Q4724" s="133">
        <v>2387</v>
      </c>
      <c r="R4724" s="134"/>
      <c r="S4724" s="5" t="s">
        <v>27</v>
      </c>
      <c r="T4724" s="8">
        <v>1490</v>
      </c>
      <c r="U4724" s="8">
        <v>4</v>
      </c>
      <c r="V4724" s="5" t="s">
        <v>23</v>
      </c>
      <c r="W4724" s="12">
        <v>6071110</v>
      </c>
      <c r="X4724" s="6"/>
      <c r="Y4724" s="6"/>
    </row>
    <row r="4725" spans="1:25" ht="15" customHeight="1" x14ac:dyDescent="0.2">
      <c r="A4725" s="88" t="s">
        <v>5555</v>
      </c>
      <c r="B4725" s="90"/>
      <c r="C4725" s="88" t="s">
        <v>5786</v>
      </c>
      <c r="D4725" s="90"/>
      <c r="E4725" s="88" t="s">
        <v>5788</v>
      </c>
      <c r="F4725" s="89"/>
      <c r="G4725" s="89"/>
      <c r="H4725" s="89"/>
      <c r="I4725" s="90"/>
      <c r="J4725" s="88" t="s">
        <v>1718</v>
      </c>
      <c r="K4725" s="89"/>
      <c r="L4725" s="89"/>
      <c r="M4725" s="90"/>
      <c r="N4725" s="88" t="s">
        <v>26</v>
      </c>
      <c r="O4725" s="89"/>
      <c r="P4725" s="90"/>
      <c r="Q4725" s="133">
        <v>2387</v>
      </c>
      <c r="R4725" s="134"/>
      <c r="S4725" s="5" t="s">
        <v>27</v>
      </c>
      <c r="T4725" s="8">
        <v>1490</v>
      </c>
      <c r="U4725" s="8">
        <v>4</v>
      </c>
      <c r="V4725" s="5" t="s">
        <v>23</v>
      </c>
      <c r="W4725" s="12">
        <v>5849294</v>
      </c>
      <c r="X4725" s="6"/>
      <c r="Y4725" s="6"/>
    </row>
    <row r="4726" spans="1:25" ht="15" customHeight="1" x14ac:dyDescent="0.2">
      <c r="A4726" s="88" t="s">
        <v>5555</v>
      </c>
      <c r="B4726" s="90"/>
      <c r="C4726" s="88" t="s">
        <v>5789</v>
      </c>
      <c r="D4726" s="90"/>
      <c r="E4726" s="88" t="s">
        <v>5790</v>
      </c>
      <c r="F4726" s="89"/>
      <c r="G4726" s="89"/>
      <c r="H4726" s="89"/>
      <c r="I4726" s="90"/>
      <c r="J4726" s="88" t="s">
        <v>770</v>
      </c>
      <c r="K4726" s="89"/>
      <c r="L4726" s="89"/>
      <c r="M4726" s="90"/>
      <c r="N4726" s="88" t="s">
        <v>26</v>
      </c>
      <c r="O4726" s="89"/>
      <c r="P4726" s="90"/>
      <c r="Q4726" s="133">
        <v>2997</v>
      </c>
      <c r="R4726" s="134"/>
      <c r="S4726" s="5" t="s">
        <v>27</v>
      </c>
      <c r="T4726" s="8">
        <v>1640</v>
      </c>
      <c r="U4726" s="8">
        <v>5</v>
      </c>
      <c r="V4726" s="5" t="s">
        <v>23</v>
      </c>
      <c r="W4726" s="12">
        <v>12772735</v>
      </c>
      <c r="X4726" s="6"/>
      <c r="Y4726" s="6"/>
    </row>
    <row r="4727" spans="1:25" ht="15" customHeight="1" x14ac:dyDescent="0.2">
      <c r="A4727" s="88" t="s">
        <v>5555</v>
      </c>
      <c r="B4727" s="90"/>
      <c r="C4727" s="88" t="s">
        <v>5791</v>
      </c>
      <c r="D4727" s="90"/>
      <c r="E4727" s="88" t="s">
        <v>5792</v>
      </c>
      <c r="F4727" s="89"/>
      <c r="G4727" s="89"/>
      <c r="H4727" s="89"/>
      <c r="I4727" s="90"/>
      <c r="J4727" s="88" t="s">
        <v>599</v>
      </c>
      <c r="K4727" s="89"/>
      <c r="L4727" s="89"/>
      <c r="M4727" s="90"/>
      <c r="N4727" s="88" t="s">
        <v>22</v>
      </c>
      <c r="O4727" s="89"/>
      <c r="P4727" s="90"/>
      <c r="Q4727" s="133">
        <v>1618</v>
      </c>
      <c r="R4727" s="134"/>
      <c r="S4727" s="5" t="s">
        <v>27</v>
      </c>
      <c r="T4727" s="8">
        <v>1500</v>
      </c>
      <c r="U4727" s="8">
        <v>4</v>
      </c>
      <c r="V4727" s="5" t="s">
        <v>23</v>
      </c>
      <c r="W4727" s="12">
        <v>7964402</v>
      </c>
      <c r="X4727" s="6"/>
      <c r="Y4727" s="6"/>
    </row>
    <row r="4728" spans="1:25" ht="15" customHeight="1" x14ac:dyDescent="0.2">
      <c r="A4728" s="88" t="s">
        <v>5555</v>
      </c>
      <c r="B4728" s="90"/>
      <c r="C4728" s="88" t="s">
        <v>5791</v>
      </c>
      <c r="D4728" s="90"/>
      <c r="E4728" s="88" t="s">
        <v>5793</v>
      </c>
      <c r="F4728" s="89"/>
      <c r="G4728" s="89"/>
      <c r="H4728" s="89"/>
      <c r="I4728" s="90"/>
      <c r="J4728" s="88" t="s">
        <v>1718</v>
      </c>
      <c r="K4728" s="89"/>
      <c r="L4728" s="89"/>
      <c r="M4728" s="90"/>
      <c r="N4728" s="88" t="s">
        <v>26</v>
      </c>
      <c r="O4728" s="89"/>
      <c r="P4728" s="90"/>
      <c r="Q4728" s="133">
        <v>1618</v>
      </c>
      <c r="R4728" s="134"/>
      <c r="S4728" s="5" t="s">
        <v>27</v>
      </c>
      <c r="T4728" s="8">
        <v>1500</v>
      </c>
      <c r="U4728" s="8">
        <v>4</v>
      </c>
      <c r="V4728" s="5" t="s">
        <v>23</v>
      </c>
      <c r="W4728" s="12">
        <v>7645826</v>
      </c>
      <c r="X4728" s="6"/>
      <c r="Y4728" s="6"/>
    </row>
    <row r="4729" spans="1:25" ht="15" customHeight="1" x14ac:dyDescent="0.2">
      <c r="A4729" s="88" t="s">
        <v>5555</v>
      </c>
      <c r="B4729" s="90"/>
      <c r="C4729" s="88" t="s">
        <v>5791</v>
      </c>
      <c r="D4729" s="90"/>
      <c r="E4729" s="88" t="s">
        <v>5792</v>
      </c>
      <c r="F4729" s="89"/>
      <c r="G4729" s="89"/>
      <c r="H4729" s="89"/>
      <c r="I4729" s="90"/>
      <c r="J4729" s="88" t="s">
        <v>963</v>
      </c>
      <c r="K4729" s="89"/>
      <c r="L4729" s="89"/>
      <c r="M4729" s="90"/>
      <c r="N4729" s="88" t="s">
        <v>26</v>
      </c>
      <c r="O4729" s="89"/>
      <c r="P4729" s="90"/>
      <c r="Q4729" s="133">
        <v>1618</v>
      </c>
      <c r="R4729" s="134"/>
      <c r="S4729" s="5" t="s">
        <v>27</v>
      </c>
      <c r="T4729" s="8">
        <v>1500</v>
      </c>
      <c r="U4729" s="8">
        <v>4</v>
      </c>
      <c r="V4729" s="5" t="s">
        <v>23</v>
      </c>
      <c r="W4729" s="12">
        <v>7240366</v>
      </c>
      <c r="X4729" s="6"/>
      <c r="Y4729" s="6"/>
    </row>
    <row r="4730" spans="1:25" ht="15" customHeight="1" x14ac:dyDescent="0.2">
      <c r="A4730" s="88" t="s">
        <v>5555</v>
      </c>
      <c r="B4730" s="90"/>
      <c r="C4730" s="88" t="s">
        <v>5794</v>
      </c>
      <c r="D4730" s="90"/>
      <c r="E4730" s="88" t="s">
        <v>5792</v>
      </c>
      <c r="F4730" s="89"/>
      <c r="G4730" s="89"/>
      <c r="H4730" s="89"/>
      <c r="I4730" s="90"/>
      <c r="J4730" s="88" t="s">
        <v>770</v>
      </c>
      <c r="K4730" s="89"/>
      <c r="L4730" s="89"/>
      <c r="M4730" s="90"/>
      <c r="N4730" s="88" t="s">
        <v>26</v>
      </c>
      <c r="O4730" s="89"/>
      <c r="P4730" s="90"/>
      <c r="Q4730" s="133">
        <v>1618</v>
      </c>
      <c r="R4730" s="134"/>
      <c r="S4730" s="5" t="s">
        <v>27</v>
      </c>
      <c r="T4730" s="8">
        <v>1500</v>
      </c>
      <c r="U4730" s="8">
        <v>5</v>
      </c>
      <c r="V4730" s="5" t="s">
        <v>23</v>
      </c>
      <c r="W4730" s="12">
        <v>7964402</v>
      </c>
      <c r="X4730" s="6"/>
      <c r="Y4730" s="6"/>
    </row>
    <row r="4731" spans="1:25" ht="15" customHeight="1" x14ac:dyDescent="0.2">
      <c r="A4731" s="88" t="s">
        <v>5555</v>
      </c>
      <c r="B4731" s="90"/>
      <c r="C4731" s="88" t="s">
        <v>5795</v>
      </c>
      <c r="D4731" s="90"/>
      <c r="E4731" s="88" t="s">
        <v>5796</v>
      </c>
      <c r="F4731" s="89"/>
      <c r="G4731" s="89"/>
      <c r="H4731" s="89"/>
      <c r="I4731" s="90"/>
      <c r="J4731" s="88" t="s">
        <v>770</v>
      </c>
      <c r="K4731" s="89"/>
      <c r="L4731" s="89"/>
      <c r="M4731" s="90"/>
      <c r="N4731" s="88" t="s">
        <v>26</v>
      </c>
      <c r="O4731" s="89"/>
      <c r="P4731" s="90"/>
      <c r="Q4731" s="133">
        <v>2387</v>
      </c>
      <c r="R4731" s="134"/>
      <c r="S4731" s="5" t="s">
        <v>271</v>
      </c>
      <c r="T4731" s="8">
        <v>1490</v>
      </c>
      <c r="U4731" s="8">
        <v>5</v>
      </c>
      <c r="V4731" s="5" t="s">
        <v>23</v>
      </c>
      <c r="W4731" s="12">
        <v>5849294</v>
      </c>
      <c r="X4731" s="6"/>
      <c r="Y4731" s="6"/>
    </row>
    <row r="4732" spans="1:25" ht="15" customHeight="1" x14ac:dyDescent="0.2">
      <c r="A4732" s="88" t="s">
        <v>5555</v>
      </c>
      <c r="B4732" s="90"/>
      <c r="C4732" s="88" t="s">
        <v>5797</v>
      </c>
      <c r="D4732" s="90"/>
      <c r="E4732" s="88" t="s">
        <v>5798</v>
      </c>
      <c r="F4732" s="89"/>
      <c r="G4732" s="89"/>
      <c r="H4732" s="89"/>
      <c r="I4732" s="90"/>
      <c r="J4732" s="88" t="s">
        <v>2258</v>
      </c>
      <c r="K4732" s="89"/>
      <c r="L4732" s="89"/>
      <c r="M4732" s="90"/>
      <c r="N4732" s="88" t="s">
        <v>26</v>
      </c>
      <c r="O4732" s="89"/>
      <c r="P4732" s="90"/>
      <c r="Q4732" s="133">
        <v>2754</v>
      </c>
      <c r="R4732" s="134"/>
      <c r="S4732" s="5" t="s">
        <v>1101</v>
      </c>
      <c r="T4732" s="8">
        <v>3210</v>
      </c>
      <c r="U4732" s="8">
        <v>5</v>
      </c>
      <c r="V4732" s="5" t="s">
        <v>106</v>
      </c>
      <c r="W4732" s="12">
        <v>16033599</v>
      </c>
      <c r="X4732" s="6"/>
      <c r="Y4732" s="6"/>
    </row>
    <row r="4733" spans="1:25" ht="15" customHeight="1" x14ac:dyDescent="0.2">
      <c r="A4733" s="88" t="s">
        <v>5555</v>
      </c>
      <c r="B4733" s="90"/>
      <c r="C4733" s="88" t="s">
        <v>5799</v>
      </c>
      <c r="D4733" s="90"/>
      <c r="E4733" s="88" t="s">
        <v>5800</v>
      </c>
      <c r="F4733" s="89"/>
      <c r="G4733" s="89"/>
      <c r="H4733" s="89"/>
      <c r="I4733" s="90"/>
      <c r="J4733" s="88" t="s">
        <v>770</v>
      </c>
      <c r="K4733" s="89"/>
      <c r="L4733" s="89"/>
      <c r="M4733" s="90"/>
      <c r="N4733" s="88" t="s">
        <v>26</v>
      </c>
      <c r="O4733" s="89"/>
      <c r="P4733" s="90"/>
      <c r="Q4733" s="133">
        <v>2754</v>
      </c>
      <c r="R4733" s="134"/>
      <c r="S4733" s="5" t="s">
        <v>1101</v>
      </c>
      <c r="T4733" s="8">
        <v>3070</v>
      </c>
      <c r="U4733" s="8">
        <v>6</v>
      </c>
      <c r="V4733" s="5" t="s">
        <v>106</v>
      </c>
      <c r="W4733" s="12">
        <v>12260987</v>
      </c>
      <c r="X4733" s="6"/>
      <c r="Y4733" s="6"/>
    </row>
    <row r="4734" spans="1:25" ht="15" customHeight="1" x14ac:dyDescent="0.2">
      <c r="A4734" s="88" t="s">
        <v>5555</v>
      </c>
      <c r="B4734" s="90"/>
      <c r="C4734" s="88" t="s">
        <v>5799</v>
      </c>
      <c r="D4734" s="90"/>
      <c r="E4734" s="88" t="s">
        <v>5800</v>
      </c>
      <c r="F4734" s="89"/>
      <c r="G4734" s="89"/>
      <c r="H4734" s="89"/>
      <c r="I4734" s="90"/>
      <c r="J4734" s="88" t="s">
        <v>2179</v>
      </c>
      <c r="K4734" s="89"/>
      <c r="L4734" s="89"/>
      <c r="M4734" s="90"/>
      <c r="N4734" s="88" t="s">
        <v>26</v>
      </c>
      <c r="O4734" s="89"/>
      <c r="P4734" s="90"/>
      <c r="Q4734" s="133">
        <v>2754</v>
      </c>
      <c r="R4734" s="134"/>
      <c r="S4734" s="5" t="s">
        <v>1101</v>
      </c>
      <c r="T4734" s="8">
        <v>3070</v>
      </c>
      <c r="U4734" s="8">
        <v>6</v>
      </c>
      <c r="V4734" s="5" t="s">
        <v>106</v>
      </c>
      <c r="W4734" s="12">
        <v>12677861</v>
      </c>
      <c r="X4734" s="6"/>
      <c r="Y4734" s="6"/>
    </row>
    <row r="4735" spans="1:25" ht="15" customHeight="1" x14ac:dyDescent="0.2">
      <c r="A4735" s="88" t="s">
        <v>5555</v>
      </c>
      <c r="B4735" s="90"/>
      <c r="C4735" s="88" t="s">
        <v>5801</v>
      </c>
      <c r="D4735" s="90"/>
      <c r="E4735" s="88" t="s">
        <v>5802</v>
      </c>
      <c r="F4735" s="89"/>
      <c r="G4735" s="89"/>
      <c r="H4735" s="89"/>
      <c r="I4735" s="90"/>
      <c r="J4735" s="88" t="s">
        <v>2179</v>
      </c>
      <c r="K4735" s="89"/>
      <c r="L4735" s="89"/>
      <c r="M4735" s="90"/>
      <c r="N4735" s="88" t="s">
        <v>26</v>
      </c>
      <c r="O4735" s="89"/>
      <c r="P4735" s="90"/>
      <c r="Q4735" s="133">
        <v>1998</v>
      </c>
      <c r="R4735" s="134"/>
      <c r="S4735" s="5" t="s">
        <v>16</v>
      </c>
      <c r="T4735" s="8">
        <v>1975</v>
      </c>
      <c r="U4735" s="8">
        <v>5</v>
      </c>
      <c r="V4735" s="5" t="s">
        <v>23</v>
      </c>
      <c r="W4735" s="12">
        <v>7084126</v>
      </c>
      <c r="X4735" s="6"/>
      <c r="Y4735" s="6"/>
    </row>
    <row r="4736" spans="1:25" ht="15" customHeight="1" x14ac:dyDescent="0.2">
      <c r="A4736" s="88" t="s">
        <v>5555</v>
      </c>
      <c r="B4736" s="90"/>
      <c r="C4736" s="88" t="s">
        <v>5803</v>
      </c>
      <c r="D4736" s="90"/>
      <c r="E4736" s="88" t="s">
        <v>5804</v>
      </c>
      <c r="F4736" s="89"/>
      <c r="G4736" s="89"/>
      <c r="H4736" s="89"/>
      <c r="I4736" s="90"/>
      <c r="J4736" s="88" t="s">
        <v>770</v>
      </c>
      <c r="K4736" s="89"/>
      <c r="L4736" s="89"/>
      <c r="M4736" s="90"/>
      <c r="N4736" s="88" t="s">
        <v>22</v>
      </c>
      <c r="O4736" s="89"/>
      <c r="P4736" s="90"/>
      <c r="Q4736" s="133">
        <v>2487</v>
      </c>
      <c r="R4736" s="134"/>
      <c r="S4736" s="5" t="s">
        <v>16</v>
      </c>
      <c r="T4736" s="8">
        <v>2225</v>
      </c>
      <c r="U4736" s="8">
        <v>5</v>
      </c>
      <c r="V4736" s="5" t="s">
        <v>23</v>
      </c>
      <c r="W4736" s="12">
        <v>10828792</v>
      </c>
      <c r="X4736" s="6"/>
      <c r="Y4736" s="6"/>
    </row>
    <row r="4737" spans="1:25" ht="15" customHeight="1" x14ac:dyDescent="0.2">
      <c r="A4737" s="88" t="s">
        <v>5555</v>
      </c>
      <c r="B4737" s="90"/>
      <c r="C4737" s="88" t="s">
        <v>5803</v>
      </c>
      <c r="D4737" s="90"/>
      <c r="E4737" s="88" t="s">
        <v>5805</v>
      </c>
      <c r="F4737" s="89"/>
      <c r="G4737" s="89"/>
      <c r="H4737" s="89"/>
      <c r="I4737" s="90"/>
      <c r="J4737" s="88" t="s">
        <v>770</v>
      </c>
      <c r="K4737" s="89"/>
      <c r="L4737" s="89"/>
      <c r="M4737" s="90"/>
      <c r="N4737" s="88" t="s">
        <v>26</v>
      </c>
      <c r="O4737" s="89"/>
      <c r="P4737" s="90"/>
      <c r="Q4737" s="133">
        <v>2487</v>
      </c>
      <c r="R4737" s="134"/>
      <c r="S4737" s="5" t="s">
        <v>16</v>
      </c>
      <c r="T4737" s="8">
        <v>2225</v>
      </c>
      <c r="U4737" s="8">
        <v>5</v>
      </c>
      <c r="V4737" s="5" t="s">
        <v>23</v>
      </c>
      <c r="W4737" s="12">
        <v>10828792</v>
      </c>
      <c r="X4737" s="6"/>
      <c r="Y4737" s="6"/>
    </row>
    <row r="4738" spans="1:25" ht="15" customHeight="1" x14ac:dyDescent="0.2">
      <c r="A4738" s="88" t="s">
        <v>5555</v>
      </c>
      <c r="B4738" s="90"/>
      <c r="C4738" s="88" t="s">
        <v>5806</v>
      </c>
      <c r="D4738" s="90"/>
      <c r="E4738" s="88" t="s">
        <v>5802</v>
      </c>
      <c r="F4738" s="89"/>
      <c r="G4738" s="89"/>
      <c r="H4738" s="89"/>
      <c r="I4738" s="90"/>
      <c r="J4738" s="88" t="s">
        <v>2179</v>
      </c>
      <c r="K4738" s="89"/>
      <c r="L4738" s="89"/>
      <c r="M4738" s="90"/>
      <c r="N4738" s="88" t="s">
        <v>26</v>
      </c>
      <c r="O4738" s="89"/>
      <c r="P4738" s="90"/>
      <c r="Q4738" s="133">
        <v>1996</v>
      </c>
      <c r="R4738" s="134"/>
      <c r="S4738" s="5" t="s">
        <v>16</v>
      </c>
      <c r="T4738" s="8">
        <v>1975</v>
      </c>
      <c r="U4738" s="8">
        <v>5</v>
      </c>
      <c r="V4738" s="5" t="s">
        <v>23</v>
      </c>
      <c r="W4738" s="12">
        <v>7106567</v>
      </c>
      <c r="X4738" s="6"/>
      <c r="Y4738" s="6"/>
    </row>
    <row r="4739" spans="1:25" ht="15" customHeight="1" x14ac:dyDescent="0.2">
      <c r="A4739" s="88" t="s">
        <v>5555</v>
      </c>
      <c r="B4739" s="90"/>
      <c r="C4739" s="88" t="s">
        <v>5807</v>
      </c>
      <c r="D4739" s="90"/>
      <c r="E4739" s="88" t="s">
        <v>5808</v>
      </c>
      <c r="F4739" s="89"/>
      <c r="G4739" s="89"/>
      <c r="H4739" s="89"/>
      <c r="I4739" s="90"/>
      <c r="J4739" s="88" t="s">
        <v>770</v>
      </c>
      <c r="K4739" s="89"/>
      <c r="L4739" s="89"/>
      <c r="M4739" s="90"/>
      <c r="N4739" s="88" t="s">
        <v>26</v>
      </c>
      <c r="O4739" s="89"/>
      <c r="P4739" s="90"/>
      <c r="Q4739" s="133">
        <v>2487</v>
      </c>
      <c r="R4739" s="134"/>
      <c r="S4739" s="5" t="s">
        <v>16</v>
      </c>
      <c r="T4739" s="8">
        <v>1965</v>
      </c>
      <c r="U4739" s="8">
        <v>5</v>
      </c>
      <c r="V4739" s="5" t="s">
        <v>23</v>
      </c>
      <c r="W4739" s="12">
        <v>8607143</v>
      </c>
      <c r="X4739" s="6"/>
      <c r="Y4739" s="6"/>
    </row>
    <row r="4740" spans="1:25" ht="15" customHeight="1" x14ac:dyDescent="0.2">
      <c r="A4740" s="88" t="s">
        <v>5555</v>
      </c>
      <c r="B4740" s="90"/>
      <c r="C4740" s="88" t="s">
        <v>5809</v>
      </c>
      <c r="D4740" s="90"/>
      <c r="E4740" s="88" t="s">
        <v>5810</v>
      </c>
      <c r="F4740" s="89"/>
      <c r="G4740" s="89"/>
      <c r="H4740" s="89"/>
      <c r="I4740" s="90"/>
      <c r="J4740" s="88" t="s">
        <v>770</v>
      </c>
      <c r="K4740" s="89"/>
      <c r="L4740" s="89"/>
      <c r="M4740" s="90"/>
      <c r="N4740" s="88" t="s">
        <v>26</v>
      </c>
      <c r="O4740" s="89"/>
      <c r="P4740" s="90"/>
      <c r="Q4740" s="133">
        <v>2487</v>
      </c>
      <c r="R4740" s="134"/>
      <c r="S4740" s="5" t="s">
        <v>16</v>
      </c>
      <c r="T4740" s="8">
        <v>1965</v>
      </c>
      <c r="U4740" s="8">
        <v>5</v>
      </c>
      <c r="V4740" s="5" t="s">
        <v>23</v>
      </c>
      <c r="W4740" s="12">
        <v>8418513</v>
      </c>
      <c r="X4740" s="6"/>
      <c r="Y4740" s="6"/>
    </row>
    <row r="4741" spans="1:25" ht="15" customHeight="1" x14ac:dyDescent="0.2">
      <c r="A4741" s="88" t="s">
        <v>5555</v>
      </c>
      <c r="B4741" s="90"/>
      <c r="C4741" s="88" t="s">
        <v>5811</v>
      </c>
      <c r="D4741" s="90"/>
      <c r="E4741" s="88" t="s">
        <v>5808</v>
      </c>
      <c r="F4741" s="89"/>
      <c r="G4741" s="89"/>
      <c r="H4741" s="89"/>
      <c r="I4741" s="90"/>
      <c r="J4741" s="88" t="s">
        <v>2179</v>
      </c>
      <c r="K4741" s="89"/>
      <c r="L4741" s="89"/>
      <c r="M4741" s="90"/>
      <c r="N4741" s="88" t="s">
        <v>26</v>
      </c>
      <c r="O4741" s="89"/>
      <c r="P4741" s="90"/>
      <c r="Q4741" s="133">
        <v>2487</v>
      </c>
      <c r="R4741" s="134"/>
      <c r="S4741" s="5" t="s">
        <v>16</v>
      </c>
      <c r="T4741" s="8">
        <v>1965</v>
      </c>
      <c r="U4741" s="8">
        <v>5</v>
      </c>
      <c r="V4741" s="5" t="s">
        <v>23</v>
      </c>
      <c r="W4741" s="12">
        <v>8607143</v>
      </c>
      <c r="X4741" s="6"/>
      <c r="Y4741" s="6"/>
    </row>
    <row r="4742" spans="1:25" ht="15" customHeight="1" x14ac:dyDescent="0.2">
      <c r="A4742" s="88" t="s">
        <v>5555</v>
      </c>
      <c r="B4742" s="90"/>
      <c r="C4742" s="88" t="s">
        <v>5812</v>
      </c>
      <c r="D4742" s="90"/>
      <c r="E4742" s="88" t="s">
        <v>5813</v>
      </c>
      <c r="F4742" s="89"/>
      <c r="G4742" s="89"/>
      <c r="H4742" s="89"/>
      <c r="I4742" s="90"/>
      <c r="J4742" s="88" t="s">
        <v>2179</v>
      </c>
      <c r="K4742" s="89"/>
      <c r="L4742" s="89"/>
      <c r="M4742" s="90"/>
      <c r="N4742" s="88" t="s">
        <v>26</v>
      </c>
      <c r="O4742" s="89"/>
      <c r="P4742" s="90"/>
      <c r="Q4742" s="133">
        <v>2693</v>
      </c>
      <c r="R4742" s="134"/>
      <c r="S4742" s="5" t="s">
        <v>814</v>
      </c>
      <c r="T4742" s="8">
        <v>2860</v>
      </c>
      <c r="U4742" s="8">
        <v>14</v>
      </c>
      <c r="V4742" s="5" t="s">
        <v>23</v>
      </c>
      <c r="W4742" s="12">
        <v>5193691</v>
      </c>
      <c r="X4742" s="6"/>
      <c r="Y4742" s="6"/>
    </row>
    <row r="4743" spans="1:25" ht="15" customHeight="1" x14ac:dyDescent="0.2">
      <c r="A4743" s="88" t="s">
        <v>5555</v>
      </c>
      <c r="B4743" s="90"/>
      <c r="C4743" s="88" t="s">
        <v>5812</v>
      </c>
      <c r="D4743" s="90"/>
      <c r="E4743" s="88" t="s">
        <v>5814</v>
      </c>
      <c r="F4743" s="89"/>
      <c r="G4743" s="89"/>
      <c r="H4743" s="89"/>
      <c r="I4743" s="90"/>
      <c r="J4743" s="88" t="s">
        <v>2179</v>
      </c>
      <c r="K4743" s="89"/>
      <c r="L4743" s="89"/>
      <c r="M4743" s="90"/>
      <c r="N4743" s="88" t="s">
        <v>26</v>
      </c>
      <c r="O4743" s="89"/>
      <c r="P4743" s="90"/>
      <c r="Q4743" s="133">
        <v>2693</v>
      </c>
      <c r="R4743" s="134"/>
      <c r="S4743" s="5" t="s">
        <v>814</v>
      </c>
      <c r="T4743" s="8">
        <v>2860</v>
      </c>
      <c r="U4743" s="8">
        <v>14</v>
      </c>
      <c r="V4743" s="5" t="s">
        <v>106</v>
      </c>
      <c r="W4743" s="12">
        <v>5162889</v>
      </c>
      <c r="X4743" s="6"/>
      <c r="Y4743" s="6"/>
    </row>
    <row r="4744" spans="1:25" ht="15" customHeight="1" x14ac:dyDescent="0.2">
      <c r="A4744" s="88" t="s">
        <v>5555</v>
      </c>
      <c r="B4744" s="90"/>
      <c r="C4744" s="88" t="s">
        <v>5812</v>
      </c>
      <c r="D4744" s="90"/>
      <c r="E4744" s="88" t="s">
        <v>5814</v>
      </c>
      <c r="F4744" s="89"/>
      <c r="G4744" s="89"/>
      <c r="H4744" s="89"/>
      <c r="I4744" s="90"/>
      <c r="J4744" s="88" t="s">
        <v>2179</v>
      </c>
      <c r="K4744" s="89"/>
      <c r="L4744" s="89"/>
      <c r="M4744" s="90"/>
      <c r="N4744" s="88" t="s">
        <v>26</v>
      </c>
      <c r="O4744" s="89"/>
      <c r="P4744" s="90"/>
      <c r="Q4744" s="133">
        <v>2693</v>
      </c>
      <c r="R4744" s="134"/>
      <c r="S4744" s="5" t="s">
        <v>814</v>
      </c>
      <c r="T4744" s="8">
        <v>2860</v>
      </c>
      <c r="U4744" s="8">
        <v>14</v>
      </c>
      <c r="V4744" s="5" t="s">
        <v>23</v>
      </c>
      <c r="W4744" s="12">
        <v>5162889</v>
      </c>
      <c r="X4744" s="6"/>
      <c r="Y4744" s="6"/>
    </row>
    <row r="4745" spans="1:25" ht="15" customHeight="1" x14ac:dyDescent="0.2">
      <c r="A4745" s="88" t="s">
        <v>5555</v>
      </c>
      <c r="B4745" s="90"/>
      <c r="C4745" s="88" t="s">
        <v>5815</v>
      </c>
      <c r="D4745" s="90"/>
      <c r="E4745" s="88" t="s">
        <v>5816</v>
      </c>
      <c r="F4745" s="89"/>
      <c r="G4745" s="89"/>
      <c r="H4745" s="89"/>
      <c r="I4745" s="90"/>
      <c r="J4745" s="88" t="s">
        <v>770</v>
      </c>
      <c r="K4745" s="89"/>
      <c r="L4745" s="89"/>
      <c r="M4745" s="90"/>
      <c r="N4745" s="88" t="s">
        <v>26</v>
      </c>
      <c r="O4745" s="89"/>
      <c r="P4745" s="90"/>
      <c r="Q4745" s="133">
        <v>1998</v>
      </c>
      <c r="R4745" s="134"/>
      <c r="S4745" s="5" t="s">
        <v>814</v>
      </c>
      <c r="T4745" s="8">
        <v>2670</v>
      </c>
      <c r="U4745" s="8">
        <v>10</v>
      </c>
      <c r="V4745" s="5" t="s">
        <v>23</v>
      </c>
      <c r="W4745" s="12">
        <v>6570632</v>
      </c>
      <c r="X4745" s="6"/>
      <c r="Y4745" s="6"/>
    </row>
    <row r="4746" spans="1:25" ht="15" customHeight="1" x14ac:dyDescent="0.2">
      <c r="A4746" s="88" t="s">
        <v>5555</v>
      </c>
      <c r="B4746" s="90"/>
      <c r="C4746" s="88" t="s">
        <v>5815</v>
      </c>
      <c r="D4746" s="90"/>
      <c r="E4746" s="88" t="s">
        <v>5817</v>
      </c>
      <c r="F4746" s="89"/>
      <c r="G4746" s="89"/>
      <c r="H4746" s="89"/>
      <c r="I4746" s="90"/>
      <c r="J4746" s="88" t="s">
        <v>770</v>
      </c>
      <c r="K4746" s="89"/>
      <c r="L4746" s="89"/>
      <c r="M4746" s="90"/>
      <c r="N4746" s="88" t="s">
        <v>26</v>
      </c>
      <c r="O4746" s="89"/>
      <c r="P4746" s="90"/>
      <c r="Q4746" s="133">
        <v>1998</v>
      </c>
      <c r="R4746" s="134"/>
      <c r="S4746" s="5" t="s">
        <v>814</v>
      </c>
      <c r="T4746" s="8">
        <v>2670</v>
      </c>
      <c r="U4746" s="8">
        <v>10</v>
      </c>
      <c r="V4746" s="5" t="s">
        <v>23</v>
      </c>
      <c r="W4746" s="12">
        <v>6532207</v>
      </c>
      <c r="X4746" s="6"/>
      <c r="Y4746" s="6"/>
    </row>
    <row r="4747" spans="1:25" ht="15" customHeight="1" x14ac:dyDescent="0.2">
      <c r="A4747" s="88" t="s">
        <v>5555</v>
      </c>
      <c r="B4747" s="90"/>
      <c r="C4747" s="88" t="s">
        <v>5818</v>
      </c>
      <c r="D4747" s="90"/>
      <c r="E4747" s="88" t="s">
        <v>5819</v>
      </c>
      <c r="F4747" s="89"/>
      <c r="G4747" s="89"/>
      <c r="H4747" s="89"/>
      <c r="I4747" s="90"/>
      <c r="J4747" s="88" t="s">
        <v>2179</v>
      </c>
      <c r="K4747" s="89"/>
      <c r="L4747" s="89"/>
      <c r="M4747" s="90"/>
      <c r="N4747" s="88" t="s">
        <v>26</v>
      </c>
      <c r="O4747" s="89"/>
      <c r="P4747" s="90"/>
      <c r="Q4747" s="133">
        <v>2693</v>
      </c>
      <c r="R4747" s="134"/>
      <c r="S4747" s="5" t="s">
        <v>814</v>
      </c>
      <c r="T4747" s="8">
        <v>2820</v>
      </c>
      <c r="U4747" s="8">
        <v>10</v>
      </c>
      <c r="V4747" s="5" t="s">
        <v>23</v>
      </c>
      <c r="W4747" s="12">
        <v>7814196</v>
      </c>
      <c r="X4747" s="6"/>
      <c r="Y4747" s="6"/>
    </row>
    <row r="4748" spans="1:25" ht="15" customHeight="1" x14ac:dyDescent="0.2">
      <c r="A4748" s="88" t="s">
        <v>5555</v>
      </c>
      <c r="B4748" s="90"/>
      <c r="C4748" s="88" t="s">
        <v>5818</v>
      </c>
      <c r="D4748" s="90"/>
      <c r="E4748" s="88" t="s">
        <v>5819</v>
      </c>
      <c r="F4748" s="89"/>
      <c r="G4748" s="89"/>
      <c r="H4748" s="89"/>
      <c r="I4748" s="90"/>
      <c r="J4748" s="88" t="s">
        <v>2179</v>
      </c>
      <c r="K4748" s="89"/>
      <c r="L4748" s="89"/>
      <c r="M4748" s="90"/>
      <c r="N4748" s="88" t="s">
        <v>26</v>
      </c>
      <c r="O4748" s="89"/>
      <c r="P4748" s="90"/>
      <c r="Q4748" s="133">
        <v>2693</v>
      </c>
      <c r="R4748" s="134"/>
      <c r="S4748" s="5" t="s">
        <v>814</v>
      </c>
      <c r="T4748" s="8">
        <v>2820</v>
      </c>
      <c r="U4748" s="8">
        <v>10</v>
      </c>
      <c r="V4748" s="5" t="s">
        <v>106</v>
      </c>
      <c r="W4748" s="12">
        <v>7814196</v>
      </c>
      <c r="X4748" s="6"/>
      <c r="Y4748" s="6"/>
    </row>
    <row r="4749" spans="1:25" ht="15" customHeight="1" x14ac:dyDescent="0.2">
      <c r="A4749" s="88" t="s">
        <v>5555</v>
      </c>
      <c r="B4749" s="90"/>
      <c r="C4749" s="88" t="s">
        <v>5818</v>
      </c>
      <c r="D4749" s="90"/>
      <c r="E4749" s="88" t="s">
        <v>5820</v>
      </c>
      <c r="F4749" s="89"/>
      <c r="G4749" s="89"/>
      <c r="H4749" s="89"/>
      <c r="I4749" s="90"/>
      <c r="J4749" s="88" t="s">
        <v>2179</v>
      </c>
      <c r="K4749" s="89"/>
      <c r="L4749" s="89"/>
      <c r="M4749" s="90"/>
      <c r="N4749" s="88" t="s">
        <v>22</v>
      </c>
      <c r="O4749" s="89"/>
      <c r="P4749" s="90"/>
      <c r="Q4749" s="133">
        <v>2693</v>
      </c>
      <c r="R4749" s="134"/>
      <c r="S4749" s="5" t="s">
        <v>814</v>
      </c>
      <c r="T4749" s="8">
        <v>2820</v>
      </c>
      <c r="U4749" s="8">
        <v>10</v>
      </c>
      <c r="V4749" s="5" t="s">
        <v>23</v>
      </c>
      <c r="W4749" s="12">
        <v>8842407</v>
      </c>
      <c r="X4749" s="6"/>
      <c r="Y4749" s="6"/>
    </row>
    <row r="4750" spans="1:25" ht="15" customHeight="1" x14ac:dyDescent="0.2">
      <c r="A4750" s="88" t="s">
        <v>5555</v>
      </c>
      <c r="B4750" s="90"/>
      <c r="C4750" s="88" t="s">
        <v>5821</v>
      </c>
      <c r="D4750" s="90"/>
      <c r="E4750" s="88" t="s">
        <v>5820</v>
      </c>
      <c r="F4750" s="89"/>
      <c r="G4750" s="89"/>
      <c r="H4750" s="89"/>
      <c r="I4750" s="90"/>
      <c r="J4750" s="88" t="s">
        <v>2179</v>
      </c>
      <c r="K4750" s="89"/>
      <c r="L4750" s="89"/>
      <c r="M4750" s="90"/>
      <c r="N4750" s="88" t="s">
        <v>26</v>
      </c>
      <c r="O4750" s="89"/>
      <c r="P4750" s="90"/>
      <c r="Q4750" s="133">
        <v>2270</v>
      </c>
      <c r="R4750" s="134"/>
      <c r="S4750" s="5" t="s">
        <v>814</v>
      </c>
      <c r="T4750" s="8">
        <v>2820</v>
      </c>
      <c r="U4750" s="8">
        <v>10</v>
      </c>
      <c r="V4750" s="5" t="s">
        <v>23</v>
      </c>
      <c r="W4750" s="12">
        <v>8773068</v>
      </c>
      <c r="X4750" s="6"/>
      <c r="Y4750" s="6"/>
    </row>
    <row r="4751" spans="1:25" ht="15" customHeight="1" x14ac:dyDescent="0.2">
      <c r="A4751" s="88" t="s">
        <v>5555</v>
      </c>
      <c r="B4751" s="90"/>
      <c r="C4751" s="88" t="s">
        <v>5822</v>
      </c>
      <c r="D4751" s="90"/>
      <c r="E4751" s="88" t="s">
        <v>5823</v>
      </c>
      <c r="F4751" s="89"/>
      <c r="G4751" s="89"/>
      <c r="H4751" s="89"/>
      <c r="I4751" s="90"/>
      <c r="J4751" s="88" t="s">
        <v>2179</v>
      </c>
      <c r="K4751" s="89"/>
      <c r="L4751" s="89"/>
      <c r="M4751" s="90"/>
      <c r="N4751" s="88" t="s">
        <v>26</v>
      </c>
      <c r="O4751" s="89"/>
      <c r="P4751" s="90"/>
      <c r="Q4751" s="133">
        <v>2754</v>
      </c>
      <c r="R4751" s="134"/>
      <c r="S4751" s="5" t="s">
        <v>814</v>
      </c>
      <c r="T4751" s="8">
        <v>3235</v>
      </c>
      <c r="U4751" s="8">
        <v>3</v>
      </c>
      <c r="V4751" s="5" t="s">
        <v>106</v>
      </c>
      <c r="W4751" s="12">
        <v>8856904</v>
      </c>
      <c r="X4751" s="6"/>
      <c r="Y4751" s="6"/>
    </row>
    <row r="4752" spans="1:25" ht="30" customHeight="1" x14ac:dyDescent="0.2">
      <c r="A4752" s="88" t="s">
        <v>5555</v>
      </c>
      <c r="B4752" s="90"/>
      <c r="C4752" s="97" t="s">
        <v>5824</v>
      </c>
      <c r="D4752" s="99"/>
      <c r="E4752" s="88" t="s">
        <v>5823</v>
      </c>
      <c r="F4752" s="89"/>
      <c r="G4752" s="89"/>
      <c r="H4752" s="89"/>
      <c r="I4752" s="90"/>
      <c r="J4752" s="88" t="s">
        <v>2179</v>
      </c>
      <c r="K4752" s="89"/>
      <c r="L4752" s="89"/>
      <c r="M4752" s="90"/>
      <c r="N4752" s="88" t="s">
        <v>26</v>
      </c>
      <c r="O4752" s="89"/>
      <c r="P4752" s="90"/>
      <c r="Q4752" s="133">
        <v>2754</v>
      </c>
      <c r="R4752" s="134"/>
      <c r="S4752" s="5" t="s">
        <v>814</v>
      </c>
      <c r="T4752" s="8">
        <v>3265</v>
      </c>
      <c r="U4752" s="8">
        <v>3</v>
      </c>
      <c r="V4752" s="5" t="s">
        <v>23</v>
      </c>
      <c r="W4752" s="12">
        <v>8951045</v>
      </c>
      <c r="X4752" s="4"/>
      <c r="Y4752" s="4"/>
    </row>
    <row r="4753" spans="1:25" ht="15" customHeight="1" x14ac:dyDescent="0.2">
      <c r="A4753" s="88" t="s">
        <v>5555</v>
      </c>
      <c r="B4753" s="90"/>
      <c r="C4753" s="88" t="s">
        <v>5825</v>
      </c>
      <c r="D4753" s="90"/>
      <c r="E4753" s="88" t="s">
        <v>5826</v>
      </c>
      <c r="F4753" s="89"/>
      <c r="G4753" s="89"/>
      <c r="H4753" s="89"/>
      <c r="I4753" s="90"/>
      <c r="J4753" s="88" t="s">
        <v>2179</v>
      </c>
      <c r="K4753" s="89"/>
      <c r="L4753" s="89"/>
      <c r="M4753" s="90"/>
      <c r="N4753" s="88" t="s">
        <v>22</v>
      </c>
      <c r="O4753" s="89"/>
      <c r="P4753" s="90"/>
      <c r="Q4753" s="133">
        <v>2693</v>
      </c>
      <c r="R4753" s="134"/>
      <c r="S4753" s="5" t="s">
        <v>1320</v>
      </c>
      <c r="T4753" s="8">
        <v>2580</v>
      </c>
      <c r="U4753" s="8">
        <v>14</v>
      </c>
      <c r="V4753" s="5" t="s">
        <v>23</v>
      </c>
      <c r="W4753" s="12">
        <v>6692194</v>
      </c>
      <c r="X4753" s="6"/>
      <c r="Y4753" s="6"/>
    </row>
    <row r="4754" spans="1:25" ht="15" customHeight="1" x14ac:dyDescent="0.2">
      <c r="A4754" s="88" t="s">
        <v>5555</v>
      </c>
      <c r="B4754" s="90"/>
      <c r="C4754" s="88" t="s">
        <v>5825</v>
      </c>
      <c r="D4754" s="90"/>
      <c r="E4754" s="88" t="s">
        <v>5826</v>
      </c>
      <c r="F4754" s="89"/>
      <c r="G4754" s="89"/>
      <c r="H4754" s="89"/>
      <c r="I4754" s="90"/>
      <c r="J4754" s="88" t="s">
        <v>2179</v>
      </c>
      <c r="K4754" s="89"/>
      <c r="L4754" s="89"/>
      <c r="M4754" s="90"/>
      <c r="N4754" s="88" t="s">
        <v>22</v>
      </c>
      <c r="O4754" s="89"/>
      <c r="P4754" s="90"/>
      <c r="Q4754" s="133">
        <v>2693</v>
      </c>
      <c r="R4754" s="134"/>
      <c r="S4754" s="5" t="s">
        <v>814</v>
      </c>
      <c r="T4754" s="8">
        <v>2580</v>
      </c>
      <c r="U4754" s="8">
        <v>14</v>
      </c>
      <c r="V4754" s="5" t="s">
        <v>23</v>
      </c>
      <c r="W4754" s="12">
        <v>5933607</v>
      </c>
      <c r="X4754" s="6"/>
      <c r="Y4754" s="6"/>
    </row>
    <row r="4755" spans="1:25" ht="15" customHeight="1" x14ac:dyDescent="0.2">
      <c r="A4755" s="88" t="s">
        <v>5555</v>
      </c>
      <c r="B4755" s="90"/>
      <c r="C4755" s="88" t="s">
        <v>5825</v>
      </c>
      <c r="D4755" s="90"/>
      <c r="E4755" s="88" t="s">
        <v>5827</v>
      </c>
      <c r="F4755" s="89"/>
      <c r="G4755" s="89"/>
      <c r="H4755" s="89"/>
      <c r="I4755" s="90"/>
      <c r="J4755" s="88" t="s">
        <v>2179</v>
      </c>
      <c r="K4755" s="89"/>
      <c r="L4755" s="89"/>
      <c r="M4755" s="90"/>
      <c r="N4755" s="88" t="s">
        <v>701</v>
      </c>
      <c r="O4755" s="89"/>
      <c r="P4755" s="90"/>
      <c r="Q4755" s="133">
        <v>2693</v>
      </c>
      <c r="R4755" s="134"/>
      <c r="S4755" s="5" t="s">
        <v>814</v>
      </c>
      <c r="T4755" s="8">
        <v>2580</v>
      </c>
      <c r="U4755" s="8">
        <v>14</v>
      </c>
      <c r="V4755" s="5" t="s">
        <v>106</v>
      </c>
      <c r="W4755" s="12">
        <v>5861520</v>
      </c>
      <c r="X4755" s="6"/>
      <c r="Y4755" s="6"/>
    </row>
    <row r="4756" spans="1:25" ht="15" customHeight="1" x14ac:dyDescent="0.2">
      <c r="A4756" s="88" t="s">
        <v>5555</v>
      </c>
      <c r="B4756" s="90"/>
      <c r="C4756" s="88" t="s">
        <v>5828</v>
      </c>
      <c r="D4756" s="90"/>
      <c r="E4756" s="88" t="s">
        <v>5829</v>
      </c>
      <c r="F4756" s="89"/>
      <c r="G4756" s="89"/>
      <c r="H4756" s="89"/>
      <c r="I4756" s="90"/>
      <c r="J4756" s="88" t="s">
        <v>5657</v>
      </c>
      <c r="K4756" s="89"/>
      <c r="L4756" s="89"/>
      <c r="M4756" s="90"/>
      <c r="N4756" s="88" t="s">
        <v>26</v>
      </c>
      <c r="O4756" s="89"/>
      <c r="P4756" s="90"/>
      <c r="Q4756" s="133">
        <v>1998</v>
      </c>
      <c r="R4756" s="134"/>
      <c r="S4756" s="5" t="s">
        <v>814</v>
      </c>
      <c r="T4756" s="8">
        <v>3185</v>
      </c>
      <c r="U4756" s="8">
        <v>6</v>
      </c>
      <c r="V4756" s="5" t="s">
        <v>23</v>
      </c>
      <c r="W4756" s="12">
        <v>5380512</v>
      </c>
      <c r="X4756" s="6"/>
      <c r="Y4756" s="6"/>
    </row>
    <row r="4757" spans="1:25" ht="15" customHeight="1" x14ac:dyDescent="0.2">
      <c r="A4757" s="88" t="s">
        <v>5555</v>
      </c>
      <c r="B4757" s="90"/>
      <c r="C4757" s="88" t="s">
        <v>5828</v>
      </c>
      <c r="D4757" s="90"/>
      <c r="E4757" s="88" t="s">
        <v>5823</v>
      </c>
      <c r="F4757" s="89"/>
      <c r="G4757" s="89"/>
      <c r="H4757" s="89"/>
      <c r="I4757" s="90"/>
      <c r="J4757" s="88" t="s">
        <v>2179</v>
      </c>
      <c r="K4757" s="89"/>
      <c r="L4757" s="89"/>
      <c r="M4757" s="90"/>
      <c r="N4757" s="88" t="s">
        <v>26</v>
      </c>
      <c r="O4757" s="89"/>
      <c r="P4757" s="90"/>
      <c r="Q4757" s="133">
        <v>2754</v>
      </c>
      <c r="R4757" s="134"/>
      <c r="S4757" s="5" t="s">
        <v>814</v>
      </c>
      <c r="T4757" s="8">
        <v>3265</v>
      </c>
      <c r="U4757" s="8">
        <v>3</v>
      </c>
      <c r="V4757" s="5" t="s">
        <v>23</v>
      </c>
      <c r="W4757" s="12">
        <v>9049028</v>
      </c>
      <c r="X4757" s="6"/>
      <c r="Y4757" s="6"/>
    </row>
    <row r="4758" spans="1:25" ht="15" customHeight="1" x14ac:dyDescent="0.2">
      <c r="A4758" s="88" t="s">
        <v>5555</v>
      </c>
      <c r="B4758" s="90"/>
      <c r="C4758" s="88" t="s">
        <v>5828</v>
      </c>
      <c r="D4758" s="90"/>
      <c r="E4758" s="88" t="s">
        <v>5830</v>
      </c>
      <c r="F4758" s="89"/>
      <c r="G4758" s="89"/>
      <c r="H4758" s="89"/>
      <c r="I4758" s="90"/>
      <c r="J4758" s="88" t="s">
        <v>770</v>
      </c>
      <c r="K4758" s="89"/>
      <c r="L4758" s="89"/>
      <c r="M4758" s="90"/>
      <c r="N4758" s="88" t="s">
        <v>26</v>
      </c>
      <c r="O4758" s="89"/>
      <c r="P4758" s="90"/>
      <c r="Q4758" s="133">
        <v>2754</v>
      </c>
      <c r="R4758" s="134"/>
      <c r="S4758" s="5" t="s">
        <v>814</v>
      </c>
      <c r="T4758" s="8">
        <v>3150</v>
      </c>
      <c r="U4758" s="8">
        <v>5</v>
      </c>
      <c r="V4758" s="5" t="s">
        <v>23</v>
      </c>
      <c r="W4758" s="12">
        <v>6793495</v>
      </c>
      <c r="X4758" s="6"/>
      <c r="Y4758" s="6"/>
    </row>
    <row r="4759" spans="1:25" ht="15" customHeight="1" x14ac:dyDescent="0.2">
      <c r="A4759" s="88" t="s">
        <v>5555</v>
      </c>
      <c r="B4759" s="90"/>
      <c r="C4759" s="88" t="s">
        <v>5828</v>
      </c>
      <c r="D4759" s="90"/>
      <c r="E4759" s="88" t="s">
        <v>5831</v>
      </c>
      <c r="F4759" s="89"/>
      <c r="G4759" s="89"/>
      <c r="H4759" s="89"/>
      <c r="I4759" s="90"/>
      <c r="J4759" s="88" t="s">
        <v>887</v>
      </c>
      <c r="K4759" s="89"/>
      <c r="L4759" s="89"/>
      <c r="M4759" s="90"/>
      <c r="N4759" s="88" t="s">
        <v>26</v>
      </c>
      <c r="O4759" s="89"/>
      <c r="P4759" s="90"/>
      <c r="Q4759" s="133">
        <v>2982</v>
      </c>
      <c r="R4759" s="134"/>
      <c r="S4759" s="5" t="s">
        <v>814</v>
      </c>
      <c r="T4759" s="8">
        <v>3030</v>
      </c>
      <c r="U4759" s="8">
        <v>2</v>
      </c>
      <c r="V4759" s="5" t="s">
        <v>23</v>
      </c>
      <c r="W4759" s="12">
        <v>5467625</v>
      </c>
      <c r="X4759" s="6"/>
      <c r="Y4759" s="6"/>
    </row>
    <row r="4760" spans="1:25" ht="15" customHeight="1" x14ac:dyDescent="0.2">
      <c r="A4760" s="88" t="s">
        <v>5555</v>
      </c>
      <c r="B4760" s="90"/>
      <c r="C4760" s="88" t="s">
        <v>5828</v>
      </c>
      <c r="D4760" s="90"/>
      <c r="E4760" s="88" t="s">
        <v>5832</v>
      </c>
      <c r="F4760" s="89"/>
      <c r="G4760" s="89"/>
      <c r="H4760" s="89"/>
      <c r="I4760" s="90"/>
      <c r="J4760" s="88" t="s">
        <v>2179</v>
      </c>
      <c r="K4760" s="89"/>
      <c r="L4760" s="89"/>
      <c r="M4760" s="90"/>
      <c r="N4760" s="88" t="s">
        <v>26</v>
      </c>
      <c r="O4760" s="89"/>
      <c r="P4760" s="90"/>
      <c r="Q4760" s="133">
        <v>1998</v>
      </c>
      <c r="R4760" s="134"/>
      <c r="S4760" s="5" t="s">
        <v>814</v>
      </c>
      <c r="T4760" s="8">
        <v>3040</v>
      </c>
      <c r="U4760" s="8">
        <v>6</v>
      </c>
      <c r="V4760" s="5" t="s">
        <v>23</v>
      </c>
      <c r="W4760" s="12">
        <v>4645901</v>
      </c>
      <c r="X4760" s="6"/>
      <c r="Y4760" s="6"/>
    </row>
    <row r="4761" spans="1:25" ht="15" customHeight="1" x14ac:dyDescent="0.2">
      <c r="A4761" s="88" t="s">
        <v>5555</v>
      </c>
      <c r="B4761" s="90"/>
      <c r="C4761" s="88" t="s">
        <v>5828</v>
      </c>
      <c r="D4761" s="90"/>
      <c r="E4761" s="88" t="s">
        <v>5833</v>
      </c>
      <c r="F4761" s="89"/>
      <c r="G4761" s="89"/>
      <c r="H4761" s="89"/>
      <c r="I4761" s="90"/>
      <c r="J4761" s="88" t="s">
        <v>2179</v>
      </c>
      <c r="K4761" s="89"/>
      <c r="L4761" s="89"/>
      <c r="M4761" s="90"/>
      <c r="N4761" s="88" t="s">
        <v>26</v>
      </c>
      <c r="O4761" s="89"/>
      <c r="P4761" s="90"/>
      <c r="Q4761" s="133">
        <v>2754</v>
      </c>
      <c r="R4761" s="134"/>
      <c r="S4761" s="5" t="s">
        <v>814</v>
      </c>
      <c r="T4761" s="8">
        <v>3105</v>
      </c>
      <c r="U4761" s="8">
        <v>5</v>
      </c>
      <c r="V4761" s="5" t="s">
        <v>106</v>
      </c>
      <c r="W4761" s="12">
        <v>5761965</v>
      </c>
      <c r="X4761" s="6"/>
      <c r="Y4761" s="6"/>
    </row>
    <row r="4762" spans="1:25" ht="15" customHeight="1" x14ac:dyDescent="0.2">
      <c r="A4762" s="88" t="s">
        <v>5555</v>
      </c>
      <c r="B4762" s="90"/>
      <c r="C4762" s="88" t="s">
        <v>5834</v>
      </c>
      <c r="D4762" s="90"/>
      <c r="E4762" s="88" t="s">
        <v>5830</v>
      </c>
      <c r="F4762" s="89"/>
      <c r="G4762" s="89"/>
      <c r="H4762" s="89"/>
      <c r="I4762" s="90"/>
      <c r="J4762" s="88" t="s">
        <v>2179</v>
      </c>
      <c r="K4762" s="89"/>
      <c r="L4762" s="89"/>
      <c r="M4762" s="90"/>
      <c r="N4762" s="88" t="s">
        <v>26</v>
      </c>
      <c r="O4762" s="89"/>
      <c r="P4762" s="90"/>
      <c r="Q4762" s="133">
        <v>2754</v>
      </c>
      <c r="R4762" s="134"/>
      <c r="S4762" s="5" t="s">
        <v>814</v>
      </c>
      <c r="T4762" s="8">
        <v>315</v>
      </c>
      <c r="U4762" s="8">
        <v>5</v>
      </c>
      <c r="V4762" s="5" t="s">
        <v>106</v>
      </c>
      <c r="W4762" s="12">
        <v>6687827</v>
      </c>
      <c r="X4762" s="6"/>
      <c r="Y4762" s="6"/>
    </row>
    <row r="4763" spans="1:25" ht="15" customHeight="1" x14ac:dyDescent="0.2">
      <c r="A4763" s="88" t="s">
        <v>5555</v>
      </c>
      <c r="B4763" s="90"/>
      <c r="C4763" s="88" t="s">
        <v>5834</v>
      </c>
      <c r="D4763" s="90"/>
      <c r="E4763" s="88" t="s">
        <v>5835</v>
      </c>
      <c r="F4763" s="89"/>
      <c r="G4763" s="89"/>
      <c r="H4763" s="89"/>
      <c r="I4763" s="90"/>
      <c r="J4763" s="88" t="s">
        <v>2179</v>
      </c>
      <c r="K4763" s="89"/>
      <c r="L4763" s="89"/>
      <c r="M4763" s="90"/>
      <c r="N4763" s="88" t="s">
        <v>26</v>
      </c>
      <c r="O4763" s="89"/>
      <c r="P4763" s="90"/>
      <c r="Q4763" s="133">
        <v>2754</v>
      </c>
      <c r="R4763" s="134"/>
      <c r="S4763" s="5" t="s">
        <v>814</v>
      </c>
      <c r="T4763" s="8">
        <v>3040</v>
      </c>
      <c r="U4763" s="8">
        <v>5</v>
      </c>
      <c r="V4763" s="5" t="s">
        <v>106</v>
      </c>
      <c r="W4763" s="12">
        <v>5761965</v>
      </c>
      <c r="X4763" s="6"/>
      <c r="Y4763" s="6"/>
    </row>
    <row r="4764" spans="1:25" ht="15" customHeight="1" x14ac:dyDescent="0.2">
      <c r="A4764" s="88" t="s">
        <v>5555</v>
      </c>
      <c r="B4764" s="90"/>
      <c r="C4764" s="88" t="s">
        <v>5836</v>
      </c>
      <c r="D4764" s="90"/>
      <c r="E4764" s="88" t="s">
        <v>5837</v>
      </c>
      <c r="F4764" s="89"/>
      <c r="G4764" s="89"/>
      <c r="H4764" s="89"/>
      <c r="I4764" s="90"/>
      <c r="J4764" s="88" t="s">
        <v>2179</v>
      </c>
      <c r="K4764" s="89"/>
      <c r="L4764" s="89"/>
      <c r="M4764" s="90"/>
      <c r="N4764" s="88" t="s">
        <v>26</v>
      </c>
      <c r="O4764" s="89"/>
      <c r="P4764" s="90"/>
      <c r="Q4764" s="133">
        <v>1998</v>
      </c>
      <c r="R4764" s="134"/>
      <c r="S4764" s="5" t="s">
        <v>814</v>
      </c>
      <c r="T4764" s="8">
        <v>2985</v>
      </c>
      <c r="U4764" s="8">
        <v>3</v>
      </c>
      <c r="V4764" s="5" t="s">
        <v>23</v>
      </c>
      <c r="W4764" s="12">
        <v>5785941</v>
      </c>
      <c r="X4764" s="6"/>
      <c r="Y4764" s="6"/>
    </row>
    <row r="4765" spans="1:25" ht="15" customHeight="1" x14ac:dyDescent="0.2">
      <c r="A4765" s="88" t="s">
        <v>5555</v>
      </c>
      <c r="B4765" s="90"/>
      <c r="C4765" s="88" t="s">
        <v>5838</v>
      </c>
      <c r="D4765" s="90"/>
      <c r="E4765" s="88" t="s">
        <v>5829</v>
      </c>
      <c r="F4765" s="89"/>
      <c r="G4765" s="89"/>
      <c r="H4765" s="89"/>
      <c r="I4765" s="90"/>
      <c r="J4765" s="88" t="s">
        <v>2179</v>
      </c>
      <c r="K4765" s="89"/>
      <c r="L4765" s="89"/>
      <c r="M4765" s="90"/>
      <c r="N4765" s="88" t="s">
        <v>26</v>
      </c>
      <c r="O4765" s="89"/>
      <c r="P4765" s="90"/>
      <c r="Q4765" s="133">
        <v>1998</v>
      </c>
      <c r="R4765" s="134"/>
      <c r="S4765" s="5" t="s">
        <v>814</v>
      </c>
      <c r="T4765" s="8">
        <v>3185</v>
      </c>
      <c r="U4765" s="8">
        <v>6</v>
      </c>
      <c r="V4765" s="5" t="s">
        <v>23</v>
      </c>
      <c r="W4765" s="12">
        <v>5330560</v>
      </c>
      <c r="X4765" s="6"/>
      <c r="Y4765" s="6"/>
    </row>
    <row r="4766" spans="1:25" ht="15" customHeight="1" x14ac:dyDescent="0.2">
      <c r="A4766" s="88" t="s">
        <v>5555</v>
      </c>
      <c r="B4766" s="90"/>
      <c r="C4766" s="88" t="s">
        <v>5839</v>
      </c>
      <c r="D4766" s="90"/>
      <c r="E4766" s="88" t="s">
        <v>5840</v>
      </c>
      <c r="F4766" s="89"/>
      <c r="G4766" s="89"/>
      <c r="H4766" s="89"/>
      <c r="I4766" s="90"/>
      <c r="J4766" s="88" t="s">
        <v>770</v>
      </c>
      <c r="K4766" s="89"/>
      <c r="L4766" s="89"/>
      <c r="M4766" s="90"/>
      <c r="N4766" s="88" t="s">
        <v>26</v>
      </c>
      <c r="O4766" s="89"/>
      <c r="P4766" s="90"/>
      <c r="Q4766" s="133">
        <v>2693</v>
      </c>
      <c r="R4766" s="134"/>
      <c r="S4766" s="5" t="s">
        <v>814</v>
      </c>
      <c r="T4766" s="8">
        <v>2590</v>
      </c>
      <c r="U4766" s="8">
        <v>10</v>
      </c>
      <c r="V4766" s="5" t="s">
        <v>23</v>
      </c>
      <c r="W4766" s="12">
        <v>6513169</v>
      </c>
      <c r="X4766" s="6"/>
      <c r="Y4766" s="6"/>
    </row>
    <row r="4767" spans="1:25" ht="15" customHeight="1" x14ac:dyDescent="0.2">
      <c r="A4767" s="88" t="s">
        <v>5555</v>
      </c>
      <c r="B4767" s="90"/>
      <c r="C4767" s="88" t="s">
        <v>5839</v>
      </c>
      <c r="D4767" s="90"/>
      <c r="E4767" s="88" t="s">
        <v>5841</v>
      </c>
      <c r="F4767" s="89"/>
      <c r="G4767" s="89"/>
      <c r="H4767" s="89"/>
      <c r="I4767" s="90"/>
      <c r="J4767" s="88" t="s">
        <v>2179</v>
      </c>
      <c r="K4767" s="89"/>
      <c r="L4767" s="89"/>
      <c r="M4767" s="90"/>
      <c r="N4767" s="88" t="s">
        <v>26</v>
      </c>
      <c r="O4767" s="89"/>
      <c r="P4767" s="90"/>
      <c r="Q4767" s="133">
        <v>2693</v>
      </c>
      <c r="R4767" s="134"/>
      <c r="S4767" s="5" t="s">
        <v>814</v>
      </c>
      <c r="T4767" s="8">
        <v>2590</v>
      </c>
      <c r="U4767" s="8">
        <v>10</v>
      </c>
      <c r="V4767" s="5" t="s">
        <v>23</v>
      </c>
      <c r="W4767" s="12">
        <v>5831829</v>
      </c>
      <c r="X4767" s="6"/>
      <c r="Y4767" s="6"/>
    </row>
    <row r="4768" spans="1:25" ht="15" customHeight="1" x14ac:dyDescent="0.2">
      <c r="A4768" s="88" t="s">
        <v>5555</v>
      </c>
      <c r="B4768" s="90"/>
      <c r="C4768" s="88" t="s">
        <v>5842</v>
      </c>
      <c r="D4768" s="90"/>
      <c r="E4768" s="88" t="s">
        <v>5843</v>
      </c>
      <c r="F4768" s="89"/>
      <c r="G4768" s="89"/>
      <c r="H4768" s="89"/>
      <c r="I4768" s="90"/>
      <c r="J4768" s="88" t="s">
        <v>2179</v>
      </c>
      <c r="K4768" s="89"/>
      <c r="L4768" s="89"/>
      <c r="M4768" s="90"/>
      <c r="N4768" s="88" t="s">
        <v>26</v>
      </c>
      <c r="O4768" s="89"/>
      <c r="P4768" s="90"/>
      <c r="Q4768" s="133">
        <v>2693</v>
      </c>
      <c r="R4768" s="134"/>
      <c r="S4768" s="5" t="s">
        <v>814</v>
      </c>
      <c r="T4768" s="8">
        <v>2590</v>
      </c>
      <c r="U4768" s="8">
        <v>10</v>
      </c>
      <c r="V4768" s="5" t="s">
        <v>23</v>
      </c>
      <c r="W4768" s="12">
        <v>6513169</v>
      </c>
      <c r="X4768" s="6"/>
      <c r="Y4768" s="6"/>
    </row>
    <row r="4769" spans="1:25" ht="15" customHeight="1" x14ac:dyDescent="0.2">
      <c r="A4769" s="88" t="s">
        <v>5555</v>
      </c>
      <c r="B4769" s="90"/>
      <c r="C4769" s="88" t="s">
        <v>5842</v>
      </c>
      <c r="D4769" s="90"/>
      <c r="E4769" s="88" t="s">
        <v>5844</v>
      </c>
      <c r="F4769" s="89"/>
      <c r="G4769" s="89"/>
      <c r="H4769" s="89"/>
      <c r="I4769" s="90"/>
      <c r="J4769" s="88" t="s">
        <v>770</v>
      </c>
      <c r="K4769" s="89"/>
      <c r="L4769" s="89"/>
      <c r="M4769" s="90"/>
      <c r="N4769" s="88" t="s">
        <v>26</v>
      </c>
      <c r="O4769" s="89"/>
      <c r="P4769" s="90"/>
      <c r="Q4769" s="133">
        <v>2693</v>
      </c>
      <c r="R4769" s="134"/>
      <c r="S4769" s="5" t="s">
        <v>814</v>
      </c>
      <c r="T4769" s="8">
        <v>2590</v>
      </c>
      <c r="U4769" s="8">
        <v>5</v>
      </c>
      <c r="V4769" s="5" t="s">
        <v>23</v>
      </c>
      <c r="W4769" s="12">
        <v>6463217</v>
      </c>
      <c r="X4769" s="6"/>
      <c r="Y4769" s="6"/>
    </row>
    <row r="4770" spans="1:25" ht="15" customHeight="1" x14ac:dyDescent="0.2">
      <c r="A4770" s="88" t="s">
        <v>5555</v>
      </c>
      <c r="B4770" s="90"/>
      <c r="C4770" s="88" t="s">
        <v>5842</v>
      </c>
      <c r="D4770" s="90"/>
      <c r="E4770" s="88" t="s">
        <v>5841</v>
      </c>
      <c r="F4770" s="89"/>
      <c r="G4770" s="89"/>
      <c r="H4770" s="89"/>
      <c r="I4770" s="90"/>
      <c r="J4770" s="88" t="s">
        <v>770</v>
      </c>
      <c r="K4770" s="89"/>
      <c r="L4770" s="89"/>
      <c r="M4770" s="90"/>
      <c r="N4770" s="88" t="s">
        <v>701</v>
      </c>
      <c r="O4770" s="89"/>
      <c r="P4770" s="90"/>
      <c r="Q4770" s="133">
        <v>2693</v>
      </c>
      <c r="R4770" s="134"/>
      <c r="S4770" s="5" t="s">
        <v>814</v>
      </c>
      <c r="T4770" s="8">
        <v>2590</v>
      </c>
      <c r="U4770" s="8">
        <v>10</v>
      </c>
      <c r="V4770" s="5" t="s">
        <v>23</v>
      </c>
      <c r="W4770" s="12">
        <v>5713478</v>
      </c>
      <c r="X4770" s="6"/>
      <c r="Y4770" s="6"/>
    </row>
    <row r="4771" spans="1:25" ht="15" customHeight="1" x14ac:dyDescent="0.2">
      <c r="A4771" s="88" t="s">
        <v>5555</v>
      </c>
      <c r="B4771" s="90"/>
      <c r="C4771" s="88" t="s">
        <v>5842</v>
      </c>
      <c r="D4771" s="90"/>
      <c r="E4771" s="88" t="s">
        <v>5841</v>
      </c>
      <c r="F4771" s="89"/>
      <c r="G4771" s="89"/>
      <c r="H4771" s="89"/>
      <c r="I4771" s="90"/>
      <c r="J4771" s="88" t="s">
        <v>2179</v>
      </c>
      <c r="K4771" s="89"/>
      <c r="L4771" s="89"/>
      <c r="M4771" s="90"/>
      <c r="N4771" s="88" t="s">
        <v>26</v>
      </c>
      <c r="O4771" s="89"/>
      <c r="P4771" s="90"/>
      <c r="Q4771" s="133">
        <v>2693</v>
      </c>
      <c r="R4771" s="134"/>
      <c r="S4771" s="5" t="s">
        <v>814</v>
      </c>
      <c r="T4771" s="8">
        <v>2590</v>
      </c>
      <c r="U4771" s="8">
        <v>10</v>
      </c>
      <c r="V4771" s="5" t="s">
        <v>23</v>
      </c>
      <c r="W4771" s="12">
        <v>5831829</v>
      </c>
      <c r="X4771" s="6"/>
      <c r="Y4771" s="6"/>
    </row>
    <row r="4772" spans="1:25" ht="15" customHeight="1" x14ac:dyDescent="0.2">
      <c r="A4772" s="88" t="s">
        <v>5555</v>
      </c>
      <c r="B4772" s="90"/>
      <c r="C4772" s="88" t="s">
        <v>5845</v>
      </c>
      <c r="D4772" s="90"/>
      <c r="E4772" s="88" t="s">
        <v>5816</v>
      </c>
      <c r="F4772" s="89"/>
      <c r="G4772" s="89"/>
      <c r="H4772" s="89"/>
      <c r="I4772" s="90"/>
      <c r="J4772" s="88" t="s">
        <v>2179</v>
      </c>
      <c r="K4772" s="89"/>
      <c r="L4772" s="89"/>
      <c r="M4772" s="90"/>
      <c r="N4772" s="88" t="s">
        <v>26</v>
      </c>
      <c r="O4772" s="89"/>
      <c r="P4772" s="90"/>
      <c r="Q4772" s="133">
        <v>1998</v>
      </c>
      <c r="R4772" s="134"/>
      <c r="S4772" s="5" t="s">
        <v>814</v>
      </c>
      <c r="T4772" s="8">
        <v>2670</v>
      </c>
      <c r="U4772" s="8">
        <v>5</v>
      </c>
      <c r="V4772" s="5" t="s">
        <v>23</v>
      </c>
      <c r="W4772" s="12">
        <v>6616043</v>
      </c>
      <c r="X4772" s="6"/>
      <c r="Y4772" s="6"/>
    </row>
    <row r="4773" spans="1:25" ht="15" customHeight="1" x14ac:dyDescent="0.2">
      <c r="A4773" s="88" t="s">
        <v>5555</v>
      </c>
      <c r="B4773" s="90"/>
      <c r="C4773" s="88" t="s">
        <v>5845</v>
      </c>
      <c r="D4773" s="90"/>
      <c r="E4773" s="88" t="s">
        <v>5846</v>
      </c>
      <c r="F4773" s="89"/>
      <c r="G4773" s="89"/>
      <c r="H4773" s="89"/>
      <c r="I4773" s="90"/>
      <c r="J4773" s="88" t="s">
        <v>770</v>
      </c>
      <c r="K4773" s="89"/>
      <c r="L4773" s="89"/>
      <c r="M4773" s="90"/>
      <c r="N4773" s="88" t="s">
        <v>26</v>
      </c>
      <c r="O4773" s="89"/>
      <c r="P4773" s="90"/>
      <c r="Q4773" s="133">
        <v>1998</v>
      </c>
      <c r="R4773" s="134"/>
      <c r="S4773" s="5" t="s">
        <v>814</v>
      </c>
      <c r="T4773" s="8">
        <v>2690</v>
      </c>
      <c r="U4773" s="8">
        <v>10</v>
      </c>
      <c r="V4773" s="5" t="s">
        <v>23</v>
      </c>
      <c r="W4773" s="12">
        <v>7171455</v>
      </c>
      <c r="X4773" s="6"/>
      <c r="Y4773" s="6"/>
    </row>
    <row r="4774" spans="1:25" ht="46.5" customHeight="1" x14ac:dyDescent="0.2">
      <c r="A4774" s="136" t="s">
        <v>5555</v>
      </c>
      <c r="B4774" s="137"/>
      <c r="C4774" s="97" t="s">
        <v>5847</v>
      </c>
      <c r="D4774" s="99"/>
      <c r="E4774" s="88" t="s">
        <v>5848</v>
      </c>
      <c r="F4774" s="89"/>
      <c r="G4774" s="89"/>
      <c r="H4774" s="89"/>
      <c r="I4774" s="90"/>
      <c r="J4774" s="136" t="s">
        <v>599</v>
      </c>
      <c r="K4774" s="141"/>
      <c r="L4774" s="141"/>
      <c r="M4774" s="137"/>
      <c r="N4774" s="136" t="s">
        <v>22</v>
      </c>
      <c r="O4774" s="141"/>
      <c r="P4774" s="137"/>
      <c r="Q4774" s="142">
        <v>2400</v>
      </c>
      <c r="R4774" s="143"/>
      <c r="S4774" s="14" t="s">
        <v>1299</v>
      </c>
      <c r="T4774" s="4"/>
      <c r="U4774" s="4"/>
      <c r="V4774" s="14" t="s">
        <v>106</v>
      </c>
      <c r="W4774" s="15">
        <v>4462500</v>
      </c>
      <c r="X4774" s="4"/>
      <c r="Y4774" s="4"/>
    </row>
    <row r="4775" spans="1:25" ht="15" customHeight="1" x14ac:dyDescent="0.2">
      <c r="A4775" s="88" t="s">
        <v>5555</v>
      </c>
      <c r="B4775" s="90"/>
      <c r="C4775" s="88" t="s">
        <v>5849</v>
      </c>
      <c r="D4775" s="90"/>
      <c r="E4775" s="88" t="s">
        <v>5850</v>
      </c>
      <c r="F4775" s="89"/>
      <c r="G4775" s="89"/>
      <c r="H4775" s="89"/>
      <c r="I4775" s="90"/>
      <c r="J4775" s="88" t="s">
        <v>599</v>
      </c>
      <c r="K4775" s="89"/>
      <c r="L4775" s="89"/>
      <c r="M4775" s="90"/>
      <c r="N4775" s="88" t="s">
        <v>22</v>
      </c>
      <c r="O4775" s="89"/>
      <c r="P4775" s="90"/>
      <c r="Q4775" s="133">
        <v>2400</v>
      </c>
      <c r="R4775" s="134"/>
      <c r="S4775" s="5" t="s">
        <v>793</v>
      </c>
      <c r="T4775" s="6"/>
      <c r="U4775" s="6"/>
      <c r="V4775" s="5" t="s">
        <v>106</v>
      </c>
      <c r="W4775" s="12">
        <v>4462500</v>
      </c>
      <c r="X4775" s="6"/>
      <c r="Y4775" s="6"/>
    </row>
    <row r="4776" spans="1:25" ht="15" customHeight="1" x14ac:dyDescent="0.2">
      <c r="A4776" s="88" t="s">
        <v>5555</v>
      </c>
      <c r="B4776" s="90"/>
      <c r="C4776" s="88" t="s">
        <v>5851</v>
      </c>
      <c r="D4776" s="90"/>
      <c r="E4776" s="88" t="s">
        <v>5852</v>
      </c>
      <c r="F4776" s="89"/>
      <c r="G4776" s="89"/>
      <c r="H4776" s="89"/>
      <c r="I4776" s="90"/>
      <c r="J4776" s="88" t="s">
        <v>599</v>
      </c>
      <c r="K4776" s="89"/>
      <c r="L4776" s="89"/>
      <c r="M4776" s="90"/>
      <c r="N4776" s="88" t="s">
        <v>22</v>
      </c>
      <c r="O4776" s="89"/>
      <c r="P4776" s="90"/>
      <c r="Q4776" s="133">
        <v>2800</v>
      </c>
      <c r="R4776" s="134"/>
      <c r="S4776" s="5" t="s">
        <v>793</v>
      </c>
      <c r="T4776" s="6"/>
      <c r="U4776" s="6"/>
      <c r="V4776" s="5" t="s">
        <v>106</v>
      </c>
      <c r="W4776" s="12">
        <v>6589000</v>
      </c>
      <c r="X4776" s="6"/>
      <c r="Y4776" s="6"/>
    </row>
    <row r="4777" spans="1:25" ht="15" customHeight="1" x14ac:dyDescent="0.2">
      <c r="A4777" s="88" t="s">
        <v>5555</v>
      </c>
      <c r="B4777" s="90"/>
      <c r="C4777" s="88" t="s">
        <v>5853</v>
      </c>
      <c r="D4777" s="90"/>
      <c r="E4777" s="88" t="s">
        <v>5854</v>
      </c>
      <c r="F4777" s="89"/>
      <c r="G4777" s="89"/>
      <c r="H4777" s="89"/>
      <c r="I4777" s="90"/>
      <c r="J4777" s="88" t="s">
        <v>13</v>
      </c>
      <c r="K4777" s="89"/>
      <c r="L4777" s="89"/>
      <c r="M4777" s="90"/>
      <c r="N4777" s="88" t="s">
        <v>22</v>
      </c>
      <c r="O4777" s="89"/>
      <c r="P4777" s="90"/>
      <c r="Q4777" s="133">
        <v>2800</v>
      </c>
      <c r="R4777" s="134"/>
      <c r="S4777" s="5" t="s">
        <v>793</v>
      </c>
      <c r="T4777" s="6"/>
      <c r="U4777" s="6"/>
      <c r="V4777" s="5" t="s">
        <v>106</v>
      </c>
      <c r="W4777" s="12">
        <v>6951000</v>
      </c>
      <c r="X4777" s="6"/>
      <c r="Y4777" s="6"/>
    </row>
    <row r="4778" spans="1:25" ht="15" customHeight="1" x14ac:dyDescent="0.2">
      <c r="A4778" s="88" t="s">
        <v>5555</v>
      </c>
      <c r="B4778" s="90"/>
      <c r="C4778" s="88" t="s">
        <v>5855</v>
      </c>
      <c r="D4778" s="90"/>
      <c r="E4778" s="88" t="s">
        <v>5850</v>
      </c>
      <c r="F4778" s="89"/>
      <c r="G4778" s="89"/>
      <c r="H4778" s="89"/>
      <c r="I4778" s="90"/>
      <c r="J4778" s="88" t="s">
        <v>599</v>
      </c>
      <c r="K4778" s="89"/>
      <c r="L4778" s="89"/>
      <c r="M4778" s="90"/>
      <c r="N4778" s="88" t="s">
        <v>22</v>
      </c>
      <c r="O4778" s="89"/>
      <c r="P4778" s="90"/>
      <c r="Q4778" s="133">
        <v>2400</v>
      </c>
      <c r="R4778" s="134"/>
      <c r="S4778" s="5" t="s">
        <v>793</v>
      </c>
      <c r="T4778" s="6"/>
      <c r="U4778" s="6"/>
      <c r="V4778" s="5" t="s">
        <v>106</v>
      </c>
      <c r="W4778" s="12">
        <v>5712000</v>
      </c>
      <c r="X4778" s="6"/>
      <c r="Y4778" s="6"/>
    </row>
    <row r="4779" spans="1:25" ht="46.5" customHeight="1" x14ac:dyDescent="0.2">
      <c r="A4779" s="136" t="s">
        <v>5555</v>
      </c>
      <c r="B4779" s="137"/>
      <c r="C4779" s="97" t="s">
        <v>5856</v>
      </c>
      <c r="D4779" s="99"/>
      <c r="E4779" s="138" t="s">
        <v>5857</v>
      </c>
      <c r="F4779" s="139"/>
      <c r="G4779" s="139"/>
      <c r="H4779" s="139"/>
      <c r="I4779" s="140"/>
      <c r="J4779" s="136" t="s">
        <v>599</v>
      </c>
      <c r="K4779" s="141"/>
      <c r="L4779" s="141"/>
      <c r="M4779" s="137"/>
      <c r="N4779" s="136" t="s">
        <v>26</v>
      </c>
      <c r="O4779" s="141"/>
      <c r="P4779" s="137"/>
      <c r="Q4779" s="142">
        <v>2400</v>
      </c>
      <c r="R4779" s="143"/>
      <c r="S4779" s="14" t="s">
        <v>1299</v>
      </c>
      <c r="T4779" s="4"/>
      <c r="U4779" s="4"/>
      <c r="V4779" s="14" t="s">
        <v>106</v>
      </c>
      <c r="W4779" s="15">
        <v>3400000</v>
      </c>
      <c r="X4779" s="4"/>
      <c r="Y4779" s="4"/>
    </row>
    <row r="4780" spans="1:25" ht="15" customHeight="1" x14ac:dyDescent="0.2">
      <c r="A4780" s="88" t="s">
        <v>5555</v>
      </c>
      <c r="B4780" s="90"/>
      <c r="C4780" s="88" t="s">
        <v>5858</v>
      </c>
      <c r="D4780" s="90"/>
      <c r="E4780" s="88" t="s">
        <v>5859</v>
      </c>
      <c r="F4780" s="89"/>
      <c r="G4780" s="89"/>
      <c r="H4780" s="89"/>
      <c r="I4780" s="90"/>
      <c r="J4780" s="88" t="s">
        <v>1718</v>
      </c>
      <c r="K4780" s="89"/>
      <c r="L4780" s="89"/>
      <c r="M4780" s="90"/>
      <c r="N4780" s="88" t="s">
        <v>22</v>
      </c>
      <c r="O4780" s="89"/>
      <c r="P4780" s="90"/>
      <c r="Q4780" s="133">
        <v>2400</v>
      </c>
      <c r="R4780" s="134"/>
      <c r="S4780" s="5" t="s">
        <v>793</v>
      </c>
      <c r="T4780" s="6"/>
      <c r="U4780" s="6"/>
      <c r="V4780" s="5" t="s">
        <v>106</v>
      </c>
      <c r="W4780" s="12">
        <v>5240000</v>
      </c>
      <c r="X4780" s="6"/>
      <c r="Y4780" s="6"/>
    </row>
    <row r="4781" spans="1:25" ht="15" customHeight="1" x14ac:dyDescent="0.2">
      <c r="A4781" s="88" t="s">
        <v>5555</v>
      </c>
      <c r="B4781" s="90"/>
      <c r="C4781" s="88" t="s">
        <v>5860</v>
      </c>
      <c r="D4781" s="90"/>
      <c r="E4781" s="88" t="s">
        <v>5861</v>
      </c>
      <c r="F4781" s="89"/>
      <c r="G4781" s="89"/>
      <c r="H4781" s="89"/>
      <c r="I4781" s="90"/>
      <c r="J4781" s="88" t="s">
        <v>1718</v>
      </c>
      <c r="K4781" s="89"/>
      <c r="L4781" s="89"/>
      <c r="M4781" s="90"/>
      <c r="N4781" s="88" t="s">
        <v>22</v>
      </c>
      <c r="O4781" s="89"/>
      <c r="P4781" s="90"/>
      <c r="Q4781" s="133">
        <v>2400</v>
      </c>
      <c r="R4781" s="134"/>
      <c r="S4781" s="5" t="s">
        <v>793</v>
      </c>
      <c r="T4781" s="6"/>
      <c r="U4781" s="6"/>
      <c r="V4781" s="5" t="s">
        <v>106</v>
      </c>
      <c r="W4781" s="12">
        <v>4823839</v>
      </c>
      <c r="X4781" s="6"/>
      <c r="Y4781" s="6"/>
    </row>
    <row r="4782" spans="1:25" ht="15" customHeight="1" x14ac:dyDescent="0.2">
      <c r="A4782" s="88" t="s">
        <v>5555</v>
      </c>
      <c r="B4782" s="90"/>
      <c r="C4782" s="88" t="s">
        <v>5862</v>
      </c>
      <c r="D4782" s="90"/>
      <c r="E4782" s="88" t="s">
        <v>5863</v>
      </c>
      <c r="F4782" s="89"/>
      <c r="G4782" s="89"/>
      <c r="H4782" s="89"/>
      <c r="I4782" s="90"/>
      <c r="J4782" s="88" t="s">
        <v>599</v>
      </c>
      <c r="K4782" s="89"/>
      <c r="L4782" s="89"/>
      <c r="M4782" s="90"/>
      <c r="N4782" s="88" t="s">
        <v>22</v>
      </c>
      <c r="O4782" s="89"/>
      <c r="P4782" s="90"/>
      <c r="Q4782" s="133">
        <v>2400</v>
      </c>
      <c r="R4782" s="134"/>
      <c r="S4782" s="5" t="s">
        <v>793</v>
      </c>
      <c r="T4782" s="6"/>
      <c r="U4782" s="6"/>
      <c r="V4782" s="5" t="s">
        <v>106</v>
      </c>
      <c r="W4782" s="12">
        <v>5240000</v>
      </c>
      <c r="X4782" s="6"/>
      <c r="Y4782" s="6"/>
    </row>
    <row r="4783" spans="1:25" ht="15" customHeight="1" x14ac:dyDescent="0.2">
      <c r="A4783" s="88" t="s">
        <v>5555</v>
      </c>
      <c r="B4783" s="90"/>
      <c r="C4783" s="88" t="s">
        <v>5864</v>
      </c>
      <c r="D4783" s="90"/>
      <c r="E4783" s="88" t="s">
        <v>5865</v>
      </c>
      <c r="F4783" s="89"/>
      <c r="G4783" s="89"/>
      <c r="H4783" s="89"/>
      <c r="I4783" s="90"/>
      <c r="J4783" s="88" t="s">
        <v>13</v>
      </c>
      <c r="K4783" s="89"/>
      <c r="L4783" s="89"/>
      <c r="M4783" s="90"/>
      <c r="N4783" s="88" t="s">
        <v>22</v>
      </c>
      <c r="O4783" s="89"/>
      <c r="P4783" s="90"/>
      <c r="Q4783" s="133">
        <v>2400</v>
      </c>
      <c r="R4783" s="134"/>
      <c r="S4783" s="5" t="s">
        <v>793</v>
      </c>
      <c r="T4783" s="6"/>
      <c r="U4783" s="6"/>
      <c r="V4783" s="5" t="s">
        <v>106</v>
      </c>
      <c r="W4783" s="12">
        <v>5712000</v>
      </c>
      <c r="X4783" s="6"/>
      <c r="Y4783" s="6"/>
    </row>
    <row r="4784" spans="1:25" ht="15" customHeight="1" x14ac:dyDescent="0.2">
      <c r="A4784" s="88" t="s">
        <v>5555</v>
      </c>
      <c r="B4784" s="90"/>
      <c r="C4784" s="88" t="s">
        <v>5866</v>
      </c>
      <c r="D4784" s="90"/>
      <c r="E4784" s="88" t="s">
        <v>5867</v>
      </c>
      <c r="F4784" s="89"/>
      <c r="G4784" s="89"/>
      <c r="H4784" s="89"/>
      <c r="I4784" s="90"/>
      <c r="J4784" s="88" t="s">
        <v>3137</v>
      </c>
      <c r="K4784" s="89"/>
      <c r="L4784" s="89"/>
      <c r="M4784" s="90"/>
      <c r="N4784" s="88" t="s">
        <v>22</v>
      </c>
      <c r="O4784" s="89"/>
      <c r="P4784" s="90"/>
      <c r="Q4784" s="133">
        <v>2393</v>
      </c>
      <c r="R4784" s="134"/>
      <c r="S4784" s="5" t="s">
        <v>793</v>
      </c>
      <c r="T4784" s="8">
        <v>2875</v>
      </c>
      <c r="U4784" s="8">
        <v>5</v>
      </c>
      <c r="V4784" s="5" t="s">
        <v>106</v>
      </c>
      <c r="W4784" s="12">
        <v>7112071</v>
      </c>
      <c r="X4784" s="6"/>
      <c r="Y4784" s="6"/>
    </row>
    <row r="4785" spans="1:25" ht="15" customHeight="1" x14ac:dyDescent="0.2">
      <c r="A4785" s="88" t="s">
        <v>5555</v>
      </c>
      <c r="B4785" s="90"/>
      <c r="C4785" s="88" t="s">
        <v>5866</v>
      </c>
      <c r="D4785" s="90"/>
      <c r="E4785" s="88" t="s">
        <v>5867</v>
      </c>
      <c r="F4785" s="89"/>
      <c r="G4785" s="89"/>
      <c r="H4785" s="89"/>
      <c r="I4785" s="90"/>
      <c r="J4785" s="88" t="s">
        <v>5868</v>
      </c>
      <c r="K4785" s="89"/>
      <c r="L4785" s="89"/>
      <c r="M4785" s="90"/>
      <c r="N4785" s="88" t="s">
        <v>22</v>
      </c>
      <c r="O4785" s="89"/>
      <c r="P4785" s="90"/>
      <c r="Q4785" s="133">
        <v>2393</v>
      </c>
      <c r="R4785" s="134"/>
      <c r="S4785" s="5" t="s">
        <v>793</v>
      </c>
      <c r="T4785" s="8">
        <v>2875</v>
      </c>
      <c r="U4785" s="8">
        <v>5</v>
      </c>
      <c r="V4785" s="5" t="s">
        <v>106</v>
      </c>
      <c r="W4785" s="12">
        <v>6780221</v>
      </c>
      <c r="X4785" s="6"/>
      <c r="Y4785" s="6"/>
    </row>
    <row r="4786" spans="1:25" ht="15" customHeight="1" x14ac:dyDescent="0.2">
      <c r="A4786" s="88" t="s">
        <v>5555</v>
      </c>
      <c r="B4786" s="90"/>
      <c r="C4786" s="88" t="s">
        <v>5866</v>
      </c>
      <c r="D4786" s="90"/>
      <c r="E4786" s="88" t="s">
        <v>5869</v>
      </c>
      <c r="F4786" s="89"/>
      <c r="G4786" s="89"/>
      <c r="H4786" s="89"/>
      <c r="I4786" s="90"/>
      <c r="J4786" s="88" t="s">
        <v>2179</v>
      </c>
      <c r="K4786" s="89"/>
      <c r="L4786" s="89"/>
      <c r="M4786" s="90"/>
      <c r="N4786" s="88" t="s">
        <v>22</v>
      </c>
      <c r="O4786" s="89"/>
      <c r="P4786" s="90"/>
      <c r="Q4786" s="133">
        <v>2393</v>
      </c>
      <c r="R4786" s="134"/>
      <c r="S4786" s="5" t="s">
        <v>793</v>
      </c>
      <c r="T4786" s="8">
        <v>2855</v>
      </c>
      <c r="U4786" s="8">
        <v>5</v>
      </c>
      <c r="V4786" s="5" t="s">
        <v>106</v>
      </c>
      <c r="W4786" s="12">
        <v>6074603</v>
      </c>
      <c r="X4786" s="6"/>
      <c r="Y4786" s="6"/>
    </row>
    <row r="4787" spans="1:25" ht="15" customHeight="1" x14ac:dyDescent="0.2">
      <c r="A4787" s="88" t="s">
        <v>5555</v>
      </c>
      <c r="B4787" s="90"/>
      <c r="C4787" s="88" t="s">
        <v>5866</v>
      </c>
      <c r="D4787" s="90"/>
      <c r="E4787" s="88" t="s">
        <v>5870</v>
      </c>
      <c r="F4787" s="89"/>
      <c r="G4787" s="89"/>
      <c r="H4787" s="89"/>
      <c r="I4787" s="90"/>
      <c r="J4787" s="88" t="s">
        <v>2179</v>
      </c>
      <c r="K4787" s="89"/>
      <c r="L4787" s="89"/>
      <c r="M4787" s="90"/>
      <c r="N4787" s="88" t="s">
        <v>701</v>
      </c>
      <c r="O4787" s="89"/>
      <c r="P4787" s="90"/>
      <c r="Q4787" s="133">
        <v>2393</v>
      </c>
      <c r="R4787" s="134"/>
      <c r="S4787" s="5" t="s">
        <v>793</v>
      </c>
      <c r="T4787" s="8">
        <v>2855</v>
      </c>
      <c r="U4787" s="8">
        <v>5</v>
      </c>
      <c r="V4787" s="5" t="s">
        <v>106</v>
      </c>
      <c r="W4787" s="12">
        <v>6071068</v>
      </c>
      <c r="X4787" s="6"/>
      <c r="Y4787" s="6"/>
    </row>
    <row r="4788" spans="1:25" ht="15" customHeight="1" x14ac:dyDescent="0.2">
      <c r="A4788" s="88" t="s">
        <v>5555</v>
      </c>
      <c r="B4788" s="90"/>
      <c r="C4788" s="88" t="s">
        <v>5866</v>
      </c>
      <c r="D4788" s="90"/>
      <c r="E4788" s="88" t="s">
        <v>5869</v>
      </c>
      <c r="F4788" s="89"/>
      <c r="G4788" s="89"/>
      <c r="H4788" s="89"/>
      <c r="I4788" s="90"/>
      <c r="J4788" s="88" t="s">
        <v>2179</v>
      </c>
      <c r="K4788" s="89"/>
      <c r="L4788" s="89"/>
      <c r="M4788" s="90"/>
      <c r="N4788" s="88" t="s">
        <v>22</v>
      </c>
      <c r="O4788" s="89"/>
      <c r="P4788" s="90"/>
      <c r="Q4788" s="133">
        <v>2393</v>
      </c>
      <c r="R4788" s="134"/>
      <c r="S4788" s="5" t="s">
        <v>793</v>
      </c>
      <c r="T4788" s="8">
        <v>2855</v>
      </c>
      <c r="U4788" s="8">
        <v>5</v>
      </c>
      <c r="V4788" s="5" t="s">
        <v>106</v>
      </c>
      <c r="W4788" s="12">
        <v>6536049</v>
      </c>
      <c r="X4788" s="6"/>
      <c r="Y4788" s="6"/>
    </row>
    <row r="4789" spans="1:25" ht="15" customHeight="1" x14ac:dyDescent="0.2">
      <c r="A4789" s="88" t="s">
        <v>5555</v>
      </c>
      <c r="B4789" s="90"/>
      <c r="C4789" s="88" t="s">
        <v>5871</v>
      </c>
      <c r="D4789" s="90"/>
      <c r="E4789" s="88" t="s">
        <v>5872</v>
      </c>
      <c r="F4789" s="89"/>
      <c r="G4789" s="89"/>
      <c r="H4789" s="89"/>
      <c r="I4789" s="90"/>
      <c r="J4789" s="88" t="s">
        <v>770</v>
      </c>
      <c r="K4789" s="89"/>
      <c r="L4789" s="89"/>
      <c r="M4789" s="90"/>
      <c r="N4789" s="88" t="s">
        <v>26</v>
      </c>
      <c r="O4789" s="89"/>
      <c r="P4789" s="90"/>
      <c r="Q4789" s="133">
        <v>1496</v>
      </c>
      <c r="R4789" s="134"/>
      <c r="S4789" s="5" t="s">
        <v>27</v>
      </c>
      <c r="T4789" s="8">
        <v>1160</v>
      </c>
      <c r="U4789" s="8">
        <v>5</v>
      </c>
      <c r="V4789" s="5" t="s">
        <v>23</v>
      </c>
      <c r="W4789" s="12">
        <v>3451521</v>
      </c>
      <c r="X4789" s="6"/>
      <c r="Y4789" s="6"/>
    </row>
    <row r="4790" spans="1:25" ht="15" customHeight="1" x14ac:dyDescent="0.2">
      <c r="A4790" s="88" t="s">
        <v>5555</v>
      </c>
      <c r="B4790" s="90"/>
      <c r="C4790" s="88" t="s">
        <v>5873</v>
      </c>
      <c r="D4790" s="90"/>
      <c r="E4790" s="88" t="s">
        <v>5874</v>
      </c>
      <c r="F4790" s="89"/>
      <c r="G4790" s="89"/>
      <c r="H4790" s="89"/>
      <c r="I4790" s="90"/>
      <c r="J4790" s="88" t="s">
        <v>770</v>
      </c>
      <c r="K4790" s="89"/>
      <c r="L4790" s="89"/>
      <c r="M4790" s="90"/>
      <c r="N4790" s="88" t="s">
        <v>26</v>
      </c>
      <c r="O4790" s="89"/>
      <c r="P4790" s="90"/>
      <c r="Q4790" s="133">
        <v>1986</v>
      </c>
      <c r="R4790" s="134"/>
      <c r="S4790" s="5" t="s">
        <v>814</v>
      </c>
      <c r="T4790" s="8">
        <v>1855</v>
      </c>
      <c r="U4790" s="8">
        <v>7</v>
      </c>
      <c r="V4790" s="5" t="s">
        <v>23</v>
      </c>
      <c r="W4790" s="12">
        <v>4071271</v>
      </c>
      <c r="X4790" s="6"/>
      <c r="Y4790" s="6"/>
    </row>
    <row r="4791" spans="1:25" ht="15" customHeight="1" x14ac:dyDescent="0.2">
      <c r="A4791" s="88" t="s">
        <v>5555</v>
      </c>
      <c r="B4791" s="90"/>
      <c r="C4791" s="88" t="s">
        <v>5875</v>
      </c>
      <c r="D4791" s="90"/>
      <c r="E4791" s="88" t="s">
        <v>5876</v>
      </c>
      <c r="F4791" s="89"/>
      <c r="G4791" s="89"/>
      <c r="H4791" s="89"/>
      <c r="I4791" s="90"/>
      <c r="J4791" s="88" t="s">
        <v>770</v>
      </c>
      <c r="K4791" s="89"/>
      <c r="L4791" s="89"/>
      <c r="M4791" s="90"/>
      <c r="N4791" s="88" t="s">
        <v>26</v>
      </c>
      <c r="O4791" s="89"/>
      <c r="P4791" s="90"/>
      <c r="Q4791" s="133">
        <v>1496</v>
      </c>
      <c r="R4791" s="134"/>
      <c r="S4791" s="5" t="s">
        <v>814</v>
      </c>
      <c r="T4791" s="8">
        <v>1685</v>
      </c>
      <c r="U4791" s="8">
        <v>5</v>
      </c>
      <c r="V4791" s="5" t="s">
        <v>23</v>
      </c>
      <c r="W4791" s="12">
        <v>5432560</v>
      </c>
      <c r="X4791" s="6"/>
      <c r="Y4791" s="6"/>
    </row>
    <row r="4792" spans="1:25" ht="15" customHeight="1" x14ac:dyDescent="0.2">
      <c r="A4792" s="88" t="s">
        <v>5555</v>
      </c>
      <c r="B4792" s="90"/>
      <c r="C4792" s="88" t="s">
        <v>5875</v>
      </c>
      <c r="D4792" s="90"/>
      <c r="E4792" s="88" t="s">
        <v>5877</v>
      </c>
      <c r="F4792" s="89"/>
      <c r="G4792" s="89"/>
      <c r="H4792" s="89"/>
      <c r="I4792" s="90"/>
      <c r="J4792" s="88" t="s">
        <v>770</v>
      </c>
      <c r="K4792" s="89"/>
      <c r="L4792" s="89"/>
      <c r="M4792" s="90"/>
      <c r="N4792" s="88" t="s">
        <v>26</v>
      </c>
      <c r="O4792" s="89"/>
      <c r="P4792" s="90"/>
      <c r="Q4792" s="133">
        <v>1496</v>
      </c>
      <c r="R4792" s="134"/>
      <c r="S4792" s="5" t="s">
        <v>814</v>
      </c>
      <c r="T4792" s="8">
        <v>1685</v>
      </c>
      <c r="U4792" s="8">
        <v>5</v>
      </c>
      <c r="V4792" s="5" t="s">
        <v>23</v>
      </c>
      <c r="W4792" s="12">
        <v>5432560</v>
      </c>
      <c r="X4792" s="6"/>
      <c r="Y4792" s="6"/>
    </row>
    <row r="4793" spans="1:25" ht="15" customHeight="1" x14ac:dyDescent="0.2">
      <c r="A4793" s="88" t="s">
        <v>5555</v>
      </c>
      <c r="B4793" s="90"/>
      <c r="C4793" s="88" t="s">
        <v>5875</v>
      </c>
      <c r="D4793" s="90"/>
      <c r="E4793" s="88" t="s">
        <v>5878</v>
      </c>
      <c r="F4793" s="89"/>
      <c r="G4793" s="89"/>
      <c r="H4793" s="89"/>
      <c r="I4793" s="90"/>
      <c r="J4793" s="88" t="s">
        <v>770</v>
      </c>
      <c r="K4793" s="89"/>
      <c r="L4793" s="89"/>
      <c r="M4793" s="90"/>
      <c r="N4793" s="88" t="s">
        <v>26</v>
      </c>
      <c r="O4793" s="89"/>
      <c r="P4793" s="90"/>
      <c r="Q4793" s="133">
        <v>1496</v>
      </c>
      <c r="R4793" s="134"/>
      <c r="S4793" s="5" t="s">
        <v>814</v>
      </c>
      <c r="T4793" s="8">
        <v>1685</v>
      </c>
      <c r="U4793" s="8">
        <v>5</v>
      </c>
      <c r="V4793" s="5" t="s">
        <v>23</v>
      </c>
      <c r="W4793" s="12">
        <v>5975817</v>
      </c>
      <c r="X4793" s="6"/>
      <c r="Y4793" s="6"/>
    </row>
    <row r="4794" spans="1:25" ht="15" customHeight="1" x14ac:dyDescent="0.2">
      <c r="A4794" s="88" t="s">
        <v>5555</v>
      </c>
      <c r="B4794" s="90"/>
      <c r="C4794" s="88" t="s">
        <v>5879</v>
      </c>
      <c r="D4794" s="90"/>
      <c r="E4794" s="88" t="s">
        <v>5880</v>
      </c>
      <c r="F4794" s="89"/>
      <c r="G4794" s="89"/>
      <c r="H4794" s="89"/>
      <c r="I4794" s="90"/>
      <c r="J4794" s="88" t="s">
        <v>770</v>
      </c>
      <c r="K4794" s="89"/>
      <c r="L4794" s="89"/>
      <c r="M4794" s="90"/>
      <c r="N4794" s="88" t="s">
        <v>26</v>
      </c>
      <c r="O4794" s="89"/>
      <c r="P4794" s="90"/>
      <c r="Q4794" s="133">
        <v>1496</v>
      </c>
      <c r="R4794" s="134"/>
      <c r="S4794" s="5" t="s">
        <v>814</v>
      </c>
      <c r="T4794" s="8">
        <v>1685</v>
      </c>
      <c r="U4794" s="8">
        <v>5</v>
      </c>
      <c r="V4794" s="5" t="s">
        <v>23</v>
      </c>
      <c r="W4794" s="12">
        <v>5975817</v>
      </c>
      <c r="X4794" s="6"/>
      <c r="Y4794" s="6"/>
    </row>
    <row r="4795" spans="1:25" ht="15" customHeight="1" x14ac:dyDescent="0.2">
      <c r="A4795" s="88" t="s">
        <v>5555</v>
      </c>
      <c r="B4795" s="90"/>
      <c r="C4795" s="88" t="s">
        <v>5879</v>
      </c>
      <c r="D4795" s="90"/>
      <c r="E4795" s="88" t="s">
        <v>5877</v>
      </c>
      <c r="F4795" s="89"/>
      <c r="G4795" s="89"/>
      <c r="H4795" s="89"/>
      <c r="I4795" s="90"/>
      <c r="J4795" s="88" t="s">
        <v>770</v>
      </c>
      <c r="K4795" s="89"/>
      <c r="L4795" s="89"/>
      <c r="M4795" s="90"/>
      <c r="N4795" s="88" t="s">
        <v>26</v>
      </c>
      <c r="O4795" s="89"/>
      <c r="P4795" s="90"/>
      <c r="Q4795" s="133">
        <v>1496</v>
      </c>
      <c r="R4795" s="134"/>
      <c r="S4795" s="5" t="s">
        <v>814</v>
      </c>
      <c r="T4795" s="8">
        <v>1685</v>
      </c>
      <c r="U4795" s="8">
        <v>5</v>
      </c>
      <c r="V4795" s="5" t="s">
        <v>23</v>
      </c>
      <c r="W4795" s="12">
        <v>5449769</v>
      </c>
      <c r="X4795" s="6"/>
      <c r="Y4795" s="6"/>
    </row>
    <row r="4796" spans="1:25" ht="15" customHeight="1" x14ac:dyDescent="0.2">
      <c r="A4796" s="88" t="s">
        <v>5555</v>
      </c>
      <c r="B4796" s="90"/>
      <c r="C4796" s="88" t="s">
        <v>5881</v>
      </c>
      <c r="D4796" s="90"/>
      <c r="E4796" s="88" t="s">
        <v>5882</v>
      </c>
      <c r="F4796" s="89"/>
      <c r="G4796" s="89"/>
      <c r="H4796" s="89"/>
      <c r="I4796" s="90"/>
      <c r="J4796" s="88" t="s">
        <v>13</v>
      </c>
      <c r="K4796" s="89"/>
      <c r="L4796" s="89"/>
      <c r="M4796" s="90"/>
      <c r="N4796" s="88" t="s">
        <v>22</v>
      </c>
      <c r="O4796" s="89"/>
      <c r="P4796" s="90"/>
      <c r="Q4796" s="133">
        <v>4500</v>
      </c>
      <c r="R4796" s="134"/>
      <c r="S4796" s="5" t="s">
        <v>2633</v>
      </c>
      <c r="T4796" s="6"/>
      <c r="U4796" s="6"/>
      <c r="V4796" s="5" t="s">
        <v>106</v>
      </c>
      <c r="W4796" s="12">
        <v>20160000</v>
      </c>
      <c r="X4796" s="6"/>
      <c r="Y4796" s="6"/>
    </row>
    <row r="4797" spans="1:25" ht="15" customHeight="1" x14ac:dyDescent="0.2">
      <c r="A4797" s="88" t="s">
        <v>5555</v>
      </c>
      <c r="B4797" s="90"/>
      <c r="C4797" s="88" t="s">
        <v>5883</v>
      </c>
      <c r="D4797" s="90"/>
      <c r="E4797" s="88" t="s">
        <v>5884</v>
      </c>
      <c r="F4797" s="89"/>
      <c r="G4797" s="89"/>
      <c r="H4797" s="89"/>
      <c r="I4797" s="90"/>
      <c r="J4797" s="88" t="s">
        <v>5868</v>
      </c>
      <c r="K4797" s="89"/>
      <c r="L4797" s="89"/>
      <c r="M4797" s="90"/>
      <c r="N4797" s="88" t="s">
        <v>22</v>
      </c>
      <c r="O4797" s="89"/>
      <c r="P4797" s="90"/>
      <c r="Q4797" s="133">
        <v>2754</v>
      </c>
      <c r="R4797" s="134"/>
      <c r="S4797" s="5" t="s">
        <v>16</v>
      </c>
      <c r="T4797" s="8">
        <v>2715</v>
      </c>
      <c r="U4797" s="8">
        <v>7</v>
      </c>
      <c r="V4797" s="5" t="s">
        <v>106</v>
      </c>
      <c r="W4797" s="12">
        <v>9681289</v>
      </c>
      <c r="X4797" s="6"/>
      <c r="Y4797" s="6"/>
    </row>
    <row r="4798" spans="1:25" ht="15" customHeight="1" x14ac:dyDescent="0.2">
      <c r="A4798" s="88" t="s">
        <v>5555</v>
      </c>
      <c r="B4798" s="90"/>
      <c r="C4798" s="88" t="s">
        <v>5883</v>
      </c>
      <c r="D4798" s="90"/>
      <c r="E4798" s="88" t="s">
        <v>5885</v>
      </c>
      <c r="F4798" s="89"/>
      <c r="G4798" s="89"/>
      <c r="H4798" s="89"/>
      <c r="I4798" s="90"/>
      <c r="J4798" s="88" t="s">
        <v>2179</v>
      </c>
      <c r="K4798" s="89"/>
      <c r="L4798" s="89"/>
      <c r="M4798" s="90"/>
      <c r="N4798" s="88" t="s">
        <v>22</v>
      </c>
      <c r="O4798" s="89"/>
      <c r="P4798" s="90"/>
      <c r="Q4798" s="133">
        <v>2754</v>
      </c>
      <c r="R4798" s="134"/>
      <c r="S4798" s="5" t="s">
        <v>16</v>
      </c>
      <c r="T4798" s="8">
        <v>2715</v>
      </c>
      <c r="U4798" s="8">
        <v>7</v>
      </c>
      <c r="V4798" s="5" t="s">
        <v>106</v>
      </c>
      <c r="W4798" s="12">
        <v>9367394</v>
      </c>
      <c r="X4798" s="6"/>
      <c r="Y4798" s="6"/>
    </row>
    <row r="4799" spans="1:25" ht="15" customHeight="1" x14ac:dyDescent="0.2">
      <c r="A4799" s="88" t="s">
        <v>5555</v>
      </c>
      <c r="B4799" s="90"/>
      <c r="C4799" s="88" t="s">
        <v>5883</v>
      </c>
      <c r="D4799" s="90"/>
      <c r="E4799" s="88" t="s">
        <v>5885</v>
      </c>
      <c r="F4799" s="89"/>
      <c r="G4799" s="89"/>
      <c r="H4799" s="89"/>
      <c r="I4799" s="90"/>
      <c r="J4799" s="88" t="s">
        <v>2179</v>
      </c>
      <c r="K4799" s="89"/>
      <c r="L4799" s="89"/>
      <c r="M4799" s="90"/>
      <c r="N4799" s="88" t="s">
        <v>701</v>
      </c>
      <c r="O4799" s="89"/>
      <c r="P4799" s="90"/>
      <c r="Q4799" s="133">
        <v>2754</v>
      </c>
      <c r="R4799" s="134"/>
      <c r="S4799" s="5" t="s">
        <v>16</v>
      </c>
      <c r="T4799" s="8">
        <v>2705</v>
      </c>
      <c r="U4799" s="8">
        <v>7</v>
      </c>
      <c r="V4799" s="5" t="s">
        <v>106</v>
      </c>
      <c r="W4799" s="12">
        <v>9397068</v>
      </c>
      <c r="X4799" s="6"/>
      <c r="Y4799" s="6"/>
    </row>
    <row r="4800" spans="1:25" ht="15" customHeight="1" x14ac:dyDescent="0.2">
      <c r="A4800" s="88" t="s">
        <v>5555</v>
      </c>
      <c r="B4800" s="90"/>
      <c r="C4800" s="88" t="s">
        <v>5886</v>
      </c>
      <c r="D4800" s="90"/>
      <c r="E4800" s="88" t="s">
        <v>5887</v>
      </c>
      <c r="F4800" s="89"/>
      <c r="G4800" s="89"/>
      <c r="H4800" s="89"/>
      <c r="I4800" s="90"/>
      <c r="J4800" s="88" t="s">
        <v>963</v>
      </c>
      <c r="K4800" s="89"/>
      <c r="L4800" s="89"/>
      <c r="M4800" s="90"/>
      <c r="N4800" s="88" t="s">
        <v>22</v>
      </c>
      <c r="O4800" s="89"/>
      <c r="P4800" s="90"/>
      <c r="Q4800" s="133">
        <v>3444</v>
      </c>
      <c r="R4800" s="134"/>
      <c r="S4800" s="5" t="s">
        <v>16</v>
      </c>
      <c r="T4800" s="8">
        <v>2885</v>
      </c>
      <c r="U4800" s="8">
        <v>7</v>
      </c>
      <c r="V4800" s="5" t="s">
        <v>23</v>
      </c>
      <c r="W4800" s="12">
        <v>13770032</v>
      </c>
      <c r="X4800" s="6"/>
      <c r="Y4800" s="6"/>
    </row>
    <row r="4801" spans="1:25" ht="15" customHeight="1" x14ac:dyDescent="0.2">
      <c r="A4801" s="88" t="s">
        <v>5555</v>
      </c>
      <c r="B4801" s="90"/>
      <c r="C4801" s="88" t="s">
        <v>5886</v>
      </c>
      <c r="D4801" s="90"/>
      <c r="E4801" s="88" t="s">
        <v>5887</v>
      </c>
      <c r="F4801" s="89"/>
      <c r="G4801" s="89"/>
      <c r="H4801" s="89"/>
      <c r="I4801" s="90"/>
      <c r="J4801" s="88" t="s">
        <v>3137</v>
      </c>
      <c r="K4801" s="89"/>
      <c r="L4801" s="89"/>
      <c r="M4801" s="90"/>
      <c r="N4801" s="88" t="s">
        <v>22</v>
      </c>
      <c r="O4801" s="89"/>
      <c r="P4801" s="90"/>
      <c r="Q4801" s="133">
        <v>3444</v>
      </c>
      <c r="R4801" s="134"/>
      <c r="S4801" s="5" t="s">
        <v>16</v>
      </c>
      <c r="T4801" s="8">
        <v>2885</v>
      </c>
      <c r="U4801" s="8">
        <v>7</v>
      </c>
      <c r="V4801" s="5" t="s">
        <v>23</v>
      </c>
      <c r="W4801" s="12">
        <v>13770032</v>
      </c>
      <c r="X4801" s="6"/>
      <c r="Y4801" s="6"/>
    </row>
    <row r="4802" spans="1:25" ht="15" customHeight="1" x14ac:dyDescent="0.2">
      <c r="A4802" s="88" t="s">
        <v>5555</v>
      </c>
      <c r="B4802" s="90"/>
      <c r="C4802" s="88" t="s">
        <v>5886</v>
      </c>
      <c r="D4802" s="90"/>
      <c r="E4802" s="88" t="s">
        <v>5887</v>
      </c>
      <c r="F4802" s="89"/>
      <c r="G4802" s="89"/>
      <c r="H4802" s="89"/>
      <c r="I4802" s="90"/>
      <c r="J4802" s="88" t="s">
        <v>770</v>
      </c>
      <c r="K4802" s="89"/>
      <c r="L4802" s="89"/>
      <c r="M4802" s="90"/>
      <c r="N4802" s="88" t="s">
        <v>22</v>
      </c>
      <c r="O4802" s="89"/>
      <c r="P4802" s="90"/>
      <c r="Q4802" s="133">
        <v>3444</v>
      </c>
      <c r="R4802" s="134"/>
      <c r="S4802" s="5" t="s">
        <v>16</v>
      </c>
      <c r="T4802" s="8">
        <v>2885</v>
      </c>
      <c r="U4802" s="8">
        <v>5</v>
      </c>
      <c r="V4802" s="5" t="s">
        <v>23</v>
      </c>
      <c r="W4802" s="12">
        <v>13770032</v>
      </c>
      <c r="X4802" s="6"/>
      <c r="Y4802" s="6"/>
    </row>
    <row r="4803" spans="1:25" ht="15" customHeight="1" x14ac:dyDescent="0.2">
      <c r="A4803" s="88" t="s">
        <v>5555</v>
      </c>
      <c r="B4803" s="90"/>
      <c r="C4803" s="88" t="s">
        <v>5886</v>
      </c>
      <c r="D4803" s="90"/>
      <c r="E4803" s="88" t="s">
        <v>5888</v>
      </c>
      <c r="F4803" s="89"/>
      <c r="G4803" s="89"/>
      <c r="H4803" s="89"/>
      <c r="I4803" s="90"/>
      <c r="J4803" s="88" t="s">
        <v>2179</v>
      </c>
      <c r="K4803" s="89"/>
      <c r="L4803" s="89"/>
      <c r="M4803" s="90"/>
      <c r="N4803" s="88" t="s">
        <v>22</v>
      </c>
      <c r="O4803" s="89"/>
      <c r="P4803" s="90"/>
      <c r="Q4803" s="133">
        <v>4608</v>
      </c>
      <c r="R4803" s="134"/>
      <c r="S4803" s="5" t="s">
        <v>16</v>
      </c>
      <c r="T4803" s="8">
        <v>3130</v>
      </c>
      <c r="U4803" s="8">
        <v>8</v>
      </c>
      <c r="V4803" s="5" t="s">
        <v>23</v>
      </c>
      <c r="W4803" s="12">
        <v>11959178</v>
      </c>
      <c r="X4803" s="6"/>
      <c r="Y4803" s="6"/>
    </row>
    <row r="4804" spans="1:25" ht="15" customHeight="1" x14ac:dyDescent="0.2">
      <c r="A4804" s="88" t="s">
        <v>5555</v>
      </c>
      <c r="B4804" s="90"/>
      <c r="C4804" s="88" t="s">
        <v>5886</v>
      </c>
      <c r="D4804" s="90"/>
      <c r="E4804" s="88" t="s">
        <v>5889</v>
      </c>
      <c r="F4804" s="89"/>
      <c r="G4804" s="89"/>
      <c r="H4804" s="89"/>
      <c r="I4804" s="90"/>
      <c r="J4804" s="88" t="s">
        <v>2179</v>
      </c>
      <c r="K4804" s="89"/>
      <c r="L4804" s="89"/>
      <c r="M4804" s="90"/>
      <c r="N4804" s="88" t="s">
        <v>22</v>
      </c>
      <c r="O4804" s="89"/>
      <c r="P4804" s="90"/>
      <c r="Q4804" s="133">
        <v>4608</v>
      </c>
      <c r="R4804" s="134"/>
      <c r="S4804" s="5" t="s">
        <v>16</v>
      </c>
      <c r="T4804" s="8">
        <v>3130</v>
      </c>
      <c r="U4804" s="8">
        <v>8</v>
      </c>
      <c r="V4804" s="5" t="s">
        <v>23</v>
      </c>
      <c r="W4804" s="12">
        <v>11959178</v>
      </c>
      <c r="X4804" s="6"/>
      <c r="Y4804" s="6"/>
    </row>
    <row r="4805" spans="1:25" ht="15" customHeight="1" x14ac:dyDescent="0.2">
      <c r="A4805" s="88" t="s">
        <v>5555</v>
      </c>
      <c r="B4805" s="90"/>
      <c r="C4805" s="88" t="s">
        <v>5886</v>
      </c>
      <c r="D4805" s="90"/>
      <c r="E4805" s="88" t="s">
        <v>5890</v>
      </c>
      <c r="F4805" s="89"/>
      <c r="G4805" s="89"/>
      <c r="H4805" s="89"/>
      <c r="I4805" s="90"/>
      <c r="J4805" s="88" t="s">
        <v>2179</v>
      </c>
      <c r="K4805" s="89"/>
      <c r="L4805" s="89"/>
      <c r="M4805" s="90"/>
      <c r="N4805" s="88" t="s">
        <v>701</v>
      </c>
      <c r="O4805" s="89"/>
      <c r="P4805" s="90"/>
      <c r="Q4805" s="133">
        <v>4608</v>
      </c>
      <c r="R4805" s="134"/>
      <c r="S4805" s="5" t="s">
        <v>16</v>
      </c>
      <c r="T4805" s="8">
        <v>3130</v>
      </c>
      <c r="U4805" s="8">
        <v>8</v>
      </c>
      <c r="V4805" s="5" t="s">
        <v>23</v>
      </c>
      <c r="W4805" s="12">
        <v>11978139</v>
      </c>
      <c r="X4805" s="6"/>
      <c r="Y4805" s="6"/>
    </row>
    <row r="4806" spans="1:25" ht="15" customHeight="1" x14ac:dyDescent="0.2">
      <c r="A4806" s="88" t="s">
        <v>5555</v>
      </c>
      <c r="B4806" s="90"/>
      <c r="C4806" s="88" t="s">
        <v>5891</v>
      </c>
      <c r="D4806" s="90"/>
      <c r="E4806" s="88" t="s">
        <v>5892</v>
      </c>
      <c r="F4806" s="89"/>
      <c r="G4806" s="89"/>
      <c r="H4806" s="89"/>
      <c r="I4806" s="90"/>
      <c r="J4806" s="88" t="s">
        <v>599</v>
      </c>
      <c r="K4806" s="89"/>
      <c r="L4806" s="89"/>
      <c r="M4806" s="90"/>
      <c r="N4806" s="88" t="s">
        <v>22</v>
      </c>
      <c r="O4806" s="89"/>
      <c r="P4806" s="90"/>
      <c r="Q4806" s="133">
        <v>4500</v>
      </c>
      <c r="R4806" s="134"/>
      <c r="S4806" s="5" t="s">
        <v>1299</v>
      </c>
      <c r="T4806" s="6"/>
      <c r="U4806" s="6"/>
      <c r="V4806" s="5" t="s">
        <v>106</v>
      </c>
      <c r="W4806" s="12">
        <v>6439508</v>
      </c>
      <c r="X4806" s="6"/>
      <c r="Y4806" s="6"/>
    </row>
    <row r="4807" spans="1:25" ht="15" customHeight="1" x14ac:dyDescent="0.2">
      <c r="A4807" s="88" t="s">
        <v>5555</v>
      </c>
      <c r="B4807" s="90"/>
      <c r="C4807" s="88" t="s">
        <v>5893</v>
      </c>
      <c r="D4807" s="90"/>
      <c r="E4807" s="88" t="s">
        <v>5894</v>
      </c>
      <c r="F4807" s="89"/>
      <c r="G4807" s="89"/>
      <c r="H4807" s="89"/>
      <c r="I4807" s="90"/>
      <c r="J4807" s="88" t="s">
        <v>963</v>
      </c>
      <c r="K4807" s="89"/>
      <c r="L4807" s="89"/>
      <c r="M4807" s="90"/>
      <c r="N4807" s="88" t="s">
        <v>22</v>
      </c>
      <c r="O4807" s="89"/>
      <c r="P4807" s="90"/>
      <c r="Q4807" s="133">
        <v>4500</v>
      </c>
      <c r="R4807" s="134"/>
      <c r="S4807" s="5" t="s">
        <v>2633</v>
      </c>
      <c r="T4807" s="6"/>
      <c r="U4807" s="6"/>
      <c r="V4807" s="5" t="s">
        <v>106</v>
      </c>
      <c r="W4807" s="12">
        <v>11519792</v>
      </c>
      <c r="X4807" s="6"/>
      <c r="Y4807" s="6"/>
    </row>
    <row r="4808" spans="1:25" ht="15" customHeight="1" x14ac:dyDescent="0.2">
      <c r="A4808" s="88" t="s">
        <v>5555</v>
      </c>
      <c r="B4808" s="90"/>
      <c r="C4808" s="88" t="s">
        <v>5895</v>
      </c>
      <c r="D4808" s="90"/>
      <c r="E4808" s="88" t="s">
        <v>5896</v>
      </c>
      <c r="F4808" s="89"/>
      <c r="G4808" s="89"/>
      <c r="H4808" s="89"/>
      <c r="I4808" s="90"/>
      <c r="J4808" s="88" t="s">
        <v>963</v>
      </c>
      <c r="K4808" s="89"/>
      <c r="L4808" s="89"/>
      <c r="M4808" s="90"/>
      <c r="N4808" s="88" t="s">
        <v>22</v>
      </c>
      <c r="O4808" s="89"/>
      <c r="P4808" s="90"/>
      <c r="Q4808" s="133">
        <v>1495</v>
      </c>
      <c r="R4808" s="134"/>
      <c r="S4808" s="5" t="s">
        <v>814</v>
      </c>
      <c r="T4808" s="8">
        <v>2090</v>
      </c>
      <c r="U4808" s="8">
        <v>2</v>
      </c>
      <c r="V4808" s="5" t="s">
        <v>23</v>
      </c>
      <c r="W4808" s="12">
        <v>2877855</v>
      </c>
      <c r="X4808" s="6"/>
      <c r="Y4808" s="6"/>
    </row>
    <row r="4809" spans="1:25" ht="15" customHeight="1" x14ac:dyDescent="0.2">
      <c r="A4809" s="88" t="s">
        <v>5555</v>
      </c>
      <c r="B4809" s="90"/>
      <c r="C4809" s="88" t="s">
        <v>5897</v>
      </c>
      <c r="D4809" s="90"/>
      <c r="E4809" s="88" t="s">
        <v>5898</v>
      </c>
      <c r="F4809" s="89"/>
      <c r="G4809" s="89"/>
      <c r="H4809" s="89"/>
      <c r="I4809" s="90"/>
      <c r="J4809" s="88" t="s">
        <v>887</v>
      </c>
      <c r="K4809" s="89"/>
      <c r="L4809" s="89"/>
      <c r="M4809" s="90"/>
      <c r="N4809" s="88" t="s">
        <v>26</v>
      </c>
      <c r="O4809" s="89"/>
      <c r="P4809" s="90"/>
      <c r="Q4809" s="133">
        <v>1495</v>
      </c>
      <c r="R4809" s="134"/>
      <c r="S4809" s="5" t="s">
        <v>945</v>
      </c>
      <c r="T4809" s="8">
        <v>2050</v>
      </c>
      <c r="U4809" s="8">
        <v>2</v>
      </c>
      <c r="V4809" s="5" t="s">
        <v>106</v>
      </c>
      <c r="W4809" s="12">
        <v>2369200</v>
      </c>
      <c r="X4809" s="6"/>
      <c r="Y4809" s="6"/>
    </row>
    <row r="4810" spans="1:25" ht="15" customHeight="1" x14ac:dyDescent="0.2">
      <c r="A4810" s="88" t="s">
        <v>5555</v>
      </c>
      <c r="B4810" s="90"/>
      <c r="C4810" s="88" t="s">
        <v>5899</v>
      </c>
      <c r="D4810" s="90"/>
      <c r="E4810" s="88" t="s">
        <v>5900</v>
      </c>
      <c r="F4810" s="89"/>
      <c r="G4810" s="89"/>
      <c r="H4810" s="89"/>
      <c r="I4810" s="90"/>
      <c r="J4810" s="88" t="s">
        <v>963</v>
      </c>
      <c r="K4810" s="89"/>
      <c r="L4810" s="89"/>
      <c r="M4810" s="90"/>
      <c r="N4810" s="88" t="s">
        <v>26</v>
      </c>
      <c r="O4810" s="89"/>
      <c r="P4810" s="90"/>
      <c r="Q4810" s="133">
        <v>1495</v>
      </c>
      <c r="R4810" s="134"/>
      <c r="S4810" s="5" t="s">
        <v>814</v>
      </c>
      <c r="T4810" s="8">
        <v>2055</v>
      </c>
      <c r="U4810" s="8">
        <v>5</v>
      </c>
      <c r="V4810" s="5" t="s">
        <v>23</v>
      </c>
      <c r="W4810" s="12">
        <v>2895689</v>
      </c>
      <c r="X4810" s="6"/>
      <c r="Y4810" s="6"/>
    </row>
    <row r="4811" spans="1:25" ht="15" customHeight="1" x14ac:dyDescent="0.2">
      <c r="A4811" s="88" t="s">
        <v>5555</v>
      </c>
      <c r="B4811" s="90"/>
      <c r="C4811" s="88" t="s">
        <v>5901</v>
      </c>
      <c r="D4811" s="90"/>
      <c r="E4811" s="88" t="s">
        <v>5900</v>
      </c>
      <c r="F4811" s="89"/>
      <c r="G4811" s="89"/>
      <c r="H4811" s="89"/>
      <c r="I4811" s="90"/>
      <c r="J4811" s="88" t="s">
        <v>963</v>
      </c>
      <c r="K4811" s="89"/>
      <c r="L4811" s="89"/>
      <c r="M4811" s="90"/>
      <c r="N4811" s="88" t="s">
        <v>22</v>
      </c>
      <c r="O4811" s="89"/>
      <c r="P4811" s="90"/>
      <c r="Q4811" s="133">
        <v>1495</v>
      </c>
      <c r="R4811" s="134"/>
      <c r="S4811" s="5" t="s">
        <v>814</v>
      </c>
      <c r="T4811" s="8">
        <v>2090</v>
      </c>
      <c r="U4811" s="8">
        <v>5</v>
      </c>
      <c r="V4811" s="5" t="s">
        <v>106</v>
      </c>
      <c r="W4811" s="12">
        <v>2895689</v>
      </c>
      <c r="X4811" s="6"/>
      <c r="Y4811" s="6"/>
    </row>
    <row r="4812" spans="1:25" ht="15" customHeight="1" x14ac:dyDescent="0.2">
      <c r="A4812" s="88" t="s">
        <v>5555</v>
      </c>
      <c r="B4812" s="90"/>
      <c r="C4812" s="88" t="s">
        <v>5902</v>
      </c>
      <c r="D4812" s="90"/>
      <c r="E4812" s="88" t="s">
        <v>5903</v>
      </c>
      <c r="F4812" s="89"/>
      <c r="G4812" s="89"/>
      <c r="H4812" s="89"/>
      <c r="I4812" s="90"/>
      <c r="J4812" s="88" t="s">
        <v>2179</v>
      </c>
      <c r="K4812" s="89"/>
      <c r="L4812" s="89"/>
      <c r="M4812" s="90"/>
      <c r="N4812" s="88" t="s">
        <v>26</v>
      </c>
      <c r="O4812" s="89"/>
      <c r="P4812" s="90"/>
      <c r="Q4812" s="133">
        <v>3456</v>
      </c>
      <c r="R4812" s="134"/>
      <c r="S4812" s="5" t="s">
        <v>44</v>
      </c>
      <c r="T4812" s="8">
        <v>1835</v>
      </c>
      <c r="U4812" s="8">
        <v>5</v>
      </c>
      <c r="V4812" s="5" t="s">
        <v>23</v>
      </c>
      <c r="W4812" s="12">
        <v>6724680</v>
      </c>
      <c r="X4812" s="6"/>
      <c r="Y4812" s="6"/>
    </row>
    <row r="4813" spans="1:25" ht="15" customHeight="1" x14ac:dyDescent="0.2">
      <c r="A4813" s="88" t="s">
        <v>5555</v>
      </c>
      <c r="B4813" s="90"/>
      <c r="C4813" s="88" t="s">
        <v>5904</v>
      </c>
      <c r="D4813" s="90"/>
      <c r="E4813" s="88" t="s">
        <v>5903</v>
      </c>
      <c r="F4813" s="89"/>
      <c r="G4813" s="89"/>
      <c r="H4813" s="89"/>
      <c r="I4813" s="90"/>
      <c r="J4813" s="88" t="s">
        <v>963</v>
      </c>
      <c r="K4813" s="89"/>
      <c r="L4813" s="89"/>
      <c r="M4813" s="90"/>
      <c r="N4813" s="88" t="s">
        <v>701</v>
      </c>
      <c r="O4813" s="89"/>
      <c r="P4813" s="90"/>
      <c r="Q4813" s="133">
        <v>3456</v>
      </c>
      <c r="R4813" s="134"/>
      <c r="S4813" s="5" t="s">
        <v>44</v>
      </c>
      <c r="T4813" s="8">
        <v>1835</v>
      </c>
      <c r="U4813" s="8">
        <v>5</v>
      </c>
      <c r="V4813" s="5" t="s">
        <v>23</v>
      </c>
      <c r="W4813" s="12">
        <v>6745982</v>
      </c>
      <c r="X4813" s="6"/>
      <c r="Y4813" s="6"/>
    </row>
    <row r="4814" spans="1:25" ht="15" customHeight="1" x14ac:dyDescent="0.2">
      <c r="A4814" s="88" t="s">
        <v>5555</v>
      </c>
      <c r="B4814" s="90"/>
      <c r="C4814" s="88" t="s">
        <v>5904</v>
      </c>
      <c r="D4814" s="90"/>
      <c r="E4814" s="88" t="s">
        <v>5905</v>
      </c>
      <c r="F4814" s="89"/>
      <c r="G4814" s="89"/>
      <c r="H4814" s="89"/>
      <c r="I4814" s="90"/>
      <c r="J4814" s="88" t="s">
        <v>2179</v>
      </c>
      <c r="K4814" s="89"/>
      <c r="L4814" s="89"/>
      <c r="M4814" s="90"/>
      <c r="N4814" s="88" t="s">
        <v>26</v>
      </c>
      <c r="O4814" s="89"/>
      <c r="P4814" s="90"/>
      <c r="Q4814" s="133">
        <v>3456</v>
      </c>
      <c r="R4814" s="134"/>
      <c r="S4814" s="5" t="s">
        <v>44</v>
      </c>
      <c r="T4814" s="8">
        <v>1835</v>
      </c>
      <c r="U4814" s="8">
        <v>5</v>
      </c>
      <c r="V4814" s="5" t="s">
        <v>23</v>
      </c>
      <c r="W4814" s="12">
        <v>6724680</v>
      </c>
      <c r="X4814" s="6"/>
      <c r="Y4814" s="6"/>
    </row>
    <row r="4815" spans="1:25" ht="15" customHeight="1" x14ac:dyDescent="0.2">
      <c r="A4815" s="88" t="s">
        <v>5555</v>
      </c>
      <c r="B4815" s="90"/>
      <c r="C4815" s="88" t="s">
        <v>5906</v>
      </c>
      <c r="D4815" s="90"/>
      <c r="E4815" s="88" t="s">
        <v>5907</v>
      </c>
      <c r="F4815" s="89"/>
      <c r="G4815" s="89"/>
      <c r="H4815" s="89"/>
      <c r="I4815" s="90"/>
      <c r="J4815" s="88" t="s">
        <v>770</v>
      </c>
      <c r="K4815" s="89"/>
      <c r="L4815" s="89"/>
      <c r="M4815" s="90"/>
      <c r="N4815" s="88" t="s">
        <v>26</v>
      </c>
      <c r="O4815" s="89"/>
      <c r="P4815" s="90"/>
      <c r="Q4815" s="133">
        <v>0</v>
      </c>
      <c r="R4815" s="134"/>
      <c r="S4815" s="5" t="s">
        <v>44</v>
      </c>
      <c r="T4815" s="8">
        <v>2070</v>
      </c>
      <c r="U4815" s="8">
        <v>5</v>
      </c>
      <c r="V4815" s="5" t="s">
        <v>17</v>
      </c>
      <c r="W4815" s="12">
        <v>10353164</v>
      </c>
      <c r="X4815" s="6"/>
      <c r="Y4815" s="6"/>
    </row>
    <row r="4816" spans="1:25" ht="15" customHeight="1" x14ac:dyDescent="0.2">
      <c r="A4816" s="88" t="s">
        <v>5555</v>
      </c>
      <c r="B4816" s="90"/>
      <c r="C4816" s="88" t="s">
        <v>5906</v>
      </c>
      <c r="D4816" s="90"/>
      <c r="E4816" s="88" t="s">
        <v>5907</v>
      </c>
      <c r="F4816" s="89"/>
      <c r="G4816" s="89"/>
      <c r="H4816" s="89"/>
      <c r="I4816" s="90"/>
      <c r="J4816" s="88" t="s">
        <v>770</v>
      </c>
      <c r="K4816" s="89"/>
      <c r="L4816" s="89"/>
      <c r="M4816" s="90"/>
      <c r="N4816" s="88" t="s">
        <v>701</v>
      </c>
      <c r="O4816" s="89"/>
      <c r="P4816" s="90"/>
      <c r="Q4816" s="133">
        <v>3456</v>
      </c>
      <c r="R4816" s="134"/>
      <c r="S4816" s="5" t="s">
        <v>44</v>
      </c>
      <c r="T4816" s="8">
        <v>2070</v>
      </c>
      <c r="U4816" s="8">
        <v>4</v>
      </c>
      <c r="V4816" s="5" t="s">
        <v>23</v>
      </c>
      <c r="W4816" s="12">
        <v>12678283</v>
      </c>
      <c r="X4816" s="6"/>
      <c r="Y4816" s="6"/>
    </row>
    <row r="4817" spans="1:25" ht="15" customHeight="1" x14ac:dyDescent="0.2">
      <c r="A4817" s="88" t="s">
        <v>5555</v>
      </c>
      <c r="B4817" s="90"/>
      <c r="C4817" s="88" t="s">
        <v>5906</v>
      </c>
      <c r="D4817" s="90"/>
      <c r="E4817" s="88" t="s">
        <v>5907</v>
      </c>
      <c r="F4817" s="89"/>
      <c r="G4817" s="89"/>
      <c r="H4817" s="89"/>
      <c r="I4817" s="90"/>
      <c r="J4817" s="88" t="s">
        <v>770</v>
      </c>
      <c r="K4817" s="89"/>
      <c r="L4817" s="89"/>
      <c r="M4817" s="90"/>
      <c r="N4817" s="88" t="s">
        <v>26</v>
      </c>
      <c r="O4817" s="89"/>
      <c r="P4817" s="90"/>
      <c r="Q4817" s="133">
        <v>0</v>
      </c>
      <c r="R4817" s="134"/>
      <c r="S4817" s="5" t="s">
        <v>44</v>
      </c>
      <c r="T4817" s="8">
        <v>2070</v>
      </c>
      <c r="U4817" s="8">
        <v>4</v>
      </c>
      <c r="V4817" s="5" t="s">
        <v>17</v>
      </c>
      <c r="W4817" s="12">
        <v>10297832</v>
      </c>
      <c r="X4817" s="6"/>
      <c r="Y4817" s="6"/>
    </row>
    <row r="4818" spans="1:25" ht="15" customHeight="1" x14ac:dyDescent="0.2">
      <c r="A4818" s="88" t="s">
        <v>5555</v>
      </c>
      <c r="B4818" s="90"/>
      <c r="C4818" s="88" t="s">
        <v>5908</v>
      </c>
      <c r="D4818" s="90"/>
      <c r="E4818" s="88" t="s">
        <v>5909</v>
      </c>
      <c r="F4818" s="89"/>
      <c r="G4818" s="89"/>
      <c r="H4818" s="89"/>
      <c r="I4818" s="90"/>
      <c r="J4818" s="88" t="s">
        <v>770</v>
      </c>
      <c r="K4818" s="89"/>
      <c r="L4818" s="89"/>
      <c r="M4818" s="90"/>
      <c r="N4818" s="88" t="s">
        <v>22</v>
      </c>
      <c r="O4818" s="89"/>
      <c r="P4818" s="90"/>
      <c r="Q4818" s="133">
        <v>2487</v>
      </c>
      <c r="R4818" s="134"/>
      <c r="S4818" s="5" t="s">
        <v>44</v>
      </c>
      <c r="T4818" s="8">
        <v>2205</v>
      </c>
      <c r="U4818" s="8">
        <v>5</v>
      </c>
      <c r="V4818" s="5" t="s">
        <v>23</v>
      </c>
      <c r="W4818" s="12">
        <v>13797977</v>
      </c>
      <c r="X4818" s="6"/>
      <c r="Y4818" s="6"/>
    </row>
    <row r="4819" spans="1:25" ht="15" customHeight="1" x14ac:dyDescent="0.2">
      <c r="A4819" s="88" t="s">
        <v>5555</v>
      </c>
      <c r="B4819" s="90"/>
      <c r="C4819" s="88" t="s">
        <v>5908</v>
      </c>
      <c r="D4819" s="90"/>
      <c r="E4819" s="88" t="s">
        <v>5909</v>
      </c>
      <c r="F4819" s="89"/>
      <c r="G4819" s="89"/>
      <c r="H4819" s="89"/>
      <c r="I4819" s="90"/>
      <c r="J4819" s="88" t="s">
        <v>770</v>
      </c>
      <c r="K4819" s="89"/>
      <c r="L4819" s="89"/>
      <c r="M4819" s="90"/>
      <c r="N4819" s="88" t="s">
        <v>26</v>
      </c>
      <c r="O4819" s="89"/>
      <c r="P4819" s="90"/>
      <c r="Q4819" s="133">
        <v>0</v>
      </c>
      <c r="R4819" s="134"/>
      <c r="S4819" s="5" t="s">
        <v>44</v>
      </c>
      <c r="T4819" s="8">
        <v>1645</v>
      </c>
      <c r="U4819" s="8">
        <v>5</v>
      </c>
      <c r="V4819" s="5" t="s">
        <v>17</v>
      </c>
      <c r="W4819" s="12">
        <v>12329733</v>
      </c>
      <c r="X4819" s="6"/>
      <c r="Y4819" s="6"/>
    </row>
    <row r="4820" spans="1:25" ht="15" customHeight="1" x14ac:dyDescent="0.2">
      <c r="A4820" s="88" t="s">
        <v>5555</v>
      </c>
      <c r="B4820" s="90"/>
      <c r="C4820" s="88" t="s">
        <v>5910</v>
      </c>
      <c r="D4820" s="90"/>
      <c r="E4820" s="88" t="s">
        <v>5911</v>
      </c>
      <c r="F4820" s="89"/>
      <c r="G4820" s="89"/>
      <c r="H4820" s="89"/>
      <c r="I4820" s="90"/>
      <c r="J4820" s="88" t="s">
        <v>770</v>
      </c>
      <c r="K4820" s="89"/>
      <c r="L4820" s="89"/>
      <c r="M4820" s="90"/>
      <c r="N4820" s="88" t="s">
        <v>26</v>
      </c>
      <c r="O4820" s="89"/>
      <c r="P4820" s="90"/>
      <c r="Q4820" s="133">
        <v>0</v>
      </c>
      <c r="R4820" s="134"/>
      <c r="S4820" s="5" t="s">
        <v>44</v>
      </c>
      <c r="T4820" s="8">
        <v>2245</v>
      </c>
      <c r="U4820" s="8">
        <v>5</v>
      </c>
      <c r="V4820" s="5" t="s">
        <v>17</v>
      </c>
      <c r="W4820" s="12">
        <v>12987564</v>
      </c>
      <c r="X4820" s="6"/>
      <c r="Y4820" s="6"/>
    </row>
    <row r="4821" spans="1:25" ht="15" customHeight="1" x14ac:dyDescent="0.2">
      <c r="A4821" s="88" t="s">
        <v>5555</v>
      </c>
      <c r="B4821" s="90"/>
      <c r="C4821" s="88" t="s">
        <v>5912</v>
      </c>
      <c r="D4821" s="90"/>
      <c r="E4821" s="88" t="s">
        <v>5913</v>
      </c>
      <c r="F4821" s="89"/>
      <c r="G4821" s="89"/>
      <c r="H4821" s="89"/>
      <c r="I4821" s="90"/>
      <c r="J4821" s="88" t="s">
        <v>770</v>
      </c>
      <c r="K4821" s="89"/>
      <c r="L4821" s="89"/>
      <c r="M4821" s="90"/>
      <c r="N4821" s="88" t="s">
        <v>26</v>
      </c>
      <c r="O4821" s="89"/>
      <c r="P4821" s="90"/>
      <c r="Q4821" s="133">
        <v>0</v>
      </c>
      <c r="R4821" s="134"/>
      <c r="S4821" s="5" t="s">
        <v>814</v>
      </c>
      <c r="T4821" s="8">
        <v>1645</v>
      </c>
      <c r="U4821" s="8">
        <v>5</v>
      </c>
      <c r="V4821" s="5" t="s">
        <v>17</v>
      </c>
      <c r="W4821" s="12">
        <v>12757016</v>
      </c>
      <c r="X4821" s="6"/>
      <c r="Y4821" s="6"/>
    </row>
    <row r="4822" spans="1:25" ht="15" customHeight="1" x14ac:dyDescent="0.2">
      <c r="A4822" s="88" t="s">
        <v>5555</v>
      </c>
      <c r="B4822" s="90"/>
      <c r="C4822" s="88" t="s">
        <v>5914</v>
      </c>
      <c r="D4822" s="90"/>
      <c r="E4822" s="88" t="s">
        <v>5915</v>
      </c>
      <c r="F4822" s="89"/>
      <c r="G4822" s="89"/>
      <c r="H4822" s="89"/>
      <c r="I4822" s="90"/>
      <c r="J4822" s="88" t="s">
        <v>770</v>
      </c>
      <c r="K4822" s="89"/>
      <c r="L4822" s="89"/>
      <c r="M4822" s="90"/>
      <c r="N4822" s="88" t="s">
        <v>26</v>
      </c>
      <c r="O4822" s="89"/>
      <c r="P4822" s="90"/>
      <c r="Q4822" s="133">
        <v>1797</v>
      </c>
      <c r="R4822" s="134"/>
      <c r="S4822" s="5" t="s">
        <v>814</v>
      </c>
      <c r="T4822" s="8">
        <v>2055</v>
      </c>
      <c r="U4822" s="8">
        <v>7</v>
      </c>
      <c r="V4822" s="5" t="s">
        <v>23</v>
      </c>
      <c r="W4822" s="12">
        <v>6048404</v>
      </c>
      <c r="X4822" s="6"/>
      <c r="Y4822" s="6"/>
    </row>
    <row r="4823" spans="1:25" ht="15" customHeight="1" x14ac:dyDescent="0.2">
      <c r="A4823" s="88" t="s">
        <v>5555</v>
      </c>
      <c r="B4823" s="90"/>
      <c r="C4823" s="88" t="s">
        <v>5916</v>
      </c>
      <c r="D4823" s="90"/>
      <c r="E4823" s="88" t="s">
        <v>5917</v>
      </c>
      <c r="F4823" s="89"/>
      <c r="G4823" s="89"/>
      <c r="H4823" s="89"/>
      <c r="I4823" s="90"/>
      <c r="J4823" s="88" t="s">
        <v>770</v>
      </c>
      <c r="K4823" s="89"/>
      <c r="L4823" s="89"/>
      <c r="M4823" s="90"/>
      <c r="N4823" s="88" t="s">
        <v>26</v>
      </c>
      <c r="O4823" s="89"/>
      <c r="P4823" s="90"/>
      <c r="Q4823" s="133">
        <v>1797</v>
      </c>
      <c r="R4823" s="134"/>
      <c r="S4823" s="5" t="s">
        <v>814</v>
      </c>
      <c r="T4823" s="8">
        <v>2005</v>
      </c>
      <c r="U4823" s="8">
        <v>5</v>
      </c>
      <c r="V4823" s="5" t="s">
        <v>23</v>
      </c>
      <c r="W4823" s="12">
        <v>5846325</v>
      </c>
      <c r="X4823" s="6"/>
      <c r="Y4823" s="6"/>
    </row>
    <row r="4824" spans="1:25" ht="15" customHeight="1" x14ac:dyDescent="0.2">
      <c r="A4824" s="88" t="s">
        <v>5555</v>
      </c>
      <c r="B4824" s="90"/>
      <c r="C4824" s="88" t="s">
        <v>5916</v>
      </c>
      <c r="D4824" s="90"/>
      <c r="E4824" s="88" t="s">
        <v>5918</v>
      </c>
      <c r="F4824" s="89"/>
      <c r="G4824" s="89"/>
      <c r="H4824" s="89"/>
      <c r="I4824" s="90"/>
      <c r="J4824" s="88" t="s">
        <v>770</v>
      </c>
      <c r="K4824" s="89"/>
      <c r="L4824" s="89"/>
      <c r="M4824" s="90"/>
      <c r="N4824" s="88" t="s">
        <v>26</v>
      </c>
      <c r="O4824" s="89"/>
      <c r="P4824" s="90"/>
      <c r="Q4824" s="133">
        <v>1797</v>
      </c>
      <c r="R4824" s="134"/>
      <c r="S4824" s="5" t="s">
        <v>814</v>
      </c>
      <c r="T4824" s="8">
        <v>2005</v>
      </c>
      <c r="U4824" s="8">
        <v>7</v>
      </c>
      <c r="V4824" s="5" t="s">
        <v>23</v>
      </c>
      <c r="W4824" s="12">
        <v>5314841</v>
      </c>
      <c r="X4824" s="6"/>
      <c r="Y4824" s="6"/>
    </row>
    <row r="4825" spans="1:25" ht="15" customHeight="1" x14ac:dyDescent="0.2">
      <c r="A4825" s="88" t="s">
        <v>5555</v>
      </c>
      <c r="B4825" s="90"/>
      <c r="C4825" s="88" t="s">
        <v>5919</v>
      </c>
      <c r="D4825" s="90"/>
      <c r="E4825" s="88" t="s">
        <v>5920</v>
      </c>
      <c r="F4825" s="89"/>
      <c r="G4825" s="89"/>
      <c r="H4825" s="89"/>
      <c r="I4825" s="90"/>
      <c r="J4825" s="88" t="s">
        <v>770</v>
      </c>
      <c r="K4825" s="89"/>
      <c r="L4825" s="89"/>
      <c r="M4825" s="90"/>
      <c r="N4825" s="88" t="s">
        <v>26</v>
      </c>
      <c r="O4825" s="89"/>
      <c r="P4825" s="90"/>
      <c r="Q4825" s="133">
        <v>1797</v>
      </c>
      <c r="R4825" s="134"/>
      <c r="S4825" s="5" t="s">
        <v>814</v>
      </c>
      <c r="T4825" s="8">
        <v>2055</v>
      </c>
      <c r="U4825" s="8">
        <v>7</v>
      </c>
      <c r="V4825" s="5" t="s">
        <v>23</v>
      </c>
      <c r="W4825" s="12">
        <v>6409946</v>
      </c>
      <c r="X4825" s="6"/>
      <c r="Y4825" s="6"/>
    </row>
    <row r="4826" spans="1:25" ht="15" customHeight="1" x14ac:dyDescent="0.2">
      <c r="A4826" s="88" t="s">
        <v>5555</v>
      </c>
      <c r="B4826" s="90"/>
      <c r="C4826" s="88" t="s">
        <v>5921</v>
      </c>
      <c r="D4826" s="90"/>
      <c r="E4826" s="88" t="s">
        <v>5915</v>
      </c>
      <c r="F4826" s="89"/>
      <c r="G4826" s="89"/>
      <c r="H4826" s="89"/>
      <c r="I4826" s="90"/>
      <c r="J4826" s="88" t="s">
        <v>770</v>
      </c>
      <c r="K4826" s="89"/>
      <c r="L4826" s="89"/>
      <c r="M4826" s="90"/>
      <c r="N4826" s="88" t="s">
        <v>26</v>
      </c>
      <c r="O4826" s="89"/>
      <c r="P4826" s="90"/>
      <c r="Q4826" s="133">
        <v>1797</v>
      </c>
      <c r="R4826" s="134"/>
      <c r="S4826" s="5" t="s">
        <v>814</v>
      </c>
      <c r="T4826" s="8">
        <v>2055</v>
      </c>
      <c r="U4826" s="8">
        <v>5</v>
      </c>
      <c r="V4826" s="5" t="s">
        <v>23</v>
      </c>
      <c r="W4826" s="12">
        <v>6048404</v>
      </c>
      <c r="X4826" s="6"/>
      <c r="Y4826" s="6"/>
    </row>
    <row r="4827" spans="1:25" ht="15" customHeight="1" x14ac:dyDescent="0.2">
      <c r="A4827" s="88" t="s">
        <v>5555</v>
      </c>
      <c r="B4827" s="90"/>
      <c r="C4827" s="88" t="s">
        <v>5922</v>
      </c>
      <c r="D4827" s="90"/>
      <c r="E4827" s="88" t="s">
        <v>5923</v>
      </c>
      <c r="F4827" s="89"/>
      <c r="G4827" s="89"/>
      <c r="H4827" s="89"/>
      <c r="I4827" s="90"/>
      <c r="J4827" s="88" t="s">
        <v>770</v>
      </c>
      <c r="K4827" s="89"/>
      <c r="L4827" s="89"/>
      <c r="M4827" s="90"/>
      <c r="N4827" s="88" t="s">
        <v>26</v>
      </c>
      <c r="O4827" s="89"/>
      <c r="P4827" s="90"/>
      <c r="Q4827" s="133">
        <v>1797</v>
      </c>
      <c r="R4827" s="134"/>
      <c r="S4827" s="5" t="s">
        <v>814</v>
      </c>
      <c r="T4827" s="8">
        <v>2065</v>
      </c>
      <c r="U4827" s="8">
        <v>5</v>
      </c>
      <c r="V4827" s="5" t="s">
        <v>23</v>
      </c>
      <c r="W4827" s="12">
        <v>5976795</v>
      </c>
      <c r="X4827" s="6"/>
      <c r="Y4827" s="6"/>
    </row>
    <row r="4828" spans="1:25" ht="15" customHeight="1" x14ac:dyDescent="0.2">
      <c r="A4828" s="88" t="s">
        <v>5555</v>
      </c>
      <c r="B4828" s="90"/>
      <c r="C4828" s="88" t="s">
        <v>5924</v>
      </c>
      <c r="D4828" s="90"/>
      <c r="E4828" s="88" t="s">
        <v>5925</v>
      </c>
      <c r="F4828" s="89"/>
      <c r="G4828" s="89"/>
      <c r="H4828" s="89"/>
      <c r="I4828" s="90"/>
      <c r="J4828" s="88" t="s">
        <v>770</v>
      </c>
      <c r="K4828" s="89"/>
      <c r="L4828" s="89"/>
      <c r="M4828" s="90"/>
      <c r="N4828" s="88" t="s">
        <v>26</v>
      </c>
      <c r="O4828" s="89"/>
      <c r="P4828" s="90"/>
      <c r="Q4828" s="133">
        <v>1986</v>
      </c>
      <c r="R4828" s="134"/>
      <c r="S4828" s="5" t="s">
        <v>814</v>
      </c>
      <c r="T4828" s="8">
        <v>2025</v>
      </c>
      <c r="U4828" s="8">
        <v>7</v>
      </c>
      <c r="V4828" s="5" t="s">
        <v>23</v>
      </c>
      <c r="W4828" s="12">
        <v>5023162</v>
      </c>
      <c r="X4828" s="6"/>
      <c r="Y4828" s="6"/>
    </row>
    <row r="4829" spans="1:25" ht="15" customHeight="1" x14ac:dyDescent="0.2">
      <c r="A4829" s="88" t="s">
        <v>5555</v>
      </c>
      <c r="B4829" s="90"/>
      <c r="C4829" s="88" t="s">
        <v>5926</v>
      </c>
      <c r="D4829" s="90"/>
      <c r="E4829" s="88" t="s">
        <v>5927</v>
      </c>
      <c r="F4829" s="89"/>
      <c r="G4829" s="89"/>
      <c r="H4829" s="89"/>
      <c r="I4829" s="90"/>
      <c r="J4829" s="88" t="s">
        <v>770</v>
      </c>
      <c r="K4829" s="89"/>
      <c r="L4829" s="89"/>
      <c r="M4829" s="90"/>
      <c r="N4829" s="88" t="s">
        <v>26</v>
      </c>
      <c r="O4829" s="89"/>
      <c r="P4829" s="90"/>
      <c r="Q4829" s="133">
        <v>1986</v>
      </c>
      <c r="R4829" s="134"/>
      <c r="S4829" s="5" t="s">
        <v>814</v>
      </c>
      <c r="T4829" s="8">
        <v>2025</v>
      </c>
      <c r="U4829" s="8">
        <v>8</v>
      </c>
      <c r="V4829" s="5" t="s">
        <v>23</v>
      </c>
      <c r="W4829" s="12">
        <v>4665874</v>
      </c>
      <c r="X4829" s="6"/>
      <c r="Y4829" s="6"/>
    </row>
    <row r="4830" spans="1:25" ht="15" customHeight="1" x14ac:dyDescent="0.2">
      <c r="A4830" s="88" t="s">
        <v>5555</v>
      </c>
      <c r="B4830" s="90"/>
      <c r="C4830" s="88" t="s">
        <v>5926</v>
      </c>
      <c r="D4830" s="90"/>
      <c r="E4830" s="88" t="s">
        <v>5928</v>
      </c>
      <c r="F4830" s="89"/>
      <c r="G4830" s="89"/>
      <c r="H4830" s="89"/>
      <c r="I4830" s="90"/>
      <c r="J4830" s="88" t="s">
        <v>770</v>
      </c>
      <c r="K4830" s="89"/>
      <c r="L4830" s="89"/>
      <c r="M4830" s="90"/>
      <c r="N4830" s="88" t="s">
        <v>26</v>
      </c>
      <c r="O4830" s="89"/>
      <c r="P4830" s="90"/>
      <c r="Q4830" s="133">
        <v>1986</v>
      </c>
      <c r="R4830" s="134"/>
      <c r="S4830" s="5" t="s">
        <v>814</v>
      </c>
      <c r="T4830" s="8">
        <v>2025</v>
      </c>
      <c r="U4830" s="8">
        <v>7</v>
      </c>
      <c r="V4830" s="5" t="s">
        <v>23</v>
      </c>
      <c r="W4830" s="12">
        <v>4721004</v>
      </c>
      <c r="X4830" s="6"/>
      <c r="Y4830" s="6"/>
    </row>
    <row r="4831" spans="1:25" ht="15" customHeight="1" x14ac:dyDescent="0.2">
      <c r="A4831" s="88" t="s">
        <v>5555</v>
      </c>
      <c r="B4831" s="90"/>
      <c r="C4831" s="88" t="s">
        <v>5929</v>
      </c>
      <c r="D4831" s="90"/>
      <c r="E4831" s="88" t="s">
        <v>5930</v>
      </c>
      <c r="F4831" s="89"/>
      <c r="G4831" s="89"/>
      <c r="H4831" s="89"/>
      <c r="I4831" s="90"/>
      <c r="J4831" s="88" t="s">
        <v>770</v>
      </c>
      <c r="K4831" s="89"/>
      <c r="L4831" s="89"/>
      <c r="M4831" s="90"/>
      <c r="N4831" s="88" t="s">
        <v>26</v>
      </c>
      <c r="O4831" s="89"/>
      <c r="P4831" s="90"/>
      <c r="Q4831" s="133">
        <v>996</v>
      </c>
      <c r="R4831" s="134"/>
      <c r="S4831" s="5" t="s">
        <v>27</v>
      </c>
      <c r="T4831" s="8">
        <v>1185</v>
      </c>
      <c r="U4831" s="8">
        <v>5</v>
      </c>
      <c r="V4831" s="5" t="s">
        <v>23</v>
      </c>
      <c r="W4831" s="12">
        <v>2632444</v>
      </c>
      <c r="X4831" s="6"/>
      <c r="Y4831" s="6"/>
    </row>
    <row r="4832" spans="1:25" ht="15" customHeight="1" x14ac:dyDescent="0.2">
      <c r="A4832" s="88" t="s">
        <v>5555</v>
      </c>
      <c r="B4832" s="90"/>
      <c r="C4832" s="88" t="s">
        <v>5931</v>
      </c>
      <c r="D4832" s="90"/>
      <c r="E4832" s="88" t="s">
        <v>5930</v>
      </c>
      <c r="F4832" s="89"/>
      <c r="G4832" s="89"/>
      <c r="H4832" s="89"/>
      <c r="I4832" s="90"/>
      <c r="J4832" s="88" t="s">
        <v>2319</v>
      </c>
      <c r="K4832" s="89"/>
      <c r="L4832" s="89"/>
      <c r="M4832" s="90"/>
      <c r="N4832" s="88" t="s">
        <v>26</v>
      </c>
      <c r="O4832" s="89"/>
      <c r="P4832" s="90"/>
      <c r="Q4832" s="133">
        <v>996</v>
      </c>
      <c r="R4832" s="134"/>
      <c r="S4832" s="5" t="s">
        <v>27</v>
      </c>
      <c r="T4832" s="8">
        <v>1185</v>
      </c>
      <c r="U4832" s="8">
        <v>5</v>
      </c>
      <c r="V4832" s="5" t="s">
        <v>23</v>
      </c>
      <c r="W4832" s="12">
        <v>2632444</v>
      </c>
      <c r="X4832" s="6"/>
      <c r="Y4832" s="6"/>
    </row>
    <row r="4833" spans="1:25" ht="15" customHeight="1" x14ac:dyDescent="0.2">
      <c r="A4833" s="88" t="s">
        <v>5555</v>
      </c>
      <c r="B4833" s="90"/>
      <c r="C4833" s="88" t="s">
        <v>5931</v>
      </c>
      <c r="D4833" s="90"/>
      <c r="E4833" s="88" t="s">
        <v>5930</v>
      </c>
      <c r="F4833" s="89"/>
      <c r="G4833" s="89"/>
      <c r="H4833" s="89"/>
      <c r="I4833" s="90"/>
      <c r="J4833" s="88" t="s">
        <v>770</v>
      </c>
      <c r="K4833" s="89"/>
      <c r="L4833" s="89"/>
      <c r="M4833" s="90"/>
      <c r="N4833" s="88" t="s">
        <v>26</v>
      </c>
      <c r="O4833" s="89"/>
      <c r="P4833" s="90"/>
      <c r="Q4833" s="133">
        <v>998</v>
      </c>
      <c r="R4833" s="134"/>
      <c r="S4833" s="5" t="s">
        <v>27</v>
      </c>
      <c r="T4833" s="8">
        <v>1185</v>
      </c>
      <c r="U4833" s="8">
        <v>5</v>
      </c>
      <c r="V4833" s="5" t="s">
        <v>23</v>
      </c>
      <c r="W4833" s="12">
        <v>2632444</v>
      </c>
      <c r="X4833" s="6"/>
      <c r="Y4833" s="6"/>
    </row>
    <row r="4834" spans="1:25" ht="15" customHeight="1" x14ac:dyDescent="0.2">
      <c r="A4834" s="88" t="s">
        <v>5555</v>
      </c>
      <c r="B4834" s="90"/>
      <c r="C4834" s="88" t="s">
        <v>5932</v>
      </c>
      <c r="D4834" s="90"/>
      <c r="E4834" s="88" t="s">
        <v>5933</v>
      </c>
      <c r="F4834" s="89"/>
      <c r="G4834" s="89"/>
      <c r="H4834" s="89"/>
      <c r="I4834" s="90"/>
      <c r="J4834" s="88" t="s">
        <v>770</v>
      </c>
      <c r="K4834" s="89"/>
      <c r="L4834" s="89"/>
      <c r="M4834" s="90"/>
      <c r="N4834" s="88" t="s">
        <v>26</v>
      </c>
      <c r="O4834" s="89"/>
      <c r="P4834" s="90"/>
      <c r="Q4834" s="133">
        <v>996</v>
      </c>
      <c r="R4834" s="134"/>
      <c r="S4834" s="5" t="s">
        <v>27</v>
      </c>
      <c r="T4834" s="8">
        <v>1185</v>
      </c>
      <c r="U4834" s="8">
        <v>5</v>
      </c>
      <c r="V4834" s="5" t="s">
        <v>23</v>
      </c>
      <c r="W4834" s="12">
        <v>2253917</v>
      </c>
      <c r="X4834" s="6"/>
      <c r="Y4834" s="6"/>
    </row>
    <row r="4835" spans="1:25" ht="15" customHeight="1" x14ac:dyDescent="0.2">
      <c r="A4835" s="88" t="s">
        <v>5555</v>
      </c>
      <c r="B4835" s="90"/>
      <c r="C4835" s="88" t="s">
        <v>5934</v>
      </c>
      <c r="D4835" s="90"/>
      <c r="E4835" s="88" t="s">
        <v>5935</v>
      </c>
      <c r="F4835" s="89"/>
      <c r="G4835" s="89"/>
      <c r="H4835" s="89"/>
      <c r="I4835" s="90"/>
      <c r="J4835" s="88" t="s">
        <v>770</v>
      </c>
      <c r="K4835" s="89"/>
      <c r="L4835" s="89"/>
      <c r="M4835" s="90"/>
      <c r="N4835" s="88" t="s">
        <v>26</v>
      </c>
      <c r="O4835" s="89"/>
      <c r="P4835" s="90"/>
      <c r="Q4835" s="133">
        <v>658</v>
      </c>
      <c r="R4835" s="134"/>
      <c r="S4835" s="5" t="s">
        <v>27</v>
      </c>
      <c r="T4835" s="8">
        <v>890</v>
      </c>
      <c r="U4835" s="8">
        <v>5</v>
      </c>
      <c r="V4835" s="5" t="s">
        <v>23</v>
      </c>
      <c r="W4835" s="12">
        <v>2065714</v>
      </c>
      <c r="X4835" s="6"/>
      <c r="Y4835" s="6"/>
    </row>
    <row r="4836" spans="1:25" ht="15" customHeight="1" x14ac:dyDescent="0.2">
      <c r="A4836" s="88" t="s">
        <v>5555</v>
      </c>
      <c r="B4836" s="90"/>
      <c r="C4836" s="88" t="s">
        <v>5934</v>
      </c>
      <c r="D4836" s="90"/>
      <c r="E4836" s="88" t="s">
        <v>5936</v>
      </c>
      <c r="F4836" s="89"/>
      <c r="G4836" s="89"/>
      <c r="H4836" s="89"/>
      <c r="I4836" s="90"/>
      <c r="J4836" s="88" t="s">
        <v>770</v>
      </c>
      <c r="K4836" s="89"/>
      <c r="L4836" s="89"/>
      <c r="M4836" s="90"/>
      <c r="N4836" s="88" t="s">
        <v>26</v>
      </c>
      <c r="O4836" s="89"/>
      <c r="P4836" s="90"/>
      <c r="Q4836" s="133">
        <v>658</v>
      </c>
      <c r="R4836" s="134"/>
      <c r="S4836" s="5" t="s">
        <v>27</v>
      </c>
      <c r="T4836" s="8">
        <v>890</v>
      </c>
      <c r="U4836" s="8">
        <v>4</v>
      </c>
      <c r="V4836" s="5" t="s">
        <v>23</v>
      </c>
      <c r="W4836" s="12">
        <v>1877922</v>
      </c>
      <c r="X4836" s="6"/>
      <c r="Y4836" s="6"/>
    </row>
    <row r="4837" spans="1:25" ht="15" customHeight="1" x14ac:dyDescent="0.2">
      <c r="A4837" s="88" t="s">
        <v>5555</v>
      </c>
      <c r="B4837" s="90"/>
      <c r="C4837" s="88" t="s">
        <v>5937</v>
      </c>
      <c r="D4837" s="90"/>
      <c r="E4837" s="88" t="s">
        <v>5935</v>
      </c>
      <c r="F4837" s="89"/>
      <c r="G4837" s="89"/>
      <c r="H4837" s="89"/>
      <c r="I4837" s="90"/>
      <c r="J4837" s="88" t="s">
        <v>770</v>
      </c>
      <c r="K4837" s="89"/>
      <c r="L4837" s="89"/>
      <c r="M4837" s="90"/>
      <c r="N4837" s="88" t="s">
        <v>26</v>
      </c>
      <c r="O4837" s="89"/>
      <c r="P4837" s="90"/>
      <c r="Q4837" s="133">
        <v>658</v>
      </c>
      <c r="R4837" s="134"/>
      <c r="S4837" s="5" t="s">
        <v>27</v>
      </c>
      <c r="T4837" s="8">
        <v>890</v>
      </c>
      <c r="U4837" s="8">
        <v>4</v>
      </c>
      <c r="V4837" s="5" t="s">
        <v>23</v>
      </c>
      <c r="W4837" s="12">
        <v>2065714</v>
      </c>
      <c r="X4837" s="6"/>
      <c r="Y4837" s="6"/>
    </row>
    <row r="4838" spans="1:25" ht="15" customHeight="1" x14ac:dyDescent="0.2">
      <c r="A4838" s="88" t="s">
        <v>5555</v>
      </c>
      <c r="B4838" s="90"/>
      <c r="C4838" s="88" t="s">
        <v>5937</v>
      </c>
      <c r="D4838" s="90"/>
      <c r="E4838" s="88" t="s">
        <v>5938</v>
      </c>
      <c r="F4838" s="89"/>
      <c r="G4838" s="89"/>
      <c r="H4838" s="89"/>
      <c r="I4838" s="90"/>
      <c r="J4838" s="88" t="s">
        <v>770</v>
      </c>
      <c r="K4838" s="89"/>
      <c r="L4838" s="89"/>
      <c r="M4838" s="90"/>
      <c r="N4838" s="88" t="s">
        <v>26</v>
      </c>
      <c r="O4838" s="89"/>
      <c r="P4838" s="90"/>
      <c r="Q4838" s="133">
        <v>658</v>
      </c>
      <c r="R4838" s="134"/>
      <c r="S4838" s="5" t="s">
        <v>27</v>
      </c>
      <c r="T4838" s="8">
        <v>890</v>
      </c>
      <c r="U4838" s="8">
        <v>4</v>
      </c>
      <c r="V4838" s="5" t="s">
        <v>23</v>
      </c>
      <c r="W4838" s="12">
        <v>1883871</v>
      </c>
      <c r="X4838" s="6"/>
      <c r="Y4838" s="6"/>
    </row>
    <row r="4839" spans="1:25" ht="15" customHeight="1" x14ac:dyDescent="0.2">
      <c r="A4839" s="88" t="s">
        <v>5555</v>
      </c>
      <c r="B4839" s="90"/>
      <c r="C4839" s="88" t="s">
        <v>5939</v>
      </c>
      <c r="D4839" s="90"/>
      <c r="E4839" s="88" t="s">
        <v>5935</v>
      </c>
      <c r="F4839" s="89"/>
      <c r="G4839" s="89"/>
      <c r="H4839" s="89"/>
      <c r="I4839" s="90"/>
      <c r="J4839" s="88" t="s">
        <v>770</v>
      </c>
      <c r="K4839" s="89"/>
      <c r="L4839" s="89"/>
      <c r="M4839" s="90"/>
      <c r="N4839" s="88" t="s">
        <v>26</v>
      </c>
      <c r="O4839" s="89"/>
      <c r="P4839" s="90"/>
      <c r="Q4839" s="133">
        <v>658</v>
      </c>
      <c r="R4839" s="134"/>
      <c r="S4839" s="5" t="s">
        <v>27</v>
      </c>
      <c r="T4839" s="8">
        <v>890</v>
      </c>
      <c r="U4839" s="8">
        <v>4</v>
      </c>
      <c r="V4839" s="5" t="s">
        <v>23</v>
      </c>
      <c r="W4839" s="12">
        <v>1877922</v>
      </c>
      <c r="X4839" s="6"/>
      <c r="Y4839" s="6"/>
    </row>
    <row r="4840" spans="1:25" ht="15" customHeight="1" x14ac:dyDescent="0.2">
      <c r="A4840" s="88" t="s">
        <v>5555</v>
      </c>
      <c r="B4840" s="90"/>
      <c r="C4840" s="88" t="s">
        <v>5940</v>
      </c>
      <c r="D4840" s="90"/>
      <c r="E4840" s="88" t="s">
        <v>5941</v>
      </c>
      <c r="F4840" s="89"/>
      <c r="G4840" s="89"/>
      <c r="H4840" s="89"/>
      <c r="I4840" s="90"/>
      <c r="J4840" s="88" t="s">
        <v>770</v>
      </c>
      <c r="K4840" s="89"/>
      <c r="L4840" s="89"/>
      <c r="M4840" s="90"/>
      <c r="N4840" s="88" t="s">
        <v>26</v>
      </c>
      <c r="O4840" s="89"/>
      <c r="P4840" s="90"/>
      <c r="Q4840" s="133">
        <v>658</v>
      </c>
      <c r="R4840" s="134"/>
      <c r="S4840" s="5" t="s">
        <v>27</v>
      </c>
      <c r="T4840" s="8">
        <v>1060</v>
      </c>
      <c r="U4840" s="8">
        <v>4</v>
      </c>
      <c r="V4840" s="5" t="s">
        <v>23</v>
      </c>
      <c r="W4840" s="12">
        <v>2355786</v>
      </c>
      <c r="X4840" s="6"/>
      <c r="Y4840" s="6"/>
    </row>
    <row r="4841" spans="1:25" ht="15" customHeight="1" x14ac:dyDescent="0.2">
      <c r="A4841" s="88" t="s">
        <v>5555</v>
      </c>
      <c r="B4841" s="90"/>
      <c r="C4841" s="88" t="s">
        <v>5942</v>
      </c>
      <c r="D4841" s="90"/>
      <c r="E4841" s="88" t="s">
        <v>5943</v>
      </c>
      <c r="F4841" s="89"/>
      <c r="G4841" s="89"/>
      <c r="H4841" s="89"/>
      <c r="I4841" s="90"/>
      <c r="J4841" s="88" t="s">
        <v>770</v>
      </c>
      <c r="K4841" s="89"/>
      <c r="L4841" s="89"/>
      <c r="M4841" s="90"/>
      <c r="N4841" s="88" t="s">
        <v>26</v>
      </c>
      <c r="O4841" s="89"/>
      <c r="P4841" s="90"/>
      <c r="Q4841" s="133">
        <v>658</v>
      </c>
      <c r="R4841" s="134"/>
      <c r="S4841" s="5" t="s">
        <v>27</v>
      </c>
      <c r="T4841" s="8">
        <v>1069</v>
      </c>
      <c r="U4841" s="8">
        <v>5</v>
      </c>
      <c r="V4841" s="5" t="s">
        <v>23</v>
      </c>
      <c r="W4841" s="12">
        <v>2590527</v>
      </c>
      <c r="X4841" s="6"/>
      <c r="Y4841" s="6"/>
    </row>
    <row r="4842" spans="1:25" ht="15" customHeight="1" x14ac:dyDescent="0.2">
      <c r="A4842" s="88" t="s">
        <v>5555</v>
      </c>
      <c r="B4842" s="90"/>
      <c r="C4842" s="88" t="s">
        <v>5944</v>
      </c>
      <c r="D4842" s="90"/>
      <c r="E4842" s="88" t="s">
        <v>5945</v>
      </c>
      <c r="F4842" s="89"/>
      <c r="G4842" s="89"/>
      <c r="H4842" s="89"/>
      <c r="I4842" s="90"/>
      <c r="J4842" s="88" t="s">
        <v>770</v>
      </c>
      <c r="K4842" s="89"/>
      <c r="L4842" s="89"/>
      <c r="M4842" s="90"/>
      <c r="N4842" s="88" t="s">
        <v>26</v>
      </c>
      <c r="O4842" s="89"/>
      <c r="P4842" s="90"/>
      <c r="Q4842" s="133">
        <v>658</v>
      </c>
      <c r="R4842" s="134"/>
      <c r="S4842" s="5" t="s">
        <v>27</v>
      </c>
      <c r="T4842" s="8">
        <v>1060</v>
      </c>
      <c r="U4842" s="8">
        <v>4</v>
      </c>
      <c r="V4842" s="5" t="s">
        <v>23</v>
      </c>
      <c r="W4842" s="12">
        <v>2355786</v>
      </c>
      <c r="X4842" s="6"/>
      <c r="Y4842" s="6"/>
    </row>
    <row r="4843" spans="1:25" ht="15" customHeight="1" x14ac:dyDescent="0.2">
      <c r="A4843" s="88" t="s">
        <v>5555</v>
      </c>
      <c r="B4843" s="90"/>
      <c r="C4843" s="88" t="s">
        <v>5946</v>
      </c>
      <c r="D4843" s="90"/>
      <c r="E4843" s="88" t="s">
        <v>5945</v>
      </c>
      <c r="F4843" s="89"/>
      <c r="G4843" s="89"/>
      <c r="H4843" s="89"/>
      <c r="I4843" s="90"/>
      <c r="J4843" s="88" t="s">
        <v>770</v>
      </c>
      <c r="K4843" s="89"/>
      <c r="L4843" s="89"/>
      <c r="M4843" s="90"/>
      <c r="N4843" s="88" t="s">
        <v>26</v>
      </c>
      <c r="O4843" s="89"/>
      <c r="P4843" s="90"/>
      <c r="Q4843" s="133">
        <v>658</v>
      </c>
      <c r="R4843" s="134"/>
      <c r="S4843" s="5" t="s">
        <v>27</v>
      </c>
      <c r="T4843" s="8">
        <v>1060</v>
      </c>
      <c r="U4843" s="8">
        <v>4</v>
      </c>
      <c r="V4843" s="5" t="s">
        <v>23</v>
      </c>
      <c r="W4843" s="12">
        <v>2363249</v>
      </c>
      <c r="X4843" s="6"/>
      <c r="Y4843" s="6"/>
    </row>
    <row r="4844" spans="1:25" ht="15" customHeight="1" x14ac:dyDescent="0.2">
      <c r="A4844" s="88" t="s">
        <v>5555</v>
      </c>
      <c r="B4844" s="90"/>
      <c r="C4844" s="88" t="s">
        <v>5947</v>
      </c>
      <c r="D4844" s="90"/>
      <c r="E4844" s="88" t="s">
        <v>5948</v>
      </c>
      <c r="F4844" s="89"/>
      <c r="G4844" s="89"/>
      <c r="H4844" s="89"/>
      <c r="I4844" s="90"/>
      <c r="J4844" s="88" t="s">
        <v>770</v>
      </c>
      <c r="K4844" s="89"/>
      <c r="L4844" s="89"/>
      <c r="M4844" s="90"/>
      <c r="N4844" s="88" t="s">
        <v>26</v>
      </c>
      <c r="O4844" s="89"/>
      <c r="P4844" s="90"/>
      <c r="Q4844" s="133">
        <v>658</v>
      </c>
      <c r="R4844" s="134"/>
      <c r="S4844" s="5" t="s">
        <v>27</v>
      </c>
      <c r="T4844" s="8">
        <v>1060</v>
      </c>
      <c r="U4844" s="8">
        <v>5</v>
      </c>
      <c r="V4844" s="5" t="s">
        <v>23</v>
      </c>
      <c r="W4844" s="12">
        <v>2702028</v>
      </c>
      <c r="X4844" s="6"/>
      <c r="Y4844" s="6"/>
    </row>
    <row r="4845" spans="1:25" ht="15" customHeight="1" x14ac:dyDescent="0.2">
      <c r="A4845" s="88" t="s">
        <v>5555</v>
      </c>
      <c r="B4845" s="90"/>
      <c r="C4845" s="88" t="s">
        <v>5947</v>
      </c>
      <c r="D4845" s="90"/>
      <c r="E4845" s="88" t="s">
        <v>5945</v>
      </c>
      <c r="F4845" s="89"/>
      <c r="G4845" s="89"/>
      <c r="H4845" s="89"/>
      <c r="I4845" s="90"/>
      <c r="J4845" s="88" t="s">
        <v>770</v>
      </c>
      <c r="K4845" s="89"/>
      <c r="L4845" s="89"/>
      <c r="M4845" s="90"/>
      <c r="N4845" s="88" t="s">
        <v>26</v>
      </c>
      <c r="O4845" s="89"/>
      <c r="P4845" s="90"/>
      <c r="Q4845" s="133">
        <v>658</v>
      </c>
      <c r="R4845" s="134"/>
      <c r="S4845" s="5" t="s">
        <v>27</v>
      </c>
      <c r="T4845" s="8">
        <v>1060</v>
      </c>
      <c r="U4845" s="8">
        <v>4</v>
      </c>
      <c r="V4845" s="5" t="s">
        <v>23</v>
      </c>
      <c r="W4845" s="12">
        <v>2355786</v>
      </c>
      <c r="X4845" s="6"/>
      <c r="Y4845" s="6"/>
    </row>
    <row r="4846" spans="1:25" ht="15" customHeight="1" x14ac:dyDescent="0.2">
      <c r="A4846" s="88" t="s">
        <v>5555</v>
      </c>
      <c r="B4846" s="90"/>
      <c r="C4846" s="88" t="s">
        <v>5949</v>
      </c>
      <c r="D4846" s="90"/>
      <c r="E4846" s="88" t="s">
        <v>5950</v>
      </c>
      <c r="F4846" s="89"/>
      <c r="G4846" s="89"/>
      <c r="H4846" s="89"/>
      <c r="I4846" s="90"/>
      <c r="J4846" s="88" t="s">
        <v>770</v>
      </c>
      <c r="K4846" s="89"/>
      <c r="L4846" s="89"/>
      <c r="M4846" s="90"/>
      <c r="N4846" s="88" t="s">
        <v>26</v>
      </c>
      <c r="O4846" s="89"/>
      <c r="P4846" s="90"/>
      <c r="Q4846" s="133">
        <v>658</v>
      </c>
      <c r="R4846" s="134"/>
      <c r="S4846" s="5" t="s">
        <v>27</v>
      </c>
      <c r="T4846" s="8">
        <v>1240</v>
      </c>
      <c r="U4846" s="8">
        <v>4</v>
      </c>
      <c r="V4846" s="5" t="s">
        <v>23</v>
      </c>
      <c r="W4846" s="12">
        <v>2598910</v>
      </c>
      <c r="X4846" s="6"/>
      <c r="Y4846" s="6"/>
    </row>
    <row r="4847" spans="1:25" ht="15" customHeight="1" x14ac:dyDescent="0.2">
      <c r="A4847" s="88" t="s">
        <v>5555</v>
      </c>
      <c r="B4847" s="90"/>
      <c r="C4847" s="88" t="s">
        <v>5951</v>
      </c>
      <c r="D4847" s="90"/>
      <c r="E4847" s="88" t="s">
        <v>5952</v>
      </c>
      <c r="F4847" s="89"/>
      <c r="G4847" s="89"/>
      <c r="H4847" s="89"/>
      <c r="I4847" s="90"/>
      <c r="J4847" s="88" t="s">
        <v>770</v>
      </c>
      <c r="K4847" s="89"/>
      <c r="L4847" s="89"/>
      <c r="M4847" s="90"/>
      <c r="N4847" s="88" t="s">
        <v>26</v>
      </c>
      <c r="O4847" s="89"/>
      <c r="P4847" s="90"/>
      <c r="Q4847" s="133">
        <v>658</v>
      </c>
      <c r="R4847" s="134"/>
      <c r="S4847" s="5" t="s">
        <v>27</v>
      </c>
      <c r="T4847" s="8">
        <v>1240</v>
      </c>
      <c r="U4847" s="8">
        <v>4</v>
      </c>
      <c r="V4847" s="5" t="s">
        <v>23</v>
      </c>
      <c r="W4847" s="12">
        <v>2598910</v>
      </c>
      <c r="X4847" s="6"/>
      <c r="Y4847" s="6"/>
    </row>
    <row r="4848" spans="1:25" ht="15" customHeight="1" x14ac:dyDescent="0.2">
      <c r="A4848" s="88" t="s">
        <v>5555</v>
      </c>
      <c r="B4848" s="90"/>
      <c r="C4848" s="88" t="s">
        <v>5953</v>
      </c>
      <c r="D4848" s="90"/>
      <c r="E4848" s="88" t="s">
        <v>5950</v>
      </c>
      <c r="F4848" s="89"/>
      <c r="G4848" s="89"/>
      <c r="H4848" s="89"/>
      <c r="I4848" s="90"/>
      <c r="J4848" s="88" t="s">
        <v>770</v>
      </c>
      <c r="K4848" s="89"/>
      <c r="L4848" s="89"/>
      <c r="M4848" s="90"/>
      <c r="N4848" s="88" t="s">
        <v>26</v>
      </c>
      <c r="O4848" s="89"/>
      <c r="P4848" s="90"/>
      <c r="Q4848" s="133">
        <v>658</v>
      </c>
      <c r="R4848" s="134"/>
      <c r="S4848" s="5" t="s">
        <v>27</v>
      </c>
      <c r="T4848" s="8">
        <v>1240</v>
      </c>
      <c r="U4848" s="8">
        <v>4</v>
      </c>
      <c r="V4848" s="5" t="s">
        <v>23</v>
      </c>
      <c r="W4848" s="12">
        <v>2607143</v>
      </c>
      <c r="X4848" s="6"/>
      <c r="Y4848" s="6"/>
    </row>
    <row r="4849" spans="1:25" ht="15" customHeight="1" x14ac:dyDescent="0.2">
      <c r="A4849" s="88" t="s">
        <v>5555</v>
      </c>
      <c r="B4849" s="90"/>
      <c r="C4849" s="88" t="s">
        <v>5954</v>
      </c>
      <c r="D4849" s="90"/>
      <c r="E4849" s="88" t="s">
        <v>5952</v>
      </c>
      <c r="F4849" s="89"/>
      <c r="G4849" s="89"/>
      <c r="H4849" s="89"/>
      <c r="I4849" s="90"/>
      <c r="J4849" s="88" t="s">
        <v>770</v>
      </c>
      <c r="K4849" s="89"/>
      <c r="L4849" s="89"/>
      <c r="M4849" s="90"/>
      <c r="N4849" s="88" t="s">
        <v>26</v>
      </c>
      <c r="O4849" s="89"/>
      <c r="P4849" s="90"/>
      <c r="Q4849" s="133">
        <v>658</v>
      </c>
      <c r="R4849" s="134"/>
      <c r="S4849" s="5" t="s">
        <v>27</v>
      </c>
      <c r="T4849" s="8">
        <v>1240</v>
      </c>
      <c r="U4849" s="8">
        <v>5</v>
      </c>
      <c r="V4849" s="5" t="s">
        <v>23</v>
      </c>
      <c r="W4849" s="12">
        <v>2858801</v>
      </c>
      <c r="X4849" s="6"/>
      <c r="Y4849" s="6"/>
    </row>
    <row r="4850" spans="1:25" ht="15" customHeight="1" x14ac:dyDescent="0.2">
      <c r="A4850" s="88" t="s">
        <v>5555</v>
      </c>
      <c r="B4850" s="90"/>
      <c r="C4850" s="88" t="s">
        <v>5955</v>
      </c>
      <c r="D4850" s="90"/>
      <c r="E4850" s="88" t="s">
        <v>5956</v>
      </c>
      <c r="F4850" s="89"/>
      <c r="G4850" s="89"/>
      <c r="H4850" s="89"/>
      <c r="I4850" s="90"/>
      <c r="J4850" s="88" t="s">
        <v>963</v>
      </c>
      <c r="K4850" s="89"/>
      <c r="L4850" s="89"/>
      <c r="M4850" s="90"/>
      <c r="N4850" s="88" t="s">
        <v>22</v>
      </c>
      <c r="O4850" s="89"/>
      <c r="P4850" s="90"/>
      <c r="Q4850" s="133">
        <v>658</v>
      </c>
      <c r="R4850" s="134"/>
      <c r="S4850" s="5" t="s">
        <v>945</v>
      </c>
      <c r="T4850" s="8">
        <v>1270</v>
      </c>
      <c r="U4850" s="8">
        <v>2</v>
      </c>
      <c r="V4850" s="5" t="s">
        <v>106</v>
      </c>
      <c r="W4850" s="12">
        <v>1827621</v>
      </c>
      <c r="X4850" s="6"/>
      <c r="Y4850" s="6"/>
    </row>
    <row r="4851" spans="1:25" ht="15" customHeight="1" x14ac:dyDescent="0.2">
      <c r="A4851" s="88" t="s">
        <v>5555</v>
      </c>
      <c r="B4851" s="90"/>
      <c r="C4851" s="88" t="s">
        <v>5955</v>
      </c>
      <c r="D4851" s="90"/>
      <c r="E4851" s="88" t="s">
        <v>5956</v>
      </c>
      <c r="F4851" s="89"/>
      <c r="G4851" s="89"/>
      <c r="H4851" s="89"/>
      <c r="I4851" s="90"/>
      <c r="J4851" s="88" t="s">
        <v>963</v>
      </c>
      <c r="K4851" s="89"/>
      <c r="L4851" s="89"/>
      <c r="M4851" s="90"/>
      <c r="N4851" s="88" t="s">
        <v>22</v>
      </c>
      <c r="O4851" s="89"/>
      <c r="P4851" s="90"/>
      <c r="Q4851" s="133">
        <v>658</v>
      </c>
      <c r="R4851" s="134"/>
      <c r="S4851" s="5" t="s">
        <v>945</v>
      </c>
      <c r="T4851" s="8">
        <v>1270</v>
      </c>
      <c r="U4851" s="8">
        <v>2</v>
      </c>
      <c r="V4851" s="5" t="s">
        <v>23</v>
      </c>
      <c r="W4851" s="12">
        <v>1827621</v>
      </c>
      <c r="X4851" s="6"/>
      <c r="Y4851" s="6"/>
    </row>
    <row r="4852" spans="1:25" ht="15" customHeight="1" x14ac:dyDescent="0.2">
      <c r="A4852" s="88" t="s">
        <v>5555</v>
      </c>
      <c r="B4852" s="90"/>
      <c r="C4852" s="88" t="s">
        <v>5955</v>
      </c>
      <c r="D4852" s="90"/>
      <c r="E4852" s="88" t="s">
        <v>5957</v>
      </c>
      <c r="F4852" s="89"/>
      <c r="G4852" s="89"/>
      <c r="H4852" s="89"/>
      <c r="I4852" s="90"/>
      <c r="J4852" s="88" t="s">
        <v>770</v>
      </c>
      <c r="K4852" s="89"/>
      <c r="L4852" s="89"/>
      <c r="M4852" s="90"/>
      <c r="N4852" s="88" t="s">
        <v>22</v>
      </c>
      <c r="O4852" s="89"/>
      <c r="P4852" s="90"/>
      <c r="Q4852" s="133">
        <v>658</v>
      </c>
      <c r="R4852" s="134"/>
      <c r="S4852" s="5" t="s">
        <v>945</v>
      </c>
      <c r="T4852" s="8">
        <v>1320</v>
      </c>
      <c r="U4852" s="8">
        <v>2</v>
      </c>
      <c r="V4852" s="5" t="s">
        <v>23</v>
      </c>
      <c r="W4852" s="12">
        <v>2250153</v>
      </c>
      <c r="X4852" s="6"/>
      <c r="Y4852" s="6"/>
    </row>
    <row r="4853" spans="1:25" ht="15" customHeight="1" x14ac:dyDescent="0.2">
      <c r="A4853" s="88" t="s">
        <v>5555</v>
      </c>
      <c r="B4853" s="90"/>
      <c r="C4853" s="88" t="s">
        <v>5955</v>
      </c>
      <c r="D4853" s="90"/>
      <c r="E4853" s="88" t="s">
        <v>5958</v>
      </c>
      <c r="F4853" s="89"/>
      <c r="G4853" s="89"/>
      <c r="H4853" s="89"/>
      <c r="I4853" s="90"/>
      <c r="J4853" s="88" t="s">
        <v>963</v>
      </c>
      <c r="K4853" s="89"/>
      <c r="L4853" s="89"/>
      <c r="M4853" s="90"/>
      <c r="N4853" s="88" t="s">
        <v>22</v>
      </c>
      <c r="O4853" s="89"/>
      <c r="P4853" s="90"/>
      <c r="Q4853" s="133">
        <v>658</v>
      </c>
      <c r="R4853" s="134"/>
      <c r="S4853" s="5" t="s">
        <v>945</v>
      </c>
      <c r="T4853" s="8">
        <v>1270</v>
      </c>
      <c r="U4853" s="8">
        <v>2</v>
      </c>
      <c r="V4853" s="5" t="s">
        <v>23</v>
      </c>
      <c r="W4853" s="12">
        <v>2038049</v>
      </c>
      <c r="X4853" s="6"/>
      <c r="Y4853" s="6"/>
    </row>
    <row r="4854" spans="1:25" ht="15" customHeight="1" x14ac:dyDescent="0.2">
      <c r="A4854" s="88" t="s">
        <v>5555</v>
      </c>
      <c r="B4854" s="90"/>
      <c r="C4854" s="88" t="s">
        <v>5959</v>
      </c>
      <c r="D4854" s="90"/>
      <c r="E4854" s="88" t="s">
        <v>5960</v>
      </c>
      <c r="F4854" s="89"/>
      <c r="G4854" s="89"/>
      <c r="H4854" s="89"/>
      <c r="I4854" s="90"/>
      <c r="J4854" s="88" t="s">
        <v>770</v>
      </c>
      <c r="K4854" s="89"/>
      <c r="L4854" s="89"/>
      <c r="M4854" s="90"/>
      <c r="N4854" s="88" t="s">
        <v>26</v>
      </c>
      <c r="O4854" s="89"/>
      <c r="P4854" s="90"/>
      <c r="Q4854" s="133">
        <v>658</v>
      </c>
      <c r="R4854" s="134"/>
      <c r="S4854" s="5" t="s">
        <v>814</v>
      </c>
      <c r="T4854" s="8">
        <v>1270</v>
      </c>
      <c r="U4854" s="8">
        <v>4</v>
      </c>
      <c r="V4854" s="5" t="s">
        <v>23</v>
      </c>
      <c r="W4854" s="12">
        <v>2129430</v>
      </c>
      <c r="X4854" s="6"/>
      <c r="Y4854" s="6"/>
    </row>
    <row r="4855" spans="1:25" ht="15" customHeight="1" x14ac:dyDescent="0.2">
      <c r="A4855" s="88" t="s">
        <v>5555</v>
      </c>
      <c r="B4855" s="90"/>
      <c r="C4855" s="88" t="s">
        <v>5959</v>
      </c>
      <c r="D4855" s="90"/>
      <c r="E4855" s="88" t="s">
        <v>5961</v>
      </c>
      <c r="F4855" s="89"/>
      <c r="G4855" s="89"/>
      <c r="H4855" s="89"/>
      <c r="I4855" s="90"/>
      <c r="J4855" s="88" t="s">
        <v>887</v>
      </c>
      <c r="K4855" s="89"/>
      <c r="L4855" s="89"/>
      <c r="M4855" s="90"/>
      <c r="N4855" s="88" t="s">
        <v>26</v>
      </c>
      <c r="O4855" s="89"/>
      <c r="P4855" s="90"/>
      <c r="Q4855" s="133">
        <v>658</v>
      </c>
      <c r="R4855" s="134"/>
      <c r="S4855" s="5" t="s">
        <v>814</v>
      </c>
      <c r="T4855" s="8">
        <v>1270</v>
      </c>
      <c r="U4855" s="8">
        <v>4</v>
      </c>
      <c r="V4855" s="5" t="s">
        <v>106</v>
      </c>
      <c r="W4855" s="12">
        <v>2112662</v>
      </c>
      <c r="X4855" s="6"/>
      <c r="Y4855" s="6"/>
    </row>
    <row r="4856" spans="1:25" ht="15" customHeight="1" x14ac:dyDescent="0.2">
      <c r="A4856" s="88" t="s">
        <v>5555</v>
      </c>
      <c r="B4856" s="90"/>
      <c r="C4856" s="88" t="s">
        <v>5959</v>
      </c>
      <c r="D4856" s="90"/>
      <c r="E4856" s="88" t="s">
        <v>5962</v>
      </c>
      <c r="F4856" s="89"/>
      <c r="G4856" s="89"/>
      <c r="H4856" s="89"/>
      <c r="I4856" s="90"/>
      <c r="J4856" s="88" t="s">
        <v>770</v>
      </c>
      <c r="K4856" s="89"/>
      <c r="L4856" s="89"/>
      <c r="M4856" s="90"/>
      <c r="N4856" s="88" t="s">
        <v>26</v>
      </c>
      <c r="O4856" s="89"/>
      <c r="P4856" s="90"/>
      <c r="Q4856" s="133">
        <v>658</v>
      </c>
      <c r="R4856" s="134"/>
      <c r="S4856" s="5" t="s">
        <v>814</v>
      </c>
      <c r="T4856" s="8">
        <v>1410</v>
      </c>
      <c r="U4856" s="8">
        <v>4</v>
      </c>
      <c r="V4856" s="5" t="s">
        <v>23</v>
      </c>
      <c r="W4856" s="12">
        <v>2434592</v>
      </c>
      <c r="X4856" s="6"/>
      <c r="Y4856" s="6"/>
    </row>
    <row r="4857" spans="1:25" ht="15" customHeight="1" x14ac:dyDescent="0.2">
      <c r="A4857" s="88" t="s">
        <v>5555</v>
      </c>
      <c r="B4857" s="90"/>
      <c r="C4857" s="88" t="s">
        <v>5959</v>
      </c>
      <c r="D4857" s="90"/>
      <c r="E4857" s="88" t="s">
        <v>5963</v>
      </c>
      <c r="F4857" s="89"/>
      <c r="G4857" s="89"/>
      <c r="H4857" s="89"/>
      <c r="I4857" s="90"/>
      <c r="J4857" s="88" t="s">
        <v>887</v>
      </c>
      <c r="K4857" s="89"/>
      <c r="L4857" s="89"/>
      <c r="M4857" s="90"/>
      <c r="N4857" s="88" t="s">
        <v>26</v>
      </c>
      <c r="O4857" s="89"/>
      <c r="P4857" s="90"/>
      <c r="Q4857" s="133">
        <v>658</v>
      </c>
      <c r="R4857" s="134"/>
      <c r="S4857" s="5" t="s">
        <v>814</v>
      </c>
      <c r="T4857" s="8">
        <v>1270</v>
      </c>
      <c r="U4857" s="8">
        <v>4</v>
      </c>
      <c r="V4857" s="5" t="s">
        <v>23</v>
      </c>
      <c r="W4857" s="12">
        <v>2112662</v>
      </c>
      <c r="X4857" s="6"/>
      <c r="Y4857" s="6"/>
    </row>
    <row r="4858" spans="1:25" ht="15" customHeight="1" x14ac:dyDescent="0.2">
      <c r="A4858" s="88" t="s">
        <v>5555</v>
      </c>
      <c r="B4858" s="90"/>
      <c r="C4858" s="88" t="s">
        <v>5964</v>
      </c>
      <c r="D4858" s="90"/>
      <c r="E4858" s="88" t="s">
        <v>5965</v>
      </c>
      <c r="F4858" s="89"/>
      <c r="G4858" s="89"/>
      <c r="H4858" s="89"/>
      <c r="I4858" s="90"/>
      <c r="J4858" s="88" t="s">
        <v>770</v>
      </c>
      <c r="K4858" s="89"/>
      <c r="L4858" s="89"/>
      <c r="M4858" s="90"/>
      <c r="N4858" s="88" t="s">
        <v>26</v>
      </c>
      <c r="O4858" s="89"/>
      <c r="P4858" s="90"/>
      <c r="Q4858" s="133">
        <v>1496</v>
      </c>
      <c r="R4858" s="134"/>
      <c r="S4858" s="5" t="s">
        <v>814</v>
      </c>
      <c r="T4858" s="8">
        <v>1495</v>
      </c>
      <c r="U4858" s="8">
        <v>5</v>
      </c>
      <c r="V4858" s="5" t="s">
        <v>23</v>
      </c>
      <c r="W4858" s="12">
        <v>3370200</v>
      </c>
      <c r="X4858" s="6"/>
      <c r="Y4858" s="6"/>
    </row>
    <row r="4859" spans="1:25" ht="15" customHeight="1" x14ac:dyDescent="0.2">
      <c r="A4859" s="88" t="s">
        <v>5555</v>
      </c>
      <c r="B4859" s="90"/>
      <c r="C4859" s="88" t="s">
        <v>5964</v>
      </c>
      <c r="D4859" s="90"/>
      <c r="E4859" s="88" t="s">
        <v>5966</v>
      </c>
      <c r="F4859" s="89"/>
      <c r="G4859" s="89"/>
      <c r="H4859" s="89"/>
      <c r="I4859" s="90"/>
      <c r="J4859" s="88" t="s">
        <v>770</v>
      </c>
      <c r="K4859" s="89"/>
      <c r="L4859" s="89"/>
      <c r="M4859" s="90"/>
      <c r="N4859" s="88" t="s">
        <v>26</v>
      </c>
      <c r="O4859" s="89"/>
      <c r="P4859" s="90"/>
      <c r="Q4859" s="133">
        <v>1496</v>
      </c>
      <c r="R4859" s="134"/>
      <c r="S4859" s="5" t="s">
        <v>814</v>
      </c>
      <c r="T4859" s="8">
        <v>1495</v>
      </c>
      <c r="U4859" s="8">
        <v>5</v>
      </c>
      <c r="V4859" s="5" t="s">
        <v>23</v>
      </c>
      <c r="W4859" s="12">
        <v>3439396</v>
      </c>
      <c r="X4859" s="6"/>
      <c r="Y4859" s="6"/>
    </row>
    <row r="4860" spans="1:25" ht="15" customHeight="1" x14ac:dyDescent="0.2">
      <c r="A4860" s="88" t="s">
        <v>5555</v>
      </c>
      <c r="B4860" s="90"/>
      <c r="C4860" s="88" t="s">
        <v>5967</v>
      </c>
      <c r="D4860" s="90"/>
      <c r="E4860" s="88" t="s">
        <v>5968</v>
      </c>
      <c r="F4860" s="89"/>
      <c r="G4860" s="89"/>
      <c r="H4860" s="89"/>
      <c r="I4860" s="90"/>
      <c r="J4860" s="88" t="s">
        <v>770</v>
      </c>
      <c r="K4860" s="89"/>
      <c r="L4860" s="89"/>
      <c r="M4860" s="90"/>
      <c r="N4860" s="88" t="s">
        <v>26</v>
      </c>
      <c r="O4860" s="89"/>
      <c r="P4860" s="90"/>
      <c r="Q4860" s="133">
        <v>1496</v>
      </c>
      <c r="R4860" s="134"/>
      <c r="S4860" s="5" t="s">
        <v>814</v>
      </c>
      <c r="T4860" s="8">
        <v>1445</v>
      </c>
      <c r="U4860" s="8">
        <v>5</v>
      </c>
      <c r="V4860" s="5" t="s">
        <v>23</v>
      </c>
      <c r="W4860" s="12">
        <v>3070067</v>
      </c>
      <c r="X4860" s="6"/>
      <c r="Y4860" s="6"/>
    </row>
    <row r="4861" spans="1:25" ht="15" customHeight="1" x14ac:dyDescent="0.2">
      <c r="A4861" s="88" t="s">
        <v>5555</v>
      </c>
      <c r="B4861" s="90"/>
      <c r="C4861" s="88" t="s">
        <v>5967</v>
      </c>
      <c r="D4861" s="90"/>
      <c r="E4861" s="88" t="s">
        <v>5969</v>
      </c>
      <c r="F4861" s="89"/>
      <c r="G4861" s="89"/>
      <c r="H4861" s="89"/>
      <c r="I4861" s="90"/>
      <c r="J4861" s="88" t="s">
        <v>770</v>
      </c>
      <c r="K4861" s="89"/>
      <c r="L4861" s="89"/>
      <c r="M4861" s="90"/>
      <c r="N4861" s="88" t="s">
        <v>26</v>
      </c>
      <c r="O4861" s="89"/>
      <c r="P4861" s="90"/>
      <c r="Q4861" s="133">
        <v>1496</v>
      </c>
      <c r="R4861" s="134"/>
      <c r="S4861" s="5" t="s">
        <v>814</v>
      </c>
      <c r="T4861" s="8">
        <v>1445</v>
      </c>
      <c r="U4861" s="8">
        <v>5</v>
      </c>
      <c r="V4861" s="5" t="s">
        <v>23</v>
      </c>
      <c r="W4861" s="12">
        <v>3070067</v>
      </c>
      <c r="X4861" s="6"/>
      <c r="Y4861" s="6"/>
    </row>
    <row r="4862" spans="1:25" ht="15" customHeight="1" x14ac:dyDescent="0.2">
      <c r="A4862" s="88" t="s">
        <v>5555</v>
      </c>
      <c r="B4862" s="90"/>
      <c r="C4862" s="88" t="s">
        <v>5970</v>
      </c>
      <c r="D4862" s="90"/>
      <c r="E4862" s="88" t="s">
        <v>5971</v>
      </c>
      <c r="F4862" s="89"/>
      <c r="G4862" s="89"/>
      <c r="H4862" s="89"/>
      <c r="I4862" s="90"/>
      <c r="J4862" s="88" t="s">
        <v>1718</v>
      </c>
      <c r="K4862" s="89"/>
      <c r="L4862" s="89"/>
      <c r="M4862" s="90"/>
      <c r="N4862" s="88" t="s">
        <v>22</v>
      </c>
      <c r="O4862" s="89"/>
      <c r="P4862" s="90"/>
      <c r="Q4862" s="133">
        <v>2800</v>
      </c>
      <c r="R4862" s="134"/>
      <c r="S4862" s="5" t="s">
        <v>2633</v>
      </c>
      <c r="T4862" s="6"/>
      <c r="U4862" s="6"/>
      <c r="V4862" s="5" t="s">
        <v>106</v>
      </c>
      <c r="W4862" s="12">
        <v>9095659</v>
      </c>
      <c r="X4862" s="6"/>
      <c r="Y4862" s="6"/>
    </row>
    <row r="4863" spans="1:25" ht="15" customHeight="1" x14ac:dyDescent="0.2">
      <c r="A4863" s="88" t="s">
        <v>5555</v>
      </c>
      <c r="B4863" s="90"/>
      <c r="C4863" s="88" t="s">
        <v>5972</v>
      </c>
      <c r="D4863" s="90"/>
      <c r="E4863" s="88" t="s">
        <v>5973</v>
      </c>
      <c r="F4863" s="89"/>
      <c r="G4863" s="89"/>
      <c r="H4863" s="89"/>
      <c r="I4863" s="90"/>
      <c r="J4863" s="88" t="s">
        <v>770</v>
      </c>
      <c r="K4863" s="89"/>
      <c r="L4863" s="89"/>
      <c r="M4863" s="90"/>
      <c r="N4863" s="88" t="s">
        <v>26</v>
      </c>
      <c r="O4863" s="89"/>
      <c r="P4863" s="90"/>
      <c r="Q4863" s="133">
        <v>1496</v>
      </c>
      <c r="R4863" s="134"/>
      <c r="S4863" s="5" t="s">
        <v>44</v>
      </c>
      <c r="T4863" s="8">
        <v>1475</v>
      </c>
      <c r="U4863" s="8">
        <v>5</v>
      </c>
      <c r="V4863" s="5" t="s">
        <v>23</v>
      </c>
      <c r="W4863" s="12">
        <v>3580552</v>
      </c>
      <c r="X4863" s="6"/>
      <c r="Y4863" s="6"/>
    </row>
    <row r="4864" spans="1:25" ht="15" customHeight="1" x14ac:dyDescent="0.2">
      <c r="A4864" s="88" t="s">
        <v>5555</v>
      </c>
      <c r="B4864" s="90"/>
      <c r="C4864" s="88" t="s">
        <v>5974</v>
      </c>
      <c r="D4864" s="90"/>
      <c r="E4864" s="88" t="s">
        <v>5975</v>
      </c>
      <c r="F4864" s="89"/>
      <c r="G4864" s="89"/>
      <c r="H4864" s="89"/>
      <c r="I4864" s="90"/>
      <c r="J4864" s="88" t="s">
        <v>770</v>
      </c>
      <c r="K4864" s="89"/>
      <c r="L4864" s="89"/>
      <c r="M4864" s="90"/>
      <c r="N4864" s="88" t="s">
        <v>26</v>
      </c>
      <c r="O4864" s="89"/>
      <c r="P4864" s="90"/>
      <c r="Q4864" s="133">
        <v>1986</v>
      </c>
      <c r="R4864" s="134"/>
      <c r="S4864" s="5" t="s">
        <v>44</v>
      </c>
      <c r="T4864" s="8">
        <v>1545</v>
      </c>
      <c r="U4864" s="8">
        <v>5</v>
      </c>
      <c r="V4864" s="5" t="s">
        <v>23</v>
      </c>
      <c r="W4864" s="12">
        <v>4344220</v>
      </c>
      <c r="X4864" s="6"/>
      <c r="Y4864" s="6"/>
    </row>
    <row r="4865" spans="1:25" ht="15" customHeight="1" x14ac:dyDescent="0.2">
      <c r="A4865" s="88" t="s">
        <v>5555</v>
      </c>
      <c r="B4865" s="90"/>
      <c r="C4865" s="88" t="s">
        <v>5976</v>
      </c>
      <c r="D4865" s="90"/>
      <c r="E4865" s="88" t="s">
        <v>5977</v>
      </c>
      <c r="F4865" s="89"/>
      <c r="G4865" s="89"/>
      <c r="H4865" s="89"/>
      <c r="I4865" s="90"/>
      <c r="J4865" s="88" t="s">
        <v>770</v>
      </c>
      <c r="K4865" s="89"/>
      <c r="L4865" s="89"/>
      <c r="M4865" s="90"/>
      <c r="N4865" s="88" t="s">
        <v>26</v>
      </c>
      <c r="O4865" s="89"/>
      <c r="P4865" s="90"/>
      <c r="Q4865" s="133">
        <v>1986</v>
      </c>
      <c r="R4865" s="134"/>
      <c r="S4865" s="5" t="s">
        <v>44</v>
      </c>
      <c r="T4865" s="8">
        <v>1545</v>
      </c>
      <c r="U4865" s="8">
        <v>5</v>
      </c>
      <c r="V4865" s="5" t="s">
        <v>23</v>
      </c>
      <c r="W4865" s="12">
        <v>4344220</v>
      </c>
      <c r="X4865" s="6"/>
      <c r="Y4865" s="6"/>
    </row>
    <row r="4866" spans="1:25" ht="15" customHeight="1" x14ac:dyDescent="0.2">
      <c r="A4866" s="88" t="s">
        <v>5555</v>
      </c>
      <c r="B4866" s="90"/>
      <c r="C4866" s="88" t="s">
        <v>5978</v>
      </c>
      <c r="D4866" s="90"/>
      <c r="E4866" s="88" t="s">
        <v>5977</v>
      </c>
      <c r="F4866" s="89"/>
      <c r="G4866" s="89"/>
      <c r="H4866" s="89"/>
      <c r="I4866" s="90"/>
      <c r="J4866" s="88" t="s">
        <v>770</v>
      </c>
      <c r="K4866" s="89"/>
      <c r="L4866" s="89"/>
      <c r="M4866" s="90"/>
      <c r="N4866" s="88" t="s">
        <v>26</v>
      </c>
      <c r="O4866" s="89"/>
      <c r="P4866" s="90"/>
      <c r="Q4866" s="133">
        <v>1986</v>
      </c>
      <c r="R4866" s="134"/>
      <c r="S4866" s="5" t="s">
        <v>44</v>
      </c>
      <c r="T4866" s="8">
        <v>1545</v>
      </c>
      <c r="U4866" s="8">
        <v>5</v>
      </c>
      <c r="V4866" s="5" t="s">
        <v>23</v>
      </c>
      <c r="W4866" s="12">
        <v>4357981</v>
      </c>
      <c r="X4866" s="6"/>
      <c r="Y4866" s="6"/>
    </row>
    <row r="4867" spans="1:25" ht="15" customHeight="1" x14ac:dyDescent="0.2">
      <c r="A4867" s="88" t="s">
        <v>5555</v>
      </c>
      <c r="B4867" s="90"/>
      <c r="C4867" s="88" t="s">
        <v>5979</v>
      </c>
      <c r="D4867" s="90"/>
      <c r="E4867" s="88" t="s">
        <v>5980</v>
      </c>
      <c r="F4867" s="89"/>
      <c r="G4867" s="89"/>
      <c r="H4867" s="89"/>
      <c r="I4867" s="90"/>
      <c r="J4867" s="88" t="s">
        <v>770</v>
      </c>
      <c r="K4867" s="89"/>
      <c r="L4867" s="89"/>
      <c r="M4867" s="90"/>
      <c r="N4867" s="88" t="s">
        <v>26</v>
      </c>
      <c r="O4867" s="89"/>
      <c r="P4867" s="90"/>
      <c r="Q4867" s="133">
        <v>1797</v>
      </c>
      <c r="R4867" s="134"/>
      <c r="S4867" s="5" t="s">
        <v>27</v>
      </c>
      <c r="T4867" s="8">
        <v>1655</v>
      </c>
      <c r="U4867" s="8">
        <v>5</v>
      </c>
      <c r="V4867" s="5" t="s">
        <v>23</v>
      </c>
      <c r="W4867" s="12">
        <v>6011726</v>
      </c>
      <c r="X4867" s="6"/>
      <c r="Y4867" s="6"/>
    </row>
    <row r="4868" spans="1:25" ht="15" customHeight="1" x14ac:dyDescent="0.2">
      <c r="A4868" s="88" t="s">
        <v>5555</v>
      </c>
      <c r="B4868" s="90"/>
      <c r="C4868" s="88" t="s">
        <v>5981</v>
      </c>
      <c r="D4868" s="90"/>
      <c r="E4868" s="88" t="s">
        <v>5982</v>
      </c>
      <c r="F4868" s="89"/>
      <c r="G4868" s="89"/>
      <c r="H4868" s="89"/>
      <c r="I4868" s="90"/>
      <c r="J4868" s="88" t="s">
        <v>770</v>
      </c>
      <c r="K4868" s="89"/>
      <c r="L4868" s="89"/>
      <c r="M4868" s="90"/>
      <c r="N4868" s="88" t="s">
        <v>26</v>
      </c>
      <c r="O4868" s="89"/>
      <c r="P4868" s="90"/>
      <c r="Q4868" s="133">
        <v>1797</v>
      </c>
      <c r="R4868" s="134"/>
      <c r="S4868" s="5" t="s">
        <v>27</v>
      </c>
      <c r="T4868" s="8">
        <v>1770</v>
      </c>
      <c r="U4868" s="8">
        <v>5</v>
      </c>
      <c r="V4868" s="5" t="s">
        <v>23</v>
      </c>
      <c r="W4868" s="12">
        <v>6850758</v>
      </c>
      <c r="X4868" s="6"/>
      <c r="Y4868" s="6"/>
    </row>
    <row r="4869" spans="1:25" ht="15" customHeight="1" x14ac:dyDescent="0.2">
      <c r="A4869" s="88" t="s">
        <v>5555</v>
      </c>
      <c r="B4869" s="90"/>
      <c r="C4869" s="88" t="s">
        <v>5983</v>
      </c>
      <c r="D4869" s="90"/>
      <c r="E4869" s="88" t="s">
        <v>5984</v>
      </c>
      <c r="F4869" s="89"/>
      <c r="G4869" s="89"/>
      <c r="H4869" s="89"/>
      <c r="I4869" s="90"/>
      <c r="J4869" s="88" t="s">
        <v>770</v>
      </c>
      <c r="K4869" s="89"/>
      <c r="L4869" s="89"/>
      <c r="M4869" s="90"/>
      <c r="N4869" s="88" t="s">
        <v>26</v>
      </c>
      <c r="O4869" s="89"/>
      <c r="P4869" s="90"/>
      <c r="Q4869" s="133">
        <v>1797</v>
      </c>
      <c r="R4869" s="134"/>
      <c r="S4869" s="5" t="s">
        <v>27</v>
      </c>
      <c r="T4869" s="8">
        <v>1665</v>
      </c>
      <c r="U4869" s="8">
        <v>4</v>
      </c>
      <c r="V4869" s="5" t="s">
        <v>23</v>
      </c>
      <c r="W4869" s="12">
        <v>5311348</v>
      </c>
      <c r="X4869" s="6"/>
      <c r="Y4869" s="6"/>
    </row>
    <row r="4870" spans="1:25" ht="15" customHeight="1" x14ac:dyDescent="0.2">
      <c r="A4870" s="88" t="s">
        <v>5555</v>
      </c>
      <c r="B4870" s="90"/>
      <c r="C4870" s="88" t="s">
        <v>5985</v>
      </c>
      <c r="D4870" s="90"/>
      <c r="E4870" s="88" t="s">
        <v>5986</v>
      </c>
      <c r="F4870" s="89"/>
      <c r="G4870" s="89"/>
      <c r="H4870" s="89"/>
      <c r="I4870" s="90"/>
      <c r="J4870" s="88" t="s">
        <v>770</v>
      </c>
      <c r="K4870" s="89"/>
      <c r="L4870" s="89"/>
      <c r="M4870" s="90"/>
      <c r="N4870" s="88" t="s">
        <v>26</v>
      </c>
      <c r="O4870" s="89"/>
      <c r="P4870" s="90"/>
      <c r="Q4870" s="133">
        <v>1797</v>
      </c>
      <c r="R4870" s="134"/>
      <c r="S4870" s="5" t="s">
        <v>27</v>
      </c>
      <c r="T4870" s="8">
        <v>1655</v>
      </c>
      <c r="U4870" s="8">
        <v>5</v>
      </c>
      <c r="V4870" s="5" t="s">
        <v>23</v>
      </c>
      <c r="W4870" s="12">
        <v>5333418</v>
      </c>
      <c r="X4870" s="6"/>
      <c r="Y4870" s="6"/>
    </row>
    <row r="4871" spans="1:25" ht="15" customHeight="1" x14ac:dyDescent="0.2">
      <c r="A4871" s="88" t="s">
        <v>5555</v>
      </c>
      <c r="B4871" s="90"/>
      <c r="C4871" s="88" t="s">
        <v>5987</v>
      </c>
      <c r="D4871" s="90"/>
      <c r="E4871" s="88" t="s">
        <v>5988</v>
      </c>
      <c r="F4871" s="89"/>
      <c r="G4871" s="89"/>
      <c r="H4871" s="89"/>
      <c r="I4871" s="90"/>
      <c r="J4871" s="88" t="s">
        <v>770</v>
      </c>
      <c r="K4871" s="89"/>
      <c r="L4871" s="89"/>
      <c r="M4871" s="90"/>
      <c r="N4871" s="88" t="s">
        <v>26</v>
      </c>
      <c r="O4871" s="89"/>
      <c r="P4871" s="90"/>
      <c r="Q4871" s="133">
        <v>1797</v>
      </c>
      <c r="R4871" s="134"/>
      <c r="S4871" s="5" t="s">
        <v>27</v>
      </c>
      <c r="T4871" s="8">
        <v>1795</v>
      </c>
      <c r="U4871" s="8">
        <v>5</v>
      </c>
      <c r="V4871" s="5" t="s">
        <v>23</v>
      </c>
      <c r="W4871" s="12">
        <v>4879632</v>
      </c>
      <c r="X4871" s="6"/>
      <c r="Y4871" s="6"/>
    </row>
    <row r="4872" spans="1:25" ht="15" customHeight="1" x14ac:dyDescent="0.2">
      <c r="A4872" s="88" t="s">
        <v>5555</v>
      </c>
      <c r="B4872" s="90"/>
      <c r="C4872" s="88" t="s">
        <v>5989</v>
      </c>
      <c r="D4872" s="90"/>
      <c r="E4872" s="88" t="s">
        <v>5990</v>
      </c>
      <c r="F4872" s="89"/>
      <c r="G4872" s="89"/>
      <c r="H4872" s="89"/>
      <c r="I4872" s="90"/>
      <c r="J4872" s="88" t="s">
        <v>770</v>
      </c>
      <c r="K4872" s="89"/>
      <c r="L4872" s="89"/>
      <c r="M4872" s="90"/>
      <c r="N4872" s="88" t="s">
        <v>26</v>
      </c>
      <c r="O4872" s="89"/>
      <c r="P4872" s="90"/>
      <c r="Q4872" s="133">
        <v>1787</v>
      </c>
      <c r="R4872" s="134"/>
      <c r="S4872" s="5" t="s">
        <v>27</v>
      </c>
      <c r="T4872" s="8">
        <v>1745</v>
      </c>
      <c r="U4872" s="8">
        <v>5</v>
      </c>
      <c r="V4872" s="5" t="s">
        <v>23</v>
      </c>
      <c r="W4872" s="12">
        <v>5271177</v>
      </c>
      <c r="X4872" s="6"/>
      <c r="Y4872" s="6"/>
    </row>
    <row r="4873" spans="1:25" ht="15" customHeight="1" x14ac:dyDescent="0.2">
      <c r="A4873" s="88" t="s">
        <v>5555</v>
      </c>
      <c r="B4873" s="90"/>
      <c r="C4873" s="88" t="s">
        <v>5991</v>
      </c>
      <c r="D4873" s="90"/>
      <c r="E4873" s="88" t="s">
        <v>5992</v>
      </c>
      <c r="F4873" s="89"/>
      <c r="G4873" s="89"/>
      <c r="H4873" s="89"/>
      <c r="I4873" s="90"/>
      <c r="J4873" s="88" t="s">
        <v>770</v>
      </c>
      <c r="K4873" s="89"/>
      <c r="L4873" s="89"/>
      <c r="M4873" s="90"/>
      <c r="N4873" s="88" t="s">
        <v>26</v>
      </c>
      <c r="O4873" s="89"/>
      <c r="P4873" s="90"/>
      <c r="Q4873" s="133">
        <v>1797</v>
      </c>
      <c r="R4873" s="134"/>
      <c r="S4873" s="5" t="s">
        <v>27</v>
      </c>
      <c r="T4873" s="8">
        <v>1805</v>
      </c>
      <c r="U4873" s="8">
        <v>5</v>
      </c>
      <c r="V4873" s="5" t="s">
        <v>23</v>
      </c>
      <c r="W4873" s="12">
        <v>7003783</v>
      </c>
      <c r="X4873" s="6"/>
      <c r="Y4873" s="6"/>
    </row>
    <row r="4874" spans="1:25" ht="15" customHeight="1" x14ac:dyDescent="0.2">
      <c r="A4874" s="88" t="s">
        <v>5555</v>
      </c>
      <c r="B4874" s="90"/>
      <c r="C4874" s="88" t="s">
        <v>5993</v>
      </c>
      <c r="D4874" s="90"/>
      <c r="E4874" s="88" t="s">
        <v>5994</v>
      </c>
      <c r="F4874" s="89"/>
      <c r="G4874" s="89"/>
      <c r="H4874" s="89"/>
      <c r="I4874" s="90"/>
      <c r="J4874" s="88" t="s">
        <v>770</v>
      </c>
      <c r="K4874" s="89"/>
      <c r="L4874" s="89"/>
      <c r="M4874" s="90"/>
      <c r="N4874" s="88" t="s">
        <v>26</v>
      </c>
      <c r="O4874" s="89"/>
      <c r="P4874" s="90"/>
      <c r="Q4874" s="133">
        <v>1797</v>
      </c>
      <c r="R4874" s="134"/>
      <c r="S4874" s="5" t="s">
        <v>27</v>
      </c>
      <c r="T4874" s="8">
        <v>1805</v>
      </c>
      <c r="U4874" s="8">
        <v>5</v>
      </c>
      <c r="V4874" s="5" t="s">
        <v>23</v>
      </c>
      <c r="W4874" s="12">
        <v>6898989</v>
      </c>
      <c r="X4874" s="6"/>
      <c r="Y4874" s="6"/>
    </row>
    <row r="4875" spans="1:25" ht="15" customHeight="1" x14ac:dyDescent="0.2">
      <c r="A4875" s="88" t="s">
        <v>5555</v>
      </c>
      <c r="B4875" s="90"/>
      <c r="C4875" s="88" t="s">
        <v>5995</v>
      </c>
      <c r="D4875" s="90"/>
      <c r="E4875" s="88" t="s">
        <v>5982</v>
      </c>
      <c r="F4875" s="89"/>
      <c r="G4875" s="89"/>
      <c r="H4875" s="89"/>
      <c r="I4875" s="90"/>
      <c r="J4875" s="88" t="s">
        <v>770</v>
      </c>
      <c r="K4875" s="89"/>
      <c r="L4875" s="89"/>
      <c r="M4875" s="90"/>
      <c r="N4875" s="88" t="s">
        <v>26</v>
      </c>
      <c r="O4875" s="89"/>
      <c r="P4875" s="90"/>
      <c r="Q4875" s="133">
        <v>1797</v>
      </c>
      <c r="R4875" s="134"/>
      <c r="S4875" s="5" t="s">
        <v>27</v>
      </c>
      <c r="T4875" s="8">
        <v>1750</v>
      </c>
      <c r="U4875" s="8">
        <v>5</v>
      </c>
      <c r="V4875" s="5" t="s">
        <v>23</v>
      </c>
      <c r="W4875" s="12">
        <v>6829125</v>
      </c>
      <c r="X4875" s="6"/>
      <c r="Y4875" s="6"/>
    </row>
    <row r="4876" spans="1:25" ht="15" customHeight="1" x14ac:dyDescent="0.2">
      <c r="A4876" s="88" t="s">
        <v>5555</v>
      </c>
      <c r="B4876" s="90"/>
      <c r="C4876" s="88" t="s">
        <v>5996</v>
      </c>
      <c r="D4876" s="90"/>
      <c r="E4876" s="88" t="s">
        <v>5997</v>
      </c>
      <c r="F4876" s="89"/>
      <c r="G4876" s="89"/>
      <c r="H4876" s="89"/>
      <c r="I4876" s="90"/>
      <c r="J4876" s="88" t="s">
        <v>770</v>
      </c>
      <c r="K4876" s="89"/>
      <c r="L4876" s="89"/>
      <c r="M4876" s="90"/>
      <c r="N4876" s="88" t="s">
        <v>26</v>
      </c>
      <c r="O4876" s="89"/>
      <c r="P4876" s="90"/>
      <c r="Q4876" s="133">
        <v>1797</v>
      </c>
      <c r="R4876" s="134"/>
      <c r="S4876" s="5" t="s">
        <v>27</v>
      </c>
      <c r="T4876" s="8">
        <v>1805</v>
      </c>
      <c r="U4876" s="8">
        <v>5</v>
      </c>
      <c r="V4876" s="5" t="s">
        <v>23</v>
      </c>
      <c r="W4876" s="12">
        <v>6973615</v>
      </c>
      <c r="X4876" s="6"/>
      <c r="Y4876" s="6"/>
    </row>
    <row r="4877" spans="1:25" ht="15" customHeight="1" x14ac:dyDescent="0.2">
      <c r="A4877" s="88" t="s">
        <v>5555</v>
      </c>
      <c r="B4877" s="90"/>
      <c r="C4877" s="88" t="s">
        <v>5998</v>
      </c>
      <c r="D4877" s="90"/>
      <c r="E4877" s="88" t="s">
        <v>5999</v>
      </c>
      <c r="F4877" s="89"/>
      <c r="G4877" s="89"/>
      <c r="H4877" s="89"/>
      <c r="I4877" s="90"/>
      <c r="J4877" s="88" t="s">
        <v>770</v>
      </c>
      <c r="K4877" s="89"/>
      <c r="L4877" s="89"/>
      <c r="M4877" s="90"/>
      <c r="N4877" s="88" t="s">
        <v>26</v>
      </c>
      <c r="O4877" s="89"/>
      <c r="P4877" s="90"/>
      <c r="Q4877" s="133">
        <v>1797</v>
      </c>
      <c r="R4877" s="134"/>
      <c r="S4877" s="5" t="s">
        <v>27</v>
      </c>
      <c r="T4877" s="8">
        <v>1760</v>
      </c>
      <c r="U4877" s="8">
        <v>4</v>
      </c>
      <c r="V4877" s="5" t="s">
        <v>23</v>
      </c>
      <c r="W4877" s="12">
        <v>6219998</v>
      </c>
      <c r="X4877" s="6"/>
      <c r="Y4877" s="6"/>
    </row>
    <row r="4878" spans="1:25" ht="15" customHeight="1" x14ac:dyDescent="0.2">
      <c r="A4878" s="88" t="s">
        <v>5555</v>
      </c>
      <c r="B4878" s="90"/>
      <c r="C4878" s="88" t="s">
        <v>6000</v>
      </c>
      <c r="D4878" s="90"/>
      <c r="E4878" s="88" t="s">
        <v>5999</v>
      </c>
      <c r="F4878" s="89"/>
      <c r="G4878" s="89"/>
      <c r="H4878" s="89"/>
      <c r="I4878" s="90"/>
      <c r="J4878" s="88" t="s">
        <v>770</v>
      </c>
      <c r="K4878" s="89"/>
      <c r="L4878" s="89"/>
      <c r="M4878" s="90"/>
      <c r="N4878" s="88" t="s">
        <v>26</v>
      </c>
      <c r="O4878" s="89"/>
      <c r="P4878" s="90"/>
      <c r="Q4878" s="133">
        <v>1797</v>
      </c>
      <c r="R4878" s="134"/>
      <c r="S4878" s="5" t="s">
        <v>27</v>
      </c>
      <c r="T4878" s="8">
        <v>1760</v>
      </c>
      <c r="U4878" s="8">
        <v>4</v>
      </c>
      <c r="V4878" s="5" t="s">
        <v>23</v>
      </c>
      <c r="W4878" s="12">
        <v>6200357</v>
      </c>
      <c r="X4878" s="6"/>
      <c r="Y4878" s="6"/>
    </row>
    <row r="4879" spans="1:25" ht="15" customHeight="1" x14ac:dyDescent="0.2">
      <c r="A4879" s="88" t="s">
        <v>5555</v>
      </c>
      <c r="B4879" s="90"/>
      <c r="C4879" s="88" t="s">
        <v>6001</v>
      </c>
      <c r="D4879" s="90"/>
      <c r="E4879" s="88" t="s">
        <v>6002</v>
      </c>
      <c r="F4879" s="89"/>
      <c r="G4879" s="89"/>
      <c r="H4879" s="89"/>
      <c r="I4879" s="90"/>
      <c r="J4879" s="88" t="s">
        <v>770</v>
      </c>
      <c r="K4879" s="89"/>
      <c r="L4879" s="89"/>
      <c r="M4879" s="90"/>
      <c r="N4879" s="88" t="s">
        <v>26</v>
      </c>
      <c r="O4879" s="89"/>
      <c r="P4879" s="90"/>
      <c r="Q4879" s="133">
        <v>1797</v>
      </c>
      <c r="R4879" s="134"/>
      <c r="S4879" s="5" t="s">
        <v>27</v>
      </c>
      <c r="T4879" s="8">
        <v>1715</v>
      </c>
      <c r="U4879" s="8">
        <v>5</v>
      </c>
      <c r="V4879" s="5" t="s">
        <v>23</v>
      </c>
      <c r="W4879" s="12">
        <v>5747993</v>
      </c>
      <c r="X4879" s="6"/>
      <c r="Y4879" s="6"/>
    </row>
    <row r="4880" spans="1:25" ht="15" customHeight="1" x14ac:dyDescent="0.2">
      <c r="A4880" s="88" t="s">
        <v>5555</v>
      </c>
      <c r="B4880" s="90"/>
      <c r="C4880" s="88" t="s">
        <v>6001</v>
      </c>
      <c r="D4880" s="90"/>
      <c r="E4880" s="88" t="s">
        <v>6003</v>
      </c>
      <c r="F4880" s="89"/>
      <c r="G4880" s="89"/>
      <c r="H4880" s="89"/>
      <c r="I4880" s="90"/>
      <c r="J4880" s="88" t="s">
        <v>770</v>
      </c>
      <c r="K4880" s="89"/>
      <c r="L4880" s="89"/>
      <c r="M4880" s="90"/>
      <c r="N4880" s="88" t="s">
        <v>26</v>
      </c>
      <c r="O4880" s="89"/>
      <c r="P4880" s="90"/>
      <c r="Q4880" s="133">
        <v>1797</v>
      </c>
      <c r="R4880" s="134"/>
      <c r="S4880" s="5" t="s">
        <v>27</v>
      </c>
      <c r="T4880" s="8">
        <v>1725</v>
      </c>
      <c r="U4880" s="8">
        <v>5</v>
      </c>
      <c r="V4880" s="5" t="s">
        <v>23</v>
      </c>
      <c r="W4880" s="12">
        <v>5608266</v>
      </c>
      <c r="X4880" s="6"/>
      <c r="Y4880" s="6"/>
    </row>
    <row r="4881" spans="1:25" ht="15" customHeight="1" x14ac:dyDescent="0.2">
      <c r="A4881" s="88" t="s">
        <v>5555</v>
      </c>
      <c r="B4881" s="90"/>
      <c r="C4881" s="88" t="s">
        <v>6001</v>
      </c>
      <c r="D4881" s="90"/>
      <c r="E4881" s="88" t="s">
        <v>6004</v>
      </c>
      <c r="F4881" s="89"/>
      <c r="G4881" s="89"/>
      <c r="H4881" s="89"/>
      <c r="I4881" s="90"/>
      <c r="J4881" s="88" t="s">
        <v>770</v>
      </c>
      <c r="K4881" s="89"/>
      <c r="L4881" s="89"/>
      <c r="M4881" s="90"/>
      <c r="N4881" s="88" t="s">
        <v>26</v>
      </c>
      <c r="O4881" s="89"/>
      <c r="P4881" s="90"/>
      <c r="Q4881" s="133">
        <v>1797</v>
      </c>
      <c r="R4881" s="134"/>
      <c r="S4881" s="5" t="s">
        <v>27</v>
      </c>
      <c r="T4881" s="8">
        <v>1715</v>
      </c>
      <c r="U4881" s="8">
        <v>5</v>
      </c>
      <c r="V4881" s="5" t="s">
        <v>23</v>
      </c>
      <c r="W4881" s="12">
        <v>5934877</v>
      </c>
      <c r="X4881" s="6"/>
      <c r="Y4881" s="6"/>
    </row>
    <row r="4882" spans="1:25" ht="15" customHeight="1" x14ac:dyDescent="0.2">
      <c r="A4882" s="88" t="s">
        <v>5555</v>
      </c>
      <c r="B4882" s="90"/>
      <c r="C4882" s="88" t="s">
        <v>6005</v>
      </c>
      <c r="D4882" s="90"/>
      <c r="E4882" s="88" t="s">
        <v>6006</v>
      </c>
      <c r="F4882" s="89"/>
      <c r="G4882" s="89"/>
      <c r="H4882" s="89"/>
      <c r="I4882" s="90"/>
      <c r="J4882" s="88" t="s">
        <v>770</v>
      </c>
      <c r="K4882" s="89"/>
      <c r="L4882" s="89"/>
      <c r="M4882" s="90"/>
      <c r="N4882" s="88" t="s">
        <v>26</v>
      </c>
      <c r="O4882" s="89"/>
      <c r="P4882" s="90"/>
      <c r="Q4882" s="133">
        <v>1797</v>
      </c>
      <c r="R4882" s="134"/>
      <c r="S4882" s="5" t="s">
        <v>27</v>
      </c>
      <c r="T4882" s="8">
        <v>1815</v>
      </c>
      <c r="U4882" s="8">
        <v>5</v>
      </c>
      <c r="V4882" s="5" t="s">
        <v>23</v>
      </c>
      <c r="W4882" s="12">
        <v>5596040</v>
      </c>
      <c r="X4882" s="6"/>
      <c r="Y4882" s="6"/>
    </row>
    <row r="4883" spans="1:25" ht="15" customHeight="1" x14ac:dyDescent="0.2">
      <c r="A4883" s="88" t="s">
        <v>5555</v>
      </c>
      <c r="B4883" s="90"/>
      <c r="C4883" s="88" t="s">
        <v>6007</v>
      </c>
      <c r="D4883" s="90"/>
      <c r="E4883" s="88" t="s">
        <v>5960</v>
      </c>
      <c r="F4883" s="89"/>
      <c r="G4883" s="89"/>
      <c r="H4883" s="89"/>
      <c r="I4883" s="90"/>
      <c r="J4883" s="88" t="s">
        <v>887</v>
      </c>
      <c r="K4883" s="89"/>
      <c r="L4883" s="89"/>
      <c r="M4883" s="90"/>
      <c r="N4883" s="88" t="s">
        <v>26</v>
      </c>
      <c r="O4883" s="89"/>
      <c r="P4883" s="90"/>
      <c r="Q4883" s="133">
        <v>658</v>
      </c>
      <c r="R4883" s="134"/>
      <c r="S4883" s="5" t="s">
        <v>814</v>
      </c>
      <c r="T4883" s="8">
        <v>1270</v>
      </c>
      <c r="U4883" s="8">
        <v>4</v>
      </c>
      <c r="V4883" s="5" t="s">
        <v>23</v>
      </c>
      <c r="W4883" s="12">
        <v>2342373</v>
      </c>
      <c r="X4883" s="6"/>
      <c r="Y4883" s="6"/>
    </row>
    <row r="4884" spans="1:25" ht="15" customHeight="1" x14ac:dyDescent="0.2">
      <c r="A4884" s="88" t="s">
        <v>5555</v>
      </c>
      <c r="B4884" s="90"/>
      <c r="C4884" s="88" t="s">
        <v>6008</v>
      </c>
      <c r="D4884" s="90"/>
      <c r="E4884" s="88" t="s">
        <v>6009</v>
      </c>
      <c r="F4884" s="89"/>
      <c r="G4884" s="89"/>
      <c r="H4884" s="89"/>
      <c r="I4884" s="90"/>
      <c r="J4884" s="88" t="s">
        <v>770</v>
      </c>
      <c r="K4884" s="89"/>
      <c r="L4884" s="89"/>
      <c r="M4884" s="90"/>
      <c r="N4884" s="88" t="s">
        <v>26</v>
      </c>
      <c r="O4884" s="89"/>
      <c r="P4884" s="90"/>
      <c r="Q4884" s="133">
        <v>1986</v>
      </c>
      <c r="R4884" s="134"/>
      <c r="S4884" s="5" t="s">
        <v>27</v>
      </c>
      <c r="T4884" s="8">
        <v>1845</v>
      </c>
      <c r="U4884" s="8">
        <v>5</v>
      </c>
      <c r="V4884" s="5" t="s">
        <v>23</v>
      </c>
      <c r="W4884" s="12">
        <v>8034265</v>
      </c>
      <c r="X4884" s="6"/>
      <c r="Y4884" s="6"/>
    </row>
    <row r="4885" spans="1:25" ht="15" customHeight="1" x14ac:dyDescent="0.2">
      <c r="A4885" s="88" t="s">
        <v>5555</v>
      </c>
      <c r="B4885" s="90"/>
      <c r="C4885" s="88" t="s">
        <v>6010</v>
      </c>
      <c r="D4885" s="90"/>
      <c r="E4885" s="88" t="s">
        <v>6011</v>
      </c>
      <c r="F4885" s="89"/>
      <c r="G4885" s="89"/>
      <c r="H4885" s="89"/>
      <c r="I4885" s="90"/>
      <c r="J4885" s="88" t="s">
        <v>770</v>
      </c>
      <c r="K4885" s="89"/>
      <c r="L4885" s="89"/>
      <c r="M4885" s="90"/>
      <c r="N4885" s="88" t="s">
        <v>26</v>
      </c>
      <c r="O4885" s="89"/>
      <c r="P4885" s="90"/>
      <c r="Q4885" s="133">
        <v>1986</v>
      </c>
      <c r="R4885" s="134"/>
      <c r="S4885" s="5" t="s">
        <v>27</v>
      </c>
      <c r="T4885" s="8">
        <v>1695</v>
      </c>
      <c r="U4885" s="8">
        <v>5</v>
      </c>
      <c r="V4885" s="5" t="s">
        <v>23</v>
      </c>
      <c r="W4885" s="12">
        <v>6462344</v>
      </c>
      <c r="X4885" s="6"/>
      <c r="Y4885" s="6"/>
    </row>
    <row r="4886" spans="1:25" ht="15" customHeight="1" x14ac:dyDescent="0.2">
      <c r="A4886" s="88" t="s">
        <v>5555</v>
      </c>
      <c r="B4886" s="90"/>
      <c r="C4886" s="88" t="s">
        <v>6012</v>
      </c>
      <c r="D4886" s="90"/>
      <c r="E4886" s="88" t="s">
        <v>6013</v>
      </c>
      <c r="F4886" s="89"/>
      <c r="G4886" s="89"/>
      <c r="H4886" s="89"/>
      <c r="I4886" s="90"/>
      <c r="J4886" s="88" t="s">
        <v>770</v>
      </c>
      <c r="K4886" s="89"/>
      <c r="L4886" s="89"/>
      <c r="M4886" s="90"/>
      <c r="N4886" s="88" t="s">
        <v>26</v>
      </c>
      <c r="O4886" s="89"/>
      <c r="P4886" s="90"/>
      <c r="Q4886" s="133">
        <v>1496</v>
      </c>
      <c r="R4886" s="134"/>
      <c r="S4886" s="5" t="s">
        <v>814</v>
      </c>
      <c r="T4886" s="8">
        <v>1635</v>
      </c>
      <c r="U4886" s="8">
        <v>5</v>
      </c>
      <c r="V4886" s="5" t="s">
        <v>23</v>
      </c>
      <c r="W4886" s="12">
        <v>3376906</v>
      </c>
      <c r="X4886" s="6"/>
      <c r="Y4886" s="6"/>
    </row>
    <row r="4887" spans="1:25" ht="15" customHeight="1" x14ac:dyDescent="0.2">
      <c r="A4887" s="88" t="s">
        <v>5555</v>
      </c>
      <c r="B4887" s="90"/>
      <c r="C4887" s="88" t="s">
        <v>6012</v>
      </c>
      <c r="D4887" s="90"/>
      <c r="E4887" s="88" t="s">
        <v>6013</v>
      </c>
      <c r="F4887" s="89"/>
      <c r="G4887" s="89"/>
      <c r="H4887" s="89"/>
      <c r="I4887" s="90"/>
      <c r="J4887" s="88" t="s">
        <v>770</v>
      </c>
      <c r="K4887" s="89"/>
      <c r="L4887" s="89"/>
      <c r="M4887" s="90"/>
      <c r="N4887" s="88" t="s">
        <v>26</v>
      </c>
      <c r="O4887" s="89"/>
      <c r="P4887" s="90"/>
      <c r="Q4887" s="133">
        <v>1496</v>
      </c>
      <c r="R4887" s="134"/>
      <c r="S4887" s="5" t="s">
        <v>70</v>
      </c>
      <c r="T4887" s="8">
        <v>1635</v>
      </c>
      <c r="U4887" s="8">
        <v>5</v>
      </c>
      <c r="V4887" s="5" t="s">
        <v>23</v>
      </c>
      <c r="W4887" s="12">
        <v>3356786</v>
      </c>
      <c r="X4887" s="6"/>
      <c r="Y4887" s="6"/>
    </row>
    <row r="4888" spans="1:25" ht="15" customHeight="1" x14ac:dyDescent="0.2">
      <c r="A4888" s="88" t="s">
        <v>5555</v>
      </c>
      <c r="B4888" s="90"/>
      <c r="C4888" s="88" t="s">
        <v>6014</v>
      </c>
      <c r="D4888" s="90"/>
      <c r="E4888" s="88" t="s">
        <v>6015</v>
      </c>
      <c r="F4888" s="89"/>
      <c r="G4888" s="89"/>
      <c r="H4888" s="89"/>
      <c r="I4888" s="90"/>
      <c r="J4888" s="88" t="s">
        <v>770</v>
      </c>
      <c r="K4888" s="89"/>
      <c r="L4888" s="89"/>
      <c r="M4888" s="90"/>
      <c r="N4888" s="88" t="s">
        <v>26</v>
      </c>
      <c r="O4888" s="89"/>
      <c r="P4888" s="90"/>
      <c r="Q4888" s="133">
        <v>1496</v>
      </c>
      <c r="R4888" s="134"/>
      <c r="S4888" s="5" t="s">
        <v>70</v>
      </c>
      <c r="T4888" s="8">
        <v>1615</v>
      </c>
      <c r="U4888" s="8">
        <v>5</v>
      </c>
      <c r="V4888" s="5" t="s">
        <v>106</v>
      </c>
      <c r="W4888" s="12">
        <v>2573759</v>
      </c>
      <c r="X4888" s="6"/>
      <c r="Y4888" s="6"/>
    </row>
    <row r="4889" spans="1:25" ht="15" customHeight="1" x14ac:dyDescent="0.2">
      <c r="A4889" s="88" t="s">
        <v>5555</v>
      </c>
      <c r="B4889" s="90"/>
      <c r="C4889" s="88" t="s">
        <v>6014</v>
      </c>
      <c r="D4889" s="90"/>
      <c r="E4889" s="88" t="s">
        <v>6015</v>
      </c>
      <c r="F4889" s="89"/>
      <c r="G4889" s="89"/>
      <c r="H4889" s="89"/>
      <c r="I4889" s="90"/>
      <c r="J4889" s="88" t="s">
        <v>770</v>
      </c>
      <c r="K4889" s="89"/>
      <c r="L4889" s="89"/>
      <c r="M4889" s="90"/>
      <c r="N4889" s="88" t="s">
        <v>26</v>
      </c>
      <c r="O4889" s="89"/>
      <c r="P4889" s="90"/>
      <c r="Q4889" s="133">
        <v>1496</v>
      </c>
      <c r="R4889" s="134"/>
      <c r="S4889" s="5" t="s">
        <v>814</v>
      </c>
      <c r="T4889" s="8">
        <v>1615</v>
      </c>
      <c r="U4889" s="8">
        <v>5</v>
      </c>
      <c r="V4889" s="5" t="s">
        <v>23</v>
      </c>
      <c r="W4889" s="12">
        <v>2583820</v>
      </c>
      <c r="X4889" s="6"/>
      <c r="Y4889" s="6"/>
    </row>
    <row r="4890" spans="1:25" ht="15" customHeight="1" x14ac:dyDescent="0.2">
      <c r="A4890" s="88" t="s">
        <v>5555</v>
      </c>
      <c r="B4890" s="90"/>
      <c r="C4890" s="88" t="s">
        <v>6014</v>
      </c>
      <c r="D4890" s="90"/>
      <c r="E4890" s="88" t="s">
        <v>6016</v>
      </c>
      <c r="F4890" s="89"/>
      <c r="G4890" s="89"/>
      <c r="H4890" s="89"/>
      <c r="I4890" s="90"/>
      <c r="J4890" s="88" t="s">
        <v>770</v>
      </c>
      <c r="K4890" s="89"/>
      <c r="L4890" s="89"/>
      <c r="M4890" s="90"/>
      <c r="N4890" s="88" t="s">
        <v>26</v>
      </c>
      <c r="O4890" s="89"/>
      <c r="P4890" s="90"/>
      <c r="Q4890" s="133">
        <v>1496</v>
      </c>
      <c r="R4890" s="134"/>
      <c r="S4890" s="5" t="s">
        <v>814</v>
      </c>
      <c r="T4890" s="8">
        <v>1615</v>
      </c>
      <c r="U4890" s="8">
        <v>5</v>
      </c>
      <c r="V4890" s="5" t="s">
        <v>23</v>
      </c>
      <c r="W4890" s="12">
        <v>2573759</v>
      </c>
      <c r="X4890" s="6"/>
      <c r="Y4890" s="6"/>
    </row>
    <row r="4891" spans="1:25" ht="15" customHeight="1" x14ac:dyDescent="0.2">
      <c r="A4891" s="88" t="s">
        <v>5555</v>
      </c>
      <c r="B4891" s="90"/>
      <c r="C4891" s="88" t="s">
        <v>6017</v>
      </c>
      <c r="D4891" s="90"/>
      <c r="E4891" s="88" t="s">
        <v>6018</v>
      </c>
      <c r="F4891" s="89"/>
      <c r="G4891" s="89"/>
      <c r="H4891" s="89"/>
      <c r="I4891" s="90"/>
      <c r="J4891" s="88" t="s">
        <v>770</v>
      </c>
      <c r="K4891" s="89"/>
      <c r="L4891" s="89"/>
      <c r="M4891" s="90"/>
      <c r="N4891" s="88" t="s">
        <v>26</v>
      </c>
      <c r="O4891" s="89"/>
      <c r="P4891" s="90"/>
      <c r="Q4891" s="133">
        <v>996</v>
      </c>
      <c r="R4891" s="134"/>
      <c r="S4891" s="5" t="s">
        <v>16</v>
      </c>
      <c r="T4891" s="8">
        <v>1255</v>
      </c>
      <c r="U4891" s="8">
        <v>5</v>
      </c>
      <c r="V4891" s="5" t="s">
        <v>23</v>
      </c>
      <c r="W4891" s="12">
        <v>3140032</v>
      </c>
      <c r="X4891" s="6"/>
      <c r="Y4891" s="6"/>
    </row>
    <row r="4892" spans="1:25" ht="15" customHeight="1" x14ac:dyDescent="0.2">
      <c r="A4892" s="88" t="s">
        <v>5555</v>
      </c>
      <c r="B4892" s="90"/>
      <c r="C4892" s="88" t="s">
        <v>6019</v>
      </c>
      <c r="D4892" s="90"/>
      <c r="E4892" s="88" t="s">
        <v>6020</v>
      </c>
      <c r="F4892" s="89"/>
      <c r="G4892" s="89"/>
      <c r="H4892" s="89"/>
      <c r="I4892" s="90"/>
      <c r="J4892" s="88" t="s">
        <v>770</v>
      </c>
      <c r="K4892" s="89"/>
      <c r="L4892" s="89"/>
      <c r="M4892" s="90"/>
      <c r="N4892" s="88" t="s">
        <v>26</v>
      </c>
      <c r="O4892" s="89"/>
      <c r="P4892" s="90"/>
      <c r="Q4892" s="133">
        <v>1196</v>
      </c>
      <c r="R4892" s="134"/>
      <c r="S4892" s="5" t="s">
        <v>16</v>
      </c>
      <c r="T4892" s="8">
        <v>1345</v>
      </c>
      <c r="U4892" s="8">
        <v>5</v>
      </c>
      <c r="V4892" s="5" t="s">
        <v>23</v>
      </c>
      <c r="W4892" s="12">
        <v>3903395</v>
      </c>
      <c r="X4892" s="6"/>
      <c r="Y4892" s="6"/>
    </row>
    <row r="4893" spans="1:25" ht="15" customHeight="1" x14ac:dyDescent="0.2">
      <c r="A4893" s="88" t="s">
        <v>5555</v>
      </c>
      <c r="B4893" s="90"/>
      <c r="C4893" s="88" t="s">
        <v>6021</v>
      </c>
      <c r="D4893" s="90"/>
      <c r="E4893" s="88" t="s">
        <v>6022</v>
      </c>
      <c r="F4893" s="89"/>
      <c r="G4893" s="89"/>
      <c r="H4893" s="89"/>
      <c r="I4893" s="90"/>
      <c r="J4893" s="88" t="s">
        <v>770</v>
      </c>
      <c r="K4893" s="89"/>
      <c r="L4893" s="89"/>
      <c r="M4893" s="90"/>
      <c r="N4893" s="88" t="s">
        <v>22</v>
      </c>
      <c r="O4893" s="89"/>
      <c r="P4893" s="90"/>
      <c r="Q4893" s="133">
        <v>1986</v>
      </c>
      <c r="R4893" s="134"/>
      <c r="S4893" s="5" t="s">
        <v>16</v>
      </c>
      <c r="T4893" s="8">
        <v>1895</v>
      </c>
      <c r="U4893" s="8">
        <v>5</v>
      </c>
      <c r="V4893" s="5" t="s">
        <v>23</v>
      </c>
      <c r="W4893" s="12">
        <v>5414396</v>
      </c>
      <c r="X4893" s="6"/>
      <c r="Y4893" s="6"/>
    </row>
    <row r="4894" spans="1:25" ht="15" customHeight="1" x14ac:dyDescent="0.2">
      <c r="A4894" s="88" t="s">
        <v>5555</v>
      </c>
      <c r="B4894" s="90"/>
      <c r="C4894" s="88" t="s">
        <v>6023</v>
      </c>
      <c r="D4894" s="90"/>
      <c r="E4894" s="88" t="s">
        <v>6024</v>
      </c>
      <c r="F4894" s="89"/>
      <c r="G4894" s="89"/>
      <c r="H4894" s="89"/>
      <c r="I4894" s="90"/>
      <c r="J4894" s="88" t="s">
        <v>770</v>
      </c>
      <c r="K4894" s="89"/>
      <c r="L4894" s="89"/>
      <c r="M4894" s="90"/>
      <c r="N4894" s="88" t="s">
        <v>22</v>
      </c>
      <c r="O4894" s="89"/>
      <c r="P4894" s="90"/>
      <c r="Q4894" s="133">
        <v>1986</v>
      </c>
      <c r="R4894" s="134"/>
      <c r="S4894" s="5" t="s">
        <v>16</v>
      </c>
      <c r="T4894" s="8">
        <v>1895</v>
      </c>
      <c r="U4894" s="8">
        <v>5</v>
      </c>
      <c r="V4894" s="5" t="s">
        <v>23</v>
      </c>
      <c r="W4894" s="12">
        <v>5620969</v>
      </c>
      <c r="X4894" s="6"/>
      <c r="Y4894" s="6"/>
    </row>
    <row r="4895" spans="1:25" ht="15" customHeight="1" x14ac:dyDescent="0.2">
      <c r="A4895" s="88" t="s">
        <v>5555</v>
      </c>
      <c r="B4895" s="90"/>
      <c r="C4895" s="88" t="s">
        <v>6025</v>
      </c>
      <c r="D4895" s="90"/>
      <c r="E4895" s="88" t="s">
        <v>6026</v>
      </c>
      <c r="F4895" s="89"/>
      <c r="G4895" s="89"/>
      <c r="H4895" s="89"/>
      <c r="I4895" s="90"/>
      <c r="J4895" s="88" t="s">
        <v>770</v>
      </c>
      <c r="K4895" s="89"/>
      <c r="L4895" s="89"/>
      <c r="M4895" s="90"/>
      <c r="N4895" s="88" t="s">
        <v>22</v>
      </c>
      <c r="O4895" s="89"/>
      <c r="P4895" s="90"/>
      <c r="Q4895" s="133">
        <v>1986</v>
      </c>
      <c r="R4895" s="134"/>
      <c r="S4895" s="5" t="s">
        <v>16</v>
      </c>
      <c r="T4895" s="8">
        <v>1895</v>
      </c>
      <c r="U4895" s="8">
        <v>5</v>
      </c>
      <c r="V4895" s="5" t="s">
        <v>23</v>
      </c>
      <c r="W4895" s="12">
        <v>6741796</v>
      </c>
      <c r="X4895" s="6"/>
      <c r="Y4895" s="6"/>
    </row>
    <row r="4896" spans="1:25" ht="15" customHeight="1" x14ac:dyDescent="0.2">
      <c r="A4896" s="88" t="s">
        <v>5555</v>
      </c>
      <c r="B4896" s="90"/>
      <c r="C4896" s="88" t="s">
        <v>6027</v>
      </c>
      <c r="D4896" s="90"/>
      <c r="E4896" s="88" t="s">
        <v>6028</v>
      </c>
      <c r="F4896" s="89"/>
      <c r="G4896" s="89"/>
      <c r="H4896" s="89"/>
      <c r="I4896" s="90"/>
      <c r="J4896" s="88" t="s">
        <v>770</v>
      </c>
      <c r="K4896" s="89"/>
      <c r="L4896" s="89"/>
      <c r="M4896" s="90"/>
      <c r="N4896" s="88" t="s">
        <v>22</v>
      </c>
      <c r="O4896" s="89"/>
      <c r="P4896" s="90"/>
      <c r="Q4896" s="133">
        <v>2487</v>
      </c>
      <c r="R4896" s="134"/>
      <c r="S4896" s="5" t="s">
        <v>16</v>
      </c>
      <c r="T4896" s="8">
        <v>2195</v>
      </c>
      <c r="U4896" s="8">
        <v>5</v>
      </c>
      <c r="V4896" s="5" t="s">
        <v>23</v>
      </c>
      <c r="W4896" s="12">
        <v>9838482</v>
      </c>
      <c r="X4896" s="6"/>
      <c r="Y4896" s="6"/>
    </row>
    <row r="4897" spans="1:25" ht="15" customHeight="1" x14ac:dyDescent="0.2">
      <c r="A4897" s="88" t="s">
        <v>5555</v>
      </c>
      <c r="B4897" s="90"/>
      <c r="C4897" s="88" t="s">
        <v>6029</v>
      </c>
      <c r="D4897" s="90"/>
      <c r="E4897" s="88" t="s">
        <v>6028</v>
      </c>
      <c r="F4897" s="89"/>
      <c r="G4897" s="89"/>
      <c r="H4897" s="89"/>
      <c r="I4897" s="90"/>
      <c r="J4897" s="88" t="s">
        <v>770</v>
      </c>
      <c r="K4897" s="89"/>
      <c r="L4897" s="89"/>
      <c r="M4897" s="90"/>
      <c r="N4897" s="88" t="s">
        <v>22</v>
      </c>
      <c r="O4897" s="89"/>
      <c r="P4897" s="90"/>
      <c r="Q4897" s="133">
        <v>2487</v>
      </c>
      <c r="R4897" s="134"/>
      <c r="S4897" s="5" t="s">
        <v>16</v>
      </c>
      <c r="T4897" s="8">
        <v>2195</v>
      </c>
      <c r="U4897" s="8">
        <v>5</v>
      </c>
      <c r="V4897" s="5" t="s">
        <v>23</v>
      </c>
      <c r="W4897" s="12">
        <v>9414063</v>
      </c>
      <c r="X4897" s="6"/>
      <c r="Y4897" s="6"/>
    </row>
    <row r="4898" spans="1:25" ht="15" customHeight="1" x14ac:dyDescent="0.2">
      <c r="A4898" s="88" t="s">
        <v>5555</v>
      </c>
      <c r="B4898" s="90"/>
      <c r="C4898" s="88" t="s">
        <v>6030</v>
      </c>
      <c r="D4898" s="90"/>
      <c r="E4898" s="88" t="s">
        <v>6028</v>
      </c>
      <c r="F4898" s="89"/>
      <c r="G4898" s="89"/>
      <c r="H4898" s="89"/>
      <c r="I4898" s="90"/>
      <c r="J4898" s="88" t="s">
        <v>770</v>
      </c>
      <c r="K4898" s="89"/>
      <c r="L4898" s="89"/>
      <c r="M4898" s="90"/>
      <c r="N4898" s="88" t="s">
        <v>22</v>
      </c>
      <c r="O4898" s="89"/>
      <c r="P4898" s="90"/>
      <c r="Q4898" s="133">
        <v>2487</v>
      </c>
      <c r="R4898" s="134"/>
      <c r="S4898" s="5" t="s">
        <v>16</v>
      </c>
      <c r="T4898" s="8">
        <v>2195</v>
      </c>
      <c r="U4898" s="8">
        <v>5</v>
      </c>
      <c r="V4898" s="5" t="s">
        <v>23</v>
      </c>
      <c r="W4898" s="12">
        <v>9838482</v>
      </c>
      <c r="X4898" s="6"/>
      <c r="Y4898" s="6"/>
    </row>
    <row r="4899" spans="1:25" ht="15" customHeight="1" x14ac:dyDescent="0.2">
      <c r="A4899" s="88" t="s">
        <v>5555</v>
      </c>
      <c r="B4899" s="90"/>
      <c r="C4899" s="88" t="s">
        <v>6031</v>
      </c>
      <c r="D4899" s="90"/>
      <c r="E4899" s="88" t="s">
        <v>6032</v>
      </c>
      <c r="F4899" s="89"/>
      <c r="G4899" s="89"/>
      <c r="H4899" s="89"/>
      <c r="I4899" s="90"/>
      <c r="J4899" s="88" t="s">
        <v>2179</v>
      </c>
      <c r="K4899" s="89"/>
      <c r="L4899" s="89"/>
      <c r="M4899" s="90"/>
      <c r="N4899" s="88" t="s">
        <v>26</v>
      </c>
      <c r="O4899" s="89"/>
      <c r="P4899" s="90"/>
      <c r="Q4899" s="133">
        <v>1998</v>
      </c>
      <c r="R4899" s="134"/>
      <c r="S4899" s="5" t="s">
        <v>814</v>
      </c>
      <c r="T4899" s="8">
        <v>3105</v>
      </c>
      <c r="U4899" s="8">
        <v>3</v>
      </c>
      <c r="V4899" s="5" t="s">
        <v>23</v>
      </c>
      <c r="W4899" s="12">
        <v>3825009</v>
      </c>
      <c r="X4899" s="6"/>
      <c r="Y4899" s="6"/>
    </row>
    <row r="4900" spans="1:25" ht="15" customHeight="1" x14ac:dyDescent="0.2">
      <c r="A4900" s="88" t="s">
        <v>5555</v>
      </c>
      <c r="B4900" s="90"/>
      <c r="C4900" s="88" t="s">
        <v>6033</v>
      </c>
      <c r="D4900" s="90"/>
      <c r="E4900" s="88" t="s">
        <v>6034</v>
      </c>
      <c r="F4900" s="89"/>
      <c r="G4900" s="89"/>
      <c r="H4900" s="89"/>
      <c r="I4900" s="90"/>
      <c r="J4900" s="88" t="s">
        <v>2179</v>
      </c>
      <c r="K4900" s="89"/>
      <c r="L4900" s="89"/>
      <c r="M4900" s="90"/>
      <c r="N4900" s="88" t="s">
        <v>26</v>
      </c>
      <c r="O4900" s="89"/>
      <c r="P4900" s="90"/>
      <c r="Q4900" s="133">
        <v>1998</v>
      </c>
      <c r="R4900" s="134"/>
      <c r="S4900" s="5" t="s">
        <v>814</v>
      </c>
      <c r="T4900" s="8">
        <v>2985</v>
      </c>
      <c r="U4900" s="8">
        <v>3</v>
      </c>
      <c r="V4900" s="5" t="s">
        <v>23</v>
      </c>
      <c r="W4900" s="12">
        <v>5538403</v>
      </c>
      <c r="X4900" s="6"/>
      <c r="Y4900" s="6"/>
    </row>
    <row r="4901" spans="1:25" ht="15" customHeight="1" x14ac:dyDescent="0.2">
      <c r="A4901" s="88" t="s">
        <v>5555</v>
      </c>
      <c r="B4901" s="90"/>
      <c r="C4901" s="88" t="s">
        <v>6035</v>
      </c>
      <c r="D4901" s="90"/>
      <c r="E4901" s="88" t="s">
        <v>6036</v>
      </c>
      <c r="F4901" s="89"/>
      <c r="G4901" s="89"/>
      <c r="H4901" s="89"/>
      <c r="I4901" s="90"/>
      <c r="J4901" s="88" t="s">
        <v>963</v>
      </c>
      <c r="K4901" s="89"/>
      <c r="L4901" s="89"/>
      <c r="M4901" s="90"/>
      <c r="N4901" s="88" t="s">
        <v>26</v>
      </c>
      <c r="O4901" s="89"/>
      <c r="P4901" s="90"/>
      <c r="Q4901" s="133">
        <v>1998</v>
      </c>
      <c r="R4901" s="134"/>
      <c r="S4901" s="5" t="s">
        <v>814</v>
      </c>
      <c r="T4901" s="8">
        <v>2985</v>
      </c>
      <c r="U4901" s="8">
        <v>3</v>
      </c>
      <c r="V4901" s="5" t="s">
        <v>106</v>
      </c>
      <c r="W4901" s="12">
        <v>5538403</v>
      </c>
      <c r="X4901" s="6"/>
      <c r="Y4901" s="6"/>
    </row>
    <row r="4902" spans="1:25" ht="15" customHeight="1" x14ac:dyDescent="0.2">
      <c r="A4902" s="88" t="s">
        <v>5555</v>
      </c>
      <c r="B4902" s="90"/>
      <c r="C4902" s="88" t="s">
        <v>6037</v>
      </c>
      <c r="D4902" s="90"/>
      <c r="E4902" s="88" t="s">
        <v>5832</v>
      </c>
      <c r="F4902" s="89"/>
      <c r="G4902" s="89"/>
      <c r="H4902" s="89"/>
      <c r="I4902" s="90"/>
      <c r="J4902" s="88" t="s">
        <v>2179</v>
      </c>
      <c r="K4902" s="89"/>
      <c r="L4902" s="89"/>
      <c r="M4902" s="90"/>
      <c r="N4902" s="88" t="s">
        <v>26</v>
      </c>
      <c r="O4902" s="89"/>
      <c r="P4902" s="90"/>
      <c r="Q4902" s="133">
        <v>1998</v>
      </c>
      <c r="R4902" s="134"/>
      <c r="S4902" s="5" t="s">
        <v>814</v>
      </c>
      <c r="T4902" s="8">
        <v>3185</v>
      </c>
      <c r="U4902" s="8">
        <v>6</v>
      </c>
      <c r="V4902" s="5" t="s">
        <v>106</v>
      </c>
      <c r="W4902" s="12">
        <v>4460065</v>
      </c>
      <c r="X4902" s="6"/>
      <c r="Y4902" s="6"/>
    </row>
    <row r="4903" spans="1:25" ht="15" customHeight="1" x14ac:dyDescent="0.2">
      <c r="A4903" s="88" t="s">
        <v>5555</v>
      </c>
      <c r="B4903" s="90"/>
      <c r="C4903" s="88" t="s">
        <v>6038</v>
      </c>
      <c r="D4903" s="90"/>
      <c r="E4903" s="88" t="s">
        <v>6032</v>
      </c>
      <c r="F4903" s="89"/>
      <c r="G4903" s="89"/>
      <c r="H4903" s="89"/>
      <c r="I4903" s="90"/>
      <c r="J4903" s="88" t="s">
        <v>2179</v>
      </c>
      <c r="K4903" s="89"/>
      <c r="L4903" s="89"/>
      <c r="M4903" s="90"/>
      <c r="N4903" s="88" t="s">
        <v>26</v>
      </c>
      <c r="O4903" s="89"/>
      <c r="P4903" s="90"/>
      <c r="Q4903" s="133">
        <v>1998</v>
      </c>
      <c r="R4903" s="134"/>
      <c r="S4903" s="5" t="s">
        <v>814</v>
      </c>
      <c r="T4903" s="8">
        <v>3105</v>
      </c>
      <c r="U4903" s="8">
        <v>6</v>
      </c>
      <c r="V4903" s="5" t="s">
        <v>106</v>
      </c>
      <c r="W4903" s="12">
        <v>4055557</v>
      </c>
      <c r="X4903" s="6"/>
      <c r="Y4903" s="6"/>
    </row>
    <row r="4904" spans="1:25" ht="15" customHeight="1" x14ac:dyDescent="0.2">
      <c r="A4904" s="88" t="s">
        <v>5555</v>
      </c>
      <c r="B4904" s="90"/>
      <c r="C4904" s="88" t="s">
        <v>6039</v>
      </c>
      <c r="D4904" s="90"/>
      <c r="E4904" s="88" t="s">
        <v>6032</v>
      </c>
      <c r="F4904" s="89"/>
      <c r="G4904" s="89"/>
      <c r="H4904" s="89"/>
      <c r="I4904" s="90"/>
      <c r="J4904" s="88" t="s">
        <v>2179</v>
      </c>
      <c r="K4904" s="89"/>
      <c r="L4904" s="89"/>
      <c r="M4904" s="90"/>
      <c r="N4904" s="88" t="s">
        <v>26</v>
      </c>
      <c r="O4904" s="89"/>
      <c r="P4904" s="90"/>
      <c r="Q4904" s="133">
        <v>1998</v>
      </c>
      <c r="R4904" s="134"/>
      <c r="S4904" s="5" t="s">
        <v>814</v>
      </c>
      <c r="T4904" s="8">
        <v>2100</v>
      </c>
      <c r="U4904" s="8">
        <v>5</v>
      </c>
      <c r="V4904" s="5" t="s">
        <v>23</v>
      </c>
      <c r="W4904" s="12">
        <v>3889632</v>
      </c>
      <c r="X4904" s="6"/>
      <c r="Y4904" s="6"/>
    </row>
    <row r="4905" spans="1:25" ht="15" customHeight="1" x14ac:dyDescent="0.2">
      <c r="A4905" s="88" t="s">
        <v>5555</v>
      </c>
      <c r="B4905" s="90"/>
      <c r="C4905" s="88" t="s">
        <v>6040</v>
      </c>
      <c r="D4905" s="90"/>
      <c r="E4905" s="88" t="s">
        <v>6041</v>
      </c>
      <c r="F4905" s="89"/>
      <c r="G4905" s="89"/>
      <c r="H4905" s="89"/>
      <c r="I4905" s="90"/>
      <c r="J4905" s="88" t="s">
        <v>770</v>
      </c>
      <c r="K4905" s="89"/>
      <c r="L4905" s="89"/>
      <c r="M4905" s="90"/>
      <c r="N4905" s="88" t="s">
        <v>26</v>
      </c>
      <c r="O4905" s="89"/>
      <c r="P4905" s="90"/>
      <c r="Q4905" s="133">
        <v>996</v>
      </c>
      <c r="R4905" s="134"/>
      <c r="S4905" s="5" t="s">
        <v>814</v>
      </c>
      <c r="T4905" s="8">
        <v>1385</v>
      </c>
      <c r="U4905" s="8">
        <v>5</v>
      </c>
      <c r="V4905" s="5" t="s">
        <v>23</v>
      </c>
      <c r="W4905" s="12">
        <v>3447329</v>
      </c>
      <c r="X4905" s="6"/>
      <c r="Y4905" s="6"/>
    </row>
    <row r="4906" spans="1:25" ht="15" customHeight="1" x14ac:dyDescent="0.2">
      <c r="A4906" s="88" t="s">
        <v>5555</v>
      </c>
      <c r="B4906" s="90"/>
      <c r="C4906" s="88" t="s">
        <v>6040</v>
      </c>
      <c r="D4906" s="90"/>
      <c r="E4906" s="88" t="s">
        <v>6042</v>
      </c>
      <c r="F4906" s="89"/>
      <c r="G4906" s="89"/>
      <c r="H4906" s="89"/>
      <c r="I4906" s="90"/>
      <c r="J4906" s="88" t="s">
        <v>770</v>
      </c>
      <c r="K4906" s="89"/>
      <c r="L4906" s="89"/>
      <c r="M4906" s="90"/>
      <c r="N4906" s="88" t="s">
        <v>26</v>
      </c>
      <c r="O4906" s="89"/>
      <c r="P4906" s="90"/>
      <c r="Q4906" s="133">
        <v>996</v>
      </c>
      <c r="R4906" s="134"/>
      <c r="S4906" s="5" t="s">
        <v>814</v>
      </c>
      <c r="T4906" s="8">
        <v>1385</v>
      </c>
      <c r="U4906" s="8">
        <v>5</v>
      </c>
      <c r="V4906" s="5" t="s">
        <v>23</v>
      </c>
      <c r="W4906" s="12">
        <v>3447329</v>
      </c>
      <c r="X4906" s="6"/>
      <c r="Y4906" s="6"/>
    </row>
    <row r="4907" spans="1:25" ht="15" customHeight="1" x14ac:dyDescent="0.2">
      <c r="A4907" s="88" t="s">
        <v>5555</v>
      </c>
      <c r="B4907" s="90"/>
      <c r="C4907" s="88" t="s">
        <v>6040</v>
      </c>
      <c r="D4907" s="90"/>
      <c r="E4907" s="88" t="s">
        <v>6043</v>
      </c>
      <c r="F4907" s="89"/>
      <c r="G4907" s="89"/>
      <c r="H4907" s="89"/>
      <c r="I4907" s="90"/>
      <c r="J4907" s="88" t="s">
        <v>770</v>
      </c>
      <c r="K4907" s="89"/>
      <c r="L4907" s="89"/>
      <c r="M4907" s="90"/>
      <c r="N4907" s="88" t="s">
        <v>26</v>
      </c>
      <c r="O4907" s="89"/>
      <c r="P4907" s="90"/>
      <c r="Q4907" s="133">
        <v>996</v>
      </c>
      <c r="R4907" s="134"/>
      <c r="S4907" s="5" t="s">
        <v>814</v>
      </c>
      <c r="T4907" s="8">
        <v>1375</v>
      </c>
      <c r="U4907" s="8">
        <v>5</v>
      </c>
      <c r="V4907" s="5" t="s">
        <v>23</v>
      </c>
      <c r="W4907" s="12">
        <v>3061290</v>
      </c>
      <c r="X4907" s="6"/>
      <c r="Y4907" s="6"/>
    </row>
    <row r="4908" spans="1:25" ht="15" customHeight="1" x14ac:dyDescent="0.2">
      <c r="A4908" s="88" t="s">
        <v>5555</v>
      </c>
      <c r="B4908" s="90"/>
      <c r="C4908" s="88" t="s">
        <v>6044</v>
      </c>
      <c r="D4908" s="90"/>
      <c r="E4908" s="88" t="s">
        <v>6045</v>
      </c>
      <c r="F4908" s="89"/>
      <c r="G4908" s="89"/>
      <c r="H4908" s="89"/>
      <c r="I4908" s="90"/>
      <c r="J4908" s="88" t="s">
        <v>770</v>
      </c>
      <c r="K4908" s="89"/>
      <c r="L4908" s="89"/>
      <c r="M4908" s="90"/>
      <c r="N4908" s="88" t="s">
        <v>26</v>
      </c>
      <c r="O4908" s="89"/>
      <c r="P4908" s="90"/>
      <c r="Q4908" s="133">
        <v>996</v>
      </c>
      <c r="R4908" s="134"/>
      <c r="S4908" s="5" t="s">
        <v>814</v>
      </c>
      <c r="T4908" s="8">
        <v>1455</v>
      </c>
      <c r="U4908" s="8">
        <v>5</v>
      </c>
      <c r="V4908" s="5" t="s">
        <v>23</v>
      </c>
      <c r="W4908" s="12">
        <v>3485893</v>
      </c>
      <c r="X4908" s="6"/>
      <c r="Y4908" s="6"/>
    </row>
    <row r="4909" spans="1:25" ht="15" customHeight="1" x14ac:dyDescent="0.2">
      <c r="A4909" s="88" t="s">
        <v>5555</v>
      </c>
      <c r="B4909" s="90"/>
      <c r="C4909" s="88" t="s">
        <v>6046</v>
      </c>
      <c r="D4909" s="90"/>
      <c r="E4909" s="88" t="s">
        <v>6043</v>
      </c>
      <c r="F4909" s="89"/>
      <c r="G4909" s="89"/>
      <c r="H4909" s="89"/>
      <c r="I4909" s="90"/>
      <c r="J4909" s="88" t="s">
        <v>770</v>
      </c>
      <c r="K4909" s="89"/>
      <c r="L4909" s="89"/>
      <c r="M4909" s="90"/>
      <c r="N4909" s="88" t="s">
        <v>26</v>
      </c>
      <c r="O4909" s="89"/>
      <c r="P4909" s="90"/>
      <c r="Q4909" s="133">
        <v>996</v>
      </c>
      <c r="R4909" s="134"/>
      <c r="S4909" s="5" t="s">
        <v>814</v>
      </c>
      <c r="T4909" s="8">
        <v>1375</v>
      </c>
      <c r="U4909" s="8">
        <v>5</v>
      </c>
      <c r="V4909" s="5" t="s">
        <v>23</v>
      </c>
      <c r="W4909" s="12">
        <v>3051623</v>
      </c>
      <c r="X4909" s="6"/>
      <c r="Y4909" s="6"/>
    </row>
    <row r="4910" spans="1:25" ht="15" customHeight="1" x14ac:dyDescent="0.2">
      <c r="A4910" s="88" t="s">
        <v>5555</v>
      </c>
      <c r="B4910" s="90"/>
      <c r="C4910" s="88" t="s">
        <v>6047</v>
      </c>
      <c r="D4910" s="90"/>
      <c r="E4910" s="88" t="s">
        <v>6045</v>
      </c>
      <c r="F4910" s="89"/>
      <c r="G4910" s="89"/>
      <c r="H4910" s="89"/>
      <c r="I4910" s="90"/>
      <c r="J4910" s="88" t="s">
        <v>770</v>
      </c>
      <c r="K4910" s="89"/>
      <c r="L4910" s="89"/>
      <c r="M4910" s="90"/>
      <c r="N4910" s="88" t="s">
        <v>26</v>
      </c>
      <c r="O4910" s="89"/>
      <c r="P4910" s="90"/>
      <c r="Q4910" s="133">
        <v>996</v>
      </c>
      <c r="R4910" s="134"/>
      <c r="S4910" s="5" t="s">
        <v>814</v>
      </c>
      <c r="T4910" s="8">
        <v>1455</v>
      </c>
      <c r="U4910" s="8">
        <v>5</v>
      </c>
      <c r="V4910" s="5" t="s">
        <v>23</v>
      </c>
      <c r="W4910" s="12">
        <v>3500983</v>
      </c>
      <c r="X4910" s="6"/>
      <c r="Y4910" s="6"/>
    </row>
    <row r="4911" spans="1:25" ht="15" customHeight="1" x14ac:dyDescent="0.2">
      <c r="A4911" s="88" t="s">
        <v>5555</v>
      </c>
      <c r="B4911" s="90"/>
      <c r="C4911" s="88" t="s">
        <v>6048</v>
      </c>
      <c r="D4911" s="90"/>
      <c r="E4911" s="88" t="s">
        <v>6049</v>
      </c>
      <c r="F4911" s="89"/>
      <c r="G4911" s="89"/>
      <c r="H4911" s="89"/>
      <c r="I4911" s="90"/>
      <c r="J4911" s="88" t="s">
        <v>770</v>
      </c>
      <c r="K4911" s="89"/>
      <c r="L4911" s="89"/>
      <c r="M4911" s="90"/>
      <c r="N4911" s="88" t="s">
        <v>26</v>
      </c>
      <c r="O4911" s="89"/>
      <c r="P4911" s="90"/>
      <c r="Q4911" s="133">
        <v>996</v>
      </c>
      <c r="R4911" s="134"/>
      <c r="S4911" s="5" t="s">
        <v>814</v>
      </c>
      <c r="T4911" s="8">
        <v>1445</v>
      </c>
      <c r="U4911" s="8">
        <v>5</v>
      </c>
      <c r="V4911" s="5" t="s">
        <v>23</v>
      </c>
      <c r="W4911" s="12">
        <v>3202528</v>
      </c>
      <c r="X4911" s="6"/>
      <c r="Y4911" s="6"/>
    </row>
    <row r="4912" spans="1:25" ht="15" customHeight="1" x14ac:dyDescent="0.2">
      <c r="A4912" s="88" t="s">
        <v>5555</v>
      </c>
      <c r="B4912" s="90"/>
      <c r="C4912" s="88" t="s">
        <v>6050</v>
      </c>
      <c r="D4912" s="90"/>
      <c r="E4912" s="88" t="s">
        <v>6051</v>
      </c>
      <c r="F4912" s="89"/>
      <c r="G4912" s="89"/>
      <c r="H4912" s="89"/>
      <c r="I4912" s="90"/>
      <c r="J4912" s="88" t="s">
        <v>887</v>
      </c>
      <c r="K4912" s="89"/>
      <c r="L4912" s="89"/>
      <c r="M4912" s="90"/>
      <c r="N4912" s="88" t="s">
        <v>26</v>
      </c>
      <c r="O4912" s="89"/>
      <c r="P4912" s="90"/>
      <c r="Q4912" s="133">
        <v>1500</v>
      </c>
      <c r="R4912" s="134"/>
      <c r="S4912" s="5" t="s">
        <v>27</v>
      </c>
      <c r="T4912" s="6"/>
      <c r="U4912" s="6"/>
      <c r="V4912" s="5" t="s">
        <v>23</v>
      </c>
      <c r="W4912" s="12">
        <v>3369074</v>
      </c>
      <c r="X4912" s="6"/>
      <c r="Y4912" s="6"/>
    </row>
    <row r="4913" spans="1:25" ht="15" customHeight="1" x14ac:dyDescent="0.2">
      <c r="A4913" s="88" t="s">
        <v>5555</v>
      </c>
      <c r="B4913" s="90"/>
      <c r="C4913" s="88" t="s">
        <v>6052</v>
      </c>
      <c r="D4913" s="90"/>
      <c r="E4913" s="88" t="s">
        <v>6053</v>
      </c>
      <c r="F4913" s="89"/>
      <c r="G4913" s="89"/>
      <c r="H4913" s="89"/>
      <c r="I4913" s="90"/>
      <c r="J4913" s="88" t="s">
        <v>887</v>
      </c>
      <c r="K4913" s="89"/>
      <c r="L4913" s="89"/>
      <c r="M4913" s="90"/>
      <c r="N4913" s="88" t="s">
        <v>26</v>
      </c>
      <c r="O4913" s="89"/>
      <c r="P4913" s="90"/>
      <c r="Q4913" s="133">
        <v>1500</v>
      </c>
      <c r="R4913" s="134"/>
      <c r="S4913" s="5" t="s">
        <v>2633</v>
      </c>
      <c r="T4913" s="6"/>
      <c r="U4913" s="6"/>
      <c r="V4913" s="5" t="s">
        <v>23</v>
      </c>
      <c r="W4913" s="12">
        <v>3276000</v>
      </c>
      <c r="X4913" s="6"/>
      <c r="Y4913" s="6"/>
    </row>
    <row r="4914" spans="1:25" ht="15" customHeight="1" x14ac:dyDescent="0.2">
      <c r="A4914" s="88" t="s">
        <v>5555</v>
      </c>
      <c r="B4914" s="90"/>
      <c r="C4914" s="88" t="s">
        <v>6054</v>
      </c>
      <c r="D4914" s="90"/>
      <c r="E4914" s="88" t="s">
        <v>6055</v>
      </c>
      <c r="F4914" s="89"/>
      <c r="G4914" s="89"/>
      <c r="H4914" s="89"/>
      <c r="I4914" s="90"/>
      <c r="J4914" s="88" t="s">
        <v>2179</v>
      </c>
      <c r="K4914" s="89"/>
      <c r="L4914" s="89"/>
      <c r="M4914" s="90"/>
      <c r="N4914" s="88" t="s">
        <v>701</v>
      </c>
      <c r="O4914" s="89"/>
      <c r="P4914" s="90"/>
      <c r="Q4914" s="133">
        <v>2362</v>
      </c>
      <c r="R4914" s="134"/>
      <c r="S4914" s="5" t="s">
        <v>44</v>
      </c>
      <c r="T4914" s="8">
        <v>1865</v>
      </c>
      <c r="U4914" s="8">
        <v>5</v>
      </c>
      <c r="V4914" s="5" t="s">
        <v>23</v>
      </c>
      <c r="W4914" s="12">
        <v>7040305</v>
      </c>
      <c r="X4914" s="6"/>
      <c r="Y4914" s="6"/>
    </row>
    <row r="4915" spans="1:25" ht="15" customHeight="1" x14ac:dyDescent="0.2">
      <c r="A4915" s="88" t="s">
        <v>5555</v>
      </c>
      <c r="B4915" s="90"/>
      <c r="C4915" s="88" t="s">
        <v>6056</v>
      </c>
      <c r="D4915" s="90"/>
      <c r="E4915" s="88" t="s">
        <v>6057</v>
      </c>
      <c r="F4915" s="89"/>
      <c r="G4915" s="89"/>
      <c r="H4915" s="89"/>
      <c r="I4915" s="90"/>
      <c r="J4915" s="88" t="s">
        <v>770</v>
      </c>
      <c r="K4915" s="89"/>
      <c r="L4915" s="89"/>
      <c r="M4915" s="90"/>
      <c r="N4915" s="88" t="s">
        <v>26</v>
      </c>
      <c r="O4915" s="89"/>
      <c r="P4915" s="90"/>
      <c r="Q4915" s="133">
        <v>1496</v>
      </c>
      <c r="R4915" s="134"/>
      <c r="S4915" s="5" t="s">
        <v>814</v>
      </c>
      <c r="T4915" s="8">
        <v>1765</v>
      </c>
      <c r="U4915" s="8">
        <v>5</v>
      </c>
      <c r="V4915" s="5" t="s">
        <v>23</v>
      </c>
      <c r="W4915" s="12">
        <v>4325928</v>
      </c>
      <c r="X4915" s="6"/>
      <c r="Y4915" s="6"/>
    </row>
    <row r="4916" spans="1:25" ht="15" customHeight="1" x14ac:dyDescent="0.2">
      <c r="A4916" s="88" t="s">
        <v>5555</v>
      </c>
      <c r="B4916" s="90"/>
      <c r="C4916" s="88" t="s">
        <v>6058</v>
      </c>
      <c r="D4916" s="90"/>
      <c r="E4916" s="88" t="s">
        <v>6059</v>
      </c>
      <c r="F4916" s="89"/>
      <c r="G4916" s="89"/>
      <c r="H4916" s="89"/>
      <c r="I4916" s="90"/>
      <c r="J4916" s="88" t="s">
        <v>770</v>
      </c>
      <c r="K4916" s="89"/>
      <c r="L4916" s="89"/>
      <c r="M4916" s="90"/>
      <c r="N4916" s="88" t="s">
        <v>26</v>
      </c>
      <c r="O4916" s="89"/>
      <c r="P4916" s="90"/>
      <c r="Q4916" s="133">
        <v>1496</v>
      </c>
      <c r="R4916" s="134"/>
      <c r="S4916" s="5" t="s">
        <v>814</v>
      </c>
      <c r="T4916" s="8">
        <v>1635</v>
      </c>
      <c r="U4916" s="8">
        <v>5</v>
      </c>
      <c r="V4916" s="5" t="s">
        <v>23</v>
      </c>
      <c r="W4916" s="12">
        <v>3994816</v>
      </c>
      <c r="X4916" s="6"/>
      <c r="Y4916" s="6"/>
    </row>
    <row r="4917" spans="1:25" ht="15" customHeight="1" x14ac:dyDescent="0.2">
      <c r="A4917" s="88" t="s">
        <v>5555</v>
      </c>
      <c r="B4917" s="90"/>
      <c r="C4917" s="88" t="s">
        <v>6060</v>
      </c>
      <c r="D4917" s="90"/>
      <c r="E4917" s="88" t="s">
        <v>6061</v>
      </c>
      <c r="F4917" s="89"/>
      <c r="G4917" s="89"/>
      <c r="H4917" s="89"/>
      <c r="I4917" s="90"/>
      <c r="J4917" s="88" t="s">
        <v>770</v>
      </c>
      <c r="K4917" s="89"/>
      <c r="L4917" s="89"/>
      <c r="M4917" s="90"/>
      <c r="N4917" s="88" t="s">
        <v>26</v>
      </c>
      <c r="O4917" s="89"/>
      <c r="P4917" s="90"/>
      <c r="Q4917" s="133">
        <v>1496</v>
      </c>
      <c r="R4917" s="134"/>
      <c r="S4917" s="5" t="s">
        <v>814</v>
      </c>
      <c r="T4917" s="8">
        <v>1765</v>
      </c>
      <c r="U4917" s="8">
        <v>7</v>
      </c>
      <c r="V4917" s="5" t="s">
        <v>23</v>
      </c>
      <c r="W4917" s="12">
        <v>3931899</v>
      </c>
      <c r="X4917" s="6"/>
      <c r="Y4917" s="6"/>
    </row>
    <row r="4918" spans="1:25" ht="15" customHeight="1" x14ac:dyDescent="0.2">
      <c r="A4918" s="88" t="s">
        <v>5555</v>
      </c>
      <c r="B4918" s="90"/>
      <c r="C4918" s="88" t="s">
        <v>6062</v>
      </c>
      <c r="D4918" s="90"/>
      <c r="E4918" s="88" t="s">
        <v>6057</v>
      </c>
      <c r="F4918" s="89"/>
      <c r="G4918" s="89"/>
      <c r="H4918" s="89"/>
      <c r="I4918" s="90"/>
      <c r="J4918" s="88" t="s">
        <v>770</v>
      </c>
      <c r="K4918" s="89"/>
      <c r="L4918" s="89"/>
      <c r="M4918" s="90"/>
      <c r="N4918" s="88" t="s">
        <v>26</v>
      </c>
      <c r="O4918" s="89"/>
      <c r="P4918" s="90"/>
      <c r="Q4918" s="133">
        <v>1496</v>
      </c>
      <c r="R4918" s="134"/>
      <c r="S4918" s="5" t="s">
        <v>814</v>
      </c>
      <c r="T4918" s="8">
        <v>1765</v>
      </c>
      <c r="U4918" s="8">
        <v>7</v>
      </c>
      <c r="V4918" s="5" t="s">
        <v>23</v>
      </c>
      <c r="W4918" s="12">
        <v>3932662</v>
      </c>
      <c r="X4918" s="6"/>
      <c r="Y4918" s="6"/>
    </row>
    <row r="4919" spans="1:25" ht="15" customHeight="1" x14ac:dyDescent="0.2">
      <c r="A4919" s="88" t="s">
        <v>5555</v>
      </c>
      <c r="B4919" s="90"/>
      <c r="C4919" s="88" t="s">
        <v>6063</v>
      </c>
      <c r="D4919" s="90"/>
      <c r="E4919" s="88" t="s">
        <v>6064</v>
      </c>
      <c r="F4919" s="89"/>
      <c r="G4919" s="89"/>
      <c r="H4919" s="89"/>
      <c r="I4919" s="90"/>
      <c r="J4919" s="88" t="s">
        <v>770</v>
      </c>
      <c r="K4919" s="89"/>
      <c r="L4919" s="89"/>
      <c r="M4919" s="90"/>
      <c r="N4919" s="88" t="s">
        <v>26</v>
      </c>
      <c r="O4919" s="89"/>
      <c r="P4919" s="90"/>
      <c r="Q4919" s="133">
        <v>1496</v>
      </c>
      <c r="R4919" s="134"/>
      <c r="S4919" s="5" t="s">
        <v>814</v>
      </c>
      <c r="T4919" s="8">
        <v>1765</v>
      </c>
      <c r="U4919" s="8">
        <v>7</v>
      </c>
      <c r="V4919" s="5" t="s">
        <v>23</v>
      </c>
      <c r="W4919" s="12">
        <v>3628593</v>
      </c>
      <c r="X4919" s="6"/>
      <c r="Y4919" s="6"/>
    </row>
    <row r="4920" spans="1:25" ht="15" customHeight="1" x14ac:dyDescent="0.2">
      <c r="A4920" s="88" t="s">
        <v>5555</v>
      </c>
      <c r="B4920" s="90"/>
      <c r="C4920" s="88" t="s">
        <v>6065</v>
      </c>
      <c r="D4920" s="90"/>
      <c r="E4920" s="88" t="s">
        <v>6066</v>
      </c>
      <c r="F4920" s="89"/>
      <c r="G4920" s="89"/>
      <c r="H4920" s="89"/>
      <c r="I4920" s="90"/>
      <c r="J4920" s="88" t="s">
        <v>770</v>
      </c>
      <c r="K4920" s="89"/>
      <c r="L4920" s="89"/>
      <c r="M4920" s="90"/>
      <c r="N4920" s="88" t="s">
        <v>26</v>
      </c>
      <c r="O4920" s="89"/>
      <c r="P4920" s="90"/>
      <c r="Q4920" s="133">
        <v>1490</v>
      </c>
      <c r="R4920" s="134"/>
      <c r="S4920" s="5" t="s">
        <v>814</v>
      </c>
      <c r="T4920" s="8">
        <v>1605</v>
      </c>
      <c r="U4920" s="8">
        <v>5</v>
      </c>
      <c r="V4920" s="5" t="s">
        <v>23</v>
      </c>
      <c r="W4920" s="12">
        <v>3556315</v>
      </c>
      <c r="X4920" s="6"/>
      <c r="Y4920" s="6"/>
    </row>
    <row r="4921" spans="1:25" ht="15" customHeight="1" x14ac:dyDescent="0.2">
      <c r="A4921" s="88" t="s">
        <v>5555</v>
      </c>
      <c r="B4921" s="90"/>
      <c r="C4921" s="88" t="s">
        <v>6067</v>
      </c>
      <c r="D4921" s="90"/>
      <c r="E4921" s="88" t="s">
        <v>6068</v>
      </c>
      <c r="F4921" s="89"/>
      <c r="G4921" s="89"/>
      <c r="H4921" s="89"/>
      <c r="I4921" s="90"/>
      <c r="J4921" s="88" t="s">
        <v>770</v>
      </c>
      <c r="K4921" s="89"/>
      <c r="L4921" s="89"/>
      <c r="M4921" s="90"/>
      <c r="N4921" s="88" t="s">
        <v>26</v>
      </c>
      <c r="O4921" s="89"/>
      <c r="P4921" s="90"/>
      <c r="Q4921" s="133">
        <v>1490</v>
      </c>
      <c r="R4921" s="134"/>
      <c r="S4921" s="5" t="s">
        <v>814</v>
      </c>
      <c r="T4921" s="8">
        <v>1665</v>
      </c>
      <c r="U4921" s="8">
        <v>5</v>
      </c>
      <c r="V4921" s="5" t="s">
        <v>23</v>
      </c>
      <c r="W4921" s="12">
        <v>4223648</v>
      </c>
      <c r="X4921" s="6"/>
      <c r="Y4921" s="6"/>
    </row>
    <row r="4922" spans="1:25" ht="15" customHeight="1" x14ac:dyDescent="0.2">
      <c r="A4922" s="88" t="s">
        <v>5555</v>
      </c>
      <c r="B4922" s="90"/>
      <c r="C4922" s="88" t="s">
        <v>6069</v>
      </c>
      <c r="D4922" s="90"/>
      <c r="E4922" s="88" t="s">
        <v>6070</v>
      </c>
      <c r="F4922" s="89"/>
      <c r="G4922" s="89"/>
      <c r="H4922" s="89"/>
      <c r="I4922" s="90"/>
      <c r="J4922" s="88" t="s">
        <v>770</v>
      </c>
      <c r="K4922" s="89"/>
      <c r="L4922" s="89"/>
      <c r="M4922" s="90"/>
      <c r="N4922" s="88" t="s">
        <v>26</v>
      </c>
      <c r="O4922" s="89"/>
      <c r="P4922" s="90"/>
      <c r="Q4922" s="133">
        <v>1490</v>
      </c>
      <c r="R4922" s="134"/>
      <c r="S4922" s="5" t="s">
        <v>814</v>
      </c>
      <c r="T4922" s="8">
        <v>1605</v>
      </c>
      <c r="U4922" s="8">
        <v>5</v>
      </c>
      <c r="V4922" s="5" t="s">
        <v>23</v>
      </c>
      <c r="W4922" s="12">
        <v>3487570</v>
      </c>
      <c r="X4922" s="6"/>
      <c r="Y4922" s="6"/>
    </row>
    <row r="4923" spans="1:25" ht="15" customHeight="1" x14ac:dyDescent="0.2">
      <c r="A4923" s="88" t="s">
        <v>5555</v>
      </c>
      <c r="B4923" s="90"/>
      <c r="C4923" s="88" t="s">
        <v>6069</v>
      </c>
      <c r="D4923" s="90"/>
      <c r="E4923" s="88" t="s">
        <v>6071</v>
      </c>
      <c r="F4923" s="89"/>
      <c r="G4923" s="89"/>
      <c r="H4923" s="89"/>
      <c r="I4923" s="90"/>
      <c r="J4923" s="88" t="s">
        <v>770</v>
      </c>
      <c r="K4923" s="89"/>
      <c r="L4923" s="89"/>
      <c r="M4923" s="90"/>
      <c r="N4923" s="88" t="s">
        <v>26</v>
      </c>
      <c r="O4923" s="89"/>
      <c r="P4923" s="90"/>
      <c r="Q4923" s="133">
        <v>1496</v>
      </c>
      <c r="R4923" s="134"/>
      <c r="S4923" s="5" t="s">
        <v>814</v>
      </c>
      <c r="T4923" s="8">
        <v>1635</v>
      </c>
      <c r="U4923" s="8">
        <v>5</v>
      </c>
      <c r="V4923" s="5" t="s">
        <v>23</v>
      </c>
      <c r="W4923" s="12">
        <v>3571406</v>
      </c>
      <c r="X4923" s="6"/>
      <c r="Y4923" s="6"/>
    </row>
    <row r="4924" spans="1:25" ht="15" customHeight="1" x14ac:dyDescent="0.2">
      <c r="A4924" s="88" t="s">
        <v>5555</v>
      </c>
      <c r="B4924" s="90"/>
      <c r="C4924" s="88" t="s">
        <v>6069</v>
      </c>
      <c r="D4924" s="90"/>
      <c r="E4924" s="88" t="s">
        <v>6072</v>
      </c>
      <c r="F4924" s="89"/>
      <c r="G4924" s="89"/>
      <c r="H4924" s="89"/>
      <c r="I4924" s="90"/>
      <c r="J4924" s="88" t="s">
        <v>770</v>
      </c>
      <c r="K4924" s="89"/>
      <c r="L4924" s="89"/>
      <c r="M4924" s="90"/>
      <c r="N4924" s="88" t="s">
        <v>26</v>
      </c>
      <c r="O4924" s="89"/>
      <c r="P4924" s="90"/>
      <c r="Q4924" s="133">
        <v>1496</v>
      </c>
      <c r="R4924" s="134"/>
      <c r="S4924" s="5" t="s">
        <v>814</v>
      </c>
      <c r="T4924" s="8">
        <v>1745</v>
      </c>
      <c r="U4924" s="8">
        <v>7</v>
      </c>
      <c r="V4924" s="5" t="s">
        <v>23</v>
      </c>
      <c r="W4924" s="12">
        <v>3209235</v>
      </c>
      <c r="X4924" s="6"/>
      <c r="Y4924" s="6"/>
    </row>
    <row r="4925" spans="1:25" ht="15" customHeight="1" x14ac:dyDescent="0.2">
      <c r="A4925" s="88" t="s">
        <v>5555</v>
      </c>
      <c r="B4925" s="90"/>
      <c r="C4925" s="88" t="s">
        <v>6069</v>
      </c>
      <c r="D4925" s="90"/>
      <c r="E4925" s="88" t="s">
        <v>6073</v>
      </c>
      <c r="F4925" s="89"/>
      <c r="G4925" s="89"/>
      <c r="H4925" s="89"/>
      <c r="I4925" s="90"/>
      <c r="J4925" s="88" t="s">
        <v>770</v>
      </c>
      <c r="K4925" s="89"/>
      <c r="L4925" s="89"/>
      <c r="M4925" s="90"/>
      <c r="N4925" s="88" t="s">
        <v>26</v>
      </c>
      <c r="O4925" s="89"/>
      <c r="P4925" s="90"/>
      <c r="Q4925" s="133">
        <v>1496</v>
      </c>
      <c r="R4925" s="134"/>
      <c r="S4925" s="5" t="s">
        <v>814</v>
      </c>
      <c r="T4925" s="8">
        <v>1635</v>
      </c>
      <c r="U4925" s="8">
        <v>5</v>
      </c>
      <c r="V4925" s="5" t="s">
        <v>23</v>
      </c>
      <c r="W4925" s="12">
        <v>3584819</v>
      </c>
      <c r="X4925" s="6"/>
      <c r="Y4925" s="6"/>
    </row>
    <row r="4926" spans="1:25" ht="15" customHeight="1" x14ac:dyDescent="0.2">
      <c r="A4926" s="88" t="s">
        <v>5555</v>
      </c>
      <c r="B4926" s="90"/>
      <c r="C4926" s="88" t="s">
        <v>6074</v>
      </c>
      <c r="D4926" s="90"/>
      <c r="E4926" s="88" t="s">
        <v>6075</v>
      </c>
      <c r="F4926" s="89"/>
      <c r="G4926" s="89"/>
      <c r="H4926" s="89"/>
      <c r="I4926" s="90"/>
      <c r="J4926" s="88" t="s">
        <v>770</v>
      </c>
      <c r="K4926" s="89"/>
      <c r="L4926" s="89"/>
      <c r="M4926" s="90"/>
      <c r="N4926" s="88" t="s">
        <v>26</v>
      </c>
      <c r="O4926" s="89"/>
      <c r="P4926" s="90"/>
      <c r="Q4926" s="133">
        <v>1490</v>
      </c>
      <c r="R4926" s="134"/>
      <c r="S4926" s="5" t="s">
        <v>814</v>
      </c>
      <c r="T4926" s="8">
        <v>1765</v>
      </c>
      <c r="U4926" s="8">
        <v>7</v>
      </c>
      <c r="V4926" s="5" t="s">
        <v>23</v>
      </c>
      <c r="W4926" s="12">
        <v>4879244</v>
      </c>
      <c r="X4926" s="6"/>
      <c r="Y4926" s="6"/>
    </row>
    <row r="4927" spans="1:25" ht="15" customHeight="1" x14ac:dyDescent="0.2">
      <c r="A4927" s="88" t="s">
        <v>5555</v>
      </c>
      <c r="B4927" s="90"/>
      <c r="C4927" s="88" t="s">
        <v>6076</v>
      </c>
      <c r="D4927" s="90"/>
      <c r="E4927" s="88" t="s">
        <v>6077</v>
      </c>
      <c r="F4927" s="89"/>
      <c r="G4927" s="89"/>
      <c r="H4927" s="89"/>
      <c r="I4927" s="90"/>
      <c r="J4927" s="88" t="s">
        <v>770</v>
      </c>
      <c r="K4927" s="89"/>
      <c r="L4927" s="89"/>
      <c r="M4927" s="90"/>
      <c r="N4927" s="88" t="s">
        <v>26</v>
      </c>
      <c r="O4927" s="89"/>
      <c r="P4927" s="90"/>
      <c r="Q4927" s="133">
        <v>1496</v>
      </c>
      <c r="R4927" s="134"/>
      <c r="S4927" s="5" t="s">
        <v>814</v>
      </c>
      <c r="T4927" s="8">
        <v>1445</v>
      </c>
      <c r="U4927" s="8">
        <v>5</v>
      </c>
      <c r="V4927" s="5" t="s">
        <v>23</v>
      </c>
      <c r="W4927" s="12">
        <v>3070067</v>
      </c>
      <c r="X4927" s="6"/>
      <c r="Y4927" s="6"/>
    </row>
    <row r="4928" spans="1:25" ht="15" customHeight="1" x14ac:dyDescent="0.2">
      <c r="A4928" s="88" t="s">
        <v>5555</v>
      </c>
      <c r="B4928" s="90"/>
      <c r="C4928" s="88" t="s">
        <v>6076</v>
      </c>
      <c r="D4928" s="90"/>
      <c r="E4928" s="88" t="s">
        <v>6078</v>
      </c>
      <c r="F4928" s="89"/>
      <c r="G4928" s="89"/>
      <c r="H4928" s="89"/>
      <c r="I4928" s="90"/>
      <c r="J4928" s="88" t="s">
        <v>770</v>
      </c>
      <c r="K4928" s="89"/>
      <c r="L4928" s="89"/>
      <c r="M4928" s="90"/>
      <c r="N4928" s="88" t="s">
        <v>26</v>
      </c>
      <c r="O4928" s="89"/>
      <c r="P4928" s="90"/>
      <c r="Q4928" s="133">
        <v>1496</v>
      </c>
      <c r="R4928" s="134"/>
      <c r="S4928" s="5" t="s">
        <v>814</v>
      </c>
      <c r="T4928" s="8">
        <v>1445</v>
      </c>
      <c r="U4928" s="8">
        <v>5</v>
      </c>
      <c r="V4928" s="5" t="s">
        <v>23</v>
      </c>
      <c r="W4928" s="12">
        <v>3070067</v>
      </c>
      <c r="X4928" s="6"/>
      <c r="Y4928" s="6"/>
    </row>
    <row r="4929" spans="1:25" ht="15" customHeight="1" x14ac:dyDescent="0.2">
      <c r="A4929" s="88" t="s">
        <v>5555</v>
      </c>
      <c r="B4929" s="90"/>
      <c r="C4929" s="88" t="s">
        <v>6079</v>
      </c>
      <c r="D4929" s="90"/>
      <c r="E4929" s="88" t="s">
        <v>6080</v>
      </c>
      <c r="F4929" s="89"/>
      <c r="G4929" s="89"/>
      <c r="H4929" s="89"/>
      <c r="I4929" s="90"/>
      <c r="J4929" s="88" t="s">
        <v>770</v>
      </c>
      <c r="K4929" s="89"/>
      <c r="L4929" s="89"/>
      <c r="M4929" s="90"/>
      <c r="N4929" s="88" t="s">
        <v>26</v>
      </c>
      <c r="O4929" s="89"/>
      <c r="P4929" s="90"/>
      <c r="Q4929" s="133">
        <v>1496</v>
      </c>
      <c r="R4929" s="134"/>
      <c r="S4929" s="5" t="s">
        <v>814</v>
      </c>
      <c r="T4929" s="8">
        <v>1415</v>
      </c>
      <c r="U4929" s="8">
        <v>3</v>
      </c>
      <c r="V4929" s="5" t="s">
        <v>23</v>
      </c>
      <c r="W4929" s="12">
        <v>4069390</v>
      </c>
      <c r="X4929" s="6"/>
      <c r="Y4929" s="6"/>
    </row>
    <row r="4930" spans="1:25" ht="15" customHeight="1" x14ac:dyDescent="0.2">
      <c r="A4930" s="88" t="s">
        <v>5555</v>
      </c>
      <c r="B4930" s="90"/>
      <c r="C4930" s="88" t="s">
        <v>6081</v>
      </c>
      <c r="D4930" s="90"/>
      <c r="E4930" s="88" t="s">
        <v>6082</v>
      </c>
      <c r="F4930" s="89"/>
      <c r="G4930" s="89"/>
      <c r="H4930" s="89"/>
      <c r="I4930" s="90"/>
      <c r="J4930" s="88" t="s">
        <v>13</v>
      </c>
      <c r="K4930" s="89"/>
      <c r="L4930" s="89"/>
      <c r="M4930" s="90"/>
      <c r="N4930" s="88" t="s">
        <v>26</v>
      </c>
      <c r="O4930" s="89"/>
      <c r="P4930" s="90"/>
      <c r="Q4930" s="133">
        <v>1500</v>
      </c>
      <c r="R4930" s="134"/>
      <c r="S4930" s="5" t="s">
        <v>27</v>
      </c>
      <c r="T4930" s="6"/>
      <c r="U4930" s="6"/>
      <c r="V4930" s="5" t="s">
        <v>23</v>
      </c>
      <c r="W4930" s="12">
        <v>1471500</v>
      </c>
      <c r="X4930" s="6"/>
      <c r="Y4930" s="6"/>
    </row>
    <row r="4931" spans="1:25" ht="15" customHeight="1" x14ac:dyDescent="0.2">
      <c r="A4931" s="88" t="s">
        <v>5555</v>
      </c>
      <c r="B4931" s="90"/>
      <c r="C4931" s="88" t="s">
        <v>6083</v>
      </c>
      <c r="D4931" s="90"/>
      <c r="E4931" s="88" t="s">
        <v>6084</v>
      </c>
      <c r="F4931" s="89"/>
      <c r="G4931" s="89"/>
      <c r="H4931" s="89"/>
      <c r="I4931" s="90"/>
      <c r="J4931" s="88" t="s">
        <v>770</v>
      </c>
      <c r="K4931" s="89"/>
      <c r="L4931" s="89"/>
      <c r="M4931" s="90"/>
      <c r="N4931" s="88" t="s">
        <v>26</v>
      </c>
      <c r="O4931" s="89"/>
      <c r="P4931" s="90"/>
      <c r="Q4931" s="133">
        <v>1496</v>
      </c>
      <c r="R4931" s="134"/>
      <c r="S4931" s="5" t="s">
        <v>70</v>
      </c>
      <c r="T4931" s="8">
        <v>1635</v>
      </c>
      <c r="U4931" s="8">
        <v>5</v>
      </c>
      <c r="V4931" s="5" t="s">
        <v>106</v>
      </c>
      <c r="W4931" s="12">
        <v>3051623</v>
      </c>
      <c r="X4931" s="6"/>
      <c r="Y4931" s="6"/>
    </row>
    <row r="4932" spans="1:25" ht="15" customHeight="1" x14ac:dyDescent="0.2">
      <c r="A4932" s="88" t="s">
        <v>5555</v>
      </c>
      <c r="B4932" s="90"/>
      <c r="C4932" s="88" t="s">
        <v>6083</v>
      </c>
      <c r="D4932" s="90"/>
      <c r="E4932" s="88" t="s">
        <v>6085</v>
      </c>
      <c r="F4932" s="89"/>
      <c r="G4932" s="89"/>
      <c r="H4932" s="89"/>
      <c r="I4932" s="90"/>
      <c r="J4932" s="88" t="s">
        <v>770</v>
      </c>
      <c r="K4932" s="89"/>
      <c r="L4932" s="89"/>
      <c r="M4932" s="90"/>
      <c r="N4932" s="88" t="s">
        <v>26</v>
      </c>
      <c r="O4932" s="89"/>
      <c r="P4932" s="90"/>
      <c r="Q4932" s="133">
        <v>1496</v>
      </c>
      <c r="R4932" s="134"/>
      <c r="S4932" s="5" t="s">
        <v>70</v>
      </c>
      <c r="T4932" s="8">
        <v>1615</v>
      </c>
      <c r="U4932" s="8">
        <v>2</v>
      </c>
      <c r="V4932" s="5" t="s">
        <v>23</v>
      </c>
      <c r="W4932" s="12">
        <v>2642505</v>
      </c>
      <c r="X4932" s="6"/>
      <c r="Y4932" s="6"/>
    </row>
    <row r="4933" spans="1:25" ht="15" customHeight="1" x14ac:dyDescent="0.2">
      <c r="A4933" s="88" t="s">
        <v>5555</v>
      </c>
      <c r="B4933" s="90"/>
      <c r="C4933" s="88" t="s">
        <v>6083</v>
      </c>
      <c r="D4933" s="90"/>
      <c r="E4933" s="88" t="s">
        <v>6015</v>
      </c>
      <c r="F4933" s="89"/>
      <c r="G4933" s="89"/>
      <c r="H4933" s="89"/>
      <c r="I4933" s="90"/>
      <c r="J4933" s="88" t="s">
        <v>770</v>
      </c>
      <c r="K4933" s="89"/>
      <c r="L4933" s="89"/>
      <c r="M4933" s="90"/>
      <c r="N4933" s="88" t="s">
        <v>26</v>
      </c>
      <c r="O4933" s="89"/>
      <c r="P4933" s="90"/>
      <c r="Q4933" s="133">
        <v>1496</v>
      </c>
      <c r="R4933" s="134"/>
      <c r="S4933" s="5" t="s">
        <v>814</v>
      </c>
      <c r="T4933" s="8">
        <v>1615</v>
      </c>
      <c r="U4933" s="8">
        <v>5</v>
      </c>
      <c r="V4933" s="5" t="s">
        <v>23</v>
      </c>
      <c r="W4933" s="12">
        <v>2642505</v>
      </c>
      <c r="X4933" s="6"/>
      <c r="Y4933" s="6"/>
    </row>
    <row r="4934" spans="1:25" ht="15" customHeight="1" x14ac:dyDescent="0.2">
      <c r="A4934" s="88" t="s">
        <v>5555</v>
      </c>
      <c r="B4934" s="90"/>
      <c r="C4934" s="88" t="s">
        <v>6086</v>
      </c>
      <c r="D4934" s="90"/>
      <c r="E4934" s="88" t="s">
        <v>6087</v>
      </c>
      <c r="F4934" s="89"/>
      <c r="G4934" s="89"/>
      <c r="H4934" s="89"/>
      <c r="I4934" s="90"/>
      <c r="J4934" s="88" t="s">
        <v>2319</v>
      </c>
      <c r="K4934" s="89"/>
      <c r="L4934" s="89"/>
      <c r="M4934" s="90"/>
      <c r="N4934" s="88" t="s">
        <v>26</v>
      </c>
      <c r="O4934" s="89"/>
      <c r="P4934" s="90"/>
      <c r="Q4934" s="133">
        <v>2997</v>
      </c>
      <c r="R4934" s="134"/>
      <c r="S4934" s="5" t="s">
        <v>271</v>
      </c>
      <c r="T4934" s="8">
        <v>1640</v>
      </c>
      <c r="U4934" s="8">
        <v>2</v>
      </c>
      <c r="V4934" s="5" t="s">
        <v>23</v>
      </c>
      <c r="W4934" s="12">
        <v>12772735</v>
      </c>
      <c r="X4934" s="6"/>
      <c r="Y4934" s="6"/>
    </row>
    <row r="4935" spans="1:25" ht="15" customHeight="1" x14ac:dyDescent="0.2">
      <c r="A4935" s="88" t="s">
        <v>5555</v>
      </c>
      <c r="B4935" s="90"/>
      <c r="C4935" s="88" t="s">
        <v>6086</v>
      </c>
      <c r="D4935" s="90"/>
      <c r="E4935" s="88" t="s">
        <v>6088</v>
      </c>
      <c r="F4935" s="89"/>
      <c r="G4935" s="89"/>
      <c r="H4935" s="89"/>
      <c r="I4935" s="90"/>
      <c r="J4935" s="88" t="s">
        <v>2319</v>
      </c>
      <c r="K4935" s="89"/>
      <c r="L4935" s="89"/>
      <c r="M4935" s="90"/>
      <c r="N4935" s="88" t="s">
        <v>26</v>
      </c>
      <c r="O4935" s="89"/>
      <c r="P4935" s="90"/>
      <c r="Q4935" s="133">
        <v>2997</v>
      </c>
      <c r="R4935" s="134"/>
      <c r="S4935" s="5" t="s">
        <v>271</v>
      </c>
      <c r="T4935" s="8">
        <v>1630</v>
      </c>
      <c r="U4935" s="8">
        <v>2</v>
      </c>
      <c r="V4935" s="5" t="s">
        <v>23</v>
      </c>
      <c r="W4935" s="12">
        <v>11158702</v>
      </c>
      <c r="X4935" s="6"/>
      <c r="Y4935" s="6"/>
    </row>
    <row r="4936" spans="1:25" ht="15" customHeight="1" x14ac:dyDescent="0.2">
      <c r="A4936" s="88" t="s">
        <v>5555</v>
      </c>
      <c r="B4936" s="90"/>
      <c r="C4936" s="88" t="s">
        <v>6086</v>
      </c>
      <c r="D4936" s="90"/>
      <c r="E4936" s="88" t="s">
        <v>5790</v>
      </c>
      <c r="F4936" s="89"/>
      <c r="G4936" s="89"/>
      <c r="H4936" s="89"/>
      <c r="I4936" s="90"/>
      <c r="J4936" s="88" t="s">
        <v>2179</v>
      </c>
      <c r="K4936" s="89"/>
      <c r="L4936" s="89"/>
      <c r="M4936" s="90"/>
      <c r="N4936" s="88" t="s">
        <v>26</v>
      </c>
      <c r="O4936" s="89"/>
      <c r="P4936" s="90"/>
      <c r="Q4936" s="133">
        <v>2997</v>
      </c>
      <c r="R4936" s="134"/>
      <c r="S4936" s="5" t="s">
        <v>271</v>
      </c>
      <c r="T4936" s="8">
        <v>1640</v>
      </c>
      <c r="U4936" s="8">
        <v>2</v>
      </c>
      <c r="V4936" s="5" t="s">
        <v>23</v>
      </c>
      <c r="W4936" s="12">
        <v>11611578</v>
      </c>
      <c r="X4936" s="6"/>
      <c r="Y4936" s="6"/>
    </row>
    <row r="4937" spans="1:25" ht="15" customHeight="1" x14ac:dyDescent="0.2">
      <c r="A4937" s="88" t="s">
        <v>5555</v>
      </c>
      <c r="B4937" s="90"/>
      <c r="C4937" s="88" t="s">
        <v>6089</v>
      </c>
      <c r="D4937" s="90"/>
      <c r="E4937" s="88" t="s">
        <v>6090</v>
      </c>
      <c r="F4937" s="89"/>
      <c r="G4937" s="89"/>
      <c r="H4937" s="89"/>
      <c r="I4937" s="90"/>
      <c r="J4937" s="88" t="s">
        <v>770</v>
      </c>
      <c r="K4937" s="89"/>
      <c r="L4937" s="89"/>
      <c r="M4937" s="90"/>
      <c r="N4937" s="88" t="s">
        <v>26</v>
      </c>
      <c r="O4937" s="89"/>
      <c r="P4937" s="90"/>
      <c r="Q4937" s="133">
        <v>996</v>
      </c>
      <c r="R4937" s="134"/>
      <c r="S4937" s="5" t="s">
        <v>1101</v>
      </c>
      <c r="T4937" s="8">
        <v>1345</v>
      </c>
      <c r="U4937" s="8">
        <v>5</v>
      </c>
      <c r="V4937" s="5" t="s">
        <v>23</v>
      </c>
      <c r="W4937" s="12">
        <v>2615677</v>
      </c>
      <c r="X4937" s="6"/>
      <c r="Y4937" s="6"/>
    </row>
    <row r="4938" spans="1:25" ht="15" customHeight="1" x14ac:dyDescent="0.2">
      <c r="A4938" s="88" t="s">
        <v>5555</v>
      </c>
      <c r="B4938" s="90"/>
      <c r="C4938" s="88" t="s">
        <v>6091</v>
      </c>
      <c r="D4938" s="90"/>
      <c r="E4938" s="88" t="s">
        <v>6092</v>
      </c>
      <c r="F4938" s="89"/>
      <c r="G4938" s="89"/>
      <c r="H4938" s="89"/>
      <c r="I4938" s="90"/>
      <c r="J4938" s="88" t="s">
        <v>770</v>
      </c>
      <c r="K4938" s="89"/>
      <c r="L4938" s="89"/>
      <c r="M4938" s="90"/>
      <c r="N4938" s="88" t="s">
        <v>26</v>
      </c>
      <c r="O4938" s="89"/>
      <c r="P4938" s="90"/>
      <c r="Q4938" s="133">
        <v>996</v>
      </c>
      <c r="R4938" s="134"/>
      <c r="S4938" s="5" t="s">
        <v>1101</v>
      </c>
      <c r="T4938" s="8">
        <v>1345</v>
      </c>
      <c r="U4938" s="8">
        <v>5</v>
      </c>
      <c r="V4938" s="5" t="s">
        <v>23</v>
      </c>
      <c r="W4938" s="12">
        <v>2615677</v>
      </c>
      <c r="X4938" s="6"/>
      <c r="Y4938" s="6"/>
    </row>
    <row r="4939" spans="1:25" ht="15" customHeight="1" x14ac:dyDescent="0.2">
      <c r="A4939" s="88" t="s">
        <v>5555</v>
      </c>
      <c r="B4939" s="90"/>
      <c r="C4939" s="88" t="s">
        <v>6093</v>
      </c>
      <c r="D4939" s="90"/>
      <c r="E4939" s="88" t="s">
        <v>6094</v>
      </c>
      <c r="F4939" s="89"/>
      <c r="G4939" s="89"/>
      <c r="H4939" s="89"/>
      <c r="I4939" s="90"/>
      <c r="J4939" s="88" t="s">
        <v>887</v>
      </c>
      <c r="K4939" s="89"/>
      <c r="L4939" s="89"/>
      <c r="M4939" s="90"/>
      <c r="N4939" s="88" t="s">
        <v>22</v>
      </c>
      <c r="O4939" s="89"/>
      <c r="P4939" s="90"/>
      <c r="Q4939" s="133">
        <v>1496</v>
      </c>
      <c r="R4939" s="134"/>
      <c r="S4939" s="5" t="s">
        <v>814</v>
      </c>
      <c r="T4939" s="8">
        <v>2160</v>
      </c>
      <c r="U4939" s="8">
        <v>5</v>
      </c>
      <c r="V4939" s="5" t="s">
        <v>23</v>
      </c>
      <c r="W4939" s="12">
        <v>3935253</v>
      </c>
      <c r="X4939" s="6"/>
      <c r="Y4939" s="6"/>
    </row>
    <row r="4940" spans="1:25" ht="15" customHeight="1" x14ac:dyDescent="0.2">
      <c r="A4940" s="88" t="s">
        <v>5555</v>
      </c>
      <c r="B4940" s="90"/>
      <c r="C4940" s="88" t="s">
        <v>6095</v>
      </c>
      <c r="D4940" s="90"/>
      <c r="E4940" s="88" t="s">
        <v>6096</v>
      </c>
      <c r="F4940" s="89"/>
      <c r="G4940" s="89"/>
      <c r="H4940" s="89"/>
      <c r="I4940" s="90"/>
      <c r="J4940" s="88" t="s">
        <v>963</v>
      </c>
      <c r="K4940" s="89"/>
      <c r="L4940" s="89"/>
      <c r="M4940" s="90"/>
      <c r="N4940" s="88" t="s">
        <v>26</v>
      </c>
      <c r="O4940" s="89"/>
      <c r="P4940" s="90"/>
      <c r="Q4940" s="133">
        <v>1495</v>
      </c>
      <c r="R4940" s="134"/>
      <c r="S4940" s="5" t="s">
        <v>945</v>
      </c>
      <c r="T4940" s="8">
        <v>2040</v>
      </c>
      <c r="U4940" s="8">
        <v>2</v>
      </c>
      <c r="V4940" s="5" t="s">
        <v>106</v>
      </c>
      <c r="W4940" s="12">
        <v>2402734</v>
      </c>
      <c r="X4940" s="6"/>
      <c r="Y4940" s="6"/>
    </row>
    <row r="4941" spans="1:25" ht="15" customHeight="1" x14ac:dyDescent="0.2">
      <c r="A4941" s="88" t="s">
        <v>5555</v>
      </c>
      <c r="B4941" s="90"/>
      <c r="C4941" s="88" t="s">
        <v>6097</v>
      </c>
      <c r="D4941" s="90"/>
      <c r="E4941" s="88" t="s">
        <v>6098</v>
      </c>
      <c r="F4941" s="89"/>
      <c r="G4941" s="89"/>
      <c r="H4941" s="89"/>
      <c r="I4941" s="90"/>
      <c r="J4941" s="88" t="s">
        <v>887</v>
      </c>
      <c r="K4941" s="89"/>
      <c r="L4941" s="89"/>
      <c r="M4941" s="90"/>
      <c r="N4941" s="88" t="s">
        <v>22</v>
      </c>
      <c r="O4941" s="89"/>
      <c r="P4941" s="90"/>
      <c r="Q4941" s="133">
        <v>1496</v>
      </c>
      <c r="R4941" s="134"/>
      <c r="S4941" s="5" t="s">
        <v>945</v>
      </c>
      <c r="T4941" s="8">
        <v>2090</v>
      </c>
      <c r="U4941" s="8">
        <v>2</v>
      </c>
      <c r="V4941" s="5" t="s">
        <v>23</v>
      </c>
      <c r="W4941" s="12">
        <v>3245209</v>
      </c>
      <c r="X4941" s="6"/>
      <c r="Y4941" s="6"/>
    </row>
    <row r="4942" spans="1:25" ht="15" customHeight="1" x14ac:dyDescent="0.2">
      <c r="A4942" s="88" t="s">
        <v>5555</v>
      </c>
      <c r="B4942" s="90"/>
      <c r="C4942" s="88" t="s">
        <v>6099</v>
      </c>
      <c r="D4942" s="90"/>
      <c r="E4942" s="88" t="s">
        <v>6100</v>
      </c>
      <c r="F4942" s="89"/>
      <c r="G4942" s="89"/>
      <c r="H4942" s="89"/>
      <c r="I4942" s="90"/>
      <c r="J4942" s="88" t="s">
        <v>887</v>
      </c>
      <c r="K4942" s="89"/>
      <c r="L4942" s="89"/>
      <c r="M4942" s="90"/>
      <c r="N4942" s="88" t="s">
        <v>26</v>
      </c>
      <c r="O4942" s="89"/>
      <c r="P4942" s="90"/>
      <c r="Q4942" s="133">
        <v>1495</v>
      </c>
      <c r="R4942" s="134"/>
      <c r="S4942" s="5" t="s">
        <v>814</v>
      </c>
      <c r="T4942" s="8">
        <v>2100</v>
      </c>
      <c r="U4942" s="8">
        <v>2</v>
      </c>
      <c r="V4942" s="5" t="s">
        <v>23</v>
      </c>
      <c r="W4942" s="12">
        <v>2806823</v>
      </c>
      <c r="X4942" s="6"/>
      <c r="Y4942" s="6"/>
    </row>
    <row r="4943" spans="1:25" ht="15" customHeight="1" x14ac:dyDescent="0.2">
      <c r="A4943" s="88" t="s">
        <v>5555</v>
      </c>
      <c r="B4943" s="90"/>
      <c r="C4943" s="88" t="s">
        <v>6101</v>
      </c>
      <c r="D4943" s="90"/>
      <c r="E4943" s="88" t="s">
        <v>6098</v>
      </c>
      <c r="F4943" s="89"/>
      <c r="G4943" s="89"/>
      <c r="H4943" s="89"/>
      <c r="I4943" s="90"/>
      <c r="J4943" s="88" t="s">
        <v>887</v>
      </c>
      <c r="K4943" s="89"/>
      <c r="L4943" s="89"/>
      <c r="M4943" s="90"/>
      <c r="N4943" s="88" t="s">
        <v>22</v>
      </c>
      <c r="O4943" s="89"/>
      <c r="P4943" s="90"/>
      <c r="Q4943" s="133">
        <v>1496</v>
      </c>
      <c r="R4943" s="134"/>
      <c r="S4943" s="5" t="s">
        <v>945</v>
      </c>
      <c r="T4943" s="8">
        <v>2090</v>
      </c>
      <c r="U4943" s="8">
        <v>2</v>
      </c>
      <c r="V4943" s="5" t="s">
        <v>23</v>
      </c>
      <c r="W4943" s="12">
        <v>3569729</v>
      </c>
      <c r="X4943" s="6"/>
      <c r="Y4943" s="6"/>
    </row>
    <row r="4944" spans="1:25" ht="15" customHeight="1" x14ac:dyDescent="0.2">
      <c r="A4944" s="88" t="s">
        <v>5555</v>
      </c>
      <c r="B4944" s="90"/>
      <c r="C4944" s="88" t="s">
        <v>6102</v>
      </c>
      <c r="D4944" s="90"/>
      <c r="E4944" s="88" t="s">
        <v>6103</v>
      </c>
      <c r="F4944" s="89"/>
      <c r="G4944" s="89"/>
      <c r="H4944" s="89"/>
      <c r="I4944" s="90"/>
      <c r="J4944" s="88" t="s">
        <v>887</v>
      </c>
      <c r="K4944" s="89"/>
      <c r="L4944" s="89"/>
      <c r="M4944" s="90"/>
      <c r="N4944" s="88" t="s">
        <v>26</v>
      </c>
      <c r="O4944" s="89"/>
      <c r="P4944" s="90"/>
      <c r="Q4944" s="133">
        <v>1496</v>
      </c>
      <c r="R4944" s="134"/>
      <c r="S4944" s="5" t="s">
        <v>814</v>
      </c>
      <c r="T4944" s="8">
        <v>2160</v>
      </c>
      <c r="U4944" s="8">
        <v>5</v>
      </c>
      <c r="V4944" s="5" t="s">
        <v>23</v>
      </c>
      <c r="W4944" s="12">
        <v>3577502</v>
      </c>
      <c r="X4944" s="6"/>
      <c r="Y4944" s="6"/>
    </row>
    <row r="4945" spans="1:25" ht="15" customHeight="1" x14ac:dyDescent="0.2">
      <c r="A4945" s="88" t="s">
        <v>5555</v>
      </c>
      <c r="B4945" s="90"/>
      <c r="C4945" s="88" t="s">
        <v>6104</v>
      </c>
      <c r="D4945" s="90"/>
      <c r="E4945" s="88" t="s">
        <v>6100</v>
      </c>
      <c r="F4945" s="89"/>
      <c r="G4945" s="89"/>
      <c r="H4945" s="89"/>
      <c r="I4945" s="90"/>
      <c r="J4945" s="88" t="s">
        <v>887</v>
      </c>
      <c r="K4945" s="89"/>
      <c r="L4945" s="89"/>
      <c r="M4945" s="90"/>
      <c r="N4945" s="88" t="s">
        <v>26</v>
      </c>
      <c r="O4945" s="89"/>
      <c r="P4945" s="90"/>
      <c r="Q4945" s="133">
        <v>1495</v>
      </c>
      <c r="R4945" s="134"/>
      <c r="S4945" s="5" t="s">
        <v>814</v>
      </c>
      <c r="T4945" s="8">
        <v>2090</v>
      </c>
      <c r="U4945" s="8">
        <v>5</v>
      </c>
      <c r="V4945" s="5" t="s">
        <v>23</v>
      </c>
      <c r="W4945" s="12">
        <v>2825267</v>
      </c>
      <c r="X4945" s="6"/>
      <c r="Y4945" s="6"/>
    </row>
    <row r="4946" spans="1:25" ht="15" customHeight="1" x14ac:dyDescent="0.2">
      <c r="A4946" s="88" t="s">
        <v>5555</v>
      </c>
      <c r="B4946" s="90"/>
      <c r="C4946" s="88" t="s">
        <v>6105</v>
      </c>
      <c r="D4946" s="90"/>
      <c r="E4946" s="88" t="s">
        <v>6106</v>
      </c>
      <c r="F4946" s="89"/>
      <c r="G4946" s="89"/>
      <c r="H4946" s="89"/>
      <c r="I4946" s="90"/>
      <c r="J4946" s="88" t="s">
        <v>887</v>
      </c>
      <c r="K4946" s="89"/>
      <c r="L4946" s="89"/>
      <c r="M4946" s="90"/>
      <c r="N4946" s="88" t="s">
        <v>22</v>
      </c>
      <c r="O4946" s="89"/>
      <c r="P4946" s="90"/>
      <c r="Q4946" s="133">
        <v>1496</v>
      </c>
      <c r="R4946" s="134"/>
      <c r="S4946" s="5" t="s">
        <v>945</v>
      </c>
      <c r="T4946" s="8">
        <v>2210</v>
      </c>
      <c r="U4946" s="8">
        <v>2</v>
      </c>
      <c r="V4946" s="5" t="s">
        <v>23</v>
      </c>
      <c r="W4946" s="12">
        <v>3697159</v>
      </c>
      <c r="X4946" s="6"/>
      <c r="Y4946" s="6"/>
    </row>
    <row r="4947" spans="1:25" ht="15" customHeight="1" x14ac:dyDescent="0.2">
      <c r="A4947" s="88" t="s">
        <v>5555</v>
      </c>
      <c r="B4947" s="90"/>
      <c r="C4947" s="88" t="s">
        <v>6107</v>
      </c>
      <c r="D4947" s="90"/>
      <c r="E4947" s="88" t="s">
        <v>6103</v>
      </c>
      <c r="F4947" s="89"/>
      <c r="G4947" s="89"/>
      <c r="H4947" s="89"/>
      <c r="I4947" s="90"/>
      <c r="J4947" s="88" t="s">
        <v>887</v>
      </c>
      <c r="K4947" s="89"/>
      <c r="L4947" s="89"/>
      <c r="M4947" s="90"/>
      <c r="N4947" s="88" t="s">
        <v>22</v>
      </c>
      <c r="O4947" s="89"/>
      <c r="P4947" s="90"/>
      <c r="Q4947" s="133">
        <v>1496</v>
      </c>
      <c r="R4947" s="134"/>
      <c r="S4947" s="5" t="s">
        <v>814</v>
      </c>
      <c r="T4947" s="8">
        <v>2160</v>
      </c>
      <c r="U4947" s="8">
        <v>5</v>
      </c>
      <c r="V4947" s="5" t="s">
        <v>23</v>
      </c>
      <c r="W4947" s="12">
        <v>3935253</v>
      </c>
      <c r="X4947" s="6"/>
      <c r="Y4947" s="6"/>
    </row>
    <row r="4948" spans="1:25" ht="30" customHeight="1" x14ac:dyDescent="0.2">
      <c r="A4948" s="88" t="s">
        <v>5555</v>
      </c>
      <c r="B4948" s="90"/>
      <c r="C4948" s="97" t="s">
        <v>6108</v>
      </c>
      <c r="D4948" s="99"/>
      <c r="E4948" s="88" t="s">
        <v>6109</v>
      </c>
      <c r="F4948" s="89"/>
      <c r="G4948" s="89"/>
      <c r="H4948" s="89"/>
      <c r="I4948" s="90"/>
      <c r="J4948" s="88" t="s">
        <v>887</v>
      </c>
      <c r="K4948" s="89"/>
      <c r="L4948" s="89"/>
      <c r="M4948" s="90"/>
      <c r="N4948" s="88" t="s">
        <v>26</v>
      </c>
      <c r="O4948" s="89"/>
      <c r="P4948" s="90"/>
      <c r="Q4948" s="133">
        <v>1496</v>
      </c>
      <c r="R4948" s="134"/>
      <c r="S4948" s="5" t="s">
        <v>945</v>
      </c>
      <c r="T4948" s="8">
        <v>2250</v>
      </c>
      <c r="U4948" s="8">
        <v>2</v>
      </c>
      <c r="V4948" s="5" t="s">
        <v>23</v>
      </c>
      <c r="W4948" s="12">
        <v>5652210</v>
      </c>
      <c r="X4948" s="4"/>
      <c r="Y4948" s="4"/>
    </row>
    <row r="4949" spans="1:25" ht="15" customHeight="1" x14ac:dyDescent="0.2">
      <c r="A4949" s="88" t="s">
        <v>5555</v>
      </c>
      <c r="B4949" s="90"/>
      <c r="C4949" s="88" t="s">
        <v>6110</v>
      </c>
      <c r="D4949" s="90"/>
      <c r="E4949" s="88" t="s">
        <v>6106</v>
      </c>
      <c r="F4949" s="89"/>
      <c r="G4949" s="89"/>
      <c r="H4949" s="89"/>
      <c r="I4949" s="90"/>
      <c r="J4949" s="88" t="s">
        <v>887</v>
      </c>
      <c r="K4949" s="89"/>
      <c r="L4949" s="89"/>
      <c r="M4949" s="90"/>
      <c r="N4949" s="88" t="s">
        <v>22</v>
      </c>
      <c r="O4949" s="89"/>
      <c r="P4949" s="90"/>
      <c r="Q4949" s="133">
        <v>1496</v>
      </c>
      <c r="R4949" s="134"/>
      <c r="S4949" s="5" t="s">
        <v>945</v>
      </c>
      <c r="T4949" s="8">
        <v>2150</v>
      </c>
      <c r="U4949" s="8">
        <v>3</v>
      </c>
      <c r="V4949" s="5" t="s">
        <v>23</v>
      </c>
      <c r="W4949" s="12">
        <v>3361053</v>
      </c>
      <c r="X4949" s="6"/>
      <c r="Y4949" s="6"/>
    </row>
    <row r="4950" spans="1:25" ht="15" customHeight="1" x14ac:dyDescent="0.2">
      <c r="A4950" s="88" t="s">
        <v>5555</v>
      </c>
      <c r="B4950" s="90"/>
      <c r="C4950" s="88" t="s">
        <v>6111</v>
      </c>
      <c r="D4950" s="90"/>
      <c r="E4950" s="88" t="s">
        <v>6112</v>
      </c>
      <c r="F4950" s="89"/>
      <c r="G4950" s="89"/>
      <c r="H4950" s="89"/>
      <c r="I4950" s="90"/>
      <c r="J4950" s="88" t="s">
        <v>887</v>
      </c>
      <c r="K4950" s="89"/>
      <c r="L4950" s="89"/>
      <c r="M4950" s="90"/>
      <c r="N4950" s="88" t="s">
        <v>26</v>
      </c>
      <c r="O4950" s="89"/>
      <c r="P4950" s="90"/>
      <c r="Q4950" s="133">
        <v>1495</v>
      </c>
      <c r="R4950" s="134"/>
      <c r="S4950" s="5" t="s">
        <v>945</v>
      </c>
      <c r="T4950" s="8">
        <v>2130</v>
      </c>
      <c r="U4950" s="8">
        <v>2</v>
      </c>
      <c r="V4950" s="5" t="s">
        <v>106</v>
      </c>
      <c r="W4950" s="12">
        <v>3039886</v>
      </c>
      <c r="X4950" s="6"/>
      <c r="Y4950" s="6"/>
    </row>
    <row r="4951" spans="1:25" ht="15" customHeight="1" x14ac:dyDescent="0.2">
      <c r="A4951" s="88" t="s">
        <v>5555</v>
      </c>
      <c r="B4951" s="90"/>
      <c r="C4951" s="88" t="s">
        <v>6113</v>
      </c>
      <c r="D4951" s="90"/>
      <c r="E4951" s="88" t="s">
        <v>6098</v>
      </c>
      <c r="F4951" s="89"/>
      <c r="G4951" s="89"/>
      <c r="H4951" s="89"/>
      <c r="I4951" s="90"/>
      <c r="J4951" s="88" t="s">
        <v>770</v>
      </c>
      <c r="K4951" s="89"/>
      <c r="L4951" s="89"/>
      <c r="M4951" s="90"/>
      <c r="N4951" s="88" t="s">
        <v>22</v>
      </c>
      <c r="O4951" s="89"/>
      <c r="P4951" s="90"/>
      <c r="Q4951" s="133">
        <v>1496</v>
      </c>
      <c r="R4951" s="134"/>
      <c r="S4951" s="5" t="s">
        <v>945</v>
      </c>
      <c r="T4951" s="8">
        <v>2090</v>
      </c>
      <c r="U4951" s="8">
        <v>2</v>
      </c>
      <c r="V4951" s="5" t="s">
        <v>23</v>
      </c>
      <c r="W4951" s="12">
        <v>3569729</v>
      </c>
      <c r="X4951" s="6"/>
      <c r="Y4951" s="6"/>
    </row>
    <row r="4952" spans="1:25" ht="15" customHeight="1" x14ac:dyDescent="0.2">
      <c r="A4952" s="88" t="s">
        <v>5555</v>
      </c>
      <c r="B4952" s="90"/>
      <c r="C4952" s="88" t="s">
        <v>6114</v>
      </c>
      <c r="D4952" s="90"/>
      <c r="E4952" s="88" t="s">
        <v>6115</v>
      </c>
      <c r="F4952" s="89"/>
      <c r="G4952" s="89"/>
      <c r="H4952" s="89"/>
      <c r="I4952" s="90"/>
      <c r="J4952" s="88" t="s">
        <v>1718</v>
      </c>
      <c r="K4952" s="89"/>
      <c r="L4952" s="89"/>
      <c r="M4952" s="90"/>
      <c r="N4952" s="88" t="s">
        <v>26</v>
      </c>
      <c r="O4952" s="89"/>
      <c r="P4952" s="90"/>
      <c r="Q4952" s="133">
        <v>4009</v>
      </c>
      <c r="R4952" s="134"/>
      <c r="S4952" s="5" t="s">
        <v>945</v>
      </c>
      <c r="T4952" s="8">
        <v>7865</v>
      </c>
      <c r="U4952" s="8">
        <v>3</v>
      </c>
      <c r="V4952" s="5" t="s">
        <v>106</v>
      </c>
      <c r="W4952" s="12">
        <v>9749406</v>
      </c>
      <c r="X4952" s="6"/>
      <c r="Y4952" s="6"/>
    </row>
    <row r="4953" spans="1:25" ht="15" customHeight="1" x14ac:dyDescent="0.2">
      <c r="A4953" s="88" t="s">
        <v>5555</v>
      </c>
      <c r="B4953" s="90"/>
      <c r="C4953" s="88" t="s">
        <v>6116</v>
      </c>
      <c r="D4953" s="90"/>
      <c r="E4953" s="88" t="s">
        <v>6117</v>
      </c>
      <c r="F4953" s="89"/>
      <c r="G4953" s="89"/>
      <c r="H4953" s="89"/>
      <c r="I4953" s="90"/>
      <c r="J4953" s="88" t="s">
        <v>3559</v>
      </c>
      <c r="K4953" s="89"/>
      <c r="L4953" s="89"/>
      <c r="M4953" s="90"/>
      <c r="N4953" s="88" t="s">
        <v>22</v>
      </c>
      <c r="O4953" s="89"/>
      <c r="P4953" s="90"/>
      <c r="Q4953" s="133">
        <v>4009</v>
      </c>
      <c r="R4953" s="134"/>
      <c r="S4953" s="5" t="s">
        <v>945</v>
      </c>
      <c r="T4953" s="8">
        <v>5115</v>
      </c>
      <c r="U4953" s="8">
        <v>3</v>
      </c>
      <c r="V4953" s="5" t="s">
        <v>106</v>
      </c>
      <c r="W4953" s="12">
        <v>8558239</v>
      </c>
      <c r="X4953" s="6"/>
      <c r="Y4953" s="6"/>
    </row>
    <row r="4954" spans="1:25" ht="15" customHeight="1" x14ac:dyDescent="0.2">
      <c r="A4954" s="88" t="s">
        <v>5555</v>
      </c>
      <c r="B4954" s="90"/>
      <c r="C4954" s="88" t="s">
        <v>6118</v>
      </c>
      <c r="D4954" s="90"/>
      <c r="E4954" s="88" t="s">
        <v>6119</v>
      </c>
      <c r="F4954" s="89"/>
      <c r="G4954" s="89"/>
      <c r="H4954" s="89"/>
      <c r="I4954" s="90"/>
      <c r="J4954" s="88" t="s">
        <v>1718</v>
      </c>
      <c r="K4954" s="89"/>
      <c r="L4954" s="89"/>
      <c r="M4954" s="90"/>
      <c r="N4954" s="88" t="s">
        <v>26</v>
      </c>
      <c r="O4954" s="89"/>
      <c r="P4954" s="90"/>
      <c r="Q4954" s="133">
        <v>4009</v>
      </c>
      <c r="R4954" s="134"/>
      <c r="S4954" s="5" t="s">
        <v>945</v>
      </c>
      <c r="T4954" s="8">
        <v>4985</v>
      </c>
      <c r="U4954" s="8">
        <v>3</v>
      </c>
      <c r="V4954" s="5" t="s">
        <v>106</v>
      </c>
      <c r="W4954" s="12">
        <v>7983614</v>
      </c>
      <c r="X4954" s="6"/>
      <c r="Y4954" s="6"/>
    </row>
    <row r="4955" spans="1:25" ht="15" customHeight="1" x14ac:dyDescent="0.2">
      <c r="A4955" s="88" t="s">
        <v>5555</v>
      </c>
      <c r="B4955" s="90"/>
      <c r="C4955" s="88" t="s">
        <v>6118</v>
      </c>
      <c r="D4955" s="90"/>
      <c r="E4955" s="88" t="s">
        <v>6120</v>
      </c>
      <c r="F4955" s="89"/>
      <c r="G4955" s="89"/>
      <c r="H4955" s="89"/>
      <c r="I4955" s="90"/>
      <c r="J4955" s="88" t="s">
        <v>2179</v>
      </c>
      <c r="K4955" s="89"/>
      <c r="L4955" s="89"/>
      <c r="M4955" s="90"/>
      <c r="N4955" s="88" t="s">
        <v>22</v>
      </c>
      <c r="O4955" s="89"/>
      <c r="P4955" s="90"/>
      <c r="Q4955" s="133">
        <v>4009</v>
      </c>
      <c r="R4955" s="134"/>
      <c r="S4955" s="5" t="s">
        <v>945</v>
      </c>
      <c r="T4955" s="8">
        <v>4865</v>
      </c>
      <c r="U4955" s="8">
        <v>3</v>
      </c>
      <c r="V4955" s="5" t="s">
        <v>106</v>
      </c>
      <c r="W4955" s="12">
        <v>7340873</v>
      </c>
      <c r="X4955" s="6"/>
      <c r="Y4955" s="6"/>
    </row>
    <row r="4956" spans="1:25" ht="15" customHeight="1" x14ac:dyDescent="0.2">
      <c r="A4956" s="88" t="s">
        <v>5555</v>
      </c>
      <c r="B4956" s="90"/>
      <c r="C4956" s="88" t="s">
        <v>6121</v>
      </c>
      <c r="D4956" s="90"/>
      <c r="E4956" s="88" t="s">
        <v>6122</v>
      </c>
      <c r="F4956" s="89"/>
      <c r="G4956" s="89"/>
      <c r="H4956" s="89"/>
      <c r="I4956" s="90"/>
      <c r="J4956" s="88" t="s">
        <v>963</v>
      </c>
      <c r="K4956" s="89"/>
      <c r="L4956" s="89"/>
      <c r="M4956" s="90"/>
      <c r="N4956" s="88" t="s">
        <v>26</v>
      </c>
      <c r="O4956" s="89"/>
      <c r="P4956" s="90"/>
      <c r="Q4956" s="133">
        <v>2982</v>
      </c>
      <c r="R4956" s="134"/>
      <c r="S4956" s="5" t="s">
        <v>945</v>
      </c>
      <c r="T4956" s="8">
        <v>3435</v>
      </c>
      <c r="U4956" s="8">
        <v>3</v>
      </c>
      <c r="V4956" s="5" t="s">
        <v>106</v>
      </c>
      <c r="W4956" s="12">
        <v>5180354</v>
      </c>
      <c r="X4956" s="6"/>
      <c r="Y4956" s="6"/>
    </row>
    <row r="4957" spans="1:25" ht="15" customHeight="1" x14ac:dyDescent="0.2">
      <c r="A4957" s="88" t="s">
        <v>5555</v>
      </c>
      <c r="B4957" s="90"/>
      <c r="C4957" s="88" t="s">
        <v>6121</v>
      </c>
      <c r="D4957" s="90"/>
      <c r="E4957" s="88" t="s">
        <v>6123</v>
      </c>
      <c r="F4957" s="89"/>
      <c r="G4957" s="89"/>
      <c r="H4957" s="89"/>
      <c r="I4957" s="90"/>
      <c r="J4957" s="88" t="s">
        <v>2179</v>
      </c>
      <c r="K4957" s="89"/>
      <c r="L4957" s="89"/>
      <c r="M4957" s="90"/>
      <c r="N4957" s="88" t="s">
        <v>22</v>
      </c>
      <c r="O4957" s="89"/>
      <c r="P4957" s="90"/>
      <c r="Q4957" s="133">
        <v>4009</v>
      </c>
      <c r="R4957" s="134"/>
      <c r="S4957" s="5" t="s">
        <v>945</v>
      </c>
      <c r="T4957" s="8">
        <v>4515</v>
      </c>
      <c r="U4957" s="8">
        <v>3</v>
      </c>
      <c r="V4957" s="5" t="s">
        <v>106</v>
      </c>
      <c r="W4957" s="12">
        <v>7148749</v>
      </c>
      <c r="X4957" s="6"/>
      <c r="Y4957" s="6"/>
    </row>
    <row r="4958" spans="1:25" ht="15" customHeight="1" x14ac:dyDescent="0.2">
      <c r="A4958" s="88" t="s">
        <v>5555</v>
      </c>
      <c r="B4958" s="90"/>
      <c r="C4958" s="88" t="s">
        <v>6124</v>
      </c>
      <c r="D4958" s="90"/>
      <c r="E4958" s="88" t="s">
        <v>5744</v>
      </c>
      <c r="F4958" s="89"/>
      <c r="G4958" s="89"/>
      <c r="H4958" s="89"/>
      <c r="I4958" s="90"/>
      <c r="J4958" s="88" t="s">
        <v>963</v>
      </c>
      <c r="K4958" s="89"/>
      <c r="L4958" s="89"/>
      <c r="M4958" s="90"/>
      <c r="N4958" s="88" t="s">
        <v>26</v>
      </c>
      <c r="O4958" s="89"/>
      <c r="P4958" s="90"/>
      <c r="Q4958" s="133">
        <v>1496</v>
      </c>
      <c r="R4958" s="134"/>
      <c r="S4958" s="5" t="s">
        <v>16</v>
      </c>
      <c r="T4958" s="8">
        <v>1355</v>
      </c>
      <c r="U4958" s="8">
        <v>5</v>
      </c>
      <c r="V4958" s="5" t="s">
        <v>23</v>
      </c>
      <c r="W4958" s="12">
        <v>2929223</v>
      </c>
      <c r="X4958" s="6"/>
      <c r="Y4958" s="6"/>
    </row>
    <row r="4959" spans="1:25" ht="15" customHeight="1" x14ac:dyDescent="0.2">
      <c r="A4959" s="88" t="s">
        <v>5555</v>
      </c>
      <c r="B4959" s="90"/>
      <c r="C4959" s="88" t="s">
        <v>6124</v>
      </c>
      <c r="D4959" s="90"/>
      <c r="E4959" s="88" t="s">
        <v>5742</v>
      </c>
      <c r="F4959" s="89"/>
      <c r="G4959" s="89"/>
      <c r="H4959" s="89"/>
      <c r="I4959" s="90"/>
      <c r="J4959" s="88" t="s">
        <v>963</v>
      </c>
      <c r="K4959" s="89"/>
      <c r="L4959" s="89"/>
      <c r="M4959" s="90"/>
      <c r="N4959" s="88" t="s">
        <v>26</v>
      </c>
      <c r="O4959" s="89"/>
      <c r="P4959" s="90"/>
      <c r="Q4959" s="133">
        <v>1496</v>
      </c>
      <c r="R4959" s="134"/>
      <c r="S4959" s="5" t="s">
        <v>16</v>
      </c>
      <c r="T4959" s="8">
        <v>1355</v>
      </c>
      <c r="U4959" s="8">
        <v>5</v>
      </c>
      <c r="V4959" s="5" t="s">
        <v>23</v>
      </c>
      <c r="W4959" s="12">
        <v>2912456</v>
      </c>
      <c r="X4959" s="6"/>
      <c r="Y4959" s="6"/>
    </row>
    <row r="4960" spans="1:25" ht="15" customHeight="1" x14ac:dyDescent="0.2">
      <c r="A4960" s="88" t="s">
        <v>5555</v>
      </c>
      <c r="B4960" s="90"/>
      <c r="C4960" s="88" t="s">
        <v>6125</v>
      </c>
      <c r="D4960" s="90"/>
      <c r="E4960" s="88" t="s">
        <v>6126</v>
      </c>
      <c r="F4960" s="89"/>
      <c r="G4960" s="89"/>
      <c r="H4960" s="89"/>
      <c r="I4960" s="90"/>
      <c r="J4960" s="88" t="s">
        <v>770</v>
      </c>
      <c r="K4960" s="89"/>
      <c r="L4960" s="89"/>
      <c r="M4960" s="90"/>
      <c r="N4960" s="88" t="s">
        <v>26</v>
      </c>
      <c r="O4960" s="89"/>
      <c r="P4960" s="90"/>
      <c r="Q4960" s="133">
        <v>2493</v>
      </c>
      <c r="R4960" s="134"/>
      <c r="S4960" s="5" t="s">
        <v>814</v>
      </c>
      <c r="T4960" s="8">
        <v>2355</v>
      </c>
      <c r="U4960" s="8">
        <v>7</v>
      </c>
      <c r="V4960" s="5" t="s">
        <v>23</v>
      </c>
      <c r="W4960" s="12">
        <v>7520771</v>
      </c>
      <c r="X4960" s="6"/>
      <c r="Y4960" s="6"/>
    </row>
    <row r="4961" spans="1:25" ht="15" customHeight="1" x14ac:dyDescent="0.2">
      <c r="A4961" s="88" t="s">
        <v>5555</v>
      </c>
      <c r="B4961" s="90"/>
      <c r="C4961" s="88" t="s">
        <v>6127</v>
      </c>
      <c r="D4961" s="90"/>
      <c r="E4961" s="88" t="s">
        <v>6128</v>
      </c>
      <c r="F4961" s="89"/>
      <c r="G4961" s="89"/>
      <c r="H4961" s="89"/>
      <c r="I4961" s="90"/>
      <c r="J4961" s="88" t="s">
        <v>770</v>
      </c>
      <c r="K4961" s="89"/>
      <c r="L4961" s="89"/>
      <c r="M4961" s="90"/>
      <c r="N4961" s="88" t="s">
        <v>26</v>
      </c>
      <c r="O4961" s="89"/>
      <c r="P4961" s="90"/>
      <c r="Q4961" s="133">
        <v>2393</v>
      </c>
      <c r="R4961" s="134"/>
      <c r="S4961" s="5" t="s">
        <v>814</v>
      </c>
      <c r="T4961" s="8">
        <v>2565</v>
      </c>
      <c r="U4961" s="8">
        <v>7</v>
      </c>
      <c r="V4961" s="5" t="s">
        <v>23</v>
      </c>
      <c r="W4961" s="12">
        <v>11440095</v>
      </c>
      <c r="X4961" s="6"/>
      <c r="Y4961" s="6"/>
    </row>
    <row r="4962" spans="1:25" ht="15" customHeight="1" x14ac:dyDescent="0.2">
      <c r="A4962" s="88" t="s">
        <v>5555</v>
      </c>
      <c r="B4962" s="90"/>
      <c r="C4962" s="88" t="s">
        <v>6129</v>
      </c>
      <c r="D4962" s="90"/>
      <c r="E4962" s="88" t="s">
        <v>6130</v>
      </c>
      <c r="F4962" s="89"/>
      <c r="G4962" s="89"/>
      <c r="H4962" s="89"/>
      <c r="I4962" s="90"/>
      <c r="J4962" s="88" t="s">
        <v>770</v>
      </c>
      <c r="K4962" s="89"/>
      <c r="L4962" s="89"/>
      <c r="M4962" s="90"/>
      <c r="N4962" s="88" t="s">
        <v>701</v>
      </c>
      <c r="O4962" s="89"/>
      <c r="P4962" s="90"/>
      <c r="Q4962" s="133">
        <v>3456</v>
      </c>
      <c r="R4962" s="134"/>
      <c r="S4962" s="5" t="s">
        <v>814</v>
      </c>
      <c r="T4962" s="8">
        <v>2455</v>
      </c>
      <c r="U4962" s="8">
        <v>7</v>
      </c>
      <c r="V4962" s="5" t="s">
        <v>23</v>
      </c>
      <c r="W4962" s="12">
        <v>8033594</v>
      </c>
      <c r="X4962" s="6"/>
      <c r="Y4962" s="6"/>
    </row>
    <row r="4963" spans="1:25" ht="15" customHeight="1" x14ac:dyDescent="0.2">
      <c r="A4963" s="88" t="s">
        <v>5555</v>
      </c>
      <c r="B4963" s="90"/>
      <c r="C4963" s="88" t="s">
        <v>6131</v>
      </c>
      <c r="D4963" s="90"/>
      <c r="E4963" s="88" t="s">
        <v>6132</v>
      </c>
      <c r="F4963" s="89"/>
      <c r="G4963" s="89"/>
      <c r="H4963" s="89"/>
      <c r="I4963" s="90"/>
      <c r="J4963" s="88" t="s">
        <v>770</v>
      </c>
      <c r="K4963" s="89"/>
      <c r="L4963" s="89"/>
      <c r="M4963" s="90"/>
      <c r="N4963" s="88" t="s">
        <v>26</v>
      </c>
      <c r="O4963" s="89"/>
      <c r="P4963" s="90"/>
      <c r="Q4963" s="133">
        <v>2493</v>
      </c>
      <c r="R4963" s="134"/>
      <c r="S4963" s="5" t="s">
        <v>814</v>
      </c>
      <c r="T4963" s="8">
        <v>2355</v>
      </c>
      <c r="U4963" s="8">
        <v>5</v>
      </c>
      <c r="V4963" s="5" t="s">
        <v>23</v>
      </c>
      <c r="W4963" s="12">
        <v>7405497</v>
      </c>
      <c r="X4963" s="6"/>
      <c r="Y4963" s="6"/>
    </row>
    <row r="4964" spans="1:25" ht="15" customHeight="1" x14ac:dyDescent="0.2">
      <c r="A4964" s="88" t="s">
        <v>5555</v>
      </c>
      <c r="B4964" s="90"/>
      <c r="C4964" s="88" t="s">
        <v>6133</v>
      </c>
      <c r="D4964" s="90"/>
      <c r="E4964" s="88" t="s">
        <v>6134</v>
      </c>
      <c r="F4964" s="89"/>
      <c r="G4964" s="89"/>
      <c r="H4964" s="89"/>
      <c r="I4964" s="90"/>
      <c r="J4964" s="88" t="s">
        <v>770</v>
      </c>
      <c r="K4964" s="89"/>
      <c r="L4964" s="89"/>
      <c r="M4964" s="90"/>
      <c r="N4964" s="88" t="s">
        <v>26</v>
      </c>
      <c r="O4964" s="89"/>
      <c r="P4964" s="90"/>
      <c r="Q4964" s="133">
        <v>3456</v>
      </c>
      <c r="R4964" s="134"/>
      <c r="S4964" s="5" t="s">
        <v>814</v>
      </c>
      <c r="T4964" s="8">
        <v>2475</v>
      </c>
      <c r="U4964" s="8">
        <v>5</v>
      </c>
      <c r="V4964" s="5" t="s">
        <v>23</v>
      </c>
      <c r="W4964" s="12">
        <v>9019971</v>
      </c>
      <c r="X4964" s="6"/>
      <c r="Y4964" s="6"/>
    </row>
    <row r="4965" spans="1:25" ht="15" customHeight="1" x14ac:dyDescent="0.2">
      <c r="A4965" s="88" t="s">
        <v>5555</v>
      </c>
      <c r="B4965" s="90"/>
      <c r="C4965" s="88" t="s">
        <v>6133</v>
      </c>
      <c r="D4965" s="90"/>
      <c r="E4965" s="88" t="s">
        <v>6135</v>
      </c>
      <c r="F4965" s="89"/>
      <c r="G4965" s="89"/>
      <c r="H4965" s="89"/>
      <c r="I4965" s="90"/>
      <c r="J4965" s="88" t="s">
        <v>770</v>
      </c>
      <c r="K4965" s="89"/>
      <c r="L4965" s="89"/>
      <c r="M4965" s="90"/>
      <c r="N4965" s="88" t="s">
        <v>26</v>
      </c>
      <c r="O4965" s="89"/>
      <c r="P4965" s="90"/>
      <c r="Q4965" s="133">
        <v>3456</v>
      </c>
      <c r="R4965" s="134"/>
      <c r="S4965" s="5" t="s">
        <v>814</v>
      </c>
      <c r="T4965" s="8">
        <v>2475</v>
      </c>
      <c r="U4965" s="8">
        <v>7</v>
      </c>
      <c r="V4965" s="5" t="s">
        <v>23</v>
      </c>
      <c r="W4965" s="12">
        <v>8678893</v>
      </c>
      <c r="X4965" s="6"/>
      <c r="Y4965" s="6"/>
    </row>
    <row r="4966" spans="1:25" ht="15" customHeight="1" x14ac:dyDescent="0.2">
      <c r="A4966" s="88" t="s">
        <v>5555</v>
      </c>
      <c r="B4966" s="90"/>
      <c r="C4966" s="88" t="s">
        <v>6136</v>
      </c>
      <c r="D4966" s="90"/>
      <c r="E4966" s="88" t="s">
        <v>5872</v>
      </c>
      <c r="F4966" s="89"/>
      <c r="G4966" s="89"/>
      <c r="H4966" s="89"/>
      <c r="I4966" s="90"/>
      <c r="J4966" s="88" t="s">
        <v>770</v>
      </c>
      <c r="K4966" s="89"/>
      <c r="L4966" s="89"/>
      <c r="M4966" s="90"/>
      <c r="N4966" s="88" t="s">
        <v>26</v>
      </c>
      <c r="O4966" s="89"/>
      <c r="P4966" s="90"/>
      <c r="Q4966" s="133">
        <v>1496</v>
      </c>
      <c r="R4966" s="134"/>
      <c r="S4966" s="5" t="s">
        <v>16</v>
      </c>
      <c r="T4966" s="8">
        <v>1445</v>
      </c>
      <c r="U4966" s="8">
        <v>5</v>
      </c>
      <c r="V4966" s="5" t="s">
        <v>23</v>
      </c>
      <c r="W4966" s="12">
        <v>3440622</v>
      </c>
      <c r="X4966" s="6"/>
      <c r="Y4966" s="6"/>
    </row>
    <row r="4967" spans="1:25" ht="15" customHeight="1" x14ac:dyDescent="0.2">
      <c r="A4967" s="88" t="s">
        <v>5555</v>
      </c>
      <c r="B4967" s="90"/>
      <c r="C4967" s="88" t="s">
        <v>6137</v>
      </c>
      <c r="D4967" s="90"/>
      <c r="E4967" s="88" t="s">
        <v>6138</v>
      </c>
      <c r="F4967" s="89"/>
      <c r="G4967" s="89"/>
      <c r="H4967" s="89"/>
      <c r="I4967" s="90"/>
      <c r="J4967" s="88" t="s">
        <v>770</v>
      </c>
      <c r="K4967" s="89"/>
      <c r="L4967" s="89"/>
      <c r="M4967" s="90"/>
      <c r="N4967" s="88" t="s">
        <v>26</v>
      </c>
      <c r="O4967" s="89"/>
      <c r="P4967" s="90"/>
      <c r="Q4967" s="133">
        <v>1496</v>
      </c>
      <c r="R4967" s="134"/>
      <c r="S4967" s="5" t="s">
        <v>16</v>
      </c>
      <c r="T4967" s="8">
        <v>1385</v>
      </c>
      <c r="U4967" s="8">
        <v>5</v>
      </c>
      <c r="V4967" s="5" t="s">
        <v>23</v>
      </c>
      <c r="W4967" s="12">
        <v>3251359</v>
      </c>
      <c r="X4967" s="6"/>
      <c r="Y4967" s="6"/>
    </row>
    <row r="4968" spans="1:25" ht="15" customHeight="1" x14ac:dyDescent="0.2">
      <c r="A4968" s="88" t="s">
        <v>5555</v>
      </c>
      <c r="B4968" s="90"/>
      <c r="C4968" s="88" t="s">
        <v>6139</v>
      </c>
      <c r="D4968" s="90"/>
      <c r="E4968" s="88" t="s">
        <v>6140</v>
      </c>
      <c r="F4968" s="89"/>
      <c r="G4968" s="89"/>
      <c r="H4968" s="89"/>
      <c r="I4968" s="90"/>
      <c r="J4968" s="88" t="s">
        <v>770</v>
      </c>
      <c r="K4968" s="89"/>
      <c r="L4968" s="89"/>
      <c r="M4968" s="90"/>
      <c r="N4968" s="88" t="s">
        <v>26</v>
      </c>
      <c r="O4968" s="89"/>
      <c r="P4968" s="90"/>
      <c r="Q4968" s="133">
        <v>1986</v>
      </c>
      <c r="R4968" s="134"/>
      <c r="S4968" s="5" t="s">
        <v>44</v>
      </c>
      <c r="T4968" s="8">
        <v>2065</v>
      </c>
      <c r="U4968" s="8">
        <v>7</v>
      </c>
      <c r="V4968" s="5" t="s">
        <v>23</v>
      </c>
      <c r="W4968" s="12">
        <v>5141930</v>
      </c>
      <c r="X4968" s="6"/>
      <c r="Y4968" s="6"/>
    </row>
    <row r="4969" spans="1:25" ht="15" customHeight="1" x14ac:dyDescent="0.2">
      <c r="A4969" s="88" t="s">
        <v>5555</v>
      </c>
      <c r="B4969" s="90"/>
      <c r="C4969" s="88" t="s">
        <v>6141</v>
      </c>
      <c r="D4969" s="90"/>
      <c r="E4969" s="88" t="s">
        <v>6142</v>
      </c>
      <c r="F4969" s="89"/>
      <c r="G4969" s="89"/>
      <c r="H4969" s="89"/>
      <c r="I4969" s="90"/>
      <c r="J4969" s="88" t="s">
        <v>770</v>
      </c>
      <c r="K4969" s="89"/>
      <c r="L4969" s="89"/>
      <c r="M4969" s="90"/>
      <c r="N4969" s="88" t="s">
        <v>26</v>
      </c>
      <c r="O4969" s="89"/>
      <c r="P4969" s="90"/>
      <c r="Q4969" s="133">
        <v>1797</v>
      </c>
      <c r="R4969" s="134"/>
      <c r="S4969" s="5" t="s">
        <v>44</v>
      </c>
      <c r="T4969" s="8">
        <v>2005</v>
      </c>
      <c r="U4969" s="8">
        <v>7</v>
      </c>
      <c r="V4969" s="5" t="s">
        <v>23</v>
      </c>
      <c r="W4969" s="12">
        <v>5314841</v>
      </c>
      <c r="X4969" s="6"/>
      <c r="Y4969" s="6"/>
    </row>
    <row r="4970" spans="1:25" ht="15" customHeight="1" x14ac:dyDescent="0.2">
      <c r="A4970" s="88" t="s">
        <v>5555</v>
      </c>
      <c r="B4970" s="90"/>
      <c r="C4970" s="88" t="s">
        <v>6141</v>
      </c>
      <c r="D4970" s="90"/>
      <c r="E4970" s="88" t="s">
        <v>6143</v>
      </c>
      <c r="F4970" s="89"/>
      <c r="G4970" s="89"/>
      <c r="H4970" s="89"/>
      <c r="I4970" s="90"/>
      <c r="J4970" s="88" t="s">
        <v>770</v>
      </c>
      <c r="K4970" s="89"/>
      <c r="L4970" s="89"/>
      <c r="M4970" s="90"/>
      <c r="N4970" s="88" t="s">
        <v>26</v>
      </c>
      <c r="O4970" s="89"/>
      <c r="P4970" s="90"/>
      <c r="Q4970" s="133">
        <v>1797</v>
      </c>
      <c r="R4970" s="134"/>
      <c r="S4970" s="5" t="s">
        <v>44</v>
      </c>
      <c r="T4970" s="8">
        <v>2005</v>
      </c>
      <c r="U4970" s="8">
        <v>7</v>
      </c>
      <c r="V4970" s="5" t="s">
        <v>23</v>
      </c>
      <c r="W4970" s="12">
        <v>5303643</v>
      </c>
      <c r="X4970" s="6"/>
      <c r="Y4970" s="6"/>
    </row>
    <row r="4971" spans="1:25" ht="15" customHeight="1" x14ac:dyDescent="0.2">
      <c r="A4971" s="88" t="s">
        <v>5555</v>
      </c>
      <c r="B4971" s="90"/>
      <c r="C4971" s="88" t="s">
        <v>6144</v>
      </c>
      <c r="D4971" s="90"/>
      <c r="E4971" s="88" t="s">
        <v>6145</v>
      </c>
      <c r="F4971" s="89"/>
      <c r="G4971" s="89"/>
      <c r="H4971" s="89"/>
      <c r="I4971" s="90"/>
      <c r="J4971" s="88" t="s">
        <v>770</v>
      </c>
      <c r="K4971" s="89"/>
      <c r="L4971" s="89"/>
      <c r="M4971" s="90"/>
      <c r="N4971" s="88" t="s">
        <v>26</v>
      </c>
      <c r="O4971" s="89"/>
      <c r="P4971" s="90"/>
      <c r="Q4971" s="133">
        <v>1797</v>
      </c>
      <c r="R4971" s="134"/>
      <c r="S4971" s="5" t="s">
        <v>44</v>
      </c>
      <c r="T4971" s="8">
        <v>2055</v>
      </c>
      <c r="U4971" s="8">
        <v>7</v>
      </c>
      <c r="V4971" s="5" t="s">
        <v>23</v>
      </c>
      <c r="W4971" s="12">
        <v>6532207</v>
      </c>
      <c r="X4971" s="6"/>
      <c r="Y4971" s="6"/>
    </row>
    <row r="4972" spans="1:25" ht="15" customHeight="1" x14ac:dyDescent="0.2">
      <c r="A4972" s="88" t="s">
        <v>5555</v>
      </c>
      <c r="B4972" s="90"/>
      <c r="C4972" s="88" t="s">
        <v>6146</v>
      </c>
      <c r="D4972" s="90"/>
      <c r="E4972" s="88" t="s">
        <v>6147</v>
      </c>
      <c r="F4972" s="89"/>
      <c r="G4972" s="89"/>
      <c r="H4972" s="89"/>
      <c r="I4972" s="90"/>
      <c r="J4972" s="88" t="s">
        <v>770</v>
      </c>
      <c r="K4972" s="89"/>
      <c r="L4972" s="89"/>
      <c r="M4972" s="90"/>
      <c r="N4972" s="88" t="s">
        <v>26</v>
      </c>
      <c r="O4972" s="89"/>
      <c r="P4972" s="90"/>
      <c r="Q4972" s="133">
        <v>1996</v>
      </c>
      <c r="R4972" s="134"/>
      <c r="S4972" s="5" t="s">
        <v>44</v>
      </c>
      <c r="T4972" s="8">
        <v>2055</v>
      </c>
      <c r="U4972" s="8">
        <v>7</v>
      </c>
      <c r="V4972" s="5" t="s">
        <v>23</v>
      </c>
      <c r="W4972" s="12">
        <v>5526177</v>
      </c>
      <c r="X4972" s="6"/>
      <c r="Y4972" s="6"/>
    </row>
    <row r="4973" spans="1:25" ht="15" customHeight="1" x14ac:dyDescent="0.2">
      <c r="A4973" s="88" t="s">
        <v>5555</v>
      </c>
      <c r="B4973" s="90"/>
      <c r="C4973" s="88" t="s">
        <v>6148</v>
      </c>
      <c r="D4973" s="90"/>
      <c r="E4973" s="88" t="s">
        <v>6140</v>
      </c>
      <c r="F4973" s="89"/>
      <c r="G4973" s="89"/>
      <c r="H4973" s="89"/>
      <c r="I4973" s="90"/>
      <c r="J4973" s="88" t="s">
        <v>770</v>
      </c>
      <c r="K4973" s="89"/>
      <c r="L4973" s="89"/>
      <c r="M4973" s="90"/>
      <c r="N4973" s="88" t="s">
        <v>26</v>
      </c>
      <c r="O4973" s="89"/>
      <c r="P4973" s="90"/>
      <c r="Q4973" s="133">
        <v>1986</v>
      </c>
      <c r="R4973" s="134"/>
      <c r="S4973" s="5" t="s">
        <v>44</v>
      </c>
      <c r="T4973" s="8">
        <v>2065</v>
      </c>
      <c r="U4973" s="8">
        <v>7</v>
      </c>
      <c r="V4973" s="5" t="s">
        <v>23</v>
      </c>
      <c r="W4973" s="12">
        <v>5141930</v>
      </c>
      <c r="X4973" s="6"/>
      <c r="Y4973" s="6"/>
    </row>
    <row r="4974" spans="1:25" ht="15" customHeight="1" x14ac:dyDescent="0.2">
      <c r="A4974" s="88" t="s">
        <v>5555</v>
      </c>
      <c r="B4974" s="90"/>
      <c r="C4974" s="88" t="s">
        <v>6148</v>
      </c>
      <c r="D4974" s="90"/>
      <c r="E4974" s="88" t="s">
        <v>6149</v>
      </c>
      <c r="F4974" s="89"/>
      <c r="G4974" s="89"/>
      <c r="H4974" s="89"/>
      <c r="I4974" s="90"/>
      <c r="J4974" s="88" t="s">
        <v>770</v>
      </c>
      <c r="K4974" s="89"/>
      <c r="L4974" s="89"/>
      <c r="M4974" s="90"/>
      <c r="N4974" s="88" t="s">
        <v>26</v>
      </c>
      <c r="O4974" s="89"/>
      <c r="P4974" s="90"/>
      <c r="Q4974" s="133">
        <v>1986</v>
      </c>
      <c r="R4974" s="134"/>
      <c r="S4974" s="5" t="s">
        <v>44</v>
      </c>
      <c r="T4974" s="8">
        <v>2065</v>
      </c>
      <c r="U4974" s="8">
        <v>7</v>
      </c>
      <c r="V4974" s="5" t="s">
        <v>23</v>
      </c>
      <c r="W4974" s="12">
        <v>5141930</v>
      </c>
      <c r="X4974" s="6"/>
      <c r="Y4974" s="6"/>
    </row>
    <row r="4975" spans="1:25" ht="15" customHeight="1" x14ac:dyDescent="0.2">
      <c r="A4975" s="88" t="s">
        <v>5555</v>
      </c>
      <c r="B4975" s="90"/>
      <c r="C4975" s="88" t="s">
        <v>6150</v>
      </c>
      <c r="D4975" s="90"/>
      <c r="E4975" s="88" t="s">
        <v>6151</v>
      </c>
      <c r="F4975" s="89"/>
      <c r="G4975" s="89"/>
      <c r="H4975" s="89"/>
      <c r="I4975" s="90"/>
      <c r="J4975" s="88" t="s">
        <v>770</v>
      </c>
      <c r="K4975" s="89"/>
      <c r="L4975" s="89"/>
      <c r="M4975" s="90"/>
      <c r="N4975" s="88" t="s">
        <v>26</v>
      </c>
      <c r="O4975" s="89"/>
      <c r="P4975" s="90"/>
      <c r="Q4975" s="133">
        <v>1986</v>
      </c>
      <c r="R4975" s="134"/>
      <c r="S4975" s="5" t="s">
        <v>70</v>
      </c>
      <c r="T4975" s="8">
        <v>1760</v>
      </c>
      <c r="U4975" s="8">
        <v>6</v>
      </c>
      <c r="V4975" s="5" t="s">
        <v>23</v>
      </c>
      <c r="W4975" s="12">
        <v>4206662</v>
      </c>
      <c r="X4975" s="6"/>
      <c r="Y4975" s="6"/>
    </row>
    <row r="4976" spans="1:25" ht="15" customHeight="1" x14ac:dyDescent="0.2">
      <c r="A4976" s="88" t="s">
        <v>5555</v>
      </c>
      <c r="B4976" s="90"/>
      <c r="C4976" s="88" t="s">
        <v>6152</v>
      </c>
      <c r="D4976" s="90"/>
      <c r="E4976" s="88" t="s">
        <v>5768</v>
      </c>
      <c r="F4976" s="89"/>
      <c r="G4976" s="89"/>
      <c r="H4976" s="89"/>
      <c r="I4976" s="90"/>
      <c r="J4976" s="88" t="s">
        <v>770</v>
      </c>
      <c r="K4976" s="89"/>
      <c r="L4976" s="89"/>
      <c r="M4976" s="90"/>
      <c r="N4976" s="88" t="s">
        <v>26</v>
      </c>
      <c r="O4976" s="89"/>
      <c r="P4976" s="90"/>
      <c r="Q4976" s="133">
        <v>1986</v>
      </c>
      <c r="R4976" s="134"/>
      <c r="S4976" s="5" t="s">
        <v>16</v>
      </c>
      <c r="T4976" s="8">
        <v>2045</v>
      </c>
      <c r="U4976" s="8">
        <v>7</v>
      </c>
      <c r="V4976" s="5" t="s">
        <v>23</v>
      </c>
      <c r="W4976" s="12">
        <v>5582229</v>
      </c>
      <c r="X4976" s="6"/>
      <c r="Y4976" s="6"/>
    </row>
    <row r="4977" spans="1:25" ht="15" customHeight="1" x14ac:dyDescent="0.2">
      <c r="A4977" s="88" t="s">
        <v>5555</v>
      </c>
      <c r="B4977" s="90"/>
      <c r="C4977" s="88" t="s">
        <v>6153</v>
      </c>
      <c r="D4977" s="90"/>
      <c r="E4977" s="88" t="s">
        <v>6154</v>
      </c>
      <c r="F4977" s="89"/>
      <c r="G4977" s="89"/>
      <c r="H4977" s="89"/>
      <c r="I4977" s="90"/>
      <c r="J4977" s="88" t="s">
        <v>770</v>
      </c>
      <c r="K4977" s="89"/>
      <c r="L4977" s="89"/>
      <c r="M4977" s="90"/>
      <c r="N4977" s="88" t="s">
        <v>26</v>
      </c>
      <c r="O4977" s="89"/>
      <c r="P4977" s="90"/>
      <c r="Q4977" s="133">
        <v>1490</v>
      </c>
      <c r="R4977" s="134"/>
      <c r="S4977" s="5" t="s">
        <v>16</v>
      </c>
      <c r="T4977" s="8">
        <v>1465</v>
      </c>
      <c r="U4977" s="8">
        <v>5</v>
      </c>
      <c r="V4977" s="5" t="s">
        <v>23</v>
      </c>
      <c r="W4977" s="12">
        <v>4332635</v>
      </c>
      <c r="X4977" s="6"/>
      <c r="Y4977" s="6"/>
    </row>
    <row r="4978" spans="1:25" ht="15" customHeight="1" x14ac:dyDescent="0.2">
      <c r="A4978" s="88" t="s">
        <v>5555</v>
      </c>
      <c r="B4978" s="90"/>
      <c r="C4978" s="88" t="s">
        <v>6155</v>
      </c>
      <c r="D4978" s="90"/>
      <c r="E4978" s="88" t="s">
        <v>6154</v>
      </c>
      <c r="F4978" s="89"/>
      <c r="G4978" s="89"/>
      <c r="H4978" s="89"/>
      <c r="I4978" s="90"/>
      <c r="J4978" s="88" t="s">
        <v>770</v>
      </c>
      <c r="K4978" s="89"/>
      <c r="L4978" s="89"/>
      <c r="M4978" s="90"/>
      <c r="N4978" s="88" t="s">
        <v>22</v>
      </c>
      <c r="O4978" s="89"/>
      <c r="P4978" s="90"/>
      <c r="Q4978" s="133">
        <v>1490</v>
      </c>
      <c r="R4978" s="134"/>
      <c r="S4978" s="5" t="s">
        <v>16</v>
      </c>
      <c r="T4978" s="8">
        <v>1465</v>
      </c>
      <c r="U4978" s="8">
        <v>5</v>
      </c>
      <c r="V4978" s="5" t="s">
        <v>23</v>
      </c>
      <c r="W4978" s="12">
        <v>4369522</v>
      </c>
      <c r="X4978" s="6"/>
      <c r="Y4978" s="6"/>
    </row>
    <row r="4979" spans="1:25" ht="15" customHeight="1" x14ac:dyDescent="0.2">
      <c r="A4979" s="88" t="s">
        <v>5555</v>
      </c>
      <c r="B4979" s="90"/>
      <c r="C4979" s="88" t="s">
        <v>6156</v>
      </c>
      <c r="D4979" s="90"/>
      <c r="E4979" s="88" t="s">
        <v>6157</v>
      </c>
      <c r="F4979" s="89"/>
      <c r="G4979" s="89"/>
      <c r="H4979" s="89"/>
      <c r="I4979" s="90"/>
      <c r="J4979" s="88" t="s">
        <v>770</v>
      </c>
      <c r="K4979" s="89"/>
      <c r="L4979" s="89"/>
      <c r="M4979" s="90"/>
      <c r="N4979" s="88" t="s">
        <v>26</v>
      </c>
      <c r="O4979" s="89"/>
      <c r="P4979" s="90"/>
      <c r="Q4979" s="133">
        <v>1490</v>
      </c>
      <c r="R4979" s="134"/>
      <c r="S4979" s="5" t="s">
        <v>16</v>
      </c>
      <c r="T4979" s="8">
        <v>1365</v>
      </c>
      <c r="U4979" s="8">
        <v>5</v>
      </c>
      <c r="V4979" s="5" t="s">
        <v>23</v>
      </c>
      <c r="W4979" s="12">
        <v>3896688</v>
      </c>
      <c r="X4979" s="6"/>
      <c r="Y4979" s="6"/>
    </row>
    <row r="4980" spans="1:25" ht="15" customHeight="1" x14ac:dyDescent="0.2">
      <c r="A4980" s="88" t="s">
        <v>5555</v>
      </c>
      <c r="B4980" s="90"/>
      <c r="C4980" s="88" t="s">
        <v>6158</v>
      </c>
      <c r="D4980" s="90"/>
      <c r="E4980" s="88" t="s">
        <v>6159</v>
      </c>
      <c r="F4980" s="89"/>
      <c r="G4980" s="89"/>
      <c r="H4980" s="89"/>
      <c r="I4980" s="90"/>
      <c r="J4980" s="88" t="s">
        <v>770</v>
      </c>
      <c r="K4980" s="89"/>
      <c r="L4980" s="89"/>
      <c r="M4980" s="90"/>
      <c r="N4980" s="88" t="s">
        <v>26</v>
      </c>
      <c r="O4980" s="89"/>
      <c r="P4980" s="90"/>
      <c r="Q4980" s="133">
        <v>1490</v>
      </c>
      <c r="R4980" s="134"/>
      <c r="S4980" s="5" t="s">
        <v>16</v>
      </c>
      <c r="T4980" s="8">
        <v>1315</v>
      </c>
      <c r="U4980" s="8">
        <v>5</v>
      </c>
      <c r="V4980" s="5" t="s">
        <v>23</v>
      </c>
      <c r="W4980" s="12">
        <v>2888982</v>
      </c>
      <c r="X4980" s="6"/>
      <c r="Y4980" s="6"/>
    </row>
    <row r="4981" spans="1:25" ht="15" customHeight="1" x14ac:dyDescent="0.2">
      <c r="A4981" s="88" t="s">
        <v>5555</v>
      </c>
      <c r="B4981" s="90"/>
      <c r="C4981" s="88" t="s">
        <v>6160</v>
      </c>
      <c r="D4981" s="90"/>
      <c r="E4981" s="88" t="s">
        <v>6159</v>
      </c>
      <c r="F4981" s="89"/>
      <c r="G4981" s="89"/>
      <c r="H4981" s="89"/>
      <c r="I4981" s="90"/>
      <c r="J4981" s="88" t="s">
        <v>770</v>
      </c>
      <c r="K4981" s="89"/>
      <c r="L4981" s="89"/>
      <c r="M4981" s="90"/>
      <c r="N4981" s="88" t="s">
        <v>26</v>
      </c>
      <c r="O4981" s="89"/>
      <c r="P4981" s="90"/>
      <c r="Q4981" s="133">
        <v>1490</v>
      </c>
      <c r="R4981" s="134"/>
      <c r="S4981" s="5" t="s">
        <v>16</v>
      </c>
      <c r="T4981" s="8">
        <v>2425</v>
      </c>
      <c r="U4981" s="8">
        <v>5</v>
      </c>
      <c r="V4981" s="5" t="s">
        <v>23</v>
      </c>
      <c r="W4981" s="12">
        <v>2848741</v>
      </c>
      <c r="X4981" s="6"/>
      <c r="Y4981" s="6"/>
    </row>
    <row r="4982" spans="1:25" ht="15" customHeight="1" x14ac:dyDescent="0.2">
      <c r="A4982" s="88" t="s">
        <v>5555</v>
      </c>
      <c r="B4982" s="90"/>
      <c r="C4982" s="88" t="s">
        <v>6161</v>
      </c>
      <c r="D4982" s="90"/>
      <c r="E4982" s="88" t="s">
        <v>6157</v>
      </c>
      <c r="F4982" s="89"/>
      <c r="G4982" s="89"/>
      <c r="H4982" s="89"/>
      <c r="I4982" s="90"/>
      <c r="J4982" s="88" t="s">
        <v>770</v>
      </c>
      <c r="K4982" s="89"/>
      <c r="L4982" s="89"/>
      <c r="M4982" s="90"/>
      <c r="N4982" s="88" t="s">
        <v>26</v>
      </c>
      <c r="O4982" s="89"/>
      <c r="P4982" s="90"/>
      <c r="Q4982" s="133">
        <v>1490</v>
      </c>
      <c r="R4982" s="134"/>
      <c r="S4982" s="5" t="s">
        <v>16</v>
      </c>
      <c r="T4982" s="8">
        <v>1365</v>
      </c>
      <c r="U4982" s="8">
        <v>5</v>
      </c>
      <c r="V4982" s="5" t="s">
        <v>23</v>
      </c>
      <c r="W4982" s="12">
        <v>3940283</v>
      </c>
      <c r="X4982" s="6"/>
      <c r="Y4982" s="6"/>
    </row>
    <row r="4983" spans="1:25" ht="15" customHeight="1" x14ac:dyDescent="0.2">
      <c r="A4983" s="88" t="s">
        <v>5555</v>
      </c>
      <c r="B4983" s="90"/>
      <c r="C4983" s="88" t="s">
        <v>6162</v>
      </c>
      <c r="D4983" s="90"/>
      <c r="E4983" s="88" t="s">
        <v>6163</v>
      </c>
      <c r="F4983" s="89"/>
      <c r="G4983" s="89"/>
      <c r="H4983" s="89"/>
      <c r="I4983" s="90"/>
      <c r="J4983" s="88" t="s">
        <v>13</v>
      </c>
      <c r="K4983" s="89"/>
      <c r="L4983" s="89"/>
      <c r="M4983" s="90"/>
      <c r="N4983" s="88" t="s">
        <v>22</v>
      </c>
      <c r="O4983" s="89"/>
      <c r="P4983" s="90"/>
      <c r="Q4983" s="133">
        <v>2700</v>
      </c>
      <c r="R4983" s="134"/>
      <c r="S4983" s="5" t="s">
        <v>16</v>
      </c>
      <c r="T4983" s="6"/>
      <c r="U4983" s="6"/>
      <c r="V4983" s="5" t="s">
        <v>23</v>
      </c>
      <c r="W4983" s="12">
        <v>13124686</v>
      </c>
      <c r="X4983" s="6"/>
      <c r="Y4983" s="6"/>
    </row>
    <row r="4984" spans="1:25" ht="15" customHeight="1" x14ac:dyDescent="0.2">
      <c r="A4984" s="88" t="s">
        <v>5555</v>
      </c>
      <c r="B4984" s="90"/>
      <c r="C4984" s="88" t="s">
        <v>6162</v>
      </c>
      <c r="D4984" s="90"/>
      <c r="E4984" s="88" t="s">
        <v>6164</v>
      </c>
      <c r="F4984" s="89"/>
      <c r="G4984" s="89"/>
      <c r="H4984" s="89"/>
      <c r="I4984" s="90"/>
      <c r="J4984" s="88" t="s">
        <v>13</v>
      </c>
      <c r="K4984" s="89"/>
      <c r="L4984" s="89"/>
      <c r="M4984" s="90"/>
      <c r="N4984" s="88" t="s">
        <v>22</v>
      </c>
      <c r="O4984" s="89"/>
      <c r="P4984" s="90"/>
      <c r="Q4984" s="133">
        <v>2800</v>
      </c>
      <c r="R4984" s="134"/>
      <c r="S4984" s="5" t="s">
        <v>16</v>
      </c>
      <c r="T4984" s="6"/>
      <c r="U4984" s="6"/>
      <c r="V4984" s="5" t="s">
        <v>23</v>
      </c>
      <c r="W4984" s="12">
        <v>18438297</v>
      </c>
      <c r="X4984" s="6"/>
      <c r="Y4984" s="6"/>
    </row>
    <row r="4985" spans="1:25" ht="15" customHeight="1" x14ac:dyDescent="0.2">
      <c r="A4985" s="88" t="s">
        <v>5555</v>
      </c>
      <c r="B4985" s="90"/>
      <c r="C4985" s="88" t="s">
        <v>6165</v>
      </c>
      <c r="D4985" s="90"/>
      <c r="E4985" s="88" t="s">
        <v>6164</v>
      </c>
      <c r="F4985" s="89"/>
      <c r="G4985" s="89"/>
      <c r="H4985" s="89"/>
      <c r="I4985" s="90"/>
      <c r="J4985" s="88" t="s">
        <v>13</v>
      </c>
      <c r="K4985" s="89"/>
      <c r="L4985" s="89"/>
      <c r="M4985" s="90"/>
      <c r="N4985" s="88" t="s">
        <v>22</v>
      </c>
      <c r="O4985" s="89"/>
      <c r="P4985" s="90"/>
      <c r="Q4985" s="133">
        <v>2800</v>
      </c>
      <c r="R4985" s="134"/>
      <c r="S4985" s="5" t="s">
        <v>16</v>
      </c>
      <c r="T4985" s="6"/>
      <c r="U4985" s="6"/>
      <c r="V4985" s="5" t="s">
        <v>106</v>
      </c>
      <c r="W4985" s="12">
        <v>21390097</v>
      </c>
      <c r="X4985" s="6"/>
      <c r="Y4985" s="6"/>
    </row>
    <row r="4986" spans="1:25" ht="15" customHeight="1" x14ac:dyDescent="0.2">
      <c r="A4986" s="88" t="s">
        <v>5555</v>
      </c>
      <c r="B4986" s="90"/>
      <c r="C4986" s="88" t="s">
        <v>6166</v>
      </c>
      <c r="D4986" s="90"/>
      <c r="E4986" s="88" t="s">
        <v>6167</v>
      </c>
      <c r="F4986" s="89"/>
      <c r="G4986" s="89"/>
      <c r="H4986" s="89"/>
      <c r="I4986" s="90"/>
      <c r="J4986" s="88" t="s">
        <v>13</v>
      </c>
      <c r="K4986" s="89"/>
      <c r="L4986" s="89"/>
      <c r="M4986" s="90"/>
      <c r="N4986" s="88" t="s">
        <v>22</v>
      </c>
      <c r="O4986" s="89"/>
      <c r="P4986" s="90"/>
      <c r="Q4986" s="133">
        <v>2800</v>
      </c>
      <c r="R4986" s="134"/>
      <c r="S4986" s="5" t="s">
        <v>16</v>
      </c>
      <c r="T4986" s="6"/>
      <c r="U4986" s="6"/>
      <c r="V4986" s="5" t="s">
        <v>106</v>
      </c>
      <c r="W4986" s="12">
        <v>14593728</v>
      </c>
      <c r="X4986" s="6"/>
      <c r="Y4986" s="6"/>
    </row>
    <row r="4987" spans="1:25" ht="15" customHeight="1" x14ac:dyDescent="0.2">
      <c r="A4987" s="88" t="s">
        <v>5555</v>
      </c>
      <c r="B4987" s="90"/>
      <c r="C4987" s="88" t="s">
        <v>6168</v>
      </c>
      <c r="D4987" s="90"/>
      <c r="E4987" s="88" t="s">
        <v>6169</v>
      </c>
      <c r="F4987" s="89"/>
      <c r="G4987" s="89"/>
      <c r="H4987" s="89"/>
      <c r="I4987" s="90"/>
      <c r="J4987" s="88" t="s">
        <v>13</v>
      </c>
      <c r="K4987" s="89"/>
      <c r="L4987" s="89"/>
      <c r="M4987" s="90"/>
      <c r="N4987" s="88" t="s">
        <v>22</v>
      </c>
      <c r="O4987" s="89"/>
      <c r="P4987" s="90"/>
      <c r="Q4987" s="133">
        <v>4200</v>
      </c>
      <c r="R4987" s="134"/>
      <c r="S4987" s="5" t="s">
        <v>16</v>
      </c>
      <c r="T4987" s="6"/>
      <c r="U4987" s="6"/>
      <c r="V4987" s="5" t="s">
        <v>106</v>
      </c>
      <c r="W4987" s="12">
        <v>4161686</v>
      </c>
      <c r="X4987" s="6"/>
      <c r="Y4987" s="6"/>
    </row>
    <row r="4988" spans="1:25" ht="15" customHeight="1" x14ac:dyDescent="0.2">
      <c r="A4988" s="88" t="s">
        <v>5555</v>
      </c>
      <c r="B4988" s="90"/>
      <c r="C4988" s="88" t="s">
        <v>6170</v>
      </c>
      <c r="D4988" s="90"/>
      <c r="E4988" s="88" t="s">
        <v>6171</v>
      </c>
      <c r="F4988" s="89"/>
      <c r="G4988" s="89"/>
      <c r="H4988" s="89"/>
      <c r="I4988" s="90"/>
      <c r="J4988" s="88" t="s">
        <v>13</v>
      </c>
      <c r="K4988" s="89"/>
      <c r="L4988" s="89"/>
      <c r="M4988" s="90"/>
      <c r="N4988" s="88" t="s">
        <v>22</v>
      </c>
      <c r="O4988" s="89"/>
      <c r="P4988" s="90"/>
      <c r="Q4988" s="133">
        <v>3500</v>
      </c>
      <c r="R4988" s="134"/>
      <c r="S4988" s="5" t="s">
        <v>16</v>
      </c>
      <c r="T4988" s="6"/>
      <c r="U4988" s="6"/>
      <c r="V4988" s="5" t="s">
        <v>23</v>
      </c>
      <c r="W4988" s="12">
        <v>15581638</v>
      </c>
      <c r="X4988" s="6"/>
      <c r="Y4988" s="6"/>
    </row>
    <row r="4989" spans="1:25" ht="15" customHeight="1" x14ac:dyDescent="0.2">
      <c r="A4989" s="88" t="s">
        <v>5555</v>
      </c>
      <c r="B4989" s="90"/>
      <c r="C4989" s="88" t="s">
        <v>6172</v>
      </c>
      <c r="D4989" s="90"/>
      <c r="E4989" s="88" t="s">
        <v>6173</v>
      </c>
      <c r="F4989" s="89"/>
      <c r="G4989" s="89"/>
      <c r="H4989" s="89"/>
      <c r="I4989" s="90"/>
      <c r="J4989" s="88" t="s">
        <v>13</v>
      </c>
      <c r="K4989" s="89"/>
      <c r="L4989" s="89"/>
      <c r="M4989" s="90"/>
      <c r="N4989" s="88" t="s">
        <v>22</v>
      </c>
      <c r="O4989" s="89"/>
      <c r="P4989" s="90"/>
      <c r="Q4989" s="133">
        <v>4600</v>
      </c>
      <c r="R4989" s="134"/>
      <c r="S4989" s="5" t="s">
        <v>16</v>
      </c>
      <c r="T4989" s="6"/>
      <c r="U4989" s="6"/>
      <c r="V4989" s="5" t="s">
        <v>23</v>
      </c>
      <c r="W4989" s="12">
        <v>13451168</v>
      </c>
      <c r="X4989" s="6"/>
      <c r="Y4989" s="6"/>
    </row>
    <row r="4990" spans="1:25" ht="15" customHeight="1" x14ac:dyDescent="0.2">
      <c r="A4990" s="88" t="s">
        <v>5555</v>
      </c>
      <c r="B4990" s="90"/>
      <c r="C4990" s="88" t="s">
        <v>6174</v>
      </c>
      <c r="D4990" s="90"/>
      <c r="E4990" s="88" t="s">
        <v>6175</v>
      </c>
      <c r="F4990" s="89"/>
      <c r="G4990" s="89"/>
      <c r="H4990" s="89"/>
      <c r="I4990" s="90"/>
      <c r="J4990" s="88" t="s">
        <v>13</v>
      </c>
      <c r="K4990" s="89"/>
      <c r="L4990" s="89"/>
      <c r="M4990" s="90"/>
      <c r="N4990" s="88" t="s">
        <v>22</v>
      </c>
      <c r="O4990" s="89"/>
      <c r="P4990" s="90"/>
      <c r="Q4990" s="133">
        <v>3500</v>
      </c>
      <c r="R4990" s="134"/>
      <c r="S4990" s="5" t="s">
        <v>16</v>
      </c>
      <c r="T4990" s="6"/>
      <c r="U4990" s="6"/>
      <c r="V4990" s="5" t="s">
        <v>23</v>
      </c>
      <c r="W4990" s="12">
        <v>21291614</v>
      </c>
      <c r="X4990" s="6"/>
      <c r="Y4990" s="6"/>
    </row>
    <row r="4991" spans="1:25" ht="15" customHeight="1" x14ac:dyDescent="0.2">
      <c r="A4991" s="88" t="s">
        <v>5555</v>
      </c>
      <c r="B4991" s="90"/>
      <c r="C4991" s="88" t="s">
        <v>6176</v>
      </c>
      <c r="D4991" s="90"/>
      <c r="E4991" s="88" t="s">
        <v>6175</v>
      </c>
      <c r="F4991" s="89"/>
      <c r="G4991" s="89"/>
      <c r="H4991" s="89"/>
      <c r="I4991" s="90"/>
      <c r="J4991" s="88" t="s">
        <v>13</v>
      </c>
      <c r="K4991" s="89"/>
      <c r="L4991" s="89"/>
      <c r="M4991" s="90"/>
      <c r="N4991" s="88" t="s">
        <v>22</v>
      </c>
      <c r="O4991" s="89"/>
      <c r="P4991" s="90"/>
      <c r="Q4991" s="133">
        <v>3500</v>
      </c>
      <c r="R4991" s="134"/>
      <c r="S4991" s="5" t="s">
        <v>16</v>
      </c>
      <c r="T4991" s="6"/>
      <c r="U4991" s="6"/>
      <c r="V4991" s="5" t="s">
        <v>23</v>
      </c>
      <c r="W4991" s="12">
        <v>13022100</v>
      </c>
      <c r="X4991" s="6"/>
      <c r="Y4991" s="6"/>
    </row>
    <row r="4992" spans="1:25" ht="15" customHeight="1" x14ac:dyDescent="0.2">
      <c r="A4992" s="88" t="s">
        <v>5555</v>
      </c>
      <c r="B4992" s="90"/>
      <c r="C4992" s="88" t="s">
        <v>6177</v>
      </c>
      <c r="D4992" s="90"/>
      <c r="E4992" s="88" t="s">
        <v>6178</v>
      </c>
      <c r="F4992" s="89"/>
      <c r="G4992" s="89"/>
      <c r="H4992" s="89"/>
      <c r="I4992" s="90"/>
      <c r="J4992" s="88" t="s">
        <v>13</v>
      </c>
      <c r="K4992" s="89"/>
      <c r="L4992" s="89"/>
      <c r="M4992" s="90"/>
      <c r="N4992" s="88" t="s">
        <v>22</v>
      </c>
      <c r="O4992" s="89"/>
      <c r="P4992" s="90"/>
      <c r="Q4992" s="133">
        <v>2800</v>
      </c>
      <c r="R4992" s="134"/>
      <c r="S4992" s="5" t="s">
        <v>16</v>
      </c>
      <c r="T4992" s="6"/>
      <c r="U4992" s="6"/>
      <c r="V4992" s="5" t="s">
        <v>106</v>
      </c>
      <c r="W4992" s="12">
        <v>7283399</v>
      </c>
      <c r="X4992" s="6"/>
      <c r="Y4992" s="6"/>
    </row>
    <row r="4993" spans="1:25" ht="15" customHeight="1" x14ac:dyDescent="0.2">
      <c r="A4993" s="88" t="s">
        <v>5555</v>
      </c>
      <c r="B4993" s="90"/>
      <c r="C4993" s="88" t="s">
        <v>6179</v>
      </c>
      <c r="D4993" s="90"/>
      <c r="E4993" s="88" t="s">
        <v>6180</v>
      </c>
      <c r="F4993" s="89"/>
      <c r="G4993" s="89"/>
      <c r="H4993" s="89"/>
      <c r="I4993" s="90"/>
      <c r="J4993" s="88" t="s">
        <v>13</v>
      </c>
      <c r="K4993" s="89"/>
      <c r="L4993" s="89"/>
      <c r="M4993" s="90"/>
      <c r="N4993" s="88" t="s">
        <v>22</v>
      </c>
      <c r="O4993" s="89"/>
      <c r="P4993" s="90"/>
      <c r="Q4993" s="133">
        <v>2800</v>
      </c>
      <c r="R4993" s="134"/>
      <c r="S4993" s="5" t="s">
        <v>16</v>
      </c>
      <c r="T4993" s="6"/>
      <c r="U4993" s="6"/>
      <c r="V4993" s="5" t="s">
        <v>106</v>
      </c>
      <c r="W4993" s="12">
        <v>8647290</v>
      </c>
      <c r="X4993" s="6"/>
      <c r="Y4993" s="6"/>
    </row>
    <row r="4994" spans="1:25" ht="15" customHeight="1" x14ac:dyDescent="0.2">
      <c r="A4994" s="88" t="s">
        <v>5555</v>
      </c>
      <c r="B4994" s="90"/>
      <c r="C4994" s="88" t="s">
        <v>6181</v>
      </c>
      <c r="D4994" s="90"/>
      <c r="E4994" s="88" t="s">
        <v>6182</v>
      </c>
      <c r="F4994" s="89"/>
      <c r="G4994" s="89"/>
      <c r="H4994" s="89"/>
      <c r="I4994" s="90"/>
      <c r="J4994" s="88" t="s">
        <v>13</v>
      </c>
      <c r="K4994" s="89"/>
      <c r="L4994" s="89"/>
      <c r="M4994" s="90"/>
      <c r="N4994" s="88" t="s">
        <v>22</v>
      </c>
      <c r="O4994" s="89"/>
      <c r="P4994" s="90"/>
      <c r="Q4994" s="133">
        <v>2700</v>
      </c>
      <c r="R4994" s="134"/>
      <c r="S4994" s="5" t="s">
        <v>16</v>
      </c>
      <c r="T4994" s="6"/>
      <c r="U4994" s="6"/>
      <c r="V4994" s="5" t="s">
        <v>23</v>
      </c>
      <c r="W4994" s="12">
        <v>8452717</v>
      </c>
      <c r="X4994" s="6"/>
      <c r="Y4994" s="6"/>
    </row>
    <row r="4995" spans="1:25" ht="15" customHeight="1" x14ac:dyDescent="0.2">
      <c r="A4995" s="88" t="s">
        <v>5555</v>
      </c>
      <c r="B4995" s="90"/>
      <c r="C4995" s="88" t="s">
        <v>6183</v>
      </c>
      <c r="D4995" s="90"/>
      <c r="E4995" s="88" t="s">
        <v>6184</v>
      </c>
      <c r="F4995" s="89"/>
      <c r="G4995" s="89"/>
      <c r="H4995" s="89"/>
      <c r="I4995" s="90"/>
      <c r="J4995" s="88" t="s">
        <v>13</v>
      </c>
      <c r="K4995" s="89"/>
      <c r="L4995" s="89"/>
      <c r="M4995" s="90"/>
      <c r="N4995" s="88" t="s">
        <v>22</v>
      </c>
      <c r="O4995" s="89"/>
      <c r="P4995" s="90"/>
      <c r="Q4995" s="133">
        <v>2800</v>
      </c>
      <c r="R4995" s="134"/>
      <c r="S4995" s="5" t="s">
        <v>16</v>
      </c>
      <c r="T4995" s="6"/>
      <c r="U4995" s="6"/>
      <c r="V4995" s="5" t="s">
        <v>106</v>
      </c>
      <c r="W4995" s="12">
        <v>9431308</v>
      </c>
      <c r="X4995" s="6"/>
      <c r="Y4995" s="6"/>
    </row>
    <row r="4996" spans="1:25" ht="15" customHeight="1" x14ac:dyDescent="0.2">
      <c r="A4996" s="88" t="s">
        <v>5555</v>
      </c>
      <c r="B4996" s="90"/>
      <c r="C4996" s="88" t="s">
        <v>6185</v>
      </c>
      <c r="D4996" s="90"/>
      <c r="E4996" s="88" t="s">
        <v>6182</v>
      </c>
      <c r="F4996" s="89"/>
      <c r="G4996" s="89"/>
      <c r="H4996" s="89"/>
      <c r="I4996" s="90"/>
      <c r="J4996" s="88" t="s">
        <v>13</v>
      </c>
      <c r="K4996" s="89"/>
      <c r="L4996" s="89"/>
      <c r="M4996" s="90"/>
      <c r="N4996" s="88" t="s">
        <v>22</v>
      </c>
      <c r="O4996" s="89"/>
      <c r="P4996" s="90"/>
      <c r="Q4996" s="133">
        <v>2700</v>
      </c>
      <c r="R4996" s="134"/>
      <c r="S4996" s="5" t="s">
        <v>16</v>
      </c>
      <c r="T4996" s="6"/>
      <c r="U4996" s="6"/>
      <c r="V4996" s="5" t="s">
        <v>23</v>
      </c>
      <c r="W4996" s="12">
        <v>8329945</v>
      </c>
      <c r="X4996" s="6"/>
      <c r="Y4996" s="6"/>
    </row>
    <row r="4997" spans="1:25" ht="15" customHeight="1" x14ac:dyDescent="0.2">
      <c r="A4997" s="88" t="s">
        <v>5555</v>
      </c>
      <c r="B4997" s="90"/>
      <c r="C4997" s="88" t="s">
        <v>5883</v>
      </c>
      <c r="D4997" s="90"/>
      <c r="E4997" s="88" t="s">
        <v>6186</v>
      </c>
      <c r="F4997" s="89"/>
      <c r="G4997" s="89"/>
      <c r="H4997" s="89"/>
      <c r="I4997" s="90"/>
      <c r="J4997" s="88" t="s">
        <v>13</v>
      </c>
      <c r="K4997" s="89"/>
      <c r="L4997" s="89"/>
      <c r="M4997" s="90"/>
      <c r="N4997" s="88" t="s">
        <v>22</v>
      </c>
      <c r="O4997" s="89"/>
      <c r="P4997" s="90"/>
      <c r="Q4997" s="133">
        <v>2800</v>
      </c>
      <c r="R4997" s="134"/>
      <c r="S4997" s="5" t="s">
        <v>16</v>
      </c>
      <c r="T4997" s="6"/>
      <c r="U4997" s="6"/>
      <c r="V4997" s="5" t="s">
        <v>106</v>
      </c>
      <c r="W4997" s="12">
        <v>10587717</v>
      </c>
      <c r="X4997" s="6"/>
      <c r="Y4997" s="6"/>
    </row>
    <row r="4998" spans="1:25" ht="15" customHeight="1" x14ac:dyDescent="0.2">
      <c r="A4998" s="88" t="s">
        <v>5555</v>
      </c>
      <c r="B4998" s="90"/>
      <c r="C4998" s="88" t="s">
        <v>6187</v>
      </c>
      <c r="D4998" s="90"/>
      <c r="E4998" s="88" t="s">
        <v>6175</v>
      </c>
      <c r="F4998" s="89"/>
      <c r="G4998" s="89"/>
      <c r="H4998" s="89"/>
      <c r="I4998" s="90"/>
      <c r="J4998" s="88" t="s">
        <v>13</v>
      </c>
      <c r="K4998" s="89"/>
      <c r="L4998" s="89"/>
      <c r="M4998" s="90"/>
      <c r="N4998" s="88" t="s">
        <v>22</v>
      </c>
      <c r="O4998" s="89"/>
      <c r="P4998" s="90"/>
      <c r="Q4998" s="133">
        <v>3500</v>
      </c>
      <c r="R4998" s="134"/>
      <c r="S4998" s="5" t="s">
        <v>16</v>
      </c>
      <c r="T4998" s="6"/>
      <c r="U4998" s="6"/>
      <c r="V4998" s="5" t="s">
        <v>23</v>
      </c>
      <c r="W4998" s="12">
        <v>17511294</v>
      </c>
      <c r="X4998" s="6"/>
      <c r="Y4998" s="6"/>
    </row>
    <row r="4999" spans="1:25" ht="15" customHeight="1" x14ac:dyDescent="0.2">
      <c r="A4999" s="88" t="s">
        <v>5555</v>
      </c>
      <c r="B4999" s="90"/>
      <c r="C4999" s="88" t="s">
        <v>5886</v>
      </c>
      <c r="D4999" s="90"/>
      <c r="E4999" s="88" t="s">
        <v>6175</v>
      </c>
      <c r="F4999" s="89"/>
      <c r="G4999" s="89"/>
      <c r="H4999" s="89"/>
      <c r="I4999" s="90"/>
      <c r="J4999" s="88" t="s">
        <v>13</v>
      </c>
      <c r="K4999" s="89"/>
      <c r="L4999" s="89"/>
      <c r="M4999" s="90"/>
      <c r="N4999" s="88" t="s">
        <v>22</v>
      </c>
      <c r="O4999" s="89"/>
      <c r="P4999" s="90"/>
      <c r="Q4999" s="133">
        <v>3500</v>
      </c>
      <c r="R4999" s="134"/>
      <c r="S4999" s="5" t="s">
        <v>16</v>
      </c>
      <c r="T4999" s="6"/>
      <c r="U4999" s="6"/>
      <c r="V4999" s="5" t="s">
        <v>23</v>
      </c>
      <c r="W4999" s="12">
        <v>20137770</v>
      </c>
      <c r="X4999" s="6"/>
      <c r="Y4999" s="6"/>
    </row>
    <row r="5000" spans="1:25" ht="15" customHeight="1" x14ac:dyDescent="0.2">
      <c r="A5000" s="88" t="s">
        <v>6188</v>
      </c>
      <c r="B5000" s="90"/>
      <c r="C5000" s="88" t="s">
        <v>6189</v>
      </c>
      <c r="D5000" s="90"/>
      <c r="E5000" s="88" t="s">
        <v>6190</v>
      </c>
      <c r="F5000" s="89"/>
      <c r="G5000" s="89"/>
      <c r="H5000" s="89"/>
      <c r="I5000" s="90"/>
      <c r="J5000" s="88" t="s">
        <v>13</v>
      </c>
      <c r="K5000" s="89"/>
      <c r="L5000" s="89"/>
      <c r="M5000" s="90"/>
      <c r="N5000" s="106"/>
      <c r="O5000" s="107"/>
      <c r="P5000" s="108"/>
      <c r="Q5000" s="106"/>
      <c r="R5000" s="108"/>
      <c r="S5000" s="6"/>
      <c r="T5000" s="6"/>
      <c r="U5000" s="6"/>
      <c r="V5000" s="5" t="s">
        <v>17</v>
      </c>
      <c r="W5000" s="9">
        <v>8170348</v>
      </c>
      <c r="X5000" s="6"/>
      <c r="Y5000" s="6"/>
    </row>
    <row r="5001" spans="1:25" ht="15" customHeight="1" x14ac:dyDescent="0.2">
      <c r="A5001" s="88" t="s">
        <v>6188</v>
      </c>
      <c r="B5001" s="90"/>
      <c r="C5001" s="88" t="s">
        <v>6191</v>
      </c>
      <c r="D5001" s="90"/>
      <c r="E5001" s="88" t="s">
        <v>6192</v>
      </c>
      <c r="F5001" s="89"/>
      <c r="G5001" s="89"/>
      <c r="H5001" s="89"/>
      <c r="I5001" s="90"/>
      <c r="J5001" s="88" t="s">
        <v>13</v>
      </c>
      <c r="K5001" s="89"/>
      <c r="L5001" s="89"/>
      <c r="M5001" s="90"/>
      <c r="N5001" s="106"/>
      <c r="O5001" s="107"/>
      <c r="P5001" s="108"/>
      <c r="Q5001" s="106"/>
      <c r="R5001" s="108"/>
      <c r="S5001" s="6"/>
      <c r="T5001" s="6"/>
      <c r="U5001" s="6"/>
      <c r="V5001" s="5" t="s">
        <v>17</v>
      </c>
      <c r="W5001" s="11">
        <v>7157146</v>
      </c>
      <c r="X5001" s="6"/>
      <c r="Y5001" s="6"/>
    </row>
    <row r="5002" spans="1:25" ht="15" customHeight="1" x14ac:dyDescent="0.2">
      <c r="A5002" s="88" t="s">
        <v>6188</v>
      </c>
      <c r="B5002" s="90"/>
      <c r="C5002" s="88" t="s">
        <v>6193</v>
      </c>
      <c r="D5002" s="90"/>
      <c r="E5002" s="88" t="s">
        <v>6190</v>
      </c>
      <c r="F5002" s="89"/>
      <c r="G5002" s="89"/>
      <c r="H5002" s="89"/>
      <c r="I5002" s="90"/>
      <c r="J5002" s="88" t="s">
        <v>13</v>
      </c>
      <c r="K5002" s="89"/>
      <c r="L5002" s="89"/>
      <c r="M5002" s="90"/>
      <c r="N5002" s="106"/>
      <c r="O5002" s="107"/>
      <c r="P5002" s="108"/>
      <c r="Q5002" s="106"/>
      <c r="R5002" s="108"/>
      <c r="S5002" s="6"/>
      <c r="T5002" s="6"/>
      <c r="U5002" s="6"/>
      <c r="V5002" s="5" t="s">
        <v>17</v>
      </c>
      <c r="W5002" s="9">
        <v>9222014</v>
      </c>
      <c r="X5002" s="6"/>
      <c r="Y5002" s="6"/>
    </row>
    <row r="5003" spans="1:25" ht="15" customHeight="1" x14ac:dyDescent="0.2">
      <c r="A5003" s="88" t="s">
        <v>6188</v>
      </c>
      <c r="B5003" s="90"/>
      <c r="C5003" s="88" t="s">
        <v>6194</v>
      </c>
      <c r="D5003" s="90"/>
      <c r="E5003" s="88" t="s">
        <v>6195</v>
      </c>
      <c r="F5003" s="89"/>
      <c r="G5003" s="89"/>
      <c r="H5003" s="89"/>
      <c r="I5003" s="90"/>
      <c r="J5003" s="88" t="s">
        <v>13</v>
      </c>
      <c r="K5003" s="89"/>
      <c r="L5003" s="89"/>
      <c r="M5003" s="90"/>
      <c r="N5003" s="106"/>
      <c r="O5003" s="107"/>
      <c r="P5003" s="108"/>
      <c r="Q5003" s="133">
        <v>1200</v>
      </c>
      <c r="R5003" s="134"/>
      <c r="S5003" s="6"/>
      <c r="T5003" s="6"/>
      <c r="U5003" s="6"/>
      <c r="V5003" s="5" t="s">
        <v>17</v>
      </c>
      <c r="W5003" s="9">
        <v>3683254</v>
      </c>
      <c r="X5003" s="6"/>
      <c r="Y5003" s="6"/>
    </row>
    <row r="5004" spans="1:25" ht="15" customHeight="1" x14ac:dyDescent="0.2">
      <c r="A5004" s="88" t="s">
        <v>6188</v>
      </c>
      <c r="B5004" s="90"/>
      <c r="C5004" s="88" t="s">
        <v>6194</v>
      </c>
      <c r="D5004" s="90"/>
      <c r="E5004" s="88" t="s">
        <v>6196</v>
      </c>
      <c r="F5004" s="89"/>
      <c r="G5004" s="89"/>
      <c r="H5004" s="89"/>
      <c r="I5004" s="90"/>
      <c r="J5004" s="88" t="s">
        <v>13</v>
      </c>
      <c r="K5004" s="89"/>
      <c r="L5004" s="89"/>
      <c r="M5004" s="90"/>
      <c r="N5004" s="106"/>
      <c r="O5004" s="107"/>
      <c r="P5004" s="108"/>
      <c r="Q5004" s="133">
        <v>1200</v>
      </c>
      <c r="R5004" s="134"/>
      <c r="S5004" s="6"/>
      <c r="T5004" s="6"/>
      <c r="U5004" s="6"/>
      <c r="V5004" s="5" t="s">
        <v>17</v>
      </c>
      <c r="W5004" s="9">
        <v>3385704</v>
      </c>
      <c r="X5004" s="6"/>
      <c r="Y5004" s="6"/>
    </row>
    <row r="5005" spans="1:25" ht="15" customHeight="1" x14ac:dyDescent="0.2">
      <c r="A5005" s="88" t="s">
        <v>6188</v>
      </c>
      <c r="B5005" s="90"/>
      <c r="C5005" s="88" t="s">
        <v>6197</v>
      </c>
      <c r="D5005" s="90"/>
      <c r="E5005" s="88" t="s">
        <v>6198</v>
      </c>
      <c r="F5005" s="89"/>
      <c r="G5005" s="89"/>
      <c r="H5005" s="89"/>
      <c r="I5005" s="90"/>
      <c r="J5005" s="88" t="s">
        <v>13</v>
      </c>
      <c r="K5005" s="89"/>
      <c r="L5005" s="89"/>
      <c r="M5005" s="90"/>
      <c r="N5005" s="106"/>
      <c r="O5005" s="107"/>
      <c r="P5005" s="108"/>
      <c r="Q5005" s="133">
        <v>1200</v>
      </c>
      <c r="R5005" s="134"/>
      <c r="S5005" s="6"/>
      <c r="T5005" s="6"/>
      <c r="U5005" s="6"/>
      <c r="V5005" s="5" t="s">
        <v>17</v>
      </c>
      <c r="W5005" s="9">
        <v>3798490</v>
      </c>
      <c r="X5005" s="6"/>
      <c r="Y5005" s="6"/>
    </row>
    <row r="5006" spans="1:25" ht="15" customHeight="1" x14ac:dyDescent="0.2">
      <c r="A5006" s="88" t="s">
        <v>6188</v>
      </c>
      <c r="B5006" s="90"/>
      <c r="C5006" s="88" t="s">
        <v>6199</v>
      </c>
      <c r="D5006" s="90"/>
      <c r="E5006" s="88" t="s">
        <v>6200</v>
      </c>
      <c r="F5006" s="89"/>
      <c r="G5006" s="89"/>
      <c r="H5006" s="89"/>
      <c r="I5006" s="90"/>
      <c r="J5006" s="88" t="s">
        <v>13</v>
      </c>
      <c r="K5006" s="89"/>
      <c r="L5006" s="89"/>
      <c r="M5006" s="90"/>
      <c r="N5006" s="106"/>
      <c r="O5006" s="107"/>
      <c r="P5006" s="108"/>
      <c r="Q5006" s="133">
        <v>1200</v>
      </c>
      <c r="R5006" s="134"/>
      <c r="S5006" s="6"/>
      <c r="T5006" s="6"/>
      <c r="U5006" s="6"/>
      <c r="V5006" s="5" t="s">
        <v>702</v>
      </c>
      <c r="W5006" s="9">
        <v>5767824</v>
      </c>
      <c r="X5006" s="6"/>
      <c r="Y5006" s="6"/>
    </row>
    <row r="5007" spans="1:25" ht="15" customHeight="1" x14ac:dyDescent="0.2">
      <c r="A5007" s="88" t="s">
        <v>6188</v>
      </c>
      <c r="B5007" s="90"/>
      <c r="C5007" s="88" t="s">
        <v>6201</v>
      </c>
      <c r="D5007" s="90"/>
      <c r="E5007" s="88" t="s">
        <v>6202</v>
      </c>
      <c r="F5007" s="89"/>
      <c r="G5007" s="89"/>
      <c r="H5007" s="89"/>
      <c r="I5007" s="90"/>
      <c r="J5007" s="88" t="s">
        <v>13</v>
      </c>
      <c r="K5007" s="89"/>
      <c r="L5007" s="89"/>
      <c r="M5007" s="90"/>
      <c r="N5007" s="106"/>
      <c r="O5007" s="107"/>
      <c r="P5007" s="108"/>
      <c r="Q5007" s="133">
        <v>1500</v>
      </c>
      <c r="R5007" s="134"/>
      <c r="S5007" s="6"/>
      <c r="T5007" s="6"/>
      <c r="U5007" s="8">
        <v>5</v>
      </c>
      <c r="V5007" s="5" t="s">
        <v>106</v>
      </c>
      <c r="W5007" s="9">
        <v>4777998</v>
      </c>
      <c r="X5007" s="6"/>
      <c r="Y5007" s="6"/>
    </row>
    <row r="5008" spans="1:25" ht="15" customHeight="1" x14ac:dyDescent="0.2">
      <c r="A5008" s="88" t="s">
        <v>6188</v>
      </c>
      <c r="B5008" s="90"/>
      <c r="C5008" s="88" t="s">
        <v>6203</v>
      </c>
      <c r="D5008" s="90"/>
      <c r="E5008" s="88" t="s">
        <v>6204</v>
      </c>
      <c r="F5008" s="89"/>
      <c r="G5008" s="89"/>
      <c r="H5008" s="89"/>
      <c r="I5008" s="90"/>
      <c r="J5008" s="88" t="s">
        <v>13</v>
      </c>
      <c r="K5008" s="89"/>
      <c r="L5008" s="89"/>
      <c r="M5008" s="90"/>
      <c r="N5008" s="106"/>
      <c r="O5008" s="107"/>
      <c r="P5008" s="108"/>
      <c r="Q5008" s="106"/>
      <c r="R5008" s="108"/>
      <c r="S5008" s="6"/>
      <c r="T5008" s="6"/>
      <c r="U5008" s="5" t="s">
        <v>6205</v>
      </c>
      <c r="V5008" s="5" t="s">
        <v>17</v>
      </c>
      <c r="W5008" s="9">
        <v>6027613</v>
      </c>
      <c r="X5008" s="6"/>
      <c r="Y5008" s="6"/>
    </row>
    <row r="5009" spans="1:25" ht="15" customHeight="1" x14ac:dyDescent="0.2">
      <c r="A5009" s="88" t="s">
        <v>6188</v>
      </c>
      <c r="B5009" s="90"/>
      <c r="C5009" s="88" t="s">
        <v>6203</v>
      </c>
      <c r="D5009" s="90"/>
      <c r="E5009" s="88" t="s">
        <v>6206</v>
      </c>
      <c r="F5009" s="89"/>
      <c r="G5009" s="89"/>
      <c r="H5009" s="89"/>
      <c r="I5009" s="90"/>
      <c r="J5009" s="88" t="s">
        <v>13</v>
      </c>
      <c r="K5009" s="89"/>
      <c r="L5009" s="89"/>
      <c r="M5009" s="90"/>
      <c r="N5009" s="106"/>
      <c r="O5009" s="107"/>
      <c r="P5009" s="108"/>
      <c r="Q5009" s="106"/>
      <c r="R5009" s="108"/>
      <c r="S5009" s="6"/>
      <c r="T5009" s="6"/>
      <c r="U5009" s="5" t="s">
        <v>6207</v>
      </c>
      <c r="V5009" s="5" t="s">
        <v>17</v>
      </c>
      <c r="W5009" s="9">
        <v>5858746</v>
      </c>
      <c r="X5009" s="6"/>
      <c r="Y5009" s="6"/>
    </row>
    <row r="5010" spans="1:25" ht="15" customHeight="1" x14ac:dyDescent="0.2">
      <c r="A5010" s="88" t="s">
        <v>6188</v>
      </c>
      <c r="B5010" s="90"/>
      <c r="C5010" s="88" t="s">
        <v>6208</v>
      </c>
      <c r="D5010" s="90"/>
      <c r="E5010" s="88" t="s">
        <v>6209</v>
      </c>
      <c r="F5010" s="89"/>
      <c r="G5010" s="89"/>
      <c r="H5010" s="89"/>
      <c r="I5010" s="90"/>
      <c r="J5010" s="88" t="s">
        <v>13</v>
      </c>
      <c r="K5010" s="89"/>
      <c r="L5010" s="89"/>
      <c r="M5010" s="90"/>
      <c r="N5010" s="106"/>
      <c r="O5010" s="107"/>
      <c r="P5010" s="108"/>
      <c r="Q5010" s="133">
        <v>2000</v>
      </c>
      <c r="R5010" s="134"/>
      <c r="S5010" s="6"/>
      <c r="T5010" s="6"/>
      <c r="U5010" s="6"/>
      <c r="V5010" s="5" t="s">
        <v>106</v>
      </c>
      <c r="W5010" s="9">
        <v>7090538</v>
      </c>
      <c r="X5010" s="6"/>
      <c r="Y5010" s="6"/>
    </row>
    <row r="5011" spans="1:25" ht="15" customHeight="1" x14ac:dyDescent="0.2">
      <c r="A5011" s="88" t="s">
        <v>6188</v>
      </c>
      <c r="B5011" s="90"/>
      <c r="C5011" s="88" t="s">
        <v>6210</v>
      </c>
      <c r="D5011" s="90"/>
      <c r="E5011" s="88" t="s">
        <v>6211</v>
      </c>
      <c r="F5011" s="89"/>
      <c r="G5011" s="89"/>
      <c r="H5011" s="89"/>
      <c r="I5011" s="90"/>
      <c r="J5011" s="88" t="s">
        <v>13</v>
      </c>
      <c r="K5011" s="89"/>
      <c r="L5011" s="89"/>
      <c r="M5011" s="90"/>
      <c r="N5011" s="106"/>
      <c r="O5011" s="107"/>
      <c r="P5011" s="108"/>
      <c r="Q5011" s="133">
        <v>1500</v>
      </c>
      <c r="R5011" s="134"/>
      <c r="S5011" s="6"/>
      <c r="T5011" s="6"/>
      <c r="U5011" s="8">
        <v>7</v>
      </c>
      <c r="V5011" s="5" t="s">
        <v>106</v>
      </c>
      <c r="W5011" s="9">
        <v>4485607</v>
      </c>
      <c r="X5011" s="6"/>
      <c r="Y5011" s="6"/>
    </row>
    <row r="5012" spans="1:25" ht="15" customHeight="1" x14ac:dyDescent="0.2">
      <c r="A5012" s="88" t="s">
        <v>6188</v>
      </c>
      <c r="B5012" s="90"/>
      <c r="C5012" s="88" t="s">
        <v>6212</v>
      </c>
      <c r="D5012" s="90"/>
      <c r="E5012" s="88" t="s">
        <v>6213</v>
      </c>
      <c r="F5012" s="89"/>
      <c r="G5012" s="89"/>
      <c r="H5012" s="89"/>
      <c r="I5012" s="90"/>
      <c r="J5012" s="88" t="s">
        <v>13</v>
      </c>
      <c r="K5012" s="89"/>
      <c r="L5012" s="89"/>
      <c r="M5012" s="90"/>
      <c r="N5012" s="106"/>
      <c r="O5012" s="107"/>
      <c r="P5012" s="108"/>
      <c r="Q5012" s="133">
        <v>1500</v>
      </c>
      <c r="R5012" s="134"/>
      <c r="S5012" s="6"/>
      <c r="T5012" s="6"/>
      <c r="U5012" s="6"/>
      <c r="V5012" s="5" t="s">
        <v>106</v>
      </c>
      <c r="W5012" s="9">
        <v>4932793</v>
      </c>
      <c r="X5012" s="6"/>
      <c r="Y5012" s="6"/>
    </row>
    <row r="5013" spans="1:25" ht="15" customHeight="1" x14ac:dyDescent="0.2">
      <c r="A5013" s="88" t="s">
        <v>6188</v>
      </c>
      <c r="B5013" s="90"/>
      <c r="C5013" s="88" t="s">
        <v>6214</v>
      </c>
      <c r="D5013" s="90"/>
      <c r="E5013" s="88" t="s">
        <v>6215</v>
      </c>
      <c r="F5013" s="89"/>
      <c r="G5013" s="89"/>
      <c r="H5013" s="89"/>
      <c r="I5013" s="90"/>
      <c r="J5013" s="88" t="s">
        <v>13</v>
      </c>
      <c r="K5013" s="89"/>
      <c r="L5013" s="89"/>
      <c r="M5013" s="90"/>
      <c r="N5013" s="106"/>
      <c r="O5013" s="107"/>
      <c r="P5013" s="108"/>
      <c r="Q5013" s="133">
        <v>1200</v>
      </c>
      <c r="R5013" s="134"/>
      <c r="S5013" s="6"/>
      <c r="T5013" s="6"/>
      <c r="U5013" s="6"/>
      <c r="V5013" s="5" t="s">
        <v>17</v>
      </c>
      <c r="W5013" s="9">
        <v>4092600</v>
      </c>
      <c r="X5013" s="6"/>
      <c r="Y5013" s="6"/>
    </row>
    <row r="5014" spans="1:25" ht="15" customHeight="1" x14ac:dyDescent="0.2">
      <c r="A5014" s="88" t="s">
        <v>6188</v>
      </c>
      <c r="B5014" s="90"/>
      <c r="C5014" s="88" t="s">
        <v>6214</v>
      </c>
      <c r="D5014" s="90"/>
      <c r="E5014" s="88" t="s">
        <v>6216</v>
      </c>
      <c r="F5014" s="89"/>
      <c r="G5014" s="89"/>
      <c r="H5014" s="89"/>
      <c r="I5014" s="90"/>
      <c r="J5014" s="88" t="s">
        <v>13</v>
      </c>
      <c r="K5014" s="89"/>
      <c r="L5014" s="89"/>
      <c r="M5014" s="90"/>
      <c r="N5014" s="106"/>
      <c r="O5014" s="107"/>
      <c r="P5014" s="108"/>
      <c r="Q5014" s="133">
        <v>1200</v>
      </c>
      <c r="R5014" s="134"/>
      <c r="S5014" s="6"/>
      <c r="T5014" s="6"/>
      <c r="U5014" s="6"/>
      <c r="V5014" s="5" t="s">
        <v>17</v>
      </c>
      <c r="W5014" s="9">
        <v>3795051</v>
      </c>
      <c r="X5014" s="6"/>
      <c r="Y5014" s="6"/>
    </row>
    <row r="5015" spans="1:25" ht="15" customHeight="1" x14ac:dyDescent="0.2">
      <c r="A5015" s="88" t="s">
        <v>6188</v>
      </c>
      <c r="B5015" s="90"/>
      <c r="C5015" s="88" t="s">
        <v>6217</v>
      </c>
      <c r="D5015" s="90"/>
      <c r="E5015" s="88" t="s">
        <v>6218</v>
      </c>
      <c r="F5015" s="89"/>
      <c r="G5015" s="89"/>
      <c r="H5015" s="89"/>
      <c r="I5015" s="90"/>
      <c r="J5015" s="88" t="s">
        <v>13</v>
      </c>
      <c r="K5015" s="89"/>
      <c r="L5015" s="89"/>
      <c r="M5015" s="90"/>
      <c r="N5015" s="106"/>
      <c r="O5015" s="107"/>
      <c r="P5015" s="108"/>
      <c r="Q5015" s="133">
        <v>1200</v>
      </c>
      <c r="R5015" s="134"/>
      <c r="S5015" s="6"/>
      <c r="T5015" s="6"/>
      <c r="U5015" s="6"/>
      <c r="V5015" s="5" t="s">
        <v>106</v>
      </c>
      <c r="W5015" s="9">
        <v>6103212</v>
      </c>
      <c r="X5015" s="6"/>
      <c r="Y5015" s="6"/>
    </row>
    <row r="5016" spans="1:25" ht="15" customHeight="1" x14ac:dyDescent="0.2">
      <c r="A5016" s="88" t="s">
        <v>6188</v>
      </c>
      <c r="B5016" s="90"/>
      <c r="C5016" s="88" t="s">
        <v>6219</v>
      </c>
      <c r="D5016" s="90"/>
      <c r="E5016" s="88" t="s">
        <v>6190</v>
      </c>
      <c r="F5016" s="89"/>
      <c r="G5016" s="89"/>
      <c r="H5016" s="89"/>
      <c r="I5016" s="90"/>
      <c r="J5016" s="88" t="s">
        <v>13</v>
      </c>
      <c r="K5016" s="89"/>
      <c r="L5016" s="89"/>
      <c r="M5016" s="90"/>
      <c r="N5016" s="106"/>
      <c r="O5016" s="107"/>
      <c r="P5016" s="108"/>
      <c r="Q5016" s="106"/>
      <c r="R5016" s="108"/>
      <c r="S5016" s="6"/>
      <c r="T5016" s="6"/>
      <c r="U5016" s="6"/>
      <c r="V5016" s="5" t="s">
        <v>17</v>
      </c>
      <c r="W5016" s="9">
        <v>10221143</v>
      </c>
      <c r="X5016" s="6"/>
      <c r="Y5016" s="6"/>
    </row>
    <row r="5017" spans="1:25" ht="15" customHeight="1" x14ac:dyDescent="0.2">
      <c r="A5017" s="88" t="s">
        <v>6188</v>
      </c>
      <c r="B5017" s="90"/>
      <c r="C5017" s="88" t="s">
        <v>6220</v>
      </c>
      <c r="D5017" s="90"/>
      <c r="E5017" s="88" t="s">
        <v>6198</v>
      </c>
      <c r="F5017" s="89"/>
      <c r="G5017" s="89"/>
      <c r="H5017" s="89"/>
      <c r="I5017" s="90"/>
      <c r="J5017" s="88" t="s">
        <v>13</v>
      </c>
      <c r="K5017" s="89"/>
      <c r="L5017" s="89"/>
      <c r="M5017" s="90"/>
      <c r="N5017" s="106"/>
      <c r="O5017" s="107"/>
      <c r="P5017" s="108"/>
      <c r="Q5017" s="133">
        <v>1200</v>
      </c>
      <c r="R5017" s="134"/>
      <c r="S5017" s="6"/>
      <c r="T5017" s="6"/>
      <c r="U5017" s="6"/>
      <c r="V5017" s="5" t="s">
        <v>17</v>
      </c>
      <c r="W5017" s="9">
        <v>4570744</v>
      </c>
      <c r="X5017" s="6"/>
      <c r="Y5017" s="6"/>
    </row>
    <row r="5018" spans="1:25" ht="15" customHeight="1" x14ac:dyDescent="0.2">
      <c r="A5018" s="88" t="s">
        <v>6188</v>
      </c>
      <c r="B5018" s="90"/>
      <c r="C5018" s="88" t="s">
        <v>6220</v>
      </c>
      <c r="D5018" s="90"/>
      <c r="E5018" s="88" t="s">
        <v>6221</v>
      </c>
      <c r="F5018" s="89"/>
      <c r="G5018" s="89"/>
      <c r="H5018" s="89"/>
      <c r="I5018" s="90"/>
      <c r="J5018" s="88" t="s">
        <v>13</v>
      </c>
      <c r="K5018" s="89"/>
      <c r="L5018" s="89"/>
      <c r="M5018" s="90"/>
      <c r="N5018" s="106"/>
      <c r="O5018" s="107"/>
      <c r="P5018" s="108"/>
      <c r="Q5018" s="133">
        <v>1200</v>
      </c>
      <c r="R5018" s="134"/>
      <c r="S5018" s="6"/>
      <c r="T5018" s="6"/>
      <c r="U5018" s="6"/>
      <c r="V5018" s="5" t="s">
        <v>17</v>
      </c>
      <c r="W5018" s="9">
        <v>4273194</v>
      </c>
      <c r="X5018" s="6"/>
      <c r="Y5018" s="6"/>
    </row>
    <row r="5019" spans="1:25" ht="15" customHeight="1" x14ac:dyDescent="0.2">
      <c r="A5019" s="88" t="s">
        <v>6188</v>
      </c>
      <c r="B5019" s="90"/>
      <c r="C5019" s="88" t="s">
        <v>6222</v>
      </c>
      <c r="D5019" s="90"/>
      <c r="E5019" s="88" t="s">
        <v>6223</v>
      </c>
      <c r="F5019" s="89"/>
      <c r="G5019" s="89"/>
      <c r="H5019" s="89"/>
      <c r="I5019" s="90"/>
      <c r="J5019" s="88" t="s">
        <v>13</v>
      </c>
      <c r="K5019" s="89"/>
      <c r="L5019" s="89"/>
      <c r="M5019" s="90"/>
      <c r="N5019" s="106"/>
      <c r="O5019" s="107"/>
      <c r="P5019" s="108"/>
      <c r="Q5019" s="133">
        <v>1200</v>
      </c>
      <c r="R5019" s="134"/>
      <c r="S5019" s="6"/>
      <c r="T5019" s="6"/>
      <c r="U5019" s="6"/>
      <c r="V5019" s="5" t="s">
        <v>17</v>
      </c>
      <c r="W5019" s="9">
        <v>4685980</v>
      </c>
      <c r="X5019" s="6"/>
      <c r="Y5019" s="6"/>
    </row>
    <row r="5020" spans="1:25" ht="15" customHeight="1" x14ac:dyDescent="0.2">
      <c r="A5020" s="88" t="s">
        <v>6188</v>
      </c>
      <c r="B5020" s="90"/>
      <c r="C5020" s="88" t="s">
        <v>6224</v>
      </c>
      <c r="D5020" s="90"/>
      <c r="E5020" s="88" t="s">
        <v>6225</v>
      </c>
      <c r="F5020" s="89"/>
      <c r="G5020" s="89"/>
      <c r="H5020" s="89"/>
      <c r="I5020" s="90"/>
      <c r="J5020" s="88" t="s">
        <v>13</v>
      </c>
      <c r="K5020" s="89"/>
      <c r="L5020" s="89"/>
      <c r="M5020" s="90"/>
      <c r="N5020" s="106"/>
      <c r="O5020" s="107"/>
      <c r="P5020" s="108"/>
      <c r="Q5020" s="133">
        <v>1200</v>
      </c>
      <c r="R5020" s="134"/>
      <c r="S5020" s="6"/>
      <c r="T5020" s="6"/>
      <c r="U5020" s="6"/>
      <c r="V5020" s="5" t="s">
        <v>702</v>
      </c>
      <c r="W5020" s="12">
        <v>6404203</v>
      </c>
      <c r="X5020" s="6"/>
      <c r="Y5020" s="6"/>
    </row>
    <row r="5021" spans="1:25" ht="15" customHeight="1" x14ac:dyDescent="0.2">
      <c r="A5021" s="88" t="s">
        <v>6188</v>
      </c>
      <c r="B5021" s="90"/>
      <c r="C5021" s="88" t="s">
        <v>6226</v>
      </c>
      <c r="D5021" s="90"/>
      <c r="E5021" s="88" t="s">
        <v>6227</v>
      </c>
      <c r="F5021" s="89"/>
      <c r="G5021" s="89"/>
      <c r="H5021" s="89"/>
      <c r="I5021" s="90"/>
      <c r="J5021" s="88" t="s">
        <v>13</v>
      </c>
      <c r="K5021" s="89"/>
      <c r="L5021" s="89"/>
      <c r="M5021" s="90"/>
      <c r="N5021" s="106"/>
      <c r="O5021" s="107"/>
      <c r="P5021" s="108"/>
      <c r="Q5021" s="106"/>
      <c r="R5021" s="108"/>
      <c r="S5021" s="6"/>
      <c r="T5021" s="6"/>
      <c r="U5021" s="5" t="s">
        <v>6207</v>
      </c>
      <c r="V5021" s="5" t="s">
        <v>17</v>
      </c>
      <c r="W5021" s="12">
        <v>6330637</v>
      </c>
      <c r="X5021" s="6"/>
      <c r="Y5021" s="6"/>
    </row>
    <row r="5022" spans="1:25" ht="15" customHeight="1" x14ac:dyDescent="0.2">
      <c r="A5022" s="88" t="s">
        <v>6188</v>
      </c>
      <c r="B5022" s="90"/>
      <c r="C5022" s="88" t="s">
        <v>6228</v>
      </c>
      <c r="D5022" s="90"/>
      <c r="E5022" s="88" t="s">
        <v>6229</v>
      </c>
      <c r="F5022" s="89"/>
      <c r="G5022" s="89"/>
      <c r="H5022" s="89"/>
      <c r="I5022" s="90"/>
      <c r="J5022" s="88" t="s">
        <v>13</v>
      </c>
      <c r="K5022" s="89"/>
      <c r="L5022" s="89"/>
      <c r="M5022" s="90"/>
      <c r="N5022" s="106"/>
      <c r="O5022" s="107"/>
      <c r="P5022" s="108"/>
      <c r="Q5022" s="106"/>
      <c r="R5022" s="108"/>
      <c r="S5022" s="6"/>
      <c r="T5022" s="6"/>
      <c r="U5022" s="5" t="s">
        <v>6207</v>
      </c>
      <c r="V5022" s="5" t="s">
        <v>17</v>
      </c>
      <c r="W5022" s="12">
        <v>6499504</v>
      </c>
      <c r="X5022" s="6"/>
      <c r="Y5022" s="6"/>
    </row>
    <row r="5023" spans="1:25" ht="15" customHeight="1" x14ac:dyDescent="0.2">
      <c r="A5023" s="88" t="s">
        <v>6188</v>
      </c>
      <c r="B5023" s="90"/>
      <c r="C5023" s="88" t="s">
        <v>6230</v>
      </c>
      <c r="D5023" s="90"/>
      <c r="E5023" s="88" t="s">
        <v>6190</v>
      </c>
      <c r="F5023" s="89"/>
      <c r="G5023" s="89"/>
      <c r="H5023" s="89"/>
      <c r="I5023" s="90"/>
      <c r="J5023" s="88" t="s">
        <v>13</v>
      </c>
      <c r="K5023" s="89"/>
      <c r="L5023" s="89"/>
      <c r="M5023" s="90"/>
      <c r="N5023" s="106"/>
      <c r="O5023" s="107"/>
      <c r="P5023" s="108"/>
      <c r="Q5023" s="106"/>
      <c r="R5023" s="108"/>
      <c r="S5023" s="6"/>
      <c r="T5023" s="6"/>
      <c r="U5023" s="6"/>
      <c r="V5023" s="5" t="s">
        <v>17</v>
      </c>
      <c r="W5023" s="12">
        <v>7326013</v>
      </c>
      <c r="X5023" s="6"/>
      <c r="Y5023" s="6"/>
    </row>
    <row r="5024" spans="1:25" ht="15" customHeight="1" x14ac:dyDescent="0.2">
      <c r="A5024" s="88" t="s">
        <v>6188</v>
      </c>
      <c r="B5024" s="90"/>
      <c r="C5024" s="88" t="s">
        <v>6230</v>
      </c>
      <c r="D5024" s="90"/>
      <c r="E5024" s="88" t="s">
        <v>6190</v>
      </c>
      <c r="F5024" s="89"/>
      <c r="G5024" s="89"/>
      <c r="H5024" s="89"/>
      <c r="I5024" s="90"/>
      <c r="J5024" s="88" t="s">
        <v>13</v>
      </c>
      <c r="K5024" s="89"/>
      <c r="L5024" s="89"/>
      <c r="M5024" s="90"/>
      <c r="N5024" s="106"/>
      <c r="O5024" s="107"/>
      <c r="P5024" s="108"/>
      <c r="Q5024" s="106"/>
      <c r="R5024" s="108"/>
      <c r="S5024" s="6"/>
      <c r="T5024" s="6"/>
      <c r="U5024" s="6"/>
      <c r="V5024" s="5" t="s">
        <v>17</v>
      </c>
      <c r="W5024" s="12">
        <v>8339215</v>
      </c>
      <c r="X5024" s="6"/>
      <c r="Y5024" s="6"/>
    </row>
    <row r="5025" spans="1:25" ht="15" customHeight="1" x14ac:dyDescent="0.2">
      <c r="A5025" s="88" t="s">
        <v>6188</v>
      </c>
      <c r="B5025" s="90"/>
      <c r="C5025" s="88" t="s">
        <v>6231</v>
      </c>
      <c r="D5025" s="90"/>
      <c r="E5025" s="88" t="s">
        <v>6190</v>
      </c>
      <c r="F5025" s="89"/>
      <c r="G5025" s="89"/>
      <c r="H5025" s="89"/>
      <c r="I5025" s="90"/>
      <c r="J5025" s="88" t="s">
        <v>13</v>
      </c>
      <c r="K5025" s="89"/>
      <c r="L5025" s="89"/>
      <c r="M5025" s="90"/>
      <c r="N5025" s="106"/>
      <c r="O5025" s="107"/>
      <c r="P5025" s="108"/>
      <c r="Q5025" s="106"/>
      <c r="R5025" s="108"/>
      <c r="S5025" s="6"/>
      <c r="T5025" s="6"/>
      <c r="U5025" s="6"/>
      <c r="V5025" s="5" t="s">
        <v>17</v>
      </c>
      <c r="W5025" s="12">
        <v>9390881</v>
      </c>
      <c r="X5025" s="6"/>
      <c r="Y5025" s="6"/>
    </row>
    <row r="5026" spans="1:25" ht="15" customHeight="1" x14ac:dyDescent="0.2">
      <c r="A5026" s="88" t="s">
        <v>6188</v>
      </c>
      <c r="B5026" s="90"/>
      <c r="C5026" s="88" t="s">
        <v>6232</v>
      </c>
      <c r="D5026" s="90"/>
      <c r="E5026" s="88" t="s">
        <v>6233</v>
      </c>
      <c r="F5026" s="89"/>
      <c r="G5026" s="89"/>
      <c r="H5026" s="89"/>
      <c r="I5026" s="90"/>
      <c r="J5026" s="88" t="s">
        <v>13</v>
      </c>
      <c r="K5026" s="89"/>
      <c r="L5026" s="89"/>
      <c r="M5026" s="90"/>
      <c r="N5026" s="106"/>
      <c r="O5026" s="107"/>
      <c r="P5026" s="108"/>
      <c r="Q5026" s="133">
        <v>2000</v>
      </c>
      <c r="R5026" s="134"/>
      <c r="S5026" s="6"/>
      <c r="T5026" s="6"/>
      <c r="U5026" s="6"/>
      <c r="V5026" s="5" t="s">
        <v>106</v>
      </c>
      <c r="W5026" s="12">
        <v>7259405</v>
      </c>
      <c r="X5026" s="6"/>
      <c r="Y5026" s="6"/>
    </row>
    <row r="5027" spans="1:25" ht="15" customHeight="1" x14ac:dyDescent="0.2">
      <c r="A5027" s="88" t="s">
        <v>6188</v>
      </c>
      <c r="B5027" s="90"/>
      <c r="C5027" s="88" t="s">
        <v>6234</v>
      </c>
      <c r="D5027" s="90"/>
      <c r="E5027" s="88" t="s">
        <v>6190</v>
      </c>
      <c r="F5027" s="89"/>
      <c r="G5027" s="89"/>
      <c r="H5027" s="89"/>
      <c r="I5027" s="90"/>
      <c r="J5027" s="88" t="s">
        <v>13</v>
      </c>
      <c r="K5027" s="89"/>
      <c r="L5027" s="89"/>
      <c r="M5027" s="90"/>
      <c r="N5027" s="106"/>
      <c r="O5027" s="107"/>
      <c r="P5027" s="108"/>
      <c r="Q5027" s="106"/>
      <c r="R5027" s="108"/>
      <c r="S5027" s="6"/>
      <c r="T5027" s="6"/>
      <c r="U5027" s="6"/>
      <c r="V5027" s="5" t="s">
        <v>17</v>
      </c>
      <c r="W5027" s="12">
        <v>10390010</v>
      </c>
      <c r="X5027" s="6"/>
      <c r="Y5027" s="6"/>
    </row>
    <row r="5028" spans="1:25" ht="15" customHeight="1" x14ac:dyDescent="0.2">
      <c r="A5028" s="88" t="s">
        <v>6188</v>
      </c>
      <c r="B5028" s="90"/>
      <c r="C5028" s="88" t="s">
        <v>6235</v>
      </c>
      <c r="D5028" s="90"/>
      <c r="E5028" s="88" t="s">
        <v>6236</v>
      </c>
      <c r="F5028" s="89"/>
      <c r="G5028" s="89"/>
      <c r="H5028" s="89"/>
      <c r="I5028" s="90"/>
      <c r="J5028" s="88" t="s">
        <v>13</v>
      </c>
      <c r="K5028" s="89"/>
      <c r="L5028" s="89"/>
      <c r="M5028" s="90"/>
      <c r="N5028" s="106"/>
      <c r="O5028" s="107"/>
      <c r="P5028" s="108"/>
      <c r="Q5028" s="133">
        <v>1200</v>
      </c>
      <c r="R5028" s="134"/>
      <c r="S5028" s="6"/>
      <c r="T5028" s="6"/>
      <c r="U5028" s="6"/>
      <c r="V5028" s="5" t="s">
        <v>17</v>
      </c>
      <c r="W5028" s="12">
        <v>2980660</v>
      </c>
      <c r="X5028" s="6"/>
      <c r="Y5028" s="6"/>
    </row>
    <row r="5029" spans="1:25" ht="15" customHeight="1" x14ac:dyDescent="0.2">
      <c r="A5029" s="88" t="s">
        <v>6237</v>
      </c>
      <c r="B5029" s="90"/>
      <c r="C5029" s="88" t="s">
        <v>6238</v>
      </c>
      <c r="D5029" s="90"/>
      <c r="E5029" s="88" t="s">
        <v>6239</v>
      </c>
      <c r="F5029" s="89"/>
      <c r="G5029" s="89"/>
      <c r="H5029" s="89"/>
      <c r="I5029" s="90"/>
      <c r="J5029" s="88" t="s">
        <v>13</v>
      </c>
      <c r="K5029" s="89"/>
      <c r="L5029" s="89"/>
      <c r="M5029" s="90"/>
      <c r="N5029" s="88" t="s">
        <v>26</v>
      </c>
      <c r="O5029" s="89"/>
      <c r="P5029" s="90"/>
      <c r="Q5029" s="133">
        <v>990</v>
      </c>
      <c r="R5029" s="134"/>
      <c r="S5029" s="5" t="s">
        <v>27</v>
      </c>
      <c r="T5029" s="6"/>
      <c r="U5029" s="6"/>
      <c r="V5029" s="5" t="s">
        <v>23</v>
      </c>
      <c r="W5029" s="12">
        <v>3565504</v>
      </c>
      <c r="X5029" s="6"/>
      <c r="Y5029" s="6"/>
    </row>
    <row r="5030" spans="1:25" ht="15" customHeight="1" x14ac:dyDescent="0.2">
      <c r="A5030" s="88" t="s">
        <v>6237</v>
      </c>
      <c r="B5030" s="90"/>
      <c r="C5030" s="88" t="s">
        <v>6240</v>
      </c>
      <c r="D5030" s="90"/>
      <c r="E5030" s="88" t="s">
        <v>6241</v>
      </c>
      <c r="F5030" s="89"/>
      <c r="G5030" s="89"/>
      <c r="H5030" s="89"/>
      <c r="I5030" s="90"/>
      <c r="J5030" s="88" t="s">
        <v>13</v>
      </c>
      <c r="K5030" s="89"/>
      <c r="L5030" s="89"/>
      <c r="M5030" s="90"/>
      <c r="N5030" s="88" t="s">
        <v>26</v>
      </c>
      <c r="O5030" s="89"/>
      <c r="P5030" s="90"/>
      <c r="Q5030" s="133">
        <v>1000</v>
      </c>
      <c r="R5030" s="134"/>
      <c r="S5030" s="5" t="s">
        <v>27</v>
      </c>
      <c r="T5030" s="6"/>
      <c r="U5030" s="6"/>
      <c r="V5030" s="5" t="s">
        <v>23</v>
      </c>
      <c r="W5030" s="12">
        <v>1768724</v>
      </c>
      <c r="X5030" s="6"/>
      <c r="Y5030" s="6"/>
    </row>
    <row r="5031" spans="1:25" ht="15" customHeight="1" x14ac:dyDescent="0.2">
      <c r="A5031" s="88" t="s">
        <v>6237</v>
      </c>
      <c r="B5031" s="90"/>
      <c r="C5031" s="88" t="s">
        <v>6242</v>
      </c>
      <c r="D5031" s="90"/>
      <c r="E5031" s="88" t="s">
        <v>6243</v>
      </c>
      <c r="F5031" s="89"/>
      <c r="G5031" s="89"/>
      <c r="H5031" s="89"/>
      <c r="I5031" s="90"/>
      <c r="J5031" s="88" t="s">
        <v>13</v>
      </c>
      <c r="K5031" s="89"/>
      <c r="L5031" s="89"/>
      <c r="M5031" s="90"/>
      <c r="N5031" s="88" t="s">
        <v>26</v>
      </c>
      <c r="O5031" s="89"/>
      <c r="P5031" s="90"/>
      <c r="Q5031" s="133">
        <v>1000</v>
      </c>
      <c r="R5031" s="134"/>
      <c r="S5031" s="5" t="s">
        <v>27</v>
      </c>
      <c r="T5031" s="6"/>
      <c r="U5031" s="6"/>
      <c r="V5031" s="5" t="s">
        <v>23</v>
      </c>
      <c r="W5031" s="12">
        <v>1929904</v>
      </c>
      <c r="X5031" s="6"/>
      <c r="Y5031" s="6"/>
    </row>
    <row r="5032" spans="1:25" ht="15" customHeight="1" x14ac:dyDescent="0.2">
      <c r="A5032" s="88" t="s">
        <v>6237</v>
      </c>
      <c r="B5032" s="90"/>
      <c r="C5032" s="88" t="s">
        <v>6244</v>
      </c>
      <c r="D5032" s="90"/>
      <c r="E5032" s="88" t="s">
        <v>6245</v>
      </c>
      <c r="F5032" s="89"/>
      <c r="G5032" s="89"/>
      <c r="H5032" s="89"/>
      <c r="I5032" s="90"/>
      <c r="J5032" s="88" t="s">
        <v>13</v>
      </c>
      <c r="K5032" s="89"/>
      <c r="L5032" s="89"/>
      <c r="M5032" s="90"/>
      <c r="N5032" s="88" t="s">
        <v>26</v>
      </c>
      <c r="O5032" s="89"/>
      <c r="P5032" s="90"/>
      <c r="Q5032" s="133">
        <v>1000</v>
      </c>
      <c r="R5032" s="134"/>
      <c r="S5032" s="5" t="s">
        <v>27</v>
      </c>
      <c r="T5032" s="6"/>
      <c r="U5032" s="6"/>
      <c r="V5032" s="5" t="s">
        <v>23</v>
      </c>
      <c r="W5032" s="12">
        <v>1913650</v>
      </c>
      <c r="X5032" s="6"/>
      <c r="Y5032" s="6"/>
    </row>
    <row r="5033" spans="1:25" ht="15" customHeight="1" x14ac:dyDescent="0.2">
      <c r="A5033" s="88" t="s">
        <v>6237</v>
      </c>
      <c r="B5033" s="90"/>
      <c r="C5033" s="88" t="s">
        <v>6246</v>
      </c>
      <c r="D5033" s="90"/>
      <c r="E5033" s="88" t="s">
        <v>6247</v>
      </c>
      <c r="F5033" s="89"/>
      <c r="G5033" s="89"/>
      <c r="H5033" s="89"/>
      <c r="I5033" s="90"/>
      <c r="J5033" s="88" t="s">
        <v>13</v>
      </c>
      <c r="K5033" s="89"/>
      <c r="L5033" s="89"/>
      <c r="M5033" s="90"/>
      <c r="N5033" s="88" t="s">
        <v>26</v>
      </c>
      <c r="O5033" s="89"/>
      <c r="P5033" s="90"/>
      <c r="Q5033" s="133">
        <v>1000</v>
      </c>
      <c r="R5033" s="134"/>
      <c r="S5033" s="5" t="s">
        <v>70</v>
      </c>
      <c r="T5033" s="6"/>
      <c r="U5033" s="6"/>
      <c r="V5033" s="5" t="s">
        <v>23</v>
      </c>
      <c r="W5033" s="12">
        <v>1348262</v>
      </c>
      <c r="X5033" s="6"/>
      <c r="Y5033" s="6"/>
    </row>
    <row r="5034" spans="1:25" ht="15" customHeight="1" x14ac:dyDescent="0.2">
      <c r="A5034" s="88" t="s">
        <v>6237</v>
      </c>
      <c r="B5034" s="90"/>
      <c r="C5034" s="88" t="s">
        <v>6248</v>
      </c>
      <c r="D5034" s="90"/>
      <c r="E5034" s="88" t="s">
        <v>6249</v>
      </c>
      <c r="F5034" s="89"/>
      <c r="G5034" s="89"/>
      <c r="H5034" s="89"/>
      <c r="I5034" s="90"/>
      <c r="J5034" s="88" t="s">
        <v>13</v>
      </c>
      <c r="K5034" s="89"/>
      <c r="L5034" s="89"/>
      <c r="M5034" s="90"/>
      <c r="N5034" s="88" t="s">
        <v>26</v>
      </c>
      <c r="O5034" s="89"/>
      <c r="P5034" s="90"/>
      <c r="Q5034" s="133">
        <v>1000</v>
      </c>
      <c r="R5034" s="134"/>
      <c r="S5034" s="5" t="s">
        <v>70</v>
      </c>
      <c r="T5034" s="6"/>
      <c r="U5034" s="6"/>
      <c r="V5034" s="5" t="s">
        <v>23</v>
      </c>
      <c r="W5034" s="12">
        <v>2234462</v>
      </c>
      <c r="X5034" s="6"/>
      <c r="Y5034" s="6"/>
    </row>
    <row r="5035" spans="1:25" ht="15" customHeight="1" x14ac:dyDescent="0.2">
      <c r="A5035" s="88" t="s">
        <v>6237</v>
      </c>
      <c r="B5035" s="90"/>
      <c r="C5035" s="88" t="s">
        <v>6250</v>
      </c>
      <c r="D5035" s="90"/>
      <c r="E5035" s="88" t="s">
        <v>6251</v>
      </c>
      <c r="F5035" s="89"/>
      <c r="G5035" s="89"/>
      <c r="H5035" s="89"/>
      <c r="I5035" s="90"/>
      <c r="J5035" s="88" t="s">
        <v>13</v>
      </c>
      <c r="K5035" s="89"/>
      <c r="L5035" s="89"/>
      <c r="M5035" s="90"/>
      <c r="N5035" s="88" t="s">
        <v>26</v>
      </c>
      <c r="O5035" s="89"/>
      <c r="P5035" s="90"/>
      <c r="Q5035" s="133">
        <v>1000</v>
      </c>
      <c r="R5035" s="134"/>
      <c r="S5035" s="5" t="s">
        <v>70</v>
      </c>
      <c r="T5035" s="6"/>
      <c r="U5035" s="6"/>
      <c r="V5035" s="5" t="s">
        <v>23</v>
      </c>
      <c r="W5035" s="12">
        <v>2181058</v>
      </c>
      <c r="X5035" s="6"/>
      <c r="Y5035" s="6"/>
    </row>
    <row r="5036" spans="1:25" ht="15" customHeight="1" x14ac:dyDescent="0.2">
      <c r="A5036" s="88" t="s">
        <v>6237</v>
      </c>
      <c r="B5036" s="90"/>
      <c r="C5036" s="88" t="s">
        <v>6252</v>
      </c>
      <c r="D5036" s="90"/>
      <c r="E5036" s="88" t="s">
        <v>6253</v>
      </c>
      <c r="F5036" s="89"/>
      <c r="G5036" s="89"/>
      <c r="H5036" s="89"/>
      <c r="I5036" s="90"/>
      <c r="J5036" s="88" t="s">
        <v>13</v>
      </c>
      <c r="K5036" s="89"/>
      <c r="L5036" s="89"/>
      <c r="M5036" s="90"/>
      <c r="N5036" s="88" t="s">
        <v>26</v>
      </c>
      <c r="O5036" s="89"/>
      <c r="P5036" s="90"/>
      <c r="Q5036" s="133">
        <v>1000</v>
      </c>
      <c r="R5036" s="134"/>
      <c r="S5036" s="5" t="s">
        <v>27</v>
      </c>
      <c r="T5036" s="6"/>
      <c r="U5036" s="6"/>
      <c r="V5036" s="5" t="s">
        <v>23</v>
      </c>
      <c r="W5036" s="12">
        <v>2437437</v>
      </c>
      <c r="X5036" s="6"/>
      <c r="Y5036" s="6"/>
    </row>
    <row r="5037" spans="1:25" ht="15" customHeight="1" x14ac:dyDescent="0.2">
      <c r="A5037" s="88" t="s">
        <v>6237</v>
      </c>
      <c r="B5037" s="90"/>
      <c r="C5037" s="88" t="s">
        <v>6254</v>
      </c>
      <c r="D5037" s="90"/>
      <c r="E5037" s="88" t="s">
        <v>6255</v>
      </c>
      <c r="F5037" s="89"/>
      <c r="G5037" s="89"/>
      <c r="H5037" s="89"/>
      <c r="I5037" s="90"/>
      <c r="J5037" s="88" t="s">
        <v>13</v>
      </c>
      <c r="K5037" s="89"/>
      <c r="L5037" s="89"/>
      <c r="M5037" s="90"/>
      <c r="N5037" s="88" t="s">
        <v>26</v>
      </c>
      <c r="O5037" s="89"/>
      <c r="P5037" s="90"/>
      <c r="Q5037" s="133">
        <v>1000</v>
      </c>
      <c r="R5037" s="134"/>
      <c r="S5037" s="5" t="s">
        <v>70</v>
      </c>
      <c r="T5037" s="6"/>
      <c r="U5037" s="6"/>
      <c r="V5037" s="5" t="s">
        <v>23</v>
      </c>
      <c r="W5037" s="12">
        <v>2257488</v>
      </c>
      <c r="X5037" s="6"/>
      <c r="Y5037" s="6"/>
    </row>
    <row r="5038" spans="1:25" ht="15" customHeight="1" x14ac:dyDescent="0.2">
      <c r="A5038" s="88" t="s">
        <v>6237</v>
      </c>
      <c r="B5038" s="90"/>
      <c r="C5038" s="88" t="s">
        <v>6256</v>
      </c>
      <c r="D5038" s="90"/>
      <c r="E5038" s="88" t="s">
        <v>6257</v>
      </c>
      <c r="F5038" s="89"/>
      <c r="G5038" s="89"/>
      <c r="H5038" s="89"/>
      <c r="I5038" s="90"/>
      <c r="J5038" s="88" t="s">
        <v>13</v>
      </c>
      <c r="K5038" s="89"/>
      <c r="L5038" s="89"/>
      <c r="M5038" s="90"/>
      <c r="N5038" s="88" t="s">
        <v>26</v>
      </c>
      <c r="O5038" s="89"/>
      <c r="P5038" s="90"/>
      <c r="Q5038" s="133">
        <v>1000</v>
      </c>
      <c r="R5038" s="134"/>
      <c r="S5038" s="5" t="s">
        <v>70</v>
      </c>
      <c r="T5038" s="6"/>
      <c r="U5038" s="6"/>
      <c r="V5038" s="5" t="s">
        <v>23</v>
      </c>
      <c r="W5038" s="12">
        <v>2338175</v>
      </c>
      <c r="X5038" s="6"/>
      <c r="Y5038" s="6"/>
    </row>
    <row r="5039" spans="1:25" ht="15" customHeight="1" x14ac:dyDescent="0.2">
      <c r="A5039" s="88" t="s">
        <v>6237</v>
      </c>
      <c r="B5039" s="90"/>
      <c r="C5039" s="88" t="s">
        <v>6258</v>
      </c>
      <c r="D5039" s="90"/>
      <c r="E5039" s="88" t="s">
        <v>6259</v>
      </c>
      <c r="F5039" s="89"/>
      <c r="G5039" s="89"/>
      <c r="H5039" s="89"/>
      <c r="I5039" s="90"/>
      <c r="J5039" s="88" t="s">
        <v>13</v>
      </c>
      <c r="K5039" s="89"/>
      <c r="L5039" s="89"/>
      <c r="M5039" s="90"/>
      <c r="N5039" s="88" t="s">
        <v>26</v>
      </c>
      <c r="O5039" s="89"/>
      <c r="P5039" s="90"/>
      <c r="Q5039" s="133">
        <v>1000</v>
      </c>
      <c r="R5039" s="134"/>
      <c r="S5039" s="5" t="s">
        <v>27</v>
      </c>
      <c r="T5039" s="6"/>
      <c r="U5039" s="6"/>
      <c r="V5039" s="5" t="s">
        <v>96</v>
      </c>
      <c r="W5039" s="12">
        <v>3734036</v>
      </c>
      <c r="X5039" s="6"/>
      <c r="Y5039" s="6"/>
    </row>
    <row r="5040" spans="1:25" ht="15" customHeight="1" x14ac:dyDescent="0.2">
      <c r="A5040" s="88" t="s">
        <v>6237</v>
      </c>
      <c r="B5040" s="90"/>
      <c r="C5040" s="88" t="s">
        <v>6260</v>
      </c>
      <c r="D5040" s="90"/>
      <c r="E5040" s="88" t="s">
        <v>6261</v>
      </c>
      <c r="F5040" s="89"/>
      <c r="G5040" s="89"/>
      <c r="H5040" s="89"/>
      <c r="I5040" s="90"/>
      <c r="J5040" s="88" t="s">
        <v>13</v>
      </c>
      <c r="K5040" s="89"/>
      <c r="L5040" s="89"/>
      <c r="M5040" s="90"/>
      <c r="N5040" s="88" t="s">
        <v>26</v>
      </c>
      <c r="O5040" s="89"/>
      <c r="P5040" s="90"/>
      <c r="Q5040" s="133">
        <v>1000</v>
      </c>
      <c r="R5040" s="134"/>
      <c r="S5040" s="5" t="s">
        <v>27</v>
      </c>
      <c r="T5040" s="6"/>
      <c r="U5040" s="6"/>
      <c r="V5040" s="5" t="s">
        <v>23</v>
      </c>
      <c r="W5040" s="12">
        <v>2679110</v>
      </c>
      <c r="X5040" s="6"/>
      <c r="Y5040" s="6"/>
    </row>
    <row r="5041" spans="1:25" ht="15" customHeight="1" x14ac:dyDescent="0.2">
      <c r="A5041" s="88" t="s">
        <v>6237</v>
      </c>
      <c r="B5041" s="90"/>
      <c r="C5041" s="88" t="s">
        <v>6262</v>
      </c>
      <c r="D5041" s="90"/>
      <c r="E5041" s="88" t="s">
        <v>6263</v>
      </c>
      <c r="F5041" s="89"/>
      <c r="G5041" s="89"/>
      <c r="H5041" s="89"/>
      <c r="I5041" s="90"/>
      <c r="J5041" s="88" t="s">
        <v>13</v>
      </c>
      <c r="K5041" s="89"/>
      <c r="L5041" s="89"/>
      <c r="M5041" s="90"/>
      <c r="N5041" s="88" t="s">
        <v>26</v>
      </c>
      <c r="O5041" s="89"/>
      <c r="P5041" s="90"/>
      <c r="Q5041" s="133">
        <v>1000</v>
      </c>
      <c r="R5041" s="134"/>
      <c r="S5041" s="5" t="s">
        <v>27</v>
      </c>
      <c r="T5041" s="6"/>
      <c r="U5041" s="6"/>
      <c r="V5041" s="5" t="s">
        <v>23</v>
      </c>
      <c r="W5041" s="12">
        <v>3683728</v>
      </c>
      <c r="X5041" s="6"/>
      <c r="Y5041" s="6"/>
    </row>
    <row r="5042" spans="1:25" ht="15" customHeight="1" x14ac:dyDescent="0.2">
      <c r="A5042" s="88" t="s">
        <v>6237</v>
      </c>
      <c r="B5042" s="90"/>
      <c r="C5042" s="88" t="s">
        <v>6264</v>
      </c>
      <c r="D5042" s="90"/>
      <c r="E5042" s="88" t="s">
        <v>6265</v>
      </c>
      <c r="F5042" s="89"/>
      <c r="G5042" s="89"/>
      <c r="H5042" s="89"/>
      <c r="I5042" s="90"/>
      <c r="J5042" s="88" t="s">
        <v>13</v>
      </c>
      <c r="K5042" s="89"/>
      <c r="L5042" s="89"/>
      <c r="M5042" s="90"/>
      <c r="N5042" s="88" t="s">
        <v>26</v>
      </c>
      <c r="O5042" s="89"/>
      <c r="P5042" s="90"/>
      <c r="Q5042" s="133">
        <v>1000</v>
      </c>
      <c r="R5042" s="134"/>
      <c r="S5042" s="5" t="s">
        <v>27</v>
      </c>
      <c r="T5042" s="6"/>
      <c r="U5042" s="6"/>
      <c r="V5042" s="5" t="s">
        <v>23</v>
      </c>
      <c r="W5042" s="12">
        <v>3462178</v>
      </c>
      <c r="X5042" s="6"/>
      <c r="Y5042" s="6"/>
    </row>
    <row r="5043" spans="1:25" ht="15" customHeight="1" x14ac:dyDescent="0.2">
      <c r="A5043" s="88" t="s">
        <v>6237</v>
      </c>
      <c r="B5043" s="90"/>
      <c r="C5043" s="88" t="s">
        <v>6266</v>
      </c>
      <c r="D5043" s="90"/>
      <c r="E5043" s="88" t="s">
        <v>6267</v>
      </c>
      <c r="F5043" s="89"/>
      <c r="G5043" s="89"/>
      <c r="H5043" s="89"/>
      <c r="I5043" s="90"/>
      <c r="J5043" s="88" t="s">
        <v>13</v>
      </c>
      <c r="K5043" s="89"/>
      <c r="L5043" s="89"/>
      <c r="M5043" s="90"/>
      <c r="N5043" s="88" t="s">
        <v>26</v>
      </c>
      <c r="O5043" s="89"/>
      <c r="P5043" s="90"/>
      <c r="Q5043" s="133">
        <v>1000</v>
      </c>
      <c r="R5043" s="134"/>
      <c r="S5043" s="5" t="s">
        <v>70</v>
      </c>
      <c r="T5043" s="6"/>
      <c r="U5043" s="6"/>
      <c r="V5043" s="5" t="s">
        <v>96</v>
      </c>
      <c r="W5043" s="12">
        <v>4375080</v>
      </c>
      <c r="X5043" s="6"/>
      <c r="Y5043" s="6"/>
    </row>
    <row r="5044" spans="1:25" ht="15" customHeight="1" x14ac:dyDescent="0.2">
      <c r="A5044" s="88" t="s">
        <v>6237</v>
      </c>
      <c r="B5044" s="90"/>
      <c r="C5044" s="88" t="s">
        <v>6268</v>
      </c>
      <c r="D5044" s="90"/>
      <c r="E5044" s="88" t="s">
        <v>6269</v>
      </c>
      <c r="F5044" s="89"/>
      <c r="G5044" s="89"/>
      <c r="H5044" s="89"/>
      <c r="I5044" s="90"/>
      <c r="J5044" s="88" t="s">
        <v>13</v>
      </c>
      <c r="K5044" s="89"/>
      <c r="L5044" s="89"/>
      <c r="M5044" s="90"/>
      <c r="N5044" s="88" t="s">
        <v>26</v>
      </c>
      <c r="O5044" s="89"/>
      <c r="P5044" s="90"/>
      <c r="Q5044" s="133">
        <v>1000</v>
      </c>
      <c r="R5044" s="134"/>
      <c r="S5044" s="5" t="s">
        <v>70</v>
      </c>
      <c r="T5044" s="6"/>
      <c r="U5044" s="6"/>
      <c r="V5044" s="5" t="s">
        <v>96</v>
      </c>
      <c r="W5044" s="12">
        <v>4274657</v>
      </c>
      <c r="X5044" s="6"/>
      <c r="Y5044" s="6"/>
    </row>
    <row r="5045" spans="1:25" ht="15" customHeight="1" x14ac:dyDescent="0.2">
      <c r="A5045" s="88" t="s">
        <v>6237</v>
      </c>
      <c r="B5045" s="90"/>
      <c r="C5045" s="88" t="s">
        <v>6270</v>
      </c>
      <c r="D5045" s="90"/>
      <c r="E5045" s="88" t="s">
        <v>6271</v>
      </c>
      <c r="F5045" s="89"/>
      <c r="G5045" s="89"/>
      <c r="H5045" s="89"/>
      <c r="I5045" s="90"/>
      <c r="J5045" s="88" t="s">
        <v>13</v>
      </c>
      <c r="K5045" s="89"/>
      <c r="L5045" s="89"/>
      <c r="M5045" s="90"/>
      <c r="N5045" s="88" t="s">
        <v>26</v>
      </c>
      <c r="O5045" s="89"/>
      <c r="P5045" s="90"/>
      <c r="Q5045" s="133">
        <v>1200</v>
      </c>
      <c r="R5045" s="134"/>
      <c r="S5045" s="5" t="s">
        <v>271</v>
      </c>
      <c r="T5045" s="6"/>
      <c r="U5045" s="6"/>
      <c r="V5045" s="5" t="s">
        <v>23</v>
      </c>
      <c r="W5045" s="12">
        <v>2425053</v>
      </c>
      <c r="X5045" s="6"/>
      <c r="Y5045" s="6"/>
    </row>
    <row r="5046" spans="1:25" ht="15" customHeight="1" x14ac:dyDescent="0.2">
      <c r="A5046" s="88" t="s">
        <v>6237</v>
      </c>
      <c r="B5046" s="90"/>
      <c r="C5046" s="88" t="s">
        <v>6272</v>
      </c>
      <c r="D5046" s="90"/>
      <c r="E5046" s="88" t="s">
        <v>6271</v>
      </c>
      <c r="F5046" s="89"/>
      <c r="G5046" s="89"/>
      <c r="H5046" s="89"/>
      <c r="I5046" s="90"/>
      <c r="J5046" s="88" t="s">
        <v>13</v>
      </c>
      <c r="K5046" s="89"/>
      <c r="L5046" s="89"/>
      <c r="M5046" s="90"/>
      <c r="N5046" s="88" t="s">
        <v>26</v>
      </c>
      <c r="O5046" s="89"/>
      <c r="P5046" s="90"/>
      <c r="Q5046" s="133">
        <v>1200</v>
      </c>
      <c r="R5046" s="134"/>
      <c r="S5046" s="5" t="s">
        <v>271</v>
      </c>
      <c r="T5046" s="6"/>
      <c r="U5046" s="6"/>
      <c r="V5046" s="5" t="s">
        <v>23</v>
      </c>
      <c r="W5046" s="12">
        <v>2561079</v>
      </c>
      <c r="X5046" s="6"/>
      <c r="Y5046" s="6"/>
    </row>
    <row r="5047" spans="1:25" ht="15" customHeight="1" x14ac:dyDescent="0.2">
      <c r="A5047" s="88" t="s">
        <v>6237</v>
      </c>
      <c r="B5047" s="90"/>
      <c r="C5047" s="88" t="s">
        <v>6273</v>
      </c>
      <c r="D5047" s="90"/>
      <c r="E5047" s="88" t="s">
        <v>6274</v>
      </c>
      <c r="F5047" s="89"/>
      <c r="G5047" s="89"/>
      <c r="H5047" s="89"/>
      <c r="I5047" s="90"/>
      <c r="J5047" s="88" t="s">
        <v>13</v>
      </c>
      <c r="K5047" s="89"/>
      <c r="L5047" s="89"/>
      <c r="M5047" s="90"/>
      <c r="N5047" s="88" t="s">
        <v>26</v>
      </c>
      <c r="O5047" s="89"/>
      <c r="P5047" s="90"/>
      <c r="Q5047" s="133">
        <v>1200</v>
      </c>
      <c r="R5047" s="134"/>
      <c r="S5047" s="5" t="s">
        <v>27</v>
      </c>
      <c r="T5047" s="6"/>
      <c r="U5047" s="6"/>
      <c r="V5047" s="5" t="s">
        <v>23</v>
      </c>
      <c r="W5047" s="12">
        <v>2871249</v>
      </c>
      <c r="X5047" s="6"/>
      <c r="Y5047" s="6"/>
    </row>
    <row r="5048" spans="1:25" ht="15" customHeight="1" x14ac:dyDescent="0.2">
      <c r="A5048" s="88" t="s">
        <v>6237</v>
      </c>
      <c r="B5048" s="90"/>
      <c r="C5048" s="88" t="s">
        <v>6275</v>
      </c>
      <c r="D5048" s="90"/>
      <c r="E5048" s="88" t="s">
        <v>6276</v>
      </c>
      <c r="F5048" s="89"/>
      <c r="G5048" s="89"/>
      <c r="H5048" s="89"/>
      <c r="I5048" s="90"/>
      <c r="J5048" s="88" t="s">
        <v>13</v>
      </c>
      <c r="K5048" s="89"/>
      <c r="L5048" s="89"/>
      <c r="M5048" s="90"/>
      <c r="N5048" s="88" t="s">
        <v>26</v>
      </c>
      <c r="O5048" s="89"/>
      <c r="P5048" s="90"/>
      <c r="Q5048" s="133">
        <v>1200</v>
      </c>
      <c r="R5048" s="134"/>
      <c r="S5048" s="5" t="s">
        <v>271</v>
      </c>
      <c r="T5048" s="6"/>
      <c r="U5048" s="6"/>
      <c r="V5048" s="5" t="s">
        <v>23</v>
      </c>
      <c r="W5048" s="12">
        <v>4289363</v>
      </c>
      <c r="X5048" s="6"/>
      <c r="Y5048" s="6"/>
    </row>
    <row r="5049" spans="1:25" ht="15" customHeight="1" x14ac:dyDescent="0.2">
      <c r="A5049" s="88" t="s">
        <v>6237</v>
      </c>
      <c r="B5049" s="90"/>
      <c r="C5049" s="88" t="s">
        <v>6277</v>
      </c>
      <c r="D5049" s="90"/>
      <c r="E5049" s="88" t="s">
        <v>6278</v>
      </c>
      <c r="F5049" s="89"/>
      <c r="G5049" s="89"/>
      <c r="H5049" s="89"/>
      <c r="I5049" s="90"/>
      <c r="J5049" s="88" t="s">
        <v>13</v>
      </c>
      <c r="K5049" s="89"/>
      <c r="L5049" s="89"/>
      <c r="M5049" s="90"/>
      <c r="N5049" s="88" t="s">
        <v>26</v>
      </c>
      <c r="O5049" s="89"/>
      <c r="P5049" s="90"/>
      <c r="Q5049" s="133">
        <v>1200</v>
      </c>
      <c r="R5049" s="134"/>
      <c r="S5049" s="5" t="s">
        <v>70</v>
      </c>
      <c r="T5049" s="6"/>
      <c r="U5049" s="6"/>
      <c r="V5049" s="5" t="s">
        <v>23</v>
      </c>
      <c r="W5049" s="12">
        <v>2544826</v>
      </c>
      <c r="X5049" s="6"/>
      <c r="Y5049" s="6"/>
    </row>
    <row r="5050" spans="1:25" ht="15" customHeight="1" x14ac:dyDescent="0.2">
      <c r="A5050" s="88" t="s">
        <v>6237</v>
      </c>
      <c r="B5050" s="90"/>
      <c r="C5050" s="88" t="s">
        <v>6279</v>
      </c>
      <c r="D5050" s="90"/>
      <c r="E5050" s="88" t="s">
        <v>6280</v>
      </c>
      <c r="F5050" s="89"/>
      <c r="G5050" s="89"/>
      <c r="H5050" s="89"/>
      <c r="I5050" s="90"/>
      <c r="J5050" s="88" t="s">
        <v>13</v>
      </c>
      <c r="K5050" s="89"/>
      <c r="L5050" s="89"/>
      <c r="M5050" s="90"/>
      <c r="N5050" s="88" t="s">
        <v>26</v>
      </c>
      <c r="O5050" s="89"/>
      <c r="P5050" s="90"/>
      <c r="Q5050" s="133">
        <v>1400</v>
      </c>
      <c r="R5050" s="134"/>
      <c r="S5050" s="5" t="s">
        <v>70</v>
      </c>
      <c r="T5050" s="6"/>
      <c r="U5050" s="6"/>
      <c r="V5050" s="5" t="s">
        <v>23</v>
      </c>
      <c r="W5050" s="12">
        <v>2572882</v>
      </c>
      <c r="X5050" s="6"/>
      <c r="Y5050" s="6"/>
    </row>
    <row r="5051" spans="1:25" ht="15" customHeight="1" x14ac:dyDescent="0.2">
      <c r="A5051" s="88" t="s">
        <v>6237</v>
      </c>
      <c r="B5051" s="90"/>
      <c r="C5051" s="88" t="s">
        <v>6281</v>
      </c>
      <c r="D5051" s="90"/>
      <c r="E5051" s="88" t="s">
        <v>6282</v>
      </c>
      <c r="F5051" s="89"/>
      <c r="G5051" s="89"/>
      <c r="H5051" s="89"/>
      <c r="I5051" s="90"/>
      <c r="J5051" s="88" t="s">
        <v>13</v>
      </c>
      <c r="K5051" s="89"/>
      <c r="L5051" s="89"/>
      <c r="M5051" s="90"/>
      <c r="N5051" s="88" t="s">
        <v>26</v>
      </c>
      <c r="O5051" s="89"/>
      <c r="P5051" s="90"/>
      <c r="Q5051" s="133">
        <v>1400</v>
      </c>
      <c r="R5051" s="134"/>
      <c r="S5051" s="5" t="s">
        <v>70</v>
      </c>
      <c r="T5051" s="6"/>
      <c r="U5051" s="6"/>
      <c r="V5051" s="5" t="s">
        <v>23</v>
      </c>
      <c r="W5051" s="12">
        <v>3592399</v>
      </c>
      <c r="X5051" s="6"/>
      <c r="Y5051" s="6"/>
    </row>
    <row r="5052" spans="1:25" ht="15" customHeight="1" x14ac:dyDescent="0.2">
      <c r="A5052" s="88" t="s">
        <v>6237</v>
      </c>
      <c r="B5052" s="90"/>
      <c r="C5052" s="88" t="s">
        <v>6283</v>
      </c>
      <c r="D5052" s="90"/>
      <c r="E5052" s="88" t="s">
        <v>6284</v>
      </c>
      <c r="F5052" s="89"/>
      <c r="G5052" s="89"/>
      <c r="H5052" s="89"/>
      <c r="I5052" s="90"/>
      <c r="J5052" s="88" t="s">
        <v>13</v>
      </c>
      <c r="K5052" s="89"/>
      <c r="L5052" s="89"/>
      <c r="M5052" s="90"/>
      <c r="N5052" s="88" t="s">
        <v>26</v>
      </c>
      <c r="O5052" s="89"/>
      <c r="P5052" s="90"/>
      <c r="Q5052" s="133">
        <v>1400</v>
      </c>
      <c r="R5052" s="134"/>
      <c r="S5052" s="5" t="s">
        <v>70</v>
      </c>
      <c r="T5052" s="6"/>
      <c r="U5052" s="6"/>
      <c r="V5052" s="5" t="s">
        <v>23</v>
      </c>
      <c r="W5052" s="12">
        <v>3766930</v>
      </c>
      <c r="X5052" s="6"/>
      <c r="Y5052" s="6"/>
    </row>
    <row r="5053" spans="1:25" ht="15" customHeight="1" x14ac:dyDescent="0.2">
      <c r="A5053" s="88" t="s">
        <v>6237</v>
      </c>
      <c r="B5053" s="90"/>
      <c r="C5053" s="88" t="s">
        <v>6285</v>
      </c>
      <c r="D5053" s="90"/>
      <c r="E5053" s="88" t="s">
        <v>6284</v>
      </c>
      <c r="F5053" s="89"/>
      <c r="G5053" s="89"/>
      <c r="H5053" s="89"/>
      <c r="I5053" s="90"/>
      <c r="J5053" s="88" t="s">
        <v>13</v>
      </c>
      <c r="K5053" s="89"/>
      <c r="L5053" s="89"/>
      <c r="M5053" s="90"/>
      <c r="N5053" s="88" t="s">
        <v>26</v>
      </c>
      <c r="O5053" s="89"/>
      <c r="P5053" s="90"/>
      <c r="Q5053" s="133">
        <v>1400</v>
      </c>
      <c r="R5053" s="134"/>
      <c r="S5053" s="5" t="s">
        <v>70</v>
      </c>
      <c r="T5053" s="6"/>
      <c r="U5053" s="6"/>
      <c r="V5053" s="5" t="s">
        <v>23</v>
      </c>
      <c r="W5053" s="12">
        <v>4398106</v>
      </c>
      <c r="X5053" s="6"/>
      <c r="Y5053" s="6"/>
    </row>
    <row r="5054" spans="1:25" ht="15" customHeight="1" x14ac:dyDescent="0.2">
      <c r="A5054" s="88" t="s">
        <v>6237</v>
      </c>
      <c r="B5054" s="90"/>
      <c r="C5054" s="88" t="s">
        <v>6286</v>
      </c>
      <c r="D5054" s="90"/>
      <c r="E5054" s="88" t="s">
        <v>6287</v>
      </c>
      <c r="F5054" s="89"/>
      <c r="G5054" s="89"/>
      <c r="H5054" s="89"/>
      <c r="I5054" s="90"/>
      <c r="J5054" s="88" t="s">
        <v>13</v>
      </c>
      <c r="K5054" s="89"/>
      <c r="L5054" s="89"/>
      <c r="M5054" s="90"/>
      <c r="N5054" s="88" t="s">
        <v>26</v>
      </c>
      <c r="O5054" s="89"/>
      <c r="P5054" s="90"/>
      <c r="Q5054" s="133">
        <v>1400</v>
      </c>
      <c r="R5054" s="134"/>
      <c r="S5054" s="5" t="s">
        <v>27</v>
      </c>
      <c r="T5054" s="6"/>
      <c r="U5054" s="6"/>
      <c r="V5054" s="5" t="s">
        <v>23</v>
      </c>
      <c r="W5054" s="12">
        <v>5471220</v>
      </c>
      <c r="X5054" s="6"/>
      <c r="Y5054" s="6"/>
    </row>
    <row r="5055" spans="1:25" ht="15" customHeight="1" x14ac:dyDescent="0.2">
      <c r="A5055" s="88" t="s">
        <v>6237</v>
      </c>
      <c r="B5055" s="90"/>
      <c r="C5055" s="88" t="s">
        <v>6288</v>
      </c>
      <c r="D5055" s="90"/>
      <c r="E5055" s="88" t="s">
        <v>6289</v>
      </c>
      <c r="F5055" s="89"/>
      <c r="G5055" s="89"/>
      <c r="H5055" s="89"/>
      <c r="I5055" s="90"/>
      <c r="J5055" s="88" t="s">
        <v>13</v>
      </c>
      <c r="K5055" s="89"/>
      <c r="L5055" s="89"/>
      <c r="M5055" s="90"/>
      <c r="N5055" s="88" t="s">
        <v>26</v>
      </c>
      <c r="O5055" s="89"/>
      <c r="P5055" s="90"/>
      <c r="Q5055" s="133">
        <v>1500</v>
      </c>
      <c r="R5055" s="134"/>
      <c r="S5055" s="5" t="s">
        <v>27</v>
      </c>
      <c r="T5055" s="6"/>
      <c r="U5055" s="6"/>
      <c r="V5055" s="5" t="s">
        <v>106</v>
      </c>
      <c r="W5055" s="12">
        <v>3860968</v>
      </c>
      <c r="X5055" s="6"/>
      <c r="Y5055" s="6"/>
    </row>
    <row r="5056" spans="1:25" ht="15" customHeight="1" x14ac:dyDescent="0.2">
      <c r="A5056" s="88" t="s">
        <v>6237</v>
      </c>
      <c r="B5056" s="90"/>
      <c r="C5056" s="88" t="s">
        <v>6290</v>
      </c>
      <c r="D5056" s="90"/>
      <c r="E5056" s="88" t="s">
        <v>6291</v>
      </c>
      <c r="F5056" s="89"/>
      <c r="G5056" s="89"/>
      <c r="H5056" s="89"/>
      <c r="I5056" s="90"/>
      <c r="J5056" s="88" t="s">
        <v>13</v>
      </c>
      <c r="K5056" s="89"/>
      <c r="L5056" s="89"/>
      <c r="M5056" s="90"/>
      <c r="N5056" s="88" t="s">
        <v>26</v>
      </c>
      <c r="O5056" s="89"/>
      <c r="P5056" s="90"/>
      <c r="Q5056" s="133">
        <v>1500</v>
      </c>
      <c r="R5056" s="134"/>
      <c r="S5056" s="5" t="s">
        <v>70</v>
      </c>
      <c r="T5056" s="6"/>
      <c r="U5056" s="6"/>
      <c r="V5056" s="5" t="s">
        <v>23</v>
      </c>
      <c r="W5056" s="12">
        <v>3860968</v>
      </c>
      <c r="X5056" s="6"/>
      <c r="Y5056" s="6"/>
    </row>
    <row r="5057" spans="1:25" ht="15" customHeight="1" x14ac:dyDescent="0.2">
      <c r="A5057" s="88" t="s">
        <v>6237</v>
      </c>
      <c r="B5057" s="90"/>
      <c r="C5057" s="88" t="s">
        <v>6292</v>
      </c>
      <c r="D5057" s="90"/>
      <c r="E5057" s="88" t="s">
        <v>6239</v>
      </c>
      <c r="F5057" s="89"/>
      <c r="G5057" s="89"/>
      <c r="H5057" s="89"/>
      <c r="I5057" s="90"/>
      <c r="J5057" s="88" t="s">
        <v>13</v>
      </c>
      <c r="K5057" s="89"/>
      <c r="L5057" s="89"/>
      <c r="M5057" s="90"/>
      <c r="N5057" s="88" t="s">
        <v>26</v>
      </c>
      <c r="O5057" s="89"/>
      <c r="P5057" s="90"/>
      <c r="Q5057" s="133">
        <v>1500</v>
      </c>
      <c r="R5057" s="134"/>
      <c r="S5057" s="5" t="s">
        <v>27</v>
      </c>
      <c r="T5057" s="6"/>
      <c r="U5057" s="6"/>
      <c r="V5057" s="5" t="s">
        <v>23</v>
      </c>
      <c r="W5057" s="12">
        <v>4599726</v>
      </c>
      <c r="X5057" s="6"/>
      <c r="Y5057" s="6"/>
    </row>
    <row r="5058" spans="1:25" ht="15" customHeight="1" x14ac:dyDescent="0.2">
      <c r="A5058" s="88" t="s">
        <v>6237</v>
      </c>
      <c r="B5058" s="90"/>
      <c r="C5058" s="88" t="s">
        <v>6283</v>
      </c>
      <c r="D5058" s="90"/>
      <c r="E5058" s="88" t="s">
        <v>6293</v>
      </c>
      <c r="F5058" s="89"/>
      <c r="G5058" s="89"/>
      <c r="H5058" s="89"/>
      <c r="I5058" s="90"/>
      <c r="J5058" s="88" t="s">
        <v>13</v>
      </c>
      <c r="K5058" s="89"/>
      <c r="L5058" s="89"/>
      <c r="M5058" s="90"/>
      <c r="N5058" s="88" t="s">
        <v>26</v>
      </c>
      <c r="O5058" s="89"/>
      <c r="P5058" s="90"/>
      <c r="Q5058" s="133">
        <v>1500</v>
      </c>
      <c r="R5058" s="134"/>
      <c r="S5058" s="5" t="s">
        <v>70</v>
      </c>
      <c r="T5058" s="6"/>
      <c r="U5058" s="6"/>
      <c r="V5058" s="5" t="s">
        <v>23</v>
      </c>
      <c r="W5058" s="12">
        <v>3107698</v>
      </c>
      <c r="X5058" s="6"/>
      <c r="Y5058" s="6"/>
    </row>
    <row r="5059" spans="1:25" ht="15" customHeight="1" x14ac:dyDescent="0.2">
      <c r="A5059" s="88" t="s">
        <v>6237</v>
      </c>
      <c r="B5059" s="90"/>
      <c r="C5059" s="88" t="s">
        <v>6294</v>
      </c>
      <c r="D5059" s="90"/>
      <c r="E5059" s="88" t="s">
        <v>6295</v>
      </c>
      <c r="F5059" s="89"/>
      <c r="G5059" s="89"/>
      <c r="H5059" s="89"/>
      <c r="I5059" s="90"/>
      <c r="J5059" s="88" t="s">
        <v>13</v>
      </c>
      <c r="K5059" s="89"/>
      <c r="L5059" s="89"/>
      <c r="M5059" s="90"/>
      <c r="N5059" s="88" t="s">
        <v>26</v>
      </c>
      <c r="O5059" s="89"/>
      <c r="P5059" s="90"/>
      <c r="Q5059" s="133">
        <v>1500</v>
      </c>
      <c r="R5059" s="134"/>
      <c r="S5059" s="5" t="s">
        <v>70</v>
      </c>
      <c r="T5059" s="6"/>
      <c r="U5059" s="6"/>
      <c r="V5059" s="5" t="s">
        <v>23</v>
      </c>
      <c r="W5059" s="12">
        <v>5244253</v>
      </c>
      <c r="X5059" s="6"/>
      <c r="Y5059" s="6"/>
    </row>
    <row r="5060" spans="1:25" ht="15" customHeight="1" x14ac:dyDescent="0.2">
      <c r="A5060" s="88" t="s">
        <v>6237</v>
      </c>
      <c r="B5060" s="90"/>
      <c r="C5060" s="88" t="s">
        <v>6290</v>
      </c>
      <c r="D5060" s="90"/>
      <c r="E5060" s="88" t="s">
        <v>6296</v>
      </c>
      <c r="F5060" s="89"/>
      <c r="G5060" s="89"/>
      <c r="H5060" s="89"/>
      <c r="I5060" s="90"/>
      <c r="J5060" s="88" t="s">
        <v>13</v>
      </c>
      <c r="K5060" s="89"/>
      <c r="L5060" s="89"/>
      <c r="M5060" s="90"/>
      <c r="N5060" s="88" t="s">
        <v>26</v>
      </c>
      <c r="O5060" s="89"/>
      <c r="P5060" s="90"/>
      <c r="Q5060" s="133">
        <v>1500</v>
      </c>
      <c r="R5060" s="134"/>
      <c r="S5060" s="5" t="s">
        <v>70</v>
      </c>
      <c r="T5060" s="6"/>
      <c r="U5060" s="6"/>
      <c r="V5060" s="5" t="s">
        <v>96</v>
      </c>
      <c r="W5060" s="12">
        <v>4912605</v>
      </c>
      <c r="X5060" s="6"/>
      <c r="Y5060" s="6"/>
    </row>
    <row r="5061" spans="1:25" ht="15" customHeight="1" x14ac:dyDescent="0.2">
      <c r="A5061" s="88" t="s">
        <v>6237</v>
      </c>
      <c r="B5061" s="90"/>
      <c r="C5061" s="88" t="s">
        <v>6297</v>
      </c>
      <c r="D5061" s="90"/>
      <c r="E5061" s="88" t="s">
        <v>6298</v>
      </c>
      <c r="F5061" s="89"/>
      <c r="G5061" s="89"/>
      <c r="H5061" s="89"/>
      <c r="I5061" s="90"/>
      <c r="J5061" s="88" t="s">
        <v>13</v>
      </c>
      <c r="K5061" s="89"/>
      <c r="L5061" s="89"/>
      <c r="M5061" s="90"/>
      <c r="N5061" s="88" t="s">
        <v>26</v>
      </c>
      <c r="O5061" s="89"/>
      <c r="P5061" s="90"/>
      <c r="Q5061" s="133">
        <v>1500</v>
      </c>
      <c r="R5061" s="134"/>
      <c r="S5061" s="5" t="s">
        <v>70</v>
      </c>
      <c r="T5061" s="6"/>
      <c r="U5061" s="6"/>
      <c r="V5061" s="5" t="s">
        <v>23</v>
      </c>
      <c r="W5061" s="12">
        <v>4707115</v>
      </c>
      <c r="X5061" s="6"/>
      <c r="Y5061" s="6"/>
    </row>
    <row r="5062" spans="1:25" ht="15" customHeight="1" x14ac:dyDescent="0.2">
      <c r="A5062" s="88" t="s">
        <v>6237</v>
      </c>
      <c r="B5062" s="90"/>
      <c r="C5062" s="88" t="s">
        <v>6299</v>
      </c>
      <c r="D5062" s="90"/>
      <c r="E5062" s="88" t="s">
        <v>6300</v>
      </c>
      <c r="F5062" s="89"/>
      <c r="G5062" s="89"/>
      <c r="H5062" s="89"/>
      <c r="I5062" s="90"/>
      <c r="J5062" s="88" t="s">
        <v>13</v>
      </c>
      <c r="K5062" s="89"/>
      <c r="L5062" s="89"/>
      <c r="M5062" s="90"/>
      <c r="N5062" s="88" t="s">
        <v>26</v>
      </c>
      <c r="O5062" s="89"/>
      <c r="P5062" s="90"/>
      <c r="Q5062" s="133">
        <v>1500</v>
      </c>
      <c r="R5062" s="134"/>
      <c r="S5062" s="5" t="s">
        <v>70</v>
      </c>
      <c r="T5062" s="6"/>
      <c r="U5062" s="6"/>
      <c r="V5062" s="5" t="s">
        <v>106</v>
      </c>
      <c r="W5062" s="12">
        <v>5326100</v>
      </c>
      <c r="X5062" s="6"/>
      <c r="Y5062" s="6"/>
    </row>
    <row r="5063" spans="1:25" ht="15" customHeight="1" x14ac:dyDescent="0.2">
      <c r="A5063" s="88" t="s">
        <v>6237</v>
      </c>
      <c r="B5063" s="90"/>
      <c r="C5063" s="88" t="s">
        <v>6301</v>
      </c>
      <c r="D5063" s="90"/>
      <c r="E5063" s="88" t="s">
        <v>6302</v>
      </c>
      <c r="F5063" s="89"/>
      <c r="G5063" s="89"/>
      <c r="H5063" s="89"/>
      <c r="I5063" s="90"/>
      <c r="J5063" s="88" t="s">
        <v>13</v>
      </c>
      <c r="K5063" s="89"/>
      <c r="L5063" s="89"/>
      <c r="M5063" s="90"/>
      <c r="N5063" s="88" t="s">
        <v>26</v>
      </c>
      <c r="O5063" s="89"/>
      <c r="P5063" s="90"/>
      <c r="Q5063" s="133">
        <v>1500</v>
      </c>
      <c r="R5063" s="134"/>
      <c r="S5063" s="5" t="s">
        <v>27</v>
      </c>
      <c r="T5063" s="6"/>
      <c r="U5063" s="6"/>
      <c r="V5063" s="5" t="s">
        <v>96</v>
      </c>
      <c r="W5063" s="12">
        <v>6076855</v>
      </c>
      <c r="X5063" s="6"/>
      <c r="Y5063" s="6"/>
    </row>
    <row r="5064" spans="1:25" ht="15" customHeight="1" x14ac:dyDescent="0.2">
      <c r="A5064" s="88" t="s">
        <v>6237</v>
      </c>
      <c r="B5064" s="90"/>
      <c r="C5064" s="88" t="s">
        <v>6303</v>
      </c>
      <c r="D5064" s="90"/>
      <c r="E5064" s="88" t="s">
        <v>6304</v>
      </c>
      <c r="F5064" s="89"/>
      <c r="G5064" s="89"/>
      <c r="H5064" s="89"/>
      <c r="I5064" s="90"/>
      <c r="J5064" s="88" t="s">
        <v>13</v>
      </c>
      <c r="K5064" s="89"/>
      <c r="L5064" s="89"/>
      <c r="M5064" s="90"/>
      <c r="N5064" s="88" t="s">
        <v>26</v>
      </c>
      <c r="O5064" s="89"/>
      <c r="P5064" s="90"/>
      <c r="Q5064" s="133">
        <v>1500</v>
      </c>
      <c r="R5064" s="134"/>
      <c r="S5064" s="5" t="s">
        <v>70</v>
      </c>
      <c r="T5064" s="6"/>
      <c r="U5064" s="6"/>
      <c r="V5064" s="5" t="s">
        <v>23</v>
      </c>
      <c r="W5064" s="12">
        <v>5604150</v>
      </c>
      <c r="X5064" s="6"/>
      <c r="Y5064" s="6"/>
    </row>
    <row r="5065" spans="1:25" ht="15" customHeight="1" x14ac:dyDescent="0.2">
      <c r="A5065" s="88" t="s">
        <v>6237</v>
      </c>
      <c r="B5065" s="90"/>
      <c r="C5065" s="88" t="s">
        <v>6305</v>
      </c>
      <c r="D5065" s="90"/>
      <c r="E5065" s="88" t="s">
        <v>6306</v>
      </c>
      <c r="F5065" s="89"/>
      <c r="G5065" s="89"/>
      <c r="H5065" s="89"/>
      <c r="I5065" s="90"/>
      <c r="J5065" s="88" t="s">
        <v>13</v>
      </c>
      <c r="K5065" s="89"/>
      <c r="L5065" s="89"/>
      <c r="M5065" s="90"/>
      <c r="N5065" s="88" t="s">
        <v>26</v>
      </c>
      <c r="O5065" s="89"/>
      <c r="P5065" s="90"/>
      <c r="Q5065" s="133">
        <v>1500</v>
      </c>
      <c r="R5065" s="134"/>
      <c r="S5065" s="5" t="s">
        <v>44</v>
      </c>
      <c r="T5065" s="6"/>
      <c r="U5065" s="6"/>
      <c r="V5065" s="5" t="s">
        <v>23</v>
      </c>
      <c r="W5065" s="12">
        <v>6479708</v>
      </c>
      <c r="X5065" s="6"/>
      <c r="Y5065" s="6"/>
    </row>
    <row r="5066" spans="1:25" ht="15" customHeight="1" x14ac:dyDescent="0.2">
      <c r="A5066" s="88" t="s">
        <v>6237</v>
      </c>
      <c r="B5066" s="90"/>
      <c r="C5066" s="88" t="s">
        <v>2067</v>
      </c>
      <c r="D5066" s="90"/>
      <c r="E5066" s="133">
        <v>269</v>
      </c>
      <c r="F5066" s="135"/>
      <c r="G5066" s="135"/>
      <c r="H5066" s="135"/>
      <c r="I5066" s="134"/>
      <c r="J5066" s="88" t="s">
        <v>13</v>
      </c>
      <c r="K5066" s="89"/>
      <c r="L5066" s="89"/>
      <c r="M5066" s="90"/>
      <c r="N5066" s="88" t="s">
        <v>26</v>
      </c>
      <c r="O5066" s="89"/>
      <c r="P5066" s="90"/>
      <c r="Q5066" s="133">
        <v>1600</v>
      </c>
      <c r="R5066" s="134"/>
      <c r="S5066" s="5" t="s">
        <v>2067</v>
      </c>
      <c r="T5066" s="6"/>
      <c r="U5066" s="6"/>
      <c r="V5066" s="5" t="s">
        <v>23</v>
      </c>
      <c r="W5066" s="12">
        <v>4285211</v>
      </c>
      <c r="X5066" s="6"/>
      <c r="Y5066" s="6"/>
    </row>
    <row r="5067" spans="1:25" ht="15" customHeight="1" x14ac:dyDescent="0.2">
      <c r="A5067" s="88" t="s">
        <v>6237</v>
      </c>
      <c r="B5067" s="90"/>
      <c r="C5067" s="88" t="s">
        <v>6307</v>
      </c>
      <c r="D5067" s="90"/>
      <c r="E5067" s="88" t="s">
        <v>6308</v>
      </c>
      <c r="F5067" s="89"/>
      <c r="G5067" s="89"/>
      <c r="H5067" s="89"/>
      <c r="I5067" s="90"/>
      <c r="J5067" s="88" t="s">
        <v>13</v>
      </c>
      <c r="K5067" s="89"/>
      <c r="L5067" s="89"/>
      <c r="M5067" s="90"/>
      <c r="N5067" s="88" t="s">
        <v>26</v>
      </c>
      <c r="O5067" s="89"/>
      <c r="P5067" s="90"/>
      <c r="Q5067" s="133">
        <v>1800</v>
      </c>
      <c r="R5067" s="134"/>
      <c r="S5067" s="5" t="s">
        <v>271</v>
      </c>
      <c r="T5067" s="6"/>
      <c r="U5067" s="6"/>
      <c r="V5067" s="5" t="s">
        <v>23</v>
      </c>
      <c r="W5067" s="12">
        <v>698898</v>
      </c>
      <c r="X5067" s="6"/>
      <c r="Y5067" s="6"/>
    </row>
    <row r="5068" spans="1:25" ht="15" customHeight="1" x14ac:dyDescent="0.2">
      <c r="A5068" s="88" t="s">
        <v>6237</v>
      </c>
      <c r="B5068" s="90"/>
      <c r="C5068" s="88" t="s">
        <v>6309</v>
      </c>
      <c r="D5068" s="90"/>
      <c r="E5068" s="88" t="s">
        <v>6310</v>
      </c>
      <c r="F5068" s="89"/>
      <c r="G5068" s="89"/>
      <c r="H5068" s="89"/>
      <c r="I5068" s="90"/>
      <c r="J5068" s="88" t="s">
        <v>13</v>
      </c>
      <c r="K5068" s="89"/>
      <c r="L5068" s="89"/>
      <c r="M5068" s="90"/>
      <c r="N5068" s="88" t="s">
        <v>22</v>
      </c>
      <c r="O5068" s="89"/>
      <c r="P5068" s="90"/>
      <c r="Q5068" s="133">
        <v>2000</v>
      </c>
      <c r="R5068" s="134"/>
      <c r="S5068" s="5" t="s">
        <v>44</v>
      </c>
      <c r="T5068" s="6"/>
      <c r="U5068" s="6"/>
      <c r="V5068" s="5" t="s">
        <v>23</v>
      </c>
      <c r="W5068" s="12">
        <v>4532601</v>
      </c>
      <c r="X5068" s="6"/>
      <c r="Y5068" s="6"/>
    </row>
    <row r="5069" spans="1:25" ht="15" customHeight="1" x14ac:dyDescent="0.2">
      <c r="A5069" s="88" t="s">
        <v>6237</v>
      </c>
      <c r="B5069" s="90"/>
      <c r="C5069" s="88" t="s">
        <v>6311</v>
      </c>
      <c r="D5069" s="90"/>
      <c r="E5069" s="88" t="s">
        <v>6312</v>
      </c>
      <c r="F5069" s="89"/>
      <c r="G5069" s="89"/>
      <c r="H5069" s="89"/>
      <c r="I5069" s="90"/>
      <c r="J5069" s="88" t="s">
        <v>13</v>
      </c>
      <c r="K5069" s="89"/>
      <c r="L5069" s="89"/>
      <c r="M5069" s="90"/>
      <c r="N5069" s="88" t="s">
        <v>26</v>
      </c>
      <c r="O5069" s="89"/>
      <c r="P5069" s="90"/>
      <c r="Q5069" s="133">
        <v>2000</v>
      </c>
      <c r="R5069" s="134"/>
      <c r="S5069" s="5" t="s">
        <v>44</v>
      </c>
      <c r="T5069" s="6"/>
      <c r="U5069" s="6"/>
      <c r="V5069" s="5" t="s">
        <v>23</v>
      </c>
      <c r="W5069" s="12">
        <v>3186520</v>
      </c>
      <c r="X5069" s="6"/>
      <c r="Y5069" s="6"/>
    </row>
    <row r="5070" spans="1:25" ht="15" customHeight="1" x14ac:dyDescent="0.2">
      <c r="A5070" s="88" t="s">
        <v>6237</v>
      </c>
      <c r="B5070" s="90"/>
      <c r="C5070" s="88" t="s">
        <v>6313</v>
      </c>
      <c r="D5070" s="90"/>
      <c r="E5070" s="88" t="s">
        <v>6312</v>
      </c>
      <c r="F5070" s="89"/>
      <c r="G5070" s="89"/>
      <c r="H5070" s="89"/>
      <c r="I5070" s="90"/>
      <c r="J5070" s="88" t="s">
        <v>13</v>
      </c>
      <c r="K5070" s="89"/>
      <c r="L5070" s="89"/>
      <c r="M5070" s="90"/>
      <c r="N5070" s="88" t="s">
        <v>26</v>
      </c>
      <c r="O5070" s="89"/>
      <c r="P5070" s="90"/>
      <c r="Q5070" s="133">
        <v>2000</v>
      </c>
      <c r="R5070" s="134"/>
      <c r="S5070" s="5" t="s">
        <v>44</v>
      </c>
      <c r="T5070" s="6"/>
      <c r="U5070" s="6"/>
      <c r="V5070" s="5" t="s">
        <v>106</v>
      </c>
      <c r="W5070" s="12">
        <v>3243513</v>
      </c>
      <c r="X5070" s="6"/>
      <c r="Y5070" s="6"/>
    </row>
    <row r="5071" spans="1:25" ht="15" customHeight="1" x14ac:dyDescent="0.2">
      <c r="A5071" s="88" t="s">
        <v>6237</v>
      </c>
      <c r="B5071" s="90"/>
      <c r="C5071" s="88" t="s">
        <v>6313</v>
      </c>
      <c r="D5071" s="90"/>
      <c r="E5071" s="88" t="s">
        <v>6312</v>
      </c>
      <c r="F5071" s="89"/>
      <c r="G5071" s="89"/>
      <c r="H5071" s="89"/>
      <c r="I5071" s="90"/>
      <c r="J5071" s="88" t="s">
        <v>13</v>
      </c>
      <c r="K5071" s="89"/>
      <c r="L5071" s="89"/>
      <c r="M5071" s="90"/>
      <c r="N5071" s="88" t="s">
        <v>26</v>
      </c>
      <c r="O5071" s="89"/>
      <c r="P5071" s="90"/>
      <c r="Q5071" s="133">
        <v>2000</v>
      </c>
      <c r="R5071" s="134"/>
      <c r="S5071" s="5" t="s">
        <v>44</v>
      </c>
      <c r="T5071" s="6"/>
      <c r="U5071" s="6"/>
      <c r="V5071" s="5" t="s">
        <v>106</v>
      </c>
      <c r="W5071" s="12">
        <v>3478660</v>
      </c>
      <c r="X5071" s="6"/>
      <c r="Y5071" s="6"/>
    </row>
    <row r="5072" spans="1:25" ht="15" customHeight="1" x14ac:dyDescent="0.2">
      <c r="A5072" s="88" t="s">
        <v>6237</v>
      </c>
      <c r="B5072" s="90"/>
      <c r="C5072" s="88" t="s">
        <v>6314</v>
      </c>
      <c r="D5072" s="90"/>
      <c r="E5072" s="88" t="s">
        <v>6315</v>
      </c>
      <c r="F5072" s="89"/>
      <c r="G5072" s="89"/>
      <c r="H5072" s="89"/>
      <c r="I5072" s="90"/>
      <c r="J5072" s="88" t="s">
        <v>13</v>
      </c>
      <c r="K5072" s="89"/>
      <c r="L5072" s="89"/>
      <c r="M5072" s="90"/>
      <c r="N5072" s="88" t="s">
        <v>26</v>
      </c>
      <c r="O5072" s="89"/>
      <c r="P5072" s="90"/>
      <c r="Q5072" s="133">
        <v>2000</v>
      </c>
      <c r="R5072" s="134"/>
      <c r="S5072" s="5" t="s">
        <v>70</v>
      </c>
      <c r="T5072" s="6"/>
      <c r="U5072" s="6"/>
      <c r="V5072" s="5" t="s">
        <v>106</v>
      </c>
      <c r="W5072" s="12">
        <v>2965305</v>
      </c>
      <c r="X5072" s="6"/>
      <c r="Y5072" s="6"/>
    </row>
    <row r="5073" spans="1:25" ht="15" customHeight="1" x14ac:dyDescent="0.2">
      <c r="A5073" s="88" t="s">
        <v>6237</v>
      </c>
      <c r="B5073" s="90"/>
      <c r="C5073" s="88" t="s">
        <v>6316</v>
      </c>
      <c r="D5073" s="90"/>
      <c r="E5073" s="88" t="s">
        <v>6245</v>
      </c>
      <c r="F5073" s="89"/>
      <c r="G5073" s="89"/>
      <c r="H5073" s="89"/>
      <c r="I5073" s="90"/>
      <c r="J5073" s="88" t="s">
        <v>13</v>
      </c>
      <c r="K5073" s="89"/>
      <c r="L5073" s="89"/>
      <c r="M5073" s="90"/>
      <c r="N5073" s="88" t="s">
        <v>26</v>
      </c>
      <c r="O5073" s="89"/>
      <c r="P5073" s="90"/>
      <c r="Q5073" s="133">
        <v>2000</v>
      </c>
      <c r="R5073" s="134"/>
      <c r="S5073" s="5" t="s">
        <v>27</v>
      </c>
      <c r="T5073" s="6"/>
      <c r="U5073" s="6"/>
      <c r="V5073" s="5" t="s">
        <v>23</v>
      </c>
      <c r="W5073" s="12">
        <v>2426197</v>
      </c>
      <c r="X5073" s="6"/>
      <c r="Y5073" s="6"/>
    </row>
    <row r="5074" spans="1:25" ht="15" customHeight="1" x14ac:dyDescent="0.2">
      <c r="A5074" s="88" t="s">
        <v>6237</v>
      </c>
      <c r="B5074" s="90"/>
      <c r="C5074" s="88" t="s">
        <v>6317</v>
      </c>
      <c r="D5074" s="90"/>
      <c r="E5074" s="88" t="s">
        <v>6276</v>
      </c>
      <c r="F5074" s="89"/>
      <c r="G5074" s="89"/>
      <c r="H5074" s="89"/>
      <c r="I5074" s="90"/>
      <c r="J5074" s="88" t="s">
        <v>13</v>
      </c>
      <c r="K5074" s="89"/>
      <c r="L5074" s="89"/>
      <c r="M5074" s="90"/>
      <c r="N5074" s="88" t="s">
        <v>26</v>
      </c>
      <c r="O5074" s="89"/>
      <c r="P5074" s="90"/>
      <c r="Q5074" s="133">
        <v>2000</v>
      </c>
      <c r="R5074" s="134"/>
      <c r="S5074" s="5" t="s">
        <v>271</v>
      </c>
      <c r="T5074" s="6"/>
      <c r="U5074" s="6"/>
      <c r="V5074" s="5" t="s">
        <v>23</v>
      </c>
      <c r="W5074" s="12">
        <v>3873598</v>
      </c>
      <c r="X5074" s="6"/>
      <c r="Y5074" s="6"/>
    </row>
    <row r="5075" spans="1:25" ht="15" customHeight="1" x14ac:dyDescent="0.2">
      <c r="A5075" s="88" t="s">
        <v>6237</v>
      </c>
      <c r="B5075" s="90"/>
      <c r="C5075" s="88" t="s">
        <v>6318</v>
      </c>
      <c r="D5075" s="90"/>
      <c r="E5075" s="88" t="s">
        <v>6319</v>
      </c>
      <c r="F5075" s="89"/>
      <c r="G5075" s="89"/>
      <c r="H5075" s="89"/>
      <c r="I5075" s="90"/>
      <c r="J5075" s="88" t="s">
        <v>13</v>
      </c>
      <c r="K5075" s="89"/>
      <c r="L5075" s="89"/>
      <c r="M5075" s="90"/>
      <c r="N5075" s="88" t="s">
        <v>26</v>
      </c>
      <c r="O5075" s="89"/>
      <c r="P5075" s="90"/>
      <c r="Q5075" s="133">
        <v>2000</v>
      </c>
      <c r="R5075" s="134"/>
      <c r="S5075" s="5" t="s">
        <v>70</v>
      </c>
      <c r="T5075" s="6"/>
      <c r="U5075" s="6"/>
      <c r="V5075" s="5" t="s">
        <v>106</v>
      </c>
      <c r="W5075" s="12">
        <v>4437614</v>
      </c>
      <c r="X5075" s="6"/>
      <c r="Y5075" s="6"/>
    </row>
    <row r="5076" spans="1:25" ht="15" customHeight="1" x14ac:dyDescent="0.2">
      <c r="A5076" s="88" t="s">
        <v>6237</v>
      </c>
      <c r="B5076" s="90"/>
      <c r="C5076" s="88" t="s">
        <v>6318</v>
      </c>
      <c r="D5076" s="90"/>
      <c r="E5076" s="88" t="s">
        <v>6319</v>
      </c>
      <c r="F5076" s="89"/>
      <c r="G5076" s="89"/>
      <c r="H5076" s="89"/>
      <c r="I5076" s="90"/>
      <c r="J5076" s="88" t="s">
        <v>13</v>
      </c>
      <c r="K5076" s="89"/>
      <c r="L5076" s="89"/>
      <c r="M5076" s="90"/>
      <c r="N5076" s="88" t="s">
        <v>26</v>
      </c>
      <c r="O5076" s="89"/>
      <c r="P5076" s="90"/>
      <c r="Q5076" s="133">
        <v>2000</v>
      </c>
      <c r="R5076" s="134"/>
      <c r="S5076" s="5" t="s">
        <v>70</v>
      </c>
      <c r="T5076" s="6"/>
      <c r="U5076" s="6"/>
      <c r="V5076" s="5" t="s">
        <v>106</v>
      </c>
      <c r="W5076" s="12">
        <v>4437614</v>
      </c>
      <c r="X5076" s="6"/>
      <c r="Y5076" s="6"/>
    </row>
    <row r="5077" spans="1:25" ht="15" customHeight="1" x14ac:dyDescent="0.2">
      <c r="A5077" s="88" t="s">
        <v>6237</v>
      </c>
      <c r="B5077" s="90"/>
      <c r="C5077" s="88" t="s">
        <v>6320</v>
      </c>
      <c r="D5077" s="90"/>
      <c r="E5077" s="88" t="s">
        <v>6321</v>
      </c>
      <c r="F5077" s="89"/>
      <c r="G5077" s="89"/>
      <c r="H5077" s="89"/>
      <c r="I5077" s="90"/>
      <c r="J5077" s="88" t="s">
        <v>13</v>
      </c>
      <c r="K5077" s="89"/>
      <c r="L5077" s="89"/>
      <c r="M5077" s="90"/>
      <c r="N5077" s="88" t="s">
        <v>26</v>
      </c>
      <c r="O5077" s="89"/>
      <c r="P5077" s="90"/>
      <c r="Q5077" s="133">
        <v>2000</v>
      </c>
      <c r="R5077" s="134"/>
      <c r="S5077" s="5" t="s">
        <v>814</v>
      </c>
      <c r="T5077" s="6"/>
      <c r="U5077" s="6"/>
      <c r="V5077" s="5" t="s">
        <v>106</v>
      </c>
      <c r="W5077" s="12">
        <v>11882960</v>
      </c>
      <c r="X5077" s="6"/>
      <c r="Y5077" s="6"/>
    </row>
    <row r="5078" spans="1:25" ht="15" customHeight="1" x14ac:dyDescent="0.2">
      <c r="A5078" s="88" t="s">
        <v>6237</v>
      </c>
      <c r="B5078" s="90"/>
      <c r="C5078" s="88" t="s">
        <v>6322</v>
      </c>
      <c r="D5078" s="90"/>
      <c r="E5078" s="88" t="s">
        <v>6323</v>
      </c>
      <c r="F5078" s="89"/>
      <c r="G5078" s="89"/>
      <c r="H5078" s="89"/>
      <c r="I5078" s="90"/>
      <c r="J5078" s="88" t="s">
        <v>13</v>
      </c>
      <c r="K5078" s="89"/>
      <c r="L5078" s="89"/>
      <c r="M5078" s="90"/>
      <c r="N5078" s="88" t="s">
        <v>26</v>
      </c>
      <c r="O5078" s="89"/>
      <c r="P5078" s="90"/>
      <c r="Q5078" s="133">
        <v>2000</v>
      </c>
      <c r="R5078" s="134"/>
      <c r="S5078" s="5" t="s">
        <v>44</v>
      </c>
      <c r="T5078" s="6"/>
      <c r="U5078" s="6"/>
      <c r="V5078" s="5" t="s">
        <v>23</v>
      </c>
      <c r="W5078" s="12">
        <v>3625997</v>
      </c>
      <c r="X5078" s="6"/>
      <c r="Y5078" s="6"/>
    </row>
    <row r="5079" spans="1:25" ht="15" customHeight="1" x14ac:dyDescent="0.2">
      <c r="A5079" s="88" t="s">
        <v>6237</v>
      </c>
      <c r="B5079" s="90"/>
      <c r="C5079" s="88" t="s">
        <v>6324</v>
      </c>
      <c r="D5079" s="90"/>
      <c r="E5079" s="88" t="s">
        <v>6325</v>
      </c>
      <c r="F5079" s="89"/>
      <c r="G5079" s="89"/>
      <c r="H5079" s="89"/>
      <c r="I5079" s="90"/>
      <c r="J5079" s="88" t="s">
        <v>13</v>
      </c>
      <c r="K5079" s="89"/>
      <c r="L5079" s="89"/>
      <c r="M5079" s="90"/>
      <c r="N5079" s="88" t="s">
        <v>26</v>
      </c>
      <c r="O5079" s="89"/>
      <c r="P5079" s="90"/>
      <c r="Q5079" s="133">
        <v>2000</v>
      </c>
      <c r="R5079" s="134"/>
      <c r="S5079" s="5" t="s">
        <v>70</v>
      </c>
      <c r="T5079" s="6"/>
      <c r="U5079" s="6"/>
      <c r="V5079" s="5" t="s">
        <v>106</v>
      </c>
      <c r="W5079" s="12">
        <v>5751821</v>
      </c>
      <c r="X5079" s="6"/>
      <c r="Y5079" s="6"/>
    </row>
    <row r="5080" spans="1:25" ht="15" customHeight="1" x14ac:dyDescent="0.2">
      <c r="A5080" s="88" t="s">
        <v>6237</v>
      </c>
      <c r="B5080" s="90"/>
      <c r="C5080" s="88" t="s">
        <v>6326</v>
      </c>
      <c r="D5080" s="90"/>
      <c r="E5080" s="88" t="s">
        <v>6327</v>
      </c>
      <c r="F5080" s="89"/>
      <c r="G5080" s="89"/>
      <c r="H5080" s="89"/>
      <c r="I5080" s="90"/>
      <c r="J5080" s="88" t="s">
        <v>13</v>
      </c>
      <c r="K5080" s="89"/>
      <c r="L5080" s="89"/>
      <c r="M5080" s="90"/>
      <c r="N5080" s="88" t="s">
        <v>26</v>
      </c>
      <c r="O5080" s="89"/>
      <c r="P5080" s="90"/>
      <c r="Q5080" s="133">
        <v>2000</v>
      </c>
      <c r="R5080" s="134"/>
      <c r="S5080" s="5" t="s">
        <v>70</v>
      </c>
      <c r="T5080" s="6"/>
      <c r="U5080" s="6"/>
      <c r="V5080" s="5" t="s">
        <v>106</v>
      </c>
      <c r="W5080" s="12">
        <v>3231903</v>
      </c>
      <c r="X5080" s="6"/>
      <c r="Y5080" s="6"/>
    </row>
    <row r="5081" spans="1:25" ht="15" customHeight="1" x14ac:dyDescent="0.2">
      <c r="A5081" s="88" t="s">
        <v>6237</v>
      </c>
      <c r="B5081" s="90"/>
      <c r="C5081" s="88" t="s">
        <v>6328</v>
      </c>
      <c r="D5081" s="90"/>
      <c r="E5081" s="88" t="s">
        <v>6329</v>
      </c>
      <c r="F5081" s="89"/>
      <c r="G5081" s="89"/>
      <c r="H5081" s="89"/>
      <c r="I5081" s="90"/>
      <c r="J5081" s="88" t="s">
        <v>13</v>
      </c>
      <c r="K5081" s="89"/>
      <c r="L5081" s="89"/>
      <c r="M5081" s="90"/>
      <c r="N5081" s="88" t="s">
        <v>22</v>
      </c>
      <c r="O5081" s="89"/>
      <c r="P5081" s="90"/>
      <c r="Q5081" s="133">
        <v>2000</v>
      </c>
      <c r="R5081" s="134"/>
      <c r="S5081" s="5" t="s">
        <v>70</v>
      </c>
      <c r="T5081" s="6"/>
      <c r="U5081" s="6"/>
      <c r="V5081" s="5" t="s">
        <v>106</v>
      </c>
      <c r="W5081" s="12">
        <v>2597597</v>
      </c>
      <c r="X5081" s="6"/>
      <c r="Y5081" s="6"/>
    </row>
    <row r="5082" spans="1:25" ht="15" customHeight="1" x14ac:dyDescent="0.2">
      <c r="A5082" s="88" t="s">
        <v>6237</v>
      </c>
      <c r="B5082" s="90"/>
      <c r="C5082" s="88" t="s">
        <v>6326</v>
      </c>
      <c r="D5082" s="90"/>
      <c r="E5082" s="88" t="s">
        <v>6327</v>
      </c>
      <c r="F5082" s="89"/>
      <c r="G5082" s="89"/>
      <c r="H5082" s="89"/>
      <c r="I5082" s="90"/>
      <c r="J5082" s="88" t="s">
        <v>13</v>
      </c>
      <c r="K5082" s="89"/>
      <c r="L5082" s="89"/>
      <c r="M5082" s="90"/>
      <c r="N5082" s="88" t="s">
        <v>22</v>
      </c>
      <c r="O5082" s="89"/>
      <c r="P5082" s="90"/>
      <c r="Q5082" s="133">
        <v>2000</v>
      </c>
      <c r="R5082" s="134"/>
      <c r="S5082" s="5" t="s">
        <v>70</v>
      </c>
      <c r="T5082" s="6"/>
      <c r="U5082" s="6"/>
      <c r="V5082" s="5" t="s">
        <v>106</v>
      </c>
      <c r="W5082" s="12">
        <v>3231903</v>
      </c>
      <c r="X5082" s="6"/>
      <c r="Y5082" s="6"/>
    </row>
    <row r="5083" spans="1:25" ht="15" customHeight="1" x14ac:dyDescent="0.2">
      <c r="A5083" s="88" t="s">
        <v>6237</v>
      </c>
      <c r="B5083" s="90"/>
      <c r="C5083" s="88" t="s">
        <v>6330</v>
      </c>
      <c r="D5083" s="90"/>
      <c r="E5083" s="88" t="s">
        <v>6331</v>
      </c>
      <c r="F5083" s="89"/>
      <c r="G5083" s="89"/>
      <c r="H5083" s="89"/>
      <c r="I5083" s="90"/>
      <c r="J5083" s="88" t="s">
        <v>13</v>
      </c>
      <c r="K5083" s="89"/>
      <c r="L5083" s="89"/>
      <c r="M5083" s="90"/>
      <c r="N5083" s="88" t="s">
        <v>22</v>
      </c>
      <c r="O5083" s="89"/>
      <c r="P5083" s="90"/>
      <c r="Q5083" s="133">
        <v>2000</v>
      </c>
      <c r="R5083" s="134"/>
      <c r="S5083" s="5" t="s">
        <v>44</v>
      </c>
      <c r="T5083" s="6"/>
      <c r="U5083" s="6"/>
      <c r="V5083" s="5" t="s">
        <v>23</v>
      </c>
      <c r="W5083" s="12">
        <v>4036132</v>
      </c>
      <c r="X5083" s="6"/>
      <c r="Y5083" s="6"/>
    </row>
    <row r="5084" spans="1:25" ht="15" customHeight="1" x14ac:dyDescent="0.2">
      <c r="A5084" s="88" t="s">
        <v>6237</v>
      </c>
      <c r="B5084" s="90"/>
      <c r="C5084" s="88" t="s">
        <v>6332</v>
      </c>
      <c r="D5084" s="90"/>
      <c r="E5084" s="88" t="s">
        <v>6333</v>
      </c>
      <c r="F5084" s="89"/>
      <c r="G5084" s="89"/>
      <c r="H5084" s="89"/>
      <c r="I5084" s="90"/>
      <c r="J5084" s="88" t="s">
        <v>13</v>
      </c>
      <c r="K5084" s="89"/>
      <c r="L5084" s="89"/>
      <c r="M5084" s="90"/>
      <c r="N5084" s="88" t="s">
        <v>22</v>
      </c>
      <c r="O5084" s="89"/>
      <c r="P5084" s="90"/>
      <c r="Q5084" s="133">
        <v>2000</v>
      </c>
      <c r="R5084" s="134"/>
      <c r="S5084" s="5" t="s">
        <v>814</v>
      </c>
      <c r="T5084" s="6"/>
      <c r="U5084" s="6"/>
      <c r="V5084" s="5" t="s">
        <v>106</v>
      </c>
      <c r="W5084" s="12">
        <v>21724740</v>
      </c>
      <c r="X5084" s="6"/>
      <c r="Y5084" s="6"/>
    </row>
    <row r="5085" spans="1:25" ht="15" customHeight="1" x14ac:dyDescent="0.2">
      <c r="A5085" s="88" t="s">
        <v>6237</v>
      </c>
      <c r="B5085" s="90"/>
      <c r="C5085" s="88" t="s">
        <v>6334</v>
      </c>
      <c r="D5085" s="90"/>
      <c r="E5085" s="88" t="s">
        <v>6335</v>
      </c>
      <c r="F5085" s="89"/>
      <c r="G5085" s="89"/>
      <c r="H5085" s="89"/>
      <c r="I5085" s="90"/>
      <c r="J5085" s="88" t="s">
        <v>13</v>
      </c>
      <c r="K5085" s="89"/>
      <c r="L5085" s="89"/>
      <c r="M5085" s="90"/>
      <c r="N5085" s="88" t="s">
        <v>26</v>
      </c>
      <c r="O5085" s="89"/>
      <c r="P5085" s="90"/>
      <c r="Q5085" s="133">
        <v>2000</v>
      </c>
      <c r="R5085" s="134"/>
      <c r="S5085" s="5" t="s">
        <v>27</v>
      </c>
      <c r="T5085" s="6"/>
      <c r="U5085" s="6"/>
      <c r="V5085" s="5" t="s">
        <v>106</v>
      </c>
      <c r="W5085" s="12">
        <v>3696288</v>
      </c>
      <c r="X5085" s="6"/>
      <c r="Y5085" s="6"/>
    </row>
    <row r="5086" spans="1:25" ht="15" customHeight="1" x14ac:dyDescent="0.2">
      <c r="A5086" s="88" t="s">
        <v>6237</v>
      </c>
      <c r="B5086" s="90"/>
      <c r="C5086" s="88" t="s">
        <v>6336</v>
      </c>
      <c r="D5086" s="90"/>
      <c r="E5086" s="88" t="s">
        <v>6337</v>
      </c>
      <c r="F5086" s="89"/>
      <c r="G5086" s="89"/>
      <c r="H5086" s="89"/>
      <c r="I5086" s="90"/>
      <c r="J5086" s="88" t="s">
        <v>13</v>
      </c>
      <c r="K5086" s="89"/>
      <c r="L5086" s="89"/>
      <c r="M5086" s="90"/>
      <c r="N5086" s="88" t="s">
        <v>26</v>
      </c>
      <c r="O5086" s="89"/>
      <c r="P5086" s="90"/>
      <c r="Q5086" s="133">
        <v>2000</v>
      </c>
      <c r="R5086" s="134"/>
      <c r="S5086" s="5" t="s">
        <v>27</v>
      </c>
      <c r="T5086" s="6"/>
      <c r="U5086" s="6"/>
      <c r="V5086" s="5" t="s">
        <v>106</v>
      </c>
      <c r="W5086" s="12">
        <v>4179669</v>
      </c>
      <c r="X5086" s="6"/>
      <c r="Y5086" s="6"/>
    </row>
    <row r="5087" spans="1:25" ht="15" customHeight="1" x14ac:dyDescent="0.2">
      <c r="A5087" s="88" t="s">
        <v>6237</v>
      </c>
      <c r="B5087" s="90"/>
      <c r="C5087" s="88" t="s">
        <v>6338</v>
      </c>
      <c r="D5087" s="90"/>
      <c r="E5087" s="88" t="s">
        <v>6339</v>
      </c>
      <c r="F5087" s="89"/>
      <c r="G5087" s="89"/>
      <c r="H5087" s="89"/>
      <c r="I5087" s="90"/>
      <c r="J5087" s="88" t="s">
        <v>13</v>
      </c>
      <c r="K5087" s="89"/>
      <c r="L5087" s="89"/>
      <c r="M5087" s="90"/>
      <c r="N5087" s="88" t="s">
        <v>26</v>
      </c>
      <c r="O5087" s="89"/>
      <c r="P5087" s="90"/>
      <c r="Q5087" s="133">
        <v>2000</v>
      </c>
      <c r="R5087" s="134"/>
      <c r="S5087" s="5" t="s">
        <v>27</v>
      </c>
      <c r="T5087" s="6"/>
      <c r="U5087" s="6"/>
      <c r="V5087" s="5" t="s">
        <v>23</v>
      </c>
      <c r="W5087" s="12">
        <v>5162897</v>
      </c>
      <c r="X5087" s="6"/>
      <c r="Y5087" s="6"/>
    </row>
    <row r="5088" spans="1:25" ht="15" customHeight="1" x14ac:dyDescent="0.2">
      <c r="A5088" s="88" t="s">
        <v>6237</v>
      </c>
      <c r="B5088" s="90"/>
      <c r="C5088" s="88" t="s">
        <v>6340</v>
      </c>
      <c r="D5088" s="90"/>
      <c r="E5088" s="88" t="s">
        <v>6341</v>
      </c>
      <c r="F5088" s="89"/>
      <c r="G5088" s="89"/>
      <c r="H5088" s="89"/>
      <c r="I5088" s="90"/>
      <c r="J5088" s="88" t="s">
        <v>13</v>
      </c>
      <c r="K5088" s="89"/>
      <c r="L5088" s="89"/>
      <c r="M5088" s="90"/>
      <c r="N5088" s="88" t="s">
        <v>26</v>
      </c>
      <c r="O5088" s="89"/>
      <c r="P5088" s="90"/>
      <c r="Q5088" s="133">
        <v>2000</v>
      </c>
      <c r="R5088" s="134"/>
      <c r="S5088" s="5" t="s">
        <v>27</v>
      </c>
      <c r="T5088" s="6"/>
      <c r="U5088" s="6"/>
      <c r="V5088" s="5" t="s">
        <v>23</v>
      </c>
      <c r="W5088" s="12">
        <v>7563975</v>
      </c>
      <c r="X5088" s="6"/>
      <c r="Y5088" s="6"/>
    </row>
    <row r="5089" spans="1:25" ht="15" customHeight="1" x14ac:dyDescent="0.2">
      <c r="A5089" s="88" t="s">
        <v>6237</v>
      </c>
      <c r="B5089" s="90"/>
      <c r="C5089" s="88" t="s">
        <v>6342</v>
      </c>
      <c r="D5089" s="90"/>
      <c r="E5089" s="88" t="s">
        <v>6343</v>
      </c>
      <c r="F5089" s="89"/>
      <c r="G5089" s="89"/>
      <c r="H5089" s="89"/>
      <c r="I5089" s="90"/>
      <c r="J5089" s="88" t="s">
        <v>13</v>
      </c>
      <c r="K5089" s="89"/>
      <c r="L5089" s="89"/>
      <c r="M5089" s="90"/>
      <c r="N5089" s="88" t="s">
        <v>26</v>
      </c>
      <c r="O5089" s="89"/>
      <c r="P5089" s="90"/>
      <c r="Q5089" s="133">
        <v>2000</v>
      </c>
      <c r="R5089" s="134"/>
      <c r="S5089" s="5" t="s">
        <v>70</v>
      </c>
      <c r="T5089" s="6"/>
      <c r="U5089" s="6"/>
      <c r="V5089" s="5" t="s">
        <v>106</v>
      </c>
      <c r="W5089" s="12">
        <v>3186520</v>
      </c>
      <c r="X5089" s="6"/>
      <c r="Y5089" s="6"/>
    </row>
    <row r="5090" spans="1:25" ht="15" customHeight="1" x14ac:dyDescent="0.2">
      <c r="A5090" s="88" t="s">
        <v>6237</v>
      </c>
      <c r="B5090" s="90"/>
      <c r="C5090" s="88" t="s">
        <v>6344</v>
      </c>
      <c r="D5090" s="90"/>
      <c r="E5090" s="88" t="s">
        <v>6278</v>
      </c>
      <c r="F5090" s="89"/>
      <c r="G5090" s="89"/>
      <c r="H5090" s="89"/>
      <c r="I5090" s="90"/>
      <c r="J5090" s="88" t="s">
        <v>13</v>
      </c>
      <c r="K5090" s="89"/>
      <c r="L5090" s="89"/>
      <c r="M5090" s="90"/>
      <c r="N5090" s="88" t="s">
        <v>26</v>
      </c>
      <c r="O5090" s="89"/>
      <c r="P5090" s="90"/>
      <c r="Q5090" s="133">
        <v>2000</v>
      </c>
      <c r="R5090" s="134"/>
      <c r="S5090" s="5" t="s">
        <v>70</v>
      </c>
      <c r="T5090" s="6"/>
      <c r="U5090" s="6"/>
      <c r="V5090" s="5" t="s">
        <v>106</v>
      </c>
      <c r="W5090" s="12">
        <v>3845735</v>
      </c>
      <c r="X5090" s="6"/>
      <c r="Y5090" s="6"/>
    </row>
    <row r="5091" spans="1:25" ht="15" customHeight="1" x14ac:dyDescent="0.2">
      <c r="A5091" s="88" t="s">
        <v>6237</v>
      </c>
      <c r="B5091" s="90"/>
      <c r="C5091" s="88" t="s">
        <v>6345</v>
      </c>
      <c r="D5091" s="90"/>
      <c r="E5091" s="88" t="s">
        <v>6346</v>
      </c>
      <c r="F5091" s="89"/>
      <c r="G5091" s="89"/>
      <c r="H5091" s="89"/>
      <c r="I5091" s="90"/>
      <c r="J5091" s="88" t="s">
        <v>13</v>
      </c>
      <c r="K5091" s="89"/>
      <c r="L5091" s="89"/>
      <c r="M5091" s="90"/>
      <c r="N5091" s="88" t="s">
        <v>26</v>
      </c>
      <c r="O5091" s="89"/>
      <c r="P5091" s="90"/>
      <c r="Q5091" s="133">
        <v>2000</v>
      </c>
      <c r="R5091" s="134"/>
      <c r="S5091" s="5" t="s">
        <v>70</v>
      </c>
      <c r="T5091" s="6"/>
      <c r="U5091" s="6"/>
      <c r="V5091" s="5" t="s">
        <v>106</v>
      </c>
      <c r="W5091" s="12">
        <v>2893536</v>
      </c>
      <c r="X5091" s="6"/>
      <c r="Y5091" s="6"/>
    </row>
    <row r="5092" spans="1:25" ht="15" customHeight="1" x14ac:dyDescent="0.2">
      <c r="A5092" s="88" t="s">
        <v>6237</v>
      </c>
      <c r="B5092" s="90"/>
      <c r="C5092" s="88" t="s">
        <v>6347</v>
      </c>
      <c r="D5092" s="90"/>
      <c r="E5092" s="88" t="s">
        <v>6323</v>
      </c>
      <c r="F5092" s="89"/>
      <c r="G5092" s="89"/>
      <c r="H5092" s="89"/>
      <c r="I5092" s="90"/>
      <c r="J5092" s="88" t="s">
        <v>13</v>
      </c>
      <c r="K5092" s="89"/>
      <c r="L5092" s="89"/>
      <c r="M5092" s="90"/>
      <c r="N5092" s="88" t="s">
        <v>26</v>
      </c>
      <c r="O5092" s="89"/>
      <c r="P5092" s="90"/>
      <c r="Q5092" s="133">
        <v>2000</v>
      </c>
      <c r="R5092" s="134"/>
      <c r="S5092" s="5" t="s">
        <v>70</v>
      </c>
      <c r="T5092" s="6"/>
      <c r="U5092" s="6"/>
      <c r="V5092" s="5" t="s">
        <v>106</v>
      </c>
      <c r="W5092" s="12">
        <v>2525828</v>
      </c>
      <c r="X5092" s="6"/>
      <c r="Y5092" s="6"/>
    </row>
    <row r="5093" spans="1:25" ht="15" customHeight="1" x14ac:dyDescent="0.2">
      <c r="A5093" s="88" t="s">
        <v>6237</v>
      </c>
      <c r="B5093" s="90"/>
      <c r="C5093" s="88" t="s">
        <v>6348</v>
      </c>
      <c r="D5093" s="90"/>
      <c r="E5093" s="88" t="s">
        <v>6349</v>
      </c>
      <c r="F5093" s="89"/>
      <c r="G5093" s="89"/>
      <c r="H5093" s="89"/>
      <c r="I5093" s="90"/>
      <c r="J5093" s="88" t="s">
        <v>13</v>
      </c>
      <c r="K5093" s="89"/>
      <c r="L5093" s="89"/>
      <c r="M5093" s="90"/>
      <c r="N5093" s="88" t="s">
        <v>26</v>
      </c>
      <c r="O5093" s="89"/>
      <c r="P5093" s="90"/>
      <c r="Q5093" s="133">
        <v>2000</v>
      </c>
      <c r="R5093" s="134"/>
      <c r="S5093" s="5" t="s">
        <v>70</v>
      </c>
      <c r="T5093" s="6"/>
      <c r="U5093" s="6"/>
      <c r="V5093" s="5" t="s">
        <v>106</v>
      </c>
      <c r="W5093" s="12">
        <v>3686156</v>
      </c>
      <c r="X5093" s="6"/>
      <c r="Y5093" s="6"/>
    </row>
    <row r="5094" spans="1:25" ht="15" customHeight="1" x14ac:dyDescent="0.2">
      <c r="A5094" s="88" t="s">
        <v>6237</v>
      </c>
      <c r="B5094" s="90"/>
      <c r="C5094" s="88" t="s">
        <v>6350</v>
      </c>
      <c r="D5094" s="90"/>
      <c r="E5094" s="88" t="s">
        <v>6351</v>
      </c>
      <c r="F5094" s="89"/>
      <c r="G5094" s="89"/>
      <c r="H5094" s="89"/>
      <c r="I5094" s="90"/>
      <c r="J5094" s="88" t="s">
        <v>13</v>
      </c>
      <c r="K5094" s="89"/>
      <c r="L5094" s="89"/>
      <c r="M5094" s="90"/>
      <c r="N5094" s="88" t="s">
        <v>26</v>
      </c>
      <c r="O5094" s="89"/>
      <c r="P5094" s="90"/>
      <c r="Q5094" s="133">
        <v>2000</v>
      </c>
      <c r="R5094" s="134"/>
      <c r="S5094" s="5" t="s">
        <v>70</v>
      </c>
      <c r="T5094" s="6"/>
      <c r="U5094" s="6"/>
      <c r="V5094" s="5" t="s">
        <v>106</v>
      </c>
      <c r="W5094" s="12">
        <v>3524888</v>
      </c>
      <c r="X5094" s="6"/>
      <c r="Y5094" s="6"/>
    </row>
    <row r="5095" spans="1:25" ht="15" customHeight="1" x14ac:dyDescent="0.2">
      <c r="A5095" s="88" t="s">
        <v>6237</v>
      </c>
      <c r="B5095" s="90"/>
      <c r="C5095" s="88" t="s">
        <v>6352</v>
      </c>
      <c r="D5095" s="90"/>
      <c r="E5095" s="88" t="s">
        <v>6349</v>
      </c>
      <c r="F5095" s="89"/>
      <c r="G5095" s="89"/>
      <c r="H5095" s="89"/>
      <c r="I5095" s="90"/>
      <c r="J5095" s="88" t="s">
        <v>13</v>
      </c>
      <c r="K5095" s="89"/>
      <c r="L5095" s="89"/>
      <c r="M5095" s="90"/>
      <c r="N5095" s="88" t="s">
        <v>26</v>
      </c>
      <c r="O5095" s="89"/>
      <c r="P5095" s="90"/>
      <c r="Q5095" s="133">
        <v>2000</v>
      </c>
      <c r="R5095" s="134"/>
      <c r="S5095" s="5" t="s">
        <v>70</v>
      </c>
      <c r="T5095" s="6"/>
      <c r="U5095" s="6"/>
      <c r="V5095" s="5" t="s">
        <v>106</v>
      </c>
      <c r="W5095" s="12">
        <v>3022297</v>
      </c>
      <c r="X5095" s="6"/>
      <c r="Y5095" s="6"/>
    </row>
    <row r="5096" spans="1:25" ht="15" customHeight="1" x14ac:dyDescent="0.2">
      <c r="A5096" s="88" t="s">
        <v>6237</v>
      </c>
      <c r="B5096" s="90"/>
      <c r="C5096" s="88" t="s">
        <v>6353</v>
      </c>
      <c r="D5096" s="90"/>
      <c r="E5096" s="88" t="s">
        <v>6354</v>
      </c>
      <c r="F5096" s="89"/>
      <c r="G5096" s="89"/>
      <c r="H5096" s="89"/>
      <c r="I5096" s="90"/>
      <c r="J5096" s="88" t="s">
        <v>13</v>
      </c>
      <c r="K5096" s="89"/>
      <c r="L5096" s="89"/>
      <c r="M5096" s="90"/>
      <c r="N5096" s="88" t="s">
        <v>26</v>
      </c>
      <c r="O5096" s="89"/>
      <c r="P5096" s="90"/>
      <c r="Q5096" s="133">
        <v>2000</v>
      </c>
      <c r="R5096" s="134"/>
      <c r="S5096" s="5" t="s">
        <v>70</v>
      </c>
      <c r="T5096" s="6"/>
      <c r="U5096" s="6"/>
      <c r="V5096" s="5" t="s">
        <v>106</v>
      </c>
      <c r="W5096" s="12">
        <v>5710660</v>
      </c>
      <c r="X5096" s="6"/>
      <c r="Y5096" s="6"/>
    </row>
    <row r="5097" spans="1:25" ht="15" customHeight="1" x14ac:dyDescent="0.2">
      <c r="A5097" s="88" t="s">
        <v>6237</v>
      </c>
      <c r="B5097" s="90"/>
      <c r="C5097" s="88" t="s">
        <v>6355</v>
      </c>
      <c r="D5097" s="90"/>
      <c r="E5097" s="88" t="s">
        <v>6356</v>
      </c>
      <c r="F5097" s="89"/>
      <c r="G5097" s="89"/>
      <c r="H5097" s="89"/>
      <c r="I5097" s="90"/>
      <c r="J5097" s="88" t="s">
        <v>13</v>
      </c>
      <c r="K5097" s="89"/>
      <c r="L5097" s="89"/>
      <c r="M5097" s="90"/>
      <c r="N5097" s="88" t="s">
        <v>22</v>
      </c>
      <c r="O5097" s="89"/>
      <c r="P5097" s="90"/>
      <c r="Q5097" s="133">
        <v>2000</v>
      </c>
      <c r="R5097" s="134"/>
      <c r="S5097" s="5" t="s">
        <v>44</v>
      </c>
      <c r="T5097" s="6"/>
      <c r="U5097" s="6"/>
      <c r="V5097" s="5" t="s">
        <v>23</v>
      </c>
      <c r="W5097" s="12">
        <v>5281527</v>
      </c>
      <c r="X5097" s="6"/>
      <c r="Y5097" s="6"/>
    </row>
    <row r="5098" spans="1:25" ht="15" customHeight="1" x14ac:dyDescent="0.2">
      <c r="A5098" s="88" t="s">
        <v>6237</v>
      </c>
      <c r="B5098" s="90"/>
      <c r="C5098" s="88" t="s">
        <v>6357</v>
      </c>
      <c r="D5098" s="90"/>
      <c r="E5098" s="88" t="s">
        <v>6358</v>
      </c>
      <c r="F5098" s="89"/>
      <c r="G5098" s="89"/>
      <c r="H5098" s="89"/>
      <c r="I5098" s="90"/>
      <c r="J5098" s="88" t="s">
        <v>13</v>
      </c>
      <c r="K5098" s="89"/>
      <c r="L5098" s="89"/>
      <c r="M5098" s="90"/>
      <c r="N5098" s="88" t="s">
        <v>26</v>
      </c>
      <c r="O5098" s="89"/>
      <c r="P5098" s="90"/>
      <c r="Q5098" s="133">
        <v>2000</v>
      </c>
      <c r="R5098" s="134"/>
      <c r="S5098" s="5" t="s">
        <v>27</v>
      </c>
      <c r="T5098" s="6"/>
      <c r="U5098" s="6"/>
      <c r="V5098" s="5" t="s">
        <v>106</v>
      </c>
      <c r="W5098" s="12">
        <v>3480982</v>
      </c>
      <c r="X5098" s="6"/>
      <c r="Y5098" s="6"/>
    </row>
    <row r="5099" spans="1:25" ht="15" customHeight="1" x14ac:dyDescent="0.2">
      <c r="A5099" s="88" t="s">
        <v>6237</v>
      </c>
      <c r="B5099" s="90"/>
      <c r="C5099" s="88" t="s">
        <v>6359</v>
      </c>
      <c r="D5099" s="90"/>
      <c r="E5099" s="88" t="s">
        <v>6360</v>
      </c>
      <c r="F5099" s="89"/>
      <c r="G5099" s="89"/>
      <c r="H5099" s="89"/>
      <c r="I5099" s="90"/>
      <c r="J5099" s="88" t="s">
        <v>13</v>
      </c>
      <c r="K5099" s="89"/>
      <c r="L5099" s="89"/>
      <c r="M5099" s="90"/>
      <c r="N5099" s="88" t="s">
        <v>26</v>
      </c>
      <c r="O5099" s="89"/>
      <c r="P5099" s="90"/>
      <c r="Q5099" s="133">
        <v>2000</v>
      </c>
      <c r="R5099" s="134"/>
      <c r="S5099" s="5" t="s">
        <v>27</v>
      </c>
      <c r="T5099" s="6"/>
      <c r="U5099" s="6"/>
      <c r="V5099" s="5" t="s">
        <v>23</v>
      </c>
      <c r="W5099" s="12">
        <v>7850838</v>
      </c>
      <c r="X5099" s="6"/>
      <c r="Y5099" s="6"/>
    </row>
    <row r="5100" spans="1:25" ht="15" customHeight="1" x14ac:dyDescent="0.2">
      <c r="A5100" s="88" t="s">
        <v>6237</v>
      </c>
      <c r="B5100" s="90"/>
      <c r="C5100" s="88" t="s">
        <v>6361</v>
      </c>
      <c r="D5100" s="90"/>
      <c r="E5100" s="88" t="s">
        <v>6362</v>
      </c>
      <c r="F5100" s="89"/>
      <c r="G5100" s="89"/>
      <c r="H5100" s="89"/>
      <c r="I5100" s="90"/>
      <c r="J5100" s="88" t="s">
        <v>13</v>
      </c>
      <c r="K5100" s="89"/>
      <c r="L5100" s="89"/>
      <c r="M5100" s="90"/>
      <c r="N5100" s="88" t="s">
        <v>26</v>
      </c>
      <c r="O5100" s="89"/>
      <c r="P5100" s="90"/>
      <c r="Q5100" s="133">
        <v>2000</v>
      </c>
      <c r="R5100" s="134"/>
      <c r="S5100" s="5" t="s">
        <v>27</v>
      </c>
      <c r="T5100" s="6"/>
      <c r="U5100" s="6"/>
      <c r="V5100" s="5" t="s">
        <v>23</v>
      </c>
      <c r="W5100" s="12">
        <v>8211580</v>
      </c>
      <c r="X5100" s="6"/>
      <c r="Y5100" s="6"/>
    </row>
    <row r="5101" spans="1:25" ht="15" customHeight="1" x14ac:dyDescent="0.2">
      <c r="A5101" s="88" t="s">
        <v>6237</v>
      </c>
      <c r="B5101" s="90"/>
      <c r="C5101" s="88" t="s">
        <v>6363</v>
      </c>
      <c r="D5101" s="90"/>
      <c r="E5101" s="88" t="s">
        <v>6364</v>
      </c>
      <c r="F5101" s="89"/>
      <c r="G5101" s="89"/>
      <c r="H5101" s="89"/>
      <c r="I5101" s="90"/>
      <c r="J5101" s="88" t="s">
        <v>13</v>
      </c>
      <c r="K5101" s="89"/>
      <c r="L5101" s="89"/>
      <c r="M5101" s="90"/>
      <c r="N5101" s="88" t="s">
        <v>26</v>
      </c>
      <c r="O5101" s="89"/>
      <c r="P5101" s="90"/>
      <c r="Q5101" s="133">
        <v>2000</v>
      </c>
      <c r="R5101" s="134"/>
      <c r="S5101" s="5" t="s">
        <v>27</v>
      </c>
      <c r="T5101" s="6"/>
      <c r="U5101" s="6"/>
      <c r="V5101" s="5" t="s">
        <v>23</v>
      </c>
      <c r="W5101" s="12">
        <v>7435003</v>
      </c>
      <c r="X5101" s="6"/>
      <c r="Y5101" s="6"/>
    </row>
    <row r="5102" spans="1:25" ht="15" customHeight="1" x14ac:dyDescent="0.2">
      <c r="A5102" s="88" t="s">
        <v>6237</v>
      </c>
      <c r="B5102" s="90"/>
      <c r="C5102" s="88" t="s">
        <v>6365</v>
      </c>
      <c r="D5102" s="90"/>
      <c r="E5102" s="88" t="s">
        <v>6366</v>
      </c>
      <c r="F5102" s="89"/>
      <c r="G5102" s="89"/>
      <c r="H5102" s="89"/>
      <c r="I5102" s="90"/>
      <c r="J5102" s="88" t="s">
        <v>13</v>
      </c>
      <c r="K5102" s="89"/>
      <c r="L5102" s="89"/>
      <c r="M5102" s="90"/>
      <c r="N5102" s="88" t="s">
        <v>26</v>
      </c>
      <c r="O5102" s="89"/>
      <c r="P5102" s="90"/>
      <c r="Q5102" s="133">
        <v>2000</v>
      </c>
      <c r="R5102" s="134"/>
      <c r="S5102" s="5" t="s">
        <v>70</v>
      </c>
      <c r="T5102" s="6"/>
      <c r="U5102" s="6"/>
      <c r="V5102" s="5" t="s">
        <v>106</v>
      </c>
      <c r="W5102" s="12">
        <v>4951603</v>
      </c>
      <c r="X5102" s="6"/>
      <c r="Y5102" s="6"/>
    </row>
    <row r="5103" spans="1:25" ht="15" customHeight="1" x14ac:dyDescent="0.2">
      <c r="A5103" s="88" t="s">
        <v>6237</v>
      </c>
      <c r="B5103" s="90"/>
      <c r="C5103" s="88" t="s">
        <v>6367</v>
      </c>
      <c r="D5103" s="90"/>
      <c r="E5103" s="88" t="s">
        <v>6295</v>
      </c>
      <c r="F5103" s="89"/>
      <c r="G5103" s="89"/>
      <c r="H5103" s="89"/>
      <c r="I5103" s="90"/>
      <c r="J5103" s="88" t="s">
        <v>13</v>
      </c>
      <c r="K5103" s="89"/>
      <c r="L5103" s="89"/>
      <c r="M5103" s="90"/>
      <c r="N5103" s="88" t="s">
        <v>26</v>
      </c>
      <c r="O5103" s="89"/>
      <c r="P5103" s="90"/>
      <c r="Q5103" s="133">
        <v>2000</v>
      </c>
      <c r="R5103" s="134"/>
      <c r="S5103" s="5" t="s">
        <v>70</v>
      </c>
      <c r="T5103" s="6"/>
      <c r="U5103" s="6"/>
      <c r="V5103" s="5" t="s">
        <v>106</v>
      </c>
      <c r="W5103" s="12">
        <v>5281527</v>
      </c>
      <c r="X5103" s="6"/>
      <c r="Y5103" s="6"/>
    </row>
    <row r="5104" spans="1:25" ht="15" customHeight="1" x14ac:dyDescent="0.2">
      <c r="A5104" s="88" t="s">
        <v>6237</v>
      </c>
      <c r="B5104" s="90"/>
      <c r="C5104" s="88" t="s">
        <v>6368</v>
      </c>
      <c r="D5104" s="90"/>
      <c r="E5104" s="88" t="s">
        <v>6369</v>
      </c>
      <c r="F5104" s="89"/>
      <c r="G5104" s="89"/>
      <c r="H5104" s="89"/>
      <c r="I5104" s="90"/>
      <c r="J5104" s="88" t="s">
        <v>13</v>
      </c>
      <c r="K5104" s="89"/>
      <c r="L5104" s="89"/>
      <c r="M5104" s="90"/>
      <c r="N5104" s="88" t="s">
        <v>26</v>
      </c>
      <c r="O5104" s="89"/>
      <c r="P5104" s="90"/>
      <c r="Q5104" s="133">
        <v>2000</v>
      </c>
      <c r="R5104" s="134"/>
      <c r="S5104" s="5" t="s">
        <v>44</v>
      </c>
      <c r="T5104" s="6"/>
      <c r="U5104" s="6"/>
      <c r="V5104" s="5" t="s">
        <v>23</v>
      </c>
      <c r="W5104" s="12">
        <v>5323954</v>
      </c>
      <c r="X5104" s="6"/>
      <c r="Y5104" s="6"/>
    </row>
    <row r="5105" spans="1:25" ht="15" customHeight="1" x14ac:dyDescent="0.2">
      <c r="A5105" s="88" t="s">
        <v>6237</v>
      </c>
      <c r="B5105" s="90"/>
      <c r="C5105" s="88" t="s">
        <v>6370</v>
      </c>
      <c r="D5105" s="90"/>
      <c r="E5105" s="88" t="s">
        <v>6371</v>
      </c>
      <c r="F5105" s="89"/>
      <c r="G5105" s="89"/>
      <c r="H5105" s="89"/>
      <c r="I5105" s="90"/>
      <c r="J5105" s="88" t="s">
        <v>13</v>
      </c>
      <c r="K5105" s="89"/>
      <c r="L5105" s="89"/>
      <c r="M5105" s="90"/>
      <c r="N5105" s="88" t="s">
        <v>26</v>
      </c>
      <c r="O5105" s="89"/>
      <c r="P5105" s="90"/>
      <c r="Q5105" s="133">
        <v>2000</v>
      </c>
      <c r="R5105" s="134"/>
      <c r="S5105" s="5" t="s">
        <v>70</v>
      </c>
      <c r="T5105" s="6"/>
      <c r="U5105" s="6"/>
      <c r="V5105" s="5" t="s">
        <v>106</v>
      </c>
      <c r="W5105" s="12">
        <v>3404781</v>
      </c>
      <c r="X5105" s="6"/>
      <c r="Y5105" s="6"/>
    </row>
    <row r="5106" spans="1:25" ht="15" customHeight="1" x14ac:dyDescent="0.2">
      <c r="A5106" s="88" t="s">
        <v>6237</v>
      </c>
      <c r="B5106" s="90"/>
      <c r="C5106" s="88" t="s">
        <v>6372</v>
      </c>
      <c r="D5106" s="90"/>
      <c r="E5106" s="88" t="s">
        <v>6373</v>
      </c>
      <c r="F5106" s="89"/>
      <c r="G5106" s="89"/>
      <c r="H5106" s="89"/>
      <c r="I5106" s="90"/>
      <c r="J5106" s="88" t="s">
        <v>13</v>
      </c>
      <c r="K5106" s="89"/>
      <c r="L5106" s="89"/>
      <c r="M5106" s="90"/>
      <c r="N5106" s="88" t="s">
        <v>26</v>
      </c>
      <c r="O5106" s="89"/>
      <c r="P5106" s="90"/>
      <c r="Q5106" s="133">
        <v>2000</v>
      </c>
      <c r="R5106" s="134"/>
      <c r="S5106" s="5" t="s">
        <v>70</v>
      </c>
      <c r="T5106" s="6"/>
      <c r="U5106" s="6"/>
      <c r="V5106" s="5" t="s">
        <v>23</v>
      </c>
      <c r="W5106" s="12">
        <v>4272124</v>
      </c>
      <c r="X5106" s="6"/>
      <c r="Y5106" s="6"/>
    </row>
    <row r="5107" spans="1:25" ht="15" customHeight="1" x14ac:dyDescent="0.2">
      <c r="A5107" s="88" t="s">
        <v>6237</v>
      </c>
      <c r="B5107" s="90"/>
      <c r="C5107" s="88" t="s">
        <v>6374</v>
      </c>
      <c r="D5107" s="90"/>
      <c r="E5107" s="88" t="s">
        <v>6375</v>
      </c>
      <c r="F5107" s="89"/>
      <c r="G5107" s="89"/>
      <c r="H5107" s="89"/>
      <c r="I5107" s="90"/>
      <c r="J5107" s="88" t="s">
        <v>13</v>
      </c>
      <c r="K5107" s="89"/>
      <c r="L5107" s="89"/>
      <c r="M5107" s="90"/>
      <c r="N5107" s="88" t="s">
        <v>22</v>
      </c>
      <c r="O5107" s="89"/>
      <c r="P5107" s="90"/>
      <c r="Q5107" s="133">
        <v>2000</v>
      </c>
      <c r="R5107" s="134"/>
      <c r="S5107" s="5" t="s">
        <v>44</v>
      </c>
      <c r="T5107" s="6"/>
      <c r="U5107" s="6"/>
      <c r="V5107" s="5" t="s">
        <v>23</v>
      </c>
      <c r="W5107" s="12">
        <v>8208625</v>
      </c>
      <c r="X5107" s="6"/>
      <c r="Y5107" s="6"/>
    </row>
    <row r="5108" spans="1:25" ht="15" customHeight="1" x14ac:dyDescent="0.2">
      <c r="A5108" s="88" t="s">
        <v>6237</v>
      </c>
      <c r="B5108" s="90"/>
      <c r="C5108" s="88" t="s">
        <v>6376</v>
      </c>
      <c r="D5108" s="90"/>
      <c r="E5108" s="88" t="s">
        <v>6377</v>
      </c>
      <c r="F5108" s="89"/>
      <c r="G5108" s="89"/>
      <c r="H5108" s="89"/>
      <c r="I5108" s="90"/>
      <c r="J5108" s="88" t="s">
        <v>13</v>
      </c>
      <c r="K5108" s="89"/>
      <c r="L5108" s="89"/>
      <c r="M5108" s="90"/>
      <c r="N5108" s="88" t="s">
        <v>22</v>
      </c>
      <c r="O5108" s="89"/>
      <c r="P5108" s="90"/>
      <c r="Q5108" s="133">
        <v>2000</v>
      </c>
      <c r="R5108" s="134"/>
      <c r="S5108" s="5" t="s">
        <v>814</v>
      </c>
      <c r="T5108" s="6"/>
      <c r="U5108" s="6"/>
      <c r="V5108" s="5" t="s">
        <v>106</v>
      </c>
      <c r="W5108" s="12">
        <v>20371482</v>
      </c>
      <c r="X5108" s="6"/>
      <c r="Y5108" s="6"/>
    </row>
    <row r="5109" spans="1:25" ht="15" customHeight="1" x14ac:dyDescent="0.2">
      <c r="A5109" s="88" t="s">
        <v>6237</v>
      </c>
      <c r="B5109" s="90"/>
      <c r="C5109" s="88" t="s">
        <v>6378</v>
      </c>
      <c r="D5109" s="90"/>
      <c r="E5109" s="88" t="s">
        <v>6379</v>
      </c>
      <c r="F5109" s="89"/>
      <c r="G5109" s="89"/>
      <c r="H5109" s="89"/>
      <c r="I5109" s="90"/>
      <c r="J5109" s="88" t="s">
        <v>13</v>
      </c>
      <c r="K5109" s="89"/>
      <c r="L5109" s="89"/>
      <c r="M5109" s="90"/>
      <c r="N5109" s="88" t="s">
        <v>26</v>
      </c>
      <c r="O5109" s="89"/>
      <c r="P5109" s="90"/>
      <c r="Q5109" s="133">
        <v>2000</v>
      </c>
      <c r="R5109" s="134"/>
      <c r="S5109" s="5" t="s">
        <v>27</v>
      </c>
      <c r="T5109" s="6"/>
      <c r="U5109" s="6"/>
      <c r="V5109" s="5" t="s">
        <v>23</v>
      </c>
      <c r="W5109" s="12">
        <v>4535768</v>
      </c>
      <c r="X5109" s="6"/>
      <c r="Y5109" s="6"/>
    </row>
    <row r="5110" spans="1:25" ht="15" customHeight="1" x14ac:dyDescent="0.2">
      <c r="A5110" s="88" t="s">
        <v>6237</v>
      </c>
      <c r="B5110" s="90"/>
      <c r="C5110" s="88" t="s">
        <v>6380</v>
      </c>
      <c r="D5110" s="90"/>
      <c r="E5110" s="88" t="s">
        <v>6381</v>
      </c>
      <c r="F5110" s="89"/>
      <c r="G5110" s="89"/>
      <c r="H5110" s="89"/>
      <c r="I5110" s="90"/>
      <c r="J5110" s="88" t="s">
        <v>13</v>
      </c>
      <c r="K5110" s="89"/>
      <c r="L5110" s="89"/>
      <c r="M5110" s="90"/>
      <c r="N5110" s="88" t="s">
        <v>26</v>
      </c>
      <c r="O5110" s="89"/>
      <c r="P5110" s="90"/>
      <c r="Q5110" s="133">
        <v>2000</v>
      </c>
      <c r="R5110" s="134"/>
      <c r="S5110" s="5" t="s">
        <v>27</v>
      </c>
      <c r="T5110" s="6"/>
      <c r="U5110" s="6"/>
      <c r="V5110" s="5" t="s">
        <v>106</v>
      </c>
      <c r="W5110" s="12">
        <v>4579673</v>
      </c>
      <c r="X5110" s="6"/>
      <c r="Y5110" s="6"/>
    </row>
    <row r="5111" spans="1:25" ht="15" customHeight="1" x14ac:dyDescent="0.2">
      <c r="A5111" s="88" t="s">
        <v>6237</v>
      </c>
      <c r="B5111" s="90"/>
      <c r="C5111" s="88" t="s">
        <v>6382</v>
      </c>
      <c r="D5111" s="90"/>
      <c r="E5111" s="88" t="s">
        <v>6383</v>
      </c>
      <c r="F5111" s="89"/>
      <c r="G5111" s="89"/>
      <c r="H5111" s="89"/>
      <c r="I5111" s="90"/>
      <c r="J5111" s="88" t="s">
        <v>13</v>
      </c>
      <c r="K5111" s="89"/>
      <c r="L5111" s="89"/>
      <c r="M5111" s="90"/>
      <c r="N5111" s="88" t="s">
        <v>26</v>
      </c>
      <c r="O5111" s="89"/>
      <c r="P5111" s="90"/>
      <c r="Q5111" s="133">
        <v>2000</v>
      </c>
      <c r="R5111" s="134"/>
      <c r="S5111" s="5" t="s">
        <v>27</v>
      </c>
      <c r="T5111" s="6"/>
      <c r="U5111" s="6"/>
      <c r="V5111" s="5" t="s">
        <v>106</v>
      </c>
      <c r="W5111" s="12">
        <v>3962886</v>
      </c>
      <c r="X5111" s="6"/>
      <c r="Y5111" s="6"/>
    </row>
    <row r="5112" spans="1:25" ht="15" customHeight="1" x14ac:dyDescent="0.2">
      <c r="A5112" s="88" t="s">
        <v>6237</v>
      </c>
      <c r="B5112" s="90"/>
      <c r="C5112" s="88" t="s">
        <v>6384</v>
      </c>
      <c r="D5112" s="90"/>
      <c r="E5112" s="88" t="s">
        <v>6385</v>
      </c>
      <c r="F5112" s="89"/>
      <c r="G5112" s="89"/>
      <c r="H5112" s="89"/>
      <c r="I5112" s="90"/>
      <c r="J5112" s="88" t="s">
        <v>13</v>
      </c>
      <c r="K5112" s="89"/>
      <c r="L5112" s="89"/>
      <c r="M5112" s="90"/>
      <c r="N5112" s="88" t="s">
        <v>26</v>
      </c>
      <c r="O5112" s="89"/>
      <c r="P5112" s="90"/>
      <c r="Q5112" s="133">
        <v>2000</v>
      </c>
      <c r="R5112" s="134"/>
      <c r="S5112" s="5" t="s">
        <v>27</v>
      </c>
      <c r="T5112" s="6"/>
      <c r="U5112" s="6"/>
      <c r="V5112" s="5" t="s">
        <v>106</v>
      </c>
      <c r="W5112" s="12">
        <v>5307912</v>
      </c>
      <c r="X5112" s="6"/>
      <c r="Y5112" s="6"/>
    </row>
    <row r="5113" spans="1:25" ht="15" customHeight="1" x14ac:dyDescent="0.2">
      <c r="A5113" s="88" t="s">
        <v>6237</v>
      </c>
      <c r="B5113" s="90"/>
      <c r="C5113" s="88" t="s">
        <v>6386</v>
      </c>
      <c r="D5113" s="90"/>
      <c r="E5113" s="88" t="s">
        <v>6387</v>
      </c>
      <c r="F5113" s="89"/>
      <c r="G5113" s="89"/>
      <c r="H5113" s="89"/>
      <c r="I5113" s="90"/>
      <c r="J5113" s="88" t="s">
        <v>13</v>
      </c>
      <c r="K5113" s="89"/>
      <c r="L5113" s="89"/>
      <c r="M5113" s="90"/>
      <c r="N5113" s="88" t="s">
        <v>26</v>
      </c>
      <c r="O5113" s="89"/>
      <c r="P5113" s="90"/>
      <c r="Q5113" s="133">
        <v>2000</v>
      </c>
      <c r="R5113" s="134"/>
      <c r="S5113" s="5" t="s">
        <v>27</v>
      </c>
      <c r="T5113" s="6"/>
      <c r="U5113" s="6"/>
      <c r="V5113" s="5" t="s">
        <v>23</v>
      </c>
      <c r="W5113" s="12">
        <v>5268228</v>
      </c>
      <c r="X5113" s="6"/>
      <c r="Y5113" s="6"/>
    </row>
    <row r="5114" spans="1:25" ht="15" customHeight="1" x14ac:dyDescent="0.2">
      <c r="A5114" s="88" t="s">
        <v>6237</v>
      </c>
      <c r="B5114" s="90"/>
      <c r="C5114" s="88" t="s">
        <v>6388</v>
      </c>
      <c r="D5114" s="90"/>
      <c r="E5114" s="88" t="s">
        <v>6389</v>
      </c>
      <c r="F5114" s="89"/>
      <c r="G5114" s="89"/>
      <c r="H5114" s="89"/>
      <c r="I5114" s="90"/>
      <c r="J5114" s="88" t="s">
        <v>13</v>
      </c>
      <c r="K5114" s="89"/>
      <c r="L5114" s="89"/>
      <c r="M5114" s="90"/>
      <c r="N5114" s="88" t="s">
        <v>26</v>
      </c>
      <c r="O5114" s="89"/>
      <c r="P5114" s="90"/>
      <c r="Q5114" s="133">
        <v>2000</v>
      </c>
      <c r="R5114" s="134"/>
      <c r="S5114" s="5" t="s">
        <v>27</v>
      </c>
      <c r="T5114" s="6"/>
      <c r="U5114" s="6"/>
      <c r="V5114" s="5" t="s">
        <v>23</v>
      </c>
      <c r="W5114" s="12">
        <v>9631752</v>
      </c>
      <c r="X5114" s="6"/>
      <c r="Y5114" s="6"/>
    </row>
    <row r="5115" spans="1:25" ht="15" customHeight="1" x14ac:dyDescent="0.2">
      <c r="A5115" s="88" t="s">
        <v>6237</v>
      </c>
      <c r="B5115" s="90"/>
      <c r="C5115" s="88" t="s">
        <v>6390</v>
      </c>
      <c r="D5115" s="90"/>
      <c r="E5115" s="88" t="s">
        <v>6391</v>
      </c>
      <c r="F5115" s="89"/>
      <c r="G5115" s="89"/>
      <c r="H5115" s="89"/>
      <c r="I5115" s="90"/>
      <c r="J5115" s="88" t="s">
        <v>13</v>
      </c>
      <c r="K5115" s="89"/>
      <c r="L5115" s="89"/>
      <c r="M5115" s="90"/>
      <c r="N5115" s="88" t="s">
        <v>26</v>
      </c>
      <c r="O5115" s="89"/>
      <c r="P5115" s="90"/>
      <c r="Q5115" s="133">
        <v>2000</v>
      </c>
      <c r="R5115" s="134"/>
      <c r="S5115" s="5" t="s">
        <v>27</v>
      </c>
      <c r="T5115" s="6"/>
      <c r="U5115" s="6"/>
      <c r="V5115" s="5" t="s">
        <v>23</v>
      </c>
      <c r="W5115" s="12">
        <v>7933161</v>
      </c>
      <c r="X5115" s="6"/>
      <c r="Y5115" s="6"/>
    </row>
    <row r="5116" spans="1:25" ht="15" customHeight="1" x14ac:dyDescent="0.2">
      <c r="A5116" s="88" t="s">
        <v>6237</v>
      </c>
      <c r="B5116" s="90"/>
      <c r="C5116" s="88" t="s">
        <v>6392</v>
      </c>
      <c r="D5116" s="90"/>
      <c r="E5116" s="88" t="s">
        <v>6393</v>
      </c>
      <c r="F5116" s="89"/>
      <c r="G5116" s="89"/>
      <c r="H5116" s="89"/>
      <c r="I5116" s="90"/>
      <c r="J5116" s="88" t="s">
        <v>13</v>
      </c>
      <c r="K5116" s="89"/>
      <c r="L5116" s="89"/>
      <c r="M5116" s="90"/>
      <c r="N5116" s="88" t="s">
        <v>26</v>
      </c>
      <c r="O5116" s="89"/>
      <c r="P5116" s="90"/>
      <c r="Q5116" s="133">
        <v>2000</v>
      </c>
      <c r="R5116" s="134"/>
      <c r="S5116" s="5" t="s">
        <v>70</v>
      </c>
      <c r="T5116" s="6"/>
      <c r="U5116" s="6"/>
      <c r="V5116" s="5" t="s">
        <v>106</v>
      </c>
      <c r="W5116" s="12">
        <v>6097576</v>
      </c>
      <c r="X5116" s="6"/>
      <c r="Y5116" s="6"/>
    </row>
    <row r="5117" spans="1:25" ht="15" customHeight="1" x14ac:dyDescent="0.2">
      <c r="A5117" s="88" t="s">
        <v>6237</v>
      </c>
      <c r="B5117" s="90"/>
      <c r="C5117" s="88" t="s">
        <v>6394</v>
      </c>
      <c r="D5117" s="90"/>
      <c r="E5117" s="88" t="s">
        <v>6267</v>
      </c>
      <c r="F5117" s="89"/>
      <c r="G5117" s="89"/>
      <c r="H5117" s="89"/>
      <c r="I5117" s="90"/>
      <c r="J5117" s="88" t="s">
        <v>13</v>
      </c>
      <c r="K5117" s="89"/>
      <c r="L5117" s="89"/>
      <c r="M5117" s="90"/>
      <c r="N5117" s="88" t="s">
        <v>26</v>
      </c>
      <c r="O5117" s="89"/>
      <c r="P5117" s="90"/>
      <c r="Q5117" s="133">
        <v>2000</v>
      </c>
      <c r="R5117" s="134"/>
      <c r="S5117" s="5" t="s">
        <v>70</v>
      </c>
      <c r="T5117" s="6"/>
      <c r="U5117" s="6"/>
      <c r="V5117" s="5" t="s">
        <v>106</v>
      </c>
      <c r="W5117" s="12">
        <v>5149599</v>
      </c>
      <c r="X5117" s="6"/>
      <c r="Y5117" s="6"/>
    </row>
    <row r="5118" spans="1:25" ht="15" customHeight="1" x14ac:dyDescent="0.2">
      <c r="A5118" s="88" t="s">
        <v>6237</v>
      </c>
      <c r="B5118" s="90"/>
      <c r="C5118" s="88" t="s">
        <v>6395</v>
      </c>
      <c r="D5118" s="90"/>
      <c r="E5118" s="88" t="s">
        <v>6396</v>
      </c>
      <c r="F5118" s="89"/>
      <c r="G5118" s="89"/>
      <c r="H5118" s="89"/>
      <c r="I5118" s="90"/>
      <c r="J5118" s="88" t="s">
        <v>13</v>
      </c>
      <c r="K5118" s="89"/>
      <c r="L5118" s="89"/>
      <c r="M5118" s="90"/>
      <c r="N5118" s="88" t="s">
        <v>26</v>
      </c>
      <c r="O5118" s="89"/>
      <c r="P5118" s="90"/>
      <c r="Q5118" s="133">
        <v>2000</v>
      </c>
      <c r="R5118" s="134"/>
      <c r="S5118" s="5" t="s">
        <v>27</v>
      </c>
      <c r="T5118" s="6"/>
      <c r="U5118" s="6"/>
      <c r="V5118" s="5" t="s">
        <v>23</v>
      </c>
      <c r="W5118" s="12">
        <v>4255871</v>
      </c>
      <c r="X5118" s="6"/>
      <c r="Y5118" s="6"/>
    </row>
    <row r="5119" spans="1:25" ht="15" customHeight="1" x14ac:dyDescent="0.2">
      <c r="A5119" s="88" t="s">
        <v>6237</v>
      </c>
      <c r="B5119" s="90"/>
      <c r="C5119" s="88" t="s">
        <v>6397</v>
      </c>
      <c r="D5119" s="90"/>
      <c r="E5119" s="88" t="s">
        <v>6398</v>
      </c>
      <c r="F5119" s="89"/>
      <c r="G5119" s="89"/>
      <c r="H5119" s="89"/>
      <c r="I5119" s="90"/>
      <c r="J5119" s="88" t="s">
        <v>13</v>
      </c>
      <c r="K5119" s="89"/>
      <c r="L5119" s="89"/>
      <c r="M5119" s="90"/>
      <c r="N5119" s="88" t="s">
        <v>26</v>
      </c>
      <c r="O5119" s="89"/>
      <c r="P5119" s="90"/>
      <c r="Q5119" s="133">
        <v>2000</v>
      </c>
      <c r="R5119" s="134"/>
      <c r="S5119" s="5" t="s">
        <v>70</v>
      </c>
      <c r="T5119" s="6"/>
      <c r="U5119" s="6"/>
      <c r="V5119" s="5" t="s">
        <v>106</v>
      </c>
      <c r="W5119" s="12">
        <v>5240154</v>
      </c>
      <c r="X5119" s="6"/>
      <c r="Y5119" s="6"/>
    </row>
    <row r="5120" spans="1:25" ht="15" customHeight="1" x14ac:dyDescent="0.2">
      <c r="A5120" s="88" t="s">
        <v>6237</v>
      </c>
      <c r="B5120" s="90"/>
      <c r="C5120" s="88" t="s">
        <v>6399</v>
      </c>
      <c r="D5120" s="90"/>
      <c r="E5120" s="88" t="s">
        <v>6400</v>
      </c>
      <c r="F5120" s="89"/>
      <c r="G5120" s="89"/>
      <c r="H5120" s="89"/>
      <c r="I5120" s="90"/>
      <c r="J5120" s="88" t="s">
        <v>13</v>
      </c>
      <c r="K5120" s="89"/>
      <c r="L5120" s="89"/>
      <c r="M5120" s="90"/>
      <c r="N5120" s="88" t="s">
        <v>26</v>
      </c>
      <c r="O5120" s="89"/>
      <c r="P5120" s="90"/>
      <c r="Q5120" s="133">
        <v>2000</v>
      </c>
      <c r="R5120" s="134"/>
      <c r="S5120" s="5" t="s">
        <v>70</v>
      </c>
      <c r="T5120" s="6"/>
      <c r="U5120" s="6"/>
      <c r="V5120" s="5" t="s">
        <v>106</v>
      </c>
      <c r="W5120" s="12">
        <v>8208625</v>
      </c>
      <c r="X5120" s="6"/>
      <c r="Y5120" s="6"/>
    </row>
    <row r="5121" spans="1:25" ht="15" customHeight="1" x14ac:dyDescent="0.2">
      <c r="A5121" s="88" t="s">
        <v>6237</v>
      </c>
      <c r="B5121" s="90"/>
      <c r="C5121" s="88" t="s">
        <v>6401</v>
      </c>
      <c r="D5121" s="90"/>
      <c r="E5121" s="88" t="s">
        <v>6402</v>
      </c>
      <c r="F5121" s="89"/>
      <c r="G5121" s="89"/>
      <c r="H5121" s="89"/>
      <c r="I5121" s="90"/>
      <c r="J5121" s="88" t="s">
        <v>13</v>
      </c>
      <c r="K5121" s="89"/>
      <c r="L5121" s="89"/>
      <c r="M5121" s="90"/>
      <c r="N5121" s="88" t="s">
        <v>26</v>
      </c>
      <c r="O5121" s="89"/>
      <c r="P5121" s="90"/>
      <c r="Q5121" s="133">
        <v>2500</v>
      </c>
      <c r="R5121" s="134"/>
      <c r="S5121" s="5" t="s">
        <v>70</v>
      </c>
      <c r="T5121" s="6"/>
      <c r="U5121" s="6"/>
      <c r="V5121" s="5" t="s">
        <v>96</v>
      </c>
      <c r="W5121" s="12">
        <v>9852334</v>
      </c>
      <c r="X5121" s="6"/>
      <c r="Y5121" s="6"/>
    </row>
    <row r="5122" spans="1:25" ht="15" customHeight="1" x14ac:dyDescent="0.2">
      <c r="A5122" s="88" t="s">
        <v>6237</v>
      </c>
      <c r="B5122" s="90"/>
      <c r="C5122" s="88" t="s">
        <v>6403</v>
      </c>
      <c r="D5122" s="90"/>
      <c r="E5122" s="88" t="s">
        <v>6404</v>
      </c>
      <c r="F5122" s="89"/>
      <c r="G5122" s="89"/>
      <c r="H5122" s="89"/>
      <c r="I5122" s="90"/>
      <c r="J5122" s="88" t="s">
        <v>13</v>
      </c>
      <c r="K5122" s="89"/>
      <c r="L5122" s="89"/>
      <c r="M5122" s="90"/>
      <c r="N5122" s="88" t="s">
        <v>22</v>
      </c>
      <c r="O5122" s="89"/>
      <c r="P5122" s="90"/>
      <c r="Q5122" s="133">
        <v>3600</v>
      </c>
      <c r="R5122" s="134"/>
      <c r="S5122" s="5" t="s">
        <v>70</v>
      </c>
      <c r="T5122" s="6"/>
      <c r="U5122" s="6"/>
      <c r="V5122" s="5" t="s">
        <v>23</v>
      </c>
      <c r="W5122" s="12">
        <v>5581899</v>
      </c>
      <c r="X5122" s="6"/>
      <c r="Y5122" s="6"/>
    </row>
    <row r="5123" spans="1:25" ht="15" customHeight="1" x14ac:dyDescent="0.2">
      <c r="A5123" s="88" t="s">
        <v>6237</v>
      </c>
      <c r="B5123" s="90"/>
      <c r="C5123" s="88" t="s">
        <v>6405</v>
      </c>
      <c r="D5123" s="90"/>
      <c r="E5123" s="88" t="s">
        <v>6406</v>
      </c>
      <c r="F5123" s="89"/>
      <c r="G5123" s="89"/>
      <c r="H5123" s="89"/>
      <c r="I5123" s="90"/>
      <c r="J5123" s="88" t="s">
        <v>13</v>
      </c>
      <c r="K5123" s="89"/>
      <c r="L5123" s="89"/>
      <c r="M5123" s="90"/>
      <c r="N5123" s="88" t="s">
        <v>26</v>
      </c>
      <c r="O5123" s="89"/>
      <c r="P5123" s="90"/>
      <c r="Q5123" s="88" t="s">
        <v>181</v>
      </c>
      <c r="R5123" s="90"/>
      <c r="S5123" s="5" t="s">
        <v>70</v>
      </c>
      <c r="T5123" s="6"/>
      <c r="U5123" s="6"/>
      <c r="V5123" s="5" t="s">
        <v>17</v>
      </c>
      <c r="W5123" s="12">
        <v>5549603</v>
      </c>
      <c r="X5123" s="6"/>
      <c r="Y5123" s="6"/>
    </row>
    <row r="5124" spans="1:25" ht="15" customHeight="1" x14ac:dyDescent="0.2">
      <c r="A5124" s="88" t="s">
        <v>6237</v>
      </c>
      <c r="B5124" s="90"/>
      <c r="C5124" s="88" t="s">
        <v>6407</v>
      </c>
      <c r="D5124" s="90"/>
      <c r="E5124" s="88" t="s">
        <v>6408</v>
      </c>
      <c r="F5124" s="89"/>
      <c r="G5124" s="89"/>
      <c r="H5124" s="89"/>
      <c r="I5124" s="90"/>
      <c r="J5124" s="88" t="s">
        <v>13</v>
      </c>
      <c r="K5124" s="89"/>
      <c r="L5124" s="89"/>
      <c r="M5124" s="90"/>
      <c r="N5124" s="88" t="s">
        <v>26</v>
      </c>
      <c r="O5124" s="89"/>
      <c r="P5124" s="90"/>
      <c r="Q5124" s="88" t="s">
        <v>181</v>
      </c>
      <c r="R5124" s="90"/>
      <c r="S5124" s="5" t="s">
        <v>70</v>
      </c>
      <c r="T5124" s="6"/>
      <c r="U5124" s="6"/>
      <c r="V5124" s="5" t="s">
        <v>17</v>
      </c>
      <c r="W5124" s="12">
        <v>5135034</v>
      </c>
      <c r="X5124" s="6"/>
      <c r="Y5124" s="6"/>
    </row>
    <row r="5125" spans="1:25" ht="15" customHeight="1" x14ac:dyDescent="0.2">
      <c r="A5125" s="88" t="s">
        <v>6237</v>
      </c>
      <c r="B5125" s="90"/>
      <c r="C5125" s="88" t="s">
        <v>6409</v>
      </c>
      <c r="D5125" s="90"/>
      <c r="E5125" s="88" t="s">
        <v>6410</v>
      </c>
      <c r="F5125" s="89"/>
      <c r="G5125" s="89"/>
      <c r="H5125" s="89"/>
      <c r="I5125" s="90"/>
      <c r="J5125" s="88" t="s">
        <v>13</v>
      </c>
      <c r="K5125" s="89"/>
      <c r="L5125" s="89"/>
      <c r="M5125" s="90"/>
      <c r="N5125" s="88" t="s">
        <v>26</v>
      </c>
      <c r="O5125" s="89"/>
      <c r="P5125" s="90"/>
      <c r="Q5125" s="88" t="s">
        <v>181</v>
      </c>
      <c r="R5125" s="90"/>
      <c r="S5125" s="5" t="s">
        <v>70</v>
      </c>
      <c r="T5125" s="6"/>
      <c r="U5125" s="6"/>
      <c r="V5125" s="5" t="s">
        <v>17</v>
      </c>
      <c r="W5125" s="12">
        <v>6435944</v>
      </c>
      <c r="X5125" s="6"/>
      <c r="Y5125" s="6"/>
    </row>
    <row r="5126" spans="1:25" ht="15" customHeight="1" x14ac:dyDescent="0.2">
      <c r="A5126" s="88" t="s">
        <v>6411</v>
      </c>
      <c r="B5126" s="90"/>
      <c r="C5126" s="88" t="s">
        <v>6412</v>
      </c>
      <c r="D5126" s="90"/>
      <c r="E5126" s="106"/>
      <c r="F5126" s="107"/>
      <c r="G5126" s="107"/>
      <c r="H5126" s="107"/>
      <c r="I5126" s="108"/>
      <c r="J5126" s="88" t="s">
        <v>1499</v>
      </c>
      <c r="K5126" s="89"/>
      <c r="L5126" s="89"/>
      <c r="M5126" s="90"/>
      <c r="N5126" s="88" t="s">
        <v>701</v>
      </c>
      <c r="O5126" s="89"/>
      <c r="P5126" s="90"/>
      <c r="Q5126" s="88" t="s">
        <v>6413</v>
      </c>
      <c r="R5126" s="90"/>
      <c r="S5126" s="6"/>
      <c r="T5126" s="5" t="s">
        <v>6414</v>
      </c>
      <c r="U5126" s="8">
        <v>5</v>
      </c>
      <c r="V5126" s="5" t="s">
        <v>17</v>
      </c>
      <c r="W5126" s="12">
        <v>10891922</v>
      </c>
      <c r="X5126" s="6"/>
      <c r="Y5126" s="6"/>
    </row>
    <row r="5127" spans="1:25" ht="15" customHeight="1" x14ac:dyDescent="0.2">
      <c r="A5127" s="88" t="s">
        <v>6411</v>
      </c>
      <c r="B5127" s="90"/>
      <c r="C5127" s="88" t="s">
        <v>6415</v>
      </c>
      <c r="D5127" s="90"/>
      <c r="E5127" s="106"/>
      <c r="F5127" s="107"/>
      <c r="G5127" s="107"/>
      <c r="H5127" s="107"/>
      <c r="I5127" s="108"/>
      <c r="J5127" s="88" t="s">
        <v>1499</v>
      </c>
      <c r="K5127" s="89"/>
      <c r="L5127" s="89"/>
      <c r="M5127" s="90"/>
      <c r="N5127" s="88" t="s">
        <v>725</v>
      </c>
      <c r="O5127" s="89"/>
      <c r="P5127" s="90"/>
      <c r="Q5127" s="88" t="s">
        <v>6413</v>
      </c>
      <c r="R5127" s="90"/>
      <c r="S5127" s="6"/>
      <c r="T5127" s="5" t="s">
        <v>6416</v>
      </c>
      <c r="U5127" s="8">
        <v>5</v>
      </c>
      <c r="V5127" s="5" t="s">
        <v>17</v>
      </c>
      <c r="W5127" s="12">
        <v>10047587</v>
      </c>
      <c r="X5127" s="6"/>
      <c r="Y5127" s="6"/>
    </row>
    <row r="5128" spans="1:25" ht="15" customHeight="1" x14ac:dyDescent="0.2">
      <c r="A5128" s="88" t="s">
        <v>6411</v>
      </c>
      <c r="B5128" s="90"/>
      <c r="C5128" s="88" t="s">
        <v>6417</v>
      </c>
      <c r="D5128" s="90"/>
      <c r="E5128" s="106"/>
      <c r="F5128" s="107"/>
      <c r="G5128" s="107"/>
      <c r="H5128" s="107"/>
      <c r="I5128" s="108"/>
      <c r="J5128" s="88" t="s">
        <v>1499</v>
      </c>
      <c r="K5128" s="89"/>
      <c r="L5128" s="89"/>
      <c r="M5128" s="90"/>
      <c r="N5128" s="88" t="s">
        <v>725</v>
      </c>
      <c r="O5128" s="89"/>
      <c r="P5128" s="90"/>
      <c r="Q5128" s="88" t="s">
        <v>6418</v>
      </c>
      <c r="R5128" s="90"/>
      <c r="S5128" s="6"/>
      <c r="T5128" s="5" t="s">
        <v>6416</v>
      </c>
      <c r="U5128" s="8">
        <v>5</v>
      </c>
      <c r="V5128" s="5" t="s">
        <v>17</v>
      </c>
      <c r="W5128" s="12">
        <v>9203252</v>
      </c>
      <c r="X5128" s="6"/>
      <c r="Y5128" s="6"/>
    </row>
    <row r="5129" spans="1:25" ht="15" customHeight="1" x14ac:dyDescent="0.2">
      <c r="A5129" s="88" t="s">
        <v>6411</v>
      </c>
      <c r="B5129" s="90"/>
      <c r="C5129" s="88" t="s">
        <v>6419</v>
      </c>
      <c r="D5129" s="90"/>
      <c r="E5129" s="106"/>
      <c r="F5129" s="107"/>
      <c r="G5129" s="107"/>
      <c r="H5129" s="107"/>
      <c r="I5129" s="108"/>
      <c r="J5129" s="88" t="s">
        <v>1499</v>
      </c>
      <c r="K5129" s="89"/>
      <c r="L5129" s="89"/>
      <c r="M5129" s="90"/>
      <c r="N5129" s="88" t="s">
        <v>701</v>
      </c>
      <c r="O5129" s="89"/>
      <c r="P5129" s="90"/>
      <c r="Q5129" s="88" t="s">
        <v>6420</v>
      </c>
      <c r="R5129" s="90"/>
      <c r="S5129" s="6"/>
      <c r="T5129" s="5" t="s">
        <v>6421</v>
      </c>
      <c r="U5129" s="8">
        <v>5</v>
      </c>
      <c r="V5129" s="5" t="s">
        <v>17</v>
      </c>
      <c r="W5129" s="12">
        <v>14691429</v>
      </c>
      <c r="X5129" s="6"/>
      <c r="Y5129" s="6"/>
    </row>
    <row r="5130" spans="1:25" ht="15" customHeight="1" x14ac:dyDescent="0.2">
      <c r="A5130" s="88" t="s">
        <v>6411</v>
      </c>
      <c r="B5130" s="90"/>
      <c r="C5130" s="88" t="s">
        <v>6422</v>
      </c>
      <c r="D5130" s="90"/>
      <c r="E5130" s="106"/>
      <c r="F5130" s="107"/>
      <c r="G5130" s="107"/>
      <c r="H5130" s="107"/>
      <c r="I5130" s="108"/>
      <c r="J5130" s="88" t="s">
        <v>1499</v>
      </c>
      <c r="K5130" s="89"/>
      <c r="L5130" s="89"/>
      <c r="M5130" s="90"/>
      <c r="N5130" s="88" t="s">
        <v>725</v>
      </c>
      <c r="O5130" s="89"/>
      <c r="P5130" s="90"/>
      <c r="Q5130" s="88" t="s">
        <v>6420</v>
      </c>
      <c r="R5130" s="90"/>
      <c r="S5130" s="6"/>
      <c r="T5130" s="5" t="s">
        <v>6423</v>
      </c>
      <c r="U5130" s="8">
        <v>5</v>
      </c>
      <c r="V5130" s="5" t="s">
        <v>17</v>
      </c>
      <c r="W5130" s="12">
        <v>13002759</v>
      </c>
      <c r="X5130" s="6"/>
      <c r="Y5130" s="6"/>
    </row>
    <row r="5131" spans="1:25" ht="15" customHeight="1" x14ac:dyDescent="0.2">
      <c r="A5131" s="88" t="s">
        <v>6411</v>
      </c>
      <c r="B5131" s="90"/>
      <c r="C5131" s="88" t="s">
        <v>6424</v>
      </c>
      <c r="D5131" s="90"/>
      <c r="E5131" s="106"/>
      <c r="F5131" s="107"/>
      <c r="G5131" s="107"/>
      <c r="H5131" s="107"/>
      <c r="I5131" s="108"/>
      <c r="J5131" s="88" t="s">
        <v>1499</v>
      </c>
      <c r="K5131" s="89"/>
      <c r="L5131" s="89"/>
      <c r="M5131" s="90"/>
      <c r="N5131" s="88" t="s">
        <v>725</v>
      </c>
      <c r="O5131" s="89"/>
      <c r="P5131" s="90"/>
      <c r="Q5131" s="88" t="s">
        <v>6425</v>
      </c>
      <c r="R5131" s="90"/>
      <c r="S5131" s="6"/>
      <c r="T5131" s="5" t="s">
        <v>6426</v>
      </c>
      <c r="U5131" s="8">
        <v>5</v>
      </c>
      <c r="V5131" s="5" t="s">
        <v>17</v>
      </c>
      <c r="W5131" s="12">
        <v>12158424</v>
      </c>
      <c r="X5131" s="6"/>
      <c r="Y5131" s="6"/>
    </row>
    <row r="5132" spans="1:25" ht="15" customHeight="1" x14ac:dyDescent="0.2">
      <c r="A5132" s="88" t="s">
        <v>6411</v>
      </c>
      <c r="B5132" s="90"/>
      <c r="C5132" s="88" t="s">
        <v>6427</v>
      </c>
      <c r="D5132" s="90"/>
      <c r="E5132" s="106"/>
      <c r="F5132" s="107"/>
      <c r="G5132" s="107"/>
      <c r="H5132" s="107"/>
      <c r="I5132" s="108"/>
      <c r="J5132" s="88" t="s">
        <v>1499</v>
      </c>
      <c r="K5132" s="89"/>
      <c r="L5132" s="89"/>
      <c r="M5132" s="90"/>
      <c r="N5132" s="88" t="s">
        <v>701</v>
      </c>
      <c r="O5132" s="89"/>
      <c r="P5132" s="90"/>
      <c r="Q5132" s="88" t="s">
        <v>6428</v>
      </c>
      <c r="R5132" s="90"/>
      <c r="S5132" s="6"/>
      <c r="T5132" s="5" t="s">
        <v>6429</v>
      </c>
      <c r="U5132" s="8">
        <v>5</v>
      </c>
      <c r="V5132" s="5" t="s">
        <v>17</v>
      </c>
      <c r="W5132" s="12">
        <v>12369508</v>
      </c>
      <c r="X5132" s="6"/>
      <c r="Y5132" s="6"/>
    </row>
    <row r="5133" spans="1:25" ht="15" customHeight="1" x14ac:dyDescent="0.2">
      <c r="A5133" s="88" t="s">
        <v>6411</v>
      </c>
      <c r="B5133" s="90"/>
      <c r="C5133" s="88" t="s">
        <v>6430</v>
      </c>
      <c r="D5133" s="90"/>
      <c r="E5133" s="106"/>
      <c r="F5133" s="107"/>
      <c r="G5133" s="107"/>
      <c r="H5133" s="107"/>
      <c r="I5133" s="108"/>
      <c r="J5133" s="88" t="s">
        <v>1499</v>
      </c>
      <c r="K5133" s="89"/>
      <c r="L5133" s="89"/>
      <c r="M5133" s="90"/>
      <c r="N5133" s="88" t="s">
        <v>725</v>
      </c>
      <c r="O5133" s="89"/>
      <c r="P5133" s="90"/>
      <c r="Q5133" s="88" t="s">
        <v>6428</v>
      </c>
      <c r="R5133" s="90"/>
      <c r="S5133" s="6"/>
      <c r="T5133" s="5" t="s">
        <v>6431</v>
      </c>
      <c r="U5133" s="8">
        <v>5</v>
      </c>
      <c r="V5133" s="5" t="s">
        <v>17</v>
      </c>
      <c r="W5133" s="12">
        <v>10469754</v>
      </c>
      <c r="X5133" s="6"/>
      <c r="Y5133" s="6"/>
    </row>
    <row r="5134" spans="1:25" ht="15" customHeight="1" x14ac:dyDescent="0.2">
      <c r="A5134" s="88" t="s">
        <v>6411</v>
      </c>
      <c r="B5134" s="90"/>
      <c r="C5134" s="88" t="s">
        <v>6432</v>
      </c>
      <c r="D5134" s="90"/>
      <c r="E5134" s="106"/>
      <c r="F5134" s="107"/>
      <c r="G5134" s="107"/>
      <c r="H5134" s="107"/>
      <c r="I5134" s="108"/>
      <c r="J5134" s="88" t="s">
        <v>1499</v>
      </c>
      <c r="K5134" s="89"/>
      <c r="L5134" s="89"/>
      <c r="M5134" s="90"/>
      <c r="N5134" s="88" t="s">
        <v>701</v>
      </c>
      <c r="O5134" s="89"/>
      <c r="P5134" s="90"/>
      <c r="Q5134" s="88" t="s">
        <v>6428</v>
      </c>
      <c r="R5134" s="90"/>
      <c r="S5134" s="6"/>
      <c r="T5134" s="5" t="s">
        <v>6433</v>
      </c>
      <c r="U5134" s="8">
        <v>5</v>
      </c>
      <c r="V5134" s="5" t="s">
        <v>17</v>
      </c>
      <c r="W5134" s="12">
        <v>14691429</v>
      </c>
      <c r="X5134" s="6"/>
      <c r="Y5134" s="6"/>
    </row>
    <row r="5135" spans="1:25" ht="15.95" customHeight="1" x14ac:dyDescent="0.2">
      <c r="A5135" s="110" t="s">
        <v>6434</v>
      </c>
      <c r="B5135" s="111"/>
      <c r="C5135" s="111"/>
      <c r="D5135" s="111"/>
      <c r="E5135" s="111"/>
      <c r="F5135" s="111"/>
      <c r="G5135" s="111"/>
      <c r="H5135" s="111"/>
      <c r="I5135" s="111"/>
      <c r="J5135" s="111"/>
      <c r="K5135" s="111"/>
      <c r="L5135" s="111"/>
      <c r="M5135" s="111"/>
      <c r="N5135" s="111"/>
      <c r="O5135" s="111"/>
      <c r="P5135" s="111"/>
      <c r="Q5135" s="111"/>
      <c r="R5135" s="111"/>
      <c r="S5135" s="111"/>
      <c r="T5135" s="111"/>
      <c r="U5135" s="111"/>
      <c r="V5135" s="111"/>
      <c r="W5135" s="112"/>
      <c r="X5135" s="6"/>
      <c r="Y5135" s="6"/>
    </row>
    <row r="5136" spans="1:25" ht="13.5" customHeight="1" x14ac:dyDescent="0.2">
      <c r="A5136" s="106"/>
      <c r="B5136" s="108"/>
      <c r="C5136" s="106"/>
      <c r="D5136" s="108"/>
      <c r="E5136" s="106"/>
      <c r="F5136" s="107"/>
      <c r="G5136" s="107"/>
      <c r="H5136" s="107"/>
      <c r="I5136" s="108"/>
      <c r="J5136" s="106"/>
      <c r="K5136" s="107"/>
      <c r="L5136" s="107"/>
      <c r="M5136" s="108"/>
      <c r="N5136" s="106"/>
      <c r="O5136" s="107"/>
      <c r="P5136" s="108"/>
      <c r="Q5136" s="106"/>
      <c r="R5136" s="108"/>
      <c r="S5136" s="6"/>
      <c r="T5136" s="6"/>
      <c r="U5136" s="6"/>
      <c r="V5136" s="6"/>
      <c r="W5136" s="6"/>
      <c r="X5136" s="6"/>
      <c r="Y5136" s="6"/>
    </row>
    <row r="5137" spans="1:17" ht="57" customHeight="1" x14ac:dyDescent="0.2">
      <c r="A5137" s="97"/>
      <c r="B5137" s="98"/>
      <c r="C5137" s="98"/>
      <c r="D5137" s="98"/>
      <c r="E5137" s="98"/>
      <c r="F5137" s="98"/>
      <c r="G5137" s="98"/>
      <c r="H5137" s="98"/>
      <c r="I5137" s="98"/>
      <c r="J5137" s="98"/>
      <c r="K5137" s="98"/>
      <c r="L5137" s="98"/>
      <c r="M5137" s="98"/>
      <c r="N5137" s="98"/>
      <c r="O5137" s="98"/>
      <c r="P5137" s="98"/>
      <c r="Q5137" s="99"/>
    </row>
    <row r="5138" spans="1:17" ht="16.5" customHeight="1" x14ac:dyDescent="0.2">
      <c r="A5138" s="16" t="s">
        <v>6435</v>
      </c>
      <c r="B5138" s="130" t="s">
        <v>6436</v>
      </c>
      <c r="C5138" s="131"/>
      <c r="D5138" s="130" t="s">
        <v>6437</v>
      </c>
      <c r="E5138" s="132"/>
      <c r="F5138" s="131"/>
      <c r="G5138" s="16" t="s">
        <v>6438</v>
      </c>
      <c r="H5138" s="130" t="s">
        <v>6439</v>
      </c>
      <c r="I5138" s="132"/>
      <c r="J5138" s="131"/>
      <c r="K5138" s="130" t="s">
        <v>6440</v>
      </c>
      <c r="L5138" s="131"/>
      <c r="M5138" s="130" t="s">
        <v>6441</v>
      </c>
      <c r="N5138" s="132"/>
      <c r="O5138" s="131"/>
      <c r="P5138" s="130" t="s">
        <v>6442</v>
      </c>
      <c r="Q5138" s="131"/>
    </row>
    <row r="5139" spans="1:17" ht="15" customHeight="1" x14ac:dyDescent="0.2">
      <c r="A5139" s="5" t="s">
        <v>1713</v>
      </c>
      <c r="B5139" s="88" t="s">
        <v>6443</v>
      </c>
      <c r="C5139" s="90"/>
      <c r="D5139" s="88" t="s">
        <v>6444</v>
      </c>
      <c r="E5139" s="89"/>
      <c r="F5139" s="90"/>
      <c r="G5139" s="5" t="s">
        <v>1718</v>
      </c>
      <c r="H5139" s="91">
        <v>399</v>
      </c>
      <c r="I5139" s="92"/>
      <c r="J5139" s="93"/>
      <c r="K5139" s="91">
        <v>2</v>
      </c>
      <c r="L5139" s="93"/>
      <c r="M5139" s="88" t="s">
        <v>23</v>
      </c>
      <c r="N5139" s="89"/>
      <c r="O5139" s="90"/>
      <c r="P5139" s="94">
        <v>971616</v>
      </c>
      <c r="Q5139" s="96"/>
    </row>
    <row r="5140" spans="1:17" ht="15" customHeight="1" x14ac:dyDescent="0.2">
      <c r="A5140" s="5" t="s">
        <v>1713</v>
      </c>
      <c r="B5140" s="88" t="s">
        <v>6443</v>
      </c>
      <c r="C5140" s="90"/>
      <c r="D5140" s="88" t="s">
        <v>6445</v>
      </c>
      <c r="E5140" s="89"/>
      <c r="F5140" s="90"/>
      <c r="G5140" s="5" t="s">
        <v>1718</v>
      </c>
      <c r="H5140" s="91">
        <v>399</v>
      </c>
      <c r="I5140" s="92"/>
      <c r="J5140" s="93"/>
      <c r="K5140" s="91">
        <v>2</v>
      </c>
      <c r="L5140" s="93"/>
      <c r="M5140" s="88" t="s">
        <v>23</v>
      </c>
      <c r="N5140" s="89"/>
      <c r="O5140" s="90"/>
      <c r="P5140" s="94">
        <v>1110048</v>
      </c>
      <c r="Q5140" s="96"/>
    </row>
    <row r="5141" spans="1:17" ht="15" customHeight="1" x14ac:dyDescent="0.2">
      <c r="A5141" s="5" t="s">
        <v>1713</v>
      </c>
      <c r="B5141" s="88" t="s">
        <v>6443</v>
      </c>
      <c r="C5141" s="90"/>
      <c r="D5141" s="88" t="s">
        <v>6446</v>
      </c>
      <c r="E5141" s="89"/>
      <c r="F5141" s="90"/>
      <c r="G5141" s="5" t="s">
        <v>1718</v>
      </c>
      <c r="H5141" s="91">
        <v>399</v>
      </c>
      <c r="I5141" s="92"/>
      <c r="J5141" s="93"/>
      <c r="K5141" s="91">
        <v>2</v>
      </c>
      <c r="L5141" s="93"/>
      <c r="M5141" s="88" t="s">
        <v>23</v>
      </c>
      <c r="N5141" s="89"/>
      <c r="O5141" s="90"/>
      <c r="P5141" s="94">
        <v>949622</v>
      </c>
      <c r="Q5141" s="96"/>
    </row>
    <row r="5142" spans="1:17" ht="15" customHeight="1" x14ac:dyDescent="0.2">
      <c r="A5142" s="5" t="s">
        <v>1713</v>
      </c>
      <c r="B5142" s="88" t="s">
        <v>6447</v>
      </c>
      <c r="C5142" s="90"/>
      <c r="D5142" s="88" t="s">
        <v>6448</v>
      </c>
      <c r="E5142" s="89"/>
      <c r="F5142" s="90"/>
      <c r="G5142" s="5" t="s">
        <v>770</v>
      </c>
      <c r="H5142" s="91">
        <v>149</v>
      </c>
      <c r="I5142" s="92"/>
      <c r="J5142" s="93"/>
      <c r="K5142" s="91">
        <v>2</v>
      </c>
      <c r="L5142" s="93"/>
      <c r="M5142" s="88" t="s">
        <v>23</v>
      </c>
      <c r="N5142" s="89"/>
      <c r="O5142" s="90"/>
      <c r="P5142" s="94">
        <v>530443</v>
      </c>
      <c r="Q5142" s="96"/>
    </row>
    <row r="5143" spans="1:17" ht="15" customHeight="1" x14ac:dyDescent="0.2">
      <c r="A5143" s="5" t="s">
        <v>1713</v>
      </c>
      <c r="B5143" s="88" t="s">
        <v>6449</v>
      </c>
      <c r="C5143" s="90"/>
      <c r="D5143" s="88" t="s">
        <v>6450</v>
      </c>
      <c r="E5143" s="89"/>
      <c r="F5143" s="90"/>
      <c r="G5143" s="5" t="s">
        <v>770</v>
      </c>
      <c r="H5143" s="91">
        <v>156</v>
      </c>
      <c r="I5143" s="92"/>
      <c r="J5143" s="93"/>
      <c r="K5143" s="91">
        <v>2</v>
      </c>
      <c r="L5143" s="93"/>
      <c r="M5143" s="88" t="s">
        <v>23</v>
      </c>
      <c r="N5143" s="89"/>
      <c r="O5143" s="90"/>
      <c r="P5143" s="94">
        <v>611950</v>
      </c>
      <c r="Q5143" s="96"/>
    </row>
    <row r="5144" spans="1:17" ht="15" customHeight="1" x14ac:dyDescent="0.2">
      <c r="A5144" s="5" t="s">
        <v>1713</v>
      </c>
      <c r="B5144" s="88" t="s">
        <v>6451</v>
      </c>
      <c r="C5144" s="90"/>
      <c r="D5144" s="88" t="s">
        <v>6452</v>
      </c>
      <c r="E5144" s="89"/>
      <c r="F5144" s="90"/>
      <c r="G5144" s="5" t="s">
        <v>770</v>
      </c>
      <c r="H5144" s="91">
        <v>49</v>
      </c>
      <c r="I5144" s="92"/>
      <c r="J5144" s="93"/>
      <c r="K5144" s="91">
        <v>1</v>
      </c>
      <c r="L5144" s="93"/>
      <c r="M5144" s="88" t="s">
        <v>23</v>
      </c>
      <c r="N5144" s="89"/>
      <c r="O5144" s="90"/>
      <c r="P5144" s="94">
        <v>284628</v>
      </c>
      <c r="Q5144" s="96"/>
    </row>
    <row r="5145" spans="1:17" ht="15" customHeight="1" x14ac:dyDescent="0.2">
      <c r="A5145" s="5" t="s">
        <v>1713</v>
      </c>
      <c r="B5145" s="88" t="s">
        <v>6453</v>
      </c>
      <c r="C5145" s="90"/>
      <c r="D5145" s="88" t="s">
        <v>6454</v>
      </c>
      <c r="E5145" s="89"/>
      <c r="F5145" s="90"/>
      <c r="G5145" s="5" t="s">
        <v>770</v>
      </c>
      <c r="H5145" s="91">
        <v>107</v>
      </c>
      <c r="I5145" s="92"/>
      <c r="J5145" s="93"/>
      <c r="K5145" s="91">
        <v>2</v>
      </c>
      <c r="L5145" s="93"/>
      <c r="M5145" s="88" t="s">
        <v>23</v>
      </c>
      <c r="N5145" s="89"/>
      <c r="O5145" s="90"/>
      <c r="P5145" s="94">
        <v>353197</v>
      </c>
      <c r="Q5145" s="96"/>
    </row>
    <row r="5146" spans="1:17" ht="15" customHeight="1" x14ac:dyDescent="0.2">
      <c r="A5146" s="5" t="s">
        <v>1713</v>
      </c>
      <c r="B5146" s="88" t="s">
        <v>6455</v>
      </c>
      <c r="C5146" s="90"/>
      <c r="D5146" s="88" t="s">
        <v>6456</v>
      </c>
      <c r="E5146" s="89"/>
      <c r="F5146" s="90"/>
      <c r="G5146" s="6"/>
      <c r="H5146" s="106"/>
      <c r="I5146" s="107"/>
      <c r="J5146" s="108"/>
      <c r="K5146" s="91">
        <v>1</v>
      </c>
      <c r="L5146" s="93"/>
      <c r="M5146" s="88" t="s">
        <v>17</v>
      </c>
      <c r="N5146" s="89"/>
      <c r="O5146" s="90"/>
      <c r="P5146" s="94">
        <v>866821</v>
      </c>
      <c r="Q5146" s="96"/>
    </row>
    <row r="5147" spans="1:17" ht="15" customHeight="1" x14ac:dyDescent="0.2">
      <c r="A5147" s="5" t="s">
        <v>1713</v>
      </c>
      <c r="B5147" s="88" t="s">
        <v>6457</v>
      </c>
      <c r="C5147" s="90"/>
      <c r="D5147" s="88" t="s">
        <v>6458</v>
      </c>
      <c r="E5147" s="89"/>
      <c r="F5147" s="90"/>
      <c r="G5147" s="6"/>
      <c r="H5147" s="106"/>
      <c r="I5147" s="107"/>
      <c r="J5147" s="108"/>
      <c r="K5147" s="91">
        <v>1</v>
      </c>
      <c r="L5147" s="93"/>
      <c r="M5147" s="88" t="s">
        <v>6459</v>
      </c>
      <c r="N5147" s="89"/>
      <c r="O5147" s="90"/>
      <c r="P5147" s="94">
        <v>907963</v>
      </c>
      <c r="Q5147" s="96"/>
    </row>
    <row r="5148" spans="1:17" ht="15" customHeight="1" x14ac:dyDescent="0.2">
      <c r="A5148" s="5" t="s">
        <v>1713</v>
      </c>
      <c r="B5148" s="88" t="s">
        <v>6460</v>
      </c>
      <c r="C5148" s="90"/>
      <c r="D5148" s="88" t="s">
        <v>6461</v>
      </c>
      <c r="E5148" s="89"/>
      <c r="F5148" s="90"/>
      <c r="G5148" s="6"/>
      <c r="H5148" s="106"/>
      <c r="I5148" s="107"/>
      <c r="J5148" s="108"/>
      <c r="K5148" s="91">
        <v>1</v>
      </c>
      <c r="L5148" s="93"/>
      <c r="M5148" s="88" t="s">
        <v>6459</v>
      </c>
      <c r="N5148" s="89"/>
      <c r="O5148" s="90"/>
      <c r="P5148" s="94">
        <v>893731</v>
      </c>
      <c r="Q5148" s="96"/>
    </row>
    <row r="5149" spans="1:17" ht="15" customHeight="1" x14ac:dyDescent="0.2">
      <c r="A5149" s="5" t="s">
        <v>1713</v>
      </c>
      <c r="B5149" s="88" t="s">
        <v>6462</v>
      </c>
      <c r="C5149" s="90"/>
      <c r="D5149" s="88" t="s">
        <v>6463</v>
      </c>
      <c r="E5149" s="89"/>
      <c r="F5149" s="90"/>
      <c r="G5149" s="6"/>
      <c r="H5149" s="91">
        <v>0</v>
      </c>
      <c r="I5149" s="92"/>
      <c r="J5149" s="93"/>
      <c r="K5149" s="91">
        <v>1</v>
      </c>
      <c r="L5149" s="93"/>
      <c r="M5149" s="88" t="s">
        <v>17</v>
      </c>
      <c r="N5149" s="89"/>
      <c r="O5149" s="90"/>
      <c r="P5149" s="94">
        <v>967734</v>
      </c>
      <c r="Q5149" s="96"/>
    </row>
    <row r="5150" spans="1:17" ht="15" customHeight="1" x14ac:dyDescent="0.2">
      <c r="A5150" s="5" t="s">
        <v>1713</v>
      </c>
      <c r="B5150" s="88" t="s">
        <v>6464</v>
      </c>
      <c r="C5150" s="90"/>
      <c r="D5150" s="88" t="s">
        <v>6452</v>
      </c>
      <c r="E5150" s="89"/>
      <c r="F5150" s="90"/>
      <c r="G5150" s="5" t="s">
        <v>770</v>
      </c>
      <c r="H5150" s="91">
        <v>49</v>
      </c>
      <c r="I5150" s="92"/>
      <c r="J5150" s="93"/>
      <c r="K5150" s="91">
        <v>1</v>
      </c>
      <c r="L5150" s="93"/>
      <c r="M5150" s="88" t="s">
        <v>23</v>
      </c>
      <c r="N5150" s="89"/>
      <c r="O5150" s="90"/>
      <c r="P5150" s="94">
        <v>327322</v>
      </c>
      <c r="Q5150" s="96"/>
    </row>
    <row r="5151" spans="1:17" ht="15" customHeight="1" x14ac:dyDescent="0.2">
      <c r="A5151" s="5" t="s">
        <v>1713</v>
      </c>
      <c r="B5151" s="88" t="s">
        <v>6465</v>
      </c>
      <c r="C5151" s="90"/>
      <c r="D5151" s="88" t="s">
        <v>6454</v>
      </c>
      <c r="E5151" s="89"/>
      <c r="F5151" s="90"/>
      <c r="G5151" s="5" t="s">
        <v>770</v>
      </c>
      <c r="H5151" s="91">
        <v>107</v>
      </c>
      <c r="I5151" s="92"/>
      <c r="J5151" s="93"/>
      <c r="K5151" s="91">
        <v>2</v>
      </c>
      <c r="L5151" s="93"/>
      <c r="M5151" s="88" t="s">
        <v>23</v>
      </c>
      <c r="N5151" s="89"/>
      <c r="O5151" s="90"/>
      <c r="P5151" s="94">
        <v>353197</v>
      </c>
      <c r="Q5151" s="96"/>
    </row>
    <row r="5152" spans="1:17" ht="15" customHeight="1" x14ac:dyDescent="0.2">
      <c r="A5152" s="5" t="s">
        <v>1713</v>
      </c>
      <c r="B5152" s="88" t="s">
        <v>6466</v>
      </c>
      <c r="C5152" s="90"/>
      <c r="D5152" s="88" t="s">
        <v>6467</v>
      </c>
      <c r="E5152" s="89"/>
      <c r="F5152" s="90"/>
      <c r="G5152" s="5" t="s">
        <v>1718</v>
      </c>
      <c r="H5152" s="91">
        <v>998</v>
      </c>
      <c r="I5152" s="92"/>
      <c r="J5152" s="93"/>
      <c r="K5152" s="91">
        <v>2</v>
      </c>
      <c r="L5152" s="93"/>
      <c r="M5152" s="88" t="s">
        <v>23</v>
      </c>
      <c r="N5152" s="89"/>
      <c r="O5152" s="90"/>
      <c r="P5152" s="94">
        <v>1960050</v>
      </c>
      <c r="Q5152" s="96"/>
    </row>
    <row r="5153" spans="1:17" ht="15" customHeight="1" x14ac:dyDescent="0.2">
      <c r="A5153" s="5" t="s">
        <v>1713</v>
      </c>
      <c r="B5153" s="88" t="s">
        <v>6466</v>
      </c>
      <c r="C5153" s="90"/>
      <c r="D5153" s="88" t="s">
        <v>6468</v>
      </c>
      <c r="E5153" s="89"/>
      <c r="F5153" s="90"/>
      <c r="G5153" s="5" t="s">
        <v>1718</v>
      </c>
      <c r="H5153" s="91">
        <v>998</v>
      </c>
      <c r="I5153" s="92"/>
      <c r="J5153" s="93"/>
      <c r="K5153" s="91">
        <v>2</v>
      </c>
      <c r="L5153" s="93"/>
      <c r="M5153" s="88" t="s">
        <v>23</v>
      </c>
      <c r="N5153" s="89"/>
      <c r="O5153" s="90"/>
      <c r="P5153" s="94">
        <v>2161748</v>
      </c>
      <c r="Q5153" s="96"/>
    </row>
    <row r="5154" spans="1:17" ht="15" customHeight="1" x14ac:dyDescent="0.2">
      <c r="A5154" s="5" t="s">
        <v>1713</v>
      </c>
      <c r="B5154" s="88" t="s">
        <v>6469</v>
      </c>
      <c r="C5154" s="90"/>
      <c r="D5154" s="88" t="s">
        <v>6468</v>
      </c>
      <c r="E5154" s="89"/>
      <c r="F5154" s="90"/>
      <c r="G5154" s="5" t="s">
        <v>1718</v>
      </c>
      <c r="H5154" s="91">
        <v>998</v>
      </c>
      <c r="I5154" s="92"/>
      <c r="J5154" s="93"/>
      <c r="K5154" s="91">
        <v>2</v>
      </c>
      <c r="L5154" s="93"/>
      <c r="M5154" s="88" t="s">
        <v>23</v>
      </c>
      <c r="N5154" s="89"/>
      <c r="O5154" s="90"/>
      <c r="P5154" s="94">
        <v>2220096</v>
      </c>
      <c r="Q5154" s="96"/>
    </row>
    <row r="5155" spans="1:17" ht="15" customHeight="1" x14ac:dyDescent="0.2">
      <c r="A5155" s="5" t="s">
        <v>1713</v>
      </c>
      <c r="B5155" s="88" t="s">
        <v>6470</v>
      </c>
      <c r="C5155" s="90"/>
      <c r="D5155" s="88" t="s">
        <v>6467</v>
      </c>
      <c r="E5155" s="89"/>
      <c r="F5155" s="90"/>
      <c r="G5155" s="5" t="s">
        <v>1718</v>
      </c>
      <c r="H5155" s="91">
        <v>998</v>
      </c>
      <c r="I5155" s="92"/>
      <c r="J5155" s="93"/>
      <c r="K5155" s="91">
        <v>2</v>
      </c>
      <c r="L5155" s="93"/>
      <c r="M5155" s="88" t="s">
        <v>23</v>
      </c>
      <c r="N5155" s="89"/>
      <c r="O5155" s="90"/>
      <c r="P5155" s="94">
        <v>1965225</v>
      </c>
      <c r="Q5155" s="96"/>
    </row>
    <row r="5156" spans="1:17" ht="15" customHeight="1" x14ac:dyDescent="0.2">
      <c r="A5156" s="5" t="s">
        <v>1713</v>
      </c>
      <c r="B5156" s="88" t="s">
        <v>6471</v>
      </c>
      <c r="C5156" s="90"/>
      <c r="D5156" s="88" t="s">
        <v>6472</v>
      </c>
      <c r="E5156" s="89"/>
      <c r="F5156" s="90"/>
      <c r="G5156" s="5" t="s">
        <v>1718</v>
      </c>
      <c r="H5156" s="91">
        <v>1140</v>
      </c>
      <c r="I5156" s="92"/>
      <c r="J5156" s="93"/>
      <c r="K5156" s="91">
        <v>2</v>
      </c>
      <c r="L5156" s="93"/>
      <c r="M5156" s="88" t="s">
        <v>23</v>
      </c>
      <c r="N5156" s="89"/>
      <c r="O5156" s="90"/>
      <c r="P5156" s="94">
        <v>1461952</v>
      </c>
      <c r="Q5156" s="96"/>
    </row>
    <row r="5157" spans="1:17" ht="15" customHeight="1" x14ac:dyDescent="0.2">
      <c r="A5157" s="5" t="s">
        <v>1713</v>
      </c>
      <c r="B5157" s="88" t="s">
        <v>6473</v>
      </c>
      <c r="C5157" s="90"/>
      <c r="D5157" s="88" t="s">
        <v>6472</v>
      </c>
      <c r="E5157" s="89"/>
      <c r="F5157" s="90"/>
      <c r="G5157" s="5" t="s">
        <v>1718</v>
      </c>
      <c r="H5157" s="91">
        <v>1140</v>
      </c>
      <c r="I5157" s="92"/>
      <c r="J5157" s="93"/>
      <c r="K5157" s="91">
        <v>2</v>
      </c>
      <c r="L5157" s="93"/>
      <c r="M5157" s="88" t="s">
        <v>23</v>
      </c>
      <c r="N5157" s="89"/>
      <c r="O5157" s="90"/>
      <c r="P5157" s="94">
        <v>1763269</v>
      </c>
      <c r="Q5157" s="96"/>
    </row>
    <row r="5158" spans="1:17" ht="15" customHeight="1" x14ac:dyDescent="0.2">
      <c r="A5158" s="5" t="s">
        <v>1713</v>
      </c>
      <c r="B5158" s="88" t="s">
        <v>6474</v>
      </c>
      <c r="C5158" s="90"/>
      <c r="D5158" s="88" t="s">
        <v>6472</v>
      </c>
      <c r="E5158" s="89"/>
      <c r="F5158" s="90"/>
      <c r="G5158" s="5" t="s">
        <v>1718</v>
      </c>
      <c r="H5158" s="91">
        <v>1140</v>
      </c>
      <c r="I5158" s="92"/>
      <c r="J5158" s="93"/>
      <c r="K5158" s="91">
        <v>2</v>
      </c>
      <c r="L5158" s="93"/>
      <c r="M5158" s="88" t="s">
        <v>23</v>
      </c>
      <c r="N5158" s="89"/>
      <c r="O5158" s="90"/>
      <c r="P5158" s="94">
        <v>1602972</v>
      </c>
      <c r="Q5158" s="96"/>
    </row>
    <row r="5159" spans="1:17" ht="15" customHeight="1" x14ac:dyDescent="0.2">
      <c r="A5159" s="5" t="s">
        <v>1713</v>
      </c>
      <c r="B5159" s="88" t="s">
        <v>6475</v>
      </c>
      <c r="C5159" s="90"/>
      <c r="D5159" s="88" t="s">
        <v>6472</v>
      </c>
      <c r="E5159" s="89"/>
      <c r="F5159" s="90"/>
      <c r="G5159" s="5" t="s">
        <v>1718</v>
      </c>
      <c r="H5159" s="91">
        <v>1140</v>
      </c>
      <c r="I5159" s="92"/>
      <c r="J5159" s="93"/>
      <c r="K5159" s="91">
        <v>2</v>
      </c>
      <c r="L5159" s="93"/>
      <c r="M5159" s="88" t="s">
        <v>23</v>
      </c>
      <c r="N5159" s="89"/>
      <c r="O5159" s="90"/>
      <c r="P5159" s="94">
        <v>1648253</v>
      </c>
      <c r="Q5159" s="96"/>
    </row>
    <row r="5160" spans="1:17" ht="15" customHeight="1" x14ac:dyDescent="0.2">
      <c r="A5160" s="5" t="s">
        <v>1713</v>
      </c>
      <c r="B5160" s="88" t="s">
        <v>6476</v>
      </c>
      <c r="C5160" s="90"/>
      <c r="D5160" s="88" t="s">
        <v>6472</v>
      </c>
      <c r="E5160" s="89"/>
      <c r="F5160" s="90"/>
      <c r="G5160" s="5" t="s">
        <v>1718</v>
      </c>
      <c r="H5160" s="91">
        <v>1140</v>
      </c>
      <c r="I5160" s="92"/>
      <c r="J5160" s="93"/>
      <c r="K5160" s="91">
        <v>2</v>
      </c>
      <c r="L5160" s="93"/>
      <c r="M5160" s="88" t="s">
        <v>23</v>
      </c>
      <c r="N5160" s="89"/>
      <c r="O5160" s="90"/>
      <c r="P5160" s="94">
        <v>1602972</v>
      </c>
      <c r="Q5160" s="96"/>
    </row>
    <row r="5161" spans="1:17" ht="15" customHeight="1" x14ac:dyDescent="0.2">
      <c r="A5161" s="5" t="s">
        <v>1713</v>
      </c>
      <c r="B5161" s="88" t="s">
        <v>6477</v>
      </c>
      <c r="C5161" s="90"/>
      <c r="D5161" s="88" t="s">
        <v>6472</v>
      </c>
      <c r="E5161" s="89"/>
      <c r="F5161" s="90"/>
      <c r="G5161" s="5" t="s">
        <v>1718</v>
      </c>
      <c r="H5161" s="91">
        <v>1140</v>
      </c>
      <c r="I5161" s="92"/>
      <c r="J5161" s="93"/>
      <c r="K5161" s="91">
        <v>2</v>
      </c>
      <c r="L5161" s="93"/>
      <c r="M5161" s="88" t="s">
        <v>23</v>
      </c>
      <c r="N5161" s="89"/>
      <c r="O5161" s="90"/>
      <c r="P5161" s="94">
        <v>1650841</v>
      </c>
      <c r="Q5161" s="96"/>
    </row>
    <row r="5162" spans="1:17" ht="15" customHeight="1" x14ac:dyDescent="0.2">
      <c r="A5162" s="5" t="s">
        <v>1713</v>
      </c>
      <c r="B5162" s="88" t="s">
        <v>6478</v>
      </c>
      <c r="C5162" s="90"/>
      <c r="D5162" s="88" t="s">
        <v>6479</v>
      </c>
      <c r="E5162" s="89"/>
      <c r="F5162" s="90"/>
      <c r="G5162" s="5" t="s">
        <v>1718</v>
      </c>
      <c r="H5162" s="91">
        <v>124</v>
      </c>
      <c r="I5162" s="92"/>
      <c r="J5162" s="93"/>
      <c r="K5162" s="91">
        <v>2</v>
      </c>
      <c r="L5162" s="93"/>
      <c r="M5162" s="88" t="s">
        <v>23</v>
      </c>
      <c r="N5162" s="89"/>
      <c r="O5162" s="90"/>
      <c r="P5162" s="94">
        <v>536911</v>
      </c>
      <c r="Q5162" s="96"/>
    </row>
    <row r="5163" spans="1:17" ht="15" customHeight="1" x14ac:dyDescent="0.2">
      <c r="A5163" s="5" t="s">
        <v>1713</v>
      </c>
      <c r="B5163" s="88" t="s">
        <v>6478</v>
      </c>
      <c r="C5163" s="90"/>
      <c r="D5163" s="88" t="s">
        <v>6480</v>
      </c>
      <c r="E5163" s="89"/>
      <c r="F5163" s="90"/>
      <c r="G5163" s="5" t="s">
        <v>1718</v>
      </c>
      <c r="H5163" s="91">
        <v>124</v>
      </c>
      <c r="I5163" s="92"/>
      <c r="J5163" s="93"/>
      <c r="K5163" s="91">
        <v>2</v>
      </c>
      <c r="L5163" s="93"/>
      <c r="M5163" s="88" t="s">
        <v>23</v>
      </c>
      <c r="N5163" s="89"/>
      <c r="O5163" s="90"/>
      <c r="P5163" s="94">
        <v>611950</v>
      </c>
      <c r="Q5163" s="96"/>
    </row>
    <row r="5164" spans="1:17" ht="15" customHeight="1" x14ac:dyDescent="0.2">
      <c r="A5164" s="5" t="s">
        <v>1713</v>
      </c>
      <c r="B5164" s="88" t="s">
        <v>6481</v>
      </c>
      <c r="C5164" s="90"/>
      <c r="D5164" s="88" t="s">
        <v>6482</v>
      </c>
      <c r="E5164" s="89"/>
      <c r="F5164" s="90"/>
      <c r="G5164" s="5" t="s">
        <v>1718</v>
      </c>
      <c r="H5164" s="91">
        <v>1284</v>
      </c>
      <c r="I5164" s="92"/>
      <c r="J5164" s="93"/>
      <c r="K5164" s="91">
        <v>2</v>
      </c>
      <c r="L5164" s="93"/>
      <c r="M5164" s="88" t="s">
        <v>23</v>
      </c>
      <c r="N5164" s="89"/>
      <c r="O5164" s="90"/>
      <c r="P5164" s="94">
        <v>1777630</v>
      </c>
      <c r="Q5164" s="96"/>
    </row>
    <row r="5165" spans="1:17" ht="15" customHeight="1" x14ac:dyDescent="0.2">
      <c r="A5165" s="5" t="s">
        <v>1713</v>
      </c>
      <c r="B5165" s="88" t="s">
        <v>6483</v>
      </c>
      <c r="C5165" s="90"/>
      <c r="D5165" s="88" t="s">
        <v>6482</v>
      </c>
      <c r="E5165" s="89"/>
      <c r="F5165" s="90"/>
      <c r="G5165" s="5" t="s">
        <v>1718</v>
      </c>
      <c r="H5165" s="91">
        <v>1284</v>
      </c>
      <c r="I5165" s="92"/>
      <c r="J5165" s="93"/>
      <c r="K5165" s="91">
        <v>2</v>
      </c>
      <c r="L5165" s="93"/>
      <c r="M5165" s="88" t="s">
        <v>23</v>
      </c>
      <c r="N5165" s="89"/>
      <c r="O5165" s="90"/>
      <c r="P5165" s="94">
        <v>1907006</v>
      </c>
      <c r="Q5165" s="96"/>
    </row>
    <row r="5166" spans="1:17" ht="15" customHeight="1" x14ac:dyDescent="0.2">
      <c r="A5166" s="5" t="s">
        <v>1713</v>
      </c>
      <c r="B5166" s="88" t="s">
        <v>6483</v>
      </c>
      <c r="C5166" s="90"/>
      <c r="D5166" s="88" t="s">
        <v>6484</v>
      </c>
      <c r="E5166" s="89"/>
      <c r="F5166" s="90"/>
      <c r="G5166" s="5" t="s">
        <v>1718</v>
      </c>
      <c r="H5166" s="91">
        <v>1284</v>
      </c>
      <c r="I5166" s="92"/>
      <c r="J5166" s="93"/>
      <c r="K5166" s="91">
        <v>2</v>
      </c>
      <c r="L5166" s="93"/>
      <c r="M5166" s="88" t="s">
        <v>23</v>
      </c>
      <c r="N5166" s="89"/>
      <c r="O5166" s="90"/>
      <c r="P5166" s="94">
        <v>2163171</v>
      </c>
      <c r="Q5166" s="96"/>
    </row>
    <row r="5167" spans="1:17" ht="15" customHeight="1" x14ac:dyDescent="0.2">
      <c r="A5167" s="5" t="s">
        <v>1713</v>
      </c>
      <c r="B5167" s="88" t="s">
        <v>6485</v>
      </c>
      <c r="C5167" s="90"/>
      <c r="D5167" s="88" t="s">
        <v>6484</v>
      </c>
      <c r="E5167" s="89"/>
      <c r="F5167" s="90"/>
      <c r="G5167" s="5" t="s">
        <v>1718</v>
      </c>
      <c r="H5167" s="91">
        <v>1284</v>
      </c>
      <c r="I5167" s="92"/>
      <c r="J5167" s="93"/>
      <c r="K5167" s="91">
        <v>2</v>
      </c>
      <c r="L5167" s="93"/>
      <c r="M5167" s="88" t="s">
        <v>23</v>
      </c>
      <c r="N5167" s="89"/>
      <c r="O5167" s="90"/>
      <c r="P5167" s="94">
        <v>2647038</v>
      </c>
      <c r="Q5167" s="96"/>
    </row>
    <row r="5168" spans="1:17" ht="15" customHeight="1" x14ac:dyDescent="0.2">
      <c r="A5168" s="5" t="s">
        <v>1713</v>
      </c>
      <c r="B5168" s="88" t="s">
        <v>6486</v>
      </c>
      <c r="C5168" s="90"/>
      <c r="D5168" s="88" t="s">
        <v>6484</v>
      </c>
      <c r="E5168" s="89"/>
      <c r="F5168" s="90"/>
      <c r="G5168" s="5" t="s">
        <v>1718</v>
      </c>
      <c r="H5168" s="91">
        <v>1284</v>
      </c>
      <c r="I5168" s="92"/>
      <c r="J5168" s="93"/>
      <c r="K5168" s="91">
        <v>2</v>
      </c>
      <c r="L5168" s="93"/>
      <c r="M5168" s="88" t="s">
        <v>23</v>
      </c>
      <c r="N5168" s="89"/>
      <c r="O5168" s="90"/>
      <c r="P5168" s="94">
        <v>2163171</v>
      </c>
      <c r="Q5168" s="96"/>
    </row>
    <row r="5169" spans="1:17" ht="15" customHeight="1" x14ac:dyDescent="0.2">
      <c r="A5169" s="5" t="s">
        <v>1713</v>
      </c>
      <c r="B5169" s="88" t="s">
        <v>6487</v>
      </c>
      <c r="C5169" s="90"/>
      <c r="D5169" s="88" t="s">
        <v>6482</v>
      </c>
      <c r="E5169" s="89"/>
      <c r="F5169" s="90"/>
      <c r="G5169" s="5" t="s">
        <v>1718</v>
      </c>
      <c r="H5169" s="91">
        <v>1284</v>
      </c>
      <c r="I5169" s="92"/>
      <c r="J5169" s="93"/>
      <c r="K5169" s="91">
        <v>2</v>
      </c>
      <c r="L5169" s="93"/>
      <c r="M5169" s="88" t="s">
        <v>23</v>
      </c>
      <c r="N5169" s="89"/>
      <c r="O5169" s="90"/>
      <c r="P5169" s="94">
        <v>1777630</v>
      </c>
      <c r="Q5169" s="96"/>
    </row>
    <row r="5170" spans="1:17" ht="15" customHeight="1" x14ac:dyDescent="0.2">
      <c r="A5170" s="5" t="s">
        <v>1713</v>
      </c>
      <c r="B5170" s="88" t="s">
        <v>6487</v>
      </c>
      <c r="C5170" s="90"/>
      <c r="D5170" s="88" t="s">
        <v>6488</v>
      </c>
      <c r="E5170" s="89"/>
      <c r="F5170" s="90"/>
      <c r="G5170" s="5" t="s">
        <v>1718</v>
      </c>
      <c r="H5170" s="91">
        <v>1284</v>
      </c>
      <c r="I5170" s="92"/>
      <c r="J5170" s="93"/>
      <c r="K5170" s="91">
        <v>2</v>
      </c>
      <c r="L5170" s="93"/>
      <c r="M5170" s="88" t="s">
        <v>23</v>
      </c>
      <c r="N5170" s="89"/>
      <c r="O5170" s="90"/>
      <c r="P5170" s="94">
        <v>2020857</v>
      </c>
      <c r="Q5170" s="96"/>
    </row>
    <row r="5171" spans="1:17" ht="15" customHeight="1" x14ac:dyDescent="0.2">
      <c r="A5171" s="5" t="s">
        <v>1713</v>
      </c>
      <c r="B5171" s="88" t="s">
        <v>6489</v>
      </c>
      <c r="C5171" s="90"/>
      <c r="D5171" s="88" t="s">
        <v>6484</v>
      </c>
      <c r="E5171" s="89"/>
      <c r="F5171" s="90"/>
      <c r="G5171" s="5" t="s">
        <v>1718</v>
      </c>
      <c r="H5171" s="91">
        <v>1284</v>
      </c>
      <c r="I5171" s="92"/>
      <c r="J5171" s="93"/>
      <c r="K5171" s="91">
        <v>2</v>
      </c>
      <c r="L5171" s="93"/>
      <c r="M5171" s="88" t="s">
        <v>23</v>
      </c>
      <c r="N5171" s="89"/>
      <c r="O5171" s="90"/>
      <c r="P5171" s="94">
        <v>2504724</v>
      </c>
      <c r="Q5171" s="96"/>
    </row>
    <row r="5172" spans="1:17" ht="15" customHeight="1" x14ac:dyDescent="0.2">
      <c r="A5172" s="5" t="s">
        <v>1713</v>
      </c>
      <c r="B5172" s="88" t="s">
        <v>6490</v>
      </c>
      <c r="C5172" s="90"/>
      <c r="D5172" s="88" t="s">
        <v>6491</v>
      </c>
      <c r="E5172" s="89"/>
      <c r="F5172" s="90"/>
      <c r="G5172" s="5" t="s">
        <v>1718</v>
      </c>
      <c r="H5172" s="91">
        <v>249</v>
      </c>
      <c r="I5172" s="92"/>
      <c r="J5172" s="93"/>
      <c r="K5172" s="91">
        <v>2</v>
      </c>
      <c r="L5172" s="93"/>
      <c r="M5172" s="88" t="s">
        <v>23</v>
      </c>
      <c r="N5172" s="89"/>
      <c r="O5172" s="90"/>
      <c r="P5172" s="94">
        <v>602893</v>
      </c>
      <c r="Q5172" s="96"/>
    </row>
    <row r="5173" spans="1:17" ht="15" customHeight="1" x14ac:dyDescent="0.2">
      <c r="A5173" s="5" t="s">
        <v>1713</v>
      </c>
      <c r="B5173" s="88" t="s">
        <v>6490</v>
      </c>
      <c r="C5173" s="90"/>
      <c r="D5173" s="88" t="s">
        <v>6492</v>
      </c>
      <c r="E5173" s="89"/>
      <c r="F5173" s="90"/>
      <c r="G5173" s="5" t="s">
        <v>1718</v>
      </c>
      <c r="H5173" s="91">
        <v>249</v>
      </c>
      <c r="I5173" s="92"/>
      <c r="J5173" s="93"/>
      <c r="K5173" s="91">
        <v>2</v>
      </c>
      <c r="L5173" s="93"/>
      <c r="M5173" s="88" t="s">
        <v>23</v>
      </c>
      <c r="N5173" s="89"/>
      <c r="O5173" s="90"/>
      <c r="P5173" s="94">
        <v>730070</v>
      </c>
      <c r="Q5173" s="96"/>
    </row>
    <row r="5174" spans="1:17" ht="15" customHeight="1" x14ac:dyDescent="0.2">
      <c r="A5174" s="5" t="s">
        <v>1713</v>
      </c>
      <c r="B5174" s="88" t="s">
        <v>6493</v>
      </c>
      <c r="C5174" s="90"/>
      <c r="D5174" s="88" t="s">
        <v>6494</v>
      </c>
      <c r="E5174" s="89"/>
      <c r="F5174" s="90"/>
      <c r="G5174" s="5" t="s">
        <v>1718</v>
      </c>
      <c r="H5174" s="91">
        <v>399</v>
      </c>
      <c r="I5174" s="92"/>
      <c r="J5174" s="93"/>
      <c r="K5174" s="91">
        <v>2</v>
      </c>
      <c r="L5174" s="93"/>
      <c r="M5174" s="88" t="s">
        <v>23</v>
      </c>
      <c r="N5174" s="89"/>
      <c r="O5174" s="90"/>
      <c r="P5174" s="94">
        <v>1091936</v>
      </c>
      <c r="Q5174" s="96"/>
    </row>
    <row r="5175" spans="1:17" ht="15" customHeight="1" x14ac:dyDescent="0.2">
      <c r="A5175" s="5" t="s">
        <v>1713</v>
      </c>
      <c r="B5175" s="88" t="s">
        <v>6495</v>
      </c>
      <c r="C5175" s="90"/>
      <c r="D5175" s="88" t="s">
        <v>6494</v>
      </c>
      <c r="E5175" s="89"/>
      <c r="F5175" s="90"/>
      <c r="G5175" s="5" t="s">
        <v>1718</v>
      </c>
      <c r="H5175" s="91">
        <v>399</v>
      </c>
      <c r="I5175" s="92"/>
      <c r="J5175" s="93"/>
      <c r="K5175" s="91">
        <v>2</v>
      </c>
      <c r="L5175" s="93"/>
      <c r="M5175" s="88" t="s">
        <v>23</v>
      </c>
      <c r="N5175" s="89"/>
      <c r="O5175" s="90"/>
      <c r="P5175" s="94">
        <v>1275650</v>
      </c>
      <c r="Q5175" s="96"/>
    </row>
    <row r="5176" spans="1:17" ht="15" customHeight="1" x14ac:dyDescent="0.2">
      <c r="A5176" s="5" t="s">
        <v>1713</v>
      </c>
      <c r="B5176" s="88" t="s">
        <v>6496</v>
      </c>
      <c r="C5176" s="90"/>
      <c r="D5176" s="88" t="s">
        <v>6494</v>
      </c>
      <c r="E5176" s="89"/>
      <c r="F5176" s="90"/>
      <c r="G5176" s="5" t="s">
        <v>1718</v>
      </c>
      <c r="H5176" s="91">
        <v>399</v>
      </c>
      <c r="I5176" s="92"/>
      <c r="J5176" s="93"/>
      <c r="K5176" s="91">
        <v>2</v>
      </c>
      <c r="L5176" s="93"/>
      <c r="M5176" s="88" t="s">
        <v>23</v>
      </c>
      <c r="N5176" s="89"/>
      <c r="O5176" s="90"/>
      <c r="P5176" s="94">
        <v>1186380</v>
      </c>
      <c r="Q5176" s="96"/>
    </row>
    <row r="5177" spans="1:17" ht="15" customHeight="1" x14ac:dyDescent="0.2">
      <c r="A5177" s="5" t="s">
        <v>1713</v>
      </c>
      <c r="B5177" s="88" t="s">
        <v>6497</v>
      </c>
      <c r="C5177" s="90"/>
      <c r="D5177" s="88" t="s">
        <v>6494</v>
      </c>
      <c r="E5177" s="89"/>
      <c r="F5177" s="90"/>
      <c r="G5177" s="5" t="s">
        <v>1718</v>
      </c>
      <c r="H5177" s="91">
        <v>399</v>
      </c>
      <c r="I5177" s="92"/>
      <c r="J5177" s="93"/>
      <c r="K5177" s="91">
        <v>2</v>
      </c>
      <c r="L5177" s="93"/>
      <c r="M5177" s="88" t="s">
        <v>23</v>
      </c>
      <c r="N5177" s="89"/>
      <c r="O5177" s="90"/>
      <c r="P5177" s="94">
        <v>1028541</v>
      </c>
      <c r="Q5177" s="96"/>
    </row>
    <row r="5178" spans="1:17" ht="15" customHeight="1" x14ac:dyDescent="0.2">
      <c r="A5178" s="5" t="s">
        <v>1713</v>
      </c>
      <c r="B5178" s="88" t="s">
        <v>6498</v>
      </c>
      <c r="C5178" s="90"/>
      <c r="D5178" s="88" t="s">
        <v>6499</v>
      </c>
      <c r="E5178" s="89"/>
      <c r="F5178" s="90"/>
      <c r="G5178" s="5" t="s">
        <v>1718</v>
      </c>
      <c r="H5178" s="91">
        <v>648</v>
      </c>
      <c r="I5178" s="92"/>
      <c r="J5178" s="93"/>
      <c r="K5178" s="91">
        <v>2</v>
      </c>
      <c r="L5178" s="93"/>
      <c r="M5178" s="88" t="s">
        <v>23</v>
      </c>
      <c r="N5178" s="89"/>
      <c r="O5178" s="90"/>
      <c r="P5178" s="94">
        <v>1106167</v>
      </c>
      <c r="Q5178" s="96"/>
    </row>
    <row r="5179" spans="1:17" ht="15" customHeight="1" x14ac:dyDescent="0.2">
      <c r="A5179" s="5" t="s">
        <v>1713</v>
      </c>
      <c r="B5179" s="88" t="s">
        <v>6500</v>
      </c>
      <c r="C5179" s="90"/>
      <c r="D5179" s="88" t="s">
        <v>6501</v>
      </c>
      <c r="E5179" s="89"/>
      <c r="F5179" s="90"/>
      <c r="G5179" s="5" t="s">
        <v>1718</v>
      </c>
      <c r="H5179" s="91">
        <v>648</v>
      </c>
      <c r="I5179" s="92"/>
      <c r="J5179" s="93"/>
      <c r="K5179" s="91">
        <v>2</v>
      </c>
      <c r="L5179" s="93"/>
      <c r="M5179" s="88" t="s">
        <v>23</v>
      </c>
      <c r="N5179" s="89"/>
      <c r="O5179" s="90"/>
      <c r="P5179" s="94">
        <v>1151449</v>
      </c>
      <c r="Q5179" s="96"/>
    </row>
    <row r="5180" spans="1:17" ht="15" customHeight="1" x14ac:dyDescent="0.2">
      <c r="A5180" s="5" t="s">
        <v>1713</v>
      </c>
      <c r="B5180" s="88" t="s">
        <v>6500</v>
      </c>
      <c r="C5180" s="90"/>
      <c r="D5180" s="88" t="s">
        <v>6502</v>
      </c>
      <c r="E5180" s="89"/>
      <c r="F5180" s="90"/>
      <c r="G5180" s="5" t="s">
        <v>1718</v>
      </c>
      <c r="H5180" s="91">
        <v>648</v>
      </c>
      <c r="I5180" s="92"/>
      <c r="J5180" s="93"/>
      <c r="K5180" s="91">
        <v>2</v>
      </c>
      <c r="L5180" s="93"/>
      <c r="M5180" s="88" t="s">
        <v>23</v>
      </c>
      <c r="N5180" s="89"/>
      <c r="O5180" s="90"/>
      <c r="P5180" s="94">
        <v>1323519</v>
      </c>
      <c r="Q5180" s="96"/>
    </row>
    <row r="5181" spans="1:17" ht="15" customHeight="1" x14ac:dyDescent="0.2">
      <c r="A5181" s="5" t="s">
        <v>1713</v>
      </c>
      <c r="B5181" s="88" t="s">
        <v>6503</v>
      </c>
      <c r="C5181" s="90"/>
      <c r="D5181" s="88" t="s">
        <v>6504</v>
      </c>
      <c r="E5181" s="89"/>
      <c r="F5181" s="90"/>
      <c r="G5181" s="5" t="s">
        <v>1718</v>
      </c>
      <c r="H5181" s="91">
        <v>648</v>
      </c>
      <c r="I5181" s="92"/>
      <c r="J5181" s="93"/>
      <c r="K5181" s="91">
        <v>2</v>
      </c>
      <c r="L5181" s="93"/>
      <c r="M5181" s="88" t="s">
        <v>23</v>
      </c>
      <c r="N5181" s="89"/>
      <c r="O5181" s="90"/>
      <c r="P5181" s="94">
        <v>1408907</v>
      </c>
      <c r="Q5181" s="96"/>
    </row>
    <row r="5182" spans="1:17" ht="15" customHeight="1" x14ac:dyDescent="0.2">
      <c r="A5182" s="5" t="s">
        <v>1713</v>
      </c>
      <c r="B5182" s="88" t="s">
        <v>6505</v>
      </c>
      <c r="C5182" s="90"/>
      <c r="D5182" s="88" t="s">
        <v>6506</v>
      </c>
      <c r="E5182" s="89"/>
      <c r="F5182" s="90"/>
      <c r="G5182" s="5" t="s">
        <v>1718</v>
      </c>
      <c r="H5182" s="91">
        <v>999</v>
      </c>
      <c r="I5182" s="92"/>
      <c r="J5182" s="93"/>
      <c r="K5182" s="91">
        <v>2</v>
      </c>
      <c r="L5182" s="93"/>
      <c r="M5182" s="88" t="s">
        <v>23</v>
      </c>
      <c r="N5182" s="89"/>
      <c r="O5182" s="90"/>
      <c r="P5182" s="94">
        <v>2451680</v>
      </c>
      <c r="Q5182" s="96"/>
    </row>
    <row r="5183" spans="1:17" ht="15" customHeight="1" x14ac:dyDescent="0.2">
      <c r="A5183" s="5" t="s">
        <v>1713</v>
      </c>
      <c r="B5183" s="88" t="s">
        <v>6507</v>
      </c>
      <c r="C5183" s="90"/>
      <c r="D5183" s="88" t="s">
        <v>6506</v>
      </c>
      <c r="E5183" s="89"/>
      <c r="F5183" s="90"/>
      <c r="G5183" s="5" t="s">
        <v>1718</v>
      </c>
      <c r="H5183" s="91">
        <v>999</v>
      </c>
      <c r="I5183" s="92"/>
      <c r="J5183" s="93"/>
      <c r="K5183" s="91">
        <v>2</v>
      </c>
      <c r="L5183" s="93"/>
      <c r="M5183" s="88" t="s">
        <v>23</v>
      </c>
      <c r="N5183" s="89"/>
      <c r="O5183" s="90"/>
      <c r="P5183" s="94">
        <v>2988591</v>
      </c>
      <c r="Q5183" s="96"/>
    </row>
    <row r="5184" spans="1:17" ht="15" customHeight="1" x14ac:dyDescent="0.2">
      <c r="A5184" s="5" t="s">
        <v>1713</v>
      </c>
      <c r="B5184" s="88" t="s">
        <v>6508</v>
      </c>
      <c r="C5184" s="90"/>
      <c r="D5184" s="88" t="s">
        <v>6509</v>
      </c>
      <c r="E5184" s="89"/>
      <c r="F5184" s="90"/>
      <c r="G5184" s="5" t="s">
        <v>1718</v>
      </c>
      <c r="H5184" s="91">
        <v>999</v>
      </c>
      <c r="I5184" s="92"/>
      <c r="J5184" s="93"/>
      <c r="K5184" s="91">
        <v>2</v>
      </c>
      <c r="L5184" s="93"/>
      <c r="M5184" s="88" t="s">
        <v>23</v>
      </c>
      <c r="N5184" s="89"/>
      <c r="O5184" s="90"/>
      <c r="P5184" s="94">
        <v>2846278</v>
      </c>
      <c r="Q5184" s="96"/>
    </row>
    <row r="5185" spans="1:17" ht="15" customHeight="1" x14ac:dyDescent="0.2">
      <c r="A5185" s="5" t="s">
        <v>1713</v>
      </c>
      <c r="B5185" s="88" t="s">
        <v>6510</v>
      </c>
      <c r="C5185" s="90"/>
      <c r="D5185" s="88" t="s">
        <v>6511</v>
      </c>
      <c r="E5185" s="89"/>
      <c r="F5185" s="90"/>
      <c r="G5185" s="5" t="s">
        <v>1718</v>
      </c>
      <c r="H5185" s="91">
        <v>999</v>
      </c>
      <c r="I5185" s="92"/>
      <c r="J5185" s="93"/>
      <c r="K5185" s="91">
        <v>2</v>
      </c>
      <c r="L5185" s="93"/>
      <c r="M5185" s="88" t="s">
        <v>23</v>
      </c>
      <c r="N5185" s="89"/>
      <c r="O5185" s="90"/>
      <c r="P5185" s="94">
        <v>3130905</v>
      </c>
      <c r="Q5185" s="96"/>
    </row>
    <row r="5186" spans="1:17" ht="15" customHeight="1" x14ac:dyDescent="0.2">
      <c r="A5186" s="5" t="s">
        <v>1713</v>
      </c>
      <c r="B5186" s="88" t="s">
        <v>6510</v>
      </c>
      <c r="C5186" s="90"/>
      <c r="D5186" s="88" t="s">
        <v>6509</v>
      </c>
      <c r="E5186" s="89"/>
      <c r="F5186" s="90"/>
      <c r="G5186" s="5" t="s">
        <v>1718</v>
      </c>
      <c r="H5186" s="91">
        <v>999</v>
      </c>
      <c r="I5186" s="92"/>
      <c r="J5186" s="93"/>
      <c r="K5186" s="91">
        <v>2</v>
      </c>
      <c r="L5186" s="93"/>
      <c r="M5186" s="88" t="s">
        <v>23</v>
      </c>
      <c r="N5186" s="89"/>
      <c r="O5186" s="90"/>
      <c r="P5186" s="94">
        <v>3130905</v>
      </c>
      <c r="Q5186" s="96"/>
    </row>
    <row r="5187" spans="1:17" ht="15" customHeight="1" x14ac:dyDescent="0.2">
      <c r="A5187" s="5" t="s">
        <v>1713</v>
      </c>
      <c r="B5187" s="88" t="s">
        <v>6512</v>
      </c>
      <c r="C5187" s="90"/>
      <c r="D5187" s="88" t="s">
        <v>6513</v>
      </c>
      <c r="E5187" s="89"/>
      <c r="F5187" s="90"/>
      <c r="G5187" s="5" t="s">
        <v>1718</v>
      </c>
      <c r="H5187" s="91">
        <v>249</v>
      </c>
      <c r="I5187" s="92"/>
      <c r="J5187" s="93"/>
      <c r="K5187" s="91">
        <v>2</v>
      </c>
      <c r="L5187" s="93"/>
      <c r="M5187" s="88" t="s">
        <v>23</v>
      </c>
      <c r="N5187" s="89"/>
      <c r="O5187" s="90"/>
      <c r="P5187" s="94">
        <v>966441</v>
      </c>
      <c r="Q5187" s="96"/>
    </row>
    <row r="5188" spans="1:17" ht="15" customHeight="1" x14ac:dyDescent="0.2">
      <c r="A5188" s="5" t="s">
        <v>1713</v>
      </c>
      <c r="B5188" s="88" t="s">
        <v>6512</v>
      </c>
      <c r="C5188" s="90"/>
      <c r="D5188" s="88" t="s">
        <v>6514</v>
      </c>
      <c r="E5188" s="89"/>
      <c r="F5188" s="90"/>
      <c r="G5188" s="5" t="s">
        <v>1718</v>
      </c>
      <c r="H5188" s="91">
        <v>249</v>
      </c>
      <c r="I5188" s="92"/>
      <c r="J5188" s="93"/>
      <c r="K5188" s="91">
        <v>2</v>
      </c>
      <c r="L5188" s="93"/>
      <c r="M5188" s="88" t="s">
        <v>23</v>
      </c>
      <c r="N5188" s="89"/>
      <c r="O5188" s="90"/>
      <c r="P5188" s="94">
        <v>1124280</v>
      </c>
      <c r="Q5188" s="96"/>
    </row>
    <row r="5189" spans="1:17" ht="15" customHeight="1" x14ac:dyDescent="0.2">
      <c r="A5189" s="5" t="s">
        <v>1713</v>
      </c>
      <c r="B5189" s="88" t="s">
        <v>6512</v>
      </c>
      <c r="C5189" s="90"/>
      <c r="D5189" s="88" t="s">
        <v>6492</v>
      </c>
      <c r="E5189" s="89"/>
      <c r="F5189" s="90"/>
      <c r="G5189" s="5" t="s">
        <v>1718</v>
      </c>
      <c r="H5189" s="91">
        <v>249</v>
      </c>
      <c r="I5189" s="92"/>
      <c r="J5189" s="93"/>
      <c r="K5189" s="91">
        <v>2</v>
      </c>
      <c r="L5189" s="93"/>
      <c r="M5189" s="88" t="s">
        <v>23</v>
      </c>
      <c r="N5189" s="89"/>
      <c r="O5189" s="90"/>
      <c r="P5189" s="94">
        <v>730070</v>
      </c>
      <c r="Q5189" s="96"/>
    </row>
    <row r="5190" spans="1:17" ht="15" customHeight="1" x14ac:dyDescent="0.2">
      <c r="A5190" s="5" t="s">
        <v>1713</v>
      </c>
      <c r="B5190" s="88" t="s">
        <v>6512</v>
      </c>
      <c r="C5190" s="90"/>
      <c r="D5190" s="88" t="s">
        <v>6491</v>
      </c>
      <c r="E5190" s="89"/>
      <c r="F5190" s="90"/>
      <c r="G5190" s="5" t="s">
        <v>1718</v>
      </c>
      <c r="H5190" s="91">
        <v>149</v>
      </c>
      <c r="I5190" s="92"/>
      <c r="J5190" s="93"/>
      <c r="K5190" s="91">
        <v>2</v>
      </c>
      <c r="L5190" s="93"/>
      <c r="M5190" s="88" t="s">
        <v>23</v>
      </c>
      <c r="N5190" s="89"/>
      <c r="O5190" s="90"/>
      <c r="P5190" s="94">
        <v>730070</v>
      </c>
      <c r="Q5190" s="96"/>
    </row>
    <row r="5191" spans="1:17" ht="15" customHeight="1" x14ac:dyDescent="0.2">
      <c r="A5191" s="5" t="s">
        <v>1713</v>
      </c>
      <c r="B5191" s="88" t="s">
        <v>6515</v>
      </c>
      <c r="C5191" s="90"/>
      <c r="D5191" s="88" t="s">
        <v>6513</v>
      </c>
      <c r="E5191" s="89"/>
      <c r="F5191" s="90"/>
      <c r="G5191" s="5" t="s">
        <v>1718</v>
      </c>
      <c r="H5191" s="91">
        <v>249</v>
      </c>
      <c r="I5191" s="92"/>
      <c r="J5191" s="93"/>
      <c r="K5191" s="91">
        <v>2</v>
      </c>
      <c r="L5191" s="93"/>
      <c r="M5191" s="88" t="s">
        <v>23</v>
      </c>
      <c r="N5191" s="89"/>
      <c r="O5191" s="90"/>
      <c r="P5191" s="94">
        <v>966441</v>
      </c>
      <c r="Q5191" s="96"/>
    </row>
    <row r="5192" spans="1:17" ht="15" customHeight="1" x14ac:dyDescent="0.2">
      <c r="A5192" s="5" t="s">
        <v>1713</v>
      </c>
      <c r="B5192" s="88" t="s">
        <v>6516</v>
      </c>
      <c r="C5192" s="90"/>
      <c r="D5192" s="88" t="s">
        <v>6444</v>
      </c>
      <c r="E5192" s="89"/>
      <c r="F5192" s="90"/>
      <c r="G5192" s="5" t="s">
        <v>1718</v>
      </c>
      <c r="H5192" s="91">
        <v>399</v>
      </c>
      <c r="I5192" s="92"/>
      <c r="J5192" s="93"/>
      <c r="K5192" s="91">
        <v>2</v>
      </c>
      <c r="L5192" s="93"/>
      <c r="M5192" s="88" t="s">
        <v>23</v>
      </c>
      <c r="N5192" s="89"/>
      <c r="O5192" s="90"/>
      <c r="P5192" s="94">
        <v>950915</v>
      </c>
      <c r="Q5192" s="96"/>
    </row>
    <row r="5193" spans="1:17" ht="15" customHeight="1" x14ac:dyDescent="0.2">
      <c r="A5193" s="5" t="s">
        <v>1713</v>
      </c>
      <c r="B5193" s="88" t="s">
        <v>6516</v>
      </c>
      <c r="C5193" s="90"/>
      <c r="D5193" s="88" t="s">
        <v>6446</v>
      </c>
      <c r="E5193" s="89"/>
      <c r="F5193" s="90"/>
      <c r="G5193" s="5" t="s">
        <v>1718</v>
      </c>
      <c r="H5193" s="91">
        <v>399</v>
      </c>
      <c r="I5193" s="92"/>
      <c r="J5193" s="93"/>
      <c r="K5193" s="91">
        <v>2</v>
      </c>
      <c r="L5193" s="93"/>
      <c r="M5193" s="88" t="s">
        <v>23</v>
      </c>
      <c r="N5193" s="89"/>
      <c r="O5193" s="90"/>
      <c r="P5193" s="94">
        <v>937978</v>
      </c>
      <c r="Q5193" s="96"/>
    </row>
    <row r="5194" spans="1:17" ht="15" customHeight="1" x14ac:dyDescent="0.2">
      <c r="A5194" s="5" t="s">
        <v>1713</v>
      </c>
      <c r="B5194" s="88" t="s">
        <v>6516</v>
      </c>
      <c r="C5194" s="90"/>
      <c r="D5194" s="88" t="s">
        <v>6445</v>
      </c>
      <c r="E5194" s="89"/>
      <c r="F5194" s="90"/>
      <c r="G5194" s="5" t="s">
        <v>1718</v>
      </c>
      <c r="H5194" s="91">
        <v>399</v>
      </c>
      <c r="I5194" s="92"/>
      <c r="J5194" s="93"/>
      <c r="K5194" s="91">
        <v>2</v>
      </c>
      <c r="L5194" s="93"/>
      <c r="M5194" s="88" t="s">
        <v>23</v>
      </c>
      <c r="N5194" s="89"/>
      <c r="O5194" s="90"/>
      <c r="P5194" s="94">
        <v>1088701</v>
      </c>
      <c r="Q5194" s="96"/>
    </row>
    <row r="5195" spans="1:17" ht="15" customHeight="1" x14ac:dyDescent="0.2">
      <c r="A5195" s="5" t="s">
        <v>1713</v>
      </c>
      <c r="B5195" s="88" t="s">
        <v>6516</v>
      </c>
      <c r="C5195" s="90"/>
      <c r="D5195" s="88" t="s">
        <v>6517</v>
      </c>
      <c r="E5195" s="89"/>
      <c r="F5195" s="90"/>
      <c r="G5195" s="5" t="s">
        <v>1718</v>
      </c>
      <c r="H5195" s="91">
        <v>399</v>
      </c>
      <c r="I5195" s="92"/>
      <c r="J5195" s="93"/>
      <c r="K5195" s="91">
        <v>2</v>
      </c>
      <c r="L5195" s="93"/>
      <c r="M5195" s="88" t="s">
        <v>23</v>
      </c>
      <c r="N5195" s="89"/>
      <c r="O5195" s="90"/>
      <c r="P5195" s="94">
        <v>1116517</v>
      </c>
      <c r="Q5195" s="96"/>
    </row>
    <row r="5196" spans="1:17" ht="15" customHeight="1" x14ac:dyDescent="0.2">
      <c r="A5196" s="5" t="s">
        <v>1713</v>
      </c>
      <c r="B5196" s="88" t="s">
        <v>6518</v>
      </c>
      <c r="C5196" s="90"/>
      <c r="D5196" s="88" t="s">
        <v>6519</v>
      </c>
      <c r="E5196" s="89"/>
      <c r="F5196" s="90"/>
      <c r="G5196" s="5" t="s">
        <v>1718</v>
      </c>
      <c r="H5196" s="91">
        <v>599</v>
      </c>
      <c r="I5196" s="92"/>
      <c r="J5196" s="93"/>
      <c r="K5196" s="91">
        <v>2</v>
      </c>
      <c r="L5196" s="93"/>
      <c r="M5196" s="88" t="s">
        <v>23</v>
      </c>
      <c r="N5196" s="89"/>
      <c r="O5196" s="90"/>
      <c r="P5196" s="94">
        <v>2077783</v>
      </c>
      <c r="Q5196" s="96"/>
    </row>
    <row r="5197" spans="1:17" ht="15" customHeight="1" x14ac:dyDescent="0.2">
      <c r="A5197" s="5" t="s">
        <v>1713</v>
      </c>
      <c r="B5197" s="88" t="s">
        <v>6518</v>
      </c>
      <c r="C5197" s="90"/>
      <c r="D5197" s="88" t="s">
        <v>6520</v>
      </c>
      <c r="E5197" s="89"/>
      <c r="F5197" s="90"/>
      <c r="G5197" s="5" t="s">
        <v>1718</v>
      </c>
      <c r="H5197" s="91">
        <v>599</v>
      </c>
      <c r="I5197" s="92"/>
      <c r="J5197" s="93"/>
      <c r="K5197" s="91">
        <v>2</v>
      </c>
      <c r="L5197" s="93"/>
      <c r="M5197" s="88" t="s">
        <v>23</v>
      </c>
      <c r="N5197" s="89"/>
      <c r="O5197" s="90"/>
      <c r="P5197" s="94">
        <v>2035088</v>
      </c>
      <c r="Q5197" s="96"/>
    </row>
    <row r="5198" spans="1:17" ht="15" customHeight="1" x14ac:dyDescent="0.2">
      <c r="A5198" s="5" t="s">
        <v>1713</v>
      </c>
      <c r="B5198" s="88" t="s">
        <v>6521</v>
      </c>
      <c r="C5198" s="90"/>
      <c r="D5198" s="88" t="s">
        <v>6499</v>
      </c>
      <c r="E5198" s="89"/>
      <c r="F5198" s="90"/>
      <c r="G5198" s="5" t="s">
        <v>1718</v>
      </c>
      <c r="H5198" s="91">
        <v>648</v>
      </c>
      <c r="I5198" s="92"/>
      <c r="J5198" s="93"/>
      <c r="K5198" s="91">
        <v>2</v>
      </c>
      <c r="L5198" s="93"/>
      <c r="M5198" s="88" t="s">
        <v>23</v>
      </c>
      <c r="N5198" s="89"/>
      <c r="O5198" s="90"/>
      <c r="P5198" s="94">
        <v>1235543</v>
      </c>
      <c r="Q5198" s="96"/>
    </row>
    <row r="5199" spans="1:17" ht="15" customHeight="1" x14ac:dyDescent="0.2">
      <c r="A5199" s="5" t="s">
        <v>1713</v>
      </c>
      <c r="B5199" s="88" t="s">
        <v>6522</v>
      </c>
      <c r="C5199" s="90"/>
      <c r="D5199" s="88" t="s">
        <v>6501</v>
      </c>
      <c r="E5199" s="89"/>
      <c r="F5199" s="90"/>
      <c r="G5199" s="5" t="s">
        <v>1718</v>
      </c>
      <c r="H5199" s="91">
        <v>648</v>
      </c>
      <c r="I5199" s="92"/>
      <c r="J5199" s="93"/>
      <c r="K5199" s="91">
        <v>2</v>
      </c>
      <c r="L5199" s="93"/>
      <c r="M5199" s="88" t="s">
        <v>23</v>
      </c>
      <c r="N5199" s="89"/>
      <c r="O5199" s="90"/>
      <c r="P5199" s="94">
        <v>1280825</v>
      </c>
      <c r="Q5199" s="96"/>
    </row>
    <row r="5200" spans="1:17" ht="15" customHeight="1" x14ac:dyDescent="0.2">
      <c r="A5200" s="5" t="s">
        <v>1713</v>
      </c>
      <c r="B5200" s="88" t="s">
        <v>6522</v>
      </c>
      <c r="C5200" s="90"/>
      <c r="D5200" s="88" t="s">
        <v>6502</v>
      </c>
      <c r="E5200" s="89"/>
      <c r="F5200" s="90"/>
      <c r="G5200" s="5" t="s">
        <v>1718</v>
      </c>
      <c r="H5200" s="91">
        <v>648</v>
      </c>
      <c r="I5200" s="92"/>
      <c r="J5200" s="93"/>
      <c r="K5200" s="91">
        <v>2</v>
      </c>
      <c r="L5200" s="93"/>
      <c r="M5200" s="88" t="s">
        <v>23</v>
      </c>
      <c r="N5200" s="89"/>
      <c r="O5200" s="90"/>
      <c r="P5200" s="94">
        <v>1394676</v>
      </c>
      <c r="Q5200" s="96"/>
    </row>
    <row r="5201" spans="1:17" ht="15" customHeight="1" x14ac:dyDescent="0.2">
      <c r="A5201" s="5" t="s">
        <v>1713</v>
      </c>
      <c r="B5201" s="88" t="s">
        <v>6522</v>
      </c>
      <c r="C5201" s="90"/>
      <c r="D5201" s="88" t="s">
        <v>6504</v>
      </c>
      <c r="E5201" s="89"/>
      <c r="F5201" s="90"/>
      <c r="G5201" s="5" t="s">
        <v>1718</v>
      </c>
      <c r="H5201" s="91">
        <v>648</v>
      </c>
      <c r="I5201" s="92"/>
      <c r="J5201" s="93"/>
      <c r="K5201" s="91">
        <v>2</v>
      </c>
      <c r="L5201" s="93"/>
      <c r="M5201" s="88" t="s">
        <v>23</v>
      </c>
      <c r="N5201" s="89"/>
      <c r="O5201" s="90"/>
      <c r="P5201" s="94">
        <v>1423139</v>
      </c>
      <c r="Q5201" s="96"/>
    </row>
    <row r="5202" spans="1:17" ht="15" customHeight="1" x14ac:dyDescent="0.2">
      <c r="A5202" s="5" t="s">
        <v>1713</v>
      </c>
      <c r="B5202" s="88" t="s">
        <v>6522</v>
      </c>
      <c r="C5202" s="90"/>
      <c r="D5202" s="88" t="s">
        <v>6501</v>
      </c>
      <c r="E5202" s="89"/>
      <c r="F5202" s="90"/>
      <c r="G5202" s="5" t="s">
        <v>1718</v>
      </c>
      <c r="H5202" s="91">
        <v>648</v>
      </c>
      <c r="I5202" s="92"/>
      <c r="J5202" s="93"/>
      <c r="K5202" s="91">
        <v>2</v>
      </c>
      <c r="L5202" s="93"/>
      <c r="M5202" s="88" t="s">
        <v>23</v>
      </c>
      <c r="N5202" s="89"/>
      <c r="O5202" s="90"/>
      <c r="P5202" s="94">
        <v>1408907</v>
      </c>
      <c r="Q5202" s="96"/>
    </row>
    <row r="5203" spans="1:17" ht="15" customHeight="1" x14ac:dyDescent="0.2">
      <c r="A5203" s="5" t="s">
        <v>1713</v>
      </c>
      <c r="B5203" s="88" t="s">
        <v>6523</v>
      </c>
      <c r="C5203" s="90"/>
      <c r="D5203" s="88" t="s">
        <v>6524</v>
      </c>
      <c r="E5203" s="89"/>
      <c r="F5203" s="90"/>
      <c r="G5203" s="5" t="s">
        <v>1718</v>
      </c>
      <c r="H5203" s="91">
        <v>249</v>
      </c>
      <c r="I5203" s="92"/>
      <c r="J5203" s="93"/>
      <c r="K5203" s="91">
        <v>2</v>
      </c>
      <c r="L5203" s="93"/>
      <c r="M5203" s="88" t="s">
        <v>23</v>
      </c>
      <c r="N5203" s="89"/>
      <c r="O5203" s="90"/>
      <c r="P5203" s="94">
        <v>804073</v>
      </c>
      <c r="Q5203" s="96"/>
    </row>
    <row r="5204" spans="1:17" ht="15" customHeight="1" x14ac:dyDescent="0.2">
      <c r="A5204" s="5" t="s">
        <v>1713</v>
      </c>
      <c r="B5204" s="88" t="s">
        <v>6525</v>
      </c>
      <c r="C5204" s="90"/>
      <c r="D5204" s="88" t="s">
        <v>6526</v>
      </c>
      <c r="E5204" s="89"/>
      <c r="F5204" s="90"/>
      <c r="G5204" s="5" t="s">
        <v>1718</v>
      </c>
      <c r="H5204" s="91">
        <v>471</v>
      </c>
      <c r="I5204" s="92"/>
      <c r="J5204" s="93"/>
      <c r="K5204" s="91">
        <v>2</v>
      </c>
      <c r="L5204" s="93"/>
      <c r="M5204" s="88" t="s">
        <v>23</v>
      </c>
      <c r="N5204" s="89"/>
      <c r="O5204" s="90"/>
      <c r="P5204" s="94">
        <v>1117164</v>
      </c>
      <c r="Q5204" s="96"/>
    </row>
    <row r="5205" spans="1:17" ht="15" customHeight="1" x14ac:dyDescent="0.2">
      <c r="A5205" s="5" t="s">
        <v>1713</v>
      </c>
      <c r="B5205" s="88" t="s">
        <v>6525</v>
      </c>
      <c r="C5205" s="90"/>
      <c r="D5205" s="88" t="s">
        <v>6527</v>
      </c>
      <c r="E5205" s="89"/>
      <c r="F5205" s="90"/>
      <c r="G5205" s="5" t="s">
        <v>1718</v>
      </c>
      <c r="H5205" s="91">
        <v>471</v>
      </c>
      <c r="I5205" s="92"/>
      <c r="J5205" s="93"/>
      <c r="K5205" s="91">
        <v>2</v>
      </c>
      <c r="L5205" s="93"/>
      <c r="M5205" s="88" t="s">
        <v>23</v>
      </c>
      <c r="N5205" s="89"/>
      <c r="O5205" s="90"/>
      <c r="P5205" s="94">
        <v>1117164</v>
      </c>
      <c r="Q5205" s="96"/>
    </row>
    <row r="5206" spans="1:17" ht="15" customHeight="1" x14ac:dyDescent="0.2">
      <c r="A5206" s="5" t="s">
        <v>1713</v>
      </c>
      <c r="B5206" s="88" t="s">
        <v>6528</v>
      </c>
      <c r="C5206" s="90"/>
      <c r="D5206" s="88" t="s">
        <v>6529</v>
      </c>
      <c r="E5206" s="89"/>
      <c r="F5206" s="90"/>
      <c r="G5206" s="5" t="s">
        <v>1718</v>
      </c>
      <c r="H5206" s="91">
        <v>249</v>
      </c>
      <c r="I5206" s="92"/>
      <c r="J5206" s="93"/>
      <c r="K5206" s="91">
        <v>2</v>
      </c>
      <c r="L5206" s="93"/>
      <c r="M5206" s="88" t="s">
        <v>23</v>
      </c>
      <c r="N5206" s="89"/>
      <c r="O5206" s="90"/>
      <c r="P5206" s="94">
        <v>840946</v>
      </c>
      <c r="Q5206" s="96"/>
    </row>
    <row r="5207" spans="1:17" ht="15" customHeight="1" x14ac:dyDescent="0.2">
      <c r="A5207" s="5" t="s">
        <v>1713</v>
      </c>
      <c r="B5207" s="88" t="s">
        <v>6530</v>
      </c>
      <c r="C5207" s="90"/>
      <c r="D5207" s="88" t="s">
        <v>6519</v>
      </c>
      <c r="E5207" s="89"/>
      <c r="F5207" s="90"/>
      <c r="G5207" s="5" t="s">
        <v>1718</v>
      </c>
      <c r="H5207" s="91">
        <v>599</v>
      </c>
      <c r="I5207" s="92"/>
      <c r="J5207" s="93"/>
      <c r="K5207" s="91">
        <v>2</v>
      </c>
      <c r="L5207" s="93"/>
      <c r="M5207" s="88" t="s">
        <v>23</v>
      </c>
      <c r="N5207" s="89"/>
      <c r="O5207" s="90"/>
      <c r="P5207" s="94">
        <v>1888893</v>
      </c>
      <c r="Q5207" s="96"/>
    </row>
    <row r="5208" spans="1:17" ht="15" customHeight="1" x14ac:dyDescent="0.2">
      <c r="A5208" s="5" t="s">
        <v>1713</v>
      </c>
      <c r="B5208" s="88" t="s">
        <v>6531</v>
      </c>
      <c r="C5208" s="90"/>
      <c r="D5208" s="88" t="s">
        <v>6532</v>
      </c>
      <c r="E5208" s="89"/>
      <c r="F5208" s="90"/>
      <c r="G5208" s="5" t="s">
        <v>1718</v>
      </c>
      <c r="H5208" s="91">
        <v>998</v>
      </c>
      <c r="I5208" s="92"/>
      <c r="J5208" s="93"/>
      <c r="K5208" s="91">
        <v>2</v>
      </c>
      <c r="L5208" s="93"/>
      <c r="M5208" s="88" t="s">
        <v>23</v>
      </c>
      <c r="N5208" s="89"/>
      <c r="O5208" s="90"/>
      <c r="P5208" s="94">
        <v>1988513</v>
      </c>
      <c r="Q5208" s="96"/>
    </row>
    <row r="5209" spans="1:17" ht="15" customHeight="1" x14ac:dyDescent="0.2">
      <c r="A5209" s="5" t="s">
        <v>1713</v>
      </c>
      <c r="B5209" s="88" t="s">
        <v>6533</v>
      </c>
      <c r="C5209" s="90"/>
      <c r="D5209" s="88" t="s">
        <v>6532</v>
      </c>
      <c r="E5209" s="89"/>
      <c r="F5209" s="90"/>
      <c r="G5209" s="5" t="s">
        <v>6534</v>
      </c>
      <c r="H5209" s="91">
        <v>998</v>
      </c>
      <c r="I5209" s="92"/>
      <c r="J5209" s="93"/>
      <c r="K5209" s="91">
        <v>2</v>
      </c>
      <c r="L5209" s="93"/>
      <c r="M5209" s="88" t="s">
        <v>23</v>
      </c>
      <c r="N5209" s="89"/>
      <c r="O5209" s="90"/>
      <c r="P5209" s="94">
        <v>1993688</v>
      </c>
      <c r="Q5209" s="96"/>
    </row>
    <row r="5210" spans="1:17" ht="15" customHeight="1" x14ac:dyDescent="0.2">
      <c r="A5210" s="5" t="s">
        <v>1713</v>
      </c>
      <c r="B5210" s="88" t="s">
        <v>6535</v>
      </c>
      <c r="C5210" s="90"/>
      <c r="D5210" s="88" t="s">
        <v>6536</v>
      </c>
      <c r="E5210" s="89"/>
      <c r="F5210" s="90"/>
      <c r="G5210" s="5" t="s">
        <v>6534</v>
      </c>
      <c r="H5210" s="91">
        <v>1082</v>
      </c>
      <c r="I5210" s="92"/>
      <c r="J5210" s="93"/>
      <c r="K5210" s="91">
        <v>2</v>
      </c>
      <c r="L5210" s="93"/>
      <c r="M5210" s="88" t="s">
        <v>23</v>
      </c>
      <c r="N5210" s="89"/>
      <c r="O5210" s="90"/>
      <c r="P5210" s="94">
        <v>2419336</v>
      </c>
      <c r="Q5210" s="96"/>
    </row>
    <row r="5211" spans="1:17" ht="15" customHeight="1" x14ac:dyDescent="0.2">
      <c r="A5211" s="5" t="s">
        <v>1713</v>
      </c>
      <c r="B5211" s="88" t="s">
        <v>6537</v>
      </c>
      <c r="C5211" s="90"/>
      <c r="D5211" s="88" t="s">
        <v>6536</v>
      </c>
      <c r="E5211" s="89"/>
      <c r="F5211" s="90"/>
      <c r="G5211" s="5" t="s">
        <v>1718</v>
      </c>
      <c r="H5211" s="91">
        <v>1082</v>
      </c>
      <c r="I5211" s="92"/>
      <c r="J5211" s="93"/>
      <c r="K5211" s="91">
        <v>2</v>
      </c>
      <c r="L5211" s="93"/>
      <c r="M5211" s="88" t="s">
        <v>23</v>
      </c>
      <c r="N5211" s="89"/>
      <c r="O5211" s="90"/>
      <c r="P5211" s="94">
        <v>2092014</v>
      </c>
      <c r="Q5211" s="96"/>
    </row>
    <row r="5212" spans="1:17" ht="15" customHeight="1" x14ac:dyDescent="0.2">
      <c r="A5212" s="5" t="s">
        <v>1713</v>
      </c>
      <c r="B5212" s="88" t="s">
        <v>6537</v>
      </c>
      <c r="C5212" s="90"/>
      <c r="D5212" s="88" t="s">
        <v>6536</v>
      </c>
      <c r="E5212" s="89"/>
      <c r="F5212" s="90"/>
      <c r="G5212" s="5" t="s">
        <v>6534</v>
      </c>
      <c r="H5212" s="91">
        <v>1082</v>
      </c>
      <c r="I5212" s="92"/>
      <c r="J5212" s="93"/>
      <c r="K5212" s="91">
        <v>2</v>
      </c>
      <c r="L5212" s="93"/>
      <c r="M5212" s="88" t="s">
        <v>23</v>
      </c>
      <c r="N5212" s="89"/>
      <c r="O5212" s="90"/>
      <c r="P5212" s="94">
        <v>2661269</v>
      </c>
      <c r="Q5212" s="96"/>
    </row>
    <row r="5213" spans="1:17" ht="15" customHeight="1" x14ac:dyDescent="0.2">
      <c r="A5213" s="5" t="s">
        <v>1713</v>
      </c>
      <c r="B5213" s="88" t="s">
        <v>6538</v>
      </c>
      <c r="C5213" s="90"/>
      <c r="D5213" s="88" t="s">
        <v>6539</v>
      </c>
      <c r="E5213" s="89"/>
      <c r="F5213" s="90"/>
      <c r="G5213" s="5" t="s">
        <v>6534</v>
      </c>
      <c r="H5213" s="91">
        <v>1082</v>
      </c>
      <c r="I5213" s="92"/>
      <c r="J5213" s="93"/>
      <c r="K5213" s="91">
        <v>2</v>
      </c>
      <c r="L5213" s="93"/>
      <c r="M5213" s="88" t="s">
        <v>23</v>
      </c>
      <c r="N5213" s="89"/>
      <c r="O5213" s="90"/>
      <c r="P5213" s="94">
        <v>2120477</v>
      </c>
      <c r="Q5213" s="96"/>
    </row>
    <row r="5214" spans="1:17" ht="15" customHeight="1" x14ac:dyDescent="0.2">
      <c r="A5214" s="5" t="s">
        <v>1713</v>
      </c>
      <c r="B5214" s="88" t="s">
        <v>6540</v>
      </c>
      <c r="C5214" s="90"/>
      <c r="D5214" s="88" t="s">
        <v>6541</v>
      </c>
      <c r="E5214" s="89"/>
      <c r="F5214" s="90"/>
      <c r="G5214" s="5" t="s">
        <v>1718</v>
      </c>
      <c r="H5214" s="91">
        <v>1082</v>
      </c>
      <c r="I5214" s="92"/>
      <c r="J5214" s="93"/>
      <c r="K5214" s="91">
        <v>2</v>
      </c>
      <c r="L5214" s="93"/>
      <c r="M5214" s="88" t="s">
        <v>23</v>
      </c>
      <c r="N5214" s="89"/>
      <c r="O5214" s="90"/>
      <c r="P5214" s="94">
        <v>2120477</v>
      </c>
      <c r="Q5214" s="96"/>
    </row>
    <row r="5215" spans="1:17" ht="15" customHeight="1" x14ac:dyDescent="0.2">
      <c r="A5215" s="5" t="s">
        <v>1713</v>
      </c>
      <c r="B5215" s="88" t="s">
        <v>6542</v>
      </c>
      <c r="C5215" s="90"/>
      <c r="D5215" s="88" t="s">
        <v>6543</v>
      </c>
      <c r="E5215" s="89"/>
      <c r="F5215" s="90"/>
      <c r="G5215" s="5" t="s">
        <v>6544</v>
      </c>
      <c r="H5215" s="91">
        <v>109</v>
      </c>
      <c r="I5215" s="92"/>
      <c r="J5215" s="93"/>
      <c r="K5215" s="91">
        <v>2</v>
      </c>
      <c r="L5215" s="93"/>
      <c r="M5215" s="88" t="s">
        <v>23</v>
      </c>
      <c r="N5215" s="89"/>
      <c r="O5215" s="90"/>
      <c r="P5215" s="94">
        <v>323441</v>
      </c>
      <c r="Q5215" s="96"/>
    </row>
    <row r="5216" spans="1:17" ht="15" customHeight="1" x14ac:dyDescent="0.2">
      <c r="A5216" s="5" t="s">
        <v>1713</v>
      </c>
      <c r="B5216" s="88" t="s">
        <v>6545</v>
      </c>
      <c r="C5216" s="90"/>
      <c r="D5216" s="88" t="s">
        <v>6546</v>
      </c>
      <c r="E5216" s="89"/>
      <c r="F5216" s="90"/>
      <c r="G5216" s="5" t="s">
        <v>963</v>
      </c>
      <c r="H5216" s="91">
        <v>124</v>
      </c>
      <c r="I5216" s="92"/>
      <c r="J5216" s="93"/>
      <c r="K5216" s="91">
        <v>2</v>
      </c>
      <c r="L5216" s="93"/>
      <c r="M5216" s="88" t="s">
        <v>23</v>
      </c>
      <c r="N5216" s="89"/>
      <c r="O5216" s="90"/>
      <c r="P5216" s="94">
        <v>407535</v>
      </c>
      <c r="Q5216" s="96"/>
    </row>
    <row r="5217" spans="1:17" ht="15" customHeight="1" x14ac:dyDescent="0.2">
      <c r="A5217" s="5" t="s">
        <v>1713</v>
      </c>
      <c r="B5217" s="88" t="s">
        <v>6547</v>
      </c>
      <c r="C5217" s="90"/>
      <c r="D5217" s="88" t="s">
        <v>6548</v>
      </c>
      <c r="E5217" s="89"/>
      <c r="F5217" s="90"/>
      <c r="G5217" s="5" t="s">
        <v>963</v>
      </c>
      <c r="H5217" s="91">
        <v>149</v>
      </c>
      <c r="I5217" s="92"/>
      <c r="J5217" s="93"/>
      <c r="K5217" s="91">
        <v>2</v>
      </c>
      <c r="L5217" s="93"/>
      <c r="M5217" s="88" t="s">
        <v>23</v>
      </c>
      <c r="N5217" s="89"/>
      <c r="O5217" s="90"/>
      <c r="P5217" s="94">
        <v>591249</v>
      </c>
      <c r="Q5217" s="96"/>
    </row>
    <row r="5218" spans="1:17" ht="15" customHeight="1" x14ac:dyDescent="0.2">
      <c r="A5218" s="5" t="s">
        <v>1713</v>
      </c>
      <c r="B5218" s="88" t="s">
        <v>6549</v>
      </c>
      <c r="C5218" s="90"/>
      <c r="D5218" s="88" t="s">
        <v>6550</v>
      </c>
      <c r="E5218" s="89"/>
      <c r="F5218" s="90"/>
      <c r="G5218" s="5" t="s">
        <v>1718</v>
      </c>
      <c r="H5218" s="91">
        <v>249</v>
      </c>
      <c r="I5218" s="92"/>
      <c r="J5218" s="93"/>
      <c r="K5218" s="91">
        <v>2</v>
      </c>
      <c r="L5218" s="93"/>
      <c r="M5218" s="88" t="s">
        <v>23</v>
      </c>
      <c r="N5218" s="89"/>
      <c r="O5218" s="90"/>
      <c r="P5218" s="94">
        <v>775611</v>
      </c>
      <c r="Q5218" s="96"/>
    </row>
    <row r="5219" spans="1:17" ht="15" customHeight="1" x14ac:dyDescent="0.2">
      <c r="A5219" s="5" t="s">
        <v>1713</v>
      </c>
      <c r="B5219" s="88" t="s">
        <v>6551</v>
      </c>
      <c r="C5219" s="90"/>
      <c r="D5219" s="88" t="s">
        <v>6529</v>
      </c>
      <c r="E5219" s="89"/>
      <c r="F5219" s="90"/>
      <c r="G5219" s="5" t="s">
        <v>1718</v>
      </c>
      <c r="H5219" s="91">
        <v>249</v>
      </c>
      <c r="I5219" s="92"/>
      <c r="J5219" s="93"/>
      <c r="K5219" s="91">
        <v>2</v>
      </c>
      <c r="L5219" s="93"/>
      <c r="M5219" s="88" t="s">
        <v>23</v>
      </c>
      <c r="N5219" s="89"/>
      <c r="O5219" s="90"/>
      <c r="P5219" s="94">
        <v>840946</v>
      </c>
      <c r="Q5219" s="96"/>
    </row>
    <row r="5220" spans="1:17" ht="15" customHeight="1" x14ac:dyDescent="0.2">
      <c r="A5220" s="5" t="s">
        <v>1713</v>
      </c>
      <c r="B5220" s="88" t="s">
        <v>6551</v>
      </c>
      <c r="C5220" s="90"/>
      <c r="D5220" s="88" t="s">
        <v>6552</v>
      </c>
      <c r="E5220" s="89"/>
      <c r="F5220" s="90"/>
      <c r="G5220" s="5" t="s">
        <v>1718</v>
      </c>
      <c r="H5220" s="91">
        <v>249</v>
      </c>
      <c r="I5220" s="92"/>
      <c r="J5220" s="93"/>
      <c r="K5220" s="91">
        <v>2</v>
      </c>
      <c r="L5220" s="93"/>
      <c r="M5220" s="88" t="s">
        <v>23</v>
      </c>
      <c r="N5220" s="89"/>
      <c r="O5220" s="90"/>
      <c r="P5220" s="94">
        <v>989081</v>
      </c>
      <c r="Q5220" s="96"/>
    </row>
    <row r="5221" spans="1:17" ht="15" customHeight="1" x14ac:dyDescent="0.2">
      <c r="A5221" s="5" t="s">
        <v>1713</v>
      </c>
      <c r="B5221" s="88" t="s">
        <v>6551</v>
      </c>
      <c r="C5221" s="90"/>
      <c r="D5221" s="88" t="s">
        <v>6550</v>
      </c>
      <c r="E5221" s="89"/>
      <c r="F5221" s="90"/>
      <c r="G5221" s="5" t="s">
        <v>1718</v>
      </c>
      <c r="H5221" s="91">
        <v>249</v>
      </c>
      <c r="I5221" s="92"/>
      <c r="J5221" s="93"/>
      <c r="K5221" s="91">
        <v>2</v>
      </c>
      <c r="L5221" s="93"/>
      <c r="M5221" s="88" t="s">
        <v>23</v>
      </c>
      <c r="N5221" s="89"/>
      <c r="O5221" s="90"/>
      <c r="P5221" s="94">
        <v>959196</v>
      </c>
      <c r="Q5221" s="96"/>
    </row>
    <row r="5222" spans="1:17" ht="15" customHeight="1" x14ac:dyDescent="0.2">
      <c r="A5222" s="5" t="s">
        <v>1713</v>
      </c>
      <c r="B5222" s="88" t="s">
        <v>6553</v>
      </c>
      <c r="C5222" s="90"/>
      <c r="D5222" s="88" t="s">
        <v>6529</v>
      </c>
      <c r="E5222" s="89"/>
      <c r="F5222" s="90"/>
      <c r="G5222" s="5" t="s">
        <v>1718</v>
      </c>
      <c r="H5222" s="91">
        <v>249</v>
      </c>
      <c r="I5222" s="92"/>
      <c r="J5222" s="93"/>
      <c r="K5222" s="91">
        <v>2</v>
      </c>
      <c r="L5222" s="93"/>
      <c r="M5222" s="88" t="s">
        <v>23</v>
      </c>
      <c r="N5222" s="89"/>
      <c r="O5222" s="90"/>
      <c r="P5222" s="94">
        <v>840946</v>
      </c>
      <c r="Q5222" s="96"/>
    </row>
    <row r="5223" spans="1:17" ht="15" customHeight="1" x14ac:dyDescent="0.2">
      <c r="A5223" s="5" t="s">
        <v>1713</v>
      </c>
      <c r="B5223" s="88" t="s">
        <v>6554</v>
      </c>
      <c r="C5223" s="90"/>
      <c r="D5223" s="88" t="s">
        <v>6529</v>
      </c>
      <c r="E5223" s="89"/>
      <c r="F5223" s="90"/>
      <c r="G5223" s="5" t="s">
        <v>1718</v>
      </c>
      <c r="H5223" s="91">
        <v>249</v>
      </c>
      <c r="I5223" s="92"/>
      <c r="J5223" s="93"/>
      <c r="K5223" s="91">
        <v>2</v>
      </c>
      <c r="L5223" s="93"/>
      <c r="M5223" s="88" t="s">
        <v>23</v>
      </c>
      <c r="N5223" s="89"/>
      <c r="O5223" s="90"/>
      <c r="P5223" s="94">
        <v>596425</v>
      </c>
      <c r="Q5223" s="96"/>
    </row>
    <row r="5224" spans="1:17" ht="15" customHeight="1" x14ac:dyDescent="0.2">
      <c r="A5224" s="5" t="s">
        <v>1713</v>
      </c>
      <c r="B5224" s="88" t="s">
        <v>6554</v>
      </c>
      <c r="C5224" s="90"/>
      <c r="D5224" s="88" t="s">
        <v>6555</v>
      </c>
      <c r="E5224" s="89"/>
      <c r="F5224" s="90"/>
      <c r="G5224" s="5" t="s">
        <v>1718</v>
      </c>
      <c r="H5224" s="91">
        <v>249</v>
      </c>
      <c r="I5224" s="92"/>
      <c r="J5224" s="93"/>
      <c r="K5224" s="91">
        <v>2</v>
      </c>
      <c r="L5224" s="93"/>
      <c r="M5224" s="88" t="s">
        <v>23</v>
      </c>
      <c r="N5224" s="89"/>
      <c r="O5224" s="90"/>
      <c r="P5224" s="94">
        <v>596425</v>
      </c>
      <c r="Q5224" s="96"/>
    </row>
    <row r="5225" spans="1:17" ht="15" customHeight="1" x14ac:dyDescent="0.2">
      <c r="A5225" s="5" t="s">
        <v>1713</v>
      </c>
      <c r="B5225" s="88" t="s">
        <v>6554</v>
      </c>
      <c r="C5225" s="90"/>
      <c r="D5225" s="88" t="s">
        <v>6552</v>
      </c>
      <c r="E5225" s="89"/>
      <c r="F5225" s="90"/>
      <c r="G5225" s="5" t="s">
        <v>1718</v>
      </c>
      <c r="H5225" s="91">
        <v>249</v>
      </c>
      <c r="I5225" s="92"/>
      <c r="J5225" s="93"/>
      <c r="K5225" s="91">
        <v>2</v>
      </c>
      <c r="L5225" s="93"/>
      <c r="M5225" s="88" t="s">
        <v>23</v>
      </c>
      <c r="N5225" s="89"/>
      <c r="O5225" s="90"/>
      <c r="P5225" s="94">
        <v>804073</v>
      </c>
      <c r="Q5225" s="96"/>
    </row>
    <row r="5226" spans="1:17" ht="15" customHeight="1" x14ac:dyDescent="0.2">
      <c r="A5226" s="5" t="s">
        <v>1713</v>
      </c>
      <c r="B5226" s="88" t="s">
        <v>6556</v>
      </c>
      <c r="C5226" s="90"/>
      <c r="D5226" s="88" t="s">
        <v>6529</v>
      </c>
      <c r="E5226" s="89"/>
      <c r="F5226" s="90"/>
      <c r="G5226" s="5" t="s">
        <v>1718</v>
      </c>
      <c r="H5226" s="91">
        <v>249</v>
      </c>
      <c r="I5226" s="92"/>
      <c r="J5226" s="93"/>
      <c r="K5226" s="91">
        <v>2</v>
      </c>
      <c r="L5226" s="93"/>
      <c r="M5226" s="88" t="s">
        <v>23</v>
      </c>
      <c r="N5226" s="89"/>
      <c r="O5226" s="90"/>
      <c r="P5226" s="94">
        <v>645587</v>
      </c>
      <c r="Q5226" s="96"/>
    </row>
    <row r="5227" spans="1:17" ht="15" customHeight="1" x14ac:dyDescent="0.2">
      <c r="A5227" s="5" t="s">
        <v>1713</v>
      </c>
      <c r="B5227" s="88" t="s">
        <v>6557</v>
      </c>
      <c r="C5227" s="90"/>
      <c r="D5227" s="88" t="s">
        <v>6558</v>
      </c>
      <c r="E5227" s="89"/>
      <c r="F5227" s="90"/>
      <c r="G5227" s="5" t="s">
        <v>963</v>
      </c>
      <c r="H5227" s="91">
        <v>249</v>
      </c>
      <c r="I5227" s="92"/>
      <c r="J5227" s="93"/>
      <c r="K5227" s="91">
        <v>2</v>
      </c>
      <c r="L5227" s="93"/>
      <c r="M5227" s="88" t="s">
        <v>23</v>
      </c>
      <c r="N5227" s="89"/>
      <c r="O5227" s="90"/>
      <c r="P5227" s="94">
        <v>996197</v>
      </c>
      <c r="Q5227" s="96"/>
    </row>
    <row r="5228" spans="1:17" ht="15" customHeight="1" x14ac:dyDescent="0.2">
      <c r="A5228" s="5" t="s">
        <v>1713</v>
      </c>
      <c r="B5228" s="88" t="s">
        <v>6559</v>
      </c>
      <c r="C5228" s="90"/>
      <c r="D5228" s="88" t="s">
        <v>6558</v>
      </c>
      <c r="E5228" s="89"/>
      <c r="F5228" s="90"/>
      <c r="G5228" s="5" t="s">
        <v>963</v>
      </c>
      <c r="H5228" s="91">
        <v>249</v>
      </c>
      <c r="I5228" s="92"/>
      <c r="J5228" s="93"/>
      <c r="K5228" s="91">
        <v>2</v>
      </c>
      <c r="L5228" s="93"/>
      <c r="M5228" s="88" t="s">
        <v>23</v>
      </c>
      <c r="N5228" s="89"/>
      <c r="O5228" s="90"/>
      <c r="P5228" s="94">
        <v>1015604</v>
      </c>
      <c r="Q5228" s="96"/>
    </row>
    <row r="5229" spans="1:17" ht="15" customHeight="1" x14ac:dyDescent="0.2">
      <c r="A5229" s="5" t="s">
        <v>1713</v>
      </c>
      <c r="B5229" s="88" t="s">
        <v>6560</v>
      </c>
      <c r="C5229" s="90"/>
      <c r="D5229" s="88" t="s">
        <v>6561</v>
      </c>
      <c r="E5229" s="89"/>
      <c r="F5229" s="90"/>
      <c r="G5229" s="5" t="s">
        <v>1718</v>
      </c>
      <c r="H5229" s="91">
        <v>449</v>
      </c>
      <c r="I5229" s="92"/>
      <c r="J5229" s="93"/>
      <c r="K5229" s="91">
        <v>1</v>
      </c>
      <c r="L5229" s="93"/>
      <c r="M5229" s="88" t="s">
        <v>23</v>
      </c>
      <c r="N5229" s="89"/>
      <c r="O5229" s="90"/>
      <c r="P5229" s="94">
        <v>1552515</v>
      </c>
      <c r="Q5229" s="96"/>
    </row>
    <row r="5230" spans="1:17" ht="15" customHeight="1" x14ac:dyDescent="0.2">
      <c r="A5230" s="5" t="s">
        <v>1713</v>
      </c>
      <c r="B5230" s="88" t="s">
        <v>6562</v>
      </c>
      <c r="C5230" s="90"/>
      <c r="D5230" s="88" t="s">
        <v>6563</v>
      </c>
      <c r="E5230" s="89"/>
      <c r="F5230" s="90"/>
      <c r="G5230" s="5" t="s">
        <v>963</v>
      </c>
      <c r="H5230" s="91">
        <v>449</v>
      </c>
      <c r="I5230" s="92"/>
      <c r="J5230" s="93"/>
      <c r="K5230" s="91">
        <v>1</v>
      </c>
      <c r="L5230" s="93"/>
      <c r="M5230" s="88" t="s">
        <v>23</v>
      </c>
      <c r="N5230" s="89"/>
      <c r="O5230" s="90"/>
      <c r="P5230" s="94">
        <v>1157917</v>
      </c>
      <c r="Q5230" s="96"/>
    </row>
    <row r="5231" spans="1:17" ht="15" customHeight="1" x14ac:dyDescent="0.2">
      <c r="A5231" s="5" t="s">
        <v>1713</v>
      </c>
      <c r="B5231" s="88" t="s">
        <v>6564</v>
      </c>
      <c r="C5231" s="90"/>
      <c r="D5231" s="88" t="s">
        <v>6563</v>
      </c>
      <c r="E5231" s="89"/>
      <c r="F5231" s="90"/>
      <c r="G5231" s="5" t="s">
        <v>963</v>
      </c>
      <c r="H5231" s="91">
        <v>449</v>
      </c>
      <c r="I5231" s="92"/>
      <c r="J5231" s="93"/>
      <c r="K5231" s="91">
        <v>1</v>
      </c>
      <c r="L5231" s="93"/>
      <c r="M5231" s="88" t="s">
        <v>23</v>
      </c>
      <c r="N5231" s="89"/>
      <c r="O5231" s="90"/>
      <c r="P5231" s="94">
        <v>1177324</v>
      </c>
      <c r="Q5231" s="96"/>
    </row>
    <row r="5232" spans="1:17" ht="15" customHeight="1" x14ac:dyDescent="0.2">
      <c r="A5232" s="5" t="s">
        <v>1713</v>
      </c>
      <c r="B5232" s="88" t="s">
        <v>6565</v>
      </c>
      <c r="C5232" s="90"/>
      <c r="D5232" s="88" t="s">
        <v>6566</v>
      </c>
      <c r="E5232" s="89"/>
      <c r="F5232" s="90"/>
      <c r="G5232" s="5" t="s">
        <v>6544</v>
      </c>
      <c r="H5232" s="91">
        <v>49</v>
      </c>
      <c r="I5232" s="92"/>
      <c r="J5232" s="93"/>
      <c r="K5232" s="91">
        <v>2</v>
      </c>
      <c r="L5232" s="93"/>
      <c r="M5232" s="88" t="s">
        <v>23</v>
      </c>
      <c r="N5232" s="89"/>
      <c r="O5232" s="90"/>
      <c r="P5232" s="94">
        <v>232877</v>
      </c>
      <c r="Q5232" s="96"/>
    </row>
    <row r="5233" spans="1:17" ht="15" customHeight="1" x14ac:dyDescent="0.2">
      <c r="A5233" s="5" t="s">
        <v>1713</v>
      </c>
      <c r="B5233" s="88" t="s">
        <v>6567</v>
      </c>
      <c r="C5233" s="90"/>
      <c r="D5233" s="88" t="s">
        <v>6568</v>
      </c>
      <c r="E5233" s="89"/>
      <c r="F5233" s="90"/>
      <c r="G5233" s="5" t="s">
        <v>6544</v>
      </c>
      <c r="H5233" s="91">
        <v>109</v>
      </c>
      <c r="I5233" s="92"/>
      <c r="J5233" s="93"/>
      <c r="K5233" s="91">
        <v>2</v>
      </c>
      <c r="L5233" s="93"/>
      <c r="M5233" s="88" t="s">
        <v>23</v>
      </c>
      <c r="N5233" s="89"/>
      <c r="O5233" s="90"/>
      <c r="P5233" s="94">
        <v>469636</v>
      </c>
      <c r="Q5233" s="96"/>
    </row>
    <row r="5234" spans="1:17" ht="15" customHeight="1" x14ac:dyDescent="0.2">
      <c r="A5234" s="5" t="s">
        <v>1713</v>
      </c>
      <c r="B5234" s="88" t="s">
        <v>6567</v>
      </c>
      <c r="C5234" s="90"/>
      <c r="D5234" s="88" t="s">
        <v>6569</v>
      </c>
      <c r="E5234" s="89"/>
      <c r="F5234" s="90"/>
      <c r="G5234" s="5" t="s">
        <v>6544</v>
      </c>
      <c r="H5234" s="91">
        <v>109</v>
      </c>
      <c r="I5234" s="92"/>
      <c r="J5234" s="93"/>
      <c r="K5234" s="91">
        <v>2</v>
      </c>
      <c r="L5234" s="93"/>
      <c r="M5234" s="88" t="s">
        <v>23</v>
      </c>
      <c r="N5234" s="89"/>
      <c r="O5234" s="90"/>
      <c r="P5234" s="94">
        <v>469636</v>
      </c>
      <c r="Q5234" s="96"/>
    </row>
    <row r="5235" spans="1:17" ht="15" customHeight="1" x14ac:dyDescent="0.2">
      <c r="A5235" s="5" t="s">
        <v>1713</v>
      </c>
      <c r="B5235" s="88" t="s">
        <v>6567</v>
      </c>
      <c r="C5235" s="90"/>
      <c r="D5235" s="88" t="s">
        <v>6570</v>
      </c>
      <c r="E5235" s="89"/>
      <c r="F5235" s="90"/>
      <c r="G5235" s="5" t="s">
        <v>6544</v>
      </c>
      <c r="H5235" s="91">
        <v>109</v>
      </c>
      <c r="I5235" s="92"/>
      <c r="J5235" s="93"/>
      <c r="K5235" s="91">
        <v>1</v>
      </c>
      <c r="L5235" s="93"/>
      <c r="M5235" s="88" t="s">
        <v>23</v>
      </c>
      <c r="N5235" s="89"/>
      <c r="O5235" s="90"/>
      <c r="P5235" s="94">
        <v>441173</v>
      </c>
      <c r="Q5235" s="96"/>
    </row>
    <row r="5236" spans="1:17" ht="15" customHeight="1" x14ac:dyDescent="0.2">
      <c r="A5236" s="5" t="s">
        <v>1713</v>
      </c>
      <c r="B5236" s="88" t="s">
        <v>6571</v>
      </c>
      <c r="C5236" s="90"/>
      <c r="D5236" s="88" t="s">
        <v>6572</v>
      </c>
      <c r="E5236" s="89"/>
      <c r="F5236" s="90"/>
      <c r="G5236" s="5" t="s">
        <v>6544</v>
      </c>
      <c r="H5236" s="91">
        <v>49</v>
      </c>
      <c r="I5236" s="92"/>
      <c r="J5236" s="93"/>
      <c r="K5236" s="91">
        <v>1</v>
      </c>
      <c r="L5236" s="93"/>
      <c r="M5236" s="88" t="s">
        <v>23</v>
      </c>
      <c r="N5236" s="89"/>
      <c r="O5236" s="90"/>
      <c r="P5236" s="94">
        <v>349316</v>
      </c>
      <c r="Q5236" s="96"/>
    </row>
    <row r="5237" spans="1:17" ht="15" customHeight="1" x14ac:dyDescent="0.2">
      <c r="A5237" s="5" t="s">
        <v>1713</v>
      </c>
      <c r="B5237" s="88" t="s">
        <v>6573</v>
      </c>
      <c r="C5237" s="90"/>
      <c r="D5237" s="88" t="s">
        <v>6574</v>
      </c>
      <c r="E5237" s="89"/>
      <c r="F5237" s="90"/>
      <c r="G5237" s="5" t="s">
        <v>6544</v>
      </c>
      <c r="H5237" s="91">
        <v>124</v>
      </c>
      <c r="I5237" s="92"/>
      <c r="J5237" s="93"/>
      <c r="K5237" s="91">
        <v>2</v>
      </c>
      <c r="L5237" s="93"/>
      <c r="M5237" s="88" t="s">
        <v>23</v>
      </c>
      <c r="N5237" s="89"/>
      <c r="O5237" s="90"/>
      <c r="P5237" s="94">
        <v>517505</v>
      </c>
      <c r="Q5237" s="96"/>
    </row>
    <row r="5238" spans="1:17" ht="15" customHeight="1" x14ac:dyDescent="0.2">
      <c r="A5238" s="5" t="s">
        <v>1713</v>
      </c>
      <c r="B5238" s="88" t="s">
        <v>6573</v>
      </c>
      <c r="C5238" s="90"/>
      <c r="D5238" s="88" t="s">
        <v>6575</v>
      </c>
      <c r="E5238" s="89"/>
      <c r="F5238" s="90"/>
      <c r="G5238" s="5" t="s">
        <v>6544</v>
      </c>
      <c r="H5238" s="91">
        <v>123</v>
      </c>
      <c r="I5238" s="92"/>
      <c r="J5238" s="93"/>
      <c r="K5238" s="91">
        <v>2</v>
      </c>
      <c r="L5238" s="93"/>
      <c r="M5238" s="88" t="s">
        <v>23</v>
      </c>
      <c r="N5238" s="89"/>
      <c r="O5238" s="90"/>
      <c r="P5238" s="94">
        <v>569256</v>
      </c>
      <c r="Q5238" s="96"/>
    </row>
    <row r="5239" spans="1:17" ht="15" customHeight="1" x14ac:dyDescent="0.2">
      <c r="A5239" s="5" t="s">
        <v>1713</v>
      </c>
      <c r="B5239" s="88" t="s">
        <v>6576</v>
      </c>
      <c r="C5239" s="90"/>
      <c r="D5239" s="88" t="s">
        <v>6577</v>
      </c>
      <c r="E5239" s="89"/>
      <c r="F5239" s="90"/>
      <c r="G5239" s="5" t="s">
        <v>6544</v>
      </c>
      <c r="H5239" s="91">
        <v>123</v>
      </c>
      <c r="I5239" s="92"/>
      <c r="J5239" s="93"/>
      <c r="K5239" s="91">
        <v>2</v>
      </c>
      <c r="L5239" s="93"/>
      <c r="M5239" s="88" t="s">
        <v>23</v>
      </c>
      <c r="N5239" s="89"/>
      <c r="O5239" s="90"/>
      <c r="P5239" s="94">
        <v>569256</v>
      </c>
      <c r="Q5239" s="96"/>
    </row>
    <row r="5240" spans="1:17" ht="15" customHeight="1" x14ac:dyDescent="0.2">
      <c r="A5240" s="5" t="s">
        <v>1713</v>
      </c>
      <c r="B5240" s="88" t="s">
        <v>6576</v>
      </c>
      <c r="C5240" s="90"/>
      <c r="D5240" s="88" t="s">
        <v>6578</v>
      </c>
      <c r="E5240" s="89"/>
      <c r="F5240" s="90"/>
      <c r="G5240" s="5" t="s">
        <v>6544</v>
      </c>
      <c r="H5240" s="91">
        <v>123</v>
      </c>
      <c r="I5240" s="92"/>
      <c r="J5240" s="93"/>
      <c r="K5240" s="91">
        <v>2</v>
      </c>
      <c r="L5240" s="93"/>
      <c r="M5240" s="88" t="s">
        <v>23</v>
      </c>
      <c r="N5240" s="89"/>
      <c r="O5240" s="90"/>
      <c r="P5240" s="94">
        <v>583487</v>
      </c>
      <c r="Q5240" s="96"/>
    </row>
    <row r="5241" spans="1:17" ht="15" customHeight="1" x14ac:dyDescent="0.2">
      <c r="A5241" s="5" t="s">
        <v>1713</v>
      </c>
      <c r="B5241" s="88" t="s">
        <v>6579</v>
      </c>
      <c r="C5241" s="90"/>
      <c r="D5241" s="88" t="s">
        <v>6580</v>
      </c>
      <c r="E5241" s="89"/>
      <c r="F5241" s="90"/>
      <c r="G5241" s="5" t="s">
        <v>770</v>
      </c>
      <c r="H5241" s="91">
        <v>108</v>
      </c>
      <c r="I5241" s="92"/>
      <c r="J5241" s="93"/>
      <c r="K5241" s="91">
        <v>2</v>
      </c>
      <c r="L5241" s="93"/>
      <c r="M5241" s="88" t="s">
        <v>23</v>
      </c>
      <c r="N5241" s="89"/>
      <c r="O5241" s="90"/>
      <c r="P5241" s="94">
        <v>276865</v>
      </c>
      <c r="Q5241" s="96"/>
    </row>
    <row r="5242" spans="1:17" ht="15" customHeight="1" x14ac:dyDescent="0.2">
      <c r="A5242" s="5" t="s">
        <v>1713</v>
      </c>
      <c r="B5242" s="88" t="s">
        <v>6579</v>
      </c>
      <c r="C5242" s="90"/>
      <c r="D5242" s="88" t="s">
        <v>6581</v>
      </c>
      <c r="E5242" s="89"/>
      <c r="F5242" s="90"/>
      <c r="G5242" s="5" t="s">
        <v>770</v>
      </c>
      <c r="H5242" s="91">
        <v>109</v>
      </c>
      <c r="I5242" s="92"/>
      <c r="J5242" s="93"/>
      <c r="K5242" s="91">
        <v>2</v>
      </c>
      <c r="L5242" s="93"/>
      <c r="M5242" s="88" t="s">
        <v>23</v>
      </c>
      <c r="N5242" s="89"/>
      <c r="O5242" s="90"/>
      <c r="P5242" s="94">
        <v>327322</v>
      </c>
      <c r="Q5242" s="96"/>
    </row>
    <row r="5243" spans="1:17" ht="15" customHeight="1" x14ac:dyDescent="0.2">
      <c r="A5243" s="5" t="s">
        <v>1713</v>
      </c>
      <c r="B5243" s="88" t="s">
        <v>6579</v>
      </c>
      <c r="C5243" s="90"/>
      <c r="D5243" s="88" t="s">
        <v>6582</v>
      </c>
      <c r="E5243" s="89"/>
      <c r="F5243" s="90"/>
      <c r="G5243" s="5" t="s">
        <v>770</v>
      </c>
      <c r="H5243" s="91">
        <v>109</v>
      </c>
      <c r="I5243" s="92"/>
      <c r="J5243" s="93"/>
      <c r="K5243" s="91">
        <v>2</v>
      </c>
      <c r="L5243" s="93"/>
      <c r="M5243" s="88" t="s">
        <v>23</v>
      </c>
      <c r="N5243" s="89"/>
      <c r="O5243" s="90"/>
      <c r="P5243" s="94">
        <v>317360</v>
      </c>
      <c r="Q5243" s="96"/>
    </row>
    <row r="5244" spans="1:17" ht="15" customHeight="1" x14ac:dyDescent="0.2">
      <c r="A5244" s="5" t="s">
        <v>1713</v>
      </c>
      <c r="B5244" s="88" t="s">
        <v>6583</v>
      </c>
      <c r="C5244" s="90"/>
      <c r="D5244" s="88" t="s">
        <v>6584</v>
      </c>
      <c r="E5244" s="89"/>
      <c r="F5244" s="90"/>
      <c r="G5244" s="5" t="s">
        <v>770</v>
      </c>
      <c r="H5244" s="91">
        <v>49</v>
      </c>
      <c r="I5244" s="92"/>
      <c r="J5244" s="93"/>
      <c r="K5244" s="91">
        <v>1</v>
      </c>
      <c r="L5244" s="93"/>
      <c r="M5244" s="88" t="s">
        <v>23</v>
      </c>
      <c r="N5244" s="89"/>
      <c r="O5244" s="90"/>
      <c r="P5244" s="94">
        <v>257459</v>
      </c>
      <c r="Q5244" s="96"/>
    </row>
    <row r="5245" spans="1:17" ht="15" customHeight="1" x14ac:dyDescent="0.2">
      <c r="A5245" s="5" t="s">
        <v>1713</v>
      </c>
      <c r="B5245" s="88" t="s">
        <v>6585</v>
      </c>
      <c r="C5245" s="90"/>
      <c r="D5245" s="88" t="s">
        <v>6586</v>
      </c>
      <c r="E5245" s="89"/>
      <c r="F5245" s="90"/>
      <c r="G5245" s="6"/>
      <c r="H5245" s="106"/>
      <c r="I5245" s="107"/>
      <c r="J5245" s="108"/>
      <c r="K5245" s="91">
        <v>1</v>
      </c>
      <c r="L5245" s="93"/>
      <c r="M5245" s="88" t="s">
        <v>17</v>
      </c>
      <c r="N5245" s="89"/>
      <c r="O5245" s="90"/>
      <c r="P5245" s="94">
        <v>387094</v>
      </c>
      <c r="Q5245" s="96"/>
    </row>
    <row r="5246" spans="1:17" ht="15" customHeight="1" x14ac:dyDescent="0.2">
      <c r="A5246" s="5" t="s">
        <v>1713</v>
      </c>
      <c r="B5246" s="88" t="s">
        <v>6587</v>
      </c>
      <c r="C5246" s="90"/>
      <c r="D5246" s="88" t="s">
        <v>6588</v>
      </c>
      <c r="E5246" s="89"/>
      <c r="F5246" s="90"/>
      <c r="G5246" s="5" t="s">
        <v>770</v>
      </c>
      <c r="H5246" s="91">
        <v>248</v>
      </c>
      <c r="I5246" s="92"/>
      <c r="J5246" s="93"/>
      <c r="K5246" s="91">
        <v>2</v>
      </c>
      <c r="L5246" s="93"/>
      <c r="M5246" s="88" t="s">
        <v>23</v>
      </c>
      <c r="N5246" s="89"/>
      <c r="O5246" s="90"/>
      <c r="P5246" s="94">
        <v>774964</v>
      </c>
      <c r="Q5246" s="96"/>
    </row>
    <row r="5247" spans="1:17" ht="15" customHeight="1" x14ac:dyDescent="0.2">
      <c r="A5247" s="5" t="s">
        <v>1713</v>
      </c>
      <c r="B5247" s="88" t="s">
        <v>6587</v>
      </c>
      <c r="C5247" s="90"/>
      <c r="D5247" s="88" t="s">
        <v>6589</v>
      </c>
      <c r="E5247" s="89"/>
      <c r="F5247" s="90"/>
      <c r="G5247" s="5" t="s">
        <v>1718</v>
      </c>
      <c r="H5247" s="91">
        <v>249</v>
      </c>
      <c r="I5247" s="92"/>
      <c r="J5247" s="93"/>
      <c r="K5247" s="91">
        <v>2</v>
      </c>
      <c r="L5247" s="93"/>
      <c r="M5247" s="88" t="s">
        <v>23</v>
      </c>
      <c r="N5247" s="89"/>
      <c r="O5247" s="90"/>
      <c r="P5247" s="94">
        <v>895154</v>
      </c>
      <c r="Q5247" s="96"/>
    </row>
    <row r="5248" spans="1:17" ht="15" customHeight="1" x14ac:dyDescent="0.2">
      <c r="A5248" s="5" t="s">
        <v>1713</v>
      </c>
      <c r="B5248" s="88" t="s">
        <v>6587</v>
      </c>
      <c r="C5248" s="90"/>
      <c r="D5248" s="88" t="s">
        <v>6590</v>
      </c>
      <c r="E5248" s="89"/>
      <c r="F5248" s="90"/>
      <c r="G5248" s="5" t="s">
        <v>770</v>
      </c>
      <c r="H5248" s="91">
        <v>249</v>
      </c>
      <c r="I5248" s="92"/>
      <c r="J5248" s="93"/>
      <c r="K5248" s="91">
        <v>2</v>
      </c>
      <c r="L5248" s="93"/>
      <c r="M5248" s="88" t="s">
        <v>23</v>
      </c>
      <c r="N5248" s="89"/>
      <c r="O5248" s="90"/>
      <c r="P5248" s="94">
        <v>852460</v>
      </c>
      <c r="Q5248" s="96"/>
    </row>
    <row r="5249" spans="1:17" ht="15" customHeight="1" x14ac:dyDescent="0.2">
      <c r="A5249" s="5" t="s">
        <v>1713</v>
      </c>
      <c r="B5249" s="88" t="s">
        <v>6591</v>
      </c>
      <c r="C5249" s="90"/>
      <c r="D5249" s="88" t="s">
        <v>6592</v>
      </c>
      <c r="E5249" s="89"/>
      <c r="F5249" s="90"/>
      <c r="G5249" s="5" t="s">
        <v>963</v>
      </c>
      <c r="H5249" s="91">
        <v>348</v>
      </c>
      <c r="I5249" s="92"/>
      <c r="J5249" s="93"/>
      <c r="K5249" s="91">
        <v>2</v>
      </c>
      <c r="L5249" s="93"/>
      <c r="M5249" s="88" t="s">
        <v>23</v>
      </c>
      <c r="N5249" s="89"/>
      <c r="O5249" s="90"/>
      <c r="P5249" s="94">
        <v>725801</v>
      </c>
      <c r="Q5249" s="96"/>
    </row>
    <row r="5250" spans="1:17" ht="15" customHeight="1" x14ac:dyDescent="0.2">
      <c r="A5250" s="5" t="s">
        <v>1713</v>
      </c>
      <c r="B5250" s="88" t="s">
        <v>6591</v>
      </c>
      <c r="C5250" s="90"/>
      <c r="D5250" s="88" t="s">
        <v>6593</v>
      </c>
      <c r="E5250" s="89"/>
      <c r="F5250" s="90"/>
      <c r="G5250" s="5" t="s">
        <v>963</v>
      </c>
      <c r="H5250" s="91">
        <v>348</v>
      </c>
      <c r="I5250" s="92"/>
      <c r="J5250" s="93"/>
      <c r="K5250" s="91">
        <v>2</v>
      </c>
      <c r="L5250" s="93"/>
      <c r="M5250" s="88" t="s">
        <v>23</v>
      </c>
      <c r="N5250" s="89"/>
      <c r="O5250" s="90"/>
      <c r="P5250" s="94">
        <v>711569</v>
      </c>
      <c r="Q5250" s="96"/>
    </row>
    <row r="5251" spans="1:17" ht="15" customHeight="1" x14ac:dyDescent="0.2">
      <c r="A5251" s="5" t="s">
        <v>1713</v>
      </c>
      <c r="B5251" s="88" t="s">
        <v>6594</v>
      </c>
      <c r="C5251" s="90"/>
      <c r="D5251" s="88" t="s">
        <v>6593</v>
      </c>
      <c r="E5251" s="89"/>
      <c r="F5251" s="90"/>
      <c r="G5251" s="5" t="s">
        <v>963</v>
      </c>
      <c r="H5251" s="91">
        <v>348</v>
      </c>
      <c r="I5251" s="92"/>
      <c r="J5251" s="93"/>
      <c r="K5251" s="91">
        <v>2</v>
      </c>
      <c r="L5251" s="93"/>
      <c r="M5251" s="88" t="s">
        <v>23</v>
      </c>
      <c r="N5251" s="89"/>
      <c r="O5251" s="90"/>
      <c r="P5251" s="94">
        <v>768495</v>
      </c>
      <c r="Q5251" s="96"/>
    </row>
    <row r="5252" spans="1:17" ht="15" customHeight="1" x14ac:dyDescent="0.2">
      <c r="A5252" s="5" t="s">
        <v>1713</v>
      </c>
      <c r="B5252" s="88" t="s">
        <v>6595</v>
      </c>
      <c r="C5252" s="90"/>
      <c r="D5252" s="88" t="s">
        <v>6596</v>
      </c>
      <c r="E5252" s="89"/>
      <c r="F5252" s="90"/>
      <c r="G5252" s="5" t="s">
        <v>770</v>
      </c>
      <c r="H5252" s="91">
        <v>49</v>
      </c>
      <c r="I5252" s="92"/>
      <c r="J5252" s="93"/>
      <c r="K5252" s="91">
        <v>1</v>
      </c>
      <c r="L5252" s="93"/>
      <c r="M5252" s="88" t="s">
        <v>23</v>
      </c>
      <c r="N5252" s="89"/>
      <c r="O5252" s="90"/>
      <c r="P5252" s="94">
        <v>232877</v>
      </c>
      <c r="Q5252" s="96"/>
    </row>
    <row r="5253" spans="1:17" ht="15" customHeight="1" x14ac:dyDescent="0.2">
      <c r="A5253" s="5" t="s">
        <v>1713</v>
      </c>
      <c r="B5253" s="88" t="s">
        <v>6597</v>
      </c>
      <c r="C5253" s="90"/>
      <c r="D5253" s="88" t="s">
        <v>6598</v>
      </c>
      <c r="E5253" s="89"/>
      <c r="F5253" s="90"/>
      <c r="G5253" s="5" t="s">
        <v>1718</v>
      </c>
      <c r="H5253" s="91">
        <v>1833</v>
      </c>
      <c r="I5253" s="92"/>
      <c r="J5253" s="93"/>
      <c r="K5253" s="91">
        <v>2</v>
      </c>
      <c r="L5253" s="93"/>
      <c r="M5253" s="88" t="s">
        <v>23</v>
      </c>
      <c r="N5253" s="89"/>
      <c r="O5253" s="90"/>
      <c r="P5253" s="94">
        <v>3278394</v>
      </c>
      <c r="Q5253" s="96"/>
    </row>
    <row r="5254" spans="1:17" ht="15" customHeight="1" x14ac:dyDescent="0.2">
      <c r="A5254" s="5" t="s">
        <v>1713</v>
      </c>
      <c r="B5254" s="88" t="s">
        <v>6599</v>
      </c>
      <c r="C5254" s="90"/>
      <c r="D5254" s="88" t="s">
        <v>6598</v>
      </c>
      <c r="E5254" s="89"/>
      <c r="F5254" s="90"/>
      <c r="G5254" s="5" t="s">
        <v>6534</v>
      </c>
      <c r="H5254" s="91">
        <v>1833</v>
      </c>
      <c r="I5254" s="92"/>
      <c r="J5254" s="93"/>
      <c r="K5254" s="91">
        <v>2</v>
      </c>
      <c r="L5254" s="93"/>
      <c r="M5254" s="88" t="s">
        <v>23</v>
      </c>
      <c r="N5254" s="89"/>
      <c r="O5254" s="90"/>
      <c r="P5254" s="94">
        <v>3971851</v>
      </c>
      <c r="Q5254" s="96"/>
    </row>
    <row r="5255" spans="1:17" ht="15" customHeight="1" x14ac:dyDescent="0.2">
      <c r="A5255" s="5" t="s">
        <v>1713</v>
      </c>
      <c r="B5255" s="88" t="s">
        <v>6599</v>
      </c>
      <c r="C5255" s="90"/>
      <c r="D5255" s="88" t="s">
        <v>6600</v>
      </c>
      <c r="E5255" s="89"/>
      <c r="F5255" s="90"/>
      <c r="G5255" s="5" t="s">
        <v>6534</v>
      </c>
      <c r="H5255" s="91">
        <v>1833</v>
      </c>
      <c r="I5255" s="92"/>
      <c r="J5255" s="93"/>
      <c r="K5255" s="91">
        <v>2</v>
      </c>
      <c r="L5255" s="93"/>
      <c r="M5255" s="88" t="s">
        <v>23</v>
      </c>
      <c r="N5255" s="89"/>
      <c r="O5255" s="90"/>
      <c r="P5255" s="94">
        <v>4482887</v>
      </c>
      <c r="Q5255" s="96"/>
    </row>
    <row r="5256" spans="1:17" ht="15" customHeight="1" x14ac:dyDescent="0.2">
      <c r="A5256" s="5" t="s">
        <v>1713</v>
      </c>
      <c r="B5256" s="88" t="s">
        <v>6601</v>
      </c>
      <c r="C5256" s="90"/>
      <c r="D5256" s="88" t="s">
        <v>6598</v>
      </c>
      <c r="E5256" s="89"/>
      <c r="F5256" s="90"/>
      <c r="G5256" s="5" t="s">
        <v>6534</v>
      </c>
      <c r="H5256" s="91">
        <v>1833</v>
      </c>
      <c r="I5256" s="92"/>
      <c r="J5256" s="93"/>
      <c r="K5256" s="91">
        <v>2</v>
      </c>
      <c r="L5256" s="93"/>
      <c r="M5256" s="88" t="s">
        <v>23</v>
      </c>
      <c r="N5256" s="89"/>
      <c r="O5256" s="90"/>
      <c r="P5256" s="94">
        <v>3977026</v>
      </c>
      <c r="Q5256" s="96"/>
    </row>
    <row r="5257" spans="1:17" ht="15" customHeight="1" x14ac:dyDescent="0.2">
      <c r="A5257" s="5" t="s">
        <v>1713</v>
      </c>
      <c r="B5257" s="88" t="s">
        <v>6602</v>
      </c>
      <c r="C5257" s="90"/>
      <c r="D5257" s="88" t="s">
        <v>6603</v>
      </c>
      <c r="E5257" s="89"/>
      <c r="F5257" s="90"/>
      <c r="G5257" s="5" t="s">
        <v>6544</v>
      </c>
      <c r="H5257" s="91">
        <v>124</v>
      </c>
      <c r="I5257" s="92"/>
      <c r="J5257" s="93"/>
      <c r="K5257" s="91">
        <v>2</v>
      </c>
      <c r="L5257" s="93"/>
      <c r="M5257" s="88" t="s">
        <v>23</v>
      </c>
      <c r="N5257" s="89"/>
      <c r="O5257" s="90"/>
      <c r="P5257" s="94">
        <v>420473</v>
      </c>
      <c r="Q5257" s="96"/>
    </row>
    <row r="5258" spans="1:17" ht="15" customHeight="1" x14ac:dyDescent="0.2">
      <c r="A5258" s="5" t="s">
        <v>1713</v>
      </c>
      <c r="B5258" s="88" t="s">
        <v>6602</v>
      </c>
      <c r="C5258" s="90"/>
      <c r="D5258" s="88" t="s">
        <v>6604</v>
      </c>
      <c r="E5258" s="89"/>
      <c r="F5258" s="90"/>
      <c r="G5258" s="5" t="s">
        <v>963</v>
      </c>
      <c r="H5258" s="91">
        <v>123</v>
      </c>
      <c r="I5258" s="92"/>
      <c r="J5258" s="93"/>
      <c r="K5258" s="91">
        <v>2</v>
      </c>
      <c r="L5258" s="93"/>
      <c r="M5258" s="88" t="s">
        <v>23</v>
      </c>
      <c r="N5258" s="89"/>
      <c r="O5258" s="90"/>
      <c r="P5258" s="94">
        <v>505214</v>
      </c>
      <c r="Q5258" s="96"/>
    </row>
    <row r="5259" spans="1:17" ht="15" customHeight="1" x14ac:dyDescent="0.2">
      <c r="A5259" s="5" t="s">
        <v>1713</v>
      </c>
      <c r="B5259" s="88" t="s">
        <v>6605</v>
      </c>
      <c r="C5259" s="90"/>
      <c r="D5259" s="88" t="s">
        <v>6606</v>
      </c>
      <c r="E5259" s="89"/>
      <c r="F5259" s="90"/>
      <c r="G5259" s="5" t="s">
        <v>770</v>
      </c>
      <c r="H5259" s="91">
        <v>49</v>
      </c>
      <c r="I5259" s="92"/>
      <c r="J5259" s="93"/>
      <c r="K5259" s="91">
        <v>1</v>
      </c>
      <c r="L5259" s="93"/>
      <c r="M5259" s="88" t="s">
        <v>23</v>
      </c>
      <c r="N5259" s="89"/>
      <c r="O5259" s="90"/>
      <c r="P5259" s="94">
        <v>671463</v>
      </c>
      <c r="Q5259" s="96"/>
    </row>
    <row r="5260" spans="1:17" ht="15" customHeight="1" x14ac:dyDescent="0.2">
      <c r="A5260" s="5" t="s">
        <v>1713</v>
      </c>
      <c r="B5260" s="88" t="s">
        <v>6607</v>
      </c>
      <c r="C5260" s="90"/>
      <c r="D5260" s="88" t="s">
        <v>6608</v>
      </c>
      <c r="E5260" s="89"/>
      <c r="F5260" s="90"/>
      <c r="G5260" s="6"/>
      <c r="H5260" s="106"/>
      <c r="I5260" s="107"/>
      <c r="J5260" s="108"/>
      <c r="K5260" s="91">
        <v>1</v>
      </c>
      <c r="L5260" s="93"/>
      <c r="M5260" s="88" t="s">
        <v>17</v>
      </c>
      <c r="N5260" s="89"/>
      <c r="O5260" s="90"/>
      <c r="P5260" s="94">
        <v>1295056</v>
      </c>
      <c r="Q5260" s="96"/>
    </row>
    <row r="5261" spans="1:17" ht="15" customHeight="1" x14ac:dyDescent="0.2">
      <c r="A5261" s="5" t="s">
        <v>1713</v>
      </c>
      <c r="B5261" s="88" t="s">
        <v>6609</v>
      </c>
      <c r="C5261" s="90"/>
      <c r="D5261" s="88" t="s">
        <v>6610</v>
      </c>
      <c r="E5261" s="89"/>
      <c r="F5261" s="90"/>
      <c r="G5261" s="6"/>
      <c r="H5261" s="91">
        <v>0</v>
      </c>
      <c r="I5261" s="92"/>
      <c r="J5261" s="93"/>
      <c r="K5261" s="91">
        <v>1</v>
      </c>
      <c r="L5261" s="93"/>
      <c r="M5261" s="88" t="s">
        <v>17</v>
      </c>
      <c r="N5261" s="89"/>
      <c r="O5261" s="90"/>
      <c r="P5261" s="94">
        <v>711569</v>
      </c>
      <c r="Q5261" s="96"/>
    </row>
    <row r="5262" spans="1:17" ht="15" customHeight="1" x14ac:dyDescent="0.2">
      <c r="A5262" s="5" t="s">
        <v>1713</v>
      </c>
      <c r="B5262" s="88" t="s">
        <v>6611</v>
      </c>
      <c r="C5262" s="90"/>
      <c r="D5262" s="88" t="s">
        <v>6612</v>
      </c>
      <c r="E5262" s="89"/>
      <c r="F5262" s="90"/>
      <c r="G5262" s="5" t="s">
        <v>770</v>
      </c>
      <c r="H5262" s="91">
        <v>49</v>
      </c>
      <c r="I5262" s="92"/>
      <c r="J5262" s="93"/>
      <c r="K5262" s="91">
        <v>1</v>
      </c>
      <c r="L5262" s="93"/>
      <c r="M5262" s="88" t="s">
        <v>23</v>
      </c>
      <c r="N5262" s="89"/>
      <c r="O5262" s="90"/>
      <c r="P5262" s="94">
        <v>501980</v>
      </c>
      <c r="Q5262" s="96"/>
    </row>
    <row r="5263" spans="1:17" ht="15" customHeight="1" x14ac:dyDescent="0.2">
      <c r="A5263" s="5" t="s">
        <v>1713</v>
      </c>
      <c r="B5263" s="88" t="s">
        <v>6613</v>
      </c>
      <c r="C5263" s="90"/>
      <c r="D5263" s="88" t="s">
        <v>6614</v>
      </c>
      <c r="E5263" s="89"/>
      <c r="F5263" s="90"/>
      <c r="G5263" s="5" t="s">
        <v>1718</v>
      </c>
      <c r="H5263" s="91">
        <v>1082</v>
      </c>
      <c r="I5263" s="92"/>
      <c r="J5263" s="93"/>
      <c r="K5263" s="91">
        <v>2</v>
      </c>
      <c r="L5263" s="93"/>
      <c r="M5263" s="88" t="s">
        <v>23</v>
      </c>
      <c r="N5263" s="89"/>
      <c r="O5263" s="90"/>
      <c r="P5263" s="94">
        <v>1807386</v>
      </c>
      <c r="Q5263" s="96"/>
    </row>
    <row r="5264" spans="1:17" ht="15" customHeight="1" x14ac:dyDescent="0.2">
      <c r="A5264" s="5" t="s">
        <v>1713</v>
      </c>
      <c r="B5264" s="88" t="s">
        <v>6615</v>
      </c>
      <c r="C5264" s="90"/>
      <c r="D5264" s="88" t="s">
        <v>6614</v>
      </c>
      <c r="E5264" s="89"/>
      <c r="F5264" s="90"/>
      <c r="G5264" s="5" t="s">
        <v>1718</v>
      </c>
      <c r="H5264" s="91">
        <v>1082</v>
      </c>
      <c r="I5264" s="92"/>
      <c r="J5264" s="93"/>
      <c r="K5264" s="91">
        <v>2</v>
      </c>
      <c r="L5264" s="93"/>
      <c r="M5264" s="88" t="s">
        <v>23</v>
      </c>
      <c r="N5264" s="89"/>
      <c r="O5264" s="90"/>
      <c r="P5264" s="94">
        <v>1807386</v>
      </c>
      <c r="Q5264" s="96"/>
    </row>
    <row r="5265" spans="1:17" ht="15" customHeight="1" x14ac:dyDescent="0.2">
      <c r="A5265" s="5" t="s">
        <v>1713</v>
      </c>
      <c r="B5265" s="88" t="s">
        <v>6616</v>
      </c>
      <c r="C5265" s="90"/>
      <c r="D5265" s="88" t="s">
        <v>6596</v>
      </c>
      <c r="E5265" s="89"/>
      <c r="F5265" s="90"/>
      <c r="G5265" s="5" t="s">
        <v>770</v>
      </c>
      <c r="H5265" s="91">
        <v>49</v>
      </c>
      <c r="I5265" s="92"/>
      <c r="J5265" s="93"/>
      <c r="K5265" s="91">
        <v>1</v>
      </c>
      <c r="L5265" s="93"/>
      <c r="M5265" s="88" t="s">
        <v>23</v>
      </c>
      <c r="N5265" s="89"/>
      <c r="O5265" s="90"/>
      <c r="P5265" s="94">
        <v>270396</v>
      </c>
      <c r="Q5265" s="96"/>
    </row>
    <row r="5266" spans="1:17" ht="15" customHeight="1" x14ac:dyDescent="0.2">
      <c r="A5266" s="5" t="s">
        <v>1713</v>
      </c>
      <c r="B5266" s="88" t="s">
        <v>6617</v>
      </c>
      <c r="C5266" s="90"/>
      <c r="D5266" s="88" t="s">
        <v>6618</v>
      </c>
      <c r="E5266" s="89"/>
      <c r="F5266" s="90"/>
      <c r="G5266" s="5" t="s">
        <v>770</v>
      </c>
      <c r="H5266" s="91">
        <v>124</v>
      </c>
      <c r="I5266" s="92"/>
      <c r="J5266" s="93"/>
      <c r="K5266" s="91">
        <v>2</v>
      </c>
      <c r="L5266" s="93"/>
      <c r="M5266" s="88" t="s">
        <v>23</v>
      </c>
      <c r="N5266" s="89"/>
      <c r="O5266" s="90"/>
      <c r="P5266" s="94">
        <v>371310</v>
      </c>
      <c r="Q5266" s="96"/>
    </row>
    <row r="5267" spans="1:17" ht="15" customHeight="1" x14ac:dyDescent="0.2">
      <c r="A5267" s="5" t="s">
        <v>1713</v>
      </c>
      <c r="B5267" s="88" t="s">
        <v>6617</v>
      </c>
      <c r="C5267" s="90"/>
      <c r="D5267" s="88" t="s">
        <v>6619</v>
      </c>
      <c r="E5267" s="89"/>
      <c r="F5267" s="90"/>
      <c r="G5267" s="5" t="s">
        <v>770</v>
      </c>
      <c r="H5267" s="91">
        <v>124</v>
      </c>
      <c r="I5267" s="92"/>
      <c r="J5267" s="93"/>
      <c r="K5267" s="91">
        <v>2</v>
      </c>
      <c r="L5267" s="93"/>
      <c r="M5267" s="88" t="s">
        <v>23</v>
      </c>
      <c r="N5267" s="89"/>
      <c r="O5267" s="90"/>
      <c r="P5267" s="94">
        <v>426942</v>
      </c>
      <c r="Q5267" s="96"/>
    </row>
    <row r="5268" spans="1:17" ht="15" customHeight="1" x14ac:dyDescent="0.2">
      <c r="A5268" s="5" t="s">
        <v>1713</v>
      </c>
      <c r="B5268" s="88" t="s">
        <v>6620</v>
      </c>
      <c r="C5268" s="90"/>
      <c r="D5268" s="88" t="s">
        <v>6619</v>
      </c>
      <c r="E5268" s="89"/>
      <c r="F5268" s="90"/>
      <c r="G5268" s="5" t="s">
        <v>770</v>
      </c>
      <c r="H5268" s="91">
        <v>124</v>
      </c>
      <c r="I5268" s="92"/>
      <c r="J5268" s="93"/>
      <c r="K5268" s="91">
        <v>2</v>
      </c>
      <c r="L5268" s="93"/>
      <c r="M5268" s="88" t="s">
        <v>23</v>
      </c>
      <c r="N5268" s="89"/>
      <c r="O5268" s="90"/>
      <c r="P5268" s="94">
        <v>426942</v>
      </c>
      <c r="Q5268" s="96"/>
    </row>
    <row r="5269" spans="1:17" ht="15" customHeight="1" x14ac:dyDescent="0.2">
      <c r="A5269" s="5" t="s">
        <v>1713</v>
      </c>
      <c r="B5269" s="88" t="s">
        <v>6621</v>
      </c>
      <c r="C5269" s="90"/>
      <c r="D5269" s="88" t="s">
        <v>6622</v>
      </c>
      <c r="E5269" s="89"/>
      <c r="F5269" s="90"/>
      <c r="G5269" s="5" t="s">
        <v>6534</v>
      </c>
      <c r="H5269" s="91">
        <v>745</v>
      </c>
      <c r="I5269" s="92"/>
      <c r="J5269" s="93"/>
      <c r="K5269" s="91">
        <v>2</v>
      </c>
      <c r="L5269" s="93"/>
      <c r="M5269" s="88" t="s">
        <v>23</v>
      </c>
      <c r="N5269" s="89"/>
      <c r="O5269" s="90"/>
      <c r="P5269" s="94">
        <v>1416670</v>
      </c>
      <c r="Q5269" s="96"/>
    </row>
    <row r="5270" spans="1:17" ht="15" customHeight="1" x14ac:dyDescent="0.2">
      <c r="A5270" s="5" t="s">
        <v>1713</v>
      </c>
      <c r="B5270" s="88" t="s">
        <v>6623</v>
      </c>
      <c r="C5270" s="90"/>
      <c r="D5270" s="88" t="s">
        <v>6624</v>
      </c>
      <c r="E5270" s="89"/>
      <c r="F5270" s="90"/>
      <c r="G5270" s="5" t="s">
        <v>6544</v>
      </c>
      <c r="H5270" s="91">
        <v>124</v>
      </c>
      <c r="I5270" s="92"/>
      <c r="J5270" s="93"/>
      <c r="K5270" s="91">
        <v>2</v>
      </c>
      <c r="L5270" s="93"/>
      <c r="M5270" s="88" t="s">
        <v>23</v>
      </c>
      <c r="N5270" s="89"/>
      <c r="O5270" s="90"/>
      <c r="P5270" s="94">
        <v>478692</v>
      </c>
      <c r="Q5270" s="96"/>
    </row>
    <row r="5271" spans="1:17" ht="15" customHeight="1" x14ac:dyDescent="0.2">
      <c r="A5271" s="5" t="s">
        <v>1713</v>
      </c>
      <c r="B5271" s="88" t="s">
        <v>6623</v>
      </c>
      <c r="C5271" s="90"/>
      <c r="D5271" s="88" t="s">
        <v>6625</v>
      </c>
      <c r="E5271" s="89"/>
      <c r="F5271" s="90"/>
      <c r="G5271" s="5" t="s">
        <v>963</v>
      </c>
      <c r="H5271" s="91">
        <v>123</v>
      </c>
      <c r="I5271" s="92"/>
      <c r="J5271" s="93"/>
      <c r="K5271" s="91">
        <v>2</v>
      </c>
      <c r="L5271" s="93"/>
      <c r="M5271" s="88" t="s">
        <v>23</v>
      </c>
      <c r="N5271" s="89"/>
      <c r="O5271" s="90"/>
      <c r="P5271" s="94">
        <v>569256</v>
      </c>
      <c r="Q5271" s="96"/>
    </row>
    <row r="5272" spans="1:17" ht="15" customHeight="1" x14ac:dyDescent="0.2">
      <c r="A5272" s="5" t="s">
        <v>1713</v>
      </c>
      <c r="B5272" s="88" t="s">
        <v>6623</v>
      </c>
      <c r="C5272" s="90"/>
      <c r="D5272" s="88" t="s">
        <v>6626</v>
      </c>
      <c r="E5272" s="89"/>
      <c r="F5272" s="90"/>
      <c r="G5272" s="5" t="s">
        <v>963</v>
      </c>
      <c r="H5272" s="91">
        <v>123</v>
      </c>
      <c r="I5272" s="92"/>
      <c r="J5272" s="93"/>
      <c r="K5272" s="91">
        <v>1</v>
      </c>
      <c r="L5272" s="93"/>
      <c r="M5272" s="88" t="s">
        <v>23</v>
      </c>
      <c r="N5272" s="89"/>
      <c r="O5272" s="90"/>
      <c r="P5272" s="94">
        <v>583487</v>
      </c>
      <c r="Q5272" s="96"/>
    </row>
    <row r="5273" spans="1:17" ht="15" customHeight="1" x14ac:dyDescent="0.2">
      <c r="A5273" s="5" t="s">
        <v>1713</v>
      </c>
      <c r="B5273" s="88" t="s">
        <v>6627</v>
      </c>
      <c r="C5273" s="90"/>
      <c r="D5273" s="88" t="s">
        <v>6628</v>
      </c>
      <c r="E5273" s="89"/>
      <c r="F5273" s="90"/>
      <c r="G5273" s="5" t="s">
        <v>6544</v>
      </c>
      <c r="H5273" s="91">
        <v>124</v>
      </c>
      <c r="I5273" s="92"/>
      <c r="J5273" s="93"/>
      <c r="K5273" s="91">
        <v>1</v>
      </c>
      <c r="L5273" s="93"/>
      <c r="M5273" s="88" t="s">
        <v>23</v>
      </c>
      <c r="N5273" s="89"/>
      <c r="O5273" s="90"/>
      <c r="P5273" s="94">
        <v>478692</v>
      </c>
      <c r="Q5273" s="96"/>
    </row>
    <row r="5274" spans="1:17" ht="15" customHeight="1" x14ac:dyDescent="0.2">
      <c r="A5274" s="5" t="s">
        <v>1713</v>
      </c>
      <c r="B5274" s="88" t="s">
        <v>6627</v>
      </c>
      <c r="C5274" s="90"/>
      <c r="D5274" s="88" t="s">
        <v>6625</v>
      </c>
      <c r="E5274" s="89"/>
      <c r="F5274" s="90"/>
      <c r="G5274" s="5" t="s">
        <v>963</v>
      </c>
      <c r="H5274" s="91">
        <v>123</v>
      </c>
      <c r="I5274" s="92"/>
      <c r="J5274" s="93"/>
      <c r="K5274" s="91">
        <v>1</v>
      </c>
      <c r="L5274" s="93"/>
      <c r="M5274" s="88" t="s">
        <v>23</v>
      </c>
      <c r="N5274" s="89"/>
      <c r="O5274" s="90"/>
      <c r="P5274" s="94">
        <v>569256</v>
      </c>
      <c r="Q5274" s="96"/>
    </row>
    <row r="5275" spans="1:17" ht="15" customHeight="1" x14ac:dyDescent="0.2">
      <c r="A5275" s="5" t="s">
        <v>1713</v>
      </c>
      <c r="B5275" s="88" t="s">
        <v>6629</v>
      </c>
      <c r="C5275" s="90"/>
      <c r="D5275" s="88" t="s">
        <v>6630</v>
      </c>
      <c r="E5275" s="89"/>
      <c r="F5275" s="90"/>
      <c r="G5275" s="5" t="s">
        <v>6534</v>
      </c>
      <c r="H5275" s="91">
        <v>745</v>
      </c>
      <c r="I5275" s="92"/>
      <c r="J5275" s="93"/>
      <c r="K5275" s="91">
        <v>2</v>
      </c>
      <c r="L5275" s="93"/>
      <c r="M5275" s="88" t="s">
        <v>23</v>
      </c>
      <c r="N5275" s="89"/>
      <c r="O5275" s="90"/>
      <c r="P5275" s="94">
        <v>985847</v>
      </c>
      <c r="Q5275" s="96"/>
    </row>
    <row r="5276" spans="1:17" ht="15" customHeight="1" x14ac:dyDescent="0.2">
      <c r="A5276" s="5" t="s">
        <v>1713</v>
      </c>
      <c r="B5276" s="88" t="s">
        <v>6631</v>
      </c>
      <c r="C5276" s="90"/>
      <c r="D5276" s="88" t="s">
        <v>6630</v>
      </c>
      <c r="E5276" s="89"/>
      <c r="F5276" s="90"/>
      <c r="G5276" s="5" t="s">
        <v>6534</v>
      </c>
      <c r="H5276" s="91">
        <v>745</v>
      </c>
      <c r="I5276" s="92"/>
      <c r="J5276" s="93"/>
      <c r="K5276" s="91">
        <v>2</v>
      </c>
      <c r="L5276" s="93"/>
      <c r="M5276" s="88" t="s">
        <v>23</v>
      </c>
      <c r="N5276" s="89"/>
      <c r="O5276" s="90"/>
      <c r="P5276" s="94">
        <v>991022</v>
      </c>
      <c r="Q5276" s="96"/>
    </row>
    <row r="5277" spans="1:17" ht="15" customHeight="1" x14ac:dyDescent="0.2">
      <c r="A5277" s="5" t="s">
        <v>1713</v>
      </c>
      <c r="B5277" s="88" t="s">
        <v>6632</v>
      </c>
      <c r="C5277" s="90"/>
      <c r="D5277" s="88" t="s">
        <v>6633</v>
      </c>
      <c r="E5277" s="89"/>
      <c r="F5277" s="90"/>
      <c r="G5277" s="5" t="s">
        <v>1718</v>
      </c>
      <c r="H5277" s="91">
        <v>745</v>
      </c>
      <c r="I5277" s="92"/>
      <c r="J5277" s="93"/>
      <c r="K5277" s="91">
        <v>2</v>
      </c>
      <c r="L5277" s="93"/>
      <c r="M5277" s="88" t="s">
        <v>23</v>
      </c>
      <c r="N5277" s="89"/>
      <c r="O5277" s="90"/>
      <c r="P5277" s="94">
        <v>1059591</v>
      </c>
      <c r="Q5277" s="96"/>
    </row>
    <row r="5278" spans="1:17" ht="15" customHeight="1" x14ac:dyDescent="0.2">
      <c r="A5278" s="5" t="s">
        <v>1713</v>
      </c>
      <c r="B5278" s="88" t="s">
        <v>6632</v>
      </c>
      <c r="C5278" s="90"/>
      <c r="D5278" s="88" t="s">
        <v>6634</v>
      </c>
      <c r="E5278" s="89"/>
      <c r="F5278" s="90"/>
      <c r="G5278" s="5" t="s">
        <v>1718</v>
      </c>
      <c r="H5278" s="91">
        <v>745</v>
      </c>
      <c r="I5278" s="92"/>
      <c r="J5278" s="93"/>
      <c r="K5278" s="91">
        <v>2</v>
      </c>
      <c r="L5278" s="93"/>
      <c r="M5278" s="88" t="s">
        <v>23</v>
      </c>
      <c r="N5278" s="89"/>
      <c r="O5278" s="90"/>
      <c r="P5278" s="94">
        <v>1195437</v>
      </c>
      <c r="Q5278" s="96"/>
    </row>
    <row r="5279" spans="1:17" ht="15" customHeight="1" x14ac:dyDescent="0.2">
      <c r="A5279" s="5" t="s">
        <v>1713</v>
      </c>
      <c r="B5279" s="88" t="s">
        <v>6632</v>
      </c>
      <c r="C5279" s="90"/>
      <c r="D5279" s="88" t="s">
        <v>6635</v>
      </c>
      <c r="E5279" s="89"/>
      <c r="F5279" s="90"/>
      <c r="G5279" s="5" t="s">
        <v>1718</v>
      </c>
      <c r="H5279" s="91">
        <v>745</v>
      </c>
      <c r="I5279" s="92"/>
      <c r="J5279" s="93"/>
      <c r="K5279" s="91">
        <v>2</v>
      </c>
      <c r="L5279" s="93"/>
      <c r="M5279" s="88" t="s">
        <v>23</v>
      </c>
      <c r="N5279" s="89"/>
      <c r="O5279" s="90"/>
      <c r="P5279" s="94">
        <v>1195437</v>
      </c>
      <c r="Q5279" s="96"/>
    </row>
    <row r="5280" spans="1:17" ht="15" customHeight="1" x14ac:dyDescent="0.2">
      <c r="A5280" s="5" t="s">
        <v>1713</v>
      </c>
      <c r="B5280" s="88" t="s">
        <v>6636</v>
      </c>
      <c r="C5280" s="90"/>
      <c r="D5280" s="88" t="s">
        <v>6633</v>
      </c>
      <c r="E5280" s="89"/>
      <c r="F5280" s="90"/>
      <c r="G5280" s="5" t="s">
        <v>1718</v>
      </c>
      <c r="H5280" s="91">
        <v>745</v>
      </c>
      <c r="I5280" s="92"/>
      <c r="J5280" s="93"/>
      <c r="K5280" s="91">
        <v>2</v>
      </c>
      <c r="L5280" s="93"/>
      <c r="M5280" s="88" t="s">
        <v>23</v>
      </c>
      <c r="N5280" s="89"/>
      <c r="O5280" s="90"/>
      <c r="P5280" s="94">
        <v>1054416</v>
      </c>
      <c r="Q5280" s="96"/>
    </row>
    <row r="5281" spans="1:17" ht="15" customHeight="1" x14ac:dyDescent="0.2">
      <c r="A5281" s="5" t="s">
        <v>1713</v>
      </c>
      <c r="B5281" s="88" t="s">
        <v>6637</v>
      </c>
      <c r="C5281" s="90"/>
      <c r="D5281" s="88" t="s">
        <v>6638</v>
      </c>
      <c r="E5281" s="89"/>
      <c r="F5281" s="90"/>
      <c r="G5281" s="5" t="s">
        <v>6534</v>
      </c>
      <c r="H5281" s="91">
        <v>1082</v>
      </c>
      <c r="I5281" s="92"/>
      <c r="J5281" s="93"/>
      <c r="K5281" s="91">
        <v>2</v>
      </c>
      <c r="L5281" s="93"/>
      <c r="M5281" s="88" t="s">
        <v>23</v>
      </c>
      <c r="N5281" s="89"/>
      <c r="O5281" s="90"/>
      <c r="P5281" s="94">
        <v>2177402</v>
      </c>
      <c r="Q5281" s="96"/>
    </row>
    <row r="5282" spans="1:17" ht="15" customHeight="1" x14ac:dyDescent="0.2">
      <c r="A5282" s="5" t="s">
        <v>1713</v>
      </c>
      <c r="B5282" s="88" t="s">
        <v>6639</v>
      </c>
      <c r="C5282" s="90"/>
      <c r="D5282" s="88" t="s">
        <v>6517</v>
      </c>
      <c r="E5282" s="89"/>
      <c r="F5282" s="90"/>
      <c r="G5282" s="5" t="s">
        <v>1718</v>
      </c>
      <c r="H5282" s="91">
        <v>399</v>
      </c>
      <c r="I5282" s="92"/>
      <c r="J5282" s="93"/>
      <c r="K5282" s="91">
        <v>2</v>
      </c>
      <c r="L5282" s="93"/>
      <c r="M5282" s="88" t="s">
        <v>23</v>
      </c>
      <c r="N5282" s="89"/>
      <c r="O5282" s="90"/>
      <c r="P5282" s="94">
        <v>1152742</v>
      </c>
      <c r="Q5282" s="96"/>
    </row>
    <row r="5283" spans="1:17" ht="15" customHeight="1" x14ac:dyDescent="0.2">
      <c r="A5283" s="5" t="s">
        <v>1713</v>
      </c>
      <c r="B5283" s="88" t="s">
        <v>6640</v>
      </c>
      <c r="C5283" s="90"/>
      <c r="D5283" s="88" t="s">
        <v>6641</v>
      </c>
      <c r="E5283" s="89"/>
      <c r="F5283" s="90"/>
      <c r="G5283" s="5" t="s">
        <v>770</v>
      </c>
      <c r="H5283" s="91">
        <v>124</v>
      </c>
      <c r="I5283" s="92"/>
      <c r="J5283" s="93"/>
      <c r="K5283" s="91">
        <v>2</v>
      </c>
      <c r="L5283" s="93"/>
      <c r="M5283" s="88" t="s">
        <v>23</v>
      </c>
      <c r="N5283" s="89"/>
      <c r="O5283" s="90"/>
      <c r="P5283" s="94">
        <v>410123</v>
      </c>
      <c r="Q5283" s="96"/>
    </row>
    <row r="5284" spans="1:17" ht="15" customHeight="1" x14ac:dyDescent="0.2">
      <c r="A5284" s="5" t="s">
        <v>1713</v>
      </c>
      <c r="B5284" s="88" t="s">
        <v>6640</v>
      </c>
      <c r="C5284" s="90"/>
      <c r="D5284" s="88" t="s">
        <v>6642</v>
      </c>
      <c r="E5284" s="89"/>
      <c r="F5284" s="90"/>
      <c r="G5284" s="5" t="s">
        <v>770</v>
      </c>
      <c r="H5284" s="91">
        <v>124</v>
      </c>
      <c r="I5284" s="92"/>
      <c r="J5284" s="93"/>
      <c r="K5284" s="91">
        <v>2</v>
      </c>
      <c r="L5284" s="93"/>
      <c r="M5284" s="88" t="s">
        <v>23</v>
      </c>
      <c r="N5284" s="89"/>
      <c r="O5284" s="90"/>
      <c r="P5284" s="94">
        <v>469636</v>
      </c>
      <c r="Q5284" s="96"/>
    </row>
    <row r="5285" spans="1:17" ht="15" customHeight="1" x14ac:dyDescent="0.2">
      <c r="A5285" s="5" t="s">
        <v>1713</v>
      </c>
      <c r="B5285" s="88" t="s">
        <v>6640</v>
      </c>
      <c r="C5285" s="90"/>
      <c r="D5285" s="88" t="s">
        <v>6643</v>
      </c>
      <c r="E5285" s="89"/>
      <c r="F5285" s="90"/>
      <c r="G5285" s="5" t="s">
        <v>770</v>
      </c>
      <c r="H5285" s="91">
        <v>124</v>
      </c>
      <c r="I5285" s="92"/>
      <c r="J5285" s="93"/>
      <c r="K5285" s="91">
        <v>2</v>
      </c>
      <c r="L5285" s="93"/>
      <c r="M5285" s="88" t="s">
        <v>23</v>
      </c>
      <c r="N5285" s="89"/>
      <c r="O5285" s="90"/>
      <c r="P5285" s="94">
        <v>462520</v>
      </c>
      <c r="Q5285" s="96"/>
    </row>
    <row r="5286" spans="1:17" ht="15" customHeight="1" x14ac:dyDescent="0.2">
      <c r="A5286" s="5" t="s">
        <v>1713</v>
      </c>
      <c r="B5286" s="88" t="s">
        <v>6644</v>
      </c>
      <c r="C5286" s="90"/>
      <c r="D5286" s="88" t="s">
        <v>6645</v>
      </c>
      <c r="E5286" s="89"/>
      <c r="F5286" s="90"/>
      <c r="G5286" s="5" t="s">
        <v>770</v>
      </c>
      <c r="H5286" s="91">
        <v>124</v>
      </c>
      <c r="I5286" s="92"/>
      <c r="J5286" s="93"/>
      <c r="K5286" s="91">
        <v>2</v>
      </c>
      <c r="L5286" s="93"/>
      <c r="M5286" s="88" t="s">
        <v>23</v>
      </c>
      <c r="N5286" s="89"/>
      <c r="O5286" s="90"/>
      <c r="P5286" s="94">
        <v>580641</v>
      </c>
      <c r="Q5286" s="96"/>
    </row>
    <row r="5287" spans="1:17" ht="15" customHeight="1" x14ac:dyDescent="0.2">
      <c r="A5287" s="5" t="s">
        <v>1713</v>
      </c>
      <c r="B5287" s="88" t="s">
        <v>6646</v>
      </c>
      <c r="C5287" s="90"/>
      <c r="D5287" s="88" t="s">
        <v>6647</v>
      </c>
      <c r="E5287" s="89"/>
      <c r="F5287" s="90"/>
      <c r="G5287" s="5" t="s">
        <v>770</v>
      </c>
      <c r="H5287" s="91">
        <v>124</v>
      </c>
      <c r="I5287" s="92"/>
      <c r="J5287" s="93"/>
      <c r="K5287" s="91">
        <v>2</v>
      </c>
      <c r="L5287" s="93"/>
      <c r="M5287" s="88" t="s">
        <v>23</v>
      </c>
      <c r="N5287" s="89"/>
      <c r="O5287" s="90"/>
      <c r="P5287" s="94">
        <v>517505</v>
      </c>
      <c r="Q5287" s="96"/>
    </row>
    <row r="5288" spans="1:17" ht="15" customHeight="1" x14ac:dyDescent="0.2">
      <c r="A5288" s="5" t="s">
        <v>1713</v>
      </c>
      <c r="B5288" s="88" t="s">
        <v>6648</v>
      </c>
      <c r="C5288" s="90"/>
      <c r="D5288" s="88" t="s">
        <v>6649</v>
      </c>
      <c r="E5288" s="89"/>
      <c r="F5288" s="90"/>
      <c r="G5288" s="5" t="s">
        <v>770</v>
      </c>
      <c r="H5288" s="91">
        <v>149</v>
      </c>
      <c r="I5288" s="92"/>
      <c r="J5288" s="93"/>
      <c r="K5288" s="91">
        <v>2</v>
      </c>
      <c r="L5288" s="93"/>
      <c r="M5288" s="88" t="s">
        <v>23</v>
      </c>
      <c r="N5288" s="89"/>
      <c r="O5288" s="90"/>
      <c r="P5288" s="94">
        <v>473517</v>
      </c>
      <c r="Q5288" s="96"/>
    </row>
    <row r="5289" spans="1:17" ht="15" customHeight="1" x14ac:dyDescent="0.2">
      <c r="A5289" s="5" t="s">
        <v>1713</v>
      </c>
      <c r="B5289" s="88" t="s">
        <v>6648</v>
      </c>
      <c r="C5289" s="90"/>
      <c r="D5289" s="88" t="s">
        <v>6641</v>
      </c>
      <c r="E5289" s="89"/>
      <c r="F5289" s="90"/>
      <c r="G5289" s="5" t="s">
        <v>770</v>
      </c>
      <c r="H5289" s="91">
        <v>124</v>
      </c>
      <c r="I5289" s="92"/>
      <c r="J5289" s="93"/>
      <c r="K5289" s="91">
        <v>2</v>
      </c>
      <c r="L5289" s="93"/>
      <c r="M5289" s="88" t="s">
        <v>23</v>
      </c>
      <c r="N5289" s="89"/>
      <c r="O5289" s="90"/>
      <c r="P5289" s="94">
        <v>410123</v>
      </c>
      <c r="Q5289" s="96"/>
    </row>
    <row r="5290" spans="1:17" ht="15" customHeight="1" x14ac:dyDescent="0.2">
      <c r="A5290" s="5" t="s">
        <v>1713</v>
      </c>
      <c r="B5290" s="88" t="s">
        <v>6648</v>
      </c>
      <c r="C5290" s="90"/>
      <c r="D5290" s="88" t="s">
        <v>6649</v>
      </c>
      <c r="E5290" s="89"/>
      <c r="F5290" s="90"/>
      <c r="G5290" s="5" t="s">
        <v>770</v>
      </c>
      <c r="H5290" s="91">
        <v>149</v>
      </c>
      <c r="I5290" s="92"/>
      <c r="J5290" s="93"/>
      <c r="K5290" s="91">
        <v>2</v>
      </c>
      <c r="L5290" s="93"/>
      <c r="M5290" s="88" t="s">
        <v>23</v>
      </c>
      <c r="N5290" s="89"/>
      <c r="O5290" s="90"/>
      <c r="P5290" s="94">
        <v>473517</v>
      </c>
      <c r="Q5290" s="96"/>
    </row>
    <row r="5291" spans="1:17" ht="15" customHeight="1" x14ac:dyDescent="0.2">
      <c r="A5291" s="5" t="s">
        <v>1713</v>
      </c>
      <c r="B5291" s="88" t="s">
        <v>6650</v>
      </c>
      <c r="C5291" s="90"/>
      <c r="D5291" s="88" t="s">
        <v>6651</v>
      </c>
      <c r="E5291" s="89"/>
      <c r="F5291" s="90"/>
      <c r="G5291" s="5" t="s">
        <v>770</v>
      </c>
      <c r="H5291" s="91">
        <v>156</v>
      </c>
      <c r="I5291" s="92"/>
      <c r="J5291" s="93"/>
      <c r="K5291" s="91">
        <v>2</v>
      </c>
      <c r="L5291" s="93"/>
      <c r="M5291" s="88" t="s">
        <v>23</v>
      </c>
      <c r="N5291" s="89"/>
      <c r="O5291" s="90"/>
      <c r="P5291" s="94">
        <v>533677</v>
      </c>
      <c r="Q5291" s="96"/>
    </row>
    <row r="5292" spans="1:17" ht="15" customHeight="1" x14ac:dyDescent="0.2">
      <c r="A5292" s="5" t="s">
        <v>1713</v>
      </c>
      <c r="B5292" s="88" t="s">
        <v>6650</v>
      </c>
      <c r="C5292" s="90"/>
      <c r="D5292" s="88" t="s">
        <v>6652</v>
      </c>
      <c r="E5292" s="89"/>
      <c r="F5292" s="90"/>
      <c r="G5292" s="5" t="s">
        <v>770</v>
      </c>
      <c r="H5292" s="91">
        <v>156</v>
      </c>
      <c r="I5292" s="92"/>
      <c r="J5292" s="93"/>
      <c r="K5292" s="91">
        <v>2</v>
      </c>
      <c r="L5292" s="93"/>
      <c r="M5292" s="88" t="s">
        <v>23</v>
      </c>
      <c r="N5292" s="89"/>
      <c r="O5292" s="90"/>
      <c r="P5292" s="94">
        <v>526561</v>
      </c>
      <c r="Q5292" s="96"/>
    </row>
    <row r="5293" spans="1:17" ht="15" customHeight="1" x14ac:dyDescent="0.2">
      <c r="A5293" s="5" t="s">
        <v>1713</v>
      </c>
      <c r="B5293" s="88" t="s">
        <v>6653</v>
      </c>
      <c r="C5293" s="90"/>
      <c r="D5293" s="88" t="s">
        <v>6654</v>
      </c>
      <c r="E5293" s="89"/>
      <c r="F5293" s="90"/>
      <c r="G5293" s="5" t="s">
        <v>1718</v>
      </c>
      <c r="H5293" s="91">
        <v>1082</v>
      </c>
      <c r="I5293" s="92"/>
      <c r="J5293" s="93"/>
      <c r="K5293" s="91">
        <v>2</v>
      </c>
      <c r="L5293" s="93"/>
      <c r="M5293" s="88" t="s">
        <v>23</v>
      </c>
      <c r="N5293" s="89"/>
      <c r="O5293" s="90"/>
      <c r="P5293" s="94">
        <v>1472949</v>
      </c>
      <c r="Q5293" s="96"/>
    </row>
    <row r="5294" spans="1:17" ht="15" customHeight="1" x14ac:dyDescent="0.2">
      <c r="A5294" s="5" t="s">
        <v>1713</v>
      </c>
      <c r="B5294" s="88" t="s">
        <v>6653</v>
      </c>
      <c r="C5294" s="90"/>
      <c r="D5294" s="88" t="s">
        <v>6655</v>
      </c>
      <c r="E5294" s="89"/>
      <c r="F5294" s="90"/>
      <c r="G5294" s="5" t="s">
        <v>1718</v>
      </c>
      <c r="H5294" s="91">
        <v>1082</v>
      </c>
      <c r="I5294" s="92"/>
      <c r="J5294" s="93"/>
      <c r="K5294" s="91">
        <v>2</v>
      </c>
      <c r="L5294" s="93"/>
      <c r="M5294" s="88" t="s">
        <v>23</v>
      </c>
      <c r="N5294" s="89"/>
      <c r="O5294" s="90"/>
      <c r="P5294" s="94">
        <v>1423139</v>
      </c>
      <c r="Q5294" s="96"/>
    </row>
    <row r="5295" spans="1:17" ht="15" customHeight="1" x14ac:dyDescent="0.2">
      <c r="A5295" s="5" t="s">
        <v>1713</v>
      </c>
      <c r="B5295" s="88" t="s">
        <v>6656</v>
      </c>
      <c r="C5295" s="90"/>
      <c r="D5295" s="88" t="s">
        <v>6657</v>
      </c>
      <c r="E5295" s="89"/>
      <c r="F5295" s="90"/>
      <c r="G5295" s="5" t="s">
        <v>1718</v>
      </c>
      <c r="H5295" s="91">
        <v>249</v>
      </c>
      <c r="I5295" s="92"/>
      <c r="J5295" s="93"/>
      <c r="K5295" s="91">
        <v>2</v>
      </c>
      <c r="L5295" s="93"/>
      <c r="M5295" s="88" t="s">
        <v>23</v>
      </c>
      <c r="N5295" s="89"/>
      <c r="O5295" s="90"/>
      <c r="P5295" s="94">
        <v>644294</v>
      </c>
      <c r="Q5295" s="96"/>
    </row>
    <row r="5296" spans="1:17" ht="15" customHeight="1" x14ac:dyDescent="0.2">
      <c r="A5296" s="5" t="s">
        <v>1713</v>
      </c>
      <c r="B5296" s="88" t="s">
        <v>6656</v>
      </c>
      <c r="C5296" s="90"/>
      <c r="D5296" s="88" t="s">
        <v>6658</v>
      </c>
      <c r="E5296" s="89"/>
      <c r="F5296" s="90"/>
      <c r="G5296" s="5" t="s">
        <v>1718</v>
      </c>
      <c r="H5296" s="91">
        <v>249</v>
      </c>
      <c r="I5296" s="92"/>
      <c r="J5296" s="93"/>
      <c r="K5296" s="91">
        <v>2</v>
      </c>
      <c r="L5296" s="93"/>
      <c r="M5296" s="88" t="s">
        <v>23</v>
      </c>
      <c r="N5296" s="89"/>
      <c r="O5296" s="90"/>
      <c r="P5296" s="94">
        <v>789842</v>
      </c>
      <c r="Q5296" s="96"/>
    </row>
    <row r="5297" spans="1:17" ht="15" customHeight="1" x14ac:dyDescent="0.2">
      <c r="A5297" s="5" t="s">
        <v>1713</v>
      </c>
      <c r="B5297" s="88" t="s">
        <v>6659</v>
      </c>
      <c r="C5297" s="90"/>
      <c r="D5297" s="88" t="s">
        <v>6657</v>
      </c>
      <c r="E5297" s="89"/>
      <c r="F5297" s="90"/>
      <c r="G5297" s="5" t="s">
        <v>1718</v>
      </c>
      <c r="H5297" s="91">
        <v>249</v>
      </c>
      <c r="I5297" s="92"/>
      <c r="J5297" s="93"/>
      <c r="K5297" s="91">
        <v>2</v>
      </c>
      <c r="L5297" s="93"/>
      <c r="M5297" s="88" t="s">
        <v>23</v>
      </c>
      <c r="N5297" s="89"/>
      <c r="O5297" s="90"/>
      <c r="P5297" s="94">
        <v>750382</v>
      </c>
      <c r="Q5297" s="96"/>
    </row>
    <row r="5298" spans="1:17" ht="15" customHeight="1" x14ac:dyDescent="0.2">
      <c r="A5298" s="5" t="s">
        <v>1713</v>
      </c>
      <c r="B5298" s="88" t="s">
        <v>6660</v>
      </c>
      <c r="C5298" s="90"/>
      <c r="D5298" s="88" t="s">
        <v>6661</v>
      </c>
      <c r="E5298" s="89"/>
      <c r="F5298" s="90"/>
      <c r="G5298" s="5" t="s">
        <v>1718</v>
      </c>
      <c r="H5298" s="91">
        <v>471</v>
      </c>
      <c r="I5298" s="92"/>
      <c r="J5298" s="93"/>
      <c r="K5298" s="91">
        <v>2</v>
      </c>
      <c r="L5298" s="93"/>
      <c r="M5298" s="88" t="s">
        <v>23</v>
      </c>
      <c r="N5298" s="89"/>
      <c r="O5298" s="90"/>
      <c r="P5298" s="94">
        <v>940565</v>
      </c>
      <c r="Q5298" s="96"/>
    </row>
    <row r="5299" spans="1:17" ht="15" customHeight="1" x14ac:dyDescent="0.2">
      <c r="A5299" s="5" t="s">
        <v>1713</v>
      </c>
      <c r="B5299" s="88" t="s">
        <v>6662</v>
      </c>
      <c r="C5299" s="90"/>
      <c r="D5299" s="88" t="s">
        <v>6658</v>
      </c>
      <c r="E5299" s="89"/>
      <c r="F5299" s="90"/>
      <c r="G5299" s="5" t="s">
        <v>1718</v>
      </c>
      <c r="H5299" s="91">
        <v>249</v>
      </c>
      <c r="I5299" s="92"/>
      <c r="J5299" s="93"/>
      <c r="K5299" s="91">
        <v>2</v>
      </c>
      <c r="L5299" s="93"/>
      <c r="M5299" s="88" t="s">
        <v>23</v>
      </c>
      <c r="N5299" s="89"/>
      <c r="O5299" s="90"/>
      <c r="P5299" s="94">
        <v>789842</v>
      </c>
      <c r="Q5299" s="96"/>
    </row>
    <row r="5300" spans="1:17" ht="15" customHeight="1" x14ac:dyDescent="0.2">
      <c r="A5300" s="5" t="s">
        <v>1713</v>
      </c>
      <c r="B5300" s="88" t="s">
        <v>6663</v>
      </c>
      <c r="C5300" s="90"/>
      <c r="D5300" s="88" t="s">
        <v>6664</v>
      </c>
      <c r="E5300" s="89"/>
      <c r="F5300" s="90"/>
      <c r="G5300" s="5" t="s">
        <v>6544</v>
      </c>
      <c r="H5300" s="91">
        <v>49</v>
      </c>
      <c r="I5300" s="92"/>
      <c r="J5300" s="93"/>
      <c r="K5300" s="91">
        <v>1</v>
      </c>
      <c r="L5300" s="93"/>
      <c r="M5300" s="88" t="s">
        <v>23</v>
      </c>
      <c r="N5300" s="89"/>
      <c r="O5300" s="90"/>
      <c r="P5300" s="94">
        <v>334438</v>
      </c>
      <c r="Q5300" s="96"/>
    </row>
    <row r="5301" spans="1:17" ht="15" customHeight="1" x14ac:dyDescent="0.2">
      <c r="A5301" s="5" t="s">
        <v>1713</v>
      </c>
      <c r="B5301" s="88" t="s">
        <v>6665</v>
      </c>
      <c r="C5301" s="90"/>
      <c r="D5301" s="88" t="s">
        <v>6666</v>
      </c>
      <c r="E5301" s="89"/>
      <c r="F5301" s="90"/>
      <c r="G5301" s="5" t="s">
        <v>6544</v>
      </c>
      <c r="H5301" s="91">
        <v>109</v>
      </c>
      <c r="I5301" s="92"/>
      <c r="J5301" s="93"/>
      <c r="K5301" s="91">
        <v>2</v>
      </c>
      <c r="L5301" s="93"/>
      <c r="M5301" s="88" t="s">
        <v>23</v>
      </c>
      <c r="N5301" s="89"/>
      <c r="O5301" s="90"/>
      <c r="P5301" s="94">
        <v>391363</v>
      </c>
      <c r="Q5301" s="96"/>
    </row>
    <row r="5302" spans="1:17" ht="15" customHeight="1" x14ac:dyDescent="0.2">
      <c r="A5302" s="5" t="s">
        <v>1713</v>
      </c>
      <c r="B5302" s="88" t="s">
        <v>6665</v>
      </c>
      <c r="C5302" s="90"/>
      <c r="D5302" s="88" t="s">
        <v>6667</v>
      </c>
      <c r="E5302" s="89"/>
      <c r="F5302" s="90"/>
      <c r="G5302" s="5" t="s">
        <v>6544</v>
      </c>
      <c r="H5302" s="91">
        <v>109</v>
      </c>
      <c r="I5302" s="92"/>
      <c r="J5302" s="93"/>
      <c r="K5302" s="91">
        <v>2</v>
      </c>
      <c r="L5302" s="93"/>
      <c r="M5302" s="88" t="s">
        <v>23</v>
      </c>
      <c r="N5302" s="89"/>
      <c r="O5302" s="90"/>
      <c r="P5302" s="94">
        <v>391363</v>
      </c>
      <c r="Q5302" s="96"/>
    </row>
    <row r="5303" spans="1:17" ht="15" customHeight="1" x14ac:dyDescent="0.2">
      <c r="A5303" s="5" t="s">
        <v>1713</v>
      </c>
      <c r="B5303" s="88" t="s">
        <v>6668</v>
      </c>
      <c r="C5303" s="90"/>
      <c r="D5303" s="88" t="s">
        <v>6669</v>
      </c>
      <c r="E5303" s="89"/>
      <c r="F5303" s="90"/>
      <c r="G5303" s="5" t="s">
        <v>6544</v>
      </c>
      <c r="H5303" s="91">
        <v>109</v>
      </c>
      <c r="I5303" s="92"/>
      <c r="J5303" s="93"/>
      <c r="K5303" s="91">
        <v>1</v>
      </c>
      <c r="L5303" s="93"/>
      <c r="M5303" s="88" t="s">
        <v>23</v>
      </c>
      <c r="N5303" s="89"/>
      <c r="O5303" s="90"/>
      <c r="P5303" s="94">
        <v>355785</v>
      </c>
      <c r="Q5303" s="96"/>
    </row>
    <row r="5304" spans="1:17" ht="15" customHeight="1" x14ac:dyDescent="0.2">
      <c r="A5304" s="5" t="s">
        <v>1713</v>
      </c>
      <c r="B5304" s="88" t="s">
        <v>6670</v>
      </c>
      <c r="C5304" s="90"/>
      <c r="D5304" s="88" t="s">
        <v>6671</v>
      </c>
      <c r="E5304" s="89"/>
      <c r="F5304" s="90"/>
      <c r="G5304" s="5" t="s">
        <v>6544</v>
      </c>
      <c r="H5304" s="91">
        <v>124</v>
      </c>
      <c r="I5304" s="92"/>
      <c r="J5304" s="93"/>
      <c r="K5304" s="91">
        <v>2</v>
      </c>
      <c r="L5304" s="93"/>
      <c r="M5304" s="88" t="s">
        <v>23</v>
      </c>
      <c r="N5304" s="89"/>
      <c r="O5304" s="90"/>
      <c r="P5304" s="94">
        <v>478692</v>
      </c>
      <c r="Q5304" s="96"/>
    </row>
    <row r="5305" spans="1:17" ht="15" customHeight="1" x14ac:dyDescent="0.2">
      <c r="A5305" s="5" t="s">
        <v>1713</v>
      </c>
      <c r="B5305" s="88" t="s">
        <v>6670</v>
      </c>
      <c r="C5305" s="90"/>
      <c r="D5305" s="88" t="s">
        <v>6672</v>
      </c>
      <c r="E5305" s="89"/>
      <c r="F5305" s="90"/>
      <c r="G5305" s="5" t="s">
        <v>6544</v>
      </c>
      <c r="H5305" s="91">
        <v>123</v>
      </c>
      <c r="I5305" s="92"/>
      <c r="J5305" s="93"/>
      <c r="K5305" s="91">
        <v>2</v>
      </c>
      <c r="L5305" s="93"/>
      <c r="M5305" s="88" t="s">
        <v>23</v>
      </c>
      <c r="N5305" s="89"/>
      <c r="O5305" s="90"/>
      <c r="P5305" s="94">
        <v>569256</v>
      </c>
      <c r="Q5305" s="96"/>
    </row>
    <row r="5306" spans="1:17" ht="15" customHeight="1" x14ac:dyDescent="0.2">
      <c r="A5306" s="5" t="s">
        <v>1713</v>
      </c>
      <c r="B5306" s="88" t="s">
        <v>6673</v>
      </c>
      <c r="C5306" s="90"/>
      <c r="D5306" s="88" t="s">
        <v>6674</v>
      </c>
      <c r="E5306" s="89"/>
      <c r="F5306" s="90"/>
      <c r="G5306" s="5" t="s">
        <v>6544</v>
      </c>
      <c r="H5306" s="91">
        <v>49</v>
      </c>
      <c r="I5306" s="92"/>
      <c r="J5306" s="93"/>
      <c r="K5306" s="91">
        <v>1</v>
      </c>
      <c r="L5306" s="93"/>
      <c r="M5306" s="88" t="s">
        <v>23</v>
      </c>
      <c r="N5306" s="89"/>
      <c r="O5306" s="90"/>
      <c r="P5306" s="94">
        <v>278159</v>
      </c>
      <c r="Q5306" s="96"/>
    </row>
    <row r="5307" spans="1:17" ht="15" customHeight="1" x14ac:dyDescent="0.2">
      <c r="A5307" s="5" t="s">
        <v>1713</v>
      </c>
      <c r="B5307" s="88" t="s">
        <v>6675</v>
      </c>
      <c r="C5307" s="90"/>
      <c r="D5307" s="88" t="s">
        <v>6671</v>
      </c>
      <c r="E5307" s="89"/>
      <c r="F5307" s="90"/>
      <c r="G5307" s="5" t="s">
        <v>6544</v>
      </c>
      <c r="H5307" s="91">
        <v>124</v>
      </c>
      <c r="I5307" s="92"/>
      <c r="J5307" s="93"/>
      <c r="K5307" s="91">
        <v>2</v>
      </c>
      <c r="L5307" s="93"/>
      <c r="M5307" s="88" t="s">
        <v>23</v>
      </c>
      <c r="N5307" s="89"/>
      <c r="O5307" s="90"/>
      <c r="P5307" s="94">
        <v>478692</v>
      </c>
      <c r="Q5307" s="96"/>
    </row>
    <row r="5308" spans="1:17" ht="15" customHeight="1" x14ac:dyDescent="0.2">
      <c r="A5308" s="5" t="s">
        <v>1713</v>
      </c>
      <c r="B5308" s="88" t="s">
        <v>6675</v>
      </c>
      <c r="C5308" s="90"/>
      <c r="D5308" s="88" t="s">
        <v>6672</v>
      </c>
      <c r="E5308" s="89"/>
      <c r="F5308" s="90"/>
      <c r="G5308" s="5" t="s">
        <v>6544</v>
      </c>
      <c r="H5308" s="91">
        <v>123</v>
      </c>
      <c r="I5308" s="92"/>
      <c r="J5308" s="93"/>
      <c r="K5308" s="91">
        <v>2</v>
      </c>
      <c r="L5308" s="93"/>
      <c r="M5308" s="88" t="s">
        <v>23</v>
      </c>
      <c r="N5308" s="89"/>
      <c r="O5308" s="90"/>
      <c r="P5308" s="94">
        <v>569256</v>
      </c>
      <c r="Q5308" s="96"/>
    </row>
    <row r="5309" spans="1:17" ht="15" customHeight="1" x14ac:dyDescent="0.2">
      <c r="A5309" s="5" t="s">
        <v>1713</v>
      </c>
      <c r="B5309" s="88" t="s">
        <v>6675</v>
      </c>
      <c r="C5309" s="90"/>
      <c r="D5309" s="88" t="s">
        <v>6676</v>
      </c>
      <c r="E5309" s="89"/>
      <c r="F5309" s="90"/>
      <c r="G5309" s="5" t="s">
        <v>6544</v>
      </c>
      <c r="H5309" s="91">
        <v>123</v>
      </c>
      <c r="I5309" s="92"/>
      <c r="J5309" s="93"/>
      <c r="K5309" s="91">
        <v>2</v>
      </c>
      <c r="L5309" s="93"/>
      <c r="M5309" s="88" t="s">
        <v>23</v>
      </c>
      <c r="N5309" s="89"/>
      <c r="O5309" s="90"/>
      <c r="P5309" s="94">
        <v>583487</v>
      </c>
      <c r="Q5309" s="96"/>
    </row>
    <row r="5310" spans="1:17" ht="15" customHeight="1" x14ac:dyDescent="0.2">
      <c r="A5310" s="5" t="s">
        <v>1713</v>
      </c>
      <c r="B5310" s="88" t="s">
        <v>6677</v>
      </c>
      <c r="C5310" s="90"/>
      <c r="D5310" s="88" t="s">
        <v>6678</v>
      </c>
      <c r="E5310" s="89"/>
      <c r="F5310" s="90"/>
      <c r="G5310" s="5" t="s">
        <v>770</v>
      </c>
      <c r="H5310" s="91">
        <v>49</v>
      </c>
      <c r="I5310" s="92"/>
      <c r="J5310" s="93"/>
      <c r="K5310" s="91">
        <v>1</v>
      </c>
      <c r="L5310" s="93"/>
      <c r="M5310" s="88" t="s">
        <v>23</v>
      </c>
      <c r="N5310" s="89"/>
      <c r="O5310" s="90"/>
      <c r="P5310" s="94">
        <v>213471</v>
      </c>
      <c r="Q5310" s="96"/>
    </row>
    <row r="5311" spans="1:17" ht="15" customHeight="1" x14ac:dyDescent="0.2">
      <c r="A5311" s="5" t="s">
        <v>1713</v>
      </c>
      <c r="B5311" s="88" t="s">
        <v>6679</v>
      </c>
      <c r="C5311" s="90"/>
      <c r="D5311" s="88" t="s">
        <v>6678</v>
      </c>
      <c r="E5311" s="89"/>
      <c r="F5311" s="90"/>
      <c r="G5311" s="5" t="s">
        <v>770</v>
      </c>
      <c r="H5311" s="91">
        <v>49</v>
      </c>
      <c r="I5311" s="92"/>
      <c r="J5311" s="93"/>
      <c r="K5311" s="91">
        <v>1</v>
      </c>
      <c r="L5311" s="93"/>
      <c r="M5311" s="88" t="s">
        <v>23</v>
      </c>
      <c r="N5311" s="89"/>
      <c r="O5311" s="90"/>
      <c r="P5311" s="94">
        <v>197946</v>
      </c>
      <c r="Q5311" s="96"/>
    </row>
    <row r="5312" spans="1:17" ht="15" customHeight="1" x14ac:dyDescent="0.2">
      <c r="A5312" s="5" t="s">
        <v>1713</v>
      </c>
      <c r="B5312" s="88" t="s">
        <v>6680</v>
      </c>
      <c r="C5312" s="90"/>
      <c r="D5312" s="88" t="s">
        <v>6681</v>
      </c>
      <c r="E5312" s="89"/>
      <c r="F5312" s="90"/>
      <c r="G5312" s="5" t="s">
        <v>1718</v>
      </c>
      <c r="H5312" s="91">
        <v>781</v>
      </c>
      <c r="I5312" s="92"/>
      <c r="J5312" s="93"/>
      <c r="K5312" s="91">
        <v>2</v>
      </c>
      <c r="L5312" s="93"/>
      <c r="M5312" s="88" t="s">
        <v>23</v>
      </c>
      <c r="N5312" s="89"/>
      <c r="O5312" s="90"/>
      <c r="P5312" s="94">
        <v>1764692</v>
      </c>
      <c r="Q5312" s="96"/>
    </row>
    <row r="5313" spans="1:17" ht="15" customHeight="1" x14ac:dyDescent="0.2">
      <c r="A5313" s="5" t="s">
        <v>1713</v>
      </c>
      <c r="B5313" s="88" t="s">
        <v>6682</v>
      </c>
      <c r="C5313" s="90"/>
      <c r="D5313" s="88" t="s">
        <v>6683</v>
      </c>
      <c r="E5313" s="89"/>
      <c r="F5313" s="90"/>
      <c r="G5313" s="5" t="s">
        <v>1718</v>
      </c>
      <c r="H5313" s="91">
        <v>781</v>
      </c>
      <c r="I5313" s="92"/>
      <c r="J5313" s="93"/>
      <c r="K5313" s="91">
        <v>2</v>
      </c>
      <c r="L5313" s="93"/>
      <c r="M5313" s="88" t="s">
        <v>23</v>
      </c>
      <c r="N5313" s="89"/>
      <c r="O5313" s="90"/>
      <c r="P5313" s="94">
        <v>1656016</v>
      </c>
      <c r="Q5313" s="96"/>
    </row>
    <row r="5314" spans="1:17" ht="15" customHeight="1" x14ac:dyDescent="0.2">
      <c r="A5314" s="5" t="s">
        <v>1713</v>
      </c>
      <c r="B5314" s="88" t="s">
        <v>6684</v>
      </c>
      <c r="C5314" s="90"/>
      <c r="D5314" s="88" t="s">
        <v>6681</v>
      </c>
      <c r="E5314" s="89"/>
      <c r="F5314" s="90"/>
      <c r="G5314" s="5" t="s">
        <v>1718</v>
      </c>
      <c r="H5314" s="91">
        <v>781</v>
      </c>
      <c r="I5314" s="92"/>
      <c r="J5314" s="93"/>
      <c r="K5314" s="91">
        <v>2</v>
      </c>
      <c r="L5314" s="93"/>
      <c r="M5314" s="88" t="s">
        <v>23</v>
      </c>
      <c r="N5314" s="89"/>
      <c r="O5314" s="90"/>
      <c r="P5314" s="94">
        <v>1720704</v>
      </c>
      <c r="Q5314" s="96"/>
    </row>
    <row r="5315" spans="1:17" ht="15" customHeight="1" x14ac:dyDescent="0.2">
      <c r="A5315" s="5" t="s">
        <v>1713</v>
      </c>
      <c r="B5315" s="88" t="s">
        <v>6685</v>
      </c>
      <c r="C5315" s="90"/>
      <c r="D5315" s="88" t="s">
        <v>6681</v>
      </c>
      <c r="E5315" s="89"/>
      <c r="F5315" s="90"/>
      <c r="G5315" s="5" t="s">
        <v>1718</v>
      </c>
      <c r="H5315" s="91">
        <v>781</v>
      </c>
      <c r="I5315" s="92"/>
      <c r="J5315" s="93"/>
      <c r="K5315" s="91">
        <v>2</v>
      </c>
      <c r="L5315" s="93"/>
      <c r="M5315" s="88" t="s">
        <v>23</v>
      </c>
      <c r="N5315" s="89"/>
      <c r="O5315" s="90"/>
      <c r="P5315" s="94">
        <v>1941161</v>
      </c>
      <c r="Q5315" s="96"/>
    </row>
    <row r="5316" spans="1:17" ht="15" customHeight="1" x14ac:dyDescent="0.2">
      <c r="A5316" s="5" t="s">
        <v>1713</v>
      </c>
      <c r="B5316" s="88" t="s">
        <v>6686</v>
      </c>
      <c r="C5316" s="90"/>
      <c r="D5316" s="88" t="s">
        <v>6687</v>
      </c>
      <c r="E5316" s="89"/>
      <c r="F5316" s="90"/>
      <c r="G5316" s="5" t="s">
        <v>6534</v>
      </c>
      <c r="H5316" s="91">
        <v>745</v>
      </c>
      <c r="I5316" s="92"/>
      <c r="J5316" s="93"/>
      <c r="K5316" s="91">
        <v>2</v>
      </c>
      <c r="L5316" s="93"/>
      <c r="M5316" s="88" t="s">
        <v>23</v>
      </c>
      <c r="N5316" s="89"/>
      <c r="O5316" s="90"/>
      <c r="P5316" s="94">
        <v>1481358</v>
      </c>
      <c r="Q5316" s="96"/>
    </row>
    <row r="5317" spans="1:17" ht="15" customHeight="1" x14ac:dyDescent="0.2">
      <c r="A5317" s="5" t="s">
        <v>1713</v>
      </c>
      <c r="B5317" s="88" t="s">
        <v>6686</v>
      </c>
      <c r="C5317" s="90"/>
      <c r="D5317" s="88" t="s">
        <v>6688</v>
      </c>
      <c r="E5317" s="89"/>
      <c r="F5317" s="90"/>
      <c r="G5317" s="5" t="s">
        <v>6534</v>
      </c>
      <c r="H5317" s="91">
        <v>745</v>
      </c>
      <c r="I5317" s="92"/>
      <c r="J5317" s="93"/>
      <c r="K5317" s="91">
        <v>2</v>
      </c>
      <c r="L5317" s="93"/>
      <c r="M5317" s="88" t="s">
        <v>23</v>
      </c>
      <c r="N5317" s="89"/>
      <c r="O5317" s="90"/>
      <c r="P5317" s="94">
        <v>1707767</v>
      </c>
      <c r="Q5317" s="96"/>
    </row>
    <row r="5318" spans="1:17" ht="15" customHeight="1" x14ac:dyDescent="0.2">
      <c r="A5318" s="5" t="s">
        <v>1713</v>
      </c>
      <c r="B5318" s="88" t="s">
        <v>6689</v>
      </c>
      <c r="C5318" s="90"/>
      <c r="D5318" s="88" t="s">
        <v>6690</v>
      </c>
      <c r="E5318" s="89"/>
      <c r="F5318" s="90"/>
      <c r="G5318" s="5" t="s">
        <v>1718</v>
      </c>
      <c r="H5318" s="91">
        <v>754</v>
      </c>
      <c r="I5318" s="92"/>
      <c r="J5318" s="93"/>
      <c r="K5318" s="91">
        <v>2</v>
      </c>
      <c r="L5318" s="93"/>
      <c r="M5318" s="88" t="s">
        <v>23</v>
      </c>
      <c r="N5318" s="89"/>
      <c r="O5318" s="90"/>
      <c r="P5318" s="94">
        <v>1636610</v>
      </c>
      <c r="Q5318" s="96"/>
    </row>
    <row r="5319" spans="1:17" ht="15" customHeight="1" x14ac:dyDescent="0.2">
      <c r="A5319" s="5" t="s">
        <v>5267</v>
      </c>
      <c r="B5319" s="88" t="s">
        <v>6691</v>
      </c>
      <c r="C5319" s="90"/>
      <c r="D5319" s="88" t="s">
        <v>6692</v>
      </c>
      <c r="E5319" s="89"/>
      <c r="F5319" s="90"/>
      <c r="G5319" s="5" t="s">
        <v>770</v>
      </c>
      <c r="H5319" s="91">
        <v>112</v>
      </c>
      <c r="I5319" s="92"/>
      <c r="J5319" s="93"/>
      <c r="K5319" s="91">
        <v>2</v>
      </c>
      <c r="L5319" s="93"/>
      <c r="M5319" s="88" t="s">
        <v>23</v>
      </c>
      <c r="N5319" s="89"/>
      <c r="O5319" s="90"/>
      <c r="P5319" s="94">
        <v>256165</v>
      </c>
      <c r="Q5319" s="96"/>
    </row>
    <row r="5320" spans="1:17" ht="15" customHeight="1" x14ac:dyDescent="0.2">
      <c r="A5320" s="5" t="s">
        <v>5267</v>
      </c>
      <c r="B5320" s="88" t="s">
        <v>6693</v>
      </c>
      <c r="C5320" s="90"/>
      <c r="D5320" s="88" t="s">
        <v>6694</v>
      </c>
      <c r="E5320" s="89"/>
      <c r="F5320" s="90"/>
      <c r="G5320" s="5" t="s">
        <v>770</v>
      </c>
      <c r="H5320" s="91">
        <v>124</v>
      </c>
      <c r="I5320" s="92"/>
      <c r="J5320" s="93"/>
      <c r="K5320" s="91">
        <v>2</v>
      </c>
      <c r="L5320" s="93"/>
      <c r="M5320" s="88" t="s">
        <v>23</v>
      </c>
      <c r="N5320" s="89"/>
      <c r="O5320" s="90"/>
      <c r="P5320" s="94">
        <v>354362</v>
      </c>
      <c r="Q5320" s="96"/>
    </row>
    <row r="5321" spans="1:17" ht="15" customHeight="1" x14ac:dyDescent="0.2">
      <c r="A5321" s="5" t="s">
        <v>5267</v>
      </c>
      <c r="B5321" s="88" t="s">
        <v>6695</v>
      </c>
      <c r="C5321" s="90"/>
      <c r="D5321" s="88" t="s">
        <v>6696</v>
      </c>
      <c r="E5321" s="89"/>
      <c r="F5321" s="90"/>
      <c r="G5321" s="5" t="s">
        <v>770</v>
      </c>
      <c r="H5321" s="91">
        <v>49</v>
      </c>
      <c r="I5321" s="92"/>
      <c r="J5321" s="93"/>
      <c r="K5321" s="91">
        <v>1</v>
      </c>
      <c r="L5321" s="93"/>
      <c r="M5321" s="88" t="s">
        <v>23</v>
      </c>
      <c r="N5321" s="89"/>
      <c r="O5321" s="90"/>
      <c r="P5321" s="94">
        <v>209590</v>
      </c>
      <c r="Q5321" s="96"/>
    </row>
    <row r="5322" spans="1:17" ht="15" customHeight="1" x14ac:dyDescent="0.2">
      <c r="A5322" s="5" t="s">
        <v>5267</v>
      </c>
      <c r="B5322" s="88" t="s">
        <v>6695</v>
      </c>
      <c r="C5322" s="90"/>
      <c r="D5322" s="88" t="s">
        <v>6696</v>
      </c>
      <c r="E5322" s="89"/>
      <c r="F5322" s="90"/>
      <c r="G5322" s="5" t="s">
        <v>770</v>
      </c>
      <c r="H5322" s="91">
        <v>49</v>
      </c>
      <c r="I5322" s="92"/>
      <c r="J5322" s="93"/>
      <c r="K5322" s="91">
        <v>2</v>
      </c>
      <c r="L5322" s="93"/>
      <c r="M5322" s="88" t="s">
        <v>23</v>
      </c>
      <c r="N5322" s="89"/>
      <c r="O5322" s="90"/>
      <c r="P5322" s="94">
        <v>236241</v>
      </c>
      <c r="Q5322" s="96"/>
    </row>
    <row r="5323" spans="1:17" ht="15" customHeight="1" x14ac:dyDescent="0.2">
      <c r="A5323" s="5" t="s">
        <v>5267</v>
      </c>
      <c r="B5323" s="88" t="s">
        <v>6697</v>
      </c>
      <c r="C5323" s="90"/>
      <c r="D5323" s="88" t="s">
        <v>6692</v>
      </c>
      <c r="E5323" s="89"/>
      <c r="F5323" s="90"/>
      <c r="G5323" s="5" t="s">
        <v>770</v>
      </c>
      <c r="H5323" s="91">
        <v>112</v>
      </c>
      <c r="I5323" s="92"/>
      <c r="J5323" s="93"/>
      <c r="K5323" s="91">
        <v>2</v>
      </c>
      <c r="L5323" s="93"/>
      <c r="M5323" s="88" t="s">
        <v>23</v>
      </c>
      <c r="N5323" s="89"/>
      <c r="O5323" s="90"/>
      <c r="P5323" s="94">
        <v>256165</v>
      </c>
      <c r="Q5323" s="96"/>
    </row>
    <row r="5324" spans="1:17" ht="15" customHeight="1" x14ac:dyDescent="0.2">
      <c r="A5324" s="5" t="s">
        <v>5267</v>
      </c>
      <c r="B5324" s="88" t="s">
        <v>6698</v>
      </c>
      <c r="C5324" s="90"/>
      <c r="D5324" s="88" t="s">
        <v>6699</v>
      </c>
      <c r="E5324" s="89"/>
      <c r="F5324" s="90"/>
      <c r="G5324" s="5" t="s">
        <v>770</v>
      </c>
      <c r="H5324" s="91">
        <v>124</v>
      </c>
      <c r="I5324" s="92"/>
      <c r="J5324" s="93"/>
      <c r="K5324" s="91">
        <v>2</v>
      </c>
      <c r="L5324" s="93"/>
      <c r="M5324" s="88" t="s">
        <v>23</v>
      </c>
      <c r="N5324" s="89"/>
      <c r="O5324" s="90"/>
      <c r="P5324" s="94">
        <v>265221</v>
      </c>
      <c r="Q5324" s="96"/>
    </row>
    <row r="5325" spans="1:17" ht="15" customHeight="1" x14ac:dyDescent="0.2">
      <c r="A5325" s="5" t="s">
        <v>5267</v>
      </c>
      <c r="B5325" s="88" t="s">
        <v>6700</v>
      </c>
      <c r="C5325" s="90"/>
      <c r="D5325" s="88" t="s">
        <v>6699</v>
      </c>
      <c r="E5325" s="89"/>
      <c r="F5325" s="90"/>
      <c r="G5325" s="5" t="s">
        <v>770</v>
      </c>
      <c r="H5325" s="91">
        <v>124</v>
      </c>
      <c r="I5325" s="92"/>
      <c r="J5325" s="93"/>
      <c r="K5325" s="91">
        <v>2</v>
      </c>
      <c r="L5325" s="93"/>
      <c r="M5325" s="88" t="s">
        <v>23</v>
      </c>
      <c r="N5325" s="89"/>
      <c r="O5325" s="90"/>
      <c r="P5325" s="94">
        <v>271690</v>
      </c>
      <c r="Q5325" s="96"/>
    </row>
    <row r="5326" spans="1:17" ht="15" customHeight="1" x14ac:dyDescent="0.2">
      <c r="A5326" s="5" t="s">
        <v>5267</v>
      </c>
      <c r="B5326" s="88" t="s">
        <v>6701</v>
      </c>
      <c r="C5326" s="90"/>
      <c r="D5326" s="88" t="s">
        <v>6702</v>
      </c>
      <c r="E5326" s="89"/>
      <c r="F5326" s="90"/>
      <c r="G5326" s="5" t="s">
        <v>770</v>
      </c>
      <c r="H5326" s="91">
        <v>124</v>
      </c>
      <c r="I5326" s="92"/>
      <c r="J5326" s="93"/>
      <c r="K5326" s="91">
        <v>2</v>
      </c>
      <c r="L5326" s="93"/>
      <c r="M5326" s="88" t="s">
        <v>23</v>
      </c>
      <c r="N5326" s="89"/>
      <c r="O5326" s="90"/>
      <c r="P5326" s="94">
        <v>368593</v>
      </c>
      <c r="Q5326" s="96"/>
    </row>
    <row r="5327" spans="1:17" ht="15" customHeight="1" x14ac:dyDescent="0.2">
      <c r="A5327" s="5" t="s">
        <v>5267</v>
      </c>
      <c r="B5327" s="88" t="s">
        <v>6703</v>
      </c>
      <c r="C5327" s="90"/>
      <c r="D5327" s="88" t="s">
        <v>6702</v>
      </c>
      <c r="E5327" s="89"/>
      <c r="F5327" s="90"/>
      <c r="G5327" s="5" t="s">
        <v>770</v>
      </c>
      <c r="H5327" s="91">
        <v>124</v>
      </c>
      <c r="I5327" s="92"/>
      <c r="J5327" s="93"/>
      <c r="K5327" s="91">
        <v>2</v>
      </c>
      <c r="L5327" s="93"/>
      <c r="M5327" s="88" t="s">
        <v>23</v>
      </c>
      <c r="N5327" s="89"/>
      <c r="O5327" s="90"/>
      <c r="P5327" s="94">
        <v>368593</v>
      </c>
      <c r="Q5327" s="96"/>
    </row>
    <row r="5328" spans="1:17" ht="15" customHeight="1" x14ac:dyDescent="0.2">
      <c r="A5328" s="5" t="s">
        <v>5267</v>
      </c>
      <c r="B5328" s="88" t="s">
        <v>6704</v>
      </c>
      <c r="C5328" s="90"/>
      <c r="D5328" s="88" t="s">
        <v>6705</v>
      </c>
      <c r="E5328" s="89"/>
      <c r="F5328" s="90"/>
      <c r="G5328" s="5" t="s">
        <v>770</v>
      </c>
      <c r="H5328" s="91">
        <v>399</v>
      </c>
      <c r="I5328" s="92"/>
      <c r="J5328" s="93"/>
      <c r="K5328" s="91">
        <v>2</v>
      </c>
      <c r="L5328" s="93"/>
      <c r="M5328" s="88" t="s">
        <v>23</v>
      </c>
      <c r="N5328" s="89"/>
      <c r="O5328" s="90"/>
      <c r="P5328" s="94">
        <v>1158435</v>
      </c>
      <c r="Q5328" s="96"/>
    </row>
    <row r="5329" spans="1:17" ht="15" customHeight="1" x14ac:dyDescent="0.2">
      <c r="A5329" s="5" t="s">
        <v>5267</v>
      </c>
      <c r="B5329" s="88" t="s">
        <v>6706</v>
      </c>
      <c r="C5329" s="90"/>
      <c r="D5329" s="88" t="s">
        <v>6707</v>
      </c>
      <c r="E5329" s="89"/>
      <c r="F5329" s="90"/>
      <c r="G5329" s="5" t="s">
        <v>770</v>
      </c>
      <c r="H5329" s="91">
        <v>124</v>
      </c>
      <c r="I5329" s="92"/>
      <c r="J5329" s="93"/>
      <c r="K5329" s="91">
        <v>2</v>
      </c>
      <c r="L5329" s="93"/>
      <c r="M5329" s="88" t="s">
        <v>23</v>
      </c>
      <c r="N5329" s="89"/>
      <c r="O5329" s="90"/>
      <c r="P5329" s="94">
        <v>411287</v>
      </c>
      <c r="Q5329" s="96"/>
    </row>
    <row r="5330" spans="1:17" ht="15" customHeight="1" x14ac:dyDescent="0.2">
      <c r="A5330" s="5" t="s">
        <v>5267</v>
      </c>
      <c r="B5330" s="88" t="s">
        <v>6708</v>
      </c>
      <c r="C5330" s="90"/>
      <c r="D5330" s="88" t="s">
        <v>6709</v>
      </c>
      <c r="E5330" s="89"/>
      <c r="F5330" s="90"/>
      <c r="G5330" s="5" t="s">
        <v>770</v>
      </c>
      <c r="H5330" s="91">
        <v>199</v>
      </c>
      <c r="I5330" s="92"/>
      <c r="J5330" s="93"/>
      <c r="K5330" s="91">
        <v>2</v>
      </c>
      <c r="L5330" s="93"/>
      <c r="M5330" s="88" t="s">
        <v>23</v>
      </c>
      <c r="N5330" s="89"/>
      <c r="O5330" s="90"/>
      <c r="P5330" s="94">
        <v>627475</v>
      </c>
      <c r="Q5330" s="96"/>
    </row>
    <row r="5331" spans="1:17" ht="15" customHeight="1" x14ac:dyDescent="0.2">
      <c r="A5331" s="5" t="s">
        <v>5267</v>
      </c>
      <c r="B5331" s="88" t="s">
        <v>6710</v>
      </c>
      <c r="C5331" s="90"/>
      <c r="D5331" s="88" t="s">
        <v>6711</v>
      </c>
      <c r="E5331" s="89"/>
      <c r="F5331" s="90"/>
      <c r="G5331" s="5" t="s">
        <v>770</v>
      </c>
      <c r="H5331" s="91">
        <v>199</v>
      </c>
      <c r="I5331" s="92"/>
      <c r="J5331" s="93"/>
      <c r="K5331" s="91">
        <v>2</v>
      </c>
      <c r="L5331" s="93"/>
      <c r="M5331" s="88" t="s">
        <v>23</v>
      </c>
      <c r="N5331" s="89"/>
      <c r="O5331" s="90"/>
      <c r="P5331" s="94">
        <v>739178</v>
      </c>
      <c r="Q5331" s="96"/>
    </row>
    <row r="5332" spans="1:17" ht="15" customHeight="1" x14ac:dyDescent="0.2">
      <c r="A5332" s="5" t="s">
        <v>5267</v>
      </c>
      <c r="B5332" s="88" t="s">
        <v>6712</v>
      </c>
      <c r="C5332" s="90"/>
      <c r="D5332" s="88" t="s">
        <v>6713</v>
      </c>
      <c r="E5332" s="89"/>
      <c r="F5332" s="90"/>
      <c r="G5332" s="5" t="s">
        <v>770</v>
      </c>
      <c r="H5332" s="91">
        <v>399</v>
      </c>
      <c r="I5332" s="92"/>
      <c r="J5332" s="93"/>
      <c r="K5332" s="91">
        <v>2</v>
      </c>
      <c r="L5332" s="93"/>
      <c r="M5332" s="88" t="s">
        <v>23</v>
      </c>
      <c r="N5332" s="89"/>
      <c r="O5332" s="90"/>
      <c r="P5332" s="94">
        <v>957384</v>
      </c>
      <c r="Q5332" s="96"/>
    </row>
    <row r="5333" spans="1:17" ht="15" customHeight="1" x14ac:dyDescent="0.2">
      <c r="A5333" s="5" t="s">
        <v>5267</v>
      </c>
      <c r="B5333" s="88" t="s">
        <v>6712</v>
      </c>
      <c r="C5333" s="90"/>
      <c r="D5333" s="88" t="s">
        <v>6705</v>
      </c>
      <c r="E5333" s="89"/>
      <c r="F5333" s="90"/>
      <c r="G5333" s="5" t="s">
        <v>770</v>
      </c>
      <c r="H5333" s="91">
        <v>399</v>
      </c>
      <c r="I5333" s="92"/>
      <c r="J5333" s="93"/>
      <c r="K5333" s="91">
        <v>2</v>
      </c>
      <c r="L5333" s="93"/>
      <c r="M5333" s="88" t="s">
        <v>23</v>
      </c>
      <c r="N5333" s="89"/>
      <c r="O5333" s="90"/>
      <c r="P5333" s="94">
        <v>1095817</v>
      </c>
      <c r="Q5333" s="96"/>
    </row>
    <row r="5334" spans="1:17" ht="15" customHeight="1" x14ac:dyDescent="0.2">
      <c r="A5334" s="5" t="s">
        <v>5267</v>
      </c>
      <c r="B5334" s="88" t="s">
        <v>6714</v>
      </c>
      <c r="C5334" s="90"/>
      <c r="D5334" s="88" t="s">
        <v>6715</v>
      </c>
      <c r="E5334" s="89"/>
      <c r="F5334" s="90"/>
      <c r="G5334" s="5" t="s">
        <v>1718</v>
      </c>
      <c r="H5334" s="91">
        <v>49</v>
      </c>
      <c r="I5334" s="92"/>
      <c r="J5334" s="93"/>
      <c r="K5334" s="91">
        <v>1</v>
      </c>
      <c r="L5334" s="93"/>
      <c r="M5334" s="88" t="s">
        <v>23</v>
      </c>
      <c r="N5334" s="89"/>
      <c r="O5334" s="90"/>
      <c r="P5334" s="94">
        <v>271690</v>
      </c>
      <c r="Q5334" s="96"/>
    </row>
    <row r="5335" spans="1:17" ht="15" customHeight="1" x14ac:dyDescent="0.2">
      <c r="A5335" s="5" t="s">
        <v>5267</v>
      </c>
      <c r="B5335" s="88" t="s">
        <v>6714</v>
      </c>
      <c r="C5335" s="90"/>
      <c r="D5335" s="88" t="s">
        <v>6715</v>
      </c>
      <c r="E5335" s="89"/>
      <c r="F5335" s="90"/>
      <c r="G5335" s="5" t="s">
        <v>6716</v>
      </c>
      <c r="H5335" s="91">
        <v>49</v>
      </c>
      <c r="I5335" s="92"/>
      <c r="J5335" s="93"/>
      <c r="K5335" s="91">
        <v>1</v>
      </c>
      <c r="L5335" s="93"/>
      <c r="M5335" s="88" t="s">
        <v>23</v>
      </c>
      <c r="N5335" s="89"/>
      <c r="O5335" s="90"/>
      <c r="P5335" s="94">
        <v>271690</v>
      </c>
      <c r="Q5335" s="96"/>
    </row>
    <row r="5336" spans="1:17" ht="15" customHeight="1" x14ac:dyDescent="0.2">
      <c r="A5336" s="5" t="s">
        <v>5267</v>
      </c>
      <c r="B5336" s="88" t="s">
        <v>6717</v>
      </c>
      <c r="C5336" s="90"/>
      <c r="D5336" s="88" t="s">
        <v>6718</v>
      </c>
      <c r="E5336" s="89"/>
      <c r="F5336" s="90"/>
      <c r="G5336" s="5" t="s">
        <v>963</v>
      </c>
      <c r="H5336" s="91">
        <v>154</v>
      </c>
      <c r="I5336" s="92"/>
      <c r="J5336" s="93"/>
      <c r="K5336" s="91">
        <v>2</v>
      </c>
      <c r="L5336" s="93"/>
      <c r="M5336" s="88" t="s">
        <v>23</v>
      </c>
      <c r="N5336" s="89"/>
      <c r="O5336" s="90"/>
      <c r="P5336" s="94">
        <v>414004</v>
      </c>
      <c r="Q5336" s="96"/>
    </row>
    <row r="5337" spans="1:17" ht="15" customHeight="1" x14ac:dyDescent="0.2">
      <c r="A5337" s="5" t="s">
        <v>5267</v>
      </c>
      <c r="B5337" s="88" t="s">
        <v>6717</v>
      </c>
      <c r="C5337" s="90"/>
      <c r="D5337" s="88" t="s">
        <v>6719</v>
      </c>
      <c r="E5337" s="89"/>
      <c r="F5337" s="90"/>
      <c r="G5337" s="5" t="s">
        <v>963</v>
      </c>
      <c r="H5337" s="91">
        <v>154</v>
      </c>
      <c r="I5337" s="92"/>
      <c r="J5337" s="93"/>
      <c r="K5337" s="91">
        <v>2</v>
      </c>
      <c r="L5337" s="93"/>
      <c r="M5337" s="88" t="s">
        <v>23</v>
      </c>
      <c r="N5337" s="89"/>
      <c r="O5337" s="90"/>
      <c r="P5337" s="94">
        <v>385541</v>
      </c>
      <c r="Q5337" s="96"/>
    </row>
    <row r="5338" spans="1:17" ht="15" customHeight="1" x14ac:dyDescent="0.2">
      <c r="A5338" s="5" t="s">
        <v>5267</v>
      </c>
      <c r="B5338" s="88" t="s">
        <v>6717</v>
      </c>
      <c r="C5338" s="90"/>
      <c r="D5338" s="88" t="s">
        <v>6720</v>
      </c>
      <c r="E5338" s="89"/>
      <c r="F5338" s="90"/>
      <c r="G5338" s="5" t="s">
        <v>1718</v>
      </c>
      <c r="H5338" s="91">
        <v>154</v>
      </c>
      <c r="I5338" s="92"/>
      <c r="J5338" s="93"/>
      <c r="K5338" s="91">
        <v>2</v>
      </c>
      <c r="L5338" s="93"/>
      <c r="M5338" s="88" t="s">
        <v>23</v>
      </c>
      <c r="N5338" s="89"/>
      <c r="O5338" s="90"/>
      <c r="P5338" s="94">
        <v>498099</v>
      </c>
      <c r="Q5338" s="96"/>
    </row>
    <row r="5339" spans="1:17" ht="15" customHeight="1" x14ac:dyDescent="0.2">
      <c r="A5339" s="5" t="s">
        <v>5267</v>
      </c>
      <c r="B5339" s="88" t="s">
        <v>6721</v>
      </c>
      <c r="C5339" s="90"/>
      <c r="D5339" s="88" t="s">
        <v>6722</v>
      </c>
      <c r="E5339" s="89"/>
      <c r="F5339" s="90"/>
      <c r="G5339" s="5" t="s">
        <v>1718</v>
      </c>
      <c r="H5339" s="91">
        <v>249</v>
      </c>
      <c r="I5339" s="92"/>
      <c r="J5339" s="93"/>
      <c r="K5339" s="91">
        <v>2</v>
      </c>
      <c r="L5339" s="93"/>
      <c r="M5339" s="88" t="s">
        <v>23</v>
      </c>
      <c r="N5339" s="89"/>
      <c r="O5339" s="90"/>
      <c r="P5339" s="94">
        <v>623335</v>
      </c>
      <c r="Q5339" s="96"/>
    </row>
    <row r="5340" spans="1:17" ht="15" customHeight="1" x14ac:dyDescent="0.2">
      <c r="A5340" s="5" t="s">
        <v>5267</v>
      </c>
      <c r="B5340" s="88" t="s">
        <v>6723</v>
      </c>
      <c r="C5340" s="90"/>
      <c r="D5340" s="88" t="s">
        <v>6724</v>
      </c>
      <c r="E5340" s="89"/>
      <c r="F5340" s="90"/>
      <c r="G5340" s="5" t="s">
        <v>1718</v>
      </c>
      <c r="H5340" s="91">
        <v>249</v>
      </c>
      <c r="I5340" s="92"/>
      <c r="J5340" s="93"/>
      <c r="K5340" s="91">
        <v>2</v>
      </c>
      <c r="L5340" s="93"/>
      <c r="M5340" s="88" t="s">
        <v>23</v>
      </c>
      <c r="N5340" s="89"/>
      <c r="O5340" s="90"/>
      <c r="P5340" s="94">
        <v>527855</v>
      </c>
      <c r="Q5340" s="96"/>
    </row>
    <row r="5341" spans="1:17" ht="15" customHeight="1" x14ac:dyDescent="0.2">
      <c r="A5341" s="5" t="s">
        <v>5267</v>
      </c>
      <c r="B5341" s="88" t="s">
        <v>6725</v>
      </c>
      <c r="C5341" s="90"/>
      <c r="D5341" s="88" t="s">
        <v>6724</v>
      </c>
      <c r="E5341" s="89"/>
      <c r="F5341" s="90"/>
      <c r="G5341" s="5" t="s">
        <v>1718</v>
      </c>
      <c r="H5341" s="91">
        <v>249</v>
      </c>
      <c r="I5341" s="92"/>
      <c r="J5341" s="93"/>
      <c r="K5341" s="91">
        <v>2</v>
      </c>
      <c r="L5341" s="93"/>
      <c r="M5341" s="88" t="s">
        <v>23</v>
      </c>
      <c r="N5341" s="89"/>
      <c r="O5341" s="90"/>
      <c r="P5341" s="94">
        <v>566668</v>
      </c>
      <c r="Q5341" s="96"/>
    </row>
    <row r="5342" spans="1:17" ht="15" customHeight="1" x14ac:dyDescent="0.2">
      <c r="A5342" s="5" t="s">
        <v>5267</v>
      </c>
      <c r="B5342" s="88" t="s">
        <v>6726</v>
      </c>
      <c r="C5342" s="90"/>
      <c r="D5342" s="88" t="s">
        <v>6722</v>
      </c>
      <c r="E5342" s="89"/>
      <c r="F5342" s="90"/>
      <c r="G5342" s="5" t="s">
        <v>1718</v>
      </c>
      <c r="H5342" s="91">
        <v>249</v>
      </c>
      <c r="I5342" s="92"/>
      <c r="J5342" s="93"/>
      <c r="K5342" s="91">
        <v>2</v>
      </c>
      <c r="L5342" s="93"/>
      <c r="M5342" s="88" t="s">
        <v>23</v>
      </c>
      <c r="N5342" s="89"/>
      <c r="O5342" s="90"/>
      <c r="P5342" s="94">
        <v>666029</v>
      </c>
      <c r="Q5342" s="96"/>
    </row>
    <row r="5343" spans="1:17" ht="15" customHeight="1" x14ac:dyDescent="0.2">
      <c r="A5343" s="5" t="s">
        <v>5267</v>
      </c>
      <c r="B5343" s="88" t="s">
        <v>6727</v>
      </c>
      <c r="C5343" s="90"/>
      <c r="D5343" s="88" t="s">
        <v>6728</v>
      </c>
      <c r="E5343" s="89"/>
      <c r="F5343" s="90"/>
      <c r="G5343" s="5" t="s">
        <v>1718</v>
      </c>
      <c r="H5343" s="91">
        <v>248</v>
      </c>
      <c r="I5343" s="92"/>
      <c r="J5343" s="93"/>
      <c r="K5343" s="91">
        <v>2</v>
      </c>
      <c r="L5343" s="93"/>
      <c r="M5343" s="88" t="s">
        <v>23</v>
      </c>
      <c r="N5343" s="89"/>
      <c r="O5343" s="90"/>
      <c r="P5343" s="94">
        <v>645587</v>
      </c>
      <c r="Q5343" s="96"/>
    </row>
    <row r="5344" spans="1:17" ht="15" customHeight="1" x14ac:dyDescent="0.2">
      <c r="A5344" s="5" t="s">
        <v>5267</v>
      </c>
      <c r="B5344" s="88" t="s">
        <v>6727</v>
      </c>
      <c r="C5344" s="90"/>
      <c r="D5344" s="88" t="s">
        <v>6729</v>
      </c>
      <c r="E5344" s="89"/>
      <c r="F5344" s="90"/>
      <c r="G5344" s="5" t="s">
        <v>1718</v>
      </c>
      <c r="H5344" s="91">
        <v>248</v>
      </c>
      <c r="I5344" s="92"/>
      <c r="J5344" s="93"/>
      <c r="K5344" s="91">
        <v>2</v>
      </c>
      <c r="L5344" s="93"/>
      <c r="M5344" s="88" t="s">
        <v>23</v>
      </c>
      <c r="N5344" s="89"/>
      <c r="O5344" s="90"/>
      <c r="P5344" s="94">
        <v>795535</v>
      </c>
      <c r="Q5344" s="96"/>
    </row>
    <row r="5345" spans="1:17" ht="15" customHeight="1" x14ac:dyDescent="0.2">
      <c r="A5345" s="5" t="s">
        <v>5267</v>
      </c>
      <c r="B5345" s="88" t="s">
        <v>6730</v>
      </c>
      <c r="C5345" s="90"/>
      <c r="D5345" s="88" t="s">
        <v>6731</v>
      </c>
      <c r="E5345" s="89"/>
      <c r="F5345" s="90"/>
      <c r="G5345" s="5" t="s">
        <v>1718</v>
      </c>
      <c r="H5345" s="91">
        <v>248</v>
      </c>
      <c r="I5345" s="92"/>
      <c r="J5345" s="93"/>
      <c r="K5345" s="91">
        <v>2</v>
      </c>
      <c r="L5345" s="93"/>
      <c r="M5345" s="88" t="s">
        <v>23</v>
      </c>
      <c r="N5345" s="89"/>
      <c r="O5345" s="90"/>
      <c r="P5345" s="94">
        <v>752840</v>
      </c>
      <c r="Q5345" s="96"/>
    </row>
    <row r="5346" spans="1:17" ht="15" customHeight="1" x14ac:dyDescent="0.2">
      <c r="A5346" s="5" t="s">
        <v>5267</v>
      </c>
      <c r="B5346" s="88" t="s">
        <v>6732</v>
      </c>
      <c r="C5346" s="90"/>
      <c r="D5346" s="88" t="s">
        <v>6733</v>
      </c>
      <c r="E5346" s="89"/>
      <c r="F5346" s="90"/>
      <c r="G5346" s="5" t="s">
        <v>1718</v>
      </c>
      <c r="H5346" s="91">
        <v>775</v>
      </c>
      <c r="I5346" s="92"/>
      <c r="J5346" s="93"/>
      <c r="K5346" s="91">
        <v>2</v>
      </c>
      <c r="L5346" s="93"/>
      <c r="M5346" s="88" t="s">
        <v>23</v>
      </c>
      <c r="N5346" s="89"/>
      <c r="O5346" s="90"/>
      <c r="P5346" s="94">
        <v>1480064</v>
      </c>
      <c r="Q5346" s="96"/>
    </row>
    <row r="5347" spans="1:17" ht="15" customHeight="1" x14ac:dyDescent="0.2">
      <c r="A5347" s="5" t="s">
        <v>5267</v>
      </c>
      <c r="B5347" s="88" t="s">
        <v>6734</v>
      </c>
      <c r="C5347" s="90"/>
      <c r="D5347" s="88" t="s">
        <v>6733</v>
      </c>
      <c r="E5347" s="89"/>
      <c r="F5347" s="90"/>
      <c r="G5347" s="5" t="s">
        <v>1718</v>
      </c>
      <c r="H5347" s="91">
        <v>775</v>
      </c>
      <c r="I5347" s="92"/>
      <c r="J5347" s="93"/>
      <c r="K5347" s="91">
        <v>2</v>
      </c>
      <c r="L5347" s="93"/>
      <c r="M5347" s="88" t="s">
        <v>23</v>
      </c>
      <c r="N5347" s="89"/>
      <c r="O5347" s="90"/>
      <c r="P5347" s="94">
        <v>1380445</v>
      </c>
      <c r="Q5347" s="96"/>
    </row>
    <row r="5348" spans="1:17" ht="15" customHeight="1" x14ac:dyDescent="0.2">
      <c r="A5348" s="5" t="s">
        <v>5267</v>
      </c>
      <c r="B5348" s="88" t="s">
        <v>6735</v>
      </c>
      <c r="C5348" s="90"/>
      <c r="D5348" s="88" t="s">
        <v>6736</v>
      </c>
      <c r="E5348" s="89"/>
      <c r="F5348" s="90"/>
      <c r="G5348" s="5" t="s">
        <v>1718</v>
      </c>
      <c r="H5348" s="91">
        <v>999</v>
      </c>
      <c r="I5348" s="92"/>
      <c r="J5348" s="93"/>
      <c r="K5348" s="91">
        <v>2</v>
      </c>
      <c r="L5348" s="93"/>
      <c r="M5348" s="88" t="s">
        <v>23</v>
      </c>
      <c r="N5348" s="89"/>
      <c r="O5348" s="90"/>
      <c r="P5348" s="94">
        <v>2445211</v>
      </c>
      <c r="Q5348" s="96"/>
    </row>
    <row r="5349" spans="1:17" ht="15" customHeight="1" x14ac:dyDescent="0.2">
      <c r="A5349" s="5" t="s">
        <v>5267</v>
      </c>
      <c r="B5349" s="88" t="s">
        <v>6737</v>
      </c>
      <c r="C5349" s="90"/>
      <c r="D5349" s="88" t="s">
        <v>6738</v>
      </c>
      <c r="E5349" s="89"/>
      <c r="F5349" s="90"/>
      <c r="G5349" s="5" t="s">
        <v>1718</v>
      </c>
      <c r="H5349" s="91">
        <v>124</v>
      </c>
      <c r="I5349" s="92"/>
      <c r="J5349" s="93"/>
      <c r="K5349" s="91">
        <v>2</v>
      </c>
      <c r="L5349" s="93"/>
      <c r="M5349" s="88" t="s">
        <v>23</v>
      </c>
      <c r="N5349" s="89"/>
      <c r="O5349" s="90"/>
      <c r="P5349" s="94">
        <v>463167</v>
      </c>
      <c r="Q5349" s="96"/>
    </row>
    <row r="5350" spans="1:17" ht="15" customHeight="1" x14ac:dyDescent="0.2">
      <c r="A5350" s="5" t="s">
        <v>5267</v>
      </c>
      <c r="B5350" s="88" t="s">
        <v>6739</v>
      </c>
      <c r="C5350" s="90"/>
      <c r="D5350" s="88" t="s">
        <v>6740</v>
      </c>
      <c r="E5350" s="89"/>
      <c r="F5350" s="90"/>
      <c r="G5350" s="5" t="s">
        <v>1718</v>
      </c>
      <c r="H5350" s="91">
        <v>124</v>
      </c>
      <c r="I5350" s="92"/>
      <c r="J5350" s="93"/>
      <c r="K5350" s="91">
        <v>2</v>
      </c>
      <c r="L5350" s="93"/>
      <c r="M5350" s="88" t="s">
        <v>23</v>
      </c>
      <c r="N5350" s="89"/>
      <c r="O5350" s="90"/>
      <c r="P5350" s="94">
        <v>586333</v>
      </c>
      <c r="Q5350" s="96"/>
    </row>
    <row r="5351" spans="1:17" ht="15" customHeight="1" x14ac:dyDescent="0.2">
      <c r="A5351" s="5" t="s">
        <v>5267</v>
      </c>
      <c r="B5351" s="88" t="s">
        <v>6739</v>
      </c>
      <c r="C5351" s="90"/>
      <c r="D5351" s="88" t="s">
        <v>6738</v>
      </c>
      <c r="E5351" s="89"/>
      <c r="F5351" s="90"/>
      <c r="G5351" s="5" t="s">
        <v>1718</v>
      </c>
      <c r="H5351" s="91">
        <v>124</v>
      </c>
      <c r="I5351" s="92"/>
      <c r="J5351" s="93"/>
      <c r="K5351" s="91">
        <v>2</v>
      </c>
      <c r="L5351" s="93"/>
      <c r="M5351" s="88" t="s">
        <v>23</v>
      </c>
      <c r="N5351" s="89"/>
      <c r="O5351" s="90"/>
      <c r="P5351" s="94">
        <v>537946</v>
      </c>
      <c r="Q5351" s="96"/>
    </row>
    <row r="5352" spans="1:17" ht="15" customHeight="1" x14ac:dyDescent="0.2">
      <c r="A5352" s="5" t="s">
        <v>5267</v>
      </c>
      <c r="B5352" s="88" t="s">
        <v>6741</v>
      </c>
      <c r="C5352" s="90"/>
      <c r="D5352" s="88" t="s">
        <v>6742</v>
      </c>
      <c r="E5352" s="89"/>
      <c r="F5352" s="90"/>
      <c r="G5352" s="5" t="s">
        <v>1718</v>
      </c>
      <c r="H5352" s="91">
        <v>998</v>
      </c>
      <c r="I5352" s="92"/>
      <c r="J5352" s="93"/>
      <c r="K5352" s="91">
        <v>2</v>
      </c>
      <c r="L5352" s="93"/>
      <c r="M5352" s="88" t="s">
        <v>23</v>
      </c>
      <c r="N5352" s="89"/>
      <c r="O5352" s="90"/>
      <c r="P5352" s="94">
        <v>1850080</v>
      </c>
      <c r="Q5352" s="96"/>
    </row>
    <row r="5353" spans="1:17" ht="15" customHeight="1" x14ac:dyDescent="0.2">
      <c r="A5353" s="5" t="s">
        <v>5267</v>
      </c>
      <c r="B5353" s="88" t="s">
        <v>6743</v>
      </c>
      <c r="C5353" s="90"/>
      <c r="D5353" s="88" t="s">
        <v>6743</v>
      </c>
      <c r="E5353" s="89"/>
      <c r="F5353" s="90"/>
      <c r="G5353" s="5" t="s">
        <v>1718</v>
      </c>
      <c r="H5353" s="91">
        <v>998</v>
      </c>
      <c r="I5353" s="92"/>
      <c r="J5353" s="93"/>
      <c r="K5353" s="91">
        <v>2</v>
      </c>
      <c r="L5353" s="93"/>
      <c r="M5353" s="88" t="s">
        <v>23</v>
      </c>
      <c r="N5353" s="89"/>
      <c r="O5353" s="90"/>
      <c r="P5353" s="94">
        <v>1355863</v>
      </c>
      <c r="Q5353" s="96"/>
    </row>
    <row r="5354" spans="1:17" ht="15" customHeight="1" x14ac:dyDescent="0.2">
      <c r="A5354" s="5" t="s">
        <v>5267</v>
      </c>
      <c r="B5354" s="88" t="s">
        <v>6743</v>
      </c>
      <c r="C5354" s="90"/>
      <c r="D5354" s="88" t="s">
        <v>6744</v>
      </c>
      <c r="E5354" s="89"/>
      <c r="F5354" s="90"/>
      <c r="G5354" s="5" t="s">
        <v>1718</v>
      </c>
      <c r="H5354" s="91">
        <v>998</v>
      </c>
      <c r="I5354" s="92"/>
      <c r="J5354" s="93"/>
      <c r="K5354" s="91">
        <v>2</v>
      </c>
      <c r="L5354" s="93"/>
      <c r="M5354" s="88" t="s">
        <v>23</v>
      </c>
      <c r="N5354" s="89"/>
      <c r="O5354" s="90"/>
      <c r="P5354" s="94">
        <v>1355863</v>
      </c>
      <c r="Q5354" s="96"/>
    </row>
    <row r="5355" spans="1:17" ht="15" customHeight="1" x14ac:dyDescent="0.2">
      <c r="A5355" s="5" t="s">
        <v>5267</v>
      </c>
      <c r="B5355" s="88" t="s">
        <v>6745</v>
      </c>
      <c r="C5355" s="90"/>
      <c r="D5355" s="88" t="s">
        <v>6746</v>
      </c>
      <c r="E5355" s="89"/>
      <c r="F5355" s="90"/>
      <c r="G5355" s="5" t="s">
        <v>1718</v>
      </c>
      <c r="H5355" s="91">
        <v>998</v>
      </c>
      <c r="I5355" s="92"/>
      <c r="J5355" s="93"/>
      <c r="K5355" s="91">
        <v>2</v>
      </c>
      <c r="L5355" s="93"/>
      <c r="M5355" s="88" t="s">
        <v>23</v>
      </c>
      <c r="N5355" s="89"/>
      <c r="O5355" s="90"/>
      <c r="P5355" s="94">
        <v>1420551</v>
      </c>
      <c r="Q5355" s="96"/>
    </row>
    <row r="5356" spans="1:17" ht="15" customHeight="1" x14ac:dyDescent="0.2">
      <c r="A5356" s="5" t="s">
        <v>5267</v>
      </c>
      <c r="B5356" s="88" t="s">
        <v>6747</v>
      </c>
      <c r="C5356" s="90"/>
      <c r="D5356" s="88" t="s">
        <v>6742</v>
      </c>
      <c r="E5356" s="89"/>
      <c r="F5356" s="90"/>
      <c r="G5356" s="5" t="s">
        <v>1718</v>
      </c>
      <c r="H5356" s="91">
        <v>998</v>
      </c>
      <c r="I5356" s="92"/>
      <c r="J5356" s="93"/>
      <c r="K5356" s="91">
        <v>2</v>
      </c>
      <c r="L5356" s="93"/>
      <c r="M5356" s="88" t="s">
        <v>23</v>
      </c>
      <c r="N5356" s="89"/>
      <c r="O5356" s="90"/>
      <c r="P5356" s="94">
        <v>2063551</v>
      </c>
      <c r="Q5356" s="96"/>
    </row>
    <row r="5357" spans="1:17" ht="15" customHeight="1" x14ac:dyDescent="0.2">
      <c r="A5357" s="5" t="s">
        <v>5267</v>
      </c>
      <c r="B5357" s="88" t="s">
        <v>6748</v>
      </c>
      <c r="C5357" s="90"/>
      <c r="D5357" s="88" t="s">
        <v>6742</v>
      </c>
      <c r="E5357" s="89"/>
      <c r="F5357" s="90"/>
      <c r="G5357" s="5" t="s">
        <v>1718</v>
      </c>
      <c r="H5357" s="91">
        <v>998</v>
      </c>
      <c r="I5357" s="92"/>
      <c r="J5357" s="93"/>
      <c r="K5357" s="91">
        <v>2</v>
      </c>
      <c r="L5357" s="93"/>
      <c r="M5357" s="88" t="s">
        <v>23</v>
      </c>
      <c r="N5357" s="89"/>
      <c r="O5357" s="90"/>
      <c r="P5357" s="94">
        <v>2575881</v>
      </c>
      <c r="Q5357" s="96"/>
    </row>
    <row r="5358" spans="1:17" ht="15" customHeight="1" x14ac:dyDescent="0.2">
      <c r="A5358" s="5" t="s">
        <v>5267</v>
      </c>
      <c r="B5358" s="88" t="s">
        <v>6749</v>
      </c>
      <c r="C5358" s="90"/>
      <c r="D5358" s="88" t="s">
        <v>6750</v>
      </c>
      <c r="E5358" s="89"/>
      <c r="F5358" s="90"/>
      <c r="G5358" s="5" t="s">
        <v>1718</v>
      </c>
      <c r="H5358" s="91">
        <v>124</v>
      </c>
      <c r="I5358" s="92"/>
      <c r="J5358" s="93"/>
      <c r="K5358" s="91">
        <v>2</v>
      </c>
      <c r="L5358" s="93"/>
      <c r="M5358" s="88" t="s">
        <v>23</v>
      </c>
      <c r="N5358" s="89"/>
      <c r="O5358" s="90"/>
      <c r="P5358" s="94">
        <v>424354</v>
      </c>
      <c r="Q5358" s="96"/>
    </row>
    <row r="5359" spans="1:17" ht="15" customHeight="1" x14ac:dyDescent="0.2">
      <c r="A5359" s="5" t="s">
        <v>5267</v>
      </c>
      <c r="B5359" s="88" t="s">
        <v>6751</v>
      </c>
      <c r="C5359" s="90"/>
      <c r="D5359" s="88" t="s">
        <v>6750</v>
      </c>
      <c r="E5359" s="89"/>
      <c r="F5359" s="90"/>
      <c r="G5359" s="5" t="s">
        <v>1718</v>
      </c>
      <c r="H5359" s="91">
        <v>124</v>
      </c>
      <c r="I5359" s="92"/>
      <c r="J5359" s="93"/>
      <c r="K5359" s="91">
        <v>2</v>
      </c>
      <c r="L5359" s="93"/>
      <c r="M5359" s="88" t="s">
        <v>23</v>
      </c>
      <c r="N5359" s="89"/>
      <c r="O5359" s="90"/>
      <c r="P5359" s="94">
        <v>424354</v>
      </c>
      <c r="Q5359" s="96"/>
    </row>
    <row r="5360" spans="1:17" ht="15" customHeight="1" x14ac:dyDescent="0.2">
      <c r="A5360" s="5" t="s">
        <v>5267</v>
      </c>
      <c r="B5360" s="88" t="s">
        <v>6751</v>
      </c>
      <c r="C5360" s="90"/>
      <c r="D5360" s="88" t="s">
        <v>6740</v>
      </c>
      <c r="E5360" s="89"/>
      <c r="F5360" s="90"/>
      <c r="G5360" s="5" t="s">
        <v>1718</v>
      </c>
      <c r="H5360" s="91">
        <v>124</v>
      </c>
      <c r="I5360" s="92"/>
      <c r="J5360" s="93"/>
      <c r="K5360" s="91">
        <v>2</v>
      </c>
      <c r="L5360" s="93"/>
      <c r="M5360" s="88" t="s">
        <v>23</v>
      </c>
      <c r="N5360" s="89"/>
      <c r="O5360" s="90"/>
      <c r="P5360" s="94">
        <v>543639</v>
      </c>
      <c r="Q5360" s="96"/>
    </row>
    <row r="5361" spans="1:17" ht="15" customHeight="1" x14ac:dyDescent="0.2">
      <c r="A5361" s="5" t="s">
        <v>5267</v>
      </c>
      <c r="B5361" s="88" t="s">
        <v>6751</v>
      </c>
      <c r="C5361" s="90"/>
      <c r="D5361" s="88" t="s">
        <v>6752</v>
      </c>
      <c r="E5361" s="89"/>
      <c r="F5361" s="90"/>
      <c r="G5361" s="5" t="s">
        <v>1718</v>
      </c>
      <c r="H5361" s="91">
        <v>124</v>
      </c>
      <c r="I5361" s="92"/>
      <c r="J5361" s="93"/>
      <c r="K5361" s="91">
        <v>2</v>
      </c>
      <c r="L5361" s="93"/>
      <c r="M5361" s="88" t="s">
        <v>23</v>
      </c>
      <c r="N5361" s="89"/>
      <c r="O5361" s="90"/>
      <c r="P5361" s="94">
        <v>495252</v>
      </c>
      <c r="Q5361" s="96"/>
    </row>
    <row r="5362" spans="1:17" ht="15" customHeight="1" x14ac:dyDescent="0.2">
      <c r="A5362" s="5" t="s">
        <v>5267</v>
      </c>
      <c r="B5362" s="88" t="s">
        <v>6753</v>
      </c>
      <c r="C5362" s="90"/>
      <c r="D5362" s="88" t="s">
        <v>6754</v>
      </c>
      <c r="E5362" s="89"/>
      <c r="F5362" s="90"/>
      <c r="G5362" s="5" t="s">
        <v>1718</v>
      </c>
      <c r="H5362" s="91">
        <v>749</v>
      </c>
      <c r="I5362" s="92"/>
      <c r="J5362" s="93"/>
      <c r="K5362" s="91">
        <v>2</v>
      </c>
      <c r="L5362" s="93"/>
      <c r="M5362" s="88" t="s">
        <v>23</v>
      </c>
      <c r="N5362" s="89"/>
      <c r="O5362" s="90"/>
      <c r="P5362" s="94">
        <v>1161799</v>
      </c>
      <c r="Q5362" s="96"/>
    </row>
    <row r="5363" spans="1:17" ht="15" customHeight="1" x14ac:dyDescent="0.2">
      <c r="A5363" s="5" t="s">
        <v>5267</v>
      </c>
      <c r="B5363" s="88" t="s">
        <v>6755</v>
      </c>
      <c r="C5363" s="90"/>
      <c r="D5363" s="88" t="s">
        <v>6754</v>
      </c>
      <c r="E5363" s="89"/>
      <c r="F5363" s="90"/>
      <c r="G5363" s="5" t="s">
        <v>1718</v>
      </c>
      <c r="H5363" s="91">
        <v>749</v>
      </c>
      <c r="I5363" s="92"/>
      <c r="J5363" s="93"/>
      <c r="K5363" s="91">
        <v>2</v>
      </c>
      <c r="L5363" s="93"/>
      <c r="M5363" s="88" t="s">
        <v>23</v>
      </c>
      <c r="N5363" s="89"/>
      <c r="O5363" s="90"/>
      <c r="P5363" s="94">
        <v>1161799</v>
      </c>
      <c r="Q5363" s="96"/>
    </row>
    <row r="5364" spans="1:17" ht="15" customHeight="1" x14ac:dyDescent="0.2">
      <c r="A5364" s="5" t="s">
        <v>5267</v>
      </c>
      <c r="B5364" s="88" t="s">
        <v>6756</v>
      </c>
      <c r="C5364" s="90"/>
      <c r="D5364" s="88" t="s">
        <v>6757</v>
      </c>
      <c r="E5364" s="89"/>
      <c r="F5364" s="90"/>
      <c r="G5364" s="5" t="s">
        <v>1718</v>
      </c>
      <c r="H5364" s="91">
        <v>1339</v>
      </c>
      <c r="I5364" s="92"/>
      <c r="J5364" s="93"/>
      <c r="K5364" s="91">
        <v>2</v>
      </c>
      <c r="L5364" s="93"/>
      <c r="M5364" s="88" t="s">
        <v>23</v>
      </c>
      <c r="N5364" s="89"/>
      <c r="O5364" s="90"/>
      <c r="P5364" s="94">
        <v>2789352</v>
      </c>
      <c r="Q5364" s="96"/>
    </row>
    <row r="5365" spans="1:17" ht="15" customHeight="1" x14ac:dyDescent="0.2">
      <c r="A5365" s="5" t="s">
        <v>5267</v>
      </c>
      <c r="B5365" s="88" t="s">
        <v>6758</v>
      </c>
      <c r="C5365" s="90"/>
      <c r="D5365" s="88" t="s">
        <v>6757</v>
      </c>
      <c r="E5365" s="89"/>
      <c r="F5365" s="90"/>
      <c r="G5365" s="5" t="s">
        <v>1718</v>
      </c>
      <c r="H5365" s="91">
        <v>1339</v>
      </c>
      <c r="I5365" s="92"/>
      <c r="J5365" s="93"/>
      <c r="K5365" s="91">
        <v>2</v>
      </c>
      <c r="L5365" s="93"/>
      <c r="M5365" s="88" t="s">
        <v>23</v>
      </c>
      <c r="N5365" s="89"/>
      <c r="O5365" s="90"/>
      <c r="P5365" s="94">
        <v>2789352</v>
      </c>
      <c r="Q5365" s="96"/>
    </row>
    <row r="5366" spans="1:17" ht="15" customHeight="1" x14ac:dyDescent="0.2">
      <c r="A5366" s="5" t="s">
        <v>5267</v>
      </c>
      <c r="B5366" s="88" t="s">
        <v>6759</v>
      </c>
      <c r="C5366" s="90"/>
      <c r="D5366" s="88" t="s">
        <v>6746</v>
      </c>
      <c r="E5366" s="89"/>
      <c r="F5366" s="90"/>
      <c r="G5366" s="5" t="s">
        <v>1718</v>
      </c>
      <c r="H5366" s="91">
        <v>998</v>
      </c>
      <c r="I5366" s="92"/>
      <c r="J5366" s="93"/>
      <c r="K5366" s="91">
        <v>2</v>
      </c>
      <c r="L5366" s="93"/>
      <c r="M5366" s="88" t="s">
        <v>23</v>
      </c>
      <c r="N5366" s="89"/>
      <c r="O5366" s="90"/>
      <c r="P5366" s="94">
        <v>1811268</v>
      </c>
      <c r="Q5366" s="96"/>
    </row>
    <row r="5367" spans="1:17" ht="15" customHeight="1" x14ac:dyDescent="0.2">
      <c r="A5367" s="5" t="s">
        <v>5267</v>
      </c>
      <c r="B5367" s="88" t="s">
        <v>6759</v>
      </c>
      <c r="C5367" s="90"/>
      <c r="D5367" s="88" t="s">
        <v>6742</v>
      </c>
      <c r="E5367" s="89"/>
      <c r="F5367" s="90"/>
      <c r="G5367" s="5" t="s">
        <v>1718</v>
      </c>
      <c r="H5367" s="91">
        <v>998</v>
      </c>
      <c r="I5367" s="92"/>
      <c r="J5367" s="93"/>
      <c r="K5367" s="91">
        <v>2</v>
      </c>
      <c r="L5367" s="93"/>
      <c r="M5367" s="88" t="s">
        <v>23</v>
      </c>
      <c r="N5367" s="89"/>
      <c r="O5367" s="90"/>
      <c r="P5367" s="94">
        <v>2077783</v>
      </c>
      <c r="Q5367" s="96"/>
    </row>
    <row r="5368" spans="1:17" ht="15" customHeight="1" x14ac:dyDescent="0.2">
      <c r="A5368" s="5" t="s">
        <v>5267</v>
      </c>
      <c r="B5368" s="88" t="s">
        <v>6759</v>
      </c>
      <c r="C5368" s="90"/>
      <c r="D5368" s="88" t="s">
        <v>6746</v>
      </c>
      <c r="E5368" s="89"/>
      <c r="F5368" s="90"/>
      <c r="G5368" s="5" t="s">
        <v>1718</v>
      </c>
      <c r="H5368" s="91">
        <v>998</v>
      </c>
      <c r="I5368" s="92"/>
      <c r="J5368" s="93"/>
      <c r="K5368" s="91">
        <v>2</v>
      </c>
      <c r="L5368" s="93"/>
      <c r="M5368" s="88" t="s">
        <v>23</v>
      </c>
      <c r="N5368" s="89"/>
      <c r="O5368" s="90"/>
      <c r="P5368" s="94">
        <v>1992394</v>
      </c>
      <c r="Q5368" s="96"/>
    </row>
    <row r="5369" spans="1:17" ht="15" customHeight="1" x14ac:dyDescent="0.2">
      <c r="A5369" s="5" t="s">
        <v>5267</v>
      </c>
      <c r="B5369" s="88" t="s">
        <v>6760</v>
      </c>
      <c r="C5369" s="90"/>
      <c r="D5369" s="88" t="s">
        <v>6761</v>
      </c>
      <c r="E5369" s="89"/>
      <c r="F5369" s="90"/>
      <c r="G5369" s="5" t="s">
        <v>770</v>
      </c>
      <c r="H5369" s="91">
        <v>49</v>
      </c>
      <c r="I5369" s="92"/>
      <c r="J5369" s="93"/>
      <c r="K5369" s="91">
        <v>1</v>
      </c>
      <c r="L5369" s="93"/>
      <c r="M5369" s="88" t="s">
        <v>23</v>
      </c>
      <c r="N5369" s="89"/>
      <c r="O5369" s="90"/>
      <c r="P5369" s="94">
        <v>195358</v>
      </c>
      <c r="Q5369" s="96"/>
    </row>
    <row r="5370" spans="1:17" ht="15" customHeight="1" x14ac:dyDescent="0.2">
      <c r="A5370" s="5" t="s">
        <v>5267</v>
      </c>
      <c r="B5370" s="88" t="s">
        <v>6760</v>
      </c>
      <c r="C5370" s="90"/>
      <c r="D5370" s="88" t="s">
        <v>6761</v>
      </c>
      <c r="E5370" s="89"/>
      <c r="F5370" s="90"/>
      <c r="G5370" s="5" t="s">
        <v>770</v>
      </c>
      <c r="H5370" s="91">
        <v>49</v>
      </c>
      <c r="I5370" s="92"/>
      <c r="J5370" s="93"/>
      <c r="K5370" s="91">
        <v>1</v>
      </c>
      <c r="L5370" s="93"/>
      <c r="M5370" s="88" t="s">
        <v>23</v>
      </c>
      <c r="N5370" s="89"/>
      <c r="O5370" s="90"/>
      <c r="P5370" s="94">
        <v>195358</v>
      </c>
      <c r="Q5370" s="96"/>
    </row>
    <row r="5371" spans="1:17" ht="15" customHeight="1" x14ac:dyDescent="0.2">
      <c r="A5371" s="5" t="s">
        <v>5267</v>
      </c>
      <c r="B5371" s="88" t="s">
        <v>6762</v>
      </c>
      <c r="C5371" s="90"/>
      <c r="D5371" s="88" t="s">
        <v>6761</v>
      </c>
      <c r="E5371" s="89"/>
      <c r="F5371" s="90"/>
      <c r="G5371" s="5" t="s">
        <v>770</v>
      </c>
      <c r="H5371" s="91">
        <v>49</v>
      </c>
      <c r="I5371" s="92"/>
      <c r="J5371" s="93"/>
      <c r="K5371" s="91">
        <v>1</v>
      </c>
      <c r="L5371" s="93"/>
      <c r="M5371" s="88" t="s">
        <v>23</v>
      </c>
      <c r="N5371" s="89"/>
      <c r="O5371" s="90"/>
      <c r="P5371" s="94">
        <v>218646</v>
      </c>
      <c r="Q5371" s="96"/>
    </row>
    <row r="5372" spans="1:17" ht="15" customHeight="1" x14ac:dyDescent="0.2">
      <c r="A5372" s="5" t="s">
        <v>5267</v>
      </c>
      <c r="B5372" s="88" t="s">
        <v>6763</v>
      </c>
      <c r="C5372" s="90"/>
      <c r="D5372" s="88" t="s">
        <v>6764</v>
      </c>
      <c r="E5372" s="89"/>
      <c r="F5372" s="90"/>
      <c r="G5372" s="5" t="s">
        <v>1718</v>
      </c>
      <c r="H5372" s="91">
        <v>84</v>
      </c>
      <c r="I5372" s="92"/>
      <c r="J5372" s="93"/>
      <c r="K5372" s="91">
        <v>1</v>
      </c>
      <c r="L5372" s="93"/>
      <c r="M5372" s="88" t="s">
        <v>23</v>
      </c>
      <c r="N5372" s="89"/>
      <c r="O5372" s="90"/>
      <c r="P5372" s="94">
        <v>547262</v>
      </c>
      <c r="Q5372" s="96"/>
    </row>
    <row r="5373" spans="1:17" ht="15" customHeight="1" x14ac:dyDescent="0.2">
      <c r="A5373" s="5" t="s">
        <v>5267</v>
      </c>
      <c r="B5373" s="88" t="s">
        <v>6765</v>
      </c>
      <c r="C5373" s="90"/>
      <c r="D5373" s="88" t="s">
        <v>6766</v>
      </c>
      <c r="E5373" s="89"/>
      <c r="F5373" s="90"/>
      <c r="G5373" s="5" t="s">
        <v>963</v>
      </c>
      <c r="H5373" s="91">
        <v>249</v>
      </c>
      <c r="I5373" s="92"/>
      <c r="J5373" s="93"/>
      <c r="K5373" s="91">
        <v>1</v>
      </c>
      <c r="L5373" s="93"/>
      <c r="M5373" s="88" t="s">
        <v>23</v>
      </c>
      <c r="N5373" s="89"/>
      <c r="O5373" s="90"/>
      <c r="P5373" s="94">
        <v>912103</v>
      </c>
      <c r="Q5373" s="96"/>
    </row>
    <row r="5374" spans="1:17" ht="15" customHeight="1" x14ac:dyDescent="0.2">
      <c r="A5374" s="5" t="s">
        <v>5267</v>
      </c>
      <c r="B5374" s="88" t="s">
        <v>6765</v>
      </c>
      <c r="C5374" s="90"/>
      <c r="D5374" s="88" t="s">
        <v>6767</v>
      </c>
      <c r="E5374" s="89"/>
      <c r="F5374" s="90"/>
      <c r="G5374" s="5" t="s">
        <v>963</v>
      </c>
      <c r="H5374" s="91">
        <v>249</v>
      </c>
      <c r="I5374" s="92"/>
      <c r="J5374" s="93"/>
      <c r="K5374" s="91">
        <v>1</v>
      </c>
      <c r="L5374" s="93"/>
      <c r="M5374" s="88" t="s">
        <v>23</v>
      </c>
      <c r="N5374" s="89"/>
      <c r="O5374" s="90"/>
      <c r="P5374" s="94">
        <v>892696</v>
      </c>
      <c r="Q5374" s="96"/>
    </row>
    <row r="5375" spans="1:17" ht="15" customHeight="1" x14ac:dyDescent="0.2">
      <c r="A5375" s="5" t="s">
        <v>5267</v>
      </c>
      <c r="B5375" s="88" t="s">
        <v>6768</v>
      </c>
      <c r="C5375" s="90"/>
      <c r="D5375" s="88" t="s">
        <v>6769</v>
      </c>
      <c r="E5375" s="89"/>
      <c r="F5375" s="90"/>
      <c r="G5375" s="5" t="s">
        <v>963</v>
      </c>
      <c r="H5375" s="91">
        <v>449</v>
      </c>
      <c r="I5375" s="92"/>
      <c r="J5375" s="93"/>
      <c r="K5375" s="91">
        <v>1</v>
      </c>
      <c r="L5375" s="93"/>
      <c r="M5375" s="88" t="s">
        <v>23</v>
      </c>
      <c r="N5375" s="89"/>
      <c r="O5375" s="90"/>
      <c r="P5375" s="94">
        <v>1086761</v>
      </c>
      <c r="Q5375" s="96"/>
    </row>
    <row r="5376" spans="1:17" ht="15" customHeight="1" x14ac:dyDescent="0.2">
      <c r="A5376" s="5" t="s">
        <v>5267</v>
      </c>
      <c r="B5376" s="88" t="s">
        <v>6770</v>
      </c>
      <c r="C5376" s="90"/>
      <c r="D5376" s="88" t="s">
        <v>6771</v>
      </c>
      <c r="E5376" s="89"/>
      <c r="F5376" s="90"/>
      <c r="G5376" s="5" t="s">
        <v>770</v>
      </c>
      <c r="H5376" s="91">
        <v>638</v>
      </c>
      <c r="I5376" s="92"/>
      <c r="J5376" s="93"/>
      <c r="K5376" s="91">
        <v>2</v>
      </c>
      <c r="L5376" s="93"/>
      <c r="M5376" s="88" t="s">
        <v>23</v>
      </c>
      <c r="N5376" s="89"/>
      <c r="O5376" s="90"/>
      <c r="P5376" s="94">
        <v>1371388</v>
      </c>
      <c r="Q5376" s="96"/>
    </row>
    <row r="5377" spans="1:17" ht="15" customHeight="1" x14ac:dyDescent="0.2">
      <c r="A5377" s="5" t="s">
        <v>5267</v>
      </c>
      <c r="B5377" s="88" t="s">
        <v>6772</v>
      </c>
      <c r="C5377" s="90"/>
      <c r="D5377" s="88" t="s">
        <v>6773</v>
      </c>
      <c r="E5377" s="89"/>
      <c r="F5377" s="90"/>
      <c r="G5377" s="5" t="s">
        <v>1718</v>
      </c>
      <c r="H5377" s="91">
        <v>645</v>
      </c>
      <c r="I5377" s="92"/>
      <c r="J5377" s="93"/>
      <c r="K5377" s="91">
        <v>2</v>
      </c>
      <c r="L5377" s="93"/>
      <c r="M5377" s="88" t="s">
        <v>23</v>
      </c>
      <c r="N5377" s="89"/>
      <c r="O5377" s="90"/>
      <c r="P5377" s="94">
        <v>820245</v>
      </c>
      <c r="Q5377" s="96"/>
    </row>
    <row r="5378" spans="1:17" ht="15" customHeight="1" x14ac:dyDescent="0.2">
      <c r="A5378" s="5" t="s">
        <v>5267</v>
      </c>
      <c r="B5378" s="88" t="s">
        <v>6772</v>
      </c>
      <c r="C5378" s="90"/>
      <c r="D5378" s="88" t="s">
        <v>6774</v>
      </c>
      <c r="E5378" s="89"/>
      <c r="F5378" s="90"/>
      <c r="G5378" s="5" t="s">
        <v>1718</v>
      </c>
      <c r="H5378" s="91">
        <v>645</v>
      </c>
      <c r="I5378" s="92"/>
      <c r="J5378" s="93"/>
      <c r="K5378" s="91">
        <v>2</v>
      </c>
      <c r="L5378" s="93"/>
      <c r="M5378" s="88" t="s">
        <v>23</v>
      </c>
      <c r="N5378" s="89"/>
      <c r="O5378" s="90"/>
      <c r="P5378" s="94">
        <v>1038891</v>
      </c>
      <c r="Q5378" s="96"/>
    </row>
    <row r="5379" spans="1:17" ht="15" customHeight="1" x14ac:dyDescent="0.2">
      <c r="A5379" s="5" t="s">
        <v>5267</v>
      </c>
      <c r="B5379" s="88" t="s">
        <v>6775</v>
      </c>
      <c r="C5379" s="90"/>
      <c r="D5379" s="88" t="s">
        <v>6773</v>
      </c>
      <c r="E5379" s="89"/>
      <c r="F5379" s="90"/>
      <c r="G5379" s="5" t="s">
        <v>1718</v>
      </c>
      <c r="H5379" s="91">
        <v>645</v>
      </c>
      <c r="I5379" s="92"/>
      <c r="J5379" s="93"/>
      <c r="K5379" s="91">
        <v>2</v>
      </c>
      <c r="L5379" s="93"/>
      <c r="M5379" s="88" t="s">
        <v>23</v>
      </c>
      <c r="N5379" s="89"/>
      <c r="O5379" s="90"/>
      <c r="P5379" s="94">
        <v>936684</v>
      </c>
      <c r="Q5379" s="96"/>
    </row>
    <row r="5380" spans="1:17" ht="15" customHeight="1" x14ac:dyDescent="0.2">
      <c r="A5380" s="5" t="s">
        <v>5267</v>
      </c>
      <c r="B5380" s="88" t="s">
        <v>6775</v>
      </c>
      <c r="C5380" s="90"/>
      <c r="D5380" s="88" t="s">
        <v>6774</v>
      </c>
      <c r="E5380" s="89"/>
      <c r="F5380" s="90"/>
      <c r="G5380" s="5" t="s">
        <v>1718</v>
      </c>
      <c r="H5380" s="91">
        <v>645</v>
      </c>
      <c r="I5380" s="92"/>
      <c r="J5380" s="93"/>
      <c r="K5380" s="91">
        <v>2</v>
      </c>
      <c r="L5380" s="93"/>
      <c r="M5380" s="88" t="s">
        <v>23</v>
      </c>
      <c r="N5380" s="89"/>
      <c r="O5380" s="90"/>
      <c r="P5380" s="94">
        <v>1095817</v>
      </c>
      <c r="Q5380" s="96"/>
    </row>
    <row r="5381" spans="1:17" ht="15" customHeight="1" x14ac:dyDescent="0.2">
      <c r="A5381" s="5" t="s">
        <v>5267</v>
      </c>
      <c r="B5381" s="88" t="s">
        <v>6776</v>
      </c>
      <c r="C5381" s="90"/>
      <c r="D5381" s="88" t="s">
        <v>6773</v>
      </c>
      <c r="E5381" s="89"/>
      <c r="F5381" s="90"/>
      <c r="G5381" s="5" t="s">
        <v>1718</v>
      </c>
      <c r="H5381" s="91">
        <v>645</v>
      </c>
      <c r="I5381" s="92"/>
      <c r="J5381" s="93"/>
      <c r="K5381" s="91">
        <v>2</v>
      </c>
      <c r="L5381" s="93"/>
      <c r="M5381" s="88" t="s">
        <v>23</v>
      </c>
      <c r="N5381" s="89"/>
      <c r="O5381" s="90"/>
      <c r="P5381" s="94">
        <v>1016121</v>
      </c>
      <c r="Q5381" s="96"/>
    </row>
    <row r="5382" spans="1:17" ht="15" customHeight="1" x14ac:dyDescent="0.2">
      <c r="A5382" s="5" t="s">
        <v>5267</v>
      </c>
      <c r="B5382" s="88" t="s">
        <v>6777</v>
      </c>
      <c r="C5382" s="90"/>
      <c r="D5382" s="88" t="s">
        <v>6778</v>
      </c>
      <c r="E5382" s="89"/>
      <c r="F5382" s="90"/>
      <c r="G5382" s="5" t="s">
        <v>770</v>
      </c>
      <c r="H5382" s="91">
        <v>124</v>
      </c>
      <c r="I5382" s="92"/>
      <c r="J5382" s="93"/>
      <c r="K5382" s="91">
        <v>2</v>
      </c>
      <c r="L5382" s="93"/>
      <c r="M5382" s="88" t="s">
        <v>23</v>
      </c>
      <c r="N5382" s="89"/>
      <c r="O5382" s="90"/>
      <c r="P5382" s="94">
        <v>381660</v>
      </c>
      <c r="Q5382" s="96"/>
    </row>
    <row r="5383" spans="1:17" ht="15" customHeight="1" x14ac:dyDescent="0.2">
      <c r="A5383" s="5" t="s">
        <v>5267</v>
      </c>
      <c r="B5383" s="88" t="s">
        <v>6779</v>
      </c>
      <c r="C5383" s="90"/>
      <c r="D5383" s="88" t="s">
        <v>6778</v>
      </c>
      <c r="E5383" s="89"/>
      <c r="F5383" s="90"/>
      <c r="G5383" s="5" t="s">
        <v>770</v>
      </c>
      <c r="H5383" s="91">
        <v>124</v>
      </c>
      <c r="I5383" s="92"/>
      <c r="J5383" s="93"/>
      <c r="K5383" s="91">
        <v>2</v>
      </c>
      <c r="L5383" s="93"/>
      <c r="M5383" s="88" t="s">
        <v>23</v>
      </c>
      <c r="N5383" s="89"/>
      <c r="O5383" s="90"/>
      <c r="P5383" s="94">
        <v>407535</v>
      </c>
      <c r="Q5383" s="96"/>
    </row>
    <row r="5384" spans="1:17" ht="15" customHeight="1" x14ac:dyDescent="0.2">
      <c r="A5384" s="5" t="s">
        <v>5267</v>
      </c>
      <c r="B5384" s="88" t="s">
        <v>6780</v>
      </c>
      <c r="C5384" s="90"/>
      <c r="D5384" s="88" t="s">
        <v>6781</v>
      </c>
      <c r="E5384" s="89"/>
      <c r="F5384" s="90"/>
      <c r="G5384" s="5" t="s">
        <v>1718</v>
      </c>
      <c r="H5384" s="91">
        <v>1036</v>
      </c>
      <c r="I5384" s="92"/>
      <c r="J5384" s="93"/>
      <c r="K5384" s="91">
        <v>2</v>
      </c>
      <c r="L5384" s="93"/>
      <c r="M5384" s="88" t="s">
        <v>23</v>
      </c>
      <c r="N5384" s="89"/>
      <c r="O5384" s="90"/>
      <c r="P5384" s="94">
        <v>1681891</v>
      </c>
      <c r="Q5384" s="96"/>
    </row>
    <row r="5385" spans="1:17" ht="15" customHeight="1" x14ac:dyDescent="0.2">
      <c r="A5385" s="5" t="s">
        <v>5267</v>
      </c>
      <c r="B5385" s="88" t="s">
        <v>6782</v>
      </c>
      <c r="C5385" s="90"/>
      <c r="D5385" s="88" t="s">
        <v>6781</v>
      </c>
      <c r="E5385" s="89"/>
      <c r="F5385" s="90"/>
      <c r="G5385" s="5" t="s">
        <v>1718</v>
      </c>
      <c r="H5385" s="91">
        <v>1036</v>
      </c>
      <c r="I5385" s="92"/>
      <c r="J5385" s="93"/>
      <c r="K5385" s="91">
        <v>2</v>
      </c>
      <c r="L5385" s="93"/>
      <c r="M5385" s="88" t="s">
        <v>23</v>
      </c>
      <c r="N5385" s="89"/>
      <c r="O5385" s="90"/>
      <c r="P5385" s="94">
        <v>1733642</v>
      </c>
      <c r="Q5385" s="96"/>
    </row>
    <row r="5386" spans="1:17" ht="15" customHeight="1" x14ac:dyDescent="0.2">
      <c r="A5386" s="5" t="s">
        <v>5267</v>
      </c>
      <c r="B5386" s="88" t="s">
        <v>6783</v>
      </c>
      <c r="C5386" s="90"/>
      <c r="D5386" s="88" t="s">
        <v>6784</v>
      </c>
      <c r="E5386" s="89"/>
      <c r="F5386" s="90"/>
      <c r="G5386" s="5" t="s">
        <v>1718</v>
      </c>
      <c r="H5386" s="91">
        <v>1036</v>
      </c>
      <c r="I5386" s="92"/>
      <c r="J5386" s="93"/>
      <c r="K5386" s="91">
        <v>2</v>
      </c>
      <c r="L5386" s="93"/>
      <c r="M5386" s="88" t="s">
        <v>23</v>
      </c>
      <c r="N5386" s="89"/>
      <c r="O5386" s="90"/>
      <c r="P5386" s="94">
        <v>1681891</v>
      </c>
      <c r="Q5386" s="96"/>
    </row>
    <row r="5387" spans="1:17" ht="15" customHeight="1" x14ac:dyDescent="0.2">
      <c r="A5387" s="5" t="s">
        <v>5267</v>
      </c>
      <c r="B5387" s="88" t="s">
        <v>6785</v>
      </c>
      <c r="C5387" s="90"/>
      <c r="D5387" s="88" t="s">
        <v>6784</v>
      </c>
      <c r="E5387" s="89"/>
      <c r="F5387" s="90"/>
      <c r="G5387" s="5" t="s">
        <v>1718</v>
      </c>
      <c r="H5387" s="91">
        <v>1036</v>
      </c>
      <c r="I5387" s="92"/>
      <c r="J5387" s="93"/>
      <c r="K5387" s="91">
        <v>2</v>
      </c>
      <c r="L5387" s="93"/>
      <c r="M5387" s="88" t="s">
        <v>23</v>
      </c>
      <c r="N5387" s="89"/>
      <c r="O5387" s="90"/>
      <c r="P5387" s="94">
        <v>2220096</v>
      </c>
      <c r="Q5387" s="96"/>
    </row>
    <row r="5388" spans="1:17" ht="15" customHeight="1" x14ac:dyDescent="0.2">
      <c r="A5388" s="5" t="s">
        <v>5267</v>
      </c>
      <c r="B5388" s="88" t="s">
        <v>6786</v>
      </c>
      <c r="C5388" s="90"/>
      <c r="D5388" s="88" t="s">
        <v>6784</v>
      </c>
      <c r="E5388" s="89"/>
      <c r="F5388" s="90"/>
      <c r="G5388" s="5" t="s">
        <v>1718</v>
      </c>
      <c r="H5388" s="91">
        <v>1036</v>
      </c>
      <c r="I5388" s="92"/>
      <c r="J5388" s="93"/>
      <c r="K5388" s="91">
        <v>2</v>
      </c>
      <c r="L5388" s="93"/>
      <c r="M5388" s="88" t="s">
        <v>23</v>
      </c>
      <c r="N5388" s="89"/>
      <c r="O5388" s="90"/>
      <c r="P5388" s="94">
        <v>1785392</v>
      </c>
      <c r="Q5388" s="96"/>
    </row>
    <row r="5389" spans="1:17" ht="15" customHeight="1" x14ac:dyDescent="0.2">
      <c r="A5389" s="5" t="s">
        <v>5267</v>
      </c>
      <c r="B5389" s="88" t="s">
        <v>6787</v>
      </c>
      <c r="C5389" s="90"/>
      <c r="D5389" s="88" t="s">
        <v>6788</v>
      </c>
      <c r="E5389" s="89"/>
      <c r="F5389" s="90"/>
      <c r="G5389" s="5" t="s">
        <v>1718</v>
      </c>
      <c r="H5389" s="91">
        <v>248</v>
      </c>
      <c r="I5389" s="92"/>
      <c r="J5389" s="93"/>
      <c r="K5389" s="91">
        <v>2</v>
      </c>
      <c r="L5389" s="93"/>
      <c r="M5389" s="88" t="s">
        <v>23</v>
      </c>
      <c r="N5389" s="89"/>
      <c r="O5389" s="90"/>
      <c r="P5389" s="94">
        <v>683107</v>
      </c>
      <c r="Q5389" s="96"/>
    </row>
    <row r="5390" spans="1:17" ht="15" customHeight="1" x14ac:dyDescent="0.2">
      <c r="A5390" s="5" t="s">
        <v>5267</v>
      </c>
      <c r="B5390" s="88" t="s">
        <v>6787</v>
      </c>
      <c r="C5390" s="90"/>
      <c r="D5390" s="88" t="s">
        <v>6789</v>
      </c>
      <c r="E5390" s="89"/>
      <c r="F5390" s="90"/>
      <c r="G5390" s="5" t="s">
        <v>1718</v>
      </c>
      <c r="H5390" s="91">
        <v>248</v>
      </c>
      <c r="I5390" s="92"/>
      <c r="J5390" s="93"/>
      <c r="K5390" s="91">
        <v>2</v>
      </c>
      <c r="L5390" s="93"/>
      <c r="M5390" s="88" t="s">
        <v>23</v>
      </c>
      <c r="N5390" s="89"/>
      <c r="O5390" s="90"/>
      <c r="P5390" s="94">
        <v>835512</v>
      </c>
      <c r="Q5390" s="96"/>
    </row>
    <row r="5391" spans="1:17" ht="15" customHeight="1" x14ac:dyDescent="0.2">
      <c r="A5391" s="5" t="s">
        <v>5267</v>
      </c>
      <c r="B5391" s="88" t="s">
        <v>6790</v>
      </c>
      <c r="C5391" s="90"/>
      <c r="D5391" s="88" t="s">
        <v>6788</v>
      </c>
      <c r="E5391" s="89"/>
      <c r="F5391" s="90"/>
      <c r="G5391" s="5" t="s">
        <v>1718</v>
      </c>
      <c r="H5391" s="91">
        <v>999</v>
      </c>
      <c r="I5391" s="92"/>
      <c r="J5391" s="93"/>
      <c r="K5391" s="91">
        <v>2</v>
      </c>
      <c r="L5391" s="93"/>
      <c r="M5391" s="88" t="s">
        <v>23</v>
      </c>
      <c r="N5391" s="89"/>
      <c r="O5391" s="90"/>
      <c r="P5391" s="94">
        <v>721919</v>
      </c>
      <c r="Q5391" s="96"/>
    </row>
    <row r="5392" spans="1:17" ht="15" customHeight="1" x14ac:dyDescent="0.2">
      <c r="A5392" s="5" t="s">
        <v>5267</v>
      </c>
      <c r="B5392" s="88" t="s">
        <v>6790</v>
      </c>
      <c r="C5392" s="90"/>
      <c r="D5392" s="88" t="s">
        <v>6788</v>
      </c>
      <c r="E5392" s="89"/>
      <c r="F5392" s="90"/>
      <c r="G5392" s="5" t="s">
        <v>1718</v>
      </c>
      <c r="H5392" s="91">
        <v>248</v>
      </c>
      <c r="I5392" s="92"/>
      <c r="J5392" s="93"/>
      <c r="K5392" s="91">
        <v>2</v>
      </c>
      <c r="L5392" s="93"/>
      <c r="M5392" s="88" t="s">
        <v>23</v>
      </c>
      <c r="N5392" s="89"/>
      <c r="O5392" s="90"/>
      <c r="P5392" s="94">
        <v>721919</v>
      </c>
      <c r="Q5392" s="96"/>
    </row>
    <row r="5393" spans="1:17" ht="15" customHeight="1" x14ac:dyDescent="0.2">
      <c r="A5393" s="5" t="s">
        <v>5267</v>
      </c>
      <c r="B5393" s="88" t="s">
        <v>6791</v>
      </c>
      <c r="C5393" s="90"/>
      <c r="D5393" s="88" t="s">
        <v>6792</v>
      </c>
      <c r="E5393" s="89"/>
      <c r="F5393" s="90"/>
      <c r="G5393" s="5" t="s">
        <v>1718</v>
      </c>
      <c r="H5393" s="91">
        <v>249</v>
      </c>
      <c r="I5393" s="92"/>
      <c r="J5393" s="93"/>
      <c r="K5393" s="91">
        <v>2</v>
      </c>
      <c r="L5393" s="93"/>
      <c r="M5393" s="88" t="s">
        <v>23</v>
      </c>
      <c r="N5393" s="89"/>
      <c r="O5393" s="90"/>
      <c r="P5393" s="94">
        <v>737186</v>
      </c>
      <c r="Q5393" s="96"/>
    </row>
    <row r="5394" spans="1:17" ht="15" customHeight="1" x14ac:dyDescent="0.2">
      <c r="A5394" s="5" t="s">
        <v>5267</v>
      </c>
      <c r="B5394" s="88" t="s">
        <v>6793</v>
      </c>
      <c r="C5394" s="90"/>
      <c r="D5394" s="88" t="s">
        <v>6794</v>
      </c>
      <c r="E5394" s="89"/>
      <c r="F5394" s="90"/>
      <c r="G5394" s="5" t="s">
        <v>1718</v>
      </c>
      <c r="H5394" s="91">
        <v>645</v>
      </c>
      <c r="I5394" s="92"/>
      <c r="J5394" s="93"/>
      <c r="K5394" s="91">
        <v>2</v>
      </c>
      <c r="L5394" s="93"/>
      <c r="M5394" s="88" t="s">
        <v>23</v>
      </c>
      <c r="N5394" s="89"/>
      <c r="O5394" s="90"/>
      <c r="P5394" s="94">
        <v>1086761</v>
      </c>
      <c r="Q5394" s="96"/>
    </row>
    <row r="5395" spans="1:17" ht="15" customHeight="1" x14ac:dyDescent="0.2">
      <c r="A5395" s="5" t="s">
        <v>5267</v>
      </c>
      <c r="B5395" s="88" t="s">
        <v>6793</v>
      </c>
      <c r="C5395" s="90"/>
      <c r="D5395" s="88" t="s">
        <v>6795</v>
      </c>
      <c r="E5395" s="89"/>
      <c r="F5395" s="90"/>
      <c r="G5395" s="5" t="s">
        <v>1718</v>
      </c>
      <c r="H5395" s="91">
        <v>645</v>
      </c>
      <c r="I5395" s="92"/>
      <c r="J5395" s="93"/>
      <c r="K5395" s="91">
        <v>2</v>
      </c>
      <c r="L5395" s="93"/>
      <c r="M5395" s="88" t="s">
        <v>23</v>
      </c>
      <c r="N5395" s="89"/>
      <c r="O5395" s="90"/>
      <c r="P5395" s="94">
        <v>1238131</v>
      </c>
      <c r="Q5395" s="96"/>
    </row>
    <row r="5396" spans="1:17" ht="15" customHeight="1" x14ac:dyDescent="0.2">
      <c r="A5396" s="5" t="s">
        <v>5267</v>
      </c>
      <c r="B5396" s="88" t="s">
        <v>6793</v>
      </c>
      <c r="C5396" s="90"/>
      <c r="D5396" s="88" t="s">
        <v>6794</v>
      </c>
      <c r="E5396" s="89"/>
      <c r="F5396" s="90"/>
      <c r="G5396" s="5" t="s">
        <v>1718</v>
      </c>
      <c r="H5396" s="91">
        <v>645</v>
      </c>
      <c r="I5396" s="92"/>
      <c r="J5396" s="93"/>
      <c r="K5396" s="91">
        <v>2</v>
      </c>
      <c r="L5396" s="93"/>
      <c r="M5396" s="88" t="s">
        <v>23</v>
      </c>
      <c r="N5396" s="89"/>
      <c r="O5396" s="90"/>
      <c r="P5396" s="94">
        <v>1195437</v>
      </c>
      <c r="Q5396" s="96"/>
    </row>
    <row r="5397" spans="1:17" ht="15" customHeight="1" x14ac:dyDescent="0.2">
      <c r="A5397" s="5" t="s">
        <v>5267</v>
      </c>
      <c r="B5397" s="88" t="s">
        <v>6796</v>
      </c>
      <c r="C5397" s="90"/>
      <c r="D5397" s="88" t="s">
        <v>6794</v>
      </c>
      <c r="E5397" s="89"/>
      <c r="F5397" s="90"/>
      <c r="G5397" s="5" t="s">
        <v>1718</v>
      </c>
      <c r="H5397" s="91">
        <v>645</v>
      </c>
      <c r="I5397" s="92"/>
      <c r="J5397" s="93"/>
      <c r="K5397" s="91">
        <v>2</v>
      </c>
      <c r="L5397" s="93"/>
      <c r="M5397" s="88" t="s">
        <v>23</v>
      </c>
      <c r="N5397" s="89"/>
      <c r="O5397" s="90"/>
      <c r="P5397" s="94">
        <v>1138511</v>
      </c>
      <c r="Q5397" s="96"/>
    </row>
    <row r="5398" spans="1:17" ht="15" customHeight="1" x14ac:dyDescent="0.2">
      <c r="A5398" s="5" t="s">
        <v>5267</v>
      </c>
      <c r="B5398" s="88" t="s">
        <v>6796</v>
      </c>
      <c r="C5398" s="90"/>
      <c r="D5398" s="88" t="s">
        <v>6795</v>
      </c>
      <c r="E5398" s="89"/>
      <c r="F5398" s="90"/>
      <c r="G5398" s="5" t="s">
        <v>1718</v>
      </c>
      <c r="H5398" s="91">
        <v>645</v>
      </c>
      <c r="I5398" s="92"/>
      <c r="J5398" s="93"/>
      <c r="K5398" s="91">
        <v>2</v>
      </c>
      <c r="L5398" s="93"/>
      <c r="M5398" s="88" t="s">
        <v>23</v>
      </c>
      <c r="N5398" s="89"/>
      <c r="O5398" s="90"/>
      <c r="P5398" s="94">
        <v>1295056</v>
      </c>
      <c r="Q5398" s="96"/>
    </row>
    <row r="5399" spans="1:17" ht="15" customHeight="1" x14ac:dyDescent="0.2">
      <c r="A5399" s="5" t="s">
        <v>5267</v>
      </c>
      <c r="B5399" s="88" t="s">
        <v>6796</v>
      </c>
      <c r="C5399" s="90"/>
      <c r="D5399" s="88" t="s">
        <v>6794</v>
      </c>
      <c r="E5399" s="89"/>
      <c r="F5399" s="90"/>
      <c r="G5399" s="5" t="s">
        <v>1718</v>
      </c>
      <c r="H5399" s="91">
        <v>645</v>
      </c>
      <c r="I5399" s="92"/>
      <c r="J5399" s="93"/>
      <c r="K5399" s="91">
        <v>2</v>
      </c>
      <c r="L5399" s="93"/>
      <c r="M5399" s="88" t="s">
        <v>23</v>
      </c>
      <c r="N5399" s="89"/>
      <c r="O5399" s="90"/>
      <c r="P5399" s="94">
        <v>1138511</v>
      </c>
      <c r="Q5399" s="96"/>
    </row>
    <row r="5400" spans="1:17" ht="15" customHeight="1" x14ac:dyDescent="0.2">
      <c r="A5400" s="5" t="s">
        <v>5267</v>
      </c>
      <c r="B5400" s="88" t="s">
        <v>6797</v>
      </c>
      <c r="C5400" s="90"/>
      <c r="D5400" s="88" t="s">
        <v>6798</v>
      </c>
      <c r="E5400" s="89"/>
      <c r="F5400" s="90"/>
      <c r="G5400" s="5" t="s">
        <v>1718</v>
      </c>
      <c r="H5400" s="91">
        <v>775</v>
      </c>
      <c r="I5400" s="92"/>
      <c r="J5400" s="93"/>
      <c r="K5400" s="91">
        <v>2</v>
      </c>
      <c r="L5400" s="93"/>
      <c r="M5400" s="88" t="s">
        <v>23</v>
      </c>
      <c r="N5400" s="89"/>
      <c r="O5400" s="90"/>
      <c r="P5400" s="94">
        <v>1593915</v>
      </c>
      <c r="Q5400" s="96"/>
    </row>
    <row r="5401" spans="1:17" ht="15" customHeight="1" x14ac:dyDescent="0.2">
      <c r="A5401" s="5" t="s">
        <v>5267</v>
      </c>
      <c r="B5401" s="88" t="s">
        <v>6799</v>
      </c>
      <c r="C5401" s="90"/>
      <c r="D5401" s="88" t="s">
        <v>6798</v>
      </c>
      <c r="E5401" s="89"/>
      <c r="F5401" s="90"/>
      <c r="G5401" s="5" t="s">
        <v>1718</v>
      </c>
      <c r="H5401" s="91">
        <v>775</v>
      </c>
      <c r="I5401" s="92"/>
      <c r="J5401" s="93"/>
      <c r="K5401" s="91">
        <v>2</v>
      </c>
      <c r="L5401" s="93"/>
      <c r="M5401" s="88" t="s">
        <v>23</v>
      </c>
      <c r="N5401" s="89"/>
      <c r="O5401" s="90"/>
      <c r="P5401" s="94">
        <v>1707767</v>
      </c>
      <c r="Q5401" s="96"/>
    </row>
    <row r="5402" spans="1:17" ht="15" customHeight="1" x14ac:dyDescent="0.2">
      <c r="A5402" s="5" t="s">
        <v>5267</v>
      </c>
      <c r="B5402" s="88" t="s">
        <v>6800</v>
      </c>
      <c r="C5402" s="90"/>
      <c r="D5402" s="88" t="s">
        <v>6794</v>
      </c>
      <c r="E5402" s="89"/>
      <c r="F5402" s="90"/>
      <c r="G5402" s="5" t="s">
        <v>1718</v>
      </c>
      <c r="H5402" s="91">
        <v>645</v>
      </c>
      <c r="I5402" s="92"/>
      <c r="J5402" s="93"/>
      <c r="K5402" s="91">
        <v>2</v>
      </c>
      <c r="L5402" s="93"/>
      <c r="M5402" s="88" t="s">
        <v>23</v>
      </c>
      <c r="N5402" s="89"/>
      <c r="O5402" s="90"/>
      <c r="P5402" s="94">
        <v>1148861</v>
      </c>
      <c r="Q5402" s="96"/>
    </row>
    <row r="5403" spans="1:17" ht="15" customHeight="1" x14ac:dyDescent="0.2">
      <c r="A5403" s="5" t="s">
        <v>6801</v>
      </c>
      <c r="B5403" s="88" t="s">
        <v>6802</v>
      </c>
      <c r="C5403" s="90"/>
      <c r="D5403" s="88" t="s">
        <v>6803</v>
      </c>
      <c r="E5403" s="89"/>
      <c r="F5403" s="90"/>
      <c r="G5403" s="5" t="s">
        <v>1718</v>
      </c>
      <c r="H5403" s="91">
        <v>398</v>
      </c>
      <c r="I5403" s="92"/>
      <c r="J5403" s="93"/>
      <c r="K5403" s="91">
        <v>2</v>
      </c>
      <c r="L5403" s="93"/>
      <c r="M5403" s="88" t="s">
        <v>23</v>
      </c>
      <c r="N5403" s="89"/>
      <c r="O5403" s="90"/>
      <c r="P5403" s="94">
        <v>1110048</v>
      </c>
      <c r="Q5403" s="96"/>
    </row>
    <row r="5404" spans="1:17" ht="15" customHeight="1" x14ac:dyDescent="0.2">
      <c r="A5404" s="5" t="s">
        <v>6801</v>
      </c>
      <c r="B5404" s="88" t="s">
        <v>6804</v>
      </c>
      <c r="C5404" s="90"/>
      <c r="D5404" s="88" t="s">
        <v>6805</v>
      </c>
      <c r="E5404" s="89"/>
      <c r="F5404" s="90"/>
      <c r="G5404" s="5" t="s">
        <v>1718</v>
      </c>
      <c r="H5404" s="91">
        <v>99</v>
      </c>
      <c r="I5404" s="92"/>
      <c r="J5404" s="93"/>
      <c r="K5404" s="91">
        <v>2</v>
      </c>
      <c r="L5404" s="93"/>
      <c r="M5404" s="88" t="s">
        <v>23</v>
      </c>
      <c r="N5404" s="89"/>
      <c r="O5404" s="90"/>
      <c r="P5404" s="94">
        <v>481280</v>
      </c>
      <c r="Q5404" s="96"/>
    </row>
    <row r="5405" spans="1:17" ht="15" customHeight="1" x14ac:dyDescent="0.2">
      <c r="A5405" s="5" t="s">
        <v>6801</v>
      </c>
      <c r="B5405" s="88" t="s">
        <v>6806</v>
      </c>
      <c r="C5405" s="90"/>
      <c r="D5405" s="88" t="s">
        <v>6807</v>
      </c>
      <c r="E5405" s="89"/>
      <c r="F5405" s="90"/>
      <c r="G5405" s="5" t="s">
        <v>1718</v>
      </c>
      <c r="H5405" s="91">
        <v>111</v>
      </c>
      <c r="I5405" s="92"/>
      <c r="J5405" s="93"/>
      <c r="K5405" s="91">
        <v>1</v>
      </c>
      <c r="L5405" s="93"/>
      <c r="M5405" s="88" t="s">
        <v>23</v>
      </c>
      <c r="N5405" s="89"/>
      <c r="O5405" s="90"/>
      <c r="P5405" s="94">
        <v>583487</v>
      </c>
      <c r="Q5405" s="96"/>
    </row>
    <row r="5406" spans="1:17" ht="15" customHeight="1" x14ac:dyDescent="0.2">
      <c r="A5406" s="5" t="s">
        <v>6801</v>
      </c>
      <c r="B5406" s="88" t="s">
        <v>6808</v>
      </c>
      <c r="C5406" s="90"/>
      <c r="D5406" s="88" t="s">
        <v>6809</v>
      </c>
      <c r="E5406" s="89"/>
      <c r="F5406" s="90"/>
      <c r="G5406" s="5" t="s">
        <v>963</v>
      </c>
      <c r="H5406" s="91">
        <v>249</v>
      </c>
      <c r="I5406" s="92"/>
      <c r="J5406" s="93"/>
      <c r="K5406" s="91">
        <v>1</v>
      </c>
      <c r="L5406" s="93"/>
      <c r="M5406" s="88" t="s">
        <v>23</v>
      </c>
      <c r="N5406" s="89"/>
      <c r="O5406" s="90"/>
      <c r="P5406" s="94">
        <v>925040</v>
      </c>
      <c r="Q5406" s="96"/>
    </row>
    <row r="5407" spans="1:17" ht="15" customHeight="1" x14ac:dyDescent="0.2">
      <c r="A5407" s="5" t="s">
        <v>6801</v>
      </c>
      <c r="B5407" s="88" t="s">
        <v>6810</v>
      </c>
      <c r="C5407" s="90"/>
      <c r="D5407" s="88" t="s">
        <v>6809</v>
      </c>
      <c r="E5407" s="89"/>
      <c r="F5407" s="90"/>
      <c r="G5407" s="5" t="s">
        <v>963</v>
      </c>
      <c r="H5407" s="91">
        <v>249</v>
      </c>
      <c r="I5407" s="92"/>
      <c r="J5407" s="93"/>
      <c r="K5407" s="91">
        <v>2</v>
      </c>
      <c r="L5407" s="93"/>
      <c r="M5407" s="88" t="s">
        <v>23</v>
      </c>
      <c r="N5407" s="89"/>
      <c r="O5407" s="90"/>
      <c r="P5407" s="94">
        <v>925040</v>
      </c>
      <c r="Q5407" s="96"/>
    </row>
    <row r="5408" spans="1:17" ht="15" customHeight="1" x14ac:dyDescent="0.2">
      <c r="A5408" s="5" t="s">
        <v>6801</v>
      </c>
      <c r="B5408" s="88" t="s">
        <v>6811</v>
      </c>
      <c r="C5408" s="90"/>
      <c r="D5408" s="88" t="s">
        <v>6812</v>
      </c>
      <c r="E5408" s="89"/>
      <c r="F5408" s="90"/>
      <c r="G5408" s="5" t="s">
        <v>963</v>
      </c>
      <c r="H5408" s="91">
        <v>449</v>
      </c>
      <c r="I5408" s="92"/>
      <c r="J5408" s="93"/>
      <c r="K5408" s="91">
        <v>1</v>
      </c>
      <c r="L5408" s="93"/>
      <c r="M5408" s="88" t="s">
        <v>23</v>
      </c>
      <c r="N5408" s="89"/>
      <c r="O5408" s="90"/>
      <c r="P5408" s="94">
        <v>1190262</v>
      </c>
      <c r="Q5408" s="96"/>
    </row>
    <row r="5409" spans="1:17" ht="15" customHeight="1" x14ac:dyDescent="0.2">
      <c r="A5409" s="5" t="s">
        <v>6801</v>
      </c>
      <c r="B5409" s="88" t="s">
        <v>6813</v>
      </c>
      <c r="C5409" s="90"/>
      <c r="D5409" s="88" t="s">
        <v>6814</v>
      </c>
      <c r="E5409" s="89"/>
      <c r="F5409" s="90"/>
      <c r="G5409" s="5" t="s">
        <v>963</v>
      </c>
      <c r="H5409" s="91">
        <v>449</v>
      </c>
      <c r="I5409" s="92"/>
      <c r="J5409" s="93"/>
      <c r="K5409" s="91">
        <v>2</v>
      </c>
      <c r="L5409" s="93"/>
      <c r="M5409" s="88" t="s">
        <v>23</v>
      </c>
      <c r="N5409" s="89"/>
      <c r="O5409" s="90"/>
      <c r="P5409" s="94">
        <v>1110048</v>
      </c>
      <c r="Q5409" s="96"/>
    </row>
    <row r="5410" spans="1:17" ht="15" customHeight="1" x14ac:dyDescent="0.2">
      <c r="A5410" s="5" t="s">
        <v>6801</v>
      </c>
      <c r="B5410" s="88" t="s">
        <v>6815</v>
      </c>
      <c r="C5410" s="90"/>
      <c r="D5410" s="88" t="s">
        <v>6816</v>
      </c>
      <c r="E5410" s="89"/>
      <c r="F5410" s="90"/>
      <c r="G5410" s="5" t="s">
        <v>1718</v>
      </c>
      <c r="H5410" s="91">
        <v>64</v>
      </c>
      <c r="I5410" s="92"/>
      <c r="J5410" s="93"/>
      <c r="K5410" s="91">
        <v>2</v>
      </c>
      <c r="L5410" s="93"/>
      <c r="M5410" s="88" t="s">
        <v>23</v>
      </c>
      <c r="N5410" s="89"/>
      <c r="O5410" s="90"/>
      <c r="P5410" s="94">
        <v>364841</v>
      </c>
      <c r="Q5410" s="96"/>
    </row>
    <row r="5411" spans="1:17" ht="15" customHeight="1" x14ac:dyDescent="0.2">
      <c r="A5411" s="5" t="s">
        <v>6801</v>
      </c>
      <c r="B5411" s="88" t="s">
        <v>6817</v>
      </c>
      <c r="C5411" s="90"/>
      <c r="D5411" s="88" t="s">
        <v>6818</v>
      </c>
      <c r="E5411" s="89"/>
      <c r="F5411" s="90"/>
      <c r="G5411" s="5" t="s">
        <v>1718</v>
      </c>
      <c r="H5411" s="91">
        <v>84</v>
      </c>
      <c r="I5411" s="92"/>
      <c r="J5411" s="93"/>
      <c r="K5411" s="91">
        <v>2</v>
      </c>
      <c r="L5411" s="93"/>
      <c r="M5411" s="88" t="s">
        <v>23</v>
      </c>
      <c r="N5411" s="89"/>
      <c r="O5411" s="90"/>
      <c r="P5411" s="94">
        <v>442467</v>
      </c>
      <c r="Q5411" s="96"/>
    </row>
    <row r="5412" spans="1:17" ht="15" customHeight="1" x14ac:dyDescent="0.2">
      <c r="A5412" s="5" t="s">
        <v>6801</v>
      </c>
      <c r="B5412" s="88" t="s">
        <v>6817</v>
      </c>
      <c r="C5412" s="90"/>
      <c r="D5412" s="88" t="s">
        <v>6819</v>
      </c>
      <c r="E5412" s="89"/>
      <c r="F5412" s="90"/>
      <c r="G5412" s="5" t="s">
        <v>1718</v>
      </c>
      <c r="H5412" s="91">
        <v>84</v>
      </c>
      <c r="I5412" s="92"/>
      <c r="J5412" s="93"/>
      <c r="K5412" s="91">
        <v>1</v>
      </c>
      <c r="L5412" s="93"/>
      <c r="M5412" s="88" t="s">
        <v>23</v>
      </c>
      <c r="N5412" s="89"/>
      <c r="O5412" s="90"/>
      <c r="P5412" s="94">
        <v>442467</v>
      </c>
      <c r="Q5412" s="96"/>
    </row>
    <row r="5413" spans="1:17" ht="15" customHeight="1" x14ac:dyDescent="0.2">
      <c r="A5413" s="5" t="s">
        <v>6801</v>
      </c>
      <c r="B5413" s="88" t="s">
        <v>6820</v>
      </c>
      <c r="C5413" s="90"/>
      <c r="D5413" s="88" t="s">
        <v>6821</v>
      </c>
      <c r="E5413" s="89"/>
      <c r="F5413" s="90"/>
      <c r="G5413" s="5" t="s">
        <v>1718</v>
      </c>
      <c r="H5413" s="91">
        <v>84</v>
      </c>
      <c r="I5413" s="92"/>
      <c r="J5413" s="93"/>
      <c r="K5413" s="91">
        <v>1</v>
      </c>
      <c r="L5413" s="93"/>
      <c r="M5413" s="88" t="s">
        <v>23</v>
      </c>
      <c r="N5413" s="89"/>
      <c r="O5413" s="90"/>
      <c r="P5413" s="94">
        <v>455404</v>
      </c>
      <c r="Q5413" s="96"/>
    </row>
    <row r="5414" spans="1:17" ht="15" customHeight="1" x14ac:dyDescent="0.2">
      <c r="A5414" s="5" t="s">
        <v>6801</v>
      </c>
      <c r="B5414" s="88" t="s">
        <v>6822</v>
      </c>
      <c r="C5414" s="90"/>
      <c r="D5414" s="88" t="s">
        <v>6821</v>
      </c>
      <c r="E5414" s="89"/>
      <c r="F5414" s="90"/>
      <c r="G5414" s="5" t="s">
        <v>1718</v>
      </c>
      <c r="H5414" s="91">
        <v>84</v>
      </c>
      <c r="I5414" s="92"/>
      <c r="J5414" s="93"/>
      <c r="K5414" s="91">
        <v>2</v>
      </c>
      <c r="L5414" s="93"/>
      <c r="M5414" s="88" t="s">
        <v>23</v>
      </c>
      <c r="N5414" s="89"/>
      <c r="O5414" s="90"/>
      <c r="P5414" s="94">
        <v>455404</v>
      </c>
      <c r="Q5414" s="96"/>
    </row>
    <row r="5415" spans="1:17" ht="15" customHeight="1" x14ac:dyDescent="0.2">
      <c r="A5415" s="5" t="s">
        <v>6801</v>
      </c>
      <c r="B5415" s="88" t="s">
        <v>6823</v>
      </c>
      <c r="C5415" s="90"/>
      <c r="D5415" s="88" t="s">
        <v>6824</v>
      </c>
      <c r="E5415" s="89"/>
      <c r="F5415" s="90"/>
      <c r="G5415" s="5" t="s">
        <v>963</v>
      </c>
      <c r="H5415" s="91">
        <v>773</v>
      </c>
      <c r="I5415" s="92"/>
      <c r="J5415" s="93"/>
      <c r="K5415" s="91">
        <v>2</v>
      </c>
      <c r="L5415" s="93"/>
      <c r="M5415" s="88" t="s">
        <v>23</v>
      </c>
      <c r="N5415" s="89"/>
      <c r="O5415" s="90"/>
      <c r="P5415" s="94">
        <v>1807386</v>
      </c>
      <c r="Q5415" s="96"/>
    </row>
    <row r="5416" spans="1:17" ht="15" customHeight="1" x14ac:dyDescent="0.2">
      <c r="A5416" s="5" t="s">
        <v>6801</v>
      </c>
      <c r="B5416" s="88" t="s">
        <v>6823</v>
      </c>
      <c r="C5416" s="90"/>
      <c r="D5416" s="88" t="s">
        <v>6825</v>
      </c>
      <c r="E5416" s="89"/>
      <c r="F5416" s="90"/>
      <c r="G5416" s="5" t="s">
        <v>963</v>
      </c>
      <c r="H5416" s="91">
        <v>773</v>
      </c>
      <c r="I5416" s="92"/>
      <c r="J5416" s="93"/>
      <c r="K5416" s="91">
        <v>2</v>
      </c>
      <c r="L5416" s="93"/>
      <c r="M5416" s="88" t="s">
        <v>23</v>
      </c>
      <c r="N5416" s="89"/>
      <c r="O5416" s="90"/>
      <c r="P5416" s="94">
        <v>1650841</v>
      </c>
      <c r="Q5416" s="96"/>
    </row>
    <row r="5417" spans="1:17" ht="15" customHeight="1" x14ac:dyDescent="0.2">
      <c r="A5417" s="5" t="s">
        <v>6801</v>
      </c>
      <c r="B5417" s="88" t="s">
        <v>6826</v>
      </c>
      <c r="C5417" s="90"/>
      <c r="D5417" s="88" t="s">
        <v>6827</v>
      </c>
      <c r="E5417" s="89"/>
      <c r="F5417" s="90"/>
      <c r="G5417" s="5" t="s">
        <v>1718</v>
      </c>
      <c r="H5417" s="91">
        <v>998</v>
      </c>
      <c r="I5417" s="92"/>
      <c r="J5417" s="93"/>
      <c r="K5417" s="91">
        <v>2</v>
      </c>
      <c r="L5417" s="93"/>
      <c r="M5417" s="88" t="s">
        <v>23</v>
      </c>
      <c r="N5417" s="89"/>
      <c r="O5417" s="90"/>
      <c r="P5417" s="94">
        <v>1526640</v>
      </c>
      <c r="Q5417" s="96"/>
    </row>
    <row r="5418" spans="1:17" ht="15" customHeight="1" x14ac:dyDescent="0.2">
      <c r="A5418" s="5" t="s">
        <v>6801</v>
      </c>
      <c r="B5418" s="88" t="s">
        <v>6828</v>
      </c>
      <c r="C5418" s="90"/>
      <c r="D5418" s="88" t="s">
        <v>6829</v>
      </c>
      <c r="E5418" s="89"/>
      <c r="F5418" s="90"/>
      <c r="G5418" s="5" t="s">
        <v>1718</v>
      </c>
      <c r="H5418" s="91">
        <v>1043</v>
      </c>
      <c r="I5418" s="92"/>
      <c r="J5418" s="93"/>
      <c r="K5418" s="91">
        <v>2</v>
      </c>
      <c r="L5418" s="93"/>
      <c r="M5418" s="88" t="s">
        <v>23</v>
      </c>
      <c r="N5418" s="89"/>
      <c r="O5418" s="90"/>
      <c r="P5418" s="94">
        <v>1746579</v>
      </c>
      <c r="Q5418" s="96"/>
    </row>
    <row r="5419" spans="1:17" ht="15" customHeight="1" x14ac:dyDescent="0.2">
      <c r="A5419" s="5" t="s">
        <v>6801</v>
      </c>
      <c r="B5419" s="88" t="s">
        <v>6830</v>
      </c>
      <c r="C5419" s="90"/>
      <c r="D5419" s="88" t="s">
        <v>6831</v>
      </c>
      <c r="E5419" s="89"/>
      <c r="F5419" s="90"/>
      <c r="G5419" s="5" t="s">
        <v>1718</v>
      </c>
      <c r="H5419" s="91">
        <v>248</v>
      </c>
      <c r="I5419" s="92"/>
      <c r="J5419" s="93"/>
      <c r="K5419" s="91">
        <v>2</v>
      </c>
      <c r="L5419" s="93"/>
      <c r="M5419" s="88" t="s">
        <v>23</v>
      </c>
      <c r="N5419" s="89"/>
      <c r="O5419" s="90"/>
      <c r="P5419" s="94">
        <v>754264</v>
      </c>
      <c r="Q5419" s="96"/>
    </row>
    <row r="5420" spans="1:17" ht="15" customHeight="1" x14ac:dyDescent="0.2">
      <c r="A5420" s="5" t="s">
        <v>6801</v>
      </c>
      <c r="B5420" s="88" t="s">
        <v>6832</v>
      </c>
      <c r="C5420" s="90"/>
      <c r="D5420" s="88" t="s">
        <v>6831</v>
      </c>
      <c r="E5420" s="89"/>
      <c r="F5420" s="90"/>
      <c r="G5420" s="5" t="s">
        <v>1718</v>
      </c>
      <c r="H5420" s="91">
        <v>248</v>
      </c>
      <c r="I5420" s="92"/>
      <c r="J5420" s="93"/>
      <c r="K5420" s="91">
        <v>2</v>
      </c>
      <c r="L5420" s="93"/>
      <c r="M5420" s="88" t="s">
        <v>23</v>
      </c>
      <c r="N5420" s="89"/>
      <c r="O5420" s="90"/>
      <c r="P5420" s="94">
        <v>767201</v>
      </c>
      <c r="Q5420" s="96"/>
    </row>
    <row r="5421" spans="1:17" ht="15" customHeight="1" x14ac:dyDescent="0.2">
      <c r="A5421" s="5" t="s">
        <v>6801</v>
      </c>
      <c r="B5421" s="88" t="s">
        <v>6833</v>
      </c>
      <c r="C5421" s="90"/>
      <c r="D5421" s="88" t="s">
        <v>6834</v>
      </c>
      <c r="E5421" s="89"/>
      <c r="F5421" s="90"/>
      <c r="G5421" s="5" t="s">
        <v>1718</v>
      </c>
      <c r="H5421" s="91">
        <v>398</v>
      </c>
      <c r="I5421" s="92"/>
      <c r="J5421" s="93"/>
      <c r="K5421" s="91">
        <v>2</v>
      </c>
      <c r="L5421" s="93"/>
      <c r="M5421" s="88" t="s">
        <v>23</v>
      </c>
      <c r="N5421" s="89"/>
      <c r="O5421" s="90"/>
      <c r="P5421" s="94">
        <v>838358</v>
      </c>
      <c r="Q5421" s="96"/>
    </row>
    <row r="5422" spans="1:17" ht="15" customHeight="1" x14ac:dyDescent="0.2">
      <c r="A5422" s="5" t="s">
        <v>6801</v>
      </c>
      <c r="B5422" s="88" t="s">
        <v>6835</v>
      </c>
      <c r="C5422" s="90"/>
      <c r="D5422" s="88" t="s">
        <v>6834</v>
      </c>
      <c r="E5422" s="89"/>
      <c r="F5422" s="90"/>
      <c r="G5422" s="5" t="s">
        <v>1718</v>
      </c>
      <c r="H5422" s="91">
        <v>398</v>
      </c>
      <c r="I5422" s="92"/>
      <c r="J5422" s="93"/>
      <c r="K5422" s="91">
        <v>2</v>
      </c>
      <c r="L5422" s="93"/>
      <c r="M5422" s="88" t="s">
        <v>23</v>
      </c>
      <c r="N5422" s="89"/>
      <c r="O5422" s="90"/>
      <c r="P5422" s="94">
        <v>838358</v>
      </c>
      <c r="Q5422" s="96"/>
    </row>
    <row r="5423" spans="1:17" ht="15" customHeight="1" x14ac:dyDescent="0.2">
      <c r="A5423" s="5" t="s">
        <v>6801</v>
      </c>
      <c r="B5423" s="88" t="s">
        <v>6836</v>
      </c>
      <c r="C5423" s="90"/>
      <c r="D5423" s="88" t="s">
        <v>6837</v>
      </c>
      <c r="E5423" s="89"/>
      <c r="F5423" s="90"/>
      <c r="G5423" s="5" t="s">
        <v>1718</v>
      </c>
      <c r="H5423" s="91">
        <v>649</v>
      </c>
      <c r="I5423" s="92"/>
      <c r="J5423" s="93"/>
      <c r="K5423" s="91">
        <v>2</v>
      </c>
      <c r="L5423" s="93"/>
      <c r="M5423" s="88" t="s">
        <v>23</v>
      </c>
      <c r="N5423" s="89"/>
      <c r="O5423" s="90"/>
      <c r="P5423" s="94">
        <v>967734</v>
      </c>
      <c r="Q5423" s="96"/>
    </row>
    <row r="5424" spans="1:17" ht="15" customHeight="1" x14ac:dyDescent="0.2">
      <c r="A5424" s="5" t="s">
        <v>6801</v>
      </c>
      <c r="B5424" s="88" t="s">
        <v>6838</v>
      </c>
      <c r="C5424" s="90"/>
      <c r="D5424" s="88" t="s">
        <v>6839</v>
      </c>
      <c r="E5424" s="89"/>
      <c r="F5424" s="90"/>
      <c r="G5424" s="5" t="s">
        <v>1718</v>
      </c>
      <c r="H5424" s="91">
        <v>649</v>
      </c>
      <c r="I5424" s="92"/>
      <c r="J5424" s="93"/>
      <c r="K5424" s="91">
        <v>2</v>
      </c>
      <c r="L5424" s="93"/>
      <c r="M5424" s="88" t="s">
        <v>23</v>
      </c>
      <c r="N5424" s="89"/>
      <c r="O5424" s="90"/>
      <c r="P5424" s="94">
        <v>967734</v>
      </c>
      <c r="Q5424" s="96"/>
    </row>
    <row r="5425" spans="1:17" ht="15" customHeight="1" x14ac:dyDescent="0.2">
      <c r="A5425" s="5" t="s">
        <v>6801</v>
      </c>
      <c r="B5425" s="88" t="s">
        <v>6840</v>
      </c>
      <c r="C5425" s="90"/>
      <c r="D5425" s="88" t="s">
        <v>6841</v>
      </c>
      <c r="E5425" s="89"/>
      <c r="F5425" s="90"/>
      <c r="G5425" s="5" t="s">
        <v>1718</v>
      </c>
      <c r="H5425" s="91">
        <v>451</v>
      </c>
      <c r="I5425" s="92"/>
      <c r="J5425" s="93"/>
      <c r="K5425" s="91">
        <v>2</v>
      </c>
      <c r="L5425" s="93"/>
      <c r="M5425" s="88" t="s">
        <v>23</v>
      </c>
      <c r="N5425" s="89"/>
      <c r="O5425" s="90"/>
      <c r="P5425" s="94">
        <v>2390873</v>
      </c>
      <c r="Q5425" s="96"/>
    </row>
    <row r="5426" spans="1:17" ht="15" customHeight="1" x14ac:dyDescent="0.2">
      <c r="A5426" s="5" t="s">
        <v>6801</v>
      </c>
      <c r="B5426" s="88" t="s">
        <v>6842</v>
      </c>
      <c r="C5426" s="90"/>
      <c r="D5426" s="88" t="s">
        <v>6843</v>
      </c>
      <c r="E5426" s="89"/>
      <c r="F5426" s="90"/>
      <c r="G5426" s="17">
        <v>0</v>
      </c>
      <c r="H5426" s="91">
        <v>0</v>
      </c>
      <c r="I5426" s="92"/>
      <c r="J5426" s="93"/>
      <c r="K5426" s="91">
        <v>2</v>
      </c>
      <c r="L5426" s="93"/>
      <c r="M5426" s="88" t="s">
        <v>17</v>
      </c>
      <c r="N5426" s="89"/>
      <c r="O5426" s="90"/>
      <c r="P5426" s="94">
        <v>1380445</v>
      </c>
      <c r="Q5426" s="96"/>
    </row>
    <row r="5427" spans="1:17" ht="15" customHeight="1" x14ac:dyDescent="0.2">
      <c r="A5427" s="5" t="s">
        <v>6801</v>
      </c>
      <c r="B5427" s="88" t="s">
        <v>6844</v>
      </c>
      <c r="C5427" s="90"/>
      <c r="D5427" s="88" t="s">
        <v>6845</v>
      </c>
      <c r="E5427" s="89"/>
      <c r="F5427" s="90"/>
      <c r="G5427" s="5" t="s">
        <v>1718</v>
      </c>
      <c r="H5427" s="91">
        <v>998</v>
      </c>
      <c r="I5427" s="92"/>
      <c r="J5427" s="93"/>
      <c r="K5427" s="91">
        <v>1</v>
      </c>
      <c r="L5427" s="93"/>
      <c r="M5427" s="88" t="s">
        <v>23</v>
      </c>
      <c r="N5427" s="89"/>
      <c r="O5427" s="90"/>
      <c r="P5427" s="94">
        <v>4269416</v>
      </c>
      <c r="Q5427" s="96"/>
    </row>
    <row r="5428" spans="1:17" ht="15" customHeight="1" x14ac:dyDescent="0.2">
      <c r="A5428" s="5" t="s">
        <v>6801</v>
      </c>
      <c r="B5428" s="88" t="s">
        <v>6846</v>
      </c>
      <c r="C5428" s="90"/>
      <c r="D5428" s="88" t="s">
        <v>6847</v>
      </c>
      <c r="E5428" s="89"/>
      <c r="F5428" s="90"/>
      <c r="G5428" s="5" t="s">
        <v>1718</v>
      </c>
      <c r="H5428" s="91">
        <v>998</v>
      </c>
      <c r="I5428" s="92"/>
      <c r="J5428" s="93"/>
      <c r="K5428" s="91">
        <v>2</v>
      </c>
      <c r="L5428" s="93"/>
      <c r="M5428" s="88" t="s">
        <v>23</v>
      </c>
      <c r="N5428" s="89"/>
      <c r="O5428" s="90"/>
      <c r="P5428" s="94">
        <v>3956326</v>
      </c>
      <c r="Q5428" s="96"/>
    </row>
    <row r="5429" spans="1:17" ht="15" customHeight="1" x14ac:dyDescent="0.2">
      <c r="A5429" s="5" t="s">
        <v>6801</v>
      </c>
      <c r="B5429" s="88" t="s">
        <v>6848</v>
      </c>
      <c r="C5429" s="90"/>
      <c r="D5429" s="88" t="s">
        <v>6849</v>
      </c>
      <c r="E5429" s="89"/>
      <c r="F5429" s="90"/>
      <c r="G5429" s="5" t="s">
        <v>1718</v>
      </c>
      <c r="H5429" s="91">
        <v>998</v>
      </c>
      <c r="I5429" s="92"/>
      <c r="J5429" s="93"/>
      <c r="K5429" s="91">
        <v>2</v>
      </c>
      <c r="L5429" s="93"/>
      <c r="M5429" s="88" t="s">
        <v>23</v>
      </c>
      <c r="N5429" s="89"/>
      <c r="O5429" s="90"/>
      <c r="P5429" s="94">
        <v>2393461</v>
      </c>
      <c r="Q5429" s="96"/>
    </row>
    <row r="5430" spans="1:17" ht="15" customHeight="1" x14ac:dyDescent="0.2">
      <c r="A5430" s="5" t="s">
        <v>6801</v>
      </c>
      <c r="B5430" s="88" t="s">
        <v>6850</v>
      </c>
      <c r="C5430" s="90"/>
      <c r="D5430" s="88" t="s">
        <v>6849</v>
      </c>
      <c r="E5430" s="89"/>
      <c r="F5430" s="90"/>
      <c r="G5430" s="5" t="s">
        <v>1718</v>
      </c>
      <c r="H5430" s="91">
        <v>998</v>
      </c>
      <c r="I5430" s="92"/>
      <c r="J5430" s="93"/>
      <c r="K5430" s="91">
        <v>2</v>
      </c>
      <c r="L5430" s="93"/>
      <c r="M5430" s="88" t="s">
        <v>23</v>
      </c>
      <c r="N5430" s="89"/>
      <c r="O5430" s="90"/>
      <c r="P5430" s="94">
        <v>2846278</v>
      </c>
      <c r="Q5430" s="96"/>
    </row>
    <row r="5431" spans="1:17" ht="15" customHeight="1" x14ac:dyDescent="0.2">
      <c r="A5431" s="5" t="s">
        <v>6801</v>
      </c>
      <c r="B5431" s="88" t="s">
        <v>6850</v>
      </c>
      <c r="C5431" s="90"/>
      <c r="D5431" s="88" t="s">
        <v>6847</v>
      </c>
      <c r="E5431" s="89"/>
      <c r="F5431" s="90"/>
      <c r="G5431" s="5" t="s">
        <v>1718</v>
      </c>
      <c r="H5431" s="91">
        <v>998</v>
      </c>
      <c r="I5431" s="92"/>
      <c r="J5431" s="93"/>
      <c r="K5431" s="91">
        <v>2</v>
      </c>
      <c r="L5431" s="93"/>
      <c r="M5431" s="88" t="s">
        <v>23</v>
      </c>
      <c r="N5431" s="89"/>
      <c r="O5431" s="90"/>
      <c r="P5431" s="94">
        <v>3970557</v>
      </c>
      <c r="Q5431" s="96"/>
    </row>
    <row r="5432" spans="1:17" ht="15" customHeight="1" x14ac:dyDescent="0.2">
      <c r="A5432" s="5" t="s">
        <v>6801</v>
      </c>
      <c r="B5432" s="88" t="s">
        <v>6851</v>
      </c>
      <c r="C5432" s="90"/>
      <c r="D5432" s="88" t="s">
        <v>6849</v>
      </c>
      <c r="E5432" s="89"/>
      <c r="F5432" s="90"/>
      <c r="G5432" s="5" t="s">
        <v>1718</v>
      </c>
      <c r="H5432" s="91">
        <v>998</v>
      </c>
      <c r="I5432" s="92"/>
      <c r="J5432" s="93"/>
      <c r="K5432" s="91">
        <v>2</v>
      </c>
      <c r="L5432" s="93"/>
      <c r="M5432" s="88" t="s">
        <v>23</v>
      </c>
      <c r="N5432" s="89"/>
      <c r="O5432" s="90"/>
      <c r="P5432" s="94">
        <v>3324970</v>
      </c>
      <c r="Q5432" s="96"/>
    </row>
    <row r="5433" spans="1:17" ht="15" customHeight="1" x14ac:dyDescent="0.2">
      <c r="A5433" s="5" t="s">
        <v>6801</v>
      </c>
      <c r="B5433" s="88" t="s">
        <v>6852</v>
      </c>
      <c r="C5433" s="90"/>
      <c r="D5433" s="88" t="s">
        <v>6853</v>
      </c>
      <c r="E5433" s="89"/>
      <c r="F5433" s="90"/>
      <c r="G5433" s="5" t="s">
        <v>1718</v>
      </c>
      <c r="H5433" s="91">
        <v>998</v>
      </c>
      <c r="I5433" s="92"/>
      <c r="J5433" s="93"/>
      <c r="K5433" s="91">
        <v>2</v>
      </c>
      <c r="L5433" s="93"/>
      <c r="M5433" s="88" t="s">
        <v>23</v>
      </c>
      <c r="N5433" s="89"/>
      <c r="O5433" s="90"/>
      <c r="P5433" s="94">
        <v>2471086</v>
      </c>
      <c r="Q5433" s="96"/>
    </row>
    <row r="5434" spans="1:17" ht="15" customHeight="1" x14ac:dyDescent="0.2">
      <c r="A5434" s="5" t="s">
        <v>6801</v>
      </c>
      <c r="B5434" s="88" t="s">
        <v>6854</v>
      </c>
      <c r="C5434" s="90"/>
      <c r="D5434" s="88" t="s">
        <v>6855</v>
      </c>
      <c r="E5434" s="89"/>
      <c r="F5434" s="90"/>
      <c r="G5434" s="5" t="s">
        <v>1718</v>
      </c>
      <c r="H5434" s="91">
        <v>996</v>
      </c>
      <c r="I5434" s="92"/>
      <c r="J5434" s="93"/>
      <c r="K5434" s="91">
        <v>2</v>
      </c>
      <c r="L5434" s="93"/>
      <c r="M5434" s="88" t="s">
        <v>23</v>
      </c>
      <c r="N5434" s="89"/>
      <c r="O5434" s="90"/>
      <c r="P5434" s="94">
        <v>2974360</v>
      </c>
      <c r="Q5434" s="96"/>
    </row>
    <row r="5435" spans="1:17" ht="15" customHeight="1" x14ac:dyDescent="0.2">
      <c r="A5435" s="5" t="s">
        <v>6801</v>
      </c>
      <c r="B5435" s="88" t="s">
        <v>6856</v>
      </c>
      <c r="C5435" s="90"/>
      <c r="D5435" s="88" t="s">
        <v>6853</v>
      </c>
      <c r="E5435" s="89"/>
      <c r="F5435" s="90"/>
      <c r="G5435" s="5" t="s">
        <v>1718</v>
      </c>
      <c r="H5435" s="91">
        <v>998</v>
      </c>
      <c r="I5435" s="92"/>
      <c r="J5435" s="93"/>
      <c r="K5435" s="91">
        <v>2</v>
      </c>
      <c r="L5435" s="93"/>
      <c r="M5435" s="88" t="s">
        <v>23</v>
      </c>
      <c r="N5435" s="89"/>
      <c r="O5435" s="90"/>
      <c r="P5435" s="94">
        <v>2471086</v>
      </c>
      <c r="Q5435" s="96"/>
    </row>
    <row r="5436" spans="1:17" ht="15" customHeight="1" x14ac:dyDescent="0.2">
      <c r="A5436" s="5" t="s">
        <v>6801</v>
      </c>
      <c r="B5436" s="88" t="s">
        <v>6857</v>
      </c>
      <c r="C5436" s="90"/>
      <c r="D5436" s="88" t="s">
        <v>6853</v>
      </c>
      <c r="E5436" s="89"/>
      <c r="F5436" s="90"/>
      <c r="G5436" s="5" t="s">
        <v>1718</v>
      </c>
      <c r="H5436" s="91">
        <v>998</v>
      </c>
      <c r="I5436" s="92"/>
      <c r="J5436" s="93"/>
      <c r="K5436" s="91">
        <v>2</v>
      </c>
      <c r="L5436" s="93"/>
      <c r="M5436" s="88" t="s">
        <v>23</v>
      </c>
      <c r="N5436" s="89"/>
      <c r="O5436" s="90"/>
      <c r="P5436" s="94">
        <v>3182656</v>
      </c>
      <c r="Q5436" s="96"/>
    </row>
    <row r="5437" spans="1:17" ht="15" customHeight="1" x14ac:dyDescent="0.2">
      <c r="A5437" s="5" t="s">
        <v>6801</v>
      </c>
      <c r="B5437" s="88" t="s">
        <v>6858</v>
      </c>
      <c r="C5437" s="90"/>
      <c r="D5437" s="88" t="s">
        <v>6853</v>
      </c>
      <c r="E5437" s="89"/>
      <c r="F5437" s="90"/>
      <c r="G5437" s="5" t="s">
        <v>1718</v>
      </c>
      <c r="H5437" s="91">
        <v>998</v>
      </c>
      <c r="I5437" s="92"/>
      <c r="J5437" s="93"/>
      <c r="K5437" s="91">
        <v>1</v>
      </c>
      <c r="L5437" s="93"/>
      <c r="M5437" s="88" t="s">
        <v>23</v>
      </c>
      <c r="N5437" s="89"/>
      <c r="O5437" s="90"/>
      <c r="P5437" s="94">
        <v>3506096</v>
      </c>
      <c r="Q5437" s="96"/>
    </row>
    <row r="5438" spans="1:17" ht="15" customHeight="1" x14ac:dyDescent="0.2">
      <c r="A5438" s="5" t="s">
        <v>6801</v>
      </c>
      <c r="B5438" s="88" t="s">
        <v>6859</v>
      </c>
      <c r="C5438" s="90"/>
      <c r="D5438" s="88" t="s">
        <v>6860</v>
      </c>
      <c r="E5438" s="89"/>
      <c r="F5438" s="90"/>
      <c r="G5438" s="5" t="s">
        <v>1718</v>
      </c>
      <c r="H5438" s="91">
        <v>249</v>
      </c>
      <c r="I5438" s="92"/>
      <c r="J5438" s="93"/>
      <c r="K5438" s="91">
        <v>2</v>
      </c>
      <c r="L5438" s="93"/>
      <c r="M5438" s="88" t="s">
        <v>23</v>
      </c>
      <c r="N5438" s="89"/>
      <c r="O5438" s="90"/>
      <c r="P5438" s="94">
        <v>1245246</v>
      </c>
      <c r="Q5438" s="96"/>
    </row>
    <row r="5439" spans="1:17" ht="15" customHeight="1" x14ac:dyDescent="0.2">
      <c r="A5439" s="5" t="s">
        <v>6801</v>
      </c>
      <c r="B5439" s="88" t="s">
        <v>6859</v>
      </c>
      <c r="C5439" s="90"/>
      <c r="D5439" s="88" t="s">
        <v>6861</v>
      </c>
      <c r="E5439" s="89"/>
      <c r="F5439" s="90"/>
      <c r="G5439" s="5" t="s">
        <v>1718</v>
      </c>
      <c r="H5439" s="91">
        <v>249</v>
      </c>
      <c r="I5439" s="92"/>
      <c r="J5439" s="93"/>
      <c r="K5439" s="91">
        <v>2</v>
      </c>
      <c r="L5439" s="93"/>
      <c r="M5439" s="88" t="s">
        <v>23</v>
      </c>
      <c r="N5439" s="89"/>
      <c r="O5439" s="90"/>
      <c r="P5439" s="94">
        <v>1209668</v>
      </c>
      <c r="Q5439" s="96"/>
    </row>
    <row r="5440" spans="1:17" ht="15" customHeight="1" x14ac:dyDescent="0.2">
      <c r="A5440" s="5" t="s">
        <v>6801</v>
      </c>
      <c r="B5440" s="88" t="s">
        <v>6862</v>
      </c>
      <c r="C5440" s="90"/>
      <c r="D5440" s="88" t="s">
        <v>6863</v>
      </c>
      <c r="E5440" s="89"/>
      <c r="F5440" s="90"/>
      <c r="G5440" s="5" t="s">
        <v>1718</v>
      </c>
      <c r="H5440" s="91">
        <v>399</v>
      </c>
      <c r="I5440" s="92"/>
      <c r="J5440" s="93"/>
      <c r="K5440" s="91">
        <v>2</v>
      </c>
      <c r="L5440" s="93"/>
      <c r="M5440" s="88" t="s">
        <v>23</v>
      </c>
      <c r="N5440" s="89"/>
      <c r="O5440" s="90"/>
      <c r="P5440" s="94">
        <v>1494296</v>
      </c>
      <c r="Q5440" s="96"/>
    </row>
    <row r="5441" spans="1:17" ht="15" customHeight="1" x14ac:dyDescent="0.2">
      <c r="A5441" s="5" t="s">
        <v>6801</v>
      </c>
      <c r="B5441" s="88" t="s">
        <v>6864</v>
      </c>
      <c r="C5441" s="90"/>
      <c r="D5441" s="88" t="s">
        <v>6865</v>
      </c>
      <c r="E5441" s="89"/>
      <c r="F5441" s="90"/>
      <c r="G5441" s="5" t="s">
        <v>1718</v>
      </c>
      <c r="H5441" s="91">
        <v>636</v>
      </c>
      <c r="I5441" s="92"/>
      <c r="J5441" s="93"/>
      <c r="K5441" s="91">
        <v>2</v>
      </c>
      <c r="L5441" s="93"/>
      <c r="M5441" s="88" t="s">
        <v>23</v>
      </c>
      <c r="N5441" s="89"/>
      <c r="O5441" s="90"/>
      <c r="P5441" s="94">
        <v>1591328</v>
      </c>
      <c r="Q5441" s="96"/>
    </row>
    <row r="5442" spans="1:17" ht="15" customHeight="1" x14ac:dyDescent="0.2">
      <c r="A5442" s="5" t="s">
        <v>6801</v>
      </c>
      <c r="B5442" s="88" t="s">
        <v>6866</v>
      </c>
      <c r="C5442" s="90"/>
      <c r="D5442" s="88" t="s">
        <v>6865</v>
      </c>
      <c r="E5442" s="89"/>
      <c r="F5442" s="90"/>
      <c r="G5442" s="5" t="s">
        <v>1718</v>
      </c>
      <c r="H5442" s="91">
        <v>636</v>
      </c>
      <c r="I5442" s="92"/>
      <c r="J5442" s="93"/>
      <c r="K5442" s="91">
        <v>2</v>
      </c>
      <c r="L5442" s="93"/>
      <c r="M5442" s="88" t="s">
        <v>23</v>
      </c>
      <c r="N5442" s="89"/>
      <c r="O5442" s="90"/>
      <c r="P5442" s="94">
        <v>1591328</v>
      </c>
      <c r="Q5442" s="96"/>
    </row>
    <row r="5443" spans="1:17" ht="15" customHeight="1" x14ac:dyDescent="0.2">
      <c r="A5443" s="5" t="s">
        <v>6801</v>
      </c>
      <c r="B5443" s="88" t="s">
        <v>6867</v>
      </c>
      <c r="C5443" s="90"/>
      <c r="D5443" s="88" t="s">
        <v>6831</v>
      </c>
      <c r="E5443" s="89"/>
      <c r="F5443" s="90"/>
      <c r="G5443" s="5" t="s">
        <v>1718</v>
      </c>
      <c r="H5443" s="91">
        <v>248</v>
      </c>
      <c r="I5443" s="92"/>
      <c r="J5443" s="93"/>
      <c r="K5443" s="91">
        <v>2</v>
      </c>
      <c r="L5443" s="93"/>
      <c r="M5443" s="88" t="s">
        <v>23</v>
      </c>
      <c r="N5443" s="89"/>
      <c r="O5443" s="90"/>
      <c r="P5443" s="94">
        <v>754264</v>
      </c>
      <c r="Q5443" s="96"/>
    </row>
    <row r="5444" spans="1:17" ht="15" customHeight="1" x14ac:dyDescent="0.2">
      <c r="A5444" s="5" t="s">
        <v>6801</v>
      </c>
      <c r="B5444" s="88" t="s">
        <v>6868</v>
      </c>
      <c r="C5444" s="90"/>
      <c r="D5444" s="88" t="s">
        <v>6834</v>
      </c>
      <c r="E5444" s="89"/>
      <c r="F5444" s="90"/>
      <c r="G5444" s="5" t="s">
        <v>1718</v>
      </c>
      <c r="H5444" s="91">
        <v>398</v>
      </c>
      <c r="I5444" s="92"/>
      <c r="J5444" s="93"/>
      <c r="K5444" s="91">
        <v>2</v>
      </c>
      <c r="L5444" s="93"/>
      <c r="M5444" s="88" t="s">
        <v>23</v>
      </c>
      <c r="N5444" s="89"/>
      <c r="O5444" s="90"/>
      <c r="P5444" s="94">
        <v>939272</v>
      </c>
      <c r="Q5444" s="96"/>
    </row>
    <row r="5445" spans="1:17" ht="15" customHeight="1" x14ac:dyDescent="0.2">
      <c r="A5445" s="5" t="s">
        <v>6801</v>
      </c>
      <c r="B5445" s="88" t="s">
        <v>6869</v>
      </c>
      <c r="C5445" s="90"/>
      <c r="D5445" s="88" t="s">
        <v>6870</v>
      </c>
      <c r="E5445" s="89"/>
      <c r="F5445" s="90"/>
      <c r="G5445" s="5" t="s">
        <v>1718</v>
      </c>
      <c r="H5445" s="91">
        <v>1043</v>
      </c>
      <c r="I5445" s="92"/>
      <c r="J5445" s="93"/>
      <c r="K5445" s="91">
        <v>2</v>
      </c>
      <c r="L5445" s="93"/>
      <c r="M5445" s="88" t="s">
        <v>23</v>
      </c>
      <c r="N5445" s="89"/>
      <c r="O5445" s="90"/>
      <c r="P5445" s="94">
        <v>2238209</v>
      </c>
      <c r="Q5445" s="96"/>
    </row>
    <row r="5446" spans="1:17" ht="15" customHeight="1" x14ac:dyDescent="0.2">
      <c r="A5446" s="5" t="s">
        <v>6801</v>
      </c>
      <c r="B5446" s="88" t="s">
        <v>6871</v>
      </c>
      <c r="C5446" s="90"/>
      <c r="D5446" s="88" t="s">
        <v>6870</v>
      </c>
      <c r="E5446" s="89"/>
      <c r="F5446" s="90"/>
      <c r="G5446" s="5" t="s">
        <v>1718</v>
      </c>
      <c r="H5446" s="91">
        <v>1043</v>
      </c>
      <c r="I5446" s="92"/>
      <c r="J5446" s="93"/>
      <c r="K5446" s="91">
        <v>2</v>
      </c>
      <c r="L5446" s="93"/>
      <c r="M5446" s="88" t="s">
        <v>23</v>
      </c>
      <c r="N5446" s="89"/>
      <c r="O5446" s="90"/>
      <c r="P5446" s="94">
        <v>2238209</v>
      </c>
      <c r="Q5446" s="96"/>
    </row>
    <row r="5447" spans="1:17" ht="15" customHeight="1" x14ac:dyDescent="0.2">
      <c r="A5447" s="5" t="s">
        <v>6801</v>
      </c>
      <c r="B5447" s="88" t="s">
        <v>6872</v>
      </c>
      <c r="C5447" s="90"/>
      <c r="D5447" s="88" t="s">
        <v>6873</v>
      </c>
      <c r="E5447" s="89"/>
      <c r="F5447" s="90"/>
      <c r="G5447" s="5" t="s">
        <v>1718</v>
      </c>
      <c r="H5447" s="91">
        <v>248</v>
      </c>
      <c r="I5447" s="92"/>
      <c r="J5447" s="93"/>
      <c r="K5447" s="91">
        <v>2</v>
      </c>
      <c r="L5447" s="93"/>
      <c r="M5447" s="88" t="s">
        <v>23</v>
      </c>
      <c r="N5447" s="89"/>
      <c r="O5447" s="90"/>
      <c r="P5447" s="94">
        <v>754264</v>
      </c>
      <c r="Q5447" s="96"/>
    </row>
    <row r="5448" spans="1:17" ht="15" customHeight="1" x14ac:dyDescent="0.2">
      <c r="A5448" s="5" t="s">
        <v>6801</v>
      </c>
      <c r="B5448" s="88" t="s">
        <v>6874</v>
      </c>
      <c r="C5448" s="90"/>
      <c r="D5448" s="88" t="s">
        <v>6873</v>
      </c>
      <c r="E5448" s="89"/>
      <c r="F5448" s="90"/>
      <c r="G5448" s="5" t="s">
        <v>1718</v>
      </c>
      <c r="H5448" s="91">
        <v>248</v>
      </c>
      <c r="I5448" s="92"/>
      <c r="J5448" s="93"/>
      <c r="K5448" s="91">
        <v>2</v>
      </c>
      <c r="L5448" s="93"/>
      <c r="M5448" s="88" t="s">
        <v>23</v>
      </c>
      <c r="N5448" s="89"/>
      <c r="O5448" s="90"/>
      <c r="P5448" s="94">
        <v>818952</v>
      </c>
      <c r="Q5448" s="96"/>
    </row>
    <row r="5449" spans="1:17" ht="15" customHeight="1" x14ac:dyDescent="0.2">
      <c r="A5449" s="5" t="s">
        <v>6801</v>
      </c>
      <c r="B5449" s="88" t="s">
        <v>6875</v>
      </c>
      <c r="C5449" s="90"/>
      <c r="D5449" s="88" t="s">
        <v>6876</v>
      </c>
      <c r="E5449" s="89"/>
      <c r="F5449" s="90"/>
      <c r="G5449" s="5" t="s">
        <v>1718</v>
      </c>
      <c r="H5449" s="91">
        <v>649</v>
      </c>
      <c r="I5449" s="92"/>
      <c r="J5449" s="93"/>
      <c r="K5449" s="91">
        <v>2</v>
      </c>
      <c r="L5449" s="93"/>
      <c r="M5449" s="88" t="s">
        <v>23</v>
      </c>
      <c r="N5449" s="89"/>
      <c r="O5449" s="90"/>
      <c r="P5449" s="94">
        <v>935390</v>
      </c>
      <c r="Q5449" s="96"/>
    </row>
    <row r="5450" spans="1:17" ht="15" customHeight="1" x14ac:dyDescent="0.2">
      <c r="A5450" s="5" t="s">
        <v>6801</v>
      </c>
      <c r="B5450" s="88" t="s">
        <v>6875</v>
      </c>
      <c r="C5450" s="90"/>
      <c r="D5450" s="88" t="s">
        <v>6877</v>
      </c>
      <c r="E5450" s="89"/>
      <c r="F5450" s="90"/>
      <c r="G5450" s="5" t="s">
        <v>1718</v>
      </c>
      <c r="H5450" s="91">
        <v>649</v>
      </c>
      <c r="I5450" s="92"/>
      <c r="J5450" s="93"/>
      <c r="K5450" s="91">
        <v>2</v>
      </c>
      <c r="L5450" s="93"/>
      <c r="M5450" s="88" t="s">
        <v>23</v>
      </c>
      <c r="N5450" s="89"/>
      <c r="O5450" s="90"/>
      <c r="P5450" s="94">
        <v>993610</v>
      </c>
      <c r="Q5450" s="96"/>
    </row>
    <row r="5451" spans="1:17" ht="15" customHeight="1" x14ac:dyDescent="0.2">
      <c r="A5451" s="5" t="s">
        <v>6801</v>
      </c>
      <c r="B5451" s="88" t="s">
        <v>6878</v>
      </c>
      <c r="C5451" s="90"/>
      <c r="D5451" s="88" t="s">
        <v>6876</v>
      </c>
      <c r="E5451" s="89"/>
      <c r="F5451" s="90"/>
      <c r="G5451" s="5" t="s">
        <v>1718</v>
      </c>
      <c r="H5451" s="91">
        <v>649</v>
      </c>
      <c r="I5451" s="92"/>
      <c r="J5451" s="93"/>
      <c r="K5451" s="91">
        <v>2</v>
      </c>
      <c r="L5451" s="93"/>
      <c r="M5451" s="88" t="s">
        <v>23</v>
      </c>
      <c r="N5451" s="89"/>
      <c r="O5451" s="90"/>
      <c r="P5451" s="94">
        <v>1009135</v>
      </c>
      <c r="Q5451" s="96"/>
    </row>
    <row r="5452" spans="1:17" ht="15" customHeight="1" x14ac:dyDescent="0.2">
      <c r="A5452" s="5" t="s">
        <v>6801</v>
      </c>
      <c r="B5452" s="88" t="s">
        <v>6879</v>
      </c>
      <c r="C5452" s="90"/>
      <c r="D5452" s="88" t="s">
        <v>6825</v>
      </c>
      <c r="E5452" s="89"/>
      <c r="F5452" s="90"/>
      <c r="G5452" s="5" t="s">
        <v>963</v>
      </c>
      <c r="H5452" s="91">
        <v>773</v>
      </c>
      <c r="I5452" s="92"/>
      <c r="J5452" s="93"/>
      <c r="K5452" s="91">
        <v>2</v>
      </c>
      <c r="L5452" s="93"/>
      <c r="M5452" s="88" t="s">
        <v>23</v>
      </c>
      <c r="N5452" s="89"/>
      <c r="O5452" s="90"/>
      <c r="P5452" s="94">
        <v>1293763</v>
      </c>
      <c r="Q5452" s="96"/>
    </row>
    <row r="5453" spans="1:17" ht="15" customHeight="1" x14ac:dyDescent="0.2">
      <c r="A5453" s="5" t="s">
        <v>6801</v>
      </c>
      <c r="B5453" s="88" t="s">
        <v>6879</v>
      </c>
      <c r="C5453" s="90"/>
      <c r="D5453" s="88" t="s">
        <v>6880</v>
      </c>
      <c r="E5453" s="89"/>
      <c r="F5453" s="90"/>
      <c r="G5453" s="5" t="s">
        <v>963</v>
      </c>
      <c r="H5453" s="91">
        <v>773</v>
      </c>
      <c r="I5453" s="92"/>
      <c r="J5453" s="93"/>
      <c r="K5453" s="91">
        <v>2</v>
      </c>
      <c r="L5453" s="93"/>
      <c r="M5453" s="88" t="s">
        <v>23</v>
      </c>
      <c r="N5453" s="89"/>
      <c r="O5453" s="90"/>
      <c r="P5453" s="94">
        <v>1551221</v>
      </c>
      <c r="Q5453" s="96"/>
    </row>
    <row r="5454" spans="1:17" ht="15" customHeight="1" x14ac:dyDescent="0.2">
      <c r="A5454" s="5" t="s">
        <v>6801</v>
      </c>
      <c r="B5454" s="88" t="s">
        <v>6881</v>
      </c>
      <c r="C5454" s="90"/>
      <c r="D5454" s="88" t="s">
        <v>6825</v>
      </c>
      <c r="E5454" s="89"/>
      <c r="F5454" s="90"/>
      <c r="G5454" s="5" t="s">
        <v>963</v>
      </c>
      <c r="H5454" s="91">
        <v>773</v>
      </c>
      <c r="I5454" s="92"/>
      <c r="J5454" s="93"/>
      <c r="K5454" s="91">
        <v>2</v>
      </c>
      <c r="L5454" s="93"/>
      <c r="M5454" s="88" t="s">
        <v>23</v>
      </c>
      <c r="N5454" s="89"/>
      <c r="O5454" s="90"/>
      <c r="P5454" s="94">
        <v>1332575</v>
      </c>
      <c r="Q5454" s="96"/>
    </row>
    <row r="5455" spans="1:17" ht="15" customHeight="1" x14ac:dyDescent="0.2">
      <c r="A5455" s="5" t="s">
        <v>6801</v>
      </c>
      <c r="B5455" s="88" t="s">
        <v>6882</v>
      </c>
      <c r="C5455" s="90"/>
      <c r="D5455" s="88" t="s">
        <v>6825</v>
      </c>
      <c r="E5455" s="89"/>
      <c r="F5455" s="90"/>
      <c r="G5455" s="5" t="s">
        <v>963</v>
      </c>
      <c r="H5455" s="91">
        <v>773</v>
      </c>
      <c r="I5455" s="92"/>
      <c r="J5455" s="93"/>
      <c r="K5455" s="91">
        <v>2</v>
      </c>
      <c r="L5455" s="93"/>
      <c r="M5455" s="88" t="s">
        <v>23</v>
      </c>
      <c r="N5455" s="89"/>
      <c r="O5455" s="90"/>
      <c r="P5455" s="94">
        <v>1190262</v>
      </c>
      <c r="Q5455" s="96"/>
    </row>
    <row r="5456" spans="1:17" ht="15" customHeight="1" x14ac:dyDescent="0.2">
      <c r="A5456" s="5" t="s">
        <v>6801</v>
      </c>
      <c r="B5456" s="88" t="s">
        <v>6883</v>
      </c>
      <c r="C5456" s="90"/>
      <c r="D5456" s="88" t="s">
        <v>6884</v>
      </c>
      <c r="E5456" s="89"/>
      <c r="F5456" s="90"/>
      <c r="G5456" s="5" t="s">
        <v>1718</v>
      </c>
      <c r="H5456" s="91">
        <v>998</v>
      </c>
      <c r="I5456" s="92"/>
      <c r="J5456" s="93"/>
      <c r="K5456" s="91">
        <v>2</v>
      </c>
      <c r="L5456" s="93"/>
      <c r="M5456" s="88" t="s">
        <v>23</v>
      </c>
      <c r="N5456" s="89"/>
      <c r="O5456" s="90"/>
      <c r="P5456" s="94">
        <v>2225272</v>
      </c>
      <c r="Q5456" s="96"/>
    </row>
    <row r="5457" spans="1:17" ht="15" customHeight="1" x14ac:dyDescent="0.2">
      <c r="A5457" s="5" t="s">
        <v>6801</v>
      </c>
      <c r="B5457" s="88" t="s">
        <v>6885</v>
      </c>
      <c r="C5457" s="90"/>
      <c r="D5457" s="88" t="s">
        <v>6886</v>
      </c>
      <c r="E5457" s="89"/>
      <c r="F5457" s="90"/>
      <c r="G5457" s="5" t="s">
        <v>1718</v>
      </c>
      <c r="H5457" s="91">
        <v>998</v>
      </c>
      <c r="I5457" s="92"/>
      <c r="J5457" s="93"/>
      <c r="K5457" s="91">
        <v>2</v>
      </c>
      <c r="L5457" s="93"/>
      <c r="M5457" s="88" t="s">
        <v>23</v>
      </c>
      <c r="N5457" s="89"/>
      <c r="O5457" s="90"/>
      <c r="P5457" s="94">
        <v>2917434</v>
      </c>
      <c r="Q5457" s="96"/>
    </row>
    <row r="5458" spans="1:17" ht="15" customHeight="1" x14ac:dyDescent="0.2">
      <c r="A5458" s="5" t="s">
        <v>6801</v>
      </c>
      <c r="B5458" s="88" t="s">
        <v>6885</v>
      </c>
      <c r="C5458" s="90"/>
      <c r="D5458" s="88" t="s">
        <v>6884</v>
      </c>
      <c r="E5458" s="89"/>
      <c r="F5458" s="90"/>
      <c r="G5458" s="5" t="s">
        <v>1718</v>
      </c>
      <c r="H5458" s="91">
        <v>998</v>
      </c>
      <c r="I5458" s="92"/>
      <c r="J5458" s="93"/>
      <c r="K5458" s="91">
        <v>2</v>
      </c>
      <c r="L5458" s="93"/>
      <c r="M5458" s="88" t="s">
        <v>23</v>
      </c>
      <c r="N5458" s="89"/>
      <c r="O5458" s="90"/>
      <c r="P5458" s="94">
        <v>2817815</v>
      </c>
      <c r="Q5458" s="96"/>
    </row>
    <row r="5459" spans="1:17" ht="15" customHeight="1" x14ac:dyDescent="0.2">
      <c r="A5459" s="5" t="s">
        <v>6801</v>
      </c>
      <c r="B5459" s="88" t="s">
        <v>6887</v>
      </c>
      <c r="C5459" s="90"/>
      <c r="D5459" s="88" t="s">
        <v>6827</v>
      </c>
      <c r="E5459" s="89"/>
      <c r="F5459" s="90"/>
      <c r="G5459" s="5" t="s">
        <v>1718</v>
      </c>
      <c r="H5459" s="91">
        <v>1043</v>
      </c>
      <c r="I5459" s="92"/>
      <c r="J5459" s="93"/>
      <c r="K5459" s="91">
        <v>2</v>
      </c>
      <c r="L5459" s="93"/>
      <c r="M5459" s="88" t="s">
        <v>23</v>
      </c>
      <c r="N5459" s="89"/>
      <c r="O5459" s="90"/>
      <c r="P5459" s="94">
        <v>1377857</v>
      </c>
      <c r="Q5459" s="96"/>
    </row>
    <row r="5460" spans="1:17" ht="15" customHeight="1" x14ac:dyDescent="0.2">
      <c r="A5460" s="5" t="s">
        <v>6801</v>
      </c>
      <c r="B5460" s="88" t="s">
        <v>6888</v>
      </c>
      <c r="C5460" s="90"/>
      <c r="D5460" s="88" t="s">
        <v>6889</v>
      </c>
      <c r="E5460" s="89"/>
      <c r="F5460" s="90"/>
      <c r="G5460" s="5" t="s">
        <v>6544</v>
      </c>
      <c r="H5460" s="91">
        <v>124</v>
      </c>
      <c r="I5460" s="92"/>
      <c r="J5460" s="93"/>
      <c r="K5460" s="91">
        <v>2</v>
      </c>
      <c r="L5460" s="93"/>
      <c r="M5460" s="88" t="s">
        <v>23</v>
      </c>
      <c r="N5460" s="89"/>
      <c r="O5460" s="90"/>
      <c r="P5460" s="94">
        <v>414004</v>
      </c>
      <c r="Q5460" s="96"/>
    </row>
    <row r="5461" spans="1:17" ht="15" customHeight="1" x14ac:dyDescent="0.2">
      <c r="A5461" s="5" t="s">
        <v>6801</v>
      </c>
      <c r="B5461" s="88" t="s">
        <v>6890</v>
      </c>
      <c r="C5461" s="90"/>
      <c r="D5461" s="88" t="s">
        <v>6831</v>
      </c>
      <c r="E5461" s="89"/>
      <c r="F5461" s="90"/>
      <c r="G5461" s="5" t="s">
        <v>1718</v>
      </c>
      <c r="H5461" s="91">
        <v>248</v>
      </c>
      <c r="I5461" s="92"/>
      <c r="J5461" s="93"/>
      <c r="K5461" s="91">
        <v>2</v>
      </c>
      <c r="L5461" s="93"/>
      <c r="M5461" s="88" t="s">
        <v>23</v>
      </c>
      <c r="N5461" s="89"/>
      <c r="O5461" s="90"/>
      <c r="P5461" s="94">
        <v>715451</v>
      </c>
      <c r="Q5461" s="96"/>
    </row>
    <row r="5462" spans="1:17" ht="15" customHeight="1" x14ac:dyDescent="0.2">
      <c r="A5462" s="5" t="s">
        <v>6801</v>
      </c>
      <c r="B5462" s="88" t="s">
        <v>6891</v>
      </c>
      <c r="C5462" s="90"/>
      <c r="D5462" s="88" t="s">
        <v>6892</v>
      </c>
      <c r="E5462" s="89"/>
      <c r="F5462" s="90"/>
      <c r="G5462" s="5" t="s">
        <v>1718</v>
      </c>
      <c r="H5462" s="91">
        <v>248</v>
      </c>
      <c r="I5462" s="92"/>
      <c r="J5462" s="93"/>
      <c r="K5462" s="91">
        <v>2</v>
      </c>
      <c r="L5462" s="93"/>
      <c r="M5462" s="88" t="s">
        <v>23</v>
      </c>
      <c r="N5462" s="89"/>
      <c r="O5462" s="90"/>
      <c r="P5462" s="94">
        <v>662406</v>
      </c>
      <c r="Q5462" s="96"/>
    </row>
    <row r="5463" spans="1:17" ht="15" customHeight="1" x14ac:dyDescent="0.2">
      <c r="A5463" s="5" t="s">
        <v>6801</v>
      </c>
      <c r="B5463" s="88" t="s">
        <v>6893</v>
      </c>
      <c r="C5463" s="90"/>
      <c r="D5463" s="88" t="s">
        <v>6892</v>
      </c>
      <c r="E5463" s="89"/>
      <c r="F5463" s="90"/>
      <c r="G5463" s="5" t="s">
        <v>1718</v>
      </c>
      <c r="H5463" s="91">
        <v>248</v>
      </c>
      <c r="I5463" s="92"/>
      <c r="J5463" s="93"/>
      <c r="K5463" s="91">
        <v>2</v>
      </c>
      <c r="L5463" s="93"/>
      <c r="M5463" s="88" t="s">
        <v>23</v>
      </c>
      <c r="N5463" s="89"/>
      <c r="O5463" s="90"/>
      <c r="P5463" s="94">
        <v>681813</v>
      </c>
      <c r="Q5463" s="96"/>
    </row>
    <row r="5464" spans="1:17" ht="15" customHeight="1" x14ac:dyDescent="0.2">
      <c r="A5464" s="5" t="s">
        <v>6801</v>
      </c>
      <c r="B5464" s="88" t="s">
        <v>6894</v>
      </c>
      <c r="C5464" s="90"/>
      <c r="D5464" s="88" t="s">
        <v>6834</v>
      </c>
      <c r="E5464" s="89"/>
      <c r="F5464" s="90"/>
      <c r="G5464" s="5" t="s">
        <v>1718</v>
      </c>
      <c r="H5464" s="91">
        <v>398</v>
      </c>
      <c r="I5464" s="92"/>
      <c r="J5464" s="93"/>
      <c r="K5464" s="91">
        <v>2</v>
      </c>
      <c r="L5464" s="93"/>
      <c r="M5464" s="88" t="s">
        <v>23</v>
      </c>
      <c r="N5464" s="89"/>
      <c r="O5464" s="90"/>
      <c r="P5464" s="94">
        <v>799545</v>
      </c>
      <c r="Q5464" s="96"/>
    </row>
    <row r="5465" spans="1:17" ht="15" customHeight="1" x14ac:dyDescent="0.2">
      <c r="A5465" s="5" t="s">
        <v>6801</v>
      </c>
      <c r="B5465" s="88" t="s">
        <v>6895</v>
      </c>
      <c r="C5465" s="90"/>
      <c r="D5465" s="88" t="s">
        <v>6839</v>
      </c>
      <c r="E5465" s="89"/>
      <c r="F5465" s="90"/>
      <c r="G5465" s="5" t="s">
        <v>1718</v>
      </c>
      <c r="H5465" s="91">
        <v>649</v>
      </c>
      <c r="I5465" s="92"/>
      <c r="J5465" s="93"/>
      <c r="K5465" s="91">
        <v>2</v>
      </c>
      <c r="L5465" s="93"/>
      <c r="M5465" s="88" t="s">
        <v>23</v>
      </c>
      <c r="N5465" s="89"/>
      <c r="O5465" s="90"/>
      <c r="P5465" s="94">
        <v>941859</v>
      </c>
      <c r="Q5465" s="96"/>
    </row>
    <row r="5466" spans="1:17" ht="15" customHeight="1" x14ac:dyDescent="0.2">
      <c r="A5466" s="5" t="s">
        <v>6801</v>
      </c>
      <c r="B5466" s="88" t="s">
        <v>6896</v>
      </c>
      <c r="C5466" s="90"/>
      <c r="D5466" s="88" t="s">
        <v>6839</v>
      </c>
      <c r="E5466" s="89"/>
      <c r="F5466" s="90"/>
      <c r="G5466" s="5" t="s">
        <v>1718</v>
      </c>
      <c r="H5466" s="91">
        <v>649</v>
      </c>
      <c r="I5466" s="92"/>
      <c r="J5466" s="93"/>
      <c r="K5466" s="91">
        <v>2</v>
      </c>
      <c r="L5466" s="93"/>
      <c r="M5466" s="88" t="s">
        <v>23</v>
      </c>
      <c r="N5466" s="89"/>
      <c r="O5466" s="90"/>
      <c r="P5466" s="94">
        <v>941859</v>
      </c>
      <c r="Q5466" s="96"/>
    </row>
    <row r="5467" spans="1:17" ht="15" customHeight="1" x14ac:dyDescent="0.2">
      <c r="A5467" s="5" t="s">
        <v>6801</v>
      </c>
      <c r="B5467" s="88" t="s">
        <v>6897</v>
      </c>
      <c r="C5467" s="90"/>
      <c r="D5467" s="88" t="s">
        <v>6898</v>
      </c>
      <c r="E5467" s="89"/>
      <c r="F5467" s="90"/>
      <c r="G5467" s="5" t="s">
        <v>1718</v>
      </c>
      <c r="H5467" s="91">
        <v>649</v>
      </c>
      <c r="I5467" s="92"/>
      <c r="J5467" s="93"/>
      <c r="K5467" s="91">
        <v>2</v>
      </c>
      <c r="L5467" s="93"/>
      <c r="M5467" s="88" t="s">
        <v>23</v>
      </c>
      <c r="N5467" s="89"/>
      <c r="O5467" s="90"/>
      <c r="P5467" s="94">
        <v>1337750</v>
      </c>
      <c r="Q5467" s="96"/>
    </row>
    <row r="5468" spans="1:17" ht="15" customHeight="1" x14ac:dyDescent="0.2">
      <c r="A5468" s="5" t="s">
        <v>6801</v>
      </c>
      <c r="B5468" s="88" t="s">
        <v>6899</v>
      </c>
      <c r="C5468" s="90"/>
      <c r="D5468" s="88" t="s">
        <v>6900</v>
      </c>
      <c r="E5468" s="89"/>
      <c r="F5468" s="90"/>
      <c r="G5468" s="5" t="s">
        <v>1718</v>
      </c>
      <c r="H5468" s="91">
        <v>948</v>
      </c>
      <c r="I5468" s="92"/>
      <c r="J5468" s="93"/>
      <c r="K5468" s="91">
        <v>2</v>
      </c>
      <c r="L5468" s="93"/>
      <c r="M5468" s="88" t="s">
        <v>23</v>
      </c>
      <c r="N5468" s="89"/>
      <c r="O5468" s="90"/>
      <c r="P5468" s="94">
        <v>1138511</v>
      </c>
      <c r="Q5468" s="96"/>
    </row>
    <row r="5469" spans="1:17" ht="15" customHeight="1" x14ac:dyDescent="0.2">
      <c r="A5469" s="5" t="s">
        <v>6801</v>
      </c>
      <c r="B5469" s="88" t="s">
        <v>6901</v>
      </c>
      <c r="C5469" s="90"/>
      <c r="D5469" s="88" t="s">
        <v>6902</v>
      </c>
      <c r="E5469" s="89"/>
      <c r="F5469" s="90"/>
      <c r="G5469" s="5" t="s">
        <v>1718</v>
      </c>
      <c r="H5469" s="91">
        <v>948</v>
      </c>
      <c r="I5469" s="92"/>
      <c r="J5469" s="93"/>
      <c r="K5469" s="91">
        <v>2</v>
      </c>
      <c r="L5469" s="93"/>
      <c r="M5469" s="88" t="s">
        <v>23</v>
      </c>
      <c r="N5469" s="89"/>
      <c r="O5469" s="90"/>
      <c r="P5469" s="94">
        <v>1552515</v>
      </c>
      <c r="Q5469" s="96"/>
    </row>
    <row r="5470" spans="1:17" ht="15" customHeight="1" x14ac:dyDescent="0.2">
      <c r="A5470" s="5" t="s">
        <v>6801</v>
      </c>
      <c r="B5470" s="88" t="s">
        <v>6903</v>
      </c>
      <c r="C5470" s="90"/>
      <c r="D5470" s="88" t="s">
        <v>6904</v>
      </c>
      <c r="E5470" s="89"/>
      <c r="F5470" s="90"/>
      <c r="G5470" s="5" t="s">
        <v>1718</v>
      </c>
      <c r="H5470" s="91">
        <v>948</v>
      </c>
      <c r="I5470" s="92"/>
      <c r="J5470" s="93"/>
      <c r="K5470" s="91">
        <v>2</v>
      </c>
      <c r="L5470" s="93"/>
      <c r="M5470" s="88" t="s">
        <v>23</v>
      </c>
      <c r="N5470" s="89"/>
      <c r="O5470" s="90"/>
      <c r="P5470" s="94">
        <v>1617203</v>
      </c>
      <c r="Q5470" s="96"/>
    </row>
    <row r="5471" spans="1:17" ht="15" customHeight="1" x14ac:dyDescent="0.2">
      <c r="A5471" s="5" t="s">
        <v>6801</v>
      </c>
      <c r="B5471" s="88" t="s">
        <v>6905</v>
      </c>
      <c r="C5471" s="90"/>
      <c r="D5471" s="88" t="s">
        <v>6906</v>
      </c>
      <c r="E5471" s="89"/>
      <c r="F5471" s="90"/>
      <c r="G5471" s="5" t="s">
        <v>1718</v>
      </c>
      <c r="H5471" s="91">
        <v>948</v>
      </c>
      <c r="I5471" s="92"/>
      <c r="J5471" s="93"/>
      <c r="K5471" s="91">
        <v>2</v>
      </c>
      <c r="L5471" s="93"/>
      <c r="M5471" s="88" t="s">
        <v>23</v>
      </c>
      <c r="N5471" s="89"/>
      <c r="O5471" s="90"/>
      <c r="P5471" s="94">
        <v>2020857</v>
      </c>
      <c r="Q5471" s="96"/>
    </row>
    <row r="5472" spans="1:17" ht="15" customHeight="1" x14ac:dyDescent="0.2">
      <c r="A5472" s="5" t="s">
        <v>6801</v>
      </c>
      <c r="B5472" s="88" t="s">
        <v>6907</v>
      </c>
      <c r="C5472" s="90"/>
      <c r="D5472" s="88" t="s">
        <v>6827</v>
      </c>
      <c r="E5472" s="89"/>
      <c r="F5472" s="90"/>
      <c r="G5472" s="5" t="s">
        <v>1718</v>
      </c>
      <c r="H5472" s="91">
        <v>1043</v>
      </c>
      <c r="I5472" s="92"/>
      <c r="J5472" s="93"/>
      <c r="K5472" s="91">
        <v>2</v>
      </c>
      <c r="L5472" s="93"/>
      <c r="M5472" s="88" t="s">
        <v>23</v>
      </c>
      <c r="N5472" s="89"/>
      <c r="O5472" s="90"/>
      <c r="P5472" s="94">
        <v>1377857</v>
      </c>
      <c r="Q5472" s="96"/>
    </row>
    <row r="5473" spans="1:17" ht="15" customHeight="1" x14ac:dyDescent="0.2">
      <c r="A5473" s="5" t="s">
        <v>6908</v>
      </c>
      <c r="B5473" s="88" t="s">
        <v>6909</v>
      </c>
      <c r="C5473" s="90"/>
      <c r="D5473" s="88" t="s">
        <v>6910</v>
      </c>
      <c r="E5473" s="89"/>
      <c r="F5473" s="90"/>
      <c r="G5473" s="5" t="s">
        <v>770</v>
      </c>
      <c r="H5473" s="91">
        <v>124</v>
      </c>
      <c r="I5473" s="92"/>
      <c r="J5473" s="93"/>
      <c r="K5473" s="91">
        <v>2</v>
      </c>
      <c r="L5473" s="93"/>
      <c r="M5473" s="88" t="s">
        <v>23</v>
      </c>
      <c r="N5473" s="89"/>
      <c r="O5473" s="90"/>
      <c r="P5473" s="94">
        <v>291097</v>
      </c>
      <c r="Q5473" s="96"/>
    </row>
    <row r="5474" spans="1:17" ht="15" customHeight="1" x14ac:dyDescent="0.2">
      <c r="A5474" s="5" t="s">
        <v>6908</v>
      </c>
      <c r="B5474" s="88" t="s">
        <v>6909</v>
      </c>
      <c r="C5474" s="90"/>
      <c r="D5474" s="88" t="s">
        <v>6911</v>
      </c>
      <c r="E5474" s="89"/>
      <c r="F5474" s="90"/>
      <c r="G5474" s="5" t="s">
        <v>770</v>
      </c>
      <c r="H5474" s="91">
        <v>124</v>
      </c>
      <c r="I5474" s="92"/>
      <c r="J5474" s="93"/>
      <c r="K5474" s="91">
        <v>2</v>
      </c>
      <c r="L5474" s="93"/>
      <c r="M5474" s="88" t="s">
        <v>23</v>
      </c>
      <c r="N5474" s="89"/>
      <c r="O5474" s="90"/>
      <c r="P5474" s="94">
        <v>351515</v>
      </c>
      <c r="Q5474" s="96"/>
    </row>
    <row r="5475" spans="1:17" ht="15" customHeight="1" x14ac:dyDescent="0.2">
      <c r="A5475" s="5" t="s">
        <v>6908</v>
      </c>
      <c r="B5475" s="88" t="s">
        <v>6909</v>
      </c>
      <c r="C5475" s="90"/>
      <c r="D5475" s="88" t="s">
        <v>6912</v>
      </c>
      <c r="E5475" s="89"/>
      <c r="F5475" s="90"/>
      <c r="G5475" s="5" t="s">
        <v>770</v>
      </c>
      <c r="H5475" s="91">
        <v>124</v>
      </c>
      <c r="I5475" s="92"/>
      <c r="J5475" s="93"/>
      <c r="K5475" s="91">
        <v>2</v>
      </c>
      <c r="L5475" s="93"/>
      <c r="M5475" s="88" t="s">
        <v>23</v>
      </c>
      <c r="N5475" s="89"/>
      <c r="O5475" s="90"/>
      <c r="P5475" s="94">
        <v>362900</v>
      </c>
      <c r="Q5475" s="96"/>
    </row>
    <row r="5476" spans="1:17" ht="15" customHeight="1" x14ac:dyDescent="0.2">
      <c r="A5476" s="5" t="s">
        <v>6908</v>
      </c>
      <c r="B5476" s="88" t="s">
        <v>6913</v>
      </c>
      <c r="C5476" s="90"/>
      <c r="D5476" s="88" t="s">
        <v>6914</v>
      </c>
      <c r="E5476" s="89"/>
      <c r="F5476" s="90"/>
      <c r="G5476" s="5" t="s">
        <v>963</v>
      </c>
      <c r="H5476" s="91">
        <v>941</v>
      </c>
      <c r="I5476" s="92"/>
      <c r="J5476" s="93"/>
      <c r="K5476" s="91">
        <v>2</v>
      </c>
      <c r="L5476" s="93"/>
      <c r="M5476" s="88" t="s">
        <v>23</v>
      </c>
      <c r="N5476" s="89"/>
      <c r="O5476" s="90"/>
      <c r="P5476" s="94">
        <v>1151449</v>
      </c>
      <c r="Q5476" s="96"/>
    </row>
    <row r="5477" spans="1:17" ht="15" customHeight="1" x14ac:dyDescent="0.2">
      <c r="A5477" s="5" t="s">
        <v>6908</v>
      </c>
      <c r="B5477" s="88" t="s">
        <v>6913</v>
      </c>
      <c r="C5477" s="90"/>
      <c r="D5477" s="88" t="s">
        <v>6914</v>
      </c>
      <c r="E5477" s="89"/>
      <c r="F5477" s="90"/>
      <c r="G5477" s="5" t="s">
        <v>1718</v>
      </c>
      <c r="H5477" s="91">
        <v>941</v>
      </c>
      <c r="I5477" s="92"/>
      <c r="J5477" s="93"/>
      <c r="K5477" s="91">
        <v>2</v>
      </c>
      <c r="L5477" s="93"/>
      <c r="M5477" s="88" t="s">
        <v>23</v>
      </c>
      <c r="N5477" s="89"/>
      <c r="O5477" s="90"/>
      <c r="P5477" s="94">
        <v>1151449</v>
      </c>
      <c r="Q5477" s="96"/>
    </row>
    <row r="5478" spans="1:17" ht="15" customHeight="1" x14ac:dyDescent="0.2">
      <c r="A5478" s="5" t="s">
        <v>6908</v>
      </c>
      <c r="B5478" s="88" t="s">
        <v>6915</v>
      </c>
      <c r="C5478" s="90"/>
      <c r="D5478" s="88" t="s">
        <v>6914</v>
      </c>
      <c r="E5478" s="89"/>
      <c r="F5478" s="90"/>
      <c r="G5478" s="5" t="s">
        <v>963</v>
      </c>
      <c r="H5478" s="91">
        <v>941</v>
      </c>
      <c r="I5478" s="92"/>
      <c r="J5478" s="93"/>
      <c r="K5478" s="91">
        <v>2</v>
      </c>
      <c r="L5478" s="93"/>
      <c r="M5478" s="88" t="s">
        <v>23</v>
      </c>
      <c r="N5478" s="89"/>
      <c r="O5478" s="90"/>
      <c r="P5478" s="94">
        <v>1229074</v>
      </c>
      <c r="Q5478" s="96"/>
    </row>
    <row r="5479" spans="1:17" ht="15" customHeight="1" x14ac:dyDescent="0.2">
      <c r="A5479" s="5" t="s">
        <v>6908</v>
      </c>
      <c r="B5479" s="88" t="s">
        <v>6916</v>
      </c>
      <c r="C5479" s="90"/>
      <c r="D5479" s="88" t="s">
        <v>6917</v>
      </c>
      <c r="E5479" s="89"/>
      <c r="F5479" s="90"/>
      <c r="G5479" s="5" t="s">
        <v>963</v>
      </c>
      <c r="H5479" s="91">
        <v>941</v>
      </c>
      <c r="I5479" s="92"/>
      <c r="J5479" s="93"/>
      <c r="K5479" s="91">
        <v>2</v>
      </c>
      <c r="L5479" s="93"/>
      <c r="M5479" s="88" t="s">
        <v>23</v>
      </c>
      <c r="N5479" s="89"/>
      <c r="O5479" s="90"/>
      <c r="P5479" s="94">
        <v>1351982</v>
      </c>
      <c r="Q5479" s="96"/>
    </row>
    <row r="5480" spans="1:17" ht="15" customHeight="1" x14ac:dyDescent="0.2">
      <c r="A5480" s="5" t="s">
        <v>6908</v>
      </c>
      <c r="B5480" s="88" t="s">
        <v>6918</v>
      </c>
      <c r="C5480" s="90"/>
      <c r="D5480" s="88" t="s">
        <v>6919</v>
      </c>
      <c r="E5480" s="89"/>
      <c r="F5480" s="90"/>
      <c r="G5480" s="5" t="s">
        <v>770</v>
      </c>
      <c r="H5480" s="91">
        <v>124</v>
      </c>
      <c r="I5480" s="92"/>
      <c r="J5480" s="93"/>
      <c r="K5480" s="91">
        <v>2</v>
      </c>
      <c r="L5480" s="93"/>
      <c r="M5480" s="88" t="s">
        <v>23</v>
      </c>
      <c r="N5480" s="89"/>
      <c r="O5480" s="90"/>
      <c r="P5480" s="94">
        <v>394598</v>
      </c>
      <c r="Q5480" s="96"/>
    </row>
    <row r="5481" spans="1:17" ht="15" customHeight="1" x14ac:dyDescent="0.2">
      <c r="A5481" s="5" t="s">
        <v>6908</v>
      </c>
      <c r="B5481" s="88" t="s">
        <v>6918</v>
      </c>
      <c r="C5481" s="90"/>
      <c r="D5481" s="88" t="s">
        <v>6920</v>
      </c>
      <c r="E5481" s="89"/>
      <c r="F5481" s="90"/>
      <c r="G5481" s="5" t="s">
        <v>770</v>
      </c>
      <c r="H5481" s="91">
        <v>124</v>
      </c>
      <c r="I5481" s="92"/>
      <c r="J5481" s="93"/>
      <c r="K5481" s="91">
        <v>2</v>
      </c>
      <c r="L5481" s="93"/>
      <c r="M5481" s="88" t="s">
        <v>23</v>
      </c>
      <c r="N5481" s="89"/>
      <c r="O5481" s="90"/>
      <c r="P5481" s="94">
        <v>394598</v>
      </c>
      <c r="Q5481" s="96"/>
    </row>
    <row r="5482" spans="1:17" ht="15" customHeight="1" x14ac:dyDescent="0.2">
      <c r="A5482" s="5" t="s">
        <v>6908</v>
      </c>
      <c r="B5482" s="88" t="s">
        <v>6921</v>
      </c>
      <c r="C5482" s="90"/>
      <c r="D5482" s="88" t="s">
        <v>6922</v>
      </c>
      <c r="E5482" s="89"/>
      <c r="F5482" s="90"/>
      <c r="G5482" s="5" t="s">
        <v>770</v>
      </c>
      <c r="H5482" s="91">
        <v>124</v>
      </c>
      <c r="I5482" s="92"/>
      <c r="J5482" s="93"/>
      <c r="K5482" s="91">
        <v>2</v>
      </c>
      <c r="L5482" s="93"/>
      <c r="M5482" s="88" t="s">
        <v>23</v>
      </c>
      <c r="N5482" s="89"/>
      <c r="O5482" s="90"/>
      <c r="P5482" s="94">
        <v>483867</v>
      </c>
      <c r="Q5482" s="96"/>
    </row>
    <row r="5483" spans="1:17" ht="15" customHeight="1" x14ac:dyDescent="0.2">
      <c r="A5483" s="5" t="s">
        <v>6908</v>
      </c>
      <c r="B5483" s="88" t="s">
        <v>6923</v>
      </c>
      <c r="C5483" s="90"/>
      <c r="D5483" s="88" t="s">
        <v>6924</v>
      </c>
      <c r="E5483" s="89"/>
      <c r="F5483" s="90"/>
      <c r="G5483" s="5" t="s">
        <v>770</v>
      </c>
      <c r="H5483" s="91">
        <v>124</v>
      </c>
      <c r="I5483" s="92"/>
      <c r="J5483" s="93"/>
      <c r="K5483" s="91">
        <v>2</v>
      </c>
      <c r="L5483" s="93"/>
      <c r="M5483" s="88" t="s">
        <v>23</v>
      </c>
      <c r="N5483" s="89"/>
      <c r="O5483" s="90"/>
      <c r="P5483" s="94">
        <v>394598</v>
      </c>
      <c r="Q5483" s="96"/>
    </row>
    <row r="5484" spans="1:17" ht="15" customHeight="1" x14ac:dyDescent="0.2">
      <c r="A5484" s="5" t="s">
        <v>6908</v>
      </c>
      <c r="B5484" s="88" t="s">
        <v>6925</v>
      </c>
      <c r="C5484" s="90"/>
      <c r="D5484" s="88" t="s">
        <v>6926</v>
      </c>
      <c r="E5484" s="89"/>
      <c r="F5484" s="90"/>
      <c r="G5484" s="5" t="s">
        <v>770</v>
      </c>
      <c r="H5484" s="91">
        <v>0</v>
      </c>
      <c r="I5484" s="92"/>
      <c r="J5484" s="93"/>
      <c r="K5484" s="91">
        <v>1</v>
      </c>
      <c r="L5484" s="93"/>
      <c r="M5484" s="88" t="s">
        <v>17</v>
      </c>
      <c r="N5484" s="89"/>
      <c r="O5484" s="90"/>
      <c r="P5484" s="94">
        <v>335861</v>
      </c>
      <c r="Q5484" s="96"/>
    </row>
    <row r="5485" spans="1:17" ht="15" customHeight="1" x14ac:dyDescent="0.2">
      <c r="A5485" s="5" t="s">
        <v>6908</v>
      </c>
      <c r="B5485" s="88" t="s">
        <v>6925</v>
      </c>
      <c r="C5485" s="90"/>
      <c r="D5485" s="88" t="s">
        <v>6926</v>
      </c>
      <c r="E5485" s="89"/>
      <c r="F5485" s="90"/>
      <c r="G5485" s="6"/>
      <c r="H5485" s="91">
        <v>0</v>
      </c>
      <c r="I5485" s="92"/>
      <c r="J5485" s="93"/>
      <c r="K5485" s="91">
        <v>1</v>
      </c>
      <c r="L5485" s="93"/>
      <c r="M5485" s="88" t="s">
        <v>17</v>
      </c>
      <c r="N5485" s="89"/>
      <c r="O5485" s="90"/>
      <c r="P5485" s="94">
        <v>283334</v>
      </c>
      <c r="Q5485" s="96"/>
    </row>
    <row r="5486" spans="1:17" ht="15" customHeight="1" x14ac:dyDescent="0.2">
      <c r="A5486" s="5" t="s">
        <v>6908</v>
      </c>
      <c r="B5486" s="88" t="s">
        <v>6925</v>
      </c>
      <c r="C5486" s="90"/>
      <c r="D5486" s="88" t="s">
        <v>6926</v>
      </c>
      <c r="E5486" s="89"/>
      <c r="F5486" s="90"/>
      <c r="G5486" s="5" t="s">
        <v>770</v>
      </c>
      <c r="H5486" s="106"/>
      <c r="I5486" s="107"/>
      <c r="J5486" s="108"/>
      <c r="K5486" s="91">
        <v>1</v>
      </c>
      <c r="L5486" s="93"/>
      <c r="M5486" s="88" t="s">
        <v>17</v>
      </c>
      <c r="N5486" s="89"/>
      <c r="O5486" s="90"/>
      <c r="P5486" s="94">
        <v>283334</v>
      </c>
      <c r="Q5486" s="96"/>
    </row>
    <row r="5487" spans="1:17" ht="15" customHeight="1" x14ac:dyDescent="0.2">
      <c r="A5487" s="5" t="s">
        <v>6908</v>
      </c>
      <c r="B5487" s="88" t="s">
        <v>6925</v>
      </c>
      <c r="C5487" s="90"/>
      <c r="D5487" s="88" t="s">
        <v>6926</v>
      </c>
      <c r="E5487" s="89"/>
      <c r="F5487" s="90"/>
      <c r="G5487" s="6"/>
      <c r="H5487" s="106"/>
      <c r="I5487" s="107"/>
      <c r="J5487" s="108"/>
      <c r="K5487" s="91">
        <v>1</v>
      </c>
      <c r="L5487" s="93"/>
      <c r="M5487" s="88" t="s">
        <v>17</v>
      </c>
      <c r="N5487" s="89"/>
      <c r="O5487" s="90"/>
      <c r="P5487" s="94">
        <v>407018</v>
      </c>
      <c r="Q5487" s="96"/>
    </row>
    <row r="5488" spans="1:17" ht="15" customHeight="1" x14ac:dyDescent="0.2">
      <c r="A5488" s="5" t="s">
        <v>6908</v>
      </c>
      <c r="B5488" s="88" t="s">
        <v>6925</v>
      </c>
      <c r="C5488" s="90"/>
      <c r="D5488" s="88" t="s">
        <v>6926</v>
      </c>
      <c r="E5488" s="89"/>
      <c r="F5488" s="90"/>
      <c r="G5488" s="5" t="s">
        <v>770</v>
      </c>
      <c r="H5488" s="91">
        <v>0</v>
      </c>
      <c r="I5488" s="92"/>
      <c r="J5488" s="93"/>
      <c r="K5488" s="91">
        <v>1</v>
      </c>
      <c r="L5488" s="93"/>
      <c r="M5488" s="88" t="s">
        <v>17</v>
      </c>
      <c r="N5488" s="89"/>
      <c r="O5488" s="90"/>
      <c r="P5488" s="94">
        <v>407018</v>
      </c>
      <c r="Q5488" s="96"/>
    </row>
    <row r="5489" spans="1:17" ht="15" customHeight="1" x14ac:dyDescent="0.2">
      <c r="A5489" s="5" t="s">
        <v>6908</v>
      </c>
      <c r="B5489" s="88" t="s">
        <v>6927</v>
      </c>
      <c r="C5489" s="90"/>
      <c r="D5489" s="88" t="s">
        <v>6928</v>
      </c>
      <c r="E5489" s="89"/>
      <c r="F5489" s="90"/>
      <c r="G5489" s="5" t="s">
        <v>1718</v>
      </c>
      <c r="H5489" s="91">
        <v>1297</v>
      </c>
      <c r="I5489" s="92"/>
      <c r="J5489" s="93"/>
      <c r="K5489" s="91">
        <v>2</v>
      </c>
      <c r="L5489" s="93"/>
      <c r="M5489" s="88" t="s">
        <v>23</v>
      </c>
      <c r="N5489" s="89"/>
      <c r="O5489" s="90"/>
      <c r="P5489" s="94">
        <v>1811268</v>
      </c>
      <c r="Q5489" s="96"/>
    </row>
    <row r="5490" spans="1:17" ht="15" customHeight="1" x14ac:dyDescent="0.2">
      <c r="A5490" s="5" t="s">
        <v>6908</v>
      </c>
      <c r="B5490" s="88" t="s">
        <v>6929</v>
      </c>
      <c r="C5490" s="90"/>
      <c r="D5490" s="88" t="s">
        <v>6930</v>
      </c>
      <c r="E5490" s="89"/>
      <c r="F5490" s="90"/>
      <c r="G5490" s="5" t="s">
        <v>770</v>
      </c>
      <c r="H5490" s="91">
        <v>49</v>
      </c>
      <c r="I5490" s="92"/>
      <c r="J5490" s="93"/>
      <c r="K5490" s="91">
        <v>1</v>
      </c>
      <c r="L5490" s="93"/>
      <c r="M5490" s="88" t="s">
        <v>23</v>
      </c>
      <c r="N5490" s="89"/>
      <c r="O5490" s="90"/>
      <c r="P5490" s="94">
        <v>271690</v>
      </c>
      <c r="Q5490" s="96"/>
    </row>
    <row r="5491" spans="1:17" ht="15" customHeight="1" x14ac:dyDescent="0.2">
      <c r="A5491" s="5" t="s">
        <v>6908</v>
      </c>
      <c r="B5491" s="88" t="s">
        <v>6931</v>
      </c>
      <c r="C5491" s="90"/>
      <c r="D5491" s="88" t="s">
        <v>6924</v>
      </c>
      <c r="E5491" s="89"/>
      <c r="F5491" s="90"/>
      <c r="G5491" s="5" t="s">
        <v>770</v>
      </c>
      <c r="H5491" s="91">
        <v>124</v>
      </c>
      <c r="I5491" s="92"/>
      <c r="J5491" s="93"/>
      <c r="K5491" s="91">
        <v>2</v>
      </c>
      <c r="L5491" s="93"/>
      <c r="M5491" s="88" t="s">
        <v>23</v>
      </c>
      <c r="N5491" s="89"/>
      <c r="O5491" s="90"/>
      <c r="P5491" s="94">
        <v>381660</v>
      </c>
      <c r="Q5491" s="96"/>
    </row>
    <row r="5492" spans="1:17" ht="15" customHeight="1" x14ac:dyDescent="0.2">
      <c r="A5492" s="5" t="s">
        <v>6908</v>
      </c>
      <c r="B5492" s="88" t="s">
        <v>6932</v>
      </c>
      <c r="C5492" s="90"/>
      <c r="D5492" s="88" t="s">
        <v>6933</v>
      </c>
      <c r="E5492" s="89"/>
      <c r="F5492" s="90"/>
      <c r="G5492" s="5" t="s">
        <v>770</v>
      </c>
      <c r="H5492" s="91">
        <v>49</v>
      </c>
      <c r="I5492" s="92"/>
      <c r="J5492" s="93"/>
      <c r="K5492" s="91">
        <v>1</v>
      </c>
      <c r="L5492" s="93"/>
      <c r="M5492" s="88" t="s">
        <v>23</v>
      </c>
      <c r="N5492" s="89"/>
      <c r="O5492" s="90"/>
      <c r="P5492" s="94">
        <v>200533</v>
      </c>
      <c r="Q5492" s="96"/>
    </row>
    <row r="5493" spans="1:17" ht="15" customHeight="1" x14ac:dyDescent="0.2">
      <c r="A5493" s="5" t="s">
        <v>6908</v>
      </c>
      <c r="B5493" s="88" t="s">
        <v>6934</v>
      </c>
      <c r="C5493" s="90"/>
      <c r="D5493" s="88" t="s">
        <v>6935</v>
      </c>
      <c r="E5493" s="89"/>
      <c r="F5493" s="90"/>
      <c r="G5493" s="5" t="s">
        <v>770</v>
      </c>
      <c r="H5493" s="91">
        <v>124</v>
      </c>
      <c r="I5493" s="92"/>
      <c r="J5493" s="93"/>
      <c r="K5493" s="91">
        <v>2</v>
      </c>
      <c r="L5493" s="93"/>
      <c r="M5493" s="88" t="s">
        <v>23</v>
      </c>
      <c r="N5493" s="89"/>
      <c r="O5493" s="90"/>
      <c r="P5493" s="94">
        <v>341553</v>
      </c>
      <c r="Q5493" s="96"/>
    </row>
    <row r="5494" spans="1:17" ht="15" customHeight="1" x14ac:dyDescent="0.2">
      <c r="A5494" s="5" t="s">
        <v>6908</v>
      </c>
      <c r="B5494" s="88" t="s">
        <v>6936</v>
      </c>
      <c r="C5494" s="90"/>
      <c r="D5494" s="88" t="s">
        <v>6933</v>
      </c>
      <c r="E5494" s="89"/>
      <c r="F5494" s="90"/>
      <c r="G5494" s="5" t="s">
        <v>770</v>
      </c>
      <c r="H5494" s="91">
        <v>49</v>
      </c>
      <c r="I5494" s="92"/>
      <c r="J5494" s="93"/>
      <c r="K5494" s="91">
        <v>1</v>
      </c>
      <c r="L5494" s="93"/>
      <c r="M5494" s="88" t="s">
        <v>23</v>
      </c>
      <c r="N5494" s="89"/>
      <c r="O5494" s="90"/>
      <c r="P5494" s="94">
        <v>251896</v>
      </c>
      <c r="Q5494" s="96"/>
    </row>
    <row r="5495" spans="1:17" ht="15" customHeight="1" x14ac:dyDescent="0.2">
      <c r="A5495" s="5" t="s">
        <v>6908</v>
      </c>
      <c r="B5495" s="88" t="s">
        <v>6937</v>
      </c>
      <c r="C5495" s="90"/>
      <c r="D5495" s="88" t="s">
        <v>6933</v>
      </c>
      <c r="E5495" s="89"/>
      <c r="F5495" s="90"/>
      <c r="G5495" s="5" t="s">
        <v>770</v>
      </c>
      <c r="H5495" s="91">
        <v>49</v>
      </c>
      <c r="I5495" s="92"/>
      <c r="J5495" s="93"/>
      <c r="K5495" s="91">
        <v>1</v>
      </c>
      <c r="L5495" s="93"/>
      <c r="M5495" s="88" t="s">
        <v>23</v>
      </c>
      <c r="N5495" s="89"/>
      <c r="O5495" s="90"/>
      <c r="P5495" s="94">
        <v>200533</v>
      </c>
      <c r="Q5495" s="96"/>
    </row>
    <row r="5496" spans="1:17" ht="15" customHeight="1" x14ac:dyDescent="0.2">
      <c r="A5496" s="5" t="s">
        <v>6908</v>
      </c>
      <c r="B5496" s="88" t="s">
        <v>6938</v>
      </c>
      <c r="C5496" s="90"/>
      <c r="D5496" s="88" t="s">
        <v>6939</v>
      </c>
      <c r="E5496" s="89"/>
      <c r="F5496" s="90"/>
      <c r="G5496" s="5" t="s">
        <v>1718</v>
      </c>
      <c r="H5496" s="91">
        <v>997</v>
      </c>
      <c r="I5496" s="92"/>
      <c r="J5496" s="93"/>
      <c r="K5496" s="91">
        <v>2</v>
      </c>
      <c r="L5496" s="93"/>
      <c r="M5496" s="88" t="s">
        <v>23</v>
      </c>
      <c r="N5496" s="89"/>
      <c r="O5496" s="90"/>
      <c r="P5496" s="94">
        <v>2005332</v>
      </c>
      <c r="Q5496" s="96"/>
    </row>
    <row r="5497" spans="1:17" ht="15" customHeight="1" x14ac:dyDescent="0.2">
      <c r="A5497" s="5" t="s">
        <v>6908</v>
      </c>
      <c r="B5497" s="88" t="s">
        <v>6940</v>
      </c>
      <c r="C5497" s="90"/>
      <c r="D5497" s="88" t="s">
        <v>6941</v>
      </c>
      <c r="E5497" s="89"/>
      <c r="F5497" s="90"/>
      <c r="G5497" s="5" t="s">
        <v>1718</v>
      </c>
      <c r="H5497" s="91">
        <v>320</v>
      </c>
      <c r="I5497" s="92"/>
      <c r="J5497" s="93"/>
      <c r="K5497" s="91">
        <v>2</v>
      </c>
      <c r="L5497" s="93"/>
      <c r="M5497" s="88" t="s">
        <v>23</v>
      </c>
      <c r="N5497" s="89"/>
      <c r="O5497" s="90"/>
      <c r="P5497" s="94">
        <v>769789</v>
      </c>
      <c r="Q5497" s="96"/>
    </row>
    <row r="5498" spans="1:17" ht="15" customHeight="1" x14ac:dyDescent="0.2">
      <c r="A5498" s="5" t="s">
        <v>6908</v>
      </c>
      <c r="B5498" s="88" t="s">
        <v>6942</v>
      </c>
      <c r="C5498" s="90"/>
      <c r="D5498" s="88" t="s">
        <v>6943</v>
      </c>
      <c r="E5498" s="89"/>
      <c r="F5498" s="90"/>
      <c r="G5498" s="5" t="s">
        <v>770</v>
      </c>
      <c r="H5498" s="91">
        <v>155</v>
      </c>
      <c r="I5498" s="92"/>
      <c r="J5498" s="93"/>
      <c r="K5498" s="91">
        <v>2</v>
      </c>
      <c r="L5498" s="93"/>
      <c r="M5498" s="88" t="s">
        <v>23</v>
      </c>
      <c r="N5498" s="89"/>
      <c r="O5498" s="90"/>
      <c r="P5498" s="94">
        <v>446348</v>
      </c>
      <c r="Q5498" s="96"/>
    </row>
    <row r="5499" spans="1:17" ht="15" customHeight="1" x14ac:dyDescent="0.2">
      <c r="A5499" s="5" t="s">
        <v>6908</v>
      </c>
      <c r="B5499" s="88" t="s">
        <v>6944</v>
      </c>
      <c r="C5499" s="90"/>
      <c r="D5499" s="88" t="s">
        <v>6941</v>
      </c>
      <c r="E5499" s="89"/>
      <c r="F5499" s="90"/>
      <c r="G5499" s="5" t="s">
        <v>1718</v>
      </c>
      <c r="H5499" s="91">
        <v>320</v>
      </c>
      <c r="I5499" s="92"/>
      <c r="J5499" s="93"/>
      <c r="K5499" s="91">
        <v>2</v>
      </c>
      <c r="L5499" s="93"/>
      <c r="M5499" s="88" t="s">
        <v>23</v>
      </c>
      <c r="N5499" s="89"/>
      <c r="O5499" s="90"/>
      <c r="P5499" s="94">
        <v>679225</v>
      </c>
      <c r="Q5499" s="96"/>
    </row>
    <row r="5500" spans="1:17" ht="15" customHeight="1" x14ac:dyDescent="0.2">
      <c r="A5500" s="5" t="s">
        <v>6908</v>
      </c>
      <c r="B5500" s="88" t="s">
        <v>6945</v>
      </c>
      <c r="C5500" s="90"/>
      <c r="D5500" s="88" t="s">
        <v>6946</v>
      </c>
      <c r="E5500" s="89"/>
      <c r="F5500" s="90"/>
      <c r="G5500" s="5" t="s">
        <v>1718</v>
      </c>
      <c r="H5500" s="91">
        <v>320</v>
      </c>
      <c r="I5500" s="92"/>
      <c r="J5500" s="93"/>
      <c r="K5500" s="91">
        <v>2</v>
      </c>
      <c r="L5500" s="93"/>
      <c r="M5500" s="88" t="s">
        <v>23</v>
      </c>
      <c r="N5500" s="89"/>
      <c r="O5500" s="90"/>
      <c r="P5500" s="94">
        <v>888815</v>
      </c>
      <c r="Q5500" s="96"/>
    </row>
    <row r="5501" spans="1:17" ht="15" customHeight="1" x14ac:dyDescent="0.2">
      <c r="A5501" s="5" t="s">
        <v>6908</v>
      </c>
      <c r="B5501" s="88" t="s">
        <v>6945</v>
      </c>
      <c r="C5501" s="90"/>
      <c r="D5501" s="88" t="s">
        <v>6941</v>
      </c>
      <c r="E5501" s="89"/>
      <c r="F5501" s="90"/>
      <c r="G5501" s="5" t="s">
        <v>1718</v>
      </c>
      <c r="H5501" s="91">
        <v>320</v>
      </c>
      <c r="I5501" s="92"/>
      <c r="J5501" s="93"/>
      <c r="K5501" s="91">
        <v>2</v>
      </c>
      <c r="L5501" s="93"/>
      <c r="M5501" s="88" t="s">
        <v>23</v>
      </c>
      <c r="N5501" s="89"/>
      <c r="O5501" s="90"/>
      <c r="P5501" s="94">
        <v>846768</v>
      </c>
      <c r="Q5501" s="96"/>
    </row>
    <row r="5502" spans="1:17" ht="15" customHeight="1" x14ac:dyDescent="0.2">
      <c r="A5502" s="5" t="s">
        <v>6908</v>
      </c>
      <c r="B5502" s="88" t="s">
        <v>6947</v>
      </c>
      <c r="C5502" s="90"/>
      <c r="D5502" s="88" t="s">
        <v>6948</v>
      </c>
      <c r="E5502" s="89"/>
      <c r="F5502" s="90"/>
      <c r="G5502" s="5" t="s">
        <v>1718</v>
      </c>
      <c r="H5502" s="91">
        <v>688</v>
      </c>
      <c r="I5502" s="92"/>
      <c r="J5502" s="93"/>
      <c r="K5502" s="91">
        <v>2</v>
      </c>
      <c r="L5502" s="93"/>
      <c r="M5502" s="88" t="s">
        <v>23</v>
      </c>
      <c r="N5502" s="89"/>
      <c r="O5502" s="90"/>
      <c r="P5502" s="94">
        <v>931509</v>
      </c>
      <c r="Q5502" s="96"/>
    </row>
    <row r="5503" spans="1:17" ht="15" customHeight="1" x14ac:dyDescent="0.2">
      <c r="A5503" s="5" t="s">
        <v>6908</v>
      </c>
      <c r="B5503" s="88" t="s">
        <v>6949</v>
      </c>
      <c r="C5503" s="90"/>
      <c r="D5503" s="88" t="s">
        <v>6950</v>
      </c>
      <c r="E5503" s="89"/>
      <c r="F5503" s="90"/>
      <c r="G5503" s="5" t="s">
        <v>1718</v>
      </c>
      <c r="H5503" s="91">
        <v>688</v>
      </c>
      <c r="I5503" s="92"/>
      <c r="J5503" s="93"/>
      <c r="K5503" s="91">
        <v>2</v>
      </c>
      <c r="L5503" s="93"/>
      <c r="M5503" s="88" t="s">
        <v>23</v>
      </c>
      <c r="N5503" s="89"/>
      <c r="O5503" s="90"/>
      <c r="P5503" s="94">
        <v>1053123</v>
      </c>
      <c r="Q5503" s="96"/>
    </row>
    <row r="5504" spans="1:17" ht="15" customHeight="1" x14ac:dyDescent="0.2">
      <c r="A5504" s="5" t="s">
        <v>6908</v>
      </c>
      <c r="B5504" s="88" t="s">
        <v>6951</v>
      </c>
      <c r="C5504" s="90"/>
      <c r="D5504" s="88" t="s">
        <v>6952</v>
      </c>
      <c r="E5504" s="89"/>
      <c r="F5504" s="90"/>
      <c r="G5504" s="5" t="s">
        <v>1718</v>
      </c>
      <c r="H5504" s="91">
        <v>845</v>
      </c>
      <c r="I5504" s="92"/>
      <c r="J5504" s="93"/>
      <c r="K5504" s="91">
        <v>2</v>
      </c>
      <c r="L5504" s="93"/>
      <c r="M5504" s="88" t="s">
        <v>23</v>
      </c>
      <c r="N5504" s="89"/>
      <c r="O5504" s="90"/>
      <c r="P5504" s="94">
        <v>1203199</v>
      </c>
      <c r="Q5504" s="96"/>
    </row>
    <row r="5505" spans="1:17" ht="15" customHeight="1" x14ac:dyDescent="0.2">
      <c r="A5505" s="5" t="s">
        <v>6908</v>
      </c>
      <c r="B5505" s="88" t="s">
        <v>6953</v>
      </c>
      <c r="C5505" s="90"/>
      <c r="D5505" s="88" t="s">
        <v>6952</v>
      </c>
      <c r="E5505" s="89"/>
      <c r="F5505" s="90"/>
      <c r="G5505" s="5" t="s">
        <v>1718</v>
      </c>
      <c r="H5505" s="91">
        <v>845</v>
      </c>
      <c r="I5505" s="92"/>
      <c r="J5505" s="93"/>
      <c r="K5505" s="91">
        <v>2</v>
      </c>
      <c r="L5505" s="93"/>
      <c r="M5505" s="88" t="s">
        <v>23</v>
      </c>
      <c r="N5505" s="89"/>
      <c r="O5505" s="90"/>
      <c r="P5505" s="94">
        <v>1203199</v>
      </c>
      <c r="Q5505" s="96"/>
    </row>
    <row r="5506" spans="1:17" ht="15" customHeight="1" x14ac:dyDescent="0.2">
      <c r="A5506" s="5" t="s">
        <v>6908</v>
      </c>
      <c r="B5506" s="88" t="s">
        <v>6953</v>
      </c>
      <c r="C5506" s="90"/>
      <c r="D5506" s="88" t="s">
        <v>6954</v>
      </c>
      <c r="E5506" s="89"/>
      <c r="F5506" s="90"/>
      <c r="G5506" s="5" t="s">
        <v>1718</v>
      </c>
      <c r="H5506" s="91">
        <v>888</v>
      </c>
      <c r="I5506" s="92"/>
      <c r="J5506" s="93"/>
      <c r="K5506" s="91">
        <v>2</v>
      </c>
      <c r="L5506" s="93"/>
      <c r="M5506" s="88" t="s">
        <v>23</v>
      </c>
      <c r="N5506" s="89"/>
      <c r="O5506" s="90"/>
      <c r="P5506" s="94">
        <v>1423139</v>
      </c>
      <c r="Q5506" s="96"/>
    </row>
    <row r="5507" spans="1:17" ht="15" customHeight="1" x14ac:dyDescent="0.2">
      <c r="A5507" s="5" t="s">
        <v>6908</v>
      </c>
      <c r="B5507" s="88" t="s">
        <v>6955</v>
      </c>
      <c r="C5507" s="90"/>
      <c r="D5507" s="88" t="s">
        <v>6956</v>
      </c>
      <c r="E5507" s="89"/>
      <c r="F5507" s="90"/>
      <c r="G5507" s="5" t="s">
        <v>1718</v>
      </c>
      <c r="H5507" s="91">
        <v>888</v>
      </c>
      <c r="I5507" s="92"/>
      <c r="J5507" s="93"/>
      <c r="K5507" s="91">
        <v>2</v>
      </c>
      <c r="L5507" s="93"/>
      <c r="M5507" s="88" t="s">
        <v>23</v>
      </c>
      <c r="N5507" s="89"/>
      <c r="O5507" s="90"/>
      <c r="P5507" s="94">
        <v>1864312</v>
      </c>
      <c r="Q5507" s="96"/>
    </row>
    <row r="5508" spans="1:17" ht="15" customHeight="1" x14ac:dyDescent="0.2">
      <c r="A5508" s="5" t="s">
        <v>6908</v>
      </c>
      <c r="B5508" s="88" t="s">
        <v>6957</v>
      </c>
      <c r="C5508" s="90"/>
      <c r="D5508" s="88" t="s">
        <v>6939</v>
      </c>
      <c r="E5508" s="89"/>
      <c r="F5508" s="90"/>
      <c r="G5508" s="5" t="s">
        <v>1718</v>
      </c>
      <c r="H5508" s="91">
        <v>997</v>
      </c>
      <c r="I5508" s="92"/>
      <c r="J5508" s="93"/>
      <c r="K5508" s="91">
        <v>2</v>
      </c>
      <c r="L5508" s="93"/>
      <c r="M5508" s="88" t="s">
        <v>23</v>
      </c>
      <c r="N5508" s="89"/>
      <c r="O5508" s="90"/>
      <c r="P5508" s="94">
        <v>2005332</v>
      </c>
      <c r="Q5508" s="96"/>
    </row>
    <row r="5509" spans="1:17" ht="15" customHeight="1" x14ac:dyDescent="0.2">
      <c r="A5509" s="5" t="s">
        <v>6908</v>
      </c>
      <c r="B5509" s="88" t="s">
        <v>6957</v>
      </c>
      <c r="C5509" s="90"/>
      <c r="D5509" s="88" t="s">
        <v>6958</v>
      </c>
      <c r="E5509" s="89"/>
      <c r="F5509" s="90"/>
      <c r="G5509" s="5" t="s">
        <v>1718</v>
      </c>
      <c r="H5509" s="91">
        <v>997</v>
      </c>
      <c r="I5509" s="92"/>
      <c r="J5509" s="93"/>
      <c r="K5509" s="91">
        <v>2</v>
      </c>
      <c r="L5509" s="93"/>
      <c r="M5509" s="88" t="s">
        <v>23</v>
      </c>
      <c r="N5509" s="89"/>
      <c r="O5509" s="90"/>
      <c r="P5509" s="94">
        <v>2490493</v>
      </c>
      <c r="Q5509" s="96"/>
    </row>
    <row r="5510" spans="1:17" ht="15" customHeight="1" x14ac:dyDescent="0.2">
      <c r="A5510" s="5" t="s">
        <v>6908</v>
      </c>
      <c r="B5510" s="88" t="s">
        <v>6959</v>
      </c>
      <c r="C5510" s="90"/>
      <c r="D5510" s="88" t="s">
        <v>6958</v>
      </c>
      <c r="E5510" s="89"/>
      <c r="F5510" s="90"/>
      <c r="G5510" s="5" t="s">
        <v>1718</v>
      </c>
      <c r="H5510" s="91">
        <v>997</v>
      </c>
      <c r="I5510" s="92"/>
      <c r="J5510" s="93"/>
      <c r="K5510" s="91">
        <v>2</v>
      </c>
      <c r="L5510" s="93"/>
      <c r="M5510" s="88" t="s">
        <v>23</v>
      </c>
      <c r="N5510" s="89"/>
      <c r="O5510" s="90"/>
      <c r="P5510" s="94">
        <v>2832046</v>
      </c>
      <c r="Q5510" s="96"/>
    </row>
    <row r="5511" spans="1:17" ht="15" customHeight="1" x14ac:dyDescent="0.2">
      <c r="A5511" s="5" t="s">
        <v>6908</v>
      </c>
      <c r="B5511" s="88" t="s">
        <v>6960</v>
      </c>
      <c r="C5511" s="90"/>
      <c r="D5511" s="88" t="s">
        <v>6961</v>
      </c>
      <c r="E5511" s="89"/>
      <c r="F5511" s="90"/>
      <c r="G5511" s="5" t="s">
        <v>1718</v>
      </c>
      <c r="H5511" s="91">
        <v>124</v>
      </c>
      <c r="I5511" s="92"/>
      <c r="J5511" s="93"/>
      <c r="K5511" s="91">
        <v>2</v>
      </c>
      <c r="L5511" s="93"/>
      <c r="M5511" s="88" t="s">
        <v>23</v>
      </c>
      <c r="N5511" s="89"/>
      <c r="O5511" s="90"/>
      <c r="P5511" s="94">
        <v>640412</v>
      </c>
      <c r="Q5511" s="96"/>
    </row>
    <row r="5512" spans="1:17" ht="15" customHeight="1" x14ac:dyDescent="0.2">
      <c r="A5512" s="5" t="s">
        <v>6908</v>
      </c>
      <c r="B5512" s="88" t="s">
        <v>6962</v>
      </c>
      <c r="C5512" s="90"/>
      <c r="D5512" s="88" t="s">
        <v>6963</v>
      </c>
      <c r="E5512" s="89"/>
      <c r="F5512" s="90"/>
      <c r="G5512" s="5" t="s">
        <v>1718</v>
      </c>
      <c r="H5512" s="91">
        <v>249</v>
      </c>
      <c r="I5512" s="92"/>
      <c r="J5512" s="93"/>
      <c r="K5512" s="91">
        <v>2</v>
      </c>
      <c r="L5512" s="93"/>
      <c r="M5512" s="88" t="s">
        <v>23</v>
      </c>
      <c r="N5512" s="89"/>
      <c r="O5512" s="90"/>
      <c r="P5512" s="94">
        <v>640412</v>
      </c>
      <c r="Q5512" s="96"/>
    </row>
    <row r="5513" spans="1:17" ht="15" customHeight="1" x14ac:dyDescent="0.2">
      <c r="A5513" s="5" t="s">
        <v>6908</v>
      </c>
      <c r="B5513" s="88" t="s">
        <v>6964</v>
      </c>
      <c r="C5513" s="90"/>
      <c r="D5513" s="88" t="s">
        <v>6963</v>
      </c>
      <c r="E5513" s="89"/>
      <c r="F5513" s="90"/>
      <c r="G5513" s="5" t="s">
        <v>1718</v>
      </c>
      <c r="H5513" s="91">
        <v>249</v>
      </c>
      <c r="I5513" s="92"/>
      <c r="J5513" s="93"/>
      <c r="K5513" s="91">
        <v>2</v>
      </c>
      <c r="L5513" s="93"/>
      <c r="M5513" s="88" t="s">
        <v>23</v>
      </c>
      <c r="N5513" s="89"/>
      <c r="O5513" s="90"/>
      <c r="P5513" s="94">
        <v>730976</v>
      </c>
      <c r="Q5513" s="96"/>
    </row>
    <row r="5514" spans="1:17" ht="15" customHeight="1" x14ac:dyDescent="0.2">
      <c r="A5514" s="5" t="s">
        <v>6908</v>
      </c>
      <c r="B5514" s="88" t="s">
        <v>6964</v>
      </c>
      <c r="C5514" s="90"/>
      <c r="D5514" s="88" t="s">
        <v>6965</v>
      </c>
      <c r="E5514" s="89"/>
      <c r="F5514" s="90"/>
      <c r="G5514" s="5" t="s">
        <v>1718</v>
      </c>
      <c r="H5514" s="91">
        <v>249</v>
      </c>
      <c r="I5514" s="92"/>
      <c r="J5514" s="93"/>
      <c r="K5514" s="91">
        <v>2</v>
      </c>
      <c r="L5514" s="93"/>
      <c r="M5514" s="88" t="s">
        <v>23</v>
      </c>
      <c r="N5514" s="89"/>
      <c r="O5514" s="90"/>
      <c r="P5514" s="94">
        <v>818305</v>
      </c>
      <c r="Q5514" s="96"/>
    </row>
    <row r="5515" spans="1:17" ht="15" customHeight="1" x14ac:dyDescent="0.2">
      <c r="A5515" s="5" t="s">
        <v>6908</v>
      </c>
      <c r="B5515" s="88" t="s">
        <v>6964</v>
      </c>
      <c r="C5515" s="90"/>
      <c r="D5515" s="88" t="s">
        <v>6966</v>
      </c>
      <c r="E5515" s="89"/>
      <c r="F5515" s="90"/>
      <c r="G5515" s="5" t="s">
        <v>1718</v>
      </c>
      <c r="H5515" s="91">
        <v>249</v>
      </c>
      <c r="I5515" s="92"/>
      <c r="J5515" s="93"/>
      <c r="K5515" s="91">
        <v>2</v>
      </c>
      <c r="L5515" s="93"/>
      <c r="M5515" s="88" t="s">
        <v>23</v>
      </c>
      <c r="N5515" s="89"/>
      <c r="O5515" s="90"/>
      <c r="P5515" s="94">
        <v>818305</v>
      </c>
      <c r="Q5515" s="96"/>
    </row>
    <row r="5516" spans="1:17" ht="15" customHeight="1" x14ac:dyDescent="0.2">
      <c r="A5516" s="5" t="s">
        <v>6908</v>
      </c>
      <c r="B5516" s="88" t="s">
        <v>6967</v>
      </c>
      <c r="C5516" s="90"/>
      <c r="D5516" s="88" t="s">
        <v>6968</v>
      </c>
      <c r="E5516" s="89"/>
      <c r="F5516" s="90"/>
      <c r="G5516" s="5" t="s">
        <v>1718</v>
      </c>
      <c r="H5516" s="91">
        <v>845</v>
      </c>
      <c r="I5516" s="92"/>
      <c r="J5516" s="93"/>
      <c r="K5516" s="91">
        <v>2</v>
      </c>
      <c r="L5516" s="93"/>
      <c r="M5516" s="88" t="s">
        <v>23</v>
      </c>
      <c r="N5516" s="89"/>
      <c r="O5516" s="90"/>
      <c r="P5516" s="94">
        <v>2134708</v>
      </c>
      <c r="Q5516" s="96"/>
    </row>
    <row r="5517" spans="1:17" ht="15" customHeight="1" x14ac:dyDescent="0.2">
      <c r="A5517" s="5" t="s">
        <v>6908</v>
      </c>
      <c r="B5517" s="88" t="s">
        <v>6969</v>
      </c>
      <c r="C5517" s="90"/>
      <c r="D5517" s="88" t="s">
        <v>6970</v>
      </c>
      <c r="E5517" s="89"/>
      <c r="F5517" s="90"/>
      <c r="G5517" s="5" t="s">
        <v>6971</v>
      </c>
      <c r="H5517" s="91">
        <v>845</v>
      </c>
      <c r="I5517" s="92"/>
      <c r="J5517" s="93"/>
      <c r="K5517" s="91">
        <v>2</v>
      </c>
      <c r="L5517" s="93"/>
      <c r="M5517" s="88" t="s">
        <v>23</v>
      </c>
      <c r="N5517" s="89"/>
      <c r="O5517" s="90"/>
      <c r="P5517" s="94">
        <v>2561650</v>
      </c>
      <c r="Q5517" s="96"/>
    </row>
    <row r="5518" spans="1:17" ht="15" customHeight="1" x14ac:dyDescent="0.2">
      <c r="A5518" s="5" t="s">
        <v>6908</v>
      </c>
      <c r="B5518" s="88" t="s">
        <v>6972</v>
      </c>
      <c r="C5518" s="90"/>
      <c r="D5518" s="88" t="s">
        <v>6973</v>
      </c>
      <c r="E5518" s="89"/>
      <c r="F5518" s="90"/>
      <c r="G5518" s="5" t="s">
        <v>1718</v>
      </c>
      <c r="H5518" s="91">
        <v>124</v>
      </c>
      <c r="I5518" s="92"/>
      <c r="J5518" s="93"/>
      <c r="K5518" s="91">
        <v>2</v>
      </c>
      <c r="L5518" s="93"/>
      <c r="M5518" s="88" t="s">
        <v>23</v>
      </c>
      <c r="N5518" s="89"/>
      <c r="O5518" s="90"/>
      <c r="P5518" s="94">
        <v>476751</v>
      </c>
      <c r="Q5518" s="96"/>
    </row>
    <row r="5519" spans="1:17" ht="15" customHeight="1" x14ac:dyDescent="0.2">
      <c r="A5519" s="5" t="s">
        <v>6908</v>
      </c>
      <c r="B5519" s="88" t="s">
        <v>6974</v>
      </c>
      <c r="C5519" s="90"/>
      <c r="D5519" s="88" t="s">
        <v>6975</v>
      </c>
      <c r="E5519" s="89"/>
      <c r="F5519" s="90"/>
      <c r="G5519" s="5" t="s">
        <v>770</v>
      </c>
      <c r="H5519" s="91">
        <v>124</v>
      </c>
      <c r="I5519" s="92"/>
      <c r="J5519" s="93"/>
      <c r="K5519" s="91">
        <v>2</v>
      </c>
      <c r="L5519" s="93"/>
      <c r="M5519" s="88" t="s">
        <v>23</v>
      </c>
      <c r="N5519" s="89"/>
      <c r="O5519" s="90"/>
      <c r="P5519" s="94">
        <v>420473</v>
      </c>
      <c r="Q5519" s="96"/>
    </row>
    <row r="5520" spans="1:17" ht="15" customHeight="1" x14ac:dyDescent="0.2">
      <c r="A5520" s="5" t="s">
        <v>6908</v>
      </c>
      <c r="B5520" s="88" t="s">
        <v>6974</v>
      </c>
      <c r="C5520" s="90"/>
      <c r="D5520" s="88" t="s">
        <v>6976</v>
      </c>
      <c r="E5520" s="89"/>
      <c r="F5520" s="90"/>
      <c r="G5520" s="5" t="s">
        <v>770</v>
      </c>
      <c r="H5520" s="91">
        <v>249</v>
      </c>
      <c r="I5520" s="92"/>
      <c r="J5520" s="93"/>
      <c r="K5520" s="91">
        <v>2</v>
      </c>
      <c r="L5520" s="93"/>
      <c r="M5520" s="88" t="s">
        <v>23</v>
      </c>
      <c r="N5520" s="89"/>
      <c r="O5520" s="90"/>
      <c r="P5520" s="94">
        <v>769789</v>
      </c>
      <c r="Q5520" s="96"/>
    </row>
    <row r="5521" spans="1:17" ht="15" customHeight="1" x14ac:dyDescent="0.2">
      <c r="A5521" s="5" t="s">
        <v>6908</v>
      </c>
      <c r="B5521" s="88" t="s">
        <v>6974</v>
      </c>
      <c r="C5521" s="90"/>
      <c r="D5521" s="88" t="s">
        <v>6973</v>
      </c>
      <c r="E5521" s="89"/>
      <c r="F5521" s="90"/>
      <c r="G5521" s="5" t="s">
        <v>770</v>
      </c>
      <c r="H5521" s="91">
        <v>124</v>
      </c>
      <c r="I5521" s="92"/>
      <c r="J5521" s="93"/>
      <c r="K5521" s="91">
        <v>2</v>
      </c>
      <c r="L5521" s="93"/>
      <c r="M5521" s="88" t="s">
        <v>23</v>
      </c>
      <c r="N5521" s="89"/>
      <c r="O5521" s="90"/>
      <c r="P5521" s="94">
        <v>490983</v>
      </c>
      <c r="Q5521" s="96"/>
    </row>
    <row r="5522" spans="1:17" ht="15" customHeight="1" x14ac:dyDescent="0.2">
      <c r="A5522" s="5" t="s">
        <v>6908</v>
      </c>
      <c r="B5522" s="88" t="s">
        <v>6977</v>
      </c>
      <c r="C5522" s="90"/>
      <c r="D5522" s="88" t="s">
        <v>6978</v>
      </c>
      <c r="E5522" s="89"/>
      <c r="F5522" s="90"/>
      <c r="G5522" s="5" t="s">
        <v>770</v>
      </c>
      <c r="H5522" s="91">
        <v>155</v>
      </c>
      <c r="I5522" s="92"/>
      <c r="J5522" s="93"/>
      <c r="K5522" s="91">
        <v>2</v>
      </c>
      <c r="L5522" s="93"/>
      <c r="M5522" s="88" t="s">
        <v>23</v>
      </c>
      <c r="N5522" s="89"/>
      <c r="O5522" s="90"/>
      <c r="P5522" s="94">
        <v>452817</v>
      </c>
      <c r="Q5522" s="96"/>
    </row>
    <row r="5523" spans="1:17" ht="15" customHeight="1" x14ac:dyDescent="0.2">
      <c r="A5523" s="5" t="s">
        <v>6908</v>
      </c>
      <c r="B5523" s="88" t="s">
        <v>6977</v>
      </c>
      <c r="C5523" s="90"/>
      <c r="D5523" s="88" t="s">
        <v>6979</v>
      </c>
      <c r="E5523" s="89"/>
      <c r="F5523" s="90"/>
      <c r="G5523" s="5" t="s">
        <v>770</v>
      </c>
      <c r="H5523" s="91">
        <v>155</v>
      </c>
      <c r="I5523" s="92"/>
      <c r="J5523" s="93"/>
      <c r="K5523" s="91">
        <v>2</v>
      </c>
      <c r="L5523" s="93"/>
      <c r="M5523" s="88" t="s">
        <v>23</v>
      </c>
      <c r="N5523" s="89"/>
      <c r="O5523" s="90"/>
      <c r="P5523" s="94">
        <v>526561</v>
      </c>
      <c r="Q5523" s="96"/>
    </row>
    <row r="5524" spans="1:17" ht="15" customHeight="1" x14ac:dyDescent="0.2">
      <c r="A5524" s="5" t="s">
        <v>6908</v>
      </c>
      <c r="B5524" s="88" t="s">
        <v>6977</v>
      </c>
      <c r="C5524" s="90"/>
      <c r="D5524" s="88" t="s">
        <v>6978</v>
      </c>
      <c r="E5524" s="89"/>
      <c r="F5524" s="90"/>
      <c r="G5524" s="5" t="s">
        <v>1718</v>
      </c>
      <c r="H5524" s="91">
        <v>155</v>
      </c>
      <c r="I5524" s="92"/>
      <c r="J5524" s="93"/>
      <c r="K5524" s="91">
        <v>2</v>
      </c>
      <c r="L5524" s="93"/>
      <c r="M5524" s="88" t="s">
        <v>23</v>
      </c>
      <c r="N5524" s="89"/>
      <c r="O5524" s="90"/>
      <c r="P5524" s="94">
        <v>498099</v>
      </c>
      <c r="Q5524" s="96"/>
    </row>
    <row r="5525" spans="1:17" ht="15" customHeight="1" x14ac:dyDescent="0.2">
      <c r="A5525" s="5" t="s">
        <v>6908</v>
      </c>
      <c r="B5525" s="88" t="s">
        <v>6980</v>
      </c>
      <c r="C5525" s="90"/>
      <c r="D5525" s="88" t="s">
        <v>6978</v>
      </c>
      <c r="E5525" s="89"/>
      <c r="F5525" s="90"/>
      <c r="G5525" s="5" t="s">
        <v>770</v>
      </c>
      <c r="H5525" s="91">
        <v>155</v>
      </c>
      <c r="I5525" s="92"/>
      <c r="J5525" s="93"/>
      <c r="K5525" s="91">
        <v>2</v>
      </c>
      <c r="L5525" s="93"/>
      <c r="M5525" s="88" t="s">
        <v>23</v>
      </c>
      <c r="N5525" s="89"/>
      <c r="O5525" s="90"/>
      <c r="P5525" s="94">
        <v>452817</v>
      </c>
      <c r="Q5525" s="96"/>
    </row>
    <row r="5526" spans="1:17" ht="15" customHeight="1" x14ac:dyDescent="0.2">
      <c r="A5526" s="5" t="s">
        <v>6908</v>
      </c>
      <c r="B5526" s="88" t="s">
        <v>6981</v>
      </c>
      <c r="C5526" s="90"/>
      <c r="D5526" s="88" t="s">
        <v>6982</v>
      </c>
      <c r="E5526" s="89"/>
      <c r="F5526" s="90"/>
      <c r="G5526" s="5" t="s">
        <v>1718</v>
      </c>
      <c r="H5526" s="91">
        <v>49</v>
      </c>
      <c r="I5526" s="92"/>
      <c r="J5526" s="93"/>
      <c r="K5526" s="91">
        <v>1</v>
      </c>
      <c r="L5526" s="93"/>
      <c r="M5526" s="88" t="s">
        <v>23</v>
      </c>
      <c r="N5526" s="89"/>
      <c r="O5526" s="90"/>
      <c r="P5526" s="94">
        <v>207002</v>
      </c>
      <c r="Q5526" s="96"/>
    </row>
    <row r="5527" spans="1:17" ht="15" customHeight="1" x14ac:dyDescent="0.2">
      <c r="A5527" s="5" t="s">
        <v>6908</v>
      </c>
      <c r="B5527" s="88" t="s">
        <v>6983</v>
      </c>
      <c r="C5527" s="90"/>
      <c r="D5527" s="88" t="s">
        <v>6984</v>
      </c>
      <c r="E5527" s="89"/>
      <c r="F5527" s="90"/>
      <c r="G5527" s="5" t="s">
        <v>1718</v>
      </c>
      <c r="H5527" s="91">
        <v>399</v>
      </c>
      <c r="I5527" s="92"/>
      <c r="J5527" s="93"/>
      <c r="K5527" s="91">
        <v>2</v>
      </c>
      <c r="L5527" s="93"/>
      <c r="M5527" s="88" t="s">
        <v>23</v>
      </c>
      <c r="N5527" s="89"/>
      <c r="O5527" s="90"/>
      <c r="P5527" s="94">
        <v>711569</v>
      </c>
      <c r="Q5527" s="96"/>
    </row>
    <row r="5528" spans="1:17" ht="15" customHeight="1" x14ac:dyDescent="0.2">
      <c r="A5528" s="5" t="s">
        <v>6908</v>
      </c>
      <c r="B5528" s="88" t="s">
        <v>6985</v>
      </c>
      <c r="C5528" s="90"/>
      <c r="D5528" s="88" t="s">
        <v>6914</v>
      </c>
      <c r="E5528" s="89"/>
      <c r="F5528" s="90"/>
      <c r="G5528" s="5" t="s">
        <v>963</v>
      </c>
      <c r="H5528" s="91">
        <v>941</v>
      </c>
      <c r="I5528" s="92"/>
      <c r="J5528" s="93"/>
      <c r="K5528" s="91">
        <v>2</v>
      </c>
      <c r="L5528" s="93"/>
      <c r="M5528" s="88" t="s">
        <v>23</v>
      </c>
      <c r="N5528" s="89"/>
      <c r="O5528" s="90"/>
      <c r="P5528" s="94">
        <v>1270475</v>
      </c>
      <c r="Q5528" s="96"/>
    </row>
    <row r="5529" spans="1:17" ht="15" customHeight="1" x14ac:dyDescent="0.2">
      <c r="A5529" s="5" t="s">
        <v>6908</v>
      </c>
      <c r="B5529" s="88" t="s">
        <v>6986</v>
      </c>
      <c r="C5529" s="90"/>
      <c r="D5529" s="88" t="s">
        <v>6987</v>
      </c>
      <c r="E5529" s="89"/>
      <c r="F5529" s="90"/>
      <c r="G5529" s="5" t="s">
        <v>963</v>
      </c>
      <c r="H5529" s="91">
        <v>249</v>
      </c>
      <c r="I5529" s="92"/>
      <c r="J5529" s="93"/>
      <c r="K5529" s="91">
        <v>2</v>
      </c>
      <c r="L5529" s="93"/>
      <c r="M5529" s="88" t="s">
        <v>23</v>
      </c>
      <c r="N5529" s="89"/>
      <c r="O5529" s="90"/>
      <c r="P5529" s="94">
        <v>676638</v>
      </c>
      <c r="Q5529" s="96"/>
    </row>
    <row r="5530" spans="1:17" ht="15" customHeight="1" x14ac:dyDescent="0.2">
      <c r="A5530" s="5" t="s">
        <v>6908</v>
      </c>
      <c r="B5530" s="88" t="s">
        <v>6988</v>
      </c>
      <c r="C5530" s="90"/>
      <c r="D5530" s="88" t="s">
        <v>6987</v>
      </c>
      <c r="E5530" s="89"/>
      <c r="F5530" s="90"/>
      <c r="G5530" s="5" t="s">
        <v>1718</v>
      </c>
      <c r="H5530" s="91">
        <v>249</v>
      </c>
      <c r="I5530" s="92"/>
      <c r="J5530" s="93"/>
      <c r="K5530" s="91">
        <v>2</v>
      </c>
      <c r="L5530" s="93"/>
      <c r="M5530" s="88" t="s">
        <v>23</v>
      </c>
      <c r="N5530" s="89"/>
      <c r="O5530" s="90"/>
      <c r="P5530" s="94">
        <v>692163</v>
      </c>
      <c r="Q5530" s="96"/>
    </row>
    <row r="5531" spans="1:17" ht="15" customHeight="1" x14ac:dyDescent="0.2">
      <c r="A5531" s="5" t="s">
        <v>6908</v>
      </c>
      <c r="B5531" s="88" t="s">
        <v>6989</v>
      </c>
      <c r="C5531" s="90"/>
      <c r="D5531" s="88" t="s">
        <v>6987</v>
      </c>
      <c r="E5531" s="89"/>
      <c r="F5531" s="90"/>
      <c r="G5531" s="5" t="s">
        <v>963</v>
      </c>
      <c r="H5531" s="91">
        <v>249</v>
      </c>
      <c r="I5531" s="92"/>
      <c r="J5531" s="93"/>
      <c r="K5531" s="91">
        <v>2</v>
      </c>
      <c r="L5531" s="93"/>
      <c r="M5531" s="88" t="s">
        <v>23</v>
      </c>
      <c r="N5531" s="89"/>
      <c r="O5531" s="90"/>
      <c r="P5531" s="94">
        <v>676638</v>
      </c>
      <c r="Q5531" s="96"/>
    </row>
    <row r="5532" spans="1:17" ht="15" customHeight="1" x14ac:dyDescent="0.2">
      <c r="A5532" s="5" t="s">
        <v>6908</v>
      </c>
      <c r="B5532" s="88" t="s">
        <v>6990</v>
      </c>
      <c r="C5532" s="90"/>
      <c r="D5532" s="88" t="s">
        <v>6984</v>
      </c>
      <c r="E5532" s="89"/>
      <c r="F5532" s="90"/>
      <c r="G5532" s="5" t="s">
        <v>963</v>
      </c>
      <c r="H5532" s="91">
        <v>399</v>
      </c>
      <c r="I5532" s="92"/>
      <c r="J5532" s="93"/>
      <c r="K5532" s="91">
        <v>2</v>
      </c>
      <c r="L5532" s="93"/>
      <c r="M5532" s="88" t="s">
        <v>23</v>
      </c>
      <c r="N5532" s="89"/>
      <c r="O5532" s="90"/>
      <c r="P5532" s="94">
        <v>685694</v>
      </c>
      <c r="Q5532" s="96"/>
    </row>
    <row r="5533" spans="1:17" ht="15" customHeight="1" x14ac:dyDescent="0.2">
      <c r="A5533" s="5" t="s">
        <v>6908</v>
      </c>
      <c r="B5533" s="88" t="s">
        <v>6991</v>
      </c>
      <c r="C5533" s="90"/>
      <c r="D5533" s="88" t="s">
        <v>6992</v>
      </c>
      <c r="E5533" s="89"/>
      <c r="F5533" s="90"/>
      <c r="G5533" s="5" t="s">
        <v>1718</v>
      </c>
      <c r="H5533" s="91">
        <v>688</v>
      </c>
      <c r="I5533" s="92"/>
      <c r="J5533" s="93"/>
      <c r="K5533" s="91">
        <v>2</v>
      </c>
      <c r="L5533" s="93"/>
      <c r="M5533" s="88" t="s">
        <v>23</v>
      </c>
      <c r="N5533" s="89"/>
      <c r="O5533" s="90"/>
      <c r="P5533" s="94">
        <v>1487827</v>
      </c>
      <c r="Q5533" s="96"/>
    </row>
    <row r="5534" spans="1:17" ht="15" customHeight="1" x14ac:dyDescent="0.2">
      <c r="A5534" s="5" t="s">
        <v>6908</v>
      </c>
      <c r="B5534" s="88" t="s">
        <v>6991</v>
      </c>
      <c r="C5534" s="90"/>
      <c r="D5534" s="88" t="s">
        <v>6993</v>
      </c>
      <c r="E5534" s="89"/>
      <c r="F5534" s="90"/>
      <c r="G5534" s="5" t="s">
        <v>1718</v>
      </c>
      <c r="H5534" s="91">
        <v>688</v>
      </c>
      <c r="I5534" s="92"/>
      <c r="J5534" s="93"/>
      <c r="K5534" s="91">
        <v>2</v>
      </c>
      <c r="L5534" s="93"/>
      <c r="M5534" s="88" t="s">
        <v>23</v>
      </c>
      <c r="N5534" s="89"/>
      <c r="O5534" s="90"/>
      <c r="P5534" s="94">
        <v>1736229</v>
      </c>
      <c r="Q5534" s="96"/>
    </row>
    <row r="5535" spans="1:17" ht="15" customHeight="1" x14ac:dyDescent="0.2">
      <c r="A5535" s="5" t="s">
        <v>6908</v>
      </c>
      <c r="B5535" s="88" t="s">
        <v>6991</v>
      </c>
      <c r="C5535" s="90"/>
      <c r="D5535" s="88" t="s">
        <v>6994</v>
      </c>
      <c r="E5535" s="89"/>
      <c r="F5535" s="90"/>
      <c r="G5535" s="5" t="s">
        <v>1718</v>
      </c>
      <c r="H5535" s="91">
        <v>688</v>
      </c>
      <c r="I5535" s="92"/>
      <c r="J5535" s="93"/>
      <c r="K5535" s="91">
        <v>2</v>
      </c>
      <c r="L5535" s="93"/>
      <c r="M5535" s="88" t="s">
        <v>23</v>
      </c>
      <c r="N5535" s="89"/>
      <c r="O5535" s="90"/>
      <c r="P5535" s="94">
        <v>1807386</v>
      </c>
      <c r="Q5535" s="96"/>
    </row>
    <row r="5536" spans="1:17" ht="15" customHeight="1" x14ac:dyDescent="0.2">
      <c r="A5536" s="5" t="s">
        <v>6908</v>
      </c>
      <c r="B5536" s="88" t="s">
        <v>6995</v>
      </c>
      <c r="C5536" s="90"/>
      <c r="D5536" s="88" t="s">
        <v>6996</v>
      </c>
      <c r="E5536" s="89"/>
      <c r="F5536" s="90"/>
      <c r="G5536" s="5" t="s">
        <v>770</v>
      </c>
      <c r="H5536" s="91">
        <v>561</v>
      </c>
      <c r="I5536" s="92"/>
      <c r="J5536" s="93"/>
      <c r="K5536" s="91">
        <v>2</v>
      </c>
      <c r="L5536" s="93"/>
      <c r="M5536" s="88" t="s">
        <v>23</v>
      </c>
      <c r="N5536" s="89"/>
      <c r="O5536" s="90"/>
      <c r="P5536" s="94">
        <v>2070667</v>
      </c>
      <c r="Q5536" s="96"/>
    </row>
    <row r="5537" spans="1:17" ht="15" customHeight="1" x14ac:dyDescent="0.2">
      <c r="A5537" s="5" t="s">
        <v>6908</v>
      </c>
      <c r="B5537" s="88" t="s">
        <v>6997</v>
      </c>
      <c r="C5537" s="90"/>
      <c r="D5537" s="88" t="s">
        <v>6998</v>
      </c>
      <c r="E5537" s="89"/>
      <c r="F5537" s="90"/>
      <c r="G5537" s="5" t="s">
        <v>770</v>
      </c>
      <c r="H5537" s="91">
        <v>530</v>
      </c>
      <c r="I5537" s="92"/>
      <c r="J5537" s="93"/>
      <c r="K5537" s="91">
        <v>2</v>
      </c>
      <c r="L5537" s="93"/>
      <c r="M5537" s="88" t="s">
        <v>23</v>
      </c>
      <c r="N5537" s="89"/>
      <c r="O5537" s="90"/>
      <c r="P5537" s="94">
        <v>1487827</v>
      </c>
      <c r="Q5537" s="96"/>
    </row>
    <row r="5538" spans="1:17" ht="15" customHeight="1" x14ac:dyDescent="0.2">
      <c r="A5538" s="5" t="s">
        <v>6908</v>
      </c>
      <c r="B5538" s="88" t="s">
        <v>6999</v>
      </c>
      <c r="C5538" s="90"/>
      <c r="D5538" s="88" t="s">
        <v>6996</v>
      </c>
      <c r="E5538" s="89"/>
      <c r="F5538" s="90"/>
      <c r="G5538" s="5" t="s">
        <v>770</v>
      </c>
      <c r="H5538" s="91">
        <v>561</v>
      </c>
      <c r="I5538" s="92"/>
      <c r="J5538" s="93"/>
      <c r="K5538" s="91">
        <v>2</v>
      </c>
      <c r="L5538" s="93"/>
      <c r="M5538" s="88" t="s">
        <v>23</v>
      </c>
      <c r="N5538" s="89"/>
      <c r="O5538" s="90"/>
      <c r="P5538" s="94">
        <v>1500765</v>
      </c>
      <c r="Q5538" s="96"/>
    </row>
    <row r="5539" spans="1:17" ht="15" customHeight="1" x14ac:dyDescent="0.2">
      <c r="A5539" s="5" t="s">
        <v>6908</v>
      </c>
      <c r="B5539" s="88" t="s">
        <v>7000</v>
      </c>
      <c r="C5539" s="90"/>
      <c r="D5539" s="88" t="s">
        <v>6996</v>
      </c>
      <c r="E5539" s="89"/>
      <c r="F5539" s="90"/>
      <c r="G5539" s="5" t="s">
        <v>770</v>
      </c>
      <c r="H5539" s="91">
        <v>561</v>
      </c>
      <c r="I5539" s="92"/>
      <c r="J5539" s="93"/>
      <c r="K5539" s="91">
        <v>2</v>
      </c>
      <c r="L5539" s="93"/>
      <c r="M5539" s="88" t="s">
        <v>23</v>
      </c>
      <c r="N5539" s="89"/>
      <c r="O5539" s="90"/>
      <c r="P5539" s="94">
        <v>2070667</v>
      </c>
      <c r="Q5539" s="96"/>
    </row>
    <row r="5540" spans="1:17" ht="15" customHeight="1" x14ac:dyDescent="0.2">
      <c r="A5540" s="5" t="s">
        <v>6908</v>
      </c>
      <c r="B5540" s="88" t="s">
        <v>7001</v>
      </c>
      <c r="C5540" s="90"/>
      <c r="D5540" s="88" t="s">
        <v>6996</v>
      </c>
      <c r="E5540" s="89"/>
      <c r="F5540" s="90"/>
      <c r="G5540" s="5" t="s">
        <v>1718</v>
      </c>
      <c r="H5540" s="91">
        <v>561</v>
      </c>
      <c r="I5540" s="92"/>
      <c r="J5540" s="93"/>
      <c r="K5540" s="91">
        <v>2</v>
      </c>
      <c r="L5540" s="93"/>
      <c r="M5540" s="88" t="s">
        <v>23</v>
      </c>
      <c r="N5540" s="89"/>
      <c r="O5540" s="90"/>
      <c r="P5540" s="94">
        <v>1650841</v>
      </c>
      <c r="Q5540" s="96"/>
    </row>
    <row r="5541" spans="1:17" ht="15" customHeight="1" x14ac:dyDescent="0.2">
      <c r="A5541" s="5" t="s">
        <v>6908</v>
      </c>
      <c r="B5541" s="88" t="s">
        <v>7002</v>
      </c>
      <c r="C5541" s="90"/>
      <c r="D5541" s="88" t="s">
        <v>7003</v>
      </c>
      <c r="E5541" s="89"/>
      <c r="F5541" s="90"/>
      <c r="G5541" s="5" t="s">
        <v>1718</v>
      </c>
      <c r="H5541" s="91">
        <v>845</v>
      </c>
      <c r="I5541" s="92"/>
      <c r="J5541" s="93"/>
      <c r="K5541" s="91">
        <v>2</v>
      </c>
      <c r="L5541" s="93"/>
      <c r="M5541" s="88" t="s">
        <v>23</v>
      </c>
      <c r="N5541" s="89"/>
      <c r="O5541" s="90"/>
      <c r="P5541" s="94">
        <v>1332575</v>
      </c>
      <c r="Q5541" s="96"/>
    </row>
    <row r="5542" spans="1:17" ht="15" customHeight="1" x14ac:dyDescent="0.2">
      <c r="A5542" s="5" t="s">
        <v>6908</v>
      </c>
      <c r="B5542" s="88" t="s">
        <v>7004</v>
      </c>
      <c r="C5542" s="90"/>
      <c r="D5542" s="88" t="s">
        <v>7005</v>
      </c>
      <c r="E5542" s="89"/>
      <c r="F5542" s="90"/>
      <c r="G5542" s="5" t="s">
        <v>1718</v>
      </c>
      <c r="H5542" s="91">
        <v>888</v>
      </c>
      <c r="I5542" s="92"/>
      <c r="J5542" s="93"/>
      <c r="K5542" s="91">
        <v>2</v>
      </c>
      <c r="L5542" s="93"/>
      <c r="M5542" s="88" t="s">
        <v>23</v>
      </c>
      <c r="N5542" s="89"/>
      <c r="O5542" s="90"/>
      <c r="P5542" s="94">
        <v>1935469</v>
      </c>
      <c r="Q5542" s="96"/>
    </row>
    <row r="5543" spans="1:17" ht="15" customHeight="1" x14ac:dyDescent="0.2">
      <c r="A5543" s="5" t="s">
        <v>6908</v>
      </c>
      <c r="B5543" s="88" t="s">
        <v>7006</v>
      </c>
      <c r="C5543" s="90"/>
      <c r="D5543" s="88" t="s">
        <v>7005</v>
      </c>
      <c r="E5543" s="89"/>
      <c r="F5543" s="90"/>
      <c r="G5543" s="5" t="s">
        <v>1718</v>
      </c>
      <c r="H5543" s="91">
        <v>888</v>
      </c>
      <c r="I5543" s="92"/>
      <c r="J5543" s="93"/>
      <c r="K5543" s="91">
        <v>2</v>
      </c>
      <c r="L5543" s="93"/>
      <c r="M5543" s="88" t="s">
        <v>23</v>
      </c>
      <c r="N5543" s="89"/>
      <c r="O5543" s="90"/>
      <c r="P5543" s="94">
        <v>1935469</v>
      </c>
      <c r="Q5543" s="96"/>
    </row>
    <row r="5544" spans="1:17" ht="15" customHeight="1" x14ac:dyDescent="0.2">
      <c r="A5544" s="5" t="s">
        <v>6908</v>
      </c>
      <c r="B5544" s="88" t="s">
        <v>7007</v>
      </c>
      <c r="C5544" s="90"/>
      <c r="D5544" s="88" t="s">
        <v>7005</v>
      </c>
      <c r="E5544" s="89"/>
      <c r="F5544" s="90"/>
      <c r="G5544" s="5" t="s">
        <v>1718</v>
      </c>
      <c r="H5544" s="91">
        <v>888</v>
      </c>
      <c r="I5544" s="92"/>
      <c r="J5544" s="93"/>
      <c r="K5544" s="91">
        <v>2</v>
      </c>
      <c r="L5544" s="93"/>
      <c r="M5544" s="88" t="s">
        <v>23</v>
      </c>
      <c r="N5544" s="89"/>
      <c r="O5544" s="90"/>
      <c r="P5544" s="94">
        <v>2362410</v>
      </c>
      <c r="Q5544" s="96"/>
    </row>
    <row r="5545" spans="1:17" ht="15" customHeight="1" x14ac:dyDescent="0.2">
      <c r="A5545" s="5" t="s">
        <v>6908</v>
      </c>
      <c r="B5545" s="88" t="s">
        <v>7008</v>
      </c>
      <c r="C5545" s="90"/>
      <c r="D5545" s="88" t="s">
        <v>7009</v>
      </c>
      <c r="E5545" s="89"/>
      <c r="F5545" s="90"/>
      <c r="G5545" s="5" t="s">
        <v>770</v>
      </c>
      <c r="H5545" s="91">
        <v>124</v>
      </c>
      <c r="I5545" s="92"/>
      <c r="J5545" s="93"/>
      <c r="K5545" s="91">
        <v>2</v>
      </c>
      <c r="L5545" s="93"/>
      <c r="M5545" s="88" t="s">
        <v>23</v>
      </c>
      <c r="N5545" s="89"/>
      <c r="O5545" s="90"/>
      <c r="P5545" s="94">
        <v>640412</v>
      </c>
      <c r="Q5545" s="96"/>
    </row>
    <row r="5546" spans="1:17" ht="15" customHeight="1" x14ac:dyDescent="0.2">
      <c r="A5546" s="5" t="s">
        <v>6908</v>
      </c>
      <c r="B5546" s="88" t="s">
        <v>7008</v>
      </c>
      <c r="C5546" s="90"/>
      <c r="D5546" s="88" t="s">
        <v>7010</v>
      </c>
      <c r="E5546" s="89"/>
      <c r="F5546" s="90"/>
      <c r="G5546" s="5" t="s">
        <v>770</v>
      </c>
      <c r="H5546" s="91">
        <v>124</v>
      </c>
      <c r="I5546" s="92"/>
      <c r="J5546" s="93"/>
      <c r="K5546" s="91">
        <v>2</v>
      </c>
      <c r="L5546" s="93"/>
      <c r="M5546" s="88" t="s">
        <v>23</v>
      </c>
      <c r="N5546" s="89"/>
      <c r="O5546" s="90"/>
      <c r="P5546" s="94">
        <v>597718</v>
      </c>
      <c r="Q5546" s="96"/>
    </row>
    <row r="5547" spans="1:17" ht="15" customHeight="1" x14ac:dyDescent="0.2">
      <c r="A5547" s="5" t="s">
        <v>6908</v>
      </c>
      <c r="B5547" s="88" t="s">
        <v>7011</v>
      </c>
      <c r="C5547" s="90"/>
      <c r="D5547" s="88" t="s">
        <v>7010</v>
      </c>
      <c r="E5547" s="89"/>
      <c r="F5547" s="90"/>
      <c r="G5547" s="5" t="s">
        <v>770</v>
      </c>
      <c r="H5547" s="91">
        <v>124</v>
      </c>
      <c r="I5547" s="92"/>
      <c r="J5547" s="93"/>
      <c r="K5547" s="91">
        <v>2</v>
      </c>
      <c r="L5547" s="93"/>
      <c r="M5547" s="88" t="s">
        <v>23</v>
      </c>
      <c r="N5547" s="89"/>
      <c r="O5547" s="90"/>
      <c r="P5547" s="94">
        <v>543380</v>
      </c>
      <c r="Q5547" s="96"/>
    </row>
    <row r="5548" spans="1:17" ht="15" customHeight="1" x14ac:dyDescent="0.2">
      <c r="A5548" s="5" t="s">
        <v>6908</v>
      </c>
      <c r="B5548" s="88" t="s">
        <v>7011</v>
      </c>
      <c r="C5548" s="90"/>
      <c r="D5548" s="88" t="s">
        <v>7012</v>
      </c>
      <c r="E5548" s="89"/>
      <c r="F5548" s="90"/>
      <c r="G5548" s="5" t="s">
        <v>770</v>
      </c>
      <c r="H5548" s="91">
        <v>124</v>
      </c>
      <c r="I5548" s="92"/>
      <c r="J5548" s="93"/>
      <c r="K5548" s="91">
        <v>2</v>
      </c>
      <c r="L5548" s="93"/>
      <c r="M5548" s="88" t="s">
        <v>23</v>
      </c>
      <c r="N5548" s="89"/>
      <c r="O5548" s="90"/>
      <c r="P5548" s="94">
        <v>640412</v>
      </c>
      <c r="Q5548" s="96"/>
    </row>
    <row r="5549" spans="1:17" ht="15" customHeight="1" x14ac:dyDescent="0.2">
      <c r="A5549" s="5" t="s">
        <v>6908</v>
      </c>
      <c r="B5549" s="88" t="s">
        <v>7013</v>
      </c>
      <c r="C5549" s="90"/>
      <c r="D5549" s="88" t="s">
        <v>7014</v>
      </c>
      <c r="E5549" s="89"/>
      <c r="F5549" s="90"/>
      <c r="G5549" s="5" t="s">
        <v>770</v>
      </c>
      <c r="H5549" s="91">
        <v>155</v>
      </c>
      <c r="I5549" s="92"/>
      <c r="J5549" s="93"/>
      <c r="K5549" s="91">
        <v>2</v>
      </c>
      <c r="L5549" s="93"/>
      <c r="M5549" s="88" t="s">
        <v>23</v>
      </c>
      <c r="N5549" s="89"/>
      <c r="O5549" s="90"/>
      <c r="P5549" s="94">
        <v>569256</v>
      </c>
      <c r="Q5549" s="96"/>
    </row>
    <row r="5550" spans="1:17" ht="15" customHeight="1" x14ac:dyDescent="0.2">
      <c r="A5550" s="5" t="s">
        <v>6908</v>
      </c>
      <c r="B5550" s="88" t="s">
        <v>7015</v>
      </c>
      <c r="C5550" s="90"/>
      <c r="D5550" s="88" t="s">
        <v>7016</v>
      </c>
      <c r="E5550" s="89"/>
      <c r="F5550" s="90"/>
      <c r="G5550" s="5" t="s">
        <v>770</v>
      </c>
      <c r="H5550" s="91">
        <v>155</v>
      </c>
      <c r="I5550" s="92"/>
      <c r="J5550" s="93"/>
      <c r="K5550" s="91">
        <v>2</v>
      </c>
      <c r="L5550" s="93"/>
      <c r="M5550" s="88" t="s">
        <v>23</v>
      </c>
      <c r="N5550" s="89"/>
      <c r="O5550" s="90"/>
      <c r="P5550" s="94">
        <v>732916</v>
      </c>
      <c r="Q5550" s="96"/>
    </row>
    <row r="5551" spans="1:17" ht="15" customHeight="1" x14ac:dyDescent="0.2">
      <c r="A5551" s="5" t="s">
        <v>6908</v>
      </c>
      <c r="B5551" s="88" t="s">
        <v>7015</v>
      </c>
      <c r="C5551" s="90"/>
      <c r="D5551" s="88" t="s">
        <v>7017</v>
      </c>
      <c r="E5551" s="89"/>
      <c r="F5551" s="90"/>
      <c r="G5551" s="5" t="s">
        <v>770</v>
      </c>
      <c r="H5551" s="91">
        <v>155</v>
      </c>
      <c r="I5551" s="92"/>
      <c r="J5551" s="93"/>
      <c r="K5551" s="91">
        <v>2</v>
      </c>
      <c r="L5551" s="93"/>
      <c r="M5551" s="88" t="s">
        <v>23</v>
      </c>
      <c r="N5551" s="89"/>
      <c r="O5551" s="90"/>
      <c r="P5551" s="94">
        <v>732916</v>
      </c>
      <c r="Q5551" s="96"/>
    </row>
    <row r="5552" spans="1:17" ht="15" customHeight="1" x14ac:dyDescent="0.2">
      <c r="A5552" s="5" t="s">
        <v>6908</v>
      </c>
      <c r="B5552" s="88" t="s">
        <v>7018</v>
      </c>
      <c r="C5552" s="90"/>
      <c r="D5552" s="88" t="s">
        <v>7019</v>
      </c>
      <c r="E5552" s="89"/>
      <c r="F5552" s="90"/>
      <c r="G5552" s="5" t="s">
        <v>770</v>
      </c>
      <c r="H5552" s="91">
        <v>292</v>
      </c>
      <c r="I5552" s="92"/>
      <c r="J5552" s="93"/>
      <c r="K5552" s="91">
        <v>2</v>
      </c>
      <c r="L5552" s="93"/>
      <c r="M5552" s="88" t="s">
        <v>23</v>
      </c>
      <c r="N5552" s="89"/>
      <c r="O5552" s="90"/>
      <c r="P5552" s="94">
        <v>1238131</v>
      </c>
      <c r="Q5552" s="96"/>
    </row>
    <row r="5553" spans="1:17" ht="15" customHeight="1" x14ac:dyDescent="0.2">
      <c r="A5553" s="5" t="s">
        <v>6908</v>
      </c>
      <c r="B5553" s="88" t="s">
        <v>7020</v>
      </c>
      <c r="C5553" s="90"/>
      <c r="D5553" s="88" t="s">
        <v>7021</v>
      </c>
      <c r="E5553" s="89"/>
      <c r="F5553" s="90"/>
      <c r="G5553" s="5" t="s">
        <v>770</v>
      </c>
      <c r="H5553" s="91">
        <v>292</v>
      </c>
      <c r="I5553" s="92"/>
      <c r="J5553" s="93"/>
      <c r="K5553" s="91">
        <v>2</v>
      </c>
      <c r="L5553" s="93"/>
      <c r="M5553" s="88" t="s">
        <v>23</v>
      </c>
      <c r="N5553" s="89"/>
      <c r="O5553" s="90"/>
      <c r="P5553" s="94">
        <v>1351982</v>
      </c>
      <c r="Q5553" s="96"/>
    </row>
    <row r="5554" spans="1:17" ht="15" customHeight="1" x14ac:dyDescent="0.2">
      <c r="A5554" s="5" t="s">
        <v>6908</v>
      </c>
      <c r="B5554" s="88" t="s">
        <v>7022</v>
      </c>
      <c r="C5554" s="90"/>
      <c r="D5554" s="88" t="s">
        <v>7023</v>
      </c>
      <c r="E5554" s="89"/>
      <c r="F5554" s="90"/>
      <c r="G5554" s="5" t="s">
        <v>963</v>
      </c>
      <c r="H5554" s="91">
        <v>249</v>
      </c>
      <c r="I5554" s="92"/>
      <c r="J5554" s="93"/>
      <c r="K5554" s="91">
        <v>2</v>
      </c>
      <c r="L5554" s="93"/>
      <c r="M5554" s="88" t="s">
        <v>23</v>
      </c>
      <c r="N5554" s="89"/>
      <c r="O5554" s="90"/>
      <c r="P5554" s="94">
        <v>560199</v>
      </c>
      <c r="Q5554" s="96"/>
    </row>
    <row r="5555" spans="1:17" ht="15" customHeight="1" x14ac:dyDescent="0.2">
      <c r="A5555" s="5" t="s">
        <v>6908</v>
      </c>
      <c r="B5555" s="88" t="s">
        <v>7024</v>
      </c>
      <c r="C5555" s="90"/>
      <c r="D5555" s="88" t="s">
        <v>7025</v>
      </c>
      <c r="E5555" s="89"/>
      <c r="F5555" s="90"/>
      <c r="G5555" s="5" t="s">
        <v>770</v>
      </c>
      <c r="H5555" s="91">
        <v>49</v>
      </c>
      <c r="I5555" s="92"/>
      <c r="J5555" s="93"/>
      <c r="K5555" s="91">
        <v>1</v>
      </c>
      <c r="L5555" s="93"/>
      <c r="M5555" s="88" t="s">
        <v>23</v>
      </c>
      <c r="N5555" s="89"/>
      <c r="O5555" s="90"/>
      <c r="P5555" s="94">
        <v>239346</v>
      </c>
      <c r="Q5555" s="96"/>
    </row>
    <row r="5556" spans="1:17" ht="15" customHeight="1" x14ac:dyDescent="0.2">
      <c r="A5556" s="5" t="s">
        <v>6908</v>
      </c>
      <c r="B5556" s="88" t="s">
        <v>7026</v>
      </c>
      <c r="C5556" s="90"/>
      <c r="D5556" s="88" t="s">
        <v>7027</v>
      </c>
      <c r="E5556" s="89"/>
      <c r="F5556" s="90"/>
      <c r="G5556" s="5" t="s">
        <v>770</v>
      </c>
      <c r="H5556" s="91">
        <v>155</v>
      </c>
      <c r="I5556" s="92"/>
      <c r="J5556" s="93"/>
      <c r="K5556" s="91">
        <v>2</v>
      </c>
      <c r="L5556" s="93"/>
      <c r="M5556" s="88" t="s">
        <v>23</v>
      </c>
      <c r="N5556" s="89"/>
      <c r="O5556" s="90"/>
      <c r="P5556" s="94">
        <v>512330</v>
      </c>
      <c r="Q5556" s="96"/>
    </row>
    <row r="5557" spans="1:17" ht="15" customHeight="1" x14ac:dyDescent="0.2">
      <c r="A5557" s="5" t="s">
        <v>6908</v>
      </c>
      <c r="B5557" s="88" t="s">
        <v>7028</v>
      </c>
      <c r="C5557" s="90"/>
      <c r="D5557" s="88" t="s">
        <v>6976</v>
      </c>
      <c r="E5557" s="89"/>
      <c r="F5557" s="90"/>
      <c r="G5557" s="5" t="s">
        <v>770</v>
      </c>
      <c r="H5557" s="91">
        <v>249</v>
      </c>
      <c r="I5557" s="92"/>
      <c r="J5557" s="93"/>
      <c r="K5557" s="91">
        <v>2</v>
      </c>
      <c r="L5557" s="93"/>
      <c r="M5557" s="88" t="s">
        <v>23</v>
      </c>
      <c r="N5557" s="89"/>
      <c r="O5557" s="90"/>
      <c r="P5557" s="94">
        <v>769789</v>
      </c>
      <c r="Q5557" s="96"/>
    </row>
    <row r="5558" spans="1:17" ht="15" customHeight="1" x14ac:dyDescent="0.2">
      <c r="A5558" s="5" t="s">
        <v>6908</v>
      </c>
      <c r="B5558" s="88" t="s">
        <v>7028</v>
      </c>
      <c r="C5558" s="90"/>
      <c r="D5558" s="88" t="s">
        <v>6976</v>
      </c>
      <c r="E5558" s="89"/>
      <c r="F5558" s="90"/>
      <c r="G5558" s="5" t="s">
        <v>1718</v>
      </c>
      <c r="H5558" s="91">
        <v>249</v>
      </c>
      <c r="I5558" s="92"/>
      <c r="J5558" s="93"/>
      <c r="K5558" s="91">
        <v>2</v>
      </c>
      <c r="L5558" s="93"/>
      <c r="M5558" s="88" t="s">
        <v>23</v>
      </c>
      <c r="N5558" s="89"/>
      <c r="O5558" s="90"/>
      <c r="P5558" s="94">
        <v>846768</v>
      </c>
      <c r="Q5558" s="96"/>
    </row>
    <row r="5559" spans="1:17" ht="15" customHeight="1" x14ac:dyDescent="0.2">
      <c r="A5559" s="5" t="s">
        <v>6908</v>
      </c>
      <c r="B5559" s="88" t="s">
        <v>7028</v>
      </c>
      <c r="C5559" s="90"/>
      <c r="D5559" s="88" t="s">
        <v>7029</v>
      </c>
      <c r="E5559" s="89"/>
      <c r="F5559" s="90"/>
      <c r="G5559" s="5" t="s">
        <v>770</v>
      </c>
      <c r="H5559" s="91">
        <v>249</v>
      </c>
      <c r="I5559" s="92"/>
      <c r="J5559" s="93"/>
      <c r="K5559" s="91">
        <v>2</v>
      </c>
      <c r="L5559" s="93"/>
      <c r="M5559" s="88" t="s">
        <v>23</v>
      </c>
      <c r="N5559" s="89"/>
      <c r="O5559" s="90"/>
      <c r="P5559" s="94">
        <v>846768</v>
      </c>
      <c r="Q5559" s="96"/>
    </row>
    <row r="5560" spans="1:17" ht="15" customHeight="1" x14ac:dyDescent="0.2">
      <c r="A5560" s="5" t="s">
        <v>6908</v>
      </c>
      <c r="B5560" s="88" t="s">
        <v>7030</v>
      </c>
      <c r="C5560" s="90"/>
      <c r="D5560" s="88" t="s">
        <v>7031</v>
      </c>
      <c r="E5560" s="89"/>
      <c r="F5560" s="90"/>
      <c r="G5560" s="5" t="s">
        <v>1718</v>
      </c>
      <c r="H5560" s="91">
        <v>688</v>
      </c>
      <c r="I5560" s="92"/>
      <c r="J5560" s="93"/>
      <c r="K5560" s="91">
        <v>2</v>
      </c>
      <c r="L5560" s="93"/>
      <c r="M5560" s="88" t="s">
        <v>23</v>
      </c>
      <c r="N5560" s="89"/>
      <c r="O5560" s="90"/>
      <c r="P5560" s="94">
        <v>1295056</v>
      </c>
      <c r="Q5560" s="96"/>
    </row>
    <row r="5561" spans="1:17" ht="15" customHeight="1" x14ac:dyDescent="0.2">
      <c r="A5561" s="5" t="s">
        <v>6908</v>
      </c>
      <c r="B5561" s="88" t="s">
        <v>7032</v>
      </c>
      <c r="C5561" s="90"/>
      <c r="D5561" s="88" t="s">
        <v>7033</v>
      </c>
      <c r="E5561" s="89"/>
      <c r="F5561" s="90"/>
      <c r="G5561" s="5" t="s">
        <v>1718</v>
      </c>
      <c r="H5561" s="91">
        <v>124</v>
      </c>
      <c r="I5561" s="92"/>
      <c r="J5561" s="93"/>
      <c r="K5561" s="91">
        <v>2</v>
      </c>
      <c r="L5561" s="93"/>
      <c r="M5561" s="88" t="s">
        <v>23</v>
      </c>
      <c r="N5561" s="89"/>
      <c r="O5561" s="90"/>
      <c r="P5561" s="94">
        <v>654644</v>
      </c>
      <c r="Q5561" s="96"/>
    </row>
    <row r="5562" spans="1:17" ht="15" customHeight="1" x14ac:dyDescent="0.2">
      <c r="A5562" s="5" t="s">
        <v>6908</v>
      </c>
      <c r="B5562" s="88" t="s">
        <v>7034</v>
      </c>
      <c r="C5562" s="90"/>
      <c r="D5562" s="88" t="s">
        <v>7035</v>
      </c>
      <c r="E5562" s="89"/>
      <c r="F5562" s="90"/>
      <c r="G5562" s="5" t="s">
        <v>1718</v>
      </c>
      <c r="H5562" s="91">
        <v>688</v>
      </c>
      <c r="I5562" s="92"/>
      <c r="J5562" s="93"/>
      <c r="K5562" s="91">
        <v>2</v>
      </c>
      <c r="L5562" s="93"/>
      <c r="M5562" s="88" t="s">
        <v>23</v>
      </c>
      <c r="N5562" s="89"/>
      <c r="O5562" s="90"/>
      <c r="P5562" s="94">
        <v>1077704</v>
      </c>
      <c r="Q5562" s="96"/>
    </row>
    <row r="5563" spans="1:17" ht="15" customHeight="1" x14ac:dyDescent="0.2">
      <c r="A5563" s="5" t="s">
        <v>6908</v>
      </c>
      <c r="B5563" s="88" t="s">
        <v>7034</v>
      </c>
      <c r="C5563" s="90"/>
      <c r="D5563" s="88" t="s">
        <v>7031</v>
      </c>
      <c r="E5563" s="89"/>
      <c r="F5563" s="90"/>
      <c r="G5563" s="5" t="s">
        <v>1718</v>
      </c>
      <c r="H5563" s="91">
        <v>688</v>
      </c>
      <c r="I5563" s="92"/>
      <c r="J5563" s="93"/>
      <c r="K5563" s="91">
        <v>2</v>
      </c>
      <c r="L5563" s="93"/>
      <c r="M5563" s="88" t="s">
        <v>23</v>
      </c>
      <c r="N5563" s="89"/>
      <c r="O5563" s="90"/>
      <c r="P5563" s="94">
        <v>1295056</v>
      </c>
      <c r="Q5563" s="96"/>
    </row>
    <row r="5564" spans="1:17" ht="15" customHeight="1" x14ac:dyDescent="0.2">
      <c r="A5564" s="5" t="s">
        <v>6908</v>
      </c>
      <c r="B5564" s="88" t="s">
        <v>7036</v>
      </c>
      <c r="C5564" s="90"/>
      <c r="D5564" s="88" t="s">
        <v>7037</v>
      </c>
      <c r="E5564" s="89"/>
      <c r="F5564" s="90"/>
      <c r="G5564" s="5" t="s">
        <v>1718</v>
      </c>
      <c r="H5564" s="91">
        <v>845</v>
      </c>
      <c r="I5564" s="92"/>
      <c r="J5564" s="93"/>
      <c r="K5564" s="91">
        <v>2</v>
      </c>
      <c r="L5564" s="93"/>
      <c r="M5564" s="88" t="s">
        <v>23</v>
      </c>
      <c r="N5564" s="89"/>
      <c r="O5564" s="90"/>
      <c r="P5564" s="94">
        <v>1248481</v>
      </c>
      <c r="Q5564" s="96"/>
    </row>
    <row r="5565" spans="1:17" ht="15" customHeight="1" x14ac:dyDescent="0.2">
      <c r="A5565" s="5" t="s">
        <v>6908</v>
      </c>
      <c r="B5565" s="88" t="s">
        <v>7036</v>
      </c>
      <c r="C5565" s="90"/>
      <c r="D5565" s="88" t="s">
        <v>7038</v>
      </c>
      <c r="E5565" s="89"/>
      <c r="F5565" s="90"/>
      <c r="G5565" s="5" t="s">
        <v>1718</v>
      </c>
      <c r="H5565" s="91">
        <v>888</v>
      </c>
      <c r="I5565" s="92"/>
      <c r="J5565" s="93"/>
      <c r="K5565" s="91">
        <v>2</v>
      </c>
      <c r="L5565" s="93"/>
      <c r="M5565" s="88" t="s">
        <v>23</v>
      </c>
      <c r="N5565" s="89"/>
      <c r="O5565" s="90"/>
      <c r="P5565" s="94">
        <v>1565453</v>
      </c>
      <c r="Q5565" s="96"/>
    </row>
    <row r="5566" spans="1:17" ht="15" customHeight="1" x14ac:dyDescent="0.2">
      <c r="A5566" s="5" t="s">
        <v>6908</v>
      </c>
      <c r="B5566" s="88" t="s">
        <v>7039</v>
      </c>
      <c r="C5566" s="90"/>
      <c r="D5566" s="88" t="s">
        <v>7040</v>
      </c>
      <c r="E5566" s="89"/>
      <c r="F5566" s="90"/>
      <c r="G5566" s="5" t="s">
        <v>1718</v>
      </c>
      <c r="H5566" s="91">
        <v>888</v>
      </c>
      <c r="I5566" s="92"/>
      <c r="J5566" s="93"/>
      <c r="K5566" s="91">
        <v>2</v>
      </c>
      <c r="L5566" s="93"/>
      <c r="M5566" s="88" t="s">
        <v>23</v>
      </c>
      <c r="N5566" s="89"/>
      <c r="O5566" s="90"/>
      <c r="P5566" s="94">
        <v>1850080</v>
      </c>
      <c r="Q5566" s="96"/>
    </row>
    <row r="5567" spans="1:17" ht="15" customHeight="1" x14ac:dyDescent="0.2">
      <c r="A5567" s="5" t="s">
        <v>6908</v>
      </c>
      <c r="B5567" s="88" t="s">
        <v>7041</v>
      </c>
      <c r="C5567" s="90"/>
      <c r="D5567" s="88" t="s">
        <v>6963</v>
      </c>
      <c r="E5567" s="89"/>
      <c r="F5567" s="90"/>
      <c r="G5567" s="5" t="s">
        <v>1718</v>
      </c>
      <c r="H5567" s="91">
        <v>249</v>
      </c>
      <c r="I5567" s="92"/>
      <c r="J5567" s="93"/>
      <c r="K5567" s="91">
        <v>2</v>
      </c>
      <c r="L5567" s="93"/>
      <c r="M5567" s="88" t="s">
        <v>23</v>
      </c>
      <c r="N5567" s="89"/>
      <c r="O5567" s="90"/>
      <c r="P5567" s="94">
        <v>718038</v>
      </c>
      <c r="Q5567" s="96"/>
    </row>
    <row r="5568" spans="1:17" ht="15" customHeight="1" x14ac:dyDescent="0.2">
      <c r="A5568" s="5" t="s">
        <v>6908</v>
      </c>
      <c r="B5568" s="88" t="s">
        <v>7042</v>
      </c>
      <c r="C5568" s="90"/>
      <c r="D5568" s="88" t="s">
        <v>7043</v>
      </c>
      <c r="E5568" s="89"/>
      <c r="F5568" s="90"/>
      <c r="G5568" s="5" t="s">
        <v>1718</v>
      </c>
      <c r="H5568" s="91">
        <v>124</v>
      </c>
      <c r="I5568" s="92"/>
      <c r="J5568" s="93"/>
      <c r="K5568" s="91">
        <v>1</v>
      </c>
      <c r="L5568" s="93"/>
      <c r="M5568" s="88" t="s">
        <v>23</v>
      </c>
      <c r="N5568" s="89"/>
      <c r="O5568" s="90"/>
      <c r="P5568" s="94">
        <v>737445</v>
      </c>
      <c r="Q5568" s="96"/>
    </row>
    <row r="5569" spans="1:17" ht="15" customHeight="1" x14ac:dyDescent="0.2">
      <c r="A5569" s="5" t="s">
        <v>6908</v>
      </c>
      <c r="B5569" s="88" t="s">
        <v>7042</v>
      </c>
      <c r="C5569" s="90"/>
      <c r="D5569" s="88" t="s">
        <v>7044</v>
      </c>
      <c r="E5569" s="89"/>
      <c r="F5569" s="90"/>
      <c r="G5569" s="5" t="s">
        <v>1718</v>
      </c>
      <c r="H5569" s="91">
        <v>124</v>
      </c>
      <c r="I5569" s="92"/>
      <c r="J5569" s="93"/>
      <c r="K5569" s="91">
        <v>1</v>
      </c>
      <c r="L5569" s="93"/>
      <c r="M5569" s="88" t="s">
        <v>23</v>
      </c>
      <c r="N5569" s="89"/>
      <c r="O5569" s="90"/>
      <c r="P5569" s="94">
        <v>737445</v>
      </c>
      <c r="Q5569" s="96"/>
    </row>
    <row r="5570" spans="1:17" ht="15" customHeight="1" x14ac:dyDescent="0.2">
      <c r="A5570" s="5" t="s">
        <v>6908</v>
      </c>
      <c r="B5570" s="88" t="s">
        <v>7045</v>
      </c>
      <c r="C5570" s="90"/>
      <c r="D5570" s="88" t="s">
        <v>7046</v>
      </c>
      <c r="E5570" s="89"/>
      <c r="F5570" s="90"/>
      <c r="G5570" s="5" t="s">
        <v>1718</v>
      </c>
      <c r="H5570" s="91">
        <v>124</v>
      </c>
      <c r="I5570" s="92"/>
      <c r="J5570" s="93"/>
      <c r="K5570" s="91">
        <v>1</v>
      </c>
      <c r="L5570" s="93"/>
      <c r="M5570" s="88" t="s">
        <v>23</v>
      </c>
      <c r="N5570" s="89"/>
      <c r="O5570" s="90"/>
      <c r="P5570" s="94">
        <v>750382</v>
      </c>
      <c r="Q5570" s="96"/>
    </row>
    <row r="5571" spans="1:17" ht="15" customHeight="1" x14ac:dyDescent="0.2">
      <c r="A5571" s="5" t="s">
        <v>6908</v>
      </c>
      <c r="B5571" s="88" t="s">
        <v>7045</v>
      </c>
      <c r="C5571" s="90"/>
      <c r="D5571" s="88" t="s">
        <v>7047</v>
      </c>
      <c r="E5571" s="89"/>
      <c r="F5571" s="90"/>
      <c r="G5571" s="5" t="s">
        <v>1718</v>
      </c>
      <c r="H5571" s="91">
        <v>124</v>
      </c>
      <c r="I5571" s="92"/>
      <c r="J5571" s="93"/>
      <c r="K5571" s="91">
        <v>1</v>
      </c>
      <c r="L5571" s="93"/>
      <c r="M5571" s="88" t="s">
        <v>23</v>
      </c>
      <c r="N5571" s="89"/>
      <c r="O5571" s="90"/>
      <c r="P5571" s="94">
        <v>750382</v>
      </c>
      <c r="Q5571" s="96"/>
    </row>
    <row r="5572" spans="1:17" ht="15" customHeight="1" x14ac:dyDescent="0.2">
      <c r="A5572" s="5" t="s">
        <v>6908</v>
      </c>
      <c r="B5572" s="88" t="s">
        <v>7048</v>
      </c>
      <c r="C5572" s="90"/>
      <c r="D5572" s="88" t="s">
        <v>7049</v>
      </c>
      <c r="E5572" s="89"/>
      <c r="F5572" s="90"/>
      <c r="G5572" s="5" t="s">
        <v>963</v>
      </c>
      <c r="H5572" s="91">
        <v>249</v>
      </c>
      <c r="I5572" s="92"/>
      <c r="J5572" s="93"/>
      <c r="K5572" s="91">
        <v>1</v>
      </c>
      <c r="L5572" s="93"/>
      <c r="M5572" s="88" t="s">
        <v>23</v>
      </c>
      <c r="N5572" s="89"/>
      <c r="O5572" s="90"/>
      <c r="P5572" s="94">
        <v>866821</v>
      </c>
      <c r="Q5572" s="96"/>
    </row>
    <row r="5573" spans="1:17" ht="15" customHeight="1" x14ac:dyDescent="0.2">
      <c r="A5573" s="5" t="s">
        <v>6908</v>
      </c>
      <c r="B5573" s="88" t="s">
        <v>7048</v>
      </c>
      <c r="C5573" s="90"/>
      <c r="D5573" s="88" t="s">
        <v>7050</v>
      </c>
      <c r="E5573" s="89"/>
      <c r="F5573" s="90"/>
      <c r="G5573" s="5" t="s">
        <v>1718</v>
      </c>
      <c r="H5573" s="91">
        <v>249</v>
      </c>
      <c r="I5573" s="92"/>
      <c r="J5573" s="93"/>
      <c r="K5573" s="91">
        <v>1</v>
      </c>
      <c r="L5573" s="93"/>
      <c r="M5573" s="88" t="s">
        <v>23</v>
      </c>
      <c r="N5573" s="89"/>
      <c r="O5573" s="90"/>
      <c r="P5573" s="94">
        <v>866821</v>
      </c>
      <c r="Q5573" s="96"/>
    </row>
    <row r="5574" spans="1:17" ht="15" customHeight="1" x14ac:dyDescent="0.2">
      <c r="A5574" s="5" t="s">
        <v>6908</v>
      </c>
      <c r="B5574" s="88" t="s">
        <v>7051</v>
      </c>
      <c r="C5574" s="90"/>
      <c r="D5574" s="88" t="s">
        <v>7052</v>
      </c>
      <c r="E5574" s="89"/>
      <c r="F5574" s="90"/>
      <c r="G5574" s="5" t="s">
        <v>963</v>
      </c>
      <c r="H5574" s="91">
        <v>249</v>
      </c>
      <c r="I5574" s="92"/>
      <c r="J5574" s="93"/>
      <c r="K5574" s="91">
        <v>1</v>
      </c>
      <c r="L5574" s="93"/>
      <c r="M5574" s="88" t="s">
        <v>23</v>
      </c>
      <c r="N5574" s="89"/>
      <c r="O5574" s="90"/>
      <c r="P5574" s="94">
        <v>1047948</v>
      </c>
      <c r="Q5574" s="96"/>
    </row>
    <row r="5575" spans="1:17" ht="15" customHeight="1" x14ac:dyDescent="0.2">
      <c r="A5575" s="5" t="s">
        <v>6908</v>
      </c>
      <c r="B5575" s="88" t="s">
        <v>7051</v>
      </c>
      <c r="C5575" s="90"/>
      <c r="D5575" s="88" t="s">
        <v>7053</v>
      </c>
      <c r="E5575" s="89"/>
      <c r="F5575" s="90"/>
      <c r="G5575" s="5" t="s">
        <v>1718</v>
      </c>
      <c r="H5575" s="91">
        <v>249</v>
      </c>
      <c r="I5575" s="92"/>
      <c r="J5575" s="93"/>
      <c r="K5575" s="91">
        <v>1</v>
      </c>
      <c r="L5575" s="93"/>
      <c r="M5575" s="88" t="s">
        <v>23</v>
      </c>
      <c r="N5575" s="89"/>
      <c r="O5575" s="90"/>
      <c r="P5575" s="94">
        <v>1047948</v>
      </c>
      <c r="Q5575" s="96"/>
    </row>
    <row r="5576" spans="1:17" ht="15" customHeight="1" x14ac:dyDescent="0.2">
      <c r="A5576" s="5" t="s">
        <v>6908</v>
      </c>
      <c r="B5576" s="88" t="s">
        <v>7054</v>
      </c>
      <c r="C5576" s="90"/>
      <c r="D5576" s="88" t="s">
        <v>7055</v>
      </c>
      <c r="E5576" s="89"/>
      <c r="F5576" s="90"/>
      <c r="G5576" s="5" t="s">
        <v>1718</v>
      </c>
      <c r="H5576" s="91">
        <v>249</v>
      </c>
      <c r="I5576" s="92"/>
      <c r="J5576" s="93"/>
      <c r="K5576" s="91">
        <v>1</v>
      </c>
      <c r="L5576" s="93"/>
      <c r="M5576" s="88" t="s">
        <v>23</v>
      </c>
      <c r="N5576" s="89"/>
      <c r="O5576" s="90"/>
      <c r="P5576" s="94">
        <v>970322</v>
      </c>
      <c r="Q5576" s="96"/>
    </row>
    <row r="5577" spans="1:17" ht="15" customHeight="1" x14ac:dyDescent="0.2">
      <c r="A5577" s="5" t="s">
        <v>6908</v>
      </c>
      <c r="B5577" s="88" t="s">
        <v>7054</v>
      </c>
      <c r="C5577" s="90"/>
      <c r="D5577" s="88" t="s">
        <v>7056</v>
      </c>
      <c r="E5577" s="89"/>
      <c r="F5577" s="90"/>
      <c r="G5577" s="5" t="s">
        <v>1718</v>
      </c>
      <c r="H5577" s="91">
        <v>249</v>
      </c>
      <c r="I5577" s="92"/>
      <c r="J5577" s="93"/>
      <c r="K5577" s="91">
        <v>1</v>
      </c>
      <c r="L5577" s="93"/>
      <c r="M5577" s="88" t="s">
        <v>23</v>
      </c>
      <c r="N5577" s="89"/>
      <c r="O5577" s="90"/>
      <c r="P5577" s="94">
        <v>1099698</v>
      </c>
      <c r="Q5577" s="96"/>
    </row>
    <row r="5578" spans="1:17" ht="15" customHeight="1" x14ac:dyDescent="0.2">
      <c r="A5578" s="5" t="s">
        <v>6908</v>
      </c>
      <c r="B5578" s="88" t="s">
        <v>7057</v>
      </c>
      <c r="C5578" s="90"/>
      <c r="D5578" s="88" t="s">
        <v>7058</v>
      </c>
      <c r="E5578" s="89"/>
      <c r="F5578" s="90"/>
      <c r="G5578" s="5" t="s">
        <v>963</v>
      </c>
      <c r="H5578" s="91">
        <v>249</v>
      </c>
      <c r="I5578" s="92"/>
      <c r="J5578" s="93"/>
      <c r="K5578" s="91">
        <v>1</v>
      </c>
      <c r="L5578" s="93"/>
      <c r="M5578" s="88" t="s">
        <v>23</v>
      </c>
      <c r="N5578" s="89"/>
      <c r="O5578" s="90"/>
      <c r="P5578" s="94">
        <v>879759</v>
      </c>
      <c r="Q5578" s="96"/>
    </row>
    <row r="5579" spans="1:17" ht="15" customHeight="1" x14ac:dyDescent="0.2">
      <c r="A5579" s="5" t="s">
        <v>6908</v>
      </c>
      <c r="B5579" s="88" t="s">
        <v>7057</v>
      </c>
      <c r="C5579" s="90"/>
      <c r="D5579" s="88" t="s">
        <v>7059</v>
      </c>
      <c r="E5579" s="89"/>
      <c r="F5579" s="90"/>
      <c r="G5579" s="5" t="s">
        <v>1718</v>
      </c>
      <c r="H5579" s="91">
        <v>249</v>
      </c>
      <c r="I5579" s="92"/>
      <c r="J5579" s="93"/>
      <c r="K5579" s="91">
        <v>1</v>
      </c>
      <c r="L5579" s="93"/>
      <c r="M5579" s="88" t="s">
        <v>23</v>
      </c>
      <c r="N5579" s="89"/>
      <c r="O5579" s="90"/>
      <c r="P5579" s="94">
        <v>879759</v>
      </c>
      <c r="Q5579" s="96"/>
    </row>
    <row r="5580" spans="1:17" ht="15" customHeight="1" x14ac:dyDescent="0.2">
      <c r="A5580" s="5" t="s">
        <v>6908</v>
      </c>
      <c r="B5580" s="88" t="s">
        <v>7060</v>
      </c>
      <c r="C5580" s="90"/>
      <c r="D5580" s="88" t="s">
        <v>7061</v>
      </c>
      <c r="E5580" s="89"/>
      <c r="F5580" s="90"/>
      <c r="G5580" s="5" t="s">
        <v>963</v>
      </c>
      <c r="H5580" s="91">
        <v>449</v>
      </c>
      <c r="I5580" s="92"/>
      <c r="J5580" s="93"/>
      <c r="K5580" s="91">
        <v>1</v>
      </c>
      <c r="L5580" s="93"/>
      <c r="M5580" s="88" t="s">
        <v>23</v>
      </c>
      <c r="N5580" s="89"/>
      <c r="O5580" s="90"/>
      <c r="P5580" s="94">
        <v>1216137</v>
      </c>
      <c r="Q5580" s="96"/>
    </row>
    <row r="5581" spans="1:17" ht="15" customHeight="1" x14ac:dyDescent="0.2">
      <c r="A5581" s="5" t="s">
        <v>6908</v>
      </c>
      <c r="B5581" s="88" t="s">
        <v>7060</v>
      </c>
      <c r="C5581" s="90"/>
      <c r="D5581" s="88" t="s">
        <v>7062</v>
      </c>
      <c r="E5581" s="89"/>
      <c r="F5581" s="90"/>
      <c r="G5581" s="5" t="s">
        <v>963</v>
      </c>
      <c r="H5581" s="91">
        <v>449</v>
      </c>
      <c r="I5581" s="92"/>
      <c r="J5581" s="93"/>
      <c r="K5581" s="91">
        <v>1</v>
      </c>
      <c r="L5581" s="93"/>
      <c r="M5581" s="88" t="s">
        <v>23</v>
      </c>
      <c r="N5581" s="89"/>
      <c r="O5581" s="90"/>
      <c r="P5581" s="94">
        <v>1267887</v>
      </c>
      <c r="Q5581" s="96"/>
    </row>
    <row r="5582" spans="1:17" ht="15" customHeight="1" x14ac:dyDescent="0.2">
      <c r="A5582" s="5" t="s">
        <v>6908</v>
      </c>
      <c r="B5582" s="88" t="s">
        <v>7063</v>
      </c>
      <c r="C5582" s="90"/>
      <c r="D5582" s="88" t="s">
        <v>7064</v>
      </c>
      <c r="E5582" s="89"/>
      <c r="F5582" s="90"/>
      <c r="G5582" s="5" t="s">
        <v>963</v>
      </c>
      <c r="H5582" s="91">
        <v>449</v>
      </c>
      <c r="I5582" s="92"/>
      <c r="J5582" s="93"/>
      <c r="K5582" s="91">
        <v>1</v>
      </c>
      <c r="L5582" s="93"/>
      <c r="M5582" s="88" t="s">
        <v>23</v>
      </c>
      <c r="N5582" s="89"/>
      <c r="O5582" s="90"/>
      <c r="P5582" s="94">
        <v>1267887</v>
      </c>
      <c r="Q5582" s="96"/>
    </row>
    <row r="5583" spans="1:17" ht="15" customHeight="1" x14ac:dyDescent="0.2">
      <c r="A5583" s="5" t="s">
        <v>6908</v>
      </c>
      <c r="B5583" s="88" t="s">
        <v>7063</v>
      </c>
      <c r="C5583" s="90"/>
      <c r="D5583" s="88" t="s">
        <v>7065</v>
      </c>
      <c r="E5583" s="89"/>
      <c r="F5583" s="90"/>
      <c r="G5583" s="5" t="s">
        <v>963</v>
      </c>
      <c r="H5583" s="91">
        <v>449</v>
      </c>
      <c r="I5583" s="92"/>
      <c r="J5583" s="93"/>
      <c r="K5583" s="91">
        <v>1</v>
      </c>
      <c r="L5583" s="93"/>
      <c r="M5583" s="88" t="s">
        <v>23</v>
      </c>
      <c r="N5583" s="89"/>
      <c r="O5583" s="90"/>
      <c r="P5583" s="94">
        <v>1267887</v>
      </c>
      <c r="Q5583" s="96"/>
    </row>
    <row r="5584" spans="1:17" ht="15" customHeight="1" x14ac:dyDescent="0.2">
      <c r="A5584" s="5" t="s">
        <v>6908</v>
      </c>
      <c r="B5584" s="88" t="s">
        <v>7066</v>
      </c>
      <c r="C5584" s="90"/>
      <c r="D5584" s="88" t="s">
        <v>7067</v>
      </c>
      <c r="E5584" s="89"/>
      <c r="F5584" s="90"/>
      <c r="G5584" s="5" t="s">
        <v>1718</v>
      </c>
      <c r="H5584" s="91">
        <v>64</v>
      </c>
      <c r="I5584" s="92"/>
      <c r="J5584" s="93"/>
      <c r="K5584" s="91">
        <v>1</v>
      </c>
      <c r="L5584" s="93"/>
      <c r="M5584" s="88" t="s">
        <v>23</v>
      </c>
      <c r="N5584" s="89"/>
      <c r="O5584" s="90"/>
      <c r="P5584" s="94">
        <v>582193</v>
      </c>
      <c r="Q5584" s="96"/>
    </row>
    <row r="5585" spans="1:17" ht="15" customHeight="1" x14ac:dyDescent="0.2">
      <c r="A5585" s="5" t="s">
        <v>6908</v>
      </c>
      <c r="B5585" s="88" t="s">
        <v>7068</v>
      </c>
      <c r="C5585" s="90"/>
      <c r="D5585" s="88" t="s">
        <v>7069</v>
      </c>
      <c r="E5585" s="89"/>
      <c r="F5585" s="90"/>
      <c r="G5585" s="5" t="s">
        <v>1718</v>
      </c>
      <c r="H5585" s="91">
        <v>64</v>
      </c>
      <c r="I5585" s="92"/>
      <c r="J5585" s="93"/>
      <c r="K5585" s="91">
        <v>1</v>
      </c>
      <c r="L5585" s="93"/>
      <c r="M5585" s="88" t="s">
        <v>23</v>
      </c>
      <c r="N5585" s="89"/>
      <c r="O5585" s="90"/>
      <c r="P5585" s="94">
        <v>569256</v>
      </c>
      <c r="Q5585" s="96"/>
    </row>
    <row r="5586" spans="1:17" ht="15" customHeight="1" x14ac:dyDescent="0.2">
      <c r="A5586" s="5" t="s">
        <v>6908</v>
      </c>
      <c r="B5586" s="88" t="s">
        <v>7068</v>
      </c>
      <c r="C5586" s="90"/>
      <c r="D5586" s="88" t="s">
        <v>7070</v>
      </c>
      <c r="E5586" s="89"/>
      <c r="F5586" s="90"/>
      <c r="G5586" s="5" t="s">
        <v>1718</v>
      </c>
      <c r="H5586" s="91">
        <v>84</v>
      </c>
      <c r="I5586" s="92"/>
      <c r="J5586" s="93"/>
      <c r="K5586" s="91">
        <v>1</v>
      </c>
      <c r="L5586" s="93"/>
      <c r="M5586" s="88" t="s">
        <v>23</v>
      </c>
      <c r="N5586" s="89"/>
      <c r="O5586" s="90"/>
      <c r="P5586" s="94">
        <v>595131</v>
      </c>
      <c r="Q5586" s="96"/>
    </row>
    <row r="5587" spans="1:17" ht="15" customHeight="1" x14ac:dyDescent="0.2">
      <c r="A5587" s="5" t="s">
        <v>6908</v>
      </c>
      <c r="B5587" s="88" t="s">
        <v>7068</v>
      </c>
      <c r="C5587" s="90"/>
      <c r="D5587" s="88" t="s">
        <v>7071</v>
      </c>
      <c r="E5587" s="89"/>
      <c r="F5587" s="90"/>
      <c r="G5587" s="5" t="s">
        <v>1718</v>
      </c>
      <c r="H5587" s="91">
        <v>84</v>
      </c>
      <c r="I5587" s="92"/>
      <c r="J5587" s="93"/>
      <c r="K5587" s="91">
        <v>1</v>
      </c>
      <c r="L5587" s="93"/>
      <c r="M5587" s="88" t="s">
        <v>23</v>
      </c>
      <c r="N5587" s="89"/>
      <c r="O5587" s="90"/>
      <c r="P5587" s="94">
        <v>595131</v>
      </c>
      <c r="Q5587" s="96"/>
    </row>
    <row r="5588" spans="1:17" ht="15" customHeight="1" x14ac:dyDescent="0.2">
      <c r="A5588" s="5" t="s">
        <v>6908</v>
      </c>
      <c r="B5588" s="88" t="s">
        <v>7072</v>
      </c>
      <c r="C5588" s="90"/>
      <c r="D5588" s="88" t="s">
        <v>7073</v>
      </c>
      <c r="E5588" s="89"/>
      <c r="F5588" s="90"/>
      <c r="G5588" s="5" t="s">
        <v>1718</v>
      </c>
      <c r="H5588" s="91">
        <v>84</v>
      </c>
      <c r="I5588" s="92"/>
      <c r="J5588" s="93"/>
      <c r="K5588" s="91">
        <v>1</v>
      </c>
      <c r="L5588" s="93"/>
      <c r="M5588" s="88" t="s">
        <v>23</v>
      </c>
      <c r="N5588" s="89"/>
      <c r="O5588" s="90"/>
      <c r="P5588" s="94">
        <v>608068</v>
      </c>
      <c r="Q5588" s="96"/>
    </row>
    <row r="5589" spans="1:17" ht="15" customHeight="1" x14ac:dyDescent="0.2">
      <c r="A5589" s="5" t="s">
        <v>6908</v>
      </c>
      <c r="B5589" s="88" t="s">
        <v>7074</v>
      </c>
      <c r="C5589" s="90"/>
      <c r="D5589" s="88" t="s">
        <v>7075</v>
      </c>
      <c r="E5589" s="89"/>
      <c r="F5589" s="90"/>
      <c r="G5589" s="5" t="s">
        <v>1718</v>
      </c>
      <c r="H5589" s="91">
        <v>84</v>
      </c>
      <c r="I5589" s="92"/>
      <c r="J5589" s="93"/>
      <c r="K5589" s="91">
        <v>1</v>
      </c>
      <c r="L5589" s="93"/>
      <c r="M5589" s="88" t="s">
        <v>23</v>
      </c>
      <c r="N5589" s="89"/>
      <c r="O5589" s="90"/>
      <c r="P5589" s="94">
        <v>608068</v>
      </c>
      <c r="Q5589" s="96"/>
    </row>
    <row r="5590" spans="1:17" ht="15" customHeight="1" x14ac:dyDescent="0.2">
      <c r="A5590" s="5" t="s">
        <v>6908</v>
      </c>
      <c r="B5590" s="88" t="s">
        <v>7076</v>
      </c>
      <c r="C5590" s="90"/>
      <c r="D5590" s="88" t="s">
        <v>6946</v>
      </c>
      <c r="E5590" s="89"/>
      <c r="F5590" s="90"/>
      <c r="G5590" s="5" t="s">
        <v>1718</v>
      </c>
      <c r="H5590" s="91">
        <v>320</v>
      </c>
      <c r="I5590" s="92"/>
      <c r="J5590" s="93"/>
      <c r="K5590" s="91">
        <v>2</v>
      </c>
      <c r="L5590" s="93"/>
      <c r="M5590" s="88" t="s">
        <v>23</v>
      </c>
      <c r="N5590" s="89"/>
      <c r="O5590" s="90"/>
      <c r="P5590" s="94">
        <v>939272</v>
      </c>
      <c r="Q5590" s="96"/>
    </row>
    <row r="5591" spans="1:17" ht="15" customHeight="1" x14ac:dyDescent="0.2">
      <c r="A5591" s="5" t="s">
        <v>6908</v>
      </c>
      <c r="B5591" s="88" t="s">
        <v>7077</v>
      </c>
      <c r="C5591" s="90"/>
      <c r="D5591" s="88" t="s">
        <v>7078</v>
      </c>
      <c r="E5591" s="89"/>
      <c r="F5591" s="90"/>
      <c r="G5591" s="5" t="s">
        <v>1718</v>
      </c>
      <c r="H5591" s="91">
        <v>997</v>
      </c>
      <c r="I5591" s="92"/>
      <c r="J5591" s="93"/>
      <c r="K5591" s="91">
        <v>2</v>
      </c>
      <c r="L5591" s="93"/>
      <c r="M5591" s="88" t="s">
        <v>23</v>
      </c>
      <c r="N5591" s="89"/>
      <c r="O5591" s="90"/>
      <c r="P5591" s="94">
        <v>2781589</v>
      </c>
      <c r="Q5591" s="96"/>
    </row>
    <row r="5592" spans="1:17" ht="15" customHeight="1" x14ac:dyDescent="0.2">
      <c r="A5592" s="5" t="s">
        <v>6908</v>
      </c>
      <c r="B5592" s="88" t="s">
        <v>7077</v>
      </c>
      <c r="C5592" s="90"/>
      <c r="D5592" s="88" t="s">
        <v>7079</v>
      </c>
      <c r="E5592" s="89"/>
      <c r="F5592" s="90"/>
      <c r="G5592" s="5" t="s">
        <v>1718</v>
      </c>
      <c r="H5592" s="91">
        <v>997</v>
      </c>
      <c r="I5592" s="92"/>
      <c r="J5592" s="93"/>
      <c r="K5592" s="91">
        <v>2</v>
      </c>
      <c r="L5592" s="93"/>
      <c r="M5592" s="88" t="s">
        <v>23</v>
      </c>
      <c r="N5592" s="89"/>
      <c r="O5592" s="90"/>
      <c r="P5592" s="94">
        <v>3059748</v>
      </c>
      <c r="Q5592" s="96"/>
    </row>
    <row r="5593" spans="1:17" ht="15" customHeight="1" x14ac:dyDescent="0.2">
      <c r="A5593" s="5" t="s">
        <v>6908</v>
      </c>
      <c r="B5593" s="88" t="s">
        <v>7080</v>
      </c>
      <c r="C5593" s="90"/>
      <c r="D5593" s="88" t="s">
        <v>7081</v>
      </c>
      <c r="E5593" s="89"/>
      <c r="F5593" s="90"/>
      <c r="G5593" s="5" t="s">
        <v>1718</v>
      </c>
      <c r="H5593" s="91">
        <v>124</v>
      </c>
      <c r="I5593" s="92"/>
      <c r="J5593" s="93"/>
      <c r="K5593" s="91">
        <v>2</v>
      </c>
      <c r="L5593" s="93"/>
      <c r="M5593" s="88" t="s">
        <v>23</v>
      </c>
      <c r="N5593" s="89"/>
      <c r="O5593" s="90"/>
      <c r="P5593" s="94">
        <v>668875</v>
      </c>
      <c r="Q5593" s="96"/>
    </row>
    <row r="5594" spans="1:17" ht="15" customHeight="1" x14ac:dyDescent="0.2">
      <c r="A5594" s="5" t="s">
        <v>6908</v>
      </c>
      <c r="B5594" s="88" t="s">
        <v>7082</v>
      </c>
      <c r="C5594" s="90"/>
      <c r="D5594" s="88" t="s">
        <v>7083</v>
      </c>
      <c r="E5594" s="89"/>
      <c r="F5594" s="90"/>
      <c r="G5594" s="5" t="s">
        <v>1718</v>
      </c>
      <c r="H5594" s="91">
        <v>155</v>
      </c>
      <c r="I5594" s="92"/>
      <c r="J5594" s="93"/>
      <c r="K5594" s="91">
        <v>2</v>
      </c>
      <c r="L5594" s="93"/>
      <c r="M5594" s="88" t="s">
        <v>23</v>
      </c>
      <c r="N5594" s="89"/>
      <c r="O5594" s="90"/>
      <c r="P5594" s="94">
        <v>711569</v>
      </c>
      <c r="Q5594" s="96"/>
    </row>
    <row r="5595" spans="1:17" ht="15" customHeight="1" x14ac:dyDescent="0.2">
      <c r="A5595" s="5" t="s">
        <v>6908</v>
      </c>
      <c r="B5595" s="88" t="s">
        <v>7084</v>
      </c>
      <c r="C5595" s="90"/>
      <c r="D5595" s="88" t="s">
        <v>7078</v>
      </c>
      <c r="E5595" s="89"/>
      <c r="F5595" s="90"/>
      <c r="G5595" s="5" t="s">
        <v>1718</v>
      </c>
      <c r="H5595" s="91">
        <v>997</v>
      </c>
      <c r="I5595" s="92"/>
      <c r="J5595" s="93"/>
      <c r="K5595" s="91">
        <v>2</v>
      </c>
      <c r="L5595" s="93"/>
      <c r="M5595" s="88" t="s">
        <v>23</v>
      </c>
      <c r="N5595" s="89"/>
      <c r="O5595" s="90"/>
      <c r="P5595" s="94">
        <v>3751911</v>
      </c>
      <c r="Q5595" s="96"/>
    </row>
    <row r="5596" spans="1:17" ht="15" customHeight="1" x14ac:dyDescent="0.2">
      <c r="A5596" s="5" t="s">
        <v>6908</v>
      </c>
      <c r="B5596" s="88" t="s">
        <v>7084</v>
      </c>
      <c r="C5596" s="90"/>
      <c r="D5596" s="88" t="s">
        <v>7079</v>
      </c>
      <c r="E5596" s="89"/>
      <c r="F5596" s="90"/>
      <c r="G5596" s="5" t="s">
        <v>1718</v>
      </c>
      <c r="H5596" s="91">
        <v>997</v>
      </c>
      <c r="I5596" s="92"/>
      <c r="J5596" s="93"/>
      <c r="K5596" s="91">
        <v>2</v>
      </c>
      <c r="L5596" s="93"/>
      <c r="M5596" s="88" t="s">
        <v>23</v>
      </c>
      <c r="N5596" s="89"/>
      <c r="O5596" s="90"/>
      <c r="P5596" s="94">
        <v>4127102</v>
      </c>
      <c r="Q5596" s="96"/>
    </row>
    <row r="5597" spans="1:17" ht="15" customHeight="1" x14ac:dyDescent="0.2">
      <c r="A5597" s="5" t="s">
        <v>6908</v>
      </c>
      <c r="B5597" s="88" t="s">
        <v>7085</v>
      </c>
      <c r="C5597" s="90"/>
      <c r="D5597" s="88" t="s">
        <v>7079</v>
      </c>
      <c r="E5597" s="89"/>
      <c r="F5597" s="90"/>
      <c r="G5597" s="5" t="s">
        <v>1718</v>
      </c>
      <c r="H5597" s="91">
        <v>997</v>
      </c>
      <c r="I5597" s="92"/>
      <c r="J5597" s="93"/>
      <c r="K5597" s="91">
        <v>2</v>
      </c>
      <c r="L5597" s="93"/>
      <c r="M5597" s="88" t="s">
        <v>23</v>
      </c>
      <c r="N5597" s="89"/>
      <c r="O5597" s="90"/>
      <c r="P5597" s="94">
        <v>4127102</v>
      </c>
      <c r="Q5597" s="96"/>
    </row>
    <row r="5598" spans="1:17" ht="15" customHeight="1" x14ac:dyDescent="0.2">
      <c r="A5598" s="5" t="s">
        <v>6908</v>
      </c>
      <c r="B5598" s="88" t="s">
        <v>7086</v>
      </c>
      <c r="C5598" s="90"/>
      <c r="D5598" s="88" t="s">
        <v>6963</v>
      </c>
      <c r="E5598" s="89"/>
      <c r="F5598" s="90"/>
      <c r="G5598" s="5" t="s">
        <v>1718</v>
      </c>
      <c r="H5598" s="91">
        <v>249</v>
      </c>
      <c r="I5598" s="92"/>
      <c r="J5598" s="93"/>
      <c r="K5598" s="91">
        <v>2</v>
      </c>
      <c r="L5598" s="93"/>
      <c r="M5598" s="88" t="s">
        <v>23</v>
      </c>
      <c r="N5598" s="89"/>
      <c r="O5598" s="90"/>
      <c r="P5598" s="94">
        <v>718038</v>
      </c>
      <c r="Q5598" s="96"/>
    </row>
    <row r="5599" spans="1:17" ht="15" customHeight="1" x14ac:dyDescent="0.2">
      <c r="A5599" s="5" t="s">
        <v>6908</v>
      </c>
      <c r="B5599" s="88" t="s">
        <v>7087</v>
      </c>
      <c r="C5599" s="90"/>
      <c r="D5599" s="88" t="s">
        <v>6966</v>
      </c>
      <c r="E5599" s="89"/>
      <c r="F5599" s="90"/>
      <c r="G5599" s="5" t="s">
        <v>1718</v>
      </c>
      <c r="H5599" s="91">
        <v>249</v>
      </c>
      <c r="I5599" s="92"/>
      <c r="J5599" s="93"/>
      <c r="K5599" s="91">
        <v>2</v>
      </c>
      <c r="L5599" s="93"/>
      <c r="M5599" s="88" t="s">
        <v>23</v>
      </c>
      <c r="N5599" s="89"/>
      <c r="O5599" s="90"/>
      <c r="P5599" s="94">
        <v>893731</v>
      </c>
      <c r="Q5599" s="96"/>
    </row>
    <row r="5600" spans="1:17" ht="15" customHeight="1" x14ac:dyDescent="0.2">
      <c r="A5600" s="5" t="s">
        <v>6908</v>
      </c>
      <c r="B5600" s="88" t="s">
        <v>7088</v>
      </c>
      <c r="C5600" s="90"/>
      <c r="D5600" s="88" t="s">
        <v>6941</v>
      </c>
      <c r="E5600" s="89"/>
      <c r="F5600" s="90"/>
      <c r="G5600" s="5" t="s">
        <v>1718</v>
      </c>
      <c r="H5600" s="91">
        <v>320</v>
      </c>
      <c r="I5600" s="92"/>
      <c r="J5600" s="93"/>
      <c r="K5600" s="91">
        <v>2</v>
      </c>
      <c r="L5600" s="93"/>
      <c r="M5600" s="88" t="s">
        <v>23</v>
      </c>
      <c r="N5600" s="89"/>
      <c r="O5600" s="90"/>
      <c r="P5600" s="94">
        <v>808602</v>
      </c>
      <c r="Q5600" s="96"/>
    </row>
    <row r="5601" spans="1:17" ht="15" customHeight="1" x14ac:dyDescent="0.2">
      <c r="A5601" s="5" t="s">
        <v>6908</v>
      </c>
      <c r="B5601" s="88" t="s">
        <v>7088</v>
      </c>
      <c r="C5601" s="90"/>
      <c r="D5601" s="88" t="s">
        <v>6946</v>
      </c>
      <c r="E5601" s="89"/>
      <c r="F5601" s="90"/>
      <c r="G5601" s="5" t="s">
        <v>1718</v>
      </c>
      <c r="H5601" s="91">
        <v>320</v>
      </c>
      <c r="I5601" s="92"/>
      <c r="J5601" s="93"/>
      <c r="K5601" s="91">
        <v>2</v>
      </c>
      <c r="L5601" s="93"/>
      <c r="M5601" s="88" t="s">
        <v>23</v>
      </c>
      <c r="N5601" s="89"/>
      <c r="O5601" s="90"/>
      <c r="P5601" s="94">
        <v>939272</v>
      </c>
      <c r="Q5601" s="96"/>
    </row>
    <row r="5602" spans="1:17" ht="15" customHeight="1" x14ac:dyDescent="0.2">
      <c r="A5602" s="5" t="s">
        <v>6908</v>
      </c>
      <c r="B5602" s="88" t="s">
        <v>7089</v>
      </c>
      <c r="C5602" s="90"/>
      <c r="D5602" s="88" t="s">
        <v>7090</v>
      </c>
      <c r="E5602" s="89"/>
      <c r="F5602" s="90"/>
      <c r="G5602" s="5" t="s">
        <v>1718</v>
      </c>
      <c r="H5602" s="91">
        <v>688</v>
      </c>
      <c r="I5602" s="92"/>
      <c r="J5602" s="93"/>
      <c r="K5602" s="91">
        <v>2</v>
      </c>
      <c r="L5602" s="93"/>
      <c r="M5602" s="88" t="s">
        <v>23</v>
      </c>
      <c r="N5602" s="89"/>
      <c r="O5602" s="90"/>
      <c r="P5602" s="94">
        <v>1364790</v>
      </c>
      <c r="Q5602" s="96"/>
    </row>
    <row r="5603" spans="1:17" ht="15" customHeight="1" x14ac:dyDescent="0.2">
      <c r="A5603" s="5" t="s">
        <v>6908</v>
      </c>
      <c r="B5603" s="88" t="s">
        <v>7091</v>
      </c>
      <c r="C5603" s="90"/>
      <c r="D5603" s="88" t="s">
        <v>7079</v>
      </c>
      <c r="E5603" s="89"/>
      <c r="F5603" s="90"/>
      <c r="G5603" s="5" t="s">
        <v>1718</v>
      </c>
      <c r="H5603" s="91">
        <v>997</v>
      </c>
      <c r="I5603" s="92"/>
      <c r="J5603" s="93"/>
      <c r="K5603" s="91">
        <v>2</v>
      </c>
      <c r="L5603" s="93"/>
      <c r="M5603" s="88" t="s">
        <v>23</v>
      </c>
      <c r="N5603" s="89"/>
      <c r="O5603" s="90"/>
      <c r="P5603" s="94">
        <v>3059748</v>
      </c>
      <c r="Q5603" s="96"/>
    </row>
    <row r="5604" spans="1:17" ht="219.75" customHeight="1" x14ac:dyDescent="0.2">
      <c r="A5604" s="129" t="s">
        <v>7092</v>
      </c>
      <c r="B5604" s="129"/>
      <c r="C5604" s="129"/>
      <c r="D5604" s="129"/>
      <c r="E5604" s="129"/>
      <c r="F5604" s="129"/>
      <c r="G5604" s="129"/>
      <c r="H5604" s="129"/>
      <c r="I5604" s="129"/>
      <c r="J5604" s="129"/>
      <c r="K5604" s="129"/>
      <c r="L5604" s="129"/>
      <c r="M5604" s="129"/>
      <c r="N5604" s="129"/>
    </row>
    <row r="5605" spans="1:17" ht="26.1" customHeight="1" x14ac:dyDescent="0.2">
      <c r="A5605" s="110" t="s">
        <v>7093</v>
      </c>
      <c r="B5605" s="111"/>
      <c r="C5605" s="111"/>
      <c r="D5605" s="111"/>
      <c r="E5605" s="111"/>
      <c r="F5605" s="111"/>
      <c r="G5605" s="111"/>
      <c r="H5605" s="111"/>
      <c r="I5605" s="111"/>
      <c r="J5605" s="111"/>
      <c r="K5605" s="112"/>
      <c r="L5605" s="122"/>
      <c r="M5605" s="122"/>
      <c r="N5605" s="122"/>
    </row>
    <row r="5606" spans="1:17" ht="21.95" customHeight="1" x14ac:dyDescent="0.2">
      <c r="A5606" s="106"/>
      <c r="B5606" s="107"/>
      <c r="C5606" s="107"/>
      <c r="D5606" s="107"/>
      <c r="E5606" s="108"/>
      <c r="F5606" s="106"/>
      <c r="G5606" s="107"/>
      <c r="H5606" s="108"/>
      <c r="I5606" s="126" t="s">
        <v>7094</v>
      </c>
      <c r="J5606" s="127"/>
      <c r="K5606" s="128"/>
      <c r="L5606" s="109"/>
      <c r="M5606" s="109"/>
      <c r="N5606" s="109"/>
    </row>
    <row r="5607" spans="1:17" ht="15" customHeight="1" x14ac:dyDescent="0.2">
      <c r="A5607" s="88" t="s">
        <v>7095</v>
      </c>
      <c r="B5607" s="89"/>
      <c r="C5607" s="89"/>
      <c r="D5607" s="89"/>
      <c r="E5607" s="90"/>
      <c r="F5607" s="91">
        <v>46</v>
      </c>
      <c r="G5607" s="92"/>
      <c r="H5607" s="93"/>
      <c r="I5607" s="94">
        <v>2246158</v>
      </c>
      <c r="J5607" s="95"/>
      <c r="K5607" s="96"/>
      <c r="L5607" s="109"/>
      <c r="M5607" s="109"/>
      <c r="N5607" s="109"/>
    </row>
    <row r="5608" spans="1:17" ht="15" customHeight="1" x14ac:dyDescent="0.2">
      <c r="A5608" s="88" t="s">
        <v>7096</v>
      </c>
      <c r="B5608" s="89"/>
      <c r="C5608" s="89"/>
      <c r="D5608" s="89"/>
      <c r="E5608" s="90"/>
      <c r="F5608" s="91">
        <v>46</v>
      </c>
      <c r="G5608" s="92"/>
      <c r="H5608" s="93"/>
      <c r="I5608" s="94">
        <v>3165041</v>
      </c>
      <c r="J5608" s="95"/>
      <c r="K5608" s="96"/>
      <c r="L5608" s="109"/>
      <c r="M5608" s="109"/>
      <c r="N5608" s="109"/>
    </row>
    <row r="5609" spans="1:17" ht="15" customHeight="1" x14ac:dyDescent="0.2">
      <c r="A5609" s="88" t="s">
        <v>7097</v>
      </c>
      <c r="B5609" s="89"/>
      <c r="C5609" s="89"/>
      <c r="D5609" s="89"/>
      <c r="E5609" s="90"/>
      <c r="F5609" s="91">
        <v>46</v>
      </c>
      <c r="G5609" s="92"/>
      <c r="H5609" s="93"/>
      <c r="I5609" s="94">
        <v>3766286</v>
      </c>
      <c r="J5609" s="95"/>
      <c r="K5609" s="96"/>
      <c r="L5609" s="109"/>
      <c r="M5609" s="109"/>
      <c r="N5609" s="109"/>
    </row>
    <row r="5610" spans="1:17" ht="15" customHeight="1" x14ac:dyDescent="0.2">
      <c r="A5610" s="88" t="s">
        <v>7098</v>
      </c>
      <c r="B5610" s="89"/>
      <c r="C5610" s="89"/>
      <c r="D5610" s="89"/>
      <c r="E5610" s="90"/>
      <c r="F5610" s="91">
        <v>65</v>
      </c>
      <c r="G5610" s="92"/>
      <c r="H5610" s="93"/>
      <c r="I5610" s="94">
        <v>4878021</v>
      </c>
      <c r="J5610" s="95"/>
      <c r="K5610" s="96"/>
      <c r="L5610" s="109"/>
      <c r="M5610" s="109"/>
      <c r="N5610" s="109"/>
    </row>
    <row r="5611" spans="1:17" ht="15" customHeight="1" x14ac:dyDescent="0.2">
      <c r="A5611" s="88" t="s">
        <v>7099</v>
      </c>
      <c r="B5611" s="89"/>
      <c r="C5611" s="89"/>
      <c r="D5611" s="89"/>
      <c r="E5611" s="90"/>
      <c r="F5611" s="91">
        <v>65</v>
      </c>
      <c r="G5611" s="92"/>
      <c r="H5611" s="93"/>
      <c r="I5611" s="94">
        <v>5104905</v>
      </c>
      <c r="J5611" s="95"/>
      <c r="K5611" s="96"/>
      <c r="L5611" s="109"/>
      <c r="M5611" s="109"/>
      <c r="N5611" s="109"/>
    </row>
    <row r="5612" spans="1:17" ht="15" customHeight="1" x14ac:dyDescent="0.2">
      <c r="A5612" s="88" t="s">
        <v>7100</v>
      </c>
      <c r="B5612" s="89"/>
      <c r="C5612" s="89"/>
      <c r="D5612" s="89"/>
      <c r="E5612" s="90"/>
      <c r="F5612" s="91">
        <v>72</v>
      </c>
      <c r="G5612" s="92"/>
      <c r="H5612" s="93"/>
      <c r="I5612" s="94">
        <v>5609724</v>
      </c>
      <c r="J5612" s="95"/>
      <c r="K5612" s="96"/>
      <c r="L5612" s="109"/>
      <c r="M5612" s="109"/>
      <c r="N5612" s="109"/>
    </row>
    <row r="5613" spans="1:17" ht="15" customHeight="1" x14ac:dyDescent="0.2">
      <c r="A5613" s="88" t="s">
        <v>7101</v>
      </c>
      <c r="B5613" s="89"/>
      <c r="C5613" s="89"/>
      <c r="D5613" s="89"/>
      <c r="E5613" s="90"/>
      <c r="F5613" s="91">
        <v>82</v>
      </c>
      <c r="G5613" s="92"/>
      <c r="H5613" s="93"/>
      <c r="I5613" s="94">
        <v>4878021</v>
      </c>
      <c r="J5613" s="95"/>
      <c r="K5613" s="96"/>
      <c r="L5613" s="109"/>
      <c r="M5613" s="109"/>
      <c r="N5613" s="109"/>
    </row>
    <row r="5614" spans="1:17" ht="15" customHeight="1" x14ac:dyDescent="0.2">
      <c r="A5614" s="88" t="s">
        <v>7102</v>
      </c>
      <c r="B5614" s="89"/>
      <c r="C5614" s="89"/>
      <c r="D5614" s="89"/>
      <c r="E5614" s="90"/>
      <c r="F5614" s="91">
        <v>82</v>
      </c>
      <c r="G5614" s="92"/>
      <c r="H5614" s="93"/>
      <c r="I5614" s="94">
        <v>5672117</v>
      </c>
      <c r="J5614" s="95"/>
      <c r="K5614" s="96"/>
      <c r="L5614" s="109"/>
      <c r="M5614" s="109"/>
      <c r="N5614" s="109"/>
    </row>
    <row r="5615" spans="1:17" ht="15" customHeight="1" x14ac:dyDescent="0.2">
      <c r="A5615" s="88" t="s">
        <v>7103</v>
      </c>
      <c r="B5615" s="89"/>
      <c r="C5615" s="89"/>
      <c r="D5615" s="89"/>
      <c r="E5615" s="90"/>
      <c r="F5615" s="91">
        <v>100</v>
      </c>
      <c r="G5615" s="92"/>
      <c r="H5615" s="93"/>
      <c r="I5615" s="94">
        <v>6602344</v>
      </c>
      <c r="J5615" s="95"/>
      <c r="K5615" s="96"/>
      <c r="L5615" s="109"/>
      <c r="M5615" s="109"/>
      <c r="N5615" s="109"/>
    </row>
    <row r="5616" spans="1:17" ht="15" customHeight="1" x14ac:dyDescent="0.2">
      <c r="A5616" s="88" t="s">
        <v>7104</v>
      </c>
      <c r="B5616" s="89"/>
      <c r="C5616" s="89"/>
      <c r="D5616" s="89"/>
      <c r="E5616" s="90"/>
      <c r="F5616" s="91">
        <v>120</v>
      </c>
      <c r="G5616" s="92"/>
      <c r="H5616" s="93"/>
      <c r="I5616" s="94">
        <v>7804833</v>
      </c>
      <c r="J5616" s="95"/>
      <c r="K5616" s="96"/>
      <c r="L5616" s="109"/>
      <c r="M5616" s="109"/>
      <c r="N5616" s="109"/>
    </row>
    <row r="5617" spans="1:14" ht="15" customHeight="1" x14ac:dyDescent="0.2">
      <c r="A5617" s="88" t="s">
        <v>7105</v>
      </c>
      <c r="B5617" s="89"/>
      <c r="C5617" s="89"/>
      <c r="D5617" s="89"/>
      <c r="E5617" s="90"/>
      <c r="F5617" s="91">
        <v>130</v>
      </c>
      <c r="G5617" s="92"/>
      <c r="H5617" s="93"/>
      <c r="I5617" s="94">
        <v>8394733</v>
      </c>
      <c r="J5617" s="95"/>
      <c r="K5617" s="96"/>
      <c r="L5617" s="109"/>
      <c r="M5617" s="109"/>
      <c r="N5617" s="109"/>
    </row>
    <row r="5618" spans="1:14" ht="15" customHeight="1" x14ac:dyDescent="0.2">
      <c r="A5618" s="88" t="s">
        <v>7106</v>
      </c>
      <c r="B5618" s="89"/>
      <c r="C5618" s="89"/>
      <c r="D5618" s="89"/>
      <c r="E5618" s="90"/>
      <c r="F5618" s="91">
        <v>165</v>
      </c>
      <c r="G5618" s="92"/>
      <c r="H5618" s="93"/>
      <c r="I5618" s="94">
        <v>10550138</v>
      </c>
      <c r="J5618" s="95"/>
      <c r="K5618" s="96"/>
      <c r="L5618" s="109"/>
      <c r="M5618" s="109"/>
      <c r="N5618" s="109"/>
    </row>
    <row r="5619" spans="1:14" ht="15" customHeight="1" x14ac:dyDescent="0.2">
      <c r="A5619" s="88" t="s">
        <v>7107</v>
      </c>
      <c r="B5619" s="89"/>
      <c r="C5619" s="89"/>
      <c r="D5619" s="89"/>
      <c r="E5619" s="90"/>
      <c r="F5619" s="91">
        <v>165</v>
      </c>
      <c r="G5619" s="92"/>
      <c r="H5619" s="93"/>
      <c r="I5619" s="94">
        <v>11911446</v>
      </c>
      <c r="J5619" s="95"/>
      <c r="K5619" s="96"/>
      <c r="L5619" s="109"/>
      <c r="M5619" s="109"/>
      <c r="N5619" s="109"/>
    </row>
    <row r="5620" spans="1:14" ht="15" customHeight="1" x14ac:dyDescent="0.2">
      <c r="A5620" s="88" t="s">
        <v>7108</v>
      </c>
      <c r="B5620" s="89"/>
      <c r="C5620" s="89"/>
      <c r="D5620" s="89"/>
      <c r="E5620" s="90"/>
      <c r="F5620" s="91">
        <v>105</v>
      </c>
      <c r="G5620" s="92"/>
      <c r="H5620" s="93"/>
      <c r="I5620" s="94">
        <v>7248966</v>
      </c>
      <c r="J5620" s="95"/>
      <c r="K5620" s="96"/>
      <c r="L5620" s="109"/>
      <c r="M5620" s="109"/>
      <c r="N5620" s="109"/>
    </row>
    <row r="5621" spans="1:14" ht="15" customHeight="1" x14ac:dyDescent="0.2">
      <c r="A5621" s="88" t="s">
        <v>7109</v>
      </c>
      <c r="B5621" s="89"/>
      <c r="C5621" s="89"/>
      <c r="D5621" s="89"/>
      <c r="E5621" s="90"/>
      <c r="F5621" s="91">
        <v>120</v>
      </c>
      <c r="G5621" s="92"/>
      <c r="H5621" s="93"/>
      <c r="I5621" s="94">
        <v>8190537</v>
      </c>
      <c r="J5621" s="95"/>
      <c r="K5621" s="96"/>
      <c r="L5621" s="109"/>
      <c r="M5621" s="109"/>
      <c r="N5621" s="109"/>
    </row>
    <row r="5622" spans="1:14" ht="15" customHeight="1" x14ac:dyDescent="0.2">
      <c r="A5622" s="88" t="s">
        <v>7110</v>
      </c>
      <c r="B5622" s="89"/>
      <c r="C5622" s="89"/>
      <c r="D5622" s="89"/>
      <c r="E5622" s="90"/>
      <c r="F5622" s="91">
        <v>170</v>
      </c>
      <c r="G5622" s="92"/>
      <c r="H5622" s="93"/>
      <c r="I5622" s="94">
        <v>10890465</v>
      </c>
      <c r="J5622" s="95"/>
      <c r="K5622" s="96"/>
      <c r="L5622" s="109"/>
      <c r="M5622" s="109"/>
      <c r="N5622" s="109"/>
    </row>
    <row r="5623" spans="1:14" ht="15" customHeight="1" x14ac:dyDescent="0.2">
      <c r="A5623" s="88" t="s">
        <v>7111</v>
      </c>
      <c r="B5623" s="89"/>
      <c r="C5623" s="89"/>
      <c r="D5623" s="89"/>
      <c r="E5623" s="90"/>
      <c r="F5623" s="91">
        <v>170</v>
      </c>
      <c r="G5623" s="92"/>
      <c r="H5623" s="93"/>
      <c r="I5623" s="94">
        <v>12478657</v>
      </c>
      <c r="J5623" s="95"/>
      <c r="K5623" s="96"/>
      <c r="L5623" s="109"/>
      <c r="M5623" s="109"/>
      <c r="N5623" s="109"/>
    </row>
    <row r="5624" spans="1:14" ht="15.75" customHeight="1" x14ac:dyDescent="0.2">
      <c r="A5624" s="109"/>
      <c r="B5624" s="109"/>
      <c r="C5624" s="109"/>
      <c r="D5624" s="109"/>
      <c r="E5624" s="109"/>
      <c r="F5624" s="109"/>
      <c r="G5624" s="109"/>
      <c r="H5624" s="109"/>
      <c r="I5624" s="109"/>
      <c r="J5624" s="109"/>
      <c r="K5624" s="109"/>
      <c r="L5624" s="109"/>
      <c r="M5624" s="109"/>
      <c r="N5624" s="109"/>
    </row>
    <row r="5625" spans="1:14" ht="30.75" customHeight="1" x14ac:dyDescent="0.2">
      <c r="A5625" s="113" t="s">
        <v>7112</v>
      </c>
      <c r="B5625" s="114"/>
      <c r="C5625" s="114"/>
      <c r="D5625" s="114"/>
      <c r="E5625" s="114"/>
      <c r="F5625" s="114"/>
      <c r="G5625" s="114"/>
      <c r="H5625" s="114"/>
      <c r="I5625" s="114"/>
      <c r="J5625" s="114"/>
      <c r="K5625" s="115"/>
      <c r="L5625" s="122"/>
      <c r="M5625" s="122"/>
      <c r="N5625" s="122"/>
    </row>
    <row r="5626" spans="1:14" ht="21.95" customHeight="1" x14ac:dyDescent="0.2">
      <c r="A5626" s="106"/>
      <c r="B5626" s="107"/>
      <c r="C5626" s="107"/>
      <c r="D5626" s="107"/>
      <c r="E5626" s="108"/>
      <c r="F5626" s="106"/>
      <c r="G5626" s="107"/>
      <c r="H5626" s="108"/>
      <c r="I5626" s="123" t="s">
        <v>7113</v>
      </c>
      <c r="J5626" s="124"/>
      <c r="K5626" s="125"/>
      <c r="L5626" s="109"/>
      <c r="M5626" s="109"/>
      <c r="N5626" s="109"/>
    </row>
    <row r="5627" spans="1:14" ht="15" customHeight="1" x14ac:dyDescent="0.2">
      <c r="A5627" s="88" t="s">
        <v>7114</v>
      </c>
      <c r="B5627" s="89"/>
      <c r="C5627" s="89"/>
      <c r="D5627" s="89"/>
      <c r="E5627" s="90"/>
      <c r="F5627" s="106"/>
      <c r="G5627" s="107"/>
      <c r="H5627" s="108"/>
      <c r="I5627" s="94">
        <v>8732252</v>
      </c>
      <c r="J5627" s="95"/>
      <c r="K5627" s="96"/>
      <c r="L5627" s="109"/>
      <c r="M5627" s="109"/>
      <c r="N5627" s="109"/>
    </row>
    <row r="5628" spans="1:14" ht="15" customHeight="1" x14ac:dyDescent="0.2">
      <c r="A5628" s="88" t="s">
        <v>7115</v>
      </c>
      <c r="B5628" s="89"/>
      <c r="C5628" s="89"/>
      <c r="D5628" s="89"/>
      <c r="E5628" s="90"/>
      <c r="F5628" s="106"/>
      <c r="G5628" s="107"/>
      <c r="H5628" s="108"/>
      <c r="I5628" s="94">
        <v>9806991</v>
      </c>
      <c r="J5628" s="95"/>
      <c r="K5628" s="96"/>
      <c r="L5628" s="109"/>
      <c r="M5628" s="109"/>
      <c r="N5628" s="109"/>
    </row>
    <row r="5629" spans="1:14" ht="15" customHeight="1" x14ac:dyDescent="0.2">
      <c r="A5629" s="88" t="s">
        <v>7116</v>
      </c>
      <c r="B5629" s="89"/>
      <c r="C5629" s="89"/>
      <c r="D5629" s="89"/>
      <c r="E5629" s="90"/>
      <c r="F5629" s="106"/>
      <c r="G5629" s="107"/>
      <c r="H5629" s="108"/>
      <c r="I5629" s="94">
        <v>23308396</v>
      </c>
      <c r="J5629" s="95"/>
      <c r="K5629" s="96"/>
      <c r="L5629" s="109"/>
      <c r="M5629" s="109"/>
      <c r="N5629" s="109"/>
    </row>
    <row r="5630" spans="1:14" ht="15" customHeight="1" x14ac:dyDescent="0.2">
      <c r="A5630" s="88" t="s">
        <v>7117</v>
      </c>
      <c r="B5630" s="89"/>
      <c r="C5630" s="89"/>
      <c r="D5630" s="89"/>
      <c r="E5630" s="90"/>
      <c r="F5630" s="106"/>
      <c r="G5630" s="107"/>
      <c r="H5630" s="108"/>
      <c r="I5630" s="94">
        <v>15986738</v>
      </c>
      <c r="J5630" s="95"/>
      <c r="K5630" s="96"/>
      <c r="L5630" s="109"/>
      <c r="M5630" s="109"/>
      <c r="N5630" s="109"/>
    </row>
    <row r="5631" spans="1:14" ht="15" customHeight="1" x14ac:dyDescent="0.2">
      <c r="A5631" s="88" t="s">
        <v>7118</v>
      </c>
      <c r="B5631" s="89"/>
      <c r="C5631" s="89"/>
      <c r="D5631" s="89"/>
      <c r="E5631" s="90"/>
      <c r="F5631" s="106"/>
      <c r="G5631" s="107"/>
      <c r="H5631" s="108"/>
      <c r="I5631" s="94">
        <v>19412468</v>
      </c>
      <c r="J5631" s="95"/>
      <c r="K5631" s="96"/>
      <c r="L5631" s="109"/>
      <c r="M5631" s="109"/>
      <c r="N5631" s="109"/>
    </row>
    <row r="5632" spans="1:14" ht="14.25" customHeight="1" x14ac:dyDescent="0.2">
      <c r="A5632" s="109"/>
      <c r="B5632" s="109"/>
      <c r="C5632" s="109"/>
      <c r="D5632" s="109"/>
      <c r="E5632" s="109"/>
      <c r="F5632" s="109"/>
      <c r="G5632" s="109"/>
      <c r="H5632" s="109"/>
      <c r="I5632" s="109"/>
      <c r="J5632" s="109"/>
      <c r="K5632" s="109"/>
      <c r="L5632" s="109"/>
      <c r="M5632" s="109"/>
      <c r="N5632" s="109"/>
    </row>
    <row r="5633" spans="1:14" ht="30.75" customHeight="1" x14ac:dyDescent="0.2">
      <c r="A5633" s="113" t="s">
        <v>7119</v>
      </c>
      <c r="B5633" s="114"/>
      <c r="C5633" s="114"/>
      <c r="D5633" s="114"/>
      <c r="E5633" s="114"/>
      <c r="F5633" s="114"/>
      <c r="G5633" s="114"/>
      <c r="H5633" s="114"/>
      <c r="I5633" s="114"/>
      <c r="J5633" s="114"/>
      <c r="K5633" s="115"/>
      <c r="L5633" s="122"/>
      <c r="M5633" s="122"/>
      <c r="N5633" s="122"/>
    </row>
    <row r="5634" spans="1:14" ht="23.1" customHeight="1" x14ac:dyDescent="0.2">
      <c r="A5634" s="106"/>
      <c r="B5634" s="107"/>
      <c r="C5634" s="107"/>
      <c r="D5634" s="107"/>
      <c r="E5634" s="108"/>
      <c r="F5634" s="106"/>
      <c r="G5634" s="107"/>
      <c r="H5634" s="108"/>
      <c r="I5634" s="123" t="s">
        <v>7113</v>
      </c>
      <c r="J5634" s="124"/>
      <c r="K5634" s="125"/>
      <c r="L5634" s="109"/>
      <c r="M5634" s="109"/>
      <c r="N5634" s="109"/>
    </row>
    <row r="5635" spans="1:14" ht="15" customHeight="1" x14ac:dyDescent="0.2">
      <c r="A5635" s="88" t="s">
        <v>7120</v>
      </c>
      <c r="B5635" s="89"/>
      <c r="C5635" s="89"/>
      <c r="D5635" s="89"/>
      <c r="E5635" s="90"/>
      <c r="F5635" s="91">
        <v>143</v>
      </c>
      <c r="G5635" s="92"/>
      <c r="H5635" s="93"/>
      <c r="I5635" s="94">
        <v>14931085</v>
      </c>
      <c r="J5635" s="95"/>
      <c r="K5635" s="96"/>
      <c r="L5635" s="109"/>
      <c r="M5635" s="109"/>
      <c r="N5635" s="109"/>
    </row>
    <row r="5636" spans="1:14" ht="15" customHeight="1" x14ac:dyDescent="0.2">
      <c r="A5636" s="88" t="s">
        <v>7121</v>
      </c>
      <c r="B5636" s="89"/>
      <c r="C5636" s="89"/>
      <c r="D5636" s="89"/>
      <c r="E5636" s="90"/>
      <c r="F5636" s="91">
        <v>165</v>
      </c>
      <c r="G5636" s="92"/>
      <c r="H5636" s="93"/>
      <c r="I5636" s="94">
        <v>18116219</v>
      </c>
      <c r="J5636" s="95"/>
      <c r="K5636" s="96"/>
      <c r="L5636" s="109"/>
      <c r="M5636" s="109"/>
      <c r="N5636" s="109"/>
    </row>
    <row r="5637" spans="1:14" ht="15" customHeight="1" x14ac:dyDescent="0.2">
      <c r="A5637" s="88" t="s">
        <v>7122</v>
      </c>
      <c r="B5637" s="89"/>
      <c r="C5637" s="89"/>
      <c r="D5637" s="89"/>
      <c r="E5637" s="90"/>
      <c r="F5637" s="91">
        <v>203</v>
      </c>
      <c r="G5637" s="92"/>
      <c r="H5637" s="93"/>
      <c r="I5637" s="94">
        <v>20316219</v>
      </c>
      <c r="J5637" s="95"/>
      <c r="K5637" s="96"/>
      <c r="L5637" s="109"/>
      <c r="M5637" s="109"/>
      <c r="N5637" s="109"/>
    </row>
    <row r="5638" spans="1:14" ht="15" customHeight="1" x14ac:dyDescent="0.2">
      <c r="A5638" s="88" t="s">
        <v>7123</v>
      </c>
      <c r="B5638" s="89"/>
      <c r="C5638" s="89"/>
      <c r="D5638" s="89"/>
      <c r="E5638" s="90"/>
      <c r="F5638" s="91">
        <v>203</v>
      </c>
      <c r="G5638" s="92"/>
      <c r="H5638" s="93"/>
      <c r="I5638" s="94">
        <v>22579664</v>
      </c>
      <c r="J5638" s="95"/>
      <c r="K5638" s="96"/>
      <c r="L5638" s="109"/>
      <c r="M5638" s="109"/>
      <c r="N5638" s="109"/>
    </row>
    <row r="5639" spans="1:14" ht="15" customHeight="1" x14ac:dyDescent="0.2">
      <c r="A5639" s="88" t="s">
        <v>7124</v>
      </c>
      <c r="B5639" s="89"/>
      <c r="C5639" s="89"/>
      <c r="D5639" s="89"/>
      <c r="E5639" s="90"/>
      <c r="F5639" s="91">
        <v>285</v>
      </c>
      <c r="G5639" s="92"/>
      <c r="H5639" s="93"/>
      <c r="I5639" s="94">
        <v>37399848</v>
      </c>
      <c r="J5639" s="95"/>
      <c r="K5639" s="96"/>
      <c r="L5639" s="109"/>
      <c r="M5639" s="109"/>
      <c r="N5639" s="109"/>
    </row>
    <row r="5640" spans="1:14" ht="15" customHeight="1" x14ac:dyDescent="0.2">
      <c r="A5640" s="88" t="s">
        <v>7125</v>
      </c>
      <c r="B5640" s="89"/>
      <c r="C5640" s="89"/>
      <c r="D5640" s="89"/>
      <c r="E5640" s="90"/>
      <c r="F5640" s="106"/>
      <c r="G5640" s="107"/>
      <c r="H5640" s="108"/>
      <c r="I5640" s="94">
        <v>8580000</v>
      </c>
      <c r="J5640" s="95"/>
      <c r="K5640" s="96"/>
    </row>
    <row r="5641" spans="1:14" ht="15" customHeight="1" x14ac:dyDescent="0.2">
      <c r="A5641" s="88" t="s">
        <v>7126</v>
      </c>
      <c r="B5641" s="89"/>
      <c r="C5641" s="89"/>
      <c r="D5641" s="89"/>
      <c r="E5641" s="90"/>
      <c r="F5641" s="106"/>
      <c r="G5641" s="107"/>
      <c r="H5641" s="108"/>
      <c r="I5641" s="94">
        <v>15620000</v>
      </c>
      <c r="J5641" s="95"/>
      <c r="K5641" s="96"/>
    </row>
    <row r="5642" spans="1:14" ht="15" customHeight="1" x14ac:dyDescent="0.2">
      <c r="A5642" s="88" t="s">
        <v>7127</v>
      </c>
      <c r="B5642" s="89"/>
      <c r="C5642" s="89"/>
      <c r="D5642" s="89"/>
      <c r="E5642" s="90"/>
      <c r="F5642" s="91">
        <v>204</v>
      </c>
      <c r="G5642" s="92"/>
      <c r="H5642" s="93"/>
      <c r="I5642" s="94">
        <v>30201441</v>
      </c>
      <c r="J5642" s="95"/>
      <c r="K5642" s="96"/>
    </row>
    <row r="5643" spans="1:14" ht="15" customHeight="1" x14ac:dyDescent="0.2">
      <c r="A5643" s="88" t="s">
        <v>7128</v>
      </c>
      <c r="B5643" s="89"/>
      <c r="C5643" s="89"/>
      <c r="D5643" s="89"/>
      <c r="E5643" s="90"/>
      <c r="F5643" s="91">
        <v>252</v>
      </c>
      <c r="G5643" s="92"/>
      <c r="H5643" s="93"/>
      <c r="I5643" s="94">
        <v>37399848</v>
      </c>
      <c r="J5643" s="95"/>
      <c r="K5643" s="96"/>
    </row>
    <row r="5644" spans="1:14" ht="15" customHeight="1" x14ac:dyDescent="0.2">
      <c r="A5644" s="88" t="s">
        <v>7129</v>
      </c>
      <c r="B5644" s="89"/>
      <c r="C5644" s="89"/>
      <c r="D5644" s="89"/>
      <c r="E5644" s="90"/>
      <c r="F5644" s="106"/>
      <c r="G5644" s="107"/>
      <c r="H5644" s="108"/>
      <c r="I5644" s="94">
        <v>1551937</v>
      </c>
      <c r="J5644" s="95"/>
      <c r="K5644" s="96"/>
    </row>
    <row r="5645" spans="1:14" ht="15" customHeight="1" x14ac:dyDescent="0.2">
      <c r="A5645" s="88" t="s">
        <v>7130</v>
      </c>
      <c r="B5645" s="89"/>
      <c r="C5645" s="89"/>
      <c r="D5645" s="89"/>
      <c r="E5645" s="90"/>
      <c r="F5645" s="106"/>
      <c r="G5645" s="107"/>
      <c r="H5645" s="108"/>
      <c r="I5645" s="94">
        <v>2386764</v>
      </c>
      <c r="J5645" s="95"/>
      <c r="K5645" s="96"/>
    </row>
    <row r="5646" spans="1:14" ht="15" customHeight="1" x14ac:dyDescent="0.2">
      <c r="A5646" s="88" t="s">
        <v>7131</v>
      </c>
      <c r="B5646" s="89"/>
      <c r="C5646" s="89"/>
      <c r="D5646" s="89"/>
      <c r="E5646" s="90"/>
      <c r="F5646" s="106"/>
      <c r="G5646" s="107"/>
      <c r="H5646" s="108"/>
      <c r="I5646" s="94">
        <v>2939959</v>
      </c>
      <c r="J5646" s="95"/>
      <c r="K5646" s="96"/>
    </row>
    <row r="5647" spans="1:14" ht="15" customHeight="1" x14ac:dyDescent="0.2">
      <c r="A5647" s="88" t="s">
        <v>7132</v>
      </c>
      <c r="B5647" s="89"/>
      <c r="C5647" s="89"/>
      <c r="D5647" s="89"/>
      <c r="E5647" s="90"/>
      <c r="F5647" s="106"/>
      <c r="G5647" s="107"/>
      <c r="H5647" s="108"/>
      <c r="I5647" s="94">
        <v>2939959</v>
      </c>
      <c r="J5647" s="95"/>
      <c r="K5647" s="96"/>
    </row>
    <row r="5648" spans="1:14" ht="15.75" customHeight="1" x14ac:dyDescent="0.2">
      <c r="A5648" s="109"/>
      <c r="B5648" s="109"/>
      <c r="C5648" s="109"/>
      <c r="D5648" s="109"/>
      <c r="E5648" s="109"/>
      <c r="F5648" s="109"/>
      <c r="G5648" s="109"/>
      <c r="H5648" s="109"/>
      <c r="I5648" s="109"/>
      <c r="J5648" s="109"/>
      <c r="K5648" s="109"/>
    </row>
    <row r="5649" spans="1:11" ht="30.75" customHeight="1" x14ac:dyDescent="0.2">
      <c r="A5649" s="113" t="s">
        <v>7133</v>
      </c>
      <c r="B5649" s="114"/>
      <c r="C5649" s="114"/>
      <c r="D5649" s="114"/>
      <c r="E5649" s="114"/>
      <c r="F5649" s="114"/>
      <c r="G5649" s="114"/>
      <c r="H5649" s="114"/>
      <c r="I5649" s="114"/>
      <c r="J5649" s="114"/>
      <c r="K5649" s="115"/>
    </row>
    <row r="5650" spans="1:11" ht="24" customHeight="1" x14ac:dyDescent="0.2">
      <c r="A5650" s="116"/>
      <c r="B5650" s="117"/>
      <c r="C5650" s="117"/>
      <c r="D5650" s="117"/>
      <c r="E5650" s="118"/>
      <c r="F5650" s="116"/>
      <c r="G5650" s="117"/>
      <c r="H5650" s="118"/>
      <c r="I5650" s="119" t="s">
        <v>7113</v>
      </c>
      <c r="J5650" s="120"/>
      <c r="K5650" s="121"/>
    </row>
    <row r="5651" spans="1:11" ht="15" customHeight="1" x14ac:dyDescent="0.2">
      <c r="A5651" s="88" t="s">
        <v>7134</v>
      </c>
      <c r="B5651" s="89"/>
      <c r="C5651" s="89"/>
      <c r="D5651" s="89"/>
      <c r="E5651" s="90"/>
      <c r="F5651" s="91">
        <v>57</v>
      </c>
      <c r="G5651" s="92"/>
      <c r="H5651" s="93"/>
      <c r="I5651" s="94">
        <v>2200000</v>
      </c>
      <c r="J5651" s="95"/>
      <c r="K5651" s="96"/>
    </row>
    <row r="5652" spans="1:11" ht="15" customHeight="1" x14ac:dyDescent="0.2">
      <c r="A5652" s="88" t="s">
        <v>7135</v>
      </c>
      <c r="B5652" s="89"/>
      <c r="C5652" s="89"/>
      <c r="D5652" s="89"/>
      <c r="E5652" s="90"/>
      <c r="F5652" s="91">
        <v>75</v>
      </c>
      <c r="G5652" s="92"/>
      <c r="H5652" s="93"/>
      <c r="I5652" s="94">
        <v>3190000</v>
      </c>
      <c r="J5652" s="95"/>
      <c r="K5652" s="96"/>
    </row>
    <row r="5653" spans="1:11" ht="15" customHeight="1" x14ac:dyDescent="0.2">
      <c r="A5653" s="88" t="s">
        <v>7136</v>
      </c>
      <c r="B5653" s="89"/>
      <c r="C5653" s="89"/>
      <c r="D5653" s="89"/>
      <c r="E5653" s="90"/>
      <c r="F5653" s="91">
        <v>75</v>
      </c>
      <c r="G5653" s="92"/>
      <c r="H5653" s="93"/>
      <c r="I5653" s="94">
        <v>3520000</v>
      </c>
      <c r="J5653" s="95"/>
      <c r="K5653" s="96"/>
    </row>
    <row r="5654" spans="1:11" ht="15" customHeight="1" x14ac:dyDescent="0.2">
      <c r="A5654" s="88" t="s">
        <v>7137</v>
      </c>
      <c r="B5654" s="89"/>
      <c r="C5654" s="89"/>
      <c r="D5654" s="89"/>
      <c r="E5654" s="90"/>
      <c r="F5654" s="91">
        <v>80</v>
      </c>
      <c r="G5654" s="92"/>
      <c r="H5654" s="93"/>
      <c r="I5654" s="94">
        <v>3410000</v>
      </c>
      <c r="J5654" s="95"/>
      <c r="K5654" s="96"/>
    </row>
    <row r="5655" spans="1:11" ht="15" customHeight="1" x14ac:dyDescent="0.2">
      <c r="A5655" s="88" t="s">
        <v>7138</v>
      </c>
      <c r="B5655" s="89"/>
      <c r="C5655" s="89"/>
      <c r="D5655" s="89"/>
      <c r="E5655" s="90"/>
      <c r="F5655" s="91">
        <v>80</v>
      </c>
      <c r="G5655" s="92"/>
      <c r="H5655" s="93"/>
      <c r="I5655" s="94">
        <v>4070000</v>
      </c>
      <c r="J5655" s="95"/>
      <c r="K5655" s="96"/>
    </row>
    <row r="5656" spans="1:11" ht="15" customHeight="1" x14ac:dyDescent="0.2">
      <c r="A5656" s="88" t="s">
        <v>7139</v>
      </c>
      <c r="B5656" s="89"/>
      <c r="C5656" s="89"/>
      <c r="D5656" s="89"/>
      <c r="E5656" s="90"/>
      <c r="F5656" s="91">
        <v>90</v>
      </c>
      <c r="G5656" s="92"/>
      <c r="H5656" s="93"/>
      <c r="I5656" s="94">
        <v>4730000</v>
      </c>
      <c r="J5656" s="95"/>
      <c r="K5656" s="96"/>
    </row>
    <row r="5657" spans="1:11" ht="15" customHeight="1" x14ac:dyDescent="0.2">
      <c r="A5657" s="88" t="s">
        <v>7140</v>
      </c>
      <c r="B5657" s="89"/>
      <c r="C5657" s="89"/>
      <c r="D5657" s="89"/>
      <c r="E5657" s="90"/>
      <c r="F5657" s="91">
        <v>90</v>
      </c>
      <c r="G5657" s="92"/>
      <c r="H5657" s="93"/>
      <c r="I5657" s="94">
        <v>5500000</v>
      </c>
      <c r="J5657" s="95"/>
      <c r="K5657" s="96"/>
    </row>
    <row r="5658" spans="1:11" ht="15" customHeight="1" x14ac:dyDescent="0.2">
      <c r="A5658" s="88" t="s">
        <v>7141</v>
      </c>
      <c r="B5658" s="89"/>
      <c r="C5658" s="89"/>
      <c r="D5658" s="89"/>
      <c r="E5658" s="90"/>
      <c r="F5658" s="91">
        <v>130</v>
      </c>
      <c r="G5658" s="92"/>
      <c r="H5658" s="93"/>
      <c r="I5658" s="94">
        <v>7260000</v>
      </c>
      <c r="J5658" s="95"/>
      <c r="K5658" s="96"/>
    </row>
    <row r="5659" spans="1:11" ht="15" customHeight="1" x14ac:dyDescent="0.2">
      <c r="A5659" s="88" t="s">
        <v>7142</v>
      </c>
      <c r="B5659" s="89"/>
      <c r="C5659" s="89"/>
      <c r="D5659" s="89"/>
      <c r="E5659" s="90"/>
      <c r="F5659" s="91">
        <v>42</v>
      </c>
      <c r="G5659" s="92"/>
      <c r="H5659" s="93"/>
      <c r="I5659" s="94">
        <v>1650000</v>
      </c>
      <c r="J5659" s="95"/>
      <c r="K5659" s="96"/>
    </row>
    <row r="5660" spans="1:11" ht="15" customHeight="1" x14ac:dyDescent="0.2">
      <c r="A5660" s="88" t="s">
        <v>7143</v>
      </c>
      <c r="B5660" s="89"/>
      <c r="C5660" s="89"/>
      <c r="D5660" s="89"/>
      <c r="E5660" s="90"/>
      <c r="F5660" s="91">
        <v>52</v>
      </c>
      <c r="G5660" s="92"/>
      <c r="H5660" s="93"/>
      <c r="I5660" s="94">
        <v>1870000</v>
      </c>
      <c r="J5660" s="95"/>
      <c r="K5660" s="96"/>
    </row>
    <row r="5661" spans="1:11" ht="15" customHeight="1" x14ac:dyDescent="0.2">
      <c r="A5661" s="88" t="s">
        <v>7144</v>
      </c>
      <c r="B5661" s="89"/>
      <c r="C5661" s="89"/>
      <c r="D5661" s="89"/>
      <c r="E5661" s="90"/>
      <c r="F5661" s="91">
        <v>60</v>
      </c>
      <c r="G5661" s="92"/>
      <c r="H5661" s="93"/>
      <c r="I5661" s="94">
        <v>3410000</v>
      </c>
      <c r="J5661" s="95"/>
      <c r="K5661" s="96"/>
    </row>
    <row r="5662" spans="1:11" ht="15" customHeight="1" x14ac:dyDescent="0.2">
      <c r="A5662" s="88" t="s">
        <v>7145</v>
      </c>
      <c r="B5662" s="89"/>
      <c r="C5662" s="89"/>
      <c r="D5662" s="89"/>
      <c r="E5662" s="90"/>
      <c r="F5662" s="91">
        <v>80</v>
      </c>
      <c r="G5662" s="92"/>
      <c r="H5662" s="93"/>
      <c r="I5662" s="94">
        <v>3960000</v>
      </c>
      <c r="J5662" s="95"/>
      <c r="K5662" s="96"/>
    </row>
    <row r="5663" spans="1:11" ht="15" customHeight="1" x14ac:dyDescent="0.2">
      <c r="A5663" s="88" t="s">
        <v>7146</v>
      </c>
      <c r="B5663" s="89"/>
      <c r="C5663" s="89"/>
      <c r="D5663" s="89"/>
      <c r="E5663" s="90"/>
      <c r="F5663" s="91">
        <v>95</v>
      </c>
      <c r="G5663" s="92"/>
      <c r="H5663" s="93"/>
      <c r="I5663" s="94">
        <v>4400000</v>
      </c>
      <c r="J5663" s="95"/>
      <c r="K5663" s="96"/>
    </row>
    <row r="5664" spans="1:11" ht="15" customHeight="1" x14ac:dyDescent="0.2">
      <c r="A5664" s="88" t="s">
        <v>7147</v>
      </c>
      <c r="B5664" s="89"/>
      <c r="C5664" s="89"/>
      <c r="D5664" s="89"/>
      <c r="E5664" s="90"/>
      <c r="F5664" s="91">
        <v>80</v>
      </c>
      <c r="G5664" s="92"/>
      <c r="H5664" s="93"/>
      <c r="I5664" s="94">
        <v>3850000</v>
      </c>
      <c r="J5664" s="95"/>
      <c r="K5664" s="96"/>
    </row>
    <row r="5665" spans="1:11" ht="15" customHeight="1" x14ac:dyDescent="0.2">
      <c r="A5665" s="88" t="s">
        <v>7148</v>
      </c>
      <c r="B5665" s="89"/>
      <c r="C5665" s="89"/>
      <c r="D5665" s="89"/>
      <c r="E5665" s="90"/>
      <c r="F5665" s="91">
        <v>170</v>
      </c>
      <c r="G5665" s="92"/>
      <c r="H5665" s="93"/>
      <c r="I5665" s="94">
        <v>15400000</v>
      </c>
      <c r="J5665" s="95"/>
      <c r="K5665" s="96"/>
    </row>
    <row r="5666" spans="1:11" ht="15" customHeight="1" x14ac:dyDescent="0.2">
      <c r="A5666" s="88" t="s">
        <v>7149</v>
      </c>
      <c r="B5666" s="89"/>
      <c r="C5666" s="89"/>
      <c r="D5666" s="89"/>
      <c r="E5666" s="90"/>
      <c r="F5666" s="106"/>
      <c r="G5666" s="107"/>
      <c r="H5666" s="108"/>
      <c r="I5666" s="94">
        <v>2750000</v>
      </c>
      <c r="J5666" s="95"/>
      <c r="K5666" s="96"/>
    </row>
    <row r="5667" spans="1:11" ht="18.95" customHeight="1" x14ac:dyDescent="0.2">
      <c r="A5667" s="110" t="s">
        <v>7150</v>
      </c>
      <c r="B5667" s="111"/>
      <c r="C5667" s="111"/>
      <c r="D5667" s="111"/>
      <c r="E5667" s="111"/>
      <c r="F5667" s="111"/>
      <c r="G5667" s="111"/>
      <c r="H5667" s="111"/>
      <c r="I5667" s="111"/>
      <c r="J5667" s="111"/>
      <c r="K5667" s="112"/>
    </row>
    <row r="5668" spans="1:11" ht="15" customHeight="1" x14ac:dyDescent="0.2">
      <c r="A5668" s="88" t="s">
        <v>7151</v>
      </c>
      <c r="B5668" s="89"/>
      <c r="C5668" s="89"/>
      <c r="D5668" s="89"/>
      <c r="E5668" s="90"/>
      <c r="F5668" s="91">
        <v>46</v>
      </c>
      <c r="G5668" s="92"/>
      <c r="H5668" s="93"/>
      <c r="I5668" s="94">
        <v>2620794</v>
      </c>
      <c r="J5668" s="95"/>
      <c r="K5668" s="96"/>
    </row>
    <row r="5669" spans="1:11" ht="15" customHeight="1" x14ac:dyDescent="0.2">
      <c r="A5669" s="88" t="s">
        <v>7152</v>
      </c>
      <c r="B5669" s="89"/>
      <c r="C5669" s="89"/>
      <c r="D5669" s="89"/>
      <c r="E5669" s="90"/>
      <c r="F5669" s="91">
        <v>46</v>
      </c>
      <c r="G5669" s="92"/>
      <c r="H5669" s="93"/>
      <c r="I5669" s="94">
        <v>3129772</v>
      </c>
      <c r="J5669" s="95"/>
      <c r="K5669" s="96"/>
    </row>
    <row r="5670" spans="1:11" ht="15" customHeight="1" x14ac:dyDescent="0.2">
      <c r="A5670" s="88" t="s">
        <v>7153</v>
      </c>
      <c r="B5670" s="89"/>
      <c r="C5670" s="89"/>
      <c r="D5670" s="89"/>
      <c r="E5670" s="90"/>
      <c r="F5670" s="91">
        <v>73</v>
      </c>
      <c r="G5670" s="92"/>
      <c r="H5670" s="93"/>
      <c r="I5670" s="94">
        <v>3641509</v>
      </c>
      <c r="J5670" s="95"/>
      <c r="K5670" s="96"/>
    </row>
    <row r="5671" spans="1:11" ht="15" customHeight="1" x14ac:dyDescent="0.2">
      <c r="A5671" s="88" t="s">
        <v>7154</v>
      </c>
      <c r="B5671" s="89"/>
      <c r="C5671" s="89"/>
      <c r="D5671" s="89"/>
      <c r="E5671" s="90"/>
      <c r="F5671" s="91">
        <v>20</v>
      </c>
      <c r="G5671" s="92"/>
      <c r="H5671" s="93"/>
      <c r="I5671" s="94">
        <v>1448758</v>
      </c>
      <c r="J5671" s="95"/>
      <c r="K5671" s="96"/>
    </row>
    <row r="5672" spans="1:11" ht="15" customHeight="1" x14ac:dyDescent="0.2">
      <c r="A5672" s="88" t="s">
        <v>7155</v>
      </c>
      <c r="B5672" s="89"/>
      <c r="C5672" s="89"/>
      <c r="D5672" s="89"/>
      <c r="E5672" s="90"/>
      <c r="F5672" s="106"/>
      <c r="G5672" s="107"/>
      <c r="H5672" s="108"/>
      <c r="I5672" s="94">
        <v>615232</v>
      </c>
      <c r="J5672" s="95"/>
      <c r="K5672" s="96"/>
    </row>
    <row r="5673" spans="1:11" ht="15.75" customHeight="1" x14ac:dyDescent="0.2">
      <c r="A5673" s="109"/>
      <c r="B5673" s="109"/>
      <c r="C5673" s="109"/>
      <c r="D5673" s="109"/>
      <c r="E5673" s="109"/>
      <c r="F5673" s="109"/>
      <c r="G5673" s="109"/>
      <c r="H5673" s="109"/>
      <c r="I5673" s="109"/>
      <c r="J5673" s="109"/>
      <c r="K5673" s="109"/>
    </row>
    <row r="5674" spans="1:11" ht="18.95" customHeight="1" x14ac:dyDescent="0.2">
      <c r="A5674" s="110" t="s">
        <v>7156</v>
      </c>
      <c r="B5674" s="111"/>
      <c r="C5674" s="111"/>
      <c r="D5674" s="111"/>
      <c r="E5674" s="111"/>
      <c r="F5674" s="111"/>
      <c r="G5674" s="111"/>
      <c r="H5674" s="111"/>
      <c r="I5674" s="111"/>
      <c r="J5674" s="111"/>
      <c r="K5674" s="112"/>
    </row>
    <row r="5675" spans="1:11" ht="15" customHeight="1" x14ac:dyDescent="0.2">
      <c r="A5675" s="88" t="s">
        <v>7157</v>
      </c>
      <c r="B5675" s="89"/>
      <c r="C5675" s="89"/>
      <c r="D5675" s="89"/>
      <c r="E5675" s="90"/>
      <c r="F5675" s="106"/>
      <c r="G5675" s="107"/>
      <c r="H5675" s="108"/>
      <c r="I5675" s="94">
        <v>23580480</v>
      </c>
      <c r="J5675" s="95"/>
      <c r="K5675" s="96"/>
    </row>
    <row r="5676" spans="1:11" ht="15" customHeight="1" x14ac:dyDescent="0.2">
      <c r="A5676" s="88" t="s">
        <v>7158</v>
      </c>
      <c r="B5676" s="89"/>
      <c r="C5676" s="89"/>
      <c r="D5676" s="89"/>
      <c r="E5676" s="90"/>
      <c r="F5676" s="106"/>
      <c r="G5676" s="107"/>
      <c r="H5676" s="108"/>
      <c r="I5676" s="94">
        <v>14780967</v>
      </c>
      <c r="J5676" s="95"/>
      <c r="K5676" s="96"/>
    </row>
    <row r="5677" spans="1:11" ht="15" customHeight="1" x14ac:dyDescent="0.2">
      <c r="A5677" s="88" t="s">
        <v>7159</v>
      </c>
      <c r="B5677" s="89"/>
      <c r="C5677" s="89"/>
      <c r="D5677" s="89"/>
      <c r="E5677" s="90"/>
      <c r="F5677" s="106"/>
      <c r="G5677" s="107"/>
      <c r="H5677" s="108"/>
      <c r="I5677" s="94">
        <v>8363300</v>
      </c>
      <c r="J5677" s="95"/>
      <c r="K5677" s="96"/>
    </row>
    <row r="5678" spans="1:11" ht="30.75" customHeight="1" x14ac:dyDescent="0.2">
      <c r="A5678" s="113" t="s">
        <v>7160</v>
      </c>
      <c r="B5678" s="114"/>
      <c r="C5678" s="114"/>
      <c r="D5678" s="114"/>
      <c r="E5678" s="114"/>
      <c r="F5678" s="114"/>
      <c r="G5678" s="114"/>
      <c r="H5678" s="114"/>
      <c r="I5678" s="114"/>
      <c r="J5678" s="114"/>
      <c r="K5678" s="115"/>
    </row>
    <row r="5679" spans="1:11" ht="15" customHeight="1" x14ac:dyDescent="0.2">
      <c r="A5679" s="88" t="s">
        <v>7161</v>
      </c>
      <c r="B5679" s="89"/>
      <c r="C5679" s="89"/>
      <c r="D5679" s="89"/>
      <c r="E5679" s="90"/>
      <c r="F5679" s="106"/>
      <c r="G5679" s="107"/>
      <c r="H5679" s="108"/>
      <c r="I5679" s="94">
        <v>9187200</v>
      </c>
      <c r="J5679" s="95"/>
      <c r="K5679" s="96"/>
    </row>
    <row r="5680" spans="1:11" ht="15" customHeight="1" x14ac:dyDescent="0.2">
      <c r="A5680" s="88" t="s">
        <v>7162</v>
      </c>
      <c r="B5680" s="89"/>
      <c r="C5680" s="89"/>
      <c r="D5680" s="89"/>
      <c r="E5680" s="90"/>
      <c r="F5680" s="106"/>
      <c r="G5680" s="107"/>
      <c r="H5680" s="108"/>
      <c r="I5680" s="94">
        <v>7018000</v>
      </c>
      <c r="J5680" s="95"/>
      <c r="K5680" s="96"/>
    </row>
    <row r="5681" spans="1:11" ht="15.75" customHeight="1" x14ac:dyDescent="0.2">
      <c r="A5681" s="109"/>
      <c r="B5681" s="109"/>
      <c r="C5681" s="109"/>
      <c r="D5681" s="109"/>
      <c r="E5681" s="109"/>
      <c r="F5681" s="109"/>
      <c r="G5681" s="109"/>
      <c r="H5681" s="109"/>
      <c r="I5681" s="109"/>
      <c r="J5681" s="109"/>
      <c r="K5681" s="109"/>
    </row>
    <row r="5682" spans="1:11" ht="26.1" customHeight="1" x14ac:dyDescent="0.2">
      <c r="A5682" s="110" t="s">
        <v>7163</v>
      </c>
      <c r="B5682" s="111"/>
      <c r="C5682" s="111"/>
      <c r="D5682" s="111"/>
      <c r="E5682" s="111"/>
      <c r="F5682" s="111"/>
      <c r="G5682" s="111"/>
      <c r="H5682" s="111"/>
      <c r="I5682" s="111"/>
      <c r="J5682" s="111"/>
      <c r="K5682" s="112"/>
    </row>
    <row r="5683" spans="1:11" ht="15" customHeight="1" x14ac:dyDescent="0.2">
      <c r="A5683" s="88" t="s">
        <v>7164</v>
      </c>
      <c r="B5683" s="89"/>
      <c r="C5683" s="89"/>
      <c r="D5683" s="89"/>
      <c r="E5683" s="90"/>
      <c r="F5683" s="106"/>
      <c r="G5683" s="107"/>
      <c r="H5683" s="108"/>
      <c r="I5683" s="94">
        <v>9020000</v>
      </c>
      <c r="J5683" s="95"/>
      <c r="K5683" s="96"/>
    </row>
    <row r="5684" spans="1:11" ht="15" customHeight="1" x14ac:dyDescent="0.2">
      <c r="A5684" s="110" t="s">
        <v>7165</v>
      </c>
      <c r="B5684" s="111"/>
      <c r="C5684" s="111"/>
      <c r="D5684" s="111"/>
      <c r="E5684" s="111"/>
      <c r="F5684" s="111"/>
      <c r="G5684" s="111"/>
      <c r="H5684" s="111"/>
      <c r="I5684" s="111"/>
      <c r="J5684" s="111"/>
      <c r="K5684" s="112"/>
    </row>
    <row r="5685" spans="1:11" ht="14.1" customHeight="1" x14ac:dyDescent="0.2">
      <c r="A5685" s="106"/>
      <c r="B5685" s="107"/>
      <c r="C5685" s="107"/>
      <c r="D5685" s="107"/>
      <c r="E5685" s="108"/>
      <c r="F5685" s="106"/>
      <c r="G5685" s="107"/>
      <c r="H5685" s="108"/>
      <c r="I5685" s="106"/>
      <c r="J5685" s="107"/>
      <c r="K5685" s="108"/>
    </row>
    <row r="5686" spans="1:11" ht="15" customHeight="1" x14ac:dyDescent="0.2">
      <c r="A5686" s="88" t="s">
        <v>7166</v>
      </c>
      <c r="B5686" s="89"/>
      <c r="C5686" s="89"/>
      <c r="D5686" s="89"/>
      <c r="E5686" s="90"/>
      <c r="F5686" s="91">
        <v>38</v>
      </c>
      <c r="G5686" s="92"/>
      <c r="H5686" s="93"/>
      <c r="I5686" s="94">
        <v>3103588</v>
      </c>
      <c r="J5686" s="95"/>
      <c r="K5686" s="96"/>
    </row>
    <row r="5687" spans="1:11" ht="15" customHeight="1" x14ac:dyDescent="0.2">
      <c r="A5687" s="88" t="s">
        <v>7167</v>
      </c>
      <c r="B5687" s="89"/>
      <c r="C5687" s="89"/>
      <c r="D5687" s="89"/>
      <c r="E5687" s="90"/>
      <c r="F5687" s="91">
        <v>55</v>
      </c>
      <c r="G5687" s="92"/>
      <c r="H5687" s="93"/>
      <c r="I5687" s="94">
        <v>3236289</v>
      </c>
      <c r="J5687" s="95"/>
      <c r="K5687" s="96"/>
    </row>
    <row r="5688" spans="1:11" ht="15" customHeight="1" x14ac:dyDescent="0.2">
      <c r="A5688" s="88" t="s">
        <v>7168</v>
      </c>
      <c r="B5688" s="89"/>
      <c r="C5688" s="89"/>
      <c r="D5688" s="89"/>
      <c r="E5688" s="90"/>
      <c r="F5688" s="91">
        <v>65</v>
      </c>
      <c r="G5688" s="92"/>
      <c r="H5688" s="93"/>
      <c r="I5688" s="94">
        <v>3788826</v>
      </c>
      <c r="J5688" s="95"/>
      <c r="K5688" s="96"/>
    </row>
    <row r="5689" spans="1:11" ht="15" customHeight="1" x14ac:dyDescent="0.2">
      <c r="A5689" s="88" t="s">
        <v>7169</v>
      </c>
      <c r="B5689" s="89"/>
      <c r="C5689" s="89"/>
      <c r="D5689" s="89"/>
      <c r="E5689" s="90"/>
      <c r="F5689" s="91">
        <v>65</v>
      </c>
      <c r="G5689" s="92"/>
      <c r="H5689" s="93"/>
      <c r="I5689" s="94">
        <v>4152608</v>
      </c>
      <c r="J5689" s="95"/>
      <c r="K5689" s="96"/>
    </row>
    <row r="5690" spans="1:11" ht="15" customHeight="1" x14ac:dyDescent="0.2">
      <c r="A5690" s="88" t="s">
        <v>7170</v>
      </c>
      <c r="B5690" s="89"/>
      <c r="C5690" s="89"/>
      <c r="D5690" s="89"/>
      <c r="E5690" s="90"/>
      <c r="F5690" s="91">
        <v>75</v>
      </c>
      <c r="G5690" s="92"/>
      <c r="H5690" s="93"/>
      <c r="I5690" s="94">
        <v>4332211</v>
      </c>
      <c r="J5690" s="95"/>
      <c r="K5690" s="96"/>
    </row>
    <row r="5691" spans="1:11" ht="15" customHeight="1" x14ac:dyDescent="0.2">
      <c r="A5691" s="88" t="s">
        <v>7171</v>
      </c>
      <c r="B5691" s="89"/>
      <c r="C5691" s="89"/>
      <c r="D5691" s="89"/>
      <c r="E5691" s="90"/>
      <c r="F5691" s="91">
        <v>75</v>
      </c>
      <c r="G5691" s="92"/>
      <c r="H5691" s="93"/>
      <c r="I5691" s="94">
        <v>4573589</v>
      </c>
      <c r="J5691" s="95"/>
      <c r="K5691" s="96"/>
    </row>
    <row r="5692" spans="1:11" ht="15" customHeight="1" x14ac:dyDescent="0.2">
      <c r="A5692" s="88" t="s">
        <v>7172</v>
      </c>
      <c r="B5692" s="89"/>
      <c r="C5692" s="89"/>
      <c r="D5692" s="89"/>
      <c r="E5692" s="90"/>
      <c r="F5692" s="91">
        <v>90</v>
      </c>
      <c r="G5692" s="92"/>
      <c r="H5692" s="93"/>
      <c r="I5692" s="94">
        <v>6350173</v>
      </c>
      <c r="J5692" s="95"/>
      <c r="K5692" s="96"/>
    </row>
    <row r="5693" spans="1:11" ht="15" customHeight="1" x14ac:dyDescent="0.2">
      <c r="A5693" s="88" t="s">
        <v>7173</v>
      </c>
      <c r="B5693" s="89"/>
      <c r="C5693" s="89"/>
      <c r="D5693" s="89"/>
      <c r="E5693" s="90"/>
      <c r="F5693" s="91">
        <v>90</v>
      </c>
      <c r="G5693" s="92"/>
      <c r="H5693" s="93"/>
      <c r="I5693" s="94">
        <v>7025115</v>
      </c>
      <c r="J5693" s="95"/>
      <c r="K5693" s="96"/>
    </row>
    <row r="5694" spans="1:11" ht="15" customHeight="1" x14ac:dyDescent="0.2">
      <c r="A5694" s="88" t="s">
        <v>7174</v>
      </c>
      <c r="B5694" s="89"/>
      <c r="C5694" s="89"/>
      <c r="D5694" s="89"/>
      <c r="E5694" s="90"/>
      <c r="F5694" s="91">
        <v>90</v>
      </c>
      <c r="G5694" s="92"/>
      <c r="H5694" s="93"/>
      <c r="I5694" s="94">
        <v>6210609</v>
      </c>
      <c r="J5694" s="95"/>
      <c r="K5694" s="96"/>
    </row>
    <row r="5695" spans="1:11" ht="15" customHeight="1" x14ac:dyDescent="0.2">
      <c r="A5695" s="88" t="s">
        <v>7175</v>
      </c>
      <c r="B5695" s="89"/>
      <c r="C5695" s="89"/>
      <c r="D5695" s="89"/>
      <c r="E5695" s="90"/>
      <c r="F5695" s="91">
        <v>90</v>
      </c>
      <c r="G5695" s="92"/>
      <c r="H5695" s="93"/>
      <c r="I5695" s="94">
        <v>7637138</v>
      </c>
      <c r="J5695" s="95"/>
      <c r="K5695" s="96"/>
    </row>
    <row r="5696" spans="1:11" ht="15" customHeight="1" x14ac:dyDescent="0.2">
      <c r="A5696" s="88" t="s">
        <v>7176</v>
      </c>
      <c r="B5696" s="89"/>
      <c r="C5696" s="89"/>
      <c r="D5696" s="89"/>
      <c r="E5696" s="90"/>
      <c r="F5696" s="91">
        <v>90</v>
      </c>
      <c r="G5696" s="92"/>
      <c r="H5696" s="93"/>
      <c r="I5696" s="94">
        <v>8305216</v>
      </c>
      <c r="J5696" s="95"/>
      <c r="K5696" s="96"/>
    </row>
    <row r="5697" spans="1:11" ht="15" customHeight="1" x14ac:dyDescent="0.2">
      <c r="A5697" s="88" t="s">
        <v>7177</v>
      </c>
      <c r="B5697" s="89"/>
      <c r="C5697" s="89"/>
      <c r="D5697" s="89"/>
      <c r="E5697" s="90"/>
      <c r="F5697" s="91">
        <v>90</v>
      </c>
      <c r="G5697" s="92"/>
      <c r="H5697" s="93"/>
      <c r="I5697" s="94">
        <v>8141629</v>
      </c>
      <c r="J5697" s="95"/>
      <c r="K5697" s="96"/>
    </row>
    <row r="5698" spans="1:11" ht="15" customHeight="1" x14ac:dyDescent="0.2">
      <c r="A5698" s="88" t="s">
        <v>7178</v>
      </c>
      <c r="B5698" s="89"/>
      <c r="C5698" s="89"/>
      <c r="D5698" s="89"/>
      <c r="E5698" s="90"/>
      <c r="F5698" s="91">
        <v>90</v>
      </c>
      <c r="G5698" s="92"/>
      <c r="H5698" s="93"/>
      <c r="I5698" s="94">
        <v>9500664</v>
      </c>
      <c r="J5698" s="95"/>
      <c r="K5698" s="96"/>
    </row>
    <row r="5699" spans="1:11" ht="30" customHeight="1" x14ac:dyDescent="0.2">
      <c r="A5699" s="97" t="s">
        <v>7179</v>
      </c>
      <c r="B5699" s="98"/>
      <c r="C5699" s="98"/>
      <c r="D5699" s="98"/>
      <c r="E5699" s="99"/>
      <c r="F5699" s="91">
        <v>83</v>
      </c>
      <c r="G5699" s="92"/>
      <c r="H5699" s="93"/>
      <c r="I5699" s="94">
        <v>6570959</v>
      </c>
      <c r="J5699" s="95"/>
      <c r="K5699" s="96"/>
    </row>
    <row r="5700" spans="1:11" ht="30.75" customHeight="1" x14ac:dyDescent="0.2">
      <c r="A5700" s="97" t="s">
        <v>7180</v>
      </c>
      <c r="B5700" s="98"/>
      <c r="C5700" s="98"/>
      <c r="D5700" s="98"/>
      <c r="E5700" s="99"/>
      <c r="F5700" s="100">
        <v>83</v>
      </c>
      <c r="G5700" s="101"/>
      <c r="H5700" s="102"/>
      <c r="I5700" s="103">
        <v>7631419</v>
      </c>
      <c r="J5700" s="104"/>
      <c r="K5700" s="105"/>
    </row>
    <row r="5701" spans="1:11" ht="15" customHeight="1" x14ac:dyDescent="0.2">
      <c r="A5701" s="88" t="s">
        <v>7181</v>
      </c>
      <c r="B5701" s="89"/>
      <c r="C5701" s="89"/>
      <c r="D5701" s="89"/>
      <c r="E5701" s="90"/>
      <c r="F5701" s="91">
        <v>83</v>
      </c>
      <c r="G5701" s="92"/>
      <c r="H5701" s="93"/>
      <c r="I5701" s="94">
        <v>7972321</v>
      </c>
      <c r="J5701" s="95"/>
      <c r="K5701" s="96"/>
    </row>
    <row r="5702" spans="1:11" ht="15" customHeight="1" x14ac:dyDescent="0.2">
      <c r="A5702" s="88" t="s">
        <v>7182</v>
      </c>
      <c r="B5702" s="89"/>
      <c r="C5702" s="89"/>
      <c r="D5702" s="89"/>
      <c r="E5702" s="90"/>
      <c r="F5702" s="91">
        <v>83</v>
      </c>
      <c r="G5702" s="92"/>
      <c r="H5702" s="93"/>
      <c r="I5702" s="94">
        <v>9030493</v>
      </c>
      <c r="J5702" s="95"/>
      <c r="K5702" s="96"/>
    </row>
    <row r="5703" spans="1:11" ht="15" customHeight="1" x14ac:dyDescent="0.2">
      <c r="A5703" s="88" t="s">
        <v>7183</v>
      </c>
      <c r="B5703" s="89"/>
      <c r="C5703" s="89"/>
      <c r="D5703" s="89"/>
      <c r="E5703" s="90"/>
      <c r="F5703" s="91">
        <v>100</v>
      </c>
      <c r="G5703" s="92"/>
      <c r="H5703" s="93"/>
      <c r="I5703" s="94">
        <v>7660018</v>
      </c>
      <c r="J5703" s="95"/>
      <c r="K5703" s="96"/>
    </row>
    <row r="5704" spans="1:11" ht="15" customHeight="1" x14ac:dyDescent="0.2">
      <c r="A5704" s="88" t="s">
        <v>7184</v>
      </c>
      <c r="B5704" s="89"/>
      <c r="C5704" s="89"/>
      <c r="D5704" s="89"/>
      <c r="E5704" s="90"/>
      <c r="F5704" s="91">
        <v>100</v>
      </c>
      <c r="G5704" s="92"/>
      <c r="H5704" s="93"/>
      <c r="I5704" s="94">
        <v>8619808</v>
      </c>
      <c r="J5704" s="95"/>
      <c r="K5704" s="96"/>
    </row>
    <row r="5705" spans="1:11" ht="15" customHeight="1" x14ac:dyDescent="0.2">
      <c r="A5705" s="88" t="s">
        <v>7185</v>
      </c>
      <c r="B5705" s="89"/>
      <c r="C5705" s="89"/>
      <c r="D5705" s="89"/>
      <c r="E5705" s="90"/>
      <c r="F5705" s="91">
        <v>100</v>
      </c>
      <c r="G5705" s="92"/>
      <c r="H5705" s="93"/>
      <c r="I5705" s="94">
        <v>7121208</v>
      </c>
      <c r="J5705" s="95"/>
      <c r="K5705" s="96"/>
    </row>
    <row r="5706" spans="1:11" ht="15" customHeight="1" x14ac:dyDescent="0.2">
      <c r="A5706" s="88" t="s">
        <v>7186</v>
      </c>
      <c r="B5706" s="89"/>
      <c r="C5706" s="89"/>
      <c r="D5706" s="89"/>
      <c r="E5706" s="90"/>
      <c r="F5706" s="91">
        <v>100</v>
      </c>
      <c r="G5706" s="92"/>
      <c r="H5706" s="93"/>
      <c r="I5706" s="94">
        <v>9445754</v>
      </c>
      <c r="J5706" s="95"/>
      <c r="K5706" s="96"/>
    </row>
    <row r="5707" spans="1:11" ht="15" customHeight="1" x14ac:dyDescent="0.2">
      <c r="A5707" s="88" t="s">
        <v>7187</v>
      </c>
      <c r="B5707" s="89"/>
      <c r="C5707" s="89"/>
      <c r="D5707" s="89"/>
      <c r="E5707" s="90"/>
      <c r="F5707" s="91">
        <v>110</v>
      </c>
      <c r="G5707" s="92"/>
      <c r="H5707" s="93"/>
      <c r="I5707" s="94">
        <v>10042906</v>
      </c>
      <c r="J5707" s="95"/>
      <c r="K5707" s="96"/>
    </row>
    <row r="5708" spans="1:11" ht="15" customHeight="1" x14ac:dyDescent="0.2">
      <c r="A5708" s="88" t="s">
        <v>7188</v>
      </c>
      <c r="B5708" s="89"/>
      <c r="C5708" s="89"/>
      <c r="D5708" s="89"/>
      <c r="E5708" s="90"/>
      <c r="F5708" s="91">
        <v>110</v>
      </c>
      <c r="G5708" s="92"/>
      <c r="H5708" s="93"/>
      <c r="I5708" s="94">
        <v>8225139</v>
      </c>
      <c r="J5708" s="95"/>
      <c r="K5708" s="96"/>
    </row>
    <row r="5709" spans="1:11" ht="15" customHeight="1" x14ac:dyDescent="0.2">
      <c r="A5709" s="88" t="s">
        <v>7189</v>
      </c>
      <c r="B5709" s="89"/>
      <c r="C5709" s="89"/>
      <c r="D5709" s="89"/>
      <c r="E5709" s="90"/>
      <c r="F5709" s="91">
        <v>110</v>
      </c>
      <c r="G5709" s="92"/>
      <c r="H5709" s="93"/>
      <c r="I5709" s="94">
        <v>11539217</v>
      </c>
      <c r="J5709" s="95"/>
      <c r="K5709" s="96"/>
    </row>
    <row r="5710" spans="1:11" ht="15" customHeight="1" x14ac:dyDescent="0.2">
      <c r="A5710" s="88" t="s">
        <v>7190</v>
      </c>
      <c r="B5710" s="89"/>
      <c r="C5710" s="89"/>
      <c r="D5710" s="89"/>
      <c r="E5710" s="90"/>
      <c r="F5710" s="91">
        <v>110</v>
      </c>
      <c r="G5710" s="92"/>
      <c r="H5710" s="93"/>
      <c r="I5710" s="94">
        <v>12454393</v>
      </c>
      <c r="J5710" s="95"/>
      <c r="K5710" s="96"/>
    </row>
    <row r="5711" spans="1:11" ht="15" customHeight="1" x14ac:dyDescent="0.2">
      <c r="A5711" s="88" t="s">
        <v>7191</v>
      </c>
      <c r="B5711" s="89"/>
      <c r="C5711" s="89"/>
      <c r="D5711" s="89"/>
      <c r="E5711" s="90"/>
      <c r="F5711" s="91">
        <v>125</v>
      </c>
      <c r="G5711" s="92"/>
      <c r="H5711" s="93"/>
      <c r="I5711" s="94">
        <v>9747762</v>
      </c>
      <c r="J5711" s="95"/>
      <c r="K5711" s="96"/>
    </row>
    <row r="5712" spans="1:11" ht="15" customHeight="1" x14ac:dyDescent="0.2">
      <c r="A5712" s="88" t="s">
        <v>7192</v>
      </c>
      <c r="B5712" s="89"/>
      <c r="C5712" s="89"/>
      <c r="D5712" s="89"/>
      <c r="E5712" s="90"/>
      <c r="F5712" s="91">
        <v>125</v>
      </c>
      <c r="G5712" s="92"/>
      <c r="H5712" s="93"/>
      <c r="I5712" s="94">
        <v>10779622</v>
      </c>
      <c r="J5712" s="95"/>
      <c r="K5712" s="96"/>
    </row>
    <row r="5713" spans="1:11" ht="15" customHeight="1" x14ac:dyDescent="0.2">
      <c r="A5713" s="88" t="s">
        <v>7193</v>
      </c>
      <c r="B5713" s="89"/>
      <c r="C5713" s="89"/>
      <c r="D5713" s="89"/>
      <c r="E5713" s="90"/>
      <c r="F5713" s="91">
        <v>125</v>
      </c>
      <c r="G5713" s="92"/>
      <c r="H5713" s="93"/>
      <c r="I5713" s="94">
        <v>11631879</v>
      </c>
      <c r="J5713" s="95"/>
      <c r="K5713" s="96"/>
    </row>
    <row r="5714" spans="1:11" ht="15" customHeight="1" x14ac:dyDescent="0.2">
      <c r="A5714" s="88" t="s">
        <v>7194</v>
      </c>
      <c r="B5714" s="89"/>
      <c r="C5714" s="89"/>
      <c r="D5714" s="89"/>
      <c r="E5714" s="90"/>
      <c r="F5714" s="91">
        <v>125</v>
      </c>
      <c r="G5714" s="92"/>
      <c r="H5714" s="93"/>
      <c r="I5714" s="94">
        <v>12225599</v>
      </c>
      <c r="J5714" s="95"/>
      <c r="K5714" s="96"/>
    </row>
    <row r="5715" spans="1:11" ht="15" customHeight="1" x14ac:dyDescent="0.2">
      <c r="A5715" s="88" t="s">
        <v>7195</v>
      </c>
      <c r="B5715" s="89"/>
      <c r="C5715" s="89"/>
      <c r="D5715" s="89"/>
      <c r="E5715" s="90"/>
      <c r="F5715" s="91">
        <v>125</v>
      </c>
      <c r="G5715" s="92"/>
      <c r="H5715" s="93"/>
      <c r="I5715" s="94">
        <v>13362704</v>
      </c>
      <c r="J5715" s="95"/>
      <c r="K5715" s="96"/>
    </row>
    <row r="5716" spans="1:11" ht="15" customHeight="1" x14ac:dyDescent="0.2">
      <c r="A5716" s="88" t="s">
        <v>7196</v>
      </c>
      <c r="B5716" s="89"/>
      <c r="C5716" s="89"/>
      <c r="D5716" s="89"/>
      <c r="E5716" s="90"/>
      <c r="F5716" s="91">
        <v>130</v>
      </c>
      <c r="G5716" s="92"/>
      <c r="H5716" s="93"/>
      <c r="I5716" s="94">
        <v>13323809</v>
      </c>
      <c r="J5716" s="95"/>
      <c r="K5716" s="96"/>
    </row>
    <row r="5717" spans="1:11" ht="15" customHeight="1" x14ac:dyDescent="0.2">
      <c r="A5717" s="88" t="s">
        <v>7197</v>
      </c>
      <c r="B5717" s="89"/>
      <c r="C5717" s="89"/>
      <c r="D5717" s="89"/>
      <c r="E5717" s="90"/>
      <c r="F5717" s="91">
        <v>130</v>
      </c>
      <c r="G5717" s="92"/>
      <c r="H5717" s="93"/>
      <c r="I5717" s="94">
        <v>14393420</v>
      </c>
      <c r="J5717" s="95"/>
      <c r="K5717" s="96"/>
    </row>
    <row r="5718" spans="1:11" ht="15" customHeight="1" x14ac:dyDescent="0.2">
      <c r="A5718" s="88" t="s">
        <v>7198</v>
      </c>
      <c r="B5718" s="89"/>
      <c r="C5718" s="89"/>
      <c r="D5718" s="89"/>
      <c r="E5718" s="90"/>
      <c r="F5718" s="91">
        <v>145</v>
      </c>
      <c r="G5718" s="92"/>
      <c r="H5718" s="93"/>
      <c r="I5718" s="94">
        <v>13755086</v>
      </c>
      <c r="J5718" s="95"/>
      <c r="K5718" s="96"/>
    </row>
    <row r="5719" spans="1:11" ht="15" customHeight="1" x14ac:dyDescent="0.2">
      <c r="A5719" s="88" t="s">
        <v>7199</v>
      </c>
      <c r="B5719" s="89"/>
      <c r="C5719" s="89"/>
      <c r="D5719" s="89"/>
      <c r="E5719" s="90"/>
      <c r="F5719" s="91">
        <v>145</v>
      </c>
      <c r="G5719" s="92"/>
      <c r="H5719" s="93"/>
      <c r="I5719" s="94">
        <v>14915070</v>
      </c>
      <c r="J5719" s="95"/>
      <c r="K5719" s="96"/>
    </row>
    <row r="5720" spans="1:11" ht="15" customHeight="1" x14ac:dyDescent="0.2">
      <c r="A5720" s="88" t="s">
        <v>7200</v>
      </c>
      <c r="B5720" s="89"/>
      <c r="C5720" s="89"/>
      <c r="D5720" s="89"/>
      <c r="E5720" s="90"/>
      <c r="F5720" s="91">
        <v>165</v>
      </c>
      <c r="G5720" s="92"/>
      <c r="H5720" s="93"/>
      <c r="I5720" s="94">
        <v>14530697</v>
      </c>
      <c r="J5720" s="95"/>
      <c r="K5720" s="96"/>
    </row>
    <row r="5721" spans="1:11" ht="15" customHeight="1" x14ac:dyDescent="0.2">
      <c r="A5721" s="88" t="s">
        <v>7201</v>
      </c>
      <c r="B5721" s="89"/>
      <c r="C5721" s="89"/>
      <c r="D5721" s="89"/>
      <c r="E5721" s="90"/>
      <c r="F5721" s="91">
        <v>165</v>
      </c>
      <c r="G5721" s="92"/>
      <c r="H5721" s="93"/>
      <c r="I5721" s="94">
        <v>15579717</v>
      </c>
      <c r="J5721" s="95"/>
      <c r="K5721" s="96"/>
    </row>
    <row r="5722" spans="1:11" ht="15" customHeight="1" x14ac:dyDescent="0.2">
      <c r="A5722" s="88" t="s">
        <v>7202</v>
      </c>
      <c r="B5722" s="89"/>
      <c r="C5722" s="89"/>
      <c r="D5722" s="89"/>
      <c r="E5722" s="90"/>
      <c r="F5722" s="91">
        <v>165</v>
      </c>
      <c r="G5722" s="92"/>
      <c r="H5722" s="93"/>
      <c r="I5722" s="94">
        <v>16064759</v>
      </c>
      <c r="J5722" s="95"/>
      <c r="K5722" s="96"/>
    </row>
    <row r="5723" spans="1:11" ht="15" customHeight="1" x14ac:dyDescent="0.2">
      <c r="A5723" s="88" t="s">
        <v>7203</v>
      </c>
      <c r="B5723" s="89"/>
      <c r="C5723" s="89"/>
      <c r="D5723" s="89"/>
      <c r="E5723" s="90"/>
      <c r="F5723" s="91">
        <v>180</v>
      </c>
      <c r="G5723" s="92"/>
      <c r="H5723" s="93"/>
      <c r="I5723" s="94">
        <v>15024891</v>
      </c>
      <c r="J5723" s="95"/>
      <c r="K5723" s="96"/>
    </row>
    <row r="5724" spans="1:11" ht="15" customHeight="1" x14ac:dyDescent="0.2">
      <c r="A5724" s="88" t="s">
        <v>7204</v>
      </c>
      <c r="B5724" s="89"/>
      <c r="C5724" s="89"/>
      <c r="D5724" s="89"/>
      <c r="E5724" s="90"/>
      <c r="F5724" s="91">
        <v>180</v>
      </c>
      <c r="G5724" s="92"/>
      <c r="H5724" s="93"/>
      <c r="I5724" s="94">
        <v>16076199</v>
      </c>
      <c r="J5724" s="95"/>
      <c r="K5724" s="96"/>
    </row>
    <row r="5725" spans="1:11" ht="15" customHeight="1" x14ac:dyDescent="0.2">
      <c r="A5725" s="88" t="s">
        <v>7205</v>
      </c>
      <c r="B5725" s="89"/>
      <c r="C5725" s="89"/>
      <c r="D5725" s="89"/>
      <c r="E5725" s="90"/>
      <c r="F5725" s="91">
        <v>210</v>
      </c>
      <c r="G5725" s="92"/>
      <c r="H5725" s="93"/>
      <c r="I5725" s="94">
        <v>19168348</v>
      </c>
      <c r="J5725" s="95"/>
      <c r="K5725" s="96"/>
    </row>
    <row r="5726" spans="1:11" ht="15" customHeight="1" x14ac:dyDescent="0.2">
      <c r="A5726" s="88" t="s">
        <v>7206</v>
      </c>
      <c r="B5726" s="89"/>
      <c r="C5726" s="89"/>
      <c r="D5726" s="89"/>
      <c r="E5726" s="90"/>
      <c r="F5726" s="91">
        <v>210</v>
      </c>
      <c r="G5726" s="92"/>
      <c r="H5726" s="93"/>
      <c r="I5726" s="94">
        <v>19892480</v>
      </c>
      <c r="J5726" s="95"/>
      <c r="K5726" s="96"/>
    </row>
    <row r="5727" spans="1:11" ht="15" customHeight="1" x14ac:dyDescent="0.2">
      <c r="A5727" s="88" t="s">
        <v>7207</v>
      </c>
      <c r="B5727" s="89"/>
      <c r="C5727" s="89"/>
      <c r="D5727" s="89"/>
      <c r="E5727" s="90"/>
      <c r="F5727" s="91">
        <v>225</v>
      </c>
      <c r="G5727" s="92"/>
      <c r="H5727" s="93"/>
      <c r="I5727" s="94">
        <v>19922224</v>
      </c>
      <c r="J5727" s="95"/>
      <c r="K5727" s="96"/>
    </row>
    <row r="5728" spans="1:11" ht="15" customHeight="1" x14ac:dyDescent="0.2">
      <c r="A5728" s="88" t="s">
        <v>7208</v>
      </c>
      <c r="B5728" s="89"/>
      <c r="C5728" s="89"/>
      <c r="D5728" s="89"/>
      <c r="E5728" s="90"/>
      <c r="F5728" s="91">
        <v>225</v>
      </c>
      <c r="G5728" s="92"/>
      <c r="H5728" s="93"/>
      <c r="I5728" s="94">
        <v>19892480</v>
      </c>
      <c r="J5728" s="95"/>
      <c r="K5728" s="96"/>
    </row>
    <row r="5729" spans="1:11" ht="15" customHeight="1" x14ac:dyDescent="0.2">
      <c r="A5729" s="88" t="s">
        <v>7209</v>
      </c>
      <c r="B5729" s="89"/>
      <c r="C5729" s="89"/>
      <c r="D5729" s="89"/>
      <c r="E5729" s="90"/>
      <c r="F5729" s="91">
        <v>230</v>
      </c>
      <c r="G5729" s="92"/>
      <c r="H5729" s="93"/>
      <c r="I5729" s="94">
        <v>25126140</v>
      </c>
      <c r="J5729" s="95"/>
      <c r="K5729" s="96"/>
    </row>
    <row r="5730" spans="1:11" ht="15" customHeight="1" x14ac:dyDescent="0.2">
      <c r="A5730" s="88" t="s">
        <v>7210</v>
      </c>
      <c r="B5730" s="89"/>
      <c r="C5730" s="89"/>
      <c r="D5730" s="89"/>
      <c r="E5730" s="90"/>
      <c r="F5730" s="91">
        <v>260</v>
      </c>
      <c r="G5730" s="92"/>
      <c r="H5730" s="93"/>
      <c r="I5730" s="94">
        <v>28024957</v>
      </c>
      <c r="J5730" s="95"/>
      <c r="K5730" s="96"/>
    </row>
    <row r="5731" spans="1:11" ht="15" customHeight="1" x14ac:dyDescent="0.2">
      <c r="A5731" s="88" t="s">
        <v>7211</v>
      </c>
      <c r="B5731" s="89"/>
      <c r="C5731" s="89"/>
      <c r="D5731" s="89"/>
      <c r="E5731" s="90"/>
      <c r="F5731" s="91">
        <v>335</v>
      </c>
      <c r="G5731" s="92"/>
      <c r="H5731" s="93"/>
      <c r="I5731" s="94">
        <v>37796742</v>
      </c>
      <c r="J5731" s="95"/>
      <c r="K5731" s="96"/>
    </row>
    <row r="5732" spans="1:11" ht="15" customHeight="1" x14ac:dyDescent="0.2">
      <c r="A5732" s="88" t="s">
        <v>7212</v>
      </c>
      <c r="B5732" s="89"/>
      <c r="C5732" s="89"/>
      <c r="D5732" s="89"/>
      <c r="E5732" s="90"/>
      <c r="F5732" s="91">
        <v>105</v>
      </c>
      <c r="G5732" s="92"/>
      <c r="H5732" s="93"/>
      <c r="I5732" s="94">
        <v>18304651</v>
      </c>
      <c r="J5732" s="95"/>
      <c r="K5732" s="96"/>
    </row>
    <row r="5733" spans="1:11" ht="15" customHeight="1" x14ac:dyDescent="0.2">
      <c r="A5733" s="88" t="s">
        <v>7213</v>
      </c>
      <c r="B5733" s="89"/>
      <c r="C5733" s="89"/>
      <c r="D5733" s="89"/>
      <c r="E5733" s="90"/>
      <c r="F5733" s="91">
        <v>205</v>
      </c>
      <c r="G5733" s="92"/>
      <c r="H5733" s="93"/>
      <c r="I5733" s="94">
        <v>32215317</v>
      </c>
      <c r="J5733" s="95"/>
      <c r="K5733" s="96"/>
    </row>
    <row r="5734" spans="1:11" ht="15" customHeight="1" x14ac:dyDescent="0.2">
      <c r="A5734" s="88" t="s">
        <v>7214</v>
      </c>
      <c r="B5734" s="89"/>
      <c r="C5734" s="89"/>
      <c r="D5734" s="89"/>
      <c r="E5734" s="90"/>
      <c r="F5734" s="91">
        <v>337</v>
      </c>
      <c r="G5734" s="92"/>
      <c r="H5734" s="93"/>
      <c r="I5734" s="94">
        <v>45925788</v>
      </c>
      <c r="J5734" s="95"/>
      <c r="K5734" s="96"/>
    </row>
    <row r="5735" spans="1:11" ht="15" customHeight="1" x14ac:dyDescent="0.2">
      <c r="A5735" s="88" t="s">
        <v>7215</v>
      </c>
      <c r="B5735" s="89"/>
      <c r="C5735" s="89"/>
      <c r="D5735" s="89"/>
      <c r="E5735" s="90"/>
      <c r="F5735" s="91">
        <v>271</v>
      </c>
      <c r="G5735" s="92"/>
      <c r="H5735" s="93"/>
      <c r="I5735" s="94">
        <v>49905656</v>
      </c>
      <c r="J5735" s="95"/>
      <c r="K5735" s="96"/>
    </row>
  </sheetData>
  <mergeCells count="33684">
    <mergeCell ref="A1:W1"/>
    <mergeCell ref="A2:B2"/>
    <mergeCell ref="C2:D2"/>
    <mergeCell ref="E2:I2"/>
    <mergeCell ref="J2:M2"/>
    <mergeCell ref="N2:P2"/>
    <mergeCell ref="Q2:R2"/>
    <mergeCell ref="A3:B3"/>
    <mergeCell ref="C3:D3"/>
    <mergeCell ref="E3:I3"/>
    <mergeCell ref="J3:M3"/>
    <mergeCell ref="N3:P3"/>
    <mergeCell ref="Q3:R3"/>
    <mergeCell ref="A4:B4"/>
    <mergeCell ref="C4:D4"/>
    <mergeCell ref="E4:I4"/>
    <mergeCell ref="J4:M4"/>
    <mergeCell ref="N4:P4"/>
    <mergeCell ref="Q4:R4"/>
    <mergeCell ref="A5:B5"/>
    <mergeCell ref="C5:D5"/>
    <mergeCell ref="E5:I5"/>
    <mergeCell ref="J5:M5"/>
    <mergeCell ref="N5:P5"/>
    <mergeCell ref="Q5:R5"/>
    <mergeCell ref="A6:B6"/>
    <mergeCell ref="C6:D6"/>
    <mergeCell ref="E6:I6"/>
    <mergeCell ref="J6:M6"/>
    <mergeCell ref="N6:P6"/>
    <mergeCell ref="Q6:R6"/>
    <mergeCell ref="A7:B7"/>
    <mergeCell ref="C7:D7"/>
    <mergeCell ref="E7:I7"/>
    <mergeCell ref="J7:M7"/>
    <mergeCell ref="N7:P7"/>
    <mergeCell ref="Q7:R7"/>
    <mergeCell ref="A8:B8"/>
    <mergeCell ref="C8:D8"/>
    <mergeCell ref="E8:I8"/>
    <mergeCell ref="J8:M8"/>
    <mergeCell ref="N8:P8"/>
    <mergeCell ref="Q8:R8"/>
    <mergeCell ref="A9:B9"/>
    <mergeCell ref="C9:D9"/>
    <mergeCell ref="E9:I9"/>
    <mergeCell ref="J9:M9"/>
    <mergeCell ref="N9:P9"/>
    <mergeCell ref="Q9:R9"/>
    <mergeCell ref="A10:B10"/>
    <mergeCell ref="C10:D10"/>
    <mergeCell ref="E10:I10"/>
    <mergeCell ref="J10:M10"/>
    <mergeCell ref="N10:P10"/>
    <mergeCell ref="Q10:R10"/>
    <mergeCell ref="A11:B11"/>
    <mergeCell ref="C11:D11"/>
    <mergeCell ref="E11:I11"/>
    <mergeCell ref="J11:M11"/>
    <mergeCell ref="N11:P11"/>
    <mergeCell ref="Q11:R11"/>
    <mergeCell ref="A12:B12"/>
    <mergeCell ref="C12:D12"/>
    <mergeCell ref="E12:I12"/>
    <mergeCell ref="J12:M12"/>
    <mergeCell ref="N12:P12"/>
    <mergeCell ref="Q12:R12"/>
    <mergeCell ref="A13:B13"/>
    <mergeCell ref="C13:D13"/>
    <mergeCell ref="E13:I13"/>
    <mergeCell ref="J13:M13"/>
    <mergeCell ref="N13:P13"/>
    <mergeCell ref="Q13:R13"/>
    <mergeCell ref="A14:B14"/>
    <mergeCell ref="C14:D14"/>
    <mergeCell ref="E14:I14"/>
    <mergeCell ref="J14:M14"/>
    <mergeCell ref="N14:P14"/>
    <mergeCell ref="Q14:R14"/>
    <mergeCell ref="A15:B15"/>
    <mergeCell ref="C15:D15"/>
    <mergeCell ref="E15:I15"/>
    <mergeCell ref="J15:M15"/>
    <mergeCell ref="N15:P15"/>
    <mergeCell ref="Q15:R15"/>
    <mergeCell ref="A16:B16"/>
    <mergeCell ref="C16:D16"/>
    <mergeCell ref="E16:I16"/>
    <mergeCell ref="J16:M16"/>
    <mergeCell ref="N16:P16"/>
    <mergeCell ref="Q16:R16"/>
    <mergeCell ref="A17:B17"/>
    <mergeCell ref="C17:D17"/>
    <mergeCell ref="E17:I17"/>
    <mergeCell ref="J17:M17"/>
    <mergeCell ref="N17:P17"/>
    <mergeCell ref="Q17:R17"/>
    <mergeCell ref="A18:B18"/>
    <mergeCell ref="C18:D18"/>
    <mergeCell ref="E18:I18"/>
    <mergeCell ref="J18:M18"/>
    <mergeCell ref="N18:P18"/>
    <mergeCell ref="Q18:R18"/>
    <mergeCell ref="A19:B19"/>
    <mergeCell ref="C19:D19"/>
    <mergeCell ref="E19:I19"/>
    <mergeCell ref="J19:M19"/>
    <mergeCell ref="N19:P19"/>
    <mergeCell ref="Q19:R19"/>
    <mergeCell ref="A20:B20"/>
    <mergeCell ref="C20:D20"/>
    <mergeCell ref="E20:I20"/>
    <mergeCell ref="J20:M20"/>
    <mergeCell ref="N20:P20"/>
    <mergeCell ref="Q20:R20"/>
    <mergeCell ref="A21:B21"/>
    <mergeCell ref="C21:D21"/>
    <mergeCell ref="E21:I21"/>
    <mergeCell ref="J21:M21"/>
    <mergeCell ref="N21:P21"/>
    <mergeCell ref="Q21:R21"/>
    <mergeCell ref="A22:B22"/>
    <mergeCell ref="C22:D22"/>
    <mergeCell ref="E22:I22"/>
    <mergeCell ref="J22:M22"/>
    <mergeCell ref="N22:P22"/>
    <mergeCell ref="Q22:R22"/>
    <mergeCell ref="A23:B23"/>
    <mergeCell ref="C23:D23"/>
    <mergeCell ref="E23:I23"/>
    <mergeCell ref="J23:M23"/>
    <mergeCell ref="N23:P23"/>
    <mergeCell ref="Q23:R23"/>
    <mergeCell ref="A24:B24"/>
    <mergeCell ref="C24:D24"/>
    <mergeCell ref="E24:I24"/>
    <mergeCell ref="J24:M24"/>
    <mergeCell ref="N24:P24"/>
    <mergeCell ref="Q24:R24"/>
    <mergeCell ref="A25:B25"/>
    <mergeCell ref="C25:D25"/>
    <mergeCell ref="E25:I25"/>
    <mergeCell ref="J25:M25"/>
    <mergeCell ref="N25:P25"/>
    <mergeCell ref="Q25:R25"/>
    <mergeCell ref="A26:B26"/>
    <mergeCell ref="C26:D26"/>
    <mergeCell ref="E26:I26"/>
    <mergeCell ref="J26:M26"/>
    <mergeCell ref="N26:P26"/>
    <mergeCell ref="Q26:R26"/>
    <mergeCell ref="A27:B27"/>
    <mergeCell ref="C27:D27"/>
    <mergeCell ref="E27:I27"/>
    <mergeCell ref="J27:M27"/>
    <mergeCell ref="N27:P27"/>
    <mergeCell ref="Q27:R27"/>
    <mergeCell ref="A28:B28"/>
    <mergeCell ref="C28:D28"/>
    <mergeCell ref="E28:I28"/>
    <mergeCell ref="J28:M28"/>
    <mergeCell ref="N28:P28"/>
    <mergeCell ref="Q28:R28"/>
    <mergeCell ref="A29:B29"/>
    <mergeCell ref="C29:D29"/>
    <mergeCell ref="E29:I29"/>
    <mergeCell ref="J29:M29"/>
    <mergeCell ref="N29:P29"/>
    <mergeCell ref="Q29:R29"/>
    <mergeCell ref="A30:B30"/>
    <mergeCell ref="C30:D30"/>
    <mergeCell ref="E30:I30"/>
    <mergeCell ref="J30:M30"/>
    <mergeCell ref="N30:P30"/>
    <mergeCell ref="Q30:R30"/>
    <mergeCell ref="A31:B31"/>
    <mergeCell ref="C31:D31"/>
    <mergeCell ref="E31:I31"/>
    <mergeCell ref="J31:M31"/>
    <mergeCell ref="N31:P31"/>
    <mergeCell ref="Q31:R31"/>
    <mergeCell ref="A32:B32"/>
    <mergeCell ref="C32:D32"/>
    <mergeCell ref="E32:I32"/>
    <mergeCell ref="J32:M32"/>
    <mergeCell ref="N32:P32"/>
    <mergeCell ref="Q32:R32"/>
    <mergeCell ref="A33:B33"/>
    <mergeCell ref="C33:D33"/>
    <mergeCell ref="E33:I33"/>
    <mergeCell ref="J33:M33"/>
    <mergeCell ref="N33:P33"/>
    <mergeCell ref="Q33:R33"/>
    <mergeCell ref="A34:B34"/>
    <mergeCell ref="C34:D34"/>
    <mergeCell ref="E34:I34"/>
    <mergeCell ref="J34:M34"/>
    <mergeCell ref="N34:P34"/>
    <mergeCell ref="Q34:R34"/>
    <mergeCell ref="A35:B35"/>
    <mergeCell ref="C35:D35"/>
    <mergeCell ref="E35:I35"/>
    <mergeCell ref="J35:M35"/>
    <mergeCell ref="N35:P35"/>
    <mergeCell ref="Q35:R35"/>
    <mergeCell ref="A36:B36"/>
    <mergeCell ref="C36:D36"/>
    <mergeCell ref="E36:I36"/>
    <mergeCell ref="J36:M36"/>
    <mergeCell ref="N36:P36"/>
    <mergeCell ref="Q36:R36"/>
    <mergeCell ref="A37:B37"/>
    <mergeCell ref="C37:D37"/>
    <mergeCell ref="E37:I37"/>
    <mergeCell ref="J37:M37"/>
    <mergeCell ref="N37:P37"/>
    <mergeCell ref="Q37:R37"/>
    <mergeCell ref="A38:B38"/>
    <mergeCell ref="C38:D38"/>
    <mergeCell ref="E38:I38"/>
    <mergeCell ref="J38:M38"/>
    <mergeCell ref="N38:P38"/>
    <mergeCell ref="Q38:R38"/>
    <mergeCell ref="A39:B39"/>
    <mergeCell ref="C39:D39"/>
    <mergeCell ref="E39:I39"/>
    <mergeCell ref="J39:M39"/>
    <mergeCell ref="N39:P39"/>
    <mergeCell ref="Q39:R39"/>
    <mergeCell ref="A40:B40"/>
    <mergeCell ref="C40:D40"/>
    <mergeCell ref="E40:I40"/>
    <mergeCell ref="J40:M40"/>
    <mergeCell ref="N40:P40"/>
    <mergeCell ref="Q40:R40"/>
    <mergeCell ref="A41:B41"/>
    <mergeCell ref="C41:D41"/>
    <mergeCell ref="E41:I41"/>
    <mergeCell ref="J41:M41"/>
    <mergeCell ref="N41:P41"/>
    <mergeCell ref="Q41:R41"/>
    <mergeCell ref="A42:B42"/>
    <mergeCell ref="C42:D42"/>
    <mergeCell ref="E42:I42"/>
    <mergeCell ref="J42:M42"/>
    <mergeCell ref="N42:P42"/>
    <mergeCell ref="Q42:R42"/>
    <mergeCell ref="A43:B43"/>
    <mergeCell ref="C43:D43"/>
    <mergeCell ref="E43:I43"/>
    <mergeCell ref="J43:M43"/>
    <mergeCell ref="N43:P43"/>
    <mergeCell ref="Q43:R43"/>
    <mergeCell ref="A44:B44"/>
    <mergeCell ref="C44:D44"/>
    <mergeCell ref="E44:I44"/>
    <mergeCell ref="J44:M44"/>
    <mergeCell ref="N44:P44"/>
    <mergeCell ref="Q44:R44"/>
    <mergeCell ref="A45:B45"/>
    <mergeCell ref="C45:D45"/>
    <mergeCell ref="E45:I45"/>
    <mergeCell ref="J45:M45"/>
    <mergeCell ref="N45:P45"/>
    <mergeCell ref="Q45:R45"/>
    <mergeCell ref="A46:B46"/>
    <mergeCell ref="C46:D46"/>
    <mergeCell ref="E46:I46"/>
    <mergeCell ref="J46:M46"/>
    <mergeCell ref="N46:P46"/>
    <mergeCell ref="Q46:R46"/>
    <mergeCell ref="A47:B47"/>
    <mergeCell ref="C47:D47"/>
    <mergeCell ref="E47:I47"/>
    <mergeCell ref="J47:M47"/>
    <mergeCell ref="N47:P47"/>
    <mergeCell ref="Q47:R47"/>
    <mergeCell ref="A48:B48"/>
    <mergeCell ref="C48:D48"/>
    <mergeCell ref="E48:I48"/>
    <mergeCell ref="J48:M48"/>
    <mergeCell ref="N48:P48"/>
    <mergeCell ref="Q48:R48"/>
    <mergeCell ref="A49:B49"/>
    <mergeCell ref="C49:D49"/>
    <mergeCell ref="E49:I49"/>
    <mergeCell ref="J49:M49"/>
    <mergeCell ref="N49:P49"/>
    <mergeCell ref="Q49:R49"/>
    <mergeCell ref="A50:B50"/>
    <mergeCell ref="C50:D50"/>
    <mergeCell ref="E50:I50"/>
    <mergeCell ref="J50:M50"/>
    <mergeCell ref="N50:P50"/>
    <mergeCell ref="Q50:R50"/>
    <mergeCell ref="A51:B51"/>
    <mergeCell ref="C51:D51"/>
    <mergeCell ref="E51:I51"/>
    <mergeCell ref="J51:M51"/>
    <mergeCell ref="N51:P51"/>
    <mergeCell ref="Q51:R51"/>
    <mergeCell ref="A52:B52"/>
    <mergeCell ref="C52:D52"/>
    <mergeCell ref="E52:I52"/>
    <mergeCell ref="J52:M52"/>
    <mergeCell ref="N52:P52"/>
    <mergeCell ref="Q52:R52"/>
    <mergeCell ref="A53:B53"/>
    <mergeCell ref="C53:D53"/>
    <mergeCell ref="E53:I53"/>
    <mergeCell ref="J53:M53"/>
    <mergeCell ref="N53:P53"/>
    <mergeCell ref="Q53:R53"/>
    <mergeCell ref="A54:B54"/>
    <mergeCell ref="C54:D54"/>
    <mergeCell ref="E54:I54"/>
    <mergeCell ref="J54:M54"/>
    <mergeCell ref="N54:P54"/>
    <mergeCell ref="Q54:R54"/>
    <mergeCell ref="A55:B55"/>
    <mergeCell ref="C55:D55"/>
    <mergeCell ref="E55:I55"/>
    <mergeCell ref="J55:M55"/>
    <mergeCell ref="N55:P55"/>
    <mergeCell ref="Q55:R55"/>
    <mergeCell ref="A56:B56"/>
    <mergeCell ref="C56:D56"/>
    <mergeCell ref="E56:I56"/>
    <mergeCell ref="J56:M56"/>
    <mergeCell ref="N56:P56"/>
    <mergeCell ref="Q56:R56"/>
    <mergeCell ref="A57:B57"/>
    <mergeCell ref="C57:D57"/>
    <mergeCell ref="E57:I57"/>
    <mergeCell ref="J57:M57"/>
    <mergeCell ref="N57:P57"/>
    <mergeCell ref="Q57:R57"/>
    <mergeCell ref="A58:B58"/>
    <mergeCell ref="C58:D58"/>
    <mergeCell ref="E58:I58"/>
    <mergeCell ref="J58:M58"/>
    <mergeCell ref="N58:P58"/>
    <mergeCell ref="Q58:R58"/>
    <mergeCell ref="A59:B59"/>
    <mergeCell ref="C59:D59"/>
    <mergeCell ref="E59:I59"/>
    <mergeCell ref="J59:M59"/>
    <mergeCell ref="N59:P59"/>
    <mergeCell ref="Q59:R59"/>
    <mergeCell ref="A60:B60"/>
    <mergeCell ref="C60:D60"/>
    <mergeCell ref="E60:I60"/>
    <mergeCell ref="J60:M60"/>
    <mergeCell ref="N60:P60"/>
    <mergeCell ref="Q60:R60"/>
    <mergeCell ref="A61:B61"/>
    <mergeCell ref="C61:D61"/>
    <mergeCell ref="E61:I61"/>
    <mergeCell ref="J61:M61"/>
    <mergeCell ref="N61:P61"/>
    <mergeCell ref="Q61:R61"/>
    <mergeCell ref="A62:B62"/>
    <mergeCell ref="C62:D62"/>
    <mergeCell ref="E62:I62"/>
    <mergeCell ref="J62:M62"/>
    <mergeCell ref="N62:P62"/>
    <mergeCell ref="Q62:R62"/>
    <mergeCell ref="A63:B63"/>
    <mergeCell ref="C63:D63"/>
    <mergeCell ref="E63:I63"/>
    <mergeCell ref="J63:M63"/>
    <mergeCell ref="N63:P63"/>
    <mergeCell ref="Q63:R63"/>
    <mergeCell ref="A64:B64"/>
    <mergeCell ref="C64:D64"/>
    <mergeCell ref="E64:I64"/>
    <mergeCell ref="J64:M64"/>
    <mergeCell ref="N64:P64"/>
    <mergeCell ref="Q64:R64"/>
    <mergeCell ref="A65:B65"/>
    <mergeCell ref="C65:D65"/>
    <mergeCell ref="E65:I65"/>
    <mergeCell ref="J65:M65"/>
    <mergeCell ref="N65:P65"/>
    <mergeCell ref="Q65:R65"/>
    <mergeCell ref="A66:B66"/>
    <mergeCell ref="C66:D66"/>
    <mergeCell ref="E66:I66"/>
    <mergeCell ref="J66:M66"/>
    <mergeCell ref="N66:P66"/>
    <mergeCell ref="Q66:R66"/>
    <mergeCell ref="A67:B67"/>
    <mergeCell ref="C67:D67"/>
    <mergeCell ref="E67:I67"/>
    <mergeCell ref="J67:M67"/>
    <mergeCell ref="N67:P67"/>
    <mergeCell ref="Q67:R67"/>
    <mergeCell ref="A68:B68"/>
    <mergeCell ref="C68:D68"/>
    <mergeCell ref="E68:I68"/>
    <mergeCell ref="J68:M68"/>
    <mergeCell ref="N68:P68"/>
    <mergeCell ref="Q68:R68"/>
    <mergeCell ref="A69:B69"/>
    <mergeCell ref="C69:D69"/>
    <mergeCell ref="E69:I69"/>
    <mergeCell ref="J69:M69"/>
    <mergeCell ref="N69:P69"/>
    <mergeCell ref="Q69:R69"/>
    <mergeCell ref="A70:B70"/>
    <mergeCell ref="C70:D70"/>
    <mergeCell ref="E70:I70"/>
    <mergeCell ref="J70:M70"/>
    <mergeCell ref="N70:P70"/>
    <mergeCell ref="Q70:R70"/>
    <mergeCell ref="A71:B71"/>
    <mergeCell ref="C71:D71"/>
    <mergeCell ref="E71:I71"/>
    <mergeCell ref="J71:M71"/>
    <mergeCell ref="N71:P71"/>
    <mergeCell ref="Q71:R71"/>
    <mergeCell ref="A72:B72"/>
    <mergeCell ref="C72:D72"/>
    <mergeCell ref="E72:I72"/>
    <mergeCell ref="J72:M72"/>
    <mergeCell ref="N72:P72"/>
    <mergeCell ref="Q72:R72"/>
    <mergeCell ref="A73:B73"/>
    <mergeCell ref="C73:D73"/>
    <mergeCell ref="E73:I73"/>
    <mergeCell ref="J73:M73"/>
    <mergeCell ref="N73:P73"/>
    <mergeCell ref="Q73:R73"/>
    <mergeCell ref="A74:B74"/>
    <mergeCell ref="C74:D74"/>
    <mergeCell ref="E74:I74"/>
    <mergeCell ref="J74:M74"/>
    <mergeCell ref="N74:P74"/>
    <mergeCell ref="Q74:R74"/>
    <mergeCell ref="A75:B75"/>
    <mergeCell ref="C75:D75"/>
    <mergeCell ref="E75:I75"/>
    <mergeCell ref="J75:M75"/>
    <mergeCell ref="N75:P75"/>
    <mergeCell ref="Q75:R75"/>
    <mergeCell ref="A76:B76"/>
    <mergeCell ref="C76:D76"/>
    <mergeCell ref="E76:I76"/>
    <mergeCell ref="J76:M76"/>
    <mergeCell ref="N76:P76"/>
    <mergeCell ref="Q76:R76"/>
    <mergeCell ref="A77:B77"/>
    <mergeCell ref="C77:D77"/>
    <mergeCell ref="E77:I77"/>
    <mergeCell ref="J77:M77"/>
    <mergeCell ref="N77:P77"/>
    <mergeCell ref="Q77:R77"/>
    <mergeCell ref="A78:B78"/>
    <mergeCell ref="C78:D78"/>
    <mergeCell ref="E78:I78"/>
    <mergeCell ref="J78:M78"/>
    <mergeCell ref="N78:P78"/>
    <mergeCell ref="Q78:R78"/>
    <mergeCell ref="A79:B79"/>
    <mergeCell ref="C79:D79"/>
    <mergeCell ref="E79:I79"/>
    <mergeCell ref="J79:M79"/>
    <mergeCell ref="N79:P79"/>
    <mergeCell ref="Q79:R79"/>
    <mergeCell ref="A80:B80"/>
    <mergeCell ref="C80:D80"/>
    <mergeCell ref="E80:I80"/>
    <mergeCell ref="J80:M80"/>
    <mergeCell ref="N80:P80"/>
    <mergeCell ref="Q80:R80"/>
    <mergeCell ref="A81:B81"/>
    <mergeCell ref="C81:D81"/>
    <mergeCell ref="E81:I81"/>
    <mergeCell ref="J81:M81"/>
    <mergeCell ref="N81:P81"/>
    <mergeCell ref="Q81:R81"/>
    <mergeCell ref="A82:B82"/>
    <mergeCell ref="C82:D82"/>
    <mergeCell ref="E82:I82"/>
    <mergeCell ref="J82:M82"/>
    <mergeCell ref="N82:P82"/>
    <mergeCell ref="Q82:R82"/>
    <mergeCell ref="A83:B83"/>
    <mergeCell ref="C83:D83"/>
    <mergeCell ref="E83:I83"/>
    <mergeCell ref="J83:M83"/>
    <mergeCell ref="N83:P83"/>
    <mergeCell ref="Q83:R83"/>
    <mergeCell ref="A84:B84"/>
    <mergeCell ref="C84:D84"/>
    <mergeCell ref="E84:I84"/>
    <mergeCell ref="J84:M84"/>
    <mergeCell ref="N84:P84"/>
    <mergeCell ref="Q84:R84"/>
    <mergeCell ref="A85:B85"/>
    <mergeCell ref="C85:D85"/>
    <mergeCell ref="E85:I85"/>
    <mergeCell ref="J85:M85"/>
    <mergeCell ref="N85:P85"/>
    <mergeCell ref="Q85:R85"/>
    <mergeCell ref="A86:B86"/>
    <mergeCell ref="C86:D86"/>
    <mergeCell ref="E86:I86"/>
    <mergeCell ref="J86:M86"/>
    <mergeCell ref="N86:P86"/>
    <mergeCell ref="Q86:R86"/>
    <mergeCell ref="A87:B87"/>
    <mergeCell ref="C87:D87"/>
    <mergeCell ref="E87:I87"/>
    <mergeCell ref="J87:M87"/>
    <mergeCell ref="N87:P87"/>
    <mergeCell ref="Q87:R87"/>
    <mergeCell ref="A88:B88"/>
    <mergeCell ref="C88:D88"/>
    <mergeCell ref="E88:I88"/>
    <mergeCell ref="J88:M88"/>
    <mergeCell ref="N88:P88"/>
    <mergeCell ref="Q88:R88"/>
    <mergeCell ref="A89:B89"/>
    <mergeCell ref="C89:D89"/>
    <mergeCell ref="E89:I89"/>
    <mergeCell ref="J89:M89"/>
    <mergeCell ref="N89:P89"/>
    <mergeCell ref="Q89:R89"/>
    <mergeCell ref="A90:B90"/>
    <mergeCell ref="C90:D90"/>
    <mergeCell ref="E90:I90"/>
    <mergeCell ref="J90:M90"/>
    <mergeCell ref="N90:P90"/>
    <mergeCell ref="Q90:R90"/>
    <mergeCell ref="A91:B91"/>
    <mergeCell ref="C91:D91"/>
    <mergeCell ref="E91:I91"/>
    <mergeCell ref="J91:M91"/>
    <mergeCell ref="N91:P91"/>
    <mergeCell ref="Q91:R91"/>
    <mergeCell ref="A92:B92"/>
    <mergeCell ref="C92:D92"/>
    <mergeCell ref="E92:I92"/>
    <mergeCell ref="J92:M92"/>
    <mergeCell ref="N92:P92"/>
    <mergeCell ref="Q92:R92"/>
    <mergeCell ref="A93:B93"/>
    <mergeCell ref="C93:D93"/>
    <mergeCell ref="E93:I93"/>
    <mergeCell ref="J93:M93"/>
    <mergeCell ref="N93:P93"/>
    <mergeCell ref="Q93:R93"/>
    <mergeCell ref="A94:B94"/>
    <mergeCell ref="C94:D94"/>
    <mergeCell ref="E94:I94"/>
    <mergeCell ref="J94:M94"/>
    <mergeCell ref="N94:P94"/>
    <mergeCell ref="Q94:R94"/>
    <mergeCell ref="A95:B95"/>
    <mergeCell ref="C95:D95"/>
    <mergeCell ref="E95:I95"/>
    <mergeCell ref="J95:M95"/>
    <mergeCell ref="N95:P95"/>
    <mergeCell ref="Q95:R95"/>
    <mergeCell ref="A96:B96"/>
    <mergeCell ref="C96:D96"/>
    <mergeCell ref="E96:I96"/>
    <mergeCell ref="J96:M96"/>
    <mergeCell ref="N96:P96"/>
    <mergeCell ref="Q96:R96"/>
    <mergeCell ref="A97:B97"/>
    <mergeCell ref="C97:D97"/>
    <mergeCell ref="E97:I97"/>
    <mergeCell ref="J97:M97"/>
    <mergeCell ref="N97:P97"/>
    <mergeCell ref="Q97:R97"/>
    <mergeCell ref="A98:B98"/>
    <mergeCell ref="C98:D98"/>
    <mergeCell ref="E98:I98"/>
    <mergeCell ref="J98:M98"/>
    <mergeCell ref="N98:P98"/>
    <mergeCell ref="Q98:R98"/>
    <mergeCell ref="A99:B99"/>
    <mergeCell ref="C99:D99"/>
    <mergeCell ref="E99:I99"/>
    <mergeCell ref="J99:M99"/>
    <mergeCell ref="N99:P99"/>
    <mergeCell ref="Q99:R99"/>
    <mergeCell ref="A100:B100"/>
    <mergeCell ref="C100:D100"/>
    <mergeCell ref="E100:I100"/>
    <mergeCell ref="J100:M100"/>
    <mergeCell ref="N100:P100"/>
    <mergeCell ref="Q100:R100"/>
    <mergeCell ref="A101:B101"/>
    <mergeCell ref="C101:D101"/>
    <mergeCell ref="E101:I101"/>
    <mergeCell ref="J101:M101"/>
    <mergeCell ref="N101:P101"/>
    <mergeCell ref="Q101:R101"/>
    <mergeCell ref="A102:B102"/>
    <mergeCell ref="C102:D102"/>
    <mergeCell ref="E102:I102"/>
    <mergeCell ref="J102:M102"/>
    <mergeCell ref="N102:P102"/>
    <mergeCell ref="Q102:R102"/>
    <mergeCell ref="A103:B103"/>
    <mergeCell ref="C103:D103"/>
    <mergeCell ref="E103:I103"/>
    <mergeCell ref="J103:M103"/>
    <mergeCell ref="N103:P103"/>
    <mergeCell ref="Q103:R103"/>
    <mergeCell ref="A104:B104"/>
    <mergeCell ref="C104:D104"/>
    <mergeCell ref="E104:I104"/>
    <mergeCell ref="J104:M104"/>
    <mergeCell ref="N104:P104"/>
    <mergeCell ref="Q104:R104"/>
    <mergeCell ref="A105:B105"/>
    <mergeCell ref="C105:D105"/>
    <mergeCell ref="E105:I105"/>
    <mergeCell ref="J105:M105"/>
    <mergeCell ref="N105:P105"/>
    <mergeCell ref="Q105:R105"/>
    <mergeCell ref="A106:B106"/>
    <mergeCell ref="C106:D106"/>
    <mergeCell ref="E106:I106"/>
    <mergeCell ref="J106:M106"/>
    <mergeCell ref="N106:P106"/>
    <mergeCell ref="Q106:R106"/>
    <mergeCell ref="A107:B107"/>
    <mergeCell ref="C107:D107"/>
    <mergeCell ref="E107:I107"/>
    <mergeCell ref="J107:M107"/>
    <mergeCell ref="N107:P107"/>
    <mergeCell ref="Q107:R107"/>
    <mergeCell ref="A108:B108"/>
    <mergeCell ref="C108:D108"/>
    <mergeCell ref="E108:I108"/>
    <mergeCell ref="J108:M108"/>
    <mergeCell ref="N108:P108"/>
    <mergeCell ref="Q108:R108"/>
    <mergeCell ref="A109:B109"/>
    <mergeCell ref="C109:D109"/>
    <mergeCell ref="E109:I109"/>
    <mergeCell ref="J109:M109"/>
    <mergeCell ref="N109:P109"/>
    <mergeCell ref="Q109:R109"/>
    <mergeCell ref="A110:B110"/>
    <mergeCell ref="C110:D110"/>
    <mergeCell ref="E110:I110"/>
    <mergeCell ref="J110:M110"/>
    <mergeCell ref="N110:P110"/>
    <mergeCell ref="Q110:R110"/>
    <mergeCell ref="A111:B111"/>
    <mergeCell ref="C111:D111"/>
    <mergeCell ref="E111:I111"/>
    <mergeCell ref="J111:M111"/>
    <mergeCell ref="N111:P111"/>
    <mergeCell ref="Q111:R111"/>
    <mergeCell ref="A112:B112"/>
    <mergeCell ref="C112:D112"/>
    <mergeCell ref="E112:I112"/>
    <mergeCell ref="J112:M112"/>
    <mergeCell ref="N112:P112"/>
    <mergeCell ref="Q112:R112"/>
    <mergeCell ref="A113:B113"/>
    <mergeCell ref="C113:D113"/>
    <mergeCell ref="E113:I113"/>
    <mergeCell ref="J113:M113"/>
    <mergeCell ref="N113:P113"/>
    <mergeCell ref="Q113:R113"/>
    <mergeCell ref="A114:B114"/>
    <mergeCell ref="C114:D114"/>
    <mergeCell ref="E114:I114"/>
    <mergeCell ref="J114:M114"/>
    <mergeCell ref="N114:P114"/>
    <mergeCell ref="Q114:R114"/>
    <mergeCell ref="A115:B115"/>
    <mergeCell ref="C115:D115"/>
    <mergeCell ref="E115:I115"/>
    <mergeCell ref="J115:M115"/>
    <mergeCell ref="N115:P115"/>
    <mergeCell ref="Q115:R115"/>
    <mergeCell ref="A116:B116"/>
    <mergeCell ref="C116:D116"/>
    <mergeCell ref="E116:I116"/>
    <mergeCell ref="J116:M116"/>
    <mergeCell ref="N116:P116"/>
    <mergeCell ref="Q116:R116"/>
    <mergeCell ref="A117:B117"/>
    <mergeCell ref="C117:D117"/>
    <mergeCell ref="E117:I117"/>
    <mergeCell ref="J117:M117"/>
    <mergeCell ref="N117:P117"/>
    <mergeCell ref="Q117:R117"/>
    <mergeCell ref="A118:B118"/>
    <mergeCell ref="C118:D118"/>
    <mergeCell ref="E118:I118"/>
    <mergeCell ref="J118:M118"/>
    <mergeCell ref="N118:P118"/>
    <mergeCell ref="Q118:R118"/>
    <mergeCell ref="A119:B119"/>
    <mergeCell ref="C119:D119"/>
    <mergeCell ref="E119:I119"/>
    <mergeCell ref="J119:M119"/>
    <mergeCell ref="N119:P119"/>
    <mergeCell ref="Q119:R119"/>
    <mergeCell ref="A120:B120"/>
    <mergeCell ref="C120:D120"/>
    <mergeCell ref="E120:I120"/>
    <mergeCell ref="J120:M120"/>
    <mergeCell ref="N120:P120"/>
    <mergeCell ref="Q120:R120"/>
    <mergeCell ref="A121:B121"/>
    <mergeCell ref="C121:D121"/>
    <mergeCell ref="E121:I121"/>
    <mergeCell ref="J121:M121"/>
    <mergeCell ref="N121:P121"/>
    <mergeCell ref="Q121:R121"/>
    <mergeCell ref="A122:B122"/>
    <mergeCell ref="C122:D122"/>
    <mergeCell ref="E122:I122"/>
    <mergeCell ref="J122:M122"/>
    <mergeCell ref="N122:P122"/>
    <mergeCell ref="Q122:R122"/>
    <mergeCell ref="A123:B123"/>
    <mergeCell ref="C123:D123"/>
    <mergeCell ref="E123:I123"/>
    <mergeCell ref="J123:M123"/>
    <mergeCell ref="N123:P123"/>
    <mergeCell ref="Q123:R123"/>
    <mergeCell ref="A124:B124"/>
    <mergeCell ref="C124:D124"/>
    <mergeCell ref="E124:I124"/>
    <mergeCell ref="J124:M124"/>
    <mergeCell ref="N124:P124"/>
    <mergeCell ref="Q124:R124"/>
    <mergeCell ref="A125:B125"/>
    <mergeCell ref="C125:D125"/>
    <mergeCell ref="E125:I125"/>
    <mergeCell ref="J125:M125"/>
    <mergeCell ref="N125:P125"/>
    <mergeCell ref="Q125:R125"/>
    <mergeCell ref="A126:B126"/>
    <mergeCell ref="C126:D126"/>
    <mergeCell ref="E126:I126"/>
    <mergeCell ref="J126:M126"/>
    <mergeCell ref="N126:P126"/>
    <mergeCell ref="Q126:R126"/>
    <mergeCell ref="A127:B127"/>
    <mergeCell ref="C127:D127"/>
    <mergeCell ref="E127:I127"/>
    <mergeCell ref="J127:M127"/>
    <mergeCell ref="N127:P127"/>
    <mergeCell ref="Q127:R127"/>
    <mergeCell ref="A128:B128"/>
    <mergeCell ref="C128:D128"/>
    <mergeCell ref="E128:I128"/>
    <mergeCell ref="J128:M128"/>
    <mergeCell ref="N128:P128"/>
    <mergeCell ref="Q128:R128"/>
    <mergeCell ref="A129:B129"/>
    <mergeCell ref="C129:D129"/>
    <mergeCell ref="E129:I129"/>
    <mergeCell ref="J129:M129"/>
    <mergeCell ref="N129:P129"/>
    <mergeCell ref="Q129:R129"/>
    <mergeCell ref="A130:B130"/>
    <mergeCell ref="C130:D130"/>
    <mergeCell ref="E130:I130"/>
    <mergeCell ref="J130:M130"/>
    <mergeCell ref="N130:P130"/>
    <mergeCell ref="Q130:R130"/>
    <mergeCell ref="A131:B131"/>
    <mergeCell ref="C131:D131"/>
    <mergeCell ref="E131:I131"/>
    <mergeCell ref="J131:M131"/>
    <mergeCell ref="N131:P131"/>
    <mergeCell ref="Q131:R131"/>
    <mergeCell ref="A132:B132"/>
    <mergeCell ref="C132:D132"/>
    <mergeCell ref="E132:I132"/>
    <mergeCell ref="J132:M132"/>
    <mergeCell ref="N132:P132"/>
    <mergeCell ref="Q132:R132"/>
    <mergeCell ref="A133:B133"/>
    <mergeCell ref="C133:D133"/>
    <mergeCell ref="E133:I133"/>
    <mergeCell ref="J133:M133"/>
    <mergeCell ref="N133:P133"/>
    <mergeCell ref="Q133:R133"/>
    <mergeCell ref="A134:B134"/>
    <mergeCell ref="C134:D134"/>
    <mergeCell ref="E134:I134"/>
    <mergeCell ref="J134:M134"/>
    <mergeCell ref="N134:P134"/>
    <mergeCell ref="Q134:R134"/>
    <mergeCell ref="A135:B135"/>
    <mergeCell ref="C135:D135"/>
    <mergeCell ref="E135:I135"/>
    <mergeCell ref="J135:M135"/>
    <mergeCell ref="N135:P135"/>
    <mergeCell ref="Q135:R135"/>
    <mergeCell ref="A136:B136"/>
    <mergeCell ref="C136:D136"/>
    <mergeCell ref="E136:I136"/>
    <mergeCell ref="J136:M136"/>
    <mergeCell ref="N136:P136"/>
    <mergeCell ref="Q136:R136"/>
    <mergeCell ref="A137:B137"/>
    <mergeCell ref="C137:D137"/>
    <mergeCell ref="E137:I137"/>
    <mergeCell ref="J137:M137"/>
    <mergeCell ref="N137:P137"/>
    <mergeCell ref="Q137:R137"/>
    <mergeCell ref="A138:B138"/>
    <mergeCell ref="C138:D138"/>
    <mergeCell ref="E138:I138"/>
    <mergeCell ref="J138:M138"/>
    <mergeCell ref="N138:P138"/>
    <mergeCell ref="Q138:R138"/>
    <mergeCell ref="A139:B139"/>
    <mergeCell ref="C139:D139"/>
    <mergeCell ref="E139:I139"/>
    <mergeCell ref="J139:M139"/>
    <mergeCell ref="N139:P139"/>
    <mergeCell ref="Q139:R139"/>
    <mergeCell ref="A140:B140"/>
    <mergeCell ref="C140:D140"/>
    <mergeCell ref="E140:I140"/>
    <mergeCell ref="J140:M140"/>
    <mergeCell ref="N140:P140"/>
    <mergeCell ref="Q140:R140"/>
    <mergeCell ref="A141:B141"/>
    <mergeCell ref="C141:D141"/>
    <mergeCell ref="E141:I141"/>
    <mergeCell ref="J141:M141"/>
    <mergeCell ref="N141:P141"/>
    <mergeCell ref="Q141:R141"/>
    <mergeCell ref="A142:B142"/>
    <mergeCell ref="C142:D142"/>
    <mergeCell ref="E142:I142"/>
    <mergeCell ref="J142:M142"/>
    <mergeCell ref="N142:P142"/>
    <mergeCell ref="Q142:R142"/>
    <mergeCell ref="A143:B143"/>
    <mergeCell ref="C143:D143"/>
    <mergeCell ref="E143:I143"/>
    <mergeCell ref="J143:M143"/>
    <mergeCell ref="N143:P143"/>
    <mergeCell ref="Q143:R143"/>
    <mergeCell ref="A144:B144"/>
    <mergeCell ref="C144:D144"/>
    <mergeCell ref="E144:I144"/>
    <mergeCell ref="J144:M144"/>
    <mergeCell ref="N144:P144"/>
    <mergeCell ref="Q144:R144"/>
    <mergeCell ref="A145:B145"/>
    <mergeCell ref="C145:D145"/>
    <mergeCell ref="E145:I145"/>
    <mergeCell ref="J145:M145"/>
    <mergeCell ref="N145:P145"/>
    <mergeCell ref="Q145:R145"/>
    <mergeCell ref="A146:B146"/>
    <mergeCell ref="C146:D146"/>
    <mergeCell ref="E146:I146"/>
    <mergeCell ref="J146:M146"/>
    <mergeCell ref="N146:P146"/>
    <mergeCell ref="Q146:R146"/>
    <mergeCell ref="A147:B147"/>
    <mergeCell ref="C147:D147"/>
    <mergeCell ref="E147:I147"/>
    <mergeCell ref="J147:M147"/>
    <mergeCell ref="N147:P147"/>
    <mergeCell ref="Q147:R147"/>
    <mergeCell ref="A148:B148"/>
    <mergeCell ref="C148:D148"/>
    <mergeCell ref="E148:I148"/>
    <mergeCell ref="J148:M148"/>
    <mergeCell ref="N148:P148"/>
    <mergeCell ref="Q148:R148"/>
    <mergeCell ref="A149:B149"/>
    <mergeCell ref="C149:D149"/>
    <mergeCell ref="E149:I149"/>
    <mergeCell ref="J149:M149"/>
    <mergeCell ref="N149:P149"/>
    <mergeCell ref="Q149:R149"/>
    <mergeCell ref="A150:B150"/>
    <mergeCell ref="C150:D150"/>
    <mergeCell ref="E150:I150"/>
    <mergeCell ref="J150:M150"/>
    <mergeCell ref="N150:P150"/>
    <mergeCell ref="Q150:R150"/>
    <mergeCell ref="A151:B151"/>
    <mergeCell ref="C151:D151"/>
    <mergeCell ref="E151:I151"/>
    <mergeCell ref="J151:M151"/>
    <mergeCell ref="N151:P151"/>
    <mergeCell ref="Q151:R151"/>
    <mergeCell ref="A152:B152"/>
    <mergeCell ref="C152:D152"/>
    <mergeCell ref="E152:I152"/>
    <mergeCell ref="J152:M152"/>
    <mergeCell ref="N152:P152"/>
    <mergeCell ref="Q152:R152"/>
    <mergeCell ref="A153:B153"/>
    <mergeCell ref="C153:D153"/>
    <mergeCell ref="E153:I153"/>
    <mergeCell ref="J153:M153"/>
    <mergeCell ref="N153:P153"/>
    <mergeCell ref="Q153:R153"/>
    <mergeCell ref="A154:B154"/>
    <mergeCell ref="C154:D154"/>
    <mergeCell ref="E154:I154"/>
    <mergeCell ref="J154:M154"/>
    <mergeCell ref="N154:P154"/>
    <mergeCell ref="Q154:R154"/>
    <mergeCell ref="A155:B155"/>
    <mergeCell ref="C155:D155"/>
    <mergeCell ref="E155:I155"/>
    <mergeCell ref="J155:M155"/>
    <mergeCell ref="N155:P155"/>
    <mergeCell ref="Q155:R155"/>
    <mergeCell ref="A156:B156"/>
    <mergeCell ref="C156:D156"/>
    <mergeCell ref="E156:I156"/>
    <mergeCell ref="J156:M156"/>
    <mergeCell ref="N156:P156"/>
    <mergeCell ref="Q156:R156"/>
    <mergeCell ref="A157:B157"/>
    <mergeCell ref="C157:D157"/>
    <mergeCell ref="E157:I157"/>
    <mergeCell ref="J157:M157"/>
    <mergeCell ref="N157:P157"/>
    <mergeCell ref="Q157:R157"/>
    <mergeCell ref="A158:B158"/>
    <mergeCell ref="C158:D158"/>
    <mergeCell ref="E158:I158"/>
    <mergeCell ref="J158:M158"/>
    <mergeCell ref="N158:P158"/>
    <mergeCell ref="Q158:R158"/>
    <mergeCell ref="A159:B159"/>
    <mergeCell ref="C159:D159"/>
    <mergeCell ref="E159:I159"/>
    <mergeCell ref="J159:M159"/>
    <mergeCell ref="N159:P159"/>
    <mergeCell ref="Q159:R159"/>
    <mergeCell ref="A160:B160"/>
    <mergeCell ref="C160:D160"/>
    <mergeCell ref="E160:I160"/>
    <mergeCell ref="J160:M160"/>
    <mergeCell ref="N160:P160"/>
    <mergeCell ref="Q160:R160"/>
    <mergeCell ref="A161:B161"/>
    <mergeCell ref="C161:D161"/>
    <mergeCell ref="E161:I161"/>
    <mergeCell ref="J161:M161"/>
    <mergeCell ref="N161:P161"/>
    <mergeCell ref="Q161:R161"/>
    <mergeCell ref="A162:B162"/>
    <mergeCell ref="C162:D162"/>
    <mergeCell ref="E162:I162"/>
    <mergeCell ref="J162:M162"/>
    <mergeCell ref="N162:P162"/>
    <mergeCell ref="Q162:R162"/>
    <mergeCell ref="A163:B163"/>
    <mergeCell ref="C163:D163"/>
    <mergeCell ref="E163:I163"/>
    <mergeCell ref="J163:M163"/>
    <mergeCell ref="N163:P163"/>
    <mergeCell ref="Q163:R163"/>
    <mergeCell ref="A164:B164"/>
    <mergeCell ref="C164:D164"/>
    <mergeCell ref="E164:I164"/>
    <mergeCell ref="J164:M164"/>
    <mergeCell ref="N164:P164"/>
    <mergeCell ref="Q164:R164"/>
    <mergeCell ref="A165:B165"/>
    <mergeCell ref="C165:D165"/>
    <mergeCell ref="E165:I165"/>
    <mergeCell ref="J165:M165"/>
    <mergeCell ref="N165:P165"/>
    <mergeCell ref="Q165:R165"/>
    <mergeCell ref="A166:B166"/>
    <mergeCell ref="C166:D166"/>
    <mergeCell ref="E166:I166"/>
    <mergeCell ref="J166:M166"/>
    <mergeCell ref="N166:P166"/>
    <mergeCell ref="Q166:R166"/>
    <mergeCell ref="A167:B167"/>
    <mergeCell ref="C167:D167"/>
    <mergeCell ref="E167:I167"/>
    <mergeCell ref="J167:M167"/>
    <mergeCell ref="N167:P167"/>
    <mergeCell ref="Q167:R167"/>
    <mergeCell ref="A168:B168"/>
    <mergeCell ref="C168:D168"/>
    <mergeCell ref="E168:I168"/>
    <mergeCell ref="J168:M168"/>
    <mergeCell ref="N168:P168"/>
    <mergeCell ref="Q168:R168"/>
    <mergeCell ref="A169:B169"/>
    <mergeCell ref="C169:D169"/>
    <mergeCell ref="E169:I169"/>
    <mergeCell ref="J169:M169"/>
    <mergeCell ref="N169:P169"/>
    <mergeCell ref="Q169:R169"/>
    <mergeCell ref="A170:B170"/>
    <mergeCell ref="C170:D170"/>
    <mergeCell ref="E170:I170"/>
    <mergeCell ref="J170:M170"/>
    <mergeCell ref="N170:P170"/>
    <mergeCell ref="Q170:R170"/>
    <mergeCell ref="A171:B171"/>
    <mergeCell ref="C171:D171"/>
    <mergeCell ref="E171:I171"/>
    <mergeCell ref="J171:M171"/>
    <mergeCell ref="N171:P171"/>
    <mergeCell ref="Q171:R171"/>
    <mergeCell ref="A172:B172"/>
    <mergeCell ref="C172:D172"/>
    <mergeCell ref="E172:I172"/>
    <mergeCell ref="J172:M172"/>
    <mergeCell ref="N172:P172"/>
    <mergeCell ref="Q172:R172"/>
    <mergeCell ref="A173:B173"/>
    <mergeCell ref="C173:D173"/>
    <mergeCell ref="E173:I173"/>
    <mergeCell ref="J173:M173"/>
    <mergeCell ref="N173:P173"/>
    <mergeCell ref="Q173:R173"/>
    <mergeCell ref="A174:B174"/>
    <mergeCell ref="C174:D174"/>
    <mergeCell ref="E174:I174"/>
    <mergeCell ref="J174:M174"/>
    <mergeCell ref="N174:P174"/>
    <mergeCell ref="Q174:R174"/>
    <mergeCell ref="A175:B175"/>
    <mergeCell ref="C175:D175"/>
    <mergeCell ref="E175:I175"/>
    <mergeCell ref="J175:M175"/>
    <mergeCell ref="N175:P175"/>
    <mergeCell ref="Q175:R175"/>
    <mergeCell ref="A176:B176"/>
    <mergeCell ref="C176:D176"/>
    <mergeCell ref="E176:I176"/>
    <mergeCell ref="J176:M176"/>
    <mergeCell ref="N176:P176"/>
    <mergeCell ref="Q176:R176"/>
    <mergeCell ref="A177:B177"/>
    <mergeCell ref="C177:D177"/>
    <mergeCell ref="E177:I177"/>
    <mergeCell ref="J177:M177"/>
    <mergeCell ref="N177:P177"/>
    <mergeCell ref="Q177:R177"/>
    <mergeCell ref="A178:B178"/>
    <mergeCell ref="C178:D178"/>
    <mergeCell ref="E178:I178"/>
    <mergeCell ref="J178:M178"/>
    <mergeCell ref="N178:P178"/>
    <mergeCell ref="Q178:R178"/>
    <mergeCell ref="A179:B179"/>
    <mergeCell ref="C179:D179"/>
    <mergeCell ref="E179:I179"/>
    <mergeCell ref="J179:M179"/>
    <mergeCell ref="N179:P179"/>
    <mergeCell ref="Q179:R179"/>
    <mergeCell ref="A180:B180"/>
    <mergeCell ref="C180:D180"/>
    <mergeCell ref="E180:I180"/>
    <mergeCell ref="J180:M180"/>
    <mergeCell ref="N180:P180"/>
    <mergeCell ref="Q180:R180"/>
    <mergeCell ref="A181:B181"/>
    <mergeCell ref="C181:D181"/>
    <mergeCell ref="E181:I181"/>
    <mergeCell ref="J181:M181"/>
    <mergeCell ref="N181:P181"/>
    <mergeCell ref="Q181:R181"/>
    <mergeCell ref="A182:B182"/>
    <mergeCell ref="C182:D182"/>
    <mergeCell ref="E182:I182"/>
    <mergeCell ref="J182:M182"/>
    <mergeCell ref="N182:P182"/>
    <mergeCell ref="Q182:R182"/>
    <mergeCell ref="A183:B183"/>
    <mergeCell ref="C183:D183"/>
    <mergeCell ref="E183:I183"/>
    <mergeCell ref="J183:M183"/>
    <mergeCell ref="N183:P183"/>
    <mergeCell ref="Q183:R183"/>
    <mergeCell ref="A184:B184"/>
    <mergeCell ref="C184:D184"/>
    <mergeCell ref="E184:I184"/>
    <mergeCell ref="J184:M184"/>
    <mergeCell ref="N184:P184"/>
    <mergeCell ref="Q184:R184"/>
    <mergeCell ref="A185:B185"/>
    <mergeCell ref="C185:D185"/>
    <mergeCell ref="E185:I185"/>
    <mergeCell ref="J185:M185"/>
    <mergeCell ref="N185:P185"/>
    <mergeCell ref="Q185:R185"/>
    <mergeCell ref="A186:B186"/>
    <mergeCell ref="C186:D186"/>
    <mergeCell ref="E186:I186"/>
    <mergeCell ref="J186:M186"/>
    <mergeCell ref="N186:P186"/>
    <mergeCell ref="Q186:R186"/>
    <mergeCell ref="A187:B187"/>
    <mergeCell ref="C187:D187"/>
    <mergeCell ref="E187:I187"/>
    <mergeCell ref="J187:M187"/>
    <mergeCell ref="N187:P187"/>
    <mergeCell ref="Q187:R187"/>
    <mergeCell ref="A188:B188"/>
    <mergeCell ref="C188:D188"/>
    <mergeCell ref="E188:I188"/>
    <mergeCell ref="J188:M188"/>
    <mergeCell ref="N188:P188"/>
    <mergeCell ref="Q188:R188"/>
    <mergeCell ref="A189:B189"/>
    <mergeCell ref="C189:D189"/>
    <mergeCell ref="E189:I189"/>
    <mergeCell ref="J189:M189"/>
    <mergeCell ref="N189:P189"/>
    <mergeCell ref="Q189:R189"/>
    <mergeCell ref="A190:B190"/>
    <mergeCell ref="C190:D190"/>
    <mergeCell ref="E190:I190"/>
    <mergeCell ref="J190:M190"/>
    <mergeCell ref="N190:P190"/>
    <mergeCell ref="Q190:R190"/>
    <mergeCell ref="A191:B191"/>
    <mergeCell ref="C191:D191"/>
    <mergeCell ref="E191:I191"/>
    <mergeCell ref="J191:M191"/>
    <mergeCell ref="N191:P191"/>
    <mergeCell ref="Q191:R191"/>
    <mergeCell ref="A192:B192"/>
    <mergeCell ref="C192:D192"/>
    <mergeCell ref="E192:I192"/>
    <mergeCell ref="J192:M192"/>
    <mergeCell ref="N192:P192"/>
    <mergeCell ref="Q192:R192"/>
    <mergeCell ref="A193:B193"/>
    <mergeCell ref="C193:D193"/>
    <mergeCell ref="E193:I193"/>
    <mergeCell ref="J193:M193"/>
    <mergeCell ref="N193:P193"/>
    <mergeCell ref="Q193:R193"/>
    <mergeCell ref="A194:B194"/>
    <mergeCell ref="C194:D194"/>
    <mergeCell ref="E194:I194"/>
    <mergeCell ref="J194:M194"/>
    <mergeCell ref="N194:P194"/>
    <mergeCell ref="Q194:R194"/>
    <mergeCell ref="A195:B195"/>
    <mergeCell ref="C195:D195"/>
    <mergeCell ref="E195:I195"/>
    <mergeCell ref="J195:M195"/>
    <mergeCell ref="N195:P195"/>
    <mergeCell ref="Q195:R195"/>
    <mergeCell ref="A196:B196"/>
    <mergeCell ref="C196:D196"/>
    <mergeCell ref="E196:I196"/>
    <mergeCell ref="J196:M196"/>
    <mergeCell ref="N196:P196"/>
    <mergeCell ref="Q196:R196"/>
    <mergeCell ref="A197:B197"/>
    <mergeCell ref="C197:D197"/>
    <mergeCell ref="E197:I197"/>
    <mergeCell ref="J197:M197"/>
    <mergeCell ref="N197:P197"/>
    <mergeCell ref="Q197:R197"/>
    <mergeCell ref="A198:B198"/>
    <mergeCell ref="C198:D198"/>
    <mergeCell ref="E198:I198"/>
    <mergeCell ref="J198:M198"/>
    <mergeCell ref="N198:P198"/>
    <mergeCell ref="Q198:R198"/>
    <mergeCell ref="A199:B199"/>
    <mergeCell ref="C199:D199"/>
    <mergeCell ref="E199:I199"/>
    <mergeCell ref="J199:M199"/>
    <mergeCell ref="N199:P199"/>
    <mergeCell ref="Q199:R199"/>
    <mergeCell ref="A200:B200"/>
    <mergeCell ref="C200:D200"/>
    <mergeCell ref="E200:I200"/>
    <mergeCell ref="J200:M200"/>
    <mergeCell ref="N200:P200"/>
    <mergeCell ref="Q200:R200"/>
    <mergeCell ref="A201:B201"/>
    <mergeCell ref="C201:D201"/>
    <mergeCell ref="E201:I201"/>
    <mergeCell ref="J201:M201"/>
    <mergeCell ref="N201:P201"/>
    <mergeCell ref="Q201:R201"/>
    <mergeCell ref="A202:B202"/>
    <mergeCell ref="C202:D202"/>
    <mergeCell ref="E202:I202"/>
    <mergeCell ref="J202:M202"/>
    <mergeCell ref="N202:P202"/>
    <mergeCell ref="Q202:R202"/>
    <mergeCell ref="A203:B203"/>
    <mergeCell ref="C203:D203"/>
    <mergeCell ref="E203:I203"/>
    <mergeCell ref="J203:M203"/>
    <mergeCell ref="N203:P203"/>
    <mergeCell ref="Q203:R203"/>
    <mergeCell ref="A204:B204"/>
    <mergeCell ref="C204:D204"/>
    <mergeCell ref="E204:I204"/>
    <mergeCell ref="J204:M204"/>
    <mergeCell ref="N204:P204"/>
    <mergeCell ref="Q204:R204"/>
    <mergeCell ref="A205:B205"/>
    <mergeCell ref="C205:D205"/>
    <mergeCell ref="E205:I205"/>
    <mergeCell ref="J205:M205"/>
    <mergeCell ref="N205:P205"/>
    <mergeCell ref="Q205:R205"/>
    <mergeCell ref="A206:B206"/>
    <mergeCell ref="C206:D206"/>
    <mergeCell ref="E206:I206"/>
    <mergeCell ref="J206:M206"/>
    <mergeCell ref="N206:P206"/>
    <mergeCell ref="Q206:R206"/>
    <mergeCell ref="A207:B207"/>
    <mergeCell ref="C207:D207"/>
    <mergeCell ref="E207:I207"/>
    <mergeCell ref="J207:M207"/>
    <mergeCell ref="N207:P207"/>
    <mergeCell ref="Q207:R207"/>
    <mergeCell ref="A208:B208"/>
    <mergeCell ref="C208:D208"/>
    <mergeCell ref="E208:I208"/>
    <mergeCell ref="J208:M208"/>
    <mergeCell ref="N208:P208"/>
    <mergeCell ref="Q208:R208"/>
    <mergeCell ref="A209:B209"/>
    <mergeCell ref="C209:D209"/>
    <mergeCell ref="E209:I209"/>
    <mergeCell ref="J209:M209"/>
    <mergeCell ref="N209:P209"/>
    <mergeCell ref="Q209:R209"/>
    <mergeCell ref="A210:B210"/>
    <mergeCell ref="C210:D210"/>
    <mergeCell ref="E210:I210"/>
    <mergeCell ref="J210:M210"/>
    <mergeCell ref="N210:P210"/>
    <mergeCell ref="Q210:R210"/>
    <mergeCell ref="A211:B211"/>
    <mergeCell ref="C211:D211"/>
    <mergeCell ref="E211:I211"/>
    <mergeCell ref="J211:M211"/>
    <mergeCell ref="N211:P211"/>
    <mergeCell ref="Q211:R211"/>
    <mergeCell ref="A212:B212"/>
    <mergeCell ref="C212:D212"/>
    <mergeCell ref="E212:I212"/>
    <mergeCell ref="J212:M212"/>
    <mergeCell ref="N212:P212"/>
    <mergeCell ref="Q212:R212"/>
    <mergeCell ref="A213:B213"/>
    <mergeCell ref="C213:D213"/>
    <mergeCell ref="E213:I213"/>
    <mergeCell ref="J213:M213"/>
    <mergeCell ref="N213:P213"/>
    <mergeCell ref="Q213:R213"/>
    <mergeCell ref="A214:B214"/>
    <mergeCell ref="C214:D214"/>
    <mergeCell ref="E214:I214"/>
    <mergeCell ref="J214:M214"/>
    <mergeCell ref="N214:P214"/>
    <mergeCell ref="Q214:R214"/>
    <mergeCell ref="A215:B215"/>
    <mergeCell ref="C215:D215"/>
    <mergeCell ref="E215:I215"/>
    <mergeCell ref="J215:M215"/>
    <mergeCell ref="N215:P215"/>
    <mergeCell ref="Q215:R215"/>
    <mergeCell ref="A216:B216"/>
    <mergeCell ref="C216:D216"/>
    <mergeCell ref="E216:I216"/>
    <mergeCell ref="J216:M216"/>
    <mergeCell ref="N216:P216"/>
    <mergeCell ref="Q216:R216"/>
    <mergeCell ref="A217:B217"/>
    <mergeCell ref="C217:I217"/>
    <mergeCell ref="J217:M217"/>
    <mergeCell ref="N217:P217"/>
    <mergeCell ref="Q217:R217"/>
    <mergeCell ref="A218:B218"/>
    <mergeCell ref="C218:D218"/>
    <mergeCell ref="E218:I218"/>
    <mergeCell ref="J218:M218"/>
    <mergeCell ref="N218:P218"/>
    <mergeCell ref="Q218:R218"/>
    <mergeCell ref="A219:B219"/>
    <mergeCell ref="C219:I219"/>
    <mergeCell ref="J219:M219"/>
    <mergeCell ref="N219:P219"/>
    <mergeCell ref="Q219:R219"/>
    <mergeCell ref="A220:B220"/>
    <mergeCell ref="C220:I220"/>
    <mergeCell ref="J220:M220"/>
    <mergeCell ref="N220:P220"/>
    <mergeCell ref="Q220:R220"/>
    <mergeCell ref="A221:B221"/>
    <mergeCell ref="C221:D221"/>
    <mergeCell ref="E221:I221"/>
    <mergeCell ref="J221:M221"/>
    <mergeCell ref="N221:P221"/>
    <mergeCell ref="Q221:R221"/>
    <mergeCell ref="A222:B222"/>
    <mergeCell ref="C222:D222"/>
    <mergeCell ref="E222:I222"/>
    <mergeCell ref="J222:M222"/>
    <mergeCell ref="N222:P222"/>
    <mergeCell ref="Q222:R222"/>
    <mergeCell ref="A223:B223"/>
    <mergeCell ref="C223:D223"/>
    <mergeCell ref="E223:I223"/>
    <mergeCell ref="J223:M223"/>
    <mergeCell ref="N223:P223"/>
    <mergeCell ref="Q223:R223"/>
    <mergeCell ref="A224:B224"/>
    <mergeCell ref="C224:D224"/>
    <mergeCell ref="E224:I224"/>
    <mergeCell ref="J224:M224"/>
    <mergeCell ref="N224:P224"/>
    <mergeCell ref="Q224:R224"/>
    <mergeCell ref="A225:B225"/>
    <mergeCell ref="C225:D225"/>
    <mergeCell ref="E225:I225"/>
    <mergeCell ref="J225:M225"/>
    <mergeCell ref="N225:P225"/>
    <mergeCell ref="Q225:R225"/>
    <mergeCell ref="A226:B226"/>
    <mergeCell ref="C226:I226"/>
    <mergeCell ref="J226:M226"/>
    <mergeCell ref="N226:P226"/>
    <mergeCell ref="Q226:R226"/>
    <mergeCell ref="A227:B227"/>
    <mergeCell ref="C227:I227"/>
    <mergeCell ref="J227:M227"/>
    <mergeCell ref="N227:P227"/>
    <mergeCell ref="Q227:R227"/>
    <mergeCell ref="A228:B228"/>
    <mergeCell ref="C228:D228"/>
    <mergeCell ref="E228:I228"/>
    <mergeCell ref="J228:M228"/>
    <mergeCell ref="N228:P228"/>
    <mergeCell ref="Q228:R228"/>
    <mergeCell ref="A229:B229"/>
    <mergeCell ref="C229:D229"/>
    <mergeCell ref="E229:I229"/>
    <mergeCell ref="J229:M229"/>
    <mergeCell ref="N229:P229"/>
    <mergeCell ref="Q229:R229"/>
    <mergeCell ref="A230:B230"/>
    <mergeCell ref="C230:D230"/>
    <mergeCell ref="E230:I230"/>
    <mergeCell ref="J230:M230"/>
    <mergeCell ref="N230:P230"/>
    <mergeCell ref="Q230:R230"/>
    <mergeCell ref="A231:B231"/>
    <mergeCell ref="C231:D231"/>
    <mergeCell ref="E231:I231"/>
    <mergeCell ref="J231:M231"/>
    <mergeCell ref="N231:P231"/>
    <mergeCell ref="Q231:R231"/>
    <mergeCell ref="A232:B232"/>
    <mergeCell ref="C232:D232"/>
    <mergeCell ref="E232:I232"/>
    <mergeCell ref="J232:M232"/>
    <mergeCell ref="N232:P232"/>
    <mergeCell ref="Q232:R232"/>
    <mergeCell ref="A233:B233"/>
    <mergeCell ref="C233:D233"/>
    <mergeCell ref="E233:I233"/>
    <mergeCell ref="J233:M233"/>
    <mergeCell ref="N233:P233"/>
    <mergeCell ref="Q233:R233"/>
    <mergeCell ref="A234:B234"/>
    <mergeCell ref="C234:D234"/>
    <mergeCell ref="E234:I234"/>
    <mergeCell ref="J234:M234"/>
    <mergeCell ref="N234:P234"/>
    <mergeCell ref="Q234:R234"/>
    <mergeCell ref="A235:B235"/>
    <mergeCell ref="C235:I235"/>
    <mergeCell ref="J235:M235"/>
    <mergeCell ref="N235:P235"/>
    <mergeCell ref="Q235:R235"/>
    <mergeCell ref="A236:B236"/>
    <mergeCell ref="C236:D236"/>
    <mergeCell ref="E236:I236"/>
    <mergeCell ref="J236:M236"/>
    <mergeCell ref="N236:P236"/>
    <mergeCell ref="Q236:R236"/>
    <mergeCell ref="A237:B237"/>
    <mergeCell ref="C237:D237"/>
    <mergeCell ref="E237:I237"/>
    <mergeCell ref="J237:M237"/>
    <mergeCell ref="N237:P237"/>
    <mergeCell ref="Q237:R237"/>
    <mergeCell ref="A238:B238"/>
    <mergeCell ref="C238:D238"/>
    <mergeCell ref="E238:I238"/>
    <mergeCell ref="J238:M238"/>
    <mergeCell ref="N238:P238"/>
    <mergeCell ref="Q238:R238"/>
    <mergeCell ref="A239:B239"/>
    <mergeCell ref="C239:D239"/>
    <mergeCell ref="E239:I239"/>
    <mergeCell ref="J239:M239"/>
    <mergeCell ref="N239:P239"/>
    <mergeCell ref="Q239:R239"/>
    <mergeCell ref="A240:B240"/>
    <mergeCell ref="C240:I240"/>
    <mergeCell ref="J240:M240"/>
    <mergeCell ref="N240:P240"/>
    <mergeCell ref="Q240:R240"/>
    <mergeCell ref="A241:B241"/>
    <mergeCell ref="C241:D241"/>
    <mergeCell ref="E241:I241"/>
    <mergeCell ref="J241:M241"/>
    <mergeCell ref="N241:P241"/>
    <mergeCell ref="Q241:R241"/>
    <mergeCell ref="A242:B242"/>
    <mergeCell ref="C242:D242"/>
    <mergeCell ref="E242:I242"/>
    <mergeCell ref="J242:M242"/>
    <mergeCell ref="N242:P242"/>
    <mergeCell ref="Q242:R242"/>
    <mergeCell ref="A243:B243"/>
    <mergeCell ref="C243:D243"/>
    <mergeCell ref="E243:I243"/>
    <mergeCell ref="J243:M243"/>
    <mergeCell ref="N243:P243"/>
    <mergeCell ref="Q243:R243"/>
    <mergeCell ref="A244:B244"/>
    <mergeCell ref="C244:I244"/>
    <mergeCell ref="J244:M244"/>
    <mergeCell ref="N244:P244"/>
    <mergeCell ref="Q244:R244"/>
    <mergeCell ref="A245:B245"/>
    <mergeCell ref="C245:D245"/>
    <mergeCell ref="E245:I245"/>
    <mergeCell ref="J245:M245"/>
    <mergeCell ref="N245:P245"/>
    <mergeCell ref="Q245:R245"/>
    <mergeCell ref="A246:B246"/>
    <mergeCell ref="C246:D246"/>
    <mergeCell ref="E246:I246"/>
    <mergeCell ref="J246:M246"/>
    <mergeCell ref="N246:P246"/>
    <mergeCell ref="Q246:R246"/>
    <mergeCell ref="A247:B247"/>
    <mergeCell ref="C247:D247"/>
    <mergeCell ref="E247:I247"/>
    <mergeCell ref="J247:M247"/>
    <mergeCell ref="N247:P247"/>
    <mergeCell ref="Q247:R247"/>
    <mergeCell ref="A248:B248"/>
    <mergeCell ref="C248:D248"/>
    <mergeCell ref="E248:I248"/>
    <mergeCell ref="J248:M248"/>
    <mergeCell ref="N248:P248"/>
    <mergeCell ref="Q248:R248"/>
    <mergeCell ref="A249:B249"/>
    <mergeCell ref="C249:D249"/>
    <mergeCell ref="E249:I249"/>
    <mergeCell ref="J249:M249"/>
    <mergeCell ref="N249:P249"/>
    <mergeCell ref="Q249:R249"/>
    <mergeCell ref="A250:B250"/>
    <mergeCell ref="C250:D250"/>
    <mergeCell ref="E250:I250"/>
    <mergeCell ref="J250:M250"/>
    <mergeCell ref="N250:P250"/>
    <mergeCell ref="Q250:R250"/>
    <mergeCell ref="A251:B251"/>
    <mergeCell ref="C251:D251"/>
    <mergeCell ref="E251:I251"/>
    <mergeCell ref="J251:M251"/>
    <mergeCell ref="N251:P251"/>
    <mergeCell ref="Q251:R251"/>
    <mergeCell ref="A252:B252"/>
    <mergeCell ref="C252:D252"/>
    <mergeCell ref="E252:I252"/>
    <mergeCell ref="J252:M252"/>
    <mergeCell ref="N252:P252"/>
    <mergeCell ref="Q252:R252"/>
    <mergeCell ref="A253:B253"/>
    <mergeCell ref="C253:D253"/>
    <mergeCell ref="E253:I253"/>
    <mergeCell ref="J253:M253"/>
    <mergeCell ref="N253:P253"/>
    <mergeCell ref="Q253:R253"/>
    <mergeCell ref="A254:B254"/>
    <mergeCell ref="C254:D254"/>
    <mergeCell ref="E254:I254"/>
    <mergeCell ref="J254:M254"/>
    <mergeCell ref="N254:P254"/>
    <mergeCell ref="Q254:R254"/>
    <mergeCell ref="A255:B255"/>
    <mergeCell ref="C255:I255"/>
    <mergeCell ref="J255:M255"/>
    <mergeCell ref="N255:P255"/>
    <mergeCell ref="Q255:R255"/>
    <mergeCell ref="A256:B256"/>
    <mergeCell ref="C256:D256"/>
    <mergeCell ref="E256:I256"/>
    <mergeCell ref="J256:M256"/>
    <mergeCell ref="N256:P256"/>
    <mergeCell ref="Q256:R256"/>
    <mergeCell ref="A257:B257"/>
    <mergeCell ref="C257:I257"/>
    <mergeCell ref="J257:M257"/>
    <mergeCell ref="N257:P257"/>
    <mergeCell ref="Q257:R257"/>
    <mergeCell ref="A258:B258"/>
    <mergeCell ref="C258:I258"/>
    <mergeCell ref="J258:M258"/>
    <mergeCell ref="N258:P258"/>
    <mergeCell ref="Q258:R258"/>
    <mergeCell ref="A259:B259"/>
    <mergeCell ref="C259:I259"/>
    <mergeCell ref="J259:M259"/>
    <mergeCell ref="N259:P259"/>
    <mergeCell ref="Q259:R259"/>
    <mergeCell ref="A260:B260"/>
    <mergeCell ref="C260:I260"/>
    <mergeCell ref="J260:M260"/>
    <mergeCell ref="N260:P260"/>
    <mergeCell ref="Q260:R260"/>
    <mergeCell ref="A261:B261"/>
    <mergeCell ref="C261:D261"/>
    <mergeCell ref="E261:I261"/>
    <mergeCell ref="J261:M261"/>
    <mergeCell ref="N261:P261"/>
    <mergeCell ref="Q261:R261"/>
    <mergeCell ref="A262:B262"/>
    <mergeCell ref="C262:I262"/>
    <mergeCell ref="J262:M262"/>
    <mergeCell ref="N262:P262"/>
    <mergeCell ref="Q262:R262"/>
    <mergeCell ref="A263:B263"/>
    <mergeCell ref="C263:D263"/>
    <mergeCell ref="E263:I263"/>
    <mergeCell ref="J263:M263"/>
    <mergeCell ref="N263:P263"/>
    <mergeCell ref="Q263:R263"/>
    <mergeCell ref="A264:B264"/>
    <mergeCell ref="C264:D264"/>
    <mergeCell ref="E264:I264"/>
    <mergeCell ref="J264:M264"/>
    <mergeCell ref="N264:P264"/>
    <mergeCell ref="Q264:R264"/>
    <mergeCell ref="A265:B265"/>
    <mergeCell ref="C265:D265"/>
    <mergeCell ref="E265:I265"/>
    <mergeCell ref="J265:M265"/>
    <mergeCell ref="N265:P265"/>
    <mergeCell ref="Q265:R265"/>
    <mergeCell ref="A266:B266"/>
    <mergeCell ref="C266:D266"/>
    <mergeCell ref="E266:I266"/>
    <mergeCell ref="J266:M266"/>
    <mergeCell ref="N266:P266"/>
    <mergeCell ref="Q266:R266"/>
    <mergeCell ref="A267:B267"/>
    <mergeCell ref="C267:D267"/>
    <mergeCell ref="E267:I267"/>
    <mergeCell ref="J267:M267"/>
    <mergeCell ref="N267:P267"/>
    <mergeCell ref="Q267:R267"/>
    <mergeCell ref="A268:B268"/>
    <mergeCell ref="C268:D268"/>
    <mergeCell ref="E268:I268"/>
    <mergeCell ref="J268:M268"/>
    <mergeCell ref="N268:P268"/>
    <mergeCell ref="Q268:R268"/>
    <mergeCell ref="A269:B269"/>
    <mergeCell ref="C269:D269"/>
    <mergeCell ref="E269:I269"/>
    <mergeCell ref="J269:M269"/>
    <mergeCell ref="N269:P269"/>
    <mergeCell ref="Q269:R269"/>
    <mergeCell ref="A270:B270"/>
    <mergeCell ref="C270:D270"/>
    <mergeCell ref="E270:I270"/>
    <mergeCell ref="J270:M270"/>
    <mergeCell ref="N270:P270"/>
    <mergeCell ref="Q270:R270"/>
    <mergeCell ref="A271:B271"/>
    <mergeCell ref="C271:D271"/>
    <mergeCell ref="E271:I271"/>
    <mergeCell ref="J271:M271"/>
    <mergeCell ref="N271:P271"/>
    <mergeCell ref="Q271:R271"/>
    <mergeCell ref="A272:B272"/>
    <mergeCell ref="C272:D272"/>
    <mergeCell ref="E272:I272"/>
    <mergeCell ref="J272:M272"/>
    <mergeCell ref="N272:P272"/>
    <mergeCell ref="Q272:R272"/>
    <mergeCell ref="A273:B273"/>
    <mergeCell ref="C273:D273"/>
    <mergeCell ref="E273:I273"/>
    <mergeCell ref="J273:M273"/>
    <mergeCell ref="N273:P273"/>
    <mergeCell ref="Q273:R273"/>
    <mergeCell ref="A274:B274"/>
    <mergeCell ref="C274:D274"/>
    <mergeCell ref="E274:I274"/>
    <mergeCell ref="J274:M274"/>
    <mergeCell ref="N274:P274"/>
    <mergeCell ref="Q274:R274"/>
    <mergeCell ref="A275:B275"/>
    <mergeCell ref="C275:D275"/>
    <mergeCell ref="E275:I275"/>
    <mergeCell ref="J275:M275"/>
    <mergeCell ref="N275:P275"/>
    <mergeCell ref="Q275:R275"/>
    <mergeCell ref="A276:B276"/>
    <mergeCell ref="C276:D276"/>
    <mergeCell ref="E276:I276"/>
    <mergeCell ref="J276:M276"/>
    <mergeCell ref="N276:P276"/>
    <mergeCell ref="Q276:R276"/>
    <mergeCell ref="A277:B277"/>
    <mergeCell ref="C277:D277"/>
    <mergeCell ref="E277:I277"/>
    <mergeCell ref="J277:M277"/>
    <mergeCell ref="N277:P277"/>
    <mergeCell ref="Q277:R277"/>
    <mergeCell ref="A278:B278"/>
    <mergeCell ref="C278:D278"/>
    <mergeCell ref="E278:I278"/>
    <mergeCell ref="J278:M278"/>
    <mergeCell ref="N278:P278"/>
    <mergeCell ref="Q278:R278"/>
    <mergeCell ref="A279:B279"/>
    <mergeCell ref="C279:D279"/>
    <mergeCell ref="E279:I279"/>
    <mergeCell ref="J279:M279"/>
    <mergeCell ref="N279:P279"/>
    <mergeCell ref="Q279:R279"/>
    <mergeCell ref="A280:B280"/>
    <mergeCell ref="C280:D280"/>
    <mergeCell ref="E280:I280"/>
    <mergeCell ref="J280:M280"/>
    <mergeCell ref="N280:P280"/>
    <mergeCell ref="Q280:R280"/>
    <mergeCell ref="A281:B281"/>
    <mergeCell ref="C281:D281"/>
    <mergeCell ref="E281:I281"/>
    <mergeCell ref="J281:M281"/>
    <mergeCell ref="N281:P281"/>
    <mergeCell ref="Q281:R281"/>
    <mergeCell ref="A282:B282"/>
    <mergeCell ref="C282:D282"/>
    <mergeCell ref="E282:I282"/>
    <mergeCell ref="J282:M282"/>
    <mergeCell ref="N282:P282"/>
    <mergeCell ref="Q282:R282"/>
    <mergeCell ref="A283:B283"/>
    <mergeCell ref="C283:D283"/>
    <mergeCell ref="E283:I283"/>
    <mergeCell ref="J283:M283"/>
    <mergeCell ref="N283:P283"/>
    <mergeCell ref="Q283:R283"/>
    <mergeCell ref="A284:B284"/>
    <mergeCell ref="C284:D284"/>
    <mergeCell ref="E284:I284"/>
    <mergeCell ref="J284:M284"/>
    <mergeCell ref="N284:P284"/>
    <mergeCell ref="Q284:R284"/>
    <mergeCell ref="A285:B285"/>
    <mergeCell ref="C285:D285"/>
    <mergeCell ref="E285:I285"/>
    <mergeCell ref="J285:M285"/>
    <mergeCell ref="N285:P285"/>
    <mergeCell ref="Q285:R285"/>
    <mergeCell ref="A286:B286"/>
    <mergeCell ref="C286:D286"/>
    <mergeCell ref="E286:I286"/>
    <mergeCell ref="J286:M286"/>
    <mergeCell ref="N286:P286"/>
    <mergeCell ref="Q286:R286"/>
    <mergeCell ref="A287:B287"/>
    <mergeCell ref="C287:D287"/>
    <mergeCell ref="E287:I287"/>
    <mergeCell ref="J287:M287"/>
    <mergeCell ref="N287:P287"/>
    <mergeCell ref="Q287:R287"/>
    <mergeCell ref="A288:B288"/>
    <mergeCell ref="C288:D288"/>
    <mergeCell ref="E288:I288"/>
    <mergeCell ref="J288:M288"/>
    <mergeCell ref="N288:P288"/>
    <mergeCell ref="Q288:R288"/>
    <mergeCell ref="A289:B289"/>
    <mergeCell ref="C289:D289"/>
    <mergeCell ref="E289:I289"/>
    <mergeCell ref="J289:M289"/>
    <mergeCell ref="N289:P289"/>
    <mergeCell ref="Q289:R289"/>
    <mergeCell ref="A290:B290"/>
    <mergeCell ref="C290:D290"/>
    <mergeCell ref="E290:I290"/>
    <mergeCell ref="J290:M290"/>
    <mergeCell ref="N290:P290"/>
    <mergeCell ref="Q290:R290"/>
    <mergeCell ref="A291:B291"/>
    <mergeCell ref="C291:D291"/>
    <mergeCell ref="E291:I291"/>
    <mergeCell ref="J291:M291"/>
    <mergeCell ref="N291:P291"/>
    <mergeCell ref="Q291:R291"/>
    <mergeCell ref="A292:B292"/>
    <mergeCell ref="C292:D292"/>
    <mergeCell ref="E292:I292"/>
    <mergeCell ref="J292:M292"/>
    <mergeCell ref="N292:P292"/>
    <mergeCell ref="Q292:R292"/>
    <mergeCell ref="A293:B293"/>
    <mergeCell ref="C293:I293"/>
    <mergeCell ref="J293:M293"/>
    <mergeCell ref="N293:P293"/>
    <mergeCell ref="Q293:R293"/>
    <mergeCell ref="A294:B294"/>
    <mergeCell ref="C294:D294"/>
    <mergeCell ref="E294:I294"/>
    <mergeCell ref="J294:M294"/>
    <mergeCell ref="N294:P294"/>
    <mergeCell ref="Q294:R294"/>
    <mergeCell ref="A295:B295"/>
    <mergeCell ref="C295:D295"/>
    <mergeCell ref="E295:I295"/>
    <mergeCell ref="J295:M295"/>
    <mergeCell ref="N295:P295"/>
    <mergeCell ref="Q295:R295"/>
    <mergeCell ref="A296:B296"/>
    <mergeCell ref="C296:D296"/>
    <mergeCell ref="E296:I296"/>
    <mergeCell ref="J296:M296"/>
    <mergeCell ref="N296:P296"/>
    <mergeCell ref="Q296:R296"/>
    <mergeCell ref="A297:B297"/>
    <mergeCell ref="C297:D297"/>
    <mergeCell ref="E297:I297"/>
    <mergeCell ref="J297:M297"/>
    <mergeCell ref="N297:P297"/>
    <mergeCell ref="Q297:R297"/>
    <mergeCell ref="A298:B298"/>
    <mergeCell ref="C298:D298"/>
    <mergeCell ref="E298:I298"/>
    <mergeCell ref="J298:M298"/>
    <mergeCell ref="N298:P298"/>
    <mergeCell ref="Q298:R298"/>
    <mergeCell ref="A299:B299"/>
    <mergeCell ref="C299:D299"/>
    <mergeCell ref="E299:I299"/>
    <mergeCell ref="J299:M299"/>
    <mergeCell ref="N299:P299"/>
    <mergeCell ref="Q299:R299"/>
    <mergeCell ref="A300:B300"/>
    <mergeCell ref="C300:D300"/>
    <mergeCell ref="E300:I300"/>
    <mergeCell ref="J300:M300"/>
    <mergeCell ref="N300:P300"/>
    <mergeCell ref="Q300:R300"/>
    <mergeCell ref="A301:B301"/>
    <mergeCell ref="C301:D301"/>
    <mergeCell ref="E301:I301"/>
    <mergeCell ref="J301:M301"/>
    <mergeCell ref="N301:P301"/>
    <mergeCell ref="Q301:R301"/>
    <mergeCell ref="A302:B302"/>
    <mergeCell ref="C302:D302"/>
    <mergeCell ref="E302:I302"/>
    <mergeCell ref="J302:M302"/>
    <mergeCell ref="N302:P302"/>
    <mergeCell ref="Q302:R302"/>
    <mergeCell ref="A303:B303"/>
    <mergeCell ref="C303:D303"/>
    <mergeCell ref="E303:I303"/>
    <mergeCell ref="J303:M303"/>
    <mergeCell ref="N303:P303"/>
    <mergeCell ref="Q303:R303"/>
    <mergeCell ref="A304:B304"/>
    <mergeCell ref="C304:D304"/>
    <mergeCell ref="E304:I304"/>
    <mergeCell ref="J304:M304"/>
    <mergeCell ref="N304:P304"/>
    <mergeCell ref="Q304:R304"/>
    <mergeCell ref="A305:B305"/>
    <mergeCell ref="C305:D305"/>
    <mergeCell ref="E305:I305"/>
    <mergeCell ref="J305:M305"/>
    <mergeCell ref="N305:P305"/>
    <mergeCell ref="Q305:R305"/>
    <mergeCell ref="A306:B306"/>
    <mergeCell ref="C306:D306"/>
    <mergeCell ref="E306:I306"/>
    <mergeCell ref="J306:M306"/>
    <mergeCell ref="N306:P306"/>
    <mergeCell ref="Q306:R306"/>
    <mergeCell ref="A307:B307"/>
    <mergeCell ref="C307:D307"/>
    <mergeCell ref="E307:I307"/>
    <mergeCell ref="J307:M307"/>
    <mergeCell ref="N307:P307"/>
    <mergeCell ref="Q307:R307"/>
    <mergeCell ref="A308:B308"/>
    <mergeCell ref="C308:D308"/>
    <mergeCell ref="E308:I308"/>
    <mergeCell ref="J308:M308"/>
    <mergeCell ref="N308:P308"/>
    <mergeCell ref="Q308:R308"/>
    <mergeCell ref="A309:B309"/>
    <mergeCell ref="C309:D309"/>
    <mergeCell ref="E309:I309"/>
    <mergeCell ref="J309:M309"/>
    <mergeCell ref="N309:P309"/>
    <mergeCell ref="Q309:R309"/>
    <mergeCell ref="A310:B310"/>
    <mergeCell ref="C310:I310"/>
    <mergeCell ref="J310:M310"/>
    <mergeCell ref="N310:P310"/>
    <mergeCell ref="Q310:R310"/>
    <mergeCell ref="A311:B311"/>
    <mergeCell ref="C311:D311"/>
    <mergeCell ref="E311:I311"/>
    <mergeCell ref="J311:M311"/>
    <mergeCell ref="N311:P311"/>
    <mergeCell ref="Q311:R311"/>
    <mergeCell ref="A312:B312"/>
    <mergeCell ref="C312:D312"/>
    <mergeCell ref="E312:I312"/>
    <mergeCell ref="J312:M312"/>
    <mergeCell ref="N312:P312"/>
    <mergeCell ref="Q312:R312"/>
    <mergeCell ref="A313:B313"/>
    <mergeCell ref="C313:D313"/>
    <mergeCell ref="E313:I313"/>
    <mergeCell ref="J313:M313"/>
    <mergeCell ref="N313:P313"/>
    <mergeCell ref="Q313:R313"/>
    <mergeCell ref="A314:B314"/>
    <mergeCell ref="C314:D314"/>
    <mergeCell ref="E314:I314"/>
    <mergeCell ref="J314:M314"/>
    <mergeCell ref="N314:P314"/>
    <mergeCell ref="Q314:R314"/>
    <mergeCell ref="A315:B315"/>
    <mergeCell ref="C315:D315"/>
    <mergeCell ref="E315:I315"/>
    <mergeCell ref="J315:M315"/>
    <mergeCell ref="N315:P315"/>
    <mergeCell ref="Q315:R315"/>
    <mergeCell ref="A316:B316"/>
    <mergeCell ref="C316:D316"/>
    <mergeCell ref="E316:I316"/>
    <mergeCell ref="J316:M316"/>
    <mergeCell ref="N316:P316"/>
    <mergeCell ref="Q316:R316"/>
    <mergeCell ref="A317:B317"/>
    <mergeCell ref="C317:D317"/>
    <mergeCell ref="E317:I317"/>
    <mergeCell ref="J317:M317"/>
    <mergeCell ref="N317:P317"/>
    <mergeCell ref="Q317:R317"/>
    <mergeCell ref="A318:B318"/>
    <mergeCell ref="C318:D318"/>
    <mergeCell ref="E318:I318"/>
    <mergeCell ref="J318:M318"/>
    <mergeCell ref="N318:P318"/>
    <mergeCell ref="Q318:R318"/>
    <mergeCell ref="A319:B319"/>
    <mergeCell ref="C319:D319"/>
    <mergeCell ref="E319:I319"/>
    <mergeCell ref="J319:M319"/>
    <mergeCell ref="N319:P319"/>
    <mergeCell ref="Q319:R319"/>
    <mergeCell ref="A320:B320"/>
    <mergeCell ref="C320:I320"/>
    <mergeCell ref="J320:M320"/>
    <mergeCell ref="N320:P320"/>
    <mergeCell ref="Q320:R320"/>
    <mergeCell ref="A321:B321"/>
    <mergeCell ref="C321:D321"/>
    <mergeCell ref="E321:I321"/>
    <mergeCell ref="J321:M321"/>
    <mergeCell ref="N321:P321"/>
    <mergeCell ref="Q321:R321"/>
    <mergeCell ref="A322:B322"/>
    <mergeCell ref="C322:D322"/>
    <mergeCell ref="E322:I322"/>
    <mergeCell ref="J322:M322"/>
    <mergeCell ref="N322:P322"/>
    <mergeCell ref="Q322:R322"/>
    <mergeCell ref="A323:B323"/>
    <mergeCell ref="C323:I323"/>
    <mergeCell ref="J323:M323"/>
    <mergeCell ref="N323:P323"/>
    <mergeCell ref="Q323:R323"/>
    <mergeCell ref="A324:B324"/>
    <mergeCell ref="C324:D324"/>
    <mergeCell ref="E324:I324"/>
    <mergeCell ref="J324:M324"/>
    <mergeCell ref="N324:P324"/>
    <mergeCell ref="Q324:R324"/>
    <mergeCell ref="A325:B325"/>
    <mergeCell ref="C325:D325"/>
    <mergeCell ref="E325:I325"/>
    <mergeCell ref="J325:M325"/>
    <mergeCell ref="N325:P325"/>
    <mergeCell ref="Q325:R325"/>
    <mergeCell ref="A326:B326"/>
    <mergeCell ref="C326:D326"/>
    <mergeCell ref="E326:I326"/>
    <mergeCell ref="J326:M326"/>
    <mergeCell ref="N326:P326"/>
    <mergeCell ref="Q326:R326"/>
    <mergeCell ref="A327:B327"/>
    <mergeCell ref="C327:D327"/>
    <mergeCell ref="E327:I327"/>
    <mergeCell ref="J327:M327"/>
    <mergeCell ref="N327:P327"/>
    <mergeCell ref="Q327:R327"/>
    <mergeCell ref="A328:B328"/>
    <mergeCell ref="C328:D328"/>
    <mergeCell ref="E328:I328"/>
    <mergeCell ref="J328:M328"/>
    <mergeCell ref="N328:P328"/>
    <mergeCell ref="Q328:R328"/>
    <mergeCell ref="A329:B329"/>
    <mergeCell ref="C329:D329"/>
    <mergeCell ref="E329:I329"/>
    <mergeCell ref="J329:M329"/>
    <mergeCell ref="N329:P329"/>
    <mergeCell ref="Q329:R329"/>
    <mergeCell ref="A330:B330"/>
    <mergeCell ref="C330:D330"/>
    <mergeCell ref="E330:I330"/>
    <mergeCell ref="J330:M330"/>
    <mergeCell ref="N330:P330"/>
    <mergeCell ref="Q330:R330"/>
    <mergeCell ref="A331:B331"/>
    <mergeCell ref="C331:D331"/>
    <mergeCell ref="E331:I331"/>
    <mergeCell ref="J331:M331"/>
    <mergeCell ref="N331:P331"/>
    <mergeCell ref="Q331:R331"/>
    <mergeCell ref="A332:B332"/>
    <mergeCell ref="C332:D332"/>
    <mergeCell ref="E332:I332"/>
    <mergeCell ref="J332:M332"/>
    <mergeCell ref="N332:P332"/>
    <mergeCell ref="Q332:R332"/>
    <mergeCell ref="A333:B333"/>
    <mergeCell ref="C333:D333"/>
    <mergeCell ref="E333:I333"/>
    <mergeCell ref="J333:M333"/>
    <mergeCell ref="N333:P333"/>
    <mergeCell ref="Q333:R333"/>
    <mergeCell ref="A334:B334"/>
    <mergeCell ref="C334:D334"/>
    <mergeCell ref="E334:I334"/>
    <mergeCell ref="J334:M334"/>
    <mergeCell ref="N334:P334"/>
    <mergeCell ref="Q334:R334"/>
    <mergeCell ref="A335:B335"/>
    <mergeCell ref="C335:D335"/>
    <mergeCell ref="E335:I335"/>
    <mergeCell ref="J335:M335"/>
    <mergeCell ref="N335:P335"/>
    <mergeCell ref="Q335:R335"/>
    <mergeCell ref="A336:B336"/>
    <mergeCell ref="C336:D336"/>
    <mergeCell ref="E336:I336"/>
    <mergeCell ref="J336:M336"/>
    <mergeCell ref="N336:P336"/>
    <mergeCell ref="Q336:R336"/>
    <mergeCell ref="A337:B337"/>
    <mergeCell ref="C337:D337"/>
    <mergeCell ref="E337:I337"/>
    <mergeCell ref="J337:M337"/>
    <mergeCell ref="N337:P337"/>
    <mergeCell ref="Q337:R337"/>
    <mergeCell ref="A338:B338"/>
    <mergeCell ref="C338:D338"/>
    <mergeCell ref="E338:I338"/>
    <mergeCell ref="J338:M338"/>
    <mergeCell ref="N338:P338"/>
    <mergeCell ref="Q338:R338"/>
    <mergeCell ref="A339:B339"/>
    <mergeCell ref="C339:D339"/>
    <mergeCell ref="E339:I339"/>
    <mergeCell ref="J339:M339"/>
    <mergeCell ref="N339:P339"/>
    <mergeCell ref="Q339:R339"/>
    <mergeCell ref="A340:B340"/>
    <mergeCell ref="C340:D340"/>
    <mergeCell ref="E340:I340"/>
    <mergeCell ref="J340:M340"/>
    <mergeCell ref="N340:P340"/>
    <mergeCell ref="Q340:R340"/>
    <mergeCell ref="A341:B341"/>
    <mergeCell ref="C341:D341"/>
    <mergeCell ref="E341:I341"/>
    <mergeCell ref="J341:M341"/>
    <mergeCell ref="N341:P341"/>
    <mergeCell ref="Q341:R341"/>
    <mergeCell ref="A342:B342"/>
    <mergeCell ref="C342:D342"/>
    <mergeCell ref="E342:I342"/>
    <mergeCell ref="J342:M342"/>
    <mergeCell ref="N342:P342"/>
    <mergeCell ref="Q342:R342"/>
    <mergeCell ref="A343:B343"/>
    <mergeCell ref="C343:D343"/>
    <mergeCell ref="E343:I343"/>
    <mergeCell ref="J343:M343"/>
    <mergeCell ref="N343:P343"/>
    <mergeCell ref="Q343:R343"/>
    <mergeCell ref="A344:B344"/>
    <mergeCell ref="C344:D344"/>
    <mergeCell ref="E344:I344"/>
    <mergeCell ref="J344:M344"/>
    <mergeCell ref="N344:P344"/>
    <mergeCell ref="Q344:R344"/>
    <mergeCell ref="A345:B345"/>
    <mergeCell ref="C345:D345"/>
    <mergeCell ref="E345:I345"/>
    <mergeCell ref="J345:M345"/>
    <mergeCell ref="N345:P345"/>
    <mergeCell ref="Q345:R345"/>
    <mergeCell ref="A346:B346"/>
    <mergeCell ref="C346:D346"/>
    <mergeCell ref="E346:I346"/>
    <mergeCell ref="J346:M346"/>
    <mergeCell ref="N346:P346"/>
    <mergeCell ref="Q346:R346"/>
    <mergeCell ref="A347:B347"/>
    <mergeCell ref="C347:D347"/>
    <mergeCell ref="E347:I347"/>
    <mergeCell ref="J347:M347"/>
    <mergeCell ref="N347:P347"/>
    <mergeCell ref="Q347:R347"/>
    <mergeCell ref="A348:B348"/>
    <mergeCell ref="C348:D348"/>
    <mergeCell ref="E348:I348"/>
    <mergeCell ref="J348:M348"/>
    <mergeCell ref="N348:P348"/>
    <mergeCell ref="Q348:R348"/>
    <mergeCell ref="A349:B349"/>
    <mergeCell ref="C349:D349"/>
    <mergeCell ref="E349:I349"/>
    <mergeCell ref="J349:M349"/>
    <mergeCell ref="N349:P349"/>
    <mergeCell ref="Q349:R349"/>
    <mergeCell ref="A350:B350"/>
    <mergeCell ref="C350:D350"/>
    <mergeCell ref="E350:I350"/>
    <mergeCell ref="J350:M350"/>
    <mergeCell ref="N350:P350"/>
    <mergeCell ref="Q350:R350"/>
    <mergeCell ref="A351:B351"/>
    <mergeCell ref="C351:D351"/>
    <mergeCell ref="E351:I351"/>
    <mergeCell ref="J351:M351"/>
    <mergeCell ref="N351:P351"/>
    <mergeCell ref="Q351:R351"/>
    <mergeCell ref="A352:B352"/>
    <mergeCell ref="C352:D352"/>
    <mergeCell ref="E352:I352"/>
    <mergeCell ref="J352:M352"/>
    <mergeCell ref="N352:P352"/>
    <mergeCell ref="Q352:R352"/>
    <mergeCell ref="A353:B353"/>
    <mergeCell ref="C353:D353"/>
    <mergeCell ref="E353:I353"/>
    <mergeCell ref="J353:M353"/>
    <mergeCell ref="N353:P353"/>
    <mergeCell ref="Q353:R353"/>
    <mergeCell ref="A354:B354"/>
    <mergeCell ref="C354:D354"/>
    <mergeCell ref="E354:I354"/>
    <mergeCell ref="J354:M354"/>
    <mergeCell ref="N354:P354"/>
    <mergeCell ref="Q354:R354"/>
    <mergeCell ref="A355:B355"/>
    <mergeCell ref="C355:D355"/>
    <mergeCell ref="E355:I355"/>
    <mergeCell ref="J355:M355"/>
    <mergeCell ref="N355:P355"/>
    <mergeCell ref="Q355:R355"/>
    <mergeCell ref="A356:B356"/>
    <mergeCell ref="C356:D356"/>
    <mergeCell ref="E356:I356"/>
    <mergeCell ref="J356:M356"/>
    <mergeCell ref="N356:P356"/>
    <mergeCell ref="Q356:R356"/>
    <mergeCell ref="A357:B357"/>
    <mergeCell ref="C357:D357"/>
    <mergeCell ref="E357:I357"/>
    <mergeCell ref="J357:M357"/>
    <mergeCell ref="N357:P357"/>
    <mergeCell ref="Q357:R357"/>
    <mergeCell ref="A358:B358"/>
    <mergeCell ref="C358:D358"/>
    <mergeCell ref="E358:I358"/>
    <mergeCell ref="J358:M358"/>
    <mergeCell ref="N358:P358"/>
    <mergeCell ref="Q358:R358"/>
    <mergeCell ref="A359:B359"/>
    <mergeCell ref="C359:D359"/>
    <mergeCell ref="E359:I359"/>
    <mergeCell ref="J359:M359"/>
    <mergeCell ref="N359:P359"/>
    <mergeCell ref="Q359:R359"/>
    <mergeCell ref="A360:B360"/>
    <mergeCell ref="C360:D360"/>
    <mergeCell ref="E360:I360"/>
    <mergeCell ref="J360:M360"/>
    <mergeCell ref="N360:P360"/>
    <mergeCell ref="Q360:R360"/>
    <mergeCell ref="A361:B361"/>
    <mergeCell ref="C361:D361"/>
    <mergeCell ref="E361:I361"/>
    <mergeCell ref="J361:M361"/>
    <mergeCell ref="N361:P361"/>
    <mergeCell ref="Q361:R361"/>
    <mergeCell ref="A362:B362"/>
    <mergeCell ref="C362:D362"/>
    <mergeCell ref="E362:I362"/>
    <mergeCell ref="J362:M362"/>
    <mergeCell ref="N362:P362"/>
    <mergeCell ref="Q362:R362"/>
    <mergeCell ref="A363:B363"/>
    <mergeCell ref="C363:D363"/>
    <mergeCell ref="E363:I363"/>
    <mergeCell ref="J363:M363"/>
    <mergeCell ref="N363:P363"/>
    <mergeCell ref="Q363:R363"/>
    <mergeCell ref="A364:B364"/>
    <mergeCell ref="C364:D364"/>
    <mergeCell ref="E364:I364"/>
    <mergeCell ref="J364:M364"/>
    <mergeCell ref="N364:P364"/>
    <mergeCell ref="Q364:R364"/>
    <mergeCell ref="A365:B365"/>
    <mergeCell ref="C365:D365"/>
    <mergeCell ref="E365:I365"/>
    <mergeCell ref="J365:M365"/>
    <mergeCell ref="N365:P365"/>
    <mergeCell ref="Q365:R365"/>
    <mergeCell ref="A366:B366"/>
    <mergeCell ref="C366:D366"/>
    <mergeCell ref="E366:I366"/>
    <mergeCell ref="J366:M366"/>
    <mergeCell ref="N366:P366"/>
    <mergeCell ref="Q366:R366"/>
    <mergeCell ref="A367:B367"/>
    <mergeCell ref="C367:I367"/>
    <mergeCell ref="J367:M367"/>
    <mergeCell ref="N367:P367"/>
    <mergeCell ref="Q367:R367"/>
    <mergeCell ref="A368:B368"/>
    <mergeCell ref="C368:D368"/>
    <mergeCell ref="E368:I368"/>
    <mergeCell ref="J368:M368"/>
    <mergeCell ref="N368:P368"/>
    <mergeCell ref="Q368:R368"/>
    <mergeCell ref="A369:B369"/>
    <mergeCell ref="C369:D369"/>
    <mergeCell ref="E369:I369"/>
    <mergeCell ref="J369:M369"/>
    <mergeCell ref="N369:P369"/>
    <mergeCell ref="Q369:R369"/>
    <mergeCell ref="A370:B370"/>
    <mergeCell ref="C370:D370"/>
    <mergeCell ref="E370:I370"/>
    <mergeCell ref="J370:M370"/>
    <mergeCell ref="N370:P370"/>
    <mergeCell ref="Q370:R370"/>
    <mergeCell ref="A371:B371"/>
    <mergeCell ref="C371:D371"/>
    <mergeCell ref="E371:I371"/>
    <mergeCell ref="J371:M371"/>
    <mergeCell ref="N371:P371"/>
    <mergeCell ref="Q371:R371"/>
    <mergeCell ref="A372:B372"/>
    <mergeCell ref="C372:D372"/>
    <mergeCell ref="E372:I372"/>
    <mergeCell ref="J372:M372"/>
    <mergeCell ref="N372:P372"/>
    <mergeCell ref="Q372:R372"/>
    <mergeCell ref="A373:B373"/>
    <mergeCell ref="C373:D373"/>
    <mergeCell ref="E373:I373"/>
    <mergeCell ref="J373:M373"/>
    <mergeCell ref="N373:P373"/>
    <mergeCell ref="Q373:R373"/>
    <mergeCell ref="A374:B374"/>
    <mergeCell ref="C374:D374"/>
    <mergeCell ref="E374:I374"/>
    <mergeCell ref="J374:M374"/>
    <mergeCell ref="N374:P374"/>
    <mergeCell ref="Q374:R374"/>
    <mergeCell ref="A375:B375"/>
    <mergeCell ref="C375:D375"/>
    <mergeCell ref="E375:I375"/>
    <mergeCell ref="J375:M375"/>
    <mergeCell ref="N375:P375"/>
    <mergeCell ref="Q375:R375"/>
    <mergeCell ref="A376:B376"/>
    <mergeCell ref="C376:D376"/>
    <mergeCell ref="E376:I376"/>
    <mergeCell ref="J376:M376"/>
    <mergeCell ref="N376:P376"/>
    <mergeCell ref="Q376:R376"/>
    <mergeCell ref="A377:B377"/>
    <mergeCell ref="C377:D377"/>
    <mergeCell ref="E377:I377"/>
    <mergeCell ref="J377:M377"/>
    <mergeCell ref="N377:P377"/>
    <mergeCell ref="Q377:R377"/>
    <mergeCell ref="A378:B378"/>
    <mergeCell ref="C378:D378"/>
    <mergeCell ref="E378:I378"/>
    <mergeCell ref="J378:M378"/>
    <mergeCell ref="N378:P378"/>
    <mergeCell ref="Q378:R378"/>
    <mergeCell ref="A379:B379"/>
    <mergeCell ref="C379:D379"/>
    <mergeCell ref="E379:I379"/>
    <mergeCell ref="J379:M379"/>
    <mergeCell ref="N379:P379"/>
    <mergeCell ref="Q379:R379"/>
    <mergeCell ref="A380:B380"/>
    <mergeCell ref="C380:D380"/>
    <mergeCell ref="E380:I380"/>
    <mergeCell ref="J380:M380"/>
    <mergeCell ref="N380:P380"/>
    <mergeCell ref="Q380:R380"/>
    <mergeCell ref="A381:B381"/>
    <mergeCell ref="C381:D381"/>
    <mergeCell ref="E381:I381"/>
    <mergeCell ref="J381:M381"/>
    <mergeCell ref="N381:P381"/>
    <mergeCell ref="Q381:R381"/>
    <mergeCell ref="A382:B382"/>
    <mergeCell ref="C382:D382"/>
    <mergeCell ref="E382:I382"/>
    <mergeCell ref="J382:M382"/>
    <mergeCell ref="N382:P382"/>
    <mergeCell ref="Q382:R382"/>
    <mergeCell ref="A383:B383"/>
    <mergeCell ref="C383:D383"/>
    <mergeCell ref="E383:I383"/>
    <mergeCell ref="J383:M383"/>
    <mergeCell ref="N383:P383"/>
    <mergeCell ref="Q383:R383"/>
    <mergeCell ref="A384:B384"/>
    <mergeCell ref="C384:D384"/>
    <mergeCell ref="E384:I384"/>
    <mergeCell ref="J384:M384"/>
    <mergeCell ref="N384:P384"/>
    <mergeCell ref="Q384:R384"/>
    <mergeCell ref="A385:B385"/>
    <mergeCell ref="C385:D385"/>
    <mergeCell ref="E385:I385"/>
    <mergeCell ref="J385:M385"/>
    <mergeCell ref="N385:P385"/>
    <mergeCell ref="Q385:R385"/>
    <mergeCell ref="A386:B386"/>
    <mergeCell ref="C386:D386"/>
    <mergeCell ref="E386:I386"/>
    <mergeCell ref="J386:M386"/>
    <mergeCell ref="N386:P386"/>
    <mergeCell ref="Q386:R386"/>
    <mergeCell ref="A387:B387"/>
    <mergeCell ref="C387:D387"/>
    <mergeCell ref="E387:I387"/>
    <mergeCell ref="J387:M387"/>
    <mergeCell ref="N387:P387"/>
    <mergeCell ref="Q387:R387"/>
    <mergeCell ref="A388:B388"/>
    <mergeCell ref="C388:I388"/>
    <mergeCell ref="J388:M388"/>
    <mergeCell ref="N388:P388"/>
    <mergeCell ref="Q388:R388"/>
    <mergeCell ref="A389:B389"/>
    <mergeCell ref="C389:D389"/>
    <mergeCell ref="E389:I389"/>
    <mergeCell ref="J389:M389"/>
    <mergeCell ref="N389:P389"/>
    <mergeCell ref="Q389:R389"/>
    <mergeCell ref="A390:B390"/>
    <mergeCell ref="C390:D390"/>
    <mergeCell ref="E390:I390"/>
    <mergeCell ref="J390:M390"/>
    <mergeCell ref="N390:P390"/>
    <mergeCell ref="Q390:R390"/>
    <mergeCell ref="A391:B391"/>
    <mergeCell ref="C391:D391"/>
    <mergeCell ref="E391:I391"/>
    <mergeCell ref="J391:M391"/>
    <mergeCell ref="N391:P391"/>
    <mergeCell ref="Q391:R391"/>
    <mergeCell ref="A392:B392"/>
    <mergeCell ref="C392:D392"/>
    <mergeCell ref="E392:I392"/>
    <mergeCell ref="J392:M392"/>
    <mergeCell ref="N392:P392"/>
    <mergeCell ref="Q392:R392"/>
    <mergeCell ref="A393:B393"/>
    <mergeCell ref="C393:D393"/>
    <mergeCell ref="E393:I393"/>
    <mergeCell ref="J393:M393"/>
    <mergeCell ref="N393:P393"/>
    <mergeCell ref="Q393:R393"/>
    <mergeCell ref="A394:B394"/>
    <mergeCell ref="C394:D394"/>
    <mergeCell ref="E394:I394"/>
    <mergeCell ref="J394:M394"/>
    <mergeCell ref="N394:P394"/>
    <mergeCell ref="Q394:R394"/>
    <mergeCell ref="A395:B395"/>
    <mergeCell ref="C395:D395"/>
    <mergeCell ref="E395:I395"/>
    <mergeCell ref="J395:M395"/>
    <mergeCell ref="N395:P395"/>
    <mergeCell ref="Q395:R395"/>
    <mergeCell ref="A396:B396"/>
    <mergeCell ref="C396:D396"/>
    <mergeCell ref="E396:I396"/>
    <mergeCell ref="J396:M396"/>
    <mergeCell ref="N396:P396"/>
    <mergeCell ref="Q396:R396"/>
    <mergeCell ref="A397:B397"/>
    <mergeCell ref="C397:D397"/>
    <mergeCell ref="E397:I397"/>
    <mergeCell ref="J397:M397"/>
    <mergeCell ref="N397:P397"/>
    <mergeCell ref="Q397:R397"/>
    <mergeCell ref="A398:B398"/>
    <mergeCell ref="C398:D398"/>
    <mergeCell ref="E398:I398"/>
    <mergeCell ref="J398:M398"/>
    <mergeCell ref="N398:P398"/>
    <mergeCell ref="Q398:R398"/>
    <mergeCell ref="A399:B399"/>
    <mergeCell ref="C399:D399"/>
    <mergeCell ref="E399:I399"/>
    <mergeCell ref="J399:M399"/>
    <mergeCell ref="N399:P399"/>
    <mergeCell ref="Q399:R399"/>
    <mergeCell ref="A400:B400"/>
    <mergeCell ref="C400:D400"/>
    <mergeCell ref="E400:I400"/>
    <mergeCell ref="J400:M400"/>
    <mergeCell ref="N400:P400"/>
    <mergeCell ref="Q400:R400"/>
    <mergeCell ref="A401:B401"/>
    <mergeCell ref="C401:D401"/>
    <mergeCell ref="E401:I401"/>
    <mergeCell ref="J401:M401"/>
    <mergeCell ref="N401:P401"/>
    <mergeCell ref="Q401:R401"/>
    <mergeCell ref="A402:B402"/>
    <mergeCell ref="C402:D402"/>
    <mergeCell ref="E402:I402"/>
    <mergeCell ref="J402:M402"/>
    <mergeCell ref="N402:P402"/>
    <mergeCell ref="Q402:R402"/>
    <mergeCell ref="A403:B403"/>
    <mergeCell ref="C403:D403"/>
    <mergeCell ref="E403:I403"/>
    <mergeCell ref="J403:M403"/>
    <mergeCell ref="N403:P403"/>
    <mergeCell ref="Q403:R403"/>
    <mergeCell ref="A404:B404"/>
    <mergeCell ref="C404:D404"/>
    <mergeCell ref="E404:I404"/>
    <mergeCell ref="J404:M404"/>
    <mergeCell ref="N404:P404"/>
    <mergeCell ref="Q404:R404"/>
    <mergeCell ref="A405:B405"/>
    <mergeCell ref="C405:D405"/>
    <mergeCell ref="E405:I405"/>
    <mergeCell ref="J405:M405"/>
    <mergeCell ref="N405:P405"/>
    <mergeCell ref="Q405:R405"/>
    <mergeCell ref="A406:B406"/>
    <mergeCell ref="C406:D406"/>
    <mergeCell ref="E406:I406"/>
    <mergeCell ref="J406:M406"/>
    <mergeCell ref="N406:P406"/>
    <mergeCell ref="Q406:R406"/>
    <mergeCell ref="A407:B407"/>
    <mergeCell ref="C407:D407"/>
    <mergeCell ref="E407:I407"/>
    <mergeCell ref="J407:M407"/>
    <mergeCell ref="N407:P407"/>
    <mergeCell ref="Q407:R407"/>
    <mergeCell ref="A408:B408"/>
    <mergeCell ref="C408:D408"/>
    <mergeCell ref="E408:I408"/>
    <mergeCell ref="J408:M408"/>
    <mergeCell ref="N408:P408"/>
    <mergeCell ref="Q408:R408"/>
    <mergeCell ref="A409:B409"/>
    <mergeCell ref="C409:D409"/>
    <mergeCell ref="E409:I409"/>
    <mergeCell ref="J409:M409"/>
    <mergeCell ref="N409:P409"/>
    <mergeCell ref="Q409:R409"/>
    <mergeCell ref="A410:B410"/>
    <mergeCell ref="C410:D410"/>
    <mergeCell ref="E410:I410"/>
    <mergeCell ref="J410:M410"/>
    <mergeCell ref="N410:P410"/>
    <mergeCell ref="Q410:R410"/>
    <mergeCell ref="A411:B411"/>
    <mergeCell ref="C411:D411"/>
    <mergeCell ref="E411:I411"/>
    <mergeCell ref="J411:M411"/>
    <mergeCell ref="N411:P411"/>
    <mergeCell ref="Q411:R411"/>
    <mergeCell ref="A412:B412"/>
    <mergeCell ref="C412:D412"/>
    <mergeCell ref="E412:I412"/>
    <mergeCell ref="J412:M412"/>
    <mergeCell ref="N412:P412"/>
    <mergeCell ref="Q412:R412"/>
    <mergeCell ref="A413:B413"/>
    <mergeCell ref="C413:D413"/>
    <mergeCell ref="E413:I413"/>
    <mergeCell ref="J413:M413"/>
    <mergeCell ref="N413:P413"/>
    <mergeCell ref="Q413:R413"/>
    <mergeCell ref="A414:B414"/>
    <mergeCell ref="C414:D414"/>
    <mergeCell ref="E414:I414"/>
    <mergeCell ref="J414:M414"/>
    <mergeCell ref="N414:P414"/>
    <mergeCell ref="Q414:R414"/>
    <mergeCell ref="A415:B415"/>
    <mergeCell ref="C415:D415"/>
    <mergeCell ref="E415:I415"/>
    <mergeCell ref="J415:M415"/>
    <mergeCell ref="N415:P415"/>
    <mergeCell ref="Q415:R415"/>
    <mergeCell ref="A416:B416"/>
    <mergeCell ref="C416:D416"/>
    <mergeCell ref="E416:I416"/>
    <mergeCell ref="J416:M416"/>
    <mergeCell ref="N416:P416"/>
    <mergeCell ref="Q416:R416"/>
    <mergeCell ref="A417:B417"/>
    <mergeCell ref="C417:D417"/>
    <mergeCell ref="E417:I417"/>
    <mergeCell ref="J417:M417"/>
    <mergeCell ref="N417:P417"/>
    <mergeCell ref="Q417:R417"/>
    <mergeCell ref="A418:B418"/>
    <mergeCell ref="C418:D418"/>
    <mergeCell ref="E418:I418"/>
    <mergeCell ref="J418:M418"/>
    <mergeCell ref="N418:P418"/>
    <mergeCell ref="Q418:R418"/>
    <mergeCell ref="A419:B419"/>
    <mergeCell ref="C419:D419"/>
    <mergeCell ref="E419:I419"/>
    <mergeCell ref="J419:M419"/>
    <mergeCell ref="N419:P419"/>
    <mergeCell ref="Q419:R419"/>
    <mergeCell ref="A420:B420"/>
    <mergeCell ref="C420:D420"/>
    <mergeCell ref="E420:I420"/>
    <mergeCell ref="J420:M420"/>
    <mergeCell ref="N420:P420"/>
    <mergeCell ref="Q420:R420"/>
    <mergeCell ref="A421:B421"/>
    <mergeCell ref="C421:D421"/>
    <mergeCell ref="E421:I421"/>
    <mergeCell ref="J421:M421"/>
    <mergeCell ref="N421:P421"/>
    <mergeCell ref="Q421:R421"/>
    <mergeCell ref="A422:B422"/>
    <mergeCell ref="C422:D422"/>
    <mergeCell ref="E422:I422"/>
    <mergeCell ref="J422:M422"/>
    <mergeCell ref="N422:P422"/>
    <mergeCell ref="Q422:R422"/>
    <mergeCell ref="A423:B423"/>
    <mergeCell ref="C423:D423"/>
    <mergeCell ref="E423:I423"/>
    <mergeCell ref="J423:M423"/>
    <mergeCell ref="N423:P423"/>
    <mergeCell ref="Q423:R423"/>
    <mergeCell ref="A424:B424"/>
    <mergeCell ref="C424:D424"/>
    <mergeCell ref="E424:I424"/>
    <mergeCell ref="J424:M424"/>
    <mergeCell ref="N424:P424"/>
    <mergeCell ref="Q424:R424"/>
    <mergeCell ref="A425:B425"/>
    <mergeCell ref="C425:D425"/>
    <mergeCell ref="E425:I425"/>
    <mergeCell ref="J425:M425"/>
    <mergeCell ref="N425:P425"/>
    <mergeCell ref="Q425:R425"/>
    <mergeCell ref="A426:B426"/>
    <mergeCell ref="C426:D426"/>
    <mergeCell ref="E426:I426"/>
    <mergeCell ref="J426:M426"/>
    <mergeCell ref="N426:P426"/>
    <mergeCell ref="Q426:R426"/>
    <mergeCell ref="A427:B427"/>
    <mergeCell ref="C427:D427"/>
    <mergeCell ref="E427:I427"/>
    <mergeCell ref="J427:M427"/>
    <mergeCell ref="N427:P427"/>
    <mergeCell ref="Q427:R427"/>
    <mergeCell ref="A428:B428"/>
    <mergeCell ref="C428:D428"/>
    <mergeCell ref="E428:I428"/>
    <mergeCell ref="J428:M428"/>
    <mergeCell ref="N428:P428"/>
    <mergeCell ref="Q428:R428"/>
    <mergeCell ref="A429:B429"/>
    <mergeCell ref="C429:D429"/>
    <mergeCell ref="E429:I429"/>
    <mergeCell ref="J429:M429"/>
    <mergeCell ref="N429:P429"/>
    <mergeCell ref="Q429:R429"/>
    <mergeCell ref="A430:B430"/>
    <mergeCell ref="C430:D430"/>
    <mergeCell ref="E430:I430"/>
    <mergeCell ref="J430:M430"/>
    <mergeCell ref="N430:P430"/>
    <mergeCell ref="Q430:R430"/>
    <mergeCell ref="A431:B431"/>
    <mergeCell ref="C431:D431"/>
    <mergeCell ref="E431:I431"/>
    <mergeCell ref="J431:M431"/>
    <mergeCell ref="N431:P431"/>
    <mergeCell ref="Q431:R431"/>
    <mergeCell ref="A432:B432"/>
    <mergeCell ref="C432:D432"/>
    <mergeCell ref="E432:I432"/>
    <mergeCell ref="J432:M432"/>
    <mergeCell ref="N432:P432"/>
    <mergeCell ref="Q432:R432"/>
    <mergeCell ref="A433:B433"/>
    <mergeCell ref="C433:D433"/>
    <mergeCell ref="E433:I433"/>
    <mergeCell ref="J433:M433"/>
    <mergeCell ref="N433:P433"/>
    <mergeCell ref="Q433:R433"/>
    <mergeCell ref="A434:B434"/>
    <mergeCell ref="C434:D434"/>
    <mergeCell ref="E434:I434"/>
    <mergeCell ref="J434:M434"/>
    <mergeCell ref="N434:P434"/>
    <mergeCell ref="Q434:R434"/>
    <mergeCell ref="A435:B435"/>
    <mergeCell ref="C435:D435"/>
    <mergeCell ref="E435:I435"/>
    <mergeCell ref="J435:M435"/>
    <mergeCell ref="N435:P435"/>
    <mergeCell ref="Q435:R435"/>
    <mergeCell ref="A436:B436"/>
    <mergeCell ref="C436:D436"/>
    <mergeCell ref="E436:I436"/>
    <mergeCell ref="J436:M436"/>
    <mergeCell ref="N436:P436"/>
    <mergeCell ref="Q436:R436"/>
    <mergeCell ref="A437:B437"/>
    <mergeCell ref="C437:D437"/>
    <mergeCell ref="E437:I437"/>
    <mergeCell ref="J437:M437"/>
    <mergeCell ref="N437:P437"/>
    <mergeCell ref="Q437:R437"/>
    <mergeCell ref="A438:B438"/>
    <mergeCell ref="C438:D438"/>
    <mergeCell ref="E438:I438"/>
    <mergeCell ref="J438:M438"/>
    <mergeCell ref="N438:P438"/>
    <mergeCell ref="Q438:R438"/>
    <mergeCell ref="A439:B439"/>
    <mergeCell ref="C439:D439"/>
    <mergeCell ref="E439:I439"/>
    <mergeCell ref="J439:M439"/>
    <mergeCell ref="N439:P439"/>
    <mergeCell ref="Q439:R439"/>
    <mergeCell ref="A440:B440"/>
    <mergeCell ref="C440:D440"/>
    <mergeCell ref="E440:I440"/>
    <mergeCell ref="J440:M440"/>
    <mergeCell ref="N440:P440"/>
    <mergeCell ref="Q440:R440"/>
    <mergeCell ref="A441:B441"/>
    <mergeCell ref="C441:D441"/>
    <mergeCell ref="E441:I441"/>
    <mergeCell ref="J441:M441"/>
    <mergeCell ref="N441:P441"/>
    <mergeCell ref="Q441:R441"/>
    <mergeCell ref="A442:B442"/>
    <mergeCell ref="C442:D442"/>
    <mergeCell ref="E442:I442"/>
    <mergeCell ref="J442:M442"/>
    <mergeCell ref="N442:P442"/>
    <mergeCell ref="Q442:R442"/>
    <mergeCell ref="A443:B443"/>
    <mergeCell ref="C443:D443"/>
    <mergeCell ref="E443:I443"/>
    <mergeCell ref="J443:M443"/>
    <mergeCell ref="N443:P443"/>
    <mergeCell ref="Q443:R443"/>
    <mergeCell ref="A444:B444"/>
    <mergeCell ref="C444:D444"/>
    <mergeCell ref="E444:I444"/>
    <mergeCell ref="J444:M444"/>
    <mergeCell ref="N444:P444"/>
    <mergeCell ref="Q444:R444"/>
    <mergeCell ref="A445:B445"/>
    <mergeCell ref="C445:D445"/>
    <mergeCell ref="E445:I445"/>
    <mergeCell ref="J445:M445"/>
    <mergeCell ref="N445:P445"/>
    <mergeCell ref="Q445:R445"/>
    <mergeCell ref="A446:B446"/>
    <mergeCell ref="C446:D446"/>
    <mergeCell ref="E446:I446"/>
    <mergeCell ref="J446:M446"/>
    <mergeCell ref="N446:P446"/>
    <mergeCell ref="Q446:R446"/>
    <mergeCell ref="A447:B447"/>
    <mergeCell ref="C447:D447"/>
    <mergeCell ref="E447:I447"/>
    <mergeCell ref="J447:M447"/>
    <mergeCell ref="N447:P447"/>
    <mergeCell ref="Q447:R447"/>
    <mergeCell ref="A448:B448"/>
    <mergeCell ref="C448:D448"/>
    <mergeCell ref="E448:I448"/>
    <mergeCell ref="J448:M448"/>
    <mergeCell ref="N448:P448"/>
    <mergeCell ref="Q448:R448"/>
    <mergeCell ref="A449:B449"/>
    <mergeCell ref="C449:D449"/>
    <mergeCell ref="E449:I449"/>
    <mergeCell ref="J449:M449"/>
    <mergeCell ref="N449:P449"/>
    <mergeCell ref="Q449:R449"/>
    <mergeCell ref="A450:B450"/>
    <mergeCell ref="C450:D450"/>
    <mergeCell ref="E450:I450"/>
    <mergeCell ref="J450:M450"/>
    <mergeCell ref="N450:P450"/>
    <mergeCell ref="Q450:R450"/>
    <mergeCell ref="A451:B451"/>
    <mergeCell ref="C451:D451"/>
    <mergeCell ref="E451:I451"/>
    <mergeCell ref="J451:M451"/>
    <mergeCell ref="N451:P451"/>
    <mergeCell ref="Q451:R451"/>
    <mergeCell ref="A452:B452"/>
    <mergeCell ref="C452:D452"/>
    <mergeCell ref="E452:I452"/>
    <mergeCell ref="J452:M452"/>
    <mergeCell ref="N452:P452"/>
    <mergeCell ref="Q452:R452"/>
    <mergeCell ref="A453:B453"/>
    <mergeCell ref="C453:D453"/>
    <mergeCell ref="E453:I453"/>
    <mergeCell ref="J453:M453"/>
    <mergeCell ref="N453:P453"/>
    <mergeCell ref="Q453:R453"/>
    <mergeCell ref="A454:B454"/>
    <mergeCell ref="C454:D454"/>
    <mergeCell ref="E454:I454"/>
    <mergeCell ref="J454:M454"/>
    <mergeCell ref="N454:P454"/>
    <mergeCell ref="Q454:R454"/>
    <mergeCell ref="A455:B455"/>
    <mergeCell ref="C455:D455"/>
    <mergeCell ref="E455:I455"/>
    <mergeCell ref="J455:M455"/>
    <mergeCell ref="N455:P455"/>
    <mergeCell ref="Q455:R455"/>
    <mergeCell ref="A456:B456"/>
    <mergeCell ref="C456:D456"/>
    <mergeCell ref="E456:I456"/>
    <mergeCell ref="J456:M456"/>
    <mergeCell ref="N456:P456"/>
    <mergeCell ref="Q456:R456"/>
    <mergeCell ref="A457:B457"/>
    <mergeCell ref="C457:D457"/>
    <mergeCell ref="E457:I457"/>
    <mergeCell ref="J457:M457"/>
    <mergeCell ref="N457:P457"/>
    <mergeCell ref="Q457:R457"/>
    <mergeCell ref="A458:B458"/>
    <mergeCell ref="C458:D458"/>
    <mergeCell ref="E458:I458"/>
    <mergeCell ref="J458:M458"/>
    <mergeCell ref="N458:P458"/>
    <mergeCell ref="Q458:R458"/>
    <mergeCell ref="A459:B459"/>
    <mergeCell ref="C459:D459"/>
    <mergeCell ref="E459:I459"/>
    <mergeCell ref="J459:M459"/>
    <mergeCell ref="N459:P459"/>
    <mergeCell ref="Q459:R459"/>
    <mergeCell ref="A460:B460"/>
    <mergeCell ref="C460:D460"/>
    <mergeCell ref="E460:I460"/>
    <mergeCell ref="J460:M460"/>
    <mergeCell ref="N460:P460"/>
    <mergeCell ref="Q460:R460"/>
    <mergeCell ref="A461:B461"/>
    <mergeCell ref="C461:D461"/>
    <mergeCell ref="E461:I461"/>
    <mergeCell ref="J461:M461"/>
    <mergeCell ref="N461:P461"/>
    <mergeCell ref="Q461:R461"/>
    <mergeCell ref="A462:B462"/>
    <mergeCell ref="C462:D462"/>
    <mergeCell ref="E462:I462"/>
    <mergeCell ref="J462:M462"/>
    <mergeCell ref="N462:P462"/>
    <mergeCell ref="Q462:R462"/>
    <mergeCell ref="A463:B463"/>
    <mergeCell ref="C463:D463"/>
    <mergeCell ref="E463:I463"/>
    <mergeCell ref="J463:M463"/>
    <mergeCell ref="N463:P463"/>
    <mergeCell ref="Q463:R463"/>
    <mergeCell ref="A464:B464"/>
    <mergeCell ref="C464:D464"/>
    <mergeCell ref="E464:I464"/>
    <mergeCell ref="J464:M464"/>
    <mergeCell ref="N464:P464"/>
    <mergeCell ref="Q464:R464"/>
    <mergeCell ref="A465:B465"/>
    <mergeCell ref="C465:D465"/>
    <mergeCell ref="E465:I465"/>
    <mergeCell ref="J465:M465"/>
    <mergeCell ref="N465:P465"/>
    <mergeCell ref="Q465:R465"/>
    <mergeCell ref="A466:B466"/>
    <mergeCell ref="C466:D466"/>
    <mergeCell ref="E466:I466"/>
    <mergeCell ref="J466:M466"/>
    <mergeCell ref="N466:P466"/>
    <mergeCell ref="Q466:R466"/>
    <mergeCell ref="A467:B467"/>
    <mergeCell ref="C467:D467"/>
    <mergeCell ref="E467:I467"/>
    <mergeCell ref="J467:M467"/>
    <mergeCell ref="N467:P467"/>
    <mergeCell ref="Q467:R467"/>
    <mergeCell ref="A468:B468"/>
    <mergeCell ref="C468:D468"/>
    <mergeCell ref="E468:I468"/>
    <mergeCell ref="J468:M468"/>
    <mergeCell ref="N468:P468"/>
    <mergeCell ref="Q468:R468"/>
    <mergeCell ref="A469:B469"/>
    <mergeCell ref="C469:D469"/>
    <mergeCell ref="E469:I469"/>
    <mergeCell ref="J469:M469"/>
    <mergeCell ref="N469:P469"/>
    <mergeCell ref="Q469:R469"/>
    <mergeCell ref="A470:B470"/>
    <mergeCell ref="C470:D470"/>
    <mergeCell ref="E470:I470"/>
    <mergeCell ref="J470:M470"/>
    <mergeCell ref="N470:P470"/>
    <mergeCell ref="Q470:R470"/>
    <mergeCell ref="A471:B471"/>
    <mergeCell ref="C471:D471"/>
    <mergeCell ref="E471:I471"/>
    <mergeCell ref="J471:M471"/>
    <mergeCell ref="N471:P471"/>
    <mergeCell ref="Q471:R471"/>
    <mergeCell ref="A472:B472"/>
    <mergeCell ref="C472:D472"/>
    <mergeCell ref="E472:I472"/>
    <mergeCell ref="J472:M472"/>
    <mergeCell ref="N472:P472"/>
    <mergeCell ref="Q472:R472"/>
    <mergeCell ref="A473:B473"/>
    <mergeCell ref="C473:D473"/>
    <mergeCell ref="E473:I473"/>
    <mergeCell ref="J473:M473"/>
    <mergeCell ref="N473:P473"/>
    <mergeCell ref="Q473:R473"/>
    <mergeCell ref="A474:B474"/>
    <mergeCell ref="C474:D474"/>
    <mergeCell ref="E474:I474"/>
    <mergeCell ref="J474:M474"/>
    <mergeCell ref="N474:P474"/>
    <mergeCell ref="Q474:R474"/>
    <mergeCell ref="A475:B475"/>
    <mergeCell ref="C475:D475"/>
    <mergeCell ref="E475:I475"/>
    <mergeCell ref="J475:M475"/>
    <mergeCell ref="N475:P475"/>
    <mergeCell ref="Q475:R475"/>
    <mergeCell ref="A476:B476"/>
    <mergeCell ref="C476:D476"/>
    <mergeCell ref="E476:I476"/>
    <mergeCell ref="J476:M476"/>
    <mergeCell ref="N476:P476"/>
    <mergeCell ref="Q476:R476"/>
    <mergeCell ref="A477:B477"/>
    <mergeCell ref="C477:D477"/>
    <mergeCell ref="E477:I477"/>
    <mergeCell ref="J477:M477"/>
    <mergeCell ref="N477:P477"/>
    <mergeCell ref="Q477:R477"/>
    <mergeCell ref="A478:B478"/>
    <mergeCell ref="C478:D478"/>
    <mergeCell ref="E478:I478"/>
    <mergeCell ref="J478:M478"/>
    <mergeCell ref="N478:P478"/>
    <mergeCell ref="Q478:R478"/>
    <mergeCell ref="A479:B479"/>
    <mergeCell ref="C479:D479"/>
    <mergeCell ref="E479:I479"/>
    <mergeCell ref="J479:M479"/>
    <mergeCell ref="N479:P479"/>
    <mergeCell ref="Q479:R479"/>
    <mergeCell ref="A480:B480"/>
    <mergeCell ref="C480:D480"/>
    <mergeCell ref="E480:I480"/>
    <mergeCell ref="J480:M480"/>
    <mergeCell ref="N480:P480"/>
    <mergeCell ref="Q480:R480"/>
    <mergeCell ref="A481:B481"/>
    <mergeCell ref="C481:D481"/>
    <mergeCell ref="E481:I481"/>
    <mergeCell ref="J481:M481"/>
    <mergeCell ref="N481:P481"/>
    <mergeCell ref="Q481:R481"/>
    <mergeCell ref="A482:B482"/>
    <mergeCell ref="C482:D482"/>
    <mergeCell ref="E482:I482"/>
    <mergeCell ref="J482:M482"/>
    <mergeCell ref="N482:P482"/>
    <mergeCell ref="Q482:R482"/>
    <mergeCell ref="A483:B483"/>
    <mergeCell ref="C483:D483"/>
    <mergeCell ref="E483:I483"/>
    <mergeCell ref="J483:M483"/>
    <mergeCell ref="N483:P483"/>
    <mergeCell ref="Q483:R483"/>
    <mergeCell ref="A484:B484"/>
    <mergeCell ref="C484:D484"/>
    <mergeCell ref="E484:I484"/>
    <mergeCell ref="J484:M484"/>
    <mergeCell ref="N484:P484"/>
    <mergeCell ref="Q484:R484"/>
    <mergeCell ref="A485:B485"/>
    <mergeCell ref="C485:D485"/>
    <mergeCell ref="E485:I485"/>
    <mergeCell ref="J485:M485"/>
    <mergeCell ref="N485:P485"/>
    <mergeCell ref="Q485:R485"/>
    <mergeCell ref="A486:B486"/>
    <mergeCell ref="C486:D486"/>
    <mergeCell ref="E486:I486"/>
    <mergeCell ref="J486:M486"/>
    <mergeCell ref="N486:P486"/>
    <mergeCell ref="Q486:R486"/>
    <mergeCell ref="A487:B487"/>
    <mergeCell ref="C487:D487"/>
    <mergeCell ref="E487:I487"/>
    <mergeCell ref="J487:M487"/>
    <mergeCell ref="N487:P487"/>
    <mergeCell ref="Q487:R487"/>
    <mergeCell ref="A488:B488"/>
    <mergeCell ref="C488:D488"/>
    <mergeCell ref="E488:I488"/>
    <mergeCell ref="J488:M488"/>
    <mergeCell ref="N488:P488"/>
    <mergeCell ref="Q488:R488"/>
    <mergeCell ref="A489:B489"/>
    <mergeCell ref="C489:D489"/>
    <mergeCell ref="E489:I489"/>
    <mergeCell ref="J489:M489"/>
    <mergeCell ref="N489:P489"/>
    <mergeCell ref="Q489:R489"/>
    <mergeCell ref="A490:B490"/>
    <mergeCell ref="C490:D490"/>
    <mergeCell ref="E490:I490"/>
    <mergeCell ref="J490:M490"/>
    <mergeCell ref="N490:P490"/>
    <mergeCell ref="Q490:R490"/>
    <mergeCell ref="A491:B491"/>
    <mergeCell ref="C491:D491"/>
    <mergeCell ref="E491:I491"/>
    <mergeCell ref="J491:M491"/>
    <mergeCell ref="N491:P491"/>
    <mergeCell ref="Q491:R491"/>
    <mergeCell ref="A492:B492"/>
    <mergeCell ref="C492:D492"/>
    <mergeCell ref="E492:I492"/>
    <mergeCell ref="J492:M492"/>
    <mergeCell ref="N492:P492"/>
    <mergeCell ref="Q492:R492"/>
    <mergeCell ref="A493:B493"/>
    <mergeCell ref="C493:D493"/>
    <mergeCell ref="E493:I493"/>
    <mergeCell ref="J493:M493"/>
    <mergeCell ref="N493:P493"/>
    <mergeCell ref="Q493:R493"/>
    <mergeCell ref="A494:B494"/>
    <mergeCell ref="C494:D494"/>
    <mergeCell ref="E494:I494"/>
    <mergeCell ref="J494:M494"/>
    <mergeCell ref="N494:P494"/>
    <mergeCell ref="Q494:R494"/>
    <mergeCell ref="A495:B495"/>
    <mergeCell ref="C495:D495"/>
    <mergeCell ref="E495:I495"/>
    <mergeCell ref="J495:M495"/>
    <mergeCell ref="N495:P495"/>
    <mergeCell ref="Q495:R495"/>
    <mergeCell ref="A496:B496"/>
    <mergeCell ref="C496:D496"/>
    <mergeCell ref="E496:I496"/>
    <mergeCell ref="J496:M496"/>
    <mergeCell ref="N496:P496"/>
    <mergeCell ref="Q496:R496"/>
    <mergeCell ref="A497:B497"/>
    <mergeCell ref="C497:D497"/>
    <mergeCell ref="E497:I497"/>
    <mergeCell ref="J497:M497"/>
    <mergeCell ref="N497:P497"/>
    <mergeCell ref="Q497:R497"/>
    <mergeCell ref="A498:B498"/>
    <mergeCell ref="C498:D498"/>
    <mergeCell ref="E498:I498"/>
    <mergeCell ref="J498:M498"/>
    <mergeCell ref="N498:P498"/>
    <mergeCell ref="Q498:R498"/>
    <mergeCell ref="A499:B499"/>
    <mergeCell ref="C499:D499"/>
    <mergeCell ref="E499:I499"/>
    <mergeCell ref="J499:M499"/>
    <mergeCell ref="N499:P499"/>
    <mergeCell ref="Q499:R499"/>
    <mergeCell ref="A500:B500"/>
    <mergeCell ref="C500:D500"/>
    <mergeCell ref="E500:I500"/>
    <mergeCell ref="J500:M500"/>
    <mergeCell ref="N500:P500"/>
    <mergeCell ref="Q500:R500"/>
    <mergeCell ref="A501:B501"/>
    <mergeCell ref="C501:D501"/>
    <mergeCell ref="E501:I501"/>
    <mergeCell ref="J501:M501"/>
    <mergeCell ref="N501:P501"/>
    <mergeCell ref="Q501:R501"/>
    <mergeCell ref="A502:B502"/>
    <mergeCell ref="C502:D502"/>
    <mergeCell ref="E502:I502"/>
    <mergeCell ref="J502:M502"/>
    <mergeCell ref="N502:P502"/>
    <mergeCell ref="Q502:R502"/>
    <mergeCell ref="A503:B503"/>
    <mergeCell ref="C503:D503"/>
    <mergeCell ref="E503:I503"/>
    <mergeCell ref="J503:M503"/>
    <mergeCell ref="N503:P503"/>
    <mergeCell ref="Q503:R503"/>
    <mergeCell ref="A504:B504"/>
    <mergeCell ref="C504:D504"/>
    <mergeCell ref="E504:I504"/>
    <mergeCell ref="J504:M504"/>
    <mergeCell ref="N504:P504"/>
    <mergeCell ref="Q504:R504"/>
    <mergeCell ref="A505:B505"/>
    <mergeCell ref="C505:D505"/>
    <mergeCell ref="E505:I505"/>
    <mergeCell ref="J505:M505"/>
    <mergeCell ref="N505:P505"/>
    <mergeCell ref="Q505:R505"/>
    <mergeCell ref="A506:B506"/>
    <mergeCell ref="C506:D506"/>
    <mergeCell ref="E506:I506"/>
    <mergeCell ref="J506:M506"/>
    <mergeCell ref="N506:P506"/>
    <mergeCell ref="Q506:R506"/>
    <mergeCell ref="A507:B507"/>
    <mergeCell ref="C507:D507"/>
    <mergeCell ref="E507:I507"/>
    <mergeCell ref="J507:M507"/>
    <mergeCell ref="N507:P507"/>
    <mergeCell ref="Q507:R507"/>
    <mergeCell ref="A508:B508"/>
    <mergeCell ref="C508:D508"/>
    <mergeCell ref="E508:I508"/>
    <mergeCell ref="J508:M508"/>
    <mergeCell ref="N508:P508"/>
    <mergeCell ref="Q508:R508"/>
    <mergeCell ref="A509:B509"/>
    <mergeCell ref="C509:D509"/>
    <mergeCell ref="E509:I509"/>
    <mergeCell ref="J509:M509"/>
    <mergeCell ref="N509:P509"/>
    <mergeCell ref="Q509:R509"/>
    <mergeCell ref="A510:B510"/>
    <mergeCell ref="C510:D510"/>
    <mergeCell ref="E510:I510"/>
    <mergeCell ref="J510:M510"/>
    <mergeCell ref="N510:P510"/>
    <mergeCell ref="Q510:R510"/>
    <mergeCell ref="A511:B511"/>
    <mergeCell ref="C511:D511"/>
    <mergeCell ref="E511:I511"/>
    <mergeCell ref="J511:M511"/>
    <mergeCell ref="N511:P511"/>
    <mergeCell ref="Q511:R511"/>
    <mergeCell ref="A512:B512"/>
    <mergeCell ref="C512:D512"/>
    <mergeCell ref="E512:I512"/>
    <mergeCell ref="J512:M512"/>
    <mergeCell ref="N512:P512"/>
    <mergeCell ref="Q512:R512"/>
    <mergeCell ref="A513:B513"/>
    <mergeCell ref="C513:D513"/>
    <mergeCell ref="E513:I513"/>
    <mergeCell ref="J513:M513"/>
    <mergeCell ref="N513:P513"/>
    <mergeCell ref="Q513:R513"/>
    <mergeCell ref="A514:B514"/>
    <mergeCell ref="C514:D514"/>
    <mergeCell ref="E514:I514"/>
    <mergeCell ref="J514:M514"/>
    <mergeCell ref="N514:P514"/>
    <mergeCell ref="Q514:R514"/>
    <mergeCell ref="A515:B515"/>
    <mergeCell ref="C515:D515"/>
    <mergeCell ref="E515:I515"/>
    <mergeCell ref="J515:M515"/>
    <mergeCell ref="N515:P515"/>
    <mergeCell ref="Q515:R515"/>
    <mergeCell ref="A516:B516"/>
    <mergeCell ref="C516:D516"/>
    <mergeCell ref="E516:I516"/>
    <mergeCell ref="J516:M516"/>
    <mergeCell ref="N516:P516"/>
    <mergeCell ref="Q516:R516"/>
    <mergeCell ref="A517:B517"/>
    <mergeCell ref="C517:D517"/>
    <mergeCell ref="E517:I517"/>
    <mergeCell ref="J517:M517"/>
    <mergeCell ref="N517:P517"/>
    <mergeCell ref="Q517:R517"/>
    <mergeCell ref="A518:B518"/>
    <mergeCell ref="C518:D518"/>
    <mergeCell ref="E518:I518"/>
    <mergeCell ref="J518:M518"/>
    <mergeCell ref="N518:P518"/>
    <mergeCell ref="Q518:R518"/>
    <mergeCell ref="A519:B519"/>
    <mergeCell ref="C519:D519"/>
    <mergeCell ref="E519:I519"/>
    <mergeCell ref="J519:M519"/>
    <mergeCell ref="N519:P519"/>
    <mergeCell ref="Q519:R519"/>
    <mergeCell ref="A520:B520"/>
    <mergeCell ref="C520:D520"/>
    <mergeCell ref="E520:I520"/>
    <mergeCell ref="J520:M520"/>
    <mergeCell ref="N520:P520"/>
    <mergeCell ref="Q520:R520"/>
    <mergeCell ref="A521:B521"/>
    <mergeCell ref="C521:D521"/>
    <mergeCell ref="E521:I521"/>
    <mergeCell ref="J521:M521"/>
    <mergeCell ref="N521:P521"/>
    <mergeCell ref="Q521:R521"/>
    <mergeCell ref="A522:B522"/>
    <mergeCell ref="C522:D522"/>
    <mergeCell ref="E522:I522"/>
    <mergeCell ref="J522:M522"/>
    <mergeCell ref="N522:P522"/>
    <mergeCell ref="Q522:R522"/>
    <mergeCell ref="A523:B523"/>
    <mergeCell ref="C523:D523"/>
    <mergeCell ref="E523:I523"/>
    <mergeCell ref="J523:M523"/>
    <mergeCell ref="N523:P523"/>
    <mergeCell ref="Q523:R523"/>
    <mergeCell ref="A524:B524"/>
    <mergeCell ref="C524:D524"/>
    <mergeCell ref="E524:I524"/>
    <mergeCell ref="J524:M524"/>
    <mergeCell ref="N524:P524"/>
    <mergeCell ref="Q524:R524"/>
    <mergeCell ref="A525:B525"/>
    <mergeCell ref="C525:D525"/>
    <mergeCell ref="E525:I525"/>
    <mergeCell ref="J525:M525"/>
    <mergeCell ref="N525:P525"/>
    <mergeCell ref="Q525:R525"/>
    <mergeCell ref="A526:B526"/>
    <mergeCell ref="C526:D526"/>
    <mergeCell ref="E526:I526"/>
    <mergeCell ref="J526:M526"/>
    <mergeCell ref="N526:P526"/>
    <mergeCell ref="Q526:R526"/>
    <mergeCell ref="A527:B527"/>
    <mergeCell ref="C527:D527"/>
    <mergeCell ref="E527:I527"/>
    <mergeCell ref="J527:M527"/>
    <mergeCell ref="N527:P527"/>
    <mergeCell ref="Q527:R527"/>
    <mergeCell ref="A528:B528"/>
    <mergeCell ref="C528:D528"/>
    <mergeCell ref="E528:I528"/>
    <mergeCell ref="J528:M528"/>
    <mergeCell ref="N528:P528"/>
    <mergeCell ref="Q528:R528"/>
    <mergeCell ref="A529:B529"/>
    <mergeCell ref="C529:D529"/>
    <mergeCell ref="E529:I529"/>
    <mergeCell ref="J529:M529"/>
    <mergeCell ref="N529:P529"/>
    <mergeCell ref="Q529:R529"/>
    <mergeCell ref="A530:B530"/>
    <mergeCell ref="C530:D530"/>
    <mergeCell ref="E530:I530"/>
    <mergeCell ref="J530:M530"/>
    <mergeCell ref="N530:P530"/>
    <mergeCell ref="Q530:R530"/>
    <mergeCell ref="A531:B531"/>
    <mergeCell ref="C531:D531"/>
    <mergeCell ref="E531:I531"/>
    <mergeCell ref="J531:M531"/>
    <mergeCell ref="N531:P531"/>
    <mergeCell ref="Q531:R531"/>
    <mergeCell ref="A532:B532"/>
    <mergeCell ref="C532:D532"/>
    <mergeCell ref="E532:I532"/>
    <mergeCell ref="J532:M532"/>
    <mergeCell ref="N532:P532"/>
    <mergeCell ref="Q532:R532"/>
    <mergeCell ref="A533:B533"/>
    <mergeCell ref="C533:D533"/>
    <mergeCell ref="E533:I533"/>
    <mergeCell ref="J533:M533"/>
    <mergeCell ref="N533:P533"/>
    <mergeCell ref="Q533:R533"/>
    <mergeCell ref="A534:B534"/>
    <mergeCell ref="C534:D534"/>
    <mergeCell ref="E534:I534"/>
    <mergeCell ref="J534:M534"/>
    <mergeCell ref="N534:P534"/>
    <mergeCell ref="Q534:R534"/>
    <mergeCell ref="A535:B535"/>
    <mergeCell ref="C535:D535"/>
    <mergeCell ref="E535:I535"/>
    <mergeCell ref="J535:M535"/>
    <mergeCell ref="N535:P535"/>
    <mergeCell ref="Q535:R535"/>
    <mergeCell ref="A536:B536"/>
    <mergeCell ref="C536:D536"/>
    <mergeCell ref="E536:I536"/>
    <mergeCell ref="J536:M536"/>
    <mergeCell ref="N536:P536"/>
    <mergeCell ref="Q536:R536"/>
    <mergeCell ref="A537:B537"/>
    <mergeCell ref="C537:D537"/>
    <mergeCell ref="E537:I537"/>
    <mergeCell ref="J537:M537"/>
    <mergeCell ref="N537:P537"/>
    <mergeCell ref="Q537:R537"/>
    <mergeCell ref="A538:B538"/>
    <mergeCell ref="C538:D538"/>
    <mergeCell ref="E538:I538"/>
    <mergeCell ref="J538:M538"/>
    <mergeCell ref="N538:P538"/>
    <mergeCell ref="Q538:R538"/>
    <mergeCell ref="A539:B539"/>
    <mergeCell ref="C539:D539"/>
    <mergeCell ref="E539:I539"/>
    <mergeCell ref="J539:M539"/>
    <mergeCell ref="N539:P539"/>
    <mergeCell ref="Q539:R539"/>
    <mergeCell ref="A540:B540"/>
    <mergeCell ref="C540:D540"/>
    <mergeCell ref="E540:I540"/>
    <mergeCell ref="J540:M540"/>
    <mergeCell ref="N540:P540"/>
    <mergeCell ref="Q540:R540"/>
    <mergeCell ref="A541:B541"/>
    <mergeCell ref="C541:D541"/>
    <mergeCell ref="E541:I541"/>
    <mergeCell ref="J541:M541"/>
    <mergeCell ref="N541:P541"/>
    <mergeCell ref="Q541:R541"/>
    <mergeCell ref="A542:B542"/>
    <mergeCell ref="C542:D542"/>
    <mergeCell ref="E542:I542"/>
    <mergeCell ref="J542:M542"/>
    <mergeCell ref="N542:P542"/>
    <mergeCell ref="Q542:R542"/>
    <mergeCell ref="A543:B543"/>
    <mergeCell ref="C543:D543"/>
    <mergeCell ref="E543:I543"/>
    <mergeCell ref="J543:M543"/>
    <mergeCell ref="N543:P543"/>
    <mergeCell ref="Q543:R543"/>
    <mergeCell ref="A544:B544"/>
    <mergeCell ref="C544:D544"/>
    <mergeCell ref="E544:I544"/>
    <mergeCell ref="J544:M544"/>
    <mergeCell ref="N544:P544"/>
    <mergeCell ref="Q544:R544"/>
    <mergeCell ref="A545:B545"/>
    <mergeCell ref="C545:D545"/>
    <mergeCell ref="E545:I545"/>
    <mergeCell ref="J545:M545"/>
    <mergeCell ref="N545:P545"/>
    <mergeCell ref="Q545:R545"/>
    <mergeCell ref="A546:B546"/>
    <mergeCell ref="C546:D546"/>
    <mergeCell ref="E546:I546"/>
    <mergeCell ref="J546:M546"/>
    <mergeCell ref="N546:P546"/>
    <mergeCell ref="Q546:R546"/>
    <mergeCell ref="A547:B547"/>
    <mergeCell ref="C547:D547"/>
    <mergeCell ref="E547:I547"/>
    <mergeCell ref="J547:M547"/>
    <mergeCell ref="N547:P547"/>
    <mergeCell ref="Q547:R547"/>
    <mergeCell ref="A548:B548"/>
    <mergeCell ref="C548:D548"/>
    <mergeCell ref="E548:I548"/>
    <mergeCell ref="J548:M548"/>
    <mergeCell ref="N548:P548"/>
    <mergeCell ref="Q548:R548"/>
    <mergeCell ref="A549:B549"/>
    <mergeCell ref="C549:D549"/>
    <mergeCell ref="E549:I549"/>
    <mergeCell ref="J549:M549"/>
    <mergeCell ref="N549:P549"/>
    <mergeCell ref="Q549:R549"/>
    <mergeCell ref="A550:B550"/>
    <mergeCell ref="C550:D550"/>
    <mergeCell ref="E550:I550"/>
    <mergeCell ref="J550:M550"/>
    <mergeCell ref="N550:P550"/>
    <mergeCell ref="Q550:R550"/>
    <mergeCell ref="A551:B551"/>
    <mergeCell ref="C551:D551"/>
    <mergeCell ref="E551:I551"/>
    <mergeCell ref="J551:M551"/>
    <mergeCell ref="N551:P551"/>
    <mergeCell ref="Q551:R551"/>
    <mergeCell ref="A552:B552"/>
    <mergeCell ref="C552:D552"/>
    <mergeCell ref="E552:I552"/>
    <mergeCell ref="J552:M552"/>
    <mergeCell ref="N552:P552"/>
    <mergeCell ref="Q552:R552"/>
    <mergeCell ref="A553:B553"/>
    <mergeCell ref="C553:D553"/>
    <mergeCell ref="E553:I553"/>
    <mergeCell ref="J553:M553"/>
    <mergeCell ref="N553:P553"/>
    <mergeCell ref="Q553:R553"/>
    <mergeCell ref="A554:B554"/>
    <mergeCell ref="C554:D554"/>
    <mergeCell ref="E554:I554"/>
    <mergeCell ref="J554:M554"/>
    <mergeCell ref="N554:P554"/>
    <mergeCell ref="Q554:R554"/>
    <mergeCell ref="A555:B555"/>
    <mergeCell ref="C555:D555"/>
    <mergeCell ref="E555:I555"/>
    <mergeCell ref="J555:M555"/>
    <mergeCell ref="N555:P555"/>
    <mergeCell ref="Q555:R555"/>
    <mergeCell ref="A556:B556"/>
    <mergeCell ref="C556:D556"/>
    <mergeCell ref="E556:I556"/>
    <mergeCell ref="J556:M556"/>
    <mergeCell ref="N556:P556"/>
    <mergeCell ref="Q556:R556"/>
    <mergeCell ref="A557:B557"/>
    <mergeCell ref="C557:D557"/>
    <mergeCell ref="E557:I557"/>
    <mergeCell ref="J557:M557"/>
    <mergeCell ref="N557:P557"/>
    <mergeCell ref="Q557:R557"/>
    <mergeCell ref="A558:B558"/>
    <mergeCell ref="C558:D558"/>
    <mergeCell ref="E558:I558"/>
    <mergeCell ref="J558:M558"/>
    <mergeCell ref="N558:P558"/>
    <mergeCell ref="Q558:R558"/>
    <mergeCell ref="A559:B559"/>
    <mergeCell ref="C559:D559"/>
    <mergeCell ref="E559:I559"/>
    <mergeCell ref="J559:M559"/>
    <mergeCell ref="N559:P559"/>
    <mergeCell ref="Q559:R559"/>
    <mergeCell ref="A560:B560"/>
    <mergeCell ref="C560:D560"/>
    <mergeCell ref="E560:I560"/>
    <mergeCell ref="J560:M560"/>
    <mergeCell ref="N560:P560"/>
    <mergeCell ref="Q560:R560"/>
    <mergeCell ref="A561:B561"/>
    <mergeCell ref="C561:D561"/>
    <mergeCell ref="E561:I561"/>
    <mergeCell ref="J561:M561"/>
    <mergeCell ref="N561:P561"/>
    <mergeCell ref="Q561:R561"/>
    <mergeCell ref="A562:B562"/>
    <mergeCell ref="C562:D562"/>
    <mergeCell ref="E562:I562"/>
    <mergeCell ref="J562:M562"/>
    <mergeCell ref="N562:P562"/>
    <mergeCell ref="Q562:R562"/>
    <mergeCell ref="A563:B563"/>
    <mergeCell ref="C563:I563"/>
    <mergeCell ref="J563:M563"/>
    <mergeCell ref="N563:P563"/>
    <mergeCell ref="Q563:R563"/>
    <mergeCell ref="A564:B564"/>
    <mergeCell ref="C564:D564"/>
    <mergeCell ref="E564:I564"/>
    <mergeCell ref="J564:M564"/>
    <mergeCell ref="N564:P564"/>
    <mergeCell ref="Q564:R564"/>
    <mergeCell ref="A565:B565"/>
    <mergeCell ref="C565:D565"/>
    <mergeCell ref="E565:I565"/>
    <mergeCell ref="J565:M565"/>
    <mergeCell ref="N565:P565"/>
    <mergeCell ref="Q565:R565"/>
    <mergeCell ref="A566:B566"/>
    <mergeCell ref="C566:D566"/>
    <mergeCell ref="E566:I566"/>
    <mergeCell ref="J566:M566"/>
    <mergeCell ref="N566:P566"/>
    <mergeCell ref="Q566:R566"/>
    <mergeCell ref="A567:B567"/>
    <mergeCell ref="C567:D567"/>
    <mergeCell ref="E567:I567"/>
    <mergeCell ref="J567:M567"/>
    <mergeCell ref="N567:P567"/>
    <mergeCell ref="Q567:R567"/>
    <mergeCell ref="A568:B568"/>
    <mergeCell ref="C568:D568"/>
    <mergeCell ref="E568:I568"/>
    <mergeCell ref="J568:M568"/>
    <mergeCell ref="N568:P568"/>
    <mergeCell ref="Q568:R568"/>
    <mergeCell ref="A569:B569"/>
    <mergeCell ref="C569:D569"/>
    <mergeCell ref="E569:I569"/>
    <mergeCell ref="J569:M569"/>
    <mergeCell ref="N569:P569"/>
    <mergeCell ref="Q569:R569"/>
    <mergeCell ref="A570:B570"/>
    <mergeCell ref="C570:D570"/>
    <mergeCell ref="E570:I570"/>
    <mergeCell ref="J570:M570"/>
    <mergeCell ref="N570:P570"/>
    <mergeCell ref="Q570:R570"/>
    <mergeCell ref="A571:B571"/>
    <mergeCell ref="C571:D571"/>
    <mergeCell ref="E571:I571"/>
    <mergeCell ref="J571:M571"/>
    <mergeCell ref="N571:P571"/>
    <mergeCell ref="Q571:R571"/>
    <mergeCell ref="A572:B572"/>
    <mergeCell ref="C572:D572"/>
    <mergeCell ref="E572:I572"/>
    <mergeCell ref="J572:M572"/>
    <mergeCell ref="N572:P572"/>
    <mergeCell ref="Q572:R572"/>
    <mergeCell ref="A573:B573"/>
    <mergeCell ref="C573:D573"/>
    <mergeCell ref="E573:I573"/>
    <mergeCell ref="J573:M573"/>
    <mergeCell ref="N573:P573"/>
    <mergeCell ref="Q573:R573"/>
    <mergeCell ref="A574:B574"/>
    <mergeCell ref="C574:D574"/>
    <mergeCell ref="E574:I574"/>
    <mergeCell ref="J574:M574"/>
    <mergeCell ref="N574:P574"/>
    <mergeCell ref="Q574:R574"/>
    <mergeCell ref="A575:B575"/>
    <mergeCell ref="C575:D575"/>
    <mergeCell ref="E575:I575"/>
    <mergeCell ref="J575:M575"/>
    <mergeCell ref="N575:P575"/>
    <mergeCell ref="Q575:R575"/>
    <mergeCell ref="A576:B576"/>
    <mergeCell ref="C576:D576"/>
    <mergeCell ref="E576:I576"/>
    <mergeCell ref="J576:M576"/>
    <mergeCell ref="N576:P576"/>
    <mergeCell ref="Q576:R576"/>
    <mergeCell ref="A577:B577"/>
    <mergeCell ref="C577:D577"/>
    <mergeCell ref="E577:I577"/>
    <mergeCell ref="J577:M577"/>
    <mergeCell ref="N577:P577"/>
    <mergeCell ref="Q577:R577"/>
    <mergeCell ref="A578:B578"/>
    <mergeCell ref="C578:D578"/>
    <mergeCell ref="E578:I578"/>
    <mergeCell ref="J578:M578"/>
    <mergeCell ref="N578:P578"/>
    <mergeCell ref="Q578:R578"/>
    <mergeCell ref="A579:B579"/>
    <mergeCell ref="C579:D579"/>
    <mergeCell ref="E579:I579"/>
    <mergeCell ref="J579:M579"/>
    <mergeCell ref="N579:P579"/>
    <mergeCell ref="Q579:R579"/>
    <mergeCell ref="A580:B580"/>
    <mergeCell ref="C580:D580"/>
    <mergeCell ref="E580:I580"/>
    <mergeCell ref="J580:M580"/>
    <mergeCell ref="N580:P580"/>
    <mergeCell ref="Q580:R580"/>
    <mergeCell ref="A581:B581"/>
    <mergeCell ref="C581:D581"/>
    <mergeCell ref="E581:I581"/>
    <mergeCell ref="J581:M581"/>
    <mergeCell ref="N581:P581"/>
    <mergeCell ref="Q581:R581"/>
    <mergeCell ref="A582:B582"/>
    <mergeCell ref="C582:D582"/>
    <mergeCell ref="E582:I582"/>
    <mergeCell ref="J582:M582"/>
    <mergeCell ref="N582:P582"/>
    <mergeCell ref="Q582:R582"/>
    <mergeCell ref="A583:B583"/>
    <mergeCell ref="C583:D583"/>
    <mergeCell ref="E583:I583"/>
    <mergeCell ref="J583:M583"/>
    <mergeCell ref="N583:P583"/>
    <mergeCell ref="Q583:R583"/>
    <mergeCell ref="A584:B584"/>
    <mergeCell ref="C584:D584"/>
    <mergeCell ref="E584:I584"/>
    <mergeCell ref="J584:M584"/>
    <mergeCell ref="N584:P584"/>
    <mergeCell ref="Q584:R584"/>
    <mergeCell ref="A585:B585"/>
    <mergeCell ref="C585:D585"/>
    <mergeCell ref="E585:I585"/>
    <mergeCell ref="J585:M585"/>
    <mergeCell ref="N585:P585"/>
    <mergeCell ref="Q585:R585"/>
    <mergeCell ref="A586:B586"/>
    <mergeCell ref="C586:D586"/>
    <mergeCell ref="E586:I586"/>
    <mergeCell ref="J586:M586"/>
    <mergeCell ref="N586:P586"/>
    <mergeCell ref="Q586:R586"/>
    <mergeCell ref="A587:B587"/>
    <mergeCell ref="C587:D587"/>
    <mergeCell ref="E587:I587"/>
    <mergeCell ref="J587:M587"/>
    <mergeCell ref="N587:P587"/>
    <mergeCell ref="Q587:R587"/>
    <mergeCell ref="A588:B588"/>
    <mergeCell ref="C588:D588"/>
    <mergeCell ref="E588:I588"/>
    <mergeCell ref="J588:M588"/>
    <mergeCell ref="N588:P588"/>
    <mergeCell ref="Q588:R588"/>
    <mergeCell ref="A589:B589"/>
    <mergeCell ref="C589:D589"/>
    <mergeCell ref="E589:I589"/>
    <mergeCell ref="J589:M589"/>
    <mergeCell ref="N589:P589"/>
    <mergeCell ref="Q589:R589"/>
    <mergeCell ref="A590:B590"/>
    <mergeCell ref="C590:D590"/>
    <mergeCell ref="E590:I590"/>
    <mergeCell ref="J590:M590"/>
    <mergeCell ref="N590:P590"/>
    <mergeCell ref="Q590:R590"/>
    <mergeCell ref="A591:B591"/>
    <mergeCell ref="C591:D591"/>
    <mergeCell ref="E591:I591"/>
    <mergeCell ref="J591:M591"/>
    <mergeCell ref="N591:P591"/>
    <mergeCell ref="Q591:R591"/>
    <mergeCell ref="A592:B592"/>
    <mergeCell ref="C592:D592"/>
    <mergeCell ref="E592:I592"/>
    <mergeCell ref="J592:M592"/>
    <mergeCell ref="N592:P592"/>
    <mergeCell ref="Q592:R592"/>
    <mergeCell ref="A593:B593"/>
    <mergeCell ref="C593:D593"/>
    <mergeCell ref="E593:I593"/>
    <mergeCell ref="J593:M593"/>
    <mergeCell ref="N593:P593"/>
    <mergeCell ref="Q593:R593"/>
    <mergeCell ref="A594:B594"/>
    <mergeCell ref="C594:D594"/>
    <mergeCell ref="E594:I594"/>
    <mergeCell ref="J594:M594"/>
    <mergeCell ref="N594:P594"/>
    <mergeCell ref="Q594:R594"/>
    <mergeCell ref="A595:B595"/>
    <mergeCell ref="C595:D595"/>
    <mergeCell ref="E595:I595"/>
    <mergeCell ref="J595:M595"/>
    <mergeCell ref="N595:P595"/>
    <mergeCell ref="Q595:R595"/>
    <mergeCell ref="A596:B596"/>
    <mergeCell ref="C596:D596"/>
    <mergeCell ref="E596:I596"/>
    <mergeCell ref="J596:M596"/>
    <mergeCell ref="N596:P596"/>
    <mergeCell ref="Q596:R596"/>
    <mergeCell ref="A597:B597"/>
    <mergeCell ref="C597:D597"/>
    <mergeCell ref="E597:I597"/>
    <mergeCell ref="J597:M597"/>
    <mergeCell ref="N597:P597"/>
    <mergeCell ref="Q597:R597"/>
    <mergeCell ref="A598:B598"/>
    <mergeCell ref="C598:D598"/>
    <mergeCell ref="E598:I598"/>
    <mergeCell ref="J598:M598"/>
    <mergeCell ref="N598:P598"/>
    <mergeCell ref="Q598:R598"/>
    <mergeCell ref="A599:B599"/>
    <mergeCell ref="C599:D599"/>
    <mergeCell ref="E599:I599"/>
    <mergeCell ref="J599:M599"/>
    <mergeCell ref="N599:P599"/>
    <mergeCell ref="Q599:R599"/>
    <mergeCell ref="A600:B600"/>
    <mergeCell ref="C600:D600"/>
    <mergeCell ref="E600:I600"/>
    <mergeCell ref="J600:M600"/>
    <mergeCell ref="N600:P600"/>
    <mergeCell ref="Q600:R600"/>
    <mergeCell ref="A601:B601"/>
    <mergeCell ref="C601:D601"/>
    <mergeCell ref="E601:I601"/>
    <mergeCell ref="J601:M601"/>
    <mergeCell ref="N601:P601"/>
    <mergeCell ref="Q601:R601"/>
    <mergeCell ref="A602:B602"/>
    <mergeCell ref="C602:D602"/>
    <mergeCell ref="E602:I602"/>
    <mergeCell ref="J602:M602"/>
    <mergeCell ref="N602:P602"/>
    <mergeCell ref="Q602:R602"/>
    <mergeCell ref="A603:B603"/>
    <mergeCell ref="C603:D603"/>
    <mergeCell ref="E603:I603"/>
    <mergeCell ref="J603:M603"/>
    <mergeCell ref="N603:P603"/>
    <mergeCell ref="Q603:R603"/>
    <mergeCell ref="A604:B604"/>
    <mergeCell ref="C604:D604"/>
    <mergeCell ref="E604:I604"/>
    <mergeCell ref="J604:M604"/>
    <mergeCell ref="N604:P604"/>
    <mergeCell ref="Q604:R604"/>
    <mergeCell ref="A605:B605"/>
    <mergeCell ref="C605:D605"/>
    <mergeCell ref="E605:I605"/>
    <mergeCell ref="J605:M605"/>
    <mergeCell ref="N605:P605"/>
    <mergeCell ref="Q605:R605"/>
    <mergeCell ref="A606:B606"/>
    <mergeCell ref="C606:D606"/>
    <mergeCell ref="E606:I606"/>
    <mergeCell ref="J606:M606"/>
    <mergeCell ref="N606:P606"/>
    <mergeCell ref="Q606:R606"/>
    <mergeCell ref="A607:B607"/>
    <mergeCell ref="C607:D607"/>
    <mergeCell ref="E607:I607"/>
    <mergeCell ref="J607:M607"/>
    <mergeCell ref="N607:P607"/>
    <mergeCell ref="Q607:R607"/>
    <mergeCell ref="A608:B608"/>
    <mergeCell ref="C608:D608"/>
    <mergeCell ref="E608:I608"/>
    <mergeCell ref="J608:M608"/>
    <mergeCell ref="N608:P608"/>
    <mergeCell ref="Q608:R608"/>
    <mergeCell ref="A609:B609"/>
    <mergeCell ref="C609:D609"/>
    <mergeCell ref="E609:I609"/>
    <mergeCell ref="J609:M609"/>
    <mergeCell ref="N609:P609"/>
    <mergeCell ref="Q609:R609"/>
    <mergeCell ref="A610:B610"/>
    <mergeCell ref="C610:D610"/>
    <mergeCell ref="E610:I610"/>
    <mergeCell ref="J610:M610"/>
    <mergeCell ref="N610:P610"/>
    <mergeCell ref="Q610:R610"/>
    <mergeCell ref="A611:B611"/>
    <mergeCell ref="C611:D611"/>
    <mergeCell ref="E611:I611"/>
    <mergeCell ref="J611:M611"/>
    <mergeCell ref="N611:P611"/>
    <mergeCell ref="Q611:R611"/>
    <mergeCell ref="A612:B612"/>
    <mergeCell ref="C612:D612"/>
    <mergeCell ref="E612:I612"/>
    <mergeCell ref="J612:M612"/>
    <mergeCell ref="N612:P612"/>
    <mergeCell ref="Q612:R612"/>
    <mergeCell ref="A613:B613"/>
    <mergeCell ref="C613:D613"/>
    <mergeCell ref="E613:I613"/>
    <mergeCell ref="J613:M613"/>
    <mergeCell ref="N613:P613"/>
    <mergeCell ref="Q613:R613"/>
    <mergeCell ref="A614:B614"/>
    <mergeCell ref="C614:D614"/>
    <mergeCell ref="E614:I614"/>
    <mergeCell ref="J614:M614"/>
    <mergeCell ref="N614:P614"/>
    <mergeCell ref="Q614:R614"/>
    <mergeCell ref="A615:B615"/>
    <mergeCell ref="C615:D615"/>
    <mergeCell ref="E615:I615"/>
    <mergeCell ref="J615:M615"/>
    <mergeCell ref="N615:P615"/>
    <mergeCell ref="Q615:R615"/>
    <mergeCell ref="A616:B616"/>
    <mergeCell ref="C616:D616"/>
    <mergeCell ref="E616:I616"/>
    <mergeCell ref="J616:M616"/>
    <mergeCell ref="N616:P616"/>
    <mergeCell ref="Q616:R616"/>
    <mergeCell ref="A617:B617"/>
    <mergeCell ref="C617:D617"/>
    <mergeCell ref="E617:I617"/>
    <mergeCell ref="J617:M617"/>
    <mergeCell ref="N617:P617"/>
    <mergeCell ref="Q617:R617"/>
    <mergeCell ref="A618:B618"/>
    <mergeCell ref="C618:D618"/>
    <mergeCell ref="E618:I618"/>
    <mergeCell ref="J618:M618"/>
    <mergeCell ref="N618:P618"/>
    <mergeCell ref="Q618:R618"/>
    <mergeCell ref="A619:B619"/>
    <mergeCell ref="C619:D619"/>
    <mergeCell ref="E619:I619"/>
    <mergeCell ref="J619:M619"/>
    <mergeCell ref="N619:P619"/>
    <mergeCell ref="Q619:R619"/>
    <mergeCell ref="A620:B620"/>
    <mergeCell ref="C620:D620"/>
    <mergeCell ref="E620:I620"/>
    <mergeCell ref="J620:M620"/>
    <mergeCell ref="N620:P620"/>
    <mergeCell ref="Q620:R620"/>
    <mergeCell ref="A621:B621"/>
    <mergeCell ref="C621:D621"/>
    <mergeCell ref="E621:I621"/>
    <mergeCell ref="J621:M621"/>
    <mergeCell ref="N621:P621"/>
    <mergeCell ref="Q621:R621"/>
    <mergeCell ref="A622:B622"/>
    <mergeCell ref="C622:D622"/>
    <mergeCell ref="E622:I622"/>
    <mergeCell ref="J622:M622"/>
    <mergeCell ref="N622:P622"/>
    <mergeCell ref="Q622:R622"/>
    <mergeCell ref="A623:B623"/>
    <mergeCell ref="C623:D623"/>
    <mergeCell ref="E623:I623"/>
    <mergeCell ref="J623:M623"/>
    <mergeCell ref="N623:P623"/>
    <mergeCell ref="Q623:R623"/>
    <mergeCell ref="A624:B624"/>
    <mergeCell ref="C624:D624"/>
    <mergeCell ref="E624:I624"/>
    <mergeCell ref="J624:M624"/>
    <mergeCell ref="N624:P624"/>
    <mergeCell ref="Q624:R624"/>
    <mergeCell ref="A625:B625"/>
    <mergeCell ref="C625:D625"/>
    <mergeCell ref="E625:I625"/>
    <mergeCell ref="J625:M625"/>
    <mergeCell ref="N625:P625"/>
    <mergeCell ref="Q625:R625"/>
    <mergeCell ref="A626:B626"/>
    <mergeCell ref="C626:D626"/>
    <mergeCell ref="E626:I626"/>
    <mergeCell ref="J626:M626"/>
    <mergeCell ref="N626:P626"/>
    <mergeCell ref="Q626:R626"/>
    <mergeCell ref="A627:B627"/>
    <mergeCell ref="C627:D627"/>
    <mergeCell ref="E627:I627"/>
    <mergeCell ref="J627:M627"/>
    <mergeCell ref="N627:P627"/>
    <mergeCell ref="Q627:R627"/>
    <mergeCell ref="A628:B628"/>
    <mergeCell ref="C628:D628"/>
    <mergeCell ref="E628:I628"/>
    <mergeCell ref="J628:M628"/>
    <mergeCell ref="N628:P628"/>
    <mergeCell ref="Q628:R628"/>
    <mergeCell ref="A629:B629"/>
    <mergeCell ref="C629:D629"/>
    <mergeCell ref="E629:I629"/>
    <mergeCell ref="J629:M629"/>
    <mergeCell ref="N629:P629"/>
    <mergeCell ref="Q629:R629"/>
    <mergeCell ref="A630:B630"/>
    <mergeCell ref="C630:D630"/>
    <mergeCell ref="E630:I630"/>
    <mergeCell ref="J630:M630"/>
    <mergeCell ref="N630:P630"/>
    <mergeCell ref="Q630:R630"/>
    <mergeCell ref="A631:B631"/>
    <mergeCell ref="C631:D631"/>
    <mergeCell ref="E631:I631"/>
    <mergeCell ref="J631:M631"/>
    <mergeCell ref="N631:P631"/>
    <mergeCell ref="Q631:R631"/>
    <mergeCell ref="A632:B632"/>
    <mergeCell ref="C632:D632"/>
    <mergeCell ref="E632:I632"/>
    <mergeCell ref="J632:M632"/>
    <mergeCell ref="N632:P632"/>
    <mergeCell ref="Q632:R632"/>
    <mergeCell ref="A633:B633"/>
    <mergeCell ref="C633:D633"/>
    <mergeCell ref="E633:I633"/>
    <mergeCell ref="J633:M633"/>
    <mergeCell ref="N633:P633"/>
    <mergeCell ref="Q633:R633"/>
    <mergeCell ref="A634:B634"/>
    <mergeCell ref="C634:D634"/>
    <mergeCell ref="E634:I634"/>
    <mergeCell ref="J634:M634"/>
    <mergeCell ref="N634:P634"/>
    <mergeCell ref="Q634:R634"/>
    <mergeCell ref="A635:B635"/>
    <mergeCell ref="C635:D635"/>
    <mergeCell ref="E635:I635"/>
    <mergeCell ref="J635:M635"/>
    <mergeCell ref="N635:P635"/>
    <mergeCell ref="Q635:R635"/>
    <mergeCell ref="A636:B636"/>
    <mergeCell ref="C636:D636"/>
    <mergeCell ref="E636:I636"/>
    <mergeCell ref="J636:M636"/>
    <mergeCell ref="N636:P636"/>
    <mergeCell ref="Q636:R636"/>
    <mergeCell ref="A637:B637"/>
    <mergeCell ref="C637:D637"/>
    <mergeCell ref="E637:I637"/>
    <mergeCell ref="J637:M637"/>
    <mergeCell ref="N637:P637"/>
    <mergeCell ref="Q637:R637"/>
    <mergeCell ref="A638:B638"/>
    <mergeCell ref="C638:D638"/>
    <mergeCell ref="E638:I638"/>
    <mergeCell ref="J638:M638"/>
    <mergeCell ref="N638:P638"/>
    <mergeCell ref="Q638:R638"/>
    <mergeCell ref="A639:B639"/>
    <mergeCell ref="C639:D639"/>
    <mergeCell ref="E639:I639"/>
    <mergeCell ref="J639:M639"/>
    <mergeCell ref="N639:P639"/>
    <mergeCell ref="Q639:R639"/>
    <mergeCell ref="A640:B640"/>
    <mergeCell ref="C640:D640"/>
    <mergeCell ref="E640:I640"/>
    <mergeCell ref="J640:M640"/>
    <mergeCell ref="N640:P640"/>
    <mergeCell ref="Q640:R640"/>
    <mergeCell ref="A641:B641"/>
    <mergeCell ref="C641:D641"/>
    <mergeCell ref="E641:I641"/>
    <mergeCell ref="J641:M641"/>
    <mergeCell ref="N641:P641"/>
    <mergeCell ref="Q641:R641"/>
    <mergeCell ref="A642:B642"/>
    <mergeCell ref="C642:D642"/>
    <mergeCell ref="E642:I642"/>
    <mergeCell ref="J642:M642"/>
    <mergeCell ref="N642:P642"/>
    <mergeCell ref="Q642:R642"/>
    <mergeCell ref="A643:B643"/>
    <mergeCell ref="C643:D643"/>
    <mergeCell ref="E643:I643"/>
    <mergeCell ref="J643:M643"/>
    <mergeCell ref="N643:P643"/>
    <mergeCell ref="Q643:R643"/>
    <mergeCell ref="A644:B644"/>
    <mergeCell ref="C644:D644"/>
    <mergeCell ref="E644:I644"/>
    <mergeCell ref="J644:M644"/>
    <mergeCell ref="N644:P644"/>
    <mergeCell ref="Q644:R644"/>
    <mergeCell ref="A645:B645"/>
    <mergeCell ref="C645:D645"/>
    <mergeCell ref="E645:I645"/>
    <mergeCell ref="J645:M645"/>
    <mergeCell ref="N645:P645"/>
    <mergeCell ref="Q645:R645"/>
    <mergeCell ref="A646:B646"/>
    <mergeCell ref="C646:D646"/>
    <mergeCell ref="E646:I646"/>
    <mergeCell ref="J646:M646"/>
    <mergeCell ref="N646:P646"/>
    <mergeCell ref="Q646:R646"/>
    <mergeCell ref="A647:B647"/>
    <mergeCell ref="C647:D647"/>
    <mergeCell ref="E647:I647"/>
    <mergeCell ref="J647:M647"/>
    <mergeCell ref="N647:P647"/>
    <mergeCell ref="Q647:R647"/>
    <mergeCell ref="A648:B648"/>
    <mergeCell ref="C648:D648"/>
    <mergeCell ref="E648:I648"/>
    <mergeCell ref="J648:M648"/>
    <mergeCell ref="N648:P648"/>
    <mergeCell ref="Q648:R648"/>
    <mergeCell ref="A649:B649"/>
    <mergeCell ref="C649:D649"/>
    <mergeCell ref="E649:I649"/>
    <mergeCell ref="J649:M649"/>
    <mergeCell ref="N649:P649"/>
    <mergeCell ref="Q649:R649"/>
    <mergeCell ref="A650:B650"/>
    <mergeCell ref="C650:D650"/>
    <mergeCell ref="E650:I650"/>
    <mergeCell ref="J650:M650"/>
    <mergeCell ref="N650:P650"/>
    <mergeCell ref="Q650:R650"/>
    <mergeCell ref="A651:B651"/>
    <mergeCell ref="C651:D651"/>
    <mergeCell ref="E651:I651"/>
    <mergeCell ref="J651:M651"/>
    <mergeCell ref="N651:P651"/>
    <mergeCell ref="Q651:R651"/>
    <mergeCell ref="A652:B652"/>
    <mergeCell ref="C652:D652"/>
    <mergeCell ref="E652:I652"/>
    <mergeCell ref="J652:M652"/>
    <mergeCell ref="N652:P652"/>
    <mergeCell ref="Q652:R652"/>
    <mergeCell ref="A653:B653"/>
    <mergeCell ref="C653:D653"/>
    <mergeCell ref="E653:I653"/>
    <mergeCell ref="J653:M653"/>
    <mergeCell ref="N653:P653"/>
    <mergeCell ref="Q653:R653"/>
    <mergeCell ref="A654:B654"/>
    <mergeCell ref="C654:D654"/>
    <mergeCell ref="E654:I654"/>
    <mergeCell ref="J654:M654"/>
    <mergeCell ref="N654:P654"/>
    <mergeCell ref="Q654:R654"/>
    <mergeCell ref="A655:B655"/>
    <mergeCell ref="C655:D655"/>
    <mergeCell ref="E655:I655"/>
    <mergeCell ref="J655:M655"/>
    <mergeCell ref="N655:P655"/>
    <mergeCell ref="Q655:R655"/>
    <mergeCell ref="A656:B656"/>
    <mergeCell ref="C656:D656"/>
    <mergeCell ref="E656:I656"/>
    <mergeCell ref="J656:M656"/>
    <mergeCell ref="N656:P656"/>
    <mergeCell ref="Q656:R656"/>
    <mergeCell ref="A657:B657"/>
    <mergeCell ref="C657:D657"/>
    <mergeCell ref="E657:I657"/>
    <mergeCell ref="J657:M657"/>
    <mergeCell ref="N657:P657"/>
    <mergeCell ref="Q657:R657"/>
    <mergeCell ref="A658:B658"/>
    <mergeCell ref="C658:D658"/>
    <mergeCell ref="E658:I658"/>
    <mergeCell ref="J658:M658"/>
    <mergeCell ref="N658:P658"/>
    <mergeCell ref="Q658:R658"/>
    <mergeCell ref="A659:B659"/>
    <mergeCell ref="C659:D659"/>
    <mergeCell ref="E659:I659"/>
    <mergeCell ref="J659:M659"/>
    <mergeCell ref="N659:P659"/>
    <mergeCell ref="Q659:R659"/>
    <mergeCell ref="A660:B660"/>
    <mergeCell ref="C660:D660"/>
    <mergeCell ref="E660:I660"/>
    <mergeCell ref="J660:M660"/>
    <mergeCell ref="N660:P660"/>
    <mergeCell ref="Q660:R660"/>
    <mergeCell ref="A661:B661"/>
    <mergeCell ref="C661:D661"/>
    <mergeCell ref="E661:I661"/>
    <mergeCell ref="J661:M661"/>
    <mergeCell ref="N661:P661"/>
    <mergeCell ref="Q661:R661"/>
    <mergeCell ref="A662:B662"/>
    <mergeCell ref="C662:D662"/>
    <mergeCell ref="E662:I662"/>
    <mergeCell ref="J662:M662"/>
    <mergeCell ref="N662:P662"/>
    <mergeCell ref="Q662:R662"/>
    <mergeCell ref="A663:B663"/>
    <mergeCell ref="C663:D663"/>
    <mergeCell ref="E663:I663"/>
    <mergeCell ref="J663:M663"/>
    <mergeCell ref="N663:P663"/>
    <mergeCell ref="Q663:R663"/>
    <mergeCell ref="A664:B664"/>
    <mergeCell ref="C664:D664"/>
    <mergeCell ref="E664:I664"/>
    <mergeCell ref="J664:M664"/>
    <mergeCell ref="N664:P664"/>
    <mergeCell ref="Q664:R664"/>
    <mergeCell ref="A665:B665"/>
    <mergeCell ref="C665:D665"/>
    <mergeCell ref="E665:I665"/>
    <mergeCell ref="J665:M665"/>
    <mergeCell ref="N665:P665"/>
    <mergeCell ref="Q665:R665"/>
    <mergeCell ref="A666:B666"/>
    <mergeCell ref="C666:D666"/>
    <mergeCell ref="E666:I666"/>
    <mergeCell ref="J666:M666"/>
    <mergeCell ref="N666:P666"/>
    <mergeCell ref="Q666:R666"/>
    <mergeCell ref="A667:B667"/>
    <mergeCell ref="C667:D667"/>
    <mergeCell ref="E667:I667"/>
    <mergeCell ref="J667:M667"/>
    <mergeCell ref="N667:P667"/>
    <mergeCell ref="Q667:R667"/>
    <mergeCell ref="A668:B668"/>
    <mergeCell ref="C668:D668"/>
    <mergeCell ref="E668:I668"/>
    <mergeCell ref="J668:M668"/>
    <mergeCell ref="N668:P668"/>
    <mergeCell ref="Q668:R668"/>
    <mergeCell ref="A669:B669"/>
    <mergeCell ref="C669:D669"/>
    <mergeCell ref="E669:I669"/>
    <mergeCell ref="J669:M669"/>
    <mergeCell ref="N669:P669"/>
    <mergeCell ref="Q669:R669"/>
    <mergeCell ref="A670:B670"/>
    <mergeCell ref="C670:D670"/>
    <mergeCell ref="E670:I670"/>
    <mergeCell ref="J670:M670"/>
    <mergeCell ref="N670:P670"/>
    <mergeCell ref="Q670:R670"/>
    <mergeCell ref="A671:B671"/>
    <mergeCell ref="C671:D671"/>
    <mergeCell ref="E671:I671"/>
    <mergeCell ref="J671:M671"/>
    <mergeCell ref="N671:P671"/>
    <mergeCell ref="Q671:R671"/>
    <mergeCell ref="A672:B672"/>
    <mergeCell ref="C672:D672"/>
    <mergeCell ref="E672:I672"/>
    <mergeCell ref="J672:M672"/>
    <mergeCell ref="N672:P672"/>
    <mergeCell ref="Q672:R672"/>
    <mergeCell ref="A673:B673"/>
    <mergeCell ref="C673:D673"/>
    <mergeCell ref="E673:I673"/>
    <mergeCell ref="J673:M673"/>
    <mergeCell ref="N673:P673"/>
    <mergeCell ref="Q673:R673"/>
    <mergeCell ref="A674:B674"/>
    <mergeCell ref="C674:D674"/>
    <mergeCell ref="E674:I674"/>
    <mergeCell ref="J674:M674"/>
    <mergeCell ref="N674:P674"/>
    <mergeCell ref="Q674:R674"/>
    <mergeCell ref="A675:B675"/>
    <mergeCell ref="C675:D675"/>
    <mergeCell ref="E675:I675"/>
    <mergeCell ref="J675:M675"/>
    <mergeCell ref="N675:P675"/>
    <mergeCell ref="Q675:R675"/>
    <mergeCell ref="A676:B676"/>
    <mergeCell ref="C676:D676"/>
    <mergeCell ref="E676:I676"/>
    <mergeCell ref="J676:M676"/>
    <mergeCell ref="N676:P676"/>
    <mergeCell ref="Q676:R676"/>
    <mergeCell ref="A677:B677"/>
    <mergeCell ref="C677:D677"/>
    <mergeCell ref="E677:I677"/>
    <mergeCell ref="J677:M677"/>
    <mergeCell ref="N677:P677"/>
    <mergeCell ref="Q677:R677"/>
    <mergeCell ref="A678:B678"/>
    <mergeCell ref="C678:D678"/>
    <mergeCell ref="E678:I678"/>
    <mergeCell ref="J678:M678"/>
    <mergeCell ref="N678:P678"/>
    <mergeCell ref="Q678:R678"/>
    <mergeCell ref="A679:B679"/>
    <mergeCell ref="C679:D679"/>
    <mergeCell ref="E679:I679"/>
    <mergeCell ref="J679:M679"/>
    <mergeCell ref="N679:P679"/>
    <mergeCell ref="Q679:R679"/>
    <mergeCell ref="A680:B680"/>
    <mergeCell ref="C680:D680"/>
    <mergeCell ref="E680:I680"/>
    <mergeCell ref="J680:M680"/>
    <mergeCell ref="N680:P680"/>
    <mergeCell ref="Q680:R680"/>
    <mergeCell ref="A681:B681"/>
    <mergeCell ref="C681:D681"/>
    <mergeCell ref="E681:I681"/>
    <mergeCell ref="J681:M681"/>
    <mergeCell ref="N681:P681"/>
    <mergeCell ref="Q681:R681"/>
    <mergeCell ref="A682:B682"/>
    <mergeCell ref="C682:D682"/>
    <mergeCell ref="E682:I682"/>
    <mergeCell ref="J682:M682"/>
    <mergeCell ref="N682:P682"/>
    <mergeCell ref="Q682:R682"/>
    <mergeCell ref="A683:B683"/>
    <mergeCell ref="C683:D683"/>
    <mergeCell ref="E683:I683"/>
    <mergeCell ref="J683:M683"/>
    <mergeCell ref="N683:P683"/>
    <mergeCell ref="Q683:R683"/>
    <mergeCell ref="A684:B684"/>
    <mergeCell ref="C684:D684"/>
    <mergeCell ref="E684:I684"/>
    <mergeCell ref="J684:M684"/>
    <mergeCell ref="N684:P684"/>
    <mergeCell ref="Q684:R684"/>
    <mergeCell ref="A685:B685"/>
    <mergeCell ref="C685:D685"/>
    <mergeCell ref="E685:I685"/>
    <mergeCell ref="J685:M685"/>
    <mergeCell ref="N685:P685"/>
    <mergeCell ref="Q685:R685"/>
    <mergeCell ref="A686:B686"/>
    <mergeCell ref="C686:D686"/>
    <mergeCell ref="E686:I686"/>
    <mergeCell ref="J686:M686"/>
    <mergeCell ref="N686:P686"/>
    <mergeCell ref="Q686:R686"/>
    <mergeCell ref="A687:B687"/>
    <mergeCell ref="C687:D687"/>
    <mergeCell ref="E687:I687"/>
    <mergeCell ref="J687:M687"/>
    <mergeCell ref="N687:P687"/>
    <mergeCell ref="Q687:R687"/>
    <mergeCell ref="A688:B688"/>
    <mergeCell ref="C688:D688"/>
    <mergeCell ref="E688:I688"/>
    <mergeCell ref="J688:M688"/>
    <mergeCell ref="N688:P688"/>
    <mergeCell ref="Q688:R688"/>
    <mergeCell ref="A689:B689"/>
    <mergeCell ref="C689:D689"/>
    <mergeCell ref="E689:I689"/>
    <mergeCell ref="J689:M689"/>
    <mergeCell ref="N689:P689"/>
    <mergeCell ref="Q689:R689"/>
    <mergeCell ref="A690:B690"/>
    <mergeCell ref="C690:D690"/>
    <mergeCell ref="E690:I690"/>
    <mergeCell ref="J690:M690"/>
    <mergeCell ref="N690:P690"/>
    <mergeCell ref="Q690:R690"/>
    <mergeCell ref="A691:B691"/>
    <mergeCell ref="C691:D691"/>
    <mergeCell ref="E691:I691"/>
    <mergeCell ref="J691:M691"/>
    <mergeCell ref="N691:P691"/>
    <mergeCell ref="Q691:R691"/>
    <mergeCell ref="A692:B692"/>
    <mergeCell ref="C692:D692"/>
    <mergeCell ref="E692:I692"/>
    <mergeCell ref="J692:M692"/>
    <mergeCell ref="N692:P692"/>
    <mergeCell ref="Q692:R692"/>
    <mergeCell ref="A693:B693"/>
    <mergeCell ref="C693:D693"/>
    <mergeCell ref="E693:I693"/>
    <mergeCell ref="J693:M693"/>
    <mergeCell ref="N693:P693"/>
    <mergeCell ref="Q693:R693"/>
    <mergeCell ref="A694:B694"/>
    <mergeCell ref="C694:D694"/>
    <mergeCell ref="E694:I694"/>
    <mergeCell ref="J694:M694"/>
    <mergeCell ref="N694:P694"/>
    <mergeCell ref="Q694:R694"/>
    <mergeCell ref="A695:B695"/>
    <mergeCell ref="C695:D695"/>
    <mergeCell ref="E695:I695"/>
    <mergeCell ref="J695:M695"/>
    <mergeCell ref="N695:P695"/>
    <mergeCell ref="Q695:R695"/>
    <mergeCell ref="A696:B696"/>
    <mergeCell ref="C696:D696"/>
    <mergeCell ref="E696:I696"/>
    <mergeCell ref="J696:M696"/>
    <mergeCell ref="N696:P696"/>
    <mergeCell ref="Q696:R696"/>
    <mergeCell ref="A697:B697"/>
    <mergeCell ref="C697:D697"/>
    <mergeCell ref="E697:I697"/>
    <mergeCell ref="J697:M697"/>
    <mergeCell ref="N697:P697"/>
    <mergeCell ref="Q697:R697"/>
    <mergeCell ref="A698:B698"/>
    <mergeCell ref="C698:D698"/>
    <mergeCell ref="E698:I698"/>
    <mergeCell ref="J698:M698"/>
    <mergeCell ref="N698:P698"/>
    <mergeCell ref="Q698:R698"/>
    <mergeCell ref="A699:B699"/>
    <mergeCell ref="C699:D699"/>
    <mergeCell ref="E699:I699"/>
    <mergeCell ref="J699:M699"/>
    <mergeCell ref="N699:P699"/>
    <mergeCell ref="Q699:R699"/>
    <mergeCell ref="A700:B700"/>
    <mergeCell ref="C700:D700"/>
    <mergeCell ref="E700:I700"/>
    <mergeCell ref="J700:M700"/>
    <mergeCell ref="N700:P700"/>
    <mergeCell ref="Q700:R700"/>
    <mergeCell ref="A701:B701"/>
    <mergeCell ref="C701:D701"/>
    <mergeCell ref="E701:I701"/>
    <mergeCell ref="J701:M701"/>
    <mergeCell ref="N701:P701"/>
    <mergeCell ref="Q701:R701"/>
    <mergeCell ref="A702:B702"/>
    <mergeCell ref="C702:D702"/>
    <mergeCell ref="E702:I702"/>
    <mergeCell ref="J702:M702"/>
    <mergeCell ref="N702:P702"/>
    <mergeCell ref="Q702:R702"/>
    <mergeCell ref="A703:B703"/>
    <mergeCell ref="C703:D703"/>
    <mergeCell ref="E703:I703"/>
    <mergeCell ref="J703:M703"/>
    <mergeCell ref="N703:P703"/>
    <mergeCell ref="Q703:R703"/>
    <mergeCell ref="A704:B704"/>
    <mergeCell ref="C704:D704"/>
    <mergeCell ref="E704:I704"/>
    <mergeCell ref="J704:M704"/>
    <mergeCell ref="N704:P704"/>
    <mergeCell ref="Q704:R704"/>
    <mergeCell ref="A705:B705"/>
    <mergeCell ref="C705:D705"/>
    <mergeCell ref="E705:I705"/>
    <mergeCell ref="J705:M705"/>
    <mergeCell ref="N705:P705"/>
    <mergeCell ref="Q705:R705"/>
    <mergeCell ref="A706:B706"/>
    <mergeCell ref="C706:D706"/>
    <mergeCell ref="E706:I706"/>
    <mergeCell ref="J706:M706"/>
    <mergeCell ref="N706:P706"/>
    <mergeCell ref="Q706:R706"/>
    <mergeCell ref="A707:B707"/>
    <mergeCell ref="C707:D707"/>
    <mergeCell ref="E707:I707"/>
    <mergeCell ref="J707:M707"/>
    <mergeCell ref="N707:P707"/>
    <mergeCell ref="Q707:R707"/>
    <mergeCell ref="A708:B708"/>
    <mergeCell ref="C708:D708"/>
    <mergeCell ref="E708:I708"/>
    <mergeCell ref="J708:M708"/>
    <mergeCell ref="N708:P708"/>
    <mergeCell ref="Q708:R708"/>
    <mergeCell ref="A709:B709"/>
    <mergeCell ref="C709:D709"/>
    <mergeCell ref="E709:I709"/>
    <mergeCell ref="J709:M709"/>
    <mergeCell ref="N709:P709"/>
    <mergeCell ref="Q709:R709"/>
    <mergeCell ref="A710:B710"/>
    <mergeCell ref="C710:D710"/>
    <mergeCell ref="E710:I710"/>
    <mergeCell ref="J710:M710"/>
    <mergeCell ref="N710:P710"/>
    <mergeCell ref="Q710:R710"/>
    <mergeCell ref="A711:B711"/>
    <mergeCell ref="C711:D711"/>
    <mergeCell ref="E711:I711"/>
    <mergeCell ref="J711:M711"/>
    <mergeCell ref="N711:P711"/>
    <mergeCell ref="Q711:R711"/>
    <mergeCell ref="A712:B712"/>
    <mergeCell ref="C712:D712"/>
    <mergeCell ref="E712:I712"/>
    <mergeCell ref="J712:M712"/>
    <mergeCell ref="N712:P712"/>
    <mergeCell ref="Q712:R712"/>
    <mergeCell ref="A713:B713"/>
    <mergeCell ref="C713:D713"/>
    <mergeCell ref="E713:I713"/>
    <mergeCell ref="J713:M713"/>
    <mergeCell ref="N713:P713"/>
    <mergeCell ref="Q713:R713"/>
    <mergeCell ref="A714:B714"/>
    <mergeCell ref="C714:D714"/>
    <mergeCell ref="E714:I714"/>
    <mergeCell ref="J714:M714"/>
    <mergeCell ref="N714:P714"/>
    <mergeCell ref="Q714:R714"/>
    <mergeCell ref="A715:B715"/>
    <mergeCell ref="C715:D715"/>
    <mergeCell ref="E715:I715"/>
    <mergeCell ref="J715:M715"/>
    <mergeCell ref="N715:P715"/>
    <mergeCell ref="Q715:R715"/>
    <mergeCell ref="A716:B716"/>
    <mergeCell ref="C716:D716"/>
    <mergeCell ref="E716:I716"/>
    <mergeCell ref="J716:M716"/>
    <mergeCell ref="N716:P716"/>
    <mergeCell ref="Q716:R716"/>
    <mergeCell ref="A717:B717"/>
    <mergeCell ref="C717:D717"/>
    <mergeCell ref="E717:I717"/>
    <mergeCell ref="J717:M717"/>
    <mergeCell ref="N717:P717"/>
    <mergeCell ref="Q717:R717"/>
    <mergeCell ref="A718:B718"/>
    <mergeCell ref="C718:D718"/>
    <mergeCell ref="E718:I718"/>
    <mergeCell ref="J718:M718"/>
    <mergeCell ref="N718:P718"/>
    <mergeCell ref="Q718:R718"/>
    <mergeCell ref="A719:B719"/>
    <mergeCell ref="C719:D719"/>
    <mergeCell ref="E719:I719"/>
    <mergeCell ref="J719:M719"/>
    <mergeCell ref="N719:P719"/>
    <mergeCell ref="Q719:R719"/>
    <mergeCell ref="A720:B720"/>
    <mergeCell ref="C720:D720"/>
    <mergeCell ref="E720:I720"/>
    <mergeCell ref="J720:M720"/>
    <mergeCell ref="N720:P720"/>
    <mergeCell ref="Q720:R720"/>
    <mergeCell ref="A721:B721"/>
    <mergeCell ref="C721:D721"/>
    <mergeCell ref="E721:I721"/>
    <mergeCell ref="J721:M721"/>
    <mergeCell ref="N721:P721"/>
    <mergeCell ref="Q721:R721"/>
    <mergeCell ref="A722:B722"/>
    <mergeCell ref="C722:D722"/>
    <mergeCell ref="E722:I722"/>
    <mergeCell ref="J722:M722"/>
    <mergeCell ref="N722:P722"/>
    <mergeCell ref="Q722:R722"/>
    <mergeCell ref="A723:B723"/>
    <mergeCell ref="C723:D723"/>
    <mergeCell ref="E723:I723"/>
    <mergeCell ref="J723:M723"/>
    <mergeCell ref="N723:P723"/>
    <mergeCell ref="Q723:R723"/>
    <mergeCell ref="A724:B724"/>
    <mergeCell ref="C724:D724"/>
    <mergeCell ref="E724:I724"/>
    <mergeCell ref="J724:M724"/>
    <mergeCell ref="N724:P724"/>
    <mergeCell ref="Q724:R724"/>
    <mergeCell ref="A725:B725"/>
    <mergeCell ref="C725:D725"/>
    <mergeCell ref="E725:I725"/>
    <mergeCell ref="J725:M725"/>
    <mergeCell ref="N725:P725"/>
    <mergeCell ref="Q725:R725"/>
    <mergeCell ref="A726:B726"/>
    <mergeCell ref="C726:D726"/>
    <mergeCell ref="E726:I726"/>
    <mergeCell ref="J726:M726"/>
    <mergeCell ref="N726:P726"/>
    <mergeCell ref="Q726:R726"/>
    <mergeCell ref="A727:B727"/>
    <mergeCell ref="C727:D727"/>
    <mergeCell ref="E727:I727"/>
    <mergeCell ref="J727:M727"/>
    <mergeCell ref="N727:P727"/>
    <mergeCell ref="Q727:R727"/>
    <mergeCell ref="A728:B728"/>
    <mergeCell ref="C728:D728"/>
    <mergeCell ref="E728:I728"/>
    <mergeCell ref="J728:M728"/>
    <mergeCell ref="N728:P728"/>
    <mergeCell ref="Q728:R728"/>
    <mergeCell ref="A729:B729"/>
    <mergeCell ref="C729:D729"/>
    <mergeCell ref="E729:I729"/>
    <mergeCell ref="J729:M729"/>
    <mergeCell ref="N729:P729"/>
    <mergeCell ref="Q729:R729"/>
    <mergeCell ref="A730:B730"/>
    <mergeCell ref="C730:D730"/>
    <mergeCell ref="E730:I730"/>
    <mergeCell ref="J730:M730"/>
    <mergeCell ref="N730:P730"/>
    <mergeCell ref="Q730:R730"/>
    <mergeCell ref="A731:B731"/>
    <mergeCell ref="C731:D731"/>
    <mergeCell ref="E731:I731"/>
    <mergeCell ref="J731:M731"/>
    <mergeCell ref="N731:P731"/>
    <mergeCell ref="Q731:R731"/>
    <mergeCell ref="A732:B732"/>
    <mergeCell ref="C732:D732"/>
    <mergeCell ref="E732:I732"/>
    <mergeCell ref="J732:M732"/>
    <mergeCell ref="N732:P732"/>
    <mergeCell ref="Q732:R732"/>
    <mergeCell ref="A733:B733"/>
    <mergeCell ref="C733:D733"/>
    <mergeCell ref="E733:I733"/>
    <mergeCell ref="J733:M733"/>
    <mergeCell ref="N733:P733"/>
    <mergeCell ref="Q733:R733"/>
    <mergeCell ref="A734:B734"/>
    <mergeCell ref="C734:D734"/>
    <mergeCell ref="E734:I734"/>
    <mergeCell ref="J734:M734"/>
    <mergeCell ref="N734:P734"/>
    <mergeCell ref="Q734:R734"/>
    <mergeCell ref="A735:B735"/>
    <mergeCell ref="C735:D735"/>
    <mergeCell ref="E735:I735"/>
    <mergeCell ref="J735:M735"/>
    <mergeCell ref="N735:P735"/>
    <mergeCell ref="Q735:R735"/>
    <mergeCell ref="A736:B736"/>
    <mergeCell ref="C736:D736"/>
    <mergeCell ref="E736:I736"/>
    <mergeCell ref="J736:M736"/>
    <mergeCell ref="N736:P736"/>
    <mergeCell ref="Q736:R736"/>
    <mergeCell ref="A737:B737"/>
    <mergeCell ref="C737:D737"/>
    <mergeCell ref="E737:I737"/>
    <mergeCell ref="J737:M737"/>
    <mergeCell ref="N737:P737"/>
    <mergeCell ref="Q737:R737"/>
    <mergeCell ref="A738:B738"/>
    <mergeCell ref="C738:D738"/>
    <mergeCell ref="E738:I738"/>
    <mergeCell ref="J738:M738"/>
    <mergeCell ref="N738:P738"/>
    <mergeCell ref="Q738:R738"/>
    <mergeCell ref="A739:B739"/>
    <mergeCell ref="C739:D739"/>
    <mergeCell ref="E739:I739"/>
    <mergeCell ref="J739:M739"/>
    <mergeCell ref="N739:P739"/>
    <mergeCell ref="Q739:R739"/>
    <mergeCell ref="A740:B740"/>
    <mergeCell ref="C740:D740"/>
    <mergeCell ref="E740:I740"/>
    <mergeCell ref="J740:M740"/>
    <mergeCell ref="N740:P740"/>
    <mergeCell ref="Q740:R740"/>
    <mergeCell ref="A741:B741"/>
    <mergeCell ref="C741:D741"/>
    <mergeCell ref="E741:I741"/>
    <mergeCell ref="J741:M741"/>
    <mergeCell ref="N741:P741"/>
    <mergeCell ref="Q741:R741"/>
    <mergeCell ref="A742:B742"/>
    <mergeCell ref="C742:D742"/>
    <mergeCell ref="E742:I742"/>
    <mergeCell ref="J742:M742"/>
    <mergeCell ref="N742:P742"/>
    <mergeCell ref="Q742:R742"/>
    <mergeCell ref="A743:B743"/>
    <mergeCell ref="C743:D743"/>
    <mergeCell ref="E743:I743"/>
    <mergeCell ref="J743:M743"/>
    <mergeCell ref="N743:P743"/>
    <mergeCell ref="Q743:R743"/>
    <mergeCell ref="A744:B744"/>
    <mergeCell ref="C744:D744"/>
    <mergeCell ref="E744:I744"/>
    <mergeCell ref="J744:M744"/>
    <mergeCell ref="N744:P744"/>
    <mergeCell ref="Q744:R744"/>
    <mergeCell ref="A745:B745"/>
    <mergeCell ref="C745:D745"/>
    <mergeCell ref="E745:I745"/>
    <mergeCell ref="J745:M745"/>
    <mergeCell ref="N745:P745"/>
    <mergeCell ref="Q745:R745"/>
    <mergeCell ref="A746:B746"/>
    <mergeCell ref="C746:D746"/>
    <mergeCell ref="E746:I746"/>
    <mergeCell ref="J746:M746"/>
    <mergeCell ref="N746:P746"/>
    <mergeCell ref="Q746:R746"/>
    <mergeCell ref="A747:B747"/>
    <mergeCell ref="C747:D747"/>
    <mergeCell ref="E747:I747"/>
    <mergeCell ref="J747:M747"/>
    <mergeCell ref="N747:P747"/>
    <mergeCell ref="Q747:R747"/>
    <mergeCell ref="A748:B748"/>
    <mergeCell ref="C748:D748"/>
    <mergeCell ref="E748:I748"/>
    <mergeCell ref="J748:M748"/>
    <mergeCell ref="N748:P748"/>
    <mergeCell ref="Q748:R748"/>
    <mergeCell ref="A749:B749"/>
    <mergeCell ref="C749:D749"/>
    <mergeCell ref="E749:I749"/>
    <mergeCell ref="J749:M749"/>
    <mergeCell ref="N749:P749"/>
    <mergeCell ref="Q749:R749"/>
    <mergeCell ref="A750:B750"/>
    <mergeCell ref="C750:D750"/>
    <mergeCell ref="E750:I750"/>
    <mergeCell ref="J750:M750"/>
    <mergeCell ref="N750:P750"/>
    <mergeCell ref="Q750:R750"/>
    <mergeCell ref="A751:B751"/>
    <mergeCell ref="C751:D751"/>
    <mergeCell ref="E751:I751"/>
    <mergeCell ref="J751:M751"/>
    <mergeCell ref="N751:P751"/>
    <mergeCell ref="Q751:R751"/>
    <mergeCell ref="A752:B752"/>
    <mergeCell ref="C752:D752"/>
    <mergeCell ref="E752:I752"/>
    <mergeCell ref="J752:M752"/>
    <mergeCell ref="N752:P752"/>
    <mergeCell ref="Q752:R752"/>
    <mergeCell ref="A753:B753"/>
    <mergeCell ref="C753:D753"/>
    <mergeCell ref="E753:I753"/>
    <mergeCell ref="J753:M753"/>
    <mergeCell ref="N753:P753"/>
    <mergeCell ref="Q753:R753"/>
    <mergeCell ref="A754:B754"/>
    <mergeCell ref="C754:D754"/>
    <mergeCell ref="E754:I754"/>
    <mergeCell ref="J754:M754"/>
    <mergeCell ref="N754:P754"/>
    <mergeCell ref="Q754:R754"/>
    <mergeCell ref="A755:B755"/>
    <mergeCell ref="C755:D755"/>
    <mergeCell ref="E755:I755"/>
    <mergeCell ref="J755:M755"/>
    <mergeCell ref="N755:P755"/>
    <mergeCell ref="Q755:R755"/>
    <mergeCell ref="A756:B756"/>
    <mergeCell ref="C756:D756"/>
    <mergeCell ref="E756:I756"/>
    <mergeCell ref="J756:M756"/>
    <mergeCell ref="N756:P756"/>
    <mergeCell ref="Q756:R756"/>
    <mergeCell ref="A757:B757"/>
    <mergeCell ref="C757:D757"/>
    <mergeCell ref="E757:I757"/>
    <mergeCell ref="J757:M757"/>
    <mergeCell ref="N757:P757"/>
    <mergeCell ref="Q757:R757"/>
    <mergeCell ref="A758:B758"/>
    <mergeCell ref="C758:D758"/>
    <mergeCell ref="E758:I758"/>
    <mergeCell ref="J758:M758"/>
    <mergeCell ref="N758:P758"/>
    <mergeCell ref="Q758:R758"/>
    <mergeCell ref="A759:B759"/>
    <mergeCell ref="C759:D759"/>
    <mergeCell ref="E759:I759"/>
    <mergeCell ref="J759:M759"/>
    <mergeCell ref="N759:P759"/>
    <mergeCell ref="Q759:R759"/>
    <mergeCell ref="A760:B760"/>
    <mergeCell ref="C760:D760"/>
    <mergeCell ref="E760:I760"/>
    <mergeCell ref="J760:M760"/>
    <mergeCell ref="N760:P760"/>
    <mergeCell ref="Q760:R760"/>
    <mergeCell ref="A761:B761"/>
    <mergeCell ref="C761:D761"/>
    <mergeCell ref="E761:I761"/>
    <mergeCell ref="J761:M761"/>
    <mergeCell ref="N761:P761"/>
    <mergeCell ref="Q761:R761"/>
    <mergeCell ref="A762:B762"/>
    <mergeCell ref="C762:D762"/>
    <mergeCell ref="E762:I762"/>
    <mergeCell ref="J762:M762"/>
    <mergeCell ref="N762:P762"/>
    <mergeCell ref="Q762:R762"/>
    <mergeCell ref="A763:B763"/>
    <mergeCell ref="C763:D763"/>
    <mergeCell ref="E763:I763"/>
    <mergeCell ref="J763:M763"/>
    <mergeCell ref="N763:P763"/>
    <mergeCell ref="Q763:R763"/>
    <mergeCell ref="A764:B764"/>
    <mergeCell ref="C764:D764"/>
    <mergeCell ref="E764:I764"/>
    <mergeCell ref="J764:M764"/>
    <mergeCell ref="N764:P764"/>
    <mergeCell ref="Q764:R764"/>
    <mergeCell ref="A765:B765"/>
    <mergeCell ref="C765:D765"/>
    <mergeCell ref="E765:I765"/>
    <mergeCell ref="J765:M765"/>
    <mergeCell ref="N765:P765"/>
    <mergeCell ref="Q765:R765"/>
    <mergeCell ref="A766:B766"/>
    <mergeCell ref="C766:D766"/>
    <mergeCell ref="E766:I766"/>
    <mergeCell ref="J766:M766"/>
    <mergeCell ref="N766:P766"/>
    <mergeCell ref="Q766:R766"/>
    <mergeCell ref="A767:B767"/>
    <mergeCell ref="C767:D767"/>
    <mergeCell ref="E767:I767"/>
    <mergeCell ref="J767:M767"/>
    <mergeCell ref="N767:P767"/>
    <mergeCell ref="Q767:R767"/>
    <mergeCell ref="A768:B768"/>
    <mergeCell ref="C768:D768"/>
    <mergeCell ref="E768:I768"/>
    <mergeCell ref="J768:M768"/>
    <mergeCell ref="N768:P768"/>
    <mergeCell ref="Q768:R768"/>
    <mergeCell ref="A769:B769"/>
    <mergeCell ref="C769:D769"/>
    <mergeCell ref="E769:I769"/>
    <mergeCell ref="J769:M769"/>
    <mergeCell ref="N769:P769"/>
    <mergeCell ref="Q769:R769"/>
    <mergeCell ref="A770:B770"/>
    <mergeCell ref="C770:D770"/>
    <mergeCell ref="E770:I770"/>
    <mergeCell ref="J770:M770"/>
    <mergeCell ref="N770:P770"/>
    <mergeCell ref="Q770:R770"/>
    <mergeCell ref="A771:B771"/>
    <mergeCell ref="C771:D771"/>
    <mergeCell ref="E771:I771"/>
    <mergeCell ref="J771:M771"/>
    <mergeCell ref="N771:P771"/>
    <mergeCell ref="Q771:R771"/>
    <mergeCell ref="A772:B772"/>
    <mergeCell ref="C772:D772"/>
    <mergeCell ref="E772:I772"/>
    <mergeCell ref="J772:M772"/>
    <mergeCell ref="N772:P772"/>
    <mergeCell ref="Q772:R772"/>
    <mergeCell ref="A773:B773"/>
    <mergeCell ref="C773:D773"/>
    <mergeCell ref="E773:I773"/>
    <mergeCell ref="J773:M773"/>
    <mergeCell ref="N773:P773"/>
    <mergeCell ref="Q773:R773"/>
    <mergeCell ref="A774:B774"/>
    <mergeCell ref="C774:D774"/>
    <mergeCell ref="E774:I774"/>
    <mergeCell ref="J774:M774"/>
    <mergeCell ref="N774:P774"/>
    <mergeCell ref="Q774:R774"/>
    <mergeCell ref="A775:B775"/>
    <mergeCell ref="C775:D775"/>
    <mergeCell ref="E775:I775"/>
    <mergeCell ref="J775:M775"/>
    <mergeCell ref="N775:P775"/>
    <mergeCell ref="Q775:R775"/>
    <mergeCell ref="A776:B776"/>
    <mergeCell ref="C776:D776"/>
    <mergeCell ref="E776:I776"/>
    <mergeCell ref="J776:M776"/>
    <mergeCell ref="N776:P776"/>
    <mergeCell ref="Q776:R776"/>
    <mergeCell ref="A777:B777"/>
    <mergeCell ref="C777:D777"/>
    <mergeCell ref="E777:I777"/>
    <mergeCell ref="J777:M777"/>
    <mergeCell ref="N777:P777"/>
    <mergeCell ref="Q777:R777"/>
    <mergeCell ref="A778:B778"/>
    <mergeCell ref="C778:D778"/>
    <mergeCell ref="E778:I778"/>
    <mergeCell ref="J778:M778"/>
    <mergeCell ref="N778:P778"/>
    <mergeCell ref="Q778:R778"/>
    <mergeCell ref="A779:B779"/>
    <mergeCell ref="C779:D779"/>
    <mergeCell ref="E779:I779"/>
    <mergeCell ref="J779:M779"/>
    <mergeCell ref="N779:P779"/>
    <mergeCell ref="Q779:R779"/>
    <mergeCell ref="A780:B780"/>
    <mergeCell ref="C780:D780"/>
    <mergeCell ref="E780:I780"/>
    <mergeCell ref="J780:M780"/>
    <mergeCell ref="N780:P780"/>
    <mergeCell ref="Q780:R780"/>
    <mergeCell ref="A781:B781"/>
    <mergeCell ref="C781:D781"/>
    <mergeCell ref="E781:I781"/>
    <mergeCell ref="J781:M781"/>
    <mergeCell ref="N781:P781"/>
    <mergeCell ref="Q781:R781"/>
    <mergeCell ref="A782:B782"/>
    <mergeCell ref="C782:D782"/>
    <mergeCell ref="E782:I782"/>
    <mergeCell ref="J782:M782"/>
    <mergeCell ref="N782:P782"/>
    <mergeCell ref="Q782:R782"/>
    <mergeCell ref="A783:B783"/>
    <mergeCell ref="C783:D783"/>
    <mergeCell ref="E783:I783"/>
    <mergeCell ref="J783:M783"/>
    <mergeCell ref="N783:P783"/>
    <mergeCell ref="Q783:R783"/>
    <mergeCell ref="A784:B784"/>
    <mergeCell ref="C784:D784"/>
    <mergeCell ref="E784:I784"/>
    <mergeCell ref="J784:M784"/>
    <mergeCell ref="N784:P784"/>
    <mergeCell ref="Q784:R784"/>
    <mergeCell ref="A785:B785"/>
    <mergeCell ref="C785:D785"/>
    <mergeCell ref="E785:I785"/>
    <mergeCell ref="J785:M785"/>
    <mergeCell ref="N785:P785"/>
    <mergeCell ref="Q785:R785"/>
    <mergeCell ref="A786:B786"/>
    <mergeCell ref="C786:D786"/>
    <mergeCell ref="E786:I786"/>
    <mergeCell ref="J786:M786"/>
    <mergeCell ref="N786:P786"/>
    <mergeCell ref="Q786:R786"/>
    <mergeCell ref="A787:B787"/>
    <mergeCell ref="C787:D787"/>
    <mergeCell ref="E787:I787"/>
    <mergeCell ref="J787:M787"/>
    <mergeCell ref="N787:P787"/>
    <mergeCell ref="Q787:R787"/>
    <mergeCell ref="A788:B788"/>
    <mergeCell ref="C788:D788"/>
    <mergeCell ref="E788:I788"/>
    <mergeCell ref="J788:M788"/>
    <mergeCell ref="N788:P788"/>
    <mergeCell ref="Q788:R788"/>
    <mergeCell ref="A789:B789"/>
    <mergeCell ref="C789:D789"/>
    <mergeCell ref="E789:I789"/>
    <mergeCell ref="J789:M789"/>
    <mergeCell ref="N789:P789"/>
    <mergeCell ref="Q789:R789"/>
    <mergeCell ref="A790:B790"/>
    <mergeCell ref="C790:D790"/>
    <mergeCell ref="E790:I790"/>
    <mergeCell ref="J790:M790"/>
    <mergeCell ref="N790:P790"/>
    <mergeCell ref="Q790:R790"/>
    <mergeCell ref="A791:B791"/>
    <mergeCell ref="C791:D791"/>
    <mergeCell ref="E791:I791"/>
    <mergeCell ref="J791:M791"/>
    <mergeCell ref="N791:P791"/>
    <mergeCell ref="Q791:R791"/>
    <mergeCell ref="A792:B792"/>
    <mergeCell ref="C792:D792"/>
    <mergeCell ref="E792:I792"/>
    <mergeCell ref="J792:M792"/>
    <mergeCell ref="N792:P792"/>
    <mergeCell ref="Q792:R792"/>
    <mergeCell ref="A793:B793"/>
    <mergeCell ref="C793:D793"/>
    <mergeCell ref="E793:I793"/>
    <mergeCell ref="J793:M793"/>
    <mergeCell ref="N793:P793"/>
    <mergeCell ref="Q793:R793"/>
    <mergeCell ref="A794:B794"/>
    <mergeCell ref="C794:D794"/>
    <mergeCell ref="E794:I794"/>
    <mergeCell ref="J794:M794"/>
    <mergeCell ref="N794:P794"/>
    <mergeCell ref="Q794:R794"/>
    <mergeCell ref="A795:B795"/>
    <mergeCell ref="C795:D795"/>
    <mergeCell ref="E795:I795"/>
    <mergeCell ref="J795:M795"/>
    <mergeCell ref="N795:P795"/>
    <mergeCell ref="Q795:R795"/>
    <mergeCell ref="A796:B796"/>
    <mergeCell ref="C796:D796"/>
    <mergeCell ref="E796:I796"/>
    <mergeCell ref="J796:M796"/>
    <mergeCell ref="N796:P796"/>
    <mergeCell ref="Q796:R796"/>
    <mergeCell ref="A797:B797"/>
    <mergeCell ref="C797:D797"/>
    <mergeCell ref="E797:I797"/>
    <mergeCell ref="J797:M797"/>
    <mergeCell ref="N797:P797"/>
    <mergeCell ref="Q797:R797"/>
    <mergeCell ref="A798:B798"/>
    <mergeCell ref="C798:D798"/>
    <mergeCell ref="E798:I798"/>
    <mergeCell ref="J798:M798"/>
    <mergeCell ref="N798:P798"/>
    <mergeCell ref="Q798:R798"/>
    <mergeCell ref="A799:B799"/>
    <mergeCell ref="C799:D799"/>
    <mergeCell ref="E799:I799"/>
    <mergeCell ref="J799:M799"/>
    <mergeCell ref="N799:P799"/>
    <mergeCell ref="Q799:R799"/>
    <mergeCell ref="A800:B800"/>
    <mergeCell ref="C800:D800"/>
    <mergeCell ref="E800:I800"/>
    <mergeCell ref="J800:M800"/>
    <mergeCell ref="N800:P800"/>
    <mergeCell ref="Q800:R800"/>
    <mergeCell ref="A801:B801"/>
    <mergeCell ref="C801:D801"/>
    <mergeCell ref="E801:I801"/>
    <mergeCell ref="J801:M801"/>
    <mergeCell ref="N801:P801"/>
    <mergeCell ref="Q801:R801"/>
    <mergeCell ref="A802:B802"/>
    <mergeCell ref="C802:D802"/>
    <mergeCell ref="E802:I802"/>
    <mergeCell ref="J802:M802"/>
    <mergeCell ref="N802:P802"/>
    <mergeCell ref="Q802:R802"/>
    <mergeCell ref="A803:B803"/>
    <mergeCell ref="C803:D803"/>
    <mergeCell ref="E803:I803"/>
    <mergeCell ref="J803:M803"/>
    <mergeCell ref="N803:P803"/>
    <mergeCell ref="Q803:R803"/>
    <mergeCell ref="A804:B804"/>
    <mergeCell ref="C804:D804"/>
    <mergeCell ref="E804:I804"/>
    <mergeCell ref="J804:M804"/>
    <mergeCell ref="N804:P804"/>
    <mergeCell ref="Q804:R804"/>
    <mergeCell ref="A805:B805"/>
    <mergeCell ref="C805:D805"/>
    <mergeCell ref="E805:I805"/>
    <mergeCell ref="J805:M805"/>
    <mergeCell ref="N805:P805"/>
    <mergeCell ref="Q805:R805"/>
    <mergeCell ref="A806:B806"/>
    <mergeCell ref="C806:D806"/>
    <mergeCell ref="E806:I806"/>
    <mergeCell ref="J806:M806"/>
    <mergeCell ref="N806:P806"/>
    <mergeCell ref="Q806:R806"/>
    <mergeCell ref="A807:B807"/>
    <mergeCell ref="C807:D807"/>
    <mergeCell ref="E807:I807"/>
    <mergeCell ref="J807:M807"/>
    <mergeCell ref="N807:P807"/>
    <mergeCell ref="Q807:R807"/>
    <mergeCell ref="A808:B808"/>
    <mergeCell ref="C808:D808"/>
    <mergeCell ref="E808:I808"/>
    <mergeCell ref="J808:M808"/>
    <mergeCell ref="N808:P808"/>
    <mergeCell ref="Q808:R808"/>
    <mergeCell ref="A809:B809"/>
    <mergeCell ref="C809:D809"/>
    <mergeCell ref="E809:I809"/>
    <mergeCell ref="J809:M809"/>
    <mergeCell ref="N809:P809"/>
    <mergeCell ref="Q809:R809"/>
    <mergeCell ref="A810:B810"/>
    <mergeCell ref="C810:D810"/>
    <mergeCell ref="E810:I810"/>
    <mergeCell ref="J810:M810"/>
    <mergeCell ref="N810:P810"/>
    <mergeCell ref="Q810:R810"/>
    <mergeCell ref="A811:B811"/>
    <mergeCell ref="C811:D811"/>
    <mergeCell ref="E811:I811"/>
    <mergeCell ref="J811:M811"/>
    <mergeCell ref="N811:P811"/>
    <mergeCell ref="Q811:R811"/>
    <mergeCell ref="A812:B812"/>
    <mergeCell ref="C812:D812"/>
    <mergeCell ref="E812:I812"/>
    <mergeCell ref="J812:M812"/>
    <mergeCell ref="N812:P812"/>
    <mergeCell ref="Q812:R812"/>
    <mergeCell ref="A813:B813"/>
    <mergeCell ref="C813:D813"/>
    <mergeCell ref="E813:I813"/>
    <mergeCell ref="J813:M813"/>
    <mergeCell ref="N813:P813"/>
    <mergeCell ref="Q813:R813"/>
    <mergeCell ref="A814:B814"/>
    <mergeCell ref="C814:D814"/>
    <mergeCell ref="E814:I814"/>
    <mergeCell ref="J814:M814"/>
    <mergeCell ref="N814:P814"/>
    <mergeCell ref="Q814:R814"/>
    <mergeCell ref="A815:B815"/>
    <mergeCell ref="C815:D815"/>
    <mergeCell ref="E815:I815"/>
    <mergeCell ref="J815:M815"/>
    <mergeCell ref="N815:P815"/>
    <mergeCell ref="Q815:R815"/>
    <mergeCell ref="A816:B816"/>
    <mergeCell ref="C816:D816"/>
    <mergeCell ref="E816:I816"/>
    <mergeCell ref="J816:M816"/>
    <mergeCell ref="N816:P816"/>
    <mergeCell ref="Q816:R816"/>
    <mergeCell ref="A817:B817"/>
    <mergeCell ref="C817:D817"/>
    <mergeCell ref="E817:I817"/>
    <mergeCell ref="J817:M817"/>
    <mergeCell ref="N817:P817"/>
    <mergeCell ref="Q817:R817"/>
    <mergeCell ref="A818:B818"/>
    <mergeCell ref="C818:D818"/>
    <mergeCell ref="E818:I818"/>
    <mergeCell ref="J818:M818"/>
    <mergeCell ref="N818:P818"/>
    <mergeCell ref="Q818:R818"/>
    <mergeCell ref="A819:B819"/>
    <mergeCell ref="C819:D819"/>
    <mergeCell ref="E819:I819"/>
    <mergeCell ref="J819:M819"/>
    <mergeCell ref="N819:P819"/>
    <mergeCell ref="Q819:R819"/>
    <mergeCell ref="A820:B820"/>
    <mergeCell ref="C820:D820"/>
    <mergeCell ref="E820:I820"/>
    <mergeCell ref="J820:M820"/>
    <mergeCell ref="N820:P820"/>
    <mergeCell ref="Q820:R820"/>
    <mergeCell ref="A821:B821"/>
    <mergeCell ref="C821:D821"/>
    <mergeCell ref="E821:I821"/>
    <mergeCell ref="J821:M821"/>
    <mergeCell ref="N821:P821"/>
    <mergeCell ref="Q821:R821"/>
    <mergeCell ref="A822:B822"/>
    <mergeCell ref="C822:D822"/>
    <mergeCell ref="E822:I822"/>
    <mergeCell ref="J822:M822"/>
    <mergeCell ref="N822:P822"/>
    <mergeCell ref="Q822:R822"/>
    <mergeCell ref="A823:B823"/>
    <mergeCell ref="C823:D823"/>
    <mergeCell ref="E823:I823"/>
    <mergeCell ref="J823:M823"/>
    <mergeCell ref="N823:P823"/>
    <mergeCell ref="Q823:R823"/>
    <mergeCell ref="A824:B824"/>
    <mergeCell ref="C824:D824"/>
    <mergeCell ref="E824:I824"/>
    <mergeCell ref="J824:M824"/>
    <mergeCell ref="N824:P824"/>
    <mergeCell ref="Q824:R824"/>
    <mergeCell ref="A825:B825"/>
    <mergeCell ref="C825:D825"/>
    <mergeCell ref="E825:I825"/>
    <mergeCell ref="J825:M825"/>
    <mergeCell ref="N825:P825"/>
    <mergeCell ref="Q825:R825"/>
    <mergeCell ref="A826:B826"/>
    <mergeCell ref="C826:D826"/>
    <mergeCell ref="E826:I826"/>
    <mergeCell ref="J826:M826"/>
    <mergeCell ref="N826:P826"/>
    <mergeCell ref="Q826:R826"/>
    <mergeCell ref="A827:B827"/>
    <mergeCell ref="C827:D827"/>
    <mergeCell ref="E827:I827"/>
    <mergeCell ref="J827:M827"/>
    <mergeCell ref="N827:P827"/>
    <mergeCell ref="Q827:R827"/>
    <mergeCell ref="A828:B828"/>
    <mergeCell ref="C828:D828"/>
    <mergeCell ref="E828:I828"/>
    <mergeCell ref="J828:M828"/>
    <mergeCell ref="N828:P828"/>
    <mergeCell ref="Q828:R828"/>
    <mergeCell ref="A829:B829"/>
    <mergeCell ref="C829:D829"/>
    <mergeCell ref="E829:I829"/>
    <mergeCell ref="J829:M829"/>
    <mergeCell ref="N829:P829"/>
    <mergeCell ref="Q829:R829"/>
    <mergeCell ref="A830:B830"/>
    <mergeCell ref="C830:D830"/>
    <mergeCell ref="E830:I830"/>
    <mergeCell ref="J830:M830"/>
    <mergeCell ref="N830:P830"/>
    <mergeCell ref="Q830:R830"/>
    <mergeCell ref="A831:B831"/>
    <mergeCell ref="C831:D831"/>
    <mergeCell ref="E831:I831"/>
    <mergeCell ref="J831:M831"/>
    <mergeCell ref="N831:P831"/>
    <mergeCell ref="Q831:R831"/>
    <mergeCell ref="A832:B832"/>
    <mergeCell ref="C832:D832"/>
    <mergeCell ref="E832:I832"/>
    <mergeCell ref="J832:M832"/>
    <mergeCell ref="N832:P832"/>
    <mergeCell ref="Q832:R832"/>
    <mergeCell ref="A833:B833"/>
    <mergeCell ref="C833:D833"/>
    <mergeCell ref="E833:I833"/>
    <mergeCell ref="J833:M833"/>
    <mergeCell ref="N833:P833"/>
    <mergeCell ref="Q833:R833"/>
    <mergeCell ref="A834:B834"/>
    <mergeCell ref="C834:D834"/>
    <mergeCell ref="E834:I834"/>
    <mergeCell ref="J834:M834"/>
    <mergeCell ref="N834:P834"/>
    <mergeCell ref="Q834:R834"/>
    <mergeCell ref="A835:B835"/>
    <mergeCell ref="C835:D835"/>
    <mergeCell ref="E835:I835"/>
    <mergeCell ref="J835:M835"/>
    <mergeCell ref="N835:P835"/>
    <mergeCell ref="Q835:R835"/>
    <mergeCell ref="A836:B836"/>
    <mergeCell ref="C836:D836"/>
    <mergeCell ref="E836:I836"/>
    <mergeCell ref="J836:M836"/>
    <mergeCell ref="N836:P836"/>
    <mergeCell ref="Q836:R836"/>
    <mergeCell ref="A837:B837"/>
    <mergeCell ref="C837:D837"/>
    <mergeCell ref="E837:I837"/>
    <mergeCell ref="J837:M837"/>
    <mergeCell ref="N837:P837"/>
    <mergeCell ref="Q837:R837"/>
    <mergeCell ref="A838:B838"/>
    <mergeCell ref="C838:D838"/>
    <mergeCell ref="E838:I838"/>
    <mergeCell ref="J838:M838"/>
    <mergeCell ref="N838:P838"/>
    <mergeCell ref="Q838:R838"/>
    <mergeCell ref="A839:B839"/>
    <mergeCell ref="C839:D839"/>
    <mergeCell ref="E839:I839"/>
    <mergeCell ref="J839:M839"/>
    <mergeCell ref="N839:P839"/>
    <mergeCell ref="Q839:R839"/>
    <mergeCell ref="A840:B840"/>
    <mergeCell ref="C840:D840"/>
    <mergeCell ref="E840:I840"/>
    <mergeCell ref="J840:M840"/>
    <mergeCell ref="N840:P840"/>
    <mergeCell ref="Q840:R840"/>
    <mergeCell ref="A841:B841"/>
    <mergeCell ref="C841:D841"/>
    <mergeCell ref="E841:I841"/>
    <mergeCell ref="J841:M841"/>
    <mergeCell ref="N841:P841"/>
    <mergeCell ref="Q841:R841"/>
    <mergeCell ref="A842:B842"/>
    <mergeCell ref="C842:D842"/>
    <mergeCell ref="E842:I842"/>
    <mergeCell ref="J842:M842"/>
    <mergeCell ref="N842:P842"/>
    <mergeCell ref="Q842:R842"/>
    <mergeCell ref="A843:B843"/>
    <mergeCell ref="C843:D843"/>
    <mergeCell ref="E843:I843"/>
    <mergeCell ref="J843:M843"/>
    <mergeCell ref="N843:P843"/>
    <mergeCell ref="Q843:R843"/>
    <mergeCell ref="A844:B844"/>
    <mergeCell ref="C844:D844"/>
    <mergeCell ref="E844:I844"/>
    <mergeCell ref="J844:M844"/>
    <mergeCell ref="N844:P844"/>
    <mergeCell ref="Q844:R844"/>
    <mergeCell ref="A845:B845"/>
    <mergeCell ref="C845:D845"/>
    <mergeCell ref="E845:I845"/>
    <mergeCell ref="J845:M845"/>
    <mergeCell ref="N845:P845"/>
    <mergeCell ref="Q845:R845"/>
    <mergeCell ref="A846:B846"/>
    <mergeCell ref="C846:D846"/>
    <mergeCell ref="E846:I846"/>
    <mergeCell ref="J846:M846"/>
    <mergeCell ref="N846:P846"/>
    <mergeCell ref="Q846:R846"/>
    <mergeCell ref="A847:B847"/>
    <mergeCell ref="C847:D847"/>
    <mergeCell ref="E847:I847"/>
    <mergeCell ref="J847:M847"/>
    <mergeCell ref="N847:P847"/>
    <mergeCell ref="Q847:R847"/>
    <mergeCell ref="A848:B848"/>
    <mergeCell ref="C848:D848"/>
    <mergeCell ref="E848:I848"/>
    <mergeCell ref="J848:M848"/>
    <mergeCell ref="N848:P848"/>
    <mergeCell ref="Q848:R848"/>
    <mergeCell ref="A849:B849"/>
    <mergeCell ref="C849:D849"/>
    <mergeCell ref="E849:I849"/>
    <mergeCell ref="J849:M849"/>
    <mergeCell ref="N849:P849"/>
    <mergeCell ref="Q849:R849"/>
    <mergeCell ref="A850:B850"/>
    <mergeCell ref="C850:D850"/>
    <mergeCell ref="E850:I850"/>
    <mergeCell ref="J850:M850"/>
    <mergeCell ref="N850:P850"/>
    <mergeCell ref="Q850:R850"/>
    <mergeCell ref="A851:B851"/>
    <mergeCell ref="C851:D851"/>
    <mergeCell ref="E851:I851"/>
    <mergeCell ref="J851:M851"/>
    <mergeCell ref="N851:P851"/>
    <mergeCell ref="Q851:R851"/>
    <mergeCell ref="A852:B852"/>
    <mergeCell ref="C852:D852"/>
    <mergeCell ref="E852:I852"/>
    <mergeCell ref="J852:M852"/>
    <mergeCell ref="N852:P852"/>
    <mergeCell ref="Q852:R852"/>
    <mergeCell ref="A853:B853"/>
    <mergeCell ref="C853:D853"/>
    <mergeCell ref="E853:I853"/>
    <mergeCell ref="J853:M853"/>
    <mergeCell ref="N853:P853"/>
    <mergeCell ref="Q853:R853"/>
    <mergeCell ref="A854:B854"/>
    <mergeCell ref="C854:D854"/>
    <mergeCell ref="E854:I854"/>
    <mergeCell ref="J854:M854"/>
    <mergeCell ref="N854:P854"/>
    <mergeCell ref="Q854:R854"/>
    <mergeCell ref="A855:B855"/>
    <mergeCell ref="C855:D855"/>
    <mergeCell ref="E855:I855"/>
    <mergeCell ref="J855:M855"/>
    <mergeCell ref="N855:P855"/>
    <mergeCell ref="Q855:R855"/>
    <mergeCell ref="A856:B856"/>
    <mergeCell ref="C856:D856"/>
    <mergeCell ref="E856:I856"/>
    <mergeCell ref="J856:M856"/>
    <mergeCell ref="N856:P856"/>
    <mergeCell ref="Q856:R856"/>
    <mergeCell ref="A857:B857"/>
    <mergeCell ref="C857:D857"/>
    <mergeCell ref="E857:I857"/>
    <mergeCell ref="J857:M857"/>
    <mergeCell ref="N857:P857"/>
    <mergeCell ref="Q857:R857"/>
    <mergeCell ref="A858:B858"/>
    <mergeCell ref="C858:D858"/>
    <mergeCell ref="E858:I858"/>
    <mergeCell ref="J858:M858"/>
    <mergeCell ref="N858:P858"/>
    <mergeCell ref="Q858:R858"/>
    <mergeCell ref="A859:B859"/>
    <mergeCell ref="C859:D859"/>
    <mergeCell ref="E859:I859"/>
    <mergeCell ref="J859:M859"/>
    <mergeCell ref="N859:P859"/>
    <mergeCell ref="Q859:R859"/>
    <mergeCell ref="A860:B860"/>
    <mergeCell ref="C860:D860"/>
    <mergeCell ref="E860:I860"/>
    <mergeCell ref="J860:M860"/>
    <mergeCell ref="N860:P860"/>
    <mergeCell ref="Q860:R860"/>
    <mergeCell ref="A861:B861"/>
    <mergeCell ref="C861:D861"/>
    <mergeCell ref="E861:I861"/>
    <mergeCell ref="J861:M861"/>
    <mergeCell ref="N861:P861"/>
    <mergeCell ref="Q861:R861"/>
    <mergeCell ref="A862:B862"/>
    <mergeCell ref="C862:D862"/>
    <mergeCell ref="E862:I862"/>
    <mergeCell ref="J862:M862"/>
    <mergeCell ref="N862:P862"/>
    <mergeCell ref="Q862:R862"/>
    <mergeCell ref="A863:B863"/>
    <mergeCell ref="C863:D863"/>
    <mergeCell ref="E863:I863"/>
    <mergeCell ref="J863:M863"/>
    <mergeCell ref="N863:P863"/>
    <mergeCell ref="Q863:R863"/>
    <mergeCell ref="A864:B864"/>
    <mergeCell ref="C864:D864"/>
    <mergeCell ref="E864:I864"/>
    <mergeCell ref="J864:M864"/>
    <mergeCell ref="N864:P864"/>
    <mergeCell ref="Q864:R864"/>
    <mergeCell ref="A865:B865"/>
    <mergeCell ref="C865:D865"/>
    <mergeCell ref="E865:I865"/>
    <mergeCell ref="J865:M865"/>
    <mergeCell ref="N865:P865"/>
    <mergeCell ref="Q865:R865"/>
    <mergeCell ref="A866:B866"/>
    <mergeCell ref="C866:D866"/>
    <mergeCell ref="E866:I866"/>
    <mergeCell ref="J866:M866"/>
    <mergeCell ref="N866:P866"/>
    <mergeCell ref="Q866:R866"/>
    <mergeCell ref="A867:B867"/>
    <mergeCell ref="C867:D867"/>
    <mergeCell ref="E867:I867"/>
    <mergeCell ref="J867:M867"/>
    <mergeCell ref="N867:P867"/>
    <mergeCell ref="Q867:R867"/>
    <mergeCell ref="A868:B868"/>
    <mergeCell ref="C868:D868"/>
    <mergeCell ref="E868:I868"/>
    <mergeCell ref="J868:M868"/>
    <mergeCell ref="N868:P868"/>
    <mergeCell ref="Q868:R868"/>
    <mergeCell ref="A869:B869"/>
    <mergeCell ref="C869:D869"/>
    <mergeCell ref="E869:I869"/>
    <mergeCell ref="J869:M869"/>
    <mergeCell ref="N869:P869"/>
    <mergeCell ref="Q869:R869"/>
    <mergeCell ref="A870:B870"/>
    <mergeCell ref="C870:D870"/>
    <mergeCell ref="E870:I870"/>
    <mergeCell ref="J870:M870"/>
    <mergeCell ref="N870:P870"/>
    <mergeCell ref="Q870:R870"/>
    <mergeCell ref="A871:B871"/>
    <mergeCell ref="C871:D871"/>
    <mergeCell ref="E871:I871"/>
    <mergeCell ref="J871:M871"/>
    <mergeCell ref="N871:P871"/>
    <mergeCell ref="Q871:R871"/>
    <mergeCell ref="A872:B872"/>
    <mergeCell ref="C872:D872"/>
    <mergeCell ref="E872:I872"/>
    <mergeCell ref="J872:M872"/>
    <mergeCell ref="N872:P872"/>
    <mergeCell ref="Q872:R872"/>
    <mergeCell ref="A873:B873"/>
    <mergeCell ref="C873:D873"/>
    <mergeCell ref="E873:I873"/>
    <mergeCell ref="J873:M873"/>
    <mergeCell ref="N873:P873"/>
    <mergeCell ref="Q873:R873"/>
    <mergeCell ref="A874:B874"/>
    <mergeCell ref="C874:D874"/>
    <mergeCell ref="E874:I874"/>
    <mergeCell ref="J874:M874"/>
    <mergeCell ref="N874:P874"/>
    <mergeCell ref="Q874:R874"/>
    <mergeCell ref="A875:B875"/>
    <mergeCell ref="C875:D875"/>
    <mergeCell ref="E875:I875"/>
    <mergeCell ref="J875:M875"/>
    <mergeCell ref="N875:P875"/>
    <mergeCell ref="Q875:R875"/>
    <mergeCell ref="A876:B876"/>
    <mergeCell ref="C876:D876"/>
    <mergeCell ref="E876:I876"/>
    <mergeCell ref="J876:M876"/>
    <mergeCell ref="N876:P876"/>
    <mergeCell ref="Q876:R876"/>
    <mergeCell ref="A877:B877"/>
    <mergeCell ref="C877:D877"/>
    <mergeCell ref="E877:I877"/>
    <mergeCell ref="J877:M877"/>
    <mergeCell ref="N877:P877"/>
    <mergeCell ref="Q877:R877"/>
    <mergeCell ref="A878:B878"/>
    <mergeCell ref="C878:D878"/>
    <mergeCell ref="E878:I878"/>
    <mergeCell ref="J878:M878"/>
    <mergeCell ref="N878:P878"/>
    <mergeCell ref="Q878:R878"/>
    <mergeCell ref="A879:B879"/>
    <mergeCell ref="C879:D879"/>
    <mergeCell ref="E879:I879"/>
    <mergeCell ref="J879:M879"/>
    <mergeCell ref="N879:P879"/>
    <mergeCell ref="Q879:R879"/>
    <mergeCell ref="A880:B880"/>
    <mergeCell ref="C880:D880"/>
    <mergeCell ref="E880:I880"/>
    <mergeCell ref="J880:M880"/>
    <mergeCell ref="N880:P880"/>
    <mergeCell ref="Q880:R880"/>
    <mergeCell ref="A881:B881"/>
    <mergeCell ref="C881:D881"/>
    <mergeCell ref="E881:I881"/>
    <mergeCell ref="J881:M881"/>
    <mergeCell ref="N881:P881"/>
    <mergeCell ref="Q881:R881"/>
    <mergeCell ref="A882:B882"/>
    <mergeCell ref="C882:D882"/>
    <mergeCell ref="E882:I882"/>
    <mergeCell ref="J882:M882"/>
    <mergeCell ref="N882:P882"/>
    <mergeCell ref="Q882:R882"/>
    <mergeCell ref="A883:B883"/>
    <mergeCell ref="C883:D883"/>
    <mergeCell ref="E883:I883"/>
    <mergeCell ref="J883:M883"/>
    <mergeCell ref="N883:P883"/>
    <mergeCell ref="Q883:R883"/>
    <mergeCell ref="A884:B884"/>
    <mergeCell ref="C884:D884"/>
    <mergeCell ref="E884:I884"/>
    <mergeCell ref="J884:M884"/>
    <mergeCell ref="N884:P884"/>
    <mergeCell ref="Q884:R884"/>
    <mergeCell ref="A885:B885"/>
    <mergeCell ref="C885:D885"/>
    <mergeCell ref="E885:I885"/>
    <mergeCell ref="J885:M885"/>
    <mergeCell ref="N885:P885"/>
    <mergeCell ref="Q885:R885"/>
    <mergeCell ref="A886:B886"/>
    <mergeCell ref="C886:D886"/>
    <mergeCell ref="E886:I886"/>
    <mergeCell ref="J886:M886"/>
    <mergeCell ref="N886:P886"/>
    <mergeCell ref="Q886:R886"/>
    <mergeCell ref="A887:B887"/>
    <mergeCell ref="C887:D887"/>
    <mergeCell ref="E887:I887"/>
    <mergeCell ref="J887:M887"/>
    <mergeCell ref="N887:P887"/>
    <mergeCell ref="Q887:R887"/>
    <mergeCell ref="A888:B888"/>
    <mergeCell ref="C888:D888"/>
    <mergeCell ref="E888:I888"/>
    <mergeCell ref="J888:M888"/>
    <mergeCell ref="N888:P888"/>
    <mergeCell ref="Q888:R888"/>
    <mergeCell ref="A889:B889"/>
    <mergeCell ref="C889:D889"/>
    <mergeCell ref="E889:I889"/>
    <mergeCell ref="J889:M889"/>
    <mergeCell ref="N889:P889"/>
    <mergeCell ref="Q889:R889"/>
    <mergeCell ref="A890:B890"/>
    <mergeCell ref="C890:D890"/>
    <mergeCell ref="E890:I890"/>
    <mergeCell ref="J890:M890"/>
    <mergeCell ref="N890:P890"/>
    <mergeCell ref="Q890:R890"/>
    <mergeCell ref="A891:B891"/>
    <mergeCell ref="C891:D891"/>
    <mergeCell ref="E891:I891"/>
    <mergeCell ref="J891:M891"/>
    <mergeCell ref="N891:P891"/>
    <mergeCell ref="Q891:R891"/>
    <mergeCell ref="A892:B892"/>
    <mergeCell ref="C892:D892"/>
    <mergeCell ref="E892:I892"/>
    <mergeCell ref="J892:M892"/>
    <mergeCell ref="N892:P892"/>
    <mergeCell ref="Q892:R892"/>
    <mergeCell ref="A893:B893"/>
    <mergeCell ref="C893:D893"/>
    <mergeCell ref="E893:I893"/>
    <mergeCell ref="J893:M893"/>
    <mergeCell ref="N893:P893"/>
    <mergeCell ref="Q893:R893"/>
    <mergeCell ref="A894:B894"/>
    <mergeCell ref="C894:D894"/>
    <mergeCell ref="E894:I894"/>
    <mergeCell ref="J894:M894"/>
    <mergeCell ref="N894:P894"/>
    <mergeCell ref="Q894:R894"/>
    <mergeCell ref="A895:B895"/>
    <mergeCell ref="C895:D895"/>
    <mergeCell ref="E895:I895"/>
    <mergeCell ref="J895:M895"/>
    <mergeCell ref="N895:P895"/>
    <mergeCell ref="Q895:R895"/>
    <mergeCell ref="A896:B896"/>
    <mergeCell ref="C896:D896"/>
    <mergeCell ref="E896:I896"/>
    <mergeCell ref="J896:M896"/>
    <mergeCell ref="N896:P896"/>
    <mergeCell ref="Q896:R896"/>
    <mergeCell ref="A897:B897"/>
    <mergeCell ref="C897:D897"/>
    <mergeCell ref="E897:I897"/>
    <mergeCell ref="J897:M897"/>
    <mergeCell ref="N897:P897"/>
    <mergeCell ref="Q897:R897"/>
    <mergeCell ref="A898:B898"/>
    <mergeCell ref="C898:D898"/>
    <mergeCell ref="E898:I898"/>
    <mergeCell ref="J898:M898"/>
    <mergeCell ref="N898:P898"/>
    <mergeCell ref="Q898:R898"/>
    <mergeCell ref="A899:B899"/>
    <mergeCell ref="C899:D899"/>
    <mergeCell ref="E899:I899"/>
    <mergeCell ref="J899:M899"/>
    <mergeCell ref="N899:P899"/>
    <mergeCell ref="Q899:R899"/>
    <mergeCell ref="A900:B900"/>
    <mergeCell ref="C900:D900"/>
    <mergeCell ref="E900:I900"/>
    <mergeCell ref="J900:M900"/>
    <mergeCell ref="N900:P900"/>
    <mergeCell ref="Q900:R900"/>
    <mergeCell ref="A901:B901"/>
    <mergeCell ref="C901:D901"/>
    <mergeCell ref="E901:I901"/>
    <mergeCell ref="J901:M901"/>
    <mergeCell ref="N901:P901"/>
    <mergeCell ref="Q901:R901"/>
    <mergeCell ref="A902:B902"/>
    <mergeCell ref="C902:D902"/>
    <mergeCell ref="E902:I902"/>
    <mergeCell ref="J902:M902"/>
    <mergeCell ref="N902:P902"/>
    <mergeCell ref="Q902:R902"/>
    <mergeCell ref="A903:B903"/>
    <mergeCell ref="C903:D903"/>
    <mergeCell ref="E903:I903"/>
    <mergeCell ref="J903:M903"/>
    <mergeCell ref="N903:P903"/>
    <mergeCell ref="Q903:R903"/>
    <mergeCell ref="A904:B904"/>
    <mergeCell ref="C904:D904"/>
    <mergeCell ref="E904:I904"/>
    <mergeCell ref="J904:M904"/>
    <mergeCell ref="N904:P904"/>
    <mergeCell ref="Q904:R904"/>
    <mergeCell ref="A905:B905"/>
    <mergeCell ref="C905:D905"/>
    <mergeCell ref="E905:I905"/>
    <mergeCell ref="J905:M905"/>
    <mergeCell ref="N905:P905"/>
    <mergeCell ref="Q905:R905"/>
    <mergeCell ref="A906:B906"/>
    <mergeCell ref="C906:D906"/>
    <mergeCell ref="E906:I906"/>
    <mergeCell ref="J906:M906"/>
    <mergeCell ref="N906:P906"/>
    <mergeCell ref="Q906:R906"/>
    <mergeCell ref="A907:B907"/>
    <mergeCell ref="C907:D907"/>
    <mergeCell ref="E907:I907"/>
    <mergeCell ref="J907:M907"/>
    <mergeCell ref="N907:P907"/>
    <mergeCell ref="Q907:R907"/>
    <mergeCell ref="A908:B908"/>
    <mergeCell ref="C908:D908"/>
    <mergeCell ref="E908:I908"/>
    <mergeCell ref="J908:M908"/>
    <mergeCell ref="N908:P908"/>
    <mergeCell ref="Q908:R908"/>
    <mergeCell ref="A909:B909"/>
    <mergeCell ref="C909:D909"/>
    <mergeCell ref="E909:I909"/>
    <mergeCell ref="J909:M909"/>
    <mergeCell ref="N909:P909"/>
    <mergeCell ref="Q909:R909"/>
    <mergeCell ref="A910:B910"/>
    <mergeCell ref="C910:D910"/>
    <mergeCell ref="E910:I910"/>
    <mergeCell ref="J910:M910"/>
    <mergeCell ref="N910:P910"/>
    <mergeCell ref="Q910:R910"/>
    <mergeCell ref="A911:B911"/>
    <mergeCell ref="C911:D911"/>
    <mergeCell ref="E911:I911"/>
    <mergeCell ref="J911:M911"/>
    <mergeCell ref="N911:P911"/>
    <mergeCell ref="Q911:R911"/>
    <mergeCell ref="A912:B912"/>
    <mergeCell ref="C912:D912"/>
    <mergeCell ref="E912:I912"/>
    <mergeCell ref="J912:M912"/>
    <mergeCell ref="N912:P912"/>
    <mergeCell ref="Q912:R912"/>
    <mergeCell ref="A913:B913"/>
    <mergeCell ref="C913:D913"/>
    <mergeCell ref="E913:I913"/>
    <mergeCell ref="J913:M913"/>
    <mergeCell ref="N913:P913"/>
    <mergeCell ref="Q913:R913"/>
    <mergeCell ref="A914:B914"/>
    <mergeCell ref="C914:D914"/>
    <mergeCell ref="E914:I914"/>
    <mergeCell ref="J914:M914"/>
    <mergeCell ref="N914:P914"/>
    <mergeCell ref="Q914:R914"/>
    <mergeCell ref="A915:B915"/>
    <mergeCell ref="C915:D915"/>
    <mergeCell ref="E915:I915"/>
    <mergeCell ref="J915:M915"/>
    <mergeCell ref="N915:P915"/>
    <mergeCell ref="Q915:R915"/>
    <mergeCell ref="A916:B916"/>
    <mergeCell ref="C916:D916"/>
    <mergeCell ref="E916:I916"/>
    <mergeCell ref="J916:M916"/>
    <mergeCell ref="N916:P916"/>
    <mergeCell ref="Q916:R916"/>
    <mergeCell ref="A917:B917"/>
    <mergeCell ref="C917:D917"/>
    <mergeCell ref="E917:I917"/>
    <mergeCell ref="J917:M917"/>
    <mergeCell ref="N917:P917"/>
    <mergeCell ref="Q917:R917"/>
    <mergeCell ref="A918:B918"/>
    <mergeCell ref="C918:D918"/>
    <mergeCell ref="E918:I918"/>
    <mergeCell ref="J918:M918"/>
    <mergeCell ref="N918:P918"/>
    <mergeCell ref="Q918:R918"/>
    <mergeCell ref="A919:B919"/>
    <mergeCell ref="C919:D919"/>
    <mergeCell ref="E919:I919"/>
    <mergeCell ref="J919:M919"/>
    <mergeCell ref="N919:P919"/>
    <mergeCell ref="Q919:R919"/>
    <mergeCell ref="A920:B920"/>
    <mergeCell ref="C920:D920"/>
    <mergeCell ref="E920:I920"/>
    <mergeCell ref="J920:M920"/>
    <mergeCell ref="N920:P920"/>
    <mergeCell ref="Q920:R920"/>
    <mergeCell ref="A921:B921"/>
    <mergeCell ref="C921:D921"/>
    <mergeCell ref="E921:I921"/>
    <mergeCell ref="J921:M921"/>
    <mergeCell ref="N921:P921"/>
    <mergeCell ref="Q921:R921"/>
    <mergeCell ref="A922:B922"/>
    <mergeCell ref="C922:D922"/>
    <mergeCell ref="E922:I922"/>
    <mergeCell ref="J922:M922"/>
    <mergeCell ref="N922:P922"/>
    <mergeCell ref="Q922:R922"/>
    <mergeCell ref="A923:B923"/>
    <mergeCell ref="C923:D923"/>
    <mergeCell ref="E923:I923"/>
    <mergeCell ref="J923:M923"/>
    <mergeCell ref="N923:P923"/>
    <mergeCell ref="Q923:R923"/>
    <mergeCell ref="A924:B924"/>
    <mergeCell ref="C924:D924"/>
    <mergeCell ref="E924:I924"/>
    <mergeCell ref="J924:M924"/>
    <mergeCell ref="N924:P924"/>
    <mergeCell ref="Q924:R924"/>
    <mergeCell ref="A925:B925"/>
    <mergeCell ref="C925:D925"/>
    <mergeCell ref="E925:I925"/>
    <mergeCell ref="J925:M925"/>
    <mergeCell ref="N925:P925"/>
    <mergeCell ref="Q925:R925"/>
    <mergeCell ref="A926:B926"/>
    <mergeCell ref="C926:D926"/>
    <mergeCell ref="E926:I926"/>
    <mergeCell ref="J926:M926"/>
    <mergeCell ref="N926:P926"/>
    <mergeCell ref="Q926:R926"/>
    <mergeCell ref="A927:B927"/>
    <mergeCell ref="C927:D927"/>
    <mergeCell ref="E927:I927"/>
    <mergeCell ref="J927:M927"/>
    <mergeCell ref="N927:P927"/>
    <mergeCell ref="Q927:R927"/>
    <mergeCell ref="A928:B928"/>
    <mergeCell ref="C928:D928"/>
    <mergeCell ref="E928:I928"/>
    <mergeCell ref="J928:M928"/>
    <mergeCell ref="N928:P928"/>
    <mergeCell ref="Q928:R928"/>
    <mergeCell ref="A929:B929"/>
    <mergeCell ref="C929:D929"/>
    <mergeCell ref="E929:I929"/>
    <mergeCell ref="J929:M929"/>
    <mergeCell ref="N929:P929"/>
    <mergeCell ref="Q929:R929"/>
    <mergeCell ref="A930:B930"/>
    <mergeCell ref="C930:D930"/>
    <mergeCell ref="E930:I930"/>
    <mergeCell ref="J930:M930"/>
    <mergeCell ref="N930:P930"/>
    <mergeCell ref="Q930:R930"/>
    <mergeCell ref="A931:B931"/>
    <mergeCell ref="C931:D931"/>
    <mergeCell ref="E931:I931"/>
    <mergeCell ref="J931:M931"/>
    <mergeCell ref="N931:P931"/>
    <mergeCell ref="Q931:R931"/>
    <mergeCell ref="A932:B932"/>
    <mergeCell ref="C932:D932"/>
    <mergeCell ref="E932:I932"/>
    <mergeCell ref="J932:M932"/>
    <mergeCell ref="N932:P932"/>
    <mergeCell ref="Q932:R932"/>
    <mergeCell ref="A933:B933"/>
    <mergeCell ref="C933:D933"/>
    <mergeCell ref="E933:I933"/>
    <mergeCell ref="J933:M933"/>
    <mergeCell ref="N933:P933"/>
    <mergeCell ref="Q933:R933"/>
    <mergeCell ref="A934:B934"/>
    <mergeCell ref="C934:D934"/>
    <mergeCell ref="E934:I934"/>
    <mergeCell ref="J934:M934"/>
    <mergeCell ref="N934:P934"/>
    <mergeCell ref="Q934:R934"/>
    <mergeCell ref="A935:B935"/>
    <mergeCell ref="C935:D935"/>
    <mergeCell ref="E935:I935"/>
    <mergeCell ref="J935:M935"/>
    <mergeCell ref="N935:P935"/>
    <mergeCell ref="Q935:R935"/>
    <mergeCell ref="A936:B936"/>
    <mergeCell ref="C936:D936"/>
    <mergeCell ref="E936:I936"/>
    <mergeCell ref="J936:M936"/>
    <mergeCell ref="N936:P936"/>
    <mergeCell ref="Q936:R936"/>
    <mergeCell ref="A937:B937"/>
    <mergeCell ref="C937:D937"/>
    <mergeCell ref="E937:I937"/>
    <mergeCell ref="J937:M937"/>
    <mergeCell ref="N937:P937"/>
    <mergeCell ref="Q937:R937"/>
    <mergeCell ref="A938:B938"/>
    <mergeCell ref="C938:D938"/>
    <mergeCell ref="E938:I938"/>
    <mergeCell ref="J938:M938"/>
    <mergeCell ref="N938:P938"/>
    <mergeCell ref="Q938:R938"/>
    <mergeCell ref="A939:B939"/>
    <mergeCell ref="C939:D939"/>
    <mergeCell ref="E939:I939"/>
    <mergeCell ref="J939:M939"/>
    <mergeCell ref="N939:P939"/>
    <mergeCell ref="Q939:R939"/>
    <mergeCell ref="A940:B940"/>
    <mergeCell ref="C940:D940"/>
    <mergeCell ref="E940:I940"/>
    <mergeCell ref="J940:M940"/>
    <mergeCell ref="N940:P940"/>
    <mergeCell ref="Q940:R940"/>
    <mergeCell ref="A941:B941"/>
    <mergeCell ref="C941:D941"/>
    <mergeCell ref="E941:I941"/>
    <mergeCell ref="J941:M941"/>
    <mergeCell ref="N941:P941"/>
    <mergeCell ref="Q941:R941"/>
    <mergeCell ref="A942:B942"/>
    <mergeCell ref="C942:D942"/>
    <mergeCell ref="E942:I942"/>
    <mergeCell ref="J942:M942"/>
    <mergeCell ref="N942:P942"/>
    <mergeCell ref="Q942:R942"/>
    <mergeCell ref="A943:B943"/>
    <mergeCell ref="C943:D943"/>
    <mergeCell ref="E943:I943"/>
    <mergeCell ref="J943:M943"/>
    <mergeCell ref="N943:P943"/>
    <mergeCell ref="Q943:R943"/>
    <mergeCell ref="A944:B944"/>
    <mergeCell ref="C944:D944"/>
    <mergeCell ref="E944:I944"/>
    <mergeCell ref="J944:M944"/>
    <mergeCell ref="N944:P944"/>
    <mergeCell ref="Q944:R944"/>
    <mergeCell ref="A945:B945"/>
    <mergeCell ref="C945:D945"/>
    <mergeCell ref="E945:I945"/>
    <mergeCell ref="J945:M945"/>
    <mergeCell ref="N945:P945"/>
    <mergeCell ref="Q945:R945"/>
    <mergeCell ref="A946:B946"/>
    <mergeCell ref="C946:D946"/>
    <mergeCell ref="E946:I946"/>
    <mergeCell ref="J946:M946"/>
    <mergeCell ref="N946:P946"/>
    <mergeCell ref="Q946:R946"/>
    <mergeCell ref="A947:B947"/>
    <mergeCell ref="C947:D947"/>
    <mergeCell ref="E947:I947"/>
    <mergeCell ref="J947:M947"/>
    <mergeCell ref="N947:P947"/>
    <mergeCell ref="Q947:R947"/>
    <mergeCell ref="A948:B948"/>
    <mergeCell ref="C948:D948"/>
    <mergeCell ref="E948:I948"/>
    <mergeCell ref="J948:M948"/>
    <mergeCell ref="N948:P948"/>
    <mergeCell ref="Q948:R948"/>
    <mergeCell ref="A949:B949"/>
    <mergeCell ref="C949:D949"/>
    <mergeCell ref="E949:I949"/>
    <mergeCell ref="J949:M949"/>
    <mergeCell ref="N949:P949"/>
    <mergeCell ref="Q949:R949"/>
    <mergeCell ref="A950:B950"/>
    <mergeCell ref="C950:D950"/>
    <mergeCell ref="E950:I950"/>
    <mergeCell ref="J950:M950"/>
    <mergeCell ref="N950:P950"/>
    <mergeCell ref="Q950:R950"/>
    <mergeCell ref="A951:B951"/>
    <mergeCell ref="C951:D951"/>
    <mergeCell ref="E951:I951"/>
    <mergeCell ref="J951:M951"/>
    <mergeCell ref="N951:P951"/>
    <mergeCell ref="Q951:R951"/>
    <mergeCell ref="A952:B952"/>
    <mergeCell ref="C952:D952"/>
    <mergeCell ref="E952:I952"/>
    <mergeCell ref="J952:M952"/>
    <mergeCell ref="N952:P952"/>
    <mergeCell ref="Q952:R952"/>
    <mergeCell ref="A953:B953"/>
    <mergeCell ref="C953:D953"/>
    <mergeCell ref="E953:I953"/>
    <mergeCell ref="J953:M953"/>
    <mergeCell ref="N953:P953"/>
    <mergeCell ref="Q953:R953"/>
    <mergeCell ref="A954:B954"/>
    <mergeCell ref="C954:D954"/>
    <mergeCell ref="E954:I954"/>
    <mergeCell ref="J954:M954"/>
    <mergeCell ref="N954:P954"/>
    <mergeCell ref="Q954:R954"/>
    <mergeCell ref="A955:B955"/>
    <mergeCell ref="C955:D955"/>
    <mergeCell ref="E955:I955"/>
    <mergeCell ref="J955:M955"/>
    <mergeCell ref="N955:P955"/>
    <mergeCell ref="Q955:R955"/>
    <mergeCell ref="A956:B956"/>
    <mergeCell ref="C956:D956"/>
    <mergeCell ref="E956:I956"/>
    <mergeCell ref="J956:M956"/>
    <mergeCell ref="N956:P956"/>
    <mergeCell ref="Q956:R956"/>
    <mergeCell ref="A957:B957"/>
    <mergeCell ref="C957:D957"/>
    <mergeCell ref="E957:I957"/>
    <mergeCell ref="J957:M957"/>
    <mergeCell ref="N957:P957"/>
    <mergeCell ref="Q957:R957"/>
    <mergeCell ref="A958:B958"/>
    <mergeCell ref="C958:D958"/>
    <mergeCell ref="E958:I958"/>
    <mergeCell ref="J958:M958"/>
    <mergeCell ref="N958:P958"/>
    <mergeCell ref="Q958:R958"/>
    <mergeCell ref="A959:B959"/>
    <mergeCell ref="C959:D959"/>
    <mergeCell ref="E959:I959"/>
    <mergeCell ref="J959:M959"/>
    <mergeCell ref="N959:P959"/>
    <mergeCell ref="Q959:R959"/>
    <mergeCell ref="A960:B960"/>
    <mergeCell ref="C960:D960"/>
    <mergeCell ref="E960:I960"/>
    <mergeCell ref="J960:M960"/>
    <mergeCell ref="N960:P960"/>
    <mergeCell ref="Q960:R960"/>
    <mergeCell ref="A961:B961"/>
    <mergeCell ref="C961:D961"/>
    <mergeCell ref="E961:I961"/>
    <mergeCell ref="J961:M961"/>
    <mergeCell ref="N961:P961"/>
    <mergeCell ref="Q961:R961"/>
    <mergeCell ref="A962:B962"/>
    <mergeCell ref="C962:D962"/>
    <mergeCell ref="E962:I962"/>
    <mergeCell ref="J962:M962"/>
    <mergeCell ref="N962:P962"/>
    <mergeCell ref="Q962:R962"/>
    <mergeCell ref="A963:B963"/>
    <mergeCell ref="C963:D963"/>
    <mergeCell ref="E963:I963"/>
    <mergeCell ref="J963:M963"/>
    <mergeCell ref="N963:P963"/>
    <mergeCell ref="Q963:R963"/>
    <mergeCell ref="A964:B964"/>
    <mergeCell ref="C964:D964"/>
    <mergeCell ref="E964:I964"/>
    <mergeCell ref="J964:M964"/>
    <mergeCell ref="N964:P964"/>
    <mergeCell ref="Q964:R964"/>
    <mergeCell ref="A965:B965"/>
    <mergeCell ref="C965:D965"/>
    <mergeCell ref="E965:I965"/>
    <mergeCell ref="J965:M965"/>
    <mergeCell ref="N965:P965"/>
    <mergeCell ref="Q965:R965"/>
    <mergeCell ref="A966:B966"/>
    <mergeCell ref="C966:D966"/>
    <mergeCell ref="E966:I966"/>
    <mergeCell ref="J966:M966"/>
    <mergeCell ref="N966:P966"/>
    <mergeCell ref="Q966:R966"/>
    <mergeCell ref="A967:B967"/>
    <mergeCell ref="C967:D967"/>
    <mergeCell ref="E967:I967"/>
    <mergeCell ref="J967:M967"/>
    <mergeCell ref="N967:P967"/>
    <mergeCell ref="Q967:R967"/>
    <mergeCell ref="A968:B968"/>
    <mergeCell ref="C968:D968"/>
    <mergeCell ref="E968:I968"/>
    <mergeCell ref="J968:M968"/>
    <mergeCell ref="N968:P968"/>
    <mergeCell ref="Q968:R968"/>
    <mergeCell ref="A969:B969"/>
    <mergeCell ref="C969:D969"/>
    <mergeCell ref="E969:I969"/>
    <mergeCell ref="J969:M969"/>
    <mergeCell ref="N969:P969"/>
    <mergeCell ref="Q969:R969"/>
    <mergeCell ref="A970:B970"/>
    <mergeCell ref="C970:D970"/>
    <mergeCell ref="E970:I970"/>
    <mergeCell ref="J970:M970"/>
    <mergeCell ref="N970:P970"/>
    <mergeCell ref="Q970:R970"/>
    <mergeCell ref="A971:B971"/>
    <mergeCell ref="C971:D971"/>
    <mergeCell ref="E971:I971"/>
    <mergeCell ref="J971:M971"/>
    <mergeCell ref="N971:P971"/>
    <mergeCell ref="Q971:R971"/>
    <mergeCell ref="A972:B972"/>
    <mergeCell ref="C972:D972"/>
    <mergeCell ref="E972:I972"/>
    <mergeCell ref="J972:M972"/>
    <mergeCell ref="N972:P972"/>
    <mergeCell ref="Q972:R972"/>
    <mergeCell ref="A973:B973"/>
    <mergeCell ref="C973:D973"/>
    <mergeCell ref="E973:I973"/>
    <mergeCell ref="J973:M973"/>
    <mergeCell ref="N973:P973"/>
    <mergeCell ref="Q973:R973"/>
    <mergeCell ref="A974:B974"/>
    <mergeCell ref="C974:D974"/>
    <mergeCell ref="E974:I974"/>
    <mergeCell ref="J974:M974"/>
    <mergeCell ref="N974:P974"/>
    <mergeCell ref="Q974:R974"/>
    <mergeCell ref="A975:B975"/>
    <mergeCell ref="C975:D975"/>
    <mergeCell ref="E975:I975"/>
    <mergeCell ref="J975:M975"/>
    <mergeCell ref="N975:P975"/>
    <mergeCell ref="Q975:R975"/>
    <mergeCell ref="A976:B976"/>
    <mergeCell ref="C976:D976"/>
    <mergeCell ref="E976:I976"/>
    <mergeCell ref="J976:M976"/>
    <mergeCell ref="N976:P976"/>
    <mergeCell ref="Q976:R976"/>
    <mergeCell ref="A977:B977"/>
    <mergeCell ref="C977:D977"/>
    <mergeCell ref="E977:I977"/>
    <mergeCell ref="J977:M977"/>
    <mergeCell ref="N977:P977"/>
    <mergeCell ref="Q977:R977"/>
    <mergeCell ref="A978:B978"/>
    <mergeCell ref="C978:D978"/>
    <mergeCell ref="E978:I978"/>
    <mergeCell ref="J978:M978"/>
    <mergeCell ref="N978:P978"/>
    <mergeCell ref="Q978:R978"/>
    <mergeCell ref="A979:B979"/>
    <mergeCell ref="C979:D979"/>
    <mergeCell ref="E979:I979"/>
    <mergeCell ref="J979:M979"/>
    <mergeCell ref="N979:P979"/>
    <mergeCell ref="Q979:R979"/>
    <mergeCell ref="A980:B980"/>
    <mergeCell ref="C980:D980"/>
    <mergeCell ref="E980:I980"/>
    <mergeCell ref="J980:M980"/>
    <mergeCell ref="N980:P980"/>
    <mergeCell ref="Q980:R980"/>
    <mergeCell ref="A981:B981"/>
    <mergeCell ref="C981:D981"/>
    <mergeCell ref="E981:I981"/>
    <mergeCell ref="J981:M981"/>
    <mergeCell ref="N981:P981"/>
    <mergeCell ref="Q981:R981"/>
    <mergeCell ref="A982:B982"/>
    <mergeCell ref="C982:D982"/>
    <mergeCell ref="E982:I982"/>
    <mergeCell ref="J982:M982"/>
    <mergeCell ref="N982:P982"/>
    <mergeCell ref="Q982:R982"/>
    <mergeCell ref="A983:B983"/>
    <mergeCell ref="C983:D983"/>
    <mergeCell ref="E983:I983"/>
    <mergeCell ref="J983:M983"/>
    <mergeCell ref="N983:P983"/>
    <mergeCell ref="Q983:R983"/>
    <mergeCell ref="A984:B984"/>
    <mergeCell ref="C984:D984"/>
    <mergeCell ref="E984:I984"/>
    <mergeCell ref="J984:M984"/>
    <mergeCell ref="N984:P984"/>
    <mergeCell ref="Q984:R984"/>
    <mergeCell ref="A985:B985"/>
    <mergeCell ref="C985:D985"/>
    <mergeCell ref="E985:I985"/>
    <mergeCell ref="J985:M985"/>
    <mergeCell ref="N985:P985"/>
    <mergeCell ref="Q985:R985"/>
    <mergeCell ref="A986:B986"/>
    <mergeCell ref="C986:D986"/>
    <mergeCell ref="E986:I986"/>
    <mergeCell ref="J986:M986"/>
    <mergeCell ref="N986:P986"/>
    <mergeCell ref="Q986:R986"/>
    <mergeCell ref="A987:B987"/>
    <mergeCell ref="C987:D987"/>
    <mergeCell ref="E987:I987"/>
    <mergeCell ref="J987:M987"/>
    <mergeCell ref="N987:P987"/>
    <mergeCell ref="Q987:R987"/>
    <mergeCell ref="A988:B988"/>
    <mergeCell ref="C988:D988"/>
    <mergeCell ref="E988:I988"/>
    <mergeCell ref="J988:M988"/>
    <mergeCell ref="N988:P988"/>
    <mergeCell ref="Q988:R988"/>
    <mergeCell ref="A989:B989"/>
    <mergeCell ref="C989:D989"/>
    <mergeCell ref="E989:I989"/>
    <mergeCell ref="J989:M989"/>
    <mergeCell ref="N989:P989"/>
    <mergeCell ref="Q989:R989"/>
    <mergeCell ref="A990:B990"/>
    <mergeCell ref="C990:D990"/>
    <mergeCell ref="E990:I990"/>
    <mergeCell ref="J990:M990"/>
    <mergeCell ref="N990:P990"/>
    <mergeCell ref="Q990:R990"/>
    <mergeCell ref="A991:B991"/>
    <mergeCell ref="C991:D991"/>
    <mergeCell ref="E991:I991"/>
    <mergeCell ref="J991:M991"/>
    <mergeCell ref="N991:P991"/>
    <mergeCell ref="Q991:R991"/>
    <mergeCell ref="A992:B992"/>
    <mergeCell ref="C992:D992"/>
    <mergeCell ref="E992:I992"/>
    <mergeCell ref="J992:M992"/>
    <mergeCell ref="N992:P992"/>
    <mergeCell ref="Q992:R992"/>
    <mergeCell ref="A993:B993"/>
    <mergeCell ref="C993:D993"/>
    <mergeCell ref="E993:I993"/>
    <mergeCell ref="J993:M993"/>
    <mergeCell ref="N993:P993"/>
    <mergeCell ref="Q993:R993"/>
    <mergeCell ref="A994:B994"/>
    <mergeCell ref="C994:D994"/>
    <mergeCell ref="E994:I994"/>
    <mergeCell ref="J994:M994"/>
    <mergeCell ref="N994:P994"/>
    <mergeCell ref="Q994:R994"/>
    <mergeCell ref="A995:B995"/>
    <mergeCell ref="C995:D995"/>
    <mergeCell ref="E995:I995"/>
    <mergeCell ref="J995:M995"/>
    <mergeCell ref="N995:P995"/>
    <mergeCell ref="Q995:R995"/>
    <mergeCell ref="A996:B996"/>
    <mergeCell ref="C996:D996"/>
    <mergeCell ref="E996:I996"/>
    <mergeCell ref="J996:M996"/>
    <mergeCell ref="N996:P996"/>
    <mergeCell ref="Q996:R996"/>
    <mergeCell ref="A997:B997"/>
    <mergeCell ref="C997:D997"/>
    <mergeCell ref="E997:I997"/>
    <mergeCell ref="J997:M997"/>
    <mergeCell ref="N997:P997"/>
    <mergeCell ref="Q997:R997"/>
    <mergeCell ref="A998:B998"/>
    <mergeCell ref="C998:D998"/>
    <mergeCell ref="E998:I998"/>
    <mergeCell ref="J998:M998"/>
    <mergeCell ref="N998:P998"/>
    <mergeCell ref="Q998:R998"/>
    <mergeCell ref="A999:B999"/>
    <mergeCell ref="C999:D999"/>
    <mergeCell ref="E999:I999"/>
    <mergeCell ref="J999:M999"/>
    <mergeCell ref="N999:P999"/>
    <mergeCell ref="Q999:R999"/>
    <mergeCell ref="A1000:B1000"/>
    <mergeCell ref="C1000:D1000"/>
    <mergeCell ref="E1000:I1000"/>
    <mergeCell ref="J1000:M1000"/>
    <mergeCell ref="N1000:P1000"/>
    <mergeCell ref="Q1000:R1000"/>
    <mergeCell ref="A1001:B1001"/>
    <mergeCell ref="C1001:D1001"/>
    <mergeCell ref="E1001:I1001"/>
    <mergeCell ref="J1001:M1001"/>
    <mergeCell ref="N1001:P1001"/>
    <mergeCell ref="Q1001:R1001"/>
    <mergeCell ref="A1002:B1002"/>
    <mergeCell ref="C1002:D1002"/>
    <mergeCell ref="E1002:I1002"/>
    <mergeCell ref="J1002:M1002"/>
    <mergeCell ref="N1002:P1002"/>
    <mergeCell ref="Q1002:R1002"/>
    <mergeCell ref="A1003:B1003"/>
    <mergeCell ref="C1003:D1003"/>
    <mergeCell ref="E1003:I1003"/>
    <mergeCell ref="J1003:M1003"/>
    <mergeCell ref="N1003:P1003"/>
    <mergeCell ref="Q1003:R1003"/>
    <mergeCell ref="A1004:B1004"/>
    <mergeCell ref="C1004:D1004"/>
    <mergeCell ref="E1004:I1004"/>
    <mergeCell ref="J1004:M1004"/>
    <mergeCell ref="N1004:P1004"/>
    <mergeCell ref="Q1004:R1004"/>
    <mergeCell ref="A1005:B1005"/>
    <mergeCell ref="C1005:D1005"/>
    <mergeCell ref="E1005:I1005"/>
    <mergeCell ref="J1005:M1005"/>
    <mergeCell ref="N1005:P1005"/>
    <mergeCell ref="Q1005:R1005"/>
    <mergeCell ref="A1006:B1006"/>
    <mergeCell ref="C1006:D1006"/>
    <mergeCell ref="E1006:I1006"/>
    <mergeCell ref="J1006:M1006"/>
    <mergeCell ref="N1006:P1006"/>
    <mergeCell ref="Q1006:R1006"/>
    <mergeCell ref="A1007:B1007"/>
    <mergeCell ref="C1007:D1007"/>
    <mergeCell ref="E1007:I1007"/>
    <mergeCell ref="J1007:M1007"/>
    <mergeCell ref="N1007:P1007"/>
    <mergeCell ref="Q1007:R1007"/>
    <mergeCell ref="A1008:B1008"/>
    <mergeCell ref="C1008:D1008"/>
    <mergeCell ref="E1008:I1008"/>
    <mergeCell ref="J1008:M1008"/>
    <mergeCell ref="N1008:P1008"/>
    <mergeCell ref="Q1008:R1008"/>
    <mergeCell ref="A1009:B1009"/>
    <mergeCell ref="C1009:D1009"/>
    <mergeCell ref="E1009:I1009"/>
    <mergeCell ref="J1009:M1009"/>
    <mergeCell ref="N1009:P1009"/>
    <mergeCell ref="Q1009:R1009"/>
    <mergeCell ref="A1010:B1010"/>
    <mergeCell ref="C1010:D1010"/>
    <mergeCell ref="E1010:I1010"/>
    <mergeCell ref="J1010:M1010"/>
    <mergeCell ref="N1010:P1010"/>
    <mergeCell ref="Q1010:R1010"/>
    <mergeCell ref="A1011:B1011"/>
    <mergeCell ref="C1011:D1011"/>
    <mergeCell ref="E1011:I1011"/>
    <mergeCell ref="J1011:M1011"/>
    <mergeCell ref="N1011:P1011"/>
    <mergeCell ref="Q1011:R1011"/>
    <mergeCell ref="A1012:B1012"/>
    <mergeCell ref="C1012:D1012"/>
    <mergeCell ref="E1012:I1012"/>
    <mergeCell ref="J1012:M1012"/>
    <mergeCell ref="N1012:P1012"/>
    <mergeCell ref="Q1012:R1012"/>
    <mergeCell ref="A1013:B1013"/>
    <mergeCell ref="C1013:D1013"/>
    <mergeCell ref="E1013:I1013"/>
    <mergeCell ref="J1013:M1013"/>
    <mergeCell ref="N1013:P1013"/>
    <mergeCell ref="Q1013:R1013"/>
    <mergeCell ref="A1014:B1014"/>
    <mergeCell ref="C1014:D1014"/>
    <mergeCell ref="E1014:I1014"/>
    <mergeCell ref="J1014:M1014"/>
    <mergeCell ref="N1014:P1014"/>
    <mergeCell ref="Q1014:R1014"/>
    <mergeCell ref="A1015:B1015"/>
    <mergeCell ref="C1015:D1015"/>
    <mergeCell ref="E1015:I1015"/>
    <mergeCell ref="J1015:M1015"/>
    <mergeCell ref="N1015:P1015"/>
    <mergeCell ref="Q1015:R1015"/>
    <mergeCell ref="A1016:B1016"/>
    <mergeCell ref="C1016:D1016"/>
    <mergeCell ref="E1016:I1016"/>
    <mergeCell ref="J1016:M1016"/>
    <mergeCell ref="N1016:P1016"/>
    <mergeCell ref="Q1016:R1016"/>
    <mergeCell ref="A1017:B1017"/>
    <mergeCell ref="C1017:D1017"/>
    <mergeCell ref="E1017:I1017"/>
    <mergeCell ref="J1017:M1017"/>
    <mergeCell ref="N1017:P1017"/>
    <mergeCell ref="Q1017:R1017"/>
    <mergeCell ref="A1018:B1018"/>
    <mergeCell ref="C1018:D1018"/>
    <mergeCell ref="E1018:I1018"/>
    <mergeCell ref="J1018:M1018"/>
    <mergeCell ref="N1018:P1018"/>
    <mergeCell ref="Q1018:R1018"/>
    <mergeCell ref="A1019:B1019"/>
    <mergeCell ref="C1019:D1019"/>
    <mergeCell ref="E1019:I1019"/>
    <mergeCell ref="J1019:M1019"/>
    <mergeCell ref="N1019:P1019"/>
    <mergeCell ref="Q1019:R1019"/>
    <mergeCell ref="A1020:B1020"/>
    <mergeCell ref="C1020:D1020"/>
    <mergeCell ref="E1020:I1020"/>
    <mergeCell ref="J1020:M1020"/>
    <mergeCell ref="N1020:P1020"/>
    <mergeCell ref="Q1020:R1020"/>
    <mergeCell ref="A1021:B1021"/>
    <mergeCell ref="C1021:D1021"/>
    <mergeCell ref="E1021:I1021"/>
    <mergeCell ref="J1021:M1021"/>
    <mergeCell ref="N1021:P1021"/>
    <mergeCell ref="Q1021:R1021"/>
    <mergeCell ref="A1022:B1022"/>
    <mergeCell ref="C1022:D1022"/>
    <mergeCell ref="E1022:I1022"/>
    <mergeCell ref="J1022:M1022"/>
    <mergeCell ref="N1022:P1022"/>
    <mergeCell ref="Q1022:R1022"/>
    <mergeCell ref="A1023:B1023"/>
    <mergeCell ref="C1023:D1023"/>
    <mergeCell ref="E1023:I1023"/>
    <mergeCell ref="J1023:M1023"/>
    <mergeCell ref="N1023:P1023"/>
    <mergeCell ref="Q1023:R1023"/>
    <mergeCell ref="A1024:B1024"/>
    <mergeCell ref="C1024:D1024"/>
    <mergeCell ref="E1024:I1024"/>
    <mergeCell ref="J1024:M1024"/>
    <mergeCell ref="N1024:P1024"/>
    <mergeCell ref="Q1024:R1024"/>
    <mergeCell ref="A1025:B1025"/>
    <mergeCell ref="C1025:D1025"/>
    <mergeCell ref="E1025:I1025"/>
    <mergeCell ref="J1025:M1025"/>
    <mergeCell ref="N1025:P1025"/>
    <mergeCell ref="Q1025:R1025"/>
    <mergeCell ref="A1026:B1026"/>
    <mergeCell ref="C1026:D1026"/>
    <mergeCell ref="E1026:I1026"/>
    <mergeCell ref="J1026:M1026"/>
    <mergeCell ref="N1026:P1026"/>
    <mergeCell ref="Q1026:R1026"/>
    <mergeCell ref="A1027:B1027"/>
    <mergeCell ref="C1027:D1027"/>
    <mergeCell ref="E1027:I1027"/>
    <mergeCell ref="J1027:M1027"/>
    <mergeCell ref="N1027:P1027"/>
    <mergeCell ref="Q1027:R1027"/>
    <mergeCell ref="A1028:B1028"/>
    <mergeCell ref="C1028:D1028"/>
    <mergeCell ref="E1028:I1028"/>
    <mergeCell ref="J1028:M1028"/>
    <mergeCell ref="N1028:P1028"/>
    <mergeCell ref="Q1028:R1028"/>
    <mergeCell ref="A1029:B1029"/>
    <mergeCell ref="C1029:D1029"/>
    <mergeCell ref="E1029:I1029"/>
    <mergeCell ref="J1029:M1029"/>
    <mergeCell ref="N1029:P1029"/>
    <mergeCell ref="Q1029:R1029"/>
    <mergeCell ref="A1030:B1030"/>
    <mergeCell ref="C1030:D1030"/>
    <mergeCell ref="E1030:I1030"/>
    <mergeCell ref="J1030:M1030"/>
    <mergeCell ref="N1030:P1030"/>
    <mergeCell ref="Q1030:R1030"/>
    <mergeCell ref="A1031:B1031"/>
    <mergeCell ref="C1031:D1031"/>
    <mergeCell ref="E1031:I1031"/>
    <mergeCell ref="J1031:M1031"/>
    <mergeCell ref="N1031:P1031"/>
    <mergeCell ref="Q1031:R1031"/>
    <mergeCell ref="A1032:B1032"/>
    <mergeCell ref="C1032:D1032"/>
    <mergeCell ref="E1032:I1032"/>
    <mergeCell ref="J1032:M1032"/>
    <mergeCell ref="N1032:P1032"/>
    <mergeCell ref="Q1032:R1032"/>
    <mergeCell ref="A1033:B1033"/>
    <mergeCell ref="C1033:D1033"/>
    <mergeCell ref="E1033:I1033"/>
    <mergeCell ref="J1033:M1033"/>
    <mergeCell ref="N1033:P1033"/>
    <mergeCell ref="Q1033:R1033"/>
    <mergeCell ref="A1034:B1034"/>
    <mergeCell ref="C1034:D1034"/>
    <mergeCell ref="E1034:I1034"/>
    <mergeCell ref="J1034:M1034"/>
    <mergeCell ref="N1034:P1034"/>
    <mergeCell ref="Q1034:R1034"/>
    <mergeCell ref="A1035:B1035"/>
    <mergeCell ref="C1035:D1035"/>
    <mergeCell ref="E1035:I1035"/>
    <mergeCell ref="J1035:M1035"/>
    <mergeCell ref="N1035:P1035"/>
    <mergeCell ref="Q1035:R1035"/>
    <mergeCell ref="A1036:B1036"/>
    <mergeCell ref="C1036:D1036"/>
    <mergeCell ref="E1036:I1036"/>
    <mergeCell ref="J1036:M1036"/>
    <mergeCell ref="N1036:P1036"/>
    <mergeCell ref="Q1036:R1036"/>
    <mergeCell ref="A1037:B1037"/>
    <mergeCell ref="C1037:D1037"/>
    <mergeCell ref="E1037:I1037"/>
    <mergeCell ref="J1037:M1037"/>
    <mergeCell ref="N1037:P1037"/>
    <mergeCell ref="Q1037:R1037"/>
    <mergeCell ref="A1038:B1038"/>
    <mergeCell ref="C1038:D1038"/>
    <mergeCell ref="E1038:I1038"/>
    <mergeCell ref="J1038:M1038"/>
    <mergeCell ref="N1038:P1038"/>
    <mergeCell ref="Q1038:R1038"/>
    <mergeCell ref="A1039:B1039"/>
    <mergeCell ref="C1039:D1039"/>
    <mergeCell ref="E1039:I1039"/>
    <mergeCell ref="J1039:M1039"/>
    <mergeCell ref="N1039:P1039"/>
    <mergeCell ref="Q1039:R1039"/>
    <mergeCell ref="A1040:B1040"/>
    <mergeCell ref="C1040:D1040"/>
    <mergeCell ref="E1040:I1040"/>
    <mergeCell ref="J1040:M1040"/>
    <mergeCell ref="N1040:P1040"/>
    <mergeCell ref="Q1040:R1040"/>
    <mergeCell ref="A1041:B1041"/>
    <mergeCell ref="C1041:D1041"/>
    <mergeCell ref="E1041:I1041"/>
    <mergeCell ref="J1041:M1041"/>
    <mergeCell ref="N1041:P1041"/>
    <mergeCell ref="Q1041:R1041"/>
    <mergeCell ref="A1042:B1042"/>
    <mergeCell ref="C1042:D1042"/>
    <mergeCell ref="E1042:I1042"/>
    <mergeCell ref="J1042:M1042"/>
    <mergeCell ref="N1042:P1042"/>
    <mergeCell ref="Q1042:R1042"/>
    <mergeCell ref="A1043:B1043"/>
    <mergeCell ref="C1043:D1043"/>
    <mergeCell ref="E1043:I1043"/>
    <mergeCell ref="J1043:M1043"/>
    <mergeCell ref="N1043:P1043"/>
    <mergeCell ref="Q1043:R1043"/>
    <mergeCell ref="A1044:B1044"/>
    <mergeCell ref="C1044:D1044"/>
    <mergeCell ref="E1044:I1044"/>
    <mergeCell ref="J1044:M1044"/>
    <mergeCell ref="N1044:P1044"/>
    <mergeCell ref="Q1044:R1044"/>
    <mergeCell ref="A1045:B1045"/>
    <mergeCell ref="C1045:D1045"/>
    <mergeCell ref="E1045:I1045"/>
    <mergeCell ref="J1045:M1045"/>
    <mergeCell ref="N1045:P1045"/>
    <mergeCell ref="Q1045:R1045"/>
    <mergeCell ref="A1046:B1046"/>
    <mergeCell ref="C1046:D1046"/>
    <mergeCell ref="E1046:I1046"/>
    <mergeCell ref="J1046:M1046"/>
    <mergeCell ref="N1046:P1046"/>
    <mergeCell ref="Q1046:R1046"/>
    <mergeCell ref="A1047:B1047"/>
    <mergeCell ref="C1047:D1047"/>
    <mergeCell ref="E1047:I1047"/>
    <mergeCell ref="J1047:M1047"/>
    <mergeCell ref="N1047:P1047"/>
    <mergeCell ref="Q1047:R1047"/>
    <mergeCell ref="A1048:B1048"/>
    <mergeCell ref="C1048:D1048"/>
    <mergeCell ref="E1048:I1048"/>
    <mergeCell ref="J1048:M1048"/>
    <mergeCell ref="N1048:P1048"/>
    <mergeCell ref="Q1048:R1048"/>
    <mergeCell ref="A1049:B1049"/>
    <mergeCell ref="C1049:D1049"/>
    <mergeCell ref="E1049:I1049"/>
    <mergeCell ref="J1049:M1049"/>
    <mergeCell ref="N1049:P1049"/>
    <mergeCell ref="Q1049:R1049"/>
    <mergeCell ref="A1050:B1050"/>
    <mergeCell ref="C1050:D1050"/>
    <mergeCell ref="E1050:I1050"/>
    <mergeCell ref="J1050:M1050"/>
    <mergeCell ref="N1050:P1050"/>
    <mergeCell ref="Q1050:R1050"/>
    <mergeCell ref="A1051:B1051"/>
    <mergeCell ref="C1051:D1051"/>
    <mergeCell ref="E1051:I1051"/>
    <mergeCell ref="J1051:M1051"/>
    <mergeCell ref="N1051:P1051"/>
    <mergeCell ref="Q1051:R1051"/>
    <mergeCell ref="A1052:B1052"/>
    <mergeCell ref="C1052:D1052"/>
    <mergeCell ref="E1052:I1052"/>
    <mergeCell ref="J1052:M1052"/>
    <mergeCell ref="N1052:P1052"/>
    <mergeCell ref="Q1052:R1052"/>
    <mergeCell ref="A1053:B1053"/>
    <mergeCell ref="C1053:D1053"/>
    <mergeCell ref="E1053:I1053"/>
    <mergeCell ref="J1053:M1053"/>
    <mergeCell ref="N1053:P1053"/>
    <mergeCell ref="Q1053:R1053"/>
    <mergeCell ref="A1054:B1054"/>
    <mergeCell ref="C1054:D1054"/>
    <mergeCell ref="E1054:I1054"/>
    <mergeCell ref="J1054:M1054"/>
    <mergeCell ref="N1054:P1054"/>
    <mergeCell ref="Q1054:R1054"/>
    <mergeCell ref="A1055:B1055"/>
    <mergeCell ref="C1055:D1055"/>
    <mergeCell ref="E1055:I1055"/>
    <mergeCell ref="J1055:M1055"/>
    <mergeCell ref="N1055:P1055"/>
    <mergeCell ref="Q1055:R1055"/>
    <mergeCell ref="A1056:B1056"/>
    <mergeCell ref="C1056:D1056"/>
    <mergeCell ref="E1056:I1056"/>
    <mergeCell ref="J1056:M1056"/>
    <mergeCell ref="N1056:P1056"/>
    <mergeCell ref="Q1056:R1056"/>
    <mergeCell ref="A1057:B1057"/>
    <mergeCell ref="C1057:D1057"/>
    <mergeCell ref="E1057:I1057"/>
    <mergeCell ref="J1057:M1057"/>
    <mergeCell ref="N1057:P1057"/>
    <mergeCell ref="Q1057:R1057"/>
    <mergeCell ref="A1058:B1058"/>
    <mergeCell ref="C1058:D1058"/>
    <mergeCell ref="E1058:I1058"/>
    <mergeCell ref="J1058:M1058"/>
    <mergeCell ref="N1058:P1058"/>
    <mergeCell ref="Q1058:R1058"/>
    <mergeCell ref="A1059:B1059"/>
    <mergeCell ref="C1059:D1059"/>
    <mergeCell ref="E1059:I1059"/>
    <mergeCell ref="J1059:M1059"/>
    <mergeCell ref="N1059:P1059"/>
    <mergeCell ref="Q1059:R1059"/>
    <mergeCell ref="A1060:B1060"/>
    <mergeCell ref="C1060:D1060"/>
    <mergeCell ref="E1060:I1060"/>
    <mergeCell ref="J1060:M1060"/>
    <mergeCell ref="N1060:P1060"/>
    <mergeCell ref="Q1060:R1060"/>
    <mergeCell ref="A1061:B1061"/>
    <mergeCell ref="C1061:D1061"/>
    <mergeCell ref="E1061:I1061"/>
    <mergeCell ref="J1061:M1061"/>
    <mergeCell ref="N1061:P1061"/>
    <mergeCell ref="Q1061:R1061"/>
    <mergeCell ref="A1062:B1062"/>
    <mergeCell ref="C1062:D1062"/>
    <mergeCell ref="E1062:I1062"/>
    <mergeCell ref="J1062:M1062"/>
    <mergeCell ref="N1062:P1062"/>
    <mergeCell ref="Q1062:R1062"/>
    <mergeCell ref="A1063:B1063"/>
    <mergeCell ref="C1063:D1063"/>
    <mergeCell ref="E1063:I1063"/>
    <mergeCell ref="J1063:M1063"/>
    <mergeCell ref="N1063:P1063"/>
    <mergeCell ref="Q1063:R1063"/>
    <mergeCell ref="A1064:B1064"/>
    <mergeCell ref="C1064:D1064"/>
    <mergeCell ref="E1064:I1064"/>
    <mergeCell ref="J1064:M1064"/>
    <mergeCell ref="N1064:P1064"/>
    <mergeCell ref="Q1064:R1064"/>
    <mergeCell ref="A1065:B1065"/>
    <mergeCell ref="C1065:D1065"/>
    <mergeCell ref="E1065:I1065"/>
    <mergeCell ref="J1065:M1065"/>
    <mergeCell ref="N1065:P1065"/>
    <mergeCell ref="Q1065:R1065"/>
    <mergeCell ref="A1066:B1066"/>
    <mergeCell ref="C1066:D1066"/>
    <mergeCell ref="E1066:I1066"/>
    <mergeCell ref="J1066:M1066"/>
    <mergeCell ref="N1066:P1066"/>
    <mergeCell ref="Q1066:R1066"/>
    <mergeCell ref="A1067:B1067"/>
    <mergeCell ref="C1067:D1067"/>
    <mergeCell ref="E1067:I1067"/>
    <mergeCell ref="J1067:M1067"/>
    <mergeCell ref="N1067:P1067"/>
    <mergeCell ref="Q1067:R1067"/>
    <mergeCell ref="A1068:B1068"/>
    <mergeCell ref="C1068:D1068"/>
    <mergeCell ref="E1068:I1068"/>
    <mergeCell ref="J1068:M1068"/>
    <mergeCell ref="N1068:P1068"/>
    <mergeCell ref="Q1068:R1068"/>
    <mergeCell ref="A1069:B1069"/>
    <mergeCell ref="C1069:D1069"/>
    <mergeCell ref="E1069:I1069"/>
    <mergeCell ref="J1069:M1069"/>
    <mergeCell ref="N1069:P1069"/>
    <mergeCell ref="Q1069:R1069"/>
    <mergeCell ref="A1070:B1070"/>
    <mergeCell ref="C1070:D1070"/>
    <mergeCell ref="E1070:I1070"/>
    <mergeCell ref="J1070:M1070"/>
    <mergeCell ref="N1070:P1070"/>
    <mergeCell ref="Q1070:R1070"/>
    <mergeCell ref="A1071:B1071"/>
    <mergeCell ref="C1071:D1071"/>
    <mergeCell ref="E1071:I1071"/>
    <mergeCell ref="J1071:M1071"/>
    <mergeCell ref="N1071:P1071"/>
    <mergeCell ref="Q1071:R1071"/>
    <mergeCell ref="A1072:B1072"/>
    <mergeCell ref="C1072:D1072"/>
    <mergeCell ref="E1072:I1072"/>
    <mergeCell ref="J1072:M1072"/>
    <mergeCell ref="N1072:P1072"/>
    <mergeCell ref="Q1072:R1072"/>
    <mergeCell ref="A1073:B1073"/>
    <mergeCell ref="C1073:D1073"/>
    <mergeCell ref="E1073:I1073"/>
    <mergeCell ref="J1073:M1073"/>
    <mergeCell ref="N1073:P1073"/>
    <mergeCell ref="Q1073:R1073"/>
    <mergeCell ref="A1074:B1074"/>
    <mergeCell ref="C1074:D1074"/>
    <mergeCell ref="E1074:I1074"/>
    <mergeCell ref="J1074:M1074"/>
    <mergeCell ref="N1074:P1074"/>
    <mergeCell ref="Q1074:R1074"/>
    <mergeCell ref="A1075:B1075"/>
    <mergeCell ref="C1075:D1075"/>
    <mergeCell ref="E1075:I1075"/>
    <mergeCell ref="J1075:M1075"/>
    <mergeCell ref="N1075:P1075"/>
    <mergeCell ref="Q1075:R1075"/>
    <mergeCell ref="A1076:B1076"/>
    <mergeCell ref="C1076:D1076"/>
    <mergeCell ref="E1076:I1076"/>
    <mergeCell ref="J1076:M1076"/>
    <mergeCell ref="N1076:P1076"/>
    <mergeCell ref="Q1076:R1076"/>
    <mergeCell ref="A1077:B1077"/>
    <mergeCell ref="C1077:D1077"/>
    <mergeCell ref="E1077:I1077"/>
    <mergeCell ref="J1077:M1077"/>
    <mergeCell ref="N1077:P1077"/>
    <mergeCell ref="Q1077:R1077"/>
    <mergeCell ref="A1078:B1078"/>
    <mergeCell ref="C1078:D1078"/>
    <mergeCell ref="E1078:I1078"/>
    <mergeCell ref="J1078:M1078"/>
    <mergeCell ref="N1078:P1078"/>
    <mergeCell ref="Q1078:R1078"/>
    <mergeCell ref="A1079:B1079"/>
    <mergeCell ref="C1079:D1079"/>
    <mergeCell ref="E1079:I1079"/>
    <mergeCell ref="J1079:M1079"/>
    <mergeCell ref="N1079:P1079"/>
    <mergeCell ref="Q1079:R1079"/>
    <mergeCell ref="A1080:B1080"/>
    <mergeCell ref="C1080:D1080"/>
    <mergeCell ref="E1080:I1080"/>
    <mergeCell ref="J1080:M1080"/>
    <mergeCell ref="N1080:P1080"/>
    <mergeCell ref="Q1080:R1080"/>
    <mergeCell ref="A1081:B1081"/>
    <mergeCell ref="C1081:D1081"/>
    <mergeCell ref="E1081:I1081"/>
    <mergeCell ref="J1081:M1081"/>
    <mergeCell ref="N1081:P1081"/>
    <mergeCell ref="Q1081:R1081"/>
    <mergeCell ref="A1082:B1082"/>
    <mergeCell ref="C1082:D1082"/>
    <mergeCell ref="E1082:I1082"/>
    <mergeCell ref="J1082:M1082"/>
    <mergeCell ref="N1082:P1082"/>
    <mergeCell ref="Q1082:R1082"/>
    <mergeCell ref="A1083:B1083"/>
    <mergeCell ref="C1083:D1083"/>
    <mergeCell ref="E1083:I1083"/>
    <mergeCell ref="J1083:M1083"/>
    <mergeCell ref="N1083:P1083"/>
    <mergeCell ref="Q1083:R1083"/>
    <mergeCell ref="A1084:B1084"/>
    <mergeCell ref="C1084:D1084"/>
    <mergeCell ref="E1084:I1084"/>
    <mergeCell ref="J1084:M1084"/>
    <mergeCell ref="N1084:P1084"/>
    <mergeCell ref="Q1084:R1084"/>
    <mergeCell ref="A1085:B1085"/>
    <mergeCell ref="C1085:D1085"/>
    <mergeCell ref="E1085:I1085"/>
    <mergeCell ref="J1085:M1085"/>
    <mergeCell ref="N1085:P1085"/>
    <mergeCell ref="Q1085:R1085"/>
    <mergeCell ref="A1086:B1086"/>
    <mergeCell ref="C1086:D1086"/>
    <mergeCell ref="E1086:I1086"/>
    <mergeCell ref="J1086:M1086"/>
    <mergeCell ref="N1086:P1086"/>
    <mergeCell ref="Q1086:R1086"/>
    <mergeCell ref="A1087:B1087"/>
    <mergeCell ref="C1087:D1087"/>
    <mergeCell ref="E1087:I1087"/>
    <mergeCell ref="J1087:M1087"/>
    <mergeCell ref="N1087:P1087"/>
    <mergeCell ref="Q1087:R1087"/>
    <mergeCell ref="A1088:B1088"/>
    <mergeCell ref="C1088:D1088"/>
    <mergeCell ref="E1088:I1088"/>
    <mergeCell ref="J1088:M1088"/>
    <mergeCell ref="N1088:P1088"/>
    <mergeCell ref="Q1088:R1088"/>
    <mergeCell ref="A1089:B1089"/>
    <mergeCell ref="C1089:D1089"/>
    <mergeCell ref="E1089:I1089"/>
    <mergeCell ref="J1089:M1089"/>
    <mergeCell ref="N1089:P1089"/>
    <mergeCell ref="Q1089:R1089"/>
    <mergeCell ref="A1090:B1090"/>
    <mergeCell ref="C1090:D1090"/>
    <mergeCell ref="E1090:I1090"/>
    <mergeCell ref="J1090:M1090"/>
    <mergeCell ref="N1090:P1090"/>
    <mergeCell ref="Q1090:R1090"/>
    <mergeCell ref="A1091:B1091"/>
    <mergeCell ref="C1091:D1091"/>
    <mergeCell ref="E1091:I1091"/>
    <mergeCell ref="J1091:M1091"/>
    <mergeCell ref="N1091:P1091"/>
    <mergeCell ref="Q1091:R1091"/>
    <mergeCell ref="A1092:B1092"/>
    <mergeCell ref="C1092:D1092"/>
    <mergeCell ref="E1092:I1092"/>
    <mergeCell ref="J1092:M1092"/>
    <mergeCell ref="N1092:P1092"/>
    <mergeCell ref="Q1092:R1092"/>
    <mergeCell ref="A1093:B1093"/>
    <mergeCell ref="C1093:D1093"/>
    <mergeCell ref="E1093:I1093"/>
    <mergeCell ref="J1093:M1093"/>
    <mergeCell ref="N1093:P1093"/>
    <mergeCell ref="Q1093:R1093"/>
    <mergeCell ref="A1094:B1094"/>
    <mergeCell ref="C1094:D1094"/>
    <mergeCell ref="E1094:I1094"/>
    <mergeCell ref="J1094:M1094"/>
    <mergeCell ref="N1094:P1094"/>
    <mergeCell ref="Q1094:R1094"/>
    <mergeCell ref="A1095:B1095"/>
    <mergeCell ref="C1095:D1095"/>
    <mergeCell ref="E1095:I1095"/>
    <mergeCell ref="J1095:M1095"/>
    <mergeCell ref="N1095:P1095"/>
    <mergeCell ref="Q1095:R1095"/>
    <mergeCell ref="A1096:B1096"/>
    <mergeCell ref="C1096:D1096"/>
    <mergeCell ref="E1096:I1096"/>
    <mergeCell ref="J1096:M1096"/>
    <mergeCell ref="N1096:P1096"/>
    <mergeCell ref="Q1096:R1096"/>
    <mergeCell ref="A1097:B1097"/>
    <mergeCell ref="C1097:D1097"/>
    <mergeCell ref="E1097:I1097"/>
    <mergeCell ref="J1097:M1097"/>
    <mergeCell ref="N1097:P1097"/>
    <mergeCell ref="Q1097:R1097"/>
    <mergeCell ref="A1098:B1098"/>
    <mergeCell ref="C1098:D1098"/>
    <mergeCell ref="E1098:I1098"/>
    <mergeCell ref="J1098:M1098"/>
    <mergeCell ref="N1098:P1098"/>
    <mergeCell ref="Q1098:R1098"/>
    <mergeCell ref="A1099:B1099"/>
    <mergeCell ref="C1099:D1099"/>
    <mergeCell ref="E1099:I1099"/>
    <mergeCell ref="J1099:M1099"/>
    <mergeCell ref="N1099:P1099"/>
    <mergeCell ref="Q1099:R1099"/>
    <mergeCell ref="A1100:B1100"/>
    <mergeCell ref="C1100:D1100"/>
    <mergeCell ref="E1100:I1100"/>
    <mergeCell ref="J1100:M1100"/>
    <mergeCell ref="N1100:P1100"/>
    <mergeCell ref="Q1100:R1100"/>
    <mergeCell ref="A1101:B1101"/>
    <mergeCell ref="C1101:D1101"/>
    <mergeCell ref="E1101:I1101"/>
    <mergeCell ref="J1101:M1101"/>
    <mergeCell ref="N1101:P1101"/>
    <mergeCell ref="Q1101:R1101"/>
    <mergeCell ref="A1102:B1102"/>
    <mergeCell ref="C1102:D1102"/>
    <mergeCell ref="E1102:I1102"/>
    <mergeCell ref="J1102:M1102"/>
    <mergeCell ref="N1102:P1102"/>
    <mergeCell ref="Q1102:R1102"/>
    <mergeCell ref="A1103:B1103"/>
    <mergeCell ref="C1103:D1103"/>
    <mergeCell ref="E1103:I1103"/>
    <mergeCell ref="J1103:M1103"/>
    <mergeCell ref="N1103:P1103"/>
    <mergeCell ref="Q1103:R1103"/>
    <mergeCell ref="A1104:B1104"/>
    <mergeCell ref="C1104:D1104"/>
    <mergeCell ref="E1104:I1104"/>
    <mergeCell ref="J1104:M1104"/>
    <mergeCell ref="N1104:P1104"/>
    <mergeCell ref="Q1104:R1104"/>
    <mergeCell ref="A1105:B1105"/>
    <mergeCell ref="C1105:D1105"/>
    <mergeCell ref="E1105:I1105"/>
    <mergeCell ref="J1105:M1105"/>
    <mergeCell ref="N1105:P1105"/>
    <mergeCell ref="Q1105:R1105"/>
    <mergeCell ref="A1106:B1106"/>
    <mergeCell ref="C1106:D1106"/>
    <mergeCell ref="E1106:I1106"/>
    <mergeCell ref="J1106:M1106"/>
    <mergeCell ref="N1106:P1106"/>
    <mergeCell ref="Q1106:R1106"/>
    <mergeCell ref="A1107:B1107"/>
    <mergeCell ref="C1107:D1107"/>
    <mergeCell ref="E1107:I1107"/>
    <mergeCell ref="J1107:M1107"/>
    <mergeCell ref="N1107:P1107"/>
    <mergeCell ref="Q1107:R1107"/>
    <mergeCell ref="A1108:B1108"/>
    <mergeCell ref="C1108:D1108"/>
    <mergeCell ref="E1108:I1108"/>
    <mergeCell ref="J1108:M1108"/>
    <mergeCell ref="N1108:P1108"/>
    <mergeCell ref="Q1108:R1108"/>
    <mergeCell ref="A1109:B1109"/>
    <mergeCell ref="C1109:D1109"/>
    <mergeCell ref="E1109:I1109"/>
    <mergeCell ref="J1109:M1109"/>
    <mergeCell ref="N1109:P1109"/>
    <mergeCell ref="Q1109:R1109"/>
    <mergeCell ref="A1110:B1110"/>
    <mergeCell ref="C1110:D1110"/>
    <mergeCell ref="E1110:I1110"/>
    <mergeCell ref="J1110:M1110"/>
    <mergeCell ref="N1110:P1110"/>
    <mergeCell ref="Q1110:R1110"/>
    <mergeCell ref="A1111:B1111"/>
    <mergeCell ref="C1111:D1111"/>
    <mergeCell ref="E1111:I1111"/>
    <mergeCell ref="J1111:M1111"/>
    <mergeCell ref="N1111:P1111"/>
    <mergeCell ref="Q1111:R1111"/>
    <mergeCell ref="A1112:B1112"/>
    <mergeCell ref="C1112:D1112"/>
    <mergeCell ref="E1112:I1112"/>
    <mergeCell ref="J1112:M1112"/>
    <mergeCell ref="N1112:P1112"/>
    <mergeCell ref="Q1112:R1112"/>
    <mergeCell ref="A1113:B1113"/>
    <mergeCell ref="C1113:D1113"/>
    <mergeCell ref="E1113:I1113"/>
    <mergeCell ref="J1113:M1113"/>
    <mergeCell ref="N1113:P1113"/>
    <mergeCell ref="Q1113:R1113"/>
    <mergeCell ref="A1114:B1114"/>
    <mergeCell ref="C1114:D1114"/>
    <mergeCell ref="E1114:I1114"/>
    <mergeCell ref="J1114:M1114"/>
    <mergeCell ref="N1114:P1114"/>
    <mergeCell ref="Q1114:R1114"/>
    <mergeCell ref="A1115:B1115"/>
    <mergeCell ref="C1115:D1115"/>
    <mergeCell ref="E1115:I1115"/>
    <mergeCell ref="J1115:M1115"/>
    <mergeCell ref="N1115:P1115"/>
    <mergeCell ref="Q1115:R1115"/>
    <mergeCell ref="A1116:B1116"/>
    <mergeCell ref="C1116:D1116"/>
    <mergeCell ref="E1116:I1116"/>
    <mergeCell ref="J1116:M1116"/>
    <mergeCell ref="N1116:P1116"/>
    <mergeCell ref="Q1116:R1116"/>
    <mergeCell ref="A1117:B1117"/>
    <mergeCell ref="C1117:D1117"/>
    <mergeCell ref="E1117:I1117"/>
    <mergeCell ref="J1117:M1117"/>
    <mergeCell ref="N1117:P1117"/>
    <mergeCell ref="Q1117:R1117"/>
    <mergeCell ref="A1118:B1118"/>
    <mergeCell ref="C1118:D1118"/>
    <mergeCell ref="E1118:I1118"/>
    <mergeCell ref="J1118:M1118"/>
    <mergeCell ref="N1118:P1118"/>
    <mergeCell ref="Q1118:R1118"/>
    <mergeCell ref="A1119:B1119"/>
    <mergeCell ref="C1119:D1119"/>
    <mergeCell ref="E1119:I1119"/>
    <mergeCell ref="J1119:M1119"/>
    <mergeCell ref="N1119:P1119"/>
    <mergeCell ref="Q1119:R1119"/>
    <mergeCell ref="A1120:B1120"/>
    <mergeCell ref="C1120:D1120"/>
    <mergeCell ref="E1120:I1120"/>
    <mergeCell ref="J1120:M1120"/>
    <mergeCell ref="N1120:P1120"/>
    <mergeCell ref="Q1120:R1120"/>
    <mergeCell ref="A1121:B1121"/>
    <mergeCell ref="C1121:D1121"/>
    <mergeCell ref="E1121:I1121"/>
    <mergeCell ref="J1121:M1121"/>
    <mergeCell ref="N1121:P1121"/>
    <mergeCell ref="Q1121:R1121"/>
    <mergeCell ref="A1122:B1122"/>
    <mergeCell ref="C1122:D1122"/>
    <mergeCell ref="E1122:I1122"/>
    <mergeCell ref="J1122:M1122"/>
    <mergeCell ref="N1122:P1122"/>
    <mergeCell ref="Q1122:R1122"/>
    <mergeCell ref="A1123:B1123"/>
    <mergeCell ref="C1123:D1123"/>
    <mergeCell ref="E1123:I1123"/>
    <mergeCell ref="J1123:M1123"/>
    <mergeCell ref="N1123:P1123"/>
    <mergeCell ref="Q1123:R1123"/>
    <mergeCell ref="A1124:B1124"/>
    <mergeCell ref="C1124:D1124"/>
    <mergeCell ref="E1124:I1124"/>
    <mergeCell ref="J1124:M1124"/>
    <mergeCell ref="N1124:P1124"/>
    <mergeCell ref="Q1124:R1124"/>
    <mergeCell ref="A1125:B1125"/>
    <mergeCell ref="C1125:D1125"/>
    <mergeCell ref="E1125:I1125"/>
    <mergeCell ref="J1125:M1125"/>
    <mergeCell ref="N1125:P1125"/>
    <mergeCell ref="Q1125:R1125"/>
    <mergeCell ref="A1126:B1126"/>
    <mergeCell ref="C1126:D1126"/>
    <mergeCell ref="E1126:I1126"/>
    <mergeCell ref="J1126:M1126"/>
    <mergeCell ref="N1126:P1126"/>
    <mergeCell ref="Q1126:R1126"/>
    <mergeCell ref="A1127:B1127"/>
    <mergeCell ref="C1127:D1127"/>
    <mergeCell ref="E1127:I1127"/>
    <mergeCell ref="J1127:M1127"/>
    <mergeCell ref="N1127:P1127"/>
    <mergeCell ref="Q1127:R1127"/>
    <mergeCell ref="A1128:B1128"/>
    <mergeCell ref="C1128:D1128"/>
    <mergeCell ref="E1128:I1128"/>
    <mergeCell ref="J1128:M1128"/>
    <mergeCell ref="N1128:P1128"/>
    <mergeCell ref="Q1128:R1128"/>
    <mergeCell ref="A1129:B1129"/>
    <mergeCell ref="C1129:D1129"/>
    <mergeCell ref="E1129:I1129"/>
    <mergeCell ref="J1129:M1129"/>
    <mergeCell ref="N1129:P1129"/>
    <mergeCell ref="Q1129:R1129"/>
    <mergeCell ref="A1130:B1130"/>
    <mergeCell ref="C1130:D1130"/>
    <mergeCell ref="E1130:I1130"/>
    <mergeCell ref="J1130:M1130"/>
    <mergeCell ref="N1130:P1130"/>
    <mergeCell ref="Q1130:R1130"/>
    <mergeCell ref="A1131:B1131"/>
    <mergeCell ref="C1131:D1131"/>
    <mergeCell ref="E1131:I1131"/>
    <mergeCell ref="J1131:M1131"/>
    <mergeCell ref="N1131:P1131"/>
    <mergeCell ref="Q1131:R1131"/>
    <mergeCell ref="A1132:B1132"/>
    <mergeCell ref="C1132:D1132"/>
    <mergeCell ref="E1132:I1132"/>
    <mergeCell ref="J1132:M1132"/>
    <mergeCell ref="N1132:P1132"/>
    <mergeCell ref="Q1132:R1132"/>
    <mergeCell ref="A1133:B1133"/>
    <mergeCell ref="C1133:D1133"/>
    <mergeCell ref="E1133:I1133"/>
    <mergeCell ref="J1133:M1133"/>
    <mergeCell ref="N1133:P1133"/>
    <mergeCell ref="Q1133:R1133"/>
    <mergeCell ref="A1134:B1134"/>
    <mergeCell ref="C1134:D1134"/>
    <mergeCell ref="E1134:I1134"/>
    <mergeCell ref="J1134:M1134"/>
    <mergeCell ref="N1134:P1134"/>
    <mergeCell ref="Q1134:R1134"/>
    <mergeCell ref="A1135:B1135"/>
    <mergeCell ref="C1135:D1135"/>
    <mergeCell ref="E1135:I1135"/>
    <mergeCell ref="J1135:M1135"/>
    <mergeCell ref="N1135:P1135"/>
    <mergeCell ref="Q1135:R1135"/>
    <mergeCell ref="A1136:B1136"/>
    <mergeCell ref="C1136:D1136"/>
    <mergeCell ref="E1136:I1136"/>
    <mergeCell ref="J1136:M1136"/>
    <mergeCell ref="N1136:P1136"/>
    <mergeCell ref="Q1136:R1136"/>
    <mergeCell ref="A1137:B1137"/>
    <mergeCell ref="C1137:D1137"/>
    <mergeCell ref="E1137:I1137"/>
    <mergeCell ref="J1137:M1137"/>
    <mergeCell ref="N1137:P1137"/>
    <mergeCell ref="Q1137:R1137"/>
    <mergeCell ref="A1138:B1138"/>
    <mergeCell ref="C1138:D1138"/>
    <mergeCell ref="E1138:I1138"/>
    <mergeCell ref="J1138:M1138"/>
    <mergeCell ref="N1138:P1138"/>
    <mergeCell ref="Q1138:R1138"/>
    <mergeCell ref="A1139:B1139"/>
    <mergeCell ref="C1139:D1139"/>
    <mergeCell ref="E1139:I1139"/>
    <mergeCell ref="J1139:M1139"/>
    <mergeCell ref="N1139:P1139"/>
    <mergeCell ref="Q1139:R1139"/>
    <mergeCell ref="A1140:B1140"/>
    <mergeCell ref="C1140:D1140"/>
    <mergeCell ref="E1140:I1140"/>
    <mergeCell ref="J1140:M1140"/>
    <mergeCell ref="N1140:P1140"/>
    <mergeCell ref="Q1140:R1140"/>
    <mergeCell ref="A1141:B1141"/>
    <mergeCell ref="C1141:D1141"/>
    <mergeCell ref="E1141:I1141"/>
    <mergeCell ref="J1141:M1141"/>
    <mergeCell ref="N1141:P1141"/>
    <mergeCell ref="Q1141:R1141"/>
    <mergeCell ref="A1142:B1142"/>
    <mergeCell ref="C1142:D1142"/>
    <mergeCell ref="E1142:I1142"/>
    <mergeCell ref="J1142:M1142"/>
    <mergeCell ref="N1142:P1142"/>
    <mergeCell ref="Q1142:R1142"/>
    <mergeCell ref="A1143:B1143"/>
    <mergeCell ref="C1143:D1143"/>
    <mergeCell ref="E1143:I1143"/>
    <mergeCell ref="J1143:M1143"/>
    <mergeCell ref="N1143:P1143"/>
    <mergeCell ref="Q1143:R1143"/>
    <mergeCell ref="A1144:B1144"/>
    <mergeCell ref="C1144:D1144"/>
    <mergeCell ref="E1144:I1144"/>
    <mergeCell ref="J1144:M1144"/>
    <mergeCell ref="N1144:P1144"/>
    <mergeCell ref="Q1144:R1144"/>
    <mergeCell ref="A1145:B1145"/>
    <mergeCell ref="C1145:D1145"/>
    <mergeCell ref="E1145:I1145"/>
    <mergeCell ref="J1145:M1145"/>
    <mergeCell ref="N1145:P1145"/>
    <mergeCell ref="Q1145:R1145"/>
    <mergeCell ref="A1146:B1146"/>
    <mergeCell ref="C1146:D1146"/>
    <mergeCell ref="E1146:I1146"/>
    <mergeCell ref="J1146:M1146"/>
    <mergeCell ref="N1146:P1146"/>
    <mergeCell ref="Q1146:R1146"/>
    <mergeCell ref="A1147:B1147"/>
    <mergeCell ref="C1147:D1147"/>
    <mergeCell ref="E1147:I1147"/>
    <mergeCell ref="J1147:M1147"/>
    <mergeCell ref="N1147:P1147"/>
    <mergeCell ref="Q1147:R1147"/>
    <mergeCell ref="A1148:B1148"/>
    <mergeCell ref="C1148:D1148"/>
    <mergeCell ref="E1148:I1148"/>
    <mergeCell ref="J1148:M1148"/>
    <mergeCell ref="N1148:P1148"/>
    <mergeCell ref="Q1148:R1148"/>
    <mergeCell ref="A1149:B1149"/>
    <mergeCell ref="C1149:D1149"/>
    <mergeCell ref="E1149:I1149"/>
    <mergeCell ref="J1149:M1149"/>
    <mergeCell ref="N1149:P1149"/>
    <mergeCell ref="Q1149:R1149"/>
    <mergeCell ref="A1150:B1150"/>
    <mergeCell ref="C1150:D1150"/>
    <mergeCell ref="E1150:I1150"/>
    <mergeCell ref="J1150:M1150"/>
    <mergeCell ref="N1150:P1150"/>
    <mergeCell ref="Q1150:R1150"/>
    <mergeCell ref="A1151:B1151"/>
    <mergeCell ref="C1151:D1151"/>
    <mergeCell ref="E1151:I1151"/>
    <mergeCell ref="J1151:M1151"/>
    <mergeCell ref="N1151:P1151"/>
    <mergeCell ref="Q1151:R1151"/>
    <mergeCell ref="A1152:B1152"/>
    <mergeCell ref="C1152:D1152"/>
    <mergeCell ref="E1152:I1152"/>
    <mergeCell ref="J1152:M1152"/>
    <mergeCell ref="N1152:P1152"/>
    <mergeCell ref="Q1152:R1152"/>
    <mergeCell ref="A1153:B1153"/>
    <mergeCell ref="C1153:D1153"/>
    <mergeCell ref="E1153:I1153"/>
    <mergeCell ref="J1153:M1153"/>
    <mergeCell ref="N1153:P1153"/>
    <mergeCell ref="Q1153:R1153"/>
    <mergeCell ref="A1154:B1154"/>
    <mergeCell ref="C1154:D1154"/>
    <mergeCell ref="E1154:I1154"/>
    <mergeCell ref="J1154:M1154"/>
    <mergeCell ref="N1154:P1154"/>
    <mergeCell ref="Q1154:R1154"/>
    <mergeCell ref="A1155:B1155"/>
    <mergeCell ref="C1155:D1155"/>
    <mergeCell ref="E1155:I1155"/>
    <mergeCell ref="J1155:M1155"/>
    <mergeCell ref="N1155:P1155"/>
    <mergeCell ref="Q1155:R1155"/>
    <mergeCell ref="A1156:B1156"/>
    <mergeCell ref="C1156:D1156"/>
    <mergeCell ref="E1156:I1156"/>
    <mergeCell ref="J1156:M1156"/>
    <mergeCell ref="N1156:P1156"/>
    <mergeCell ref="Q1156:R1156"/>
    <mergeCell ref="A1157:B1157"/>
    <mergeCell ref="C1157:D1157"/>
    <mergeCell ref="E1157:I1157"/>
    <mergeCell ref="J1157:M1157"/>
    <mergeCell ref="N1157:P1157"/>
    <mergeCell ref="Q1157:R1157"/>
    <mergeCell ref="A1158:B1158"/>
    <mergeCell ref="C1158:D1158"/>
    <mergeCell ref="E1158:I1158"/>
    <mergeCell ref="J1158:M1158"/>
    <mergeCell ref="N1158:P1158"/>
    <mergeCell ref="Q1158:R1158"/>
    <mergeCell ref="A1159:B1159"/>
    <mergeCell ref="C1159:D1159"/>
    <mergeCell ref="E1159:I1159"/>
    <mergeCell ref="J1159:M1159"/>
    <mergeCell ref="N1159:P1159"/>
    <mergeCell ref="Q1159:R1159"/>
    <mergeCell ref="A1160:B1160"/>
    <mergeCell ref="C1160:D1160"/>
    <mergeCell ref="E1160:I1160"/>
    <mergeCell ref="J1160:M1160"/>
    <mergeCell ref="N1160:P1160"/>
    <mergeCell ref="Q1160:R1160"/>
    <mergeCell ref="A1161:B1161"/>
    <mergeCell ref="C1161:D1161"/>
    <mergeCell ref="E1161:I1161"/>
    <mergeCell ref="J1161:M1161"/>
    <mergeCell ref="N1161:P1161"/>
    <mergeCell ref="Q1161:R1161"/>
    <mergeCell ref="A1162:B1162"/>
    <mergeCell ref="C1162:D1162"/>
    <mergeCell ref="E1162:I1162"/>
    <mergeCell ref="J1162:M1162"/>
    <mergeCell ref="N1162:P1162"/>
    <mergeCell ref="Q1162:R1162"/>
    <mergeCell ref="A1163:B1163"/>
    <mergeCell ref="C1163:D1163"/>
    <mergeCell ref="E1163:I1163"/>
    <mergeCell ref="J1163:M1163"/>
    <mergeCell ref="N1163:P1163"/>
    <mergeCell ref="Q1163:R1163"/>
    <mergeCell ref="A1164:B1164"/>
    <mergeCell ref="C1164:D1164"/>
    <mergeCell ref="E1164:I1164"/>
    <mergeCell ref="J1164:M1164"/>
    <mergeCell ref="N1164:P1164"/>
    <mergeCell ref="Q1164:R1164"/>
    <mergeCell ref="A1165:B1165"/>
    <mergeCell ref="C1165:D1165"/>
    <mergeCell ref="E1165:I1165"/>
    <mergeCell ref="J1165:M1165"/>
    <mergeCell ref="N1165:P1165"/>
    <mergeCell ref="Q1165:R1165"/>
    <mergeCell ref="A1166:B1166"/>
    <mergeCell ref="C1166:D1166"/>
    <mergeCell ref="E1166:I1166"/>
    <mergeCell ref="J1166:M1166"/>
    <mergeCell ref="N1166:P1166"/>
    <mergeCell ref="Q1166:R1166"/>
    <mergeCell ref="A1167:B1167"/>
    <mergeCell ref="C1167:D1167"/>
    <mergeCell ref="E1167:I1167"/>
    <mergeCell ref="J1167:M1167"/>
    <mergeCell ref="N1167:P1167"/>
    <mergeCell ref="Q1167:R1167"/>
    <mergeCell ref="A1168:B1168"/>
    <mergeCell ref="C1168:D1168"/>
    <mergeCell ref="E1168:I1168"/>
    <mergeCell ref="J1168:M1168"/>
    <mergeCell ref="N1168:P1168"/>
    <mergeCell ref="Q1168:R1168"/>
    <mergeCell ref="A1169:B1169"/>
    <mergeCell ref="C1169:D1169"/>
    <mergeCell ref="E1169:I1169"/>
    <mergeCell ref="J1169:M1169"/>
    <mergeCell ref="N1169:P1169"/>
    <mergeCell ref="Q1169:R1169"/>
    <mergeCell ref="A1170:B1170"/>
    <mergeCell ref="C1170:D1170"/>
    <mergeCell ref="E1170:I1170"/>
    <mergeCell ref="J1170:M1170"/>
    <mergeCell ref="N1170:P1170"/>
    <mergeCell ref="Q1170:R1170"/>
    <mergeCell ref="A1171:B1171"/>
    <mergeCell ref="C1171:D1171"/>
    <mergeCell ref="E1171:I1171"/>
    <mergeCell ref="J1171:M1171"/>
    <mergeCell ref="N1171:P1171"/>
    <mergeCell ref="Q1171:R1171"/>
    <mergeCell ref="A1172:B1172"/>
    <mergeCell ref="C1172:D1172"/>
    <mergeCell ref="E1172:I1172"/>
    <mergeCell ref="J1172:M1172"/>
    <mergeCell ref="N1172:P1172"/>
    <mergeCell ref="Q1172:R1172"/>
    <mergeCell ref="A1173:B1173"/>
    <mergeCell ref="C1173:D1173"/>
    <mergeCell ref="E1173:I1173"/>
    <mergeCell ref="J1173:M1173"/>
    <mergeCell ref="N1173:P1173"/>
    <mergeCell ref="Q1173:R1173"/>
    <mergeCell ref="A1174:B1174"/>
    <mergeCell ref="C1174:D1174"/>
    <mergeCell ref="E1174:I1174"/>
    <mergeCell ref="J1174:M1174"/>
    <mergeCell ref="N1174:P1174"/>
    <mergeCell ref="Q1174:R1174"/>
    <mergeCell ref="A1175:B1175"/>
    <mergeCell ref="C1175:D1175"/>
    <mergeCell ref="E1175:I1175"/>
    <mergeCell ref="J1175:M1175"/>
    <mergeCell ref="N1175:P1175"/>
    <mergeCell ref="Q1175:R1175"/>
    <mergeCell ref="A1176:B1176"/>
    <mergeCell ref="C1176:D1176"/>
    <mergeCell ref="E1176:I1176"/>
    <mergeCell ref="J1176:M1176"/>
    <mergeCell ref="N1176:P1176"/>
    <mergeCell ref="Q1176:R1176"/>
    <mergeCell ref="A1177:B1177"/>
    <mergeCell ref="C1177:D1177"/>
    <mergeCell ref="E1177:I1177"/>
    <mergeCell ref="J1177:M1177"/>
    <mergeCell ref="N1177:P1177"/>
    <mergeCell ref="Q1177:R1177"/>
    <mergeCell ref="A1178:B1178"/>
    <mergeCell ref="C1178:D1178"/>
    <mergeCell ref="E1178:I1178"/>
    <mergeCell ref="J1178:M1178"/>
    <mergeCell ref="N1178:P1178"/>
    <mergeCell ref="Q1178:R1178"/>
    <mergeCell ref="A1179:B1179"/>
    <mergeCell ref="C1179:D1179"/>
    <mergeCell ref="E1179:I1179"/>
    <mergeCell ref="J1179:M1179"/>
    <mergeCell ref="N1179:P1179"/>
    <mergeCell ref="Q1179:R1179"/>
    <mergeCell ref="A1180:B1180"/>
    <mergeCell ref="C1180:D1180"/>
    <mergeCell ref="E1180:I1180"/>
    <mergeCell ref="J1180:M1180"/>
    <mergeCell ref="N1180:P1180"/>
    <mergeCell ref="Q1180:R1180"/>
    <mergeCell ref="A1181:B1181"/>
    <mergeCell ref="C1181:D1181"/>
    <mergeCell ref="E1181:I1181"/>
    <mergeCell ref="J1181:M1181"/>
    <mergeCell ref="N1181:P1181"/>
    <mergeCell ref="Q1181:R1181"/>
    <mergeCell ref="A1182:B1182"/>
    <mergeCell ref="C1182:D1182"/>
    <mergeCell ref="E1182:I1182"/>
    <mergeCell ref="J1182:M1182"/>
    <mergeCell ref="N1182:P1182"/>
    <mergeCell ref="Q1182:R1182"/>
    <mergeCell ref="A1183:B1183"/>
    <mergeCell ref="C1183:D1183"/>
    <mergeCell ref="E1183:I1183"/>
    <mergeCell ref="J1183:M1183"/>
    <mergeCell ref="N1183:P1183"/>
    <mergeCell ref="Q1183:R1183"/>
    <mergeCell ref="A1184:B1184"/>
    <mergeCell ref="C1184:D1184"/>
    <mergeCell ref="E1184:I1184"/>
    <mergeCell ref="J1184:M1184"/>
    <mergeCell ref="N1184:P1184"/>
    <mergeCell ref="Q1184:R1184"/>
    <mergeCell ref="A1185:B1185"/>
    <mergeCell ref="C1185:D1185"/>
    <mergeCell ref="E1185:I1185"/>
    <mergeCell ref="J1185:M1185"/>
    <mergeCell ref="N1185:P1185"/>
    <mergeCell ref="Q1185:R1185"/>
    <mergeCell ref="A1186:B1186"/>
    <mergeCell ref="C1186:D1186"/>
    <mergeCell ref="E1186:I1186"/>
    <mergeCell ref="J1186:M1186"/>
    <mergeCell ref="N1186:P1186"/>
    <mergeCell ref="Q1186:R1186"/>
    <mergeCell ref="A1187:B1187"/>
    <mergeCell ref="C1187:D1187"/>
    <mergeCell ref="E1187:I1187"/>
    <mergeCell ref="J1187:M1187"/>
    <mergeCell ref="N1187:P1187"/>
    <mergeCell ref="Q1187:R1187"/>
    <mergeCell ref="A1188:B1188"/>
    <mergeCell ref="C1188:D1188"/>
    <mergeCell ref="E1188:I1188"/>
    <mergeCell ref="J1188:M1188"/>
    <mergeCell ref="N1188:P1188"/>
    <mergeCell ref="Q1188:R1188"/>
    <mergeCell ref="A1189:B1189"/>
    <mergeCell ref="C1189:D1189"/>
    <mergeCell ref="E1189:I1189"/>
    <mergeCell ref="J1189:M1189"/>
    <mergeCell ref="N1189:P1189"/>
    <mergeCell ref="Q1189:R1189"/>
    <mergeCell ref="A1190:B1190"/>
    <mergeCell ref="C1190:D1190"/>
    <mergeCell ref="E1190:I1190"/>
    <mergeCell ref="J1190:M1190"/>
    <mergeCell ref="N1190:P1190"/>
    <mergeCell ref="Q1190:R1190"/>
    <mergeCell ref="A1191:B1191"/>
    <mergeCell ref="C1191:D1191"/>
    <mergeCell ref="E1191:I1191"/>
    <mergeCell ref="J1191:M1191"/>
    <mergeCell ref="N1191:P1191"/>
    <mergeCell ref="Q1191:R1191"/>
    <mergeCell ref="A1192:B1192"/>
    <mergeCell ref="C1192:D1192"/>
    <mergeCell ref="E1192:I1192"/>
    <mergeCell ref="J1192:M1192"/>
    <mergeCell ref="N1192:P1192"/>
    <mergeCell ref="Q1192:R1192"/>
    <mergeCell ref="A1193:B1193"/>
    <mergeCell ref="C1193:D1193"/>
    <mergeCell ref="E1193:I1193"/>
    <mergeCell ref="J1193:M1193"/>
    <mergeCell ref="N1193:P1193"/>
    <mergeCell ref="Q1193:R1193"/>
    <mergeCell ref="A1194:B1194"/>
    <mergeCell ref="C1194:D1194"/>
    <mergeCell ref="E1194:I1194"/>
    <mergeCell ref="J1194:M1194"/>
    <mergeCell ref="N1194:P1194"/>
    <mergeCell ref="Q1194:R1194"/>
    <mergeCell ref="A1195:B1195"/>
    <mergeCell ref="C1195:D1195"/>
    <mergeCell ref="E1195:I1195"/>
    <mergeCell ref="J1195:M1195"/>
    <mergeCell ref="N1195:P1195"/>
    <mergeCell ref="Q1195:R1195"/>
    <mergeCell ref="A1196:B1196"/>
    <mergeCell ref="C1196:D1196"/>
    <mergeCell ref="E1196:I1196"/>
    <mergeCell ref="J1196:M1196"/>
    <mergeCell ref="N1196:P1196"/>
    <mergeCell ref="Q1196:R1196"/>
    <mergeCell ref="A1197:B1197"/>
    <mergeCell ref="C1197:D1197"/>
    <mergeCell ref="E1197:I1197"/>
    <mergeCell ref="J1197:M1197"/>
    <mergeCell ref="N1197:P1197"/>
    <mergeCell ref="Q1197:R1197"/>
    <mergeCell ref="A1198:B1198"/>
    <mergeCell ref="C1198:D1198"/>
    <mergeCell ref="E1198:I1198"/>
    <mergeCell ref="J1198:M1198"/>
    <mergeCell ref="N1198:P1198"/>
    <mergeCell ref="Q1198:R1198"/>
    <mergeCell ref="A1199:B1199"/>
    <mergeCell ref="C1199:D1199"/>
    <mergeCell ref="E1199:I1199"/>
    <mergeCell ref="J1199:M1199"/>
    <mergeCell ref="N1199:P1199"/>
    <mergeCell ref="Q1199:R1199"/>
    <mergeCell ref="A1200:B1200"/>
    <mergeCell ref="C1200:D1200"/>
    <mergeCell ref="E1200:I1200"/>
    <mergeCell ref="J1200:M1200"/>
    <mergeCell ref="N1200:P1200"/>
    <mergeCell ref="Q1200:R1200"/>
    <mergeCell ref="A1201:B1201"/>
    <mergeCell ref="C1201:D1201"/>
    <mergeCell ref="E1201:I1201"/>
    <mergeCell ref="J1201:M1201"/>
    <mergeCell ref="N1201:P1201"/>
    <mergeCell ref="Q1201:R1201"/>
    <mergeCell ref="A1202:B1202"/>
    <mergeCell ref="C1202:D1202"/>
    <mergeCell ref="E1202:I1202"/>
    <mergeCell ref="J1202:M1202"/>
    <mergeCell ref="N1202:P1202"/>
    <mergeCell ref="Q1202:R1202"/>
    <mergeCell ref="A1203:B1203"/>
    <mergeCell ref="C1203:D1203"/>
    <mergeCell ref="E1203:I1203"/>
    <mergeCell ref="J1203:M1203"/>
    <mergeCell ref="N1203:P1203"/>
    <mergeCell ref="Q1203:R1203"/>
    <mergeCell ref="A1204:B1204"/>
    <mergeCell ref="C1204:D1204"/>
    <mergeCell ref="E1204:I1204"/>
    <mergeCell ref="J1204:M1204"/>
    <mergeCell ref="N1204:P1204"/>
    <mergeCell ref="Q1204:R1204"/>
    <mergeCell ref="A1205:B1205"/>
    <mergeCell ref="C1205:D1205"/>
    <mergeCell ref="E1205:I1205"/>
    <mergeCell ref="J1205:M1205"/>
    <mergeCell ref="N1205:P1205"/>
    <mergeCell ref="Q1205:R1205"/>
    <mergeCell ref="A1206:B1206"/>
    <mergeCell ref="C1206:D1206"/>
    <mergeCell ref="E1206:I1206"/>
    <mergeCell ref="J1206:M1206"/>
    <mergeCell ref="N1206:P1206"/>
    <mergeCell ref="Q1206:R1206"/>
    <mergeCell ref="A1207:B1207"/>
    <mergeCell ref="C1207:D1207"/>
    <mergeCell ref="E1207:I1207"/>
    <mergeCell ref="J1207:M1207"/>
    <mergeCell ref="N1207:P1207"/>
    <mergeCell ref="Q1207:R1207"/>
    <mergeCell ref="A1208:B1208"/>
    <mergeCell ref="C1208:D1208"/>
    <mergeCell ref="E1208:I1208"/>
    <mergeCell ref="J1208:M1208"/>
    <mergeCell ref="N1208:P1208"/>
    <mergeCell ref="Q1208:R1208"/>
    <mergeCell ref="A1209:B1209"/>
    <mergeCell ref="C1209:D1209"/>
    <mergeCell ref="E1209:I1209"/>
    <mergeCell ref="J1209:M1209"/>
    <mergeCell ref="N1209:P1209"/>
    <mergeCell ref="Q1209:R1209"/>
    <mergeCell ref="A1210:B1210"/>
    <mergeCell ref="C1210:D1210"/>
    <mergeCell ref="E1210:I1210"/>
    <mergeCell ref="J1210:M1210"/>
    <mergeCell ref="N1210:P1210"/>
    <mergeCell ref="Q1210:R1210"/>
    <mergeCell ref="A1211:B1211"/>
    <mergeCell ref="C1211:D1211"/>
    <mergeCell ref="E1211:I1211"/>
    <mergeCell ref="J1211:M1211"/>
    <mergeCell ref="N1211:P1211"/>
    <mergeCell ref="Q1211:R1211"/>
    <mergeCell ref="A1212:B1212"/>
    <mergeCell ref="C1212:D1212"/>
    <mergeCell ref="E1212:I1212"/>
    <mergeCell ref="J1212:M1212"/>
    <mergeCell ref="N1212:P1212"/>
    <mergeCell ref="Q1212:R1212"/>
    <mergeCell ref="A1213:B1213"/>
    <mergeCell ref="C1213:D1213"/>
    <mergeCell ref="E1213:I1213"/>
    <mergeCell ref="J1213:M1213"/>
    <mergeCell ref="N1213:P1213"/>
    <mergeCell ref="Q1213:R1213"/>
    <mergeCell ref="A1214:B1214"/>
    <mergeCell ref="C1214:D1214"/>
    <mergeCell ref="E1214:I1214"/>
    <mergeCell ref="J1214:M1214"/>
    <mergeCell ref="N1214:P1214"/>
    <mergeCell ref="Q1214:R1214"/>
    <mergeCell ref="A1215:B1215"/>
    <mergeCell ref="C1215:D1215"/>
    <mergeCell ref="E1215:I1215"/>
    <mergeCell ref="J1215:M1215"/>
    <mergeCell ref="N1215:P1215"/>
    <mergeCell ref="Q1215:R1215"/>
    <mergeCell ref="A1216:B1216"/>
    <mergeCell ref="C1216:D1216"/>
    <mergeCell ref="E1216:I1216"/>
    <mergeCell ref="J1216:M1216"/>
    <mergeCell ref="N1216:P1216"/>
    <mergeCell ref="Q1216:R1216"/>
    <mergeCell ref="A1217:B1217"/>
    <mergeCell ref="C1217:D1217"/>
    <mergeCell ref="E1217:I1217"/>
    <mergeCell ref="J1217:M1217"/>
    <mergeCell ref="N1217:P1217"/>
    <mergeCell ref="Q1217:R1217"/>
    <mergeCell ref="A1218:B1218"/>
    <mergeCell ref="C1218:D1218"/>
    <mergeCell ref="E1218:I1218"/>
    <mergeCell ref="J1218:M1218"/>
    <mergeCell ref="N1218:P1218"/>
    <mergeCell ref="Q1218:R1218"/>
    <mergeCell ref="A1219:B1219"/>
    <mergeCell ref="C1219:D1219"/>
    <mergeCell ref="E1219:I1219"/>
    <mergeCell ref="J1219:M1219"/>
    <mergeCell ref="N1219:P1219"/>
    <mergeCell ref="Q1219:R1219"/>
    <mergeCell ref="A1220:B1220"/>
    <mergeCell ref="C1220:D1220"/>
    <mergeCell ref="E1220:I1220"/>
    <mergeCell ref="J1220:M1220"/>
    <mergeCell ref="N1220:P1220"/>
    <mergeCell ref="Q1220:R1220"/>
    <mergeCell ref="A1221:B1221"/>
    <mergeCell ref="C1221:D1221"/>
    <mergeCell ref="E1221:I1221"/>
    <mergeCell ref="J1221:M1221"/>
    <mergeCell ref="N1221:P1221"/>
    <mergeCell ref="Q1221:R1221"/>
    <mergeCell ref="A1222:B1222"/>
    <mergeCell ref="C1222:D1222"/>
    <mergeCell ref="E1222:I1222"/>
    <mergeCell ref="J1222:M1222"/>
    <mergeCell ref="N1222:P1222"/>
    <mergeCell ref="Q1222:R1222"/>
    <mergeCell ref="A1223:B1223"/>
    <mergeCell ref="C1223:D1223"/>
    <mergeCell ref="E1223:I1223"/>
    <mergeCell ref="J1223:M1223"/>
    <mergeCell ref="N1223:P1223"/>
    <mergeCell ref="Q1223:R1223"/>
    <mergeCell ref="A1224:B1224"/>
    <mergeCell ref="C1224:D1224"/>
    <mergeCell ref="E1224:I1224"/>
    <mergeCell ref="J1224:M1224"/>
    <mergeCell ref="N1224:P1224"/>
    <mergeCell ref="Q1224:R1224"/>
    <mergeCell ref="A1225:B1225"/>
    <mergeCell ref="C1225:D1225"/>
    <mergeCell ref="E1225:I1225"/>
    <mergeCell ref="J1225:M1225"/>
    <mergeCell ref="N1225:P1225"/>
    <mergeCell ref="Q1225:R1225"/>
    <mergeCell ref="A1226:B1226"/>
    <mergeCell ref="C1226:D1226"/>
    <mergeCell ref="E1226:I1226"/>
    <mergeCell ref="J1226:M1226"/>
    <mergeCell ref="N1226:P1226"/>
    <mergeCell ref="Q1226:R1226"/>
    <mergeCell ref="A1227:B1227"/>
    <mergeCell ref="C1227:D1227"/>
    <mergeCell ref="E1227:I1227"/>
    <mergeCell ref="J1227:M1227"/>
    <mergeCell ref="N1227:P1227"/>
    <mergeCell ref="Q1227:R1227"/>
    <mergeCell ref="A1228:B1228"/>
    <mergeCell ref="C1228:D1228"/>
    <mergeCell ref="E1228:I1228"/>
    <mergeCell ref="J1228:M1228"/>
    <mergeCell ref="N1228:P1228"/>
    <mergeCell ref="Q1228:R1228"/>
    <mergeCell ref="A1229:B1229"/>
    <mergeCell ref="C1229:D1229"/>
    <mergeCell ref="E1229:I1229"/>
    <mergeCell ref="J1229:M1229"/>
    <mergeCell ref="N1229:P1229"/>
    <mergeCell ref="Q1229:R1229"/>
    <mergeCell ref="A1230:B1230"/>
    <mergeCell ref="C1230:D1230"/>
    <mergeCell ref="E1230:I1230"/>
    <mergeCell ref="J1230:M1230"/>
    <mergeCell ref="N1230:P1230"/>
    <mergeCell ref="Q1230:R1230"/>
    <mergeCell ref="A1231:B1231"/>
    <mergeCell ref="C1231:D1231"/>
    <mergeCell ref="E1231:I1231"/>
    <mergeCell ref="J1231:M1231"/>
    <mergeCell ref="N1231:P1231"/>
    <mergeCell ref="Q1231:R1231"/>
    <mergeCell ref="A1232:B1232"/>
    <mergeCell ref="C1232:D1232"/>
    <mergeCell ref="E1232:I1232"/>
    <mergeCell ref="J1232:M1232"/>
    <mergeCell ref="N1232:P1232"/>
    <mergeCell ref="Q1232:R1232"/>
    <mergeCell ref="A1233:B1233"/>
    <mergeCell ref="C1233:D1233"/>
    <mergeCell ref="E1233:I1233"/>
    <mergeCell ref="J1233:M1233"/>
    <mergeCell ref="N1233:P1233"/>
    <mergeCell ref="Q1233:R1233"/>
    <mergeCell ref="A1234:B1234"/>
    <mergeCell ref="C1234:D1234"/>
    <mergeCell ref="E1234:I1234"/>
    <mergeCell ref="J1234:M1234"/>
    <mergeCell ref="N1234:P1234"/>
    <mergeCell ref="Q1234:R1234"/>
    <mergeCell ref="A1235:B1235"/>
    <mergeCell ref="C1235:D1235"/>
    <mergeCell ref="E1235:I1235"/>
    <mergeCell ref="J1235:M1235"/>
    <mergeCell ref="N1235:P1235"/>
    <mergeCell ref="Q1235:R1235"/>
    <mergeCell ref="A1236:B1236"/>
    <mergeCell ref="C1236:D1236"/>
    <mergeCell ref="E1236:I1236"/>
    <mergeCell ref="J1236:M1236"/>
    <mergeCell ref="N1236:P1236"/>
    <mergeCell ref="Q1236:R1236"/>
    <mergeCell ref="A1237:B1237"/>
    <mergeCell ref="C1237:D1237"/>
    <mergeCell ref="E1237:I1237"/>
    <mergeCell ref="J1237:M1237"/>
    <mergeCell ref="N1237:P1237"/>
    <mergeCell ref="Q1237:R1237"/>
    <mergeCell ref="A1238:B1238"/>
    <mergeCell ref="C1238:D1238"/>
    <mergeCell ref="E1238:I1238"/>
    <mergeCell ref="J1238:M1238"/>
    <mergeCell ref="N1238:P1238"/>
    <mergeCell ref="Q1238:R1238"/>
    <mergeCell ref="A1239:B1239"/>
    <mergeCell ref="C1239:D1239"/>
    <mergeCell ref="E1239:I1239"/>
    <mergeCell ref="J1239:M1239"/>
    <mergeCell ref="N1239:P1239"/>
    <mergeCell ref="Q1239:R1239"/>
    <mergeCell ref="A1240:B1240"/>
    <mergeCell ref="C1240:D1240"/>
    <mergeCell ref="E1240:I1240"/>
    <mergeCell ref="J1240:M1240"/>
    <mergeCell ref="N1240:P1240"/>
    <mergeCell ref="Q1240:R1240"/>
    <mergeCell ref="A1241:B1241"/>
    <mergeCell ref="C1241:D1241"/>
    <mergeCell ref="E1241:I1241"/>
    <mergeCell ref="J1241:M1241"/>
    <mergeCell ref="N1241:P1241"/>
    <mergeCell ref="Q1241:R1241"/>
    <mergeCell ref="A1242:B1242"/>
    <mergeCell ref="C1242:D1242"/>
    <mergeCell ref="E1242:I1242"/>
    <mergeCell ref="J1242:M1242"/>
    <mergeCell ref="N1242:P1242"/>
    <mergeCell ref="Q1242:R1242"/>
    <mergeCell ref="A1243:B1243"/>
    <mergeCell ref="C1243:D1243"/>
    <mergeCell ref="E1243:I1243"/>
    <mergeCell ref="J1243:M1243"/>
    <mergeCell ref="N1243:P1243"/>
    <mergeCell ref="Q1243:R1243"/>
    <mergeCell ref="A1244:B1244"/>
    <mergeCell ref="C1244:D1244"/>
    <mergeCell ref="E1244:I1244"/>
    <mergeCell ref="J1244:M1244"/>
    <mergeCell ref="N1244:P1244"/>
    <mergeCell ref="Q1244:R1244"/>
    <mergeCell ref="A1245:B1245"/>
    <mergeCell ref="C1245:D1245"/>
    <mergeCell ref="E1245:I1245"/>
    <mergeCell ref="J1245:M1245"/>
    <mergeCell ref="N1245:P1245"/>
    <mergeCell ref="Q1245:R1245"/>
    <mergeCell ref="A1246:B1246"/>
    <mergeCell ref="C1246:D1246"/>
    <mergeCell ref="E1246:I1246"/>
    <mergeCell ref="J1246:M1246"/>
    <mergeCell ref="N1246:P1246"/>
    <mergeCell ref="Q1246:R1246"/>
    <mergeCell ref="A1247:B1247"/>
    <mergeCell ref="C1247:D1247"/>
    <mergeCell ref="E1247:I1247"/>
    <mergeCell ref="J1247:M1247"/>
    <mergeCell ref="N1247:P1247"/>
    <mergeCell ref="Q1247:R1247"/>
    <mergeCell ref="A1248:B1248"/>
    <mergeCell ref="C1248:D1248"/>
    <mergeCell ref="E1248:I1248"/>
    <mergeCell ref="J1248:M1248"/>
    <mergeCell ref="N1248:P1248"/>
    <mergeCell ref="Q1248:R1248"/>
    <mergeCell ref="A1249:B1249"/>
    <mergeCell ref="C1249:D1249"/>
    <mergeCell ref="E1249:I1249"/>
    <mergeCell ref="J1249:M1249"/>
    <mergeCell ref="N1249:P1249"/>
    <mergeCell ref="Q1249:R1249"/>
    <mergeCell ref="A1250:B1250"/>
    <mergeCell ref="C1250:D1250"/>
    <mergeCell ref="E1250:I1250"/>
    <mergeCell ref="J1250:M1250"/>
    <mergeCell ref="N1250:P1250"/>
    <mergeCell ref="Q1250:R1250"/>
    <mergeCell ref="A1251:B1251"/>
    <mergeCell ref="C1251:D1251"/>
    <mergeCell ref="E1251:I1251"/>
    <mergeCell ref="J1251:M1251"/>
    <mergeCell ref="N1251:P1251"/>
    <mergeCell ref="Q1251:R1251"/>
    <mergeCell ref="A1252:B1252"/>
    <mergeCell ref="C1252:D1252"/>
    <mergeCell ref="E1252:I1252"/>
    <mergeCell ref="J1252:M1252"/>
    <mergeCell ref="N1252:P1252"/>
    <mergeCell ref="Q1252:R1252"/>
    <mergeCell ref="A1253:B1253"/>
    <mergeCell ref="C1253:D1253"/>
    <mergeCell ref="E1253:I1253"/>
    <mergeCell ref="J1253:M1253"/>
    <mergeCell ref="N1253:P1253"/>
    <mergeCell ref="Q1253:R1253"/>
    <mergeCell ref="A1254:B1254"/>
    <mergeCell ref="C1254:D1254"/>
    <mergeCell ref="E1254:I1254"/>
    <mergeCell ref="J1254:M1254"/>
    <mergeCell ref="N1254:P1254"/>
    <mergeCell ref="Q1254:R1254"/>
    <mergeCell ref="A1255:B1255"/>
    <mergeCell ref="C1255:D1255"/>
    <mergeCell ref="E1255:I1255"/>
    <mergeCell ref="J1255:M1255"/>
    <mergeCell ref="N1255:P1255"/>
    <mergeCell ref="Q1255:R1255"/>
    <mergeCell ref="A1256:B1256"/>
    <mergeCell ref="C1256:D1256"/>
    <mergeCell ref="E1256:I1256"/>
    <mergeCell ref="J1256:M1256"/>
    <mergeCell ref="N1256:P1256"/>
    <mergeCell ref="Q1256:R1256"/>
    <mergeCell ref="A1257:B1257"/>
    <mergeCell ref="C1257:D1257"/>
    <mergeCell ref="E1257:I1257"/>
    <mergeCell ref="J1257:M1257"/>
    <mergeCell ref="N1257:P1257"/>
    <mergeCell ref="Q1257:R1257"/>
    <mergeCell ref="A1258:B1258"/>
    <mergeCell ref="C1258:D1258"/>
    <mergeCell ref="E1258:I1258"/>
    <mergeCell ref="J1258:M1258"/>
    <mergeCell ref="N1258:P1258"/>
    <mergeCell ref="Q1258:R1258"/>
    <mergeCell ref="A1259:B1259"/>
    <mergeCell ref="C1259:D1259"/>
    <mergeCell ref="E1259:I1259"/>
    <mergeCell ref="J1259:M1259"/>
    <mergeCell ref="N1259:P1259"/>
    <mergeCell ref="Q1259:R1259"/>
    <mergeCell ref="A1260:B1260"/>
    <mergeCell ref="C1260:D1260"/>
    <mergeCell ref="E1260:I1260"/>
    <mergeCell ref="J1260:M1260"/>
    <mergeCell ref="N1260:P1260"/>
    <mergeCell ref="Q1260:R1260"/>
    <mergeCell ref="A1261:B1261"/>
    <mergeCell ref="C1261:D1261"/>
    <mergeCell ref="E1261:I1261"/>
    <mergeCell ref="J1261:M1261"/>
    <mergeCell ref="N1261:P1261"/>
    <mergeCell ref="Q1261:R1261"/>
    <mergeCell ref="A1262:B1262"/>
    <mergeCell ref="C1262:D1262"/>
    <mergeCell ref="E1262:I1262"/>
    <mergeCell ref="J1262:M1262"/>
    <mergeCell ref="N1262:P1262"/>
    <mergeCell ref="Q1262:R1262"/>
    <mergeCell ref="A1263:B1263"/>
    <mergeCell ref="C1263:D1263"/>
    <mergeCell ref="E1263:I1263"/>
    <mergeCell ref="J1263:M1263"/>
    <mergeCell ref="N1263:P1263"/>
    <mergeCell ref="Q1263:R1263"/>
    <mergeCell ref="A1264:B1264"/>
    <mergeCell ref="C1264:D1264"/>
    <mergeCell ref="E1264:I1264"/>
    <mergeCell ref="J1264:M1264"/>
    <mergeCell ref="N1264:P1264"/>
    <mergeCell ref="Q1264:R1264"/>
    <mergeCell ref="A1265:B1265"/>
    <mergeCell ref="C1265:D1265"/>
    <mergeCell ref="E1265:I1265"/>
    <mergeCell ref="J1265:M1265"/>
    <mergeCell ref="N1265:P1265"/>
    <mergeCell ref="Q1265:R1265"/>
    <mergeCell ref="A1266:B1266"/>
    <mergeCell ref="C1266:D1266"/>
    <mergeCell ref="E1266:I1266"/>
    <mergeCell ref="J1266:M1266"/>
    <mergeCell ref="N1266:P1266"/>
    <mergeCell ref="Q1266:R1266"/>
    <mergeCell ref="A1267:B1267"/>
    <mergeCell ref="C1267:D1267"/>
    <mergeCell ref="E1267:I1267"/>
    <mergeCell ref="J1267:M1267"/>
    <mergeCell ref="N1267:P1267"/>
    <mergeCell ref="Q1267:R1267"/>
    <mergeCell ref="A1268:B1268"/>
    <mergeCell ref="C1268:D1268"/>
    <mergeCell ref="E1268:I1268"/>
    <mergeCell ref="J1268:M1268"/>
    <mergeCell ref="N1268:P1268"/>
    <mergeCell ref="Q1268:R1268"/>
    <mergeCell ref="A1269:B1269"/>
    <mergeCell ref="C1269:D1269"/>
    <mergeCell ref="E1269:I1269"/>
    <mergeCell ref="J1269:M1269"/>
    <mergeCell ref="N1269:P1269"/>
    <mergeCell ref="Q1269:R1269"/>
    <mergeCell ref="A1270:B1270"/>
    <mergeCell ref="C1270:D1270"/>
    <mergeCell ref="E1270:I1270"/>
    <mergeCell ref="J1270:M1270"/>
    <mergeCell ref="N1270:P1270"/>
    <mergeCell ref="Q1270:R1270"/>
    <mergeCell ref="A1271:B1271"/>
    <mergeCell ref="C1271:D1271"/>
    <mergeCell ref="E1271:I1271"/>
    <mergeCell ref="J1271:M1271"/>
    <mergeCell ref="N1271:P1271"/>
    <mergeCell ref="Q1271:R1271"/>
    <mergeCell ref="A1272:B1272"/>
    <mergeCell ref="C1272:D1272"/>
    <mergeCell ref="E1272:I1272"/>
    <mergeCell ref="J1272:M1272"/>
    <mergeCell ref="N1272:P1272"/>
    <mergeCell ref="Q1272:R1272"/>
    <mergeCell ref="A1273:B1273"/>
    <mergeCell ref="C1273:D1273"/>
    <mergeCell ref="E1273:I1273"/>
    <mergeCell ref="J1273:M1273"/>
    <mergeCell ref="N1273:P1273"/>
    <mergeCell ref="Q1273:R1273"/>
    <mergeCell ref="A1274:B1274"/>
    <mergeCell ref="C1274:D1274"/>
    <mergeCell ref="E1274:I1274"/>
    <mergeCell ref="J1274:M1274"/>
    <mergeCell ref="N1274:P1274"/>
    <mergeCell ref="Q1274:R1274"/>
    <mergeCell ref="A1275:B1275"/>
    <mergeCell ref="C1275:D1275"/>
    <mergeCell ref="E1275:I1275"/>
    <mergeCell ref="J1275:M1275"/>
    <mergeCell ref="N1275:P1275"/>
    <mergeCell ref="Q1275:R1275"/>
    <mergeCell ref="A1276:B1276"/>
    <mergeCell ref="C1276:D1276"/>
    <mergeCell ref="E1276:I1276"/>
    <mergeCell ref="J1276:M1276"/>
    <mergeCell ref="N1276:P1276"/>
    <mergeCell ref="Q1276:R1276"/>
    <mergeCell ref="A1277:B1277"/>
    <mergeCell ref="C1277:D1277"/>
    <mergeCell ref="E1277:I1277"/>
    <mergeCell ref="J1277:M1277"/>
    <mergeCell ref="N1277:P1277"/>
    <mergeCell ref="Q1277:R1277"/>
    <mergeCell ref="A1278:B1278"/>
    <mergeCell ref="C1278:D1278"/>
    <mergeCell ref="E1278:I1278"/>
    <mergeCell ref="J1278:M1278"/>
    <mergeCell ref="N1278:P1278"/>
    <mergeCell ref="Q1278:R1278"/>
    <mergeCell ref="A1279:B1279"/>
    <mergeCell ref="C1279:D1279"/>
    <mergeCell ref="E1279:I1279"/>
    <mergeCell ref="J1279:M1279"/>
    <mergeCell ref="N1279:P1279"/>
    <mergeCell ref="Q1279:R1279"/>
    <mergeCell ref="A1280:B1280"/>
    <mergeCell ref="C1280:D1280"/>
    <mergeCell ref="E1280:I1280"/>
    <mergeCell ref="J1280:M1280"/>
    <mergeCell ref="N1280:P1280"/>
    <mergeCell ref="Q1280:R1280"/>
    <mergeCell ref="A1281:B1281"/>
    <mergeCell ref="C1281:D1281"/>
    <mergeCell ref="E1281:I1281"/>
    <mergeCell ref="J1281:M1281"/>
    <mergeCell ref="N1281:P1281"/>
    <mergeCell ref="Q1281:R1281"/>
    <mergeCell ref="A1282:B1282"/>
    <mergeCell ref="C1282:D1282"/>
    <mergeCell ref="E1282:I1282"/>
    <mergeCell ref="J1282:M1282"/>
    <mergeCell ref="N1282:P1282"/>
    <mergeCell ref="Q1282:R1282"/>
    <mergeCell ref="A1283:B1283"/>
    <mergeCell ref="C1283:D1283"/>
    <mergeCell ref="E1283:I1283"/>
    <mergeCell ref="J1283:M1283"/>
    <mergeCell ref="N1283:P1283"/>
    <mergeCell ref="Q1283:R1283"/>
    <mergeCell ref="A1284:B1284"/>
    <mergeCell ref="C1284:D1284"/>
    <mergeCell ref="E1284:I1284"/>
    <mergeCell ref="J1284:M1284"/>
    <mergeCell ref="N1284:P1284"/>
    <mergeCell ref="Q1284:R1284"/>
    <mergeCell ref="A1285:B1285"/>
    <mergeCell ref="C1285:D1285"/>
    <mergeCell ref="E1285:I1285"/>
    <mergeCell ref="J1285:M1285"/>
    <mergeCell ref="N1285:P1285"/>
    <mergeCell ref="Q1285:R1285"/>
    <mergeCell ref="A1286:B1286"/>
    <mergeCell ref="C1286:D1286"/>
    <mergeCell ref="E1286:I1286"/>
    <mergeCell ref="J1286:M1286"/>
    <mergeCell ref="N1286:P1286"/>
    <mergeCell ref="Q1286:R1286"/>
    <mergeCell ref="A1287:B1287"/>
    <mergeCell ref="C1287:D1287"/>
    <mergeCell ref="E1287:I1287"/>
    <mergeCell ref="J1287:M1287"/>
    <mergeCell ref="N1287:P1287"/>
    <mergeCell ref="Q1287:R1287"/>
    <mergeCell ref="A1288:B1288"/>
    <mergeCell ref="C1288:D1288"/>
    <mergeCell ref="E1288:I1288"/>
    <mergeCell ref="J1288:M1288"/>
    <mergeCell ref="N1288:P1288"/>
    <mergeCell ref="Q1288:R1288"/>
    <mergeCell ref="A1289:B1289"/>
    <mergeCell ref="C1289:D1289"/>
    <mergeCell ref="E1289:I1289"/>
    <mergeCell ref="J1289:M1289"/>
    <mergeCell ref="N1289:P1289"/>
    <mergeCell ref="Q1289:R1289"/>
    <mergeCell ref="A1290:B1290"/>
    <mergeCell ref="C1290:D1290"/>
    <mergeCell ref="E1290:I1290"/>
    <mergeCell ref="J1290:M1290"/>
    <mergeCell ref="N1290:P1290"/>
    <mergeCell ref="Q1290:R1290"/>
    <mergeCell ref="A1291:B1291"/>
    <mergeCell ref="C1291:D1291"/>
    <mergeCell ref="E1291:I1291"/>
    <mergeCell ref="J1291:M1291"/>
    <mergeCell ref="N1291:P1291"/>
    <mergeCell ref="Q1291:R1291"/>
    <mergeCell ref="A1292:B1292"/>
    <mergeCell ref="C1292:D1292"/>
    <mergeCell ref="E1292:I1292"/>
    <mergeCell ref="J1292:M1292"/>
    <mergeCell ref="N1292:P1292"/>
    <mergeCell ref="Q1292:R1292"/>
    <mergeCell ref="A1293:B1293"/>
    <mergeCell ref="C1293:D1293"/>
    <mergeCell ref="E1293:I1293"/>
    <mergeCell ref="J1293:M1293"/>
    <mergeCell ref="N1293:P1293"/>
    <mergeCell ref="Q1293:R1293"/>
    <mergeCell ref="A1294:B1294"/>
    <mergeCell ref="C1294:D1294"/>
    <mergeCell ref="E1294:I1294"/>
    <mergeCell ref="J1294:M1294"/>
    <mergeCell ref="N1294:P1294"/>
    <mergeCell ref="Q1294:R1294"/>
    <mergeCell ref="A1295:B1295"/>
    <mergeCell ref="C1295:D1295"/>
    <mergeCell ref="E1295:I1295"/>
    <mergeCell ref="J1295:M1295"/>
    <mergeCell ref="N1295:P1295"/>
    <mergeCell ref="Q1295:R1295"/>
    <mergeCell ref="A1296:B1296"/>
    <mergeCell ref="C1296:D1296"/>
    <mergeCell ref="E1296:I1296"/>
    <mergeCell ref="J1296:M1296"/>
    <mergeCell ref="N1296:P1296"/>
    <mergeCell ref="Q1296:R1296"/>
    <mergeCell ref="A1297:B1297"/>
    <mergeCell ref="C1297:D1297"/>
    <mergeCell ref="E1297:I1297"/>
    <mergeCell ref="J1297:M1297"/>
    <mergeCell ref="N1297:P1297"/>
    <mergeCell ref="Q1297:R1297"/>
    <mergeCell ref="A1298:B1298"/>
    <mergeCell ref="C1298:D1298"/>
    <mergeCell ref="E1298:I1298"/>
    <mergeCell ref="J1298:M1298"/>
    <mergeCell ref="N1298:P1298"/>
    <mergeCell ref="Q1298:R1298"/>
    <mergeCell ref="A1299:B1299"/>
    <mergeCell ref="C1299:D1299"/>
    <mergeCell ref="E1299:I1299"/>
    <mergeCell ref="J1299:M1299"/>
    <mergeCell ref="N1299:P1299"/>
    <mergeCell ref="Q1299:R1299"/>
    <mergeCell ref="A1300:B1300"/>
    <mergeCell ref="C1300:D1300"/>
    <mergeCell ref="E1300:I1300"/>
    <mergeCell ref="J1300:M1300"/>
    <mergeCell ref="N1300:P1300"/>
    <mergeCell ref="Q1300:R1300"/>
    <mergeCell ref="A1301:B1301"/>
    <mergeCell ref="C1301:D1301"/>
    <mergeCell ref="E1301:I1301"/>
    <mergeCell ref="J1301:M1301"/>
    <mergeCell ref="N1301:P1301"/>
    <mergeCell ref="Q1301:R1301"/>
    <mergeCell ref="A1302:B1302"/>
    <mergeCell ref="C1302:D1302"/>
    <mergeCell ref="E1302:I1302"/>
    <mergeCell ref="J1302:M1302"/>
    <mergeCell ref="N1302:P1302"/>
    <mergeCell ref="Q1302:R1302"/>
    <mergeCell ref="A1303:B1303"/>
    <mergeCell ref="C1303:D1303"/>
    <mergeCell ref="E1303:I1303"/>
    <mergeCell ref="J1303:M1303"/>
    <mergeCell ref="N1303:P1303"/>
    <mergeCell ref="Q1303:R1303"/>
    <mergeCell ref="A1304:B1304"/>
    <mergeCell ref="C1304:D1304"/>
    <mergeCell ref="E1304:I1304"/>
    <mergeCell ref="J1304:M1304"/>
    <mergeCell ref="N1304:P1304"/>
    <mergeCell ref="Q1304:R1304"/>
    <mergeCell ref="A1305:B1305"/>
    <mergeCell ref="C1305:D1305"/>
    <mergeCell ref="E1305:I1305"/>
    <mergeCell ref="J1305:M1305"/>
    <mergeCell ref="N1305:P1305"/>
    <mergeCell ref="Q1305:R1305"/>
    <mergeCell ref="A1306:B1306"/>
    <mergeCell ref="C1306:D1306"/>
    <mergeCell ref="E1306:I1306"/>
    <mergeCell ref="J1306:M1306"/>
    <mergeCell ref="N1306:P1306"/>
    <mergeCell ref="Q1306:R1306"/>
    <mergeCell ref="A1307:B1307"/>
    <mergeCell ref="C1307:D1307"/>
    <mergeCell ref="E1307:I1307"/>
    <mergeCell ref="J1307:M1307"/>
    <mergeCell ref="N1307:P1307"/>
    <mergeCell ref="Q1307:R1307"/>
    <mergeCell ref="A1308:B1308"/>
    <mergeCell ref="C1308:D1308"/>
    <mergeCell ref="E1308:I1308"/>
    <mergeCell ref="J1308:M1308"/>
    <mergeCell ref="N1308:P1308"/>
    <mergeCell ref="Q1308:R1308"/>
    <mergeCell ref="A1309:B1309"/>
    <mergeCell ref="C1309:D1309"/>
    <mergeCell ref="E1309:I1309"/>
    <mergeCell ref="J1309:M1309"/>
    <mergeCell ref="N1309:P1309"/>
    <mergeCell ref="Q1309:R1309"/>
    <mergeCell ref="A1310:B1310"/>
    <mergeCell ref="C1310:D1310"/>
    <mergeCell ref="E1310:I1310"/>
    <mergeCell ref="J1310:M1310"/>
    <mergeCell ref="N1310:P1310"/>
    <mergeCell ref="Q1310:R1310"/>
    <mergeCell ref="A1311:B1311"/>
    <mergeCell ref="C1311:D1311"/>
    <mergeCell ref="E1311:I1311"/>
    <mergeCell ref="J1311:M1311"/>
    <mergeCell ref="N1311:P1311"/>
    <mergeCell ref="Q1311:R1311"/>
    <mergeCell ref="A1312:B1312"/>
    <mergeCell ref="C1312:D1312"/>
    <mergeCell ref="E1312:I1312"/>
    <mergeCell ref="J1312:M1312"/>
    <mergeCell ref="N1312:P1312"/>
    <mergeCell ref="Q1312:R1312"/>
    <mergeCell ref="A1313:B1313"/>
    <mergeCell ref="C1313:D1313"/>
    <mergeCell ref="E1313:I1313"/>
    <mergeCell ref="J1313:M1313"/>
    <mergeCell ref="N1313:P1313"/>
    <mergeCell ref="Q1313:R1313"/>
    <mergeCell ref="A1314:B1314"/>
    <mergeCell ref="C1314:D1314"/>
    <mergeCell ref="E1314:I1314"/>
    <mergeCell ref="J1314:M1314"/>
    <mergeCell ref="N1314:P1314"/>
    <mergeCell ref="Q1314:R1314"/>
    <mergeCell ref="A1315:B1315"/>
    <mergeCell ref="C1315:D1315"/>
    <mergeCell ref="E1315:I1315"/>
    <mergeCell ref="J1315:M1315"/>
    <mergeCell ref="N1315:P1315"/>
    <mergeCell ref="Q1315:R1315"/>
    <mergeCell ref="A1316:B1316"/>
    <mergeCell ref="C1316:D1316"/>
    <mergeCell ref="E1316:I1316"/>
    <mergeCell ref="J1316:M1316"/>
    <mergeCell ref="N1316:P1316"/>
    <mergeCell ref="Q1316:R1316"/>
    <mergeCell ref="A1317:B1317"/>
    <mergeCell ref="C1317:D1317"/>
    <mergeCell ref="E1317:I1317"/>
    <mergeCell ref="J1317:M1317"/>
    <mergeCell ref="N1317:P1317"/>
    <mergeCell ref="Q1317:R1317"/>
    <mergeCell ref="A1318:B1318"/>
    <mergeCell ref="C1318:D1318"/>
    <mergeCell ref="E1318:I1318"/>
    <mergeCell ref="J1318:M1318"/>
    <mergeCell ref="N1318:P1318"/>
    <mergeCell ref="Q1318:R1318"/>
    <mergeCell ref="A1319:B1319"/>
    <mergeCell ref="C1319:D1319"/>
    <mergeCell ref="E1319:I1319"/>
    <mergeCell ref="J1319:M1319"/>
    <mergeCell ref="N1319:P1319"/>
    <mergeCell ref="Q1319:R1319"/>
    <mergeCell ref="A1320:B1320"/>
    <mergeCell ref="C1320:D1320"/>
    <mergeCell ref="E1320:I1320"/>
    <mergeCell ref="J1320:M1320"/>
    <mergeCell ref="N1320:P1320"/>
    <mergeCell ref="Q1320:R1320"/>
    <mergeCell ref="A1321:B1321"/>
    <mergeCell ref="C1321:D1321"/>
    <mergeCell ref="E1321:I1321"/>
    <mergeCell ref="J1321:M1321"/>
    <mergeCell ref="N1321:P1321"/>
    <mergeCell ref="Q1321:R1321"/>
    <mergeCell ref="A1322:B1322"/>
    <mergeCell ref="C1322:D1322"/>
    <mergeCell ref="E1322:I1322"/>
    <mergeCell ref="J1322:M1322"/>
    <mergeCell ref="N1322:P1322"/>
    <mergeCell ref="Q1322:R1322"/>
    <mergeCell ref="A1323:B1323"/>
    <mergeCell ref="C1323:D1323"/>
    <mergeCell ref="E1323:I1323"/>
    <mergeCell ref="J1323:M1323"/>
    <mergeCell ref="N1323:P1323"/>
    <mergeCell ref="Q1323:R1323"/>
    <mergeCell ref="A1324:B1324"/>
    <mergeCell ref="C1324:D1324"/>
    <mergeCell ref="E1324:I1324"/>
    <mergeCell ref="J1324:M1324"/>
    <mergeCell ref="N1324:P1324"/>
    <mergeCell ref="Q1324:R1324"/>
    <mergeCell ref="A1325:B1325"/>
    <mergeCell ref="C1325:D1325"/>
    <mergeCell ref="E1325:I1325"/>
    <mergeCell ref="J1325:M1325"/>
    <mergeCell ref="N1325:P1325"/>
    <mergeCell ref="Q1325:R1325"/>
    <mergeCell ref="A1326:B1326"/>
    <mergeCell ref="C1326:D1326"/>
    <mergeCell ref="E1326:I1326"/>
    <mergeCell ref="J1326:M1326"/>
    <mergeCell ref="N1326:P1326"/>
    <mergeCell ref="Q1326:R1326"/>
    <mergeCell ref="A1327:B1327"/>
    <mergeCell ref="C1327:D1327"/>
    <mergeCell ref="E1327:I1327"/>
    <mergeCell ref="J1327:M1327"/>
    <mergeCell ref="N1327:P1327"/>
    <mergeCell ref="Q1327:R1327"/>
    <mergeCell ref="A1328:B1328"/>
    <mergeCell ref="C1328:D1328"/>
    <mergeCell ref="E1328:I1328"/>
    <mergeCell ref="J1328:M1328"/>
    <mergeCell ref="N1328:P1328"/>
    <mergeCell ref="Q1328:R1328"/>
    <mergeCell ref="A1329:B1329"/>
    <mergeCell ref="C1329:D1329"/>
    <mergeCell ref="E1329:I1329"/>
    <mergeCell ref="J1329:M1329"/>
    <mergeCell ref="N1329:P1329"/>
    <mergeCell ref="Q1329:R1329"/>
    <mergeCell ref="A1330:B1330"/>
    <mergeCell ref="C1330:D1330"/>
    <mergeCell ref="E1330:I1330"/>
    <mergeCell ref="J1330:M1330"/>
    <mergeCell ref="N1330:P1330"/>
    <mergeCell ref="Q1330:R1330"/>
    <mergeCell ref="A1331:B1331"/>
    <mergeCell ref="C1331:D1331"/>
    <mergeCell ref="E1331:I1331"/>
    <mergeCell ref="J1331:M1331"/>
    <mergeCell ref="N1331:P1331"/>
    <mergeCell ref="Q1331:R1331"/>
    <mergeCell ref="A1332:B1332"/>
    <mergeCell ref="C1332:D1332"/>
    <mergeCell ref="E1332:I1332"/>
    <mergeCell ref="J1332:M1332"/>
    <mergeCell ref="N1332:P1332"/>
    <mergeCell ref="Q1332:R1332"/>
    <mergeCell ref="A1333:B1333"/>
    <mergeCell ref="C1333:D1333"/>
    <mergeCell ref="E1333:I1333"/>
    <mergeCell ref="J1333:M1333"/>
    <mergeCell ref="N1333:P1333"/>
    <mergeCell ref="Q1333:R1333"/>
    <mergeCell ref="A1334:B1334"/>
    <mergeCell ref="C1334:D1334"/>
    <mergeCell ref="E1334:I1334"/>
    <mergeCell ref="J1334:M1334"/>
    <mergeCell ref="N1334:P1334"/>
    <mergeCell ref="Q1334:R1334"/>
    <mergeCell ref="A1335:B1335"/>
    <mergeCell ref="C1335:D1335"/>
    <mergeCell ref="E1335:I1335"/>
    <mergeCell ref="J1335:M1335"/>
    <mergeCell ref="N1335:P1335"/>
    <mergeCell ref="Q1335:R1335"/>
    <mergeCell ref="A1336:B1336"/>
    <mergeCell ref="C1336:D1336"/>
    <mergeCell ref="E1336:I1336"/>
    <mergeCell ref="J1336:M1336"/>
    <mergeCell ref="N1336:P1336"/>
    <mergeCell ref="Q1336:R1336"/>
    <mergeCell ref="A1337:B1337"/>
    <mergeCell ref="C1337:D1337"/>
    <mergeCell ref="E1337:I1337"/>
    <mergeCell ref="J1337:M1337"/>
    <mergeCell ref="N1337:P1337"/>
    <mergeCell ref="Q1337:R1337"/>
    <mergeCell ref="A1338:B1338"/>
    <mergeCell ref="C1338:D1338"/>
    <mergeCell ref="E1338:I1338"/>
    <mergeCell ref="J1338:M1338"/>
    <mergeCell ref="N1338:P1338"/>
    <mergeCell ref="Q1338:R1338"/>
    <mergeCell ref="A1339:B1339"/>
    <mergeCell ref="C1339:D1339"/>
    <mergeCell ref="E1339:I1339"/>
    <mergeCell ref="J1339:M1339"/>
    <mergeCell ref="N1339:P1339"/>
    <mergeCell ref="Q1339:R1339"/>
    <mergeCell ref="A1340:B1340"/>
    <mergeCell ref="C1340:D1340"/>
    <mergeCell ref="E1340:I1340"/>
    <mergeCell ref="J1340:M1340"/>
    <mergeCell ref="N1340:P1340"/>
    <mergeCell ref="Q1340:R1340"/>
    <mergeCell ref="A1341:B1341"/>
    <mergeCell ref="C1341:D1341"/>
    <mergeCell ref="E1341:I1341"/>
    <mergeCell ref="J1341:M1341"/>
    <mergeCell ref="N1341:P1341"/>
    <mergeCell ref="Q1341:R1341"/>
    <mergeCell ref="A1342:B1342"/>
    <mergeCell ref="C1342:D1342"/>
    <mergeCell ref="E1342:I1342"/>
    <mergeCell ref="J1342:M1342"/>
    <mergeCell ref="N1342:P1342"/>
    <mergeCell ref="Q1342:R1342"/>
    <mergeCell ref="A1343:B1343"/>
    <mergeCell ref="C1343:D1343"/>
    <mergeCell ref="E1343:I1343"/>
    <mergeCell ref="J1343:M1343"/>
    <mergeCell ref="N1343:P1343"/>
    <mergeCell ref="Q1343:R1343"/>
    <mergeCell ref="A1344:B1344"/>
    <mergeCell ref="C1344:D1344"/>
    <mergeCell ref="E1344:I1344"/>
    <mergeCell ref="J1344:M1344"/>
    <mergeCell ref="N1344:P1344"/>
    <mergeCell ref="Q1344:R1344"/>
    <mergeCell ref="A1345:B1345"/>
    <mergeCell ref="C1345:D1345"/>
    <mergeCell ref="E1345:I1345"/>
    <mergeCell ref="J1345:M1345"/>
    <mergeCell ref="N1345:P1345"/>
    <mergeCell ref="Q1345:R1345"/>
    <mergeCell ref="A1346:B1346"/>
    <mergeCell ref="C1346:D1346"/>
    <mergeCell ref="E1346:I1346"/>
    <mergeCell ref="J1346:M1346"/>
    <mergeCell ref="N1346:P1346"/>
    <mergeCell ref="Q1346:R1346"/>
    <mergeCell ref="A1347:B1347"/>
    <mergeCell ref="C1347:D1347"/>
    <mergeCell ref="E1347:I1347"/>
    <mergeCell ref="J1347:M1347"/>
    <mergeCell ref="N1347:P1347"/>
    <mergeCell ref="Q1347:R1347"/>
    <mergeCell ref="A1348:B1348"/>
    <mergeCell ref="C1348:D1348"/>
    <mergeCell ref="E1348:I1348"/>
    <mergeCell ref="J1348:M1348"/>
    <mergeCell ref="N1348:P1348"/>
    <mergeCell ref="Q1348:R1348"/>
    <mergeCell ref="A1349:B1349"/>
    <mergeCell ref="C1349:D1349"/>
    <mergeCell ref="E1349:I1349"/>
    <mergeCell ref="J1349:M1349"/>
    <mergeCell ref="N1349:P1349"/>
    <mergeCell ref="Q1349:R1349"/>
    <mergeCell ref="A1350:B1350"/>
    <mergeCell ref="C1350:D1350"/>
    <mergeCell ref="E1350:I1350"/>
    <mergeCell ref="J1350:M1350"/>
    <mergeCell ref="N1350:P1350"/>
    <mergeCell ref="Q1350:R1350"/>
    <mergeCell ref="A1351:B1351"/>
    <mergeCell ref="C1351:D1351"/>
    <mergeCell ref="E1351:I1351"/>
    <mergeCell ref="J1351:M1351"/>
    <mergeCell ref="N1351:P1351"/>
    <mergeCell ref="Q1351:R1351"/>
    <mergeCell ref="A1352:B1352"/>
    <mergeCell ref="C1352:D1352"/>
    <mergeCell ref="E1352:I1352"/>
    <mergeCell ref="J1352:M1352"/>
    <mergeCell ref="N1352:P1352"/>
    <mergeCell ref="Q1352:R1352"/>
    <mergeCell ref="A1353:B1353"/>
    <mergeCell ref="C1353:D1353"/>
    <mergeCell ref="E1353:I1353"/>
    <mergeCell ref="J1353:M1353"/>
    <mergeCell ref="N1353:P1353"/>
    <mergeCell ref="Q1353:R1353"/>
    <mergeCell ref="A1354:B1354"/>
    <mergeCell ref="C1354:D1354"/>
    <mergeCell ref="E1354:I1354"/>
    <mergeCell ref="J1354:M1354"/>
    <mergeCell ref="N1354:P1354"/>
    <mergeCell ref="Q1354:R1354"/>
    <mergeCell ref="A1355:B1355"/>
    <mergeCell ref="C1355:D1355"/>
    <mergeCell ref="E1355:I1355"/>
    <mergeCell ref="J1355:M1355"/>
    <mergeCell ref="N1355:P1355"/>
    <mergeCell ref="Q1355:R1355"/>
    <mergeCell ref="A1356:B1356"/>
    <mergeCell ref="C1356:D1356"/>
    <mergeCell ref="E1356:I1356"/>
    <mergeCell ref="J1356:M1356"/>
    <mergeCell ref="N1356:P1356"/>
    <mergeCell ref="Q1356:R1356"/>
    <mergeCell ref="A1357:B1357"/>
    <mergeCell ref="C1357:D1357"/>
    <mergeCell ref="E1357:I1357"/>
    <mergeCell ref="J1357:M1357"/>
    <mergeCell ref="N1357:P1357"/>
    <mergeCell ref="Q1357:R1357"/>
    <mergeCell ref="A1358:B1358"/>
    <mergeCell ref="C1358:D1358"/>
    <mergeCell ref="E1358:I1358"/>
    <mergeCell ref="J1358:M1358"/>
    <mergeCell ref="N1358:P1358"/>
    <mergeCell ref="Q1358:R1358"/>
    <mergeCell ref="A1359:B1359"/>
    <mergeCell ref="C1359:D1359"/>
    <mergeCell ref="E1359:I1359"/>
    <mergeCell ref="J1359:M1359"/>
    <mergeCell ref="N1359:P1359"/>
    <mergeCell ref="Q1359:R1359"/>
    <mergeCell ref="A1360:B1360"/>
    <mergeCell ref="C1360:D1360"/>
    <mergeCell ref="E1360:I1360"/>
    <mergeCell ref="J1360:M1360"/>
    <mergeCell ref="N1360:P1360"/>
    <mergeCell ref="Q1360:R1360"/>
    <mergeCell ref="A1361:B1361"/>
    <mergeCell ref="C1361:D1361"/>
    <mergeCell ref="E1361:I1361"/>
    <mergeCell ref="J1361:M1361"/>
    <mergeCell ref="N1361:P1361"/>
    <mergeCell ref="Q1361:R1361"/>
    <mergeCell ref="A1362:B1362"/>
    <mergeCell ref="C1362:D1362"/>
    <mergeCell ref="E1362:I1362"/>
    <mergeCell ref="J1362:M1362"/>
    <mergeCell ref="N1362:P1362"/>
    <mergeCell ref="Q1362:R1362"/>
    <mergeCell ref="A1363:B1363"/>
    <mergeCell ref="C1363:D1363"/>
    <mergeCell ref="E1363:I1363"/>
    <mergeCell ref="J1363:M1363"/>
    <mergeCell ref="N1363:P1363"/>
    <mergeCell ref="Q1363:R1363"/>
    <mergeCell ref="A1364:B1364"/>
    <mergeCell ref="C1364:D1364"/>
    <mergeCell ref="E1364:I1364"/>
    <mergeCell ref="J1364:M1364"/>
    <mergeCell ref="N1364:P1364"/>
    <mergeCell ref="Q1364:R1364"/>
    <mergeCell ref="A1365:B1365"/>
    <mergeCell ref="C1365:D1365"/>
    <mergeCell ref="E1365:I1365"/>
    <mergeCell ref="J1365:M1365"/>
    <mergeCell ref="N1365:P1365"/>
    <mergeCell ref="Q1365:R1365"/>
    <mergeCell ref="A1366:B1366"/>
    <mergeCell ref="C1366:D1366"/>
    <mergeCell ref="E1366:I1366"/>
    <mergeCell ref="J1366:M1366"/>
    <mergeCell ref="N1366:P1366"/>
    <mergeCell ref="Q1366:R1366"/>
    <mergeCell ref="A1367:B1367"/>
    <mergeCell ref="C1367:D1367"/>
    <mergeCell ref="E1367:I1367"/>
    <mergeCell ref="J1367:M1367"/>
    <mergeCell ref="N1367:P1367"/>
    <mergeCell ref="Q1367:R1367"/>
    <mergeCell ref="A1368:B1368"/>
    <mergeCell ref="C1368:D1368"/>
    <mergeCell ref="E1368:I1368"/>
    <mergeCell ref="J1368:M1368"/>
    <mergeCell ref="N1368:P1368"/>
    <mergeCell ref="Q1368:R1368"/>
    <mergeCell ref="A1369:B1369"/>
    <mergeCell ref="C1369:D1369"/>
    <mergeCell ref="E1369:I1369"/>
    <mergeCell ref="J1369:M1369"/>
    <mergeCell ref="N1369:P1369"/>
    <mergeCell ref="Q1369:R1369"/>
    <mergeCell ref="A1370:B1370"/>
    <mergeCell ref="C1370:D1370"/>
    <mergeCell ref="E1370:I1370"/>
    <mergeCell ref="J1370:M1370"/>
    <mergeCell ref="N1370:P1370"/>
    <mergeCell ref="Q1370:R1370"/>
    <mergeCell ref="A1371:B1371"/>
    <mergeCell ref="C1371:D1371"/>
    <mergeCell ref="E1371:I1371"/>
    <mergeCell ref="J1371:M1371"/>
    <mergeCell ref="N1371:P1371"/>
    <mergeCell ref="Q1371:R1371"/>
    <mergeCell ref="A1372:B1372"/>
    <mergeCell ref="C1372:D1372"/>
    <mergeCell ref="E1372:I1372"/>
    <mergeCell ref="J1372:M1372"/>
    <mergeCell ref="N1372:P1372"/>
    <mergeCell ref="Q1372:R1372"/>
    <mergeCell ref="A1373:B1373"/>
    <mergeCell ref="C1373:D1373"/>
    <mergeCell ref="E1373:I1373"/>
    <mergeCell ref="J1373:M1373"/>
    <mergeCell ref="N1373:P1373"/>
    <mergeCell ref="Q1373:R1373"/>
    <mergeCell ref="A1374:B1374"/>
    <mergeCell ref="C1374:D1374"/>
    <mergeCell ref="E1374:I1374"/>
    <mergeCell ref="J1374:M1374"/>
    <mergeCell ref="N1374:P1374"/>
    <mergeCell ref="Q1374:R1374"/>
    <mergeCell ref="A1375:B1375"/>
    <mergeCell ref="C1375:D1375"/>
    <mergeCell ref="E1375:I1375"/>
    <mergeCell ref="J1375:M1375"/>
    <mergeCell ref="N1375:P1375"/>
    <mergeCell ref="Q1375:R1375"/>
    <mergeCell ref="A1376:B1376"/>
    <mergeCell ref="C1376:D1376"/>
    <mergeCell ref="E1376:I1376"/>
    <mergeCell ref="J1376:M1376"/>
    <mergeCell ref="N1376:P1376"/>
    <mergeCell ref="Q1376:R1376"/>
    <mergeCell ref="A1377:B1377"/>
    <mergeCell ref="C1377:D1377"/>
    <mergeCell ref="E1377:I1377"/>
    <mergeCell ref="J1377:M1377"/>
    <mergeCell ref="N1377:P1377"/>
    <mergeCell ref="Q1377:R1377"/>
    <mergeCell ref="A1378:B1378"/>
    <mergeCell ref="C1378:D1378"/>
    <mergeCell ref="E1378:I1378"/>
    <mergeCell ref="J1378:M1378"/>
    <mergeCell ref="N1378:P1378"/>
    <mergeCell ref="Q1378:R1378"/>
    <mergeCell ref="A1379:B1379"/>
    <mergeCell ref="C1379:D1379"/>
    <mergeCell ref="E1379:I1379"/>
    <mergeCell ref="J1379:M1379"/>
    <mergeCell ref="N1379:P1379"/>
    <mergeCell ref="Q1379:R1379"/>
    <mergeCell ref="A1380:B1380"/>
    <mergeCell ref="C1380:D1380"/>
    <mergeCell ref="E1380:I1380"/>
    <mergeCell ref="J1380:M1380"/>
    <mergeCell ref="N1380:P1380"/>
    <mergeCell ref="Q1380:R1380"/>
    <mergeCell ref="A1381:B1381"/>
    <mergeCell ref="C1381:D1381"/>
    <mergeCell ref="E1381:I1381"/>
    <mergeCell ref="J1381:M1381"/>
    <mergeCell ref="N1381:P1381"/>
    <mergeCell ref="Q1381:R1381"/>
    <mergeCell ref="A1382:B1382"/>
    <mergeCell ref="C1382:D1382"/>
    <mergeCell ref="E1382:I1382"/>
    <mergeCell ref="J1382:M1382"/>
    <mergeCell ref="N1382:P1382"/>
    <mergeCell ref="Q1382:R1382"/>
    <mergeCell ref="A1383:B1383"/>
    <mergeCell ref="C1383:D1383"/>
    <mergeCell ref="E1383:I1383"/>
    <mergeCell ref="J1383:M1383"/>
    <mergeCell ref="N1383:P1383"/>
    <mergeCell ref="Q1383:R1383"/>
    <mergeCell ref="A1384:B1384"/>
    <mergeCell ref="C1384:D1384"/>
    <mergeCell ref="E1384:I1384"/>
    <mergeCell ref="J1384:M1384"/>
    <mergeCell ref="N1384:P1384"/>
    <mergeCell ref="Q1384:R1384"/>
    <mergeCell ref="A1385:B1385"/>
    <mergeCell ref="C1385:D1385"/>
    <mergeCell ref="E1385:I1385"/>
    <mergeCell ref="J1385:M1385"/>
    <mergeCell ref="N1385:P1385"/>
    <mergeCell ref="Q1385:R1385"/>
    <mergeCell ref="A1386:B1386"/>
    <mergeCell ref="C1386:D1386"/>
    <mergeCell ref="E1386:I1386"/>
    <mergeCell ref="J1386:M1386"/>
    <mergeCell ref="N1386:P1386"/>
    <mergeCell ref="Q1386:R1386"/>
    <mergeCell ref="A1387:B1387"/>
    <mergeCell ref="C1387:D1387"/>
    <mergeCell ref="E1387:I1387"/>
    <mergeCell ref="J1387:M1387"/>
    <mergeCell ref="N1387:P1387"/>
    <mergeCell ref="Q1387:R1387"/>
    <mergeCell ref="A1388:B1388"/>
    <mergeCell ref="C1388:D1388"/>
    <mergeCell ref="E1388:I1388"/>
    <mergeCell ref="J1388:M1388"/>
    <mergeCell ref="N1388:P1388"/>
    <mergeCell ref="Q1388:R1388"/>
    <mergeCell ref="A1389:B1389"/>
    <mergeCell ref="C1389:D1389"/>
    <mergeCell ref="E1389:I1389"/>
    <mergeCell ref="J1389:M1389"/>
    <mergeCell ref="N1389:P1389"/>
    <mergeCell ref="Q1389:R1389"/>
    <mergeCell ref="A1390:B1390"/>
    <mergeCell ref="C1390:D1390"/>
    <mergeCell ref="E1390:I1390"/>
    <mergeCell ref="J1390:M1390"/>
    <mergeCell ref="N1390:P1390"/>
    <mergeCell ref="Q1390:R1390"/>
    <mergeCell ref="A1391:B1391"/>
    <mergeCell ref="C1391:D1391"/>
    <mergeCell ref="E1391:I1391"/>
    <mergeCell ref="J1391:M1391"/>
    <mergeCell ref="N1391:P1391"/>
    <mergeCell ref="Q1391:R1391"/>
    <mergeCell ref="A1392:B1392"/>
    <mergeCell ref="C1392:D1392"/>
    <mergeCell ref="E1392:I1392"/>
    <mergeCell ref="J1392:M1392"/>
    <mergeCell ref="N1392:P1392"/>
    <mergeCell ref="Q1392:R1392"/>
    <mergeCell ref="A1393:B1393"/>
    <mergeCell ref="C1393:D1393"/>
    <mergeCell ref="E1393:I1393"/>
    <mergeCell ref="J1393:M1393"/>
    <mergeCell ref="N1393:P1393"/>
    <mergeCell ref="Q1393:R1393"/>
    <mergeCell ref="A1394:B1394"/>
    <mergeCell ref="C1394:D1394"/>
    <mergeCell ref="E1394:I1394"/>
    <mergeCell ref="J1394:M1394"/>
    <mergeCell ref="N1394:P1394"/>
    <mergeCell ref="Q1394:R1394"/>
    <mergeCell ref="A1395:B1395"/>
    <mergeCell ref="C1395:D1395"/>
    <mergeCell ref="E1395:I1395"/>
    <mergeCell ref="J1395:M1395"/>
    <mergeCell ref="N1395:P1395"/>
    <mergeCell ref="Q1395:R1395"/>
    <mergeCell ref="A1396:B1396"/>
    <mergeCell ref="C1396:D1396"/>
    <mergeCell ref="E1396:I1396"/>
    <mergeCell ref="J1396:M1396"/>
    <mergeCell ref="N1396:P1396"/>
    <mergeCell ref="Q1396:R1396"/>
    <mergeCell ref="A1397:B1397"/>
    <mergeCell ref="C1397:D1397"/>
    <mergeCell ref="E1397:I1397"/>
    <mergeCell ref="J1397:M1397"/>
    <mergeCell ref="N1397:P1397"/>
    <mergeCell ref="Q1397:R1397"/>
    <mergeCell ref="A1398:B1398"/>
    <mergeCell ref="C1398:D1398"/>
    <mergeCell ref="E1398:I1398"/>
    <mergeCell ref="J1398:M1398"/>
    <mergeCell ref="N1398:P1398"/>
    <mergeCell ref="Q1398:R1398"/>
    <mergeCell ref="A1399:B1399"/>
    <mergeCell ref="C1399:D1399"/>
    <mergeCell ref="E1399:I1399"/>
    <mergeCell ref="J1399:M1399"/>
    <mergeCell ref="N1399:P1399"/>
    <mergeCell ref="Q1399:R1399"/>
    <mergeCell ref="A1400:B1400"/>
    <mergeCell ref="C1400:D1400"/>
    <mergeCell ref="E1400:I1400"/>
    <mergeCell ref="J1400:M1400"/>
    <mergeCell ref="N1400:P1400"/>
    <mergeCell ref="Q1400:R1400"/>
    <mergeCell ref="A1401:B1401"/>
    <mergeCell ref="C1401:D1401"/>
    <mergeCell ref="E1401:I1401"/>
    <mergeCell ref="J1401:M1401"/>
    <mergeCell ref="N1401:P1401"/>
    <mergeCell ref="Q1401:R1401"/>
    <mergeCell ref="A1402:B1402"/>
    <mergeCell ref="C1402:D1402"/>
    <mergeCell ref="E1402:I1402"/>
    <mergeCell ref="J1402:M1402"/>
    <mergeCell ref="N1402:P1402"/>
    <mergeCell ref="Q1402:R1402"/>
    <mergeCell ref="A1403:B1403"/>
    <mergeCell ref="C1403:D1403"/>
    <mergeCell ref="E1403:I1403"/>
    <mergeCell ref="J1403:M1403"/>
    <mergeCell ref="N1403:P1403"/>
    <mergeCell ref="Q1403:R1403"/>
    <mergeCell ref="A1404:B1404"/>
    <mergeCell ref="C1404:D1404"/>
    <mergeCell ref="E1404:I1404"/>
    <mergeCell ref="J1404:M1404"/>
    <mergeCell ref="N1404:P1404"/>
    <mergeCell ref="Q1404:R1404"/>
    <mergeCell ref="A1405:B1405"/>
    <mergeCell ref="C1405:D1405"/>
    <mergeCell ref="E1405:I1405"/>
    <mergeCell ref="J1405:M1405"/>
    <mergeCell ref="N1405:P1405"/>
    <mergeCell ref="Q1405:R1405"/>
    <mergeCell ref="A1406:B1406"/>
    <mergeCell ref="C1406:D1406"/>
    <mergeCell ref="E1406:I1406"/>
    <mergeCell ref="J1406:M1406"/>
    <mergeCell ref="N1406:P1406"/>
    <mergeCell ref="Q1406:R1406"/>
    <mergeCell ref="A1407:B1407"/>
    <mergeCell ref="C1407:D1407"/>
    <mergeCell ref="E1407:I1407"/>
    <mergeCell ref="J1407:M1407"/>
    <mergeCell ref="N1407:P1407"/>
    <mergeCell ref="Q1407:R1407"/>
    <mergeCell ref="A1408:B1408"/>
    <mergeCell ref="C1408:D1408"/>
    <mergeCell ref="E1408:I1408"/>
    <mergeCell ref="J1408:M1408"/>
    <mergeCell ref="N1408:P1408"/>
    <mergeCell ref="Q1408:R1408"/>
    <mergeCell ref="A1409:B1409"/>
    <mergeCell ref="C1409:D1409"/>
    <mergeCell ref="E1409:I1409"/>
    <mergeCell ref="J1409:M1409"/>
    <mergeCell ref="N1409:P1409"/>
    <mergeCell ref="Q1409:R1409"/>
    <mergeCell ref="A1410:B1410"/>
    <mergeCell ref="C1410:D1410"/>
    <mergeCell ref="E1410:I1410"/>
    <mergeCell ref="J1410:M1410"/>
    <mergeCell ref="N1410:P1410"/>
    <mergeCell ref="Q1410:R1410"/>
    <mergeCell ref="A1411:B1411"/>
    <mergeCell ref="C1411:D1411"/>
    <mergeCell ref="E1411:I1411"/>
    <mergeCell ref="J1411:M1411"/>
    <mergeCell ref="N1411:P1411"/>
    <mergeCell ref="Q1411:R1411"/>
    <mergeCell ref="A1412:B1412"/>
    <mergeCell ref="C1412:D1412"/>
    <mergeCell ref="E1412:I1412"/>
    <mergeCell ref="J1412:M1412"/>
    <mergeCell ref="N1412:P1412"/>
    <mergeCell ref="Q1412:R1412"/>
    <mergeCell ref="A1413:B1413"/>
    <mergeCell ref="C1413:D1413"/>
    <mergeCell ref="E1413:I1413"/>
    <mergeCell ref="J1413:M1413"/>
    <mergeCell ref="N1413:P1413"/>
    <mergeCell ref="Q1413:R1413"/>
    <mergeCell ref="A1414:B1414"/>
    <mergeCell ref="C1414:D1414"/>
    <mergeCell ref="E1414:I1414"/>
    <mergeCell ref="J1414:M1414"/>
    <mergeCell ref="N1414:P1414"/>
    <mergeCell ref="Q1414:R1414"/>
    <mergeCell ref="A1415:B1415"/>
    <mergeCell ref="C1415:D1415"/>
    <mergeCell ref="E1415:I1415"/>
    <mergeCell ref="J1415:M1415"/>
    <mergeCell ref="N1415:P1415"/>
    <mergeCell ref="Q1415:R1415"/>
    <mergeCell ref="A1416:B1416"/>
    <mergeCell ref="C1416:D1416"/>
    <mergeCell ref="E1416:I1416"/>
    <mergeCell ref="J1416:M1416"/>
    <mergeCell ref="N1416:P1416"/>
    <mergeCell ref="Q1416:R1416"/>
    <mergeCell ref="A1417:B1417"/>
    <mergeCell ref="C1417:D1417"/>
    <mergeCell ref="E1417:I1417"/>
    <mergeCell ref="J1417:M1417"/>
    <mergeCell ref="N1417:P1417"/>
    <mergeCell ref="Q1417:R1417"/>
    <mergeCell ref="A1418:B1418"/>
    <mergeCell ref="C1418:D1418"/>
    <mergeCell ref="E1418:I1418"/>
    <mergeCell ref="J1418:M1418"/>
    <mergeCell ref="N1418:P1418"/>
    <mergeCell ref="Q1418:R1418"/>
    <mergeCell ref="A1419:B1419"/>
    <mergeCell ref="C1419:D1419"/>
    <mergeCell ref="E1419:I1419"/>
    <mergeCell ref="J1419:M1419"/>
    <mergeCell ref="N1419:P1419"/>
    <mergeCell ref="Q1419:R1419"/>
    <mergeCell ref="A1420:B1420"/>
    <mergeCell ref="C1420:D1420"/>
    <mergeCell ref="E1420:I1420"/>
    <mergeCell ref="J1420:M1420"/>
    <mergeCell ref="N1420:P1420"/>
    <mergeCell ref="Q1420:R1420"/>
    <mergeCell ref="A1421:B1421"/>
    <mergeCell ref="C1421:D1421"/>
    <mergeCell ref="E1421:I1421"/>
    <mergeCell ref="J1421:M1421"/>
    <mergeCell ref="N1421:P1421"/>
    <mergeCell ref="Q1421:R1421"/>
    <mergeCell ref="A1422:B1422"/>
    <mergeCell ref="C1422:D1422"/>
    <mergeCell ref="E1422:I1422"/>
    <mergeCell ref="J1422:M1422"/>
    <mergeCell ref="N1422:P1422"/>
    <mergeCell ref="Q1422:R1422"/>
    <mergeCell ref="A1423:B1423"/>
    <mergeCell ref="C1423:D1423"/>
    <mergeCell ref="E1423:I1423"/>
    <mergeCell ref="J1423:M1423"/>
    <mergeCell ref="N1423:P1423"/>
    <mergeCell ref="Q1423:R1423"/>
    <mergeCell ref="A1424:B1424"/>
    <mergeCell ref="C1424:D1424"/>
    <mergeCell ref="E1424:I1424"/>
    <mergeCell ref="J1424:M1424"/>
    <mergeCell ref="N1424:P1424"/>
    <mergeCell ref="Q1424:R1424"/>
    <mergeCell ref="A1425:B1425"/>
    <mergeCell ref="C1425:D1425"/>
    <mergeCell ref="E1425:I1425"/>
    <mergeCell ref="J1425:M1425"/>
    <mergeCell ref="N1425:P1425"/>
    <mergeCell ref="Q1425:R1425"/>
    <mergeCell ref="A1426:B1426"/>
    <mergeCell ref="C1426:D1426"/>
    <mergeCell ref="E1426:I1426"/>
    <mergeCell ref="J1426:M1426"/>
    <mergeCell ref="N1426:P1426"/>
    <mergeCell ref="Q1426:R1426"/>
    <mergeCell ref="A1427:B1427"/>
    <mergeCell ref="C1427:D1427"/>
    <mergeCell ref="E1427:I1427"/>
    <mergeCell ref="J1427:M1427"/>
    <mergeCell ref="N1427:P1427"/>
    <mergeCell ref="Q1427:R1427"/>
    <mergeCell ref="A1428:B1428"/>
    <mergeCell ref="C1428:D1428"/>
    <mergeCell ref="E1428:I1428"/>
    <mergeCell ref="J1428:M1428"/>
    <mergeCell ref="N1428:P1428"/>
    <mergeCell ref="Q1428:R1428"/>
    <mergeCell ref="A1429:B1429"/>
    <mergeCell ref="C1429:D1429"/>
    <mergeCell ref="E1429:I1429"/>
    <mergeCell ref="J1429:M1429"/>
    <mergeCell ref="N1429:P1429"/>
    <mergeCell ref="Q1429:R1429"/>
    <mergeCell ref="A1430:B1430"/>
    <mergeCell ref="C1430:D1430"/>
    <mergeCell ref="E1430:I1430"/>
    <mergeCell ref="J1430:M1430"/>
    <mergeCell ref="N1430:P1430"/>
    <mergeCell ref="Q1430:R1430"/>
    <mergeCell ref="A1431:B1431"/>
    <mergeCell ref="C1431:D1431"/>
    <mergeCell ref="E1431:I1431"/>
    <mergeCell ref="J1431:M1431"/>
    <mergeCell ref="N1431:P1431"/>
    <mergeCell ref="Q1431:R1431"/>
    <mergeCell ref="A1432:B1432"/>
    <mergeCell ref="C1432:D1432"/>
    <mergeCell ref="E1432:I1432"/>
    <mergeCell ref="J1432:M1432"/>
    <mergeCell ref="N1432:P1432"/>
    <mergeCell ref="Q1432:R1432"/>
    <mergeCell ref="A1433:B1433"/>
    <mergeCell ref="C1433:D1433"/>
    <mergeCell ref="E1433:I1433"/>
    <mergeCell ref="J1433:M1433"/>
    <mergeCell ref="N1433:P1433"/>
    <mergeCell ref="Q1433:R1433"/>
    <mergeCell ref="A1434:B1434"/>
    <mergeCell ref="C1434:D1434"/>
    <mergeCell ref="E1434:I1434"/>
    <mergeCell ref="J1434:M1434"/>
    <mergeCell ref="N1434:P1434"/>
    <mergeCell ref="Q1434:R1434"/>
    <mergeCell ref="A1435:B1435"/>
    <mergeCell ref="C1435:D1435"/>
    <mergeCell ref="E1435:I1435"/>
    <mergeCell ref="J1435:M1435"/>
    <mergeCell ref="N1435:P1435"/>
    <mergeCell ref="Q1435:R1435"/>
    <mergeCell ref="A1436:B1436"/>
    <mergeCell ref="C1436:D1436"/>
    <mergeCell ref="E1436:I1436"/>
    <mergeCell ref="J1436:M1436"/>
    <mergeCell ref="N1436:P1436"/>
    <mergeCell ref="Q1436:R1436"/>
    <mergeCell ref="A1437:B1437"/>
    <mergeCell ref="C1437:D1437"/>
    <mergeCell ref="E1437:I1437"/>
    <mergeCell ref="J1437:M1437"/>
    <mergeCell ref="N1437:P1437"/>
    <mergeCell ref="Q1437:R1437"/>
    <mergeCell ref="A1438:B1438"/>
    <mergeCell ref="C1438:D1438"/>
    <mergeCell ref="E1438:I1438"/>
    <mergeCell ref="J1438:M1438"/>
    <mergeCell ref="N1438:P1438"/>
    <mergeCell ref="Q1438:R1438"/>
    <mergeCell ref="A1439:B1439"/>
    <mergeCell ref="C1439:D1439"/>
    <mergeCell ref="E1439:I1439"/>
    <mergeCell ref="J1439:M1439"/>
    <mergeCell ref="N1439:P1439"/>
    <mergeCell ref="Q1439:R1439"/>
    <mergeCell ref="A1440:B1440"/>
    <mergeCell ref="C1440:D1440"/>
    <mergeCell ref="E1440:I1440"/>
    <mergeCell ref="J1440:M1440"/>
    <mergeCell ref="N1440:P1440"/>
    <mergeCell ref="Q1440:R1440"/>
    <mergeCell ref="A1441:B1441"/>
    <mergeCell ref="C1441:D1441"/>
    <mergeCell ref="E1441:I1441"/>
    <mergeCell ref="J1441:M1441"/>
    <mergeCell ref="N1441:P1441"/>
    <mergeCell ref="Q1441:R1441"/>
    <mergeCell ref="A1442:B1442"/>
    <mergeCell ref="C1442:D1442"/>
    <mergeCell ref="E1442:I1442"/>
    <mergeCell ref="J1442:M1442"/>
    <mergeCell ref="N1442:P1442"/>
    <mergeCell ref="Q1442:R1442"/>
    <mergeCell ref="A1443:B1443"/>
    <mergeCell ref="C1443:D1443"/>
    <mergeCell ref="E1443:I1443"/>
    <mergeCell ref="J1443:M1443"/>
    <mergeCell ref="N1443:P1443"/>
    <mergeCell ref="Q1443:R1443"/>
    <mergeCell ref="A1444:B1444"/>
    <mergeCell ref="C1444:D1444"/>
    <mergeCell ref="E1444:I1444"/>
    <mergeCell ref="J1444:M1444"/>
    <mergeCell ref="N1444:P1444"/>
    <mergeCell ref="Q1444:R1444"/>
    <mergeCell ref="A1445:B1445"/>
    <mergeCell ref="C1445:D1445"/>
    <mergeCell ref="E1445:I1445"/>
    <mergeCell ref="J1445:M1445"/>
    <mergeCell ref="N1445:P1445"/>
    <mergeCell ref="Q1445:R1445"/>
    <mergeCell ref="A1446:B1446"/>
    <mergeCell ref="C1446:D1446"/>
    <mergeCell ref="E1446:I1446"/>
    <mergeCell ref="J1446:M1446"/>
    <mergeCell ref="N1446:P1446"/>
    <mergeCell ref="Q1446:R1446"/>
    <mergeCell ref="A1447:B1447"/>
    <mergeCell ref="C1447:D1447"/>
    <mergeCell ref="E1447:I1447"/>
    <mergeCell ref="J1447:M1447"/>
    <mergeCell ref="N1447:P1447"/>
    <mergeCell ref="Q1447:R1447"/>
    <mergeCell ref="A1448:B1448"/>
    <mergeCell ref="C1448:D1448"/>
    <mergeCell ref="E1448:I1448"/>
    <mergeCell ref="J1448:M1448"/>
    <mergeCell ref="N1448:P1448"/>
    <mergeCell ref="Q1448:R1448"/>
    <mergeCell ref="A1449:B1449"/>
    <mergeCell ref="C1449:D1449"/>
    <mergeCell ref="E1449:I1449"/>
    <mergeCell ref="J1449:M1449"/>
    <mergeCell ref="N1449:P1449"/>
    <mergeCell ref="Q1449:R1449"/>
    <mergeCell ref="A1450:B1450"/>
    <mergeCell ref="C1450:D1450"/>
    <mergeCell ref="E1450:I1450"/>
    <mergeCell ref="J1450:M1450"/>
    <mergeCell ref="N1450:P1450"/>
    <mergeCell ref="Q1450:R1450"/>
    <mergeCell ref="A1451:B1451"/>
    <mergeCell ref="C1451:D1451"/>
    <mergeCell ref="E1451:I1451"/>
    <mergeCell ref="J1451:M1451"/>
    <mergeCell ref="N1451:P1451"/>
    <mergeCell ref="Q1451:R1451"/>
    <mergeCell ref="A1452:B1452"/>
    <mergeCell ref="C1452:D1452"/>
    <mergeCell ref="E1452:I1452"/>
    <mergeCell ref="J1452:M1452"/>
    <mergeCell ref="N1452:P1452"/>
    <mergeCell ref="Q1452:R1452"/>
    <mergeCell ref="A1453:B1453"/>
    <mergeCell ref="C1453:D1453"/>
    <mergeCell ref="E1453:I1453"/>
    <mergeCell ref="J1453:M1453"/>
    <mergeCell ref="N1453:P1453"/>
    <mergeCell ref="Q1453:R1453"/>
    <mergeCell ref="A1454:B1454"/>
    <mergeCell ref="C1454:D1454"/>
    <mergeCell ref="E1454:I1454"/>
    <mergeCell ref="J1454:M1454"/>
    <mergeCell ref="N1454:P1454"/>
    <mergeCell ref="Q1454:R1454"/>
    <mergeCell ref="A1455:B1455"/>
    <mergeCell ref="C1455:D1455"/>
    <mergeCell ref="E1455:I1455"/>
    <mergeCell ref="J1455:M1455"/>
    <mergeCell ref="N1455:P1455"/>
    <mergeCell ref="Q1455:R1455"/>
    <mergeCell ref="A1456:B1456"/>
    <mergeCell ref="C1456:D1456"/>
    <mergeCell ref="E1456:I1456"/>
    <mergeCell ref="J1456:M1456"/>
    <mergeCell ref="N1456:P1456"/>
    <mergeCell ref="Q1456:R1456"/>
    <mergeCell ref="A1457:B1457"/>
    <mergeCell ref="C1457:D1457"/>
    <mergeCell ref="E1457:I1457"/>
    <mergeCell ref="J1457:M1457"/>
    <mergeCell ref="N1457:P1457"/>
    <mergeCell ref="Q1457:R1457"/>
    <mergeCell ref="A1458:B1458"/>
    <mergeCell ref="C1458:D1458"/>
    <mergeCell ref="E1458:I1458"/>
    <mergeCell ref="J1458:M1458"/>
    <mergeCell ref="N1458:P1458"/>
    <mergeCell ref="Q1458:R1458"/>
    <mergeCell ref="A1459:B1459"/>
    <mergeCell ref="C1459:D1459"/>
    <mergeCell ref="E1459:I1459"/>
    <mergeCell ref="J1459:M1459"/>
    <mergeCell ref="N1459:P1459"/>
    <mergeCell ref="Q1459:R1459"/>
    <mergeCell ref="A1460:B1460"/>
    <mergeCell ref="C1460:D1460"/>
    <mergeCell ref="E1460:I1460"/>
    <mergeCell ref="J1460:M1460"/>
    <mergeCell ref="N1460:P1460"/>
    <mergeCell ref="Q1460:R1460"/>
    <mergeCell ref="A1461:B1461"/>
    <mergeCell ref="C1461:D1461"/>
    <mergeCell ref="E1461:I1461"/>
    <mergeCell ref="J1461:M1461"/>
    <mergeCell ref="N1461:P1461"/>
    <mergeCell ref="Q1461:R1461"/>
    <mergeCell ref="A1462:B1462"/>
    <mergeCell ref="C1462:D1462"/>
    <mergeCell ref="E1462:I1462"/>
    <mergeCell ref="J1462:M1462"/>
    <mergeCell ref="N1462:P1462"/>
    <mergeCell ref="Q1462:R1462"/>
    <mergeCell ref="A1463:B1463"/>
    <mergeCell ref="C1463:D1463"/>
    <mergeCell ref="E1463:I1463"/>
    <mergeCell ref="J1463:M1463"/>
    <mergeCell ref="N1463:P1463"/>
    <mergeCell ref="Q1463:R1463"/>
    <mergeCell ref="A1464:B1464"/>
    <mergeCell ref="C1464:D1464"/>
    <mergeCell ref="E1464:I1464"/>
    <mergeCell ref="J1464:M1464"/>
    <mergeCell ref="N1464:P1464"/>
    <mergeCell ref="Q1464:R1464"/>
    <mergeCell ref="A1465:B1465"/>
    <mergeCell ref="C1465:D1465"/>
    <mergeCell ref="E1465:I1465"/>
    <mergeCell ref="J1465:M1465"/>
    <mergeCell ref="N1465:P1465"/>
    <mergeCell ref="Q1465:R1465"/>
    <mergeCell ref="A1466:B1466"/>
    <mergeCell ref="C1466:D1466"/>
    <mergeCell ref="E1466:I1466"/>
    <mergeCell ref="J1466:M1466"/>
    <mergeCell ref="N1466:P1466"/>
    <mergeCell ref="Q1466:R1466"/>
    <mergeCell ref="A1467:B1467"/>
    <mergeCell ref="C1467:D1467"/>
    <mergeCell ref="E1467:I1467"/>
    <mergeCell ref="J1467:M1467"/>
    <mergeCell ref="N1467:P1467"/>
    <mergeCell ref="Q1467:R1467"/>
    <mergeCell ref="A1468:B1468"/>
    <mergeCell ref="C1468:D1468"/>
    <mergeCell ref="E1468:I1468"/>
    <mergeCell ref="J1468:M1468"/>
    <mergeCell ref="N1468:P1468"/>
    <mergeCell ref="Q1468:R1468"/>
    <mergeCell ref="A1469:B1469"/>
    <mergeCell ref="C1469:D1469"/>
    <mergeCell ref="E1469:I1469"/>
    <mergeCell ref="J1469:M1469"/>
    <mergeCell ref="N1469:P1469"/>
    <mergeCell ref="Q1469:R1469"/>
    <mergeCell ref="A1470:B1470"/>
    <mergeCell ref="C1470:D1470"/>
    <mergeCell ref="E1470:I1470"/>
    <mergeCell ref="J1470:M1470"/>
    <mergeCell ref="N1470:P1470"/>
    <mergeCell ref="Q1470:R1470"/>
    <mergeCell ref="A1471:B1471"/>
    <mergeCell ref="C1471:D1471"/>
    <mergeCell ref="E1471:I1471"/>
    <mergeCell ref="J1471:M1471"/>
    <mergeCell ref="N1471:P1471"/>
    <mergeCell ref="Q1471:R1471"/>
    <mergeCell ref="A1472:B1472"/>
    <mergeCell ref="C1472:D1472"/>
    <mergeCell ref="E1472:I1472"/>
    <mergeCell ref="J1472:M1472"/>
    <mergeCell ref="N1472:P1472"/>
    <mergeCell ref="Q1472:R1472"/>
    <mergeCell ref="A1473:B1473"/>
    <mergeCell ref="C1473:D1473"/>
    <mergeCell ref="E1473:I1473"/>
    <mergeCell ref="J1473:M1473"/>
    <mergeCell ref="N1473:P1473"/>
    <mergeCell ref="Q1473:R1473"/>
    <mergeCell ref="A1474:B1474"/>
    <mergeCell ref="C1474:D1474"/>
    <mergeCell ref="E1474:I1474"/>
    <mergeCell ref="J1474:M1474"/>
    <mergeCell ref="N1474:P1474"/>
    <mergeCell ref="Q1474:R1474"/>
    <mergeCell ref="A1475:B1475"/>
    <mergeCell ref="C1475:D1475"/>
    <mergeCell ref="E1475:I1475"/>
    <mergeCell ref="J1475:M1475"/>
    <mergeCell ref="N1475:P1475"/>
    <mergeCell ref="Q1475:R1475"/>
    <mergeCell ref="A1476:B1476"/>
    <mergeCell ref="C1476:D1476"/>
    <mergeCell ref="E1476:I1476"/>
    <mergeCell ref="J1476:M1476"/>
    <mergeCell ref="N1476:P1476"/>
    <mergeCell ref="Q1476:R1476"/>
    <mergeCell ref="A1477:B1477"/>
    <mergeCell ref="C1477:D1477"/>
    <mergeCell ref="E1477:I1477"/>
    <mergeCell ref="J1477:M1477"/>
    <mergeCell ref="N1477:P1477"/>
    <mergeCell ref="Q1477:R1477"/>
    <mergeCell ref="A1478:B1478"/>
    <mergeCell ref="C1478:D1478"/>
    <mergeCell ref="E1478:I1478"/>
    <mergeCell ref="J1478:M1478"/>
    <mergeCell ref="N1478:P1478"/>
    <mergeCell ref="Q1478:R1478"/>
    <mergeCell ref="A1479:B1479"/>
    <mergeCell ref="C1479:D1479"/>
    <mergeCell ref="E1479:I1479"/>
    <mergeCell ref="J1479:M1479"/>
    <mergeCell ref="N1479:P1479"/>
    <mergeCell ref="Q1479:R1479"/>
    <mergeCell ref="A1480:B1480"/>
    <mergeCell ref="C1480:D1480"/>
    <mergeCell ref="E1480:I1480"/>
    <mergeCell ref="J1480:M1480"/>
    <mergeCell ref="N1480:P1480"/>
    <mergeCell ref="Q1480:R1480"/>
    <mergeCell ref="A1481:B1481"/>
    <mergeCell ref="C1481:D1481"/>
    <mergeCell ref="E1481:I1481"/>
    <mergeCell ref="J1481:M1481"/>
    <mergeCell ref="N1481:P1481"/>
    <mergeCell ref="Q1481:R1481"/>
    <mergeCell ref="A1482:B1482"/>
    <mergeCell ref="C1482:D1482"/>
    <mergeCell ref="E1482:I1482"/>
    <mergeCell ref="J1482:M1482"/>
    <mergeCell ref="N1482:P1482"/>
    <mergeCell ref="Q1482:R1482"/>
    <mergeCell ref="A1483:B1483"/>
    <mergeCell ref="C1483:D1483"/>
    <mergeCell ref="E1483:I1483"/>
    <mergeCell ref="J1483:M1483"/>
    <mergeCell ref="N1483:P1483"/>
    <mergeCell ref="Q1483:R1483"/>
    <mergeCell ref="A1484:B1484"/>
    <mergeCell ref="C1484:D1484"/>
    <mergeCell ref="E1484:I1484"/>
    <mergeCell ref="J1484:M1484"/>
    <mergeCell ref="N1484:P1484"/>
    <mergeCell ref="Q1484:R1484"/>
    <mergeCell ref="A1485:B1485"/>
    <mergeCell ref="C1485:D1485"/>
    <mergeCell ref="E1485:I1485"/>
    <mergeCell ref="J1485:M1485"/>
    <mergeCell ref="N1485:P1485"/>
    <mergeCell ref="Q1485:R1485"/>
    <mergeCell ref="A1486:B1486"/>
    <mergeCell ref="C1486:D1486"/>
    <mergeCell ref="E1486:I1486"/>
    <mergeCell ref="J1486:M1486"/>
    <mergeCell ref="N1486:P1486"/>
    <mergeCell ref="Q1486:R1486"/>
    <mergeCell ref="A1487:B1487"/>
    <mergeCell ref="C1487:D1487"/>
    <mergeCell ref="E1487:I1487"/>
    <mergeCell ref="J1487:M1487"/>
    <mergeCell ref="N1487:P1487"/>
    <mergeCell ref="Q1487:R1487"/>
    <mergeCell ref="A1488:B1488"/>
    <mergeCell ref="C1488:D1488"/>
    <mergeCell ref="E1488:I1488"/>
    <mergeCell ref="J1488:M1488"/>
    <mergeCell ref="N1488:P1488"/>
    <mergeCell ref="Q1488:R1488"/>
    <mergeCell ref="A1489:B1489"/>
    <mergeCell ref="C1489:D1489"/>
    <mergeCell ref="E1489:I1489"/>
    <mergeCell ref="J1489:M1489"/>
    <mergeCell ref="N1489:P1489"/>
    <mergeCell ref="Q1489:R1489"/>
    <mergeCell ref="A1490:B1490"/>
    <mergeCell ref="C1490:D1490"/>
    <mergeCell ref="E1490:I1490"/>
    <mergeCell ref="J1490:M1490"/>
    <mergeCell ref="N1490:P1490"/>
    <mergeCell ref="Q1490:R1490"/>
    <mergeCell ref="A1491:B1491"/>
    <mergeCell ref="C1491:D1491"/>
    <mergeCell ref="E1491:I1491"/>
    <mergeCell ref="J1491:M1491"/>
    <mergeCell ref="N1491:P1491"/>
    <mergeCell ref="Q1491:R1491"/>
    <mergeCell ref="A1492:B1492"/>
    <mergeCell ref="C1492:D1492"/>
    <mergeCell ref="E1492:I1492"/>
    <mergeCell ref="J1492:M1492"/>
    <mergeCell ref="N1492:P1492"/>
    <mergeCell ref="Q1492:R1492"/>
    <mergeCell ref="A1493:B1493"/>
    <mergeCell ref="C1493:D1493"/>
    <mergeCell ref="E1493:I1493"/>
    <mergeCell ref="J1493:M1493"/>
    <mergeCell ref="N1493:P1493"/>
    <mergeCell ref="Q1493:R1493"/>
    <mergeCell ref="A1494:B1494"/>
    <mergeCell ref="C1494:D1494"/>
    <mergeCell ref="E1494:I1494"/>
    <mergeCell ref="J1494:M1494"/>
    <mergeCell ref="N1494:P1494"/>
    <mergeCell ref="Q1494:R1494"/>
    <mergeCell ref="A1495:B1495"/>
    <mergeCell ref="C1495:D1495"/>
    <mergeCell ref="E1495:I1495"/>
    <mergeCell ref="J1495:M1495"/>
    <mergeCell ref="N1495:P1495"/>
    <mergeCell ref="Q1495:R1495"/>
    <mergeCell ref="A1496:B1496"/>
    <mergeCell ref="C1496:D1496"/>
    <mergeCell ref="E1496:I1496"/>
    <mergeCell ref="J1496:M1496"/>
    <mergeCell ref="N1496:P1496"/>
    <mergeCell ref="Q1496:R1496"/>
    <mergeCell ref="A1497:B1497"/>
    <mergeCell ref="C1497:D1497"/>
    <mergeCell ref="E1497:I1497"/>
    <mergeCell ref="J1497:M1497"/>
    <mergeCell ref="N1497:P1497"/>
    <mergeCell ref="Q1497:R1497"/>
    <mergeCell ref="A1498:B1498"/>
    <mergeCell ref="C1498:D1498"/>
    <mergeCell ref="E1498:I1498"/>
    <mergeCell ref="J1498:M1498"/>
    <mergeCell ref="N1498:P1498"/>
    <mergeCell ref="Q1498:R1498"/>
    <mergeCell ref="A1499:B1499"/>
    <mergeCell ref="C1499:D1499"/>
    <mergeCell ref="E1499:I1499"/>
    <mergeCell ref="J1499:M1499"/>
    <mergeCell ref="N1499:P1499"/>
    <mergeCell ref="Q1499:R1499"/>
    <mergeCell ref="A1500:B1500"/>
    <mergeCell ref="C1500:D1500"/>
    <mergeCell ref="E1500:I1500"/>
    <mergeCell ref="J1500:M1500"/>
    <mergeCell ref="N1500:P1500"/>
    <mergeCell ref="Q1500:R1500"/>
    <mergeCell ref="A1501:B1501"/>
    <mergeCell ref="C1501:D1501"/>
    <mergeCell ref="E1501:I1501"/>
    <mergeCell ref="J1501:M1501"/>
    <mergeCell ref="N1501:P1501"/>
    <mergeCell ref="Q1501:R1501"/>
    <mergeCell ref="A1502:B1502"/>
    <mergeCell ref="C1502:D1502"/>
    <mergeCell ref="E1502:I1502"/>
    <mergeCell ref="J1502:M1502"/>
    <mergeCell ref="N1502:P1502"/>
    <mergeCell ref="Q1502:R1502"/>
    <mergeCell ref="A1503:B1503"/>
    <mergeCell ref="C1503:D1503"/>
    <mergeCell ref="E1503:I1503"/>
    <mergeCell ref="J1503:M1503"/>
    <mergeCell ref="N1503:P1503"/>
    <mergeCell ref="Q1503:R1503"/>
    <mergeCell ref="A1504:B1504"/>
    <mergeCell ref="C1504:D1504"/>
    <mergeCell ref="E1504:I1504"/>
    <mergeCell ref="J1504:M1504"/>
    <mergeCell ref="N1504:P1504"/>
    <mergeCell ref="Q1504:R1504"/>
    <mergeCell ref="A1505:B1505"/>
    <mergeCell ref="C1505:D1505"/>
    <mergeCell ref="E1505:I1505"/>
    <mergeCell ref="J1505:M1505"/>
    <mergeCell ref="N1505:P1505"/>
    <mergeCell ref="Q1505:R1505"/>
    <mergeCell ref="A1506:B1506"/>
    <mergeCell ref="C1506:D1506"/>
    <mergeCell ref="E1506:I1506"/>
    <mergeCell ref="J1506:M1506"/>
    <mergeCell ref="N1506:P1506"/>
    <mergeCell ref="Q1506:R1506"/>
    <mergeCell ref="A1507:B1507"/>
    <mergeCell ref="C1507:D1507"/>
    <mergeCell ref="E1507:I1507"/>
    <mergeCell ref="J1507:M1507"/>
    <mergeCell ref="N1507:P1507"/>
    <mergeCell ref="Q1507:R1507"/>
    <mergeCell ref="A1508:B1508"/>
    <mergeCell ref="C1508:D1508"/>
    <mergeCell ref="E1508:I1508"/>
    <mergeCell ref="J1508:M1508"/>
    <mergeCell ref="N1508:P1508"/>
    <mergeCell ref="Q1508:R1508"/>
    <mergeCell ref="A1509:B1509"/>
    <mergeCell ref="C1509:D1509"/>
    <mergeCell ref="E1509:I1509"/>
    <mergeCell ref="J1509:M1509"/>
    <mergeCell ref="N1509:P1509"/>
    <mergeCell ref="Q1509:R1509"/>
    <mergeCell ref="A1510:B1510"/>
    <mergeCell ref="C1510:D1510"/>
    <mergeCell ref="E1510:I1510"/>
    <mergeCell ref="J1510:M1510"/>
    <mergeCell ref="N1510:P1510"/>
    <mergeCell ref="Q1510:R1510"/>
    <mergeCell ref="A1511:B1511"/>
    <mergeCell ref="C1511:D1511"/>
    <mergeCell ref="E1511:I1511"/>
    <mergeCell ref="J1511:M1511"/>
    <mergeCell ref="N1511:P1511"/>
    <mergeCell ref="Q1511:R1511"/>
    <mergeCell ref="A1512:B1512"/>
    <mergeCell ref="C1512:D1512"/>
    <mergeCell ref="E1512:I1512"/>
    <mergeCell ref="J1512:M1512"/>
    <mergeCell ref="N1512:P1512"/>
    <mergeCell ref="Q1512:R1512"/>
    <mergeCell ref="A1513:B1513"/>
    <mergeCell ref="C1513:D1513"/>
    <mergeCell ref="E1513:I1513"/>
    <mergeCell ref="J1513:M1513"/>
    <mergeCell ref="N1513:P1513"/>
    <mergeCell ref="Q1513:R1513"/>
    <mergeCell ref="A1514:B1514"/>
    <mergeCell ref="C1514:D1514"/>
    <mergeCell ref="E1514:I1514"/>
    <mergeCell ref="J1514:M1514"/>
    <mergeCell ref="N1514:P1514"/>
    <mergeCell ref="Q1514:R1514"/>
    <mergeCell ref="A1515:B1515"/>
    <mergeCell ref="C1515:D1515"/>
    <mergeCell ref="E1515:I1515"/>
    <mergeCell ref="J1515:M1515"/>
    <mergeCell ref="N1515:P1515"/>
    <mergeCell ref="Q1515:R1515"/>
    <mergeCell ref="A1516:B1516"/>
    <mergeCell ref="C1516:D1516"/>
    <mergeCell ref="E1516:I1516"/>
    <mergeCell ref="J1516:M1516"/>
    <mergeCell ref="N1516:P1516"/>
    <mergeCell ref="Q1516:R1516"/>
    <mergeCell ref="A1517:B1517"/>
    <mergeCell ref="C1517:D1517"/>
    <mergeCell ref="E1517:I1517"/>
    <mergeCell ref="J1517:M1517"/>
    <mergeCell ref="N1517:P1517"/>
    <mergeCell ref="Q1517:R1517"/>
    <mergeCell ref="A1518:B1518"/>
    <mergeCell ref="C1518:D1518"/>
    <mergeCell ref="E1518:I1518"/>
    <mergeCell ref="J1518:M1518"/>
    <mergeCell ref="N1518:P1518"/>
    <mergeCell ref="Q1518:R1518"/>
    <mergeCell ref="A1519:B1519"/>
    <mergeCell ref="C1519:D1519"/>
    <mergeCell ref="E1519:I1519"/>
    <mergeCell ref="J1519:M1519"/>
    <mergeCell ref="N1519:P1519"/>
    <mergeCell ref="Q1519:R1519"/>
    <mergeCell ref="A1520:B1520"/>
    <mergeCell ref="C1520:D1520"/>
    <mergeCell ref="E1520:I1520"/>
    <mergeCell ref="J1520:M1520"/>
    <mergeCell ref="N1520:P1520"/>
    <mergeCell ref="Q1520:R1520"/>
    <mergeCell ref="A1521:B1521"/>
    <mergeCell ref="C1521:D1521"/>
    <mergeCell ref="E1521:I1521"/>
    <mergeCell ref="J1521:M1521"/>
    <mergeCell ref="N1521:P1521"/>
    <mergeCell ref="Q1521:R1521"/>
    <mergeCell ref="A1522:B1522"/>
    <mergeCell ref="C1522:D1522"/>
    <mergeCell ref="E1522:I1522"/>
    <mergeCell ref="J1522:M1522"/>
    <mergeCell ref="N1522:P1522"/>
    <mergeCell ref="Q1522:R1522"/>
    <mergeCell ref="A1523:B1523"/>
    <mergeCell ref="C1523:D1523"/>
    <mergeCell ref="E1523:I1523"/>
    <mergeCell ref="J1523:M1523"/>
    <mergeCell ref="N1523:P1523"/>
    <mergeCell ref="Q1523:R1523"/>
    <mergeCell ref="A1524:B1524"/>
    <mergeCell ref="C1524:D1524"/>
    <mergeCell ref="E1524:I1524"/>
    <mergeCell ref="J1524:M1524"/>
    <mergeCell ref="N1524:P1524"/>
    <mergeCell ref="Q1524:R1524"/>
    <mergeCell ref="A1525:B1525"/>
    <mergeCell ref="C1525:D1525"/>
    <mergeCell ref="E1525:I1525"/>
    <mergeCell ref="J1525:M1525"/>
    <mergeCell ref="N1525:P1525"/>
    <mergeCell ref="Q1525:R1525"/>
    <mergeCell ref="A1526:B1526"/>
    <mergeCell ref="C1526:D1526"/>
    <mergeCell ref="E1526:I1526"/>
    <mergeCell ref="J1526:M1526"/>
    <mergeCell ref="N1526:P1526"/>
    <mergeCell ref="Q1526:R1526"/>
    <mergeCell ref="A1527:B1527"/>
    <mergeCell ref="C1527:D1527"/>
    <mergeCell ref="E1527:I1527"/>
    <mergeCell ref="J1527:M1527"/>
    <mergeCell ref="N1527:P1527"/>
    <mergeCell ref="Q1527:R1527"/>
    <mergeCell ref="A1528:B1528"/>
    <mergeCell ref="C1528:D1528"/>
    <mergeCell ref="E1528:I1528"/>
    <mergeCell ref="J1528:M1528"/>
    <mergeCell ref="N1528:P1528"/>
    <mergeCell ref="Q1528:R1528"/>
    <mergeCell ref="A1529:B1529"/>
    <mergeCell ref="C1529:D1529"/>
    <mergeCell ref="E1529:I1529"/>
    <mergeCell ref="J1529:M1529"/>
    <mergeCell ref="N1529:P1529"/>
    <mergeCell ref="Q1529:R1529"/>
    <mergeCell ref="A1530:B1530"/>
    <mergeCell ref="C1530:D1530"/>
    <mergeCell ref="E1530:I1530"/>
    <mergeCell ref="J1530:M1530"/>
    <mergeCell ref="N1530:P1530"/>
    <mergeCell ref="Q1530:R1530"/>
    <mergeCell ref="A1531:B1531"/>
    <mergeCell ref="C1531:D1531"/>
    <mergeCell ref="E1531:I1531"/>
    <mergeCell ref="J1531:M1531"/>
    <mergeCell ref="N1531:P1531"/>
    <mergeCell ref="Q1531:R1531"/>
    <mergeCell ref="A1532:B1532"/>
    <mergeCell ref="C1532:D1532"/>
    <mergeCell ref="E1532:I1532"/>
    <mergeCell ref="J1532:M1532"/>
    <mergeCell ref="N1532:P1532"/>
    <mergeCell ref="Q1532:R1532"/>
    <mergeCell ref="A1533:B1533"/>
    <mergeCell ref="C1533:D1533"/>
    <mergeCell ref="E1533:I1533"/>
    <mergeCell ref="J1533:M1533"/>
    <mergeCell ref="N1533:P1533"/>
    <mergeCell ref="Q1533:R1533"/>
    <mergeCell ref="A1534:B1534"/>
    <mergeCell ref="C1534:D1534"/>
    <mergeCell ref="E1534:I1534"/>
    <mergeCell ref="J1534:M1534"/>
    <mergeCell ref="N1534:P1534"/>
    <mergeCell ref="Q1534:R1534"/>
    <mergeCell ref="A1535:B1535"/>
    <mergeCell ref="C1535:D1535"/>
    <mergeCell ref="E1535:I1535"/>
    <mergeCell ref="J1535:M1535"/>
    <mergeCell ref="N1535:P1535"/>
    <mergeCell ref="Q1535:R1535"/>
    <mergeCell ref="A1536:B1536"/>
    <mergeCell ref="C1536:D1536"/>
    <mergeCell ref="E1536:I1536"/>
    <mergeCell ref="J1536:M1536"/>
    <mergeCell ref="N1536:P1536"/>
    <mergeCell ref="Q1536:R1536"/>
    <mergeCell ref="A1537:B1537"/>
    <mergeCell ref="C1537:D1537"/>
    <mergeCell ref="E1537:I1537"/>
    <mergeCell ref="J1537:M1537"/>
    <mergeCell ref="N1537:P1537"/>
    <mergeCell ref="Q1537:R1537"/>
    <mergeCell ref="A1538:B1538"/>
    <mergeCell ref="C1538:D1538"/>
    <mergeCell ref="E1538:I1538"/>
    <mergeCell ref="J1538:M1538"/>
    <mergeCell ref="N1538:P1538"/>
    <mergeCell ref="Q1538:R1538"/>
    <mergeCell ref="A1539:B1539"/>
    <mergeCell ref="C1539:D1539"/>
    <mergeCell ref="E1539:I1539"/>
    <mergeCell ref="J1539:M1539"/>
    <mergeCell ref="N1539:P1539"/>
    <mergeCell ref="Q1539:R1539"/>
    <mergeCell ref="A1540:B1540"/>
    <mergeCell ref="C1540:D1540"/>
    <mergeCell ref="E1540:I1540"/>
    <mergeCell ref="J1540:M1540"/>
    <mergeCell ref="N1540:P1540"/>
    <mergeCell ref="Q1540:R1540"/>
    <mergeCell ref="A1541:B1541"/>
    <mergeCell ref="C1541:D1541"/>
    <mergeCell ref="E1541:I1541"/>
    <mergeCell ref="J1541:M1541"/>
    <mergeCell ref="N1541:P1541"/>
    <mergeCell ref="Q1541:R1541"/>
    <mergeCell ref="A1542:B1542"/>
    <mergeCell ref="C1542:D1542"/>
    <mergeCell ref="E1542:I1542"/>
    <mergeCell ref="J1542:M1542"/>
    <mergeCell ref="N1542:P1542"/>
    <mergeCell ref="Q1542:R1542"/>
    <mergeCell ref="A1543:B1543"/>
    <mergeCell ref="C1543:D1543"/>
    <mergeCell ref="E1543:I1543"/>
    <mergeCell ref="J1543:M1543"/>
    <mergeCell ref="N1543:P1543"/>
    <mergeCell ref="Q1543:R1543"/>
    <mergeCell ref="A1544:B1544"/>
    <mergeCell ref="C1544:D1544"/>
    <mergeCell ref="E1544:I1544"/>
    <mergeCell ref="J1544:M1544"/>
    <mergeCell ref="N1544:P1544"/>
    <mergeCell ref="Q1544:R1544"/>
    <mergeCell ref="A1545:B1545"/>
    <mergeCell ref="C1545:D1545"/>
    <mergeCell ref="E1545:I1545"/>
    <mergeCell ref="J1545:M1545"/>
    <mergeCell ref="N1545:P1545"/>
    <mergeCell ref="Q1545:R1545"/>
    <mergeCell ref="A1546:B1546"/>
    <mergeCell ref="C1546:D1546"/>
    <mergeCell ref="E1546:I1546"/>
    <mergeCell ref="J1546:M1546"/>
    <mergeCell ref="N1546:P1546"/>
    <mergeCell ref="Q1546:R1546"/>
    <mergeCell ref="A1547:B1547"/>
    <mergeCell ref="C1547:D1547"/>
    <mergeCell ref="E1547:I1547"/>
    <mergeCell ref="J1547:M1547"/>
    <mergeCell ref="N1547:P1547"/>
    <mergeCell ref="Q1547:R1547"/>
    <mergeCell ref="A1548:B1548"/>
    <mergeCell ref="C1548:D1548"/>
    <mergeCell ref="E1548:I1548"/>
    <mergeCell ref="J1548:M1548"/>
    <mergeCell ref="N1548:P1548"/>
    <mergeCell ref="Q1548:R1548"/>
    <mergeCell ref="A1549:B1549"/>
    <mergeCell ref="C1549:D1549"/>
    <mergeCell ref="E1549:I1549"/>
    <mergeCell ref="J1549:M1549"/>
    <mergeCell ref="N1549:P1549"/>
    <mergeCell ref="Q1549:R1549"/>
    <mergeCell ref="A1550:B1550"/>
    <mergeCell ref="C1550:D1550"/>
    <mergeCell ref="E1550:I1550"/>
    <mergeCell ref="J1550:M1550"/>
    <mergeCell ref="N1550:P1550"/>
    <mergeCell ref="Q1550:R1550"/>
    <mergeCell ref="A1551:B1551"/>
    <mergeCell ref="C1551:D1551"/>
    <mergeCell ref="E1551:I1551"/>
    <mergeCell ref="J1551:M1551"/>
    <mergeCell ref="N1551:P1551"/>
    <mergeCell ref="Q1551:R1551"/>
    <mergeCell ref="A1552:B1552"/>
    <mergeCell ref="C1552:D1552"/>
    <mergeCell ref="E1552:I1552"/>
    <mergeCell ref="J1552:M1552"/>
    <mergeCell ref="N1552:P1552"/>
    <mergeCell ref="Q1552:R1552"/>
    <mergeCell ref="A1553:B1553"/>
    <mergeCell ref="C1553:D1553"/>
    <mergeCell ref="E1553:I1553"/>
    <mergeCell ref="J1553:M1553"/>
    <mergeCell ref="N1553:P1553"/>
    <mergeCell ref="Q1553:R1553"/>
    <mergeCell ref="A1554:B1554"/>
    <mergeCell ref="C1554:D1554"/>
    <mergeCell ref="E1554:I1554"/>
    <mergeCell ref="J1554:M1554"/>
    <mergeCell ref="N1554:P1554"/>
    <mergeCell ref="Q1554:R1554"/>
    <mergeCell ref="A1555:B1555"/>
    <mergeCell ref="C1555:D1555"/>
    <mergeCell ref="E1555:I1555"/>
    <mergeCell ref="J1555:M1555"/>
    <mergeCell ref="N1555:P1555"/>
    <mergeCell ref="Q1555:R1555"/>
    <mergeCell ref="A1556:B1556"/>
    <mergeCell ref="C1556:D1556"/>
    <mergeCell ref="E1556:I1556"/>
    <mergeCell ref="J1556:M1556"/>
    <mergeCell ref="N1556:P1556"/>
    <mergeCell ref="Q1556:R1556"/>
    <mergeCell ref="A1557:B1557"/>
    <mergeCell ref="C1557:D1557"/>
    <mergeCell ref="E1557:I1557"/>
    <mergeCell ref="J1557:M1557"/>
    <mergeCell ref="N1557:P1557"/>
    <mergeCell ref="Q1557:R1557"/>
    <mergeCell ref="A1558:B1558"/>
    <mergeCell ref="C1558:D1558"/>
    <mergeCell ref="E1558:I1558"/>
    <mergeCell ref="J1558:M1558"/>
    <mergeCell ref="N1558:P1558"/>
    <mergeCell ref="Q1558:R1558"/>
    <mergeCell ref="A1559:B1559"/>
    <mergeCell ref="C1559:D1559"/>
    <mergeCell ref="E1559:I1559"/>
    <mergeCell ref="J1559:M1559"/>
    <mergeCell ref="N1559:P1559"/>
    <mergeCell ref="Q1559:R1559"/>
    <mergeCell ref="A1560:B1560"/>
    <mergeCell ref="C1560:D1560"/>
    <mergeCell ref="E1560:I1560"/>
    <mergeCell ref="J1560:M1560"/>
    <mergeCell ref="N1560:P1560"/>
    <mergeCell ref="Q1560:R1560"/>
    <mergeCell ref="A1561:B1561"/>
    <mergeCell ref="C1561:D1561"/>
    <mergeCell ref="E1561:I1561"/>
    <mergeCell ref="J1561:M1561"/>
    <mergeCell ref="N1561:P1561"/>
    <mergeCell ref="Q1561:R1561"/>
    <mergeCell ref="A1562:B1562"/>
    <mergeCell ref="C1562:D1562"/>
    <mergeCell ref="E1562:I1562"/>
    <mergeCell ref="J1562:M1562"/>
    <mergeCell ref="N1562:P1562"/>
    <mergeCell ref="Q1562:R1562"/>
    <mergeCell ref="A1563:B1563"/>
    <mergeCell ref="C1563:D1563"/>
    <mergeCell ref="E1563:I1563"/>
    <mergeCell ref="J1563:M1563"/>
    <mergeCell ref="N1563:P1563"/>
    <mergeCell ref="Q1563:R1563"/>
    <mergeCell ref="A1564:B1564"/>
    <mergeCell ref="C1564:D1564"/>
    <mergeCell ref="E1564:I1564"/>
    <mergeCell ref="J1564:M1564"/>
    <mergeCell ref="N1564:P1564"/>
    <mergeCell ref="Q1564:R1564"/>
    <mergeCell ref="A1565:B1565"/>
    <mergeCell ref="C1565:D1565"/>
    <mergeCell ref="E1565:I1565"/>
    <mergeCell ref="J1565:M1565"/>
    <mergeCell ref="N1565:P1565"/>
    <mergeCell ref="Q1565:R1565"/>
    <mergeCell ref="A1566:B1566"/>
    <mergeCell ref="C1566:D1566"/>
    <mergeCell ref="E1566:I1566"/>
    <mergeCell ref="J1566:M1566"/>
    <mergeCell ref="N1566:P1566"/>
    <mergeCell ref="Q1566:R1566"/>
    <mergeCell ref="A1567:B1567"/>
    <mergeCell ref="C1567:D1567"/>
    <mergeCell ref="E1567:I1567"/>
    <mergeCell ref="J1567:M1567"/>
    <mergeCell ref="N1567:P1567"/>
    <mergeCell ref="Q1567:R1567"/>
    <mergeCell ref="A1568:B1568"/>
    <mergeCell ref="C1568:D1568"/>
    <mergeCell ref="E1568:I1568"/>
    <mergeCell ref="J1568:M1568"/>
    <mergeCell ref="N1568:P1568"/>
    <mergeCell ref="Q1568:R1568"/>
    <mergeCell ref="A1569:B1569"/>
    <mergeCell ref="C1569:D1569"/>
    <mergeCell ref="E1569:I1569"/>
    <mergeCell ref="J1569:M1569"/>
    <mergeCell ref="N1569:P1569"/>
    <mergeCell ref="Q1569:R1569"/>
    <mergeCell ref="A1570:B1570"/>
    <mergeCell ref="C1570:D1570"/>
    <mergeCell ref="E1570:I1570"/>
    <mergeCell ref="J1570:M1570"/>
    <mergeCell ref="N1570:P1570"/>
    <mergeCell ref="Q1570:R1570"/>
    <mergeCell ref="A1571:B1571"/>
    <mergeCell ref="C1571:D1571"/>
    <mergeCell ref="E1571:I1571"/>
    <mergeCell ref="J1571:M1571"/>
    <mergeCell ref="N1571:P1571"/>
    <mergeCell ref="Q1571:R1571"/>
    <mergeCell ref="A1572:B1572"/>
    <mergeCell ref="C1572:D1572"/>
    <mergeCell ref="E1572:I1572"/>
    <mergeCell ref="J1572:M1572"/>
    <mergeCell ref="N1572:P1572"/>
    <mergeCell ref="Q1572:R1572"/>
    <mergeCell ref="A1573:B1573"/>
    <mergeCell ref="C1573:D1573"/>
    <mergeCell ref="E1573:I1573"/>
    <mergeCell ref="J1573:M1573"/>
    <mergeCell ref="N1573:P1573"/>
    <mergeCell ref="Q1573:R1573"/>
    <mergeCell ref="A1574:B1574"/>
    <mergeCell ref="C1574:D1574"/>
    <mergeCell ref="E1574:I1574"/>
    <mergeCell ref="J1574:M1574"/>
    <mergeCell ref="N1574:P1574"/>
    <mergeCell ref="Q1574:R1574"/>
    <mergeCell ref="A1575:B1575"/>
    <mergeCell ref="C1575:D1575"/>
    <mergeCell ref="E1575:I1575"/>
    <mergeCell ref="J1575:M1575"/>
    <mergeCell ref="N1575:P1575"/>
    <mergeCell ref="Q1575:R1575"/>
    <mergeCell ref="A1576:B1576"/>
    <mergeCell ref="C1576:D1576"/>
    <mergeCell ref="E1576:I1576"/>
    <mergeCell ref="J1576:M1576"/>
    <mergeCell ref="N1576:P1576"/>
    <mergeCell ref="Q1576:R1576"/>
    <mergeCell ref="A1577:B1577"/>
    <mergeCell ref="C1577:D1577"/>
    <mergeCell ref="E1577:I1577"/>
    <mergeCell ref="J1577:M1577"/>
    <mergeCell ref="N1577:P1577"/>
    <mergeCell ref="Q1577:R1577"/>
    <mergeCell ref="A1578:B1578"/>
    <mergeCell ref="C1578:D1578"/>
    <mergeCell ref="E1578:I1578"/>
    <mergeCell ref="J1578:M1578"/>
    <mergeCell ref="N1578:P1578"/>
    <mergeCell ref="Q1578:R1578"/>
    <mergeCell ref="A1579:B1579"/>
    <mergeCell ref="C1579:D1579"/>
    <mergeCell ref="E1579:I1579"/>
    <mergeCell ref="J1579:M1579"/>
    <mergeCell ref="N1579:P1579"/>
    <mergeCell ref="Q1579:R1579"/>
    <mergeCell ref="A1580:B1580"/>
    <mergeCell ref="C1580:D1580"/>
    <mergeCell ref="E1580:I1580"/>
    <mergeCell ref="J1580:M1580"/>
    <mergeCell ref="N1580:P1580"/>
    <mergeCell ref="Q1580:R1580"/>
    <mergeCell ref="A1581:B1581"/>
    <mergeCell ref="C1581:D1581"/>
    <mergeCell ref="E1581:I1581"/>
    <mergeCell ref="J1581:M1581"/>
    <mergeCell ref="N1581:P1581"/>
    <mergeCell ref="Q1581:R1581"/>
    <mergeCell ref="A1582:B1582"/>
    <mergeCell ref="C1582:D1582"/>
    <mergeCell ref="E1582:I1582"/>
    <mergeCell ref="J1582:M1582"/>
    <mergeCell ref="N1582:P1582"/>
    <mergeCell ref="Q1582:R1582"/>
    <mergeCell ref="A1583:B1583"/>
    <mergeCell ref="C1583:D1583"/>
    <mergeCell ref="E1583:I1583"/>
    <mergeCell ref="J1583:M1583"/>
    <mergeCell ref="N1583:P1583"/>
    <mergeCell ref="Q1583:R1583"/>
    <mergeCell ref="A1584:B1584"/>
    <mergeCell ref="C1584:D1584"/>
    <mergeCell ref="E1584:I1584"/>
    <mergeCell ref="J1584:M1584"/>
    <mergeCell ref="N1584:P1584"/>
    <mergeCell ref="Q1584:R1584"/>
    <mergeCell ref="A1585:B1585"/>
    <mergeCell ref="C1585:D1585"/>
    <mergeCell ref="E1585:I1585"/>
    <mergeCell ref="J1585:M1585"/>
    <mergeCell ref="N1585:P1585"/>
    <mergeCell ref="Q1585:R1585"/>
    <mergeCell ref="A1586:B1586"/>
    <mergeCell ref="C1586:D1586"/>
    <mergeCell ref="E1586:I1586"/>
    <mergeCell ref="J1586:M1586"/>
    <mergeCell ref="N1586:P1586"/>
    <mergeCell ref="Q1586:R1586"/>
    <mergeCell ref="A1587:B1587"/>
    <mergeCell ref="C1587:D1587"/>
    <mergeCell ref="E1587:I1587"/>
    <mergeCell ref="J1587:M1587"/>
    <mergeCell ref="N1587:P1587"/>
    <mergeCell ref="Q1587:R1587"/>
    <mergeCell ref="A1588:B1588"/>
    <mergeCell ref="C1588:D1588"/>
    <mergeCell ref="E1588:I1588"/>
    <mergeCell ref="J1588:M1588"/>
    <mergeCell ref="N1588:P1588"/>
    <mergeCell ref="Q1588:R1588"/>
    <mergeCell ref="A1589:B1589"/>
    <mergeCell ref="C1589:D1589"/>
    <mergeCell ref="E1589:I1589"/>
    <mergeCell ref="J1589:M1589"/>
    <mergeCell ref="N1589:P1589"/>
    <mergeCell ref="Q1589:R1589"/>
    <mergeCell ref="A1590:B1590"/>
    <mergeCell ref="C1590:D1590"/>
    <mergeCell ref="E1590:I1590"/>
    <mergeCell ref="J1590:M1590"/>
    <mergeCell ref="N1590:P1590"/>
    <mergeCell ref="Q1590:R1590"/>
    <mergeCell ref="A1591:B1591"/>
    <mergeCell ref="C1591:D1591"/>
    <mergeCell ref="E1591:I1591"/>
    <mergeCell ref="J1591:M1591"/>
    <mergeCell ref="N1591:P1591"/>
    <mergeCell ref="Q1591:R1591"/>
    <mergeCell ref="A1592:B1592"/>
    <mergeCell ref="C1592:D1592"/>
    <mergeCell ref="E1592:I1592"/>
    <mergeCell ref="J1592:M1592"/>
    <mergeCell ref="N1592:P1592"/>
    <mergeCell ref="Q1592:R1592"/>
    <mergeCell ref="A1593:B1593"/>
    <mergeCell ref="C1593:D1593"/>
    <mergeCell ref="E1593:I1593"/>
    <mergeCell ref="J1593:M1593"/>
    <mergeCell ref="N1593:P1593"/>
    <mergeCell ref="Q1593:R1593"/>
    <mergeCell ref="A1594:B1594"/>
    <mergeCell ref="C1594:D1594"/>
    <mergeCell ref="E1594:I1594"/>
    <mergeCell ref="J1594:M1594"/>
    <mergeCell ref="N1594:P1594"/>
    <mergeCell ref="Q1594:R1594"/>
    <mergeCell ref="A1595:B1595"/>
    <mergeCell ref="C1595:D1595"/>
    <mergeCell ref="E1595:I1595"/>
    <mergeCell ref="J1595:M1595"/>
    <mergeCell ref="N1595:P1595"/>
    <mergeCell ref="Q1595:R1595"/>
    <mergeCell ref="A1596:B1596"/>
    <mergeCell ref="C1596:D1596"/>
    <mergeCell ref="E1596:I1596"/>
    <mergeCell ref="J1596:M1596"/>
    <mergeCell ref="N1596:P1596"/>
    <mergeCell ref="Q1596:R1596"/>
    <mergeCell ref="A1597:B1597"/>
    <mergeCell ref="C1597:D1597"/>
    <mergeCell ref="E1597:I1597"/>
    <mergeCell ref="J1597:M1597"/>
    <mergeCell ref="N1597:P1597"/>
    <mergeCell ref="Q1597:R1597"/>
    <mergeCell ref="A1598:B1598"/>
    <mergeCell ref="C1598:D1598"/>
    <mergeCell ref="E1598:I1598"/>
    <mergeCell ref="J1598:M1598"/>
    <mergeCell ref="N1598:P1598"/>
    <mergeCell ref="Q1598:R1598"/>
    <mergeCell ref="A1599:B1599"/>
    <mergeCell ref="C1599:D1599"/>
    <mergeCell ref="E1599:I1599"/>
    <mergeCell ref="J1599:M1599"/>
    <mergeCell ref="N1599:P1599"/>
    <mergeCell ref="Q1599:R1599"/>
    <mergeCell ref="A1600:B1600"/>
    <mergeCell ref="C1600:D1600"/>
    <mergeCell ref="E1600:I1600"/>
    <mergeCell ref="J1600:M1600"/>
    <mergeCell ref="N1600:P1600"/>
    <mergeCell ref="Q1600:R1600"/>
    <mergeCell ref="A1601:B1601"/>
    <mergeCell ref="C1601:D1601"/>
    <mergeCell ref="E1601:I1601"/>
    <mergeCell ref="J1601:M1601"/>
    <mergeCell ref="N1601:P1601"/>
    <mergeCell ref="Q1601:R1601"/>
    <mergeCell ref="A1602:B1602"/>
    <mergeCell ref="C1602:D1602"/>
    <mergeCell ref="E1602:I1602"/>
    <mergeCell ref="J1602:M1602"/>
    <mergeCell ref="N1602:P1602"/>
    <mergeCell ref="Q1602:R1602"/>
    <mergeCell ref="A1603:B1603"/>
    <mergeCell ref="C1603:D1603"/>
    <mergeCell ref="E1603:I1603"/>
    <mergeCell ref="J1603:M1603"/>
    <mergeCell ref="N1603:P1603"/>
    <mergeCell ref="Q1603:R1603"/>
    <mergeCell ref="A1604:B1604"/>
    <mergeCell ref="C1604:D1604"/>
    <mergeCell ref="E1604:I1604"/>
    <mergeCell ref="J1604:M1604"/>
    <mergeCell ref="N1604:P1604"/>
    <mergeCell ref="Q1604:R1604"/>
    <mergeCell ref="A1605:B1605"/>
    <mergeCell ref="C1605:D1605"/>
    <mergeCell ref="E1605:I1605"/>
    <mergeCell ref="J1605:M1605"/>
    <mergeCell ref="N1605:P1605"/>
    <mergeCell ref="Q1605:R1605"/>
    <mergeCell ref="A1606:B1606"/>
    <mergeCell ref="C1606:D1606"/>
    <mergeCell ref="E1606:I1606"/>
    <mergeCell ref="J1606:M1606"/>
    <mergeCell ref="N1606:P1606"/>
    <mergeCell ref="Q1606:R1606"/>
    <mergeCell ref="A1607:B1607"/>
    <mergeCell ref="C1607:D1607"/>
    <mergeCell ref="E1607:I1607"/>
    <mergeCell ref="J1607:M1607"/>
    <mergeCell ref="N1607:P1607"/>
    <mergeCell ref="Q1607:R1607"/>
    <mergeCell ref="A1608:B1608"/>
    <mergeCell ref="C1608:D1608"/>
    <mergeCell ref="E1608:I1608"/>
    <mergeCell ref="J1608:M1608"/>
    <mergeCell ref="N1608:P1608"/>
    <mergeCell ref="Q1608:R1608"/>
    <mergeCell ref="A1609:B1609"/>
    <mergeCell ref="C1609:D1609"/>
    <mergeCell ref="E1609:I1609"/>
    <mergeCell ref="J1609:M1609"/>
    <mergeCell ref="N1609:P1609"/>
    <mergeCell ref="Q1609:R1609"/>
    <mergeCell ref="A1610:B1610"/>
    <mergeCell ref="C1610:D1610"/>
    <mergeCell ref="E1610:I1610"/>
    <mergeCell ref="J1610:M1610"/>
    <mergeCell ref="N1610:P1610"/>
    <mergeCell ref="Q1610:R1610"/>
    <mergeCell ref="A1611:B1611"/>
    <mergeCell ref="C1611:D1611"/>
    <mergeCell ref="E1611:I1611"/>
    <mergeCell ref="J1611:M1611"/>
    <mergeCell ref="N1611:P1611"/>
    <mergeCell ref="Q1611:R1611"/>
    <mergeCell ref="A1612:B1612"/>
    <mergeCell ref="C1612:D1612"/>
    <mergeCell ref="E1612:I1612"/>
    <mergeCell ref="J1612:M1612"/>
    <mergeCell ref="N1612:P1612"/>
    <mergeCell ref="Q1612:R1612"/>
    <mergeCell ref="A1613:B1613"/>
    <mergeCell ref="C1613:D1613"/>
    <mergeCell ref="E1613:I1613"/>
    <mergeCell ref="J1613:M1613"/>
    <mergeCell ref="N1613:P1613"/>
    <mergeCell ref="Q1613:R1613"/>
    <mergeCell ref="A1614:B1614"/>
    <mergeCell ref="C1614:D1614"/>
    <mergeCell ref="E1614:I1614"/>
    <mergeCell ref="J1614:M1614"/>
    <mergeCell ref="N1614:P1614"/>
    <mergeCell ref="Q1614:R1614"/>
    <mergeCell ref="A1615:B1615"/>
    <mergeCell ref="C1615:D1615"/>
    <mergeCell ref="E1615:I1615"/>
    <mergeCell ref="J1615:M1615"/>
    <mergeCell ref="N1615:P1615"/>
    <mergeCell ref="Q1615:R1615"/>
    <mergeCell ref="A1616:B1616"/>
    <mergeCell ref="C1616:D1616"/>
    <mergeCell ref="E1616:I1616"/>
    <mergeCell ref="J1616:M1616"/>
    <mergeCell ref="N1616:P1616"/>
    <mergeCell ref="Q1616:R1616"/>
    <mergeCell ref="A1617:B1617"/>
    <mergeCell ref="C1617:D1617"/>
    <mergeCell ref="E1617:I1617"/>
    <mergeCell ref="J1617:M1617"/>
    <mergeCell ref="N1617:P1617"/>
    <mergeCell ref="Q1617:R1617"/>
    <mergeCell ref="A1618:B1618"/>
    <mergeCell ref="C1618:D1618"/>
    <mergeCell ref="E1618:I1618"/>
    <mergeCell ref="J1618:M1618"/>
    <mergeCell ref="N1618:P1618"/>
    <mergeCell ref="Q1618:R1618"/>
    <mergeCell ref="A1619:B1619"/>
    <mergeCell ref="C1619:D1619"/>
    <mergeCell ref="E1619:I1619"/>
    <mergeCell ref="J1619:M1619"/>
    <mergeCell ref="N1619:P1619"/>
    <mergeCell ref="Q1619:R1619"/>
    <mergeCell ref="A1620:B1620"/>
    <mergeCell ref="C1620:D1620"/>
    <mergeCell ref="E1620:I1620"/>
    <mergeCell ref="J1620:M1620"/>
    <mergeCell ref="N1620:P1620"/>
    <mergeCell ref="Q1620:R1620"/>
    <mergeCell ref="A1621:B1621"/>
    <mergeCell ref="C1621:D1621"/>
    <mergeCell ref="E1621:I1621"/>
    <mergeCell ref="J1621:M1621"/>
    <mergeCell ref="N1621:P1621"/>
    <mergeCell ref="Q1621:R1621"/>
    <mergeCell ref="A1622:B1622"/>
    <mergeCell ref="C1622:D1622"/>
    <mergeCell ref="E1622:I1622"/>
    <mergeCell ref="J1622:M1622"/>
    <mergeCell ref="N1622:P1622"/>
    <mergeCell ref="Q1622:R1622"/>
    <mergeCell ref="A1623:B1623"/>
    <mergeCell ref="C1623:D1623"/>
    <mergeCell ref="E1623:I1623"/>
    <mergeCell ref="J1623:M1623"/>
    <mergeCell ref="N1623:P1623"/>
    <mergeCell ref="Q1623:R1623"/>
    <mergeCell ref="A1624:B1624"/>
    <mergeCell ref="C1624:D1624"/>
    <mergeCell ref="E1624:I1624"/>
    <mergeCell ref="J1624:M1624"/>
    <mergeCell ref="N1624:P1624"/>
    <mergeCell ref="Q1624:R1624"/>
    <mergeCell ref="A1625:B1625"/>
    <mergeCell ref="C1625:D1625"/>
    <mergeCell ref="E1625:I1625"/>
    <mergeCell ref="J1625:M1625"/>
    <mergeCell ref="N1625:P1625"/>
    <mergeCell ref="Q1625:R1625"/>
    <mergeCell ref="A1626:B1626"/>
    <mergeCell ref="C1626:D1626"/>
    <mergeCell ref="E1626:I1626"/>
    <mergeCell ref="J1626:M1626"/>
    <mergeCell ref="N1626:P1626"/>
    <mergeCell ref="Q1626:R1626"/>
    <mergeCell ref="A1627:B1627"/>
    <mergeCell ref="C1627:D1627"/>
    <mergeCell ref="E1627:I1627"/>
    <mergeCell ref="J1627:M1627"/>
    <mergeCell ref="N1627:P1627"/>
    <mergeCell ref="Q1627:R1627"/>
    <mergeCell ref="A1628:B1628"/>
    <mergeCell ref="C1628:D1628"/>
    <mergeCell ref="E1628:I1628"/>
    <mergeCell ref="J1628:M1628"/>
    <mergeCell ref="N1628:P1628"/>
    <mergeCell ref="Q1628:R1628"/>
    <mergeCell ref="A1629:B1629"/>
    <mergeCell ref="C1629:D1629"/>
    <mergeCell ref="E1629:I1629"/>
    <mergeCell ref="J1629:M1629"/>
    <mergeCell ref="N1629:P1629"/>
    <mergeCell ref="Q1629:R1629"/>
    <mergeCell ref="A1630:B1630"/>
    <mergeCell ref="C1630:D1630"/>
    <mergeCell ref="E1630:I1630"/>
    <mergeCell ref="J1630:M1630"/>
    <mergeCell ref="N1630:P1630"/>
    <mergeCell ref="Q1630:R1630"/>
    <mergeCell ref="A1631:B1631"/>
    <mergeCell ref="C1631:D1631"/>
    <mergeCell ref="E1631:I1631"/>
    <mergeCell ref="J1631:M1631"/>
    <mergeCell ref="N1631:P1631"/>
    <mergeCell ref="Q1631:R1631"/>
    <mergeCell ref="A1632:B1632"/>
    <mergeCell ref="C1632:D1632"/>
    <mergeCell ref="E1632:I1632"/>
    <mergeCell ref="J1632:M1632"/>
    <mergeCell ref="N1632:P1632"/>
    <mergeCell ref="Q1632:R1632"/>
    <mergeCell ref="A1633:B1633"/>
    <mergeCell ref="C1633:D1633"/>
    <mergeCell ref="E1633:I1633"/>
    <mergeCell ref="J1633:M1633"/>
    <mergeCell ref="N1633:P1633"/>
    <mergeCell ref="Q1633:R1633"/>
    <mergeCell ref="A1634:B1634"/>
    <mergeCell ref="C1634:D1634"/>
    <mergeCell ref="E1634:I1634"/>
    <mergeCell ref="J1634:M1634"/>
    <mergeCell ref="N1634:P1634"/>
    <mergeCell ref="Q1634:R1634"/>
    <mergeCell ref="A1635:B1635"/>
    <mergeCell ref="C1635:D1635"/>
    <mergeCell ref="E1635:I1635"/>
    <mergeCell ref="J1635:M1635"/>
    <mergeCell ref="N1635:P1635"/>
    <mergeCell ref="Q1635:R1635"/>
    <mergeCell ref="A1636:B1636"/>
    <mergeCell ref="C1636:D1636"/>
    <mergeCell ref="E1636:I1636"/>
    <mergeCell ref="J1636:M1636"/>
    <mergeCell ref="N1636:P1636"/>
    <mergeCell ref="Q1636:R1636"/>
    <mergeCell ref="A1637:B1637"/>
    <mergeCell ref="C1637:D1637"/>
    <mergeCell ref="E1637:I1637"/>
    <mergeCell ref="J1637:M1637"/>
    <mergeCell ref="N1637:P1637"/>
    <mergeCell ref="Q1637:R1637"/>
    <mergeCell ref="A1638:B1638"/>
    <mergeCell ref="C1638:D1638"/>
    <mergeCell ref="E1638:I1638"/>
    <mergeCell ref="J1638:M1638"/>
    <mergeCell ref="N1638:P1638"/>
    <mergeCell ref="Q1638:R1638"/>
    <mergeCell ref="A1639:B1639"/>
    <mergeCell ref="C1639:D1639"/>
    <mergeCell ref="E1639:I1639"/>
    <mergeCell ref="J1639:M1639"/>
    <mergeCell ref="N1639:P1639"/>
    <mergeCell ref="Q1639:R1639"/>
    <mergeCell ref="A1640:B1640"/>
    <mergeCell ref="C1640:D1640"/>
    <mergeCell ref="E1640:I1640"/>
    <mergeCell ref="J1640:M1640"/>
    <mergeCell ref="N1640:P1640"/>
    <mergeCell ref="Q1640:R1640"/>
    <mergeCell ref="A1641:B1641"/>
    <mergeCell ref="C1641:D1641"/>
    <mergeCell ref="E1641:I1641"/>
    <mergeCell ref="J1641:M1641"/>
    <mergeCell ref="N1641:P1641"/>
    <mergeCell ref="Q1641:R1641"/>
    <mergeCell ref="A1642:B1642"/>
    <mergeCell ref="C1642:D1642"/>
    <mergeCell ref="E1642:I1642"/>
    <mergeCell ref="J1642:M1642"/>
    <mergeCell ref="N1642:P1642"/>
    <mergeCell ref="Q1642:R1642"/>
    <mergeCell ref="A1643:B1643"/>
    <mergeCell ref="C1643:D1643"/>
    <mergeCell ref="E1643:I1643"/>
    <mergeCell ref="J1643:M1643"/>
    <mergeCell ref="N1643:P1643"/>
    <mergeCell ref="Q1643:R1643"/>
    <mergeCell ref="A1644:B1644"/>
    <mergeCell ref="C1644:D1644"/>
    <mergeCell ref="E1644:I1644"/>
    <mergeCell ref="J1644:M1644"/>
    <mergeCell ref="N1644:P1644"/>
    <mergeCell ref="Q1644:R1644"/>
    <mergeCell ref="A1645:B1645"/>
    <mergeCell ref="C1645:D1645"/>
    <mergeCell ref="E1645:I1645"/>
    <mergeCell ref="J1645:M1645"/>
    <mergeCell ref="N1645:P1645"/>
    <mergeCell ref="Q1645:R1645"/>
    <mergeCell ref="A1646:B1646"/>
    <mergeCell ref="C1646:D1646"/>
    <mergeCell ref="E1646:I1646"/>
    <mergeCell ref="J1646:M1646"/>
    <mergeCell ref="N1646:P1646"/>
    <mergeCell ref="Q1646:R1646"/>
    <mergeCell ref="A1647:B1647"/>
    <mergeCell ref="C1647:D1647"/>
    <mergeCell ref="E1647:I1647"/>
    <mergeCell ref="J1647:M1647"/>
    <mergeCell ref="N1647:P1647"/>
    <mergeCell ref="Q1647:R1647"/>
    <mergeCell ref="A1648:B1648"/>
    <mergeCell ref="C1648:D1648"/>
    <mergeCell ref="E1648:I1648"/>
    <mergeCell ref="J1648:M1648"/>
    <mergeCell ref="N1648:P1648"/>
    <mergeCell ref="Q1648:R1648"/>
    <mergeCell ref="A1649:B1649"/>
    <mergeCell ref="C1649:D1649"/>
    <mergeCell ref="E1649:I1649"/>
    <mergeCell ref="J1649:M1649"/>
    <mergeCell ref="N1649:P1649"/>
    <mergeCell ref="Q1649:R1649"/>
    <mergeCell ref="A1650:B1650"/>
    <mergeCell ref="C1650:D1650"/>
    <mergeCell ref="E1650:I1650"/>
    <mergeCell ref="J1650:M1650"/>
    <mergeCell ref="N1650:P1650"/>
    <mergeCell ref="Q1650:R1650"/>
    <mergeCell ref="A1651:B1651"/>
    <mergeCell ref="C1651:D1651"/>
    <mergeCell ref="E1651:I1651"/>
    <mergeCell ref="J1651:M1651"/>
    <mergeCell ref="N1651:P1651"/>
    <mergeCell ref="Q1651:R1651"/>
    <mergeCell ref="A1652:B1652"/>
    <mergeCell ref="C1652:D1652"/>
    <mergeCell ref="E1652:I1652"/>
    <mergeCell ref="J1652:M1652"/>
    <mergeCell ref="N1652:P1652"/>
    <mergeCell ref="Q1652:R1652"/>
    <mergeCell ref="A1653:B1653"/>
    <mergeCell ref="C1653:D1653"/>
    <mergeCell ref="E1653:I1653"/>
    <mergeCell ref="J1653:M1653"/>
    <mergeCell ref="N1653:P1653"/>
    <mergeCell ref="Q1653:R1653"/>
    <mergeCell ref="A1654:B1654"/>
    <mergeCell ref="C1654:D1654"/>
    <mergeCell ref="E1654:I1654"/>
    <mergeCell ref="J1654:M1654"/>
    <mergeCell ref="N1654:P1654"/>
    <mergeCell ref="Q1654:R1654"/>
    <mergeCell ref="A1655:B1655"/>
    <mergeCell ref="C1655:D1655"/>
    <mergeCell ref="E1655:I1655"/>
    <mergeCell ref="J1655:M1655"/>
    <mergeCell ref="N1655:P1655"/>
    <mergeCell ref="Q1655:R1655"/>
    <mergeCell ref="A1656:B1656"/>
    <mergeCell ref="C1656:D1656"/>
    <mergeCell ref="E1656:I1656"/>
    <mergeCell ref="J1656:M1656"/>
    <mergeCell ref="N1656:P1656"/>
    <mergeCell ref="Q1656:R1656"/>
    <mergeCell ref="A1657:B1657"/>
    <mergeCell ref="C1657:D1657"/>
    <mergeCell ref="E1657:I1657"/>
    <mergeCell ref="J1657:M1657"/>
    <mergeCell ref="N1657:P1657"/>
    <mergeCell ref="Q1657:R1657"/>
    <mergeCell ref="A1658:B1658"/>
    <mergeCell ref="C1658:D1658"/>
    <mergeCell ref="E1658:I1658"/>
    <mergeCell ref="J1658:M1658"/>
    <mergeCell ref="N1658:P1658"/>
    <mergeCell ref="Q1658:R1658"/>
    <mergeCell ref="A1659:B1659"/>
    <mergeCell ref="C1659:D1659"/>
    <mergeCell ref="E1659:I1659"/>
    <mergeCell ref="J1659:M1659"/>
    <mergeCell ref="N1659:P1659"/>
    <mergeCell ref="Q1659:R1659"/>
    <mergeCell ref="A1660:B1660"/>
    <mergeCell ref="C1660:D1660"/>
    <mergeCell ref="E1660:I1660"/>
    <mergeCell ref="J1660:M1660"/>
    <mergeCell ref="N1660:P1660"/>
    <mergeCell ref="Q1660:R1660"/>
    <mergeCell ref="A1661:B1661"/>
    <mergeCell ref="C1661:D1661"/>
    <mergeCell ref="E1661:I1661"/>
    <mergeCell ref="J1661:M1661"/>
    <mergeCell ref="N1661:P1661"/>
    <mergeCell ref="Q1661:R1661"/>
    <mergeCell ref="A1662:B1662"/>
    <mergeCell ref="C1662:D1662"/>
    <mergeCell ref="E1662:I1662"/>
    <mergeCell ref="J1662:M1662"/>
    <mergeCell ref="N1662:P1662"/>
    <mergeCell ref="Q1662:R1662"/>
    <mergeCell ref="A1663:B1663"/>
    <mergeCell ref="C1663:D1663"/>
    <mergeCell ref="E1663:I1663"/>
    <mergeCell ref="J1663:M1663"/>
    <mergeCell ref="N1663:P1663"/>
    <mergeCell ref="Q1663:R1663"/>
    <mergeCell ref="A1664:B1664"/>
    <mergeCell ref="C1664:D1664"/>
    <mergeCell ref="E1664:I1664"/>
    <mergeCell ref="J1664:M1664"/>
    <mergeCell ref="N1664:P1664"/>
    <mergeCell ref="Q1664:R1664"/>
    <mergeCell ref="A1665:B1665"/>
    <mergeCell ref="C1665:D1665"/>
    <mergeCell ref="E1665:I1665"/>
    <mergeCell ref="J1665:M1665"/>
    <mergeCell ref="N1665:P1665"/>
    <mergeCell ref="Q1665:R1665"/>
    <mergeCell ref="A1666:B1666"/>
    <mergeCell ref="C1666:D1666"/>
    <mergeCell ref="E1666:I1666"/>
    <mergeCell ref="J1666:M1666"/>
    <mergeCell ref="N1666:P1666"/>
    <mergeCell ref="Q1666:R1666"/>
    <mergeCell ref="A1667:B1667"/>
    <mergeCell ref="C1667:D1667"/>
    <mergeCell ref="E1667:I1667"/>
    <mergeCell ref="J1667:M1667"/>
    <mergeCell ref="N1667:P1667"/>
    <mergeCell ref="Q1667:R1667"/>
    <mergeCell ref="A1668:B1668"/>
    <mergeCell ref="C1668:D1668"/>
    <mergeCell ref="E1668:I1668"/>
    <mergeCell ref="J1668:M1668"/>
    <mergeCell ref="N1668:P1668"/>
    <mergeCell ref="Q1668:R1668"/>
    <mergeCell ref="A1669:B1669"/>
    <mergeCell ref="C1669:D1669"/>
    <mergeCell ref="E1669:I1669"/>
    <mergeCell ref="J1669:M1669"/>
    <mergeCell ref="N1669:P1669"/>
    <mergeCell ref="Q1669:R1669"/>
    <mergeCell ref="A1670:B1670"/>
    <mergeCell ref="C1670:D1670"/>
    <mergeCell ref="E1670:I1670"/>
    <mergeCell ref="J1670:M1670"/>
    <mergeCell ref="N1670:P1670"/>
    <mergeCell ref="Q1670:R1670"/>
    <mergeCell ref="A1671:B1671"/>
    <mergeCell ref="C1671:D1671"/>
    <mergeCell ref="E1671:I1671"/>
    <mergeCell ref="J1671:M1671"/>
    <mergeCell ref="N1671:P1671"/>
    <mergeCell ref="Q1671:R1671"/>
    <mergeCell ref="A1672:B1672"/>
    <mergeCell ref="C1672:D1672"/>
    <mergeCell ref="E1672:I1672"/>
    <mergeCell ref="J1672:M1672"/>
    <mergeCell ref="N1672:P1672"/>
    <mergeCell ref="Q1672:R1672"/>
    <mergeCell ref="A1673:B1673"/>
    <mergeCell ref="C1673:D1673"/>
    <mergeCell ref="E1673:I1673"/>
    <mergeCell ref="J1673:M1673"/>
    <mergeCell ref="N1673:P1673"/>
    <mergeCell ref="Q1673:R1673"/>
    <mergeCell ref="A1674:B1674"/>
    <mergeCell ref="C1674:D1674"/>
    <mergeCell ref="E1674:I1674"/>
    <mergeCell ref="J1674:M1674"/>
    <mergeCell ref="N1674:P1674"/>
    <mergeCell ref="Q1674:R1674"/>
    <mergeCell ref="A1675:B1675"/>
    <mergeCell ref="C1675:D1675"/>
    <mergeCell ref="E1675:I1675"/>
    <mergeCell ref="J1675:M1675"/>
    <mergeCell ref="N1675:P1675"/>
    <mergeCell ref="Q1675:R1675"/>
    <mergeCell ref="A1676:B1676"/>
    <mergeCell ref="C1676:D1676"/>
    <mergeCell ref="E1676:I1676"/>
    <mergeCell ref="J1676:M1676"/>
    <mergeCell ref="N1676:P1676"/>
    <mergeCell ref="Q1676:R1676"/>
    <mergeCell ref="A1677:B1677"/>
    <mergeCell ref="C1677:D1677"/>
    <mergeCell ref="E1677:I1677"/>
    <mergeCell ref="J1677:M1677"/>
    <mergeCell ref="N1677:P1677"/>
    <mergeCell ref="Q1677:R1677"/>
    <mergeCell ref="A1678:B1678"/>
    <mergeCell ref="C1678:D1678"/>
    <mergeCell ref="E1678:I1678"/>
    <mergeCell ref="J1678:M1678"/>
    <mergeCell ref="N1678:P1678"/>
    <mergeCell ref="Q1678:R1678"/>
    <mergeCell ref="A1679:B1679"/>
    <mergeCell ref="C1679:D1679"/>
    <mergeCell ref="E1679:I1679"/>
    <mergeCell ref="J1679:M1679"/>
    <mergeCell ref="N1679:P1679"/>
    <mergeCell ref="Q1679:R1679"/>
    <mergeCell ref="A1680:B1680"/>
    <mergeCell ref="C1680:D1680"/>
    <mergeCell ref="E1680:I1680"/>
    <mergeCell ref="J1680:M1680"/>
    <mergeCell ref="N1680:P1680"/>
    <mergeCell ref="Q1680:R1680"/>
    <mergeCell ref="A1681:B1681"/>
    <mergeCell ref="C1681:D1681"/>
    <mergeCell ref="E1681:I1681"/>
    <mergeCell ref="J1681:M1681"/>
    <mergeCell ref="N1681:P1681"/>
    <mergeCell ref="Q1681:R1681"/>
    <mergeCell ref="A1682:B1682"/>
    <mergeCell ref="C1682:D1682"/>
    <mergeCell ref="E1682:I1682"/>
    <mergeCell ref="J1682:M1682"/>
    <mergeCell ref="N1682:P1682"/>
    <mergeCell ref="Q1682:R1682"/>
    <mergeCell ref="A1683:B1683"/>
    <mergeCell ref="C1683:D1683"/>
    <mergeCell ref="E1683:I1683"/>
    <mergeCell ref="J1683:M1683"/>
    <mergeCell ref="N1683:P1683"/>
    <mergeCell ref="Q1683:R1683"/>
    <mergeCell ref="A1684:B1684"/>
    <mergeCell ref="C1684:D1684"/>
    <mergeCell ref="E1684:I1684"/>
    <mergeCell ref="J1684:M1684"/>
    <mergeCell ref="N1684:P1684"/>
    <mergeCell ref="Q1684:R1684"/>
    <mergeCell ref="A1685:B1685"/>
    <mergeCell ref="C1685:D1685"/>
    <mergeCell ref="E1685:I1685"/>
    <mergeCell ref="J1685:M1685"/>
    <mergeCell ref="N1685:P1685"/>
    <mergeCell ref="Q1685:R1685"/>
    <mergeCell ref="A1686:B1686"/>
    <mergeCell ref="C1686:D1686"/>
    <mergeCell ref="E1686:I1686"/>
    <mergeCell ref="J1686:M1686"/>
    <mergeCell ref="N1686:P1686"/>
    <mergeCell ref="Q1686:R1686"/>
    <mergeCell ref="A1687:B1687"/>
    <mergeCell ref="C1687:D1687"/>
    <mergeCell ref="E1687:I1687"/>
    <mergeCell ref="J1687:M1687"/>
    <mergeCell ref="N1687:P1687"/>
    <mergeCell ref="Q1687:R1687"/>
    <mergeCell ref="A1688:B1688"/>
    <mergeCell ref="C1688:D1688"/>
    <mergeCell ref="E1688:I1688"/>
    <mergeCell ref="J1688:M1688"/>
    <mergeCell ref="N1688:P1688"/>
    <mergeCell ref="Q1688:R1688"/>
    <mergeCell ref="A1689:B1689"/>
    <mergeCell ref="C1689:D1689"/>
    <mergeCell ref="E1689:I1689"/>
    <mergeCell ref="J1689:M1689"/>
    <mergeCell ref="N1689:P1689"/>
    <mergeCell ref="Q1689:R1689"/>
    <mergeCell ref="A1690:B1690"/>
    <mergeCell ref="C1690:D1690"/>
    <mergeCell ref="E1690:I1690"/>
    <mergeCell ref="J1690:M1690"/>
    <mergeCell ref="N1690:P1690"/>
    <mergeCell ref="Q1690:R1690"/>
    <mergeCell ref="A1691:B1691"/>
    <mergeCell ref="C1691:D1691"/>
    <mergeCell ref="E1691:I1691"/>
    <mergeCell ref="J1691:M1691"/>
    <mergeCell ref="N1691:P1691"/>
    <mergeCell ref="Q1691:R1691"/>
    <mergeCell ref="A1692:B1692"/>
    <mergeCell ref="C1692:D1692"/>
    <mergeCell ref="E1692:I1692"/>
    <mergeCell ref="J1692:M1692"/>
    <mergeCell ref="N1692:P1692"/>
    <mergeCell ref="Q1692:R1692"/>
    <mergeCell ref="A1693:B1693"/>
    <mergeCell ref="C1693:D1693"/>
    <mergeCell ref="E1693:I1693"/>
    <mergeCell ref="J1693:M1693"/>
    <mergeCell ref="N1693:P1693"/>
    <mergeCell ref="Q1693:R1693"/>
    <mergeCell ref="A1694:B1694"/>
    <mergeCell ref="C1694:D1694"/>
    <mergeCell ref="E1694:I1694"/>
    <mergeCell ref="J1694:M1694"/>
    <mergeCell ref="N1694:P1694"/>
    <mergeCell ref="Q1694:R1694"/>
    <mergeCell ref="A1695:B1695"/>
    <mergeCell ref="C1695:D1695"/>
    <mergeCell ref="E1695:I1695"/>
    <mergeCell ref="J1695:M1695"/>
    <mergeCell ref="N1695:P1695"/>
    <mergeCell ref="Q1695:R1695"/>
    <mergeCell ref="A1696:B1696"/>
    <mergeCell ref="C1696:D1696"/>
    <mergeCell ref="E1696:I1696"/>
    <mergeCell ref="J1696:M1696"/>
    <mergeCell ref="N1696:P1696"/>
    <mergeCell ref="Q1696:R1696"/>
    <mergeCell ref="A1697:B1697"/>
    <mergeCell ref="C1697:D1697"/>
    <mergeCell ref="E1697:I1697"/>
    <mergeCell ref="J1697:M1697"/>
    <mergeCell ref="N1697:P1697"/>
    <mergeCell ref="Q1697:R1697"/>
    <mergeCell ref="A1698:B1698"/>
    <mergeCell ref="C1698:D1698"/>
    <mergeCell ref="E1698:I1698"/>
    <mergeCell ref="J1698:M1698"/>
    <mergeCell ref="N1698:P1698"/>
    <mergeCell ref="Q1698:R1698"/>
    <mergeCell ref="A1699:B1699"/>
    <mergeCell ref="C1699:D1699"/>
    <mergeCell ref="E1699:I1699"/>
    <mergeCell ref="J1699:M1699"/>
    <mergeCell ref="N1699:P1699"/>
    <mergeCell ref="Q1699:R1699"/>
    <mergeCell ref="A1700:B1700"/>
    <mergeCell ref="C1700:D1700"/>
    <mergeCell ref="E1700:I1700"/>
    <mergeCell ref="J1700:M1700"/>
    <mergeCell ref="N1700:P1700"/>
    <mergeCell ref="Q1700:R1700"/>
    <mergeCell ref="A1701:B1701"/>
    <mergeCell ref="C1701:D1701"/>
    <mergeCell ref="E1701:I1701"/>
    <mergeCell ref="J1701:M1701"/>
    <mergeCell ref="N1701:P1701"/>
    <mergeCell ref="Q1701:R1701"/>
    <mergeCell ref="A1702:B1702"/>
    <mergeCell ref="C1702:D1702"/>
    <mergeCell ref="E1702:I1702"/>
    <mergeCell ref="J1702:M1702"/>
    <mergeCell ref="N1702:P1702"/>
    <mergeCell ref="Q1702:R1702"/>
    <mergeCell ref="A1703:B1703"/>
    <mergeCell ref="C1703:D1703"/>
    <mergeCell ref="E1703:I1703"/>
    <mergeCell ref="J1703:M1703"/>
    <mergeCell ref="N1703:P1703"/>
    <mergeCell ref="Q1703:R1703"/>
    <mergeCell ref="A1704:B1704"/>
    <mergeCell ref="C1704:D1704"/>
    <mergeCell ref="E1704:I1704"/>
    <mergeCell ref="J1704:M1704"/>
    <mergeCell ref="N1704:P1704"/>
    <mergeCell ref="Q1704:R1704"/>
    <mergeCell ref="A1705:B1705"/>
    <mergeCell ref="C1705:D1705"/>
    <mergeCell ref="E1705:I1705"/>
    <mergeCell ref="J1705:M1705"/>
    <mergeCell ref="N1705:P1705"/>
    <mergeCell ref="Q1705:R1705"/>
    <mergeCell ref="A1706:B1706"/>
    <mergeCell ref="C1706:D1706"/>
    <mergeCell ref="E1706:I1706"/>
    <mergeCell ref="J1706:M1706"/>
    <mergeCell ref="N1706:P1706"/>
    <mergeCell ref="Q1706:R1706"/>
    <mergeCell ref="A1707:B1707"/>
    <mergeCell ref="C1707:D1707"/>
    <mergeCell ref="E1707:I1707"/>
    <mergeCell ref="J1707:M1707"/>
    <mergeCell ref="N1707:P1707"/>
    <mergeCell ref="Q1707:R1707"/>
    <mergeCell ref="A1708:B1708"/>
    <mergeCell ref="C1708:D1708"/>
    <mergeCell ref="E1708:I1708"/>
    <mergeCell ref="J1708:M1708"/>
    <mergeCell ref="N1708:P1708"/>
    <mergeCell ref="Q1708:R1708"/>
    <mergeCell ref="A1709:B1709"/>
    <mergeCell ref="C1709:D1709"/>
    <mergeCell ref="E1709:I1709"/>
    <mergeCell ref="J1709:M1709"/>
    <mergeCell ref="N1709:P1709"/>
    <mergeCell ref="Q1709:R1709"/>
    <mergeCell ref="A1710:B1710"/>
    <mergeCell ref="C1710:D1710"/>
    <mergeCell ref="E1710:I1710"/>
    <mergeCell ref="J1710:M1710"/>
    <mergeCell ref="N1710:P1710"/>
    <mergeCell ref="Q1710:R1710"/>
    <mergeCell ref="A1711:B1711"/>
    <mergeCell ref="C1711:D1711"/>
    <mergeCell ref="E1711:I1711"/>
    <mergeCell ref="J1711:M1711"/>
    <mergeCell ref="N1711:P1711"/>
    <mergeCell ref="Q1711:R1711"/>
    <mergeCell ref="A1712:B1712"/>
    <mergeCell ref="C1712:D1712"/>
    <mergeCell ref="E1712:I1712"/>
    <mergeCell ref="J1712:M1712"/>
    <mergeCell ref="N1712:P1712"/>
    <mergeCell ref="Q1712:R1712"/>
    <mergeCell ref="A1713:B1713"/>
    <mergeCell ref="C1713:D1713"/>
    <mergeCell ref="E1713:I1713"/>
    <mergeCell ref="J1713:M1713"/>
    <mergeCell ref="N1713:P1713"/>
    <mergeCell ref="Q1713:R1713"/>
    <mergeCell ref="A1714:B1714"/>
    <mergeCell ref="C1714:D1714"/>
    <mergeCell ref="E1714:I1714"/>
    <mergeCell ref="J1714:M1714"/>
    <mergeCell ref="N1714:P1714"/>
    <mergeCell ref="Q1714:R1714"/>
    <mergeCell ref="A1715:B1715"/>
    <mergeCell ref="C1715:D1715"/>
    <mergeCell ref="E1715:I1715"/>
    <mergeCell ref="J1715:M1715"/>
    <mergeCell ref="N1715:P1715"/>
    <mergeCell ref="Q1715:R1715"/>
    <mergeCell ref="A1716:B1716"/>
    <mergeCell ref="C1716:D1716"/>
    <mergeCell ref="E1716:I1716"/>
    <mergeCell ref="J1716:M1716"/>
    <mergeCell ref="N1716:P1716"/>
    <mergeCell ref="Q1716:R1716"/>
    <mergeCell ref="A1717:B1717"/>
    <mergeCell ref="C1717:D1717"/>
    <mergeCell ref="E1717:I1717"/>
    <mergeCell ref="J1717:M1717"/>
    <mergeCell ref="N1717:P1717"/>
    <mergeCell ref="Q1717:R1717"/>
    <mergeCell ref="A1718:B1718"/>
    <mergeCell ref="C1718:D1718"/>
    <mergeCell ref="E1718:I1718"/>
    <mergeCell ref="J1718:M1718"/>
    <mergeCell ref="N1718:P1718"/>
    <mergeCell ref="Q1718:R1718"/>
    <mergeCell ref="A1719:B1719"/>
    <mergeCell ref="C1719:D1719"/>
    <mergeCell ref="E1719:I1719"/>
    <mergeCell ref="J1719:M1719"/>
    <mergeCell ref="N1719:P1719"/>
    <mergeCell ref="Q1719:R1719"/>
    <mergeCell ref="A1720:B1720"/>
    <mergeCell ref="C1720:D1720"/>
    <mergeCell ref="E1720:I1720"/>
    <mergeCell ref="J1720:M1720"/>
    <mergeCell ref="N1720:P1720"/>
    <mergeCell ref="Q1720:R1720"/>
    <mergeCell ref="A1721:B1721"/>
    <mergeCell ref="C1721:D1721"/>
    <mergeCell ref="E1721:I1721"/>
    <mergeCell ref="J1721:M1721"/>
    <mergeCell ref="N1721:P1721"/>
    <mergeCell ref="Q1721:R1721"/>
    <mergeCell ref="A1722:B1722"/>
    <mergeCell ref="C1722:D1722"/>
    <mergeCell ref="E1722:I1722"/>
    <mergeCell ref="J1722:M1722"/>
    <mergeCell ref="N1722:P1722"/>
    <mergeCell ref="Q1722:R1722"/>
    <mergeCell ref="A1723:B1723"/>
    <mergeCell ref="C1723:D1723"/>
    <mergeCell ref="E1723:I1723"/>
    <mergeCell ref="J1723:M1723"/>
    <mergeCell ref="N1723:P1723"/>
    <mergeCell ref="Q1723:R1723"/>
    <mergeCell ref="A1724:B1724"/>
    <mergeCell ref="C1724:D1724"/>
    <mergeCell ref="E1724:I1724"/>
    <mergeCell ref="J1724:M1724"/>
    <mergeCell ref="N1724:P1724"/>
    <mergeCell ref="Q1724:R1724"/>
    <mergeCell ref="A1725:B1725"/>
    <mergeCell ref="C1725:D1725"/>
    <mergeCell ref="E1725:I1725"/>
    <mergeCell ref="J1725:M1725"/>
    <mergeCell ref="N1725:P1725"/>
    <mergeCell ref="Q1725:R1725"/>
    <mergeCell ref="A1726:B1726"/>
    <mergeCell ref="C1726:D1726"/>
    <mergeCell ref="E1726:I1726"/>
    <mergeCell ref="J1726:M1726"/>
    <mergeCell ref="N1726:P1726"/>
    <mergeCell ref="Q1726:R1726"/>
    <mergeCell ref="A1727:B1727"/>
    <mergeCell ref="C1727:D1727"/>
    <mergeCell ref="E1727:I1727"/>
    <mergeCell ref="J1727:M1727"/>
    <mergeCell ref="N1727:P1727"/>
    <mergeCell ref="Q1727:R1727"/>
    <mergeCell ref="A1728:B1728"/>
    <mergeCell ref="C1728:D1728"/>
    <mergeCell ref="E1728:I1728"/>
    <mergeCell ref="J1728:M1728"/>
    <mergeCell ref="N1728:P1728"/>
    <mergeCell ref="Q1728:R1728"/>
    <mergeCell ref="A1729:B1729"/>
    <mergeCell ref="C1729:D1729"/>
    <mergeCell ref="E1729:I1729"/>
    <mergeCell ref="J1729:M1729"/>
    <mergeCell ref="N1729:P1729"/>
    <mergeCell ref="Q1729:R1729"/>
    <mergeCell ref="A1730:B1730"/>
    <mergeCell ref="C1730:D1730"/>
    <mergeCell ref="E1730:I1730"/>
    <mergeCell ref="J1730:M1730"/>
    <mergeCell ref="N1730:P1730"/>
    <mergeCell ref="Q1730:R1730"/>
    <mergeCell ref="A1731:B1731"/>
    <mergeCell ref="C1731:D1731"/>
    <mergeCell ref="E1731:I1731"/>
    <mergeCell ref="J1731:M1731"/>
    <mergeCell ref="N1731:P1731"/>
    <mergeCell ref="Q1731:R1731"/>
    <mergeCell ref="A1732:B1732"/>
    <mergeCell ref="C1732:D1732"/>
    <mergeCell ref="E1732:I1732"/>
    <mergeCell ref="J1732:M1732"/>
    <mergeCell ref="N1732:P1732"/>
    <mergeCell ref="Q1732:R1732"/>
    <mergeCell ref="A1733:B1733"/>
    <mergeCell ref="C1733:D1733"/>
    <mergeCell ref="E1733:I1733"/>
    <mergeCell ref="J1733:M1733"/>
    <mergeCell ref="N1733:P1733"/>
    <mergeCell ref="Q1733:R1733"/>
    <mergeCell ref="A1734:B1734"/>
    <mergeCell ref="C1734:D1734"/>
    <mergeCell ref="E1734:I1734"/>
    <mergeCell ref="J1734:M1734"/>
    <mergeCell ref="N1734:P1734"/>
    <mergeCell ref="Q1734:R1734"/>
    <mergeCell ref="A1735:B1735"/>
    <mergeCell ref="C1735:D1735"/>
    <mergeCell ref="E1735:I1735"/>
    <mergeCell ref="J1735:M1735"/>
    <mergeCell ref="N1735:P1735"/>
    <mergeCell ref="Q1735:R1735"/>
    <mergeCell ref="A1736:B1736"/>
    <mergeCell ref="C1736:D1736"/>
    <mergeCell ref="E1736:I1736"/>
    <mergeCell ref="J1736:M1736"/>
    <mergeCell ref="N1736:P1736"/>
    <mergeCell ref="Q1736:R1736"/>
    <mergeCell ref="A1737:B1737"/>
    <mergeCell ref="C1737:D1737"/>
    <mergeCell ref="E1737:I1737"/>
    <mergeCell ref="J1737:M1737"/>
    <mergeCell ref="N1737:P1737"/>
    <mergeCell ref="Q1737:R1737"/>
    <mergeCell ref="A1738:B1738"/>
    <mergeCell ref="C1738:D1738"/>
    <mergeCell ref="E1738:I1738"/>
    <mergeCell ref="J1738:M1738"/>
    <mergeCell ref="N1738:P1738"/>
    <mergeCell ref="Q1738:R1738"/>
    <mergeCell ref="A1739:B1739"/>
    <mergeCell ref="C1739:D1739"/>
    <mergeCell ref="E1739:I1739"/>
    <mergeCell ref="J1739:M1739"/>
    <mergeCell ref="N1739:P1739"/>
    <mergeCell ref="Q1739:R1739"/>
    <mergeCell ref="A1740:B1740"/>
    <mergeCell ref="C1740:D1740"/>
    <mergeCell ref="E1740:I1740"/>
    <mergeCell ref="J1740:M1740"/>
    <mergeCell ref="N1740:P1740"/>
    <mergeCell ref="Q1740:R1740"/>
    <mergeCell ref="A1741:B1741"/>
    <mergeCell ref="C1741:D1741"/>
    <mergeCell ref="E1741:I1741"/>
    <mergeCell ref="J1741:M1741"/>
    <mergeCell ref="N1741:P1741"/>
    <mergeCell ref="Q1741:R1741"/>
    <mergeCell ref="A1742:B1742"/>
    <mergeCell ref="C1742:D1742"/>
    <mergeCell ref="E1742:I1742"/>
    <mergeCell ref="J1742:M1742"/>
    <mergeCell ref="N1742:P1742"/>
    <mergeCell ref="Q1742:R1742"/>
    <mergeCell ref="A1743:B1743"/>
    <mergeCell ref="C1743:D1743"/>
    <mergeCell ref="E1743:I1743"/>
    <mergeCell ref="J1743:M1743"/>
    <mergeCell ref="N1743:P1743"/>
    <mergeCell ref="Q1743:R1743"/>
    <mergeCell ref="A1744:B1744"/>
    <mergeCell ref="C1744:D1744"/>
    <mergeCell ref="E1744:I1744"/>
    <mergeCell ref="J1744:M1744"/>
    <mergeCell ref="N1744:P1744"/>
    <mergeCell ref="Q1744:R1744"/>
    <mergeCell ref="A1745:B1745"/>
    <mergeCell ref="C1745:D1745"/>
    <mergeCell ref="E1745:I1745"/>
    <mergeCell ref="J1745:M1745"/>
    <mergeCell ref="N1745:P1745"/>
    <mergeCell ref="Q1745:R1745"/>
    <mergeCell ref="A1746:B1746"/>
    <mergeCell ref="C1746:D1746"/>
    <mergeCell ref="E1746:I1746"/>
    <mergeCell ref="J1746:M1746"/>
    <mergeCell ref="N1746:P1746"/>
    <mergeCell ref="Q1746:R1746"/>
    <mergeCell ref="A1747:B1747"/>
    <mergeCell ref="C1747:D1747"/>
    <mergeCell ref="E1747:I1747"/>
    <mergeCell ref="J1747:M1747"/>
    <mergeCell ref="N1747:P1747"/>
    <mergeCell ref="Q1747:R1747"/>
    <mergeCell ref="A1748:B1748"/>
    <mergeCell ref="C1748:D1748"/>
    <mergeCell ref="E1748:I1748"/>
    <mergeCell ref="J1748:M1748"/>
    <mergeCell ref="N1748:P1748"/>
    <mergeCell ref="Q1748:R1748"/>
    <mergeCell ref="A1749:B1749"/>
    <mergeCell ref="C1749:D1749"/>
    <mergeCell ref="E1749:I1749"/>
    <mergeCell ref="J1749:M1749"/>
    <mergeCell ref="N1749:P1749"/>
    <mergeCell ref="Q1749:R1749"/>
    <mergeCell ref="A1750:B1750"/>
    <mergeCell ref="C1750:D1750"/>
    <mergeCell ref="E1750:I1750"/>
    <mergeCell ref="J1750:M1750"/>
    <mergeCell ref="N1750:P1750"/>
    <mergeCell ref="Q1750:R1750"/>
    <mergeCell ref="A1751:B1751"/>
    <mergeCell ref="C1751:D1751"/>
    <mergeCell ref="E1751:I1751"/>
    <mergeCell ref="J1751:M1751"/>
    <mergeCell ref="N1751:P1751"/>
    <mergeCell ref="Q1751:R1751"/>
    <mergeCell ref="A1752:B1752"/>
    <mergeCell ref="C1752:D1752"/>
    <mergeCell ref="E1752:I1752"/>
    <mergeCell ref="J1752:M1752"/>
    <mergeCell ref="N1752:P1752"/>
    <mergeCell ref="Q1752:R1752"/>
    <mergeCell ref="A1753:B1753"/>
    <mergeCell ref="C1753:D1753"/>
    <mergeCell ref="E1753:I1753"/>
    <mergeCell ref="J1753:M1753"/>
    <mergeCell ref="N1753:P1753"/>
    <mergeCell ref="Q1753:R1753"/>
    <mergeCell ref="A1754:B1754"/>
    <mergeCell ref="C1754:D1754"/>
    <mergeCell ref="E1754:I1754"/>
    <mergeCell ref="J1754:M1754"/>
    <mergeCell ref="N1754:P1754"/>
    <mergeCell ref="Q1754:R1754"/>
    <mergeCell ref="A1755:B1755"/>
    <mergeCell ref="C1755:D1755"/>
    <mergeCell ref="E1755:I1755"/>
    <mergeCell ref="J1755:M1755"/>
    <mergeCell ref="N1755:P1755"/>
    <mergeCell ref="Q1755:R1755"/>
    <mergeCell ref="A1756:B1756"/>
    <mergeCell ref="C1756:D1756"/>
    <mergeCell ref="E1756:I1756"/>
    <mergeCell ref="J1756:M1756"/>
    <mergeCell ref="N1756:P1756"/>
    <mergeCell ref="Q1756:R1756"/>
    <mergeCell ref="A1757:B1757"/>
    <mergeCell ref="C1757:D1757"/>
    <mergeCell ref="E1757:I1757"/>
    <mergeCell ref="J1757:M1757"/>
    <mergeCell ref="N1757:P1757"/>
    <mergeCell ref="Q1757:R1757"/>
    <mergeCell ref="A1758:B1758"/>
    <mergeCell ref="C1758:D1758"/>
    <mergeCell ref="E1758:I1758"/>
    <mergeCell ref="J1758:M1758"/>
    <mergeCell ref="N1758:P1758"/>
    <mergeCell ref="Q1758:R1758"/>
    <mergeCell ref="A1759:B1759"/>
    <mergeCell ref="C1759:D1759"/>
    <mergeCell ref="E1759:I1759"/>
    <mergeCell ref="J1759:M1759"/>
    <mergeCell ref="N1759:P1759"/>
    <mergeCell ref="Q1759:R1759"/>
    <mergeCell ref="A1760:B1760"/>
    <mergeCell ref="C1760:D1760"/>
    <mergeCell ref="E1760:I1760"/>
    <mergeCell ref="J1760:M1760"/>
    <mergeCell ref="N1760:P1760"/>
    <mergeCell ref="Q1760:R1760"/>
    <mergeCell ref="A1761:B1761"/>
    <mergeCell ref="C1761:D1761"/>
    <mergeCell ref="E1761:I1761"/>
    <mergeCell ref="J1761:M1761"/>
    <mergeCell ref="N1761:P1761"/>
    <mergeCell ref="Q1761:R1761"/>
    <mergeCell ref="A1762:B1762"/>
    <mergeCell ref="C1762:D1762"/>
    <mergeCell ref="E1762:I1762"/>
    <mergeCell ref="J1762:M1762"/>
    <mergeCell ref="N1762:P1762"/>
    <mergeCell ref="Q1762:R1762"/>
    <mergeCell ref="A1763:B1763"/>
    <mergeCell ref="C1763:D1763"/>
    <mergeCell ref="E1763:I1763"/>
    <mergeCell ref="J1763:M1763"/>
    <mergeCell ref="N1763:P1763"/>
    <mergeCell ref="Q1763:R1763"/>
    <mergeCell ref="A1764:B1764"/>
    <mergeCell ref="C1764:D1764"/>
    <mergeCell ref="E1764:I1764"/>
    <mergeCell ref="J1764:M1764"/>
    <mergeCell ref="N1764:P1764"/>
    <mergeCell ref="Q1764:R1764"/>
    <mergeCell ref="A1765:B1765"/>
    <mergeCell ref="C1765:D1765"/>
    <mergeCell ref="E1765:I1765"/>
    <mergeCell ref="J1765:M1765"/>
    <mergeCell ref="N1765:P1765"/>
    <mergeCell ref="Q1765:R1765"/>
    <mergeCell ref="A1766:B1766"/>
    <mergeCell ref="C1766:D1766"/>
    <mergeCell ref="E1766:I1766"/>
    <mergeCell ref="J1766:M1766"/>
    <mergeCell ref="N1766:P1766"/>
    <mergeCell ref="Q1766:R1766"/>
    <mergeCell ref="A1767:B1767"/>
    <mergeCell ref="C1767:D1767"/>
    <mergeCell ref="E1767:I1767"/>
    <mergeCell ref="J1767:M1767"/>
    <mergeCell ref="N1767:P1767"/>
    <mergeCell ref="Q1767:R1767"/>
    <mergeCell ref="A1768:B1768"/>
    <mergeCell ref="C1768:D1768"/>
    <mergeCell ref="E1768:I1768"/>
    <mergeCell ref="J1768:M1768"/>
    <mergeCell ref="N1768:P1768"/>
    <mergeCell ref="Q1768:R1768"/>
    <mergeCell ref="A1769:B1769"/>
    <mergeCell ref="C1769:D1769"/>
    <mergeCell ref="E1769:I1769"/>
    <mergeCell ref="J1769:M1769"/>
    <mergeCell ref="N1769:P1769"/>
    <mergeCell ref="Q1769:R1769"/>
    <mergeCell ref="A1770:B1770"/>
    <mergeCell ref="C1770:D1770"/>
    <mergeCell ref="E1770:I1770"/>
    <mergeCell ref="J1770:M1770"/>
    <mergeCell ref="N1770:P1770"/>
    <mergeCell ref="Q1770:R1770"/>
    <mergeCell ref="A1771:B1771"/>
    <mergeCell ref="C1771:D1771"/>
    <mergeCell ref="E1771:I1771"/>
    <mergeCell ref="J1771:M1771"/>
    <mergeCell ref="N1771:P1771"/>
    <mergeCell ref="Q1771:R1771"/>
    <mergeCell ref="A1772:B1772"/>
    <mergeCell ref="C1772:D1772"/>
    <mergeCell ref="E1772:I1772"/>
    <mergeCell ref="J1772:M1772"/>
    <mergeCell ref="N1772:P1772"/>
    <mergeCell ref="Q1772:R1772"/>
    <mergeCell ref="A1773:B1773"/>
    <mergeCell ref="C1773:D1773"/>
    <mergeCell ref="E1773:I1773"/>
    <mergeCell ref="J1773:M1773"/>
    <mergeCell ref="N1773:P1773"/>
    <mergeCell ref="Q1773:R1773"/>
    <mergeCell ref="A1774:B1774"/>
    <mergeCell ref="C1774:D1774"/>
    <mergeCell ref="E1774:I1774"/>
    <mergeCell ref="J1774:M1774"/>
    <mergeCell ref="N1774:P1774"/>
    <mergeCell ref="Q1774:R1774"/>
    <mergeCell ref="A1775:B1775"/>
    <mergeCell ref="C1775:D1775"/>
    <mergeCell ref="E1775:I1775"/>
    <mergeCell ref="J1775:M1775"/>
    <mergeCell ref="N1775:P1775"/>
    <mergeCell ref="Q1775:R1775"/>
    <mergeCell ref="A1776:B1776"/>
    <mergeCell ref="C1776:D1776"/>
    <mergeCell ref="E1776:I1776"/>
    <mergeCell ref="J1776:M1776"/>
    <mergeCell ref="N1776:P1776"/>
    <mergeCell ref="Q1776:R1776"/>
    <mergeCell ref="A1777:B1777"/>
    <mergeCell ref="C1777:D1777"/>
    <mergeCell ref="E1777:I1777"/>
    <mergeCell ref="J1777:M1777"/>
    <mergeCell ref="N1777:P1777"/>
    <mergeCell ref="Q1777:R1777"/>
    <mergeCell ref="A1778:B1778"/>
    <mergeCell ref="C1778:D1778"/>
    <mergeCell ref="E1778:I1778"/>
    <mergeCell ref="J1778:M1778"/>
    <mergeCell ref="N1778:P1778"/>
    <mergeCell ref="Q1778:R1778"/>
    <mergeCell ref="A1779:B1779"/>
    <mergeCell ref="C1779:D1779"/>
    <mergeCell ref="E1779:I1779"/>
    <mergeCell ref="J1779:M1779"/>
    <mergeCell ref="N1779:P1779"/>
    <mergeCell ref="Q1779:R1779"/>
    <mergeCell ref="A1780:B1780"/>
    <mergeCell ref="C1780:D1780"/>
    <mergeCell ref="E1780:I1780"/>
    <mergeCell ref="J1780:M1780"/>
    <mergeCell ref="N1780:P1780"/>
    <mergeCell ref="Q1780:R1780"/>
    <mergeCell ref="A1781:B1781"/>
    <mergeCell ref="C1781:D1781"/>
    <mergeCell ref="E1781:I1781"/>
    <mergeCell ref="J1781:M1781"/>
    <mergeCell ref="N1781:P1781"/>
    <mergeCell ref="Q1781:R1781"/>
    <mergeCell ref="A1782:B1782"/>
    <mergeCell ref="C1782:D1782"/>
    <mergeCell ref="E1782:I1782"/>
    <mergeCell ref="J1782:M1782"/>
    <mergeCell ref="N1782:P1782"/>
    <mergeCell ref="Q1782:R1782"/>
    <mergeCell ref="A1783:B1783"/>
    <mergeCell ref="C1783:D1783"/>
    <mergeCell ref="E1783:I1783"/>
    <mergeCell ref="J1783:M1783"/>
    <mergeCell ref="N1783:P1783"/>
    <mergeCell ref="Q1783:R1783"/>
    <mergeCell ref="A1784:B1784"/>
    <mergeCell ref="C1784:D1784"/>
    <mergeCell ref="E1784:I1784"/>
    <mergeCell ref="J1784:M1784"/>
    <mergeCell ref="N1784:P1784"/>
    <mergeCell ref="Q1784:R1784"/>
    <mergeCell ref="A1785:B1785"/>
    <mergeCell ref="C1785:D1785"/>
    <mergeCell ref="E1785:I1785"/>
    <mergeCell ref="J1785:M1785"/>
    <mergeCell ref="N1785:P1785"/>
    <mergeCell ref="Q1785:R1785"/>
    <mergeCell ref="A1786:B1786"/>
    <mergeCell ref="C1786:D1786"/>
    <mergeCell ref="E1786:I1786"/>
    <mergeCell ref="J1786:M1786"/>
    <mergeCell ref="N1786:P1786"/>
    <mergeCell ref="Q1786:R1786"/>
    <mergeCell ref="A1787:B1787"/>
    <mergeCell ref="C1787:D1787"/>
    <mergeCell ref="E1787:I1787"/>
    <mergeCell ref="J1787:M1787"/>
    <mergeCell ref="N1787:P1787"/>
    <mergeCell ref="Q1787:R1787"/>
    <mergeCell ref="A1788:B1788"/>
    <mergeCell ref="C1788:D1788"/>
    <mergeCell ref="E1788:I1788"/>
    <mergeCell ref="J1788:M1788"/>
    <mergeCell ref="N1788:P1788"/>
    <mergeCell ref="Q1788:R1788"/>
    <mergeCell ref="A1789:B1789"/>
    <mergeCell ref="C1789:D1789"/>
    <mergeCell ref="E1789:I1789"/>
    <mergeCell ref="J1789:M1789"/>
    <mergeCell ref="N1789:P1789"/>
    <mergeCell ref="Q1789:R1789"/>
    <mergeCell ref="A1790:B1790"/>
    <mergeCell ref="C1790:D1790"/>
    <mergeCell ref="E1790:I1790"/>
    <mergeCell ref="J1790:M1790"/>
    <mergeCell ref="N1790:P1790"/>
    <mergeCell ref="Q1790:R1790"/>
    <mergeCell ref="A1791:B1791"/>
    <mergeCell ref="C1791:D1791"/>
    <mergeCell ref="E1791:I1791"/>
    <mergeCell ref="J1791:M1791"/>
    <mergeCell ref="N1791:P1791"/>
    <mergeCell ref="Q1791:R1791"/>
    <mergeCell ref="A1792:B1792"/>
    <mergeCell ref="C1792:D1792"/>
    <mergeCell ref="E1792:I1792"/>
    <mergeCell ref="J1792:M1792"/>
    <mergeCell ref="N1792:P1792"/>
    <mergeCell ref="Q1792:R1792"/>
    <mergeCell ref="A1793:B1793"/>
    <mergeCell ref="C1793:D1793"/>
    <mergeCell ref="E1793:I1793"/>
    <mergeCell ref="J1793:M1793"/>
    <mergeCell ref="N1793:P1793"/>
    <mergeCell ref="Q1793:R1793"/>
    <mergeCell ref="A1794:B1794"/>
    <mergeCell ref="C1794:D1794"/>
    <mergeCell ref="E1794:I1794"/>
    <mergeCell ref="J1794:M1794"/>
    <mergeCell ref="N1794:P1794"/>
    <mergeCell ref="Q1794:R1794"/>
    <mergeCell ref="A1795:B1795"/>
    <mergeCell ref="C1795:D1795"/>
    <mergeCell ref="E1795:I1795"/>
    <mergeCell ref="J1795:M1795"/>
    <mergeCell ref="N1795:P1795"/>
    <mergeCell ref="Q1795:R1795"/>
    <mergeCell ref="A1796:B1796"/>
    <mergeCell ref="C1796:D1796"/>
    <mergeCell ref="E1796:I1796"/>
    <mergeCell ref="J1796:M1796"/>
    <mergeCell ref="N1796:P1796"/>
    <mergeCell ref="Q1796:R1796"/>
    <mergeCell ref="A1797:B1797"/>
    <mergeCell ref="C1797:D1797"/>
    <mergeCell ref="E1797:I1797"/>
    <mergeCell ref="J1797:M1797"/>
    <mergeCell ref="N1797:P1797"/>
    <mergeCell ref="Q1797:R1797"/>
    <mergeCell ref="A1798:B1798"/>
    <mergeCell ref="C1798:D1798"/>
    <mergeCell ref="E1798:I1798"/>
    <mergeCell ref="J1798:M1798"/>
    <mergeCell ref="N1798:P1798"/>
    <mergeCell ref="Q1798:R1798"/>
    <mergeCell ref="A1799:B1799"/>
    <mergeCell ref="C1799:D1799"/>
    <mergeCell ref="E1799:I1799"/>
    <mergeCell ref="J1799:M1799"/>
    <mergeCell ref="N1799:P1799"/>
    <mergeCell ref="Q1799:R1799"/>
    <mergeCell ref="A1800:B1800"/>
    <mergeCell ref="C1800:D1800"/>
    <mergeCell ref="E1800:I1800"/>
    <mergeCell ref="J1800:M1800"/>
    <mergeCell ref="N1800:P1800"/>
    <mergeCell ref="Q1800:R1800"/>
    <mergeCell ref="A1801:B1801"/>
    <mergeCell ref="C1801:D1801"/>
    <mergeCell ref="E1801:I1801"/>
    <mergeCell ref="J1801:M1801"/>
    <mergeCell ref="N1801:P1801"/>
    <mergeCell ref="Q1801:R1801"/>
    <mergeCell ref="A1802:B1802"/>
    <mergeCell ref="C1802:D1802"/>
    <mergeCell ref="E1802:I1802"/>
    <mergeCell ref="J1802:M1802"/>
    <mergeCell ref="N1802:P1802"/>
    <mergeCell ref="Q1802:R1802"/>
    <mergeCell ref="A1803:B1803"/>
    <mergeCell ref="C1803:D1803"/>
    <mergeCell ref="E1803:I1803"/>
    <mergeCell ref="J1803:M1803"/>
    <mergeCell ref="N1803:P1803"/>
    <mergeCell ref="Q1803:R1803"/>
    <mergeCell ref="A1804:B1804"/>
    <mergeCell ref="C1804:D1804"/>
    <mergeCell ref="E1804:I1804"/>
    <mergeCell ref="J1804:M1804"/>
    <mergeCell ref="N1804:P1804"/>
    <mergeCell ref="Q1804:R1804"/>
    <mergeCell ref="A1805:B1805"/>
    <mergeCell ref="C1805:D1805"/>
    <mergeCell ref="E1805:I1805"/>
    <mergeCell ref="J1805:M1805"/>
    <mergeCell ref="N1805:P1805"/>
    <mergeCell ref="Q1805:R1805"/>
    <mergeCell ref="A1806:B1806"/>
    <mergeCell ref="C1806:D1806"/>
    <mergeCell ref="E1806:I1806"/>
    <mergeCell ref="J1806:M1806"/>
    <mergeCell ref="N1806:P1806"/>
    <mergeCell ref="Q1806:R1806"/>
    <mergeCell ref="A1807:B1807"/>
    <mergeCell ref="C1807:D1807"/>
    <mergeCell ref="E1807:I1807"/>
    <mergeCell ref="J1807:M1807"/>
    <mergeCell ref="N1807:P1807"/>
    <mergeCell ref="Q1807:R1807"/>
    <mergeCell ref="A1808:B1808"/>
    <mergeCell ref="C1808:D1808"/>
    <mergeCell ref="E1808:I1808"/>
    <mergeCell ref="J1808:M1808"/>
    <mergeCell ref="N1808:P1808"/>
    <mergeCell ref="Q1808:R1808"/>
    <mergeCell ref="A1809:B1809"/>
    <mergeCell ref="C1809:D1809"/>
    <mergeCell ref="E1809:I1809"/>
    <mergeCell ref="J1809:M1809"/>
    <mergeCell ref="N1809:P1809"/>
    <mergeCell ref="Q1809:R1809"/>
    <mergeCell ref="A1810:B1810"/>
    <mergeCell ref="C1810:D1810"/>
    <mergeCell ref="E1810:I1810"/>
    <mergeCell ref="J1810:M1810"/>
    <mergeCell ref="N1810:P1810"/>
    <mergeCell ref="Q1810:R1810"/>
    <mergeCell ref="A1811:B1811"/>
    <mergeCell ref="C1811:D1811"/>
    <mergeCell ref="E1811:I1811"/>
    <mergeCell ref="J1811:M1811"/>
    <mergeCell ref="N1811:P1811"/>
    <mergeCell ref="Q1811:R1811"/>
    <mergeCell ref="A1812:B1812"/>
    <mergeCell ref="C1812:D1812"/>
    <mergeCell ref="E1812:I1812"/>
    <mergeCell ref="J1812:M1812"/>
    <mergeCell ref="N1812:P1812"/>
    <mergeCell ref="Q1812:R1812"/>
    <mergeCell ref="A1813:B1813"/>
    <mergeCell ref="C1813:D1813"/>
    <mergeCell ref="E1813:I1813"/>
    <mergeCell ref="J1813:M1813"/>
    <mergeCell ref="N1813:P1813"/>
    <mergeCell ref="Q1813:R1813"/>
    <mergeCell ref="A1814:B1814"/>
    <mergeCell ref="C1814:D1814"/>
    <mergeCell ref="E1814:I1814"/>
    <mergeCell ref="J1814:M1814"/>
    <mergeCell ref="N1814:P1814"/>
    <mergeCell ref="Q1814:R1814"/>
    <mergeCell ref="A1815:B1815"/>
    <mergeCell ref="C1815:D1815"/>
    <mergeCell ref="E1815:I1815"/>
    <mergeCell ref="J1815:M1815"/>
    <mergeCell ref="N1815:P1815"/>
    <mergeCell ref="Q1815:R1815"/>
    <mergeCell ref="A1816:B1816"/>
    <mergeCell ref="C1816:D1816"/>
    <mergeCell ref="E1816:I1816"/>
    <mergeCell ref="J1816:M1816"/>
    <mergeCell ref="N1816:P1816"/>
    <mergeCell ref="Q1816:R1816"/>
    <mergeCell ref="A1817:B1817"/>
    <mergeCell ref="C1817:D1817"/>
    <mergeCell ref="E1817:I1817"/>
    <mergeCell ref="J1817:M1817"/>
    <mergeCell ref="N1817:P1817"/>
    <mergeCell ref="Q1817:R1817"/>
    <mergeCell ref="A1818:B1818"/>
    <mergeCell ref="C1818:D1818"/>
    <mergeCell ref="E1818:I1818"/>
    <mergeCell ref="J1818:M1818"/>
    <mergeCell ref="N1818:P1818"/>
    <mergeCell ref="Q1818:R1818"/>
    <mergeCell ref="A1819:B1819"/>
    <mergeCell ref="C1819:D1819"/>
    <mergeCell ref="E1819:I1819"/>
    <mergeCell ref="J1819:M1819"/>
    <mergeCell ref="N1819:P1819"/>
    <mergeCell ref="Q1819:R1819"/>
    <mergeCell ref="A1820:B1820"/>
    <mergeCell ref="C1820:D1820"/>
    <mergeCell ref="E1820:I1820"/>
    <mergeCell ref="J1820:M1820"/>
    <mergeCell ref="N1820:P1820"/>
    <mergeCell ref="Q1820:R1820"/>
    <mergeCell ref="A1821:B1821"/>
    <mergeCell ref="C1821:D1821"/>
    <mergeCell ref="E1821:I1821"/>
    <mergeCell ref="J1821:M1821"/>
    <mergeCell ref="N1821:P1821"/>
    <mergeCell ref="Q1821:R1821"/>
    <mergeCell ref="A1822:B1822"/>
    <mergeCell ref="C1822:D1822"/>
    <mergeCell ref="E1822:I1822"/>
    <mergeCell ref="J1822:M1822"/>
    <mergeCell ref="N1822:P1822"/>
    <mergeCell ref="Q1822:R1822"/>
    <mergeCell ref="A1823:B1823"/>
    <mergeCell ref="C1823:D1823"/>
    <mergeCell ref="E1823:I1823"/>
    <mergeCell ref="J1823:M1823"/>
    <mergeCell ref="N1823:P1823"/>
    <mergeCell ref="Q1823:R1823"/>
    <mergeCell ref="A1824:B1824"/>
    <mergeCell ref="C1824:D1824"/>
    <mergeCell ref="E1824:I1824"/>
    <mergeCell ref="J1824:M1824"/>
    <mergeCell ref="N1824:P1824"/>
    <mergeCell ref="Q1824:R1824"/>
    <mergeCell ref="A1825:B1825"/>
    <mergeCell ref="C1825:D1825"/>
    <mergeCell ref="E1825:I1825"/>
    <mergeCell ref="J1825:M1825"/>
    <mergeCell ref="N1825:P1825"/>
    <mergeCell ref="Q1825:R1825"/>
    <mergeCell ref="A1826:B1826"/>
    <mergeCell ref="C1826:D1826"/>
    <mergeCell ref="E1826:I1826"/>
    <mergeCell ref="J1826:M1826"/>
    <mergeCell ref="N1826:P1826"/>
    <mergeCell ref="Q1826:R1826"/>
    <mergeCell ref="A1827:B1827"/>
    <mergeCell ref="C1827:D1827"/>
    <mergeCell ref="E1827:I1827"/>
    <mergeCell ref="J1827:M1827"/>
    <mergeCell ref="N1827:P1827"/>
    <mergeCell ref="Q1827:R1827"/>
    <mergeCell ref="A1828:B1828"/>
    <mergeCell ref="C1828:D1828"/>
    <mergeCell ref="E1828:I1828"/>
    <mergeCell ref="J1828:M1828"/>
    <mergeCell ref="N1828:P1828"/>
    <mergeCell ref="Q1828:R1828"/>
    <mergeCell ref="A1829:B1829"/>
    <mergeCell ref="C1829:D1829"/>
    <mergeCell ref="E1829:I1829"/>
    <mergeCell ref="J1829:M1829"/>
    <mergeCell ref="N1829:P1829"/>
    <mergeCell ref="Q1829:R1829"/>
    <mergeCell ref="A1830:B1830"/>
    <mergeCell ref="C1830:D1830"/>
    <mergeCell ref="E1830:I1830"/>
    <mergeCell ref="J1830:M1830"/>
    <mergeCell ref="N1830:P1830"/>
    <mergeCell ref="Q1830:R1830"/>
    <mergeCell ref="A1831:B1831"/>
    <mergeCell ref="C1831:D1831"/>
    <mergeCell ref="E1831:I1831"/>
    <mergeCell ref="J1831:M1831"/>
    <mergeCell ref="N1831:P1831"/>
    <mergeCell ref="Q1831:R1831"/>
    <mergeCell ref="A1832:B1832"/>
    <mergeCell ref="C1832:D1832"/>
    <mergeCell ref="E1832:I1832"/>
    <mergeCell ref="J1832:M1832"/>
    <mergeCell ref="N1832:P1832"/>
    <mergeCell ref="Q1832:R1832"/>
    <mergeCell ref="A1833:B1833"/>
    <mergeCell ref="C1833:D1833"/>
    <mergeCell ref="E1833:I1833"/>
    <mergeCell ref="J1833:M1833"/>
    <mergeCell ref="N1833:P1833"/>
    <mergeCell ref="Q1833:R1833"/>
    <mergeCell ref="A1834:B1834"/>
    <mergeCell ref="C1834:D1834"/>
    <mergeCell ref="E1834:I1834"/>
    <mergeCell ref="J1834:M1834"/>
    <mergeCell ref="N1834:P1834"/>
    <mergeCell ref="Q1834:R1834"/>
    <mergeCell ref="A1835:B1835"/>
    <mergeCell ref="C1835:D1835"/>
    <mergeCell ref="E1835:I1835"/>
    <mergeCell ref="J1835:M1835"/>
    <mergeCell ref="N1835:P1835"/>
    <mergeCell ref="Q1835:R1835"/>
    <mergeCell ref="A1836:B1836"/>
    <mergeCell ref="C1836:D1836"/>
    <mergeCell ref="E1836:I1836"/>
    <mergeCell ref="J1836:M1836"/>
    <mergeCell ref="N1836:P1836"/>
    <mergeCell ref="Q1836:R1836"/>
    <mergeCell ref="A1837:B1837"/>
    <mergeCell ref="C1837:D1837"/>
    <mergeCell ref="E1837:I1837"/>
    <mergeCell ref="J1837:M1837"/>
    <mergeCell ref="N1837:P1837"/>
    <mergeCell ref="Q1837:R1837"/>
    <mergeCell ref="A1838:B1838"/>
    <mergeCell ref="C1838:D1838"/>
    <mergeCell ref="E1838:I1838"/>
    <mergeCell ref="J1838:M1838"/>
    <mergeCell ref="N1838:P1838"/>
    <mergeCell ref="Q1838:R1838"/>
    <mergeCell ref="A1839:B1839"/>
    <mergeCell ref="C1839:D1839"/>
    <mergeCell ref="E1839:I1839"/>
    <mergeCell ref="J1839:M1839"/>
    <mergeCell ref="N1839:P1839"/>
    <mergeCell ref="Q1839:R1839"/>
    <mergeCell ref="A1840:B1840"/>
    <mergeCell ref="C1840:D1840"/>
    <mergeCell ref="E1840:I1840"/>
    <mergeCell ref="J1840:M1840"/>
    <mergeCell ref="N1840:P1840"/>
    <mergeCell ref="Q1840:R1840"/>
    <mergeCell ref="A1841:B1841"/>
    <mergeCell ref="C1841:D1841"/>
    <mergeCell ref="E1841:I1841"/>
    <mergeCell ref="J1841:M1841"/>
    <mergeCell ref="N1841:P1841"/>
    <mergeCell ref="Q1841:R1841"/>
    <mergeCell ref="A1842:B1842"/>
    <mergeCell ref="C1842:D1842"/>
    <mergeCell ref="E1842:I1842"/>
    <mergeCell ref="J1842:M1842"/>
    <mergeCell ref="N1842:P1842"/>
    <mergeCell ref="Q1842:R1842"/>
    <mergeCell ref="A1843:B1843"/>
    <mergeCell ref="C1843:D1843"/>
    <mergeCell ref="E1843:I1843"/>
    <mergeCell ref="J1843:M1843"/>
    <mergeCell ref="N1843:P1843"/>
    <mergeCell ref="Q1843:R1843"/>
    <mergeCell ref="A1844:B1844"/>
    <mergeCell ref="C1844:D1844"/>
    <mergeCell ref="E1844:I1844"/>
    <mergeCell ref="J1844:M1844"/>
    <mergeCell ref="N1844:P1844"/>
    <mergeCell ref="Q1844:R1844"/>
    <mergeCell ref="A1845:B1845"/>
    <mergeCell ref="C1845:D1845"/>
    <mergeCell ref="E1845:I1845"/>
    <mergeCell ref="J1845:M1845"/>
    <mergeCell ref="N1845:P1845"/>
    <mergeCell ref="Q1845:R1845"/>
    <mergeCell ref="A1846:B1846"/>
    <mergeCell ref="C1846:D1846"/>
    <mergeCell ref="E1846:I1846"/>
    <mergeCell ref="J1846:M1846"/>
    <mergeCell ref="N1846:P1846"/>
    <mergeCell ref="Q1846:R1846"/>
    <mergeCell ref="A1847:B1847"/>
    <mergeCell ref="C1847:D1847"/>
    <mergeCell ref="E1847:I1847"/>
    <mergeCell ref="J1847:M1847"/>
    <mergeCell ref="N1847:P1847"/>
    <mergeCell ref="Q1847:R1847"/>
    <mergeCell ref="A1848:B1848"/>
    <mergeCell ref="C1848:D1848"/>
    <mergeCell ref="E1848:I1848"/>
    <mergeCell ref="J1848:M1848"/>
    <mergeCell ref="N1848:P1848"/>
    <mergeCell ref="Q1848:R1848"/>
    <mergeCell ref="A1849:B1849"/>
    <mergeCell ref="C1849:D1849"/>
    <mergeCell ref="E1849:I1849"/>
    <mergeCell ref="J1849:M1849"/>
    <mergeCell ref="N1849:P1849"/>
    <mergeCell ref="Q1849:R1849"/>
    <mergeCell ref="A1850:B1850"/>
    <mergeCell ref="C1850:D1850"/>
    <mergeCell ref="E1850:I1850"/>
    <mergeCell ref="J1850:M1850"/>
    <mergeCell ref="N1850:P1850"/>
    <mergeCell ref="Q1850:R1850"/>
    <mergeCell ref="A1851:B1851"/>
    <mergeCell ref="C1851:D1851"/>
    <mergeCell ref="E1851:I1851"/>
    <mergeCell ref="J1851:M1851"/>
    <mergeCell ref="N1851:P1851"/>
    <mergeCell ref="Q1851:R1851"/>
    <mergeCell ref="A1852:B1852"/>
    <mergeCell ref="C1852:D1852"/>
    <mergeCell ref="E1852:I1852"/>
    <mergeCell ref="J1852:M1852"/>
    <mergeCell ref="N1852:P1852"/>
    <mergeCell ref="Q1852:R1852"/>
    <mergeCell ref="A1853:B1853"/>
    <mergeCell ref="C1853:D1853"/>
    <mergeCell ref="E1853:I1853"/>
    <mergeCell ref="J1853:M1853"/>
    <mergeCell ref="N1853:P1853"/>
    <mergeCell ref="Q1853:R1853"/>
    <mergeCell ref="A1854:B1854"/>
    <mergeCell ref="C1854:D1854"/>
    <mergeCell ref="E1854:I1854"/>
    <mergeCell ref="J1854:M1854"/>
    <mergeCell ref="N1854:P1854"/>
    <mergeCell ref="Q1854:R1854"/>
    <mergeCell ref="A1855:B1855"/>
    <mergeCell ref="C1855:D1855"/>
    <mergeCell ref="E1855:I1855"/>
    <mergeCell ref="J1855:M1855"/>
    <mergeCell ref="N1855:P1855"/>
    <mergeCell ref="Q1855:R1855"/>
    <mergeCell ref="A1856:B1856"/>
    <mergeCell ref="C1856:D1856"/>
    <mergeCell ref="E1856:I1856"/>
    <mergeCell ref="J1856:M1856"/>
    <mergeCell ref="N1856:P1856"/>
    <mergeCell ref="Q1856:R1856"/>
    <mergeCell ref="A1857:B1857"/>
    <mergeCell ref="C1857:D1857"/>
    <mergeCell ref="E1857:I1857"/>
    <mergeCell ref="J1857:M1857"/>
    <mergeCell ref="N1857:P1857"/>
    <mergeCell ref="Q1857:R1857"/>
    <mergeCell ref="A1858:B1858"/>
    <mergeCell ref="C1858:D1858"/>
    <mergeCell ref="E1858:I1858"/>
    <mergeCell ref="J1858:M1858"/>
    <mergeCell ref="N1858:P1858"/>
    <mergeCell ref="Q1858:R1858"/>
    <mergeCell ref="A1859:B1859"/>
    <mergeCell ref="C1859:D1859"/>
    <mergeCell ref="E1859:I1859"/>
    <mergeCell ref="J1859:M1859"/>
    <mergeCell ref="N1859:P1859"/>
    <mergeCell ref="Q1859:R1859"/>
    <mergeCell ref="A1860:B1860"/>
    <mergeCell ref="C1860:D1860"/>
    <mergeCell ref="E1860:I1860"/>
    <mergeCell ref="J1860:M1860"/>
    <mergeCell ref="N1860:P1860"/>
    <mergeCell ref="Q1860:R1860"/>
    <mergeCell ref="A1861:B1861"/>
    <mergeCell ref="C1861:D1861"/>
    <mergeCell ref="E1861:I1861"/>
    <mergeCell ref="J1861:M1861"/>
    <mergeCell ref="N1861:P1861"/>
    <mergeCell ref="Q1861:R1861"/>
    <mergeCell ref="A1862:B1862"/>
    <mergeCell ref="C1862:D1862"/>
    <mergeCell ref="E1862:I1862"/>
    <mergeCell ref="J1862:M1862"/>
    <mergeCell ref="N1862:P1862"/>
    <mergeCell ref="Q1862:R1862"/>
    <mergeCell ref="A1863:B1863"/>
    <mergeCell ref="C1863:D1863"/>
    <mergeCell ref="E1863:I1863"/>
    <mergeCell ref="J1863:M1863"/>
    <mergeCell ref="N1863:P1863"/>
    <mergeCell ref="Q1863:R1863"/>
    <mergeCell ref="A1864:B1864"/>
    <mergeCell ref="C1864:D1864"/>
    <mergeCell ref="E1864:I1864"/>
    <mergeCell ref="J1864:M1864"/>
    <mergeCell ref="N1864:P1864"/>
    <mergeCell ref="Q1864:R1864"/>
    <mergeCell ref="A1865:B1865"/>
    <mergeCell ref="C1865:D1865"/>
    <mergeCell ref="E1865:I1865"/>
    <mergeCell ref="J1865:M1865"/>
    <mergeCell ref="N1865:P1865"/>
    <mergeCell ref="Q1865:R1865"/>
    <mergeCell ref="A1866:B1866"/>
    <mergeCell ref="C1866:D1866"/>
    <mergeCell ref="E1866:I1866"/>
    <mergeCell ref="J1866:M1866"/>
    <mergeCell ref="N1866:P1866"/>
    <mergeCell ref="Q1866:R1866"/>
    <mergeCell ref="A1867:B1867"/>
    <mergeCell ref="C1867:D1867"/>
    <mergeCell ref="E1867:I1867"/>
    <mergeCell ref="J1867:M1867"/>
    <mergeCell ref="N1867:P1867"/>
    <mergeCell ref="Q1867:R1867"/>
    <mergeCell ref="A1868:B1868"/>
    <mergeCell ref="C1868:D1868"/>
    <mergeCell ref="E1868:I1868"/>
    <mergeCell ref="J1868:M1868"/>
    <mergeCell ref="N1868:P1868"/>
    <mergeCell ref="Q1868:R1868"/>
    <mergeCell ref="A1869:B1869"/>
    <mergeCell ref="C1869:D1869"/>
    <mergeCell ref="E1869:I1869"/>
    <mergeCell ref="J1869:M1869"/>
    <mergeCell ref="N1869:P1869"/>
    <mergeCell ref="Q1869:R1869"/>
    <mergeCell ref="A1870:B1870"/>
    <mergeCell ref="C1870:D1870"/>
    <mergeCell ref="E1870:I1870"/>
    <mergeCell ref="J1870:M1870"/>
    <mergeCell ref="N1870:P1870"/>
    <mergeCell ref="Q1870:R1870"/>
    <mergeCell ref="A1871:B1871"/>
    <mergeCell ref="C1871:D1871"/>
    <mergeCell ref="E1871:I1871"/>
    <mergeCell ref="J1871:M1871"/>
    <mergeCell ref="N1871:P1871"/>
    <mergeCell ref="Q1871:R1871"/>
    <mergeCell ref="A1872:B1872"/>
    <mergeCell ref="C1872:D1872"/>
    <mergeCell ref="E1872:I1872"/>
    <mergeCell ref="J1872:M1872"/>
    <mergeCell ref="N1872:P1872"/>
    <mergeCell ref="Q1872:R1872"/>
    <mergeCell ref="A1873:B1873"/>
    <mergeCell ref="C1873:D1873"/>
    <mergeCell ref="E1873:I1873"/>
    <mergeCell ref="J1873:M1873"/>
    <mergeCell ref="N1873:P1873"/>
    <mergeCell ref="Q1873:R1873"/>
    <mergeCell ref="A1874:B1874"/>
    <mergeCell ref="C1874:D1874"/>
    <mergeCell ref="E1874:I1874"/>
    <mergeCell ref="J1874:M1874"/>
    <mergeCell ref="N1874:P1874"/>
    <mergeCell ref="Q1874:R1874"/>
    <mergeCell ref="A1875:B1875"/>
    <mergeCell ref="C1875:D1875"/>
    <mergeCell ref="E1875:I1875"/>
    <mergeCell ref="J1875:M1875"/>
    <mergeCell ref="N1875:P1875"/>
    <mergeCell ref="Q1875:R1875"/>
    <mergeCell ref="A1876:B1876"/>
    <mergeCell ref="C1876:D1876"/>
    <mergeCell ref="E1876:I1876"/>
    <mergeCell ref="J1876:M1876"/>
    <mergeCell ref="N1876:P1876"/>
    <mergeCell ref="Q1876:R1876"/>
    <mergeCell ref="A1877:B1877"/>
    <mergeCell ref="C1877:D1877"/>
    <mergeCell ref="E1877:I1877"/>
    <mergeCell ref="J1877:M1877"/>
    <mergeCell ref="N1877:P1877"/>
    <mergeCell ref="Q1877:R1877"/>
    <mergeCell ref="A1878:B1878"/>
    <mergeCell ref="C1878:D1878"/>
    <mergeCell ref="E1878:I1878"/>
    <mergeCell ref="J1878:M1878"/>
    <mergeCell ref="N1878:P1878"/>
    <mergeCell ref="Q1878:R1878"/>
    <mergeCell ref="A1879:B1879"/>
    <mergeCell ref="C1879:D1879"/>
    <mergeCell ref="E1879:I1879"/>
    <mergeCell ref="J1879:M1879"/>
    <mergeCell ref="N1879:P1879"/>
    <mergeCell ref="Q1879:R1879"/>
    <mergeCell ref="A1880:B1880"/>
    <mergeCell ref="C1880:D1880"/>
    <mergeCell ref="E1880:I1880"/>
    <mergeCell ref="J1880:M1880"/>
    <mergeCell ref="N1880:P1880"/>
    <mergeCell ref="Q1880:R1880"/>
    <mergeCell ref="A1881:B1881"/>
    <mergeCell ref="C1881:D1881"/>
    <mergeCell ref="E1881:I1881"/>
    <mergeCell ref="J1881:M1881"/>
    <mergeCell ref="N1881:P1881"/>
    <mergeCell ref="Q1881:R1881"/>
    <mergeCell ref="A1882:B1882"/>
    <mergeCell ref="C1882:D1882"/>
    <mergeCell ref="E1882:I1882"/>
    <mergeCell ref="J1882:M1882"/>
    <mergeCell ref="N1882:P1882"/>
    <mergeCell ref="Q1882:R1882"/>
    <mergeCell ref="A1883:B1883"/>
    <mergeCell ref="C1883:D1883"/>
    <mergeCell ref="E1883:I1883"/>
    <mergeCell ref="J1883:M1883"/>
    <mergeCell ref="N1883:P1883"/>
    <mergeCell ref="Q1883:R1883"/>
    <mergeCell ref="A1884:B1884"/>
    <mergeCell ref="C1884:D1884"/>
    <mergeCell ref="E1884:I1884"/>
    <mergeCell ref="J1884:M1884"/>
    <mergeCell ref="N1884:P1884"/>
    <mergeCell ref="Q1884:R1884"/>
    <mergeCell ref="A1885:B1885"/>
    <mergeCell ref="C1885:D1885"/>
    <mergeCell ref="E1885:I1885"/>
    <mergeCell ref="J1885:M1885"/>
    <mergeCell ref="N1885:P1885"/>
    <mergeCell ref="Q1885:R1885"/>
    <mergeCell ref="A1886:B1886"/>
    <mergeCell ref="C1886:D1886"/>
    <mergeCell ref="E1886:I1886"/>
    <mergeCell ref="J1886:M1886"/>
    <mergeCell ref="N1886:P1886"/>
    <mergeCell ref="Q1886:R1886"/>
    <mergeCell ref="A1887:B1887"/>
    <mergeCell ref="C1887:D1887"/>
    <mergeCell ref="E1887:I1887"/>
    <mergeCell ref="J1887:M1887"/>
    <mergeCell ref="N1887:P1887"/>
    <mergeCell ref="Q1887:R1887"/>
    <mergeCell ref="A1888:B1888"/>
    <mergeCell ref="C1888:D1888"/>
    <mergeCell ref="E1888:I1888"/>
    <mergeCell ref="J1888:M1888"/>
    <mergeCell ref="N1888:P1888"/>
    <mergeCell ref="Q1888:R1888"/>
    <mergeCell ref="A1889:B1889"/>
    <mergeCell ref="C1889:D1889"/>
    <mergeCell ref="E1889:I1889"/>
    <mergeCell ref="J1889:M1889"/>
    <mergeCell ref="N1889:P1889"/>
    <mergeCell ref="Q1889:R1889"/>
    <mergeCell ref="A1890:B1890"/>
    <mergeCell ref="C1890:D1890"/>
    <mergeCell ref="E1890:I1890"/>
    <mergeCell ref="J1890:M1890"/>
    <mergeCell ref="N1890:P1890"/>
    <mergeCell ref="Q1890:R1890"/>
    <mergeCell ref="A1891:B1891"/>
    <mergeCell ref="C1891:D1891"/>
    <mergeCell ref="E1891:I1891"/>
    <mergeCell ref="J1891:M1891"/>
    <mergeCell ref="N1891:P1891"/>
    <mergeCell ref="Q1891:R1891"/>
    <mergeCell ref="A1892:B1892"/>
    <mergeCell ref="C1892:D1892"/>
    <mergeCell ref="E1892:I1892"/>
    <mergeCell ref="J1892:M1892"/>
    <mergeCell ref="N1892:P1892"/>
    <mergeCell ref="Q1892:R1892"/>
    <mergeCell ref="A1893:B1893"/>
    <mergeCell ref="C1893:D1893"/>
    <mergeCell ref="E1893:I1893"/>
    <mergeCell ref="J1893:M1893"/>
    <mergeCell ref="N1893:P1893"/>
    <mergeCell ref="Q1893:R1893"/>
    <mergeCell ref="A1894:B1894"/>
    <mergeCell ref="C1894:D1894"/>
    <mergeCell ref="E1894:I1894"/>
    <mergeCell ref="J1894:M1894"/>
    <mergeCell ref="N1894:P1894"/>
    <mergeCell ref="Q1894:R1894"/>
    <mergeCell ref="A1895:B1895"/>
    <mergeCell ref="C1895:D1895"/>
    <mergeCell ref="E1895:I1895"/>
    <mergeCell ref="J1895:M1895"/>
    <mergeCell ref="N1895:P1895"/>
    <mergeCell ref="Q1895:R1895"/>
    <mergeCell ref="A1896:B1896"/>
    <mergeCell ref="C1896:D1896"/>
    <mergeCell ref="E1896:I1896"/>
    <mergeCell ref="J1896:M1896"/>
    <mergeCell ref="N1896:P1896"/>
    <mergeCell ref="Q1896:R1896"/>
    <mergeCell ref="A1897:B1897"/>
    <mergeCell ref="C1897:D1897"/>
    <mergeCell ref="E1897:I1897"/>
    <mergeCell ref="J1897:M1897"/>
    <mergeCell ref="N1897:P1897"/>
    <mergeCell ref="Q1897:R1897"/>
    <mergeCell ref="A1898:B1898"/>
    <mergeCell ref="C1898:D1898"/>
    <mergeCell ref="E1898:I1898"/>
    <mergeCell ref="J1898:M1898"/>
    <mergeCell ref="N1898:P1898"/>
    <mergeCell ref="Q1898:R1898"/>
    <mergeCell ref="A1899:B1899"/>
    <mergeCell ref="C1899:D1899"/>
    <mergeCell ref="E1899:I1899"/>
    <mergeCell ref="J1899:M1899"/>
    <mergeCell ref="N1899:P1899"/>
    <mergeCell ref="Q1899:R1899"/>
    <mergeCell ref="A1900:B1900"/>
    <mergeCell ref="C1900:D1900"/>
    <mergeCell ref="E1900:I1900"/>
    <mergeCell ref="J1900:M1900"/>
    <mergeCell ref="N1900:P1900"/>
    <mergeCell ref="Q1900:R1900"/>
    <mergeCell ref="A1901:B1901"/>
    <mergeCell ref="C1901:D1901"/>
    <mergeCell ref="E1901:I1901"/>
    <mergeCell ref="J1901:M1901"/>
    <mergeCell ref="N1901:P1901"/>
    <mergeCell ref="Q1901:R1901"/>
    <mergeCell ref="A1902:B1902"/>
    <mergeCell ref="C1902:D1902"/>
    <mergeCell ref="E1902:I1902"/>
    <mergeCell ref="J1902:M1902"/>
    <mergeCell ref="N1902:P1902"/>
    <mergeCell ref="Q1902:R1902"/>
    <mergeCell ref="A1903:B1903"/>
    <mergeCell ref="C1903:D1903"/>
    <mergeCell ref="E1903:I1903"/>
    <mergeCell ref="J1903:M1903"/>
    <mergeCell ref="N1903:P1903"/>
    <mergeCell ref="Q1903:R1903"/>
    <mergeCell ref="A1904:B1904"/>
    <mergeCell ref="C1904:D1904"/>
    <mergeCell ref="E1904:I1904"/>
    <mergeCell ref="J1904:M1904"/>
    <mergeCell ref="N1904:P1904"/>
    <mergeCell ref="Q1904:R1904"/>
    <mergeCell ref="A1905:B1905"/>
    <mergeCell ref="C1905:D1905"/>
    <mergeCell ref="E1905:I1905"/>
    <mergeCell ref="J1905:M1905"/>
    <mergeCell ref="N1905:P1905"/>
    <mergeCell ref="Q1905:R1905"/>
    <mergeCell ref="A1906:B1906"/>
    <mergeCell ref="C1906:D1906"/>
    <mergeCell ref="E1906:I1906"/>
    <mergeCell ref="J1906:M1906"/>
    <mergeCell ref="N1906:P1906"/>
    <mergeCell ref="Q1906:R1906"/>
    <mergeCell ref="A1907:B1907"/>
    <mergeCell ref="C1907:D1907"/>
    <mergeCell ref="E1907:I1907"/>
    <mergeCell ref="J1907:M1907"/>
    <mergeCell ref="N1907:P1907"/>
    <mergeCell ref="Q1907:R1907"/>
    <mergeCell ref="A1908:B1908"/>
    <mergeCell ref="C1908:D1908"/>
    <mergeCell ref="E1908:I1908"/>
    <mergeCell ref="J1908:M1908"/>
    <mergeCell ref="N1908:P1908"/>
    <mergeCell ref="Q1908:R1908"/>
    <mergeCell ref="A1909:B1909"/>
    <mergeCell ref="C1909:D1909"/>
    <mergeCell ref="E1909:I1909"/>
    <mergeCell ref="J1909:M1909"/>
    <mergeCell ref="N1909:P1909"/>
    <mergeCell ref="Q1909:R1909"/>
    <mergeCell ref="A1910:B1910"/>
    <mergeCell ref="C1910:D1910"/>
    <mergeCell ref="E1910:I1910"/>
    <mergeCell ref="J1910:M1910"/>
    <mergeCell ref="N1910:P1910"/>
    <mergeCell ref="Q1910:R1910"/>
    <mergeCell ref="A1911:B1911"/>
    <mergeCell ref="C1911:D1911"/>
    <mergeCell ref="E1911:I1911"/>
    <mergeCell ref="J1911:M1911"/>
    <mergeCell ref="N1911:P1911"/>
    <mergeCell ref="Q1911:R1911"/>
    <mergeCell ref="A1912:B1912"/>
    <mergeCell ref="C1912:D1912"/>
    <mergeCell ref="E1912:I1912"/>
    <mergeCell ref="J1912:M1912"/>
    <mergeCell ref="N1912:P1912"/>
    <mergeCell ref="Q1912:R1912"/>
    <mergeCell ref="A1913:B1913"/>
    <mergeCell ref="C1913:D1913"/>
    <mergeCell ref="E1913:I1913"/>
    <mergeCell ref="J1913:M1913"/>
    <mergeCell ref="N1913:P1913"/>
    <mergeCell ref="Q1913:R1913"/>
    <mergeCell ref="A1914:B1914"/>
    <mergeCell ref="C1914:D1914"/>
    <mergeCell ref="E1914:I1914"/>
    <mergeCell ref="J1914:M1914"/>
    <mergeCell ref="N1914:P1914"/>
    <mergeCell ref="Q1914:R1914"/>
    <mergeCell ref="A1915:B1915"/>
    <mergeCell ref="C1915:D1915"/>
    <mergeCell ref="E1915:I1915"/>
    <mergeCell ref="J1915:M1915"/>
    <mergeCell ref="N1915:P1915"/>
    <mergeCell ref="Q1915:R1915"/>
    <mergeCell ref="A1916:B1916"/>
    <mergeCell ref="C1916:D1916"/>
    <mergeCell ref="E1916:I1916"/>
    <mergeCell ref="J1916:M1916"/>
    <mergeCell ref="N1916:P1916"/>
    <mergeCell ref="Q1916:R1916"/>
    <mergeCell ref="A1917:B1917"/>
    <mergeCell ref="C1917:D1917"/>
    <mergeCell ref="E1917:I1917"/>
    <mergeCell ref="J1917:M1917"/>
    <mergeCell ref="N1917:P1917"/>
    <mergeCell ref="Q1917:R1917"/>
    <mergeCell ref="A1918:B1918"/>
    <mergeCell ref="C1918:D1918"/>
    <mergeCell ref="E1918:I1918"/>
    <mergeCell ref="J1918:M1918"/>
    <mergeCell ref="N1918:P1918"/>
    <mergeCell ref="Q1918:R1918"/>
    <mergeCell ref="A1919:B1919"/>
    <mergeCell ref="C1919:D1919"/>
    <mergeCell ref="E1919:I1919"/>
    <mergeCell ref="J1919:M1919"/>
    <mergeCell ref="N1919:P1919"/>
    <mergeCell ref="Q1919:R1919"/>
    <mergeCell ref="A1920:B1920"/>
    <mergeCell ref="C1920:D1920"/>
    <mergeCell ref="E1920:I1920"/>
    <mergeCell ref="J1920:M1920"/>
    <mergeCell ref="N1920:P1920"/>
    <mergeCell ref="Q1920:R1920"/>
    <mergeCell ref="A1921:B1921"/>
    <mergeCell ref="C1921:D1921"/>
    <mergeCell ref="E1921:I1921"/>
    <mergeCell ref="J1921:M1921"/>
    <mergeCell ref="N1921:P1921"/>
    <mergeCell ref="Q1921:R1921"/>
    <mergeCell ref="A1922:B1922"/>
    <mergeCell ref="C1922:D1922"/>
    <mergeCell ref="E1922:I1922"/>
    <mergeCell ref="J1922:M1922"/>
    <mergeCell ref="N1922:P1922"/>
    <mergeCell ref="Q1922:R1922"/>
    <mergeCell ref="A1923:B1923"/>
    <mergeCell ref="C1923:D1923"/>
    <mergeCell ref="E1923:I1923"/>
    <mergeCell ref="J1923:M1923"/>
    <mergeCell ref="N1923:P1923"/>
    <mergeCell ref="Q1923:R1923"/>
    <mergeCell ref="A1924:B1924"/>
    <mergeCell ref="C1924:D1924"/>
    <mergeCell ref="E1924:I1924"/>
    <mergeCell ref="J1924:M1924"/>
    <mergeCell ref="N1924:P1924"/>
    <mergeCell ref="Q1924:R1924"/>
    <mergeCell ref="A1925:B1925"/>
    <mergeCell ref="C1925:D1925"/>
    <mergeCell ref="E1925:I1925"/>
    <mergeCell ref="J1925:M1925"/>
    <mergeCell ref="N1925:P1925"/>
    <mergeCell ref="Q1925:R1925"/>
    <mergeCell ref="A1926:B1926"/>
    <mergeCell ref="C1926:D1926"/>
    <mergeCell ref="E1926:I1926"/>
    <mergeCell ref="J1926:M1926"/>
    <mergeCell ref="N1926:P1926"/>
    <mergeCell ref="Q1926:R1926"/>
    <mergeCell ref="A1927:B1927"/>
    <mergeCell ref="C1927:D1927"/>
    <mergeCell ref="E1927:I1927"/>
    <mergeCell ref="J1927:M1927"/>
    <mergeCell ref="N1927:P1927"/>
    <mergeCell ref="Q1927:R1927"/>
    <mergeCell ref="A1928:B1928"/>
    <mergeCell ref="C1928:D1928"/>
    <mergeCell ref="E1928:I1928"/>
    <mergeCell ref="J1928:M1928"/>
    <mergeCell ref="N1928:P1928"/>
    <mergeCell ref="Q1928:R1928"/>
    <mergeCell ref="A1929:B1929"/>
    <mergeCell ref="C1929:D1929"/>
    <mergeCell ref="E1929:I1929"/>
    <mergeCell ref="J1929:M1929"/>
    <mergeCell ref="N1929:P1929"/>
    <mergeCell ref="Q1929:R1929"/>
    <mergeCell ref="A1930:B1930"/>
    <mergeCell ref="C1930:D1930"/>
    <mergeCell ref="E1930:I1930"/>
    <mergeCell ref="J1930:M1930"/>
    <mergeCell ref="N1930:P1930"/>
    <mergeCell ref="Q1930:R1930"/>
    <mergeCell ref="A1931:B1931"/>
    <mergeCell ref="C1931:D1931"/>
    <mergeCell ref="E1931:I1931"/>
    <mergeCell ref="J1931:M1931"/>
    <mergeCell ref="N1931:P1931"/>
    <mergeCell ref="Q1931:R1931"/>
    <mergeCell ref="A1932:B1932"/>
    <mergeCell ref="C1932:D1932"/>
    <mergeCell ref="E1932:I1932"/>
    <mergeCell ref="J1932:M1932"/>
    <mergeCell ref="N1932:P1932"/>
    <mergeCell ref="Q1932:R1932"/>
    <mergeCell ref="A1933:B1933"/>
    <mergeCell ref="C1933:D1933"/>
    <mergeCell ref="E1933:I1933"/>
    <mergeCell ref="J1933:M1933"/>
    <mergeCell ref="N1933:P1933"/>
    <mergeCell ref="Q1933:R1933"/>
    <mergeCell ref="A1934:B1934"/>
    <mergeCell ref="C1934:D1934"/>
    <mergeCell ref="E1934:I1934"/>
    <mergeCell ref="J1934:M1934"/>
    <mergeCell ref="N1934:P1934"/>
    <mergeCell ref="Q1934:R1934"/>
    <mergeCell ref="A1935:B1935"/>
    <mergeCell ref="C1935:D1935"/>
    <mergeCell ref="E1935:I1935"/>
    <mergeCell ref="J1935:M1935"/>
    <mergeCell ref="N1935:P1935"/>
    <mergeCell ref="Q1935:R1935"/>
    <mergeCell ref="A1936:B1936"/>
    <mergeCell ref="C1936:D1936"/>
    <mergeCell ref="E1936:I1936"/>
    <mergeCell ref="J1936:M1936"/>
    <mergeCell ref="N1936:P1936"/>
    <mergeCell ref="Q1936:R1936"/>
    <mergeCell ref="A1937:B1937"/>
    <mergeCell ref="C1937:D1937"/>
    <mergeCell ref="E1937:I1937"/>
    <mergeCell ref="J1937:M1937"/>
    <mergeCell ref="N1937:P1937"/>
    <mergeCell ref="Q1937:R1937"/>
    <mergeCell ref="A1938:B1938"/>
    <mergeCell ref="C1938:D1938"/>
    <mergeCell ref="E1938:I1938"/>
    <mergeCell ref="J1938:M1938"/>
    <mergeCell ref="N1938:P1938"/>
    <mergeCell ref="Q1938:R1938"/>
    <mergeCell ref="A1939:B1939"/>
    <mergeCell ref="C1939:D1939"/>
    <mergeCell ref="E1939:I1939"/>
    <mergeCell ref="J1939:M1939"/>
    <mergeCell ref="N1939:P1939"/>
    <mergeCell ref="Q1939:R1939"/>
    <mergeCell ref="A1940:B1940"/>
    <mergeCell ref="C1940:D1940"/>
    <mergeCell ref="E1940:I1940"/>
    <mergeCell ref="J1940:M1940"/>
    <mergeCell ref="N1940:P1940"/>
    <mergeCell ref="Q1940:R1940"/>
    <mergeCell ref="A1941:B1941"/>
    <mergeCell ref="C1941:D1941"/>
    <mergeCell ref="E1941:I1941"/>
    <mergeCell ref="J1941:M1941"/>
    <mergeCell ref="N1941:P1941"/>
    <mergeCell ref="Q1941:R1941"/>
    <mergeCell ref="A1942:B1942"/>
    <mergeCell ref="C1942:D1942"/>
    <mergeCell ref="E1942:I1942"/>
    <mergeCell ref="J1942:M1942"/>
    <mergeCell ref="N1942:P1942"/>
    <mergeCell ref="Q1942:R1942"/>
    <mergeCell ref="A1943:B1943"/>
    <mergeCell ref="C1943:D1943"/>
    <mergeCell ref="E1943:I1943"/>
    <mergeCell ref="J1943:M1943"/>
    <mergeCell ref="N1943:P1943"/>
    <mergeCell ref="Q1943:R1943"/>
    <mergeCell ref="A1944:B1944"/>
    <mergeCell ref="C1944:D1944"/>
    <mergeCell ref="E1944:I1944"/>
    <mergeCell ref="J1944:M1944"/>
    <mergeCell ref="N1944:P1944"/>
    <mergeCell ref="Q1944:R1944"/>
    <mergeCell ref="A1945:B1945"/>
    <mergeCell ref="C1945:D1945"/>
    <mergeCell ref="E1945:I1945"/>
    <mergeCell ref="J1945:M1945"/>
    <mergeCell ref="N1945:P1945"/>
    <mergeCell ref="Q1945:R1945"/>
    <mergeCell ref="A1946:B1946"/>
    <mergeCell ref="C1946:D1946"/>
    <mergeCell ref="E1946:I1946"/>
    <mergeCell ref="J1946:M1946"/>
    <mergeCell ref="N1946:P1946"/>
    <mergeCell ref="Q1946:R1946"/>
    <mergeCell ref="A1947:B1947"/>
    <mergeCell ref="C1947:D1947"/>
    <mergeCell ref="E1947:I1947"/>
    <mergeCell ref="J1947:M1947"/>
    <mergeCell ref="N1947:P1947"/>
    <mergeCell ref="Q1947:R1947"/>
    <mergeCell ref="A1948:B1948"/>
    <mergeCell ref="C1948:D1948"/>
    <mergeCell ref="E1948:I1948"/>
    <mergeCell ref="J1948:M1948"/>
    <mergeCell ref="N1948:P1948"/>
    <mergeCell ref="Q1948:R1948"/>
    <mergeCell ref="A1949:B1949"/>
    <mergeCell ref="C1949:D1949"/>
    <mergeCell ref="E1949:I1949"/>
    <mergeCell ref="J1949:M1949"/>
    <mergeCell ref="N1949:P1949"/>
    <mergeCell ref="Q1949:R1949"/>
    <mergeCell ref="A1950:B1950"/>
    <mergeCell ref="C1950:D1950"/>
    <mergeCell ref="E1950:I1950"/>
    <mergeCell ref="J1950:M1950"/>
    <mergeCell ref="N1950:P1950"/>
    <mergeCell ref="Q1950:R1950"/>
    <mergeCell ref="A1951:B1951"/>
    <mergeCell ref="C1951:D1951"/>
    <mergeCell ref="E1951:I1951"/>
    <mergeCell ref="J1951:M1951"/>
    <mergeCell ref="N1951:P1951"/>
    <mergeCell ref="Q1951:R1951"/>
    <mergeCell ref="A1952:B1952"/>
    <mergeCell ref="C1952:D1952"/>
    <mergeCell ref="E1952:I1952"/>
    <mergeCell ref="J1952:M1952"/>
    <mergeCell ref="N1952:P1952"/>
    <mergeCell ref="Q1952:R1952"/>
    <mergeCell ref="A1953:B1953"/>
    <mergeCell ref="C1953:D1953"/>
    <mergeCell ref="E1953:I1953"/>
    <mergeCell ref="J1953:M1953"/>
    <mergeCell ref="N1953:P1953"/>
    <mergeCell ref="Q1953:R1953"/>
    <mergeCell ref="A1954:B1954"/>
    <mergeCell ref="C1954:D1954"/>
    <mergeCell ref="E1954:I1954"/>
    <mergeCell ref="J1954:M1954"/>
    <mergeCell ref="N1954:P1954"/>
    <mergeCell ref="Q1954:R1954"/>
    <mergeCell ref="A1955:B1955"/>
    <mergeCell ref="C1955:D1955"/>
    <mergeCell ref="E1955:I1955"/>
    <mergeCell ref="J1955:M1955"/>
    <mergeCell ref="N1955:P1955"/>
    <mergeCell ref="Q1955:R1955"/>
    <mergeCell ref="A1956:B1956"/>
    <mergeCell ref="C1956:D1956"/>
    <mergeCell ref="E1956:I1956"/>
    <mergeCell ref="J1956:M1956"/>
    <mergeCell ref="N1956:P1956"/>
    <mergeCell ref="Q1956:R1956"/>
    <mergeCell ref="A1957:B1957"/>
    <mergeCell ref="C1957:D1957"/>
    <mergeCell ref="E1957:I1957"/>
    <mergeCell ref="J1957:M1957"/>
    <mergeCell ref="N1957:P1957"/>
    <mergeCell ref="Q1957:R1957"/>
    <mergeCell ref="A1958:B1958"/>
    <mergeCell ref="C1958:D1958"/>
    <mergeCell ref="E1958:I1958"/>
    <mergeCell ref="J1958:M1958"/>
    <mergeCell ref="N1958:P1958"/>
    <mergeCell ref="Q1958:R1958"/>
    <mergeCell ref="A1959:B1959"/>
    <mergeCell ref="C1959:D1959"/>
    <mergeCell ref="E1959:I1959"/>
    <mergeCell ref="J1959:M1959"/>
    <mergeCell ref="N1959:P1959"/>
    <mergeCell ref="Q1959:R1959"/>
    <mergeCell ref="A1960:B1960"/>
    <mergeCell ref="C1960:D1960"/>
    <mergeCell ref="E1960:I1960"/>
    <mergeCell ref="J1960:M1960"/>
    <mergeCell ref="N1960:P1960"/>
    <mergeCell ref="Q1960:R1960"/>
    <mergeCell ref="A1961:B1961"/>
    <mergeCell ref="C1961:D1961"/>
    <mergeCell ref="E1961:I1961"/>
    <mergeCell ref="J1961:M1961"/>
    <mergeCell ref="N1961:P1961"/>
    <mergeCell ref="Q1961:R1961"/>
    <mergeCell ref="A1962:B1962"/>
    <mergeCell ref="C1962:D1962"/>
    <mergeCell ref="E1962:I1962"/>
    <mergeCell ref="J1962:M1962"/>
    <mergeCell ref="N1962:P1962"/>
    <mergeCell ref="Q1962:R1962"/>
    <mergeCell ref="A1963:B1963"/>
    <mergeCell ref="C1963:D1963"/>
    <mergeCell ref="E1963:I1963"/>
    <mergeCell ref="J1963:M1963"/>
    <mergeCell ref="N1963:P1963"/>
    <mergeCell ref="Q1963:R1963"/>
    <mergeCell ref="A1964:B1964"/>
    <mergeCell ref="C1964:D1964"/>
    <mergeCell ref="E1964:I1964"/>
    <mergeCell ref="J1964:M1964"/>
    <mergeCell ref="N1964:P1964"/>
    <mergeCell ref="Q1964:R1964"/>
    <mergeCell ref="A1965:B1965"/>
    <mergeCell ref="C1965:D1965"/>
    <mergeCell ref="E1965:I1965"/>
    <mergeCell ref="J1965:M1965"/>
    <mergeCell ref="N1965:P1965"/>
    <mergeCell ref="Q1965:R1965"/>
    <mergeCell ref="A1966:B1966"/>
    <mergeCell ref="C1966:D1966"/>
    <mergeCell ref="E1966:I1966"/>
    <mergeCell ref="J1966:M1966"/>
    <mergeCell ref="N1966:P1966"/>
    <mergeCell ref="Q1966:R1966"/>
    <mergeCell ref="A1967:B1967"/>
    <mergeCell ref="C1967:D1967"/>
    <mergeCell ref="E1967:I1967"/>
    <mergeCell ref="J1967:M1967"/>
    <mergeCell ref="N1967:P1967"/>
    <mergeCell ref="Q1967:R1967"/>
    <mergeCell ref="A1968:B1968"/>
    <mergeCell ref="C1968:D1968"/>
    <mergeCell ref="E1968:I1968"/>
    <mergeCell ref="J1968:M1968"/>
    <mergeCell ref="N1968:P1968"/>
    <mergeCell ref="Q1968:R1968"/>
    <mergeCell ref="A1969:B1969"/>
    <mergeCell ref="C1969:D1969"/>
    <mergeCell ref="E1969:I1969"/>
    <mergeCell ref="J1969:M1969"/>
    <mergeCell ref="N1969:P1969"/>
    <mergeCell ref="Q1969:R1969"/>
    <mergeCell ref="A1970:B1970"/>
    <mergeCell ref="C1970:D1970"/>
    <mergeCell ref="E1970:I1970"/>
    <mergeCell ref="J1970:M1970"/>
    <mergeCell ref="N1970:P1970"/>
    <mergeCell ref="Q1970:R1970"/>
    <mergeCell ref="A1971:B1971"/>
    <mergeCell ref="C1971:D1971"/>
    <mergeCell ref="E1971:I1971"/>
    <mergeCell ref="J1971:M1971"/>
    <mergeCell ref="N1971:P1971"/>
    <mergeCell ref="Q1971:R1971"/>
    <mergeCell ref="A1972:B1972"/>
    <mergeCell ref="C1972:D1972"/>
    <mergeCell ref="E1972:I1972"/>
    <mergeCell ref="J1972:M1972"/>
    <mergeCell ref="N1972:P1972"/>
    <mergeCell ref="Q1972:R1972"/>
    <mergeCell ref="A1973:B1973"/>
    <mergeCell ref="C1973:D1973"/>
    <mergeCell ref="E1973:I1973"/>
    <mergeCell ref="J1973:M1973"/>
    <mergeCell ref="N1973:P1973"/>
    <mergeCell ref="Q1973:R1973"/>
    <mergeCell ref="A1974:B1974"/>
    <mergeCell ref="C1974:D1974"/>
    <mergeCell ref="E1974:I1974"/>
    <mergeCell ref="J1974:M1974"/>
    <mergeCell ref="N1974:P1974"/>
    <mergeCell ref="Q1974:R1974"/>
    <mergeCell ref="A1975:B1975"/>
    <mergeCell ref="C1975:D1975"/>
    <mergeCell ref="E1975:I1975"/>
    <mergeCell ref="J1975:M1975"/>
    <mergeCell ref="N1975:P1975"/>
    <mergeCell ref="Q1975:R1975"/>
    <mergeCell ref="A1976:B1976"/>
    <mergeCell ref="C1976:D1976"/>
    <mergeCell ref="E1976:I1976"/>
    <mergeCell ref="J1976:M1976"/>
    <mergeCell ref="N1976:P1976"/>
    <mergeCell ref="Q1976:R1976"/>
    <mergeCell ref="A1977:B1977"/>
    <mergeCell ref="C1977:D1977"/>
    <mergeCell ref="E1977:I1977"/>
    <mergeCell ref="J1977:M1977"/>
    <mergeCell ref="N1977:P1977"/>
    <mergeCell ref="Q1977:R1977"/>
    <mergeCell ref="A1978:B1978"/>
    <mergeCell ref="C1978:D1978"/>
    <mergeCell ref="E1978:I1978"/>
    <mergeCell ref="J1978:M1978"/>
    <mergeCell ref="N1978:P1978"/>
    <mergeCell ref="Q1978:R1978"/>
    <mergeCell ref="A1979:B1979"/>
    <mergeCell ref="C1979:D1979"/>
    <mergeCell ref="E1979:I1979"/>
    <mergeCell ref="J1979:M1979"/>
    <mergeCell ref="N1979:P1979"/>
    <mergeCell ref="Q1979:R1979"/>
    <mergeCell ref="A1980:B1980"/>
    <mergeCell ref="C1980:D1980"/>
    <mergeCell ref="E1980:I1980"/>
    <mergeCell ref="J1980:M1980"/>
    <mergeCell ref="N1980:P1980"/>
    <mergeCell ref="Q1980:R1980"/>
    <mergeCell ref="A1981:B1981"/>
    <mergeCell ref="C1981:D1981"/>
    <mergeCell ref="E1981:I1981"/>
    <mergeCell ref="J1981:M1981"/>
    <mergeCell ref="N1981:P1981"/>
    <mergeCell ref="Q1981:R1981"/>
    <mergeCell ref="A1982:B1982"/>
    <mergeCell ref="C1982:D1982"/>
    <mergeCell ref="E1982:I1982"/>
    <mergeCell ref="J1982:M1982"/>
    <mergeCell ref="N1982:P1982"/>
    <mergeCell ref="Q1982:R1982"/>
    <mergeCell ref="A1983:B1983"/>
    <mergeCell ref="C1983:D1983"/>
    <mergeCell ref="E1983:I1983"/>
    <mergeCell ref="J1983:M1983"/>
    <mergeCell ref="N1983:P1983"/>
    <mergeCell ref="Q1983:R1983"/>
    <mergeCell ref="A1984:B1984"/>
    <mergeCell ref="C1984:D1984"/>
    <mergeCell ref="E1984:I1984"/>
    <mergeCell ref="J1984:M1984"/>
    <mergeCell ref="N1984:P1984"/>
    <mergeCell ref="Q1984:R1984"/>
    <mergeCell ref="A1985:B1985"/>
    <mergeCell ref="C1985:D1985"/>
    <mergeCell ref="E1985:I1985"/>
    <mergeCell ref="J1985:M1985"/>
    <mergeCell ref="N1985:P1985"/>
    <mergeCell ref="Q1985:R1985"/>
    <mergeCell ref="A1986:B1986"/>
    <mergeCell ref="C1986:D1986"/>
    <mergeCell ref="E1986:I1986"/>
    <mergeCell ref="J1986:M1986"/>
    <mergeCell ref="N1986:P1986"/>
    <mergeCell ref="Q1986:R1986"/>
    <mergeCell ref="A1987:B1987"/>
    <mergeCell ref="C1987:D1987"/>
    <mergeCell ref="E1987:I1987"/>
    <mergeCell ref="J1987:M1987"/>
    <mergeCell ref="N1987:P1987"/>
    <mergeCell ref="Q1987:R1987"/>
    <mergeCell ref="A1988:B1988"/>
    <mergeCell ref="C1988:D1988"/>
    <mergeCell ref="E1988:I1988"/>
    <mergeCell ref="J1988:M1988"/>
    <mergeCell ref="N1988:P1988"/>
    <mergeCell ref="Q1988:R1988"/>
    <mergeCell ref="A1989:B1989"/>
    <mergeCell ref="C1989:D1989"/>
    <mergeCell ref="E1989:I1989"/>
    <mergeCell ref="J1989:M1989"/>
    <mergeCell ref="N1989:P1989"/>
    <mergeCell ref="Q1989:R1989"/>
    <mergeCell ref="A1990:B1990"/>
    <mergeCell ref="C1990:D1990"/>
    <mergeCell ref="E1990:I1990"/>
    <mergeCell ref="J1990:M1990"/>
    <mergeCell ref="N1990:P1990"/>
    <mergeCell ref="Q1990:R1990"/>
    <mergeCell ref="A1991:B1991"/>
    <mergeCell ref="C1991:D1991"/>
    <mergeCell ref="E1991:I1991"/>
    <mergeCell ref="J1991:M1991"/>
    <mergeCell ref="N1991:P1991"/>
    <mergeCell ref="Q1991:R1991"/>
    <mergeCell ref="A1992:B1992"/>
    <mergeCell ref="C1992:D1992"/>
    <mergeCell ref="E1992:I1992"/>
    <mergeCell ref="J1992:M1992"/>
    <mergeCell ref="N1992:P1992"/>
    <mergeCell ref="Q1992:R1992"/>
    <mergeCell ref="A1993:B1993"/>
    <mergeCell ref="C1993:D1993"/>
    <mergeCell ref="E1993:I1993"/>
    <mergeCell ref="J1993:M1993"/>
    <mergeCell ref="N1993:P1993"/>
    <mergeCell ref="Q1993:R1993"/>
    <mergeCell ref="A1994:B1994"/>
    <mergeCell ref="C1994:D1994"/>
    <mergeCell ref="E1994:I1994"/>
    <mergeCell ref="J1994:M1994"/>
    <mergeCell ref="N1994:P1994"/>
    <mergeCell ref="Q1994:R1994"/>
    <mergeCell ref="A1995:B1995"/>
    <mergeCell ref="C1995:D1995"/>
    <mergeCell ref="E1995:I1995"/>
    <mergeCell ref="J1995:M1995"/>
    <mergeCell ref="N1995:P1995"/>
    <mergeCell ref="Q1995:R1995"/>
    <mergeCell ref="A1996:B1996"/>
    <mergeCell ref="C1996:D1996"/>
    <mergeCell ref="E1996:I1996"/>
    <mergeCell ref="J1996:M1996"/>
    <mergeCell ref="N1996:P1996"/>
    <mergeCell ref="Q1996:R1996"/>
    <mergeCell ref="A1997:B1997"/>
    <mergeCell ref="C1997:D1997"/>
    <mergeCell ref="E1997:I1997"/>
    <mergeCell ref="J1997:M1997"/>
    <mergeCell ref="N1997:P1997"/>
    <mergeCell ref="Q1997:R1997"/>
    <mergeCell ref="A1998:B1998"/>
    <mergeCell ref="C1998:D1998"/>
    <mergeCell ref="E1998:I1998"/>
    <mergeCell ref="J1998:M1998"/>
    <mergeCell ref="N1998:P1998"/>
    <mergeCell ref="Q1998:R1998"/>
    <mergeCell ref="A1999:B1999"/>
    <mergeCell ref="C1999:D1999"/>
    <mergeCell ref="E1999:I1999"/>
    <mergeCell ref="J1999:M1999"/>
    <mergeCell ref="N1999:P1999"/>
    <mergeCell ref="Q1999:R1999"/>
    <mergeCell ref="A2000:B2000"/>
    <mergeCell ref="C2000:D2000"/>
    <mergeCell ref="E2000:I2000"/>
    <mergeCell ref="J2000:M2000"/>
    <mergeCell ref="N2000:P2000"/>
    <mergeCell ref="Q2000:R2000"/>
    <mergeCell ref="A2001:B2001"/>
    <mergeCell ref="C2001:D2001"/>
    <mergeCell ref="E2001:I2001"/>
    <mergeCell ref="J2001:M2001"/>
    <mergeCell ref="N2001:P2001"/>
    <mergeCell ref="Q2001:R2001"/>
    <mergeCell ref="A2002:B2002"/>
    <mergeCell ref="C2002:D2002"/>
    <mergeCell ref="E2002:I2002"/>
    <mergeCell ref="J2002:M2002"/>
    <mergeCell ref="N2002:P2002"/>
    <mergeCell ref="Q2002:R2002"/>
    <mergeCell ref="A2003:B2003"/>
    <mergeCell ref="C2003:D2003"/>
    <mergeCell ref="E2003:I2003"/>
    <mergeCell ref="J2003:M2003"/>
    <mergeCell ref="N2003:P2003"/>
    <mergeCell ref="Q2003:R2003"/>
    <mergeCell ref="A2004:B2004"/>
    <mergeCell ref="C2004:D2004"/>
    <mergeCell ref="E2004:I2004"/>
    <mergeCell ref="J2004:M2004"/>
    <mergeCell ref="N2004:P2004"/>
    <mergeCell ref="Q2004:R2004"/>
    <mergeCell ref="A2005:B2005"/>
    <mergeCell ref="C2005:D2005"/>
    <mergeCell ref="E2005:I2005"/>
    <mergeCell ref="J2005:M2005"/>
    <mergeCell ref="N2005:P2005"/>
    <mergeCell ref="Q2005:R2005"/>
    <mergeCell ref="A2006:B2006"/>
    <mergeCell ref="C2006:D2006"/>
    <mergeCell ref="E2006:I2006"/>
    <mergeCell ref="J2006:M2006"/>
    <mergeCell ref="N2006:P2006"/>
    <mergeCell ref="Q2006:R2006"/>
    <mergeCell ref="A2007:B2007"/>
    <mergeCell ref="C2007:D2007"/>
    <mergeCell ref="E2007:I2007"/>
    <mergeCell ref="J2007:M2007"/>
    <mergeCell ref="N2007:P2007"/>
    <mergeCell ref="Q2007:R2007"/>
    <mergeCell ref="A2008:B2008"/>
    <mergeCell ref="C2008:D2008"/>
    <mergeCell ref="E2008:I2008"/>
    <mergeCell ref="J2008:M2008"/>
    <mergeCell ref="N2008:P2008"/>
    <mergeCell ref="Q2008:R2008"/>
    <mergeCell ref="A2009:B2009"/>
    <mergeCell ref="C2009:D2009"/>
    <mergeCell ref="E2009:I2009"/>
    <mergeCell ref="J2009:M2009"/>
    <mergeCell ref="N2009:P2009"/>
    <mergeCell ref="Q2009:R2009"/>
    <mergeCell ref="A2010:B2010"/>
    <mergeCell ref="C2010:D2010"/>
    <mergeCell ref="E2010:I2010"/>
    <mergeCell ref="J2010:M2010"/>
    <mergeCell ref="N2010:P2010"/>
    <mergeCell ref="Q2010:R2010"/>
    <mergeCell ref="A2011:B2011"/>
    <mergeCell ref="C2011:D2011"/>
    <mergeCell ref="E2011:I2011"/>
    <mergeCell ref="J2011:M2011"/>
    <mergeCell ref="N2011:P2011"/>
    <mergeCell ref="Q2011:R2011"/>
    <mergeCell ref="A2012:B2012"/>
    <mergeCell ref="C2012:D2012"/>
    <mergeCell ref="E2012:I2012"/>
    <mergeCell ref="J2012:M2012"/>
    <mergeCell ref="N2012:P2012"/>
    <mergeCell ref="Q2012:R2012"/>
    <mergeCell ref="A2013:B2013"/>
    <mergeCell ref="C2013:D2013"/>
    <mergeCell ref="E2013:I2013"/>
    <mergeCell ref="J2013:M2013"/>
    <mergeCell ref="N2013:P2013"/>
    <mergeCell ref="Q2013:R2013"/>
    <mergeCell ref="A2014:B2014"/>
    <mergeCell ref="C2014:D2014"/>
    <mergeCell ref="E2014:I2014"/>
    <mergeCell ref="J2014:M2014"/>
    <mergeCell ref="N2014:P2014"/>
    <mergeCell ref="Q2014:R2014"/>
    <mergeCell ref="A2015:B2015"/>
    <mergeCell ref="C2015:D2015"/>
    <mergeCell ref="E2015:I2015"/>
    <mergeCell ref="J2015:M2015"/>
    <mergeCell ref="N2015:P2015"/>
    <mergeCell ref="Q2015:R2015"/>
    <mergeCell ref="A2016:B2016"/>
    <mergeCell ref="C2016:D2016"/>
    <mergeCell ref="E2016:I2016"/>
    <mergeCell ref="J2016:M2016"/>
    <mergeCell ref="N2016:P2016"/>
    <mergeCell ref="Q2016:R2016"/>
    <mergeCell ref="A2017:B2017"/>
    <mergeCell ref="C2017:D2017"/>
    <mergeCell ref="E2017:I2017"/>
    <mergeCell ref="J2017:M2017"/>
    <mergeCell ref="N2017:P2017"/>
    <mergeCell ref="Q2017:R2017"/>
    <mergeCell ref="A2018:B2018"/>
    <mergeCell ref="C2018:D2018"/>
    <mergeCell ref="E2018:I2018"/>
    <mergeCell ref="J2018:M2018"/>
    <mergeCell ref="N2018:P2018"/>
    <mergeCell ref="Q2018:R2018"/>
    <mergeCell ref="A2019:B2019"/>
    <mergeCell ref="C2019:D2019"/>
    <mergeCell ref="E2019:I2019"/>
    <mergeCell ref="J2019:M2019"/>
    <mergeCell ref="N2019:P2019"/>
    <mergeCell ref="Q2019:R2019"/>
    <mergeCell ref="A2020:B2020"/>
    <mergeCell ref="C2020:D2020"/>
    <mergeCell ref="E2020:I2020"/>
    <mergeCell ref="J2020:M2020"/>
    <mergeCell ref="N2020:P2020"/>
    <mergeCell ref="Q2020:R2020"/>
    <mergeCell ref="A2021:B2021"/>
    <mergeCell ref="C2021:D2021"/>
    <mergeCell ref="E2021:I2021"/>
    <mergeCell ref="J2021:M2021"/>
    <mergeCell ref="N2021:P2021"/>
    <mergeCell ref="Q2021:R2021"/>
    <mergeCell ref="A2022:B2022"/>
    <mergeCell ref="C2022:D2022"/>
    <mergeCell ref="E2022:I2022"/>
    <mergeCell ref="J2022:M2022"/>
    <mergeCell ref="N2022:P2022"/>
    <mergeCell ref="Q2022:R2022"/>
    <mergeCell ref="A2023:B2023"/>
    <mergeCell ref="C2023:D2023"/>
    <mergeCell ref="E2023:I2023"/>
    <mergeCell ref="J2023:M2023"/>
    <mergeCell ref="N2023:P2023"/>
    <mergeCell ref="Q2023:R2023"/>
    <mergeCell ref="A2024:B2024"/>
    <mergeCell ref="C2024:D2024"/>
    <mergeCell ref="E2024:I2024"/>
    <mergeCell ref="J2024:M2024"/>
    <mergeCell ref="N2024:P2024"/>
    <mergeCell ref="Q2024:R2024"/>
    <mergeCell ref="A2025:B2025"/>
    <mergeCell ref="C2025:D2025"/>
    <mergeCell ref="E2025:I2025"/>
    <mergeCell ref="J2025:M2025"/>
    <mergeCell ref="N2025:P2025"/>
    <mergeCell ref="Q2025:R2025"/>
    <mergeCell ref="A2026:B2026"/>
    <mergeCell ref="C2026:D2026"/>
    <mergeCell ref="E2026:I2026"/>
    <mergeCell ref="J2026:M2026"/>
    <mergeCell ref="N2026:P2026"/>
    <mergeCell ref="Q2026:R2026"/>
    <mergeCell ref="A2027:B2027"/>
    <mergeCell ref="C2027:D2027"/>
    <mergeCell ref="E2027:I2027"/>
    <mergeCell ref="J2027:M2027"/>
    <mergeCell ref="N2027:P2027"/>
    <mergeCell ref="Q2027:R2027"/>
    <mergeCell ref="A2028:B2028"/>
    <mergeCell ref="C2028:D2028"/>
    <mergeCell ref="E2028:I2028"/>
    <mergeCell ref="J2028:M2028"/>
    <mergeCell ref="N2028:P2028"/>
    <mergeCell ref="Q2028:R2028"/>
    <mergeCell ref="A2029:B2029"/>
    <mergeCell ref="C2029:D2029"/>
    <mergeCell ref="E2029:I2029"/>
    <mergeCell ref="J2029:M2029"/>
    <mergeCell ref="N2029:P2029"/>
    <mergeCell ref="Q2029:R2029"/>
    <mergeCell ref="A2030:B2030"/>
    <mergeCell ref="C2030:D2030"/>
    <mergeCell ref="E2030:I2030"/>
    <mergeCell ref="J2030:M2030"/>
    <mergeCell ref="N2030:P2030"/>
    <mergeCell ref="Q2030:R2030"/>
    <mergeCell ref="A2031:B2031"/>
    <mergeCell ref="C2031:D2031"/>
    <mergeCell ref="E2031:I2031"/>
    <mergeCell ref="J2031:M2031"/>
    <mergeCell ref="N2031:P2031"/>
    <mergeCell ref="Q2031:R2031"/>
    <mergeCell ref="A2032:B2032"/>
    <mergeCell ref="C2032:D2032"/>
    <mergeCell ref="E2032:I2032"/>
    <mergeCell ref="J2032:M2032"/>
    <mergeCell ref="N2032:P2032"/>
    <mergeCell ref="Q2032:R2032"/>
    <mergeCell ref="A2033:B2033"/>
    <mergeCell ref="C2033:D2033"/>
    <mergeCell ref="E2033:I2033"/>
    <mergeCell ref="J2033:M2033"/>
    <mergeCell ref="N2033:P2033"/>
    <mergeCell ref="Q2033:R2033"/>
    <mergeCell ref="A2034:B2034"/>
    <mergeCell ref="C2034:D2034"/>
    <mergeCell ref="E2034:I2034"/>
    <mergeCell ref="J2034:M2034"/>
    <mergeCell ref="N2034:P2034"/>
    <mergeCell ref="Q2034:R2034"/>
    <mergeCell ref="A2035:B2035"/>
    <mergeCell ref="C2035:D2035"/>
    <mergeCell ref="E2035:I2035"/>
    <mergeCell ref="J2035:M2035"/>
    <mergeCell ref="N2035:P2035"/>
    <mergeCell ref="Q2035:R2035"/>
    <mergeCell ref="A2036:B2036"/>
    <mergeCell ref="C2036:D2036"/>
    <mergeCell ref="E2036:I2036"/>
    <mergeCell ref="J2036:M2036"/>
    <mergeCell ref="N2036:P2036"/>
    <mergeCell ref="Q2036:R2036"/>
    <mergeCell ref="A2037:B2037"/>
    <mergeCell ref="C2037:D2037"/>
    <mergeCell ref="E2037:I2037"/>
    <mergeCell ref="J2037:M2037"/>
    <mergeCell ref="N2037:P2037"/>
    <mergeCell ref="Q2037:R2037"/>
    <mergeCell ref="A2038:B2038"/>
    <mergeCell ref="C2038:D2038"/>
    <mergeCell ref="E2038:I2038"/>
    <mergeCell ref="J2038:M2038"/>
    <mergeCell ref="N2038:P2038"/>
    <mergeCell ref="Q2038:R2038"/>
    <mergeCell ref="A2039:B2039"/>
    <mergeCell ref="C2039:D2039"/>
    <mergeCell ref="E2039:I2039"/>
    <mergeCell ref="J2039:M2039"/>
    <mergeCell ref="N2039:P2039"/>
    <mergeCell ref="Q2039:R2039"/>
    <mergeCell ref="A2040:B2040"/>
    <mergeCell ref="C2040:D2040"/>
    <mergeCell ref="E2040:I2040"/>
    <mergeCell ref="J2040:M2040"/>
    <mergeCell ref="N2040:P2040"/>
    <mergeCell ref="Q2040:R2040"/>
    <mergeCell ref="A2041:B2041"/>
    <mergeCell ref="C2041:D2041"/>
    <mergeCell ref="E2041:I2041"/>
    <mergeCell ref="J2041:M2041"/>
    <mergeCell ref="N2041:P2041"/>
    <mergeCell ref="Q2041:R2041"/>
    <mergeCell ref="A2042:B2042"/>
    <mergeCell ref="C2042:D2042"/>
    <mergeCell ref="E2042:I2042"/>
    <mergeCell ref="J2042:M2042"/>
    <mergeCell ref="N2042:P2042"/>
    <mergeCell ref="Q2042:R2042"/>
    <mergeCell ref="A2043:B2043"/>
    <mergeCell ref="C2043:D2043"/>
    <mergeCell ref="E2043:I2043"/>
    <mergeCell ref="J2043:M2043"/>
    <mergeCell ref="N2043:P2043"/>
    <mergeCell ref="Q2043:R2043"/>
    <mergeCell ref="A2044:B2044"/>
    <mergeCell ref="C2044:D2044"/>
    <mergeCell ref="E2044:I2044"/>
    <mergeCell ref="J2044:M2044"/>
    <mergeCell ref="N2044:P2044"/>
    <mergeCell ref="Q2044:R2044"/>
    <mergeCell ref="A2045:B2045"/>
    <mergeCell ref="C2045:D2045"/>
    <mergeCell ref="E2045:I2045"/>
    <mergeCell ref="J2045:M2045"/>
    <mergeCell ref="N2045:P2045"/>
    <mergeCell ref="Q2045:R2045"/>
    <mergeCell ref="A2046:B2046"/>
    <mergeCell ref="C2046:D2046"/>
    <mergeCell ref="E2046:I2046"/>
    <mergeCell ref="J2046:M2046"/>
    <mergeCell ref="N2046:P2046"/>
    <mergeCell ref="Q2046:R2046"/>
    <mergeCell ref="A2047:B2047"/>
    <mergeCell ref="C2047:D2047"/>
    <mergeCell ref="E2047:I2047"/>
    <mergeCell ref="J2047:M2047"/>
    <mergeCell ref="N2047:P2047"/>
    <mergeCell ref="Q2047:R2047"/>
    <mergeCell ref="A2048:B2048"/>
    <mergeCell ref="C2048:D2048"/>
    <mergeCell ref="E2048:I2048"/>
    <mergeCell ref="J2048:M2048"/>
    <mergeCell ref="N2048:P2048"/>
    <mergeCell ref="Q2048:R2048"/>
    <mergeCell ref="A2049:B2049"/>
    <mergeCell ref="C2049:D2049"/>
    <mergeCell ref="E2049:I2049"/>
    <mergeCell ref="J2049:M2049"/>
    <mergeCell ref="N2049:P2049"/>
    <mergeCell ref="Q2049:R2049"/>
    <mergeCell ref="A2050:B2050"/>
    <mergeCell ref="C2050:D2050"/>
    <mergeCell ref="E2050:I2050"/>
    <mergeCell ref="J2050:M2050"/>
    <mergeCell ref="N2050:P2050"/>
    <mergeCell ref="Q2050:R2050"/>
    <mergeCell ref="A2051:B2051"/>
    <mergeCell ref="C2051:D2051"/>
    <mergeCell ref="E2051:I2051"/>
    <mergeCell ref="J2051:M2051"/>
    <mergeCell ref="N2051:P2051"/>
    <mergeCell ref="Q2051:R2051"/>
    <mergeCell ref="A2052:B2052"/>
    <mergeCell ref="C2052:D2052"/>
    <mergeCell ref="E2052:I2052"/>
    <mergeCell ref="J2052:M2052"/>
    <mergeCell ref="N2052:P2052"/>
    <mergeCell ref="Q2052:R2052"/>
    <mergeCell ref="A2053:B2053"/>
    <mergeCell ref="C2053:D2053"/>
    <mergeCell ref="E2053:I2053"/>
    <mergeCell ref="J2053:M2053"/>
    <mergeCell ref="N2053:P2053"/>
    <mergeCell ref="Q2053:R2053"/>
    <mergeCell ref="A2054:B2054"/>
    <mergeCell ref="C2054:D2054"/>
    <mergeCell ref="E2054:I2054"/>
    <mergeCell ref="J2054:M2054"/>
    <mergeCell ref="N2054:P2054"/>
    <mergeCell ref="Q2054:R2054"/>
    <mergeCell ref="A2055:B2055"/>
    <mergeCell ref="C2055:D2055"/>
    <mergeCell ref="E2055:I2055"/>
    <mergeCell ref="J2055:M2055"/>
    <mergeCell ref="N2055:P2055"/>
    <mergeCell ref="Q2055:R2055"/>
    <mergeCell ref="A2056:B2056"/>
    <mergeCell ref="C2056:D2056"/>
    <mergeCell ref="E2056:I2056"/>
    <mergeCell ref="J2056:M2056"/>
    <mergeCell ref="N2056:P2056"/>
    <mergeCell ref="Q2056:R2056"/>
    <mergeCell ref="A2057:B2057"/>
    <mergeCell ref="C2057:D2057"/>
    <mergeCell ref="E2057:I2057"/>
    <mergeCell ref="J2057:M2057"/>
    <mergeCell ref="N2057:P2057"/>
    <mergeCell ref="Q2057:R2057"/>
    <mergeCell ref="A2058:B2058"/>
    <mergeCell ref="C2058:D2058"/>
    <mergeCell ref="E2058:I2058"/>
    <mergeCell ref="J2058:M2058"/>
    <mergeCell ref="N2058:P2058"/>
    <mergeCell ref="Q2058:R2058"/>
    <mergeCell ref="A2059:B2059"/>
    <mergeCell ref="C2059:D2059"/>
    <mergeCell ref="E2059:I2059"/>
    <mergeCell ref="J2059:M2059"/>
    <mergeCell ref="N2059:P2059"/>
    <mergeCell ref="Q2059:R2059"/>
    <mergeCell ref="A2060:B2060"/>
    <mergeCell ref="C2060:D2060"/>
    <mergeCell ref="E2060:I2060"/>
    <mergeCell ref="J2060:M2060"/>
    <mergeCell ref="N2060:P2060"/>
    <mergeCell ref="Q2060:R2060"/>
    <mergeCell ref="A2061:B2061"/>
    <mergeCell ref="C2061:D2061"/>
    <mergeCell ref="E2061:I2061"/>
    <mergeCell ref="J2061:M2061"/>
    <mergeCell ref="N2061:P2061"/>
    <mergeCell ref="Q2061:R2061"/>
    <mergeCell ref="A2062:B2062"/>
    <mergeCell ref="C2062:D2062"/>
    <mergeCell ref="E2062:I2062"/>
    <mergeCell ref="J2062:M2062"/>
    <mergeCell ref="N2062:P2062"/>
    <mergeCell ref="Q2062:R2062"/>
    <mergeCell ref="A2063:B2063"/>
    <mergeCell ref="C2063:D2063"/>
    <mergeCell ref="E2063:I2063"/>
    <mergeCell ref="J2063:M2063"/>
    <mergeCell ref="N2063:P2063"/>
    <mergeCell ref="Q2063:R2063"/>
    <mergeCell ref="A2064:B2064"/>
    <mergeCell ref="C2064:D2064"/>
    <mergeCell ref="E2064:I2064"/>
    <mergeCell ref="J2064:M2064"/>
    <mergeCell ref="N2064:P2064"/>
    <mergeCell ref="Q2064:R2064"/>
    <mergeCell ref="A2065:B2065"/>
    <mergeCell ref="C2065:D2065"/>
    <mergeCell ref="E2065:I2065"/>
    <mergeCell ref="J2065:M2065"/>
    <mergeCell ref="N2065:P2065"/>
    <mergeCell ref="Q2065:R2065"/>
    <mergeCell ref="A2066:B2066"/>
    <mergeCell ref="C2066:D2066"/>
    <mergeCell ref="E2066:I2066"/>
    <mergeCell ref="J2066:M2066"/>
    <mergeCell ref="N2066:P2066"/>
    <mergeCell ref="Q2066:R2066"/>
    <mergeCell ref="A2067:B2067"/>
    <mergeCell ref="C2067:D2067"/>
    <mergeCell ref="E2067:I2067"/>
    <mergeCell ref="J2067:M2067"/>
    <mergeCell ref="N2067:P2067"/>
    <mergeCell ref="Q2067:R2067"/>
    <mergeCell ref="A2068:B2068"/>
    <mergeCell ref="C2068:D2068"/>
    <mergeCell ref="E2068:I2068"/>
    <mergeCell ref="J2068:M2068"/>
    <mergeCell ref="N2068:P2068"/>
    <mergeCell ref="Q2068:R2068"/>
    <mergeCell ref="A2069:B2069"/>
    <mergeCell ref="C2069:D2069"/>
    <mergeCell ref="E2069:I2069"/>
    <mergeCell ref="J2069:M2069"/>
    <mergeCell ref="N2069:P2069"/>
    <mergeCell ref="Q2069:R2069"/>
    <mergeCell ref="A2070:B2070"/>
    <mergeCell ref="C2070:D2070"/>
    <mergeCell ref="E2070:I2070"/>
    <mergeCell ref="J2070:M2070"/>
    <mergeCell ref="N2070:P2070"/>
    <mergeCell ref="Q2070:R2070"/>
    <mergeCell ref="A2071:B2071"/>
    <mergeCell ref="C2071:D2071"/>
    <mergeCell ref="E2071:I2071"/>
    <mergeCell ref="J2071:M2071"/>
    <mergeCell ref="N2071:P2071"/>
    <mergeCell ref="Q2071:R2071"/>
    <mergeCell ref="A2072:B2072"/>
    <mergeCell ref="C2072:D2072"/>
    <mergeCell ref="E2072:I2072"/>
    <mergeCell ref="J2072:M2072"/>
    <mergeCell ref="N2072:P2072"/>
    <mergeCell ref="Q2072:R2072"/>
    <mergeCell ref="A2073:B2073"/>
    <mergeCell ref="C2073:D2073"/>
    <mergeCell ref="E2073:I2073"/>
    <mergeCell ref="J2073:M2073"/>
    <mergeCell ref="N2073:P2073"/>
    <mergeCell ref="Q2073:R2073"/>
    <mergeCell ref="A2074:B2074"/>
    <mergeCell ref="C2074:D2074"/>
    <mergeCell ref="E2074:I2074"/>
    <mergeCell ref="J2074:M2074"/>
    <mergeCell ref="N2074:P2074"/>
    <mergeCell ref="Q2074:R2074"/>
    <mergeCell ref="A2075:B2075"/>
    <mergeCell ref="C2075:D2075"/>
    <mergeCell ref="E2075:I2075"/>
    <mergeCell ref="J2075:M2075"/>
    <mergeCell ref="N2075:P2075"/>
    <mergeCell ref="Q2075:R2075"/>
    <mergeCell ref="A2076:B2076"/>
    <mergeCell ref="C2076:D2076"/>
    <mergeCell ref="E2076:I2076"/>
    <mergeCell ref="J2076:M2076"/>
    <mergeCell ref="N2076:P2076"/>
    <mergeCell ref="Q2076:R2076"/>
    <mergeCell ref="A2077:B2077"/>
    <mergeCell ref="C2077:D2077"/>
    <mergeCell ref="E2077:I2077"/>
    <mergeCell ref="J2077:M2077"/>
    <mergeCell ref="N2077:P2077"/>
    <mergeCell ref="Q2077:R2077"/>
    <mergeCell ref="A2078:B2078"/>
    <mergeCell ref="C2078:D2078"/>
    <mergeCell ref="E2078:I2078"/>
    <mergeCell ref="J2078:M2078"/>
    <mergeCell ref="N2078:P2078"/>
    <mergeCell ref="Q2078:R2078"/>
    <mergeCell ref="A2079:B2079"/>
    <mergeCell ref="C2079:D2079"/>
    <mergeCell ref="E2079:I2079"/>
    <mergeCell ref="J2079:M2079"/>
    <mergeCell ref="N2079:P2079"/>
    <mergeCell ref="Q2079:R2079"/>
    <mergeCell ref="A2080:B2080"/>
    <mergeCell ref="C2080:D2080"/>
    <mergeCell ref="E2080:I2080"/>
    <mergeCell ref="J2080:M2080"/>
    <mergeCell ref="N2080:P2080"/>
    <mergeCell ref="Q2080:R2080"/>
    <mergeCell ref="A2081:B2081"/>
    <mergeCell ref="C2081:D2081"/>
    <mergeCell ref="E2081:I2081"/>
    <mergeCell ref="J2081:M2081"/>
    <mergeCell ref="N2081:P2081"/>
    <mergeCell ref="Q2081:R2081"/>
    <mergeCell ref="A2082:B2082"/>
    <mergeCell ref="C2082:D2082"/>
    <mergeCell ref="E2082:I2082"/>
    <mergeCell ref="J2082:M2082"/>
    <mergeCell ref="N2082:P2082"/>
    <mergeCell ref="Q2082:R2082"/>
    <mergeCell ref="A2083:B2083"/>
    <mergeCell ref="C2083:D2083"/>
    <mergeCell ref="E2083:I2083"/>
    <mergeCell ref="J2083:M2083"/>
    <mergeCell ref="N2083:P2083"/>
    <mergeCell ref="Q2083:R2083"/>
    <mergeCell ref="A2084:B2084"/>
    <mergeCell ref="C2084:D2084"/>
    <mergeCell ref="E2084:I2084"/>
    <mergeCell ref="J2084:M2084"/>
    <mergeCell ref="N2084:P2084"/>
    <mergeCell ref="Q2084:R2084"/>
    <mergeCell ref="A2085:B2085"/>
    <mergeCell ref="C2085:D2085"/>
    <mergeCell ref="E2085:I2085"/>
    <mergeCell ref="J2085:M2085"/>
    <mergeCell ref="N2085:P2085"/>
    <mergeCell ref="Q2085:R2085"/>
    <mergeCell ref="A2086:B2086"/>
    <mergeCell ref="C2086:D2086"/>
    <mergeCell ref="E2086:I2086"/>
    <mergeCell ref="J2086:M2086"/>
    <mergeCell ref="N2086:P2086"/>
    <mergeCell ref="Q2086:R2086"/>
    <mergeCell ref="A2087:B2087"/>
    <mergeCell ref="C2087:D2087"/>
    <mergeCell ref="E2087:I2087"/>
    <mergeCell ref="J2087:M2087"/>
    <mergeCell ref="N2087:P2087"/>
    <mergeCell ref="Q2087:R2087"/>
    <mergeCell ref="A2088:B2088"/>
    <mergeCell ref="C2088:D2088"/>
    <mergeCell ref="E2088:I2088"/>
    <mergeCell ref="J2088:M2088"/>
    <mergeCell ref="N2088:P2088"/>
    <mergeCell ref="Q2088:R2088"/>
    <mergeCell ref="A2089:B2089"/>
    <mergeCell ref="C2089:D2089"/>
    <mergeCell ref="E2089:I2089"/>
    <mergeCell ref="J2089:M2089"/>
    <mergeCell ref="N2089:P2089"/>
    <mergeCell ref="Q2089:R2089"/>
    <mergeCell ref="A2090:B2090"/>
    <mergeCell ref="C2090:D2090"/>
    <mergeCell ref="E2090:I2090"/>
    <mergeCell ref="J2090:M2090"/>
    <mergeCell ref="N2090:P2090"/>
    <mergeCell ref="Q2090:R2090"/>
    <mergeCell ref="A2091:B2091"/>
    <mergeCell ref="C2091:D2091"/>
    <mergeCell ref="E2091:I2091"/>
    <mergeCell ref="J2091:M2091"/>
    <mergeCell ref="N2091:P2091"/>
    <mergeCell ref="Q2091:R2091"/>
    <mergeCell ref="A2092:B2092"/>
    <mergeCell ref="C2092:D2092"/>
    <mergeCell ref="E2092:I2092"/>
    <mergeCell ref="J2092:M2092"/>
    <mergeCell ref="N2092:P2092"/>
    <mergeCell ref="Q2092:R2092"/>
    <mergeCell ref="A2093:B2093"/>
    <mergeCell ref="C2093:D2093"/>
    <mergeCell ref="E2093:I2093"/>
    <mergeCell ref="J2093:M2093"/>
    <mergeCell ref="N2093:P2093"/>
    <mergeCell ref="Q2093:R2093"/>
    <mergeCell ref="A2094:B2094"/>
    <mergeCell ref="C2094:D2094"/>
    <mergeCell ref="E2094:I2094"/>
    <mergeCell ref="J2094:M2094"/>
    <mergeCell ref="N2094:P2094"/>
    <mergeCell ref="Q2094:R2094"/>
    <mergeCell ref="A2095:B2095"/>
    <mergeCell ref="C2095:D2095"/>
    <mergeCell ref="E2095:I2095"/>
    <mergeCell ref="J2095:M2095"/>
    <mergeCell ref="N2095:P2095"/>
    <mergeCell ref="Q2095:R2095"/>
    <mergeCell ref="A2096:B2096"/>
    <mergeCell ref="C2096:D2096"/>
    <mergeCell ref="E2096:I2096"/>
    <mergeCell ref="J2096:M2096"/>
    <mergeCell ref="N2096:P2096"/>
    <mergeCell ref="Q2096:R2096"/>
    <mergeCell ref="A2097:B2097"/>
    <mergeCell ref="C2097:D2097"/>
    <mergeCell ref="E2097:I2097"/>
    <mergeCell ref="J2097:M2097"/>
    <mergeCell ref="N2097:P2097"/>
    <mergeCell ref="Q2097:R2097"/>
    <mergeCell ref="A2098:B2098"/>
    <mergeCell ref="C2098:D2098"/>
    <mergeCell ref="E2098:I2098"/>
    <mergeCell ref="J2098:M2098"/>
    <mergeCell ref="N2098:P2098"/>
    <mergeCell ref="Q2098:R2098"/>
    <mergeCell ref="A2099:B2099"/>
    <mergeCell ref="C2099:D2099"/>
    <mergeCell ref="E2099:I2099"/>
    <mergeCell ref="J2099:M2099"/>
    <mergeCell ref="N2099:P2099"/>
    <mergeCell ref="Q2099:R2099"/>
    <mergeCell ref="A2100:B2100"/>
    <mergeCell ref="C2100:D2100"/>
    <mergeCell ref="E2100:I2100"/>
    <mergeCell ref="J2100:M2100"/>
    <mergeCell ref="N2100:P2100"/>
    <mergeCell ref="Q2100:R2100"/>
    <mergeCell ref="A2101:B2101"/>
    <mergeCell ref="C2101:D2101"/>
    <mergeCell ref="E2101:I2101"/>
    <mergeCell ref="J2101:M2101"/>
    <mergeCell ref="N2101:P2101"/>
    <mergeCell ref="Q2101:R2101"/>
    <mergeCell ref="A2102:B2102"/>
    <mergeCell ref="C2102:D2102"/>
    <mergeCell ref="E2102:I2102"/>
    <mergeCell ref="J2102:M2102"/>
    <mergeCell ref="N2102:P2102"/>
    <mergeCell ref="Q2102:R2102"/>
    <mergeCell ref="A2103:B2103"/>
    <mergeCell ref="C2103:D2103"/>
    <mergeCell ref="E2103:I2103"/>
    <mergeCell ref="J2103:M2103"/>
    <mergeCell ref="N2103:P2103"/>
    <mergeCell ref="Q2103:R2103"/>
    <mergeCell ref="A2104:B2104"/>
    <mergeCell ref="C2104:D2104"/>
    <mergeCell ref="E2104:I2104"/>
    <mergeCell ref="J2104:M2104"/>
    <mergeCell ref="N2104:P2104"/>
    <mergeCell ref="Q2104:R2104"/>
    <mergeCell ref="A2105:B2105"/>
    <mergeCell ref="C2105:D2105"/>
    <mergeCell ref="E2105:I2105"/>
    <mergeCell ref="J2105:M2105"/>
    <mergeCell ref="N2105:P2105"/>
    <mergeCell ref="Q2105:R2105"/>
    <mergeCell ref="A2106:B2106"/>
    <mergeCell ref="C2106:D2106"/>
    <mergeCell ref="E2106:I2106"/>
    <mergeCell ref="J2106:M2106"/>
    <mergeCell ref="N2106:P2106"/>
    <mergeCell ref="Q2106:R2106"/>
    <mergeCell ref="A2107:B2107"/>
    <mergeCell ref="C2107:D2107"/>
    <mergeCell ref="E2107:I2107"/>
    <mergeCell ref="J2107:M2107"/>
    <mergeCell ref="N2107:P2107"/>
    <mergeCell ref="Q2107:R2107"/>
    <mergeCell ref="A2108:B2108"/>
    <mergeCell ref="C2108:D2108"/>
    <mergeCell ref="E2108:I2108"/>
    <mergeCell ref="J2108:M2108"/>
    <mergeCell ref="N2108:P2108"/>
    <mergeCell ref="Q2108:R2108"/>
    <mergeCell ref="A2109:B2109"/>
    <mergeCell ref="C2109:D2109"/>
    <mergeCell ref="E2109:I2109"/>
    <mergeCell ref="J2109:M2109"/>
    <mergeCell ref="N2109:P2109"/>
    <mergeCell ref="Q2109:R2109"/>
    <mergeCell ref="A2110:B2110"/>
    <mergeCell ref="C2110:D2110"/>
    <mergeCell ref="E2110:I2110"/>
    <mergeCell ref="J2110:M2110"/>
    <mergeCell ref="N2110:P2110"/>
    <mergeCell ref="Q2110:R2110"/>
    <mergeCell ref="A2111:B2111"/>
    <mergeCell ref="C2111:D2111"/>
    <mergeCell ref="E2111:I2111"/>
    <mergeCell ref="J2111:M2111"/>
    <mergeCell ref="N2111:P2111"/>
    <mergeCell ref="Q2111:R2111"/>
    <mergeCell ref="A2112:B2112"/>
    <mergeCell ref="C2112:D2112"/>
    <mergeCell ref="E2112:I2112"/>
    <mergeCell ref="J2112:M2112"/>
    <mergeCell ref="N2112:P2112"/>
    <mergeCell ref="Q2112:R2112"/>
    <mergeCell ref="A2113:B2113"/>
    <mergeCell ref="C2113:D2113"/>
    <mergeCell ref="E2113:I2113"/>
    <mergeCell ref="J2113:M2113"/>
    <mergeCell ref="N2113:P2113"/>
    <mergeCell ref="Q2113:R2113"/>
    <mergeCell ref="A2114:B2114"/>
    <mergeCell ref="C2114:D2114"/>
    <mergeCell ref="E2114:I2114"/>
    <mergeCell ref="J2114:M2114"/>
    <mergeCell ref="N2114:P2114"/>
    <mergeCell ref="Q2114:R2114"/>
    <mergeCell ref="A2115:B2115"/>
    <mergeCell ref="C2115:D2115"/>
    <mergeCell ref="E2115:I2115"/>
    <mergeCell ref="J2115:M2115"/>
    <mergeCell ref="N2115:P2115"/>
    <mergeCell ref="Q2115:R2115"/>
    <mergeCell ref="A2116:B2116"/>
    <mergeCell ref="C2116:D2116"/>
    <mergeCell ref="E2116:I2116"/>
    <mergeCell ref="J2116:M2116"/>
    <mergeCell ref="N2116:P2116"/>
    <mergeCell ref="Q2116:R2116"/>
    <mergeCell ref="A2117:B2117"/>
    <mergeCell ref="C2117:D2117"/>
    <mergeCell ref="E2117:I2117"/>
    <mergeCell ref="J2117:M2117"/>
    <mergeCell ref="N2117:P2117"/>
    <mergeCell ref="Q2117:R2117"/>
    <mergeCell ref="A2118:B2118"/>
    <mergeCell ref="C2118:D2118"/>
    <mergeCell ref="E2118:I2118"/>
    <mergeCell ref="J2118:M2118"/>
    <mergeCell ref="N2118:P2118"/>
    <mergeCell ref="Q2118:R2118"/>
    <mergeCell ref="A2119:B2119"/>
    <mergeCell ref="C2119:D2119"/>
    <mergeCell ref="E2119:I2119"/>
    <mergeCell ref="J2119:M2119"/>
    <mergeCell ref="N2119:P2119"/>
    <mergeCell ref="Q2119:R2119"/>
    <mergeCell ref="A2120:B2120"/>
    <mergeCell ref="C2120:D2120"/>
    <mergeCell ref="E2120:I2120"/>
    <mergeCell ref="J2120:M2120"/>
    <mergeCell ref="N2120:P2120"/>
    <mergeCell ref="Q2120:R2120"/>
    <mergeCell ref="A2121:B2121"/>
    <mergeCell ref="C2121:D2121"/>
    <mergeCell ref="E2121:I2121"/>
    <mergeCell ref="J2121:M2121"/>
    <mergeCell ref="N2121:P2121"/>
    <mergeCell ref="Q2121:R2121"/>
    <mergeCell ref="A2122:B2122"/>
    <mergeCell ref="C2122:D2122"/>
    <mergeCell ref="E2122:I2122"/>
    <mergeCell ref="J2122:M2122"/>
    <mergeCell ref="N2122:P2122"/>
    <mergeCell ref="Q2122:R2122"/>
    <mergeCell ref="A2123:B2123"/>
    <mergeCell ref="C2123:D2123"/>
    <mergeCell ref="E2123:I2123"/>
    <mergeCell ref="J2123:M2123"/>
    <mergeCell ref="N2123:P2123"/>
    <mergeCell ref="Q2123:R2123"/>
    <mergeCell ref="A2124:B2124"/>
    <mergeCell ref="C2124:D2124"/>
    <mergeCell ref="E2124:I2124"/>
    <mergeCell ref="J2124:M2124"/>
    <mergeCell ref="N2124:P2124"/>
    <mergeCell ref="Q2124:R2124"/>
    <mergeCell ref="A2125:B2125"/>
    <mergeCell ref="C2125:D2125"/>
    <mergeCell ref="E2125:I2125"/>
    <mergeCell ref="J2125:M2125"/>
    <mergeCell ref="N2125:P2125"/>
    <mergeCell ref="Q2125:R2125"/>
    <mergeCell ref="A2126:B2126"/>
    <mergeCell ref="C2126:D2126"/>
    <mergeCell ref="E2126:I2126"/>
    <mergeCell ref="J2126:M2126"/>
    <mergeCell ref="N2126:P2126"/>
    <mergeCell ref="Q2126:R2126"/>
    <mergeCell ref="A2127:B2127"/>
    <mergeCell ref="C2127:D2127"/>
    <mergeCell ref="E2127:I2127"/>
    <mergeCell ref="J2127:M2127"/>
    <mergeCell ref="N2127:P2127"/>
    <mergeCell ref="Q2127:R2127"/>
    <mergeCell ref="A2128:B2128"/>
    <mergeCell ref="C2128:D2128"/>
    <mergeCell ref="E2128:I2128"/>
    <mergeCell ref="J2128:M2128"/>
    <mergeCell ref="N2128:P2128"/>
    <mergeCell ref="Q2128:R2128"/>
    <mergeCell ref="A2129:B2129"/>
    <mergeCell ref="C2129:D2129"/>
    <mergeCell ref="E2129:I2129"/>
    <mergeCell ref="J2129:M2129"/>
    <mergeCell ref="N2129:P2129"/>
    <mergeCell ref="Q2129:R2129"/>
    <mergeCell ref="A2130:B2130"/>
    <mergeCell ref="C2130:D2130"/>
    <mergeCell ref="E2130:I2130"/>
    <mergeCell ref="J2130:M2130"/>
    <mergeCell ref="N2130:P2130"/>
    <mergeCell ref="Q2130:R2130"/>
    <mergeCell ref="A2131:B2131"/>
    <mergeCell ref="C2131:D2131"/>
    <mergeCell ref="E2131:I2131"/>
    <mergeCell ref="J2131:M2131"/>
    <mergeCell ref="N2131:P2131"/>
    <mergeCell ref="Q2131:R2131"/>
    <mergeCell ref="A2132:B2132"/>
    <mergeCell ref="C2132:D2132"/>
    <mergeCell ref="E2132:I2132"/>
    <mergeCell ref="J2132:M2132"/>
    <mergeCell ref="N2132:P2132"/>
    <mergeCell ref="Q2132:R2132"/>
    <mergeCell ref="A2133:B2133"/>
    <mergeCell ref="C2133:D2133"/>
    <mergeCell ref="E2133:I2133"/>
    <mergeCell ref="J2133:M2133"/>
    <mergeCell ref="N2133:P2133"/>
    <mergeCell ref="Q2133:R2133"/>
    <mergeCell ref="A2134:B2134"/>
    <mergeCell ref="C2134:D2134"/>
    <mergeCell ref="E2134:I2134"/>
    <mergeCell ref="J2134:M2134"/>
    <mergeCell ref="N2134:P2134"/>
    <mergeCell ref="Q2134:R2134"/>
    <mergeCell ref="A2135:B2135"/>
    <mergeCell ref="C2135:D2135"/>
    <mergeCell ref="E2135:I2135"/>
    <mergeCell ref="J2135:M2135"/>
    <mergeCell ref="N2135:P2135"/>
    <mergeCell ref="Q2135:R2135"/>
    <mergeCell ref="A2136:B2136"/>
    <mergeCell ref="C2136:D2136"/>
    <mergeCell ref="E2136:I2136"/>
    <mergeCell ref="J2136:M2136"/>
    <mergeCell ref="N2136:P2136"/>
    <mergeCell ref="Q2136:R2136"/>
    <mergeCell ref="A2137:B2137"/>
    <mergeCell ref="C2137:D2137"/>
    <mergeCell ref="E2137:I2137"/>
    <mergeCell ref="J2137:M2137"/>
    <mergeCell ref="N2137:P2137"/>
    <mergeCell ref="Q2137:R2137"/>
    <mergeCell ref="A2138:B2138"/>
    <mergeCell ref="C2138:I2138"/>
    <mergeCell ref="J2138:M2138"/>
    <mergeCell ref="N2138:P2138"/>
    <mergeCell ref="Q2138:R2138"/>
    <mergeCell ref="A2139:B2139"/>
    <mergeCell ref="C2139:D2139"/>
    <mergeCell ref="E2139:I2139"/>
    <mergeCell ref="J2139:M2139"/>
    <mergeCell ref="N2139:P2139"/>
    <mergeCell ref="Q2139:R2139"/>
    <mergeCell ref="A2140:B2140"/>
    <mergeCell ref="C2140:I2140"/>
    <mergeCell ref="J2140:M2140"/>
    <mergeCell ref="N2140:P2140"/>
    <mergeCell ref="Q2140:R2140"/>
    <mergeCell ref="A2141:B2141"/>
    <mergeCell ref="C2141:D2141"/>
    <mergeCell ref="E2141:I2141"/>
    <mergeCell ref="J2141:M2141"/>
    <mergeCell ref="N2141:P2141"/>
    <mergeCell ref="Q2141:R2141"/>
    <mergeCell ref="A2142:B2142"/>
    <mergeCell ref="C2142:I2142"/>
    <mergeCell ref="J2142:M2142"/>
    <mergeCell ref="N2142:P2142"/>
    <mergeCell ref="Q2142:R2142"/>
    <mergeCell ref="A2143:B2143"/>
    <mergeCell ref="C2143:D2143"/>
    <mergeCell ref="E2143:I2143"/>
    <mergeCell ref="J2143:M2143"/>
    <mergeCell ref="N2143:P2143"/>
    <mergeCell ref="Q2143:R2143"/>
    <mergeCell ref="A2144:B2144"/>
    <mergeCell ref="C2144:I2144"/>
    <mergeCell ref="J2144:M2144"/>
    <mergeCell ref="N2144:P2144"/>
    <mergeCell ref="Q2144:R2144"/>
    <mergeCell ref="A2145:B2145"/>
    <mergeCell ref="C2145:D2145"/>
    <mergeCell ref="E2145:I2145"/>
    <mergeCell ref="J2145:M2145"/>
    <mergeCell ref="N2145:P2145"/>
    <mergeCell ref="Q2145:R2145"/>
    <mergeCell ref="A2146:B2146"/>
    <mergeCell ref="C2146:I2146"/>
    <mergeCell ref="J2146:M2146"/>
    <mergeCell ref="N2146:P2146"/>
    <mergeCell ref="Q2146:R2146"/>
    <mergeCell ref="A2147:B2147"/>
    <mergeCell ref="C2147:I2147"/>
    <mergeCell ref="J2147:M2147"/>
    <mergeCell ref="N2147:P2147"/>
    <mergeCell ref="Q2147:R2147"/>
    <mergeCell ref="A2148:B2148"/>
    <mergeCell ref="C2148:D2148"/>
    <mergeCell ref="E2148:I2148"/>
    <mergeCell ref="J2148:M2148"/>
    <mergeCell ref="N2148:P2148"/>
    <mergeCell ref="Q2148:R2148"/>
    <mergeCell ref="A2149:B2149"/>
    <mergeCell ref="C2149:D2149"/>
    <mergeCell ref="E2149:I2149"/>
    <mergeCell ref="J2149:M2149"/>
    <mergeCell ref="N2149:P2149"/>
    <mergeCell ref="Q2149:R2149"/>
    <mergeCell ref="A2150:B2150"/>
    <mergeCell ref="C2150:D2150"/>
    <mergeCell ref="E2150:I2150"/>
    <mergeCell ref="J2150:M2150"/>
    <mergeCell ref="N2150:P2150"/>
    <mergeCell ref="Q2150:R2150"/>
    <mergeCell ref="A2151:B2151"/>
    <mergeCell ref="C2151:I2151"/>
    <mergeCell ref="J2151:M2151"/>
    <mergeCell ref="N2151:P2151"/>
    <mergeCell ref="Q2151:R2151"/>
    <mergeCell ref="A2152:B2152"/>
    <mergeCell ref="C2152:D2152"/>
    <mergeCell ref="E2152:I2152"/>
    <mergeCell ref="J2152:M2152"/>
    <mergeCell ref="N2152:P2152"/>
    <mergeCell ref="Q2152:R2152"/>
    <mergeCell ref="A2153:B2153"/>
    <mergeCell ref="C2153:D2153"/>
    <mergeCell ref="E2153:I2153"/>
    <mergeCell ref="J2153:M2153"/>
    <mergeCell ref="N2153:P2153"/>
    <mergeCell ref="Q2153:R2153"/>
    <mergeCell ref="A2154:B2154"/>
    <mergeCell ref="C2154:D2154"/>
    <mergeCell ref="E2154:I2154"/>
    <mergeCell ref="J2154:M2154"/>
    <mergeCell ref="N2154:P2154"/>
    <mergeCell ref="Q2154:R2154"/>
    <mergeCell ref="A2155:B2155"/>
    <mergeCell ref="C2155:D2155"/>
    <mergeCell ref="E2155:I2155"/>
    <mergeCell ref="J2155:M2155"/>
    <mergeCell ref="N2155:P2155"/>
    <mergeCell ref="Q2155:R2155"/>
    <mergeCell ref="A2156:B2156"/>
    <mergeCell ref="C2156:I2156"/>
    <mergeCell ref="J2156:M2156"/>
    <mergeCell ref="N2156:P2156"/>
    <mergeCell ref="Q2156:R2156"/>
    <mergeCell ref="A2157:B2157"/>
    <mergeCell ref="C2157:I2157"/>
    <mergeCell ref="J2157:M2157"/>
    <mergeCell ref="N2157:P2157"/>
    <mergeCell ref="Q2157:R2157"/>
    <mergeCell ref="A2158:B2158"/>
    <mergeCell ref="C2158:D2158"/>
    <mergeCell ref="E2158:I2158"/>
    <mergeCell ref="J2158:M2158"/>
    <mergeCell ref="N2158:P2158"/>
    <mergeCell ref="Q2158:R2158"/>
    <mergeCell ref="A2159:B2159"/>
    <mergeCell ref="C2159:D2159"/>
    <mergeCell ref="E2159:I2159"/>
    <mergeCell ref="J2159:M2159"/>
    <mergeCell ref="N2159:P2159"/>
    <mergeCell ref="Q2159:R2159"/>
    <mergeCell ref="A2160:B2160"/>
    <mergeCell ref="C2160:D2160"/>
    <mergeCell ref="E2160:I2160"/>
    <mergeCell ref="J2160:M2160"/>
    <mergeCell ref="N2160:P2160"/>
    <mergeCell ref="Q2160:R2160"/>
    <mergeCell ref="A2161:B2161"/>
    <mergeCell ref="C2161:D2161"/>
    <mergeCell ref="E2161:I2161"/>
    <mergeCell ref="J2161:M2161"/>
    <mergeCell ref="N2161:P2161"/>
    <mergeCell ref="Q2161:R2161"/>
    <mergeCell ref="A2162:B2162"/>
    <mergeCell ref="C2162:I2162"/>
    <mergeCell ref="J2162:M2162"/>
    <mergeCell ref="N2162:P2162"/>
    <mergeCell ref="Q2162:R2162"/>
    <mergeCell ref="A2163:B2163"/>
    <mergeCell ref="C2163:I2163"/>
    <mergeCell ref="J2163:M2163"/>
    <mergeCell ref="N2163:P2163"/>
    <mergeCell ref="Q2163:R2163"/>
    <mergeCell ref="A2164:B2164"/>
    <mergeCell ref="C2164:D2164"/>
    <mergeCell ref="E2164:I2164"/>
    <mergeCell ref="J2164:M2164"/>
    <mergeCell ref="N2164:P2164"/>
    <mergeCell ref="Q2164:R2164"/>
    <mergeCell ref="A2165:B2165"/>
    <mergeCell ref="C2165:I2165"/>
    <mergeCell ref="J2165:M2165"/>
    <mergeCell ref="N2165:P2165"/>
    <mergeCell ref="Q2165:R2165"/>
    <mergeCell ref="A2166:B2166"/>
    <mergeCell ref="C2166:I2166"/>
    <mergeCell ref="J2166:M2166"/>
    <mergeCell ref="N2166:P2166"/>
    <mergeCell ref="Q2166:R2166"/>
    <mergeCell ref="A2167:B2167"/>
    <mergeCell ref="C2167:I2167"/>
    <mergeCell ref="J2167:M2167"/>
    <mergeCell ref="N2167:P2167"/>
    <mergeCell ref="Q2167:R2167"/>
    <mergeCell ref="A2168:B2168"/>
    <mergeCell ref="C2168:D2168"/>
    <mergeCell ref="E2168:I2168"/>
    <mergeCell ref="J2168:M2168"/>
    <mergeCell ref="N2168:P2168"/>
    <mergeCell ref="Q2168:R2168"/>
    <mergeCell ref="A2169:B2169"/>
    <mergeCell ref="C2169:I2169"/>
    <mergeCell ref="J2169:M2169"/>
    <mergeCell ref="N2169:P2169"/>
    <mergeCell ref="Q2169:R2169"/>
    <mergeCell ref="A2170:B2170"/>
    <mergeCell ref="C2170:I2170"/>
    <mergeCell ref="J2170:M2170"/>
    <mergeCell ref="N2170:P2170"/>
    <mergeCell ref="Q2170:R2170"/>
    <mergeCell ref="A2171:B2171"/>
    <mergeCell ref="C2171:I2171"/>
    <mergeCell ref="J2171:M2171"/>
    <mergeCell ref="N2171:P2171"/>
    <mergeCell ref="Q2171:R2171"/>
    <mergeCell ref="A2172:B2172"/>
    <mergeCell ref="C2172:D2172"/>
    <mergeCell ref="E2172:I2172"/>
    <mergeCell ref="J2172:M2172"/>
    <mergeCell ref="N2172:P2172"/>
    <mergeCell ref="Q2172:R2172"/>
    <mergeCell ref="A2173:B2173"/>
    <mergeCell ref="C2173:I2173"/>
    <mergeCell ref="J2173:M2173"/>
    <mergeCell ref="N2173:P2173"/>
    <mergeCell ref="Q2173:R2173"/>
    <mergeCell ref="A2174:B2174"/>
    <mergeCell ref="C2174:D2174"/>
    <mergeCell ref="E2174:I2174"/>
    <mergeCell ref="J2174:M2174"/>
    <mergeCell ref="N2174:P2174"/>
    <mergeCell ref="Q2174:R2174"/>
    <mergeCell ref="A2175:B2175"/>
    <mergeCell ref="C2175:I2175"/>
    <mergeCell ref="J2175:M2175"/>
    <mergeCell ref="N2175:P2175"/>
    <mergeCell ref="Q2175:R2175"/>
    <mergeCell ref="A2176:B2176"/>
    <mergeCell ref="C2176:I2176"/>
    <mergeCell ref="J2176:M2176"/>
    <mergeCell ref="N2176:P2176"/>
    <mergeCell ref="Q2176:R2176"/>
    <mergeCell ref="A2177:B2177"/>
    <mergeCell ref="C2177:I2177"/>
    <mergeCell ref="J2177:M2177"/>
    <mergeCell ref="N2177:P2177"/>
    <mergeCell ref="Q2177:R2177"/>
    <mergeCell ref="A2178:B2178"/>
    <mergeCell ref="C2178:D2178"/>
    <mergeCell ref="E2178:I2178"/>
    <mergeCell ref="J2178:M2178"/>
    <mergeCell ref="N2178:P2178"/>
    <mergeCell ref="Q2178:R2178"/>
    <mergeCell ref="A2179:B2179"/>
    <mergeCell ref="C2179:I2179"/>
    <mergeCell ref="J2179:M2179"/>
    <mergeCell ref="N2179:P2179"/>
    <mergeCell ref="Q2179:R2179"/>
    <mergeCell ref="A2180:B2180"/>
    <mergeCell ref="C2180:D2180"/>
    <mergeCell ref="E2180:I2180"/>
    <mergeCell ref="J2180:M2180"/>
    <mergeCell ref="N2180:P2180"/>
    <mergeCell ref="Q2180:R2180"/>
    <mergeCell ref="A2181:B2181"/>
    <mergeCell ref="C2181:I2181"/>
    <mergeCell ref="J2181:M2181"/>
    <mergeCell ref="N2181:P2181"/>
    <mergeCell ref="Q2181:R2181"/>
    <mergeCell ref="A2182:B2182"/>
    <mergeCell ref="C2182:D2182"/>
    <mergeCell ref="E2182:I2182"/>
    <mergeCell ref="J2182:M2182"/>
    <mergeCell ref="N2182:P2182"/>
    <mergeCell ref="Q2182:R2182"/>
    <mergeCell ref="A2183:B2183"/>
    <mergeCell ref="C2183:I2183"/>
    <mergeCell ref="J2183:M2183"/>
    <mergeCell ref="N2183:P2183"/>
    <mergeCell ref="Q2183:R2183"/>
    <mergeCell ref="A2184:B2184"/>
    <mergeCell ref="C2184:I2184"/>
    <mergeCell ref="J2184:M2184"/>
    <mergeCell ref="N2184:P2184"/>
    <mergeCell ref="Q2184:R2184"/>
    <mergeCell ref="A2185:B2185"/>
    <mergeCell ref="C2185:I2185"/>
    <mergeCell ref="J2185:M2185"/>
    <mergeCell ref="N2185:P2185"/>
    <mergeCell ref="Q2185:R2185"/>
    <mergeCell ref="A2186:B2186"/>
    <mergeCell ref="C2186:I2186"/>
    <mergeCell ref="J2186:M2186"/>
    <mergeCell ref="N2186:P2186"/>
    <mergeCell ref="Q2186:R2186"/>
    <mergeCell ref="A2187:B2187"/>
    <mergeCell ref="C2187:I2187"/>
    <mergeCell ref="J2187:M2187"/>
    <mergeCell ref="N2187:P2187"/>
    <mergeCell ref="Q2187:R2187"/>
    <mergeCell ref="A2188:B2188"/>
    <mergeCell ref="C2188:I2188"/>
    <mergeCell ref="J2188:M2188"/>
    <mergeCell ref="N2188:P2188"/>
    <mergeCell ref="Q2188:R2188"/>
    <mergeCell ref="A2189:B2189"/>
    <mergeCell ref="C2189:I2189"/>
    <mergeCell ref="J2189:M2189"/>
    <mergeCell ref="N2189:P2189"/>
    <mergeCell ref="Q2189:R2189"/>
    <mergeCell ref="A2190:B2190"/>
    <mergeCell ref="C2190:I2190"/>
    <mergeCell ref="J2190:M2190"/>
    <mergeCell ref="N2190:P2190"/>
    <mergeCell ref="Q2190:R2190"/>
    <mergeCell ref="A2191:B2191"/>
    <mergeCell ref="C2191:I2191"/>
    <mergeCell ref="J2191:M2191"/>
    <mergeCell ref="N2191:P2191"/>
    <mergeCell ref="Q2191:R2191"/>
    <mergeCell ref="A2192:B2192"/>
    <mergeCell ref="C2192:I2192"/>
    <mergeCell ref="J2192:M2192"/>
    <mergeCell ref="N2192:P2192"/>
    <mergeCell ref="Q2192:R2192"/>
    <mergeCell ref="A2193:B2193"/>
    <mergeCell ref="C2193:I2193"/>
    <mergeCell ref="J2193:M2193"/>
    <mergeCell ref="N2193:P2193"/>
    <mergeCell ref="Q2193:R2193"/>
    <mergeCell ref="A2194:B2194"/>
    <mergeCell ref="C2194:I2194"/>
    <mergeCell ref="J2194:M2194"/>
    <mergeCell ref="N2194:P2194"/>
    <mergeCell ref="Q2194:R2194"/>
    <mergeCell ref="A2195:B2195"/>
    <mergeCell ref="C2195:I2195"/>
    <mergeCell ref="J2195:M2195"/>
    <mergeCell ref="N2195:P2195"/>
    <mergeCell ref="Q2195:R2195"/>
    <mergeCell ref="A2196:B2196"/>
    <mergeCell ref="C2196:D2196"/>
    <mergeCell ref="E2196:I2196"/>
    <mergeCell ref="J2196:M2196"/>
    <mergeCell ref="N2196:P2196"/>
    <mergeCell ref="Q2196:R2196"/>
    <mergeCell ref="A2197:B2197"/>
    <mergeCell ref="C2197:I2197"/>
    <mergeCell ref="J2197:M2197"/>
    <mergeCell ref="N2197:P2197"/>
    <mergeCell ref="Q2197:R2197"/>
    <mergeCell ref="A2198:B2198"/>
    <mergeCell ref="C2198:I2198"/>
    <mergeCell ref="J2198:M2198"/>
    <mergeCell ref="N2198:P2198"/>
    <mergeCell ref="Q2198:R2198"/>
    <mergeCell ref="A2199:B2199"/>
    <mergeCell ref="C2199:I2199"/>
    <mergeCell ref="J2199:M2199"/>
    <mergeCell ref="N2199:P2199"/>
    <mergeCell ref="Q2199:R2199"/>
    <mergeCell ref="A2200:B2200"/>
    <mergeCell ref="C2200:D2200"/>
    <mergeCell ref="E2200:I2200"/>
    <mergeCell ref="J2200:M2200"/>
    <mergeCell ref="N2200:P2200"/>
    <mergeCell ref="Q2200:R2200"/>
    <mergeCell ref="A2201:B2201"/>
    <mergeCell ref="C2201:I2201"/>
    <mergeCell ref="J2201:M2201"/>
    <mergeCell ref="N2201:P2201"/>
    <mergeCell ref="Q2201:R2201"/>
    <mergeCell ref="A2202:B2202"/>
    <mergeCell ref="C2202:D2202"/>
    <mergeCell ref="E2202:I2202"/>
    <mergeCell ref="J2202:M2202"/>
    <mergeCell ref="N2202:P2202"/>
    <mergeCell ref="Q2202:R2202"/>
    <mergeCell ref="A2203:B2203"/>
    <mergeCell ref="C2203:I2203"/>
    <mergeCell ref="J2203:M2203"/>
    <mergeCell ref="N2203:P2203"/>
    <mergeCell ref="Q2203:R2203"/>
    <mergeCell ref="A2204:B2204"/>
    <mergeCell ref="C2204:D2204"/>
    <mergeCell ref="E2204:I2204"/>
    <mergeCell ref="J2204:M2204"/>
    <mergeCell ref="N2204:P2204"/>
    <mergeCell ref="Q2204:R2204"/>
    <mergeCell ref="A2205:B2205"/>
    <mergeCell ref="C2205:D2205"/>
    <mergeCell ref="E2205:I2205"/>
    <mergeCell ref="J2205:M2205"/>
    <mergeCell ref="N2205:P2205"/>
    <mergeCell ref="Q2205:R2205"/>
    <mergeCell ref="A2206:B2206"/>
    <mergeCell ref="C2206:D2206"/>
    <mergeCell ref="E2206:I2206"/>
    <mergeCell ref="J2206:M2206"/>
    <mergeCell ref="N2206:P2206"/>
    <mergeCell ref="Q2206:R2206"/>
    <mergeCell ref="A2207:B2207"/>
    <mergeCell ref="C2207:I2207"/>
    <mergeCell ref="J2207:M2207"/>
    <mergeCell ref="N2207:P2207"/>
    <mergeCell ref="Q2207:R2207"/>
    <mergeCell ref="A2208:B2208"/>
    <mergeCell ref="C2208:D2208"/>
    <mergeCell ref="E2208:I2208"/>
    <mergeCell ref="J2208:M2208"/>
    <mergeCell ref="N2208:P2208"/>
    <mergeCell ref="Q2208:R2208"/>
    <mergeCell ref="A2209:B2209"/>
    <mergeCell ref="C2209:D2209"/>
    <mergeCell ref="E2209:I2209"/>
    <mergeCell ref="J2209:M2209"/>
    <mergeCell ref="N2209:P2209"/>
    <mergeCell ref="Q2209:R2209"/>
    <mergeCell ref="A2210:B2210"/>
    <mergeCell ref="C2210:D2210"/>
    <mergeCell ref="E2210:I2210"/>
    <mergeCell ref="J2210:M2210"/>
    <mergeCell ref="N2210:P2210"/>
    <mergeCell ref="Q2210:R2210"/>
    <mergeCell ref="A2211:B2211"/>
    <mergeCell ref="C2211:D2211"/>
    <mergeCell ref="E2211:I2211"/>
    <mergeCell ref="J2211:M2211"/>
    <mergeCell ref="N2211:P2211"/>
    <mergeCell ref="Q2211:R2211"/>
    <mergeCell ref="A2212:B2212"/>
    <mergeCell ref="C2212:D2212"/>
    <mergeCell ref="E2212:I2212"/>
    <mergeCell ref="J2212:M2212"/>
    <mergeCell ref="N2212:P2212"/>
    <mergeCell ref="Q2212:R2212"/>
    <mergeCell ref="A2213:B2213"/>
    <mergeCell ref="C2213:D2213"/>
    <mergeCell ref="E2213:I2213"/>
    <mergeCell ref="J2213:M2213"/>
    <mergeCell ref="N2213:P2213"/>
    <mergeCell ref="Q2213:R2213"/>
    <mergeCell ref="A2214:B2214"/>
    <mergeCell ref="C2214:D2214"/>
    <mergeCell ref="E2214:I2214"/>
    <mergeCell ref="J2214:M2214"/>
    <mergeCell ref="N2214:P2214"/>
    <mergeCell ref="Q2214:R2214"/>
    <mergeCell ref="A2215:B2215"/>
    <mergeCell ref="C2215:D2215"/>
    <mergeCell ref="E2215:I2215"/>
    <mergeCell ref="J2215:M2215"/>
    <mergeCell ref="N2215:P2215"/>
    <mergeCell ref="Q2215:R2215"/>
    <mergeCell ref="A2216:B2216"/>
    <mergeCell ref="C2216:I2216"/>
    <mergeCell ref="J2216:M2216"/>
    <mergeCell ref="N2216:P2216"/>
    <mergeCell ref="Q2216:R2216"/>
    <mergeCell ref="A2217:B2217"/>
    <mergeCell ref="C2217:D2217"/>
    <mergeCell ref="E2217:I2217"/>
    <mergeCell ref="J2217:M2217"/>
    <mergeCell ref="N2217:P2217"/>
    <mergeCell ref="Q2217:R2217"/>
    <mergeCell ref="A2218:B2218"/>
    <mergeCell ref="C2218:I2218"/>
    <mergeCell ref="J2218:M2218"/>
    <mergeCell ref="N2218:P2218"/>
    <mergeCell ref="Q2218:R2218"/>
    <mergeCell ref="A2219:B2219"/>
    <mergeCell ref="C2219:I2219"/>
    <mergeCell ref="J2219:M2219"/>
    <mergeCell ref="N2219:P2219"/>
    <mergeCell ref="Q2219:R2219"/>
    <mergeCell ref="A2220:B2220"/>
    <mergeCell ref="C2220:D2220"/>
    <mergeCell ref="E2220:I2220"/>
    <mergeCell ref="J2220:M2220"/>
    <mergeCell ref="N2220:P2220"/>
    <mergeCell ref="Q2220:R2220"/>
    <mergeCell ref="A2221:B2221"/>
    <mergeCell ref="C2221:D2221"/>
    <mergeCell ref="E2221:I2221"/>
    <mergeCell ref="J2221:M2221"/>
    <mergeCell ref="N2221:P2221"/>
    <mergeCell ref="Q2221:R2221"/>
    <mergeCell ref="A2222:B2222"/>
    <mergeCell ref="C2222:D2222"/>
    <mergeCell ref="E2222:I2222"/>
    <mergeCell ref="J2222:M2222"/>
    <mergeCell ref="N2222:P2222"/>
    <mergeCell ref="Q2222:R2222"/>
    <mergeCell ref="A2223:B2223"/>
    <mergeCell ref="C2223:D2223"/>
    <mergeCell ref="E2223:I2223"/>
    <mergeCell ref="J2223:M2223"/>
    <mergeCell ref="N2223:P2223"/>
    <mergeCell ref="Q2223:R2223"/>
    <mergeCell ref="A2224:B2224"/>
    <mergeCell ref="C2224:D2224"/>
    <mergeCell ref="E2224:I2224"/>
    <mergeCell ref="J2224:M2224"/>
    <mergeCell ref="N2224:P2224"/>
    <mergeCell ref="Q2224:R2224"/>
    <mergeCell ref="A2225:B2225"/>
    <mergeCell ref="C2225:I2225"/>
    <mergeCell ref="J2225:M2225"/>
    <mergeCell ref="N2225:P2225"/>
    <mergeCell ref="Q2225:R2225"/>
    <mergeCell ref="A2226:B2226"/>
    <mergeCell ref="C2226:I2226"/>
    <mergeCell ref="J2226:M2226"/>
    <mergeCell ref="N2226:P2226"/>
    <mergeCell ref="Q2226:R2226"/>
    <mergeCell ref="A2227:B2227"/>
    <mergeCell ref="C2227:D2227"/>
    <mergeCell ref="E2227:I2227"/>
    <mergeCell ref="J2227:M2227"/>
    <mergeCell ref="N2227:P2227"/>
    <mergeCell ref="Q2227:R2227"/>
    <mergeCell ref="A2228:B2228"/>
    <mergeCell ref="C2228:I2228"/>
    <mergeCell ref="J2228:M2228"/>
    <mergeCell ref="N2228:P2228"/>
    <mergeCell ref="Q2228:R2228"/>
    <mergeCell ref="A2229:B2229"/>
    <mergeCell ref="C2229:I2229"/>
    <mergeCell ref="J2229:M2229"/>
    <mergeCell ref="N2229:P2229"/>
    <mergeCell ref="Q2229:R2229"/>
    <mergeCell ref="A2230:B2230"/>
    <mergeCell ref="C2230:I2230"/>
    <mergeCell ref="J2230:M2230"/>
    <mergeCell ref="N2230:P2230"/>
    <mergeCell ref="Q2230:R2230"/>
    <mergeCell ref="A2231:B2231"/>
    <mergeCell ref="C2231:I2231"/>
    <mergeCell ref="J2231:M2231"/>
    <mergeCell ref="N2231:P2231"/>
    <mergeCell ref="Q2231:R2231"/>
    <mergeCell ref="A2232:B2232"/>
    <mergeCell ref="C2232:D2232"/>
    <mergeCell ref="E2232:I2232"/>
    <mergeCell ref="J2232:M2232"/>
    <mergeCell ref="N2232:P2232"/>
    <mergeCell ref="Q2232:R2232"/>
    <mergeCell ref="A2233:B2233"/>
    <mergeCell ref="C2233:I2233"/>
    <mergeCell ref="J2233:M2233"/>
    <mergeCell ref="N2233:P2233"/>
    <mergeCell ref="Q2233:R2233"/>
    <mergeCell ref="A2234:B2234"/>
    <mergeCell ref="C2234:I2234"/>
    <mergeCell ref="J2234:M2234"/>
    <mergeCell ref="N2234:P2234"/>
    <mergeCell ref="Q2234:R2234"/>
    <mergeCell ref="A2235:B2235"/>
    <mergeCell ref="C2235:D2235"/>
    <mergeCell ref="E2235:I2235"/>
    <mergeCell ref="J2235:M2235"/>
    <mergeCell ref="N2235:P2235"/>
    <mergeCell ref="Q2235:R2235"/>
    <mergeCell ref="A2236:B2236"/>
    <mergeCell ref="C2236:I2236"/>
    <mergeCell ref="J2236:M2236"/>
    <mergeCell ref="N2236:P2236"/>
    <mergeCell ref="Q2236:R2236"/>
    <mergeCell ref="A2237:B2237"/>
    <mergeCell ref="C2237:I2237"/>
    <mergeCell ref="J2237:M2237"/>
    <mergeCell ref="N2237:P2237"/>
    <mergeCell ref="Q2237:R2237"/>
    <mergeCell ref="A2238:B2238"/>
    <mergeCell ref="C2238:I2238"/>
    <mergeCell ref="J2238:M2238"/>
    <mergeCell ref="N2238:P2238"/>
    <mergeCell ref="Q2238:R2238"/>
    <mergeCell ref="A2239:B2239"/>
    <mergeCell ref="C2239:I2239"/>
    <mergeCell ref="J2239:M2239"/>
    <mergeCell ref="N2239:P2239"/>
    <mergeCell ref="Q2239:R2239"/>
    <mergeCell ref="A2240:B2240"/>
    <mergeCell ref="C2240:I2240"/>
    <mergeCell ref="J2240:M2240"/>
    <mergeCell ref="N2240:P2240"/>
    <mergeCell ref="Q2240:R2240"/>
    <mergeCell ref="A2241:B2241"/>
    <mergeCell ref="C2241:I2241"/>
    <mergeCell ref="J2241:M2241"/>
    <mergeCell ref="N2241:P2241"/>
    <mergeCell ref="Q2241:R2241"/>
    <mergeCell ref="A2242:B2242"/>
    <mergeCell ref="C2242:I2242"/>
    <mergeCell ref="J2242:M2242"/>
    <mergeCell ref="N2242:P2242"/>
    <mergeCell ref="Q2242:R2242"/>
    <mergeCell ref="A2243:B2243"/>
    <mergeCell ref="C2243:I2243"/>
    <mergeCell ref="J2243:M2243"/>
    <mergeCell ref="N2243:P2243"/>
    <mergeCell ref="Q2243:R2243"/>
    <mergeCell ref="A2244:B2244"/>
    <mergeCell ref="C2244:I2244"/>
    <mergeCell ref="J2244:M2244"/>
    <mergeCell ref="N2244:P2244"/>
    <mergeCell ref="Q2244:R2244"/>
    <mergeCell ref="A2245:B2245"/>
    <mergeCell ref="C2245:I2245"/>
    <mergeCell ref="J2245:M2245"/>
    <mergeCell ref="N2245:P2245"/>
    <mergeCell ref="Q2245:R2245"/>
    <mergeCell ref="A2246:B2246"/>
    <mergeCell ref="C2246:I2246"/>
    <mergeCell ref="J2246:M2246"/>
    <mergeCell ref="N2246:P2246"/>
    <mergeCell ref="Q2246:R2246"/>
    <mergeCell ref="A2247:B2247"/>
    <mergeCell ref="C2247:D2247"/>
    <mergeCell ref="E2247:I2247"/>
    <mergeCell ref="J2247:M2247"/>
    <mergeCell ref="N2247:P2247"/>
    <mergeCell ref="Q2247:R2247"/>
    <mergeCell ref="A2248:B2248"/>
    <mergeCell ref="C2248:I2248"/>
    <mergeCell ref="J2248:M2248"/>
    <mergeCell ref="N2248:P2248"/>
    <mergeCell ref="Q2248:R2248"/>
    <mergeCell ref="A2249:B2249"/>
    <mergeCell ref="C2249:I2249"/>
    <mergeCell ref="J2249:M2249"/>
    <mergeCell ref="N2249:P2249"/>
    <mergeCell ref="Q2249:R2249"/>
    <mergeCell ref="A2250:B2250"/>
    <mergeCell ref="C2250:D2250"/>
    <mergeCell ref="E2250:I2250"/>
    <mergeCell ref="J2250:M2250"/>
    <mergeCell ref="N2250:P2250"/>
    <mergeCell ref="Q2250:R2250"/>
    <mergeCell ref="A2251:B2251"/>
    <mergeCell ref="C2251:I2251"/>
    <mergeCell ref="J2251:M2251"/>
    <mergeCell ref="N2251:P2251"/>
    <mergeCell ref="Q2251:R2251"/>
    <mergeCell ref="A2252:B2252"/>
    <mergeCell ref="C2252:D2252"/>
    <mergeCell ref="E2252:I2252"/>
    <mergeCell ref="J2252:M2252"/>
    <mergeCell ref="N2252:P2252"/>
    <mergeCell ref="Q2252:R2252"/>
    <mergeCell ref="A2253:B2253"/>
    <mergeCell ref="C2253:I2253"/>
    <mergeCell ref="J2253:M2253"/>
    <mergeCell ref="N2253:P2253"/>
    <mergeCell ref="Q2253:R2253"/>
    <mergeCell ref="A2254:B2254"/>
    <mergeCell ref="C2254:I2254"/>
    <mergeCell ref="J2254:M2254"/>
    <mergeCell ref="N2254:P2254"/>
    <mergeCell ref="Q2254:R2254"/>
    <mergeCell ref="A2255:B2255"/>
    <mergeCell ref="C2255:I2255"/>
    <mergeCell ref="J2255:M2255"/>
    <mergeCell ref="N2255:P2255"/>
    <mergeCell ref="Q2255:R2255"/>
    <mergeCell ref="A2256:B2256"/>
    <mergeCell ref="C2256:D2256"/>
    <mergeCell ref="E2256:I2256"/>
    <mergeCell ref="J2256:M2256"/>
    <mergeCell ref="N2256:P2256"/>
    <mergeCell ref="Q2256:R2256"/>
    <mergeCell ref="A2257:B2257"/>
    <mergeCell ref="C2257:I2257"/>
    <mergeCell ref="J2257:M2257"/>
    <mergeCell ref="N2257:P2257"/>
    <mergeCell ref="Q2257:R2257"/>
    <mergeCell ref="A2258:B2258"/>
    <mergeCell ref="C2258:I2258"/>
    <mergeCell ref="J2258:M2258"/>
    <mergeCell ref="N2258:P2258"/>
    <mergeCell ref="Q2258:R2258"/>
    <mergeCell ref="A2259:B2259"/>
    <mergeCell ref="C2259:I2259"/>
    <mergeCell ref="J2259:M2259"/>
    <mergeCell ref="N2259:P2259"/>
    <mergeCell ref="Q2259:R2259"/>
    <mergeCell ref="A2260:B2260"/>
    <mergeCell ref="C2260:D2260"/>
    <mergeCell ref="E2260:I2260"/>
    <mergeCell ref="J2260:M2260"/>
    <mergeCell ref="N2260:P2260"/>
    <mergeCell ref="Q2260:R2260"/>
    <mergeCell ref="A2261:B2261"/>
    <mergeCell ref="C2261:I2261"/>
    <mergeCell ref="J2261:M2261"/>
    <mergeCell ref="N2261:P2261"/>
    <mergeCell ref="Q2261:R2261"/>
    <mergeCell ref="A2262:B2262"/>
    <mergeCell ref="C2262:I2262"/>
    <mergeCell ref="J2262:M2262"/>
    <mergeCell ref="N2262:P2262"/>
    <mergeCell ref="Q2262:R2262"/>
    <mergeCell ref="A2263:B2263"/>
    <mergeCell ref="C2263:I2263"/>
    <mergeCell ref="J2263:M2263"/>
    <mergeCell ref="N2263:P2263"/>
    <mergeCell ref="Q2263:R2263"/>
    <mergeCell ref="A2264:B2264"/>
    <mergeCell ref="C2264:I2264"/>
    <mergeCell ref="J2264:M2264"/>
    <mergeCell ref="N2264:P2264"/>
    <mergeCell ref="Q2264:R2264"/>
    <mergeCell ref="A2265:B2265"/>
    <mergeCell ref="C2265:I2265"/>
    <mergeCell ref="J2265:M2265"/>
    <mergeCell ref="N2265:P2265"/>
    <mergeCell ref="Q2265:R2265"/>
    <mergeCell ref="A2266:B2266"/>
    <mergeCell ref="C2266:D2266"/>
    <mergeCell ref="E2266:I2266"/>
    <mergeCell ref="J2266:M2266"/>
    <mergeCell ref="N2266:P2266"/>
    <mergeCell ref="Q2266:R2266"/>
    <mergeCell ref="A2267:B2267"/>
    <mergeCell ref="C2267:D2267"/>
    <mergeCell ref="E2267:I2267"/>
    <mergeCell ref="J2267:M2267"/>
    <mergeCell ref="N2267:P2267"/>
    <mergeCell ref="Q2267:R2267"/>
    <mergeCell ref="A2268:B2268"/>
    <mergeCell ref="C2268:D2268"/>
    <mergeCell ref="E2268:I2268"/>
    <mergeCell ref="J2268:M2268"/>
    <mergeCell ref="N2268:P2268"/>
    <mergeCell ref="Q2268:R2268"/>
    <mergeCell ref="A2269:B2269"/>
    <mergeCell ref="C2269:D2269"/>
    <mergeCell ref="E2269:I2269"/>
    <mergeCell ref="J2269:M2269"/>
    <mergeCell ref="N2269:P2269"/>
    <mergeCell ref="Q2269:R2269"/>
    <mergeCell ref="A2270:B2270"/>
    <mergeCell ref="C2270:D2270"/>
    <mergeCell ref="E2270:I2270"/>
    <mergeCell ref="J2270:M2270"/>
    <mergeCell ref="N2270:P2270"/>
    <mergeCell ref="Q2270:R2270"/>
    <mergeCell ref="A2271:B2271"/>
    <mergeCell ref="C2271:D2271"/>
    <mergeCell ref="E2271:I2271"/>
    <mergeCell ref="J2271:M2271"/>
    <mergeCell ref="N2271:P2271"/>
    <mergeCell ref="Q2271:R2271"/>
    <mergeCell ref="A2272:B2272"/>
    <mergeCell ref="C2272:D2272"/>
    <mergeCell ref="E2272:I2272"/>
    <mergeCell ref="J2272:M2272"/>
    <mergeCell ref="N2272:P2272"/>
    <mergeCell ref="Q2272:R2272"/>
    <mergeCell ref="A2273:B2273"/>
    <mergeCell ref="C2273:D2273"/>
    <mergeCell ref="E2273:I2273"/>
    <mergeCell ref="J2273:M2273"/>
    <mergeCell ref="N2273:P2273"/>
    <mergeCell ref="Q2273:R2273"/>
    <mergeCell ref="A2274:B2274"/>
    <mergeCell ref="C2274:D2274"/>
    <mergeCell ref="E2274:I2274"/>
    <mergeCell ref="J2274:M2274"/>
    <mergeCell ref="N2274:P2274"/>
    <mergeCell ref="Q2274:R2274"/>
    <mergeCell ref="A2275:B2275"/>
    <mergeCell ref="C2275:D2275"/>
    <mergeCell ref="E2275:I2275"/>
    <mergeCell ref="J2275:M2275"/>
    <mergeCell ref="N2275:P2275"/>
    <mergeCell ref="Q2275:R2275"/>
    <mergeCell ref="A2276:B2276"/>
    <mergeCell ref="C2276:D2276"/>
    <mergeCell ref="E2276:I2276"/>
    <mergeCell ref="J2276:M2276"/>
    <mergeCell ref="N2276:P2276"/>
    <mergeCell ref="Q2276:R2276"/>
    <mergeCell ref="A2277:B2277"/>
    <mergeCell ref="C2277:D2277"/>
    <mergeCell ref="E2277:I2277"/>
    <mergeCell ref="J2277:M2277"/>
    <mergeCell ref="N2277:P2277"/>
    <mergeCell ref="Q2277:R2277"/>
    <mergeCell ref="A2278:B2278"/>
    <mergeCell ref="C2278:D2278"/>
    <mergeCell ref="E2278:I2278"/>
    <mergeCell ref="J2278:M2278"/>
    <mergeCell ref="N2278:P2278"/>
    <mergeCell ref="Q2278:R2278"/>
    <mergeCell ref="A2279:B2279"/>
    <mergeCell ref="C2279:D2279"/>
    <mergeCell ref="E2279:I2279"/>
    <mergeCell ref="J2279:M2279"/>
    <mergeCell ref="N2279:P2279"/>
    <mergeCell ref="Q2279:R2279"/>
    <mergeCell ref="A2280:B2280"/>
    <mergeCell ref="C2280:D2280"/>
    <mergeCell ref="E2280:I2280"/>
    <mergeCell ref="J2280:M2280"/>
    <mergeCell ref="N2280:P2280"/>
    <mergeCell ref="Q2280:R2280"/>
    <mergeCell ref="A2281:B2281"/>
    <mergeCell ref="C2281:D2281"/>
    <mergeCell ref="E2281:I2281"/>
    <mergeCell ref="J2281:M2281"/>
    <mergeCell ref="N2281:P2281"/>
    <mergeCell ref="Q2281:R2281"/>
    <mergeCell ref="A2282:B2282"/>
    <mergeCell ref="C2282:D2282"/>
    <mergeCell ref="E2282:I2282"/>
    <mergeCell ref="J2282:M2282"/>
    <mergeCell ref="N2282:P2282"/>
    <mergeCell ref="Q2282:R2282"/>
    <mergeCell ref="A2283:B2283"/>
    <mergeCell ref="C2283:D2283"/>
    <mergeCell ref="E2283:I2283"/>
    <mergeCell ref="J2283:M2283"/>
    <mergeCell ref="N2283:P2283"/>
    <mergeCell ref="Q2283:R2283"/>
    <mergeCell ref="A2284:B2284"/>
    <mergeCell ref="C2284:D2284"/>
    <mergeCell ref="E2284:I2284"/>
    <mergeCell ref="J2284:M2284"/>
    <mergeCell ref="N2284:P2284"/>
    <mergeCell ref="Q2284:R2284"/>
    <mergeCell ref="A2285:B2285"/>
    <mergeCell ref="C2285:D2285"/>
    <mergeCell ref="E2285:I2285"/>
    <mergeCell ref="J2285:M2285"/>
    <mergeCell ref="N2285:P2285"/>
    <mergeCell ref="Q2285:R2285"/>
    <mergeCell ref="A2286:B2286"/>
    <mergeCell ref="C2286:D2286"/>
    <mergeCell ref="E2286:I2286"/>
    <mergeCell ref="J2286:M2286"/>
    <mergeCell ref="N2286:P2286"/>
    <mergeCell ref="Q2286:R2286"/>
    <mergeCell ref="A2287:B2287"/>
    <mergeCell ref="C2287:D2287"/>
    <mergeCell ref="E2287:I2287"/>
    <mergeCell ref="J2287:M2287"/>
    <mergeCell ref="N2287:P2287"/>
    <mergeCell ref="Q2287:R2287"/>
    <mergeCell ref="A2288:B2288"/>
    <mergeCell ref="C2288:D2288"/>
    <mergeCell ref="E2288:I2288"/>
    <mergeCell ref="J2288:M2288"/>
    <mergeCell ref="N2288:P2288"/>
    <mergeCell ref="Q2288:R2288"/>
    <mergeCell ref="A2289:B2289"/>
    <mergeCell ref="C2289:I2289"/>
    <mergeCell ref="J2289:M2289"/>
    <mergeCell ref="N2289:P2289"/>
    <mergeCell ref="Q2289:R2289"/>
    <mergeCell ref="A2290:B2290"/>
    <mergeCell ref="C2290:I2290"/>
    <mergeCell ref="J2290:M2290"/>
    <mergeCell ref="N2290:P2290"/>
    <mergeCell ref="Q2290:R2290"/>
    <mergeCell ref="A2291:B2291"/>
    <mergeCell ref="C2291:D2291"/>
    <mergeCell ref="E2291:I2291"/>
    <mergeCell ref="J2291:M2291"/>
    <mergeCell ref="N2291:P2291"/>
    <mergeCell ref="Q2291:R2291"/>
    <mergeCell ref="A2292:B2292"/>
    <mergeCell ref="C2292:D2292"/>
    <mergeCell ref="E2292:I2292"/>
    <mergeCell ref="J2292:M2292"/>
    <mergeCell ref="N2292:P2292"/>
    <mergeCell ref="Q2292:R2292"/>
    <mergeCell ref="A2293:B2293"/>
    <mergeCell ref="C2293:D2293"/>
    <mergeCell ref="E2293:I2293"/>
    <mergeCell ref="J2293:M2293"/>
    <mergeCell ref="N2293:P2293"/>
    <mergeCell ref="Q2293:R2293"/>
    <mergeCell ref="A2294:B2294"/>
    <mergeCell ref="C2294:D2294"/>
    <mergeCell ref="E2294:I2294"/>
    <mergeCell ref="J2294:M2294"/>
    <mergeCell ref="N2294:P2294"/>
    <mergeCell ref="Q2294:R2294"/>
    <mergeCell ref="A2295:B2295"/>
    <mergeCell ref="C2295:D2295"/>
    <mergeCell ref="E2295:I2295"/>
    <mergeCell ref="J2295:M2295"/>
    <mergeCell ref="N2295:P2295"/>
    <mergeCell ref="Q2295:R2295"/>
    <mergeCell ref="A2296:B2296"/>
    <mergeCell ref="C2296:D2296"/>
    <mergeCell ref="E2296:I2296"/>
    <mergeCell ref="J2296:M2296"/>
    <mergeCell ref="N2296:P2296"/>
    <mergeCell ref="Q2296:R2296"/>
    <mergeCell ref="A2297:B2297"/>
    <mergeCell ref="C2297:D2297"/>
    <mergeCell ref="E2297:I2297"/>
    <mergeCell ref="J2297:M2297"/>
    <mergeCell ref="N2297:P2297"/>
    <mergeCell ref="Q2297:R2297"/>
    <mergeCell ref="A2298:B2298"/>
    <mergeCell ref="C2298:D2298"/>
    <mergeCell ref="E2298:I2298"/>
    <mergeCell ref="J2298:M2298"/>
    <mergeCell ref="N2298:P2298"/>
    <mergeCell ref="Q2298:R2298"/>
    <mergeCell ref="A2299:B2299"/>
    <mergeCell ref="C2299:D2299"/>
    <mergeCell ref="E2299:I2299"/>
    <mergeCell ref="J2299:M2299"/>
    <mergeCell ref="N2299:P2299"/>
    <mergeCell ref="Q2299:R2299"/>
    <mergeCell ref="A2300:B2300"/>
    <mergeCell ref="C2300:D2300"/>
    <mergeCell ref="E2300:I2300"/>
    <mergeCell ref="J2300:M2300"/>
    <mergeCell ref="N2300:P2300"/>
    <mergeCell ref="Q2300:R2300"/>
    <mergeCell ref="A2301:B2301"/>
    <mergeCell ref="C2301:D2301"/>
    <mergeCell ref="E2301:I2301"/>
    <mergeCell ref="J2301:M2301"/>
    <mergeCell ref="N2301:P2301"/>
    <mergeCell ref="Q2301:R2301"/>
    <mergeCell ref="A2302:B2302"/>
    <mergeCell ref="C2302:D2302"/>
    <mergeCell ref="E2302:I2302"/>
    <mergeCell ref="J2302:M2302"/>
    <mergeCell ref="N2302:P2302"/>
    <mergeCell ref="Q2302:R2302"/>
    <mergeCell ref="A2303:B2303"/>
    <mergeCell ref="C2303:D2303"/>
    <mergeCell ref="E2303:I2303"/>
    <mergeCell ref="J2303:M2303"/>
    <mergeCell ref="N2303:P2303"/>
    <mergeCell ref="Q2303:R2303"/>
    <mergeCell ref="A2304:B2304"/>
    <mergeCell ref="C2304:D2304"/>
    <mergeCell ref="E2304:I2304"/>
    <mergeCell ref="J2304:M2304"/>
    <mergeCell ref="N2304:P2304"/>
    <mergeCell ref="Q2304:R2304"/>
    <mergeCell ref="A2305:B2305"/>
    <mergeCell ref="C2305:D2305"/>
    <mergeCell ref="E2305:I2305"/>
    <mergeCell ref="J2305:M2305"/>
    <mergeCell ref="N2305:P2305"/>
    <mergeCell ref="Q2305:R2305"/>
    <mergeCell ref="A2306:B2306"/>
    <mergeCell ref="C2306:D2306"/>
    <mergeCell ref="E2306:I2306"/>
    <mergeCell ref="J2306:M2306"/>
    <mergeCell ref="N2306:P2306"/>
    <mergeCell ref="Q2306:R2306"/>
    <mergeCell ref="A2307:B2307"/>
    <mergeCell ref="C2307:D2307"/>
    <mergeCell ref="E2307:I2307"/>
    <mergeCell ref="J2307:M2307"/>
    <mergeCell ref="N2307:P2307"/>
    <mergeCell ref="Q2307:R2307"/>
    <mergeCell ref="A2308:B2308"/>
    <mergeCell ref="C2308:D2308"/>
    <mergeCell ref="E2308:I2308"/>
    <mergeCell ref="J2308:M2308"/>
    <mergeCell ref="N2308:P2308"/>
    <mergeCell ref="Q2308:R2308"/>
    <mergeCell ref="A2309:B2309"/>
    <mergeCell ref="C2309:I2309"/>
    <mergeCell ref="J2309:M2309"/>
    <mergeCell ref="N2309:P2309"/>
    <mergeCell ref="Q2309:R2309"/>
    <mergeCell ref="A2310:B2310"/>
    <mergeCell ref="C2310:D2310"/>
    <mergeCell ref="E2310:I2310"/>
    <mergeCell ref="J2310:M2310"/>
    <mergeCell ref="N2310:P2310"/>
    <mergeCell ref="Q2310:R2310"/>
    <mergeCell ref="A2311:B2311"/>
    <mergeCell ref="C2311:I2311"/>
    <mergeCell ref="J2311:M2311"/>
    <mergeCell ref="N2311:P2311"/>
    <mergeCell ref="Q2311:R2311"/>
    <mergeCell ref="A2312:B2312"/>
    <mergeCell ref="C2312:D2312"/>
    <mergeCell ref="E2312:I2312"/>
    <mergeCell ref="J2312:M2312"/>
    <mergeCell ref="N2312:P2312"/>
    <mergeCell ref="Q2312:R2312"/>
    <mergeCell ref="A2313:B2313"/>
    <mergeCell ref="C2313:D2313"/>
    <mergeCell ref="E2313:I2313"/>
    <mergeCell ref="J2313:M2313"/>
    <mergeCell ref="N2313:P2313"/>
    <mergeCell ref="Q2313:R2313"/>
    <mergeCell ref="A2314:B2314"/>
    <mergeCell ref="C2314:D2314"/>
    <mergeCell ref="E2314:I2314"/>
    <mergeCell ref="J2314:M2314"/>
    <mergeCell ref="N2314:P2314"/>
    <mergeCell ref="Q2314:R2314"/>
    <mergeCell ref="A2315:B2315"/>
    <mergeCell ref="C2315:D2315"/>
    <mergeCell ref="E2315:I2315"/>
    <mergeCell ref="J2315:M2315"/>
    <mergeCell ref="N2315:P2315"/>
    <mergeCell ref="Q2315:R2315"/>
    <mergeCell ref="A2316:B2316"/>
    <mergeCell ref="C2316:D2316"/>
    <mergeCell ref="E2316:I2316"/>
    <mergeCell ref="J2316:M2316"/>
    <mergeCell ref="N2316:P2316"/>
    <mergeCell ref="Q2316:R2316"/>
    <mergeCell ref="A2317:B2317"/>
    <mergeCell ref="C2317:D2317"/>
    <mergeCell ref="E2317:I2317"/>
    <mergeCell ref="J2317:M2317"/>
    <mergeCell ref="N2317:P2317"/>
    <mergeCell ref="Q2317:R2317"/>
    <mergeCell ref="A2318:B2318"/>
    <mergeCell ref="C2318:D2318"/>
    <mergeCell ref="E2318:I2318"/>
    <mergeCell ref="J2318:M2318"/>
    <mergeCell ref="N2318:P2318"/>
    <mergeCell ref="Q2318:R2318"/>
    <mergeCell ref="A2319:B2319"/>
    <mergeCell ref="C2319:D2319"/>
    <mergeCell ref="E2319:I2319"/>
    <mergeCell ref="J2319:M2319"/>
    <mergeCell ref="N2319:P2319"/>
    <mergeCell ref="Q2319:R2319"/>
    <mergeCell ref="A2320:B2320"/>
    <mergeCell ref="C2320:D2320"/>
    <mergeCell ref="E2320:I2320"/>
    <mergeCell ref="J2320:M2320"/>
    <mergeCell ref="N2320:P2320"/>
    <mergeCell ref="Q2320:R2320"/>
    <mergeCell ref="A2321:B2321"/>
    <mergeCell ref="C2321:D2321"/>
    <mergeCell ref="E2321:I2321"/>
    <mergeCell ref="J2321:M2321"/>
    <mergeCell ref="N2321:P2321"/>
    <mergeCell ref="Q2321:R2321"/>
    <mergeCell ref="A2322:B2322"/>
    <mergeCell ref="C2322:D2322"/>
    <mergeCell ref="E2322:I2322"/>
    <mergeCell ref="J2322:M2322"/>
    <mergeCell ref="N2322:P2322"/>
    <mergeCell ref="Q2322:R2322"/>
    <mergeCell ref="A2323:B2323"/>
    <mergeCell ref="C2323:D2323"/>
    <mergeCell ref="E2323:I2323"/>
    <mergeCell ref="J2323:M2323"/>
    <mergeCell ref="N2323:P2323"/>
    <mergeCell ref="Q2323:R2323"/>
    <mergeCell ref="A2324:B2324"/>
    <mergeCell ref="C2324:D2324"/>
    <mergeCell ref="E2324:I2324"/>
    <mergeCell ref="J2324:M2324"/>
    <mergeCell ref="N2324:P2324"/>
    <mergeCell ref="Q2324:R2324"/>
    <mergeCell ref="A2325:B2325"/>
    <mergeCell ref="C2325:D2325"/>
    <mergeCell ref="E2325:I2325"/>
    <mergeCell ref="J2325:M2325"/>
    <mergeCell ref="N2325:P2325"/>
    <mergeCell ref="Q2325:R2325"/>
    <mergeCell ref="A2326:B2326"/>
    <mergeCell ref="C2326:I2326"/>
    <mergeCell ref="J2326:M2326"/>
    <mergeCell ref="N2326:P2326"/>
    <mergeCell ref="Q2326:R2326"/>
    <mergeCell ref="A2327:B2327"/>
    <mergeCell ref="C2327:D2327"/>
    <mergeCell ref="E2327:I2327"/>
    <mergeCell ref="J2327:M2327"/>
    <mergeCell ref="N2327:P2327"/>
    <mergeCell ref="Q2327:R2327"/>
    <mergeCell ref="A2328:B2328"/>
    <mergeCell ref="C2328:D2328"/>
    <mergeCell ref="E2328:I2328"/>
    <mergeCell ref="J2328:M2328"/>
    <mergeCell ref="N2328:P2328"/>
    <mergeCell ref="Q2328:R2328"/>
    <mergeCell ref="A2329:B2329"/>
    <mergeCell ref="C2329:I2329"/>
    <mergeCell ref="J2329:M2329"/>
    <mergeCell ref="N2329:P2329"/>
    <mergeCell ref="Q2329:R2329"/>
    <mergeCell ref="A2330:B2330"/>
    <mergeCell ref="C2330:D2330"/>
    <mergeCell ref="E2330:I2330"/>
    <mergeCell ref="J2330:M2330"/>
    <mergeCell ref="N2330:P2330"/>
    <mergeCell ref="Q2330:R2330"/>
    <mergeCell ref="A2331:B2331"/>
    <mergeCell ref="C2331:I2331"/>
    <mergeCell ref="J2331:M2331"/>
    <mergeCell ref="N2331:P2331"/>
    <mergeCell ref="Q2331:R2331"/>
    <mergeCell ref="A2332:B2332"/>
    <mergeCell ref="C2332:I2332"/>
    <mergeCell ref="J2332:M2332"/>
    <mergeCell ref="N2332:P2332"/>
    <mergeCell ref="Q2332:R2332"/>
    <mergeCell ref="A2333:B2333"/>
    <mergeCell ref="C2333:D2333"/>
    <mergeCell ref="E2333:I2333"/>
    <mergeCell ref="J2333:M2333"/>
    <mergeCell ref="N2333:P2333"/>
    <mergeCell ref="Q2333:R2333"/>
    <mergeCell ref="A2334:B2334"/>
    <mergeCell ref="C2334:I2334"/>
    <mergeCell ref="J2334:M2334"/>
    <mergeCell ref="N2334:P2334"/>
    <mergeCell ref="Q2334:R2334"/>
    <mergeCell ref="A2335:B2335"/>
    <mergeCell ref="C2335:I2335"/>
    <mergeCell ref="J2335:M2335"/>
    <mergeCell ref="N2335:P2335"/>
    <mergeCell ref="Q2335:R2335"/>
    <mergeCell ref="A2336:B2336"/>
    <mergeCell ref="C2336:D2336"/>
    <mergeCell ref="E2336:I2336"/>
    <mergeCell ref="J2336:M2336"/>
    <mergeCell ref="N2336:P2336"/>
    <mergeCell ref="Q2336:R2336"/>
    <mergeCell ref="A2337:B2337"/>
    <mergeCell ref="C2337:I2337"/>
    <mergeCell ref="J2337:M2337"/>
    <mergeCell ref="N2337:P2337"/>
    <mergeCell ref="Q2337:R2337"/>
    <mergeCell ref="A2338:B2338"/>
    <mergeCell ref="C2338:I2338"/>
    <mergeCell ref="J2338:M2338"/>
    <mergeCell ref="N2338:P2338"/>
    <mergeCell ref="Q2338:R2338"/>
    <mergeCell ref="A2339:B2339"/>
    <mergeCell ref="C2339:I2339"/>
    <mergeCell ref="J2339:M2339"/>
    <mergeCell ref="N2339:P2339"/>
    <mergeCell ref="Q2339:R2339"/>
    <mergeCell ref="A2340:B2340"/>
    <mergeCell ref="C2340:I2340"/>
    <mergeCell ref="J2340:M2340"/>
    <mergeCell ref="N2340:P2340"/>
    <mergeCell ref="Q2340:R2340"/>
    <mergeCell ref="A2341:B2341"/>
    <mergeCell ref="C2341:D2341"/>
    <mergeCell ref="E2341:I2341"/>
    <mergeCell ref="J2341:M2341"/>
    <mergeCell ref="N2341:P2341"/>
    <mergeCell ref="Q2341:R2341"/>
    <mergeCell ref="A2342:B2342"/>
    <mergeCell ref="C2342:I2342"/>
    <mergeCell ref="J2342:M2342"/>
    <mergeCell ref="N2342:P2342"/>
    <mergeCell ref="Q2342:R2342"/>
    <mergeCell ref="A2343:B2343"/>
    <mergeCell ref="C2343:D2343"/>
    <mergeCell ref="E2343:I2343"/>
    <mergeCell ref="J2343:M2343"/>
    <mergeCell ref="N2343:P2343"/>
    <mergeCell ref="Q2343:R2343"/>
    <mergeCell ref="A2344:B2344"/>
    <mergeCell ref="C2344:D2344"/>
    <mergeCell ref="E2344:I2344"/>
    <mergeCell ref="J2344:M2344"/>
    <mergeCell ref="N2344:P2344"/>
    <mergeCell ref="Q2344:R2344"/>
    <mergeCell ref="A2345:B2345"/>
    <mergeCell ref="C2345:I2345"/>
    <mergeCell ref="J2345:M2345"/>
    <mergeCell ref="N2345:P2345"/>
    <mergeCell ref="Q2345:R2345"/>
    <mergeCell ref="A2346:B2346"/>
    <mergeCell ref="C2346:D2346"/>
    <mergeCell ref="E2346:I2346"/>
    <mergeCell ref="J2346:M2346"/>
    <mergeCell ref="N2346:P2346"/>
    <mergeCell ref="Q2346:R2346"/>
    <mergeCell ref="A2347:B2347"/>
    <mergeCell ref="C2347:D2347"/>
    <mergeCell ref="E2347:I2347"/>
    <mergeCell ref="J2347:M2347"/>
    <mergeCell ref="N2347:P2347"/>
    <mergeCell ref="Q2347:R2347"/>
    <mergeCell ref="A2348:B2348"/>
    <mergeCell ref="C2348:I2348"/>
    <mergeCell ref="J2348:M2348"/>
    <mergeCell ref="N2348:P2348"/>
    <mergeCell ref="Q2348:R2348"/>
    <mergeCell ref="A2349:B2349"/>
    <mergeCell ref="C2349:D2349"/>
    <mergeCell ref="E2349:I2349"/>
    <mergeCell ref="J2349:M2349"/>
    <mergeCell ref="N2349:P2349"/>
    <mergeCell ref="Q2349:R2349"/>
    <mergeCell ref="A2350:B2350"/>
    <mergeCell ref="C2350:I2350"/>
    <mergeCell ref="J2350:M2350"/>
    <mergeCell ref="N2350:P2350"/>
    <mergeCell ref="Q2350:R2350"/>
    <mergeCell ref="A2351:B2351"/>
    <mergeCell ref="C2351:I2351"/>
    <mergeCell ref="J2351:M2351"/>
    <mergeCell ref="N2351:P2351"/>
    <mergeCell ref="Q2351:R2351"/>
    <mergeCell ref="A2352:B2352"/>
    <mergeCell ref="C2352:I2352"/>
    <mergeCell ref="J2352:M2352"/>
    <mergeCell ref="N2352:P2352"/>
    <mergeCell ref="Q2352:R2352"/>
    <mergeCell ref="A2353:B2353"/>
    <mergeCell ref="C2353:I2353"/>
    <mergeCell ref="J2353:M2353"/>
    <mergeCell ref="N2353:P2353"/>
    <mergeCell ref="Q2353:R2353"/>
    <mergeCell ref="A2354:B2354"/>
    <mergeCell ref="C2354:D2354"/>
    <mergeCell ref="E2354:I2354"/>
    <mergeCell ref="J2354:M2354"/>
    <mergeCell ref="N2354:P2354"/>
    <mergeCell ref="Q2354:R2354"/>
    <mergeCell ref="A2355:B2355"/>
    <mergeCell ref="C2355:D2355"/>
    <mergeCell ref="E2355:I2355"/>
    <mergeCell ref="J2355:M2355"/>
    <mergeCell ref="N2355:P2355"/>
    <mergeCell ref="Q2355:R2355"/>
    <mergeCell ref="A2356:B2356"/>
    <mergeCell ref="C2356:I2356"/>
    <mergeCell ref="J2356:M2356"/>
    <mergeCell ref="N2356:P2356"/>
    <mergeCell ref="Q2356:R2356"/>
    <mergeCell ref="A2357:B2357"/>
    <mergeCell ref="C2357:D2357"/>
    <mergeCell ref="E2357:I2357"/>
    <mergeCell ref="J2357:M2357"/>
    <mergeCell ref="N2357:P2357"/>
    <mergeCell ref="Q2357:R2357"/>
    <mergeCell ref="A2358:B2358"/>
    <mergeCell ref="C2358:I2358"/>
    <mergeCell ref="J2358:M2358"/>
    <mergeCell ref="N2358:P2358"/>
    <mergeCell ref="Q2358:R2358"/>
    <mergeCell ref="A2359:B2359"/>
    <mergeCell ref="C2359:D2359"/>
    <mergeCell ref="E2359:I2359"/>
    <mergeCell ref="J2359:M2359"/>
    <mergeCell ref="N2359:P2359"/>
    <mergeCell ref="Q2359:R2359"/>
    <mergeCell ref="A2360:B2360"/>
    <mergeCell ref="C2360:I2360"/>
    <mergeCell ref="J2360:M2360"/>
    <mergeCell ref="N2360:P2360"/>
    <mergeCell ref="Q2360:R2360"/>
    <mergeCell ref="A2361:B2361"/>
    <mergeCell ref="C2361:I2361"/>
    <mergeCell ref="J2361:M2361"/>
    <mergeCell ref="N2361:P2361"/>
    <mergeCell ref="Q2361:R2361"/>
    <mergeCell ref="A2362:B2362"/>
    <mergeCell ref="C2362:D2362"/>
    <mergeCell ref="E2362:I2362"/>
    <mergeCell ref="J2362:M2362"/>
    <mergeCell ref="N2362:P2362"/>
    <mergeCell ref="Q2362:R2362"/>
    <mergeCell ref="A2363:B2363"/>
    <mergeCell ref="C2363:I2363"/>
    <mergeCell ref="J2363:M2363"/>
    <mergeCell ref="N2363:P2363"/>
    <mergeCell ref="Q2363:R2363"/>
    <mergeCell ref="A2364:B2364"/>
    <mergeCell ref="C2364:D2364"/>
    <mergeCell ref="E2364:I2364"/>
    <mergeCell ref="J2364:M2364"/>
    <mergeCell ref="N2364:P2364"/>
    <mergeCell ref="Q2364:R2364"/>
    <mergeCell ref="A2365:B2365"/>
    <mergeCell ref="C2365:D2365"/>
    <mergeCell ref="E2365:I2365"/>
    <mergeCell ref="J2365:M2365"/>
    <mergeCell ref="N2365:P2365"/>
    <mergeCell ref="Q2365:R2365"/>
    <mergeCell ref="A2366:B2366"/>
    <mergeCell ref="C2366:D2366"/>
    <mergeCell ref="E2366:I2366"/>
    <mergeCell ref="J2366:M2366"/>
    <mergeCell ref="N2366:P2366"/>
    <mergeCell ref="Q2366:R2366"/>
    <mergeCell ref="A2367:B2367"/>
    <mergeCell ref="C2367:D2367"/>
    <mergeCell ref="E2367:I2367"/>
    <mergeCell ref="J2367:M2367"/>
    <mergeCell ref="N2367:P2367"/>
    <mergeCell ref="Q2367:R2367"/>
    <mergeCell ref="A2368:B2368"/>
    <mergeCell ref="C2368:D2368"/>
    <mergeCell ref="E2368:I2368"/>
    <mergeCell ref="J2368:M2368"/>
    <mergeCell ref="N2368:P2368"/>
    <mergeCell ref="Q2368:R2368"/>
    <mergeCell ref="A2369:B2369"/>
    <mergeCell ref="C2369:I2369"/>
    <mergeCell ref="J2369:M2369"/>
    <mergeCell ref="N2369:P2369"/>
    <mergeCell ref="Q2369:R2369"/>
    <mergeCell ref="A2370:B2370"/>
    <mergeCell ref="C2370:I2370"/>
    <mergeCell ref="J2370:M2370"/>
    <mergeCell ref="N2370:P2370"/>
    <mergeCell ref="Q2370:R2370"/>
    <mergeCell ref="A2371:B2371"/>
    <mergeCell ref="C2371:I2371"/>
    <mergeCell ref="J2371:M2371"/>
    <mergeCell ref="N2371:P2371"/>
    <mergeCell ref="Q2371:R2371"/>
    <mergeCell ref="A2372:B2372"/>
    <mergeCell ref="C2372:D2372"/>
    <mergeCell ref="E2372:I2372"/>
    <mergeCell ref="J2372:M2372"/>
    <mergeCell ref="N2372:P2372"/>
    <mergeCell ref="Q2372:R2372"/>
    <mergeCell ref="A2373:B2373"/>
    <mergeCell ref="C2373:I2373"/>
    <mergeCell ref="J2373:M2373"/>
    <mergeCell ref="N2373:P2373"/>
    <mergeCell ref="Q2373:R2373"/>
    <mergeCell ref="A2374:B2374"/>
    <mergeCell ref="C2374:D2374"/>
    <mergeCell ref="E2374:I2374"/>
    <mergeCell ref="J2374:M2374"/>
    <mergeCell ref="N2374:P2374"/>
    <mergeCell ref="Q2374:R2374"/>
    <mergeCell ref="A2375:B2375"/>
    <mergeCell ref="C2375:I2375"/>
    <mergeCell ref="J2375:M2375"/>
    <mergeCell ref="N2375:P2375"/>
    <mergeCell ref="Q2375:R2375"/>
    <mergeCell ref="A2376:B2376"/>
    <mergeCell ref="C2376:I2376"/>
    <mergeCell ref="J2376:M2376"/>
    <mergeCell ref="N2376:P2376"/>
    <mergeCell ref="Q2376:R2376"/>
    <mergeCell ref="A2377:B2377"/>
    <mergeCell ref="C2377:D2377"/>
    <mergeCell ref="E2377:I2377"/>
    <mergeCell ref="J2377:M2377"/>
    <mergeCell ref="N2377:P2377"/>
    <mergeCell ref="Q2377:R2377"/>
    <mergeCell ref="A2378:B2378"/>
    <mergeCell ref="C2378:D2378"/>
    <mergeCell ref="E2378:I2378"/>
    <mergeCell ref="J2378:M2378"/>
    <mergeCell ref="N2378:P2378"/>
    <mergeCell ref="Q2378:R2378"/>
    <mergeCell ref="A2379:B2379"/>
    <mergeCell ref="C2379:D2379"/>
    <mergeCell ref="E2379:I2379"/>
    <mergeCell ref="J2379:M2379"/>
    <mergeCell ref="N2379:P2379"/>
    <mergeCell ref="Q2379:R2379"/>
    <mergeCell ref="A2380:B2380"/>
    <mergeCell ref="C2380:D2380"/>
    <mergeCell ref="E2380:I2380"/>
    <mergeCell ref="J2380:M2380"/>
    <mergeCell ref="N2380:P2380"/>
    <mergeCell ref="Q2380:R2380"/>
    <mergeCell ref="A2381:B2381"/>
    <mergeCell ref="C2381:D2381"/>
    <mergeCell ref="E2381:I2381"/>
    <mergeCell ref="J2381:M2381"/>
    <mergeCell ref="N2381:P2381"/>
    <mergeCell ref="Q2381:R2381"/>
    <mergeCell ref="A2382:B2382"/>
    <mergeCell ref="C2382:D2382"/>
    <mergeCell ref="E2382:I2382"/>
    <mergeCell ref="J2382:M2382"/>
    <mergeCell ref="N2382:P2382"/>
    <mergeCell ref="Q2382:R2382"/>
    <mergeCell ref="A2383:B2383"/>
    <mergeCell ref="C2383:I2383"/>
    <mergeCell ref="J2383:M2383"/>
    <mergeCell ref="N2383:P2383"/>
    <mergeCell ref="Q2383:R2383"/>
    <mergeCell ref="A2384:B2384"/>
    <mergeCell ref="C2384:I2384"/>
    <mergeCell ref="J2384:M2384"/>
    <mergeCell ref="N2384:P2384"/>
    <mergeCell ref="Q2384:R2384"/>
    <mergeCell ref="A2385:B2385"/>
    <mergeCell ref="C2385:I2385"/>
    <mergeCell ref="J2385:M2385"/>
    <mergeCell ref="N2385:P2385"/>
    <mergeCell ref="Q2385:R2385"/>
    <mergeCell ref="A2386:B2386"/>
    <mergeCell ref="C2386:D2386"/>
    <mergeCell ref="E2386:I2386"/>
    <mergeCell ref="J2386:M2386"/>
    <mergeCell ref="N2386:P2386"/>
    <mergeCell ref="Q2386:R2386"/>
    <mergeCell ref="A2387:B2387"/>
    <mergeCell ref="C2387:D2387"/>
    <mergeCell ref="E2387:I2387"/>
    <mergeCell ref="J2387:M2387"/>
    <mergeCell ref="N2387:P2387"/>
    <mergeCell ref="Q2387:R2387"/>
    <mergeCell ref="A2388:B2388"/>
    <mergeCell ref="C2388:D2388"/>
    <mergeCell ref="E2388:I2388"/>
    <mergeCell ref="J2388:M2388"/>
    <mergeCell ref="N2388:P2388"/>
    <mergeCell ref="Q2388:R2388"/>
    <mergeCell ref="A2389:B2389"/>
    <mergeCell ref="C2389:D2389"/>
    <mergeCell ref="E2389:I2389"/>
    <mergeCell ref="J2389:M2389"/>
    <mergeCell ref="N2389:P2389"/>
    <mergeCell ref="Q2389:R2389"/>
    <mergeCell ref="A2390:B2390"/>
    <mergeCell ref="C2390:D2390"/>
    <mergeCell ref="E2390:I2390"/>
    <mergeCell ref="J2390:M2390"/>
    <mergeCell ref="N2390:P2390"/>
    <mergeCell ref="Q2390:R2390"/>
    <mergeCell ref="A2391:B2391"/>
    <mergeCell ref="C2391:D2391"/>
    <mergeCell ref="E2391:I2391"/>
    <mergeCell ref="J2391:M2391"/>
    <mergeCell ref="N2391:P2391"/>
    <mergeCell ref="Q2391:R2391"/>
    <mergeCell ref="A2392:B2392"/>
    <mergeCell ref="C2392:D2392"/>
    <mergeCell ref="E2392:I2392"/>
    <mergeCell ref="J2392:M2392"/>
    <mergeCell ref="N2392:P2392"/>
    <mergeCell ref="Q2392:R2392"/>
    <mergeCell ref="A2393:B2393"/>
    <mergeCell ref="C2393:I2393"/>
    <mergeCell ref="J2393:M2393"/>
    <mergeCell ref="N2393:P2393"/>
    <mergeCell ref="Q2393:R2393"/>
    <mergeCell ref="A2394:B2394"/>
    <mergeCell ref="C2394:I2394"/>
    <mergeCell ref="J2394:M2394"/>
    <mergeCell ref="N2394:P2394"/>
    <mergeCell ref="Q2394:R2394"/>
    <mergeCell ref="A2395:B2395"/>
    <mergeCell ref="C2395:D2395"/>
    <mergeCell ref="E2395:I2395"/>
    <mergeCell ref="J2395:M2395"/>
    <mergeCell ref="N2395:P2395"/>
    <mergeCell ref="Q2395:R2395"/>
    <mergeCell ref="A2396:B2396"/>
    <mergeCell ref="C2396:D2396"/>
    <mergeCell ref="E2396:I2396"/>
    <mergeCell ref="J2396:M2396"/>
    <mergeCell ref="N2396:P2396"/>
    <mergeCell ref="Q2396:R2396"/>
    <mergeCell ref="A2397:B2397"/>
    <mergeCell ref="C2397:D2397"/>
    <mergeCell ref="E2397:I2397"/>
    <mergeCell ref="J2397:M2397"/>
    <mergeCell ref="N2397:P2397"/>
    <mergeCell ref="Q2397:R2397"/>
    <mergeCell ref="A2398:B2398"/>
    <mergeCell ref="C2398:I2398"/>
    <mergeCell ref="J2398:M2398"/>
    <mergeCell ref="N2398:P2398"/>
    <mergeCell ref="Q2398:R2398"/>
    <mergeCell ref="A2399:B2399"/>
    <mergeCell ref="C2399:I2399"/>
    <mergeCell ref="J2399:M2399"/>
    <mergeCell ref="N2399:P2399"/>
    <mergeCell ref="Q2399:R2399"/>
    <mergeCell ref="A2400:B2400"/>
    <mergeCell ref="C2400:D2400"/>
    <mergeCell ref="E2400:I2400"/>
    <mergeCell ref="J2400:M2400"/>
    <mergeCell ref="N2400:P2400"/>
    <mergeCell ref="Q2400:R2400"/>
    <mergeCell ref="A2401:B2401"/>
    <mergeCell ref="C2401:I2401"/>
    <mergeCell ref="J2401:M2401"/>
    <mergeCell ref="N2401:P2401"/>
    <mergeCell ref="Q2401:R2401"/>
    <mergeCell ref="A2402:B2402"/>
    <mergeCell ref="C2402:I2402"/>
    <mergeCell ref="J2402:M2402"/>
    <mergeCell ref="N2402:P2402"/>
    <mergeCell ref="Q2402:R2402"/>
    <mergeCell ref="A2403:B2403"/>
    <mergeCell ref="C2403:I2403"/>
    <mergeCell ref="J2403:M2403"/>
    <mergeCell ref="N2403:P2403"/>
    <mergeCell ref="Q2403:R2403"/>
    <mergeCell ref="A2404:B2404"/>
    <mergeCell ref="C2404:D2404"/>
    <mergeCell ref="E2404:I2404"/>
    <mergeCell ref="J2404:M2404"/>
    <mergeCell ref="N2404:P2404"/>
    <mergeCell ref="Q2404:R2404"/>
    <mergeCell ref="A2405:B2405"/>
    <mergeCell ref="C2405:I2405"/>
    <mergeCell ref="J2405:M2405"/>
    <mergeCell ref="N2405:P2405"/>
    <mergeCell ref="Q2405:R2405"/>
    <mergeCell ref="A2406:B2406"/>
    <mergeCell ref="C2406:I2406"/>
    <mergeCell ref="J2406:M2406"/>
    <mergeCell ref="N2406:P2406"/>
    <mergeCell ref="Q2406:R2406"/>
    <mergeCell ref="A2407:B2407"/>
    <mergeCell ref="C2407:D2407"/>
    <mergeCell ref="E2407:I2407"/>
    <mergeCell ref="J2407:M2407"/>
    <mergeCell ref="N2407:P2407"/>
    <mergeCell ref="Q2407:R2407"/>
    <mergeCell ref="A2408:B2408"/>
    <mergeCell ref="C2408:I2408"/>
    <mergeCell ref="J2408:M2408"/>
    <mergeCell ref="N2408:P2408"/>
    <mergeCell ref="Q2408:R2408"/>
    <mergeCell ref="A2409:B2409"/>
    <mergeCell ref="C2409:D2409"/>
    <mergeCell ref="E2409:I2409"/>
    <mergeCell ref="J2409:M2409"/>
    <mergeCell ref="N2409:P2409"/>
    <mergeCell ref="Q2409:R2409"/>
    <mergeCell ref="A2410:B2410"/>
    <mergeCell ref="C2410:D2410"/>
    <mergeCell ref="E2410:I2410"/>
    <mergeCell ref="J2410:M2410"/>
    <mergeCell ref="N2410:P2410"/>
    <mergeCell ref="Q2410:R2410"/>
    <mergeCell ref="A2411:B2411"/>
    <mergeCell ref="C2411:I2411"/>
    <mergeCell ref="J2411:M2411"/>
    <mergeCell ref="N2411:P2411"/>
    <mergeCell ref="Q2411:R2411"/>
    <mergeCell ref="A2412:B2412"/>
    <mergeCell ref="C2412:D2412"/>
    <mergeCell ref="E2412:I2412"/>
    <mergeCell ref="J2412:M2412"/>
    <mergeCell ref="N2412:P2412"/>
    <mergeCell ref="Q2412:R2412"/>
    <mergeCell ref="A2413:B2413"/>
    <mergeCell ref="C2413:I2413"/>
    <mergeCell ref="J2413:M2413"/>
    <mergeCell ref="N2413:P2413"/>
    <mergeCell ref="Q2413:R2413"/>
    <mergeCell ref="A2414:B2414"/>
    <mergeCell ref="C2414:I2414"/>
    <mergeCell ref="J2414:M2414"/>
    <mergeCell ref="N2414:P2414"/>
    <mergeCell ref="Q2414:R2414"/>
    <mergeCell ref="A2415:B2415"/>
    <mergeCell ref="C2415:I2415"/>
    <mergeCell ref="J2415:M2415"/>
    <mergeCell ref="N2415:P2415"/>
    <mergeCell ref="Q2415:R2415"/>
    <mergeCell ref="A2416:B2416"/>
    <mergeCell ref="C2416:I2416"/>
    <mergeCell ref="J2416:M2416"/>
    <mergeCell ref="N2416:P2416"/>
    <mergeCell ref="Q2416:R2416"/>
    <mergeCell ref="A2417:B2417"/>
    <mergeCell ref="C2417:I2417"/>
    <mergeCell ref="J2417:M2417"/>
    <mergeCell ref="N2417:P2417"/>
    <mergeCell ref="Q2417:R2417"/>
    <mergeCell ref="A2418:B2418"/>
    <mergeCell ref="C2418:I2418"/>
    <mergeCell ref="J2418:M2418"/>
    <mergeCell ref="N2418:P2418"/>
    <mergeCell ref="Q2418:R2418"/>
    <mergeCell ref="A2419:B2419"/>
    <mergeCell ref="C2419:I2419"/>
    <mergeCell ref="J2419:M2419"/>
    <mergeCell ref="N2419:P2419"/>
    <mergeCell ref="Q2419:R2419"/>
    <mergeCell ref="A2420:B2420"/>
    <mergeCell ref="C2420:I2420"/>
    <mergeCell ref="J2420:M2420"/>
    <mergeCell ref="N2420:P2420"/>
    <mergeCell ref="Q2420:R2420"/>
    <mergeCell ref="A2421:B2421"/>
    <mergeCell ref="C2421:I2421"/>
    <mergeCell ref="J2421:M2421"/>
    <mergeCell ref="N2421:P2421"/>
    <mergeCell ref="Q2421:R2421"/>
    <mergeCell ref="A2422:B2422"/>
    <mergeCell ref="C2422:I2422"/>
    <mergeCell ref="J2422:M2422"/>
    <mergeCell ref="N2422:P2422"/>
    <mergeCell ref="Q2422:R2422"/>
    <mergeCell ref="A2423:B2423"/>
    <mergeCell ref="C2423:I2423"/>
    <mergeCell ref="J2423:M2423"/>
    <mergeCell ref="N2423:P2423"/>
    <mergeCell ref="Q2423:R2423"/>
    <mergeCell ref="A2424:B2424"/>
    <mergeCell ref="C2424:D2424"/>
    <mergeCell ref="E2424:I2424"/>
    <mergeCell ref="J2424:M2424"/>
    <mergeCell ref="N2424:P2424"/>
    <mergeCell ref="Q2424:R2424"/>
    <mergeCell ref="A2425:B2425"/>
    <mergeCell ref="C2425:D2425"/>
    <mergeCell ref="E2425:I2425"/>
    <mergeCell ref="J2425:M2425"/>
    <mergeCell ref="N2425:P2425"/>
    <mergeCell ref="Q2425:R2425"/>
    <mergeCell ref="A2426:B2426"/>
    <mergeCell ref="C2426:D2426"/>
    <mergeCell ref="E2426:I2426"/>
    <mergeCell ref="J2426:M2426"/>
    <mergeCell ref="N2426:P2426"/>
    <mergeCell ref="Q2426:R2426"/>
    <mergeCell ref="A2427:B2427"/>
    <mergeCell ref="C2427:D2427"/>
    <mergeCell ref="E2427:I2427"/>
    <mergeCell ref="J2427:M2427"/>
    <mergeCell ref="N2427:P2427"/>
    <mergeCell ref="Q2427:R2427"/>
    <mergeCell ref="A2428:B2428"/>
    <mergeCell ref="C2428:D2428"/>
    <mergeCell ref="E2428:I2428"/>
    <mergeCell ref="J2428:M2428"/>
    <mergeCell ref="N2428:P2428"/>
    <mergeCell ref="Q2428:R2428"/>
    <mergeCell ref="A2429:B2429"/>
    <mergeCell ref="C2429:D2429"/>
    <mergeCell ref="E2429:I2429"/>
    <mergeCell ref="J2429:M2429"/>
    <mergeCell ref="N2429:P2429"/>
    <mergeCell ref="Q2429:R2429"/>
    <mergeCell ref="A2430:B2430"/>
    <mergeCell ref="C2430:D2430"/>
    <mergeCell ref="E2430:I2430"/>
    <mergeCell ref="J2430:M2430"/>
    <mergeCell ref="N2430:P2430"/>
    <mergeCell ref="Q2430:R2430"/>
    <mergeCell ref="A2431:B2431"/>
    <mergeCell ref="C2431:I2431"/>
    <mergeCell ref="J2431:M2431"/>
    <mergeCell ref="N2431:P2431"/>
    <mergeCell ref="Q2431:R2431"/>
    <mergeCell ref="A2432:B2432"/>
    <mergeCell ref="C2432:I2432"/>
    <mergeCell ref="J2432:M2432"/>
    <mergeCell ref="N2432:P2432"/>
    <mergeCell ref="Q2432:R2432"/>
    <mergeCell ref="A2433:B2433"/>
    <mergeCell ref="C2433:I2433"/>
    <mergeCell ref="J2433:M2433"/>
    <mergeCell ref="N2433:P2433"/>
    <mergeCell ref="Q2433:R2433"/>
    <mergeCell ref="A2434:B2434"/>
    <mergeCell ref="C2434:I2434"/>
    <mergeCell ref="J2434:M2434"/>
    <mergeCell ref="N2434:P2434"/>
    <mergeCell ref="Q2434:R2434"/>
    <mergeCell ref="A2435:B2435"/>
    <mergeCell ref="C2435:I2435"/>
    <mergeCell ref="J2435:M2435"/>
    <mergeCell ref="N2435:P2435"/>
    <mergeCell ref="Q2435:R2435"/>
    <mergeCell ref="A2436:B2436"/>
    <mergeCell ref="C2436:D2436"/>
    <mergeCell ref="E2436:I2436"/>
    <mergeCell ref="J2436:M2436"/>
    <mergeCell ref="N2436:P2436"/>
    <mergeCell ref="Q2436:R2436"/>
    <mergeCell ref="A2437:B2437"/>
    <mergeCell ref="C2437:D2437"/>
    <mergeCell ref="E2437:I2437"/>
    <mergeCell ref="J2437:M2437"/>
    <mergeCell ref="N2437:P2437"/>
    <mergeCell ref="Q2437:R2437"/>
    <mergeCell ref="A2438:B2438"/>
    <mergeCell ref="C2438:D2438"/>
    <mergeCell ref="E2438:I2438"/>
    <mergeCell ref="J2438:M2438"/>
    <mergeCell ref="N2438:P2438"/>
    <mergeCell ref="Q2438:R2438"/>
    <mergeCell ref="A2439:B2439"/>
    <mergeCell ref="C2439:D2439"/>
    <mergeCell ref="E2439:I2439"/>
    <mergeCell ref="J2439:M2439"/>
    <mergeCell ref="N2439:P2439"/>
    <mergeCell ref="Q2439:R2439"/>
    <mergeCell ref="A2440:B2440"/>
    <mergeCell ref="C2440:D2440"/>
    <mergeCell ref="E2440:I2440"/>
    <mergeCell ref="J2440:M2440"/>
    <mergeCell ref="N2440:P2440"/>
    <mergeCell ref="Q2440:R2440"/>
    <mergeCell ref="A2441:B2441"/>
    <mergeCell ref="C2441:I2441"/>
    <mergeCell ref="J2441:M2441"/>
    <mergeCell ref="N2441:P2441"/>
    <mergeCell ref="Q2441:R2441"/>
    <mergeCell ref="A2442:B2442"/>
    <mergeCell ref="C2442:D2442"/>
    <mergeCell ref="E2442:I2442"/>
    <mergeCell ref="J2442:M2442"/>
    <mergeCell ref="N2442:P2442"/>
    <mergeCell ref="Q2442:R2442"/>
    <mergeCell ref="A2443:B2443"/>
    <mergeCell ref="C2443:D2443"/>
    <mergeCell ref="E2443:I2443"/>
    <mergeCell ref="J2443:M2443"/>
    <mergeCell ref="N2443:P2443"/>
    <mergeCell ref="Q2443:R2443"/>
    <mergeCell ref="A2444:B2444"/>
    <mergeCell ref="C2444:D2444"/>
    <mergeCell ref="E2444:I2444"/>
    <mergeCell ref="J2444:M2444"/>
    <mergeCell ref="N2444:P2444"/>
    <mergeCell ref="Q2444:R2444"/>
    <mergeCell ref="A2445:B2445"/>
    <mergeCell ref="C2445:D2445"/>
    <mergeCell ref="E2445:I2445"/>
    <mergeCell ref="J2445:M2445"/>
    <mergeCell ref="N2445:P2445"/>
    <mergeCell ref="Q2445:R2445"/>
    <mergeCell ref="A2446:B2446"/>
    <mergeCell ref="C2446:D2446"/>
    <mergeCell ref="E2446:I2446"/>
    <mergeCell ref="J2446:M2446"/>
    <mergeCell ref="N2446:P2446"/>
    <mergeCell ref="Q2446:R2446"/>
    <mergeCell ref="A2447:B2447"/>
    <mergeCell ref="C2447:D2447"/>
    <mergeCell ref="E2447:I2447"/>
    <mergeCell ref="J2447:M2447"/>
    <mergeCell ref="N2447:P2447"/>
    <mergeCell ref="Q2447:R2447"/>
    <mergeCell ref="A2448:B2448"/>
    <mergeCell ref="C2448:I2448"/>
    <mergeCell ref="J2448:M2448"/>
    <mergeCell ref="N2448:P2448"/>
    <mergeCell ref="Q2448:R2448"/>
    <mergeCell ref="A2449:B2449"/>
    <mergeCell ref="C2449:I2449"/>
    <mergeCell ref="J2449:M2449"/>
    <mergeCell ref="N2449:P2449"/>
    <mergeCell ref="Q2449:R2449"/>
    <mergeCell ref="A2450:B2450"/>
    <mergeCell ref="C2450:I2450"/>
    <mergeCell ref="J2450:M2450"/>
    <mergeCell ref="N2450:P2450"/>
    <mergeCell ref="Q2450:R2450"/>
    <mergeCell ref="A2451:B2451"/>
    <mergeCell ref="C2451:D2451"/>
    <mergeCell ref="E2451:I2451"/>
    <mergeCell ref="J2451:M2451"/>
    <mergeCell ref="N2451:P2451"/>
    <mergeCell ref="Q2451:R2451"/>
    <mergeCell ref="A2452:B2452"/>
    <mergeCell ref="C2452:D2452"/>
    <mergeCell ref="E2452:I2452"/>
    <mergeCell ref="J2452:M2452"/>
    <mergeCell ref="N2452:P2452"/>
    <mergeCell ref="Q2452:R2452"/>
    <mergeCell ref="A2453:B2453"/>
    <mergeCell ref="C2453:I2453"/>
    <mergeCell ref="J2453:M2453"/>
    <mergeCell ref="N2453:P2453"/>
    <mergeCell ref="Q2453:R2453"/>
    <mergeCell ref="A2454:B2454"/>
    <mergeCell ref="C2454:I2454"/>
    <mergeCell ref="J2454:M2454"/>
    <mergeCell ref="N2454:P2454"/>
    <mergeCell ref="Q2454:R2454"/>
    <mergeCell ref="A2455:B2455"/>
    <mergeCell ref="C2455:D2455"/>
    <mergeCell ref="E2455:I2455"/>
    <mergeCell ref="J2455:M2455"/>
    <mergeCell ref="N2455:P2455"/>
    <mergeCell ref="Q2455:R2455"/>
    <mergeCell ref="A2456:B2456"/>
    <mergeCell ref="C2456:D2456"/>
    <mergeCell ref="E2456:I2456"/>
    <mergeCell ref="J2456:M2456"/>
    <mergeCell ref="N2456:P2456"/>
    <mergeCell ref="Q2456:R2456"/>
    <mergeCell ref="A2457:B2457"/>
    <mergeCell ref="C2457:D2457"/>
    <mergeCell ref="E2457:I2457"/>
    <mergeCell ref="J2457:M2457"/>
    <mergeCell ref="N2457:P2457"/>
    <mergeCell ref="Q2457:R2457"/>
    <mergeCell ref="A2458:B2458"/>
    <mergeCell ref="C2458:I2458"/>
    <mergeCell ref="J2458:M2458"/>
    <mergeCell ref="N2458:P2458"/>
    <mergeCell ref="Q2458:R2458"/>
    <mergeCell ref="A2459:B2459"/>
    <mergeCell ref="C2459:I2459"/>
    <mergeCell ref="J2459:M2459"/>
    <mergeCell ref="N2459:P2459"/>
    <mergeCell ref="Q2459:R2459"/>
    <mergeCell ref="A2460:B2460"/>
    <mergeCell ref="C2460:I2460"/>
    <mergeCell ref="J2460:M2460"/>
    <mergeCell ref="N2460:P2460"/>
    <mergeCell ref="Q2460:R2460"/>
    <mergeCell ref="A2461:B2461"/>
    <mergeCell ref="C2461:I2461"/>
    <mergeCell ref="J2461:M2461"/>
    <mergeCell ref="N2461:P2461"/>
    <mergeCell ref="Q2461:R2461"/>
    <mergeCell ref="A2462:B2462"/>
    <mergeCell ref="C2462:D2462"/>
    <mergeCell ref="E2462:I2462"/>
    <mergeCell ref="J2462:M2462"/>
    <mergeCell ref="N2462:P2462"/>
    <mergeCell ref="Q2462:R2462"/>
    <mergeCell ref="A2463:B2463"/>
    <mergeCell ref="C2463:I2463"/>
    <mergeCell ref="J2463:M2463"/>
    <mergeCell ref="N2463:P2463"/>
    <mergeCell ref="Q2463:R2463"/>
    <mergeCell ref="A2464:B2464"/>
    <mergeCell ref="C2464:I2464"/>
    <mergeCell ref="J2464:M2464"/>
    <mergeCell ref="N2464:P2464"/>
    <mergeCell ref="Q2464:R2464"/>
    <mergeCell ref="A2465:B2465"/>
    <mergeCell ref="C2465:D2465"/>
    <mergeCell ref="E2465:I2465"/>
    <mergeCell ref="J2465:M2465"/>
    <mergeCell ref="N2465:P2465"/>
    <mergeCell ref="Q2465:R2465"/>
    <mergeCell ref="A2466:B2466"/>
    <mergeCell ref="C2466:I2466"/>
    <mergeCell ref="J2466:M2466"/>
    <mergeCell ref="N2466:P2466"/>
    <mergeCell ref="Q2466:R2466"/>
    <mergeCell ref="A2467:B2467"/>
    <mergeCell ref="C2467:I2467"/>
    <mergeCell ref="J2467:M2467"/>
    <mergeCell ref="N2467:P2467"/>
    <mergeCell ref="Q2467:R2467"/>
    <mergeCell ref="A2468:B2468"/>
    <mergeCell ref="C2468:I2468"/>
    <mergeCell ref="J2468:M2468"/>
    <mergeCell ref="N2468:P2468"/>
    <mergeCell ref="Q2468:R2468"/>
    <mergeCell ref="A2469:B2469"/>
    <mergeCell ref="C2469:I2469"/>
    <mergeCell ref="J2469:M2469"/>
    <mergeCell ref="N2469:P2469"/>
    <mergeCell ref="Q2469:R2469"/>
    <mergeCell ref="A2470:B2470"/>
    <mergeCell ref="C2470:D2470"/>
    <mergeCell ref="E2470:I2470"/>
    <mergeCell ref="J2470:M2470"/>
    <mergeCell ref="N2470:P2470"/>
    <mergeCell ref="Q2470:R2470"/>
    <mergeCell ref="A2471:B2471"/>
    <mergeCell ref="C2471:I2471"/>
    <mergeCell ref="J2471:M2471"/>
    <mergeCell ref="N2471:P2471"/>
    <mergeCell ref="Q2471:R2471"/>
    <mergeCell ref="A2472:B2472"/>
    <mergeCell ref="C2472:I2472"/>
    <mergeCell ref="J2472:M2472"/>
    <mergeCell ref="N2472:P2472"/>
    <mergeCell ref="Q2472:R2472"/>
    <mergeCell ref="A2473:B2473"/>
    <mergeCell ref="C2473:I2473"/>
    <mergeCell ref="J2473:M2473"/>
    <mergeCell ref="N2473:P2473"/>
    <mergeCell ref="Q2473:R2473"/>
    <mergeCell ref="A2474:B2474"/>
    <mergeCell ref="C2474:I2474"/>
    <mergeCell ref="J2474:M2474"/>
    <mergeCell ref="N2474:P2474"/>
    <mergeCell ref="Q2474:R2474"/>
    <mergeCell ref="A2475:B2475"/>
    <mergeCell ref="C2475:I2475"/>
    <mergeCell ref="J2475:M2475"/>
    <mergeCell ref="N2475:P2475"/>
    <mergeCell ref="Q2475:R2475"/>
    <mergeCell ref="A2476:B2476"/>
    <mergeCell ref="C2476:I2476"/>
    <mergeCell ref="J2476:M2476"/>
    <mergeCell ref="N2476:P2476"/>
    <mergeCell ref="Q2476:R2476"/>
    <mergeCell ref="A2477:B2477"/>
    <mergeCell ref="C2477:I2477"/>
    <mergeCell ref="J2477:M2477"/>
    <mergeCell ref="N2477:P2477"/>
    <mergeCell ref="Q2477:R2477"/>
    <mergeCell ref="A2478:B2478"/>
    <mergeCell ref="C2478:I2478"/>
    <mergeCell ref="J2478:M2478"/>
    <mergeCell ref="N2478:P2478"/>
    <mergeCell ref="Q2478:R2478"/>
    <mergeCell ref="A2479:B2479"/>
    <mergeCell ref="C2479:I2479"/>
    <mergeCell ref="J2479:M2479"/>
    <mergeCell ref="N2479:P2479"/>
    <mergeCell ref="Q2479:R2479"/>
    <mergeCell ref="A2480:B2480"/>
    <mergeCell ref="C2480:I2480"/>
    <mergeCell ref="J2480:M2480"/>
    <mergeCell ref="N2480:P2480"/>
    <mergeCell ref="Q2480:R2480"/>
    <mergeCell ref="A2481:B2481"/>
    <mergeCell ref="C2481:D2481"/>
    <mergeCell ref="E2481:I2481"/>
    <mergeCell ref="J2481:M2481"/>
    <mergeCell ref="N2481:P2481"/>
    <mergeCell ref="Q2481:R2481"/>
    <mergeCell ref="A2482:B2482"/>
    <mergeCell ref="C2482:D2482"/>
    <mergeCell ref="E2482:I2482"/>
    <mergeCell ref="J2482:M2482"/>
    <mergeCell ref="N2482:P2482"/>
    <mergeCell ref="Q2482:R2482"/>
    <mergeCell ref="A2483:B2483"/>
    <mergeCell ref="C2483:I2483"/>
    <mergeCell ref="J2483:M2483"/>
    <mergeCell ref="N2483:P2483"/>
    <mergeCell ref="Q2483:R2483"/>
    <mergeCell ref="A2484:B2484"/>
    <mergeCell ref="C2484:I2484"/>
    <mergeCell ref="J2484:M2484"/>
    <mergeCell ref="N2484:P2484"/>
    <mergeCell ref="Q2484:R2484"/>
    <mergeCell ref="A2485:B2485"/>
    <mergeCell ref="C2485:I2485"/>
    <mergeCell ref="J2485:M2485"/>
    <mergeCell ref="N2485:P2485"/>
    <mergeCell ref="Q2485:R2485"/>
    <mergeCell ref="A2486:B2486"/>
    <mergeCell ref="C2486:I2486"/>
    <mergeCell ref="J2486:M2486"/>
    <mergeCell ref="N2486:P2486"/>
    <mergeCell ref="Q2486:R2486"/>
    <mergeCell ref="A2487:B2487"/>
    <mergeCell ref="C2487:I2487"/>
    <mergeCell ref="J2487:M2487"/>
    <mergeCell ref="N2487:P2487"/>
    <mergeCell ref="Q2487:R2487"/>
    <mergeCell ref="A2488:B2488"/>
    <mergeCell ref="C2488:I2488"/>
    <mergeCell ref="J2488:M2488"/>
    <mergeCell ref="N2488:P2488"/>
    <mergeCell ref="Q2488:R2488"/>
    <mergeCell ref="A2489:B2489"/>
    <mergeCell ref="C2489:I2489"/>
    <mergeCell ref="J2489:M2489"/>
    <mergeCell ref="N2489:P2489"/>
    <mergeCell ref="Q2489:R2489"/>
    <mergeCell ref="A2490:B2490"/>
    <mergeCell ref="C2490:I2490"/>
    <mergeCell ref="J2490:M2490"/>
    <mergeCell ref="N2490:P2490"/>
    <mergeCell ref="Q2490:R2490"/>
    <mergeCell ref="A2491:B2491"/>
    <mergeCell ref="C2491:I2491"/>
    <mergeCell ref="J2491:M2491"/>
    <mergeCell ref="N2491:P2491"/>
    <mergeCell ref="Q2491:R2491"/>
    <mergeCell ref="A2492:B2492"/>
    <mergeCell ref="C2492:I2492"/>
    <mergeCell ref="J2492:M2492"/>
    <mergeCell ref="N2492:P2492"/>
    <mergeCell ref="Q2492:R2492"/>
    <mergeCell ref="A2493:B2493"/>
    <mergeCell ref="C2493:D2493"/>
    <mergeCell ref="E2493:I2493"/>
    <mergeCell ref="J2493:M2493"/>
    <mergeCell ref="N2493:P2493"/>
    <mergeCell ref="Q2493:R2493"/>
    <mergeCell ref="A2494:B2494"/>
    <mergeCell ref="C2494:I2494"/>
    <mergeCell ref="J2494:M2494"/>
    <mergeCell ref="N2494:P2494"/>
    <mergeCell ref="Q2494:R2494"/>
    <mergeCell ref="A2495:B2495"/>
    <mergeCell ref="C2495:I2495"/>
    <mergeCell ref="J2495:M2495"/>
    <mergeCell ref="N2495:P2495"/>
    <mergeCell ref="Q2495:R2495"/>
    <mergeCell ref="A2496:B2496"/>
    <mergeCell ref="C2496:I2496"/>
    <mergeCell ref="J2496:M2496"/>
    <mergeCell ref="N2496:P2496"/>
    <mergeCell ref="Q2496:R2496"/>
    <mergeCell ref="A2497:B2497"/>
    <mergeCell ref="C2497:I2497"/>
    <mergeCell ref="J2497:M2497"/>
    <mergeCell ref="N2497:P2497"/>
    <mergeCell ref="Q2497:R2497"/>
    <mergeCell ref="A2498:B2498"/>
    <mergeCell ref="C2498:I2498"/>
    <mergeCell ref="J2498:M2498"/>
    <mergeCell ref="N2498:P2498"/>
    <mergeCell ref="Q2498:R2498"/>
    <mergeCell ref="A2499:B2499"/>
    <mergeCell ref="C2499:D2499"/>
    <mergeCell ref="E2499:I2499"/>
    <mergeCell ref="J2499:M2499"/>
    <mergeCell ref="N2499:P2499"/>
    <mergeCell ref="Q2499:R2499"/>
    <mergeCell ref="A2500:B2500"/>
    <mergeCell ref="C2500:D2500"/>
    <mergeCell ref="E2500:I2500"/>
    <mergeCell ref="J2500:M2500"/>
    <mergeCell ref="N2500:P2500"/>
    <mergeCell ref="Q2500:R2500"/>
    <mergeCell ref="A2501:B2501"/>
    <mergeCell ref="C2501:D2501"/>
    <mergeCell ref="E2501:I2501"/>
    <mergeCell ref="J2501:M2501"/>
    <mergeCell ref="N2501:P2501"/>
    <mergeCell ref="Q2501:R2501"/>
    <mergeCell ref="A2502:B2502"/>
    <mergeCell ref="C2502:D2502"/>
    <mergeCell ref="E2502:I2502"/>
    <mergeCell ref="J2502:M2502"/>
    <mergeCell ref="N2502:P2502"/>
    <mergeCell ref="Q2502:R2502"/>
    <mergeCell ref="A2503:B2503"/>
    <mergeCell ref="C2503:D2503"/>
    <mergeCell ref="E2503:I2503"/>
    <mergeCell ref="J2503:M2503"/>
    <mergeCell ref="N2503:P2503"/>
    <mergeCell ref="Q2503:R2503"/>
    <mergeCell ref="A2504:B2504"/>
    <mergeCell ref="C2504:D2504"/>
    <mergeCell ref="E2504:I2504"/>
    <mergeCell ref="J2504:M2504"/>
    <mergeCell ref="N2504:P2504"/>
    <mergeCell ref="Q2504:R2504"/>
    <mergeCell ref="A2505:B2505"/>
    <mergeCell ref="C2505:D2505"/>
    <mergeCell ref="E2505:I2505"/>
    <mergeCell ref="J2505:M2505"/>
    <mergeCell ref="N2505:P2505"/>
    <mergeCell ref="Q2505:R2505"/>
    <mergeCell ref="A2506:B2506"/>
    <mergeCell ref="C2506:D2506"/>
    <mergeCell ref="E2506:I2506"/>
    <mergeCell ref="J2506:M2506"/>
    <mergeCell ref="N2506:P2506"/>
    <mergeCell ref="Q2506:R2506"/>
    <mergeCell ref="A2507:B2507"/>
    <mergeCell ref="C2507:I2507"/>
    <mergeCell ref="J2507:M2507"/>
    <mergeCell ref="N2507:P2507"/>
    <mergeCell ref="Q2507:R2507"/>
    <mergeCell ref="A2508:B2508"/>
    <mergeCell ref="C2508:D2508"/>
    <mergeCell ref="E2508:I2508"/>
    <mergeCell ref="J2508:M2508"/>
    <mergeCell ref="N2508:P2508"/>
    <mergeCell ref="Q2508:R2508"/>
    <mergeCell ref="A2509:B2509"/>
    <mergeCell ref="C2509:D2509"/>
    <mergeCell ref="E2509:I2509"/>
    <mergeCell ref="J2509:M2509"/>
    <mergeCell ref="N2509:P2509"/>
    <mergeCell ref="Q2509:R2509"/>
    <mergeCell ref="A2510:B2510"/>
    <mergeCell ref="C2510:D2510"/>
    <mergeCell ref="E2510:I2510"/>
    <mergeCell ref="J2510:M2510"/>
    <mergeCell ref="N2510:P2510"/>
    <mergeCell ref="Q2510:R2510"/>
    <mergeCell ref="A2511:B2511"/>
    <mergeCell ref="C2511:D2511"/>
    <mergeCell ref="E2511:I2511"/>
    <mergeCell ref="J2511:M2511"/>
    <mergeCell ref="N2511:P2511"/>
    <mergeCell ref="Q2511:R2511"/>
    <mergeCell ref="A2512:B2512"/>
    <mergeCell ref="C2512:D2512"/>
    <mergeCell ref="E2512:I2512"/>
    <mergeCell ref="J2512:M2512"/>
    <mergeCell ref="N2512:P2512"/>
    <mergeCell ref="Q2512:R2512"/>
    <mergeCell ref="A2513:B2513"/>
    <mergeCell ref="C2513:D2513"/>
    <mergeCell ref="E2513:I2513"/>
    <mergeCell ref="J2513:M2513"/>
    <mergeCell ref="N2513:P2513"/>
    <mergeCell ref="Q2513:R2513"/>
    <mergeCell ref="A2514:B2514"/>
    <mergeCell ref="C2514:I2514"/>
    <mergeCell ref="J2514:M2514"/>
    <mergeCell ref="N2514:P2514"/>
    <mergeCell ref="Q2514:R2514"/>
    <mergeCell ref="A2515:B2515"/>
    <mergeCell ref="C2515:D2515"/>
    <mergeCell ref="E2515:I2515"/>
    <mergeCell ref="J2515:M2515"/>
    <mergeCell ref="N2515:P2515"/>
    <mergeCell ref="Q2515:R2515"/>
    <mergeCell ref="A2516:B2516"/>
    <mergeCell ref="C2516:D2516"/>
    <mergeCell ref="E2516:I2516"/>
    <mergeCell ref="J2516:M2516"/>
    <mergeCell ref="N2516:P2516"/>
    <mergeCell ref="Q2516:R2516"/>
    <mergeCell ref="A2517:B2517"/>
    <mergeCell ref="C2517:D2517"/>
    <mergeCell ref="E2517:I2517"/>
    <mergeCell ref="J2517:M2517"/>
    <mergeCell ref="N2517:P2517"/>
    <mergeCell ref="Q2517:R2517"/>
    <mergeCell ref="A2518:B2518"/>
    <mergeCell ref="C2518:D2518"/>
    <mergeCell ref="E2518:I2518"/>
    <mergeCell ref="J2518:M2518"/>
    <mergeCell ref="N2518:P2518"/>
    <mergeCell ref="Q2518:R2518"/>
    <mergeCell ref="A2519:B2519"/>
    <mergeCell ref="C2519:D2519"/>
    <mergeCell ref="E2519:I2519"/>
    <mergeCell ref="J2519:M2519"/>
    <mergeCell ref="N2519:P2519"/>
    <mergeCell ref="Q2519:R2519"/>
    <mergeCell ref="A2520:B2520"/>
    <mergeCell ref="C2520:D2520"/>
    <mergeCell ref="E2520:I2520"/>
    <mergeCell ref="J2520:M2520"/>
    <mergeCell ref="N2520:P2520"/>
    <mergeCell ref="Q2520:R2520"/>
    <mergeCell ref="A2521:B2521"/>
    <mergeCell ref="C2521:D2521"/>
    <mergeCell ref="E2521:I2521"/>
    <mergeCell ref="J2521:M2521"/>
    <mergeCell ref="N2521:P2521"/>
    <mergeCell ref="Q2521:R2521"/>
    <mergeCell ref="A2522:B2522"/>
    <mergeCell ref="C2522:D2522"/>
    <mergeCell ref="E2522:I2522"/>
    <mergeCell ref="J2522:M2522"/>
    <mergeCell ref="N2522:P2522"/>
    <mergeCell ref="Q2522:R2522"/>
    <mergeCell ref="A2523:B2523"/>
    <mergeCell ref="C2523:D2523"/>
    <mergeCell ref="E2523:I2523"/>
    <mergeCell ref="J2523:M2523"/>
    <mergeCell ref="N2523:P2523"/>
    <mergeCell ref="Q2523:R2523"/>
    <mergeCell ref="A2524:B2524"/>
    <mergeCell ref="C2524:D2524"/>
    <mergeCell ref="E2524:I2524"/>
    <mergeCell ref="J2524:M2524"/>
    <mergeCell ref="N2524:P2524"/>
    <mergeCell ref="Q2524:R2524"/>
    <mergeCell ref="A2525:B2525"/>
    <mergeCell ref="C2525:D2525"/>
    <mergeCell ref="E2525:I2525"/>
    <mergeCell ref="J2525:M2525"/>
    <mergeCell ref="N2525:P2525"/>
    <mergeCell ref="Q2525:R2525"/>
    <mergeCell ref="A2526:B2526"/>
    <mergeCell ref="C2526:D2526"/>
    <mergeCell ref="E2526:I2526"/>
    <mergeCell ref="J2526:M2526"/>
    <mergeCell ref="N2526:P2526"/>
    <mergeCell ref="Q2526:R2526"/>
    <mergeCell ref="A2527:B2527"/>
    <mergeCell ref="C2527:D2527"/>
    <mergeCell ref="E2527:I2527"/>
    <mergeCell ref="J2527:M2527"/>
    <mergeCell ref="N2527:P2527"/>
    <mergeCell ref="Q2527:R2527"/>
    <mergeCell ref="A2528:B2528"/>
    <mergeCell ref="C2528:I2528"/>
    <mergeCell ref="J2528:M2528"/>
    <mergeCell ref="N2528:P2528"/>
    <mergeCell ref="Q2528:R2528"/>
    <mergeCell ref="A2529:B2529"/>
    <mergeCell ref="C2529:D2529"/>
    <mergeCell ref="E2529:I2529"/>
    <mergeCell ref="J2529:M2529"/>
    <mergeCell ref="N2529:P2529"/>
    <mergeCell ref="Q2529:R2529"/>
    <mergeCell ref="A2530:B2530"/>
    <mergeCell ref="C2530:I2530"/>
    <mergeCell ref="J2530:M2530"/>
    <mergeCell ref="N2530:P2530"/>
    <mergeCell ref="Q2530:R2530"/>
    <mergeCell ref="A2531:B2531"/>
    <mergeCell ref="C2531:I2531"/>
    <mergeCell ref="J2531:M2531"/>
    <mergeCell ref="N2531:P2531"/>
    <mergeCell ref="Q2531:R2531"/>
    <mergeCell ref="A2532:B2532"/>
    <mergeCell ref="C2532:I2532"/>
    <mergeCell ref="J2532:M2532"/>
    <mergeCell ref="N2532:P2532"/>
    <mergeCell ref="Q2532:R2532"/>
    <mergeCell ref="A2533:B2533"/>
    <mergeCell ref="C2533:D2533"/>
    <mergeCell ref="E2533:I2533"/>
    <mergeCell ref="J2533:M2533"/>
    <mergeCell ref="N2533:P2533"/>
    <mergeCell ref="Q2533:R2533"/>
    <mergeCell ref="A2534:B2534"/>
    <mergeCell ref="C2534:D2534"/>
    <mergeCell ref="E2534:I2534"/>
    <mergeCell ref="J2534:M2534"/>
    <mergeCell ref="N2534:P2534"/>
    <mergeCell ref="Q2534:R2534"/>
    <mergeCell ref="A2535:B2535"/>
    <mergeCell ref="C2535:I2535"/>
    <mergeCell ref="J2535:M2535"/>
    <mergeCell ref="N2535:P2535"/>
    <mergeCell ref="Q2535:R2535"/>
    <mergeCell ref="A2536:B2536"/>
    <mergeCell ref="C2536:I2536"/>
    <mergeCell ref="J2536:M2536"/>
    <mergeCell ref="N2536:P2536"/>
    <mergeCell ref="Q2536:R2536"/>
    <mergeCell ref="A2537:B2537"/>
    <mergeCell ref="C2537:D2537"/>
    <mergeCell ref="E2537:I2537"/>
    <mergeCell ref="J2537:M2537"/>
    <mergeCell ref="N2537:P2537"/>
    <mergeCell ref="Q2537:R2537"/>
    <mergeCell ref="A2538:B2538"/>
    <mergeCell ref="C2538:I2538"/>
    <mergeCell ref="J2538:M2538"/>
    <mergeCell ref="N2538:P2538"/>
    <mergeCell ref="Q2538:R2538"/>
    <mergeCell ref="A2539:B2539"/>
    <mergeCell ref="C2539:I2539"/>
    <mergeCell ref="J2539:M2539"/>
    <mergeCell ref="N2539:P2539"/>
    <mergeCell ref="Q2539:R2539"/>
    <mergeCell ref="A2540:B2540"/>
    <mergeCell ref="C2540:I2540"/>
    <mergeCell ref="J2540:M2540"/>
    <mergeCell ref="N2540:P2540"/>
    <mergeCell ref="Q2540:R2540"/>
    <mergeCell ref="A2541:B2541"/>
    <mergeCell ref="C2541:I2541"/>
    <mergeCell ref="J2541:M2541"/>
    <mergeCell ref="N2541:P2541"/>
    <mergeCell ref="Q2541:R2541"/>
    <mergeCell ref="A2542:B2542"/>
    <mergeCell ref="C2542:I2542"/>
    <mergeCell ref="J2542:M2542"/>
    <mergeCell ref="N2542:P2542"/>
    <mergeCell ref="Q2542:R2542"/>
    <mergeCell ref="A2543:B2543"/>
    <mergeCell ref="C2543:I2543"/>
    <mergeCell ref="J2543:M2543"/>
    <mergeCell ref="N2543:P2543"/>
    <mergeCell ref="Q2543:R2543"/>
    <mergeCell ref="A2544:B2544"/>
    <mergeCell ref="C2544:D2544"/>
    <mergeCell ref="E2544:I2544"/>
    <mergeCell ref="J2544:M2544"/>
    <mergeCell ref="N2544:P2544"/>
    <mergeCell ref="Q2544:R2544"/>
    <mergeCell ref="A2545:B2545"/>
    <mergeCell ref="C2545:I2545"/>
    <mergeCell ref="J2545:M2545"/>
    <mergeCell ref="N2545:P2545"/>
    <mergeCell ref="Q2545:R2545"/>
    <mergeCell ref="A2546:B2546"/>
    <mergeCell ref="C2546:D2546"/>
    <mergeCell ref="E2546:I2546"/>
    <mergeCell ref="J2546:M2546"/>
    <mergeCell ref="N2546:P2546"/>
    <mergeCell ref="Q2546:R2546"/>
    <mergeCell ref="A2547:B2547"/>
    <mergeCell ref="C2547:I2547"/>
    <mergeCell ref="J2547:M2547"/>
    <mergeCell ref="N2547:P2547"/>
    <mergeCell ref="Q2547:R2547"/>
    <mergeCell ref="A2548:B2548"/>
    <mergeCell ref="C2548:I2548"/>
    <mergeCell ref="J2548:M2548"/>
    <mergeCell ref="N2548:P2548"/>
    <mergeCell ref="Q2548:R2548"/>
    <mergeCell ref="A2549:B2549"/>
    <mergeCell ref="C2549:I2549"/>
    <mergeCell ref="J2549:M2549"/>
    <mergeCell ref="N2549:P2549"/>
    <mergeCell ref="Q2549:R2549"/>
    <mergeCell ref="A2550:B2550"/>
    <mergeCell ref="C2550:I2550"/>
    <mergeCell ref="J2550:M2550"/>
    <mergeCell ref="N2550:P2550"/>
    <mergeCell ref="Q2550:R2550"/>
    <mergeCell ref="A2551:B2551"/>
    <mergeCell ref="C2551:I2551"/>
    <mergeCell ref="J2551:M2551"/>
    <mergeCell ref="N2551:P2551"/>
    <mergeCell ref="Q2551:R2551"/>
    <mergeCell ref="A2552:B2552"/>
    <mergeCell ref="C2552:I2552"/>
    <mergeCell ref="J2552:M2552"/>
    <mergeCell ref="N2552:P2552"/>
    <mergeCell ref="Q2552:R2552"/>
    <mergeCell ref="A2553:B2553"/>
    <mergeCell ref="C2553:D2553"/>
    <mergeCell ref="E2553:I2553"/>
    <mergeCell ref="J2553:M2553"/>
    <mergeCell ref="N2553:P2553"/>
    <mergeCell ref="Q2553:R2553"/>
    <mergeCell ref="A2554:B2554"/>
    <mergeCell ref="C2554:D2554"/>
    <mergeCell ref="E2554:I2554"/>
    <mergeCell ref="J2554:M2554"/>
    <mergeCell ref="N2554:P2554"/>
    <mergeCell ref="Q2554:R2554"/>
    <mergeCell ref="A2555:B2555"/>
    <mergeCell ref="C2555:I2555"/>
    <mergeCell ref="J2555:M2555"/>
    <mergeCell ref="N2555:P2555"/>
    <mergeCell ref="Q2555:R2555"/>
    <mergeCell ref="A2556:B2556"/>
    <mergeCell ref="C2556:I2556"/>
    <mergeCell ref="J2556:M2556"/>
    <mergeCell ref="N2556:P2556"/>
    <mergeCell ref="Q2556:R2556"/>
    <mergeCell ref="A2557:B2557"/>
    <mergeCell ref="C2557:D2557"/>
    <mergeCell ref="E2557:I2557"/>
    <mergeCell ref="J2557:M2557"/>
    <mergeCell ref="N2557:P2557"/>
    <mergeCell ref="Q2557:R2557"/>
    <mergeCell ref="A2558:B2558"/>
    <mergeCell ref="C2558:D2558"/>
    <mergeCell ref="E2558:I2558"/>
    <mergeCell ref="J2558:M2558"/>
    <mergeCell ref="N2558:P2558"/>
    <mergeCell ref="Q2558:R2558"/>
    <mergeCell ref="A2559:B2559"/>
    <mergeCell ref="C2559:I2559"/>
    <mergeCell ref="J2559:M2559"/>
    <mergeCell ref="N2559:P2559"/>
    <mergeCell ref="Q2559:R2559"/>
    <mergeCell ref="A2560:B2560"/>
    <mergeCell ref="C2560:I2560"/>
    <mergeCell ref="J2560:M2560"/>
    <mergeCell ref="N2560:P2560"/>
    <mergeCell ref="Q2560:R2560"/>
    <mergeCell ref="A2561:B2561"/>
    <mergeCell ref="C2561:D2561"/>
    <mergeCell ref="E2561:I2561"/>
    <mergeCell ref="J2561:M2561"/>
    <mergeCell ref="N2561:P2561"/>
    <mergeCell ref="Q2561:R2561"/>
    <mergeCell ref="A2562:B2562"/>
    <mergeCell ref="C2562:I2562"/>
    <mergeCell ref="J2562:M2562"/>
    <mergeCell ref="N2562:P2562"/>
    <mergeCell ref="Q2562:R2562"/>
    <mergeCell ref="A2563:B2563"/>
    <mergeCell ref="C2563:D2563"/>
    <mergeCell ref="E2563:I2563"/>
    <mergeCell ref="J2563:M2563"/>
    <mergeCell ref="N2563:P2563"/>
    <mergeCell ref="Q2563:R2563"/>
    <mergeCell ref="A2564:B2564"/>
    <mergeCell ref="C2564:D2564"/>
    <mergeCell ref="E2564:I2564"/>
    <mergeCell ref="J2564:M2564"/>
    <mergeCell ref="N2564:P2564"/>
    <mergeCell ref="Q2564:R2564"/>
    <mergeCell ref="A2565:B2565"/>
    <mergeCell ref="C2565:D2565"/>
    <mergeCell ref="E2565:I2565"/>
    <mergeCell ref="J2565:M2565"/>
    <mergeCell ref="N2565:P2565"/>
    <mergeCell ref="Q2565:R2565"/>
    <mergeCell ref="A2566:B2566"/>
    <mergeCell ref="C2566:D2566"/>
    <mergeCell ref="E2566:I2566"/>
    <mergeCell ref="J2566:M2566"/>
    <mergeCell ref="N2566:P2566"/>
    <mergeCell ref="Q2566:R2566"/>
    <mergeCell ref="A2567:B2567"/>
    <mergeCell ref="C2567:D2567"/>
    <mergeCell ref="E2567:I2567"/>
    <mergeCell ref="J2567:M2567"/>
    <mergeCell ref="N2567:P2567"/>
    <mergeCell ref="Q2567:R2567"/>
    <mergeCell ref="A2568:B2568"/>
    <mergeCell ref="C2568:D2568"/>
    <mergeCell ref="E2568:I2568"/>
    <mergeCell ref="J2568:M2568"/>
    <mergeCell ref="N2568:P2568"/>
    <mergeCell ref="Q2568:R2568"/>
    <mergeCell ref="A2569:B2569"/>
    <mergeCell ref="C2569:I2569"/>
    <mergeCell ref="J2569:M2569"/>
    <mergeCell ref="N2569:P2569"/>
    <mergeCell ref="Q2569:R2569"/>
    <mergeCell ref="A2570:B2570"/>
    <mergeCell ref="C2570:D2570"/>
    <mergeCell ref="E2570:I2570"/>
    <mergeCell ref="J2570:M2570"/>
    <mergeCell ref="N2570:P2570"/>
    <mergeCell ref="Q2570:R2570"/>
    <mergeCell ref="A2571:B2571"/>
    <mergeCell ref="C2571:D2571"/>
    <mergeCell ref="E2571:I2571"/>
    <mergeCell ref="J2571:M2571"/>
    <mergeCell ref="N2571:P2571"/>
    <mergeCell ref="Q2571:R2571"/>
    <mergeCell ref="A2572:B2572"/>
    <mergeCell ref="C2572:D2572"/>
    <mergeCell ref="E2572:I2572"/>
    <mergeCell ref="J2572:M2572"/>
    <mergeCell ref="N2572:P2572"/>
    <mergeCell ref="Q2572:R2572"/>
    <mergeCell ref="A2573:B2573"/>
    <mergeCell ref="C2573:D2573"/>
    <mergeCell ref="E2573:I2573"/>
    <mergeCell ref="J2573:M2573"/>
    <mergeCell ref="N2573:P2573"/>
    <mergeCell ref="Q2573:R2573"/>
    <mergeCell ref="A2574:B2574"/>
    <mergeCell ref="C2574:D2574"/>
    <mergeCell ref="E2574:I2574"/>
    <mergeCell ref="J2574:M2574"/>
    <mergeCell ref="N2574:P2574"/>
    <mergeCell ref="Q2574:R2574"/>
    <mergeCell ref="A2575:B2575"/>
    <mergeCell ref="C2575:D2575"/>
    <mergeCell ref="E2575:I2575"/>
    <mergeCell ref="J2575:M2575"/>
    <mergeCell ref="N2575:P2575"/>
    <mergeCell ref="Q2575:R2575"/>
    <mergeCell ref="A2576:B2576"/>
    <mergeCell ref="C2576:D2576"/>
    <mergeCell ref="E2576:I2576"/>
    <mergeCell ref="J2576:M2576"/>
    <mergeCell ref="N2576:P2576"/>
    <mergeCell ref="Q2576:R2576"/>
    <mergeCell ref="A2577:B2577"/>
    <mergeCell ref="C2577:D2577"/>
    <mergeCell ref="E2577:I2577"/>
    <mergeCell ref="J2577:M2577"/>
    <mergeCell ref="N2577:P2577"/>
    <mergeCell ref="Q2577:R2577"/>
    <mergeCell ref="A2578:B2578"/>
    <mergeCell ref="C2578:I2578"/>
    <mergeCell ref="J2578:M2578"/>
    <mergeCell ref="N2578:P2578"/>
    <mergeCell ref="Q2578:R2578"/>
    <mergeCell ref="A2579:B2579"/>
    <mergeCell ref="C2579:D2579"/>
    <mergeCell ref="E2579:I2579"/>
    <mergeCell ref="J2579:M2579"/>
    <mergeCell ref="N2579:P2579"/>
    <mergeCell ref="Q2579:R2579"/>
    <mergeCell ref="A2580:B2580"/>
    <mergeCell ref="C2580:I2580"/>
    <mergeCell ref="J2580:M2580"/>
    <mergeCell ref="N2580:P2580"/>
    <mergeCell ref="Q2580:R2580"/>
    <mergeCell ref="A2581:B2581"/>
    <mergeCell ref="C2581:D2581"/>
    <mergeCell ref="E2581:I2581"/>
    <mergeCell ref="J2581:M2581"/>
    <mergeCell ref="N2581:P2581"/>
    <mergeCell ref="Q2581:R2581"/>
    <mergeCell ref="A2582:B2582"/>
    <mergeCell ref="C2582:I2582"/>
    <mergeCell ref="J2582:M2582"/>
    <mergeCell ref="N2582:P2582"/>
    <mergeCell ref="Q2582:R2582"/>
    <mergeCell ref="A2583:B2583"/>
    <mergeCell ref="C2583:I2583"/>
    <mergeCell ref="J2583:M2583"/>
    <mergeCell ref="N2583:P2583"/>
    <mergeCell ref="Q2583:R2583"/>
    <mergeCell ref="A2584:B2584"/>
    <mergeCell ref="C2584:I2584"/>
    <mergeCell ref="J2584:M2584"/>
    <mergeCell ref="N2584:P2584"/>
    <mergeCell ref="Q2584:R2584"/>
    <mergeCell ref="A2585:B2585"/>
    <mergeCell ref="C2585:D2585"/>
    <mergeCell ref="E2585:I2585"/>
    <mergeCell ref="J2585:M2585"/>
    <mergeCell ref="N2585:P2585"/>
    <mergeCell ref="Q2585:R2585"/>
    <mergeCell ref="A2586:B2586"/>
    <mergeCell ref="C2586:I2586"/>
    <mergeCell ref="J2586:M2586"/>
    <mergeCell ref="N2586:P2586"/>
    <mergeCell ref="Q2586:R2586"/>
    <mergeCell ref="A2587:B2587"/>
    <mergeCell ref="C2587:I2587"/>
    <mergeCell ref="J2587:M2587"/>
    <mergeCell ref="N2587:P2587"/>
    <mergeCell ref="Q2587:R2587"/>
    <mergeCell ref="A2588:B2588"/>
    <mergeCell ref="C2588:I2588"/>
    <mergeCell ref="J2588:M2588"/>
    <mergeCell ref="N2588:P2588"/>
    <mergeCell ref="Q2588:R2588"/>
    <mergeCell ref="A2589:B2589"/>
    <mergeCell ref="C2589:I2589"/>
    <mergeCell ref="J2589:M2589"/>
    <mergeCell ref="N2589:P2589"/>
    <mergeCell ref="Q2589:R2589"/>
    <mergeCell ref="A2590:B2590"/>
    <mergeCell ref="C2590:I2590"/>
    <mergeCell ref="J2590:M2590"/>
    <mergeCell ref="N2590:P2590"/>
    <mergeCell ref="Q2590:R2590"/>
    <mergeCell ref="A2591:B2591"/>
    <mergeCell ref="C2591:I2591"/>
    <mergeCell ref="J2591:M2591"/>
    <mergeCell ref="N2591:P2591"/>
    <mergeCell ref="Q2591:R2591"/>
    <mergeCell ref="A2592:B2592"/>
    <mergeCell ref="C2592:I2592"/>
    <mergeCell ref="J2592:M2592"/>
    <mergeCell ref="N2592:P2592"/>
    <mergeCell ref="Q2592:R2592"/>
    <mergeCell ref="A2593:B2593"/>
    <mergeCell ref="C2593:I2593"/>
    <mergeCell ref="J2593:M2593"/>
    <mergeCell ref="N2593:P2593"/>
    <mergeCell ref="Q2593:R2593"/>
    <mergeCell ref="A2594:B2594"/>
    <mergeCell ref="C2594:I2594"/>
    <mergeCell ref="J2594:M2594"/>
    <mergeCell ref="N2594:P2594"/>
    <mergeCell ref="Q2594:R2594"/>
    <mergeCell ref="A2595:B2595"/>
    <mergeCell ref="C2595:I2595"/>
    <mergeCell ref="J2595:M2595"/>
    <mergeCell ref="N2595:P2595"/>
    <mergeCell ref="Q2595:R2595"/>
    <mergeCell ref="A2596:B2596"/>
    <mergeCell ref="C2596:I2596"/>
    <mergeCell ref="J2596:M2596"/>
    <mergeCell ref="N2596:P2596"/>
    <mergeCell ref="Q2596:R2596"/>
    <mergeCell ref="A2597:B2597"/>
    <mergeCell ref="C2597:D2597"/>
    <mergeCell ref="E2597:I2597"/>
    <mergeCell ref="J2597:M2597"/>
    <mergeCell ref="N2597:P2597"/>
    <mergeCell ref="Q2597:R2597"/>
    <mergeCell ref="A2598:B2598"/>
    <mergeCell ref="C2598:I2598"/>
    <mergeCell ref="J2598:M2598"/>
    <mergeCell ref="N2598:P2598"/>
    <mergeCell ref="Q2598:R2598"/>
    <mergeCell ref="A2599:B2599"/>
    <mergeCell ref="C2599:I2599"/>
    <mergeCell ref="J2599:M2599"/>
    <mergeCell ref="N2599:P2599"/>
    <mergeCell ref="Q2599:R2599"/>
    <mergeCell ref="A2600:B2600"/>
    <mergeCell ref="C2600:D2600"/>
    <mergeCell ref="E2600:I2600"/>
    <mergeCell ref="J2600:M2600"/>
    <mergeCell ref="N2600:P2600"/>
    <mergeCell ref="Q2600:R2600"/>
    <mergeCell ref="A2601:B2601"/>
    <mergeCell ref="C2601:D2601"/>
    <mergeCell ref="E2601:I2601"/>
    <mergeCell ref="J2601:M2601"/>
    <mergeCell ref="N2601:P2601"/>
    <mergeCell ref="Q2601:R2601"/>
    <mergeCell ref="A2602:B2602"/>
    <mergeCell ref="C2602:D2602"/>
    <mergeCell ref="E2602:I2602"/>
    <mergeCell ref="J2602:M2602"/>
    <mergeCell ref="N2602:P2602"/>
    <mergeCell ref="Q2602:R2602"/>
    <mergeCell ref="A2603:B2603"/>
    <mergeCell ref="C2603:I2603"/>
    <mergeCell ref="J2603:M2603"/>
    <mergeCell ref="N2603:P2603"/>
    <mergeCell ref="Q2603:R2603"/>
    <mergeCell ref="A2604:B2604"/>
    <mergeCell ref="C2604:I2604"/>
    <mergeCell ref="J2604:M2604"/>
    <mergeCell ref="N2604:P2604"/>
    <mergeCell ref="Q2604:R2604"/>
    <mergeCell ref="A2605:B2605"/>
    <mergeCell ref="C2605:I2605"/>
    <mergeCell ref="J2605:M2605"/>
    <mergeCell ref="N2605:P2605"/>
    <mergeCell ref="Q2605:R2605"/>
    <mergeCell ref="A2606:B2606"/>
    <mergeCell ref="C2606:I2606"/>
    <mergeCell ref="J2606:M2606"/>
    <mergeCell ref="N2606:P2606"/>
    <mergeCell ref="Q2606:R2606"/>
    <mergeCell ref="A2607:B2607"/>
    <mergeCell ref="C2607:I2607"/>
    <mergeCell ref="J2607:M2607"/>
    <mergeCell ref="N2607:P2607"/>
    <mergeCell ref="Q2607:R2607"/>
    <mergeCell ref="A2608:B2608"/>
    <mergeCell ref="C2608:D2608"/>
    <mergeCell ref="E2608:I2608"/>
    <mergeCell ref="J2608:M2608"/>
    <mergeCell ref="N2608:P2608"/>
    <mergeCell ref="Q2608:R2608"/>
    <mergeCell ref="A2609:B2609"/>
    <mergeCell ref="C2609:D2609"/>
    <mergeCell ref="E2609:I2609"/>
    <mergeCell ref="J2609:M2609"/>
    <mergeCell ref="N2609:P2609"/>
    <mergeCell ref="Q2609:R2609"/>
    <mergeCell ref="A2610:B2610"/>
    <mergeCell ref="C2610:D2610"/>
    <mergeCell ref="E2610:I2610"/>
    <mergeCell ref="J2610:M2610"/>
    <mergeCell ref="N2610:P2610"/>
    <mergeCell ref="Q2610:R2610"/>
    <mergeCell ref="A2611:B2611"/>
    <mergeCell ref="C2611:D2611"/>
    <mergeCell ref="E2611:I2611"/>
    <mergeCell ref="J2611:M2611"/>
    <mergeCell ref="N2611:P2611"/>
    <mergeCell ref="Q2611:R2611"/>
    <mergeCell ref="A2612:B2612"/>
    <mergeCell ref="C2612:D2612"/>
    <mergeCell ref="E2612:I2612"/>
    <mergeCell ref="J2612:M2612"/>
    <mergeCell ref="N2612:P2612"/>
    <mergeCell ref="Q2612:R2612"/>
    <mergeCell ref="A2613:B2613"/>
    <mergeCell ref="C2613:D2613"/>
    <mergeCell ref="E2613:I2613"/>
    <mergeCell ref="J2613:M2613"/>
    <mergeCell ref="N2613:P2613"/>
    <mergeCell ref="Q2613:R2613"/>
    <mergeCell ref="A2614:B2614"/>
    <mergeCell ref="C2614:D2614"/>
    <mergeCell ref="E2614:I2614"/>
    <mergeCell ref="J2614:M2614"/>
    <mergeCell ref="N2614:P2614"/>
    <mergeCell ref="Q2614:R2614"/>
    <mergeCell ref="A2615:B2615"/>
    <mergeCell ref="C2615:D2615"/>
    <mergeCell ref="E2615:I2615"/>
    <mergeCell ref="J2615:M2615"/>
    <mergeCell ref="N2615:P2615"/>
    <mergeCell ref="Q2615:R2615"/>
    <mergeCell ref="A2616:B2616"/>
    <mergeCell ref="C2616:D2616"/>
    <mergeCell ref="E2616:I2616"/>
    <mergeCell ref="J2616:M2616"/>
    <mergeCell ref="N2616:P2616"/>
    <mergeCell ref="Q2616:R2616"/>
    <mergeCell ref="A2617:B2617"/>
    <mergeCell ref="C2617:D2617"/>
    <mergeCell ref="E2617:I2617"/>
    <mergeCell ref="J2617:M2617"/>
    <mergeCell ref="N2617:P2617"/>
    <mergeCell ref="Q2617:R2617"/>
    <mergeCell ref="A2618:B2618"/>
    <mergeCell ref="C2618:D2618"/>
    <mergeCell ref="E2618:I2618"/>
    <mergeCell ref="J2618:M2618"/>
    <mergeCell ref="N2618:P2618"/>
    <mergeCell ref="Q2618:R2618"/>
    <mergeCell ref="A2619:B2619"/>
    <mergeCell ref="C2619:D2619"/>
    <mergeCell ref="E2619:I2619"/>
    <mergeCell ref="J2619:M2619"/>
    <mergeCell ref="N2619:P2619"/>
    <mergeCell ref="Q2619:R2619"/>
    <mergeCell ref="A2620:B2620"/>
    <mergeCell ref="C2620:D2620"/>
    <mergeCell ref="E2620:I2620"/>
    <mergeCell ref="J2620:M2620"/>
    <mergeCell ref="N2620:P2620"/>
    <mergeCell ref="Q2620:R2620"/>
    <mergeCell ref="A2621:B2621"/>
    <mergeCell ref="C2621:D2621"/>
    <mergeCell ref="E2621:I2621"/>
    <mergeCell ref="J2621:M2621"/>
    <mergeCell ref="N2621:P2621"/>
    <mergeCell ref="Q2621:R2621"/>
    <mergeCell ref="A2622:B2622"/>
    <mergeCell ref="C2622:D2622"/>
    <mergeCell ref="E2622:I2622"/>
    <mergeCell ref="J2622:M2622"/>
    <mergeCell ref="N2622:P2622"/>
    <mergeCell ref="Q2622:R2622"/>
    <mergeCell ref="A2623:B2623"/>
    <mergeCell ref="C2623:D2623"/>
    <mergeCell ref="E2623:I2623"/>
    <mergeCell ref="J2623:M2623"/>
    <mergeCell ref="N2623:P2623"/>
    <mergeCell ref="Q2623:R2623"/>
    <mergeCell ref="A2624:B2624"/>
    <mergeCell ref="C2624:D2624"/>
    <mergeCell ref="E2624:I2624"/>
    <mergeCell ref="J2624:M2624"/>
    <mergeCell ref="N2624:P2624"/>
    <mergeCell ref="Q2624:R2624"/>
    <mergeCell ref="A2625:B2625"/>
    <mergeCell ref="C2625:D2625"/>
    <mergeCell ref="E2625:I2625"/>
    <mergeCell ref="J2625:M2625"/>
    <mergeCell ref="N2625:P2625"/>
    <mergeCell ref="Q2625:R2625"/>
    <mergeCell ref="A2626:B2626"/>
    <mergeCell ref="C2626:D2626"/>
    <mergeCell ref="E2626:I2626"/>
    <mergeCell ref="J2626:M2626"/>
    <mergeCell ref="N2626:P2626"/>
    <mergeCell ref="Q2626:R2626"/>
    <mergeCell ref="A2627:B2627"/>
    <mergeCell ref="C2627:D2627"/>
    <mergeCell ref="E2627:I2627"/>
    <mergeCell ref="J2627:M2627"/>
    <mergeCell ref="N2627:P2627"/>
    <mergeCell ref="Q2627:R2627"/>
    <mergeCell ref="A2628:B2628"/>
    <mergeCell ref="C2628:D2628"/>
    <mergeCell ref="E2628:I2628"/>
    <mergeCell ref="J2628:M2628"/>
    <mergeCell ref="N2628:P2628"/>
    <mergeCell ref="Q2628:R2628"/>
    <mergeCell ref="A2629:B2629"/>
    <mergeCell ref="C2629:D2629"/>
    <mergeCell ref="E2629:I2629"/>
    <mergeCell ref="J2629:M2629"/>
    <mergeCell ref="N2629:P2629"/>
    <mergeCell ref="Q2629:R2629"/>
    <mergeCell ref="A2630:B2630"/>
    <mergeCell ref="C2630:D2630"/>
    <mergeCell ref="E2630:I2630"/>
    <mergeCell ref="J2630:M2630"/>
    <mergeCell ref="N2630:P2630"/>
    <mergeCell ref="Q2630:R2630"/>
    <mergeCell ref="A2631:B2631"/>
    <mergeCell ref="C2631:D2631"/>
    <mergeCell ref="E2631:I2631"/>
    <mergeCell ref="J2631:M2631"/>
    <mergeCell ref="N2631:P2631"/>
    <mergeCell ref="Q2631:R2631"/>
    <mergeCell ref="A2632:B2632"/>
    <mergeCell ref="C2632:D2632"/>
    <mergeCell ref="E2632:I2632"/>
    <mergeCell ref="J2632:M2632"/>
    <mergeCell ref="N2632:P2632"/>
    <mergeCell ref="Q2632:R2632"/>
    <mergeCell ref="A2633:B2633"/>
    <mergeCell ref="C2633:D2633"/>
    <mergeCell ref="E2633:I2633"/>
    <mergeCell ref="J2633:M2633"/>
    <mergeCell ref="N2633:P2633"/>
    <mergeCell ref="Q2633:R2633"/>
    <mergeCell ref="A2634:B2634"/>
    <mergeCell ref="C2634:D2634"/>
    <mergeCell ref="E2634:I2634"/>
    <mergeCell ref="J2634:M2634"/>
    <mergeCell ref="N2634:P2634"/>
    <mergeCell ref="Q2634:R2634"/>
    <mergeCell ref="A2635:B2635"/>
    <mergeCell ref="C2635:D2635"/>
    <mergeCell ref="E2635:I2635"/>
    <mergeCell ref="J2635:M2635"/>
    <mergeCell ref="N2635:P2635"/>
    <mergeCell ref="Q2635:R2635"/>
    <mergeCell ref="A2636:B2636"/>
    <mergeCell ref="C2636:D2636"/>
    <mergeCell ref="E2636:I2636"/>
    <mergeCell ref="J2636:M2636"/>
    <mergeCell ref="N2636:P2636"/>
    <mergeCell ref="Q2636:R2636"/>
    <mergeCell ref="A2637:B2637"/>
    <mergeCell ref="C2637:D2637"/>
    <mergeCell ref="E2637:I2637"/>
    <mergeCell ref="J2637:M2637"/>
    <mergeCell ref="N2637:P2637"/>
    <mergeCell ref="Q2637:R2637"/>
    <mergeCell ref="A2638:B2638"/>
    <mergeCell ref="C2638:D2638"/>
    <mergeCell ref="E2638:I2638"/>
    <mergeCell ref="J2638:M2638"/>
    <mergeCell ref="N2638:P2638"/>
    <mergeCell ref="Q2638:R2638"/>
    <mergeCell ref="A2639:B2639"/>
    <mergeCell ref="C2639:D2639"/>
    <mergeCell ref="E2639:I2639"/>
    <mergeCell ref="J2639:M2639"/>
    <mergeCell ref="N2639:P2639"/>
    <mergeCell ref="Q2639:R2639"/>
    <mergeCell ref="A2640:B2640"/>
    <mergeCell ref="C2640:D2640"/>
    <mergeCell ref="E2640:I2640"/>
    <mergeCell ref="J2640:M2640"/>
    <mergeCell ref="N2640:P2640"/>
    <mergeCell ref="Q2640:R2640"/>
    <mergeCell ref="A2641:B2641"/>
    <mergeCell ref="C2641:D2641"/>
    <mergeCell ref="E2641:I2641"/>
    <mergeCell ref="J2641:M2641"/>
    <mergeCell ref="N2641:P2641"/>
    <mergeCell ref="Q2641:R2641"/>
    <mergeCell ref="A2642:B2642"/>
    <mergeCell ref="C2642:D2642"/>
    <mergeCell ref="E2642:I2642"/>
    <mergeCell ref="J2642:M2642"/>
    <mergeCell ref="N2642:P2642"/>
    <mergeCell ref="Q2642:R2642"/>
    <mergeCell ref="A2643:B2643"/>
    <mergeCell ref="C2643:D2643"/>
    <mergeCell ref="E2643:I2643"/>
    <mergeCell ref="J2643:M2643"/>
    <mergeCell ref="N2643:P2643"/>
    <mergeCell ref="Q2643:R2643"/>
    <mergeCell ref="A2644:B2644"/>
    <mergeCell ref="C2644:D2644"/>
    <mergeCell ref="E2644:I2644"/>
    <mergeCell ref="J2644:M2644"/>
    <mergeCell ref="N2644:P2644"/>
    <mergeCell ref="Q2644:R2644"/>
    <mergeCell ref="A2645:B2645"/>
    <mergeCell ref="C2645:D2645"/>
    <mergeCell ref="E2645:I2645"/>
    <mergeCell ref="J2645:M2645"/>
    <mergeCell ref="N2645:P2645"/>
    <mergeCell ref="Q2645:R2645"/>
    <mergeCell ref="A2646:B2646"/>
    <mergeCell ref="C2646:D2646"/>
    <mergeCell ref="E2646:I2646"/>
    <mergeCell ref="J2646:M2646"/>
    <mergeCell ref="N2646:P2646"/>
    <mergeCell ref="Q2646:R2646"/>
    <mergeCell ref="A2647:B2647"/>
    <mergeCell ref="C2647:D2647"/>
    <mergeCell ref="E2647:I2647"/>
    <mergeCell ref="J2647:M2647"/>
    <mergeCell ref="N2647:P2647"/>
    <mergeCell ref="Q2647:R2647"/>
    <mergeCell ref="A2648:B2648"/>
    <mergeCell ref="C2648:D2648"/>
    <mergeCell ref="E2648:I2648"/>
    <mergeCell ref="J2648:M2648"/>
    <mergeCell ref="N2648:P2648"/>
    <mergeCell ref="Q2648:R2648"/>
    <mergeCell ref="A2649:B2649"/>
    <mergeCell ref="C2649:D2649"/>
    <mergeCell ref="E2649:I2649"/>
    <mergeCell ref="J2649:M2649"/>
    <mergeCell ref="N2649:P2649"/>
    <mergeCell ref="Q2649:R2649"/>
    <mergeCell ref="A2650:B2650"/>
    <mergeCell ref="C2650:D2650"/>
    <mergeCell ref="E2650:I2650"/>
    <mergeCell ref="J2650:M2650"/>
    <mergeCell ref="N2650:P2650"/>
    <mergeCell ref="Q2650:R2650"/>
    <mergeCell ref="A2651:B2651"/>
    <mergeCell ref="C2651:D2651"/>
    <mergeCell ref="E2651:I2651"/>
    <mergeCell ref="J2651:M2651"/>
    <mergeCell ref="N2651:P2651"/>
    <mergeCell ref="Q2651:R2651"/>
    <mergeCell ref="A2652:B2652"/>
    <mergeCell ref="C2652:D2652"/>
    <mergeCell ref="E2652:I2652"/>
    <mergeCell ref="J2652:M2652"/>
    <mergeCell ref="N2652:P2652"/>
    <mergeCell ref="Q2652:R2652"/>
    <mergeCell ref="A2653:B2653"/>
    <mergeCell ref="C2653:D2653"/>
    <mergeCell ref="E2653:I2653"/>
    <mergeCell ref="J2653:M2653"/>
    <mergeCell ref="N2653:P2653"/>
    <mergeCell ref="Q2653:R2653"/>
    <mergeCell ref="A2654:B2654"/>
    <mergeCell ref="C2654:D2654"/>
    <mergeCell ref="E2654:I2654"/>
    <mergeCell ref="J2654:M2654"/>
    <mergeCell ref="N2654:P2654"/>
    <mergeCell ref="Q2654:R2654"/>
    <mergeCell ref="A2655:B2655"/>
    <mergeCell ref="C2655:D2655"/>
    <mergeCell ref="E2655:I2655"/>
    <mergeCell ref="J2655:M2655"/>
    <mergeCell ref="N2655:P2655"/>
    <mergeCell ref="Q2655:R2655"/>
    <mergeCell ref="A2656:B2656"/>
    <mergeCell ref="C2656:D2656"/>
    <mergeCell ref="E2656:I2656"/>
    <mergeCell ref="J2656:M2656"/>
    <mergeCell ref="N2656:P2656"/>
    <mergeCell ref="Q2656:R2656"/>
    <mergeCell ref="A2657:B2657"/>
    <mergeCell ref="C2657:D2657"/>
    <mergeCell ref="E2657:I2657"/>
    <mergeCell ref="J2657:M2657"/>
    <mergeCell ref="N2657:P2657"/>
    <mergeCell ref="Q2657:R2657"/>
    <mergeCell ref="A2658:B2658"/>
    <mergeCell ref="C2658:D2658"/>
    <mergeCell ref="E2658:I2658"/>
    <mergeCell ref="J2658:M2658"/>
    <mergeCell ref="N2658:P2658"/>
    <mergeCell ref="Q2658:R2658"/>
    <mergeCell ref="A2659:B2659"/>
    <mergeCell ref="C2659:D2659"/>
    <mergeCell ref="E2659:I2659"/>
    <mergeCell ref="J2659:M2659"/>
    <mergeCell ref="N2659:P2659"/>
    <mergeCell ref="Q2659:R2659"/>
    <mergeCell ref="A2660:B2660"/>
    <mergeCell ref="C2660:D2660"/>
    <mergeCell ref="E2660:I2660"/>
    <mergeCell ref="J2660:M2660"/>
    <mergeCell ref="N2660:P2660"/>
    <mergeCell ref="Q2660:R2660"/>
    <mergeCell ref="A2661:B2661"/>
    <mergeCell ref="C2661:D2661"/>
    <mergeCell ref="E2661:I2661"/>
    <mergeCell ref="J2661:M2661"/>
    <mergeCell ref="N2661:P2661"/>
    <mergeCell ref="Q2661:R2661"/>
    <mergeCell ref="A2662:B2662"/>
    <mergeCell ref="C2662:D2662"/>
    <mergeCell ref="E2662:I2662"/>
    <mergeCell ref="J2662:M2662"/>
    <mergeCell ref="N2662:P2662"/>
    <mergeCell ref="Q2662:R2662"/>
    <mergeCell ref="A2663:B2663"/>
    <mergeCell ref="C2663:D2663"/>
    <mergeCell ref="E2663:I2663"/>
    <mergeCell ref="J2663:M2663"/>
    <mergeCell ref="N2663:P2663"/>
    <mergeCell ref="Q2663:R2663"/>
    <mergeCell ref="A2664:B2664"/>
    <mergeCell ref="C2664:D2664"/>
    <mergeCell ref="E2664:I2664"/>
    <mergeCell ref="J2664:M2664"/>
    <mergeCell ref="N2664:P2664"/>
    <mergeCell ref="Q2664:R2664"/>
    <mergeCell ref="A2665:B2665"/>
    <mergeCell ref="C2665:D2665"/>
    <mergeCell ref="E2665:I2665"/>
    <mergeCell ref="J2665:M2665"/>
    <mergeCell ref="N2665:P2665"/>
    <mergeCell ref="Q2665:R2665"/>
    <mergeCell ref="A2666:B2666"/>
    <mergeCell ref="C2666:D2666"/>
    <mergeCell ref="E2666:I2666"/>
    <mergeCell ref="J2666:M2666"/>
    <mergeCell ref="N2666:P2666"/>
    <mergeCell ref="Q2666:R2666"/>
    <mergeCell ref="A2667:B2667"/>
    <mergeCell ref="C2667:D2667"/>
    <mergeCell ref="E2667:I2667"/>
    <mergeCell ref="J2667:M2667"/>
    <mergeCell ref="N2667:P2667"/>
    <mergeCell ref="Q2667:R2667"/>
    <mergeCell ref="A2668:B2668"/>
    <mergeCell ref="C2668:D2668"/>
    <mergeCell ref="E2668:I2668"/>
    <mergeCell ref="J2668:M2668"/>
    <mergeCell ref="N2668:P2668"/>
    <mergeCell ref="Q2668:R2668"/>
    <mergeCell ref="A2669:B2669"/>
    <mergeCell ref="C2669:D2669"/>
    <mergeCell ref="E2669:I2669"/>
    <mergeCell ref="J2669:M2669"/>
    <mergeCell ref="N2669:P2669"/>
    <mergeCell ref="Q2669:R2669"/>
    <mergeCell ref="A2670:B2670"/>
    <mergeCell ref="C2670:D2670"/>
    <mergeCell ref="E2670:I2670"/>
    <mergeCell ref="J2670:M2670"/>
    <mergeCell ref="N2670:P2670"/>
    <mergeCell ref="Q2670:R2670"/>
    <mergeCell ref="A2671:B2671"/>
    <mergeCell ref="C2671:D2671"/>
    <mergeCell ref="E2671:I2671"/>
    <mergeCell ref="J2671:M2671"/>
    <mergeCell ref="N2671:P2671"/>
    <mergeCell ref="Q2671:R2671"/>
    <mergeCell ref="A2672:B2672"/>
    <mergeCell ref="C2672:D2672"/>
    <mergeCell ref="E2672:I2672"/>
    <mergeCell ref="J2672:M2672"/>
    <mergeCell ref="N2672:P2672"/>
    <mergeCell ref="Q2672:R2672"/>
    <mergeCell ref="A2673:B2673"/>
    <mergeCell ref="C2673:D2673"/>
    <mergeCell ref="E2673:I2673"/>
    <mergeCell ref="J2673:M2673"/>
    <mergeCell ref="N2673:P2673"/>
    <mergeCell ref="Q2673:R2673"/>
    <mergeCell ref="A2674:B2674"/>
    <mergeCell ref="C2674:D2674"/>
    <mergeCell ref="E2674:I2674"/>
    <mergeCell ref="J2674:M2674"/>
    <mergeCell ref="N2674:P2674"/>
    <mergeCell ref="Q2674:R2674"/>
    <mergeCell ref="A2675:B2675"/>
    <mergeCell ref="C2675:D2675"/>
    <mergeCell ref="E2675:I2675"/>
    <mergeCell ref="J2675:M2675"/>
    <mergeCell ref="N2675:P2675"/>
    <mergeCell ref="Q2675:R2675"/>
    <mergeCell ref="A2676:B2676"/>
    <mergeCell ref="C2676:D2676"/>
    <mergeCell ref="E2676:I2676"/>
    <mergeCell ref="J2676:M2676"/>
    <mergeCell ref="N2676:P2676"/>
    <mergeCell ref="Q2676:R2676"/>
    <mergeCell ref="A2677:B2677"/>
    <mergeCell ref="C2677:D2677"/>
    <mergeCell ref="E2677:I2677"/>
    <mergeCell ref="J2677:M2677"/>
    <mergeCell ref="N2677:P2677"/>
    <mergeCell ref="Q2677:R2677"/>
    <mergeCell ref="A2678:B2678"/>
    <mergeCell ref="C2678:D2678"/>
    <mergeCell ref="E2678:I2678"/>
    <mergeCell ref="J2678:M2678"/>
    <mergeCell ref="N2678:P2678"/>
    <mergeCell ref="Q2678:R2678"/>
    <mergeCell ref="A2679:B2679"/>
    <mergeCell ref="C2679:D2679"/>
    <mergeCell ref="E2679:I2679"/>
    <mergeCell ref="J2679:M2679"/>
    <mergeCell ref="N2679:P2679"/>
    <mergeCell ref="Q2679:R2679"/>
    <mergeCell ref="A2680:B2680"/>
    <mergeCell ref="C2680:D2680"/>
    <mergeCell ref="E2680:I2680"/>
    <mergeCell ref="J2680:M2680"/>
    <mergeCell ref="N2680:P2680"/>
    <mergeCell ref="Q2680:R2680"/>
    <mergeCell ref="A2681:B2681"/>
    <mergeCell ref="C2681:D2681"/>
    <mergeCell ref="E2681:I2681"/>
    <mergeCell ref="J2681:M2681"/>
    <mergeCell ref="N2681:P2681"/>
    <mergeCell ref="Q2681:R2681"/>
    <mergeCell ref="A2682:B2682"/>
    <mergeCell ref="C2682:D2682"/>
    <mergeCell ref="E2682:I2682"/>
    <mergeCell ref="J2682:M2682"/>
    <mergeCell ref="N2682:P2682"/>
    <mergeCell ref="Q2682:R2682"/>
    <mergeCell ref="A2683:B2683"/>
    <mergeCell ref="C2683:D2683"/>
    <mergeCell ref="E2683:I2683"/>
    <mergeCell ref="J2683:M2683"/>
    <mergeCell ref="N2683:P2683"/>
    <mergeCell ref="Q2683:R2683"/>
    <mergeCell ref="A2684:B2684"/>
    <mergeCell ref="C2684:D2684"/>
    <mergeCell ref="E2684:I2684"/>
    <mergeCell ref="J2684:M2684"/>
    <mergeCell ref="N2684:P2684"/>
    <mergeCell ref="Q2684:R2684"/>
    <mergeCell ref="A2685:B2685"/>
    <mergeCell ref="C2685:D2685"/>
    <mergeCell ref="E2685:I2685"/>
    <mergeCell ref="J2685:M2685"/>
    <mergeCell ref="N2685:P2685"/>
    <mergeCell ref="Q2685:R2685"/>
    <mergeCell ref="A2686:B2686"/>
    <mergeCell ref="C2686:D2686"/>
    <mergeCell ref="E2686:I2686"/>
    <mergeCell ref="J2686:M2686"/>
    <mergeCell ref="N2686:P2686"/>
    <mergeCell ref="Q2686:R2686"/>
    <mergeCell ref="A2687:B2687"/>
    <mergeCell ref="C2687:D2687"/>
    <mergeCell ref="E2687:I2687"/>
    <mergeCell ref="J2687:M2687"/>
    <mergeCell ref="N2687:P2687"/>
    <mergeCell ref="Q2687:R2687"/>
    <mergeCell ref="A2688:B2688"/>
    <mergeCell ref="C2688:D2688"/>
    <mergeCell ref="E2688:I2688"/>
    <mergeCell ref="J2688:M2688"/>
    <mergeCell ref="N2688:P2688"/>
    <mergeCell ref="Q2688:R2688"/>
    <mergeCell ref="A2689:B2689"/>
    <mergeCell ref="C2689:D2689"/>
    <mergeCell ref="E2689:I2689"/>
    <mergeCell ref="J2689:M2689"/>
    <mergeCell ref="N2689:P2689"/>
    <mergeCell ref="Q2689:R2689"/>
    <mergeCell ref="A2690:B2690"/>
    <mergeCell ref="C2690:D2690"/>
    <mergeCell ref="E2690:I2690"/>
    <mergeCell ref="J2690:M2690"/>
    <mergeCell ref="N2690:P2690"/>
    <mergeCell ref="Q2690:R2690"/>
    <mergeCell ref="A2691:B2691"/>
    <mergeCell ref="C2691:D2691"/>
    <mergeCell ref="E2691:I2691"/>
    <mergeCell ref="J2691:M2691"/>
    <mergeCell ref="N2691:P2691"/>
    <mergeCell ref="Q2691:R2691"/>
    <mergeCell ref="A2692:B2692"/>
    <mergeCell ref="C2692:D2692"/>
    <mergeCell ref="E2692:I2692"/>
    <mergeCell ref="J2692:M2692"/>
    <mergeCell ref="N2692:P2692"/>
    <mergeCell ref="Q2692:R2692"/>
    <mergeCell ref="A2693:B2693"/>
    <mergeCell ref="C2693:D2693"/>
    <mergeCell ref="E2693:I2693"/>
    <mergeCell ref="J2693:M2693"/>
    <mergeCell ref="N2693:P2693"/>
    <mergeCell ref="Q2693:R2693"/>
    <mergeCell ref="A2694:B2694"/>
    <mergeCell ref="C2694:D2694"/>
    <mergeCell ref="E2694:I2694"/>
    <mergeCell ref="J2694:M2694"/>
    <mergeCell ref="N2694:P2694"/>
    <mergeCell ref="Q2694:R2694"/>
    <mergeCell ref="A2695:B2695"/>
    <mergeCell ref="C2695:D2695"/>
    <mergeCell ref="E2695:I2695"/>
    <mergeCell ref="J2695:M2695"/>
    <mergeCell ref="N2695:P2695"/>
    <mergeCell ref="Q2695:R2695"/>
    <mergeCell ref="A2696:B2696"/>
    <mergeCell ref="C2696:D2696"/>
    <mergeCell ref="E2696:I2696"/>
    <mergeCell ref="J2696:M2696"/>
    <mergeCell ref="N2696:P2696"/>
    <mergeCell ref="Q2696:R2696"/>
    <mergeCell ref="A2697:B2697"/>
    <mergeCell ref="C2697:D2697"/>
    <mergeCell ref="E2697:I2697"/>
    <mergeCell ref="J2697:M2697"/>
    <mergeCell ref="N2697:P2697"/>
    <mergeCell ref="Q2697:R2697"/>
    <mergeCell ref="A2698:B2698"/>
    <mergeCell ref="C2698:D2698"/>
    <mergeCell ref="E2698:I2698"/>
    <mergeCell ref="J2698:M2698"/>
    <mergeCell ref="N2698:P2698"/>
    <mergeCell ref="Q2698:R2698"/>
    <mergeCell ref="A2699:B2699"/>
    <mergeCell ref="C2699:D2699"/>
    <mergeCell ref="E2699:I2699"/>
    <mergeCell ref="J2699:M2699"/>
    <mergeCell ref="N2699:P2699"/>
    <mergeCell ref="Q2699:R2699"/>
    <mergeCell ref="A2700:B2700"/>
    <mergeCell ref="C2700:D2700"/>
    <mergeCell ref="E2700:I2700"/>
    <mergeCell ref="J2700:M2700"/>
    <mergeCell ref="N2700:P2700"/>
    <mergeCell ref="Q2700:R2700"/>
    <mergeCell ref="A2701:B2701"/>
    <mergeCell ref="C2701:D2701"/>
    <mergeCell ref="E2701:I2701"/>
    <mergeCell ref="J2701:M2701"/>
    <mergeCell ref="N2701:P2701"/>
    <mergeCell ref="Q2701:R2701"/>
    <mergeCell ref="A2702:B2702"/>
    <mergeCell ref="C2702:D2702"/>
    <mergeCell ref="E2702:I2702"/>
    <mergeCell ref="J2702:M2702"/>
    <mergeCell ref="N2702:P2702"/>
    <mergeCell ref="Q2702:R2702"/>
    <mergeCell ref="A2703:B2703"/>
    <mergeCell ref="C2703:D2703"/>
    <mergeCell ref="E2703:I2703"/>
    <mergeCell ref="J2703:M2703"/>
    <mergeCell ref="N2703:P2703"/>
    <mergeCell ref="Q2703:R2703"/>
    <mergeCell ref="A2704:B2704"/>
    <mergeCell ref="C2704:D2704"/>
    <mergeCell ref="E2704:I2704"/>
    <mergeCell ref="J2704:M2704"/>
    <mergeCell ref="N2704:P2704"/>
    <mergeCell ref="Q2704:R2704"/>
    <mergeCell ref="A2705:B2705"/>
    <mergeCell ref="C2705:D2705"/>
    <mergeCell ref="E2705:I2705"/>
    <mergeCell ref="J2705:M2705"/>
    <mergeCell ref="N2705:P2705"/>
    <mergeCell ref="Q2705:R2705"/>
    <mergeCell ref="A2706:B2706"/>
    <mergeCell ref="C2706:D2706"/>
    <mergeCell ref="E2706:I2706"/>
    <mergeCell ref="J2706:M2706"/>
    <mergeCell ref="N2706:P2706"/>
    <mergeCell ref="Q2706:R2706"/>
    <mergeCell ref="A2707:B2707"/>
    <mergeCell ref="C2707:D2707"/>
    <mergeCell ref="E2707:I2707"/>
    <mergeCell ref="J2707:M2707"/>
    <mergeCell ref="N2707:P2707"/>
    <mergeCell ref="Q2707:R2707"/>
    <mergeCell ref="A2708:B2708"/>
    <mergeCell ref="C2708:D2708"/>
    <mergeCell ref="E2708:I2708"/>
    <mergeCell ref="J2708:M2708"/>
    <mergeCell ref="N2708:P2708"/>
    <mergeCell ref="Q2708:R2708"/>
    <mergeCell ref="A2709:B2709"/>
    <mergeCell ref="C2709:D2709"/>
    <mergeCell ref="E2709:I2709"/>
    <mergeCell ref="J2709:M2709"/>
    <mergeCell ref="N2709:P2709"/>
    <mergeCell ref="Q2709:R2709"/>
    <mergeCell ref="A2710:B2710"/>
    <mergeCell ref="C2710:D2710"/>
    <mergeCell ref="E2710:I2710"/>
    <mergeCell ref="J2710:M2710"/>
    <mergeCell ref="N2710:P2710"/>
    <mergeCell ref="Q2710:R2710"/>
    <mergeCell ref="A2711:B2711"/>
    <mergeCell ref="C2711:D2711"/>
    <mergeCell ref="E2711:I2711"/>
    <mergeCell ref="J2711:M2711"/>
    <mergeCell ref="N2711:P2711"/>
    <mergeCell ref="Q2711:R2711"/>
    <mergeCell ref="A2712:B2712"/>
    <mergeCell ref="C2712:D2712"/>
    <mergeCell ref="E2712:I2712"/>
    <mergeCell ref="J2712:M2712"/>
    <mergeCell ref="N2712:P2712"/>
    <mergeCell ref="Q2712:R2712"/>
    <mergeCell ref="A2713:B2713"/>
    <mergeCell ref="C2713:D2713"/>
    <mergeCell ref="E2713:I2713"/>
    <mergeCell ref="J2713:M2713"/>
    <mergeCell ref="N2713:P2713"/>
    <mergeCell ref="Q2713:R2713"/>
    <mergeCell ref="A2714:B2714"/>
    <mergeCell ref="C2714:D2714"/>
    <mergeCell ref="E2714:I2714"/>
    <mergeCell ref="J2714:M2714"/>
    <mergeCell ref="N2714:P2714"/>
    <mergeCell ref="Q2714:R2714"/>
    <mergeCell ref="A2715:B2715"/>
    <mergeCell ref="C2715:D2715"/>
    <mergeCell ref="E2715:I2715"/>
    <mergeCell ref="J2715:M2715"/>
    <mergeCell ref="N2715:P2715"/>
    <mergeCell ref="Q2715:R2715"/>
    <mergeCell ref="A2716:B2716"/>
    <mergeCell ref="C2716:D2716"/>
    <mergeCell ref="E2716:I2716"/>
    <mergeCell ref="J2716:M2716"/>
    <mergeCell ref="N2716:P2716"/>
    <mergeCell ref="Q2716:R2716"/>
    <mergeCell ref="A2717:B2717"/>
    <mergeCell ref="C2717:D2717"/>
    <mergeCell ref="E2717:I2717"/>
    <mergeCell ref="J2717:M2717"/>
    <mergeCell ref="N2717:P2717"/>
    <mergeCell ref="Q2717:R2717"/>
    <mergeCell ref="A2718:B2718"/>
    <mergeCell ref="C2718:D2718"/>
    <mergeCell ref="E2718:I2718"/>
    <mergeCell ref="J2718:M2718"/>
    <mergeCell ref="N2718:P2718"/>
    <mergeCell ref="Q2718:R2718"/>
    <mergeCell ref="A2719:B2719"/>
    <mergeCell ref="C2719:D2719"/>
    <mergeCell ref="E2719:I2719"/>
    <mergeCell ref="J2719:M2719"/>
    <mergeCell ref="N2719:P2719"/>
    <mergeCell ref="Q2719:R2719"/>
    <mergeCell ref="A2720:B2720"/>
    <mergeCell ref="C2720:D2720"/>
    <mergeCell ref="E2720:I2720"/>
    <mergeCell ref="J2720:M2720"/>
    <mergeCell ref="N2720:P2720"/>
    <mergeCell ref="Q2720:R2720"/>
    <mergeCell ref="A2721:B2721"/>
    <mergeCell ref="C2721:D2721"/>
    <mergeCell ref="E2721:I2721"/>
    <mergeCell ref="J2721:M2721"/>
    <mergeCell ref="N2721:P2721"/>
    <mergeCell ref="Q2721:R2721"/>
    <mergeCell ref="A2722:B2722"/>
    <mergeCell ref="C2722:D2722"/>
    <mergeCell ref="E2722:I2722"/>
    <mergeCell ref="J2722:M2722"/>
    <mergeCell ref="N2722:P2722"/>
    <mergeCell ref="Q2722:R2722"/>
    <mergeCell ref="A2723:B2723"/>
    <mergeCell ref="C2723:D2723"/>
    <mergeCell ref="E2723:I2723"/>
    <mergeCell ref="J2723:M2723"/>
    <mergeCell ref="N2723:P2723"/>
    <mergeCell ref="Q2723:R2723"/>
    <mergeCell ref="A2724:B2724"/>
    <mergeCell ref="C2724:D2724"/>
    <mergeCell ref="E2724:I2724"/>
    <mergeCell ref="J2724:M2724"/>
    <mergeCell ref="N2724:P2724"/>
    <mergeCell ref="Q2724:R2724"/>
    <mergeCell ref="A2725:B2725"/>
    <mergeCell ref="C2725:D2725"/>
    <mergeCell ref="E2725:I2725"/>
    <mergeCell ref="J2725:M2725"/>
    <mergeCell ref="N2725:P2725"/>
    <mergeCell ref="Q2725:R2725"/>
    <mergeCell ref="A2726:B2726"/>
    <mergeCell ref="C2726:D2726"/>
    <mergeCell ref="E2726:I2726"/>
    <mergeCell ref="J2726:M2726"/>
    <mergeCell ref="N2726:P2726"/>
    <mergeCell ref="Q2726:R2726"/>
    <mergeCell ref="A2727:B2727"/>
    <mergeCell ref="C2727:D2727"/>
    <mergeCell ref="E2727:I2727"/>
    <mergeCell ref="J2727:M2727"/>
    <mergeCell ref="N2727:P2727"/>
    <mergeCell ref="Q2727:R2727"/>
    <mergeCell ref="A2728:B2728"/>
    <mergeCell ref="C2728:D2728"/>
    <mergeCell ref="E2728:I2728"/>
    <mergeCell ref="J2728:M2728"/>
    <mergeCell ref="N2728:P2728"/>
    <mergeCell ref="Q2728:R2728"/>
    <mergeCell ref="A2729:B2729"/>
    <mergeCell ref="C2729:D2729"/>
    <mergeCell ref="E2729:I2729"/>
    <mergeCell ref="J2729:M2729"/>
    <mergeCell ref="N2729:P2729"/>
    <mergeCell ref="Q2729:R2729"/>
    <mergeCell ref="A2730:B2730"/>
    <mergeCell ref="C2730:D2730"/>
    <mergeCell ref="E2730:I2730"/>
    <mergeCell ref="J2730:M2730"/>
    <mergeCell ref="N2730:P2730"/>
    <mergeCell ref="Q2730:R2730"/>
    <mergeCell ref="A2731:B2731"/>
    <mergeCell ref="C2731:D2731"/>
    <mergeCell ref="E2731:I2731"/>
    <mergeCell ref="J2731:M2731"/>
    <mergeCell ref="N2731:P2731"/>
    <mergeCell ref="Q2731:R2731"/>
    <mergeCell ref="A2732:B2732"/>
    <mergeCell ref="C2732:D2732"/>
    <mergeCell ref="E2732:I2732"/>
    <mergeCell ref="J2732:M2732"/>
    <mergeCell ref="N2732:P2732"/>
    <mergeCell ref="Q2732:R2732"/>
    <mergeCell ref="A2733:B2733"/>
    <mergeCell ref="C2733:D2733"/>
    <mergeCell ref="E2733:I2733"/>
    <mergeCell ref="J2733:M2733"/>
    <mergeCell ref="N2733:P2733"/>
    <mergeCell ref="Q2733:R2733"/>
    <mergeCell ref="A2734:B2734"/>
    <mergeCell ref="C2734:D2734"/>
    <mergeCell ref="E2734:I2734"/>
    <mergeCell ref="J2734:M2734"/>
    <mergeCell ref="N2734:P2734"/>
    <mergeCell ref="Q2734:R2734"/>
    <mergeCell ref="A2735:B2735"/>
    <mergeCell ref="C2735:D2735"/>
    <mergeCell ref="E2735:I2735"/>
    <mergeCell ref="J2735:M2735"/>
    <mergeCell ref="N2735:P2735"/>
    <mergeCell ref="Q2735:R2735"/>
    <mergeCell ref="A2736:B2736"/>
    <mergeCell ref="C2736:D2736"/>
    <mergeCell ref="E2736:I2736"/>
    <mergeCell ref="J2736:M2736"/>
    <mergeCell ref="N2736:P2736"/>
    <mergeCell ref="Q2736:R2736"/>
    <mergeCell ref="A2737:B2737"/>
    <mergeCell ref="C2737:D2737"/>
    <mergeCell ref="E2737:I2737"/>
    <mergeCell ref="J2737:M2737"/>
    <mergeCell ref="N2737:P2737"/>
    <mergeCell ref="Q2737:R2737"/>
    <mergeCell ref="A2738:B2738"/>
    <mergeCell ref="C2738:D2738"/>
    <mergeCell ref="E2738:I2738"/>
    <mergeCell ref="J2738:M2738"/>
    <mergeCell ref="N2738:P2738"/>
    <mergeCell ref="Q2738:R2738"/>
    <mergeCell ref="A2739:B2739"/>
    <mergeCell ref="C2739:D2739"/>
    <mergeCell ref="E2739:I2739"/>
    <mergeCell ref="J2739:M2739"/>
    <mergeCell ref="N2739:P2739"/>
    <mergeCell ref="Q2739:R2739"/>
    <mergeCell ref="A2740:B2740"/>
    <mergeCell ref="C2740:D2740"/>
    <mergeCell ref="E2740:I2740"/>
    <mergeCell ref="J2740:M2740"/>
    <mergeCell ref="N2740:P2740"/>
    <mergeCell ref="Q2740:R2740"/>
    <mergeCell ref="A2741:B2741"/>
    <mergeCell ref="C2741:D2741"/>
    <mergeCell ref="E2741:I2741"/>
    <mergeCell ref="J2741:M2741"/>
    <mergeCell ref="N2741:P2741"/>
    <mergeCell ref="Q2741:R2741"/>
    <mergeCell ref="A2742:B2742"/>
    <mergeCell ref="C2742:D2742"/>
    <mergeCell ref="E2742:I2742"/>
    <mergeCell ref="J2742:M2742"/>
    <mergeCell ref="N2742:P2742"/>
    <mergeCell ref="Q2742:R2742"/>
    <mergeCell ref="A2743:B2743"/>
    <mergeCell ref="C2743:D2743"/>
    <mergeCell ref="E2743:I2743"/>
    <mergeCell ref="J2743:M2743"/>
    <mergeCell ref="N2743:P2743"/>
    <mergeCell ref="Q2743:R2743"/>
    <mergeCell ref="A2744:B2744"/>
    <mergeCell ref="C2744:D2744"/>
    <mergeCell ref="E2744:I2744"/>
    <mergeCell ref="J2744:M2744"/>
    <mergeCell ref="N2744:P2744"/>
    <mergeCell ref="Q2744:R2744"/>
    <mergeCell ref="A2745:B2745"/>
    <mergeCell ref="C2745:D2745"/>
    <mergeCell ref="E2745:I2745"/>
    <mergeCell ref="J2745:M2745"/>
    <mergeCell ref="N2745:P2745"/>
    <mergeCell ref="Q2745:R2745"/>
    <mergeCell ref="A2746:B2746"/>
    <mergeCell ref="C2746:D2746"/>
    <mergeCell ref="E2746:I2746"/>
    <mergeCell ref="J2746:M2746"/>
    <mergeCell ref="N2746:P2746"/>
    <mergeCell ref="Q2746:R2746"/>
    <mergeCell ref="A2747:B2747"/>
    <mergeCell ref="C2747:D2747"/>
    <mergeCell ref="E2747:I2747"/>
    <mergeCell ref="J2747:M2747"/>
    <mergeCell ref="N2747:P2747"/>
    <mergeCell ref="Q2747:R2747"/>
    <mergeCell ref="A2748:B2748"/>
    <mergeCell ref="C2748:D2748"/>
    <mergeCell ref="E2748:I2748"/>
    <mergeCell ref="J2748:M2748"/>
    <mergeCell ref="N2748:P2748"/>
    <mergeCell ref="Q2748:R2748"/>
    <mergeCell ref="A2749:B2749"/>
    <mergeCell ref="C2749:D2749"/>
    <mergeCell ref="E2749:I2749"/>
    <mergeCell ref="J2749:M2749"/>
    <mergeCell ref="N2749:P2749"/>
    <mergeCell ref="Q2749:R2749"/>
    <mergeCell ref="A2750:B2750"/>
    <mergeCell ref="C2750:D2750"/>
    <mergeCell ref="E2750:I2750"/>
    <mergeCell ref="J2750:M2750"/>
    <mergeCell ref="N2750:P2750"/>
    <mergeCell ref="Q2750:R2750"/>
    <mergeCell ref="A2751:B2751"/>
    <mergeCell ref="C2751:D2751"/>
    <mergeCell ref="E2751:I2751"/>
    <mergeCell ref="J2751:M2751"/>
    <mergeCell ref="N2751:P2751"/>
    <mergeCell ref="Q2751:R2751"/>
    <mergeCell ref="A2752:B2752"/>
    <mergeCell ref="C2752:D2752"/>
    <mergeCell ref="E2752:I2752"/>
    <mergeCell ref="J2752:M2752"/>
    <mergeCell ref="N2752:P2752"/>
    <mergeCell ref="Q2752:R2752"/>
    <mergeCell ref="A2753:B2753"/>
    <mergeCell ref="C2753:D2753"/>
    <mergeCell ref="E2753:I2753"/>
    <mergeCell ref="J2753:M2753"/>
    <mergeCell ref="N2753:P2753"/>
    <mergeCell ref="Q2753:R2753"/>
    <mergeCell ref="A2754:B2754"/>
    <mergeCell ref="C2754:D2754"/>
    <mergeCell ref="E2754:I2754"/>
    <mergeCell ref="J2754:M2754"/>
    <mergeCell ref="N2754:P2754"/>
    <mergeCell ref="Q2754:R2754"/>
    <mergeCell ref="A2755:B2755"/>
    <mergeCell ref="C2755:D2755"/>
    <mergeCell ref="E2755:I2755"/>
    <mergeCell ref="J2755:M2755"/>
    <mergeCell ref="N2755:P2755"/>
    <mergeCell ref="Q2755:R2755"/>
    <mergeCell ref="A2756:B2756"/>
    <mergeCell ref="C2756:D2756"/>
    <mergeCell ref="E2756:I2756"/>
    <mergeCell ref="J2756:M2756"/>
    <mergeCell ref="N2756:P2756"/>
    <mergeCell ref="Q2756:R2756"/>
    <mergeCell ref="A2757:B2757"/>
    <mergeCell ref="C2757:D2757"/>
    <mergeCell ref="E2757:I2757"/>
    <mergeCell ref="J2757:M2757"/>
    <mergeCell ref="N2757:P2757"/>
    <mergeCell ref="Q2757:R2757"/>
    <mergeCell ref="A2758:B2758"/>
    <mergeCell ref="C2758:D2758"/>
    <mergeCell ref="E2758:I2758"/>
    <mergeCell ref="J2758:M2758"/>
    <mergeCell ref="N2758:P2758"/>
    <mergeCell ref="Q2758:R2758"/>
    <mergeCell ref="A2759:B2759"/>
    <mergeCell ref="C2759:D2759"/>
    <mergeCell ref="E2759:I2759"/>
    <mergeCell ref="J2759:M2759"/>
    <mergeCell ref="N2759:P2759"/>
    <mergeCell ref="Q2759:R2759"/>
    <mergeCell ref="A2760:B2760"/>
    <mergeCell ref="C2760:D2760"/>
    <mergeCell ref="E2760:I2760"/>
    <mergeCell ref="J2760:M2760"/>
    <mergeCell ref="N2760:P2760"/>
    <mergeCell ref="Q2760:R2760"/>
    <mergeCell ref="A2761:B2761"/>
    <mergeCell ref="C2761:D2761"/>
    <mergeCell ref="E2761:I2761"/>
    <mergeCell ref="J2761:M2761"/>
    <mergeCell ref="N2761:P2761"/>
    <mergeCell ref="Q2761:R2761"/>
    <mergeCell ref="A2762:B2762"/>
    <mergeCell ref="C2762:D2762"/>
    <mergeCell ref="E2762:I2762"/>
    <mergeCell ref="J2762:M2762"/>
    <mergeCell ref="N2762:P2762"/>
    <mergeCell ref="Q2762:R2762"/>
    <mergeCell ref="A2763:B2763"/>
    <mergeCell ref="C2763:D2763"/>
    <mergeCell ref="E2763:I2763"/>
    <mergeCell ref="J2763:M2763"/>
    <mergeCell ref="N2763:P2763"/>
    <mergeCell ref="Q2763:R2763"/>
    <mergeCell ref="A2764:B2764"/>
    <mergeCell ref="C2764:D2764"/>
    <mergeCell ref="E2764:I2764"/>
    <mergeCell ref="J2764:M2764"/>
    <mergeCell ref="N2764:P2764"/>
    <mergeCell ref="Q2764:R2764"/>
    <mergeCell ref="A2765:B2765"/>
    <mergeCell ref="C2765:D2765"/>
    <mergeCell ref="E2765:I2765"/>
    <mergeCell ref="J2765:M2765"/>
    <mergeCell ref="N2765:P2765"/>
    <mergeCell ref="Q2765:R2765"/>
    <mergeCell ref="A2766:B2766"/>
    <mergeCell ref="C2766:D2766"/>
    <mergeCell ref="E2766:I2766"/>
    <mergeCell ref="J2766:M2766"/>
    <mergeCell ref="N2766:P2766"/>
    <mergeCell ref="Q2766:R2766"/>
    <mergeCell ref="A2767:B2767"/>
    <mergeCell ref="C2767:D2767"/>
    <mergeCell ref="E2767:I2767"/>
    <mergeCell ref="J2767:M2767"/>
    <mergeCell ref="N2767:P2767"/>
    <mergeCell ref="Q2767:R2767"/>
    <mergeCell ref="A2768:B2768"/>
    <mergeCell ref="C2768:D2768"/>
    <mergeCell ref="E2768:I2768"/>
    <mergeCell ref="J2768:M2768"/>
    <mergeCell ref="N2768:P2768"/>
    <mergeCell ref="Q2768:R2768"/>
    <mergeCell ref="A2769:B2769"/>
    <mergeCell ref="C2769:D2769"/>
    <mergeCell ref="E2769:I2769"/>
    <mergeCell ref="J2769:M2769"/>
    <mergeCell ref="N2769:P2769"/>
    <mergeCell ref="Q2769:R2769"/>
    <mergeCell ref="A2770:B2770"/>
    <mergeCell ref="C2770:D2770"/>
    <mergeCell ref="E2770:I2770"/>
    <mergeCell ref="J2770:M2770"/>
    <mergeCell ref="N2770:P2770"/>
    <mergeCell ref="Q2770:R2770"/>
    <mergeCell ref="A2771:B2771"/>
    <mergeCell ref="C2771:D2771"/>
    <mergeCell ref="E2771:I2771"/>
    <mergeCell ref="J2771:M2771"/>
    <mergeCell ref="N2771:P2771"/>
    <mergeCell ref="Q2771:R2771"/>
    <mergeCell ref="A2772:B2772"/>
    <mergeCell ref="C2772:D2772"/>
    <mergeCell ref="E2772:I2772"/>
    <mergeCell ref="J2772:M2772"/>
    <mergeCell ref="N2772:P2772"/>
    <mergeCell ref="Q2772:R2772"/>
    <mergeCell ref="A2773:B2773"/>
    <mergeCell ref="C2773:D2773"/>
    <mergeCell ref="E2773:I2773"/>
    <mergeCell ref="J2773:M2773"/>
    <mergeCell ref="N2773:P2773"/>
    <mergeCell ref="Q2773:R2773"/>
    <mergeCell ref="A2774:B2774"/>
    <mergeCell ref="C2774:D2774"/>
    <mergeCell ref="E2774:I2774"/>
    <mergeCell ref="J2774:M2774"/>
    <mergeCell ref="N2774:P2774"/>
    <mergeCell ref="Q2774:R2774"/>
    <mergeCell ref="A2775:B2775"/>
    <mergeCell ref="C2775:D2775"/>
    <mergeCell ref="E2775:I2775"/>
    <mergeCell ref="J2775:M2775"/>
    <mergeCell ref="N2775:P2775"/>
    <mergeCell ref="Q2775:R2775"/>
    <mergeCell ref="A2776:B2776"/>
    <mergeCell ref="C2776:D2776"/>
    <mergeCell ref="E2776:I2776"/>
    <mergeCell ref="J2776:M2776"/>
    <mergeCell ref="N2776:P2776"/>
    <mergeCell ref="Q2776:R2776"/>
    <mergeCell ref="A2777:B2777"/>
    <mergeCell ref="C2777:D2777"/>
    <mergeCell ref="E2777:I2777"/>
    <mergeCell ref="J2777:M2777"/>
    <mergeCell ref="N2777:P2777"/>
    <mergeCell ref="Q2777:R2777"/>
    <mergeCell ref="A2778:B2778"/>
    <mergeCell ref="C2778:D2778"/>
    <mergeCell ref="E2778:I2778"/>
    <mergeCell ref="J2778:M2778"/>
    <mergeCell ref="N2778:P2778"/>
    <mergeCell ref="Q2778:R2778"/>
    <mergeCell ref="A2779:B2779"/>
    <mergeCell ref="C2779:D2779"/>
    <mergeCell ref="E2779:I2779"/>
    <mergeCell ref="J2779:M2779"/>
    <mergeCell ref="N2779:P2779"/>
    <mergeCell ref="Q2779:R2779"/>
    <mergeCell ref="A2780:B2780"/>
    <mergeCell ref="C2780:D2780"/>
    <mergeCell ref="E2780:I2780"/>
    <mergeCell ref="J2780:M2780"/>
    <mergeCell ref="N2780:P2780"/>
    <mergeCell ref="Q2780:R2780"/>
    <mergeCell ref="A2781:B2781"/>
    <mergeCell ref="C2781:D2781"/>
    <mergeCell ref="E2781:I2781"/>
    <mergeCell ref="J2781:M2781"/>
    <mergeCell ref="N2781:P2781"/>
    <mergeCell ref="Q2781:R2781"/>
    <mergeCell ref="A2782:B2782"/>
    <mergeCell ref="C2782:D2782"/>
    <mergeCell ref="E2782:I2782"/>
    <mergeCell ref="J2782:M2782"/>
    <mergeCell ref="N2782:P2782"/>
    <mergeCell ref="Q2782:R2782"/>
    <mergeCell ref="A2783:B2783"/>
    <mergeCell ref="C2783:D2783"/>
    <mergeCell ref="E2783:I2783"/>
    <mergeCell ref="J2783:M2783"/>
    <mergeCell ref="N2783:P2783"/>
    <mergeCell ref="Q2783:R2783"/>
    <mergeCell ref="A2784:B2784"/>
    <mergeCell ref="C2784:D2784"/>
    <mergeCell ref="E2784:I2784"/>
    <mergeCell ref="J2784:M2784"/>
    <mergeCell ref="N2784:P2784"/>
    <mergeCell ref="Q2784:R2784"/>
    <mergeCell ref="A2785:B2785"/>
    <mergeCell ref="C2785:D2785"/>
    <mergeCell ref="E2785:I2785"/>
    <mergeCell ref="J2785:M2785"/>
    <mergeCell ref="N2785:P2785"/>
    <mergeCell ref="Q2785:R2785"/>
    <mergeCell ref="A2786:B2786"/>
    <mergeCell ref="C2786:D2786"/>
    <mergeCell ref="E2786:I2786"/>
    <mergeCell ref="J2786:M2786"/>
    <mergeCell ref="N2786:P2786"/>
    <mergeCell ref="Q2786:R2786"/>
    <mergeCell ref="A2787:B2787"/>
    <mergeCell ref="C2787:D2787"/>
    <mergeCell ref="E2787:I2787"/>
    <mergeCell ref="J2787:M2787"/>
    <mergeCell ref="N2787:P2787"/>
    <mergeCell ref="Q2787:R2787"/>
    <mergeCell ref="A2788:B2788"/>
    <mergeCell ref="C2788:D2788"/>
    <mergeCell ref="E2788:I2788"/>
    <mergeCell ref="J2788:M2788"/>
    <mergeCell ref="N2788:P2788"/>
    <mergeCell ref="Q2788:R2788"/>
    <mergeCell ref="A2789:B2789"/>
    <mergeCell ref="C2789:D2789"/>
    <mergeCell ref="E2789:I2789"/>
    <mergeCell ref="J2789:M2789"/>
    <mergeCell ref="N2789:P2789"/>
    <mergeCell ref="Q2789:R2789"/>
    <mergeCell ref="A2790:B2790"/>
    <mergeCell ref="C2790:D2790"/>
    <mergeCell ref="E2790:I2790"/>
    <mergeCell ref="J2790:M2790"/>
    <mergeCell ref="N2790:P2790"/>
    <mergeCell ref="Q2790:R2790"/>
    <mergeCell ref="A2791:B2791"/>
    <mergeCell ref="C2791:D2791"/>
    <mergeCell ref="E2791:I2791"/>
    <mergeCell ref="J2791:M2791"/>
    <mergeCell ref="N2791:P2791"/>
    <mergeCell ref="Q2791:R2791"/>
    <mergeCell ref="A2792:B2792"/>
    <mergeCell ref="C2792:D2792"/>
    <mergeCell ref="E2792:I2792"/>
    <mergeCell ref="J2792:M2792"/>
    <mergeCell ref="N2792:P2792"/>
    <mergeCell ref="Q2792:R2792"/>
    <mergeCell ref="A2793:B2793"/>
    <mergeCell ref="C2793:D2793"/>
    <mergeCell ref="E2793:I2793"/>
    <mergeCell ref="J2793:M2793"/>
    <mergeCell ref="N2793:P2793"/>
    <mergeCell ref="Q2793:R2793"/>
    <mergeCell ref="A2794:B2794"/>
    <mergeCell ref="C2794:D2794"/>
    <mergeCell ref="E2794:I2794"/>
    <mergeCell ref="J2794:M2794"/>
    <mergeCell ref="N2794:P2794"/>
    <mergeCell ref="Q2794:R2794"/>
    <mergeCell ref="A2795:B2795"/>
    <mergeCell ref="C2795:D2795"/>
    <mergeCell ref="E2795:I2795"/>
    <mergeCell ref="J2795:M2795"/>
    <mergeCell ref="N2795:P2795"/>
    <mergeCell ref="Q2795:R2795"/>
    <mergeCell ref="A2796:B2796"/>
    <mergeCell ref="C2796:D2796"/>
    <mergeCell ref="E2796:I2796"/>
    <mergeCell ref="J2796:M2796"/>
    <mergeCell ref="N2796:P2796"/>
    <mergeCell ref="Q2796:R2796"/>
    <mergeCell ref="A2797:B2797"/>
    <mergeCell ref="C2797:D2797"/>
    <mergeCell ref="E2797:I2797"/>
    <mergeCell ref="J2797:M2797"/>
    <mergeCell ref="N2797:P2797"/>
    <mergeCell ref="Q2797:R2797"/>
    <mergeCell ref="A2798:B2798"/>
    <mergeCell ref="C2798:D2798"/>
    <mergeCell ref="E2798:I2798"/>
    <mergeCell ref="J2798:M2798"/>
    <mergeCell ref="N2798:P2798"/>
    <mergeCell ref="Q2798:R2798"/>
    <mergeCell ref="A2799:B2799"/>
    <mergeCell ref="C2799:D2799"/>
    <mergeCell ref="E2799:I2799"/>
    <mergeCell ref="J2799:M2799"/>
    <mergeCell ref="N2799:P2799"/>
    <mergeCell ref="Q2799:R2799"/>
    <mergeCell ref="A2800:B2800"/>
    <mergeCell ref="C2800:D2800"/>
    <mergeCell ref="E2800:I2800"/>
    <mergeCell ref="J2800:M2800"/>
    <mergeCell ref="N2800:P2800"/>
    <mergeCell ref="Q2800:R2800"/>
    <mergeCell ref="A2801:B2801"/>
    <mergeCell ref="C2801:D2801"/>
    <mergeCell ref="E2801:I2801"/>
    <mergeCell ref="J2801:M2801"/>
    <mergeCell ref="N2801:P2801"/>
    <mergeCell ref="Q2801:R2801"/>
    <mergeCell ref="A2802:B2802"/>
    <mergeCell ref="C2802:D2802"/>
    <mergeCell ref="E2802:I2802"/>
    <mergeCell ref="J2802:M2802"/>
    <mergeCell ref="N2802:P2802"/>
    <mergeCell ref="Q2802:R2802"/>
    <mergeCell ref="A2803:B2803"/>
    <mergeCell ref="C2803:D2803"/>
    <mergeCell ref="E2803:I2803"/>
    <mergeCell ref="J2803:M2803"/>
    <mergeCell ref="N2803:P2803"/>
    <mergeCell ref="Q2803:R2803"/>
    <mergeCell ref="A2804:B2804"/>
    <mergeCell ref="C2804:D2804"/>
    <mergeCell ref="E2804:I2804"/>
    <mergeCell ref="J2804:M2804"/>
    <mergeCell ref="N2804:P2804"/>
    <mergeCell ref="Q2804:R2804"/>
    <mergeCell ref="A2805:B2805"/>
    <mergeCell ref="C2805:D2805"/>
    <mergeCell ref="E2805:I2805"/>
    <mergeCell ref="J2805:M2805"/>
    <mergeCell ref="N2805:P2805"/>
    <mergeCell ref="Q2805:R2805"/>
    <mergeCell ref="A2806:B2806"/>
    <mergeCell ref="C2806:D2806"/>
    <mergeCell ref="E2806:I2806"/>
    <mergeCell ref="J2806:M2806"/>
    <mergeCell ref="N2806:P2806"/>
    <mergeCell ref="Q2806:R2806"/>
    <mergeCell ref="A2807:B2807"/>
    <mergeCell ref="C2807:D2807"/>
    <mergeCell ref="E2807:I2807"/>
    <mergeCell ref="J2807:M2807"/>
    <mergeCell ref="N2807:P2807"/>
    <mergeCell ref="Q2807:R2807"/>
    <mergeCell ref="A2808:B2808"/>
    <mergeCell ref="C2808:D2808"/>
    <mergeCell ref="E2808:I2808"/>
    <mergeCell ref="J2808:M2808"/>
    <mergeCell ref="N2808:P2808"/>
    <mergeCell ref="Q2808:R2808"/>
    <mergeCell ref="A2809:B2809"/>
    <mergeCell ref="C2809:D2809"/>
    <mergeCell ref="E2809:I2809"/>
    <mergeCell ref="J2809:M2809"/>
    <mergeCell ref="N2809:P2809"/>
    <mergeCell ref="Q2809:R2809"/>
    <mergeCell ref="A2810:B2810"/>
    <mergeCell ref="C2810:D2810"/>
    <mergeCell ref="E2810:I2810"/>
    <mergeCell ref="J2810:M2810"/>
    <mergeCell ref="N2810:P2810"/>
    <mergeCell ref="Q2810:R2810"/>
    <mergeCell ref="A2811:B2811"/>
    <mergeCell ref="C2811:D2811"/>
    <mergeCell ref="E2811:I2811"/>
    <mergeCell ref="J2811:M2811"/>
    <mergeCell ref="N2811:P2811"/>
    <mergeCell ref="Q2811:R2811"/>
    <mergeCell ref="A2812:B2812"/>
    <mergeCell ref="C2812:D2812"/>
    <mergeCell ref="E2812:I2812"/>
    <mergeCell ref="J2812:M2812"/>
    <mergeCell ref="N2812:P2812"/>
    <mergeCell ref="Q2812:R2812"/>
    <mergeCell ref="A2813:B2813"/>
    <mergeCell ref="C2813:D2813"/>
    <mergeCell ref="E2813:I2813"/>
    <mergeCell ref="J2813:M2813"/>
    <mergeCell ref="N2813:P2813"/>
    <mergeCell ref="Q2813:R2813"/>
    <mergeCell ref="A2814:B2814"/>
    <mergeCell ref="C2814:D2814"/>
    <mergeCell ref="E2814:I2814"/>
    <mergeCell ref="J2814:M2814"/>
    <mergeCell ref="N2814:P2814"/>
    <mergeCell ref="Q2814:R2814"/>
    <mergeCell ref="A2815:B2815"/>
    <mergeCell ref="C2815:D2815"/>
    <mergeCell ref="E2815:I2815"/>
    <mergeCell ref="J2815:M2815"/>
    <mergeCell ref="N2815:P2815"/>
    <mergeCell ref="Q2815:R2815"/>
    <mergeCell ref="A2816:B2816"/>
    <mergeCell ref="C2816:D2816"/>
    <mergeCell ref="E2816:I2816"/>
    <mergeCell ref="J2816:M2816"/>
    <mergeCell ref="N2816:P2816"/>
    <mergeCell ref="Q2816:R2816"/>
    <mergeCell ref="A2817:B2817"/>
    <mergeCell ref="C2817:D2817"/>
    <mergeCell ref="E2817:I2817"/>
    <mergeCell ref="J2817:M2817"/>
    <mergeCell ref="N2817:P2817"/>
    <mergeCell ref="Q2817:R2817"/>
    <mergeCell ref="A2818:B2818"/>
    <mergeCell ref="C2818:D2818"/>
    <mergeCell ref="E2818:I2818"/>
    <mergeCell ref="J2818:M2818"/>
    <mergeCell ref="N2818:P2818"/>
    <mergeCell ref="Q2818:R2818"/>
    <mergeCell ref="A2819:B2819"/>
    <mergeCell ref="C2819:D2819"/>
    <mergeCell ref="E2819:I2819"/>
    <mergeCell ref="J2819:M2819"/>
    <mergeCell ref="N2819:P2819"/>
    <mergeCell ref="Q2819:R2819"/>
    <mergeCell ref="A2820:B2820"/>
    <mergeCell ref="C2820:D2820"/>
    <mergeCell ref="E2820:I2820"/>
    <mergeCell ref="J2820:M2820"/>
    <mergeCell ref="N2820:P2820"/>
    <mergeCell ref="Q2820:R2820"/>
    <mergeCell ref="A2821:B2821"/>
    <mergeCell ref="C2821:D2821"/>
    <mergeCell ref="E2821:I2821"/>
    <mergeCell ref="J2821:M2821"/>
    <mergeCell ref="N2821:P2821"/>
    <mergeCell ref="Q2821:R2821"/>
    <mergeCell ref="A2822:B2822"/>
    <mergeCell ref="C2822:D2822"/>
    <mergeCell ref="E2822:I2822"/>
    <mergeCell ref="J2822:M2822"/>
    <mergeCell ref="N2822:P2822"/>
    <mergeCell ref="Q2822:R2822"/>
    <mergeCell ref="A2823:B2823"/>
    <mergeCell ref="C2823:D2823"/>
    <mergeCell ref="E2823:I2823"/>
    <mergeCell ref="J2823:M2823"/>
    <mergeCell ref="N2823:P2823"/>
    <mergeCell ref="Q2823:R2823"/>
    <mergeCell ref="A2824:B2824"/>
    <mergeCell ref="C2824:D2824"/>
    <mergeCell ref="E2824:I2824"/>
    <mergeCell ref="J2824:M2824"/>
    <mergeCell ref="N2824:P2824"/>
    <mergeCell ref="Q2824:R2824"/>
    <mergeCell ref="A2825:B2825"/>
    <mergeCell ref="C2825:D2825"/>
    <mergeCell ref="E2825:I2825"/>
    <mergeCell ref="J2825:M2825"/>
    <mergeCell ref="N2825:P2825"/>
    <mergeCell ref="Q2825:R2825"/>
    <mergeCell ref="A2826:B2826"/>
    <mergeCell ref="C2826:D2826"/>
    <mergeCell ref="E2826:I2826"/>
    <mergeCell ref="J2826:M2826"/>
    <mergeCell ref="N2826:P2826"/>
    <mergeCell ref="Q2826:R2826"/>
    <mergeCell ref="A2827:B2827"/>
    <mergeCell ref="C2827:D2827"/>
    <mergeCell ref="E2827:I2827"/>
    <mergeCell ref="J2827:M2827"/>
    <mergeCell ref="N2827:P2827"/>
    <mergeCell ref="Q2827:R2827"/>
    <mergeCell ref="A2828:B2828"/>
    <mergeCell ref="C2828:D2828"/>
    <mergeCell ref="E2828:I2828"/>
    <mergeCell ref="J2828:M2828"/>
    <mergeCell ref="N2828:P2828"/>
    <mergeCell ref="Q2828:R2828"/>
    <mergeCell ref="A2829:B2829"/>
    <mergeCell ref="C2829:D2829"/>
    <mergeCell ref="E2829:I2829"/>
    <mergeCell ref="J2829:M2829"/>
    <mergeCell ref="N2829:P2829"/>
    <mergeCell ref="Q2829:R2829"/>
    <mergeCell ref="A2830:B2830"/>
    <mergeCell ref="C2830:D2830"/>
    <mergeCell ref="E2830:I2830"/>
    <mergeCell ref="J2830:M2830"/>
    <mergeCell ref="N2830:P2830"/>
    <mergeCell ref="Q2830:R2830"/>
    <mergeCell ref="A2831:B2831"/>
    <mergeCell ref="C2831:D2831"/>
    <mergeCell ref="E2831:I2831"/>
    <mergeCell ref="J2831:M2831"/>
    <mergeCell ref="N2831:P2831"/>
    <mergeCell ref="Q2831:R2831"/>
    <mergeCell ref="A2832:B2832"/>
    <mergeCell ref="C2832:D2832"/>
    <mergeCell ref="E2832:I2832"/>
    <mergeCell ref="J2832:M2832"/>
    <mergeCell ref="N2832:P2832"/>
    <mergeCell ref="Q2832:R2832"/>
    <mergeCell ref="A2833:B2833"/>
    <mergeCell ref="C2833:D2833"/>
    <mergeCell ref="E2833:I2833"/>
    <mergeCell ref="J2833:M2833"/>
    <mergeCell ref="N2833:P2833"/>
    <mergeCell ref="Q2833:R2833"/>
    <mergeCell ref="A2834:B2834"/>
    <mergeCell ref="C2834:D2834"/>
    <mergeCell ref="E2834:I2834"/>
    <mergeCell ref="J2834:M2834"/>
    <mergeCell ref="N2834:P2834"/>
    <mergeCell ref="Q2834:R2834"/>
    <mergeCell ref="A2835:B2835"/>
    <mergeCell ref="C2835:D2835"/>
    <mergeCell ref="E2835:I2835"/>
    <mergeCell ref="J2835:M2835"/>
    <mergeCell ref="N2835:P2835"/>
    <mergeCell ref="Q2835:R2835"/>
    <mergeCell ref="A2836:B2836"/>
    <mergeCell ref="C2836:D2836"/>
    <mergeCell ref="E2836:I2836"/>
    <mergeCell ref="J2836:M2836"/>
    <mergeCell ref="N2836:P2836"/>
    <mergeCell ref="Q2836:R2836"/>
    <mergeCell ref="A2837:B2837"/>
    <mergeCell ref="C2837:D2837"/>
    <mergeCell ref="E2837:I2837"/>
    <mergeCell ref="J2837:M2837"/>
    <mergeCell ref="N2837:P2837"/>
    <mergeCell ref="Q2837:R2837"/>
    <mergeCell ref="A2838:B2838"/>
    <mergeCell ref="C2838:D2838"/>
    <mergeCell ref="E2838:I2838"/>
    <mergeCell ref="J2838:M2838"/>
    <mergeCell ref="N2838:P2838"/>
    <mergeCell ref="Q2838:R2838"/>
    <mergeCell ref="A2839:B2839"/>
    <mergeCell ref="C2839:D2839"/>
    <mergeCell ref="E2839:I2839"/>
    <mergeCell ref="J2839:M2839"/>
    <mergeCell ref="N2839:P2839"/>
    <mergeCell ref="Q2839:R2839"/>
    <mergeCell ref="A2840:B2840"/>
    <mergeCell ref="C2840:D2840"/>
    <mergeCell ref="E2840:I2840"/>
    <mergeCell ref="J2840:M2840"/>
    <mergeCell ref="N2840:P2840"/>
    <mergeCell ref="Q2840:R2840"/>
    <mergeCell ref="A2841:B2841"/>
    <mergeCell ref="C2841:D2841"/>
    <mergeCell ref="E2841:I2841"/>
    <mergeCell ref="J2841:M2841"/>
    <mergeCell ref="N2841:P2841"/>
    <mergeCell ref="Q2841:R2841"/>
    <mergeCell ref="A2842:B2842"/>
    <mergeCell ref="C2842:D2842"/>
    <mergeCell ref="E2842:I2842"/>
    <mergeCell ref="J2842:M2842"/>
    <mergeCell ref="N2842:P2842"/>
    <mergeCell ref="Q2842:R2842"/>
    <mergeCell ref="A2843:B2843"/>
    <mergeCell ref="C2843:D2843"/>
    <mergeCell ref="E2843:I2843"/>
    <mergeCell ref="J2843:M2843"/>
    <mergeCell ref="N2843:P2843"/>
    <mergeCell ref="Q2843:R2843"/>
    <mergeCell ref="A2844:B2844"/>
    <mergeCell ref="C2844:D2844"/>
    <mergeCell ref="E2844:I2844"/>
    <mergeCell ref="J2844:M2844"/>
    <mergeCell ref="N2844:P2844"/>
    <mergeCell ref="Q2844:R2844"/>
    <mergeCell ref="A2845:B2845"/>
    <mergeCell ref="C2845:D2845"/>
    <mergeCell ref="E2845:I2845"/>
    <mergeCell ref="J2845:M2845"/>
    <mergeCell ref="N2845:P2845"/>
    <mergeCell ref="Q2845:R2845"/>
    <mergeCell ref="A2846:B2846"/>
    <mergeCell ref="C2846:D2846"/>
    <mergeCell ref="E2846:I2846"/>
    <mergeCell ref="J2846:M2846"/>
    <mergeCell ref="N2846:P2846"/>
    <mergeCell ref="Q2846:R2846"/>
    <mergeCell ref="A2847:B2847"/>
    <mergeCell ref="C2847:D2847"/>
    <mergeCell ref="E2847:I2847"/>
    <mergeCell ref="J2847:M2847"/>
    <mergeCell ref="N2847:P2847"/>
    <mergeCell ref="Q2847:R2847"/>
    <mergeCell ref="A2848:B2848"/>
    <mergeCell ref="C2848:D2848"/>
    <mergeCell ref="E2848:I2848"/>
    <mergeCell ref="J2848:M2848"/>
    <mergeCell ref="N2848:P2848"/>
    <mergeCell ref="Q2848:R2848"/>
    <mergeCell ref="A2849:B2849"/>
    <mergeCell ref="C2849:D2849"/>
    <mergeCell ref="E2849:I2849"/>
    <mergeCell ref="J2849:M2849"/>
    <mergeCell ref="N2849:P2849"/>
    <mergeCell ref="Q2849:R2849"/>
    <mergeCell ref="A2850:B2850"/>
    <mergeCell ref="C2850:D2850"/>
    <mergeCell ref="E2850:I2850"/>
    <mergeCell ref="J2850:M2850"/>
    <mergeCell ref="N2850:P2850"/>
    <mergeCell ref="Q2850:R2850"/>
    <mergeCell ref="A2851:B2851"/>
    <mergeCell ref="C2851:D2851"/>
    <mergeCell ref="E2851:I2851"/>
    <mergeCell ref="J2851:M2851"/>
    <mergeCell ref="N2851:P2851"/>
    <mergeCell ref="Q2851:R2851"/>
    <mergeCell ref="A2852:B2852"/>
    <mergeCell ref="C2852:D2852"/>
    <mergeCell ref="E2852:I2852"/>
    <mergeCell ref="J2852:M2852"/>
    <mergeCell ref="N2852:P2852"/>
    <mergeCell ref="Q2852:R2852"/>
    <mergeCell ref="A2853:B2853"/>
    <mergeCell ref="C2853:D2853"/>
    <mergeCell ref="E2853:I2853"/>
    <mergeCell ref="J2853:M2853"/>
    <mergeCell ref="N2853:P2853"/>
    <mergeCell ref="Q2853:R2853"/>
    <mergeCell ref="A2854:B2854"/>
    <mergeCell ref="C2854:D2854"/>
    <mergeCell ref="E2854:I2854"/>
    <mergeCell ref="J2854:M2854"/>
    <mergeCell ref="N2854:P2854"/>
    <mergeCell ref="Q2854:R2854"/>
    <mergeCell ref="A2855:B2855"/>
    <mergeCell ref="C2855:D2855"/>
    <mergeCell ref="E2855:I2855"/>
    <mergeCell ref="J2855:M2855"/>
    <mergeCell ref="N2855:P2855"/>
    <mergeCell ref="Q2855:R2855"/>
    <mergeCell ref="A2856:B2856"/>
    <mergeCell ref="C2856:D2856"/>
    <mergeCell ref="E2856:I2856"/>
    <mergeCell ref="J2856:M2856"/>
    <mergeCell ref="N2856:P2856"/>
    <mergeCell ref="Q2856:R2856"/>
    <mergeCell ref="A2857:B2857"/>
    <mergeCell ref="C2857:D2857"/>
    <mergeCell ref="E2857:I2857"/>
    <mergeCell ref="J2857:M2857"/>
    <mergeCell ref="N2857:P2857"/>
    <mergeCell ref="Q2857:R2857"/>
    <mergeCell ref="A2858:B2858"/>
    <mergeCell ref="C2858:D2858"/>
    <mergeCell ref="E2858:I2858"/>
    <mergeCell ref="J2858:M2858"/>
    <mergeCell ref="N2858:P2858"/>
    <mergeCell ref="Q2858:R2858"/>
    <mergeCell ref="A2859:B2859"/>
    <mergeCell ref="C2859:D2859"/>
    <mergeCell ref="E2859:I2859"/>
    <mergeCell ref="J2859:M2859"/>
    <mergeCell ref="N2859:P2859"/>
    <mergeCell ref="Q2859:R2859"/>
    <mergeCell ref="A2860:B2860"/>
    <mergeCell ref="C2860:D2860"/>
    <mergeCell ref="E2860:I2860"/>
    <mergeCell ref="J2860:M2860"/>
    <mergeCell ref="N2860:P2860"/>
    <mergeCell ref="Q2860:R2860"/>
    <mergeCell ref="A2861:B2861"/>
    <mergeCell ref="C2861:D2861"/>
    <mergeCell ref="E2861:I2861"/>
    <mergeCell ref="J2861:M2861"/>
    <mergeCell ref="N2861:P2861"/>
    <mergeCell ref="Q2861:R2861"/>
    <mergeCell ref="A2862:B2862"/>
    <mergeCell ref="C2862:D2862"/>
    <mergeCell ref="E2862:I2862"/>
    <mergeCell ref="J2862:M2862"/>
    <mergeCell ref="N2862:P2862"/>
    <mergeCell ref="Q2862:R2862"/>
    <mergeCell ref="A2863:B2863"/>
    <mergeCell ref="C2863:D2863"/>
    <mergeCell ref="E2863:I2863"/>
    <mergeCell ref="J2863:M2863"/>
    <mergeCell ref="N2863:P2863"/>
    <mergeCell ref="Q2863:R2863"/>
    <mergeCell ref="A2864:B2864"/>
    <mergeCell ref="C2864:D2864"/>
    <mergeCell ref="E2864:I2864"/>
    <mergeCell ref="J2864:M2864"/>
    <mergeCell ref="N2864:P2864"/>
    <mergeCell ref="Q2864:R2864"/>
    <mergeCell ref="A2865:B2865"/>
    <mergeCell ref="C2865:D2865"/>
    <mergeCell ref="E2865:I2865"/>
    <mergeCell ref="J2865:M2865"/>
    <mergeCell ref="N2865:P2865"/>
    <mergeCell ref="Q2865:R2865"/>
    <mergeCell ref="A2866:B2866"/>
    <mergeCell ref="C2866:D2866"/>
    <mergeCell ref="E2866:I2866"/>
    <mergeCell ref="J2866:M2866"/>
    <mergeCell ref="N2866:P2866"/>
    <mergeCell ref="Q2866:R2866"/>
    <mergeCell ref="A2867:B2867"/>
    <mergeCell ref="C2867:D2867"/>
    <mergeCell ref="E2867:I2867"/>
    <mergeCell ref="J2867:M2867"/>
    <mergeCell ref="N2867:P2867"/>
    <mergeCell ref="Q2867:R2867"/>
    <mergeCell ref="A2868:B2868"/>
    <mergeCell ref="C2868:D2868"/>
    <mergeCell ref="E2868:I2868"/>
    <mergeCell ref="J2868:M2868"/>
    <mergeCell ref="N2868:P2868"/>
    <mergeCell ref="Q2868:R2868"/>
    <mergeCell ref="A2869:B2869"/>
    <mergeCell ref="C2869:D2869"/>
    <mergeCell ref="E2869:I2869"/>
    <mergeCell ref="J2869:M2869"/>
    <mergeCell ref="N2869:P2869"/>
    <mergeCell ref="Q2869:R2869"/>
    <mergeCell ref="A2870:B2870"/>
    <mergeCell ref="C2870:D2870"/>
    <mergeCell ref="E2870:I2870"/>
    <mergeCell ref="J2870:M2870"/>
    <mergeCell ref="N2870:P2870"/>
    <mergeCell ref="Q2870:R2870"/>
    <mergeCell ref="A2871:B2871"/>
    <mergeCell ref="C2871:D2871"/>
    <mergeCell ref="E2871:I2871"/>
    <mergeCell ref="J2871:M2871"/>
    <mergeCell ref="N2871:P2871"/>
    <mergeCell ref="Q2871:R2871"/>
    <mergeCell ref="A2872:B2872"/>
    <mergeCell ref="C2872:D2872"/>
    <mergeCell ref="E2872:I2872"/>
    <mergeCell ref="J2872:M2872"/>
    <mergeCell ref="N2872:P2872"/>
    <mergeCell ref="Q2872:R2872"/>
    <mergeCell ref="A2873:B2873"/>
    <mergeCell ref="C2873:D2873"/>
    <mergeCell ref="E2873:I2873"/>
    <mergeCell ref="J2873:M2873"/>
    <mergeCell ref="N2873:P2873"/>
    <mergeCell ref="Q2873:R2873"/>
    <mergeCell ref="A2874:B2874"/>
    <mergeCell ref="C2874:D2874"/>
    <mergeCell ref="E2874:I2874"/>
    <mergeCell ref="J2874:M2874"/>
    <mergeCell ref="N2874:P2874"/>
    <mergeCell ref="Q2874:R2874"/>
    <mergeCell ref="A2875:B2875"/>
    <mergeCell ref="C2875:D2875"/>
    <mergeCell ref="E2875:I2875"/>
    <mergeCell ref="J2875:M2875"/>
    <mergeCell ref="N2875:P2875"/>
    <mergeCell ref="Q2875:R2875"/>
    <mergeCell ref="A2876:B2876"/>
    <mergeCell ref="C2876:D2876"/>
    <mergeCell ref="E2876:I2876"/>
    <mergeCell ref="J2876:M2876"/>
    <mergeCell ref="N2876:P2876"/>
    <mergeCell ref="Q2876:R2876"/>
    <mergeCell ref="A2877:B2877"/>
    <mergeCell ref="C2877:D2877"/>
    <mergeCell ref="E2877:I2877"/>
    <mergeCell ref="J2877:M2877"/>
    <mergeCell ref="N2877:P2877"/>
    <mergeCell ref="Q2877:R2877"/>
    <mergeCell ref="A2878:B2878"/>
    <mergeCell ref="C2878:D2878"/>
    <mergeCell ref="E2878:I2878"/>
    <mergeCell ref="J2878:M2878"/>
    <mergeCell ref="N2878:P2878"/>
    <mergeCell ref="Q2878:R2878"/>
    <mergeCell ref="A2879:B2879"/>
    <mergeCell ref="C2879:D2879"/>
    <mergeCell ref="E2879:I2879"/>
    <mergeCell ref="J2879:M2879"/>
    <mergeCell ref="N2879:P2879"/>
    <mergeCell ref="Q2879:R2879"/>
    <mergeCell ref="A2880:B2880"/>
    <mergeCell ref="C2880:D2880"/>
    <mergeCell ref="E2880:I2880"/>
    <mergeCell ref="J2880:M2880"/>
    <mergeCell ref="N2880:P2880"/>
    <mergeCell ref="Q2880:R2880"/>
    <mergeCell ref="A2881:B2881"/>
    <mergeCell ref="C2881:D2881"/>
    <mergeCell ref="E2881:I2881"/>
    <mergeCell ref="J2881:M2881"/>
    <mergeCell ref="N2881:P2881"/>
    <mergeCell ref="Q2881:R2881"/>
    <mergeCell ref="A2882:B2882"/>
    <mergeCell ref="C2882:D2882"/>
    <mergeCell ref="E2882:I2882"/>
    <mergeCell ref="J2882:M2882"/>
    <mergeCell ref="N2882:P2882"/>
    <mergeCell ref="Q2882:R2882"/>
    <mergeCell ref="A2883:B2883"/>
    <mergeCell ref="C2883:D2883"/>
    <mergeCell ref="E2883:I2883"/>
    <mergeCell ref="J2883:M2883"/>
    <mergeCell ref="N2883:P2883"/>
    <mergeCell ref="Q2883:R2883"/>
    <mergeCell ref="A2884:B2884"/>
    <mergeCell ref="C2884:D2884"/>
    <mergeCell ref="E2884:I2884"/>
    <mergeCell ref="J2884:M2884"/>
    <mergeCell ref="N2884:P2884"/>
    <mergeCell ref="Q2884:R2884"/>
    <mergeCell ref="A2885:B2885"/>
    <mergeCell ref="C2885:D2885"/>
    <mergeCell ref="E2885:I2885"/>
    <mergeCell ref="J2885:M2885"/>
    <mergeCell ref="N2885:P2885"/>
    <mergeCell ref="Q2885:R2885"/>
    <mergeCell ref="A2886:B2886"/>
    <mergeCell ref="C2886:D2886"/>
    <mergeCell ref="E2886:I2886"/>
    <mergeCell ref="J2886:M2886"/>
    <mergeCell ref="N2886:P2886"/>
    <mergeCell ref="Q2886:R2886"/>
    <mergeCell ref="A2887:B2887"/>
    <mergeCell ref="C2887:D2887"/>
    <mergeCell ref="E2887:I2887"/>
    <mergeCell ref="J2887:M2887"/>
    <mergeCell ref="N2887:P2887"/>
    <mergeCell ref="Q2887:R2887"/>
    <mergeCell ref="A2888:B2888"/>
    <mergeCell ref="C2888:D2888"/>
    <mergeCell ref="E2888:I2888"/>
    <mergeCell ref="J2888:M2888"/>
    <mergeCell ref="N2888:P2888"/>
    <mergeCell ref="Q2888:R2888"/>
    <mergeCell ref="A2889:B2889"/>
    <mergeCell ref="C2889:D2889"/>
    <mergeCell ref="E2889:I2889"/>
    <mergeCell ref="J2889:M2889"/>
    <mergeCell ref="N2889:P2889"/>
    <mergeCell ref="Q2889:R2889"/>
    <mergeCell ref="A2890:B2890"/>
    <mergeCell ref="C2890:D2890"/>
    <mergeCell ref="E2890:I2890"/>
    <mergeCell ref="J2890:M2890"/>
    <mergeCell ref="N2890:P2890"/>
    <mergeCell ref="Q2890:R2890"/>
    <mergeCell ref="A2891:B2891"/>
    <mergeCell ref="C2891:D2891"/>
    <mergeCell ref="E2891:I2891"/>
    <mergeCell ref="J2891:M2891"/>
    <mergeCell ref="N2891:P2891"/>
    <mergeCell ref="Q2891:R2891"/>
    <mergeCell ref="A2892:B2892"/>
    <mergeCell ref="C2892:D2892"/>
    <mergeCell ref="E2892:I2892"/>
    <mergeCell ref="J2892:M2892"/>
    <mergeCell ref="N2892:P2892"/>
    <mergeCell ref="Q2892:R2892"/>
    <mergeCell ref="A2893:B2893"/>
    <mergeCell ref="C2893:D2893"/>
    <mergeCell ref="E2893:I2893"/>
    <mergeCell ref="J2893:M2893"/>
    <mergeCell ref="N2893:P2893"/>
    <mergeCell ref="Q2893:R2893"/>
    <mergeCell ref="A2894:B2894"/>
    <mergeCell ref="C2894:D2894"/>
    <mergeCell ref="E2894:I2894"/>
    <mergeCell ref="J2894:M2894"/>
    <mergeCell ref="N2894:P2894"/>
    <mergeCell ref="Q2894:R2894"/>
    <mergeCell ref="A2895:B2895"/>
    <mergeCell ref="C2895:D2895"/>
    <mergeCell ref="E2895:I2895"/>
    <mergeCell ref="J2895:M2895"/>
    <mergeCell ref="N2895:P2895"/>
    <mergeCell ref="Q2895:R2895"/>
    <mergeCell ref="A2896:B2896"/>
    <mergeCell ref="C2896:D2896"/>
    <mergeCell ref="E2896:I2896"/>
    <mergeCell ref="J2896:M2896"/>
    <mergeCell ref="N2896:P2896"/>
    <mergeCell ref="Q2896:R2896"/>
    <mergeCell ref="A2897:B2897"/>
    <mergeCell ref="C2897:D2897"/>
    <mergeCell ref="E2897:I2897"/>
    <mergeCell ref="J2897:M2897"/>
    <mergeCell ref="N2897:P2897"/>
    <mergeCell ref="Q2897:R2897"/>
    <mergeCell ref="A2898:B2898"/>
    <mergeCell ref="C2898:D2898"/>
    <mergeCell ref="E2898:I2898"/>
    <mergeCell ref="J2898:M2898"/>
    <mergeCell ref="N2898:P2898"/>
    <mergeCell ref="Q2898:R2898"/>
    <mergeCell ref="A2899:B2899"/>
    <mergeCell ref="C2899:D2899"/>
    <mergeCell ref="E2899:I2899"/>
    <mergeCell ref="J2899:M2899"/>
    <mergeCell ref="N2899:P2899"/>
    <mergeCell ref="Q2899:R2899"/>
    <mergeCell ref="A2900:B2900"/>
    <mergeCell ref="C2900:D2900"/>
    <mergeCell ref="E2900:I2900"/>
    <mergeCell ref="J2900:M2900"/>
    <mergeCell ref="N2900:P2900"/>
    <mergeCell ref="Q2900:R2900"/>
    <mergeCell ref="A2901:B2901"/>
    <mergeCell ref="C2901:D2901"/>
    <mergeCell ref="E2901:I2901"/>
    <mergeCell ref="J2901:M2901"/>
    <mergeCell ref="N2901:P2901"/>
    <mergeCell ref="Q2901:R2901"/>
    <mergeCell ref="A2902:B2902"/>
    <mergeCell ref="C2902:D2902"/>
    <mergeCell ref="E2902:I2902"/>
    <mergeCell ref="J2902:M2902"/>
    <mergeCell ref="N2902:P2902"/>
    <mergeCell ref="Q2902:R2902"/>
    <mergeCell ref="A2903:B2903"/>
    <mergeCell ref="C2903:D2903"/>
    <mergeCell ref="E2903:I2903"/>
    <mergeCell ref="J2903:M2903"/>
    <mergeCell ref="N2903:P2903"/>
    <mergeCell ref="Q2903:R2903"/>
    <mergeCell ref="A2904:B2904"/>
    <mergeCell ref="C2904:D2904"/>
    <mergeCell ref="E2904:I2904"/>
    <mergeCell ref="J2904:M2904"/>
    <mergeCell ref="N2904:P2904"/>
    <mergeCell ref="Q2904:R2904"/>
    <mergeCell ref="A2905:B2905"/>
    <mergeCell ref="C2905:D2905"/>
    <mergeCell ref="E2905:I2905"/>
    <mergeCell ref="J2905:M2905"/>
    <mergeCell ref="N2905:P2905"/>
    <mergeCell ref="Q2905:R2905"/>
    <mergeCell ref="A2906:B2906"/>
    <mergeCell ref="C2906:D2906"/>
    <mergeCell ref="E2906:I2906"/>
    <mergeCell ref="J2906:M2906"/>
    <mergeCell ref="N2906:P2906"/>
    <mergeCell ref="Q2906:R2906"/>
    <mergeCell ref="A2907:B2907"/>
    <mergeCell ref="C2907:D2907"/>
    <mergeCell ref="E2907:I2907"/>
    <mergeCell ref="J2907:M2907"/>
    <mergeCell ref="N2907:P2907"/>
    <mergeCell ref="Q2907:R2907"/>
    <mergeCell ref="A2908:B2908"/>
    <mergeCell ref="C2908:D2908"/>
    <mergeCell ref="E2908:I2908"/>
    <mergeCell ref="J2908:M2908"/>
    <mergeCell ref="N2908:P2908"/>
    <mergeCell ref="Q2908:R2908"/>
    <mergeCell ref="A2909:B2909"/>
    <mergeCell ref="C2909:D2909"/>
    <mergeCell ref="E2909:I2909"/>
    <mergeCell ref="J2909:M2909"/>
    <mergeCell ref="N2909:P2909"/>
    <mergeCell ref="Q2909:R2909"/>
    <mergeCell ref="A2910:B2910"/>
    <mergeCell ref="C2910:D2910"/>
    <mergeCell ref="E2910:I2910"/>
    <mergeCell ref="J2910:M2910"/>
    <mergeCell ref="N2910:P2910"/>
    <mergeCell ref="Q2910:R2910"/>
    <mergeCell ref="A2911:B2911"/>
    <mergeCell ref="C2911:D2911"/>
    <mergeCell ref="E2911:I2911"/>
    <mergeCell ref="J2911:M2911"/>
    <mergeCell ref="N2911:P2911"/>
    <mergeCell ref="Q2911:R2911"/>
    <mergeCell ref="A2912:B2912"/>
    <mergeCell ref="C2912:D2912"/>
    <mergeCell ref="E2912:I2912"/>
    <mergeCell ref="J2912:M2912"/>
    <mergeCell ref="N2912:P2912"/>
    <mergeCell ref="Q2912:R2912"/>
    <mergeCell ref="A2913:B2913"/>
    <mergeCell ref="C2913:D2913"/>
    <mergeCell ref="E2913:I2913"/>
    <mergeCell ref="J2913:M2913"/>
    <mergeCell ref="N2913:P2913"/>
    <mergeCell ref="Q2913:R2913"/>
    <mergeCell ref="A2914:B2914"/>
    <mergeCell ref="C2914:D2914"/>
    <mergeCell ref="E2914:I2914"/>
    <mergeCell ref="J2914:M2914"/>
    <mergeCell ref="N2914:P2914"/>
    <mergeCell ref="Q2914:R2914"/>
    <mergeCell ref="A2915:B2915"/>
    <mergeCell ref="C2915:D2915"/>
    <mergeCell ref="E2915:I2915"/>
    <mergeCell ref="J2915:M2915"/>
    <mergeCell ref="N2915:P2915"/>
    <mergeCell ref="Q2915:R2915"/>
    <mergeCell ref="A2916:B2916"/>
    <mergeCell ref="C2916:D2916"/>
    <mergeCell ref="E2916:I2916"/>
    <mergeCell ref="J2916:M2916"/>
    <mergeCell ref="N2916:P2916"/>
    <mergeCell ref="Q2916:R2916"/>
    <mergeCell ref="A2917:B2917"/>
    <mergeCell ref="C2917:D2917"/>
    <mergeCell ref="E2917:I2917"/>
    <mergeCell ref="J2917:M2917"/>
    <mergeCell ref="N2917:P2917"/>
    <mergeCell ref="Q2917:R2917"/>
    <mergeCell ref="A2918:B2918"/>
    <mergeCell ref="C2918:D2918"/>
    <mergeCell ref="E2918:I2918"/>
    <mergeCell ref="J2918:M2918"/>
    <mergeCell ref="N2918:P2918"/>
    <mergeCell ref="Q2918:R2918"/>
    <mergeCell ref="A2919:B2919"/>
    <mergeCell ref="C2919:D2919"/>
    <mergeCell ref="E2919:I2919"/>
    <mergeCell ref="J2919:M2919"/>
    <mergeCell ref="N2919:P2919"/>
    <mergeCell ref="Q2919:R2919"/>
    <mergeCell ref="A2920:B2920"/>
    <mergeCell ref="C2920:D2920"/>
    <mergeCell ref="E2920:I2920"/>
    <mergeCell ref="J2920:M2920"/>
    <mergeCell ref="N2920:P2920"/>
    <mergeCell ref="Q2920:R2920"/>
    <mergeCell ref="A2921:B2921"/>
    <mergeCell ref="C2921:D2921"/>
    <mergeCell ref="E2921:I2921"/>
    <mergeCell ref="J2921:M2921"/>
    <mergeCell ref="N2921:P2921"/>
    <mergeCell ref="Q2921:R2921"/>
    <mergeCell ref="A2922:B2922"/>
    <mergeCell ref="C2922:D2922"/>
    <mergeCell ref="E2922:I2922"/>
    <mergeCell ref="J2922:M2922"/>
    <mergeCell ref="N2922:P2922"/>
    <mergeCell ref="Q2922:R2922"/>
    <mergeCell ref="A2923:B2923"/>
    <mergeCell ref="C2923:D2923"/>
    <mergeCell ref="E2923:I2923"/>
    <mergeCell ref="J2923:M2923"/>
    <mergeCell ref="N2923:P2923"/>
    <mergeCell ref="Q2923:R2923"/>
    <mergeCell ref="A2924:B2924"/>
    <mergeCell ref="C2924:D2924"/>
    <mergeCell ref="E2924:I2924"/>
    <mergeCell ref="J2924:M2924"/>
    <mergeCell ref="N2924:P2924"/>
    <mergeCell ref="Q2924:R2924"/>
    <mergeCell ref="A2925:B2925"/>
    <mergeCell ref="C2925:D2925"/>
    <mergeCell ref="E2925:I2925"/>
    <mergeCell ref="J2925:M2925"/>
    <mergeCell ref="N2925:P2925"/>
    <mergeCell ref="Q2925:R2925"/>
    <mergeCell ref="A2926:B2926"/>
    <mergeCell ref="C2926:D2926"/>
    <mergeCell ref="E2926:I2926"/>
    <mergeCell ref="J2926:M2926"/>
    <mergeCell ref="N2926:P2926"/>
    <mergeCell ref="Q2926:R2926"/>
    <mergeCell ref="A2927:B2927"/>
    <mergeCell ref="C2927:D2927"/>
    <mergeCell ref="E2927:I2927"/>
    <mergeCell ref="J2927:M2927"/>
    <mergeCell ref="N2927:P2927"/>
    <mergeCell ref="Q2927:R2927"/>
    <mergeCell ref="A2928:B2928"/>
    <mergeCell ref="C2928:D2928"/>
    <mergeCell ref="E2928:I2928"/>
    <mergeCell ref="J2928:M2928"/>
    <mergeCell ref="N2928:P2928"/>
    <mergeCell ref="Q2928:R2928"/>
    <mergeCell ref="A2929:B2929"/>
    <mergeCell ref="C2929:D2929"/>
    <mergeCell ref="E2929:I2929"/>
    <mergeCell ref="J2929:M2929"/>
    <mergeCell ref="N2929:P2929"/>
    <mergeCell ref="Q2929:R2929"/>
    <mergeCell ref="A2930:B2930"/>
    <mergeCell ref="C2930:D2930"/>
    <mergeCell ref="E2930:I2930"/>
    <mergeCell ref="J2930:M2930"/>
    <mergeCell ref="N2930:P2930"/>
    <mergeCell ref="Q2930:R2930"/>
    <mergeCell ref="A2931:B2931"/>
    <mergeCell ref="C2931:D2931"/>
    <mergeCell ref="E2931:I2931"/>
    <mergeCell ref="J2931:M2931"/>
    <mergeCell ref="N2931:P2931"/>
    <mergeCell ref="Q2931:R2931"/>
    <mergeCell ref="A2932:B2932"/>
    <mergeCell ref="C2932:D2932"/>
    <mergeCell ref="E2932:I2932"/>
    <mergeCell ref="J2932:M2932"/>
    <mergeCell ref="N2932:P2932"/>
    <mergeCell ref="Q2932:R2932"/>
    <mergeCell ref="A2933:B2933"/>
    <mergeCell ref="C2933:D2933"/>
    <mergeCell ref="E2933:I2933"/>
    <mergeCell ref="J2933:M2933"/>
    <mergeCell ref="N2933:P2933"/>
    <mergeCell ref="Q2933:R2933"/>
    <mergeCell ref="A2934:B2934"/>
    <mergeCell ref="C2934:D2934"/>
    <mergeCell ref="E2934:I2934"/>
    <mergeCell ref="J2934:M2934"/>
    <mergeCell ref="N2934:P2934"/>
    <mergeCell ref="Q2934:R2934"/>
    <mergeCell ref="A2935:B2935"/>
    <mergeCell ref="C2935:D2935"/>
    <mergeCell ref="E2935:I2935"/>
    <mergeCell ref="J2935:M2935"/>
    <mergeCell ref="N2935:P2935"/>
    <mergeCell ref="Q2935:R2935"/>
    <mergeCell ref="A2936:B2936"/>
    <mergeCell ref="C2936:D2936"/>
    <mergeCell ref="E2936:I2936"/>
    <mergeCell ref="J2936:M2936"/>
    <mergeCell ref="N2936:P2936"/>
    <mergeCell ref="Q2936:R2936"/>
    <mergeCell ref="A2937:B2937"/>
    <mergeCell ref="C2937:D2937"/>
    <mergeCell ref="E2937:I2937"/>
    <mergeCell ref="J2937:M2937"/>
    <mergeCell ref="N2937:P2937"/>
    <mergeCell ref="Q2937:R2937"/>
    <mergeCell ref="A2938:B2938"/>
    <mergeCell ref="C2938:D2938"/>
    <mergeCell ref="E2938:I2938"/>
    <mergeCell ref="J2938:M2938"/>
    <mergeCell ref="N2938:P2938"/>
    <mergeCell ref="Q2938:R2938"/>
    <mergeCell ref="A2939:B2939"/>
    <mergeCell ref="C2939:D2939"/>
    <mergeCell ref="E2939:I2939"/>
    <mergeCell ref="J2939:M2939"/>
    <mergeCell ref="N2939:P2939"/>
    <mergeCell ref="Q2939:R2939"/>
    <mergeCell ref="A2940:B2940"/>
    <mergeCell ref="C2940:D2940"/>
    <mergeCell ref="E2940:I2940"/>
    <mergeCell ref="J2940:M2940"/>
    <mergeCell ref="N2940:P2940"/>
    <mergeCell ref="Q2940:R2940"/>
    <mergeCell ref="A2941:B2941"/>
    <mergeCell ref="C2941:D2941"/>
    <mergeCell ref="E2941:I2941"/>
    <mergeCell ref="J2941:M2941"/>
    <mergeCell ref="N2941:P2941"/>
    <mergeCell ref="Q2941:R2941"/>
    <mergeCell ref="A2942:B2942"/>
    <mergeCell ref="C2942:D2942"/>
    <mergeCell ref="E2942:I2942"/>
    <mergeCell ref="J2942:M2942"/>
    <mergeCell ref="N2942:P2942"/>
    <mergeCell ref="Q2942:R2942"/>
    <mergeCell ref="A2943:B2943"/>
    <mergeCell ref="C2943:D2943"/>
    <mergeCell ref="E2943:I2943"/>
    <mergeCell ref="J2943:M2943"/>
    <mergeCell ref="N2943:P2943"/>
    <mergeCell ref="Q2943:R2943"/>
    <mergeCell ref="A2944:B2944"/>
    <mergeCell ref="C2944:D2944"/>
    <mergeCell ref="E2944:I2944"/>
    <mergeCell ref="J2944:M2944"/>
    <mergeCell ref="N2944:P2944"/>
    <mergeCell ref="Q2944:R2944"/>
    <mergeCell ref="A2945:B2945"/>
    <mergeCell ref="C2945:D2945"/>
    <mergeCell ref="E2945:I2945"/>
    <mergeCell ref="J2945:M2945"/>
    <mergeCell ref="N2945:P2945"/>
    <mergeCell ref="Q2945:R2945"/>
    <mergeCell ref="A2946:B2946"/>
    <mergeCell ref="C2946:D2946"/>
    <mergeCell ref="E2946:I2946"/>
    <mergeCell ref="J2946:M2946"/>
    <mergeCell ref="N2946:P2946"/>
    <mergeCell ref="Q2946:R2946"/>
    <mergeCell ref="A2947:B2947"/>
    <mergeCell ref="C2947:D2947"/>
    <mergeCell ref="E2947:I2947"/>
    <mergeCell ref="J2947:M2947"/>
    <mergeCell ref="N2947:P2947"/>
    <mergeCell ref="Q2947:R2947"/>
    <mergeCell ref="A2948:B2948"/>
    <mergeCell ref="C2948:D2948"/>
    <mergeCell ref="E2948:I2948"/>
    <mergeCell ref="J2948:M2948"/>
    <mergeCell ref="N2948:P2948"/>
    <mergeCell ref="Q2948:R2948"/>
    <mergeCell ref="A2949:B2949"/>
    <mergeCell ref="C2949:D2949"/>
    <mergeCell ref="E2949:I2949"/>
    <mergeCell ref="J2949:M2949"/>
    <mergeCell ref="N2949:P2949"/>
    <mergeCell ref="Q2949:R2949"/>
    <mergeCell ref="A2950:B2950"/>
    <mergeCell ref="C2950:D2950"/>
    <mergeCell ref="E2950:I2950"/>
    <mergeCell ref="J2950:M2950"/>
    <mergeCell ref="N2950:P2950"/>
    <mergeCell ref="Q2950:R2950"/>
    <mergeCell ref="A2951:B2951"/>
    <mergeCell ref="C2951:D2951"/>
    <mergeCell ref="E2951:I2951"/>
    <mergeCell ref="J2951:M2951"/>
    <mergeCell ref="N2951:P2951"/>
    <mergeCell ref="Q2951:R2951"/>
    <mergeCell ref="A2952:B2952"/>
    <mergeCell ref="C2952:D2952"/>
    <mergeCell ref="E2952:I2952"/>
    <mergeCell ref="J2952:M2952"/>
    <mergeCell ref="N2952:P2952"/>
    <mergeCell ref="Q2952:R2952"/>
    <mergeCell ref="A2953:B2953"/>
    <mergeCell ref="C2953:D2953"/>
    <mergeCell ref="E2953:I2953"/>
    <mergeCell ref="J2953:M2953"/>
    <mergeCell ref="N2953:P2953"/>
    <mergeCell ref="Q2953:R2953"/>
    <mergeCell ref="A2954:B2954"/>
    <mergeCell ref="C2954:D2954"/>
    <mergeCell ref="E2954:I2954"/>
    <mergeCell ref="J2954:M2954"/>
    <mergeCell ref="N2954:P2954"/>
    <mergeCell ref="Q2954:R2954"/>
    <mergeCell ref="A2955:B2955"/>
    <mergeCell ref="C2955:D2955"/>
    <mergeCell ref="E2955:I2955"/>
    <mergeCell ref="J2955:M2955"/>
    <mergeCell ref="N2955:P2955"/>
    <mergeCell ref="Q2955:R2955"/>
    <mergeCell ref="A2956:B2956"/>
    <mergeCell ref="C2956:D2956"/>
    <mergeCell ref="E2956:I2956"/>
    <mergeCell ref="J2956:M2956"/>
    <mergeCell ref="N2956:P2956"/>
    <mergeCell ref="Q2956:R2956"/>
    <mergeCell ref="A2957:B2957"/>
    <mergeCell ref="C2957:D2957"/>
    <mergeCell ref="E2957:I2957"/>
    <mergeCell ref="J2957:M2957"/>
    <mergeCell ref="N2957:P2957"/>
    <mergeCell ref="Q2957:R2957"/>
    <mergeCell ref="A2958:B2958"/>
    <mergeCell ref="C2958:D2958"/>
    <mergeCell ref="E2958:I2958"/>
    <mergeCell ref="J2958:M2958"/>
    <mergeCell ref="N2958:P2958"/>
    <mergeCell ref="Q2958:R2958"/>
    <mergeCell ref="A2959:B2959"/>
    <mergeCell ref="C2959:D2959"/>
    <mergeCell ref="E2959:I2959"/>
    <mergeCell ref="J2959:M2959"/>
    <mergeCell ref="N2959:P2959"/>
    <mergeCell ref="Q2959:R2959"/>
    <mergeCell ref="A2960:B2960"/>
    <mergeCell ref="C2960:D2960"/>
    <mergeCell ref="E2960:I2960"/>
    <mergeCell ref="J2960:M2960"/>
    <mergeCell ref="N2960:P2960"/>
    <mergeCell ref="Q2960:R2960"/>
    <mergeCell ref="A2961:B2961"/>
    <mergeCell ref="C2961:D2961"/>
    <mergeCell ref="E2961:I2961"/>
    <mergeCell ref="J2961:M2961"/>
    <mergeCell ref="N2961:P2961"/>
    <mergeCell ref="Q2961:R2961"/>
    <mergeCell ref="A2962:B2962"/>
    <mergeCell ref="C2962:D2962"/>
    <mergeCell ref="E2962:I2962"/>
    <mergeCell ref="J2962:M2962"/>
    <mergeCell ref="N2962:P2962"/>
    <mergeCell ref="Q2962:R2962"/>
    <mergeCell ref="A2963:B2963"/>
    <mergeCell ref="C2963:D2963"/>
    <mergeCell ref="E2963:I2963"/>
    <mergeCell ref="J2963:M2963"/>
    <mergeCell ref="N2963:P2963"/>
    <mergeCell ref="Q2963:R2963"/>
    <mergeCell ref="A2964:B2964"/>
    <mergeCell ref="C2964:D2964"/>
    <mergeCell ref="E2964:I2964"/>
    <mergeCell ref="J2964:M2964"/>
    <mergeCell ref="N2964:P2964"/>
    <mergeCell ref="Q2964:R2964"/>
    <mergeCell ref="A2965:B2965"/>
    <mergeCell ref="C2965:D2965"/>
    <mergeCell ref="E2965:I2965"/>
    <mergeCell ref="J2965:M2965"/>
    <mergeCell ref="N2965:P2965"/>
    <mergeCell ref="Q2965:R2965"/>
    <mergeCell ref="A2966:B2966"/>
    <mergeCell ref="C2966:D2966"/>
    <mergeCell ref="E2966:I2966"/>
    <mergeCell ref="J2966:M2966"/>
    <mergeCell ref="N2966:P2966"/>
    <mergeCell ref="Q2966:R2966"/>
    <mergeCell ref="A2967:B2967"/>
    <mergeCell ref="C2967:D2967"/>
    <mergeCell ref="E2967:I2967"/>
    <mergeCell ref="J2967:M2967"/>
    <mergeCell ref="N2967:P2967"/>
    <mergeCell ref="Q2967:R2967"/>
    <mergeCell ref="A2968:B2968"/>
    <mergeCell ref="C2968:D2968"/>
    <mergeCell ref="E2968:I2968"/>
    <mergeCell ref="J2968:M2968"/>
    <mergeCell ref="N2968:P2968"/>
    <mergeCell ref="Q2968:R2968"/>
    <mergeCell ref="A2969:B2969"/>
    <mergeCell ref="C2969:D2969"/>
    <mergeCell ref="E2969:I2969"/>
    <mergeCell ref="J2969:M2969"/>
    <mergeCell ref="N2969:P2969"/>
    <mergeCell ref="Q2969:R2969"/>
    <mergeCell ref="A2970:B2970"/>
    <mergeCell ref="C2970:D2970"/>
    <mergeCell ref="E2970:I2970"/>
    <mergeCell ref="J2970:M2970"/>
    <mergeCell ref="N2970:P2970"/>
    <mergeCell ref="Q2970:R2970"/>
    <mergeCell ref="A2971:B2971"/>
    <mergeCell ref="C2971:D2971"/>
    <mergeCell ref="E2971:I2971"/>
    <mergeCell ref="J2971:M2971"/>
    <mergeCell ref="N2971:P2971"/>
    <mergeCell ref="Q2971:R2971"/>
    <mergeCell ref="A2972:B2972"/>
    <mergeCell ref="C2972:D2972"/>
    <mergeCell ref="E2972:I2972"/>
    <mergeCell ref="J2972:M2972"/>
    <mergeCell ref="N2972:P2972"/>
    <mergeCell ref="Q2972:R2972"/>
    <mergeCell ref="A2973:B2973"/>
    <mergeCell ref="C2973:D2973"/>
    <mergeCell ref="E2973:I2973"/>
    <mergeCell ref="J2973:M2973"/>
    <mergeCell ref="N2973:P2973"/>
    <mergeCell ref="Q2973:R2973"/>
    <mergeCell ref="A2974:B2974"/>
    <mergeCell ref="C2974:D2974"/>
    <mergeCell ref="E2974:I2974"/>
    <mergeCell ref="J2974:M2974"/>
    <mergeCell ref="N2974:P2974"/>
    <mergeCell ref="Q2974:R2974"/>
    <mergeCell ref="A2975:B2975"/>
    <mergeCell ref="C2975:D2975"/>
    <mergeCell ref="E2975:I2975"/>
    <mergeCell ref="J2975:M2975"/>
    <mergeCell ref="N2975:P2975"/>
    <mergeCell ref="Q2975:R2975"/>
    <mergeCell ref="A2976:B2976"/>
    <mergeCell ref="C2976:D2976"/>
    <mergeCell ref="E2976:I2976"/>
    <mergeCell ref="J2976:M2976"/>
    <mergeCell ref="N2976:P2976"/>
    <mergeCell ref="Q2976:R2976"/>
    <mergeCell ref="A2977:B2977"/>
    <mergeCell ref="C2977:D2977"/>
    <mergeCell ref="E2977:I2977"/>
    <mergeCell ref="J2977:M2977"/>
    <mergeCell ref="N2977:P2977"/>
    <mergeCell ref="Q2977:R2977"/>
    <mergeCell ref="A2978:B2978"/>
    <mergeCell ref="C2978:D2978"/>
    <mergeCell ref="E2978:I2978"/>
    <mergeCell ref="J2978:M2978"/>
    <mergeCell ref="N2978:P2978"/>
    <mergeCell ref="Q2978:R2978"/>
    <mergeCell ref="A2979:B2979"/>
    <mergeCell ref="C2979:D2979"/>
    <mergeCell ref="E2979:I2979"/>
    <mergeCell ref="J2979:M2979"/>
    <mergeCell ref="N2979:P2979"/>
    <mergeCell ref="Q2979:R2979"/>
    <mergeCell ref="A2980:B2980"/>
    <mergeCell ref="C2980:D2980"/>
    <mergeCell ref="E2980:I2980"/>
    <mergeCell ref="J2980:M2980"/>
    <mergeCell ref="N2980:P2980"/>
    <mergeCell ref="Q2980:R2980"/>
    <mergeCell ref="A2981:B2981"/>
    <mergeCell ref="C2981:D2981"/>
    <mergeCell ref="E2981:I2981"/>
    <mergeCell ref="J2981:M2981"/>
    <mergeCell ref="N2981:P2981"/>
    <mergeCell ref="Q2981:R2981"/>
    <mergeCell ref="A2982:B2982"/>
    <mergeCell ref="C2982:D2982"/>
    <mergeCell ref="E2982:I2982"/>
    <mergeCell ref="J2982:M2982"/>
    <mergeCell ref="N2982:P2982"/>
    <mergeCell ref="Q2982:R2982"/>
    <mergeCell ref="A2983:B2983"/>
    <mergeCell ref="C2983:D2983"/>
    <mergeCell ref="E2983:I2983"/>
    <mergeCell ref="J2983:M2983"/>
    <mergeCell ref="N2983:P2983"/>
    <mergeCell ref="Q2983:R2983"/>
    <mergeCell ref="A2984:B2984"/>
    <mergeCell ref="C2984:D2984"/>
    <mergeCell ref="E2984:I2984"/>
    <mergeCell ref="J2984:M2984"/>
    <mergeCell ref="N2984:P2984"/>
    <mergeCell ref="Q2984:R2984"/>
    <mergeCell ref="A2985:B2985"/>
    <mergeCell ref="C2985:D2985"/>
    <mergeCell ref="E2985:I2985"/>
    <mergeCell ref="J2985:M2985"/>
    <mergeCell ref="N2985:P2985"/>
    <mergeCell ref="Q2985:R2985"/>
    <mergeCell ref="A2986:B2986"/>
    <mergeCell ref="C2986:D2986"/>
    <mergeCell ref="E2986:I2986"/>
    <mergeCell ref="J2986:M2986"/>
    <mergeCell ref="N2986:P2986"/>
    <mergeCell ref="Q2986:R2986"/>
    <mergeCell ref="A2987:B2987"/>
    <mergeCell ref="C2987:D2987"/>
    <mergeCell ref="E2987:I2987"/>
    <mergeCell ref="J2987:M2987"/>
    <mergeCell ref="N2987:P2987"/>
    <mergeCell ref="Q2987:R2987"/>
    <mergeCell ref="A2988:B2988"/>
    <mergeCell ref="C2988:D2988"/>
    <mergeCell ref="E2988:I2988"/>
    <mergeCell ref="J2988:M2988"/>
    <mergeCell ref="N2988:P2988"/>
    <mergeCell ref="Q2988:R2988"/>
    <mergeCell ref="A2989:B2989"/>
    <mergeCell ref="C2989:D2989"/>
    <mergeCell ref="E2989:I2989"/>
    <mergeCell ref="J2989:M2989"/>
    <mergeCell ref="N2989:P2989"/>
    <mergeCell ref="Q2989:R2989"/>
    <mergeCell ref="A2990:B2990"/>
    <mergeCell ref="C2990:D2990"/>
    <mergeCell ref="E2990:I2990"/>
    <mergeCell ref="J2990:M2990"/>
    <mergeCell ref="N2990:P2990"/>
    <mergeCell ref="Q2990:R2990"/>
    <mergeCell ref="A2991:B2991"/>
    <mergeCell ref="C2991:D2991"/>
    <mergeCell ref="E2991:I2991"/>
    <mergeCell ref="J2991:M2991"/>
    <mergeCell ref="N2991:P2991"/>
    <mergeCell ref="Q2991:R2991"/>
    <mergeCell ref="A2992:B2992"/>
    <mergeCell ref="C2992:D2992"/>
    <mergeCell ref="E2992:I2992"/>
    <mergeCell ref="J2992:M2992"/>
    <mergeCell ref="N2992:P2992"/>
    <mergeCell ref="Q2992:R2992"/>
    <mergeCell ref="A2993:B2993"/>
    <mergeCell ref="C2993:D2993"/>
    <mergeCell ref="E2993:I2993"/>
    <mergeCell ref="J2993:M2993"/>
    <mergeCell ref="N2993:P2993"/>
    <mergeCell ref="Q2993:R2993"/>
    <mergeCell ref="A2994:B2994"/>
    <mergeCell ref="C2994:D2994"/>
    <mergeCell ref="E2994:I2994"/>
    <mergeCell ref="J2994:M2994"/>
    <mergeCell ref="N2994:P2994"/>
    <mergeCell ref="Q2994:R2994"/>
    <mergeCell ref="A2995:B2995"/>
    <mergeCell ref="C2995:D2995"/>
    <mergeCell ref="E2995:I2995"/>
    <mergeCell ref="J2995:M2995"/>
    <mergeCell ref="N2995:P2995"/>
    <mergeCell ref="Q2995:R2995"/>
    <mergeCell ref="A2996:B2996"/>
    <mergeCell ref="C2996:D2996"/>
    <mergeCell ref="E2996:I2996"/>
    <mergeCell ref="J2996:M2996"/>
    <mergeCell ref="N2996:P2996"/>
    <mergeCell ref="Q2996:R2996"/>
    <mergeCell ref="A2997:B2997"/>
    <mergeCell ref="C2997:D2997"/>
    <mergeCell ref="E2997:I2997"/>
    <mergeCell ref="J2997:M2997"/>
    <mergeCell ref="N2997:P2997"/>
    <mergeCell ref="Q2997:R2997"/>
    <mergeCell ref="A2998:B2998"/>
    <mergeCell ref="C2998:D2998"/>
    <mergeCell ref="E2998:I2998"/>
    <mergeCell ref="J2998:M2998"/>
    <mergeCell ref="N2998:P2998"/>
    <mergeCell ref="Q2998:R2998"/>
    <mergeCell ref="A2999:B2999"/>
    <mergeCell ref="C2999:D2999"/>
    <mergeCell ref="E2999:I2999"/>
    <mergeCell ref="J2999:M2999"/>
    <mergeCell ref="N2999:P2999"/>
    <mergeCell ref="Q2999:R2999"/>
    <mergeCell ref="A3000:B3000"/>
    <mergeCell ref="C3000:D3000"/>
    <mergeCell ref="E3000:I3000"/>
    <mergeCell ref="J3000:M3000"/>
    <mergeCell ref="N3000:P3000"/>
    <mergeCell ref="Q3000:R3000"/>
    <mergeCell ref="A3001:B3001"/>
    <mergeCell ref="C3001:D3001"/>
    <mergeCell ref="E3001:I3001"/>
    <mergeCell ref="J3001:M3001"/>
    <mergeCell ref="N3001:P3001"/>
    <mergeCell ref="Q3001:R3001"/>
    <mergeCell ref="A3002:B3002"/>
    <mergeCell ref="C3002:D3002"/>
    <mergeCell ref="E3002:I3002"/>
    <mergeCell ref="J3002:M3002"/>
    <mergeCell ref="N3002:P3002"/>
    <mergeCell ref="Q3002:R3002"/>
    <mergeCell ref="A3003:B3003"/>
    <mergeCell ref="C3003:D3003"/>
    <mergeCell ref="E3003:I3003"/>
    <mergeCell ref="J3003:M3003"/>
    <mergeCell ref="N3003:P3003"/>
    <mergeCell ref="Q3003:R3003"/>
    <mergeCell ref="A3004:B3004"/>
    <mergeCell ref="C3004:D3004"/>
    <mergeCell ref="E3004:I3004"/>
    <mergeCell ref="J3004:M3004"/>
    <mergeCell ref="N3004:P3004"/>
    <mergeCell ref="Q3004:R3004"/>
    <mergeCell ref="A3005:B3005"/>
    <mergeCell ref="C3005:D3005"/>
    <mergeCell ref="E3005:I3005"/>
    <mergeCell ref="J3005:M3005"/>
    <mergeCell ref="N3005:P3005"/>
    <mergeCell ref="Q3005:R3005"/>
    <mergeCell ref="A3006:B3006"/>
    <mergeCell ref="C3006:D3006"/>
    <mergeCell ref="E3006:I3006"/>
    <mergeCell ref="J3006:M3006"/>
    <mergeCell ref="N3006:P3006"/>
    <mergeCell ref="Q3006:R3006"/>
    <mergeCell ref="A3007:B3007"/>
    <mergeCell ref="C3007:D3007"/>
    <mergeCell ref="E3007:I3007"/>
    <mergeCell ref="J3007:M3007"/>
    <mergeCell ref="N3007:P3007"/>
    <mergeCell ref="Q3007:R3007"/>
    <mergeCell ref="A3008:B3008"/>
    <mergeCell ref="C3008:D3008"/>
    <mergeCell ref="E3008:I3008"/>
    <mergeCell ref="J3008:M3008"/>
    <mergeCell ref="N3008:P3008"/>
    <mergeCell ref="Q3008:R3008"/>
    <mergeCell ref="A3009:B3009"/>
    <mergeCell ref="C3009:D3009"/>
    <mergeCell ref="E3009:I3009"/>
    <mergeCell ref="J3009:M3009"/>
    <mergeCell ref="N3009:P3009"/>
    <mergeCell ref="Q3009:R3009"/>
    <mergeCell ref="A3010:B3010"/>
    <mergeCell ref="C3010:D3010"/>
    <mergeCell ref="E3010:I3010"/>
    <mergeCell ref="J3010:M3010"/>
    <mergeCell ref="N3010:P3010"/>
    <mergeCell ref="Q3010:R3010"/>
    <mergeCell ref="A3011:B3011"/>
    <mergeCell ref="C3011:D3011"/>
    <mergeCell ref="E3011:I3011"/>
    <mergeCell ref="J3011:M3011"/>
    <mergeCell ref="N3011:P3011"/>
    <mergeCell ref="Q3011:R3011"/>
    <mergeCell ref="A3012:B3012"/>
    <mergeCell ref="C3012:D3012"/>
    <mergeCell ref="E3012:I3012"/>
    <mergeCell ref="J3012:M3012"/>
    <mergeCell ref="N3012:P3012"/>
    <mergeCell ref="Q3012:R3012"/>
    <mergeCell ref="A3013:B3013"/>
    <mergeCell ref="C3013:D3013"/>
    <mergeCell ref="E3013:I3013"/>
    <mergeCell ref="J3013:M3013"/>
    <mergeCell ref="N3013:P3013"/>
    <mergeCell ref="Q3013:R3013"/>
    <mergeCell ref="A3014:B3014"/>
    <mergeCell ref="C3014:D3014"/>
    <mergeCell ref="E3014:I3014"/>
    <mergeCell ref="J3014:M3014"/>
    <mergeCell ref="N3014:P3014"/>
    <mergeCell ref="Q3014:R3014"/>
    <mergeCell ref="A3015:B3015"/>
    <mergeCell ref="C3015:D3015"/>
    <mergeCell ref="E3015:I3015"/>
    <mergeCell ref="J3015:M3015"/>
    <mergeCell ref="N3015:P3015"/>
    <mergeCell ref="Q3015:R3015"/>
    <mergeCell ref="A3016:B3016"/>
    <mergeCell ref="C3016:D3016"/>
    <mergeCell ref="E3016:I3016"/>
    <mergeCell ref="J3016:M3016"/>
    <mergeCell ref="N3016:P3016"/>
    <mergeCell ref="Q3016:R3016"/>
    <mergeCell ref="A3017:B3017"/>
    <mergeCell ref="C3017:D3017"/>
    <mergeCell ref="E3017:I3017"/>
    <mergeCell ref="J3017:M3017"/>
    <mergeCell ref="N3017:P3017"/>
    <mergeCell ref="Q3017:R3017"/>
    <mergeCell ref="A3018:B3018"/>
    <mergeCell ref="C3018:D3018"/>
    <mergeCell ref="E3018:I3018"/>
    <mergeCell ref="J3018:M3018"/>
    <mergeCell ref="N3018:P3018"/>
    <mergeCell ref="Q3018:R3018"/>
    <mergeCell ref="A3019:B3019"/>
    <mergeCell ref="C3019:D3019"/>
    <mergeCell ref="E3019:I3019"/>
    <mergeCell ref="J3019:M3019"/>
    <mergeCell ref="N3019:P3019"/>
    <mergeCell ref="Q3019:R3019"/>
    <mergeCell ref="A3020:B3020"/>
    <mergeCell ref="C3020:D3020"/>
    <mergeCell ref="E3020:I3020"/>
    <mergeCell ref="J3020:M3020"/>
    <mergeCell ref="N3020:P3020"/>
    <mergeCell ref="Q3020:R3020"/>
    <mergeCell ref="A3021:B3021"/>
    <mergeCell ref="C3021:D3021"/>
    <mergeCell ref="E3021:I3021"/>
    <mergeCell ref="J3021:M3021"/>
    <mergeCell ref="N3021:P3021"/>
    <mergeCell ref="Q3021:R3021"/>
    <mergeCell ref="A3022:B3022"/>
    <mergeCell ref="C3022:D3022"/>
    <mergeCell ref="E3022:I3022"/>
    <mergeCell ref="J3022:M3022"/>
    <mergeCell ref="N3022:P3022"/>
    <mergeCell ref="Q3022:R3022"/>
    <mergeCell ref="A3023:B3023"/>
    <mergeCell ref="C3023:D3023"/>
    <mergeCell ref="E3023:I3023"/>
    <mergeCell ref="J3023:M3023"/>
    <mergeCell ref="N3023:P3023"/>
    <mergeCell ref="Q3023:R3023"/>
    <mergeCell ref="A3024:B3024"/>
    <mergeCell ref="C3024:D3024"/>
    <mergeCell ref="E3024:I3024"/>
    <mergeCell ref="J3024:M3024"/>
    <mergeCell ref="N3024:P3024"/>
    <mergeCell ref="Q3024:R3024"/>
    <mergeCell ref="A3025:B3025"/>
    <mergeCell ref="C3025:D3025"/>
    <mergeCell ref="E3025:I3025"/>
    <mergeCell ref="J3025:M3025"/>
    <mergeCell ref="N3025:P3025"/>
    <mergeCell ref="Q3025:R3025"/>
    <mergeCell ref="A3026:B3026"/>
    <mergeCell ref="C3026:D3026"/>
    <mergeCell ref="E3026:I3026"/>
    <mergeCell ref="J3026:M3026"/>
    <mergeCell ref="N3026:P3026"/>
    <mergeCell ref="Q3026:R3026"/>
    <mergeCell ref="A3027:B3027"/>
    <mergeCell ref="C3027:D3027"/>
    <mergeCell ref="E3027:I3027"/>
    <mergeCell ref="J3027:M3027"/>
    <mergeCell ref="N3027:P3027"/>
    <mergeCell ref="Q3027:R3027"/>
    <mergeCell ref="A3028:B3028"/>
    <mergeCell ref="C3028:D3028"/>
    <mergeCell ref="E3028:I3028"/>
    <mergeCell ref="J3028:M3028"/>
    <mergeCell ref="N3028:P3028"/>
    <mergeCell ref="Q3028:R3028"/>
    <mergeCell ref="A3029:B3029"/>
    <mergeCell ref="C3029:D3029"/>
    <mergeCell ref="E3029:I3029"/>
    <mergeCell ref="J3029:M3029"/>
    <mergeCell ref="N3029:P3029"/>
    <mergeCell ref="Q3029:R3029"/>
    <mergeCell ref="A3030:B3030"/>
    <mergeCell ref="C3030:D3030"/>
    <mergeCell ref="E3030:I3030"/>
    <mergeCell ref="J3030:M3030"/>
    <mergeCell ref="N3030:P3030"/>
    <mergeCell ref="Q3030:R3030"/>
    <mergeCell ref="A3031:B3031"/>
    <mergeCell ref="C3031:D3031"/>
    <mergeCell ref="E3031:I3031"/>
    <mergeCell ref="J3031:M3031"/>
    <mergeCell ref="N3031:P3031"/>
    <mergeCell ref="Q3031:R3031"/>
    <mergeCell ref="A3032:B3032"/>
    <mergeCell ref="C3032:D3032"/>
    <mergeCell ref="E3032:I3032"/>
    <mergeCell ref="J3032:M3032"/>
    <mergeCell ref="N3032:P3032"/>
    <mergeCell ref="Q3032:R3032"/>
    <mergeCell ref="A3033:B3033"/>
    <mergeCell ref="C3033:D3033"/>
    <mergeCell ref="E3033:I3033"/>
    <mergeCell ref="J3033:M3033"/>
    <mergeCell ref="N3033:P3033"/>
    <mergeCell ref="Q3033:R3033"/>
    <mergeCell ref="A3034:B3034"/>
    <mergeCell ref="C3034:D3034"/>
    <mergeCell ref="E3034:I3034"/>
    <mergeCell ref="J3034:M3034"/>
    <mergeCell ref="N3034:P3034"/>
    <mergeCell ref="Q3034:R3034"/>
    <mergeCell ref="A3035:B3035"/>
    <mergeCell ref="C3035:D3035"/>
    <mergeCell ref="E3035:I3035"/>
    <mergeCell ref="J3035:M3035"/>
    <mergeCell ref="N3035:P3035"/>
    <mergeCell ref="Q3035:R3035"/>
    <mergeCell ref="A3036:B3036"/>
    <mergeCell ref="C3036:D3036"/>
    <mergeCell ref="E3036:I3036"/>
    <mergeCell ref="J3036:M3036"/>
    <mergeCell ref="N3036:P3036"/>
    <mergeCell ref="Q3036:R3036"/>
    <mergeCell ref="A3037:B3037"/>
    <mergeCell ref="C3037:D3037"/>
    <mergeCell ref="E3037:I3037"/>
    <mergeCell ref="J3037:M3037"/>
    <mergeCell ref="N3037:P3037"/>
    <mergeCell ref="Q3037:R3037"/>
    <mergeCell ref="A3038:B3038"/>
    <mergeCell ref="C3038:D3038"/>
    <mergeCell ref="E3038:I3038"/>
    <mergeCell ref="J3038:M3038"/>
    <mergeCell ref="N3038:P3038"/>
    <mergeCell ref="Q3038:R3038"/>
    <mergeCell ref="A3039:B3039"/>
    <mergeCell ref="C3039:D3039"/>
    <mergeCell ref="E3039:I3039"/>
    <mergeCell ref="J3039:M3039"/>
    <mergeCell ref="N3039:P3039"/>
    <mergeCell ref="Q3039:R3039"/>
    <mergeCell ref="A3040:B3040"/>
    <mergeCell ref="C3040:D3040"/>
    <mergeCell ref="E3040:I3040"/>
    <mergeCell ref="J3040:M3040"/>
    <mergeCell ref="N3040:P3040"/>
    <mergeCell ref="Q3040:R3040"/>
    <mergeCell ref="A3041:B3041"/>
    <mergeCell ref="C3041:D3041"/>
    <mergeCell ref="E3041:I3041"/>
    <mergeCell ref="J3041:M3041"/>
    <mergeCell ref="N3041:P3041"/>
    <mergeCell ref="Q3041:R3041"/>
    <mergeCell ref="A3042:B3042"/>
    <mergeCell ref="C3042:I3042"/>
    <mergeCell ref="J3042:M3042"/>
    <mergeCell ref="N3042:P3042"/>
    <mergeCell ref="Q3042:R3042"/>
    <mergeCell ref="A3043:B3043"/>
    <mergeCell ref="C3043:I3043"/>
    <mergeCell ref="J3043:M3043"/>
    <mergeCell ref="N3043:P3043"/>
    <mergeCell ref="Q3043:R3043"/>
    <mergeCell ref="A3044:B3044"/>
    <mergeCell ref="C3044:D3044"/>
    <mergeCell ref="E3044:I3044"/>
    <mergeCell ref="J3044:M3044"/>
    <mergeCell ref="N3044:P3044"/>
    <mergeCell ref="Q3044:R3044"/>
    <mergeCell ref="A3045:B3045"/>
    <mergeCell ref="C3045:D3045"/>
    <mergeCell ref="E3045:I3045"/>
    <mergeCell ref="J3045:M3045"/>
    <mergeCell ref="N3045:P3045"/>
    <mergeCell ref="Q3045:R3045"/>
    <mergeCell ref="A3046:B3046"/>
    <mergeCell ref="C3046:D3046"/>
    <mergeCell ref="E3046:I3046"/>
    <mergeCell ref="J3046:M3046"/>
    <mergeCell ref="N3046:P3046"/>
    <mergeCell ref="Q3046:R3046"/>
    <mergeCell ref="A3047:B3047"/>
    <mergeCell ref="C3047:D3047"/>
    <mergeCell ref="E3047:I3047"/>
    <mergeCell ref="J3047:M3047"/>
    <mergeCell ref="N3047:P3047"/>
    <mergeCell ref="Q3047:R3047"/>
    <mergeCell ref="A3048:B3048"/>
    <mergeCell ref="C3048:D3048"/>
    <mergeCell ref="E3048:I3048"/>
    <mergeCell ref="J3048:M3048"/>
    <mergeCell ref="N3048:P3048"/>
    <mergeCell ref="Q3048:R3048"/>
    <mergeCell ref="A3049:B3049"/>
    <mergeCell ref="C3049:D3049"/>
    <mergeCell ref="E3049:I3049"/>
    <mergeCell ref="J3049:M3049"/>
    <mergeCell ref="N3049:P3049"/>
    <mergeCell ref="Q3049:R3049"/>
    <mergeCell ref="A3050:B3050"/>
    <mergeCell ref="C3050:D3050"/>
    <mergeCell ref="E3050:I3050"/>
    <mergeCell ref="J3050:M3050"/>
    <mergeCell ref="N3050:P3050"/>
    <mergeCell ref="Q3050:R3050"/>
    <mergeCell ref="A3051:B3051"/>
    <mergeCell ref="C3051:D3051"/>
    <mergeCell ref="E3051:I3051"/>
    <mergeCell ref="J3051:M3051"/>
    <mergeCell ref="N3051:P3051"/>
    <mergeCell ref="Q3051:R3051"/>
    <mergeCell ref="A3052:B3052"/>
    <mergeCell ref="C3052:D3052"/>
    <mergeCell ref="E3052:I3052"/>
    <mergeCell ref="J3052:M3052"/>
    <mergeCell ref="N3052:P3052"/>
    <mergeCell ref="Q3052:R3052"/>
    <mergeCell ref="A3053:B3053"/>
    <mergeCell ref="C3053:D3053"/>
    <mergeCell ref="E3053:I3053"/>
    <mergeCell ref="J3053:M3053"/>
    <mergeCell ref="N3053:P3053"/>
    <mergeCell ref="Q3053:R3053"/>
    <mergeCell ref="A3054:B3054"/>
    <mergeCell ref="C3054:D3054"/>
    <mergeCell ref="E3054:I3054"/>
    <mergeCell ref="J3054:M3054"/>
    <mergeCell ref="N3054:P3054"/>
    <mergeCell ref="Q3054:R3054"/>
    <mergeCell ref="A3055:B3055"/>
    <mergeCell ref="C3055:I3055"/>
    <mergeCell ref="J3055:M3055"/>
    <mergeCell ref="N3055:P3055"/>
    <mergeCell ref="Q3055:R3055"/>
    <mergeCell ref="A3056:B3056"/>
    <mergeCell ref="C3056:I3056"/>
    <mergeCell ref="J3056:M3056"/>
    <mergeCell ref="N3056:P3056"/>
    <mergeCell ref="Q3056:R3056"/>
    <mergeCell ref="A3057:B3057"/>
    <mergeCell ref="C3057:D3057"/>
    <mergeCell ref="E3057:I3057"/>
    <mergeCell ref="J3057:M3057"/>
    <mergeCell ref="N3057:P3057"/>
    <mergeCell ref="Q3057:R3057"/>
    <mergeCell ref="A3058:B3058"/>
    <mergeCell ref="C3058:D3058"/>
    <mergeCell ref="E3058:I3058"/>
    <mergeCell ref="J3058:M3058"/>
    <mergeCell ref="N3058:P3058"/>
    <mergeCell ref="Q3058:R3058"/>
    <mergeCell ref="A3059:B3059"/>
    <mergeCell ref="C3059:I3059"/>
    <mergeCell ref="J3059:M3059"/>
    <mergeCell ref="N3059:P3059"/>
    <mergeCell ref="Q3059:R3059"/>
    <mergeCell ref="A3060:B3060"/>
    <mergeCell ref="C3060:D3060"/>
    <mergeCell ref="E3060:I3060"/>
    <mergeCell ref="J3060:M3060"/>
    <mergeCell ref="N3060:P3060"/>
    <mergeCell ref="Q3060:R3060"/>
    <mergeCell ref="A3061:B3061"/>
    <mergeCell ref="C3061:I3061"/>
    <mergeCell ref="J3061:M3061"/>
    <mergeCell ref="N3061:P3061"/>
    <mergeCell ref="Q3061:R3061"/>
    <mergeCell ref="A3062:B3062"/>
    <mergeCell ref="C3062:I3062"/>
    <mergeCell ref="J3062:M3062"/>
    <mergeCell ref="N3062:P3062"/>
    <mergeCell ref="Q3062:R3062"/>
    <mergeCell ref="A3063:B3063"/>
    <mergeCell ref="C3063:D3063"/>
    <mergeCell ref="E3063:I3063"/>
    <mergeCell ref="J3063:M3063"/>
    <mergeCell ref="N3063:P3063"/>
    <mergeCell ref="Q3063:R3063"/>
    <mergeCell ref="A3064:B3064"/>
    <mergeCell ref="C3064:I3064"/>
    <mergeCell ref="J3064:M3064"/>
    <mergeCell ref="N3064:P3064"/>
    <mergeCell ref="Q3064:R3064"/>
    <mergeCell ref="A3065:B3065"/>
    <mergeCell ref="C3065:I3065"/>
    <mergeCell ref="J3065:M3065"/>
    <mergeCell ref="N3065:P3065"/>
    <mergeCell ref="Q3065:R3065"/>
    <mergeCell ref="A3066:B3066"/>
    <mergeCell ref="C3066:I3066"/>
    <mergeCell ref="J3066:M3066"/>
    <mergeCell ref="N3066:P3066"/>
    <mergeCell ref="Q3066:R3066"/>
    <mergeCell ref="A3067:B3067"/>
    <mergeCell ref="C3067:I3067"/>
    <mergeCell ref="J3067:M3067"/>
    <mergeCell ref="N3067:P3067"/>
    <mergeCell ref="Q3067:R3067"/>
    <mergeCell ref="A3068:B3068"/>
    <mergeCell ref="C3068:D3068"/>
    <mergeCell ref="E3068:I3068"/>
    <mergeCell ref="J3068:M3068"/>
    <mergeCell ref="N3068:P3068"/>
    <mergeCell ref="Q3068:R3068"/>
    <mergeCell ref="A3069:B3069"/>
    <mergeCell ref="C3069:D3069"/>
    <mergeCell ref="E3069:I3069"/>
    <mergeCell ref="J3069:M3069"/>
    <mergeCell ref="N3069:P3069"/>
    <mergeCell ref="Q3069:R3069"/>
    <mergeCell ref="A3070:B3070"/>
    <mergeCell ref="C3070:D3070"/>
    <mergeCell ref="E3070:I3070"/>
    <mergeCell ref="J3070:M3070"/>
    <mergeCell ref="N3070:P3070"/>
    <mergeCell ref="Q3070:R3070"/>
    <mergeCell ref="A3071:B3071"/>
    <mergeCell ref="C3071:D3071"/>
    <mergeCell ref="E3071:I3071"/>
    <mergeCell ref="J3071:M3071"/>
    <mergeCell ref="N3071:P3071"/>
    <mergeCell ref="Q3071:R3071"/>
    <mergeCell ref="A3072:B3072"/>
    <mergeCell ref="C3072:D3072"/>
    <mergeCell ref="E3072:I3072"/>
    <mergeCell ref="J3072:M3072"/>
    <mergeCell ref="N3072:P3072"/>
    <mergeCell ref="Q3072:R3072"/>
    <mergeCell ref="A3073:B3073"/>
    <mergeCell ref="C3073:D3073"/>
    <mergeCell ref="E3073:I3073"/>
    <mergeCell ref="J3073:M3073"/>
    <mergeCell ref="N3073:P3073"/>
    <mergeCell ref="Q3073:R3073"/>
    <mergeCell ref="A3074:B3074"/>
    <mergeCell ref="C3074:I3074"/>
    <mergeCell ref="J3074:M3074"/>
    <mergeCell ref="N3074:P3074"/>
    <mergeCell ref="Q3074:R3074"/>
    <mergeCell ref="A3075:B3075"/>
    <mergeCell ref="C3075:D3075"/>
    <mergeCell ref="E3075:I3075"/>
    <mergeCell ref="J3075:M3075"/>
    <mergeCell ref="N3075:P3075"/>
    <mergeCell ref="Q3075:R3075"/>
    <mergeCell ref="A3076:B3076"/>
    <mergeCell ref="C3076:D3076"/>
    <mergeCell ref="E3076:I3076"/>
    <mergeCell ref="J3076:M3076"/>
    <mergeCell ref="N3076:P3076"/>
    <mergeCell ref="Q3076:R3076"/>
    <mergeCell ref="A3077:B3077"/>
    <mergeCell ref="C3077:D3077"/>
    <mergeCell ref="E3077:I3077"/>
    <mergeCell ref="J3077:M3077"/>
    <mergeCell ref="N3077:P3077"/>
    <mergeCell ref="Q3077:R3077"/>
    <mergeCell ref="A3078:B3078"/>
    <mergeCell ref="C3078:D3078"/>
    <mergeCell ref="E3078:I3078"/>
    <mergeCell ref="J3078:M3078"/>
    <mergeCell ref="N3078:P3078"/>
    <mergeCell ref="Q3078:R3078"/>
    <mergeCell ref="A3079:B3079"/>
    <mergeCell ref="C3079:D3079"/>
    <mergeCell ref="E3079:I3079"/>
    <mergeCell ref="J3079:M3079"/>
    <mergeCell ref="N3079:P3079"/>
    <mergeCell ref="Q3079:R3079"/>
    <mergeCell ref="A3080:B3080"/>
    <mergeCell ref="C3080:D3080"/>
    <mergeCell ref="E3080:I3080"/>
    <mergeCell ref="J3080:M3080"/>
    <mergeCell ref="N3080:P3080"/>
    <mergeCell ref="Q3080:R3080"/>
    <mergeCell ref="A3081:B3081"/>
    <mergeCell ref="C3081:D3081"/>
    <mergeCell ref="E3081:I3081"/>
    <mergeCell ref="J3081:M3081"/>
    <mergeCell ref="N3081:P3081"/>
    <mergeCell ref="Q3081:R3081"/>
    <mergeCell ref="A3082:B3082"/>
    <mergeCell ref="C3082:D3082"/>
    <mergeCell ref="E3082:I3082"/>
    <mergeCell ref="J3082:M3082"/>
    <mergeCell ref="N3082:P3082"/>
    <mergeCell ref="Q3082:R3082"/>
    <mergeCell ref="A3083:B3083"/>
    <mergeCell ref="C3083:D3083"/>
    <mergeCell ref="E3083:I3083"/>
    <mergeCell ref="J3083:M3083"/>
    <mergeCell ref="N3083:P3083"/>
    <mergeCell ref="Q3083:R3083"/>
    <mergeCell ref="A3084:B3084"/>
    <mergeCell ref="C3084:D3084"/>
    <mergeCell ref="E3084:I3084"/>
    <mergeCell ref="J3084:M3084"/>
    <mergeCell ref="N3084:P3084"/>
    <mergeCell ref="Q3084:R3084"/>
    <mergeCell ref="A3085:B3085"/>
    <mergeCell ref="C3085:I3085"/>
    <mergeCell ref="J3085:M3085"/>
    <mergeCell ref="N3085:P3085"/>
    <mergeCell ref="Q3085:R3085"/>
    <mergeCell ref="A3086:B3086"/>
    <mergeCell ref="C3086:D3086"/>
    <mergeCell ref="E3086:I3086"/>
    <mergeCell ref="J3086:M3086"/>
    <mergeCell ref="N3086:P3086"/>
    <mergeCell ref="Q3086:R3086"/>
    <mergeCell ref="A3087:B3087"/>
    <mergeCell ref="C3087:D3087"/>
    <mergeCell ref="E3087:I3087"/>
    <mergeCell ref="J3087:M3087"/>
    <mergeCell ref="N3087:P3087"/>
    <mergeCell ref="Q3087:R3087"/>
    <mergeCell ref="A3088:B3088"/>
    <mergeCell ref="C3088:I3088"/>
    <mergeCell ref="J3088:M3088"/>
    <mergeCell ref="N3088:P3088"/>
    <mergeCell ref="Q3088:R3088"/>
    <mergeCell ref="A3089:B3089"/>
    <mergeCell ref="C3089:D3089"/>
    <mergeCell ref="E3089:I3089"/>
    <mergeCell ref="J3089:M3089"/>
    <mergeCell ref="N3089:P3089"/>
    <mergeCell ref="Q3089:R3089"/>
    <mergeCell ref="A3090:B3090"/>
    <mergeCell ref="C3090:D3090"/>
    <mergeCell ref="E3090:I3090"/>
    <mergeCell ref="J3090:M3090"/>
    <mergeCell ref="N3090:P3090"/>
    <mergeCell ref="Q3090:R3090"/>
    <mergeCell ref="A3091:B3091"/>
    <mergeCell ref="C3091:I3091"/>
    <mergeCell ref="J3091:M3091"/>
    <mergeCell ref="N3091:P3091"/>
    <mergeCell ref="Q3091:R3091"/>
    <mergeCell ref="A3092:B3092"/>
    <mergeCell ref="C3092:D3092"/>
    <mergeCell ref="E3092:I3092"/>
    <mergeCell ref="J3092:M3092"/>
    <mergeCell ref="N3092:P3092"/>
    <mergeCell ref="Q3092:R3092"/>
    <mergeCell ref="A3093:B3093"/>
    <mergeCell ref="C3093:D3093"/>
    <mergeCell ref="E3093:I3093"/>
    <mergeCell ref="J3093:M3093"/>
    <mergeCell ref="N3093:P3093"/>
    <mergeCell ref="Q3093:R3093"/>
    <mergeCell ref="A3094:B3094"/>
    <mergeCell ref="C3094:D3094"/>
    <mergeCell ref="E3094:I3094"/>
    <mergeCell ref="J3094:M3094"/>
    <mergeCell ref="N3094:P3094"/>
    <mergeCell ref="Q3094:R3094"/>
    <mergeCell ref="A3095:B3095"/>
    <mergeCell ref="C3095:D3095"/>
    <mergeCell ref="E3095:I3095"/>
    <mergeCell ref="J3095:M3095"/>
    <mergeCell ref="N3095:P3095"/>
    <mergeCell ref="Q3095:R3095"/>
    <mergeCell ref="A3096:B3096"/>
    <mergeCell ref="C3096:I3096"/>
    <mergeCell ref="J3096:M3096"/>
    <mergeCell ref="N3096:P3096"/>
    <mergeCell ref="Q3096:R3096"/>
    <mergeCell ref="A3097:B3097"/>
    <mergeCell ref="C3097:D3097"/>
    <mergeCell ref="E3097:I3097"/>
    <mergeCell ref="J3097:M3097"/>
    <mergeCell ref="N3097:P3097"/>
    <mergeCell ref="Q3097:R3097"/>
    <mergeCell ref="A3098:B3098"/>
    <mergeCell ref="C3098:I3098"/>
    <mergeCell ref="J3098:M3098"/>
    <mergeCell ref="N3098:P3098"/>
    <mergeCell ref="Q3098:R3098"/>
    <mergeCell ref="A3099:B3099"/>
    <mergeCell ref="C3099:D3099"/>
    <mergeCell ref="E3099:I3099"/>
    <mergeCell ref="J3099:M3099"/>
    <mergeCell ref="N3099:P3099"/>
    <mergeCell ref="Q3099:R3099"/>
    <mergeCell ref="A3100:B3100"/>
    <mergeCell ref="C3100:D3100"/>
    <mergeCell ref="E3100:I3100"/>
    <mergeCell ref="J3100:M3100"/>
    <mergeCell ref="N3100:P3100"/>
    <mergeCell ref="Q3100:R3100"/>
    <mergeCell ref="A3101:B3101"/>
    <mergeCell ref="C3101:D3101"/>
    <mergeCell ref="E3101:I3101"/>
    <mergeCell ref="J3101:M3101"/>
    <mergeCell ref="N3101:P3101"/>
    <mergeCell ref="Q3101:R3101"/>
    <mergeCell ref="A3102:B3102"/>
    <mergeCell ref="C3102:I3102"/>
    <mergeCell ref="J3102:M3102"/>
    <mergeCell ref="N3102:P3102"/>
    <mergeCell ref="Q3102:R3102"/>
    <mergeCell ref="A3103:B3103"/>
    <mergeCell ref="C3103:D3103"/>
    <mergeCell ref="E3103:I3103"/>
    <mergeCell ref="J3103:M3103"/>
    <mergeCell ref="N3103:P3103"/>
    <mergeCell ref="Q3103:R3103"/>
    <mergeCell ref="A3104:B3104"/>
    <mergeCell ref="C3104:D3104"/>
    <mergeCell ref="E3104:I3104"/>
    <mergeCell ref="J3104:M3104"/>
    <mergeCell ref="N3104:P3104"/>
    <mergeCell ref="Q3104:R3104"/>
    <mergeCell ref="A3105:B3105"/>
    <mergeCell ref="C3105:I3105"/>
    <mergeCell ref="J3105:M3105"/>
    <mergeCell ref="N3105:P3105"/>
    <mergeCell ref="Q3105:R3105"/>
    <mergeCell ref="A3106:B3106"/>
    <mergeCell ref="C3106:D3106"/>
    <mergeCell ref="E3106:I3106"/>
    <mergeCell ref="J3106:M3106"/>
    <mergeCell ref="N3106:P3106"/>
    <mergeCell ref="Q3106:R3106"/>
    <mergeCell ref="A3107:B3107"/>
    <mergeCell ref="C3107:D3107"/>
    <mergeCell ref="E3107:I3107"/>
    <mergeCell ref="J3107:M3107"/>
    <mergeCell ref="N3107:P3107"/>
    <mergeCell ref="Q3107:R3107"/>
    <mergeCell ref="A3108:B3108"/>
    <mergeCell ref="C3108:D3108"/>
    <mergeCell ref="E3108:I3108"/>
    <mergeCell ref="J3108:M3108"/>
    <mergeCell ref="N3108:P3108"/>
    <mergeCell ref="Q3108:R3108"/>
    <mergeCell ref="A3109:B3109"/>
    <mergeCell ref="C3109:I3109"/>
    <mergeCell ref="J3109:M3109"/>
    <mergeCell ref="N3109:P3109"/>
    <mergeCell ref="Q3109:R3109"/>
    <mergeCell ref="A3110:B3110"/>
    <mergeCell ref="C3110:D3110"/>
    <mergeCell ref="E3110:I3110"/>
    <mergeCell ref="J3110:M3110"/>
    <mergeCell ref="N3110:P3110"/>
    <mergeCell ref="Q3110:R3110"/>
    <mergeCell ref="A3111:B3111"/>
    <mergeCell ref="C3111:I3111"/>
    <mergeCell ref="J3111:M3111"/>
    <mergeCell ref="N3111:P3111"/>
    <mergeCell ref="Q3111:R3111"/>
    <mergeCell ref="A3112:B3112"/>
    <mergeCell ref="C3112:D3112"/>
    <mergeCell ref="E3112:I3112"/>
    <mergeCell ref="J3112:M3112"/>
    <mergeCell ref="N3112:P3112"/>
    <mergeCell ref="Q3112:R3112"/>
    <mergeCell ref="A3113:B3113"/>
    <mergeCell ref="C3113:D3113"/>
    <mergeCell ref="E3113:I3113"/>
    <mergeCell ref="J3113:M3113"/>
    <mergeCell ref="N3113:P3113"/>
    <mergeCell ref="Q3113:R3113"/>
    <mergeCell ref="A3114:B3114"/>
    <mergeCell ref="C3114:I3114"/>
    <mergeCell ref="J3114:M3114"/>
    <mergeCell ref="N3114:P3114"/>
    <mergeCell ref="Q3114:R3114"/>
    <mergeCell ref="A3115:B3115"/>
    <mergeCell ref="C3115:D3115"/>
    <mergeCell ref="E3115:I3115"/>
    <mergeCell ref="J3115:M3115"/>
    <mergeCell ref="N3115:P3115"/>
    <mergeCell ref="Q3115:R3115"/>
    <mergeCell ref="A3116:B3116"/>
    <mergeCell ref="C3116:I3116"/>
    <mergeCell ref="J3116:M3116"/>
    <mergeCell ref="N3116:P3116"/>
    <mergeCell ref="Q3116:R3116"/>
    <mergeCell ref="A3117:B3117"/>
    <mergeCell ref="C3117:I3117"/>
    <mergeCell ref="J3117:M3117"/>
    <mergeCell ref="N3117:P3117"/>
    <mergeCell ref="Q3117:R3117"/>
    <mergeCell ref="A3118:B3118"/>
    <mergeCell ref="C3118:D3118"/>
    <mergeCell ref="E3118:I3118"/>
    <mergeCell ref="J3118:M3118"/>
    <mergeCell ref="N3118:P3118"/>
    <mergeCell ref="Q3118:R3118"/>
    <mergeCell ref="A3119:B3119"/>
    <mergeCell ref="C3119:D3119"/>
    <mergeCell ref="E3119:I3119"/>
    <mergeCell ref="J3119:M3119"/>
    <mergeCell ref="N3119:P3119"/>
    <mergeCell ref="Q3119:R3119"/>
    <mergeCell ref="A3120:B3120"/>
    <mergeCell ref="C3120:D3120"/>
    <mergeCell ref="E3120:I3120"/>
    <mergeCell ref="J3120:M3120"/>
    <mergeCell ref="N3120:P3120"/>
    <mergeCell ref="Q3120:R3120"/>
    <mergeCell ref="A3121:B3121"/>
    <mergeCell ref="C3121:D3121"/>
    <mergeCell ref="E3121:I3121"/>
    <mergeCell ref="J3121:M3121"/>
    <mergeCell ref="N3121:P3121"/>
    <mergeCell ref="Q3121:R3121"/>
    <mergeCell ref="A3122:B3122"/>
    <mergeCell ref="C3122:D3122"/>
    <mergeCell ref="E3122:I3122"/>
    <mergeCell ref="J3122:M3122"/>
    <mergeCell ref="N3122:P3122"/>
    <mergeCell ref="Q3122:R3122"/>
    <mergeCell ref="A3123:B3123"/>
    <mergeCell ref="C3123:I3123"/>
    <mergeCell ref="J3123:M3123"/>
    <mergeCell ref="N3123:P3123"/>
    <mergeCell ref="Q3123:R3123"/>
    <mergeCell ref="A3124:B3124"/>
    <mergeCell ref="C3124:I3124"/>
    <mergeCell ref="J3124:M3124"/>
    <mergeCell ref="N3124:P3124"/>
    <mergeCell ref="Q3124:R3124"/>
    <mergeCell ref="A3125:B3125"/>
    <mergeCell ref="C3125:D3125"/>
    <mergeCell ref="E3125:I3125"/>
    <mergeCell ref="J3125:M3125"/>
    <mergeCell ref="N3125:P3125"/>
    <mergeCell ref="Q3125:R3125"/>
    <mergeCell ref="A3126:B3126"/>
    <mergeCell ref="C3126:D3126"/>
    <mergeCell ref="E3126:I3126"/>
    <mergeCell ref="J3126:M3126"/>
    <mergeCell ref="N3126:P3126"/>
    <mergeCell ref="Q3126:R3126"/>
    <mergeCell ref="A3127:B3127"/>
    <mergeCell ref="C3127:D3127"/>
    <mergeCell ref="E3127:I3127"/>
    <mergeCell ref="J3127:M3127"/>
    <mergeCell ref="N3127:P3127"/>
    <mergeCell ref="Q3127:R3127"/>
    <mergeCell ref="A3128:B3128"/>
    <mergeCell ref="C3128:D3128"/>
    <mergeCell ref="E3128:I3128"/>
    <mergeCell ref="J3128:M3128"/>
    <mergeCell ref="N3128:P3128"/>
    <mergeCell ref="Q3128:R3128"/>
    <mergeCell ref="A3129:B3129"/>
    <mergeCell ref="C3129:I3129"/>
    <mergeCell ref="J3129:M3129"/>
    <mergeCell ref="N3129:P3129"/>
    <mergeCell ref="Q3129:R3129"/>
    <mergeCell ref="A3130:B3130"/>
    <mergeCell ref="C3130:D3130"/>
    <mergeCell ref="E3130:I3130"/>
    <mergeCell ref="J3130:M3130"/>
    <mergeCell ref="N3130:P3130"/>
    <mergeCell ref="Q3130:R3130"/>
    <mergeCell ref="A3131:B3131"/>
    <mergeCell ref="C3131:I3131"/>
    <mergeCell ref="J3131:M3131"/>
    <mergeCell ref="N3131:P3131"/>
    <mergeCell ref="Q3131:R3131"/>
    <mergeCell ref="A3132:B3132"/>
    <mergeCell ref="C3132:I3132"/>
    <mergeCell ref="J3132:M3132"/>
    <mergeCell ref="N3132:P3132"/>
    <mergeCell ref="Q3132:R3132"/>
    <mergeCell ref="A3133:B3133"/>
    <mergeCell ref="C3133:I3133"/>
    <mergeCell ref="J3133:M3133"/>
    <mergeCell ref="N3133:P3133"/>
    <mergeCell ref="Q3133:R3133"/>
    <mergeCell ref="A3134:B3134"/>
    <mergeCell ref="C3134:I3134"/>
    <mergeCell ref="J3134:M3134"/>
    <mergeCell ref="N3134:P3134"/>
    <mergeCell ref="Q3134:R3134"/>
    <mergeCell ref="A3135:B3135"/>
    <mergeCell ref="C3135:I3135"/>
    <mergeCell ref="J3135:M3135"/>
    <mergeCell ref="N3135:P3135"/>
    <mergeCell ref="Q3135:R3135"/>
    <mergeCell ref="A3136:B3136"/>
    <mergeCell ref="C3136:I3136"/>
    <mergeCell ref="J3136:M3136"/>
    <mergeCell ref="N3136:P3136"/>
    <mergeCell ref="Q3136:R3136"/>
    <mergeCell ref="A3137:B3137"/>
    <mergeCell ref="C3137:I3137"/>
    <mergeCell ref="J3137:M3137"/>
    <mergeCell ref="N3137:P3137"/>
    <mergeCell ref="Q3137:R3137"/>
    <mergeCell ref="A3138:B3138"/>
    <mergeCell ref="C3138:D3138"/>
    <mergeCell ref="E3138:I3138"/>
    <mergeCell ref="J3138:M3138"/>
    <mergeCell ref="N3138:P3138"/>
    <mergeCell ref="Q3138:R3138"/>
    <mergeCell ref="A3139:B3139"/>
    <mergeCell ref="C3139:D3139"/>
    <mergeCell ref="E3139:I3139"/>
    <mergeCell ref="J3139:M3139"/>
    <mergeCell ref="N3139:P3139"/>
    <mergeCell ref="Q3139:R3139"/>
    <mergeCell ref="A3140:B3140"/>
    <mergeCell ref="C3140:D3140"/>
    <mergeCell ref="E3140:I3140"/>
    <mergeCell ref="J3140:M3140"/>
    <mergeCell ref="N3140:P3140"/>
    <mergeCell ref="Q3140:R3140"/>
    <mergeCell ref="A3141:B3141"/>
    <mergeCell ref="C3141:D3141"/>
    <mergeCell ref="E3141:I3141"/>
    <mergeCell ref="J3141:M3141"/>
    <mergeCell ref="N3141:P3141"/>
    <mergeCell ref="Q3141:R3141"/>
    <mergeCell ref="A3142:B3142"/>
    <mergeCell ref="C3142:D3142"/>
    <mergeCell ref="E3142:I3142"/>
    <mergeCell ref="J3142:M3142"/>
    <mergeCell ref="N3142:P3142"/>
    <mergeCell ref="Q3142:R3142"/>
    <mergeCell ref="A3143:B3143"/>
    <mergeCell ref="C3143:D3143"/>
    <mergeCell ref="E3143:I3143"/>
    <mergeCell ref="J3143:M3143"/>
    <mergeCell ref="N3143:P3143"/>
    <mergeCell ref="Q3143:R3143"/>
    <mergeCell ref="A3144:B3144"/>
    <mergeCell ref="C3144:I3144"/>
    <mergeCell ref="J3144:M3144"/>
    <mergeCell ref="N3144:P3144"/>
    <mergeCell ref="Q3144:R3144"/>
    <mergeCell ref="A3145:B3145"/>
    <mergeCell ref="C3145:D3145"/>
    <mergeCell ref="E3145:I3145"/>
    <mergeCell ref="J3145:M3145"/>
    <mergeCell ref="N3145:P3145"/>
    <mergeCell ref="Q3145:R3145"/>
    <mergeCell ref="A3146:B3146"/>
    <mergeCell ref="C3146:D3146"/>
    <mergeCell ref="E3146:I3146"/>
    <mergeCell ref="J3146:M3146"/>
    <mergeCell ref="N3146:P3146"/>
    <mergeCell ref="Q3146:R3146"/>
    <mergeCell ref="A3147:B3147"/>
    <mergeCell ref="C3147:I3147"/>
    <mergeCell ref="J3147:M3147"/>
    <mergeCell ref="N3147:P3147"/>
    <mergeCell ref="Q3147:R3147"/>
    <mergeCell ref="A3148:B3148"/>
    <mergeCell ref="C3148:D3148"/>
    <mergeCell ref="E3148:I3148"/>
    <mergeCell ref="J3148:M3148"/>
    <mergeCell ref="N3148:P3148"/>
    <mergeCell ref="Q3148:R3148"/>
    <mergeCell ref="A3149:B3149"/>
    <mergeCell ref="C3149:D3149"/>
    <mergeCell ref="E3149:I3149"/>
    <mergeCell ref="J3149:M3149"/>
    <mergeCell ref="N3149:P3149"/>
    <mergeCell ref="Q3149:R3149"/>
    <mergeCell ref="A3150:B3150"/>
    <mergeCell ref="C3150:D3150"/>
    <mergeCell ref="E3150:I3150"/>
    <mergeCell ref="J3150:M3150"/>
    <mergeCell ref="N3150:P3150"/>
    <mergeCell ref="Q3150:R3150"/>
    <mergeCell ref="A3151:B3151"/>
    <mergeCell ref="C3151:D3151"/>
    <mergeCell ref="E3151:I3151"/>
    <mergeCell ref="J3151:M3151"/>
    <mergeCell ref="N3151:P3151"/>
    <mergeCell ref="Q3151:R3151"/>
    <mergeCell ref="A3152:B3152"/>
    <mergeCell ref="C3152:D3152"/>
    <mergeCell ref="E3152:I3152"/>
    <mergeCell ref="J3152:M3152"/>
    <mergeCell ref="N3152:P3152"/>
    <mergeCell ref="Q3152:R3152"/>
    <mergeCell ref="A3153:B3153"/>
    <mergeCell ref="C3153:D3153"/>
    <mergeCell ref="E3153:I3153"/>
    <mergeCell ref="J3153:M3153"/>
    <mergeCell ref="N3153:P3153"/>
    <mergeCell ref="Q3153:R3153"/>
    <mergeCell ref="A3154:B3154"/>
    <mergeCell ref="C3154:D3154"/>
    <mergeCell ref="E3154:I3154"/>
    <mergeCell ref="J3154:M3154"/>
    <mergeCell ref="N3154:P3154"/>
    <mergeCell ref="Q3154:R3154"/>
    <mergeCell ref="A3155:B3155"/>
    <mergeCell ref="C3155:I3155"/>
    <mergeCell ref="J3155:M3155"/>
    <mergeCell ref="N3155:P3155"/>
    <mergeCell ref="Q3155:R3155"/>
    <mergeCell ref="A3156:B3156"/>
    <mergeCell ref="C3156:D3156"/>
    <mergeCell ref="E3156:I3156"/>
    <mergeCell ref="J3156:M3156"/>
    <mergeCell ref="N3156:P3156"/>
    <mergeCell ref="Q3156:R3156"/>
    <mergeCell ref="A3157:B3157"/>
    <mergeCell ref="C3157:D3157"/>
    <mergeCell ref="E3157:I3157"/>
    <mergeCell ref="J3157:M3157"/>
    <mergeCell ref="N3157:P3157"/>
    <mergeCell ref="Q3157:R3157"/>
    <mergeCell ref="A3158:B3158"/>
    <mergeCell ref="C3158:D3158"/>
    <mergeCell ref="E3158:I3158"/>
    <mergeCell ref="J3158:M3158"/>
    <mergeCell ref="N3158:P3158"/>
    <mergeCell ref="Q3158:R3158"/>
    <mergeCell ref="A3159:B3159"/>
    <mergeCell ref="C3159:D3159"/>
    <mergeCell ref="E3159:I3159"/>
    <mergeCell ref="J3159:M3159"/>
    <mergeCell ref="N3159:P3159"/>
    <mergeCell ref="Q3159:R3159"/>
    <mergeCell ref="A3160:B3160"/>
    <mergeCell ref="C3160:D3160"/>
    <mergeCell ref="E3160:I3160"/>
    <mergeCell ref="J3160:M3160"/>
    <mergeCell ref="N3160:P3160"/>
    <mergeCell ref="Q3160:R3160"/>
    <mergeCell ref="A3161:B3161"/>
    <mergeCell ref="C3161:D3161"/>
    <mergeCell ref="E3161:I3161"/>
    <mergeCell ref="J3161:M3161"/>
    <mergeCell ref="N3161:P3161"/>
    <mergeCell ref="Q3161:R3161"/>
    <mergeCell ref="A3162:B3162"/>
    <mergeCell ref="C3162:D3162"/>
    <mergeCell ref="E3162:I3162"/>
    <mergeCell ref="J3162:M3162"/>
    <mergeCell ref="N3162:P3162"/>
    <mergeCell ref="Q3162:R3162"/>
    <mergeCell ref="A3163:B3163"/>
    <mergeCell ref="C3163:D3163"/>
    <mergeCell ref="E3163:I3163"/>
    <mergeCell ref="J3163:M3163"/>
    <mergeCell ref="N3163:P3163"/>
    <mergeCell ref="Q3163:R3163"/>
    <mergeCell ref="A3164:B3164"/>
    <mergeCell ref="C3164:D3164"/>
    <mergeCell ref="E3164:I3164"/>
    <mergeCell ref="J3164:M3164"/>
    <mergeCell ref="N3164:P3164"/>
    <mergeCell ref="Q3164:R3164"/>
    <mergeCell ref="A3165:B3165"/>
    <mergeCell ref="C3165:D3165"/>
    <mergeCell ref="E3165:I3165"/>
    <mergeCell ref="J3165:M3165"/>
    <mergeCell ref="N3165:P3165"/>
    <mergeCell ref="Q3165:R3165"/>
    <mergeCell ref="A3166:B3166"/>
    <mergeCell ref="C3166:I3166"/>
    <mergeCell ref="J3166:M3166"/>
    <mergeCell ref="N3166:P3166"/>
    <mergeCell ref="Q3166:R3166"/>
    <mergeCell ref="A3167:B3167"/>
    <mergeCell ref="C3167:I3167"/>
    <mergeCell ref="J3167:M3167"/>
    <mergeCell ref="N3167:P3167"/>
    <mergeCell ref="Q3167:R3167"/>
    <mergeCell ref="A3168:B3168"/>
    <mergeCell ref="C3168:I3168"/>
    <mergeCell ref="J3168:M3168"/>
    <mergeCell ref="N3168:P3168"/>
    <mergeCell ref="Q3168:R3168"/>
    <mergeCell ref="A3169:B3169"/>
    <mergeCell ref="C3169:I3169"/>
    <mergeCell ref="J3169:M3169"/>
    <mergeCell ref="N3169:P3169"/>
    <mergeCell ref="Q3169:R3169"/>
    <mergeCell ref="A3170:B3170"/>
    <mergeCell ref="C3170:I3170"/>
    <mergeCell ref="J3170:M3170"/>
    <mergeCell ref="N3170:P3170"/>
    <mergeCell ref="Q3170:R3170"/>
    <mergeCell ref="A3171:B3171"/>
    <mergeCell ref="C3171:D3171"/>
    <mergeCell ref="E3171:I3171"/>
    <mergeCell ref="J3171:M3171"/>
    <mergeCell ref="N3171:P3171"/>
    <mergeCell ref="Q3171:R3171"/>
    <mergeCell ref="A3172:B3172"/>
    <mergeCell ref="C3172:I3172"/>
    <mergeCell ref="J3172:M3172"/>
    <mergeCell ref="N3172:P3172"/>
    <mergeCell ref="Q3172:R3172"/>
    <mergeCell ref="A3173:B3173"/>
    <mergeCell ref="C3173:D3173"/>
    <mergeCell ref="E3173:I3173"/>
    <mergeCell ref="J3173:M3173"/>
    <mergeCell ref="N3173:P3173"/>
    <mergeCell ref="Q3173:R3173"/>
    <mergeCell ref="A3174:B3174"/>
    <mergeCell ref="C3174:I3174"/>
    <mergeCell ref="J3174:M3174"/>
    <mergeCell ref="N3174:P3174"/>
    <mergeCell ref="Q3174:R3174"/>
    <mergeCell ref="A3175:B3175"/>
    <mergeCell ref="C3175:I3175"/>
    <mergeCell ref="J3175:M3175"/>
    <mergeCell ref="N3175:P3175"/>
    <mergeCell ref="Q3175:R3175"/>
    <mergeCell ref="A3176:B3176"/>
    <mergeCell ref="C3176:I3176"/>
    <mergeCell ref="J3176:M3176"/>
    <mergeCell ref="N3176:P3176"/>
    <mergeCell ref="Q3176:R3176"/>
    <mergeCell ref="A3177:B3177"/>
    <mergeCell ref="C3177:D3177"/>
    <mergeCell ref="E3177:I3177"/>
    <mergeCell ref="J3177:M3177"/>
    <mergeCell ref="N3177:P3177"/>
    <mergeCell ref="Q3177:R3177"/>
    <mergeCell ref="A3178:B3178"/>
    <mergeCell ref="C3178:I3178"/>
    <mergeCell ref="J3178:M3178"/>
    <mergeCell ref="N3178:P3178"/>
    <mergeCell ref="Q3178:R3178"/>
    <mergeCell ref="A3179:B3179"/>
    <mergeCell ref="C3179:I3179"/>
    <mergeCell ref="J3179:M3179"/>
    <mergeCell ref="N3179:P3179"/>
    <mergeCell ref="Q3179:R3179"/>
    <mergeCell ref="A3180:B3180"/>
    <mergeCell ref="C3180:I3180"/>
    <mergeCell ref="J3180:M3180"/>
    <mergeCell ref="N3180:P3180"/>
    <mergeCell ref="Q3180:R3180"/>
    <mergeCell ref="A3181:B3181"/>
    <mergeCell ref="C3181:I3181"/>
    <mergeCell ref="J3181:M3181"/>
    <mergeCell ref="N3181:P3181"/>
    <mergeCell ref="Q3181:R3181"/>
    <mergeCell ref="A3182:B3182"/>
    <mergeCell ref="C3182:I3182"/>
    <mergeCell ref="J3182:M3182"/>
    <mergeCell ref="N3182:P3182"/>
    <mergeCell ref="Q3182:R3182"/>
    <mergeCell ref="A3183:B3183"/>
    <mergeCell ref="C3183:I3183"/>
    <mergeCell ref="J3183:M3183"/>
    <mergeCell ref="N3183:P3183"/>
    <mergeCell ref="Q3183:R3183"/>
    <mergeCell ref="A3184:B3184"/>
    <mergeCell ref="C3184:I3184"/>
    <mergeCell ref="J3184:M3184"/>
    <mergeCell ref="N3184:P3184"/>
    <mergeCell ref="Q3184:R3184"/>
    <mergeCell ref="A3185:B3185"/>
    <mergeCell ref="C3185:I3185"/>
    <mergeCell ref="J3185:M3185"/>
    <mergeCell ref="N3185:P3185"/>
    <mergeCell ref="Q3185:R3185"/>
    <mergeCell ref="A3186:B3186"/>
    <mergeCell ref="C3186:D3186"/>
    <mergeCell ref="E3186:I3186"/>
    <mergeCell ref="J3186:M3186"/>
    <mergeCell ref="N3186:P3186"/>
    <mergeCell ref="Q3186:R3186"/>
    <mergeCell ref="A3187:B3187"/>
    <mergeCell ref="C3187:D3187"/>
    <mergeCell ref="E3187:I3187"/>
    <mergeCell ref="J3187:M3187"/>
    <mergeCell ref="N3187:P3187"/>
    <mergeCell ref="Q3187:R3187"/>
    <mergeCell ref="A3188:B3188"/>
    <mergeCell ref="C3188:I3188"/>
    <mergeCell ref="J3188:M3188"/>
    <mergeCell ref="N3188:P3188"/>
    <mergeCell ref="Q3188:R3188"/>
    <mergeCell ref="A3189:B3189"/>
    <mergeCell ref="C3189:D3189"/>
    <mergeCell ref="E3189:I3189"/>
    <mergeCell ref="J3189:M3189"/>
    <mergeCell ref="N3189:P3189"/>
    <mergeCell ref="Q3189:R3189"/>
    <mergeCell ref="A3190:B3190"/>
    <mergeCell ref="C3190:D3190"/>
    <mergeCell ref="E3190:I3190"/>
    <mergeCell ref="J3190:M3190"/>
    <mergeCell ref="N3190:P3190"/>
    <mergeCell ref="Q3190:R3190"/>
    <mergeCell ref="A3191:B3191"/>
    <mergeCell ref="C3191:D3191"/>
    <mergeCell ref="E3191:I3191"/>
    <mergeCell ref="J3191:M3191"/>
    <mergeCell ref="N3191:P3191"/>
    <mergeCell ref="Q3191:R3191"/>
    <mergeCell ref="A3192:B3192"/>
    <mergeCell ref="C3192:D3192"/>
    <mergeCell ref="E3192:I3192"/>
    <mergeCell ref="J3192:M3192"/>
    <mergeCell ref="N3192:P3192"/>
    <mergeCell ref="Q3192:R3192"/>
    <mergeCell ref="A3193:B3193"/>
    <mergeCell ref="C3193:D3193"/>
    <mergeCell ref="E3193:I3193"/>
    <mergeCell ref="J3193:M3193"/>
    <mergeCell ref="N3193:P3193"/>
    <mergeCell ref="Q3193:R3193"/>
    <mergeCell ref="A3194:B3194"/>
    <mergeCell ref="C3194:D3194"/>
    <mergeCell ref="E3194:I3194"/>
    <mergeCell ref="J3194:M3194"/>
    <mergeCell ref="N3194:P3194"/>
    <mergeCell ref="Q3194:R3194"/>
    <mergeCell ref="A3195:B3195"/>
    <mergeCell ref="C3195:D3195"/>
    <mergeCell ref="E3195:I3195"/>
    <mergeCell ref="J3195:M3195"/>
    <mergeCell ref="N3195:P3195"/>
    <mergeCell ref="Q3195:R3195"/>
    <mergeCell ref="A3196:B3196"/>
    <mergeCell ref="C3196:D3196"/>
    <mergeCell ref="E3196:I3196"/>
    <mergeCell ref="J3196:M3196"/>
    <mergeCell ref="N3196:P3196"/>
    <mergeCell ref="Q3196:R3196"/>
    <mergeCell ref="A3197:B3197"/>
    <mergeCell ref="C3197:D3197"/>
    <mergeCell ref="E3197:I3197"/>
    <mergeCell ref="J3197:M3197"/>
    <mergeCell ref="N3197:P3197"/>
    <mergeCell ref="Q3197:R3197"/>
    <mergeCell ref="A3198:B3198"/>
    <mergeCell ref="C3198:D3198"/>
    <mergeCell ref="E3198:I3198"/>
    <mergeCell ref="J3198:M3198"/>
    <mergeCell ref="N3198:P3198"/>
    <mergeCell ref="Q3198:R3198"/>
    <mergeCell ref="A3199:B3199"/>
    <mergeCell ref="C3199:D3199"/>
    <mergeCell ref="E3199:I3199"/>
    <mergeCell ref="J3199:M3199"/>
    <mergeCell ref="N3199:P3199"/>
    <mergeCell ref="Q3199:R3199"/>
    <mergeCell ref="A3200:B3200"/>
    <mergeCell ref="C3200:I3200"/>
    <mergeCell ref="J3200:M3200"/>
    <mergeCell ref="N3200:P3200"/>
    <mergeCell ref="Q3200:R3200"/>
    <mergeCell ref="A3201:B3201"/>
    <mergeCell ref="C3201:D3201"/>
    <mergeCell ref="E3201:I3201"/>
    <mergeCell ref="J3201:M3201"/>
    <mergeCell ref="N3201:P3201"/>
    <mergeCell ref="Q3201:R3201"/>
    <mergeCell ref="A3202:B3202"/>
    <mergeCell ref="C3202:D3202"/>
    <mergeCell ref="E3202:I3202"/>
    <mergeCell ref="J3202:M3202"/>
    <mergeCell ref="N3202:P3202"/>
    <mergeCell ref="Q3202:R3202"/>
    <mergeCell ref="A3203:B3203"/>
    <mergeCell ref="C3203:D3203"/>
    <mergeCell ref="E3203:I3203"/>
    <mergeCell ref="J3203:M3203"/>
    <mergeCell ref="N3203:P3203"/>
    <mergeCell ref="Q3203:R3203"/>
    <mergeCell ref="A3204:B3204"/>
    <mergeCell ref="C3204:I3204"/>
    <mergeCell ref="J3204:M3204"/>
    <mergeCell ref="N3204:P3204"/>
    <mergeCell ref="Q3204:R3204"/>
    <mergeCell ref="A3205:B3205"/>
    <mergeCell ref="C3205:D3205"/>
    <mergeCell ref="E3205:I3205"/>
    <mergeCell ref="J3205:M3205"/>
    <mergeCell ref="N3205:P3205"/>
    <mergeCell ref="Q3205:R3205"/>
    <mergeCell ref="A3206:B3206"/>
    <mergeCell ref="C3206:D3206"/>
    <mergeCell ref="E3206:I3206"/>
    <mergeCell ref="J3206:M3206"/>
    <mergeCell ref="N3206:P3206"/>
    <mergeCell ref="Q3206:R3206"/>
    <mergeCell ref="A3207:B3207"/>
    <mergeCell ref="C3207:D3207"/>
    <mergeCell ref="E3207:I3207"/>
    <mergeCell ref="J3207:M3207"/>
    <mergeCell ref="N3207:P3207"/>
    <mergeCell ref="Q3207:R3207"/>
    <mergeCell ref="A3208:B3208"/>
    <mergeCell ref="C3208:D3208"/>
    <mergeCell ref="E3208:I3208"/>
    <mergeCell ref="J3208:M3208"/>
    <mergeCell ref="N3208:P3208"/>
    <mergeCell ref="Q3208:R3208"/>
    <mergeCell ref="A3209:B3209"/>
    <mergeCell ref="C3209:D3209"/>
    <mergeCell ref="E3209:I3209"/>
    <mergeCell ref="J3209:M3209"/>
    <mergeCell ref="N3209:P3209"/>
    <mergeCell ref="Q3209:R3209"/>
    <mergeCell ref="A3210:B3210"/>
    <mergeCell ref="C3210:D3210"/>
    <mergeCell ref="E3210:I3210"/>
    <mergeCell ref="J3210:M3210"/>
    <mergeCell ref="N3210:P3210"/>
    <mergeCell ref="Q3210:R3210"/>
    <mergeCell ref="A3211:B3211"/>
    <mergeCell ref="C3211:D3211"/>
    <mergeCell ref="E3211:I3211"/>
    <mergeCell ref="J3211:M3211"/>
    <mergeCell ref="N3211:P3211"/>
    <mergeCell ref="Q3211:R3211"/>
    <mergeCell ref="A3212:B3212"/>
    <mergeCell ref="C3212:D3212"/>
    <mergeCell ref="E3212:I3212"/>
    <mergeCell ref="J3212:M3212"/>
    <mergeCell ref="N3212:P3212"/>
    <mergeCell ref="Q3212:R3212"/>
    <mergeCell ref="A3213:B3213"/>
    <mergeCell ref="C3213:D3213"/>
    <mergeCell ref="E3213:I3213"/>
    <mergeCell ref="J3213:M3213"/>
    <mergeCell ref="N3213:P3213"/>
    <mergeCell ref="Q3213:R3213"/>
    <mergeCell ref="A3214:B3214"/>
    <mergeCell ref="C3214:D3214"/>
    <mergeCell ref="E3214:I3214"/>
    <mergeCell ref="J3214:M3214"/>
    <mergeCell ref="N3214:P3214"/>
    <mergeCell ref="Q3214:R3214"/>
    <mergeCell ref="A3215:B3215"/>
    <mergeCell ref="C3215:D3215"/>
    <mergeCell ref="E3215:I3215"/>
    <mergeCell ref="J3215:M3215"/>
    <mergeCell ref="N3215:P3215"/>
    <mergeCell ref="Q3215:R3215"/>
    <mergeCell ref="A3216:B3216"/>
    <mergeCell ref="C3216:D3216"/>
    <mergeCell ref="E3216:I3216"/>
    <mergeCell ref="J3216:M3216"/>
    <mergeCell ref="N3216:P3216"/>
    <mergeCell ref="Q3216:R3216"/>
    <mergeCell ref="A3217:B3217"/>
    <mergeCell ref="C3217:D3217"/>
    <mergeCell ref="E3217:I3217"/>
    <mergeCell ref="J3217:M3217"/>
    <mergeCell ref="N3217:P3217"/>
    <mergeCell ref="Q3217:R3217"/>
    <mergeCell ref="A3218:B3218"/>
    <mergeCell ref="C3218:D3218"/>
    <mergeCell ref="E3218:I3218"/>
    <mergeCell ref="J3218:M3218"/>
    <mergeCell ref="N3218:P3218"/>
    <mergeCell ref="Q3218:R3218"/>
    <mergeCell ref="A3219:B3219"/>
    <mergeCell ref="C3219:I3219"/>
    <mergeCell ref="J3219:M3219"/>
    <mergeCell ref="N3219:P3219"/>
    <mergeCell ref="Q3219:R3219"/>
    <mergeCell ref="A3220:B3220"/>
    <mergeCell ref="C3220:D3220"/>
    <mergeCell ref="E3220:I3220"/>
    <mergeCell ref="J3220:M3220"/>
    <mergeCell ref="N3220:P3220"/>
    <mergeCell ref="Q3220:R3220"/>
    <mergeCell ref="A3221:B3221"/>
    <mergeCell ref="C3221:D3221"/>
    <mergeCell ref="E3221:I3221"/>
    <mergeCell ref="J3221:M3221"/>
    <mergeCell ref="N3221:P3221"/>
    <mergeCell ref="Q3221:R3221"/>
    <mergeCell ref="A3222:B3222"/>
    <mergeCell ref="C3222:D3222"/>
    <mergeCell ref="E3222:I3222"/>
    <mergeCell ref="J3222:M3222"/>
    <mergeCell ref="N3222:P3222"/>
    <mergeCell ref="Q3222:R3222"/>
    <mergeCell ref="A3223:B3223"/>
    <mergeCell ref="C3223:D3223"/>
    <mergeCell ref="E3223:I3223"/>
    <mergeCell ref="J3223:M3223"/>
    <mergeCell ref="N3223:P3223"/>
    <mergeCell ref="Q3223:R3223"/>
    <mergeCell ref="A3224:B3224"/>
    <mergeCell ref="C3224:I3224"/>
    <mergeCell ref="J3224:M3224"/>
    <mergeCell ref="N3224:P3224"/>
    <mergeCell ref="Q3224:R3224"/>
    <mergeCell ref="A3225:B3225"/>
    <mergeCell ref="C3225:I3225"/>
    <mergeCell ref="J3225:M3225"/>
    <mergeCell ref="N3225:P3225"/>
    <mergeCell ref="Q3225:R3225"/>
    <mergeCell ref="A3226:B3226"/>
    <mergeCell ref="C3226:D3226"/>
    <mergeCell ref="E3226:I3226"/>
    <mergeCell ref="J3226:M3226"/>
    <mergeCell ref="N3226:P3226"/>
    <mergeCell ref="Q3226:R3226"/>
    <mergeCell ref="A3227:B3227"/>
    <mergeCell ref="C3227:D3227"/>
    <mergeCell ref="E3227:I3227"/>
    <mergeCell ref="J3227:M3227"/>
    <mergeCell ref="N3227:P3227"/>
    <mergeCell ref="Q3227:R3227"/>
    <mergeCell ref="A3228:B3228"/>
    <mergeCell ref="C3228:D3228"/>
    <mergeCell ref="E3228:I3228"/>
    <mergeCell ref="J3228:M3228"/>
    <mergeCell ref="N3228:P3228"/>
    <mergeCell ref="Q3228:R3228"/>
    <mergeCell ref="A3229:B3229"/>
    <mergeCell ref="C3229:D3229"/>
    <mergeCell ref="E3229:I3229"/>
    <mergeCell ref="J3229:M3229"/>
    <mergeCell ref="N3229:P3229"/>
    <mergeCell ref="Q3229:R3229"/>
    <mergeCell ref="A3230:B3230"/>
    <mergeCell ref="C3230:D3230"/>
    <mergeCell ref="E3230:I3230"/>
    <mergeCell ref="J3230:M3230"/>
    <mergeCell ref="N3230:P3230"/>
    <mergeCell ref="Q3230:R3230"/>
    <mergeCell ref="A3231:B3231"/>
    <mergeCell ref="C3231:D3231"/>
    <mergeCell ref="E3231:I3231"/>
    <mergeCell ref="J3231:M3231"/>
    <mergeCell ref="N3231:P3231"/>
    <mergeCell ref="Q3231:R3231"/>
    <mergeCell ref="A3232:B3232"/>
    <mergeCell ref="C3232:D3232"/>
    <mergeCell ref="E3232:I3232"/>
    <mergeCell ref="J3232:M3232"/>
    <mergeCell ref="N3232:P3232"/>
    <mergeCell ref="Q3232:R3232"/>
    <mergeCell ref="A3233:B3233"/>
    <mergeCell ref="C3233:D3233"/>
    <mergeCell ref="E3233:I3233"/>
    <mergeCell ref="J3233:M3233"/>
    <mergeCell ref="N3233:P3233"/>
    <mergeCell ref="Q3233:R3233"/>
    <mergeCell ref="A3234:B3234"/>
    <mergeCell ref="C3234:I3234"/>
    <mergeCell ref="J3234:M3234"/>
    <mergeCell ref="N3234:P3234"/>
    <mergeCell ref="Q3234:R3234"/>
    <mergeCell ref="A3235:B3235"/>
    <mergeCell ref="C3235:D3235"/>
    <mergeCell ref="E3235:I3235"/>
    <mergeCell ref="J3235:M3235"/>
    <mergeCell ref="N3235:P3235"/>
    <mergeCell ref="Q3235:R3235"/>
    <mergeCell ref="A3236:B3236"/>
    <mergeCell ref="C3236:D3236"/>
    <mergeCell ref="E3236:I3236"/>
    <mergeCell ref="J3236:M3236"/>
    <mergeCell ref="N3236:P3236"/>
    <mergeCell ref="Q3236:R3236"/>
    <mergeCell ref="A3237:B3237"/>
    <mergeCell ref="C3237:D3237"/>
    <mergeCell ref="E3237:I3237"/>
    <mergeCell ref="J3237:M3237"/>
    <mergeCell ref="N3237:P3237"/>
    <mergeCell ref="Q3237:R3237"/>
    <mergeCell ref="A3238:B3238"/>
    <mergeCell ref="C3238:D3238"/>
    <mergeCell ref="E3238:I3238"/>
    <mergeCell ref="J3238:M3238"/>
    <mergeCell ref="N3238:P3238"/>
    <mergeCell ref="Q3238:R3238"/>
    <mergeCell ref="A3239:B3239"/>
    <mergeCell ref="C3239:D3239"/>
    <mergeCell ref="E3239:I3239"/>
    <mergeCell ref="J3239:M3239"/>
    <mergeCell ref="N3239:P3239"/>
    <mergeCell ref="Q3239:R3239"/>
    <mergeCell ref="A3240:B3240"/>
    <mergeCell ref="C3240:D3240"/>
    <mergeCell ref="E3240:I3240"/>
    <mergeCell ref="J3240:M3240"/>
    <mergeCell ref="N3240:P3240"/>
    <mergeCell ref="Q3240:R3240"/>
    <mergeCell ref="A3241:B3241"/>
    <mergeCell ref="C3241:D3241"/>
    <mergeCell ref="E3241:I3241"/>
    <mergeCell ref="J3241:M3241"/>
    <mergeCell ref="N3241:P3241"/>
    <mergeCell ref="Q3241:R3241"/>
    <mergeCell ref="A3242:B3242"/>
    <mergeCell ref="C3242:D3242"/>
    <mergeCell ref="E3242:I3242"/>
    <mergeCell ref="J3242:M3242"/>
    <mergeCell ref="N3242:P3242"/>
    <mergeCell ref="Q3242:R3242"/>
    <mergeCell ref="A3243:B3243"/>
    <mergeCell ref="C3243:D3243"/>
    <mergeCell ref="E3243:I3243"/>
    <mergeCell ref="J3243:M3243"/>
    <mergeCell ref="N3243:P3243"/>
    <mergeCell ref="Q3243:R3243"/>
    <mergeCell ref="A3244:B3244"/>
    <mergeCell ref="C3244:D3244"/>
    <mergeCell ref="E3244:I3244"/>
    <mergeCell ref="J3244:M3244"/>
    <mergeCell ref="N3244:P3244"/>
    <mergeCell ref="Q3244:R3244"/>
    <mergeCell ref="A3245:B3245"/>
    <mergeCell ref="C3245:D3245"/>
    <mergeCell ref="E3245:I3245"/>
    <mergeCell ref="J3245:M3245"/>
    <mergeCell ref="N3245:P3245"/>
    <mergeCell ref="Q3245:R3245"/>
    <mergeCell ref="A3246:B3246"/>
    <mergeCell ref="C3246:D3246"/>
    <mergeCell ref="E3246:I3246"/>
    <mergeCell ref="J3246:M3246"/>
    <mergeCell ref="N3246:P3246"/>
    <mergeCell ref="Q3246:R3246"/>
    <mergeCell ref="A3247:B3247"/>
    <mergeCell ref="C3247:D3247"/>
    <mergeCell ref="E3247:I3247"/>
    <mergeCell ref="J3247:M3247"/>
    <mergeCell ref="N3247:P3247"/>
    <mergeCell ref="Q3247:R3247"/>
    <mergeCell ref="A3248:B3248"/>
    <mergeCell ref="C3248:D3248"/>
    <mergeCell ref="E3248:I3248"/>
    <mergeCell ref="J3248:M3248"/>
    <mergeCell ref="N3248:P3248"/>
    <mergeCell ref="Q3248:R3248"/>
    <mergeCell ref="A3249:B3249"/>
    <mergeCell ref="C3249:D3249"/>
    <mergeCell ref="E3249:I3249"/>
    <mergeCell ref="J3249:M3249"/>
    <mergeCell ref="N3249:P3249"/>
    <mergeCell ref="Q3249:R3249"/>
    <mergeCell ref="A3250:B3250"/>
    <mergeCell ref="C3250:I3250"/>
    <mergeCell ref="J3250:M3250"/>
    <mergeCell ref="N3250:P3250"/>
    <mergeCell ref="Q3250:R3250"/>
    <mergeCell ref="A3251:B3251"/>
    <mergeCell ref="C3251:I3251"/>
    <mergeCell ref="J3251:M3251"/>
    <mergeCell ref="N3251:P3251"/>
    <mergeCell ref="Q3251:R3251"/>
    <mergeCell ref="A3252:B3252"/>
    <mergeCell ref="C3252:D3252"/>
    <mergeCell ref="E3252:I3252"/>
    <mergeCell ref="J3252:M3252"/>
    <mergeCell ref="N3252:P3252"/>
    <mergeCell ref="Q3252:R3252"/>
    <mergeCell ref="A3253:B3253"/>
    <mergeCell ref="C3253:D3253"/>
    <mergeCell ref="E3253:I3253"/>
    <mergeCell ref="J3253:M3253"/>
    <mergeCell ref="N3253:P3253"/>
    <mergeCell ref="Q3253:R3253"/>
    <mergeCell ref="A3254:B3254"/>
    <mergeCell ref="C3254:D3254"/>
    <mergeCell ref="E3254:I3254"/>
    <mergeCell ref="J3254:M3254"/>
    <mergeCell ref="N3254:P3254"/>
    <mergeCell ref="Q3254:R3254"/>
    <mergeCell ref="A3255:B3255"/>
    <mergeCell ref="C3255:I3255"/>
    <mergeCell ref="J3255:M3255"/>
    <mergeCell ref="N3255:P3255"/>
    <mergeCell ref="Q3255:R3255"/>
    <mergeCell ref="A3256:B3256"/>
    <mergeCell ref="C3256:I3256"/>
    <mergeCell ref="J3256:M3256"/>
    <mergeCell ref="N3256:P3256"/>
    <mergeCell ref="Q3256:R3256"/>
    <mergeCell ref="A3257:B3257"/>
    <mergeCell ref="C3257:I3257"/>
    <mergeCell ref="J3257:M3257"/>
    <mergeCell ref="N3257:P3257"/>
    <mergeCell ref="Q3257:R3257"/>
    <mergeCell ref="A3258:B3258"/>
    <mergeCell ref="C3258:I3258"/>
    <mergeCell ref="J3258:M3258"/>
    <mergeCell ref="N3258:P3258"/>
    <mergeCell ref="Q3258:R3258"/>
    <mergeCell ref="A3259:B3259"/>
    <mergeCell ref="C3259:D3259"/>
    <mergeCell ref="E3259:I3259"/>
    <mergeCell ref="J3259:M3259"/>
    <mergeCell ref="N3259:P3259"/>
    <mergeCell ref="Q3259:R3259"/>
    <mergeCell ref="A3260:B3260"/>
    <mergeCell ref="C3260:D3260"/>
    <mergeCell ref="E3260:I3260"/>
    <mergeCell ref="J3260:M3260"/>
    <mergeCell ref="N3260:P3260"/>
    <mergeCell ref="Q3260:R3260"/>
    <mergeCell ref="A3261:B3261"/>
    <mergeCell ref="C3261:D3261"/>
    <mergeCell ref="E3261:I3261"/>
    <mergeCell ref="J3261:M3261"/>
    <mergeCell ref="N3261:P3261"/>
    <mergeCell ref="Q3261:R3261"/>
    <mergeCell ref="A3262:B3262"/>
    <mergeCell ref="C3262:D3262"/>
    <mergeCell ref="E3262:I3262"/>
    <mergeCell ref="J3262:M3262"/>
    <mergeCell ref="N3262:P3262"/>
    <mergeCell ref="Q3262:R3262"/>
    <mergeCell ref="A3263:B3263"/>
    <mergeCell ref="C3263:D3263"/>
    <mergeCell ref="E3263:I3263"/>
    <mergeCell ref="J3263:M3263"/>
    <mergeCell ref="N3263:P3263"/>
    <mergeCell ref="Q3263:R3263"/>
    <mergeCell ref="A3264:B3264"/>
    <mergeCell ref="C3264:D3264"/>
    <mergeCell ref="E3264:I3264"/>
    <mergeCell ref="J3264:M3264"/>
    <mergeCell ref="N3264:P3264"/>
    <mergeCell ref="Q3264:R3264"/>
    <mergeCell ref="A3265:B3265"/>
    <mergeCell ref="C3265:D3265"/>
    <mergeCell ref="E3265:I3265"/>
    <mergeCell ref="J3265:M3265"/>
    <mergeCell ref="N3265:P3265"/>
    <mergeCell ref="Q3265:R3265"/>
    <mergeCell ref="A3266:B3266"/>
    <mergeCell ref="C3266:D3266"/>
    <mergeCell ref="E3266:I3266"/>
    <mergeCell ref="J3266:M3266"/>
    <mergeCell ref="N3266:P3266"/>
    <mergeCell ref="Q3266:R3266"/>
    <mergeCell ref="A3267:B3267"/>
    <mergeCell ref="C3267:I3267"/>
    <mergeCell ref="J3267:M3267"/>
    <mergeCell ref="N3267:P3267"/>
    <mergeCell ref="Q3267:R3267"/>
    <mergeCell ref="A3268:B3268"/>
    <mergeCell ref="C3268:I3268"/>
    <mergeCell ref="J3268:M3268"/>
    <mergeCell ref="N3268:P3268"/>
    <mergeCell ref="Q3268:R3268"/>
    <mergeCell ref="A3269:B3269"/>
    <mergeCell ref="C3269:I3269"/>
    <mergeCell ref="J3269:M3269"/>
    <mergeCell ref="N3269:P3269"/>
    <mergeCell ref="Q3269:R3269"/>
    <mergeCell ref="A3270:B3270"/>
    <mergeCell ref="C3270:I3270"/>
    <mergeCell ref="J3270:M3270"/>
    <mergeCell ref="N3270:P3270"/>
    <mergeCell ref="Q3270:R3270"/>
    <mergeCell ref="A3271:B3271"/>
    <mergeCell ref="C3271:I3271"/>
    <mergeCell ref="J3271:M3271"/>
    <mergeCell ref="N3271:P3271"/>
    <mergeCell ref="Q3271:R3271"/>
    <mergeCell ref="A3272:B3272"/>
    <mergeCell ref="C3272:D3272"/>
    <mergeCell ref="E3272:I3272"/>
    <mergeCell ref="J3272:M3272"/>
    <mergeCell ref="N3272:P3272"/>
    <mergeCell ref="Q3272:R3272"/>
    <mergeCell ref="A3273:B3273"/>
    <mergeCell ref="C3273:D3273"/>
    <mergeCell ref="E3273:I3273"/>
    <mergeCell ref="J3273:M3273"/>
    <mergeCell ref="N3273:P3273"/>
    <mergeCell ref="Q3273:R3273"/>
    <mergeCell ref="A3274:B3274"/>
    <mergeCell ref="C3274:D3274"/>
    <mergeCell ref="E3274:I3274"/>
    <mergeCell ref="J3274:M3274"/>
    <mergeCell ref="N3274:P3274"/>
    <mergeCell ref="Q3274:R3274"/>
    <mergeCell ref="A3275:B3275"/>
    <mergeCell ref="C3275:D3275"/>
    <mergeCell ref="E3275:I3275"/>
    <mergeCell ref="J3275:M3275"/>
    <mergeCell ref="N3275:P3275"/>
    <mergeCell ref="Q3275:R3275"/>
    <mergeCell ref="A3276:B3276"/>
    <mergeCell ref="C3276:D3276"/>
    <mergeCell ref="E3276:I3276"/>
    <mergeCell ref="J3276:M3276"/>
    <mergeCell ref="N3276:P3276"/>
    <mergeCell ref="Q3276:R3276"/>
    <mergeCell ref="A3277:B3277"/>
    <mergeCell ref="C3277:D3277"/>
    <mergeCell ref="E3277:I3277"/>
    <mergeCell ref="J3277:M3277"/>
    <mergeCell ref="N3277:P3277"/>
    <mergeCell ref="Q3277:R3277"/>
    <mergeCell ref="A3278:B3278"/>
    <mergeCell ref="C3278:D3278"/>
    <mergeCell ref="E3278:I3278"/>
    <mergeCell ref="J3278:M3278"/>
    <mergeCell ref="N3278:P3278"/>
    <mergeCell ref="Q3278:R3278"/>
    <mergeCell ref="A3279:B3279"/>
    <mergeCell ref="C3279:D3279"/>
    <mergeCell ref="E3279:I3279"/>
    <mergeCell ref="J3279:M3279"/>
    <mergeCell ref="N3279:P3279"/>
    <mergeCell ref="Q3279:R3279"/>
    <mergeCell ref="A3280:B3280"/>
    <mergeCell ref="C3280:D3280"/>
    <mergeCell ref="E3280:I3280"/>
    <mergeCell ref="J3280:M3280"/>
    <mergeCell ref="N3280:P3280"/>
    <mergeCell ref="Q3280:R3280"/>
    <mergeCell ref="A3281:B3281"/>
    <mergeCell ref="C3281:D3281"/>
    <mergeCell ref="E3281:I3281"/>
    <mergeCell ref="J3281:M3281"/>
    <mergeCell ref="N3281:P3281"/>
    <mergeCell ref="Q3281:R3281"/>
    <mergeCell ref="A3282:B3282"/>
    <mergeCell ref="C3282:D3282"/>
    <mergeCell ref="E3282:I3282"/>
    <mergeCell ref="J3282:M3282"/>
    <mergeCell ref="N3282:P3282"/>
    <mergeCell ref="Q3282:R3282"/>
    <mergeCell ref="A3283:B3283"/>
    <mergeCell ref="C3283:D3283"/>
    <mergeCell ref="E3283:I3283"/>
    <mergeCell ref="J3283:M3283"/>
    <mergeCell ref="N3283:P3283"/>
    <mergeCell ref="Q3283:R3283"/>
    <mergeCell ref="A3284:B3284"/>
    <mergeCell ref="C3284:D3284"/>
    <mergeCell ref="E3284:I3284"/>
    <mergeCell ref="J3284:M3284"/>
    <mergeCell ref="N3284:P3284"/>
    <mergeCell ref="Q3284:R3284"/>
    <mergeCell ref="A3285:B3285"/>
    <mergeCell ref="C3285:D3285"/>
    <mergeCell ref="E3285:I3285"/>
    <mergeCell ref="J3285:M3285"/>
    <mergeCell ref="N3285:P3285"/>
    <mergeCell ref="Q3285:R3285"/>
    <mergeCell ref="A3286:B3286"/>
    <mergeCell ref="C3286:D3286"/>
    <mergeCell ref="E3286:I3286"/>
    <mergeCell ref="J3286:M3286"/>
    <mergeCell ref="N3286:P3286"/>
    <mergeCell ref="Q3286:R3286"/>
    <mergeCell ref="A3287:B3287"/>
    <mergeCell ref="C3287:D3287"/>
    <mergeCell ref="E3287:I3287"/>
    <mergeCell ref="J3287:M3287"/>
    <mergeCell ref="N3287:P3287"/>
    <mergeCell ref="Q3287:R3287"/>
    <mergeCell ref="A3288:B3288"/>
    <mergeCell ref="C3288:D3288"/>
    <mergeCell ref="E3288:I3288"/>
    <mergeCell ref="J3288:M3288"/>
    <mergeCell ref="N3288:P3288"/>
    <mergeCell ref="Q3288:R3288"/>
    <mergeCell ref="A3289:B3289"/>
    <mergeCell ref="C3289:D3289"/>
    <mergeCell ref="E3289:I3289"/>
    <mergeCell ref="J3289:M3289"/>
    <mergeCell ref="N3289:P3289"/>
    <mergeCell ref="Q3289:R3289"/>
    <mergeCell ref="A3290:B3290"/>
    <mergeCell ref="C3290:D3290"/>
    <mergeCell ref="E3290:I3290"/>
    <mergeCell ref="J3290:M3290"/>
    <mergeCell ref="N3290:P3290"/>
    <mergeCell ref="Q3290:R3290"/>
    <mergeCell ref="A3291:B3291"/>
    <mergeCell ref="C3291:D3291"/>
    <mergeCell ref="E3291:I3291"/>
    <mergeCell ref="J3291:M3291"/>
    <mergeCell ref="N3291:P3291"/>
    <mergeCell ref="Q3291:R3291"/>
    <mergeCell ref="A3292:B3292"/>
    <mergeCell ref="C3292:D3292"/>
    <mergeCell ref="E3292:I3292"/>
    <mergeCell ref="J3292:M3292"/>
    <mergeCell ref="N3292:P3292"/>
    <mergeCell ref="Q3292:R3292"/>
    <mergeCell ref="A3293:B3293"/>
    <mergeCell ref="C3293:D3293"/>
    <mergeCell ref="E3293:I3293"/>
    <mergeCell ref="J3293:M3293"/>
    <mergeCell ref="N3293:P3293"/>
    <mergeCell ref="Q3293:R3293"/>
    <mergeCell ref="A3294:B3294"/>
    <mergeCell ref="C3294:D3294"/>
    <mergeCell ref="E3294:I3294"/>
    <mergeCell ref="J3294:M3294"/>
    <mergeCell ref="N3294:P3294"/>
    <mergeCell ref="Q3294:R3294"/>
    <mergeCell ref="A3295:B3295"/>
    <mergeCell ref="C3295:D3295"/>
    <mergeCell ref="E3295:I3295"/>
    <mergeCell ref="J3295:M3295"/>
    <mergeCell ref="N3295:P3295"/>
    <mergeCell ref="Q3295:R3295"/>
    <mergeCell ref="A3296:B3296"/>
    <mergeCell ref="C3296:D3296"/>
    <mergeCell ref="E3296:I3296"/>
    <mergeCell ref="J3296:M3296"/>
    <mergeCell ref="N3296:P3296"/>
    <mergeCell ref="Q3296:R3296"/>
    <mergeCell ref="A3297:B3297"/>
    <mergeCell ref="C3297:D3297"/>
    <mergeCell ref="E3297:I3297"/>
    <mergeCell ref="J3297:M3297"/>
    <mergeCell ref="N3297:P3297"/>
    <mergeCell ref="Q3297:R3297"/>
    <mergeCell ref="A3298:B3298"/>
    <mergeCell ref="C3298:D3298"/>
    <mergeCell ref="E3298:I3298"/>
    <mergeCell ref="J3298:M3298"/>
    <mergeCell ref="N3298:P3298"/>
    <mergeCell ref="Q3298:R3298"/>
    <mergeCell ref="A3299:B3299"/>
    <mergeCell ref="C3299:D3299"/>
    <mergeCell ref="E3299:I3299"/>
    <mergeCell ref="J3299:M3299"/>
    <mergeCell ref="N3299:P3299"/>
    <mergeCell ref="Q3299:R3299"/>
    <mergeCell ref="A3300:B3300"/>
    <mergeCell ref="C3300:D3300"/>
    <mergeCell ref="E3300:I3300"/>
    <mergeCell ref="J3300:M3300"/>
    <mergeCell ref="N3300:P3300"/>
    <mergeCell ref="Q3300:R3300"/>
    <mergeCell ref="A3301:B3301"/>
    <mergeCell ref="C3301:D3301"/>
    <mergeCell ref="E3301:I3301"/>
    <mergeCell ref="J3301:M3301"/>
    <mergeCell ref="N3301:P3301"/>
    <mergeCell ref="Q3301:R3301"/>
    <mergeCell ref="A3302:B3302"/>
    <mergeCell ref="C3302:D3302"/>
    <mergeCell ref="E3302:I3302"/>
    <mergeCell ref="J3302:M3302"/>
    <mergeCell ref="N3302:P3302"/>
    <mergeCell ref="Q3302:R3302"/>
    <mergeCell ref="A3303:B3303"/>
    <mergeCell ref="C3303:D3303"/>
    <mergeCell ref="E3303:I3303"/>
    <mergeCell ref="J3303:M3303"/>
    <mergeCell ref="N3303:P3303"/>
    <mergeCell ref="Q3303:R3303"/>
    <mergeCell ref="A3304:B3304"/>
    <mergeCell ref="C3304:D3304"/>
    <mergeCell ref="E3304:I3304"/>
    <mergeCell ref="J3304:M3304"/>
    <mergeCell ref="N3304:P3304"/>
    <mergeCell ref="Q3304:R3304"/>
    <mergeCell ref="A3305:B3305"/>
    <mergeCell ref="C3305:D3305"/>
    <mergeCell ref="E3305:I3305"/>
    <mergeCell ref="J3305:M3305"/>
    <mergeCell ref="N3305:P3305"/>
    <mergeCell ref="Q3305:R3305"/>
    <mergeCell ref="A3306:B3306"/>
    <mergeCell ref="C3306:D3306"/>
    <mergeCell ref="E3306:I3306"/>
    <mergeCell ref="J3306:M3306"/>
    <mergeCell ref="N3306:P3306"/>
    <mergeCell ref="Q3306:R3306"/>
    <mergeCell ref="A3307:B3307"/>
    <mergeCell ref="C3307:D3307"/>
    <mergeCell ref="E3307:I3307"/>
    <mergeCell ref="J3307:M3307"/>
    <mergeCell ref="N3307:P3307"/>
    <mergeCell ref="Q3307:R3307"/>
    <mergeCell ref="A3308:B3308"/>
    <mergeCell ref="C3308:D3308"/>
    <mergeCell ref="E3308:I3308"/>
    <mergeCell ref="J3308:M3308"/>
    <mergeCell ref="N3308:P3308"/>
    <mergeCell ref="Q3308:R3308"/>
    <mergeCell ref="A3309:B3309"/>
    <mergeCell ref="C3309:D3309"/>
    <mergeCell ref="E3309:I3309"/>
    <mergeCell ref="J3309:M3309"/>
    <mergeCell ref="N3309:P3309"/>
    <mergeCell ref="Q3309:R3309"/>
    <mergeCell ref="A3310:B3310"/>
    <mergeCell ref="C3310:D3310"/>
    <mergeCell ref="E3310:I3310"/>
    <mergeCell ref="J3310:M3310"/>
    <mergeCell ref="N3310:P3310"/>
    <mergeCell ref="Q3310:R3310"/>
    <mergeCell ref="A3311:B3311"/>
    <mergeCell ref="C3311:D3311"/>
    <mergeCell ref="E3311:I3311"/>
    <mergeCell ref="J3311:M3311"/>
    <mergeCell ref="N3311:P3311"/>
    <mergeCell ref="Q3311:R3311"/>
    <mergeCell ref="A3312:B3312"/>
    <mergeCell ref="C3312:D3312"/>
    <mergeCell ref="E3312:I3312"/>
    <mergeCell ref="J3312:M3312"/>
    <mergeCell ref="N3312:P3312"/>
    <mergeCell ref="Q3312:R3312"/>
    <mergeCell ref="A3313:B3313"/>
    <mergeCell ref="C3313:D3313"/>
    <mergeCell ref="E3313:I3313"/>
    <mergeCell ref="J3313:M3313"/>
    <mergeCell ref="N3313:P3313"/>
    <mergeCell ref="Q3313:R3313"/>
    <mergeCell ref="A3314:B3314"/>
    <mergeCell ref="C3314:D3314"/>
    <mergeCell ref="E3314:I3314"/>
    <mergeCell ref="J3314:M3314"/>
    <mergeCell ref="N3314:P3314"/>
    <mergeCell ref="Q3314:R3314"/>
    <mergeCell ref="A3315:B3315"/>
    <mergeCell ref="C3315:D3315"/>
    <mergeCell ref="E3315:I3315"/>
    <mergeCell ref="J3315:M3315"/>
    <mergeCell ref="N3315:P3315"/>
    <mergeCell ref="Q3315:R3315"/>
    <mergeCell ref="A3316:B3316"/>
    <mergeCell ref="C3316:D3316"/>
    <mergeCell ref="E3316:I3316"/>
    <mergeCell ref="J3316:M3316"/>
    <mergeCell ref="N3316:P3316"/>
    <mergeCell ref="Q3316:R3316"/>
    <mergeCell ref="A3317:B3317"/>
    <mergeCell ref="C3317:D3317"/>
    <mergeCell ref="E3317:I3317"/>
    <mergeCell ref="J3317:M3317"/>
    <mergeCell ref="N3317:P3317"/>
    <mergeCell ref="Q3317:R3317"/>
    <mergeCell ref="A3318:B3318"/>
    <mergeCell ref="C3318:D3318"/>
    <mergeCell ref="E3318:I3318"/>
    <mergeCell ref="J3318:M3318"/>
    <mergeCell ref="N3318:P3318"/>
    <mergeCell ref="Q3318:R3318"/>
    <mergeCell ref="A3319:B3319"/>
    <mergeCell ref="C3319:D3319"/>
    <mergeCell ref="E3319:I3319"/>
    <mergeCell ref="J3319:M3319"/>
    <mergeCell ref="N3319:P3319"/>
    <mergeCell ref="Q3319:R3319"/>
    <mergeCell ref="A3320:B3320"/>
    <mergeCell ref="C3320:D3320"/>
    <mergeCell ref="E3320:I3320"/>
    <mergeCell ref="J3320:M3320"/>
    <mergeCell ref="N3320:P3320"/>
    <mergeCell ref="Q3320:R3320"/>
    <mergeCell ref="A3321:B3321"/>
    <mergeCell ref="C3321:D3321"/>
    <mergeCell ref="E3321:I3321"/>
    <mergeCell ref="J3321:M3321"/>
    <mergeCell ref="N3321:P3321"/>
    <mergeCell ref="Q3321:R3321"/>
    <mergeCell ref="A3322:B3322"/>
    <mergeCell ref="C3322:D3322"/>
    <mergeCell ref="E3322:I3322"/>
    <mergeCell ref="J3322:M3322"/>
    <mergeCell ref="N3322:P3322"/>
    <mergeCell ref="Q3322:R3322"/>
    <mergeCell ref="A3323:B3323"/>
    <mergeCell ref="C3323:D3323"/>
    <mergeCell ref="E3323:I3323"/>
    <mergeCell ref="J3323:M3323"/>
    <mergeCell ref="N3323:P3323"/>
    <mergeCell ref="Q3323:R3323"/>
    <mergeCell ref="A3324:B3324"/>
    <mergeCell ref="C3324:D3324"/>
    <mergeCell ref="E3324:I3324"/>
    <mergeCell ref="J3324:M3324"/>
    <mergeCell ref="N3324:P3324"/>
    <mergeCell ref="Q3324:R3324"/>
    <mergeCell ref="A3325:B3325"/>
    <mergeCell ref="C3325:D3325"/>
    <mergeCell ref="E3325:I3325"/>
    <mergeCell ref="J3325:M3325"/>
    <mergeCell ref="N3325:P3325"/>
    <mergeCell ref="Q3325:R3325"/>
    <mergeCell ref="A3326:B3326"/>
    <mergeCell ref="C3326:D3326"/>
    <mergeCell ref="E3326:I3326"/>
    <mergeCell ref="J3326:M3326"/>
    <mergeCell ref="N3326:P3326"/>
    <mergeCell ref="Q3326:R3326"/>
    <mergeCell ref="A3327:B3327"/>
    <mergeCell ref="C3327:D3327"/>
    <mergeCell ref="E3327:I3327"/>
    <mergeCell ref="J3327:M3327"/>
    <mergeCell ref="N3327:P3327"/>
    <mergeCell ref="Q3327:R3327"/>
    <mergeCell ref="A3328:B3328"/>
    <mergeCell ref="C3328:D3328"/>
    <mergeCell ref="E3328:I3328"/>
    <mergeCell ref="J3328:M3328"/>
    <mergeCell ref="N3328:P3328"/>
    <mergeCell ref="Q3328:R3328"/>
    <mergeCell ref="A3329:B3329"/>
    <mergeCell ref="C3329:D3329"/>
    <mergeCell ref="E3329:I3329"/>
    <mergeCell ref="J3329:M3329"/>
    <mergeCell ref="N3329:P3329"/>
    <mergeCell ref="Q3329:R3329"/>
    <mergeCell ref="A3330:B3330"/>
    <mergeCell ref="C3330:D3330"/>
    <mergeCell ref="E3330:I3330"/>
    <mergeCell ref="J3330:M3330"/>
    <mergeCell ref="N3330:P3330"/>
    <mergeCell ref="Q3330:R3330"/>
    <mergeCell ref="A3331:B3331"/>
    <mergeCell ref="C3331:I3331"/>
    <mergeCell ref="J3331:M3331"/>
    <mergeCell ref="N3331:P3331"/>
    <mergeCell ref="Q3331:R3331"/>
    <mergeCell ref="A3332:B3332"/>
    <mergeCell ref="C3332:I3332"/>
    <mergeCell ref="J3332:M3332"/>
    <mergeCell ref="N3332:P3332"/>
    <mergeCell ref="Q3332:R3332"/>
    <mergeCell ref="A3333:B3333"/>
    <mergeCell ref="C3333:D3333"/>
    <mergeCell ref="E3333:I3333"/>
    <mergeCell ref="J3333:M3333"/>
    <mergeCell ref="N3333:P3333"/>
    <mergeCell ref="Q3333:R3333"/>
    <mergeCell ref="A3334:B3334"/>
    <mergeCell ref="C3334:D3334"/>
    <mergeCell ref="E3334:I3334"/>
    <mergeCell ref="J3334:M3334"/>
    <mergeCell ref="N3334:P3334"/>
    <mergeCell ref="Q3334:R3334"/>
    <mergeCell ref="A3335:B3335"/>
    <mergeCell ref="C3335:D3335"/>
    <mergeCell ref="E3335:I3335"/>
    <mergeCell ref="J3335:M3335"/>
    <mergeCell ref="N3335:P3335"/>
    <mergeCell ref="Q3335:R3335"/>
    <mergeCell ref="A3336:B3336"/>
    <mergeCell ref="C3336:D3336"/>
    <mergeCell ref="E3336:I3336"/>
    <mergeCell ref="J3336:M3336"/>
    <mergeCell ref="N3336:P3336"/>
    <mergeCell ref="Q3336:R3336"/>
    <mergeCell ref="A3337:B3337"/>
    <mergeCell ref="C3337:D3337"/>
    <mergeCell ref="E3337:I3337"/>
    <mergeCell ref="J3337:M3337"/>
    <mergeCell ref="N3337:P3337"/>
    <mergeCell ref="Q3337:R3337"/>
    <mergeCell ref="A3338:B3338"/>
    <mergeCell ref="C3338:I3338"/>
    <mergeCell ref="J3338:M3338"/>
    <mergeCell ref="N3338:P3338"/>
    <mergeCell ref="Q3338:R3338"/>
    <mergeCell ref="A3339:B3339"/>
    <mergeCell ref="C3339:I3339"/>
    <mergeCell ref="J3339:M3339"/>
    <mergeCell ref="N3339:P3339"/>
    <mergeCell ref="Q3339:R3339"/>
    <mergeCell ref="A3340:B3340"/>
    <mergeCell ref="C3340:D3340"/>
    <mergeCell ref="E3340:I3340"/>
    <mergeCell ref="J3340:M3340"/>
    <mergeCell ref="N3340:P3340"/>
    <mergeCell ref="Q3340:R3340"/>
    <mergeCell ref="A3341:B3341"/>
    <mergeCell ref="C3341:D3341"/>
    <mergeCell ref="E3341:I3341"/>
    <mergeCell ref="J3341:M3341"/>
    <mergeCell ref="N3341:P3341"/>
    <mergeCell ref="Q3341:R3341"/>
    <mergeCell ref="A3342:B3342"/>
    <mergeCell ref="C3342:D3342"/>
    <mergeCell ref="E3342:I3342"/>
    <mergeCell ref="J3342:M3342"/>
    <mergeCell ref="N3342:P3342"/>
    <mergeCell ref="Q3342:R3342"/>
    <mergeCell ref="A3343:B3343"/>
    <mergeCell ref="C3343:D3343"/>
    <mergeCell ref="E3343:I3343"/>
    <mergeCell ref="J3343:M3343"/>
    <mergeCell ref="N3343:P3343"/>
    <mergeCell ref="Q3343:R3343"/>
    <mergeCell ref="A3344:B3344"/>
    <mergeCell ref="C3344:I3344"/>
    <mergeCell ref="J3344:M3344"/>
    <mergeCell ref="N3344:P3344"/>
    <mergeCell ref="Q3344:R3344"/>
    <mergeCell ref="A3345:B3345"/>
    <mergeCell ref="C3345:I3345"/>
    <mergeCell ref="J3345:M3345"/>
    <mergeCell ref="N3345:P3345"/>
    <mergeCell ref="Q3345:R3345"/>
    <mergeCell ref="A3346:B3346"/>
    <mergeCell ref="C3346:D3346"/>
    <mergeCell ref="E3346:I3346"/>
    <mergeCell ref="J3346:M3346"/>
    <mergeCell ref="N3346:P3346"/>
    <mergeCell ref="Q3346:R3346"/>
    <mergeCell ref="A3347:B3347"/>
    <mergeCell ref="C3347:D3347"/>
    <mergeCell ref="E3347:I3347"/>
    <mergeCell ref="J3347:M3347"/>
    <mergeCell ref="N3347:P3347"/>
    <mergeCell ref="Q3347:R3347"/>
    <mergeCell ref="A3348:B3348"/>
    <mergeCell ref="C3348:D3348"/>
    <mergeCell ref="E3348:I3348"/>
    <mergeCell ref="J3348:M3348"/>
    <mergeCell ref="N3348:P3348"/>
    <mergeCell ref="Q3348:R3348"/>
    <mergeCell ref="A3349:B3349"/>
    <mergeCell ref="C3349:D3349"/>
    <mergeCell ref="E3349:I3349"/>
    <mergeCell ref="J3349:M3349"/>
    <mergeCell ref="N3349:P3349"/>
    <mergeCell ref="Q3349:R3349"/>
    <mergeCell ref="A3350:B3350"/>
    <mergeCell ref="C3350:D3350"/>
    <mergeCell ref="E3350:I3350"/>
    <mergeCell ref="J3350:M3350"/>
    <mergeCell ref="N3350:P3350"/>
    <mergeCell ref="Q3350:R3350"/>
    <mergeCell ref="A3351:B3351"/>
    <mergeCell ref="C3351:D3351"/>
    <mergeCell ref="E3351:I3351"/>
    <mergeCell ref="J3351:M3351"/>
    <mergeCell ref="N3351:P3351"/>
    <mergeCell ref="Q3351:R3351"/>
    <mergeCell ref="A3352:B3352"/>
    <mergeCell ref="C3352:D3352"/>
    <mergeCell ref="E3352:I3352"/>
    <mergeCell ref="J3352:M3352"/>
    <mergeCell ref="N3352:P3352"/>
    <mergeCell ref="Q3352:R3352"/>
    <mergeCell ref="A3353:B3353"/>
    <mergeCell ref="C3353:D3353"/>
    <mergeCell ref="E3353:I3353"/>
    <mergeCell ref="J3353:M3353"/>
    <mergeCell ref="N3353:P3353"/>
    <mergeCell ref="Q3353:R3353"/>
    <mergeCell ref="A3354:B3354"/>
    <mergeCell ref="C3354:D3354"/>
    <mergeCell ref="E3354:I3354"/>
    <mergeCell ref="J3354:M3354"/>
    <mergeCell ref="N3354:P3354"/>
    <mergeCell ref="Q3354:R3354"/>
    <mergeCell ref="A3355:B3355"/>
    <mergeCell ref="C3355:D3355"/>
    <mergeCell ref="E3355:I3355"/>
    <mergeCell ref="J3355:M3355"/>
    <mergeCell ref="N3355:P3355"/>
    <mergeCell ref="Q3355:R3355"/>
    <mergeCell ref="A3356:B3356"/>
    <mergeCell ref="C3356:D3356"/>
    <mergeCell ref="E3356:I3356"/>
    <mergeCell ref="J3356:M3356"/>
    <mergeCell ref="N3356:P3356"/>
    <mergeCell ref="Q3356:R3356"/>
    <mergeCell ref="A3357:B3357"/>
    <mergeCell ref="C3357:D3357"/>
    <mergeCell ref="E3357:I3357"/>
    <mergeCell ref="J3357:M3357"/>
    <mergeCell ref="N3357:P3357"/>
    <mergeCell ref="Q3357:R3357"/>
    <mergeCell ref="A3358:B3358"/>
    <mergeCell ref="C3358:D3358"/>
    <mergeCell ref="E3358:I3358"/>
    <mergeCell ref="J3358:M3358"/>
    <mergeCell ref="N3358:P3358"/>
    <mergeCell ref="Q3358:R3358"/>
    <mergeCell ref="A3359:B3359"/>
    <mergeCell ref="C3359:D3359"/>
    <mergeCell ref="E3359:I3359"/>
    <mergeCell ref="J3359:M3359"/>
    <mergeCell ref="N3359:P3359"/>
    <mergeCell ref="Q3359:R3359"/>
    <mergeCell ref="A3360:B3360"/>
    <mergeCell ref="C3360:D3360"/>
    <mergeCell ref="E3360:I3360"/>
    <mergeCell ref="J3360:M3360"/>
    <mergeCell ref="N3360:P3360"/>
    <mergeCell ref="Q3360:R3360"/>
    <mergeCell ref="A3361:B3361"/>
    <mergeCell ref="C3361:D3361"/>
    <mergeCell ref="E3361:I3361"/>
    <mergeCell ref="J3361:M3361"/>
    <mergeCell ref="N3361:P3361"/>
    <mergeCell ref="Q3361:R3361"/>
    <mergeCell ref="A3362:B3362"/>
    <mergeCell ref="C3362:D3362"/>
    <mergeCell ref="E3362:I3362"/>
    <mergeCell ref="J3362:M3362"/>
    <mergeCell ref="N3362:P3362"/>
    <mergeCell ref="Q3362:R3362"/>
    <mergeCell ref="A3363:B3363"/>
    <mergeCell ref="C3363:D3363"/>
    <mergeCell ref="E3363:I3363"/>
    <mergeCell ref="J3363:M3363"/>
    <mergeCell ref="N3363:P3363"/>
    <mergeCell ref="Q3363:R3363"/>
    <mergeCell ref="A3364:B3364"/>
    <mergeCell ref="C3364:D3364"/>
    <mergeCell ref="E3364:I3364"/>
    <mergeCell ref="J3364:M3364"/>
    <mergeCell ref="N3364:P3364"/>
    <mergeCell ref="Q3364:R3364"/>
    <mergeCell ref="A3365:B3365"/>
    <mergeCell ref="C3365:D3365"/>
    <mergeCell ref="E3365:I3365"/>
    <mergeCell ref="J3365:M3365"/>
    <mergeCell ref="N3365:P3365"/>
    <mergeCell ref="Q3365:R3365"/>
    <mergeCell ref="A3366:B3366"/>
    <mergeCell ref="C3366:D3366"/>
    <mergeCell ref="E3366:I3366"/>
    <mergeCell ref="J3366:M3366"/>
    <mergeCell ref="N3366:P3366"/>
    <mergeCell ref="Q3366:R3366"/>
    <mergeCell ref="A3367:B3367"/>
    <mergeCell ref="C3367:D3367"/>
    <mergeCell ref="E3367:I3367"/>
    <mergeCell ref="J3367:M3367"/>
    <mergeCell ref="N3367:P3367"/>
    <mergeCell ref="Q3367:R3367"/>
    <mergeCell ref="A3368:B3368"/>
    <mergeCell ref="C3368:D3368"/>
    <mergeCell ref="E3368:I3368"/>
    <mergeCell ref="J3368:M3368"/>
    <mergeCell ref="N3368:P3368"/>
    <mergeCell ref="Q3368:R3368"/>
    <mergeCell ref="A3369:B3369"/>
    <mergeCell ref="C3369:D3369"/>
    <mergeCell ref="E3369:I3369"/>
    <mergeCell ref="J3369:M3369"/>
    <mergeCell ref="N3369:P3369"/>
    <mergeCell ref="Q3369:R3369"/>
    <mergeCell ref="A3370:B3370"/>
    <mergeCell ref="C3370:D3370"/>
    <mergeCell ref="E3370:I3370"/>
    <mergeCell ref="J3370:M3370"/>
    <mergeCell ref="N3370:P3370"/>
    <mergeCell ref="Q3370:R3370"/>
    <mergeCell ref="A3371:B3371"/>
    <mergeCell ref="C3371:D3371"/>
    <mergeCell ref="E3371:I3371"/>
    <mergeCell ref="J3371:M3371"/>
    <mergeCell ref="N3371:P3371"/>
    <mergeCell ref="Q3371:R3371"/>
    <mergeCell ref="A3372:B3372"/>
    <mergeCell ref="C3372:D3372"/>
    <mergeCell ref="E3372:I3372"/>
    <mergeCell ref="J3372:M3372"/>
    <mergeCell ref="N3372:P3372"/>
    <mergeCell ref="Q3372:R3372"/>
    <mergeCell ref="A3373:B3373"/>
    <mergeCell ref="C3373:D3373"/>
    <mergeCell ref="E3373:I3373"/>
    <mergeCell ref="J3373:M3373"/>
    <mergeCell ref="N3373:P3373"/>
    <mergeCell ref="Q3373:R3373"/>
    <mergeCell ref="A3374:B3374"/>
    <mergeCell ref="C3374:D3374"/>
    <mergeCell ref="E3374:I3374"/>
    <mergeCell ref="J3374:M3374"/>
    <mergeCell ref="N3374:P3374"/>
    <mergeCell ref="Q3374:R3374"/>
    <mergeCell ref="A3375:B3375"/>
    <mergeCell ref="C3375:D3375"/>
    <mergeCell ref="E3375:I3375"/>
    <mergeCell ref="J3375:M3375"/>
    <mergeCell ref="N3375:P3375"/>
    <mergeCell ref="Q3375:R3375"/>
    <mergeCell ref="A3376:B3376"/>
    <mergeCell ref="C3376:D3376"/>
    <mergeCell ref="E3376:I3376"/>
    <mergeCell ref="J3376:M3376"/>
    <mergeCell ref="N3376:P3376"/>
    <mergeCell ref="Q3376:R3376"/>
    <mergeCell ref="A3377:B3377"/>
    <mergeCell ref="C3377:D3377"/>
    <mergeCell ref="E3377:I3377"/>
    <mergeCell ref="J3377:M3377"/>
    <mergeCell ref="N3377:P3377"/>
    <mergeCell ref="Q3377:R3377"/>
    <mergeCell ref="A3378:B3378"/>
    <mergeCell ref="C3378:D3378"/>
    <mergeCell ref="E3378:I3378"/>
    <mergeCell ref="J3378:M3378"/>
    <mergeCell ref="N3378:P3378"/>
    <mergeCell ref="Q3378:R3378"/>
    <mergeCell ref="A3379:B3379"/>
    <mergeCell ref="C3379:D3379"/>
    <mergeCell ref="E3379:I3379"/>
    <mergeCell ref="J3379:M3379"/>
    <mergeCell ref="N3379:P3379"/>
    <mergeCell ref="Q3379:R3379"/>
    <mergeCell ref="A3380:B3380"/>
    <mergeCell ref="C3380:D3380"/>
    <mergeCell ref="E3380:I3380"/>
    <mergeCell ref="J3380:M3380"/>
    <mergeCell ref="N3380:P3380"/>
    <mergeCell ref="Q3380:R3380"/>
    <mergeCell ref="A3381:B3381"/>
    <mergeCell ref="C3381:D3381"/>
    <mergeCell ref="E3381:I3381"/>
    <mergeCell ref="J3381:M3381"/>
    <mergeCell ref="N3381:P3381"/>
    <mergeCell ref="Q3381:R3381"/>
    <mergeCell ref="A3382:B3382"/>
    <mergeCell ref="C3382:D3382"/>
    <mergeCell ref="E3382:I3382"/>
    <mergeCell ref="J3382:M3382"/>
    <mergeCell ref="N3382:P3382"/>
    <mergeCell ref="Q3382:R3382"/>
    <mergeCell ref="A3383:B3383"/>
    <mergeCell ref="C3383:D3383"/>
    <mergeCell ref="E3383:I3383"/>
    <mergeCell ref="J3383:M3383"/>
    <mergeCell ref="N3383:P3383"/>
    <mergeCell ref="Q3383:R3383"/>
    <mergeCell ref="A3384:B3384"/>
    <mergeCell ref="C3384:D3384"/>
    <mergeCell ref="E3384:I3384"/>
    <mergeCell ref="J3384:M3384"/>
    <mergeCell ref="N3384:P3384"/>
    <mergeCell ref="Q3384:R3384"/>
    <mergeCell ref="A3385:B3385"/>
    <mergeCell ref="C3385:D3385"/>
    <mergeCell ref="E3385:I3385"/>
    <mergeCell ref="J3385:M3385"/>
    <mergeCell ref="N3385:P3385"/>
    <mergeCell ref="Q3385:R3385"/>
    <mergeCell ref="A3386:B3386"/>
    <mergeCell ref="C3386:D3386"/>
    <mergeCell ref="E3386:I3386"/>
    <mergeCell ref="J3386:M3386"/>
    <mergeCell ref="N3386:P3386"/>
    <mergeCell ref="Q3386:R3386"/>
    <mergeCell ref="A3387:B3387"/>
    <mergeCell ref="C3387:D3387"/>
    <mergeCell ref="E3387:I3387"/>
    <mergeCell ref="J3387:M3387"/>
    <mergeCell ref="N3387:P3387"/>
    <mergeCell ref="Q3387:R3387"/>
    <mergeCell ref="A3388:B3388"/>
    <mergeCell ref="C3388:D3388"/>
    <mergeCell ref="E3388:I3388"/>
    <mergeCell ref="J3388:M3388"/>
    <mergeCell ref="N3388:P3388"/>
    <mergeCell ref="Q3388:R3388"/>
    <mergeCell ref="A3389:B3389"/>
    <mergeCell ref="C3389:D3389"/>
    <mergeCell ref="E3389:I3389"/>
    <mergeCell ref="J3389:M3389"/>
    <mergeCell ref="N3389:P3389"/>
    <mergeCell ref="Q3389:R3389"/>
    <mergeCell ref="A3390:B3390"/>
    <mergeCell ref="C3390:D3390"/>
    <mergeCell ref="E3390:I3390"/>
    <mergeCell ref="J3390:M3390"/>
    <mergeCell ref="N3390:P3390"/>
    <mergeCell ref="Q3390:R3390"/>
    <mergeCell ref="A3391:B3391"/>
    <mergeCell ref="C3391:D3391"/>
    <mergeCell ref="E3391:I3391"/>
    <mergeCell ref="J3391:M3391"/>
    <mergeCell ref="N3391:P3391"/>
    <mergeCell ref="Q3391:R3391"/>
    <mergeCell ref="A3392:B3392"/>
    <mergeCell ref="C3392:D3392"/>
    <mergeCell ref="E3392:I3392"/>
    <mergeCell ref="J3392:M3392"/>
    <mergeCell ref="N3392:P3392"/>
    <mergeCell ref="Q3392:R3392"/>
    <mergeCell ref="A3393:B3393"/>
    <mergeCell ref="C3393:D3393"/>
    <mergeCell ref="E3393:I3393"/>
    <mergeCell ref="J3393:M3393"/>
    <mergeCell ref="N3393:P3393"/>
    <mergeCell ref="Q3393:R3393"/>
    <mergeCell ref="A3394:B3394"/>
    <mergeCell ref="C3394:D3394"/>
    <mergeCell ref="E3394:I3394"/>
    <mergeCell ref="J3394:M3394"/>
    <mergeCell ref="N3394:P3394"/>
    <mergeCell ref="Q3394:R3394"/>
    <mergeCell ref="A3395:B3395"/>
    <mergeCell ref="C3395:D3395"/>
    <mergeCell ref="E3395:I3395"/>
    <mergeCell ref="J3395:M3395"/>
    <mergeCell ref="N3395:P3395"/>
    <mergeCell ref="Q3395:R3395"/>
    <mergeCell ref="A3396:B3396"/>
    <mergeCell ref="C3396:D3396"/>
    <mergeCell ref="E3396:I3396"/>
    <mergeCell ref="J3396:M3396"/>
    <mergeCell ref="N3396:P3396"/>
    <mergeCell ref="Q3396:R3396"/>
    <mergeCell ref="A3397:B3397"/>
    <mergeCell ref="C3397:D3397"/>
    <mergeCell ref="E3397:I3397"/>
    <mergeCell ref="J3397:M3397"/>
    <mergeCell ref="N3397:P3397"/>
    <mergeCell ref="Q3397:R3397"/>
    <mergeCell ref="A3398:B3398"/>
    <mergeCell ref="C3398:D3398"/>
    <mergeCell ref="E3398:I3398"/>
    <mergeCell ref="J3398:M3398"/>
    <mergeCell ref="N3398:P3398"/>
    <mergeCell ref="Q3398:R3398"/>
    <mergeCell ref="A3399:B3399"/>
    <mergeCell ref="C3399:D3399"/>
    <mergeCell ref="E3399:I3399"/>
    <mergeCell ref="J3399:M3399"/>
    <mergeCell ref="N3399:P3399"/>
    <mergeCell ref="Q3399:R3399"/>
    <mergeCell ref="A3400:B3400"/>
    <mergeCell ref="C3400:D3400"/>
    <mergeCell ref="E3400:I3400"/>
    <mergeCell ref="J3400:M3400"/>
    <mergeCell ref="N3400:P3400"/>
    <mergeCell ref="Q3400:R3400"/>
    <mergeCell ref="A3401:B3401"/>
    <mergeCell ref="C3401:D3401"/>
    <mergeCell ref="E3401:I3401"/>
    <mergeCell ref="J3401:M3401"/>
    <mergeCell ref="N3401:P3401"/>
    <mergeCell ref="Q3401:R3401"/>
    <mergeCell ref="A3402:B3402"/>
    <mergeCell ref="C3402:D3402"/>
    <mergeCell ref="E3402:I3402"/>
    <mergeCell ref="J3402:M3402"/>
    <mergeCell ref="N3402:P3402"/>
    <mergeCell ref="Q3402:R3402"/>
    <mergeCell ref="A3403:B3403"/>
    <mergeCell ref="C3403:D3403"/>
    <mergeCell ref="E3403:I3403"/>
    <mergeCell ref="J3403:M3403"/>
    <mergeCell ref="N3403:P3403"/>
    <mergeCell ref="Q3403:R3403"/>
    <mergeCell ref="A3404:B3404"/>
    <mergeCell ref="C3404:D3404"/>
    <mergeCell ref="E3404:I3404"/>
    <mergeCell ref="J3404:M3404"/>
    <mergeCell ref="N3404:P3404"/>
    <mergeCell ref="Q3404:R3404"/>
    <mergeCell ref="A3405:B3405"/>
    <mergeCell ref="C3405:D3405"/>
    <mergeCell ref="E3405:I3405"/>
    <mergeCell ref="J3405:M3405"/>
    <mergeCell ref="N3405:P3405"/>
    <mergeCell ref="Q3405:R3405"/>
    <mergeCell ref="A3406:B3406"/>
    <mergeCell ref="C3406:D3406"/>
    <mergeCell ref="E3406:I3406"/>
    <mergeCell ref="J3406:M3406"/>
    <mergeCell ref="N3406:P3406"/>
    <mergeCell ref="Q3406:R3406"/>
    <mergeCell ref="A3407:B3407"/>
    <mergeCell ref="C3407:D3407"/>
    <mergeCell ref="E3407:I3407"/>
    <mergeCell ref="J3407:M3407"/>
    <mergeCell ref="N3407:P3407"/>
    <mergeCell ref="Q3407:R3407"/>
    <mergeCell ref="A3408:B3408"/>
    <mergeCell ref="C3408:D3408"/>
    <mergeCell ref="E3408:I3408"/>
    <mergeCell ref="J3408:M3408"/>
    <mergeCell ref="N3408:P3408"/>
    <mergeCell ref="Q3408:R3408"/>
    <mergeCell ref="A3409:B3409"/>
    <mergeCell ref="C3409:D3409"/>
    <mergeCell ref="E3409:I3409"/>
    <mergeCell ref="J3409:M3409"/>
    <mergeCell ref="N3409:P3409"/>
    <mergeCell ref="Q3409:R3409"/>
    <mergeCell ref="A3410:B3410"/>
    <mergeCell ref="C3410:D3410"/>
    <mergeCell ref="E3410:I3410"/>
    <mergeCell ref="J3410:M3410"/>
    <mergeCell ref="N3410:P3410"/>
    <mergeCell ref="Q3410:R3410"/>
    <mergeCell ref="A3411:B3411"/>
    <mergeCell ref="C3411:D3411"/>
    <mergeCell ref="E3411:I3411"/>
    <mergeCell ref="J3411:M3411"/>
    <mergeCell ref="N3411:P3411"/>
    <mergeCell ref="Q3411:R3411"/>
    <mergeCell ref="A3412:B3412"/>
    <mergeCell ref="C3412:D3412"/>
    <mergeCell ref="E3412:I3412"/>
    <mergeCell ref="J3412:M3412"/>
    <mergeCell ref="N3412:P3412"/>
    <mergeCell ref="Q3412:R3412"/>
    <mergeCell ref="A3413:B3413"/>
    <mergeCell ref="C3413:D3413"/>
    <mergeCell ref="E3413:I3413"/>
    <mergeCell ref="J3413:M3413"/>
    <mergeCell ref="N3413:P3413"/>
    <mergeCell ref="Q3413:R3413"/>
    <mergeCell ref="A3414:B3414"/>
    <mergeCell ref="C3414:D3414"/>
    <mergeCell ref="E3414:I3414"/>
    <mergeCell ref="J3414:M3414"/>
    <mergeCell ref="N3414:P3414"/>
    <mergeCell ref="Q3414:R3414"/>
    <mergeCell ref="A3415:B3415"/>
    <mergeCell ref="C3415:D3415"/>
    <mergeCell ref="E3415:I3415"/>
    <mergeCell ref="J3415:M3415"/>
    <mergeCell ref="N3415:P3415"/>
    <mergeCell ref="Q3415:R3415"/>
    <mergeCell ref="A3416:B3416"/>
    <mergeCell ref="C3416:D3416"/>
    <mergeCell ref="E3416:I3416"/>
    <mergeCell ref="J3416:M3416"/>
    <mergeCell ref="N3416:P3416"/>
    <mergeCell ref="Q3416:R3416"/>
    <mergeCell ref="A3417:B3417"/>
    <mergeCell ref="C3417:D3417"/>
    <mergeCell ref="E3417:I3417"/>
    <mergeCell ref="J3417:M3417"/>
    <mergeCell ref="N3417:P3417"/>
    <mergeCell ref="Q3417:R3417"/>
    <mergeCell ref="A3418:B3418"/>
    <mergeCell ref="C3418:D3418"/>
    <mergeCell ref="E3418:I3418"/>
    <mergeCell ref="J3418:M3418"/>
    <mergeCell ref="N3418:P3418"/>
    <mergeCell ref="Q3418:R3418"/>
    <mergeCell ref="A3419:B3419"/>
    <mergeCell ref="C3419:D3419"/>
    <mergeCell ref="E3419:I3419"/>
    <mergeCell ref="J3419:M3419"/>
    <mergeCell ref="N3419:P3419"/>
    <mergeCell ref="Q3419:R3419"/>
    <mergeCell ref="A3420:B3420"/>
    <mergeCell ref="C3420:D3420"/>
    <mergeCell ref="E3420:I3420"/>
    <mergeCell ref="J3420:M3420"/>
    <mergeCell ref="N3420:P3420"/>
    <mergeCell ref="Q3420:R3420"/>
    <mergeCell ref="A3421:B3421"/>
    <mergeCell ref="C3421:D3421"/>
    <mergeCell ref="E3421:I3421"/>
    <mergeCell ref="J3421:M3421"/>
    <mergeCell ref="N3421:P3421"/>
    <mergeCell ref="Q3421:R3421"/>
    <mergeCell ref="A3422:B3422"/>
    <mergeCell ref="C3422:D3422"/>
    <mergeCell ref="E3422:I3422"/>
    <mergeCell ref="J3422:M3422"/>
    <mergeCell ref="N3422:P3422"/>
    <mergeCell ref="Q3422:R3422"/>
    <mergeCell ref="A3423:B3423"/>
    <mergeCell ref="C3423:D3423"/>
    <mergeCell ref="E3423:I3423"/>
    <mergeCell ref="J3423:M3423"/>
    <mergeCell ref="N3423:P3423"/>
    <mergeCell ref="Q3423:R3423"/>
    <mergeCell ref="A3424:B3424"/>
    <mergeCell ref="C3424:D3424"/>
    <mergeCell ref="E3424:I3424"/>
    <mergeCell ref="J3424:M3424"/>
    <mergeCell ref="N3424:P3424"/>
    <mergeCell ref="Q3424:R3424"/>
    <mergeCell ref="A3425:B3425"/>
    <mergeCell ref="C3425:D3425"/>
    <mergeCell ref="E3425:I3425"/>
    <mergeCell ref="J3425:M3425"/>
    <mergeCell ref="N3425:P3425"/>
    <mergeCell ref="Q3425:R3425"/>
    <mergeCell ref="A3426:B3426"/>
    <mergeCell ref="C3426:D3426"/>
    <mergeCell ref="E3426:I3426"/>
    <mergeCell ref="J3426:M3426"/>
    <mergeCell ref="N3426:P3426"/>
    <mergeCell ref="Q3426:R3426"/>
    <mergeCell ref="A3427:B3427"/>
    <mergeCell ref="C3427:D3427"/>
    <mergeCell ref="E3427:I3427"/>
    <mergeCell ref="J3427:M3427"/>
    <mergeCell ref="N3427:P3427"/>
    <mergeCell ref="Q3427:R3427"/>
    <mergeCell ref="A3428:B3428"/>
    <mergeCell ref="C3428:D3428"/>
    <mergeCell ref="E3428:I3428"/>
    <mergeCell ref="J3428:M3428"/>
    <mergeCell ref="N3428:P3428"/>
    <mergeCell ref="Q3428:R3428"/>
    <mergeCell ref="A3429:B3429"/>
    <mergeCell ref="C3429:D3429"/>
    <mergeCell ref="E3429:I3429"/>
    <mergeCell ref="J3429:M3429"/>
    <mergeCell ref="N3429:P3429"/>
    <mergeCell ref="Q3429:R3429"/>
    <mergeCell ref="A3430:B3430"/>
    <mergeCell ref="C3430:D3430"/>
    <mergeCell ref="E3430:I3430"/>
    <mergeCell ref="J3430:M3430"/>
    <mergeCell ref="N3430:P3430"/>
    <mergeCell ref="Q3430:R3430"/>
    <mergeCell ref="A3431:B3431"/>
    <mergeCell ref="C3431:D3431"/>
    <mergeCell ref="E3431:I3431"/>
    <mergeCell ref="J3431:M3431"/>
    <mergeCell ref="N3431:P3431"/>
    <mergeCell ref="Q3431:R3431"/>
    <mergeCell ref="A3432:B3432"/>
    <mergeCell ref="C3432:D3432"/>
    <mergeCell ref="E3432:I3432"/>
    <mergeCell ref="J3432:M3432"/>
    <mergeCell ref="N3432:P3432"/>
    <mergeCell ref="Q3432:R3432"/>
    <mergeCell ref="A3433:B3433"/>
    <mergeCell ref="C3433:D3433"/>
    <mergeCell ref="E3433:I3433"/>
    <mergeCell ref="J3433:M3433"/>
    <mergeCell ref="N3433:P3433"/>
    <mergeCell ref="Q3433:R3433"/>
    <mergeCell ref="A3434:B3434"/>
    <mergeCell ref="C3434:D3434"/>
    <mergeCell ref="E3434:I3434"/>
    <mergeCell ref="J3434:M3434"/>
    <mergeCell ref="N3434:P3434"/>
    <mergeCell ref="Q3434:R3434"/>
    <mergeCell ref="A3435:B3435"/>
    <mergeCell ref="C3435:D3435"/>
    <mergeCell ref="E3435:I3435"/>
    <mergeCell ref="J3435:M3435"/>
    <mergeCell ref="N3435:P3435"/>
    <mergeCell ref="Q3435:R3435"/>
    <mergeCell ref="A3436:B3436"/>
    <mergeCell ref="C3436:D3436"/>
    <mergeCell ref="E3436:I3436"/>
    <mergeCell ref="J3436:M3436"/>
    <mergeCell ref="N3436:P3436"/>
    <mergeCell ref="Q3436:R3436"/>
    <mergeCell ref="A3437:B3437"/>
    <mergeCell ref="C3437:D3437"/>
    <mergeCell ref="E3437:I3437"/>
    <mergeCell ref="J3437:M3437"/>
    <mergeCell ref="N3437:P3437"/>
    <mergeCell ref="Q3437:R3437"/>
    <mergeCell ref="A3438:B3438"/>
    <mergeCell ref="C3438:D3438"/>
    <mergeCell ref="E3438:I3438"/>
    <mergeCell ref="J3438:M3438"/>
    <mergeCell ref="N3438:P3438"/>
    <mergeCell ref="Q3438:R3438"/>
    <mergeCell ref="A3439:B3439"/>
    <mergeCell ref="C3439:D3439"/>
    <mergeCell ref="E3439:I3439"/>
    <mergeCell ref="J3439:M3439"/>
    <mergeCell ref="N3439:P3439"/>
    <mergeCell ref="Q3439:R3439"/>
    <mergeCell ref="A3440:B3440"/>
    <mergeCell ref="C3440:D3440"/>
    <mergeCell ref="E3440:I3440"/>
    <mergeCell ref="J3440:M3440"/>
    <mergeCell ref="N3440:P3440"/>
    <mergeCell ref="Q3440:R3440"/>
    <mergeCell ref="A3441:B3441"/>
    <mergeCell ref="C3441:D3441"/>
    <mergeCell ref="E3441:I3441"/>
    <mergeCell ref="J3441:M3441"/>
    <mergeCell ref="N3441:P3441"/>
    <mergeCell ref="Q3441:R3441"/>
    <mergeCell ref="A3442:B3442"/>
    <mergeCell ref="C3442:D3442"/>
    <mergeCell ref="E3442:I3442"/>
    <mergeCell ref="J3442:M3442"/>
    <mergeCell ref="N3442:P3442"/>
    <mergeCell ref="Q3442:R3442"/>
    <mergeCell ref="A3443:B3443"/>
    <mergeCell ref="C3443:D3443"/>
    <mergeCell ref="E3443:I3443"/>
    <mergeCell ref="J3443:M3443"/>
    <mergeCell ref="N3443:P3443"/>
    <mergeCell ref="Q3443:R3443"/>
    <mergeCell ref="A3444:B3444"/>
    <mergeCell ref="C3444:D3444"/>
    <mergeCell ref="E3444:I3444"/>
    <mergeCell ref="J3444:M3444"/>
    <mergeCell ref="N3444:P3444"/>
    <mergeCell ref="Q3444:R3444"/>
    <mergeCell ref="A3445:B3445"/>
    <mergeCell ref="C3445:D3445"/>
    <mergeCell ref="E3445:I3445"/>
    <mergeCell ref="J3445:M3445"/>
    <mergeCell ref="N3445:P3445"/>
    <mergeCell ref="Q3445:R3445"/>
    <mergeCell ref="A3446:B3446"/>
    <mergeCell ref="C3446:D3446"/>
    <mergeCell ref="E3446:I3446"/>
    <mergeCell ref="J3446:M3446"/>
    <mergeCell ref="N3446:P3446"/>
    <mergeCell ref="Q3446:R3446"/>
    <mergeCell ref="A3447:B3447"/>
    <mergeCell ref="C3447:D3447"/>
    <mergeCell ref="E3447:I3447"/>
    <mergeCell ref="J3447:M3447"/>
    <mergeCell ref="N3447:P3447"/>
    <mergeCell ref="Q3447:R3447"/>
    <mergeCell ref="A3448:B3448"/>
    <mergeCell ref="C3448:D3448"/>
    <mergeCell ref="E3448:I3448"/>
    <mergeCell ref="J3448:M3448"/>
    <mergeCell ref="N3448:P3448"/>
    <mergeCell ref="Q3448:R3448"/>
    <mergeCell ref="A3449:B3449"/>
    <mergeCell ref="C3449:D3449"/>
    <mergeCell ref="E3449:I3449"/>
    <mergeCell ref="J3449:M3449"/>
    <mergeCell ref="N3449:P3449"/>
    <mergeCell ref="Q3449:R3449"/>
    <mergeCell ref="A3450:B3450"/>
    <mergeCell ref="C3450:D3450"/>
    <mergeCell ref="E3450:I3450"/>
    <mergeCell ref="J3450:M3450"/>
    <mergeCell ref="N3450:P3450"/>
    <mergeCell ref="Q3450:R3450"/>
    <mergeCell ref="A3451:B3451"/>
    <mergeCell ref="C3451:D3451"/>
    <mergeCell ref="E3451:I3451"/>
    <mergeCell ref="J3451:M3451"/>
    <mergeCell ref="N3451:P3451"/>
    <mergeCell ref="Q3451:R3451"/>
    <mergeCell ref="A3452:B3452"/>
    <mergeCell ref="C3452:D3452"/>
    <mergeCell ref="E3452:I3452"/>
    <mergeCell ref="J3452:M3452"/>
    <mergeCell ref="N3452:P3452"/>
    <mergeCell ref="Q3452:R3452"/>
    <mergeCell ref="A3453:B3453"/>
    <mergeCell ref="C3453:D3453"/>
    <mergeCell ref="E3453:I3453"/>
    <mergeCell ref="J3453:M3453"/>
    <mergeCell ref="N3453:P3453"/>
    <mergeCell ref="Q3453:R3453"/>
    <mergeCell ref="A3454:B3454"/>
    <mergeCell ref="C3454:D3454"/>
    <mergeCell ref="E3454:I3454"/>
    <mergeCell ref="J3454:M3454"/>
    <mergeCell ref="N3454:P3454"/>
    <mergeCell ref="Q3454:R3454"/>
    <mergeCell ref="A3455:B3455"/>
    <mergeCell ref="C3455:D3455"/>
    <mergeCell ref="E3455:I3455"/>
    <mergeCell ref="J3455:M3455"/>
    <mergeCell ref="N3455:P3455"/>
    <mergeCell ref="Q3455:R3455"/>
    <mergeCell ref="A3456:B3456"/>
    <mergeCell ref="C3456:D3456"/>
    <mergeCell ref="E3456:I3456"/>
    <mergeCell ref="J3456:M3456"/>
    <mergeCell ref="N3456:P3456"/>
    <mergeCell ref="Q3456:R3456"/>
    <mergeCell ref="A3457:B3457"/>
    <mergeCell ref="C3457:D3457"/>
    <mergeCell ref="E3457:I3457"/>
    <mergeCell ref="J3457:M3457"/>
    <mergeCell ref="N3457:P3457"/>
    <mergeCell ref="Q3457:R3457"/>
    <mergeCell ref="A3458:B3458"/>
    <mergeCell ref="C3458:D3458"/>
    <mergeCell ref="E3458:I3458"/>
    <mergeCell ref="J3458:M3458"/>
    <mergeCell ref="N3458:P3458"/>
    <mergeCell ref="Q3458:R3458"/>
    <mergeCell ref="A3459:B3459"/>
    <mergeCell ref="C3459:D3459"/>
    <mergeCell ref="E3459:I3459"/>
    <mergeCell ref="J3459:M3459"/>
    <mergeCell ref="N3459:P3459"/>
    <mergeCell ref="Q3459:R3459"/>
    <mergeCell ref="A3460:B3460"/>
    <mergeCell ref="C3460:D3460"/>
    <mergeCell ref="E3460:I3460"/>
    <mergeCell ref="J3460:M3460"/>
    <mergeCell ref="N3460:P3460"/>
    <mergeCell ref="Q3460:R3460"/>
    <mergeCell ref="A3461:B3461"/>
    <mergeCell ref="C3461:D3461"/>
    <mergeCell ref="E3461:I3461"/>
    <mergeCell ref="J3461:M3461"/>
    <mergeCell ref="N3461:P3461"/>
    <mergeCell ref="Q3461:R3461"/>
    <mergeCell ref="A3462:B3462"/>
    <mergeCell ref="C3462:D3462"/>
    <mergeCell ref="E3462:I3462"/>
    <mergeCell ref="J3462:M3462"/>
    <mergeCell ref="N3462:P3462"/>
    <mergeCell ref="Q3462:R3462"/>
    <mergeCell ref="A3463:B3463"/>
    <mergeCell ref="C3463:D3463"/>
    <mergeCell ref="E3463:I3463"/>
    <mergeCell ref="J3463:M3463"/>
    <mergeCell ref="N3463:P3463"/>
    <mergeCell ref="Q3463:R3463"/>
    <mergeCell ref="A3464:B3464"/>
    <mergeCell ref="C3464:D3464"/>
    <mergeCell ref="E3464:I3464"/>
    <mergeCell ref="J3464:M3464"/>
    <mergeCell ref="N3464:P3464"/>
    <mergeCell ref="Q3464:R3464"/>
    <mergeCell ref="A3465:B3465"/>
    <mergeCell ref="C3465:D3465"/>
    <mergeCell ref="E3465:I3465"/>
    <mergeCell ref="J3465:M3465"/>
    <mergeCell ref="N3465:P3465"/>
    <mergeCell ref="Q3465:R3465"/>
    <mergeCell ref="A3466:B3466"/>
    <mergeCell ref="C3466:D3466"/>
    <mergeCell ref="E3466:I3466"/>
    <mergeCell ref="J3466:M3466"/>
    <mergeCell ref="N3466:P3466"/>
    <mergeCell ref="Q3466:R3466"/>
    <mergeCell ref="A3467:B3467"/>
    <mergeCell ref="C3467:D3467"/>
    <mergeCell ref="E3467:I3467"/>
    <mergeCell ref="J3467:M3467"/>
    <mergeCell ref="N3467:P3467"/>
    <mergeCell ref="Q3467:R3467"/>
    <mergeCell ref="A3468:B3468"/>
    <mergeCell ref="C3468:D3468"/>
    <mergeCell ref="E3468:I3468"/>
    <mergeCell ref="J3468:M3468"/>
    <mergeCell ref="N3468:P3468"/>
    <mergeCell ref="Q3468:R3468"/>
    <mergeCell ref="A3469:B3469"/>
    <mergeCell ref="C3469:D3469"/>
    <mergeCell ref="E3469:I3469"/>
    <mergeCell ref="J3469:M3469"/>
    <mergeCell ref="N3469:P3469"/>
    <mergeCell ref="Q3469:R3469"/>
    <mergeCell ref="A3470:B3470"/>
    <mergeCell ref="C3470:D3470"/>
    <mergeCell ref="E3470:I3470"/>
    <mergeCell ref="J3470:M3470"/>
    <mergeCell ref="N3470:P3470"/>
    <mergeCell ref="Q3470:R3470"/>
    <mergeCell ref="A3471:B3471"/>
    <mergeCell ref="C3471:D3471"/>
    <mergeCell ref="E3471:I3471"/>
    <mergeCell ref="J3471:M3471"/>
    <mergeCell ref="N3471:P3471"/>
    <mergeCell ref="Q3471:R3471"/>
    <mergeCell ref="A3472:B3472"/>
    <mergeCell ref="C3472:D3472"/>
    <mergeCell ref="E3472:I3472"/>
    <mergeCell ref="J3472:M3472"/>
    <mergeCell ref="N3472:P3472"/>
    <mergeCell ref="Q3472:R3472"/>
    <mergeCell ref="A3473:B3473"/>
    <mergeCell ref="C3473:D3473"/>
    <mergeCell ref="E3473:I3473"/>
    <mergeCell ref="J3473:M3473"/>
    <mergeCell ref="N3473:P3473"/>
    <mergeCell ref="Q3473:R3473"/>
    <mergeCell ref="A3474:B3474"/>
    <mergeCell ref="C3474:D3474"/>
    <mergeCell ref="E3474:I3474"/>
    <mergeCell ref="J3474:M3474"/>
    <mergeCell ref="N3474:P3474"/>
    <mergeCell ref="Q3474:R3474"/>
    <mergeCell ref="A3475:B3475"/>
    <mergeCell ref="C3475:D3475"/>
    <mergeCell ref="E3475:I3475"/>
    <mergeCell ref="J3475:M3475"/>
    <mergeCell ref="N3475:P3475"/>
    <mergeCell ref="Q3475:R3475"/>
    <mergeCell ref="A3476:B3476"/>
    <mergeCell ref="C3476:D3476"/>
    <mergeCell ref="E3476:I3476"/>
    <mergeCell ref="J3476:M3476"/>
    <mergeCell ref="N3476:P3476"/>
    <mergeCell ref="Q3476:R3476"/>
    <mergeCell ref="A3477:B3477"/>
    <mergeCell ref="C3477:D3477"/>
    <mergeCell ref="E3477:I3477"/>
    <mergeCell ref="J3477:M3477"/>
    <mergeCell ref="N3477:P3477"/>
    <mergeCell ref="Q3477:R3477"/>
    <mergeCell ref="A3478:B3478"/>
    <mergeCell ref="C3478:D3478"/>
    <mergeCell ref="E3478:I3478"/>
    <mergeCell ref="J3478:M3478"/>
    <mergeCell ref="N3478:P3478"/>
    <mergeCell ref="Q3478:R3478"/>
    <mergeCell ref="A3479:B3479"/>
    <mergeCell ref="C3479:D3479"/>
    <mergeCell ref="E3479:I3479"/>
    <mergeCell ref="J3479:M3479"/>
    <mergeCell ref="N3479:P3479"/>
    <mergeCell ref="Q3479:R3479"/>
    <mergeCell ref="A3480:B3480"/>
    <mergeCell ref="C3480:D3480"/>
    <mergeCell ref="E3480:I3480"/>
    <mergeCell ref="J3480:M3480"/>
    <mergeCell ref="N3480:P3480"/>
    <mergeCell ref="Q3480:R3480"/>
    <mergeCell ref="A3481:B3481"/>
    <mergeCell ref="C3481:D3481"/>
    <mergeCell ref="E3481:I3481"/>
    <mergeCell ref="J3481:M3481"/>
    <mergeCell ref="N3481:P3481"/>
    <mergeCell ref="Q3481:R3481"/>
    <mergeCell ref="A3482:B3482"/>
    <mergeCell ref="C3482:D3482"/>
    <mergeCell ref="E3482:I3482"/>
    <mergeCell ref="J3482:M3482"/>
    <mergeCell ref="N3482:P3482"/>
    <mergeCell ref="Q3482:R3482"/>
    <mergeCell ref="A3483:B3483"/>
    <mergeCell ref="C3483:D3483"/>
    <mergeCell ref="E3483:I3483"/>
    <mergeCell ref="J3483:M3483"/>
    <mergeCell ref="N3483:P3483"/>
    <mergeCell ref="Q3483:R3483"/>
    <mergeCell ref="A3484:B3484"/>
    <mergeCell ref="C3484:D3484"/>
    <mergeCell ref="E3484:I3484"/>
    <mergeCell ref="J3484:M3484"/>
    <mergeCell ref="N3484:P3484"/>
    <mergeCell ref="Q3484:R3484"/>
    <mergeCell ref="A3485:B3485"/>
    <mergeCell ref="C3485:D3485"/>
    <mergeCell ref="E3485:I3485"/>
    <mergeCell ref="J3485:M3485"/>
    <mergeCell ref="N3485:P3485"/>
    <mergeCell ref="Q3485:R3485"/>
    <mergeCell ref="A3486:B3486"/>
    <mergeCell ref="C3486:D3486"/>
    <mergeCell ref="E3486:I3486"/>
    <mergeCell ref="J3486:M3486"/>
    <mergeCell ref="N3486:P3486"/>
    <mergeCell ref="Q3486:R3486"/>
    <mergeCell ref="A3487:B3487"/>
    <mergeCell ref="C3487:D3487"/>
    <mergeCell ref="E3487:I3487"/>
    <mergeCell ref="J3487:M3487"/>
    <mergeCell ref="N3487:P3487"/>
    <mergeCell ref="Q3487:R3487"/>
    <mergeCell ref="A3488:B3488"/>
    <mergeCell ref="C3488:D3488"/>
    <mergeCell ref="E3488:I3488"/>
    <mergeCell ref="J3488:M3488"/>
    <mergeCell ref="N3488:P3488"/>
    <mergeCell ref="Q3488:R3488"/>
    <mergeCell ref="A3489:B3489"/>
    <mergeCell ref="C3489:D3489"/>
    <mergeCell ref="E3489:I3489"/>
    <mergeCell ref="J3489:M3489"/>
    <mergeCell ref="N3489:P3489"/>
    <mergeCell ref="Q3489:R3489"/>
    <mergeCell ref="A3490:B3490"/>
    <mergeCell ref="C3490:D3490"/>
    <mergeCell ref="E3490:I3490"/>
    <mergeCell ref="J3490:M3490"/>
    <mergeCell ref="N3490:P3490"/>
    <mergeCell ref="Q3490:R3490"/>
    <mergeCell ref="A3491:B3491"/>
    <mergeCell ref="C3491:D3491"/>
    <mergeCell ref="E3491:I3491"/>
    <mergeCell ref="J3491:M3491"/>
    <mergeCell ref="N3491:P3491"/>
    <mergeCell ref="Q3491:R3491"/>
    <mergeCell ref="A3492:B3492"/>
    <mergeCell ref="C3492:D3492"/>
    <mergeCell ref="E3492:I3492"/>
    <mergeCell ref="J3492:M3492"/>
    <mergeCell ref="N3492:P3492"/>
    <mergeCell ref="Q3492:R3492"/>
    <mergeCell ref="A3493:B3493"/>
    <mergeCell ref="C3493:D3493"/>
    <mergeCell ref="E3493:I3493"/>
    <mergeCell ref="J3493:M3493"/>
    <mergeCell ref="N3493:P3493"/>
    <mergeCell ref="Q3493:R3493"/>
    <mergeCell ref="A3494:B3494"/>
    <mergeCell ref="C3494:D3494"/>
    <mergeCell ref="E3494:I3494"/>
    <mergeCell ref="J3494:M3494"/>
    <mergeCell ref="N3494:P3494"/>
    <mergeCell ref="Q3494:R3494"/>
    <mergeCell ref="A3495:B3495"/>
    <mergeCell ref="C3495:D3495"/>
    <mergeCell ref="E3495:I3495"/>
    <mergeCell ref="J3495:M3495"/>
    <mergeCell ref="N3495:P3495"/>
    <mergeCell ref="Q3495:R3495"/>
    <mergeCell ref="A3496:B3496"/>
    <mergeCell ref="C3496:D3496"/>
    <mergeCell ref="E3496:I3496"/>
    <mergeCell ref="J3496:M3496"/>
    <mergeCell ref="N3496:P3496"/>
    <mergeCell ref="Q3496:R3496"/>
    <mergeCell ref="A3497:B3497"/>
    <mergeCell ref="C3497:D3497"/>
    <mergeCell ref="E3497:I3497"/>
    <mergeCell ref="J3497:M3497"/>
    <mergeCell ref="N3497:P3497"/>
    <mergeCell ref="Q3497:R3497"/>
    <mergeCell ref="A3498:B3498"/>
    <mergeCell ref="C3498:D3498"/>
    <mergeCell ref="E3498:I3498"/>
    <mergeCell ref="J3498:M3498"/>
    <mergeCell ref="N3498:P3498"/>
    <mergeCell ref="Q3498:R3498"/>
    <mergeCell ref="A3499:B3499"/>
    <mergeCell ref="C3499:D3499"/>
    <mergeCell ref="E3499:I3499"/>
    <mergeCell ref="J3499:M3499"/>
    <mergeCell ref="N3499:P3499"/>
    <mergeCell ref="Q3499:R3499"/>
    <mergeCell ref="A3500:B3500"/>
    <mergeCell ref="C3500:D3500"/>
    <mergeCell ref="E3500:I3500"/>
    <mergeCell ref="J3500:M3500"/>
    <mergeCell ref="N3500:P3500"/>
    <mergeCell ref="Q3500:R3500"/>
    <mergeCell ref="A3501:B3501"/>
    <mergeCell ref="C3501:D3501"/>
    <mergeCell ref="E3501:I3501"/>
    <mergeCell ref="J3501:M3501"/>
    <mergeCell ref="N3501:P3501"/>
    <mergeCell ref="Q3501:R3501"/>
    <mergeCell ref="A3502:B3502"/>
    <mergeCell ref="C3502:D3502"/>
    <mergeCell ref="E3502:I3502"/>
    <mergeCell ref="J3502:M3502"/>
    <mergeCell ref="N3502:P3502"/>
    <mergeCell ref="Q3502:R3502"/>
    <mergeCell ref="A3503:B3503"/>
    <mergeCell ref="C3503:D3503"/>
    <mergeCell ref="E3503:I3503"/>
    <mergeCell ref="J3503:M3503"/>
    <mergeCell ref="N3503:P3503"/>
    <mergeCell ref="Q3503:R3503"/>
    <mergeCell ref="A3504:B3504"/>
    <mergeCell ref="C3504:D3504"/>
    <mergeCell ref="E3504:I3504"/>
    <mergeCell ref="J3504:M3504"/>
    <mergeCell ref="N3504:P3504"/>
    <mergeCell ref="Q3504:R3504"/>
    <mergeCell ref="A3505:B3505"/>
    <mergeCell ref="C3505:D3505"/>
    <mergeCell ref="E3505:I3505"/>
    <mergeCell ref="J3505:M3505"/>
    <mergeCell ref="N3505:P3505"/>
    <mergeCell ref="Q3505:R3505"/>
    <mergeCell ref="A3506:B3506"/>
    <mergeCell ref="C3506:D3506"/>
    <mergeCell ref="E3506:I3506"/>
    <mergeCell ref="J3506:M3506"/>
    <mergeCell ref="N3506:P3506"/>
    <mergeCell ref="Q3506:R3506"/>
    <mergeCell ref="A3507:B3507"/>
    <mergeCell ref="C3507:D3507"/>
    <mergeCell ref="E3507:I3507"/>
    <mergeCell ref="J3507:M3507"/>
    <mergeCell ref="N3507:P3507"/>
    <mergeCell ref="Q3507:R3507"/>
    <mergeCell ref="A3508:B3508"/>
    <mergeCell ref="C3508:D3508"/>
    <mergeCell ref="E3508:I3508"/>
    <mergeCell ref="J3508:M3508"/>
    <mergeCell ref="N3508:P3508"/>
    <mergeCell ref="Q3508:R3508"/>
    <mergeCell ref="A3509:B3509"/>
    <mergeCell ref="C3509:D3509"/>
    <mergeCell ref="E3509:I3509"/>
    <mergeCell ref="J3509:M3509"/>
    <mergeCell ref="N3509:P3509"/>
    <mergeCell ref="Q3509:R3509"/>
    <mergeCell ref="A3510:B3510"/>
    <mergeCell ref="C3510:D3510"/>
    <mergeCell ref="E3510:I3510"/>
    <mergeCell ref="J3510:M3510"/>
    <mergeCell ref="N3510:P3510"/>
    <mergeCell ref="Q3510:R3510"/>
    <mergeCell ref="A3511:B3511"/>
    <mergeCell ref="C3511:D3511"/>
    <mergeCell ref="E3511:I3511"/>
    <mergeCell ref="J3511:M3511"/>
    <mergeCell ref="N3511:P3511"/>
    <mergeCell ref="Q3511:R3511"/>
    <mergeCell ref="A3512:B3512"/>
    <mergeCell ref="C3512:D3512"/>
    <mergeCell ref="E3512:I3512"/>
    <mergeCell ref="J3512:M3512"/>
    <mergeCell ref="N3512:P3512"/>
    <mergeCell ref="Q3512:R3512"/>
    <mergeCell ref="A3513:B3513"/>
    <mergeCell ref="C3513:D3513"/>
    <mergeCell ref="E3513:I3513"/>
    <mergeCell ref="J3513:M3513"/>
    <mergeCell ref="N3513:P3513"/>
    <mergeCell ref="Q3513:R3513"/>
    <mergeCell ref="A3514:B3514"/>
    <mergeCell ref="C3514:D3514"/>
    <mergeCell ref="E3514:I3514"/>
    <mergeCell ref="J3514:M3514"/>
    <mergeCell ref="N3514:P3514"/>
    <mergeCell ref="Q3514:R3514"/>
    <mergeCell ref="A3515:B3515"/>
    <mergeCell ref="C3515:D3515"/>
    <mergeCell ref="E3515:I3515"/>
    <mergeCell ref="J3515:M3515"/>
    <mergeCell ref="N3515:P3515"/>
    <mergeCell ref="Q3515:R3515"/>
    <mergeCell ref="A3516:B3516"/>
    <mergeCell ref="C3516:D3516"/>
    <mergeCell ref="E3516:I3516"/>
    <mergeCell ref="J3516:M3516"/>
    <mergeCell ref="N3516:P3516"/>
    <mergeCell ref="Q3516:R3516"/>
    <mergeCell ref="A3517:B3517"/>
    <mergeCell ref="C3517:D3517"/>
    <mergeCell ref="E3517:I3517"/>
    <mergeCell ref="J3517:M3517"/>
    <mergeCell ref="N3517:P3517"/>
    <mergeCell ref="Q3517:R3517"/>
    <mergeCell ref="A3518:B3518"/>
    <mergeCell ref="C3518:D3518"/>
    <mergeCell ref="E3518:I3518"/>
    <mergeCell ref="J3518:M3518"/>
    <mergeCell ref="N3518:P3518"/>
    <mergeCell ref="Q3518:R3518"/>
    <mergeCell ref="A3519:B3519"/>
    <mergeCell ref="C3519:D3519"/>
    <mergeCell ref="E3519:I3519"/>
    <mergeCell ref="J3519:M3519"/>
    <mergeCell ref="N3519:P3519"/>
    <mergeCell ref="Q3519:R3519"/>
    <mergeCell ref="A3520:B3520"/>
    <mergeCell ref="C3520:D3520"/>
    <mergeCell ref="E3520:I3520"/>
    <mergeCell ref="J3520:M3520"/>
    <mergeCell ref="N3520:P3520"/>
    <mergeCell ref="Q3520:R3520"/>
    <mergeCell ref="A3521:B3521"/>
    <mergeCell ref="C3521:D3521"/>
    <mergeCell ref="E3521:I3521"/>
    <mergeCell ref="J3521:M3521"/>
    <mergeCell ref="N3521:P3521"/>
    <mergeCell ref="Q3521:R3521"/>
    <mergeCell ref="A3522:B3522"/>
    <mergeCell ref="C3522:D3522"/>
    <mergeCell ref="E3522:I3522"/>
    <mergeCell ref="J3522:M3522"/>
    <mergeCell ref="N3522:P3522"/>
    <mergeCell ref="Q3522:R3522"/>
    <mergeCell ref="A3523:B3523"/>
    <mergeCell ref="C3523:D3523"/>
    <mergeCell ref="E3523:I3523"/>
    <mergeCell ref="J3523:M3523"/>
    <mergeCell ref="N3523:P3523"/>
    <mergeCell ref="Q3523:R3523"/>
    <mergeCell ref="A3524:B3524"/>
    <mergeCell ref="C3524:D3524"/>
    <mergeCell ref="E3524:I3524"/>
    <mergeCell ref="J3524:M3524"/>
    <mergeCell ref="N3524:P3524"/>
    <mergeCell ref="Q3524:R3524"/>
    <mergeCell ref="A3525:B3525"/>
    <mergeCell ref="C3525:D3525"/>
    <mergeCell ref="E3525:I3525"/>
    <mergeCell ref="J3525:M3525"/>
    <mergeCell ref="N3525:P3525"/>
    <mergeCell ref="Q3525:R3525"/>
    <mergeCell ref="A3526:B3526"/>
    <mergeCell ref="C3526:D3526"/>
    <mergeCell ref="E3526:I3526"/>
    <mergeCell ref="J3526:M3526"/>
    <mergeCell ref="N3526:P3526"/>
    <mergeCell ref="Q3526:R3526"/>
    <mergeCell ref="A3527:B3527"/>
    <mergeCell ref="C3527:D3527"/>
    <mergeCell ref="E3527:I3527"/>
    <mergeCell ref="J3527:M3527"/>
    <mergeCell ref="N3527:P3527"/>
    <mergeCell ref="Q3527:R3527"/>
    <mergeCell ref="A3528:B3528"/>
    <mergeCell ref="C3528:D3528"/>
    <mergeCell ref="E3528:I3528"/>
    <mergeCell ref="J3528:M3528"/>
    <mergeCell ref="N3528:P3528"/>
    <mergeCell ref="Q3528:R3528"/>
    <mergeCell ref="A3529:B3529"/>
    <mergeCell ref="C3529:D3529"/>
    <mergeCell ref="E3529:I3529"/>
    <mergeCell ref="J3529:M3529"/>
    <mergeCell ref="N3529:P3529"/>
    <mergeCell ref="Q3529:R3529"/>
    <mergeCell ref="A3530:B3530"/>
    <mergeCell ref="C3530:D3530"/>
    <mergeCell ref="E3530:I3530"/>
    <mergeCell ref="J3530:M3530"/>
    <mergeCell ref="N3530:P3530"/>
    <mergeCell ref="Q3530:R3530"/>
    <mergeCell ref="A3531:B3531"/>
    <mergeCell ref="C3531:D3531"/>
    <mergeCell ref="E3531:I3531"/>
    <mergeCell ref="J3531:M3531"/>
    <mergeCell ref="N3531:P3531"/>
    <mergeCell ref="Q3531:R3531"/>
    <mergeCell ref="A3532:B3532"/>
    <mergeCell ref="C3532:D3532"/>
    <mergeCell ref="E3532:I3532"/>
    <mergeCell ref="J3532:M3532"/>
    <mergeCell ref="N3532:P3532"/>
    <mergeCell ref="Q3532:R3532"/>
    <mergeCell ref="A3533:B3533"/>
    <mergeCell ref="C3533:D3533"/>
    <mergeCell ref="E3533:I3533"/>
    <mergeCell ref="J3533:M3533"/>
    <mergeCell ref="N3533:P3533"/>
    <mergeCell ref="Q3533:R3533"/>
    <mergeCell ref="A3534:B3534"/>
    <mergeCell ref="C3534:D3534"/>
    <mergeCell ref="E3534:I3534"/>
    <mergeCell ref="J3534:M3534"/>
    <mergeCell ref="N3534:P3534"/>
    <mergeCell ref="Q3534:R3534"/>
    <mergeCell ref="A3535:B3535"/>
    <mergeCell ref="C3535:D3535"/>
    <mergeCell ref="E3535:I3535"/>
    <mergeCell ref="J3535:M3535"/>
    <mergeCell ref="N3535:P3535"/>
    <mergeCell ref="Q3535:R3535"/>
    <mergeCell ref="A3536:B3536"/>
    <mergeCell ref="C3536:D3536"/>
    <mergeCell ref="E3536:I3536"/>
    <mergeCell ref="J3536:M3536"/>
    <mergeCell ref="N3536:P3536"/>
    <mergeCell ref="Q3536:R3536"/>
    <mergeCell ref="A3537:B3537"/>
    <mergeCell ref="C3537:D3537"/>
    <mergeCell ref="E3537:I3537"/>
    <mergeCell ref="J3537:M3537"/>
    <mergeCell ref="N3537:P3537"/>
    <mergeCell ref="Q3537:R3537"/>
    <mergeCell ref="A3538:B3538"/>
    <mergeCell ref="C3538:D3538"/>
    <mergeCell ref="E3538:I3538"/>
    <mergeCell ref="J3538:M3538"/>
    <mergeCell ref="N3538:P3538"/>
    <mergeCell ref="Q3538:R3538"/>
    <mergeCell ref="A3539:B3539"/>
    <mergeCell ref="C3539:D3539"/>
    <mergeCell ref="E3539:I3539"/>
    <mergeCell ref="J3539:M3539"/>
    <mergeCell ref="N3539:P3539"/>
    <mergeCell ref="Q3539:R3539"/>
    <mergeCell ref="A3540:B3540"/>
    <mergeCell ref="C3540:D3540"/>
    <mergeCell ref="E3540:I3540"/>
    <mergeCell ref="J3540:M3540"/>
    <mergeCell ref="N3540:P3540"/>
    <mergeCell ref="Q3540:R3540"/>
    <mergeCell ref="A3541:B3541"/>
    <mergeCell ref="C3541:D3541"/>
    <mergeCell ref="E3541:I3541"/>
    <mergeCell ref="J3541:M3541"/>
    <mergeCell ref="N3541:P3541"/>
    <mergeCell ref="Q3541:R3541"/>
    <mergeCell ref="A3542:B3542"/>
    <mergeCell ref="C3542:D3542"/>
    <mergeCell ref="E3542:I3542"/>
    <mergeCell ref="J3542:M3542"/>
    <mergeCell ref="N3542:P3542"/>
    <mergeCell ref="Q3542:R3542"/>
    <mergeCell ref="A3543:B3543"/>
    <mergeCell ref="C3543:D3543"/>
    <mergeCell ref="E3543:I3543"/>
    <mergeCell ref="J3543:M3543"/>
    <mergeCell ref="N3543:P3543"/>
    <mergeCell ref="Q3543:R3543"/>
    <mergeCell ref="A3544:B3544"/>
    <mergeCell ref="C3544:D3544"/>
    <mergeCell ref="E3544:I3544"/>
    <mergeCell ref="J3544:M3544"/>
    <mergeCell ref="N3544:P3544"/>
    <mergeCell ref="Q3544:R3544"/>
    <mergeCell ref="A3545:B3545"/>
    <mergeCell ref="C3545:D3545"/>
    <mergeCell ref="E3545:I3545"/>
    <mergeCell ref="J3545:M3545"/>
    <mergeCell ref="N3545:P3545"/>
    <mergeCell ref="Q3545:R3545"/>
    <mergeCell ref="A3546:B3546"/>
    <mergeCell ref="C3546:D3546"/>
    <mergeCell ref="E3546:I3546"/>
    <mergeCell ref="J3546:M3546"/>
    <mergeCell ref="N3546:P3546"/>
    <mergeCell ref="Q3546:R3546"/>
    <mergeCell ref="A3547:B3547"/>
    <mergeCell ref="C3547:D3547"/>
    <mergeCell ref="E3547:I3547"/>
    <mergeCell ref="J3547:M3547"/>
    <mergeCell ref="N3547:P3547"/>
    <mergeCell ref="Q3547:R3547"/>
    <mergeCell ref="A3548:B3548"/>
    <mergeCell ref="C3548:D3548"/>
    <mergeCell ref="E3548:I3548"/>
    <mergeCell ref="J3548:M3548"/>
    <mergeCell ref="N3548:P3548"/>
    <mergeCell ref="Q3548:R3548"/>
    <mergeCell ref="A3549:B3549"/>
    <mergeCell ref="C3549:D3549"/>
    <mergeCell ref="E3549:I3549"/>
    <mergeCell ref="J3549:M3549"/>
    <mergeCell ref="N3549:P3549"/>
    <mergeCell ref="Q3549:R3549"/>
    <mergeCell ref="A3550:B3550"/>
    <mergeCell ref="C3550:D3550"/>
    <mergeCell ref="E3550:I3550"/>
    <mergeCell ref="J3550:M3550"/>
    <mergeCell ref="N3550:P3550"/>
    <mergeCell ref="Q3550:R3550"/>
    <mergeCell ref="A3551:B3551"/>
    <mergeCell ref="C3551:D3551"/>
    <mergeCell ref="E3551:I3551"/>
    <mergeCell ref="J3551:M3551"/>
    <mergeCell ref="N3551:P3551"/>
    <mergeCell ref="Q3551:R3551"/>
    <mergeCell ref="A3552:B3552"/>
    <mergeCell ref="C3552:D3552"/>
    <mergeCell ref="E3552:I3552"/>
    <mergeCell ref="J3552:M3552"/>
    <mergeCell ref="N3552:P3552"/>
    <mergeCell ref="Q3552:R3552"/>
    <mergeCell ref="A3553:B3553"/>
    <mergeCell ref="C3553:D3553"/>
    <mergeCell ref="E3553:I3553"/>
    <mergeCell ref="J3553:M3553"/>
    <mergeCell ref="N3553:P3553"/>
    <mergeCell ref="Q3553:R3553"/>
    <mergeCell ref="A3554:B3554"/>
    <mergeCell ref="C3554:D3554"/>
    <mergeCell ref="E3554:I3554"/>
    <mergeCell ref="J3554:M3554"/>
    <mergeCell ref="N3554:P3554"/>
    <mergeCell ref="Q3554:R3554"/>
    <mergeCell ref="A3555:B3555"/>
    <mergeCell ref="C3555:D3555"/>
    <mergeCell ref="E3555:I3555"/>
    <mergeCell ref="J3555:M3555"/>
    <mergeCell ref="N3555:P3555"/>
    <mergeCell ref="Q3555:R3555"/>
    <mergeCell ref="A3556:B3556"/>
    <mergeCell ref="C3556:D3556"/>
    <mergeCell ref="E3556:I3556"/>
    <mergeCell ref="J3556:M3556"/>
    <mergeCell ref="N3556:P3556"/>
    <mergeCell ref="Q3556:R3556"/>
    <mergeCell ref="A3557:B3557"/>
    <mergeCell ref="C3557:D3557"/>
    <mergeCell ref="E3557:I3557"/>
    <mergeCell ref="J3557:M3557"/>
    <mergeCell ref="N3557:P3557"/>
    <mergeCell ref="Q3557:R3557"/>
    <mergeCell ref="A3558:B3558"/>
    <mergeCell ref="C3558:D3558"/>
    <mergeCell ref="E3558:I3558"/>
    <mergeCell ref="J3558:M3558"/>
    <mergeCell ref="N3558:P3558"/>
    <mergeCell ref="Q3558:R3558"/>
    <mergeCell ref="A3559:B3559"/>
    <mergeCell ref="C3559:D3559"/>
    <mergeCell ref="E3559:I3559"/>
    <mergeCell ref="J3559:M3559"/>
    <mergeCell ref="N3559:P3559"/>
    <mergeCell ref="Q3559:R3559"/>
    <mergeCell ref="A3560:B3560"/>
    <mergeCell ref="C3560:D3560"/>
    <mergeCell ref="E3560:I3560"/>
    <mergeCell ref="J3560:M3560"/>
    <mergeCell ref="N3560:P3560"/>
    <mergeCell ref="Q3560:R3560"/>
    <mergeCell ref="A3561:B3561"/>
    <mergeCell ref="C3561:D3561"/>
    <mergeCell ref="E3561:I3561"/>
    <mergeCell ref="J3561:M3561"/>
    <mergeCell ref="N3561:P3561"/>
    <mergeCell ref="Q3561:R3561"/>
    <mergeCell ref="A3562:B3562"/>
    <mergeCell ref="C3562:D3562"/>
    <mergeCell ref="E3562:I3562"/>
    <mergeCell ref="J3562:M3562"/>
    <mergeCell ref="N3562:P3562"/>
    <mergeCell ref="Q3562:R3562"/>
    <mergeCell ref="A3563:B3563"/>
    <mergeCell ref="C3563:D3563"/>
    <mergeCell ref="E3563:I3563"/>
    <mergeCell ref="J3563:M3563"/>
    <mergeCell ref="N3563:P3563"/>
    <mergeCell ref="Q3563:R3563"/>
    <mergeCell ref="A3564:B3564"/>
    <mergeCell ref="C3564:D3564"/>
    <mergeCell ref="E3564:I3564"/>
    <mergeCell ref="J3564:M3564"/>
    <mergeCell ref="N3564:P3564"/>
    <mergeCell ref="Q3564:R3564"/>
    <mergeCell ref="A3565:B3565"/>
    <mergeCell ref="C3565:D3565"/>
    <mergeCell ref="E3565:I3565"/>
    <mergeCell ref="J3565:M3565"/>
    <mergeCell ref="N3565:P3565"/>
    <mergeCell ref="Q3565:R3565"/>
    <mergeCell ref="A3566:B3566"/>
    <mergeCell ref="C3566:D3566"/>
    <mergeCell ref="E3566:I3566"/>
    <mergeCell ref="J3566:M3566"/>
    <mergeCell ref="N3566:P3566"/>
    <mergeCell ref="Q3566:R3566"/>
    <mergeCell ref="A3567:B3567"/>
    <mergeCell ref="C3567:D3567"/>
    <mergeCell ref="E3567:I3567"/>
    <mergeCell ref="J3567:M3567"/>
    <mergeCell ref="N3567:P3567"/>
    <mergeCell ref="Q3567:R3567"/>
    <mergeCell ref="A3568:B3568"/>
    <mergeCell ref="C3568:D3568"/>
    <mergeCell ref="E3568:I3568"/>
    <mergeCell ref="J3568:M3568"/>
    <mergeCell ref="N3568:P3568"/>
    <mergeCell ref="Q3568:R3568"/>
    <mergeCell ref="A3569:B3569"/>
    <mergeCell ref="C3569:D3569"/>
    <mergeCell ref="E3569:I3569"/>
    <mergeCell ref="J3569:M3569"/>
    <mergeCell ref="N3569:P3569"/>
    <mergeCell ref="Q3569:R3569"/>
    <mergeCell ref="A3570:B3570"/>
    <mergeCell ref="C3570:D3570"/>
    <mergeCell ref="E3570:I3570"/>
    <mergeCell ref="J3570:M3570"/>
    <mergeCell ref="N3570:P3570"/>
    <mergeCell ref="Q3570:R3570"/>
    <mergeCell ref="A3571:B3571"/>
    <mergeCell ref="C3571:D3571"/>
    <mergeCell ref="E3571:I3571"/>
    <mergeCell ref="J3571:M3571"/>
    <mergeCell ref="N3571:P3571"/>
    <mergeCell ref="Q3571:R3571"/>
    <mergeCell ref="A3572:B3572"/>
    <mergeCell ref="C3572:D3572"/>
    <mergeCell ref="E3572:I3572"/>
    <mergeCell ref="J3572:M3572"/>
    <mergeCell ref="N3572:P3572"/>
    <mergeCell ref="Q3572:R3572"/>
    <mergeCell ref="A3573:B3573"/>
    <mergeCell ref="C3573:D3573"/>
    <mergeCell ref="E3573:I3573"/>
    <mergeCell ref="J3573:M3573"/>
    <mergeCell ref="N3573:P3573"/>
    <mergeCell ref="Q3573:R3573"/>
    <mergeCell ref="A3574:B3574"/>
    <mergeCell ref="C3574:D3574"/>
    <mergeCell ref="E3574:I3574"/>
    <mergeCell ref="J3574:M3574"/>
    <mergeCell ref="N3574:P3574"/>
    <mergeCell ref="Q3574:R3574"/>
    <mergeCell ref="A3575:B3575"/>
    <mergeCell ref="C3575:D3575"/>
    <mergeCell ref="E3575:I3575"/>
    <mergeCell ref="J3575:M3575"/>
    <mergeCell ref="N3575:P3575"/>
    <mergeCell ref="Q3575:R3575"/>
    <mergeCell ref="A3576:B3576"/>
    <mergeCell ref="C3576:D3576"/>
    <mergeCell ref="E3576:I3576"/>
    <mergeCell ref="J3576:M3576"/>
    <mergeCell ref="N3576:P3576"/>
    <mergeCell ref="Q3576:R3576"/>
    <mergeCell ref="A3577:B3577"/>
    <mergeCell ref="C3577:D3577"/>
    <mergeCell ref="E3577:I3577"/>
    <mergeCell ref="J3577:M3577"/>
    <mergeCell ref="N3577:P3577"/>
    <mergeCell ref="Q3577:R3577"/>
    <mergeCell ref="A3578:B3578"/>
    <mergeCell ref="C3578:D3578"/>
    <mergeCell ref="E3578:I3578"/>
    <mergeCell ref="J3578:M3578"/>
    <mergeCell ref="N3578:P3578"/>
    <mergeCell ref="Q3578:R3578"/>
    <mergeCell ref="A3579:B3579"/>
    <mergeCell ref="C3579:D3579"/>
    <mergeCell ref="E3579:I3579"/>
    <mergeCell ref="J3579:M3579"/>
    <mergeCell ref="N3579:P3579"/>
    <mergeCell ref="Q3579:R3579"/>
    <mergeCell ref="A3580:B3580"/>
    <mergeCell ref="C3580:D3580"/>
    <mergeCell ref="E3580:I3580"/>
    <mergeCell ref="J3580:M3580"/>
    <mergeCell ref="N3580:P3580"/>
    <mergeCell ref="Q3580:R3580"/>
    <mergeCell ref="A3581:B3581"/>
    <mergeCell ref="C3581:D3581"/>
    <mergeCell ref="E3581:I3581"/>
    <mergeCell ref="J3581:M3581"/>
    <mergeCell ref="N3581:P3581"/>
    <mergeCell ref="Q3581:R3581"/>
    <mergeCell ref="A3582:B3582"/>
    <mergeCell ref="C3582:D3582"/>
    <mergeCell ref="E3582:I3582"/>
    <mergeCell ref="J3582:M3582"/>
    <mergeCell ref="N3582:P3582"/>
    <mergeCell ref="Q3582:R3582"/>
    <mergeCell ref="A3583:B3583"/>
    <mergeCell ref="C3583:D3583"/>
    <mergeCell ref="E3583:I3583"/>
    <mergeCell ref="J3583:M3583"/>
    <mergeCell ref="N3583:P3583"/>
    <mergeCell ref="Q3583:R3583"/>
    <mergeCell ref="A3584:B3584"/>
    <mergeCell ref="C3584:D3584"/>
    <mergeCell ref="E3584:I3584"/>
    <mergeCell ref="J3584:M3584"/>
    <mergeCell ref="N3584:P3584"/>
    <mergeCell ref="Q3584:R3584"/>
    <mergeCell ref="A3585:B3585"/>
    <mergeCell ref="C3585:D3585"/>
    <mergeCell ref="E3585:I3585"/>
    <mergeCell ref="J3585:M3585"/>
    <mergeCell ref="N3585:P3585"/>
    <mergeCell ref="Q3585:R3585"/>
    <mergeCell ref="A3586:B3586"/>
    <mergeCell ref="C3586:D3586"/>
    <mergeCell ref="E3586:I3586"/>
    <mergeCell ref="J3586:M3586"/>
    <mergeCell ref="N3586:P3586"/>
    <mergeCell ref="Q3586:R3586"/>
    <mergeCell ref="A3587:B3587"/>
    <mergeCell ref="C3587:D3587"/>
    <mergeCell ref="E3587:I3587"/>
    <mergeCell ref="J3587:M3587"/>
    <mergeCell ref="N3587:P3587"/>
    <mergeCell ref="Q3587:R3587"/>
    <mergeCell ref="A3588:B3588"/>
    <mergeCell ref="C3588:D3588"/>
    <mergeCell ref="E3588:I3588"/>
    <mergeCell ref="J3588:M3588"/>
    <mergeCell ref="N3588:P3588"/>
    <mergeCell ref="Q3588:R3588"/>
    <mergeCell ref="A3589:B3589"/>
    <mergeCell ref="C3589:D3589"/>
    <mergeCell ref="E3589:I3589"/>
    <mergeCell ref="J3589:M3589"/>
    <mergeCell ref="N3589:P3589"/>
    <mergeCell ref="Q3589:R3589"/>
    <mergeCell ref="A3590:B3590"/>
    <mergeCell ref="C3590:D3590"/>
    <mergeCell ref="E3590:I3590"/>
    <mergeCell ref="J3590:M3590"/>
    <mergeCell ref="N3590:P3590"/>
    <mergeCell ref="Q3590:R3590"/>
    <mergeCell ref="A3591:B3591"/>
    <mergeCell ref="C3591:D3591"/>
    <mergeCell ref="E3591:I3591"/>
    <mergeCell ref="J3591:M3591"/>
    <mergeCell ref="N3591:P3591"/>
    <mergeCell ref="Q3591:R3591"/>
    <mergeCell ref="A3592:B3592"/>
    <mergeCell ref="C3592:D3592"/>
    <mergeCell ref="E3592:I3592"/>
    <mergeCell ref="J3592:M3592"/>
    <mergeCell ref="N3592:P3592"/>
    <mergeCell ref="Q3592:R3592"/>
    <mergeCell ref="A3593:B3593"/>
    <mergeCell ref="C3593:D3593"/>
    <mergeCell ref="E3593:I3593"/>
    <mergeCell ref="J3593:M3593"/>
    <mergeCell ref="N3593:P3593"/>
    <mergeCell ref="Q3593:R3593"/>
    <mergeCell ref="A3594:B3594"/>
    <mergeCell ref="C3594:D3594"/>
    <mergeCell ref="E3594:I3594"/>
    <mergeCell ref="J3594:M3594"/>
    <mergeCell ref="N3594:P3594"/>
    <mergeCell ref="Q3594:R3594"/>
    <mergeCell ref="A3595:B3595"/>
    <mergeCell ref="C3595:D3595"/>
    <mergeCell ref="E3595:I3595"/>
    <mergeCell ref="J3595:M3595"/>
    <mergeCell ref="N3595:P3595"/>
    <mergeCell ref="Q3595:R3595"/>
    <mergeCell ref="A3596:B3596"/>
    <mergeCell ref="C3596:D3596"/>
    <mergeCell ref="E3596:I3596"/>
    <mergeCell ref="J3596:M3596"/>
    <mergeCell ref="N3596:P3596"/>
    <mergeCell ref="Q3596:R3596"/>
    <mergeCell ref="A3597:B3597"/>
    <mergeCell ref="C3597:D3597"/>
    <mergeCell ref="E3597:I3597"/>
    <mergeCell ref="J3597:M3597"/>
    <mergeCell ref="N3597:P3597"/>
    <mergeCell ref="Q3597:R3597"/>
    <mergeCell ref="A3598:B3598"/>
    <mergeCell ref="C3598:D3598"/>
    <mergeCell ref="E3598:I3598"/>
    <mergeCell ref="J3598:M3598"/>
    <mergeCell ref="N3598:P3598"/>
    <mergeCell ref="Q3598:R3598"/>
    <mergeCell ref="A3599:B3599"/>
    <mergeCell ref="C3599:D3599"/>
    <mergeCell ref="E3599:I3599"/>
    <mergeCell ref="J3599:M3599"/>
    <mergeCell ref="N3599:P3599"/>
    <mergeCell ref="Q3599:R3599"/>
    <mergeCell ref="A3600:B3600"/>
    <mergeCell ref="C3600:D3600"/>
    <mergeCell ref="E3600:I3600"/>
    <mergeCell ref="J3600:M3600"/>
    <mergeCell ref="N3600:P3600"/>
    <mergeCell ref="Q3600:R3600"/>
    <mergeCell ref="A3601:B3601"/>
    <mergeCell ref="C3601:D3601"/>
    <mergeCell ref="E3601:I3601"/>
    <mergeCell ref="J3601:M3601"/>
    <mergeCell ref="N3601:P3601"/>
    <mergeCell ref="Q3601:R3601"/>
    <mergeCell ref="A3602:B3602"/>
    <mergeCell ref="C3602:D3602"/>
    <mergeCell ref="E3602:I3602"/>
    <mergeCell ref="J3602:M3602"/>
    <mergeCell ref="N3602:P3602"/>
    <mergeCell ref="Q3602:R3602"/>
    <mergeCell ref="A3603:B3603"/>
    <mergeCell ref="C3603:D3603"/>
    <mergeCell ref="E3603:I3603"/>
    <mergeCell ref="J3603:M3603"/>
    <mergeCell ref="N3603:P3603"/>
    <mergeCell ref="Q3603:R3603"/>
    <mergeCell ref="A3604:B3604"/>
    <mergeCell ref="C3604:D3604"/>
    <mergeCell ref="E3604:I3604"/>
    <mergeCell ref="J3604:M3604"/>
    <mergeCell ref="N3604:P3604"/>
    <mergeCell ref="Q3604:R3604"/>
    <mergeCell ref="A3605:B3605"/>
    <mergeCell ref="C3605:D3605"/>
    <mergeCell ref="E3605:I3605"/>
    <mergeCell ref="J3605:M3605"/>
    <mergeCell ref="N3605:P3605"/>
    <mergeCell ref="Q3605:R3605"/>
    <mergeCell ref="A3606:B3606"/>
    <mergeCell ref="C3606:D3606"/>
    <mergeCell ref="E3606:I3606"/>
    <mergeCell ref="J3606:M3606"/>
    <mergeCell ref="N3606:P3606"/>
    <mergeCell ref="Q3606:R3606"/>
    <mergeCell ref="A3607:B3607"/>
    <mergeCell ref="C3607:D3607"/>
    <mergeCell ref="E3607:I3607"/>
    <mergeCell ref="J3607:M3607"/>
    <mergeCell ref="N3607:P3607"/>
    <mergeCell ref="Q3607:R3607"/>
    <mergeCell ref="A3608:B3608"/>
    <mergeCell ref="C3608:D3608"/>
    <mergeCell ref="E3608:I3608"/>
    <mergeCell ref="J3608:M3608"/>
    <mergeCell ref="N3608:P3608"/>
    <mergeCell ref="Q3608:R3608"/>
    <mergeCell ref="A3609:B3609"/>
    <mergeCell ref="C3609:D3609"/>
    <mergeCell ref="E3609:I3609"/>
    <mergeCell ref="J3609:M3609"/>
    <mergeCell ref="N3609:P3609"/>
    <mergeCell ref="Q3609:R3609"/>
    <mergeCell ref="A3610:B3610"/>
    <mergeCell ref="C3610:D3610"/>
    <mergeCell ref="E3610:I3610"/>
    <mergeCell ref="J3610:M3610"/>
    <mergeCell ref="N3610:P3610"/>
    <mergeCell ref="Q3610:R3610"/>
    <mergeCell ref="A3611:B3611"/>
    <mergeCell ref="C3611:D3611"/>
    <mergeCell ref="E3611:I3611"/>
    <mergeCell ref="J3611:M3611"/>
    <mergeCell ref="N3611:P3611"/>
    <mergeCell ref="Q3611:R3611"/>
    <mergeCell ref="A3612:B3612"/>
    <mergeCell ref="C3612:D3612"/>
    <mergeCell ref="E3612:I3612"/>
    <mergeCell ref="J3612:M3612"/>
    <mergeCell ref="N3612:P3612"/>
    <mergeCell ref="Q3612:R3612"/>
    <mergeCell ref="A3613:B3613"/>
    <mergeCell ref="C3613:D3613"/>
    <mergeCell ref="E3613:I3613"/>
    <mergeCell ref="J3613:M3613"/>
    <mergeCell ref="N3613:P3613"/>
    <mergeCell ref="Q3613:R3613"/>
    <mergeCell ref="A3614:B3614"/>
    <mergeCell ref="C3614:D3614"/>
    <mergeCell ref="E3614:I3614"/>
    <mergeCell ref="J3614:M3614"/>
    <mergeCell ref="N3614:P3614"/>
    <mergeCell ref="Q3614:R3614"/>
    <mergeCell ref="A3615:B3615"/>
    <mergeCell ref="C3615:D3615"/>
    <mergeCell ref="E3615:I3615"/>
    <mergeCell ref="J3615:M3615"/>
    <mergeCell ref="N3615:P3615"/>
    <mergeCell ref="Q3615:R3615"/>
    <mergeCell ref="A3616:B3616"/>
    <mergeCell ref="C3616:D3616"/>
    <mergeCell ref="E3616:I3616"/>
    <mergeCell ref="J3616:M3616"/>
    <mergeCell ref="N3616:P3616"/>
    <mergeCell ref="Q3616:R3616"/>
    <mergeCell ref="A3617:B3617"/>
    <mergeCell ref="C3617:D3617"/>
    <mergeCell ref="E3617:I3617"/>
    <mergeCell ref="J3617:M3617"/>
    <mergeCell ref="N3617:P3617"/>
    <mergeCell ref="Q3617:R3617"/>
    <mergeCell ref="A3618:B3618"/>
    <mergeCell ref="C3618:D3618"/>
    <mergeCell ref="E3618:I3618"/>
    <mergeCell ref="J3618:M3618"/>
    <mergeCell ref="N3618:P3618"/>
    <mergeCell ref="Q3618:R3618"/>
    <mergeCell ref="A3619:B3619"/>
    <mergeCell ref="C3619:D3619"/>
    <mergeCell ref="E3619:I3619"/>
    <mergeCell ref="J3619:M3619"/>
    <mergeCell ref="N3619:P3619"/>
    <mergeCell ref="Q3619:R3619"/>
    <mergeCell ref="A3620:B3620"/>
    <mergeCell ref="C3620:D3620"/>
    <mergeCell ref="E3620:I3620"/>
    <mergeCell ref="J3620:M3620"/>
    <mergeCell ref="N3620:P3620"/>
    <mergeCell ref="Q3620:R3620"/>
    <mergeCell ref="A3621:B3621"/>
    <mergeCell ref="C3621:D3621"/>
    <mergeCell ref="E3621:I3621"/>
    <mergeCell ref="J3621:M3621"/>
    <mergeCell ref="N3621:P3621"/>
    <mergeCell ref="Q3621:R3621"/>
    <mergeCell ref="A3622:B3622"/>
    <mergeCell ref="C3622:D3622"/>
    <mergeCell ref="E3622:I3622"/>
    <mergeCell ref="J3622:M3622"/>
    <mergeCell ref="N3622:P3622"/>
    <mergeCell ref="Q3622:R3622"/>
    <mergeCell ref="A3623:B3623"/>
    <mergeCell ref="C3623:D3623"/>
    <mergeCell ref="E3623:I3623"/>
    <mergeCell ref="J3623:M3623"/>
    <mergeCell ref="N3623:P3623"/>
    <mergeCell ref="Q3623:R3623"/>
    <mergeCell ref="A3624:B3624"/>
    <mergeCell ref="C3624:D3624"/>
    <mergeCell ref="E3624:I3624"/>
    <mergeCell ref="J3624:M3624"/>
    <mergeCell ref="N3624:P3624"/>
    <mergeCell ref="Q3624:R3624"/>
    <mergeCell ref="A3625:B3625"/>
    <mergeCell ref="C3625:D3625"/>
    <mergeCell ref="E3625:I3625"/>
    <mergeCell ref="J3625:M3625"/>
    <mergeCell ref="N3625:P3625"/>
    <mergeCell ref="Q3625:R3625"/>
    <mergeCell ref="A3626:B3626"/>
    <mergeCell ref="C3626:D3626"/>
    <mergeCell ref="E3626:I3626"/>
    <mergeCell ref="J3626:M3626"/>
    <mergeCell ref="N3626:P3626"/>
    <mergeCell ref="Q3626:R3626"/>
    <mergeCell ref="A3627:B3627"/>
    <mergeCell ref="C3627:D3627"/>
    <mergeCell ref="E3627:I3627"/>
    <mergeCell ref="J3627:M3627"/>
    <mergeCell ref="N3627:P3627"/>
    <mergeCell ref="Q3627:R3627"/>
    <mergeCell ref="A3628:B3628"/>
    <mergeCell ref="C3628:D3628"/>
    <mergeCell ref="E3628:I3628"/>
    <mergeCell ref="J3628:M3628"/>
    <mergeCell ref="N3628:P3628"/>
    <mergeCell ref="Q3628:R3628"/>
    <mergeCell ref="A3629:B3629"/>
    <mergeCell ref="C3629:D3629"/>
    <mergeCell ref="E3629:I3629"/>
    <mergeCell ref="J3629:M3629"/>
    <mergeCell ref="N3629:P3629"/>
    <mergeCell ref="Q3629:R3629"/>
    <mergeCell ref="A3630:B3630"/>
    <mergeCell ref="C3630:D3630"/>
    <mergeCell ref="E3630:I3630"/>
    <mergeCell ref="J3630:M3630"/>
    <mergeCell ref="N3630:P3630"/>
    <mergeCell ref="Q3630:R3630"/>
    <mergeCell ref="A3631:B3631"/>
    <mergeCell ref="C3631:D3631"/>
    <mergeCell ref="E3631:I3631"/>
    <mergeCell ref="J3631:M3631"/>
    <mergeCell ref="N3631:P3631"/>
    <mergeCell ref="Q3631:R3631"/>
    <mergeCell ref="A3632:B3632"/>
    <mergeCell ref="C3632:D3632"/>
    <mergeCell ref="E3632:I3632"/>
    <mergeCell ref="J3632:M3632"/>
    <mergeCell ref="N3632:P3632"/>
    <mergeCell ref="Q3632:R3632"/>
    <mergeCell ref="A3633:B3633"/>
    <mergeCell ref="C3633:D3633"/>
    <mergeCell ref="E3633:I3633"/>
    <mergeCell ref="J3633:M3633"/>
    <mergeCell ref="N3633:P3633"/>
    <mergeCell ref="Q3633:R3633"/>
    <mergeCell ref="A3634:B3634"/>
    <mergeCell ref="C3634:D3634"/>
    <mergeCell ref="E3634:I3634"/>
    <mergeCell ref="J3634:M3634"/>
    <mergeCell ref="N3634:P3634"/>
    <mergeCell ref="Q3634:R3634"/>
    <mergeCell ref="A3635:B3635"/>
    <mergeCell ref="C3635:D3635"/>
    <mergeCell ref="E3635:I3635"/>
    <mergeCell ref="J3635:M3635"/>
    <mergeCell ref="N3635:P3635"/>
    <mergeCell ref="Q3635:R3635"/>
    <mergeCell ref="A3636:B3636"/>
    <mergeCell ref="C3636:D3636"/>
    <mergeCell ref="E3636:I3636"/>
    <mergeCell ref="J3636:M3636"/>
    <mergeCell ref="N3636:P3636"/>
    <mergeCell ref="Q3636:R3636"/>
    <mergeCell ref="A3637:B3637"/>
    <mergeCell ref="C3637:D3637"/>
    <mergeCell ref="E3637:I3637"/>
    <mergeCell ref="J3637:M3637"/>
    <mergeCell ref="N3637:P3637"/>
    <mergeCell ref="Q3637:R3637"/>
    <mergeCell ref="A3638:B3638"/>
    <mergeCell ref="C3638:D3638"/>
    <mergeCell ref="E3638:I3638"/>
    <mergeCell ref="J3638:M3638"/>
    <mergeCell ref="N3638:P3638"/>
    <mergeCell ref="Q3638:R3638"/>
    <mergeCell ref="A3639:B3639"/>
    <mergeCell ref="C3639:D3639"/>
    <mergeCell ref="E3639:I3639"/>
    <mergeCell ref="J3639:M3639"/>
    <mergeCell ref="N3639:P3639"/>
    <mergeCell ref="Q3639:R3639"/>
    <mergeCell ref="A3640:B3640"/>
    <mergeCell ref="C3640:D3640"/>
    <mergeCell ref="E3640:I3640"/>
    <mergeCell ref="J3640:M3640"/>
    <mergeCell ref="N3640:P3640"/>
    <mergeCell ref="Q3640:R3640"/>
    <mergeCell ref="A3641:B3641"/>
    <mergeCell ref="C3641:D3641"/>
    <mergeCell ref="E3641:I3641"/>
    <mergeCell ref="J3641:M3641"/>
    <mergeCell ref="N3641:P3641"/>
    <mergeCell ref="Q3641:R3641"/>
    <mergeCell ref="A3642:B3642"/>
    <mergeCell ref="C3642:D3642"/>
    <mergeCell ref="E3642:I3642"/>
    <mergeCell ref="J3642:M3642"/>
    <mergeCell ref="N3642:P3642"/>
    <mergeCell ref="Q3642:R3642"/>
    <mergeCell ref="A3643:B3643"/>
    <mergeCell ref="C3643:D3643"/>
    <mergeCell ref="E3643:I3643"/>
    <mergeCell ref="J3643:M3643"/>
    <mergeCell ref="N3643:P3643"/>
    <mergeCell ref="Q3643:R3643"/>
    <mergeCell ref="A3644:B3644"/>
    <mergeCell ref="C3644:D3644"/>
    <mergeCell ref="E3644:I3644"/>
    <mergeCell ref="J3644:M3644"/>
    <mergeCell ref="N3644:P3644"/>
    <mergeCell ref="Q3644:R3644"/>
    <mergeCell ref="A3645:B3645"/>
    <mergeCell ref="C3645:D3645"/>
    <mergeCell ref="E3645:I3645"/>
    <mergeCell ref="J3645:M3645"/>
    <mergeCell ref="N3645:P3645"/>
    <mergeCell ref="Q3645:R3645"/>
    <mergeCell ref="A3646:B3646"/>
    <mergeCell ref="C3646:D3646"/>
    <mergeCell ref="E3646:I3646"/>
    <mergeCell ref="J3646:M3646"/>
    <mergeCell ref="N3646:P3646"/>
    <mergeCell ref="Q3646:R3646"/>
    <mergeCell ref="A3647:B3647"/>
    <mergeCell ref="C3647:D3647"/>
    <mergeCell ref="E3647:I3647"/>
    <mergeCell ref="J3647:M3647"/>
    <mergeCell ref="N3647:P3647"/>
    <mergeCell ref="Q3647:R3647"/>
    <mergeCell ref="A3648:B3648"/>
    <mergeCell ref="C3648:D3648"/>
    <mergeCell ref="E3648:I3648"/>
    <mergeCell ref="J3648:M3648"/>
    <mergeCell ref="N3648:P3648"/>
    <mergeCell ref="Q3648:R3648"/>
    <mergeCell ref="A3649:B3649"/>
    <mergeCell ref="C3649:D3649"/>
    <mergeCell ref="E3649:I3649"/>
    <mergeCell ref="J3649:M3649"/>
    <mergeCell ref="N3649:P3649"/>
    <mergeCell ref="Q3649:R3649"/>
    <mergeCell ref="A3650:B3650"/>
    <mergeCell ref="C3650:D3650"/>
    <mergeCell ref="E3650:I3650"/>
    <mergeCell ref="J3650:M3650"/>
    <mergeCell ref="N3650:P3650"/>
    <mergeCell ref="Q3650:R3650"/>
    <mergeCell ref="A3651:B3651"/>
    <mergeCell ref="C3651:D3651"/>
    <mergeCell ref="E3651:I3651"/>
    <mergeCell ref="J3651:M3651"/>
    <mergeCell ref="N3651:P3651"/>
    <mergeCell ref="Q3651:R3651"/>
    <mergeCell ref="A3652:B3652"/>
    <mergeCell ref="C3652:D3652"/>
    <mergeCell ref="E3652:I3652"/>
    <mergeCell ref="J3652:M3652"/>
    <mergeCell ref="N3652:P3652"/>
    <mergeCell ref="Q3652:R3652"/>
    <mergeCell ref="A3653:B3653"/>
    <mergeCell ref="C3653:D3653"/>
    <mergeCell ref="E3653:I3653"/>
    <mergeCell ref="J3653:M3653"/>
    <mergeCell ref="N3653:P3653"/>
    <mergeCell ref="Q3653:R3653"/>
    <mergeCell ref="A3654:B3654"/>
    <mergeCell ref="C3654:D3654"/>
    <mergeCell ref="E3654:I3654"/>
    <mergeCell ref="J3654:M3654"/>
    <mergeCell ref="N3654:P3654"/>
    <mergeCell ref="Q3654:R3654"/>
    <mergeCell ref="A3655:B3655"/>
    <mergeCell ref="C3655:D3655"/>
    <mergeCell ref="E3655:I3655"/>
    <mergeCell ref="J3655:M3655"/>
    <mergeCell ref="N3655:P3655"/>
    <mergeCell ref="Q3655:R3655"/>
    <mergeCell ref="A3656:B3656"/>
    <mergeCell ref="C3656:D3656"/>
    <mergeCell ref="E3656:I3656"/>
    <mergeCell ref="J3656:M3656"/>
    <mergeCell ref="N3656:P3656"/>
    <mergeCell ref="Q3656:R3656"/>
    <mergeCell ref="A3657:B3657"/>
    <mergeCell ref="C3657:D3657"/>
    <mergeCell ref="E3657:I3657"/>
    <mergeCell ref="J3657:M3657"/>
    <mergeCell ref="N3657:P3657"/>
    <mergeCell ref="Q3657:R3657"/>
    <mergeCell ref="A3658:B3658"/>
    <mergeCell ref="C3658:D3658"/>
    <mergeCell ref="E3658:I3658"/>
    <mergeCell ref="J3658:M3658"/>
    <mergeCell ref="N3658:P3658"/>
    <mergeCell ref="Q3658:R3658"/>
    <mergeCell ref="A3659:B3659"/>
    <mergeCell ref="C3659:D3659"/>
    <mergeCell ref="E3659:I3659"/>
    <mergeCell ref="J3659:M3659"/>
    <mergeCell ref="N3659:P3659"/>
    <mergeCell ref="Q3659:R3659"/>
    <mergeCell ref="A3660:B3660"/>
    <mergeCell ref="C3660:D3660"/>
    <mergeCell ref="E3660:I3660"/>
    <mergeCell ref="J3660:M3660"/>
    <mergeCell ref="N3660:P3660"/>
    <mergeCell ref="Q3660:R3660"/>
    <mergeCell ref="A3661:B3661"/>
    <mergeCell ref="C3661:D3661"/>
    <mergeCell ref="E3661:I3661"/>
    <mergeCell ref="J3661:M3661"/>
    <mergeCell ref="N3661:P3661"/>
    <mergeCell ref="Q3661:R3661"/>
    <mergeCell ref="A3662:B3662"/>
    <mergeCell ref="C3662:D3662"/>
    <mergeCell ref="E3662:I3662"/>
    <mergeCell ref="J3662:M3662"/>
    <mergeCell ref="N3662:P3662"/>
    <mergeCell ref="Q3662:R3662"/>
    <mergeCell ref="A3663:B3663"/>
    <mergeCell ref="C3663:D3663"/>
    <mergeCell ref="E3663:I3663"/>
    <mergeCell ref="J3663:M3663"/>
    <mergeCell ref="N3663:P3663"/>
    <mergeCell ref="Q3663:R3663"/>
    <mergeCell ref="A3664:B3664"/>
    <mergeCell ref="C3664:D3664"/>
    <mergeCell ref="E3664:I3664"/>
    <mergeCell ref="J3664:M3664"/>
    <mergeCell ref="N3664:P3664"/>
    <mergeCell ref="Q3664:R3664"/>
    <mergeCell ref="A3665:B3665"/>
    <mergeCell ref="C3665:D3665"/>
    <mergeCell ref="E3665:I3665"/>
    <mergeCell ref="J3665:M3665"/>
    <mergeCell ref="N3665:P3665"/>
    <mergeCell ref="Q3665:R3665"/>
    <mergeCell ref="A3666:B3666"/>
    <mergeCell ref="C3666:D3666"/>
    <mergeCell ref="E3666:I3666"/>
    <mergeCell ref="J3666:M3666"/>
    <mergeCell ref="N3666:P3666"/>
    <mergeCell ref="Q3666:R3666"/>
    <mergeCell ref="A3667:B3667"/>
    <mergeCell ref="C3667:D3667"/>
    <mergeCell ref="E3667:I3667"/>
    <mergeCell ref="J3667:M3667"/>
    <mergeCell ref="N3667:P3667"/>
    <mergeCell ref="Q3667:R3667"/>
    <mergeCell ref="A3668:B3668"/>
    <mergeCell ref="C3668:D3668"/>
    <mergeCell ref="E3668:I3668"/>
    <mergeCell ref="J3668:M3668"/>
    <mergeCell ref="N3668:P3668"/>
    <mergeCell ref="Q3668:R3668"/>
    <mergeCell ref="A3669:B3669"/>
    <mergeCell ref="C3669:D3669"/>
    <mergeCell ref="E3669:I3669"/>
    <mergeCell ref="J3669:M3669"/>
    <mergeCell ref="N3669:P3669"/>
    <mergeCell ref="Q3669:R3669"/>
    <mergeCell ref="A3670:B3670"/>
    <mergeCell ref="C3670:D3670"/>
    <mergeCell ref="E3670:I3670"/>
    <mergeCell ref="J3670:M3670"/>
    <mergeCell ref="N3670:P3670"/>
    <mergeCell ref="Q3670:R3670"/>
    <mergeCell ref="A3671:B3671"/>
    <mergeCell ref="C3671:D3671"/>
    <mergeCell ref="E3671:I3671"/>
    <mergeCell ref="J3671:M3671"/>
    <mergeCell ref="N3671:P3671"/>
    <mergeCell ref="Q3671:R3671"/>
    <mergeCell ref="A3672:B3672"/>
    <mergeCell ref="C3672:D3672"/>
    <mergeCell ref="E3672:I3672"/>
    <mergeCell ref="J3672:M3672"/>
    <mergeCell ref="N3672:P3672"/>
    <mergeCell ref="Q3672:R3672"/>
    <mergeCell ref="A3673:B3673"/>
    <mergeCell ref="C3673:D3673"/>
    <mergeCell ref="E3673:I3673"/>
    <mergeCell ref="J3673:M3673"/>
    <mergeCell ref="N3673:P3673"/>
    <mergeCell ref="Q3673:R3673"/>
    <mergeCell ref="A3674:B3674"/>
    <mergeCell ref="C3674:D3674"/>
    <mergeCell ref="E3674:I3674"/>
    <mergeCell ref="J3674:M3674"/>
    <mergeCell ref="N3674:P3674"/>
    <mergeCell ref="Q3674:R3674"/>
    <mergeCell ref="A3675:B3675"/>
    <mergeCell ref="C3675:D3675"/>
    <mergeCell ref="E3675:I3675"/>
    <mergeCell ref="J3675:M3675"/>
    <mergeCell ref="N3675:P3675"/>
    <mergeCell ref="Q3675:R3675"/>
    <mergeCell ref="A3676:B3676"/>
    <mergeCell ref="C3676:D3676"/>
    <mergeCell ref="E3676:I3676"/>
    <mergeCell ref="J3676:M3676"/>
    <mergeCell ref="N3676:P3676"/>
    <mergeCell ref="Q3676:R3676"/>
    <mergeCell ref="A3677:B3677"/>
    <mergeCell ref="C3677:D3677"/>
    <mergeCell ref="E3677:I3677"/>
    <mergeCell ref="J3677:M3677"/>
    <mergeCell ref="N3677:P3677"/>
    <mergeCell ref="Q3677:R3677"/>
    <mergeCell ref="A3678:B3678"/>
    <mergeCell ref="C3678:D3678"/>
    <mergeCell ref="E3678:I3678"/>
    <mergeCell ref="J3678:M3678"/>
    <mergeCell ref="N3678:P3678"/>
    <mergeCell ref="Q3678:R3678"/>
    <mergeCell ref="A3679:B3679"/>
    <mergeCell ref="C3679:D3679"/>
    <mergeCell ref="E3679:I3679"/>
    <mergeCell ref="J3679:M3679"/>
    <mergeCell ref="N3679:P3679"/>
    <mergeCell ref="Q3679:R3679"/>
    <mergeCell ref="A3680:B3680"/>
    <mergeCell ref="C3680:D3680"/>
    <mergeCell ref="E3680:I3680"/>
    <mergeCell ref="J3680:M3680"/>
    <mergeCell ref="N3680:P3680"/>
    <mergeCell ref="Q3680:R3680"/>
    <mergeCell ref="A3681:B3681"/>
    <mergeCell ref="C3681:D3681"/>
    <mergeCell ref="E3681:I3681"/>
    <mergeCell ref="J3681:M3681"/>
    <mergeCell ref="N3681:P3681"/>
    <mergeCell ref="Q3681:R3681"/>
    <mergeCell ref="A3682:B3682"/>
    <mergeCell ref="C3682:D3682"/>
    <mergeCell ref="E3682:I3682"/>
    <mergeCell ref="J3682:M3682"/>
    <mergeCell ref="N3682:P3682"/>
    <mergeCell ref="Q3682:R3682"/>
    <mergeCell ref="A3683:B3683"/>
    <mergeCell ref="C3683:D3683"/>
    <mergeCell ref="E3683:I3683"/>
    <mergeCell ref="J3683:M3683"/>
    <mergeCell ref="N3683:P3683"/>
    <mergeCell ref="Q3683:R3683"/>
    <mergeCell ref="A3684:B3684"/>
    <mergeCell ref="C3684:D3684"/>
    <mergeCell ref="E3684:I3684"/>
    <mergeCell ref="J3684:M3684"/>
    <mergeCell ref="N3684:P3684"/>
    <mergeCell ref="Q3684:R3684"/>
    <mergeCell ref="A3685:B3685"/>
    <mergeCell ref="C3685:D3685"/>
    <mergeCell ref="E3685:I3685"/>
    <mergeCell ref="J3685:M3685"/>
    <mergeCell ref="N3685:P3685"/>
    <mergeCell ref="Q3685:R3685"/>
    <mergeCell ref="A3686:B3686"/>
    <mergeCell ref="C3686:D3686"/>
    <mergeCell ref="E3686:I3686"/>
    <mergeCell ref="J3686:M3686"/>
    <mergeCell ref="N3686:P3686"/>
    <mergeCell ref="Q3686:R3686"/>
    <mergeCell ref="A3687:B3687"/>
    <mergeCell ref="C3687:D3687"/>
    <mergeCell ref="E3687:I3687"/>
    <mergeCell ref="J3687:M3687"/>
    <mergeCell ref="N3687:P3687"/>
    <mergeCell ref="Q3687:R3687"/>
    <mergeCell ref="A3688:B3688"/>
    <mergeCell ref="C3688:D3688"/>
    <mergeCell ref="E3688:I3688"/>
    <mergeCell ref="J3688:M3688"/>
    <mergeCell ref="N3688:P3688"/>
    <mergeCell ref="Q3688:R3688"/>
    <mergeCell ref="A3689:B3689"/>
    <mergeCell ref="C3689:D3689"/>
    <mergeCell ref="E3689:I3689"/>
    <mergeCell ref="J3689:M3689"/>
    <mergeCell ref="N3689:P3689"/>
    <mergeCell ref="Q3689:R3689"/>
    <mergeCell ref="A3690:B3690"/>
    <mergeCell ref="C3690:D3690"/>
    <mergeCell ref="E3690:I3690"/>
    <mergeCell ref="J3690:M3690"/>
    <mergeCell ref="N3690:P3690"/>
    <mergeCell ref="Q3690:R3690"/>
    <mergeCell ref="A3691:B3691"/>
    <mergeCell ref="C3691:D3691"/>
    <mergeCell ref="E3691:I3691"/>
    <mergeCell ref="J3691:M3691"/>
    <mergeCell ref="N3691:P3691"/>
    <mergeCell ref="Q3691:R3691"/>
    <mergeCell ref="A3692:B3692"/>
    <mergeCell ref="C3692:D3692"/>
    <mergeCell ref="E3692:I3692"/>
    <mergeCell ref="J3692:M3692"/>
    <mergeCell ref="N3692:P3692"/>
    <mergeCell ref="Q3692:R3692"/>
    <mergeCell ref="A3693:B3693"/>
    <mergeCell ref="C3693:D3693"/>
    <mergeCell ref="E3693:I3693"/>
    <mergeCell ref="J3693:M3693"/>
    <mergeCell ref="N3693:P3693"/>
    <mergeCell ref="Q3693:R3693"/>
    <mergeCell ref="A3694:B3694"/>
    <mergeCell ref="C3694:D3694"/>
    <mergeCell ref="E3694:I3694"/>
    <mergeCell ref="J3694:M3694"/>
    <mergeCell ref="N3694:P3694"/>
    <mergeCell ref="Q3694:R3694"/>
    <mergeCell ref="A3695:B3695"/>
    <mergeCell ref="C3695:D3695"/>
    <mergeCell ref="E3695:I3695"/>
    <mergeCell ref="J3695:M3695"/>
    <mergeCell ref="N3695:P3695"/>
    <mergeCell ref="Q3695:R3695"/>
    <mergeCell ref="A3696:B3696"/>
    <mergeCell ref="C3696:D3696"/>
    <mergeCell ref="E3696:I3696"/>
    <mergeCell ref="J3696:M3696"/>
    <mergeCell ref="N3696:P3696"/>
    <mergeCell ref="Q3696:R3696"/>
    <mergeCell ref="A3697:B3697"/>
    <mergeCell ref="C3697:D3697"/>
    <mergeCell ref="E3697:I3697"/>
    <mergeCell ref="J3697:M3697"/>
    <mergeCell ref="N3697:P3697"/>
    <mergeCell ref="Q3697:R3697"/>
    <mergeCell ref="A3698:B3698"/>
    <mergeCell ref="C3698:D3698"/>
    <mergeCell ref="E3698:I3698"/>
    <mergeCell ref="J3698:M3698"/>
    <mergeCell ref="N3698:P3698"/>
    <mergeCell ref="Q3698:R3698"/>
    <mergeCell ref="A3699:B3699"/>
    <mergeCell ref="C3699:D3699"/>
    <mergeCell ref="E3699:I3699"/>
    <mergeCell ref="J3699:M3699"/>
    <mergeCell ref="N3699:P3699"/>
    <mergeCell ref="Q3699:R3699"/>
    <mergeCell ref="A3700:B3700"/>
    <mergeCell ref="C3700:D3700"/>
    <mergeCell ref="E3700:I3700"/>
    <mergeCell ref="J3700:M3700"/>
    <mergeCell ref="N3700:P3700"/>
    <mergeCell ref="Q3700:R3700"/>
    <mergeCell ref="A3701:B3701"/>
    <mergeCell ref="C3701:D3701"/>
    <mergeCell ref="E3701:I3701"/>
    <mergeCell ref="J3701:M3701"/>
    <mergeCell ref="N3701:P3701"/>
    <mergeCell ref="Q3701:R3701"/>
    <mergeCell ref="A3702:B3702"/>
    <mergeCell ref="C3702:D3702"/>
    <mergeCell ref="E3702:I3702"/>
    <mergeCell ref="J3702:M3702"/>
    <mergeCell ref="N3702:P3702"/>
    <mergeCell ref="Q3702:R3702"/>
    <mergeCell ref="A3703:B3703"/>
    <mergeCell ref="C3703:D3703"/>
    <mergeCell ref="E3703:I3703"/>
    <mergeCell ref="J3703:M3703"/>
    <mergeCell ref="N3703:P3703"/>
    <mergeCell ref="Q3703:R3703"/>
    <mergeCell ref="A3704:B3704"/>
    <mergeCell ref="C3704:D3704"/>
    <mergeCell ref="E3704:I3704"/>
    <mergeCell ref="J3704:M3704"/>
    <mergeCell ref="N3704:P3704"/>
    <mergeCell ref="Q3704:R3704"/>
    <mergeCell ref="A3705:B3705"/>
    <mergeCell ref="C3705:D3705"/>
    <mergeCell ref="E3705:I3705"/>
    <mergeCell ref="J3705:M3705"/>
    <mergeCell ref="N3705:P3705"/>
    <mergeCell ref="Q3705:R3705"/>
    <mergeCell ref="A3706:B3706"/>
    <mergeCell ref="C3706:D3706"/>
    <mergeCell ref="E3706:I3706"/>
    <mergeCell ref="J3706:M3706"/>
    <mergeCell ref="N3706:P3706"/>
    <mergeCell ref="Q3706:R3706"/>
    <mergeCell ref="A3707:B3707"/>
    <mergeCell ref="C3707:D3707"/>
    <mergeCell ref="E3707:I3707"/>
    <mergeCell ref="J3707:M3707"/>
    <mergeCell ref="N3707:P3707"/>
    <mergeCell ref="Q3707:R3707"/>
    <mergeCell ref="A3708:B3708"/>
    <mergeCell ref="C3708:D3708"/>
    <mergeCell ref="E3708:I3708"/>
    <mergeCell ref="J3708:M3708"/>
    <mergeCell ref="N3708:P3708"/>
    <mergeCell ref="Q3708:R3708"/>
    <mergeCell ref="A3709:B3709"/>
    <mergeCell ref="C3709:D3709"/>
    <mergeCell ref="E3709:I3709"/>
    <mergeCell ref="J3709:M3709"/>
    <mergeCell ref="N3709:P3709"/>
    <mergeCell ref="Q3709:R3709"/>
    <mergeCell ref="A3710:B3710"/>
    <mergeCell ref="C3710:D3710"/>
    <mergeCell ref="E3710:I3710"/>
    <mergeCell ref="J3710:M3710"/>
    <mergeCell ref="N3710:P3710"/>
    <mergeCell ref="Q3710:R3710"/>
    <mergeCell ref="A3711:B3711"/>
    <mergeCell ref="C3711:D3711"/>
    <mergeCell ref="E3711:I3711"/>
    <mergeCell ref="J3711:M3711"/>
    <mergeCell ref="N3711:P3711"/>
    <mergeCell ref="Q3711:R3711"/>
    <mergeCell ref="A3712:B3712"/>
    <mergeCell ref="C3712:D3712"/>
    <mergeCell ref="E3712:I3712"/>
    <mergeCell ref="J3712:M3712"/>
    <mergeCell ref="N3712:P3712"/>
    <mergeCell ref="Q3712:R3712"/>
    <mergeCell ref="A3713:B3713"/>
    <mergeCell ref="C3713:D3713"/>
    <mergeCell ref="E3713:I3713"/>
    <mergeCell ref="J3713:M3713"/>
    <mergeCell ref="N3713:P3713"/>
    <mergeCell ref="Q3713:R3713"/>
    <mergeCell ref="A3714:B3714"/>
    <mergeCell ref="C3714:D3714"/>
    <mergeCell ref="E3714:I3714"/>
    <mergeCell ref="J3714:M3714"/>
    <mergeCell ref="N3714:P3714"/>
    <mergeCell ref="Q3714:R3714"/>
    <mergeCell ref="A3715:B3715"/>
    <mergeCell ref="C3715:D3715"/>
    <mergeCell ref="E3715:I3715"/>
    <mergeCell ref="J3715:M3715"/>
    <mergeCell ref="N3715:P3715"/>
    <mergeCell ref="Q3715:R3715"/>
    <mergeCell ref="A3716:B3716"/>
    <mergeCell ref="C3716:D3716"/>
    <mergeCell ref="E3716:I3716"/>
    <mergeCell ref="J3716:M3716"/>
    <mergeCell ref="N3716:P3716"/>
    <mergeCell ref="Q3716:R3716"/>
    <mergeCell ref="A3717:B3717"/>
    <mergeCell ref="C3717:D3717"/>
    <mergeCell ref="E3717:I3717"/>
    <mergeCell ref="J3717:M3717"/>
    <mergeCell ref="N3717:P3717"/>
    <mergeCell ref="Q3717:R3717"/>
    <mergeCell ref="A3718:B3718"/>
    <mergeCell ref="C3718:D3718"/>
    <mergeCell ref="E3718:I3718"/>
    <mergeCell ref="J3718:M3718"/>
    <mergeCell ref="N3718:P3718"/>
    <mergeCell ref="Q3718:R3718"/>
    <mergeCell ref="A3719:B3719"/>
    <mergeCell ref="C3719:D3719"/>
    <mergeCell ref="E3719:I3719"/>
    <mergeCell ref="J3719:M3719"/>
    <mergeCell ref="N3719:P3719"/>
    <mergeCell ref="Q3719:R3719"/>
    <mergeCell ref="A3720:B3720"/>
    <mergeCell ref="C3720:D3720"/>
    <mergeCell ref="E3720:I3720"/>
    <mergeCell ref="J3720:M3720"/>
    <mergeCell ref="N3720:P3720"/>
    <mergeCell ref="Q3720:R3720"/>
    <mergeCell ref="A3721:B3721"/>
    <mergeCell ref="C3721:D3721"/>
    <mergeCell ref="E3721:I3721"/>
    <mergeCell ref="J3721:M3721"/>
    <mergeCell ref="N3721:P3721"/>
    <mergeCell ref="Q3721:R3721"/>
    <mergeCell ref="A3722:B3722"/>
    <mergeCell ref="C3722:D3722"/>
    <mergeCell ref="E3722:I3722"/>
    <mergeCell ref="J3722:M3722"/>
    <mergeCell ref="N3722:P3722"/>
    <mergeCell ref="Q3722:R3722"/>
    <mergeCell ref="A3723:B3723"/>
    <mergeCell ref="C3723:D3723"/>
    <mergeCell ref="E3723:I3723"/>
    <mergeCell ref="J3723:M3723"/>
    <mergeCell ref="N3723:P3723"/>
    <mergeCell ref="Q3723:R3723"/>
    <mergeCell ref="A3724:B3724"/>
    <mergeCell ref="C3724:D3724"/>
    <mergeCell ref="E3724:I3724"/>
    <mergeCell ref="J3724:M3724"/>
    <mergeCell ref="N3724:P3724"/>
    <mergeCell ref="Q3724:R3724"/>
    <mergeCell ref="A3725:B3725"/>
    <mergeCell ref="C3725:D3725"/>
    <mergeCell ref="E3725:I3725"/>
    <mergeCell ref="J3725:M3725"/>
    <mergeCell ref="N3725:P3725"/>
    <mergeCell ref="Q3725:R3725"/>
    <mergeCell ref="A3726:B3726"/>
    <mergeCell ref="C3726:D3726"/>
    <mergeCell ref="E3726:I3726"/>
    <mergeCell ref="J3726:M3726"/>
    <mergeCell ref="N3726:P3726"/>
    <mergeCell ref="Q3726:R3726"/>
    <mergeCell ref="A3727:B3727"/>
    <mergeCell ref="C3727:D3727"/>
    <mergeCell ref="E3727:I3727"/>
    <mergeCell ref="J3727:M3727"/>
    <mergeCell ref="N3727:P3727"/>
    <mergeCell ref="Q3727:R3727"/>
    <mergeCell ref="A3728:B3728"/>
    <mergeCell ref="C3728:D3728"/>
    <mergeCell ref="E3728:I3728"/>
    <mergeCell ref="J3728:M3728"/>
    <mergeCell ref="N3728:P3728"/>
    <mergeCell ref="Q3728:R3728"/>
    <mergeCell ref="A3729:B3729"/>
    <mergeCell ref="C3729:D3729"/>
    <mergeCell ref="E3729:I3729"/>
    <mergeCell ref="J3729:M3729"/>
    <mergeCell ref="N3729:P3729"/>
    <mergeCell ref="Q3729:R3729"/>
    <mergeCell ref="A3730:B3730"/>
    <mergeCell ref="C3730:D3730"/>
    <mergeCell ref="E3730:I3730"/>
    <mergeCell ref="J3730:M3730"/>
    <mergeCell ref="N3730:P3730"/>
    <mergeCell ref="Q3730:R3730"/>
    <mergeCell ref="A3731:B3731"/>
    <mergeCell ref="C3731:D3731"/>
    <mergeCell ref="E3731:I3731"/>
    <mergeCell ref="J3731:M3731"/>
    <mergeCell ref="N3731:P3731"/>
    <mergeCell ref="Q3731:R3731"/>
    <mergeCell ref="A3732:B3732"/>
    <mergeCell ref="C3732:D3732"/>
    <mergeCell ref="E3732:I3732"/>
    <mergeCell ref="J3732:M3732"/>
    <mergeCell ref="N3732:P3732"/>
    <mergeCell ref="Q3732:R3732"/>
    <mergeCell ref="A3733:B3733"/>
    <mergeCell ref="C3733:D3733"/>
    <mergeCell ref="E3733:I3733"/>
    <mergeCell ref="J3733:M3733"/>
    <mergeCell ref="N3733:P3733"/>
    <mergeCell ref="Q3733:R3733"/>
    <mergeCell ref="A3734:B3734"/>
    <mergeCell ref="C3734:D3734"/>
    <mergeCell ref="E3734:I3734"/>
    <mergeCell ref="J3734:M3734"/>
    <mergeCell ref="N3734:P3734"/>
    <mergeCell ref="Q3734:R3734"/>
    <mergeCell ref="A3735:B3735"/>
    <mergeCell ref="C3735:D3735"/>
    <mergeCell ref="E3735:I3735"/>
    <mergeCell ref="J3735:M3735"/>
    <mergeCell ref="N3735:P3735"/>
    <mergeCell ref="Q3735:R3735"/>
    <mergeCell ref="A3736:B3736"/>
    <mergeCell ref="C3736:D3736"/>
    <mergeCell ref="E3736:I3736"/>
    <mergeCell ref="J3736:M3736"/>
    <mergeCell ref="N3736:P3736"/>
    <mergeCell ref="Q3736:R3736"/>
    <mergeCell ref="A3737:B3737"/>
    <mergeCell ref="C3737:D3737"/>
    <mergeCell ref="E3737:I3737"/>
    <mergeCell ref="J3737:M3737"/>
    <mergeCell ref="N3737:P3737"/>
    <mergeCell ref="Q3737:R3737"/>
    <mergeCell ref="A3738:B3738"/>
    <mergeCell ref="C3738:D3738"/>
    <mergeCell ref="E3738:I3738"/>
    <mergeCell ref="J3738:M3738"/>
    <mergeCell ref="N3738:P3738"/>
    <mergeCell ref="Q3738:R3738"/>
    <mergeCell ref="A3739:B3739"/>
    <mergeCell ref="C3739:D3739"/>
    <mergeCell ref="E3739:I3739"/>
    <mergeCell ref="J3739:M3739"/>
    <mergeCell ref="N3739:P3739"/>
    <mergeCell ref="Q3739:R3739"/>
    <mergeCell ref="A3740:B3740"/>
    <mergeCell ref="C3740:D3740"/>
    <mergeCell ref="E3740:I3740"/>
    <mergeCell ref="J3740:M3740"/>
    <mergeCell ref="N3740:P3740"/>
    <mergeCell ref="Q3740:R3740"/>
    <mergeCell ref="A3741:B3741"/>
    <mergeCell ref="C3741:D3741"/>
    <mergeCell ref="E3741:I3741"/>
    <mergeCell ref="J3741:M3741"/>
    <mergeCell ref="N3741:P3741"/>
    <mergeCell ref="Q3741:R3741"/>
    <mergeCell ref="A3742:B3742"/>
    <mergeCell ref="C3742:D3742"/>
    <mergeCell ref="E3742:I3742"/>
    <mergeCell ref="J3742:M3742"/>
    <mergeCell ref="N3742:P3742"/>
    <mergeCell ref="Q3742:R3742"/>
    <mergeCell ref="A3743:B3743"/>
    <mergeCell ref="C3743:D3743"/>
    <mergeCell ref="E3743:I3743"/>
    <mergeCell ref="J3743:M3743"/>
    <mergeCell ref="N3743:P3743"/>
    <mergeCell ref="Q3743:R3743"/>
    <mergeCell ref="A3744:B3744"/>
    <mergeCell ref="C3744:D3744"/>
    <mergeCell ref="E3744:I3744"/>
    <mergeCell ref="J3744:M3744"/>
    <mergeCell ref="N3744:P3744"/>
    <mergeCell ref="Q3744:R3744"/>
    <mergeCell ref="A3745:B3745"/>
    <mergeCell ref="C3745:D3745"/>
    <mergeCell ref="E3745:I3745"/>
    <mergeCell ref="J3745:M3745"/>
    <mergeCell ref="N3745:P3745"/>
    <mergeCell ref="Q3745:R3745"/>
    <mergeCell ref="A3746:B3746"/>
    <mergeCell ref="C3746:D3746"/>
    <mergeCell ref="E3746:I3746"/>
    <mergeCell ref="J3746:M3746"/>
    <mergeCell ref="N3746:P3746"/>
    <mergeCell ref="Q3746:R3746"/>
    <mergeCell ref="A3747:B3747"/>
    <mergeCell ref="C3747:D3747"/>
    <mergeCell ref="E3747:I3747"/>
    <mergeCell ref="J3747:M3747"/>
    <mergeCell ref="N3747:P3747"/>
    <mergeCell ref="Q3747:R3747"/>
    <mergeCell ref="A3748:B3748"/>
    <mergeCell ref="C3748:D3748"/>
    <mergeCell ref="E3748:I3748"/>
    <mergeCell ref="J3748:M3748"/>
    <mergeCell ref="N3748:P3748"/>
    <mergeCell ref="Q3748:R3748"/>
    <mergeCell ref="A3749:B3749"/>
    <mergeCell ref="C3749:D3749"/>
    <mergeCell ref="E3749:I3749"/>
    <mergeCell ref="J3749:M3749"/>
    <mergeCell ref="N3749:P3749"/>
    <mergeCell ref="Q3749:R3749"/>
    <mergeCell ref="A3750:B3750"/>
    <mergeCell ref="C3750:D3750"/>
    <mergeCell ref="E3750:I3750"/>
    <mergeCell ref="J3750:M3750"/>
    <mergeCell ref="N3750:P3750"/>
    <mergeCell ref="Q3750:R3750"/>
    <mergeCell ref="A3751:B3751"/>
    <mergeCell ref="C3751:D3751"/>
    <mergeCell ref="E3751:I3751"/>
    <mergeCell ref="J3751:M3751"/>
    <mergeCell ref="N3751:P3751"/>
    <mergeCell ref="Q3751:R3751"/>
    <mergeCell ref="A3752:B3752"/>
    <mergeCell ref="C3752:D3752"/>
    <mergeCell ref="E3752:I3752"/>
    <mergeCell ref="J3752:M3752"/>
    <mergeCell ref="N3752:P3752"/>
    <mergeCell ref="Q3752:R3752"/>
    <mergeCell ref="A3753:B3753"/>
    <mergeCell ref="C3753:D3753"/>
    <mergeCell ref="E3753:I3753"/>
    <mergeCell ref="J3753:M3753"/>
    <mergeCell ref="N3753:P3753"/>
    <mergeCell ref="Q3753:R3753"/>
    <mergeCell ref="A3754:B3754"/>
    <mergeCell ref="C3754:D3754"/>
    <mergeCell ref="E3754:I3754"/>
    <mergeCell ref="J3754:M3754"/>
    <mergeCell ref="N3754:P3754"/>
    <mergeCell ref="Q3754:R3754"/>
    <mergeCell ref="A3755:B3755"/>
    <mergeCell ref="C3755:D3755"/>
    <mergeCell ref="E3755:I3755"/>
    <mergeCell ref="J3755:M3755"/>
    <mergeCell ref="N3755:P3755"/>
    <mergeCell ref="Q3755:R3755"/>
    <mergeCell ref="A3756:B3756"/>
    <mergeCell ref="C3756:D3756"/>
    <mergeCell ref="E3756:I3756"/>
    <mergeCell ref="J3756:M3756"/>
    <mergeCell ref="N3756:P3756"/>
    <mergeCell ref="Q3756:R3756"/>
    <mergeCell ref="A3757:B3757"/>
    <mergeCell ref="C3757:D3757"/>
    <mergeCell ref="E3757:I3757"/>
    <mergeCell ref="J3757:M3757"/>
    <mergeCell ref="N3757:P3757"/>
    <mergeCell ref="Q3757:R3757"/>
    <mergeCell ref="A3758:B3758"/>
    <mergeCell ref="C3758:D3758"/>
    <mergeCell ref="E3758:I3758"/>
    <mergeCell ref="J3758:M3758"/>
    <mergeCell ref="N3758:P3758"/>
    <mergeCell ref="Q3758:R3758"/>
    <mergeCell ref="A3759:B3759"/>
    <mergeCell ref="C3759:D3759"/>
    <mergeCell ref="E3759:I3759"/>
    <mergeCell ref="J3759:M3759"/>
    <mergeCell ref="N3759:P3759"/>
    <mergeCell ref="Q3759:R3759"/>
    <mergeCell ref="A3760:B3760"/>
    <mergeCell ref="C3760:D3760"/>
    <mergeCell ref="E3760:I3760"/>
    <mergeCell ref="J3760:M3760"/>
    <mergeCell ref="N3760:P3760"/>
    <mergeCell ref="Q3760:R3760"/>
    <mergeCell ref="A3761:B3761"/>
    <mergeCell ref="C3761:D3761"/>
    <mergeCell ref="E3761:I3761"/>
    <mergeCell ref="J3761:M3761"/>
    <mergeCell ref="N3761:P3761"/>
    <mergeCell ref="Q3761:R3761"/>
    <mergeCell ref="A3762:B3762"/>
    <mergeCell ref="C3762:D3762"/>
    <mergeCell ref="E3762:I3762"/>
    <mergeCell ref="J3762:M3762"/>
    <mergeCell ref="N3762:P3762"/>
    <mergeCell ref="Q3762:R3762"/>
    <mergeCell ref="A3763:B3763"/>
    <mergeCell ref="C3763:D3763"/>
    <mergeCell ref="E3763:I3763"/>
    <mergeCell ref="J3763:M3763"/>
    <mergeCell ref="N3763:P3763"/>
    <mergeCell ref="Q3763:R3763"/>
    <mergeCell ref="A3764:B3764"/>
    <mergeCell ref="C3764:D3764"/>
    <mergeCell ref="E3764:I3764"/>
    <mergeCell ref="J3764:M3764"/>
    <mergeCell ref="N3764:P3764"/>
    <mergeCell ref="Q3764:R3764"/>
    <mergeCell ref="A3765:B3765"/>
    <mergeCell ref="C3765:D3765"/>
    <mergeCell ref="E3765:I3765"/>
    <mergeCell ref="J3765:M3765"/>
    <mergeCell ref="N3765:P3765"/>
    <mergeCell ref="Q3765:R3765"/>
    <mergeCell ref="A3766:B3766"/>
    <mergeCell ref="C3766:D3766"/>
    <mergeCell ref="E3766:I3766"/>
    <mergeCell ref="J3766:M3766"/>
    <mergeCell ref="N3766:P3766"/>
    <mergeCell ref="Q3766:R3766"/>
    <mergeCell ref="A3767:B3767"/>
    <mergeCell ref="C3767:D3767"/>
    <mergeCell ref="E3767:I3767"/>
    <mergeCell ref="J3767:M3767"/>
    <mergeCell ref="N3767:P3767"/>
    <mergeCell ref="Q3767:R3767"/>
    <mergeCell ref="A3768:B3768"/>
    <mergeCell ref="C3768:D3768"/>
    <mergeCell ref="E3768:I3768"/>
    <mergeCell ref="J3768:M3768"/>
    <mergeCell ref="N3768:P3768"/>
    <mergeCell ref="Q3768:R3768"/>
    <mergeCell ref="A3769:B3769"/>
    <mergeCell ref="C3769:D3769"/>
    <mergeCell ref="E3769:I3769"/>
    <mergeCell ref="J3769:M3769"/>
    <mergeCell ref="N3769:P3769"/>
    <mergeCell ref="Q3769:R3769"/>
    <mergeCell ref="A3770:B3770"/>
    <mergeCell ref="C3770:D3770"/>
    <mergeCell ref="E3770:I3770"/>
    <mergeCell ref="J3770:M3770"/>
    <mergeCell ref="N3770:P3770"/>
    <mergeCell ref="Q3770:R3770"/>
    <mergeCell ref="A3771:B3771"/>
    <mergeCell ref="C3771:D3771"/>
    <mergeCell ref="E3771:I3771"/>
    <mergeCell ref="J3771:M3771"/>
    <mergeCell ref="N3771:P3771"/>
    <mergeCell ref="Q3771:R3771"/>
    <mergeCell ref="A3772:B3772"/>
    <mergeCell ref="C3772:D3772"/>
    <mergeCell ref="E3772:I3772"/>
    <mergeCell ref="J3772:M3772"/>
    <mergeCell ref="N3772:P3772"/>
    <mergeCell ref="Q3772:R3772"/>
    <mergeCell ref="A3773:B3773"/>
    <mergeCell ref="C3773:D3773"/>
    <mergeCell ref="E3773:I3773"/>
    <mergeCell ref="J3773:M3773"/>
    <mergeCell ref="N3773:P3773"/>
    <mergeCell ref="Q3773:R3773"/>
    <mergeCell ref="A3774:B3774"/>
    <mergeCell ref="C3774:D3774"/>
    <mergeCell ref="E3774:I3774"/>
    <mergeCell ref="J3774:M3774"/>
    <mergeCell ref="N3774:P3774"/>
    <mergeCell ref="Q3774:R3774"/>
    <mergeCell ref="A3775:B3775"/>
    <mergeCell ref="C3775:D3775"/>
    <mergeCell ref="E3775:I3775"/>
    <mergeCell ref="J3775:M3775"/>
    <mergeCell ref="N3775:P3775"/>
    <mergeCell ref="Q3775:R3775"/>
    <mergeCell ref="A3776:B3776"/>
    <mergeCell ref="C3776:D3776"/>
    <mergeCell ref="E3776:I3776"/>
    <mergeCell ref="J3776:M3776"/>
    <mergeCell ref="N3776:P3776"/>
    <mergeCell ref="Q3776:R3776"/>
    <mergeCell ref="A3777:B3777"/>
    <mergeCell ref="C3777:D3777"/>
    <mergeCell ref="E3777:I3777"/>
    <mergeCell ref="J3777:M3777"/>
    <mergeCell ref="N3777:P3777"/>
    <mergeCell ref="Q3777:R3777"/>
    <mergeCell ref="A3778:B3778"/>
    <mergeCell ref="C3778:D3778"/>
    <mergeCell ref="E3778:I3778"/>
    <mergeCell ref="J3778:M3778"/>
    <mergeCell ref="N3778:P3778"/>
    <mergeCell ref="Q3778:R3778"/>
    <mergeCell ref="A3779:B3779"/>
    <mergeCell ref="C3779:D3779"/>
    <mergeCell ref="E3779:I3779"/>
    <mergeCell ref="J3779:M3779"/>
    <mergeCell ref="N3779:P3779"/>
    <mergeCell ref="Q3779:R3779"/>
    <mergeCell ref="A3780:B3780"/>
    <mergeCell ref="C3780:D3780"/>
    <mergeCell ref="E3780:I3780"/>
    <mergeCell ref="J3780:M3780"/>
    <mergeCell ref="N3780:P3780"/>
    <mergeCell ref="Q3780:R3780"/>
    <mergeCell ref="A3781:B3781"/>
    <mergeCell ref="C3781:D3781"/>
    <mergeCell ref="E3781:I3781"/>
    <mergeCell ref="J3781:M3781"/>
    <mergeCell ref="N3781:P3781"/>
    <mergeCell ref="Q3781:R3781"/>
    <mergeCell ref="A3782:B3782"/>
    <mergeCell ref="C3782:D3782"/>
    <mergeCell ref="E3782:I3782"/>
    <mergeCell ref="J3782:M3782"/>
    <mergeCell ref="N3782:P3782"/>
    <mergeCell ref="Q3782:R3782"/>
    <mergeCell ref="A3783:B3783"/>
    <mergeCell ref="C3783:D3783"/>
    <mergeCell ref="E3783:I3783"/>
    <mergeCell ref="J3783:M3783"/>
    <mergeCell ref="N3783:P3783"/>
    <mergeCell ref="Q3783:R3783"/>
    <mergeCell ref="A3784:B3784"/>
    <mergeCell ref="C3784:D3784"/>
    <mergeCell ref="E3784:I3784"/>
    <mergeCell ref="J3784:M3784"/>
    <mergeCell ref="N3784:P3784"/>
    <mergeCell ref="Q3784:R3784"/>
    <mergeCell ref="A3785:B3785"/>
    <mergeCell ref="C3785:D3785"/>
    <mergeCell ref="E3785:I3785"/>
    <mergeCell ref="J3785:M3785"/>
    <mergeCell ref="N3785:P3785"/>
    <mergeCell ref="Q3785:R3785"/>
    <mergeCell ref="A3786:B3786"/>
    <mergeCell ref="C3786:D3786"/>
    <mergeCell ref="E3786:I3786"/>
    <mergeCell ref="J3786:M3786"/>
    <mergeCell ref="N3786:P3786"/>
    <mergeCell ref="Q3786:R3786"/>
    <mergeCell ref="A3787:B3787"/>
    <mergeCell ref="C3787:D3787"/>
    <mergeCell ref="E3787:I3787"/>
    <mergeCell ref="J3787:M3787"/>
    <mergeCell ref="N3787:P3787"/>
    <mergeCell ref="Q3787:R3787"/>
    <mergeCell ref="A3788:B3788"/>
    <mergeCell ref="C3788:D3788"/>
    <mergeCell ref="E3788:I3788"/>
    <mergeCell ref="J3788:M3788"/>
    <mergeCell ref="N3788:P3788"/>
    <mergeCell ref="Q3788:R3788"/>
    <mergeCell ref="A3789:B3789"/>
    <mergeCell ref="C3789:D3789"/>
    <mergeCell ref="E3789:I3789"/>
    <mergeCell ref="J3789:M3789"/>
    <mergeCell ref="N3789:P3789"/>
    <mergeCell ref="Q3789:R3789"/>
    <mergeCell ref="A3790:B3790"/>
    <mergeCell ref="C3790:D3790"/>
    <mergeCell ref="E3790:I3790"/>
    <mergeCell ref="J3790:M3790"/>
    <mergeCell ref="N3790:P3790"/>
    <mergeCell ref="Q3790:R3790"/>
    <mergeCell ref="A3791:B3791"/>
    <mergeCell ref="C3791:D3791"/>
    <mergeCell ref="E3791:I3791"/>
    <mergeCell ref="J3791:M3791"/>
    <mergeCell ref="N3791:P3791"/>
    <mergeCell ref="Q3791:R3791"/>
    <mergeCell ref="A3792:B3792"/>
    <mergeCell ref="C3792:D3792"/>
    <mergeCell ref="E3792:I3792"/>
    <mergeCell ref="J3792:M3792"/>
    <mergeCell ref="N3792:P3792"/>
    <mergeCell ref="Q3792:R3792"/>
    <mergeCell ref="A3793:B3793"/>
    <mergeCell ref="C3793:D3793"/>
    <mergeCell ref="E3793:I3793"/>
    <mergeCell ref="J3793:M3793"/>
    <mergeCell ref="N3793:P3793"/>
    <mergeCell ref="Q3793:R3793"/>
    <mergeCell ref="A3794:B3794"/>
    <mergeCell ref="C3794:D3794"/>
    <mergeCell ref="E3794:I3794"/>
    <mergeCell ref="J3794:M3794"/>
    <mergeCell ref="N3794:P3794"/>
    <mergeCell ref="Q3794:R3794"/>
    <mergeCell ref="A3795:B3795"/>
    <mergeCell ref="C3795:D3795"/>
    <mergeCell ref="E3795:I3795"/>
    <mergeCell ref="J3795:M3795"/>
    <mergeCell ref="N3795:P3795"/>
    <mergeCell ref="Q3795:R3795"/>
    <mergeCell ref="A3796:B3796"/>
    <mergeCell ref="C3796:D3796"/>
    <mergeCell ref="E3796:I3796"/>
    <mergeCell ref="J3796:M3796"/>
    <mergeCell ref="N3796:P3796"/>
    <mergeCell ref="Q3796:R3796"/>
    <mergeCell ref="A3797:B3797"/>
    <mergeCell ref="C3797:D3797"/>
    <mergeCell ref="E3797:I3797"/>
    <mergeCell ref="J3797:M3797"/>
    <mergeCell ref="N3797:P3797"/>
    <mergeCell ref="Q3797:R3797"/>
    <mergeCell ref="A3798:B3798"/>
    <mergeCell ref="C3798:D3798"/>
    <mergeCell ref="E3798:I3798"/>
    <mergeCell ref="J3798:M3798"/>
    <mergeCell ref="N3798:P3798"/>
    <mergeCell ref="Q3798:R3798"/>
    <mergeCell ref="A3799:B3799"/>
    <mergeCell ref="C3799:D3799"/>
    <mergeCell ref="E3799:I3799"/>
    <mergeCell ref="J3799:M3799"/>
    <mergeCell ref="N3799:P3799"/>
    <mergeCell ref="Q3799:R3799"/>
    <mergeCell ref="A3800:B3800"/>
    <mergeCell ref="C3800:D3800"/>
    <mergeCell ref="E3800:I3800"/>
    <mergeCell ref="J3800:M3800"/>
    <mergeCell ref="N3800:P3800"/>
    <mergeCell ref="Q3800:R3800"/>
    <mergeCell ref="A3801:B3801"/>
    <mergeCell ref="C3801:D3801"/>
    <mergeCell ref="E3801:I3801"/>
    <mergeCell ref="J3801:M3801"/>
    <mergeCell ref="N3801:P3801"/>
    <mergeCell ref="Q3801:R3801"/>
    <mergeCell ref="A3802:B3802"/>
    <mergeCell ref="C3802:D3802"/>
    <mergeCell ref="E3802:I3802"/>
    <mergeCell ref="J3802:M3802"/>
    <mergeCell ref="N3802:P3802"/>
    <mergeCell ref="Q3802:R3802"/>
    <mergeCell ref="A3803:B3803"/>
    <mergeCell ref="C3803:D3803"/>
    <mergeCell ref="E3803:I3803"/>
    <mergeCell ref="J3803:M3803"/>
    <mergeCell ref="N3803:P3803"/>
    <mergeCell ref="Q3803:R3803"/>
    <mergeCell ref="A3804:B3804"/>
    <mergeCell ref="C3804:D3804"/>
    <mergeCell ref="E3804:I3804"/>
    <mergeCell ref="J3804:M3804"/>
    <mergeCell ref="N3804:P3804"/>
    <mergeCell ref="Q3804:R3804"/>
    <mergeCell ref="A3805:B3805"/>
    <mergeCell ref="C3805:D3805"/>
    <mergeCell ref="E3805:I3805"/>
    <mergeCell ref="J3805:M3805"/>
    <mergeCell ref="N3805:P3805"/>
    <mergeCell ref="Q3805:R3805"/>
    <mergeCell ref="A3806:B3806"/>
    <mergeCell ref="C3806:D3806"/>
    <mergeCell ref="E3806:I3806"/>
    <mergeCell ref="J3806:M3806"/>
    <mergeCell ref="N3806:P3806"/>
    <mergeCell ref="Q3806:R3806"/>
    <mergeCell ref="A3807:B3807"/>
    <mergeCell ref="C3807:D3807"/>
    <mergeCell ref="E3807:I3807"/>
    <mergeCell ref="J3807:M3807"/>
    <mergeCell ref="N3807:P3807"/>
    <mergeCell ref="Q3807:R3807"/>
    <mergeCell ref="A3808:B3808"/>
    <mergeCell ref="C3808:D3808"/>
    <mergeCell ref="E3808:I3808"/>
    <mergeCell ref="J3808:M3808"/>
    <mergeCell ref="N3808:P3808"/>
    <mergeCell ref="Q3808:R3808"/>
    <mergeCell ref="A3809:B3809"/>
    <mergeCell ref="C3809:D3809"/>
    <mergeCell ref="E3809:I3809"/>
    <mergeCell ref="J3809:M3809"/>
    <mergeCell ref="N3809:P3809"/>
    <mergeCell ref="Q3809:R3809"/>
    <mergeCell ref="A3810:B3810"/>
    <mergeCell ref="C3810:D3810"/>
    <mergeCell ref="E3810:I3810"/>
    <mergeCell ref="J3810:M3810"/>
    <mergeCell ref="N3810:P3810"/>
    <mergeCell ref="Q3810:R3810"/>
    <mergeCell ref="A3811:B3811"/>
    <mergeCell ref="C3811:D3811"/>
    <mergeCell ref="E3811:I3811"/>
    <mergeCell ref="J3811:M3811"/>
    <mergeCell ref="N3811:P3811"/>
    <mergeCell ref="Q3811:R3811"/>
    <mergeCell ref="A3812:B3812"/>
    <mergeCell ref="C3812:D3812"/>
    <mergeCell ref="E3812:I3812"/>
    <mergeCell ref="J3812:M3812"/>
    <mergeCell ref="N3812:P3812"/>
    <mergeCell ref="Q3812:R3812"/>
    <mergeCell ref="A3813:B3813"/>
    <mergeCell ref="C3813:D3813"/>
    <mergeCell ref="E3813:I3813"/>
    <mergeCell ref="J3813:M3813"/>
    <mergeCell ref="N3813:P3813"/>
    <mergeCell ref="Q3813:R3813"/>
    <mergeCell ref="A3814:B3814"/>
    <mergeCell ref="C3814:D3814"/>
    <mergeCell ref="E3814:I3814"/>
    <mergeCell ref="J3814:M3814"/>
    <mergeCell ref="N3814:P3814"/>
    <mergeCell ref="Q3814:R3814"/>
    <mergeCell ref="A3815:B3815"/>
    <mergeCell ref="C3815:D3815"/>
    <mergeCell ref="E3815:I3815"/>
    <mergeCell ref="J3815:M3815"/>
    <mergeCell ref="N3815:P3815"/>
    <mergeCell ref="Q3815:R3815"/>
    <mergeCell ref="A3816:B3816"/>
    <mergeCell ref="C3816:D3816"/>
    <mergeCell ref="E3816:I3816"/>
    <mergeCell ref="J3816:M3816"/>
    <mergeCell ref="N3816:P3816"/>
    <mergeCell ref="Q3816:R3816"/>
    <mergeCell ref="A3817:B3817"/>
    <mergeCell ref="C3817:D3817"/>
    <mergeCell ref="E3817:I3817"/>
    <mergeCell ref="J3817:M3817"/>
    <mergeCell ref="N3817:P3817"/>
    <mergeCell ref="Q3817:R3817"/>
    <mergeCell ref="A3818:B3818"/>
    <mergeCell ref="C3818:D3818"/>
    <mergeCell ref="E3818:I3818"/>
    <mergeCell ref="J3818:M3818"/>
    <mergeCell ref="N3818:P3818"/>
    <mergeCell ref="Q3818:R3818"/>
    <mergeCell ref="A3819:B3819"/>
    <mergeCell ref="C3819:D3819"/>
    <mergeCell ref="E3819:I3819"/>
    <mergeCell ref="J3819:M3819"/>
    <mergeCell ref="N3819:P3819"/>
    <mergeCell ref="Q3819:R3819"/>
    <mergeCell ref="A3820:B3820"/>
    <mergeCell ref="C3820:D3820"/>
    <mergeCell ref="E3820:I3820"/>
    <mergeCell ref="J3820:M3820"/>
    <mergeCell ref="N3820:P3820"/>
    <mergeCell ref="Q3820:R3820"/>
    <mergeCell ref="A3821:B3821"/>
    <mergeCell ref="C3821:D3821"/>
    <mergeCell ref="E3821:I3821"/>
    <mergeCell ref="J3821:M3821"/>
    <mergeCell ref="N3821:P3821"/>
    <mergeCell ref="Q3821:R3821"/>
    <mergeCell ref="A3822:B3822"/>
    <mergeCell ref="C3822:D3822"/>
    <mergeCell ref="E3822:I3822"/>
    <mergeCell ref="J3822:M3822"/>
    <mergeCell ref="N3822:P3822"/>
    <mergeCell ref="Q3822:R3822"/>
    <mergeCell ref="A3823:B3823"/>
    <mergeCell ref="C3823:D3823"/>
    <mergeCell ref="E3823:I3823"/>
    <mergeCell ref="J3823:M3823"/>
    <mergeCell ref="N3823:P3823"/>
    <mergeCell ref="Q3823:R3823"/>
    <mergeCell ref="A3824:B3824"/>
    <mergeCell ref="C3824:D3824"/>
    <mergeCell ref="E3824:I3824"/>
    <mergeCell ref="J3824:M3824"/>
    <mergeCell ref="N3824:P3824"/>
    <mergeCell ref="Q3824:R3824"/>
    <mergeCell ref="A3825:B3825"/>
    <mergeCell ref="C3825:D3825"/>
    <mergeCell ref="E3825:I3825"/>
    <mergeCell ref="J3825:M3825"/>
    <mergeCell ref="N3825:P3825"/>
    <mergeCell ref="Q3825:R3825"/>
    <mergeCell ref="A3826:B3826"/>
    <mergeCell ref="C3826:D3826"/>
    <mergeCell ref="E3826:I3826"/>
    <mergeCell ref="J3826:M3826"/>
    <mergeCell ref="N3826:P3826"/>
    <mergeCell ref="Q3826:R3826"/>
    <mergeCell ref="A3827:B3827"/>
    <mergeCell ref="C3827:D3827"/>
    <mergeCell ref="E3827:I3827"/>
    <mergeCell ref="J3827:M3827"/>
    <mergeCell ref="N3827:P3827"/>
    <mergeCell ref="Q3827:R3827"/>
    <mergeCell ref="A3828:B3828"/>
    <mergeCell ref="C3828:D3828"/>
    <mergeCell ref="E3828:I3828"/>
    <mergeCell ref="J3828:M3828"/>
    <mergeCell ref="N3828:P3828"/>
    <mergeCell ref="Q3828:R3828"/>
    <mergeCell ref="A3829:B3829"/>
    <mergeCell ref="C3829:D3829"/>
    <mergeCell ref="E3829:I3829"/>
    <mergeCell ref="J3829:M3829"/>
    <mergeCell ref="N3829:P3829"/>
    <mergeCell ref="Q3829:R3829"/>
    <mergeCell ref="A3830:B3830"/>
    <mergeCell ref="C3830:D3830"/>
    <mergeCell ref="E3830:I3830"/>
    <mergeCell ref="J3830:M3830"/>
    <mergeCell ref="N3830:P3830"/>
    <mergeCell ref="Q3830:R3830"/>
    <mergeCell ref="A3831:B3831"/>
    <mergeCell ref="C3831:D3831"/>
    <mergeCell ref="E3831:I3831"/>
    <mergeCell ref="J3831:M3831"/>
    <mergeCell ref="N3831:P3831"/>
    <mergeCell ref="Q3831:R3831"/>
    <mergeCell ref="A3832:B3832"/>
    <mergeCell ref="C3832:D3832"/>
    <mergeCell ref="E3832:I3832"/>
    <mergeCell ref="J3832:M3832"/>
    <mergeCell ref="N3832:P3832"/>
    <mergeCell ref="Q3832:R3832"/>
    <mergeCell ref="A3833:B3833"/>
    <mergeCell ref="C3833:D3833"/>
    <mergeCell ref="E3833:I3833"/>
    <mergeCell ref="J3833:M3833"/>
    <mergeCell ref="N3833:P3833"/>
    <mergeCell ref="Q3833:R3833"/>
    <mergeCell ref="A3834:B3834"/>
    <mergeCell ref="C3834:D3834"/>
    <mergeCell ref="E3834:I3834"/>
    <mergeCell ref="J3834:M3834"/>
    <mergeCell ref="N3834:P3834"/>
    <mergeCell ref="Q3834:R3834"/>
    <mergeCell ref="A3835:B3835"/>
    <mergeCell ref="C3835:D3835"/>
    <mergeCell ref="E3835:I3835"/>
    <mergeCell ref="J3835:M3835"/>
    <mergeCell ref="N3835:P3835"/>
    <mergeCell ref="Q3835:R3835"/>
    <mergeCell ref="A3836:B3836"/>
    <mergeCell ref="C3836:D3836"/>
    <mergeCell ref="E3836:I3836"/>
    <mergeCell ref="J3836:M3836"/>
    <mergeCell ref="N3836:P3836"/>
    <mergeCell ref="Q3836:R3836"/>
    <mergeCell ref="A3837:B3837"/>
    <mergeCell ref="C3837:D3837"/>
    <mergeCell ref="E3837:I3837"/>
    <mergeCell ref="J3837:M3837"/>
    <mergeCell ref="N3837:P3837"/>
    <mergeCell ref="Q3837:R3837"/>
    <mergeCell ref="A3838:B3838"/>
    <mergeCell ref="C3838:D3838"/>
    <mergeCell ref="E3838:I3838"/>
    <mergeCell ref="J3838:M3838"/>
    <mergeCell ref="N3838:P3838"/>
    <mergeCell ref="Q3838:R3838"/>
    <mergeCell ref="A3839:B3839"/>
    <mergeCell ref="C3839:D3839"/>
    <mergeCell ref="E3839:I3839"/>
    <mergeCell ref="J3839:M3839"/>
    <mergeCell ref="N3839:P3839"/>
    <mergeCell ref="Q3839:R3839"/>
    <mergeCell ref="A3840:B3840"/>
    <mergeCell ref="C3840:D3840"/>
    <mergeCell ref="E3840:I3840"/>
    <mergeCell ref="J3840:M3840"/>
    <mergeCell ref="N3840:P3840"/>
    <mergeCell ref="Q3840:R3840"/>
    <mergeCell ref="A3841:B3841"/>
    <mergeCell ref="C3841:D3841"/>
    <mergeCell ref="E3841:I3841"/>
    <mergeCell ref="J3841:M3841"/>
    <mergeCell ref="N3841:P3841"/>
    <mergeCell ref="Q3841:R3841"/>
    <mergeCell ref="A3842:B3842"/>
    <mergeCell ref="C3842:D3842"/>
    <mergeCell ref="E3842:I3842"/>
    <mergeCell ref="J3842:M3842"/>
    <mergeCell ref="N3842:P3842"/>
    <mergeCell ref="Q3842:R3842"/>
    <mergeCell ref="A3843:B3843"/>
    <mergeCell ref="C3843:D3843"/>
    <mergeCell ref="E3843:I3843"/>
    <mergeCell ref="J3843:M3843"/>
    <mergeCell ref="N3843:P3843"/>
    <mergeCell ref="Q3843:R3843"/>
    <mergeCell ref="A3844:B3844"/>
    <mergeCell ref="C3844:D3844"/>
    <mergeCell ref="E3844:I3844"/>
    <mergeCell ref="J3844:M3844"/>
    <mergeCell ref="N3844:P3844"/>
    <mergeCell ref="Q3844:R3844"/>
    <mergeCell ref="A3845:B3845"/>
    <mergeCell ref="C3845:D3845"/>
    <mergeCell ref="E3845:I3845"/>
    <mergeCell ref="J3845:M3845"/>
    <mergeCell ref="N3845:P3845"/>
    <mergeCell ref="Q3845:R3845"/>
    <mergeCell ref="A3846:B3846"/>
    <mergeCell ref="C3846:D3846"/>
    <mergeCell ref="E3846:I3846"/>
    <mergeCell ref="J3846:M3846"/>
    <mergeCell ref="N3846:P3846"/>
    <mergeCell ref="Q3846:R3846"/>
    <mergeCell ref="A3847:B3847"/>
    <mergeCell ref="C3847:D3847"/>
    <mergeCell ref="E3847:I3847"/>
    <mergeCell ref="J3847:M3847"/>
    <mergeCell ref="N3847:P3847"/>
    <mergeCell ref="Q3847:R3847"/>
    <mergeCell ref="A3848:B3848"/>
    <mergeCell ref="C3848:D3848"/>
    <mergeCell ref="E3848:I3848"/>
    <mergeCell ref="J3848:M3848"/>
    <mergeCell ref="N3848:P3848"/>
    <mergeCell ref="Q3848:R3848"/>
    <mergeCell ref="A3849:B3849"/>
    <mergeCell ref="C3849:D3849"/>
    <mergeCell ref="E3849:I3849"/>
    <mergeCell ref="J3849:M3849"/>
    <mergeCell ref="N3849:P3849"/>
    <mergeCell ref="Q3849:R3849"/>
    <mergeCell ref="A3850:B3850"/>
    <mergeCell ref="C3850:D3850"/>
    <mergeCell ref="E3850:I3850"/>
    <mergeCell ref="J3850:M3850"/>
    <mergeCell ref="N3850:P3850"/>
    <mergeCell ref="Q3850:R3850"/>
    <mergeCell ref="A3851:B3851"/>
    <mergeCell ref="C3851:D3851"/>
    <mergeCell ref="E3851:I3851"/>
    <mergeCell ref="J3851:M3851"/>
    <mergeCell ref="N3851:P3851"/>
    <mergeCell ref="Q3851:R3851"/>
    <mergeCell ref="A3852:B3852"/>
    <mergeCell ref="C3852:D3852"/>
    <mergeCell ref="E3852:I3852"/>
    <mergeCell ref="J3852:M3852"/>
    <mergeCell ref="N3852:P3852"/>
    <mergeCell ref="Q3852:R3852"/>
    <mergeCell ref="A3853:B3853"/>
    <mergeCell ref="C3853:D3853"/>
    <mergeCell ref="E3853:I3853"/>
    <mergeCell ref="J3853:M3853"/>
    <mergeCell ref="N3853:P3853"/>
    <mergeCell ref="Q3853:R3853"/>
    <mergeCell ref="A3854:B3854"/>
    <mergeCell ref="C3854:D3854"/>
    <mergeCell ref="E3854:I3854"/>
    <mergeCell ref="J3854:M3854"/>
    <mergeCell ref="N3854:P3854"/>
    <mergeCell ref="Q3854:R3854"/>
    <mergeCell ref="A3855:B3855"/>
    <mergeCell ref="C3855:D3855"/>
    <mergeCell ref="E3855:I3855"/>
    <mergeCell ref="J3855:M3855"/>
    <mergeCell ref="N3855:P3855"/>
    <mergeCell ref="Q3855:R3855"/>
    <mergeCell ref="A3856:B3856"/>
    <mergeCell ref="C3856:D3856"/>
    <mergeCell ref="E3856:I3856"/>
    <mergeCell ref="J3856:M3856"/>
    <mergeCell ref="N3856:P3856"/>
    <mergeCell ref="Q3856:R3856"/>
    <mergeCell ref="A3857:B3857"/>
    <mergeCell ref="C3857:D3857"/>
    <mergeCell ref="E3857:I3857"/>
    <mergeCell ref="J3857:M3857"/>
    <mergeCell ref="N3857:P3857"/>
    <mergeCell ref="Q3857:R3857"/>
    <mergeCell ref="A3858:B3858"/>
    <mergeCell ref="C3858:D3858"/>
    <mergeCell ref="E3858:I3858"/>
    <mergeCell ref="J3858:M3858"/>
    <mergeCell ref="N3858:P3858"/>
    <mergeCell ref="Q3858:R3858"/>
    <mergeCell ref="A3859:B3859"/>
    <mergeCell ref="C3859:D3859"/>
    <mergeCell ref="E3859:I3859"/>
    <mergeCell ref="J3859:M3859"/>
    <mergeCell ref="N3859:P3859"/>
    <mergeCell ref="Q3859:R3859"/>
    <mergeCell ref="A3860:B3860"/>
    <mergeCell ref="C3860:D3860"/>
    <mergeCell ref="E3860:I3860"/>
    <mergeCell ref="J3860:M3860"/>
    <mergeCell ref="N3860:P3860"/>
    <mergeCell ref="Q3860:R3860"/>
    <mergeCell ref="A3861:B3861"/>
    <mergeCell ref="C3861:D3861"/>
    <mergeCell ref="E3861:I3861"/>
    <mergeCell ref="J3861:M3861"/>
    <mergeCell ref="N3861:P3861"/>
    <mergeCell ref="Q3861:R3861"/>
    <mergeCell ref="A3862:B3862"/>
    <mergeCell ref="C3862:D3862"/>
    <mergeCell ref="E3862:I3862"/>
    <mergeCell ref="J3862:M3862"/>
    <mergeCell ref="N3862:P3862"/>
    <mergeCell ref="Q3862:R3862"/>
    <mergeCell ref="A3863:B3863"/>
    <mergeCell ref="C3863:D3863"/>
    <mergeCell ref="E3863:I3863"/>
    <mergeCell ref="J3863:M3863"/>
    <mergeCell ref="N3863:P3863"/>
    <mergeCell ref="Q3863:R3863"/>
    <mergeCell ref="A3864:B3864"/>
    <mergeCell ref="C3864:D3864"/>
    <mergeCell ref="E3864:I3864"/>
    <mergeCell ref="J3864:M3864"/>
    <mergeCell ref="N3864:P3864"/>
    <mergeCell ref="Q3864:R3864"/>
    <mergeCell ref="A3865:B3865"/>
    <mergeCell ref="C3865:D3865"/>
    <mergeCell ref="E3865:I3865"/>
    <mergeCell ref="J3865:M3865"/>
    <mergeCell ref="N3865:P3865"/>
    <mergeCell ref="Q3865:R3865"/>
    <mergeCell ref="A3866:B3866"/>
    <mergeCell ref="C3866:D3866"/>
    <mergeCell ref="E3866:I3866"/>
    <mergeCell ref="J3866:M3866"/>
    <mergeCell ref="N3866:P3866"/>
    <mergeCell ref="Q3866:R3866"/>
    <mergeCell ref="A3867:B3867"/>
    <mergeCell ref="C3867:D3867"/>
    <mergeCell ref="E3867:I3867"/>
    <mergeCell ref="J3867:M3867"/>
    <mergeCell ref="N3867:P3867"/>
    <mergeCell ref="Q3867:R3867"/>
    <mergeCell ref="A3868:B3868"/>
    <mergeCell ref="C3868:D3868"/>
    <mergeCell ref="E3868:I3868"/>
    <mergeCell ref="J3868:M3868"/>
    <mergeCell ref="N3868:P3868"/>
    <mergeCell ref="Q3868:R3868"/>
    <mergeCell ref="A3869:B3869"/>
    <mergeCell ref="C3869:D3869"/>
    <mergeCell ref="E3869:I3869"/>
    <mergeCell ref="J3869:M3869"/>
    <mergeCell ref="N3869:P3869"/>
    <mergeCell ref="Q3869:R3869"/>
    <mergeCell ref="A3870:B3870"/>
    <mergeCell ref="C3870:D3870"/>
    <mergeCell ref="E3870:I3870"/>
    <mergeCell ref="J3870:M3870"/>
    <mergeCell ref="N3870:P3870"/>
    <mergeCell ref="Q3870:R3870"/>
    <mergeCell ref="A3871:B3871"/>
    <mergeCell ref="C3871:D3871"/>
    <mergeCell ref="E3871:I3871"/>
    <mergeCell ref="J3871:M3871"/>
    <mergeCell ref="N3871:P3871"/>
    <mergeCell ref="Q3871:R3871"/>
    <mergeCell ref="A3872:B3872"/>
    <mergeCell ref="C3872:D3872"/>
    <mergeCell ref="E3872:I3872"/>
    <mergeCell ref="J3872:M3872"/>
    <mergeCell ref="N3872:P3872"/>
    <mergeCell ref="Q3872:R3872"/>
    <mergeCell ref="A3873:B3873"/>
    <mergeCell ref="C3873:D3873"/>
    <mergeCell ref="E3873:I3873"/>
    <mergeCell ref="J3873:M3873"/>
    <mergeCell ref="N3873:P3873"/>
    <mergeCell ref="Q3873:R3873"/>
    <mergeCell ref="A3874:B3874"/>
    <mergeCell ref="C3874:D3874"/>
    <mergeCell ref="E3874:I3874"/>
    <mergeCell ref="J3874:M3874"/>
    <mergeCell ref="N3874:P3874"/>
    <mergeCell ref="Q3874:R3874"/>
    <mergeCell ref="A3875:B3875"/>
    <mergeCell ref="C3875:D3875"/>
    <mergeCell ref="E3875:I3875"/>
    <mergeCell ref="J3875:M3875"/>
    <mergeCell ref="N3875:P3875"/>
    <mergeCell ref="Q3875:R3875"/>
    <mergeCell ref="A3876:B3876"/>
    <mergeCell ref="C3876:D3876"/>
    <mergeCell ref="E3876:I3876"/>
    <mergeCell ref="J3876:M3876"/>
    <mergeCell ref="N3876:P3876"/>
    <mergeCell ref="Q3876:R3876"/>
    <mergeCell ref="A3877:B3877"/>
    <mergeCell ref="C3877:D3877"/>
    <mergeCell ref="E3877:I3877"/>
    <mergeCell ref="J3877:M3877"/>
    <mergeCell ref="N3877:P3877"/>
    <mergeCell ref="Q3877:R3877"/>
    <mergeCell ref="A3878:B3878"/>
    <mergeCell ref="C3878:D3878"/>
    <mergeCell ref="E3878:I3878"/>
    <mergeCell ref="J3878:M3878"/>
    <mergeCell ref="N3878:P3878"/>
    <mergeCell ref="Q3878:R3878"/>
    <mergeCell ref="A3879:B3879"/>
    <mergeCell ref="C3879:D3879"/>
    <mergeCell ref="E3879:I3879"/>
    <mergeCell ref="J3879:M3879"/>
    <mergeCell ref="N3879:P3879"/>
    <mergeCell ref="Q3879:R3879"/>
    <mergeCell ref="A3880:B3880"/>
    <mergeCell ref="C3880:D3880"/>
    <mergeCell ref="E3880:I3880"/>
    <mergeCell ref="J3880:M3880"/>
    <mergeCell ref="N3880:P3880"/>
    <mergeCell ref="Q3880:R3880"/>
    <mergeCell ref="A3881:B3881"/>
    <mergeCell ref="C3881:D3881"/>
    <mergeCell ref="E3881:I3881"/>
    <mergeCell ref="J3881:M3881"/>
    <mergeCell ref="N3881:P3881"/>
    <mergeCell ref="Q3881:R3881"/>
    <mergeCell ref="A3882:B3882"/>
    <mergeCell ref="C3882:D3882"/>
    <mergeCell ref="E3882:I3882"/>
    <mergeCell ref="J3882:M3882"/>
    <mergeCell ref="N3882:P3882"/>
    <mergeCell ref="Q3882:R3882"/>
    <mergeCell ref="A3883:B3883"/>
    <mergeCell ref="C3883:D3883"/>
    <mergeCell ref="E3883:I3883"/>
    <mergeCell ref="J3883:M3883"/>
    <mergeCell ref="N3883:P3883"/>
    <mergeCell ref="Q3883:R3883"/>
    <mergeCell ref="A3884:B3884"/>
    <mergeCell ref="C3884:D3884"/>
    <mergeCell ref="E3884:I3884"/>
    <mergeCell ref="J3884:M3884"/>
    <mergeCell ref="N3884:P3884"/>
    <mergeCell ref="Q3884:R3884"/>
    <mergeCell ref="A3885:B3885"/>
    <mergeCell ref="C3885:D3885"/>
    <mergeCell ref="E3885:I3885"/>
    <mergeCell ref="J3885:M3885"/>
    <mergeCell ref="N3885:P3885"/>
    <mergeCell ref="Q3885:R3885"/>
    <mergeCell ref="A3886:B3886"/>
    <mergeCell ref="C3886:D3886"/>
    <mergeCell ref="E3886:I3886"/>
    <mergeCell ref="J3886:M3886"/>
    <mergeCell ref="N3886:P3886"/>
    <mergeCell ref="Q3886:R3886"/>
    <mergeCell ref="A3887:B3887"/>
    <mergeCell ref="C3887:D3887"/>
    <mergeCell ref="E3887:I3887"/>
    <mergeCell ref="J3887:M3887"/>
    <mergeCell ref="N3887:P3887"/>
    <mergeCell ref="Q3887:R3887"/>
    <mergeCell ref="A3888:B3888"/>
    <mergeCell ref="C3888:D3888"/>
    <mergeCell ref="E3888:I3888"/>
    <mergeCell ref="J3888:M3888"/>
    <mergeCell ref="N3888:P3888"/>
    <mergeCell ref="Q3888:R3888"/>
    <mergeCell ref="A3889:B3889"/>
    <mergeCell ref="C3889:D3889"/>
    <mergeCell ref="E3889:I3889"/>
    <mergeCell ref="J3889:M3889"/>
    <mergeCell ref="N3889:P3889"/>
    <mergeCell ref="Q3889:R3889"/>
    <mergeCell ref="A3890:B3890"/>
    <mergeCell ref="C3890:D3890"/>
    <mergeCell ref="E3890:I3890"/>
    <mergeCell ref="J3890:M3890"/>
    <mergeCell ref="N3890:P3890"/>
    <mergeCell ref="Q3890:R3890"/>
    <mergeCell ref="A3891:B3891"/>
    <mergeCell ref="C3891:D3891"/>
    <mergeCell ref="E3891:I3891"/>
    <mergeCell ref="J3891:M3891"/>
    <mergeCell ref="N3891:P3891"/>
    <mergeCell ref="Q3891:R3891"/>
    <mergeCell ref="A3892:B3892"/>
    <mergeCell ref="C3892:D3892"/>
    <mergeCell ref="E3892:I3892"/>
    <mergeCell ref="J3892:M3892"/>
    <mergeCell ref="N3892:P3892"/>
    <mergeCell ref="Q3892:R3892"/>
    <mergeCell ref="A3893:B3893"/>
    <mergeCell ref="C3893:D3893"/>
    <mergeCell ref="E3893:I3893"/>
    <mergeCell ref="J3893:M3893"/>
    <mergeCell ref="N3893:P3893"/>
    <mergeCell ref="Q3893:R3893"/>
    <mergeCell ref="A3894:B3894"/>
    <mergeCell ref="C3894:D3894"/>
    <mergeCell ref="E3894:I3894"/>
    <mergeCell ref="J3894:M3894"/>
    <mergeCell ref="N3894:P3894"/>
    <mergeCell ref="Q3894:R3894"/>
    <mergeCell ref="A3895:B3895"/>
    <mergeCell ref="C3895:D3895"/>
    <mergeCell ref="E3895:I3895"/>
    <mergeCell ref="J3895:M3895"/>
    <mergeCell ref="N3895:P3895"/>
    <mergeCell ref="Q3895:R3895"/>
    <mergeCell ref="A3896:B3896"/>
    <mergeCell ref="C3896:D3896"/>
    <mergeCell ref="E3896:I3896"/>
    <mergeCell ref="J3896:M3896"/>
    <mergeCell ref="N3896:P3896"/>
    <mergeCell ref="Q3896:R3896"/>
    <mergeCell ref="A3897:B3897"/>
    <mergeCell ref="C3897:D3897"/>
    <mergeCell ref="E3897:I3897"/>
    <mergeCell ref="J3897:M3897"/>
    <mergeCell ref="N3897:P3897"/>
    <mergeCell ref="Q3897:R3897"/>
    <mergeCell ref="A3898:B3898"/>
    <mergeCell ref="C3898:D3898"/>
    <mergeCell ref="E3898:I3898"/>
    <mergeCell ref="J3898:M3898"/>
    <mergeCell ref="N3898:P3898"/>
    <mergeCell ref="Q3898:R3898"/>
    <mergeCell ref="A3899:B3899"/>
    <mergeCell ref="C3899:D3899"/>
    <mergeCell ref="E3899:I3899"/>
    <mergeCell ref="J3899:M3899"/>
    <mergeCell ref="N3899:P3899"/>
    <mergeCell ref="Q3899:R3899"/>
    <mergeCell ref="A3900:B3900"/>
    <mergeCell ref="C3900:D3900"/>
    <mergeCell ref="E3900:I3900"/>
    <mergeCell ref="J3900:M3900"/>
    <mergeCell ref="N3900:P3900"/>
    <mergeCell ref="Q3900:R3900"/>
    <mergeCell ref="A3901:B3901"/>
    <mergeCell ref="C3901:D3901"/>
    <mergeCell ref="E3901:I3901"/>
    <mergeCell ref="J3901:M3901"/>
    <mergeCell ref="N3901:P3901"/>
    <mergeCell ref="Q3901:R3901"/>
    <mergeCell ref="A3902:B3902"/>
    <mergeCell ref="C3902:D3902"/>
    <mergeCell ref="E3902:I3902"/>
    <mergeCell ref="J3902:M3902"/>
    <mergeCell ref="N3902:P3902"/>
    <mergeCell ref="Q3902:R3902"/>
    <mergeCell ref="A3903:B3903"/>
    <mergeCell ref="C3903:D3903"/>
    <mergeCell ref="E3903:I3903"/>
    <mergeCell ref="J3903:M3903"/>
    <mergeCell ref="N3903:P3903"/>
    <mergeCell ref="Q3903:R3903"/>
    <mergeCell ref="A3904:B3904"/>
    <mergeCell ref="C3904:D3904"/>
    <mergeCell ref="E3904:I3904"/>
    <mergeCell ref="J3904:M3904"/>
    <mergeCell ref="N3904:P3904"/>
    <mergeCell ref="Q3904:R3904"/>
    <mergeCell ref="A3905:B3905"/>
    <mergeCell ref="C3905:D3905"/>
    <mergeCell ref="E3905:I3905"/>
    <mergeCell ref="J3905:M3905"/>
    <mergeCell ref="N3905:P3905"/>
    <mergeCell ref="Q3905:R3905"/>
    <mergeCell ref="A3906:B3906"/>
    <mergeCell ref="C3906:D3906"/>
    <mergeCell ref="E3906:I3906"/>
    <mergeCell ref="J3906:M3906"/>
    <mergeCell ref="N3906:P3906"/>
    <mergeCell ref="Q3906:R3906"/>
    <mergeCell ref="A3907:B3907"/>
    <mergeCell ref="C3907:D3907"/>
    <mergeCell ref="E3907:I3907"/>
    <mergeCell ref="J3907:M3907"/>
    <mergeCell ref="N3907:P3907"/>
    <mergeCell ref="Q3907:R3907"/>
    <mergeCell ref="A3908:B3908"/>
    <mergeCell ref="C3908:D3908"/>
    <mergeCell ref="E3908:I3908"/>
    <mergeCell ref="J3908:M3908"/>
    <mergeCell ref="N3908:P3908"/>
    <mergeCell ref="Q3908:R3908"/>
    <mergeCell ref="A3909:B3909"/>
    <mergeCell ref="C3909:D3909"/>
    <mergeCell ref="E3909:I3909"/>
    <mergeCell ref="J3909:M3909"/>
    <mergeCell ref="N3909:P3909"/>
    <mergeCell ref="Q3909:R3909"/>
    <mergeCell ref="A3910:B3910"/>
    <mergeCell ref="C3910:D3910"/>
    <mergeCell ref="E3910:I3910"/>
    <mergeCell ref="J3910:M3910"/>
    <mergeCell ref="N3910:P3910"/>
    <mergeCell ref="Q3910:R3910"/>
    <mergeCell ref="A3911:B3911"/>
    <mergeCell ref="C3911:D3911"/>
    <mergeCell ref="E3911:I3911"/>
    <mergeCell ref="J3911:M3911"/>
    <mergeCell ref="N3911:P3911"/>
    <mergeCell ref="Q3911:R3911"/>
    <mergeCell ref="A3912:B3912"/>
    <mergeCell ref="C3912:D3912"/>
    <mergeCell ref="E3912:I3912"/>
    <mergeCell ref="J3912:M3912"/>
    <mergeCell ref="N3912:P3912"/>
    <mergeCell ref="Q3912:R3912"/>
    <mergeCell ref="A3913:B3913"/>
    <mergeCell ref="C3913:D3913"/>
    <mergeCell ref="E3913:I3913"/>
    <mergeCell ref="J3913:M3913"/>
    <mergeCell ref="N3913:P3913"/>
    <mergeCell ref="Q3913:R3913"/>
    <mergeCell ref="A3914:B3914"/>
    <mergeCell ref="C3914:D3914"/>
    <mergeCell ref="E3914:I3914"/>
    <mergeCell ref="J3914:M3914"/>
    <mergeCell ref="N3914:P3914"/>
    <mergeCell ref="Q3914:R3914"/>
    <mergeCell ref="A3915:B3915"/>
    <mergeCell ref="C3915:D3915"/>
    <mergeCell ref="E3915:I3915"/>
    <mergeCell ref="J3915:M3915"/>
    <mergeCell ref="N3915:P3915"/>
    <mergeCell ref="Q3915:R3915"/>
    <mergeCell ref="A3916:B3916"/>
    <mergeCell ref="C3916:D3916"/>
    <mergeCell ref="E3916:I3916"/>
    <mergeCell ref="J3916:M3916"/>
    <mergeCell ref="N3916:P3916"/>
    <mergeCell ref="Q3916:R3916"/>
    <mergeCell ref="A3917:B3917"/>
    <mergeCell ref="C3917:D3917"/>
    <mergeCell ref="E3917:I3917"/>
    <mergeCell ref="J3917:M3917"/>
    <mergeCell ref="N3917:P3917"/>
    <mergeCell ref="Q3917:R3917"/>
    <mergeCell ref="A3918:B3918"/>
    <mergeCell ref="C3918:D3918"/>
    <mergeCell ref="E3918:I3918"/>
    <mergeCell ref="J3918:M3918"/>
    <mergeCell ref="N3918:P3918"/>
    <mergeCell ref="Q3918:R3918"/>
    <mergeCell ref="A3919:B3919"/>
    <mergeCell ref="C3919:D3919"/>
    <mergeCell ref="E3919:I3919"/>
    <mergeCell ref="J3919:M3919"/>
    <mergeCell ref="N3919:P3919"/>
    <mergeCell ref="Q3919:R3919"/>
    <mergeCell ref="A3920:B3920"/>
    <mergeCell ref="C3920:D3920"/>
    <mergeCell ref="E3920:I3920"/>
    <mergeCell ref="J3920:M3920"/>
    <mergeCell ref="N3920:P3920"/>
    <mergeCell ref="Q3920:R3920"/>
    <mergeCell ref="A3921:B3921"/>
    <mergeCell ref="C3921:D3921"/>
    <mergeCell ref="E3921:I3921"/>
    <mergeCell ref="J3921:M3921"/>
    <mergeCell ref="N3921:P3921"/>
    <mergeCell ref="Q3921:R3921"/>
    <mergeCell ref="A3922:B3922"/>
    <mergeCell ref="C3922:D3922"/>
    <mergeCell ref="E3922:I3922"/>
    <mergeCell ref="J3922:M3922"/>
    <mergeCell ref="N3922:P3922"/>
    <mergeCell ref="Q3922:R3922"/>
    <mergeCell ref="A3923:B3923"/>
    <mergeCell ref="C3923:D3923"/>
    <mergeCell ref="E3923:I3923"/>
    <mergeCell ref="J3923:M3923"/>
    <mergeCell ref="N3923:P3923"/>
    <mergeCell ref="Q3923:R3923"/>
    <mergeCell ref="A3924:B3924"/>
    <mergeCell ref="C3924:D3924"/>
    <mergeCell ref="E3924:I3924"/>
    <mergeCell ref="J3924:M3924"/>
    <mergeCell ref="N3924:P3924"/>
    <mergeCell ref="Q3924:R3924"/>
    <mergeCell ref="A3925:B3925"/>
    <mergeCell ref="C3925:D3925"/>
    <mergeCell ref="E3925:I3925"/>
    <mergeCell ref="J3925:M3925"/>
    <mergeCell ref="N3925:P3925"/>
    <mergeCell ref="Q3925:R3925"/>
    <mergeCell ref="A3926:B3926"/>
    <mergeCell ref="C3926:D3926"/>
    <mergeCell ref="E3926:I3926"/>
    <mergeCell ref="J3926:M3926"/>
    <mergeCell ref="N3926:P3926"/>
    <mergeCell ref="Q3926:R3926"/>
    <mergeCell ref="A3927:B3927"/>
    <mergeCell ref="C3927:D3927"/>
    <mergeCell ref="E3927:I3927"/>
    <mergeCell ref="J3927:M3927"/>
    <mergeCell ref="N3927:P3927"/>
    <mergeCell ref="Q3927:R3927"/>
    <mergeCell ref="A3928:B3928"/>
    <mergeCell ref="C3928:D3928"/>
    <mergeCell ref="E3928:I3928"/>
    <mergeCell ref="J3928:M3928"/>
    <mergeCell ref="N3928:P3928"/>
    <mergeCell ref="Q3928:R3928"/>
    <mergeCell ref="A3929:B3929"/>
    <mergeCell ref="C3929:D3929"/>
    <mergeCell ref="E3929:I3929"/>
    <mergeCell ref="J3929:M3929"/>
    <mergeCell ref="N3929:P3929"/>
    <mergeCell ref="Q3929:R3929"/>
    <mergeCell ref="A3930:B3930"/>
    <mergeCell ref="C3930:D3930"/>
    <mergeCell ref="E3930:I3930"/>
    <mergeCell ref="J3930:M3930"/>
    <mergeCell ref="N3930:P3930"/>
    <mergeCell ref="Q3930:R3930"/>
    <mergeCell ref="A3931:B3931"/>
    <mergeCell ref="C3931:D3931"/>
    <mergeCell ref="E3931:I3931"/>
    <mergeCell ref="J3931:M3931"/>
    <mergeCell ref="N3931:P3931"/>
    <mergeCell ref="Q3931:R3931"/>
    <mergeCell ref="A3932:B3932"/>
    <mergeCell ref="C3932:D3932"/>
    <mergeCell ref="E3932:I3932"/>
    <mergeCell ref="J3932:M3932"/>
    <mergeCell ref="N3932:P3932"/>
    <mergeCell ref="Q3932:R3932"/>
    <mergeCell ref="A3933:B3933"/>
    <mergeCell ref="C3933:D3933"/>
    <mergeCell ref="E3933:I3933"/>
    <mergeCell ref="J3933:M3933"/>
    <mergeCell ref="N3933:P3933"/>
    <mergeCell ref="Q3933:R3933"/>
    <mergeCell ref="A3934:B3934"/>
    <mergeCell ref="C3934:D3934"/>
    <mergeCell ref="E3934:I3934"/>
    <mergeCell ref="J3934:M3934"/>
    <mergeCell ref="N3934:P3934"/>
    <mergeCell ref="Q3934:R3934"/>
    <mergeCell ref="A3935:B3935"/>
    <mergeCell ref="C3935:D3935"/>
    <mergeCell ref="E3935:I3935"/>
    <mergeCell ref="J3935:M3935"/>
    <mergeCell ref="N3935:P3935"/>
    <mergeCell ref="Q3935:R3935"/>
    <mergeCell ref="A3936:B3936"/>
    <mergeCell ref="C3936:D3936"/>
    <mergeCell ref="E3936:I3936"/>
    <mergeCell ref="J3936:M3936"/>
    <mergeCell ref="N3936:P3936"/>
    <mergeCell ref="Q3936:R3936"/>
    <mergeCell ref="A3937:B3937"/>
    <mergeCell ref="C3937:D3937"/>
    <mergeCell ref="E3937:I3937"/>
    <mergeCell ref="J3937:M3937"/>
    <mergeCell ref="N3937:P3937"/>
    <mergeCell ref="Q3937:R3937"/>
    <mergeCell ref="A3938:B3938"/>
    <mergeCell ref="C3938:D3938"/>
    <mergeCell ref="E3938:I3938"/>
    <mergeCell ref="J3938:M3938"/>
    <mergeCell ref="N3938:P3938"/>
    <mergeCell ref="Q3938:R3938"/>
    <mergeCell ref="A3939:B3939"/>
    <mergeCell ref="C3939:D3939"/>
    <mergeCell ref="E3939:I3939"/>
    <mergeCell ref="J3939:M3939"/>
    <mergeCell ref="N3939:P3939"/>
    <mergeCell ref="Q3939:R3939"/>
    <mergeCell ref="A3940:B3940"/>
    <mergeCell ref="C3940:D3940"/>
    <mergeCell ref="E3940:I3940"/>
    <mergeCell ref="J3940:M3940"/>
    <mergeCell ref="N3940:P3940"/>
    <mergeCell ref="Q3940:R3940"/>
    <mergeCell ref="A3941:B3941"/>
    <mergeCell ref="C3941:D3941"/>
    <mergeCell ref="E3941:I3941"/>
    <mergeCell ref="J3941:M3941"/>
    <mergeCell ref="N3941:P3941"/>
    <mergeCell ref="Q3941:R3941"/>
    <mergeCell ref="A3942:B3942"/>
    <mergeCell ref="C3942:D3942"/>
    <mergeCell ref="E3942:I3942"/>
    <mergeCell ref="J3942:M3942"/>
    <mergeCell ref="N3942:P3942"/>
    <mergeCell ref="Q3942:R3942"/>
    <mergeCell ref="A3943:B3943"/>
    <mergeCell ref="C3943:D3943"/>
    <mergeCell ref="E3943:I3943"/>
    <mergeCell ref="J3943:M3943"/>
    <mergeCell ref="N3943:P3943"/>
    <mergeCell ref="Q3943:R3943"/>
    <mergeCell ref="A3944:B3944"/>
    <mergeCell ref="C3944:D3944"/>
    <mergeCell ref="E3944:I3944"/>
    <mergeCell ref="J3944:M3944"/>
    <mergeCell ref="N3944:P3944"/>
    <mergeCell ref="Q3944:R3944"/>
    <mergeCell ref="A3945:B3945"/>
    <mergeCell ref="C3945:D3945"/>
    <mergeCell ref="E3945:I3945"/>
    <mergeCell ref="J3945:M3945"/>
    <mergeCell ref="N3945:P3945"/>
    <mergeCell ref="Q3945:R3945"/>
    <mergeCell ref="A3946:B3946"/>
    <mergeCell ref="C3946:D3946"/>
    <mergeCell ref="E3946:I3946"/>
    <mergeCell ref="J3946:M3946"/>
    <mergeCell ref="N3946:P3946"/>
    <mergeCell ref="Q3946:R3946"/>
    <mergeCell ref="A3947:B3947"/>
    <mergeCell ref="C3947:D3947"/>
    <mergeCell ref="E3947:I3947"/>
    <mergeCell ref="J3947:M3947"/>
    <mergeCell ref="N3947:P3947"/>
    <mergeCell ref="Q3947:R3947"/>
    <mergeCell ref="A3948:B3948"/>
    <mergeCell ref="C3948:D3948"/>
    <mergeCell ref="E3948:I3948"/>
    <mergeCell ref="J3948:M3948"/>
    <mergeCell ref="N3948:P3948"/>
    <mergeCell ref="Q3948:R3948"/>
    <mergeCell ref="A3949:B3949"/>
    <mergeCell ref="C3949:D3949"/>
    <mergeCell ref="E3949:I3949"/>
    <mergeCell ref="J3949:M3949"/>
    <mergeCell ref="N3949:P3949"/>
    <mergeCell ref="Q3949:R3949"/>
    <mergeCell ref="A3950:B3950"/>
    <mergeCell ref="C3950:D3950"/>
    <mergeCell ref="E3950:I3950"/>
    <mergeCell ref="J3950:M3950"/>
    <mergeCell ref="N3950:P3950"/>
    <mergeCell ref="Q3950:R3950"/>
    <mergeCell ref="A3951:B3951"/>
    <mergeCell ref="C3951:D3951"/>
    <mergeCell ref="E3951:I3951"/>
    <mergeCell ref="J3951:M3951"/>
    <mergeCell ref="N3951:P3951"/>
    <mergeCell ref="Q3951:R3951"/>
    <mergeCell ref="A3952:B3952"/>
    <mergeCell ref="C3952:D3952"/>
    <mergeCell ref="E3952:I3952"/>
    <mergeCell ref="J3952:M3952"/>
    <mergeCell ref="N3952:P3952"/>
    <mergeCell ref="Q3952:R3952"/>
    <mergeCell ref="A3953:B3953"/>
    <mergeCell ref="C3953:D3953"/>
    <mergeCell ref="E3953:I3953"/>
    <mergeCell ref="J3953:M3953"/>
    <mergeCell ref="N3953:P3953"/>
    <mergeCell ref="Q3953:R3953"/>
    <mergeCell ref="A3954:B3954"/>
    <mergeCell ref="C3954:D3954"/>
    <mergeCell ref="E3954:I3954"/>
    <mergeCell ref="J3954:M3954"/>
    <mergeCell ref="N3954:P3954"/>
    <mergeCell ref="Q3954:R3954"/>
    <mergeCell ref="A3955:B3955"/>
    <mergeCell ref="C3955:D3955"/>
    <mergeCell ref="E3955:I3955"/>
    <mergeCell ref="J3955:M3955"/>
    <mergeCell ref="N3955:P3955"/>
    <mergeCell ref="Q3955:R3955"/>
    <mergeCell ref="A3956:B3956"/>
    <mergeCell ref="C3956:D3956"/>
    <mergeCell ref="E3956:I3956"/>
    <mergeCell ref="J3956:M3956"/>
    <mergeCell ref="N3956:P3956"/>
    <mergeCell ref="Q3956:R3956"/>
    <mergeCell ref="A3957:B3957"/>
    <mergeCell ref="C3957:D3957"/>
    <mergeCell ref="E3957:I3957"/>
    <mergeCell ref="J3957:M3957"/>
    <mergeCell ref="N3957:P3957"/>
    <mergeCell ref="Q3957:R3957"/>
    <mergeCell ref="A3958:B3958"/>
    <mergeCell ref="C3958:D3958"/>
    <mergeCell ref="E3958:I3958"/>
    <mergeCell ref="J3958:M3958"/>
    <mergeCell ref="N3958:P3958"/>
    <mergeCell ref="Q3958:R3958"/>
    <mergeCell ref="A3959:B3959"/>
    <mergeCell ref="C3959:D3959"/>
    <mergeCell ref="E3959:I3959"/>
    <mergeCell ref="J3959:M3959"/>
    <mergeCell ref="N3959:P3959"/>
    <mergeCell ref="Q3959:R3959"/>
    <mergeCell ref="A3960:B3960"/>
    <mergeCell ref="C3960:D3960"/>
    <mergeCell ref="E3960:I3960"/>
    <mergeCell ref="J3960:M3960"/>
    <mergeCell ref="N3960:P3960"/>
    <mergeCell ref="Q3960:R3960"/>
    <mergeCell ref="A3961:B3961"/>
    <mergeCell ref="C3961:D3961"/>
    <mergeCell ref="E3961:I3961"/>
    <mergeCell ref="J3961:M3961"/>
    <mergeCell ref="N3961:P3961"/>
    <mergeCell ref="Q3961:R3961"/>
    <mergeCell ref="A3962:B3962"/>
    <mergeCell ref="C3962:D3962"/>
    <mergeCell ref="E3962:I3962"/>
    <mergeCell ref="J3962:M3962"/>
    <mergeCell ref="N3962:P3962"/>
    <mergeCell ref="Q3962:R3962"/>
    <mergeCell ref="A3963:B3963"/>
    <mergeCell ref="C3963:D3963"/>
    <mergeCell ref="E3963:I3963"/>
    <mergeCell ref="J3963:M3963"/>
    <mergeCell ref="N3963:P3963"/>
    <mergeCell ref="Q3963:R3963"/>
    <mergeCell ref="A3964:B3964"/>
    <mergeCell ref="C3964:D3964"/>
    <mergeCell ref="E3964:I3964"/>
    <mergeCell ref="J3964:M3964"/>
    <mergeCell ref="N3964:P3964"/>
    <mergeCell ref="Q3964:R3964"/>
    <mergeCell ref="A3965:B3965"/>
    <mergeCell ref="C3965:D3965"/>
    <mergeCell ref="E3965:I3965"/>
    <mergeCell ref="J3965:M3965"/>
    <mergeCell ref="N3965:P3965"/>
    <mergeCell ref="Q3965:R3965"/>
    <mergeCell ref="A3966:B3966"/>
    <mergeCell ref="C3966:D3966"/>
    <mergeCell ref="E3966:I3966"/>
    <mergeCell ref="J3966:M3966"/>
    <mergeCell ref="N3966:P3966"/>
    <mergeCell ref="Q3966:R3966"/>
    <mergeCell ref="A3967:B3967"/>
    <mergeCell ref="C3967:D3967"/>
    <mergeCell ref="E3967:I3967"/>
    <mergeCell ref="J3967:M3967"/>
    <mergeCell ref="N3967:P3967"/>
    <mergeCell ref="Q3967:R3967"/>
    <mergeCell ref="A3968:B3968"/>
    <mergeCell ref="C3968:D3968"/>
    <mergeCell ref="E3968:I3968"/>
    <mergeCell ref="J3968:M3968"/>
    <mergeCell ref="N3968:P3968"/>
    <mergeCell ref="Q3968:R3968"/>
    <mergeCell ref="A3969:B3969"/>
    <mergeCell ref="C3969:D3969"/>
    <mergeCell ref="E3969:I3969"/>
    <mergeCell ref="J3969:M3969"/>
    <mergeCell ref="N3969:P3969"/>
    <mergeCell ref="Q3969:R3969"/>
    <mergeCell ref="A3970:B3970"/>
    <mergeCell ref="C3970:D3970"/>
    <mergeCell ref="E3970:I3970"/>
    <mergeCell ref="J3970:M3970"/>
    <mergeCell ref="N3970:P3970"/>
    <mergeCell ref="Q3970:R3970"/>
    <mergeCell ref="A3971:B3971"/>
    <mergeCell ref="C3971:D3971"/>
    <mergeCell ref="E3971:I3971"/>
    <mergeCell ref="J3971:M3971"/>
    <mergeCell ref="N3971:P3971"/>
    <mergeCell ref="Q3971:R3971"/>
    <mergeCell ref="A3972:B3972"/>
    <mergeCell ref="C3972:D3972"/>
    <mergeCell ref="E3972:I3972"/>
    <mergeCell ref="J3972:M3972"/>
    <mergeCell ref="N3972:P3972"/>
    <mergeCell ref="Q3972:R3972"/>
    <mergeCell ref="A3973:B3973"/>
    <mergeCell ref="C3973:D3973"/>
    <mergeCell ref="E3973:I3973"/>
    <mergeCell ref="J3973:M3973"/>
    <mergeCell ref="N3973:P3973"/>
    <mergeCell ref="Q3973:R3973"/>
    <mergeCell ref="A3974:B3974"/>
    <mergeCell ref="C3974:D3974"/>
    <mergeCell ref="E3974:I3974"/>
    <mergeCell ref="J3974:M3974"/>
    <mergeCell ref="N3974:P3974"/>
    <mergeCell ref="Q3974:R3974"/>
    <mergeCell ref="A3975:B3975"/>
    <mergeCell ref="C3975:D3975"/>
    <mergeCell ref="E3975:I3975"/>
    <mergeCell ref="J3975:M3975"/>
    <mergeCell ref="N3975:P3975"/>
    <mergeCell ref="Q3975:R3975"/>
    <mergeCell ref="A3976:B3976"/>
    <mergeCell ref="C3976:D3976"/>
    <mergeCell ref="E3976:I3976"/>
    <mergeCell ref="J3976:M3976"/>
    <mergeCell ref="N3976:P3976"/>
    <mergeCell ref="Q3976:R3976"/>
    <mergeCell ref="A3977:B3977"/>
    <mergeCell ref="C3977:D3977"/>
    <mergeCell ref="E3977:I3977"/>
    <mergeCell ref="J3977:M3977"/>
    <mergeCell ref="N3977:P3977"/>
    <mergeCell ref="Q3977:R3977"/>
    <mergeCell ref="A3978:B3978"/>
    <mergeCell ref="C3978:D3978"/>
    <mergeCell ref="E3978:I3978"/>
    <mergeCell ref="J3978:M3978"/>
    <mergeCell ref="N3978:P3978"/>
    <mergeCell ref="Q3978:R3978"/>
    <mergeCell ref="A3979:B3979"/>
    <mergeCell ref="C3979:D3979"/>
    <mergeCell ref="E3979:I3979"/>
    <mergeCell ref="J3979:M3979"/>
    <mergeCell ref="N3979:P3979"/>
    <mergeCell ref="Q3979:R3979"/>
    <mergeCell ref="A3980:B3980"/>
    <mergeCell ref="C3980:D3980"/>
    <mergeCell ref="E3980:I3980"/>
    <mergeCell ref="J3980:M3980"/>
    <mergeCell ref="N3980:P3980"/>
    <mergeCell ref="Q3980:R3980"/>
    <mergeCell ref="A3981:B3981"/>
    <mergeCell ref="C3981:D3981"/>
    <mergeCell ref="E3981:I3981"/>
    <mergeCell ref="J3981:M3981"/>
    <mergeCell ref="N3981:P3981"/>
    <mergeCell ref="Q3981:R3981"/>
    <mergeCell ref="A3982:B3982"/>
    <mergeCell ref="C3982:D3982"/>
    <mergeCell ref="E3982:I3982"/>
    <mergeCell ref="J3982:M3982"/>
    <mergeCell ref="N3982:P3982"/>
    <mergeCell ref="Q3982:R3982"/>
    <mergeCell ref="A3983:B3983"/>
    <mergeCell ref="C3983:D3983"/>
    <mergeCell ref="E3983:I3983"/>
    <mergeCell ref="J3983:M3983"/>
    <mergeCell ref="N3983:P3983"/>
    <mergeCell ref="Q3983:R3983"/>
    <mergeCell ref="A3984:B3984"/>
    <mergeCell ref="C3984:D3984"/>
    <mergeCell ref="E3984:I3984"/>
    <mergeCell ref="J3984:M3984"/>
    <mergeCell ref="N3984:P3984"/>
    <mergeCell ref="Q3984:R3984"/>
    <mergeCell ref="A3985:B3985"/>
    <mergeCell ref="C3985:D3985"/>
    <mergeCell ref="E3985:I3985"/>
    <mergeCell ref="J3985:M3985"/>
    <mergeCell ref="N3985:P3985"/>
    <mergeCell ref="Q3985:R3985"/>
    <mergeCell ref="A3986:B3986"/>
    <mergeCell ref="C3986:D3986"/>
    <mergeCell ref="E3986:I3986"/>
    <mergeCell ref="J3986:M3986"/>
    <mergeCell ref="N3986:P3986"/>
    <mergeCell ref="Q3986:R3986"/>
    <mergeCell ref="A3987:B3987"/>
    <mergeCell ref="C3987:D3987"/>
    <mergeCell ref="E3987:I3987"/>
    <mergeCell ref="J3987:M3987"/>
    <mergeCell ref="N3987:P3987"/>
    <mergeCell ref="Q3987:R3987"/>
    <mergeCell ref="A3988:B3988"/>
    <mergeCell ref="C3988:D3988"/>
    <mergeCell ref="E3988:I3988"/>
    <mergeCell ref="J3988:M3988"/>
    <mergeCell ref="N3988:P3988"/>
    <mergeCell ref="Q3988:R3988"/>
    <mergeCell ref="A3989:B3989"/>
    <mergeCell ref="C3989:D3989"/>
    <mergeCell ref="E3989:I3989"/>
    <mergeCell ref="J3989:M3989"/>
    <mergeCell ref="N3989:P3989"/>
    <mergeCell ref="Q3989:R3989"/>
    <mergeCell ref="A3990:B3990"/>
    <mergeCell ref="C3990:D3990"/>
    <mergeCell ref="E3990:I3990"/>
    <mergeCell ref="J3990:M3990"/>
    <mergeCell ref="N3990:P3990"/>
    <mergeCell ref="Q3990:R3990"/>
    <mergeCell ref="A3991:B3991"/>
    <mergeCell ref="C3991:D3991"/>
    <mergeCell ref="E3991:I3991"/>
    <mergeCell ref="J3991:M3991"/>
    <mergeCell ref="N3991:P3991"/>
    <mergeCell ref="Q3991:R3991"/>
    <mergeCell ref="A3992:B3992"/>
    <mergeCell ref="C3992:D3992"/>
    <mergeCell ref="E3992:I3992"/>
    <mergeCell ref="J3992:M3992"/>
    <mergeCell ref="N3992:P3992"/>
    <mergeCell ref="Q3992:R3992"/>
    <mergeCell ref="A3993:B3993"/>
    <mergeCell ref="C3993:D3993"/>
    <mergeCell ref="E3993:I3993"/>
    <mergeCell ref="J3993:M3993"/>
    <mergeCell ref="N3993:P3993"/>
    <mergeCell ref="Q3993:R3993"/>
    <mergeCell ref="A3994:B3994"/>
    <mergeCell ref="C3994:D3994"/>
    <mergeCell ref="E3994:I3994"/>
    <mergeCell ref="J3994:M3994"/>
    <mergeCell ref="N3994:P3994"/>
    <mergeCell ref="Q3994:R3994"/>
    <mergeCell ref="A3995:B3995"/>
    <mergeCell ref="C3995:D3995"/>
    <mergeCell ref="E3995:I3995"/>
    <mergeCell ref="J3995:M3995"/>
    <mergeCell ref="N3995:P3995"/>
    <mergeCell ref="Q3995:R3995"/>
    <mergeCell ref="A3996:B3996"/>
    <mergeCell ref="C3996:D3996"/>
    <mergeCell ref="E3996:I3996"/>
    <mergeCell ref="J3996:M3996"/>
    <mergeCell ref="N3996:P3996"/>
    <mergeCell ref="Q3996:R3996"/>
    <mergeCell ref="A3997:B3997"/>
    <mergeCell ref="C3997:D3997"/>
    <mergeCell ref="E3997:I3997"/>
    <mergeCell ref="J3997:M3997"/>
    <mergeCell ref="N3997:P3997"/>
    <mergeCell ref="Q3997:R3997"/>
    <mergeCell ref="A3998:B3998"/>
    <mergeCell ref="C3998:D3998"/>
    <mergeCell ref="E3998:I3998"/>
    <mergeCell ref="J3998:M3998"/>
    <mergeCell ref="N3998:P3998"/>
    <mergeCell ref="Q3998:R3998"/>
    <mergeCell ref="A3999:B3999"/>
    <mergeCell ref="C3999:D3999"/>
    <mergeCell ref="E3999:I3999"/>
    <mergeCell ref="J3999:M3999"/>
    <mergeCell ref="N3999:P3999"/>
    <mergeCell ref="Q3999:R3999"/>
    <mergeCell ref="A4000:B4000"/>
    <mergeCell ref="C4000:D4000"/>
    <mergeCell ref="E4000:I4000"/>
    <mergeCell ref="J4000:M4000"/>
    <mergeCell ref="N4000:P4000"/>
    <mergeCell ref="Q4000:R4000"/>
    <mergeCell ref="A4001:B4001"/>
    <mergeCell ref="C4001:D4001"/>
    <mergeCell ref="E4001:I4001"/>
    <mergeCell ref="J4001:M4001"/>
    <mergeCell ref="N4001:P4001"/>
    <mergeCell ref="Q4001:R4001"/>
    <mergeCell ref="A4002:B4002"/>
    <mergeCell ref="C4002:D4002"/>
    <mergeCell ref="E4002:I4002"/>
    <mergeCell ref="J4002:M4002"/>
    <mergeCell ref="N4002:P4002"/>
    <mergeCell ref="Q4002:R4002"/>
    <mergeCell ref="A4003:B4003"/>
    <mergeCell ref="C4003:D4003"/>
    <mergeCell ref="E4003:I4003"/>
    <mergeCell ref="J4003:M4003"/>
    <mergeCell ref="N4003:P4003"/>
    <mergeCell ref="Q4003:R4003"/>
    <mergeCell ref="A4004:B4004"/>
    <mergeCell ref="C4004:D4004"/>
    <mergeCell ref="E4004:I4004"/>
    <mergeCell ref="J4004:M4004"/>
    <mergeCell ref="N4004:P4004"/>
    <mergeCell ref="Q4004:R4004"/>
    <mergeCell ref="A4005:B4005"/>
    <mergeCell ref="C4005:D4005"/>
    <mergeCell ref="E4005:I4005"/>
    <mergeCell ref="J4005:M4005"/>
    <mergeCell ref="N4005:P4005"/>
    <mergeCell ref="Q4005:R4005"/>
    <mergeCell ref="A4006:B4006"/>
    <mergeCell ref="C4006:D4006"/>
    <mergeCell ref="E4006:I4006"/>
    <mergeCell ref="J4006:M4006"/>
    <mergeCell ref="N4006:P4006"/>
    <mergeCell ref="Q4006:R4006"/>
    <mergeCell ref="A4007:B4007"/>
    <mergeCell ref="C4007:D4007"/>
    <mergeCell ref="E4007:I4007"/>
    <mergeCell ref="J4007:M4007"/>
    <mergeCell ref="N4007:P4007"/>
    <mergeCell ref="Q4007:R4007"/>
    <mergeCell ref="A4008:B4008"/>
    <mergeCell ref="C4008:D4008"/>
    <mergeCell ref="E4008:I4008"/>
    <mergeCell ref="J4008:M4008"/>
    <mergeCell ref="N4008:P4008"/>
    <mergeCell ref="Q4008:R4008"/>
    <mergeCell ref="A4009:B4009"/>
    <mergeCell ref="C4009:D4009"/>
    <mergeCell ref="E4009:I4009"/>
    <mergeCell ref="J4009:M4009"/>
    <mergeCell ref="N4009:P4009"/>
    <mergeCell ref="Q4009:R4009"/>
    <mergeCell ref="A4010:B4010"/>
    <mergeCell ref="C4010:D4010"/>
    <mergeCell ref="E4010:I4010"/>
    <mergeCell ref="J4010:M4010"/>
    <mergeCell ref="N4010:P4010"/>
    <mergeCell ref="Q4010:R4010"/>
    <mergeCell ref="A4011:B4011"/>
    <mergeCell ref="C4011:D4011"/>
    <mergeCell ref="E4011:I4011"/>
    <mergeCell ref="J4011:M4011"/>
    <mergeCell ref="N4011:P4011"/>
    <mergeCell ref="Q4011:R4011"/>
    <mergeCell ref="A4012:B4012"/>
    <mergeCell ref="C4012:D4012"/>
    <mergeCell ref="E4012:I4012"/>
    <mergeCell ref="J4012:M4012"/>
    <mergeCell ref="N4012:P4012"/>
    <mergeCell ref="Q4012:R4012"/>
    <mergeCell ref="A4013:B4013"/>
    <mergeCell ref="C4013:D4013"/>
    <mergeCell ref="E4013:I4013"/>
    <mergeCell ref="J4013:M4013"/>
    <mergeCell ref="N4013:P4013"/>
    <mergeCell ref="Q4013:R4013"/>
    <mergeCell ref="A4014:B4014"/>
    <mergeCell ref="C4014:D4014"/>
    <mergeCell ref="E4014:I4014"/>
    <mergeCell ref="J4014:M4014"/>
    <mergeCell ref="N4014:P4014"/>
    <mergeCell ref="Q4014:R4014"/>
    <mergeCell ref="A4015:B4015"/>
    <mergeCell ref="C4015:D4015"/>
    <mergeCell ref="E4015:I4015"/>
    <mergeCell ref="J4015:M4015"/>
    <mergeCell ref="N4015:P4015"/>
    <mergeCell ref="Q4015:R4015"/>
    <mergeCell ref="A4016:B4016"/>
    <mergeCell ref="C4016:D4016"/>
    <mergeCell ref="E4016:I4016"/>
    <mergeCell ref="J4016:M4016"/>
    <mergeCell ref="N4016:P4016"/>
    <mergeCell ref="Q4016:R4016"/>
    <mergeCell ref="A4017:B4017"/>
    <mergeCell ref="C4017:D4017"/>
    <mergeCell ref="E4017:I4017"/>
    <mergeCell ref="J4017:M4017"/>
    <mergeCell ref="N4017:P4017"/>
    <mergeCell ref="Q4017:R4017"/>
    <mergeCell ref="A4018:B4018"/>
    <mergeCell ref="C4018:D4018"/>
    <mergeCell ref="E4018:I4018"/>
    <mergeCell ref="J4018:M4018"/>
    <mergeCell ref="N4018:P4018"/>
    <mergeCell ref="Q4018:R4018"/>
    <mergeCell ref="A4019:B4019"/>
    <mergeCell ref="C4019:D4019"/>
    <mergeCell ref="E4019:I4019"/>
    <mergeCell ref="J4019:M4019"/>
    <mergeCell ref="N4019:P4019"/>
    <mergeCell ref="Q4019:R4019"/>
    <mergeCell ref="A4020:B4020"/>
    <mergeCell ref="C4020:D4020"/>
    <mergeCell ref="E4020:I4020"/>
    <mergeCell ref="J4020:M4020"/>
    <mergeCell ref="N4020:P4020"/>
    <mergeCell ref="Q4020:R4020"/>
    <mergeCell ref="A4021:B4021"/>
    <mergeCell ref="C4021:D4021"/>
    <mergeCell ref="E4021:I4021"/>
    <mergeCell ref="J4021:M4021"/>
    <mergeCell ref="N4021:P4021"/>
    <mergeCell ref="Q4021:R4021"/>
    <mergeCell ref="A4022:B4022"/>
    <mergeCell ref="C4022:D4022"/>
    <mergeCell ref="E4022:I4022"/>
    <mergeCell ref="J4022:M4022"/>
    <mergeCell ref="N4022:P4022"/>
    <mergeCell ref="Q4022:R4022"/>
    <mergeCell ref="A4023:B4023"/>
    <mergeCell ref="C4023:D4023"/>
    <mergeCell ref="E4023:I4023"/>
    <mergeCell ref="J4023:M4023"/>
    <mergeCell ref="N4023:P4023"/>
    <mergeCell ref="Q4023:R4023"/>
    <mergeCell ref="A4024:B4024"/>
    <mergeCell ref="C4024:D4024"/>
    <mergeCell ref="E4024:I4024"/>
    <mergeCell ref="J4024:M4024"/>
    <mergeCell ref="N4024:P4024"/>
    <mergeCell ref="Q4024:R4024"/>
    <mergeCell ref="A4025:B4025"/>
    <mergeCell ref="C4025:D4025"/>
    <mergeCell ref="E4025:I4025"/>
    <mergeCell ref="J4025:M4025"/>
    <mergeCell ref="N4025:P4025"/>
    <mergeCell ref="Q4025:R4025"/>
    <mergeCell ref="A4026:B4026"/>
    <mergeCell ref="C4026:D4026"/>
    <mergeCell ref="E4026:I4026"/>
    <mergeCell ref="J4026:M4026"/>
    <mergeCell ref="N4026:P4026"/>
    <mergeCell ref="Q4026:R4026"/>
    <mergeCell ref="A4027:B4027"/>
    <mergeCell ref="C4027:D4027"/>
    <mergeCell ref="E4027:I4027"/>
    <mergeCell ref="J4027:M4027"/>
    <mergeCell ref="N4027:P4027"/>
    <mergeCell ref="Q4027:R4027"/>
    <mergeCell ref="A4028:B4028"/>
    <mergeCell ref="C4028:D4028"/>
    <mergeCell ref="E4028:I4028"/>
    <mergeCell ref="J4028:M4028"/>
    <mergeCell ref="N4028:P4028"/>
    <mergeCell ref="Q4028:R4028"/>
    <mergeCell ref="A4029:B4029"/>
    <mergeCell ref="C4029:D4029"/>
    <mergeCell ref="E4029:I4029"/>
    <mergeCell ref="J4029:M4029"/>
    <mergeCell ref="N4029:P4029"/>
    <mergeCell ref="Q4029:R4029"/>
    <mergeCell ref="A4030:B4030"/>
    <mergeCell ref="C4030:D4030"/>
    <mergeCell ref="E4030:I4030"/>
    <mergeCell ref="J4030:M4030"/>
    <mergeCell ref="N4030:P4030"/>
    <mergeCell ref="Q4030:R4030"/>
    <mergeCell ref="A4031:B4031"/>
    <mergeCell ref="C4031:D4031"/>
    <mergeCell ref="E4031:I4031"/>
    <mergeCell ref="J4031:M4031"/>
    <mergeCell ref="N4031:P4031"/>
    <mergeCell ref="Q4031:R4031"/>
    <mergeCell ref="A4032:B4032"/>
    <mergeCell ref="C4032:D4032"/>
    <mergeCell ref="E4032:I4032"/>
    <mergeCell ref="J4032:M4032"/>
    <mergeCell ref="N4032:P4032"/>
    <mergeCell ref="Q4032:R4032"/>
    <mergeCell ref="A4033:B4033"/>
    <mergeCell ref="C4033:D4033"/>
    <mergeCell ref="E4033:I4033"/>
    <mergeCell ref="J4033:M4033"/>
    <mergeCell ref="N4033:P4033"/>
    <mergeCell ref="Q4033:R4033"/>
    <mergeCell ref="A4034:B4034"/>
    <mergeCell ref="C4034:D4034"/>
    <mergeCell ref="E4034:I4034"/>
    <mergeCell ref="J4034:M4034"/>
    <mergeCell ref="N4034:P4034"/>
    <mergeCell ref="Q4034:R4034"/>
    <mergeCell ref="A4035:B4035"/>
    <mergeCell ref="C4035:D4035"/>
    <mergeCell ref="E4035:I4035"/>
    <mergeCell ref="J4035:M4035"/>
    <mergeCell ref="N4035:P4035"/>
    <mergeCell ref="Q4035:R4035"/>
    <mergeCell ref="A4036:B4036"/>
    <mergeCell ref="C4036:D4036"/>
    <mergeCell ref="E4036:I4036"/>
    <mergeCell ref="J4036:M4036"/>
    <mergeCell ref="N4036:P4036"/>
    <mergeCell ref="Q4036:R4036"/>
    <mergeCell ref="A4037:B4037"/>
    <mergeCell ref="C4037:D4037"/>
    <mergeCell ref="E4037:I4037"/>
    <mergeCell ref="J4037:M4037"/>
    <mergeCell ref="N4037:P4037"/>
    <mergeCell ref="Q4037:R4037"/>
    <mergeCell ref="A4038:B4038"/>
    <mergeCell ref="C4038:D4038"/>
    <mergeCell ref="E4038:I4038"/>
    <mergeCell ref="J4038:M4038"/>
    <mergeCell ref="N4038:P4038"/>
    <mergeCell ref="Q4038:R4038"/>
    <mergeCell ref="A4039:B4039"/>
    <mergeCell ref="C4039:D4039"/>
    <mergeCell ref="E4039:I4039"/>
    <mergeCell ref="J4039:M4039"/>
    <mergeCell ref="N4039:P4039"/>
    <mergeCell ref="Q4039:R4039"/>
    <mergeCell ref="A4040:B4040"/>
    <mergeCell ref="C4040:D4040"/>
    <mergeCell ref="E4040:I4040"/>
    <mergeCell ref="J4040:M4040"/>
    <mergeCell ref="N4040:P4040"/>
    <mergeCell ref="Q4040:R4040"/>
    <mergeCell ref="A4041:B4041"/>
    <mergeCell ref="C4041:D4041"/>
    <mergeCell ref="E4041:I4041"/>
    <mergeCell ref="J4041:M4041"/>
    <mergeCell ref="N4041:P4041"/>
    <mergeCell ref="Q4041:R4041"/>
    <mergeCell ref="A4042:B4042"/>
    <mergeCell ref="C4042:D4042"/>
    <mergeCell ref="E4042:I4042"/>
    <mergeCell ref="J4042:M4042"/>
    <mergeCell ref="N4042:P4042"/>
    <mergeCell ref="Q4042:R4042"/>
    <mergeCell ref="A4043:B4043"/>
    <mergeCell ref="C4043:D4043"/>
    <mergeCell ref="E4043:I4043"/>
    <mergeCell ref="J4043:M4043"/>
    <mergeCell ref="N4043:P4043"/>
    <mergeCell ref="Q4043:R4043"/>
    <mergeCell ref="A4044:B4044"/>
    <mergeCell ref="C4044:D4044"/>
    <mergeCell ref="E4044:I4044"/>
    <mergeCell ref="J4044:M4044"/>
    <mergeCell ref="N4044:P4044"/>
    <mergeCell ref="Q4044:R4044"/>
    <mergeCell ref="A4045:B4045"/>
    <mergeCell ref="C4045:D4045"/>
    <mergeCell ref="E4045:I4045"/>
    <mergeCell ref="J4045:M4045"/>
    <mergeCell ref="N4045:P4045"/>
    <mergeCell ref="Q4045:R4045"/>
    <mergeCell ref="A4046:B4046"/>
    <mergeCell ref="C4046:D4046"/>
    <mergeCell ref="E4046:I4046"/>
    <mergeCell ref="J4046:M4046"/>
    <mergeCell ref="N4046:P4046"/>
    <mergeCell ref="Q4046:R4046"/>
    <mergeCell ref="A4047:B4047"/>
    <mergeCell ref="C4047:D4047"/>
    <mergeCell ref="E4047:I4047"/>
    <mergeCell ref="J4047:M4047"/>
    <mergeCell ref="N4047:P4047"/>
    <mergeCell ref="Q4047:R4047"/>
    <mergeCell ref="A4048:B4048"/>
    <mergeCell ref="C4048:D4048"/>
    <mergeCell ref="E4048:I4048"/>
    <mergeCell ref="J4048:M4048"/>
    <mergeCell ref="N4048:P4048"/>
    <mergeCell ref="Q4048:R4048"/>
    <mergeCell ref="A4049:B4049"/>
    <mergeCell ref="C4049:D4049"/>
    <mergeCell ref="E4049:I4049"/>
    <mergeCell ref="J4049:M4049"/>
    <mergeCell ref="N4049:P4049"/>
    <mergeCell ref="Q4049:R4049"/>
    <mergeCell ref="A4050:B4050"/>
    <mergeCell ref="C4050:D4050"/>
    <mergeCell ref="E4050:I4050"/>
    <mergeCell ref="J4050:M4050"/>
    <mergeCell ref="N4050:P4050"/>
    <mergeCell ref="Q4050:R4050"/>
    <mergeCell ref="A4051:B4051"/>
    <mergeCell ref="C4051:D4051"/>
    <mergeCell ref="E4051:I4051"/>
    <mergeCell ref="J4051:M4051"/>
    <mergeCell ref="N4051:P4051"/>
    <mergeCell ref="Q4051:R4051"/>
    <mergeCell ref="A4052:B4052"/>
    <mergeCell ref="C4052:D4052"/>
    <mergeCell ref="E4052:I4052"/>
    <mergeCell ref="J4052:M4052"/>
    <mergeCell ref="N4052:P4052"/>
    <mergeCell ref="Q4052:R4052"/>
    <mergeCell ref="A4053:B4053"/>
    <mergeCell ref="C4053:D4053"/>
    <mergeCell ref="E4053:I4053"/>
    <mergeCell ref="J4053:M4053"/>
    <mergeCell ref="N4053:P4053"/>
    <mergeCell ref="Q4053:R4053"/>
    <mergeCell ref="A4054:B4054"/>
    <mergeCell ref="C4054:D4054"/>
    <mergeCell ref="E4054:I4054"/>
    <mergeCell ref="J4054:M4054"/>
    <mergeCell ref="N4054:P4054"/>
    <mergeCell ref="Q4054:R4054"/>
    <mergeCell ref="A4055:B4055"/>
    <mergeCell ref="C4055:D4055"/>
    <mergeCell ref="E4055:I4055"/>
    <mergeCell ref="J4055:M4055"/>
    <mergeCell ref="N4055:P4055"/>
    <mergeCell ref="Q4055:R4055"/>
    <mergeCell ref="A4056:B4056"/>
    <mergeCell ref="C4056:D4056"/>
    <mergeCell ref="E4056:I4056"/>
    <mergeCell ref="J4056:M4056"/>
    <mergeCell ref="N4056:P4056"/>
    <mergeCell ref="Q4056:R4056"/>
    <mergeCell ref="A4057:B4057"/>
    <mergeCell ref="C4057:D4057"/>
    <mergeCell ref="E4057:I4057"/>
    <mergeCell ref="J4057:M4057"/>
    <mergeCell ref="N4057:P4057"/>
    <mergeCell ref="Q4057:R4057"/>
    <mergeCell ref="A4058:B4058"/>
    <mergeCell ref="C4058:D4058"/>
    <mergeCell ref="E4058:I4058"/>
    <mergeCell ref="J4058:M4058"/>
    <mergeCell ref="N4058:P4058"/>
    <mergeCell ref="Q4058:R4058"/>
    <mergeCell ref="A4059:B4059"/>
    <mergeCell ref="C4059:D4059"/>
    <mergeCell ref="E4059:I4059"/>
    <mergeCell ref="J4059:M4059"/>
    <mergeCell ref="N4059:P4059"/>
    <mergeCell ref="Q4059:R4059"/>
    <mergeCell ref="A4060:B4060"/>
    <mergeCell ref="C4060:D4060"/>
    <mergeCell ref="E4060:I4060"/>
    <mergeCell ref="J4060:M4060"/>
    <mergeCell ref="N4060:P4060"/>
    <mergeCell ref="Q4060:R4060"/>
    <mergeCell ref="A4061:B4061"/>
    <mergeCell ref="C4061:D4061"/>
    <mergeCell ref="E4061:I4061"/>
    <mergeCell ref="J4061:M4061"/>
    <mergeCell ref="N4061:P4061"/>
    <mergeCell ref="Q4061:R4061"/>
    <mergeCell ref="A4062:B4062"/>
    <mergeCell ref="C4062:D4062"/>
    <mergeCell ref="E4062:I4062"/>
    <mergeCell ref="J4062:M4062"/>
    <mergeCell ref="N4062:P4062"/>
    <mergeCell ref="Q4062:R4062"/>
    <mergeCell ref="A4063:B4063"/>
    <mergeCell ref="C4063:D4063"/>
    <mergeCell ref="E4063:I4063"/>
    <mergeCell ref="J4063:M4063"/>
    <mergeCell ref="N4063:P4063"/>
    <mergeCell ref="Q4063:R4063"/>
    <mergeCell ref="A4064:B4064"/>
    <mergeCell ref="C4064:D4064"/>
    <mergeCell ref="E4064:I4064"/>
    <mergeCell ref="J4064:M4064"/>
    <mergeCell ref="N4064:P4064"/>
    <mergeCell ref="Q4064:R4064"/>
    <mergeCell ref="A4065:B4065"/>
    <mergeCell ref="C4065:D4065"/>
    <mergeCell ref="E4065:I4065"/>
    <mergeCell ref="J4065:M4065"/>
    <mergeCell ref="N4065:P4065"/>
    <mergeCell ref="Q4065:R4065"/>
    <mergeCell ref="A4066:B4066"/>
    <mergeCell ref="C4066:D4066"/>
    <mergeCell ref="E4066:I4066"/>
    <mergeCell ref="J4066:M4066"/>
    <mergeCell ref="N4066:P4066"/>
    <mergeCell ref="Q4066:R4066"/>
    <mergeCell ref="A4067:B4067"/>
    <mergeCell ref="C4067:D4067"/>
    <mergeCell ref="E4067:I4067"/>
    <mergeCell ref="J4067:M4067"/>
    <mergeCell ref="N4067:P4067"/>
    <mergeCell ref="Q4067:R4067"/>
    <mergeCell ref="A4068:B4068"/>
    <mergeCell ref="C4068:D4068"/>
    <mergeCell ref="E4068:I4068"/>
    <mergeCell ref="J4068:M4068"/>
    <mergeCell ref="N4068:P4068"/>
    <mergeCell ref="Q4068:R4068"/>
    <mergeCell ref="A4069:B4069"/>
    <mergeCell ref="C4069:D4069"/>
    <mergeCell ref="E4069:I4069"/>
    <mergeCell ref="J4069:M4069"/>
    <mergeCell ref="N4069:P4069"/>
    <mergeCell ref="Q4069:R4069"/>
    <mergeCell ref="A4070:B4070"/>
    <mergeCell ref="C4070:D4070"/>
    <mergeCell ref="E4070:I4070"/>
    <mergeCell ref="J4070:M4070"/>
    <mergeCell ref="N4070:P4070"/>
    <mergeCell ref="Q4070:R4070"/>
    <mergeCell ref="A4071:B4071"/>
    <mergeCell ref="C4071:D4071"/>
    <mergeCell ref="E4071:I4071"/>
    <mergeCell ref="J4071:M4071"/>
    <mergeCell ref="N4071:P4071"/>
    <mergeCell ref="Q4071:R4071"/>
    <mergeCell ref="A4072:B4072"/>
    <mergeCell ref="C4072:D4072"/>
    <mergeCell ref="E4072:I4072"/>
    <mergeCell ref="J4072:M4072"/>
    <mergeCell ref="N4072:P4072"/>
    <mergeCell ref="Q4072:R4072"/>
    <mergeCell ref="A4073:B4073"/>
    <mergeCell ref="C4073:D4073"/>
    <mergeCell ref="E4073:I4073"/>
    <mergeCell ref="J4073:M4073"/>
    <mergeCell ref="N4073:P4073"/>
    <mergeCell ref="Q4073:R4073"/>
    <mergeCell ref="A4074:B4074"/>
    <mergeCell ref="C4074:D4074"/>
    <mergeCell ref="E4074:I4074"/>
    <mergeCell ref="J4074:M4074"/>
    <mergeCell ref="N4074:P4074"/>
    <mergeCell ref="Q4074:R4074"/>
    <mergeCell ref="A4075:B4075"/>
    <mergeCell ref="C4075:D4075"/>
    <mergeCell ref="E4075:I4075"/>
    <mergeCell ref="J4075:M4075"/>
    <mergeCell ref="N4075:P4075"/>
    <mergeCell ref="Q4075:R4075"/>
    <mergeCell ref="A4076:B4076"/>
    <mergeCell ref="C4076:D4076"/>
    <mergeCell ref="E4076:I4076"/>
    <mergeCell ref="J4076:M4076"/>
    <mergeCell ref="N4076:P4076"/>
    <mergeCell ref="Q4076:R4076"/>
    <mergeCell ref="A4077:B4077"/>
    <mergeCell ref="C4077:D4077"/>
    <mergeCell ref="E4077:I4077"/>
    <mergeCell ref="J4077:M4077"/>
    <mergeCell ref="N4077:P4077"/>
    <mergeCell ref="Q4077:R4077"/>
    <mergeCell ref="A4078:B4078"/>
    <mergeCell ref="C4078:D4078"/>
    <mergeCell ref="E4078:I4078"/>
    <mergeCell ref="J4078:M4078"/>
    <mergeCell ref="N4078:P4078"/>
    <mergeCell ref="Q4078:R4078"/>
    <mergeCell ref="A4079:B4079"/>
    <mergeCell ref="C4079:D4079"/>
    <mergeCell ref="E4079:I4079"/>
    <mergeCell ref="J4079:M4079"/>
    <mergeCell ref="N4079:P4079"/>
    <mergeCell ref="Q4079:R4079"/>
    <mergeCell ref="A4080:B4080"/>
    <mergeCell ref="C4080:D4080"/>
    <mergeCell ref="E4080:I4080"/>
    <mergeCell ref="J4080:M4080"/>
    <mergeCell ref="N4080:P4080"/>
    <mergeCell ref="Q4080:R4080"/>
    <mergeCell ref="A4081:B4081"/>
    <mergeCell ref="C4081:D4081"/>
    <mergeCell ref="E4081:I4081"/>
    <mergeCell ref="J4081:M4081"/>
    <mergeCell ref="N4081:P4081"/>
    <mergeCell ref="Q4081:R4081"/>
    <mergeCell ref="A4082:B4082"/>
    <mergeCell ref="C4082:D4082"/>
    <mergeCell ref="E4082:I4082"/>
    <mergeCell ref="J4082:M4082"/>
    <mergeCell ref="N4082:P4082"/>
    <mergeCell ref="Q4082:R4082"/>
    <mergeCell ref="A4083:B4083"/>
    <mergeCell ref="C4083:D4083"/>
    <mergeCell ref="E4083:I4083"/>
    <mergeCell ref="J4083:M4083"/>
    <mergeCell ref="N4083:P4083"/>
    <mergeCell ref="Q4083:R4083"/>
    <mergeCell ref="A4084:B4084"/>
    <mergeCell ref="C4084:D4084"/>
    <mergeCell ref="E4084:I4084"/>
    <mergeCell ref="J4084:M4084"/>
    <mergeCell ref="N4084:P4084"/>
    <mergeCell ref="Q4084:R4084"/>
    <mergeCell ref="A4085:B4085"/>
    <mergeCell ref="C4085:D4085"/>
    <mergeCell ref="E4085:I4085"/>
    <mergeCell ref="J4085:M4085"/>
    <mergeCell ref="N4085:P4085"/>
    <mergeCell ref="Q4085:R4085"/>
    <mergeCell ref="A4086:B4086"/>
    <mergeCell ref="C4086:D4086"/>
    <mergeCell ref="E4086:I4086"/>
    <mergeCell ref="J4086:M4086"/>
    <mergeCell ref="N4086:P4086"/>
    <mergeCell ref="Q4086:R4086"/>
    <mergeCell ref="A4087:B4087"/>
    <mergeCell ref="C4087:D4087"/>
    <mergeCell ref="E4087:I4087"/>
    <mergeCell ref="J4087:M4087"/>
    <mergeCell ref="N4087:P4087"/>
    <mergeCell ref="Q4087:R4087"/>
    <mergeCell ref="A4088:B4088"/>
    <mergeCell ref="C4088:D4088"/>
    <mergeCell ref="E4088:I4088"/>
    <mergeCell ref="J4088:M4088"/>
    <mergeCell ref="N4088:P4088"/>
    <mergeCell ref="Q4088:R4088"/>
    <mergeCell ref="A4089:B4089"/>
    <mergeCell ref="C4089:D4089"/>
    <mergeCell ref="E4089:I4089"/>
    <mergeCell ref="J4089:M4089"/>
    <mergeCell ref="N4089:P4089"/>
    <mergeCell ref="Q4089:R4089"/>
    <mergeCell ref="A4090:B4090"/>
    <mergeCell ref="C4090:D4090"/>
    <mergeCell ref="E4090:I4090"/>
    <mergeCell ref="J4090:M4090"/>
    <mergeCell ref="N4090:P4090"/>
    <mergeCell ref="Q4090:R4090"/>
    <mergeCell ref="A4091:B4091"/>
    <mergeCell ref="C4091:D4091"/>
    <mergeCell ref="E4091:I4091"/>
    <mergeCell ref="J4091:M4091"/>
    <mergeCell ref="N4091:P4091"/>
    <mergeCell ref="Q4091:R4091"/>
    <mergeCell ref="A4092:B4092"/>
    <mergeCell ref="C4092:D4092"/>
    <mergeCell ref="E4092:I4092"/>
    <mergeCell ref="J4092:M4092"/>
    <mergeCell ref="N4092:P4092"/>
    <mergeCell ref="Q4092:R4092"/>
    <mergeCell ref="A4093:B4093"/>
    <mergeCell ref="C4093:D4093"/>
    <mergeCell ref="E4093:I4093"/>
    <mergeCell ref="J4093:M4093"/>
    <mergeCell ref="N4093:P4093"/>
    <mergeCell ref="Q4093:R4093"/>
    <mergeCell ref="A4094:B4094"/>
    <mergeCell ref="C4094:D4094"/>
    <mergeCell ref="E4094:I4094"/>
    <mergeCell ref="J4094:M4094"/>
    <mergeCell ref="N4094:P4094"/>
    <mergeCell ref="Q4094:R4094"/>
    <mergeCell ref="A4095:B4095"/>
    <mergeCell ref="C4095:D4095"/>
    <mergeCell ref="E4095:I4095"/>
    <mergeCell ref="J4095:M4095"/>
    <mergeCell ref="N4095:P4095"/>
    <mergeCell ref="Q4095:R4095"/>
    <mergeCell ref="A4096:B4096"/>
    <mergeCell ref="C4096:D4096"/>
    <mergeCell ref="E4096:I4096"/>
    <mergeCell ref="J4096:M4096"/>
    <mergeCell ref="N4096:P4096"/>
    <mergeCell ref="Q4096:R4096"/>
    <mergeCell ref="A4097:B4097"/>
    <mergeCell ref="C4097:D4097"/>
    <mergeCell ref="E4097:I4097"/>
    <mergeCell ref="J4097:M4097"/>
    <mergeCell ref="N4097:P4097"/>
    <mergeCell ref="Q4097:R4097"/>
    <mergeCell ref="A4098:B4098"/>
    <mergeCell ref="C4098:D4098"/>
    <mergeCell ref="E4098:I4098"/>
    <mergeCell ref="J4098:M4098"/>
    <mergeCell ref="N4098:P4098"/>
    <mergeCell ref="Q4098:R4098"/>
    <mergeCell ref="A4099:B4099"/>
    <mergeCell ref="C4099:D4099"/>
    <mergeCell ref="E4099:I4099"/>
    <mergeCell ref="J4099:M4099"/>
    <mergeCell ref="N4099:P4099"/>
    <mergeCell ref="Q4099:R4099"/>
    <mergeCell ref="A4100:B4100"/>
    <mergeCell ref="C4100:D4100"/>
    <mergeCell ref="E4100:I4100"/>
    <mergeCell ref="J4100:M4100"/>
    <mergeCell ref="N4100:P4100"/>
    <mergeCell ref="Q4100:R4100"/>
    <mergeCell ref="A4101:B4101"/>
    <mergeCell ref="C4101:D4101"/>
    <mergeCell ref="E4101:I4101"/>
    <mergeCell ref="J4101:M4101"/>
    <mergeCell ref="N4101:P4101"/>
    <mergeCell ref="Q4101:R4101"/>
    <mergeCell ref="A4102:B4102"/>
    <mergeCell ref="C4102:D4102"/>
    <mergeCell ref="E4102:I4102"/>
    <mergeCell ref="J4102:M4102"/>
    <mergeCell ref="N4102:P4102"/>
    <mergeCell ref="Q4102:R4102"/>
    <mergeCell ref="A4103:B4103"/>
    <mergeCell ref="C4103:D4103"/>
    <mergeCell ref="E4103:I4103"/>
    <mergeCell ref="J4103:M4103"/>
    <mergeCell ref="N4103:P4103"/>
    <mergeCell ref="Q4103:R4103"/>
    <mergeCell ref="A4104:B4104"/>
    <mergeCell ref="C4104:D4104"/>
    <mergeCell ref="E4104:I4104"/>
    <mergeCell ref="J4104:M4104"/>
    <mergeCell ref="N4104:P4104"/>
    <mergeCell ref="Q4104:R4104"/>
    <mergeCell ref="A4105:B4105"/>
    <mergeCell ref="C4105:D4105"/>
    <mergeCell ref="E4105:I4105"/>
    <mergeCell ref="J4105:M4105"/>
    <mergeCell ref="N4105:P4105"/>
    <mergeCell ref="Q4105:R4105"/>
    <mergeCell ref="A4106:B4106"/>
    <mergeCell ref="C4106:D4106"/>
    <mergeCell ref="E4106:I4106"/>
    <mergeCell ref="J4106:M4106"/>
    <mergeCell ref="N4106:P4106"/>
    <mergeCell ref="Q4106:R4106"/>
    <mergeCell ref="A4107:B4107"/>
    <mergeCell ref="C4107:D4107"/>
    <mergeCell ref="E4107:I4107"/>
    <mergeCell ref="J4107:M4107"/>
    <mergeCell ref="N4107:P4107"/>
    <mergeCell ref="Q4107:R4107"/>
    <mergeCell ref="A4108:B4108"/>
    <mergeCell ref="C4108:D4108"/>
    <mergeCell ref="E4108:I4108"/>
    <mergeCell ref="J4108:M4108"/>
    <mergeCell ref="N4108:P4108"/>
    <mergeCell ref="Q4108:R4108"/>
    <mergeCell ref="A4109:B4109"/>
    <mergeCell ref="C4109:D4109"/>
    <mergeCell ref="E4109:I4109"/>
    <mergeCell ref="J4109:M4109"/>
    <mergeCell ref="N4109:P4109"/>
    <mergeCell ref="Q4109:R4109"/>
    <mergeCell ref="A4110:B4110"/>
    <mergeCell ref="C4110:D4110"/>
    <mergeCell ref="E4110:I4110"/>
    <mergeCell ref="J4110:M4110"/>
    <mergeCell ref="N4110:P4110"/>
    <mergeCell ref="Q4110:R4110"/>
    <mergeCell ref="A4111:B4111"/>
    <mergeCell ref="C4111:D4111"/>
    <mergeCell ref="E4111:I4111"/>
    <mergeCell ref="J4111:M4111"/>
    <mergeCell ref="N4111:P4111"/>
    <mergeCell ref="Q4111:R4111"/>
    <mergeCell ref="A4112:B4112"/>
    <mergeCell ref="C4112:D4112"/>
    <mergeCell ref="E4112:I4112"/>
    <mergeCell ref="J4112:M4112"/>
    <mergeCell ref="N4112:P4112"/>
    <mergeCell ref="Q4112:R4112"/>
    <mergeCell ref="A4113:B4113"/>
    <mergeCell ref="C4113:D4113"/>
    <mergeCell ref="E4113:I4113"/>
    <mergeCell ref="J4113:M4113"/>
    <mergeCell ref="N4113:P4113"/>
    <mergeCell ref="Q4113:R4113"/>
    <mergeCell ref="A4114:B4114"/>
    <mergeCell ref="C4114:D4114"/>
    <mergeCell ref="E4114:I4114"/>
    <mergeCell ref="J4114:M4114"/>
    <mergeCell ref="N4114:P4114"/>
    <mergeCell ref="Q4114:R4114"/>
    <mergeCell ref="A4115:B4115"/>
    <mergeCell ref="C4115:D4115"/>
    <mergeCell ref="E4115:I4115"/>
    <mergeCell ref="J4115:M4115"/>
    <mergeCell ref="N4115:P4115"/>
    <mergeCell ref="Q4115:R4115"/>
    <mergeCell ref="A4116:B4116"/>
    <mergeCell ref="C4116:D4116"/>
    <mergeCell ref="E4116:I4116"/>
    <mergeCell ref="J4116:M4116"/>
    <mergeCell ref="N4116:P4116"/>
    <mergeCell ref="Q4116:R4116"/>
    <mergeCell ref="A4117:B4117"/>
    <mergeCell ref="C4117:D4117"/>
    <mergeCell ref="E4117:I4117"/>
    <mergeCell ref="J4117:M4117"/>
    <mergeCell ref="N4117:P4117"/>
    <mergeCell ref="Q4117:R4117"/>
    <mergeCell ref="A4118:B4118"/>
    <mergeCell ref="C4118:D4118"/>
    <mergeCell ref="E4118:I4118"/>
    <mergeCell ref="J4118:M4118"/>
    <mergeCell ref="N4118:P4118"/>
    <mergeCell ref="Q4118:R4118"/>
    <mergeCell ref="A4119:B4119"/>
    <mergeCell ref="C4119:D4119"/>
    <mergeCell ref="E4119:I4119"/>
    <mergeCell ref="J4119:M4119"/>
    <mergeCell ref="N4119:P4119"/>
    <mergeCell ref="Q4119:R4119"/>
    <mergeCell ref="A4120:B4120"/>
    <mergeCell ref="C4120:D4120"/>
    <mergeCell ref="E4120:I4120"/>
    <mergeCell ref="J4120:M4120"/>
    <mergeCell ref="N4120:P4120"/>
    <mergeCell ref="Q4120:R4120"/>
    <mergeCell ref="A4121:B4121"/>
    <mergeCell ref="C4121:D4121"/>
    <mergeCell ref="E4121:I4121"/>
    <mergeCell ref="J4121:M4121"/>
    <mergeCell ref="N4121:P4121"/>
    <mergeCell ref="Q4121:R4121"/>
    <mergeCell ref="A4122:B4122"/>
    <mergeCell ref="C4122:D4122"/>
    <mergeCell ref="E4122:I4122"/>
    <mergeCell ref="J4122:M4122"/>
    <mergeCell ref="N4122:P4122"/>
    <mergeCell ref="Q4122:R4122"/>
    <mergeCell ref="A4123:B4123"/>
    <mergeCell ref="C4123:D4123"/>
    <mergeCell ref="E4123:I4123"/>
    <mergeCell ref="J4123:M4123"/>
    <mergeCell ref="N4123:P4123"/>
    <mergeCell ref="Q4123:R4123"/>
    <mergeCell ref="A4124:B4124"/>
    <mergeCell ref="C4124:D4124"/>
    <mergeCell ref="E4124:I4124"/>
    <mergeCell ref="J4124:M4124"/>
    <mergeCell ref="N4124:P4124"/>
    <mergeCell ref="Q4124:R4124"/>
    <mergeCell ref="A4125:B4125"/>
    <mergeCell ref="C4125:D4125"/>
    <mergeCell ref="E4125:I4125"/>
    <mergeCell ref="J4125:M4125"/>
    <mergeCell ref="N4125:P4125"/>
    <mergeCell ref="Q4125:R4125"/>
    <mergeCell ref="A4126:B4126"/>
    <mergeCell ref="C4126:D4126"/>
    <mergeCell ref="E4126:I4126"/>
    <mergeCell ref="J4126:M4126"/>
    <mergeCell ref="N4126:P4126"/>
    <mergeCell ref="Q4126:R4126"/>
    <mergeCell ref="A4127:B4127"/>
    <mergeCell ref="C4127:D4127"/>
    <mergeCell ref="E4127:I4127"/>
    <mergeCell ref="J4127:M4127"/>
    <mergeCell ref="N4127:P4127"/>
    <mergeCell ref="Q4127:R4127"/>
    <mergeCell ref="A4128:B4128"/>
    <mergeCell ref="C4128:D4128"/>
    <mergeCell ref="E4128:I4128"/>
    <mergeCell ref="J4128:M4128"/>
    <mergeCell ref="N4128:P4128"/>
    <mergeCell ref="Q4128:R4128"/>
    <mergeCell ref="A4129:B4129"/>
    <mergeCell ref="C4129:D4129"/>
    <mergeCell ref="E4129:I4129"/>
    <mergeCell ref="J4129:M4129"/>
    <mergeCell ref="N4129:P4129"/>
    <mergeCell ref="Q4129:R4129"/>
    <mergeCell ref="A4130:B4130"/>
    <mergeCell ref="C4130:D4130"/>
    <mergeCell ref="E4130:I4130"/>
    <mergeCell ref="J4130:M4130"/>
    <mergeCell ref="N4130:P4130"/>
    <mergeCell ref="Q4130:R4130"/>
    <mergeCell ref="A4131:B4131"/>
    <mergeCell ref="C4131:D4131"/>
    <mergeCell ref="E4131:I4131"/>
    <mergeCell ref="J4131:M4131"/>
    <mergeCell ref="N4131:P4131"/>
    <mergeCell ref="Q4131:R4131"/>
    <mergeCell ref="A4132:B4132"/>
    <mergeCell ref="C4132:D4132"/>
    <mergeCell ref="E4132:I4132"/>
    <mergeCell ref="J4132:M4132"/>
    <mergeCell ref="N4132:P4132"/>
    <mergeCell ref="Q4132:R4132"/>
    <mergeCell ref="A4133:B4133"/>
    <mergeCell ref="C4133:D4133"/>
    <mergeCell ref="E4133:I4133"/>
    <mergeCell ref="J4133:M4133"/>
    <mergeCell ref="N4133:P4133"/>
    <mergeCell ref="Q4133:R4133"/>
    <mergeCell ref="A4134:B4134"/>
    <mergeCell ref="C4134:D4134"/>
    <mergeCell ref="E4134:I4134"/>
    <mergeCell ref="J4134:M4134"/>
    <mergeCell ref="N4134:P4134"/>
    <mergeCell ref="Q4134:R4134"/>
    <mergeCell ref="A4135:B4135"/>
    <mergeCell ref="C4135:D4135"/>
    <mergeCell ref="E4135:I4135"/>
    <mergeCell ref="J4135:M4135"/>
    <mergeCell ref="N4135:P4135"/>
    <mergeCell ref="Q4135:R4135"/>
    <mergeCell ref="A4136:B4136"/>
    <mergeCell ref="C4136:D4136"/>
    <mergeCell ref="E4136:I4136"/>
    <mergeCell ref="J4136:M4136"/>
    <mergeCell ref="N4136:P4136"/>
    <mergeCell ref="Q4136:R4136"/>
    <mergeCell ref="A4137:B4137"/>
    <mergeCell ref="C4137:D4137"/>
    <mergeCell ref="E4137:I4137"/>
    <mergeCell ref="J4137:M4137"/>
    <mergeCell ref="N4137:P4137"/>
    <mergeCell ref="Q4137:R4137"/>
    <mergeCell ref="A4138:B4138"/>
    <mergeCell ref="C4138:D4138"/>
    <mergeCell ref="E4138:I4138"/>
    <mergeCell ref="J4138:M4138"/>
    <mergeCell ref="N4138:P4138"/>
    <mergeCell ref="Q4138:R4138"/>
    <mergeCell ref="A4139:B4139"/>
    <mergeCell ref="C4139:D4139"/>
    <mergeCell ref="E4139:I4139"/>
    <mergeCell ref="J4139:M4139"/>
    <mergeCell ref="N4139:P4139"/>
    <mergeCell ref="Q4139:R4139"/>
    <mergeCell ref="A4140:B4140"/>
    <mergeCell ref="C4140:D4140"/>
    <mergeCell ref="E4140:I4140"/>
    <mergeCell ref="J4140:M4140"/>
    <mergeCell ref="N4140:P4140"/>
    <mergeCell ref="Q4140:R4140"/>
    <mergeCell ref="A4141:B4141"/>
    <mergeCell ref="C4141:D4141"/>
    <mergeCell ref="E4141:I4141"/>
    <mergeCell ref="J4141:M4141"/>
    <mergeCell ref="N4141:P4141"/>
    <mergeCell ref="Q4141:R4141"/>
    <mergeCell ref="A4142:B4142"/>
    <mergeCell ref="C4142:D4142"/>
    <mergeCell ref="E4142:I4142"/>
    <mergeCell ref="J4142:M4142"/>
    <mergeCell ref="N4142:P4142"/>
    <mergeCell ref="Q4142:R4142"/>
    <mergeCell ref="A4143:B4143"/>
    <mergeCell ref="C4143:D4143"/>
    <mergeCell ref="E4143:I4143"/>
    <mergeCell ref="J4143:M4143"/>
    <mergeCell ref="N4143:P4143"/>
    <mergeCell ref="Q4143:R4143"/>
    <mergeCell ref="A4144:B4144"/>
    <mergeCell ref="C4144:D4144"/>
    <mergeCell ref="E4144:I4144"/>
    <mergeCell ref="J4144:M4144"/>
    <mergeCell ref="N4144:P4144"/>
    <mergeCell ref="Q4144:R4144"/>
    <mergeCell ref="A4145:B4145"/>
    <mergeCell ref="C4145:D4145"/>
    <mergeCell ref="E4145:I4145"/>
    <mergeCell ref="J4145:M4145"/>
    <mergeCell ref="N4145:P4145"/>
    <mergeCell ref="Q4145:R4145"/>
    <mergeCell ref="A4146:B4146"/>
    <mergeCell ref="C4146:D4146"/>
    <mergeCell ref="E4146:I4146"/>
    <mergeCell ref="J4146:M4146"/>
    <mergeCell ref="N4146:P4146"/>
    <mergeCell ref="Q4146:R4146"/>
    <mergeCell ref="A4147:B4147"/>
    <mergeCell ref="C4147:D4147"/>
    <mergeCell ref="E4147:I4147"/>
    <mergeCell ref="J4147:M4147"/>
    <mergeCell ref="N4147:P4147"/>
    <mergeCell ref="Q4147:R4147"/>
    <mergeCell ref="A4148:B4148"/>
    <mergeCell ref="C4148:D4148"/>
    <mergeCell ref="E4148:I4148"/>
    <mergeCell ref="J4148:M4148"/>
    <mergeCell ref="N4148:P4148"/>
    <mergeCell ref="Q4148:R4148"/>
    <mergeCell ref="A4149:B4149"/>
    <mergeCell ref="C4149:D4149"/>
    <mergeCell ref="E4149:I4149"/>
    <mergeCell ref="J4149:M4149"/>
    <mergeCell ref="N4149:P4149"/>
    <mergeCell ref="Q4149:R4149"/>
    <mergeCell ref="A4150:B4150"/>
    <mergeCell ref="C4150:D4150"/>
    <mergeCell ref="E4150:I4150"/>
    <mergeCell ref="J4150:M4150"/>
    <mergeCell ref="N4150:P4150"/>
    <mergeCell ref="Q4150:R4150"/>
    <mergeCell ref="A4151:B4151"/>
    <mergeCell ref="C4151:D4151"/>
    <mergeCell ref="E4151:I4151"/>
    <mergeCell ref="J4151:M4151"/>
    <mergeCell ref="N4151:P4151"/>
    <mergeCell ref="Q4151:R4151"/>
    <mergeCell ref="A4152:B4152"/>
    <mergeCell ref="C4152:D4152"/>
    <mergeCell ref="E4152:I4152"/>
    <mergeCell ref="J4152:M4152"/>
    <mergeCell ref="N4152:P4152"/>
    <mergeCell ref="Q4152:R4152"/>
    <mergeCell ref="A4153:B4153"/>
    <mergeCell ref="C4153:D4153"/>
    <mergeCell ref="E4153:I4153"/>
    <mergeCell ref="J4153:M4153"/>
    <mergeCell ref="N4153:P4153"/>
    <mergeCell ref="Q4153:R4153"/>
    <mergeCell ref="A4154:B4154"/>
    <mergeCell ref="C4154:D4154"/>
    <mergeCell ref="E4154:I4154"/>
    <mergeCell ref="J4154:M4154"/>
    <mergeCell ref="N4154:P4154"/>
    <mergeCell ref="Q4154:R4154"/>
    <mergeCell ref="A4155:B4155"/>
    <mergeCell ref="C4155:D4155"/>
    <mergeCell ref="E4155:I4155"/>
    <mergeCell ref="J4155:M4155"/>
    <mergeCell ref="N4155:P4155"/>
    <mergeCell ref="Q4155:R4155"/>
    <mergeCell ref="A4156:B4156"/>
    <mergeCell ref="C4156:D4156"/>
    <mergeCell ref="E4156:I4156"/>
    <mergeCell ref="J4156:M4156"/>
    <mergeCell ref="N4156:P4156"/>
    <mergeCell ref="Q4156:R4156"/>
    <mergeCell ref="A4157:B4157"/>
    <mergeCell ref="C4157:D4157"/>
    <mergeCell ref="E4157:I4157"/>
    <mergeCell ref="J4157:M4157"/>
    <mergeCell ref="N4157:P4157"/>
    <mergeCell ref="Q4157:R4157"/>
    <mergeCell ref="A4158:B4158"/>
    <mergeCell ref="C4158:D4158"/>
    <mergeCell ref="E4158:I4158"/>
    <mergeCell ref="J4158:M4158"/>
    <mergeCell ref="N4158:P4158"/>
    <mergeCell ref="Q4158:R4158"/>
    <mergeCell ref="A4159:B4159"/>
    <mergeCell ref="C4159:D4159"/>
    <mergeCell ref="E4159:I4159"/>
    <mergeCell ref="J4159:M4159"/>
    <mergeCell ref="N4159:P4159"/>
    <mergeCell ref="Q4159:R4159"/>
    <mergeCell ref="A4160:B4160"/>
    <mergeCell ref="C4160:D4160"/>
    <mergeCell ref="E4160:I4160"/>
    <mergeCell ref="J4160:M4160"/>
    <mergeCell ref="N4160:P4160"/>
    <mergeCell ref="Q4160:R4160"/>
    <mergeCell ref="A4161:B4161"/>
    <mergeCell ref="C4161:D4161"/>
    <mergeCell ref="E4161:I4161"/>
    <mergeCell ref="J4161:M4161"/>
    <mergeCell ref="N4161:P4161"/>
    <mergeCell ref="Q4161:R4161"/>
    <mergeCell ref="A4162:B4162"/>
    <mergeCell ref="C4162:D4162"/>
    <mergeCell ref="E4162:I4162"/>
    <mergeCell ref="J4162:M4162"/>
    <mergeCell ref="N4162:P4162"/>
    <mergeCell ref="Q4162:R4162"/>
    <mergeCell ref="A4163:B4163"/>
    <mergeCell ref="C4163:D4163"/>
    <mergeCell ref="E4163:I4163"/>
    <mergeCell ref="J4163:M4163"/>
    <mergeCell ref="N4163:P4163"/>
    <mergeCell ref="Q4163:R4163"/>
    <mergeCell ref="A4164:B4164"/>
    <mergeCell ref="C4164:D4164"/>
    <mergeCell ref="E4164:I4164"/>
    <mergeCell ref="J4164:M4164"/>
    <mergeCell ref="N4164:P4164"/>
    <mergeCell ref="Q4164:R4164"/>
    <mergeCell ref="A4165:B4165"/>
    <mergeCell ref="C4165:D4165"/>
    <mergeCell ref="E4165:I4165"/>
    <mergeCell ref="J4165:M4165"/>
    <mergeCell ref="N4165:P4165"/>
    <mergeCell ref="Q4165:R4165"/>
    <mergeCell ref="A4166:B4166"/>
    <mergeCell ref="C4166:D4166"/>
    <mergeCell ref="E4166:I4166"/>
    <mergeCell ref="J4166:M4166"/>
    <mergeCell ref="N4166:P4166"/>
    <mergeCell ref="Q4166:R4166"/>
    <mergeCell ref="A4167:B4167"/>
    <mergeCell ref="C4167:D4167"/>
    <mergeCell ref="E4167:I4167"/>
    <mergeCell ref="J4167:M4167"/>
    <mergeCell ref="N4167:P4167"/>
    <mergeCell ref="Q4167:R4167"/>
    <mergeCell ref="A4168:B4168"/>
    <mergeCell ref="C4168:D4168"/>
    <mergeCell ref="E4168:I4168"/>
    <mergeCell ref="J4168:M4168"/>
    <mergeCell ref="N4168:P4168"/>
    <mergeCell ref="Q4168:R4168"/>
    <mergeCell ref="A4169:B4169"/>
    <mergeCell ref="C4169:D4169"/>
    <mergeCell ref="E4169:I4169"/>
    <mergeCell ref="J4169:M4169"/>
    <mergeCell ref="N4169:P4169"/>
    <mergeCell ref="Q4169:R4169"/>
    <mergeCell ref="A4170:B4170"/>
    <mergeCell ref="C4170:D4170"/>
    <mergeCell ref="E4170:I4170"/>
    <mergeCell ref="J4170:M4170"/>
    <mergeCell ref="N4170:P4170"/>
    <mergeCell ref="Q4170:R4170"/>
    <mergeCell ref="A4171:B4171"/>
    <mergeCell ref="C4171:D4171"/>
    <mergeCell ref="E4171:I4171"/>
    <mergeCell ref="J4171:M4171"/>
    <mergeCell ref="N4171:P4171"/>
    <mergeCell ref="Q4171:R4171"/>
    <mergeCell ref="A4172:B4172"/>
    <mergeCell ref="C4172:D4172"/>
    <mergeCell ref="E4172:I4172"/>
    <mergeCell ref="J4172:M4172"/>
    <mergeCell ref="N4172:P4172"/>
    <mergeCell ref="Q4172:R4172"/>
    <mergeCell ref="A4173:B4173"/>
    <mergeCell ref="C4173:D4173"/>
    <mergeCell ref="E4173:I4173"/>
    <mergeCell ref="J4173:M4173"/>
    <mergeCell ref="N4173:P4173"/>
    <mergeCell ref="Q4173:R4173"/>
    <mergeCell ref="A4174:B4174"/>
    <mergeCell ref="C4174:D4174"/>
    <mergeCell ref="E4174:I4174"/>
    <mergeCell ref="J4174:M4174"/>
    <mergeCell ref="N4174:P4174"/>
    <mergeCell ref="Q4174:R4174"/>
    <mergeCell ref="A4175:B4175"/>
    <mergeCell ref="C4175:D4175"/>
    <mergeCell ref="E4175:I4175"/>
    <mergeCell ref="J4175:M4175"/>
    <mergeCell ref="N4175:P4175"/>
    <mergeCell ref="Q4175:R4175"/>
    <mergeCell ref="A4176:B4176"/>
    <mergeCell ref="C4176:D4176"/>
    <mergeCell ref="E4176:I4176"/>
    <mergeCell ref="J4176:M4176"/>
    <mergeCell ref="N4176:P4176"/>
    <mergeCell ref="Q4176:R4176"/>
    <mergeCell ref="A4177:B4177"/>
    <mergeCell ref="C4177:D4177"/>
    <mergeCell ref="E4177:I4177"/>
    <mergeCell ref="J4177:M4177"/>
    <mergeCell ref="N4177:P4177"/>
    <mergeCell ref="Q4177:R4177"/>
    <mergeCell ref="A4178:B4178"/>
    <mergeCell ref="C4178:D4178"/>
    <mergeCell ref="E4178:I4178"/>
    <mergeCell ref="J4178:M4178"/>
    <mergeCell ref="N4178:P4178"/>
    <mergeCell ref="Q4178:R4178"/>
    <mergeCell ref="A4179:B4179"/>
    <mergeCell ref="C4179:D4179"/>
    <mergeCell ref="E4179:I4179"/>
    <mergeCell ref="J4179:M4179"/>
    <mergeCell ref="N4179:P4179"/>
    <mergeCell ref="Q4179:R4179"/>
    <mergeCell ref="A4180:B4180"/>
    <mergeCell ref="C4180:D4180"/>
    <mergeCell ref="E4180:I4180"/>
    <mergeCell ref="J4180:M4180"/>
    <mergeCell ref="N4180:P4180"/>
    <mergeCell ref="Q4180:R4180"/>
    <mergeCell ref="A4181:B4181"/>
    <mergeCell ref="C4181:D4181"/>
    <mergeCell ref="E4181:I4181"/>
    <mergeCell ref="J4181:M4181"/>
    <mergeCell ref="N4181:P4181"/>
    <mergeCell ref="Q4181:R4181"/>
    <mergeCell ref="A4182:B4182"/>
    <mergeCell ref="C4182:D4182"/>
    <mergeCell ref="E4182:I4182"/>
    <mergeCell ref="J4182:M4182"/>
    <mergeCell ref="N4182:P4182"/>
    <mergeCell ref="Q4182:R4182"/>
    <mergeCell ref="A4183:B4183"/>
    <mergeCell ref="C4183:D4183"/>
    <mergeCell ref="E4183:I4183"/>
    <mergeCell ref="J4183:M4183"/>
    <mergeCell ref="N4183:P4183"/>
    <mergeCell ref="Q4183:R4183"/>
    <mergeCell ref="A4184:B4184"/>
    <mergeCell ref="C4184:D4184"/>
    <mergeCell ref="E4184:I4184"/>
    <mergeCell ref="J4184:M4184"/>
    <mergeCell ref="N4184:P4184"/>
    <mergeCell ref="Q4184:R4184"/>
    <mergeCell ref="A4185:B4185"/>
    <mergeCell ref="C4185:D4185"/>
    <mergeCell ref="E4185:I4185"/>
    <mergeCell ref="J4185:M4185"/>
    <mergeCell ref="N4185:P4185"/>
    <mergeCell ref="Q4185:R4185"/>
    <mergeCell ref="A4186:B4186"/>
    <mergeCell ref="C4186:D4186"/>
    <mergeCell ref="E4186:I4186"/>
    <mergeCell ref="J4186:M4186"/>
    <mergeCell ref="N4186:P4186"/>
    <mergeCell ref="Q4186:R4186"/>
    <mergeCell ref="A4187:B4187"/>
    <mergeCell ref="C4187:D4187"/>
    <mergeCell ref="E4187:I4187"/>
    <mergeCell ref="J4187:M4187"/>
    <mergeCell ref="N4187:P4187"/>
    <mergeCell ref="Q4187:R4187"/>
    <mergeCell ref="A4188:B4188"/>
    <mergeCell ref="C4188:D4188"/>
    <mergeCell ref="E4188:I4188"/>
    <mergeCell ref="J4188:M4188"/>
    <mergeCell ref="N4188:P4188"/>
    <mergeCell ref="Q4188:R4188"/>
    <mergeCell ref="A4189:B4189"/>
    <mergeCell ref="C4189:D4189"/>
    <mergeCell ref="E4189:I4189"/>
    <mergeCell ref="J4189:M4189"/>
    <mergeCell ref="N4189:P4189"/>
    <mergeCell ref="Q4189:R4189"/>
    <mergeCell ref="A4190:B4190"/>
    <mergeCell ref="C4190:D4190"/>
    <mergeCell ref="E4190:I4190"/>
    <mergeCell ref="J4190:M4190"/>
    <mergeCell ref="N4190:P4190"/>
    <mergeCell ref="Q4190:R4190"/>
    <mergeCell ref="A4191:B4191"/>
    <mergeCell ref="C4191:D4191"/>
    <mergeCell ref="E4191:I4191"/>
    <mergeCell ref="J4191:M4191"/>
    <mergeCell ref="N4191:P4191"/>
    <mergeCell ref="Q4191:R4191"/>
    <mergeCell ref="A4192:B4192"/>
    <mergeCell ref="C4192:D4192"/>
    <mergeCell ref="E4192:I4192"/>
    <mergeCell ref="J4192:M4192"/>
    <mergeCell ref="N4192:P4192"/>
    <mergeCell ref="Q4192:R4192"/>
    <mergeCell ref="A4193:B4193"/>
    <mergeCell ref="C4193:D4193"/>
    <mergeCell ref="E4193:I4193"/>
    <mergeCell ref="J4193:M4193"/>
    <mergeCell ref="N4193:P4193"/>
    <mergeCell ref="Q4193:R4193"/>
    <mergeCell ref="A4194:B4194"/>
    <mergeCell ref="C4194:D4194"/>
    <mergeCell ref="E4194:I4194"/>
    <mergeCell ref="J4194:M4194"/>
    <mergeCell ref="N4194:P4194"/>
    <mergeCell ref="Q4194:R4194"/>
    <mergeCell ref="A4195:B4195"/>
    <mergeCell ref="C4195:D4195"/>
    <mergeCell ref="E4195:I4195"/>
    <mergeCell ref="J4195:M4195"/>
    <mergeCell ref="N4195:P4195"/>
    <mergeCell ref="Q4195:R4195"/>
    <mergeCell ref="A4196:B4196"/>
    <mergeCell ref="C4196:D4196"/>
    <mergeCell ref="E4196:I4196"/>
    <mergeCell ref="J4196:M4196"/>
    <mergeCell ref="N4196:P4196"/>
    <mergeCell ref="Q4196:R4196"/>
    <mergeCell ref="A4197:B4197"/>
    <mergeCell ref="C4197:D4197"/>
    <mergeCell ref="E4197:I4197"/>
    <mergeCell ref="J4197:M4197"/>
    <mergeCell ref="N4197:P4197"/>
    <mergeCell ref="Q4197:R4197"/>
    <mergeCell ref="A4198:B4198"/>
    <mergeCell ref="C4198:D4198"/>
    <mergeCell ref="E4198:I4198"/>
    <mergeCell ref="J4198:M4198"/>
    <mergeCell ref="N4198:P4198"/>
    <mergeCell ref="Q4198:R4198"/>
    <mergeCell ref="A4199:B4199"/>
    <mergeCell ref="C4199:D4199"/>
    <mergeCell ref="E4199:I4199"/>
    <mergeCell ref="J4199:M4199"/>
    <mergeCell ref="N4199:P4199"/>
    <mergeCell ref="Q4199:R4199"/>
    <mergeCell ref="A4200:B4200"/>
    <mergeCell ref="C4200:D4200"/>
    <mergeCell ref="E4200:I4200"/>
    <mergeCell ref="J4200:M4200"/>
    <mergeCell ref="N4200:P4200"/>
    <mergeCell ref="Q4200:R4200"/>
    <mergeCell ref="A4201:B4201"/>
    <mergeCell ref="C4201:D4201"/>
    <mergeCell ref="E4201:I4201"/>
    <mergeCell ref="J4201:M4201"/>
    <mergeCell ref="N4201:P4201"/>
    <mergeCell ref="Q4201:R4201"/>
    <mergeCell ref="A4202:B4202"/>
    <mergeCell ref="C4202:D4202"/>
    <mergeCell ref="E4202:I4202"/>
    <mergeCell ref="J4202:M4202"/>
    <mergeCell ref="N4202:P4202"/>
    <mergeCell ref="Q4202:R4202"/>
    <mergeCell ref="A4203:B4203"/>
    <mergeCell ref="C4203:D4203"/>
    <mergeCell ref="E4203:I4203"/>
    <mergeCell ref="J4203:M4203"/>
    <mergeCell ref="N4203:P4203"/>
    <mergeCell ref="Q4203:R4203"/>
    <mergeCell ref="A4204:B4204"/>
    <mergeCell ref="C4204:D4204"/>
    <mergeCell ref="E4204:I4204"/>
    <mergeCell ref="J4204:M4204"/>
    <mergeCell ref="N4204:P4204"/>
    <mergeCell ref="Q4204:R4204"/>
    <mergeCell ref="A4205:B4205"/>
    <mergeCell ref="C4205:D4205"/>
    <mergeCell ref="E4205:I4205"/>
    <mergeCell ref="J4205:M4205"/>
    <mergeCell ref="N4205:P4205"/>
    <mergeCell ref="Q4205:R4205"/>
    <mergeCell ref="A4206:B4206"/>
    <mergeCell ref="C4206:D4206"/>
    <mergeCell ref="E4206:I4206"/>
    <mergeCell ref="J4206:M4206"/>
    <mergeCell ref="N4206:P4206"/>
    <mergeCell ref="Q4206:R4206"/>
    <mergeCell ref="A4207:B4207"/>
    <mergeCell ref="C4207:D4207"/>
    <mergeCell ref="E4207:I4207"/>
    <mergeCell ref="J4207:M4207"/>
    <mergeCell ref="N4207:P4207"/>
    <mergeCell ref="Q4207:R4207"/>
    <mergeCell ref="A4208:B4208"/>
    <mergeCell ref="C4208:D4208"/>
    <mergeCell ref="E4208:I4208"/>
    <mergeCell ref="J4208:M4208"/>
    <mergeCell ref="N4208:P4208"/>
    <mergeCell ref="Q4208:R4208"/>
    <mergeCell ref="A4209:B4209"/>
    <mergeCell ref="C4209:D4209"/>
    <mergeCell ref="E4209:I4209"/>
    <mergeCell ref="J4209:M4209"/>
    <mergeCell ref="N4209:P4209"/>
    <mergeCell ref="Q4209:R4209"/>
    <mergeCell ref="A4210:B4210"/>
    <mergeCell ref="C4210:D4210"/>
    <mergeCell ref="E4210:I4210"/>
    <mergeCell ref="J4210:M4210"/>
    <mergeCell ref="N4210:P4210"/>
    <mergeCell ref="Q4210:R4210"/>
    <mergeCell ref="A4211:B4211"/>
    <mergeCell ref="C4211:D4211"/>
    <mergeCell ref="E4211:I4211"/>
    <mergeCell ref="J4211:M4211"/>
    <mergeCell ref="N4211:P4211"/>
    <mergeCell ref="Q4211:R4211"/>
    <mergeCell ref="A4212:B4212"/>
    <mergeCell ref="C4212:D4212"/>
    <mergeCell ref="E4212:I4212"/>
    <mergeCell ref="J4212:M4212"/>
    <mergeCell ref="N4212:P4212"/>
    <mergeCell ref="Q4212:R4212"/>
    <mergeCell ref="A4213:B4213"/>
    <mergeCell ref="C4213:D4213"/>
    <mergeCell ref="E4213:I4213"/>
    <mergeCell ref="J4213:M4213"/>
    <mergeCell ref="N4213:P4213"/>
    <mergeCell ref="Q4213:R4213"/>
    <mergeCell ref="A4214:B4214"/>
    <mergeCell ref="C4214:D4214"/>
    <mergeCell ref="E4214:I4214"/>
    <mergeCell ref="J4214:M4214"/>
    <mergeCell ref="N4214:P4214"/>
    <mergeCell ref="Q4214:R4214"/>
    <mergeCell ref="A4215:B4215"/>
    <mergeCell ref="C4215:D4215"/>
    <mergeCell ref="E4215:I4215"/>
    <mergeCell ref="J4215:M4215"/>
    <mergeCell ref="N4215:P4215"/>
    <mergeCell ref="Q4215:R4215"/>
    <mergeCell ref="A4216:B4216"/>
    <mergeCell ref="C4216:D4216"/>
    <mergeCell ref="E4216:I4216"/>
    <mergeCell ref="J4216:M4216"/>
    <mergeCell ref="N4216:P4216"/>
    <mergeCell ref="Q4216:R4216"/>
    <mergeCell ref="A4217:B4217"/>
    <mergeCell ref="C4217:D4217"/>
    <mergeCell ref="E4217:I4217"/>
    <mergeCell ref="J4217:M4217"/>
    <mergeCell ref="N4217:P4217"/>
    <mergeCell ref="Q4217:R4217"/>
    <mergeCell ref="A4218:B4218"/>
    <mergeCell ref="C4218:D4218"/>
    <mergeCell ref="E4218:I4218"/>
    <mergeCell ref="J4218:M4218"/>
    <mergeCell ref="N4218:P4218"/>
    <mergeCell ref="Q4218:R4218"/>
    <mergeCell ref="A4219:B4219"/>
    <mergeCell ref="C4219:D4219"/>
    <mergeCell ref="E4219:I4219"/>
    <mergeCell ref="J4219:M4219"/>
    <mergeCell ref="N4219:P4219"/>
    <mergeCell ref="Q4219:R4219"/>
    <mergeCell ref="A4220:B4220"/>
    <mergeCell ref="C4220:D4220"/>
    <mergeCell ref="E4220:I4220"/>
    <mergeCell ref="J4220:M4220"/>
    <mergeCell ref="N4220:P4220"/>
    <mergeCell ref="Q4220:R4220"/>
    <mergeCell ref="A4221:B4221"/>
    <mergeCell ref="C4221:D4221"/>
    <mergeCell ref="E4221:I4221"/>
    <mergeCell ref="J4221:M4221"/>
    <mergeCell ref="N4221:P4221"/>
    <mergeCell ref="Q4221:R4221"/>
    <mergeCell ref="A4222:B4222"/>
    <mergeCell ref="C4222:D4222"/>
    <mergeCell ref="E4222:I4222"/>
    <mergeCell ref="J4222:M4222"/>
    <mergeCell ref="N4222:P4222"/>
    <mergeCell ref="Q4222:R4222"/>
    <mergeCell ref="A4223:B4223"/>
    <mergeCell ref="C4223:D4223"/>
    <mergeCell ref="E4223:I4223"/>
    <mergeCell ref="J4223:M4223"/>
    <mergeCell ref="N4223:P4223"/>
    <mergeCell ref="Q4223:R4223"/>
    <mergeCell ref="A4224:B4224"/>
    <mergeCell ref="C4224:D4224"/>
    <mergeCell ref="E4224:I4224"/>
    <mergeCell ref="J4224:M4224"/>
    <mergeCell ref="N4224:P4224"/>
    <mergeCell ref="Q4224:R4224"/>
    <mergeCell ref="A4225:B4225"/>
    <mergeCell ref="C4225:D4225"/>
    <mergeCell ref="E4225:I4225"/>
    <mergeCell ref="J4225:M4225"/>
    <mergeCell ref="N4225:P4225"/>
    <mergeCell ref="Q4225:R4225"/>
    <mergeCell ref="A4226:B4226"/>
    <mergeCell ref="C4226:D4226"/>
    <mergeCell ref="E4226:I4226"/>
    <mergeCell ref="J4226:M4226"/>
    <mergeCell ref="N4226:P4226"/>
    <mergeCell ref="Q4226:R4226"/>
    <mergeCell ref="A4227:B4227"/>
    <mergeCell ref="C4227:D4227"/>
    <mergeCell ref="E4227:I4227"/>
    <mergeCell ref="J4227:M4227"/>
    <mergeCell ref="N4227:P4227"/>
    <mergeCell ref="Q4227:R4227"/>
    <mergeCell ref="A4228:B4228"/>
    <mergeCell ref="C4228:D4228"/>
    <mergeCell ref="E4228:I4228"/>
    <mergeCell ref="J4228:M4228"/>
    <mergeCell ref="N4228:P4228"/>
    <mergeCell ref="Q4228:R4228"/>
    <mergeCell ref="A4229:B4229"/>
    <mergeCell ref="C4229:D4229"/>
    <mergeCell ref="E4229:I4229"/>
    <mergeCell ref="J4229:M4229"/>
    <mergeCell ref="N4229:P4229"/>
    <mergeCell ref="Q4229:R4229"/>
    <mergeCell ref="A4230:B4230"/>
    <mergeCell ref="C4230:D4230"/>
    <mergeCell ref="E4230:I4230"/>
    <mergeCell ref="J4230:M4230"/>
    <mergeCell ref="N4230:P4230"/>
    <mergeCell ref="Q4230:R4230"/>
    <mergeCell ref="A4231:B4231"/>
    <mergeCell ref="C4231:D4231"/>
    <mergeCell ref="E4231:I4231"/>
    <mergeCell ref="J4231:M4231"/>
    <mergeCell ref="N4231:P4231"/>
    <mergeCell ref="Q4231:R4231"/>
    <mergeCell ref="A4232:B4232"/>
    <mergeCell ref="C4232:D4232"/>
    <mergeCell ref="E4232:I4232"/>
    <mergeCell ref="J4232:M4232"/>
    <mergeCell ref="N4232:P4232"/>
    <mergeCell ref="Q4232:R4232"/>
    <mergeCell ref="A4233:B4233"/>
    <mergeCell ref="C4233:D4233"/>
    <mergeCell ref="E4233:I4233"/>
    <mergeCell ref="J4233:M4233"/>
    <mergeCell ref="N4233:P4233"/>
    <mergeCell ref="Q4233:R4233"/>
    <mergeCell ref="A4234:B4234"/>
    <mergeCell ref="C4234:D4234"/>
    <mergeCell ref="E4234:I4234"/>
    <mergeCell ref="J4234:M4234"/>
    <mergeCell ref="N4234:P4234"/>
    <mergeCell ref="Q4234:R4234"/>
    <mergeCell ref="A4235:B4235"/>
    <mergeCell ref="C4235:D4235"/>
    <mergeCell ref="E4235:I4235"/>
    <mergeCell ref="J4235:M4235"/>
    <mergeCell ref="N4235:P4235"/>
    <mergeCell ref="Q4235:R4235"/>
    <mergeCell ref="A4236:B4236"/>
    <mergeCell ref="C4236:D4236"/>
    <mergeCell ref="E4236:I4236"/>
    <mergeCell ref="J4236:M4236"/>
    <mergeCell ref="N4236:P4236"/>
    <mergeCell ref="Q4236:R4236"/>
    <mergeCell ref="A4237:B4237"/>
    <mergeCell ref="C4237:D4237"/>
    <mergeCell ref="E4237:I4237"/>
    <mergeCell ref="J4237:M4237"/>
    <mergeCell ref="N4237:P4237"/>
    <mergeCell ref="Q4237:R4237"/>
    <mergeCell ref="A4238:B4238"/>
    <mergeCell ref="C4238:D4238"/>
    <mergeCell ref="E4238:I4238"/>
    <mergeCell ref="J4238:M4238"/>
    <mergeCell ref="N4238:P4238"/>
    <mergeCell ref="Q4238:R4238"/>
    <mergeCell ref="A4239:B4239"/>
    <mergeCell ref="C4239:D4239"/>
    <mergeCell ref="E4239:I4239"/>
    <mergeCell ref="J4239:M4239"/>
    <mergeCell ref="N4239:P4239"/>
    <mergeCell ref="Q4239:R4239"/>
    <mergeCell ref="A4240:B4240"/>
    <mergeCell ref="C4240:D4240"/>
    <mergeCell ref="E4240:I4240"/>
    <mergeCell ref="J4240:M4240"/>
    <mergeCell ref="N4240:P4240"/>
    <mergeCell ref="Q4240:R4240"/>
    <mergeCell ref="A4241:B4241"/>
    <mergeCell ref="C4241:D4241"/>
    <mergeCell ref="E4241:I4241"/>
    <mergeCell ref="J4241:M4241"/>
    <mergeCell ref="N4241:P4241"/>
    <mergeCell ref="Q4241:R4241"/>
    <mergeCell ref="A4242:B4242"/>
    <mergeCell ref="C4242:D4242"/>
    <mergeCell ref="E4242:I4242"/>
    <mergeCell ref="J4242:M4242"/>
    <mergeCell ref="N4242:P4242"/>
    <mergeCell ref="Q4242:R4242"/>
    <mergeCell ref="A4243:B4243"/>
    <mergeCell ref="C4243:D4243"/>
    <mergeCell ref="E4243:I4243"/>
    <mergeCell ref="J4243:M4243"/>
    <mergeCell ref="N4243:P4243"/>
    <mergeCell ref="Q4243:R4243"/>
    <mergeCell ref="A4244:B4244"/>
    <mergeCell ref="C4244:D4244"/>
    <mergeCell ref="E4244:I4244"/>
    <mergeCell ref="J4244:M4244"/>
    <mergeCell ref="N4244:P4244"/>
    <mergeCell ref="Q4244:R4244"/>
    <mergeCell ref="A4245:B4245"/>
    <mergeCell ref="C4245:D4245"/>
    <mergeCell ref="E4245:I4245"/>
    <mergeCell ref="J4245:M4245"/>
    <mergeCell ref="N4245:P4245"/>
    <mergeCell ref="Q4245:R4245"/>
    <mergeCell ref="A4246:B4246"/>
    <mergeCell ref="C4246:D4246"/>
    <mergeCell ref="E4246:I4246"/>
    <mergeCell ref="J4246:M4246"/>
    <mergeCell ref="N4246:P4246"/>
    <mergeCell ref="Q4246:R4246"/>
    <mergeCell ref="A4247:B4247"/>
    <mergeCell ref="C4247:D4247"/>
    <mergeCell ref="E4247:I4247"/>
    <mergeCell ref="J4247:M4247"/>
    <mergeCell ref="N4247:P4247"/>
    <mergeCell ref="Q4247:R4247"/>
    <mergeCell ref="A4248:B4248"/>
    <mergeCell ref="C4248:D4248"/>
    <mergeCell ref="E4248:I4248"/>
    <mergeCell ref="J4248:M4248"/>
    <mergeCell ref="N4248:P4248"/>
    <mergeCell ref="Q4248:R4248"/>
    <mergeCell ref="A4249:B4249"/>
    <mergeCell ref="C4249:D4249"/>
    <mergeCell ref="E4249:I4249"/>
    <mergeCell ref="J4249:M4249"/>
    <mergeCell ref="N4249:P4249"/>
    <mergeCell ref="Q4249:R4249"/>
    <mergeCell ref="A4250:B4250"/>
    <mergeCell ref="C4250:D4250"/>
    <mergeCell ref="E4250:I4250"/>
    <mergeCell ref="J4250:M4250"/>
    <mergeCell ref="N4250:P4250"/>
    <mergeCell ref="Q4250:R4250"/>
    <mergeCell ref="A4251:B4251"/>
    <mergeCell ref="C4251:D4251"/>
    <mergeCell ref="E4251:I4251"/>
    <mergeCell ref="J4251:M4251"/>
    <mergeCell ref="N4251:P4251"/>
    <mergeCell ref="Q4251:R4251"/>
    <mergeCell ref="A4252:B4252"/>
    <mergeCell ref="C4252:D4252"/>
    <mergeCell ref="E4252:I4252"/>
    <mergeCell ref="J4252:M4252"/>
    <mergeCell ref="N4252:P4252"/>
    <mergeCell ref="Q4252:R4252"/>
    <mergeCell ref="A4253:B4253"/>
    <mergeCell ref="C4253:D4253"/>
    <mergeCell ref="E4253:I4253"/>
    <mergeCell ref="J4253:M4253"/>
    <mergeCell ref="N4253:P4253"/>
    <mergeCell ref="Q4253:R4253"/>
    <mergeCell ref="A4254:B4254"/>
    <mergeCell ref="C4254:D4254"/>
    <mergeCell ref="E4254:I4254"/>
    <mergeCell ref="J4254:M4254"/>
    <mergeCell ref="N4254:P4254"/>
    <mergeCell ref="Q4254:R4254"/>
    <mergeCell ref="A4255:B4255"/>
    <mergeCell ref="C4255:D4255"/>
    <mergeCell ref="E4255:I4255"/>
    <mergeCell ref="J4255:M4255"/>
    <mergeCell ref="N4255:P4255"/>
    <mergeCell ref="Q4255:R4255"/>
    <mergeCell ref="A4256:B4256"/>
    <mergeCell ref="C4256:D4256"/>
    <mergeCell ref="E4256:I4256"/>
    <mergeCell ref="J4256:M4256"/>
    <mergeCell ref="N4256:P4256"/>
    <mergeCell ref="Q4256:R4256"/>
    <mergeCell ref="A4257:B4257"/>
    <mergeCell ref="C4257:D4257"/>
    <mergeCell ref="E4257:I4257"/>
    <mergeCell ref="J4257:M4257"/>
    <mergeCell ref="N4257:P4257"/>
    <mergeCell ref="Q4257:R4257"/>
    <mergeCell ref="A4258:B4258"/>
    <mergeCell ref="C4258:D4258"/>
    <mergeCell ref="E4258:I4258"/>
    <mergeCell ref="J4258:M4258"/>
    <mergeCell ref="N4258:P4258"/>
    <mergeCell ref="Q4258:R4258"/>
    <mergeCell ref="A4259:B4259"/>
    <mergeCell ref="C4259:D4259"/>
    <mergeCell ref="E4259:I4259"/>
    <mergeCell ref="J4259:M4259"/>
    <mergeCell ref="N4259:P4259"/>
    <mergeCell ref="Q4259:R4259"/>
    <mergeCell ref="A4260:B4260"/>
    <mergeCell ref="C4260:D4260"/>
    <mergeCell ref="E4260:I4260"/>
    <mergeCell ref="J4260:M4260"/>
    <mergeCell ref="N4260:P4260"/>
    <mergeCell ref="Q4260:R4260"/>
    <mergeCell ref="A4261:B4261"/>
    <mergeCell ref="C4261:D4261"/>
    <mergeCell ref="E4261:I4261"/>
    <mergeCell ref="J4261:M4261"/>
    <mergeCell ref="N4261:P4261"/>
    <mergeCell ref="Q4261:R4261"/>
    <mergeCell ref="A4262:B4262"/>
    <mergeCell ref="C4262:D4262"/>
    <mergeCell ref="E4262:I4262"/>
    <mergeCell ref="J4262:M4262"/>
    <mergeCell ref="N4262:P4262"/>
    <mergeCell ref="Q4262:R4262"/>
    <mergeCell ref="A4263:B4263"/>
    <mergeCell ref="C4263:D4263"/>
    <mergeCell ref="E4263:I4263"/>
    <mergeCell ref="J4263:M4263"/>
    <mergeCell ref="N4263:P4263"/>
    <mergeCell ref="Q4263:R4263"/>
    <mergeCell ref="A4264:B4264"/>
    <mergeCell ref="C4264:D4264"/>
    <mergeCell ref="E4264:I4264"/>
    <mergeCell ref="J4264:M4264"/>
    <mergeCell ref="N4264:P4264"/>
    <mergeCell ref="Q4264:R4264"/>
    <mergeCell ref="A4265:B4265"/>
    <mergeCell ref="C4265:D4265"/>
    <mergeCell ref="E4265:I4265"/>
    <mergeCell ref="J4265:M4265"/>
    <mergeCell ref="N4265:P4265"/>
    <mergeCell ref="Q4265:R4265"/>
    <mergeCell ref="A4266:B4266"/>
    <mergeCell ref="C4266:D4266"/>
    <mergeCell ref="E4266:I4266"/>
    <mergeCell ref="J4266:M4266"/>
    <mergeCell ref="N4266:P4266"/>
    <mergeCell ref="Q4266:R4266"/>
    <mergeCell ref="A4267:B4267"/>
    <mergeCell ref="C4267:D4267"/>
    <mergeCell ref="E4267:I4267"/>
    <mergeCell ref="J4267:M4267"/>
    <mergeCell ref="N4267:P4267"/>
    <mergeCell ref="Q4267:R4267"/>
    <mergeCell ref="A4268:B4268"/>
    <mergeCell ref="C4268:D4268"/>
    <mergeCell ref="E4268:I4268"/>
    <mergeCell ref="J4268:M4268"/>
    <mergeCell ref="N4268:P4268"/>
    <mergeCell ref="Q4268:R4268"/>
    <mergeCell ref="A4269:B4269"/>
    <mergeCell ref="C4269:D4269"/>
    <mergeCell ref="E4269:I4269"/>
    <mergeCell ref="J4269:M4269"/>
    <mergeCell ref="N4269:P4269"/>
    <mergeCell ref="Q4269:R4269"/>
    <mergeCell ref="A4270:B4270"/>
    <mergeCell ref="C4270:D4270"/>
    <mergeCell ref="E4270:I4270"/>
    <mergeCell ref="J4270:M4270"/>
    <mergeCell ref="N4270:P4270"/>
    <mergeCell ref="Q4270:R4270"/>
    <mergeCell ref="A4271:B4271"/>
    <mergeCell ref="C4271:D4271"/>
    <mergeCell ref="E4271:I4271"/>
    <mergeCell ref="J4271:M4271"/>
    <mergeCell ref="N4271:P4271"/>
    <mergeCell ref="Q4271:R4271"/>
    <mergeCell ref="A4272:B4272"/>
    <mergeCell ref="C4272:D4272"/>
    <mergeCell ref="E4272:I4272"/>
    <mergeCell ref="J4272:M4272"/>
    <mergeCell ref="N4272:P4272"/>
    <mergeCell ref="Q4272:R4272"/>
    <mergeCell ref="A4273:B4273"/>
    <mergeCell ref="C4273:D4273"/>
    <mergeCell ref="E4273:I4273"/>
    <mergeCell ref="J4273:M4273"/>
    <mergeCell ref="N4273:P4273"/>
    <mergeCell ref="Q4273:R4273"/>
    <mergeCell ref="A4274:B4274"/>
    <mergeCell ref="C4274:D4274"/>
    <mergeCell ref="E4274:I4274"/>
    <mergeCell ref="J4274:M4274"/>
    <mergeCell ref="N4274:P4274"/>
    <mergeCell ref="Q4274:R4274"/>
    <mergeCell ref="A4275:B4275"/>
    <mergeCell ref="C4275:D4275"/>
    <mergeCell ref="E4275:I4275"/>
    <mergeCell ref="J4275:M4275"/>
    <mergeCell ref="N4275:P4275"/>
    <mergeCell ref="Q4275:R4275"/>
    <mergeCell ref="A4276:B4276"/>
    <mergeCell ref="C4276:D4276"/>
    <mergeCell ref="E4276:I4276"/>
    <mergeCell ref="J4276:M4276"/>
    <mergeCell ref="N4276:P4276"/>
    <mergeCell ref="Q4276:R4276"/>
    <mergeCell ref="A4277:B4277"/>
    <mergeCell ref="C4277:D4277"/>
    <mergeCell ref="E4277:I4277"/>
    <mergeCell ref="J4277:M4277"/>
    <mergeCell ref="N4277:P4277"/>
    <mergeCell ref="Q4277:R4277"/>
    <mergeCell ref="A4278:B4278"/>
    <mergeCell ref="C4278:D4278"/>
    <mergeCell ref="E4278:I4278"/>
    <mergeCell ref="J4278:M4278"/>
    <mergeCell ref="N4278:P4278"/>
    <mergeCell ref="Q4278:R4278"/>
    <mergeCell ref="A4279:B4279"/>
    <mergeCell ref="C4279:D4279"/>
    <mergeCell ref="E4279:I4279"/>
    <mergeCell ref="J4279:M4279"/>
    <mergeCell ref="N4279:P4279"/>
    <mergeCell ref="Q4279:R4279"/>
    <mergeCell ref="A4280:B4280"/>
    <mergeCell ref="C4280:D4280"/>
    <mergeCell ref="E4280:I4280"/>
    <mergeCell ref="J4280:M4280"/>
    <mergeCell ref="N4280:P4280"/>
    <mergeCell ref="Q4280:R4280"/>
    <mergeCell ref="A4281:B4281"/>
    <mergeCell ref="C4281:D4281"/>
    <mergeCell ref="E4281:I4281"/>
    <mergeCell ref="J4281:M4281"/>
    <mergeCell ref="N4281:P4281"/>
    <mergeCell ref="Q4281:R4281"/>
    <mergeCell ref="A4282:B4282"/>
    <mergeCell ref="C4282:D4282"/>
    <mergeCell ref="E4282:I4282"/>
    <mergeCell ref="J4282:M4282"/>
    <mergeCell ref="N4282:P4282"/>
    <mergeCell ref="Q4282:R4282"/>
    <mergeCell ref="A4283:B4283"/>
    <mergeCell ref="C4283:D4283"/>
    <mergeCell ref="E4283:I4283"/>
    <mergeCell ref="J4283:M4283"/>
    <mergeCell ref="N4283:P4283"/>
    <mergeCell ref="Q4283:R4283"/>
    <mergeCell ref="A4284:B4284"/>
    <mergeCell ref="C4284:D4284"/>
    <mergeCell ref="E4284:I4284"/>
    <mergeCell ref="J4284:M4284"/>
    <mergeCell ref="N4284:P4284"/>
    <mergeCell ref="Q4284:R4284"/>
    <mergeCell ref="A4285:B4285"/>
    <mergeCell ref="C4285:D4285"/>
    <mergeCell ref="E4285:I4285"/>
    <mergeCell ref="J4285:M4285"/>
    <mergeCell ref="N4285:P4285"/>
    <mergeCell ref="Q4285:R4285"/>
    <mergeCell ref="A4286:B4286"/>
    <mergeCell ref="C4286:D4286"/>
    <mergeCell ref="E4286:I4286"/>
    <mergeCell ref="J4286:M4286"/>
    <mergeCell ref="N4286:P4286"/>
    <mergeCell ref="Q4286:R4286"/>
    <mergeCell ref="A4287:B4287"/>
    <mergeCell ref="C4287:D4287"/>
    <mergeCell ref="E4287:I4287"/>
    <mergeCell ref="J4287:M4287"/>
    <mergeCell ref="N4287:P4287"/>
    <mergeCell ref="Q4287:R4287"/>
    <mergeCell ref="A4288:B4288"/>
    <mergeCell ref="C4288:D4288"/>
    <mergeCell ref="E4288:I4288"/>
    <mergeCell ref="J4288:M4288"/>
    <mergeCell ref="N4288:P4288"/>
    <mergeCell ref="Q4288:R4288"/>
    <mergeCell ref="A4289:B4289"/>
    <mergeCell ref="C4289:D4289"/>
    <mergeCell ref="E4289:I4289"/>
    <mergeCell ref="J4289:M4289"/>
    <mergeCell ref="N4289:P4289"/>
    <mergeCell ref="Q4289:R4289"/>
    <mergeCell ref="A4290:B4290"/>
    <mergeCell ref="C4290:D4290"/>
    <mergeCell ref="E4290:I4290"/>
    <mergeCell ref="J4290:M4290"/>
    <mergeCell ref="N4290:P4290"/>
    <mergeCell ref="Q4290:R4290"/>
    <mergeCell ref="A4291:B4291"/>
    <mergeCell ref="C4291:D4291"/>
    <mergeCell ref="E4291:I4291"/>
    <mergeCell ref="J4291:M4291"/>
    <mergeCell ref="N4291:P4291"/>
    <mergeCell ref="Q4291:R4291"/>
    <mergeCell ref="A4292:B4292"/>
    <mergeCell ref="C4292:D4292"/>
    <mergeCell ref="E4292:I4292"/>
    <mergeCell ref="J4292:M4292"/>
    <mergeCell ref="N4292:P4292"/>
    <mergeCell ref="Q4292:R4292"/>
    <mergeCell ref="A4293:B4293"/>
    <mergeCell ref="C4293:D4293"/>
    <mergeCell ref="E4293:I4293"/>
    <mergeCell ref="J4293:M4293"/>
    <mergeCell ref="N4293:P4293"/>
    <mergeCell ref="Q4293:R4293"/>
    <mergeCell ref="A4294:B4294"/>
    <mergeCell ref="C4294:D4294"/>
    <mergeCell ref="E4294:I4294"/>
    <mergeCell ref="J4294:M4294"/>
    <mergeCell ref="N4294:P4294"/>
    <mergeCell ref="Q4294:R4294"/>
    <mergeCell ref="A4295:B4295"/>
    <mergeCell ref="C4295:D4295"/>
    <mergeCell ref="E4295:I4295"/>
    <mergeCell ref="J4295:M4295"/>
    <mergeCell ref="N4295:P4295"/>
    <mergeCell ref="Q4295:R4295"/>
    <mergeCell ref="A4296:B4296"/>
    <mergeCell ref="C4296:D4296"/>
    <mergeCell ref="E4296:I4296"/>
    <mergeCell ref="J4296:M4296"/>
    <mergeCell ref="N4296:P4296"/>
    <mergeCell ref="Q4296:R4296"/>
    <mergeCell ref="A4297:B4297"/>
    <mergeCell ref="C4297:D4297"/>
    <mergeCell ref="E4297:I4297"/>
    <mergeCell ref="J4297:M4297"/>
    <mergeCell ref="N4297:P4297"/>
    <mergeCell ref="Q4297:R4297"/>
    <mergeCell ref="A4298:B4298"/>
    <mergeCell ref="C4298:D4298"/>
    <mergeCell ref="E4298:I4298"/>
    <mergeCell ref="J4298:M4298"/>
    <mergeCell ref="N4298:P4298"/>
    <mergeCell ref="Q4298:R4298"/>
    <mergeCell ref="A4299:B4299"/>
    <mergeCell ref="C4299:D4299"/>
    <mergeCell ref="E4299:I4299"/>
    <mergeCell ref="J4299:M4299"/>
    <mergeCell ref="N4299:P4299"/>
    <mergeCell ref="Q4299:R4299"/>
    <mergeCell ref="A4300:B4300"/>
    <mergeCell ref="C4300:D4300"/>
    <mergeCell ref="E4300:I4300"/>
    <mergeCell ref="J4300:M4300"/>
    <mergeCell ref="N4300:P4300"/>
    <mergeCell ref="Q4300:R4300"/>
    <mergeCell ref="A4301:B4301"/>
    <mergeCell ref="C4301:D4301"/>
    <mergeCell ref="E4301:I4301"/>
    <mergeCell ref="J4301:M4301"/>
    <mergeCell ref="N4301:P4301"/>
    <mergeCell ref="Q4301:R4301"/>
    <mergeCell ref="A4302:B4302"/>
    <mergeCell ref="C4302:D4302"/>
    <mergeCell ref="E4302:I4302"/>
    <mergeCell ref="J4302:M4302"/>
    <mergeCell ref="N4302:P4302"/>
    <mergeCell ref="Q4302:R4302"/>
    <mergeCell ref="A4303:B4303"/>
    <mergeCell ref="C4303:D4303"/>
    <mergeCell ref="E4303:I4303"/>
    <mergeCell ref="J4303:M4303"/>
    <mergeCell ref="N4303:P4303"/>
    <mergeCell ref="Q4303:R4303"/>
    <mergeCell ref="A4304:B4304"/>
    <mergeCell ref="C4304:D4304"/>
    <mergeCell ref="E4304:I4304"/>
    <mergeCell ref="J4304:M4304"/>
    <mergeCell ref="N4304:P4304"/>
    <mergeCell ref="Q4304:R4304"/>
    <mergeCell ref="A4305:B4305"/>
    <mergeCell ref="C4305:D4305"/>
    <mergeCell ref="E4305:I4305"/>
    <mergeCell ref="J4305:M4305"/>
    <mergeCell ref="N4305:P4305"/>
    <mergeCell ref="Q4305:R4305"/>
    <mergeCell ref="A4306:B4306"/>
    <mergeCell ref="C4306:D4306"/>
    <mergeCell ref="E4306:I4306"/>
    <mergeCell ref="J4306:M4306"/>
    <mergeCell ref="N4306:P4306"/>
    <mergeCell ref="Q4306:R4306"/>
    <mergeCell ref="A4307:B4307"/>
    <mergeCell ref="C4307:D4307"/>
    <mergeCell ref="E4307:I4307"/>
    <mergeCell ref="J4307:M4307"/>
    <mergeCell ref="N4307:P4307"/>
    <mergeCell ref="Q4307:R4307"/>
    <mergeCell ref="A4308:B4308"/>
    <mergeCell ref="C4308:D4308"/>
    <mergeCell ref="E4308:I4308"/>
    <mergeCell ref="J4308:M4308"/>
    <mergeCell ref="N4308:P4308"/>
    <mergeCell ref="Q4308:R4308"/>
    <mergeCell ref="A4309:B4309"/>
    <mergeCell ref="C4309:D4309"/>
    <mergeCell ref="E4309:I4309"/>
    <mergeCell ref="J4309:M4309"/>
    <mergeCell ref="N4309:P4309"/>
    <mergeCell ref="Q4309:R4309"/>
    <mergeCell ref="A4310:B4310"/>
    <mergeCell ref="C4310:D4310"/>
    <mergeCell ref="E4310:I4310"/>
    <mergeCell ref="J4310:M4310"/>
    <mergeCell ref="N4310:P4310"/>
    <mergeCell ref="Q4310:R4310"/>
    <mergeCell ref="A4311:B4311"/>
    <mergeCell ref="C4311:D4311"/>
    <mergeCell ref="E4311:I4311"/>
    <mergeCell ref="J4311:M4311"/>
    <mergeCell ref="N4311:P4311"/>
    <mergeCell ref="Q4311:R4311"/>
    <mergeCell ref="A4312:B4312"/>
    <mergeCell ref="C4312:D4312"/>
    <mergeCell ref="E4312:I4312"/>
    <mergeCell ref="J4312:M4312"/>
    <mergeCell ref="N4312:P4312"/>
    <mergeCell ref="Q4312:R4312"/>
    <mergeCell ref="A4313:B4313"/>
    <mergeCell ref="C4313:D4313"/>
    <mergeCell ref="E4313:I4313"/>
    <mergeCell ref="J4313:M4313"/>
    <mergeCell ref="N4313:P4313"/>
    <mergeCell ref="Q4313:R4313"/>
    <mergeCell ref="A4314:B4314"/>
    <mergeCell ref="C4314:D4314"/>
    <mergeCell ref="E4314:I4314"/>
    <mergeCell ref="J4314:M4314"/>
    <mergeCell ref="N4314:P4314"/>
    <mergeCell ref="Q4314:R4314"/>
    <mergeCell ref="A4315:B4315"/>
    <mergeCell ref="C4315:D4315"/>
    <mergeCell ref="E4315:I4315"/>
    <mergeCell ref="J4315:M4315"/>
    <mergeCell ref="N4315:P4315"/>
    <mergeCell ref="Q4315:R4315"/>
    <mergeCell ref="A4316:B4316"/>
    <mergeCell ref="C4316:D4316"/>
    <mergeCell ref="E4316:I4316"/>
    <mergeCell ref="J4316:M4316"/>
    <mergeCell ref="N4316:P4316"/>
    <mergeCell ref="Q4316:R4316"/>
    <mergeCell ref="A4317:B4317"/>
    <mergeCell ref="C4317:D4317"/>
    <mergeCell ref="E4317:I4317"/>
    <mergeCell ref="J4317:M4317"/>
    <mergeCell ref="N4317:P4317"/>
    <mergeCell ref="Q4317:R4317"/>
    <mergeCell ref="A4318:B4318"/>
    <mergeCell ref="C4318:D4318"/>
    <mergeCell ref="E4318:I4318"/>
    <mergeCell ref="J4318:M4318"/>
    <mergeCell ref="N4318:P4318"/>
    <mergeCell ref="Q4318:R4318"/>
    <mergeCell ref="A4319:B4319"/>
    <mergeCell ref="C4319:D4319"/>
    <mergeCell ref="E4319:I4319"/>
    <mergeCell ref="J4319:M4319"/>
    <mergeCell ref="N4319:P4319"/>
    <mergeCell ref="Q4319:R4319"/>
    <mergeCell ref="A4320:B4320"/>
    <mergeCell ref="C4320:D4320"/>
    <mergeCell ref="E4320:I4320"/>
    <mergeCell ref="J4320:M4320"/>
    <mergeCell ref="N4320:P4320"/>
    <mergeCell ref="Q4320:R4320"/>
    <mergeCell ref="A4321:B4321"/>
    <mergeCell ref="C4321:D4321"/>
    <mergeCell ref="E4321:I4321"/>
    <mergeCell ref="J4321:M4321"/>
    <mergeCell ref="N4321:P4321"/>
    <mergeCell ref="Q4321:R4321"/>
    <mergeCell ref="A4322:B4322"/>
    <mergeCell ref="C4322:D4322"/>
    <mergeCell ref="E4322:I4322"/>
    <mergeCell ref="J4322:M4322"/>
    <mergeCell ref="N4322:P4322"/>
    <mergeCell ref="Q4322:R4322"/>
    <mergeCell ref="A4323:B4323"/>
    <mergeCell ref="C4323:D4323"/>
    <mergeCell ref="E4323:I4323"/>
    <mergeCell ref="J4323:M4323"/>
    <mergeCell ref="N4323:P4323"/>
    <mergeCell ref="Q4323:R4323"/>
    <mergeCell ref="A4324:B4324"/>
    <mergeCell ref="C4324:D4324"/>
    <mergeCell ref="E4324:I4324"/>
    <mergeCell ref="J4324:M4324"/>
    <mergeCell ref="N4324:P4324"/>
    <mergeCell ref="Q4324:R4324"/>
    <mergeCell ref="A4325:B4325"/>
    <mergeCell ref="C4325:D4325"/>
    <mergeCell ref="E4325:I4325"/>
    <mergeCell ref="J4325:M4325"/>
    <mergeCell ref="N4325:P4325"/>
    <mergeCell ref="Q4325:R4325"/>
    <mergeCell ref="A4326:B4326"/>
    <mergeCell ref="C4326:D4326"/>
    <mergeCell ref="E4326:I4326"/>
    <mergeCell ref="J4326:M4326"/>
    <mergeCell ref="N4326:P4326"/>
    <mergeCell ref="Q4326:R4326"/>
    <mergeCell ref="A4327:B4327"/>
    <mergeCell ref="C4327:D4327"/>
    <mergeCell ref="E4327:I4327"/>
    <mergeCell ref="J4327:M4327"/>
    <mergeCell ref="N4327:P4327"/>
    <mergeCell ref="Q4327:R4327"/>
    <mergeCell ref="A4328:B4328"/>
    <mergeCell ref="C4328:D4328"/>
    <mergeCell ref="E4328:I4328"/>
    <mergeCell ref="J4328:M4328"/>
    <mergeCell ref="N4328:P4328"/>
    <mergeCell ref="Q4328:R4328"/>
    <mergeCell ref="A4329:B4329"/>
    <mergeCell ref="C4329:D4329"/>
    <mergeCell ref="E4329:I4329"/>
    <mergeCell ref="J4329:M4329"/>
    <mergeCell ref="N4329:P4329"/>
    <mergeCell ref="Q4329:R4329"/>
    <mergeCell ref="A4330:B4330"/>
    <mergeCell ref="C4330:D4330"/>
    <mergeCell ref="E4330:I4330"/>
    <mergeCell ref="J4330:M4330"/>
    <mergeCell ref="N4330:P4330"/>
    <mergeCell ref="Q4330:R4330"/>
    <mergeCell ref="A4331:B4331"/>
    <mergeCell ref="C4331:D4331"/>
    <mergeCell ref="E4331:I4331"/>
    <mergeCell ref="J4331:M4331"/>
    <mergeCell ref="N4331:P4331"/>
    <mergeCell ref="Q4331:R4331"/>
    <mergeCell ref="A4332:B4332"/>
    <mergeCell ref="C4332:D4332"/>
    <mergeCell ref="E4332:I4332"/>
    <mergeCell ref="J4332:M4332"/>
    <mergeCell ref="N4332:P4332"/>
    <mergeCell ref="Q4332:R4332"/>
    <mergeCell ref="A4333:B4333"/>
    <mergeCell ref="C4333:D4333"/>
    <mergeCell ref="E4333:I4333"/>
    <mergeCell ref="J4333:M4333"/>
    <mergeCell ref="N4333:P4333"/>
    <mergeCell ref="Q4333:R4333"/>
    <mergeCell ref="A4334:B4334"/>
    <mergeCell ref="C4334:D4334"/>
    <mergeCell ref="E4334:I4334"/>
    <mergeCell ref="J4334:M4334"/>
    <mergeCell ref="N4334:P4334"/>
    <mergeCell ref="Q4334:R4334"/>
    <mergeCell ref="A4335:B4335"/>
    <mergeCell ref="C4335:D4335"/>
    <mergeCell ref="E4335:I4335"/>
    <mergeCell ref="J4335:M4335"/>
    <mergeCell ref="N4335:P4335"/>
    <mergeCell ref="Q4335:R4335"/>
    <mergeCell ref="A4336:B4336"/>
    <mergeCell ref="C4336:D4336"/>
    <mergeCell ref="E4336:I4336"/>
    <mergeCell ref="J4336:M4336"/>
    <mergeCell ref="N4336:P4336"/>
    <mergeCell ref="Q4336:R4336"/>
    <mergeCell ref="A4337:B4337"/>
    <mergeCell ref="C4337:D4337"/>
    <mergeCell ref="E4337:I4337"/>
    <mergeCell ref="J4337:M4337"/>
    <mergeCell ref="N4337:P4337"/>
    <mergeCell ref="Q4337:R4337"/>
    <mergeCell ref="A4338:B4338"/>
    <mergeCell ref="C4338:D4338"/>
    <mergeCell ref="E4338:I4338"/>
    <mergeCell ref="J4338:M4338"/>
    <mergeCell ref="N4338:P4338"/>
    <mergeCell ref="Q4338:R4338"/>
    <mergeCell ref="A4339:B4339"/>
    <mergeCell ref="C4339:D4339"/>
    <mergeCell ref="E4339:I4339"/>
    <mergeCell ref="J4339:M4339"/>
    <mergeCell ref="N4339:P4339"/>
    <mergeCell ref="Q4339:R4339"/>
    <mergeCell ref="A4340:B4340"/>
    <mergeCell ref="C4340:D4340"/>
    <mergeCell ref="E4340:I4340"/>
    <mergeCell ref="J4340:M4340"/>
    <mergeCell ref="N4340:P4340"/>
    <mergeCell ref="Q4340:R4340"/>
    <mergeCell ref="A4341:B4341"/>
    <mergeCell ref="C4341:D4341"/>
    <mergeCell ref="E4341:I4341"/>
    <mergeCell ref="J4341:M4341"/>
    <mergeCell ref="N4341:P4341"/>
    <mergeCell ref="Q4341:R4341"/>
    <mergeCell ref="A4342:B4342"/>
    <mergeCell ref="C4342:D4342"/>
    <mergeCell ref="E4342:I4342"/>
    <mergeCell ref="J4342:M4342"/>
    <mergeCell ref="N4342:P4342"/>
    <mergeCell ref="Q4342:R4342"/>
    <mergeCell ref="A4343:B4343"/>
    <mergeCell ref="C4343:D4343"/>
    <mergeCell ref="E4343:I4343"/>
    <mergeCell ref="J4343:M4343"/>
    <mergeCell ref="N4343:P4343"/>
    <mergeCell ref="Q4343:R4343"/>
    <mergeCell ref="A4344:B4344"/>
    <mergeCell ref="C4344:D4344"/>
    <mergeCell ref="E4344:I4344"/>
    <mergeCell ref="J4344:M4344"/>
    <mergeCell ref="N4344:P4344"/>
    <mergeCell ref="Q4344:R4344"/>
    <mergeCell ref="A4345:B4345"/>
    <mergeCell ref="C4345:D4345"/>
    <mergeCell ref="E4345:I4345"/>
    <mergeCell ref="J4345:M4345"/>
    <mergeCell ref="N4345:P4345"/>
    <mergeCell ref="Q4345:R4345"/>
    <mergeCell ref="A4346:B4346"/>
    <mergeCell ref="C4346:D4346"/>
    <mergeCell ref="E4346:I4346"/>
    <mergeCell ref="J4346:M4346"/>
    <mergeCell ref="N4346:P4346"/>
    <mergeCell ref="Q4346:R4346"/>
    <mergeCell ref="A4347:B4347"/>
    <mergeCell ref="C4347:D4347"/>
    <mergeCell ref="E4347:I4347"/>
    <mergeCell ref="J4347:M4347"/>
    <mergeCell ref="N4347:P4347"/>
    <mergeCell ref="Q4347:R4347"/>
    <mergeCell ref="A4348:B4348"/>
    <mergeCell ref="C4348:D4348"/>
    <mergeCell ref="E4348:I4348"/>
    <mergeCell ref="J4348:M4348"/>
    <mergeCell ref="N4348:P4348"/>
    <mergeCell ref="Q4348:R4348"/>
    <mergeCell ref="A4349:B4349"/>
    <mergeCell ref="C4349:D4349"/>
    <mergeCell ref="E4349:I4349"/>
    <mergeCell ref="J4349:M4349"/>
    <mergeCell ref="N4349:P4349"/>
    <mergeCell ref="Q4349:R4349"/>
    <mergeCell ref="A4350:B4350"/>
    <mergeCell ref="C4350:D4350"/>
    <mergeCell ref="E4350:I4350"/>
    <mergeCell ref="J4350:M4350"/>
    <mergeCell ref="N4350:P4350"/>
    <mergeCell ref="Q4350:R4350"/>
    <mergeCell ref="A4351:B4351"/>
    <mergeCell ref="C4351:D4351"/>
    <mergeCell ref="E4351:I4351"/>
    <mergeCell ref="J4351:M4351"/>
    <mergeCell ref="N4351:P4351"/>
    <mergeCell ref="Q4351:R4351"/>
    <mergeCell ref="A4352:B4352"/>
    <mergeCell ref="C4352:D4352"/>
    <mergeCell ref="E4352:I4352"/>
    <mergeCell ref="J4352:M4352"/>
    <mergeCell ref="N4352:P4352"/>
    <mergeCell ref="Q4352:R4352"/>
    <mergeCell ref="A4353:B4353"/>
    <mergeCell ref="C4353:D4353"/>
    <mergeCell ref="E4353:I4353"/>
    <mergeCell ref="J4353:M4353"/>
    <mergeCell ref="N4353:P4353"/>
    <mergeCell ref="Q4353:R4353"/>
    <mergeCell ref="A4354:B4354"/>
    <mergeCell ref="C4354:D4354"/>
    <mergeCell ref="E4354:I4354"/>
    <mergeCell ref="J4354:M4354"/>
    <mergeCell ref="N4354:P4354"/>
    <mergeCell ref="Q4354:R4354"/>
    <mergeCell ref="A4355:B4355"/>
    <mergeCell ref="C4355:D4355"/>
    <mergeCell ref="E4355:I4355"/>
    <mergeCell ref="J4355:M4355"/>
    <mergeCell ref="N4355:P4355"/>
    <mergeCell ref="Q4355:R4355"/>
    <mergeCell ref="A4356:B4356"/>
    <mergeCell ref="C4356:D4356"/>
    <mergeCell ref="E4356:I4356"/>
    <mergeCell ref="J4356:M4356"/>
    <mergeCell ref="N4356:P4356"/>
    <mergeCell ref="Q4356:R4356"/>
    <mergeCell ref="A4357:B4357"/>
    <mergeCell ref="C4357:D4357"/>
    <mergeCell ref="E4357:I4357"/>
    <mergeCell ref="J4357:M4357"/>
    <mergeCell ref="N4357:P4357"/>
    <mergeCell ref="Q4357:R4357"/>
    <mergeCell ref="A4358:B4358"/>
    <mergeCell ref="C4358:D4358"/>
    <mergeCell ref="E4358:I4358"/>
    <mergeCell ref="J4358:M4358"/>
    <mergeCell ref="N4358:P4358"/>
    <mergeCell ref="Q4358:R4358"/>
    <mergeCell ref="A4359:B4359"/>
    <mergeCell ref="C4359:D4359"/>
    <mergeCell ref="E4359:I4359"/>
    <mergeCell ref="J4359:M4359"/>
    <mergeCell ref="N4359:P4359"/>
    <mergeCell ref="Q4359:R4359"/>
    <mergeCell ref="A4360:B4360"/>
    <mergeCell ref="C4360:D4360"/>
    <mergeCell ref="E4360:I4360"/>
    <mergeCell ref="J4360:M4360"/>
    <mergeCell ref="N4360:P4360"/>
    <mergeCell ref="Q4360:R4360"/>
    <mergeCell ref="A4361:B4361"/>
    <mergeCell ref="C4361:D4361"/>
    <mergeCell ref="E4361:I4361"/>
    <mergeCell ref="J4361:M4361"/>
    <mergeCell ref="N4361:P4361"/>
    <mergeCell ref="Q4361:R4361"/>
    <mergeCell ref="A4362:B4362"/>
    <mergeCell ref="C4362:D4362"/>
    <mergeCell ref="E4362:I4362"/>
    <mergeCell ref="J4362:M4362"/>
    <mergeCell ref="N4362:P4362"/>
    <mergeCell ref="Q4362:R4362"/>
    <mergeCell ref="A4363:B4363"/>
    <mergeCell ref="C4363:D4363"/>
    <mergeCell ref="E4363:I4363"/>
    <mergeCell ref="J4363:M4363"/>
    <mergeCell ref="N4363:P4363"/>
    <mergeCell ref="Q4363:R4363"/>
    <mergeCell ref="A4364:B4364"/>
    <mergeCell ref="C4364:D4364"/>
    <mergeCell ref="E4364:I4364"/>
    <mergeCell ref="J4364:M4364"/>
    <mergeCell ref="N4364:P4364"/>
    <mergeCell ref="Q4364:R4364"/>
    <mergeCell ref="A4365:B4365"/>
    <mergeCell ref="C4365:D4365"/>
    <mergeCell ref="E4365:I4365"/>
    <mergeCell ref="J4365:M4365"/>
    <mergeCell ref="N4365:P4365"/>
    <mergeCell ref="Q4365:R4365"/>
    <mergeCell ref="A4366:B4366"/>
    <mergeCell ref="C4366:D4366"/>
    <mergeCell ref="E4366:I4366"/>
    <mergeCell ref="J4366:M4366"/>
    <mergeCell ref="N4366:P4366"/>
    <mergeCell ref="Q4366:R4366"/>
    <mergeCell ref="A4367:B4367"/>
    <mergeCell ref="C4367:D4367"/>
    <mergeCell ref="E4367:I4367"/>
    <mergeCell ref="J4367:M4367"/>
    <mergeCell ref="N4367:P4367"/>
    <mergeCell ref="Q4367:R4367"/>
    <mergeCell ref="A4368:B4368"/>
    <mergeCell ref="C4368:D4368"/>
    <mergeCell ref="E4368:I4368"/>
    <mergeCell ref="J4368:M4368"/>
    <mergeCell ref="N4368:P4368"/>
    <mergeCell ref="Q4368:R4368"/>
    <mergeCell ref="A4369:B4369"/>
    <mergeCell ref="C4369:D4369"/>
    <mergeCell ref="E4369:I4369"/>
    <mergeCell ref="J4369:M4369"/>
    <mergeCell ref="N4369:P4369"/>
    <mergeCell ref="Q4369:R4369"/>
    <mergeCell ref="A4370:B4370"/>
    <mergeCell ref="C4370:D4370"/>
    <mergeCell ref="E4370:I4370"/>
    <mergeCell ref="J4370:M4370"/>
    <mergeCell ref="N4370:P4370"/>
    <mergeCell ref="Q4370:R4370"/>
    <mergeCell ref="A4371:B4371"/>
    <mergeCell ref="C4371:D4371"/>
    <mergeCell ref="E4371:I4371"/>
    <mergeCell ref="J4371:M4371"/>
    <mergeCell ref="N4371:P4371"/>
    <mergeCell ref="Q4371:R4371"/>
    <mergeCell ref="A4372:B4372"/>
    <mergeCell ref="C4372:D4372"/>
    <mergeCell ref="E4372:I4372"/>
    <mergeCell ref="J4372:M4372"/>
    <mergeCell ref="N4372:P4372"/>
    <mergeCell ref="Q4372:R4372"/>
    <mergeCell ref="A4373:B4373"/>
    <mergeCell ref="C4373:D4373"/>
    <mergeCell ref="E4373:I4373"/>
    <mergeCell ref="J4373:M4373"/>
    <mergeCell ref="N4373:P4373"/>
    <mergeCell ref="Q4373:R4373"/>
    <mergeCell ref="A4374:B4374"/>
    <mergeCell ref="C4374:D4374"/>
    <mergeCell ref="E4374:I4374"/>
    <mergeCell ref="J4374:M4374"/>
    <mergeCell ref="N4374:P4374"/>
    <mergeCell ref="Q4374:R4374"/>
    <mergeCell ref="A4375:B4375"/>
    <mergeCell ref="C4375:D4375"/>
    <mergeCell ref="E4375:I4375"/>
    <mergeCell ref="J4375:M4375"/>
    <mergeCell ref="N4375:P4375"/>
    <mergeCell ref="Q4375:R4375"/>
    <mergeCell ref="A4376:B4376"/>
    <mergeCell ref="C4376:D4376"/>
    <mergeCell ref="E4376:I4376"/>
    <mergeCell ref="J4376:M4376"/>
    <mergeCell ref="N4376:P4376"/>
    <mergeCell ref="Q4376:R4376"/>
    <mergeCell ref="A4377:B4377"/>
    <mergeCell ref="C4377:D4377"/>
    <mergeCell ref="E4377:I4377"/>
    <mergeCell ref="J4377:M4377"/>
    <mergeCell ref="N4377:P4377"/>
    <mergeCell ref="Q4377:R4377"/>
    <mergeCell ref="A4378:B4378"/>
    <mergeCell ref="C4378:D4378"/>
    <mergeCell ref="E4378:I4378"/>
    <mergeCell ref="J4378:M4378"/>
    <mergeCell ref="N4378:P4378"/>
    <mergeCell ref="Q4378:R4378"/>
    <mergeCell ref="A4379:B4379"/>
    <mergeCell ref="C4379:D4379"/>
    <mergeCell ref="E4379:I4379"/>
    <mergeCell ref="J4379:M4379"/>
    <mergeCell ref="N4379:P4379"/>
    <mergeCell ref="Q4379:R4379"/>
    <mergeCell ref="A4380:B4380"/>
    <mergeCell ref="C4380:D4380"/>
    <mergeCell ref="E4380:I4380"/>
    <mergeCell ref="J4380:M4380"/>
    <mergeCell ref="N4380:P4380"/>
    <mergeCell ref="Q4380:R4380"/>
    <mergeCell ref="A4381:B4381"/>
    <mergeCell ref="C4381:D4381"/>
    <mergeCell ref="E4381:I4381"/>
    <mergeCell ref="J4381:M4381"/>
    <mergeCell ref="N4381:P4381"/>
    <mergeCell ref="Q4381:R4381"/>
    <mergeCell ref="A4382:B4382"/>
    <mergeCell ref="C4382:D4382"/>
    <mergeCell ref="E4382:I4382"/>
    <mergeCell ref="J4382:M4382"/>
    <mergeCell ref="N4382:P4382"/>
    <mergeCell ref="Q4382:R4382"/>
    <mergeCell ref="A4383:B4383"/>
    <mergeCell ref="C4383:D4383"/>
    <mergeCell ref="E4383:I4383"/>
    <mergeCell ref="J4383:M4383"/>
    <mergeCell ref="N4383:P4383"/>
    <mergeCell ref="Q4383:R4383"/>
    <mergeCell ref="A4384:B4384"/>
    <mergeCell ref="C4384:D4384"/>
    <mergeCell ref="E4384:I4384"/>
    <mergeCell ref="J4384:M4384"/>
    <mergeCell ref="N4384:P4384"/>
    <mergeCell ref="Q4384:R4384"/>
    <mergeCell ref="A4385:B4385"/>
    <mergeCell ref="C4385:D4385"/>
    <mergeCell ref="E4385:I4385"/>
    <mergeCell ref="J4385:M4385"/>
    <mergeCell ref="N4385:P4385"/>
    <mergeCell ref="Q4385:R4385"/>
    <mergeCell ref="A4386:B4386"/>
    <mergeCell ref="C4386:D4386"/>
    <mergeCell ref="E4386:I4386"/>
    <mergeCell ref="J4386:M4386"/>
    <mergeCell ref="N4386:P4386"/>
    <mergeCell ref="Q4386:R4386"/>
    <mergeCell ref="A4387:B4387"/>
    <mergeCell ref="C4387:D4387"/>
    <mergeCell ref="E4387:I4387"/>
    <mergeCell ref="J4387:M4387"/>
    <mergeCell ref="N4387:P4387"/>
    <mergeCell ref="Q4387:R4387"/>
    <mergeCell ref="A4388:B4388"/>
    <mergeCell ref="C4388:D4388"/>
    <mergeCell ref="E4388:I4388"/>
    <mergeCell ref="J4388:M4388"/>
    <mergeCell ref="N4388:P4388"/>
    <mergeCell ref="Q4388:R4388"/>
    <mergeCell ref="A4389:B4389"/>
    <mergeCell ref="C4389:D4389"/>
    <mergeCell ref="E4389:I4389"/>
    <mergeCell ref="J4389:M4389"/>
    <mergeCell ref="N4389:P4389"/>
    <mergeCell ref="Q4389:R4389"/>
    <mergeCell ref="A4390:B4390"/>
    <mergeCell ref="C4390:D4390"/>
    <mergeCell ref="E4390:I4390"/>
    <mergeCell ref="J4390:M4390"/>
    <mergeCell ref="N4390:P4390"/>
    <mergeCell ref="Q4390:R4390"/>
    <mergeCell ref="A4391:B4391"/>
    <mergeCell ref="C4391:D4391"/>
    <mergeCell ref="E4391:I4391"/>
    <mergeCell ref="J4391:M4391"/>
    <mergeCell ref="N4391:P4391"/>
    <mergeCell ref="Q4391:R4391"/>
    <mergeCell ref="A4392:B4392"/>
    <mergeCell ref="C4392:D4392"/>
    <mergeCell ref="E4392:I4392"/>
    <mergeCell ref="J4392:M4392"/>
    <mergeCell ref="N4392:P4392"/>
    <mergeCell ref="Q4392:R4392"/>
    <mergeCell ref="A4393:B4393"/>
    <mergeCell ref="C4393:D4393"/>
    <mergeCell ref="E4393:I4393"/>
    <mergeCell ref="J4393:M4393"/>
    <mergeCell ref="N4393:P4393"/>
    <mergeCell ref="Q4393:R4393"/>
    <mergeCell ref="A4394:B4394"/>
    <mergeCell ref="C4394:D4394"/>
    <mergeCell ref="E4394:I4394"/>
    <mergeCell ref="J4394:M4394"/>
    <mergeCell ref="N4394:P4394"/>
    <mergeCell ref="Q4394:R4394"/>
    <mergeCell ref="A4395:B4395"/>
    <mergeCell ref="C4395:D4395"/>
    <mergeCell ref="E4395:I4395"/>
    <mergeCell ref="J4395:M4395"/>
    <mergeCell ref="N4395:P4395"/>
    <mergeCell ref="Q4395:R4395"/>
    <mergeCell ref="A4396:B4396"/>
    <mergeCell ref="C4396:D4396"/>
    <mergeCell ref="E4396:I4396"/>
    <mergeCell ref="J4396:M4396"/>
    <mergeCell ref="N4396:P4396"/>
    <mergeCell ref="Q4396:R4396"/>
    <mergeCell ref="A4397:B4397"/>
    <mergeCell ref="C4397:D4397"/>
    <mergeCell ref="E4397:I4397"/>
    <mergeCell ref="J4397:M4397"/>
    <mergeCell ref="N4397:P4397"/>
    <mergeCell ref="Q4397:R4397"/>
    <mergeCell ref="A4398:B4398"/>
    <mergeCell ref="C4398:D4398"/>
    <mergeCell ref="E4398:I4398"/>
    <mergeCell ref="J4398:M4398"/>
    <mergeCell ref="N4398:P4398"/>
    <mergeCell ref="Q4398:R4398"/>
    <mergeCell ref="A4399:B4399"/>
    <mergeCell ref="C4399:D4399"/>
    <mergeCell ref="E4399:I4399"/>
    <mergeCell ref="J4399:M4399"/>
    <mergeCell ref="N4399:P4399"/>
    <mergeCell ref="Q4399:R4399"/>
    <mergeCell ref="A4400:B4400"/>
    <mergeCell ref="C4400:D4400"/>
    <mergeCell ref="E4400:I4400"/>
    <mergeCell ref="J4400:M4400"/>
    <mergeCell ref="N4400:P4400"/>
    <mergeCell ref="Q4400:R4400"/>
    <mergeCell ref="A4401:B4401"/>
    <mergeCell ref="C4401:D4401"/>
    <mergeCell ref="E4401:I4401"/>
    <mergeCell ref="J4401:M4401"/>
    <mergeCell ref="N4401:P4401"/>
    <mergeCell ref="Q4401:R4401"/>
    <mergeCell ref="A4402:B4402"/>
    <mergeCell ref="C4402:D4402"/>
    <mergeCell ref="E4402:I4402"/>
    <mergeCell ref="J4402:M4402"/>
    <mergeCell ref="N4402:P4402"/>
    <mergeCell ref="Q4402:R4402"/>
    <mergeCell ref="A4403:B4403"/>
    <mergeCell ref="C4403:D4403"/>
    <mergeCell ref="E4403:I4403"/>
    <mergeCell ref="J4403:M4403"/>
    <mergeCell ref="N4403:P4403"/>
    <mergeCell ref="Q4403:R4403"/>
    <mergeCell ref="A4404:B4404"/>
    <mergeCell ref="C4404:D4404"/>
    <mergeCell ref="E4404:I4404"/>
    <mergeCell ref="J4404:M4404"/>
    <mergeCell ref="N4404:P4404"/>
    <mergeCell ref="Q4404:R4404"/>
    <mergeCell ref="A4405:B4405"/>
    <mergeCell ref="C4405:D4405"/>
    <mergeCell ref="E4405:I4405"/>
    <mergeCell ref="J4405:M4405"/>
    <mergeCell ref="N4405:P4405"/>
    <mergeCell ref="Q4405:R4405"/>
    <mergeCell ref="A4406:B4406"/>
    <mergeCell ref="C4406:D4406"/>
    <mergeCell ref="E4406:I4406"/>
    <mergeCell ref="J4406:M4406"/>
    <mergeCell ref="N4406:P4406"/>
    <mergeCell ref="Q4406:R4406"/>
    <mergeCell ref="A4407:B4407"/>
    <mergeCell ref="C4407:D4407"/>
    <mergeCell ref="E4407:I4407"/>
    <mergeCell ref="J4407:M4407"/>
    <mergeCell ref="N4407:P4407"/>
    <mergeCell ref="Q4407:R4407"/>
    <mergeCell ref="A4408:B4408"/>
    <mergeCell ref="C4408:D4408"/>
    <mergeCell ref="E4408:I4408"/>
    <mergeCell ref="J4408:M4408"/>
    <mergeCell ref="N4408:P4408"/>
    <mergeCell ref="Q4408:R4408"/>
    <mergeCell ref="A4409:B4409"/>
    <mergeCell ref="C4409:D4409"/>
    <mergeCell ref="E4409:I4409"/>
    <mergeCell ref="J4409:M4409"/>
    <mergeCell ref="N4409:P4409"/>
    <mergeCell ref="Q4409:R4409"/>
    <mergeCell ref="A4410:B4410"/>
    <mergeCell ref="C4410:D4410"/>
    <mergeCell ref="E4410:I4410"/>
    <mergeCell ref="J4410:M4410"/>
    <mergeCell ref="N4410:P4410"/>
    <mergeCell ref="Q4410:R4410"/>
    <mergeCell ref="A4411:B4411"/>
    <mergeCell ref="C4411:D4411"/>
    <mergeCell ref="E4411:I4411"/>
    <mergeCell ref="J4411:M4411"/>
    <mergeCell ref="N4411:P4411"/>
    <mergeCell ref="Q4411:R4411"/>
    <mergeCell ref="A4412:B4412"/>
    <mergeCell ref="C4412:D4412"/>
    <mergeCell ref="E4412:I4412"/>
    <mergeCell ref="J4412:M4412"/>
    <mergeCell ref="N4412:P4412"/>
    <mergeCell ref="Q4412:R4412"/>
    <mergeCell ref="A4413:B4413"/>
    <mergeCell ref="C4413:D4413"/>
    <mergeCell ref="E4413:I4413"/>
    <mergeCell ref="J4413:M4413"/>
    <mergeCell ref="N4413:P4413"/>
    <mergeCell ref="Q4413:R4413"/>
    <mergeCell ref="A4414:B4414"/>
    <mergeCell ref="C4414:D4414"/>
    <mergeCell ref="E4414:I4414"/>
    <mergeCell ref="J4414:M4414"/>
    <mergeCell ref="N4414:P4414"/>
    <mergeCell ref="Q4414:R4414"/>
    <mergeCell ref="A4415:B4415"/>
    <mergeCell ref="C4415:D4415"/>
    <mergeCell ref="E4415:I4415"/>
    <mergeCell ref="J4415:M4415"/>
    <mergeCell ref="N4415:P4415"/>
    <mergeCell ref="Q4415:R4415"/>
    <mergeCell ref="A4416:B4416"/>
    <mergeCell ref="C4416:D4416"/>
    <mergeCell ref="E4416:I4416"/>
    <mergeCell ref="J4416:M4416"/>
    <mergeCell ref="N4416:P4416"/>
    <mergeCell ref="Q4416:R4416"/>
    <mergeCell ref="A4417:B4417"/>
    <mergeCell ref="C4417:D4417"/>
    <mergeCell ref="E4417:I4417"/>
    <mergeCell ref="J4417:M4417"/>
    <mergeCell ref="N4417:P4417"/>
    <mergeCell ref="Q4417:R4417"/>
    <mergeCell ref="A4418:B4418"/>
    <mergeCell ref="C4418:D4418"/>
    <mergeCell ref="E4418:I4418"/>
    <mergeCell ref="J4418:M4418"/>
    <mergeCell ref="N4418:P4418"/>
    <mergeCell ref="Q4418:R4418"/>
    <mergeCell ref="A4419:B4419"/>
    <mergeCell ref="C4419:D4419"/>
    <mergeCell ref="E4419:I4419"/>
    <mergeCell ref="J4419:M4419"/>
    <mergeCell ref="N4419:P4419"/>
    <mergeCell ref="Q4419:R4419"/>
    <mergeCell ref="A4420:B4420"/>
    <mergeCell ref="C4420:D4420"/>
    <mergeCell ref="E4420:I4420"/>
    <mergeCell ref="J4420:M4420"/>
    <mergeCell ref="N4420:P4420"/>
    <mergeCell ref="Q4420:R4420"/>
    <mergeCell ref="A4421:B4421"/>
    <mergeCell ref="C4421:D4421"/>
    <mergeCell ref="E4421:I4421"/>
    <mergeCell ref="J4421:M4421"/>
    <mergeCell ref="N4421:P4421"/>
    <mergeCell ref="Q4421:R4421"/>
    <mergeCell ref="A4422:B4422"/>
    <mergeCell ref="C4422:D4422"/>
    <mergeCell ref="E4422:I4422"/>
    <mergeCell ref="J4422:M4422"/>
    <mergeCell ref="N4422:P4422"/>
    <mergeCell ref="Q4422:R4422"/>
    <mergeCell ref="A4423:B4423"/>
    <mergeCell ref="C4423:D4423"/>
    <mergeCell ref="E4423:I4423"/>
    <mergeCell ref="J4423:M4423"/>
    <mergeCell ref="N4423:P4423"/>
    <mergeCell ref="Q4423:R4423"/>
    <mergeCell ref="A4424:B4424"/>
    <mergeCell ref="C4424:D4424"/>
    <mergeCell ref="E4424:I4424"/>
    <mergeCell ref="J4424:M4424"/>
    <mergeCell ref="N4424:P4424"/>
    <mergeCell ref="Q4424:R4424"/>
    <mergeCell ref="A4425:B4425"/>
    <mergeCell ref="C4425:D4425"/>
    <mergeCell ref="E4425:I4425"/>
    <mergeCell ref="J4425:M4425"/>
    <mergeCell ref="N4425:P4425"/>
    <mergeCell ref="Q4425:R4425"/>
    <mergeCell ref="A4426:B4426"/>
    <mergeCell ref="C4426:D4426"/>
    <mergeCell ref="E4426:I4426"/>
    <mergeCell ref="J4426:M4426"/>
    <mergeCell ref="N4426:P4426"/>
    <mergeCell ref="Q4426:R4426"/>
    <mergeCell ref="A4427:B4427"/>
    <mergeCell ref="C4427:D4427"/>
    <mergeCell ref="E4427:I4427"/>
    <mergeCell ref="J4427:M4427"/>
    <mergeCell ref="N4427:P4427"/>
    <mergeCell ref="Q4427:R4427"/>
    <mergeCell ref="A4428:B4428"/>
    <mergeCell ref="C4428:D4428"/>
    <mergeCell ref="E4428:I4428"/>
    <mergeCell ref="J4428:M4428"/>
    <mergeCell ref="N4428:P4428"/>
    <mergeCell ref="Q4428:R4428"/>
    <mergeCell ref="A4429:B4429"/>
    <mergeCell ref="C4429:D4429"/>
    <mergeCell ref="E4429:I4429"/>
    <mergeCell ref="J4429:M4429"/>
    <mergeCell ref="N4429:P4429"/>
    <mergeCell ref="Q4429:R4429"/>
    <mergeCell ref="A4430:B4430"/>
    <mergeCell ref="C4430:D4430"/>
    <mergeCell ref="E4430:I4430"/>
    <mergeCell ref="J4430:M4430"/>
    <mergeCell ref="N4430:P4430"/>
    <mergeCell ref="Q4430:R4430"/>
    <mergeCell ref="A4431:B4431"/>
    <mergeCell ref="C4431:D4431"/>
    <mergeCell ref="E4431:I4431"/>
    <mergeCell ref="J4431:M4431"/>
    <mergeCell ref="N4431:P4431"/>
    <mergeCell ref="Q4431:R4431"/>
    <mergeCell ref="A4432:B4432"/>
    <mergeCell ref="C4432:D4432"/>
    <mergeCell ref="E4432:I4432"/>
    <mergeCell ref="J4432:M4432"/>
    <mergeCell ref="N4432:P4432"/>
    <mergeCell ref="Q4432:R4432"/>
    <mergeCell ref="A4433:B4433"/>
    <mergeCell ref="C4433:D4433"/>
    <mergeCell ref="E4433:I4433"/>
    <mergeCell ref="J4433:M4433"/>
    <mergeCell ref="N4433:P4433"/>
    <mergeCell ref="Q4433:R4433"/>
    <mergeCell ref="A4434:B4434"/>
    <mergeCell ref="C4434:D4434"/>
    <mergeCell ref="E4434:I4434"/>
    <mergeCell ref="J4434:M4434"/>
    <mergeCell ref="N4434:P4434"/>
    <mergeCell ref="Q4434:R4434"/>
    <mergeCell ref="A4435:B4435"/>
    <mergeCell ref="C4435:D4435"/>
    <mergeCell ref="E4435:I4435"/>
    <mergeCell ref="J4435:M4435"/>
    <mergeCell ref="N4435:P4435"/>
    <mergeCell ref="Q4435:R4435"/>
    <mergeCell ref="A4436:B4436"/>
    <mergeCell ref="C4436:D4436"/>
    <mergeCell ref="E4436:I4436"/>
    <mergeCell ref="J4436:M4436"/>
    <mergeCell ref="N4436:P4436"/>
    <mergeCell ref="Q4436:R4436"/>
    <mergeCell ref="A4437:B4437"/>
    <mergeCell ref="C4437:D4437"/>
    <mergeCell ref="E4437:I4437"/>
    <mergeCell ref="J4437:M4437"/>
    <mergeCell ref="N4437:P4437"/>
    <mergeCell ref="Q4437:R4437"/>
    <mergeCell ref="A4438:B4438"/>
    <mergeCell ref="C4438:D4438"/>
    <mergeCell ref="E4438:I4438"/>
    <mergeCell ref="J4438:M4438"/>
    <mergeCell ref="N4438:P4438"/>
    <mergeCell ref="Q4438:R4438"/>
    <mergeCell ref="A4439:B4439"/>
    <mergeCell ref="C4439:D4439"/>
    <mergeCell ref="E4439:I4439"/>
    <mergeCell ref="J4439:M4439"/>
    <mergeCell ref="N4439:P4439"/>
    <mergeCell ref="Q4439:R4439"/>
    <mergeCell ref="A4440:B4440"/>
    <mergeCell ref="C4440:D4440"/>
    <mergeCell ref="E4440:I4440"/>
    <mergeCell ref="J4440:M4440"/>
    <mergeCell ref="N4440:P4440"/>
    <mergeCell ref="Q4440:R4440"/>
    <mergeCell ref="A4441:B4441"/>
    <mergeCell ref="C4441:D4441"/>
    <mergeCell ref="E4441:I4441"/>
    <mergeCell ref="J4441:M4441"/>
    <mergeCell ref="N4441:P4441"/>
    <mergeCell ref="Q4441:R4441"/>
    <mergeCell ref="A4442:B4442"/>
    <mergeCell ref="C4442:D4442"/>
    <mergeCell ref="E4442:I4442"/>
    <mergeCell ref="J4442:M4442"/>
    <mergeCell ref="N4442:P4442"/>
    <mergeCell ref="Q4442:R4442"/>
    <mergeCell ref="A4443:B4443"/>
    <mergeCell ref="C4443:D4443"/>
    <mergeCell ref="E4443:I4443"/>
    <mergeCell ref="J4443:M4443"/>
    <mergeCell ref="N4443:P4443"/>
    <mergeCell ref="Q4443:R4443"/>
    <mergeCell ref="A4444:B4444"/>
    <mergeCell ref="C4444:D4444"/>
    <mergeCell ref="E4444:I4444"/>
    <mergeCell ref="J4444:M4444"/>
    <mergeCell ref="N4444:P4444"/>
    <mergeCell ref="Q4444:R4444"/>
    <mergeCell ref="A4445:B4445"/>
    <mergeCell ref="C4445:D4445"/>
    <mergeCell ref="E4445:I4445"/>
    <mergeCell ref="J4445:M4445"/>
    <mergeCell ref="N4445:P4445"/>
    <mergeCell ref="Q4445:R4445"/>
    <mergeCell ref="A4446:B4446"/>
    <mergeCell ref="C4446:D4446"/>
    <mergeCell ref="E4446:I4446"/>
    <mergeCell ref="J4446:M4446"/>
    <mergeCell ref="N4446:P4446"/>
    <mergeCell ref="Q4446:R4446"/>
    <mergeCell ref="A4447:B4447"/>
    <mergeCell ref="C4447:D4447"/>
    <mergeCell ref="E4447:I4447"/>
    <mergeCell ref="J4447:M4447"/>
    <mergeCell ref="N4447:P4447"/>
    <mergeCell ref="Q4447:R4447"/>
    <mergeCell ref="A4448:B4448"/>
    <mergeCell ref="C4448:D4448"/>
    <mergeCell ref="E4448:I4448"/>
    <mergeCell ref="J4448:M4448"/>
    <mergeCell ref="N4448:P4448"/>
    <mergeCell ref="Q4448:R4448"/>
    <mergeCell ref="A4449:B4449"/>
    <mergeCell ref="C4449:D4449"/>
    <mergeCell ref="E4449:I4449"/>
    <mergeCell ref="J4449:M4449"/>
    <mergeCell ref="N4449:P4449"/>
    <mergeCell ref="Q4449:R4449"/>
    <mergeCell ref="A4450:B4450"/>
    <mergeCell ref="C4450:D4450"/>
    <mergeCell ref="E4450:I4450"/>
    <mergeCell ref="J4450:M4450"/>
    <mergeCell ref="N4450:P4450"/>
    <mergeCell ref="Q4450:R4450"/>
    <mergeCell ref="A4451:B4451"/>
    <mergeCell ref="C4451:D4451"/>
    <mergeCell ref="E4451:I4451"/>
    <mergeCell ref="J4451:M4451"/>
    <mergeCell ref="N4451:P4451"/>
    <mergeCell ref="Q4451:R4451"/>
    <mergeCell ref="A4452:B4452"/>
    <mergeCell ref="C4452:D4452"/>
    <mergeCell ref="E4452:I4452"/>
    <mergeCell ref="J4452:M4452"/>
    <mergeCell ref="N4452:P4452"/>
    <mergeCell ref="Q4452:R4452"/>
    <mergeCell ref="A4453:B4453"/>
    <mergeCell ref="C4453:D4453"/>
    <mergeCell ref="E4453:I4453"/>
    <mergeCell ref="J4453:M4453"/>
    <mergeCell ref="N4453:P4453"/>
    <mergeCell ref="Q4453:R4453"/>
    <mergeCell ref="A4454:B4454"/>
    <mergeCell ref="C4454:D4454"/>
    <mergeCell ref="E4454:I4454"/>
    <mergeCell ref="J4454:M4454"/>
    <mergeCell ref="N4454:P4454"/>
    <mergeCell ref="Q4454:R4454"/>
    <mergeCell ref="A4455:B4455"/>
    <mergeCell ref="C4455:D4455"/>
    <mergeCell ref="E4455:I4455"/>
    <mergeCell ref="J4455:M4455"/>
    <mergeCell ref="N4455:P4455"/>
    <mergeCell ref="Q4455:R4455"/>
    <mergeCell ref="A4456:B4456"/>
    <mergeCell ref="C4456:D4456"/>
    <mergeCell ref="E4456:I4456"/>
    <mergeCell ref="J4456:M4456"/>
    <mergeCell ref="N4456:P4456"/>
    <mergeCell ref="Q4456:R4456"/>
    <mergeCell ref="A4457:B4457"/>
    <mergeCell ref="C4457:D4457"/>
    <mergeCell ref="E4457:I4457"/>
    <mergeCell ref="J4457:M4457"/>
    <mergeCell ref="N4457:P4457"/>
    <mergeCell ref="Q4457:R4457"/>
    <mergeCell ref="A4458:B4458"/>
    <mergeCell ref="C4458:D4458"/>
    <mergeCell ref="E4458:I4458"/>
    <mergeCell ref="J4458:M4458"/>
    <mergeCell ref="N4458:P4458"/>
    <mergeCell ref="Q4458:R4458"/>
    <mergeCell ref="A4459:B4459"/>
    <mergeCell ref="C4459:D4459"/>
    <mergeCell ref="E4459:I4459"/>
    <mergeCell ref="J4459:M4459"/>
    <mergeCell ref="N4459:P4459"/>
    <mergeCell ref="Q4459:R4459"/>
    <mergeCell ref="A4460:B4460"/>
    <mergeCell ref="C4460:D4460"/>
    <mergeCell ref="E4460:I4460"/>
    <mergeCell ref="J4460:M4460"/>
    <mergeCell ref="N4460:P4460"/>
    <mergeCell ref="Q4460:R4460"/>
    <mergeCell ref="A4461:B4461"/>
    <mergeCell ref="C4461:D4461"/>
    <mergeCell ref="E4461:I4461"/>
    <mergeCell ref="J4461:M4461"/>
    <mergeCell ref="N4461:P4461"/>
    <mergeCell ref="Q4461:R4461"/>
    <mergeCell ref="A4462:B4462"/>
    <mergeCell ref="C4462:D4462"/>
    <mergeCell ref="E4462:I4462"/>
    <mergeCell ref="J4462:M4462"/>
    <mergeCell ref="N4462:P4462"/>
    <mergeCell ref="Q4462:R4462"/>
    <mergeCell ref="A4463:B4463"/>
    <mergeCell ref="C4463:D4463"/>
    <mergeCell ref="E4463:I4463"/>
    <mergeCell ref="J4463:M4463"/>
    <mergeCell ref="N4463:P4463"/>
    <mergeCell ref="Q4463:R4463"/>
    <mergeCell ref="A4464:B4464"/>
    <mergeCell ref="C4464:D4464"/>
    <mergeCell ref="E4464:I4464"/>
    <mergeCell ref="J4464:M4464"/>
    <mergeCell ref="N4464:P4464"/>
    <mergeCell ref="Q4464:R4464"/>
    <mergeCell ref="A4465:B4465"/>
    <mergeCell ref="C4465:D4465"/>
    <mergeCell ref="E4465:I4465"/>
    <mergeCell ref="J4465:M4465"/>
    <mergeCell ref="N4465:P4465"/>
    <mergeCell ref="Q4465:R4465"/>
    <mergeCell ref="A4466:B4466"/>
    <mergeCell ref="C4466:D4466"/>
    <mergeCell ref="E4466:I4466"/>
    <mergeCell ref="J4466:M4466"/>
    <mergeCell ref="N4466:P4466"/>
    <mergeCell ref="Q4466:R4466"/>
    <mergeCell ref="A4467:B4467"/>
    <mergeCell ref="C4467:D4467"/>
    <mergeCell ref="E4467:I4467"/>
    <mergeCell ref="J4467:M4467"/>
    <mergeCell ref="N4467:P4467"/>
    <mergeCell ref="Q4467:R4467"/>
    <mergeCell ref="A4468:B4468"/>
    <mergeCell ref="C4468:D4468"/>
    <mergeCell ref="E4468:I4468"/>
    <mergeCell ref="J4468:M4468"/>
    <mergeCell ref="N4468:P4468"/>
    <mergeCell ref="Q4468:R4468"/>
    <mergeCell ref="A4469:B4469"/>
    <mergeCell ref="C4469:D4469"/>
    <mergeCell ref="E4469:I4469"/>
    <mergeCell ref="J4469:M4469"/>
    <mergeCell ref="N4469:P4469"/>
    <mergeCell ref="Q4469:R4469"/>
    <mergeCell ref="A4470:B4470"/>
    <mergeCell ref="C4470:D4470"/>
    <mergeCell ref="E4470:I4470"/>
    <mergeCell ref="J4470:M4470"/>
    <mergeCell ref="N4470:P4470"/>
    <mergeCell ref="Q4470:R4470"/>
    <mergeCell ref="A4471:B4471"/>
    <mergeCell ref="C4471:D4471"/>
    <mergeCell ref="E4471:I4471"/>
    <mergeCell ref="J4471:M4471"/>
    <mergeCell ref="N4471:P4471"/>
    <mergeCell ref="Q4471:R4471"/>
    <mergeCell ref="A4472:B4472"/>
    <mergeCell ref="C4472:D4472"/>
    <mergeCell ref="E4472:I4472"/>
    <mergeCell ref="J4472:M4472"/>
    <mergeCell ref="N4472:P4472"/>
    <mergeCell ref="Q4472:R4472"/>
    <mergeCell ref="A4473:B4473"/>
    <mergeCell ref="C4473:D4473"/>
    <mergeCell ref="E4473:I4473"/>
    <mergeCell ref="J4473:M4473"/>
    <mergeCell ref="N4473:P4473"/>
    <mergeCell ref="Q4473:R4473"/>
    <mergeCell ref="A4474:B4474"/>
    <mergeCell ref="C4474:D4474"/>
    <mergeCell ref="E4474:I4474"/>
    <mergeCell ref="J4474:M4474"/>
    <mergeCell ref="N4474:P4474"/>
    <mergeCell ref="Q4474:R4474"/>
    <mergeCell ref="A4475:B4475"/>
    <mergeCell ref="C4475:D4475"/>
    <mergeCell ref="E4475:I4475"/>
    <mergeCell ref="J4475:M4475"/>
    <mergeCell ref="N4475:P4475"/>
    <mergeCell ref="Q4475:R4475"/>
    <mergeCell ref="A4476:B4476"/>
    <mergeCell ref="C4476:D4476"/>
    <mergeCell ref="E4476:I4476"/>
    <mergeCell ref="J4476:M4476"/>
    <mergeCell ref="N4476:P4476"/>
    <mergeCell ref="Q4476:R4476"/>
    <mergeCell ref="A4477:B4477"/>
    <mergeCell ref="C4477:D4477"/>
    <mergeCell ref="E4477:I4477"/>
    <mergeCell ref="J4477:M4477"/>
    <mergeCell ref="N4477:P4477"/>
    <mergeCell ref="Q4477:R4477"/>
    <mergeCell ref="A4478:B4478"/>
    <mergeCell ref="C4478:D4478"/>
    <mergeCell ref="E4478:I4478"/>
    <mergeCell ref="J4478:M4478"/>
    <mergeCell ref="N4478:P4478"/>
    <mergeCell ref="Q4478:R4478"/>
    <mergeCell ref="A4479:B4479"/>
    <mergeCell ref="C4479:D4479"/>
    <mergeCell ref="E4479:I4479"/>
    <mergeCell ref="J4479:M4479"/>
    <mergeCell ref="N4479:P4479"/>
    <mergeCell ref="Q4479:R4479"/>
    <mergeCell ref="A4480:B4480"/>
    <mergeCell ref="C4480:D4480"/>
    <mergeCell ref="E4480:I4480"/>
    <mergeCell ref="J4480:M4480"/>
    <mergeCell ref="N4480:P4480"/>
    <mergeCell ref="Q4480:R4480"/>
    <mergeCell ref="A4481:B4481"/>
    <mergeCell ref="C4481:D4481"/>
    <mergeCell ref="E4481:I4481"/>
    <mergeCell ref="J4481:M4481"/>
    <mergeCell ref="N4481:P4481"/>
    <mergeCell ref="Q4481:R4481"/>
    <mergeCell ref="A4482:B4482"/>
    <mergeCell ref="C4482:D4482"/>
    <mergeCell ref="E4482:I4482"/>
    <mergeCell ref="J4482:M4482"/>
    <mergeCell ref="N4482:P4482"/>
    <mergeCell ref="Q4482:R4482"/>
    <mergeCell ref="A4483:B4483"/>
    <mergeCell ref="C4483:D4483"/>
    <mergeCell ref="E4483:I4483"/>
    <mergeCell ref="J4483:M4483"/>
    <mergeCell ref="N4483:P4483"/>
    <mergeCell ref="Q4483:R4483"/>
    <mergeCell ref="A4484:B4484"/>
    <mergeCell ref="C4484:D4484"/>
    <mergeCell ref="E4484:I4484"/>
    <mergeCell ref="J4484:M4484"/>
    <mergeCell ref="N4484:P4484"/>
    <mergeCell ref="Q4484:R4484"/>
    <mergeCell ref="A4485:B4485"/>
    <mergeCell ref="C4485:D4485"/>
    <mergeCell ref="E4485:I4485"/>
    <mergeCell ref="J4485:M4485"/>
    <mergeCell ref="N4485:P4485"/>
    <mergeCell ref="Q4485:R4485"/>
    <mergeCell ref="A4486:B4486"/>
    <mergeCell ref="C4486:D4486"/>
    <mergeCell ref="E4486:I4486"/>
    <mergeCell ref="J4486:M4486"/>
    <mergeCell ref="N4486:P4486"/>
    <mergeCell ref="Q4486:R4486"/>
    <mergeCell ref="A4487:B4487"/>
    <mergeCell ref="C4487:D4487"/>
    <mergeCell ref="E4487:I4487"/>
    <mergeCell ref="J4487:M4487"/>
    <mergeCell ref="N4487:P4487"/>
    <mergeCell ref="Q4487:R4487"/>
    <mergeCell ref="A4488:B4488"/>
    <mergeCell ref="C4488:D4488"/>
    <mergeCell ref="E4488:I4488"/>
    <mergeCell ref="J4488:M4488"/>
    <mergeCell ref="N4488:P4488"/>
    <mergeCell ref="Q4488:R4488"/>
    <mergeCell ref="A4489:B4489"/>
    <mergeCell ref="C4489:D4489"/>
    <mergeCell ref="E4489:I4489"/>
    <mergeCell ref="J4489:M4489"/>
    <mergeCell ref="N4489:P4489"/>
    <mergeCell ref="Q4489:R4489"/>
    <mergeCell ref="A4490:B4490"/>
    <mergeCell ref="C4490:D4490"/>
    <mergeCell ref="E4490:I4490"/>
    <mergeCell ref="J4490:M4490"/>
    <mergeCell ref="N4490:P4490"/>
    <mergeCell ref="Q4490:R4490"/>
    <mergeCell ref="A4491:B4491"/>
    <mergeCell ref="C4491:D4491"/>
    <mergeCell ref="E4491:I4491"/>
    <mergeCell ref="J4491:M4491"/>
    <mergeCell ref="N4491:P4491"/>
    <mergeCell ref="Q4491:R4491"/>
    <mergeCell ref="A4492:B4492"/>
    <mergeCell ref="C4492:D4492"/>
    <mergeCell ref="E4492:I4492"/>
    <mergeCell ref="J4492:M4492"/>
    <mergeCell ref="N4492:P4492"/>
    <mergeCell ref="Q4492:R4492"/>
    <mergeCell ref="A4493:B4493"/>
    <mergeCell ref="C4493:D4493"/>
    <mergeCell ref="E4493:I4493"/>
    <mergeCell ref="J4493:M4493"/>
    <mergeCell ref="N4493:P4493"/>
    <mergeCell ref="Q4493:R4493"/>
    <mergeCell ref="A4494:B4494"/>
    <mergeCell ref="C4494:D4494"/>
    <mergeCell ref="E4494:I4494"/>
    <mergeCell ref="J4494:M4494"/>
    <mergeCell ref="N4494:P4494"/>
    <mergeCell ref="Q4494:R4494"/>
    <mergeCell ref="A4495:B4495"/>
    <mergeCell ref="C4495:D4495"/>
    <mergeCell ref="E4495:I4495"/>
    <mergeCell ref="J4495:M4495"/>
    <mergeCell ref="N4495:P4495"/>
    <mergeCell ref="Q4495:R4495"/>
    <mergeCell ref="A4496:B4496"/>
    <mergeCell ref="C4496:D4496"/>
    <mergeCell ref="E4496:I4496"/>
    <mergeCell ref="J4496:M4496"/>
    <mergeCell ref="N4496:P4496"/>
    <mergeCell ref="Q4496:R4496"/>
    <mergeCell ref="A4497:B4497"/>
    <mergeCell ref="C4497:D4497"/>
    <mergeCell ref="E4497:I4497"/>
    <mergeCell ref="J4497:M4497"/>
    <mergeCell ref="N4497:P4497"/>
    <mergeCell ref="Q4497:R4497"/>
    <mergeCell ref="A4498:B4498"/>
    <mergeCell ref="C4498:D4498"/>
    <mergeCell ref="E4498:I4498"/>
    <mergeCell ref="J4498:M4498"/>
    <mergeCell ref="N4498:P4498"/>
    <mergeCell ref="Q4498:R4498"/>
    <mergeCell ref="A4499:B4499"/>
    <mergeCell ref="C4499:D4499"/>
    <mergeCell ref="E4499:I4499"/>
    <mergeCell ref="J4499:M4499"/>
    <mergeCell ref="N4499:P4499"/>
    <mergeCell ref="Q4499:R4499"/>
    <mergeCell ref="A4500:B4500"/>
    <mergeCell ref="C4500:D4500"/>
    <mergeCell ref="E4500:I4500"/>
    <mergeCell ref="J4500:M4500"/>
    <mergeCell ref="N4500:P4500"/>
    <mergeCell ref="Q4500:R4500"/>
    <mergeCell ref="A4501:B4501"/>
    <mergeCell ref="C4501:D4501"/>
    <mergeCell ref="E4501:I4501"/>
    <mergeCell ref="J4501:M4501"/>
    <mergeCell ref="N4501:P4501"/>
    <mergeCell ref="Q4501:R4501"/>
    <mergeCell ref="A4502:B4502"/>
    <mergeCell ref="C4502:D4502"/>
    <mergeCell ref="E4502:I4502"/>
    <mergeCell ref="J4502:M4502"/>
    <mergeCell ref="N4502:P4502"/>
    <mergeCell ref="Q4502:R4502"/>
    <mergeCell ref="A4503:B4503"/>
    <mergeCell ref="C4503:D4503"/>
    <mergeCell ref="E4503:I4503"/>
    <mergeCell ref="J4503:M4503"/>
    <mergeCell ref="N4503:P4503"/>
    <mergeCell ref="Q4503:R4503"/>
    <mergeCell ref="A4504:B4504"/>
    <mergeCell ref="C4504:D4504"/>
    <mergeCell ref="E4504:I4504"/>
    <mergeCell ref="J4504:M4504"/>
    <mergeCell ref="N4504:P4504"/>
    <mergeCell ref="Q4504:R4504"/>
    <mergeCell ref="A4505:B4505"/>
    <mergeCell ref="C4505:D4505"/>
    <mergeCell ref="E4505:I4505"/>
    <mergeCell ref="J4505:M4505"/>
    <mergeCell ref="N4505:P4505"/>
    <mergeCell ref="Q4505:R4505"/>
    <mergeCell ref="A4506:B4506"/>
    <mergeCell ref="C4506:D4506"/>
    <mergeCell ref="E4506:I4506"/>
    <mergeCell ref="J4506:M4506"/>
    <mergeCell ref="N4506:P4506"/>
    <mergeCell ref="Q4506:R4506"/>
    <mergeCell ref="A4507:B4507"/>
    <mergeCell ref="C4507:D4507"/>
    <mergeCell ref="E4507:I4507"/>
    <mergeCell ref="J4507:M4507"/>
    <mergeCell ref="N4507:P4507"/>
    <mergeCell ref="Q4507:R4507"/>
    <mergeCell ref="A4508:B4508"/>
    <mergeCell ref="C4508:D4508"/>
    <mergeCell ref="E4508:I4508"/>
    <mergeCell ref="J4508:M4508"/>
    <mergeCell ref="N4508:P4508"/>
    <mergeCell ref="Q4508:R4508"/>
    <mergeCell ref="A4509:B4509"/>
    <mergeCell ref="C4509:D4509"/>
    <mergeCell ref="E4509:I4509"/>
    <mergeCell ref="J4509:M4509"/>
    <mergeCell ref="N4509:P4509"/>
    <mergeCell ref="Q4509:R4509"/>
    <mergeCell ref="A4510:B4510"/>
    <mergeCell ref="C4510:D4510"/>
    <mergeCell ref="E4510:I4510"/>
    <mergeCell ref="J4510:M4510"/>
    <mergeCell ref="N4510:P4510"/>
    <mergeCell ref="Q4510:R4510"/>
    <mergeCell ref="A4511:B4511"/>
    <mergeCell ref="C4511:D4511"/>
    <mergeCell ref="E4511:I4511"/>
    <mergeCell ref="J4511:M4511"/>
    <mergeCell ref="N4511:P4511"/>
    <mergeCell ref="Q4511:R4511"/>
    <mergeCell ref="A4512:B4512"/>
    <mergeCell ref="C4512:D4512"/>
    <mergeCell ref="E4512:I4512"/>
    <mergeCell ref="J4512:M4512"/>
    <mergeCell ref="N4512:P4512"/>
    <mergeCell ref="Q4512:R4512"/>
    <mergeCell ref="A4513:B4513"/>
    <mergeCell ref="C4513:D4513"/>
    <mergeCell ref="E4513:I4513"/>
    <mergeCell ref="J4513:M4513"/>
    <mergeCell ref="N4513:P4513"/>
    <mergeCell ref="Q4513:R4513"/>
    <mergeCell ref="A4514:B4514"/>
    <mergeCell ref="C4514:D4514"/>
    <mergeCell ref="E4514:I4514"/>
    <mergeCell ref="J4514:M4514"/>
    <mergeCell ref="N4514:P4514"/>
    <mergeCell ref="Q4514:R4514"/>
    <mergeCell ref="A4515:B4515"/>
    <mergeCell ref="C4515:D4515"/>
    <mergeCell ref="E4515:I4515"/>
    <mergeCell ref="J4515:M4515"/>
    <mergeCell ref="N4515:P4515"/>
    <mergeCell ref="Q4515:R4515"/>
    <mergeCell ref="A4516:B4516"/>
    <mergeCell ref="C4516:D4516"/>
    <mergeCell ref="E4516:I4516"/>
    <mergeCell ref="J4516:M4516"/>
    <mergeCell ref="N4516:P4516"/>
    <mergeCell ref="Q4516:R4516"/>
    <mergeCell ref="A4517:B4517"/>
    <mergeCell ref="C4517:D4517"/>
    <mergeCell ref="E4517:I4517"/>
    <mergeCell ref="J4517:M4517"/>
    <mergeCell ref="N4517:P4517"/>
    <mergeCell ref="Q4517:R4517"/>
    <mergeCell ref="A4518:B4518"/>
    <mergeCell ref="C4518:D4518"/>
    <mergeCell ref="E4518:I4518"/>
    <mergeCell ref="J4518:M4518"/>
    <mergeCell ref="N4518:P4518"/>
    <mergeCell ref="Q4518:R4518"/>
    <mergeCell ref="A4519:B4519"/>
    <mergeCell ref="C4519:D4519"/>
    <mergeCell ref="E4519:I4519"/>
    <mergeCell ref="J4519:M4519"/>
    <mergeCell ref="N4519:P4519"/>
    <mergeCell ref="Q4519:R4519"/>
    <mergeCell ref="A4520:B4520"/>
    <mergeCell ref="C4520:D4520"/>
    <mergeCell ref="E4520:I4520"/>
    <mergeCell ref="J4520:M4520"/>
    <mergeCell ref="N4520:P4520"/>
    <mergeCell ref="Q4520:R4520"/>
    <mergeCell ref="A4521:B4521"/>
    <mergeCell ref="C4521:D4521"/>
    <mergeCell ref="E4521:I4521"/>
    <mergeCell ref="J4521:M4521"/>
    <mergeCell ref="N4521:P4521"/>
    <mergeCell ref="Q4521:R4521"/>
    <mergeCell ref="A4522:B4522"/>
    <mergeCell ref="C4522:D4522"/>
    <mergeCell ref="E4522:I4522"/>
    <mergeCell ref="J4522:M4522"/>
    <mergeCell ref="N4522:P4522"/>
    <mergeCell ref="Q4522:R4522"/>
    <mergeCell ref="A4523:B4523"/>
    <mergeCell ref="C4523:D4523"/>
    <mergeCell ref="E4523:I4523"/>
    <mergeCell ref="J4523:M4523"/>
    <mergeCell ref="N4523:P4523"/>
    <mergeCell ref="Q4523:R4523"/>
    <mergeCell ref="A4524:B4524"/>
    <mergeCell ref="C4524:D4524"/>
    <mergeCell ref="E4524:I4524"/>
    <mergeCell ref="J4524:M4524"/>
    <mergeCell ref="N4524:P4524"/>
    <mergeCell ref="Q4524:R4524"/>
    <mergeCell ref="A4525:B4525"/>
    <mergeCell ref="C4525:D4525"/>
    <mergeCell ref="E4525:I4525"/>
    <mergeCell ref="J4525:M4525"/>
    <mergeCell ref="N4525:P4525"/>
    <mergeCell ref="Q4525:R4525"/>
    <mergeCell ref="A4526:B4526"/>
    <mergeCell ref="C4526:D4526"/>
    <mergeCell ref="E4526:I4526"/>
    <mergeCell ref="J4526:M4526"/>
    <mergeCell ref="N4526:P4526"/>
    <mergeCell ref="Q4526:R4526"/>
    <mergeCell ref="A4527:B4527"/>
    <mergeCell ref="C4527:D4527"/>
    <mergeCell ref="E4527:I4527"/>
    <mergeCell ref="J4527:M4527"/>
    <mergeCell ref="N4527:P4527"/>
    <mergeCell ref="Q4527:R4527"/>
    <mergeCell ref="A4528:B4528"/>
    <mergeCell ref="C4528:D4528"/>
    <mergeCell ref="E4528:I4528"/>
    <mergeCell ref="J4528:M4528"/>
    <mergeCell ref="N4528:P4528"/>
    <mergeCell ref="Q4528:R4528"/>
    <mergeCell ref="A4529:B4529"/>
    <mergeCell ref="C4529:D4529"/>
    <mergeCell ref="E4529:I4529"/>
    <mergeCell ref="J4529:M4529"/>
    <mergeCell ref="N4529:P4529"/>
    <mergeCell ref="Q4529:R4529"/>
    <mergeCell ref="A4530:B4530"/>
    <mergeCell ref="C4530:D4530"/>
    <mergeCell ref="E4530:I4530"/>
    <mergeCell ref="J4530:M4530"/>
    <mergeCell ref="N4530:P4530"/>
    <mergeCell ref="Q4530:R4530"/>
    <mergeCell ref="A4531:B4531"/>
    <mergeCell ref="C4531:D4531"/>
    <mergeCell ref="E4531:I4531"/>
    <mergeCell ref="J4531:M4531"/>
    <mergeCell ref="N4531:P4531"/>
    <mergeCell ref="Q4531:R4531"/>
    <mergeCell ref="A4532:B4532"/>
    <mergeCell ref="C4532:D4532"/>
    <mergeCell ref="E4532:I4532"/>
    <mergeCell ref="J4532:M4532"/>
    <mergeCell ref="N4532:P4532"/>
    <mergeCell ref="Q4532:R4532"/>
    <mergeCell ref="A4533:B4533"/>
    <mergeCell ref="C4533:D4533"/>
    <mergeCell ref="E4533:I4533"/>
    <mergeCell ref="J4533:M4533"/>
    <mergeCell ref="N4533:P4533"/>
    <mergeCell ref="Q4533:R4533"/>
    <mergeCell ref="A4534:B4534"/>
    <mergeCell ref="C4534:D4534"/>
    <mergeCell ref="E4534:I4534"/>
    <mergeCell ref="J4534:M4534"/>
    <mergeCell ref="N4534:P4534"/>
    <mergeCell ref="Q4534:R4534"/>
    <mergeCell ref="A4535:B4535"/>
    <mergeCell ref="C4535:D4535"/>
    <mergeCell ref="E4535:I4535"/>
    <mergeCell ref="J4535:M4535"/>
    <mergeCell ref="N4535:P4535"/>
    <mergeCell ref="Q4535:R4535"/>
    <mergeCell ref="A4536:B4536"/>
    <mergeCell ref="C4536:D4536"/>
    <mergeCell ref="E4536:I4536"/>
    <mergeCell ref="J4536:M4536"/>
    <mergeCell ref="N4536:P4536"/>
    <mergeCell ref="Q4536:R4536"/>
    <mergeCell ref="A4537:B4537"/>
    <mergeCell ref="C4537:D4537"/>
    <mergeCell ref="E4537:I4537"/>
    <mergeCell ref="J4537:M4537"/>
    <mergeCell ref="N4537:P4537"/>
    <mergeCell ref="Q4537:R4537"/>
    <mergeCell ref="A4538:B4538"/>
    <mergeCell ref="C4538:D4538"/>
    <mergeCell ref="E4538:I4538"/>
    <mergeCell ref="J4538:M4538"/>
    <mergeCell ref="N4538:P4538"/>
    <mergeCell ref="Q4538:R4538"/>
    <mergeCell ref="A4539:B4539"/>
    <mergeCell ref="C4539:D4539"/>
    <mergeCell ref="E4539:I4539"/>
    <mergeCell ref="J4539:M4539"/>
    <mergeCell ref="N4539:P4539"/>
    <mergeCell ref="Q4539:R4539"/>
    <mergeCell ref="A4540:B4540"/>
    <mergeCell ref="C4540:D4540"/>
    <mergeCell ref="E4540:I4540"/>
    <mergeCell ref="J4540:M4540"/>
    <mergeCell ref="N4540:P4540"/>
    <mergeCell ref="Q4540:R4540"/>
    <mergeCell ref="A4541:B4541"/>
    <mergeCell ref="C4541:D4541"/>
    <mergeCell ref="E4541:I4541"/>
    <mergeCell ref="J4541:M4541"/>
    <mergeCell ref="N4541:P4541"/>
    <mergeCell ref="Q4541:R4541"/>
    <mergeCell ref="A4542:B4542"/>
    <mergeCell ref="C4542:D4542"/>
    <mergeCell ref="E4542:I4542"/>
    <mergeCell ref="J4542:M4542"/>
    <mergeCell ref="N4542:P4542"/>
    <mergeCell ref="Q4542:R4542"/>
    <mergeCell ref="A4543:B4543"/>
    <mergeCell ref="C4543:D4543"/>
    <mergeCell ref="E4543:I4543"/>
    <mergeCell ref="J4543:M4543"/>
    <mergeCell ref="N4543:P4543"/>
    <mergeCell ref="Q4543:R4543"/>
    <mergeCell ref="A4544:B4544"/>
    <mergeCell ref="C4544:D4544"/>
    <mergeCell ref="E4544:I4544"/>
    <mergeCell ref="J4544:M4544"/>
    <mergeCell ref="N4544:P4544"/>
    <mergeCell ref="Q4544:R4544"/>
    <mergeCell ref="A4545:B4545"/>
    <mergeCell ref="C4545:D4545"/>
    <mergeCell ref="E4545:I4545"/>
    <mergeCell ref="J4545:M4545"/>
    <mergeCell ref="N4545:P4545"/>
    <mergeCell ref="Q4545:R4545"/>
    <mergeCell ref="A4546:B4546"/>
    <mergeCell ref="C4546:D4546"/>
    <mergeCell ref="E4546:I4546"/>
    <mergeCell ref="J4546:M4546"/>
    <mergeCell ref="N4546:P4546"/>
    <mergeCell ref="Q4546:R4546"/>
    <mergeCell ref="A4547:B4547"/>
    <mergeCell ref="C4547:D4547"/>
    <mergeCell ref="E4547:I4547"/>
    <mergeCell ref="J4547:M4547"/>
    <mergeCell ref="N4547:P4547"/>
    <mergeCell ref="Q4547:R4547"/>
    <mergeCell ref="A4548:B4548"/>
    <mergeCell ref="C4548:D4548"/>
    <mergeCell ref="E4548:I4548"/>
    <mergeCell ref="J4548:M4548"/>
    <mergeCell ref="N4548:P4548"/>
    <mergeCell ref="Q4548:R4548"/>
    <mergeCell ref="A4549:B4549"/>
    <mergeCell ref="C4549:D4549"/>
    <mergeCell ref="E4549:I4549"/>
    <mergeCell ref="J4549:M4549"/>
    <mergeCell ref="N4549:P4549"/>
    <mergeCell ref="Q4549:R4549"/>
    <mergeCell ref="A4550:B4550"/>
    <mergeCell ref="C4550:D4550"/>
    <mergeCell ref="E4550:I4550"/>
    <mergeCell ref="J4550:M4550"/>
    <mergeCell ref="N4550:P4550"/>
    <mergeCell ref="Q4550:R4550"/>
    <mergeCell ref="A4551:B4551"/>
    <mergeCell ref="C4551:D4551"/>
    <mergeCell ref="E4551:I4551"/>
    <mergeCell ref="J4551:M4551"/>
    <mergeCell ref="N4551:P4551"/>
    <mergeCell ref="Q4551:R4551"/>
    <mergeCell ref="A4552:B4552"/>
    <mergeCell ref="C4552:D4552"/>
    <mergeCell ref="E4552:I4552"/>
    <mergeCell ref="J4552:M4552"/>
    <mergeCell ref="N4552:P4552"/>
    <mergeCell ref="Q4552:R4552"/>
    <mergeCell ref="A4553:B4553"/>
    <mergeCell ref="C4553:D4553"/>
    <mergeCell ref="E4553:I4553"/>
    <mergeCell ref="J4553:M4553"/>
    <mergeCell ref="N4553:P4553"/>
    <mergeCell ref="Q4553:R4553"/>
    <mergeCell ref="A4554:B4554"/>
    <mergeCell ref="C4554:D4554"/>
    <mergeCell ref="E4554:I4554"/>
    <mergeCell ref="J4554:M4554"/>
    <mergeCell ref="N4554:P4554"/>
    <mergeCell ref="Q4554:R4554"/>
    <mergeCell ref="A4555:B4555"/>
    <mergeCell ref="C4555:D4555"/>
    <mergeCell ref="E4555:I4555"/>
    <mergeCell ref="J4555:M4555"/>
    <mergeCell ref="N4555:P4555"/>
    <mergeCell ref="Q4555:R4555"/>
    <mergeCell ref="A4556:B4556"/>
    <mergeCell ref="C4556:D4556"/>
    <mergeCell ref="E4556:I4556"/>
    <mergeCell ref="J4556:M4556"/>
    <mergeCell ref="N4556:P4556"/>
    <mergeCell ref="Q4556:R4556"/>
    <mergeCell ref="A4557:B4557"/>
    <mergeCell ref="C4557:D4557"/>
    <mergeCell ref="E4557:I4557"/>
    <mergeCell ref="J4557:M4557"/>
    <mergeCell ref="N4557:P4557"/>
    <mergeCell ref="Q4557:R4557"/>
    <mergeCell ref="A4558:B4558"/>
    <mergeCell ref="C4558:D4558"/>
    <mergeCell ref="E4558:I4558"/>
    <mergeCell ref="J4558:M4558"/>
    <mergeCell ref="N4558:P4558"/>
    <mergeCell ref="Q4558:R4558"/>
    <mergeCell ref="A4559:B4559"/>
    <mergeCell ref="C4559:D4559"/>
    <mergeCell ref="E4559:I4559"/>
    <mergeCell ref="J4559:M4559"/>
    <mergeCell ref="N4559:P4559"/>
    <mergeCell ref="Q4559:R4559"/>
    <mergeCell ref="A4560:B4560"/>
    <mergeCell ref="C4560:D4560"/>
    <mergeCell ref="E4560:I4560"/>
    <mergeCell ref="J4560:M4560"/>
    <mergeCell ref="N4560:P4560"/>
    <mergeCell ref="Q4560:R4560"/>
    <mergeCell ref="A4561:B4561"/>
    <mergeCell ref="C4561:D4561"/>
    <mergeCell ref="E4561:I4561"/>
    <mergeCell ref="J4561:M4561"/>
    <mergeCell ref="N4561:P4561"/>
    <mergeCell ref="Q4561:R4561"/>
    <mergeCell ref="A4562:B4562"/>
    <mergeCell ref="C4562:D4562"/>
    <mergeCell ref="E4562:I4562"/>
    <mergeCell ref="J4562:M4562"/>
    <mergeCell ref="N4562:P4562"/>
    <mergeCell ref="Q4562:R4562"/>
    <mergeCell ref="A4563:B4563"/>
    <mergeCell ref="C4563:D4563"/>
    <mergeCell ref="E4563:I4563"/>
    <mergeCell ref="J4563:M4563"/>
    <mergeCell ref="N4563:P4563"/>
    <mergeCell ref="Q4563:R4563"/>
    <mergeCell ref="A4564:B4564"/>
    <mergeCell ref="C4564:D4564"/>
    <mergeCell ref="E4564:I4564"/>
    <mergeCell ref="J4564:M4564"/>
    <mergeCell ref="N4564:P4564"/>
    <mergeCell ref="Q4564:R4564"/>
    <mergeCell ref="A4565:B4565"/>
    <mergeCell ref="C4565:D4565"/>
    <mergeCell ref="E4565:I4565"/>
    <mergeCell ref="J4565:M4565"/>
    <mergeCell ref="N4565:P4565"/>
    <mergeCell ref="Q4565:R4565"/>
    <mergeCell ref="A4566:B4566"/>
    <mergeCell ref="C4566:D4566"/>
    <mergeCell ref="E4566:I4566"/>
    <mergeCell ref="J4566:M4566"/>
    <mergeCell ref="N4566:P4566"/>
    <mergeCell ref="Q4566:R4566"/>
    <mergeCell ref="A4567:B4567"/>
    <mergeCell ref="C4567:D4567"/>
    <mergeCell ref="E4567:I4567"/>
    <mergeCell ref="J4567:M4567"/>
    <mergeCell ref="N4567:P4567"/>
    <mergeCell ref="Q4567:R4567"/>
    <mergeCell ref="A4568:B4568"/>
    <mergeCell ref="C4568:D4568"/>
    <mergeCell ref="E4568:I4568"/>
    <mergeCell ref="J4568:M4568"/>
    <mergeCell ref="N4568:P4568"/>
    <mergeCell ref="Q4568:R4568"/>
    <mergeCell ref="A4569:B4569"/>
    <mergeCell ref="C4569:D4569"/>
    <mergeCell ref="E4569:I4569"/>
    <mergeCell ref="J4569:M4569"/>
    <mergeCell ref="N4569:P4569"/>
    <mergeCell ref="Q4569:R4569"/>
    <mergeCell ref="A4570:B4570"/>
    <mergeCell ref="C4570:D4570"/>
    <mergeCell ref="E4570:I4570"/>
    <mergeCell ref="J4570:M4570"/>
    <mergeCell ref="N4570:P4570"/>
    <mergeCell ref="Q4570:R4570"/>
    <mergeCell ref="A4571:B4571"/>
    <mergeCell ref="C4571:D4571"/>
    <mergeCell ref="E4571:I4571"/>
    <mergeCell ref="J4571:M4571"/>
    <mergeCell ref="N4571:P4571"/>
    <mergeCell ref="Q4571:R4571"/>
    <mergeCell ref="A4572:B4572"/>
    <mergeCell ref="C4572:D4572"/>
    <mergeCell ref="E4572:I4572"/>
    <mergeCell ref="J4572:M4572"/>
    <mergeCell ref="N4572:P4572"/>
    <mergeCell ref="Q4572:R4572"/>
    <mergeCell ref="A4573:B4573"/>
    <mergeCell ref="C4573:D4573"/>
    <mergeCell ref="E4573:I4573"/>
    <mergeCell ref="J4573:M4573"/>
    <mergeCell ref="N4573:P4573"/>
    <mergeCell ref="Q4573:R4573"/>
    <mergeCell ref="A4574:B4574"/>
    <mergeCell ref="C4574:D4574"/>
    <mergeCell ref="E4574:I4574"/>
    <mergeCell ref="J4574:M4574"/>
    <mergeCell ref="N4574:P4574"/>
    <mergeCell ref="Q4574:R4574"/>
    <mergeCell ref="A4575:B4575"/>
    <mergeCell ref="C4575:D4575"/>
    <mergeCell ref="E4575:I4575"/>
    <mergeCell ref="J4575:M4575"/>
    <mergeCell ref="N4575:P4575"/>
    <mergeCell ref="Q4575:R4575"/>
    <mergeCell ref="A4576:B4576"/>
    <mergeCell ref="C4576:D4576"/>
    <mergeCell ref="E4576:I4576"/>
    <mergeCell ref="J4576:M4576"/>
    <mergeCell ref="N4576:P4576"/>
    <mergeCell ref="Q4576:R4576"/>
    <mergeCell ref="A4577:B4577"/>
    <mergeCell ref="C4577:D4577"/>
    <mergeCell ref="E4577:I4577"/>
    <mergeCell ref="J4577:M4577"/>
    <mergeCell ref="N4577:P4577"/>
    <mergeCell ref="Q4577:R4577"/>
    <mergeCell ref="A4578:B4578"/>
    <mergeCell ref="C4578:D4578"/>
    <mergeCell ref="E4578:I4578"/>
    <mergeCell ref="J4578:M4578"/>
    <mergeCell ref="N4578:P4578"/>
    <mergeCell ref="Q4578:R4578"/>
    <mergeCell ref="A4579:B4579"/>
    <mergeCell ref="C4579:D4579"/>
    <mergeCell ref="E4579:I4579"/>
    <mergeCell ref="J4579:M4579"/>
    <mergeCell ref="N4579:P4579"/>
    <mergeCell ref="Q4579:R4579"/>
    <mergeCell ref="A4580:B4580"/>
    <mergeCell ref="C4580:D4580"/>
    <mergeCell ref="E4580:I4580"/>
    <mergeCell ref="J4580:M4580"/>
    <mergeCell ref="N4580:P4580"/>
    <mergeCell ref="Q4580:R4580"/>
    <mergeCell ref="A4581:B4581"/>
    <mergeCell ref="C4581:D4581"/>
    <mergeCell ref="E4581:I4581"/>
    <mergeCell ref="J4581:M4581"/>
    <mergeCell ref="N4581:P4581"/>
    <mergeCell ref="Q4581:R4581"/>
    <mergeCell ref="A4582:B4582"/>
    <mergeCell ref="C4582:D4582"/>
    <mergeCell ref="E4582:I4582"/>
    <mergeCell ref="J4582:M4582"/>
    <mergeCell ref="N4582:P4582"/>
    <mergeCell ref="Q4582:R4582"/>
    <mergeCell ref="A4583:B4583"/>
    <mergeCell ref="C4583:D4583"/>
    <mergeCell ref="E4583:I4583"/>
    <mergeCell ref="J4583:M4583"/>
    <mergeCell ref="N4583:P4583"/>
    <mergeCell ref="Q4583:R4583"/>
    <mergeCell ref="A4584:B4584"/>
    <mergeCell ref="C4584:D4584"/>
    <mergeCell ref="E4584:I4584"/>
    <mergeCell ref="J4584:M4584"/>
    <mergeCell ref="N4584:P4584"/>
    <mergeCell ref="Q4584:R4584"/>
    <mergeCell ref="A4585:B4585"/>
    <mergeCell ref="C4585:D4585"/>
    <mergeCell ref="E4585:I4585"/>
    <mergeCell ref="J4585:M4585"/>
    <mergeCell ref="N4585:P4585"/>
    <mergeCell ref="Q4585:R4585"/>
    <mergeCell ref="A4586:B4586"/>
    <mergeCell ref="C4586:D4586"/>
    <mergeCell ref="E4586:I4586"/>
    <mergeCell ref="J4586:M4586"/>
    <mergeCell ref="N4586:P4586"/>
    <mergeCell ref="Q4586:R4586"/>
    <mergeCell ref="A4587:B4587"/>
    <mergeCell ref="C4587:D4587"/>
    <mergeCell ref="E4587:I4587"/>
    <mergeCell ref="J4587:M4587"/>
    <mergeCell ref="N4587:P4587"/>
    <mergeCell ref="Q4587:R4587"/>
    <mergeCell ref="A4588:B4588"/>
    <mergeCell ref="C4588:D4588"/>
    <mergeCell ref="E4588:I4588"/>
    <mergeCell ref="J4588:M4588"/>
    <mergeCell ref="N4588:P4588"/>
    <mergeCell ref="Q4588:R4588"/>
    <mergeCell ref="A4589:B4589"/>
    <mergeCell ref="C4589:D4589"/>
    <mergeCell ref="E4589:I4589"/>
    <mergeCell ref="J4589:M4589"/>
    <mergeCell ref="N4589:P4589"/>
    <mergeCell ref="Q4589:R4589"/>
    <mergeCell ref="A4590:B4590"/>
    <mergeCell ref="C4590:D4590"/>
    <mergeCell ref="E4590:I4590"/>
    <mergeCell ref="J4590:M4590"/>
    <mergeCell ref="N4590:P4590"/>
    <mergeCell ref="Q4590:R4590"/>
    <mergeCell ref="A4591:B4591"/>
    <mergeCell ref="C4591:D4591"/>
    <mergeCell ref="E4591:I4591"/>
    <mergeCell ref="J4591:M4591"/>
    <mergeCell ref="N4591:P4591"/>
    <mergeCell ref="Q4591:R4591"/>
    <mergeCell ref="A4592:B4592"/>
    <mergeCell ref="C4592:D4592"/>
    <mergeCell ref="E4592:I4592"/>
    <mergeCell ref="J4592:M4592"/>
    <mergeCell ref="N4592:P4592"/>
    <mergeCell ref="Q4592:R4592"/>
    <mergeCell ref="A4593:B4593"/>
    <mergeCell ref="C4593:D4593"/>
    <mergeCell ref="E4593:I4593"/>
    <mergeCell ref="J4593:M4593"/>
    <mergeCell ref="N4593:P4593"/>
    <mergeCell ref="Q4593:R4593"/>
    <mergeCell ref="A4594:B4594"/>
    <mergeCell ref="C4594:D4594"/>
    <mergeCell ref="E4594:I4594"/>
    <mergeCell ref="J4594:M4594"/>
    <mergeCell ref="N4594:P4594"/>
    <mergeCell ref="Q4594:R4594"/>
    <mergeCell ref="A4595:B4595"/>
    <mergeCell ref="C4595:D4595"/>
    <mergeCell ref="E4595:I4595"/>
    <mergeCell ref="J4595:M4595"/>
    <mergeCell ref="N4595:P4595"/>
    <mergeCell ref="Q4595:R4595"/>
    <mergeCell ref="A4596:B4596"/>
    <mergeCell ref="C4596:D4596"/>
    <mergeCell ref="E4596:I4596"/>
    <mergeCell ref="J4596:M4596"/>
    <mergeCell ref="N4596:P4596"/>
    <mergeCell ref="Q4596:R4596"/>
    <mergeCell ref="A4597:B4597"/>
    <mergeCell ref="C4597:D4597"/>
    <mergeCell ref="E4597:I4597"/>
    <mergeCell ref="J4597:M4597"/>
    <mergeCell ref="N4597:P4597"/>
    <mergeCell ref="Q4597:R4597"/>
    <mergeCell ref="A4598:B4598"/>
    <mergeCell ref="C4598:D4598"/>
    <mergeCell ref="E4598:I4598"/>
    <mergeCell ref="J4598:M4598"/>
    <mergeCell ref="N4598:P4598"/>
    <mergeCell ref="Q4598:R4598"/>
    <mergeCell ref="A4599:B4599"/>
    <mergeCell ref="C4599:D4599"/>
    <mergeCell ref="E4599:I4599"/>
    <mergeCell ref="J4599:M4599"/>
    <mergeCell ref="N4599:P4599"/>
    <mergeCell ref="Q4599:R4599"/>
    <mergeCell ref="A4600:B4600"/>
    <mergeCell ref="C4600:D4600"/>
    <mergeCell ref="E4600:I4600"/>
    <mergeCell ref="J4600:M4600"/>
    <mergeCell ref="N4600:P4600"/>
    <mergeCell ref="Q4600:R4600"/>
    <mergeCell ref="A4601:B4601"/>
    <mergeCell ref="C4601:D4601"/>
    <mergeCell ref="E4601:I4601"/>
    <mergeCell ref="J4601:M4601"/>
    <mergeCell ref="N4601:P4601"/>
    <mergeCell ref="Q4601:R4601"/>
    <mergeCell ref="A4602:B4602"/>
    <mergeCell ref="C4602:D4602"/>
    <mergeCell ref="E4602:I4602"/>
    <mergeCell ref="J4602:M4602"/>
    <mergeCell ref="N4602:P4602"/>
    <mergeCell ref="Q4602:R4602"/>
    <mergeCell ref="A4603:B4603"/>
    <mergeCell ref="C4603:D4603"/>
    <mergeCell ref="E4603:I4603"/>
    <mergeCell ref="J4603:M4603"/>
    <mergeCell ref="N4603:P4603"/>
    <mergeCell ref="Q4603:R4603"/>
    <mergeCell ref="A4604:B4604"/>
    <mergeCell ref="C4604:D4604"/>
    <mergeCell ref="E4604:I4604"/>
    <mergeCell ref="J4604:M4604"/>
    <mergeCell ref="N4604:P4604"/>
    <mergeCell ref="Q4604:R4604"/>
    <mergeCell ref="A4605:B4605"/>
    <mergeCell ref="C4605:D4605"/>
    <mergeCell ref="E4605:I4605"/>
    <mergeCell ref="J4605:M4605"/>
    <mergeCell ref="N4605:P4605"/>
    <mergeCell ref="Q4605:R4605"/>
    <mergeCell ref="A4606:B4606"/>
    <mergeCell ref="C4606:D4606"/>
    <mergeCell ref="E4606:I4606"/>
    <mergeCell ref="J4606:M4606"/>
    <mergeCell ref="N4606:P4606"/>
    <mergeCell ref="Q4606:R4606"/>
    <mergeCell ref="A4607:B4607"/>
    <mergeCell ref="C4607:D4607"/>
    <mergeCell ref="E4607:I4607"/>
    <mergeCell ref="J4607:M4607"/>
    <mergeCell ref="N4607:P4607"/>
    <mergeCell ref="Q4607:R4607"/>
    <mergeCell ref="A4608:B4608"/>
    <mergeCell ref="C4608:D4608"/>
    <mergeCell ref="E4608:I4608"/>
    <mergeCell ref="J4608:M4608"/>
    <mergeCell ref="N4608:P4608"/>
    <mergeCell ref="Q4608:R4608"/>
    <mergeCell ref="A4609:B4609"/>
    <mergeCell ref="C4609:D4609"/>
    <mergeCell ref="E4609:I4609"/>
    <mergeCell ref="J4609:M4609"/>
    <mergeCell ref="N4609:P4609"/>
    <mergeCell ref="Q4609:R4609"/>
    <mergeCell ref="A4610:B4610"/>
    <mergeCell ref="C4610:D4610"/>
    <mergeCell ref="E4610:I4610"/>
    <mergeCell ref="J4610:M4610"/>
    <mergeCell ref="N4610:P4610"/>
    <mergeCell ref="Q4610:R4610"/>
    <mergeCell ref="A4611:B4611"/>
    <mergeCell ref="C4611:D4611"/>
    <mergeCell ref="E4611:I4611"/>
    <mergeCell ref="J4611:M4611"/>
    <mergeCell ref="N4611:P4611"/>
    <mergeCell ref="Q4611:R4611"/>
    <mergeCell ref="A4612:B4612"/>
    <mergeCell ref="C4612:D4612"/>
    <mergeCell ref="E4612:I4612"/>
    <mergeCell ref="J4612:M4612"/>
    <mergeCell ref="N4612:P4612"/>
    <mergeCell ref="Q4612:R4612"/>
    <mergeCell ref="A4613:B4613"/>
    <mergeCell ref="C4613:D4613"/>
    <mergeCell ref="E4613:I4613"/>
    <mergeCell ref="J4613:M4613"/>
    <mergeCell ref="N4613:P4613"/>
    <mergeCell ref="Q4613:R4613"/>
    <mergeCell ref="A4614:B4614"/>
    <mergeCell ref="C4614:D4614"/>
    <mergeCell ref="E4614:I4614"/>
    <mergeCell ref="J4614:M4614"/>
    <mergeCell ref="N4614:P4614"/>
    <mergeCell ref="Q4614:R4614"/>
    <mergeCell ref="A4615:B4615"/>
    <mergeCell ref="C4615:D4615"/>
    <mergeCell ref="E4615:I4615"/>
    <mergeCell ref="J4615:M4615"/>
    <mergeCell ref="N4615:P4615"/>
    <mergeCell ref="Q4615:R4615"/>
    <mergeCell ref="A4616:B4616"/>
    <mergeCell ref="C4616:D4616"/>
    <mergeCell ref="E4616:I4616"/>
    <mergeCell ref="J4616:M4616"/>
    <mergeCell ref="N4616:P4616"/>
    <mergeCell ref="Q4616:R4616"/>
    <mergeCell ref="A4617:B4617"/>
    <mergeCell ref="C4617:D4617"/>
    <mergeCell ref="E4617:I4617"/>
    <mergeCell ref="J4617:M4617"/>
    <mergeCell ref="N4617:P4617"/>
    <mergeCell ref="Q4617:R4617"/>
    <mergeCell ref="A4618:B4618"/>
    <mergeCell ref="C4618:D4618"/>
    <mergeCell ref="E4618:I4618"/>
    <mergeCell ref="J4618:M4618"/>
    <mergeCell ref="N4618:P4618"/>
    <mergeCell ref="Q4618:R4618"/>
    <mergeCell ref="A4619:B4619"/>
    <mergeCell ref="C4619:D4619"/>
    <mergeCell ref="E4619:I4619"/>
    <mergeCell ref="J4619:M4619"/>
    <mergeCell ref="N4619:P4619"/>
    <mergeCell ref="Q4619:R4619"/>
    <mergeCell ref="A4620:B4620"/>
    <mergeCell ref="C4620:D4620"/>
    <mergeCell ref="E4620:I4620"/>
    <mergeCell ref="J4620:M4620"/>
    <mergeCell ref="N4620:P4620"/>
    <mergeCell ref="Q4620:R4620"/>
    <mergeCell ref="A4621:B4621"/>
    <mergeCell ref="C4621:D4621"/>
    <mergeCell ref="E4621:I4621"/>
    <mergeCell ref="J4621:M4621"/>
    <mergeCell ref="N4621:P4621"/>
    <mergeCell ref="Q4621:R4621"/>
    <mergeCell ref="A4622:B4622"/>
    <mergeCell ref="C4622:D4622"/>
    <mergeCell ref="E4622:I4622"/>
    <mergeCell ref="J4622:M4622"/>
    <mergeCell ref="N4622:P4622"/>
    <mergeCell ref="Q4622:R4622"/>
    <mergeCell ref="A4623:B4623"/>
    <mergeCell ref="C4623:D4623"/>
    <mergeCell ref="E4623:I4623"/>
    <mergeCell ref="J4623:M4623"/>
    <mergeCell ref="N4623:P4623"/>
    <mergeCell ref="Q4623:R4623"/>
    <mergeCell ref="A4624:B4624"/>
    <mergeCell ref="C4624:D4624"/>
    <mergeCell ref="E4624:I4624"/>
    <mergeCell ref="J4624:M4624"/>
    <mergeCell ref="N4624:P4624"/>
    <mergeCell ref="Q4624:R4624"/>
    <mergeCell ref="A4625:B4625"/>
    <mergeCell ref="C4625:D4625"/>
    <mergeCell ref="E4625:I4625"/>
    <mergeCell ref="J4625:M4625"/>
    <mergeCell ref="N4625:P4625"/>
    <mergeCell ref="Q4625:R4625"/>
    <mergeCell ref="A4626:B4626"/>
    <mergeCell ref="C4626:D4626"/>
    <mergeCell ref="E4626:I4626"/>
    <mergeCell ref="J4626:M4626"/>
    <mergeCell ref="N4626:P4626"/>
    <mergeCell ref="Q4626:R4626"/>
    <mergeCell ref="A4627:B4627"/>
    <mergeCell ref="C4627:D4627"/>
    <mergeCell ref="E4627:I4627"/>
    <mergeCell ref="J4627:M4627"/>
    <mergeCell ref="N4627:P4627"/>
    <mergeCell ref="Q4627:R4627"/>
    <mergeCell ref="A4628:B4628"/>
    <mergeCell ref="C4628:D4628"/>
    <mergeCell ref="E4628:I4628"/>
    <mergeCell ref="J4628:M4628"/>
    <mergeCell ref="N4628:P4628"/>
    <mergeCell ref="Q4628:R4628"/>
    <mergeCell ref="A4629:B4629"/>
    <mergeCell ref="C4629:D4629"/>
    <mergeCell ref="E4629:I4629"/>
    <mergeCell ref="J4629:M4629"/>
    <mergeCell ref="N4629:P4629"/>
    <mergeCell ref="Q4629:R4629"/>
    <mergeCell ref="A4630:B4630"/>
    <mergeCell ref="C4630:D4630"/>
    <mergeCell ref="E4630:I4630"/>
    <mergeCell ref="J4630:M4630"/>
    <mergeCell ref="N4630:P4630"/>
    <mergeCell ref="Q4630:R4630"/>
    <mergeCell ref="A4631:B4631"/>
    <mergeCell ref="C4631:D4631"/>
    <mergeCell ref="E4631:I4631"/>
    <mergeCell ref="J4631:M4631"/>
    <mergeCell ref="N4631:P4631"/>
    <mergeCell ref="Q4631:R4631"/>
    <mergeCell ref="A4632:B4632"/>
    <mergeCell ref="C4632:D4632"/>
    <mergeCell ref="E4632:I4632"/>
    <mergeCell ref="J4632:M4632"/>
    <mergeCell ref="N4632:P4632"/>
    <mergeCell ref="Q4632:R4632"/>
    <mergeCell ref="A4633:B4633"/>
    <mergeCell ref="C4633:D4633"/>
    <mergeCell ref="E4633:I4633"/>
    <mergeCell ref="J4633:M4633"/>
    <mergeCell ref="N4633:P4633"/>
    <mergeCell ref="Q4633:R4633"/>
    <mergeCell ref="A4634:B4634"/>
    <mergeCell ref="C4634:D4634"/>
    <mergeCell ref="E4634:I4634"/>
    <mergeCell ref="J4634:M4634"/>
    <mergeCell ref="N4634:P4634"/>
    <mergeCell ref="Q4634:R4634"/>
    <mergeCell ref="A4635:B4635"/>
    <mergeCell ref="C4635:D4635"/>
    <mergeCell ref="E4635:I4635"/>
    <mergeCell ref="J4635:M4635"/>
    <mergeCell ref="N4635:P4635"/>
    <mergeCell ref="Q4635:R4635"/>
    <mergeCell ref="A4636:B4636"/>
    <mergeCell ref="C4636:D4636"/>
    <mergeCell ref="E4636:I4636"/>
    <mergeCell ref="J4636:M4636"/>
    <mergeCell ref="N4636:P4636"/>
    <mergeCell ref="Q4636:R4636"/>
    <mergeCell ref="A4637:B4637"/>
    <mergeCell ref="C4637:D4637"/>
    <mergeCell ref="E4637:I4637"/>
    <mergeCell ref="J4637:M4637"/>
    <mergeCell ref="N4637:P4637"/>
    <mergeCell ref="Q4637:R4637"/>
    <mergeCell ref="A4638:B4638"/>
    <mergeCell ref="C4638:D4638"/>
    <mergeCell ref="E4638:I4638"/>
    <mergeCell ref="J4638:M4638"/>
    <mergeCell ref="N4638:P4638"/>
    <mergeCell ref="Q4638:R4638"/>
    <mergeCell ref="A4639:B4639"/>
    <mergeCell ref="C4639:D4639"/>
    <mergeCell ref="E4639:I4639"/>
    <mergeCell ref="J4639:M4639"/>
    <mergeCell ref="N4639:P4639"/>
    <mergeCell ref="Q4639:R4639"/>
    <mergeCell ref="A4640:B4640"/>
    <mergeCell ref="C4640:D4640"/>
    <mergeCell ref="E4640:I4640"/>
    <mergeCell ref="J4640:M4640"/>
    <mergeCell ref="N4640:P4640"/>
    <mergeCell ref="Q4640:R4640"/>
    <mergeCell ref="A4641:B4641"/>
    <mergeCell ref="C4641:D4641"/>
    <mergeCell ref="E4641:I4641"/>
    <mergeCell ref="J4641:M4641"/>
    <mergeCell ref="N4641:P4641"/>
    <mergeCell ref="Q4641:R4641"/>
    <mergeCell ref="A4642:B4642"/>
    <mergeCell ref="C4642:D4642"/>
    <mergeCell ref="E4642:I4642"/>
    <mergeCell ref="J4642:M4642"/>
    <mergeCell ref="N4642:P4642"/>
    <mergeCell ref="Q4642:R4642"/>
    <mergeCell ref="A4643:B4643"/>
    <mergeCell ref="C4643:D4643"/>
    <mergeCell ref="E4643:I4643"/>
    <mergeCell ref="J4643:M4643"/>
    <mergeCell ref="N4643:P4643"/>
    <mergeCell ref="Q4643:R4643"/>
    <mergeCell ref="A4644:B4644"/>
    <mergeCell ref="C4644:D4644"/>
    <mergeCell ref="E4644:I4644"/>
    <mergeCell ref="J4644:M4644"/>
    <mergeCell ref="N4644:P4644"/>
    <mergeCell ref="Q4644:R4644"/>
    <mergeCell ref="A4645:B4645"/>
    <mergeCell ref="C4645:D4645"/>
    <mergeCell ref="E4645:I4645"/>
    <mergeCell ref="J4645:M4645"/>
    <mergeCell ref="N4645:P4645"/>
    <mergeCell ref="Q4645:R4645"/>
    <mergeCell ref="A4646:B4646"/>
    <mergeCell ref="C4646:D4646"/>
    <mergeCell ref="E4646:I4646"/>
    <mergeCell ref="J4646:M4646"/>
    <mergeCell ref="N4646:P4646"/>
    <mergeCell ref="Q4646:R4646"/>
    <mergeCell ref="A4647:B4647"/>
    <mergeCell ref="C4647:D4647"/>
    <mergeCell ref="E4647:I4647"/>
    <mergeCell ref="J4647:M4647"/>
    <mergeCell ref="N4647:P4647"/>
    <mergeCell ref="Q4647:R4647"/>
    <mergeCell ref="A4648:B4648"/>
    <mergeCell ref="C4648:D4648"/>
    <mergeCell ref="E4648:I4648"/>
    <mergeCell ref="J4648:M4648"/>
    <mergeCell ref="N4648:P4648"/>
    <mergeCell ref="Q4648:R4648"/>
    <mergeCell ref="A4649:B4649"/>
    <mergeCell ref="C4649:D4649"/>
    <mergeCell ref="E4649:I4649"/>
    <mergeCell ref="J4649:M4649"/>
    <mergeCell ref="N4649:P4649"/>
    <mergeCell ref="Q4649:R4649"/>
    <mergeCell ref="A4650:B4650"/>
    <mergeCell ref="C4650:D4650"/>
    <mergeCell ref="E4650:I4650"/>
    <mergeCell ref="J4650:M4650"/>
    <mergeCell ref="N4650:P4650"/>
    <mergeCell ref="Q4650:R4650"/>
    <mergeCell ref="A4651:B4651"/>
    <mergeCell ref="C4651:D4651"/>
    <mergeCell ref="E4651:I4651"/>
    <mergeCell ref="J4651:M4651"/>
    <mergeCell ref="N4651:P4651"/>
    <mergeCell ref="Q4651:R4651"/>
    <mergeCell ref="A4652:B4652"/>
    <mergeCell ref="C4652:D4652"/>
    <mergeCell ref="E4652:I4652"/>
    <mergeCell ref="J4652:M4652"/>
    <mergeCell ref="N4652:P4652"/>
    <mergeCell ref="Q4652:R4652"/>
    <mergeCell ref="A4653:B4653"/>
    <mergeCell ref="C4653:D4653"/>
    <mergeCell ref="E4653:I4653"/>
    <mergeCell ref="J4653:M4653"/>
    <mergeCell ref="N4653:P4653"/>
    <mergeCell ref="Q4653:R4653"/>
    <mergeCell ref="A4654:B4654"/>
    <mergeCell ref="C4654:D4654"/>
    <mergeCell ref="E4654:I4654"/>
    <mergeCell ref="J4654:M4654"/>
    <mergeCell ref="N4654:P4654"/>
    <mergeCell ref="Q4654:R4654"/>
    <mergeCell ref="A4655:B4655"/>
    <mergeCell ref="C4655:D4655"/>
    <mergeCell ref="E4655:I4655"/>
    <mergeCell ref="J4655:M4655"/>
    <mergeCell ref="N4655:P4655"/>
    <mergeCell ref="Q4655:R4655"/>
    <mergeCell ref="A4656:B4656"/>
    <mergeCell ref="C4656:D4656"/>
    <mergeCell ref="E4656:I4656"/>
    <mergeCell ref="J4656:M4656"/>
    <mergeCell ref="N4656:P4656"/>
    <mergeCell ref="Q4656:R4656"/>
    <mergeCell ref="A4657:B4657"/>
    <mergeCell ref="C4657:D4657"/>
    <mergeCell ref="E4657:I4657"/>
    <mergeCell ref="J4657:M4657"/>
    <mergeCell ref="N4657:P4657"/>
    <mergeCell ref="Q4657:R4657"/>
    <mergeCell ref="A4658:B4658"/>
    <mergeCell ref="C4658:D4658"/>
    <mergeCell ref="E4658:I4658"/>
    <mergeCell ref="J4658:M4658"/>
    <mergeCell ref="N4658:P4658"/>
    <mergeCell ref="Q4658:R4658"/>
    <mergeCell ref="A4659:B4659"/>
    <mergeCell ref="C4659:D4659"/>
    <mergeCell ref="E4659:I4659"/>
    <mergeCell ref="J4659:M4659"/>
    <mergeCell ref="N4659:P4659"/>
    <mergeCell ref="Q4659:R4659"/>
    <mergeCell ref="A4660:B4660"/>
    <mergeCell ref="C4660:D4660"/>
    <mergeCell ref="E4660:I4660"/>
    <mergeCell ref="J4660:M4660"/>
    <mergeCell ref="N4660:P4660"/>
    <mergeCell ref="Q4660:R4660"/>
    <mergeCell ref="A4661:B4661"/>
    <mergeCell ref="C4661:D4661"/>
    <mergeCell ref="E4661:I4661"/>
    <mergeCell ref="J4661:M4661"/>
    <mergeCell ref="N4661:P4661"/>
    <mergeCell ref="Q4661:R4661"/>
    <mergeCell ref="A4662:B4662"/>
    <mergeCell ref="C4662:D4662"/>
    <mergeCell ref="E4662:I4662"/>
    <mergeCell ref="J4662:M4662"/>
    <mergeCell ref="N4662:P4662"/>
    <mergeCell ref="Q4662:R4662"/>
    <mergeCell ref="A4663:B4663"/>
    <mergeCell ref="C4663:D4663"/>
    <mergeCell ref="E4663:I4663"/>
    <mergeCell ref="J4663:M4663"/>
    <mergeCell ref="N4663:P4663"/>
    <mergeCell ref="Q4663:R4663"/>
    <mergeCell ref="A4664:B4664"/>
    <mergeCell ref="C4664:D4664"/>
    <mergeCell ref="E4664:I4664"/>
    <mergeCell ref="J4664:M4664"/>
    <mergeCell ref="N4664:P4664"/>
    <mergeCell ref="Q4664:R4664"/>
    <mergeCell ref="A4665:B4665"/>
    <mergeCell ref="C4665:D4665"/>
    <mergeCell ref="E4665:I4665"/>
    <mergeCell ref="J4665:M4665"/>
    <mergeCell ref="N4665:P4665"/>
    <mergeCell ref="Q4665:R4665"/>
    <mergeCell ref="A4666:B4666"/>
    <mergeCell ref="C4666:D4666"/>
    <mergeCell ref="E4666:I4666"/>
    <mergeCell ref="J4666:M4666"/>
    <mergeCell ref="N4666:P4666"/>
    <mergeCell ref="Q4666:R4666"/>
    <mergeCell ref="A4667:B4667"/>
    <mergeCell ref="C4667:D4667"/>
    <mergeCell ref="E4667:I4667"/>
    <mergeCell ref="J4667:M4667"/>
    <mergeCell ref="N4667:P4667"/>
    <mergeCell ref="Q4667:R4667"/>
    <mergeCell ref="A4668:B4668"/>
    <mergeCell ref="C4668:D4668"/>
    <mergeCell ref="E4668:I4668"/>
    <mergeCell ref="J4668:M4668"/>
    <mergeCell ref="N4668:P4668"/>
    <mergeCell ref="Q4668:R4668"/>
    <mergeCell ref="A4669:B4669"/>
    <mergeCell ref="C4669:D4669"/>
    <mergeCell ref="E4669:I4669"/>
    <mergeCell ref="J4669:M4669"/>
    <mergeCell ref="N4669:P4669"/>
    <mergeCell ref="Q4669:R4669"/>
    <mergeCell ref="A4670:B4670"/>
    <mergeCell ref="C4670:D4670"/>
    <mergeCell ref="E4670:I4670"/>
    <mergeCell ref="J4670:M4670"/>
    <mergeCell ref="N4670:P4670"/>
    <mergeCell ref="Q4670:R4670"/>
    <mergeCell ref="A4671:B4671"/>
    <mergeCell ref="C4671:D4671"/>
    <mergeCell ref="E4671:I4671"/>
    <mergeCell ref="J4671:M4671"/>
    <mergeCell ref="N4671:P4671"/>
    <mergeCell ref="Q4671:R4671"/>
    <mergeCell ref="A4672:B4672"/>
    <mergeCell ref="C4672:D4672"/>
    <mergeCell ref="E4672:I4672"/>
    <mergeCell ref="J4672:M4672"/>
    <mergeCell ref="N4672:P4672"/>
    <mergeCell ref="Q4672:R4672"/>
    <mergeCell ref="A4673:B4673"/>
    <mergeCell ref="C4673:D4673"/>
    <mergeCell ref="E4673:I4673"/>
    <mergeCell ref="J4673:M4673"/>
    <mergeCell ref="N4673:P4673"/>
    <mergeCell ref="Q4673:R4673"/>
    <mergeCell ref="A4674:B4674"/>
    <mergeCell ref="C4674:D4674"/>
    <mergeCell ref="E4674:I4674"/>
    <mergeCell ref="J4674:M4674"/>
    <mergeCell ref="N4674:P4674"/>
    <mergeCell ref="Q4674:R4674"/>
    <mergeCell ref="A4675:B4675"/>
    <mergeCell ref="C4675:D4675"/>
    <mergeCell ref="E4675:I4675"/>
    <mergeCell ref="J4675:M4675"/>
    <mergeCell ref="N4675:P4675"/>
    <mergeCell ref="Q4675:R4675"/>
    <mergeCell ref="A4676:B4676"/>
    <mergeCell ref="C4676:D4676"/>
    <mergeCell ref="E4676:I4676"/>
    <mergeCell ref="J4676:M4676"/>
    <mergeCell ref="N4676:P4676"/>
    <mergeCell ref="Q4676:R4676"/>
    <mergeCell ref="A4677:B4677"/>
    <mergeCell ref="C4677:D4677"/>
    <mergeCell ref="E4677:I4677"/>
    <mergeCell ref="J4677:M4677"/>
    <mergeCell ref="N4677:P4677"/>
    <mergeCell ref="Q4677:R4677"/>
    <mergeCell ref="A4678:B4678"/>
    <mergeCell ref="C4678:D4678"/>
    <mergeCell ref="E4678:I4678"/>
    <mergeCell ref="J4678:M4678"/>
    <mergeCell ref="N4678:P4678"/>
    <mergeCell ref="Q4678:R4678"/>
    <mergeCell ref="A4679:B4679"/>
    <mergeCell ref="C4679:D4679"/>
    <mergeCell ref="E4679:I4679"/>
    <mergeCell ref="J4679:M4679"/>
    <mergeCell ref="N4679:P4679"/>
    <mergeCell ref="Q4679:R4679"/>
    <mergeCell ref="A4680:B4680"/>
    <mergeCell ref="C4680:D4680"/>
    <mergeCell ref="E4680:I4680"/>
    <mergeCell ref="J4680:M4680"/>
    <mergeCell ref="N4680:P4680"/>
    <mergeCell ref="Q4680:R4680"/>
    <mergeCell ref="A4681:B4681"/>
    <mergeCell ref="C4681:D4681"/>
    <mergeCell ref="E4681:I4681"/>
    <mergeCell ref="J4681:M4681"/>
    <mergeCell ref="N4681:P4681"/>
    <mergeCell ref="Q4681:R4681"/>
    <mergeCell ref="A4682:B4682"/>
    <mergeCell ref="C4682:D4682"/>
    <mergeCell ref="E4682:I4682"/>
    <mergeCell ref="J4682:M4682"/>
    <mergeCell ref="N4682:P4682"/>
    <mergeCell ref="Q4682:R4682"/>
    <mergeCell ref="A4683:B4683"/>
    <mergeCell ref="C4683:D4683"/>
    <mergeCell ref="E4683:I4683"/>
    <mergeCell ref="J4683:M4683"/>
    <mergeCell ref="N4683:P4683"/>
    <mergeCell ref="Q4683:R4683"/>
    <mergeCell ref="A4684:B4684"/>
    <mergeCell ref="C4684:D4684"/>
    <mergeCell ref="E4684:I4684"/>
    <mergeCell ref="J4684:M4684"/>
    <mergeCell ref="N4684:P4684"/>
    <mergeCell ref="Q4684:R4684"/>
    <mergeCell ref="A4685:B4685"/>
    <mergeCell ref="C4685:D4685"/>
    <mergeCell ref="E4685:I4685"/>
    <mergeCell ref="J4685:M4685"/>
    <mergeCell ref="N4685:P4685"/>
    <mergeCell ref="Q4685:R4685"/>
    <mergeCell ref="A4686:B4686"/>
    <mergeCell ref="C4686:D4686"/>
    <mergeCell ref="E4686:I4686"/>
    <mergeCell ref="J4686:M4686"/>
    <mergeCell ref="N4686:P4686"/>
    <mergeCell ref="Q4686:R4686"/>
    <mergeCell ref="A4687:B4687"/>
    <mergeCell ref="C4687:D4687"/>
    <mergeCell ref="E4687:I4687"/>
    <mergeCell ref="J4687:M4687"/>
    <mergeCell ref="N4687:P4687"/>
    <mergeCell ref="Q4687:R4687"/>
    <mergeCell ref="A4688:B4688"/>
    <mergeCell ref="C4688:D4688"/>
    <mergeCell ref="E4688:I4688"/>
    <mergeCell ref="J4688:M4688"/>
    <mergeCell ref="N4688:P4688"/>
    <mergeCell ref="Q4688:R4688"/>
    <mergeCell ref="A4689:B4689"/>
    <mergeCell ref="C4689:D4689"/>
    <mergeCell ref="E4689:I4689"/>
    <mergeCell ref="J4689:M4689"/>
    <mergeCell ref="N4689:P4689"/>
    <mergeCell ref="Q4689:R4689"/>
    <mergeCell ref="A4690:B4690"/>
    <mergeCell ref="C4690:D4690"/>
    <mergeCell ref="E4690:I4690"/>
    <mergeCell ref="J4690:M4690"/>
    <mergeCell ref="N4690:P4690"/>
    <mergeCell ref="Q4690:R4690"/>
    <mergeCell ref="A4691:B4691"/>
    <mergeCell ref="C4691:D4691"/>
    <mergeCell ref="E4691:I4691"/>
    <mergeCell ref="J4691:M4691"/>
    <mergeCell ref="N4691:P4691"/>
    <mergeCell ref="Q4691:R4691"/>
    <mergeCell ref="A4692:B4692"/>
    <mergeCell ref="C4692:D4692"/>
    <mergeCell ref="E4692:I4692"/>
    <mergeCell ref="J4692:M4692"/>
    <mergeCell ref="N4692:P4692"/>
    <mergeCell ref="Q4692:R4692"/>
    <mergeCell ref="A4693:B4693"/>
    <mergeCell ref="C4693:D4693"/>
    <mergeCell ref="E4693:I4693"/>
    <mergeCell ref="J4693:M4693"/>
    <mergeCell ref="N4693:P4693"/>
    <mergeCell ref="Q4693:R4693"/>
    <mergeCell ref="A4694:B4694"/>
    <mergeCell ref="C4694:D4694"/>
    <mergeCell ref="E4694:I4694"/>
    <mergeCell ref="J4694:M4694"/>
    <mergeCell ref="N4694:P4694"/>
    <mergeCell ref="Q4694:R4694"/>
    <mergeCell ref="A4695:B4695"/>
    <mergeCell ref="C4695:D4695"/>
    <mergeCell ref="E4695:I4695"/>
    <mergeCell ref="J4695:M4695"/>
    <mergeCell ref="N4695:P4695"/>
    <mergeCell ref="Q4695:R4695"/>
    <mergeCell ref="A4696:B4696"/>
    <mergeCell ref="C4696:D4696"/>
    <mergeCell ref="E4696:I4696"/>
    <mergeCell ref="J4696:M4696"/>
    <mergeCell ref="N4696:P4696"/>
    <mergeCell ref="Q4696:R4696"/>
    <mergeCell ref="A4697:B4697"/>
    <mergeCell ref="C4697:D4697"/>
    <mergeCell ref="E4697:I4697"/>
    <mergeCell ref="J4697:M4697"/>
    <mergeCell ref="N4697:P4697"/>
    <mergeCell ref="Q4697:R4697"/>
    <mergeCell ref="A4698:B4698"/>
    <mergeCell ref="C4698:D4698"/>
    <mergeCell ref="E4698:I4698"/>
    <mergeCell ref="J4698:M4698"/>
    <mergeCell ref="N4698:P4698"/>
    <mergeCell ref="Q4698:R4698"/>
    <mergeCell ref="A4699:B4699"/>
    <mergeCell ref="C4699:D4699"/>
    <mergeCell ref="E4699:I4699"/>
    <mergeCell ref="J4699:M4699"/>
    <mergeCell ref="N4699:P4699"/>
    <mergeCell ref="Q4699:R4699"/>
    <mergeCell ref="A4700:B4700"/>
    <mergeCell ref="C4700:D4700"/>
    <mergeCell ref="E4700:I4700"/>
    <mergeCell ref="J4700:M4700"/>
    <mergeCell ref="N4700:P4700"/>
    <mergeCell ref="Q4700:R4700"/>
    <mergeCell ref="A4701:B4701"/>
    <mergeCell ref="C4701:D4701"/>
    <mergeCell ref="E4701:I4701"/>
    <mergeCell ref="J4701:M4701"/>
    <mergeCell ref="N4701:P4701"/>
    <mergeCell ref="Q4701:R4701"/>
    <mergeCell ref="A4702:B4702"/>
    <mergeCell ref="C4702:D4702"/>
    <mergeCell ref="E4702:I4702"/>
    <mergeCell ref="J4702:M4702"/>
    <mergeCell ref="N4702:P4702"/>
    <mergeCell ref="Q4702:R4702"/>
    <mergeCell ref="A4703:B4703"/>
    <mergeCell ref="C4703:D4703"/>
    <mergeCell ref="E4703:I4703"/>
    <mergeCell ref="J4703:M4703"/>
    <mergeCell ref="N4703:P4703"/>
    <mergeCell ref="Q4703:R4703"/>
    <mergeCell ref="A4704:B4704"/>
    <mergeCell ref="C4704:D4704"/>
    <mergeCell ref="E4704:I4704"/>
    <mergeCell ref="J4704:M4704"/>
    <mergeCell ref="N4704:P4704"/>
    <mergeCell ref="Q4704:R4704"/>
    <mergeCell ref="A4705:B4705"/>
    <mergeCell ref="C4705:D4705"/>
    <mergeCell ref="E4705:I4705"/>
    <mergeCell ref="J4705:M4705"/>
    <mergeCell ref="N4705:P4705"/>
    <mergeCell ref="Q4705:R4705"/>
    <mergeCell ref="A4706:B4706"/>
    <mergeCell ref="C4706:D4706"/>
    <mergeCell ref="E4706:I4706"/>
    <mergeCell ref="J4706:M4706"/>
    <mergeCell ref="N4706:P4706"/>
    <mergeCell ref="Q4706:R4706"/>
    <mergeCell ref="A4707:B4707"/>
    <mergeCell ref="C4707:D4707"/>
    <mergeCell ref="E4707:I4707"/>
    <mergeCell ref="J4707:M4707"/>
    <mergeCell ref="N4707:P4707"/>
    <mergeCell ref="Q4707:R4707"/>
    <mergeCell ref="A4708:B4708"/>
    <mergeCell ref="C4708:D4708"/>
    <mergeCell ref="E4708:I4708"/>
    <mergeCell ref="J4708:M4708"/>
    <mergeCell ref="N4708:P4708"/>
    <mergeCell ref="Q4708:R4708"/>
    <mergeCell ref="A4709:B4709"/>
    <mergeCell ref="C4709:D4709"/>
    <mergeCell ref="E4709:I4709"/>
    <mergeCell ref="J4709:M4709"/>
    <mergeCell ref="N4709:P4709"/>
    <mergeCell ref="Q4709:R4709"/>
    <mergeCell ref="A4710:B4710"/>
    <mergeCell ref="C4710:D4710"/>
    <mergeCell ref="E4710:I4710"/>
    <mergeCell ref="J4710:M4710"/>
    <mergeCell ref="N4710:P4710"/>
    <mergeCell ref="Q4710:R4710"/>
    <mergeCell ref="A4711:B4711"/>
    <mergeCell ref="C4711:D4711"/>
    <mergeCell ref="E4711:I4711"/>
    <mergeCell ref="J4711:M4711"/>
    <mergeCell ref="N4711:P4711"/>
    <mergeCell ref="Q4711:R4711"/>
    <mergeCell ref="A4712:B4712"/>
    <mergeCell ref="C4712:D4712"/>
    <mergeCell ref="E4712:I4712"/>
    <mergeCell ref="J4712:M4712"/>
    <mergeCell ref="N4712:P4712"/>
    <mergeCell ref="Q4712:R4712"/>
    <mergeCell ref="A4713:B4713"/>
    <mergeCell ref="C4713:D4713"/>
    <mergeCell ref="E4713:I4713"/>
    <mergeCell ref="J4713:M4713"/>
    <mergeCell ref="N4713:P4713"/>
    <mergeCell ref="Q4713:R4713"/>
    <mergeCell ref="A4714:B4714"/>
    <mergeCell ref="C4714:D4714"/>
    <mergeCell ref="E4714:I4714"/>
    <mergeCell ref="J4714:M4714"/>
    <mergeCell ref="N4714:P4714"/>
    <mergeCell ref="Q4714:R4714"/>
    <mergeCell ref="A4715:B4715"/>
    <mergeCell ref="C4715:D4715"/>
    <mergeCell ref="E4715:I4715"/>
    <mergeCell ref="J4715:M4715"/>
    <mergeCell ref="N4715:P4715"/>
    <mergeCell ref="Q4715:R4715"/>
    <mergeCell ref="A4716:B4716"/>
    <mergeCell ref="C4716:D4716"/>
    <mergeCell ref="E4716:I4716"/>
    <mergeCell ref="J4716:M4716"/>
    <mergeCell ref="N4716:P4716"/>
    <mergeCell ref="Q4716:R4716"/>
    <mergeCell ref="A4717:B4717"/>
    <mergeCell ref="C4717:D4717"/>
    <mergeCell ref="E4717:I4717"/>
    <mergeCell ref="J4717:M4717"/>
    <mergeCell ref="N4717:P4717"/>
    <mergeCell ref="Q4717:R4717"/>
    <mergeCell ref="A4718:B4718"/>
    <mergeCell ref="C4718:D4718"/>
    <mergeCell ref="E4718:I4718"/>
    <mergeCell ref="J4718:M4718"/>
    <mergeCell ref="N4718:P4718"/>
    <mergeCell ref="Q4718:R4718"/>
    <mergeCell ref="A4719:B4719"/>
    <mergeCell ref="C4719:D4719"/>
    <mergeCell ref="E4719:I4719"/>
    <mergeCell ref="J4719:M4719"/>
    <mergeCell ref="N4719:P4719"/>
    <mergeCell ref="Q4719:R4719"/>
    <mergeCell ref="A4720:B4720"/>
    <mergeCell ref="C4720:D4720"/>
    <mergeCell ref="E4720:I4720"/>
    <mergeCell ref="J4720:M4720"/>
    <mergeCell ref="N4720:P4720"/>
    <mergeCell ref="Q4720:R4720"/>
    <mergeCell ref="A4721:B4721"/>
    <mergeCell ref="C4721:D4721"/>
    <mergeCell ref="E4721:I4721"/>
    <mergeCell ref="J4721:M4721"/>
    <mergeCell ref="N4721:P4721"/>
    <mergeCell ref="Q4721:R4721"/>
    <mergeCell ref="A4722:B4722"/>
    <mergeCell ref="C4722:D4722"/>
    <mergeCell ref="E4722:I4722"/>
    <mergeCell ref="J4722:M4722"/>
    <mergeCell ref="N4722:P4722"/>
    <mergeCell ref="Q4722:R4722"/>
    <mergeCell ref="A4723:B4723"/>
    <mergeCell ref="C4723:D4723"/>
    <mergeCell ref="E4723:I4723"/>
    <mergeCell ref="J4723:M4723"/>
    <mergeCell ref="N4723:P4723"/>
    <mergeCell ref="Q4723:R4723"/>
    <mergeCell ref="A4724:B4724"/>
    <mergeCell ref="C4724:D4724"/>
    <mergeCell ref="E4724:I4724"/>
    <mergeCell ref="J4724:M4724"/>
    <mergeCell ref="N4724:P4724"/>
    <mergeCell ref="Q4724:R4724"/>
    <mergeCell ref="A4725:B4725"/>
    <mergeCell ref="C4725:D4725"/>
    <mergeCell ref="E4725:I4725"/>
    <mergeCell ref="J4725:M4725"/>
    <mergeCell ref="N4725:P4725"/>
    <mergeCell ref="Q4725:R4725"/>
    <mergeCell ref="A4726:B4726"/>
    <mergeCell ref="C4726:D4726"/>
    <mergeCell ref="E4726:I4726"/>
    <mergeCell ref="J4726:M4726"/>
    <mergeCell ref="N4726:P4726"/>
    <mergeCell ref="Q4726:R4726"/>
    <mergeCell ref="A4727:B4727"/>
    <mergeCell ref="C4727:D4727"/>
    <mergeCell ref="E4727:I4727"/>
    <mergeCell ref="J4727:M4727"/>
    <mergeCell ref="N4727:P4727"/>
    <mergeCell ref="Q4727:R4727"/>
    <mergeCell ref="A4728:B4728"/>
    <mergeCell ref="C4728:D4728"/>
    <mergeCell ref="E4728:I4728"/>
    <mergeCell ref="J4728:M4728"/>
    <mergeCell ref="N4728:P4728"/>
    <mergeCell ref="Q4728:R4728"/>
    <mergeCell ref="A4729:B4729"/>
    <mergeCell ref="C4729:D4729"/>
    <mergeCell ref="E4729:I4729"/>
    <mergeCell ref="J4729:M4729"/>
    <mergeCell ref="N4729:P4729"/>
    <mergeCell ref="Q4729:R4729"/>
    <mergeCell ref="A4730:B4730"/>
    <mergeCell ref="C4730:D4730"/>
    <mergeCell ref="E4730:I4730"/>
    <mergeCell ref="J4730:M4730"/>
    <mergeCell ref="N4730:P4730"/>
    <mergeCell ref="Q4730:R4730"/>
    <mergeCell ref="A4731:B4731"/>
    <mergeCell ref="C4731:D4731"/>
    <mergeCell ref="E4731:I4731"/>
    <mergeCell ref="J4731:M4731"/>
    <mergeCell ref="N4731:P4731"/>
    <mergeCell ref="Q4731:R4731"/>
    <mergeCell ref="A4732:B4732"/>
    <mergeCell ref="C4732:D4732"/>
    <mergeCell ref="E4732:I4732"/>
    <mergeCell ref="J4732:M4732"/>
    <mergeCell ref="N4732:P4732"/>
    <mergeCell ref="Q4732:R4732"/>
    <mergeCell ref="A4733:B4733"/>
    <mergeCell ref="C4733:D4733"/>
    <mergeCell ref="E4733:I4733"/>
    <mergeCell ref="J4733:M4733"/>
    <mergeCell ref="N4733:P4733"/>
    <mergeCell ref="Q4733:R4733"/>
    <mergeCell ref="A4734:B4734"/>
    <mergeCell ref="C4734:D4734"/>
    <mergeCell ref="E4734:I4734"/>
    <mergeCell ref="J4734:M4734"/>
    <mergeCell ref="N4734:P4734"/>
    <mergeCell ref="Q4734:R4734"/>
    <mergeCell ref="A4735:B4735"/>
    <mergeCell ref="C4735:D4735"/>
    <mergeCell ref="E4735:I4735"/>
    <mergeCell ref="J4735:M4735"/>
    <mergeCell ref="N4735:P4735"/>
    <mergeCell ref="Q4735:R4735"/>
    <mergeCell ref="A4736:B4736"/>
    <mergeCell ref="C4736:D4736"/>
    <mergeCell ref="E4736:I4736"/>
    <mergeCell ref="J4736:M4736"/>
    <mergeCell ref="N4736:P4736"/>
    <mergeCell ref="Q4736:R4736"/>
    <mergeCell ref="A4737:B4737"/>
    <mergeCell ref="C4737:D4737"/>
    <mergeCell ref="E4737:I4737"/>
    <mergeCell ref="J4737:M4737"/>
    <mergeCell ref="N4737:P4737"/>
    <mergeCell ref="Q4737:R4737"/>
    <mergeCell ref="A4738:B4738"/>
    <mergeCell ref="C4738:D4738"/>
    <mergeCell ref="E4738:I4738"/>
    <mergeCell ref="J4738:M4738"/>
    <mergeCell ref="N4738:P4738"/>
    <mergeCell ref="Q4738:R4738"/>
    <mergeCell ref="A4739:B4739"/>
    <mergeCell ref="C4739:D4739"/>
    <mergeCell ref="E4739:I4739"/>
    <mergeCell ref="J4739:M4739"/>
    <mergeCell ref="N4739:P4739"/>
    <mergeCell ref="Q4739:R4739"/>
    <mergeCell ref="A4740:B4740"/>
    <mergeCell ref="C4740:D4740"/>
    <mergeCell ref="E4740:I4740"/>
    <mergeCell ref="J4740:M4740"/>
    <mergeCell ref="N4740:P4740"/>
    <mergeCell ref="Q4740:R4740"/>
    <mergeCell ref="A4741:B4741"/>
    <mergeCell ref="C4741:D4741"/>
    <mergeCell ref="E4741:I4741"/>
    <mergeCell ref="J4741:M4741"/>
    <mergeCell ref="N4741:P4741"/>
    <mergeCell ref="Q4741:R4741"/>
    <mergeCell ref="A4742:B4742"/>
    <mergeCell ref="C4742:D4742"/>
    <mergeCell ref="E4742:I4742"/>
    <mergeCell ref="J4742:M4742"/>
    <mergeCell ref="N4742:P4742"/>
    <mergeCell ref="Q4742:R4742"/>
    <mergeCell ref="A4743:B4743"/>
    <mergeCell ref="C4743:D4743"/>
    <mergeCell ref="E4743:I4743"/>
    <mergeCell ref="J4743:M4743"/>
    <mergeCell ref="N4743:P4743"/>
    <mergeCell ref="Q4743:R4743"/>
    <mergeCell ref="A4744:B4744"/>
    <mergeCell ref="C4744:D4744"/>
    <mergeCell ref="E4744:I4744"/>
    <mergeCell ref="J4744:M4744"/>
    <mergeCell ref="N4744:P4744"/>
    <mergeCell ref="Q4744:R4744"/>
    <mergeCell ref="A4745:B4745"/>
    <mergeCell ref="C4745:D4745"/>
    <mergeCell ref="E4745:I4745"/>
    <mergeCell ref="J4745:M4745"/>
    <mergeCell ref="N4745:P4745"/>
    <mergeCell ref="Q4745:R4745"/>
    <mergeCell ref="A4746:B4746"/>
    <mergeCell ref="C4746:D4746"/>
    <mergeCell ref="E4746:I4746"/>
    <mergeCell ref="J4746:M4746"/>
    <mergeCell ref="N4746:P4746"/>
    <mergeCell ref="Q4746:R4746"/>
    <mergeCell ref="A4747:B4747"/>
    <mergeCell ref="C4747:D4747"/>
    <mergeCell ref="E4747:I4747"/>
    <mergeCell ref="J4747:M4747"/>
    <mergeCell ref="N4747:P4747"/>
    <mergeCell ref="Q4747:R4747"/>
    <mergeCell ref="A4748:B4748"/>
    <mergeCell ref="C4748:D4748"/>
    <mergeCell ref="E4748:I4748"/>
    <mergeCell ref="J4748:M4748"/>
    <mergeCell ref="N4748:P4748"/>
    <mergeCell ref="Q4748:R4748"/>
    <mergeCell ref="A4749:B4749"/>
    <mergeCell ref="C4749:D4749"/>
    <mergeCell ref="E4749:I4749"/>
    <mergeCell ref="J4749:M4749"/>
    <mergeCell ref="N4749:P4749"/>
    <mergeCell ref="Q4749:R4749"/>
    <mergeCell ref="A4750:B4750"/>
    <mergeCell ref="C4750:D4750"/>
    <mergeCell ref="E4750:I4750"/>
    <mergeCell ref="J4750:M4750"/>
    <mergeCell ref="N4750:P4750"/>
    <mergeCell ref="Q4750:R4750"/>
    <mergeCell ref="A4751:B4751"/>
    <mergeCell ref="C4751:D4751"/>
    <mergeCell ref="E4751:I4751"/>
    <mergeCell ref="J4751:M4751"/>
    <mergeCell ref="N4751:P4751"/>
    <mergeCell ref="Q4751:R4751"/>
    <mergeCell ref="A4752:B4752"/>
    <mergeCell ref="C4752:D4752"/>
    <mergeCell ref="E4752:I4752"/>
    <mergeCell ref="J4752:M4752"/>
    <mergeCell ref="N4752:P4752"/>
    <mergeCell ref="Q4752:R4752"/>
    <mergeCell ref="A4753:B4753"/>
    <mergeCell ref="C4753:D4753"/>
    <mergeCell ref="E4753:I4753"/>
    <mergeCell ref="J4753:M4753"/>
    <mergeCell ref="N4753:P4753"/>
    <mergeCell ref="Q4753:R4753"/>
    <mergeCell ref="A4754:B4754"/>
    <mergeCell ref="C4754:D4754"/>
    <mergeCell ref="E4754:I4754"/>
    <mergeCell ref="J4754:M4754"/>
    <mergeCell ref="N4754:P4754"/>
    <mergeCell ref="Q4754:R4754"/>
    <mergeCell ref="A4755:B4755"/>
    <mergeCell ref="C4755:D4755"/>
    <mergeCell ref="E4755:I4755"/>
    <mergeCell ref="J4755:M4755"/>
    <mergeCell ref="N4755:P4755"/>
    <mergeCell ref="Q4755:R4755"/>
    <mergeCell ref="A4756:B4756"/>
    <mergeCell ref="C4756:D4756"/>
    <mergeCell ref="E4756:I4756"/>
    <mergeCell ref="J4756:M4756"/>
    <mergeCell ref="N4756:P4756"/>
    <mergeCell ref="Q4756:R4756"/>
    <mergeCell ref="A4757:B4757"/>
    <mergeCell ref="C4757:D4757"/>
    <mergeCell ref="E4757:I4757"/>
    <mergeCell ref="J4757:M4757"/>
    <mergeCell ref="N4757:P4757"/>
    <mergeCell ref="Q4757:R4757"/>
    <mergeCell ref="A4758:B4758"/>
    <mergeCell ref="C4758:D4758"/>
    <mergeCell ref="E4758:I4758"/>
    <mergeCell ref="J4758:M4758"/>
    <mergeCell ref="N4758:P4758"/>
    <mergeCell ref="Q4758:R4758"/>
    <mergeCell ref="A4759:B4759"/>
    <mergeCell ref="C4759:D4759"/>
    <mergeCell ref="E4759:I4759"/>
    <mergeCell ref="J4759:M4759"/>
    <mergeCell ref="N4759:P4759"/>
    <mergeCell ref="Q4759:R4759"/>
    <mergeCell ref="A4760:B4760"/>
    <mergeCell ref="C4760:D4760"/>
    <mergeCell ref="E4760:I4760"/>
    <mergeCell ref="J4760:M4760"/>
    <mergeCell ref="N4760:P4760"/>
    <mergeCell ref="Q4760:R4760"/>
    <mergeCell ref="A4761:B4761"/>
    <mergeCell ref="C4761:D4761"/>
    <mergeCell ref="E4761:I4761"/>
    <mergeCell ref="J4761:M4761"/>
    <mergeCell ref="N4761:P4761"/>
    <mergeCell ref="Q4761:R4761"/>
    <mergeCell ref="A4762:B4762"/>
    <mergeCell ref="C4762:D4762"/>
    <mergeCell ref="E4762:I4762"/>
    <mergeCell ref="J4762:M4762"/>
    <mergeCell ref="N4762:P4762"/>
    <mergeCell ref="Q4762:R4762"/>
    <mergeCell ref="A4763:B4763"/>
    <mergeCell ref="C4763:D4763"/>
    <mergeCell ref="E4763:I4763"/>
    <mergeCell ref="J4763:M4763"/>
    <mergeCell ref="N4763:P4763"/>
    <mergeCell ref="Q4763:R4763"/>
    <mergeCell ref="A4764:B4764"/>
    <mergeCell ref="C4764:D4764"/>
    <mergeCell ref="E4764:I4764"/>
    <mergeCell ref="J4764:M4764"/>
    <mergeCell ref="N4764:P4764"/>
    <mergeCell ref="Q4764:R4764"/>
    <mergeCell ref="A4765:B4765"/>
    <mergeCell ref="C4765:D4765"/>
    <mergeCell ref="E4765:I4765"/>
    <mergeCell ref="J4765:M4765"/>
    <mergeCell ref="N4765:P4765"/>
    <mergeCell ref="Q4765:R4765"/>
    <mergeCell ref="A4766:B4766"/>
    <mergeCell ref="C4766:D4766"/>
    <mergeCell ref="E4766:I4766"/>
    <mergeCell ref="J4766:M4766"/>
    <mergeCell ref="N4766:P4766"/>
    <mergeCell ref="Q4766:R4766"/>
    <mergeCell ref="A4767:B4767"/>
    <mergeCell ref="C4767:D4767"/>
    <mergeCell ref="E4767:I4767"/>
    <mergeCell ref="J4767:M4767"/>
    <mergeCell ref="N4767:P4767"/>
    <mergeCell ref="Q4767:R4767"/>
    <mergeCell ref="A4768:B4768"/>
    <mergeCell ref="C4768:D4768"/>
    <mergeCell ref="E4768:I4768"/>
    <mergeCell ref="J4768:M4768"/>
    <mergeCell ref="N4768:P4768"/>
    <mergeCell ref="Q4768:R4768"/>
    <mergeCell ref="A4769:B4769"/>
    <mergeCell ref="C4769:D4769"/>
    <mergeCell ref="E4769:I4769"/>
    <mergeCell ref="J4769:M4769"/>
    <mergeCell ref="N4769:P4769"/>
    <mergeCell ref="Q4769:R4769"/>
    <mergeCell ref="A4770:B4770"/>
    <mergeCell ref="C4770:D4770"/>
    <mergeCell ref="E4770:I4770"/>
    <mergeCell ref="J4770:M4770"/>
    <mergeCell ref="N4770:P4770"/>
    <mergeCell ref="Q4770:R4770"/>
    <mergeCell ref="A4771:B4771"/>
    <mergeCell ref="C4771:D4771"/>
    <mergeCell ref="E4771:I4771"/>
    <mergeCell ref="J4771:M4771"/>
    <mergeCell ref="N4771:P4771"/>
    <mergeCell ref="Q4771:R4771"/>
    <mergeCell ref="A4772:B4772"/>
    <mergeCell ref="C4772:D4772"/>
    <mergeCell ref="E4772:I4772"/>
    <mergeCell ref="J4772:M4772"/>
    <mergeCell ref="N4772:P4772"/>
    <mergeCell ref="Q4772:R4772"/>
    <mergeCell ref="A4773:B4773"/>
    <mergeCell ref="C4773:D4773"/>
    <mergeCell ref="E4773:I4773"/>
    <mergeCell ref="J4773:M4773"/>
    <mergeCell ref="N4773:P4773"/>
    <mergeCell ref="Q4773:R4773"/>
    <mergeCell ref="A4774:B4774"/>
    <mergeCell ref="C4774:D4774"/>
    <mergeCell ref="E4774:I4774"/>
    <mergeCell ref="J4774:M4774"/>
    <mergeCell ref="N4774:P4774"/>
    <mergeCell ref="Q4774:R4774"/>
    <mergeCell ref="A4775:B4775"/>
    <mergeCell ref="C4775:D4775"/>
    <mergeCell ref="E4775:I4775"/>
    <mergeCell ref="J4775:M4775"/>
    <mergeCell ref="N4775:P4775"/>
    <mergeCell ref="Q4775:R4775"/>
    <mergeCell ref="A4776:B4776"/>
    <mergeCell ref="C4776:D4776"/>
    <mergeCell ref="E4776:I4776"/>
    <mergeCell ref="J4776:M4776"/>
    <mergeCell ref="N4776:P4776"/>
    <mergeCell ref="Q4776:R4776"/>
    <mergeCell ref="A4777:B4777"/>
    <mergeCell ref="C4777:D4777"/>
    <mergeCell ref="E4777:I4777"/>
    <mergeCell ref="J4777:M4777"/>
    <mergeCell ref="N4777:P4777"/>
    <mergeCell ref="Q4777:R4777"/>
    <mergeCell ref="A4778:B4778"/>
    <mergeCell ref="C4778:D4778"/>
    <mergeCell ref="E4778:I4778"/>
    <mergeCell ref="J4778:M4778"/>
    <mergeCell ref="N4778:P4778"/>
    <mergeCell ref="Q4778:R4778"/>
    <mergeCell ref="A4779:B4779"/>
    <mergeCell ref="C4779:D4779"/>
    <mergeCell ref="E4779:I4779"/>
    <mergeCell ref="J4779:M4779"/>
    <mergeCell ref="N4779:P4779"/>
    <mergeCell ref="Q4779:R4779"/>
    <mergeCell ref="A4780:B4780"/>
    <mergeCell ref="C4780:D4780"/>
    <mergeCell ref="E4780:I4780"/>
    <mergeCell ref="J4780:M4780"/>
    <mergeCell ref="N4780:P4780"/>
    <mergeCell ref="Q4780:R4780"/>
    <mergeCell ref="A4781:B4781"/>
    <mergeCell ref="C4781:D4781"/>
    <mergeCell ref="E4781:I4781"/>
    <mergeCell ref="J4781:M4781"/>
    <mergeCell ref="N4781:P4781"/>
    <mergeCell ref="Q4781:R4781"/>
    <mergeCell ref="A4782:B4782"/>
    <mergeCell ref="C4782:D4782"/>
    <mergeCell ref="E4782:I4782"/>
    <mergeCell ref="J4782:M4782"/>
    <mergeCell ref="N4782:P4782"/>
    <mergeCell ref="Q4782:R4782"/>
    <mergeCell ref="A4783:B4783"/>
    <mergeCell ref="C4783:D4783"/>
    <mergeCell ref="E4783:I4783"/>
    <mergeCell ref="J4783:M4783"/>
    <mergeCell ref="N4783:P4783"/>
    <mergeCell ref="Q4783:R4783"/>
    <mergeCell ref="A4784:B4784"/>
    <mergeCell ref="C4784:D4784"/>
    <mergeCell ref="E4784:I4784"/>
    <mergeCell ref="J4784:M4784"/>
    <mergeCell ref="N4784:P4784"/>
    <mergeCell ref="Q4784:R4784"/>
    <mergeCell ref="A4785:B4785"/>
    <mergeCell ref="C4785:D4785"/>
    <mergeCell ref="E4785:I4785"/>
    <mergeCell ref="J4785:M4785"/>
    <mergeCell ref="N4785:P4785"/>
    <mergeCell ref="Q4785:R4785"/>
    <mergeCell ref="A4786:B4786"/>
    <mergeCell ref="C4786:D4786"/>
    <mergeCell ref="E4786:I4786"/>
    <mergeCell ref="J4786:M4786"/>
    <mergeCell ref="N4786:P4786"/>
    <mergeCell ref="Q4786:R4786"/>
    <mergeCell ref="A4787:B4787"/>
    <mergeCell ref="C4787:D4787"/>
    <mergeCell ref="E4787:I4787"/>
    <mergeCell ref="J4787:M4787"/>
    <mergeCell ref="N4787:P4787"/>
    <mergeCell ref="Q4787:R4787"/>
    <mergeCell ref="A4788:B4788"/>
    <mergeCell ref="C4788:D4788"/>
    <mergeCell ref="E4788:I4788"/>
    <mergeCell ref="J4788:M4788"/>
    <mergeCell ref="N4788:P4788"/>
    <mergeCell ref="Q4788:R4788"/>
    <mergeCell ref="A4789:B4789"/>
    <mergeCell ref="C4789:D4789"/>
    <mergeCell ref="E4789:I4789"/>
    <mergeCell ref="J4789:M4789"/>
    <mergeCell ref="N4789:P4789"/>
    <mergeCell ref="Q4789:R4789"/>
    <mergeCell ref="A4790:B4790"/>
    <mergeCell ref="C4790:D4790"/>
    <mergeCell ref="E4790:I4790"/>
    <mergeCell ref="J4790:M4790"/>
    <mergeCell ref="N4790:P4790"/>
    <mergeCell ref="Q4790:R4790"/>
    <mergeCell ref="A4791:B4791"/>
    <mergeCell ref="C4791:D4791"/>
    <mergeCell ref="E4791:I4791"/>
    <mergeCell ref="J4791:M4791"/>
    <mergeCell ref="N4791:P4791"/>
    <mergeCell ref="Q4791:R4791"/>
    <mergeCell ref="A4792:B4792"/>
    <mergeCell ref="C4792:D4792"/>
    <mergeCell ref="E4792:I4792"/>
    <mergeCell ref="J4792:M4792"/>
    <mergeCell ref="N4792:P4792"/>
    <mergeCell ref="Q4792:R4792"/>
    <mergeCell ref="A4793:B4793"/>
    <mergeCell ref="C4793:D4793"/>
    <mergeCell ref="E4793:I4793"/>
    <mergeCell ref="J4793:M4793"/>
    <mergeCell ref="N4793:P4793"/>
    <mergeCell ref="Q4793:R4793"/>
    <mergeCell ref="A4794:B4794"/>
    <mergeCell ref="C4794:D4794"/>
    <mergeCell ref="E4794:I4794"/>
    <mergeCell ref="J4794:M4794"/>
    <mergeCell ref="N4794:P4794"/>
    <mergeCell ref="Q4794:R4794"/>
    <mergeCell ref="A4795:B4795"/>
    <mergeCell ref="C4795:D4795"/>
    <mergeCell ref="E4795:I4795"/>
    <mergeCell ref="J4795:M4795"/>
    <mergeCell ref="N4795:P4795"/>
    <mergeCell ref="Q4795:R4795"/>
    <mergeCell ref="A4796:B4796"/>
    <mergeCell ref="C4796:D4796"/>
    <mergeCell ref="E4796:I4796"/>
    <mergeCell ref="J4796:M4796"/>
    <mergeCell ref="N4796:P4796"/>
    <mergeCell ref="Q4796:R4796"/>
    <mergeCell ref="A4797:B4797"/>
    <mergeCell ref="C4797:D4797"/>
    <mergeCell ref="E4797:I4797"/>
    <mergeCell ref="J4797:M4797"/>
    <mergeCell ref="N4797:P4797"/>
    <mergeCell ref="Q4797:R4797"/>
    <mergeCell ref="A4798:B4798"/>
    <mergeCell ref="C4798:D4798"/>
    <mergeCell ref="E4798:I4798"/>
    <mergeCell ref="J4798:M4798"/>
    <mergeCell ref="N4798:P4798"/>
    <mergeCell ref="Q4798:R4798"/>
    <mergeCell ref="A4799:B4799"/>
    <mergeCell ref="C4799:D4799"/>
    <mergeCell ref="E4799:I4799"/>
    <mergeCell ref="J4799:M4799"/>
    <mergeCell ref="N4799:P4799"/>
    <mergeCell ref="Q4799:R4799"/>
    <mergeCell ref="A4800:B4800"/>
    <mergeCell ref="C4800:D4800"/>
    <mergeCell ref="E4800:I4800"/>
    <mergeCell ref="J4800:M4800"/>
    <mergeCell ref="N4800:P4800"/>
    <mergeCell ref="Q4800:R4800"/>
    <mergeCell ref="A4801:B4801"/>
    <mergeCell ref="C4801:D4801"/>
    <mergeCell ref="E4801:I4801"/>
    <mergeCell ref="J4801:M4801"/>
    <mergeCell ref="N4801:P4801"/>
    <mergeCell ref="Q4801:R4801"/>
    <mergeCell ref="A4802:B4802"/>
    <mergeCell ref="C4802:D4802"/>
    <mergeCell ref="E4802:I4802"/>
    <mergeCell ref="J4802:M4802"/>
    <mergeCell ref="N4802:P4802"/>
    <mergeCell ref="Q4802:R4802"/>
    <mergeCell ref="A4803:B4803"/>
    <mergeCell ref="C4803:D4803"/>
    <mergeCell ref="E4803:I4803"/>
    <mergeCell ref="J4803:M4803"/>
    <mergeCell ref="N4803:P4803"/>
    <mergeCell ref="Q4803:R4803"/>
    <mergeCell ref="A4804:B4804"/>
    <mergeCell ref="C4804:D4804"/>
    <mergeCell ref="E4804:I4804"/>
    <mergeCell ref="J4804:M4804"/>
    <mergeCell ref="N4804:P4804"/>
    <mergeCell ref="Q4804:R4804"/>
    <mergeCell ref="A4805:B4805"/>
    <mergeCell ref="C4805:D4805"/>
    <mergeCell ref="E4805:I4805"/>
    <mergeCell ref="J4805:M4805"/>
    <mergeCell ref="N4805:P4805"/>
    <mergeCell ref="Q4805:R4805"/>
    <mergeCell ref="A4806:B4806"/>
    <mergeCell ref="C4806:D4806"/>
    <mergeCell ref="E4806:I4806"/>
    <mergeCell ref="J4806:M4806"/>
    <mergeCell ref="N4806:P4806"/>
    <mergeCell ref="Q4806:R4806"/>
    <mergeCell ref="A4807:B4807"/>
    <mergeCell ref="C4807:D4807"/>
    <mergeCell ref="E4807:I4807"/>
    <mergeCell ref="J4807:M4807"/>
    <mergeCell ref="N4807:P4807"/>
    <mergeCell ref="Q4807:R4807"/>
    <mergeCell ref="A4808:B4808"/>
    <mergeCell ref="C4808:D4808"/>
    <mergeCell ref="E4808:I4808"/>
    <mergeCell ref="J4808:M4808"/>
    <mergeCell ref="N4808:P4808"/>
    <mergeCell ref="Q4808:R4808"/>
    <mergeCell ref="A4809:B4809"/>
    <mergeCell ref="C4809:D4809"/>
    <mergeCell ref="E4809:I4809"/>
    <mergeCell ref="J4809:M4809"/>
    <mergeCell ref="N4809:P4809"/>
    <mergeCell ref="Q4809:R4809"/>
    <mergeCell ref="A4810:B4810"/>
    <mergeCell ref="C4810:D4810"/>
    <mergeCell ref="E4810:I4810"/>
    <mergeCell ref="J4810:M4810"/>
    <mergeCell ref="N4810:P4810"/>
    <mergeCell ref="Q4810:R4810"/>
    <mergeCell ref="A4811:B4811"/>
    <mergeCell ref="C4811:D4811"/>
    <mergeCell ref="E4811:I4811"/>
    <mergeCell ref="J4811:M4811"/>
    <mergeCell ref="N4811:P4811"/>
    <mergeCell ref="Q4811:R4811"/>
    <mergeCell ref="A4812:B4812"/>
    <mergeCell ref="C4812:D4812"/>
    <mergeCell ref="E4812:I4812"/>
    <mergeCell ref="J4812:M4812"/>
    <mergeCell ref="N4812:P4812"/>
    <mergeCell ref="Q4812:R4812"/>
    <mergeCell ref="A4813:B4813"/>
    <mergeCell ref="C4813:D4813"/>
    <mergeCell ref="E4813:I4813"/>
    <mergeCell ref="J4813:M4813"/>
    <mergeCell ref="N4813:P4813"/>
    <mergeCell ref="Q4813:R4813"/>
    <mergeCell ref="A4814:B4814"/>
    <mergeCell ref="C4814:D4814"/>
    <mergeCell ref="E4814:I4814"/>
    <mergeCell ref="J4814:M4814"/>
    <mergeCell ref="N4814:P4814"/>
    <mergeCell ref="Q4814:R4814"/>
    <mergeCell ref="A4815:B4815"/>
    <mergeCell ref="C4815:D4815"/>
    <mergeCell ref="E4815:I4815"/>
    <mergeCell ref="J4815:M4815"/>
    <mergeCell ref="N4815:P4815"/>
    <mergeCell ref="Q4815:R4815"/>
    <mergeCell ref="A4816:B4816"/>
    <mergeCell ref="C4816:D4816"/>
    <mergeCell ref="E4816:I4816"/>
    <mergeCell ref="J4816:M4816"/>
    <mergeCell ref="N4816:P4816"/>
    <mergeCell ref="Q4816:R4816"/>
    <mergeCell ref="A4817:B4817"/>
    <mergeCell ref="C4817:D4817"/>
    <mergeCell ref="E4817:I4817"/>
    <mergeCell ref="J4817:M4817"/>
    <mergeCell ref="N4817:P4817"/>
    <mergeCell ref="Q4817:R4817"/>
    <mergeCell ref="A4818:B4818"/>
    <mergeCell ref="C4818:D4818"/>
    <mergeCell ref="E4818:I4818"/>
    <mergeCell ref="J4818:M4818"/>
    <mergeCell ref="N4818:P4818"/>
    <mergeCell ref="Q4818:R4818"/>
    <mergeCell ref="A4819:B4819"/>
    <mergeCell ref="C4819:D4819"/>
    <mergeCell ref="E4819:I4819"/>
    <mergeCell ref="J4819:M4819"/>
    <mergeCell ref="N4819:P4819"/>
    <mergeCell ref="Q4819:R4819"/>
    <mergeCell ref="A4820:B4820"/>
    <mergeCell ref="C4820:D4820"/>
    <mergeCell ref="E4820:I4820"/>
    <mergeCell ref="J4820:M4820"/>
    <mergeCell ref="N4820:P4820"/>
    <mergeCell ref="Q4820:R4820"/>
    <mergeCell ref="A4821:B4821"/>
    <mergeCell ref="C4821:D4821"/>
    <mergeCell ref="E4821:I4821"/>
    <mergeCell ref="J4821:M4821"/>
    <mergeCell ref="N4821:P4821"/>
    <mergeCell ref="Q4821:R4821"/>
    <mergeCell ref="A4822:B4822"/>
    <mergeCell ref="C4822:D4822"/>
    <mergeCell ref="E4822:I4822"/>
    <mergeCell ref="J4822:M4822"/>
    <mergeCell ref="N4822:P4822"/>
    <mergeCell ref="Q4822:R4822"/>
    <mergeCell ref="A4823:B4823"/>
    <mergeCell ref="C4823:D4823"/>
    <mergeCell ref="E4823:I4823"/>
    <mergeCell ref="J4823:M4823"/>
    <mergeCell ref="N4823:P4823"/>
    <mergeCell ref="Q4823:R4823"/>
    <mergeCell ref="A4824:B4824"/>
    <mergeCell ref="C4824:D4824"/>
    <mergeCell ref="E4824:I4824"/>
    <mergeCell ref="J4824:M4824"/>
    <mergeCell ref="N4824:P4824"/>
    <mergeCell ref="Q4824:R4824"/>
    <mergeCell ref="A4825:B4825"/>
    <mergeCell ref="C4825:D4825"/>
    <mergeCell ref="E4825:I4825"/>
    <mergeCell ref="J4825:M4825"/>
    <mergeCell ref="N4825:P4825"/>
    <mergeCell ref="Q4825:R4825"/>
    <mergeCell ref="A4826:B4826"/>
    <mergeCell ref="C4826:D4826"/>
    <mergeCell ref="E4826:I4826"/>
    <mergeCell ref="J4826:M4826"/>
    <mergeCell ref="N4826:P4826"/>
    <mergeCell ref="Q4826:R4826"/>
    <mergeCell ref="A4827:B4827"/>
    <mergeCell ref="C4827:D4827"/>
    <mergeCell ref="E4827:I4827"/>
    <mergeCell ref="J4827:M4827"/>
    <mergeCell ref="N4827:P4827"/>
    <mergeCell ref="Q4827:R4827"/>
    <mergeCell ref="A4828:B4828"/>
    <mergeCell ref="C4828:D4828"/>
    <mergeCell ref="E4828:I4828"/>
    <mergeCell ref="J4828:M4828"/>
    <mergeCell ref="N4828:P4828"/>
    <mergeCell ref="Q4828:R4828"/>
    <mergeCell ref="A4829:B4829"/>
    <mergeCell ref="C4829:D4829"/>
    <mergeCell ref="E4829:I4829"/>
    <mergeCell ref="J4829:M4829"/>
    <mergeCell ref="N4829:P4829"/>
    <mergeCell ref="Q4829:R4829"/>
    <mergeCell ref="A4830:B4830"/>
    <mergeCell ref="C4830:D4830"/>
    <mergeCell ref="E4830:I4830"/>
    <mergeCell ref="J4830:M4830"/>
    <mergeCell ref="N4830:P4830"/>
    <mergeCell ref="Q4830:R4830"/>
    <mergeCell ref="A4831:B4831"/>
    <mergeCell ref="C4831:D4831"/>
    <mergeCell ref="E4831:I4831"/>
    <mergeCell ref="J4831:M4831"/>
    <mergeCell ref="N4831:P4831"/>
    <mergeCell ref="Q4831:R4831"/>
    <mergeCell ref="A4832:B4832"/>
    <mergeCell ref="C4832:D4832"/>
    <mergeCell ref="E4832:I4832"/>
    <mergeCell ref="J4832:M4832"/>
    <mergeCell ref="N4832:P4832"/>
    <mergeCell ref="Q4832:R4832"/>
    <mergeCell ref="A4833:B4833"/>
    <mergeCell ref="C4833:D4833"/>
    <mergeCell ref="E4833:I4833"/>
    <mergeCell ref="J4833:M4833"/>
    <mergeCell ref="N4833:P4833"/>
    <mergeCell ref="Q4833:R4833"/>
    <mergeCell ref="A4834:B4834"/>
    <mergeCell ref="C4834:D4834"/>
    <mergeCell ref="E4834:I4834"/>
    <mergeCell ref="J4834:M4834"/>
    <mergeCell ref="N4834:P4834"/>
    <mergeCell ref="Q4834:R4834"/>
    <mergeCell ref="A4835:B4835"/>
    <mergeCell ref="C4835:D4835"/>
    <mergeCell ref="E4835:I4835"/>
    <mergeCell ref="J4835:M4835"/>
    <mergeCell ref="N4835:P4835"/>
    <mergeCell ref="Q4835:R4835"/>
    <mergeCell ref="A4836:B4836"/>
    <mergeCell ref="C4836:D4836"/>
    <mergeCell ref="E4836:I4836"/>
    <mergeCell ref="J4836:M4836"/>
    <mergeCell ref="N4836:P4836"/>
    <mergeCell ref="Q4836:R4836"/>
    <mergeCell ref="A4837:B4837"/>
    <mergeCell ref="C4837:D4837"/>
    <mergeCell ref="E4837:I4837"/>
    <mergeCell ref="J4837:M4837"/>
    <mergeCell ref="N4837:P4837"/>
    <mergeCell ref="Q4837:R4837"/>
    <mergeCell ref="A4838:B4838"/>
    <mergeCell ref="C4838:D4838"/>
    <mergeCell ref="E4838:I4838"/>
    <mergeCell ref="J4838:M4838"/>
    <mergeCell ref="N4838:P4838"/>
    <mergeCell ref="Q4838:R4838"/>
    <mergeCell ref="A4839:B4839"/>
    <mergeCell ref="C4839:D4839"/>
    <mergeCell ref="E4839:I4839"/>
    <mergeCell ref="J4839:M4839"/>
    <mergeCell ref="N4839:P4839"/>
    <mergeCell ref="Q4839:R4839"/>
    <mergeCell ref="A4840:B4840"/>
    <mergeCell ref="C4840:D4840"/>
    <mergeCell ref="E4840:I4840"/>
    <mergeCell ref="J4840:M4840"/>
    <mergeCell ref="N4840:P4840"/>
    <mergeCell ref="Q4840:R4840"/>
    <mergeCell ref="A4841:B4841"/>
    <mergeCell ref="C4841:D4841"/>
    <mergeCell ref="E4841:I4841"/>
    <mergeCell ref="J4841:M4841"/>
    <mergeCell ref="N4841:P4841"/>
    <mergeCell ref="Q4841:R4841"/>
    <mergeCell ref="A4842:B4842"/>
    <mergeCell ref="C4842:D4842"/>
    <mergeCell ref="E4842:I4842"/>
    <mergeCell ref="J4842:M4842"/>
    <mergeCell ref="N4842:P4842"/>
    <mergeCell ref="Q4842:R4842"/>
    <mergeCell ref="A4843:B4843"/>
    <mergeCell ref="C4843:D4843"/>
    <mergeCell ref="E4843:I4843"/>
    <mergeCell ref="J4843:M4843"/>
    <mergeCell ref="N4843:P4843"/>
    <mergeCell ref="Q4843:R4843"/>
    <mergeCell ref="A4844:B4844"/>
    <mergeCell ref="C4844:D4844"/>
    <mergeCell ref="E4844:I4844"/>
    <mergeCell ref="J4844:M4844"/>
    <mergeCell ref="N4844:P4844"/>
    <mergeCell ref="Q4844:R4844"/>
    <mergeCell ref="A4845:B4845"/>
    <mergeCell ref="C4845:D4845"/>
    <mergeCell ref="E4845:I4845"/>
    <mergeCell ref="J4845:M4845"/>
    <mergeCell ref="N4845:P4845"/>
    <mergeCell ref="Q4845:R4845"/>
    <mergeCell ref="A4846:B4846"/>
    <mergeCell ref="C4846:D4846"/>
    <mergeCell ref="E4846:I4846"/>
    <mergeCell ref="J4846:M4846"/>
    <mergeCell ref="N4846:P4846"/>
    <mergeCell ref="Q4846:R4846"/>
    <mergeCell ref="A4847:B4847"/>
    <mergeCell ref="C4847:D4847"/>
    <mergeCell ref="E4847:I4847"/>
    <mergeCell ref="J4847:M4847"/>
    <mergeCell ref="N4847:P4847"/>
    <mergeCell ref="Q4847:R4847"/>
    <mergeCell ref="A4848:B4848"/>
    <mergeCell ref="C4848:D4848"/>
    <mergeCell ref="E4848:I4848"/>
    <mergeCell ref="J4848:M4848"/>
    <mergeCell ref="N4848:P4848"/>
    <mergeCell ref="Q4848:R4848"/>
    <mergeCell ref="A4849:B4849"/>
    <mergeCell ref="C4849:D4849"/>
    <mergeCell ref="E4849:I4849"/>
    <mergeCell ref="J4849:M4849"/>
    <mergeCell ref="N4849:P4849"/>
    <mergeCell ref="Q4849:R4849"/>
    <mergeCell ref="A4850:B4850"/>
    <mergeCell ref="C4850:D4850"/>
    <mergeCell ref="E4850:I4850"/>
    <mergeCell ref="J4850:M4850"/>
    <mergeCell ref="N4850:P4850"/>
    <mergeCell ref="Q4850:R4850"/>
    <mergeCell ref="A4851:B4851"/>
    <mergeCell ref="C4851:D4851"/>
    <mergeCell ref="E4851:I4851"/>
    <mergeCell ref="J4851:M4851"/>
    <mergeCell ref="N4851:P4851"/>
    <mergeCell ref="Q4851:R4851"/>
    <mergeCell ref="A4852:B4852"/>
    <mergeCell ref="C4852:D4852"/>
    <mergeCell ref="E4852:I4852"/>
    <mergeCell ref="J4852:M4852"/>
    <mergeCell ref="N4852:P4852"/>
    <mergeCell ref="Q4852:R4852"/>
    <mergeCell ref="A4853:B4853"/>
    <mergeCell ref="C4853:D4853"/>
    <mergeCell ref="E4853:I4853"/>
    <mergeCell ref="J4853:M4853"/>
    <mergeCell ref="N4853:P4853"/>
    <mergeCell ref="Q4853:R4853"/>
    <mergeCell ref="A4854:B4854"/>
    <mergeCell ref="C4854:D4854"/>
    <mergeCell ref="E4854:I4854"/>
    <mergeCell ref="J4854:M4854"/>
    <mergeCell ref="N4854:P4854"/>
    <mergeCell ref="Q4854:R4854"/>
    <mergeCell ref="A4855:B4855"/>
    <mergeCell ref="C4855:D4855"/>
    <mergeCell ref="E4855:I4855"/>
    <mergeCell ref="J4855:M4855"/>
    <mergeCell ref="N4855:P4855"/>
    <mergeCell ref="Q4855:R4855"/>
    <mergeCell ref="A4856:B4856"/>
    <mergeCell ref="C4856:D4856"/>
    <mergeCell ref="E4856:I4856"/>
    <mergeCell ref="J4856:M4856"/>
    <mergeCell ref="N4856:P4856"/>
    <mergeCell ref="Q4856:R4856"/>
    <mergeCell ref="A4857:B4857"/>
    <mergeCell ref="C4857:D4857"/>
    <mergeCell ref="E4857:I4857"/>
    <mergeCell ref="J4857:M4857"/>
    <mergeCell ref="N4857:P4857"/>
    <mergeCell ref="Q4857:R4857"/>
    <mergeCell ref="A4858:B4858"/>
    <mergeCell ref="C4858:D4858"/>
    <mergeCell ref="E4858:I4858"/>
    <mergeCell ref="J4858:M4858"/>
    <mergeCell ref="N4858:P4858"/>
    <mergeCell ref="Q4858:R4858"/>
    <mergeCell ref="A4859:B4859"/>
    <mergeCell ref="C4859:D4859"/>
    <mergeCell ref="E4859:I4859"/>
    <mergeCell ref="J4859:M4859"/>
    <mergeCell ref="N4859:P4859"/>
    <mergeCell ref="Q4859:R4859"/>
    <mergeCell ref="A4860:B4860"/>
    <mergeCell ref="C4860:D4860"/>
    <mergeCell ref="E4860:I4860"/>
    <mergeCell ref="J4860:M4860"/>
    <mergeCell ref="N4860:P4860"/>
    <mergeCell ref="Q4860:R4860"/>
    <mergeCell ref="A4861:B4861"/>
    <mergeCell ref="C4861:D4861"/>
    <mergeCell ref="E4861:I4861"/>
    <mergeCell ref="J4861:M4861"/>
    <mergeCell ref="N4861:P4861"/>
    <mergeCell ref="Q4861:R4861"/>
    <mergeCell ref="A4862:B4862"/>
    <mergeCell ref="C4862:D4862"/>
    <mergeCell ref="E4862:I4862"/>
    <mergeCell ref="J4862:M4862"/>
    <mergeCell ref="N4862:P4862"/>
    <mergeCell ref="Q4862:R4862"/>
    <mergeCell ref="A4863:B4863"/>
    <mergeCell ref="C4863:D4863"/>
    <mergeCell ref="E4863:I4863"/>
    <mergeCell ref="J4863:M4863"/>
    <mergeCell ref="N4863:P4863"/>
    <mergeCell ref="Q4863:R4863"/>
    <mergeCell ref="A4864:B4864"/>
    <mergeCell ref="C4864:D4864"/>
    <mergeCell ref="E4864:I4864"/>
    <mergeCell ref="J4864:M4864"/>
    <mergeCell ref="N4864:P4864"/>
    <mergeCell ref="Q4864:R4864"/>
    <mergeCell ref="A4865:B4865"/>
    <mergeCell ref="C4865:D4865"/>
    <mergeCell ref="E4865:I4865"/>
    <mergeCell ref="J4865:M4865"/>
    <mergeCell ref="N4865:P4865"/>
    <mergeCell ref="Q4865:R4865"/>
    <mergeCell ref="A4866:B4866"/>
    <mergeCell ref="C4866:D4866"/>
    <mergeCell ref="E4866:I4866"/>
    <mergeCell ref="J4866:M4866"/>
    <mergeCell ref="N4866:P4866"/>
    <mergeCell ref="Q4866:R4866"/>
    <mergeCell ref="A4867:B4867"/>
    <mergeCell ref="C4867:D4867"/>
    <mergeCell ref="E4867:I4867"/>
    <mergeCell ref="J4867:M4867"/>
    <mergeCell ref="N4867:P4867"/>
    <mergeCell ref="Q4867:R4867"/>
    <mergeCell ref="A4868:B4868"/>
    <mergeCell ref="C4868:D4868"/>
    <mergeCell ref="E4868:I4868"/>
    <mergeCell ref="J4868:M4868"/>
    <mergeCell ref="N4868:P4868"/>
    <mergeCell ref="Q4868:R4868"/>
    <mergeCell ref="A4869:B4869"/>
    <mergeCell ref="C4869:D4869"/>
    <mergeCell ref="E4869:I4869"/>
    <mergeCell ref="J4869:M4869"/>
    <mergeCell ref="N4869:P4869"/>
    <mergeCell ref="Q4869:R4869"/>
    <mergeCell ref="A4870:B4870"/>
    <mergeCell ref="C4870:D4870"/>
    <mergeCell ref="E4870:I4870"/>
    <mergeCell ref="J4870:M4870"/>
    <mergeCell ref="N4870:P4870"/>
    <mergeCell ref="Q4870:R4870"/>
    <mergeCell ref="A4871:B4871"/>
    <mergeCell ref="C4871:D4871"/>
    <mergeCell ref="E4871:I4871"/>
    <mergeCell ref="J4871:M4871"/>
    <mergeCell ref="N4871:P4871"/>
    <mergeCell ref="Q4871:R4871"/>
    <mergeCell ref="A4872:B4872"/>
    <mergeCell ref="C4872:D4872"/>
    <mergeCell ref="E4872:I4872"/>
    <mergeCell ref="J4872:M4872"/>
    <mergeCell ref="N4872:P4872"/>
    <mergeCell ref="Q4872:R4872"/>
    <mergeCell ref="A4873:B4873"/>
    <mergeCell ref="C4873:D4873"/>
    <mergeCell ref="E4873:I4873"/>
    <mergeCell ref="J4873:M4873"/>
    <mergeCell ref="N4873:P4873"/>
    <mergeCell ref="Q4873:R4873"/>
    <mergeCell ref="A4874:B4874"/>
    <mergeCell ref="C4874:D4874"/>
    <mergeCell ref="E4874:I4874"/>
    <mergeCell ref="J4874:M4874"/>
    <mergeCell ref="N4874:P4874"/>
    <mergeCell ref="Q4874:R4874"/>
    <mergeCell ref="A4875:B4875"/>
    <mergeCell ref="C4875:D4875"/>
    <mergeCell ref="E4875:I4875"/>
    <mergeCell ref="J4875:M4875"/>
    <mergeCell ref="N4875:P4875"/>
    <mergeCell ref="Q4875:R4875"/>
    <mergeCell ref="A4876:B4876"/>
    <mergeCell ref="C4876:D4876"/>
    <mergeCell ref="E4876:I4876"/>
    <mergeCell ref="J4876:M4876"/>
    <mergeCell ref="N4876:P4876"/>
    <mergeCell ref="Q4876:R4876"/>
    <mergeCell ref="A4877:B4877"/>
    <mergeCell ref="C4877:D4877"/>
    <mergeCell ref="E4877:I4877"/>
    <mergeCell ref="J4877:M4877"/>
    <mergeCell ref="N4877:P4877"/>
    <mergeCell ref="Q4877:R4877"/>
    <mergeCell ref="A4878:B4878"/>
    <mergeCell ref="C4878:D4878"/>
    <mergeCell ref="E4878:I4878"/>
    <mergeCell ref="J4878:M4878"/>
    <mergeCell ref="N4878:P4878"/>
    <mergeCell ref="Q4878:R4878"/>
    <mergeCell ref="A4879:B4879"/>
    <mergeCell ref="C4879:D4879"/>
    <mergeCell ref="E4879:I4879"/>
    <mergeCell ref="J4879:M4879"/>
    <mergeCell ref="N4879:P4879"/>
    <mergeCell ref="Q4879:R4879"/>
    <mergeCell ref="A4880:B4880"/>
    <mergeCell ref="C4880:D4880"/>
    <mergeCell ref="E4880:I4880"/>
    <mergeCell ref="J4880:M4880"/>
    <mergeCell ref="N4880:P4880"/>
    <mergeCell ref="Q4880:R4880"/>
    <mergeCell ref="A4881:B4881"/>
    <mergeCell ref="C4881:D4881"/>
    <mergeCell ref="E4881:I4881"/>
    <mergeCell ref="J4881:M4881"/>
    <mergeCell ref="N4881:P4881"/>
    <mergeCell ref="Q4881:R4881"/>
    <mergeCell ref="A4882:B4882"/>
    <mergeCell ref="C4882:D4882"/>
    <mergeCell ref="E4882:I4882"/>
    <mergeCell ref="J4882:M4882"/>
    <mergeCell ref="N4882:P4882"/>
    <mergeCell ref="Q4882:R4882"/>
    <mergeCell ref="A4883:B4883"/>
    <mergeCell ref="C4883:D4883"/>
    <mergeCell ref="E4883:I4883"/>
    <mergeCell ref="J4883:M4883"/>
    <mergeCell ref="N4883:P4883"/>
    <mergeCell ref="Q4883:R4883"/>
    <mergeCell ref="A4884:B4884"/>
    <mergeCell ref="C4884:D4884"/>
    <mergeCell ref="E4884:I4884"/>
    <mergeCell ref="J4884:M4884"/>
    <mergeCell ref="N4884:P4884"/>
    <mergeCell ref="Q4884:R4884"/>
    <mergeCell ref="A4885:B4885"/>
    <mergeCell ref="C4885:D4885"/>
    <mergeCell ref="E4885:I4885"/>
    <mergeCell ref="J4885:M4885"/>
    <mergeCell ref="N4885:P4885"/>
    <mergeCell ref="Q4885:R4885"/>
    <mergeCell ref="A4886:B4886"/>
    <mergeCell ref="C4886:D4886"/>
    <mergeCell ref="E4886:I4886"/>
    <mergeCell ref="J4886:M4886"/>
    <mergeCell ref="N4886:P4886"/>
    <mergeCell ref="Q4886:R4886"/>
    <mergeCell ref="A4887:B4887"/>
    <mergeCell ref="C4887:D4887"/>
    <mergeCell ref="E4887:I4887"/>
    <mergeCell ref="J4887:M4887"/>
    <mergeCell ref="N4887:P4887"/>
    <mergeCell ref="Q4887:R4887"/>
    <mergeCell ref="A4888:B4888"/>
    <mergeCell ref="C4888:D4888"/>
    <mergeCell ref="E4888:I4888"/>
    <mergeCell ref="J4888:M4888"/>
    <mergeCell ref="N4888:P4888"/>
    <mergeCell ref="Q4888:R4888"/>
    <mergeCell ref="A4889:B4889"/>
    <mergeCell ref="C4889:D4889"/>
    <mergeCell ref="E4889:I4889"/>
    <mergeCell ref="J4889:M4889"/>
    <mergeCell ref="N4889:P4889"/>
    <mergeCell ref="Q4889:R4889"/>
    <mergeCell ref="A4890:B4890"/>
    <mergeCell ref="C4890:D4890"/>
    <mergeCell ref="E4890:I4890"/>
    <mergeCell ref="J4890:M4890"/>
    <mergeCell ref="N4890:P4890"/>
    <mergeCell ref="Q4890:R4890"/>
    <mergeCell ref="A4891:B4891"/>
    <mergeCell ref="C4891:D4891"/>
    <mergeCell ref="E4891:I4891"/>
    <mergeCell ref="J4891:M4891"/>
    <mergeCell ref="N4891:P4891"/>
    <mergeCell ref="Q4891:R4891"/>
    <mergeCell ref="A4892:B4892"/>
    <mergeCell ref="C4892:D4892"/>
    <mergeCell ref="E4892:I4892"/>
    <mergeCell ref="J4892:M4892"/>
    <mergeCell ref="N4892:P4892"/>
    <mergeCell ref="Q4892:R4892"/>
    <mergeCell ref="A4893:B4893"/>
    <mergeCell ref="C4893:D4893"/>
    <mergeCell ref="E4893:I4893"/>
    <mergeCell ref="J4893:M4893"/>
    <mergeCell ref="N4893:P4893"/>
    <mergeCell ref="Q4893:R4893"/>
    <mergeCell ref="A4894:B4894"/>
    <mergeCell ref="C4894:D4894"/>
    <mergeCell ref="E4894:I4894"/>
    <mergeCell ref="J4894:M4894"/>
    <mergeCell ref="N4894:P4894"/>
    <mergeCell ref="Q4894:R4894"/>
    <mergeCell ref="A4895:B4895"/>
    <mergeCell ref="C4895:D4895"/>
    <mergeCell ref="E4895:I4895"/>
    <mergeCell ref="J4895:M4895"/>
    <mergeCell ref="N4895:P4895"/>
    <mergeCell ref="Q4895:R4895"/>
    <mergeCell ref="A4896:B4896"/>
    <mergeCell ref="C4896:D4896"/>
    <mergeCell ref="E4896:I4896"/>
    <mergeCell ref="J4896:M4896"/>
    <mergeCell ref="N4896:P4896"/>
    <mergeCell ref="Q4896:R4896"/>
    <mergeCell ref="A4897:B4897"/>
    <mergeCell ref="C4897:D4897"/>
    <mergeCell ref="E4897:I4897"/>
    <mergeCell ref="J4897:M4897"/>
    <mergeCell ref="N4897:P4897"/>
    <mergeCell ref="Q4897:R4897"/>
    <mergeCell ref="A4898:B4898"/>
    <mergeCell ref="C4898:D4898"/>
    <mergeCell ref="E4898:I4898"/>
    <mergeCell ref="J4898:M4898"/>
    <mergeCell ref="N4898:P4898"/>
    <mergeCell ref="Q4898:R4898"/>
    <mergeCell ref="A4899:B4899"/>
    <mergeCell ref="C4899:D4899"/>
    <mergeCell ref="E4899:I4899"/>
    <mergeCell ref="J4899:M4899"/>
    <mergeCell ref="N4899:P4899"/>
    <mergeCell ref="Q4899:R4899"/>
    <mergeCell ref="A4900:B4900"/>
    <mergeCell ref="C4900:D4900"/>
    <mergeCell ref="E4900:I4900"/>
    <mergeCell ref="J4900:M4900"/>
    <mergeCell ref="N4900:P4900"/>
    <mergeCell ref="Q4900:R4900"/>
    <mergeCell ref="A4901:B4901"/>
    <mergeCell ref="C4901:D4901"/>
    <mergeCell ref="E4901:I4901"/>
    <mergeCell ref="J4901:M4901"/>
    <mergeCell ref="N4901:P4901"/>
    <mergeCell ref="Q4901:R4901"/>
    <mergeCell ref="A4902:B4902"/>
    <mergeCell ref="C4902:D4902"/>
    <mergeCell ref="E4902:I4902"/>
    <mergeCell ref="J4902:M4902"/>
    <mergeCell ref="N4902:P4902"/>
    <mergeCell ref="Q4902:R4902"/>
    <mergeCell ref="A4903:B4903"/>
    <mergeCell ref="C4903:D4903"/>
    <mergeCell ref="E4903:I4903"/>
    <mergeCell ref="J4903:M4903"/>
    <mergeCell ref="N4903:P4903"/>
    <mergeCell ref="Q4903:R4903"/>
    <mergeCell ref="A4904:B4904"/>
    <mergeCell ref="C4904:D4904"/>
    <mergeCell ref="E4904:I4904"/>
    <mergeCell ref="J4904:M4904"/>
    <mergeCell ref="N4904:P4904"/>
    <mergeCell ref="Q4904:R4904"/>
    <mergeCell ref="A4905:B4905"/>
    <mergeCell ref="C4905:D4905"/>
    <mergeCell ref="E4905:I4905"/>
    <mergeCell ref="J4905:M4905"/>
    <mergeCell ref="N4905:P4905"/>
    <mergeCell ref="Q4905:R4905"/>
    <mergeCell ref="A4906:B4906"/>
    <mergeCell ref="C4906:D4906"/>
    <mergeCell ref="E4906:I4906"/>
    <mergeCell ref="J4906:M4906"/>
    <mergeCell ref="N4906:P4906"/>
    <mergeCell ref="Q4906:R4906"/>
    <mergeCell ref="A4907:B4907"/>
    <mergeCell ref="C4907:D4907"/>
    <mergeCell ref="E4907:I4907"/>
    <mergeCell ref="J4907:M4907"/>
    <mergeCell ref="N4907:P4907"/>
    <mergeCell ref="Q4907:R4907"/>
    <mergeCell ref="A4908:B4908"/>
    <mergeCell ref="C4908:D4908"/>
    <mergeCell ref="E4908:I4908"/>
    <mergeCell ref="J4908:M4908"/>
    <mergeCell ref="N4908:P4908"/>
    <mergeCell ref="Q4908:R4908"/>
    <mergeCell ref="A4909:B4909"/>
    <mergeCell ref="C4909:D4909"/>
    <mergeCell ref="E4909:I4909"/>
    <mergeCell ref="J4909:M4909"/>
    <mergeCell ref="N4909:P4909"/>
    <mergeCell ref="Q4909:R4909"/>
    <mergeCell ref="A4910:B4910"/>
    <mergeCell ref="C4910:D4910"/>
    <mergeCell ref="E4910:I4910"/>
    <mergeCell ref="J4910:M4910"/>
    <mergeCell ref="N4910:P4910"/>
    <mergeCell ref="Q4910:R4910"/>
    <mergeCell ref="A4911:B4911"/>
    <mergeCell ref="C4911:D4911"/>
    <mergeCell ref="E4911:I4911"/>
    <mergeCell ref="J4911:M4911"/>
    <mergeCell ref="N4911:P4911"/>
    <mergeCell ref="Q4911:R4911"/>
    <mergeCell ref="A4912:B4912"/>
    <mergeCell ref="C4912:D4912"/>
    <mergeCell ref="E4912:I4912"/>
    <mergeCell ref="J4912:M4912"/>
    <mergeCell ref="N4912:P4912"/>
    <mergeCell ref="Q4912:R4912"/>
    <mergeCell ref="A4913:B4913"/>
    <mergeCell ref="C4913:D4913"/>
    <mergeCell ref="E4913:I4913"/>
    <mergeCell ref="J4913:M4913"/>
    <mergeCell ref="N4913:P4913"/>
    <mergeCell ref="Q4913:R4913"/>
    <mergeCell ref="A4914:B4914"/>
    <mergeCell ref="C4914:D4914"/>
    <mergeCell ref="E4914:I4914"/>
    <mergeCell ref="J4914:M4914"/>
    <mergeCell ref="N4914:P4914"/>
    <mergeCell ref="Q4914:R4914"/>
    <mergeCell ref="A4915:B4915"/>
    <mergeCell ref="C4915:D4915"/>
    <mergeCell ref="E4915:I4915"/>
    <mergeCell ref="J4915:M4915"/>
    <mergeCell ref="N4915:P4915"/>
    <mergeCell ref="Q4915:R4915"/>
    <mergeCell ref="A4916:B4916"/>
    <mergeCell ref="C4916:D4916"/>
    <mergeCell ref="E4916:I4916"/>
    <mergeCell ref="J4916:M4916"/>
    <mergeCell ref="N4916:P4916"/>
    <mergeCell ref="Q4916:R4916"/>
    <mergeCell ref="A4917:B4917"/>
    <mergeCell ref="C4917:D4917"/>
    <mergeCell ref="E4917:I4917"/>
    <mergeCell ref="J4917:M4917"/>
    <mergeCell ref="N4917:P4917"/>
    <mergeCell ref="Q4917:R4917"/>
    <mergeCell ref="A4918:B4918"/>
    <mergeCell ref="C4918:D4918"/>
    <mergeCell ref="E4918:I4918"/>
    <mergeCell ref="J4918:M4918"/>
    <mergeCell ref="N4918:P4918"/>
    <mergeCell ref="Q4918:R4918"/>
    <mergeCell ref="A4919:B4919"/>
    <mergeCell ref="C4919:D4919"/>
    <mergeCell ref="E4919:I4919"/>
    <mergeCell ref="J4919:M4919"/>
    <mergeCell ref="N4919:P4919"/>
    <mergeCell ref="Q4919:R4919"/>
    <mergeCell ref="A4920:B4920"/>
    <mergeCell ref="C4920:D4920"/>
    <mergeCell ref="E4920:I4920"/>
    <mergeCell ref="J4920:M4920"/>
    <mergeCell ref="N4920:P4920"/>
    <mergeCell ref="Q4920:R4920"/>
    <mergeCell ref="A4921:B4921"/>
    <mergeCell ref="C4921:D4921"/>
    <mergeCell ref="E4921:I4921"/>
    <mergeCell ref="J4921:M4921"/>
    <mergeCell ref="N4921:P4921"/>
    <mergeCell ref="Q4921:R4921"/>
    <mergeCell ref="A4922:B4922"/>
    <mergeCell ref="C4922:D4922"/>
    <mergeCell ref="E4922:I4922"/>
    <mergeCell ref="J4922:M4922"/>
    <mergeCell ref="N4922:P4922"/>
    <mergeCell ref="Q4922:R4922"/>
    <mergeCell ref="A4923:B4923"/>
    <mergeCell ref="C4923:D4923"/>
    <mergeCell ref="E4923:I4923"/>
    <mergeCell ref="J4923:M4923"/>
    <mergeCell ref="N4923:P4923"/>
    <mergeCell ref="Q4923:R4923"/>
    <mergeCell ref="A4924:B4924"/>
    <mergeCell ref="C4924:D4924"/>
    <mergeCell ref="E4924:I4924"/>
    <mergeCell ref="J4924:M4924"/>
    <mergeCell ref="N4924:P4924"/>
    <mergeCell ref="Q4924:R4924"/>
    <mergeCell ref="A4925:B4925"/>
    <mergeCell ref="C4925:D4925"/>
    <mergeCell ref="E4925:I4925"/>
    <mergeCell ref="J4925:M4925"/>
    <mergeCell ref="N4925:P4925"/>
    <mergeCell ref="Q4925:R4925"/>
    <mergeCell ref="A4926:B4926"/>
    <mergeCell ref="C4926:D4926"/>
    <mergeCell ref="E4926:I4926"/>
    <mergeCell ref="J4926:M4926"/>
    <mergeCell ref="N4926:P4926"/>
    <mergeCell ref="Q4926:R4926"/>
    <mergeCell ref="A4927:B4927"/>
    <mergeCell ref="C4927:D4927"/>
    <mergeCell ref="E4927:I4927"/>
    <mergeCell ref="J4927:M4927"/>
    <mergeCell ref="N4927:P4927"/>
    <mergeCell ref="Q4927:R4927"/>
    <mergeCell ref="A4928:B4928"/>
    <mergeCell ref="C4928:D4928"/>
    <mergeCell ref="E4928:I4928"/>
    <mergeCell ref="J4928:M4928"/>
    <mergeCell ref="N4928:P4928"/>
    <mergeCell ref="Q4928:R4928"/>
    <mergeCell ref="A4929:B4929"/>
    <mergeCell ref="C4929:D4929"/>
    <mergeCell ref="E4929:I4929"/>
    <mergeCell ref="J4929:M4929"/>
    <mergeCell ref="N4929:P4929"/>
    <mergeCell ref="Q4929:R4929"/>
    <mergeCell ref="A4930:B4930"/>
    <mergeCell ref="C4930:D4930"/>
    <mergeCell ref="E4930:I4930"/>
    <mergeCell ref="J4930:M4930"/>
    <mergeCell ref="N4930:P4930"/>
    <mergeCell ref="Q4930:R4930"/>
    <mergeCell ref="A4931:B4931"/>
    <mergeCell ref="C4931:D4931"/>
    <mergeCell ref="E4931:I4931"/>
    <mergeCell ref="J4931:M4931"/>
    <mergeCell ref="N4931:P4931"/>
    <mergeCell ref="Q4931:R4931"/>
    <mergeCell ref="A4932:B4932"/>
    <mergeCell ref="C4932:D4932"/>
    <mergeCell ref="E4932:I4932"/>
    <mergeCell ref="J4932:M4932"/>
    <mergeCell ref="N4932:P4932"/>
    <mergeCell ref="Q4932:R4932"/>
    <mergeCell ref="A4933:B4933"/>
    <mergeCell ref="C4933:D4933"/>
    <mergeCell ref="E4933:I4933"/>
    <mergeCell ref="J4933:M4933"/>
    <mergeCell ref="N4933:P4933"/>
    <mergeCell ref="Q4933:R4933"/>
    <mergeCell ref="A4934:B4934"/>
    <mergeCell ref="C4934:D4934"/>
    <mergeCell ref="E4934:I4934"/>
    <mergeCell ref="J4934:M4934"/>
    <mergeCell ref="N4934:P4934"/>
    <mergeCell ref="Q4934:R4934"/>
    <mergeCell ref="A4935:B4935"/>
    <mergeCell ref="C4935:D4935"/>
    <mergeCell ref="E4935:I4935"/>
    <mergeCell ref="J4935:M4935"/>
    <mergeCell ref="N4935:P4935"/>
    <mergeCell ref="Q4935:R4935"/>
    <mergeCell ref="A4936:B4936"/>
    <mergeCell ref="C4936:D4936"/>
    <mergeCell ref="E4936:I4936"/>
    <mergeCell ref="J4936:M4936"/>
    <mergeCell ref="N4936:P4936"/>
    <mergeCell ref="Q4936:R4936"/>
    <mergeCell ref="A4937:B4937"/>
    <mergeCell ref="C4937:D4937"/>
    <mergeCell ref="E4937:I4937"/>
    <mergeCell ref="J4937:M4937"/>
    <mergeCell ref="N4937:P4937"/>
    <mergeCell ref="Q4937:R4937"/>
    <mergeCell ref="A4938:B4938"/>
    <mergeCell ref="C4938:D4938"/>
    <mergeCell ref="E4938:I4938"/>
    <mergeCell ref="J4938:M4938"/>
    <mergeCell ref="N4938:P4938"/>
    <mergeCell ref="Q4938:R4938"/>
    <mergeCell ref="A4939:B4939"/>
    <mergeCell ref="C4939:D4939"/>
    <mergeCell ref="E4939:I4939"/>
    <mergeCell ref="J4939:M4939"/>
    <mergeCell ref="N4939:P4939"/>
    <mergeCell ref="Q4939:R4939"/>
    <mergeCell ref="A4940:B4940"/>
    <mergeCell ref="C4940:D4940"/>
    <mergeCell ref="E4940:I4940"/>
    <mergeCell ref="J4940:M4940"/>
    <mergeCell ref="N4940:P4940"/>
    <mergeCell ref="Q4940:R4940"/>
    <mergeCell ref="A4941:B4941"/>
    <mergeCell ref="C4941:D4941"/>
    <mergeCell ref="E4941:I4941"/>
    <mergeCell ref="J4941:M4941"/>
    <mergeCell ref="N4941:P4941"/>
    <mergeCell ref="Q4941:R4941"/>
    <mergeCell ref="A4942:B4942"/>
    <mergeCell ref="C4942:D4942"/>
    <mergeCell ref="E4942:I4942"/>
    <mergeCell ref="J4942:M4942"/>
    <mergeCell ref="N4942:P4942"/>
    <mergeCell ref="Q4942:R4942"/>
    <mergeCell ref="A4943:B4943"/>
    <mergeCell ref="C4943:D4943"/>
    <mergeCell ref="E4943:I4943"/>
    <mergeCell ref="J4943:M4943"/>
    <mergeCell ref="N4943:P4943"/>
    <mergeCell ref="Q4943:R4943"/>
    <mergeCell ref="A4944:B4944"/>
    <mergeCell ref="C4944:D4944"/>
    <mergeCell ref="E4944:I4944"/>
    <mergeCell ref="J4944:M4944"/>
    <mergeCell ref="N4944:P4944"/>
    <mergeCell ref="Q4944:R4944"/>
    <mergeCell ref="A4945:B4945"/>
    <mergeCell ref="C4945:D4945"/>
    <mergeCell ref="E4945:I4945"/>
    <mergeCell ref="J4945:M4945"/>
    <mergeCell ref="N4945:P4945"/>
    <mergeCell ref="Q4945:R4945"/>
    <mergeCell ref="A4946:B4946"/>
    <mergeCell ref="C4946:D4946"/>
    <mergeCell ref="E4946:I4946"/>
    <mergeCell ref="J4946:M4946"/>
    <mergeCell ref="N4946:P4946"/>
    <mergeCell ref="Q4946:R4946"/>
    <mergeCell ref="A4947:B4947"/>
    <mergeCell ref="C4947:D4947"/>
    <mergeCell ref="E4947:I4947"/>
    <mergeCell ref="J4947:M4947"/>
    <mergeCell ref="N4947:P4947"/>
    <mergeCell ref="Q4947:R4947"/>
    <mergeCell ref="A4948:B4948"/>
    <mergeCell ref="C4948:D4948"/>
    <mergeCell ref="E4948:I4948"/>
    <mergeCell ref="J4948:M4948"/>
    <mergeCell ref="N4948:P4948"/>
    <mergeCell ref="Q4948:R4948"/>
    <mergeCell ref="A4949:B4949"/>
    <mergeCell ref="C4949:D4949"/>
    <mergeCell ref="E4949:I4949"/>
    <mergeCell ref="J4949:M4949"/>
    <mergeCell ref="N4949:P4949"/>
    <mergeCell ref="Q4949:R4949"/>
    <mergeCell ref="A4950:B4950"/>
    <mergeCell ref="C4950:D4950"/>
    <mergeCell ref="E4950:I4950"/>
    <mergeCell ref="J4950:M4950"/>
    <mergeCell ref="N4950:P4950"/>
    <mergeCell ref="Q4950:R4950"/>
    <mergeCell ref="A4951:B4951"/>
    <mergeCell ref="C4951:D4951"/>
    <mergeCell ref="E4951:I4951"/>
    <mergeCell ref="J4951:M4951"/>
    <mergeCell ref="N4951:P4951"/>
    <mergeCell ref="Q4951:R4951"/>
    <mergeCell ref="A4952:B4952"/>
    <mergeCell ref="C4952:D4952"/>
    <mergeCell ref="E4952:I4952"/>
    <mergeCell ref="J4952:M4952"/>
    <mergeCell ref="N4952:P4952"/>
    <mergeCell ref="Q4952:R4952"/>
    <mergeCell ref="A4953:B4953"/>
    <mergeCell ref="C4953:D4953"/>
    <mergeCell ref="E4953:I4953"/>
    <mergeCell ref="J4953:M4953"/>
    <mergeCell ref="N4953:P4953"/>
    <mergeCell ref="Q4953:R4953"/>
    <mergeCell ref="A4954:B4954"/>
    <mergeCell ref="C4954:D4954"/>
    <mergeCell ref="E4954:I4954"/>
    <mergeCell ref="J4954:M4954"/>
    <mergeCell ref="N4954:P4954"/>
    <mergeCell ref="Q4954:R4954"/>
    <mergeCell ref="A4955:B4955"/>
    <mergeCell ref="C4955:D4955"/>
    <mergeCell ref="E4955:I4955"/>
    <mergeCell ref="J4955:M4955"/>
    <mergeCell ref="N4955:P4955"/>
    <mergeCell ref="Q4955:R4955"/>
    <mergeCell ref="A4956:B4956"/>
    <mergeCell ref="C4956:D4956"/>
    <mergeCell ref="E4956:I4956"/>
    <mergeCell ref="J4956:M4956"/>
    <mergeCell ref="N4956:P4956"/>
    <mergeCell ref="Q4956:R4956"/>
    <mergeCell ref="A4957:B4957"/>
    <mergeCell ref="C4957:D4957"/>
    <mergeCell ref="E4957:I4957"/>
    <mergeCell ref="J4957:M4957"/>
    <mergeCell ref="N4957:P4957"/>
    <mergeCell ref="Q4957:R4957"/>
    <mergeCell ref="A4958:B4958"/>
    <mergeCell ref="C4958:D4958"/>
    <mergeCell ref="E4958:I4958"/>
    <mergeCell ref="J4958:M4958"/>
    <mergeCell ref="N4958:P4958"/>
    <mergeCell ref="Q4958:R4958"/>
    <mergeCell ref="A4959:B4959"/>
    <mergeCell ref="C4959:D4959"/>
    <mergeCell ref="E4959:I4959"/>
    <mergeCell ref="J4959:M4959"/>
    <mergeCell ref="N4959:P4959"/>
    <mergeCell ref="Q4959:R4959"/>
    <mergeCell ref="A4960:B4960"/>
    <mergeCell ref="C4960:D4960"/>
    <mergeCell ref="E4960:I4960"/>
    <mergeCell ref="J4960:M4960"/>
    <mergeCell ref="N4960:P4960"/>
    <mergeCell ref="Q4960:R4960"/>
    <mergeCell ref="A4961:B4961"/>
    <mergeCell ref="C4961:D4961"/>
    <mergeCell ref="E4961:I4961"/>
    <mergeCell ref="J4961:M4961"/>
    <mergeCell ref="N4961:P4961"/>
    <mergeCell ref="Q4961:R4961"/>
    <mergeCell ref="A4962:B4962"/>
    <mergeCell ref="C4962:D4962"/>
    <mergeCell ref="E4962:I4962"/>
    <mergeCell ref="J4962:M4962"/>
    <mergeCell ref="N4962:P4962"/>
    <mergeCell ref="Q4962:R4962"/>
    <mergeCell ref="A4963:B4963"/>
    <mergeCell ref="C4963:D4963"/>
    <mergeCell ref="E4963:I4963"/>
    <mergeCell ref="J4963:M4963"/>
    <mergeCell ref="N4963:P4963"/>
    <mergeCell ref="Q4963:R4963"/>
    <mergeCell ref="A4964:B4964"/>
    <mergeCell ref="C4964:D4964"/>
    <mergeCell ref="E4964:I4964"/>
    <mergeCell ref="J4964:M4964"/>
    <mergeCell ref="N4964:P4964"/>
    <mergeCell ref="Q4964:R4964"/>
    <mergeCell ref="A4965:B4965"/>
    <mergeCell ref="C4965:D4965"/>
    <mergeCell ref="E4965:I4965"/>
    <mergeCell ref="J4965:M4965"/>
    <mergeCell ref="N4965:P4965"/>
    <mergeCell ref="Q4965:R4965"/>
    <mergeCell ref="A4966:B4966"/>
    <mergeCell ref="C4966:D4966"/>
    <mergeCell ref="E4966:I4966"/>
    <mergeCell ref="J4966:M4966"/>
    <mergeCell ref="N4966:P4966"/>
    <mergeCell ref="Q4966:R4966"/>
    <mergeCell ref="A4967:B4967"/>
    <mergeCell ref="C4967:D4967"/>
    <mergeCell ref="E4967:I4967"/>
    <mergeCell ref="J4967:M4967"/>
    <mergeCell ref="N4967:P4967"/>
    <mergeCell ref="Q4967:R4967"/>
    <mergeCell ref="A4968:B4968"/>
    <mergeCell ref="C4968:D4968"/>
    <mergeCell ref="E4968:I4968"/>
    <mergeCell ref="J4968:M4968"/>
    <mergeCell ref="N4968:P4968"/>
    <mergeCell ref="Q4968:R4968"/>
    <mergeCell ref="A4969:B4969"/>
    <mergeCell ref="C4969:D4969"/>
    <mergeCell ref="E4969:I4969"/>
    <mergeCell ref="J4969:M4969"/>
    <mergeCell ref="N4969:P4969"/>
    <mergeCell ref="Q4969:R4969"/>
    <mergeCell ref="A4970:B4970"/>
    <mergeCell ref="C4970:D4970"/>
    <mergeCell ref="E4970:I4970"/>
    <mergeCell ref="J4970:M4970"/>
    <mergeCell ref="N4970:P4970"/>
    <mergeCell ref="Q4970:R4970"/>
    <mergeCell ref="A4971:B4971"/>
    <mergeCell ref="C4971:D4971"/>
    <mergeCell ref="E4971:I4971"/>
    <mergeCell ref="J4971:M4971"/>
    <mergeCell ref="N4971:P4971"/>
    <mergeCell ref="Q4971:R4971"/>
    <mergeCell ref="A4972:B4972"/>
    <mergeCell ref="C4972:D4972"/>
    <mergeCell ref="E4972:I4972"/>
    <mergeCell ref="J4972:M4972"/>
    <mergeCell ref="N4972:P4972"/>
    <mergeCell ref="Q4972:R4972"/>
    <mergeCell ref="A4973:B4973"/>
    <mergeCell ref="C4973:D4973"/>
    <mergeCell ref="E4973:I4973"/>
    <mergeCell ref="J4973:M4973"/>
    <mergeCell ref="N4973:P4973"/>
    <mergeCell ref="Q4973:R4973"/>
    <mergeCell ref="A4974:B4974"/>
    <mergeCell ref="C4974:D4974"/>
    <mergeCell ref="E4974:I4974"/>
    <mergeCell ref="J4974:M4974"/>
    <mergeCell ref="N4974:P4974"/>
    <mergeCell ref="Q4974:R4974"/>
    <mergeCell ref="A4975:B4975"/>
    <mergeCell ref="C4975:D4975"/>
    <mergeCell ref="E4975:I4975"/>
    <mergeCell ref="J4975:M4975"/>
    <mergeCell ref="N4975:P4975"/>
    <mergeCell ref="Q4975:R4975"/>
    <mergeCell ref="A4976:B4976"/>
    <mergeCell ref="C4976:D4976"/>
    <mergeCell ref="E4976:I4976"/>
    <mergeCell ref="J4976:M4976"/>
    <mergeCell ref="N4976:P4976"/>
    <mergeCell ref="Q4976:R4976"/>
    <mergeCell ref="A4977:B4977"/>
    <mergeCell ref="C4977:D4977"/>
    <mergeCell ref="E4977:I4977"/>
    <mergeCell ref="J4977:M4977"/>
    <mergeCell ref="N4977:P4977"/>
    <mergeCell ref="Q4977:R4977"/>
    <mergeCell ref="A4978:B4978"/>
    <mergeCell ref="C4978:D4978"/>
    <mergeCell ref="E4978:I4978"/>
    <mergeCell ref="J4978:M4978"/>
    <mergeCell ref="N4978:P4978"/>
    <mergeCell ref="Q4978:R4978"/>
    <mergeCell ref="A4979:B4979"/>
    <mergeCell ref="C4979:D4979"/>
    <mergeCell ref="E4979:I4979"/>
    <mergeCell ref="J4979:M4979"/>
    <mergeCell ref="N4979:P4979"/>
    <mergeCell ref="Q4979:R4979"/>
    <mergeCell ref="A4980:B4980"/>
    <mergeCell ref="C4980:D4980"/>
    <mergeCell ref="E4980:I4980"/>
    <mergeCell ref="J4980:M4980"/>
    <mergeCell ref="N4980:P4980"/>
    <mergeCell ref="Q4980:R4980"/>
    <mergeCell ref="A4981:B4981"/>
    <mergeCell ref="C4981:D4981"/>
    <mergeCell ref="E4981:I4981"/>
    <mergeCell ref="J4981:M4981"/>
    <mergeCell ref="N4981:P4981"/>
    <mergeCell ref="Q4981:R4981"/>
    <mergeCell ref="A4982:B4982"/>
    <mergeCell ref="C4982:D4982"/>
    <mergeCell ref="E4982:I4982"/>
    <mergeCell ref="J4982:M4982"/>
    <mergeCell ref="N4982:P4982"/>
    <mergeCell ref="Q4982:R4982"/>
    <mergeCell ref="A4983:B4983"/>
    <mergeCell ref="C4983:D4983"/>
    <mergeCell ref="E4983:I4983"/>
    <mergeCell ref="J4983:M4983"/>
    <mergeCell ref="N4983:P4983"/>
    <mergeCell ref="Q4983:R4983"/>
    <mergeCell ref="A4984:B4984"/>
    <mergeCell ref="C4984:D4984"/>
    <mergeCell ref="E4984:I4984"/>
    <mergeCell ref="J4984:M4984"/>
    <mergeCell ref="N4984:P4984"/>
    <mergeCell ref="Q4984:R4984"/>
    <mergeCell ref="A4985:B4985"/>
    <mergeCell ref="C4985:D4985"/>
    <mergeCell ref="E4985:I4985"/>
    <mergeCell ref="J4985:M4985"/>
    <mergeCell ref="N4985:P4985"/>
    <mergeCell ref="Q4985:R4985"/>
    <mergeCell ref="A4986:B4986"/>
    <mergeCell ref="C4986:D4986"/>
    <mergeCell ref="E4986:I4986"/>
    <mergeCell ref="J4986:M4986"/>
    <mergeCell ref="N4986:P4986"/>
    <mergeCell ref="Q4986:R4986"/>
    <mergeCell ref="A4987:B4987"/>
    <mergeCell ref="C4987:D4987"/>
    <mergeCell ref="E4987:I4987"/>
    <mergeCell ref="J4987:M4987"/>
    <mergeCell ref="N4987:P4987"/>
    <mergeCell ref="Q4987:R4987"/>
    <mergeCell ref="A4988:B4988"/>
    <mergeCell ref="C4988:D4988"/>
    <mergeCell ref="E4988:I4988"/>
    <mergeCell ref="J4988:M4988"/>
    <mergeCell ref="N4988:P4988"/>
    <mergeCell ref="Q4988:R4988"/>
    <mergeCell ref="A4989:B4989"/>
    <mergeCell ref="C4989:D4989"/>
    <mergeCell ref="E4989:I4989"/>
    <mergeCell ref="J4989:M4989"/>
    <mergeCell ref="N4989:P4989"/>
    <mergeCell ref="Q4989:R4989"/>
    <mergeCell ref="A4990:B4990"/>
    <mergeCell ref="C4990:D4990"/>
    <mergeCell ref="E4990:I4990"/>
    <mergeCell ref="J4990:M4990"/>
    <mergeCell ref="N4990:P4990"/>
    <mergeCell ref="Q4990:R4990"/>
    <mergeCell ref="A4991:B4991"/>
    <mergeCell ref="C4991:D4991"/>
    <mergeCell ref="E4991:I4991"/>
    <mergeCell ref="J4991:M4991"/>
    <mergeCell ref="N4991:P4991"/>
    <mergeCell ref="Q4991:R4991"/>
    <mergeCell ref="A4992:B4992"/>
    <mergeCell ref="C4992:D4992"/>
    <mergeCell ref="E4992:I4992"/>
    <mergeCell ref="J4992:M4992"/>
    <mergeCell ref="N4992:P4992"/>
    <mergeCell ref="Q4992:R4992"/>
    <mergeCell ref="A4993:B4993"/>
    <mergeCell ref="C4993:D4993"/>
    <mergeCell ref="E4993:I4993"/>
    <mergeCell ref="J4993:M4993"/>
    <mergeCell ref="N4993:P4993"/>
    <mergeCell ref="Q4993:R4993"/>
    <mergeCell ref="A4994:B4994"/>
    <mergeCell ref="C4994:D4994"/>
    <mergeCell ref="E4994:I4994"/>
    <mergeCell ref="J4994:M4994"/>
    <mergeCell ref="N4994:P4994"/>
    <mergeCell ref="Q4994:R4994"/>
    <mergeCell ref="A4995:B4995"/>
    <mergeCell ref="C4995:D4995"/>
    <mergeCell ref="E4995:I4995"/>
    <mergeCell ref="J4995:M4995"/>
    <mergeCell ref="N4995:P4995"/>
    <mergeCell ref="Q4995:R4995"/>
    <mergeCell ref="A4996:B4996"/>
    <mergeCell ref="C4996:D4996"/>
    <mergeCell ref="E4996:I4996"/>
    <mergeCell ref="J4996:M4996"/>
    <mergeCell ref="N4996:P4996"/>
    <mergeCell ref="Q4996:R4996"/>
    <mergeCell ref="A4997:B4997"/>
    <mergeCell ref="C4997:D4997"/>
    <mergeCell ref="E4997:I4997"/>
    <mergeCell ref="J4997:M4997"/>
    <mergeCell ref="N4997:P4997"/>
    <mergeCell ref="Q4997:R4997"/>
    <mergeCell ref="A4998:B4998"/>
    <mergeCell ref="C4998:D4998"/>
    <mergeCell ref="E4998:I4998"/>
    <mergeCell ref="J4998:M4998"/>
    <mergeCell ref="N4998:P4998"/>
    <mergeCell ref="Q4998:R4998"/>
    <mergeCell ref="A4999:B4999"/>
    <mergeCell ref="C4999:D4999"/>
    <mergeCell ref="E4999:I4999"/>
    <mergeCell ref="J4999:M4999"/>
    <mergeCell ref="N4999:P4999"/>
    <mergeCell ref="Q4999:R4999"/>
    <mergeCell ref="A5000:B5000"/>
    <mergeCell ref="C5000:D5000"/>
    <mergeCell ref="E5000:I5000"/>
    <mergeCell ref="J5000:M5000"/>
    <mergeCell ref="N5000:P5000"/>
    <mergeCell ref="Q5000:R5000"/>
    <mergeCell ref="A5001:B5001"/>
    <mergeCell ref="C5001:D5001"/>
    <mergeCell ref="E5001:I5001"/>
    <mergeCell ref="J5001:M5001"/>
    <mergeCell ref="N5001:P5001"/>
    <mergeCell ref="Q5001:R5001"/>
    <mergeCell ref="A5002:B5002"/>
    <mergeCell ref="C5002:D5002"/>
    <mergeCell ref="E5002:I5002"/>
    <mergeCell ref="J5002:M5002"/>
    <mergeCell ref="N5002:P5002"/>
    <mergeCell ref="Q5002:R5002"/>
    <mergeCell ref="A5003:B5003"/>
    <mergeCell ref="C5003:D5003"/>
    <mergeCell ref="E5003:I5003"/>
    <mergeCell ref="J5003:M5003"/>
    <mergeCell ref="N5003:P5003"/>
    <mergeCell ref="Q5003:R5003"/>
    <mergeCell ref="A5004:B5004"/>
    <mergeCell ref="C5004:D5004"/>
    <mergeCell ref="E5004:I5004"/>
    <mergeCell ref="J5004:M5004"/>
    <mergeCell ref="N5004:P5004"/>
    <mergeCell ref="Q5004:R5004"/>
    <mergeCell ref="A5005:B5005"/>
    <mergeCell ref="C5005:D5005"/>
    <mergeCell ref="E5005:I5005"/>
    <mergeCell ref="J5005:M5005"/>
    <mergeCell ref="N5005:P5005"/>
    <mergeCell ref="Q5005:R5005"/>
    <mergeCell ref="A5006:B5006"/>
    <mergeCell ref="C5006:D5006"/>
    <mergeCell ref="E5006:I5006"/>
    <mergeCell ref="J5006:M5006"/>
    <mergeCell ref="N5006:P5006"/>
    <mergeCell ref="Q5006:R5006"/>
    <mergeCell ref="A5007:B5007"/>
    <mergeCell ref="C5007:D5007"/>
    <mergeCell ref="E5007:I5007"/>
    <mergeCell ref="J5007:M5007"/>
    <mergeCell ref="N5007:P5007"/>
    <mergeCell ref="Q5007:R5007"/>
    <mergeCell ref="A5008:B5008"/>
    <mergeCell ref="C5008:D5008"/>
    <mergeCell ref="E5008:I5008"/>
    <mergeCell ref="J5008:M5008"/>
    <mergeCell ref="N5008:P5008"/>
    <mergeCell ref="Q5008:R5008"/>
    <mergeCell ref="A5009:B5009"/>
    <mergeCell ref="C5009:D5009"/>
    <mergeCell ref="E5009:I5009"/>
    <mergeCell ref="J5009:M5009"/>
    <mergeCell ref="N5009:P5009"/>
    <mergeCell ref="Q5009:R5009"/>
    <mergeCell ref="A5010:B5010"/>
    <mergeCell ref="C5010:D5010"/>
    <mergeCell ref="E5010:I5010"/>
    <mergeCell ref="J5010:M5010"/>
    <mergeCell ref="N5010:P5010"/>
    <mergeCell ref="Q5010:R5010"/>
    <mergeCell ref="A5011:B5011"/>
    <mergeCell ref="C5011:D5011"/>
    <mergeCell ref="E5011:I5011"/>
    <mergeCell ref="J5011:M5011"/>
    <mergeCell ref="N5011:P5011"/>
    <mergeCell ref="Q5011:R5011"/>
    <mergeCell ref="A5012:B5012"/>
    <mergeCell ref="C5012:D5012"/>
    <mergeCell ref="E5012:I5012"/>
    <mergeCell ref="J5012:M5012"/>
    <mergeCell ref="N5012:P5012"/>
    <mergeCell ref="Q5012:R5012"/>
    <mergeCell ref="A5013:B5013"/>
    <mergeCell ref="C5013:D5013"/>
    <mergeCell ref="E5013:I5013"/>
    <mergeCell ref="J5013:M5013"/>
    <mergeCell ref="N5013:P5013"/>
    <mergeCell ref="Q5013:R5013"/>
    <mergeCell ref="A5014:B5014"/>
    <mergeCell ref="C5014:D5014"/>
    <mergeCell ref="E5014:I5014"/>
    <mergeCell ref="J5014:M5014"/>
    <mergeCell ref="N5014:P5014"/>
    <mergeCell ref="Q5014:R5014"/>
    <mergeCell ref="A5015:B5015"/>
    <mergeCell ref="C5015:D5015"/>
    <mergeCell ref="E5015:I5015"/>
    <mergeCell ref="J5015:M5015"/>
    <mergeCell ref="N5015:P5015"/>
    <mergeCell ref="Q5015:R5015"/>
    <mergeCell ref="A5016:B5016"/>
    <mergeCell ref="C5016:D5016"/>
    <mergeCell ref="E5016:I5016"/>
    <mergeCell ref="J5016:M5016"/>
    <mergeCell ref="N5016:P5016"/>
    <mergeCell ref="Q5016:R5016"/>
    <mergeCell ref="A5017:B5017"/>
    <mergeCell ref="C5017:D5017"/>
    <mergeCell ref="E5017:I5017"/>
    <mergeCell ref="J5017:M5017"/>
    <mergeCell ref="N5017:P5017"/>
    <mergeCell ref="Q5017:R5017"/>
    <mergeCell ref="A5018:B5018"/>
    <mergeCell ref="C5018:D5018"/>
    <mergeCell ref="E5018:I5018"/>
    <mergeCell ref="J5018:M5018"/>
    <mergeCell ref="N5018:P5018"/>
    <mergeCell ref="Q5018:R5018"/>
    <mergeCell ref="A5019:B5019"/>
    <mergeCell ref="C5019:D5019"/>
    <mergeCell ref="E5019:I5019"/>
    <mergeCell ref="J5019:M5019"/>
    <mergeCell ref="N5019:P5019"/>
    <mergeCell ref="Q5019:R5019"/>
    <mergeCell ref="A5020:B5020"/>
    <mergeCell ref="C5020:D5020"/>
    <mergeCell ref="E5020:I5020"/>
    <mergeCell ref="J5020:M5020"/>
    <mergeCell ref="N5020:P5020"/>
    <mergeCell ref="Q5020:R5020"/>
    <mergeCell ref="A5021:B5021"/>
    <mergeCell ref="C5021:D5021"/>
    <mergeCell ref="E5021:I5021"/>
    <mergeCell ref="J5021:M5021"/>
    <mergeCell ref="N5021:P5021"/>
    <mergeCell ref="Q5021:R5021"/>
    <mergeCell ref="A5022:B5022"/>
    <mergeCell ref="C5022:D5022"/>
    <mergeCell ref="E5022:I5022"/>
    <mergeCell ref="J5022:M5022"/>
    <mergeCell ref="N5022:P5022"/>
    <mergeCell ref="Q5022:R5022"/>
    <mergeCell ref="A5023:B5023"/>
    <mergeCell ref="C5023:D5023"/>
    <mergeCell ref="E5023:I5023"/>
    <mergeCell ref="J5023:M5023"/>
    <mergeCell ref="N5023:P5023"/>
    <mergeCell ref="Q5023:R5023"/>
    <mergeCell ref="A5024:B5024"/>
    <mergeCell ref="C5024:D5024"/>
    <mergeCell ref="E5024:I5024"/>
    <mergeCell ref="J5024:M5024"/>
    <mergeCell ref="N5024:P5024"/>
    <mergeCell ref="Q5024:R5024"/>
    <mergeCell ref="A5025:B5025"/>
    <mergeCell ref="C5025:D5025"/>
    <mergeCell ref="E5025:I5025"/>
    <mergeCell ref="J5025:M5025"/>
    <mergeCell ref="N5025:P5025"/>
    <mergeCell ref="Q5025:R5025"/>
    <mergeCell ref="A5026:B5026"/>
    <mergeCell ref="C5026:D5026"/>
    <mergeCell ref="E5026:I5026"/>
    <mergeCell ref="J5026:M5026"/>
    <mergeCell ref="N5026:P5026"/>
    <mergeCell ref="Q5026:R5026"/>
    <mergeCell ref="A5027:B5027"/>
    <mergeCell ref="C5027:D5027"/>
    <mergeCell ref="E5027:I5027"/>
    <mergeCell ref="J5027:M5027"/>
    <mergeCell ref="N5027:P5027"/>
    <mergeCell ref="Q5027:R5027"/>
    <mergeCell ref="A5028:B5028"/>
    <mergeCell ref="C5028:D5028"/>
    <mergeCell ref="E5028:I5028"/>
    <mergeCell ref="J5028:M5028"/>
    <mergeCell ref="N5028:P5028"/>
    <mergeCell ref="Q5028:R5028"/>
    <mergeCell ref="A5029:B5029"/>
    <mergeCell ref="C5029:D5029"/>
    <mergeCell ref="E5029:I5029"/>
    <mergeCell ref="J5029:M5029"/>
    <mergeCell ref="N5029:P5029"/>
    <mergeCell ref="Q5029:R5029"/>
    <mergeCell ref="A5030:B5030"/>
    <mergeCell ref="C5030:D5030"/>
    <mergeCell ref="E5030:I5030"/>
    <mergeCell ref="J5030:M5030"/>
    <mergeCell ref="N5030:P5030"/>
    <mergeCell ref="Q5030:R5030"/>
    <mergeCell ref="A5031:B5031"/>
    <mergeCell ref="C5031:D5031"/>
    <mergeCell ref="E5031:I5031"/>
    <mergeCell ref="J5031:M5031"/>
    <mergeCell ref="N5031:P5031"/>
    <mergeCell ref="Q5031:R5031"/>
    <mergeCell ref="A5032:B5032"/>
    <mergeCell ref="C5032:D5032"/>
    <mergeCell ref="E5032:I5032"/>
    <mergeCell ref="J5032:M5032"/>
    <mergeCell ref="N5032:P5032"/>
    <mergeCell ref="Q5032:R5032"/>
    <mergeCell ref="A5033:B5033"/>
    <mergeCell ref="C5033:D5033"/>
    <mergeCell ref="E5033:I5033"/>
    <mergeCell ref="J5033:M5033"/>
    <mergeCell ref="N5033:P5033"/>
    <mergeCell ref="Q5033:R5033"/>
    <mergeCell ref="A5034:B5034"/>
    <mergeCell ref="C5034:D5034"/>
    <mergeCell ref="E5034:I5034"/>
    <mergeCell ref="J5034:M5034"/>
    <mergeCell ref="N5034:P5034"/>
    <mergeCell ref="Q5034:R5034"/>
    <mergeCell ref="A5035:B5035"/>
    <mergeCell ref="C5035:D5035"/>
    <mergeCell ref="E5035:I5035"/>
    <mergeCell ref="J5035:M5035"/>
    <mergeCell ref="N5035:P5035"/>
    <mergeCell ref="Q5035:R5035"/>
    <mergeCell ref="A5036:B5036"/>
    <mergeCell ref="C5036:D5036"/>
    <mergeCell ref="E5036:I5036"/>
    <mergeCell ref="J5036:M5036"/>
    <mergeCell ref="N5036:P5036"/>
    <mergeCell ref="Q5036:R5036"/>
    <mergeCell ref="A5037:B5037"/>
    <mergeCell ref="C5037:D5037"/>
    <mergeCell ref="E5037:I5037"/>
    <mergeCell ref="J5037:M5037"/>
    <mergeCell ref="N5037:P5037"/>
    <mergeCell ref="Q5037:R5037"/>
    <mergeCell ref="A5038:B5038"/>
    <mergeCell ref="C5038:D5038"/>
    <mergeCell ref="E5038:I5038"/>
    <mergeCell ref="J5038:M5038"/>
    <mergeCell ref="N5038:P5038"/>
    <mergeCell ref="Q5038:R5038"/>
    <mergeCell ref="A5039:B5039"/>
    <mergeCell ref="C5039:D5039"/>
    <mergeCell ref="E5039:I5039"/>
    <mergeCell ref="J5039:M5039"/>
    <mergeCell ref="N5039:P5039"/>
    <mergeCell ref="Q5039:R5039"/>
    <mergeCell ref="A5040:B5040"/>
    <mergeCell ref="C5040:D5040"/>
    <mergeCell ref="E5040:I5040"/>
    <mergeCell ref="J5040:M5040"/>
    <mergeCell ref="N5040:P5040"/>
    <mergeCell ref="Q5040:R5040"/>
    <mergeCell ref="A5041:B5041"/>
    <mergeCell ref="C5041:D5041"/>
    <mergeCell ref="E5041:I5041"/>
    <mergeCell ref="J5041:M5041"/>
    <mergeCell ref="N5041:P5041"/>
    <mergeCell ref="Q5041:R5041"/>
    <mergeCell ref="A5042:B5042"/>
    <mergeCell ref="C5042:D5042"/>
    <mergeCell ref="E5042:I5042"/>
    <mergeCell ref="J5042:M5042"/>
    <mergeCell ref="N5042:P5042"/>
    <mergeCell ref="Q5042:R5042"/>
    <mergeCell ref="A5043:B5043"/>
    <mergeCell ref="C5043:D5043"/>
    <mergeCell ref="E5043:I5043"/>
    <mergeCell ref="J5043:M5043"/>
    <mergeCell ref="N5043:P5043"/>
    <mergeCell ref="Q5043:R5043"/>
    <mergeCell ref="A5044:B5044"/>
    <mergeCell ref="C5044:D5044"/>
    <mergeCell ref="E5044:I5044"/>
    <mergeCell ref="J5044:M5044"/>
    <mergeCell ref="N5044:P5044"/>
    <mergeCell ref="Q5044:R5044"/>
    <mergeCell ref="A5045:B5045"/>
    <mergeCell ref="C5045:D5045"/>
    <mergeCell ref="E5045:I5045"/>
    <mergeCell ref="J5045:M5045"/>
    <mergeCell ref="N5045:P5045"/>
    <mergeCell ref="Q5045:R5045"/>
    <mergeCell ref="A5046:B5046"/>
    <mergeCell ref="C5046:D5046"/>
    <mergeCell ref="E5046:I5046"/>
    <mergeCell ref="J5046:M5046"/>
    <mergeCell ref="N5046:P5046"/>
    <mergeCell ref="Q5046:R5046"/>
    <mergeCell ref="A5047:B5047"/>
    <mergeCell ref="C5047:D5047"/>
    <mergeCell ref="E5047:I5047"/>
    <mergeCell ref="J5047:M5047"/>
    <mergeCell ref="N5047:P5047"/>
    <mergeCell ref="Q5047:R5047"/>
    <mergeCell ref="A5048:B5048"/>
    <mergeCell ref="C5048:D5048"/>
    <mergeCell ref="E5048:I5048"/>
    <mergeCell ref="J5048:M5048"/>
    <mergeCell ref="N5048:P5048"/>
    <mergeCell ref="Q5048:R5048"/>
    <mergeCell ref="A5049:B5049"/>
    <mergeCell ref="C5049:D5049"/>
    <mergeCell ref="E5049:I5049"/>
    <mergeCell ref="J5049:M5049"/>
    <mergeCell ref="N5049:P5049"/>
    <mergeCell ref="Q5049:R5049"/>
    <mergeCell ref="A5050:B5050"/>
    <mergeCell ref="C5050:D5050"/>
    <mergeCell ref="E5050:I5050"/>
    <mergeCell ref="J5050:M5050"/>
    <mergeCell ref="N5050:P5050"/>
    <mergeCell ref="Q5050:R5050"/>
    <mergeCell ref="A5051:B5051"/>
    <mergeCell ref="C5051:D5051"/>
    <mergeCell ref="E5051:I5051"/>
    <mergeCell ref="J5051:M5051"/>
    <mergeCell ref="N5051:P5051"/>
    <mergeCell ref="Q5051:R5051"/>
    <mergeCell ref="A5052:B5052"/>
    <mergeCell ref="C5052:D5052"/>
    <mergeCell ref="E5052:I5052"/>
    <mergeCell ref="J5052:M5052"/>
    <mergeCell ref="N5052:P5052"/>
    <mergeCell ref="Q5052:R5052"/>
    <mergeCell ref="A5053:B5053"/>
    <mergeCell ref="C5053:D5053"/>
    <mergeCell ref="E5053:I5053"/>
    <mergeCell ref="J5053:M5053"/>
    <mergeCell ref="N5053:P5053"/>
    <mergeCell ref="Q5053:R5053"/>
    <mergeCell ref="A5054:B5054"/>
    <mergeCell ref="C5054:D5054"/>
    <mergeCell ref="E5054:I5054"/>
    <mergeCell ref="J5054:M5054"/>
    <mergeCell ref="N5054:P5054"/>
    <mergeCell ref="Q5054:R5054"/>
    <mergeCell ref="A5055:B5055"/>
    <mergeCell ref="C5055:D5055"/>
    <mergeCell ref="E5055:I5055"/>
    <mergeCell ref="J5055:M5055"/>
    <mergeCell ref="N5055:P5055"/>
    <mergeCell ref="Q5055:R5055"/>
    <mergeCell ref="A5056:B5056"/>
    <mergeCell ref="C5056:D5056"/>
    <mergeCell ref="E5056:I5056"/>
    <mergeCell ref="J5056:M5056"/>
    <mergeCell ref="N5056:P5056"/>
    <mergeCell ref="Q5056:R5056"/>
    <mergeCell ref="A5057:B5057"/>
    <mergeCell ref="C5057:D5057"/>
    <mergeCell ref="E5057:I5057"/>
    <mergeCell ref="J5057:M5057"/>
    <mergeCell ref="N5057:P5057"/>
    <mergeCell ref="Q5057:R5057"/>
    <mergeCell ref="A5058:B5058"/>
    <mergeCell ref="C5058:D5058"/>
    <mergeCell ref="E5058:I5058"/>
    <mergeCell ref="J5058:M5058"/>
    <mergeCell ref="N5058:P5058"/>
    <mergeCell ref="Q5058:R5058"/>
    <mergeCell ref="A5059:B5059"/>
    <mergeCell ref="C5059:D5059"/>
    <mergeCell ref="E5059:I5059"/>
    <mergeCell ref="J5059:M5059"/>
    <mergeCell ref="N5059:P5059"/>
    <mergeCell ref="Q5059:R5059"/>
    <mergeCell ref="A5060:B5060"/>
    <mergeCell ref="C5060:D5060"/>
    <mergeCell ref="E5060:I5060"/>
    <mergeCell ref="J5060:M5060"/>
    <mergeCell ref="N5060:P5060"/>
    <mergeCell ref="Q5060:R5060"/>
    <mergeCell ref="A5061:B5061"/>
    <mergeCell ref="C5061:D5061"/>
    <mergeCell ref="E5061:I5061"/>
    <mergeCell ref="J5061:M5061"/>
    <mergeCell ref="N5061:P5061"/>
    <mergeCell ref="Q5061:R5061"/>
    <mergeCell ref="A5062:B5062"/>
    <mergeCell ref="C5062:D5062"/>
    <mergeCell ref="E5062:I5062"/>
    <mergeCell ref="J5062:M5062"/>
    <mergeCell ref="N5062:P5062"/>
    <mergeCell ref="Q5062:R5062"/>
    <mergeCell ref="A5063:B5063"/>
    <mergeCell ref="C5063:D5063"/>
    <mergeCell ref="E5063:I5063"/>
    <mergeCell ref="J5063:M5063"/>
    <mergeCell ref="N5063:P5063"/>
    <mergeCell ref="Q5063:R5063"/>
    <mergeCell ref="A5064:B5064"/>
    <mergeCell ref="C5064:D5064"/>
    <mergeCell ref="E5064:I5064"/>
    <mergeCell ref="J5064:M5064"/>
    <mergeCell ref="N5064:P5064"/>
    <mergeCell ref="Q5064:R5064"/>
    <mergeCell ref="A5065:B5065"/>
    <mergeCell ref="C5065:D5065"/>
    <mergeCell ref="E5065:I5065"/>
    <mergeCell ref="J5065:M5065"/>
    <mergeCell ref="N5065:P5065"/>
    <mergeCell ref="Q5065:R5065"/>
    <mergeCell ref="A5066:B5066"/>
    <mergeCell ref="C5066:D5066"/>
    <mergeCell ref="E5066:I5066"/>
    <mergeCell ref="J5066:M5066"/>
    <mergeCell ref="N5066:P5066"/>
    <mergeCell ref="Q5066:R5066"/>
    <mergeCell ref="A5067:B5067"/>
    <mergeCell ref="C5067:D5067"/>
    <mergeCell ref="E5067:I5067"/>
    <mergeCell ref="J5067:M5067"/>
    <mergeCell ref="N5067:P5067"/>
    <mergeCell ref="Q5067:R5067"/>
    <mergeCell ref="A5068:B5068"/>
    <mergeCell ref="C5068:D5068"/>
    <mergeCell ref="E5068:I5068"/>
    <mergeCell ref="J5068:M5068"/>
    <mergeCell ref="N5068:P5068"/>
    <mergeCell ref="Q5068:R5068"/>
    <mergeCell ref="A5069:B5069"/>
    <mergeCell ref="C5069:D5069"/>
    <mergeCell ref="E5069:I5069"/>
    <mergeCell ref="J5069:M5069"/>
    <mergeCell ref="N5069:P5069"/>
    <mergeCell ref="Q5069:R5069"/>
    <mergeCell ref="A5070:B5070"/>
    <mergeCell ref="C5070:D5070"/>
    <mergeCell ref="E5070:I5070"/>
    <mergeCell ref="J5070:M5070"/>
    <mergeCell ref="N5070:P5070"/>
    <mergeCell ref="Q5070:R5070"/>
    <mergeCell ref="A5071:B5071"/>
    <mergeCell ref="C5071:D5071"/>
    <mergeCell ref="E5071:I5071"/>
    <mergeCell ref="J5071:M5071"/>
    <mergeCell ref="N5071:P5071"/>
    <mergeCell ref="Q5071:R5071"/>
    <mergeCell ref="A5072:B5072"/>
    <mergeCell ref="C5072:D5072"/>
    <mergeCell ref="E5072:I5072"/>
    <mergeCell ref="J5072:M5072"/>
    <mergeCell ref="N5072:P5072"/>
    <mergeCell ref="Q5072:R5072"/>
    <mergeCell ref="A5073:B5073"/>
    <mergeCell ref="C5073:D5073"/>
    <mergeCell ref="E5073:I5073"/>
    <mergeCell ref="J5073:M5073"/>
    <mergeCell ref="N5073:P5073"/>
    <mergeCell ref="Q5073:R5073"/>
    <mergeCell ref="A5074:B5074"/>
    <mergeCell ref="C5074:D5074"/>
    <mergeCell ref="E5074:I5074"/>
    <mergeCell ref="J5074:M5074"/>
    <mergeCell ref="N5074:P5074"/>
    <mergeCell ref="Q5074:R5074"/>
    <mergeCell ref="A5075:B5075"/>
    <mergeCell ref="C5075:D5075"/>
    <mergeCell ref="E5075:I5075"/>
    <mergeCell ref="J5075:M5075"/>
    <mergeCell ref="N5075:P5075"/>
    <mergeCell ref="Q5075:R5075"/>
    <mergeCell ref="A5076:B5076"/>
    <mergeCell ref="C5076:D5076"/>
    <mergeCell ref="E5076:I5076"/>
    <mergeCell ref="J5076:M5076"/>
    <mergeCell ref="N5076:P5076"/>
    <mergeCell ref="Q5076:R5076"/>
    <mergeCell ref="A5077:B5077"/>
    <mergeCell ref="C5077:D5077"/>
    <mergeCell ref="E5077:I5077"/>
    <mergeCell ref="J5077:M5077"/>
    <mergeCell ref="N5077:P5077"/>
    <mergeCell ref="Q5077:R5077"/>
    <mergeCell ref="A5078:B5078"/>
    <mergeCell ref="C5078:D5078"/>
    <mergeCell ref="E5078:I5078"/>
    <mergeCell ref="J5078:M5078"/>
    <mergeCell ref="N5078:P5078"/>
    <mergeCell ref="Q5078:R5078"/>
    <mergeCell ref="A5079:B5079"/>
    <mergeCell ref="C5079:D5079"/>
    <mergeCell ref="E5079:I5079"/>
    <mergeCell ref="J5079:M5079"/>
    <mergeCell ref="N5079:P5079"/>
    <mergeCell ref="Q5079:R5079"/>
    <mergeCell ref="A5080:B5080"/>
    <mergeCell ref="C5080:D5080"/>
    <mergeCell ref="E5080:I5080"/>
    <mergeCell ref="J5080:M5080"/>
    <mergeCell ref="N5080:P5080"/>
    <mergeCell ref="Q5080:R5080"/>
    <mergeCell ref="A5081:B5081"/>
    <mergeCell ref="C5081:D5081"/>
    <mergeCell ref="E5081:I5081"/>
    <mergeCell ref="J5081:M5081"/>
    <mergeCell ref="N5081:P5081"/>
    <mergeCell ref="Q5081:R5081"/>
    <mergeCell ref="A5082:B5082"/>
    <mergeCell ref="C5082:D5082"/>
    <mergeCell ref="E5082:I5082"/>
    <mergeCell ref="J5082:M5082"/>
    <mergeCell ref="N5082:P5082"/>
    <mergeCell ref="Q5082:R5082"/>
    <mergeCell ref="A5083:B5083"/>
    <mergeCell ref="C5083:D5083"/>
    <mergeCell ref="E5083:I5083"/>
    <mergeCell ref="J5083:M5083"/>
    <mergeCell ref="N5083:P5083"/>
    <mergeCell ref="Q5083:R5083"/>
    <mergeCell ref="A5084:B5084"/>
    <mergeCell ref="C5084:D5084"/>
    <mergeCell ref="E5084:I5084"/>
    <mergeCell ref="J5084:M5084"/>
    <mergeCell ref="N5084:P5084"/>
    <mergeCell ref="Q5084:R5084"/>
    <mergeCell ref="A5085:B5085"/>
    <mergeCell ref="C5085:D5085"/>
    <mergeCell ref="E5085:I5085"/>
    <mergeCell ref="J5085:M5085"/>
    <mergeCell ref="N5085:P5085"/>
    <mergeCell ref="Q5085:R5085"/>
    <mergeCell ref="A5086:B5086"/>
    <mergeCell ref="C5086:D5086"/>
    <mergeCell ref="E5086:I5086"/>
    <mergeCell ref="J5086:M5086"/>
    <mergeCell ref="N5086:P5086"/>
    <mergeCell ref="Q5086:R5086"/>
    <mergeCell ref="A5087:B5087"/>
    <mergeCell ref="C5087:D5087"/>
    <mergeCell ref="E5087:I5087"/>
    <mergeCell ref="J5087:M5087"/>
    <mergeCell ref="N5087:P5087"/>
    <mergeCell ref="Q5087:R5087"/>
    <mergeCell ref="A5088:B5088"/>
    <mergeCell ref="C5088:D5088"/>
    <mergeCell ref="E5088:I5088"/>
    <mergeCell ref="J5088:M5088"/>
    <mergeCell ref="N5088:P5088"/>
    <mergeCell ref="Q5088:R5088"/>
    <mergeCell ref="A5089:B5089"/>
    <mergeCell ref="C5089:D5089"/>
    <mergeCell ref="E5089:I5089"/>
    <mergeCell ref="J5089:M5089"/>
    <mergeCell ref="N5089:P5089"/>
    <mergeCell ref="Q5089:R5089"/>
    <mergeCell ref="A5090:B5090"/>
    <mergeCell ref="C5090:D5090"/>
    <mergeCell ref="E5090:I5090"/>
    <mergeCell ref="J5090:M5090"/>
    <mergeCell ref="N5090:P5090"/>
    <mergeCell ref="Q5090:R5090"/>
    <mergeCell ref="A5091:B5091"/>
    <mergeCell ref="C5091:D5091"/>
    <mergeCell ref="E5091:I5091"/>
    <mergeCell ref="J5091:M5091"/>
    <mergeCell ref="N5091:P5091"/>
    <mergeCell ref="Q5091:R5091"/>
    <mergeCell ref="A5092:B5092"/>
    <mergeCell ref="C5092:D5092"/>
    <mergeCell ref="E5092:I5092"/>
    <mergeCell ref="J5092:M5092"/>
    <mergeCell ref="N5092:P5092"/>
    <mergeCell ref="Q5092:R5092"/>
    <mergeCell ref="A5093:B5093"/>
    <mergeCell ref="C5093:D5093"/>
    <mergeCell ref="E5093:I5093"/>
    <mergeCell ref="J5093:M5093"/>
    <mergeCell ref="N5093:P5093"/>
    <mergeCell ref="Q5093:R5093"/>
    <mergeCell ref="A5094:B5094"/>
    <mergeCell ref="C5094:D5094"/>
    <mergeCell ref="E5094:I5094"/>
    <mergeCell ref="J5094:M5094"/>
    <mergeCell ref="N5094:P5094"/>
    <mergeCell ref="Q5094:R5094"/>
    <mergeCell ref="A5095:B5095"/>
    <mergeCell ref="C5095:D5095"/>
    <mergeCell ref="E5095:I5095"/>
    <mergeCell ref="J5095:M5095"/>
    <mergeCell ref="N5095:P5095"/>
    <mergeCell ref="Q5095:R5095"/>
    <mergeCell ref="A5096:B5096"/>
    <mergeCell ref="C5096:D5096"/>
    <mergeCell ref="E5096:I5096"/>
    <mergeCell ref="J5096:M5096"/>
    <mergeCell ref="N5096:P5096"/>
    <mergeCell ref="Q5096:R5096"/>
    <mergeCell ref="A5097:B5097"/>
    <mergeCell ref="C5097:D5097"/>
    <mergeCell ref="E5097:I5097"/>
    <mergeCell ref="J5097:M5097"/>
    <mergeCell ref="N5097:P5097"/>
    <mergeCell ref="Q5097:R5097"/>
    <mergeCell ref="A5098:B5098"/>
    <mergeCell ref="C5098:D5098"/>
    <mergeCell ref="E5098:I5098"/>
    <mergeCell ref="J5098:M5098"/>
    <mergeCell ref="N5098:P5098"/>
    <mergeCell ref="Q5098:R5098"/>
    <mergeCell ref="A5099:B5099"/>
    <mergeCell ref="C5099:D5099"/>
    <mergeCell ref="E5099:I5099"/>
    <mergeCell ref="J5099:M5099"/>
    <mergeCell ref="N5099:P5099"/>
    <mergeCell ref="Q5099:R5099"/>
    <mergeCell ref="A5100:B5100"/>
    <mergeCell ref="C5100:D5100"/>
    <mergeCell ref="E5100:I5100"/>
    <mergeCell ref="J5100:M5100"/>
    <mergeCell ref="N5100:P5100"/>
    <mergeCell ref="Q5100:R5100"/>
    <mergeCell ref="A5101:B5101"/>
    <mergeCell ref="C5101:D5101"/>
    <mergeCell ref="E5101:I5101"/>
    <mergeCell ref="J5101:M5101"/>
    <mergeCell ref="N5101:P5101"/>
    <mergeCell ref="Q5101:R5101"/>
    <mergeCell ref="A5102:B5102"/>
    <mergeCell ref="C5102:D5102"/>
    <mergeCell ref="E5102:I5102"/>
    <mergeCell ref="J5102:M5102"/>
    <mergeCell ref="N5102:P5102"/>
    <mergeCell ref="Q5102:R5102"/>
    <mergeCell ref="A5103:B5103"/>
    <mergeCell ref="C5103:D5103"/>
    <mergeCell ref="E5103:I5103"/>
    <mergeCell ref="J5103:M5103"/>
    <mergeCell ref="N5103:P5103"/>
    <mergeCell ref="Q5103:R5103"/>
    <mergeCell ref="A5104:B5104"/>
    <mergeCell ref="C5104:D5104"/>
    <mergeCell ref="E5104:I5104"/>
    <mergeCell ref="J5104:M5104"/>
    <mergeCell ref="N5104:P5104"/>
    <mergeCell ref="Q5104:R5104"/>
    <mergeCell ref="A5105:B5105"/>
    <mergeCell ref="C5105:D5105"/>
    <mergeCell ref="E5105:I5105"/>
    <mergeCell ref="J5105:M5105"/>
    <mergeCell ref="N5105:P5105"/>
    <mergeCell ref="Q5105:R5105"/>
    <mergeCell ref="A5106:B5106"/>
    <mergeCell ref="C5106:D5106"/>
    <mergeCell ref="E5106:I5106"/>
    <mergeCell ref="J5106:M5106"/>
    <mergeCell ref="N5106:P5106"/>
    <mergeCell ref="Q5106:R5106"/>
    <mergeCell ref="A5107:B5107"/>
    <mergeCell ref="C5107:D5107"/>
    <mergeCell ref="E5107:I5107"/>
    <mergeCell ref="J5107:M5107"/>
    <mergeCell ref="N5107:P5107"/>
    <mergeCell ref="Q5107:R5107"/>
    <mergeCell ref="A5108:B5108"/>
    <mergeCell ref="C5108:D5108"/>
    <mergeCell ref="E5108:I5108"/>
    <mergeCell ref="J5108:M5108"/>
    <mergeCell ref="N5108:P5108"/>
    <mergeCell ref="Q5108:R5108"/>
    <mergeCell ref="A5109:B5109"/>
    <mergeCell ref="C5109:D5109"/>
    <mergeCell ref="E5109:I5109"/>
    <mergeCell ref="J5109:M5109"/>
    <mergeCell ref="N5109:P5109"/>
    <mergeCell ref="Q5109:R5109"/>
    <mergeCell ref="A5110:B5110"/>
    <mergeCell ref="C5110:D5110"/>
    <mergeCell ref="E5110:I5110"/>
    <mergeCell ref="J5110:M5110"/>
    <mergeCell ref="N5110:P5110"/>
    <mergeCell ref="Q5110:R5110"/>
    <mergeCell ref="A5111:B5111"/>
    <mergeCell ref="C5111:D5111"/>
    <mergeCell ref="E5111:I5111"/>
    <mergeCell ref="J5111:M5111"/>
    <mergeCell ref="N5111:P5111"/>
    <mergeCell ref="Q5111:R5111"/>
    <mergeCell ref="A5112:B5112"/>
    <mergeCell ref="C5112:D5112"/>
    <mergeCell ref="E5112:I5112"/>
    <mergeCell ref="J5112:M5112"/>
    <mergeCell ref="N5112:P5112"/>
    <mergeCell ref="Q5112:R5112"/>
    <mergeCell ref="A5113:B5113"/>
    <mergeCell ref="C5113:D5113"/>
    <mergeCell ref="E5113:I5113"/>
    <mergeCell ref="J5113:M5113"/>
    <mergeCell ref="N5113:P5113"/>
    <mergeCell ref="Q5113:R5113"/>
    <mergeCell ref="A5114:B5114"/>
    <mergeCell ref="C5114:D5114"/>
    <mergeCell ref="E5114:I5114"/>
    <mergeCell ref="J5114:M5114"/>
    <mergeCell ref="N5114:P5114"/>
    <mergeCell ref="Q5114:R5114"/>
    <mergeCell ref="A5115:B5115"/>
    <mergeCell ref="C5115:D5115"/>
    <mergeCell ref="E5115:I5115"/>
    <mergeCell ref="J5115:M5115"/>
    <mergeCell ref="N5115:P5115"/>
    <mergeCell ref="Q5115:R5115"/>
    <mergeCell ref="A5116:B5116"/>
    <mergeCell ref="C5116:D5116"/>
    <mergeCell ref="E5116:I5116"/>
    <mergeCell ref="J5116:M5116"/>
    <mergeCell ref="N5116:P5116"/>
    <mergeCell ref="Q5116:R5116"/>
    <mergeCell ref="A5117:B5117"/>
    <mergeCell ref="C5117:D5117"/>
    <mergeCell ref="E5117:I5117"/>
    <mergeCell ref="J5117:M5117"/>
    <mergeCell ref="N5117:P5117"/>
    <mergeCell ref="Q5117:R5117"/>
    <mergeCell ref="A5118:B5118"/>
    <mergeCell ref="C5118:D5118"/>
    <mergeCell ref="E5118:I5118"/>
    <mergeCell ref="J5118:M5118"/>
    <mergeCell ref="N5118:P5118"/>
    <mergeCell ref="Q5118:R5118"/>
    <mergeCell ref="A5119:B5119"/>
    <mergeCell ref="C5119:D5119"/>
    <mergeCell ref="E5119:I5119"/>
    <mergeCell ref="J5119:M5119"/>
    <mergeCell ref="N5119:P5119"/>
    <mergeCell ref="Q5119:R5119"/>
    <mergeCell ref="A5120:B5120"/>
    <mergeCell ref="C5120:D5120"/>
    <mergeCell ref="E5120:I5120"/>
    <mergeCell ref="J5120:M5120"/>
    <mergeCell ref="N5120:P5120"/>
    <mergeCell ref="Q5120:R5120"/>
    <mergeCell ref="A5121:B5121"/>
    <mergeCell ref="C5121:D5121"/>
    <mergeCell ref="E5121:I5121"/>
    <mergeCell ref="J5121:M5121"/>
    <mergeCell ref="N5121:P5121"/>
    <mergeCell ref="Q5121:R5121"/>
    <mergeCell ref="A5122:B5122"/>
    <mergeCell ref="C5122:D5122"/>
    <mergeCell ref="E5122:I5122"/>
    <mergeCell ref="J5122:M5122"/>
    <mergeCell ref="N5122:P5122"/>
    <mergeCell ref="Q5122:R5122"/>
    <mergeCell ref="A5123:B5123"/>
    <mergeCell ref="C5123:D5123"/>
    <mergeCell ref="E5123:I5123"/>
    <mergeCell ref="J5123:M5123"/>
    <mergeCell ref="N5123:P5123"/>
    <mergeCell ref="Q5123:R5123"/>
    <mergeCell ref="A5124:B5124"/>
    <mergeCell ref="C5124:D5124"/>
    <mergeCell ref="E5124:I5124"/>
    <mergeCell ref="J5124:M5124"/>
    <mergeCell ref="N5124:P5124"/>
    <mergeCell ref="Q5124:R5124"/>
    <mergeCell ref="A5125:B5125"/>
    <mergeCell ref="C5125:D5125"/>
    <mergeCell ref="E5125:I5125"/>
    <mergeCell ref="J5125:M5125"/>
    <mergeCell ref="N5125:P5125"/>
    <mergeCell ref="Q5125:R5125"/>
    <mergeCell ref="A5126:B5126"/>
    <mergeCell ref="C5126:D5126"/>
    <mergeCell ref="E5126:I5126"/>
    <mergeCell ref="J5126:M5126"/>
    <mergeCell ref="N5126:P5126"/>
    <mergeCell ref="Q5126:R5126"/>
    <mergeCell ref="A5127:B5127"/>
    <mergeCell ref="C5127:D5127"/>
    <mergeCell ref="E5127:I5127"/>
    <mergeCell ref="J5127:M5127"/>
    <mergeCell ref="N5127:P5127"/>
    <mergeCell ref="Q5127:R5127"/>
    <mergeCell ref="A5128:B5128"/>
    <mergeCell ref="C5128:D5128"/>
    <mergeCell ref="E5128:I5128"/>
    <mergeCell ref="J5128:M5128"/>
    <mergeCell ref="N5128:P5128"/>
    <mergeCell ref="Q5128:R5128"/>
    <mergeCell ref="A5129:B5129"/>
    <mergeCell ref="C5129:D5129"/>
    <mergeCell ref="E5129:I5129"/>
    <mergeCell ref="J5129:M5129"/>
    <mergeCell ref="N5129:P5129"/>
    <mergeCell ref="Q5129:R5129"/>
    <mergeCell ref="A5130:B5130"/>
    <mergeCell ref="C5130:D5130"/>
    <mergeCell ref="E5130:I5130"/>
    <mergeCell ref="J5130:M5130"/>
    <mergeCell ref="N5130:P5130"/>
    <mergeCell ref="Q5130:R5130"/>
    <mergeCell ref="A5131:B5131"/>
    <mergeCell ref="C5131:D5131"/>
    <mergeCell ref="E5131:I5131"/>
    <mergeCell ref="J5131:M5131"/>
    <mergeCell ref="N5131:P5131"/>
    <mergeCell ref="Q5131:R5131"/>
    <mergeCell ref="A5132:B5132"/>
    <mergeCell ref="C5132:D5132"/>
    <mergeCell ref="E5132:I5132"/>
    <mergeCell ref="J5132:M5132"/>
    <mergeCell ref="N5132:P5132"/>
    <mergeCell ref="Q5132:R5132"/>
    <mergeCell ref="A5133:B5133"/>
    <mergeCell ref="C5133:D5133"/>
    <mergeCell ref="E5133:I5133"/>
    <mergeCell ref="J5133:M5133"/>
    <mergeCell ref="N5133:P5133"/>
    <mergeCell ref="Q5133:R5133"/>
    <mergeCell ref="A5134:B5134"/>
    <mergeCell ref="C5134:D5134"/>
    <mergeCell ref="E5134:I5134"/>
    <mergeCell ref="J5134:M5134"/>
    <mergeCell ref="N5134:P5134"/>
    <mergeCell ref="Q5134:R5134"/>
    <mergeCell ref="A5135:W5135"/>
    <mergeCell ref="A5136:B5136"/>
    <mergeCell ref="C5136:D5136"/>
    <mergeCell ref="E5136:I5136"/>
    <mergeCell ref="J5136:M5136"/>
    <mergeCell ref="N5136:P5136"/>
    <mergeCell ref="Q5136:R5136"/>
    <mergeCell ref="A5137:Q5137"/>
    <mergeCell ref="B5138:C5138"/>
    <mergeCell ref="D5138:F5138"/>
    <mergeCell ref="H5138:J5138"/>
    <mergeCell ref="K5138:L5138"/>
    <mergeCell ref="M5138:O5138"/>
    <mergeCell ref="P5138:Q5138"/>
    <mergeCell ref="B5139:C5139"/>
    <mergeCell ref="D5139:F5139"/>
    <mergeCell ref="H5139:J5139"/>
    <mergeCell ref="K5139:L5139"/>
    <mergeCell ref="M5139:O5139"/>
    <mergeCell ref="P5139:Q5139"/>
    <mergeCell ref="B5140:C5140"/>
    <mergeCell ref="D5140:F5140"/>
    <mergeCell ref="H5140:J5140"/>
    <mergeCell ref="K5140:L5140"/>
    <mergeCell ref="M5140:O5140"/>
    <mergeCell ref="P5140:Q5140"/>
    <mergeCell ref="B5141:C5141"/>
    <mergeCell ref="D5141:F5141"/>
    <mergeCell ref="H5141:J5141"/>
    <mergeCell ref="K5141:L5141"/>
    <mergeCell ref="M5141:O5141"/>
    <mergeCell ref="P5141:Q5141"/>
    <mergeCell ref="B5142:C5142"/>
    <mergeCell ref="D5142:F5142"/>
    <mergeCell ref="H5142:J5142"/>
    <mergeCell ref="K5142:L5142"/>
    <mergeCell ref="M5142:O5142"/>
    <mergeCell ref="P5142:Q5142"/>
    <mergeCell ref="B5143:C5143"/>
    <mergeCell ref="D5143:F5143"/>
    <mergeCell ref="H5143:J5143"/>
    <mergeCell ref="K5143:L5143"/>
    <mergeCell ref="M5143:O5143"/>
    <mergeCell ref="P5143:Q5143"/>
    <mergeCell ref="B5144:C5144"/>
    <mergeCell ref="D5144:F5144"/>
    <mergeCell ref="H5144:J5144"/>
    <mergeCell ref="K5144:L5144"/>
    <mergeCell ref="M5144:O5144"/>
    <mergeCell ref="P5144:Q5144"/>
    <mergeCell ref="B5145:C5145"/>
    <mergeCell ref="D5145:F5145"/>
    <mergeCell ref="H5145:J5145"/>
    <mergeCell ref="K5145:L5145"/>
    <mergeCell ref="M5145:O5145"/>
    <mergeCell ref="P5145:Q5145"/>
    <mergeCell ref="B5146:C5146"/>
    <mergeCell ref="D5146:F5146"/>
    <mergeCell ref="H5146:J5146"/>
    <mergeCell ref="K5146:L5146"/>
    <mergeCell ref="M5146:O5146"/>
    <mergeCell ref="P5146:Q5146"/>
    <mergeCell ref="B5147:C5147"/>
    <mergeCell ref="D5147:F5147"/>
    <mergeCell ref="H5147:J5147"/>
    <mergeCell ref="K5147:L5147"/>
    <mergeCell ref="M5147:O5147"/>
    <mergeCell ref="P5147:Q5147"/>
    <mergeCell ref="B5148:C5148"/>
    <mergeCell ref="D5148:F5148"/>
    <mergeCell ref="H5148:J5148"/>
    <mergeCell ref="K5148:L5148"/>
    <mergeCell ref="M5148:O5148"/>
    <mergeCell ref="P5148:Q5148"/>
    <mergeCell ref="B5149:C5149"/>
    <mergeCell ref="D5149:F5149"/>
    <mergeCell ref="H5149:J5149"/>
    <mergeCell ref="K5149:L5149"/>
    <mergeCell ref="M5149:O5149"/>
    <mergeCell ref="P5149:Q5149"/>
    <mergeCell ref="B5150:C5150"/>
    <mergeCell ref="D5150:F5150"/>
    <mergeCell ref="H5150:J5150"/>
    <mergeCell ref="K5150:L5150"/>
    <mergeCell ref="M5150:O5150"/>
    <mergeCell ref="P5150:Q5150"/>
    <mergeCell ref="B5151:C5151"/>
    <mergeCell ref="D5151:F5151"/>
    <mergeCell ref="H5151:J5151"/>
    <mergeCell ref="K5151:L5151"/>
    <mergeCell ref="M5151:O5151"/>
    <mergeCell ref="P5151:Q5151"/>
    <mergeCell ref="B5152:C5152"/>
    <mergeCell ref="D5152:F5152"/>
    <mergeCell ref="H5152:J5152"/>
    <mergeCell ref="K5152:L5152"/>
    <mergeCell ref="M5152:O5152"/>
    <mergeCell ref="P5152:Q5152"/>
    <mergeCell ref="B5153:C5153"/>
    <mergeCell ref="D5153:F5153"/>
    <mergeCell ref="H5153:J5153"/>
    <mergeCell ref="K5153:L5153"/>
    <mergeCell ref="M5153:O5153"/>
    <mergeCell ref="P5153:Q5153"/>
    <mergeCell ref="B5154:C5154"/>
    <mergeCell ref="D5154:F5154"/>
    <mergeCell ref="H5154:J5154"/>
    <mergeCell ref="K5154:L5154"/>
    <mergeCell ref="M5154:O5154"/>
    <mergeCell ref="P5154:Q5154"/>
    <mergeCell ref="B5155:C5155"/>
    <mergeCell ref="D5155:F5155"/>
    <mergeCell ref="H5155:J5155"/>
    <mergeCell ref="K5155:L5155"/>
    <mergeCell ref="M5155:O5155"/>
    <mergeCell ref="P5155:Q5155"/>
    <mergeCell ref="B5156:C5156"/>
    <mergeCell ref="D5156:F5156"/>
    <mergeCell ref="H5156:J5156"/>
    <mergeCell ref="K5156:L5156"/>
    <mergeCell ref="M5156:O5156"/>
    <mergeCell ref="P5156:Q5156"/>
    <mergeCell ref="B5157:C5157"/>
    <mergeCell ref="D5157:F5157"/>
    <mergeCell ref="H5157:J5157"/>
    <mergeCell ref="K5157:L5157"/>
    <mergeCell ref="M5157:O5157"/>
    <mergeCell ref="P5157:Q5157"/>
    <mergeCell ref="B5158:C5158"/>
    <mergeCell ref="D5158:F5158"/>
    <mergeCell ref="H5158:J5158"/>
    <mergeCell ref="K5158:L5158"/>
    <mergeCell ref="M5158:O5158"/>
    <mergeCell ref="P5158:Q5158"/>
    <mergeCell ref="B5159:C5159"/>
    <mergeCell ref="D5159:F5159"/>
    <mergeCell ref="H5159:J5159"/>
    <mergeCell ref="K5159:L5159"/>
    <mergeCell ref="M5159:O5159"/>
    <mergeCell ref="P5159:Q5159"/>
    <mergeCell ref="B5160:C5160"/>
    <mergeCell ref="D5160:F5160"/>
    <mergeCell ref="H5160:J5160"/>
    <mergeCell ref="K5160:L5160"/>
    <mergeCell ref="M5160:O5160"/>
    <mergeCell ref="P5160:Q5160"/>
    <mergeCell ref="B5161:C5161"/>
    <mergeCell ref="D5161:F5161"/>
    <mergeCell ref="H5161:J5161"/>
    <mergeCell ref="K5161:L5161"/>
    <mergeCell ref="M5161:O5161"/>
    <mergeCell ref="P5161:Q5161"/>
    <mergeCell ref="B5162:C5162"/>
    <mergeCell ref="D5162:F5162"/>
    <mergeCell ref="H5162:J5162"/>
    <mergeCell ref="K5162:L5162"/>
    <mergeCell ref="M5162:O5162"/>
    <mergeCell ref="P5162:Q5162"/>
    <mergeCell ref="B5163:C5163"/>
    <mergeCell ref="D5163:F5163"/>
    <mergeCell ref="H5163:J5163"/>
    <mergeCell ref="K5163:L5163"/>
    <mergeCell ref="M5163:O5163"/>
    <mergeCell ref="P5163:Q5163"/>
    <mergeCell ref="B5164:C5164"/>
    <mergeCell ref="D5164:F5164"/>
    <mergeCell ref="H5164:J5164"/>
    <mergeCell ref="K5164:L5164"/>
    <mergeCell ref="M5164:O5164"/>
    <mergeCell ref="P5164:Q5164"/>
    <mergeCell ref="B5165:C5165"/>
    <mergeCell ref="D5165:F5165"/>
    <mergeCell ref="H5165:J5165"/>
    <mergeCell ref="K5165:L5165"/>
    <mergeCell ref="M5165:O5165"/>
    <mergeCell ref="P5165:Q5165"/>
    <mergeCell ref="B5166:C5166"/>
    <mergeCell ref="D5166:F5166"/>
    <mergeCell ref="H5166:J5166"/>
    <mergeCell ref="K5166:L5166"/>
    <mergeCell ref="M5166:O5166"/>
    <mergeCell ref="P5166:Q5166"/>
    <mergeCell ref="B5167:C5167"/>
    <mergeCell ref="D5167:F5167"/>
    <mergeCell ref="H5167:J5167"/>
    <mergeCell ref="K5167:L5167"/>
    <mergeCell ref="M5167:O5167"/>
    <mergeCell ref="P5167:Q5167"/>
    <mergeCell ref="B5168:C5168"/>
    <mergeCell ref="D5168:F5168"/>
    <mergeCell ref="H5168:J5168"/>
    <mergeCell ref="K5168:L5168"/>
    <mergeCell ref="M5168:O5168"/>
    <mergeCell ref="P5168:Q5168"/>
    <mergeCell ref="B5169:C5169"/>
    <mergeCell ref="D5169:F5169"/>
    <mergeCell ref="H5169:J5169"/>
    <mergeCell ref="K5169:L5169"/>
    <mergeCell ref="M5169:O5169"/>
    <mergeCell ref="P5169:Q5169"/>
    <mergeCell ref="B5170:C5170"/>
    <mergeCell ref="D5170:F5170"/>
    <mergeCell ref="H5170:J5170"/>
    <mergeCell ref="K5170:L5170"/>
    <mergeCell ref="M5170:O5170"/>
    <mergeCell ref="P5170:Q5170"/>
    <mergeCell ref="B5171:C5171"/>
    <mergeCell ref="D5171:F5171"/>
    <mergeCell ref="H5171:J5171"/>
    <mergeCell ref="K5171:L5171"/>
    <mergeCell ref="M5171:O5171"/>
    <mergeCell ref="P5171:Q5171"/>
    <mergeCell ref="B5172:C5172"/>
    <mergeCell ref="D5172:F5172"/>
    <mergeCell ref="H5172:J5172"/>
    <mergeCell ref="K5172:L5172"/>
    <mergeCell ref="M5172:O5172"/>
    <mergeCell ref="P5172:Q5172"/>
    <mergeCell ref="B5173:C5173"/>
    <mergeCell ref="D5173:F5173"/>
    <mergeCell ref="H5173:J5173"/>
    <mergeCell ref="K5173:L5173"/>
    <mergeCell ref="M5173:O5173"/>
    <mergeCell ref="P5173:Q5173"/>
    <mergeCell ref="B5174:C5174"/>
    <mergeCell ref="D5174:F5174"/>
    <mergeCell ref="H5174:J5174"/>
    <mergeCell ref="K5174:L5174"/>
    <mergeCell ref="M5174:O5174"/>
    <mergeCell ref="P5174:Q5174"/>
    <mergeCell ref="B5175:C5175"/>
    <mergeCell ref="D5175:F5175"/>
    <mergeCell ref="H5175:J5175"/>
    <mergeCell ref="K5175:L5175"/>
    <mergeCell ref="M5175:O5175"/>
    <mergeCell ref="P5175:Q5175"/>
    <mergeCell ref="B5176:C5176"/>
    <mergeCell ref="D5176:F5176"/>
    <mergeCell ref="H5176:J5176"/>
    <mergeCell ref="K5176:L5176"/>
    <mergeCell ref="M5176:O5176"/>
    <mergeCell ref="P5176:Q5176"/>
    <mergeCell ref="B5177:C5177"/>
    <mergeCell ref="D5177:F5177"/>
    <mergeCell ref="H5177:J5177"/>
    <mergeCell ref="K5177:L5177"/>
    <mergeCell ref="M5177:O5177"/>
    <mergeCell ref="P5177:Q5177"/>
    <mergeCell ref="B5178:C5178"/>
    <mergeCell ref="D5178:F5178"/>
    <mergeCell ref="H5178:J5178"/>
    <mergeCell ref="K5178:L5178"/>
    <mergeCell ref="M5178:O5178"/>
    <mergeCell ref="P5178:Q5178"/>
    <mergeCell ref="B5179:C5179"/>
    <mergeCell ref="D5179:F5179"/>
    <mergeCell ref="H5179:J5179"/>
    <mergeCell ref="K5179:L5179"/>
    <mergeCell ref="M5179:O5179"/>
    <mergeCell ref="P5179:Q5179"/>
    <mergeCell ref="B5180:C5180"/>
    <mergeCell ref="D5180:F5180"/>
    <mergeCell ref="H5180:J5180"/>
    <mergeCell ref="K5180:L5180"/>
    <mergeCell ref="M5180:O5180"/>
    <mergeCell ref="P5180:Q5180"/>
    <mergeCell ref="B5181:C5181"/>
    <mergeCell ref="D5181:F5181"/>
    <mergeCell ref="H5181:J5181"/>
    <mergeCell ref="K5181:L5181"/>
    <mergeCell ref="M5181:O5181"/>
    <mergeCell ref="P5181:Q5181"/>
    <mergeCell ref="B5182:C5182"/>
    <mergeCell ref="D5182:F5182"/>
    <mergeCell ref="H5182:J5182"/>
    <mergeCell ref="K5182:L5182"/>
    <mergeCell ref="M5182:O5182"/>
    <mergeCell ref="P5182:Q5182"/>
    <mergeCell ref="B5183:C5183"/>
    <mergeCell ref="D5183:F5183"/>
    <mergeCell ref="H5183:J5183"/>
    <mergeCell ref="K5183:L5183"/>
    <mergeCell ref="M5183:O5183"/>
    <mergeCell ref="P5183:Q5183"/>
    <mergeCell ref="B5184:C5184"/>
    <mergeCell ref="D5184:F5184"/>
    <mergeCell ref="H5184:J5184"/>
    <mergeCell ref="K5184:L5184"/>
    <mergeCell ref="M5184:O5184"/>
    <mergeCell ref="P5184:Q5184"/>
    <mergeCell ref="B5185:C5185"/>
    <mergeCell ref="D5185:F5185"/>
    <mergeCell ref="H5185:J5185"/>
    <mergeCell ref="K5185:L5185"/>
    <mergeCell ref="M5185:O5185"/>
    <mergeCell ref="P5185:Q5185"/>
    <mergeCell ref="B5186:C5186"/>
    <mergeCell ref="D5186:F5186"/>
    <mergeCell ref="H5186:J5186"/>
    <mergeCell ref="K5186:L5186"/>
    <mergeCell ref="M5186:O5186"/>
    <mergeCell ref="P5186:Q5186"/>
    <mergeCell ref="B5187:C5187"/>
    <mergeCell ref="D5187:F5187"/>
    <mergeCell ref="H5187:J5187"/>
    <mergeCell ref="K5187:L5187"/>
    <mergeCell ref="M5187:O5187"/>
    <mergeCell ref="P5187:Q5187"/>
    <mergeCell ref="B5188:C5188"/>
    <mergeCell ref="D5188:F5188"/>
    <mergeCell ref="H5188:J5188"/>
    <mergeCell ref="K5188:L5188"/>
    <mergeCell ref="M5188:O5188"/>
    <mergeCell ref="P5188:Q5188"/>
    <mergeCell ref="B5189:C5189"/>
    <mergeCell ref="D5189:F5189"/>
    <mergeCell ref="H5189:J5189"/>
    <mergeCell ref="K5189:L5189"/>
    <mergeCell ref="M5189:O5189"/>
    <mergeCell ref="P5189:Q5189"/>
    <mergeCell ref="B5190:C5190"/>
    <mergeCell ref="D5190:F5190"/>
    <mergeCell ref="H5190:J5190"/>
    <mergeCell ref="K5190:L5190"/>
    <mergeCell ref="M5190:O5190"/>
    <mergeCell ref="P5190:Q5190"/>
    <mergeCell ref="B5191:C5191"/>
    <mergeCell ref="D5191:F5191"/>
    <mergeCell ref="H5191:J5191"/>
    <mergeCell ref="K5191:L5191"/>
    <mergeCell ref="M5191:O5191"/>
    <mergeCell ref="P5191:Q5191"/>
    <mergeCell ref="B5192:C5192"/>
    <mergeCell ref="D5192:F5192"/>
    <mergeCell ref="H5192:J5192"/>
    <mergeCell ref="K5192:L5192"/>
    <mergeCell ref="M5192:O5192"/>
    <mergeCell ref="P5192:Q5192"/>
    <mergeCell ref="B5193:C5193"/>
    <mergeCell ref="D5193:F5193"/>
    <mergeCell ref="H5193:J5193"/>
    <mergeCell ref="K5193:L5193"/>
    <mergeCell ref="M5193:O5193"/>
    <mergeCell ref="P5193:Q5193"/>
    <mergeCell ref="B5194:C5194"/>
    <mergeCell ref="D5194:F5194"/>
    <mergeCell ref="H5194:J5194"/>
    <mergeCell ref="K5194:L5194"/>
    <mergeCell ref="M5194:O5194"/>
    <mergeCell ref="P5194:Q5194"/>
    <mergeCell ref="B5195:C5195"/>
    <mergeCell ref="D5195:F5195"/>
    <mergeCell ref="H5195:J5195"/>
    <mergeCell ref="K5195:L5195"/>
    <mergeCell ref="M5195:O5195"/>
    <mergeCell ref="P5195:Q5195"/>
    <mergeCell ref="B5196:C5196"/>
    <mergeCell ref="D5196:F5196"/>
    <mergeCell ref="H5196:J5196"/>
    <mergeCell ref="K5196:L5196"/>
    <mergeCell ref="M5196:O5196"/>
    <mergeCell ref="P5196:Q5196"/>
    <mergeCell ref="B5197:C5197"/>
    <mergeCell ref="D5197:F5197"/>
    <mergeCell ref="H5197:J5197"/>
    <mergeCell ref="K5197:L5197"/>
    <mergeCell ref="M5197:O5197"/>
    <mergeCell ref="P5197:Q5197"/>
    <mergeCell ref="B5198:C5198"/>
    <mergeCell ref="D5198:F5198"/>
    <mergeCell ref="H5198:J5198"/>
    <mergeCell ref="K5198:L5198"/>
    <mergeCell ref="M5198:O5198"/>
    <mergeCell ref="P5198:Q5198"/>
    <mergeCell ref="B5199:C5199"/>
    <mergeCell ref="D5199:F5199"/>
    <mergeCell ref="H5199:J5199"/>
    <mergeCell ref="K5199:L5199"/>
    <mergeCell ref="M5199:O5199"/>
    <mergeCell ref="P5199:Q5199"/>
    <mergeCell ref="B5200:C5200"/>
    <mergeCell ref="D5200:F5200"/>
    <mergeCell ref="H5200:J5200"/>
    <mergeCell ref="K5200:L5200"/>
    <mergeCell ref="M5200:O5200"/>
    <mergeCell ref="P5200:Q5200"/>
    <mergeCell ref="B5201:C5201"/>
    <mergeCell ref="D5201:F5201"/>
    <mergeCell ref="H5201:J5201"/>
    <mergeCell ref="K5201:L5201"/>
    <mergeCell ref="M5201:O5201"/>
    <mergeCell ref="P5201:Q5201"/>
    <mergeCell ref="B5202:C5202"/>
    <mergeCell ref="D5202:F5202"/>
    <mergeCell ref="H5202:J5202"/>
    <mergeCell ref="K5202:L5202"/>
    <mergeCell ref="M5202:O5202"/>
    <mergeCell ref="P5202:Q5202"/>
    <mergeCell ref="B5203:C5203"/>
    <mergeCell ref="D5203:F5203"/>
    <mergeCell ref="H5203:J5203"/>
    <mergeCell ref="K5203:L5203"/>
    <mergeCell ref="M5203:O5203"/>
    <mergeCell ref="P5203:Q5203"/>
    <mergeCell ref="B5204:C5204"/>
    <mergeCell ref="D5204:F5204"/>
    <mergeCell ref="H5204:J5204"/>
    <mergeCell ref="K5204:L5204"/>
    <mergeCell ref="M5204:O5204"/>
    <mergeCell ref="P5204:Q5204"/>
    <mergeCell ref="B5205:C5205"/>
    <mergeCell ref="D5205:F5205"/>
    <mergeCell ref="H5205:J5205"/>
    <mergeCell ref="K5205:L5205"/>
    <mergeCell ref="M5205:O5205"/>
    <mergeCell ref="P5205:Q5205"/>
    <mergeCell ref="B5206:C5206"/>
    <mergeCell ref="D5206:F5206"/>
    <mergeCell ref="H5206:J5206"/>
    <mergeCell ref="K5206:L5206"/>
    <mergeCell ref="M5206:O5206"/>
    <mergeCell ref="P5206:Q5206"/>
    <mergeCell ref="B5207:C5207"/>
    <mergeCell ref="D5207:F5207"/>
    <mergeCell ref="H5207:J5207"/>
    <mergeCell ref="K5207:L5207"/>
    <mergeCell ref="M5207:O5207"/>
    <mergeCell ref="P5207:Q5207"/>
    <mergeCell ref="B5208:C5208"/>
    <mergeCell ref="D5208:F5208"/>
    <mergeCell ref="H5208:J5208"/>
    <mergeCell ref="K5208:L5208"/>
    <mergeCell ref="M5208:O5208"/>
    <mergeCell ref="P5208:Q5208"/>
    <mergeCell ref="B5209:C5209"/>
    <mergeCell ref="D5209:F5209"/>
    <mergeCell ref="H5209:J5209"/>
    <mergeCell ref="K5209:L5209"/>
    <mergeCell ref="M5209:O5209"/>
    <mergeCell ref="P5209:Q5209"/>
    <mergeCell ref="B5210:C5210"/>
    <mergeCell ref="D5210:F5210"/>
    <mergeCell ref="H5210:J5210"/>
    <mergeCell ref="K5210:L5210"/>
    <mergeCell ref="M5210:O5210"/>
    <mergeCell ref="P5210:Q5210"/>
    <mergeCell ref="B5211:C5211"/>
    <mergeCell ref="D5211:F5211"/>
    <mergeCell ref="H5211:J5211"/>
    <mergeCell ref="K5211:L5211"/>
    <mergeCell ref="M5211:O5211"/>
    <mergeCell ref="P5211:Q5211"/>
    <mergeCell ref="B5212:C5212"/>
    <mergeCell ref="D5212:F5212"/>
    <mergeCell ref="H5212:J5212"/>
    <mergeCell ref="K5212:L5212"/>
    <mergeCell ref="M5212:O5212"/>
    <mergeCell ref="P5212:Q5212"/>
    <mergeCell ref="B5213:C5213"/>
    <mergeCell ref="D5213:F5213"/>
    <mergeCell ref="H5213:J5213"/>
    <mergeCell ref="K5213:L5213"/>
    <mergeCell ref="M5213:O5213"/>
    <mergeCell ref="P5213:Q5213"/>
    <mergeCell ref="B5214:C5214"/>
    <mergeCell ref="D5214:F5214"/>
    <mergeCell ref="H5214:J5214"/>
    <mergeCell ref="K5214:L5214"/>
    <mergeCell ref="M5214:O5214"/>
    <mergeCell ref="P5214:Q5214"/>
    <mergeCell ref="B5215:C5215"/>
    <mergeCell ref="D5215:F5215"/>
    <mergeCell ref="H5215:J5215"/>
    <mergeCell ref="K5215:L5215"/>
    <mergeCell ref="M5215:O5215"/>
    <mergeCell ref="P5215:Q5215"/>
    <mergeCell ref="B5216:C5216"/>
    <mergeCell ref="D5216:F5216"/>
    <mergeCell ref="H5216:J5216"/>
    <mergeCell ref="K5216:L5216"/>
    <mergeCell ref="M5216:O5216"/>
    <mergeCell ref="P5216:Q5216"/>
    <mergeCell ref="B5217:C5217"/>
    <mergeCell ref="D5217:F5217"/>
    <mergeCell ref="H5217:J5217"/>
    <mergeCell ref="K5217:L5217"/>
    <mergeCell ref="M5217:O5217"/>
    <mergeCell ref="P5217:Q5217"/>
    <mergeCell ref="B5218:C5218"/>
    <mergeCell ref="D5218:F5218"/>
    <mergeCell ref="H5218:J5218"/>
    <mergeCell ref="K5218:L5218"/>
    <mergeCell ref="M5218:O5218"/>
    <mergeCell ref="P5218:Q5218"/>
    <mergeCell ref="B5219:C5219"/>
    <mergeCell ref="D5219:F5219"/>
    <mergeCell ref="H5219:J5219"/>
    <mergeCell ref="K5219:L5219"/>
    <mergeCell ref="M5219:O5219"/>
    <mergeCell ref="P5219:Q5219"/>
    <mergeCell ref="B5220:C5220"/>
    <mergeCell ref="D5220:F5220"/>
    <mergeCell ref="H5220:J5220"/>
    <mergeCell ref="K5220:L5220"/>
    <mergeCell ref="M5220:O5220"/>
    <mergeCell ref="P5220:Q5220"/>
    <mergeCell ref="B5221:C5221"/>
    <mergeCell ref="D5221:F5221"/>
    <mergeCell ref="H5221:J5221"/>
    <mergeCell ref="K5221:L5221"/>
    <mergeCell ref="M5221:O5221"/>
    <mergeCell ref="P5221:Q5221"/>
    <mergeCell ref="B5222:C5222"/>
    <mergeCell ref="D5222:F5222"/>
    <mergeCell ref="H5222:J5222"/>
    <mergeCell ref="K5222:L5222"/>
    <mergeCell ref="M5222:O5222"/>
    <mergeCell ref="P5222:Q5222"/>
    <mergeCell ref="B5223:C5223"/>
    <mergeCell ref="D5223:F5223"/>
    <mergeCell ref="H5223:J5223"/>
    <mergeCell ref="K5223:L5223"/>
    <mergeCell ref="M5223:O5223"/>
    <mergeCell ref="P5223:Q5223"/>
    <mergeCell ref="B5224:C5224"/>
    <mergeCell ref="D5224:F5224"/>
    <mergeCell ref="H5224:J5224"/>
    <mergeCell ref="K5224:L5224"/>
    <mergeCell ref="M5224:O5224"/>
    <mergeCell ref="P5224:Q5224"/>
    <mergeCell ref="B5225:C5225"/>
    <mergeCell ref="D5225:F5225"/>
    <mergeCell ref="H5225:J5225"/>
    <mergeCell ref="K5225:L5225"/>
    <mergeCell ref="M5225:O5225"/>
    <mergeCell ref="P5225:Q5225"/>
    <mergeCell ref="B5226:C5226"/>
    <mergeCell ref="D5226:F5226"/>
    <mergeCell ref="H5226:J5226"/>
    <mergeCell ref="K5226:L5226"/>
    <mergeCell ref="M5226:O5226"/>
    <mergeCell ref="P5226:Q5226"/>
    <mergeCell ref="B5227:C5227"/>
    <mergeCell ref="D5227:F5227"/>
    <mergeCell ref="H5227:J5227"/>
    <mergeCell ref="K5227:L5227"/>
    <mergeCell ref="M5227:O5227"/>
    <mergeCell ref="P5227:Q5227"/>
    <mergeCell ref="B5228:C5228"/>
    <mergeCell ref="D5228:F5228"/>
    <mergeCell ref="H5228:J5228"/>
    <mergeCell ref="K5228:L5228"/>
    <mergeCell ref="M5228:O5228"/>
    <mergeCell ref="P5228:Q5228"/>
    <mergeCell ref="B5229:C5229"/>
    <mergeCell ref="D5229:F5229"/>
    <mergeCell ref="H5229:J5229"/>
    <mergeCell ref="K5229:L5229"/>
    <mergeCell ref="M5229:O5229"/>
    <mergeCell ref="P5229:Q5229"/>
    <mergeCell ref="B5230:C5230"/>
    <mergeCell ref="D5230:F5230"/>
    <mergeCell ref="H5230:J5230"/>
    <mergeCell ref="K5230:L5230"/>
    <mergeCell ref="M5230:O5230"/>
    <mergeCell ref="P5230:Q5230"/>
    <mergeCell ref="B5231:C5231"/>
    <mergeCell ref="D5231:F5231"/>
    <mergeCell ref="H5231:J5231"/>
    <mergeCell ref="K5231:L5231"/>
    <mergeCell ref="M5231:O5231"/>
    <mergeCell ref="P5231:Q5231"/>
    <mergeCell ref="B5232:C5232"/>
    <mergeCell ref="D5232:F5232"/>
    <mergeCell ref="H5232:J5232"/>
    <mergeCell ref="K5232:L5232"/>
    <mergeCell ref="M5232:O5232"/>
    <mergeCell ref="P5232:Q5232"/>
    <mergeCell ref="B5233:C5233"/>
    <mergeCell ref="D5233:F5233"/>
    <mergeCell ref="H5233:J5233"/>
    <mergeCell ref="K5233:L5233"/>
    <mergeCell ref="M5233:O5233"/>
    <mergeCell ref="P5233:Q5233"/>
    <mergeCell ref="B5234:C5234"/>
    <mergeCell ref="D5234:F5234"/>
    <mergeCell ref="H5234:J5234"/>
    <mergeCell ref="K5234:L5234"/>
    <mergeCell ref="M5234:O5234"/>
    <mergeCell ref="P5234:Q5234"/>
    <mergeCell ref="B5235:C5235"/>
    <mergeCell ref="D5235:F5235"/>
    <mergeCell ref="H5235:J5235"/>
    <mergeCell ref="K5235:L5235"/>
    <mergeCell ref="M5235:O5235"/>
    <mergeCell ref="P5235:Q5235"/>
    <mergeCell ref="B5236:C5236"/>
    <mergeCell ref="D5236:F5236"/>
    <mergeCell ref="H5236:J5236"/>
    <mergeCell ref="K5236:L5236"/>
    <mergeCell ref="M5236:O5236"/>
    <mergeCell ref="P5236:Q5236"/>
    <mergeCell ref="B5237:C5237"/>
    <mergeCell ref="D5237:F5237"/>
    <mergeCell ref="H5237:J5237"/>
    <mergeCell ref="K5237:L5237"/>
    <mergeCell ref="M5237:O5237"/>
    <mergeCell ref="P5237:Q5237"/>
    <mergeCell ref="B5238:C5238"/>
    <mergeCell ref="D5238:F5238"/>
    <mergeCell ref="H5238:J5238"/>
    <mergeCell ref="K5238:L5238"/>
    <mergeCell ref="M5238:O5238"/>
    <mergeCell ref="P5238:Q5238"/>
    <mergeCell ref="B5239:C5239"/>
    <mergeCell ref="D5239:F5239"/>
    <mergeCell ref="H5239:J5239"/>
    <mergeCell ref="K5239:L5239"/>
    <mergeCell ref="M5239:O5239"/>
    <mergeCell ref="P5239:Q5239"/>
    <mergeCell ref="B5240:C5240"/>
    <mergeCell ref="D5240:F5240"/>
    <mergeCell ref="H5240:J5240"/>
    <mergeCell ref="K5240:L5240"/>
    <mergeCell ref="M5240:O5240"/>
    <mergeCell ref="P5240:Q5240"/>
    <mergeCell ref="B5241:C5241"/>
    <mergeCell ref="D5241:F5241"/>
    <mergeCell ref="H5241:J5241"/>
    <mergeCell ref="K5241:L5241"/>
    <mergeCell ref="M5241:O5241"/>
    <mergeCell ref="P5241:Q5241"/>
    <mergeCell ref="B5242:C5242"/>
    <mergeCell ref="D5242:F5242"/>
    <mergeCell ref="H5242:J5242"/>
    <mergeCell ref="K5242:L5242"/>
    <mergeCell ref="M5242:O5242"/>
    <mergeCell ref="P5242:Q5242"/>
    <mergeCell ref="B5243:C5243"/>
    <mergeCell ref="D5243:F5243"/>
    <mergeCell ref="H5243:J5243"/>
    <mergeCell ref="K5243:L5243"/>
    <mergeCell ref="M5243:O5243"/>
    <mergeCell ref="P5243:Q5243"/>
    <mergeCell ref="B5244:C5244"/>
    <mergeCell ref="D5244:F5244"/>
    <mergeCell ref="H5244:J5244"/>
    <mergeCell ref="K5244:L5244"/>
    <mergeCell ref="M5244:O5244"/>
    <mergeCell ref="P5244:Q5244"/>
    <mergeCell ref="B5245:C5245"/>
    <mergeCell ref="D5245:F5245"/>
    <mergeCell ref="H5245:J5245"/>
    <mergeCell ref="K5245:L5245"/>
    <mergeCell ref="M5245:O5245"/>
    <mergeCell ref="P5245:Q5245"/>
    <mergeCell ref="B5246:C5246"/>
    <mergeCell ref="D5246:F5246"/>
    <mergeCell ref="H5246:J5246"/>
    <mergeCell ref="K5246:L5246"/>
    <mergeCell ref="M5246:O5246"/>
    <mergeCell ref="P5246:Q5246"/>
    <mergeCell ref="B5247:C5247"/>
    <mergeCell ref="D5247:F5247"/>
    <mergeCell ref="H5247:J5247"/>
    <mergeCell ref="K5247:L5247"/>
    <mergeCell ref="M5247:O5247"/>
    <mergeCell ref="P5247:Q5247"/>
    <mergeCell ref="B5248:C5248"/>
    <mergeCell ref="D5248:F5248"/>
    <mergeCell ref="H5248:J5248"/>
    <mergeCell ref="K5248:L5248"/>
    <mergeCell ref="M5248:O5248"/>
    <mergeCell ref="P5248:Q5248"/>
    <mergeCell ref="B5249:C5249"/>
    <mergeCell ref="D5249:F5249"/>
    <mergeCell ref="H5249:J5249"/>
    <mergeCell ref="K5249:L5249"/>
    <mergeCell ref="M5249:O5249"/>
    <mergeCell ref="P5249:Q5249"/>
    <mergeCell ref="B5250:C5250"/>
    <mergeCell ref="D5250:F5250"/>
    <mergeCell ref="H5250:J5250"/>
    <mergeCell ref="K5250:L5250"/>
    <mergeCell ref="M5250:O5250"/>
    <mergeCell ref="P5250:Q5250"/>
    <mergeCell ref="B5251:C5251"/>
    <mergeCell ref="D5251:F5251"/>
    <mergeCell ref="H5251:J5251"/>
    <mergeCell ref="K5251:L5251"/>
    <mergeCell ref="M5251:O5251"/>
    <mergeCell ref="P5251:Q5251"/>
    <mergeCell ref="B5252:C5252"/>
    <mergeCell ref="D5252:F5252"/>
    <mergeCell ref="H5252:J5252"/>
    <mergeCell ref="K5252:L5252"/>
    <mergeCell ref="M5252:O5252"/>
    <mergeCell ref="P5252:Q5252"/>
    <mergeCell ref="B5253:C5253"/>
    <mergeCell ref="D5253:F5253"/>
    <mergeCell ref="H5253:J5253"/>
    <mergeCell ref="K5253:L5253"/>
    <mergeCell ref="M5253:O5253"/>
    <mergeCell ref="P5253:Q5253"/>
    <mergeCell ref="B5254:C5254"/>
    <mergeCell ref="D5254:F5254"/>
    <mergeCell ref="H5254:J5254"/>
    <mergeCell ref="K5254:L5254"/>
    <mergeCell ref="M5254:O5254"/>
    <mergeCell ref="P5254:Q5254"/>
    <mergeCell ref="B5255:C5255"/>
    <mergeCell ref="D5255:F5255"/>
    <mergeCell ref="H5255:J5255"/>
    <mergeCell ref="K5255:L5255"/>
    <mergeCell ref="M5255:O5255"/>
    <mergeCell ref="P5255:Q5255"/>
    <mergeCell ref="B5256:C5256"/>
    <mergeCell ref="D5256:F5256"/>
    <mergeCell ref="H5256:J5256"/>
    <mergeCell ref="K5256:L5256"/>
    <mergeCell ref="M5256:O5256"/>
    <mergeCell ref="P5256:Q5256"/>
    <mergeCell ref="B5257:C5257"/>
    <mergeCell ref="D5257:F5257"/>
    <mergeCell ref="H5257:J5257"/>
    <mergeCell ref="K5257:L5257"/>
    <mergeCell ref="M5257:O5257"/>
    <mergeCell ref="P5257:Q5257"/>
    <mergeCell ref="B5258:C5258"/>
    <mergeCell ref="D5258:F5258"/>
    <mergeCell ref="H5258:J5258"/>
    <mergeCell ref="K5258:L5258"/>
    <mergeCell ref="M5258:O5258"/>
    <mergeCell ref="P5258:Q5258"/>
    <mergeCell ref="B5259:C5259"/>
    <mergeCell ref="D5259:F5259"/>
    <mergeCell ref="H5259:J5259"/>
    <mergeCell ref="K5259:L5259"/>
    <mergeCell ref="M5259:O5259"/>
    <mergeCell ref="P5259:Q5259"/>
    <mergeCell ref="B5260:C5260"/>
    <mergeCell ref="D5260:F5260"/>
    <mergeCell ref="H5260:J5260"/>
    <mergeCell ref="K5260:L5260"/>
    <mergeCell ref="M5260:O5260"/>
    <mergeCell ref="P5260:Q5260"/>
    <mergeCell ref="B5261:C5261"/>
    <mergeCell ref="D5261:F5261"/>
    <mergeCell ref="H5261:J5261"/>
    <mergeCell ref="K5261:L5261"/>
    <mergeCell ref="M5261:O5261"/>
    <mergeCell ref="P5261:Q5261"/>
    <mergeCell ref="B5262:C5262"/>
    <mergeCell ref="D5262:F5262"/>
    <mergeCell ref="H5262:J5262"/>
    <mergeCell ref="K5262:L5262"/>
    <mergeCell ref="M5262:O5262"/>
    <mergeCell ref="P5262:Q5262"/>
    <mergeCell ref="B5263:C5263"/>
    <mergeCell ref="D5263:F5263"/>
    <mergeCell ref="H5263:J5263"/>
    <mergeCell ref="K5263:L5263"/>
    <mergeCell ref="M5263:O5263"/>
    <mergeCell ref="P5263:Q5263"/>
    <mergeCell ref="B5264:C5264"/>
    <mergeCell ref="D5264:F5264"/>
    <mergeCell ref="H5264:J5264"/>
    <mergeCell ref="K5264:L5264"/>
    <mergeCell ref="M5264:O5264"/>
    <mergeCell ref="P5264:Q5264"/>
    <mergeCell ref="B5265:C5265"/>
    <mergeCell ref="D5265:F5265"/>
    <mergeCell ref="H5265:J5265"/>
    <mergeCell ref="K5265:L5265"/>
    <mergeCell ref="M5265:O5265"/>
    <mergeCell ref="P5265:Q5265"/>
    <mergeCell ref="B5266:C5266"/>
    <mergeCell ref="D5266:F5266"/>
    <mergeCell ref="H5266:J5266"/>
    <mergeCell ref="K5266:L5266"/>
    <mergeCell ref="M5266:O5266"/>
    <mergeCell ref="P5266:Q5266"/>
    <mergeCell ref="B5267:C5267"/>
    <mergeCell ref="D5267:F5267"/>
    <mergeCell ref="H5267:J5267"/>
    <mergeCell ref="K5267:L5267"/>
    <mergeCell ref="M5267:O5267"/>
    <mergeCell ref="P5267:Q5267"/>
    <mergeCell ref="B5268:C5268"/>
    <mergeCell ref="D5268:F5268"/>
    <mergeCell ref="H5268:J5268"/>
    <mergeCell ref="K5268:L5268"/>
    <mergeCell ref="M5268:O5268"/>
    <mergeCell ref="P5268:Q5268"/>
    <mergeCell ref="B5269:C5269"/>
    <mergeCell ref="D5269:F5269"/>
    <mergeCell ref="H5269:J5269"/>
    <mergeCell ref="K5269:L5269"/>
    <mergeCell ref="M5269:O5269"/>
    <mergeCell ref="P5269:Q5269"/>
    <mergeCell ref="B5270:C5270"/>
    <mergeCell ref="D5270:F5270"/>
    <mergeCell ref="H5270:J5270"/>
    <mergeCell ref="K5270:L5270"/>
    <mergeCell ref="M5270:O5270"/>
    <mergeCell ref="P5270:Q5270"/>
    <mergeCell ref="B5271:C5271"/>
    <mergeCell ref="D5271:F5271"/>
    <mergeCell ref="H5271:J5271"/>
    <mergeCell ref="K5271:L5271"/>
    <mergeCell ref="M5271:O5271"/>
    <mergeCell ref="P5271:Q5271"/>
    <mergeCell ref="B5272:C5272"/>
    <mergeCell ref="D5272:F5272"/>
    <mergeCell ref="H5272:J5272"/>
    <mergeCell ref="K5272:L5272"/>
    <mergeCell ref="M5272:O5272"/>
    <mergeCell ref="P5272:Q5272"/>
    <mergeCell ref="B5273:C5273"/>
    <mergeCell ref="D5273:F5273"/>
    <mergeCell ref="H5273:J5273"/>
    <mergeCell ref="K5273:L5273"/>
    <mergeCell ref="M5273:O5273"/>
    <mergeCell ref="P5273:Q5273"/>
    <mergeCell ref="B5274:C5274"/>
    <mergeCell ref="D5274:F5274"/>
    <mergeCell ref="H5274:J5274"/>
    <mergeCell ref="K5274:L5274"/>
    <mergeCell ref="M5274:O5274"/>
    <mergeCell ref="P5274:Q5274"/>
    <mergeCell ref="B5275:C5275"/>
    <mergeCell ref="D5275:F5275"/>
    <mergeCell ref="H5275:J5275"/>
    <mergeCell ref="K5275:L5275"/>
    <mergeCell ref="M5275:O5275"/>
    <mergeCell ref="P5275:Q5275"/>
    <mergeCell ref="B5276:C5276"/>
    <mergeCell ref="D5276:F5276"/>
    <mergeCell ref="H5276:J5276"/>
    <mergeCell ref="K5276:L5276"/>
    <mergeCell ref="M5276:O5276"/>
    <mergeCell ref="P5276:Q5276"/>
    <mergeCell ref="B5277:C5277"/>
    <mergeCell ref="D5277:F5277"/>
    <mergeCell ref="H5277:J5277"/>
    <mergeCell ref="K5277:L5277"/>
    <mergeCell ref="M5277:O5277"/>
    <mergeCell ref="P5277:Q5277"/>
    <mergeCell ref="B5278:C5278"/>
    <mergeCell ref="D5278:F5278"/>
    <mergeCell ref="H5278:J5278"/>
    <mergeCell ref="K5278:L5278"/>
    <mergeCell ref="M5278:O5278"/>
    <mergeCell ref="P5278:Q5278"/>
    <mergeCell ref="B5279:C5279"/>
    <mergeCell ref="D5279:F5279"/>
    <mergeCell ref="H5279:J5279"/>
    <mergeCell ref="K5279:L5279"/>
    <mergeCell ref="M5279:O5279"/>
    <mergeCell ref="P5279:Q5279"/>
    <mergeCell ref="B5280:C5280"/>
    <mergeCell ref="D5280:F5280"/>
    <mergeCell ref="H5280:J5280"/>
    <mergeCell ref="K5280:L5280"/>
    <mergeCell ref="M5280:O5280"/>
    <mergeCell ref="P5280:Q5280"/>
    <mergeCell ref="B5281:C5281"/>
    <mergeCell ref="D5281:F5281"/>
    <mergeCell ref="H5281:J5281"/>
    <mergeCell ref="K5281:L5281"/>
    <mergeCell ref="M5281:O5281"/>
    <mergeCell ref="P5281:Q5281"/>
    <mergeCell ref="B5282:C5282"/>
    <mergeCell ref="D5282:F5282"/>
    <mergeCell ref="H5282:J5282"/>
    <mergeCell ref="K5282:L5282"/>
    <mergeCell ref="M5282:O5282"/>
    <mergeCell ref="P5282:Q5282"/>
    <mergeCell ref="B5283:C5283"/>
    <mergeCell ref="D5283:F5283"/>
    <mergeCell ref="H5283:J5283"/>
    <mergeCell ref="K5283:L5283"/>
    <mergeCell ref="M5283:O5283"/>
    <mergeCell ref="P5283:Q5283"/>
    <mergeCell ref="B5284:C5284"/>
    <mergeCell ref="D5284:F5284"/>
    <mergeCell ref="H5284:J5284"/>
    <mergeCell ref="K5284:L5284"/>
    <mergeCell ref="M5284:O5284"/>
    <mergeCell ref="P5284:Q5284"/>
    <mergeCell ref="B5285:C5285"/>
    <mergeCell ref="D5285:F5285"/>
    <mergeCell ref="H5285:J5285"/>
    <mergeCell ref="K5285:L5285"/>
    <mergeCell ref="M5285:O5285"/>
    <mergeCell ref="P5285:Q5285"/>
    <mergeCell ref="B5286:C5286"/>
    <mergeCell ref="D5286:F5286"/>
    <mergeCell ref="H5286:J5286"/>
    <mergeCell ref="K5286:L5286"/>
    <mergeCell ref="M5286:O5286"/>
    <mergeCell ref="P5286:Q5286"/>
    <mergeCell ref="B5287:C5287"/>
    <mergeCell ref="D5287:F5287"/>
    <mergeCell ref="H5287:J5287"/>
    <mergeCell ref="K5287:L5287"/>
    <mergeCell ref="M5287:O5287"/>
    <mergeCell ref="P5287:Q5287"/>
    <mergeCell ref="B5288:C5288"/>
    <mergeCell ref="D5288:F5288"/>
    <mergeCell ref="H5288:J5288"/>
    <mergeCell ref="K5288:L5288"/>
    <mergeCell ref="M5288:O5288"/>
    <mergeCell ref="P5288:Q5288"/>
    <mergeCell ref="B5289:C5289"/>
    <mergeCell ref="D5289:F5289"/>
    <mergeCell ref="H5289:J5289"/>
    <mergeCell ref="K5289:L5289"/>
    <mergeCell ref="M5289:O5289"/>
    <mergeCell ref="P5289:Q5289"/>
    <mergeCell ref="B5290:C5290"/>
    <mergeCell ref="D5290:F5290"/>
    <mergeCell ref="H5290:J5290"/>
    <mergeCell ref="K5290:L5290"/>
    <mergeCell ref="M5290:O5290"/>
    <mergeCell ref="P5290:Q5290"/>
    <mergeCell ref="B5291:C5291"/>
    <mergeCell ref="D5291:F5291"/>
    <mergeCell ref="H5291:J5291"/>
    <mergeCell ref="K5291:L5291"/>
    <mergeCell ref="M5291:O5291"/>
    <mergeCell ref="P5291:Q5291"/>
    <mergeCell ref="B5292:C5292"/>
    <mergeCell ref="D5292:F5292"/>
    <mergeCell ref="H5292:J5292"/>
    <mergeCell ref="K5292:L5292"/>
    <mergeCell ref="M5292:O5292"/>
    <mergeCell ref="P5292:Q5292"/>
    <mergeCell ref="B5293:C5293"/>
    <mergeCell ref="D5293:F5293"/>
    <mergeCell ref="H5293:J5293"/>
    <mergeCell ref="K5293:L5293"/>
    <mergeCell ref="M5293:O5293"/>
    <mergeCell ref="P5293:Q5293"/>
    <mergeCell ref="B5294:C5294"/>
    <mergeCell ref="D5294:F5294"/>
    <mergeCell ref="H5294:J5294"/>
    <mergeCell ref="K5294:L5294"/>
    <mergeCell ref="M5294:O5294"/>
    <mergeCell ref="P5294:Q5294"/>
    <mergeCell ref="B5295:C5295"/>
    <mergeCell ref="D5295:F5295"/>
    <mergeCell ref="H5295:J5295"/>
    <mergeCell ref="K5295:L5295"/>
    <mergeCell ref="M5295:O5295"/>
    <mergeCell ref="P5295:Q5295"/>
    <mergeCell ref="B5296:C5296"/>
    <mergeCell ref="D5296:F5296"/>
    <mergeCell ref="H5296:J5296"/>
    <mergeCell ref="K5296:L5296"/>
    <mergeCell ref="M5296:O5296"/>
    <mergeCell ref="P5296:Q5296"/>
    <mergeCell ref="B5297:C5297"/>
    <mergeCell ref="D5297:F5297"/>
    <mergeCell ref="H5297:J5297"/>
    <mergeCell ref="K5297:L5297"/>
    <mergeCell ref="M5297:O5297"/>
    <mergeCell ref="P5297:Q5297"/>
    <mergeCell ref="B5298:C5298"/>
    <mergeCell ref="D5298:F5298"/>
    <mergeCell ref="H5298:J5298"/>
    <mergeCell ref="K5298:L5298"/>
    <mergeCell ref="M5298:O5298"/>
    <mergeCell ref="P5298:Q5298"/>
    <mergeCell ref="B5299:C5299"/>
    <mergeCell ref="D5299:F5299"/>
    <mergeCell ref="H5299:J5299"/>
    <mergeCell ref="K5299:L5299"/>
    <mergeCell ref="M5299:O5299"/>
    <mergeCell ref="P5299:Q5299"/>
    <mergeCell ref="B5300:C5300"/>
    <mergeCell ref="D5300:F5300"/>
    <mergeCell ref="H5300:J5300"/>
    <mergeCell ref="K5300:L5300"/>
    <mergeCell ref="M5300:O5300"/>
    <mergeCell ref="P5300:Q5300"/>
    <mergeCell ref="B5301:C5301"/>
    <mergeCell ref="D5301:F5301"/>
    <mergeCell ref="H5301:J5301"/>
    <mergeCell ref="K5301:L5301"/>
    <mergeCell ref="M5301:O5301"/>
    <mergeCell ref="P5301:Q5301"/>
    <mergeCell ref="B5302:C5302"/>
    <mergeCell ref="D5302:F5302"/>
    <mergeCell ref="H5302:J5302"/>
    <mergeCell ref="K5302:L5302"/>
    <mergeCell ref="M5302:O5302"/>
    <mergeCell ref="P5302:Q5302"/>
    <mergeCell ref="B5303:C5303"/>
    <mergeCell ref="D5303:F5303"/>
    <mergeCell ref="H5303:J5303"/>
    <mergeCell ref="K5303:L5303"/>
    <mergeCell ref="M5303:O5303"/>
    <mergeCell ref="P5303:Q5303"/>
    <mergeCell ref="B5304:C5304"/>
    <mergeCell ref="D5304:F5304"/>
    <mergeCell ref="H5304:J5304"/>
    <mergeCell ref="K5304:L5304"/>
    <mergeCell ref="M5304:O5304"/>
    <mergeCell ref="P5304:Q5304"/>
    <mergeCell ref="B5305:C5305"/>
    <mergeCell ref="D5305:F5305"/>
    <mergeCell ref="H5305:J5305"/>
    <mergeCell ref="K5305:L5305"/>
    <mergeCell ref="M5305:O5305"/>
    <mergeCell ref="P5305:Q5305"/>
    <mergeCell ref="B5306:C5306"/>
    <mergeCell ref="D5306:F5306"/>
    <mergeCell ref="H5306:J5306"/>
    <mergeCell ref="K5306:L5306"/>
    <mergeCell ref="M5306:O5306"/>
    <mergeCell ref="P5306:Q5306"/>
    <mergeCell ref="B5307:C5307"/>
    <mergeCell ref="D5307:F5307"/>
    <mergeCell ref="H5307:J5307"/>
    <mergeCell ref="K5307:L5307"/>
    <mergeCell ref="M5307:O5307"/>
    <mergeCell ref="P5307:Q5307"/>
    <mergeCell ref="B5308:C5308"/>
    <mergeCell ref="D5308:F5308"/>
    <mergeCell ref="H5308:J5308"/>
    <mergeCell ref="K5308:L5308"/>
    <mergeCell ref="M5308:O5308"/>
    <mergeCell ref="P5308:Q5308"/>
    <mergeCell ref="B5309:C5309"/>
    <mergeCell ref="D5309:F5309"/>
    <mergeCell ref="H5309:J5309"/>
    <mergeCell ref="K5309:L5309"/>
    <mergeCell ref="M5309:O5309"/>
    <mergeCell ref="P5309:Q5309"/>
    <mergeCell ref="B5310:C5310"/>
    <mergeCell ref="D5310:F5310"/>
    <mergeCell ref="H5310:J5310"/>
    <mergeCell ref="K5310:L5310"/>
    <mergeCell ref="M5310:O5310"/>
    <mergeCell ref="P5310:Q5310"/>
    <mergeCell ref="B5311:C5311"/>
    <mergeCell ref="D5311:F5311"/>
    <mergeCell ref="H5311:J5311"/>
    <mergeCell ref="K5311:L5311"/>
    <mergeCell ref="M5311:O5311"/>
    <mergeCell ref="P5311:Q5311"/>
    <mergeCell ref="B5312:C5312"/>
    <mergeCell ref="D5312:F5312"/>
    <mergeCell ref="H5312:J5312"/>
    <mergeCell ref="K5312:L5312"/>
    <mergeCell ref="M5312:O5312"/>
    <mergeCell ref="P5312:Q5312"/>
    <mergeCell ref="B5313:C5313"/>
    <mergeCell ref="D5313:F5313"/>
    <mergeCell ref="H5313:J5313"/>
    <mergeCell ref="K5313:L5313"/>
    <mergeCell ref="M5313:O5313"/>
    <mergeCell ref="P5313:Q5313"/>
    <mergeCell ref="B5314:C5314"/>
    <mergeCell ref="D5314:F5314"/>
    <mergeCell ref="H5314:J5314"/>
    <mergeCell ref="K5314:L5314"/>
    <mergeCell ref="M5314:O5314"/>
    <mergeCell ref="P5314:Q5314"/>
    <mergeCell ref="B5315:C5315"/>
    <mergeCell ref="D5315:F5315"/>
    <mergeCell ref="H5315:J5315"/>
    <mergeCell ref="K5315:L5315"/>
    <mergeCell ref="M5315:O5315"/>
    <mergeCell ref="P5315:Q5315"/>
    <mergeCell ref="B5316:C5316"/>
    <mergeCell ref="D5316:F5316"/>
    <mergeCell ref="H5316:J5316"/>
    <mergeCell ref="K5316:L5316"/>
    <mergeCell ref="M5316:O5316"/>
    <mergeCell ref="P5316:Q5316"/>
    <mergeCell ref="B5317:C5317"/>
    <mergeCell ref="D5317:F5317"/>
    <mergeCell ref="H5317:J5317"/>
    <mergeCell ref="K5317:L5317"/>
    <mergeCell ref="M5317:O5317"/>
    <mergeCell ref="P5317:Q5317"/>
    <mergeCell ref="B5318:C5318"/>
    <mergeCell ref="D5318:F5318"/>
    <mergeCell ref="H5318:J5318"/>
    <mergeCell ref="K5318:L5318"/>
    <mergeCell ref="M5318:O5318"/>
    <mergeCell ref="P5318:Q5318"/>
    <mergeCell ref="B5319:C5319"/>
    <mergeCell ref="D5319:F5319"/>
    <mergeCell ref="H5319:J5319"/>
    <mergeCell ref="K5319:L5319"/>
    <mergeCell ref="M5319:O5319"/>
    <mergeCell ref="P5319:Q5319"/>
    <mergeCell ref="B5320:C5320"/>
    <mergeCell ref="D5320:F5320"/>
    <mergeCell ref="H5320:J5320"/>
    <mergeCell ref="K5320:L5320"/>
    <mergeCell ref="M5320:O5320"/>
    <mergeCell ref="P5320:Q5320"/>
    <mergeCell ref="B5321:C5321"/>
    <mergeCell ref="D5321:F5321"/>
    <mergeCell ref="H5321:J5321"/>
    <mergeCell ref="K5321:L5321"/>
    <mergeCell ref="M5321:O5321"/>
    <mergeCell ref="P5321:Q5321"/>
    <mergeCell ref="B5322:C5322"/>
    <mergeCell ref="D5322:F5322"/>
    <mergeCell ref="H5322:J5322"/>
    <mergeCell ref="K5322:L5322"/>
    <mergeCell ref="M5322:O5322"/>
    <mergeCell ref="P5322:Q5322"/>
    <mergeCell ref="B5323:C5323"/>
    <mergeCell ref="D5323:F5323"/>
    <mergeCell ref="H5323:J5323"/>
    <mergeCell ref="K5323:L5323"/>
    <mergeCell ref="M5323:O5323"/>
    <mergeCell ref="P5323:Q5323"/>
    <mergeCell ref="B5324:C5324"/>
    <mergeCell ref="D5324:F5324"/>
    <mergeCell ref="H5324:J5324"/>
    <mergeCell ref="K5324:L5324"/>
    <mergeCell ref="M5324:O5324"/>
    <mergeCell ref="P5324:Q5324"/>
    <mergeCell ref="B5325:C5325"/>
    <mergeCell ref="D5325:F5325"/>
    <mergeCell ref="H5325:J5325"/>
    <mergeCell ref="K5325:L5325"/>
    <mergeCell ref="M5325:O5325"/>
    <mergeCell ref="P5325:Q5325"/>
    <mergeCell ref="B5326:C5326"/>
    <mergeCell ref="D5326:F5326"/>
    <mergeCell ref="H5326:J5326"/>
    <mergeCell ref="K5326:L5326"/>
    <mergeCell ref="M5326:O5326"/>
    <mergeCell ref="P5326:Q5326"/>
    <mergeCell ref="B5327:C5327"/>
    <mergeCell ref="D5327:F5327"/>
    <mergeCell ref="H5327:J5327"/>
    <mergeCell ref="K5327:L5327"/>
    <mergeCell ref="M5327:O5327"/>
    <mergeCell ref="P5327:Q5327"/>
    <mergeCell ref="B5328:C5328"/>
    <mergeCell ref="D5328:F5328"/>
    <mergeCell ref="H5328:J5328"/>
    <mergeCell ref="K5328:L5328"/>
    <mergeCell ref="M5328:O5328"/>
    <mergeCell ref="P5328:Q5328"/>
    <mergeCell ref="B5329:C5329"/>
    <mergeCell ref="D5329:F5329"/>
    <mergeCell ref="H5329:J5329"/>
    <mergeCell ref="K5329:L5329"/>
    <mergeCell ref="M5329:O5329"/>
    <mergeCell ref="P5329:Q5329"/>
    <mergeCell ref="B5330:C5330"/>
    <mergeCell ref="D5330:F5330"/>
    <mergeCell ref="H5330:J5330"/>
    <mergeCell ref="K5330:L5330"/>
    <mergeCell ref="M5330:O5330"/>
    <mergeCell ref="P5330:Q5330"/>
    <mergeCell ref="B5331:C5331"/>
    <mergeCell ref="D5331:F5331"/>
    <mergeCell ref="H5331:J5331"/>
    <mergeCell ref="K5331:L5331"/>
    <mergeCell ref="M5331:O5331"/>
    <mergeCell ref="P5331:Q5331"/>
    <mergeCell ref="B5332:C5332"/>
    <mergeCell ref="D5332:F5332"/>
    <mergeCell ref="H5332:J5332"/>
    <mergeCell ref="K5332:L5332"/>
    <mergeCell ref="M5332:O5332"/>
    <mergeCell ref="P5332:Q5332"/>
    <mergeCell ref="B5333:C5333"/>
    <mergeCell ref="D5333:F5333"/>
    <mergeCell ref="H5333:J5333"/>
    <mergeCell ref="K5333:L5333"/>
    <mergeCell ref="M5333:O5333"/>
    <mergeCell ref="P5333:Q5333"/>
    <mergeCell ref="B5334:C5334"/>
    <mergeCell ref="D5334:F5334"/>
    <mergeCell ref="H5334:J5334"/>
    <mergeCell ref="K5334:L5334"/>
    <mergeCell ref="M5334:O5334"/>
    <mergeCell ref="P5334:Q5334"/>
    <mergeCell ref="B5335:C5335"/>
    <mergeCell ref="D5335:F5335"/>
    <mergeCell ref="H5335:J5335"/>
    <mergeCell ref="K5335:L5335"/>
    <mergeCell ref="M5335:O5335"/>
    <mergeCell ref="P5335:Q5335"/>
    <mergeCell ref="B5336:C5336"/>
    <mergeCell ref="D5336:F5336"/>
    <mergeCell ref="H5336:J5336"/>
    <mergeCell ref="K5336:L5336"/>
    <mergeCell ref="M5336:O5336"/>
    <mergeCell ref="P5336:Q5336"/>
    <mergeCell ref="B5337:C5337"/>
    <mergeCell ref="D5337:F5337"/>
    <mergeCell ref="H5337:J5337"/>
    <mergeCell ref="K5337:L5337"/>
    <mergeCell ref="M5337:O5337"/>
    <mergeCell ref="P5337:Q5337"/>
    <mergeCell ref="B5338:C5338"/>
    <mergeCell ref="D5338:F5338"/>
    <mergeCell ref="H5338:J5338"/>
    <mergeCell ref="K5338:L5338"/>
    <mergeCell ref="M5338:O5338"/>
    <mergeCell ref="P5338:Q5338"/>
    <mergeCell ref="B5339:C5339"/>
    <mergeCell ref="D5339:F5339"/>
    <mergeCell ref="H5339:J5339"/>
    <mergeCell ref="K5339:L5339"/>
    <mergeCell ref="M5339:O5339"/>
    <mergeCell ref="P5339:Q5339"/>
    <mergeCell ref="B5340:C5340"/>
    <mergeCell ref="D5340:F5340"/>
    <mergeCell ref="H5340:J5340"/>
    <mergeCell ref="K5340:L5340"/>
    <mergeCell ref="M5340:O5340"/>
    <mergeCell ref="P5340:Q5340"/>
    <mergeCell ref="B5341:C5341"/>
    <mergeCell ref="D5341:F5341"/>
    <mergeCell ref="H5341:J5341"/>
    <mergeCell ref="K5341:L5341"/>
    <mergeCell ref="M5341:O5341"/>
    <mergeCell ref="P5341:Q5341"/>
    <mergeCell ref="B5342:C5342"/>
    <mergeCell ref="D5342:F5342"/>
    <mergeCell ref="H5342:J5342"/>
    <mergeCell ref="K5342:L5342"/>
    <mergeCell ref="M5342:O5342"/>
    <mergeCell ref="P5342:Q5342"/>
    <mergeCell ref="B5343:C5343"/>
    <mergeCell ref="D5343:F5343"/>
    <mergeCell ref="H5343:J5343"/>
    <mergeCell ref="K5343:L5343"/>
    <mergeCell ref="M5343:O5343"/>
    <mergeCell ref="P5343:Q5343"/>
    <mergeCell ref="B5344:C5344"/>
    <mergeCell ref="D5344:F5344"/>
    <mergeCell ref="H5344:J5344"/>
    <mergeCell ref="K5344:L5344"/>
    <mergeCell ref="M5344:O5344"/>
    <mergeCell ref="P5344:Q5344"/>
    <mergeCell ref="B5345:C5345"/>
    <mergeCell ref="D5345:F5345"/>
    <mergeCell ref="H5345:J5345"/>
    <mergeCell ref="K5345:L5345"/>
    <mergeCell ref="M5345:O5345"/>
    <mergeCell ref="P5345:Q5345"/>
    <mergeCell ref="B5346:C5346"/>
    <mergeCell ref="D5346:F5346"/>
    <mergeCell ref="H5346:J5346"/>
    <mergeCell ref="K5346:L5346"/>
    <mergeCell ref="M5346:O5346"/>
    <mergeCell ref="P5346:Q5346"/>
    <mergeCell ref="B5347:C5347"/>
    <mergeCell ref="D5347:F5347"/>
    <mergeCell ref="H5347:J5347"/>
    <mergeCell ref="K5347:L5347"/>
    <mergeCell ref="M5347:O5347"/>
    <mergeCell ref="P5347:Q5347"/>
    <mergeCell ref="B5348:C5348"/>
    <mergeCell ref="D5348:F5348"/>
    <mergeCell ref="H5348:J5348"/>
    <mergeCell ref="K5348:L5348"/>
    <mergeCell ref="M5348:O5348"/>
    <mergeCell ref="P5348:Q5348"/>
    <mergeCell ref="B5349:C5349"/>
    <mergeCell ref="D5349:F5349"/>
    <mergeCell ref="H5349:J5349"/>
    <mergeCell ref="K5349:L5349"/>
    <mergeCell ref="M5349:O5349"/>
    <mergeCell ref="P5349:Q5349"/>
    <mergeCell ref="B5350:C5350"/>
    <mergeCell ref="D5350:F5350"/>
    <mergeCell ref="H5350:J5350"/>
    <mergeCell ref="K5350:L5350"/>
    <mergeCell ref="M5350:O5350"/>
    <mergeCell ref="P5350:Q5350"/>
    <mergeCell ref="B5351:C5351"/>
    <mergeCell ref="D5351:F5351"/>
    <mergeCell ref="H5351:J5351"/>
    <mergeCell ref="K5351:L5351"/>
    <mergeCell ref="M5351:O5351"/>
    <mergeCell ref="P5351:Q5351"/>
    <mergeCell ref="B5352:C5352"/>
    <mergeCell ref="D5352:F5352"/>
    <mergeCell ref="H5352:J5352"/>
    <mergeCell ref="K5352:L5352"/>
    <mergeCell ref="M5352:O5352"/>
    <mergeCell ref="P5352:Q5352"/>
    <mergeCell ref="B5353:C5353"/>
    <mergeCell ref="D5353:F5353"/>
    <mergeCell ref="H5353:J5353"/>
    <mergeCell ref="K5353:L5353"/>
    <mergeCell ref="M5353:O5353"/>
    <mergeCell ref="P5353:Q5353"/>
    <mergeCell ref="B5354:C5354"/>
    <mergeCell ref="D5354:F5354"/>
    <mergeCell ref="H5354:J5354"/>
    <mergeCell ref="K5354:L5354"/>
    <mergeCell ref="M5354:O5354"/>
    <mergeCell ref="P5354:Q5354"/>
    <mergeCell ref="B5355:C5355"/>
    <mergeCell ref="D5355:F5355"/>
    <mergeCell ref="H5355:J5355"/>
    <mergeCell ref="K5355:L5355"/>
    <mergeCell ref="M5355:O5355"/>
    <mergeCell ref="P5355:Q5355"/>
    <mergeCell ref="B5356:C5356"/>
    <mergeCell ref="D5356:F5356"/>
    <mergeCell ref="H5356:J5356"/>
    <mergeCell ref="K5356:L5356"/>
    <mergeCell ref="M5356:O5356"/>
    <mergeCell ref="P5356:Q5356"/>
    <mergeCell ref="B5357:C5357"/>
    <mergeCell ref="D5357:F5357"/>
    <mergeCell ref="H5357:J5357"/>
    <mergeCell ref="K5357:L5357"/>
    <mergeCell ref="M5357:O5357"/>
    <mergeCell ref="P5357:Q5357"/>
    <mergeCell ref="B5358:C5358"/>
    <mergeCell ref="D5358:F5358"/>
    <mergeCell ref="H5358:J5358"/>
    <mergeCell ref="K5358:L5358"/>
    <mergeCell ref="M5358:O5358"/>
    <mergeCell ref="P5358:Q5358"/>
    <mergeCell ref="B5359:C5359"/>
    <mergeCell ref="D5359:F5359"/>
    <mergeCell ref="H5359:J5359"/>
    <mergeCell ref="K5359:L5359"/>
    <mergeCell ref="M5359:O5359"/>
    <mergeCell ref="P5359:Q5359"/>
    <mergeCell ref="B5360:C5360"/>
    <mergeCell ref="D5360:F5360"/>
    <mergeCell ref="H5360:J5360"/>
    <mergeCell ref="K5360:L5360"/>
    <mergeCell ref="M5360:O5360"/>
    <mergeCell ref="P5360:Q5360"/>
    <mergeCell ref="B5361:C5361"/>
    <mergeCell ref="D5361:F5361"/>
    <mergeCell ref="H5361:J5361"/>
    <mergeCell ref="K5361:L5361"/>
    <mergeCell ref="M5361:O5361"/>
    <mergeCell ref="P5361:Q5361"/>
    <mergeCell ref="B5362:C5362"/>
    <mergeCell ref="D5362:F5362"/>
    <mergeCell ref="H5362:J5362"/>
    <mergeCell ref="K5362:L5362"/>
    <mergeCell ref="M5362:O5362"/>
    <mergeCell ref="P5362:Q5362"/>
    <mergeCell ref="B5363:C5363"/>
    <mergeCell ref="D5363:F5363"/>
    <mergeCell ref="H5363:J5363"/>
    <mergeCell ref="K5363:L5363"/>
    <mergeCell ref="M5363:O5363"/>
    <mergeCell ref="P5363:Q5363"/>
    <mergeCell ref="B5364:C5364"/>
    <mergeCell ref="D5364:F5364"/>
    <mergeCell ref="H5364:J5364"/>
    <mergeCell ref="K5364:L5364"/>
    <mergeCell ref="M5364:O5364"/>
    <mergeCell ref="P5364:Q5364"/>
    <mergeCell ref="B5365:C5365"/>
    <mergeCell ref="D5365:F5365"/>
    <mergeCell ref="H5365:J5365"/>
    <mergeCell ref="K5365:L5365"/>
    <mergeCell ref="M5365:O5365"/>
    <mergeCell ref="P5365:Q5365"/>
    <mergeCell ref="B5366:C5366"/>
    <mergeCell ref="D5366:F5366"/>
    <mergeCell ref="H5366:J5366"/>
    <mergeCell ref="K5366:L5366"/>
    <mergeCell ref="M5366:O5366"/>
    <mergeCell ref="P5366:Q5366"/>
    <mergeCell ref="B5367:C5367"/>
    <mergeCell ref="D5367:F5367"/>
    <mergeCell ref="H5367:J5367"/>
    <mergeCell ref="K5367:L5367"/>
    <mergeCell ref="M5367:O5367"/>
    <mergeCell ref="P5367:Q5367"/>
    <mergeCell ref="B5368:C5368"/>
    <mergeCell ref="D5368:F5368"/>
    <mergeCell ref="H5368:J5368"/>
    <mergeCell ref="K5368:L5368"/>
    <mergeCell ref="M5368:O5368"/>
    <mergeCell ref="P5368:Q5368"/>
    <mergeCell ref="B5369:C5369"/>
    <mergeCell ref="D5369:F5369"/>
    <mergeCell ref="H5369:J5369"/>
    <mergeCell ref="K5369:L5369"/>
    <mergeCell ref="M5369:O5369"/>
    <mergeCell ref="P5369:Q5369"/>
    <mergeCell ref="B5370:C5370"/>
    <mergeCell ref="D5370:F5370"/>
    <mergeCell ref="H5370:J5370"/>
    <mergeCell ref="K5370:L5370"/>
    <mergeCell ref="M5370:O5370"/>
    <mergeCell ref="P5370:Q5370"/>
    <mergeCell ref="B5371:C5371"/>
    <mergeCell ref="D5371:F5371"/>
    <mergeCell ref="H5371:J5371"/>
    <mergeCell ref="K5371:L5371"/>
    <mergeCell ref="M5371:O5371"/>
    <mergeCell ref="P5371:Q5371"/>
    <mergeCell ref="B5372:C5372"/>
    <mergeCell ref="D5372:F5372"/>
    <mergeCell ref="H5372:J5372"/>
    <mergeCell ref="K5372:L5372"/>
    <mergeCell ref="M5372:O5372"/>
    <mergeCell ref="P5372:Q5372"/>
    <mergeCell ref="B5373:C5373"/>
    <mergeCell ref="D5373:F5373"/>
    <mergeCell ref="H5373:J5373"/>
    <mergeCell ref="K5373:L5373"/>
    <mergeCell ref="M5373:O5373"/>
    <mergeCell ref="P5373:Q5373"/>
    <mergeCell ref="B5374:C5374"/>
    <mergeCell ref="D5374:F5374"/>
    <mergeCell ref="H5374:J5374"/>
    <mergeCell ref="K5374:L5374"/>
    <mergeCell ref="M5374:O5374"/>
    <mergeCell ref="P5374:Q5374"/>
    <mergeCell ref="B5375:C5375"/>
    <mergeCell ref="D5375:F5375"/>
    <mergeCell ref="H5375:J5375"/>
    <mergeCell ref="K5375:L5375"/>
    <mergeCell ref="M5375:O5375"/>
    <mergeCell ref="P5375:Q5375"/>
    <mergeCell ref="B5376:C5376"/>
    <mergeCell ref="D5376:F5376"/>
    <mergeCell ref="H5376:J5376"/>
    <mergeCell ref="K5376:L5376"/>
    <mergeCell ref="M5376:O5376"/>
    <mergeCell ref="P5376:Q5376"/>
    <mergeCell ref="B5377:C5377"/>
    <mergeCell ref="D5377:F5377"/>
    <mergeCell ref="H5377:J5377"/>
    <mergeCell ref="K5377:L5377"/>
    <mergeCell ref="M5377:O5377"/>
    <mergeCell ref="P5377:Q5377"/>
    <mergeCell ref="B5378:C5378"/>
    <mergeCell ref="D5378:F5378"/>
    <mergeCell ref="H5378:J5378"/>
    <mergeCell ref="K5378:L5378"/>
    <mergeCell ref="M5378:O5378"/>
    <mergeCell ref="P5378:Q5378"/>
    <mergeCell ref="B5379:C5379"/>
    <mergeCell ref="D5379:F5379"/>
    <mergeCell ref="H5379:J5379"/>
    <mergeCell ref="K5379:L5379"/>
    <mergeCell ref="M5379:O5379"/>
    <mergeCell ref="P5379:Q5379"/>
    <mergeCell ref="B5380:C5380"/>
    <mergeCell ref="D5380:F5380"/>
    <mergeCell ref="H5380:J5380"/>
    <mergeCell ref="K5380:L5380"/>
    <mergeCell ref="M5380:O5380"/>
    <mergeCell ref="P5380:Q5380"/>
    <mergeCell ref="B5381:C5381"/>
    <mergeCell ref="D5381:F5381"/>
    <mergeCell ref="H5381:J5381"/>
    <mergeCell ref="K5381:L5381"/>
    <mergeCell ref="M5381:O5381"/>
    <mergeCell ref="P5381:Q5381"/>
    <mergeCell ref="B5382:C5382"/>
    <mergeCell ref="D5382:F5382"/>
    <mergeCell ref="H5382:J5382"/>
    <mergeCell ref="K5382:L5382"/>
    <mergeCell ref="M5382:O5382"/>
    <mergeCell ref="P5382:Q5382"/>
    <mergeCell ref="B5383:C5383"/>
    <mergeCell ref="D5383:F5383"/>
    <mergeCell ref="H5383:J5383"/>
    <mergeCell ref="K5383:L5383"/>
    <mergeCell ref="M5383:O5383"/>
    <mergeCell ref="P5383:Q5383"/>
    <mergeCell ref="B5384:C5384"/>
    <mergeCell ref="D5384:F5384"/>
    <mergeCell ref="H5384:J5384"/>
    <mergeCell ref="K5384:L5384"/>
    <mergeCell ref="M5384:O5384"/>
    <mergeCell ref="P5384:Q5384"/>
    <mergeCell ref="B5385:C5385"/>
    <mergeCell ref="D5385:F5385"/>
    <mergeCell ref="H5385:J5385"/>
    <mergeCell ref="K5385:L5385"/>
    <mergeCell ref="M5385:O5385"/>
    <mergeCell ref="P5385:Q5385"/>
    <mergeCell ref="B5386:C5386"/>
    <mergeCell ref="D5386:F5386"/>
    <mergeCell ref="H5386:J5386"/>
    <mergeCell ref="K5386:L5386"/>
    <mergeCell ref="M5386:O5386"/>
    <mergeCell ref="P5386:Q5386"/>
    <mergeCell ref="B5387:C5387"/>
    <mergeCell ref="D5387:F5387"/>
    <mergeCell ref="H5387:J5387"/>
    <mergeCell ref="K5387:L5387"/>
    <mergeCell ref="M5387:O5387"/>
    <mergeCell ref="P5387:Q5387"/>
    <mergeCell ref="B5388:C5388"/>
    <mergeCell ref="D5388:F5388"/>
    <mergeCell ref="H5388:J5388"/>
    <mergeCell ref="K5388:L5388"/>
    <mergeCell ref="M5388:O5388"/>
    <mergeCell ref="P5388:Q5388"/>
    <mergeCell ref="B5389:C5389"/>
    <mergeCell ref="D5389:F5389"/>
    <mergeCell ref="H5389:J5389"/>
    <mergeCell ref="K5389:L5389"/>
    <mergeCell ref="M5389:O5389"/>
    <mergeCell ref="P5389:Q5389"/>
    <mergeCell ref="B5390:C5390"/>
    <mergeCell ref="D5390:F5390"/>
    <mergeCell ref="H5390:J5390"/>
    <mergeCell ref="K5390:L5390"/>
    <mergeCell ref="M5390:O5390"/>
    <mergeCell ref="P5390:Q5390"/>
    <mergeCell ref="B5391:C5391"/>
    <mergeCell ref="D5391:F5391"/>
    <mergeCell ref="H5391:J5391"/>
    <mergeCell ref="K5391:L5391"/>
    <mergeCell ref="M5391:O5391"/>
    <mergeCell ref="P5391:Q5391"/>
    <mergeCell ref="B5392:C5392"/>
    <mergeCell ref="D5392:F5392"/>
    <mergeCell ref="H5392:J5392"/>
    <mergeCell ref="K5392:L5392"/>
    <mergeCell ref="M5392:O5392"/>
    <mergeCell ref="P5392:Q5392"/>
    <mergeCell ref="B5393:C5393"/>
    <mergeCell ref="D5393:F5393"/>
    <mergeCell ref="H5393:J5393"/>
    <mergeCell ref="K5393:L5393"/>
    <mergeCell ref="M5393:O5393"/>
    <mergeCell ref="P5393:Q5393"/>
    <mergeCell ref="B5394:C5394"/>
    <mergeCell ref="D5394:F5394"/>
    <mergeCell ref="H5394:J5394"/>
    <mergeCell ref="K5394:L5394"/>
    <mergeCell ref="M5394:O5394"/>
    <mergeCell ref="P5394:Q5394"/>
    <mergeCell ref="B5395:C5395"/>
    <mergeCell ref="D5395:F5395"/>
    <mergeCell ref="H5395:J5395"/>
    <mergeCell ref="K5395:L5395"/>
    <mergeCell ref="M5395:O5395"/>
    <mergeCell ref="P5395:Q5395"/>
    <mergeCell ref="B5396:C5396"/>
    <mergeCell ref="D5396:F5396"/>
    <mergeCell ref="H5396:J5396"/>
    <mergeCell ref="K5396:L5396"/>
    <mergeCell ref="M5396:O5396"/>
    <mergeCell ref="P5396:Q5396"/>
    <mergeCell ref="B5397:C5397"/>
    <mergeCell ref="D5397:F5397"/>
    <mergeCell ref="H5397:J5397"/>
    <mergeCell ref="K5397:L5397"/>
    <mergeCell ref="M5397:O5397"/>
    <mergeCell ref="P5397:Q5397"/>
    <mergeCell ref="B5398:C5398"/>
    <mergeCell ref="D5398:F5398"/>
    <mergeCell ref="H5398:J5398"/>
    <mergeCell ref="K5398:L5398"/>
    <mergeCell ref="M5398:O5398"/>
    <mergeCell ref="P5398:Q5398"/>
    <mergeCell ref="B5399:C5399"/>
    <mergeCell ref="D5399:F5399"/>
    <mergeCell ref="H5399:J5399"/>
    <mergeCell ref="K5399:L5399"/>
    <mergeCell ref="M5399:O5399"/>
    <mergeCell ref="P5399:Q5399"/>
    <mergeCell ref="B5400:C5400"/>
    <mergeCell ref="D5400:F5400"/>
    <mergeCell ref="H5400:J5400"/>
    <mergeCell ref="K5400:L5400"/>
    <mergeCell ref="M5400:O5400"/>
    <mergeCell ref="P5400:Q5400"/>
    <mergeCell ref="B5401:C5401"/>
    <mergeCell ref="D5401:F5401"/>
    <mergeCell ref="H5401:J5401"/>
    <mergeCell ref="K5401:L5401"/>
    <mergeCell ref="M5401:O5401"/>
    <mergeCell ref="P5401:Q5401"/>
    <mergeCell ref="B5402:C5402"/>
    <mergeCell ref="D5402:F5402"/>
    <mergeCell ref="H5402:J5402"/>
    <mergeCell ref="K5402:L5402"/>
    <mergeCell ref="M5402:O5402"/>
    <mergeCell ref="P5402:Q5402"/>
    <mergeCell ref="B5403:C5403"/>
    <mergeCell ref="D5403:F5403"/>
    <mergeCell ref="H5403:J5403"/>
    <mergeCell ref="K5403:L5403"/>
    <mergeCell ref="M5403:O5403"/>
    <mergeCell ref="P5403:Q5403"/>
    <mergeCell ref="B5404:C5404"/>
    <mergeCell ref="D5404:F5404"/>
    <mergeCell ref="H5404:J5404"/>
    <mergeCell ref="K5404:L5404"/>
    <mergeCell ref="M5404:O5404"/>
    <mergeCell ref="P5404:Q5404"/>
    <mergeCell ref="B5405:C5405"/>
    <mergeCell ref="D5405:F5405"/>
    <mergeCell ref="H5405:J5405"/>
    <mergeCell ref="K5405:L5405"/>
    <mergeCell ref="M5405:O5405"/>
    <mergeCell ref="P5405:Q5405"/>
    <mergeCell ref="B5406:C5406"/>
    <mergeCell ref="D5406:F5406"/>
    <mergeCell ref="H5406:J5406"/>
    <mergeCell ref="K5406:L5406"/>
    <mergeCell ref="M5406:O5406"/>
    <mergeCell ref="P5406:Q5406"/>
    <mergeCell ref="B5407:C5407"/>
    <mergeCell ref="D5407:F5407"/>
    <mergeCell ref="H5407:J5407"/>
    <mergeCell ref="K5407:L5407"/>
    <mergeCell ref="M5407:O5407"/>
    <mergeCell ref="P5407:Q5407"/>
    <mergeCell ref="B5408:C5408"/>
    <mergeCell ref="D5408:F5408"/>
    <mergeCell ref="H5408:J5408"/>
    <mergeCell ref="K5408:L5408"/>
    <mergeCell ref="M5408:O5408"/>
    <mergeCell ref="P5408:Q5408"/>
    <mergeCell ref="B5409:C5409"/>
    <mergeCell ref="D5409:F5409"/>
    <mergeCell ref="H5409:J5409"/>
    <mergeCell ref="K5409:L5409"/>
    <mergeCell ref="M5409:O5409"/>
    <mergeCell ref="P5409:Q5409"/>
    <mergeCell ref="B5410:C5410"/>
    <mergeCell ref="D5410:F5410"/>
    <mergeCell ref="H5410:J5410"/>
    <mergeCell ref="K5410:L5410"/>
    <mergeCell ref="M5410:O5410"/>
    <mergeCell ref="P5410:Q5410"/>
    <mergeCell ref="B5411:C5411"/>
    <mergeCell ref="D5411:F5411"/>
    <mergeCell ref="H5411:J5411"/>
    <mergeCell ref="K5411:L5411"/>
    <mergeCell ref="M5411:O5411"/>
    <mergeCell ref="P5411:Q5411"/>
    <mergeCell ref="B5412:C5412"/>
    <mergeCell ref="D5412:F5412"/>
    <mergeCell ref="H5412:J5412"/>
    <mergeCell ref="K5412:L5412"/>
    <mergeCell ref="M5412:O5412"/>
    <mergeCell ref="P5412:Q5412"/>
    <mergeCell ref="B5413:C5413"/>
    <mergeCell ref="D5413:F5413"/>
    <mergeCell ref="H5413:J5413"/>
    <mergeCell ref="K5413:L5413"/>
    <mergeCell ref="M5413:O5413"/>
    <mergeCell ref="P5413:Q5413"/>
    <mergeCell ref="B5414:C5414"/>
    <mergeCell ref="D5414:F5414"/>
    <mergeCell ref="H5414:J5414"/>
    <mergeCell ref="K5414:L5414"/>
    <mergeCell ref="M5414:O5414"/>
    <mergeCell ref="P5414:Q5414"/>
    <mergeCell ref="B5415:C5415"/>
    <mergeCell ref="D5415:F5415"/>
    <mergeCell ref="H5415:J5415"/>
    <mergeCell ref="K5415:L5415"/>
    <mergeCell ref="M5415:O5415"/>
    <mergeCell ref="P5415:Q5415"/>
    <mergeCell ref="B5416:C5416"/>
    <mergeCell ref="D5416:F5416"/>
    <mergeCell ref="H5416:J5416"/>
    <mergeCell ref="K5416:L5416"/>
    <mergeCell ref="M5416:O5416"/>
    <mergeCell ref="P5416:Q5416"/>
    <mergeCell ref="B5417:C5417"/>
    <mergeCell ref="D5417:F5417"/>
    <mergeCell ref="H5417:J5417"/>
    <mergeCell ref="K5417:L5417"/>
    <mergeCell ref="M5417:O5417"/>
    <mergeCell ref="P5417:Q5417"/>
    <mergeCell ref="B5418:C5418"/>
    <mergeCell ref="D5418:F5418"/>
    <mergeCell ref="H5418:J5418"/>
    <mergeCell ref="K5418:L5418"/>
    <mergeCell ref="M5418:O5418"/>
    <mergeCell ref="P5418:Q5418"/>
    <mergeCell ref="B5419:C5419"/>
    <mergeCell ref="D5419:F5419"/>
    <mergeCell ref="H5419:J5419"/>
    <mergeCell ref="K5419:L5419"/>
    <mergeCell ref="M5419:O5419"/>
    <mergeCell ref="P5419:Q5419"/>
    <mergeCell ref="B5420:C5420"/>
    <mergeCell ref="D5420:F5420"/>
    <mergeCell ref="H5420:J5420"/>
    <mergeCell ref="K5420:L5420"/>
    <mergeCell ref="M5420:O5420"/>
    <mergeCell ref="P5420:Q5420"/>
    <mergeCell ref="B5421:C5421"/>
    <mergeCell ref="D5421:F5421"/>
    <mergeCell ref="H5421:J5421"/>
    <mergeCell ref="K5421:L5421"/>
    <mergeCell ref="M5421:O5421"/>
    <mergeCell ref="P5421:Q5421"/>
    <mergeCell ref="B5422:C5422"/>
    <mergeCell ref="D5422:F5422"/>
    <mergeCell ref="H5422:J5422"/>
    <mergeCell ref="K5422:L5422"/>
    <mergeCell ref="M5422:O5422"/>
    <mergeCell ref="P5422:Q5422"/>
    <mergeCell ref="B5423:C5423"/>
    <mergeCell ref="D5423:F5423"/>
    <mergeCell ref="H5423:J5423"/>
    <mergeCell ref="K5423:L5423"/>
    <mergeCell ref="M5423:O5423"/>
    <mergeCell ref="P5423:Q5423"/>
    <mergeCell ref="B5424:C5424"/>
    <mergeCell ref="D5424:F5424"/>
    <mergeCell ref="H5424:J5424"/>
    <mergeCell ref="K5424:L5424"/>
    <mergeCell ref="M5424:O5424"/>
    <mergeCell ref="P5424:Q5424"/>
    <mergeCell ref="B5425:C5425"/>
    <mergeCell ref="D5425:F5425"/>
    <mergeCell ref="H5425:J5425"/>
    <mergeCell ref="K5425:L5425"/>
    <mergeCell ref="M5425:O5425"/>
    <mergeCell ref="P5425:Q5425"/>
    <mergeCell ref="B5426:C5426"/>
    <mergeCell ref="D5426:F5426"/>
    <mergeCell ref="H5426:J5426"/>
    <mergeCell ref="K5426:L5426"/>
    <mergeCell ref="M5426:O5426"/>
    <mergeCell ref="P5426:Q5426"/>
    <mergeCell ref="B5427:C5427"/>
    <mergeCell ref="D5427:F5427"/>
    <mergeCell ref="H5427:J5427"/>
    <mergeCell ref="K5427:L5427"/>
    <mergeCell ref="M5427:O5427"/>
    <mergeCell ref="P5427:Q5427"/>
    <mergeCell ref="B5428:C5428"/>
    <mergeCell ref="D5428:F5428"/>
    <mergeCell ref="H5428:J5428"/>
    <mergeCell ref="K5428:L5428"/>
    <mergeCell ref="M5428:O5428"/>
    <mergeCell ref="P5428:Q5428"/>
    <mergeCell ref="B5429:C5429"/>
    <mergeCell ref="D5429:F5429"/>
    <mergeCell ref="H5429:J5429"/>
    <mergeCell ref="K5429:L5429"/>
    <mergeCell ref="M5429:O5429"/>
    <mergeCell ref="P5429:Q5429"/>
    <mergeCell ref="B5430:C5430"/>
    <mergeCell ref="D5430:F5430"/>
    <mergeCell ref="H5430:J5430"/>
    <mergeCell ref="K5430:L5430"/>
    <mergeCell ref="M5430:O5430"/>
    <mergeCell ref="P5430:Q5430"/>
    <mergeCell ref="B5431:C5431"/>
    <mergeCell ref="D5431:F5431"/>
    <mergeCell ref="H5431:J5431"/>
    <mergeCell ref="K5431:L5431"/>
    <mergeCell ref="M5431:O5431"/>
    <mergeCell ref="P5431:Q5431"/>
    <mergeCell ref="B5432:C5432"/>
    <mergeCell ref="D5432:F5432"/>
    <mergeCell ref="H5432:J5432"/>
    <mergeCell ref="K5432:L5432"/>
    <mergeCell ref="M5432:O5432"/>
    <mergeCell ref="P5432:Q5432"/>
    <mergeCell ref="B5433:C5433"/>
    <mergeCell ref="D5433:F5433"/>
    <mergeCell ref="H5433:J5433"/>
    <mergeCell ref="K5433:L5433"/>
    <mergeCell ref="M5433:O5433"/>
    <mergeCell ref="P5433:Q5433"/>
    <mergeCell ref="B5434:C5434"/>
    <mergeCell ref="D5434:F5434"/>
    <mergeCell ref="H5434:J5434"/>
    <mergeCell ref="K5434:L5434"/>
    <mergeCell ref="M5434:O5434"/>
    <mergeCell ref="P5434:Q5434"/>
    <mergeCell ref="B5435:C5435"/>
    <mergeCell ref="D5435:F5435"/>
    <mergeCell ref="H5435:J5435"/>
    <mergeCell ref="K5435:L5435"/>
    <mergeCell ref="M5435:O5435"/>
    <mergeCell ref="P5435:Q5435"/>
    <mergeCell ref="B5436:C5436"/>
    <mergeCell ref="D5436:F5436"/>
    <mergeCell ref="H5436:J5436"/>
    <mergeCell ref="K5436:L5436"/>
    <mergeCell ref="M5436:O5436"/>
    <mergeCell ref="P5436:Q5436"/>
    <mergeCell ref="B5437:C5437"/>
    <mergeCell ref="D5437:F5437"/>
    <mergeCell ref="H5437:J5437"/>
    <mergeCell ref="K5437:L5437"/>
    <mergeCell ref="M5437:O5437"/>
    <mergeCell ref="P5437:Q5437"/>
    <mergeCell ref="B5438:C5438"/>
    <mergeCell ref="D5438:F5438"/>
    <mergeCell ref="H5438:J5438"/>
    <mergeCell ref="K5438:L5438"/>
    <mergeCell ref="M5438:O5438"/>
    <mergeCell ref="P5438:Q5438"/>
    <mergeCell ref="B5439:C5439"/>
    <mergeCell ref="D5439:F5439"/>
    <mergeCell ref="H5439:J5439"/>
    <mergeCell ref="K5439:L5439"/>
    <mergeCell ref="M5439:O5439"/>
    <mergeCell ref="P5439:Q5439"/>
    <mergeCell ref="B5440:C5440"/>
    <mergeCell ref="D5440:F5440"/>
    <mergeCell ref="H5440:J5440"/>
    <mergeCell ref="K5440:L5440"/>
    <mergeCell ref="M5440:O5440"/>
    <mergeCell ref="P5440:Q5440"/>
    <mergeCell ref="B5441:C5441"/>
    <mergeCell ref="D5441:F5441"/>
    <mergeCell ref="H5441:J5441"/>
    <mergeCell ref="K5441:L5441"/>
    <mergeCell ref="M5441:O5441"/>
    <mergeCell ref="P5441:Q5441"/>
    <mergeCell ref="B5442:C5442"/>
    <mergeCell ref="D5442:F5442"/>
    <mergeCell ref="H5442:J5442"/>
    <mergeCell ref="K5442:L5442"/>
    <mergeCell ref="M5442:O5442"/>
    <mergeCell ref="P5442:Q5442"/>
    <mergeCell ref="B5443:C5443"/>
    <mergeCell ref="D5443:F5443"/>
    <mergeCell ref="H5443:J5443"/>
    <mergeCell ref="K5443:L5443"/>
    <mergeCell ref="M5443:O5443"/>
    <mergeCell ref="P5443:Q5443"/>
    <mergeCell ref="B5444:C5444"/>
    <mergeCell ref="D5444:F5444"/>
    <mergeCell ref="H5444:J5444"/>
    <mergeCell ref="K5444:L5444"/>
    <mergeCell ref="M5444:O5444"/>
    <mergeCell ref="P5444:Q5444"/>
    <mergeCell ref="B5445:C5445"/>
    <mergeCell ref="D5445:F5445"/>
    <mergeCell ref="H5445:J5445"/>
    <mergeCell ref="K5445:L5445"/>
    <mergeCell ref="M5445:O5445"/>
    <mergeCell ref="P5445:Q5445"/>
    <mergeCell ref="B5446:C5446"/>
    <mergeCell ref="D5446:F5446"/>
    <mergeCell ref="H5446:J5446"/>
    <mergeCell ref="K5446:L5446"/>
    <mergeCell ref="M5446:O5446"/>
    <mergeCell ref="P5446:Q5446"/>
    <mergeCell ref="B5447:C5447"/>
    <mergeCell ref="D5447:F5447"/>
    <mergeCell ref="H5447:J5447"/>
    <mergeCell ref="K5447:L5447"/>
    <mergeCell ref="M5447:O5447"/>
    <mergeCell ref="P5447:Q5447"/>
    <mergeCell ref="B5448:C5448"/>
    <mergeCell ref="D5448:F5448"/>
    <mergeCell ref="H5448:J5448"/>
    <mergeCell ref="K5448:L5448"/>
    <mergeCell ref="M5448:O5448"/>
    <mergeCell ref="P5448:Q5448"/>
    <mergeCell ref="B5449:C5449"/>
    <mergeCell ref="D5449:F5449"/>
    <mergeCell ref="H5449:J5449"/>
    <mergeCell ref="K5449:L5449"/>
    <mergeCell ref="M5449:O5449"/>
    <mergeCell ref="P5449:Q5449"/>
    <mergeCell ref="B5450:C5450"/>
    <mergeCell ref="D5450:F5450"/>
    <mergeCell ref="H5450:J5450"/>
    <mergeCell ref="K5450:L5450"/>
    <mergeCell ref="M5450:O5450"/>
    <mergeCell ref="P5450:Q5450"/>
    <mergeCell ref="B5451:C5451"/>
    <mergeCell ref="D5451:F5451"/>
    <mergeCell ref="H5451:J5451"/>
    <mergeCell ref="K5451:L5451"/>
    <mergeCell ref="M5451:O5451"/>
    <mergeCell ref="P5451:Q5451"/>
    <mergeCell ref="B5452:C5452"/>
    <mergeCell ref="D5452:F5452"/>
    <mergeCell ref="H5452:J5452"/>
    <mergeCell ref="K5452:L5452"/>
    <mergeCell ref="M5452:O5452"/>
    <mergeCell ref="P5452:Q5452"/>
    <mergeCell ref="B5453:C5453"/>
    <mergeCell ref="D5453:F5453"/>
    <mergeCell ref="H5453:J5453"/>
    <mergeCell ref="K5453:L5453"/>
    <mergeCell ref="M5453:O5453"/>
    <mergeCell ref="P5453:Q5453"/>
    <mergeCell ref="B5454:C5454"/>
    <mergeCell ref="D5454:F5454"/>
    <mergeCell ref="H5454:J5454"/>
    <mergeCell ref="K5454:L5454"/>
    <mergeCell ref="M5454:O5454"/>
    <mergeCell ref="P5454:Q5454"/>
    <mergeCell ref="B5455:C5455"/>
    <mergeCell ref="D5455:F5455"/>
    <mergeCell ref="H5455:J5455"/>
    <mergeCell ref="K5455:L5455"/>
    <mergeCell ref="M5455:O5455"/>
    <mergeCell ref="P5455:Q5455"/>
    <mergeCell ref="B5456:C5456"/>
    <mergeCell ref="D5456:F5456"/>
    <mergeCell ref="H5456:J5456"/>
    <mergeCell ref="K5456:L5456"/>
    <mergeCell ref="M5456:O5456"/>
    <mergeCell ref="P5456:Q5456"/>
    <mergeCell ref="B5457:C5457"/>
    <mergeCell ref="D5457:F5457"/>
    <mergeCell ref="H5457:J5457"/>
    <mergeCell ref="K5457:L5457"/>
    <mergeCell ref="M5457:O5457"/>
    <mergeCell ref="P5457:Q5457"/>
    <mergeCell ref="B5458:C5458"/>
    <mergeCell ref="D5458:F5458"/>
    <mergeCell ref="H5458:J5458"/>
    <mergeCell ref="K5458:L5458"/>
    <mergeCell ref="M5458:O5458"/>
    <mergeCell ref="P5458:Q5458"/>
    <mergeCell ref="B5459:C5459"/>
    <mergeCell ref="D5459:F5459"/>
    <mergeCell ref="H5459:J5459"/>
    <mergeCell ref="K5459:L5459"/>
    <mergeCell ref="M5459:O5459"/>
    <mergeCell ref="P5459:Q5459"/>
    <mergeCell ref="B5460:C5460"/>
    <mergeCell ref="D5460:F5460"/>
    <mergeCell ref="H5460:J5460"/>
    <mergeCell ref="K5460:L5460"/>
    <mergeCell ref="M5460:O5460"/>
    <mergeCell ref="P5460:Q5460"/>
    <mergeCell ref="B5461:C5461"/>
    <mergeCell ref="D5461:F5461"/>
    <mergeCell ref="H5461:J5461"/>
    <mergeCell ref="K5461:L5461"/>
    <mergeCell ref="M5461:O5461"/>
    <mergeCell ref="P5461:Q5461"/>
    <mergeCell ref="B5462:C5462"/>
    <mergeCell ref="D5462:F5462"/>
    <mergeCell ref="H5462:J5462"/>
    <mergeCell ref="K5462:L5462"/>
    <mergeCell ref="M5462:O5462"/>
    <mergeCell ref="P5462:Q5462"/>
    <mergeCell ref="B5463:C5463"/>
    <mergeCell ref="D5463:F5463"/>
    <mergeCell ref="H5463:J5463"/>
    <mergeCell ref="K5463:L5463"/>
    <mergeCell ref="M5463:O5463"/>
    <mergeCell ref="P5463:Q5463"/>
    <mergeCell ref="B5464:C5464"/>
    <mergeCell ref="D5464:F5464"/>
    <mergeCell ref="H5464:J5464"/>
    <mergeCell ref="K5464:L5464"/>
    <mergeCell ref="M5464:O5464"/>
    <mergeCell ref="P5464:Q5464"/>
    <mergeCell ref="B5465:C5465"/>
    <mergeCell ref="D5465:F5465"/>
    <mergeCell ref="H5465:J5465"/>
    <mergeCell ref="K5465:L5465"/>
    <mergeCell ref="M5465:O5465"/>
    <mergeCell ref="P5465:Q5465"/>
    <mergeCell ref="B5466:C5466"/>
    <mergeCell ref="D5466:F5466"/>
    <mergeCell ref="H5466:J5466"/>
    <mergeCell ref="K5466:L5466"/>
    <mergeCell ref="M5466:O5466"/>
    <mergeCell ref="P5466:Q5466"/>
    <mergeCell ref="B5467:C5467"/>
    <mergeCell ref="D5467:F5467"/>
    <mergeCell ref="H5467:J5467"/>
    <mergeCell ref="K5467:L5467"/>
    <mergeCell ref="M5467:O5467"/>
    <mergeCell ref="P5467:Q5467"/>
    <mergeCell ref="B5468:C5468"/>
    <mergeCell ref="D5468:F5468"/>
    <mergeCell ref="H5468:J5468"/>
    <mergeCell ref="K5468:L5468"/>
    <mergeCell ref="M5468:O5468"/>
    <mergeCell ref="P5468:Q5468"/>
    <mergeCell ref="B5469:C5469"/>
    <mergeCell ref="D5469:F5469"/>
    <mergeCell ref="H5469:J5469"/>
    <mergeCell ref="K5469:L5469"/>
    <mergeCell ref="M5469:O5469"/>
    <mergeCell ref="P5469:Q5469"/>
    <mergeCell ref="B5470:C5470"/>
    <mergeCell ref="D5470:F5470"/>
    <mergeCell ref="H5470:J5470"/>
    <mergeCell ref="K5470:L5470"/>
    <mergeCell ref="M5470:O5470"/>
    <mergeCell ref="P5470:Q5470"/>
    <mergeCell ref="B5471:C5471"/>
    <mergeCell ref="D5471:F5471"/>
    <mergeCell ref="H5471:J5471"/>
    <mergeCell ref="K5471:L5471"/>
    <mergeCell ref="M5471:O5471"/>
    <mergeCell ref="P5471:Q5471"/>
    <mergeCell ref="B5472:C5472"/>
    <mergeCell ref="D5472:F5472"/>
    <mergeCell ref="H5472:J5472"/>
    <mergeCell ref="K5472:L5472"/>
    <mergeCell ref="M5472:O5472"/>
    <mergeCell ref="P5472:Q5472"/>
    <mergeCell ref="B5473:C5473"/>
    <mergeCell ref="D5473:F5473"/>
    <mergeCell ref="H5473:J5473"/>
    <mergeCell ref="K5473:L5473"/>
    <mergeCell ref="M5473:O5473"/>
    <mergeCell ref="P5473:Q5473"/>
    <mergeCell ref="B5474:C5474"/>
    <mergeCell ref="D5474:F5474"/>
    <mergeCell ref="H5474:J5474"/>
    <mergeCell ref="K5474:L5474"/>
    <mergeCell ref="M5474:O5474"/>
    <mergeCell ref="P5474:Q5474"/>
    <mergeCell ref="B5475:C5475"/>
    <mergeCell ref="D5475:F5475"/>
    <mergeCell ref="H5475:J5475"/>
    <mergeCell ref="K5475:L5475"/>
    <mergeCell ref="M5475:O5475"/>
    <mergeCell ref="P5475:Q5475"/>
    <mergeCell ref="B5476:C5476"/>
    <mergeCell ref="D5476:F5476"/>
    <mergeCell ref="H5476:J5476"/>
    <mergeCell ref="K5476:L5476"/>
    <mergeCell ref="M5476:O5476"/>
    <mergeCell ref="P5476:Q5476"/>
    <mergeCell ref="B5477:C5477"/>
    <mergeCell ref="D5477:F5477"/>
    <mergeCell ref="H5477:J5477"/>
    <mergeCell ref="K5477:L5477"/>
    <mergeCell ref="M5477:O5477"/>
    <mergeCell ref="P5477:Q5477"/>
    <mergeCell ref="B5478:C5478"/>
    <mergeCell ref="D5478:F5478"/>
    <mergeCell ref="H5478:J5478"/>
    <mergeCell ref="K5478:L5478"/>
    <mergeCell ref="M5478:O5478"/>
    <mergeCell ref="P5478:Q5478"/>
    <mergeCell ref="B5479:C5479"/>
    <mergeCell ref="D5479:F5479"/>
    <mergeCell ref="H5479:J5479"/>
    <mergeCell ref="K5479:L5479"/>
    <mergeCell ref="M5479:O5479"/>
    <mergeCell ref="P5479:Q5479"/>
    <mergeCell ref="B5480:C5480"/>
    <mergeCell ref="D5480:F5480"/>
    <mergeCell ref="H5480:J5480"/>
    <mergeCell ref="K5480:L5480"/>
    <mergeCell ref="M5480:O5480"/>
    <mergeCell ref="P5480:Q5480"/>
    <mergeCell ref="B5481:C5481"/>
    <mergeCell ref="D5481:F5481"/>
    <mergeCell ref="H5481:J5481"/>
    <mergeCell ref="K5481:L5481"/>
    <mergeCell ref="M5481:O5481"/>
    <mergeCell ref="P5481:Q5481"/>
    <mergeCell ref="B5482:C5482"/>
    <mergeCell ref="D5482:F5482"/>
    <mergeCell ref="H5482:J5482"/>
    <mergeCell ref="K5482:L5482"/>
    <mergeCell ref="M5482:O5482"/>
    <mergeCell ref="P5482:Q5482"/>
    <mergeCell ref="B5483:C5483"/>
    <mergeCell ref="D5483:F5483"/>
    <mergeCell ref="H5483:J5483"/>
    <mergeCell ref="K5483:L5483"/>
    <mergeCell ref="M5483:O5483"/>
    <mergeCell ref="P5483:Q5483"/>
    <mergeCell ref="B5484:C5484"/>
    <mergeCell ref="D5484:F5484"/>
    <mergeCell ref="H5484:J5484"/>
    <mergeCell ref="K5484:L5484"/>
    <mergeCell ref="M5484:O5484"/>
    <mergeCell ref="P5484:Q5484"/>
    <mergeCell ref="B5485:C5485"/>
    <mergeCell ref="D5485:F5485"/>
    <mergeCell ref="H5485:J5485"/>
    <mergeCell ref="K5485:L5485"/>
    <mergeCell ref="M5485:O5485"/>
    <mergeCell ref="P5485:Q5485"/>
    <mergeCell ref="B5486:C5486"/>
    <mergeCell ref="D5486:F5486"/>
    <mergeCell ref="H5486:J5486"/>
    <mergeCell ref="K5486:L5486"/>
    <mergeCell ref="M5486:O5486"/>
    <mergeCell ref="P5486:Q5486"/>
    <mergeCell ref="B5487:C5487"/>
    <mergeCell ref="D5487:F5487"/>
    <mergeCell ref="H5487:J5487"/>
    <mergeCell ref="K5487:L5487"/>
    <mergeCell ref="M5487:O5487"/>
    <mergeCell ref="P5487:Q5487"/>
    <mergeCell ref="B5488:C5488"/>
    <mergeCell ref="D5488:F5488"/>
    <mergeCell ref="H5488:J5488"/>
    <mergeCell ref="K5488:L5488"/>
    <mergeCell ref="M5488:O5488"/>
    <mergeCell ref="P5488:Q5488"/>
    <mergeCell ref="B5489:C5489"/>
    <mergeCell ref="D5489:F5489"/>
    <mergeCell ref="H5489:J5489"/>
    <mergeCell ref="K5489:L5489"/>
    <mergeCell ref="M5489:O5489"/>
    <mergeCell ref="P5489:Q5489"/>
    <mergeCell ref="B5490:C5490"/>
    <mergeCell ref="D5490:F5490"/>
    <mergeCell ref="H5490:J5490"/>
    <mergeCell ref="K5490:L5490"/>
    <mergeCell ref="M5490:O5490"/>
    <mergeCell ref="P5490:Q5490"/>
    <mergeCell ref="B5491:C5491"/>
    <mergeCell ref="D5491:F5491"/>
    <mergeCell ref="H5491:J5491"/>
    <mergeCell ref="K5491:L5491"/>
    <mergeCell ref="M5491:O5491"/>
    <mergeCell ref="P5491:Q5491"/>
    <mergeCell ref="B5492:C5492"/>
    <mergeCell ref="D5492:F5492"/>
    <mergeCell ref="H5492:J5492"/>
    <mergeCell ref="K5492:L5492"/>
    <mergeCell ref="M5492:O5492"/>
    <mergeCell ref="P5492:Q5492"/>
    <mergeCell ref="B5493:C5493"/>
    <mergeCell ref="D5493:F5493"/>
    <mergeCell ref="H5493:J5493"/>
    <mergeCell ref="K5493:L5493"/>
    <mergeCell ref="M5493:O5493"/>
    <mergeCell ref="P5493:Q5493"/>
    <mergeCell ref="B5494:C5494"/>
    <mergeCell ref="D5494:F5494"/>
    <mergeCell ref="H5494:J5494"/>
    <mergeCell ref="K5494:L5494"/>
    <mergeCell ref="M5494:O5494"/>
    <mergeCell ref="P5494:Q5494"/>
    <mergeCell ref="B5495:C5495"/>
    <mergeCell ref="D5495:F5495"/>
    <mergeCell ref="H5495:J5495"/>
    <mergeCell ref="K5495:L5495"/>
    <mergeCell ref="M5495:O5495"/>
    <mergeCell ref="P5495:Q5495"/>
    <mergeCell ref="B5496:C5496"/>
    <mergeCell ref="D5496:F5496"/>
    <mergeCell ref="H5496:J5496"/>
    <mergeCell ref="K5496:L5496"/>
    <mergeCell ref="M5496:O5496"/>
    <mergeCell ref="P5496:Q5496"/>
    <mergeCell ref="B5497:C5497"/>
    <mergeCell ref="D5497:F5497"/>
    <mergeCell ref="H5497:J5497"/>
    <mergeCell ref="K5497:L5497"/>
    <mergeCell ref="M5497:O5497"/>
    <mergeCell ref="P5497:Q5497"/>
    <mergeCell ref="B5498:C5498"/>
    <mergeCell ref="D5498:F5498"/>
    <mergeCell ref="H5498:J5498"/>
    <mergeCell ref="K5498:L5498"/>
    <mergeCell ref="M5498:O5498"/>
    <mergeCell ref="P5498:Q5498"/>
    <mergeCell ref="B5499:C5499"/>
    <mergeCell ref="D5499:F5499"/>
    <mergeCell ref="H5499:J5499"/>
    <mergeCell ref="K5499:L5499"/>
    <mergeCell ref="M5499:O5499"/>
    <mergeCell ref="P5499:Q5499"/>
    <mergeCell ref="B5500:C5500"/>
    <mergeCell ref="D5500:F5500"/>
    <mergeCell ref="H5500:J5500"/>
    <mergeCell ref="K5500:L5500"/>
    <mergeCell ref="M5500:O5500"/>
    <mergeCell ref="P5500:Q5500"/>
    <mergeCell ref="B5501:C5501"/>
    <mergeCell ref="D5501:F5501"/>
    <mergeCell ref="H5501:J5501"/>
    <mergeCell ref="K5501:L5501"/>
    <mergeCell ref="M5501:O5501"/>
    <mergeCell ref="P5501:Q5501"/>
    <mergeCell ref="B5502:C5502"/>
    <mergeCell ref="D5502:F5502"/>
    <mergeCell ref="H5502:J5502"/>
    <mergeCell ref="K5502:L5502"/>
    <mergeCell ref="M5502:O5502"/>
    <mergeCell ref="P5502:Q5502"/>
    <mergeCell ref="B5503:C5503"/>
    <mergeCell ref="D5503:F5503"/>
    <mergeCell ref="H5503:J5503"/>
    <mergeCell ref="K5503:L5503"/>
    <mergeCell ref="M5503:O5503"/>
    <mergeCell ref="P5503:Q5503"/>
    <mergeCell ref="B5504:C5504"/>
    <mergeCell ref="D5504:F5504"/>
    <mergeCell ref="H5504:J5504"/>
    <mergeCell ref="K5504:L5504"/>
    <mergeCell ref="M5504:O5504"/>
    <mergeCell ref="P5504:Q5504"/>
    <mergeCell ref="B5505:C5505"/>
    <mergeCell ref="D5505:F5505"/>
    <mergeCell ref="H5505:J5505"/>
    <mergeCell ref="K5505:L5505"/>
    <mergeCell ref="M5505:O5505"/>
    <mergeCell ref="P5505:Q5505"/>
    <mergeCell ref="B5506:C5506"/>
    <mergeCell ref="D5506:F5506"/>
    <mergeCell ref="H5506:J5506"/>
    <mergeCell ref="K5506:L5506"/>
    <mergeCell ref="M5506:O5506"/>
    <mergeCell ref="P5506:Q5506"/>
    <mergeCell ref="B5507:C5507"/>
    <mergeCell ref="D5507:F5507"/>
    <mergeCell ref="H5507:J5507"/>
    <mergeCell ref="K5507:L5507"/>
    <mergeCell ref="M5507:O5507"/>
    <mergeCell ref="P5507:Q5507"/>
    <mergeCell ref="B5508:C5508"/>
    <mergeCell ref="D5508:F5508"/>
    <mergeCell ref="H5508:J5508"/>
    <mergeCell ref="K5508:L5508"/>
    <mergeCell ref="M5508:O5508"/>
    <mergeCell ref="P5508:Q5508"/>
    <mergeCell ref="B5509:C5509"/>
    <mergeCell ref="D5509:F5509"/>
    <mergeCell ref="H5509:J5509"/>
    <mergeCell ref="K5509:L5509"/>
    <mergeCell ref="M5509:O5509"/>
    <mergeCell ref="P5509:Q5509"/>
    <mergeCell ref="B5510:C5510"/>
    <mergeCell ref="D5510:F5510"/>
    <mergeCell ref="H5510:J5510"/>
    <mergeCell ref="K5510:L5510"/>
    <mergeCell ref="M5510:O5510"/>
    <mergeCell ref="P5510:Q5510"/>
    <mergeCell ref="B5511:C5511"/>
    <mergeCell ref="D5511:F5511"/>
    <mergeCell ref="H5511:J5511"/>
    <mergeCell ref="K5511:L5511"/>
    <mergeCell ref="M5511:O5511"/>
    <mergeCell ref="P5511:Q5511"/>
    <mergeCell ref="B5512:C5512"/>
    <mergeCell ref="D5512:F5512"/>
    <mergeCell ref="H5512:J5512"/>
    <mergeCell ref="K5512:L5512"/>
    <mergeCell ref="M5512:O5512"/>
    <mergeCell ref="P5512:Q5512"/>
    <mergeCell ref="B5513:C5513"/>
    <mergeCell ref="D5513:F5513"/>
    <mergeCell ref="H5513:J5513"/>
    <mergeCell ref="K5513:L5513"/>
    <mergeCell ref="M5513:O5513"/>
    <mergeCell ref="P5513:Q5513"/>
    <mergeCell ref="B5514:C5514"/>
    <mergeCell ref="D5514:F5514"/>
    <mergeCell ref="H5514:J5514"/>
    <mergeCell ref="K5514:L5514"/>
    <mergeCell ref="M5514:O5514"/>
    <mergeCell ref="P5514:Q5514"/>
    <mergeCell ref="B5515:C5515"/>
    <mergeCell ref="D5515:F5515"/>
    <mergeCell ref="H5515:J5515"/>
    <mergeCell ref="K5515:L5515"/>
    <mergeCell ref="M5515:O5515"/>
    <mergeCell ref="P5515:Q5515"/>
    <mergeCell ref="B5516:C5516"/>
    <mergeCell ref="D5516:F5516"/>
    <mergeCell ref="H5516:J5516"/>
    <mergeCell ref="K5516:L5516"/>
    <mergeCell ref="M5516:O5516"/>
    <mergeCell ref="P5516:Q5516"/>
    <mergeCell ref="B5517:C5517"/>
    <mergeCell ref="D5517:F5517"/>
    <mergeCell ref="H5517:J5517"/>
    <mergeCell ref="K5517:L5517"/>
    <mergeCell ref="M5517:O5517"/>
    <mergeCell ref="P5517:Q5517"/>
    <mergeCell ref="B5518:C5518"/>
    <mergeCell ref="D5518:F5518"/>
    <mergeCell ref="H5518:J5518"/>
    <mergeCell ref="K5518:L5518"/>
    <mergeCell ref="M5518:O5518"/>
    <mergeCell ref="P5518:Q5518"/>
    <mergeCell ref="B5519:C5519"/>
    <mergeCell ref="D5519:F5519"/>
    <mergeCell ref="H5519:J5519"/>
    <mergeCell ref="K5519:L5519"/>
    <mergeCell ref="M5519:O5519"/>
    <mergeCell ref="P5519:Q5519"/>
    <mergeCell ref="B5520:C5520"/>
    <mergeCell ref="D5520:F5520"/>
    <mergeCell ref="H5520:J5520"/>
    <mergeCell ref="K5520:L5520"/>
    <mergeCell ref="M5520:O5520"/>
    <mergeCell ref="P5520:Q5520"/>
    <mergeCell ref="B5521:C5521"/>
    <mergeCell ref="D5521:F5521"/>
    <mergeCell ref="H5521:J5521"/>
    <mergeCell ref="K5521:L5521"/>
    <mergeCell ref="M5521:O5521"/>
    <mergeCell ref="P5521:Q5521"/>
    <mergeCell ref="B5522:C5522"/>
    <mergeCell ref="D5522:F5522"/>
    <mergeCell ref="H5522:J5522"/>
    <mergeCell ref="K5522:L5522"/>
    <mergeCell ref="M5522:O5522"/>
    <mergeCell ref="P5522:Q5522"/>
    <mergeCell ref="B5523:C5523"/>
    <mergeCell ref="D5523:F5523"/>
    <mergeCell ref="H5523:J5523"/>
    <mergeCell ref="K5523:L5523"/>
    <mergeCell ref="M5523:O5523"/>
    <mergeCell ref="P5523:Q5523"/>
    <mergeCell ref="B5524:C5524"/>
    <mergeCell ref="D5524:F5524"/>
    <mergeCell ref="H5524:J5524"/>
    <mergeCell ref="K5524:L5524"/>
    <mergeCell ref="M5524:O5524"/>
    <mergeCell ref="P5524:Q5524"/>
    <mergeCell ref="B5525:C5525"/>
    <mergeCell ref="D5525:F5525"/>
    <mergeCell ref="H5525:J5525"/>
    <mergeCell ref="K5525:L5525"/>
    <mergeCell ref="M5525:O5525"/>
    <mergeCell ref="P5525:Q5525"/>
    <mergeCell ref="B5526:C5526"/>
    <mergeCell ref="D5526:F5526"/>
    <mergeCell ref="H5526:J5526"/>
    <mergeCell ref="K5526:L5526"/>
    <mergeCell ref="M5526:O5526"/>
    <mergeCell ref="P5526:Q5526"/>
    <mergeCell ref="B5527:C5527"/>
    <mergeCell ref="D5527:F5527"/>
    <mergeCell ref="H5527:J5527"/>
    <mergeCell ref="K5527:L5527"/>
    <mergeCell ref="M5527:O5527"/>
    <mergeCell ref="P5527:Q5527"/>
    <mergeCell ref="B5528:C5528"/>
    <mergeCell ref="D5528:F5528"/>
    <mergeCell ref="H5528:J5528"/>
    <mergeCell ref="K5528:L5528"/>
    <mergeCell ref="M5528:O5528"/>
    <mergeCell ref="P5528:Q5528"/>
    <mergeCell ref="B5529:C5529"/>
    <mergeCell ref="D5529:F5529"/>
    <mergeCell ref="H5529:J5529"/>
    <mergeCell ref="K5529:L5529"/>
    <mergeCell ref="M5529:O5529"/>
    <mergeCell ref="P5529:Q5529"/>
    <mergeCell ref="B5530:C5530"/>
    <mergeCell ref="D5530:F5530"/>
    <mergeCell ref="H5530:J5530"/>
    <mergeCell ref="K5530:L5530"/>
    <mergeCell ref="M5530:O5530"/>
    <mergeCell ref="P5530:Q5530"/>
    <mergeCell ref="B5531:C5531"/>
    <mergeCell ref="D5531:F5531"/>
    <mergeCell ref="H5531:J5531"/>
    <mergeCell ref="K5531:L5531"/>
    <mergeCell ref="M5531:O5531"/>
    <mergeCell ref="P5531:Q5531"/>
    <mergeCell ref="B5532:C5532"/>
    <mergeCell ref="D5532:F5532"/>
    <mergeCell ref="H5532:J5532"/>
    <mergeCell ref="K5532:L5532"/>
    <mergeCell ref="M5532:O5532"/>
    <mergeCell ref="P5532:Q5532"/>
    <mergeCell ref="B5533:C5533"/>
    <mergeCell ref="D5533:F5533"/>
    <mergeCell ref="H5533:J5533"/>
    <mergeCell ref="K5533:L5533"/>
    <mergeCell ref="M5533:O5533"/>
    <mergeCell ref="P5533:Q5533"/>
    <mergeCell ref="B5534:C5534"/>
    <mergeCell ref="D5534:F5534"/>
    <mergeCell ref="H5534:J5534"/>
    <mergeCell ref="K5534:L5534"/>
    <mergeCell ref="M5534:O5534"/>
    <mergeCell ref="P5534:Q5534"/>
    <mergeCell ref="B5535:C5535"/>
    <mergeCell ref="D5535:F5535"/>
    <mergeCell ref="H5535:J5535"/>
    <mergeCell ref="K5535:L5535"/>
    <mergeCell ref="M5535:O5535"/>
    <mergeCell ref="P5535:Q5535"/>
    <mergeCell ref="B5536:C5536"/>
    <mergeCell ref="D5536:F5536"/>
    <mergeCell ref="H5536:J5536"/>
    <mergeCell ref="K5536:L5536"/>
    <mergeCell ref="M5536:O5536"/>
    <mergeCell ref="P5536:Q5536"/>
    <mergeCell ref="B5537:C5537"/>
    <mergeCell ref="D5537:F5537"/>
    <mergeCell ref="H5537:J5537"/>
    <mergeCell ref="K5537:L5537"/>
    <mergeCell ref="M5537:O5537"/>
    <mergeCell ref="P5537:Q5537"/>
    <mergeCell ref="B5538:C5538"/>
    <mergeCell ref="D5538:F5538"/>
    <mergeCell ref="H5538:J5538"/>
    <mergeCell ref="K5538:L5538"/>
    <mergeCell ref="M5538:O5538"/>
    <mergeCell ref="P5538:Q5538"/>
    <mergeCell ref="B5539:C5539"/>
    <mergeCell ref="D5539:F5539"/>
    <mergeCell ref="H5539:J5539"/>
    <mergeCell ref="K5539:L5539"/>
    <mergeCell ref="M5539:O5539"/>
    <mergeCell ref="P5539:Q5539"/>
    <mergeCell ref="B5540:C5540"/>
    <mergeCell ref="D5540:F5540"/>
    <mergeCell ref="H5540:J5540"/>
    <mergeCell ref="K5540:L5540"/>
    <mergeCell ref="M5540:O5540"/>
    <mergeCell ref="P5540:Q5540"/>
    <mergeCell ref="B5541:C5541"/>
    <mergeCell ref="D5541:F5541"/>
    <mergeCell ref="H5541:J5541"/>
    <mergeCell ref="K5541:L5541"/>
    <mergeCell ref="M5541:O5541"/>
    <mergeCell ref="P5541:Q5541"/>
    <mergeCell ref="B5542:C5542"/>
    <mergeCell ref="D5542:F5542"/>
    <mergeCell ref="H5542:J5542"/>
    <mergeCell ref="K5542:L5542"/>
    <mergeCell ref="M5542:O5542"/>
    <mergeCell ref="P5542:Q5542"/>
    <mergeCell ref="B5543:C5543"/>
    <mergeCell ref="D5543:F5543"/>
    <mergeCell ref="H5543:J5543"/>
    <mergeCell ref="K5543:L5543"/>
    <mergeCell ref="M5543:O5543"/>
    <mergeCell ref="P5543:Q5543"/>
    <mergeCell ref="B5544:C5544"/>
    <mergeCell ref="D5544:F5544"/>
    <mergeCell ref="H5544:J5544"/>
    <mergeCell ref="K5544:L5544"/>
    <mergeCell ref="M5544:O5544"/>
    <mergeCell ref="P5544:Q5544"/>
    <mergeCell ref="B5545:C5545"/>
    <mergeCell ref="D5545:F5545"/>
    <mergeCell ref="H5545:J5545"/>
    <mergeCell ref="K5545:L5545"/>
    <mergeCell ref="M5545:O5545"/>
    <mergeCell ref="P5545:Q5545"/>
    <mergeCell ref="B5546:C5546"/>
    <mergeCell ref="D5546:F5546"/>
    <mergeCell ref="H5546:J5546"/>
    <mergeCell ref="K5546:L5546"/>
    <mergeCell ref="M5546:O5546"/>
    <mergeCell ref="P5546:Q5546"/>
    <mergeCell ref="B5547:C5547"/>
    <mergeCell ref="D5547:F5547"/>
    <mergeCell ref="H5547:J5547"/>
    <mergeCell ref="K5547:L5547"/>
    <mergeCell ref="M5547:O5547"/>
    <mergeCell ref="P5547:Q5547"/>
    <mergeCell ref="B5548:C5548"/>
    <mergeCell ref="D5548:F5548"/>
    <mergeCell ref="H5548:J5548"/>
    <mergeCell ref="K5548:L5548"/>
    <mergeCell ref="M5548:O5548"/>
    <mergeCell ref="P5548:Q5548"/>
    <mergeCell ref="B5549:C5549"/>
    <mergeCell ref="D5549:F5549"/>
    <mergeCell ref="H5549:J5549"/>
    <mergeCell ref="K5549:L5549"/>
    <mergeCell ref="M5549:O5549"/>
    <mergeCell ref="P5549:Q5549"/>
    <mergeCell ref="B5550:C5550"/>
    <mergeCell ref="D5550:F5550"/>
    <mergeCell ref="H5550:J5550"/>
    <mergeCell ref="K5550:L5550"/>
    <mergeCell ref="M5550:O5550"/>
    <mergeCell ref="P5550:Q5550"/>
    <mergeCell ref="B5551:C5551"/>
    <mergeCell ref="D5551:F5551"/>
    <mergeCell ref="H5551:J5551"/>
    <mergeCell ref="K5551:L5551"/>
    <mergeCell ref="M5551:O5551"/>
    <mergeCell ref="P5551:Q5551"/>
    <mergeCell ref="B5552:C5552"/>
    <mergeCell ref="D5552:F5552"/>
    <mergeCell ref="H5552:J5552"/>
    <mergeCell ref="K5552:L5552"/>
    <mergeCell ref="M5552:O5552"/>
    <mergeCell ref="P5552:Q5552"/>
    <mergeCell ref="B5553:C5553"/>
    <mergeCell ref="D5553:F5553"/>
    <mergeCell ref="H5553:J5553"/>
    <mergeCell ref="K5553:L5553"/>
    <mergeCell ref="M5553:O5553"/>
    <mergeCell ref="P5553:Q5553"/>
    <mergeCell ref="B5554:C5554"/>
    <mergeCell ref="D5554:F5554"/>
    <mergeCell ref="H5554:J5554"/>
    <mergeCell ref="K5554:L5554"/>
    <mergeCell ref="M5554:O5554"/>
    <mergeCell ref="P5554:Q5554"/>
    <mergeCell ref="B5555:C5555"/>
    <mergeCell ref="D5555:F5555"/>
    <mergeCell ref="H5555:J5555"/>
    <mergeCell ref="K5555:L5555"/>
    <mergeCell ref="M5555:O5555"/>
    <mergeCell ref="P5555:Q5555"/>
    <mergeCell ref="B5556:C5556"/>
    <mergeCell ref="D5556:F5556"/>
    <mergeCell ref="H5556:J5556"/>
    <mergeCell ref="K5556:L5556"/>
    <mergeCell ref="M5556:O5556"/>
    <mergeCell ref="P5556:Q5556"/>
    <mergeCell ref="B5557:C5557"/>
    <mergeCell ref="D5557:F5557"/>
    <mergeCell ref="H5557:J5557"/>
    <mergeCell ref="K5557:L5557"/>
    <mergeCell ref="M5557:O5557"/>
    <mergeCell ref="P5557:Q5557"/>
    <mergeCell ref="B5558:C5558"/>
    <mergeCell ref="D5558:F5558"/>
    <mergeCell ref="H5558:J5558"/>
    <mergeCell ref="K5558:L5558"/>
    <mergeCell ref="M5558:O5558"/>
    <mergeCell ref="P5558:Q5558"/>
    <mergeCell ref="B5559:C5559"/>
    <mergeCell ref="D5559:F5559"/>
    <mergeCell ref="H5559:J5559"/>
    <mergeCell ref="K5559:L5559"/>
    <mergeCell ref="M5559:O5559"/>
    <mergeCell ref="P5559:Q5559"/>
    <mergeCell ref="B5560:C5560"/>
    <mergeCell ref="D5560:F5560"/>
    <mergeCell ref="H5560:J5560"/>
    <mergeCell ref="K5560:L5560"/>
    <mergeCell ref="M5560:O5560"/>
    <mergeCell ref="P5560:Q5560"/>
    <mergeCell ref="B5561:C5561"/>
    <mergeCell ref="D5561:F5561"/>
    <mergeCell ref="H5561:J5561"/>
    <mergeCell ref="K5561:L5561"/>
    <mergeCell ref="M5561:O5561"/>
    <mergeCell ref="P5561:Q5561"/>
    <mergeCell ref="B5562:C5562"/>
    <mergeCell ref="D5562:F5562"/>
    <mergeCell ref="H5562:J5562"/>
    <mergeCell ref="K5562:L5562"/>
    <mergeCell ref="M5562:O5562"/>
    <mergeCell ref="P5562:Q5562"/>
    <mergeCell ref="B5563:C5563"/>
    <mergeCell ref="D5563:F5563"/>
    <mergeCell ref="H5563:J5563"/>
    <mergeCell ref="K5563:L5563"/>
    <mergeCell ref="M5563:O5563"/>
    <mergeCell ref="P5563:Q5563"/>
    <mergeCell ref="B5564:C5564"/>
    <mergeCell ref="D5564:F5564"/>
    <mergeCell ref="H5564:J5564"/>
    <mergeCell ref="K5564:L5564"/>
    <mergeCell ref="M5564:O5564"/>
    <mergeCell ref="P5564:Q5564"/>
    <mergeCell ref="B5565:C5565"/>
    <mergeCell ref="D5565:F5565"/>
    <mergeCell ref="H5565:J5565"/>
    <mergeCell ref="K5565:L5565"/>
    <mergeCell ref="M5565:O5565"/>
    <mergeCell ref="P5565:Q5565"/>
    <mergeCell ref="B5566:C5566"/>
    <mergeCell ref="D5566:F5566"/>
    <mergeCell ref="H5566:J5566"/>
    <mergeCell ref="K5566:L5566"/>
    <mergeCell ref="M5566:O5566"/>
    <mergeCell ref="P5566:Q5566"/>
    <mergeCell ref="B5567:C5567"/>
    <mergeCell ref="D5567:F5567"/>
    <mergeCell ref="H5567:J5567"/>
    <mergeCell ref="K5567:L5567"/>
    <mergeCell ref="M5567:O5567"/>
    <mergeCell ref="P5567:Q5567"/>
    <mergeCell ref="B5568:C5568"/>
    <mergeCell ref="D5568:F5568"/>
    <mergeCell ref="H5568:J5568"/>
    <mergeCell ref="K5568:L5568"/>
    <mergeCell ref="M5568:O5568"/>
    <mergeCell ref="P5568:Q5568"/>
    <mergeCell ref="B5569:C5569"/>
    <mergeCell ref="D5569:F5569"/>
    <mergeCell ref="H5569:J5569"/>
    <mergeCell ref="K5569:L5569"/>
    <mergeCell ref="M5569:O5569"/>
    <mergeCell ref="P5569:Q5569"/>
    <mergeCell ref="B5570:C5570"/>
    <mergeCell ref="D5570:F5570"/>
    <mergeCell ref="H5570:J5570"/>
    <mergeCell ref="K5570:L5570"/>
    <mergeCell ref="M5570:O5570"/>
    <mergeCell ref="P5570:Q5570"/>
    <mergeCell ref="B5571:C5571"/>
    <mergeCell ref="D5571:F5571"/>
    <mergeCell ref="H5571:J5571"/>
    <mergeCell ref="K5571:L5571"/>
    <mergeCell ref="M5571:O5571"/>
    <mergeCell ref="P5571:Q5571"/>
    <mergeCell ref="B5572:C5572"/>
    <mergeCell ref="D5572:F5572"/>
    <mergeCell ref="H5572:J5572"/>
    <mergeCell ref="K5572:L5572"/>
    <mergeCell ref="M5572:O5572"/>
    <mergeCell ref="P5572:Q5572"/>
    <mergeCell ref="B5573:C5573"/>
    <mergeCell ref="D5573:F5573"/>
    <mergeCell ref="H5573:J5573"/>
    <mergeCell ref="K5573:L5573"/>
    <mergeCell ref="M5573:O5573"/>
    <mergeCell ref="P5573:Q5573"/>
    <mergeCell ref="B5574:C5574"/>
    <mergeCell ref="D5574:F5574"/>
    <mergeCell ref="H5574:J5574"/>
    <mergeCell ref="K5574:L5574"/>
    <mergeCell ref="M5574:O5574"/>
    <mergeCell ref="P5574:Q5574"/>
    <mergeCell ref="B5575:C5575"/>
    <mergeCell ref="D5575:F5575"/>
    <mergeCell ref="H5575:J5575"/>
    <mergeCell ref="K5575:L5575"/>
    <mergeCell ref="M5575:O5575"/>
    <mergeCell ref="P5575:Q5575"/>
    <mergeCell ref="B5576:C5576"/>
    <mergeCell ref="D5576:F5576"/>
    <mergeCell ref="H5576:J5576"/>
    <mergeCell ref="K5576:L5576"/>
    <mergeCell ref="M5576:O5576"/>
    <mergeCell ref="P5576:Q5576"/>
    <mergeCell ref="B5577:C5577"/>
    <mergeCell ref="D5577:F5577"/>
    <mergeCell ref="H5577:J5577"/>
    <mergeCell ref="K5577:L5577"/>
    <mergeCell ref="M5577:O5577"/>
    <mergeCell ref="P5577:Q5577"/>
    <mergeCell ref="B5578:C5578"/>
    <mergeCell ref="D5578:F5578"/>
    <mergeCell ref="H5578:J5578"/>
    <mergeCell ref="K5578:L5578"/>
    <mergeCell ref="M5578:O5578"/>
    <mergeCell ref="P5578:Q5578"/>
    <mergeCell ref="B5579:C5579"/>
    <mergeCell ref="D5579:F5579"/>
    <mergeCell ref="H5579:J5579"/>
    <mergeCell ref="K5579:L5579"/>
    <mergeCell ref="M5579:O5579"/>
    <mergeCell ref="P5579:Q5579"/>
    <mergeCell ref="B5580:C5580"/>
    <mergeCell ref="D5580:F5580"/>
    <mergeCell ref="H5580:J5580"/>
    <mergeCell ref="K5580:L5580"/>
    <mergeCell ref="M5580:O5580"/>
    <mergeCell ref="P5580:Q5580"/>
    <mergeCell ref="B5581:C5581"/>
    <mergeCell ref="D5581:F5581"/>
    <mergeCell ref="H5581:J5581"/>
    <mergeCell ref="K5581:L5581"/>
    <mergeCell ref="M5581:O5581"/>
    <mergeCell ref="P5581:Q5581"/>
    <mergeCell ref="B5582:C5582"/>
    <mergeCell ref="D5582:F5582"/>
    <mergeCell ref="H5582:J5582"/>
    <mergeCell ref="K5582:L5582"/>
    <mergeCell ref="M5582:O5582"/>
    <mergeCell ref="P5582:Q5582"/>
    <mergeCell ref="B5583:C5583"/>
    <mergeCell ref="D5583:F5583"/>
    <mergeCell ref="H5583:J5583"/>
    <mergeCell ref="K5583:L5583"/>
    <mergeCell ref="M5583:O5583"/>
    <mergeCell ref="P5583:Q5583"/>
    <mergeCell ref="B5584:C5584"/>
    <mergeCell ref="D5584:F5584"/>
    <mergeCell ref="H5584:J5584"/>
    <mergeCell ref="K5584:L5584"/>
    <mergeCell ref="M5584:O5584"/>
    <mergeCell ref="P5584:Q5584"/>
    <mergeCell ref="B5585:C5585"/>
    <mergeCell ref="D5585:F5585"/>
    <mergeCell ref="H5585:J5585"/>
    <mergeCell ref="K5585:L5585"/>
    <mergeCell ref="M5585:O5585"/>
    <mergeCell ref="P5585:Q5585"/>
    <mergeCell ref="B5586:C5586"/>
    <mergeCell ref="D5586:F5586"/>
    <mergeCell ref="H5586:J5586"/>
    <mergeCell ref="K5586:L5586"/>
    <mergeCell ref="M5586:O5586"/>
    <mergeCell ref="P5586:Q5586"/>
    <mergeCell ref="B5587:C5587"/>
    <mergeCell ref="D5587:F5587"/>
    <mergeCell ref="H5587:J5587"/>
    <mergeCell ref="K5587:L5587"/>
    <mergeCell ref="M5587:O5587"/>
    <mergeCell ref="P5587:Q5587"/>
    <mergeCell ref="B5588:C5588"/>
    <mergeCell ref="D5588:F5588"/>
    <mergeCell ref="H5588:J5588"/>
    <mergeCell ref="K5588:L5588"/>
    <mergeCell ref="M5588:O5588"/>
    <mergeCell ref="P5588:Q5588"/>
    <mergeCell ref="B5589:C5589"/>
    <mergeCell ref="D5589:F5589"/>
    <mergeCell ref="H5589:J5589"/>
    <mergeCell ref="K5589:L5589"/>
    <mergeCell ref="M5589:O5589"/>
    <mergeCell ref="P5589:Q5589"/>
    <mergeCell ref="B5590:C5590"/>
    <mergeCell ref="D5590:F5590"/>
    <mergeCell ref="H5590:J5590"/>
    <mergeCell ref="K5590:L5590"/>
    <mergeCell ref="M5590:O5590"/>
    <mergeCell ref="P5590:Q5590"/>
    <mergeCell ref="B5591:C5591"/>
    <mergeCell ref="D5591:F5591"/>
    <mergeCell ref="H5591:J5591"/>
    <mergeCell ref="K5591:L5591"/>
    <mergeCell ref="M5591:O5591"/>
    <mergeCell ref="P5591:Q5591"/>
    <mergeCell ref="B5592:C5592"/>
    <mergeCell ref="D5592:F5592"/>
    <mergeCell ref="H5592:J5592"/>
    <mergeCell ref="K5592:L5592"/>
    <mergeCell ref="M5592:O5592"/>
    <mergeCell ref="P5592:Q5592"/>
    <mergeCell ref="B5593:C5593"/>
    <mergeCell ref="D5593:F5593"/>
    <mergeCell ref="H5593:J5593"/>
    <mergeCell ref="K5593:L5593"/>
    <mergeCell ref="M5593:O5593"/>
    <mergeCell ref="P5593:Q5593"/>
    <mergeCell ref="B5594:C5594"/>
    <mergeCell ref="D5594:F5594"/>
    <mergeCell ref="H5594:J5594"/>
    <mergeCell ref="K5594:L5594"/>
    <mergeCell ref="M5594:O5594"/>
    <mergeCell ref="P5594:Q5594"/>
    <mergeCell ref="B5595:C5595"/>
    <mergeCell ref="D5595:F5595"/>
    <mergeCell ref="H5595:J5595"/>
    <mergeCell ref="K5595:L5595"/>
    <mergeCell ref="M5595:O5595"/>
    <mergeCell ref="P5595:Q5595"/>
    <mergeCell ref="B5596:C5596"/>
    <mergeCell ref="D5596:F5596"/>
    <mergeCell ref="H5596:J5596"/>
    <mergeCell ref="K5596:L5596"/>
    <mergeCell ref="M5596:O5596"/>
    <mergeCell ref="P5596:Q5596"/>
    <mergeCell ref="B5597:C5597"/>
    <mergeCell ref="D5597:F5597"/>
    <mergeCell ref="H5597:J5597"/>
    <mergeCell ref="K5597:L5597"/>
    <mergeCell ref="M5597:O5597"/>
    <mergeCell ref="P5597:Q5597"/>
    <mergeCell ref="B5598:C5598"/>
    <mergeCell ref="D5598:F5598"/>
    <mergeCell ref="H5598:J5598"/>
    <mergeCell ref="K5598:L5598"/>
    <mergeCell ref="M5598:O5598"/>
    <mergeCell ref="P5598:Q5598"/>
    <mergeCell ref="B5599:C5599"/>
    <mergeCell ref="D5599:F5599"/>
    <mergeCell ref="H5599:J5599"/>
    <mergeCell ref="K5599:L5599"/>
    <mergeCell ref="M5599:O5599"/>
    <mergeCell ref="P5599:Q5599"/>
    <mergeCell ref="B5600:C5600"/>
    <mergeCell ref="D5600:F5600"/>
    <mergeCell ref="H5600:J5600"/>
    <mergeCell ref="K5600:L5600"/>
    <mergeCell ref="M5600:O5600"/>
    <mergeCell ref="P5600:Q5600"/>
    <mergeCell ref="B5601:C5601"/>
    <mergeCell ref="D5601:F5601"/>
    <mergeCell ref="H5601:J5601"/>
    <mergeCell ref="K5601:L5601"/>
    <mergeCell ref="M5601:O5601"/>
    <mergeCell ref="P5601:Q5601"/>
    <mergeCell ref="B5602:C5602"/>
    <mergeCell ref="D5602:F5602"/>
    <mergeCell ref="H5602:J5602"/>
    <mergeCell ref="K5602:L5602"/>
    <mergeCell ref="M5602:O5602"/>
    <mergeCell ref="P5602:Q5602"/>
    <mergeCell ref="B5603:C5603"/>
    <mergeCell ref="D5603:F5603"/>
    <mergeCell ref="H5603:J5603"/>
    <mergeCell ref="K5603:L5603"/>
    <mergeCell ref="M5603:O5603"/>
    <mergeCell ref="P5603:Q5603"/>
    <mergeCell ref="A5604:N5604"/>
    <mergeCell ref="A5605:K5605"/>
    <mergeCell ref="L5605:N5605"/>
    <mergeCell ref="A5606:E5606"/>
    <mergeCell ref="F5606:H5606"/>
    <mergeCell ref="I5606:K5606"/>
    <mergeCell ref="L5606:N5606"/>
    <mergeCell ref="A5607:E5607"/>
    <mergeCell ref="F5607:H5607"/>
    <mergeCell ref="I5607:K5607"/>
    <mergeCell ref="L5607:N5607"/>
    <mergeCell ref="A5608:E5608"/>
    <mergeCell ref="F5608:H5608"/>
    <mergeCell ref="I5608:K5608"/>
    <mergeCell ref="L5608:N5608"/>
    <mergeCell ref="A5609:E5609"/>
    <mergeCell ref="F5609:H5609"/>
    <mergeCell ref="I5609:K5609"/>
    <mergeCell ref="L5609:N5609"/>
    <mergeCell ref="A5610:E5610"/>
    <mergeCell ref="F5610:H5610"/>
    <mergeCell ref="I5610:K5610"/>
    <mergeCell ref="L5610:N5610"/>
    <mergeCell ref="A5611:E5611"/>
    <mergeCell ref="F5611:H5611"/>
    <mergeCell ref="I5611:K5611"/>
    <mergeCell ref="L5611:N5611"/>
    <mergeCell ref="A5612:E5612"/>
    <mergeCell ref="F5612:H5612"/>
    <mergeCell ref="I5612:K5612"/>
    <mergeCell ref="L5612:N5612"/>
    <mergeCell ref="A5613:E5613"/>
    <mergeCell ref="F5613:H5613"/>
    <mergeCell ref="I5613:K5613"/>
    <mergeCell ref="L5613:N5613"/>
    <mergeCell ref="A5614:E5614"/>
    <mergeCell ref="F5614:H5614"/>
    <mergeCell ref="I5614:K5614"/>
    <mergeCell ref="L5614:N5614"/>
    <mergeCell ref="A5615:E5615"/>
    <mergeCell ref="F5615:H5615"/>
    <mergeCell ref="I5615:K5615"/>
    <mergeCell ref="L5615:N5615"/>
    <mergeCell ref="A5616:E5616"/>
    <mergeCell ref="F5616:H5616"/>
    <mergeCell ref="I5616:K5616"/>
    <mergeCell ref="L5616:N5616"/>
    <mergeCell ref="A5617:E5617"/>
    <mergeCell ref="F5617:H5617"/>
    <mergeCell ref="I5617:K5617"/>
    <mergeCell ref="L5617:N5617"/>
    <mergeCell ref="A5618:E5618"/>
    <mergeCell ref="F5618:H5618"/>
    <mergeCell ref="I5618:K5618"/>
    <mergeCell ref="L5618:N5618"/>
    <mergeCell ref="A5619:E5619"/>
    <mergeCell ref="F5619:H5619"/>
    <mergeCell ref="I5619:K5619"/>
    <mergeCell ref="L5619:N5619"/>
    <mergeCell ref="A5620:E5620"/>
    <mergeCell ref="F5620:H5620"/>
    <mergeCell ref="I5620:K5620"/>
    <mergeCell ref="L5620:N5620"/>
    <mergeCell ref="A5621:E5621"/>
    <mergeCell ref="F5621:H5621"/>
    <mergeCell ref="I5621:K5621"/>
    <mergeCell ref="L5621:N5621"/>
    <mergeCell ref="A5622:E5622"/>
    <mergeCell ref="F5622:H5622"/>
    <mergeCell ref="I5622:K5622"/>
    <mergeCell ref="L5622:N5622"/>
    <mergeCell ref="A5623:E5623"/>
    <mergeCell ref="F5623:H5623"/>
    <mergeCell ref="I5623:K5623"/>
    <mergeCell ref="L5623:N5623"/>
    <mergeCell ref="A5624:E5624"/>
    <mergeCell ref="F5624:H5624"/>
    <mergeCell ref="I5624:K5624"/>
    <mergeCell ref="L5624:N5624"/>
    <mergeCell ref="A5625:K5625"/>
    <mergeCell ref="L5625:N5625"/>
    <mergeCell ref="A5626:E5626"/>
    <mergeCell ref="F5626:H5626"/>
    <mergeCell ref="I5626:K5626"/>
    <mergeCell ref="L5626:N5626"/>
    <mergeCell ref="A5627:E5627"/>
    <mergeCell ref="F5627:H5627"/>
    <mergeCell ref="I5627:K5627"/>
    <mergeCell ref="L5627:N5627"/>
    <mergeCell ref="A5628:E5628"/>
    <mergeCell ref="F5628:H5628"/>
    <mergeCell ref="I5628:K5628"/>
    <mergeCell ref="L5628:N5628"/>
    <mergeCell ref="A5629:E5629"/>
    <mergeCell ref="F5629:H5629"/>
    <mergeCell ref="I5629:K5629"/>
    <mergeCell ref="L5629:N5629"/>
    <mergeCell ref="A5630:E5630"/>
    <mergeCell ref="F5630:H5630"/>
    <mergeCell ref="I5630:K5630"/>
    <mergeCell ref="L5630:N5630"/>
    <mergeCell ref="A5631:E5631"/>
    <mergeCell ref="F5631:H5631"/>
    <mergeCell ref="I5631:K5631"/>
    <mergeCell ref="L5631:N5631"/>
    <mergeCell ref="A5632:E5632"/>
    <mergeCell ref="F5632:H5632"/>
    <mergeCell ref="I5632:K5632"/>
    <mergeCell ref="L5632:N5632"/>
    <mergeCell ref="A5633:K5633"/>
    <mergeCell ref="L5633:N5633"/>
    <mergeCell ref="A5634:E5634"/>
    <mergeCell ref="F5634:H5634"/>
    <mergeCell ref="I5634:K5634"/>
    <mergeCell ref="L5634:N5634"/>
    <mergeCell ref="A5635:E5635"/>
    <mergeCell ref="F5635:H5635"/>
    <mergeCell ref="I5635:K5635"/>
    <mergeCell ref="L5635:N5635"/>
    <mergeCell ref="A5636:E5636"/>
    <mergeCell ref="F5636:H5636"/>
    <mergeCell ref="I5636:K5636"/>
    <mergeCell ref="L5636:N5636"/>
    <mergeCell ref="A5637:E5637"/>
    <mergeCell ref="F5637:H5637"/>
    <mergeCell ref="I5637:K5637"/>
    <mergeCell ref="L5637:N5637"/>
    <mergeCell ref="A5638:E5638"/>
    <mergeCell ref="F5638:H5638"/>
    <mergeCell ref="I5638:K5638"/>
    <mergeCell ref="L5638:N5638"/>
    <mergeCell ref="A5639:E5639"/>
    <mergeCell ref="F5639:H5639"/>
    <mergeCell ref="I5639:K5639"/>
    <mergeCell ref="L5639:N5639"/>
    <mergeCell ref="A5640:E5640"/>
    <mergeCell ref="F5640:H5640"/>
    <mergeCell ref="I5640:K5640"/>
    <mergeCell ref="A5641:E5641"/>
    <mergeCell ref="F5641:H5641"/>
    <mergeCell ref="I5641:K5641"/>
    <mergeCell ref="A5642:E5642"/>
    <mergeCell ref="F5642:H5642"/>
    <mergeCell ref="I5642:K5642"/>
    <mergeCell ref="A5643:E5643"/>
    <mergeCell ref="F5643:H5643"/>
    <mergeCell ref="I5643:K5643"/>
    <mergeCell ref="A5644:E5644"/>
    <mergeCell ref="F5644:H5644"/>
    <mergeCell ref="I5644:K5644"/>
    <mergeCell ref="A5645:E5645"/>
    <mergeCell ref="F5645:H5645"/>
    <mergeCell ref="I5645:K5645"/>
    <mergeCell ref="A5646:E5646"/>
    <mergeCell ref="F5646:H5646"/>
    <mergeCell ref="I5646:K5646"/>
    <mergeCell ref="A5647:E5647"/>
    <mergeCell ref="F5647:H5647"/>
    <mergeCell ref="I5647:K5647"/>
    <mergeCell ref="A5648:E5648"/>
    <mergeCell ref="F5648:H5648"/>
    <mergeCell ref="I5648:K5648"/>
    <mergeCell ref="A5649:K5649"/>
    <mergeCell ref="A5650:E5650"/>
    <mergeCell ref="F5650:H5650"/>
    <mergeCell ref="I5650:K5650"/>
    <mergeCell ref="A5651:E5651"/>
    <mergeCell ref="F5651:H5651"/>
    <mergeCell ref="I5651:K5651"/>
    <mergeCell ref="A5652:E5652"/>
    <mergeCell ref="F5652:H5652"/>
    <mergeCell ref="I5652:K5652"/>
    <mergeCell ref="A5653:E5653"/>
    <mergeCell ref="F5653:H5653"/>
    <mergeCell ref="I5653:K5653"/>
    <mergeCell ref="A5654:E5654"/>
    <mergeCell ref="F5654:H5654"/>
    <mergeCell ref="I5654:K5654"/>
    <mergeCell ref="A5655:E5655"/>
    <mergeCell ref="F5655:H5655"/>
    <mergeCell ref="I5655:K5655"/>
    <mergeCell ref="A5656:E5656"/>
    <mergeCell ref="F5656:H5656"/>
    <mergeCell ref="I5656:K5656"/>
    <mergeCell ref="A5657:E5657"/>
    <mergeCell ref="F5657:H5657"/>
    <mergeCell ref="I5657:K5657"/>
    <mergeCell ref="A5658:E5658"/>
    <mergeCell ref="F5658:H5658"/>
    <mergeCell ref="I5658:K5658"/>
    <mergeCell ref="A5659:E5659"/>
    <mergeCell ref="F5659:H5659"/>
    <mergeCell ref="I5659:K5659"/>
    <mergeCell ref="A5660:E5660"/>
    <mergeCell ref="F5660:H5660"/>
    <mergeCell ref="I5660:K5660"/>
    <mergeCell ref="A5661:E5661"/>
    <mergeCell ref="F5661:H5661"/>
    <mergeCell ref="I5661:K5661"/>
    <mergeCell ref="A5662:E5662"/>
    <mergeCell ref="F5662:H5662"/>
    <mergeCell ref="I5662:K5662"/>
    <mergeCell ref="A5663:E5663"/>
    <mergeCell ref="F5663:H5663"/>
    <mergeCell ref="I5663:K5663"/>
    <mergeCell ref="A5664:E5664"/>
    <mergeCell ref="F5664:H5664"/>
    <mergeCell ref="I5664:K5664"/>
    <mergeCell ref="A5665:E5665"/>
    <mergeCell ref="F5665:H5665"/>
    <mergeCell ref="I5665:K5665"/>
    <mergeCell ref="A5666:E5666"/>
    <mergeCell ref="F5666:H5666"/>
    <mergeCell ref="I5666:K5666"/>
    <mergeCell ref="A5667:K5667"/>
    <mergeCell ref="A5668:E5668"/>
    <mergeCell ref="F5668:H5668"/>
    <mergeCell ref="I5668:K5668"/>
    <mergeCell ref="A5669:E5669"/>
    <mergeCell ref="F5669:H5669"/>
    <mergeCell ref="I5669:K5669"/>
    <mergeCell ref="A5670:E5670"/>
    <mergeCell ref="F5670:H5670"/>
    <mergeCell ref="I5670:K5670"/>
    <mergeCell ref="A5671:E5671"/>
    <mergeCell ref="F5671:H5671"/>
    <mergeCell ref="I5671:K5671"/>
    <mergeCell ref="A5672:E5672"/>
    <mergeCell ref="F5672:H5672"/>
    <mergeCell ref="I5672:K5672"/>
    <mergeCell ref="A5673:E5673"/>
    <mergeCell ref="F5673:H5673"/>
    <mergeCell ref="I5673:K5673"/>
    <mergeCell ref="A5674:K5674"/>
    <mergeCell ref="A5675:E5675"/>
    <mergeCell ref="F5675:H5675"/>
    <mergeCell ref="I5675:K5675"/>
    <mergeCell ref="A5676:E5676"/>
    <mergeCell ref="F5676:H5676"/>
    <mergeCell ref="I5676:K5676"/>
    <mergeCell ref="A5677:E5677"/>
    <mergeCell ref="F5677:H5677"/>
    <mergeCell ref="I5677:K5677"/>
    <mergeCell ref="A5678:K5678"/>
    <mergeCell ref="A5679:E5679"/>
    <mergeCell ref="F5679:H5679"/>
    <mergeCell ref="I5679:K5679"/>
    <mergeCell ref="A5680:E5680"/>
    <mergeCell ref="F5680:H5680"/>
    <mergeCell ref="I5680:K5680"/>
    <mergeCell ref="A5681:E5681"/>
    <mergeCell ref="F5681:H5681"/>
    <mergeCell ref="I5681:K5681"/>
    <mergeCell ref="A5682:K5682"/>
    <mergeCell ref="A5683:E5683"/>
    <mergeCell ref="F5683:H5683"/>
    <mergeCell ref="I5683:K5683"/>
    <mergeCell ref="A5684:K5684"/>
    <mergeCell ref="A5685:E5685"/>
    <mergeCell ref="F5685:H5685"/>
    <mergeCell ref="I5685:K5685"/>
    <mergeCell ref="A5686:E5686"/>
    <mergeCell ref="F5686:H5686"/>
    <mergeCell ref="I5686:K5686"/>
    <mergeCell ref="A5687:E5687"/>
    <mergeCell ref="F5687:H5687"/>
    <mergeCell ref="I5687:K5687"/>
    <mergeCell ref="A5688:E5688"/>
    <mergeCell ref="F5688:H5688"/>
    <mergeCell ref="I5688:K5688"/>
    <mergeCell ref="A5689:E5689"/>
    <mergeCell ref="F5689:H5689"/>
    <mergeCell ref="I5689:K5689"/>
    <mergeCell ref="A5690:E5690"/>
    <mergeCell ref="F5690:H5690"/>
    <mergeCell ref="I5690:K5690"/>
    <mergeCell ref="A5691:E5691"/>
    <mergeCell ref="F5691:H5691"/>
    <mergeCell ref="I5691:K5691"/>
    <mergeCell ref="A5692:E5692"/>
    <mergeCell ref="F5692:H5692"/>
    <mergeCell ref="I5692:K5692"/>
    <mergeCell ref="A5693:E5693"/>
    <mergeCell ref="F5693:H5693"/>
    <mergeCell ref="I5693:K5693"/>
    <mergeCell ref="A5694:E5694"/>
    <mergeCell ref="F5694:H5694"/>
    <mergeCell ref="I5694:K5694"/>
    <mergeCell ref="A5695:E5695"/>
    <mergeCell ref="F5695:H5695"/>
    <mergeCell ref="I5695:K5695"/>
    <mergeCell ref="A5696:E5696"/>
    <mergeCell ref="F5696:H5696"/>
    <mergeCell ref="I5696:K5696"/>
    <mergeCell ref="A5697:E5697"/>
    <mergeCell ref="F5697:H5697"/>
    <mergeCell ref="I5697:K5697"/>
    <mergeCell ref="A5698:E5698"/>
    <mergeCell ref="F5698:H5698"/>
    <mergeCell ref="I5698:K5698"/>
    <mergeCell ref="A5699:E5699"/>
    <mergeCell ref="F5699:H5699"/>
    <mergeCell ref="I5699:K5699"/>
    <mergeCell ref="A5700:E5700"/>
    <mergeCell ref="F5700:H5700"/>
    <mergeCell ref="I5700:K5700"/>
    <mergeCell ref="A5701:E5701"/>
    <mergeCell ref="F5701:H5701"/>
    <mergeCell ref="I5701:K5701"/>
    <mergeCell ref="A5702:E5702"/>
    <mergeCell ref="F5702:H5702"/>
    <mergeCell ref="I5702:K5702"/>
    <mergeCell ref="A5703:E5703"/>
    <mergeCell ref="F5703:H5703"/>
    <mergeCell ref="I5703:K5703"/>
    <mergeCell ref="A5704:E5704"/>
    <mergeCell ref="F5704:H5704"/>
    <mergeCell ref="I5704:K5704"/>
    <mergeCell ref="A5705:E5705"/>
    <mergeCell ref="F5705:H5705"/>
    <mergeCell ref="I5705:K5705"/>
    <mergeCell ref="A5706:E5706"/>
    <mergeCell ref="F5706:H5706"/>
    <mergeCell ref="I5706:K5706"/>
    <mergeCell ref="A5707:E5707"/>
    <mergeCell ref="F5707:H5707"/>
    <mergeCell ref="I5707:K5707"/>
    <mergeCell ref="A5708:E5708"/>
    <mergeCell ref="F5708:H5708"/>
    <mergeCell ref="I5708:K5708"/>
    <mergeCell ref="A5709:E5709"/>
    <mergeCell ref="F5709:H5709"/>
    <mergeCell ref="I5709:K5709"/>
    <mergeCell ref="A5710:E5710"/>
    <mergeCell ref="F5710:H5710"/>
    <mergeCell ref="I5710:K5710"/>
    <mergeCell ref="A5711:E5711"/>
    <mergeCell ref="F5711:H5711"/>
    <mergeCell ref="I5711:K5711"/>
    <mergeCell ref="A5712:E5712"/>
    <mergeCell ref="F5712:H5712"/>
    <mergeCell ref="I5712:K5712"/>
    <mergeCell ref="A5713:E5713"/>
    <mergeCell ref="F5713:H5713"/>
    <mergeCell ref="I5713:K5713"/>
    <mergeCell ref="A5714:E5714"/>
    <mergeCell ref="F5714:H5714"/>
    <mergeCell ref="I5714:K5714"/>
    <mergeCell ref="A5715:E5715"/>
    <mergeCell ref="F5715:H5715"/>
    <mergeCell ref="I5715:K5715"/>
    <mergeCell ref="A5716:E5716"/>
    <mergeCell ref="F5716:H5716"/>
    <mergeCell ref="I5716:K5716"/>
    <mergeCell ref="A5717:E5717"/>
    <mergeCell ref="F5717:H5717"/>
    <mergeCell ref="I5717:K5717"/>
    <mergeCell ref="A5718:E5718"/>
    <mergeCell ref="F5718:H5718"/>
    <mergeCell ref="I5718:K5718"/>
    <mergeCell ref="A5719:E5719"/>
    <mergeCell ref="F5719:H5719"/>
    <mergeCell ref="I5719:K5719"/>
    <mergeCell ref="A5720:E5720"/>
    <mergeCell ref="F5720:H5720"/>
    <mergeCell ref="I5720:K5720"/>
    <mergeCell ref="A5721:E5721"/>
    <mergeCell ref="F5721:H5721"/>
    <mergeCell ref="I5721:K5721"/>
    <mergeCell ref="A5722:E5722"/>
    <mergeCell ref="F5722:H5722"/>
    <mergeCell ref="I5722:K5722"/>
    <mergeCell ref="A5723:E5723"/>
    <mergeCell ref="F5723:H5723"/>
    <mergeCell ref="I5723:K5723"/>
    <mergeCell ref="A5724:E5724"/>
    <mergeCell ref="F5724:H5724"/>
    <mergeCell ref="I5724:K5724"/>
    <mergeCell ref="A5725:E5725"/>
    <mergeCell ref="F5725:H5725"/>
    <mergeCell ref="I5725:K5725"/>
    <mergeCell ref="A5726:E5726"/>
    <mergeCell ref="F5726:H5726"/>
    <mergeCell ref="I5726:K5726"/>
    <mergeCell ref="A5727:E5727"/>
    <mergeCell ref="F5727:H5727"/>
    <mergeCell ref="I5727:K5727"/>
    <mergeCell ref="A5728:E5728"/>
    <mergeCell ref="F5728:H5728"/>
    <mergeCell ref="I5728:K5728"/>
    <mergeCell ref="A5729:E5729"/>
    <mergeCell ref="F5729:H5729"/>
    <mergeCell ref="I5729:K5729"/>
    <mergeCell ref="A5730:E5730"/>
    <mergeCell ref="F5730:H5730"/>
    <mergeCell ref="I5730:K5730"/>
    <mergeCell ref="A5731:E5731"/>
    <mergeCell ref="F5731:H5731"/>
    <mergeCell ref="I5731:K5731"/>
    <mergeCell ref="A5732:E5732"/>
    <mergeCell ref="F5732:H5732"/>
    <mergeCell ref="I5732:K5732"/>
    <mergeCell ref="A5733:E5733"/>
    <mergeCell ref="F5733:H5733"/>
    <mergeCell ref="I5733:K5733"/>
    <mergeCell ref="A5734:E5734"/>
    <mergeCell ref="F5734:H5734"/>
    <mergeCell ref="I5734:K5734"/>
    <mergeCell ref="A5735:E5735"/>
    <mergeCell ref="F5735:H5735"/>
    <mergeCell ref="I5735:K57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48"/>
  <sheetViews>
    <sheetView workbookViewId="0">
      <selection sqref="A1:XFD1048576"/>
    </sheetView>
  </sheetViews>
  <sheetFormatPr defaultRowHeight="14.25" x14ac:dyDescent="0.2"/>
  <cols>
    <col min="1" max="1" width="33.5" style="79" customWidth="1"/>
    <col min="2" max="2" width="68.83203125" style="79" customWidth="1"/>
    <col min="3" max="3" width="17.5" style="79" customWidth="1"/>
    <col min="4" max="4" width="13" style="79" customWidth="1"/>
    <col min="5" max="5" width="15.83203125" style="79" customWidth="1"/>
    <col min="6" max="6" width="23.33203125" style="79" customWidth="1"/>
    <col min="7" max="7" width="10.5" style="79" bestFit="1" customWidth="1"/>
    <col min="8" max="8" width="24" style="80" bestFit="1" customWidth="1"/>
    <col min="9" max="16384" width="9.33203125" style="79"/>
  </cols>
  <sheetData>
    <row r="1" spans="1:8" x14ac:dyDescent="0.2">
      <c r="A1" s="77" t="s">
        <v>7301</v>
      </c>
      <c r="B1" s="77" t="s">
        <v>7302</v>
      </c>
      <c r="C1" s="77" t="s">
        <v>7303</v>
      </c>
      <c r="D1" s="77" t="s">
        <v>7304</v>
      </c>
      <c r="E1" s="77" t="s">
        <v>7305</v>
      </c>
      <c r="F1" s="77" t="s">
        <v>7306</v>
      </c>
      <c r="G1" s="77" t="s">
        <v>7307</v>
      </c>
      <c r="H1" s="78" t="s">
        <v>7308</v>
      </c>
    </row>
    <row r="2" spans="1:8" x14ac:dyDescent="0.2">
      <c r="A2" s="79" t="s">
        <v>7309</v>
      </c>
      <c r="B2" s="79" t="s">
        <v>7310</v>
      </c>
      <c r="C2" s="79" t="s">
        <v>7311</v>
      </c>
      <c r="D2" s="79" t="s">
        <v>7312</v>
      </c>
      <c r="E2" s="79">
        <v>2400</v>
      </c>
      <c r="G2" s="79" t="s">
        <v>7313</v>
      </c>
      <c r="H2" s="80">
        <v>3245502</v>
      </c>
    </row>
    <row r="3" spans="1:8" x14ac:dyDescent="0.2">
      <c r="A3" s="79" t="s">
        <v>7309</v>
      </c>
      <c r="B3" s="79" t="s">
        <v>7314</v>
      </c>
      <c r="C3" s="79" t="s">
        <v>7311</v>
      </c>
      <c r="D3" s="79" t="s">
        <v>7312</v>
      </c>
      <c r="E3" s="79">
        <v>2400</v>
      </c>
      <c r="G3" s="79" t="s">
        <v>7313</v>
      </c>
      <c r="H3" s="80">
        <v>3587219</v>
      </c>
    </row>
    <row r="4" spans="1:8" x14ac:dyDescent="0.2">
      <c r="A4" s="79" t="s">
        <v>7309</v>
      </c>
      <c r="B4" s="79" t="s">
        <v>7315</v>
      </c>
      <c r="C4" s="79" t="s">
        <v>7311</v>
      </c>
      <c r="D4" s="79" t="s">
        <v>7312</v>
      </c>
      <c r="E4" s="79">
        <v>3800</v>
      </c>
      <c r="G4" s="79" t="s">
        <v>7313</v>
      </c>
      <c r="H4" s="80">
        <v>4573519</v>
      </c>
    </row>
    <row r="5" spans="1:8" x14ac:dyDescent="0.2">
      <c r="A5" s="79" t="s">
        <v>7309</v>
      </c>
      <c r="B5" s="79" t="s">
        <v>7316</v>
      </c>
      <c r="C5" s="79" t="s">
        <v>7311</v>
      </c>
      <c r="D5" s="79" t="s">
        <v>7312</v>
      </c>
      <c r="E5" s="79">
        <v>3800</v>
      </c>
      <c r="G5" s="79" t="s">
        <v>7313</v>
      </c>
      <c r="H5" s="80">
        <v>5030432</v>
      </c>
    </row>
    <row r="6" spans="1:8" x14ac:dyDescent="0.2">
      <c r="A6" s="79" t="s">
        <v>7309</v>
      </c>
      <c r="B6" s="79" t="s">
        <v>7317</v>
      </c>
      <c r="C6" s="79" t="s">
        <v>7311</v>
      </c>
      <c r="D6" s="79" t="s">
        <v>7312</v>
      </c>
      <c r="E6" s="79">
        <v>3800</v>
      </c>
      <c r="G6" s="79" t="s">
        <v>7313</v>
      </c>
      <c r="H6" s="80">
        <v>5739525</v>
      </c>
    </row>
    <row r="7" spans="1:8" x14ac:dyDescent="0.2">
      <c r="A7" s="79" t="s">
        <v>7309</v>
      </c>
      <c r="B7" s="79" t="s">
        <v>7318</v>
      </c>
      <c r="C7" s="79" t="s">
        <v>7311</v>
      </c>
      <c r="D7" s="79" t="s">
        <v>7312</v>
      </c>
      <c r="E7" s="79">
        <v>3800</v>
      </c>
      <c r="G7" s="79" t="s">
        <v>7313</v>
      </c>
      <c r="H7" s="80">
        <v>5757099</v>
      </c>
    </row>
    <row r="8" spans="1:8" x14ac:dyDescent="0.2">
      <c r="A8" s="79" t="s">
        <v>7309</v>
      </c>
      <c r="B8" s="79" t="s">
        <v>7319</v>
      </c>
      <c r="C8" s="79" t="s">
        <v>7320</v>
      </c>
      <c r="D8" s="79" t="s">
        <v>7312</v>
      </c>
      <c r="E8" s="79">
        <v>2400</v>
      </c>
      <c r="G8" s="79" t="s">
        <v>7313</v>
      </c>
      <c r="H8" s="80">
        <v>4517479</v>
      </c>
    </row>
    <row r="9" spans="1:8" x14ac:dyDescent="0.2">
      <c r="A9" s="79" t="s">
        <v>7309</v>
      </c>
      <c r="B9" s="79" t="s">
        <v>7321</v>
      </c>
      <c r="C9" s="79" t="s">
        <v>7320</v>
      </c>
      <c r="D9" s="79" t="s">
        <v>7312</v>
      </c>
      <c r="E9" s="79">
        <v>2700</v>
      </c>
      <c r="G9" s="79" t="s">
        <v>7313</v>
      </c>
      <c r="H9" s="80">
        <v>5133237</v>
      </c>
    </row>
    <row r="10" spans="1:8" x14ac:dyDescent="0.2">
      <c r="A10" s="79" t="s">
        <v>7309</v>
      </c>
      <c r="B10" s="79" t="s">
        <v>7322</v>
      </c>
      <c r="C10" s="79" t="s">
        <v>7320</v>
      </c>
      <c r="D10" s="79" t="s">
        <v>7312</v>
      </c>
      <c r="E10" s="79">
        <v>3500</v>
      </c>
      <c r="G10" s="79" t="s">
        <v>7313</v>
      </c>
      <c r="H10" s="80">
        <v>5748311</v>
      </c>
    </row>
    <row r="11" spans="1:8" x14ac:dyDescent="0.2">
      <c r="A11" s="79" t="s">
        <v>7309</v>
      </c>
      <c r="B11" s="79" t="s">
        <v>7323</v>
      </c>
      <c r="C11" s="79" t="s">
        <v>7320</v>
      </c>
      <c r="D11" s="79" t="s">
        <v>7312</v>
      </c>
      <c r="E11" s="79">
        <v>2400</v>
      </c>
      <c r="G11" s="79" t="s">
        <v>7313</v>
      </c>
      <c r="H11" s="80">
        <v>3446098</v>
      </c>
    </row>
    <row r="12" spans="1:8" x14ac:dyDescent="0.2">
      <c r="A12" s="79" t="s">
        <v>7309</v>
      </c>
      <c r="B12" s="79" t="s">
        <v>7324</v>
      </c>
      <c r="C12" s="79" t="s">
        <v>7311</v>
      </c>
      <c r="D12" s="79" t="s">
        <v>7312</v>
      </c>
      <c r="E12" s="79">
        <v>2400</v>
      </c>
      <c r="G12" s="79" t="s">
        <v>7313</v>
      </c>
      <c r="H12" s="80">
        <v>3851917</v>
      </c>
    </row>
    <row r="13" spans="1:8" x14ac:dyDescent="0.2">
      <c r="A13" s="79" t="s">
        <v>7309</v>
      </c>
      <c r="B13" s="79">
        <v>200</v>
      </c>
      <c r="C13" s="79" t="s">
        <v>7311</v>
      </c>
      <c r="D13" s="79" t="s">
        <v>7312</v>
      </c>
      <c r="E13" s="79">
        <v>2700</v>
      </c>
      <c r="G13" s="79" t="s">
        <v>7313</v>
      </c>
      <c r="H13" s="80">
        <v>3382031</v>
      </c>
    </row>
    <row r="14" spans="1:8" x14ac:dyDescent="0.2">
      <c r="A14" s="79" t="s">
        <v>7325</v>
      </c>
      <c r="B14" s="79" t="s">
        <v>7326</v>
      </c>
      <c r="C14" s="79" t="s">
        <v>7327</v>
      </c>
      <c r="D14" s="79" t="s">
        <v>7328</v>
      </c>
      <c r="E14" s="79">
        <v>2200</v>
      </c>
      <c r="G14" s="79" t="s">
        <v>7329</v>
      </c>
      <c r="H14" s="80">
        <v>4500000</v>
      </c>
    </row>
    <row r="15" spans="1:8" x14ac:dyDescent="0.2">
      <c r="A15" s="79" t="s">
        <v>7325</v>
      </c>
      <c r="B15" s="79" t="s">
        <v>7330</v>
      </c>
      <c r="C15" s="79" t="s">
        <v>7327</v>
      </c>
      <c r="D15" s="79" t="s">
        <v>7312</v>
      </c>
      <c r="E15" s="79">
        <v>1400</v>
      </c>
      <c r="G15" s="79" t="s">
        <v>7329</v>
      </c>
      <c r="H15" s="80">
        <v>1611000</v>
      </c>
    </row>
    <row r="16" spans="1:8" x14ac:dyDescent="0.2">
      <c r="A16" s="79" t="s">
        <v>7325</v>
      </c>
      <c r="B16" s="79" t="s">
        <v>7331</v>
      </c>
      <c r="C16" s="79" t="s">
        <v>7311</v>
      </c>
      <c r="D16" s="79" t="s">
        <v>7312</v>
      </c>
      <c r="E16" s="79">
        <v>1600</v>
      </c>
      <c r="G16" s="79" t="s">
        <v>7329</v>
      </c>
      <c r="H16" s="80">
        <v>1962000</v>
      </c>
    </row>
    <row r="17" spans="1:8" x14ac:dyDescent="0.2">
      <c r="A17" s="79" t="s">
        <v>7325</v>
      </c>
      <c r="B17" s="79" t="s">
        <v>7332</v>
      </c>
      <c r="C17" s="79" t="s">
        <v>7311</v>
      </c>
      <c r="D17" s="79" t="s">
        <v>7312</v>
      </c>
      <c r="E17" s="79">
        <v>1800</v>
      </c>
      <c r="G17" s="79" t="s">
        <v>7329</v>
      </c>
      <c r="H17" s="80">
        <v>2421000</v>
      </c>
    </row>
    <row r="18" spans="1:8" x14ac:dyDescent="0.2">
      <c r="A18" s="79" t="s">
        <v>7333</v>
      </c>
      <c r="B18" s="79" t="s">
        <v>7334</v>
      </c>
      <c r="C18" s="79" t="s">
        <v>7335</v>
      </c>
      <c r="D18" s="79" t="s">
        <v>7312</v>
      </c>
      <c r="E18" s="79">
        <v>1500</v>
      </c>
      <c r="F18" s="79" t="s">
        <v>7336</v>
      </c>
      <c r="G18" s="79" t="s">
        <v>7329</v>
      </c>
      <c r="H18" s="80">
        <v>2948392</v>
      </c>
    </row>
    <row r="19" spans="1:8" x14ac:dyDescent="0.2">
      <c r="A19" s="79" t="s">
        <v>7337</v>
      </c>
      <c r="B19" s="79" t="s">
        <v>7338</v>
      </c>
      <c r="C19" s="79" t="s">
        <v>7335</v>
      </c>
      <c r="D19" s="79" t="s">
        <v>7312</v>
      </c>
      <c r="E19" s="79">
        <v>1500</v>
      </c>
      <c r="G19" s="79" t="s">
        <v>7313</v>
      </c>
      <c r="H19" s="80">
        <v>3218000</v>
      </c>
    </row>
    <row r="20" spans="1:8" x14ac:dyDescent="0.2">
      <c r="A20" s="79" t="s">
        <v>7337</v>
      </c>
      <c r="B20" s="79" t="s">
        <v>7338</v>
      </c>
      <c r="C20" s="79" t="s">
        <v>7335</v>
      </c>
      <c r="D20" s="79" t="s">
        <v>7312</v>
      </c>
      <c r="E20" s="79">
        <v>1500</v>
      </c>
      <c r="G20" s="79" t="s">
        <v>7329</v>
      </c>
      <c r="H20" s="80">
        <v>3018000</v>
      </c>
    </row>
    <row r="21" spans="1:8" x14ac:dyDescent="0.2">
      <c r="A21" s="79" t="s">
        <v>7337</v>
      </c>
      <c r="B21" s="79" t="s">
        <v>7339</v>
      </c>
      <c r="C21" s="79" t="s">
        <v>7340</v>
      </c>
      <c r="D21" s="79" t="s">
        <v>7312</v>
      </c>
      <c r="E21" s="79">
        <v>1000</v>
      </c>
      <c r="G21" s="79" t="s">
        <v>7329</v>
      </c>
      <c r="H21" s="80">
        <v>1408037</v>
      </c>
    </row>
    <row r="22" spans="1:8" x14ac:dyDescent="0.2">
      <c r="A22" s="79" t="s">
        <v>7337</v>
      </c>
      <c r="B22" s="79" t="s">
        <v>7341</v>
      </c>
      <c r="C22" s="79" t="s">
        <v>7335</v>
      </c>
      <c r="D22" s="79" t="s">
        <v>7312</v>
      </c>
      <c r="E22" s="79">
        <v>1500</v>
      </c>
      <c r="G22" s="79" t="s">
        <v>7329</v>
      </c>
      <c r="H22" s="80">
        <v>2119616</v>
      </c>
    </row>
    <row r="23" spans="1:8" x14ac:dyDescent="0.2">
      <c r="A23" s="79" t="s">
        <v>7337</v>
      </c>
      <c r="B23" s="79" t="s">
        <v>7342</v>
      </c>
      <c r="C23" s="79" t="s">
        <v>7340</v>
      </c>
      <c r="D23" s="79" t="s">
        <v>7312</v>
      </c>
      <c r="E23" s="79">
        <v>660</v>
      </c>
      <c r="G23" s="79" t="s">
        <v>7329</v>
      </c>
      <c r="H23" s="80">
        <v>1474046</v>
      </c>
    </row>
    <row r="24" spans="1:8" x14ac:dyDescent="0.2">
      <c r="A24" s="79" t="s">
        <v>7337</v>
      </c>
      <c r="B24" s="79" t="s">
        <v>7342</v>
      </c>
      <c r="C24" s="79" t="s">
        <v>7340</v>
      </c>
      <c r="D24" s="79" t="s">
        <v>7312</v>
      </c>
      <c r="E24" s="79">
        <v>660</v>
      </c>
      <c r="G24" s="79" t="s">
        <v>7313</v>
      </c>
      <c r="H24" s="80">
        <v>1673645</v>
      </c>
    </row>
    <row r="25" spans="1:8" x14ac:dyDescent="0.2">
      <c r="A25" s="79" t="s">
        <v>7337</v>
      </c>
      <c r="B25" s="79" t="s">
        <v>7343</v>
      </c>
      <c r="C25" s="79" t="s">
        <v>7340</v>
      </c>
      <c r="D25" s="79" t="s">
        <v>7312</v>
      </c>
      <c r="E25" s="79">
        <v>650</v>
      </c>
      <c r="G25" s="79" t="s">
        <v>7329</v>
      </c>
      <c r="H25" s="80">
        <v>1537967</v>
      </c>
    </row>
    <row r="26" spans="1:8" x14ac:dyDescent="0.2">
      <c r="A26" s="79" t="s">
        <v>7337</v>
      </c>
      <c r="B26" s="79" t="s">
        <v>7344</v>
      </c>
      <c r="C26" s="79" t="s">
        <v>7327</v>
      </c>
      <c r="D26" s="79" t="s">
        <v>7312</v>
      </c>
      <c r="E26" s="79">
        <v>650</v>
      </c>
      <c r="G26" s="79" t="s">
        <v>7329</v>
      </c>
      <c r="H26" s="80">
        <v>1757980</v>
      </c>
    </row>
    <row r="27" spans="1:8" x14ac:dyDescent="0.2">
      <c r="A27" s="79" t="s">
        <v>7337</v>
      </c>
      <c r="B27" s="79" t="s">
        <v>7345</v>
      </c>
      <c r="C27" s="79" t="s">
        <v>7335</v>
      </c>
      <c r="D27" s="79" t="s">
        <v>7312</v>
      </c>
      <c r="E27" s="79">
        <v>1500</v>
      </c>
      <c r="F27" s="79" t="s">
        <v>7336</v>
      </c>
      <c r="G27" s="79" t="s">
        <v>7313</v>
      </c>
      <c r="H27" s="80">
        <v>3500000</v>
      </c>
    </row>
    <row r="28" spans="1:8" x14ac:dyDescent="0.2">
      <c r="A28" s="79" t="s">
        <v>7337</v>
      </c>
      <c r="B28" s="79" t="s">
        <v>7346</v>
      </c>
      <c r="C28" s="79" t="s">
        <v>7335</v>
      </c>
      <c r="D28" s="79" t="s">
        <v>7312</v>
      </c>
      <c r="E28" s="79">
        <v>1500</v>
      </c>
      <c r="F28" s="79" t="s">
        <v>7336</v>
      </c>
      <c r="G28" s="79" t="s">
        <v>7313</v>
      </c>
      <c r="H28" s="80">
        <v>3390000</v>
      </c>
    </row>
    <row r="29" spans="1:8" x14ac:dyDescent="0.2">
      <c r="A29" s="79" t="s">
        <v>7337</v>
      </c>
      <c r="B29" s="79" t="s">
        <v>7347</v>
      </c>
      <c r="C29" s="79" t="s">
        <v>7335</v>
      </c>
      <c r="D29" s="79" t="s">
        <v>7312</v>
      </c>
      <c r="E29" s="79">
        <v>1500</v>
      </c>
      <c r="F29" s="79" t="s">
        <v>7336</v>
      </c>
      <c r="G29" s="79" t="s">
        <v>7313</v>
      </c>
      <c r="H29" s="80">
        <v>3650000</v>
      </c>
    </row>
    <row r="30" spans="1:8" x14ac:dyDescent="0.2">
      <c r="A30" s="79" t="s">
        <v>7337</v>
      </c>
      <c r="B30" s="79" t="s">
        <v>7348</v>
      </c>
      <c r="C30" s="79" t="s">
        <v>7335</v>
      </c>
      <c r="D30" s="79" t="s">
        <v>7312</v>
      </c>
      <c r="E30" s="79">
        <v>1500</v>
      </c>
      <c r="F30" s="79" t="s">
        <v>7349</v>
      </c>
      <c r="G30" s="79" t="s">
        <v>7313</v>
      </c>
      <c r="H30" s="80">
        <v>3700000</v>
      </c>
    </row>
    <row r="31" spans="1:8" x14ac:dyDescent="0.2">
      <c r="A31" s="79" t="s">
        <v>7337</v>
      </c>
      <c r="B31" s="79" t="s">
        <v>7350</v>
      </c>
      <c r="C31" s="79" t="s">
        <v>7335</v>
      </c>
      <c r="D31" s="79" t="s">
        <v>7312</v>
      </c>
      <c r="E31" s="79">
        <v>1290</v>
      </c>
      <c r="G31" s="79" t="s">
        <v>7313</v>
      </c>
      <c r="H31" s="80">
        <v>1560300</v>
      </c>
    </row>
    <row r="32" spans="1:8" x14ac:dyDescent="0.2">
      <c r="A32" s="79" t="s">
        <v>7337</v>
      </c>
      <c r="B32" s="79" t="s">
        <v>7351</v>
      </c>
      <c r="C32" s="79" t="s">
        <v>7335</v>
      </c>
      <c r="D32" s="79" t="s">
        <v>7328</v>
      </c>
      <c r="E32" s="79">
        <v>2800</v>
      </c>
      <c r="G32" s="79" t="s">
        <v>7313</v>
      </c>
      <c r="H32" s="80">
        <v>7482683</v>
      </c>
    </row>
    <row r="33" spans="1:8" x14ac:dyDescent="0.2">
      <c r="A33" s="79" t="s">
        <v>7337</v>
      </c>
      <c r="B33" s="79" t="s">
        <v>7352</v>
      </c>
      <c r="C33" s="79" t="s">
        <v>7335</v>
      </c>
      <c r="D33" s="79" t="s">
        <v>7328</v>
      </c>
      <c r="E33" s="79">
        <v>1600</v>
      </c>
      <c r="G33" s="79" t="s">
        <v>7313</v>
      </c>
      <c r="H33" s="80">
        <v>2089846</v>
      </c>
    </row>
    <row r="34" spans="1:8" x14ac:dyDescent="0.2">
      <c r="A34" s="79" t="s">
        <v>7353</v>
      </c>
      <c r="B34" s="79" t="s">
        <v>7354</v>
      </c>
      <c r="C34" s="79" t="s">
        <v>7311</v>
      </c>
      <c r="D34" s="79" t="s">
        <v>7312</v>
      </c>
      <c r="E34" s="79">
        <v>1500</v>
      </c>
      <c r="G34" s="79" t="s">
        <v>7329</v>
      </c>
      <c r="H34" s="80">
        <v>855000</v>
      </c>
    </row>
    <row r="35" spans="1:8" x14ac:dyDescent="0.2">
      <c r="A35" s="79" t="s">
        <v>7353</v>
      </c>
      <c r="B35" s="79" t="s">
        <v>7355</v>
      </c>
      <c r="C35" s="79" t="s">
        <v>7311</v>
      </c>
      <c r="D35" s="79" t="s">
        <v>7312</v>
      </c>
      <c r="E35" s="79">
        <v>1500</v>
      </c>
      <c r="G35" s="79" t="s">
        <v>7329</v>
      </c>
      <c r="H35" s="80">
        <v>1152000</v>
      </c>
    </row>
    <row r="36" spans="1:8" x14ac:dyDescent="0.2">
      <c r="A36" s="79" t="s">
        <v>7353</v>
      </c>
      <c r="B36" s="79" t="s">
        <v>7356</v>
      </c>
      <c r="C36" s="79" t="s">
        <v>7311</v>
      </c>
      <c r="D36" s="79" t="s">
        <v>7312</v>
      </c>
      <c r="E36" s="79">
        <v>1500</v>
      </c>
      <c r="G36" s="79" t="s">
        <v>7329</v>
      </c>
      <c r="H36" s="80">
        <v>697500</v>
      </c>
    </row>
    <row r="37" spans="1:8" x14ac:dyDescent="0.2">
      <c r="A37" s="79" t="s">
        <v>7353</v>
      </c>
      <c r="B37" s="79" t="s">
        <v>7357</v>
      </c>
      <c r="C37" s="79" t="s">
        <v>7311</v>
      </c>
      <c r="D37" s="79" t="s">
        <v>7312</v>
      </c>
      <c r="E37" s="79">
        <v>1500</v>
      </c>
      <c r="G37" s="79" t="s">
        <v>7329</v>
      </c>
      <c r="H37" s="80">
        <v>882000</v>
      </c>
    </row>
    <row r="38" spans="1:8" x14ac:dyDescent="0.2">
      <c r="A38" s="79" t="s">
        <v>7353</v>
      </c>
      <c r="B38" s="79" t="s">
        <v>7358</v>
      </c>
      <c r="C38" s="79" t="s">
        <v>7311</v>
      </c>
      <c r="D38" s="79" t="s">
        <v>7312</v>
      </c>
      <c r="E38" s="79">
        <v>1600</v>
      </c>
      <c r="G38" s="79" t="s">
        <v>7329</v>
      </c>
      <c r="H38" s="80">
        <v>1062000</v>
      </c>
    </row>
    <row r="39" spans="1:8" x14ac:dyDescent="0.2">
      <c r="A39" s="79" t="s">
        <v>7353</v>
      </c>
      <c r="B39" s="79" t="s">
        <v>7359</v>
      </c>
      <c r="C39" s="79" t="s">
        <v>7311</v>
      </c>
      <c r="D39" s="79" t="s">
        <v>7312</v>
      </c>
      <c r="E39" s="79">
        <v>1600</v>
      </c>
      <c r="G39" s="79" t="s">
        <v>7329</v>
      </c>
      <c r="H39" s="80">
        <v>1332000</v>
      </c>
    </row>
    <row r="40" spans="1:8" x14ac:dyDescent="0.2">
      <c r="A40" s="79" t="s">
        <v>7353</v>
      </c>
      <c r="B40" s="79" t="s">
        <v>7360</v>
      </c>
      <c r="C40" s="79" t="s">
        <v>7311</v>
      </c>
      <c r="D40" s="79" t="s">
        <v>7312</v>
      </c>
      <c r="E40" s="79">
        <v>1600</v>
      </c>
      <c r="G40" s="79" t="s">
        <v>7329</v>
      </c>
      <c r="H40" s="80">
        <v>1341000</v>
      </c>
    </row>
    <row r="41" spans="1:8" x14ac:dyDescent="0.2">
      <c r="A41" s="79" t="s">
        <v>7353</v>
      </c>
      <c r="B41" s="79" t="s">
        <v>7361</v>
      </c>
      <c r="C41" s="79" t="s">
        <v>7311</v>
      </c>
      <c r="D41" s="79" t="s">
        <v>7312</v>
      </c>
      <c r="E41" s="79">
        <v>1600</v>
      </c>
      <c r="G41" s="79" t="s">
        <v>7329</v>
      </c>
      <c r="H41" s="80">
        <v>1431000</v>
      </c>
    </row>
    <row r="42" spans="1:8" x14ac:dyDescent="0.2">
      <c r="A42" s="79" t="s">
        <v>7353</v>
      </c>
      <c r="B42" s="79" t="s">
        <v>7362</v>
      </c>
      <c r="C42" s="79" t="s">
        <v>7311</v>
      </c>
      <c r="D42" s="79" t="s">
        <v>7312</v>
      </c>
      <c r="E42" s="79">
        <v>1600</v>
      </c>
      <c r="G42" s="79" t="s">
        <v>7329</v>
      </c>
      <c r="H42" s="80">
        <v>1611000</v>
      </c>
    </row>
    <row r="43" spans="1:8" x14ac:dyDescent="0.2">
      <c r="A43" s="79" t="s">
        <v>7353</v>
      </c>
      <c r="B43" s="79" t="s">
        <v>7363</v>
      </c>
      <c r="C43" s="79" t="s">
        <v>7311</v>
      </c>
      <c r="D43" s="79" t="s">
        <v>7312</v>
      </c>
      <c r="E43" s="79">
        <v>2000</v>
      </c>
      <c r="G43" s="79" t="s">
        <v>7329</v>
      </c>
      <c r="H43" s="80">
        <v>2115000</v>
      </c>
    </row>
    <row r="44" spans="1:8" x14ac:dyDescent="0.2">
      <c r="A44" s="79" t="s">
        <v>7353</v>
      </c>
      <c r="B44" s="79" t="s">
        <v>7364</v>
      </c>
      <c r="C44" s="79" t="s">
        <v>7311</v>
      </c>
      <c r="D44" s="79" t="s">
        <v>7312</v>
      </c>
      <c r="E44" s="79">
        <v>2000</v>
      </c>
      <c r="G44" s="79" t="s">
        <v>7329</v>
      </c>
      <c r="H44" s="80">
        <v>2115000</v>
      </c>
    </row>
    <row r="45" spans="1:8" x14ac:dyDescent="0.2">
      <c r="A45" s="79" t="s">
        <v>7365</v>
      </c>
      <c r="B45" s="79" t="s">
        <v>7366</v>
      </c>
      <c r="C45" s="79" t="s">
        <v>7335</v>
      </c>
      <c r="D45" s="79" t="s">
        <v>7328</v>
      </c>
      <c r="E45" s="79">
        <v>2800</v>
      </c>
      <c r="G45" s="79" t="s">
        <v>7313</v>
      </c>
      <c r="H45" s="80">
        <v>4355278</v>
      </c>
    </row>
    <row r="46" spans="1:8" x14ac:dyDescent="0.2">
      <c r="A46" s="79" t="s">
        <v>7365</v>
      </c>
      <c r="B46" s="79" t="s">
        <v>7367</v>
      </c>
      <c r="C46" s="79" t="s">
        <v>7335</v>
      </c>
      <c r="D46" s="79" t="s">
        <v>7312</v>
      </c>
      <c r="E46" s="79">
        <v>2400</v>
      </c>
      <c r="G46" s="79" t="s">
        <v>7313</v>
      </c>
      <c r="H46" s="80">
        <v>5023065</v>
      </c>
    </row>
    <row r="47" spans="1:8" x14ac:dyDescent="0.2">
      <c r="A47" s="79" t="s">
        <v>7365</v>
      </c>
      <c r="B47" s="79" t="s">
        <v>7367</v>
      </c>
      <c r="C47" s="79" t="s">
        <v>7335</v>
      </c>
      <c r="D47" s="79" t="s">
        <v>7312</v>
      </c>
      <c r="E47" s="79">
        <v>3200</v>
      </c>
      <c r="G47" s="79" t="s">
        <v>7313</v>
      </c>
      <c r="H47" s="80">
        <v>6872904</v>
      </c>
    </row>
    <row r="48" spans="1:8" x14ac:dyDescent="0.2">
      <c r="A48" s="79" t="s">
        <v>7368</v>
      </c>
      <c r="B48" s="79" t="s">
        <v>7369</v>
      </c>
      <c r="C48" s="79" t="s">
        <v>7370</v>
      </c>
      <c r="D48" s="79" t="s">
        <v>7328</v>
      </c>
      <c r="E48" s="79">
        <v>3300</v>
      </c>
      <c r="G48" s="79" t="s">
        <v>7329</v>
      </c>
      <c r="H48" s="80">
        <v>2880000</v>
      </c>
    </row>
    <row r="49" spans="1:8" x14ac:dyDescent="0.2">
      <c r="A49" s="79" t="s">
        <v>7368</v>
      </c>
      <c r="B49" s="79" t="s">
        <v>7371</v>
      </c>
      <c r="C49" s="79" t="s">
        <v>7370</v>
      </c>
      <c r="D49" s="79" t="s">
        <v>7328</v>
      </c>
      <c r="E49" s="79">
        <v>3300</v>
      </c>
      <c r="G49" s="79" t="s">
        <v>7329</v>
      </c>
      <c r="H49" s="80">
        <v>2950000</v>
      </c>
    </row>
    <row r="50" spans="1:8" x14ac:dyDescent="0.2">
      <c r="A50" s="79" t="s">
        <v>7368</v>
      </c>
      <c r="B50" s="79" t="s">
        <v>7372</v>
      </c>
      <c r="C50" s="79" t="s">
        <v>7370</v>
      </c>
      <c r="D50" s="79" t="s">
        <v>7328</v>
      </c>
      <c r="E50" s="79">
        <v>3300</v>
      </c>
      <c r="G50" s="79" t="s">
        <v>7329</v>
      </c>
      <c r="H50" s="80">
        <v>3700000</v>
      </c>
    </row>
    <row r="51" spans="1:8" x14ac:dyDescent="0.2">
      <c r="A51" s="79" t="s">
        <v>7368</v>
      </c>
      <c r="B51" s="79" t="s">
        <v>7373</v>
      </c>
      <c r="C51" s="79" t="s">
        <v>7374</v>
      </c>
      <c r="D51" s="79" t="s">
        <v>7328</v>
      </c>
      <c r="E51" s="79" t="s">
        <v>7375</v>
      </c>
      <c r="G51" s="79" t="s">
        <v>7376</v>
      </c>
      <c r="H51" s="80">
        <v>7100000</v>
      </c>
    </row>
    <row r="52" spans="1:8" x14ac:dyDescent="0.2">
      <c r="A52" s="79" t="s">
        <v>7368</v>
      </c>
      <c r="B52" s="79" t="s">
        <v>7377</v>
      </c>
      <c r="C52" s="79" t="s">
        <v>7374</v>
      </c>
      <c r="D52" s="79" t="s">
        <v>7328</v>
      </c>
      <c r="G52" s="79" t="s">
        <v>7376</v>
      </c>
      <c r="H52" s="80">
        <v>5150000</v>
      </c>
    </row>
    <row r="53" spans="1:8" x14ac:dyDescent="0.2">
      <c r="A53" s="79" t="s">
        <v>7368</v>
      </c>
      <c r="B53" s="79" t="s">
        <v>7378</v>
      </c>
      <c r="C53" s="79" t="s">
        <v>7379</v>
      </c>
      <c r="D53" s="79" t="s">
        <v>7328</v>
      </c>
      <c r="G53" s="79" t="s">
        <v>7329</v>
      </c>
      <c r="H53" s="80">
        <v>3100000</v>
      </c>
    </row>
    <row r="54" spans="1:8" x14ac:dyDescent="0.2">
      <c r="A54" s="79" t="s">
        <v>7368</v>
      </c>
      <c r="B54" s="79" t="s">
        <v>7380</v>
      </c>
      <c r="C54" s="79" t="s">
        <v>7379</v>
      </c>
      <c r="D54" s="79" t="s">
        <v>7328</v>
      </c>
      <c r="G54" s="79" t="s">
        <v>7329</v>
      </c>
      <c r="H54" s="80">
        <v>2100000</v>
      </c>
    </row>
    <row r="55" spans="1:8" x14ac:dyDescent="0.2">
      <c r="A55" s="79" t="s">
        <v>7368</v>
      </c>
      <c r="B55" s="79" t="s">
        <v>7381</v>
      </c>
      <c r="C55" s="79" t="s">
        <v>7379</v>
      </c>
      <c r="D55" s="79" t="s">
        <v>7328</v>
      </c>
      <c r="G55" s="79" t="s">
        <v>7329</v>
      </c>
      <c r="H55" s="80">
        <v>3160000</v>
      </c>
    </row>
    <row r="56" spans="1:8" x14ac:dyDescent="0.2">
      <c r="A56" s="79" t="s">
        <v>7368</v>
      </c>
      <c r="B56" s="79" t="s">
        <v>7382</v>
      </c>
      <c r="C56" s="79" t="s">
        <v>7379</v>
      </c>
      <c r="D56" s="79" t="s">
        <v>7328</v>
      </c>
      <c r="G56" s="79" t="s">
        <v>7329</v>
      </c>
      <c r="H56" s="80">
        <v>3220000</v>
      </c>
    </row>
    <row r="57" spans="1:8" x14ac:dyDescent="0.2">
      <c r="A57" s="79" t="s">
        <v>7368</v>
      </c>
      <c r="B57" s="79" t="s">
        <v>7383</v>
      </c>
      <c r="C57" s="79" t="s">
        <v>7379</v>
      </c>
      <c r="D57" s="79" t="s">
        <v>7328</v>
      </c>
      <c r="G57" s="79" t="s">
        <v>7329</v>
      </c>
      <c r="H57" s="80">
        <v>2900000</v>
      </c>
    </row>
    <row r="58" spans="1:8" x14ac:dyDescent="0.2">
      <c r="A58" s="79" t="s">
        <v>7368</v>
      </c>
      <c r="B58" s="79" t="s">
        <v>7384</v>
      </c>
      <c r="C58" s="79" t="s">
        <v>7379</v>
      </c>
      <c r="D58" s="79" t="s">
        <v>7328</v>
      </c>
      <c r="G58" s="79" t="s">
        <v>7329</v>
      </c>
      <c r="H58" s="80">
        <v>4200000</v>
      </c>
    </row>
    <row r="59" spans="1:8" x14ac:dyDescent="0.2">
      <c r="A59" s="79" t="s">
        <v>7368</v>
      </c>
      <c r="B59" s="79" t="s">
        <v>7385</v>
      </c>
      <c r="C59" s="79" t="s">
        <v>7379</v>
      </c>
      <c r="D59" s="79" t="s">
        <v>7328</v>
      </c>
      <c r="G59" s="79" t="s">
        <v>7329</v>
      </c>
      <c r="H59" s="80">
        <v>4300000</v>
      </c>
    </row>
    <row r="60" spans="1:8" x14ac:dyDescent="0.2">
      <c r="A60" s="79" t="s">
        <v>7368</v>
      </c>
      <c r="B60" s="79" t="s">
        <v>7386</v>
      </c>
      <c r="C60" s="79" t="s">
        <v>7379</v>
      </c>
      <c r="D60" s="79" t="s">
        <v>7328</v>
      </c>
      <c r="G60" s="79" t="s">
        <v>7387</v>
      </c>
      <c r="H60" s="80">
        <v>3100000</v>
      </c>
    </row>
    <row r="61" spans="1:8" x14ac:dyDescent="0.2">
      <c r="A61" s="79" t="s">
        <v>7368</v>
      </c>
      <c r="B61" s="79" t="s">
        <v>7388</v>
      </c>
      <c r="C61" s="79" t="s">
        <v>7379</v>
      </c>
      <c r="D61" s="79" t="s">
        <v>7328</v>
      </c>
      <c r="G61" s="79" t="s">
        <v>7313</v>
      </c>
      <c r="H61" s="80">
        <v>4400000</v>
      </c>
    </row>
    <row r="62" spans="1:8" x14ac:dyDescent="0.2">
      <c r="A62" s="79" t="s">
        <v>7368</v>
      </c>
      <c r="B62" s="79" t="s">
        <v>7389</v>
      </c>
      <c r="C62" s="79" t="s">
        <v>7379</v>
      </c>
      <c r="D62" s="79" t="s">
        <v>7328</v>
      </c>
      <c r="G62" s="79" t="s">
        <v>7390</v>
      </c>
      <c r="H62" s="80">
        <v>4500000</v>
      </c>
    </row>
    <row r="63" spans="1:8" x14ac:dyDescent="0.2">
      <c r="A63" s="79" t="s">
        <v>7391</v>
      </c>
      <c r="B63" s="79" t="s">
        <v>7392</v>
      </c>
      <c r="C63" s="79" t="s">
        <v>7393</v>
      </c>
      <c r="G63" s="79" t="s">
        <v>7376</v>
      </c>
      <c r="H63" s="80">
        <v>6000000</v>
      </c>
    </row>
    <row r="64" spans="1:8" x14ac:dyDescent="0.2">
      <c r="A64" s="79" t="s">
        <v>7394</v>
      </c>
      <c r="B64" s="79">
        <v>147</v>
      </c>
      <c r="C64" s="79" t="s">
        <v>7311</v>
      </c>
      <c r="D64" s="79" t="s">
        <v>7312</v>
      </c>
      <c r="E64" s="79">
        <v>1600</v>
      </c>
      <c r="G64" s="79" t="s">
        <v>7329</v>
      </c>
      <c r="H64" s="80">
        <v>2350000</v>
      </c>
    </row>
    <row r="65" spans="1:8" x14ac:dyDescent="0.2">
      <c r="A65" s="79" t="s">
        <v>7394</v>
      </c>
      <c r="B65" s="79">
        <v>147</v>
      </c>
      <c r="C65" s="79" t="s">
        <v>7340</v>
      </c>
      <c r="D65" s="79" t="s">
        <v>7312</v>
      </c>
      <c r="E65" s="79">
        <v>2000</v>
      </c>
      <c r="G65" s="79" t="s">
        <v>7329</v>
      </c>
      <c r="H65" s="80">
        <v>2155963</v>
      </c>
    </row>
    <row r="66" spans="1:8" x14ac:dyDescent="0.2">
      <c r="A66" s="79" t="s">
        <v>7394</v>
      </c>
      <c r="B66" s="79" t="s">
        <v>7395</v>
      </c>
      <c r="C66" s="79" t="s">
        <v>7340</v>
      </c>
      <c r="D66" s="79" t="s">
        <v>7312</v>
      </c>
      <c r="E66" s="79">
        <v>1970</v>
      </c>
      <c r="G66" s="79" t="s">
        <v>7329</v>
      </c>
      <c r="H66" s="80">
        <v>2845569</v>
      </c>
    </row>
    <row r="67" spans="1:8" x14ac:dyDescent="0.2">
      <c r="A67" s="79" t="s">
        <v>7394</v>
      </c>
      <c r="B67" s="79" t="s">
        <v>7396</v>
      </c>
      <c r="C67" s="79" t="s">
        <v>7311</v>
      </c>
      <c r="D67" s="79" t="s">
        <v>7312</v>
      </c>
      <c r="E67" s="79">
        <v>1600</v>
      </c>
      <c r="G67" s="79" t="s">
        <v>7329</v>
      </c>
      <c r="H67" s="80">
        <v>2359800</v>
      </c>
    </row>
    <row r="68" spans="1:8" x14ac:dyDescent="0.2">
      <c r="A68" s="79" t="s">
        <v>7394</v>
      </c>
      <c r="B68" s="79" t="s">
        <v>7397</v>
      </c>
      <c r="C68" s="79" t="s">
        <v>7311</v>
      </c>
      <c r="D68" s="79" t="s">
        <v>7312</v>
      </c>
      <c r="E68" s="79">
        <v>2000</v>
      </c>
      <c r="G68" s="79" t="s">
        <v>7329</v>
      </c>
      <c r="H68" s="80">
        <v>3375000</v>
      </c>
    </row>
    <row r="69" spans="1:8" x14ac:dyDescent="0.2">
      <c r="A69" s="79" t="s">
        <v>7394</v>
      </c>
      <c r="B69" s="79" t="s">
        <v>7398</v>
      </c>
      <c r="C69" s="79" t="s">
        <v>7311</v>
      </c>
      <c r="D69" s="79" t="s">
        <v>7312</v>
      </c>
      <c r="E69" s="79">
        <v>2000</v>
      </c>
      <c r="G69" s="79" t="s">
        <v>7329</v>
      </c>
      <c r="H69" s="80">
        <v>3876300</v>
      </c>
    </row>
    <row r="70" spans="1:8" x14ac:dyDescent="0.2">
      <c r="A70" s="79" t="s">
        <v>7394</v>
      </c>
      <c r="B70" s="79" t="s">
        <v>7399</v>
      </c>
      <c r="C70" s="79" t="s">
        <v>7311</v>
      </c>
      <c r="D70" s="79" t="s">
        <v>7312</v>
      </c>
      <c r="E70" s="79">
        <v>2000</v>
      </c>
      <c r="G70" s="79" t="s">
        <v>7329</v>
      </c>
      <c r="H70" s="80">
        <v>4432500</v>
      </c>
    </row>
    <row r="71" spans="1:8" x14ac:dyDescent="0.2">
      <c r="A71" s="79" t="s">
        <v>7400</v>
      </c>
      <c r="B71" s="79" t="s">
        <v>7401</v>
      </c>
      <c r="C71" s="79" t="s">
        <v>7340</v>
      </c>
      <c r="D71" s="79" t="s">
        <v>7312</v>
      </c>
      <c r="E71" s="79">
        <v>1400</v>
      </c>
      <c r="G71" s="79" t="s">
        <v>7329</v>
      </c>
      <c r="H71" s="80">
        <v>3294000</v>
      </c>
    </row>
    <row r="72" spans="1:8" x14ac:dyDescent="0.2">
      <c r="A72" s="79" t="s">
        <v>7400</v>
      </c>
      <c r="B72" s="79" t="s">
        <v>7402</v>
      </c>
      <c r="C72" s="79" t="s">
        <v>7340</v>
      </c>
      <c r="D72" s="79" t="s">
        <v>7312</v>
      </c>
      <c r="E72" s="79">
        <v>1400</v>
      </c>
      <c r="G72" s="79" t="s">
        <v>7329</v>
      </c>
      <c r="H72" s="80">
        <v>3581000</v>
      </c>
    </row>
    <row r="73" spans="1:8" x14ac:dyDescent="0.2">
      <c r="A73" s="79" t="s">
        <v>7400</v>
      </c>
      <c r="B73" s="79" t="s">
        <v>7403</v>
      </c>
      <c r="C73" s="79" t="s">
        <v>7311</v>
      </c>
      <c r="D73" s="79" t="s">
        <v>7312</v>
      </c>
      <c r="E73" s="79">
        <v>1400</v>
      </c>
      <c r="G73" s="79" t="s">
        <v>7329</v>
      </c>
      <c r="H73" s="80">
        <v>4297200</v>
      </c>
    </row>
    <row r="74" spans="1:8" x14ac:dyDescent="0.2">
      <c r="A74" s="79" t="s">
        <v>7400</v>
      </c>
      <c r="B74" s="79" t="s">
        <v>7403</v>
      </c>
      <c r="C74" s="79" t="s">
        <v>7311</v>
      </c>
      <c r="D74" s="79" t="s">
        <v>7312</v>
      </c>
      <c r="E74" s="79">
        <v>1800</v>
      </c>
      <c r="G74" s="79" t="s">
        <v>7329</v>
      </c>
      <c r="H74" s="80">
        <v>5156640</v>
      </c>
    </row>
    <row r="75" spans="1:8" x14ac:dyDescent="0.2">
      <c r="A75" s="79" t="s">
        <v>7400</v>
      </c>
      <c r="B75" s="79" t="s">
        <v>7403</v>
      </c>
      <c r="C75" s="79" t="s">
        <v>7311</v>
      </c>
      <c r="D75" s="79" t="s">
        <v>7312</v>
      </c>
      <c r="E75" s="79">
        <v>1800</v>
      </c>
      <c r="G75" s="79" t="s">
        <v>7313</v>
      </c>
      <c r="H75" s="80">
        <v>6187968</v>
      </c>
    </row>
    <row r="76" spans="1:8" x14ac:dyDescent="0.2">
      <c r="A76" s="79" t="s">
        <v>7400</v>
      </c>
      <c r="B76" s="79" t="s">
        <v>7404</v>
      </c>
      <c r="C76" s="79" t="s">
        <v>7340</v>
      </c>
      <c r="D76" s="79" t="s">
        <v>7328</v>
      </c>
      <c r="E76" s="79">
        <v>1600</v>
      </c>
      <c r="G76" s="79" t="s">
        <v>7329</v>
      </c>
      <c r="H76" s="80">
        <v>4495173</v>
      </c>
    </row>
    <row r="77" spans="1:8" x14ac:dyDescent="0.2">
      <c r="A77" s="79" t="s">
        <v>7400</v>
      </c>
      <c r="B77" s="79" t="s">
        <v>7405</v>
      </c>
      <c r="C77" s="79" t="s">
        <v>7340</v>
      </c>
      <c r="D77" s="79" t="s">
        <v>7312</v>
      </c>
      <c r="E77" s="79">
        <v>1400</v>
      </c>
      <c r="G77" s="79" t="s">
        <v>7329</v>
      </c>
      <c r="H77" s="80">
        <v>4076000</v>
      </c>
    </row>
    <row r="78" spans="1:8" x14ac:dyDescent="0.2">
      <c r="A78" s="79" t="s">
        <v>7400</v>
      </c>
      <c r="B78" s="79" t="s">
        <v>7406</v>
      </c>
      <c r="C78" s="79" t="s">
        <v>7407</v>
      </c>
      <c r="D78" s="79" t="s">
        <v>7312</v>
      </c>
      <c r="E78" s="79">
        <v>1500</v>
      </c>
      <c r="G78" s="79" t="s">
        <v>7329</v>
      </c>
      <c r="H78" s="80">
        <v>6182966</v>
      </c>
    </row>
    <row r="79" spans="1:8" x14ac:dyDescent="0.2">
      <c r="A79" s="79" t="s">
        <v>7400</v>
      </c>
      <c r="B79" s="79" t="s">
        <v>7408</v>
      </c>
      <c r="C79" s="79" t="s">
        <v>7407</v>
      </c>
      <c r="D79" s="79" t="s">
        <v>7328</v>
      </c>
      <c r="E79" s="79">
        <v>2000</v>
      </c>
      <c r="G79" s="79" t="s">
        <v>7329</v>
      </c>
      <c r="H79" s="80">
        <v>6541633</v>
      </c>
    </row>
    <row r="80" spans="1:8" x14ac:dyDescent="0.2">
      <c r="A80" s="79" t="s">
        <v>7400</v>
      </c>
      <c r="B80" s="79" t="s">
        <v>7409</v>
      </c>
      <c r="C80" s="79" t="s">
        <v>7311</v>
      </c>
      <c r="D80" s="79" t="s">
        <v>7312</v>
      </c>
      <c r="E80" s="79">
        <v>1400</v>
      </c>
      <c r="G80" s="79" t="s">
        <v>7329</v>
      </c>
      <c r="H80" s="80">
        <v>6240000</v>
      </c>
    </row>
    <row r="81" spans="1:8" x14ac:dyDescent="0.2">
      <c r="A81" s="79" t="s">
        <v>7400</v>
      </c>
      <c r="B81" s="79" t="s">
        <v>7409</v>
      </c>
      <c r="C81" s="79" t="s">
        <v>7311</v>
      </c>
      <c r="D81" s="79" t="s">
        <v>7312</v>
      </c>
      <c r="E81" s="79">
        <v>2000</v>
      </c>
      <c r="G81" s="79" t="s">
        <v>7329</v>
      </c>
      <c r="H81" s="80">
        <v>7723235</v>
      </c>
    </row>
    <row r="82" spans="1:8" x14ac:dyDescent="0.2">
      <c r="A82" s="79" t="s">
        <v>7400</v>
      </c>
      <c r="B82" s="79" t="s">
        <v>7410</v>
      </c>
      <c r="C82" s="79" t="s">
        <v>7311</v>
      </c>
      <c r="D82" s="79" t="s">
        <v>7312</v>
      </c>
      <c r="E82" s="79">
        <v>2000</v>
      </c>
      <c r="G82" s="79" t="s">
        <v>7313</v>
      </c>
      <c r="H82" s="80">
        <v>8495559</v>
      </c>
    </row>
    <row r="83" spans="1:8" x14ac:dyDescent="0.2">
      <c r="A83" s="79" t="s">
        <v>7400</v>
      </c>
      <c r="B83" s="79" t="s">
        <v>7411</v>
      </c>
      <c r="C83" s="79" t="s">
        <v>7407</v>
      </c>
      <c r="D83" s="79" t="s">
        <v>7312</v>
      </c>
      <c r="E83" s="79">
        <v>1400</v>
      </c>
      <c r="G83" s="79" t="s">
        <v>7329</v>
      </c>
      <c r="H83" s="80">
        <v>6400000</v>
      </c>
    </row>
    <row r="84" spans="1:8" x14ac:dyDescent="0.2">
      <c r="A84" s="79" t="s">
        <v>7400</v>
      </c>
      <c r="B84" s="79" t="s">
        <v>7412</v>
      </c>
      <c r="C84" s="79" t="s">
        <v>7407</v>
      </c>
      <c r="D84" s="79" t="s">
        <v>7312</v>
      </c>
      <c r="E84" s="79">
        <v>1400</v>
      </c>
      <c r="G84" s="79" t="s">
        <v>7313</v>
      </c>
      <c r="H84" s="80">
        <v>7800000</v>
      </c>
    </row>
    <row r="85" spans="1:8" x14ac:dyDescent="0.2">
      <c r="A85" s="79" t="s">
        <v>7400</v>
      </c>
      <c r="B85" s="79" t="s">
        <v>7413</v>
      </c>
      <c r="C85" s="79" t="s">
        <v>7407</v>
      </c>
      <c r="D85" s="79" t="s">
        <v>7312</v>
      </c>
      <c r="E85" s="79">
        <v>2000</v>
      </c>
      <c r="G85" s="79" t="s">
        <v>7329</v>
      </c>
      <c r="H85" s="80">
        <v>7216000</v>
      </c>
    </row>
    <row r="86" spans="1:8" x14ac:dyDescent="0.2">
      <c r="A86" s="79" t="s">
        <v>7400</v>
      </c>
      <c r="B86" s="79" t="s">
        <v>7414</v>
      </c>
      <c r="C86" s="79" t="s">
        <v>7407</v>
      </c>
      <c r="D86" s="79" t="s">
        <v>7312</v>
      </c>
      <c r="E86" s="79">
        <v>2000</v>
      </c>
      <c r="G86" s="79" t="s">
        <v>7313</v>
      </c>
      <c r="H86" s="80">
        <v>7500000</v>
      </c>
    </row>
    <row r="87" spans="1:8" x14ac:dyDescent="0.2">
      <c r="A87" s="79" t="s">
        <v>7400</v>
      </c>
      <c r="B87" s="79" t="s">
        <v>7415</v>
      </c>
      <c r="C87" s="79" t="s">
        <v>7416</v>
      </c>
      <c r="D87" s="79" t="s">
        <v>7312</v>
      </c>
      <c r="E87" s="79">
        <v>2000</v>
      </c>
      <c r="G87" s="79" t="s">
        <v>7329</v>
      </c>
      <c r="H87" s="80">
        <v>8179811</v>
      </c>
    </row>
    <row r="88" spans="1:8" x14ac:dyDescent="0.2">
      <c r="A88" s="79" t="s">
        <v>7400</v>
      </c>
      <c r="B88" s="79" t="s">
        <v>7417</v>
      </c>
      <c r="C88" s="79" t="s">
        <v>7416</v>
      </c>
      <c r="D88" s="79" t="s">
        <v>7328</v>
      </c>
      <c r="E88" s="79">
        <v>2000</v>
      </c>
      <c r="G88" s="79" t="s">
        <v>7329</v>
      </c>
      <c r="H88" s="80">
        <v>8598927</v>
      </c>
    </row>
    <row r="89" spans="1:8" x14ac:dyDescent="0.2">
      <c r="A89" s="79" t="s">
        <v>7400</v>
      </c>
      <c r="B89" s="79" t="s">
        <v>7418</v>
      </c>
      <c r="C89" s="79" t="s">
        <v>7419</v>
      </c>
      <c r="D89" s="79" t="s">
        <v>7328</v>
      </c>
      <c r="E89" s="79">
        <v>2000</v>
      </c>
      <c r="G89" s="79" t="s">
        <v>7329</v>
      </c>
      <c r="H89" s="80">
        <v>7412897</v>
      </c>
    </row>
    <row r="90" spans="1:8" x14ac:dyDescent="0.2">
      <c r="A90" s="79" t="s">
        <v>7400</v>
      </c>
      <c r="B90" s="79" t="s">
        <v>7420</v>
      </c>
      <c r="C90" s="79" t="s">
        <v>7419</v>
      </c>
      <c r="D90" s="79" t="s">
        <v>7328</v>
      </c>
      <c r="E90" s="79">
        <v>2967</v>
      </c>
      <c r="G90" s="79" t="s">
        <v>7313</v>
      </c>
      <c r="H90" s="80">
        <v>11817000</v>
      </c>
    </row>
    <row r="91" spans="1:8" x14ac:dyDescent="0.2">
      <c r="A91" s="79" t="s">
        <v>7400</v>
      </c>
      <c r="B91" s="79" t="s">
        <v>7421</v>
      </c>
      <c r="C91" s="79" t="s">
        <v>7419</v>
      </c>
      <c r="D91" s="79" t="s">
        <v>7312</v>
      </c>
      <c r="E91" s="79">
        <v>2000</v>
      </c>
      <c r="G91" s="79" t="s">
        <v>7329</v>
      </c>
      <c r="H91" s="80">
        <v>9142000</v>
      </c>
    </row>
    <row r="92" spans="1:8" x14ac:dyDescent="0.2">
      <c r="A92" s="79" t="s">
        <v>7400</v>
      </c>
      <c r="B92" s="79" t="s">
        <v>7421</v>
      </c>
      <c r="C92" s="79" t="s">
        <v>7419</v>
      </c>
      <c r="D92" s="79" t="s">
        <v>7328</v>
      </c>
      <c r="E92" s="79">
        <v>3000</v>
      </c>
      <c r="G92" s="79" t="s">
        <v>7313</v>
      </c>
      <c r="H92" s="80">
        <v>10853000</v>
      </c>
    </row>
    <row r="93" spans="1:8" x14ac:dyDescent="0.2">
      <c r="A93" s="79" t="s">
        <v>7400</v>
      </c>
      <c r="B93" s="79" t="s">
        <v>7422</v>
      </c>
      <c r="C93" s="79" t="s">
        <v>7419</v>
      </c>
      <c r="D93" s="79" t="s">
        <v>7328</v>
      </c>
      <c r="E93" s="79">
        <v>3000</v>
      </c>
      <c r="G93" s="79" t="s">
        <v>7313</v>
      </c>
      <c r="H93" s="80">
        <v>13800000</v>
      </c>
    </row>
    <row r="94" spans="1:8" x14ac:dyDescent="0.2">
      <c r="A94" s="79" t="s">
        <v>7400</v>
      </c>
      <c r="B94" s="79" t="s">
        <v>7423</v>
      </c>
      <c r="C94" s="79" t="s">
        <v>7419</v>
      </c>
      <c r="D94" s="79" t="s">
        <v>7328</v>
      </c>
      <c r="E94" s="79">
        <v>3000</v>
      </c>
      <c r="G94" s="79" t="s">
        <v>7313</v>
      </c>
      <c r="H94" s="80">
        <v>14600000</v>
      </c>
    </row>
    <row r="95" spans="1:8" x14ac:dyDescent="0.2">
      <c r="A95" s="79" t="s">
        <v>7400</v>
      </c>
      <c r="B95" s="79" t="s">
        <v>7424</v>
      </c>
      <c r="C95" s="79" t="s">
        <v>7311</v>
      </c>
      <c r="D95" s="79" t="s">
        <v>7312</v>
      </c>
      <c r="E95" s="79">
        <v>1600</v>
      </c>
      <c r="G95" s="79" t="s">
        <v>7329</v>
      </c>
      <c r="H95" s="80">
        <v>4513000</v>
      </c>
    </row>
    <row r="96" spans="1:8" x14ac:dyDescent="0.2">
      <c r="A96" s="79" t="s">
        <v>7400</v>
      </c>
      <c r="B96" s="79" t="s">
        <v>7425</v>
      </c>
      <c r="C96" s="79" t="s">
        <v>7419</v>
      </c>
      <c r="D96" s="79" t="s">
        <v>7312</v>
      </c>
      <c r="E96" s="79">
        <v>2000</v>
      </c>
      <c r="G96" s="79" t="s">
        <v>7313</v>
      </c>
      <c r="H96" s="80">
        <v>7625000</v>
      </c>
    </row>
    <row r="97" spans="1:8" x14ac:dyDescent="0.2">
      <c r="A97" s="79" t="s">
        <v>7400</v>
      </c>
      <c r="B97" s="79" t="s">
        <v>7426</v>
      </c>
      <c r="C97" s="79" t="s">
        <v>7419</v>
      </c>
      <c r="D97" s="79" t="s">
        <v>7328</v>
      </c>
      <c r="E97" s="79">
        <v>2000</v>
      </c>
      <c r="G97" s="79" t="s">
        <v>7313</v>
      </c>
      <c r="H97" s="80">
        <v>8026000</v>
      </c>
    </row>
    <row r="98" spans="1:8" x14ac:dyDescent="0.2">
      <c r="A98" s="79" t="s">
        <v>7400</v>
      </c>
      <c r="B98" s="79" t="s">
        <v>7425</v>
      </c>
      <c r="C98" s="79" t="s">
        <v>7419</v>
      </c>
      <c r="D98" s="79" t="s">
        <v>7312</v>
      </c>
      <c r="E98" s="79">
        <v>3200</v>
      </c>
      <c r="G98" s="79" t="s">
        <v>7313</v>
      </c>
      <c r="H98" s="80">
        <v>11085000</v>
      </c>
    </row>
    <row r="99" spans="1:8" x14ac:dyDescent="0.2">
      <c r="A99" s="79" t="s">
        <v>7400</v>
      </c>
      <c r="B99" s="79" t="s">
        <v>7427</v>
      </c>
      <c r="C99" s="79" t="s">
        <v>7419</v>
      </c>
      <c r="D99" s="79" t="s">
        <v>7312</v>
      </c>
      <c r="E99" s="79">
        <v>3000</v>
      </c>
      <c r="G99" s="79" t="s">
        <v>7313</v>
      </c>
      <c r="H99" s="80">
        <v>9382000</v>
      </c>
    </row>
    <row r="100" spans="1:8" x14ac:dyDescent="0.2">
      <c r="A100" s="79" t="s">
        <v>7400</v>
      </c>
      <c r="B100" s="79" t="s">
        <v>7428</v>
      </c>
      <c r="C100" s="79" t="s">
        <v>7419</v>
      </c>
      <c r="D100" s="79" t="s">
        <v>7312</v>
      </c>
      <c r="E100" s="79">
        <v>3000</v>
      </c>
      <c r="G100" s="79" t="s">
        <v>7313</v>
      </c>
      <c r="H100" s="80">
        <v>14664499</v>
      </c>
    </row>
    <row r="101" spans="1:8" x14ac:dyDescent="0.2">
      <c r="A101" s="79" t="s">
        <v>7400</v>
      </c>
      <c r="B101" s="79" t="s">
        <v>7429</v>
      </c>
      <c r="C101" s="79" t="s">
        <v>7419</v>
      </c>
      <c r="D101" s="79" t="s">
        <v>7312</v>
      </c>
      <c r="E101" s="79">
        <v>3000</v>
      </c>
      <c r="G101" s="79" t="s">
        <v>7313</v>
      </c>
      <c r="H101" s="80">
        <v>12817614</v>
      </c>
    </row>
    <row r="102" spans="1:8" x14ac:dyDescent="0.2">
      <c r="A102" s="79" t="s">
        <v>7400</v>
      </c>
      <c r="B102" s="79" t="s">
        <v>7430</v>
      </c>
      <c r="C102" s="79" t="s">
        <v>7419</v>
      </c>
      <c r="D102" s="79" t="s">
        <v>7312</v>
      </c>
      <c r="E102" s="79">
        <v>3000</v>
      </c>
      <c r="G102" s="79" t="s">
        <v>7313</v>
      </c>
      <c r="H102" s="80">
        <v>14931086</v>
      </c>
    </row>
    <row r="103" spans="1:8" x14ac:dyDescent="0.2">
      <c r="A103" s="79" t="s">
        <v>7400</v>
      </c>
      <c r="B103" s="79" t="s">
        <v>7431</v>
      </c>
      <c r="C103" s="79" t="s">
        <v>7419</v>
      </c>
      <c r="D103" s="79" t="s">
        <v>7328</v>
      </c>
      <c r="E103" s="79">
        <v>4200</v>
      </c>
      <c r="G103" s="79" t="s">
        <v>7313</v>
      </c>
      <c r="H103" s="80">
        <v>17064274</v>
      </c>
    </row>
    <row r="104" spans="1:8" x14ac:dyDescent="0.2">
      <c r="A104" s="79" t="s">
        <v>7400</v>
      </c>
      <c r="B104" s="79" t="s">
        <v>7431</v>
      </c>
      <c r="C104" s="79" t="s">
        <v>7419</v>
      </c>
      <c r="D104" s="79" t="s">
        <v>7328</v>
      </c>
      <c r="E104" s="79">
        <v>6000</v>
      </c>
      <c r="G104" s="79" t="s">
        <v>7313</v>
      </c>
      <c r="H104" s="80">
        <v>27457618</v>
      </c>
    </row>
    <row r="105" spans="1:8" x14ac:dyDescent="0.2">
      <c r="A105" s="79" t="s">
        <v>7400</v>
      </c>
      <c r="B105" s="79" t="s">
        <v>7432</v>
      </c>
      <c r="C105" s="79" t="s">
        <v>7419</v>
      </c>
      <c r="D105" s="79" t="s">
        <v>7328</v>
      </c>
      <c r="E105" s="79">
        <v>2967</v>
      </c>
      <c r="G105" s="79" t="s">
        <v>7313</v>
      </c>
      <c r="H105" s="80">
        <v>25504080</v>
      </c>
    </row>
    <row r="106" spans="1:8" x14ac:dyDescent="0.2">
      <c r="A106" s="79" t="s">
        <v>7400</v>
      </c>
      <c r="B106" s="79" t="s">
        <v>7433</v>
      </c>
      <c r="C106" s="79" t="s">
        <v>7407</v>
      </c>
      <c r="D106" s="79" t="s">
        <v>7312</v>
      </c>
      <c r="E106" s="79">
        <v>2500</v>
      </c>
      <c r="G106" s="79" t="s">
        <v>7313</v>
      </c>
      <c r="H106" s="80">
        <v>8043505</v>
      </c>
    </row>
    <row r="107" spans="1:8" x14ac:dyDescent="0.2">
      <c r="A107" s="79" t="s">
        <v>7400</v>
      </c>
      <c r="B107" s="79" t="s">
        <v>7434</v>
      </c>
      <c r="C107" s="79" t="s">
        <v>7407</v>
      </c>
      <c r="D107" s="79" t="s">
        <v>7312</v>
      </c>
      <c r="E107" s="79">
        <v>2000</v>
      </c>
      <c r="G107" s="79" t="s">
        <v>7329</v>
      </c>
      <c r="H107" s="80">
        <v>7874450</v>
      </c>
    </row>
    <row r="108" spans="1:8" x14ac:dyDescent="0.2">
      <c r="A108" s="79" t="s">
        <v>7400</v>
      </c>
      <c r="B108" s="79" t="s">
        <v>7435</v>
      </c>
      <c r="C108" s="79" t="s">
        <v>7407</v>
      </c>
      <c r="D108" s="79" t="s">
        <v>7312</v>
      </c>
      <c r="E108" s="79">
        <v>2500</v>
      </c>
      <c r="G108" s="79" t="s">
        <v>7313</v>
      </c>
      <c r="H108" s="80">
        <v>9480000</v>
      </c>
    </row>
    <row r="109" spans="1:8" x14ac:dyDescent="0.2">
      <c r="A109" s="79" t="s">
        <v>7436</v>
      </c>
      <c r="B109" s="79" t="s">
        <v>7437</v>
      </c>
      <c r="C109" s="79" t="s">
        <v>7438</v>
      </c>
      <c r="D109" s="79" t="s">
        <v>7328</v>
      </c>
      <c r="E109" s="79">
        <v>9726</v>
      </c>
      <c r="G109" s="79" t="s">
        <v>7376</v>
      </c>
      <c r="H109" s="80">
        <v>7951109</v>
      </c>
    </row>
    <row r="110" spans="1:8" x14ac:dyDescent="0.2">
      <c r="A110" s="79" t="s">
        <v>7439</v>
      </c>
      <c r="B110" s="79" t="s">
        <v>7440</v>
      </c>
      <c r="C110" s="79" t="s">
        <v>7320</v>
      </c>
      <c r="D110" s="79" t="s">
        <v>7312</v>
      </c>
      <c r="E110" s="79">
        <v>4000</v>
      </c>
      <c r="G110" s="79" t="s">
        <v>7313</v>
      </c>
      <c r="H110" s="80">
        <v>33660000</v>
      </c>
    </row>
    <row r="111" spans="1:8" x14ac:dyDescent="0.2">
      <c r="A111" s="79" t="s">
        <v>7439</v>
      </c>
      <c r="B111" s="79" t="s">
        <v>7440</v>
      </c>
      <c r="C111" s="79" t="s">
        <v>7320</v>
      </c>
      <c r="D111" s="79" t="s">
        <v>7312</v>
      </c>
      <c r="E111" s="79">
        <v>4000</v>
      </c>
      <c r="G111" s="79" t="s">
        <v>7313</v>
      </c>
      <c r="H111" s="80">
        <v>33660000</v>
      </c>
    </row>
    <row r="112" spans="1:8" x14ac:dyDescent="0.2">
      <c r="A112" s="79" t="s">
        <v>7439</v>
      </c>
      <c r="B112" s="79" t="s">
        <v>7441</v>
      </c>
      <c r="C112" s="79" t="s">
        <v>7320</v>
      </c>
      <c r="D112" s="79" t="s">
        <v>7312</v>
      </c>
      <c r="E112" s="79">
        <v>4000</v>
      </c>
      <c r="G112" s="79" t="s">
        <v>7313</v>
      </c>
      <c r="H112" s="80">
        <v>33660000</v>
      </c>
    </row>
    <row r="113" spans="1:8" x14ac:dyDescent="0.2">
      <c r="A113" s="79" t="s">
        <v>7439</v>
      </c>
      <c r="B113" s="79" t="s">
        <v>7442</v>
      </c>
      <c r="C113" s="79" t="s">
        <v>7320</v>
      </c>
      <c r="D113" s="79" t="s">
        <v>7312</v>
      </c>
      <c r="E113" s="79">
        <v>4000</v>
      </c>
      <c r="G113" s="79" t="s">
        <v>7313</v>
      </c>
      <c r="H113" s="80">
        <v>35700000</v>
      </c>
    </row>
    <row r="114" spans="1:8" x14ac:dyDescent="0.2">
      <c r="A114" s="79" t="s">
        <v>7439</v>
      </c>
      <c r="B114" s="79" t="s">
        <v>7443</v>
      </c>
      <c r="C114" s="79" t="s">
        <v>7335</v>
      </c>
      <c r="D114" s="79" t="s">
        <v>7312</v>
      </c>
      <c r="E114" s="79">
        <v>6000</v>
      </c>
      <c r="G114" s="79" t="s">
        <v>7313</v>
      </c>
      <c r="H114" s="80">
        <v>29580000</v>
      </c>
    </row>
    <row r="115" spans="1:8" x14ac:dyDescent="0.2">
      <c r="A115" s="79" t="s">
        <v>7439</v>
      </c>
      <c r="B115" s="79" t="s">
        <v>7444</v>
      </c>
      <c r="C115" s="79" t="s">
        <v>7335</v>
      </c>
      <c r="D115" s="79" t="s">
        <v>7312</v>
      </c>
      <c r="E115" s="79">
        <v>6000</v>
      </c>
      <c r="G115" s="79" t="s">
        <v>7313</v>
      </c>
      <c r="H115" s="80">
        <v>38760000</v>
      </c>
    </row>
    <row r="116" spans="1:8" x14ac:dyDescent="0.2">
      <c r="A116" s="79" t="s">
        <v>7439</v>
      </c>
      <c r="B116" s="79" t="s">
        <v>7445</v>
      </c>
      <c r="C116" s="79" t="s">
        <v>7335</v>
      </c>
      <c r="D116" s="79" t="s">
        <v>7312</v>
      </c>
      <c r="E116" s="79">
        <v>4000</v>
      </c>
      <c r="G116" s="79" t="s">
        <v>7313</v>
      </c>
      <c r="H116" s="80">
        <v>35700000</v>
      </c>
    </row>
    <row r="117" spans="1:8" x14ac:dyDescent="0.2">
      <c r="A117" s="79" t="s">
        <v>7439</v>
      </c>
      <c r="B117" s="79" t="s">
        <v>7446</v>
      </c>
      <c r="C117" s="79" t="s">
        <v>7335</v>
      </c>
      <c r="D117" s="79" t="s">
        <v>7312</v>
      </c>
      <c r="E117" s="79">
        <v>6000</v>
      </c>
      <c r="G117" s="79" t="s">
        <v>7313</v>
      </c>
      <c r="H117" s="80">
        <v>51000000</v>
      </c>
    </row>
    <row r="118" spans="1:8" x14ac:dyDescent="0.2">
      <c r="A118" s="79" t="s">
        <v>7447</v>
      </c>
      <c r="B118" s="79" t="s">
        <v>7448</v>
      </c>
      <c r="C118" s="79" t="s">
        <v>7340</v>
      </c>
      <c r="D118" s="79" t="s">
        <v>7312</v>
      </c>
      <c r="E118" s="79">
        <v>1596</v>
      </c>
      <c r="G118" s="79" t="s">
        <v>7329</v>
      </c>
      <c r="H118" s="80">
        <v>3434380</v>
      </c>
    </row>
    <row r="119" spans="1:8" x14ac:dyDescent="0.2">
      <c r="A119" s="79" t="s">
        <v>7447</v>
      </c>
      <c r="B119" s="79" t="s">
        <v>7449</v>
      </c>
      <c r="C119" s="79" t="s">
        <v>7340</v>
      </c>
      <c r="D119" s="79" t="s">
        <v>7312</v>
      </c>
      <c r="E119" s="79">
        <v>1596</v>
      </c>
      <c r="G119" s="79" t="s">
        <v>7329</v>
      </c>
      <c r="H119" s="80">
        <v>3434380</v>
      </c>
    </row>
    <row r="120" spans="1:8" x14ac:dyDescent="0.2">
      <c r="A120" s="79" t="s">
        <v>7447</v>
      </c>
      <c r="B120" s="79" t="s">
        <v>7450</v>
      </c>
      <c r="C120" s="79" t="s">
        <v>7340</v>
      </c>
      <c r="D120" s="79" t="s">
        <v>7328</v>
      </c>
      <c r="E120" s="79">
        <v>1597</v>
      </c>
      <c r="G120" s="79" t="s">
        <v>7329</v>
      </c>
      <c r="H120" s="80">
        <v>3935277</v>
      </c>
    </row>
    <row r="121" spans="1:8" x14ac:dyDescent="0.2">
      <c r="A121" s="79" t="s">
        <v>7447</v>
      </c>
      <c r="B121" s="79" t="s">
        <v>7451</v>
      </c>
      <c r="C121" s="79" t="s">
        <v>7340</v>
      </c>
      <c r="D121" s="79" t="s">
        <v>7328</v>
      </c>
      <c r="E121" s="79">
        <v>1597</v>
      </c>
      <c r="G121" s="79" t="s">
        <v>7329</v>
      </c>
      <c r="H121" s="80">
        <v>4100544</v>
      </c>
    </row>
    <row r="122" spans="1:8" x14ac:dyDescent="0.2">
      <c r="A122" s="79" t="s">
        <v>7447</v>
      </c>
      <c r="B122" s="79" t="s">
        <v>7452</v>
      </c>
      <c r="C122" s="79" t="s">
        <v>7311</v>
      </c>
      <c r="D122" s="79" t="s">
        <v>7312</v>
      </c>
      <c r="E122" s="79">
        <v>1995</v>
      </c>
      <c r="G122" s="79" t="s">
        <v>7329</v>
      </c>
      <c r="H122" s="80">
        <v>3895948</v>
      </c>
    </row>
    <row r="123" spans="1:8" x14ac:dyDescent="0.2">
      <c r="A123" s="79" t="s">
        <v>7447</v>
      </c>
      <c r="B123" s="79" t="s">
        <v>7453</v>
      </c>
      <c r="C123" s="79" t="s">
        <v>7340</v>
      </c>
      <c r="D123" s="79" t="s">
        <v>7312</v>
      </c>
      <c r="E123" s="79">
        <v>1600</v>
      </c>
      <c r="G123" s="79" t="s">
        <v>7329</v>
      </c>
      <c r="H123" s="80">
        <v>3709216</v>
      </c>
    </row>
    <row r="124" spans="1:8" x14ac:dyDescent="0.2">
      <c r="A124" s="79" t="s">
        <v>7447</v>
      </c>
      <c r="B124" s="79" t="s">
        <v>7454</v>
      </c>
      <c r="C124" s="79" t="s">
        <v>7340</v>
      </c>
      <c r="D124" s="79" t="s">
        <v>7312</v>
      </c>
      <c r="E124" s="79">
        <v>1600</v>
      </c>
      <c r="G124" s="79" t="s">
        <v>7329</v>
      </c>
      <c r="H124" s="80">
        <v>4309760</v>
      </c>
    </row>
    <row r="125" spans="1:8" x14ac:dyDescent="0.2">
      <c r="A125" s="79" t="s">
        <v>7447</v>
      </c>
      <c r="B125" s="79" t="s">
        <v>7455</v>
      </c>
      <c r="C125" s="79" t="s">
        <v>7456</v>
      </c>
      <c r="D125" s="79" t="s">
        <v>7312</v>
      </c>
      <c r="E125" s="79">
        <v>1600</v>
      </c>
      <c r="G125" s="79" t="s">
        <v>7329</v>
      </c>
      <c r="H125" s="80">
        <v>4721246</v>
      </c>
    </row>
    <row r="126" spans="1:8" x14ac:dyDescent="0.2">
      <c r="A126" s="79" t="s">
        <v>7447</v>
      </c>
      <c r="B126" s="79" t="s">
        <v>7457</v>
      </c>
      <c r="C126" s="79" t="s">
        <v>7456</v>
      </c>
      <c r="D126" s="79" t="s">
        <v>7328</v>
      </c>
      <c r="E126" s="79">
        <v>1995</v>
      </c>
      <c r="G126" s="79" t="s">
        <v>7329</v>
      </c>
      <c r="H126" s="80">
        <v>5186676</v>
      </c>
    </row>
    <row r="127" spans="1:8" x14ac:dyDescent="0.2">
      <c r="A127" s="79" t="s">
        <v>7447</v>
      </c>
      <c r="B127" s="79" t="s">
        <v>7458</v>
      </c>
      <c r="C127" s="79" t="s">
        <v>7320</v>
      </c>
      <c r="D127" s="79" t="s">
        <v>7328</v>
      </c>
      <c r="E127" s="79">
        <v>1995</v>
      </c>
      <c r="G127" s="79" t="s">
        <v>7329</v>
      </c>
      <c r="H127" s="80">
        <v>4227346</v>
      </c>
    </row>
    <row r="128" spans="1:8" x14ac:dyDescent="0.2">
      <c r="A128" s="79" t="s">
        <v>7447</v>
      </c>
      <c r="B128" s="79" t="s">
        <v>7459</v>
      </c>
      <c r="C128" s="79" t="s">
        <v>7311</v>
      </c>
      <c r="D128" s="79" t="s">
        <v>7328</v>
      </c>
      <c r="E128" s="79">
        <v>1995</v>
      </c>
      <c r="G128" s="79" t="s">
        <v>7329</v>
      </c>
      <c r="H128" s="80">
        <v>4170645</v>
      </c>
    </row>
    <row r="129" spans="1:8" x14ac:dyDescent="0.2">
      <c r="A129" s="79" t="s">
        <v>7447</v>
      </c>
      <c r="B129" s="79" t="s">
        <v>7460</v>
      </c>
      <c r="C129" s="79" t="s">
        <v>7311</v>
      </c>
      <c r="D129" s="79" t="s">
        <v>7328</v>
      </c>
      <c r="E129" s="79">
        <v>1995</v>
      </c>
      <c r="G129" s="79" t="s">
        <v>7329</v>
      </c>
      <c r="H129" s="80">
        <v>3982608</v>
      </c>
    </row>
    <row r="130" spans="1:8" x14ac:dyDescent="0.2">
      <c r="A130" s="79" t="s">
        <v>7447</v>
      </c>
      <c r="B130" s="79" t="s">
        <v>7461</v>
      </c>
      <c r="C130" s="79" t="s">
        <v>7340</v>
      </c>
      <c r="D130" s="79" t="s">
        <v>7312</v>
      </c>
      <c r="E130" s="79">
        <v>1995</v>
      </c>
      <c r="G130" s="79" t="s">
        <v>7329</v>
      </c>
      <c r="H130" s="80">
        <v>5302611</v>
      </c>
    </row>
    <row r="131" spans="1:8" x14ac:dyDescent="0.2">
      <c r="A131" s="79" t="s">
        <v>7447</v>
      </c>
      <c r="B131" s="79" t="s">
        <v>7462</v>
      </c>
      <c r="C131" s="79" t="s">
        <v>7320</v>
      </c>
      <c r="D131" s="79" t="s">
        <v>7312</v>
      </c>
      <c r="E131" s="79">
        <v>1995</v>
      </c>
      <c r="G131" s="79" t="s">
        <v>7329</v>
      </c>
      <c r="H131" s="80">
        <v>4323496</v>
      </c>
    </row>
    <row r="132" spans="1:8" x14ac:dyDescent="0.2">
      <c r="A132" s="79" t="s">
        <v>7447</v>
      </c>
      <c r="B132" s="79" t="s">
        <v>7463</v>
      </c>
      <c r="C132" s="79" t="s">
        <v>7311</v>
      </c>
      <c r="D132" s="79" t="s">
        <v>7312</v>
      </c>
      <c r="E132" s="79">
        <v>1995</v>
      </c>
      <c r="G132" s="79" t="s">
        <v>7329</v>
      </c>
      <c r="H132" s="80">
        <v>4292009</v>
      </c>
    </row>
    <row r="133" spans="1:8" x14ac:dyDescent="0.2">
      <c r="A133" s="79" t="s">
        <v>7447</v>
      </c>
      <c r="B133" s="79" t="s">
        <v>7464</v>
      </c>
      <c r="C133" s="79" t="s">
        <v>7311</v>
      </c>
      <c r="D133" s="79" t="s">
        <v>7312</v>
      </c>
      <c r="E133" s="79">
        <v>1995</v>
      </c>
      <c r="G133" s="79" t="s">
        <v>7329</v>
      </c>
      <c r="H133" s="80">
        <v>4103344</v>
      </c>
    </row>
    <row r="134" spans="1:8" x14ac:dyDescent="0.2">
      <c r="A134" s="79" t="s">
        <v>7447</v>
      </c>
      <c r="B134" s="79" t="s">
        <v>7465</v>
      </c>
      <c r="C134" s="79" t="s">
        <v>7311</v>
      </c>
      <c r="D134" s="79" t="s">
        <v>7328</v>
      </c>
      <c r="E134" s="79">
        <v>1995</v>
      </c>
      <c r="G134" s="79" t="s">
        <v>7329</v>
      </c>
      <c r="H134" s="80">
        <v>5486707</v>
      </c>
    </row>
    <row r="135" spans="1:8" x14ac:dyDescent="0.2">
      <c r="A135" s="79" t="s">
        <v>7447</v>
      </c>
      <c r="B135" s="79" t="s">
        <v>7466</v>
      </c>
      <c r="C135" s="79" t="s">
        <v>7311</v>
      </c>
      <c r="D135" s="79" t="s">
        <v>7328</v>
      </c>
      <c r="E135" s="79">
        <v>1995</v>
      </c>
      <c r="G135" s="79" t="s">
        <v>7329</v>
      </c>
      <c r="H135" s="80">
        <v>4673835</v>
      </c>
    </row>
    <row r="136" spans="1:8" x14ac:dyDescent="0.2">
      <c r="A136" s="79" t="s">
        <v>7447</v>
      </c>
      <c r="B136" s="79" t="s">
        <v>7467</v>
      </c>
      <c r="C136" s="79" t="s">
        <v>7311</v>
      </c>
      <c r="D136" s="79" t="s">
        <v>7328</v>
      </c>
      <c r="E136" s="79">
        <v>1995</v>
      </c>
      <c r="G136" s="79" t="s">
        <v>7329</v>
      </c>
      <c r="H136" s="80">
        <v>4476227</v>
      </c>
    </row>
    <row r="137" spans="1:8" x14ac:dyDescent="0.2">
      <c r="A137" s="79" t="s">
        <v>7447</v>
      </c>
      <c r="B137" s="79" t="s">
        <v>7468</v>
      </c>
      <c r="C137" s="79" t="s">
        <v>7311</v>
      </c>
      <c r="D137" s="79" t="s">
        <v>7328</v>
      </c>
      <c r="E137" s="79">
        <v>1995</v>
      </c>
      <c r="G137" s="79" t="s">
        <v>7329</v>
      </c>
      <c r="H137" s="80">
        <v>4286800</v>
      </c>
    </row>
    <row r="138" spans="1:8" x14ac:dyDescent="0.2">
      <c r="A138" s="79" t="s">
        <v>7447</v>
      </c>
      <c r="B138" s="79" t="s">
        <v>7469</v>
      </c>
      <c r="C138" s="79" t="s">
        <v>7311</v>
      </c>
      <c r="D138" s="79" t="s">
        <v>7312</v>
      </c>
      <c r="E138" s="79">
        <v>2000</v>
      </c>
      <c r="G138" s="79" t="s">
        <v>7329</v>
      </c>
      <c r="H138" s="80">
        <v>6219475</v>
      </c>
    </row>
    <row r="139" spans="1:8" x14ac:dyDescent="0.2">
      <c r="A139" s="79" t="s">
        <v>7447</v>
      </c>
      <c r="B139" s="79" t="s">
        <v>7470</v>
      </c>
      <c r="C139" s="79" t="s">
        <v>7311</v>
      </c>
      <c r="D139" s="79" t="s">
        <v>7312</v>
      </c>
      <c r="E139" s="79">
        <v>2000</v>
      </c>
      <c r="G139" s="79" t="s">
        <v>7329</v>
      </c>
      <c r="H139" s="80">
        <v>5345196</v>
      </c>
    </row>
    <row r="140" spans="1:8" x14ac:dyDescent="0.2">
      <c r="A140" s="79" t="s">
        <v>7447</v>
      </c>
      <c r="B140" s="79" t="s">
        <v>7471</v>
      </c>
      <c r="C140" s="79" t="s">
        <v>7311</v>
      </c>
      <c r="D140" s="79" t="s">
        <v>7312</v>
      </c>
      <c r="E140" s="79">
        <v>3000</v>
      </c>
      <c r="F140" s="79" t="s">
        <v>7336</v>
      </c>
      <c r="G140" s="79" t="s">
        <v>7329</v>
      </c>
      <c r="H140" s="80">
        <v>5429253</v>
      </c>
    </row>
    <row r="141" spans="1:8" x14ac:dyDescent="0.2">
      <c r="A141" s="79" t="s">
        <v>7447</v>
      </c>
      <c r="B141" s="79" t="s">
        <v>7472</v>
      </c>
      <c r="C141" s="79" t="s">
        <v>7311</v>
      </c>
      <c r="D141" s="79" t="s">
        <v>7312</v>
      </c>
      <c r="E141" s="79">
        <v>3000</v>
      </c>
      <c r="G141" s="79" t="s">
        <v>7329</v>
      </c>
      <c r="H141" s="80">
        <v>5809902</v>
      </c>
    </row>
    <row r="142" spans="1:8" x14ac:dyDescent="0.2">
      <c r="A142" s="79" t="s">
        <v>7447</v>
      </c>
      <c r="B142" s="79" t="s">
        <v>7473</v>
      </c>
      <c r="C142" s="79" t="s">
        <v>7311</v>
      </c>
      <c r="D142" s="79" t="s">
        <v>7312</v>
      </c>
      <c r="E142" s="79">
        <v>3000</v>
      </c>
      <c r="G142" s="79" t="s">
        <v>7329</v>
      </c>
      <c r="H142" s="80">
        <v>5613888</v>
      </c>
    </row>
    <row r="143" spans="1:8" x14ac:dyDescent="0.2">
      <c r="A143" s="79" t="s">
        <v>7447</v>
      </c>
      <c r="B143" s="79" t="s">
        <v>7474</v>
      </c>
      <c r="C143" s="79" t="s">
        <v>7311</v>
      </c>
      <c r="D143" s="79" t="s">
        <v>7312</v>
      </c>
      <c r="E143" s="79">
        <v>3500</v>
      </c>
      <c r="G143" s="79" t="s">
        <v>7329</v>
      </c>
      <c r="H143" s="80">
        <v>8122829</v>
      </c>
    </row>
    <row r="144" spans="1:8" x14ac:dyDescent="0.2">
      <c r="A144" s="79" t="s">
        <v>7447</v>
      </c>
      <c r="B144" s="79" t="s">
        <v>7475</v>
      </c>
      <c r="C144" s="79" t="s">
        <v>7311</v>
      </c>
      <c r="D144" s="79" t="s">
        <v>7312</v>
      </c>
      <c r="E144" s="79">
        <v>3500</v>
      </c>
      <c r="G144" s="79" t="s">
        <v>7329</v>
      </c>
      <c r="H144" s="80">
        <v>7307383</v>
      </c>
    </row>
    <row r="145" spans="1:8" x14ac:dyDescent="0.2">
      <c r="A145" s="79" t="s">
        <v>7447</v>
      </c>
      <c r="B145" s="79" t="s">
        <v>7476</v>
      </c>
      <c r="C145" s="79" t="s">
        <v>7311</v>
      </c>
      <c r="D145" s="79" t="s">
        <v>7312</v>
      </c>
      <c r="E145" s="79">
        <v>1800</v>
      </c>
      <c r="G145" s="79" t="s">
        <v>7329</v>
      </c>
      <c r="H145" s="80">
        <v>4347624</v>
      </c>
    </row>
    <row r="146" spans="1:8" x14ac:dyDescent="0.2">
      <c r="A146" s="79" t="s">
        <v>7447</v>
      </c>
      <c r="B146" s="79" t="s">
        <v>7477</v>
      </c>
      <c r="C146" s="79" t="s">
        <v>7311</v>
      </c>
      <c r="D146" s="79" t="s">
        <v>7312</v>
      </c>
      <c r="E146" s="79">
        <v>1800</v>
      </c>
      <c r="G146" s="79" t="s">
        <v>7329</v>
      </c>
      <c r="H146" s="80">
        <v>6350729</v>
      </c>
    </row>
    <row r="147" spans="1:8" x14ac:dyDescent="0.2">
      <c r="A147" s="79" t="s">
        <v>7447</v>
      </c>
      <c r="B147" s="79" t="s">
        <v>7478</v>
      </c>
      <c r="C147" s="79" t="s">
        <v>7311</v>
      </c>
      <c r="D147" s="79" t="s">
        <v>7312</v>
      </c>
      <c r="E147" s="79">
        <v>1995</v>
      </c>
      <c r="F147" s="79" t="s">
        <v>7349</v>
      </c>
      <c r="G147" s="79" t="s">
        <v>7329</v>
      </c>
      <c r="H147" s="80">
        <v>4819206</v>
      </c>
    </row>
    <row r="148" spans="1:8" x14ac:dyDescent="0.2">
      <c r="A148" s="79" t="s">
        <v>7447</v>
      </c>
      <c r="B148" s="79" t="s">
        <v>7478</v>
      </c>
      <c r="C148" s="79" t="s">
        <v>7311</v>
      </c>
      <c r="D148" s="79" t="s">
        <v>7312</v>
      </c>
      <c r="E148" s="79">
        <v>1996</v>
      </c>
      <c r="F148" s="79" t="s">
        <v>7336</v>
      </c>
      <c r="G148" s="79" t="s">
        <v>7329</v>
      </c>
      <c r="H148" s="80">
        <v>4347624</v>
      </c>
    </row>
    <row r="149" spans="1:8" x14ac:dyDescent="0.2">
      <c r="A149" s="79" t="s">
        <v>7447</v>
      </c>
      <c r="B149" s="79" t="s">
        <v>7479</v>
      </c>
      <c r="C149" s="79" t="s">
        <v>7311</v>
      </c>
      <c r="D149" s="79" t="s">
        <v>7328</v>
      </c>
      <c r="E149" s="79">
        <v>1995</v>
      </c>
      <c r="G149" s="79" t="s">
        <v>7329</v>
      </c>
      <c r="H149" s="80">
        <v>5195362</v>
      </c>
    </row>
    <row r="150" spans="1:8" x14ac:dyDescent="0.2">
      <c r="A150" s="79" t="s">
        <v>7447</v>
      </c>
      <c r="B150" s="79" t="s">
        <v>7480</v>
      </c>
      <c r="C150" s="79" t="s">
        <v>7311</v>
      </c>
      <c r="D150" s="79" t="s">
        <v>7328</v>
      </c>
      <c r="E150" s="79">
        <v>1995</v>
      </c>
      <c r="G150" s="79" t="s">
        <v>7329</v>
      </c>
      <c r="H150" s="80">
        <v>5853332</v>
      </c>
    </row>
    <row r="151" spans="1:8" x14ac:dyDescent="0.2">
      <c r="A151" s="79" t="s">
        <v>7447</v>
      </c>
      <c r="B151" s="79" t="s">
        <v>7481</v>
      </c>
      <c r="C151" s="79" t="s">
        <v>7311</v>
      </c>
      <c r="D151" s="79" t="s">
        <v>7328</v>
      </c>
      <c r="E151" s="79">
        <v>1995</v>
      </c>
      <c r="G151" s="79" t="s">
        <v>7329</v>
      </c>
      <c r="H151" s="80">
        <v>5195362</v>
      </c>
    </row>
    <row r="152" spans="1:8" x14ac:dyDescent="0.2">
      <c r="A152" s="79" t="s">
        <v>7447</v>
      </c>
      <c r="B152" s="79" t="s">
        <v>7482</v>
      </c>
      <c r="C152" s="79" t="s">
        <v>7320</v>
      </c>
      <c r="D152" s="79" t="s">
        <v>7312</v>
      </c>
      <c r="E152" s="79">
        <v>1995</v>
      </c>
      <c r="G152" s="79" t="s">
        <v>7329</v>
      </c>
      <c r="H152" s="80">
        <v>6617948</v>
      </c>
    </row>
    <row r="153" spans="1:8" x14ac:dyDescent="0.2">
      <c r="A153" s="79" t="s">
        <v>7447</v>
      </c>
      <c r="B153" s="79" t="s">
        <v>7483</v>
      </c>
      <c r="C153" s="79" t="s">
        <v>7320</v>
      </c>
      <c r="D153" s="79" t="s">
        <v>7312</v>
      </c>
      <c r="E153" s="79">
        <v>1995</v>
      </c>
      <c r="G153" s="79" t="s">
        <v>7329</v>
      </c>
      <c r="H153" s="80">
        <v>5334098</v>
      </c>
    </row>
    <row r="154" spans="1:8" x14ac:dyDescent="0.2">
      <c r="A154" s="79" t="s">
        <v>7447</v>
      </c>
      <c r="B154" s="79" t="s">
        <v>7484</v>
      </c>
      <c r="C154" s="79" t="s">
        <v>7311</v>
      </c>
      <c r="D154" s="79" t="s">
        <v>7312</v>
      </c>
      <c r="E154" s="79">
        <v>1995</v>
      </c>
      <c r="G154" s="79" t="s">
        <v>7329</v>
      </c>
      <c r="H154" s="80">
        <v>4653929</v>
      </c>
    </row>
    <row r="155" spans="1:8" x14ac:dyDescent="0.2">
      <c r="A155" s="79" t="s">
        <v>7447</v>
      </c>
      <c r="B155" s="79" t="s">
        <v>7484</v>
      </c>
      <c r="C155" s="79" t="s">
        <v>7311</v>
      </c>
      <c r="D155" s="79" t="s">
        <v>7312</v>
      </c>
      <c r="E155" s="79">
        <v>2170</v>
      </c>
      <c r="G155" s="79" t="s">
        <v>7329</v>
      </c>
      <c r="H155" s="80">
        <v>5062168</v>
      </c>
    </row>
    <row r="156" spans="1:8" x14ac:dyDescent="0.2">
      <c r="A156" s="79" t="s">
        <v>7447</v>
      </c>
      <c r="B156" s="79" t="s">
        <v>7485</v>
      </c>
      <c r="C156" s="79" t="s">
        <v>7311</v>
      </c>
      <c r="D156" s="79" t="s">
        <v>7312</v>
      </c>
      <c r="E156" s="79">
        <v>1995</v>
      </c>
      <c r="G156" s="79" t="s">
        <v>7329</v>
      </c>
      <c r="H156" s="80">
        <v>6961376</v>
      </c>
    </row>
    <row r="157" spans="1:8" x14ac:dyDescent="0.2">
      <c r="A157" s="79" t="s">
        <v>7447</v>
      </c>
      <c r="B157" s="79" t="s">
        <v>7486</v>
      </c>
      <c r="C157" s="79" t="s">
        <v>7311</v>
      </c>
      <c r="D157" s="79" t="s">
        <v>7328</v>
      </c>
      <c r="E157" s="79">
        <v>1995</v>
      </c>
      <c r="G157" s="79" t="s">
        <v>7329</v>
      </c>
      <c r="H157" s="80">
        <v>6961376</v>
      </c>
    </row>
    <row r="158" spans="1:8" x14ac:dyDescent="0.2">
      <c r="A158" s="79" t="s">
        <v>7447</v>
      </c>
      <c r="B158" s="79" t="s">
        <v>7487</v>
      </c>
      <c r="C158" s="79" t="s">
        <v>7311</v>
      </c>
      <c r="D158" s="79" t="s">
        <v>7312</v>
      </c>
      <c r="E158" s="79">
        <v>2497</v>
      </c>
      <c r="F158" s="79" t="s">
        <v>7336</v>
      </c>
      <c r="G158" s="79" t="s">
        <v>7329</v>
      </c>
      <c r="H158" s="80">
        <v>6098714</v>
      </c>
    </row>
    <row r="159" spans="1:8" x14ac:dyDescent="0.2">
      <c r="A159" s="79" t="s">
        <v>7447</v>
      </c>
      <c r="B159" s="79" t="s">
        <v>7487</v>
      </c>
      <c r="C159" s="79" t="s">
        <v>7311</v>
      </c>
      <c r="D159" s="79" t="s">
        <v>7312</v>
      </c>
      <c r="E159" s="79">
        <v>2500</v>
      </c>
      <c r="F159" s="79" t="s">
        <v>7349</v>
      </c>
      <c r="G159" s="79" t="s">
        <v>7329</v>
      </c>
      <c r="H159" s="80">
        <v>6100000</v>
      </c>
    </row>
    <row r="160" spans="1:8" x14ac:dyDescent="0.2">
      <c r="A160" s="79" t="s">
        <v>7447</v>
      </c>
      <c r="B160" s="79" t="s">
        <v>7488</v>
      </c>
      <c r="C160" s="79" t="s">
        <v>7311</v>
      </c>
      <c r="D160" s="79" t="s">
        <v>7312</v>
      </c>
      <c r="E160" s="79">
        <v>2500</v>
      </c>
      <c r="G160" s="79" t="s">
        <v>7329</v>
      </c>
      <c r="H160" s="80">
        <v>7214272</v>
      </c>
    </row>
    <row r="161" spans="1:8" x14ac:dyDescent="0.2">
      <c r="A161" s="79" t="s">
        <v>7447</v>
      </c>
      <c r="B161" s="79" t="s">
        <v>7489</v>
      </c>
      <c r="C161" s="79" t="s">
        <v>7311</v>
      </c>
      <c r="D161" s="79" t="s">
        <v>7312</v>
      </c>
      <c r="E161" s="79">
        <v>2500</v>
      </c>
      <c r="G161" s="79" t="s">
        <v>7329</v>
      </c>
      <c r="H161" s="80">
        <v>6098714</v>
      </c>
    </row>
    <row r="162" spans="1:8" x14ac:dyDescent="0.2">
      <c r="A162" s="79" t="s">
        <v>7447</v>
      </c>
      <c r="B162" s="79" t="s">
        <v>7490</v>
      </c>
      <c r="C162" s="79" t="s">
        <v>7311</v>
      </c>
      <c r="D162" s="79" t="s">
        <v>7312</v>
      </c>
      <c r="E162" s="79">
        <v>2500</v>
      </c>
      <c r="G162" s="79" t="s">
        <v>7329</v>
      </c>
      <c r="H162" s="80">
        <v>5431816</v>
      </c>
    </row>
    <row r="163" spans="1:8" x14ac:dyDescent="0.2">
      <c r="A163" s="79" t="s">
        <v>7447</v>
      </c>
      <c r="B163" s="79" t="s">
        <v>7491</v>
      </c>
      <c r="C163" s="79" t="s">
        <v>7311</v>
      </c>
      <c r="D163" s="79" t="s">
        <v>7312</v>
      </c>
      <c r="E163" s="79">
        <v>3000</v>
      </c>
      <c r="G163" s="79" t="s">
        <v>7329</v>
      </c>
      <c r="H163" s="80">
        <v>8178626</v>
      </c>
    </row>
    <row r="164" spans="1:8" x14ac:dyDescent="0.2">
      <c r="A164" s="79" t="s">
        <v>7447</v>
      </c>
      <c r="B164" s="79" t="s">
        <v>7492</v>
      </c>
      <c r="C164" s="79" t="s">
        <v>7311</v>
      </c>
      <c r="D164" s="79" t="s">
        <v>7312</v>
      </c>
      <c r="E164" s="79">
        <v>2967</v>
      </c>
      <c r="G164" s="79" t="s">
        <v>7329</v>
      </c>
      <c r="H164" s="80">
        <v>7983593</v>
      </c>
    </row>
    <row r="165" spans="1:8" x14ac:dyDescent="0.2">
      <c r="A165" s="79" t="s">
        <v>7447</v>
      </c>
      <c r="B165" s="79" t="s">
        <v>7493</v>
      </c>
      <c r="C165" s="79" t="s">
        <v>7311</v>
      </c>
      <c r="D165" s="79" t="s">
        <v>7312</v>
      </c>
      <c r="E165" s="79">
        <v>2967</v>
      </c>
      <c r="G165" s="79" t="s">
        <v>7329</v>
      </c>
      <c r="H165" s="80">
        <v>6829430</v>
      </c>
    </row>
    <row r="166" spans="1:8" x14ac:dyDescent="0.2">
      <c r="A166" s="79" t="s">
        <v>7447</v>
      </c>
      <c r="B166" s="79" t="s">
        <v>7494</v>
      </c>
      <c r="C166" s="79" t="s">
        <v>7311</v>
      </c>
      <c r="D166" s="79" t="s">
        <v>7312</v>
      </c>
      <c r="E166" s="79">
        <v>2967</v>
      </c>
      <c r="G166" s="79" t="s">
        <v>7329</v>
      </c>
      <c r="H166" s="80">
        <v>6104987</v>
      </c>
    </row>
    <row r="167" spans="1:8" x14ac:dyDescent="0.2">
      <c r="A167" s="79" t="s">
        <v>7447</v>
      </c>
      <c r="B167" s="79" t="s">
        <v>7495</v>
      </c>
      <c r="C167" s="79" t="s">
        <v>7311</v>
      </c>
      <c r="D167" s="79" t="s">
        <v>7328</v>
      </c>
      <c r="E167" s="79">
        <v>2967</v>
      </c>
      <c r="G167" s="79" t="s">
        <v>7329</v>
      </c>
      <c r="H167" s="80">
        <v>6924559</v>
      </c>
    </row>
    <row r="168" spans="1:8" x14ac:dyDescent="0.2">
      <c r="A168" s="79" t="s">
        <v>7447</v>
      </c>
      <c r="B168" s="79" t="s">
        <v>7496</v>
      </c>
      <c r="C168" s="79" t="s">
        <v>7311</v>
      </c>
      <c r="D168" s="79" t="s">
        <v>7328</v>
      </c>
      <c r="E168" s="79">
        <v>2967</v>
      </c>
      <c r="G168" s="79" t="s">
        <v>7329</v>
      </c>
      <c r="H168" s="80">
        <v>7723798</v>
      </c>
    </row>
    <row r="169" spans="1:8" x14ac:dyDescent="0.2">
      <c r="A169" s="79" t="s">
        <v>7447</v>
      </c>
      <c r="B169" s="79" t="s">
        <v>7497</v>
      </c>
      <c r="C169" s="79" t="s">
        <v>7320</v>
      </c>
      <c r="D169" s="79" t="s">
        <v>7312</v>
      </c>
      <c r="E169" s="79">
        <v>2970</v>
      </c>
      <c r="G169" s="79" t="s">
        <v>7329</v>
      </c>
      <c r="H169" s="80">
        <v>6514661</v>
      </c>
    </row>
    <row r="170" spans="1:8" x14ac:dyDescent="0.2">
      <c r="A170" s="79" t="s">
        <v>7447</v>
      </c>
      <c r="B170" s="79" t="s">
        <v>7498</v>
      </c>
      <c r="C170" s="79" t="s">
        <v>7311</v>
      </c>
      <c r="D170" s="79" t="s">
        <v>7312</v>
      </c>
      <c r="E170" s="79">
        <v>3500</v>
      </c>
      <c r="G170" s="79" t="s">
        <v>7329</v>
      </c>
      <c r="H170" s="80">
        <v>9001012</v>
      </c>
    </row>
    <row r="171" spans="1:8" x14ac:dyDescent="0.2">
      <c r="A171" s="79" t="s">
        <v>7447</v>
      </c>
      <c r="B171" s="79" t="s">
        <v>7499</v>
      </c>
      <c r="C171" s="79" t="s">
        <v>7311</v>
      </c>
      <c r="D171" s="79" t="s">
        <v>7312</v>
      </c>
      <c r="E171" s="79">
        <v>3500</v>
      </c>
      <c r="G171" s="79" t="s">
        <v>7329</v>
      </c>
      <c r="H171" s="80">
        <v>7968602</v>
      </c>
    </row>
    <row r="172" spans="1:8" x14ac:dyDescent="0.2">
      <c r="A172" s="79" t="s">
        <v>7447</v>
      </c>
      <c r="B172" s="79" t="s">
        <v>7500</v>
      </c>
      <c r="C172" s="79" t="s">
        <v>7311</v>
      </c>
      <c r="D172" s="79" t="s">
        <v>7312</v>
      </c>
      <c r="E172" s="79">
        <v>3500</v>
      </c>
      <c r="G172" s="79" t="s">
        <v>7329</v>
      </c>
      <c r="H172" s="80">
        <v>7121526</v>
      </c>
    </row>
    <row r="173" spans="1:8" x14ac:dyDescent="0.2">
      <c r="A173" s="79" t="s">
        <v>7447</v>
      </c>
      <c r="B173" s="79" t="s">
        <v>7501</v>
      </c>
      <c r="C173" s="79" t="s">
        <v>7311</v>
      </c>
      <c r="D173" s="79" t="s">
        <v>7312</v>
      </c>
      <c r="E173" s="79">
        <v>3000</v>
      </c>
      <c r="G173" s="79" t="s">
        <v>7329</v>
      </c>
      <c r="H173" s="80">
        <v>9110884</v>
      </c>
    </row>
    <row r="174" spans="1:8" x14ac:dyDescent="0.2">
      <c r="A174" s="79" t="s">
        <v>7447</v>
      </c>
      <c r="B174" s="79" t="s">
        <v>7502</v>
      </c>
      <c r="C174" s="79" t="s">
        <v>7311</v>
      </c>
      <c r="D174" s="79" t="s">
        <v>7312</v>
      </c>
      <c r="E174" s="79">
        <v>2000</v>
      </c>
      <c r="G174" s="79" t="s">
        <v>7329</v>
      </c>
      <c r="H174" s="80">
        <v>6233766</v>
      </c>
    </row>
    <row r="175" spans="1:8" x14ac:dyDescent="0.2">
      <c r="A175" s="79" t="s">
        <v>7447</v>
      </c>
      <c r="B175" s="79" t="s">
        <v>7503</v>
      </c>
      <c r="C175" s="79" t="s">
        <v>7311</v>
      </c>
      <c r="D175" s="79" t="s">
        <v>7328</v>
      </c>
      <c r="E175" s="79">
        <v>2000</v>
      </c>
      <c r="G175" s="79" t="s">
        <v>7329</v>
      </c>
      <c r="H175" s="80">
        <v>6437191</v>
      </c>
    </row>
    <row r="176" spans="1:8" x14ac:dyDescent="0.2">
      <c r="A176" s="79" t="s">
        <v>7447</v>
      </c>
      <c r="B176" s="79" t="s">
        <v>7504</v>
      </c>
      <c r="C176" s="79" t="s">
        <v>7311</v>
      </c>
      <c r="D176" s="79" t="s">
        <v>7328</v>
      </c>
      <c r="E176" s="79">
        <v>2000</v>
      </c>
      <c r="G176" s="79" t="s">
        <v>7329</v>
      </c>
      <c r="H176" s="80">
        <v>6910682</v>
      </c>
    </row>
    <row r="177" spans="1:8" x14ac:dyDescent="0.2">
      <c r="A177" s="79" t="s">
        <v>7447</v>
      </c>
      <c r="B177" s="79" t="s">
        <v>7505</v>
      </c>
      <c r="C177" s="79" t="s">
        <v>7311</v>
      </c>
      <c r="D177" s="79" t="s">
        <v>7312</v>
      </c>
      <c r="E177" s="79">
        <v>2000</v>
      </c>
      <c r="G177" s="79" t="s">
        <v>7329</v>
      </c>
      <c r="H177" s="80">
        <v>8793317</v>
      </c>
    </row>
    <row r="178" spans="1:8" x14ac:dyDescent="0.2">
      <c r="A178" s="79" t="s">
        <v>7447</v>
      </c>
      <c r="B178" s="79" t="s">
        <v>7506</v>
      </c>
      <c r="C178" s="79" t="s">
        <v>7311</v>
      </c>
      <c r="D178" s="79" t="s">
        <v>7312</v>
      </c>
      <c r="E178" s="79">
        <v>2300</v>
      </c>
      <c r="G178" s="79" t="s">
        <v>7329</v>
      </c>
      <c r="H178" s="80">
        <v>6524573</v>
      </c>
    </row>
    <row r="179" spans="1:8" x14ac:dyDescent="0.2">
      <c r="A179" s="79" t="s">
        <v>7447</v>
      </c>
      <c r="B179" s="79" t="s">
        <v>7507</v>
      </c>
      <c r="C179" s="79" t="s">
        <v>7311</v>
      </c>
      <c r="D179" s="79" t="s">
        <v>7312</v>
      </c>
      <c r="E179" s="79">
        <v>2497</v>
      </c>
      <c r="F179" s="79" t="s">
        <v>7336</v>
      </c>
      <c r="G179" s="79" t="s">
        <v>7329</v>
      </c>
      <c r="H179" s="80">
        <v>7350000</v>
      </c>
    </row>
    <row r="180" spans="1:8" x14ac:dyDescent="0.2">
      <c r="A180" s="79" t="s">
        <v>7447</v>
      </c>
      <c r="B180" s="79" t="s">
        <v>7507</v>
      </c>
      <c r="C180" s="79" t="s">
        <v>7311</v>
      </c>
      <c r="D180" s="79" t="s">
        <v>7312</v>
      </c>
      <c r="E180" s="79">
        <v>2498</v>
      </c>
      <c r="F180" s="79" t="s">
        <v>7349</v>
      </c>
      <c r="G180" s="79" t="s">
        <v>7329</v>
      </c>
      <c r="H180" s="80">
        <v>7650000</v>
      </c>
    </row>
    <row r="181" spans="1:8" x14ac:dyDescent="0.2">
      <c r="A181" s="79" t="s">
        <v>7447</v>
      </c>
      <c r="B181" s="79" t="s">
        <v>7508</v>
      </c>
      <c r="C181" s="79" t="s">
        <v>7311</v>
      </c>
      <c r="D181" s="79" t="s">
        <v>7328</v>
      </c>
      <c r="E181" s="79">
        <v>2498</v>
      </c>
      <c r="G181" s="79" t="s">
        <v>7329</v>
      </c>
      <c r="H181" s="80">
        <v>7713200</v>
      </c>
    </row>
    <row r="182" spans="1:8" x14ac:dyDescent="0.2">
      <c r="A182" s="79" t="s">
        <v>7447</v>
      </c>
      <c r="B182" s="79" t="s">
        <v>7509</v>
      </c>
      <c r="C182" s="79" t="s">
        <v>7311</v>
      </c>
      <c r="D182" s="79" t="s">
        <v>7312</v>
      </c>
      <c r="E182" s="79">
        <v>2800</v>
      </c>
      <c r="G182" s="79" t="s">
        <v>7329</v>
      </c>
      <c r="H182" s="80">
        <v>7020377</v>
      </c>
    </row>
    <row r="183" spans="1:8" x14ac:dyDescent="0.2">
      <c r="A183" s="79" t="s">
        <v>7447</v>
      </c>
      <c r="B183" s="79" t="s">
        <v>7510</v>
      </c>
      <c r="C183" s="79" t="s">
        <v>7311</v>
      </c>
      <c r="D183" s="79" t="s">
        <v>7328</v>
      </c>
      <c r="E183" s="79">
        <v>2800</v>
      </c>
      <c r="G183" s="79" t="s">
        <v>7329</v>
      </c>
      <c r="H183" s="80">
        <v>8373952</v>
      </c>
    </row>
    <row r="184" spans="1:8" x14ac:dyDescent="0.2">
      <c r="A184" s="79" t="s">
        <v>7447</v>
      </c>
      <c r="B184" s="79" t="s">
        <v>7511</v>
      </c>
      <c r="C184" s="79" t="s">
        <v>7311</v>
      </c>
      <c r="D184" s="79" t="s">
        <v>7312</v>
      </c>
      <c r="E184" s="79">
        <v>3000</v>
      </c>
      <c r="G184" s="79" t="s">
        <v>7329</v>
      </c>
      <c r="H184" s="80">
        <v>7020377</v>
      </c>
    </row>
    <row r="185" spans="1:8" x14ac:dyDescent="0.2">
      <c r="A185" s="79" t="s">
        <v>7447</v>
      </c>
      <c r="B185" s="79" t="s">
        <v>7512</v>
      </c>
      <c r="C185" s="79" t="s">
        <v>7311</v>
      </c>
      <c r="D185" s="79" t="s">
        <v>7312</v>
      </c>
      <c r="E185" s="79">
        <v>3000</v>
      </c>
      <c r="G185" s="79" t="s">
        <v>7329</v>
      </c>
      <c r="H185" s="80">
        <v>7665363</v>
      </c>
    </row>
    <row r="186" spans="1:8" x14ac:dyDescent="0.2">
      <c r="A186" s="79" t="s">
        <v>7447</v>
      </c>
      <c r="B186" s="79" t="s">
        <v>7513</v>
      </c>
      <c r="C186" s="79" t="s">
        <v>7311</v>
      </c>
      <c r="D186" s="79" t="s">
        <v>7312</v>
      </c>
      <c r="E186" s="79">
        <v>3000</v>
      </c>
      <c r="G186" s="79" t="s">
        <v>7329</v>
      </c>
      <c r="H186" s="80">
        <v>8471956</v>
      </c>
    </row>
    <row r="187" spans="1:8" x14ac:dyDescent="0.2">
      <c r="A187" s="79" t="s">
        <v>7447</v>
      </c>
      <c r="B187" s="79" t="s">
        <v>7514</v>
      </c>
      <c r="C187" s="79" t="s">
        <v>7311</v>
      </c>
      <c r="D187" s="79" t="s">
        <v>7312</v>
      </c>
      <c r="E187" s="79">
        <v>3500</v>
      </c>
      <c r="G187" s="79" t="s">
        <v>7329</v>
      </c>
      <c r="H187" s="80">
        <v>8529843</v>
      </c>
    </row>
    <row r="188" spans="1:8" x14ac:dyDescent="0.2">
      <c r="A188" s="79" t="s">
        <v>7447</v>
      </c>
      <c r="B188" s="79" t="s">
        <v>7515</v>
      </c>
      <c r="C188" s="79" t="s">
        <v>7311</v>
      </c>
      <c r="D188" s="79" t="s">
        <v>7312</v>
      </c>
      <c r="E188" s="79">
        <v>3500</v>
      </c>
      <c r="G188" s="79" t="s">
        <v>7329</v>
      </c>
      <c r="H188" s="80">
        <v>9412075</v>
      </c>
    </row>
    <row r="189" spans="1:8" x14ac:dyDescent="0.2">
      <c r="A189" s="79" t="s">
        <v>7447</v>
      </c>
      <c r="B189" s="79" t="s">
        <v>7516</v>
      </c>
      <c r="C189" s="79" t="s">
        <v>7311</v>
      </c>
      <c r="D189" s="79" t="s">
        <v>7312</v>
      </c>
      <c r="E189" s="79">
        <v>3500</v>
      </c>
      <c r="G189" s="79" t="s">
        <v>7329</v>
      </c>
      <c r="H189" s="80">
        <v>9560937</v>
      </c>
    </row>
    <row r="190" spans="1:8" x14ac:dyDescent="0.2">
      <c r="A190" s="79" t="s">
        <v>7447</v>
      </c>
      <c r="B190" s="79" t="s">
        <v>7517</v>
      </c>
      <c r="C190" s="79" t="s">
        <v>7311</v>
      </c>
      <c r="D190" s="79" t="s">
        <v>7312</v>
      </c>
      <c r="E190" s="79">
        <v>3500</v>
      </c>
      <c r="G190" s="79" t="s">
        <v>7329</v>
      </c>
      <c r="H190" s="80">
        <v>10214632</v>
      </c>
    </row>
    <row r="191" spans="1:8" x14ac:dyDescent="0.2">
      <c r="A191" s="79" t="s">
        <v>7447</v>
      </c>
      <c r="B191" s="79" t="s">
        <v>7518</v>
      </c>
      <c r="C191" s="79" t="s">
        <v>7311</v>
      </c>
      <c r="D191" s="79" t="s">
        <v>7312</v>
      </c>
      <c r="E191" s="79">
        <v>3500</v>
      </c>
      <c r="G191" s="79" t="s">
        <v>7329</v>
      </c>
      <c r="H191" s="80">
        <v>9323808</v>
      </c>
    </row>
    <row r="192" spans="1:8" x14ac:dyDescent="0.2">
      <c r="A192" s="79" t="s">
        <v>7447</v>
      </c>
      <c r="B192" s="79" t="s">
        <v>7519</v>
      </c>
      <c r="C192" s="79" t="s">
        <v>7311</v>
      </c>
      <c r="D192" s="79" t="s">
        <v>7312</v>
      </c>
      <c r="E192" s="79">
        <v>5000</v>
      </c>
      <c r="G192" s="79" t="s">
        <v>7329</v>
      </c>
      <c r="H192" s="80">
        <v>11984118</v>
      </c>
    </row>
    <row r="193" spans="1:8" x14ac:dyDescent="0.2">
      <c r="A193" s="79" t="s">
        <v>7447</v>
      </c>
      <c r="B193" s="79" t="s">
        <v>7520</v>
      </c>
      <c r="C193" s="79" t="s">
        <v>7311</v>
      </c>
      <c r="D193" s="79" t="s">
        <v>7312</v>
      </c>
      <c r="E193" s="79">
        <v>5000</v>
      </c>
      <c r="G193" s="79" t="s">
        <v>7329</v>
      </c>
      <c r="H193" s="80">
        <v>12909759</v>
      </c>
    </row>
    <row r="194" spans="1:8" x14ac:dyDescent="0.2">
      <c r="A194" s="79" t="s">
        <v>7447</v>
      </c>
      <c r="B194" s="79" t="s">
        <v>7521</v>
      </c>
      <c r="C194" s="79" t="s">
        <v>7311</v>
      </c>
      <c r="D194" s="79" t="s">
        <v>7312</v>
      </c>
      <c r="E194" s="79">
        <v>5500</v>
      </c>
      <c r="G194" s="79" t="s">
        <v>7329</v>
      </c>
      <c r="H194" s="80">
        <v>13476334</v>
      </c>
    </row>
    <row r="195" spans="1:8" x14ac:dyDescent="0.2">
      <c r="A195" s="79" t="s">
        <v>7447</v>
      </c>
      <c r="B195" s="79" t="s">
        <v>7522</v>
      </c>
      <c r="C195" s="79" t="s">
        <v>7311</v>
      </c>
      <c r="D195" s="79" t="s">
        <v>7312</v>
      </c>
      <c r="E195" s="79">
        <v>4400</v>
      </c>
      <c r="G195" s="79" t="s">
        <v>7329</v>
      </c>
      <c r="H195" s="80">
        <v>14718609</v>
      </c>
    </row>
    <row r="196" spans="1:8" x14ac:dyDescent="0.2">
      <c r="A196" s="79" t="s">
        <v>7447</v>
      </c>
      <c r="B196" s="79" t="s">
        <v>7523</v>
      </c>
      <c r="C196" s="79" t="s">
        <v>7311</v>
      </c>
      <c r="D196" s="79" t="s">
        <v>7312</v>
      </c>
      <c r="E196" s="79">
        <v>2996</v>
      </c>
      <c r="G196" s="79" t="s">
        <v>7329</v>
      </c>
      <c r="H196" s="80">
        <v>11082111</v>
      </c>
    </row>
    <row r="197" spans="1:8" x14ac:dyDescent="0.2">
      <c r="A197" s="79" t="s">
        <v>7447</v>
      </c>
      <c r="B197" s="79" t="s">
        <v>7524</v>
      </c>
      <c r="C197" s="79" t="s">
        <v>7311</v>
      </c>
      <c r="D197" s="79" t="s">
        <v>7312</v>
      </c>
      <c r="E197" s="79">
        <v>2996</v>
      </c>
      <c r="G197" s="79" t="s">
        <v>7329</v>
      </c>
      <c r="H197" s="80">
        <v>11082111</v>
      </c>
    </row>
    <row r="198" spans="1:8" x14ac:dyDescent="0.2">
      <c r="A198" s="79" t="s">
        <v>7447</v>
      </c>
      <c r="B198" s="79" t="s">
        <v>7525</v>
      </c>
      <c r="C198" s="79" t="s">
        <v>7320</v>
      </c>
      <c r="D198" s="79" t="s">
        <v>7312</v>
      </c>
      <c r="E198" s="79">
        <v>2996</v>
      </c>
      <c r="G198" s="79" t="s">
        <v>7329</v>
      </c>
      <c r="H198" s="80">
        <v>14953312</v>
      </c>
    </row>
    <row r="199" spans="1:8" x14ac:dyDescent="0.2">
      <c r="A199" s="79" t="s">
        <v>7447</v>
      </c>
      <c r="B199" s="79" t="s">
        <v>7526</v>
      </c>
      <c r="C199" s="79" t="s">
        <v>7320</v>
      </c>
      <c r="D199" s="79" t="s">
        <v>7312</v>
      </c>
      <c r="E199" s="79">
        <v>2996</v>
      </c>
      <c r="G199" s="79" t="s">
        <v>7329</v>
      </c>
      <c r="H199" s="80">
        <v>12811176</v>
      </c>
    </row>
    <row r="200" spans="1:8" x14ac:dyDescent="0.2">
      <c r="A200" s="79" t="s">
        <v>7447</v>
      </c>
      <c r="B200" s="79" t="s">
        <v>7527</v>
      </c>
      <c r="C200" s="79" t="s">
        <v>7320</v>
      </c>
      <c r="D200" s="79" t="s">
        <v>7328</v>
      </c>
      <c r="E200" s="79">
        <v>2996</v>
      </c>
      <c r="G200" s="79" t="s">
        <v>7329</v>
      </c>
      <c r="H200" s="80">
        <v>14533347</v>
      </c>
    </row>
    <row r="201" spans="1:8" x14ac:dyDescent="0.2">
      <c r="A201" s="79" t="s">
        <v>7447</v>
      </c>
      <c r="B201" s="79" t="s">
        <v>7528</v>
      </c>
      <c r="C201" s="79" t="s">
        <v>7320</v>
      </c>
      <c r="D201" s="79" t="s">
        <v>7328</v>
      </c>
      <c r="E201" s="79">
        <v>2996</v>
      </c>
      <c r="G201" s="79" t="s">
        <v>7329</v>
      </c>
      <c r="H201" s="80">
        <v>16141260</v>
      </c>
    </row>
    <row r="202" spans="1:8" x14ac:dyDescent="0.2">
      <c r="A202" s="79" t="s">
        <v>7447</v>
      </c>
      <c r="B202" s="79" t="s">
        <v>7529</v>
      </c>
      <c r="C202" s="79" t="s">
        <v>7320</v>
      </c>
      <c r="D202" s="79" t="s">
        <v>7312</v>
      </c>
      <c r="E202" s="79">
        <v>4800</v>
      </c>
      <c r="G202" s="79" t="s">
        <v>7329</v>
      </c>
      <c r="H202" s="80">
        <v>17590043</v>
      </c>
    </row>
    <row r="203" spans="1:8" x14ac:dyDescent="0.2">
      <c r="A203" s="79" t="s">
        <v>7447</v>
      </c>
      <c r="B203" s="79" t="s">
        <v>7530</v>
      </c>
      <c r="C203" s="79" t="s">
        <v>7320</v>
      </c>
      <c r="D203" s="79" t="s">
        <v>7312</v>
      </c>
      <c r="E203" s="79">
        <v>4800</v>
      </c>
      <c r="G203" s="79" t="s">
        <v>7329</v>
      </c>
      <c r="H203" s="80">
        <v>18231629</v>
      </c>
    </row>
    <row r="204" spans="1:8" x14ac:dyDescent="0.2">
      <c r="A204" s="79" t="s">
        <v>7447</v>
      </c>
      <c r="B204" s="79" t="s">
        <v>7531</v>
      </c>
      <c r="C204" s="79" t="s">
        <v>7320</v>
      </c>
      <c r="D204" s="79" t="s">
        <v>7312</v>
      </c>
      <c r="E204" s="79">
        <v>4800</v>
      </c>
      <c r="G204" s="79" t="s">
        <v>7329</v>
      </c>
      <c r="H204" s="80">
        <v>15982130</v>
      </c>
    </row>
    <row r="205" spans="1:8" x14ac:dyDescent="0.2">
      <c r="A205" s="79" t="s">
        <v>7447</v>
      </c>
      <c r="B205" s="79" t="s">
        <v>7532</v>
      </c>
      <c r="C205" s="79" t="s">
        <v>7320</v>
      </c>
      <c r="D205" s="79" t="s">
        <v>7312</v>
      </c>
      <c r="E205" s="79">
        <v>4800</v>
      </c>
      <c r="G205" s="79" t="s">
        <v>7329</v>
      </c>
      <c r="H205" s="80">
        <v>16618299</v>
      </c>
    </row>
    <row r="206" spans="1:8" x14ac:dyDescent="0.2">
      <c r="A206" s="79" t="s">
        <v>7447</v>
      </c>
      <c r="B206" s="79" t="s">
        <v>7533</v>
      </c>
      <c r="C206" s="79" t="s">
        <v>7311</v>
      </c>
      <c r="D206" s="79" t="s">
        <v>7312</v>
      </c>
      <c r="E206" s="79">
        <v>2979</v>
      </c>
      <c r="G206" s="79" t="s">
        <v>7329</v>
      </c>
      <c r="H206" s="80">
        <v>12186612</v>
      </c>
    </row>
    <row r="207" spans="1:8" x14ac:dyDescent="0.2">
      <c r="A207" s="79" t="s">
        <v>7447</v>
      </c>
      <c r="B207" s="79" t="s">
        <v>7534</v>
      </c>
      <c r="C207" s="79" t="s">
        <v>7311</v>
      </c>
      <c r="D207" s="79" t="s">
        <v>7312</v>
      </c>
      <c r="E207" s="79">
        <v>2979</v>
      </c>
      <c r="G207" s="79" t="s">
        <v>7329</v>
      </c>
      <c r="H207" s="80">
        <v>13424768</v>
      </c>
    </row>
    <row r="208" spans="1:8" x14ac:dyDescent="0.2">
      <c r="A208" s="79" t="s">
        <v>7447</v>
      </c>
      <c r="B208" s="79" t="s">
        <v>7535</v>
      </c>
      <c r="C208" s="79" t="s">
        <v>7311</v>
      </c>
      <c r="D208" s="79" t="s">
        <v>7328</v>
      </c>
      <c r="E208" s="79">
        <v>3000</v>
      </c>
      <c r="G208" s="79" t="s">
        <v>7329</v>
      </c>
      <c r="H208" s="80">
        <v>12441844</v>
      </c>
    </row>
    <row r="209" spans="1:8" x14ac:dyDescent="0.2">
      <c r="A209" s="79" t="s">
        <v>7447</v>
      </c>
      <c r="B209" s="79" t="s">
        <v>7536</v>
      </c>
      <c r="C209" s="79" t="s">
        <v>7311</v>
      </c>
      <c r="D209" s="79" t="s">
        <v>7328</v>
      </c>
      <c r="E209" s="79">
        <v>3000</v>
      </c>
      <c r="G209" s="79" t="s">
        <v>7329</v>
      </c>
      <c r="H209" s="80">
        <v>11113985</v>
      </c>
    </row>
    <row r="210" spans="1:8" x14ac:dyDescent="0.2">
      <c r="A210" s="79" t="s">
        <v>7447</v>
      </c>
      <c r="B210" s="79" t="s">
        <v>7537</v>
      </c>
      <c r="C210" s="79" t="s">
        <v>7311</v>
      </c>
      <c r="D210" s="79" t="s">
        <v>7312</v>
      </c>
      <c r="E210" s="79">
        <v>3500</v>
      </c>
      <c r="G210" s="79" t="s">
        <v>7329</v>
      </c>
      <c r="H210" s="80">
        <v>15673187</v>
      </c>
    </row>
    <row r="211" spans="1:8" x14ac:dyDescent="0.2">
      <c r="A211" s="79" t="s">
        <v>7447</v>
      </c>
      <c r="B211" s="79" t="s">
        <v>7538</v>
      </c>
      <c r="C211" s="79" t="s">
        <v>7311</v>
      </c>
      <c r="D211" s="79" t="s">
        <v>7312</v>
      </c>
      <c r="E211" s="79">
        <v>4000</v>
      </c>
      <c r="G211" s="79" t="s">
        <v>7329</v>
      </c>
      <c r="H211" s="80">
        <v>14187825</v>
      </c>
    </row>
    <row r="212" spans="1:8" x14ac:dyDescent="0.2">
      <c r="A212" s="79" t="s">
        <v>7447</v>
      </c>
      <c r="B212" s="79" t="s">
        <v>7539</v>
      </c>
      <c r="C212" s="79" t="s">
        <v>7311</v>
      </c>
      <c r="D212" s="79" t="s">
        <v>7312</v>
      </c>
      <c r="E212" s="79">
        <v>4000</v>
      </c>
      <c r="G212" s="79" t="s">
        <v>7329</v>
      </c>
      <c r="H212" s="80">
        <v>14981485</v>
      </c>
    </row>
    <row r="213" spans="1:8" x14ac:dyDescent="0.2">
      <c r="A213" s="79" t="s">
        <v>7447</v>
      </c>
      <c r="B213" s="79" t="s">
        <v>7540</v>
      </c>
      <c r="C213" s="79" t="s">
        <v>7311</v>
      </c>
      <c r="D213" s="79" t="s">
        <v>7312</v>
      </c>
      <c r="E213" s="79">
        <v>4400</v>
      </c>
      <c r="G213" s="79" t="s">
        <v>7329</v>
      </c>
      <c r="H213" s="80">
        <v>15173875</v>
      </c>
    </row>
    <row r="214" spans="1:8" x14ac:dyDescent="0.2">
      <c r="A214" s="79" t="s">
        <v>7447</v>
      </c>
      <c r="B214" s="79" t="s">
        <v>7541</v>
      </c>
      <c r="C214" s="79" t="s">
        <v>7311</v>
      </c>
      <c r="D214" s="79" t="s">
        <v>7312</v>
      </c>
      <c r="E214" s="79">
        <v>5000</v>
      </c>
      <c r="G214" s="79" t="s">
        <v>7329</v>
      </c>
      <c r="H214" s="80">
        <v>16018403</v>
      </c>
    </row>
    <row r="215" spans="1:8" x14ac:dyDescent="0.2">
      <c r="A215" s="79" t="s">
        <v>7447</v>
      </c>
      <c r="B215" s="79" t="s">
        <v>7542</v>
      </c>
      <c r="C215" s="79" t="s">
        <v>7311</v>
      </c>
      <c r="D215" s="79" t="s">
        <v>7312</v>
      </c>
      <c r="E215" s="79">
        <v>5000</v>
      </c>
      <c r="G215" s="79" t="s">
        <v>7329</v>
      </c>
      <c r="H215" s="80">
        <v>16330484</v>
      </c>
    </row>
    <row r="216" spans="1:8" x14ac:dyDescent="0.2">
      <c r="A216" s="79" t="s">
        <v>7447</v>
      </c>
      <c r="B216" s="79" t="s">
        <v>7543</v>
      </c>
      <c r="C216" s="79" t="s">
        <v>7311</v>
      </c>
      <c r="D216" s="79" t="s">
        <v>7312</v>
      </c>
      <c r="E216" s="79">
        <v>5000</v>
      </c>
      <c r="G216" s="79" t="s">
        <v>7329</v>
      </c>
      <c r="H216" s="80">
        <v>16734898</v>
      </c>
    </row>
    <row r="217" spans="1:8" x14ac:dyDescent="0.2">
      <c r="A217" s="79" t="s">
        <v>7447</v>
      </c>
      <c r="B217" s="79" t="s">
        <v>7544</v>
      </c>
      <c r="C217" s="79" t="s">
        <v>7311</v>
      </c>
      <c r="D217" s="79" t="s">
        <v>7312</v>
      </c>
      <c r="E217" s="79">
        <v>5000</v>
      </c>
      <c r="G217" s="79" t="s">
        <v>7329</v>
      </c>
      <c r="H217" s="80">
        <v>17011437</v>
      </c>
    </row>
    <row r="218" spans="1:8" x14ac:dyDescent="0.2">
      <c r="A218" s="79" t="s">
        <v>7447</v>
      </c>
      <c r="B218" s="79" t="s">
        <v>7545</v>
      </c>
      <c r="C218" s="79" t="s">
        <v>7311</v>
      </c>
      <c r="D218" s="79" t="s">
        <v>7312</v>
      </c>
      <c r="E218" s="79">
        <v>6000</v>
      </c>
      <c r="G218" s="79" t="s">
        <v>7329</v>
      </c>
      <c r="H218" s="80">
        <v>25068793</v>
      </c>
    </row>
    <row r="219" spans="1:8" x14ac:dyDescent="0.2">
      <c r="A219" s="79" t="s">
        <v>7447</v>
      </c>
      <c r="B219" s="79" t="s">
        <v>7546</v>
      </c>
      <c r="C219" s="79" t="s">
        <v>7311</v>
      </c>
      <c r="D219" s="79" t="s">
        <v>7312</v>
      </c>
      <c r="E219" s="79">
        <v>6000</v>
      </c>
      <c r="G219" s="79" t="s">
        <v>7329</v>
      </c>
      <c r="H219" s="80">
        <v>26962671</v>
      </c>
    </row>
    <row r="220" spans="1:8" x14ac:dyDescent="0.2">
      <c r="A220" s="79" t="s">
        <v>7447</v>
      </c>
      <c r="B220" s="79" t="s">
        <v>7547</v>
      </c>
      <c r="C220" s="79" t="s">
        <v>7335</v>
      </c>
      <c r="D220" s="79" t="s">
        <v>7312</v>
      </c>
      <c r="E220" s="79">
        <v>2000</v>
      </c>
      <c r="F220" s="79" t="s">
        <v>7548</v>
      </c>
      <c r="G220" s="79" t="s">
        <v>7329</v>
      </c>
      <c r="H220" s="80">
        <v>4029204</v>
      </c>
    </row>
    <row r="221" spans="1:8" x14ac:dyDescent="0.2">
      <c r="A221" s="79" t="s">
        <v>7447</v>
      </c>
      <c r="B221" s="79" t="s">
        <v>7549</v>
      </c>
      <c r="C221" s="79" t="s">
        <v>7335</v>
      </c>
      <c r="D221" s="79" t="s">
        <v>7312</v>
      </c>
      <c r="E221" s="79">
        <v>2000</v>
      </c>
      <c r="F221" s="79" t="s">
        <v>7336</v>
      </c>
      <c r="G221" s="79" t="s">
        <v>7329</v>
      </c>
      <c r="H221" s="80">
        <v>4721172</v>
      </c>
    </row>
    <row r="222" spans="1:8" x14ac:dyDescent="0.2">
      <c r="A222" s="79" t="s">
        <v>7447</v>
      </c>
      <c r="B222" s="79" t="s">
        <v>7550</v>
      </c>
      <c r="C222" s="79" t="s">
        <v>7335</v>
      </c>
      <c r="D222" s="79" t="s">
        <v>7312</v>
      </c>
      <c r="E222" s="79">
        <v>2000</v>
      </c>
      <c r="F222" s="79" t="s">
        <v>7336</v>
      </c>
      <c r="G222" s="79" t="s">
        <v>7329</v>
      </c>
      <c r="H222" s="80">
        <v>5059506</v>
      </c>
    </row>
    <row r="223" spans="1:8" x14ac:dyDescent="0.2">
      <c r="A223" s="79" t="s">
        <v>7447</v>
      </c>
      <c r="B223" s="79" t="s">
        <v>7551</v>
      </c>
      <c r="C223" s="79" t="s">
        <v>7335</v>
      </c>
      <c r="D223" s="79" t="s">
        <v>7312</v>
      </c>
      <c r="E223" s="79">
        <v>3000</v>
      </c>
      <c r="F223" s="79" t="s">
        <v>7349</v>
      </c>
      <c r="G223" s="79" t="s">
        <v>7329</v>
      </c>
      <c r="H223" s="80">
        <v>5997192</v>
      </c>
    </row>
    <row r="224" spans="1:8" x14ac:dyDescent="0.2">
      <c r="A224" s="79" t="s">
        <v>7447</v>
      </c>
      <c r="B224" s="79" t="s">
        <v>7552</v>
      </c>
      <c r="C224" s="79" t="s">
        <v>7335</v>
      </c>
      <c r="D224" s="79" t="s">
        <v>7328</v>
      </c>
      <c r="E224" s="79">
        <v>2000</v>
      </c>
      <c r="F224" s="79" t="s">
        <v>7336</v>
      </c>
      <c r="G224" s="79" t="s">
        <v>7329</v>
      </c>
      <c r="H224" s="80">
        <v>4344486</v>
      </c>
    </row>
    <row r="225" spans="1:8" x14ac:dyDescent="0.2">
      <c r="A225" s="79" t="s">
        <v>7447</v>
      </c>
      <c r="B225" s="79" t="s">
        <v>7553</v>
      </c>
      <c r="C225" s="79" t="s">
        <v>7335</v>
      </c>
      <c r="D225" s="79" t="s">
        <v>7328</v>
      </c>
      <c r="E225" s="79">
        <v>2000</v>
      </c>
      <c r="F225" s="79" t="s">
        <v>7336</v>
      </c>
      <c r="G225" s="79" t="s">
        <v>7329</v>
      </c>
      <c r="H225" s="80">
        <v>4677414</v>
      </c>
    </row>
    <row r="226" spans="1:8" x14ac:dyDescent="0.2">
      <c r="A226" s="79" t="s">
        <v>7447</v>
      </c>
      <c r="B226" s="79" t="s">
        <v>7554</v>
      </c>
      <c r="C226" s="79" t="s">
        <v>7335</v>
      </c>
      <c r="D226" s="79" t="s">
        <v>7328</v>
      </c>
      <c r="E226" s="79">
        <v>2000</v>
      </c>
      <c r="F226" s="79" t="s">
        <v>7336</v>
      </c>
      <c r="G226" s="79" t="s">
        <v>7329</v>
      </c>
      <c r="H226" s="80">
        <v>4611318</v>
      </c>
    </row>
    <row r="227" spans="1:8" x14ac:dyDescent="0.2">
      <c r="A227" s="79" t="s">
        <v>7447</v>
      </c>
      <c r="B227" s="79" t="s">
        <v>7555</v>
      </c>
      <c r="C227" s="79" t="s">
        <v>7335</v>
      </c>
      <c r="D227" s="79" t="s">
        <v>7328</v>
      </c>
      <c r="E227" s="79">
        <v>2000</v>
      </c>
      <c r="F227" s="79" t="s">
        <v>7336</v>
      </c>
      <c r="G227" s="79" t="s">
        <v>7313</v>
      </c>
      <c r="H227" s="80">
        <v>5013708</v>
      </c>
    </row>
    <row r="228" spans="1:8" x14ac:dyDescent="0.2">
      <c r="A228" s="79" t="s">
        <v>7447</v>
      </c>
      <c r="B228" s="79" t="s">
        <v>7556</v>
      </c>
      <c r="C228" s="79" t="s">
        <v>7335</v>
      </c>
      <c r="D228" s="79" t="s">
        <v>7328</v>
      </c>
      <c r="E228" s="79">
        <v>2000</v>
      </c>
      <c r="F228" s="79" t="s">
        <v>7349</v>
      </c>
      <c r="G228" s="79" t="s">
        <v>7313</v>
      </c>
      <c r="H228" s="80">
        <v>5462712</v>
      </c>
    </row>
    <row r="229" spans="1:8" x14ac:dyDescent="0.2">
      <c r="A229" s="79" t="s">
        <v>7447</v>
      </c>
      <c r="B229" s="79" t="s">
        <v>7557</v>
      </c>
      <c r="C229" s="79" t="s">
        <v>7335</v>
      </c>
      <c r="D229" s="79" t="s">
        <v>7312</v>
      </c>
      <c r="E229" s="79">
        <v>2000</v>
      </c>
      <c r="F229" s="79" t="s">
        <v>7336</v>
      </c>
      <c r="G229" s="79" t="s">
        <v>7313</v>
      </c>
      <c r="H229" s="80">
        <v>5693436</v>
      </c>
    </row>
    <row r="230" spans="1:8" x14ac:dyDescent="0.2">
      <c r="A230" s="79" t="s">
        <v>7447</v>
      </c>
      <c r="B230" s="79" t="s">
        <v>7558</v>
      </c>
      <c r="C230" s="79" t="s">
        <v>7335</v>
      </c>
      <c r="D230" s="79" t="s">
        <v>7328</v>
      </c>
      <c r="E230" s="79">
        <v>2000</v>
      </c>
      <c r="F230" s="79" t="s">
        <v>7336</v>
      </c>
      <c r="G230" s="79" t="s">
        <v>7313</v>
      </c>
      <c r="H230" s="80">
        <v>5869794</v>
      </c>
    </row>
    <row r="231" spans="1:8" x14ac:dyDescent="0.2">
      <c r="A231" s="79" t="s">
        <v>7447</v>
      </c>
      <c r="B231" s="79" t="s">
        <v>7559</v>
      </c>
      <c r="C231" s="79" t="s">
        <v>7335</v>
      </c>
      <c r="D231" s="79" t="s">
        <v>7312</v>
      </c>
      <c r="E231" s="79">
        <v>2500</v>
      </c>
      <c r="G231" s="79" t="s">
        <v>7313</v>
      </c>
      <c r="H231" s="80">
        <v>6391645</v>
      </c>
    </row>
    <row r="232" spans="1:8" x14ac:dyDescent="0.2">
      <c r="A232" s="79" t="s">
        <v>7447</v>
      </c>
      <c r="B232" s="79" t="s">
        <v>7560</v>
      </c>
      <c r="C232" s="79" t="s">
        <v>7335</v>
      </c>
      <c r="D232" s="79" t="s">
        <v>7312</v>
      </c>
      <c r="E232" s="79">
        <v>3000</v>
      </c>
      <c r="F232" s="79" t="s">
        <v>7349</v>
      </c>
      <c r="G232" s="79" t="s">
        <v>7313</v>
      </c>
      <c r="H232" s="80">
        <v>6894384</v>
      </c>
    </row>
    <row r="233" spans="1:8" x14ac:dyDescent="0.2">
      <c r="A233" s="79" t="s">
        <v>7447</v>
      </c>
      <c r="B233" s="79" t="s">
        <v>7561</v>
      </c>
      <c r="C233" s="79" t="s">
        <v>7335</v>
      </c>
      <c r="D233" s="79" t="s">
        <v>7312</v>
      </c>
      <c r="E233" s="79">
        <v>3000</v>
      </c>
      <c r="G233" s="79" t="s">
        <v>7313</v>
      </c>
      <c r="H233" s="80">
        <v>7026984</v>
      </c>
    </row>
    <row r="234" spans="1:8" x14ac:dyDescent="0.2">
      <c r="A234" s="79" t="s">
        <v>7447</v>
      </c>
      <c r="B234" s="79" t="s">
        <v>7562</v>
      </c>
      <c r="C234" s="79" t="s">
        <v>7335</v>
      </c>
      <c r="D234" s="79" t="s">
        <v>7328</v>
      </c>
      <c r="E234" s="79">
        <v>3000</v>
      </c>
      <c r="F234" s="79" t="s">
        <v>7349</v>
      </c>
      <c r="G234" s="79" t="s">
        <v>7313</v>
      </c>
      <c r="H234" s="80">
        <v>7973729</v>
      </c>
    </row>
    <row r="235" spans="1:8" x14ac:dyDescent="0.2">
      <c r="A235" s="79" t="s">
        <v>7447</v>
      </c>
      <c r="B235" s="79" t="s">
        <v>7563</v>
      </c>
      <c r="C235" s="79" t="s">
        <v>7335</v>
      </c>
      <c r="D235" s="79" t="s">
        <v>7312</v>
      </c>
      <c r="E235" s="79">
        <v>3000</v>
      </c>
      <c r="F235" s="79" t="s">
        <v>7349</v>
      </c>
      <c r="G235" s="79" t="s">
        <v>7313</v>
      </c>
      <c r="H235" s="80">
        <v>7663974</v>
      </c>
    </row>
    <row r="236" spans="1:8" x14ac:dyDescent="0.2">
      <c r="A236" s="79" t="s">
        <v>7447</v>
      </c>
      <c r="B236" s="79" t="s">
        <v>7564</v>
      </c>
      <c r="C236" s="79" t="s">
        <v>7335</v>
      </c>
      <c r="D236" s="79" t="s">
        <v>7328</v>
      </c>
      <c r="E236" s="79">
        <v>3000</v>
      </c>
      <c r="F236" s="79" t="s">
        <v>7349</v>
      </c>
      <c r="G236" s="79" t="s">
        <v>7313</v>
      </c>
      <c r="H236" s="80">
        <v>8580079</v>
      </c>
    </row>
    <row r="237" spans="1:8" x14ac:dyDescent="0.2">
      <c r="A237" s="79" t="s">
        <v>7447</v>
      </c>
      <c r="B237" s="79" t="s">
        <v>7565</v>
      </c>
      <c r="C237" s="79" t="s">
        <v>7335</v>
      </c>
      <c r="D237" s="79" t="s">
        <v>7328</v>
      </c>
      <c r="E237" s="79">
        <v>2000</v>
      </c>
      <c r="G237" s="79" t="s">
        <v>7313</v>
      </c>
      <c r="H237" s="80">
        <v>8793317</v>
      </c>
    </row>
    <row r="238" spans="1:8" x14ac:dyDescent="0.2">
      <c r="A238" s="79" t="s">
        <v>7447</v>
      </c>
      <c r="B238" s="79" t="s">
        <v>7565</v>
      </c>
      <c r="C238" s="79" t="s">
        <v>7335</v>
      </c>
      <c r="D238" s="79" t="s">
        <v>7312</v>
      </c>
      <c r="E238" s="79">
        <v>2000</v>
      </c>
      <c r="G238" s="79" t="s">
        <v>7313</v>
      </c>
      <c r="H238" s="80">
        <v>8671187</v>
      </c>
    </row>
    <row r="239" spans="1:8" x14ac:dyDescent="0.2">
      <c r="A239" s="79" t="s">
        <v>7447</v>
      </c>
      <c r="B239" s="79" t="s">
        <v>7566</v>
      </c>
      <c r="C239" s="79" t="s">
        <v>7335</v>
      </c>
      <c r="D239" s="79" t="s">
        <v>7328</v>
      </c>
      <c r="E239" s="79">
        <v>3000</v>
      </c>
      <c r="F239" s="79" t="s">
        <v>7349</v>
      </c>
      <c r="G239" s="79" t="s">
        <v>7313</v>
      </c>
      <c r="H239" s="80">
        <v>12172979</v>
      </c>
    </row>
    <row r="240" spans="1:8" x14ac:dyDescent="0.2">
      <c r="A240" s="79" t="s">
        <v>7447</v>
      </c>
      <c r="B240" s="79" t="s">
        <v>7567</v>
      </c>
      <c r="C240" s="79" t="s">
        <v>7335</v>
      </c>
      <c r="D240" s="79" t="s">
        <v>7312</v>
      </c>
      <c r="E240" s="79">
        <v>3000</v>
      </c>
      <c r="F240" s="79" t="s">
        <v>7349</v>
      </c>
      <c r="G240" s="79" t="s">
        <v>7313</v>
      </c>
      <c r="H240" s="80">
        <v>11235905</v>
      </c>
    </row>
    <row r="241" spans="1:8" x14ac:dyDescent="0.2">
      <c r="A241" s="79" t="s">
        <v>7447</v>
      </c>
      <c r="B241" s="79" t="s">
        <v>7568</v>
      </c>
      <c r="C241" s="79" t="s">
        <v>7335</v>
      </c>
      <c r="D241" s="79" t="s">
        <v>7312</v>
      </c>
      <c r="E241" s="79">
        <v>4400</v>
      </c>
      <c r="F241" s="79" t="s">
        <v>7349</v>
      </c>
      <c r="G241" s="79" t="s">
        <v>7313</v>
      </c>
      <c r="H241" s="80">
        <v>12675572</v>
      </c>
    </row>
    <row r="242" spans="1:8" x14ac:dyDescent="0.2">
      <c r="A242" s="79" t="s">
        <v>7447</v>
      </c>
      <c r="B242" s="79" t="s">
        <v>7569</v>
      </c>
      <c r="C242" s="79" t="s">
        <v>7335</v>
      </c>
      <c r="D242" s="79" t="s">
        <v>7312</v>
      </c>
      <c r="E242" s="79">
        <v>4400</v>
      </c>
      <c r="F242" s="79" t="s">
        <v>7349</v>
      </c>
      <c r="G242" s="79" t="s">
        <v>7313</v>
      </c>
      <c r="H242" s="80">
        <v>18331200</v>
      </c>
    </row>
    <row r="243" spans="1:8" x14ac:dyDescent="0.2">
      <c r="A243" s="79" t="s">
        <v>7447</v>
      </c>
      <c r="B243" s="79" t="s">
        <v>7570</v>
      </c>
      <c r="C243" s="79" t="s">
        <v>7335</v>
      </c>
      <c r="D243" s="79" t="s">
        <v>7312</v>
      </c>
      <c r="E243" s="79">
        <v>4799</v>
      </c>
      <c r="F243" s="79" t="s">
        <v>7349</v>
      </c>
      <c r="G243" s="79" t="s">
        <v>7313</v>
      </c>
      <c r="H243" s="80">
        <v>19993605</v>
      </c>
    </row>
    <row r="244" spans="1:8" x14ac:dyDescent="0.2">
      <c r="A244" s="79" t="s">
        <v>7447</v>
      </c>
      <c r="B244" s="79" t="s">
        <v>7571</v>
      </c>
      <c r="C244" s="79" t="s">
        <v>7335</v>
      </c>
      <c r="D244" s="79" t="s">
        <v>7328</v>
      </c>
      <c r="E244" s="79">
        <v>3000</v>
      </c>
      <c r="G244" s="79" t="s">
        <v>7313</v>
      </c>
      <c r="H244" s="80">
        <v>14596461</v>
      </c>
    </row>
    <row r="245" spans="1:8" x14ac:dyDescent="0.2">
      <c r="A245" s="79" t="s">
        <v>7447</v>
      </c>
      <c r="B245" s="79" t="s">
        <v>7572</v>
      </c>
      <c r="C245" s="79" t="s">
        <v>7335</v>
      </c>
      <c r="D245" s="79" t="s">
        <v>7328</v>
      </c>
      <c r="E245" s="79">
        <v>2000</v>
      </c>
      <c r="G245" s="79" t="s">
        <v>7313</v>
      </c>
      <c r="H245" s="80">
        <v>8981885</v>
      </c>
    </row>
    <row r="246" spans="1:8" x14ac:dyDescent="0.2">
      <c r="A246" s="79" t="s">
        <v>7447</v>
      </c>
      <c r="B246" s="79" t="s">
        <v>7573</v>
      </c>
      <c r="C246" s="79" t="s">
        <v>7335</v>
      </c>
      <c r="D246" s="79" t="s">
        <v>7328</v>
      </c>
      <c r="E246" s="79">
        <v>3000</v>
      </c>
      <c r="G246" s="79" t="s">
        <v>7313</v>
      </c>
      <c r="H246" s="80">
        <v>13205036</v>
      </c>
    </row>
    <row r="247" spans="1:8" x14ac:dyDescent="0.2">
      <c r="A247" s="79" t="s">
        <v>7447</v>
      </c>
      <c r="B247" s="79" t="s">
        <v>7574</v>
      </c>
      <c r="C247" s="79" t="s">
        <v>7335</v>
      </c>
      <c r="D247" s="79" t="s">
        <v>7312</v>
      </c>
      <c r="E247" s="79">
        <v>3000</v>
      </c>
      <c r="G247" s="79" t="s">
        <v>7313</v>
      </c>
      <c r="H247" s="80">
        <v>11785487</v>
      </c>
    </row>
    <row r="248" spans="1:8" x14ac:dyDescent="0.2">
      <c r="A248" s="79" t="s">
        <v>7447</v>
      </c>
      <c r="B248" s="79" t="s">
        <v>7575</v>
      </c>
      <c r="C248" s="79" t="s">
        <v>7335</v>
      </c>
      <c r="D248" s="79" t="s">
        <v>7312</v>
      </c>
      <c r="E248" s="79">
        <v>4400</v>
      </c>
      <c r="G248" s="79" t="s">
        <v>7313</v>
      </c>
      <c r="H248" s="80">
        <v>13094172</v>
      </c>
    </row>
    <row r="249" spans="1:8" x14ac:dyDescent="0.2">
      <c r="A249" s="79" t="s">
        <v>7447</v>
      </c>
      <c r="B249" s="79" t="s">
        <v>7576</v>
      </c>
      <c r="C249" s="79" t="s">
        <v>7335</v>
      </c>
      <c r="D249" s="79" t="s">
        <v>7312</v>
      </c>
      <c r="E249" s="79">
        <v>4400</v>
      </c>
      <c r="G249" s="79" t="s">
        <v>7313</v>
      </c>
      <c r="H249" s="80">
        <v>18691452</v>
      </c>
    </row>
    <row r="250" spans="1:8" x14ac:dyDescent="0.2">
      <c r="A250" s="79" t="s">
        <v>7447</v>
      </c>
      <c r="B250" s="79" t="s">
        <v>7577</v>
      </c>
      <c r="C250" s="79" t="s">
        <v>7335</v>
      </c>
      <c r="D250" s="79" t="s">
        <v>7312</v>
      </c>
      <c r="E250" s="79">
        <v>4799</v>
      </c>
      <c r="G250" s="79" t="s">
        <v>7313</v>
      </c>
      <c r="H250" s="80">
        <v>12031976</v>
      </c>
    </row>
    <row r="251" spans="1:8" x14ac:dyDescent="0.2">
      <c r="A251" s="79" t="s">
        <v>7447</v>
      </c>
      <c r="B251" s="79" t="s">
        <v>7578</v>
      </c>
      <c r="C251" s="79" t="s">
        <v>7335</v>
      </c>
      <c r="D251" s="79" t="s">
        <v>7312</v>
      </c>
      <c r="E251" s="79">
        <v>4799</v>
      </c>
      <c r="G251" s="79" t="s">
        <v>7313</v>
      </c>
      <c r="H251" s="80">
        <v>13425776</v>
      </c>
    </row>
    <row r="252" spans="1:8" x14ac:dyDescent="0.2">
      <c r="A252" s="79" t="s">
        <v>7447</v>
      </c>
      <c r="B252" s="79" t="s">
        <v>7579</v>
      </c>
      <c r="C252" s="79" t="s">
        <v>7335</v>
      </c>
      <c r="D252" s="79" t="s">
        <v>7312</v>
      </c>
      <c r="E252" s="79">
        <v>4799</v>
      </c>
      <c r="G252" s="79" t="s">
        <v>7313</v>
      </c>
      <c r="H252" s="80">
        <v>11491787</v>
      </c>
    </row>
    <row r="253" spans="1:8" x14ac:dyDescent="0.2">
      <c r="A253" s="79" t="s">
        <v>7447</v>
      </c>
      <c r="B253" s="79" t="s">
        <v>7580</v>
      </c>
      <c r="C253" s="79" t="s">
        <v>7335</v>
      </c>
      <c r="D253" s="79" t="s">
        <v>7312</v>
      </c>
      <c r="E253" s="79">
        <v>4799</v>
      </c>
      <c r="G253" s="79" t="s">
        <v>7313</v>
      </c>
      <c r="H253" s="80">
        <v>20834714</v>
      </c>
    </row>
    <row r="254" spans="1:8" x14ac:dyDescent="0.2">
      <c r="A254" s="79" t="s">
        <v>7447</v>
      </c>
      <c r="B254" s="79" t="s">
        <v>7581</v>
      </c>
      <c r="C254" s="79" t="s">
        <v>7335</v>
      </c>
      <c r="D254" s="79" t="s">
        <v>7312</v>
      </c>
      <c r="E254" s="79">
        <v>4799</v>
      </c>
      <c r="G254" s="79" t="s">
        <v>7313</v>
      </c>
      <c r="H254" s="80">
        <v>22228920</v>
      </c>
    </row>
    <row r="255" spans="1:8" x14ac:dyDescent="0.2">
      <c r="A255" s="79" t="s">
        <v>7447</v>
      </c>
      <c r="B255" s="79" t="s">
        <v>7582</v>
      </c>
      <c r="C255" s="79" t="s">
        <v>7320</v>
      </c>
      <c r="D255" s="79" t="s">
        <v>7312</v>
      </c>
      <c r="E255" s="79">
        <v>2300</v>
      </c>
      <c r="G255" s="79" t="s">
        <v>7329</v>
      </c>
      <c r="H255" s="80">
        <v>5631930</v>
      </c>
    </row>
    <row r="256" spans="1:8" x14ac:dyDescent="0.2">
      <c r="A256" s="79" t="s">
        <v>7447</v>
      </c>
      <c r="B256" s="79" t="s">
        <v>7583</v>
      </c>
      <c r="C256" s="79" t="s">
        <v>7320</v>
      </c>
      <c r="D256" s="79" t="s">
        <v>7312</v>
      </c>
      <c r="E256" s="79">
        <v>2500</v>
      </c>
      <c r="G256" s="79" t="s">
        <v>7329</v>
      </c>
      <c r="H256" s="80">
        <v>6519432</v>
      </c>
    </row>
    <row r="257" spans="1:8" x14ac:dyDescent="0.2">
      <c r="A257" s="79" t="s">
        <v>7447</v>
      </c>
      <c r="B257" s="79" t="s">
        <v>7584</v>
      </c>
      <c r="C257" s="79" t="s">
        <v>7320</v>
      </c>
      <c r="D257" s="79" t="s">
        <v>7312</v>
      </c>
      <c r="E257" s="79">
        <v>3000</v>
      </c>
      <c r="G257" s="79" t="s">
        <v>7329</v>
      </c>
      <c r="H257" s="80">
        <v>7031778</v>
      </c>
    </row>
    <row r="258" spans="1:8" x14ac:dyDescent="0.2">
      <c r="A258" s="79" t="s">
        <v>7447</v>
      </c>
      <c r="B258" s="79" t="s">
        <v>7585</v>
      </c>
      <c r="C258" s="79" t="s">
        <v>7320</v>
      </c>
      <c r="D258" s="79" t="s">
        <v>7312</v>
      </c>
      <c r="E258" s="79">
        <v>3000</v>
      </c>
      <c r="G258" s="79" t="s">
        <v>7329</v>
      </c>
      <c r="H258" s="80">
        <v>8494254</v>
      </c>
    </row>
    <row r="259" spans="1:8" x14ac:dyDescent="0.2">
      <c r="A259" s="79" t="s">
        <v>7447</v>
      </c>
      <c r="B259" s="79" t="s">
        <v>7586</v>
      </c>
      <c r="C259" s="79" t="s">
        <v>7340</v>
      </c>
      <c r="D259" s="79" t="s">
        <v>7312</v>
      </c>
      <c r="E259" s="79">
        <v>1596</v>
      </c>
      <c r="G259" s="79" t="s">
        <v>7329</v>
      </c>
      <c r="H259" s="80">
        <v>2950000</v>
      </c>
    </row>
    <row r="260" spans="1:8" x14ac:dyDescent="0.2">
      <c r="A260" s="79" t="s">
        <v>7447</v>
      </c>
      <c r="B260" s="79" t="s">
        <v>7587</v>
      </c>
      <c r="C260" s="79" t="s">
        <v>7320</v>
      </c>
      <c r="D260" s="79" t="s">
        <v>7312</v>
      </c>
      <c r="E260" s="79">
        <v>1895</v>
      </c>
      <c r="G260" s="79" t="s">
        <v>7329</v>
      </c>
      <c r="H260" s="80">
        <v>4200000</v>
      </c>
    </row>
    <row r="261" spans="1:8" x14ac:dyDescent="0.2">
      <c r="A261" s="79" t="s">
        <v>7588</v>
      </c>
      <c r="B261" s="79" t="s">
        <v>7589</v>
      </c>
      <c r="C261" s="79" t="s">
        <v>7311</v>
      </c>
      <c r="D261" s="79" t="s">
        <v>7312</v>
      </c>
      <c r="E261" s="79">
        <v>3000</v>
      </c>
      <c r="F261" s="79" t="s">
        <v>7349</v>
      </c>
      <c r="H261" s="80">
        <v>4864979</v>
      </c>
    </row>
    <row r="262" spans="1:8" x14ac:dyDescent="0.2">
      <c r="A262" s="79" t="s">
        <v>7588</v>
      </c>
      <c r="B262" s="79" t="s">
        <v>7590</v>
      </c>
      <c r="C262" s="79" t="s">
        <v>7311</v>
      </c>
      <c r="D262" s="79" t="s">
        <v>7312</v>
      </c>
      <c r="E262" s="79">
        <v>6200</v>
      </c>
      <c r="F262" s="79" t="s">
        <v>7336</v>
      </c>
      <c r="H262" s="80">
        <v>9495737</v>
      </c>
    </row>
    <row r="263" spans="1:8" x14ac:dyDescent="0.2">
      <c r="A263" s="79" t="s">
        <v>7588</v>
      </c>
      <c r="B263" s="79" t="s">
        <v>7591</v>
      </c>
      <c r="C263" s="79" t="s">
        <v>7407</v>
      </c>
      <c r="D263" s="79" t="s">
        <v>7312</v>
      </c>
      <c r="E263" s="79">
        <v>3600</v>
      </c>
      <c r="F263" s="79" t="s">
        <v>7349</v>
      </c>
      <c r="H263" s="80">
        <v>5720854</v>
      </c>
    </row>
    <row r="264" spans="1:8" x14ac:dyDescent="0.2">
      <c r="A264" s="79" t="s">
        <v>7588</v>
      </c>
      <c r="B264" s="79" t="s">
        <v>7592</v>
      </c>
      <c r="C264" s="79" t="s">
        <v>7407</v>
      </c>
      <c r="D264" s="79" t="s">
        <v>7312</v>
      </c>
      <c r="E264" s="79">
        <v>6200</v>
      </c>
      <c r="F264" s="79" t="s">
        <v>7349</v>
      </c>
      <c r="H264" s="80">
        <v>9495737</v>
      </c>
    </row>
    <row r="265" spans="1:8" x14ac:dyDescent="0.2">
      <c r="A265" s="79" t="s">
        <v>7588</v>
      </c>
      <c r="B265" s="79" t="s">
        <v>7593</v>
      </c>
      <c r="C265" s="79" t="s">
        <v>7335</v>
      </c>
      <c r="D265" s="79" t="s">
        <v>7312</v>
      </c>
      <c r="E265" s="79">
        <v>6200</v>
      </c>
      <c r="F265" s="79" t="s">
        <v>7336</v>
      </c>
      <c r="H265" s="80">
        <v>5720854</v>
      </c>
    </row>
    <row r="266" spans="1:8" x14ac:dyDescent="0.2">
      <c r="A266" s="79" t="s">
        <v>7588</v>
      </c>
      <c r="B266" s="79" t="s">
        <v>7594</v>
      </c>
      <c r="C266" s="79" t="s">
        <v>7335</v>
      </c>
      <c r="D266" s="79" t="s">
        <v>7312</v>
      </c>
      <c r="E266" s="79">
        <v>6200</v>
      </c>
      <c r="F266" s="79" t="s">
        <v>7336</v>
      </c>
      <c r="H266" s="80">
        <v>9498775</v>
      </c>
    </row>
    <row r="267" spans="1:8" x14ac:dyDescent="0.2">
      <c r="A267" s="79" t="s">
        <v>7588</v>
      </c>
      <c r="B267" s="79" t="s">
        <v>7595</v>
      </c>
      <c r="C267" s="79" t="s">
        <v>7311</v>
      </c>
      <c r="D267" s="79" t="s">
        <v>7312</v>
      </c>
      <c r="E267" s="79">
        <v>3600</v>
      </c>
      <c r="F267" s="79" t="s">
        <v>7336</v>
      </c>
      <c r="G267" s="79" t="s">
        <v>7313</v>
      </c>
      <c r="H267" s="80">
        <v>7050227</v>
      </c>
    </row>
    <row r="268" spans="1:8" x14ac:dyDescent="0.2">
      <c r="A268" s="79" t="s">
        <v>7588</v>
      </c>
      <c r="B268" s="79" t="s">
        <v>7596</v>
      </c>
      <c r="C268" s="79" t="s">
        <v>7311</v>
      </c>
      <c r="D268" s="79" t="s">
        <v>7312</v>
      </c>
      <c r="E268" s="79">
        <v>4600</v>
      </c>
      <c r="F268" s="79" t="s">
        <v>7349</v>
      </c>
      <c r="H268" s="80">
        <v>6960757</v>
      </c>
    </row>
    <row r="269" spans="1:8" x14ac:dyDescent="0.2">
      <c r="A269" s="79" t="s">
        <v>7588</v>
      </c>
      <c r="B269" s="79" t="s">
        <v>7597</v>
      </c>
      <c r="C269" s="79" t="s">
        <v>7335</v>
      </c>
      <c r="D269" s="79" t="s">
        <v>7312</v>
      </c>
      <c r="E269" s="79">
        <v>3000</v>
      </c>
      <c r="F269" s="79" t="s">
        <v>7598</v>
      </c>
      <c r="H269" s="80">
        <v>4764322</v>
      </c>
    </row>
    <row r="270" spans="1:8" x14ac:dyDescent="0.2">
      <c r="A270" s="79" t="s">
        <v>7588</v>
      </c>
      <c r="B270" s="79" t="s">
        <v>7599</v>
      </c>
      <c r="C270" s="79" t="s">
        <v>7335</v>
      </c>
      <c r="D270" s="79" t="s">
        <v>7312</v>
      </c>
      <c r="E270" s="79">
        <v>6200</v>
      </c>
      <c r="F270" s="79" t="s">
        <v>7349</v>
      </c>
      <c r="G270" s="79" t="s">
        <v>7313</v>
      </c>
      <c r="H270" s="80">
        <v>9462186</v>
      </c>
    </row>
    <row r="271" spans="1:8" x14ac:dyDescent="0.2">
      <c r="A271" s="79" t="s">
        <v>7588</v>
      </c>
      <c r="B271" s="79" t="s">
        <v>7600</v>
      </c>
      <c r="C271" s="79" t="s">
        <v>7335</v>
      </c>
      <c r="D271" s="79" t="s">
        <v>7312</v>
      </c>
      <c r="E271" s="79">
        <v>6000</v>
      </c>
      <c r="F271" s="79" t="s">
        <v>7349</v>
      </c>
      <c r="G271" s="79" t="s">
        <v>7329</v>
      </c>
      <c r="H271" s="80">
        <v>11054749</v>
      </c>
    </row>
    <row r="272" spans="1:8" x14ac:dyDescent="0.2">
      <c r="A272" s="79" t="s">
        <v>7588</v>
      </c>
      <c r="B272" s="79" t="s">
        <v>7601</v>
      </c>
      <c r="C272" s="79" t="s">
        <v>7335</v>
      </c>
      <c r="D272" s="79" t="s">
        <v>7312</v>
      </c>
      <c r="E272" s="79">
        <v>6200</v>
      </c>
      <c r="F272" s="79" t="s">
        <v>7349</v>
      </c>
      <c r="G272" s="79" t="s">
        <v>7313</v>
      </c>
      <c r="H272" s="80">
        <v>9853616</v>
      </c>
    </row>
    <row r="273" spans="1:8" x14ac:dyDescent="0.2">
      <c r="A273" s="79" t="s">
        <v>7588</v>
      </c>
      <c r="B273" s="79" t="s">
        <v>7602</v>
      </c>
      <c r="C273" s="79" t="s">
        <v>7335</v>
      </c>
      <c r="D273" s="79" t="s">
        <v>7312</v>
      </c>
      <c r="E273" s="79">
        <v>6200</v>
      </c>
      <c r="F273" s="79" t="s">
        <v>7349</v>
      </c>
      <c r="G273" s="79" t="s">
        <v>7313</v>
      </c>
      <c r="H273" s="80">
        <v>9268863</v>
      </c>
    </row>
    <row r="274" spans="1:8" x14ac:dyDescent="0.2">
      <c r="A274" s="79" t="s">
        <v>7603</v>
      </c>
      <c r="B274" s="79" t="s">
        <v>7604</v>
      </c>
      <c r="C274" s="79" t="s">
        <v>7327</v>
      </c>
      <c r="D274" s="79" t="s">
        <v>7312</v>
      </c>
      <c r="E274" s="79">
        <v>2771</v>
      </c>
      <c r="H274" s="80">
        <v>1589281</v>
      </c>
    </row>
    <row r="275" spans="1:8" x14ac:dyDescent="0.2">
      <c r="A275" s="79" t="s">
        <v>7605</v>
      </c>
      <c r="B275" s="79" t="s">
        <v>7606</v>
      </c>
      <c r="C275" s="79" t="s">
        <v>7340</v>
      </c>
      <c r="D275" s="79" t="s">
        <v>7312</v>
      </c>
      <c r="E275" s="79">
        <v>1500</v>
      </c>
      <c r="G275" s="79" t="s">
        <v>7329</v>
      </c>
      <c r="H275" s="80">
        <v>1950000</v>
      </c>
    </row>
    <row r="276" spans="1:8" x14ac:dyDescent="0.2">
      <c r="A276" s="79" t="s">
        <v>7605</v>
      </c>
      <c r="B276" s="79" t="s">
        <v>7607</v>
      </c>
      <c r="C276" s="79" t="s">
        <v>7311</v>
      </c>
      <c r="D276" s="79" t="s">
        <v>7312</v>
      </c>
      <c r="E276" s="79">
        <v>2400</v>
      </c>
      <c r="G276" s="79" t="s">
        <v>7329</v>
      </c>
      <c r="H276" s="80">
        <v>3852000</v>
      </c>
    </row>
    <row r="277" spans="1:8" x14ac:dyDescent="0.2">
      <c r="A277" s="79" t="s">
        <v>7605</v>
      </c>
      <c r="B277" s="79" t="s">
        <v>7608</v>
      </c>
      <c r="C277" s="79" t="s">
        <v>7311</v>
      </c>
      <c r="D277" s="79" t="s">
        <v>7312</v>
      </c>
      <c r="E277" s="79">
        <v>2400</v>
      </c>
      <c r="G277" s="79" t="s">
        <v>7329</v>
      </c>
      <c r="H277" s="80">
        <v>3978000</v>
      </c>
    </row>
    <row r="278" spans="1:8" x14ac:dyDescent="0.2">
      <c r="A278" s="79" t="s">
        <v>7605</v>
      </c>
      <c r="B278" s="79" t="s">
        <v>7609</v>
      </c>
      <c r="C278" s="79" t="s">
        <v>7311</v>
      </c>
      <c r="D278" s="79" t="s">
        <v>7312</v>
      </c>
      <c r="E278" s="79">
        <v>2400</v>
      </c>
      <c r="G278" s="79" t="s">
        <v>7329</v>
      </c>
      <c r="H278" s="80">
        <v>4315000</v>
      </c>
    </row>
    <row r="279" spans="1:8" x14ac:dyDescent="0.2">
      <c r="A279" s="79" t="s">
        <v>7605</v>
      </c>
      <c r="B279" s="79" t="s">
        <v>7610</v>
      </c>
      <c r="C279" s="79" t="s">
        <v>7611</v>
      </c>
      <c r="D279" s="79" t="s">
        <v>7312</v>
      </c>
      <c r="E279" s="79">
        <v>1400</v>
      </c>
      <c r="G279" s="79" t="s">
        <v>7329</v>
      </c>
      <c r="H279" s="80">
        <v>1773000</v>
      </c>
    </row>
    <row r="280" spans="1:8" x14ac:dyDescent="0.2">
      <c r="A280" s="79" t="s">
        <v>7605</v>
      </c>
      <c r="B280" s="79" t="s">
        <v>7612</v>
      </c>
      <c r="C280" s="79" t="s">
        <v>7611</v>
      </c>
      <c r="D280" s="79" t="s">
        <v>7312</v>
      </c>
      <c r="E280" s="79">
        <v>1400</v>
      </c>
      <c r="G280" s="79" t="s">
        <v>7329</v>
      </c>
      <c r="H280" s="80">
        <v>1834000</v>
      </c>
    </row>
    <row r="281" spans="1:8" x14ac:dyDescent="0.2">
      <c r="A281" s="79" t="s">
        <v>7605</v>
      </c>
      <c r="B281" s="79" t="s">
        <v>7613</v>
      </c>
      <c r="C281" s="79" t="s">
        <v>7614</v>
      </c>
      <c r="D281" s="79" t="s">
        <v>7312</v>
      </c>
      <c r="E281" s="79">
        <v>3000</v>
      </c>
      <c r="G281" s="79" t="s">
        <v>7313</v>
      </c>
      <c r="H281" s="80">
        <v>4250000</v>
      </c>
    </row>
    <row r="282" spans="1:8" x14ac:dyDescent="0.2">
      <c r="A282" s="79" t="s">
        <v>7605</v>
      </c>
      <c r="B282" s="79" t="s">
        <v>7615</v>
      </c>
      <c r="C282" s="79" t="s">
        <v>7311</v>
      </c>
      <c r="D282" s="79" t="s">
        <v>7312</v>
      </c>
      <c r="E282" s="79">
        <v>1800</v>
      </c>
      <c r="F282" s="79" t="s">
        <v>7336</v>
      </c>
      <c r="G282" s="79" t="s">
        <v>7329</v>
      </c>
      <c r="H282" s="80">
        <v>2593000</v>
      </c>
    </row>
    <row r="283" spans="1:8" x14ac:dyDescent="0.2">
      <c r="A283" s="79" t="s">
        <v>7605</v>
      </c>
      <c r="B283" s="79" t="s">
        <v>7615</v>
      </c>
      <c r="C283" s="79" t="s">
        <v>7311</v>
      </c>
      <c r="D283" s="79" t="s">
        <v>7312</v>
      </c>
      <c r="E283" s="79">
        <v>1800</v>
      </c>
      <c r="F283" s="79" t="s">
        <v>7349</v>
      </c>
      <c r="G283" s="79" t="s">
        <v>7329</v>
      </c>
      <c r="H283" s="80">
        <v>2794000</v>
      </c>
    </row>
    <row r="284" spans="1:8" x14ac:dyDescent="0.2">
      <c r="A284" s="79" t="s">
        <v>7605</v>
      </c>
      <c r="B284" s="79" t="s">
        <v>7616</v>
      </c>
      <c r="C284" s="79" t="s">
        <v>7311</v>
      </c>
      <c r="D284" s="79" t="s">
        <v>7312</v>
      </c>
      <c r="E284" s="79">
        <v>1800</v>
      </c>
      <c r="F284" s="79" t="s">
        <v>7349</v>
      </c>
      <c r="G284" s="79" t="s">
        <v>7329</v>
      </c>
      <c r="H284" s="80">
        <v>2915000</v>
      </c>
    </row>
    <row r="285" spans="1:8" x14ac:dyDescent="0.2">
      <c r="A285" s="79" t="s">
        <v>7605</v>
      </c>
      <c r="B285" s="79" t="s">
        <v>7617</v>
      </c>
      <c r="C285" s="79" t="s">
        <v>7335</v>
      </c>
      <c r="D285" s="79" t="s">
        <v>7312</v>
      </c>
      <c r="E285" s="79">
        <v>1800</v>
      </c>
      <c r="G285" s="79" t="s">
        <v>7329</v>
      </c>
      <c r="H285" s="80">
        <v>3700000</v>
      </c>
    </row>
    <row r="286" spans="1:8" x14ac:dyDescent="0.2">
      <c r="A286" s="79" t="s">
        <v>7605</v>
      </c>
      <c r="B286" s="79" t="s">
        <v>7618</v>
      </c>
      <c r="C286" s="79" t="s">
        <v>7619</v>
      </c>
      <c r="D286" s="79" t="s">
        <v>7328</v>
      </c>
      <c r="E286" s="79">
        <v>1500</v>
      </c>
      <c r="G286" s="79" t="s">
        <v>7329</v>
      </c>
      <c r="H286" s="80">
        <v>1441875</v>
      </c>
    </row>
    <row r="287" spans="1:8" x14ac:dyDescent="0.2">
      <c r="A287" s="79" t="s">
        <v>7605</v>
      </c>
      <c r="B287" s="79" t="s">
        <v>7620</v>
      </c>
      <c r="C287" s="79" t="s">
        <v>7335</v>
      </c>
      <c r="D287" s="79" t="s">
        <v>7312</v>
      </c>
      <c r="E287" s="79">
        <v>1800</v>
      </c>
      <c r="F287" s="79" t="s">
        <v>7349</v>
      </c>
      <c r="G287" s="79" t="s">
        <v>7329</v>
      </c>
      <c r="H287" s="80">
        <v>3070275</v>
      </c>
    </row>
    <row r="288" spans="1:8" x14ac:dyDescent="0.2">
      <c r="A288" s="79" t="s">
        <v>7605</v>
      </c>
      <c r="B288" s="79" t="s">
        <v>7621</v>
      </c>
      <c r="C288" s="79" t="s">
        <v>7311</v>
      </c>
      <c r="D288" s="79" t="s">
        <v>7312</v>
      </c>
      <c r="E288" s="79">
        <v>1400</v>
      </c>
      <c r="F288" s="79" t="s">
        <v>7349</v>
      </c>
      <c r="G288" s="79" t="s">
        <v>7329</v>
      </c>
      <c r="H288" s="80">
        <v>2946290</v>
      </c>
    </row>
    <row r="289" spans="1:8" x14ac:dyDescent="0.2">
      <c r="A289" s="79" t="s">
        <v>7605</v>
      </c>
      <c r="B289" s="79" t="s">
        <v>7622</v>
      </c>
      <c r="C289" s="79" t="s">
        <v>7311</v>
      </c>
      <c r="D289" s="79" t="s">
        <v>7312</v>
      </c>
      <c r="E289" s="79">
        <v>1600</v>
      </c>
      <c r="F289" s="79" t="s">
        <v>7349</v>
      </c>
      <c r="G289" s="79" t="s">
        <v>7329</v>
      </c>
      <c r="H289" s="80">
        <v>2383000</v>
      </c>
    </row>
    <row r="290" spans="1:8" x14ac:dyDescent="0.2">
      <c r="A290" s="79" t="s">
        <v>7605</v>
      </c>
      <c r="B290" s="79" t="s">
        <v>7623</v>
      </c>
      <c r="C290" s="79" t="s">
        <v>7311</v>
      </c>
      <c r="D290" s="79" t="s">
        <v>7312</v>
      </c>
      <c r="E290" s="79">
        <v>1600</v>
      </c>
      <c r="G290" s="79" t="s">
        <v>7329</v>
      </c>
      <c r="H290" s="80">
        <v>2563000</v>
      </c>
    </row>
    <row r="291" spans="1:8" x14ac:dyDescent="0.2">
      <c r="A291" s="79" t="s">
        <v>7605</v>
      </c>
      <c r="B291" s="79" t="s">
        <v>7623</v>
      </c>
      <c r="C291" s="79" t="s">
        <v>7311</v>
      </c>
      <c r="D291" s="79" t="s">
        <v>7312</v>
      </c>
      <c r="E291" s="79">
        <v>1800</v>
      </c>
      <c r="G291" s="79" t="s">
        <v>7329</v>
      </c>
      <c r="H291" s="80">
        <v>2653000</v>
      </c>
    </row>
    <row r="292" spans="1:8" x14ac:dyDescent="0.2">
      <c r="A292" s="79" t="s">
        <v>7605</v>
      </c>
      <c r="B292" s="79" t="s">
        <v>7624</v>
      </c>
      <c r="C292" s="79" t="s">
        <v>7311</v>
      </c>
      <c r="D292" s="79" t="s">
        <v>7312</v>
      </c>
      <c r="E292" s="79">
        <v>1800</v>
      </c>
      <c r="G292" s="79" t="s">
        <v>7329</v>
      </c>
      <c r="H292" s="80">
        <v>2952000</v>
      </c>
    </row>
    <row r="293" spans="1:8" x14ac:dyDescent="0.2">
      <c r="A293" s="79" t="s">
        <v>7605</v>
      </c>
      <c r="B293" s="79" t="s">
        <v>7625</v>
      </c>
      <c r="C293" s="79" t="s">
        <v>7340</v>
      </c>
      <c r="D293" s="79" t="s">
        <v>7312</v>
      </c>
      <c r="E293" s="79">
        <v>995</v>
      </c>
      <c r="G293" s="79" t="s">
        <v>7329</v>
      </c>
      <c r="H293" s="80">
        <v>1429000</v>
      </c>
    </row>
    <row r="294" spans="1:8" x14ac:dyDescent="0.2">
      <c r="A294" s="79" t="s">
        <v>7605</v>
      </c>
      <c r="B294" s="79" t="s">
        <v>7626</v>
      </c>
      <c r="C294" s="79" t="s">
        <v>7335</v>
      </c>
      <c r="D294" s="79" t="s">
        <v>7328</v>
      </c>
      <c r="E294" s="79">
        <v>2500</v>
      </c>
      <c r="G294" s="79" t="s">
        <v>7313</v>
      </c>
      <c r="H294" s="80">
        <v>4315000</v>
      </c>
    </row>
    <row r="295" spans="1:8" x14ac:dyDescent="0.2">
      <c r="A295" s="79" t="s">
        <v>7309</v>
      </c>
      <c r="B295" s="79" t="s">
        <v>7627</v>
      </c>
      <c r="C295" s="79" t="s">
        <v>7311</v>
      </c>
      <c r="D295" s="79" t="s">
        <v>7312</v>
      </c>
      <c r="E295" s="79">
        <v>2700</v>
      </c>
      <c r="G295" s="79" t="s">
        <v>7329</v>
      </c>
      <c r="H295" s="80">
        <v>4790552</v>
      </c>
    </row>
    <row r="296" spans="1:8" x14ac:dyDescent="0.2">
      <c r="A296" s="79" t="s">
        <v>7309</v>
      </c>
      <c r="B296" s="79" t="s">
        <v>7628</v>
      </c>
      <c r="C296" s="79" t="s">
        <v>7311</v>
      </c>
      <c r="D296" s="79" t="s">
        <v>7312</v>
      </c>
      <c r="E296" s="79">
        <v>3500</v>
      </c>
      <c r="G296" s="79" t="s">
        <v>7329</v>
      </c>
      <c r="H296" s="80">
        <v>4982105</v>
      </c>
    </row>
    <row r="297" spans="1:8" x14ac:dyDescent="0.2">
      <c r="A297" s="79" t="s">
        <v>7309</v>
      </c>
      <c r="B297" s="79" t="s">
        <v>7629</v>
      </c>
      <c r="C297" s="79" t="s">
        <v>7311</v>
      </c>
      <c r="D297" s="79" t="s">
        <v>7312</v>
      </c>
      <c r="E297" s="79">
        <v>3500</v>
      </c>
      <c r="G297" s="79" t="s">
        <v>7329</v>
      </c>
      <c r="H297" s="80">
        <v>5603330</v>
      </c>
    </row>
    <row r="298" spans="1:8" x14ac:dyDescent="0.2">
      <c r="A298" s="79" t="s">
        <v>7309</v>
      </c>
      <c r="B298" s="79" t="s">
        <v>7630</v>
      </c>
      <c r="C298" s="79" t="s">
        <v>7311</v>
      </c>
      <c r="D298" s="79" t="s">
        <v>7312</v>
      </c>
      <c r="E298" s="79">
        <v>3500</v>
      </c>
      <c r="G298" s="79" t="s">
        <v>7329</v>
      </c>
      <c r="H298" s="80">
        <v>5603330</v>
      </c>
    </row>
    <row r="299" spans="1:8" x14ac:dyDescent="0.2">
      <c r="A299" s="79" t="s">
        <v>7309</v>
      </c>
      <c r="B299" s="79" t="s">
        <v>7631</v>
      </c>
      <c r="C299" s="79" t="s">
        <v>7311</v>
      </c>
      <c r="D299" s="79" t="s">
        <v>7312</v>
      </c>
      <c r="E299" s="79">
        <v>3500</v>
      </c>
      <c r="G299" s="79" t="s">
        <v>7313</v>
      </c>
      <c r="H299" s="80">
        <v>5966257</v>
      </c>
    </row>
    <row r="300" spans="1:8" x14ac:dyDescent="0.2">
      <c r="A300" s="79" t="s">
        <v>7309</v>
      </c>
      <c r="B300" s="79" t="s">
        <v>7632</v>
      </c>
      <c r="C300" s="79" t="s">
        <v>7311</v>
      </c>
      <c r="D300" s="79" t="s">
        <v>7312</v>
      </c>
      <c r="E300" s="79">
        <v>5700</v>
      </c>
      <c r="G300" s="79" t="s">
        <v>7313</v>
      </c>
      <c r="H300" s="80">
        <v>7038211</v>
      </c>
    </row>
    <row r="301" spans="1:8" x14ac:dyDescent="0.2">
      <c r="A301" s="79" t="s">
        <v>7309</v>
      </c>
      <c r="B301" s="79" t="s">
        <v>7633</v>
      </c>
      <c r="C301" s="79" t="s">
        <v>7311</v>
      </c>
      <c r="D301" s="79" t="s">
        <v>7328</v>
      </c>
      <c r="E301" s="79">
        <v>3000</v>
      </c>
      <c r="G301" s="79" t="s">
        <v>7329</v>
      </c>
      <c r="H301" s="80">
        <v>7353114</v>
      </c>
    </row>
    <row r="302" spans="1:8" x14ac:dyDescent="0.2">
      <c r="A302" s="79" t="s">
        <v>7309</v>
      </c>
      <c r="B302" s="79" t="s">
        <v>7634</v>
      </c>
      <c r="C302" s="79" t="s">
        <v>7335</v>
      </c>
      <c r="D302" s="79" t="s">
        <v>7328</v>
      </c>
      <c r="E302" s="79">
        <v>2777</v>
      </c>
      <c r="G302" s="79" t="s">
        <v>7329</v>
      </c>
      <c r="H302" s="80">
        <v>7466156</v>
      </c>
    </row>
    <row r="303" spans="1:8" x14ac:dyDescent="0.2">
      <c r="A303" s="79" t="s">
        <v>7309</v>
      </c>
      <c r="B303" s="79" t="s">
        <v>7635</v>
      </c>
      <c r="C303" s="79" t="s">
        <v>7311</v>
      </c>
      <c r="D303" s="79" t="s">
        <v>7328</v>
      </c>
      <c r="E303" s="79">
        <v>3000</v>
      </c>
      <c r="G303" s="79" t="s">
        <v>7329</v>
      </c>
      <c r="H303" s="80">
        <v>7243914</v>
      </c>
    </row>
    <row r="304" spans="1:8" x14ac:dyDescent="0.2">
      <c r="A304" s="79" t="s">
        <v>7309</v>
      </c>
      <c r="B304" s="79" t="s">
        <v>7636</v>
      </c>
      <c r="C304" s="79" t="s">
        <v>7311</v>
      </c>
      <c r="D304" s="79" t="s">
        <v>7312</v>
      </c>
      <c r="E304" s="79">
        <v>2600</v>
      </c>
      <c r="G304" s="79" t="s">
        <v>7329</v>
      </c>
      <c r="H304" s="80">
        <v>3211568</v>
      </c>
    </row>
    <row r="305" spans="1:8" x14ac:dyDescent="0.2">
      <c r="A305" s="79" t="s">
        <v>7637</v>
      </c>
      <c r="B305" s="79" t="s">
        <v>7638</v>
      </c>
      <c r="C305" s="79" t="s">
        <v>7311</v>
      </c>
      <c r="D305" s="79" t="s">
        <v>7328</v>
      </c>
      <c r="E305" s="79">
        <v>3000</v>
      </c>
      <c r="G305" s="79" t="s">
        <v>7329</v>
      </c>
      <c r="H305" s="80">
        <v>18380486.260000002</v>
      </c>
    </row>
    <row r="306" spans="1:8" x14ac:dyDescent="0.2">
      <c r="A306" s="79" t="s">
        <v>7637</v>
      </c>
      <c r="B306" s="79" t="s">
        <v>7639</v>
      </c>
      <c r="C306" s="79" t="s">
        <v>7311</v>
      </c>
      <c r="D306" s="79" t="s">
        <v>7328</v>
      </c>
      <c r="E306" s="79">
        <v>3000</v>
      </c>
      <c r="G306" s="79" t="s">
        <v>7329</v>
      </c>
      <c r="H306" s="80">
        <v>20145222.050000001</v>
      </c>
    </row>
    <row r="307" spans="1:8" x14ac:dyDescent="0.2">
      <c r="A307" s="79" t="s">
        <v>7637</v>
      </c>
      <c r="B307" s="79" t="s">
        <v>7640</v>
      </c>
      <c r="C307" s="79" t="s">
        <v>7407</v>
      </c>
      <c r="D307" s="79" t="s">
        <v>7312</v>
      </c>
      <c r="E307" s="79">
        <v>5000</v>
      </c>
      <c r="G307" s="79" t="s">
        <v>7329</v>
      </c>
      <c r="H307" s="80">
        <v>19387244.43</v>
      </c>
    </row>
    <row r="308" spans="1:8" x14ac:dyDescent="0.2">
      <c r="A308" s="79" t="s">
        <v>7637</v>
      </c>
      <c r="B308" s="79" t="s">
        <v>7641</v>
      </c>
      <c r="C308" s="79" t="s">
        <v>7407</v>
      </c>
      <c r="D308" s="79" t="s">
        <v>7312</v>
      </c>
      <c r="E308" s="79">
        <v>5000</v>
      </c>
      <c r="G308" s="79" t="s">
        <v>7329</v>
      </c>
      <c r="H308" s="80">
        <v>22238309.789999999</v>
      </c>
    </row>
    <row r="309" spans="1:8" x14ac:dyDescent="0.2">
      <c r="A309" s="79" t="s">
        <v>7637</v>
      </c>
      <c r="B309" s="79" t="s">
        <v>7642</v>
      </c>
      <c r="C309" s="79" t="s">
        <v>7335</v>
      </c>
      <c r="D309" s="79" t="s">
        <v>7328</v>
      </c>
      <c r="E309" s="79">
        <v>2000</v>
      </c>
      <c r="F309" s="79" t="s">
        <v>7643</v>
      </c>
      <c r="G309" s="79" t="s">
        <v>7313</v>
      </c>
      <c r="H309" s="80">
        <v>9750834.2200000007</v>
      </c>
    </row>
    <row r="310" spans="1:8" x14ac:dyDescent="0.2">
      <c r="A310" s="79" t="s">
        <v>7637</v>
      </c>
      <c r="B310" s="79" t="s">
        <v>7644</v>
      </c>
      <c r="C310" s="79" t="s">
        <v>7335</v>
      </c>
      <c r="D310" s="79" t="s">
        <v>7328</v>
      </c>
      <c r="E310" s="79">
        <v>2000</v>
      </c>
      <c r="F310" s="79" t="s">
        <v>7643</v>
      </c>
      <c r="G310" s="79" t="s">
        <v>7313</v>
      </c>
      <c r="H310" s="80">
        <v>10566511.82</v>
      </c>
    </row>
    <row r="311" spans="1:8" x14ac:dyDescent="0.2">
      <c r="A311" s="79" t="s">
        <v>7637</v>
      </c>
      <c r="B311" s="79" t="s">
        <v>7645</v>
      </c>
      <c r="C311" s="79" t="s">
        <v>7335</v>
      </c>
      <c r="D311" s="79" t="s">
        <v>7312</v>
      </c>
      <c r="E311" s="79">
        <v>2000</v>
      </c>
      <c r="F311" s="79" t="s">
        <v>7643</v>
      </c>
      <c r="G311" s="79" t="s">
        <v>7313</v>
      </c>
      <c r="H311" s="80">
        <v>10653090.390000001</v>
      </c>
    </row>
    <row r="312" spans="1:8" x14ac:dyDescent="0.2">
      <c r="A312" s="79" t="s">
        <v>7637</v>
      </c>
      <c r="B312" s="79" t="s">
        <v>7644</v>
      </c>
      <c r="C312" s="79" t="s">
        <v>7335</v>
      </c>
      <c r="D312" s="79" t="s">
        <v>7312</v>
      </c>
      <c r="E312" s="79">
        <v>2000</v>
      </c>
      <c r="F312" s="79" t="s">
        <v>7643</v>
      </c>
      <c r="G312" s="79" t="s">
        <v>7313</v>
      </c>
      <c r="H312" s="80">
        <v>11468561.359999999</v>
      </c>
    </row>
    <row r="313" spans="1:8" x14ac:dyDescent="0.2">
      <c r="A313" s="79" t="s">
        <v>7637</v>
      </c>
      <c r="B313" s="79" t="s">
        <v>7646</v>
      </c>
      <c r="C313" s="79" t="s">
        <v>7335</v>
      </c>
      <c r="D313" s="79" t="s">
        <v>7312</v>
      </c>
      <c r="E313" s="79">
        <v>2000</v>
      </c>
      <c r="F313" s="79" t="s">
        <v>7643</v>
      </c>
      <c r="G313" s="79" t="s">
        <v>7313</v>
      </c>
      <c r="H313" s="80">
        <v>11229075.52</v>
      </c>
    </row>
    <row r="314" spans="1:8" x14ac:dyDescent="0.2">
      <c r="A314" s="79" t="s">
        <v>7637</v>
      </c>
      <c r="B314" s="79" t="s">
        <v>7647</v>
      </c>
      <c r="C314" s="79" t="s">
        <v>7335</v>
      </c>
      <c r="D314" s="79" t="s">
        <v>7312</v>
      </c>
      <c r="E314" s="79">
        <v>2000</v>
      </c>
      <c r="F314" s="79" t="s">
        <v>7643</v>
      </c>
      <c r="G314" s="79" t="s">
        <v>7313</v>
      </c>
      <c r="H314" s="80">
        <v>12044546.49</v>
      </c>
    </row>
    <row r="315" spans="1:8" x14ac:dyDescent="0.2">
      <c r="A315" s="79" t="s">
        <v>7637</v>
      </c>
      <c r="B315" s="79" t="s">
        <v>7648</v>
      </c>
      <c r="C315" s="79" t="s">
        <v>7335</v>
      </c>
      <c r="D315" s="79" t="s">
        <v>7312</v>
      </c>
      <c r="E315" s="79">
        <v>3000</v>
      </c>
      <c r="F315" s="79" t="s">
        <v>7643</v>
      </c>
      <c r="G315" s="79" t="s">
        <v>7313</v>
      </c>
      <c r="H315" s="80">
        <v>14821363.07</v>
      </c>
    </row>
    <row r="316" spans="1:8" x14ac:dyDescent="0.2">
      <c r="A316" s="79" t="s">
        <v>7637</v>
      </c>
      <c r="B316" s="79" t="s">
        <v>7649</v>
      </c>
      <c r="C316" s="79" t="s">
        <v>7335</v>
      </c>
      <c r="D316" s="79" t="s">
        <v>7312</v>
      </c>
      <c r="E316" s="79">
        <v>5000</v>
      </c>
      <c r="F316" s="79" t="s">
        <v>7643</v>
      </c>
      <c r="G316" s="79" t="s">
        <v>7313</v>
      </c>
      <c r="H316" s="80">
        <v>19298963</v>
      </c>
    </row>
    <row r="317" spans="1:8" x14ac:dyDescent="0.2">
      <c r="A317" s="79" t="s">
        <v>7637</v>
      </c>
      <c r="B317" s="79" t="s">
        <v>7650</v>
      </c>
      <c r="C317" s="79" t="s">
        <v>7335</v>
      </c>
      <c r="D317" s="79" t="s">
        <v>7328</v>
      </c>
      <c r="E317" s="79">
        <v>2000</v>
      </c>
      <c r="F317" s="79" t="s">
        <v>7643</v>
      </c>
      <c r="G317" s="79" t="s">
        <v>7313</v>
      </c>
      <c r="H317" s="80">
        <v>8463520.3599999994</v>
      </c>
    </row>
    <row r="318" spans="1:8" x14ac:dyDescent="0.2">
      <c r="A318" s="79" t="s">
        <v>7637</v>
      </c>
      <c r="B318" s="79" t="s">
        <v>7651</v>
      </c>
      <c r="C318" s="79" t="s">
        <v>7335</v>
      </c>
      <c r="D318" s="79" t="s">
        <v>7328</v>
      </c>
      <c r="E318" s="79">
        <v>2000</v>
      </c>
      <c r="F318" s="79" t="s">
        <v>7643</v>
      </c>
      <c r="G318" s="79" t="s">
        <v>7313</v>
      </c>
      <c r="H318" s="80">
        <v>9244793.8300000001</v>
      </c>
    </row>
    <row r="319" spans="1:8" x14ac:dyDescent="0.2">
      <c r="A319" s="79" t="s">
        <v>7637</v>
      </c>
      <c r="B319" s="79" t="s">
        <v>7652</v>
      </c>
      <c r="C319" s="79" t="s">
        <v>7335</v>
      </c>
      <c r="D319" s="79" t="s">
        <v>7328</v>
      </c>
      <c r="E319" s="79">
        <v>2000</v>
      </c>
      <c r="F319" s="79" t="s">
        <v>7643</v>
      </c>
      <c r="G319" s="79" t="s">
        <v>7313</v>
      </c>
      <c r="H319" s="80">
        <v>9809000.9700000007</v>
      </c>
    </row>
    <row r="320" spans="1:8" x14ac:dyDescent="0.2">
      <c r="A320" s="79" t="s">
        <v>7637</v>
      </c>
      <c r="B320" s="79" t="s">
        <v>7653</v>
      </c>
      <c r="C320" s="79" t="s">
        <v>7335</v>
      </c>
      <c r="D320" s="79" t="s">
        <v>7328</v>
      </c>
      <c r="E320" s="79">
        <v>2000</v>
      </c>
      <c r="F320" s="79" t="s">
        <v>7643</v>
      </c>
      <c r="G320" s="79" t="s">
        <v>7313</v>
      </c>
      <c r="H320" s="80">
        <v>10351615.119999999</v>
      </c>
    </row>
    <row r="321" spans="1:8" x14ac:dyDescent="0.2">
      <c r="A321" s="79" t="s">
        <v>7637</v>
      </c>
      <c r="B321" s="79" t="s">
        <v>7654</v>
      </c>
      <c r="C321" s="79" t="s">
        <v>7335</v>
      </c>
      <c r="D321" s="79" t="s">
        <v>7328</v>
      </c>
      <c r="E321" s="79">
        <v>2000</v>
      </c>
      <c r="F321" s="79" t="s">
        <v>7643</v>
      </c>
      <c r="G321" s="79" t="s">
        <v>7313</v>
      </c>
      <c r="H321" s="80">
        <v>8880502.6099999994</v>
      </c>
    </row>
    <row r="322" spans="1:8" x14ac:dyDescent="0.2">
      <c r="A322" s="79" t="s">
        <v>7637</v>
      </c>
      <c r="B322" s="79" t="s">
        <v>7655</v>
      </c>
      <c r="C322" s="79" t="s">
        <v>7335</v>
      </c>
      <c r="D322" s="79" t="s">
        <v>7328</v>
      </c>
      <c r="E322" s="79">
        <v>2000</v>
      </c>
      <c r="F322" s="79" t="s">
        <v>7643</v>
      </c>
      <c r="G322" s="79" t="s">
        <v>7313</v>
      </c>
      <c r="H322" s="80">
        <v>9661672.75</v>
      </c>
    </row>
    <row r="323" spans="1:8" x14ac:dyDescent="0.2">
      <c r="A323" s="79" t="s">
        <v>7637</v>
      </c>
      <c r="B323" s="79" t="s">
        <v>7656</v>
      </c>
      <c r="C323" s="79" t="s">
        <v>7335</v>
      </c>
      <c r="D323" s="79" t="s">
        <v>7328</v>
      </c>
      <c r="E323" s="79">
        <v>2000</v>
      </c>
      <c r="F323" s="79" t="s">
        <v>7643</v>
      </c>
      <c r="G323" s="79" t="s">
        <v>7313</v>
      </c>
      <c r="H323" s="80">
        <v>10225879.9</v>
      </c>
    </row>
    <row r="324" spans="1:8" x14ac:dyDescent="0.2">
      <c r="A324" s="79" t="s">
        <v>7637</v>
      </c>
      <c r="B324" s="79" t="s">
        <v>7657</v>
      </c>
      <c r="C324" s="79" t="s">
        <v>7335</v>
      </c>
      <c r="D324" s="79" t="s">
        <v>7328</v>
      </c>
      <c r="E324" s="79">
        <v>2000</v>
      </c>
      <c r="F324" s="79" t="s">
        <v>7643</v>
      </c>
      <c r="G324" s="79" t="s">
        <v>7313</v>
      </c>
      <c r="H324" s="80">
        <v>10768184.1</v>
      </c>
    </row>
    <row r="325" spans="1:8" x14ac:dyDescent="0.2">
      <c r="A325" s="79" t="s">
        <v>7637</v>
      </c>
      <c r="B325" s="79" t="s">
        <v>7658</v>
      </c>
      <c r="C325" s="79" t="s">
        <v>7335</v>
      </c>
      <c r="D325" s="79" t="s">
        <v>7328</v>
      </c>
      <c r="E325" s="79">
        <v>2000</v>
      </c>
      <c r="F325" s="79" t="s">
        <v>7643</v>
      </c>
      <c r="G325" s="79" t="s">
        <v>7313</v>
      </c>
      <c r="H325" s="80">
        <v>8840932.6899999995</v>
      </c>
    </row>
    <row r="326" spans="1:8" x14ac:dyDescent="0.2">
      <c r="A326" s="79" t="s">
        <v>7637</v>
      </c>
      <c r="B326" s="79" t="s">
        <v>7659</v>
      </c>
      <c r="C326" s="79" t="s">
        <v>7335</v>
      </c>
      <c r="D326" s="79" t="s">
        <v>7328</v>
      </c>
      <c r="E326" s="79">
        <v>2000</v>
      </c>
      <c r="F326" s="79" t="s">
        <v>7643</v>
      </c>
      <c r="G326" s="79" t="s">
        <v>7313</v>
      </c>
      <c r="H326" s="80">
        <v>9622309.4700000007</v>
      </c>
    </row>
    <row r="327" spans="1:8" x14ac:dyDescent="0.2">
      <c r="A327" s="79" t="s">
        <v>7637</v>
      </c>
      <c r="B327" s="79" t="s">
        <v>7660</v>
      </c>
      <c r="C327" s="79" t="s">
        <v>7335</v>
      </c>
      <c r="D327" s="79" t="s">
        <v>7328</v>
      </c>
      <c r="E327" s="79">
        <v>2000</v>
      </c>
      <c r="F327" s="79" t="s">
        <v>7643</v>
      </c>
      <c r="G327" s="79" t="s">
        <v>7313</v>
      </c>
      <c r="H327" s="80">
        <v>10186516.609999999</v>
      </c>
    </row>
    <row r="328" spans="1:8" x14ac:dyDescent="0.2">
      <c r="A328" s="79" t="s">
        <v>7637</v>
      </c>
      <c r="B328" s="79" t="s">
        <v>7661</v>
      </c>
      <c r="C328" s="79" t="s">
        <v>7335</v>
      </c>
      <c r="D328" s="79" t="s">
        <v>7328</v>
      </c>
      <c r="E328" s="79">
        <v>2000</v>
      </c>
      <c r="F328" s="79" t="s">
        <v>7643</v>
      </c>
      <c r="G328" s="79" t="s">
        <v>7313</v>
      </c>
      <c r="H328" s="80">
        <v>10729027.449999999</v>
      </c>
    </row>
    <row r="329" spans="1:8" x14ac:dyDescent="0.2">
      <c r="A329" s="79" t="s">
        <v>7637</v>
      </c>
      <c r="B329" s="79" t="s">
        <v>7662</v>
      </c>
      <c r="C329" s="79" t="s">
        <v>7335</v>
      </c>
      <c r="D329" s="79" t="s">
        <v>7328</v>
      </c>
      <c r="E329" s="79">
        <v>2000</v>
      </c>
      <c r="F329" s="79" t="s">
        <v>7643</v>
      </c>
      <c r="G329" s="79" t="s">
        <v>7313</v>
      </c>
      <c r="H329" s="80">
        <v>9258018.2400000002</v>
      </c>
    </row>
    <row r="330" spans="1:8" x14ac:dyDescent="0.2">
      <c r="A330" s="79" t="s">
        <v>7637</v>
      </c>
      <c r="B330" s="79" t="s">
        <v>7663</v>
      </c>
      <c r="C330" s="79" t="s">
        <v>7335</v>
      </c>
      <c r="D330" s="79" t="s">
        <v>7328</v>
      </c>
      <c r="E330" s="79">
        <v>2000</v>
      </c>
      <c r="F330" s="79" t="s">
        <v>7643</v>
      </c>
      <c r="G330" s="79" t="s">
        <v>7313</v>
      </c>
      <c r="H330" s="80">
        <v>10039188.390000001</v>
      </c>
    </row>
    <row r="331" spans="1:8" x14ac:dyDescent="0.2">
      <c r="A331" s="79" t="s">
        <v>7637</v>
      </c>
      <c r="B331" s="79" t="s">
        <v>7664</v>
      </c>
      <c r="C331" s="79" t="s">
        <v>7335</v>
      </c>
      <c r="D331" s="79" t="s">
        <v>7328</v>
      </c>
      <c r="E331" s="79">
        <v>2000</v>
      </c>
      <c r="F331" s="79" t="s">
        <v>7643</v>
      </c>
      <c r="G331" s="79" t="s">
        <v>7313</v>
      </c>
      <c r="H331" s="80">
        <v>11145906.369999999</v>
      </c>
    </row>
    <row r="332" spans="1:8" x14ac:dyDescent="0.2">
      <c r="A332" s="79" t="s">
        <v>7637</v>
      </c>
      <c r="B332" s="79" t="s">
        <v>7665</v>
      </c>
      <c r="C332" s="79" t="s">
        <v>7335</v>
      </c>
      <c r="D332" s="79" t="s">
        <v>7328</v>
      </c>
      <c r="E332" s="79">
        <v>2000</v>
      </c>
      <c r="F332" s="79" t="s">
        <v>7643</v>
      </c>
      <c r="G332" s="79" t="s">
        <v>7313</v>
      </c>
      <c r="H332" s="80">
        <v>11145906.369999999</v>
      </c>
    </row>
    <row r="333" spans="1:8" x14ac:dyDescent="0.2">
      <c r="A333" s="79" t="s">
        <v>7637</v>
      </c>
      <c r="B333" s="79" t="s">
        <v>7666</v>
      </c>
      <c r="C333" s="79" t="s">
        <v>7335</v>
      </c>
      <c r="D333" s="79" t="s">
        <v>7312</v>
      </c>
      <c r="E333" s="79">
        <v>2000</v>
      </c>
      <c r="F333" s="79" t="s">
        <v>7643</v>
      </c>
      <c r="G333" s="79" t="s">
        <v>7313</v>
      </c>
      <c r="H333" s="80">
        <v>8993116.7400000002</v>
      </c>
    </row>
    <row r="334" spans="1:8" x14ac:dyDescent="0.2">
      <c r="A334" s="79" t="s">
        <v>7637</v>
      </c>
      <c r="B334" s="79" t="s">
        <v>7667</v>
      </c>
      <c r="C334" s="79" t="s">
        <v>7335</v>
      </c>
      <c r="D334" s="79" t="s">
        <v>7312</v>
      </c>
      <c r="E334" s="79">
        <v>2000</v>
      </c>
      <c r="F334" s="79" t="s">
        <v>7643</v>
      </c>
      <c r="G334" s="79" t="s">
        <v>7313</v>
      </c>
      <c r="H334" s="80">
        <v>9774493.5199999996</v>
      </c>
    </row>
    <row r="335" spans="1:8" x14ac:dyDescent="0.2">
      <c r="A335" s="79" t="s">
        <v>7637</v>
      </c>
      <c r="B335" s="79" t="s">
        <v>7668</v>
      </c>
      <c r="C335" s="79" t="s">
        <v>7335</v>
      </c>
      <c r="D335" s="79" t="s">
        <v>7312</v>
      </c>
      <c r="E335" s="79">
        <v>2000</v>
      </c>
      <c r="F335" s="79" t="s">
        <v>7643</v>
      </c>
      <c r="G335" s="79" t="s">
        <v>7313</v>
      </c>
      <c r="H335" s="80">
        <v>10338390.710000001</v>
      </c>
    </row>
    <row r="336" spans="1:8" x14ac:dyDescent="0.2">
      <c r="A336" s="79" t="s">
        <v>7637</v>
      </c>
      <c r="B336" s="79" t="s">
        <v>7669</v>
      </c>
      <c r="C336" s="79" t="s">
        <v>7335</v>
      </c>
      <c r="D336" s="79" t="s">
        <v>7312</v>
      </c>
      <c r="E336" s="79">
        <v>2000</v>
      </c>
      <c r="F336" s="79" t="s">
        <v>7643</v>
      </c>
      <c r="G336" s="79" t="s">
        <v>7313</v>
      </c>
      <c r="H336" s="80">
        <v>10881004.869999999</v>
      </c>
    </row>
    <row r="337" spans="1:8" x14ac:dyDescent="0.2">
      <c r="A337" s="79" t="s">
        <v>7637</v>
      </c>
      <c r="B337" s="79" t="s">
        <v>7670</v>
      </c>
      <c r="C337" s="79" t="s">
        <v>7335</v>
      </c>
      <c r="D337" s="79" t="s">
        <v>7312</v>
      </c>
      <c r="E337" s="79">
        <v>2000</v>
      </c>
      <c r="F337" s="79" t="s">
        <v>7643</v>
      </c>
      <c r="G337" s="79" t="s">
        <v>7313</v>
      </c>
      <c r="H337" s="80">
        <v>9409892.3499999996</v>
      </c>
    </row>
    <row r="338" spans="1:8" x14ac:dyDescent="0.2">
      <c r="A338" s="79" t="s">
        <v>7637</v>
      </c>
      <c r="B338" s="79" t="s">
        <v>7671</v>
      </c>
      <c r="C338" s="79" t="s">
        <v>7335</v>
      </c>
      <c r="D338" s="79" t="s">
        <v>7312</v>
      </c>
      <c r="E338" s="79">
        <v>2000</v>
      </c>
      <c r="F338" s="79" t="s">
        <v>7643</v>
      </c>
      <c r="G338" s="79" t="s">
        <v>7313</v>
      </c>
      <c r="H338" s="80">
        <v>10191062.5</v>
      </c>
    </row>
    <row r="339" spans="1:8" x14ac:dyDescent="0.2">
      <c r="A339" s="79" t="s">
        <v>7637</v>
      </c>
      <c r="B339" s="79" t="s">
        <v>7672</v>
      </c>
      <c r="C339" s="79" t="s">
        <v>7335</v>
      </c>
      <c r="D339" s="79" t="s">
        <v>7312</v>
      </c>
      <c r="E339" s="79">
        <v>2000</v>
      </c>
      <c r="F339" s="79" t="s">
        <v>7643</v>
      </c>
      <c r="G339" s="79" t="s">
        <v>7313</v>
      </c>
      <c r="H339" s="80">
        <v>10755269.640000001</v>
      </c>
    </row>
    <row r="340" spans="1:8" x14ac:dyDescent="0.2">
      <c r="A340" s="79" t="s">
        <v>7637</v>
      </c>
      <c r="B340" s="79" t="s">
        <v>7673</v>
      </c>
      <c r="C340" s="79" t="s">
        <v>7335</v>
      </c>
      <c r="D340" s="79" t="s">
        <v>7312</v>
      </c>
      <c r="E340" s="79">
        <v>2000</v>
      </c>
      <c r="F340" s="79" t="s">
        <v>7643</v>
      </c>
      <c r="G340" s="79" t="s">
        <v>7313</v>
      </c>
      <c r="H340" s="80">
        <v>11297780.48</v>
      </c>
    </row>
    <row r="341" spans="1:8" x14ac:dyDescent="0.2">
      <c r="A341" s="79" t="s">
        <v>7637</v>
      </c>
      <c r="B341" s="79" t="s">
        <v>7674</v>
      </c>
      <c r="C341" s="79" t="s">
        <v>7335</v>
      </c>
      <c r="D341" s="79" t="s">
        <v>7312</v>
      </c>
      <c r="E341" s="79">
        <v>2000</v>
      </c>
      <c r="F341" s="79" t="s">
        <v>7643</v>
      </c>
      <c r="G341" s="79" t="s">
        <v>7313</v>
      </c>
      <c r="H341" s="80">
        <v>9496574.2400000002</v>
      </c>
    </row>
    <row r="342" spans="1:8" x14ac:dyDescent="0.2">
      <c r="A342" s="79" t="s">
        <v>7637</v>
      </c>
      <c r="B342" s="79" t="s">
        <v>7675</v>
      </c>
      <c r="C342" s="79" t="s">
        <v>7335</v>
      </c>
      <c r="D342" s="79" t="s">
        <v>7312</v>
      </c>
      <c r="E342" s="79">
        <v>2000</v>
      </c>
      <c r="F342" s="79" t="s">
        <v>7643</v>
      </c>
      <c r="G342" s="79" t="s">
        <v>7313</v>
      </c>
      <c r="H342" s="80">
        <v>10959834.76</v>
      </c>
    </row>
    <row r="343" spans="1:8" x14ac:dyDescent="0.2">
      <c r="A343" s="79" t="s">
        <v>7637</v>
      </c>
      <c r="B343" s="79" t="s">
        <v>7676</v>
      </c>
      <c r="C343" s="79" t="s">
        <v>7335</v>
      </c>
      <c r="D343" s="79" t="s">
        <v>7312</v>
      </c>
      <c r="E343" s="79">
        <v>2000</v>
      </c>
      <c r="F343" s="79" t="s">
        <v>7643</v>
      </c>
      <c r="G343" s="79" t="s">
        <v>7313</v>
      </c>
      <c r="H343" s="80">
        <v>10841848.210000001</v>
      </c>
    </row>
    <row r="344" spans="1:8" x14ac:dyDescent="0.2">
      <c r="A344" s="79" t="s">
        <v>7637</v>
      </c>
      <c r="B344" s="79" t="s">
        <v>7677</v>
      </c>
      <c r="C344" s="79" t="s">
        <v>7335</v>
      </c>
      <c r="D344" s="79" t="s">
        <v>7312</v>
      </c>
      <c r="E344" s="79">
        <v>2000</v>
      </c>
      <c r="F344" s="79" t="s">
        <v>7643</v>
      </c>
      <c r="G344" s="79" t="s">
        <v>7313</v>
      </c>
      <c r="H344" s="80">
        <v>11384462.369999999</v>
      </c>
    </row>
    <row r="345" spans="1:8" x14ac:dyDescent="0.2">
      <c r="A345" s="79" t="s">
        <v>7637</v>
      </c>
      <c r="B345" s="79" t="s">
        <v>7678</v>
      </c>
      <c r="C345" s="79" t="s">
        <v>7335</v>
      </c>
      <c r="D345" s="79" t="s">
        <v>7312</v>
      </c>
      <c r="E345" s="79">
        <v>2000</v>
      </c>
      <c r="F345" s="79" t="s">
        <v>7643</v>
      </c>
      <c r="G345" s="79" t="s">
        <v>7313</v>
      </c>
      <c r="H345" s="80">
        <v>9685951.9499999993</v>
      </c>
    </row>
    <row r="346" spans="1:8" x14ac:dyDescent="0.2">
      <c r="A346" s="79" t="s">
        <v>7637</v>
      </c>
      <c r="B346" s="79" t="s">
        <v>7679</v>
      </c>
      <c r="C346" s="79" t="s">
        <v>7335</v>
      </c>
      <c r="D346" s="79" t="s">
        <v>7312</v>
      </c>
      <c r="E346" s="79">
        <v>2000</v>
      </c>
      <c r="F346" s="79" t="s">
        <v>7643</v>
      </c>
      <c r="G346" s="79" t="s">
        <v>7313</v>
      </c>
      <c r="H346" s="80">
        <v>10694726.630000001</v>
      </c>
    </row>
    <row r="347" spans="1:8" x14ac:dyDescent="0.2">
      <c r="A347" s="79" t="s">
        <v>7637</v>
      </c>
      <c r="B347" s="79" t="s">
        <v>7680</v>
      </c>
      <c r="C347" s="79" t="s">
        <v>7335</v>
      </c>
      <c r="D347" s="79" t="s">
        <v>7312</v>
      </c>
      <c r="E347" s="79">
        <v>2000</v>
      </c>
      <c r="F347" s="79" t="s">
        <v>7643</v>
      </c>
      <c r="G347" s="79" t="s">
        <v>7313</v>
      </c>
      <c r="H347" s="80">
        <v>11258727.140000001</v>
      </c>
    </row>
    <row r="348" spans="1:8" x14ac:dyDescent="0.2">
      <c r="A348" s="79" t="s">
        <v>7637</v>
      </c>
      <c r="B348" s="79" t="s">
        <v>7681</v>
      </c>
      <c r="C348" s="79" t="s">
        <v>7335</v>
      </c>
      <c r="D348" s="79" t="s">
        <v>7312</v>
      </c>
      <c r="E348" s="79">
        <v>2000</v>
      </c>
      <c r="F348" s="79" t="s">
        <v>7643</v>
      </c>
      <c r="G348" s="79" t="s">
        <v>7313</v>
      </c>
      <c r="H348" s="80">
        <v>11801237.970000001</v>
      </c>
    </row>
    <row r="349" spans="1:8" x14ac:dyDescent="0.2">
      <c r="A349" s="79" t="s">
        <v>7637</v>
      </c>
      <c r="B349" s="79" t="s">
        <v>7682</v>
      </c>
      <c r="C349" s="79" t="s">
        <v>7335</v>
      </c>
      <c r="D349" s="79" t="s">
        <v>7312</v>
      </c>
      <c r="E349" s="79">
        <v>2000</v>
      </c>
      <c r="F349" s="79" t="s">
        <v>7643</v>
      </c>
      <c r="G349" s="79" t="s">
        <v>7313</v>
      </c>
      <c r="H349" s="80">
        <v>11204589.699999999</v>
      </c>
    </row>
    <row r="350" spans="1:8" x14ac:dyDescent="0.2">
      <c r="A350" s="79" t="s">
        <v>7637</v>
      </c>
      <c r="B350" s="79" t="s">
        <v>7683</v>
      </c>
      <c r="C350" s="79" t="s">
        <v>7335</v>
      </c>
      <c r="D350" s="79" t="s">
        <v>7312</v>
      </c>
      <c r="E350" s="79">
        <v>2000</v>
      </c>
      <c r="F350" s="79" t="s">
        <v>7643</v>
      </c>
      <c r="G350" s="79" t="s">
        <v>7313</v>
      </c>
      <c r="H350" s="80">
        <v>11768693.52</v>
      </c>
    </row>
    <row r="351" spans="1:8" x14ac:dyDescent="0.2">
      <c r="A351" s="79" t="s">
        <v>7637</v>
      </c>
      <c r="B351" s="79" t="s">
        <v>7684</v>
      </c>
      <c r="C351" s="79" t="s">
        <v>7335</v>
      </c>
      <c r="D351" s="79" t="s">
        <v>7312</v>
      </c>
      <c r="E351" s="79">
        <v>2000</v>
      </c>
      <c r="F351" s="79" t="s">
        <v>7643</v>
      </c>
      <c r="G351" s="79" t="s">
        <v>7313</v>
      </c>
      <c r="H351" s="80">
        <v>12311307.68</v>
      </c>
    </row>
    <row r="352" spans="1:8" x14ac:dyDescent="0.2">
      <c r="A352" s="79" t="s">
        <v>7637</v>
      </c>
      <c r="B352" s="79" t="s">
        <v>7685</v>
      </c>
      <c r="C352" s="79" t="s">
        <v>7335</v>
      </c>
      <c r="D352" s="79" t="s">
        <v>7312</v>
      </c>
      <c r="E352" s="79">
        <v>2000</v>
      </c>
      <c r="F352" s="79" t="s">
        <v>7643</v>
      </c>
      <c r="G352" s="79" t="s">
        <v>7313</v>
      </c>
      <c r="H352" s="80">
        <v>11621365.310000001</v>
      </c>
    </row>
    <row r="353" spans="1:8" x14ac:dyDescent="0.2">
      <c r="A353" s="79" t="s">
        <v>7637</v>
      </c>
      <c r="B353" s="79" t="s">
        <v>7686</v>
      </c>
      <c r="C353" s="79" t="s">
        <v>7335</v>
      </c>
      <c r="D353" s="79" t="s">
        <v>7312</v>
      </c>
      <c r="E353" s="79">
        <v>2000</v>
      </c>
      <c r="F353" s="79" t="s">
        <v>7643</v>
      </c>
      <c r="G353" s="79" t="s">
        <v>7313</v>
      </c>
      <c r="H353" s="80">
        <v>12185572.449999999</v>
      </c>
    </row>
    <row r="354" spans="1:8" x14ac:dyDescent="0.2">
      <c r="A354" s="79" t="s">
        <v>7637</v>
      </c>
      <c r="B354" s="79" t="s">
        <v>7687</v>
      </c>
      <c r="C354" s="79" t="s">
        <v>7335</v>
      </c>
      <c r="D354" s="79" t="s">
        <v>7312</v>
      </c>
      <c r="E354" s="79">
        <v>2000</v>
      </c>
      <c r="G354" s="79" t="s">
        <v>7313</v>
      </c>
      <c r="H354" s="80">
        <v>12727876.66</v>
      </c>
    </row>
    <row r="355" spans="1:8" x14ac:dyDescent="0.2">
      <c r="A355" s="79" t="s">
        <v>7688</v>
      </c>
      <c r="B355" s="79" t="s">
        <v>7689</v>
      </c>
      <c r="C355" s="79" t="s">
        <v>7335</v>
      </c>
      <c r="D355" s="79" t="s">
        <v>7312</v>
      </c>
      <c r="E355" s="79">
        <v>2000</v>
      </c>
      <c r="G355" s="79" t="s">
        <v>7329</v>
      </c>
      <c r="H355" s="80">
        <v>5002265</v>
      </c>
    </row>
    <row r="356" spans="1:8" x14ac:dyDescent="0.2">
      <c r="A356" s="79" t="s">
        <v>7688</v>
      </c>
      <c r="B356" s="79" t="s">
        <v>7690</v>
      </c>
      <c r="C356" s="79" t="s">
        <v>7335</v>
      </c>
      <c r="D356" s="79" t="s">
        <v>7328</v>
      </c>
      <c r="E356" s="79">
        <v>3000</v>
      </c>
      <c r="G356" s="79" t="s">
        <v>7313</v>
      </c>
      <c r="H356" s="80">
        <v>7118526.29</v>
      </c>
    </row>
    <row r="357" spans="1:8" x14ac:dyDescent="0.2">
      <c r="A357" s="79" t="s">
        <v>7688</v>
      </c>
      <c r="B357" s="79" t="s">
        <v>7691</v>
      </c>
      <c r="C357" s="79" t="s">
        <v>7335</v>
      </c>
      <c r="D357" s="79" t="s">
        <v>7328</v>
      </c>
      <c r="E357" s="79">
        <v>2800</v>
      </c>
      <c r="G357" s="79" t="s">
        <v>7313</v>
      </c>
      <c r="H357" s="80">
        <v>7154580.75</v>
      </c>
    </row>
    <row r="358" spans="1:8" x14ac:dyDescent="0.2">
      <c r="A358" s="79" t="s">
        <v>7688</v>
      </c>
      <c r="B358" s="79" t="s">
        <v>7692</v>
      </c>
      <c r="C358" s="79" t="s">
        <v>7335</v>
      </c>
      <c r="D358" s="79" t="s">
        <v>7328</v>
      </c>
      <c r="E358" s="79">
        <v>2800</v>
      </c>
      <c r="G358" s="79" t="s">
        <v>7313</v>
      </c>
      <c r="H358" s="80">
        <v>7858772.3399999999</v>
      </c>
    </row>
    <row r="359" spans="1:8" x14ac:dyDescent="0.2">
      <c r="A359" s="79" t="s">
        <v>7688</v>
      </c>
      <c r="B359" s="79" t="s">
        <v>7693</v>
      </c>
      <c r="C359" s="79" t="s">
        <v>7335</v>
      </c>
      <c r="D359" s="79" t="s">
        <v>7328</v>
      </c>
      <c r="E359" s="79">
        <v>2800</v>
      </c>
      <c r="F359" s="79" t="s">
        <v>7349</v>
      </c>
      <c r="G359" s="79" t="s">
        <v>7313</v>
      </c>
      <c r="H359" s="80">
        <v>5206169.28</v>
      </c>
    </row>
    <row r="360" spans="1:8" x14ac:dyDescent="0.2">
      <c r="A360" s="79" t="s">
        <v>7688</v>
      </c>
      <c r="B360" s="79" t="s">
        <v>7694</v>
      </c>
      <c r="C360" s="79" t="s">
        <v>7335</v>
      </c>
      <c r="D360" s="79" t="s">
        <v>7328</v>
      </c>
      <c r="E360" s="79">
        <v>2768</v>
      </c>
      <c r="F360" s="79" t="s">
        <v>7336</v>
      </c>
      <c r="G360" s="79" t="s">
        <v>7313</v>
      </c>
      <c r="H360" s="80">
        <v>4878185.09</v>
      </c>
    </row>
    <row r="361" spans="1:8" x14ac:dyDescent="0.2">
      <c r="A361" s="79" t="s">
        <v>7688</v>
      </c>
      <c r="B361" s="79" t="s">
        <v>7695</v>
      </c>
      <c r="C361" s="79" t="s">
        <v>7335</v>
      </c>
      <c r="D361" s="79" t="s">
        <v>7328</v>
      </c>
      <c r="E361" s="79">
        <v>2768</v>
      </c>
      <c r="F361" s="79" t="s">
        <v>7349</v>
      </c>
      <c r="G361" s="79" t="s">
        <v>7313</v>
      </c>
      <c r="H361" s="80">
        <v>5718594.7300000004</v>
      </c>
    </row>
    <row r="362" spans="1:8" x14ac:dyDescent="0.2">
      <c r="A362" s="79" t="s">
        <v>7688</v>
      </c>
      <c r="B362" s="79" t="s">
        <v>7696</v>
      </c>
      <c r="C362" s="79" t="s">
        <v>7335</v>
      </c>
      <c r="D362" s="79" t="s">
        <v>7328</v>
      </c>
      <c r="E362" s="79">
        <v>2987</v>
      </c>
      <c r="F362" s="79" t="s">
        <v>7349</v>
      </c>
      <c r="G362" s="79" t="s">
        <v>7313</v>
      </c>
      <c r="H362" s="80">
        <v>6171042.0700000003</v>
      </c>
    </row>
    <row r="363" spans="1:8" x14ac:dyDescent="0.2">
      <c r="A363" s="79" t="s">
        <v>7688</v>
      </c>
      <c r="B363" s="79" t="s">
        <v>7697</v>
      </c>
      <c r="C363" s="79" t="s">
        <v>7335</v>
      </c>
      <c r="D363" s="79" t="s">
        <v>7328</v>
      </c>
      <c r="E363" s="79">
        <v>3000</v>
      </c>
      <c r="F363" s="79" t="s">
        <v>7336</v>
      </c>
      <c r="G363" s="79" t="s">
        <v>7313</v>
      </c>
      <c r="H363" s="80">
        <v>7501832.1200000001</v>
      </c>
    </row>
    <row r="364" spans="1:8" x14ac:dyDescent="0.2">
      <c r="A364" s="79" t="s">
        <v>7688</v>
      </c>
      <c r="B364" s="79" t="s">
        <v>7698</v>
      </c>
      <c r="C364" s="79" t="s">
        <v>7335</v>
      </c>
      <c r="D364" s="79" t="s">
        <v>7328</v>
      </c>
      <c r="E364" s="79">
        <v>3200</v>
      </c>
      <c r="G364" s="79" t="s">
        <v>7313</v>
      </c>
      <c r="H364" s="80">
        <v>7999610</v>
      </c>
    </row>
    <row r="365" spans="1:8" x14ac:dyDescent="0.2">
      <c r="A365" s="79" t="s">
        <v>7688</v>
      </c>
      <c r="B365" s="79" t="s">
        <v>7699</v>
      </c>
      <c r="C365" s="79" t="s">
        <v>7335</v>
      </c>
      <c r="D365" s="79" t="s">
        <v>7328</v>
      </c>
      <c r="E365" s="79">
        <v>3200</v>
      </c>
      <c r="G365" s="79" t="s">
        <v>7313</v>
      </c>
      <c r="H365" s="80">
        <v>8731968.9000000004</v>
      </c>
    </row>
    <row r="366" spans="1:8" x14ac:dyDescent="0.2">
      <c r="A366" s="79" t="s">
        <v>7688</v>
      </c>
      <c r="B366" s="79" t="s">
        <v>7700</v>
      </c>
      <c r="C366" s="79" t="s">
        <v>7335</v>
      </c>
      <c r="D366" s="79" t="s">
        <v>7328</v>
      </c>
      <c r="E366" s="79">
        <v>6400</v>
      </c>
      <c r="G366" s="79" t="s">
        <v>7313</v>
      </c>
      <c r="H366" s="80">
        <v>14647173.640000001</v>
      </c>
    </row>
    <row r="367" spans="1:8" x14ac:dyDescent="0.2">
      <c r="A367" s="79" t="s">
        <v>7688</v>
      </c>
      <c r="B367" s="79" t="s">
        <v>7701</v>
      </c>
      <c r="C367" s="79" t="s">
        <v>7335</v>
      </c>
      <c r="D367" s="79" t="s">
        <v>7328</v>
      </c>
      <c r="E367" s="79">
        <v>2000</v>
      </c>
      <c r="G367" s="79" t="s">
        <v>7329</v>
      </c>
      <c r="H367" s="80">
        <v>4887868</v>
      </c>
    </row>
    <row r="368" spans="1:8" x14ac:dyDescent="0.2">
      <c r="A368" s="79" t="s">
        <v>7688</v>
      </c>
      <c r="B368" s="79" t="s">
        <v>7702</v>
      </c>
      <c r="C368" s="79" t="s">
        <v>7335</v>
      </c>
      <c r="D368" s="79" t="s">
        <v>7328</v>
      </c>
      <c r="E368" s="79">
        <v>3000</v>
      </c>
      <c r="G368" s="79" t="s">
        <v>7313</v>
      </c>
      <c r="H368" s="80">
        <v>10929044.52</v>
      </c>
    </row>
    <row r="369" spans="1:8" x14ac:dyDescent="0.2">
      <c r="A369" s="79" t="s">
        <v>7688</v>
      </c>
      <c r="B369" s="79" t="s">
        <v>7703</v>
      </c>
      <c r="C369" s="79" t="s">
        <v>7335</v>
      </c>
      <c r="D369" s="79" t="s">
        <v>7328</v>
      </c>
      <c r="E369" s="79">
        <v>3000</v>
      </c>
      <c r="G369" s="79" t="s">
        <v>7313</v>
      </c>
      <c r="H369" s="80">
        <v>11717739.130000001</v>
      </c>
    </row>
    <row r="370" spans="1:8" x14ac:dyDescent="0.2">
      <c r="A370" s="79" t="s">
        <v>7688</v>
      </c>
      <c r="B370" s="79" t="s">
        <v>7704</v>
      </c>
      <c r="C370" s="79" t="s">
        <v>7335</v>
      </c>
      <c r="D370" s="79" t="s">
        <v>7328</v>
      </c>
      <c r="E370" s="79">
        <v>3600</v>
      </c>
      <c r="G370" s="79" t="s">
        <v>7313</v>
      </c>
      <c r="H370" s="80">
        <v>9576998.1500000004</v>
      </c>
    </row>
    <row r="371" spans="1:8" x14ac:dyDescent="0.2">
      <c r="A371" s="79" t="s">
        <v>7688</v>
      </c>
      <c r="B371" s="79" t="s">
        <v>7705</v>
      </c>
      <c r="C371" s="79" t="s">
        <v>7335</v>
      </c>
      <c r="D371" s="79" t="s">
        <v>7312</v>
      </c>
      <c r="E371" s="79">
        <v>3600</v>
      </c>
      <c r="G371" s="79" t="s">
        <v>7313</v>
      </c>
      <c r="H371" s="80">
        <v>9082142.1999999993</v>
      </c>
    </row>
    <row r="372" spans="1:8" x14ac:dyDescent="0.2">
      <c r="A372" s="79" t="s">
        <v>7688</v>
      </c>
      <c r="B372" s="79" t="s">
        <v>7706</v>
      </c>
      <c r="C372" s="79" t="s">
        <v>7335</v>
      </c>
      <c r="D372" s="79" t="s">
        <v>7328</v>
      </c>
      <c r="E372" s="79">
        <v>5700</v>
      </c>
      <c r="G372" s="79" t="s">
        <v>7313</v>
      </c>
      <c r="H372" s="80">
        <v>12055750.18</v>
      </c>
    </row>
    <row r="373" spans="1:8" x14ac:dyDescent="0.2">
      <c r="A373" s="79" t="s">
        <v>7688</v>
      </c>
      <c r="B373" s="79" t="s">
        <v>7706</v>
      </c>
      <c r="C373" s="79" t="s">
        <v>7335</v>
      </c>
      <c r="D373" s="79" t="s">
        <v>7328</v>
      </c>
      <c r="E373" s="79">
        <v>3600</v>
      </c>
      <c r="G373" s="79" t="s">
        <v>7313</v>
      </c>
      <c r="H373" s="80">
        <v>11154386.300000001</v>
      </c>
    </row>
    <row r="374" spans="1:8" x14ac:dyDescent="0.2">
      <c r="A374" s="79" t="s">
        <v>7688</v>
      </c>
      <c r="B374" s="79" t="s">
        <v>7707</v>
      </c>
      <c r="C374" s="79" t="s">
        <v>7335</v>
      </c>
      <c r="D374" s="79" t="s">
        <v>7312</v>
      </c>
      <c r="E374" s="79">
        <v>4700</v>
      </c>
      <c r="G374" s="79" t="s">
        <v>7313</v>
      </c>
      <c r="H374" s="80">
        <v>7650331.5899999999</v>
      </c>
    </row>
    <row r="375" spans="1:8" x14ac:dyDescent="0.2">
      <c r="A375" s="79" t="s">
        <v>7688</v>
      </c>
      <c r="B375" s="79" t="s">
        <v>7708</v>
      </c>
      <c r="C375" s="79" t="s">
        <v>7335</v>
      </c>
      <c r="D375" s="79" t="s">
        <v>7328</v>
      </c>
      <c r="E375" s="79">
        <v>2768</v>
      </c>
      <c r="G375" s="79" t="s">
        <v>7313</v>
      </c>
      <c r="H375" s="80">
        <v>6692632</v>
      </c>
    </row>
    <row r="376" spans="1:8" x14ac:dyDescent="0.2">
      <c r="A376" s="79" t="s">
        <v>7688</v>
      </c>
      <c r="B376" s="79" t="s">
        <v>7709</v>
      </c>
      <c r="C376" s="79" t="s">
        <v>7335</v>
      </c>
      <c r="D376" s="79" t="s">
        <v>7328</v>
      </c>
      <c r="E376" s="79">
        <v>2768</v>
      </c>
      <c r="F376" s="79" t="s">
        <v>7349</v>
      </c>
      <c r="G376" s="79" t="s">
        <v>7313</v>
      </c>
      <c r="H376" s="80">
        <v>7379922.54</v>
      </c>
    </row>
    <row r="377" spans="1:8" x14ac:dyDescent="0.2">
      <c r="A377" s="79" t="s">
        <v>7688</v>
      </c>
      <c r="B377" s="79" t="s">
        <v>7710</v>
      </c>
      <c r="C377" s="79" t="s">
        <v>7335</v>
      </c>
      <c r="D377" s="79" t="s">
        <v>7312</v>
      </c>
      <c r="E377" s="79">
        <v>3600</v>
      </c>
      <c r="F377" s="79" t="s">
        <v>7349</v>
      </c>
      <c r="G377" s="79" t="s">
        <v>7313</v>
      </c>
      <c r="H377" s="80">
        <v>7154580.75</v>
      </c>
    </row>
    <row r="378" spans="1:8" x14ac:dyDescent="0.2">
      <c r="A378" s="79" t="s">
        <v>7688</v>
      </c>
      <c r="B378" s="79" t="s">
        <v>7711</v>
      </c>
      <c r="C378" s="79" t="s">
        <v>7335</v>
      </c>
      <c r="D378" s="79" t="s">
        <v>7312</v>
      </c>
      <c r="E378" s="79">
        <v>3600</v>
      </c>
      <c r="F378" s="79" t="s">
        <v>7349</v>
      </c>
      <c r="G378" s="79" t="s">
        <v>7313</v>
      </c>
      <c r="H378" s="80">
        <v>6444756.5800000001</v>
      </c>
    </row>
    <row r="379" spans="1:8" x14ac:dyDescent="0.2">
      <c r="A379" s="79" t="s">
        <v>7688</v>
      </c>
      <c r="B379" s="79" t="s">
        <v>7712</v>
      </c>
      <c r="C379" s="79" t="s">
        <v>7335</v>
      </c>
      <c r="D379" s="79" t="s">
        <v>7312</v>
      </c>
      <c r="E379" s="79">
        <v>3600</v>
      </c>
      <c r="G379" s="79" t="s">
        <v>7313</v>
      </c>
      <c r="H379" s="80">
        <v>7391188.8099999996</v>
      </c>
    </row>
    <row r="380" spans="1:8" x14ac:dyDescent="0.2">
      <c r="A380" s="79" t="s">
        <v>7688</v>
      </c>
      <c r="B380" s="79" t="s">
        <v>7713</v>
      </c>
      <c r="C380" s="79" t="s">
        <v>7335</v>
      </c>
      <c r="D380" s="79" t="s">
        <v>7312</v>
      </c>
      <c r="E380" s="79">
        <v>3600</v>
      </c>
      <c r="G380" s="79" t="s">
        <v>7313</v>
      </c>
      <c r="H380" s="80">
        <v>7751734.5800000001</v>
      </c>
    </row>
    <row r="381" spans="1:8" x14ac:dyDescent="0.2">
      <c r="A381" s="79" t="s">
        <v>7688</v>
      </c>
      <c r="B381" s="79" t="s">
        <v>7714</v>
      </c>
      <c r="C381" s="79" t="s">
        <v>7335</v>
      </c>
      <c r="D381" s="79" t="s">
        <v>7328</v>
      </c>
      <c r="E381" s="79">
        <v>2350</v>
      </c>
      <c r="G381" s="79" t="s">
        <v>7313</v>
      </c>
      <c r="H381" s="80">
        <v>6197193</v>
      </c>
    </row>
    <row r="382" spans="1:8" x14ac:dyDescent="0.2">
      <c r="A382" s="79" t="s">
        <v>7688</v>
      </c>
      <c r="B382" s="79" t="s">
        <v>7714</v>
      </c>
      <c r="C382" s="79" t="s">
        <v>7335</v>
      </c>
      <c r="D382" s="79" t="s">
        <v>7328</v>
      </c>
      <c r="E382" s="79">
        <v>2000</v>
      </c>
      <c r="G382" s="79" t="s">
        <v>7313</v>
      </c>
      <c r="H382" s="80">
        <v>5274218</v>
      </c>
    </row>
    <row r="383" spans="1:8" x14ac:dyDescent="0.2">
      <c r="A383" s="79" t="s">
        <v>7715</v>
      </c>
      <c r="B383" s="79" t="s">
        <v>7716</v>
      </c>
      <c r="C383" s="79" t="s">
        <v>7311</v>
      </c>
      <c r="D383" s="79" t="s">
        <v>7328</v>
      </c>
      <c r="E383" s="79">
        <v>1600</v>
      </c>
      <c r="G383" s="79" t="s">
        <v>7329</v>
      </c>
      <c r="H383" s="80">
        <v>2595318</v>
      </c>
    </row>
    <row r="384" spans="1:8" x14ac:dyDescent="0.2">
      <c r="A384" s="79" t="s">
        <v>7715</v>
      </c>
      <c r="B384" s="79" t="s">
        <v>7717</v>
      </c>
      <c r="C384" s="79" t="s">
        <v>7619</v>
      </c>
      <c r="D384" s="79" t="s">
        <v>7328</v>
      </c>
      <c r="E384" s="79">
        <v>2700</v>
      </c>
      <c r="F384" s="79" t="s">
        <v>7336</v>
      </c>
      <c r="G384" s="79" t="s">
        <v>7329</v>
      </c>
      <c r="H384" s="80">
        <v>1958054.82</v>
      </c>
    </row>
    <row r="385" spans="1:8" x14ac:dyDescent="0.2">
      <c r="A385" s="79" t="s">
        <v>7715</v>
      </c>
      <c r="B385" s="79" t="s">
        <v>7718</v>
      </c>
      <c r="C385" s="79" t="s">
        <v>7311</v>
      </c>
      <c r="D385" s="79" t="s">
        <v>7312</v>
      </c>
      <c r="E385" s="79">
        <v>1343</v>
      </c>
      <c r="F385" s="79" t="s">
        <v>7349</v>
      </c>
      <c r="G385" s="79" t="s">
        <v>7329</v>
      </c>
      <c r="H385" s="80">
        <v>1943951</v>
      </c>
    </row>
    <row r="386" spans="1:8" x14ac:dyDescent="0.2">
      <c r="A386" s="79" t="s">
        <v>7715</v>
      </c>
      <c r="B386" s="79" t="s">
        <v>7719</v>
      </c>
      <c r="C386" s="79" t="s">
        <v>7311</v>
      </c>
      <c r="D386" s="79" t="s">
        <v>7312</v>
      </c>
      <c r="E386" s="79">
        <v>1400</v>
      </c>
      <c r="F386" s="79" t="s">
        <v>7349</v>
      </c>
      <c r="G386" s="79" t="s">
        <v>7329</v>
      </c>
      <c r="H386" s="80">
        <v>2113952</v>
      </c>
    </row>
    <row r="387" spans="1:8" x14ac:dyDescent="0.2">
      <c r="A387" s="79" t="s">
        <v>7715</v>
      </c>
      <c r="B387" s="79" t="s">
        <v>7720</v>
      </c>
      <c r="C387" s="79" t="s">
        <v>7311</v>
      </c>
      <c r="D387" s="79" t="s">
        <v>7312</v>
      </c>
      <c r="E387" s="79">
        <v>1493</v>
      </c>
      <c r="F387" s="79" t="s">
        <v>7349</v>
      </c>
      <c r="G387" s="79" t="s">
        <v>7329</v>
      </c>
      <c r="H387" s="80">
        <v>2193951</v>
      </c>
    </row>
    <row r="388" spans="1:8" x14ac:dyDescent="0.2">
      <c r="A388" s="79" t="s">
        <v>7715</v>
      </c>
      <c r="B388" s="79" t="s">
        <v>7721</v>
      </c>
      <c r="C388" s="79" t="s">
        <v>7335</v>
      </c>
      <c r="D388" s="79" t="s">
        <v>7328</v>
      </c>
      <c r="E388" s="79">
        <v>2200</v>
      </c>
      <c r="G388" s="79" t="s">
        <v>7313</v>
      </c>
      <c r="H388" s="80">
        <v>4645503</v>
      </c>
    </row>
    <row r="389" spans="1:8" x14ac:dyDescent="0.2">
      <c r="A389" s="79" t="s">
        <v>7715</v>
      </c>
      <c r="B389" s="79" t="s">
        <v>7722</v>
      </c>
      <c r="C389" s="79" t="s">
        <v>7335</v>
      </c>
      <c r="D389" s="79" t="s">
        <v>7328</v>
      </c>
      <c r="E389" s="79">
        <v>2500</v>
      </c>
      <c r="G389" s="79" t="s">
        <v>7313</v>
      </c>
      <c r="H389" s="80">
        <v>4250000</v>
      </c>
    </row>
    <row r="390" spans="1:8" x14ac:dyDescent="0.2">
      <c r="A390" s="79" t="s">
        <v>7715</v>
      </c>
      <c r="B390" s="79" t="s">
        <v>7723</v>
      </c>
      <c r="C390" s="79" t="s">
        <v>7335</v>
      </c>
      <c r="D390" s="79" t="s">
        <v>7312</v>
      </c>
      <c r="E390" s="79">
        <v>2400</v>
      </c>
      <c r="G390" s="79" t="s">
        <v>7313</v>
      </c>
      <c r="H390" s="80">
        <v>4363120</v>
      </c>
    </row>
    <row r="391" spans="1:8" x14ac:dyDescent="0.2">
      <c r="A391" s="79" t="s">
        <v>7715</v>
      </c>
      <c r="B391" s="79" t="s">
        <v>7724</v>
      </c>
      <c r="C391" s="79" t="s">
        <v>7335</v>
      </c>
      <c r="D391" s="79" t="s">
        <v>7312</v>
      </c>
      <c r="E391" s="79">
        <v>2000</v>
      </c>
      <c r="G391" s="79" t="s">
        <v>7313</v>
      </c>
      <c r="H391" s="80">
        <v>2850000</v>
      </c>
    </row>
    <row r="392" spans="1:8" x14ac:dyDescent="0.2">
      <c r="A392" s="79" t="s">
        <v>7715</v>
      </c>
      <c r="B392" s="79" t="s">
        <v>7724</v>
      </c>
      <c r="C392" s="79" t="s">
        <v>7335</v>
      </c>
      <c r="D392" s="79" t="s">
        <v>7328</v>
      </c>
      <c r="E392" s="79">
        <v>2000</v>
      </c>
      <c r="G392" s="79" t="s">
        <v>7313</v>
      </c>
      <c r="H392" s="80">
        <v>3000000</v>
      </c>
    </row>
    <row r="393" spans="1:8" x14ac:dyDescent="0.2">
      <c r="A393" s="79" t="s">
        <v>7715</v>
      </c>
      <c r="B393" s="79" t="s">
        <v>7725</v>
      </c>
      <c r="C393" s="79" t="s">
        <v>7335</v>
      </c>
      <c r="D393" s="79" t="s">
        <v>7312</v>
      </c>
      <c r="E393" s="79">
        <v>2000</v>
      </c>
      <c r="G393" s="79" t="s">
        <v>7313</v>
      </c>
      <c r="H393" s="80">
        <v>3761474</v>
      </c>
    </row>
    <row r="394" spans="1:8" x14ac:dyDescent="0.2">
      <c r="A394" s="79" t="s">
        <v>7715</v>
      </c>
      <c r="B394" s="79" t="s">
        <v>7726</v>
      </c>
      <c r="C394" s="79" t="s">
        <v>7335</v>
      </c>
      <c r="D394" s="79" t="s">
        <v>7328</v>
      </c>
      <c r="E394" s="79">
        <v>2000</v>
      </c>
      <c r="G394" s="79" t="s">
        <v>7313</v>
      </c>
      <c r="H394" s="80">
        <v>4125893</v>
      </c>
    </row>
    <row r="395" spans="1:8" x14ac:dyDescent="0.2">
      <c r="A395" s="79" t="s">
        <v>7715</v>
      </c>
      <c r="B395" s="79" t="s">
        <v>7727</v>
      </c>
      <c r="C395" s="79" t="s">
        <v>7728</v>
      </c>
      <c r="D395" s="79" t="s">
        <v>7328</v>
      </c>
      <c r="E395" s="79">
        <v>2700</v>
      </c>
      <c r="G395" s="79" t="s">
        <v>7329</v>
      </c>
      <c r="H395" s="80">
        <v>1787610</v>
      </c>
    </row>
    <row r="396" spans="1:8" x14ac:dyDescent="0.2">
      <c r="A396" s="79" t="s">
        <v>7715</v>
      </c>
      <c r="B396" s="79" t="s">
        <v>7729</v>
      </c>
      <c r="C396" s="79" t="s">
        <v>7728</v>
      </c>
      <c r="D396" s="79" t="s">
        <v>7328</v>
      </c>
      <c r="E396" s="79">
        <v>2700</v>
      </c>
      <c r="G396" s="79" t="s">
        <v>7329</v>
      </c>
      <c r="H396" s="80">
        <v>1814695</v>
      </c>
    </row>
    <row r="397" spans="1:8" x14ac:dyDescent="0.2">
      <c r="A397" s="79" t="s">
        <v>7715</v>
      </c>
      <c r="B397" s="79" t="s">
        <v>7730</v>
      </c>
      <c r="C397" s="79" t="s">
        <v>7311</v>
      </c>
      <c r="D397" s="79" t="s">
        <v>7312</v>
      </c>
      <c r="E397" s="79">
        <v>1594</v>
      </c>
      <c r="G397" s="79" t="s">
        <v>7329</v>
      </c>
      <c r="H397" s="80">
        <v>1650000</v>
      </c>
    </row>
    <row r="398" spans="1:8" x14ac:dyDescent="0.2">
      <c r="A398" s="79" t="s">
        <v>7715</v>
      </c>
      <c r="B398" s="79" t="s">
        <v>7731</v>
      </c>
      <c r="C398" s="79" t="s">
        <v>7335</v>
      </c>
      <c r="D398" s="79" t="s">
        <v>7312</v>
      </c>
      <c r="E398" s="79">
        <v>1794</v>
      </c>
      <c r="G398" s="79" t="s">
        <v>7329</v>
      </c>
      <c r="H398" s="80">
        <v>2100000</v>
      </c>
    </row>
    <row r="399" spans="1:8" x14ac:dyDescent="0.2">
      <c r="A399" s="79" t="s">
        <v>7715</v>
      </c>
      <c r="B399" s="79" t="s">
        <v>7732</v>
      </c>
      <c r="C399" s="79" t="s">
        <v>7335</v>
      </c>
      <c r="D399" s="79" t="s">
        <v>7312</v>
      </c>
      <c r="E399" s="79">
        <v>1100</v>
      </c>
      <c r="G399" s="79" t="s">
        <v>7329</v>
      </c>
      <c r="H399" s="80">
        <v>1235000</v>
      </c>
    </row>
    <row r="400" spans="1:8" x14ac:dyDescent="0.2">
      <c r="A400" s="79" t="s">
        <v>7715</v>
      </c>
      <c r="B400" s="79" t="s">
        <v>7733</v>
      </c>
      <c r="C400" s="79" t="s">
        <v>7335</v>
      </c>
      <c r="D400" s="79" t="s">
        <v>7312</v>
      </c>
      <c r="E400" s="79">
        <v>2700</v>
      </c>
      <c r="G400" s="79" t="s">
        <v>7329</v>
      </c>
      <c r="H400" s="80">
        <v>3025000</v>
      </c>
    </row>
    <row r="401" spans="1:8" x14ac:dyDescent="0.2">
      <c r="A401" s="79" t="s">
        <v>7715</v>
      </c>
      <c r="B401" s="79" t="s">
        <v>7734</v>
      </c>
      <c r="C401" s="79" t="s">
        <v>7335</v>
      </c>
      <c r="D401" s="79" t="s">
        <v>7312</v>
      </c>
      <c r="E401" s="79">
        <v>2902</v>
      </c>
      <c r="G401" s="79" t="s">
        <v>7313</v>
      </c>
      <c r="H401" s="80">
        <v>4112311</v>
      </c>
    </row>
    <row r="402" spans="1:8" x14ac:dyDescent="0.2">
      <c r="A402" s="79" t="s">
        <v>7715</v>
      </c>
      <c r="B402" s="79" t="s">
        <v>7735</v>
      </c>
      <c r="C402" s="79" t="s">
        <v>7335</v>
      </c>
      <c r="D402" s="79" t="s">
        <v>7312</v>
      </c>
      <c r="E402" s="79">
        <v>1600</v>
      </c>
      <c r="F402" s="79" t="s">
        <v>7349</v>
      </c>
      <c r="G402" s="79" t="s">
        <v>7313</v>
      </c>
      <c r="H402" s="80">
        <v>2641159</v>
      </c>
    </row>
    <row r="403" spans="1:8" x14ac:dyDescent="0.2">
      <c r="A403" s="79" t="s">
        <v>7736</v>
      </c>
      <c r="B403" s="79" t="s">
        <v>7737</v>
      </c>
      <c r="C403" s="79" t="s">
        <v>7335</v>
      </c>
      <c r="D403" s="79" t="s">
        <v>7328</v>
      </c>
      <c r="E403" s="79">
        <v>2200</v>
      </c>
      <c r="F403" s="79" t="s">
        <v>7738</v>
      </c>
      <c r="G403" s="79" t="s">
        <v>7313</v>
      </c>
      <c r="H403" s="80">
        <v>8560505.5999999996</v>
      </c>
    </row>
    <row r="404" spans="1:8" x14ac:dyDescent="0.2">
      <c r="A404" s="79" t="s">
        <v>7736</v>
      </c>
      <c r="B404" s="79" t="s">
        <v>7739</v>
      </c>
      <c r="C404" s="79" t="s">
        <v>7335</v>
      </c>
      <c r="D404" s="79" t="s">
        <v>7328</v>
      </c>
      <c r="E404" s="79">
        <v>2200</v>
      </c>
      <c r="F404" s="79" t="s">
        <v>7738</v>
      </c>
      <c r="G404" s="79" t="s">
        <v>7313</v>
      </c>
      <c r="H404" s="80">
        <v>8768132.8000000007</v>
      </c>
    </row>
    <row r="405" spans="1:8" x14ac:dyDescent="0.2">
      <c r="A405" s="79" t="s">
        <v>7736</v>
      </c>
      <c r="B405" s="79" t="s">
        <v>7740</v>
      </c>
      <c r="C405" s="79" t="s">
        <v>7335</v>
      </c>
      <c r="D405" s="79" t="s">
        <v>7328</v>
      </c>
      <c r="E405" s="79">
        <v>2200</v>
      </c>
      <c r="G405" s="79" t="s">
        <v>7313</v>
      </c>
      <c r="H405" s="80">
        <v>9838999.1999999993</v>
      </c>
    </row>
    <row r="406" spans="1:8" x14ac:dyDescent="0.2">
      <c r="A406" s="79" t="s">
        <v>7736</v>
      </c>
      <c r="B406" s="79" t="s">
        <v>7741</v>
      </c>
      <c r="C406" s="79" t="s">
        <v>7335</v>
      </c>
      <c r="D406" s="79" t="s">
        <v>7328</v>
      </c>
      <c r="E406" s="79">
        <v>2200</v>
      </c>
      <c r="G406" s="79" t="s">
        <v>7313</v>
      </c>
      <c r="H406" s="80">
        <v>11107553.199999999</v>
      </c>
    </row>
    <row r="407" spans="1:8" x14ac:dyDescent="0.2">
      <c r="A407" s="79" t="s">
        <v>7736</v>
      </c>
      <c r="B407" s="79" t="s">
        <v>7742</v>
      </c>
      <c r="C407" s="79" t="s">
        <v>7335</v>
      </c>
      <c r="D407" s="79" t="s">
        <v>7328</v>
      </c>
      <c r="E407" s="79">
        <v>2200</v>
      </c>
      <c r="F407" s="79" t="s">
        <v>7738</v>
      </c>
      <c r="G407" s="79" t="s">
        <v>7313</v>
      </c>
      <c r="H407" s="80">
        <v>8537413.5999999996</v>
      </c>
    </row>
    <row r="408" spans="1:8" x14ac:dyDescent="0.2">
      <c r="A408" s="79" t="s">
        <v>7736</v>
      </c>
      <c r="B408" s="79" t="s">
        <v>7743</v>
      </c>
      <c r="C408" s="79" t="s">
        <v>7335</v>
      </c>
      <c r="D408" s="79" t="s">
        <v>7328</v>
      </c>
      <c r="E408" s="79">
        <v>2200</v>
      </c>
      <c r="G408" s="79" t="s">
        <v>7313</v>
      </c>
      <c r="H408" s="80">
        <v>8855799.7200000007</v>
      </c>
    </row>
    <row r="409" spans="1:8" x14ac:dyDescent="0.2">
      <c r="A409" s="79" t="s">
        <v>7736</v>
      </c>
      <c r="B409" s="79" t="s">
        <v>7744</v>
      </c>
      <c r="C409" s="79" t="s">
        <v>7745</v>
      </c>
      <c r="D409" s="79" t="s">
        <v>7328</v>
      </c>
      <c r="E409" s="79">
        <v>2200</v>
      </c>
      <c r="F409" s="79" t="s">
        <v>7738</v>
      </c>
      <c r="G409" s="79" t="s">
        <v>7313</v>
      </c>
      <c r="H409" s="80">
        <v>8537413.5999999996</v>
      </c>
    </row>
    <row r="410" spans="1:8" x14ac:dyDescent="0.2">
      <c r="A410" s="79" t="s">
        <v>7736</v>
      </c>
      <c r="B410" s="79" t="s">
        <v>7746</v>
      </c>
      <c r="C410" s="79" t="s">
        <v>7745</v>
      </c>
      <c r="D410" s="79" t="s">
        <v>7328</v>
      </c>
      <c r="E410" s="79">
        <v>2200</v>
      </c>
      <c r="F410" s="79" t="s">
        <v>7738</v>
      </c>
      <c r="G410" s="79" t="s">
        <v>7313</v>
      </c>
      <c r="H410" s="80">
        <v>8791124.4000000004</v>
      </c>
    </row>
    <row r="411" spans="1:8" x14ac:dyDescent="0.2">
      <c r="A411" s="79" t="s">
        <v>7736</v>
      </c>
      <c r="B411" s="79" t="s">
        <v>7744</v>
      </c>
      <c r="C411" s="79" t="s">
        <v>7335</v>
      </c>
      <c r="D411" s="79" t="s">
        <v>7328</v>
      </c>
      <c r="E411" s="79">
        <v>2200</v>
      </c>
      <c r="F411" s="79" t="s">
        <v>7738</v>
      </c>
      <c r="G411" s="79" t="s">
        <v>7313</v>
      </c>
      <c r="H411" s="80">
        <v>9229370.4000000004</v>
      </c>
    </row>
    <row r="412" spans="1:8" x14ac:dyDescent="0.2">
      <c r="A412" s="79" t="s">
        <v>7736</v>
      </c>
      <c r="B412" s="79" t="s">
        <v>7747</v>
      </c>
      <c r="C412" s="79" t="s">
        <v>7614</v>
      </c>
      <c r="D412" s="79" t="s">
        <v>7328</v>
      </c>
      <c r="E412" s="79">
        <v>2200</v>
      </c>
      <c r="G412" s="79" t="s">
        <v>7313</v>
      </c>
      <c r="H412" s="80">
        <v>9229370.4000000004</v>
      </c>
    </row>
    <row r="413" spans="1:8" x14ac:dyDescent="0.2">
      <c r="A413" s="79" t="s">
        <v>7736</v>
      </c>
      <c r="B413" s="79" t="s">
        <v>7748</v>
      </c>
      <c r="C413" s="79" t="s">
        <v>7335</v>
      </c>
      <c r="D413" s="79" t="s">
        <v>7328</v>
      </c>
      <c r="E413" s="79">
        <v>2200</v>
      </c>
      <c r="G413" s="79" t="s">
        <v>7313</v>
      </c>
      <c r="H413" s="80">
        <v>10761574.800000001</v>
      </c>
    </row>
    <row r="414" spans="1:8" x14ac:dyDescent="0.2">
      <c r="A414" s="79" t="s">
        <v>7736</v>
      </c>
      <c r="B414" s="79" t="s">
        <v>7749</v>
      </c>
      <c r="C414" s="79" t="s">
        <v>7335</v>
      </c>
      <c r="D414" s="79" t="s">
        <v>7328</v>
      </c>
      <c r="E414" s="79">
        <v>2200</v>
      </c>
      <c r="G414" s="79" t="s">
        <v>7313</v>
      </c>
      <c r="H414" s="80">
        <v>12260747.6</v>
      </c>
    </row>
    <row r="415" spans="1:8" x14ac:dyDescent="0.2">
      <c r="A415" s="79" t="s">
        <v>7391</v>
      </c>
      <c r="B415" s="79" t="s">
        <v>7750</v>
      </c>
      <c r="C415" s="79" t="s">
        <v>7379</v>
      </c>
      <c r="E415" s="79">
        <v>3857</v>
      </c>
      <c r="G415" s="79" t="s">
        <v>7329</v>
      </c>
      <c r="H415" s="80">
        <v>2800000</v>
      </c>
    </row>
    <row r="416" spans="1:8" x14ac:dyDescent="0.2">
      <c r="A416" s="79" t="s">
        <v>7391</v>
      </c>
      <c r="B416" s="79" t="s">
        <v>7751</v>
      </c>
      <c r="C416" s="79" t="s">
        <v>7438</v>
      </c>
      <c r="E416" s="79" t="s">
        <v>7752</v>
      </c>
      <c r="G416" s="79" t="s">
        <v>7376</v>
      </c>
      <c r="H416" s="80">
        <v>8371775</v>
      </c>
    </row>
    <row r="417" spans="1:8" x14ac:dyDescent="0.2">
      <c r="A417" s="79" t="s">
        <v>7391</v>
      </c>
      <c r="B417" s="79" t="s">
        <v>7753</v>
      </c>
      <c r="C417" s="79" t="s">
        <v>7438</v>
      </c>
      <c r="E417" s="79" t="s">
        <v>7752</v>
      </c>
      <c r="G417" s="79" t="s">
        <v>7376</v>
      </c>
      <c r="H417" s="80">
        <v>8735765</v>
      </c>
    </row>
    <row r="418" spans="1:8" x14ac:dyDescent="0.2">
      <c r="A418" s="79" t="s">
        <v>7391</v>
      </c>
      <c r="B418" s="79" t="s">
        <v>7754</v>
      </c>
      <c r="C418" s="79" t="s">
        <v>7438</v>
      </c>
      <c r="E418" s="79" t="s">
        <v>7755</v>
      </c>
      <c r="G418" s="79" t="s">
        <v>7756</v>
      </c>
      <c r="H418" s="80">
        <v>7695793</v>
      </c>
    </row>
    <row r="419" spans="1:8" x14ac:dyDescent="0.2">
      <c r="A419" s="79" t="s">
        <v>7391</v>
      </c>
      <c r="B419" s="79" t="s">
        <v>7757</v>
      </c>
      <c r="C419" s="79" t="s">
        <v>7438</v>
      </c>
      <c r="E419" s="79" t="s">
        <v>7758</v>
      </c>
      <c r="G419" s="79" t="s">
        <v>7756</v>
      </c>
      <c r="H419" s="80">
        <v>7071810</v>
      </c>
    </row>
    <row r="420" spans="1:8" x14ac:dyDescent="0.2">
      <c r="A420" s="79" t="s">
        <v>7759</v>
      </c>
      <c r="B420" s="79" t="s">
        <v>7760</v>
      </c>
      <c r="C420" s="79" t="s">
        <v>7407</v>
      </c>
      <c r="D420" s="79" t="s">
        <v>7312</v>
      </c>
      <c r="E420" s="79">
        <v>5999</v>
      </c>
      <c r="G420" s="79" t="s">
        <v>7313</v>
      </c>
      <c r="H420" s="80">
        <v>48720823</v>
      </c>
    </row>
    <row r="421" spans="1:8" x14ac:dyDescent="0.2">
      <c r="A421" s="79" t="s">
        <v>7759</v>
      </c>
      <c r="B421" s="79" t="s">
        <v>7761</v>
      </c>
      <c r="C421" s="79" t="s">
        <v>7407</v>
      </c>
      <c r="D421" s="79" t="s">
        <v>7312</v>
      </c>
      <c r="E421" s="79">
        <v>4499</v>
      </c>
      <c r="F421" s="79" t="s">
        <v>7336</v>
      </c>
      <c r="G421" s="79" t="s">
        <v>7313</v>
      </c>
      <c r="H421" s="80">
        <v>33599668</v>
      </c>
    </row>
    <row r="422" spans="1:8" x14ac:dyDescent="0.2">
      <c r="A422" s="79" t="s">
        <v>7759</v>
      </c>
      <c r="B422" s="79" t="s">
        <v>7762</v>
      </c>
      <c r="C422" s="79" t="s">
        <v>7407</v>
      </c>
      <c r="D422" s="79" t="s">
        <v>7312</v>
      </c>
      <c r="E422" s="79">
        <v>4297</v>
      </c>
      <c r="F422" s="79" t="s">
        <v>7336</v>
      </c>
      <c r="G422" s="79" t="s">
        <v>7313</v>
      </c>
      <c r="H422" s="80">
        <v>28630362</v>
      </c>
    </row>
    <row r="423" spans="1:8" x14ac:dyDescent="0.2">
      <c r="A423" s="79" t="s">
        <v>7759</v>
      </c>
      <c r="B423" s="79" t="s">
        <v>7763</v>
      </c>
      <c r="C423" s="79" t="s">
        <v>7407</v>
      </c>
      <c r="D423" s="79" t="s">
        <v>7312</v>
      </c>
      <c r="E423" s="79">
        <v>5700</v>
      </c>
      <c r="F423" s="79" t="s">
        <v>7349</v>
      </c>
      <c r="G423" s="79" t="s">
        <v>7313</v>
      </c>
      <c r="H423" s="80">
        <v>33756423</v>
      </c>
    </row>
    <row r="424" spans="1:8" x14ac:dyDescent="0.2">
      <c r="A424" s="79" t="s">
        <v>7764</v>
      </c>
      <c r="C424" s="79" t="s">
        <v>7340</v>
      </c>
      <c r="D424" s="79" t="s">
        <v>7312</v>
      </c>
      <c r="E424" s="79">
        <v>1246</v>
      </c>
      <c r="G424" s="79" t="s">
        <v>7329</v>
      </c>
      <c r="H424" s="80">
        <v>1065600</v>
      </c>
    </row>
    <row r="425" spans="1:8" x14ac:dyDescent="0.2">
      <c r="A425" s="79" t="s">
        <v>7764</v>
      </c>
      <c r="B425" s="79" t="s">
        <v>7765</v>
      </c>
      <c r="C425" s="79" t="s">
        <v>7311</v>
      </c>
      <c r="D425" s="79" t="s">
        <v>7312</v>
      </c>
      <c r="E425" s="79">
        <v>1246</v>
      </c>
      <c r="G425" s="79" t="s">
        <v>7329</v>
      </c>
      <c r="H425" s="80">
        <v>1513800</v>
      </c>
    </row>
    <row r="426" spans="1:8" x14ac:dyDescent="0.2">
      <c r="A426" s="79" t="s">
        <v>7764</v>
      </c>
      <c r="B426" s="79" t="s">
        <v>7765</v>
      </c>
      <c r="C426" s="79" t="s">
        <v>7311</v>
      </c>
      <c r="D426" s="79" t="s">
        <v>7312</v>
      </c>
      <c r="E426" s="79">
        <v>1600</v>
      </c>
      <c r="G426" s="79" t="s">
        <v>7329</v>
      </c>
      <c r="H426" s="80">
        <v>1570500</v>
      </c>
    </row>
    <row r="427" spans="1:8" x14ac:dyDescent="0.2">
      <c r="A427" s="79" t="s">
        <v>7764</v>
      </c>
      <c r="B427" s="79" t="s">
        <v>7766</v>
      </c>
      <c r="C427" s="79" t="s">
        <v>7311</v>
      </c>
      <c r="D427" s="79" t="s">
        <v>7312</v>
      </c>
      <c r="E427" s="79">
        <v>1600</v>
      </c>
      <c r="G427" s="79" t="s">
        <v>7329</v>
      </c>
      <c r="H427" s="80">
        <v>1790100</v>
      </c>
    </row>
    <row r="428" spans="1:8" x14ac:dyDescent="0.2">
      <c r="A428" s="79" t="s">
        <v>7764</v>
      </c>
      <c r="B428" s="79" t="s">
        <v>7767</v>
      </c>
      <c r="C428" s="79" t="s">
        <v>7335</v>
      </c>
      <c r="D428" s="79" t="s">
        <v>7312</v>
      </c>
      <c r="E428" s="79">
        <v>1600</v>
      </c>
      <c r="G428" s="79" t="s">
        <v>7329</v>
      </c>
      <c r="H428" s="80">
        <v>1970100</v>
      </c>
    </row>
    <row r="429" spans="1:8" x14ac:dyDescent="0.2">
      <c r="A429" s="79" t="s">
        <v>7764</v>
      </c>
      <c r="B429" s="79" t="s">
        <v>7768</v>
      </c>
      <c r="C429" s="79" t="s">
        <v>7327</v>
      </c>
      <c r="D429" s="79" t="s">
        <v>7328</v>
      </c>
      <c r="E429" s="79">
        <v>2300</v>
      </c>
      <c r="F429" s="79" t="s">
        <v>7336</v>
      </c>
      <c r="G429" s="79" t="s">
        <v>7329</v>
      </c>
      <c r="H429" s="80">
        <v>4050747</v>
      </c>
    </row>
    <row r="430" spans="1:8" x14ac:dyDescent="0.2">
      <c r="A430" s="79" t="s">
        <v>7769</v>
      </c>
      <c r="B430" s="79" t="s">
        <v>7770</v>
      </c>
      <c r="C430" s="79" t="s">
        <v>7619</v>
      </c>
      <c r="D430" s="79" t="s">
        <v>7312</v>
      </c>
      <c r="E430" s="79">
        <v>1300</v>
      </c>
      <c r="G430" s="79" t="s">
        <v>7329</v>
      </c>
      <c r="H430" s="80">
        <v>1250000</v>
      </c>
    </row>
    <row r="431" spans="1:8" x14ac:dyDescent="0.2">
      <c r="A431" s="79" t="s">
        <v>7769</v>
      </c>
      <c r="B431" s="79" t="s">
        <v>7770</v>
      </c>
      <c r="C431" s="79" t="s">
        <v>7619</v>
      </c>
      <c r="D431" s="79" t="s">
        <v>7312</v>
      </c>
      <c r="E431" s="79">
        <v>1597</v>
      </c>
      <c r="G431" s="79" t="s">
        <v>7329</v>
      </c>
      <c r="H431" s="80">
        <v>1650857</v>
      </c>
    </row>
    <row r="432" spans="1:8" x14ac:dyDescent="0.2">
      <c r="A432" s="79" t="s">
        <v>7769</v>
      </c>
      <c r="B432" s="79" t="s">
        <v>7770</v>
      </c>
      <c r="C432" s="79" t="s">
        <v>7619</v>
      </c>
      <c r="D432" s="79" t="s">
        <v>7328</v>
      </c>
      <c r="E432" s="79">
        <v>1753</v>
      </c>
      <c r="G432" s="79" t="s">
        <v>7329</v>
      </c>
      <c r="H432" s="80">
        <v>1491750</v>
      </c>
    </row>
    <row r="433" spans="1:8" x14ac:dyDescent="0.2">
      <c r="A433" s="79" t="s">
        <v>7769</v>
      </c>
      <c r="B433" s="79" t="s">
        <v>7771</v>
      </c>
      <c r="C433" s="79" t="s">
        <v>7619</v>
      </c>
      <c r="D433" s="79" t="s">
        <v>7328</v>
      </c>
      <c r="E433" s="79">
        <v>1800</v>
      </c>
      <c r="G433" s="79" t="s">
        <v>7313</v>
      </c>
      <c r="H433" s="80">
        <v>1625000</v>
      </c>
    </row>
    <row r="434" spans="1:8" x14ac:dyDescent="0.2">
      <c r="A434" s="79" t="s">
        <v>7769</v>
      </c>
      <c r="B434" s="79" t="s">
        <v>7772</v>
      </c>
      <c r="C434" s="79" t="s">
        <v>7335</v>
      </c>
      <c r="D434" s="79" t="s">
        <v>7328</v>
      </c>
      <c r="E434" s="79">
        <v>1500</v>
      </c>
      <c r="G434" s="79" t="s">
        <v>7329</v>
      </c>
      <c r="H434" s="80">
        <v>3295000</v>
      </c>
    </row>
    <row r="435" spans="1:8" x14ac:dyDescent="0.2">
      <c r="A435" s="79" t="s">
        <v>7769</v>
      </c>
      <c r="B435" s="79" t="s">
        <v>7773</v>
      </c>
      <c r="C435" s="79" t="s">
        <v>7335</v>
      </c>
      <c r="D435" s="79" t="s">
        <v>7328</v>
      </c>
      <c r="E435" s="79">
        <v>1500</v>
      </c>
      <c r="G435" s="79" t="s">
        <v>7329</v>
      </c>
      <c r="H435" s="80">
        <v>3695000</v>
      </c>
    </row>
    <row r="436" spans="1:8" x14ac:dyDescent="0.2">
      <c r="A436" s="79" t="s">
        <v>7769</v>
      </c>
      <c r="B436" s="79" t="s">
        <v>7774</v>
      </c>
      <c r="C436" s="79" t="s">
        <v>7335</v>
      </c>
      <c r="D436" s="79" t="s">
        <v>7328</v>
      </c>
      <c r="E436" s="79">
        <v>2200</v>
      </c>
      <c r="G436" s="79" t="s">
        <v>7313</v>
      </c>
      <c r="H436" s="80">
        <v>5995000</v>
      </c>
    </row>
    <row r="437" spans="1:8" x14ac:dyDescent="0.2">
      <c r="A437" s="79" t="s">
        <v>7769</v>
      </c>
      <c r="B437" s="79" t="s">
        <v>7775</v>
      </c>
      <c r="C437" s="79" t="s">
        <v>7335</v>
      </c>
      <c r="D437" s="79" t="s">
        <v>7328</v>
      </c>
      <c r="E437" s="79">
        <v>2200</v>
      </c>
      <c r="G437" s="79" t="s">
        <v>7313</v>
      </c>
      <c r="H437" s="80">
        <v>6795000</v>
      </c>
    </row>
    <row r="438" spans="1:8" x14ac:dyDescent="0.2">
      <c r="A438" s="79" t="s">
        <v>7769</v>
      </c>
      <c r="B438" s="79" t="s">
        <v>7775</v>
      </c>
      <c r="C438" s="79" t="s">
        <v>7335</v>
      </c>
      <c r="D438" s="79" t="s">
        <v>7328</v>
      </c>
      <c r="E438" s="79">
        <v>3200</v>
      </c>
      <c r="G438" s="79" t="s">
        <v>7313</v>
      </c>
      <c r="H438" s="80">
        <v>8661783</v>
      </c>
    </row>
    <row r="439" spans="1:8" x14ac:dyDescent="0.2">
      <c r="A439" s="79" t="s">
        <v>7769</v>
      </c>
      <c r="B439" s="79" t="s">
        <v>7776</v>
      </c>
      <c r="C439" s="79" t="s">
        <v>7335</v>
      </c>
      <c r="D439" s="79" t="s">
        <v>7328</v>
      </c>
      <c r="E439" s="79">
        <v>3200</v>
      </c>
      <c r="G439" s="79" t="s">
        <v>7313</v>
      </c>
      <c r="H439" s="80">
        <v>9203483</v>
      </c>
    </row>
    <row r="440" spans="1:8" x14ac:dyDescent="0.2">
      <c r="A440" s="79" t="s">
        <v>7769</v>
      </c>
      <c r="B440" s="79" t="s">
        <v>7777</v>
      </c>
      <c r="C440" s="79" t="s">
        <v>7335</v>
      </c>
      <c r="D440" s="79" t="s">
        <v>7328</v>
      </c>
      <c r="E440" s="79">
        <v>3200</v>
      </c>
      <c r="G440" s="79" t="s">
        <v>7313</v>
      </c>
      <c r="H440" s="80">
        <v>9528503</v>
      </c>
    </row>
    <row r="441" spans="1:8" x14ac:dyDescent="0.2">
      <c r="A441" s="79" t="s">
        <v>7769</v>
      </c>
      <c r="B441" s="79" t="s">
        <v>7778</v>
      </c>
      <c r="C441" s="79" t="s">
        <v>7335</v>
      </c>
      <c r="D441" s="79" t="s">
        <v>7328</v>
      </c>
      <c r="E441" s="79">
        <v>2300</v>
      </c>
      <c r="G441" s="79" t="s">
        <v>7313</v>
      </c>
      <c r="H441" s="80">
        <v>9495000</v>
      </c>
    </row>
    <row r="442" spans="1:8" x14ac:dyDescent="0.2">
      <c r="A442" s="79" t="s">
        <v>7769</v>
      </c>
      <c r="B442" s="79" t="s">
        <v>7779</v>
      </c>
      <c r="C442" s="79" t="s">
        <v>7335</v>
      </c>
      <c r="D442" s="79" t="s">
        <v>7328</v>
      </c>
      <c r="E442" s="79">
        <v>5000</v>
      </c>
      <c r="G442" s="79" t="s">
        <v>7313</v>
      </c>
      <c r="H442" s="80">
        <v>11370283</v>
      </c>
    </row>
    <row r="443" spans="1:8" x14ac:dyDescent="0.2">
      <c r="A443" s="79" t="s">
        <v>7769</v>
      </c>
      <c r="B443" s="79" t="s">
        <v>7780</v>
      </c>
      <c r="C443" s="79" t="s">
        <v>7335</v>
      </c>
      <c r="D443" s="79" t="s">
        <v>7328</v>
      </c>
      <c r="E443" s="79">
        <v>2500</v>
      </c>
      <c r="G443" s="79" t="s">
        <v>7313</v>
      </c>
      <c r="H443" s="80">
        <v>4834000</v>
      </c>
    </row>
    <row r="444" spans="1:8" x14ac:dyDescent="0.2">
      <c r="A444" s="79" t="s">
        <v>7769</v>
      </c>
      <c r="B444" s="79" t="s">
        <v>7780</v>
      </c>
      <c r="C444" s="79" t="s">
        <v>7335</v>
      </c>
      <c r="D444" s="79" t="s">
        <v>7328</v>
      </c>
      <c r="E444" s="79">
        <v>3000</v>
      </c>
      <c r="G444" s="79" t="s">
        <v>7313</v>
      </c>
      <c r="H444" s="80">
        <v>5931615</v>
      </c>
    </row>
    <row r="445" spans="1:8" x14ac:dyDescent="0.2">
      <c r="A445" s="79" t="s">
        <v>7769</v>
      </c>
      <c r="B445" s="79" t="s">
        <v>7781</v>
      </c>
      <c r="C445" s="79" t="s">
        <v>7335</v>
      </c>
      <c r="D445" s="79" t="s">
        <v>7312</v>
      </c>
      <c r="E445" s="79">
        <v>3000</v>
      </c>
      <c r="G445" s="79" t="s">
        <v>7313</v>
      </c>
      <c r="H445" s="80">
        <v>5215357</v>
      </c>
    </row>
    <row r="446" spans="1:8" x14ac:dyDescent="0.2">
      <c r="A446" s="79" t="s">
        <v>7769</v>
      </c>
      <c r="B446" s="79" t="s">
        <v>7782</v>
      </c>
      <c r="C446" s="79" t="s">
        <v>7335</v>
      </c>
      <c r="D446" s="79" t="s">
        <v>7312</v>
      </c>
      <c r="E446" s="79">
        <v>2260</v>
      </c>
      <c r="G446" s="79" t="s">
        <v>7329</v>
      </c>
      <c r="H446" s="80">
        <v>2328667</v>
      </c>
    </row>
    <row r="447" spans="1:8" x14ac:dyDescent="0.2">
      <c r="A447" s="79" t="s">
        <v>7769</v>
      </c>
      <c r="B447" s="79" t="s">
        <v>7783</v>
      </c>
      <c r="C447" s="79" t="s">
        <v>7335</v>
      </c>
      <c r="D447" s="79" t="s">
        <v>7312</v>
      </c>
      <c r="E447" s="79">
        <v>1400</v>
      </c>
      <c r="G447" s="79" t="s">
        <v>7329</v>
      </c>
      <c r="H447" s="80">
        <v>2495000</v>
      </c>
    </row>
    <row r="448" spans="1:8" x14ac:dyDescent="0.2">
      <c r="A448" s="79" t="s">
        <v>7769</v>
      </c>
      <c r="B448" s="79" t="s">
        <v>7784</v>
      </c>
      <c r="C448" s="79" t="s">
        <v>7335</v>
      </c>
      <c r="D448" s="79" t="s">
        <v>7312</v>
      </c>
      <c r="E448" s="79">
        <v>1500</v>
      </c>
      <c r="G448" s="79" t="s">
        <v>7329</v>
      </c>
      <c r="H448" s="80">
        <v>2120000</v>
      </c>
    </row>
    <row r="449" spans="1:8" x14ac:dyDescent="0.2">
      <c r="A449" s="79" t="s">
        <v>7769</v>
      </c>
      <c r="B449" s="79" t="s">
        <v>7785</v>
      </c>
      <c r="C449" s="79" t="s">
        <v>7311</v>
      </c>
      <c r="D449" s="79" t="s">
        <v>7312</v>
      </c>
      <c r="E449" s="79">
        <v>1600</v>
      </c>
      <c r="G449" s="79" t="s">
        <v>7329</v>
      </c>
      <c r="H449" s="80">
        <v>2175000</v>
      </c>
    </row>
    <row r="450" spans="1:8" x14ac:dyDescent="0.2">
      <c r="A450" s="79" t="s">
        <v>7769</v>
      </c>
      <c r="B450" s="79" t="s">
        <v>7786</v>
      </c>
      <c r="C450" s="79" t="s">
        <v>7340</v>
      </c>
      <c r="D450" s="79" t="s">
        <v>7312</v>
      </c>
      <c r="E450" s="79">
        <v>1600</v>
      </c>
      <c r="G450" s="79" t="s">
        <v>7329</v>
      </c>
      <c r="H450" s="80">
        <v>2600000</v>
      </c>
    </row>
    <row r="451" spans="1:8" x14ac:dyDescent="0.2">
      <c r="A451" s="79" t="s">
        <v>7769</v>
      </c>
      <c r="B451" s="79" t="s">
        <v>7787</v>
      </c>
      <c r="C451" s="79" t="s">
        <v>7340</v>
      </c>
      <c r="D451" s="79" t="s">
        <v>7312</v>
      </c>
      <c r="E451" s="79">
        <v>1600</v>
      </c>
      <c r="G451" s="79" t="s">
        <v>7329</v>
      </c>
      <c r="H451" s="80">
        <v>3695000</v>
      </c>
    </row>
    <row r="452" spans="1:8" x14ac:dyDescent="0.2">
      <c r="A452" s="79" t="s">
        <v>7769</v>
      </c>
      <c r="B452" s="79" t="s">
        <v>7788</v>
      </c>
      <c r="C452" s="79" t="s">
        <v>7340</v>
      </c>
      <c r="D452" s="79" t="s">
        <v>7328</v>
      </c>
      <c r="E452" s="79">
        <v>1600</v>
      </c>
      <c r="G452" s="79" t="s">
        <v>7329</v>
      </c>
      <c r="H452" s="80">
        <v>3879750</v>
      </c>
    </row>
    <row r="453" spans="1:8" x14ac:dyDescent="0.2">
      <c r="A453" s="79" t="s">
        <v>7769</v>
      </c>
      <c r="B453" s="79" t="s">
        <v>7788</v>
      </c>
      <c r="C453" s="79" t="s">
        <v>7340</v>
      </c>
      <c r="D453" s="79" t="s">
        <v>7312</v>
      </c>
      <c r="E453" s="79">
        <v>1600</v>
      </c>
      <c r="G453" s="79" t="s">
        <v>7329</v>
      </c>
      <c r="H453" s="80">
        <v>3550150</v>
      </c>
    </row>
    <row r="454" spans="1:8" x14ac:dyDescent="0.2">
      <c r="A454" s="79" t="s">
        <v>7769</v>
      </c>
      <c r="B454" s="79" t="s">
        <v>7785</v>
      </c>
      <c r="C454" s="79" t="s">
        <v>7340</v>
      </c>
      <c r="D454" s="79" t="s">
        <v>7312</v>
      </c>
      <c r="E454" s="79">
        <v>2521</v>
      </c>
      <c r="G454" s="79" t="s">
        <v>7329</v>
      </c>
      <c r="H454" s="80">
        <v>4395000</v>
      </c>
    </row>
    <row r="455" spans="1:8" x14ac:dyDescent="0.2">
      <c r="A455" s="79" t="s">
        <v>7769</v>
      </c>
      <c r="B455" s="79" t="s">
        <v>7789</v>
      </c>
      <c r="C455" s="79" t="s">
        <v>7340</v>
      </c>
      <c r="D455" s="79" t="s">
        <v>7312</v>
      </c>
      <c r="E455" s="79">
        <v>1500</v>
      </c>
      <c r="G455" s="79" t="s">
        <v>7329</v>
      </c>
      <c r="H455" s="80">
        <v>5195000</v>
      </c>
    </row>
    <row r="456" spans="1:8" x14ac:dyDescent="0.2">
      <c r="A456" s="79" t="s">
        <v>7769</v>
      </c>
      <c r="B456" s="79" t="s">
        <v>7790</v>
      </c>
      <c r="C456" s="79" t="s">
        <v>7340</v>
      </c>
      <c r="D456" s="79" t="s">
        <v>7328</v>
      </c>
      <c r="E456" s="79">
        <v>1500</v>
      </c>
      <c r="G456" s="79" t="s">
        <v>7313</v>
      </c>
      <c r="H456" s="80">
        <v>6351268</v>
      </c>
    </row>
    <row r="457" spans="1:8" x14ac:dyDescent="0.2">
      <c r="A457" s="79" t="s">
        <v>7769</v>
      </c>
      <c r="B457" s="79" t="s">
        <v>7791</v>
      </c>
      <c r="C457" s="79" t="s">
        <v>7614</v>
      </c>
      <c r="D457" s="79" t="s">
        <v>7328</v>
      </c>
      <c r="E457" s="79">
        <v>4200</v>
      </c>
      <c r="G457" s="79" t="s">
        <v>7329</v>
      </c>
      <c r="H457" s="80">
        <v>4211271</v>
      </c>
    </row>
    <row r="458" spans="1:8" x14ac:dyDescent="0.2">
      <c r="A458" s="79" t="s">
        <v>7769</v>
      </c>
      <c r="B458" s="79" t="s">
        <v>7792</v>
      </c>
      <c r="C458" s="79" t="s">
        <v>7335</v>
      </c>
      <c r="D458" s="79" t="s">
        <v>7312</v>
      </c>
      <c r="E458" s="79">
        <v>2500</v>
      </c>
      <c r="G458" s="79" t="s">
        <v>7313</v>
      </c>
      <c r="H458" s="80">
        <v>5350000</v>
      </c>
    </row>
    <row r="459" spans="1:8" x14ac:dyDescent="0.2">
      <c r="A459" s="79" t="s">
        <v>7769</v>
      </c>
      <c r="B459" s="79" t="s">
        <v>7793</v>
      </c>
      <c r="C459" s="79" t="s">
        <v>7335</v>
      </c>
      <c r="D459" s="79" t="s">
        <v>7312</v>
      </c>
      <c r="E459" s="79">
        <v>1600</v>
      </c>
      <c r="G459" s="79" t="s">
        <v>7313</v>
      </c>
      <c r="H459" s="80">
        <v>5650000</v>
      </c>
    </row>
    <row r="460" spans="1:8" x14ac:dyDescent="0.2">
      <c r="A460" s="79" t="s">
        <v>7769</v>
      </c>
      <c r="B460" s="79" t="s">
        <v>7794</v>
      </c>
      <c r="C460" s="79" t="s">
        <v>7335</v>
      </c>
      <c r="D460" s="79" t="s">
        <v>7328</v>
      </c>
      <c r="E460" s="79">
        <v>1600</v>
      </c>
      <c r="G460" s="79" t="s">
        <v>7313</v>
      </c>
      <c r="H460" s="80">
        <v>3761368</v>
      </c>
    </row>
    <row r="461" spans="1:8" x14ac:dyDescent="0.2">
      <c r="A461" s="79" t="s">
        <v>7769</v>
      </c>
      <c r="B461" s="79" t="s">
        <v>7795</v>
      </c>
      <c r="C461" s="79" t="s">
        <v>7340</v>
      </c>
      <c r="D461" s="79" t="s">
        <v>7328</v>
      </c>
      <c r="E461" s="79">
        <v>2200</v>
      </c>
      <c r="G461" s="79" t="s">
        <v>7329</v>
      </c>
      <c r="H461" s="80">
        <v>2765000</v>
      </c>
    </row>
    <row r="462" spans="1:8" x14ac:dyDescent="0.2">
      <c r="A462" s="79" t="s">
        <v>7769</v>
      </c>
      <c r="B462" s="79" t="s">
        <v>7796</v>
      </c>
      <c r="C462" s="79" t="s">
        <v>7619</v>
      </c>
      <c r="D462" s="79" t="s">
        <v>7328</v>
      </c>
      <c r="E462" s="79">
        <v>2200</v>
      </c>
      <c r="G462" s="79" t="s">
        <v>7329</v>
      </c>
      <c r="H462" s="80">
        <v>3395000</v>
      </c>
    </row>
    <row r="463" spans="1:8" x14ac:dyDescent="0.2">
      <c r="A463" s="79" t="s">
        <v>7769</v>
      </c>
      <c r="B463" s="79" t="s">
        <v>7797</v>
      </c>
      <c r="C463" s="79" t="s">
        <v>7619</v>
      </c>
      <c r="D463" s="79" t="s">
        <v>7328</v>
      </c>
      <c r="E463" s="79">
        <v>2200</v>
      </c>
      <c r="G463" s="79" t="s">
        <v>7329</v>
      </c>
      <c r="H463" s="80">
        <v>3995000</v>
      </c>
    </row>
    <row r="464" spans="1:8" x14ac:dyDescent="0.2">
      <c r="A464" s="79" t="s">
        <v>7769</v>
      </c>
      <c r="B464" s="79" t="s">
        <v>7798</v>
      </c>
      <c r="C464" s="79" t="s">
        <v>7619</v>
      </c>
      <c r="D464" s="79" t="s">
        <v>7328</v>
      </c>
      <c r="E464" s="79">
        <v>2200</v>
      </c>
      <c r="G464" s="79" t="s">
        <v>7313</v>
      </c>
      <c r="H464" s="80">
        <v>3200000</v>
      </c>
    </row>
    <row r="465" spans="1:8" x14ac:dyDescent="0.2">
      <c r="A465" s="79" t="s">
        <v>7769</v>
      </c>
      <c r="B465" s="79" t="s">
        <v>7799</v>
      </c>
      <c r="C465" s="79" t="s">
        <v>7619</v>
      </c>
      <c r="D465" s="79" t="s">
        <v>7328</v>
      </c>
      <c r="E465" s="79">
        <v>2200</v>
      </c>
      <c r="G465" s="79" t="s">
        <v>7313</v>
      </c>
      <c r="H465" s="80">
        <v>4795000</v>
      </c>
    </row>
    <row r="466" spans="1:8" x14ac:dyDescent="0.2">
      <c r="A466" s="79" t="s">
        <v>7769</v>
      </c>
      <c r="B466" s="79" t="s">
        <v>7800</v>
      </c>
      <c r="C466" s="79" t="s">
        <v>7614</v>
      </c>
      <c r="D466" s="79" t="s">
        <v>7328</v>
      </c>
      <c r="E466" s="79">
        <v>2200</v>
      </c>
      <c r="G466" s="79" t="s">
        <v>7313</v>
      </c>
      <c r="H466" s="80">
        <v>4395000</v>
      </c>
    </row>
    <row r="467" spans="1:8" x14ac:dyDescent="0.2">
      <c r="A467" s="79" t="s">
        <v>7769</v>
      </c>
      <c r="B467" s="79" t="s">
        <v>7801</v>
      </c>
      <c r="C467" s="79" t="s">
        <v>7614</v>
      </c>
      <c r="D467" s="79" t="s">
        <v>7328</v>
      </c>
      <c r="E467" s="79">
        <v>2200</v>
      </c>
      <c r="G467" s="79" t="s">
        <v>7313</v>
      </c>
      <c r="H467" s="80">
        <v>5195000</v>
      </c>
    </row>
    <row r="468" spans="1:8" x14ac:dyDescent="0.2">
      <c r="A468" s="79" t="s">
        <v>7769</v>
      </c>
      <c r="B468" s="79" t="s">
        <v>7802</v>
      </c>
      <c r="C468" s="79" t="s">
        <v>7614</v>
      </c>
      <c r="D468" s="79" t="s">
        <v>7328</v>
      </c>
      <c r="E468" s="79">
        <v>2200</v>
      </c>
      <c r="G468" s="79" t="s">
        <v>7313</v>
      </c>
      <c r="H468" s="80">
        <v>5395000</v>
      </c>
    </row>
    <row r="469" spans="1:8" x14ac:dyDescent="0.2">
      <c r="A469" s="79" t="s">
        <v>7769</v>
      </c>
      <c r="B469" s="79" t="s">
        <v>7803</v>
      </c>
      <c r="C469" s="79" t="s">
        <v>7614</v>
      </c>
      <c r="D469" s="79" t="s">
        <v>7328</v>
      </c>
      <c r="E469" s="79">
        <v>2200</v>
      </c>
      <c r="G469" s="79" t="s">
        <v>7313</v>
      </c>
      <c r="H469" s="80">
        <v>6169963</v>
      </c>
    </row>
    <row r="470" spans="1:8" x14ac:dyDescent="0.2">
      <c r="A470" s="79" t="s">
        <v>7769</v>
      </c>
      <c r="B470" s="79" t="s">
        <v>7804</v>
      </c>
      <c r="C470" s="79" t="s">
        <v>7614</v>
      </c>
      <c r="D470" s="79" t="s">
        <v>7328</v>
      </c>
      <c r="E470" s="79">
        <v>3200</v>
      </c>
      <c r="G470" s="79" t="s">
        <v>7313</v>
      </c>
      <c r="H470" s="80">
        <v>6494983</v>
      </c>
    </row>
    <row r="471" spans="1:8" x14ac:dyDescent="0.2">
      <c r="A471" s="79" t="s">
        <v>7769</v>
      </c>
      <c r="B471" s="79" t="s">
        <v>7805</v>
      </c>
      <c r="C471" s="79" t="s">
        <v>7614</v>
      </c>
      <c r="D471" s="79" t="s">
        <v>7328</v>
      </c>
      <c r="E471" s="79">
        <v>3200</v>
      </c>
      <c r="G471" s="79" t="s">
        <v>7313</v>
      </c>
      <c r="H471" s="80">
        <v>4700000</v>
      </c>
    </row>
    <row r="472" spans="1:8" x14ac:dyDescent="0.2">
      <c r="A472" s="79" t="s">
        <v>7769</v>
      </c>
      <c r="B472" s="79" t="s">
        <v>7806</v>
      </c>
      <c r="C472" s="79" t="s">
        <v>7614</v>
      </c>
      <c r="D472" s="79" t="s">
        <v>7328</v>
      </c>
      <c r="E472" s="79">
        <v>2200</v>
      </c>
      <c r="G472" s="79" t="s">
        <v>7329</v>
      </c>
      <c r="H472" s="80">
        <v>3200000</v>
      </c>
    </row>
    <row r="473" spans="1:8" x14ac:dyDescent="0.2">
      <c r="A473" s="79" t="s">
        <v>7769</v>
      </c>
      <c r="B473" s="79" t="s">
        <v>7807</v>
      </c>
      <c r="C473" s="79" t="s">
        <v>7614</v>
      </c>
      <c r="D473" s="79" t="s">
        <v>7328</v>
      </c>
      <c r="E473" s="79">
        <v>2200</v>
      </c>
      <c r="G473" s="79" t="s">
        <v>7313</v>
      </c>
      <c r="H473" s="80">
        <v>3757000</v>
      </c>
    </row>
    <row r="474" spans="1:8" x14ac:dyDescent="0.2">
      <c r="A474" s="79" t="s">
        <v>7769</v>
      </c>
      <c r="B474" s="79" t="s">
        <v>7808</v>
      </c>
      <c r="C474" s="79" t="s">
        <v>7614</v>
      </c>
      <c r="D474" s="79" t="s">
        <v>7328</v>
      </c>
      <c r="E474" s="79">
        <v>2200</v>
      </c>
      <c r="G474" s="79" t="s">
        <v>7329</v>
      </c>
      <c r="H474" s="80">
        <v>2800000</v>
      </c>
    </row>
    <row r="475" spans="1:8" x14ac:dyDescent="0.2">
      <c r="A475" s="79" t="s">
        <v>7769</v>
      </c>
      <c r="B475" s="79" t="s">
        <v>7809</v>
      </c>
      <c r="C475" s="79" t="s">
        <v>7614</v>
      </c>
      <c r="D475" s="79" t="s">
        <v>7328</v>
      </c>
      <c r="E475" s="79">
        <v>2500</v>
      </c>
      <c r="G475" s="79" t="s">
        <v>7313</v>
      </c>
      <c r="H475" s="80">
        <v>3800000</v>
      </c>
    </row>
    <row r="476" spans="1:8" x14ac:dyDescent="0.2">
      <c r="A476" s="79" t="s">
        <v>7769</v>
      </c>
      <c r="B476" s="79" t="s">
        <v>7809</v>
      </c>
      <c r="C476" s="79" t="s">
        <v>7619</v>
      </c>
      <c r="D476" s="79" t="s">
        <v>7328</v>
      </c>
      <c r="E476" s="79">
        <v>2500</v>
      </c>
      <c r="G476" s="79" t="s">
        <v>7313</v>
      </c>
      <c r="H476" s="80">
        <v>2944312</v>
      </c>
    </row>
    <row r="477" spans="1:8" x14ac:dyDescent="0.2">
      <c r="A477" s="79" t="s">
        <v>7769</v>
      </c>
      <c r="B477" s="79" t="s">
        <v>7810</v>
      </c>
      <c r="C477" s="79" t="s">
        <v>7619</v>
      </c>
      <c r="D477" s="79" t="s">
        <v>7328</v>
      </c>
      <c r="E477" s="79">
        <v>2499</v>
      </c>
      <c r="G477" s="79" t="s">
        <v>7313</v>
      </c>
      <c r="H477" s="80">
        <v>2464735</v>
      </c>
    </row>
    <row r="478" spans="1:8" x14ac:dyDescent="0.2">
      <c r="A478" s="79" t="s">
        <v>7769</v>
      </c>
      <c r="B478" s="79" t="s">
        <v>7811</v>
      </c>
      <c r="C478" s="79" t="s">
        <v>7619</v>
      </c>
      <c r="D478" s="79" t="s">
        <v>7328</v>
      </c>
      <c r="E478" s="79">
        <v>2892</v>
      </c>
      <c r="G478" s="79" t="s">
        <v>7313</v>
      </c>
      <c r="H478" s="80">
        <v>2952265</v>
      </c>
    </row>
    <row r="479" spans="1:8" x14ac:dyDescent="0.2">
      <c r="A479" s="79" t="s">
        <v>7769</v>
      </c>
      <c r="B479" s="79" t="s">
        <v>7812</v>
      </c>
      <c r="C479" s="79" t="s">
        <v>7619</v>
      </c>
      <c r="D479" s="79" t="s">
        <v>7328</v>
      </c>
      <c r="E479" s="79">
        <v>2892</v>
      </c>
      <c r="G479" s="79" t="s">
        <v>7313</v>
      </c>
      <c r="H479" s="80">
        <v>2074657</v>
      </c>
    </row>
    <row r="480" spans="1:8" x14ac:dyDescent="0.2">
      <c r="A480" s="79" t="s">
        <v>7769</v>
      </c>
      <c r="B480" s="79" t="s">
        <v>7813</v>
      </c>
      <c r="C480" s="79" t="s">
        <v>7619</v>
      </c>
      <c r="D480" s="79" t="s">
        <v>7328</v>
      </c>
      <c r="E480" s="79">
        <v>2892</v>
      </c>
      <c r="G480" s="79" t="s">
        <v>7313</v>
      </c>
      <c r="H480" s="80">
        <v>4116000</v>
      </c>
    </row>
    <row r="481" spans="1:8" x14ac:dyDescent="0.2">
      <c r="A481" s="79" t="s">
        <v>7769</v>
      </c>
      <c r="B481" s="79" t="s">
        <v>7814</v>
      </c>
      <c r="C481" s="79" t="s">
        <v>7614</v>
      </c>
      <c r="D481" s="79" t="s">
        <v>7328</v>
      </c>
      <c r="E481" s="79">
        <v>2200</v>
      </c>
      <c r="G481" s="79" t="s">
        <v>7329</v>
      </c>
      <c r="H481" s="80">
        <v>4645000</v>
      </c>
    </row>
    <row r="482" spans="1:8" x14ac:dyDescent="0.2">
      <c r="A482" s="79" t="s">
        <v>7769</v>
      </c>
      <c r="B482" s="79" t="s">
        <v>7815</v>
      </c>
      <c r="C482" s="79" t="s">
        <v>7614</v>
      </c>
      <c r="D482" s="79" t="s">
        <v>7328</v>
      </c>
      <c r="E482" s="79">
        <v>2200</v>
      </c>
      <c r="G482" s="79" t="s">
        <v>7313</v>
      </c>
      <c r="H482" s="80">
        <v>4662954</v>
      </c>
    </row>
    <row r="483" spans="1:8" x14ac:dyDescent="0.2">
      <c r="A483" s="79" t="s">
        <v>7769</v>
      </c>
      <c r="B483" s="79" t="s">
        <v>7816</v>
      </c>
      <c r="C483" s="79" t="s">
        <v>7614</v>
      </c>
      <c r="D483" s="79" t="s">
        <v>7328</v>
      </c>
      <c r="E483" s="79">
        <v>3200</v>
      </c>
      <c r="G483" s="79" t="s">
        <v>7313</v>
      </c>
      <c r="H483" s="80">
        <v>5362830</v>
      </c>
    </row>
    <row r="484" spans="1:8" x14ac:dyDescent="0.2">
      <c r="A484" s="79" t="s">
        <v>7769</v>
      </c>
      <c r="B484" s="79" t="s">
        <v>7817</v>
      </c>
      <c r="C484" s="79" t="s">
        <v>7614</v>
      </c>
      <c r="D484" s="79" t="s">
        <v>7328</v>
      </c>
      <c r="E484" s="79">
        <v>3200</v>
      </c>
      <c r="G484" s="79" t="s">
        <v>7313</v>
      </c>
      <c r="H484" s="80">
        <v>6243634</v>
      </c>
    </row>
    <row r="485" spans="1:8" x14ac:dyDescent="0.2">
      <c r="A485" s="79" t="s">
        <v>7769</v>
      </c>
      <c r="B485" s="79" t="s">
        <v>7818</v>
      </c>
      <c r="C485" s="79" t="s">
        <v>7614</v>
      </c>
      <c r="D485" s="79" t="s">
        <v>7328</v>
      </c>
      <c r="E485" s="79">
        <v>3200</v>
      </c>
      <c r="G485" s="79" t="s">
        <v>7313</v>
      </c>
      <c r="H485" s="80">
        <v>5362830</v>
      </c>
    </row>
    <row r="486" spans="1:8" x14ac:dyDescent="0.2">
      <c r="A486" s="79" t="s">
        <v>7769</v>
      </c>
      <c r="B486" s="79" t="s">
        <v>7819</v>
      </c>
      <c r="C486" s="79" t="s">
        <v>7614</v>
      </c>
      <c r="D486" s="79" t="s">
        <v>7328</v>
      </c>
      <c r="E486" s="79">
        <v>3200</v>
      </c>
      <c r="G486" s="79" t="s">
        <v>7313</v>
      </c>
      <c r="H486" s="80">
        <v>6243634</v>
      </c>
    </row>
    <row r="487" spans="1:8" x14ac:dyDescent="0.2">
      <c r="A487" s="79" t="s">
        <v>7769</v>
      </c>
      <c r="B487" s="79" t="s">
        <v>7820</v>
      </c>
      <c r="C487" s="79" t="s">
        <v>7614</v>
      </c>
      <c r="D487" s="79" t="s">
        <v>7328</v>
      </c>
      <c r="E487" s="79">
        <v>3200</v>
      </c>
      <c r="G487" s="79" t="s">
        <v>7313</v>
      </c>
      <c r="H487" s="80">
        <v>6717080</v>
      </c>
    </row>
    <row r="488" spans="1:8" x14ac:dyDescent="0.2">
      <c r="A488" s="79" t="s">
        <v>7769</v>
      </c>
      <c r="B488" s="79" t="s">
        <v>7821</v>
      </c>
      <c r="C488" s="79" t="s">
        <v>7614</v>
      </c>
      <c r="D488" s="79" t="s">
        <v>7328</v>
      </c>
      <c r="E488" s="79">
        <v>3200</v>
      </c>
      <c r="G488" s="79" t="s">
        <v>7313</v>
      </c>
      <c r="H488" s="80">
        <v>3451800</v>
      </c>
    </row>
    <row r="489" spans="1:8" x14ac:dyDescent="0.2">
      <c r="A489" s="79" t="s">
        <v>7769</v>
      </c>
      <c r="B489" s="79" t="s">
        <v>7822</v>
      </c>
      <c r="C489" s="79" t="s">
        <v>7327</v>
      </c>
      <c r="D489" s="79" t="s">
        <v>7312</v>
      </c>
      <c r="E489" s="79">
        <v>2500</v>
      </c>
      <c r="G489" s="79" t="s">
        <v>7313</v>
      </c>
      <c r="H489" s="80">
        <v>6220883</v>
      </c>
    </row>
    <row r="490" spans="1:8" x14ac:dyDescent="0.2">
      <c r="A490" s="79" t="s">
        <v>7769</v>
      </c>
      <c r="B490" s="79" t="s">
        <v>7823</v>
      </c>
      <c r="C490" s="79" t="s">
        <v>7335</v>
      </c>
      <c r="D490" s="79" t="s">
        <v>7312</v>
      </c>
      <c r="E490" s="79">
        <v>4000</v>
      </c>
      <c r="G490" s="79" t="s">
        <v>7313</v>
      </c>
      <c r="H490" s="80">
        <v>6531927</v>
      </c>
    </row>
    <row r="491" spans="1:8" x14ac:dyDescent="0.2">
      <c r="A491" s="79" t="s">
        <v>7769</v>
      </c>
      <c r="B491" s="79" t="s">
        <v>7823</v>
      </c>
      <c r="C491" s="79" t="s">
        <v>7335</v>
      </c>
      <c r="D491" s="79" t="s">
        <v>7312</v>
      </c>
      <c r="E491" s="79">
        <v>4200</v>
      </c>
      <c r="G491" s="79" t="s">
        <v>7329</v>
      </c>
      <c r="H491" s="80">
        <v>5095000</v>
      </c>
    </row>
    <row r="492" spans="1:8" x14ac:dyDescent="0.2">
      <c r="A492" s="79" t="s">
        <v>7769</v>
      </c>
      <c r="B492" s="79" t="s">
        <v>7824</v>
      </c>
      <c r="C492" s="79" t="s">
        <v>7327</v>
      </c>
      <c r="D492" s="79" t="s">
        <v>7312</v>
      </c>
      <c r="E492" s="79">
        <v>2000</v>
      </c>
      <c r="G492" s="79" t="s">
        <v>7329</v>
      </c>
      <c r="H492" s="80">
        <v>5395000</v>
      </c>
    </row>
    <row r="493" spans="1:8" x14ac:dyDescent="0.2">
      <c r="A493" s="79" t="s">
        <v>7769</v>
      </c>
      <c r="B493" s="79" t="s">
        <v>7825</v>
      </c>
      <c r="C493" s="79" t="s">
        <v>7327</v>
      </c>
      <c r="D493" s="79" t="s">
        <v>7312</v>
      </c>
      <c r="E493" s="79">
        <v>2000</v>
      </c>
      <c r="G493" s="79" t="s">
        <v>7313</v>
      </c>
      <c r="H493" s="80">
        <v>1276031</v>
      </c>
    </row>
    <row r="494" spans="1:8" x14ac:dyDescent="0.2">
      <c r="A494" s="79" t="s">
        <v>7826</v>
      </c>
      <c r="B494" s="79" t="s">
        <v>7827</v>
      </c>
      <c r="C494" s="79" t="s">
        <v>7619</v>
      </c>
      <c r="D494" s="79" t="s">
        <v>7328</v>
      </c>
      <c r="E494" s="79">
        <v>2237</v>
      </c>
      <c r="H494" s="80">
        <v>1918400</v>
      </c>
    </row>
    <row r="495" spans="1:8" x14ac:dyDescent="0.2">
      <c r="A495" s="79" t="s">
        <v>7826</v>
      </c>
      <c r="B495" s="79" t="s">
        <v>7827</v>
      </c>
      <c r="C495" s="79" t="s">
        <v>7614</v>
      </c>
      <c r="D495" s="79" t="s">
        <v>7328</v>
      </c>
      <c r="E495" s="79">
        <v>2237</v>
      </c>
      <c r="H495" s="80">
        <v>2006400</v>
      </c>
    </row>
    <row r="496" spans="1:8" x14ac:dyDescent="0.2">
      <c r="A496" s="79" t="s">
        <v>7826</v>
      </c>
      <c r="B496" s="79" t="s">
        <v>7828</v>
      </c>
      <c r="C496" s="79" t="s">
        <v>7614</v>
      </c>
      <c r="D496" s="79" t="s">
        <v>7328</v>
      </c>
      <c r="E496" s="79">
        <v>2237</v>
      </c>
      <c r="H496" s="80">
        <v>2358400</v>
      </c>
    </row>
    <row r="497" spans="1:8" x14ac:dyDescent="0.2">
      <c r="A497" s="79" t="s">
        <v>7826</v>
      </c>
      <c r="B497" s="79" t="s">
        <v>7829</v>
      </c>
      <c r="C497" s="79" t="s">
        <v>7830</v>
      </c>
      <c r="D497" s="79" t="s">
        <v>7328</v>
      </c>
      <c r="E497" s="79">
        <v>2700</v>
      </c>
      <c r="H497" s="80">
        <v>2420000</v>
      </c>
    </row>
    <row r="498" spans="1:8" x14ac:dyDescent="0.2">
      <c r="A498" s="79" t="s">
        <v>7826</v>
      </c>
      <c r="B498" s="79" t="s">
        <v>7831</v>
      </c>
      <c r="C498" s="79" t="s">
        <v>7370</v>
      </c>
      <c r="D498" s="79" t="s">
        <v>7328</v>
      </c>
      <c r="E498" s="79">
        <v>2776</v>
      </c>
      <c r="G498" s="79" t="s">
        <v>7329</v>
      </c>
      <c r="H498" s="80">
        <v>2182400</v>
      </c>
    </row>
    <row r="499" spans="1:8" x14ac:dyDescent="0.2">
      <c r="A499" s="79" t="s">
        <v>7826</v>
      </c>
      <c r="B499" s="79" t="s">
        <v>7832</v>
      </c>
      <c r="C499" s="79" t="s">
        <v>7379</v>
      </c>
      <c r="D499" s="79" t="s">
        <v>7328</v>
      </c>
      <c r="E499" s="79">
        <v>2776</v>
      </c>
      <c r="G499" s="79" t="s">
        <v>7329</v>
      </c>
      <c r="H499" s="80">
        <v>1918400</v>
      </c>
    </row>
    <row r="500" spans="1:8" x14ac:dyDescent="0.2">
      <c r="A500" s="79" t="s">
        <v>7826</v>
      </c>
      <c r="B500" s="79" t="s">
        <v>7833</v>
      </c>
      <c r="C500" s="79" t="s">
        <v>7370</v>
      </c>
      <c r="D500" s="79" t="s">
        <v>7328</v>
      </c>
      <c r="E500" s="79">
        <v>3760</v>
      </c>
      <c r="G500" s="79" t="s">
        <v>7329</v>
      </c>
      <c r="H500" s="80">
        <v>2534400</v>
      </c>
    </row>
    <row r="501" spans="1:8" x14ac:dyDescent="0.2">
      <c r="A501" s="79" t="s">
        <v>7826</v>
      </c>
      <c r="B501" s="79" t="s">
        <v>7834</v>
      </c>
      <c r="C501" s="79" t="s">
        <v>7370</v>
      </c>
      <c r="D501" s="79" t="s">
        <v>7328</v>
      </c>
      <c r="E501" s="79">
        <v>4000</v>
      </c>
      <c r="G501" s="79" t="s">
        <v>7329</v>
      </c>
      <c r="H501" s="80">
        <v>1980000</v>
      </c>
    </row>
    <row r="502" spans="1:8" x14ac:dyDescent="0.2">
      <c r="A502" s="79" t="s">
        <v>7826</v>
      </c>
      <c r="B502" s="79" t="s">
        <v>7835</v>
      </c>
      <c r="C502" s="79" t="s">
        <v>7379</v>
      </c>
      <c r="D502" s="79" t="s">
        <v>7328</v>
      </c>
      <c r="E502" s="79">
        <v>4000</v>
      </c>
      <c r="G502" s="79" t="s">
        <v>7329</v>
      </c>
      <c r="H502" s="80">
        <v>1742400</v>
      </c>
    </row>
    <row r="503" spans="1:8" x14ac:dyDescent="0.2">
      <c r="A503" s="79" t="s">
        <v>7826</v>
      </c>
      <c r="B503" s="79" t="s">
        <v>7836</v>
      </c>
      <c r="C503" s="79" t="s">
        <v>7370</v>
      </c>
      <c r="D503" s="79" t="s">
        <v>7328</v>
      </c>
      <c r="E503" s="79">
        <v>4080</v>
      </c>
      <c r="G503" s="79" t="s">
        <v>7329</v>
      </c>
      <c r="H503" s="80">
        <v>2358400</v>
      </c>
    </row>
    <row r="504" spans="1:8" x14ac:dyDescent="0.2">
      <c r="A504" s="79" t="s">
        <v>7826</v>
      </c>
      <c r="B504" s="79" t="s">
        <v>7837</v>
      </c>
      <c r="C504" s="79" t="s">
        <v>7379</v>
      </c>
      <c r="D504" s="79" t="s">
        <v>7328</v>
      </c>
      <c r="E504" s="79">
        <v>4080</v>
      </c>
      <c r="G504" s="79" t="s">
        <v>7329</v>
      </c>
      <c r="H504" s="80">
        <v>2094400</v>
      </c>
    </row>
    <row r="505" spans="1:8" x14ac:dyDescent="0.2">
      <c r="A505" s="79" t="s">
        <v>7826</v>
      </c>
      <c r="B505" s="79" t="s">
        <v>7838</v>
      </c>
      <c r="C505" s="79" t="s">
        <v>7370</v>
      </c>
      <c r="D505" s="79" t="s">
        <v>7328</v>
      </c>
      <c r="E505" s="79">
        <v>5990</v>
      </c>
      <c r="G505" s="79" t="s">
        <v>7329</v>
      </c>
      <c r="H505" s="80">
        <v>3942400</v>
      </c>
    </row>
    <row r="506" spans="1:8" x14ac:dyDescent="0.2">
      <c r="A506" s="79" t="s">
        <v>7826</v>
      </c>
      <c r="B506" s="79" t="s">
        <v>7839</v>
      </c>
      <c r="C506" s="79" t="s">
        <v>7379</v>
      </c>
      <c r="D506" s="79" t="s">
        <v>7328</v>
      </c>
      <c r="E506" s="79">
        <v>5990</v>
      </c>
      <c r="G506" s="79" t="s">
        <v>7329</v>
      </c>
      <c r="H506" s="80">
        <v>3502400</v>
      </c>
    </row>
    <row r="507" spans="1:8" x14ac:dyDescent="0.2">
      <c r="A507" s="79" t="s">
        <v>7826</v>
      </c>
      <c r="B507" s="79" t="s">
        <v>7840</v>
      </c>
      <c r="C507" s="79" t="s">
        <v>7374</v>
      </c>
      <c r="D507" s="79" t="s">
        <v>7328</v>
      </c>
      <c r="E507" s="79">
        <v>9276</v>
      </c>
      <c r="G507" s="79" t="s">
        <v>7329</v>
      </c>
      <c r="H507" s="80">
        <v>7638400</v>
      </c>
    </row>
    <row r="508" spans="1:8" x14ac:dyDescent="0.2">
      <c r="A508" s="79" t="s">
        <v>7826</v>
      </c>
      <c r="B508" s="79" t="s">
        <v>7841</v>
      </c>
      <c r="C508" s="79" t="s">
        <v>7374</v>
      </c>
      <c r="D508" s="79" t="s">
        <v>7328</v>
      </c>
      <c r="E508" s="79">
        <v>9276</v>
      </c>
      <c r="G508" s="79" t="s">
        <v>7329</v>
      </c>
      <c r="H508" s="80">
        <v>5526400</v>
      </c>
    </row>
    <row r="509" spans="1:8" x14ac:dyDescent="0.2">
      <c r="A509" s="79" t="s">
        <v>7826</v>
      </c>
      <c r="B509" s="79" t="s">
        <v>7842</v>
      </c>
      <c r="C509" s="79" t="s">
        <v>7438</v>
      </c>
      <c r="D509" s="79" t="s">
        <v>7328</v>
      </c>
      <c r="E509" s="79">
        <v>11596</v>
      </c>
      <c r="H509" s="80">
        <v>5790400</v>
      </c>
    </row>
    <row r="510" spans="1:8" x14ac:dyDescent="0.2">
      <c r="A510" s="79" t="s">
        <v>7826</v>
      </c>
      <c r="B510" s="79" t="s">
        <v>7843</v>
      </c>
      <c r="C510" s="79" t="s">
        <v>7438</v>
      </c>
      <c r="D510" s="79" t="s">
        <v>7328</v>
      </c>
      <c r="E510" s="79">
        <v>11596</v>
      </c>
      <c r="H510" s="80">
        <v>6054400</v>
      </c>
    </row>
    <row r="511" spans="1:8" x14ac:dyDescent="0.2">
      <c r="A511" s="79" t="s">
        <v>7844</v>
      </c>
      <c r="B511" s="79" t="s">
        <v>7845</v>
      </c>
      <c r="C511" s="79" t="s">
        <v>7846</v>
      </c>
      <c r="D511" s="79" t="s">
        <v>7312</v>
      </c>
      <c r="E511" s="79">
        <v>2200</v>
      </c>
      <c r="G511" s="79" t="s">
        <v>7329</v>
      </c>
      <c r="H511" s="80">
        <v>1624000</v>
      </c>
    </row>
    <row r="512" spans="1:8" x14ac:dyDescent="0.2">
      <c r="A512" s="79" t="s">
        <v>7844</v>
      </c>
      <c r="B512" s="79" t="s">
        <v>7847</v>
      </c>
      <c r="C512" s="79" t="s">
        <v>7846</v>
      </c>
      <c r="D512" s="79" t="s">
        <v>7328</v>
      </c>
      <c r="E512" s="79">
        <v>2500</v>
      </c>
      <c r="G512" s="79" t="s">
        <v>7329</v>
      </c>
      <c r="H512" s="80">
        <v>2088000</v>
      </c>
    </row>
    <row r="513" spans="1:8" x14ac:dyDescent="0.2">
      <c r="A513" s="79" t="s">
        <v>7844</v>
      </c>
      <c r="B513" s="79" t="s">
        <v>7848</v>
      </c>
      <c r="C513" s="79" t="s">
        <v>7846</v>
      </c>
      <c r="D513" s="79" t="s">
        <v>7328</v>
      </c>
      <c r="E513" s="79">
        <v>2500</v>
      </c>
      <c r="G513" s="79" t="s">
        <v>7313</v>
      </c>
      <c r="H513" s="80">
        <v>2378000</v>
      </c>
    </row>
    <row r="514" spans="1:8" x14ac:dyDescent="0.2">
      <c r="A514" s="79" t="s">
        <v>7844</v>
      </c>
      <c r="B514" s="79" t="s">
        <v>7849</v>
      </c>
      <c r="C514" s="79" t="s">
        <v>7614</v>
      </c>
      <c r="D514" s="79" t="s">
        <v>7328</v>
      </c>
      <c r="E514" s="79">
        <v>2500</v>
      </c>
      <c r="G514" s="79" t="s">
        <v>7313</v>
      </c>
      <c r="H514" s="80">
        <v>2900000</v>
      </c>
    </row>
    <row r="515" spans="1:8" x14ac:dyDescent="0.2">
      <c r="A515" s="79" t="s">
        <v>7844</v>
      </c>
      <c r="B515" s="79" t="s">
        <v>7848</v>
      </c>
      <c r="C515" s="79" t="s">
        <v>7614</v>
      </c>
      <c r="D515" s="79" t="s">
        <v>7328</v>
      </c>
      <c r="E515" s="79">
        <v>2500</v>
      </c>
      <c r="G515" s="79" t="s">
        <v>7313</v>
      </c>
      <c r="H515" s="80">
        <v>3248000</v>
      </c>
    </row>
    <row r="516" spans="1:8" x14ac:dyDescent="0.2">
      <c r="A516" s="79" t="s">
        <v>7844</v>
      </c>
      <c r="B516" s="79" t="s">
        <v>7850</v>
      </c>
      <c r="C516" s="79" t="s">
        <v>7846</v>
      </c>
      <c r="D516" s="79" t="s">
        <v>7312</v>
      </c>
      <c r="E516" s="79">
        <v>2400</v>
      </c>
      <c r="G516" s="79" t="s">
        <v>7329</v>
      </c>
      <c r="H516" s="80">
        <v>2314200</v>
      </c>
    </row>
    <row r="517" spans="1:8" x14ac:dyDescent="0.2">
      <c r="A517" s="79" t="s">
        <v>7844</v>
      </c>
      <c r="B517" s="79" t="s">
        <v>7850</v>
      </c>
      <c r="C517" s="79" t="s">
        <v>7614</v>
      </c>
      <c r="D517" s="79" t="s">
        <v>7312</v>
      </c>
      <c r="E517" s="79">
        <v>2400</v>
      </c>
      <c r="G517" s="79" t="s">
        <v>7329</v>
      </c>
      <c r="H517" s="80">
        <v>2500000</v>
      </c>
    </row>
    <row r="518" spans="1:8" x14ac:dyDescent="0.2">
      <c r="A518" s="79" t="s">
        <v>7844</v>
      </c>
      <c r="B518" s="79" t="s">
        <v>7851</v>
      </c>
      <c r="C518" s="79" t="s">
        <v>7419</v>
      </c>
      <c r="D518" s="79" t="s">
        <v>7312</v>
      </c>
      <c r="E518" s="79">
        <v>2400</v>
      </c>
      <c r="F518" s="79" t="s">
        <v>7336</v>
      </c>
      <c r="G518" s="79" t="s">
        <v>7329</v>
      </c>
      <c r="H518" s="80">
        <v>2958000</v>
      </c>
    </row>
    <row r="519" spans="1:8" x14ac:dyDescent="0.2">
      <c r="A519" s="79" t="s">
        <v>7844</v>
      </c>
      <c r="B519" s="79" t="s">
        <v>7852</v>
      </c>
      <c r="C519" s="79" t="s">
        <v>7419</v>
      </c>
      <c r="D519" s="79" t="s">
        <v>7312</v>
      </c>
      <c r="E519" s="79">
        <v>2400</v>
      </c>
      <c r="F519" s="79" t="s">
        <v>7336</v>
      </c>
      <c r="G519" s="79" t="s">
        <v>7313</v>
      </c>
      <c r="H519" s="80">
        <v>3271200</v>
      </c>
    </row>
    <row r="520" spans="1:8" x14ac:dyDescent="0.2">
      <c r="A520" s="79" t="s">
        <v>7844</v>
      </c>
      <c r="B520" s="79" t="s">
        <v>7853</v>
      </c>
      <c r="C520" s="79" t="s">
        <v>7419</v>
      </c>
      <c r="D520" s="79" t="s">
        <v>7312</v>
      </c>
      <c r="E520" s="79">
        <v>2400</v>
      </c>
      <c r="F520" s="79" t="s">
        <v>7349</v>
      </c>
      <c r="G520" s="79" t="s">
        <v>7313</v>
      </c>
      <c r="H520" s="80">
        <v>3468400</v>
      </c>
    </row>
    <row r="521" spans="1:8" x14ac:dyDescent="0.2">
      <c r="A521" s="79" t="s">
        <v>7844</v>
      </c>
      <c r="B521" s="79" t="s">
        <v>7854</v>
      </c>
      <c r="C521" s="79" t="s">
        <v>7419</v>
      </c>
      <c r="D521" s="79" t="s">
        <v>7328</v>
      </c>
      <c r="E521" s="79">
        <v>2500</v>
      </c>
      <c r="F521" s="79" t="s">
        <v>7349</v>
      </c>
      <c r="G521" s="79" t="s">
        <v>7313</v>
      </c>
      <c r="H521" s="80">
        <v>4222400</v>
      </c>
    </row>
    <row r="522" spans="1:8" x14ac:dyDescent="0.2">
      <c r="A522" s="79" t="s">
        <v>7855</v>
      </c>
      <c r="B522" s="79" t="s">
        <v>7856</v>
      </c>
      <c r="C522" s="79" t="s">
        <v>7370</v>
      </c>
      <c r="D522" s="79" t="s">
        <v>7328</v>
      </c>
      <c r="E522" s="79">
        <v>4009</v>
      </c>
      <c r="G522" s="79" t="s">
        <v>7329</v>
      </c>
      <c r="H522" s="80">
        <v>4525529</v>
      </c>
    </row>
    <row r="523" spans="1:8" x14ac:dyDescent="0.2">
      <c r="A523" s="79" t="s">
        <v>7855</v>
      </c>
      <c r="B523" s="79" t="s">
        <v>7857</v>
      </c>
      <c r="C523" s="79" t="s">
        <v>7370</v>
      </c>
      <c r="D523" s="79" t="s">
        <v>7328</v>
      </c>
      <c r="E523" s="79">
        <v>4009</v>
      </c>
      <c r="G523" s="79" t="s">
        <v>7329</v>
      </c>
      <c r="H523" s="80">
        <v>4895153</v>
      </c>
    </row>
    <row r="524" spans="1:8" x14ac:dyDescent="0.2">
      <c r="A524" s="79" t="s">
        <v>7855</v>
      </c>
      <c r="B524" s="79" t="s">
        <v>7858</v>
      </c>
      <c r="C524" s="79" t="s">
        <v>7859</v>
      </c>
      <c r="D524" s="79" t="s">
        <v>7328</v>
      </c>
      <c r="E524" s="79">
        <v>4009</v>
      </c>
      <c r="G524" s="79" t="s">
        <v>7329</v>
      </c>
      <c r="H524" s="80">
        <v>6153359</v>
      </c>
    </row>
    <row r="525" spans="1:8" x14ac:dyDescent="0.2">
      <c r="A525" s="79" t="s">
        <v>7855</v>
      </c>
      <c r="B525" s="79" t="s">
        <v>7860</v>
      </c>
      <c r="C525" s="79" t="s">
        <v>7370</v>
      </c>
      <c r="D525" s="79" t="s">
        <v>7328</v>
      </c>
      <c r="E525" s="79">
        <v>4009</v>
      </c>
      <c r="G525" s="79" t="s">
        <v>7313</v>
      </c>
      <c r="H525" s="80">
        <v>9275060</v>
      </c>
    </row>
    <row r="526" spans="1:8" x14ac:dyDescent="0.2">
      <c r="A526" s="79" t="s">
        <v>7855</v>
      </c>
      <c r="B526" s="79" t="s">
        <v>7861</v>
      </c>
      <c r="C526" s="79" t="s">
        <v>7379</v>
      </c>
      <c r="D526" s="79" t="s">
        <v>7328</v>
      </c>
      <c r="E526" s="79">
        <v>7684</v>
      </c>
      <c r="G526" s="79" t="s">
        <v>7329</v>
      </c>
      <c r="H526" s="80">
        <v>6000000</v>
      </c>
    </row>
    <row r="527" spans="1:8" x14ac:dyDescent="0.2">
      <c r="A527" s="79" t="s">
        <v>7855</v>
      </c>
      <c r="B527" s="79" t="s">
        <v>7862</v>
      </c>
      <c r="C527" s="79" t="s">
        <v>7379</v>
      </c>
      <c r="D527" s="79" t="s">
        <v>7328</v>
      </c>
      <c r="E527" s="79">
        <v>7684</v>
      </c>
      <c r="G527" s="79" t="s">
        <v>7329</v>
      </c>
      <c r="H527" s="80">
        <v>6015000</v>
      </c>
    </row>
    <row r="528" spans="1:8" x14ac:dyDescent="0.2">
      <c r="A528" s="79" t="s">
        <v>7855</v>
      </c>
      <c r="B528" s="79" t="s">
        <v>7863</v>
      </c>
      <c r="C528" s="79" t="s">
        <v>7379</v>
      </c>
      <c r="D528" s="79" t="s">
        <v>7328</v>
      </c>
      <c r="E528" s="79">
        <v>7684</v>
      </c>
      <c r="G528" s="79" t="s">
        <v>7329</v>
      </c>
      <c r="H528" s="80">
        <v>6105000</v>
      </c>
    </row>
    <row r="529" spans="1:8" x14ac:dyDescent="0.2">
      <c r="A529" s="79" t="s">
        <v>7855</v>
      </c>
      <c r="B529" s="79" t="s">
        <v>7864</v>
      </c>
      <c r="C529" s="79" t="s">
        <v>7379</v>
      </c>
      <c r="D529" s="79" t="s">
        <v>7328</v>
      </c>
      <c r="E529" s="79">
        <v>7961</v>
      </c>
      <c r="G529" s="79" t="s">
        <v>7329</v>
      </c>
      <c r="H529" s="80">
        <v>6156000</v>
      </c>
    </row>
    <row r="530" spans="1:8" x14ac:dyDescent="0.2">
      <c r="A530" s="79" t="s">
        <v>7855</v>
      </c>
      <c r="B530" s="79" t="s">
        <v>7865</v>
      </c>
      <c r="C530" s="79" t="s">
        <v>7370</v>
      </c>
      <c r="D530" s="79" t="s">
        <v>7328</v>
      </c>
      <c r="E530" s="79">
        <v>7684</v>
      </c>
      <c r="G530" s="79" t="s">
        <v>7329</v>
      </c>
      <c r="H530" s="80">
        <v>6156862</v>
      </c>
    </row>
    <row r="531" spans="1:8" x14ac:dyDescent="0.2">
      <c r="A531" s="79" t="s">
        <v>7855</v>
      </c>
      <c r="B531" s="79" t="s">
        <v>7866</v>
      </c>
      <c r="C531" s="79" t="s">
        <v>7370</v>
      </c>
      <c r="D531" s="79" t="s">
        <v>7328</v>
      </c>
      <c r="E531" s="79">
        <v>7684</v>
      </c>
      <c r="G531" s="79" t="s">
        <v>7329</v>
      </c>
      <c r="H531" s="80">
        <v>6785685</v>
      </c>
    </row>
    <row r="532" spans="1:8" x14ac:dyDescent="0.2">
      <c r="A532" s="79" t="s">
        <v>7855</v>
      </c>
      <c r="B532" s="79" t="s">
        <v>7867</v>
      </c>
      <c r="C532" s="79" t="s">
        <v>7370</v>
      </c>
      <c r="D532" s="79" t="s">
        <v>7328</v>
      </c>
      <c r="E532" s="79">
        <v>7684</v>
      </c>
      <c r="G532" s="79" t="s">
        <v>7329</v>
      </c>
      <c r="H532" s="80">
        <v>6077794</v>
      </c>
    </row>
    <row r="533" spans="1:8" x14ac:dyDescent="0.2">
      <c r="A533" s="79" t="s">
        <v>7855</v>
      </c>
      <c r="B533" s="79" t="s">
        <v>7868</v>
      </c>
      <c r="C533" s="79" t="s">
        <v>7370</v>
      </c>
      <c r="D533" s="79" t="s">
        <v>7328</v>
      </c>
      <c r="E533" s="79">
        <v>7684</v>
      </c>
      <c r="G533" s="79" t="s">
        <v>7869</v>
      </c>
      <c r="H533" s="80">
        <v>7852299</v>
      </c>
    </row>
    <row r="534" spans="1:8" x14ac:dyDescent="0.2">
      <c r="A534" s="79" t="s">
        <v>7855</v>
      </c>
      <c r="B534" s="79" t="s">
        <v>7870</v>
      </c>
      <c r="C534" s="79" t="s">
        <v>7370</v>
      </c>
      <c r="D534" s="79" t="s">
        <v>7328</v>
      </c>
      <c r="E534" s="79">
        <v>7684</v>
      </c>
      <c r="G534" s="79" t="s">
        <v>7869</v>
      </c>
      <c r="H534" s="80">
        <v>8266267</v>
      </c>
    </row>
    <row r="535" spans="1:8" x14ac:dyDescent="0.2">
      <c r="A535" s="79" t="s">
        <v>7855</v>
      </c>
      <c r="B535" s="79" t="s">
        <v>7871</v>
      </c>
      <c r="C535" s="79" t="s">
        <v>7370</v>
      </c>
      <c r="D535" s="79" t="s">
        <v>7328</v>
      </c>
      <c r="E535" s="79">
        <v>10520</v>
      </c>
      <c r="G535" s="79" t="s">
        <v>7376</v>
      </c>
      <c r="H535" s="80">
        <v>9949323</v>
      </c>
    </row>
    <row r="536" spans="1:8" x14ac:dyDescent="0.2">
      <c r="A536" s="79" t="s">
        <v>7855</v>
      </c>
      <c r="B536" s="79" t="s">
        <v>7872</v>
      </c>
      <c r="C536" s="79" t="s">
        <v>7370</v>
      </c>
      <c r="D536" s="79" t="s">
        <v>7328</v>
      </c>
      <c r="E536" s="79">
        <v>7684</v>
      </c>
      <c r="G536" s="79" t="s">
        <v>7376</v>
      </c>
      <c r="H536" s="80">
        <v>11804327</v>
      </c>
    </row>
    <row r="537" spans="1:8" x14ac:dyDescent="0.2">
      <c r="A537" s="79" t="s">
        <v>7855</v>
      </c>
      <c r="B537" s="79" t="s">
        <v>7873</v>
      </c>
      <c r="C537" s="79" t="s">
        <v>7438</v>
      </c>
      <c r="D537" s="79" t="s">
        <v>7328</v>
      </c>
      <c r="E537" s="79">
        <v>7684</v>
      </c>
      <c r="G537" s="79" t="s">
        <v>7376</v>
      </c>
      <c r="H537" s="80">
        <v>5826095</v>
      </c>
    </row>
    <row r="538" spans="1:8" x14ac:dyDescent="0.2">
      <c r="A538" s="79" t="s">
        <v>7855</v>
      </c>
      <c r="B538" s="79" t="s">
        <v>7874</v>
      </c>
      <c r="C538" s="79" t="s">
        <v>7438</v>
      </c>
      <c r="D538" s="79" t="s">
        <v>7328</v>
      </c>
      <c r="E538" s="79">
        <v>10520</v>
      </c>
      <c r="G538" s="79" t="s">
        <v>7376</v>
      </c>
      <c r="H538" s="80">
        <v>8783635</v>
      </c>
    </row>
    <row r="539" spans="1:8" x14ac:dyDescent="0.2">
      <c r="A539" s="79" t="s">
        <v>7855</v>
      </c>
      <c r="B539" s="79" t="s">
        <v>7875</v>
      </c>
      <c r="C539" s="79" t="s">
        <v>7438</v>
      </c>
      <c r="D539" s="79" t="s">
        <v>7328</v>
      </c>
      <c r="E539" s="79">
        <v>13000</v>
      </c>
      <c r="G539" s="79" t="s">
        <v>7876</v>
      </c>
      <c r="H539" s="80">
        <v>11830605</v>
      </c>
    </row>
    <row r="540" spans="1:8" x14ac:dyDescent="0.2">
      <c r="A540" s="79" t="s">
        <v>7855</v>
      </c>
      <c r="B540" s="79" t="s">
        <v>7877</v>
      </c>
      <c r="C540" s="79" t="s">
        <v>7370</v>
      </c>
      <c r="D540" s="79" t="s">
        <v>7328</v>
      </c>
      <c r="E540" s="79" t="s">
        <v>7878</v>
      </c>
      <c r="G540" s="79" t="s">
        <v>7329</v>
      </c>
      <c r="H540" s="80">
        <v>3950317</v>
      </c>
    </row>
    <row r="541" spans="1:8" x14ac:dyDescent="0.2">
      <c r="A541" s="79" t="s">
        <v>7879</v>
      </c>
      <c r="B541" s="79" t="s">
        <v>7880</v>
      </c>
      <c r="C541" s="79" t="s">
        <v>7407</v>
      </c>
      <c r="D541" s="79" t="s">
        <v>7312</v>
      </c>
      <c r="E541" s="79">
        <v>2000</v>
      </c>
      <c r="F541" s="79" t="s">
        <v>7349</v>
      </c>
      <c r="G541" s="79" t="s">
        <v>7329</v>
      </c>
      <c r="H541" s="80">
        <v>6282791</v>
      </c>
    </row>
    <row r="542" spans="1:8" x14ac:dyDescent="0.2">
      <c r="A542" s="79" t="s">
        <v>7879</v>
      </c>
      <c r="B542" s="79" t="s">
        <v>7881</v>
      </c>
      <c r="C542" s="79" t="s">
        <v>7407</v>
      </c>
      <c r="D542" s="79" t="s">
        <v>7312</v>
      </c>
      <c r="E542" s="79">
        <v>2400</v>
      </c>
      <c r="G542" s="79" t="s">
        <v>7329</v>
      </c>
      <c r="H542" s="80">
        <v>6838462.4000000004</v>
      </c>
    </row>
    <row r="543" spans="1:8" x14ac:dyDescent="0.2">
      <c r="A543" s="79" t="s">
        <v>7879</v>
      </c>
      <c r="B543" s="79" t="s">
        <v>7882</v>
      </c>
      <c r="C543" s="79" t="s">
        <v>7407</v>
      </c>
      <c r="D543" s="79" t="s">
        <v>7312</v>
      </c>
      <c r="E543" s="79">
        <v>3500</v>
      </c>
      <c r="G543" s="79" t="s">
        <v>7329</v>
      </c>
      <c r="H543" s="80">
        <v>8433204</v>
      </c>
    </row>
    <row r="544" spans="1:8" x14ac:dyDescent="0.2">
      <c r="A544" s="79" t="s">
        <v>7879</v>
      </c>
      <c r="B544" s="79" t="s">
        <v>7883</v>
      </c>
      <c r="C544" s="79" t="s">
        <v>7335</v>
      </c>
      <c r="D544" s="79" t="s">
        <v>7312</v>
      </c>
      <c r="E544" s="79">
        <v>3500</v>
      </c>
      <c r="G544" s="79" t="s">
        <v>7329</v>
      </c>
      <c r="H544" s="80">
        <v>6863751</v>
      </c>
    </row>
    <row r="545" spans="1:8" x14ac:dyDescent="0.2">
      <c r="A545" s="79" t="s">
        <v>7879</v>
      </c>
      <c r="B545" s="79" t="s">
        <v>7884</v>
      </c>
      <c r="C545" s="79" t="s">
        <v>7311</v>
      </c>
      <c r="D545" s="79" t="s">
        <v>7312</v>
      </c>
      <c r="E545" s="79">
        <v>2400</v>
      </c>
      <c r="G545" s="79" t="s">
        <v>7329</v>
      </c>
      <c r="H545" s="80">
        <v>3711992.9</v>
      </c>
    </row>
    <row r="546" spans="1:8" x14ac:dyDescent="0.2">
      <c r="A546" s="79" t="s">
        <v>7879</v>
      </c>
      <c r="B546" s="79" t="s">
        <v>7885</v>
      </c>
      <c r="C546" s="79" t="s">
        <v>7311</v>
      </c>
      <c r="D546" s="79" t="s">
        <v>7312</v>
      </c>
      <c r="E546" s="79">
        <v>2400</v>
      </c>
      <c r="G546" s="79" t="s">
        <v>7329</v>
      </c>
      <c r="H546" s="80">
        <v>3711992.9</v>
      </c>
    </row>
    <row r="547" spans="1:8" x14ac:dyDescent="0.2">
      <c r="A547" s="79" t="s">
        <v>7879</v>
      </c>
      <c r="B547" s="79" t="s">
        <v>7886</v>
      </c>
      <c r="C547" s="79" t="s">
        <v>7311</v>
      </c>
      <c r="D547" s="79" t="s">
        <v>7312</v>
      </c>
      <c r="E547" s="79">
        <v>3500</v>
      </c>
      <c r="G547" s="79" t="s">
        <v>7329</v>
      </c>
      <c r="H547" s="80">
        <v>4520575.4000000004</v>
      </c>
    </row>
    <row r="548" spans="1:8" x14ac:dyDescent="0.2">
      <c r="A548" s="79" t="s">
        <v>7879</v>
      </c>
      <c r="B548" s="79" t="s">
        <v>7887</v>
      </c>
      <c r="C548" s="79" t="s">
        <v>7335</v>
      </c>
      <c r="D548" s="79" t="s">
        <v>7312</v>
      </c>
      <c r="E548" s="79">
        <v>1500</v>
      </c>
      <c r="G548" s="79" t="s">
        <v>7329</v>
      </c>
      <c r="H548" s="80">
        <v>2526700</v>
      </c>
    </row>
    <row r="549" spans="1:8" x14ac:dyDescent="0.2">
      <c r="A549" s="79" t="s">
        <v>7879</v>
      </c>
      <c r="B549" s="79" t="s">
        <v>7888</v>
      </c>
      <c r="C549" s="79" t="s">
        <v>7327</v>
      </c>
      <c r="D549" s="79" t="s">
        <v>7312</v>
      </c>
      <c r="E549" s="79">
        <v>650</v>
      </c>
      <c r="G549" s="79" t="s">
        <v>7329</v>
      </c>
      <c r="H549" s="80">
        <v>1378558</v>
      </c>
    </row>
    <row r="550" spans="1:8" x14ac:dyDescent="0.2">
      <c r="A550" s="79" t="s">
        <v>7879</v>
      </c>
      <c r="B550" s="79" t="s">
        <v>7889</v>
      </c>
      <c r="C550" s="79" t="s">
        <v>7311</v>
      </c>
      <c r="D550" s="79" t="s">
        <v>7312</v>
      </c>
      <c r="E550" s="79">
        <v>1500</v>
      </c>
      <c r="G550" s="79" t="s">
        <v>7329</v>
      </c>
      <c r="H550" s="80">
        <v>3882050</v>
      </c>
    </row>
    <row r="551" spans="1:8" x14ac:dyDescent="0.2">
      <c r="A551" s="79" t="s">
        <v>7879</v>
      </c>
      <c r="B551" s="79" t="s">
        <v>7890</v>
      </c>
      <c r="C551" s="79" t="s">
        <v>7311</v>
      </c>
      <c r="D551" s="79" t="s">
        <v>7312</v>
      </c>
      <c r="E551" s="79">
        <v>1200</v>
      </c>
      <c r="G551" s="79" t="s">
        <v>7329</v>
      </c>
      <c r="H551" s="80">
        <v>2801600</v>
      </c>
    </row>
    <row r="552" spans="1:8" x14ac:dyDescent="0.2">
      <c r="A552" s="79" t="s">
        <v>7879</v>
      </c>
      <c r="B552" s="79" t="s">
        <v>7891</v>
      </c>
      <c r="C552" s="79" t="s">
        <v>7311</v>
      </c>
      <c r="D552" s="79" t="s">
        <v>7312</v>
      </c>
      <c r="E552" s="79">
        <v>1500</v>
      </c>
      <c r="G552" s="79" t="s">
        <v>7329</v>
      </c>
      <c r="H552" s="80">
        <v>2893852</v>
      </c>
    </row>
    <row r="553" spans="1:8" x14ac:dyDescent="0.2">
      <c r="A553" s="79" t="s">
        <v>7879</v>
      </c>
      <c r="B553" s="79" t="s">
        <v>7892</v>
      </c>
      <c r="C553" s="79" t="s">
        <v>7335</v>
      </c>
      <c r="D553" s="79" t="s">
        <v>7312</v>
      </c>
      <c r="E553" s="79">
        <v>1500</v>
      </c>
      <c r="H553" s="80">
        <v>4102014</v>
      </c>
    </row>
    <row r="554" spans="1:8" x14ac:dyDescent="0.2">
      <c r="A554" s="79" t="s">
        <v>7879</v>
      </c>
      <c r="B554" s="79" t="s">
        <v>7893</v>
      </c>
      <c r="C554" s="79" t="s">
        <v>7335</v>
      </c>
      <c r="D554" s="79" t="s">
        <v>7312</v>
      </c>
      <c r="E554" s="79">
        <v>1500</v>
      </c>
      <c r="G554" s="79" t="s">
        <v>7329</v>
      </c>
      <c r="H554" s="80">
        <v>5084138</v>
      </c>
    </row>
    <row r="555" spans="1:8" x14ac:dyDescent="0.2">
      <c r="A555" s="79" t="s">
        <v>7879</v>
      </c>
      <c r="B555" s="79" t="s">
        <v>7894</v>
      </c>
      <c r="C555" s="79" t="s">
        <v>7335</v>
      </c>
      <c r="D555" s="79" t="s">
        <v>7312</v>
      </c>
      <c r="E555" s="79">
        <v>1600</v>
      </c>
      <c r="G555" s="79" t="s">
        <v>7313</v>
      </c>
      <c r="H555" s="80">
        <v>4590248</v>
      </c>
    </row>
    <row r="556" spans="1:8" x14ac:dyDescent="0.2">
      <c r="A556" s="79" t="s">
        <v>7879</v>
      </c>
      <c r="B556" s="79" t="s">
        <v>7895</v>
      </c>
      <c r="C556" s="79" t="s">
        <v>7311</v>
      </c>
      <c r="D556" s="79" t="s">
        <v>7312</v>
      </c>
      <c r="E556" s="79">
        <v>1800</v>
      </c>
      <c r="G556" s="79" t="s">
        <v>7329</v>
      </c>
      <c r="H556" s="80">
        <v>2244565.4</v>
      </c>
    </row>
    <row r="557" spans="1:8" x14ac:dyDescent="0.2">
      <c r="A557" s="79" t="s">
        <v>7879</v>
      </c>
      <c r="B557" s="79" t="s">
        <v>7896</v>
      </c>
      <c r="C557" s="79" t="s">
        <v>7311</v>
      </c>
      <c r="D557" s="79" t="s">
        <v>7312</v>
      </c>
      <c r="E557" s="79">
        <v>1800</v>
      </c>
      <c r="G557" s="79" t="s">
        <v>7329</v>
      </c>
      <c r="H557" s="80">
        <v>2618908.6</v>
      </c>
    </row>
    <row r="558" spans="1:8" x14ac:dyDescent="0.2">
      <c r="A558" s="79" t="s">
        <v>7879</v>
      </c>
      <c r="B558" s="79" t="s">
        <v>7897</v>
      </c>
      <c r="C558" s="79" t="s">
        <v>7311</v>
      </c>
      <c r="D558" s="79" t="s">
        <v>7312</v>
      </c>
      <c r="E558" s="79">
        <v>1800</v>
      </c>
      <c r="G558" s="79" t="s">
        <v>7329</v>
      </c>
      <c r="H558" s="80">
        <v>2918383.6</v>
      </c>
    </row>
    <row r="559" spans="1:8" x14ac:dyDescent="0.2">
      <c r="A559" s="79" t="s">
        <v>7879</v>
      </c>
      <c r="B559" s="79" t="s">
        <v>7898</v>
      </c>
      <c r="C559" s="79" t="s">
        <v>7311</v>
      </c>
      <c r="D559" s="79" t="s">
        <v>7312</v>
      </c>
      <c r="E559" s="79">
        <v>2400</v>
      </c>
      <c r="G559" s="79" t="s">
        <v>7329</v>
      </c>
      <c r="H559" s="80">
        <v>3891677.9</v>
      </c>
    </row>
    <row r="560" spans="1:8" x14ac:dyDescent="0.2">
      <c r="A560" s="79" t="s">
        <v>7879</v>
      </c>
      <c r="B560" s="79" t="s">
        <v>7896</v>
      </c>
      <c r="C560" s="79" t="s">
        <v>7407</v>
      </c>
      <c r="D560" s="79" t="s">
        <v>7312</v>
      </c>
      <c r="E560" s="79">
        <v>1800</v>
      </c>
      <c r="G560" s="79" t="s">
        <v>7329</v>
      </c>
      <c r="H560" s="80">
        <v>2693777.9</v>
      </c>
    </row>
    <row r="561" spans="1:8" x14ac:dyDescent="0.2">
      <c r="A561" s="79" t="s">
        <v>7879</v>
      </c>
      <c r="B561" s="79" t="s">
        <v>7897</v>
      </c>
      <c r="C561" s="79" t="s">
        <v>7407</v>
      </c>
      <c r="D561" s="79" t="s">
        <v>7312</v>
      </c>
      <c r="E561" s="79">
        <v>1800</v>
      </c>
      <c r="G561" s="79" t="s">
        <v>7329</v>
      </c>
      <c r="H561" s="80">
        <v>2993252.9</v>
      </c>
    </row>
    <row r="562" spans="1:8" x14ac:dyDescent="0.2">
      <c r="A562" s="79" t="s">
        <v>7879</v>
      </c>
      <c r="B562" s="79" t="s">
        <v>7898</v>
      </c>
      <c r="C562" s="79" t="s">
        <v>7407</v>
      </c>
      <c r="D562" s="79" t="s">
        <v>7312</v>
      </c>
      <c r="E562" s="79">
        <v>2400</v>
      </c>
      <c r="G562" s="79" t="s">
        <v>7329</v>
      </c>
      <c r="H562" s="80">
        <v>3891677.9</v>
      </c>
    </row>
    <row r="563" spans="1:8" x14ac:dyDescent="0.2">
      <c r="A563" s="79" t="s">
        <v>7879</v>
      </c>
      <c r="B563" s="79" t="s">
        <v>7899</v>
      </c>
      <c r="C563" s="79" t="s">
        <v>7335</v>
      </c>
      <c r="D563" s="79" t="s">
        <v>7312</v>
      </c>
      <c r="E563" s="79">
        <v>1300</v>
      </c>
      <c r="G563" s="79" t="s">
        <v>7329</v>
      </c>
      <c r="H563" s="80">
        <v>3290850</v>
      </c>
    </row>
    <row r="564" spans="1:8" x14ac:dyDescent="0.2">
      <c r="A564" s="79" t="s">
        <v>7879</v>
      </c>
      <c r="B564" s="79" t="s">
        <v>7900</v>
      </c>
      <c r="C564" s="79" t="s">
        <v>7335</v>
      </c>
      <c r="D564" s="79" t="s">
        <v>7312</v>
      </c>
      <c r="E564" s="79">
        <v>2000</v>
      </c>
      <c r="G564" s="79" t="s">
        <v>7329</v>
      </c>
      <c r="H564" s="80">
        <v>3588200</v>
      </c>
    </row>
    <row r="565" spans="1:8" x14ac:dyDescent="0.2">
      <c r="A565" s="79" t="s">
        <v>7879</v>
      </c>
      <c r="B565" s="79" t="s">
        <v>7901</v>
      </c>
      <c r="C565" s="79" t="s">
        <v>7335</v>
      </c>
      <c r="D565" s="79" t="s">
        <v>7312</v>
      </c>
      <c r="E565" s="79">
        <v>998</v>
      </c>
      <c r="G565" s="79" t="s">
        <v>7329</v>
      </c>
      <c r="H565" s="80">
        <v>2327000</v>
      </c>
    </row>
    <row r="566" spans="1:8" x14ac:dyDescent="0.2">
      <c r="A566" s="79" t="s">
        <v>7879</v>
      </c>
      <c r="B566" s="79" t="s">
        <v>7902</v>
      </c>
      <c r="C566" s="79" t="s">
        <v>7335</v>
      </c>
      <c r="D566" s="79" t="s">
        <v>7312</v>
      </c>
      <c r="E566" s="79">
        <v>2000</v>
      </c>
      <c r="G566" s="79" t="s">
        <v>7329</v>
      </c>
      <c r="H566" s="80">
        <v>5301086</v>
      </c>
    </row>
    <row r="567" spans="1:8" x14ac:dyDescent="0.2">
      <c r="A567" s="79" t="s">
        <v>7879</v>
      </c>
      <c r="B567" s="79" t="s">
        <v>7903</v>
      </c>
      <c r="C567" s="79" t="s">
        <v>7335</v>
      </c>
      <c r="D567" s="79" t="s">
        <v>7312</v>
      </c>
      <c r="E567" s="79">
        <v>2000</v>
      </c>
      <c r="G567" s="79" t="s">
        <v>7313</v>
      </c>
      <c r="H567" s="80">
        <v>5937386</v>
      </c>
    </row>
    <row r="568" spans="1:8" x14ac:dyDescent="0.2">
      <c r="A568" s="79" t="s">
        <v>7879</v>
      </c>
      <c r="B568" s="79" t="s">
        <v>7904</v>
      </c>
      <c r="C568" s="79" t="s">
        <v>7335</v>
      </c>
      <c r="D568" s="79" t="s">
        <v>7312</v>
      </c>
      <c r="E568" s="79">
        <v>2000</v>
      </c>
      <c r="G568" s="79" t="s">
        <v>7329</v>
      </c>
      <c r="H568" s="80">
        <v>3740000</v>
      </c>
    </row>
    <row r="569" spans="1:8" x14ac:dyDescent="0.2">
      <c r="A569" s="79" t="s">
        <v>7879</v>
      </c>
      <c r="B569" s="79" t="s">
        <v>7905</v>
      </c>
      <c r="C569" s="79" t="s">
        <v>7335</v>
      </c>
      <c r="D569" s="79" t="s">
        <v>7328</v>
      </c>
      <c r="E569" s="79">
        <v>2200</v>
      </c>
      <c r="G569" s="79" t="s">
        <v>7313</v>
      </c>
      <c r="H569" s="80">
        <v>4114000</v>
      </c>
    </row>
    <row r="570" spans="1:8" x14ac:dyDescent="0.2">
      <c r="A570" s="79" t="s">
        <v>7879</v>
      </c>
      <c r="B570" s="79" t="s">
        <v>7905</v>
      </c>
      <c r="C570" s="79" t="s">
        <v>7335</v>
      </c>
      <c r="D570" s="79" t="s">
        <v>7312</v>
      </c>
      <c r="E570" s="79">
        <v>2400</v>
      </c>
      <c r="G570" s="79" t="s">
        <v>7329</v>
      </c>
      <c r="H570" s="80">
        <v>4488000</v>
      </c>
    </row>
    <row r="571" spans="1:8" x14ac:dyDescent="0.2">
      <c r="A571" s="79" t="s">
        <v>7879</v>
      </c>
      <c r="B571" s="79" t="s">
        <v>7906</v>
      </c>
      <c r="C571" s="79" t="s">
        <v>7335</v>
      </c>
      <c r="D571" s="79" t="s">
        <v>7312</v>
      </c>
      <c r="E571" s="79">
        <v>2000</v>
      </c>
      <c r="G571" s="79" t="s">
        <v>7329</v>
      </c>
      <c r="H571" s="80">
        <v>4236073.5999999996</v>
      </c>
    </row>
    <row r="572" spans="1:8" x14ac:dyDescent="0.2">
      <c r="A572" s="79" t="s">
        <v>7879</v>
      </c>
      <c r="B572" s="79" t="s">
        <v>7907</v>
      </c>
      <c r="C572" s="79" t="s">
        <v>7335</v>
      </c>
      <c r="D572" s="79" t="s">
        <v>7328</v>
      </c>
      <c r="E572" s="79">
        <v>2200</v>
      </c>
      <c r="G572" s="79" t="s">
        <v>7329</v>
      </c>
      <c r="H572" s="80">
        <v>4658500</v>
      </c>
    </row>
    <row r="573" spans="1:8" x14ac:dyDescent="0.2">
      <c r="A573" s="79" t="s">
        <v>7879</v>
      </c>
      <c r="B573" s="79" t="s">
        <v>7908</v>
      </c>
      <c r="C573" s="79" t="s">
        <v>7335</v>
      </c>
      <c r="D573" s="79" t="s">
        <v>7312</v>
      </c>
      <c r="E573" s="79">
        <v>2400</v>
      </c>
      <c r="G573" s="79" t="s">
        <v>7313</v>
      </c>
      <c r="H573" s="80">
        <v>5082000</v>
      </c>
    </row>
    <row r="574" spans="1:8" x14ac:dyDescent="0.2">
      <c r="A574" s="79" t="s">
        <v>7879</v>
      </c>
      <c r="B574" s="79" t="s">
        <v>7909</v>
      </c>
      <c r="C574" s="79" t="s">
        <v>7335</v>
      </c>
      <c r="D574" s="79" t="s">
        <v>7312</v>
      </c>
      <c r="E574" s="79">
        <v>2000</v>
      </c>
      <c r="G574" s="79" t="s">
        <v>7313</v>
      </c>
      <c r="H574" s="80">
        <v>6098946</v>
      </c>
    </row>
    <row r="575" spans="1:8" x14ac:dyDescent="0.2">
      <c r="A575" s="79" t="s">
        <v>7879</v>
      </c>
      <c r="B575" s="79" t="s">
        <v>7910</v>
      </c>
      <c r="C575" s="79" t="s">
        <v>7335</v>
      </c>
      <c r="D575" s="79" t="s">
        <v>7312</v>
      </c>
      <c r="E575" s="79">
        <v>2400</v>
      </c>
      <c r="G575" s="79" t="s">
        <v>7313</v>
      </c>
      <c r="H575" s="80">
        <v>7355463</v>
      </c>
    </row>
    <row r="576" spans="1:8" x14ac:dyDescent="0.2">
      <c r="A576" s="79" t="s">
        <v>7879</v>
      </c>
      <c r="B576" s="79" t="s">
        <v>7911</v>
      </c>
      <c r="C576" s="79" t="s">
        <v>7407</v>
      </c>
      <c r="D576" s="79" t="s">
        <v>7312</v>
      </c>
      <c r="E576" s="79">
        <v>1500</v>
      </c>
      <c r="G576" s="79" t="s">
        <v>7313</v>
      </c>
      <c r="H576" s="80">
        <v>3517333.6</v>
      </c>
    </row>
    <row r="577" spans="1:8" x14ac:dyDescent="0.2">
      <c r="A577" s="79" t="s">
        <v>7879</v>
      </c>
      <c r="B577" s="79" t="s">
        <v>7912</v>
      </c>
      <c r="C577" s="79" t="s">
        <v>7335</v>
      </c>
      <c r="D577" s="79" t="s">
        <v>7312</v>
      </c>
      <c r="E577" s="79">
        <v>2400</v>
      </c>
      <c r="G577" s="79" t="s">
        <v>7329</v>
      </c>
      <c r="H577" s="80">
        <v>4041415.4</v>
      </c>
    </row>
    <row r="578" spans="1:8" x14ac:dyDescent="0.2">
      <c r="A578" s="79" t="s">
        <v>7879</v>
      </c>
      <c r="B578" s="79" t="s">
        <v>7913</v>
      </c>
      <c r="C578" s="79" t="s">
        <v>7335</v>
      </c>
      <c r="D578" s="79" t="s">
        <v>7312</v>
      </c>
      <c r="E578" s="79">
        <v>2400</v>
      </c>
      <c r="G578" s="79" t="s">
        <v>7329</v>
      </c>
      <c r="H578" s="80">
        <v>4745181.0999999996</v>
      </c>
    </row>
    <row r="579" spans="1:8" x14ac:dyDescent="0.2">
      <c r="A579" s="79" t="s">
        <v>7879</v>
      </c>
      <c r="B579" s="79" t="s">
        <v>7914</v>
      </c>
      <c r="C579" s="79" t="s">
        <v>7335</v>
      </c>
      <c r="D579" s="79" t="s">
        <v>7312</v>
      </c>
      <c r="E579" s="79">
        <v>2400</v>
      </c>
      <c r="G579" s="79" t="s">
        <v>7313</v>
      </c>
      <c r="H579" s="80">
        <v>4805076.0999999996</v>
      </c>
    </row>
    <row r="580" spans="1:8" x14ac:dyDescent="0.2">
      <c r="A580" s="79" t="s">
        <v>7879</v>
      </c>
      <c r="B580" s="79" t="s">
        <v>7915</v>
      </c>
      <c r="C580" s="79" t="s">
        <v>7340</v>
      </c>
      <c r="D580" s="79" t="s">
        <v>7312</v>
      </c>
      <c r="E580" s="79">
        <v>1330</v>
      </c>
      <c r="G580" s="79" t="s">
        <v>7329</v>
      </c>
      <c r="H580" s="80">
        <v>2911786</v>
      </c>
    </row>
    <row r="581" spans="1:8" x14ac:dyDescent="0.2">
      <c r="A581" s="79" t="s">
        <v>7879</v>
      </c>
      <c r="B581" s="79" t="s">
        <v>7916</v>
      </c>
      <c r="C581" s="79" t="s">
        <v>7340</v>
      </c>
      <c r="D581" s="79" t="s">
        <v>7312</v>
      </c>
      <c r="E581" s="79">
        <v>1330</v>
      </c>
      <c r="G581" s="79" t="s">
        <v>7329</v>
      </c>
      <c r="H581" s="80">
        <v>3074800</v>
      </c>
    </row>
    <row r="582" spans="1:8" x14ac:dyDescent="0.2">
      <c r="A582" s="79" t="s">
        <v>7879</v>
      </c>
      <c r="B582" s="79" t="s">
        <v>7916</v>
      </c>
      <c r="C582" s="79" t="s">
        <v>7340</v>
      </c>
      <c r="D582" s="79" t="s">
        <v>7312</v>
      </c>
      <c r="E582" s="79">
        <v>1330</v>
      </c>
      <c r="G582" s="79" t="s">
        <v>7313</v>
      </c>
      <c r="H582" s="80">
        <v>3238246</v>
      </c>
    </row>
    <row r="583" spans="1:8" x14ac:dyDescent="0.2">
      <c r="A583" s="79" t="s">
        <v>7879</v>
      </c>
      <c r="B583" s="79" t="s">
        <v>7915</v>
      </c>
      <c r="C583" s="79" t="s">
        <v>7340</v>
      </c>
      <c r="D583" s="79" t="s">
        <v>7312</v>
      </c>
      <c r="E583" s="79">
        <v>1500</v>
      </c>
      <c r="G583" s="79" t="s">
        <v>7329</v>
      </c>
      <c r="H583" s="80">
        <v>3359753</v>
      </c>
    </row>
    <row r="584" spans="1:8" x14ac:dyDescent="0.2">
      <c r="A584" s="79" t="s">
        <v>7879</v>
      </c>
      <c r="B584" s="79" t="s">
        <v>7916</v>
      </c>
      <c r="C584" s="79" t="s">
        <v>7340</v>
      </c>
      <c r="D584" s="79" t="s">
        <v>7312</v>
      </c>
      <c r="E584" s="79">
        <v>1500</v>
      </c>
      <c r="G584" s="79" t="s">
        <v>7329</v>
      </c>
      <c r="H584" s="80">
        <v>3463177</v>
      </c>
    </row>
    <row r="585" spans="1:8" x14ac:dyDescent="0.2">
      <c r="A585" s="79" t="s">
        <v>7879</v>
      </c>
      <c r="B585" s="79" t="s">
        <v>7915</v>
      </c>
      <c r="C585" s="79" t="s">
        <v>7340</v>
      </c>
      <c r="D585" s="79" t="s">
        <v>7312</v>
      </c>
      <c r="E585" s="79">
        <v>1500</v>
      </c>
      <c r="G585" s="79" t="s">
        <v>7313</v>
      </c>
      <c r="H585" s="80">
        <v>3552158</v>
      </c>
    </row>
    <row r="586" spans="1:8" x14ac:dyDescent="0.2">
      <c r="A586" s="79" t="s">
        <v>7879</v>
      </c>
      <c r="B586" s="79" t="s">
        <v>7917</v>
      </c>
      <c r="C586" s="79" t="s">
        <v>7918</v>
      </c>
      <c r="D586" s="79" t="s">
        <v>7312</v>
      </c>
      <c r="E586" s="79">
        <v>1500</v>
      </c>
      <c r="G586" s="79" t="s">
        <v>7329</v>
      </c>
      <c r="H586" s="80">
        <v>3809495</v>
      </c>
    </row>
    <row r="587" spans="1:8" x14ac:dyDescent="0.2">
      <c r="A587" s="79" t="s">
        <v>7879</v>
      </c>
      <c r="B587" s="79" t="s">
        <v>7919</v>
      </c>
      <c r="C587" s="79" t="s">
        <v>7340</v>
      </c>
      <c r="D587" s="79" t="s">
        <v>7312</v>
      </c>
      <c r="E587" s="79">
        <v>1500</v>
      </c>
      <c r="G587" s="79" t="s">
        <v>7329</v>
      </c>
      <c r="H587" s="80">
        <v>3463177</v>
      </c>
    </row>
    <row r="588" spans="1:8" x14ac:dyDescent="0.2">
      <c r="A588" s="79" t="s">
        <v>7879</v>
      </c>
      <c r="B588" s="79" t="s">
        <v>7920</v>
      </c>
      <c r="C588" s="79" t="s">
        <v>7335</v>
      </c>
      <c r="D588" s="79" t="s">
        <v>7312</v>
      </c>
      <c r="E588" s="79">
        <v>1500</v>
      </c>
      <c r="G588" s="79" t="s">
        <v>7329</v>
      </c>
      <c r="H588" s="80">
        <v>4819888</v>
      </c>
    </row>
    <row r="589" spans="1:8" x14ac:dyDescent="0.2">
      <c r="A589" s="79" t="s">
        <v>7879</v>
      </c>
      <c r="B589" s="79" t="s">
        <v>7921</v>
      </c>
      <c r="C589" s="79" t="s">
        <v>7335</v>
      </c>
      <c r="D589" s="79" t="s">
        <v>7312</v>
      </c>
      <c r="E589" s="79">
        <v>1800</v>
      </c>
      <c r="G589" s="79" t="s">
        <v>7329</v>
      </c>
      <c r="H589" s="80">
        <v>4949000</v>
      </c>
    </row>
    <row r="590" spans="1:8" x14ac:dyDescent="0.2">
      <c r="A590" s="79" t="s">
        <v>7879</v>
      </c>
      <c r="B590" s="79" t="s">
        <v>7922</v>
      </c>
      <c r="C590" s="79" t="s">
        <v>7340</v>
      </c>
      <c r="D590" s="79" t="s">
        <v>7312</v>
      </c>
      <c r="E590" s="79">
        <v>1300</v>
      </c>
      <c r="G590" s="79" t="s">
        <v>7329</v>
      </c>
      <c r="H590" s="80">
        <v>2043034</v>
      </c>
    </row>
    <row r="591" spans="1:8" x14ac:dyDescent="0.2">
      <c r="A591" s="79" t="s">
        <v>7879</v>
      </c>
      <c r="B591" s="79" t="s">
        <v>7923</v>
      </c>
      <c r="C591" s="79" t="s">
        <v>7311</v>
      </c>
      <c r="D591" s="79" t="s">
        <v>7312</v>
      </c>
      <c r="E591" s="79">
        <v>3500</v>
      </c>
      <c r="G591" s="79" t="s">
        <v>7329</v>
      </c>
      <c r="H591" s="80">
        <v>5696077</v>
      </c>
    </row>
    <row r="592" spans="1:8" x14ac:dyDescent="0.2">
      <c r="A592" s="79" t="s">
        <v>7879</v>
      </c>
      <c r="B592" s="79" t="s">
        <v>7924</v>
      </c>
      <c r="C592" s="79" t="s">
        <v>7335</v>
      </c>
      <c r="D592" s="79" t="s">
        <v>7312</v>
      </c>
      <c r="E592" s="79">
        <v>650</v>
      </c>
      <c r="G592" s="79" t="s">
        <v>7329</v>
      </c>
      <c r="H592" s="80">
        <v>1235535</v>
      </c>
    </row>
    <row r="593" spans="1:8" x14ac:dyDescent="0.2">
      <c r="A593" s="79" t="s">
        <v>7879</v>
      </c>
      <c r="B593" s="79" t="s">
        <v>7925</v>
      </c>
      <c r="C593" s="79" t="s">
        <v>7335</v>
      </c>
      <c r="D593" s="79" t="s">
        <v>7312</v>
      </c>
      <c r="E593" s="79">
        <v>1500</v>
      </c>
      <c r="G593" s="79" t="s">
        <v>7329</v>
      </c>
      <c r="H593" s="80">
        <v>3293004</v>
      </c>
    </row>
    <row r="594" spans="1:8" x14ac:dyDescent="0.2">
      <c r="A594" s="79" t="s">
        <v>7879</v>
      </c>
      <c r="B594" s="79" t="s">
        <v>7926</v>
      </c>
      <c r="C594" s="79" t="s">
        <v>7335</v>
      </c>
      <c r="D594" s="79" t="s">
        <v>7312</v>
      </c>
      <c r="E594" s="79">
        <v>2400</v>
      </c>
      <c r="G594" s="79" t="s">
        <v>7313</v>
      </c>
      <c r="H594" s="80">
        <v>3078680</v>
      </c>
    </row>
    <row r="595" spans="1:8" x14ac:dyDescent="0.2">
      <c r="A595" s="79" t="s">
        <v>7879</v>
      </c>
      <c r="B595" s="79" t="s">
        <v>7926</v>
      </c>
      <c r="C595" s="79" t="s">
        <v>7335</v>
      </c>
      <c r="D595" s="79" t="s">
        <v>7312</v>
      </c>
      <c r="E595" s="79">
        <v>3500</v>
      </c>
      <c r="G595" s="79" t="s">
        <v>7313</v>
      </c>
      <c r="H595" s="80">
        <v>4865146.2699999996</v>
      </c>
    </row>
    <row r="596" spans="1:8" x14ac:dyDescent="0.2">
      <c r="A596" s="79" t="s">
        <v>7879</v>
      </c>
      <c r="B596" s="79" t="s">
        <v>7927</v>
      </c>
      <c r="C596" s="79" t="s">
        <v>7335</v>
      </c>
      <c r="D596" s="79" t="s">
        <v>7312</v>
      </c>
      <c r="E596" s="79">
        <v>3500</v>
      </c>
      <c r="G596" s="79" t="s">
        <v>7313</v>
      </c>
      <c r="H596" s="80">
        <v>5514048.7000000002</v>
      </c>
    </row>
    <row r="597" spans="1:8" x14ac:dyDescent="0.2">
      <c r="A597" s="79" t="s">
        <v>7879</v>
      </c>
      <c r="B597" s="79" t="s">
        <v>7928</v>
      </c>
      <c r="C597" s="79" t="s">
        <v>7335</v>
      </c>
      <c r="D597" s="79" t="s">
        <v>7312</v>
      </c>
      <c r="E597" s="79">
        <v>3500</v>
      </c>
      <c r="G597" s="79" t="s">
        <v>7313</v>
      </c>
      <c r="H597" s="80">
        <v>5648696.25</v>
      </c>
    </row>
    <row r="598" spans="1:8" x14ac:dyDescent="0.2">
      <c r="A598" s="79" t="s">
        <v>7879</v>
      </c>
      <c r="B598" s="79" t="s">
        <v>7929</v>
      </c>
      <c r="C598" s="79" t="s">
        <v>7335</v>
      </c>
      <c r="D598" s="79" t="s">
        <v>7312</v>
      </c>
      <c r="E598" s="79">
        <v>3500</v>
      </c>
      <c r="G598" s="79" t="s">
        <v>7313</v>
      </c>
      <c r="H598" s="80">
        <v>6605826.7400000002</v>
      </c>
    </row>
    <row r="599" spans="1:8" x14ac:dyDescent="0.2">
      <c r="A599" s="79" t="s">
        <v>7879</v>
      </c>
      <c r="B599" s="79" t="s">
        <v>7930</v>
      </c>
      <c r="C599" s="79" t="s">
        <v>7340</v>
      </c>
      <c r="D599" s="79" t="s">
        <v>7312</v>
      </c>
      <c r="E599" s="79">
        <v>1340</v>
      </c>
      <c r="G599" s="79" t="s">
        <v>7329</v>
      </c>
      <c r="H599" s="80">
        <v>1650000</v>
      </c>
    </row>
    <row r="600" spans="1:8" x14ac:dyDescent="0.2">
      <c r="A600" s="79" t="s">
        <v>7879</v>
      </c>
      <c r="B600" s="79" t="s">
        <v>7931</v>
      </c>
      <c r="C600" s="79" t="s">
        <v>7932</v>
      </c>
      <c r="D600" s="79" t="s">
        <v>7328</v>
      </c>
      <c r="E600" s="79">
        <v>3500</v>
      </c>
      <c r="G600" s="79" t="s">
        <v>7313</v>
      </c>
      <c r="H600" s="80">
        <v>5644097.3200000003</v>
      </c>
    </row>
    <row r="601" spans="1:8" x14ac:dyDescent="0.2">
      <c r="A601" s="79" t="s">
        <v>7879</v>
      </c>
      <c r="B601" s="79" t="s">
        <v>7933</v>
      </c>
      <c r="C601" s="79" t="s">
        <v>7932</v>
      </c>
      <c r="D601" s="79" t="s">
        <v>7328</v>
      </c>
      <c r="E601" s="79">
        <v>3500</v>
      </c>
      <c r="G601" s="79" t="s">
        <v>7313</v>
      </c>
      <c r="H601" s="80">
        <v>5903390.1500000004</v>
      </c>
    </row>
    <row r="602" spans="1:8" x14ac:dyDescent="0.2">
      <c r="A602" s="79" t="s">
        <v>7879</v>
      </c>
      <c r="B602" s="79" t="s">
        <v>7934</v>
      </c>
      <c r="C602" s="79" t="s">
        <v>7932</v>
      </c>
      <c r="D602" s="79" t="s">
        <v>7328</v>
      </c>
      <c r="E602" s="79">
        <v>3500</v>
      </c>
      <c r="G602" s="79" t="s">
        <v>7313</v>
      </c>
      <c r="H602" s="80">
        <v>6730740.1600000001</v>
      </c>
    </row>
    <row r="603" spans="1:8" x14ac:dyDescent="0.2">
      <c r="A603" s="79" t="s">
        <v>7879</v>
      </c>
      <c r="B603" s="79" t="s">
        <v>7935</v>
      </c>
      <c r="C603" s="79" t="s">
        <v>7335</v>
      </c>
      <c r="D603" s="79" t="s">
        <v>7312</v>
      </c>
      <c r="E603" s="79">
        <v>1800</v>
      </c>
      <c r="G603" s="79" t="s">
        <v>7329</v>
      </c>
      <c r="H603" s="80">
        <v>3457200</v>
      </c>
    </row>
    <row r="604" spans="1:8" x14ac:dyDescent="0.2">
      <c r="A604" s="79" t="s">
        <v>7879</v>
      </c>
      <c r="B604" s="79" t="s">
        <v>7935</v>
      </c>
      <c r="C604" s="79" t="s">
        <v>7335</v>
      </c>
      <c r="D604" s="79" t="s">
        <v>7312</v>
      </c>
      <c r="E604" s="79">
        <v>2000</v>
      </c>
      <c r="G604" s="79" t="s">
        <v>7329</v>
      </c>
      <c r="H604" s="80">
        <v>3854000</v>
      </c>
    </row>
    <row r="605" spans="1:8" x14ac:dyDescent="0.2">
      <c r="A605" s="79" t="s">
        <v>7879</v>
      </c>
      <c r="B605" s="79" t="s">
        <v>7935</v>
      </c>
      <c r="C605" s="79" t="s">
        <v>7335</v>
      </c>
      <c r="D605" s="79" t="s">
        <v>7312</v>
      </c>
      <c r="E605" s="79">
        <v>1800</v>
      </c>
      <c r="G605" s="79" t="s">
        <v>7313</v>
      </c>
      <c r="H605" s="80">
        <v>3769200</v>
      </c>
    </row>
    <row r="606" spans="1:8" x14ac:dyDescent="0.2">
      <c r="A606" s="79" t="s">
        <v>7879</v>
      </c>
      <c r="B606" s="79" t="s">
        <v>7935</v>
      </c>
      <c r="C606" s="79" t="s">
        <v>7335</v>
      </c>
      <c r="D606" s="79" t="s">
        <v>7312</v>
      </c>
      <c r="E606" s="79">
        <v>2000</v>
      </c>
      <c r="G606" s="79" t="s">
        <v>7313</v>
      </c>
      <c r="H606" s="80">
        <v>4155184</v>
      </c>
    </row>
    <row r="607" spans="1:8" x14ac:dyDescent="0.2">
      <c r="A607" s="79" t="s">
        <v>7879</v>
      </c>
      <c r="B607" s="79" t="s">
        <v>7936</v>
      </c>
      <c r="C607" s="79" t="s">
        <v>7335</v>
      </c>
      <c r="D607" s="79" t="s">
        <v>7312</v>
      </c>
      <c r="E607" s="79">
        <v>2000</v>
      </c>
      <c r="G607" s="79" t="s">
        <v>7329</v>
      </c>
      <c r="H607" s="80">
        <v>4336014</v>
      </c>
    </row>
    <row r="608" spans="1:8" x14ac:dyDescent="0.2">
      <c r="A608" s="79" t="s">
        <v>7879</v>
      </c>
      <c r="B608" s="79" t="s">
        <v>7936</v>
      </c>
      <c r="C608" s="79" t="s">
        <v>7335</v>
      </c>
      <c r="D608" s="79" t="s">
        <v>7312</v>
      </c>
      <c r="E608" s="79">
        <v>2000</v>
      </c>
      <c r="G608" s="79" t="s">
        <v>7313</v>
      </c>
      <c r="H608" s="80">
        <v>4639535</v>
      </c>
    </row>
    <row r="609" spans="1:8" x14ac:dyDescent="0.2">
      <c r="A609" s="79" t="s">
        <v>7879</v>
      </c>
      <c r="B609" s="79" t="s">
        <v>7937</v>
      </c>
      <c r="C609" s="79" t="s">
        <v>7335</v>
      </c>
      <c r="D609" s="79" t="s">
        <v>7312</v>
      </c>
      <c r="E609" s="79">
        <v>660</v>
      </c>
      <c r="G609" s="79" t="s">
        <v>7329</v>
      </c>
      <c r="H609" s="80">
        <v>1350000</v>
      </c>
    </row>
    <row r="610" spans="1:8" x14ac:dyDescent="0.2">
      <c r="A610" s="79" t="s">
        <v>7938</v>
      </c>
      <c r="B610" s="79" t="s">
        <v>7939</v>
      </c>
      <c r="C610" s="79" t="s">
        <v>7335</v>
      </c>
      <c r="D610" s="79" t="s">
        <v>7312</v>
      </c>
      <c r="E610" s="79">
        <v>3700</v>
      </c>
      <c r="G610" s="79" t="s">
        <v>7313</v>
      </c>
      <c r="H610" s="80">
        <v>6744165</v>
      </c>
    </row>
    <row r="611" spans="1:8" x14ac:dyDescent="0.2">
      <c r="A611" s="79" t="s">
        <v>7938</v>
      </c>
      <c r="B611" s="79" t="s">
        <v>7940</v>
      </c>
      <c r="C611" s="79" t="s">
        <v>7335</v>
      </c>
      <c r="D611" s="79" t="s">
        <v>7312</v>
      </c>
      <c r="E611" s="79">
        <v>3700</v>
      </c>
      <c r="G611" s="79" t="s">
        <v>7313</v>
      </c>
      <c r="H611" s="80">
        <v>6874173</v>
      </c>
    </row>
    <row r="612" spans="1:8" x14ac:dyDescent="0.2">
      <c r="A612" s="79" t="s">
        <v>7941</v>
      </c>
      <c r="B612" s="79" t="s">
        <v>7942</v>
      </c>
      <c r="C612" s="79" t="s">
        <v>7311</v>
      </c>
      <c r="D612" s="79" t="s">
        <v>7312</v>
      </c>
      <c r="E612" s="79">
        <v>1400</v>
      </c>
      <c r="G612" s="79" t="s">
        <v>7329</v>
      </c>
      <c r="H612" s="80">
        <v>2241000</v>
      </c>
    </row>
    <row r="613" spans="1:8" x14ac:dyDescent="0.2">
      <c r="A613" s="79" t="s">
        <v>7941</v>
      </c>
      <c r="B613" s="79" t="s">
        <v>7943</v>
      </c>
      <c r="C613" s="79" t="s">
        <v>7311</v>
      </c>
      <c r="D613" s="79" t="s">
        <v>7312</v>
      </c>
      <c r="E613" s="79">
        <v>1500</v>
      </c>
      <c r="G613" s="79" t="s">
        <v>7329</v>
      </c>
      <c r="H613" s="80">
        <v>2324000</v>
      </c>
    </row>
    <row r="614" spans="1:8" x14ac:dyDescent="0.2">
      <c r="A614" s="79" t="s">
        <v>7941</v>
      </c>
      <c r="B614" s="79" t="s">
        <v>7942</v>
      </c>
      <c r="C614" s="79" t="s">
        <v>7311</v>
      </c>
      <c r="D614" s="79" t="s">
        <v>7312</v>
      </c>
      <c r="E614" s="79">
        <v>1600</v>
      </c>
      <c r="G614" s="79" t="s">
        <v>7329</v>
      </c>
      <c r="H614" s="80">
        <v>2324000</v>
      </c>
    </row>
    <row r="615" spans="1:8" x14ac:dyDescent="0.2">
      <c r="A615" s="79" t="s">
        <v>7941</v>
      </c>
      <c r="B615" s="79" t="s">
        <v>7943</v>
      </c>
      <c r="C615" s="79" t="s">
        <v>7311</v>
      </c>
      <c r="D615" s="79" t="s">
        <v>7312</v>
      </c>
      <c r="E615" s="79">
        <v>1600</v>
      </c>
      <c r="G615" s="79" t="s">
        <v>7329</v>
      </c>
      <c r="H615" s="80">
        <v>2407000</v>
      </c>
    </row>
    <row r="616" spans="1:8" x14ac:dyDescent="0.2">
      <c r="A616" s="79" t="s">
        <v>7941</v>
      </c>
      <c r="B616" s="79" t="s">
        <v>7944</v>
      </c>
      <c r="C616" s="79" t="s">
        <v>7311</v>
      </c>
      <c r="D616" s="79" t="s">
        <v>7312</v>
      </c>
      <c r="E616" s="79">
        <v>1600</v>
      </c>
      <c r="G616" s="79" t="s">
        <v>7329</v>
      </c>
      <c r="H616" s="80">
        <v>2822000</v>
      </c>
    </row>
    <row r="617" spans="1:8" x14ac:dyDescent="0.2">
      <c r="A617" s="79" t="s">
        <v>7941</v>
      </c>
      <c r="B617" s="79" t="s">
        <v>7945</v>
      </c>
      <c r="C617" s="79" t="s">
        <v>7311</v>
      </c>
      <c r="D617" s="79" t="s">
        <v>7312</v>
      </c>
      <c r="E617" s="79">
        <v>1000</v>
      </c>
      <c r="G617" s="79" t="s">
        <v>7329</v>
      </c>
      <c r="H617" s="80">
        <v>780000</v>
      </c>
    </row>
    <row r="618" spans="1:8" x14ac:dyDescent="0.2">
      <c r="A618" s="79" t="s">
        <v>7941</v>
      </c>
      <c r="B618" s="79" t="s">
        <v>7946</v>
      </c>
      <c r="C618" s="79" t="s">
        <v>7335</v>
      </c>
      <c r="D618" s="79" t="s">
        <v>7312</v>
      </c>
      <c r="E618" s="79">
        <v>1800</v>
      </c>
      <c r="G618" s="79" t="s">
        <v>7329</v>
      </c>
      <c r="H618" s="80">
        <v>2739000</v>
      </c>
    </row>
    <row r="619" spans="1:8" x14ac:dyDescent="0.2">
      <c r="A619" s="79" t="s">
        <v>7941</v>
      </c>
      <c r="B619" s="79" t="s">
        <v>7947</v>
      </c>
      <c r="C619" s="79" t="s">
        <v>7335</v>
      </c>
      <c r="D619" s="79" t="s">
        <v>7312</v>
      </c>
      <c r="E619" s="79">
        <v>1800</v>
      </c>
      <c r="G619" s="79" t="s">
        <v>7329</v>
      </c>
      <c r="H619" s="80">
        <v>2905000</v>
      </c>
    </row>
    <row r="620" spans="1:8" x14ac:dyDescent="0.2">
      <c r="A620" s="79" t="s">
        <v>7941</v>
      </c>
      <c r="B620" s="79" t="s">
        <v>7948</v>
      </c>
      <c r="C620" s="79" t="s">
        <v>7335</v>
      </c>
      <c r="D620" s="79" t="s">
        <v>7312</v>
      </c>
      <c r="E620" s="79">
        <v>2600</v>
      </c>
      <c r="G620" s="79" t="s">
        <v>7329</v>
      </c>
      <c r="H620" s="80">
        <v>3154000</v>
      </c>
    </row>
    <row r="621" spans="1:8" x14ac:dyDescent="0.2">
      <c r="A621" s="79" t="s">
        <v>7941</v>
      </c>
      <c r="B621" s="79" t="s">
        <v>7949</v>
      </c>
      <c r="C621" s="79" t="s">
        <v>7950</v>
      </c>
      <c r="D621" s="79" t="s">
        <v>7328</v>
      </c>
      <c r="E621" s="79">
        <v>2600</v>
      </c>
      <c r="G621" s="79" t="s">
        <v>7329</v>
      </c>
      <c r="H621" s="80">
        <v>1400000</v>
      </c>
    </row>
    <row r="622" spans="1:8" x14ac:dyDescent="0.2">
      <c r="A622" s="79" t="s">
        <v>7941</v>
      </c>
      <c r="B622" s="79" t="s">
        <v>7951</v>
      </c>
      <c r="C622" s="79" t="s">
        <v>7950</v>
      </c>
      <c r="D622" s="79" t="s">
        <v>7328</v>
      </c>
      <c r="E622" s="79">
        <v>2600</v>
      </c>
      <c r="G622" s="79" t="s">
        <v>7329</v>
      </c>
      <c r="H622" s="80">
        <v>3071000</v>
      </c>
    </row>
    <row r="623" spans="1:8" x14ac:dyDescent="0.2">
      <c r="A623" s="79" t="s">
        <v>7941</v>
      </c>
      <c r="B623" s="79" t="s">
        <v>7952</v>
      </c>
      <c r="C623" s="79" t="s">
        <v>7950</v>
      </c>
      <c r="D623" s="79" t="s">
        <v>7328</v>
      </c>
      <c r="E623" s="79">
        <v>2600</v>
      </c>
      <c r="G623" s="79" t="s">
        <v>7329</v>
      </c>
      <c r="H623" s="80">
        <v>3403000</v>
      </c>
    </row>
    <row r="624" spans="1:8" x14ac:dyDescent="0.2">
      <c r="A624" s="79" t="s">
        <v>7941</v>
      </c>
      <c r="B624" s="79" t="s">
        <v>7953</v>
      </c>
      <c r="C624" s="79" t="s">
        <v>7950</v>
      </c>
      <c r="D624" s="79" t="s">
        <v>7328</v>
      </c>
      <c r="E624" s="79">
        <v>2500</v>
      </c>
      <c r="G624" s="79" t="s">
        <v>7329</v>
      </c>
      <c r="H624" s="80">
        <v>3569000</v>
      </c>
    </row>
    <row r="625" spans="1:8" x14ac:dyDescent="0.2">
      <c r="A625" s="79" t="s">
        <v>7941</v>
      </c>
      <c r="B625" s="79" t="s">
        <v>7954</v>
      </c>
      <c r="C625" s="79" t="s">
        <v>7950</v>
      </c>
      <c r="D625" s="79" t="s">
        <v>7328</v>
      </c>
      <c r="E625" s="79">
        <v>2500</v>
      </c>
      <c r="G625" s="79" t="s">
        <v>7329</v>
      </c>
      <c r="H625" s="80">
        <v>5644000</v>
      </c>
    </row>
    <row r="626" spans="1:8" x14ac:dyDescent="0.2">
      <c r="A626" s="79" t="s">
        <v>7941</v>
      </c>
      <c r="B626" s="79" t="s">
        <v>7955</v>
      </c>
      <c r="C626" s="79" t="s">
        <v>7956</v>
      </c>
      <c r="D626" s="79" t="s">
        <v>7328</v>
      </c>
      <c r="E626" s="79">
        <v>2600</v>
      </c>
      <c r="G626" s="79" t="s">
        <v>7329</v>
      </c>
      <c r="H626" s="80">
        <v>1773000</v>
      </c>
    </row>
    <row r="627" spans="1:8" x14ac:dyDescent="0.2">
      <c r="A627" s="79" t="s">
        <v>7941</v>
      </c>
      <c r="B627" s="79" t="s">
        <v>7957</v>
      </c>
      <c r="C627" s="79" t="s">
        <v>7327</v>
      </c>
      <c r="D627" s="79" t="s">
        <v>7328</v>
      </c>
      <c r="E627" s="79">
        <v>2700</v>
      </c>
      <c r="G627" s="79" t="s">
        <v>7329</v>
      </c>
      <c r="H627" s="80">
        <v>1867500</v>
      </c>
    </row>
    <row r="628" spans="1:8" x14ac:dyDescent="0.2">
      <c r="A628" s="79" t="s">
        <v>7941</v>
      </c>
      <c r="B628" s="79" t="s">
        <v>7958</v>
      </c>
      <c r="C628" s="79" t="s">
        <v>7959</v>
      </c>
      <c r="D628" s="79" t="s">
        <v>7328</v>
      </c>
      <c r="E628" s="79">
        <v>2400</v>
      </c>
      <c r="G628" s="79" t="s">
        <v>7329</v>
      </c>
      <c r="H628" s="80">
        <v>1992000</v>
      </c>
    </row>
    <row r="629" spans="1:8" x14ac:dyDescent="0.2">
      <c r="A629" s="79" t="s">
        <v>7941</v>
      </c>
      <c r="B629" s="79" t="s">
        <v>7960</v>
      </c>
      <c r="C629" s="79" t="s">
        <v>7335</v>
      </c>
      <c r="D629" s="79" t="s">
        <v>7312</v>
      </c>
      <c r="E629" s="79">
        <v>2400</v>
      </c>
      <c r="F629" s="79" t="s">
        <v>7336</v>
      </c>
      <c r="G629" s="79" t="s">
        <v>7313</v>
      </c>
      <c r="H629" s="80">
        <v>3735000</v>
      </c>
    </row>
    <row r="630" spans="1:8" x14ac:dyDescent="0.2">
      <c r="A630" s="79" t="s">
        <v>7941</v>
      </c>
      <c r="B630" s="79" t="s">
        <v>7960</v>
      </c>
      <c r="C630" s="79" t="s">
        <v>7335</v>
      </c>
      <c r="D630" s="79" t="s">
        <v>7312</v>
      </c>
      <c r="E630" s="79">
        <v>2400</v>
      </c>
      <c r="F630" s="79" t="s">
        <v>7349</v>
      </c>
      <c r="G630" s="79" t="s">
        <v>7313</v>
      </c>
      <c r="H630" s="80">
        <v>3990000</v>
      </c>
    </row>
    <row r="631" spans="1:8" x14ac:dyDescent="0.2">
      <c r="A631" s="79" t="s">
        <v>7941</v>
      </c>
      <c r="B631" s="79" t="s">
        <v>7961</v>
      </c>
      <c r="C631" s="79" t="s">
        <v>7335</v>
      </c>
      <c r="D631" s="79" t="s">
        <v>7312</v>
      </c>
      <c r="E631" s="79">
        <v>2400</v>
      </c>
      <c r="F631" s="79" t="s">
        <v>7349</v>
      </c>
      <c r="G631" s="79" t="s">
        <v>7313</v>
      </c>
      <c r="H631" s="80">
        <v>4316000</v>
      </c>
    </row>
    <row r="632" spans="1:8" x14ac:dyDescent="0.2">
      <c r="A632" s="79" t="s">
        <v>7941</v>
      </c>
      <c r="B632" s="79" t="s">
        <v>7962</v>
      </c>
      <c r="C632" s="79" t="s">
        <v>7335</v>
      </c>
      <c r="D632" s="79" t="s">
        <v>7312</v>
      </c>
      <c r="E632" s="79">
        <v>2400</v>
      </c>
      <c r="G632" s="79" t="s">
        <v>7313</v>
      </c>
      <c r="H632" s="80">
        <v>4565000</v>
      </c>
    </row>
    <row r="633" spans="1:8" x14ac:dyDescent="0.2">
      <c r="A633" s="79" t="s">
        <v>7941</v>
      </c>
      <c r="B633" s="79" t="s">
        <v>7963</v>
      </c>
      <c r="C633" s="79" t="s">
        <v>7335</v>
      </c>
      <c r="D633" s="79" t="s">
        <v>7312</v>
      </c>
      <c r="E633" s="79">
        <v>2000</v>
      </c>
      <c r="G633" s="79" t="s">
        <v>7329</v>
      </c>
      <c r="H633" s="80">
        <v>3237000</v>
      </c>
    </row>
    <row r="634" spans="1:8" x14ac:dyDescent="0.2">
      <c r="A634" s="79" t="s">
        <v>7941</v>
      </c>
      <c r="B634" s="79" t="s">
        <v>7963</v>
      </c>
      <c r="C634" s="79" t="s">
        <v>7335</v>
      </c>
      <c r="D634" s="79" t="s">
        <v>7312</v>
      </c>
      <c r="E634" s="79">
        <v>2000</v>
      </c>
      <c r="G634" s="79" t="s">
        <v>7313</v>
      </c>
      <c r="H634" s="80">
        <v>3818000</v>
      </c>
    </row>
    <row r="635" spans="1:8" x14ac:dyDescent="0.2">
      <c r="A635" s="79" t="s">
        <v>7941</v>
      </c>
      <c r="B635" s="79" t="s">
        <v>7963</v>
      </c>
      <c r="C635" s="79" t="s">
        <v>7335</v>
      </c>
      <c r="D635" s="79" t="s">
        <v>7312</v>
      </c>
      <c r="E635" s="79">
        <v>2400</v>
      </c>
      <c r="G635" s="79" t="s">
        <v>7313</v>
      </c>
      <c r="H635" s="80">
        <v>4150000</v>
      </c>
    </row>
    <row r="636" spans="1:8" x14ac:dyDescent="0.2">
      <c r="A636" s="79" t="s">
        <v>7941</v>
      </c>
      <c r="B636" s="79" t="s">
        <v>7964</v>
      </c>
      <c r="C636" s="79" t="s">
        <v>7335</v>
      </c>
      <c r="D636" s="79" t="s">
        <v>7312</v>
      </c>
      <c r="E636" s="79">
        <v>2000</v>
      </c>
      <c r="G636" s="79" t="s">
        <v>7313</v>
      </c>
      <c r="H636" s="80">
        <v>4400000</v>
      </c>
    </row>
    <row r="637" spans="1:8" x14ac:dyDescent="0.2">
      <c r="A637" s="79" t="s">
        <v>7941</v>
      </c>
      <c r="B637" s="79" t="s">
        <v>7965</v>
      </c>
      <c r="C637" s="79" t="s">
        <v>7335</v>
      </c>
      <c r="D637" s="79" t="s">
        <v>7312</v>
      </c>
      <c r="E637" s="79">
        <v>2000</v>
      </c>
      <c r="G637" s="79" t="s">
        <v>7329</v>
      </c>
      <c r="H637" s="80">
        <v>3901000</v>
      </c>
    </row>
    <row r="638" spans="1:8" x14ac:dyDescent="0.2">
      <c r="A638" s="79" t="s">
        <v>7941</v>
      </c>
      <c r="B638" s="79" t="s">
        <v>7966</v>
      </c>
      <c r="C638" s="79" t="s">
        <v>7335</v>
      </c>
      <c r="D638" s="79" t="s">
        <v>7312</v>
      </c>
      <c r="E638" s="79">
        <v>2000</v>
      </c>
      <c r="G638" s="79" t="s">
        <v>7329</v>
      </c>
      <c r="H638" s="80">
        <v>4150000</v>
      </c>
    </row>
    <row r="639" spans="1:8" x14ac:dyDescent="0.2">
      <c r="A639" s="79" t="s">
        <v>7941</v>
      </c>
      <c r="B639" s="79" t="s">
        <v>7967</v>
      </c>
      <c r="C639" s="79" t="s">
        <v>7335</v>
      </c>
      <c r="D639" s="79" t="s">
        <v>7312</v>
      </c>
      <c r="E639" s="79">
        <v>2400</v>
      </c>
      <c r="G639" s="79" t="s">
        <v>7329</v>
      </c>
      <c r="H639" s="80">
        <v>4399000</v>
      </c>
    </row>
    <row r="640" spans="1:8" x14ac:dyDescent="0.2">
      <c r="A640" s="79" t="s">
        <v>7941</v>
      </c>
      <c r="B640" s="79" t="s">
        <v>7968</v>
      </c>
      <c r="C640" s="79" t="s">
        <v>7335</v>
      </c>
      <c r="D640" s="79" t="s">
        <v>7328</v>
      </c>
      <c r="E640" s="79">
        <v>2900</v>
      </c>
      <c r="G640" s="79" t="s">
        <v>7329</v>
      </c>
      <c r="H640" s="80">
        <v>5916486.4000000004</v>
      </c>
    </row>
    <row r="641" spans="1:8" x14ac:dyDescent="0.2">
      <c r="A641" s="79" t="s">
        <v>7941</v>
      </c>
      <c r="B641" s="79" t="s">
        <v>7969</v>
      </c>
      <c r="C641" s="79" t="s">
        <v>7335</v>
      </c>
      <c r="D641" s="79" t="s">
        <v>7312</v>
      </c>
      <c r="E641" s="79">
        <v>2000</v>
      </c>
      <c r="G641" s="79" t="s">
        <v>7329</v>
      </c>
      <c r="H641" s="80">
        <v>3597000</v>
      </c>
    </row>
    <row r="642" spans="1:8" x14ac:dyDescent="0.2">
      <c r="A642" s="79" t="s">
        <v>7970</v>
      </c>
      <c r="B642" s="79" t="s">
        <v>7971</v>
      </c>
      <c r="C642" s="79" t="s">
        <v>7335</v>
      </c>
      <c r="D642" s="79" t="s">
        <v>7328</v>
      </c>
      <c r="E642" s="79">
        <v>2993</v>
      </c>
      <c r="G642" s="79" t="s">
        <v>7313</v>
      </c>
      <c r="H642" s="80">
        <v>7451625.2000000002</v>
      </c>
    </row>
    <row r="643" spans="1:8" x14ac:dyDescent="0.2">
      <c r="A643" s="79" t="s">
        <v>7972</v>
      </c>
      <c r="B643" s="79" t="s">
        <v>7973</v>
      </c>
      <c r="C643" s="79" t="s">
        <v>7379</v>
      </c>
      <c r="D643" s="79" t="s">
        <v>7328</v>
      </c>
      <c r="E643" s="79">
        <v>8226</v>
      </c>
      <c r="G643" s="79" t="s">
        <v>7329</v>
      </c>
      <c r="H643" s="80">
        <v>6903000</v>
      </c>
    </row>
    <row r="644" spans="1:8" x14ac:dyDescent="0.2">
      <c r="A644" s="79" t="s">
        <v>7972</v>
      </c>
      <c r="B644" s="79" t="s">
        <v>7974</v>
      </c>
      <c r="C644" s="79" t="s">
        <v>7379</v>
      </c>
      <c r="D644" s="79" t="s">
        <v>7328</v>
      </c>
      <c r="E644" s="79">
        <v>8226</v>
      </c>
      <c r="G644" s="79" t="s">
        <v>7329</v>
      </c>
      <c r="H644" s="80">
        <v>7157000</v>
      </c>
    </row>
    <row r="645" spans="1:8" x14ac:dyDescent="0.2">
      <c r="A645" s="79" t="s">
        <v>7972</v>
      </c>
      <c r="B645" s="79" t="s">
        <v>7975</v>
      </c>
      <c r="C645" s="79" t="s">
        <v>7379</v>
      </c>
      <c r="D645" s="79" t="s">
        <v>7328</v>
      </c>
      <c r="E645" s="79">
        <v>8226</v>
      </c>
      <c r="G645" s="79" t="s">
        <v>7329</v>
      </c>
      <c r="H645" s="80">
        <v>7383000</v>
      </c>
    </row>
    <row r="646" spans="1:8" x14ac:dyDescent="0.2">
      <c r="A646" s="79" t="s">
        <v>7972</v>
      </c>
      <c r="B646" s="79" t="s">
        <v>7976</v>
      </c>
      <c r="C646" s="79" t="s">
        <v>7379</v>
      </c>
      <c r="D646" s="79" t="s">
        <v>7328</v>
      </c>
      <c r="E646" s="79">
        <v>8226</v>
      </c>
      <c r="G646" s="79" t="s">
        <v>7329</v>
      </c>
      <c r="H646" s="80">
        <v>6280000</v>
      </c>
    </row>
    <row r="647" spans="1:8" x14ac:dyDescent="0.2">
      <c r="A647" s="79" t="s">
        <v>7972</v>
      </c>
      <c r="B647" s="79" t="s">
        <v>7977</v>
      </c>
      <c r="C647" s="79" t="s">
        <v>7379</v>
      </c>
      <c r="D647" s="79" t="s">
        <v>7328</v>
      </c>
      <c r="E647" s="79">
        <v>9839</v>
      </c>
      <c r="G647" s="79" t="s">
        <v>7329</v>
      </c>
      <c r="H647" s="80">
        <v>12095000</v>
      </c>
    </row>
    <row r="648" spans="1:8" x14ac:dyDescent="0.2">
      <c r="A648" s="79" t="s">
        <v>7972</v>
      </c>
      <c r="B648" s="79" t="s">
        <v>7978</v>
      </c>
      <c r="C648" s="79" t="s">
        <v>7379</v>
      </c>
      <c r="D648" s="79" t="s">
        <v>7328</v>
      </c>
      <c r="E648" s="79">
        <v>9839</v>
      </c>
      <c r="G648" s="79" t="s">
        <v>7329</v>
      </c>
      <c r="H648" s="80">
        <v>11782000</v>
      </c>
    </row>
    <row r="649" spans="1:8" x14ac:dyDescent="0.2">
      <c r="A649" s="79" t="s">
        <v>7972</v>
      </c>
      <c r="B649" s="79" t="s">
        <v>7979</v>
      </c>
      <c r="C649" s="79" t="s">
        <v>7379</v>
      </c>
      <c r="D649" s="79" t="s">
        <v>7328</v>
      </c>
      <c r="E649" s="79">
        <v>9839</v>
      </c>
      <c r="G649" s="79" t="s">
        <v>7329</v>
      </c>
      <c r="H649" s="80">
        <v>11819000</v>
      </c>
    </row>
    <row r="650" spans="1:8" x14ac:dyDescent="0.2">
      <c r="A650" s="79" t="s">
        <v>7972</v>
      </c>
      <c r="B650" s="79" t="s">
        <v>7980</v>
      </c>
      <c r="C650" s="79" t="s">
        <v>7379</v>
      </c>
      <c r="D650" s="79" t="s">
        <v>7328</v>
      </c>
      <c r="E650" s="79">
        <v>9839</v>
      </c>
      <c r="G650" s="79" t="s">
        <v>7329</v>
      </c>
      <c r="H650" s="80">
        <v>11544000</v>
      </c>
    </row>
    <row r="651" spans="1:8" x14ac:dyDescent="0.2">
      <c r="A651" s="79" t="s">
        <v>7972</v>
      </c>
      <c r="B651" s="79" t="s">
        <v>7981</v>
      </c>
      <c r="C651" s="79" t="s">
        <v>7379</v>
      </c>
      <c r="D651" s="79" t="s">
        <v>7328</v>
      </c>
      <c r="E651" s="79">
        <v>4334</v>
      </c>
      <c r="G651" s="79" t="s">
        <v>7329</v>
      </c>
      <c r="H651" s="80">
        <v>3980000</v>
      </c>
    </row>
    <row r="652" spans="1:8" x14ac:dyDescent="0.2">
      <c r="A652" s="79" t="s">
        <v>7972</v>
      </c>
      <c r="B652" s="79" t="s">
        <v>7982</v>
      </c>
      <c r="C652" s="79" t="s">
        <v>7379</v>
      </c>
      <c r="D652" s="79" t="s">
        <v>7328</v>
      </c>
      <c r="E652" s="79">
        <v>4334</v>
      </c>
      <c r="G652" s="79" t="s">
        <v>7329</v>
      </c>
      <c r="H652" s="80">
        <v>4915000</v>
      </c>
    </row>
    <row r="653" spans="1:8" x14ac:dyDescent="0.2">
      <c r="A653" s="79" t="s">
        <v>7972</v>
      </c>
      <c r="B653" s="79" t="s">
        <v>7983</v>
      </c>
      <c r="C653" s="79" t="s">
        <v>7379</v>
      </c>
      <c r="D653" s="79" t="s">
        <v>7328</v>
      </c>
      <c r="E653" s="79">
        <v>4334</v>
      </c>
      <c r="G653" s="79" t="s">
        <v>7329</v>
      </c>
      <c r="H653" s="80">
        <v>5397000</v>
      </c>
    </row>
    <row r="654" spans="1:8" x14ac:dyDescent="0.2">
      <c r="A654" s="79" t="s">
        <v>7972</v>
      </c>
      <c r="B654" s="79" t="s">
        <v>7984</v>
      </c>
      <c r="C654" s="79" t="s">
        <v>7379</v>
      </c>
      <c r="D654" s="79" t="s">
        <v>7328</v>
      </c>
      <c r="E654" s="79">
        <v>4334</v>
      </c>
      <c r="G654" s="79" t="s">
        <v>7329</v>
      </c>
      <c r="H654" s="80">
        <v>6694000</v>
      </c>
    </row>
    <row r="655" spans="1:8" x14ac:dyDescent="0.2">
      <c r="A655" s="79" t="s">
        <v>7972</v>
      </c>
      <c r="B655" s="79" t="s">
        <v>7985</v>
      </c>
      <c r="C655" s="79" t="s">
        <v>7379</v>
      </c>
      <c r="D655" s="79" t="s">
        <v>7328</v>
      </c>
      <c r="E655" s="79">
        <v>4334</v>
      </c>
      <c r="G655" s="79" t="s">
        <v>7329</v>
      </c>
      <c r="H655" s="80">
        <v>5140000</v>
      </c>
    </row>
    <row r="656" spans="1:8" x14ac:dyDescent="0.2">
      <c r="A656" s="79" t="s">
        <v>7972</v>
      </c>
      <c r="B656" s="79" t="s">
        <v>7986</v>
      </c>
      <c r="C656" s="79" t="s">
        <v>7370</v>
      </c>
      <c r="D656" s="79" t="s">
        <v>7328</v>
      </c>
      <c r="E656" s="79">
        <v>8226</v>
      </c>
      <c r="G656" s="79" t="s">
        <v>7313</v>
      </c>
      <c r="H656" s="80">
        <v>11080000</v>
      </c>
    </row>
    <row r="657" spans="1:8" x14ac:dyDescent="0.2">
      <c r="A657" s="79" t="s">
        <v>7972</v>
      </c>
      <c r="B657" s="79" t="s">
        <v>7987</v>
      </c>
      <c r="C657" s="79" t="s">
        <v>7614</v>
      </c>
      <c r="D657" s="79" t="s">
        <v>7328</v>
      </c>
      <c r="E657" s="79">
        <v>3000</v>
      </c>
      <c r="F657" s="79" t="s">
        <v>7349</v>
      </c>
      <c r="G657" s="79" t="s">
        <v>7313</v>
      </c>
      <c r="H657" s="80">
        <v>6392060</v>
      </c>
    </row>
    <row r="658" spans="1:8" x14ac:dyDescent="0.2">
      <c r="A658" s="79" t="s">
        <v>7972</v>
      </c>
      <c r="B658" s="79" t="s">
        <v>7988</v>
      </c>
      <c r="C658" s="79" t="s">
        <v>7614</v>
      </c>
      <c r="D658" s="79" t="s">
        <v>7328</v>
      </c>
      <c r="E658" s="79">
        <v>2500</v>
      </c>
      <c r="G658" s="79" t="s">
        <v>7329</v>
      </c>
      <c r="H658" s="80">
        <v>4590000</v>
      </c>
    </row>
    <row r="659" spans="1:8" x14ac:dyDescent="0.2">
      <c r="A659" s="79" t="s">
        <v>7972</v>
      </c>
      <c r="B659" s="79" t="s">
        <v>7989</v>
      </c>
      <c r="C659" s="79" t="s">
        <v>7614</v>
      </c>
      <c r="D659" s="79" t="s">
        <v>7328</v>
      </c>
      <c r="E659" s="79">
        <v>2500</v>
      </c>
      <c r="G659" s="79" t="s">
        <v>7329</v>
      </c>
      <c r="H659" s="80">
        <v>4700000</v>
      </c>
    </row>
    <row r="660" spans="1:8" x14ac:dyDescent="0.2">
      <c r="A660" s="79" t="s">
        <v>7972</v>
      </c>
      <c r="B660" s="79" t="s">
        <v>7990</v>
      </c>
      <c r="C660" s="79" t="s">
        <v>7614</v>
      </c>
      <c r="D660" s="79" t="s">
        <v>7328</v>
      </c>
      <c r="E660" s="79">
        <v>3000</v>
      </c>
      <c r="F660" s="79" t="s">
        <v>7336</v>
      </c>
      <c r="G660" s="79" t="s">
        <v>7313</v>
      </c>
      <c r="H660" s="80">
        <v>6067040</v>
      </c>
    </row>
    <row r="661" spans="1:8" x14ac:dyDescent="0.2">
      <c r="A661" s="79" t="s">
        <v>7972</v>
      </c>
      <c r="B661" s="79" t="s">
        <v>7991</v>
      </c>
      <c r="C661" s="79" t="s">
        <v>7614</v>
      </c>
      <c r="D661" s="79" t="s">
        <v>7328</v>
      </c>
      <c r="E661" s="79">
        <v>2500</v>
      </c>
      <c r="G661" s="79" t="s">
        <v>7313</v>
      </c>
      <c r="H661" s="80">
        <v>5200000</v>
      </c>
    </row>
    <row r="662" spans="1:8" x14ac:dyDescent="0.2">
      <c r="A662" s="79" t="s">
        <v>7972</v>
      </c>
      <c r="B662" s="79" t="s">
        <v>7992</v>
      </c>
      <c r="C662" s="79" t="s">
        <v>7614</v>
      </c>
      <c r="D662" s="79" t="s">
        <v>7328</v>
      </c>
      <c r="E662" s="79">
        <v>2999</v>
      </c>
      <c r="G662" s="79" t="s">
        <v>7329</v>
      </c>
      <c r="H662" s="80">
        <v>3779332.56</v>
      </c>
    </row>
    <row r="663" spans="1:8" x14ac:dyDescent="0.2">
      <c r="A663" s="79" t="s">
        <v>7972</v>
      </c>
      <c r="B663" s="79" t="s">
        <v>7993</v>
      </c>
      <c r="C663" s="79" t="s">
        <v>7614</v>
      </c>
      <c r="D663" s="79" t="s">
        <v>7328</v>
      </c>
      <c r="E663" s="79">
        <v>2500</v>
      </c>
      <c r="G663" s="79" t="s">
        <v>7313</v>
      </c>
      <c r="H663" s="80">
        <v>4264294</v>
      </c>
    </row>
    <row r="664" spans="1:8" x14ac:dyDescent="0.2">
      <c r="A664" s="79" t="s">
        <v>7972</v>
      </c>
      <c r="B664" s="79" t="s">
        <v>7994</v>
      </c>
      <c r="C664" s="79" t="s">
        <v>7614</v>
      </c>
      <c r="D664" s="79" t="s">
        <v>7328</v>
      </c>
      <c r="E664" s="79">
        <v>2500</v>
      </c>
      <c r="G664" s="79" t="s">
        <v>7313</v>
      </c>
      <c r="H664" s="80">
        <v>3450000</v>
      </c>
    </row>
    <row r="665" spans="1:8" x14ac:dyDescent="0.2">
      <c r="A665" s="79" t="s">
        <v>7972</v>
      </c>
      <c r="B665" s="79" t="s">
        <v>7995</v>
      </c>
      <c r="C665" s="79" t="s">
        <v>7614</v>
      </c>
      <c r="D665" s="79" t="s">
        <v>7328</v>
      </c>
      <c r="E665" s="79">
        <v>2500</v>
      </c>
      <c r="G665" s="79" t="s">
        <v>7313</v>
      </c>
      <c r="H665" s="80">
        <v>3580000</v>
      </c>
    </row>
    <row r="666" spans="1:8" x14ac:dyDescent="0.2">
      <c r="A666" s="79" t="s">
        <v>7972</v>
      </c>
      <c r="B666" s="79" t="s">
        <v>7996</v>
      </c>
      <c r="C666" s="79" t="s">
        <v>7614</v>
      </c>
      <c r="D666" s="79" t="s">
        <v>7328</v>
      </c>
      <c r="E666" s="79">
        <v>2999</v>
      </c>
      <c r="G666" s="79" t="s">
        <v>7313</v>
      </c>
      <c r="H666" s="80">
        <v>2979350</v>
      </c>
    </row>
    <row r="667" spans="1:8" x14ac:dyDescent="0.2">
      <c r="A667" s="79" t="s">
        <v>7972</v>
      </c>
      <c r="B667" s="79" t="s">
        <v>7997</v>
      </c>
      <c r="C667" s="79" t="s">
        <v>7614</v>
      </c>
      <c r="D667" s="79" t="s">
        <v>7328</v>
      </c>
      <c r="E667" s="79">
        <v>3000</v>
      </c>
      <c r="G667" s="79" t="s">
        <v>7313</v>
      </c>
      <c r="H667" s="80">
        <v>4983640</v>
      </c>
    </row>
    <row r="668" spans="1:8" x14ac:dyDescent="0.2">
      <c r="A668" s="79" t="s">
        <v>7972</v>
      </c>
      <c r="B668" s="79" t="s">
        <v>7998</v>
      </c>
      <c r="C668" s="79" t="s">
        <v>7438</v>
      </c>
      <c r="D668" s="79" t="s">
        <v>7328</v>
      </c>
      <c r="E668" s="79">
        <v>14256</v>
      </c>
      <c r="G668" s="79" t="s">
        <v>7376</v>
      </c>
      <c r="H668" s="80">
        <v>12234000</v>
      </c>
    </row>
    <row r="669" spans="1:8" x14ac:dyDescent="0.2">
      <c r="A669" s="79" t="s">
        <v>7972</v>
      </c>
      <c r="B669" s="79" t="s">
        <v>7999</v>
      </c>
      <c r="C669" s="79" t="s">
        <v>7438</v>
      </c>
      <c r="D669" s="79" t="s">
        <v>7328</v>
      </c>
      <c r="E669" s="79">
        <v>15600</v>
      </c>
      <c r="G669" s="79" t="s">
        <v>7313</v>
      </c>
      <c r="H669" s="80">
        <v>12234000</v>
      </c>
    </row>
    <row r="670" spans="1:8" x14ac:dyDescent="0.2">
      <c r="A670" s="79" t="s">
        <v>7972</v>
      </c>
      <c r="B670" s="79" t="s">
        <v>8000</v>
      </c>
      <c r="C670" s="79" t="s">
        <v>7728</v>
      </c>
      <c r="D670" s="79" t="s">
        <v>7312</v>
      </c>
      <c r="E670" s="79">
        <v>2198</v>
      </c>
      <c r="G670" s="79" t="s">
        <v>7329</v>
      </c>
      <c r="H670" s="80">
        <v>1395000</v>
      </c>
    </row>
    <row r="671" spans="1:8" x14ac:dyDescent="0.2">
      <c r="A671" s="79" t="s">
        <v>7972</v>
      </c>
      <c r="B671" s="79" t="s">
        <v>7971</v>
      </c>
      <c r="C671" s="79" t="s">
        <v>7311</v>
      </c>
      <c r="D671" s="79" t="s">
        <v>7312</v>
      </c>
      <c r="E671" s="79">
        <v>1800</v>
      </c>
      <c r="G671" s="79" t="s">
        <v>7329</v>
      </c>
      <c r="H671" s="80">
        <v>3730000</v>
      </c>
    </row>
    <row r="672" spans="1:8" x14ac:dyDescent="0.2">
      <c r="A672" s="79" t="s">
        <v>7972</v>
      </c>
      <c r="B672" s="79" t="s">
        <v>8001</v>
      </c>
      <c r="C672" s="79" t="s">
        <v>7619</v>
      </c>
      <c r="D672" s="79" t="s">
        <v>7328</v>
      </c>
      <c r="E672" s="79">
        <v>2500</v>
      </c>
      <c r="G672" s="79" t="s">
        <v>7329</v>
      </c>
      <c r="H672" s="80">
        <v>3350000</v>
      </c>
    </row>
    <row r="673" spans="1:8" x14ac:dyDescent="0.2">
      <c r="A673" s="79" t="s">
        <v>7972</v>
      </c>
      <c r="B673" s="79" t="s">
        <v>8002</v>
      </c>
      <c r="C673" s="79" t="s">
        <v>7619</v>
      </c>
      <c r="D673" s="79" t="s">
        <v>7328</v>
      </c>
      <c r="E673" s="79">
        <v>3000</v>
      </c>
      <c r="G673" s="79" t="s">
        <v>7313</v>
      </c>
      <c r="H673" s="80">
        <v>4560000</v>
      </c>
    </row>
    <row r="674" spans="1:8" x14ac:dyDescent="0.2">
      <c r="A674" s="79" t="s">
        <v>7972</v>
      </c>
      <c r="B674" s="79" t="s">
        <v>8003</v>
      </c>
      <c r="C674" s="79" t="s">
        <v>7619</v>
      </c>
      <c r="D674" s="79" t="s">
        <v>7328</v>
      </c>
      <c r="E674" s="79">
        <v>2500</v>
      </c>
      <c r="G674" s="79" t="s">
        <v>7313</v>
      </c>
      <c r="H674" s="80">
        <v>4360000</v>
      </c>
    </row>
    <row r="675" spans="1:8" x14ac:dyDescent="0.2">
      <c r="A675" s="79" t="s">
        <v>7972</v>
      </c>
      <c r="B675" s="79" t="s">
        <v>8004</v>
      </c>
      <c r="C675" s="79" t="s">
        <v>7619</v>
      </c>
      <c r="D675" s="79" t="s">
        <v>7328</v>
      </c>
      <c r="E675" s="79">
        <v>2500</v>
      </c>
      <c r="G675" s="79" t="s">
        <v>7329</v>
      </c>
      <c r="H675" s="80">
        <v>2460000</v>
      </c>
    </row>
    <row r="676" spans="1:8" x14ac:dyDescent="0.2">
      <c r="A676" s="79" t="s">
        <v>7972</v>
      </c>
      <c r="B676" s="79" t="s">
        <v>8005</v>
      </c>
      <c r="C676" s="79" t="s">
        <v>7619</v>
      </c>
      <c r="D676" s="79" t="s">
        <v>7312</v>
      </c>
      <c r="E676" s="79">
        <v>2400</v>
      </c>
      <c r="G676" s="79" t="s">
        <v>7329</v>
      </c>
      <c r="H676" s="80">
        <v>2307000</v>
      </c>
    </row>
    <row r="677" spans="1:8" x14ac:dyDescent="0.2">
      <c r="A677" s="79" t="s">
        <v>7972</v>
      </c>
      <c r="B677" s="79" t="s">
        <v>8006</v>
      </c>
      <c r="C677" s="79" t="s">
        <v>7619</v>
      </c>
      <c r="D677" s="79" t="s">
        <v>7328</v>
      </c>
      <c r="E677" s="79">
        <v>2400</v>
      </c>
      <c r="G677" s="79" t="s">
        <v>7329</v>
      </c>
      <c r="H677" s="80">
        <v>2460000</v>
      </c>
    </row>
    <row r="678" spans="1:8" x14ac:dyDescent="0.2">
      <c r="A678" s="79" t="s">
        <v>7972</v>
      </c>
      <c r="B678" s="79" t="s">
        <v>8007</v>
      </c>
      <c r="C678" s="79" t="s">
        <v>7619</v>
      </c>
      <c r="D678" s="79" t="s">
        <v>7328</v>
      </c>
      <c r="E678" s="79">
        <v>2999</v>
      </c>
      <c r="G678" s="79" t="s">
        <v>7329</v>
      </c>
      <c r="H678" s="80">
        <v>1950000</v>
      </c>
    </row>
    <row r="679" spans="1:8" x14ac:dyDescent="0.2">
      <c r="A679" s="79" t="s">
        <v>7972</v>
      </c>
      <c r="B679" s="79" t="s">
        <v>8008</v>
      </c>
      <c r="C679" s="79" t="s">
        <v>7335</v>
      </c>
      <c r="D679" s="79" t="s">
        <v>7328</v>
      </c>
      <c r="E679" s="79">
        <v>2800</v>
      </c>
      <c r="G679" s="79" t="s">
        <v>7313</v>
      </c>
      <c r="H679" s="80">
        <v>9000000</v>
      </c>
    </row>
    <row r="680" spans="1:8" x14ac:dyDescent="0.2">
      <c r="A680" s="79" t="s">
        <v>7972</v>
      </c>
      <c r="B680" s="79" t="s">
        <v>8009</v>
      </c>
      <c r="C680" s="79" t="s">
        <v>7335</v>
      </c>
      <c r="D680" s="79" t="s">
        <v>7328</v>
      </c>
      <c r="E680" s="79">
        <v>2990</v>
      </c>
      <c r="G680" s="79" t="s">
        <v>7313</v>
      </c>
      <c r="H680" s="80">
        <v>5471170</v>
      </c>
    </row>
    <row r="681" spans="1:8" x14ac:dyDescent="0.2">
      <c r="A681" s="79" t="s">
        <v>7972</v>
      </c>
      <c r="B681" s="79" t="s">
        <v>8010</v>
      </c>
      <c r="C681" s="79" t="s">
        <v>7335</v>
      </c>
      <c r="D681" s="79" t="s">
        <v>7312</v>
      </c>
      <c r="E681" s="79">
        <v>3165</v>
      </c>
      <c r="G681" s="79" t="s">
        <v>7313</v>
      </c>
      <c r="H681" s="80">
        <v>4697351.55</v>
      </c>
    </row>
    <row r="682" spans="1:8" x14ac:dyDescent="0.2">
      <c r="A682" s="79" t="s">
        <v>7972</v>
      </c>
      <c r="B682" s="79" t="s">
        <v>8011</v>
      </c>
      <c r="C682" s="79" t="s">
        <v>7370</v>
      </c>
      <c r="D682" s="79" t="s">
        <v>7328</v>
      </c>
      <c r="E682" s="79">
        <v>12000</v>
      </c>
      <c r="G682" s="79" t="s">
        <v>7329</v>
      </c>
      <c r="H682" s="80">
        <v>9450000</v>
      </c>
    </row>
    <row r="683" spans="1:8" x14ac:dyDescent="0.2">
      <c r="A683" s="79" t="s">
        <v>7972</v>
      </c>
      <c r="B683" s="79" t="s">
        <v>8012</v>
      </c>
      <c r="C683" s="79" t="s">
        <v>7370</v>
      </c>
      <c r="D683" s="79" t="s">
        <v>7328</v>
      </c>
      <c r="E683" s="79">
        <v>3000</v>
      </c>
      <c r="G683" s="79" t="s">
        <v>7329</v>
      </c>
      <c r="H683" s="80">
        <v>4586000</v>
      </c>
    </row>
    <row r="684" spans="1:8" x14ac:dyDescent="0.2">
      <c r="A684" s="79" t="s">
        <v>7972</v>
      </c>
      <c r="B684" s="79" t="s">
        <v>8013</v>
      </c>
      <c r="C684" s="79" t="s">
        <v>7370</v>
      </c>
      <c r="D684" s="79" t="s">
        <v>7328</v>
      </c>
      <c r="E684" s="79">
        <v>8226</v>
      </c>
      <c r="G684" s="79" t="s">
        <v>7329</v>
      </c>
      <c r="H684" s="80">
        <v>5150000</v>
      </c>
    </row>
    <row r="685" spans="1:8" x14ac:dyDescent="0.2">
      <c r="A685" s="79" t="s">
        <v>7972</v>
      </c>
      <c r="B685" s="79" t="s">
        <v>8014</v>
      </c>
      <c r="C685" s="79" t="s">
        <v>7370</v>
      </c>
      <c r="D685" s="79" t="s">
        <v>7328</v>
      </c>
      <c r="E685" s="79">
        <v>8226</v>
      </c>
      <c r="G685" s="79" t="s">
        <v>7329</v>
      </c>
      <c r="H685" s="80">
        <v>6820000</v>
      </c>
    </row>
    <row r="686" spans="1:8" x14ac:dyDescent="0.2">
      <c r="A686" s="79" t="s">
        <v>7972</v>
      </c>
      <c r="B686" s="79" t="s">
        <v>8015</v>
      </c>
      <c r="C686" s="79" t="s">
        <v>7370</v>
      </c>
      <c r="D686" s="79" t="s">
        <v>7328</v>
      </c>
      <c r="E686" s="79">
        <v>8226</v>
      </c>
      <c r="G686" s="79" t="s">
        <v>7313</v>
      </c>
      <c r="H686" s="80">
        <v>11700000</v>
      </c>
    </row>
    <row r="687" spans="1:8" x14ac:dyDescent="0.2">
      <c r="A687" s="79" t="s">
        <v>7972</v>
      </c>
      <c r="B687" s="79" t="s">
        <v>8016</v>
      </c>
      <c r="C687" s="79" t="s">
        <v>7370</v>
      </c>
      <c r="D687" s="79" t="s">
        <v>7328</v>
      </c>
      <c r="E687" s="79">
        <v>9839</v>
      </c>
      <c r="G687" s="79" t="s">
        <v>8017</v>
      </c>
      <c r="H687" s="80">
        <v>8130000</v>
      </c>
    </row>
    <row r="688" spans="1:8" x14ac:dyDescent="0.2">
      <c r="A688" s="79" t="s">
        <v>7972</v>
      </c>
      <c r="B688" s="79" t="s">
        <v>8018</v>
      </c>
      <c r="C688" s="79" t="s">
        <v>7370</v>
      </c>
      <c r="D688" s="79" t="s">
        <v>7328</v>
      </c>
      <c r="E688" s="79">
        <v>9839</v>
      </c>
      <c r="G688" s="79" t="s">
        <v>8017</v>
      </c>
      <c r="H688" s="80">
        <v>9630000</v>
      </c>
    </row>
    <row r="689" spans="1:8" x14ac:dyDescent="0.2">
      <c r="A689" s="79" t="s">
        <v>7972</v>
      </c>
      <c r="B689" s="79" t="s">
        <v>8019</v>
      </c>
      <c r="C689" s="79" t="s">
        <v>7370</v>
      </c>
      <c r="D689" s="79" t="s">
        <v>7328</v>
      </c>
      <c r="E689" s="79">
        <v>9839</v>
      </c>
      <c r="G689" s="79" t="s">
        <v>8017</v>
      </c>
      <c r="H689" s="80">
        <v>10480000</v>
      </c>
    </row>
    <row r="690" spans="1:8" x14ac:dyDescent="0.2">
      <c r="A690" s="79" t="s">
        <v>7972</v>
      </c>
      <c r="B690" s="79" t="s">
        <v>8020</v>
      </c>
      <c r="C690" s="79" t="s">
        <v>7370</v>
      </c>
      <c r="D690" s="79" t="s">
        <v>7328</v>
      </c>
      <c r="E690" s="79">
        <v>9830</v>
      </c>
      <c r="G690" s="79" t="s">
        <v>8017</v>
      </c>
      <c r="H690" s="80">
        <v>9665000</v>
      </c>
    </row>
    <row r="691" spans="1:8" x14ac:dyDescent="0.2">
      <c r="A691" s="79" t="s">
        <v>7972</v>
      </c>
      <c r="B691" s="79" t="s">
        <v>8021</v>
      </c>
      <c r="C691" s="79" t="s">
        <v>7370</v>
      </c>
      <c r="D691" s="79" t="s">
        <v>7328</v>
      </c>
      <c r="E691" s="79">
        <v>2771</v>
      </c>
      <c r="G691" s="79" t="s">
        <v>7329</v>
      </c>
      <c r="H691" s="80">
        <v>2897000</v>
      </c>
    </row>
    <row r="692" spans="1:8" x14ac:dyDescent="0.2">
      <c r="A692" s="79" t="s">
        <v>7972</v>
      </c>
      <c r="B692" s="79" t="s">
        <v>8022</v>
      </c>
      <c r="C692" s="79" t="s">
        <v>7370</v>
      </c>
      <c r="D692" s="79" t="s">
        <v>7328</v>
      </c>
      <c r="E692" s="79">
        <v>4334</v>
      </c>
      <c r="G692" s="79" t="s">
        <v>7329</v>
      </c>
      <c r="H692" s="80">
        <v>3380000</v>
      </c>
    </row>
    <row r="693" spans="1:8" x14ac:dyDescent="0.2">
      <c r="A693" s="79" t="s">
        <v>7972</v>
      </c>
      <c r="B693" s="79" t="s">
        <v>7982</v>
      </c>
      <c r="C693" s="79" t="s">
        <v>7370</v>
      </c>
      <c r="D693" s="79" t="s">
        <v>7328</v>
      </c>
      <c r="E693" s="79">
        <v>4334</v>
      </c>
      <c r="G693" s="79" t="s">
        <v>7329</v>
      </c>
      <c r="H693" s="80">
        <v>3906000</v>
      </c>
    </row>
    <row r="694" spans="1:8" x14ac:dyDescent="0.2">
      <c r="A694" s="79" t="s">
        <v>7972</v>
      </c>
      <c r="B694" s="79" t="s">
        <v>8023</v>
      </c>
      <c r="C694" s="79" t="s">
        <v>7370</v>
      </c>
      <c r="D694" s="79" t="s">
        <v>7328</v>
      </c>
      <c r="E694" s="79">
        <v>4334</v>
      </c>
      <c r="G694" s="79" t="s">
        <v>7329</v>
      </c>
      <c r="H694" s="80">
        <v>4071000</v>
      </c>
    </row>
    <row r="695" spans="1:8" x14ac:dyDescent="0.2">
      <c r="A695" s="79" t="s">
        <v>7972</v>
      </c>
      <c r="B695" s="79" t="s">
        <v>8024</v>
      </c>
      <c r="C695" s="79" t="s">
        <v>7370</v>
      </c>
      <c r="D695" s="79" t="s">
        <v>7328</v>
      </c>
      <c r="E695" s="79">
        <v>4571</v>
      </c>
      <c r="G695" s="79" t="s">
        <v>7329</v>
      </c>
      <c r="H695" s="80">
        <v>4293618</v>
      </c>
    </row>
    <row r="696" spans="1:8" x14ac:dyDescent="0.2">
      <c r="A696" s="79" t="s">
        <v>7972</v>
      </c>
      <c r="B696" s="79" t="s">
        <v>8025</v>
      </c>
      <c r="C696" s="79" t="s">
        <v>7327</v>
      </c>
      <c r="D696" s="79" t="s">
        <v>7328</v>
      </c>
      <c r="E696" s="79">
        <v>2950</v>
      </c>
      <c r="G696" s="79" t="s">
        <v>7329</v>
      </c>
      <c r="H696" s="80">
        <v>2408080</v>
      </c>
    </row>
    <row r="697" spans="1:8" x14ac:dyDescent="0.2">
      <c r="A697" s="79" t="s">
        <v>8026</v>
      </c>
      <c r="B697" s="79" t="s">
        <v>8027</v>
      </c>
      <c r="C697" s="79" t="s">
        <v>7438</v>
      </c>
      <c r="D697" s="79" t="s">
        <v>7328</v>
      </c>
      <c r="E697" s="79">
        <v>12880</v>
      </c>
      <c r="G697" s="79" t="s">
        <v>7376</v>
      </c>
      <c r="H697" s="80">
        <v>11100000</v>
      </c>
    </row>
    <row r="698" spans="1:8" x14ac:dyDescent="0.2">
      <c r="A698" s="79" t="s">
        <v>8026</v>
      </c>
      <c r="B698" s="79" t="s">
        <v>8028</v>
      </c>
      <c r="C698" s="79" t="s">
        <v>7370</v>
      </c>
      <c r="D698" s="79" t="s">
        <v>7328</v>
      </c>
      <c r="E698" s="79">
        <v>5880</v>
      </c>
      <c r="G698" s="79" t="s">
        <v>7313</v>
      </c>
      <c r="H698" s="80">
        <v>7595420</v>
      </c>
    </row>
    <row r="699" spans="1:8" x14ac:dyDescent="0.2">
      <c r="A699" s="79" t="s">
        <v>8026</v>
      </c>
      <c r="B699" s="79" t="s">
        <v>8029</v>
      </c>
      <c r="C699" s="79" t="s">
        <v>7370</v>
      </c>
      <c r="D699" s="79" t="s">
        <v>7328</v>
      </c>
      <c r="E699" s="79">
        <v>5861</v>
      </c>
      <c r="G699" s="79" t="s">
        <v>7329</v>
      </c>
      <c r="H699" s="80">
        <v>4558104</v>
      </c>
    </row>
    <row r="700" spans="1:8" x14ac:dyDescent="0.2">
      <c r="A700" s="79" t="s">
        <v>8026</v>
      </c>
      <c r="B700" s="79" t="s">
        <v>8030</v>
      </c>
      <c r="C700" s="79" t="s">
        <v>7370</v>
      </c>
      <c r="D700" s="79" t="s">
        <v>7328</v>
      </c>
      <c r="E700" s="79">
        <v>5880</v>
      </c>
      <c r="H700" s="80">
        <v>7595420</v>
      </c>
    </row>
    <row r="701" spans="1:8" x14ac:dyDescent="0.2">
      <c r="A701" s="79" t="s">
        <v>8026</v>
      </c>
      <c r="B701" s="79" t="s">
        <v>8031</v>
      </c>
      <c r="C701" s="79" t="s">
        <v>7370</v>
      </c>
      <c r="D701" s="79" t="s">
        <v>7328</v>
      </c>
      <c r="E701" s="79">
        <v>5861</v>
      </c>
      <c r="H701" s="80">
        <v>4966621</v>
      </c>
    </row>
    <row r="702" spans="1:8" x14ac:dyDescent="0.2">
      <c r="A702" s="79" t="s">
        <v>8026</v>
      </c>
      <c r="B702" s="79" t="s">
        <v>8032</v>
      </c>
      <c r="C702" s="79" t="s">
        <v>7370</v>
      </c>
      <c r="D702" s="79" t="s">
        <v>7328</v>
      </c>
      <c r="E702" s="79">
        <v>13798</v>
      </c>
      <c r="G702" s="79" t="s">
        <v>7376</v>
      </c>
      <c r="H702" s="80">
        <v>12500000</v>
      </c>
    </row>
    <row r="703" spans="1:8" x14ac:dyDescent="0.2">
      <c r="A703" s="79" t="s">
        <v>8026</v>
      </c>
      <c r="B703" s="79" t="s">
        <v>8033</v>
      </c>
      <c r="C703" s="79" t="s">
        <v>7370</v>
      </c>
      <c r="D703" s="79" t="s">
        <v>7328</v>
      </c>
      <c r="E703" s="79">
        <v>13798</v>
      </c>
      <c r="G703" s="79" t="s">
        <v>7376</v>
      </c>
      <c r="H703" s="80">
        <v>10692600</v>
      </c>
    </row>
    <row r="704" spans="1:8" x14ac:dyDescent="0.2">
      <c r="A704" s="79" t="s">
        <v>8026</v>
      </c>
      <c r="B704" s="79" t="s">
        <v>8034</v>
      </c>
      <c r="C704" s="79" t="s">
        <v>7370</v>
      </c>
      <c r="D704" s="79" t="s">
        <v>7328</v>
      </c>
      <c r="E704" s="79">
        <v>13793</v>
      </c>
      <c r="G704" s="79" t="s">
        <v>7329</v>
      </c>
      <c r="H704" s="80">
        <v>10169260</v>
      </c>
    </row>
    <row r="705" spans="1:8" x14ac:dyDescent="0.2">
      <c r="A705" s="79" t="s">
        <v>8026</v>
      </c>
      <c r="B705" s="79" t="s">
        <v>8035</v>
      </c>
      <c r="C705" s="79" t="s">
        <v>7438</v>
      </c>
      <c r="D705" s="79" t="s">
        <v>7328</v>
      </c>
      <c r="E705" s="79">
        <v>10308</v>
      </c>
      <c r="H705" s="80">
        <v>8000000</v>
      </c>
    </row>
    <row r="706" spans="1:8" x14ac:dyDescent="0.2">
      <c r="A706" s="79" t="s">
        <v>8026</v>
      </c>
      <c r="B706" s="79" t="s">
        <v>7330</v>
      </c>
      <c r="C706" s="79" t="s">
        <v>7311</v>
      </c>
      <c r="D706" s="79" t="s">
        <v>7312</v>
      </c>
      <c r="E706" s="79">
        <v>1400</v>
      </c>
      <c r="H706" s="80">
        <v>1395000</v>
      </c>
    </row>
    <row r="707" spans="1:8" x14ac:dyDescent="0.2">
      <c r="A707" s="79" t="s">
        <v>8026</v>
      </c>
      <c r="B707" s="79" t="s">
        <v>7332</v>
      </c>
      <c r="C707" s="79" t="s">
        <v>7311</v>
      </c>
      <c r="D707" s="79" t="s">
        <v>7312</v>
      </c>
      <c r="E707" s="79">
        <v>1800</v>
      </c>
      <c r="H707" s="80">
        <v>1395000</v>
      </c>
    </row>
    <row r="708" spans="1:8" x14ac:dyDescent="0.2">
      <c r="A708" s="79" t="s">
        <v>8026</v>
      </c>
      <c r="B708" s="79" t="s">
        <v>7331</v>
      </c>
      <c r="C708" s="79" t="s">
        <v>7311</v>
      </c>
      <c r="D708" s="79" t="s">
        <v>7312</v>
      </c>
      <c r="E708" s="79">
        <v>1600</v>
      </c>
      <c r="H708" s="80">
        <v>1995000</v>
      </c>
    </row>
    <row r="709" spans="1:8" x14ac:dyDescent="0.2">
      <c r="A709" s="79" t="s">
        <v>8036</v>
      </c>
      <c r="B709" s="79" t="s">
        <v>8037</v>
      </c>
      <c r="C709" s="79" t="s">
        <v>7370</v>
      </c>
      <c r="D709" s="79" t="s">
        <v>7328</v>
      </c>
      <c r="E709" s="79">
        <v>2771</v>
      </c>
      <c r="G709" s="79" t="s">
        <v>7329</v>
      </c>
      <c r="H709" s="80">
        <v>1720000</v>
      </c>
    </row>
    <row r="710" spans="1:8" x14ac:dyDescent="0.2">
      <c r="A710" s="79" t="s">
        <v>8036</v>
      </c>
      <c r="B710" s="79" t="s">
        <v>8038</v>
      </c>
      <c r="C710" s="79" t="s">
        <v>7370</v>
      </c>
      <c r="D710" s="79" t="s">
        <v>7328</v>
      </c>
      <c r="E710" s="79">
        <v>4324</v>
      </c>
      <c r="G710" s="79" t="s">
        <v>7329</v>
      </c>
      <c r="H710" s="80">
        <v>2095000</v>
      </c>
    </row>
    <row r="711" spans="1:8" x14ac:dyDescent="0.2">
      <c r="A711" s="79" t="s">
        <v>8036</v>
      </c>
      <c r="B711" s="79" t="s">
        <v>8039</v>
      </c>
      <c r="C711" s="79" t="s">
        <v>7370</v>
      </c>
      <c r="D711" s="79" t="s">
        <v>7328</v>
      </c>
      <c r="E711" s="79">
        <v>3856</v>
      </c>
      <c r="G711" s="79" t="s">
        <v>7329</v>
      </c>
      <c r="H711" s="80">
        <v>2425000</v>
      </c>
    </row>
    <row r="712" spans="1:8" x14ac:dyDescent="0.2">
      <c r="A712" s="79" t="s">
        <v>8036</v>
      </c>
      <c r="B712" s="79" t="s">
        <v>8040</v>
      </c>
      <c r="C712" s="79" t="s">
        <v>7438</v>
      </c>
      <c r="D712" s="79" t="s">
        <v>7328</v>
      </c>
      <c r="E712" s="79">
        <v>9726</v>
      </c>
      <c r="G712" s="79" t="s">
        <v>7376</v>
      </c>
      <c r="H712" s="80">
        <v>6457776</v>
      </c>
    </row>
    <row r="713" spans="1:8" x14ac:dyDescent="0.2">
      <c r="A713" s="79" t="s">
        <v>8036</v>
      </c>
      <c r="B713" s="79" t="s">
        <v>8041</v>
      </c>
      <c r="C713" s="79" t="s">
        <v>7370</v>
      </c>
      <c r="D713" s="79" t="s">
        <v>7328</v>
      </c>
      <c r="E713" s="79">
        <v>9726</v>
      </c>
      <c r="G713" s="79" t="s">
        <v>7376</v>
      </c>
      <c r="H713" s="80">
        <v>9257537</v>
      </c>
    </row>
    <row r="714" spans="1:8" x14ac:dyDescent="0.2">
      <c r="A714" s="79" t="s">
        <v>8036</v>
      </c>
      <c r="B714" s="79" t="s">
        <v>8042</v>
      </c>
      <c r="C714" s="79" t="s">
        <v>7370</v>
      </c>
      <c r="D714" s="79" t="s">
        <v>7328</v>
      </c>
      <c r="E714" s="79">
        <v>9726</v>
      </c>
      <c r="G714" s="79" t="s">
        <v>7376</v>
      </c>
      <c r="H714" s="80">
        <v>9937000</v>
      </c>
    </row>
    <row r="715" spans="1:8" x14ac:dyDescent="0.2">
      <c r="A715" s="79" t="s">
        <v>7637</v>
      </c>
      <c r="B715" s="79" t="s">
        <v>8043</v>
      </c>
      <c r="C715" s="79" t="s">
        <v>7311</v>
      </c>
      <c r="D715" s="79" t="s">
        <v>7312</v>
      </c>
      <c r="E715" s="79">
        <v>3000</v>
      </c>
      <c r="G715" s="79" t="s">
        <v>7329</v>
      </c>
      <c r="H715" s="80">
        <v>5302865.78</v>
      </c>
    </row>
    <row r="716" spans="1:8" x14ac:dyDescent="0.2">
      <c r="A716" s="79" t="s">
        <v>7637</v>
      </c>
      <c r="B716" s="79" t="s">
        <v>8044</v>
      </c>
      <c r="C716" s="79" t="s">
        <v>7311</v>
      </c>
      <c r="D716" s="79" t="s">
        <v>7312</v>
      </c>
      <c r="E716" s="79">
        <v>2495</v>
      </c>
      <c r="G716" s="79" t="s">
        <v>7329</v>
      </c>
      <c r="H716" s="80">
        <v>4789495.0599999996</v>
      </c>
    </row>
    <row r="717" spans="1:8" x14ac:dyDescent="0.2">
      <c r="A717" s="79" t="s">
        <v>7637</v>
      </c>
      <c r="B717" s="79" t="s">
        <v>8044</v>
      </c>
      <c r="C717" s="79" t="s">
        <v>7311</v>
      </c>
      <c r="D717" s="79" t="s">
        <v>7328</v>
      </c>
      <c r="E717" s="79">
        <v>2000</v>
      </c>
      <c r="G717" s="79" t="s">
        <v>7329</v>
      </c>
      <c r="H717" s="80">
        <v>4084228.76</v>
      </c>
    </row>
    <row r="718" spans="1:8" x14ac:dyDescent="0.2">
      <c r="A718" s="79" t="s">
        <v>7637</v>
      </c>
      <c r="B718" s="79" t="s">
        <v>8044</v>
      </c>
      <c r="C718" s="79" t="s">
        <v>7311</v>
      </c>
      <c r="D718" s="79" t="s">
        <v>7328</v>
      </c>
      <c r="E718" s="79">
        <v>2200</v>
      </c>
      <c r="G718" s="79" t="s">
        <v>7329</v>
      </c>
      <c r="H718" s="80">
        <v>4489763.2</v>
      </c>
    </row>
    <row r="719" spans="1:8" x14ac:dyDescent="0.2">
      <c r="A719" s="79" t="s">
        <v>7637</v>
      </c>
      <c r="B719" s="79" t="s">
        <v>8045</v>
      </c>
      <c r="C719" s="79" t="s">
        <v>7311</v>
      </c>
      <c r="D719" s="79" t="s">
        <v>7312</v>
      </c>
      <c r="E719" s="79">
        <v>3000</v>
      </c>
      <c r="G719" s="79" t="s">
        <v>7329</v>
      </c>
      <c r="H719" s="80">
        <v>14684276.07</v>
      </c>
    </row>
    <row r="720" spans="1:8" x14ac:dyDescent="0.2">
      <c r="A720" s="79" t="s">
        <v>7637</v>
      </c>
      <c r="B720" s="79" t="s">
        <v>8046</v>
      </c>
      <c r="C720" s="79" t="s">
        <v>7311</v>
      </c>
      <c r="D720" s="79" t="s">
        <v>7312</v>
      </c>
      <c r="E720" s="79">
        <v>3000</v>
      </c>
      <c r="G720" s="79" t="s">
        <v>7329</v>
      </c>
      <c r="H720" s="80">
        <v>16263230.49</v>
      </c>
    </row>
    <row r="721" spans="1:8" x14ac:dyDescent="0.2">
      <c r="A721" s="79" t="s">
        <v>7637</v>
      </c>
      <c r="B721" s="79" t="s">
        <v>8047</v>
      </c>
      <c r="C721" s="79" t="s">
        <v>7311</v>
      </c>
      <c r="D721" s="79" t="s">
        <v>7312</v>
      </c>
      <c r="E721" s="79">
        <v>3000</v>
      </c>
      <c r="F721" s="79" t="s">
        <v>7738</v>
      </c>
      <c r="G721" s="79" t="s">
        <v>7329</v>
      </c>
      <c r="H721" s="80">
        <v>17943254.140000001</v>
      </c>
    </row>
    <row r="722" spans="1:8" x14ac:dyDescent="0.2">
      <c r="A722" s="79" t="s">
        <v>7637</v>
      </c>
      <c r="B722" s="79" t="s">
        <v>8048</v>
      </c>
      <c r="C722" s="79" t="s">
        <v>7311</v>
      </c>
      <c r="D722" s="79" t="s">
        <v>7312</v>
      </c>
      <c r="E722" s="79">
        <v>3000</v>
      </c>
      <c r="F722" s="79" t="s">
        <v>7738</v>
      </c>
      <c r="G722" s="79" t="s">
        <v>7329</v>
      </c>
      <c r="H722" s="80">
        <v>18511800.539999999</v>
      </c>
    </row>
    <row r="723" spans="1:8" x14ac:dyDescent="0.2">
      <c r="A723" s="79" t="s">
        <v>7637</v>
      </c>
      <c r="B723" s="79" t="s">
        <v>8047</v>
      </c>
      <c r="C723" s="79" t="s">
        <v>7311</v>
      </c>
      <c r="D723" s="79" t="s">
        <v>7312</v>
      </c>
      <c r="E723" s="79">
        <v>3000</v>
      </c>
      <c r="F723" s="79" t="s">
        <v>7643</v>
      </c>
      <c r="G723" s="79" t="s">
        <v>7329</v>
      </c>
      <c r="H723" s="80">
        <v>18356723.649999999</v>
      </c>
    </row>
    <row r="724" spans="1:8" x14ac:dyDescent="0.2">
      <c r="A724" s="79" t="s">
        <v>7637</v>
      </c>
      <c r="B724" s="79" t="s">
        <v>8049</v>
      </c>
      <c r="C724" s="79" t="s">
        <v>7311</v>
      </c>
      <c r="D724" s="79" t="s">
        <v>7312</v>
      </c>
      <c r="E724" s="79">
        <v>3000</v>
      </c>
      <c r="F724" s="79" t="s">
        <v>7643</v>
      </c>
      <c r="G724" s="79" t="s">
        <v>7329</v>
      </c>
      <c r="H724" s="80">
        <v>18925063.41</v>
      </c>
    </row>
    <row r="725" spans="1:8" x14ac:dyDescent="0.2">
      <c r="A725" s="79" t="s">
        <v>7637</v>
      </c>
      <c r="B725" s="79" t="s">
        <v>8050</v>
      </c>
      <c r="C725" s="79" t="s">
        <v>7311</v>
      </c>
      <c r="D725" s="79" t="s">
        <v>7312</v>
      </c>
      <c r="E725" s="79">
        <v>3000</v>
      </c>
      <c r="F725" s="79" t="s">
        <v>7738</v>
      </c>
      <c r="G725" s="79" t="s">
        <v>7329</v>
      </c>
      <c r="H725" s="80">
        <v>19213624.219999999</v>
      </c>
    </row>
    <row r="726" spans="1:8" x14ac:dyDescent="0.2">
      <c r="A726" s="79" t="s">
        <v>7637</v>
      </c>
      <c r="B726" s="79" t="s">
        <v>8051</v>
      </c>
      <c r="C726" s="79" t="s">
        <v>7311</v>
      </c>
      <c r="D726" s="79" t="s">
        <v>7312</v>
      </c>
      <c r="E726" s="79">
        <v>3000</v>
      </c>
      <c r="F726" s="79" t="s">
        <v>7738</v>
      </c>
      <c r="G726" s="79" t="s">
        <v>7329</v>
      </c>
      <c r="H726" s="80">
        <v>19894061.539999999</v>
      </c>
    </row>
    <row r="727" spans="1:8" x14ac:dyDescent="0.2">
      <c r="A727" s="79" t="s">
        <v>7637</v>
      </c>
      <c r="B727" s="79" t="s">
        <v>8050</v>
      </c>
      <c r="C727" s="79" t="s">
        <v>7311</v>
      </c>
      <c r="D727" s="79" t="s">
        <v>7312</v>
      </c>
      <c r="E727" s="79">
        <v>3000</v>
      </c>
      <c r="F727" s="79" t="s">
        <v>7643</v>
      </c>
      <c r="G727" s="79" t="s">
        <v>7329</v>
      </c>
      <c r="H727" s="80">
        <v>19626783.780000001</v>
      </c>
    </row>
    <row r="728" spans="1:8" x14ac:dyDescent="0.2">
      <c r="A728" s="79" t="s">
        <v>7637</v>
      </c>
      <c r="B728" s="79" t="s">
        <v>8051</v>
      </c>
      <c r="C728" s="79" t="s">
        <v>7311</v>
      </c>
      <c r="D728" s="79" t="s">
        <v>7312</v>
      </c>
      <c r="E728" s="79">
        <v>3000</v>
      </c>
      <c r="F728" s="79" t="s">
        <v>7643</v>
      </c>
      <c r="G728" s="79" t="s">
        <v>7329</v>
      </c>
      <c r="H728" s="80">
        <v>20307221.100000001</v>
      </c>
    </row>
    <row r="729" spans="1:8" x14ac:dyDescent="0.2">
      <c r="A729" s="79" t="s">
        <v>7637</v>
      </c>
      <c r="B729" s="79" t="s">
        <v>8052</v>
      </c>
      <c r="C729" s="79" t="s">
        <v>7311</v>
      </c>
      <c r="D729" s="79" t="s">
        <v>7312</v>
      </c>
      <c r="E729" s="79">
        <v>3000</v>
      </c>
      <c r="F729" s="79" t="s">
        <v>7643</v>
      </c>
      <c r="G729" s="79" t="s">
        <v>7313</v>
      </c>
      <c r="H729" s="80">
        <v>21019273.030000001</v>
      </c>
    </row>
    <row r="730" spans="1:8" x14ac:dyDescent="0.2">
      <c r="A730" s="79" t="s">
        <v>7637</v>
      </c>
      <c r="B730" s="79" t="s">
        <v>8051</v>
      </c>
      <c r="C730" s="79" t="s">
        <v>7311</v>
      </c>
      <c r="D730" s="79" t="s">
        <v>7312</v>
      </c>
      <c r="E730" s="79">
        <v>3000</v>
      </c>
      <c r="F730" s="79" t="s">
        <v>7643</v>
      </c>
      <c r="G730" s="79" t="s">
        <v>7313</v>
      </c>
      <c r="H730" s="80">
        <v>21700226.940000001</v>
      </c>
    </row>
    <row r="731" spans="1:8" x14ac:dyDescent="0.2">
      <c r="A731" s="79" t="s">
        <v>7637</v>
      </c>
      <c r="B731" s="79" t="s">
        <v>8053</v>
      </c>
      <c r="C731" s="79" t="s">
        <v>7311</v>
      </c>
      <c r="D731" s="79" t="s">
        <v>7312</v>
      </c>
      <c r="E731" s="79">
        <v>3000</v>
      </c>
      <c r="F731" s="79" t="s">
        <v>7643</v>
      </c>
      <c r="G731" s="79" t="s">
        <v>7329</v>
      </c>
      <c r="H731" s="80">
        <v>23141791.16</v>
      </c>
    </row>
    <row r="732" spans="1:8" x14ac:dyDescent="0.2">
      <c r="A732" s="79" t="s">
        <v>7637</v>
      </c>
      <c r="B732" s="79" t="s">
        <v>8053</v>
      </c>
      <c r="C732" s="79" t="s">
        <v>7311</v>
      </c>
      <c r="D732" s="79" t="s">
        <v>7312</v>
      </c>
      <c r="E732" s="79">
        <v>3000</v>
      </c>
      <c r="F732" s="79" t="s">
        <v>7643</v>
      </c>
      <c r="G732" s="79" t="s">
        <v>7313</v>
      </c>
      <c r="H732" s="80">
        <v>24468364.989999998</v>
      </c>
    </row>
    <row r="733" spans="1:8" x14ac:dyDescent="0.2">
      <c r="A733" s="79" t="s">
        <v>7637</v>
      </c>
      <c r="B733" s="79" t="s">
        <v>8054</v>
      </c>
      <c r="C733" s="79" t="s">
        <v>7311</v>
      </c>
      <c r="D733" s="79" t="s">
        <v>7312</v>
      </c>
      <c r="E733" s="79">
        <v>5000</v>
      </c>
      <c r="F733" s="79" t="s">
        <v>7643</v>
      </c>
      <c r="G733" s="79" t="s">
        <v>7313</v>
      </c>
      <c r="H733" s="80">
        <v>28840686.210000001</v>
      </c>
    </row>
    <row r="734" spans="1:8" x14ac:dyDescent="0.2">
      <c r="A734" s="79" t="s">
        <v>7637</v>
      </c>
      <c r="B734" s="79" t="s">
        <v>8055</v>
      </c>
      <c r="C734" s="79" t="s">
        <v>7311</v>
      </c>
      <c r="D734" s="79" t="s">
        <v>7312</v>
      </c>
      <c r="E734" s="79">
        <v>5000</v>
      </c>
      <c r="F734" s="79" t="s">
        <v>7643</v>
      </c>
      <c r="G734" s="79" t="s">
        <v>7313</v>
      </c>
      <c r="H734" s="80">
        <v>32819994.43</v>
      </c>
    </row>
    <row r="735" spans="1:8" x14ac:dyDescent="0.2">
      <c r="A735" s="79" t="s">
        <v>7637</v>
      </c>
      <c r="B735" s="79" t="s">
        <v>8056</v>
      </c>
      <c r="C735" s="79" t="s">
        <v>7311</v>
      </c>
      <c r="D735" s="79" t="s">
        <v>7312</v>
      </c>
      <c r="E735" s="79">
        <v>3000</v>
      </c>
      <c r="F735" s="79" t="s">
        <v>7738</v>
      </c>
      <c r="G735" s="79" t="s">
        <v>7329</v>
      </c>
      <c r="H735" s="80">
        <v>16550558.25</v>
      </c>
    </row>
    <row r="736" spans="1:8" x14ac:dyDescent="0.2">
      <c r="A736" s="79" t="s">
        <v>7637</v>
      </c>
      <c r="B736" s="79" t="s">
        <v>8057</v>
      </c>
      <c r="C736" s="79" t="s">
        <v>7311</v>
      </c>
      <c r="D736" s="79" t="s">
        <v>7312</v>
      </c>
      <c r="E736" s="79">
        <v>3000</v>
      </c>
      <c r="F736" s="79" t="s">
        <v>7738</v>
      </c>
      <c r="G736" s="79" t="s">
        <v>7329</v>
      </c>
      <c r="H736" s="80">
        <v>17119001.329999998</v>
      </c>
    </row>
    <row r="737" spans="1:8" x14ac:dyDescent="0.2">
      <c r="A737" s="79" t="s">
        <v>7637</v>
      </c>
      <c r="B737" s="79" t="s">
        <v>8058</v>
      </c>
      <c r="C737" s="79" t="s">
        <v>7311</v>
      </c>
      <c r="D737" s="79" t="s">
        <v>7312</v>
      </c>
      <c r="E737" s="79">
        <v>3000</v>
      </c>
      <c r="F737" s="79" t="s">
        <v>7643</v>
      </c>
      <c r="G737" s="79" t="s">
        <v>7329</v>
      </c>
      <c r="H737" s="80">
        <v>16963717.809999999</v>
      </c>
    </row>
    <row r="738" spans="1:8" x14ac:dyDescent="0.2">
      <c r="A738" s="79" t="s">
        <v>7637</v>
      </c>
      <c r="B738" s="79" t="s">
        <v>8057</v>
      </c>
      <c r="C738" s="79" t="s">
        <v>7311</v>
      </c>
      <c r="D738" s="79" t="s">
        <v>7312</v>
      </c>
      <c r="E738" s="79">
        <v>3000</v>
      </c>
      <c r="F738" s="79" t="s">
        <v>7643</v>
      </c>
      <c r="G738" s="79" t="s">
        <v>7329</v>
      </c>
      <c r="H738" s="80">
        <v>17532264.210000001</v>
      </c>
    </row>
    <row r="739" spans="1:8" x14ac:dyDescent="0.2">
      <c r="A739" s="79" t="s">
        <v>7637</v>
      </c>
      <c r="B739" s="79" t="s">
        <v>8059</v>
      </c>
      <c r="C739" s="79" t="s">
        <v>7311</v>
      </c>
      <c r="D739" s="79" t="s">
        <v>7312</v>
      </c>
      <c r="E739" s="79">
        <v>3000</v>
      </c>
      <c r="F739" s="79" t="s">
        <v>7738</v>
      </c>
      <c r="G739" s="79" t="s">
        <v>7329</v>
      </c>
      <c r="H739" s="80">
        <v>17820618.379999999</v>
      </c>
    </row>
    <row r="740" spans="1:8" x14ac:dyDescent="0.2">
      <c r="A740" s="79" t="s">
        <v>7637</v>
      </c>
      <c r="B740" s="79" t="s">
        <v>8060</v>
      </c>
      <c r="C740" s="79" t="s">
        <v>7311</v>
      </c>
      <c r="D740" s="79" t="s">
        <v>7312</v>
      </c>
      <c r="E740" s="79">
        <v>3000</v>
      </c>
      <c r="F740" s="79" t="s">
        <v>7738</v>
      </c>
      <c r="G740" s="79" t="s">
        <v>7329</v>
      </c>
      <c r="H740" s="80">
        <v>18501468.969999999</v>
      </c>
    </row>
    <row r="741" spans="1:8" x14ac:dyDescent="0.2">
      <c r="A741" s="79" t="s">
        <v>7637</v>
      </c>
      <c r="B741" s="79" t="s">
        <v>8059</v>
      </c>
      <c r="C741" s="79" t="s">
        <v>7311</v>
      </c>
      <c r="D741" s="79" t="s">
        <v>7312</v>
      </c>
      <c r="E741" s="79">
        <v>3000</v>
      </c>
      <c r="F741" s="79" t="s">
        <v>7643</v>
      </c>
      <c r="G741" s="79" t="s">
        <v>7329</v>
      </c>
      <c r="H741" s="80">
        <v>18234087.890000001</v>
      </c>
    </row>
    <row r="742" spans="1:8" x14ac:dyDescent="0.2">
      <c r="A742" s="79" t="s">
        <v>7637</v>
      </c>
      <c r="B742" s="79" t="s">
        <v>8061</v>
      </c>
      <c r="C742" s="79" t="s">
        <v>7311</v>
      </c>
      <c r="D742" s="79" t="s">
        <v>7312</v>
      </c>
      <c r="E742" s="79">
        <v>3000</v>
      </c>
      <c r="F742" s="79" t="s">
        <v>7643</v>
      </c>
      <c r="G742" s="79" t="s">
        <v>7329</v>
      </c>
      <c r="H742" s="80">
        <v>18914525.210000001</v>
      </c>
    </row>
    <row r="743" spans="1:8" x14ac:dyDescent="0.2">
      <c r="A743" s="79" t="s">
        <v>7637</v>
      </c>
      <c r="B743" s="79" t="s">
        <v>8059</v>
      </c>
      <c r="C743" s="79" t="s">
        <v>7311</v>
      </c>
      <c r="D743" s="79" t="s">
        <v>7312</v>
      </c>
      <c r="E743" s="79">
        <v>3000</v>
      </c>
      <c r="F743" s="79" t="s">
        <v>7643</v>
      </c>
      <c r="G743" s="79" t="s">
        <v>7313</v>
      </c>
      <c r="H743" s="80">
        <v>19626783.780000001</v>
      </c>
    </row>
    <row r="744" spans="1:8" x14ac:dyDescent="0.2">
      <c r="A744" s="79" t="s">
        <v>7637</v>
      </c>
      <c r="B744" s="79" t="s">
        <v>8061</v>
      </c>
      <c r="C744" s="79" t="s">
        <v>7311</v>
      </c>
      <c r="D744" s="79" t="s">
        <v>7312</v>
      </c>
      <c r="E744" s="79">
        <v>3000</v>
      </c>
      <c r="F744" s="79" t="s">
        <v>7643</v>
      </c>
      <c r="G744" s="79" t="s">
        <v>7313</v>
      </c>
      <c r="H744" s="80">
        <v>20307221.100000001</v>
      </c>
    </row>
    <row r="745" spans="1:8" x14ac:dyDescent="0.2">
      <c r="A745" s="79" t="s">
        <v>7637</v>
      </c>
      <c r="B745" s="79" t="s">
        <v>8062</v>
      </c>
      <c r="C745" s="79" t="s">
        <v>7311</v>
      </c>
      <c r="D745" s="79" t="s">
        <v>7312</v>
      </c>
      <c r="E745" s="79">
        <v>3000</v>
      </c>
      <c r="F745" s="79" t="s">
        <v>7643</v>
      </c>
      <c r="G745" s="79" t="s">
        <v>7329</v>
      </c>
      <c r="H745" s="80">
        <v>21749095.27</v>
      </c>
    </row>
    <row r="746" spans="1:8" x14ac:dyDescent="0.2">
      <c r="A746" s="79" t="s">
        <v>7637</v>
      </c>
      <c r="B746" s="79" t="s">
        <v>8062</v>
      </c>
      <c r="C746" s="79" t="s">
        <v>7311</v>
      </c>
      <c r="D746" s="79" t="s">
        <v>7312</v>
      </c>
      <c r="E746" s="79">
        <v>3000</v>
      </c>
      <c r="F746" s="79" t="s">
        <v>7643</v>
      </c>
      <c r="G746" s="79" t="s">
        <v>7313</v>
      </c>
      <c r="H746" s="80">
        <v>23075565.780000001</v>
      </c>
    </row>
    <row r="747" spans="1:8" x14ac:dyDescent="0.2">
      <c r="A747" s="79" t="s">
        <v>7637</v>
      </c>
      <c r="B747" s="79" t="s">
        <v>8063</v>
      </c>
      <c r="C747" s="79" t="s">
        <v>7311</v>
      </c>
      <c r="D747" s="79" t="s">
        <v>7312</v>
      </c>
      <c r="E747" s="79">
        <v>5000</v>
      </c>
      <c r="F747" s="79" t="s">
        <v>7643</v>
      </c>
      <c r="G747" s="79" t="s">
        <v>7313</v>
      </c>
      <c r="H747" s="80">
        <v>27447990.32</v>
      </c>
    </row>
    <row r="748" spans="1:8" x14ac:dyDescent="0.2">
      <c r="A748" s="79" t="s">
        <v>7637</v>
      </c>
      <c r="B748" s="79" t="s">
        <v>8064</v>
      </c>
      <c r="C748" s="79" t="s">
        <v>7311</v>
      </c>
      <c r="D748" s="79" t="s">
        <v>7312</v>
      </c>
      <c r="E748" s="79">
        <v>5000</v>
      </c>
      <c r="F748" s="79" t="s">
        <v>7643</v>
      </c>
      <c r="G748" s="79" t="s">
        <v>7313</v>
      </c>
      <c r="H748" s="80">
        <v>31427195.219999999</v>
      </c>
    </row>
    <row r="749" spans="1:8" x14ac:dyDescent="0.2">
      <c r="A749" s="79" t="s">
        <v>7637</v>
      </c>
      <c r="B749" s="79" t="s">
        <v>8065</v>
      </c>
      <c r="C749" s="79" t="s">
        <v>7311</v>
      </c>
      <c r="D749" s="79" t="s">
        <v>7312</v>
      </c>
      <c r="E749" s="79">
        <v>5000</v>
      </c>
      <c r="G749" s="79" t="s">
        <v>7329</v>
      </c>
      <c r="H749" s="80">
        <v>20470649.27</v>
      </c>
    </row>
    <row r="750" spans="1:8" x14ac:dyDescent="0.2">
      <c r="A750" s="79" t="s">
        <v>7637</v>
      </c>
      <c r="B750" s="79" t="s">
        <v>8066</v>
      </c>
      <c r="C750" s="79" t="s">
        <v>7311</v>
      </c>
      <c r="D750" s="79" t="s">
        <v>7328</v>
      </c>
      <c r="E750" s="79">
        <v>2000</v>
      </c>
      <c r="F750" s="79" t="s">
        <v>7643</v>
      </c>
      <c r="G750" s="79" t="s">
        <v>7329</v>
      </c>
      <c r="H750" s="80">
        <v>8239221.9400000004</v>
      </c>
    </row>
    <row r="751" spans="1:8" x14ac:dyDescent="0.2">
      <c r="A751" s="79" t="s">
        <v>7637</v>
      </c>
      <c r="B751" s="79" t="s">
        <v>8066</v>
      </c>
      <c r="C751" s="79" t="s">
        <v>7311</v>
      </c>
      <c r="D751" s="79" t="s">
        <v>7312</v>
      </c>
      <c r="E751" s="79">
        <v>2000</v>
      </c>
      <c r="F751" s="79" t="s">
        <v>7643</v>
      </c>
      <c r="G751" s="79" t="s">
        <v>7329</v>
      </c>
      <c r="H751" s="80">
        <v>8934949.9900000002</v>
      </c>
    </row>
    <row r="752" spans="1:8" x14ac:dyDescent="0.2">
      <c r="A752" s="79" t="s">
        <v>7637</v>
      </c>
      <c r="B752" s="79" t="s">
        <v>8067</v>
      </c>
      <c r="C752" s="79" t="s">
        <v>7311</v>
      </c>
      <c r="D752" s="79" t="s">
        <v>7328</v>
      </c>
      <c r="E752" s="79">
        <v>2000</v>
      </c>
      <c r="F752" s="79" t="s">
        <v>7643</v>
      </c>
      <c r="G752" s="79" t="s">
        <v>7329</v>
      </c>
      <c r="H752" s="80">
        <v>9219814.8399999999</v>
      </c>
    </row>
    <row r="753" spans="1:8" x14ac:dyDescent="0.2">
      <c r="A753" s="79" t="s">
        <v>7637</v>
      </c>
      <c r="B753" s="79" t="s">
        <v>8068</v>
      </c>
      <c r="C753" s="79" t="s">
        <v>7311</v>
      </c>
      <c r="D753" s="79" t="s">
        <v>7312</v>
      </c>
      <c r="E753" s="79">
        <v>2000</v>
      </c>
      <c r="G753" s="79" t="s">
        <v>7329</v>
      </c>
      <c r="H753" s="80">
        <v>7315822.1299999999</v>
      </c>
    </row>
    <row r="754" spans="1:8" x14ac:dyDescent="0.2">
      <c r="A754" s="79" t="s">
        <v>7637</v>
      </c>
      <c r="B754" s="79" t="s">
        <v>8069</v>
      </c>
      <c r="C754" s="79" t="s">
        <v>7311</v>
      </c>
      <c r="D754" s="79" t="s">
        <v>7328</v>
      </c>
      <c r="E754" s="79">
        <v>2200</v>
      </c>
      <c r="G754" s="79" t="s">
        <v>7329</v>
      </c>
      <c r="H754" s="80">
        <v>7315822.1299999999</v>
      </c>
    </row>
    <row r="755" spans="1:8" x14ac:dyDescent="0.2">
      <c r="A755" s="79" t="s">
        <v>7637</v>
      </c>
      <c r="B755" s="79" t="s">
        <v>8070</v>
      </c>
      <c r="C755" s="79" t="s">
        <v>7311</v>
      </c>
      <c r="D755" s="79" t="s">
        <v>7328</v>
      </c>
      <c r="E755" s="79">
        <v>3000</v>
      </c>
      <c r="G755" s="79" t="s">
        <v>7329</v>
      </c>
      <c r="H755" s="80">
        <v>9106302.75</v>
      </c>
    </row>
    <row r="756" spans="1:8" x14ac:dyDescent="0.2">
      <c r="A756" s="79" t="s">
        <v>7637</v>
      </c>
      <c r="B756" s="79" t="s">
        <v>8071</v>
      </c>
      <c r="C756" s="79" t="s">
        <v>7311</v>
      </c>
      <c r="D756" s="79" t="s">
        <v>7312</v>
      </c>
      <c r="E756" s="79">
        <v>3000</v>
      </c>
      <c r="G756" s="79" t="s">
        <v>7329</v>
      </c>
      <c r="H756" s="80">
        <v>7368453.9400000004</v>
      </c>
    </row>
    <row r="757" spans="1:8" x14ac:dyDescent="0.2">
      <c r="A757" s="79" t="s">
        <v>7637</v>
      </c>
      <c r="B757" s="79" t="s">
        <v>8072</v>
      </c>
      <c r="C757" s="79" t="s">
        <v>7311</v>
      </c>
      <c r="D757" s="79" t="s">
        <v>7328</v>
      </c>
      <c r="E757" s="79">
        <v>2000</v>
      </c>
      <c r="F757" s="79" t="s">
        <v>7643</v>
      </c>
      <c r="G757" s="79" t="s">
        <v>7329</v>
      </c>
      <c r="H757" s="80">
        <v>9340464.1899999995</v>
      </c>
    </row>
    <row r="758" spans="1:8" x14ac:dyDescent="0.2">
      <c r="A758" s="79" t="s">
        <v>7637</v>
      </c>
      <c r="B758" s="79" t="s">
        <v>8073</v>
      </c>
      <c r="C758" s="79" t="s">
        <v>7311</v>
      </c>
      <c r="D758" s="79" t="s">
        <v>7328</v>
      </c>
      <c r="E758" s="79">
        <v>2000</v>
      </c>
      <c r="F758" s="79" t="s">
        <v>7643</v>
      </c>
      <c r="G758" s="79" t="s">
        <v>7329</v>
      </c>
      <c r="H758" s="80">
        <v>10060781.380000001</v>
      </c>
    </row>
    <row r="759" spans="1:8" x14ac:dyDescent="0.2">
      <c r="A759" s="79" t="s">
        <v>7637</v>
      </c>
      <c r="B759" s="79" t="s">
        <v>8074</v>
      </c>
      <c r="C759" s="79" t="s">
        <v>7311</v>
      </c>
      <c r="D759" s="79" t="s">
        <v>7312</v>
      </c>
      <c r="E759" s="79">
        <v>2000</v>
      </c>
      <c r="F759" s="79" t="s">
        <v>7643</v>
      </c>
      <c r="G759" s="79" t="s">
        <v>7329</v>
      </c>
      <c r="H759" s="80">
        <v>9997035.5800000001</v>
      </c>
    </row>
    <row r="760" spans="1:8" x14ac:dyDescent="0.2">
      <c r="A760" s="79" t="s">
        <v>7637</v>
      </c>
      <c r="B760" s="79" t="s">
        <v>8075</v>
      </c>
      <c r="C760" s="79" t="s">
        <v>7311</v>
      </c>
      <c r="D760" s="79" t="s">
        <v>7312</v>
      </c>
      <c r="E760" s="79">
        <v>2000</v>
      </c>
      <c r="F760" s="79" t="s">
        <v>7643</v>
      </c>
      <c r="G760" s="79" t="s">
        <v>7329</v>
      </c>
      <c r="H760" s="80">
        <v>10716216.300000001</v>
      </c>
    </row>
    <row r="761" spans="1:8" x14ac:dyDescent="0.2">
      <c r="A761" s="79" t="s">
        <v>7637</v>
      </c>
      <c r="B761" s="79" t="s">
        <v>8076</v>
      </c>
      <c r="C761" s="79" t="s">
        <v>7311</v>
      </c>
      <c r="D761" s="79" t="s">
        <v>7312</v>
      </c>
      <c r="E761" s="79">
        <v>2000</v>
      </c>
      <c r="F761" s="79" t="s">
        <v>7643</v>
      </c>
      <c r="G761" s="79" t="s">
        <v>7329</v>
      </c>
      <c r="H761" s="80">
        <v>11115324.92</v>
      </c>
    </row>
    <row r="762" spans="1:8" x14ac:dyDescent="0.2">
      <c r="A762" s="79" t="s">
        <v>7637</v>
      </c>
      <c r="B762" s="79" t="s">
        <v>8077</v>
      </c>
      <c r="C762" s="79" t="s">
        <v>7311</v>
      </c>
      <c r="D762" s="79" t="s">
        <v>7312</v>
      </c>
      <c r="E762" s="79">
        <v>5000</v>
      </c>
      <c r="G762" s="79" t="s">
        <v>7329</v>
      </c>
      <c r="H762" s="80">
        <v>15263226.02</v>
      </c>
    </row>
    <row r="763" spans="1:8" x14ac:dyDescent="0.2">
      <c r="A763" s="79" t="s">
        <v>7637</v>
      </c>
      <c r="B763" s="79" t="s">
        <v>8078</v>
      </c>
      <c r="C763" s="79" t="s">
        <v>7311</v>
      </c>
      <c r="D763" s="79" t="s">
        <v>7312</v>
      </c>
      <c r="E763" s="79">
        <v>5000</v>
      </c>
      <c r="G763" s="79" t="s">
        <v>7329</v>
      </c>
      <c r="H763" s="80">
        <v>31874910.699999999</v>
      </c>
    </row>
    <row r="764" spans="1:8" x14ac:dyDescent="0.2">
      <c r="A764" s="79" t="s">
        <v>7637</v>
      </c>
      <c r="B764" s="79" t="s">
        <v>8079</v>
      </c>
      <c r="C764" s="79" t="s">
        <v>7311</v>
      </c>
      <c r="D764" s="79" t="s">
        <v>7312</v>
      </c>
      <c r="E764" s="79">
        <v>5000</v>
      </c>
      <c r="G764" s="79" t="s">
        <v>7329</v>
      </c>
      <c r="H764" s="80">
        <v>23891927.699999999</v>
      </c>
    </row>
    <row r="765" spans="1:8" x14ac:dyDescent="0.2">
      <c r="A765" s="79" t="s">
        <v>7637</v>
      </c>
      <c r="B765" s="79" t="s">
        <v>8080</v>
      </c>
      <c r="C765" s="79" t="s">
        <v>7311</v>
      </c>
      <c r="D765" s="79" t="s">
        <v>7312</v>
      </c>
      <c r="E765" s="79">
        <v>3000</v>
      </c>
      <c r="G765" s="79" t="s">
        <v>7329</v>
      </c>
      <c r="H765" s="80">
        <v>16536179.07</v>
      </c>
    </row>
    <row r="766" spans="1:8" x14ac:dyDescent="0.2">
      <c r="A766" s="79" t="s">
        <v>7637</v>
      </c>
      <c r="B766" s="79" t="s">
        <v>8081</v>
      </c>
      <c r="C766" s="79" t="s">
        <v>7311</v>
      </c>
      <c r="D766" s="79" t="s">
        <v>7312</v>
      </c>
      <c r="E766" s="79">
        <v>2000</v>
      </c>
      <c r="G766" s="79" t="s">
        <v>7329</v>
      </c>
      <c r="H766" s="80">
        <v>11473735.42</v>
      </c>
    </row>
    <row r="767" spans="1:8" x14ac:dyDescent="0.2">
      <c r="A767" s="79" t="s">
        <v>7637</v>
      </c>
      <c r="B767" s="79" t="s">
        <v>8082</v>
      </c>
      <c r="C767" s="79" t="s">
        <v>7311</v>
      </c>
      <c r="D767" s="79" t="s">
        <v>7328</v>
      </c>
      <c r="E767" s="79">
        <v>3000</v>
      </c>
      <c r="G767" s="79" t="s">
        <v>7329</v>
      </c>
      <c r="H767" s="80">
        <v>15891920.539999999</v>
      </c>
    </row>
    <row r="768" spans="1:8" x14ac:dyDescent="0.2">
      <c r="A768" s="79" t="s">
        <v>7637</v>
      </c>
      <c r="B768" s="79" t="s">
        <v>8083</v>
      </c>
      <c r="C768" s="79" t="s">
        <v>7311</v>
      </c>
      <c r="D768" s="79" t="s">
        <v>7312</v>
      </c>
      <c r="E768" s="79">
        <v>2000</v>
      </c>
      <c r="G768" s="79" t="s">
        <v>7329</v>
      </c>
      <c r="H768" s="80">
        <v>13157953.470000001</v>
      </c>
    </row>
    <row r="769" spans="1:8" x14ac:dyDescent="0.2">
      <c r="A769" s="79" t="s">
        <v>7637</v>
      </c>
      <c r="B769" s="79" t="s">
        <v>8084</v>
      </c>
      <c r="C769" s="79" t="s">
        <v>7311</v>
      </c>
      <c r="D769" s="79" t="s">
        <v>7328</v>
      </c>
      <c r="E769" s="79">
        <v>3000</v>
      </c>
      <c r="G769" s="79" t="s">
        <v>7329</v>
      </c>
      <c r="H769" s="80">
        <v>17691783.68</v>
      </c>
    </row>
    <row r="770" spans="1:8" x14ac:dyDescent="0.2">
      <c r="A770" s="79" t="s">
        <v>7637</v>
      </c>
      <c r="B770" s="79" t="s">
        <v>8085</v>
      </c>
      <c r="C770" s="79" t="s">
        <v>7311</v>
      </c>
      <c r="D770" s="79" t="s">
        <v>7312</v>
      </c>
      <c r="E770" s="79">
        <v>3000</v>
      </c>
      <c r="G770" s="79" t="s">
        <v>7329</v>
      </c>
      <c r="H770" s="80">
        <v>20541334.52</v>
      </c>
    </row>
    <row r="771" spans="1:8" x14ac:dyDescent="0.2">
      <c r="A771" s="79" t="s">
        <v>7637</v>
      </c>
      <c r="B771" s="79" t="s">
        <v>8086</v>
      </c>
      <c r="C771" s="79" t="s">
        <v>7311</v>
      </c>
      <c r="D771" s="79" t="s">
        <v>7328</v>
      </c>
      <c r="E771" s="79">
        <v>3000</v>
      </c>
      <c r="G771" s="79" t="s">
        <v>7329</v>
      </c>
      <c r="H771" s="80">
        <v>19585767.440000001</v>
      </c>
    </row>
    <row r="772" spans="1:8" x14ac:dyDescent="0.2">
      <c r="A772" s="79" t="s">
        <v>7637</v>
      </c>
      <c r="B772" s="79" t="s">
        <v>8087</v>
      </c>
      <c r="C772" s="79" t="s">
        <v>7311</v>
      </c>
      <c r="D772" s="79" t="s">
        <v>7312</v>
      </c>
      <c r="E772" s="79">
        <v>5000</v>
      </c>
      <c r="G772" s="79" t="s">
        <v>7329</v>
      </c>
      <c r="H772" s="80">
        <v>21611075.41</v>
      </c>
    </row>
    <row r="773" spans="1:8" x14ac:dyDescent="0.2">
      <c r="A773" s="79" t="s">
        <v>7637</v>
      </c>
      <c r="B773" s="79" t="s">
        <v>8088</v>
      </c>
      <c r="C773" s="79" t="s">
        <v>7311</v>
      </c>
      <c r="D773" s="79" t="s">
        <v>7312</v>
      </c>
      <c r="E773" s="79">
        <v>3000</v>
      </c>
      <c r="G773" s="79" t="s">
        <v>7329</v>
      </c>
      <c r="H773" s="80">
        <v>22199551.800000001</v>
      </c>
    </row>
    <row r="774" spans="1:8" x14ac:dyDescent="0.2">
      <c r="A774" s="79" t="s">
        <v>7637</v>
      </c>
      <c r="B774" s="79" t="s">
        <v>8089</v>
      </c>
      <c r="C774" s="79" t="s">
        <v>7311</v>
      </c>
      <c r="D774" s="79" t="s">
        <v>7312</v>
      </c>
      <c r="E774" s="79">
        <v>5000</v>
      </c>
      <c r="G774" s="79" t="s">
        <v>7329</v>
      </c>
      <c r="H774" s="80">
        <v>26519388.640000001</v>
      </c>
    </row>
    <row r="775" spans="1:8" x14ac:dyDescent="0.2">
      <c r="A775" s="79" t="s">
        <v>7736</v>
      </c>
      <c r="B775" s="79" t="s">
        <v>8090</v>
      </c>
      <c r="C775" s="79" t="s">
        <v>7335</v>
      </c>
      <c r="D775" s="79" t="s">
        <v>7328</v>
      </c>
      <c r="E775" s="79">
        <v>2200</v>
      </c>
      <c r="F775" s="79" t="s">
        <v>7738</v>
      </c>
      <c r="G775" s="79" t="s">
        <v>7313</v>
      </c>
      <c r="H775" s="80">
        <v>8929676.4000000004</v>
      </c>
    </row>
    <row r="776" spans="1:8" x14ac:dyDescent="0.2">
      <c r="A776" s="79" t="s">
        <v>7736</v>
      </c>
      <c r="B776" s="79" t="s">
        <v>8091</v>
      </c>
      <c r="C776" s="79" t="s">
        <v>7745</v>
      </c>
      <c r="D776" s="79" t="s">
        <v>7328</v>
      </c>
      <c r="E776" s="79">
        <v>2200</v>
      </c>
      <c r="F776" s="79" t="s">
        <v>7738</v>
      </c>
      <c r="G776" s="79" t="s">
        <v>7313</v>
      </c>
      <c r="H776" s="80">
        <v>9829059.5999999996</v>
      </c>
    </row>
    <row r="777" spans="1:8" x14ac:dyDescent="0.2">
      <c r="A777" s="79" t="s">
        <v>7736</v>
      </c>
      <c r="B777" s="79" t="s">
        <v>8092</v>
      </c>
      <c r="C777" s="79" t="s">
        <v>7335</v>
      </c>
      <c r="D777" s="79" t="s">
        <v>7328</v>
      </c>
      <c r="E777" s="79">
        <v>2400</v>
      </c>
      <c r="G777" s="79" t="s">
        <v>7313</v>
      </c>
      <c r="H777" s="80">
        <v>6100000</v>
      </c>
    </row>
    <row r="778" spans="1:8" x14ac:dyDescent="0.2">
      <c r="A778" s="79" t="s">
        <v>7736</v>
      </c>
      <c r="B778" s="79" t="s">
        <v>8093</v>
      </c>
      <c r="C778" s="79" t="s">
        <v>7335</v>
      </c>
      <c r="D778" s="79" t="s">
        <v>7328</v>
      </c>
      <c r="E778" s="79">
        <v>2500</v>
      </c>
      <c r="G778" s="79" t="s">
        <v>7313</v>
      </c>
      <c r="H778" s="80">
        <v>5200000</v>
      </c>
    </row>
    <row r="779" spans="1:8" x14ac:dyDescent="0.2">
      <c r="A779" s="79" t="s">
        <v>7736</v>
      </c>
      <c r="B779" s="79" t="s">
        <v>8094</v>
      </c>
      <c r="C779" s="79" t="s">
        <v>8095</v>
      </c>
      <c r="D779" s="79" t="s">
        <v>7328</v>
      </c>
      <c r="E779" s="79">
        <v>2500</v>
      </c>
      <c r="G779" s="79" t="s">
        <v>7313</v>
      </c>
      <c r="H779" s="80">
        <v>3750000</v>
      </c>
    </row>
    <row r="780" spans="1:8" x14ac:dyDescent="0.2">
      <c r="A780" s="79" t="s">
        <v>7736</v>
      </c>
      <c r="B780" s="79" t="s">
        <v>8096</v>
      </c>
      <c r="C780" s="79" t="s">
        <v>7335</v>
      </c>
      <c r="D780" s="79" t="s">
        <v>7328</v>
      </c>
      <c r="E780" s="79">
        <v>2400</v>
      </c>
      <c r="G780" s="79" t="s">
        <v>7313</v>
      </c>
      <c r="H780" s="80">
        <v>5800000</v>
      </c>
    </row>
    <row r="781" spans="1:8" x14ac:dyDescent="0.2">
      <c r="A781" s="79" t="s">
        <v>7736</v>
      </c>
      <c r="B781" s="79" t="s">
        <v>8097</v>
      </c>
      <c r="C781" s="79" t="s">
        <v>7335</v>
      </c>
      <c r="D781" s="79" t="s">
        <v>7328</v>
      </c>
      <c r="E781" s="79">
        <v>2500</v>
      </c>
      <c r="G781" s="79" t="s">
        <v>7313</v>
      </c>
      <c r="H781" s="80">
        <v>4500000</v>
      </c>
    </row>
    <row r="782" spans="1:8" x14ac:dyDescent="0.2">
      <c r="A782" s="79" t="s">
        <v>7736</v>
      </c>
      <c r="B782" s="79" t="s">
        <v>8098</v>
      </c>
      <c r="C782" s="79" t="s">
        <v>7956</v>
      </c>
      <c r="D782" s="79" t="s">
        <v>7328</v>
      </c>
      <c r="E782" s="79">
        <v>2500</v>
      </c>
      <c r="G782" s="79" t="s">
        <v>7313</v>
      </c>
      <c r="H782" s="80">
        <v>4200000</v>
      </c>
    </row>
    <row r="783" spans="1:8" x14ac:dyDescent="0.2">
      <c r="A783" s="79" t="s">
        <v>7736</v>
      </c>
      <c r="B783" s="79" t="s">
        <v>8099</v>
      </c>
      <c r="C783" s="79" t="s">
        <v>7619</v>
      </c>
      <c r="D783" s="79" t="s">
        <v>7328</v>
      </c>
      <c r="E783" s="79">
        <v>2500</v>
      </c>
      <c r="G783" s="79" t="s">
        <v>7313</v>
      </c>
      <c r="H783" s="80">
        <v>3850000</v>
      </c>
    </row>
    <row r="784" spans="1:8" x14ac:dyDescent="0.2">
      <c r="A784" s="79" t="s">
        <v>7736</v>
      </c>
      <c r="B784" s="79" t="s">
        <v>8100</v>
      </c>
      <c r="C784" s="79" t="s">
        <v>7335</v>
      </c>
      <c r="D784" s="79" t="s">
        <v>7328</v>
      </c>
      <c r="E784" s="79">
        <v>2500</v>
      </c>
      <c r="G784" s="79" t="s">
        <v>7313</v>
      </c>
      <c r="H784" s="80">
        <v>4700000</v>
      </c>
    </row>
    <row r="785" spans="1:8" x14ac:dyDescent="0.2">
      <c r="A785" s="79" t="s">
        <v>7736</v>
      </c>
      <c r="B785" s="79" t="s">
        <v>8101</v>
      </c>
      <c r="C785" s="79" t="s">
        <v>7335</v>
      </c>
      <c r="D785" s="79" t="s">
        <v>7328</v>
      </c>
      <c r="E785" s="79">
        <v>2500</v>
      </c>
      <c r="G785" s="79" t="s">
        <v>7313</v>
      </c>
      <c r="H785" s="80">
        <v>4135000</v>
      </c>
    </row>
    <row r="786" spans="1:8" x14ac:dyDescent="0.2">
      <c r="A786" s="79" t="s">
        <v>7736</v>
      </c>
      <c r="B786" s="79" t="s">
        <v>8102</v>
      </c>
      <c r="C786" s="79" t="s">
        <v>7335</v>
      </c>
      <c r="D786" s="79" t="s">
        <v>7328</v>
      </c>
      <c r="E786" s="79">
        <v>2800</v>
      </c>
      <c r="G786" s="79" t="s">
        <v>7313</v>
      </c>
      <c r="H786" s="80">
        <v>5005308</v>
      </c>
    </row>
    <row r="787" spans="1:8" x14ac:dyDescent="0.2">
      <c r="A787" s="79" t="s">
        <v>7736</v>
      </c>
      <c r="B787" s="79" t="s">
        <v>8103</v>
      </c>
      <c r="C787" s="79" t="s">
        <v>7419</v>
      </c>
      <c r="D787" s="79" t="s">
        <v>7328</v>
      </c>
      <c r="E787" s="79">
        <v>3000</v>
      </c>
      <c r="G787" s="79" t="s">
        <v>7313</v>
      </c>
      <c r="H787" s="80">
        <v>14809201</v>
      </c>
    </row>
    <row r="788" spans="1:8" x14ac:dyDescent="0.2">
      <c r="A788" s="79" t="s">
        <v>7736</v>
      </c>
      <c r="B788" s="79" t="s">
        <v>8104</v>
      </c>
      <c r="C788" s="79" t="s">
        <v>7419</v>
      </c>
      <c r="D788" s="79" t="s">
        <v>7328</v>
      </c>
      <c r="E788" s="79">
        <v>3000</v>
      </c>
      <c r="G788" s="79" t="s">
        <v>7313</v>
      </c>
      <c r="H788" s="80">
        <v>16213163</v>
      </c>
    </row>
    <row r="789" spans="1:8" x14ac:dyDescent="0.2">
      <c r="A789" s="79" t="s">
        <v>7736</v>
      </c>
      <c r="B789" s="79" t="s">
        <v>8105</v>
      </c>
      <c r="C789" s="79" t="s">
        <v>7419</v>
      </c>
      <c r="D789" s="79" t="s">
        <v>7328</v>
      </c>
      <c r="E789" s="79">
        <v>3000</v>
      </c>
      <c r="G789" s="79" t="s">
        <v>7313</v>
      </c>
      <c r="H789" s="80">
        <v>13030849</v>
      </c>
    </row>
    <row r="790" spans="1:8" x14ac:dyDescent="0.2">
      <c r="A790" s="79" t="s">
        <v>7736</v>
      </c>
      <c r="B790" s="79" t="s">
        <v>8106</v>
      </c>
      <c r="C790" s="79" t="s">
        <v>7419</v>
      </c>
      <c r="D790" s="79" t="s">
        <v>7312</v>
      </c>
      <c r="E790" s="79">
        <v>2000</v>
      </c>
      <c r="G790" s="79" t="s">
        <v>7313</v>
      </c>
      <c r="H790" s="80">
        <v>11190099</v>
      </c>
    </row>
    <row r="791" spans="1:8" x14ac:dyDescent="0.2">
      <c r="A791" s="79" t="s">
        <v>7736</v>
      </c>
      <c r="B791" s="79" t="s">
        <v>8107</v>
      </c>
      <c r="C791" s="79" t="s">
        <v>7419</v>
      </c>
      <c r="D791" s="79" t="s">
        <v>7312</v>
      </c>
      <c r="E791" s="79">
        <v>2000</v>
      </c>
      <c r="G791" s="79" t="s">
        <v>7313</v>
      </c>
      <c r="H791" s="80">
        <v>12230071</v>
      </c>
    </row>
    <row r="792" spans="1:8" x14ac:dyDescent="0.2">
      <c r="A792" s="79" t="s">
        <v>7736</v>
      </c>
      <c r="B792" s="79" t="s">
        <v>8108</v>
      </c>
      <c r="C792" s="79" t="s">
        <v>7419</v>
      </c>
      <c r="D792" s="79" t="s">
        <v>7312</v>
      </c>
      <c r="E792" s="79">
        <v>3000</v>
      </c>
      <c r="G792" s="79" t="s">
        <v>7313</v>
      </c>
      <c r="H792" s="80">
        <v>11897280</v>
      </c>
    </row>
    <row r="793" spans="1:8" x14ac:dyDescent="0.2">
      <c r="A793" s="79" t="s">
        <v>7736</v>
      </c>
      <c r="B793" s="79" t="s">
        <v>8109</v>
      </c>
      <c r="C793" s="79" t="s">
        <v>7419</v>
      </c>
      <c r="D793" s="79" t="s">
        <v>7312</v>
      </c>
      <c r="E793" s="79">
        <v>3000</v>
      </c>
      <c r="G793" s="79" t="s">
        <v>7313</v>
      </c>
      <c r="H793" s="80">
        <v>12739657</v>
      </c>
    </row>
    <row r="794" spans="1:8" x14ac:dyDescent="0.2">
      <c r="A794" s="79" t="s">
        <v>7736</v>
      </c>
      <c r="B794" s="79" t="s">
        <v>8110</v>
      </c>
      <c r="C794" s="79" t="s">
        <v>7419</v>
      </c>
      <c r="D794" s="79" t="s">
        <v>7312</v>
      </c>
      <c r="E794" s="79">
        <v>3000</v>
      </c>
      <c r="G794" s="79" t="s">
        <v>7313</v>
      </c>
      <c r="H794" s="80">
        <v>13883626</v>
      </c>
    </row>
    <row r="795" spans="1:8" x14ac:dyDescent="0.2">
      <c r="A795" s="79" t="s">
        <v>7736</v>
      </c>
      <c r="B795" s="79" t="s">
        <v>8111</v>
      </c>
      <c r="C795" s="79" t="s">
        <v>7419</v>
      </c>
      <c r="D795" s="79" t="s">
        <v>7312</v>
      </c>
      <c r="E795" s="79">
        <v>3000</v>
      </c>
      <c r="G795" s="79" t="s">
        <v>7313</v>
      </c>
      <c r="H795" s="80">
        <v>15505983</v>
      </c>
    </row>
    <row r="796" spans="1:8" x14ac:dyDescent="0.2">
      <c r="A796" s="79" t="s">
        <v>7736</v>
      </c>
      <c r="B796" s="79" t="s">
        <v>8112</v>
      </c>
      <c r="C796" s="79" t="s">
        <v>7419</v>
      </c>
      <c r="D796" s="79" t="s">
        <v>7328</v>
      </c>
      <c r="E796" s="79">
        <v>3000</v>
      </c>
      <c r="G796" s="79" t="s">
        <v>7313</v>
      </c>
      <c r="H796" s="80">
        <v>12675438.73</v>
      </c>
    </row>
    <row r="797" spans="1:8" x14ac:dyDescent="0.2">
      <c r="A797" s="79" t="s">
        <v>7736</v>
      </c>
      <c r="B797" s="79" t="s">
        <v>8113</v>
      </c>
      <c r="C797" s="79" t="s">
        <v>7419</v>
      </c>
      <c r="D797" s="79" t="s">
        <v>7328</v>
      </c>
      <c r="E797" s="79">
        <v>3000</v>
      </c>
      <c r="G797" s="79" t="s">
        <v>7313</v>
      </c>
      <c r="H797" s="80">
        <v>13948615.74</v>
      </c>
    </row>
    <row r="798" spans="1:8" x14ac:dyDescent="0.2">
      <c r="A798" s="79" t="s">
        <v>7736</v>
      </c>
      <c r="B798" s="79" t="s">
        <v>8114</v>
      </c>
      <c r="C798" s="79" t="s">
        <v>7419</v>
      </c>
      <c r="D798" s="79" t="s">
        <v>7328</v>
      </c>
      <c r="E798" s="79">
        <v>3000</v>
      </c>
      <c r="G798" s="79" t="s">
        <v>7313</v>
      </c>
      <c r="H798" s="80">
        <v>15199259.109999999</v>
      </c>
    </row>
    <row r="799" spans="1:8" x14ac:dyDescent="0.2">
      <c r="A799" s="79" t="s">
        <v>7736</v>
      </c>
      <c r="B799" s="79" t="s">
        <v>8115</v>
      </c>
      <c r="C799" s="79" t="s">
        <v>7419</v>
      </c>
      <c r="D799" s="79" t="s">
        <v>7328</v>
      </c>
      <c r="E799" s="79">
        <v>3000</v>
      </c>
      <c r="G799" s="79" t="s">
        <v>7313</v>
      </c>
      <c r="H799" s="80">
        <v>16945653.329999998</v>
      </c>
    </row>
    <row r="800" spans="1:8" x14ac:dyDescent="0.2">
      <c r="A800" s="79" t="s">
        <v>7736</v>
      </c>
      <c r="B800" s="79" t="s">
        <v>8116</v>
      </c>
      <c r="C800" s="79" t="s">
        <v>7419</v>
      </c>
      <c r="D800" s="79" t="s">
        <v>7328</v>
      </c>
      <c r="E800" s="79">
        <v>3000</v>
      </c>
      <c r="G800" s="79" t="s">
        <v>7313</v>
      </c>
      <c r="H800" s="80">
        <v>18613177.109999999</v>
      </c>
    </row>
    <row r="801" spans="1:8" x14ac:dyDescent="0.2">
      <c r="A801" s="79" t="s">
        <v>7736</v>
      </c>
      <c r="B801" s="79" t="s">
        <v>8117</v>
      </c>
      <c r="C801" s="79" t="s">
        <v>7419</v>
      </c>
      <c r="D801" s="79" t="s">
        <v>7328</v>
      </c>
      <c r="E801" s="79">
        <v>2700</v>
      </c>
      <c r="G801" s="79" t="s">
        <v>7313</v>
      </c>
      <c r="H801" s="80">
        <v>8992220</v>
      </c>
    </row>
    <row r="802" spans="1:8" x14ac:dyDescent="0.2">
      <c r="A802" s="79" t="s">
        <v>7736</v>
      </c>
      <c r="B802" s="79" t="s">
        <v>8118</v>
      </c>
      <c r="C802" s="79" t="s">
        <v>7419</v>
      </c>
      <c r="D802" s="79" t="s">
        <v>7328</v>
      </c>
      <c r="E802" s="79">
        <v>2700</v>
      </c>
      <c r="G802" s="79" t="s">
        <v>7313</v>
      </c>
      <c r="H802" s="80">
        <v>7908820</v>
      </c>
    </row>
    <row r="803" spans="1:8" x14ac:dyDescent="0.2">
      <c r="A803" s="79" t="s">
        <v>7736</v>
      </c>
      <c r="B803" s="79" t="s">
        <v>8119</v>
      </c>
      <c r="C803" s="79" t="s">
        <v>7419</v>
      </c>
      <c r="D803" s="79" t="s">
        <v>7328</v>
      </c>
      <c r="E803" s="79">
        <v>2700</v>
      </c>
      <c r="G803" s="79" t="s">
        <v>7313</v>
      </c>
      <c r="H803" s="80">
        <v>10292300</v>
      </c>
    </row>
    <row r="804" spans="1:8" x14ac:dyDescent="0.2">
      <c r="A804" s="79" t="s">
        <v>7736</v>
      </c>
      <c r="B804" s="79" t="s">
        <v>8120</v>
      </c>
      <c r="C804" s="79" t="s">
        <v>7419</v>
      </c>
      <c r="D804" s="79" t="s">
        <v>7328</v>
      </c>
      <c r="E804" s="79">
        <v>3000</v>
      </c>
      <c r="G804" s="79" t="s">
        <v>7313</v>
      </c>
      <c r="H804" s="80">
        <v>11863230</v>
      </c>
    </row>
    <row r="805" spans="1:8" x14ac:dyDescent="0.2">
      <c r="A805" s="79" t="s">
        <v>7736</v>
      </c>
      <c r="B805" s="79" t="s">
        <v>8121</v>
      </c>
      <c r="C805" s="79" t="s">
        <v>7419</v>
      </c>
      <c r="D805" s="79" t="s">
        <v>7328</v>
      </c>
      <c r="E805" s="79">
        <v>3000</v>
      </c>
      <c r="G805" s="79" t="s">
        <v>7313</v>
      </c>
      <c r="H805" s="80">
        <v>13542500</v>
      </c>
    </row>
    <row r="806" spans="1:8" x14ac:dyDescent="0.2">
      <c r="A806" s="79" t="s">
        <v>7736</v>
      </c>
      <c r="B806" s="79" t="s">
        <v>8122</v>
      </c>
      <c r="C806" s="79" t="s">
        <v>7419</v>
      </c>
      <c r="D806" s="79" t="s">
        <v>7328</v>
      </c>
      <c r="E806" s="79">
        <v>3000</v>
      </c>
      <c r="G806" s="79" t="s">
        <v>7313</v>
      </c>
      <c r="H806" s="80">
        <v>9208900</v>
      </c>
    </row>
    <row r="807" spans="1:8" x14ac:dyDescent="0.2">
      <c r="A807" s="79" t="s">
        <v>7736</v>
      </c>
      <c r="B807" s="79" t="s">
        <v>8123</v>
      </c>
      <c r="C807" s="79" t="s">
        <v>7419</v>
      </c>
      <c r="D807" s="79" t="s">
        <v>7328</v>
      </c>
      <c r="E807" s="79">
        <v>2700</v>
      </c>
      <c r="G807" s="79" t="s">
        <v>7313</v>
      </c>
      <c r="H807" s="80">
        <v>10725660</v>
      </c>
    </row>
    <row r="808" spans="1:8" x14ac:dyDescent="0.2">
      <c r="A808" s="79" t="s">
        <v>7736</v>
      </c>
      <c r="B808" s="79" t="s">
        <v>8124</v>
      </c>
      <c r="C808" s="79" t="s">
        <v>7419</v>
      </c>
      <c r="D808" s="79" t="s">
        <v>7328</v>
      </c>
      <c r="E808" s="79">
        <v>2700</v>
      </c>
      <c r="G808" s="79" t="s">
        <v>7313</v>
      </c>
      <c r="H808" s="80">
        <v>11375700</v>
      </c>
    </row>
    <row r="809" spans="1:8" x14ac:dyDescent="0.2">
      <c r="A809" s="79" t="s">
        <v>7736</v>
      </c>
      <c r="B809" s="79" t="s">
        <v>8121</v>
      </c>
      <c r="C809" s="79" t="s">
        <v>7419</v>
      </c>
      <c r="D809" s="79" t="s">
        <v>7328</v>
      </c>
      <c r="E809" s="79">
        <v>2700</v>
      </c>
      <c r="G809" s="79" t="s">
        <v>7313</v>
      </c>
      <c r="H809" s="80">
        <v>12459100</v>
      </c>
    </row>
    <row r="810" spans="1:8" x14ac:dyDescent="0.2">
      <c r="A810" s="79" t="s">
        <v>7736</v>
      </c>
      <c r="B810" s="79" t="s">
        <v>8125</v>
      </c>
      <c r="C810" s="79" t="s">
        <v>7419</v>
      </c>
      <c r="D810" s="79" t="s">
        <v>7312</v>
      </c>
      <c r="E810" s="79">
        <v>5000</v>
      </c>
      <c r="G810" s="79" t="s">
        <v>7313</v>
      </c>
      <c r="H810" s="80">
        <v>14084200</v>
      </c>
    </row>
    <row r="811" spans="1:8" x14ac:dyDescent="0.2">
      <c r="A811" s="79" t="s">
        <v>7736</v>
      </c>
      <c r="B811" s="79" t="s">
        <v>8126</v>
      </c>
      <c r="C811" s="79" t="s">
        <v>7419</v>
      </c>
      <c r="D811" s="79" t="s">
        <v>7312</v>
      </c>
      <c r="E811" s="79">
        <v>5000</v>
      </c>
      <c r="G811" s="79" t="s">
        <v>7313</v>
      </c>
      <c r="H811" s="80">
        <v>14950920</v>
      </c>
    </row>
    <row r="812" spans="1:8" x14ac:dyDescent="0.2">
      <c r="A812" s="79" t="s">
        <v>7736</v>
      </c>
      <c r="B812" s="79" t="s">
        <v>8127</v>
      </c>
      <c r="C812" s="79" t="s">
        <v>7419</v>
      </c>
      <c r="D812" s="79" t="s">
        <v>7312</v>
      </c>
      <c r="E812" s="79">
        <v>3947</v>
      </c>
      <c r="G812" s="79" t="s">
        <v>7313</v>
      </c>
      <c r="H812" s="80">
        <v>11375700</v>
      </c>
    </row>
    <row r="813" spans="1:8" x14ac:dyDescent="0.2">
      <c r="A813" s="79" t="s">
        <v>7736</v>
      </c>
      <c r="B813" s="79" t="s">
        <v>8128</v>
      </c>
      <c r="C813" s="79" t="s">
        <v>7419</v>
      </c>
      <c r="D813" s="79" t="s">
        <v>7312</v>
      </c>
      <c r="E813" s="79">
        <v>3000</v>
      </c>
      <c r="G813" s="79" t="s">
        <v>7313</v>
      </c>
      <c r="H813" s="80">
        <v>11869800</v>
      </c>
    </row>
    <row r="814" spans="1:8" x14ac:dyDescent="0.2">
      <c r="A814" s="79" t="s">
        <v>7736</v>
      </c>
      <c r="B814" s="79" t="s">
        <v>8129</v>
      </c>
      <c r="C814" s="79" t="s">
        <v>7419</v>
      </c>
      <c r="D814" s="79" t="s">
        <v>7312</v>
      </c>
      <c r="E814" s="79">
        <v>3000</v>
      </c>
      <c r="G814" s="79" t="s">
        <v>7313</v>
      </c>
      <c r="H814" s="80">
        <v>13542500</v>
      </c>
    </row>
    <row r="815" spans="1:8" x14ac:dyDescent="0.2">
      <c r="A815" s="79" t="s">
        <v>7736</v>
      </c>
      <c r="B815" s="79" t="s">
        <v>8130</v>
      </c>
      <c r="C815" s="79" t="s">
        <v>7419</v>
      </c>
      <c r="D815" s="79" t="s">
        <v>7312</v>
      </c>
      <c r="E815" s="79">
        <v>2000</v>
      </c>
      <c r="G815" s="79" t="s">
        <v>7313</v>
      </c>
      <c r="H815" s="80">
        <v>10129327</v>
      </c>
    </row>
    <row r="816" spans="1:8" x14ac:dyDescent="0.2">
      <c r="A816" s="79" t="s">
        <v>7736</v>
      </c>
      <c r="B816" s="79" t="s">
        <v>8131</v>
      </c>
      <c r="C816" s="79" t="s">
        <v>7419</v>
      </c>
      <c r="D816" s="79" t="s">
        <v>7312</v>
      </c>
      <c r="E816" s="79">
        <v>2000</v>
      </c>
      <c r="G816" s="79" t="s">
        <v>7313</v>
      </c>
      <c r="H816" s="80">
        <v>8795140.4000000004</v>
      </c>
    </row>
    <row r="817" spans="1:8" x14ac:dyDescent="0.2">
      <c r="A817" s="79" t="s">
        <v>7736</v>
      </c>
      <c r="B817" s="79" t="s">
        <v>8132</v>
      </c>
      <c r="C817" s="79" t="s">
        <v>7419</v>
      </c>
      <c r="D817" s="79" t="s">
        <v>7312</v>
      </c>
      <c r="E817" s="79">
        <v>2000</v>
      </c>
      <c r="G817" s="79" t="s">
        <v>7313</v>
      </c>
      <c r="H817" s="80">
        <v>9767916</v>
      </c>
    </row>
    <row r="818" spans="1:8" x14ac:dyDescent="0.2">
      <c r="A818" s="79" t="s">
        <v>7736</v>
      </c>
      <c r="B818" s="79" t="s">
        <v>8133</v>
      </c>
      <c r="C818" s="79" t="s">
        <v>7419</v>
      </c>
      <c r="D818" s="79" t="s">
        <v>7312</v>
      </c>
      <c r="E818" s="79">
        <v>2000</v>
      </c>
      <c r="G818" s="79" t="s">
        <v>7313</v>
      </c>
      <c r="H818" s="80">
        <v>10733964.800000001</v>
      </c>
    </row>
    <row r="819" spans="1:8" x14ac:dyDescent="0.2">
      <c r="A819" s="79" t="s">
        <v>7736</v>
      </c>
      <c r="B819" s="79" t="s">
        <v>8134</v>
      </c>
      <c r="C819" s="79" t="s">
        <v>7419</v>
      </c>
      <c r="D819" s="79" t="s">
        <v>7312</v>
      </c>
      <c r="E819" s="79">
        <v>2000</v>
      </c>
      <c r="G819" s="79" t="s">
        <v>7313</v>
      </c>
      <c r="H819" s="80">
        <v>11679833.199999999</v>
      </c>
    </row>
    <row r="820" spans="1:8" x14ac:dyDescent="0.2">
      <c r="A820" s="79" t="s">
        <v>7736</v>
      </c>
      <c r="B820" s="79" t="s">
        <v>8135</v>
      </c>
      <c r="C820" s="79" t="s">
        <v>7419</v>
      </c>
      <c r="D820" s="79" t="s">
        <v>7328</v>
      </c>
      <c r="E820" s="79">
        <v>2000</v>
      </c>
      <c r="G820" s="79" t="s">
        <v>7313</v>
      </c>
      <c r="H820" s="80">
        <v>8795140.4000000004</v>
      </c>
    </row>
    <row r="821" spans="1:8" x14ac:dyDescent="0.2">
      <c r="A821" s="79" t="s">
        <v>7736</v>
      </c>
      <c r="B821" s="79" t="s">
        <v>8136</v>
      </c>
      <c r="C821" s="79" t="s">
        <v>7419</v>
      </c>
      <c r="D821" s="79" t="s">
        <v>7328</v>
      </c>
      <c r="E821" s="79">
        <v>2000</v>
      </c>
      <c r="G821" s="79" t="s">
        <v>7313</v>
      </c>
      <c r="H821" s="80">
        <v>9767916</v>
      </c>
    </row>
    <row r="822" spans="1:8" x14ac:dyDescent="0.2">
      <c r="A822" s="79" t="s">
        <v>7736</v>
      </c>
      <c r="B822" s="79" t="s">
        <v>8137</v>
      </c>
      <c r="C822" s="79" t="s">
        <v>7419</v>
      </c>
      <c r="D822" s="79" t="s">
        <v>7328</v>
      </c>
      <c r="E822" s="79">
        <v>2000</v>
      </c>
      <c r="G822" s="79" t="s">
        <v>7313</v>
      </c>
      <c r="H822" s="80">
        <v>10733964.800000001</v>
      </c>
    </row>
    <row r="823" spans="1:8" x14ac:dyDescent="0.2">
      <c r="A823" s="79" t="s">
        <v>7736</v>
      </c>
      <c r="B823" s="79" t="s">
        <v>8138</v>
      </c>
      <c r="C823" s="79" t="s">
        <v>7419</v>
      </c>
      <c r="D823" s="79" t="s">
        <v>7328</v>
      </c>
      <c r="E823" s="79">
        <v>2000</v>
      </c>
      <c r="G823" s="79" t="s">
        <v>7313</v>
      </c>
      <c r="H823" s="80">
        <v>11679833.199999999</v>
      </c>
    </row>
    <row r="824" spans="1:8" x14ac:dyDescent="0.2">
      <c r="A824" s="79" t="s">
        <v>7736</v>
      </c>
      <c r="B824" s="79" t="s">
        <v>8139</v>
      </c>
      <c r="C824" s="79" t="s">
        <v>7419</v>
      </c>
      <c r="D824" s="79" t="s">
        <v>7328</v>
      </c>
      <c r="E824" s="79">
        <v>3000</v>
      </c>
      <c r="G824" s="79" t="s">
        <v>7313</v>
      </c>
      <c r="H824" s="80">
        <v>12653813.6</v>
      </c>
    </row>
    <row r="825" spans="1:8" x14ac:dyDescent="0.2">
      <c r="A825" s="79" t="s">
        <v>7736</v>
      </c>
      <c r="B825" s="79" t="s">
        <v>8140</v>
      </c>
      <c r="C825" s="79" t="s">
        <v>7419</v>
      </c>
      <c r="D825" s="79" t="s">
        <v>7328</v>
      </c>
      <c r="E825" s="79">
        <v>3000</v>
      </c>
      <c r="G825" s="79" t="s">
        <v>7313</v>
      </c>
      <c r="H825" s="80">
        <v>14385814</v>
      </c>
    </row>
    <row r="826" spans="1:8" x14ac:dyDescent="0.2">
      <c r="A826" s="79" t="s">
        <v>7736</v>
      </c>
      <c r="B826" s="79" t="s">
        <v>8141</v>
      </c>
      <c r="C826" s="79" t="s">
        <v>7419</v>
      </c>
      <c r="D826" s="79" t="s">
        <v>7328</v>
      </c>
      <c r="E826" s="79">
        <v>3000</v>
      </c>
      <c r="G826" s="79" t="s">
        <v>7313</v>
      </c>
      <c r="H826" s="80">
        <v>16008579.199999999</v>
      </c>
    </row>
    <row r="827" spans="1:8" x14ac:dyDescent="0.2">
      <c r="A827" s="79" t="s">
        <v>7736</v>
      </c>
      <c r="B827" s="79" t="s">
        <v>8142</v>
      </c>
      <c r="C827" s="79" t="s">
        <v>7419</v>
      </c>
      <c r="D827" s="79" t="s">
        <v>7328</v>
      </c>
      <c r="E827" s="79">
        <v>3000</v>
      </c>
      <c r="G827" s="79" t="s">
        <v>7313</v>
      </c>
      <c r="H827" s="80">
        <v>17877625.600000001</v>
      </c>
    </row>
    <row r="828" spans="1:8" x14ac:dyDescent="0.2">
      <c r="A828" s="79" t="s">
        <v>7736</v>
      </c>
      <c r="B828" s="79" t="s">
        <v>8139</v>
      </c>
      <c r="C828" s="79" t="s">
        <v>7419</v>
      </c>
      <c r="D828" s="79" t="s">
        <v>7312</v>
      </c>
      <c r="E828" s="79">
        <v>3000</v>
      </c>
      <c r="G828" s="79" t="s">
        <v>7313</v>
      </c>
      <c r="H828" s="80">
        <v>13074389.199999999</v>
      </c>
    </row>
    <row r="829" spans="1:8" x14ac:dyDescent="0.2">
      <c r="A829" s="79" t="s">
        <v>7736</v>
      </c>
      <c r="B829" s="79" t="s">
        <v>8140</v>
      </c>
      <c r="C829" s="79" t="s">
        <v>7419</v>
      </c>
      <c r="D829" s="79" t="s">
        <v>7312</v>
      </c>
      <c r="E829" s="79">
        <v>3000</v>
      </c>
      <c r="G829" s="79" t="s">
        <v>7313</v>
      </c>
      <c r="H829" s="80">
        <v>14487920.800000001</v>
      </c>
    </row>
    <row r="830" spans="1:8" x14ac:dyDescent="0.2">
      <c r="A830" s="79" t="s">
        <v>7736</v>
      </c>
      <c r="B830" s="79" t="s">
        <v>8143</v>
      </c>
      <c r="C830" s="79" t="s">
        <v>7419</v>
      </c>
      <c r="D830" s="79" t="s">
        <v>7328</v>
      </c>
      <c r="E830" s="79">
        <v>2000</v>
      </c>
      <c r="G830" s="79" t="s">
        <v>7313</v>
      </c>
      <c r="H830" s="80">
        <v>9364895.6400000006</v>
      </c>
    </row>
    <row r="831" spans="1:8" x14ac:dyDescent="0.2">
      <c r="A831" s="79" t="s">
        <v>7736</v>
      </c>
      <c r="B831" s="79" t="s">
        <v>8144</v>
      </c>
      <c r="C831" s="79" t="s">
        <v>7419</v>
      </c>
      <c r="D831" s="79" t="s">
        <v>7312</v>
      </c>
      <c r="E831" s="79">
        <v>3000</v>
      </c>
      <c r="G831" s="79" t="s">
        <v>7313</v>
      </c>
      <c r="H831" s="80">
        <v>18738656</v>
      </c>
    </row>
    <row r="832" spans="1:8" x14ac:dyDescent="0.2">
      <c r="A832" s="79" t="s">
        <v>7736</v>
      </c>
      <c r="B832" s="79" t="s">
        <v>8145</v>
      </c>
      <c r="C832" s="79" t="s">
        <v>7419</v>
      </c>
      <c r="D832" s="79" t="s">
        <v>7312</v>
      </c>
      <c r="E832" s="79">
        <v>3000</v>
      </c>
      <c r="G832" s="79" t="s">
        <v>7313</v>
      </c>
      <c r="H832" s="80">
        <v>20222568</v>
      </c>
    </row>
    <row r="833" spans="1:8" x14ac:dyDescent="0.2">
      <c r="A833" s="79" t="s">
        <v>7736</v>
      </c>
      <c r="B833" s="79" t="s">
        <v>8146</v>
      </c>
      <c r="C833" s="79" t="s">
        <v>7419</v>
      </c>
      <c r="D833" s="79" t="s">
        <v>7312</v>
      </c>
      <c r="E833" s="79">
        <v>3000</v>
      </c>
      <c r="G833" s="79" t="s">
        <v>7313</v>
      </c>
      <c r="H833" s="80">
        <v>17264784</v>
      </c>
    </row>
    <row r="834" spans="1:8" x14ac:dyDescent="0.2">
      <c r="A834" s="79" t="s">
        <v>7736</v>
      </c>
      <c r="B834" s="79" t="s">
        <v>8147</v>
      </c>
      <c r="C834" s="79" t="s">
        <v>7419</v>
      </c>
      <c r="D834" s="79" t="s">
        <v>7312</v>
      </c>
      <c r="E834" s="79">
        <v>3000</v>
      </c>
      <c r="G834" s="79" t="s">
        <v>7313</v>
      </c>
      <c r="H834" s="80">
        <v>18471692.399999999</v>
      </c>
    </row>
    <row r="835" spans="1:8" x14ac:dyDescent="0.2">
      <c r="A835" s="79" t="s">
        <v>7736</v>
      </c>
      <c r="B835" s="79" t="s">
        <v>8148</v>
      </c>
      <c r="C835" s="79" t="s">
        <v>7419</v>
      </c>
      <c r="D835" s="79" t="s">
        <v>7312</v>
      </c>
      <c r="E835" s="79">
        <v>3000</v>
      </c>
      <c r="G835" s="79" t="s">
        <v>7313</v>
      </c>
      <c r="H835" s="80">
        <v>19372079.600000001</v>
      </c>
    </row>
    <row r="836" spans="1:8" x14ac:dyDescent="0.2">
      <c r="A836" s="79" t="s">
        <v>7736</v>
      </c>
      <c r="B836" s="79" t="s">
        <v>8149</v>
      </c>
      <c r="C836" s="79" t="s">
        <v>7419</v>
      </c>
      <c r="D836" s="79" t="s">
        <v>7312</v>
      </c>
      <c r="E836" s="79">
        <v>3000</v>
      </c>
      <c r="G836" s="79" t="s">
        <v>7313</v>
      </c>
      <c r="H836" s="80">
        <v>20894444.800000001</v>
      </c>
    </row>
    <row r="837" spans="1:8" x14ac:dyDescent="0.2">
      <c r="A837" s="79" t="s">
        <v>7736</v>
      </c>
      <c r="B837" s="79" t="s">
        <v>8150</v>
      </c>
      <c r="C837" s="79" t="s">
        <v>7419</v>
      </c>
      <c r="D837" s="79" t="s">
        <v>7312</v>
      </c>
      <c r="E837" s="79">
        <v>3000</v>
      </c>
      <c r="G837" s="79" t="s">
        <v>7313</v>
      </c>
      <c r="H837" s="80">
        <v>46371740.130000003</v>
      </c>
    </row>
    <row r="838" spans="1:8" x14ac:dyDescent="0.2">
      <c r="A838" s="79" t="s">
        <v>7736</v>
      </c>
      <c r="B838" s="79" t="s">
        <v>8151</v>
      </c>
      <c r="C838" s="79" t="s">
        <v>7335</v>
      </c>
      <c r="D838" s="79" t="s">
        <v>7312</v>
      </c>
      <c r="E838" s="79">
        <v>1800</v>
      </c>
      <c r="G838" s="79" t="s">
        <v>7313</v>
      </c>
      <c r="H838" s="80">
        <v>3960000</v>
      </c>
    </row>
    <row r="839" spans="1:8" x14ac:dyDescent="0.2">
      <c r="A839" s="79" t="s">
        <v>7736</v>
      </c>
      <c r="B839" s="79" t="s">
        <v>8151</v>
      </c>
      <c r="C839" s="79" t="s">
        <v>7335</v>
      </c>
      <c r="D839" s="79" t="s">
        <v>7312</v>
      </c>
      <c r="E839" s="79">
        <v>3190</v>
      </c>
      <c r="G839" s="79" t="s">
        <v>7313</v>
      </c>
      <c r="H839" s="80">
        <v>7380000</v>
      </c>
    </row>
    <row r="840" spans="1:8" x14ac:dyDescent="0.2">
      <c r="A840" s="79" t="s">
        <v>7736</v>
      </c>
      <c r="B840" s="79" t="s">
        <v>8152</v>
      </c>
      <c r="C840" s="79" t="s">
        <v>7335</v>
      </c>
      <c r="D840" s="79" t="s">
        <v>7328</v>
      </c>
      <c r="E840" s="79">
        <v>2000</v>
      </c>
      <c r="G840" s="79" t="s">
        <v>7313</v>
      </c>
      <c r="H840" s="80">
        <v>4400000</v>
      </c>
    </row>
    <row r="841" spans="1:8" x14ac:dyDescent="0.2">
      <c r="A841" s="79" t="s">
        <v>7736</v>
      </c>
      <c r="B841" s="79" t="s">
        <v>8153</v>
      </c>
      <c r="C841" s="79" t="s">
        <v>7335</v>
      </c>
      <c r="D841" s="79" t="s">
        <v>7328</v>
      </c>
      <c r="E841" s="79">
        <v>2000</v>
      </c>
      <c r="F841" s="79" t="s">
        <v>7349</v>
      </c>
      <c r="G841" s="79" t="s">
        <v>7313</v>
      </c>
      <c r="H841" s="80">
        <v>4900000</v>
      </c>
    </row>
    <row r="842" spans="1:8" x14ac:dyDescent="0.2">
      <c r="A842" s="79" t="s">
        <v>7736</v>
      </c>
      <c r="B842" s="79" t="s">
        <v>8154</v>
      </c>
      <c r="C842" s="79" t="s">
        <v>7335</v>
      </c>
      <c r="D842" s="79" t="s">
        <v>7328</v>
      </c>
      <c r="E842" s="79">
        <v>2200</v>
      </c>
      <c r="G842" s="79" t="s">
        <v>7313</v>
      </c>
      <c r="H842" s="80">
        <v>5700000</v>
      </c>
    </row>
    <row r="843" spans="1:8" x14ac:dyDescent="0.2">
      <c r="A843" s="79" t="s">
        <v>7736</v>
      </c>
      <c r="B843" s="79" t="s">
        <v>8155</v>
      </c>
      <c r="C843" s="79" t="s">
        <v>7335</v>
      </c>
      <c r="D843" s="79" t="s">
        <v>7328</v>
      </c>
      <c r="E843" s="79">
        <v>2200</v>
      </c>
      <c r="G843" s="79" t="s">
        <v>7313</v>
      </c>
      <c r="H843" s="80">
        <v>5900000</v>
      </c>
    </row>
    <row r="844" spans="1:8" x14ac:dyDescent="0.2">
      <c r="A844" s="79" t="s">
        <v>7736</v>
      </c>
      <c r="B844" s="79" t="s">
        <v>8156</v>
      </c>
      <c r="C844" s="79" t="s">
        <v>7335</v>
      </c>
      <c r="D844" s="79" t="s">
        <v>7328</v>
      </c>
      <c r="E844" s="79">
        <v>2000</v>
      </c>
      <c r="G844" s="79" t="s">
        <v>7313</v>
      </c>
      <c r="H844" s="80">
        <v>4100000</v>
      </c>
    </row>
    <row r="845" spans="1:8" x14ac:dyDescent="0.2">
      <c r="A845" s="79" t="s">
        <v>7736</v>
      </c>
      <c r="B845" s="79" t="s">
        <v>8156</v>
      </c>
      <c r="C845" s="79" t="s">
        <v>7335</v>
      </c>
      <c r="D845" s="79" t="s">
        <v>7312</v>
      </c>
      <c r="E845" s="79">
        <v>2500</v>
      </c>
      <c r="G845" s="79" t="s">
        <v>7313</v>
      </c>
      <c r="H845" s="80">
        <v>5125000</v>
      </c>
    </row>
    <row r="846" spans="1:8" x14ac:dyDescent="0.2">
      <c r="A846" s="79" t="s">
        <v>7736</v>
      </c>
      <c r="B846" s="79" t="s">
        <v>8157</v>
      </c>
      <c r="C846" s="79" t="s">
        <v>7335</v>
      </c>
      <c r="D846" s="79" t="s">
        <v>7328</v>
      </c>
      <c r="E846" s="79">
        <v>2200</v>
      </c>
      <c r="G846" s="79" t="s">
        <v>7313</v>
      </c>
      <c r="H846" s="80">
        <v>6200000</v>
      </c>
    </row>
    <row r="847" spans="1:8" x14ac:dyDescent="0.2">
      <c r="A847" s="79" t="s">
        <v>7736</v>
      </c>
      <c r="B847" s="79" t="s">
        <v>8158</v>
      </c>
      <c r="C847" s="79" t="s">
        <v>7335</v>
      </c>
      <c r="D847" s="79" t="s">
        <v>7328</v>
      </c>
      <c r="E847" s="79">
        <v>2200</v>
      </c>
      <c r="G847" s="79" t="s">
        <v>7313</v>
      </c>
      <c r="H847" s="80">
        <v>7000000</v>
      </c>
    </row>
    <row r="848" spans="1:8" x14ac:dyDescent="0.2">
      <c r="A848" s="79" t="s">
        <v>7736</v>
      </c>
      <c r="B848" s="79" t="s">
        <v>8159</v>
      </c>
      <c r="C848" s="79" t="s">
        <v>7335</v>
      </c>
      <c r="D848" s="79" t="s">
        <v>7328</v>
      </c>
      <c r="E848" s="79">
        <v>2200</v>
      </c>
      <c r="G848" s="79" t="s">
        <v>7313</v>
      </c>
      <c r="H848" s="80">
        <v>6950000</v>
      </c>
    </row>
    <row r="849" spans="1:8" x14ac:dyDescent="0.2">
      <c r="A849" s="79" t="s">
        <v>7736</v>
      </c>
      <c r="B849" s="79" t="s">
        <v>8160</v>
      </c>
      <c r="C849" s="79" t="s">
        <v>7335</v>
      </c>
      <c r="D849" s="79" t="s">
        <v>7328</v>
      </c>
      <c r="E849" s="79">
        <v>2200</v>
      </c>
      <c r="G849" s="79" t="s">
        <v>7313</v>
      </c>
      <c r="H849" s="80">
        <v>8500000</v>
      </c>
    </row>
    <row r="850" spans="1:8" x14ac:dyDescent="0.2">
      <c r="A850" s="79" t="s">
        <v>7736</v>
      </c>
      <c r="B850" s="79" t="s">
        <v>8161</v>
      </c>
      <c r="C850" s="79" t="s">
        <v>7335</v>
      </c>
      <c r="D850" s="79" t="s">
        <v>7328</v>
      </c>
      <c r="E850" s="79">
        <v>2200</v>
      </c>
      <c r="G850" s="79" t="s">
        <v>7313</v>
      </c>
      <c r="H850" s="80">
        <v>8900000</v>
      </c>
    </row>
    <row r="851" spans="1:8" x14ac:dyDescent="0.2">
      <c r="A851" s="79" t="s">
        <v>7736</v>
      </c>
      <c r="B851" s="79" t="s">
        <v>8162</v>
      </c>
      <c r="C851" s="79" t="s">
        <v>7335</v>
      </c>
      <c r="D851" s="79" t="s">
        <v>7312</v>
      </c>
      <c r="E851" s="79">
        <v>2000</v>
      </c>
      <c r="G851" s="79" t="s">
        <v>7313</v>
      </c>
      <c r="H851" s="80">
        <v>7500000</v>
      </c>
    </row>
    <row r="852" spans="1:8" x14ac:dyDescent="0.2">
      <c r="A852" s="79" t="s">
        <v>7736</v>
      </c>
      <c r="B852" s="79" t="s">
        <v>8163</v>
      </c>
      <c r="C852" s="79" t="s">
        <v>7335</v>
      </c>
      <c r="D852" s="79" t="s">
        <v>7312</v>
      </c>
      <c r="E852" s="79">
        <v>2000</v>
      </c>
      <c r="G852" s="79" t="s">
        <v>7313</v>
      </c>
      <c r="H852" s="80">
        <v>7900000</v>
      </c>
    </row>
    <row r="853" spans="1:8" x14ac:dyDescent="0.2">
      <c r="A853" s="79" t="s">
        <v>8164</v>
      </c>
      <c r="B853" s="79" t="s">
        <v>8165</v>
      </c>
      <c r="C853" s="79" t="s">
        <v>7370</v>
      </c>
      <c r="D853" s="79" t="s">
        <v>8166</v>
      </c>
      <c r="E853" s="79" t="s">
        <v>8167</v>
      </c>
      <c r="G853" s="79" t="s">
        <v>7329</v>
      </c>
      <c r="H853" s="80">
        <v>3201600</v>
      </c>
    </row>
    <row r="854" spans="1:8" x14ac:dyDescent="0.2">
      <c r="A854" s="79" t="s">
        <v>8164</v>
      </c>
      <c r="B854" s="79" t="s">
        <v>8168</v>
      </c>
      <c r="C854" s="79" t="s">
        <v>7370</v>
      </c>
      <c r="D854" s="79" t="s">
        <v>8166</v>
      </c>
      <c r="E854" s="79" t="s">
        <v>8169</v>
      </c>
      <c r="G854" s="79" t="s">
        <v>7329</v>
      </c>
      <c r="H854" s="80">
        <v>3700400</v>
      </c>
    </row>
    <row r="855" spans="1:8" x14ac:dyDescent="0.2">
      <c r="A855" s="79" t="s">
        <v>8164</v>
      </c>
      <c r="B855" s="79" t="s">
        <v>8170</v>
      </c>
      <c r="C855" s="79" t="s">
        <v>7370</v>
      </c>
      <c r="D855" s="79" t="s">
        <v>8166</v>
      </c>
      <c r="E855" s="79" t="s">
        <v>8171</v>
      </c>
      <c r="G855" s="79" t="s">
        <v>7329</v>
      </c>
      <c r="H855" s="80">
        <v>4553000</v>
      </c>
    </row>
    <row r="856" spans="1:8" x14ac:dyDescent="0.2">
      <c r="A856" s="79" t="s">
        <v>8164</v>
      </c>
      <c r="B856" s="79" t="s">
        <v>8172</v>
      </c>
      <c r="C856" s="79" t="s">
        <v>7370</v>
      </c>
      <c r="D856" s="79" t="s">
        <v>8166</v>
      </c>
      <c r="E856" s="79" t="s">
        <v>8171</v>
      </c>
      <c r="G856" s="79" t="s">
        <v>7329</v>
      </c>
      <c r="H856" s="80">
        <v>5202600</v>
      </c>
    </row>
    <row r="857" spans="1:8" x14ac:dyDescent="0.2">
      <c r="A857" s="79" t="s">
        <v>8164</v>
      </c>
      <c r="B857" s="79" t="s">
        <v>8173</v>
      </c>
      <c r="C857" s="79" t="s">
        <v>7370</v>
      </c>
      <c r="D857" s="79" t="s">
        <v>8166</v>
      </c>
      <c r="E857" s="79" t="s">
        <v>8169</v>
      </c>
      <c r="G857" s="79" t="s">
        <v>7329</v>
      </c>
      <c r="H857" s="80">
        <v>4988000</v>
      </c>
    </row>
    <row r="858" spans="1:8" x14ac:dyDescent="0.2">
      <c r="A858" s="79" t="s">
        <v>8164</v>
      </c>
      <c r="B858" s="79" t="s">
        <v>8174</v>
      </c>
      <c r="C858" s="79" t="s">
        <v>7370</v>
      </c>
      <c r="D858" s="79" t="s">
        <v>8166</v>
      </c>
      <c r="E858" s="79" t="s">
        <v>8169</v>
      </c>
      <c r="G858" s="79" t="s">
        <v>7329</v>
      </c>
      <c r="H858" s="80">
        <v>5800000</v>
      </c>
    </row>
    <row r="859" spans="1:8" x14ac:dyDescent="0.2">
      <c r="A859" s="79" t="s">
        <v>8164</v>
      </c>
      <c r="B859" s="79" t="s">
        <v>8175</v>
      </c>
      <c r="C859" s="79" t="s">
        <v>7370</v>
      </c>
      <c r="D859" s="79" t="s">
        <v>8166</v>
      </c>
      <c r="E859" s="79" t="s">
        <v>8169</v>
      </c>
      <c r="G859" s="79" t="s">
        <v>7329</v>
      </c>
      <c r="H859" s="80">
        <v>7424000</v>
      </c>
    </row>
    <row r="860" spans="1:8" x14ac:dyDescent="0.2">
      <c r="A860" s="79" t="s">
        <v>8164</v>
      </c>
      <c r="B860" s="79" t="s">
        <v>8176</v>
      </c>
      <c r="C860" s="79" t="s">
        <v>7370</v>
      </c>
      <c r="D860" s="79" t="s">
        <v>8166</v>
      </c>
      <c r="E860" s="79" t="s">
        <v>8171</v>
      </c>
      <c r="G860" s="79" t="s">
        <v>7329</v>
      </c>
      <c r="H860" s="80">
        <v>5249000</v>
      </c>
    </row>
    <row r="861" spans="1:8" x14ac:dyDescent="0.2">
      <c r="A861" s="79" t="s">
        <v>8164</v>
      </c>
      <c r="B861" s="79" t="s">
        <v>8177</v>
      </c>
      <c r="C861" s="79" t="s">
        <v>7370</v>
      </c>
      <c r="D861" s="79" t="s">
        <v>8166</v>
      </c>
      <c r="E861" s="79" t="s">
        <v>8171</v>
      </c>
      <c r="G861" s="79" t="s">
        <v>7329</v>
      </c>
      <c r="H861" s="80">
        <v>5904400</v>
      </c>
    </row>
    <row r="862" spans="1:8" x14ac:dyDescent="0.2">
      <c r="A862" s="79" t="s">
        <v>8164</v>
      </c>
      <c r="B862" s="79" t="s">
        <v>8178</v>
      </c>
      <c r="C862" s="79" t="s">
        <v>7370</v>
      </c>
      <c r="D862" s="79" t="s">
        <v>8166</v>
      </c>
      <c r="E862" s="79" t="s">
        <v>8179</v>
      </c>
      <c r="G862" s="79" t="s">
        <v>7376</v>
      </c>
      <c r="H862" s="80">
        <v>7899600</v>
      </c>
    </row>
    <row r="863" spans="1:8" x14ac:dyDescent="0.2">
      <c r="A863" s="79" t="s">
        <v>8164</v>
      </c>
      <c r="B863" s="79">
        <v>4923</v>
      </c>
      <c r="C863" s="79" t="s">
        <v>7438</v>
      </c>
      <c r="D863" s="79" t="s">
        <v>8166</v>
      </c>
      <c r="E863" s="79" t="s">
        <v>8179</v>
      </c>
      <c r="G863" s="79" t="s">
        <v>7376</v>
      </c>
      <c r="H863" s="80">
        <v>6960000</v>
      </c>
    </row>
    <row r="864" spans="1:8" x14ac:dyDescent="0.2">
      <c r="A864" s="79" t="s">
        <v>8164</v>
      </c>
      <c r="B864" s="79" t="s">
        <v>8180</v>
      </c>
      <c r="C864" s="79" t="s">
        <v>8181</v>
      </c>
      <c r="D864" s="79" t="s">
        <v>8166</v>
      </c>
      <c r="E864" s="79" t="s">
        <v>8169</v>
      </c>
      <c r="G864" s="79" t="s">
        <v>7329</v>
      </c>
      <c r="H864" s="80">
        <v>4872000</v>
      </c>
    </row>
    <row r="865" spans="1:8" x14ac:dyDescent="0.2">
      <c r="A865" s="79" t="s">
        <v>8164</v>
      </c>
      <c r="B865" s="79" t="s">
        <v>8182</v>
      </c>
      <c r="C865" s="79" t="s">
        <v>7438</v>
      </c>
      <c r="D865" s="79" t="s">
        <v>8166</v>
      </c>
      <c r="E865" s="79" t="s">
        <v>8183</v>
      </c>
      <c r="G865" s="79" t="s">
        <v>7329</v>
      </c>
      <c r="H865" s="80">
        <v>5800000</v>
      </c>
    </row>
    <row r="866" spans="1:8" x14ac:dyDescent="0.2">
      <c r="A866" s="79" t="s">
        <v>8164</v>
      </c>
      <c r="B866" s="79" t="s">
        <v>8184</v>
      </c>
      <c r="C866" s="79" t="s">
        <v>8181</v>
      </c>
      <c r="D866" s="79" t="s">
        <v>8166</v>
      </c>
      <c r="E866" s="79" t="s">
        <v>8185</v>
      </c>
      <c r="G866" s="79" t="s">
        <v>7329</v>
      </c>
      <c r="H866" s="80">
        <v>3500000</v>
      </c>
    </row>
    <row r="867" spans="1:8" x14ac:dyDescent="0.2">
      <c r="A867" s="79" t="s">
        <v>8164</v>
      </c>
      <c r="B867" s="79" t="s">
        <v>8186</v>
      </c>
      <c r="C867" s="79" t="s">
        <v>8181</v>
      </c>
      <c r="D867" s="79" t="s">
        <v>8166</v>
      </c>
      <c r="E867" s="79" t="s">
        <v>8187</v>
      </c>
      <c r="G867" s="79" t="s">
        <v>7329</v>
      </c>
      <c r="H867" s="80">
        <v>5800000</v>
      </c>
    </row>
    <row r="868" spans="1:8" x14ac:dyDescent="0.2">
      <c r="A868" s="79" t="s">
        <v>8164</v>
      </c>
      <c r="B868" s="79" t="s">
        <v>8186</v>
      </c>
      <c r="C868" s="79" t="s">
        <v>8181</v>
      </c>
      <c r="D868" s="79" t="s">
        <v>8166</v>
      </c>
      <c r="E868" s="79" t="s">
        <v>8187</v>
      </c>
      <c r="G868" s="79" t="s">
        <v>7329</v>
      </c>
      <c r="H868" s="80">
        <v>6090000</v>
      </c>
    </row>
    <row r="869" spans="1:8" x14ac:dyDescent="0.2">
      <c r="A869" s="79" t="s">
        <v>8164</v>
      </c>
      <c r="B869" s="79" t="s">
        <v>8186</v>
      </c>
      <c r="C869" s="79" t="s">
        <v>8181</v>
      </c>
      <c r="D869" s="79" t="s">
        <v>8166</v>
      </c>
      <c r="E869" s="79" t="s">
        <v>8169</v>
      </c>
      <c r="G869" s="79" t="s">
        <v>7329</v>
      </c>
      <c r="H869" s="80">
        <v>6264000</v>
      </c>
    </row>
    <row r="870" spans="1:8" x14ac:dyDescent="0.2">
      <c r="A870" s="79" t="s">
        <v>8164</v>
      </c>
      <c r="B870" s="79" t="s">
        <v>8186</v>
      </c>
      <c r="C870" s="79" t="s">
        <v>8181</v>
      </c>
      <c r="D870" s="79" t="s">
        <v>8166</v>
      </c>
      <c r="E870" s="79" t="s">
        <v>8169</v>
      </c>
      <c r="G870" s="79" t="s">
        <v>7329</v>
      </c>
      <c r="H870" s="80">
        <v>7192000</v>
      </c>
    </row>
    <row r="871" spans="1:8" x14ac:dyDescent="0.2">
      <c r="A871" s="79" t="s">
        <v>8164</v>
      </c>
      <c r="B871" s="79" t="s">
        <v>8188</v>
      </c>
      <c r="C871" s="79" t="s">
        <v>8181</v>
      </c>
      <c r="D871" s="79" t="s">
        <v>8166</v>
      </c>
      <c r="E871" s="79" t="s">
        <v>8185</v>
      </c>
      <c r="G871" s="79" t="s">
        <v>7329</v>
      </c>
      <c r="H871" s="80">
        <v>6200000</v>
      </c>
    </row>
    <row r="872" spans="1:8" x14ac:dyDescent="0.2">
      <c r="A872" s="79" t="s">
        <v>8164</v>
      </c>
      <c r="B872" s="79" t="s">
        <v>8189</v>
      </c>
      <c r="C872" s="79" t="s">
        <v>8181</v>
      </c>
      <c r="D872" s="79" t="s">
        <v>8166</v>
      </c>
      <c r="E872" s="79" t="s">
        <v>8190</v>
      </c>
      <c r="G872" s="79" t="s">
        <v>7329</v>
      </c>
      <c r="H872" s="80">
        <v>8004000</v>
      </c>
    </row>
    <row r="873" spans="1:8" x14ac:dyDescent="0.2">
      <c r="A873" s="79" t="s">
        <v>8191</v>
      </c>
      <c r="B873" s="79" t="s">
        <v>8192</v>
      </c>
      <c r="C873" s="79" t="s">
        <v>7370</v>
      </c>
      <c r="D873" s="79" t="s">
        <v>8166</v>
      </c>
      <c r="E873" s="79">
        <v>4500</v>
      </c>
      <c r="G873" s="79" t="s">
        <v>7329</v>
      </c>
      <c r="H873" s="80">
        <v>2470000</v>
      </c>
    </row>
    <row r="874" spans="1:8" x14ac:dyDescent="0.2">
      <c r="A874" s="79" t="s">
        <v>8191</v>
      </c>
      <c r="B874" s="79" t="s">
        <v>8193</v>
      </c>
      <c r="C874" s="79" t="s">
        <v>7438</v>
      </c>
      <c r="D874" s="79" t="s">
        <v>8166</v>
      </c>
      <c r="E874" s="79">
        <v>12900</v>
      </c>
      <c r="G874" s="79" t="s">
        <v>7869</v>
      </c>
      <c r="H874" s="80">
        <v>7480000</v>
      </c>
    </row>
    <row r="875" spans="1:8" x14ac:dyDescent="0.2">
      <c r="A875" s="79" t="s">
        <v>8194</v>
      </c>
      <c r="B875" s="79" t="s">
        <v>8195</v>
      </c>
      <c r="C875" s="79" t="s">
        <v>7438</v>
      </c>
      <c r="D875" s="79" t="s">
        <v>7328</v>
      </c>
      <c r="E875" s="79" t="s">
        <v>8196</v>
      </c>
      <c r="G875" s="79" t="s">
        <v>7329</v>
      </c>
      <c r="H875" s="80">
        <v>18269700</v>
      </c>
    </row>
    <row r="876" spans="1:8" x14ac:dyDescent="0.2">
      <c r="A876" s="79" t="s">
        <v>8197</v>
      </c>
      <c r="B876" s="79" t="s">
        <v>8198</v>
      </c>
      <c r="C876" s="79" t="s">
        <v>7619</v>
      </c>
      <c r="D876" s="79" t="s">
        <v>7328</v>
      </c>
      <c r="E876" s="79">
        <v>2498</v>
      </c>
      <c r="G876" s="79" t="s">
        <v>7329</v>
      </c>
      <c r="H876" s="80">
        <v>1496000</v>
      </c>
    </row>
    <row r="877" spans="1:8" x14ac:dyDescent="0.2">
      <c r="A877" s="79" t="s">
        <v>8197</v>
      </c>
      <c r="B877" s="79" t="s">
        <v>8198</v>
      </c>
      <c r="C877" s="79" t="s">
        <v>7619</v>
      </c>
      <c r="D877" s="79" t="s">
        <v>7328</v>
      </c>
      <c r="E877" s="79">
        <v>2498</v>
      </c>
      <c r="G877" s="79" t="s">
        <v>7313</v>
      </c>
      <c r="H877" s="80">
        <v>1850000</v>
      </c>
    </row>
    <row r="878" spans="1:8" x14ac:dyDescent="0.2">
      <c r="A878" s="79" t="s">
        <v>8197</v>
      </c>
      <c r="B878" s="79" t="s">
        <v>8198</v>
      </c>
      <c r="C878" s="79" t="s">
        <v>7614</v>
      </c>
      <c r="D878" s="79" t="s">
        <v>7328</v>
      </c>
      <c r="E878" s="79">
        <v>2498</v>
      </c>
      <c r="G878" s="79" t="s">
        <v>7329</v>
      </c>
      <c r="H878" s="80">
        <v>2146000</v>
      </c>
    </row>
    <row r="879" spans="1:8" x14ac:dyDescent="0.2">
      <c r="A879" s="79" t="s">
        <v>8197</v>
      </c>
      <c r="B879" s="79" t="s">
        <v>8198</v>
      </c>
      <c r="C879" s="79" t="s">
        <v>7614</v>
      </c>
      <c r="D879" s="79" t="s">
        <v>7328</v>
      </c>
      <c r="E879" s="79">
        <v>2498</v>
      </c>
      <c r="G879" s="79" t="s">
        <v>7313</v>
      </c>
      <c r="H879" s="80">
        <v>2262000</v>
      </c>
    </row>
    <row r="880" spans="1:8" x14ac:dyDescent="0.2">
      <c r="A880" s="79" t="s">
        <v>8197</v>
      </c>
      <c r="B880" s="79" t="s">
        <v>8199</v>
      </c>
      <c r="C880" s="79" t="s">
        <v>7619</v>
      </c>
      <c r="D880" s="79" t="s">
        <v>7328</v>
      </c>
      <c r="E880" s="79">
        <v>2498</v>
      </c>
      <c r="G880" s="79" t="s">
        <v>7329</v>
      </c>
      <c r="H880" s="80">
        <v>2117000</v>
      </c>
    </row>
    <row r="881" spans="1:8" x14ac:dyDescent="0.2">
      <c r="A881" s="79" t="s">
        <v>8197</v>
      </c>
      <c r="B881" s="79" t="s">
        <v>8199</v>
      </c>
      <c r="C881" s="79" t="s">
        <v>7619</v>
      </c>
      <c r="D881" s="79" t="s">
        <v>7328</v>
      </c>
      <c r="E881" s="79">
        <v>2499</v>
      </c>
      <c r="G881" s="79" t="s">
        <v>7313</v>
      </c>
      <c r="H881" s="80">
        <v>2378000</v>
      </c>
    </row>
    <row r="882" spans="1:8" x14ac:dyDescent="0.2">
      <c r="A882" s="79" t="s">
        <v>8197</v>
      </c>
      <c r="B882" s="79" t="s">
        <v>8199</v>
      </c>
      <c r="C882" s="79" t="s">
        <v>8200</v>
      </c>
      <c r="D882" s="79" t="s">
        <v>7328</v>
      </c>
      <c r="E882" s="79">
        <v>2498</v>
      </c>
      <c r="G882" s="79" t="s">
        <v>7313</v>
      </c>
      <c r="H882" s="80">
        <v>3016000</v>
      </c>
    </row>
    <row r="883" spans="1:8" x14ac:dyDescent="0.2">
      <c r="A883" s="79" t="s">
        <v>8197</v>
      </c>
      <c r="B883" s="79" t="s">
        <v>8201</v>
      </c>
      <c r="C883" s="79" t="s">
        <v>7619</v>
      </c>
      <c r="D883" s="79" t="s">
        <v>7328</v>
      </c>
      <c r="E883" s="79">
        <v>2520</v>
      </c>
      <c r="G883" s="79" t="s">
        <v>7329</v>
      </c>
      <c r="H883" s="80">
        <v>1856000</v>
      </c>
    </row>
    <row r="884" spans="1:8" x14ac:dyDescent="0.2">
      <c r="A884" s="79" t="s">
        <v>8197</v>
      </c>
      <c r="B884" s="79" t="s">
        <v>8202</v>
      </c>
      <c r="C884" s="79" t="s">
        <v>7619</v>
      </c>
      <c r="D884" s="79" t="s">
        <v>7328</v>
      </c>
      <c r="E884" s="79">
        <v>2520</v>
      </c>
      <c r="G884" s="79" t="s">
        <v>7329</v>
      </c>
      <c r="H884" s="80">
        <v>1809600</v>
      </c>
    </row>
    <row r="885" spans="1:8" x14ac:dyDescent="0.2">
      <c r="A885" s="79" t="s">
        <v>8197</v>
      </c>
      <c r="B885" s="79" t="s">
        <v>8203</v>
      </c>
      <c r="C885" s="79" t="s">
        <v>7619</v>
      </c>
      <c r="D885" s="79" t="s">
        <v>7328</v>
      </c>
      <c r="E885" s="79">
        <v>2520</v>
      </c>
      <c r="G885" s="79" t="s">
        <v>7329</v>
      </c>
      <c r="H885" s="80">
        <v>2320000</v>
      </c>
    </row>
    <row r="886" spans="1:8" x14ac:dyDescent="0.2">
      <c r="A886" s="79" t="s">
        <v>8197</v>
      </c>
      <c r="B886" s="79" t="s">
        <v>8204</v>
      </c>
      <c r="C886" s="79" t="s">
        <v>8200</v>
      </c>
      <c r="D886" s="79" t="s">
        <v>7328</v>
      </c>
      <c r="E886" s="79">
        <v>2520</v>
      </c>
      <c r="G886" s="79" t="s">
        <v>7329</v>
      </c>
      <c r="H886" s="80">
        <v>2701999.6</v>
      </c>
    </row>
    <row r="887" spans="1:8" x14ac:dyDescent="0.2">
      <c r="A887" s="79" t="s">
        <v>8197</v>
      </c>
      <c r="B887" s="79" t="s">
        <v>8205</v>
      </c>
      <c r="C887" s="79" t="s">
        <v>7619</v>
      </c>
      <c r="D887" s="79" t="s">
        <v>7328</v>
      </c>
      <c r="E887" s="79">
        <v>2520</v>
      </c>
      <c r="G887" s="79" t="s">
        <v>7313</v>
      </c>
      <c r="H887" s="80">
        <v>2262000</v>
      </c>
    </row>
    <row r="888" spans="1:8" x14ac:dyDescent="0.2">
      <c r="A888" s="79" t="s">
        <v>8197</v>
      </c>
      <c r="B888" s="79" t="s">
        <v>8199</v>
      </c>
      <c r="C888" s="79" t="s">
        <v>7619</v>
      </c>
      <c r="D888" s="79" t="s">
        <v>7328</v>
      </c>
      <c r="E888" s="79">
        <v>2520</v>
      </c>
      <c r="G888" s="79" t="s">
        <v>7329</v>
      </c>
      <c r="H888" s="80">
        <v>2552000</v>
      </c>
    </row>
    <row r="889" spans="1:8" x14ac:dyDescent="0.2">
      <c r="A889" s="79" t="s">
        <v>8197</v>
      </c>
      <c r="B889" s="79" t="s">
        <v>8199</v>
      </c>
      <c r="C889" s="79" t="s">
        <v>7619</v>
      </c>
      <c r="D889" s="79" t="s">
        <v>7328</v>
      </c>
      <c r="E889" s="79">
        <v>2520</v>
      </c>
      <c r="G889" s="79" t="s">
        <v>7313</v>
      </c>
      <c r="H889" s="80">
        <v>2888400</v>
      </c>
    </row>
    <row r="890" spans="1:8" x14ac:dyDescent="0.2">
      <c r="A890" s="79" t="s">
        <v>8197</v>
      </c>
      <c r="B890" s="79" t="s">
        <v>8199</v>
      </c>
      <c r="C890" s="79" t="s">
        <v>8200</v>
      </c>
      <c r="D890" s="79" t="s">
        <v>7328</v>
      </c>
      <c r="E890" s="79">
        <v>2520</v>
      </c>
      <c r="G890" s="79" t="s">
        <v>7313</v>
      </c>
      <c r="H890" s="80">
        <v>3644557.6</v>
      </c>
    </row>
    <row r="891" spans="1:8" x14ac:dyDescent="0.2">
      <c r="A891" s="79" t="s">
        <v>8206</v>
      </c>
      <c r="B891" s="79" t="s">
        <v>8207</v>
      </c>
      <c r="C891" s="79" t="s">
        <v>7438</v>
      </c>
      <c r="D891" s="79" t="s">
        <v>7328</v>
      </c>
      <c r="E891" s="79">
        <v>11949</v>
      </c>
      <c r="G891" s="79" t="s">
        <v>7376</v>
      </c>
      <c r="H891" s="80">
        <v>11052711</v>
      </c>
    </row>
    <row r="892" spans="1:8" x14ac:dyDescent="0.2">
      <c r="A892" s="79" t="s">
        <v>8206</v>
      </c>
      <c r="B892" s="79" t="s">
        <v>8208</v>
      </c>
      <c r="C892" s="79" t="s">
        <v>7438</v>
      </c>
      <c r="D892" s="79" t="s">
        <v>7328</v>
      </c>
      <c r="E892" s="79">
        <v>11946</v>
      </c>
      <c r="G892" s="79" t="s">
        <v>7376</v>
      </c>
      <c r="H892" s="80">
        <v>13685332</v>
      </c>
    </row>
    <row r="893" spans="1:8" x14ac:dyDescent="0.2">
      <c r="A893" s="79" t="s">
        <v>8206</v>
      </c>
      <c r="B893" s="79" t="s">
        <v>8209</v>
      </c>
      <c r="C893" s="79" t="s">
        <v>7438</v>
      </c>
      <c r="D893" s="79" t="s">
        <v>7328</v>
      </c>
      <c r="E893" s="79">
        <v>11946</v>
      </c>
      <c r="G893" s="79" t="s">
        <v>7376</v>
      </c>
      <c r="H893" s="80">
        <v>13812835</v>
      </c>
    </row>
    <row r="894" spans="1:8" x14ac:dyDescent="0.2">
      <c r="A894" s="79" t="s">
        <v>8206</v>
      </c>
      <c r="B894" s="79" t="s">
        <v>8210</v>
      </c>
      <c r="C894" s="79" t="s">
        <v>7438</v>
      </c>
      <c r="D894" s="79" t="s">
        <v>7328</v>
      </c>
      <c r="E894" s="79" t="s">
        <v>8211</v>
      </c>
      <c r="G894" s="79" t="s">
        <v>7376</v>
      </c>
      <c r="H894" s="80">
        <v>15144046</v>
      </c>
    </row>
    <row r="895" spans="1:8" x14ac:dyDescent="0.2">
      <c r="A895" s="79" t="s">
        <v>8206</v>
      </c>
      <c r="B895" s="79" t="s">
        <v>8212</v>
      </c>
      <c r="C895" s="79" t="s">
        <v>7438</v>
      </c>
      <c r="D895" s="79" t="s">
        <v>7328</v>
      </c>
      <c r="E895" s="79">
        <v>11946</v>
      </c>
      <c r="G895" s="79" t="s">
        <v>7376</v>
      </c>
      <c r="H895" s="80">
        <v>15401983</v>
      </c>
    </row>
    <row r="896" spans="1:8" x14ac:dyDescent="0.2">
      <c r="A896" s="79" t="s">
        <v>8206</v>
      </c>
      <c r="B896" s="79" t="s">
        <v>8213</v>
      </c>
      <c r="C896" s="79" t="s">
        <v>7370</v>
      </c>
      <c r="D896" s="79" t="s">
        <v>7328</v>
      </c>
      <c r="E896" s="79">
        <v>7000</v>
      </c>
      <c r="G896" s="79" t="s">
        <v>7376</v>
      </c>
      <c r="H896" s="80">
        <v>12408347</v>
      </c>
    </row>
    <row r="897" spans="1:8" x14ac:dyDescent="0.2">
      <c r="A897" s="79" t="s">
        <v>8206</v>
      </c>
      <c r="B897" s="79" t="s">
        <v>8214</v>
      </c>
      <c r="C897" s="79" t="s">
        <v>7438</v>
      </c>
      <c r="D897" s="79" t="s">
        <v>7328</v>
      </c>
      <c r="E897" s="79">
        <v>11967</v>
      </c>
      <c r="G897" s="79" t="s">
        <v>7869</v>
      </c>
      <c r="H897" s="80">
        <v>7471450</v>
      </c>
    </row>
    <row r="898" spans="1:8" x14ac:dyDescent="0.2">
      <c r="A898" s="79" t="s">
        <v>8206</v>
      </c>
      <c r="B898" s="79" t="s">
        <v>8215</v>
      </c>
      <c r="C898" s="79" t="s">
        <v>7438</v>
      </c>
      <c r="D898" s="79" t="s">
        <v>7328</v>
      </c>
      <c r="E898" s="79">
        <v>11967</v>
      </c>
      <c r="G898" s="79" t="s">
        <v>7329</v>
      </c>
      <c r="H898" s="80">
        <v>7266000</v>
      </c>
    </row>
    <row r="899" spans="1:8" x14ac:dyDescent="0.2">
      <c r="A899" s="79" t="s">
        <v>8206</v>
      </c>
      <c r="B899" s="79" t="s">
        <v>8216</v>
      </c>
      <c r="C899" s="79" t="s">
        <v>7311</v>
      </c>
      <c r="D899" s="79" t="s">
        <v>7312</v>
      </c>
      <c r="E899" s="79">
        <v>1595</v>
      </c>
      <c r="G899" s="79" t="s">
        <v>7329</v>
      </c>
      <c r="H899" s="80">
        <v>7008300</v>
      </c>
    </row>
    <row r="900" spans="1:8" x14ac:dyDescent="0.2">
      <c r="A900" s="79" t="s">
        <v>8206</v>
      </c>
      <c r="B900" s="79" t="s">
        <v>8217</v>
      </c>
      <c r="C900" s="79" t="s">
        <v>7311</v>
      </c>
      <c r="D900" s="79" t="s">
        <v>7312</v>
      </c>
      <c r="E900" s="79">
        <v>1796</v>
      </c>
      <c r="G900" s="79" t="s">
        <v>7329</v>
      </c>
      <c r="H900" s="80">
        <v>4449350</v>
      </c>
    </row>
    <row r="901" spans="1:8" x14ac:dyDescent="0.2">
      <c r="A901" s="79" t="s">
        <v>8206</v>
      </c>
      <c r="B901" s="79" t="s">
        <v>8218</v>
      </c>
      <c r="C901" s="79" t="s">
        <v>7311</v>
      </c>
      <c r="D901" s="79" t="s">
        <v>7312</v>
      </c>
      <c r="E901" s="79">
        <v>1796</v>
      </c>
      <c r="G901" s="79" t="s">
        <v>7329</v>
      </c>
      <c r="H901" s="80">
        <v>4790320</v>
      </c>
    </row>
    <row r="902" spans="1:8" x14ac:dyDescent="0.2">
      <c r="A902" s="79" t="s">
        <v>8206</v>
      </c>
      <c r="B902" s="79" t="s">
        <v>8219</v>
      </c>
      <c r="C902" s="79" t="s">
        <v>7311</v>
      </c>
      <c r="D902" s="79" t="s">
        <v>7312</v>
      </c>
      <c r="E902" s="79">
        <v>1597</v>
      </c>
      <c r="F902" s="79" t="s">
        <v>7349</v>
      </c>
      <c r="G902" s="79" t="s">
        <v>7329</v>
      </c>
      <c r="H902" s="80">
        <v>6717117</v>
      </c>
    </row>
    <row r="903" spans="1:8" x14ac:dyDescent="0.2">
      <c r="A903" s="79" t="s">
        <v>8206</v>
      </c>
      <c r="B903" s="79" t="s">
        <v>8220</v>
      </c>
      <c r="C903" s="79" t="s">
        <v>7311</v>
      </c>
      <c r="D903" s="79" t="s">
        <v>7312</v>
      </c>
      <c r="E903" s="79">
        <v>1798</v>
      </c>
      <c r="G903" s="79" t="s">
        <v>7329</v>
      </c>
      <c r="H903" s="80">
        <v>5299800</v>
      </c>
    </row>
    <row r="904" spans="1:8" x14ac:dyDescent="0.2">
      <c r="A904" s="79" t="s">
        <v>8206</v>
      </c>
      <c r="B904" s="79" t="s">
        <v>8221</v>
      </c>
      <c r="C904" s="79" t="s">
        <v>7311</v>
      </c>
      <c r="D904" s="79" t="s">
        <v>7312</v>
      </c>
      <c r="E904" s="79">
        <v>1998</v>
      </c>
      <c r="G904" s="79" t="s">
        <v>7329</v>
      </c>
      <c r="H904" s="80">
        <v>5299800</v>
      </c>
    </row>
    <row r="905" spans="1:8" x14ac:dyDescent="0.2">
      <c r="A905" s="79" t="s">
        <v>8206</v>
      </c>
      <c r="B905" s="79" t="s">
        <v>8222</v>
      </c>
      <c r="C905" s="79" t="s">
        <v>7311</v>
      </c>
      <c r="D905" s="79" t="s">
        <v>7312</v>
      </c>
      <c r="E905" s="79">
        <v>1790</v>
      </c>
      <c r="G905" s="79" t="s">
        <v>7329</v>
      </c>
      <c r="H905" s="80">
        <v>7315551</v>
      </c>
    </row>
    <row r="906" spans="1:8" x14ac:dyDescent="0.2">
      <c r="A906" s="79" t="s">
        <v>8206</v>
      </c>
      <c r="B906" s="79" t="s">
        <v>8223</v>
      </c>
      <c r="C906" s="79" t="s">
        <v>7311</v>
      </c>
      <c r="D906" s="79" t="s">
        <v>7312</v>
      </c>
      <c r="E906" s="79">
        <v>1796</v>
      </c>
      <c r="G906" s="79" t="s">
        <v>7329</v>
      </c>
      <c r="H906" s="80">
        <v>7315551</v>
      </c>
    </row>
    <row r="907" spans="1:8" x14ac:dyDescent="0.2">
      <c r="A907" s="79" t="s">
        <v>8206</v>
      </c>
      <c r="B907" s="79" t="s">
        <v>8224</v>
      </c>
      <c r="C907" s="79" t="s">
        <v>7311</v>
      </c>
      <c r="D907" s="79" t="s">
        <v>7312</v>
      </c>
      <c r="E907" s="79">
        <v>2199</v>
      </c>
      <c r="G907" s="79" t="s">
        <v>7329</v>
      </c>
      <c r="H907" s="80">
        <v>5664610</v>
      </c>
    </row>
    <row r="908" spans="1:8" x14ac:dyDescent="0.2">
      <c r="A908" s="79" t="s">
        <v>8206</v>
      </c>
      <c r="B908" s="79" t="s">
        <v>8225</v>
      </c>
      <c r="C908" s="79" t="s">
        <v>7311</v>
      </c>
      <c r="D908" s="79" t="s">
        <v>7312</v>
      </c>
      <c r="E908" s="79">
        <v>1800</v>
      </c>
      <c r="G908" s="79" t="s">
        <v>7329</v>
      </c>
      <c r="H908" s="80">
        <v>5213307</v>
      </c>
    </row>
    <row r="909" spans="1:8" x14ac:dyDescent="0.2">
      <c r="A909" s="79" t="s">
        <v>8206</v>
      </c>
      <c r="B909" s="79" t="s">
        <v>8226</v>
      </c>
      <c r="C909" s="79" t="s">
        <v>7311</v>
      </c>
      <c r="D909" s="79" t="s">
        <v>7312</v>
      </c>
      <c r="E909" s="79">
        <v>1800</v>
      </c>
      <c r="F909" s="79" t="s">
        <v>7336</v>
      </c>
      <c r="G909" s="79" t="s">
        <v>7329</v>
      </c>
      <c r="H909" s="80">
        <v>5848597</v>
      </c>
    </row>
    <row r="910" spans="1:8" x14ac:dyDescent="0.2">
      <c r="A910" s="79" t="s">
        <v>8206</v>
      </c>
      <c r="B910" s="79" t="s">
        <v>8225</v>
      </c>
      <c r="C910" s="79" t="s">
        <v>7311</v>
      </c>
      <c r="D910" s="79" t="s">
        <v>7312</v>
      </c>
      <c r="E910" s="79">
        <v>2300</v>
      </c>
      <c r="G910" s="79" t="s">
        <v>7329</v>
      </c>
      <c r="H910" s="80">
        <v>6600000</v>
      </c>
    </row>
    <row r="911" spans="1:8" x14ac:dyDescent="0.2">
      <c r="A911" s="79" t="s">
        <v>8206</v>
      </c>
      <c r="B911" s="79" t="s">
        <v>8227</v>
      </c>
      <c r="C911" s="79" t="s">
        <v>7311</v>
      </c>
      <c r="D911" s="79" t="s">
        <v>7312</v>
      </c>
      <c r="E911" s="79">
        <v>2400</v>
      </c>
      <c r="G911" s="79" t="s">
        <v>7329</v>
      </c>
      <c r="H911" s="80">
        <v>5817897</v>
      </c>
    </row>
    <row r="912" spans="1:8" x14ac:dyDescent="0.2">
      <c r="A912" s="79" t="s">
        <v>8206</v>
      </c>
      <c r="B912" s="79" t="s">
        <v>8228</v>
      </c>
      <c r="C912" s="79" t="s">
        <v>7320</v>
      </c>
      <c r="D912" s="79" t="s">
        <v>7328</v>
      </c>
      <c r="E912" s="79">
        <v>1800</v>
      </c>
      <c r="G912" s="79" t="s">
        <v>7329</v>
      </c>
      <c r="H912" s="80">
        <v>5060512</v>
      </c>
    </row>
    <row r="913" spans="1:8" x14ac:dyDescent="0.2">
      <c r="A913" s="79" t="s">
        <v>8206</v>
      </c>
      <c r="B913" s="79" t="s">
        <v>8229</v>
      </c>
      <c r="C913" s="79" t="s">
        <v>7311</v>
      </c>
      <c r="D913" s="79" t="s">
        <v>7312</v>
      </c>
      <c r="E913" s="79">
        <v>1800</v>
      </c>
      <c r="G913" s="79" t="s">
        <v>7329</v>
      </c>
      <c r="H913" s="80">
        <v>6201000</v>
      </c>
    </row>
    <row r="914" spans="1:8" x14ac:dyDescent="0.2">
      <c r="A914" s="79" t="s">
        <v>8206</v>
      </c>
      <c r="B914" s="79" t="s">
        <v>8230</v>
      </c>
      <c r="C914" s="79" t="s">
        <v>7311</v>
      </c>
      <c r="D914" s="79" t="s">
        <v>7328</v>
      </c>
      <c r="E914" s="79">
        <v>2143</v>
      </c>
      <c r="G914" s="79" t="s">
        <v>7329</v>
      </c>
      <c r="H914" s="80">
        <v>6024821</v>
      </c>
    </row>
    <row r="915" spans="1:8" x14ac:dyDescent="0.2">
      <c r="A915" s="79" t="s">
        <v>8206</v>
      </c>
      <c r="B915" s="79" t="s">
        <v>8231</v>
      </c>
      <c r="C915" s="79" t="s">
        <v>7311</v>
      </c>
      <c r="D915" s="79" t="s">
        <v>7312</v>
      </c>
      <c r="E915" s="79">
        <v>2800</v>
      </c>
      <c r="F915" s="79" t="s">
        <v>7349</v>
      </c>
      <c r="G915" s="79" t="s">
        <v>7329</v>
      </c>
      <c r="H915" s="80">
        <v>6342279</v>
      </c>
    </row>
    <row r="916" spans="1:8" x14ac:dyDescent="0.2">
      <c r="A916" s="79" t="s">
        <v>8206</v>
      </c>
      <c r="B916" s="79" t="s">
        <v>8232</v>
      </c>
      <c r="C916" s="79" t="s">
        <v>7311</v>
      </c>
      <c r="D916" s="79" t="s">
        <v>7312</v>
      </c>
      <c r="E916" s="79">
        <v>2800</v>
      </c>
      <c r="G916" s="79" t="s">
        <v>7329</v>
      </c>
      <c r="H916" s="80">
        <v>5959392</v>
      </c>
    </row>
    <row r="917" spans="1:8" x14ac:dyDescent="0.2">
      <c r="A917" s="79" t="s">
        <v>8206</v>
      </c>
      <c r="B917" s="79" t="s">
        <v>8233</v>
      </c>
      <c r="C917" s="79" t="s">
        <v>7311</v>
      </c>
      <c r="D917" s="79" t="s">
        <v>7312</v>
      </c>
      <c r="E917" s="79">
        <v>2800</v>
      </c>
      <c r="G917" s="79" t="s">
        <v>7329</v>
      </c>
      <c r="H917" s="80">
        <v>5717069</v>
      </c>
    </row>
    <row r="918" spans="1:8" x14ac:dyDescent="0.2">
      <c r="A918" s="79" t="s">
        <v>8206</v>
      </c>
      <c r="B918" s="79" t="s">
        <v>8234</v>
      </c>
      <c r="C918" s="79" t="s">
        <v>7311</v>
      </c>
      <c r="D918" s="79" t="s">
        <v>7312</v>
      </c>
      <c r="E918" s="79">
        <v>2987</v>
      </c>
      <c r="G918" s="79" t="s">
        <v>7329</v>
      </c>
      <c r="H918" s="80">
        <v>7174160</v>
      </c>
    </row>
    <row r="919" spans="1:8" x14ac:dyDescent="0.2">
      <c r="A919" s="79" t="s">
        <v>8206</v>
      </c>
      <c r="B919" s="79" t="s">
        <v>8235</v>
      </c>
      <c r="C919" s="79" t="s">
        <v>7311</v>
      </c>
      <c r="D919" s="79" t="s">
        <v>7312</v>
      </c>
      <c r="E919" s="79">
        <v>3500</v>
      </c>
      <c r="G919" s="79" t="s">
        <v>7329</v>
      </c>
      <c r="H919" s="80">
        <v>9067897.6600000001</v>
      </c>
    </row>
    <row r="920" spans="1:8" x14ac:dyDescent="0.2">
      <c r="A920" s="79" t="s">
        <v>8206</v>
      </c>
      <c r="B920" s="79" t="s">
        <v>8236</v>
      </c>
      <c r="C920" s="79" t="s">
        <v>7311</v>
      </c>
      <c r="D920" s="79" t="s">
        <v>7312</v>
      </c>
      <c r="E920" s="79">
        <v>6300</v>
      </c>
      <c r="F920" s="79" t="s">
        <v>7349</v>
      </c>
      <c r="G920" s="79" t="s">
        <v>7329</v>
      </c>
      <c r="H920" s="80">
        <v>14906717.279999999</v>
      </c>
    </row>
    <row r="921" spans="1:8" x14ac:dyDescent="0.2">
      <c r="A921" s="79" t="s">
        <v>8206</v>
      </c>
      <c r="B921" s="79" t="s">
        <v>8237</v>
      </c>
      <c r="C921" s="79" t="s">
        <v>7311</v>
      </c>
      <c r="D921" s="79" t="s">
        <v>7312</v>
      </c>
      <c r="E921" s="79">
        <v>1595</v>
      </c>
      <c r="G921" s="79" t="s">
        <v>7329</v>
      </c>
      <c r="H921" s="80">
        <v>7156783</v>
      </c>
    </row>
    <row r="922" spans="1:8" x14ac:dyDescent="0.2">
      <c r="A922" s="79" t="s">
        <v>8206</v>
      </c>
      <c r="B922" s="79" t="s">
        <v>8238</v>
      </c>
      <c r="C922" s="79" t="s">
        <v>7311</v>
      </c>
      <c r="D922" s="79" t="s">
        <v>7312</v>
      </c>
      <c r="E922" s="79">
        <v>1991</v>
      </c>
      <c r="G922" s="79" t="s">
        <v>7329</v>
      </c>
      <c r="H922" s="80">
        <v>8014500</v>
      </c>
    </row>
    <row r="923" spans="1:8" x14ac:dyDescent="0.2">
      <c r="A923" s="79" t="s">
        <v>8206</v>
      </c>
      <c r="B923" s="79" t="s">
        <v>8239</v>
      </c>
      <c r="C923" s="79" t="s">
        <v>7311</v>
      </c>
      <c r="D923" s="79" t="s">
        <v>7312</v>
      </c>
      <c r="E923" s="79">
        <v>1991</v>
      </c>
      <c r="G923" s="79" t="s">
        <v>7329</v>
      </c>
      <c r="H923" s="80">
        <v>8014500</v>
      </c>
    </row>
    <row r="924" spans="1:8" x14ac:dyDescent="0.2">
      <c r="A924" s="79" t="s">
        <v>8206</v>
      </c>
      <c r="B924" s="79" t="s">
        <v>8240</v>
      </c>
      <c r="C924" s="79" t="s">
        <v>7311</v>
      </c>
      <c r="D924" s="79" t="s">
        <v>7312</v>
      </c>
      <c r="E924" s="79">
        <v>1595</v>
      </c>
      <c r="G924" s="79" t="s">
        <v>7329</v>
      </c>
      <c r="H924" s="80">
        <v>7401042</v>
      </c>
    </row>
    <row r="925" spans="1:8" x14ac:dyDescent="0.2">
      <c r="A925" s="79" t="s">
        <v>8206</v>
      </c>
      <c r="B925" s="79" t="s">
        <v>8241</v>
      </c>
      <c r="C925" s="79" t="s">
        <v>7311</v>
      </c>
      <c r="D925" s="79" t="s">
        <v>7312</v>
      </c>
      <c r="E925" s="79">
        <v>1991</v>
      </c>
      <c r="G925" s="79" t="s">
        <v>7329</v>
      </c>
      <c r="H925" s="80">
        <v>7895666</v>
      </c>
    </row>
    <row r="926" spans="1:8" x14ac:dyDescent="0.2">
      <c r="A926" s="79" t="s">
        <v>8206</v>
      </c>
      <c r="B926" s="79" t="s">
        <v>8242</v>
      </c>
      <c r="C926" s="79" t="s">
        <v>7311</v>
      </c>
      <c r="D926" s="79" t="s">
        <v>7312</v>
      </c>
      <c r="E926" s="79">
        <v>1997</v>
      </c>
      <c r="G926" s="79" t="s">
        <v>7329</v>
      </c>
      <c r="H926" s="80">
        <v>3801673</v>
      </c>
    </row>
    <row r="927" spans="1:8" x14ac:dyDescent="0.2">
      <c r="A927" s="79" t="s">
        <v>8206</v>
      </c>
      <c r="B927" s="79" t="s">
        <v>8243</v>
      </c>
      <c r="C927" s="79" t="s">
        <v>7311</v>
      </c>
      <c r="D927" s="79" t="s">
        <v>7312</v>
      </c>
      <c r="E927" s="79">
        <v>1798</v>
      </c>
      <c r="F927" s="79" t="s">
        <v>7349</v>
      </c>
      <c r="G927" s="79" t="s">
        <v>7329</v>
      </c>
      <c r="H927" s="80">
        <v>6679500</v>
      </c>
    </row>
    <row r="928" spans="1:8" x14ac:dyDescent="0.2">
      <c r="A928" s="79" t="s">
        <v>8206</v>
      </c>
      <c r="B928" s="79" t="s">
        <v>8243</v>
      </c>
      <c r="C928" s="79" t="s">
        <v>7311</v>
      </c>
      <c r="D928" s="79" t="s">
        <v>7312</v>
      </c>
      <c r="E928" s="79">
        <v>1998</v>
      </c>
      <c r="F928" s="79" t="s">
        <v>7336</v>
      </c>
      <c r="G928" s="79" t="s">
        <v>7329</v>
      </c>
      <c r="H928" s="80">
        <v>6387500</v>
      </c>
    </row>
    <row r="929" spans="1:8" x14ac:dyDescent="0.2">
      <c r="A929" s="79" t="s">
        <v>8206</v>
      </c>
      <c r="B929" s="79" t="s">
        <v>8244</v>
      </c>
      <c r="C929" s="79" t="s">
        <v>7311</v>
      </c>
      <c r="D929" s="79" t="s">
        <v>7312</v>
      </c>
      <c r="E929" s="79">
        <v>2000</v>
      </c>
      <c r="G929" s="79" t="s">
        <v>7329</v>
      </c>
      <c r="H929" s="80">
        <v>4835969</v>
      </c>
    </row>
    <row r="930" spans="1:8" x14ac:dyDescent="0.2">
      <c r="A930" s="79" t="s">
        <v>8206</v>
      </c>
      <c r="B930" s="79" t="s">
        <v>8245</v>
      </c>
      <c r="C930" s="79" t="s">
        <v>7311</v>
      </c>
      <c r="D930" s="79" t="s">
        <v>7312</v>
      </c>
      <c r="E930" s="79">
        <v>1991</v>
      </c>
      <c r="F930" s="79" t="s">
        <v>7349</v>
      </c>
      <c r="G930" s="79" t="s">
        <v>7329</v>
      </c>
      <c r="H930" s="80">
        <v>10370400</v>
      </c>
    </row>
    <row r="931" spans="1:8" x14ac:dyDescent="0.2">
      <c r="A931" s="79" t="s">
        <v>8206</v>
      </c>
      <c r="B931" s="79" t="s">
        <v>8246</v>
      </c>
      <c r="C931" s="79" t="s">
        <v>7311</v>
      </c>
      <c r="D931" s="79" t="s">
        <v>7312</v>
      </c>
      <c r="E931" s="79">
        <v>2000</v>
      </c>
      <c r="G931" s="79" t="s">
        <v>7329</v>
      </c>
      <c r="H931" s="80">
        <v>5200693</v>
      </c>
    </row>
    <row r="932" spans="1:8" x14ac:dyDescent="0.2">
      <c r="A932" s="79" t="s">
        <v>8206</v>
      </c>
      <c r="B932" s="79" t="s">
        <v>8247</v>
      </c>
      <c r="C932" s="79" t="s">
        <v>7311</v>
      </c>
      <c r="D932" s="79" t="s">
        <v>7312</v>
      </c>
      <c r="E932" s="79">
        <v>1796</v>
      </c>
      <c r="F932" s="79" t="s">
        <v>7349</v>
      </c>
      <c r="G932" s="79" t="s">
        <v>7329</v>
      </c>
      <c r="H932" s="80">
        <v>8536845</v>
      </c>
    </row>
    <row r="933" spans="1:8" x14ac:dyDescent="0.2">
      <c r="A933" s="79" t="s">
        <v>8206</v>
      </c>
      <c r="B933" s="79" t="s">
        <v>8247</v>
      </c>
      <c r="C933" s="79" t="s">
        <v>7311</v>
      </c>
      <c r="D933" s="79" t="s">
        <v>7312</v>
      </c>
      <c r="E933" s="79">
        <v>1991</v>
      </c>
      <c r="F933" s="79" t="s">
        <v>7349</v>
      </c>
      <c r="G933" s="79" t="s">
        <v>7329</v>
      </c>
      <c r="H933" s="80">
        <v>9658974</v>
      </c>
    </row>
    <row r="934" spans="1:8" x14ac:dyDescent="0.2">
      <c r="A934" s="79" t="s">
        <v>8206</v>
      </c>
      <c r="B934" s="79" t="s">
        <v>8248</v>
      </c>
      <c r="C934" s="79" t="s">
        <v>7311</v>
      </c>
      <c r="D934" s="79" t="s">
        <v>7328</v>
      </c>
      <c r="E934" s="79">
        <v>2200</v>
      </c>
      <c r="G934" s="79" t="s">
        <v>7329</v>
      </c>
      <c r="H934" s="80">
        <v>5023574</v>
      </c>
    </row>
    <row r="935" spans="1:8" x14ac:dyDescent="0.2">
      <c r="A935" s="79" t="s">
        <v>8206</v>
      </c>
      <c r="B935" s="79" t="s">
        <v>8249</v>
      </c>
      <c r="C935" s="79" t="s">
        <v>7311</v>
      </c>
      <c r="D935" s="79" t="s">
        <v>7328</v>
      </c>
      <c r="E935" s="79">
        <v>2200</v>
      </c>
      <c r="G935" s="79" t="s">
        <v>7329</v>
      </c>
      <c r="H935" s="80">
        <v>8536845</v>
      </c>
    </row>
    <row r="936" spans="1:8" x14ac:dyDescent="0.2">
      <c r="A936" s="79" t="s">
        <v>8206</v>
      </c>
      <c r="B936" s="79" t="s">
        <v>8250</v>
      </c>
      <c r="C936" s="79" t="s">
        <v>7311</v>
      </c>
      <c r="D936" s="79" t="s">
        <v>7328</v>
      </c>
      <c r="E936" s="79">
        <v>2200</v>
      </c>
      <c r="G936" s="79" t="s">
        <v>7329</v>
      </c>
      <c r="H936" s="80">
        <v>9145000</v>
      </c>
    </row>
    <row r="937" spans="1:8" x14ac:dyDescent="0.2">
      <c r="A937" s="79" t="s">
        <v>8206</v>
      </c>
      <c r="B937" s="79" t="s">
        <v>8251</v>
      </c>
      <c r="C937" s="79" t="s">
        <v>7311</v>
      </c>
      <c r="D937" s="79" t="s">
        <v>7312</v>
      </c>
      <c r="E937" s="79">
        <v>2496</v>
      </c>
      <c r="G937" s="79" t="s">
        <v>7329</v>
      </c>
      <c r="H937" s="80">
        <v>5971059</v>
      </c>
    </row>
    <row r="938" spans="1:8" x14ac:dyDescent="0.2">
      <c r="A938" s="79" t="s">
        <v>8206</v>
      </c>
      <c r="B938" s="79" t="s">
        <v>8252</v>
      </c>
      <c r="C938" s="79" t="s">
        <v>7311</v>
      </c>
      <c r="D938" s="79" t="s">
        <v>7312</v>
      </c>
      <c r="E938" s="79">
        <v>2496</v>
      </c>
      <c r="F938" s="79" t="s">
        <v>7349</v>
      </c>
      <c r="G938" s="79" t="s">
        <v>7329</v>
      </c>
      <c r="H938" s="80">
        <v>6239955</v>
      </c>
    </row>
    <row r="939" spans="1:8" x14ac:dyDescent="0.2">
      <c r="A939" s="79" t="s">
        <v>8206</v>
      </c>
      <c r="B939" s="79" t="s">
        <v>8253</v>
      </c>
      <c r="C939" s="79" t="s">
        <v>7311</v>
      </c>
      <c r="D939" s="79" t="s">
        <v>7312</v>
      </c>
      <c r="E939" s="79">
        <v>2496</v>
      </c>
      <c r="F939" s="79" t="s">
        <v>7336</v>
      </c>
      <c r="G939" s="79" t="s">
        <v>7329</v>
      </c>
      <c r="H939" s="80">
        <v>6093604</v>
      </c>
    </row>
    <row r="940" spans="1:8" x14ac:dyDescent="0.2">
      <c r="A940" s="79" t="s">
        <v>8206</v>
      </c>
      <c r="B940" s="79" t="s">
        <v>8254</v>
      </c>
      <c r="C940" s="79" t="s">
        <v>7311</v>
      </c>
      <c r="D940" s="79" t="s">
        <v>7312</v>
      </c>
      <c r="E940" s="79">
        <v>2600</v>
      </c>
      <c r="F940" s="79" t="s">
        <v>7349</v>
      </c>
      <c r="G940" s="79" t="s">
        <v>7329</v>
      </c>
      <c r="H940" s="80">
        <v>7500000</v>
      </c>
    </row>
    <row r="941" spans="1:8" x14ac:dyDescent="0.2">
      <c r="A941" s="79" t="s">
        <v>8206</v>
      </c>
      <c r="B941" s="79" t="s">
        <v>8255</v>
      </c>
      <c r="C941" s="79" t="s">
        <v>7311</v>
      </c>
      <c r="D941" s="79" t="s">
        <v>7312</v>
      </c>
      <c r="E941" s="79">
        <v>1991</v>
      </c>
      <c r="F941" s="79" t="s">
        <v>7349</v>
      </c>
      <c r="G941" s="79" t="s">
        <v>7329</v>
      </c>
      <c r="H941" s="80">
        <v>11407500</v>
      </c>
    </row>
    <row r="942" spans="1:8" x14ac:dyDescent="0.2">
      <c r="A942" s="79" t="s">
        <v>8206</v>
      </c>
      <c r="B942" s="79" t="s">
        <v>8256</v>
      </c>
      <c r="C942" s="79" t="s">
        <v>7311</v>
      </c>
      <c r="D942" s="79" t="s">
        <v>7328</v>
      </c>
      <c r="E942" s="79">
        <v>3000</v>
      </c>
      <c r="G942" s="79" t="s">
        <v>7329</v>
      </c>
      <c r="H942" s="80">
        <v>5813588.3200000003</v>
      </c>
    </row>
    <row r="943" spans="1:8" x14ac:dyDescent="0.2">
      <c r="A943" s="79" t="s">
        <v>8206</v>
      </c>
      <c r="B943" s="79" t="s">
        <v>8257</v>
      </c>
      <c r="C943" s="79" t="s">
        <v>7311</v>
      </c>
      <c r="D943" s="79" t="s">
        <v>7312</v>
      </c>
      <c r="E943" s="79">
        <v>3000</v>
      </c>
      <c r="G943" s="79" t="s">
        <v>7329</v>
      </c>
      <c r="H943" s="80">
        <v>8976511</v>
      </c>
    </row>
    <row r="944" spans="1:8" x14ac:dyDescent="0.2">
      <c r="A944" s="79" t="s">
        <v>8206</v>
      </c>
      <c r="B944" s="79" t="s">
        <v>8258</v>
      </c>
      <c r="C944" s="79" t="s">
        <v>7311</v>
      </c>
      <c r="D944" s="79" t="s">
        <v>7312</v>
      </c>
      <c r="E944" s="79">
        <v>3000</v>
      </c>
      <c r="F944" s="79" t="s">
        <v>7349</v>
      </c>
      <c r="G944" s="79" t="s">
        <v>7329</v>
      </c>
      <c r="H944" s="80">
        <v>9098640</v>
      </c>
    </row>
    <row r="945" spans="1:8" x14ac:dyDescent="0.2">
      <c r="A945" s="79" t="s">
        <v>8206</v>
      </c>
      <c r="B945" s="79" t="s">
        <v>8259</v>
      </c>
      <c r="C945" s="79" t="s">
        <v>7311</v>
      </c>
      <c r="D945" s="79" t="s">
        <v>7328</v>
      </c>
      <c r="E945" s="79">
        <v>2100</v>
      </c>
      <c r="G945" s="79" t="s">
        <v>7329</v>
      </c>
      <c r="H945" s="80">
        <v>9098640</v>
      </c>
    </row>
    <row r="946" spans="1:8" x14ac:dyDescent="0.2">
      <c r="A946" s="79" t="s">
        <v>8206</v>
      </c>
      <c r="B946" s="79" t="s">
        <v>8260</v>
      </c>
      <c r="C946" s="79" t="s">
        <v>7311</v>
      </c>
      <c r="D946" s="79" t="s">
        <v>7312</v>
      </c>
      <c r="E946" s="79">
        <v>1800</v>
      </c>
      <c r="G946" s="79" t="s">
        <v>7329</v>
      </c>
      <c r="H946" s="80">
        <v>9098640</v>
      </c>
    </row>
    <row r="947" spans="1:8" x14ac:dyDescent="0.2">
      <c r="A947" s="79" t="s">
        <v>8206</v>
      </c>
      <c r="B947" s="79" t="s">
        <v>8261</v>
      </c>
      <c r="C947" s="79" t="s">
        <v>7311</v>
      </c>
      <c r="D947" s="79" t="s">
        <v>7328</v>
      </c>
      <c r="E947" s="79">
        <v>2700</v>
      </c>
      <c r="G947" s="79" t="s">
        <v>7329</v>
      </c>
      <c r="H947" s="80">
        <v>9251698.6300000008</v>
      </c>
    </row>
    <row r="948" spans="1:8" x14ac:dyDescent="0.2">
      <c r="A948" s="79" t="s">
        <v>8206</v>
      </c>
      <c r="B948" s="79" t="s">
        <v>8262</v>
      </c>
      <c r="C948" s="79" t="s">
        <v>7311</v>
      </c>
      <c r="D948" s="79" t="s">
        <v>7312</v>
      </c>
      <c r="E948" s="79">
        <v>3000</v>
      </c>
      <c r="F948" s="79" t="s">
        <v>7349</v>
      </c>
      <c r="G948" s="79" t="s">
        <v>7329</v>
      </c>
      <c r="H948" s="80">
        <v>7482500</v>
      </c>
    </row>
    <row r="949" spans="1:8" x14ac:dyDescent="0.2">
      <c r="A949" s="79" t="s">
        <v>8206</v>
      </c>
      <c r="B949" s="79" t="s">
        <v>8262</v>
      </c>
      <c r="C949" s="79" t="s">
        <v>7311</v>
      </c>
      <c r="D949" s="79" t="s">
        <v>7312</v>
      </c>
      <c r="E949" s="79">
        <v>3000</v>
      </c>
      <c r="F949" s="79" t="s">
        <v>7336</v>
      </c>
      <c r="G949" s="79" t="s">
        <v>7329</v>
      </c>
      <c r="H949" s="80">
        <v>6384544</v>
      </c>
    </row>
    <row r="950" spans="1:8" x14ac:dyDescent="0.2">
      <c r="A950" s="79" t="s">
        <v>8206</v>
      </c>
      <c r="B950" s="79" t="s">
        <v>8263</v>
      </c>
      <c r="C950" s="79" t="s">
        <v>7311</v>
      </c>
      <c r="D950" s="79" t="s">
        <v>7312</v>
      </c>
      <c r="E950" s="79">
        <v>2996</v>
      </c>
      <c r="F950" s="79" t="s">
        <v>7349</v>
      </c>
      <c r="G950" s="79" t="s">
        <v>7329</v>
      </c>
      <c r="H950" s="80">
        <v>9403964</v>
      </c>
    </row>
    <row r="951" spans="1:8" x14ac:dyDescent="0.2">
      <c r="A951" s="79" t="s">
        <v>8206</v>
      </c>
      <c r="B951" s="79" t="s">
        <v>8264</v>
      </c>
      <c r="C951" s="79" t="s">
        <v>7311</v>
      </c>
      <c r="D951" s="79" t="s">
        <v>7312</v>
      </c>
      <c r="E951" s="79">
        <v>3498</v>
      </c>
      <c r="F951" s="79" t="s">
        <v>7349</v>
      </c>
      <c r="G951" s="79" t="s">
        <v>7329</v>
      </c>
      <c r="H951" s="80">
        <v>10571967.789999999</v>
      </c>
    </row>
    <row r="952" spans="1:8" x14ac:dyDescent="0.2">
      <c r="A952" s="79" t="s">
        <v>8197</v>
      </c>
      <c r="B952" s="79" t="s">
        <v>8265</v>
      </c>
      <c r="C952" s="79" t="s">
        <v>7335</v>
      </c>
      <c r="D952" s="79" t="s">
        <v>7328</v>
      </c>
      <c r="E952" s="79">
        <v>2609</v>
      </c>
      <c r="G952" s="79" t="s">
        <v>7313</v>
      </c>
      <c r="H952" s="80">
        <v>3644557.6</v>
      </c>
    </row>
    <row r="953" spans="1:8" x14ac:dyDescent="0.2">
      <c r="A953" s="79" t="s">
        <v>8197</v>
      </c>
      <c r="B953" s="79" t="s">
        <v>8266</v>
      </c>
      <c r="C953" s="79" t="s">
        <v>7335</v>
      </c>
      <c r="D953" s="79" t="s">
        <v>7328</v>
      </c>
      <c r="E953" s="79">
        <v>2609</v>
      </c>
      <c r="G953" s="79" t="s">
        <v>7313</v>
      </c>
      <c r="H953" s="80">
        <v>4147255.2</v>
      </c>
    </row>
    <row r="954" spans="1:8" x14ac:dyDescent="0.2">
      <c r="A954" s="79" t="s">
        <v>8197</v>
      </c>
      <c r="B954" s="79" t="s">
        <v>8267</v>
      </c>
      <c r="C954" s="79" t="s">
        <v>8268</v>
      </c>
      <c r="D954" s="79" t="s">
        <v>7328</v>
      </c>
      <c r="E954" s="79">
        <v>2498</v>
      </c>
      <c r="G954" s="79" t="s">
        <v>7329</v>
      </c>
      <c r="H954" s="80">
        <v>1950000</v>
      </c>
    </row>
    <row r="955" spans="1:8" x14ac:dyDescent="0.2">
      <c r="A955" s="79" t="s">
        <v>8197</v>
      </c>
      <c r="B955" s="79" t="s">
        <v>8269</v>
      </c>
      <c r="C955" s="79" t="s">
        <v>7335</v>
      </c>
      <c r="D955" s="79" t="s">
        <v>7328</v>
      </c>
      <c r="E955" s="79">
        <v>2200</v>
      </c>
      <c r="F955" s="79" t="s">
        <v>7336</v>
      </c>
      <c r="G955" s="79" t="s">
        <v>7313</v>
      </c>
      <c r="H955" s="80">
        <v>4408000</v>
      </c>
    </row>
    <row r="956" spans="1:8" x14ac:dyDescent="0.2">
      <c r="A956" s="79" t="s">
        <v>8197</v>
      </c>
      <c r="B956" s="79" t="s">
        <v>8270</v>
      </c>
      <c r="C956" s="79" t="s">
        <v>7619</v>
      </c>
      <c r="D956" s="79" t="s">
        <v>7328</v>
      </c>
      <c r="E956" s="79">
        <v>2200</v>
      </c>
      <c r="G956" s="79" t="s">
        <v>7329</v>
      </c>
      <c r="H956" s="80">
        <v>2204000</v>
      </c>
    </row>
    <row r="957" spans="1:8" x14ac:dyDescent="0.2">
      <c r="A957" s="79" t="s">
        <v>8197</v>
      </c>
      <c r="B957" s="79" t="s">
        <v>8271</v>
      </c>
      <c r="C957" s="79" t="s">
        <v>7619</v>
      </c>
      <c r="D957" s="79" t="s">
        <v>7328</v>
      </c>
      <c r="E957" s="79">
        <v>900</v>
      </c>
      <c r="G957" s="79" t="s">
        <v>7329</v>
      </c>
      <c r="H957" s="80">
        <v>1131000</v>
      </c>
    </row>
    <row r="958" spans="1:8" x14ac:dyDescent="0.2">
      <c r="A958" s="79" t="s">
        <v>8272</v>
      </c>
      <c r="B958" s="79" t="s">
        <v>8273</v>
      </c>
      <c r="C958" s="79" t="s">
        <v>7438</v>
      </c>
      <c r="D958" s="79" t="s">
        <v>7328</v>
      </c>
      <c r="E958" s="79" t="s">
        <v>8274</v>
      </c>
      <c r="G958" s="79" t="s">
        <v>7869</v>
      </c>
      <c r="H958" s="80">
        <v>12501650</v>
      </c>
    </row>
    <row r="959" spans="1:8" x14ac:dyDescent="0.2">
      <c r="A959" s="79" t="s">
        <v>8272</v>
      </c>
      <c r="B959" s="79" t="s">
        <v>8275</v>
      </c>
      <c r="C959" s="79" t="s">
        <v>7438</v>
      </c>
      <c r="D959" s="79" t="s">
        <v>7328</v>
      </c>
      <c r="E959" s="79" t="s">
        <v>8274</v>
      </c>
      <c r="G959" s="79" t="s">
        <v>7376</v>
      </c>
      <c r="H959" s="80">
        <v>11629018</v>
      </c>
    </row>
    <row r="960" spans="1:8" x14ac:dyDescent="0.2">
      <c r="A960" s="79" t="s">
        <v>8272</v>
      </c>
      <c r="B960" s="79" t="s">
        <v>8275</v>
      </c>
      <c r="C960" s="79" t="s">
        <v>7438</v>
      </c>
      <c r="D960" s="79" t="s">
        <v>7328</v>
      </c>
      <c r="E960" s="79" t="s">
        <v>8274</v>
      </c>
      <c r="G960" s="79" t="s">
        <v>7869</v>
      </c>
      <c r="H960" s="80">
        <v>10466116</v>
      </c>
    </row>
    <row r="961" spans="1:8" x14ac:dyDescent="0.2">
      <c r="A961" s="79" t="s">
        <v>8272</v>
      </c>
      <c r="B961" s="79" t="s">
        <v>8276</v>
      </c>
      <c r="C961" s="79" t="s">
        <v>7438</v>
      </c>
      <c r="D961" s="79" t="s">
        <v>7328</v>
      </c>
      <c r="E961" s="79" t="s">
        <v>8277</v>
      </c>
      <c r="G961" s="79" t="s">
        <v>8278</v>
      </c>
      <c r="H961" s="80">
        <v>9000000</v>
      </c>
    </row>
    <row r="962" spans="1:8" x14ac:dyDescent="0.2">
      <c r="A962" s="79" t="s">
        <v>8272</v>
      </c>
      <c r="B962" s="79" t="s">
        <v>8279</v>
      </c>
      <c r="C962" s="79" t="s">
        <v>7438</v>
      </c>
      <c r="D962" s="79" t="s">
        <v>7328</v>
      </c>
      <c r="E962" s="79">
        <v>11967</v>
      </c>
      <c r="G962" s="79" t="s">
        <v>8017</v>
      </c>
      <c r="H962" s="80">
        <v>8800000</v>
      </c>
    </row>
    <row r="963" spans="1:8" x14ac:dyDescent="0.2">
      <c r="A963" s="79" t="s">
        <v>8272</v>
      </c>
      <c r="B963" s="79" t="s">
        <v>8280</v>
      </c>
      <c r="C963" s="79" t="s">
        <v>7438</v>
      </c>
      <c r="D963" s="79" t="s">
        <v>7328</v>
      </c>
      <c r="E963" s="79">
        <v>10518</v>
      </c>
      <c r="G963" s="79" t="s">
        <v>8278</v>
      </c>
      <c r="H963" s="80">
        <v>12528000</v>
      </c>
    </row>
    <row r="964" spans="1:8" x14ac:dyDescent="0.2">
      <c r="A964" s="79" t="s">
        <v>8272</v>
      </c>
      <c r="B964" s="79" t="s">
        <v>8281</v>
      </c>
      <c r="C964" s="79" t="s">
        <v>7438</v>
      </c>
      <c r="D964" s="79" t="s">
        <v>7328</v>
      </c>
      <c r="E964" s="79">
        <v>10518</v>
      </c>
      <c r="G964" s="79" t="s">
        <v>7869</v>
      </c>
      <c r="H964" s="80">
        <v>9668088</v>
      </c>
    </row>
    <row r="965" spans="1:8" x14ac:dyDescent="0.2">
      <c r="A965" s="79" t="s">
        <v>8272</v>
      </c>
      <c r="B965" s="79" t="s">
        <v>8282</v>
      </c>
      <c r="C965" s="79" t="s">
        <v>7438</v>
      </c>
      <c r="D965" s="79" t="s">
        <v>7328</v>
      </c>
      <c r="E965" s="79">
        <v>10820</v>
      </c>
      <c r="G965" s="79" t="s">
        <v>7329</v>
      </c>
      <c r="H965" s="80">
        <v>7956547</v>
      </c>
    </row>
    <row r="966" spans="1:8" x14ac:dyDescent="0.2">
      <c r="A966" s="79" t="s">
        <v>8272</v>
      </c>
      <c r="B966" s="79" t="s">
        <v>8283</v>
      </c>
      <c r="C966" s="79" t="s">
        <v>7379</v>
      </c>
      <c r="D966" s="79" t="s">
        <v>7328</v>
      </c>
      <c r="E966" s="79">
        <v>6900</v>
      </c>
      <c r="G966" s="79" t="s">
        <v>7329</v>
      </c>
      <c r="H966" s="80">
        <v>7000000</v>
      </c>
    </row>
    <row r="967" spans="1:8" x14ac:dyDescent="0.2">
      <c r="A967" s="79" t="s">
        <v>8272</v>
      </c>
      <c r="B967" s="79" t="s">
        <v>8284</v>
      </c>
      <c r="C967" s="79" t="s">
        <v>7379</v>
      </c>
      <c r="D967" s="79" t="s">
        <v>7328</v>
      </c>
      <c r="E967" s="79">
        <v>6900</v>
      </c>
      <c r="G967" s="79" t="s">
        <v>7329</v>
      </c>
      <c r="H967" s="80">
        <v>920500</v>
      </c>
    </row>
    <row r="968" spans="1:8" x14ac:dyDescent="0.2">
      <c r="A968" s="79" t="s">
        <v>8272</v>
      </c>
      <c r="B968" s="79" t="s">
        <v>8285</v>
      </c>
      <c r="C968" s="79" t="s">
        <v>7379</v>
      </c>
      <c r="D968" s="79" t="s">
        <v>7328</v>
      </c>
      <c r="E968" s="79">
        <v>6900</v>
      </c>
      <c r="G968" s="79" t="s">
        <v>7329</v>
      </c>
      <c r="H968" s="80">
        <v>11948000</v>
      </c>
    </row>
    <row r="969" spans="1:8" x14ac:dyDescent="0.2">
      <c r="A969" s="79" t="s">
        <v>8272</v>
      </c>
      <c r="B969" s="79" t="s">
        <v>8286</v>
      </c>
      <c r="C969" s="79" t="s">
        <v>7370</v>
      </c>
      <c r="D969" s="79" t="s">
        <v>7328</v>
      </c>
      <c r="E969" s="79">
        <v>6900</v>
      </c>
      <c r="G969" s="79" t="s">
        <v>7376</v>
      </c>
      <c r="H969" s="80">
        <v>9976000</v>
      </c>
    </row>
    <row r="970" spans="1:8" x14ac:dyDescent="0.2">
      <c r="A970" s="79" t="s">
        <v>8272</v>
      </c>
      <c r="B970" s="79" t="s">
        <v>8287</v>
      </c>
      <c r="C970" s="79" t="s">
        <v>7438</v>
      </c>
      <c r="D970" s="79" t="s">
        <v>7328</v>
      </c>
      <c r="E970" s="79">
        <v>6900</v>
      </c>
      <c r="G970" s="79" t="s">
        <v>7376</v>
      </c>
      <c r="H970" s="80">
        <v>9976000</v>
      </c>
    </row>
    <row r="971" spans="1:8" x14ac:dyDescent="0.2">
      <c r="A971" s="79" t="s">
        <v>8272</v>
      </c>
      <c r="B971" s="79" t="s">
        <v>8288</v>
      </c>
      <c r="C971" s="79" t="s">
        <v>7438</v>
      </c>
      <c r="D971" s="79" t="s">
        <v>7328</v>
      </c>
      <c r="E971" s="79">
        <v>6900</v>
      </c>
      <c r="G971" s="79" t="s">
        <v>7376</v>
      </c>
      <c r="H971" s="80">
        <v>8700000</v>
      </c>
    </row>
    <row r="972" spans="1:8" x14ac:dyDescent="0.2">
      <c r="A972" s="79" t="s">
        <v>8272</v>
      </c>
      <c r="B972" s="79" t="s">
        <v>8288</v>
      </c>
      <c r="C972" s="79" t="s">
        <v>7370</v>
      </c>
      <c r="D972" s="79" t="s">
        <v>7328</v>
      </c>
      <c r="E972" s="79">
        <v>6900</v>
      </c>
      <c r="G972" s="79" t="s">
        <v>7376</v>
      </c>
      <c r="H972" s="80">
        <v>10700000</v>
      </c>
    </row>
    <row r="973" spans="1:8" x14ac:dyDescent="0.2">
      <c r="A973" s="79" t="s">
        <v>8272</v>
      </c>
      <c r="B973" s="79" t="s">
        <v>8289</v>
      </c>
      <c r="C973" s="79" t="s">
        <v>7370</v>
      </c>
      <c r="D973" s="79" t="s">
        <v>7328</v>
      </c>
      <c r="E973" s="79">
        <v>10518</v>
      </c>
      <c r="F973" s="79" t="s">
        <v>7738</v>
      </c>
      <c r="G973" s="79" t="s">
        <v>7376</v>
      </c>
      <c r="H973" s="80">
        <v>12992000</v>
      </c>
    </row>
    <row r="974" spans="1:8" x14ac:dyDescent="0.2">
      <c r="A974" s="79" t="s">
        <v>8272</v>
      </c>
      <c r="B974" s="79" t="s">
        <v>8290</v>
      </c>
      <c r="C974" s="79" t="s">
        <v>7370</v>
      </c>
      <c r="D974" s="79" t="s">
        <v>7328</v>
      </c>
      <c r="E974" s="79">
        <v>10518</v>
      </c>
      <c r="G974" s="79" t="s">
        <v>7376</v>
      </c>
      <c r="H974" s="80">
        <v>13920000</v>
      </c>
    </row>
    <row r="975" spans="1:8" x14ac:dyDescent="0.2">
      <c r="A975" s="79" t="s">
        <v>8272</v>
      </c>
      <c r="B975" s="79" t="s">
        <v>8291</v>
      </c>
      <c r="C975" s="79" t="s">
        <v>7370</v>
      </c>
      <c r="D975" s="79" t="s">
        <v>7328</v>
      </c>
      <c r="E975" s="79">
        <v>10518</v>
      </c>
      <c r="G975" s="79" t="s">
        <v>7376</v>
      </c>
      <c r="H975" s="80">
        <v>14500000</v>
      </c>
    </row>
    <row r="976" spans="1:8" x14ac:dyDescent="0.2">
      <c r="A976" s="79" t="s">
        <v>8272</v>
      </c>
      <c r="B976" s="79" t="s">
        <v>8292</v>
      </c>
      <c r="C976" s="79" t="s">
        <v>7438</v>
      </c>
      <c r="D976" s="79" t="s">
        <v>7328</v>
      </c>
      <c r="E976" s="79" t="s">
        <v>8274</v>
      </c>
      <c r="G976" s="79" t="s">
        <v>7376</v>
      </c>
      <c r="H976" s="80">
        <v>16281942</v>
      </c>
    </row>
    <row r="977" spans="1:8" x14ac:dyDescent="0.2">
      <c r="A977" s="79" t="s">
        <v>8272</v>
      </c>
      <c r="B977" s="79" t="s">
        <v>8293</v>
      </c>
      <c r="C977" s="79" t="s">
        <v>7438</v>
      </c>
      <c r="D977" s="79" t="s">
        <v>7328</v>
      </c>
      <c r="E977" s="79" t="s">
        <v>8274</v>
      </c>
      <c r="G977" s="79" t="s">
        <v>7376</v>
      </c>
      <c r="H977" s="80">
        <v>15409370</v>
      </c>
    </row>
    <row r="978" spans="1:8" x14ac:dyDescent="0.2">
      <c r="A978" s="79" t="s">
        <v>8272</v>
      </c>
      <c r="B978" s="79" t="s">
        <v>8294</v>
      </c>
      <c r="C978" s="79" t="s">
        <v>7438</v>
      </c>
      <c r="D978" s="79" t="s">
        <v>7328</v>
      </c>
      <c r="E978" s="79" t="s">
        <v>8295</v>
      </c>
      <c r="G978" s="79" t="s">
        <v>7329</v>
      </c>
      <c r="H978" s="80">
        <v>10222242</v>
      </c>
    </row>
    <row r="979" spans="1:8" x14ac:dyDescent="0.2">
      <c r="A979" s="79" t="s">
        <v>8296</v>
      </c>
      <c r="B979" s="79" t="s">
        <v>8297</v>
      </c>
      <c r="C979" s="79" t="s">
        <v>7335</v>
      </c>
      <c r="D979" s="79" t="s">
        <v>7312</v>
      </c>
      <c r="E979" s="79">
        <v>796</v>
      </c>
      <c r="G979" s="79" t="s">
        <v>7329</v>
      </c>
      <c r="H979" s="80">
        <v>900000</v>
      </c>
    </row>
    <row r="980" spans="1:8" x14ac:dyDescent="0.2">
      <c r="A980" s="79" t="s">
        <v>8296</v>
      </c>
      <c r="B980" s="79" t="s">
        <v>8298</v>
      </c>
      <c r="C980" s="79" t="s">
        <v>7335</v>
      </c>
      <c r="D980" s="79" t="s">
        <v>7312</v>
      </c>
      <c r="E980" s="79">
        <v>1298</v>
      </c>
      <c r="G980" s="79" t="s">
        <v>7313</v>
      </c>
      <c r="H980" s="80">
        <v>1400000</v>
      </c>
    </row>
    <row r="981" spans="1:8" x14ac:dyDescent="0.2">
      <c r="A981" s="79" t="s">
        <v>8296</v>
      </c>
      <c r="B981" s="79" t="s">
        <v>8299</v>
      </c>
      <c r="C981" s="79" t="s">
        <v>7335</v>
      </c>
      <c r="D981" s="79" t="s">
        <v>7312</v>
      </c>
      <c r="E981" s="79">
        <v>1298</v>
      </c>
      <c r="G981" s="79" t="s">
        <v>7329</v>
      </c>
      <c r="H981" s="80">
        <v>1700000</v>
      </c>
    </row>
    <row r="982" spans="1:8" x14ac:dyDescent="0.2">
      <c r="A982" s="79" t="s">
        <v>8296</v>
      </c>
      <c r="B982" s="79" t="s">
        <v>8300</v>
      </c>
      <c r="C982" s="79" t="s">
        <v>7327</v>
      </c>
      <c r="D982" s="79" t="s">
        <v>7312</v>
      </c>
      <c r="E982" s="79">
        <v>796</v>
      </c>
      <c r="G982" s="79" t="s">
        <v>7313</v>
      </c>
      <c r="H982" s="80">
        <v>860000</v>
      </c>
    </row>
    <row r="983" spans="1:8" x14ac:dyDescent="0.2">
      <c r="A983" s="79" t="s">
        <v>8296</v>
      </c>
      <c r="B983" s="79" t="s">
        <v>8301</v>
      </c>
      <c r="C983" s="79" t="s">
        <v>7335</v>
      </c>
      <c r="D983" s="79" t="s">
        <v>7312</v>
      </c>
      <c r="E983" s="79">
        <v>796</v>
      </c>
      <c r="G983" s="79" t="s">
        <v>7329</v>
      </c>
      <c r="H983" s="80">
        <v>860000</v>
      </c>
    </row>
    <row r="984" spans="1:8" x14ac:dyDescent="0.2">
      <c r="A984" s="79" t="s">
        <v>8296</v>
      </c>
      <c r="B984" s="79" t="s">
        <v>8302</v>
      </c>
      <c r="C984" s="79" t="s">
        <v>7335</v>
      </c>
      <c r="D984" s="79" t="s">
        <v>7312</v>
      </c>
      <c r="E984" s="79">
        <v>1298</v>
      </c>
      <c r="G984" s="79" t="s">
        <v>7329</v>
      </c>
      <c r="H984" s="80">
        <v>1350000</v>
      </c>
    </row>
    <row r="985" spans="1:8" x14ac:dyDescent="0.2">
      <c r="A985" s="79" t="s">
        <v>8296</v>
      </c>
      <c r="B985" s="79" t="s">
        <v>8303</v>
      </c>
      <c r="C985" s="79" t="s">
        <v>7335</v>
      </c>
      <c r="D985" s="79" t="s">
        <v>7312</v>
      </c>
      <c r="E985" s="79">
        <v>1298</v>
      </c>
      <c r="G985" s="79" t="s">
        <v>7329</v>
      </c>
      <c r="H985" s="80">
        <v>1500000</v>
      </c>
    </row>
    <row r="986" spans="1:8" x14ac:dyDescent="0.2">
      <c r="A986" s="79" t="s">
        <v>8296</v>
      </c>
      <c r="B986" s="79" t="s">
        <v>8304</v>
      </c>
      <c r="C986" s="79" t="s">
        <v>7335</v>
      </c>
      <c r="D986" s="79" t="s">
        <v>7312</v>
      </c>
      <c r="E986" s="79">
        <v>1196</v>
      </c>
      <c r="G986" s="79" t="s">
        <v>7329</v>
      </c>
      <c r="H986" s="80">
        <v>1240000</v>
      </c>
    </row>
    <row r="987" spans="1:8" x14ac:dyDescent="0.2">
      <c r="A987" s="79" t="s">
        <v>8296</v>
      </c>
      <c r="B987" s="79" t="s">
        <v>8305</v>
      </c>
      <c r="C987" s="79" t="s">
        <v>7335</v>
      </c>
      <c r="D987" s="79" t="s">
        <v>7312</v>
      </c>
      <c r="E987" s="79">
        <v>1196</v>
      </c>
      <c r="G987" s="79" t="s">
        <v>7329</v>
      </c>
      <c r="H987" s="80">
        <v>1260000</v>
      </c>
    </row>
    <row r="988" spans="1:8" x14ac:dyDescent="0.2">
      <c r="A988" s="79" t="s">
        <v>8296</v>
      </c>
      <c r="B988" s="79" t="s">
        <v>8306</v>
      </c>
      <c r="C988" s="79" t="s">
        <v>7335</v>
      </c>
      <c r="D988" s="79" t="s">
        <v>7312</v>
      </c>
      <c r="E988" s="79">
        <v>1196</v>
      </c>
      <c r="G988" s="79" t="s">
        <v>7329</v>
      </c>
      <c r="H988" s="80">
        <v>1330000</v>
      </c>
    </row>
    <row r="989" spans="1:8" x14ac:dyDescent="0.2">
      <c r="A989" s="79" t="s">
        <v>8296</v>
      </c>
      <c r="B989" s="79" t="s">
        <v>8307</v>
      </c>
      <c r="C989" s="79" t="s">
        <v>7335</v>
      </c>
      <c r="D989" s="79" t="s">
        <v>7312</v>
      </c>
      <c r="E989" s="79">
        <v>796</v>
      </c>
      <c r="G989" s="79" t="s">
        <v>7329</v>
      </c>
      <c r="H989" s="80">
        <v>652500</v>
      </c>
    </row>
    <row r="990" spans="1:8" x14ac:dyDescent="0.2">
      <c r="A990" s="79" t="s">
        <v>8296</v>
      </c>
      <c r="B990" s="79" t="s">
        <v>8308</v>
      </c>
      <c r="C990" s="79" t="s">
        <v>7335</v>
      </c>
      <c r="D990" s="79" t="s">
        <v>7312</v>
      </c>
      <c r="E990" s="79">
        <v>796</v>
      </c>
      <c r="G990" s="79" t="s">
        <v>7329</v>
      </c>
      <c r="H990" s="80">
        <v>697500</v>
      </c>
    </row>
    <row r="991" spans="1:8" x14ac:dyDescent="0.2">
      <c r="A991" s="79" t="s">
        <v>8296</v>
      </c>
      <c r="B991" s="79" t="s">
        <v>8308</v>
      </c>
      <c r="C991" s="79" t="s">
        <v>7335</v>
      </c>
      <c r="D991" s="79" t="s">
        <v>7312</v>
      </c>
      <c r="E991" s="79">
        <v>993</v>
      </c>
      <c r="G991" s="79" t="s">
        <v>7329</v>
      </c>
      <c r="H991" s="80">
        <v>715500</v>
      </c>
    </row>
    <row r="992" spans="1:8" x14ac:dyDescent="0.2">
      <c r="A992" s="79" t="s">
        <v>8296</v>
      </c>
      <c r="B992" s="79" t="s">
        <v>8309</v>
      </c>
      <c r="C992" s="79" t="s">
        <v>7335</v>
      </c>
      <c r="D992" s="79" t="s">
        <v>7312</v>
      </c>
      <c r="E992" s="79">
        <v>993</v>
      </c>
      <c r="G992" s="79" t="s">
        <v>7329</v>
      </c>
      <c r="H992" s="80">
        <v>675000</v>
      </c>
    </row>
    <row r="993" spans="1:8" x14ac:dyDescent="0.2">
      <c r="A993" s="79" t="s">
        <v>8310</v>
      </c>
      <c r="B993" s="79" t="s">
        <v>8311</v>
      </c>
      <c r="C993" s="79" t="s">
        <v>7311</v>
      </c>
      <c r="D993" s="79" t="s">
        <v>7312</v>
      </c>
      <c r="E993" s="79">
        <v>1798</v>
      </c>
      <c r="G993" s="79" t="s">
        <v>7329</v>
      </c>
      <c r="H993" s="80">
        <v>3865500</v>
      </c>
    </row>
    <row r="994" spans="1:8" x14ac:dyDescent="0.2">
      <c r="A994" s="79" t="s">
        <v>8310</v>
      </c>
      <c r="B994" s="79" t="s">
        <v>8312</v>
      </c>
      <c r="C994" s="79" t="s">
        <v>7311</v>
      </c>
      <c r="D994" s="79" t="s">
        <v>7312</v>
      </c>
      <c r="E994" s="79">
        <v>2000</v>
      </c>
      <c r="G994" s="79" t="s">
        <v>7329</v>
      </c>
      <c r="H994" s="80">
        <v>4195000</v>
      </c>
    </row>
    <row r="995" spans="1:8" x14ac:dyDescent="0.2">
      <c r="A995" s="79" t="s">
        <v>8310</v>
      </c>
      <c r="B995" s="79" t="s">
        <v>8313</v>
      </c>
      <c r="C995" s="79" t="s">
        <v>7311</v>
      </c>
      <c r="D995" s="79" t="s">
        <v>7312</v>
      </c>
      <c r="E995" s="79">
        <v>2000</v>
      </c>
      <c r="G995" s="79" t="s">
        <v>7329</v>
      </c>
      <c r="H995" s="80">
        <v>4295000</v>
      </c>
    </row>
    <row r="996" spans="1:8" x14ac:dyDescent="0.2">
      <c r="A996" s="79" t="s">
        <v>8310</v>
      </c>
      <c r="B996" s="79" t="s">
        <v>8314</v>
      </c>
      <c r="C996" s="79" t="s">
        <v>7340</v>
      </c>
      <c r="D996" s="79" t="s">
        <v>7312</v>
      </c>
      <c r="E996" s="79">
        <v>2000</v>
      </c>
      <c r="G996" s="79" t="s">
        <v>7329</v>
      </c>
      <c r="H996" s="80">
        <v>3442000</v>
      </c>
    </row>
    <row r="997" spans="1:8" x14ac:dyDescent="0.2">
      <c r="A997" s="79" t="s">
        <v>8310</v>
      </c>
      <c r="B997" s="79" t="s">
        <v>8315</v>
      </c>
      <c r="C997" s="79" t="s">
        <v>7311</v>
      </c>
      <c r="D997" s="79" t="s">
        <v>7312</v>
      </c>
      <c r="E997" s="79">
        <v>1600</v>
      </c>
      <c r="G997" s="79" t="s">
        <v>7329</v>
      </c>
      <c r="H997" s="80">
        <v>1606500</v>
      </c>
    </row>
    <row r="998" spans="1:8" x14ac:dyDescent="0.2">
      <c r="A998" s="79" t="s">
        <v>8310</v>
      </c>
      <c r="B998" s="79" t="s">
        <v>8316</v>
      </c>
      <c r="C998" s="79" t="s">
        <v>7311</v>
      </c>
      <c r="D998" s="79" t="s">
        <v>7312</v>
      </c>
      <c r="E998" s="79">
        <v>1600</v>
      </c>
      <c r="G998" s="79" t="s">
        <v>7329</v>
      </c>
      <c r="H998" s="80">
        <v>1732500</v>
      </c>
    </row>
    <row r="999" spans="1:8" x14ac:dyDescent="0.2">
      <c r="A999" s="79" t="s">
        <v>8310</v>
      </c>
      <c r="B999" s="79" t="s">
        <v>8317</v>
      </c>
      <c r="C999" s="79" t="s">
        <v>7311</v>
      </c>
      <c r="D999" s="79" t="s">
        <v>7312</v>
      </c>
      <c r="E999" s="79">
        <v>1323</v>
      </c>
      <c r="G999" s="79" t="s">
        <v>7329</v>
      </c>
      <c r="H999" s="80">
        <v>1394380</v>
      </c>
    </row>
    <row r="1000" spans="1:8" x14ac:dyDescent="0.2">
      <c r="A1000" s="79" t="s">
        <v>8310</v>
      </c>
      <c r="B1000" s="79" t="s">
        <v>8318</v>
      </c>
      <c r="C1000" s="79" t="s">
        <v>7311</v>
      </c>
      <c r="D1000" s="79" t="s">
        <v>7312</v>
      </c>
      <c r="E1000" s="79">
        <v>1600</v>
      </c>
      <c r="G1000" s="79" t="s">
        <v>7329</v>
      </c>
      <c r="H1000" s="80">
        <v>1254942</v>
      </c>
    </row>
    <row r="1001" spans="1:8" x14ac:dyDescent="0.2">
      <c r="A1001" s="79" t="s">
        <v>8310</v>
      </c>
      <c r="B1001" s="79" t="s">
        <v>8319</v>
      </c>
      <c r="C1001" s="79" t="s">
        <v>7340</v>
      </c>
      <c r="D1001" s="79" t="s">
        <v>7312</v>
      </c>
      <c r="E1001" s="79">
        <v>650</v>
      </c>
      <c r="G1001" s="79" t="s">
        <v>7329</v>
      </c>
      <c r="H1001" s="80">
        <v>964048</v>
      </c>
    </row>
    <row r="1002" spans="1:8" x14ac:dyDescent="0.2">
      <c r="A1002" s="79" t="s">
        <v>8310</v>
      </c>
      <c r="B1002" s="79" t="s">
        <v>8320</v>
      </c>
      <c r="C1002" s="79" t="s">
        <v>7311</v>
      </c>
      <c r="D1002" s="79" t="s">
        <v>7312</v>
      </c>
      <c r="E1002" s="79">
        <v>1500</v>
      </c>
      <c r="G1002" s="79" t="s">
        <v>7329</v>
      </c>
      <c r="H1002" s="80">
        <v>3089000</v>
      </c>
    </row>
    <row r="1003" spans="1:8" x14ac:dyDescent="0.2">
      <c r="A1003" s="79" t="s">
        <v>8310</v>
      </c>
      <c r="B1003" s="79" t="s">
        <v>8320</v>
      </c>
      <c r="C1003" s="79" t="s">
        <v>7311</v>
      </c>
      <c r="D1003" s="79" t="s">
        <v>7312</v>
      </c>
      <c r="E1003" s="79">
        <v>1600</v>
      </c>
      <c r="G1003" s="79" t="s">
        <v>7329</v>
      </c>
      <c r="H1003" s="80">
        <v>3295000</v>
      </c>
    </row>
    <row r="1004" spans="1:8" x14ac:dyDescent="0.2">
      <c r="A1004" s="79" t="s">
        <v>8310</v>
      </c>
      <c r="B1004" s="79" t="s">
        <v>8320</v>
      </c>
      <c r="C1004" s="79" t="s">
        <v>7311</v>
      </c>
      <c r="D1004" s="79" t="s">
        <v>7312</v>
      </c>
      <c r="E1004" s="79">
        <v>1500</v>
      </c>
      <c r="G1004" s="79" t="s">
        <v>7313</v>
      </c>
      <c r="H1004" s="80">
        <v>3239000</v>
      </c>
    </row>
    <row r="1005" spans="1:8" x14ac:dyDescent="0.2">
      <c r="A1005" s="79" t="s">
        <v>8310</v>
      </c>
      <c r="B1005" s="79" t="s">
        <v>8320</v>
      </c>
      <c r="C1005" s="79" t="s">
        <v>7311</v>
      </c>
      <c r="D1005" s="79" t="s">
        <v>7312</v>
      </c>
      <c r="E1005" s="79">
        <v>1800</v>
      </c>
      <c r="G1005" s="79" t="s">
        <v>7329</v>
      </c>
      <c r="H1005" s="80">
        <v>3706000</v>
      </c>
    </row>
    <row r="1006" spans="1:8" x14ac:dyDescent="0.2">
      <c r="A1006" s="79" t="s">
        <v>8310</v>
      </c>
      <c r="B1006" s="79" t="s">
        <v>8320</v>
      </c>
      <c r="C1006" s="79" t="s">
        <v>7311</v>
      </c>
      <c r="D1006" s="79" t="s">
        <v>7312</v>
      </c>
      <c r="E1006" s="79">
        <v>1800</v>
      </c>
      <c r="G1006" s="79" t="s">
        <v>7313</v>
      </c>
      <c r="H1006" s="80">
        <v>3856000</v>
      </c>
    </row>
    <row r="1007" spans="1:8" x14ac:dyDescent="0.2">
      <c r="A1007" s="79" t="s">
        <v>8310</v>
      </c>
      <c r="B1007" s="79" t="s">
        <v>8320</v>
      </c>
      <c r="C1007" s="79" t="s">
        <v>7311</v>
      </c>
      <c r="D1007" s="79" t="s">
        <v>7312</v>
      </c>
      <c r="E1007" s="79">
        <v>2000</v>
      </c>
      <c r="G1007" s="79" t="s">
        <v>7329</v>
      </c>
      <c r="H1007" s="80">
        <v>4118000</v>
      </c>
    </row>
    <row r="1008" spans="1:8" x14ac:dyDescent="0.2">
      <c r="A1008" s="79" t="s">
        <v>8310</v>
      </c>
      <c r="B1008" s="79" t="s">
        <v>8320</v>
      </c>
      <c r="C1008" s="79" t="s">
        <v>7311</v>
      </c>
      <c r="D1008" s="79" t="s">
        <v>7312</v>
      </c>
      <c r="E1008" s="79">
        <v>2000</v>
      </c>
      <c r="G1008" s="79" t="s">
        <v>7313</v>
      </c>
      <c r="H1008" s="80">
        <v>4268000</v>
      </c>
    </row>
    <row r="1009" spans="1:8" x14ac:dyDescent="0.2">
      <c r="A1009" s="79" t="s">
        <v>8310</v>
      </c>
      <c r="B1009" s="79" t="s">
        <v>8321</v>
      </c>
      <c r="C1009" s="79" t="s">
        <v>7340</v>
      </c>
      <c r="D1009" s="79" t="s">
        <v>7312</v>
      </c>
      <c r="E1009" s="79">
        <v>2000</v>
      </c>
      <c r="G1009" s="79" t="s">
        <v>7329</v>
      </c>
      <c r="H1009" s="80">
        <v>3895000</v>
      </c>
    </row>
    <row r="1010" spans="1:8" x14ac:dyDescent="0.2">
      <c r="A1010" s="79" t="s">
        <v>8310</v>
      </c>
      <c r="B1010" s="79" t="s">
        <v>8321</v>
      </c>
      <c r="C1010" s="79" t="s">
        <v>7340</v>
      </c>
      <c r="D1010" s="79" t="s">
        <v>7312</v>
      </c>
      <c r="E1010" s="79">
        <v>2200</v>
      </c>
      <c r="G1010" s="79" t="s">
        <v>7329</v>
      </c>
      <c r="H1010" s="80">
        <v>4284000</v>
      </c>
    </row>
    <row r="1011" spans="1:8" x14ac:dyDescent="0.2">
      <c r="A1011" s="79" t="s">
        <v>8310</v>
      </c>
      <c r="B1011" s="79" t="s">
        <v>8321</v>
      </c>
      <c r="C1011" s="79" t="s">
        <v>7311</v>
      </c>
      <c r="D1011" s="79" t="s">
        <v>7312</v>
      </c>
      <c r="E1011" s="79">
        <v>2500</v>
      </c>
      <c r="G1011" s="79" t="s">
        <v>7329</v>
      </c>
      <c r="H1011" s="80">
        <v>5243000</v>
      </c>
    </row>
    <row r="1012" spans="1:8" x14ac:dyDescent="0.2">
      <c r="A1012" s="79" t="s">
        <v>8310</v>
      </c>
      <c r="B1012" s="79" t="s">
        <v>8321</v>
      </c>
      <c r="C1012" s="79" t="s">
        <v>7311</v>
      </c>
      <c r="D1012" s="79" t="s">
        <v>7312</v>
      </c>
      <c r="E1012" s="79">
        <v>2500</v>
      </c>
      <c r="G1012" s="79" t="s">
        <v>7313</v>
      </c>
      <c r="H1012" s="80">
        <v>5443000</v>
      </c>
    </row>
    <row r="1013" spans="1:8" x14ac:dyDescent="0.2">
      <c r="A1013" s="79" t="s">
        <v>8310</v>
      </c>
      <c r="B1013" s="79" t="s">
        <v>8322</v>
      </c>
      <c r="C1013" s="79" t="s">
        <v>7335</v>
      </c>
      <c r="D1013" s="79" t="s">
        <v>7312</v>
      </c>
      <c r="E1013" s="79">
        <v>1990</v>
      </c>
      <c r="G1013" s="79" t="s">
        <v>7329</v>
      </c>
      <c r="H1013" s="80">
        <v>4695000</v>
      </c>
    </row>
    <row r="1014" spans="1:8" x14ac:dyDescent="0.2">
      <c r="A1014" s="79" t="s">
        <v>8310</v>
      </c>
      <c r="B1014" s="79" t="s">
        <v>8323</v>
      </c>
      <c r="C1014" s="79" t="s">
        <v>7335</v>
      </c>
      <c r="D1014" s="79" t="s">
        <v>7312</v>
      </c>
      <c r="E1014" s="79">
        <v>2000</v>
      </c>
      <c r="G1014" s="79" t="s">
        <v>7329</v>
      </c>
      <c r="H1014" s="80">
        <v>4817793</v>
      </c>
    </row>
    <row r="1015" spans="1:8" x14ac:dyDescent="0.2">
      <c r="A1015" s="79" t="s">
        <v>8310</v>
      </c>
      <c r="B1015" s="79" t="s">
        <v>8323</v>
      </c>
      <c r="C1015" s="79" t="s">
        <v>7335</v>
      </c>
      <c r="D1015" s="79" t="s">
        <v>7312</v>
      </c>
      <c r="E1015" s="79">
        <v>2260</v>
      </c>
      <c r="G1015" s="79" t="s">
        <v>7329</v>
      </c>
      <c r="H1015" s="80">
        <v>5120700</v>
      </c>
    </row>
    <row r="1016" spans="1:8" x14ac:dyDescent="0.2">
      <c r="A1016" s="79" t="s">
        <v>8310</v>
      </c>
      <c r="B1016" s="79" t="s">
        <v>8324</v>
      </c>
      <c r="C1016" s="79" t="s">
        <v>8325</v>
      </c>
      <c r="D1016" s="79" t="s">
        <v>7312</v>
      </c>
      <c r="E1016" s="79">
        <v>2000</v>
      </c>
      <c r="G1016" s="79" t="s">
        <v>7329</v>
      </c>
      <c r="H1016" s="80">
        <v>3650284</v>
      </c>
    </row>
    <row r="1017" spans="1:8" x14ac:dyDescent="0.2">
      <c r="A1017" s="79" t="s">
        <v>8310</v>
      </c>
      <c r="B1017" s="79" t="s">
        <v>8326</v>
      </c>
      <c r="C1017" s="79" t="s">
        <v>8325</v>
      </c>
      <c r="D1017" s="79" t="s">
        <v>7312</v>
      </c>
      <c r="E1017" s="79">
        <v>2000</v>
      </c>
      <c r="G1017" s="79" t="s">
        <v>7329</v>
      </c>
      <c r="H1017" s="80">
        <v>2716000</v>
      </c>
    </row>
    <row r="1018" spans="1:8" x14ac:dyDescent="0.2">
      <c r="A1018" s="79" t="s">
        <v>8310</v>
      </c>
      <c r="B1018" s="79" t="s">
        <v>8327</v>
      </c>
      <c r="C1018" s="79" t="s">
        <v>8325</v>
      </c>
      <c r="D1018" s="79" t="s">
        <v>7312</v>
      </c>
      <c r="E1018" s="79">
        <v>1780</v>
      </c>
      <c r="G1018" s="79" t="s">
        <v>7329</v>
      </c>
      <c r="H1018" s="80">
        <v>2450000</v>
      </c>
    </row>
    <row r="1019" spans="1:8" x14ac:dyDescent="0.2">
      <c r="A1019" s="79" t="s">
        <v>8310</v>
      </c>
      <c r="B1019" s="79" t="s">
        <v>8328</v>
      </c>
      <c r="C1019" s="79" t="s">
        <v>7619</v>
      </c>
      <c r="D1019" s="79" t="s">
        <v>7328</v>
      </c>
      <c r="E1019" s="79">
        <v>2500</v>
      </c>
      <c r="G1019" s="79" t="s">
        <v>7329</v>
      </c>
      <c r="H1019" s="80">
        <v>1665000</v>
      </c>
    </row>
    <row r="1020" spans="1:8" x14ac:dyDescent="0.2">
      <c r="A1020" s="79" t="s">
        <v>8310</v>
      </c>
      <c r="B1020" s="79" t="s">
        <v>8329</v>
      </c>
      <c r="C1020" s="79" t="s">
        <v>7619</v>
      </c>
      <c r="D1020" s="79" t="s">
        <v>7328</v>
      </c>
      <c r="E1020" s="79">
        <v>2500</v>
      </c>
      <c r="G1020" s="79" t="s">
        <v>7329</v>
      </c>
      <c r="H1020" s="80">
        <v>3172298</v>
      </c>
    </row>
    <row r="1021" spans="1:8" x14ac:dyDescent="0.2">
      <c r="A1021" s="79" t="s">
        <v>8310</v>
      </c>
      <c r="B1021" s="79" t="s">
        <v>8330</v>
      </c>
      <c r="C1021" s="79" t="s">
        <v>7619</v>
      </c>
      <c r="D1021" s="79" t="s">
        <v>7312</v>
      </c>
      <c r="E1021" s="79">
        <v>1800</v>
      </c>
      <c r="G1021" s="79" t="s">
        <v>7329</v>
      </c>
      <c r="H1021" s="80">
        <v>1255000</v>
      </c>
    </row>
    <row r="1022" spans="1:8" x14ac:dyDescent="0.2">
      <c r="A1022" s="79" t="s">
        <v>8310</v>
      </c>
      <c r="B1022" s="79" t="s">
        <v>8331</v>
      </c>
      <c r="C1022" s="79" t="s">
        <v>7619</v>
      </c>
      <c r="D1022" s="79" t="s">
        <v>7328</v>
      </c>
      <c r="E1022" s="79">
        <v>2500</v>
      </c>
      <c r="G1022" s="79" t="s">
        <v>7329</v>
      </c>
      <c r="H1022" s="80">
        <v>3495000</v>
      </c>
    </row>
    <row r="1023" spans="1:8" x14ac:dyDescent="0.2">
      <c r="A1023" s="79" t="s">
        <v>8310</v>
      </c>
      <c r="B1023" s="79" t="s">
        <v>8332</v>
      </c>
      <c r="C1023" s="79" t="s">
        <v>7619</v>
      </c>
      <c r="D1023" s="79" t="s">
        <v>7328</v>
      </c>
      <c r="E1023" s="79">
        <v>2500</v>
      </c>
      <c r="G1023" s="79" t="s">
        <v>7313</v>
      </c>
      <c r="H1023" s="80">
        <v>3995000</v>
      </c>
    </row>
    <row r="1024" spans="1:8" x14ac:dyDescent="0.2">
      <c r="A1024" s="79" t="s">
        <v>8310</v>
      </c>
      <c r="B1024" s="79" t="s">
        <v>8333</v>
      </c>
      <c r="C1024" s="79" t="s">
        <v>8200</v>
      </c>
      <c r="D1024" s="79" t="s">
        <v>7328</v>
      </c>
      <c r="E1024" s="79">
        <v>2200</v>
      </c>
      <c r="G1024" s="79" t="s">
        <v>7329</v>
      </c>
      <c r="H1024" s="80">
        <v>4395000</v>
      </c>
    </row>
    <row r="1025" spans="1:8" x14ac:dyDescent="0.2">
      <c r="A1025" s="79" t="s">
        <v>8310</v>
      </c>
      <c r="B1025" s="79" t="s">
        <v>8334</v>
      </c>
      <c r="C1025" s="79" t="s">
        <v>8200</v>
      </c>
      <c r="D1025" s="79" t="s">
        <v>7328</v>
      </c>
      <c r="E1025" s="79">
        <v>2200</v>
      </c>
      <c r="G1025" s="79" t="s">
        <v>7329</v>
      </c>
      <c r="H1025" s="80">
        <v>4995000</v>
      </c>
    </row>
    <row r="1026" spans="1:8" x14ac:dyDescent="0.2">
      <c r="A1026" s="79" t="s">
        <v>8310</v>
      </c>
      <c r="B1026" s="79" t="s">
        <v>8335</v>
      </c>
      <c r="C1026" s="79" t="s">
        <v>7311</v>
      </c>
      <c r="D1026" s="79" t="s">
        <v>7312</v>
      </c>
      <c r="E1026" s="79">
        <v>1830</v>
      </c>
      <c r="F1026" s="79" t="s">
        <v>7738</v>
      </c>
      <c r="G1026" s="79" t="s">
        <v>7329</v>
      </c>
      <c r="H1026" s="80">
        <v>2200000</v>
      </c>
    </row>
    <row r="1027" spans="1:8" x14ac:dyDescent="0.2">
      <c r="A1027" s="79" t="s">
        <v>8310</v>
      </c>
      <c r="B1027" s="79" t="s">
        <v>8336</v>
      </c>
      <c r="C1027" s="79" t="s">
        <v>7335</v>
      </c>
      <c r="D1027" s="79" t="s">
        <v>7312</v>
      </c>
      <c r="E1027" s="79">
        <v>2000</v>
      </c>
      <c r="F1027" s="79" t="s">
        <v>7643</v>
      </c>
      <c r="G1027" s="79" t="s">
        <v>7329</v>
      </c>
      <c r="H1027" s="80">
        <v>4495000</v>
      </c>
    </row>
    <row r="1028" spans="1:8" x14ac:dyDescent="0.2">
      <c r="A1028" s="79" t="s">
        <v>8310</v>
      </c>
      <c r="B1028" s="79" t="s">
        <v>8336</v>
      </c>
      <c r="C1028" s="79" t="s">
        <v>7335</v>
      </c>
      <c r="D1028" s="79" t="s">
        <v>7312</v>
      </c>
      <c r="E1028" s="79">
        <v>2500</v>
      </c>
      <c r="F1028" s="79" t="s">
        <v>7643</v>
      </c>
      <c r="G1028" s="79" t="s">
        <v>7313</v>
      </c>
      <c r="H1028" s="80">
        <v>5495000</v>
      </c>
    </row>
    <row r="1029" spans="1:8" x14ac:dyDescent="0.2">
      <c r="A1029" s="79" t="s">
        <v>8310</v>
      </c>
      <c r="B1029" s="79" t="s">
        <v>8337</v>
      </c>
      <c r="C1029" s="79" t="s">
        <v>7335</v>
      </c>
      <c r="D1029" s="79" t="s">
        <v>7312</v>
      </c>
      <c r="E1029" s="79">
        <v>2000</v>
      </c>
      <c r="F1029" s="79" t="s">
        <v>7643</v>
      </c>
      <c r="G1029" s="79" t="s">
        <v>7329</v>
      </c>
      <c r="H1029" s="80">
        <v>4944000</v>
      </c>
    </row>
    <row r="1030" spans="1:8" x14ac:dyDescent="0.2">
      <c r="A1030" s="79" t="s">
        <v>8310</v>
      </c>
      <c r="B1030" s="79" t="s">
        <v>8337</v>
      </c>
      <c r="C1030" s="79" t="s">
        <v>7335</v>
      </c>
      <c r="D1030" s="79" t="s">
        <v>7312</v>
      </c>
      <c r="E1030" s="79">
        <v>2500</v>
      </c>
      <c r="F1030" s="79" t="s">
        <v>7643</v>
      </c>
      <c r="G1030" s="79" t="s">
        <v>7313</v>
      </c>
      <c r="H1030" s="80">
        <v>6044000</v>
      </c>
    </row>
    <row r="1031" spans="1:8" x14ac:dyDescent="0.2">
      <c r="A1031" s="79" t="s">
        <v>8310</v>
      </c>
      <c r="B1031" s="79" t="s">
        <v>8338</v>
      </c>
      <c r="C1031" s="79" t="s">
        <v>7335</v>
      </c>
      <c r="D1031" s="79" t="s">
        <v>7312</v>
      </c>
      <c r="E1031" s="79">
        <v>1500</v>
      </c>
      <c r="G1031" s="79" t="s">
        <v>7329</v>
      </c>
      <c r="H1031" s="80">
        <v>1670591</v>
      </c>
    </row>
    <row r="1032" spans="1:8" x14ac:dyDescent="0.2">
      <c r="A1032" s="79" t="s">
        <v>8310</v>
      </c>
      <c r="B1032" s="79" t="s">
        <v>8339</v>
      </c>
      <c r="C1032" s="79" t="s">
        <v>7335</v>
      </c>
      <c r="D1032" s="79" t="s">
        <v>7312</v>
      </c>
      <c r="E1032" s="79">
        <v>1500</v>
      </c>
      <c r="G1032" s="79" t="s">
        <v>7329</v>
      </c>
      <c r="H1032" s="80">
        <v>2187500</v>
      </c>
    </row>
    <row r="1033" spans="1:8" x14ac:dyDescent="0.2">
      <c r="A1033" s="79" t="s">
        <v>8310</v>
      </c>
      <c r="B1033" s="79" t="s">
        <v>8340</v>
      </c>
      <c r="C1033" s="79" t="s">
        <v>7335</v>
      </c>
      <c r="D1033" s="79" t="s">
        <v>7312</v>
      </c>
      <c r="E1033" s="79">
        <v>2490</v>
      </c>
      <c r="G1033" s="79" t="s">
        <v>7329</v>
      </c>
      <c r="H1033" s="80">
        <v>2482892</v>
      </c>
    </row>
    <row r="1034" spans="1:8" x14ac:dyDescent="0.2">
      <c r="A1034" s="79" t="s">
        <v>8310</v>
      </c>
      <c r="B1034" s="79" t="s">
        <v>8341</v>
      </c>
      <c r="C1034" s="79" t="s">
        <v>7335</v>
      </c>
      <c r="D1034" s="79" t="s">
        <v>7312</v>
      </c>
      <c r="E1034" s="79">
        <v>2260</v>
      </c>
      <c r="G1034" s="79" t="s">
        <v>7329</v>
      </c>
      <c r="H1034" s="80">
        <v>4315891</v>
      </c>
    </row>
    <row r="1035" spans="1:8" x14ac:dyDescent="0.2">
      <c r="A1035" s="79" t="s">
        <v>8310</v>
      </c>
      <c r="B1035" s="79" t="s">
        <v>8341</v>
      </c>
      <c r="C1035" s="79" t="s">
        <v>7335</v>
      </c>
      <c r="D1035" s="79" t="s">
        <v>7312</v>
      </c>
      <c r="E1035" s="79">
        <v>2260</v>
      </c>
      <c r="G1035" s="79" t="s">
        <v>7313</v>
      </c>
      <c r="H1035" s="80">
        <v>4558936</v>
      </c>
    </row>
    <row r="1036" spans="1:8" x14ac:dyDescent="0.2">
      <c r="A1036" s="79" t="s">
        <v>8310</v>
      </c>
      <c r="B1036" s="79" t="s">
        <v>8342</v>
      </c>
      <c r="C1036" s="79" t="s">
        <v>7335</v>
      </c>
      <c r="D1036" s="79" t="s">
        <v>7312</v>
      </c>
      <c r="E1036" s="79">
        <v>1800</v>
      </c>
      <c r="G1036" s="79" t="s">
        <v>7329</v>
      </c>
      <c r="H1036" s="80">
        <v>3557865</v>
      </c>
    </row>
    <row r="1037" spans="1:8" x14ac:dyDescent="0.2">
      <c r="A1037" s="79" t="s">
        <v>8310</v>
      </c>
      <c r="B1037" s="79" t="s">
        <v>8342</v>
      </c>
      <c r="C1037" s="79" t="s">
        <v>7335</v>
      </c>
      <c r="D1037" s="79" t="s">
        <v>7312</v>
      </c>
      <c r="E1037" s="79">
        <v>2000</v>
      </c>
      <c r="G1037" s="79" t="s">
        <v>7329</v>
      </c>
      <c r="H1037" s="80">
        <v>3954000</v>
      </c>
    </row>
    <row r="1038" spans="1:8" x14ac:dyDescent="0.2">
      <c r="A1038" s="79" t="s">
        <v>8310</v>
      </c>
      <c r="B1038" s="79" t="s">
        <v>8342</v>
      </c>
      <c r="C1038" s="79" t="s">
        <v>7335</v>
      </c>
      <c r="D1038" s="79" t="s">
        <v>7312</v>
      </c>
      <c r="E1038" s="79">
        <v>2000</v>
      </c>
      <c r="G1038" s="79" t="s">
        <v>7313</v>
      </c>
      <c r="H1038" s="80">
        <v>4253184</v>
      </c>
    </row>
    <row r="1039" spans="1:8" x14ac:dyDescent="0.2">
      <c r="A1039" s="79" t="s">
        <v>8310</v>
      </c>
      <c r="B1039" s="79" t="s">
        <v>8342</v>
      </c>
      <c r="C1039" s="79" t="s">
        <v>7335</v>
      </c>
      <c r="D1039" s="79" t="s">
        <v>7312</v>
      </c>
      <c r="E1039" s="79">
        <v>2200</v>
      </c>
      <c r="G1039" s="79" t="s">
        <v>7329</v>
      </c>
      <c r="H1039" s="80">
        <v>4349400</v>
      </c>
    </row>
    <row r="1040" spans="1:8" x14ac:dyDescent="0.2">
      <c r="A1040" s="79" t="s">
        <v>8310</v>
      </c>
      <c r="B1040" s="79" t="s">
        <v>8343</v>
      </c>
      <c r="C1040" s="79" t="s">
        <v>7335</v>
      </c>
      <c r="D1040" s="79" t="s">
        <v>7328</v>
      </c>
      <c r="E1040" s="79">
        <v>2000</v>
      </c>
      <c r="G1040" s="79" t="s">
        <v>7329</v>
      </c>
      <c r="H1040" s="80">
        <v>4552368</v>
      </c>
    </row>
    <row r="1041" spans="1:8" x14ac:dyDescent="0.2">
      <c r="A1041" s="79" t="s">
        <v>8310</v>
      </c>
      <c r="B1041" s="79" t="s">
        <v>8344</v>
      </c>
      <c r="C1041" s="79" t="s">
        <v>7320</v>
      </c>
      <c r="D1041" s="79" t="s">
        <v>7312</v>
      </c>
      <c r="E1041" s="79">
        <v>2000</v>
      </c>
      <c r="G1041" s="79" t="s">
        <v>7329</v>
      </c>
      <c r="H1041" s="80">
        <v>4407300</v>
      </c>
    </row>
    <row r="1042" spans="1:8" x14ac:dyDescent="0.2">
      <c r="A1042" s="79" t="s">
        <v>8310</v>
      </c>
      <c r="B1042" s="79" t="s">
        <v>8345</v>
      </c>
      <c r="C1042" s="79" t="s">
        <v>7320</v>
      </c>
      <c r="D1042" s="79" t="s">
        <v>7312</v>
      </c>
      <c r="E1042" s="79">
        <v>1300</v>
      </c>
      <c r="F1042" s="79" t="s">
        <v>7738</v>
      </c>
      <c r="G1042" s="79" t="s">
        <v>7329</v>
      </c>
      <c r="H1042" s="80">
        <v>4014226</v>
      </c>
    </row>
    <row r="1043" spans="1:8" x14ac:dyDescent="0.2">
      <c r="A1043" s="79" t="s">
        <v>8310</v>
      </c>
      <c r="B1043" s="79" t="s">
        <v>8346</v>
      </c>
      <c r="C1043" s="79" t="s">
        <v>7320</v>
      </c>
      <c r="D1043" s="79" t="s">
        <v>7312</v>
      </c>
      <c r="E1043" s="79">
        <v>1300</v>
      </c>
      <c r="F1043" s="79" t="s">
        <v>7738</v>
      </c>
      <c r="G1043" s="79" t="s">
        <v>7329</v>
      </c>
      <c r="H1043" s="80">
        <v>4832951</v>
      </c>
    </row>
    <row r="1044" spans="1:8" x14ac:dyDescent="0.2">
      <c r="A1044" s="79" t="s">
        <v>8310</v>
      </c>
      <c r="B1044" s="79" t="s">
        <v>8347</v>
      </c>
      <c r="C1044" s="79" t="s">
        <v>7320</v>
      </c>
      <c r="D1044" s="79" t="s">
        <v>7312</v>
      </c>
      <c r="E1044" s="79">
        <v>1300</v>
      </c>
      <c r="F1044" s="79" t="s">
        <v>7643</v>
      </c>
      <c r="G1044" s="79" t="s">
        <v>7329</v>
      </c>
      <c r="H1044" s="80">
        <v>4837446</v>
      </c>
    </row>
    <row r="1045" spans="1:8" x14ac:dyDescent="0.2">
      <c r="A1045" s="79" t="s">
        <v>8310</v>
      </c>
      <c r="B1045" s="79" t="s">
        <v>8348</v>
      </c>
      <c r="C1045" s="79" t="s">
        <v>8349</v>
      </c>
      <c r="D1045" s="79" t="s">
        <v>7312</v>
      </c>
      <c r="E1045" s="79">
        <v>1300</v>
      </c>
      <c r="G1045" s="79" t="s">
        <v>7329</v>
      </c>
      <c r="H1045" s="80">
        <v>1649600</v>
      </c>
    </row>
    <row r="1046" spans="1:8" x14ac:dyDescent="0.2">
      <c r="A1046" s="79" t="s">
        <v>8310</v>
      </c>
      <c r="B1046" s="79" t="s">
        <v>8350</v>
      </c>
      <c r="C1046" s="79" t="s">
        <v>7619</v>
      </c>
      <c r="D1046" s="79" t="s">
        <v>7312</v>
      </c>
      <c r="E1046" s="79">
        <v>1990</v>
      </c>
      <c r="G1046" s="79" t="s">
        <v>7329</v>
      </c>
      <c r="H1046" s="80">
        <v>1400000</v>
      </c>
    </row>
    <row r="1047" spans="1:8" x14ac:dyDescent="0.2">
      <c r="A1047" s="79" t="s">
        <v>8310</v>
      </c>
      <c r="B1047" s="79" t="s">
        <v>8351</v>
      </c>
      <c r="C1047" s="79" t="s">
        <v>7370</v>
      </c>
      <c r="D1047" s="79" t="s">
        <v>7312</v>
      </c>
      <c r="E1047" s="79">
        <v>3455</v>
      </c>
      <c r="G1047" s="79" t="s">
        <v>7329</v>
      </c>
      <c r="H1047" s="80">
        <v>2917000</v>
      </c>
    </row>
    <row r="1048" spans="1:8" x14ac:dyDescent="0.2">
      <c r="A1048" s="79" t="s">
        <v>8310</v>
      </c>
      <c r="B1048" s="79" t="s">
        <v>8352</v>
      </c>
      <c r="C1048" s="79" t="s">
        <v>7335</v>
      </c>
      <c r="D1048" s="79" t="s">
        <v>7312</v>
      </c>
      <c r="E1048" s="79">
        <v>2960</v>
      </c>
      <c r="G1048" s="79" t="s">
        <v>7313</v>
      </c>
      <c r="H1048" s="80">
        <v>5495000</v>
      </c>
    </row>
    <row r="1049" spans="1:8" x14ac:dyDescent="0.2">
      <c r="A1049" s="79" t="s">
        <v>8310</v>
      </c>
      <c r="B1049" s="79" t="s">
        <v>8352</v>
      </c>
      <c r="C1049" s="79" t="s">
        <v>7335</v>
      </c>
      <c r="D1049" s="79" t="s">
        <v>7312</v>
      </c>
      <c r="E1049" s="79">
        <v>2300</v>
      </c>
      <c r="G1049" s="79" t="s">
        <v>7313</v>
      </c>
      <c r="H1049" s="80">
        <v>4910229</v>
      </c>
    </row>
    <row r="1050" spans="1:8" x14ac:dyDescent="0.2">
      <c r="A1050" s="79" t="s">
        <v>8310</v>
      </c>
      <c r="B1050" s="79" t="s">
        <v>8352</v>
      </c>
      <c r="C1050" s="79" t="s">
        <v>7335</v>
      </c>
      <c r="D1050" s="79" t="s">
        <v>7312</v>
      </c>
      <c r="E1050" s="79">
        <v>2000</v>
      </c>
      <c r="G1050" s="79" t="s">
        <v>7329</v>
      </c>
      <c r="H1050" s="80">
        <v>4269764</v>
      </c>
    </row>
    <row r="1051" spans="1:8" x14ac:dyDescent="0.2">
      <c r="A1051" s="79" t="s">
        <v>8310</v>
      </c>
      <c r="B1051" s="79" t="s">
        <v>8352</v>
      </c>
      <c r="C1051" s="79" t="s">
        <v>7335</v>
      </c>
      <c r="D1051" s="79" t="s">
        <v>7312</v>
      </c>
      <c r="E1051" s="79">
        <v>2500</v>
      </c>
      <c r="G1051" s="79" t="s">
        <v>7313</v>
      </c>
      <c r="H1051" s="80">
        <v>5337206</v>
      </c>
    </row>
    <row r="1052" spans="1:8" x14ac:dyDescent="0.2">
      <c r="A1052" s="79" t="s">
        <v>8310</v>
      </c>
      <c r="B1052" s="79" t="s">
        <v>8353</v>
      </c>
      <c r="C1052" s="79" t="s">
        <v>7950</v>
      </c>
      <c r="D1052" s="79" t="s">
        <v>7328</v>
      </c>
      <c r="E1052" s="79">
        <v>3500</v>
      </c>
      <c r="G1052" s="79" t="s">
        <v>7329</v>
      </c>
      <c r="H1052" s="80">
        <v>3025117</v>
      </c>
    </row>
    <row r="1053" spans="1:8" x14ac:dyDescent="0.2">
      <c r="A1053" s="79" t="s">
        <v>8310</v>
      </c>
      <c r="B1053" s="79" t="s">
        <v>8354</v>
      </c>
      <c r="C1053" s="79" t="s">
        <v>8325</v>
      </c>
      <c r="D1053" s="79" t="s">
        <v>7312</v>
      </c>
      <c r="E1053" s="79">
        <v>660</v>
      </c>
      <c r="G1053" s="79" t="s">
        <v>7329</v>
      </c>
      <c r="H1053" s="80">
        <v>1561270</v>
      </c>
    </row>
    <row r="1054" spans="1:8" x14ac:dyDescent="0.2">
      <c r="A1054" s="79" t="s">
        <v>8310</v>
      </c>
      <c r="B1054" s="79" t="s">
        <v>8355</v>
      </c>
      <c r="C1054" s="79" t="s">
        <v>7335</v>
      </c>
      <c r="D1054" s="79" t="s">
        <v>7312</v>
      </c>
      <c r="E1054" s="79">
        <v>1500</v>
      </c>
      <c r="G1054" s="79" t="s">
        <v>7329</v>
      </c>
      <c r="H1054" s="80">
        <v>1670591</v>
      </c>
    </row>
    <row r="1055" spans="1:8" x14ac:dyDescent="0.2">
      <c r="A1055" s="79" t="s">
        <v>8206</v>
      </c>
      <c r="B1055" s="79" t="s">
        <v>8356</v>
      </c>
      <c r="C1055" s="79" t="s">
        <v>7340</v>
      </c>
      <c r="D1055" s="79" t="s">
        <v>7312</v>
      </c>
      <c r="E1055" s="79">
        <v>590</v>
      </c>
      <c r="G1055" s="79" t="s">
        <v>7329</v>
      </c>
      <c r="H1055" s="80">
        <v>1056000</v>
      </c>
    </row>
    <row r="1056" spans="1:8" x14ac:dyDescent="0.2">
      <c r="A1056" s="79" t="s">
        <v>8206</v>
      </c>
      <c r="B1056" s="79" t="s">
        <v>8357</v>
      </c>
      <c r="C1056" s="79" t="s">
        <v>7340</v>
      </c>
      <c r="D1056" s="79" t="s">
        <v>7312</v>
      </c>
      <c r="E1056" s="79">
        <v>1498</v>
      </c>
      <c r="G1056" s="79" t="s">
        <v>7329</v>
      </c>
      <c r="H1056" s="80">
        <v>2628000</v>
      </c>
    </row>
    <row r="1057" spans="1:8" x14ac:dyDescent="0.2">
      <c r="A1057" s="79" t="s">
        <v>8206</v>
      </c>
      <c r="B1057" s="79" t="s">
        <v>8358</v>
      </c>
      <c r="C1057" s="79" t="s">
        <v>7340</v>
      </c>
      <c r="D1057" s="79" t="s">
        <v>7312</v>
      </c>
      <c r="E1057" s="79">
        <v>1498</v>
      </c>
      <c r="G1057" s="79" t="s">
        <v>7329</v>
      </c>
      <c r="H1057" s="80">
        <v>2810500</v>
      </c>
    </row>
    <row r="1058" spans="1:8" x14ac:dyDescent="0.2">
      <c r="A1058" s="79" t="s">
        <v>8206</v>
      </c>
      <c r="B1058" s="79" t="s">
        <v>8359</v>
      </c>
      <c r="C1058" s="79" t="s">
        <v>7340</v>
      </c>
      <c r="D1058" s="79" t="s">
        <v>7312</v>
      </c>
      <c r="E1058" s="79">
        <v>1600</v>
      </c>
      <c r="G1058" s="79" t="s">
        <v>7329</v>
      </c>
      <c r="H1058" s="80">
        <v>3001869</v>
      </c>
    </row>
    <row r="1059" spans="1:8" x14ac:dyDescent="0.2">
      <c r="A1059" s="79" t="s">
        <v>8206</v>
      </c>
      <c r="B1059" s="79" t="s">
        <v>8360</v>
      </c>
      <c r="C1059" s="79" t="s">
        <v>7340</v>
      </c>
      <c r="D1059" s="79" t="s">
        <v>7312</v>
      </c>
      <c r="E1059" s="79">
        <v>1700</v>
      </c>
      <c r="G1059" s="79" t="s">
        <v>7329</v>
      </c>
      <c r="H1059" s="80">
        <v>3189485</v>
      </c>
    </row>
    <row r="1060" spans="1:8" x14ac:dyDescent="0.2">
      <c r="A1060" s="79" t="s">
        <v>8206</v>
      </c>
      <c r="B1060" s="79" t="s">
        <v>8361</v>
      </c>
      <c r="C1060" s="79" t="s">
        <v>7340</v>
      </c>
      <c r="D1060" s="79" t="s">
        <v>7312</v>
      </c>
      <c r="E1060" s="79">
        <v>1890</v>
      </c>
      <c r="G1060" s="79" t="s">
        <v>7329</v>
      </c>
      <c r="H1060" s="80">
        <v>3379667</v>
      </c>
    </row>
    <row r="1061" spans="1:8" x14ac:dyDescent="0.2">
      <c r="A1061" s="79" t="s">
        <v>8206</v>
      </c>
      <c r="B1061" s="79" t="s">
        <v>8362</v>
      </c>
      <c r="C1061" s="79" t="s">
        <v>7340</v>
      </c>
      <c r="D1061" s="79" t="s">
        <v>7312</v>
      </c>
      <c r="E1061" s="79">
        <v>2000</v>
      </c>
      <c r="G1061" s="79" t="s">
        <v>7329</v>
      </c>
      <c r="H1061" s="80">
        <v>6364800</v>
      </c>
    </row>
    <row r="1062" spans="1:8" x14ac:dyDescent="0.2">
      <c r="A1062" s="79" t="s">
        <v>8206</v>
      </c>
      <c r="B1062" s="79" t="s">
        <v>8363</v>
      </c>
      <c r="C1062" s="79" t="s">
        <v>7340</v>
      </c>
      <c r="D1062" s="79" t="s">
        <v>7312</v>
      </c>
      <c r="E1062" s="79">
        <v>2000</v>
      </c>
      <c r="G1062" s="79" t="s">
        <v>7329</v>
      </c>
      <c r="H1062" s="80">
        <v>6084000</v>
      </c>
    </row>
    <row r="1063" spans="1:8" x14ac:dyDescent="0.2">
      <c r="A1063" s="79" t="s">
        <v>8206</v>
      </c>
      <c r="B1063" s="79" t="s">
        <v>8364</v>
      </c>
      <c r="C1063" s="79" t="s">
        <v>7340</v>
      </c>
      <c r="D1063" s="79" t="s">
        <v>7312</v>
      </c>
      <c r="E1063" s="79">
        <v>1690</v>
      </c>
      <c r="G1063" s="79" t="s">
        <v>7329</v>
      </c>
      <c r="H1063" s="80">
        <v>3189485</v>
      </c>
    </row>
    <row r="1064" spans="1:8" x14ac:dyDescent="0.2">
      <c r="A1064" s="79" t="s">
        <v>8206</v>
      </c>
      <c r="B1064" s="79" t="s">
        <v>8365</v>
      </c>
      <c r="C1064" s="79" t="s">
        <v>7340</v>
      </c>
      <c r="D1064" s="79" t="s">
        <v>7328</v>
      </c>
      <c r="E1064" s="79">
        <v>2000</v>
      </c>
      <c r="G1064" s="79" t="s">
        <v>7329</v>
      </c>
      <c r="H1064" s="80">
        <v>5145200</v>
      </c>
    </row>
    <row r="1065" spans="1:8" x14ac:dyDescent="0.2">
      <c r="A1065" s="79" t="s">
        <v>8206</v>
      </c>
      <c r="B1065" s="79" t="s">
        <v>8366</v>
      </c>
      <c r="C1065" s="79" t="s">
        <v>7438</v>
      </c>
      <c r="D1065" s="79" t="s">
        <v>7328</v>
      </c>
      <c r="E1065" s="79" t="s">
        <v>8367</v>
      </c>
      <c r="G1065" s="79" t="s">
        <v>7376</v>
      </c>
      <c r="H1065" s="80">
        <v>7000000</v>
      </c>
    </row>
    <row r="1066" spans="1:8" x14ac:dyDescent="0.2">
      <c r="A1066" s="79" t="s">
        <v>8206</v>
      </c>
      <c r="B1066" s="79" t="s">
        <v>8368</v>
      </c>
      <c r="C1066" s="79" t="s">
        <v>7438</v>
      </c>
      <c r="D1066" s="79" t="s">
        <v>7328</v>
      </c>
      <c r="E1066" s="79" t="s">
        <v>8369</v>
      </c>
      <c r="G1066" s="79" t="s">
        <v>7329</v>
      </c>
      <c r="H1066" s="80">
        <v>11129652</v>
      </c>
    </row>
    <row r="1067" spans="1:8" x14ac:dyDescent="0.2">
      <c r="A1067" s="79" t="s">
        <v>8206</v>
      </c>
      <c r="B1067" s="79" t="s">
        <v>8370</v>
      </c>
      <c r="C1067" s="79" t="s">
        <v>7438</v>
      </c>
      <c r="D1067" s="79" t="s">
        <v>7328</v>
      </c>
      <c r="E1067" s="79">
        <v>11946</v>
      </c>
      <c r="G1067" s="79" t="s">
        <v>7329</v>
      </c>
      <c r="H1067" s="80">
        <v>12071758</v>
      </c>
    </row>
    <row r="1068" spans="1:8" x14ac:dyDescent="0.2">
      <c r="A1068" s="79" t="s">
        <v>8206</v>
      </c>
      <c r="B1068" s="79" t="s">
        <v>8371</v>
      </c>
      <c r="C1068" s="79" t="s">
        <v>7438</v>
      </c>
      <c r="D1068" s="79" t="s">
        <v>7328</v>
      </c>
      <c r="E1068" s="79" t="s">
        <v>8369</v>
      </c>
      <c r="G1068" s="79" t="s">
        <v>7329</v>
      </c>
      <c r="H1068" s="80">
        <v>10491156</v>
      </c>
    </row>
    <row r="1069" spans="1:8" x14ac:dyDescent="0.2">
      <c r="A1069" s="79" t="s">
        <v>8206</v>
      </c>
      <c r="B1069" s="79" t="s">
        <v>8372</v>
      </c>
      <c r="C1069" s="79" t="s">
        <v>7438</v>
      </c>
      <c r="D1069" s="79" t="s">
        <v>7328</v>
      </c>
      <c r="E1069" s="79" t="s">
        <v>8373</v>
      </c>
      <c r="G1069" s="79" t="s">
        <v>7329</v>
      </c>
      <c r="H1069" s="80">
        <v>11318697</v>
      </c>
    </row>
    <row r="1070" spans="1:8" x14ac:dyDescent="0.2">
      <c r="A1070" s="79" t="s">
        <v>8206</v>
      </c>
      <c r="B1070" s="79" t="s">
        <v>8374</v>
      </c>
      <c r="C1070" s="79" t="s">
        <v>7438</v>
      </c>
      <c r="D1070" s="79" t="s">
        <v>7328</v>
      </c>
      <c r="E1070" s="79">
        <v>11946</v>
      </c>
      <c r="G1070" s="79" t="s">
        <v>7376</v>
      </c>
      <c r="H1070" s="80">
        <v>8000000</v>
      </c>
    </row>
    <row r="1071" spans="1:8" x14ac:dyDescent="0.2">
      <c r="A1071" s="79" t="s">
        <v>8206</v>
      </c>
      <c r="B1071" s="79" t="s">
        <v>8375</v>
      </c>
      <c r="C1071" s="79" t="s">
        <v>7438</v>
      </c>
      <c r="D1071" s="79" t="s">
        <v>7328</v>
      </c>
      <c r="E1071" s="79">
        <v>12809</v>
      </c>
      <c r="G1071" s="79" t="s">
        <v>7869</v>
      </c>
      <c r="H1071" s="80">
        <v>8567823</v>
      </c>
    </row>
    <row r="1072" spans="1:8" x14ac:dyDescent="0.2">
      <c r="A1072" s="79" t="s">
        <v>8206</v>
      </c>
      <c r="B1072" s="79" t="s">
        <v>8376</v>
      </c>
      <c r="C1072" s="79" t="s">
        <v>7438</v>
      </c>
      <c r="D1072" s="79" t="s">
        <v>7328</v>
      </c>
      <c r="E1072" s="79">
        <v>12809</v>
      </c>
      <c r="G1072" s="79" t="s">
        <v>7869</v>
      </c>
      <c r="H1072" s="80">
        <v>8577934</v>
      </c>
    </row>
    <row r="1073" spans="1:8" x14ac:dyDescent="0.2">
      <c r="A1073" s="79" t="s">
        <v>8206</v>
      </c>
      <c r="B1073" s="79" t="s">
        <v>8377</v>
      </c>
      <c r="C1073" s="79" t="s">
        <v>7438</v>
      </c>
      <c r="D1073" s="79" t="s">
        <v>7328</v>
      </c>
      <c r="E1073" s="79">
        <v>15000</v>
      </c>
      <c r="G1073" s="79" t="s">
        <v>7869</v>
      </c>
      <c r="H1073" s="80">
        <v>10045988</v>
      </c>
    </row>
    <row r="1074" spans="1:8" x14ac:dyDescent="0.2">
      <c r="A1074" s="79" t="s">
        <v>8206</v>
      </c>
      <c r="B1074" s="79" t="s">
        <v>8378</v>
      </c>
      <c r="C1074" s="79" t="s">
        <v>7438</v>
      </c>
      <c r="D1074" s="79" t="s">
        <v>7328</v>
      </c>
      <c r="E1074" s="79">
        <v>11946</v>
      </c>
      <c r="G1074" s="79" t="s">
        <v>7376</v>
      </c>
      <c r="H1074" s="80">
        <v>10626950.949999999</v>
      </c>
    </row>
    <row r="1075" spans="1:8" x14ac:dyDescent="0.2">
      <c r="A1075" s="79" t="s">
        <v>8206</v>
      </c>
      <c r="B1075" s="79" t="s">
        <v>8379</v>
      </c>
      <c r="C1075" s="79" t="s">
        <v>7438</v>
      </c>
      <c r="D1075" s="79" t="s">
        <v>7328</v>
      </c>
      <c r="E1075" s="79" t="s">
        <v>8369</v>
      </c>
      <c r="G1075" s="79" t="s">
        <v>7376</v>
      </c>
      <c r="H1075" s="80">
        <v>13125124</v>
      </c>
    </row>
    <row r="1076" spans="1:8" x14ac:dyDescent="0.2">
      <c r="A1076" s="79" t="s">
        <v>8206</v>
      </c>
      <c r="B1076" s="79" t="s">
        <v>8380</v>
      </c>
      <c r="C1076" s="79" t="s">
        <v>7438</v>
      </c>
      <c r="D1076" s="79" t="s">
        <v>7328</v>
      </c>
      <c r="E1076" s="79" t="s">
        <v>8369</v>
      </c>
      <c r="G1076" s="79" t="s">
        <v>7376</v>
      </c>
      <c r="H1076" s="80">
        <v>13352407</v>
      </c>
    </row>
    <row r="1077" spans="1:8" x14ac:dyDescent="0.2">
      <c r="A1077" s="79" t="s">
        <v>7736</v>
      </c>
      <c r="B1077" s="79" t="s">
        <v>8381</v>
      </c>
      <c r="C1077" s="79" t="s">
        <v>7419</v>
      </c>
      <c r="D1077" s="79" t="s">
        <v>7328</v>
      </c>
      <c r="E1077" s="79">
        <v>2000</v>
      </c>
      <c r="G1077" s="79" t="s">
        <v>7313</v>
      </c>
      <c r="H1077" s="80">
        <v>11215332.18</v>
      </c>
    </row>
    <row r="1078" spans="1:8" x14ac:dyDescent="0.2">
      <c r="A1078" s="79" t="s">
        <v>7736</v>
      </c>
      <c r="B1078" s="79" t="s">
        <v>8382</v>
      </c>
      <c r="C1078" s="79" t="s">
        <v>7419</v>
      </c>
      <c r="D1078" s="79" t="s">
        <v>7328</v>
      </c>
      <c r="E1078" s="79">
        <v>2000</v>
      </c>
      <c r="G1078" s="79" t="s">
        <v>7313</v>
      </c>
      <c r="H1078" s="80">
        <v>12933509.640000001</v>
      </c>
    </row>
    <row r="1079" spans="1:8" x14ac:dyDescent="0.2">
      <c r="A1079" s="79" t="s">
        <v>7736</v>
      </c>
      <c r="B1079" s="79" t="s">
        <v>8383</v>
      </c>
      <c r="C1079" s="79" t="s">
        <v>7419</v>
      </c>
      <c r="D1079" s="79" t="s">
        <v>7328</v>
      </c>
      <c r="E1079" s="79">
        <v>2000</v>
      </c>
      <c r="G1079" s="79" t="s">
        <v>7313</v>
      </c>
      <c r="H1079" s="80">
        <v>11752901.359999999</v>
      </c>
    </row>
    <row r="1080" spans="1:8" x14ac:dyDescent="0.2">
      <c r="A1080" s="79" t="s">
        <v>7736</v>
      </c>
      <c r="B1080" s="79" t="s">
        <v>8384</v>
      </c>
      <c r="C1080" s="79" t="s">
        <v>7419</v>
      </c>
      <c r="D1080" s="79" t="s">
        <v>7328</v>
      </c>
      <c r="E1080" s="79">
        <v>2000</v>
      </c>
      <c r="G1080" s="79" t="s">
        <v>7313</v>
      </c>
      <c r="H1080" s="80">
        <v>12584754.439999999</v>
      </c>
    </row>
    <row r="1081" spans="1:8" x14ac:dyDescent="0.2">
      <c r="A1081" s="79" t="s">
        <v>7736</v>
      </c>
      <c r="B1081" s="79" t="s">
        <v>8385</v>
      </c>
      <c r="C1081" s="79" t="s">
        <v>7419</v>
      </c>
      <c r="D1081" s="79" t="s">
        <v>7328</v>
      </c>
      <c r="E1081" s="79">
        <v>2000</v>
      </c>
      <c r="G1081" s="79" t="s">
        <v>7313</v>
      </c>
      <c r="H1081" s="80">
        <v>13528427.470000001</v>
      </c>
    </row>
    <row r="1082" spans="1:8" x14ac:dyDescent="0.2">
      <c r="A1082" s="79" t="s">
        <v>7736</v>
      </c>
      <c r="B1082" s="79" t="s">
        <v>8386</v>
      </c>
      <c r="C1082" s="79" t="s">
        <v>7419</v>
      </c>
      <c r="D1082" s="79" t="s">
        <v>7328</v>
      </c>
      <c r="E1082" s="79">
        <v>2000</v>
      </c>
      <c r="G1082" s="79" t="s">
        <v>7313</v>
      </c>
      <c r="H1082" s="80">
        <v>13528427.470000001</v>
      </c>
    </row>
    <row r="1083" spans="1:8" x14ac:dyDescent="0.2">
      <c r="A1083" s="79" t="s">
        <v>7736</v>
      </c>
      <c r="B1083" s="79" t="s">
        <v>8387</v>
      </c>
      <c r="C1083" s="79" t="s">
        <v>7419</v>
      </c>
      <c r="D1083" s="79" t="s">
        <v>7328</v>
      </c>
      <c r="E1083" s="79">
        <v>2000</v>
      </c>
      <c r="G1083" s="79" t="s">
        <v>7313</v>
      </c>
      <c r="H1083" s="80">
        <v>13528526.689999999</v>
      </c>
    </row>
    <row r="1084" spans="1:8" x14ac:dyDescent="0.2">
      <c r="A1084" s="79" t="s">
        <v>7736</v>
      </c>
      <c r="B1084" s="79" t="s">
        <v>8388</v>
      </c>
      <c r="C1084" s="79" t="s">
        <v>7419</v>
      </c>
      <c r="D1084" s="79" t="s">
        <v>7328</v>
      </c>
      <c r="E1084" s="79">
        <v>2000</v>
      </c>
      <c r="G1084" s="79" t="s">
        <v>7313</v>
      </c>
      <c r="H1084" s="80">
        <v>14603069.74</v>
      </c>
    </row>
    <row r="1085" spans="1:8" x14ac:dyDescent="0.2">
      <c r="A1085" s="79" t="s">
        <v>7736</v>
      </c>
      <c r="B1085" s="79" t="s">
        <v>8389</v>
      </c>
      <c r="C1085" s="79" t="s">
        <v>7419</v>
      </c>
      <c r="D1085" s="79" t="s">
        <v>7312</v>
      </c>
      <c r="E1085" s="79">
        <v>2000</v>
      </c>
      <c r="G1085" s="79" t="s">
        <v>7313</v>
      </c>
      <c r="H1085" s="80">
        <v>10174821.300000001</v>
      </c>
    </row>
    <row r="1086" spans="1:8" x14ac:dyDescent="0.2">
      <c r="A1086" s="79" t="s">
        <v>7736</v>
      </c>
      <c r="B1086" s="79" t="s">
        <v>8390</v>
      </c>
      <c r="C1086" s="79" t="s">
        <v>7419</v>
      </c>
      <c r="D1086" s="79" t="s">
        <v>7312</v>
      </c>
      <c r="E1086" s="79">
        <v>2000</v>
      </c>
      <c r="G1086" s="79" t="s">
        <v>7313</v>
      </c>
      <c r="H1086" s="80">
        <v>11202830.57</v>
      </c>
    </row>
    <row r="1087" spans="1:8" x14ac:dyDescent="0.2">
      <c r="A1087" s="79" t="s">
        <v>7736</v>
      </c>
      <c r="B1087" s="79" t="s">
        <v>8391</v>
      </c>
      <c r="C1087" s="79" t="s">
        <v>7419</v>
      </c>
      <c r="D1087" s="79" t="s">
        <v>7312</v>
      </c>
      <c r="E1087" s="79">
        <v>2000</v>
      </c>
      <c r="G1087" s="79" t="s">
        <v>7313</v>
      </c>
      <c r="H1087" s="80">
        <v>11740598.189999999</v>
      </c>
    </row>
    <row r="1088" spans="1:8" x14ac:dyDescent="0.2">
      <c r="A1088" s="79" t="s">
        <v>7736</v>
      </c>
      <c r="B1088" s="79" t="s">
        <v>8392</v>
      </c>
      <c r="C1088" s="79" t="s">
        <v>7419</v>
      </c>
      <c r="D1088" s="79" t="s">
        <v>7312</v>
      </c>
      <c r="E1088" s="79">
        <v>2000</v>
      </c>
      <c r="G1088" s="79" t="s">
        <v>7313</v>
      </c>
      <c r="H1088" s="80">
        <v>12572550.49</v>
      </c>
    </row>
    <row r="1089" spans="1:8" x14ac:dyDescent="0.2">
      <c r="A1089" s="79" t="s">
        <v>7736</v>
      </c>
      <c r="B1089" s="79" t="s">
        <v>8393</v>
      </c>
      <c r="C1089" s="79" t="s">
        <v>7419</v>
      </c>
      <c r="D1089" s="79" t="s">
        <v>7312</v>
      </c>
      <c r="E1089" s="79">
        <v>2000</v>
      </c>
      <c r="G1089" s="79" t="s">
        <v>7313</v>
      </c>
      <c r="H1089" s="80">
        <v>12930929.949999999</v>
      </c>
    </row>
    <row r="1090" spans="1:8" x14ac:dyDescent="0.2">
      <c r="A1090" s="79" t="s">
        <v>7736</v>
      </c>
      <c r="B1090" s="79" t="s">
        <v>8394</v>
      </c>
      <c r="C1090" s="79" t="s">
        <v>7419</v>
      </c>
      <c r="D1090" s="79" t="s">
        <v>7312</v>
      </c>
      <c r="E1090" s="79">
        <v>2000</v>
      </c>
      <c r="G1090" s="79" t="s">
        <v>7313</v>
      </c>
      <c r="H1090" s="80">
        <v>13516124.300000001</v>
      </c>
    </row>
    <row r="1091" spans="1:8" x14ac:dyDescent="0.2">
      <c r="A1091" s="79" t="s">
        <v>7736</v>
      </c>
      <c r="B1091" s="79" t="s">
        <v>8395</v>
      </c>
      <c r="C1091" s="79" t="s">
        <v>7419</v>
      </c>
      <c r="D1091" s="79" t="s">
        <v>7312</v>
      </c>
      <c r="E1091" s="79">
        <v>2000</v>
      </c>
      <c r="G1091" s="79" t="s">
        <v>7313</v>
      </c>
      <c r="H1091" s="80">
        <v>14590965</v>
      </c>
    </row>
    <row r="1092" spans="1:8" x14ac:dyDescent="0.2">
      <c r="A1092" s="79" t="s">
        <v>7736</v>
      </c>
      <c r="B1092" s="79" t="s">
        <v>8396</v>
      </c>
      <c r="C1092" s="79" t="s">
        <v>7419</v>
      </c>
      <c r="D1092" s="79" t="s">
        <v>7312</v>
      </c>
      <c r="E1092" s="79">
        <v>2000</v>
      </c>
      <c r="G1092" s="79" t="s">
        <v>7313</v>
      </c>
      <c r="H1092" s="80">
        <v>13516124.300000001</v>
      </c>
    </row>
    <row r="1093" spans="1:8" x14ac:dyDescent="0.2">
      <c r="A1093" s="79" t="s">
        <v>7736</v>
      </c>
      <c r="B1093" s="79" t="s">
        <v>8397</v>
      </c>
      <c r="C1093" s="79" t="s">
        <v>7419</v>
      </c>
      <c r="D1093" s="79" t="s">
        <v>7312</v>
      </c>
      <c r="E1093" s="79">
        <v>2000</v>
      </c>
      <c r="G1093" s="79" t="s">
        <v>7313</v>
      </c>
      <c r="H1093" s="80">
        <v>13923518</v>
      </c>
    </row>
    <row r="1094" spans="1:8" x14ac:dyDescent="0.2">
      <c r="A1094" s="79" t="s">
        <v>7736</v>
      </c>
      <c r="B1094" s="79" t="s">
        <v>8398</v>
      </c>
      <c r="C1094" s="79" t="s">
        <v>7419</v>
      </c>
      <c r="D1094" s="79" t="s">
        <v>7312</v>
      </c>
      <c r="E1094" s="79">
        <v>4200</v>
      </c>
      <c r="G1094" s="79" t="s">
        <v>7313</v>
      </c>
      <c r="H1094" s="80">
        <v>18128893.329999998</v>
      </c>
    </row>
    <row r="1095" spans="1:8" x14ac:dyDescent="0.2">
      <c r="A1095" s="79" t="s">
        <v>7736</v>
      </c>
      <c r="B1095" s="79" t="s">
        <v>8399</v>
      </c>
      <c r="C1095" s="79" t="s">
        <v>7419</v>
      </c>
      <c r="D1095" s="79" t="s">
        <v>7328</v>
      </c>
      <c r="E1095" s="79">
        <v>4400</v>
      </c>
      <c r="G1095" s="79" t="s">
        <v>7313</v>
      </c>
      <c r="H1095" s="80">
        <v>25704207.199999999</v>
      </c>
    </row>
    <row r="1096" spans="1:8" x14ac:dyDescent="0.2">
      <c r="A1096" s="79" t="s">
        <v>7736</v>
      </c>
      <c r="B1096" s="79" t="s">
        <v>8400</v>
      </c>
      <c r="C1096" s="79" t="s">
        <v>7419</v>
      </c>
      <c r="D1096" s="79" t="s">
        <v>7328</v>
      </c>
      <c r="E1096" s="79">
        <v>4400</v>
      </c>
      <c r="G1096" s="79" t="s">
        <v>7313</v>
      </c>
      <c r="H1096" s="80">
        <v>28911886.800000001</v>
      </c>
    </row>
    <row r="1097" spans="1:8" x14ac:dyDescent="0.2">
      <c r="A1097" s="79" t="s">
        <v>7736</v>
      </c>
      <c r="B1097" s="79" t="s">
        <v>8401</v>
      </c>
      <c r="C1097" s="79" t="s">
        <v>7419</v>
      </c>
      <c r="D1097" s="79" t="s">
        <v>7328</v>
      </c>
      <c r="E1097" s="79">
        <v>3000</v>
      </c>
      <c r="G1097" s="79" t="s">
        <v>7313</v>
      </c>
      <c r="H1097" s="80">
        <v>18785342</v>
      </c>
    </row>
    <row r="1098" spans="1:8" x14ac:dyDescent="0.2">
      <c r="A1098" s="79" t="s">
        <v>7736</v>
      </c>
      <c r="B1098" s="79" t="s">
        <v>8402</v>
      </c>
      <c r="C1098" s="79" t="s">
        <v>7419</v>
      </c>
      <c r="D1098" s="79" t="s">
        <v>7328</v>
      </c>
      <c r="E1098" s="79">
        <v>3000</v>
      </c>
      <c r="G1098" s="79" t="s">
        <v>7313</v>
      </c>
      <c r="H1098" s="80">
        <v>21247652</v>
      </c>
    </row>
    <row r="1099" spans="1:8" x14ac:dyDescent="0.2">
      <c r="A1099" s="79" t="s">
        <v>7736</v>
      </c>
      <c r="B1099" s="79" t="s">
        <v>8403</v>
      </c>
      <c r="C1099" s="79" t="s">
        <v>7419</v>
      </c>
      <c r="D1099" s="79" t="s">
        <v>7328</v>
      </c>
      <c r="E1099" s="79">
        <v>4400</v>
      </c>
      <c r="G1099" s="79" t="s">
        <v>7313</v>
      </c>
      <c r="H1099" s="80">
        <v>26894022.370000001</v>
      </c>
    </row>
    <row r="1100" spans="1:8" x14ac:dyDescent="0.2">
      <c r="A1100" s="79" t="s">
        <v>7736</v>
      </c>
      <c r="B1100" s="79" t="s">
        <v>8404</v>
      </c>
      <c r="C1100" s="79" t="s">
        <v>7419</v>
      </c>
      <c r="D1100" s="79" t="s">
        <v>7328</v>
      </c>
      <c r="E1100" s="79">
        <v>3000</v>
      </c>
      <c r="G1100" s="79" t="s">
        <v>7313</v>
      </c>
      <c r="H1100" s="80">
        <v>18161657.199999999</v>
      </c>
    </row>
    <row r="1101" spans="1:8" x14ac:dyDescent="0.2">
      <c r="A1101" s="79" t="s">
        <v>7736</v>
      </c>
      <c r="B1101" s="79" t="s">
        <v>8405</v>
      </c>
      <c r="C1101" s="79" t="s">
        <v>7419</v>
      </c>
      <c r="D1101" s="79" t="s">
        <v>7328</v>
      </c>
      <c r="E1101" s="79">
        <v>3000</v>
      </c>
      <c r="G1101" s="79" t="s">
        <v>7313</v>
      </c>
      <c r="H1101" s="80">
        <v>18827175.649999999</v>
      </c>
    </row>
    <row r="1102" spans="1:8" x14ac:dyDescent="0.2">
      <c r="A1102" s="79" t="s">
        <v>7736</v>
      </c>
      <c r="B1102" s="79" t="s">
        <v>8406</v>
      </c>
      <c r="C1102" s="79" t="s">
        <v>7419</v>
      </c>
      <c r="D1102" s="79" t="s">
        <v>7328</v>
      </c>
      <c r="E1102" s="79">
        <v>3000</v>
      </c>
      <c r="G1102" s="79" t="s">
        <v>7313</v>
      </c>
      <c r="H1102" s="80">
        <v>21896823.850000001</v>
      </c>
    </row>
    <row r="1103" spans="1:8" x14ac:dyDescent="0.2">
      <c r="A1103" s="79" t="s">
        <v>7736</v>
      </c>
      <c r="B1103" s="79" t="s">
        <v>8407</v>
      </c>
      <c r="C1103" s="79" t="s">
        <v>7419</v>
      </c>
      <c r="D1103" s="79" t="s">
        <v>7328</v>
      </c>
      <c r="E1103" s="79">
        <v>3600</v>
      </c>
      <c r="G1103" s="79" t="s">
        <v>7313</v>
      </c>
      <c r="H1103" s="80">
        <v>17595690.59</v>
      </c>
    </row>
    <row r="1104" spans="1:8" x14ac:dyDescent="0.2">
      <c r="A1104" s="79" t="s">
        <v>7736</v>
      </c>
      <c r="B1104" s="79" t="s">
        <v>8408</v>
      </c>
      <c r="C1104" s="79" t="s">
        <v>7419</v>
      </c>
      <c r="D1104" s="79" t="s">
        <v>7328</v>
      </c>
      <c r="E1104" s="79">
        <v>3600</v>
      </c>
      <c r="G1104" s="79" t="s">
        <v>7313</v>
      </c>
      <c r="H1104" s="80">
        <v>18128893.329999998</v>
      </c>
    </row>
    <row r="1105" spans="1:8" x14ac:dyDescent="0.2">
      <c r="A1105" s="79" t="s">
        <v>7736</v>
      </c>
      <c r="B1105" s="79" t="s">
        <v>8409</v>
      </c>
      <c r="C1105" s="79" t="s">
        <v>7419</v>
      </c>
      <c r="D1105" s="79" t="s">
        <v>7328</v>
      </c>
      <c r="E1105" s="79">
        <v>4200</v>
      </c>
      <c r="G1105" s="79" t="s">
        <v>7313</v>
      </c>
      <c r="H1105" s="80">
        <v>18662096.079999998</v>
      </c>
    </row>
    <row r="1106" spans="1:8" x14ac:dyDescent="0.2">
      <c r="A1106" s="79" t="s">
        <v>7736</v>
      </c>
      <c r="B1106" s="79" t="s">
        <v>8410</v>
      </c>
      <c r="C1106" s="79" t="s">
        <v>7419</v>
      </c>
      <c r="D1106" s="79" t="s">
        <v>7312</v>
      </c>
      <c r="E1106" s="79">
        <v>3000</v>
      </c>
      <c r="G1106" s="79" t="s">
        <v>7313</v>
      </c>
      <c r="H1106" s="80">
        <v>17599116</v>
      </c>
    </row>
    <row r="1107" spans="1:8" x14ac:dyDescent="0.2">
      <c r="A1107" s="79" t="s">
        <v>7736</v>
      </c>
      <c r="B1107" s="79" t="s">
        <v>8411</v>
      </c>
      <c r="C1107" s="79" t="s">
        <v>7419</v>
      </c>
      <c r="D1107" s="79" t="s">
        <v>7312</v>
      </c>
      <c r="E1107" s="79">
        <v>3000</v>
      </c>
      <c r="G1107" s="79" t="s">
        <v>7313</v>
      </c>
      <c r="H1107" s="80">
        <v>18761748</v>
      </c>
    </row>
    <row r="1108" spans="1:8" x14ac:dyDescent="0.2">
      <c r="A1108" s="79" t="s">
        <v>7736</v>
      </c>
      <c r="B1108" s="79" t="s">
        <v>8412</v>
      </c>
      <c r="C1108" s="79" t="s">
        <v>7419</v>
      </c>
      <c r="D1108" s="79" t="s">
        <v>7312</v>
      </c>
      <c r="E1108" s="79">
        <v>3000</v>
      </c>
      <c r="G1108" s="79" t="s">
        <v>7313</v>
      </c>
      <c r="H1108" s="80">
        <v>20827076.399999999</v>
      </c>
    </row>
    <row r="1109" spans="1:8" x14ac:dyDescent="0.2">
      <c r="A1109" s="79" t="s">
        <v>7736</v>
      </c>
      <c r="B1109" s="79" t="s">
        <v>8413</v>
      </c>
      <c r="C1109" s="79" t="s">
        <v>7419</v>
      </c>
      <c r="D1109" s="79" t="s">
        <v>7312</v>
      </c>
      <c r="E1109" s="79">
        <v>3000</v>
      </c>
      <c r="G1109" s="79" t="s">
        <v>7313</v>
      </c>
      <c r="H1109" s="80">
        <v>21588961.800000001</v>
      </c>
    </row>
    <row r="1110" spans="1:8" x14ac:dyDescent="0.2">
      <c r="A1110" s="79" t="s">
        <v>7736</v>
      </c>
      <c r="B1110" s="79" t="s">
        <v>8414</v>
      </c>
      <c r="C1110" s="79" t="s">
        <v>7419</v>
      </c>
      <c r="D1110" s="79" t="s">
        <v>7312</v>
      </c>
      <c r="E1110" s="79">
        <v>3000</v>
      </c>
      <c r="G1110" s="79" t="s">
        <v>7313</v>
      </c>
      <c r="H1110" s="80">
        <v>24046502.800000001</v>
      </c>
    </row>
    <row r="1111" spans="1:8" x14ac:dyDescent="0.2">
      <c r="A1111" s="79" t="s">
        <v>7736</v>
      </c>
      <c r="B1111" s="79" t="s">
        <v>8415</v>
      </c>
      <c r="C1111" s="79" t="s">
        <v>7419</v>
      </c>
      <c r="D1111" s="79" t="s">
        <v>7312</v>
      </c>
      <c r="E1111" s="79">
        <v>5000</v>
      </c>
      <c r="G1111" s="79" t="s">
        <v>7313</v>
      </c>
      <c r="H1111" s="80">
        <v>24692777.600000001</v>
      </c>
    </row>
    <row r="1112" spans="1:8" x14ac:dyDescent="0.2">
      <c r="A1112" s="79" t="s">
        <v>7736</v>
      </c>
      <c r="B1112" s="79" t="s">
        <v>8416</v>
      </c>
      <c r="C1112" s="79" t="s">
        <v>7419</v>
      </c>
      <c r="D1112" s="79" t="s">
        <v>7312</v>
      </c>
      <c r="E1112" s="79">
        <v>5000</v>
      </c>
      <c r="G1112" s="79" t="s">
        <v>7313</v>
      </c>
      <c r="H1112" s="80">
        <v>27872345.199999999</v>
      </c>
    </row>
    <row r="1113" spans="1:8" x14ac:dyDescent="0.2">
      <c r="A1113" s="79" t="s">
        <v>7736</v>
      </c>
      <c r="B1113" s="79" t="s">
        <v>8417</v>
      </c>
      <c r="C1113" s="79" t="s">
        <v>7419</v>
      </c>
      <c r="D1113" s="79" t="s">
        <v>7312</v>
      </c>
      <c r="E1113" s="79">
        <v>5000</v>
      </c>
      <c r="G1113" s="79" t="s">
        <v>7313</v>
      </c>
      <c r="H1113" s="80">
        <v>28601931.550000001</v>
      </c>
    </row>
    <row r="1114" spans="1:8" x14ac:dyDescent="0.2">
      <c r="A1114" s="79" t="s">
        <v>7736</v>
      </c>
      <c r="B1114" s="79" t="s">
        <v>8418</v>
      </c>
      <c r="C1114" s="79" t="s">
        <v>7419</v>
      </c>
      <c r="D1114" s="79" t="s">
        <v>7312</v>
      </c>
      <c r="E1114" s="79">
        <v>5000</v>
      </c>
      <c r="G1114" s="79" t="s">
        <v>7313</v>
      </c>
      <c r="H1114" s="80">
        <v>32327695.600000001</v>
      </c>
    </row>
    <row r="1115" spans="1:8" x14ac:dyDescent="0.2">
      <c r="A1115" s="79" t="s">
        <v>7736</v>
      </c>
      <c r="B1115" s="79" t="s">
        <v>8419</v>
      </c>
      <c r="C1115" s="79" t="s">
        <v>7419</v>
      </c>
      <c r="D1115" s="79" t="s">
        <v>7328</v>
      </c>
      <c r="E1115" s="79">
        <v>4400</v>
      </c>
      <c r="G1115" s="79" t="s">
        <v>7313</v>
      </c>
      <c r="H1115" s="80">
        <v>36549816.799999997</v>
      </c>
    </row>
    <row r="1116" spans="1:8" x14ac:dyDescent="0.2">
      <c r="A1116" s="79" t="s">
        <v>7736</v>
      </c>
      <c r="B1116" s="79" t="s">
        <v>8420</v>
      </c>
      <c r="C1116" s="79" t="s">
        <v>7419</v>
      </c>
      <c r="D1116" s="79" t="s">
        <v>7328</v>
      </c>
      <c r="E1116" s="79">
        <v>3000</v>
      </c>
      <c r="G1116" s="79" t="s">
        <v>7313</v>
      </c>
      <c r="H1116" s="80">
        <v>24499306.800000001</v>
      </c>
    </row>
    <row r="1117" spans="1:8" x14ac:dyDescent="0.2">
      <c r="A1117" s="79" t="s">
        <v>7736</v>
      </c>
      <c r="B1117" s="79" t="s">
        <v>8421</v>
      </c>
      <c r="C1117" s="79" t="s">
        <v>7419</v>
      </c>
      <c r="D1117" s="79" t="s">
        <v>7328</v>
      </c>
      <c r="E1117" s="79">
        <v>3000</v>
      </c>
      <c r="G1117" s="79" t="s">
        <v>7313</v>
      </c>
      <c r="H1117" s="80">
        <v>22981137.73</v>
      </c>
    </row>
    <row r="1118" spans="1:8" x14ac:dyDescent="0.2">
      <c r="A1118" s="79" t="s">
        <v>7736</v>
      </c>
      <c r="B1118" s="79" t="s">
        <v>8422</v>
      </c>
      <c r="C1118" s="79" t="s">
        <v>7419</v>
      </c>
      <c r="D1118" s="79" t="s">
        <v>7328</v>
      </c>
      <c r="E1118" s="79">
        <v>3600</v>
      </c>
      <c r="G1118" s="79" t="s">
        <v>7313</v>
      </c>
      <c r="H1118" s="80">
        <v>20416333.109999999</v>
      </c>
    </row>
    <row r="1119" spans="1:8" x14ac:dyDescent="0.2">
      <c r="A1119" s="79" t="s">
        <v>7736</v>
      </c>
      <c r="B1119" s="79" t="s">
        <v>8423</v>
      </c>
      <c r="C1119" s="79" t="s">
        <v>7419</v>
      </c>
      <c r="D1119" s="79" t="s">
        <v>7312</v>
      </c>
      <c r="E1119" s="79">
        <v>3000</v>
      </c>
      <c r="G1119" s="79" t="s">
        <v>7313</v>
      </c>
      <c r="H1119" s="80">
        <v>26320763.600000001</v>
      </c>
    </row>
    <row r="1120" spans="1:8" x14ac:dyDescent="0.2">
      <c r="A1120" s="79" t="s">
        <v>7736</v>
      </c>
      <c r="B1120" s="79" t="s">
        <v>8424</v>
      </c>
      <c r="C1120" s="79" t="s">
        <v>7419</v>
      </c>
      <c r="D1120" s="79" t="s">
        <v>7328</v>
      </c>
      <c r="E1120" s="79">
        <v>3000</v>
      </c>
      <c r="G1120" s="79" t="s">
        <v>7313</v>
      </c>
      <c r="H1120" s="80">
        <v>26664794.309999999</v>
      </c>
    </row>
    <row r="1121" spans="1:8" x14ac:dyDescent="0.2">
      <c r="A1121" s="79" t="s">
        <v>7736</v>
      </c>
      <c r="B1121" s="79" t="s">
        <v>8425</v>
      </c>
      <c r="C1121" s="79" t="s">
        <v>7419</v>
      </c>
      <c r="D1121" s="79" t="s">
        <v>7312</v>
      </c>
      <c r="E1121" s="79">
        <v>3000</v>
      </c>
      <c r="G1121" s="79" t="s">
        <v>7313</v>
      </c>
      <c r="H1121" s="80">
        <v>30388570</v>
      </c>
    </row>
    <row r="1122" spans="1:8" x14ac:dyDescent="0.2">
      <c r="A1122" s="79" t="s">
        <v>7736</v>
      </c>
      <c r="B1122" s="79" t="s">
        <v>8426</v>
      </c>
      <c r="C1122" s="79" t="s">
        <v>7419</v>
      </c>
      <c r="D1122" s="79" t="s">
        <v>7328</v>
      </c>
      <c r="E1122" s="79">
        <v>4400</v>
      </c>
      <c r="G1122" s="79" t="s">
        <v>7313</v>
      </c>
      <c r="H1122" s="80">
        <v>29317585.48</v>
      </c>
    </row>
    <row r="1123" spans="1:8" x14ac:dyDescent="0.2">
      <c r="A1123" s="79" t="s">
        <v>7736</v>
      </c>
      <c r="B1123" s="79" t="s">
        <v>8427</v>
      </c>
      <c r="C1123" s="79" t="s">
        <v>7419</v>
      </c>
      <c r="D1123" s="79" t="s">
        <v>7328</v>
      </c>
      <c r="E1123" s="79">
        <v>4400</v>
      </c>
      <c r="G1123" s="79" t="s">
        <v>7313</v>
      </c>
      <c r="H1123" s="80">
        <v>30937456.800000001</v>
      </c>
    </row>
    <row r="1124" spans="1:8" x14ac:dyDescent="0.2">
      <c r="A1124" s="79" t="s">
        <v>7736</v>
      </c>
      <c r="B1124" s="79" t="s">
        <v>8428</v>
      </c>
      <c r="C1124" s="79" t="s">
        <v>7419</v>
      </c>
      <c r="D1124" s="79" t="s">
        <v>7328</v>
      </c>
      <c r="E1124" s="79">
        <v>4400</v>
      </c>
      <c r="G1124" s="79" t="s">
        <v>7313</v>
      </c>
      <c r="H1124" s="80">
        <v>34026415.369999997</v>
      </c>
    </row>
    <row r="1125" spans="1:8" x14ac:dyDescent="0.2">
      <c r="A1125" s="79" t="s">
        <v>7736</v>
      </c>
      <c r="B1125" s="79" t="s">
        <v>8429</v>
      </c>
      <c r="C1125" s="79" t="s">
        <v>7419</v>
      </c>
      <c r="D1125" s="79" t="s">
        <v>7312</v>
      </c>
      <c r="E1125" s="79">
        <v>3000</v>
      </c>
      <c r="G1125" s="79" t="s">
        <v>7313</v>
      </c>
      <c r="H1125" s="80">
        <v>29798705.239999998</v>
      </c>
    </row>
    <row r="1126" spans="1:8" x14ac:dyDescent="0.2">
      <c r="A1126" s="79" t="s">
        <v>7736</v>
      </c>
      <c r="B1126" s="79" t="s">
        <v>8430</v>
      </c>
      <c r="C1126" s="79" t="s">
        <v>7419</v>
      </c>
      <c r="D1126" s="79" t="s">
        <v>7312</v>
      </c>
      <c r="E1126" s="79">
        <v>3000</v>
      </c>
      <c r="G1126" s="79" t="s">
        <v>7313</v>
      </c>
      <c r="H1126" s="80">
        <v>34517771.979999997</v>
      </c>
    </row>
    <row r="1127" spans="1:8" x14ac:dyDescent="0.2">
      <c r="A1127" s="79" t="s">
        <v>7736</v>
      </c>
      <c r="B1127" s="79" t="s">
        <v>8431</v>
      </c>
      <c r="C1127" s="79" t="s">
        <v>7419</v>
      </c>
      <c r="D1127" s="79" t="s">
        <v>7328</v>
      </c>
      <c r="E1127" s="79">
        <v>3000</v>
      </c>
      <c r="G1127" s="79" t="s">
        <v>7313</v>
      </c>
      <c r="H1127" s="80">
        <v>30948028.129999999</v>
      </c>
    </row>
    <row r="1128" spans="1:8" x14ac:dyDescent="0.2">
      <c r="A1128" s="79" t="s">
        <v>7736</v>
      </c>
      <c r="B1128" s="79" t="s">
        <v>8432</v>
      </c>
      <c r="C1128" s="79" t="s">
        <v>7419</v>
      </c>
      <c r="D1128" s="79" t="s">
        <v>7312</v>
      </c>
      <c r="E1128" s="79">
        <v>3000</v>
      </c>
      <c r="G1128" s="79" t="s">
        <v>7313</v>
      </c>
      <c r="H1128" s="80">
        <v>36001130.799999997</v>
      </c>
    </row>
    <row r="1129" spans="1:8" x14ac:dyDescent="0.2">
      <c r="A1129" s="79" t="s">
        <v>7736</v>
      </c>
      <c r="B1129" s="79" t="s">
        <v>8433</v>
      </c>
      <c r="C1129" s="79" t="s">
        <v>7419</v>
      </c>
      <c r="D1129" s="79" t="s">
        <v>7328</v>
      </c>
      <c r="E1129" s="79">
        <v>3000</v>
      </c>
      <c r="G1129" s="79" t="s">
        <v>7313</v>
      </c>
      <c r="H1129" s="80">
        <v>36043535.140000001</v>
      </c>
    </row>
    <row r="1130" spans="1:8" x14ac:dyDescent="0.2">
      <c r="A1130" s="79" t="s">
        <v>7736</v>
      </c>
      <c r="B1130" s="79" t="s">
        <v>8429</v>
      </c>
      <c r="C1130" s="79" t="s">
        <v>7419</v>
      </c>
      <c r="D1130" s="79" t="s">
        <v>7312</v>
      </c>
      <c r="E1130" s="79">
        <v>3000</v>
      </c>
      <c r="G1130" s="79" t="s">
        <v>7313</v>
      </c>
      <c r="H1130" s="80">
        <v>29798705.239999998</v>
      </c>
    </row>
    <row r="1131" spans="1:8" x14ac:dyDescent="0.2">
      <c r="A1131" s="79" t="s">
        <v>7736</v>
      </c>
      <c r="B1131" s="79" t="s">
        <v>8434</v>
      </c>
      <c r="C1131" s="79" t="s">
        <v>7419</v>
      </c>
      <c r="D1131" s="79" t="s">
        <v>7312</v>
      </c>
      <c r="E1131" s="79">
        <v>3000</v>
      </c>
      <c r="G1131" s="79" t="s">
        <v>7313</v>
      </c>
      <c r="H1131" s="80">
        <v>31661039.600000001</v>
      </c>
    </row>
    <row r="1132" spans="1:8" x14ac:dyDescent="0.2">
      <c r="A1132" s="79" t="s">
        <v>7736</v>
      </c>
      <c r="B1132" s="79" t="s">
        <v>8435</v>
      </c>
      <c r="C1132" s="79" t="s">
        <v>7419</v>
      </c>
      <c r="D1132" s="79" t="s">
        <v>7312</v>
      </c>
      <c r="E1132" s="79">
        <v>3000</v>
      </c>
      <c r="G1132" s="79" t="s">
        <v>7313</v>
      </c>
      <c r="H1132" s="80">
        <v>37568977.200000003</v>
      </c>
    </row>
    <row r="1133" spans="1:8" x14ac:dyDescent="0.2">
      <c r="A1133" s="79" t="s">
        <v>7736</v>
      </c>
      <c r="B1133" s="79" t="s">
        <v>8436</v>
      </c>
      <c r="C1133" s="79" t="s">
        <v>7419</v>
      </c>
      <c r="D1133" s="79" t="s">
        <v>7312</v>
      </c>
      <c r="E1133" s="79">
        <v>3000</v>
      </c>
      <c r="G1133" s="79" t="s">
        <v>7313</v>
      </c>
      <c r="H1133" s="80">
        <v>50891254</v>
      </c>
    </row>
    <row r="1134" spans="1:8" x14ac:dyDescent="0.2">
      <c r="A1134" s="79" t="s">
        <v>7736</v>
      </c>
      <c r="B1134" s="79" t="s">
        <v>8437</v>
      </c>
      <c r="C1134" s="79" t="s">
        <v>7419</v>
      </c>
      <c r="D1134" s="79" t="s">
        <v>7312</v>
      </c>
      <c r="E1134" s="79">
        <v>5000</v>
      </c>
      <c r="G1134" s="79" t="s">
        <v>7313</v>
      </c>
      <c r="H1134" s="80">
        <v>31037108.52</v>
      </c>
    </row>
    <row r="1135" spans="1:8" x14ac:dyDescent="0.2">
      <c r="A1135" s="79" t="s">
        <v>7736</v>
      </c>
      <c r="B1135" s="79" t="s">
        <v>8438</v>
      </c>
      <c r="C1135" s="79" t="s">
        <v>7419</v>
      </c>
      <c r="D1135" s="79" t="s">
        <v>7312</v>
      </c>
      <c r="E1135" s="79">
        <v>5000</v>
      </c>
      <c r="G1135" s="79" t="s">
        <v>7313</v>
      </c>
      <c r="H1135" s="80">
        <v>31037354.800000001</v>
      </c>
    </row>
    <row r="1136" spans="1:8" x14ac:dyDescent="0.2">
      <c r="A1136" s="79" t="s">
        <v>7736</v>
      </c>
      <c r="B1136" s="79" t="s">
        <v>8439</v>
      </c>
      <c r="C1136" s="79" t="s">
        <v>7419</v>
      </c>
      <c r="D1136" s="79" t="s">
        <v>7312</v>
      </c>
      <c r="E1136" s="79">
        <v>5000</v>
      </c>
      <c r="G1136" s="79" t="s">
        <v>7313</v>
      </c>
      <c r="H1136" s="80">
        <v>36649714.799999997</v>
      </c>
    </row>
    <row r="1137" spans="1:8" x14ac:dyDescent="0.2">
      <c r="A1137" s="79" t="s">
        <v>7736</v>
      </c>
      <c r="B1137" s="79" t="s">
        <v>8440</v>
      </c>
      <c r="C1137" s="79" t="s">
        <v>7419</v>
      </c>
      <c r="D1137" s="79" t="s">
        <v>7312</v>
      </c>
      <c r="E1137" s="79">
        <v>5000</v>
      </c>
      <c r="G1137" s="79" t="s">
        <v>7313</v>
      </c>
      <c r="H1137" s="80">
        <v>44803198.799999997</v>
      </c>
    </row>
    <row r="1138" spans="1:8" x14ac:dyDescent="0.2">
      <c r="A1138" s="79" t="s">
        <v>7736</v>
      </c>
      <c r="B1138" s="79" t="s">
        <v>8441</v>
      </c>
      <c r="C1138" s="79" t="s">
        <v>7419</v>
      </c>
      <c r="D1138" s="79" t="s">
        <v>7312</v>
      </c>
      <c r="E1138" s="79">
        <v>5000</v>
      </c>
      <c r="G1138" s="79" t="s">
        <v>7313</v>
      </c>
      <c r="H1138" s="80">
        <v>32284724.399999999</v>
      </c>
    </row>
    <row r="1139" spans="1:8" x14ac:dyDescent="0.2">
      <c r="A1139" s="79" t="s">
        <v>7736</v>
      </c>
      <c r="B1139" s="79" t="s">
        <v>8442</v>
      </c>
      <c r="C1139" s="79" t="s">
        <v>7419</v>
      </c>
      <c r="D1139" s="79" t="s">
        <v>7312</v>
      </c>
      <c r="E1139" s="79">
        <v>5000</v>
      </c>
      <c r="G1139" s="79" t="s">
        <v>7313</v>
      </c>
      <c r="H1139" s="80">
        <v>32971517.379999999</v>
      </c>
    </row>
    <row r="1140" spans="1:8" x14ac:dyDescent="0.2">
      <c r="A1140" s="79" t="s">
        <v>7736</v>
      </c>
      <c r="B1140" s="79" t="s">
        <v>8443</v>
      </c>
      <c r="C1140" s="79" t="s">
        <v>7419</v>
      </c>
      <c r="D1140" s="79" t="s">
        <v>7312</v>
      </c>
      <c r="E1140" s="79">
        <v>5000</v>
      </c>
      <c r="G1140" s="79" t="s">
        <v>7313</v>
      </c>
      <c r="H1140" s="80">
        <v>38192662</v>
      </c>
    </row>
    <row r="1141" spans="1:8" x14ac:dyDescent="0.2">
      <c r="A1141" s="79" t="s">
        <v>7736</v>
      </c>
      <c r="B1141" s="79" t="s">
        <v>8444</v>
      </c>
      <c r="C1141" s="79" t="s">
        <v>7419</v>
      </c>
      <c r="D1141" s="79" t="s">
        <v>7312</v>
      </c>
      <c r="E1141" s="79">
        <v>5000</v>
      </c>
      <c r="G1141" s="79" t="s">
        <v>7313</v>
      </c>
      <c r="H1141" s="80">
        <v>52762609.600000001</v>
      </c>
    </row>
    <row r="1142" spans="1:8" x14ac:dyDescent="0.2">
      <c r="A1142" s="79" t="s">
        <v>7736</v>
      </c>
      <c r="B1142" s="79" t="s">
        <v>8445</v>
      </c>
      <c r="C1142" s="79" t="s">
        <v>7419</v>
      </c>
      <c r="D1142" s="79" t="s">
        <v>7328</v>
      </c>
      <c r="E1142" s="79">
        <v>4400</v>
      </c>
      <c r="G1142" s="79" t="s">
        <v>7313</v>
      </c>
      <c r="H1142" s="80">
        <v>32184926.800000001</v>
      </c>
    </row>
    <row r="1143" spans="1:8" x14ac:dyDescent="0.2">
      <c r="A1143" s="79" t="s">
        <v>7736</v>
      </c>
      <c r="B1143" s="79" t="s">
        <v>8446</v>
      </c>
      <c r="C1143" s="79" t="s">
        <v>7419</v>
      </c>
      <c r="D1143" s="79" t="s">
        <v>7328</v>
      </c>
      <c r="E1143" s="79">
        <v>4400</v>
      </c>
      <c r="G1143" s="79" t="s">
        <v>7313</v>
      </c>
      <c r="H1143" s="80">
        <v>38092764</v>
      </c>
    </row>
    <row r="1144" spans="1:8" x14ac:dyDescent="0.2">
      <c r="A1144" s="79" t="s">
        <v>7736</v>
      </c>
      <c r="B1144" s="79" t="s">
        <v>8447</v>
      </c>
      <c r="C1144" s="79" t="s">
        <v>7419</v>
      </c>
      <c r="D1144" s="79" t="s">
        <v>7328</v>
      </c>
      <c r="E1144" s="79">
        <v>4400</v>
      </c>
      <c r="G1144" s="79" t="s">
        <v>7313</v>
      </c>
      <c r="H1144" s="80">
        <v>38191531.789999999</v>
      </c>
    </row>
    <row r="1145" spans="1:8" x14ac:dyDescent="0.2">
      <c r="A1145" s="79" t="s">
        <v>7736</v>
      </c>
      <c r="B1145" s="79" t="s">
        <v>8448</v>
      </c>
      <c r="C1145" s="79" t="s">
        <v>7419</v>
      </c>
      <c r="D1145" s="79" t="s">
        <v>7328</v>
      </c>
      <c r="E1145" s="79">
        <v>4400</v>
      </c>
      <c r="G1145" s="79" t="s">
        <v>7313</v>
      </c>
      <c r="H1145" s="80">
        <v>52234710</v>
      </c>
    </row>
    <row r="1146" spans="1:8" x14ac:dyDescent="0.2">
      <c r="A1146" s="79" t="s">
        <v>7736</v>
      </c>
      <c r="B1146" s="79" t="s">
        <v>8449</v>
      </c>
      <c r="C1146" s="79" t="s">
        <v>7419</v>
      </c>
      <c r="D1146" s="79" t="s">
        <v>7328</v>
      </c>
      <c r="E1146" s="79">
        <v>2000</v>
      </c>
      <c r="G1146" s="79" t="s">
        <v>7313</v>
      </c>
      <c r="H1146" s="80">
        <v>13369684.199999999</v>
      </c>
    </row>
    <row r="1147" spans="1:8" x14ac:dyDescent="0.2">
      <c r="A1147" s="79" t="s">
        <v>7736</v>
      </c>
      <c r="B1147" s="79" t="s">
        <v>8450</v>
      </c>
      <c r="C1147" s="79" t="s">
        <v>7419</v>
      </c>
      <c r="D1147" s="79" t="s">
        <v>7328</v>
      </c>
      <c r="E1147" s="79">
        <v>2000</v>
      </c>
      <c r="G1147" s="79" t="s">
        <v>7313</v>
      </c>
      <c r="H1147" s="80">
        <v>14484850.630000001</v>
      </c>
    </row>
    <row r="1148" spans="1:8" x14ac:dyDescent="0.2">
      <c r="A1148" s="79" t="s">
        <v>7736</v>
      </c>
      <c r="B1148" s="79" t="s">
        <v>8451</v>
      </c>
      <c r="C1148" s="79" t="s">
        <v>7419</v>
      </c>
      <c r="D1148" s="79" t="s">
        <v>7328</v>
      </c>
      <c r="E1148" s="79">
        <v>2000</v>
      </c>
      <c r="G1148" s="79" t="s">
        <v>7313</v>
      </c>
      <c r="H1148" s="80">
        <v>15316620.630000001</v>
      </c>
    </row>
    <row r="1149" spans="1:8" x14ac:dyDescent="0.2">
      <c r="A1149" s="79" t="s">
        <v>7736</v>
      </c>
      <c r="B1149" s="79" t="s">
        <v>8452</v>
      </c>
      <c r="C1149" s="79" t="s">
        <v>7419</v>
      </c>
      <c r="D1149" s="79" t="s">
        <v>7328</v>
      </c>
      <c r="E1149" s="79">
        <v>2000</v>
      </c>
      <c r="G1149" s="79" t="s">
        <v>7313</v>
      </c>
      <c r="H1149" s="80">
        <v>16687954.99</v>
      </c>
    </row>
    <row r="1150" spans="1:8" x14ac:dyDescent="0.2">
      <c r="A1150" s="79" t="s">
        <v>7736</v>
      </c>
      <c r="B1150" s="79" t="s">
        <v>8453</v>
      </c>
      <c r="C1150" s="79" t="s">
        <v>7419</v>
      </c>
      <c r="D1150" s="79" t="s">
        <v>7328</v>
      </c>
      <c r="E1150" s="79">
        <v>2000</v>
      </c>
      <c r="G1150" s="79" t="s">
        <v>7313</v>
      </c>
      <c r="H1150" s="80">
        <v>13954896.310000001</v>
      </c>
    </row>
    <row r="1151" spans="1:8" x14ac:dyDescent="0.2">
      <c r="A1151" s="79" t="s">
        <v>7736</v>
      </c>
      <c r="B1151" s="79" t="s">
        <v>8454</v>
      </c>
      <c r="C1151" s="79" t="s">
        <v>7419</v>
      </c>
      <c r="D1151" s="79" t="s">
        <v>7328</v>
      </c>
      <c r="E1151" s="79">
        <v>2000</v>
      </c>
      <c r="G1151" s="79" t="s">
        <v>7313</v>
      </c>
      <c r="H1151" s="80">
        <v>15069862.529999999</v>
      </c>
    </row>
    <row r="1152" spans="1:8" x14ac:dyDescent="0.2">
      <c r="A1152" s="79" t="s">
        <v>7736</v>
      </c>
      <c r="B1152" s="79" t="s">
        <v>8455</v>
      </c>
      <c r="C1152" s="79" t="s">
        <v>7419</v>
      </c>
      <c r="D1152" s="79" t="s">
        <v>7328</v>
      </c>
      <c r="E1152" s="79">
        <v>2000</v>
      </c>
      <c r="G1152" s="79" t="s">
        <v>7313</v>
      </c>
      <c r="H1152" s="80">
        <v>15901832.74</v>
      </c>
    </row>
    <row r="1153" spans="1:8" x14ac:dyDescent="0.2">
      <c r="A1153" s="79" t="s">
        <v>7736</v>
      </c>
      <c r="B1153" s="79" t="s">
        <v>8456</v>
      </c>
      <c r="C1153" s="79" t="s">
        <v>7419</v>
      </c>
      <c r="D1153" s="79" t="s">
        <v>7328</v>
      </c>
      <c r="E1153" s="79">
        <v>2000</v>
      </c>
      <c r="G1153" s="79" t="s">
        <v>7313</v>
      </c>
      <c r="H1153" s="80">
        <v>17308804.379999999</v>
      </c>
    </row>
    <row r="1154" spans="1:8" x14ac:dyDescent="0.2">
      <c r="A1154" s="79" t="s">
        <v>7736</v>
      </c>
      <c r="B1154" s="79" t="s">
        <v>8457</v>
      </c>
      <c r="C1154" s="79" t="s">
        <v>7419</v>
      </c>
      <c r="D1154" s="79" t="s">
        <v>7328</v>
      </c>
      <c r="E1154" s="79">
        <v>2000</v>
      </c>
      <c r="G1154" s="79" t="s">
        <v>7313</v>
      </c>
      <c r="H1154" s="80">
        <v>13039138.460000001</v>
      </c>
    </row>
    <row r="1155" spans="1:8" x14ac:dyDescent="0.2">
      <c r="A1155" s="79" t="s">
        <v>7736</v>
      </c>
      <c r="B1155" s="79" t="s">
        <v>8458</v>
      </c>
      <c r="C1155" s="79" t="s">
        <v>7419</v>
      </c>
      <c r="D1155" s="79" t="s">
        <v>7328</v>
      </c>
      <c r="E1155" s="79">
        <v>2000</v>
      </c>
      <c r="G1155" s="79" t="s">
        <v>7313</v>
      </c>
      <c r="H1155" s="80">
        <v>14254009.18</v>
      </c>
    </row>
    <row r="1156" spans="1:8" x14ac:dyDescent="0.2">
      <c r="A1156" s="79" t="s">
        <v>7736</v>
      </c>
      <c r="B1156" s="79" t="s">
        <v>8459</v>
      </c>
      <c r="C1156" s="79" t="s">
        <v>7419</v>
      </c>
      <c r="D1156" s="79" t="s">
        <v>7312</v>
      </c>
      <c r="E1156" s="79">
        <v>2000</v>
      </c>
      <c r="G1156" s="79" t="s">
        <v>7313</v>
      </c>
      <c r="H1156" s="80">
        <v>16505659.6</v>
      </c>
    </row>
    <row r="1157" spans="1:8" x14ac:dyDescent="0.2">
      <c r="A1157" s="79" t="s">
        <v>7736</v>
      </c>
      <c r="B1157" s="79" t="s">
        <v>8460</v>
      </c>
      <c r="C1157" s="79" t="s">
        <v>7419</v>
      </c>
      <c r="D1157" s="79" t="s">
        <v>7312</v>
      </c>
      <c r="E1157" s="79">
        <v>2000</v>
      </c>
      <c r="G1157" s="79" t="s">
        <v>7313</v>
      </c>
      <c r="H1157" s="80">
        <v>13764739.6</v>
      </c>
    </row>
    <row r="1158" spans="1:8" x14ac:dyDescent="0.2">
      <c r="A1158" s="79" t="s">
        <v>7736</v>
      </c>
      <c r="B1158" s="79" t="s">
        <v>8461</v>
      </c>
      <c r="C1158" s="79" t="s">
        <v>7419</v>
      </c>
      <c r="D1158" s="79" t="s">
        <v>7312</v>
      </c>
      <c r="E1158" s="79">
        <v>2000</v>
      </c>
      <c r="G1158" s="79" t="s">
        <v>7313</v>
      </c>
      <c r="H1158" s="80">
        <v>14882994.800000001</v>
      </c>
    </row>
    <row r="1159" spans="1:8" x14ac:dyDescent="0.2">
      <c r="A1159" s="79" t="s">
        <v>7736</v>
      </c>
      <c r="B1159" s="79" t="s">
        <v>8462</v>
      </c>
      <c r="C1159" s="79" t="s">
        <v>7419</v>
      </c>
      <c r="D1159" s="79" t="s">
        <v>7312</v>
      </c>
      <c r="E1159" s="79">
        <v>2000</v>
      </c>
      <c r="G1159" s="79" t="s">
        <v>7313</v>
      </c>
      <c r="H1159" s="80">
        <v>15717720.4</v>
      </c>
    </row>
    <row r="1160" spans="1:8" x14ac:dyDescent="0.2">
      <c r="A1160" s="79" t="s">
        <v>7736</v>
      </c>
      <c r="B1160" s="79" t="s">
        <v>8463</v>
      </c>
      <c r="C1160" s="79" t="s">
        <v>7419</v>
      </c>
      <c r="D1160" s="79" t="s">
        <v>7312</v>
      </c>
      <c r="E1160" s="79">
        <v>2000</v>
      </c>
      <c r="G1160" s="79" t="s">
        <v>7313</v>
      </c>
      <c r="H1160" s="80">
        <v>17128541.199999999</v>
      </c>
    </row>
    <row r="1161" spans="1:8" x14ac:dyDescent="0.2">
      <c r="A1161" s="79" t="s">
        <v>7736</v>
      </c>
      <c r="B1161" s="79" t="s">
        <v>8464</v>
      </c>
      <c r="C1161" s="79" t="s">
        <v>7419</v>
      </c>
      <c r="D1161" s="79" t="s">
        <v>7312</v>
      </c>
      <c r="E1161" s="79">
        <v>2000</v>
      </c>
      <c r="G1161" s="79" t="s">
        <v>7313</v>
      </c>
      <c r="H1161" s="80">
        <v>13978089.6</v>
      </c>
    </row>
    <row r="1162" spans="1:8" x14ac:dyDescent="0.2">
      <c r="A1162" s="79" t="s">
        <v>7736</v>
      </c>
      <c r="B1162" s="79" t="s">
        <v>8465</v>
      </c>
      <c r="C1162" s="79" t="s">
        <v>7419</v>
      </c>
      <c r="D1162" s="79" t="s">
        <v>7312</v>
      </c>
      <c r="E1162" s="79">
        <v>2000</v>
      </c>
      <c r="G1162" s="79" t="s">
        <v>7313</v>
      </c>
      <c r="H1162" s="80">
        <v>15090220.4</v>
      </c>
    </row>
    <row r="1163" spans="1:8" x14ac:dyDescent="0.2">
      <c r="A1163" s="79" t="s">
        <v>7736</v>
      </c>
      <c r="B1163" s="79" t="s">
        <v>8466</v>
      </c>
      <c r="C1163" s="79" t="s">
        <v>7419</v>
      </c>
      <c r="D1163" s="79" t="s">
        <v>7312</v>
      </c>
      <c r="E1163" s="79">
        <v>2000</v>
      </c>
      <c r="G1163" s="79" t="s">
        <v>7313</v>
      </c>
      <c r="H1163" s="80">
        <v>15930869.6</v>
      </c>
    </row>
    <row r="1164" spans="1:8" x14ac:dyDescent="0.2">
      <c r="A1164" s="79" t="s">
        <v>7736</v>
      </c>
      <c r="B1164" s="79" t="s">
        <v>8467</v>
      </c>
      <c r="C1164" s="79" t="s">
        <v>7419</v>
      </c>
      <c r="D1164" s="79" t="s">
        <v>7312</v>
      </c>
      <c r="E1164" s="79">
        <v>2000</v>
      </c>
      <c r="G1164" s="79" t="s">
        <v>7313</v>
      </c>
      <c r="H1164" s="80">
        <v>17305948</v>
      </c>
    </row>
    <row r="1165" spans="1:8" x14ac:dyDescent="0.2">
      <c r="A1165" s="79" t="s">
        <v>7736</v>
      </c>
      <c r="B1165" s="79" t="s">
        <v>8468</v>
      </c>
      <c r="C1165" s="79" t="s">
        <v>7419</v>
      </c>
      <c r="D1165" s="79" t="s">
        <v>7312</v>
      </c>
      <c r="E1165" s="79">
        <v>2000</v>
      </c>
      <c r="G1165" s="79" t="s">
        <v>7313</v>
      </c>
      <c r="H1165" s="80">
        <v>14565128.4</v>
      </c>
    </row>
    <row r="1166" spans="1:8" x14ac:dyDescent="0.2">
      <c r="A1166" s="79" t="s">
        <v>7736</v>
      </c>
      <c r="B1166" s="79" t="s">
        <v>8469</v>
      </c>
      <c r="C1166" s="79" t="s">
        <v>7419</v>
      </c>
      <c r="D1166" s="79" t="s">
        <v>7312</v>
      </c>
      <c r="E1166" s="79">
        <v>2000</v>
      </c>
      <c r="G1166" s="79" t="s">
        <v>7313</v>
      </c>
      <c r="H1166" s="80">
        <v>15683182.800000001</v>
      </c>
    </row>
    <row r="1167" spans="1:8" x14ac:dyDescent="0.2">
      <c r="A1167" s="79" t="s">
        <v>7736</v>
      </c>
      <c r="B1167" s="79" t="s">
        <v>8470</v>
      </c>
      <c r="C1167" s="79" t="s">
        <v>7419</v>
      </c>
      <c r="D1167" s="79" t="s">
        <v>7312</v>
      </c>
      <c r="E1167" s="79">
        <v>2000</v>
      </c>
      <c r="G1167" s="79" t="s">
        <v>7313</v>
      </c>
      <c r="H1167" s="80">
        <v>16517808</v>
      </c>
    </row>
    <row r="1168" spans="1:8" x14ac:dyDescent="0.2">
      <c r="A1168" s="79" t="s">
        <v>7736</v>
      </c>
      <c r="B1168" s="79" t="s">
        <v>8471</v>
      </c>
      <c r="C1168" s="79" t="s">
        <v>7419</v>
      </c>
      <c r="D1168" s="79" t="s">
        <v>7312</v>
      </c>
      <c r="E1168" s="79">
        <v>2000</v>
      </c>
      <c r="G1168" s="79" t="s">
        <v>7313</v>
      </c>
      <c r="H1168" s="80">
        <v>17928628.800000001</v>
      </c>
    </row>
    <row r="1169" spans="1:8" x14ac:dyDescent="0.2">
      <c r="A1169" s="79" t="s">
        <v>7736</v>
      </c>
      <c r="B1169" s="79" t="s">
        <v>8472</v>
      </c>
      <c r="C1169" s="79" t="s">
        <v>7419</v>
      </c>
      <c r="D1169" s="79" t="s">
        <v>7312</v>
      </c>
      <c r="E1169" s="79">
        <v>3000</v>
      </c>
      <c r="G1169" s="79" t="s">
        <v>7313</v>
      </c>
      <c r="H1169" s="80">
        <v>16053156.800000001</v>
      </c>
    </row>
    <row r="1170" spans="1:8" x14ac:dyDescent="0.2">
      <c r="A1170" s="79" t="s">
        <v>7736</v>
      </c>
      <c r="B1170" s="79" t="s">
        <v>8473</v>
      </c>
      <c r="C1170" s="79" t="s">
        <v>7419</v>
      </c>
      <c r="D1170" s="79" t="s">
        <v>7312</v>
      </c>
      <c r="E1170" s="79">
        <v>3000</v>
      </c>
      <c r="G1170" s="79" t="s">
        <v>7313</v>
      </c>
      <c r="H1170" s="80">
        <v>17259764</v>
      </c>
    </row>
    <row r="1171" spans="1:8" x14ac:dyDescent="0.2">
      <c r="A1171" s="79" t="s">
        <v>7736</v>
      </c>
      <c r="B1171" s="79" t="s">
        <v>8474</v>
      </c>
      <c r="C1171" s="79" t="s">
        <v>7419</v>
      </c>
      <c r="D1171" s="79" t="s">
        <v>7312</v>
      </c>
      <c r="E1171" s="79">
        <v>3000</v>
      </c>
      <c r="G1171" s="79" t="s">
        <v>7313</v>
      </c>
      <c r="H1171" s="80">
        <v>18160151.199999999</v>
      </c>
    </row>
    <row r="1172" spans="1:8" x14ac:dyDescent="0.2">
      <c r="A1172" s="79" t="s">
        <v>7736</v>
      </c>
      <c r="B1172" s="79" t="s">
        <v>8475</v>
      </c>
      <c r="C1172" s="79" t="s">
        <v>7419</v>
      </c>
      <c r="D1172" s="79" t="s">
        <v>7312</v>
      </c>
      <c r="E1172" s="79">
        <v>3000</v>
      </c>
      <c r="G1172" s="79" t="s">
        <v>7313</v>
      </c>
      <c r="H1172" s="80">
        <v>19644063.199999999</v>
      </c>
    </row>
    <row r="1173" spans="1:8" x14ac:dyDescent="0.2">
      <c r="A1173" s="79" t="s">
        <v>7736</v>
      </c>
      <c r="B1173" s="79" t="s">
        <v>8476</v>
      </c>
      <c r="C1173" s="79" t="s">
        <v>7419</v>
      </c>
      <c r="D1173" s="79" t="s">
        <v>7312</v>
      </c>
      <c r="E1173" s="79">
        <v>3000</v>
      </c>
      <c r="G1173" s="79" t="s">
        <v>7313</v>
      </c>
      <c r="H1173" s="80">
        <v>16686279.199999999</v>
      </c>
    </row>
    <row r="1174" spans="1:8" x14ac:dyDescent="0.2">
      <c r="A1174" s="79" t="s">
        <v>7736</v>
      </c>
      <c r="B1174" s="79" t="s">
        <v>8477</v>
      </c>
      <c r="C1174" s="79" t="s">
        <v>7419</v>
      </c>
      <c r="D1174" s="79" t="s">
        <v>7312</v>
      </c>
      <c r="E1174" s="79">
        <v>3000</v>
      </c>
      <c r="G1174" s="79" t="s">
        <v>7313</v>
      </c>
      <c r="H1174" s="80">
        <v>17893187.600000001</v>
      </c>
    </row>
    <row r="1175" spans="1:8" x14ac:dyDescent="0.2">
      <c r="A1175" s="79" t="s">
        <v>7736</v>
      </c>
      <c r="B1175" s="79" t="s">
        <v>8478</v>
      </c>
      <c r="C1175" s="79" t="s">
        <v>7419</v>
      </c>
      <c r="D1175" s="79" t="s">
        <v>7312</v>
      </c>
      <c r="E1175" s="79">
        <v>3000</v>
      </c>
      <c r="G1175" s="79" t="s">
        <v>7313</v>
      </c>
      <c r="H1175" s="80">
        <v>18793574.800000001</v>
      </c>
    </row>
    <row r="1176" spans="1:8" x14ac:dyDescent="0.2">
      <c r="A1176" s="79" t="s">
        <v>7736</v>
      </c>
      <c r="B1176" s="79" t="s">
        <v>8479</v>
      </c>
      <c r="C1176" s="79" t="s">
        <v>7419</v>
      </c>
      <c r="D1176" s="79" t="s">
        <v>7312</v>
      </c>
      <c r="E1176" s="79">
        <v>3000</v>
      </c>
      <c r="G1176" s="79" t="s">
        <v>7313</v>
      </c>
      <c r="H1176" s="80">
        <v>20315940</v>
      </c>
    </row>
    <row r="1177" spans="1:8" x14ac:dyDescent="0.2">
      <c r="A1177" s="79" t="s">
        <v>7736</v>
      </c>
      <c r="B1177" s="79" t="s">
        <v>8480</v>
      </c>
      <c r="C1177" s="79" t="s">
        <v>7419</v>
      </c>
      <c r="D1177" s="79" t="s">
        <v>7312</v>
      </c>
      <c r="E1177" s="79">
        <v>3000</v>
      </c>
      <c r="G1177" s="79" t="s">
        <v>7313</v>
      </c>
      <c r="H1177" s="80">
        <v>16631360.4</v>
      </c>
    </row>
    <row r="1178" spans="1:8" x14ac:dyDescent="0.2">
      <c r="A1178" s="79" t="s">
        <v>7736</v>
      </c>
      <c r="B1178" s="79" t="s">
        <v>8481</v>
      </c>
      <c r="C1178" s="79" t="s">
        <v>7419</v>
      </c>
      <c r="D1178" s="79" t="s">
        <v>7312</v>
      </c>
      <c r="E1178" s="79">
        <v>3000</v>
      </c>
      <c r="G1178" s="79" t="s">
        <v>7313</v>
      </c>
      <c r="H1178" s="80">
        <v>17838268.800000001</v>
      </c>
    </row>
    <row r="1179" spans="1:8" x14ac:dyDescent="0.2">
      <c r="A1179" s="79" t="s">
        <v>8482</v>
      </c>
      <c r="B1179" s="79" t="s">
        <v>8483</v>
      </c>
      <c r="C1179" s="79" t="s">
        <v>7311</v>
      </c>
      <c r="D1179" s="79" t="s">
        <v>7312</v>
      </c>
      <c r="E1179" s="79">
        <v>1597</v>
      </c>
      <c r="G1179" s="79" t="s">
        <v>7329</v>
      </c>
      <c r="H1179" s="80">
        <v>4309332</v>
      </c>
    </row>
    <row r="1180" spans="1:8" x14ac:dyDescent="0.2">
      <c r="A1180" s="79" t="s">
        <v>8482</v>
      </c>
      <c r="B1180" s="79" t="s">
        <v>8484</v>
      </c>
      <c r="C1180" s="79" t="s">
        <v>7311</v>
      </c>
      <c r="D1180" s="79" t="s">
        <v>7312</v>
      </c>
      <c r="E1180" s="79">
        <v>1597</v>
      </c>
      <c r="G1180" s="79" t="s">
        <v>7329</v>
      </c>
      <c r="H1180" s="80">
        <v>4983858</v>
      </c>
    </row>
    <row r="1181" spans="1:8" x14ac:dyDescent="0.2">
      <c r="A1181" s="79" t="s">
        <v>8482</v>
      </c>
      <c r="B1181" s="79" t="s">
        <v>8485</v>
      </c>
      <c r="C1181" s="79" t="s">
        <v>7335</v>
      </c>
      <c r="D1181" s="79" t="s">
        <v>7312</v>
      </c>
      <c r="E1181" s="79">
        <v>1990</v>
      </c>
      <c r="G1181" s="79" t="s">
        <v>7329</v>
      </c>
      <c r="H1181" s="80">
        <v>3300000</v>
      </c>
    </row>
    <row r="1182" spans="1:8" x14ac:dyDescent="0.2">
      <c r="A1182" s="79" t="s">
        <v>8482</v>
      </c>
      <c r="B1182" s="79" t="s">
        <v>8485</v>
      </c>
      <c r="C1182" s="79" t="s">
        <v>7335</v>
      </c>
      <c r="D1182" s="79" t="s">
        <v>7312</v>
      </c>
      <c r="E1182" s="79">
        <v>1990</v>
      </c>
      <c r="G1182" s="79" t="s">
        <v>7313</v>
      </c>
      <c r="H1182" s="80">
        <v>3800000</v>
      </c>
    </row>
    <row r="1183" spans="1:8" x14ac:dyDescent="0.2">
      <c r="A1183" s="79" t="s">
        <v>8482</v>
      </c>
      <c r="B1183" s="79" t="s">
        <v>8486</v>
      </c>
      <c r="C1183" s="79" t="s">
        <v>7311</v>
      </c>
      <c r="D1183" s="79" t="s">
        <v>7312</v>
      </c>
      <c r="E1183" s="79">
        <v>2300</v>
      </c>
      <c r="G1183" s="79" t="s">
        <v>7329</v>
      </c>
      <c r="H1183" s="80">
        <v>3146000</v>
      </c>
    </row>
    <row r="1184" spans="1:8" x14ac:dyDescent="0.2">
      <c r="A1184" s="79" t="s">
        <v>8482</v>
      </c>
      <c r="B1184" s="79" t="s">
        <v>8487</v>
      </c>
      <c r="C1184" s="79" t="s">
        <v>7335</v>
      </c>
      <c r="D1184" s="79" t="s">
        <v>7312</v>
      </c>
      <c r="E1184" s="79">
        <v>2400</v>
      </c>
      <c r="G1184" s="79" t="s">
        <v>7313</v>
      </c>
      <c r="H1184" s="80">
        <v>3880000</v>
      </c>
    </row>
    <row r="1185" spans="1:8" x14ac:dyDescent="0.2">
      <c r="A1185" s="79" t="s">
        <v>8482</v>
      </c>
      <c r="B1185" s="79" t="s">
        <v>8487</v>
      </c>
      <c r="C1185" s="79" t="s">
        <v>7335</v>
      </c>
      <c r="D1185" s="79" t="s">
        <v>7328</v>
      </c>
      <c r="E1185" s="79">
        <v>2700</v>
      </c>
      <c r="G1185" s="79" t="s">
        <v>7313</v>
      </c>
      <c r="H1185" s="80">
        <v>4328183</v>
      </c>
    </row>
    <row r="1186" spans="1:8" x14ac:dyDescent="0.2">
      <c r="A1186" s="79" t="s">
        <v>8482</v>
      </c>
      <c r="B1186" s="79" t="s">
        <v>8488</v>
      </c>
      <c r="C1186" s="79" t="s">
        <v>7311</v>
      </c>
      <c r="D1186" s="79" t="s">
        <v>7312</v>
      </c>
      <c r="E1186" s="79">
        <v>1600</v>
      </c>
      <c r="F1186" s="79" t="s">
        <v>7336</v>
      </c>
      <c r="G1186" s="79" t="s">
        <v>7329</v>
      </c>
      <c r="H1186" s="80">
        <v>2700000</v>
      </c>
    </row>
    <row r="1187" spans="1:8" x14ac:dyDescent="0.2">
      <c r="A1187" s="79" t="s">
        <v>8482</v>
      </c>
      <c r="B1187" s="79" t="s">
        <v>8488</v>
      </c>
      <c r="C1187" s="79" t="s">
        <v>7311</v>
      </c>
      <c r="D1187" s="79" t="s">
        <v>7312</v>
      </c>
      <c r="E1187" s="79">
        <v>1600</v>
      </c>
      <c r="F1187" s="79" t="s">
        <v>7349</v>
      </c>
      <c r="G1187" s="79" t="s">
        <v>7329</v>
      </c>
      <c r="H1187" s="80">
        <v>2800000</v>
      </c>
    </row>
    <row r="1188" spans="1:8" x14ac:dyDescent="0.2">
      <c r="A1188" s="79" t="s">
        <v>8482</v>
      </c>
      <c r="B1188" s="79" t="s">
        <v>8488</v>
      </c>
      <c r="C1188" s="79" t="s">
        <v>7311</v>
      </c>
      <c r="D1188" s="79" t="s">
        <v>7312</v>
      </c>
      <c r="E1188" s="79">
        <v>1800</v>
      </c>
      <c r="F1188" s="79" t="s">
        <v>7336</v>
      </c>
      <c r="G1188" s="79" t="s">
        <v>7329</v>
      </c>
      <c r="H1188" s="80">
        <v>2900000</v>
      </c>
    </row>
    <row r="1189" spans="1:8" x14ac:dyDescent="0.2">
      <c r="A1189" s="79" t="s">
        <v>8482</v>
      </c>
      <c r="B1189" s="79" t="s">
        <v>8489</v>
      </c>
      <c r="C1189" s="79" t="s">
        <v>7311</v>
      </c>
      <c r="D1189" s="79" t="s">
        <v>7312</v>
      </c>
      <c r="E1189" s="79">
        <v>1800</v>
      </c>
      <c r="F1189" s="79" t="s">
        <v>7349</v>
      </c>
      <c r="G1189" s="79" t="s">
        <v>7329</v>
      </c>
      <c r="H1189" s="80">
        <v>3037500</v>
      </c>
    </row>
    <row r="1190" spans="1:8" x14ac:dyDescent="0.2">
      <c r="A1190" s="79" t="s">
        <v>8482</v>
      </c>
      <c r="B1190" s="79" t="s">
        <v>8490</v>
      </c>
      <c r="C1190" s="79" t="s">
        <v>7340</v>
      </c>
      <c r="D1190" s="79" t="s">
        <v>7312</v>
      </c>
      <c r="E1190" s="79">
        <v>1500</v>
      </c>
      <c r="G1190" s="79" t="s">
        <v>7329</v>
      </c>
      <c r="H1190" s="80">
        <v>2495600</v>
      </c>
    </row>
    <row r="1191" spans="1:8" x14ac:dyDescent="0.2">
      <c r="A1191" s="79" t="s">
        <v>8482</v>
      </c>
      <c r="B1191" s="79" t="s">
        <v>8491</v>
      </c>
      <c r="C1191" s="79" t="s">
        <v>7311</v>
      </c>
      <c r="D1191" s="79" t="s">
        <v>7312</v>
      </c>
      <c r="E1191" s="79">
        <v>1190</v>
      </c>
      <c r="G1191" s="79" t="s">
        <v>7329</v>
      </c>
      <c r="H1191" s="80">
        <v>2082500</v>
      </c>
    </row>
    <row r="1192" spans="1:8" x14ac:dyDescent="0.2">
      <c r="A1192" s="79" t="s">
        <v>8482</v>
      </c>
      <c r="B1192" s="79" t="s">
        <v>8492</v>
      </c>
      <c r="C1192" s="79" t="s">
        <v>7311</v>
      </c>
      <c r="D1192" s="79" t="s">
        <v>7312</v>
      </c>
      <c r="E1192" s="79">
        <v>1500</v>
      </c>
      <c r="G1192" s="79" t="s">
        <v>7329</v>
      </c>
      <c r="H1192" s="80">
        <v>2625000</v>
      </c>
    </row>
    <row r="1193" spans="1:8" x14ac:dyDescent="0.2">
      <c r="A1193" s="79" t="s">
        <v>8482</v>
      </c>
      <c r="B1193" s="79" t="s">
        <v>8490</v>
      </c>
      <c r="C1193" s="79" t="s">
        <v>7311</v>
      </c>
      <c r="D1193" s="79" t="s">
        <v>7312</v>
      </c>
      <c r="E1193" s="79">
        <v>1500</v>
      </c>
      <c r="G1193" s="79" t="s">
        <v>7313</v>
      </c>
      <c r="H1193" s="80">
        <v>2869000</v>
      </c>
    </row>
    <row r="1194" spans="1:8" x14ac:dyDescent="0.2">
      <c r="A1194" s="79" t="s">
        <v>8482</v>
      </c>
      <c r="B1194" s="79" t="s">
        <v>8493</v>
      </c>
      <c r="C1194" s="79" t="s">
        <v>7335</v>
      </c>
      <c r="D1194" s="79" t="s">
        <v>7312</v>
      </c>
      <c r="E1194" s="79">
        <v>2000</v>
      </c>
      <c r="G1194" s="79" t="s">
        <v>7313</v>
      </c>
      <c r="H1194" s="80">
        <v>4800000</v>
      </c>
    </row>
    <row r="1195" spans="1:8" x14ac:dyDescent="0.2">
      <c r="A1195" s="79" t="s">
        <v>8482</v>
      </c>
      <c r="B1195" s="79" t="s">
        <v>8494</v>
      </c>
      <c r="C1195" s="79" t="s">
        <v>7335</v>
      </c>
      <c r="D1195" s="79" t="s">
        <v>7328</v>
      </c>
      <c r="E1195" s="79">
        <v>2200</v>
      </c>
      <c r="G1195" s="79" t="s">
        <v>7313</v>
      </c>
      <c r="H1195" s="80">
        <v>5838000</v>
      </c>
    </row>
    <row r="1196" spans="1:8" x14ac:dyDescent="0.2">
      <c r="A1196" s="79" t="s">
        <v>8482</v>
      </c>
      <c r="B1196" s="79" t="s">
        <v>8495</v>
      </c>
      <c r="C1196" s="79" t="s">
        <v>7335</v>
      </c>
      <c r="D1196" s="79" t="s">
        <v>7312</v>
      </c>
      <c r="E1196" s="79">
        <v>2500</v>
      </c>
      <c r="G1196" s="79" t="s">
        <v>7313</v>
      </c>
      <c r="H1196" s="80">
        <v>5400000</v>
      </c>
    </row>
    <row r="1197" spans="1:8" x14ac:dyDescent="0.2">
      <c r="A1197" s="79" t="s">
        <v>8482</v>
      </c>
      <c r="B1197" s="79" t="s">
        <v>8496</v>
      </c>
      <c r="C1197" s="79" t="s">
        <v>7335</v>
      </c>
      <c r="D1197" s="79" t="s">
        <v>7312</v>
      </c>
      <c r="E1197" s="79">
        <v>2500</v>
      </c>
      <c r="G1197" s="79" t="s">
        <v>7313</v>
      </c>
      <c r="H1197" s="80">
        <v>6142500</v>
      </c>
    </row>
    <row r="1198" spans="1:8" x14ac:dyDescent="0.2">
      <c r="A1198" s="79" t="s">
        <v>8482</v>
      </c>
      <c r="B1198" s="79" t="s">
        <v>8497</v>
      </c>
      <c r="C1198" s="79" t="s">
        <v>7335</v>
      </c>
      <c r="D1198" s="79" t="s">
        <v>7312</v>
      </c>
      <c r="E1198" s="79">
        <v>2000</v>
      </c>
      <c r="G1198" s="79" t="s">
        <v>7313</v>
      </c>
      <c r="H1198" s="80">
        <v>3294500</v>
      </c>
    </row>
    <row r="1199" spans="1:8" x14ac:dyDescent="0.2">
      <c r="A1199" s="79" t="s">
        <v>8482</v>
      </c>
      <c r="B1199" s="79" t="s">
        <v>8498</v>
      </c>
      <c r="C1199" s="79" t="s">
        <v>7335</v>
      </c>
      <c r="D1199" s="79" t="s">
        <v>7328</v>
      </c>
      <c r="E1199" s="79">
        <v>2200</v>
      </c>
      <c r="G1199" s="79" t="s">
        <v>7313</v>
      </c>
      <c r="H1199" s="80">
        <v>3753750</v>
      </c>
    </row>
    <row r="1200" spans="1:8" x14ac:dyDescent="0.2">
      <c r="A1200" s="79" t="s">
        <v>8482</v>
      </c>
      <c r="B1200" s="79" t="s">
        <v>8497</v>
      </c>
      <c r="C1200" s="79" t="s">
        <v>7335</v>
      </c>
      <c r="D1200" s="79" t="s">
        <v>7312</v>
      </c>
      <c r="E1200" s="79">
        <v>2500</v>
      </c>
      <c r="G1200" s="79" t="s">
        <v>7313</v>
      </c>
      <c r="H1200" s="80">
        <v>4383500</v>
      </c>
    </row>
    <row r="1201" spans="1:8" x14ac:dyDescent="0.2">
      <c r="A1201" s="79" t="s">
        <v>8482</v>
      </c>
      <c r="B1201" s="79" t="s">
        <v>8499</v>
      </c>
      <c r="C1201" s="79" t="s">
        <v>7335</v>
      </c>
      <c r="D1201" s="79" t="s">
        <v>7312</v>
      </c>
      <c r="E1201" s="79">
        <v>1997</v>
      </c>
      <c r="G1201" s="79" t="s">
        <v>7313</v>
      </c>
      <c r="H1201" s="80">
        <v>5721926</v>
      </c>
    </row>
    <row r="1202" spans="1:8" x14ac:dyDescent="0.2">
      <c r="A1202" s="79" t="s">
        <v>8482</v>
      </c>
      <c r="B1202" s="79" t="s">
        <v>8500</v>
      </c>
      <c r="C1202" s="79" t="s">
        <v>7335</v>
      </c>
      <c r="D1202" s="79" t="s">
        <v>7312</v>
      </c>
      <c r="E1202" s="79">
        <v>1997</v>
      </c>
      <c r="G1202" s="79" t="s">
        <v>7329</v>
      </c>
      <c r="H1202" s="80">
        <v>5238755</v>
      </c>
    </row>
    <row r="1203" spans="1:8" x14ac:dyDescent="0.2">
      <c r="A1203" s="79" t="s">
        <v>8482</v>
      </c>
      <c r="B1203" s="79" t="s">
        <v>8501</v>
      </c>
      <c r="C1203" s="79" t="s">
        <v>7327</v>
      </c>
      <c r="D1203" s="79" t="s">
        <v>7312</v>
      </c>
      <c r="E1203" s="79">
        <v>1600</v>
      </c>
      <c r="G1203" s="79" t="s">
        <v>7329</v>
      </c>
      <c r="H1203" s="80">
        <v>2329000</v>
      </c>
    </row>
    <row r="1204" spans="1:8" x14ac:dyDescent="0.2">
      <c r="A1204" s="79" t="s">
        <v>8482</v>
      </c>
      <c r="B1204" s="79" t="s">
        <v>8501</v>
      </c>
      <c r="C1204" s="79" t="s">
        <v>7327</v>
      </c>
      <c r="D1204" s="79" t="s">
        <v>7312</v>
      </c>
      <c r="E1204" s="79">
        <v>1600</v>
      </c>
      <c r="G1204" s="79" t="s">
        <v>7329</v>
      </c>
      <c r="H1204" s="80">
        <v>2417400</v>
      </c>
    </row>
    <row r="1205" spans="1:8" x14ac:dyDescent="0.2">
      <c r="A1205" s="79" t="s">
        <v>8482</v>
      </c>
      <c r="B1205" s="79" t="s">
        <v>8502</v>
      </c>
      <c r="C1205" s="79" t="s">
        <v>7327</v>
      </c>
      <c r="D1205" s="79" t="s">
        <v>7312</v>
      </c>
      <c r="E1205" s="79">
        <v>1800</v>
      </c>
      <c r="F1205" s="79" t="s">
        <v>7349</v>
      </c>
      <c r="G1205" s="79" t="s">
        <v>7329</v>
      </c>
      <c r="H1205" s="80">
        <v>2917200</v>
      </c>
    </row>
    <row r="1206" spans="1:8" x14ac:dyDescent="0.2">
      <c r="A1206" s="79" t="s">
        <v>8482</v>
      </c>
      <c r="B1206" s="79" t="s">
        <v>8502</v>
      </c>
      <c r="C1206" s="79" t="s">
        <v>7327</v>
      </c>
      <c r="D1206" s="79" t="s">
        <v>7312</v>
      </c>
      <c r="E1206" s="79">
        <v>1800</v>
      </c>
      <c r="F1206" s="79" t="s">
        <v>7336</v>
      </c>
      <c r="G1206" s="79" t="s">
        <v>7329</v>
      </c>
      <c r="H1206" s="80">
        <v>2815200</v>
      </c>
    </row>
    <row r="1207" spans="1:8" x14ac:dyDescent="0.2">
      <c r="A1207" s="79" t="s">
        <v>8482</v>
      </c>
      <c r="B1207" s="79" t="s">
        <v>8503</v>
      </c>
      <c r="C1207" s="79" t="s">
        <v>7335</v>
      </c>
      <c r="D1207" s="79" t="s">
        <v>7312</v>
      </c>
      <c r="E1207" s="79">
        <v>1490</v>
      </c>
      <c r="G1207" s="79" t="s">
        <v>7329</v>
      </c>
      <c r="H1207" s="80">
        <v>2394000</v>
      </c>
    </row>
    <row r="1208" spans="1:8" x14ac:dyDescent="0.2">
      <c r="A1208" s="79" t="s">
        <v>8482</v>
      </c>
      <c r="B1208" s="79" t="s">
        <v>8503</v>
      </c>
      <c r="C1208" s="79" t="s">
        <v>7335</v>
      </c>
      <c r="D1208" s="79" t="s">
        <v>7312</v>
      </c>
      <c r="E1208" s="79">
        <v>1800</v>
      </c>
      <c r="G1208" s="79" t="s">
        <v>7329</v>
      </c>
      <c r="H1208" s="80">
        <v>3181290</v>
      </c>
    </row>
    <row r="1209" spans="1:8" x14ac:dyDescent="0.2">
      <c r="A1209" s="79" t="s">
        <v>8504</v>
      </c>
      <c r="B1209" s="79" t="s">
        <v>8505</v>
      </c>
      <c r="C1209" s="79" t="s">
        <v>7379</v>
      </c>
      <c r="D1209" s="79" t="s">
        <v>7328</v>
      </c>
      <c r="E1209" s="79">
        <v>11670</v>
      </c>
      <c r="G1209" s="79" t="s">
        <v>7329</v>
      </c>
      <c r="H1209" s="80">
        <v>8700000</v>
      </c>
    </row>
    <row r="1210" spans="1:8" x14ac:dyDescent="0.2">
      <c r="A1210" s="79" t="s">
        <v>8504</v>
      </c>
      <c r="B1210" s="79" t="s">
        <v>8506</v>
      </c>
      <c r="C1210" s="79" t="s">
        <v>7379</v>
      </c>
      <c r="D1210" s="79" t="s">
        <v>7328</v>
      </c>
      <c r="E1210" s="79">
        <v>11670</v>
      </c>
      <c r="G1210" s="79" t="s">
        <v>7329</v>
      </c>
      <c r="H1210" s="80">
        <v>10905000</v>
      </c>
    </row>
    <row r="1211" spans="1:8" x14ac:dyDescent="0.2">
      <c r="A1211" s="79" t="s">
        <v>8504</v>
      </c>
      <c r="B1211" s="79" t="s">
        <v>8507</v>
      </c>
      <c r="C1211" s="79" t="s">
        <v>7379</v>
      </c>
      <c r="D1211" s="79" t="s">
        <v>7328</v>
      </c>
      <c r="E1211" s="79">
        <v>11670</v>
      </c>
      <c r="G1211" s="79" t="s">
        <v>7329</v>
      </c>
      <c r="H1211" s="80">
        <v>11115000</v>
      </c>
    </row>
    <row r="1212" spans="1:8" x14ac:dyDescent="0.2">
      <c r="A1212" s="79" t="s">
        <v>8504</v>
      </c>
      <c r="B1212" s="79" t="s">
        <v>8508</v>
      </c>
      <c r="C1212" s="79" t="s">
        <v>7379</v>
      </c>
      <c r="D1212" s="79" t="s">
        <v>7328</v>
      </c>
      <c r="E1212" s="79">
        <v>11670</v>
      </c>
      <c r="G1212" s="79" t="s">
        <v>7329</v>
      </c>
      <c r="H1212" s="80">
        <v>9000000</v>
      </c>
    </row>
    <row r="1213" spans="1:8" x14ac:dyDescent="0.2">
      <c r="A1213" s="79" t="s">
        <v>8504</v>
      </c>
      <c r="B1213" s="79" t="s">
        <v>8509</v>
      </c>
      <c r="C1213" s="79" t="s">
        <v>7379</v>
      </c>
      <c r="D1213" s="79" t="s">
        <v>7328</v>
      </c>
      <c r="E1213" s="79">
        <v>11671</v>
      </c>
      <c r="G1213" s="79" t="s">
        <v>7329</v>
      </c>
      <c r="H1213" s="80">
        <v>11205000</v>
      </c>
    </row>
    <row r="1214" spans="1:8" x14ac:dyDescent="0.2">
      <c r="A1214" s="79" t="s">
        <v>8504</v>
      </c>
      <c r="B1214" s="79" t="s">
        <v>8510</v>
      </c>
      <c r="C1214" s="79" t="s">
        <v>7379</v>
      </c>
      <c r="D1214" s="79" t="s">
        <v>7328</v>
      </c>
      <c r="E1214" s="79">
        <v>11671</v>
      </c>
      <c r="G1214" s="79" t="s">
        <v>7329</v>
      </c>
      <c r="H1214" s="80">
        <v>11415000</v>
      </c>
    </row>
    <row r="1215" spans="1:8" x14ac:dyDescent="0.2">
      <c r="A1215" s="79" t="s">
        <v>8504</v>
      </c>
      <c r="B1215" s="79" t="s">
        <v>8511</v>
      </c>
      <c r="C1215" s="79" t="s">
        <v>7379</v>
      </c>
      <c r="D1215" s="79" t="s">
        <v>7328</v>
      </c>
      <c r="E1215" s="79">
        <v>11671</v>
      </c>
      <c r="G1215" s="79" t="s">
        <v>7329</v>
      </c>
      <c r="H1215" s="80">
        <v>9400000</v>
      </c>
    </row>
    <row r="1216" spans="1:8" x14ac:dyDescent="0.2">
      <c r="A1216" s="79" t="s">
        <v>8504</v>
      </c>
      <c r="B1216" s="79" t="s">
        <v>8512</v>
      </c>
      <c r="C1216" s="79" t="s">
        <v>7379</v>
      </c>
      <c r="D1216" s="79" t="s">
        <v>7328</v>
      </c>
      <c r="E1216" s="79">
        <v>11671</v>
      </c>
      <c r="G1216" s="79" t="s">
        <v>7329</v>
      </c>
      <c r="H1216" s="80">
        <v>11755000</v>
      </c>
    </row>
    <row r="1217" spans="1:8" x14ac:dyDescent="0.2">
      <c r="A1217" s="79" t="s">
        <v>8504</v>
      </c>
      <c r="B1217" s="79" t="s">
        <v>8513</v>
      </c>
      <c r="C1217" s="79" t="s">
        <v>7379</v>
      </c>
      <c r="D1217" s="79" t="s">
        <v>7328</v>
      </c>
      <c r="E1217" s="79">
        <v>11671</v>
      </c>
      <c r="G1217" s="79" t="s">
        <v>7329</v>
      </c>
      <c r="H1217" s="80">
        <v>11905000</v>
      </c>
    </row>
    <row r="1218" spans="1:8" x14ac:dyDescent="0.2">
      <c r="A1218" s="79" t="s">
        <v>8504</v>
      </c>
      <c r="B1218" s="79" t="s">
        <v>8514</v>
      </c>
      <c r="C1218" s="79" t="s">
        <v>7438</v>
      </c>
      <c r="D1218" s="79" t="s">
        <v>7328</v>
      </c>
      <c r="E1218" s="79">
        <v>12503</v>
      </c>
      <c r="G1218" s="79" t="s">
        <v>8278</v>
      </c>
      <c r="H1218" s="80">
        <v>9386786</v>
      </c>
    </row>
    <row r="1219" spans="1:8" x14ac:dyDescent="0.2">
      <c r="A1219" s="79" t="s">
        <v>8504</v>
      </c>
      <c r="B1219" s="79" t="s">
        <v>8515</v>
      </c>
      <c r="C1219" s="79" t="s">
        <v>7370</v>
      </c>
      <c r="D1219" s="79" t="s">
        <v>7328</v>
      </c>
      <c r="E1219" s="79">
        <v>12503</v>
      </c>
      <c r="G1219" s="79" t="s">
        <v>8278</v>
      </c>
      <c r="H1219" s="80">
        <v>9843760</v>
      </c>
    </row>
    <row r="1220" spans="1:8" x14ac:dyDescent="0.2">
      <c r="A1220" s="79" t="s">
        <v>8504</v>
      </c>
      <c r="B1220" s="79" t="s">
        <v>8516</v>
      </c>
      <c r="C1220" s="79" t="s">
        <v>7379</v>
      </c>
      <c r="D1220" s="79" t="s">
        <v>7328</v>
      </c>
      <c r="E1220" s="79">
        <v>6925</v>
      </c>
      <c r="G1220" s="79" t="s">
        <v>7329</v>
      </c>
      <c r="H1220" s="80">
        <v>5307000</v>
      </c>
    </row>
    <row r="1221" spans="1:8" x14ac:dyDescent="0.2">
      <c r="A1221" s="79" t="s">
        <v>8504</v>
      </c>
      <c r="B1221" s="79" t="s">
        <v>8517</v>
      </c>
      <c r="C1221" s="79" t="s">
        <v>7379</v>
      </c>
      <c r="D1221" s="79" t="s">
        <v>7328</v>
      </c>
      <c r="E1221" s="79">
        <v>6925</v>
      </c>
      <c r="G1221" s="79" t="s">
        <v>8518</v>
      </c>
      <c r="H1221" s="80">
        <v>6686210</v>
      </c>
    </row>
    <row r="1222" spans="1:8" x14ac:dyDescent="0.2">
      <c r="A1222" s="79" t="s">
        <v>8504</v>
      </c>
      <c r="B1222" s="79" t="s">
        <v>8519</v>
      </c>
      <c r="C1222" s="79" t="s">
        <v>7379</v>
      </c>
      <c r="D1222" s="79" t="s">
        <v>7328</v>
      </c>
      <c r="E1222" s="79">
        <v>6925</v>
      </c>
      <c r="G1222" s="79" t="s">
        <v>8518</v>
      </c>
      <c r="H1222" s="80">
        <v>6696210</v>
      </c>
    </row>
    <row r="1223" spans="1:8" x14ac:dyDescent="0.2">
      <c r="A1223" s="79" t="s">
        <v>8504</v>
      </c>
      <c r="B1223" s="79" t="s">
        <v>8520</v>
      </c>
      <c r="C1223" s="79" t="s">
        <v>7379</v>
      </c>
      <c r="D1223" s="79" t="s">
        <v>7328</v>
      </c>
      <c r="E1223" s="79">
        <v>6925</v>
      </c>
      <c r="G1223" s="79" t="s">
        <v>7329</v>
      </c>
      <c r="H1223" s="80">
        <v>6100000</v>
      </c>
    </row>
    <row r="1224" spans="1:8" x14ac:dyDescent="0.2">
      <c r="A1224" s="79" t="s">
        <v>8504</v>
      </c>
      <c r="B1224" s="79" t="s">
        <v>8521</v>
      </c>
      <c r="C1224" s="79" t="s">
        <v>7379</v>
      </c>
      <c r="D1224" s="79" t="s">
        <v>7328</v>
      </c>
      <c r="E1224" s="79">
        <v>6925</v>
      </c>
      <c r="G1224" s="79" t="s">
        <v>7329</v>
      </c>
      <c r="H1224" s="80">
        <v>7795000</v>
      </c>
    </row>
    <row r="1225" spans="1:8" x14ac:dyDescent="0.2">
      <c r="A1225" s="79" t="s">
        <v>8504</v>
      </c>
      <c r="B1225" s="79" t="s">
        <v>8522</v>
      </c>
      <c r="C1225" s="79" t="s">
        <v>7379</v>
      </c>
      <c r="D1225" s="79" t="s">
        <v>7328</v>
      </c>
      <c r="E1225" s="79">
        <v>6925</v>
      </c>
      <c r="G1225" s="79" t="s">
        <v>8518</v>
      </c>
      <c r="H1225" s="80">
        <v>7850000</v>
      </c>
    </row>
    <row r="1226" spans="1:8" x14ac:dyDescent="0.2">
      <c r="A1226" s="79" t="s">
        <v>8504</v>
      </c>
      <c r="B1226" s="79" t="s">
        <v>8523</v>
      </c>
      <c r="C1226" s="79" t="s">
        <v>7379</v>
      </c>
      <c r="D1226" s="79" t="s">
        <v>7328</v>
      </c>
      <c r="E1226" s="79">
        <v>4617</v>
      </c>
      <c r="G1226" s="79" t="s">
        <v>7329</v>
      </c>
      <c r="H1226" s="80">
        <v>4464000</v>
      </c>
    </row>
    <row r="1227" spans="1:8" x14ac:dyDescent="0.2">
      <c r="A1227" s="79" t="s">
        <v>8504</v>
      </c>
      <c r="B1227" s="79" t="s">
        <v>8524</v>
      </c>
      <c r="C1227" s="79" t="s">
        <v>7379</v>
      </c>
      <c r="D1227" s="79" t="s">
        <v>7328</v>
      </c>
      <c r="E1227" s="79">
        <v>4617</v>
      </c>
      <c r="G1227" s="79" t="s">
        <v>7329</v>
      </c>
      <c r="H1227" s="80">
        <v>4550000</v>
      </c>
    </row>
    <row r="1228" spans="1:8" x14ac:dyDescent="0.2">
      <c r="A1228" s="79" t="s">
        <v>8504</v>
      </c>
      <c r="B1228" s="79" t="s">
        <v>8525</v>
      </c>
      <c r="C1228" s="79" t="s">
        <v>7379</v>
      </c>
      <c r="D1228" s="79" t="s">
        <v>7328</v>
      </c>
      <c r="E1228" s="79">
        <v>4617</v>
      </c>
      <c r="G1228" s="79" t="s">
        <v>7329</v>
      </c>
      <c r="H1228" s="80">
        <v>4760000</v>
      </c>
    </row>
    <row r="1229" spans="1:8" x14ac:dyDescent="0.2">
      <c r="A1229" s="79" t="s">
        <v>8504</v>
      </c>
      <c r="B1229" s="79" t="s">
        <v>8526</v>
      </c>
      <c r="C1229" s="79" t="s">
        <v>7379</v>
      </c>
      <c r="D1229" s="79" t="s">
        <v>7328</v>
      </c>
      <c r="E1229" s="79">
        <v>4617</v>
      </c>
      <c r="G1229" s="79" t="s">
        <v>7329</v>
      </c>
      <c r="H1229" s="80">
        <v>4820000</v>
      </c>
    </row>
    <row r="1230" spans="1:8" x14ac:dyDescent="0.2">
      <c r="A1230" s="79" t="s">
        <v>8504</v>
      </c>
      <c r="B1230" s="79" t="s">
        <v>8527</v>
      </c>
      <c r="C1230" s="79" t="s">
        <v>7370</v>
      </c>
      <c r="D1230" s="79" t="s">
        <v>7328</v>
      </c>
      <c r="E1230" s="79">
        <v>4617</v>
      </c>
      <c r="H1230" s="80">
        <v>4434260</v>
      </c>
    </row>
    <row r="1231" spans="1:8" x14ac:dyDescent="0.2">
      <c r="A1231" s="79" t="s">
        <v>8504</v>
      </c>
      <c r="B1231" s="79" t="s">
        <v>8528</v>
      </c>
      <c r="C1231" s="79" t="s">
        <v>7379</v>
      </c>
      <c r="D1231" s="79" t="s">
        <v>7328</v>
      </c>
      <c r="E1231" s="79">
        <v>6925</v>
      </c>
      <c r="G1231" s="79" t="s">
        <v>7329</v>
      </c>
      <c r="H1231" s="80">
        <v>6200000</v>
      </c>
    </row>
    <row r="1232" spans="1:8" x14ac:dyDescent="0.2">
      <c r="A1232" s="79" t="s">
        <v>8504</v>
      </c>
      <c r="B1232" s="79" t="s">
        <v>8529</v>
      </c>
      <c r="C1232" s="79" t="s">
        <v>7379</v>
      </c>
      <c r="D1232" s="79" t="s">
        <v>7328</v>
      </c>
      <c r="E1232" s="79">
        <v>6925</v>
      </c>
      <c r="G1232" s="79" t="s">
        <v>7329</v>
      </c>
      <c r="H1232" s="80">
        <v>7950000</v>
      </c>
    </row>
    <row r="1233" spans="1:8" x14ac:dyDescent="0.2">
      <c r="A1233" s="79" t="s">
        <v>8504</v>
      </c>
      <c r="B1233" s="79" t="s">
        <v>8530</v>
      </c>
      <c r="C1233" s="79" t="s">
        <v>7379</v>
      </c>
      <c r="D1233" s="79" t="s">
        <v>7328</v>
      </c>
      <c r="E1233" s="79">
        <v>6925</v>
      </c>
      <c r="G1233" s="79" t="s">
        <v>7329</v>
      </c>
      <c r="H1233" s="80">
        <v>8050000</v>
      </c>
    </row>
    <row r="1234" spans="1:8" x14ac:dyDescent="0.2">
      <c r="A1234" s="79" t="s">
        <v>8504</v>
      </c>
      <c r="B1234" s="79" t="s">
        <v>8531</v>
      </c>
      <c r="C1234" s="79" t="s">
        <v>7370</v>
      </c>
      <c r="D1234" s="79" t="s">
        <v>7328</v>
      </c>
      <c r="E1234" s="79">
        <v>6925</v>
      </c>
      <c r="G1234" s="79" t="s">
        <v>8017</v>
      </c>
      <c r="H1234" s="80">
        <v>8738280</v>
      </c>
    </row>
    <row r="1235" spans="1:8" x14ac:dyDescent="0.2">
      <c r="A1235" s="79" t="s">
        <v>8504</v>
      </c>
      <c r="B1235" s="79" t="s">
        <v>8532</v>
      </c>
      <c r="C1235" s="79" t="s">
        <v>7438</v>
      </c>
      <c r="D1235" s="79" t="s">
        <v>7328</v>
      </c>
      <c r="E1235" s="79">
        <v>12777</v>
      </c>
      <c r="G1235" s="79" t="s">
        <v>8533</v>
      </c>
      <c r="H1235" s="80">
        <v>12180000</v>
      </c>
    </row>
    <row r="1236" spans="1:8" x14ac:dyDescent="0.2">
      <c r="A1236" s="79" t="s">
        <v>8504</v>
      </c>
      <c r="B1236" s="79" t="s">
        <v>8532</v>
      </c>
      <c r="C1236" s="79" t="s">
        <v>7438</v>
      </c>
      <c r="D1236" s="79" t="s">
        <v>7328</v>
      </c>
      <c r="E1236" s="79">
        <v>12777</v>
      </c>
      <c r="G1236" s="79" t="s">
        <v>7376</v>
      </c>
      <c r="H1236" s="80">
        <v>13050000</v>
      </c>
    </row>
    <row r="1237" spans="1:8" x14ac:dyDescent="0.2">
      <c r="A1237" s="79" t="s">
        <v>8534</v>
      </c>
      <c r="B1237" s="79" t="s">
        <v>8535</v>
      </c>
      <c r="C1237" s="79" t="s">
        <v>7728</v>
      </c>
      <c r="D1237" s="79" t="s">
        <v>7328</v>
      </c>
      <c r="E1237" s="79">
        <v>1686</v>
      </c>
      <c r="G1237" s="79" t="s">
        <v>7329</v>
      </c>
      <c r="H1237" s="80">
        <v>1495000</v>
      </c>
    </row>
    <row r="1238" spans="1:8" x14ac:dyDescent="0.2">
      <c r="A1238" s="79" t="s">
        <v>8534</v>
      </c>
      <c r="B1238" s="79" t="s">
        <v>8536</v>
      </c>
      <c r="C1238" s="79" t="s">
        <v>7728</v>
      </c>
      <c r="D1238" s="79" t="s">
        <v>7312</v>
      </c>
      <c r="E1238" s="79">
        <v>1389</v>
      </c>
      <c r="G1238" s="79" t="s">
        <v>7329</v>
      </c>
      <c r="H1238" s="80">
        <v>1250000</v>
      </c>
    </row>
    <row r="1239" spans="1:8" x14ac:dyDescent="0.2">
      <c r="A1239" s="79" t="s">
        <v>8534</v>
      </c>
      <c r="B1239" s="79" t="s">
        <v>8537</v>
      </c>
      <c r="C1239" s="79" t="s">
        <v>7311</v>
      </c>
      <c r="D1239" s="79" t="s">
        <v>7312</v>
      </c>
      <c r="E1239" s="79">
        <v>1600</v>
      </c>
      <c r="G1239" s="79" t="s">
        <v>7329</v>
      </c>
      <c r="H1239" s="80">
        <v>2434000</v>
      </c>
    </row>
    <row r="1240" spans="1:8" x14ac:dyDescent="0.2">
      <c r="A1240" s="79" t="s">
        <v>8534</v>
      </c>
      <c r="B1240" s="79" t="s">
        <v>8538</v>
      </c>
      <c r="C1240" s="79" t="s">
        <v>7311</v>
      </c>
      <c r="D1240" s="79" t="s">
        <v>7312</v>
      </c>
      <c r="E1240" s="79">
        <v>1600</v>
      </c>
      <c r="G1240" s="79" t="s">
        <v>7329</v>
      </c>
      <c r="H1240" s="80">
        <v>2434000</v>
      </c>
    </row>
    <row r="1241" spans="1:8" x14ac:dyDescent="0.2">
      <c r="A1241" s="79" t="s">
        <v>8534</v>
      </c>
      <c r="B1241" s="79" t="s">
        <v>8539</v>
      </c>
      <c r="C1241" s="79" t="s">
        <v>7311</v>
      </c>
      <c r="D1241" s="79" t="s">
        <v>7312</v>
      </c>
      <c r="E1241" s="79">
        <v>2100</v>
      </c>
      <c r="G1241" s="79" t="s">
        <v>7329</v>
      </c>
      <c r="H1241" s="80">
        <v>3810499</v>
      </c>
    </row>
    <row r="1242" spans="1:8" x14ac:dyDescent="0.2">
      <c r="A1242" s="79" t="s">
        <v>8540</v>
      </c>
      <c r="B1242" s="79" t="s">
        <v>8541</v>
      </c>
      <c r="C1242" s="79" t="s">
        <v>7311</v>
      </c>
      <c r="D1242" s="79" t="s">
        <v>7312</v>
      </c>
      <c r="E1242" s="79">
        <v>1124</v>
      </c>
      <c r="G1242" s="79" t="s">
        <v>7329</v>
      </c>
      <c r="H1242" s="80">
        <v>1343015</v>
      </c>
    </row>
    <row r="1243" spans="1:8" x14ac:dyDescent="0.2">
      <c r="A1243" s="79" t="s">
        <v>8540</v>
      </c>
      <c r="B1243" s="79">
        <v>206</v>
      </c>
      <c r="C1243" s="79" t="s">
        <v>7340</v>
      </c>
      <c r="D1243" s="79" t="s">
        <v>7312</v>
      </c>
      <c r="E1243" s="79">
        <v>1400</v>
      </c>
      <c r="G1243" s="79" t="s">
        <v>7329</v>
      </c>
      <c r="H1243" s="80">
        <v>1625000</v>
      </c>
    </row>
    <row r="1244" spans="1:8" x14ac:dyDescent="0.2">
      <c r="A1244" s="79" t="s">
        <v>8540</v>
      </c>
      <c r="B1244" s="79">
        <v>207</v>
      </c>
      <c r="C1244" s="79" t="s">
        <v>7340</v>
      </c>
      <c r="D1244" s="79" t="s">
        <v>7312</v>
      </c>
      <c r="E1244" s="79">
        <v>1400</v>
      </c>
      <c r="G1244" s="79" t="s">
        <v>7329</v>
      </c>
      <c r="H1244" s="80">
        <v>1625000</v>
      </c>
    </row>
    <row r="1245" spans="1:8" x14ac:dyDescent="0.2">
      <c r="A1245" s="79" t="s">
        <v>8540</v>
      </c>
      <c r="B1245" s="79" t="s">
        <v>8542</v>
      </c>
      <c r="C1245" s="79" t="s">
        <v>7311</v>
      </c>
      <c r="D1245" s="79" t="s">
        <v>7312</v>
      </c>
      <c r="E1245" s="79">
        <v>1472</v>
      </c>
      <c r="G1245" s="79" t="s">
        <v>7329</v>
      </c>
      <c r="H1245" s="80">
        <v>1700000</v>
      </c>
    </row>
    <row r="1246" spans="1:8" x14ac:dyDescent="0.2">
      <c r="A1246" s="79" t="s">
        <v>8540</v>
      </c>
      <c r="B1246" s="79">
        <v>306</v>
      </c>
      <c r="C1246" s="79" t="s">
        <v>7311</v>
      </c>
      <c r="D1246" s="79" t="s">
        <v>7312</v>
      </c>
      <c r="E1246" s="79">
        <v>1360</v>
      </c>
      <c r="G1246" s="79" t="s">
        <v>7329</v>
      </c>
      <c r="H1246" s="80">
        <v>1791800</v>
      </c>
    </row>
    <row r="1247" spans="1:8" x14ac:dyDescent="0.2">
      <c r="A1247" s="79" t="s">
        <v>8540</v>
      </c>
      <c r="B1247" s="79" t="s">
        <v>8543</v>
      </c>
      <c r="C1247" s="79" t="s">
        <v>7335</v>
      </c>
      <c r="D1247" s="79" t="s">
        <v>7312</v>
      </c>
      <c r="E1247" s="79">
        <v>1587</v>
      </c>
      <c r="G1247" s="79" t="s">
        <v>7329</v>
      </c>
      <c r="H1247" s="80">
        <v>2200000</v>
      </c>
    </row>
    <row r="1248" spans="1:8" x14ac:dyDescent="0.2">
      <c r="A1248" s="79" t="s">
        <v>8540</v>
      </c>
      <c r="B1248" s="79" t="s">
        <v>8544</v>
      </c>
      <c r="C1248" s="79" t="s">
        <v>7311</v>
      </c>
      <c r="D1248" s="79" t="s">
        <v>7312</v>
      </c>
      <c r="E1248" s="79">
        <v>1594</v>
      </c>
      <c r="G1248" s="79" t="s">
        <v>7329</v>
      </c>
      <c r="H1248" s="80">
        <v>2100000</v>
      </c>
    </row>
    <row r="1249" spans="1:8" x14ac:dyDescent="0.2">
      <c r="A1249" s="79" t="s">
        <v>8540</v>
      </c>
      <c r="B1249" s="79" t="s">
        <v>8545</v>
      </c>
      <c r="C1249" s="79" t="s">
        <v>7311</v>
      </c>
      <c r="D1249" s="79" t="s">
        <v>7312</v>
      </c>
      <c r="E1249" s="79">
        <v>1594</v>
      </c>
      <c r="G1249" s="79" t="s">
        <v>7329</v>
      </c>
      <c r="H1249" s="80">
        <v>2250000</v>
      </c>
    </row>
    <row r="1250" spans="1:8" x14ac:dyDescent="0.2">
      <c r="A1250" s="79" t="s">
        <v>8540</v>
      </c>
      <c r="B1250" s="79" t="s">
        <v>8546</v>
      </c>
      <c r="C1250" s="79" t="s">
        <v>7311</v>
      </c>
      <c r="D1250" s="79" t="s">
        <v>7312</v>
      </c>
      <c r="E1250" s="79">
        <v>1594</v>
      </c>
      <c r="F1250" s="79" t="s">
        <v>7349</v>
      </c>
      <c r="G1250" s="79" t="s">
        <v>7329</v>
      </c>
      <c r="H1250" s="80">
        <v>2600000</v>
      </c>
    </row>
    <row r="1251" spans="1:8" x14ac:dyDescent="0.2">
      <c r="A1251" s="79" t="s">
        <v>8540</v>
      </c>
      <c r="B1251" s="79" t="s">
        <v>8547</v>
      </c>
      <c r="C1251" s="79" t="s">
        <v>7311</v>
      </c>
      <c r="D1251" s="79" t="s">
        <v>7312</v>
      </c>
      <c r="E1251" s="79">
        <v>1580</v>
      </c>
      <c r="G1251" s="79" t="s">
        <v>7329</v>
      </c>
      <c r="H1251" s="80">
        <v>2100000</v>
      </c>
    </row>
    <row r="1252" spans="1:8" x14ac:dyDescent="0.2">
      <c r="A1252" s="79" t="s">
        <v>8540</v>
      </c>
      <c r="B1252" s="79" t="s">
        <v>8548</v>
      </c>
      <c r="C1252" s="79" t="s">
        <v>7311</v>
      </c>
      <c r="D1252" s="79" t="s">
        <v>7312</v>
      </c>
      <c r="E1252" s="79">
        <v>1761</v>
      </c>
      <c r="G1252" s="79" t="s">
        <v>7329</v>
      </c>
      <c r="H1252" s="80">
        <v>2675000</v>
      </c>
    </row>
    <row r="1253" spans="1:8" x14ac:dyDescent="0.2">
      <c r="A1253" s="79" t="s">
        <v>8540</v>
      </c>
      <c r="B1253" s="79" t="s">
        <v>8549</v>
      </c>
      <c r="C1253" s="79" t="s">
        <v>7335</v>
      </c>
      <c r="D1253" s="79" t="s">
        <v>7312</v>
      </c>
      <c r="E1253" s="79">
        <v>1761</v>
      </c>
      <c r="G1253" s="79" t="s">
        <v>7329</v>
      </c>
      <c r="H1253" s="80">
        <v>2850000</v>
      </c>
    </row>
    <row r="1254" spans="1:8" x14ac:dyDescent="0.2">
      <c r="A1254" s="79" t="s">
        <v>8540</v>
      </c>
      <c r="B1254" s="79" t="s">
        <v>8550</v>
      </c>
      <c r="C1254" s="79" t="s">
        <v>7311</v>
      </c>
      <c r="D1254" s="79" t="s">
        <v>7312</v>
      </c>
      <c r="E1254" s="79">
        <v>1997</v>
      </c>
      <c r="G1254" s="79" t="s">
        <v>7329</v>
      </c>
      <c r="H1254" s="80">
        <v>3200000</v>
      </c>
    </row>
    <row r="1255" spans="1:8" x14ac:dyDescent="0.2">
      <c r="A1255" s="79" t="s">
        <v>8540</v>
      </c>
      <c r="B1255" s="79" t="s">
        <v>8551</v>
      </c>
      <c r="C1255" s="79" t="s">
        <v>7311</v>
      </c>
      <c r="D1255" s="79" t="s">
        <v>7312</v>
      </c>
      <c r="E1255" s="79">
        <v>1761</v>
      </c>
      <c r="G1255" s="79" t="s">
        <v>7329</v>
      </c>
      <c r="H1255" s="80">
        <v>2825000</v>
      </c>
    </row>
    <row r="1256" spans="1:8" x14ac:dyDescent="0.2">
      <c r="A1256" s="79" t="s">
        <v>8540</v>
      </c>
      <c r="B1256" s="79" t="s">
        <v>8552</v>
      </c>
      <c r="C1256" s="79" t="s">
        <v>7311</v>
      </c>
      <c r="D1256" s="79" t="s">
        <v>7312</v>
      </c>
      <c r="E1256" s="79">
        <v>2000</v>
      </c>
      <c r="G1256" s="79" t="s">
        <v>7329</v>
      </c>
      <c r="H1256" s="80">
        <v>3650000</v>
      </c>
    </row>
    <row r="1257" spans="1:8" x14ac:dyDescent="0.2">
      <c r="A1257" s="79" t="s">
        <v>8540</v>
      </c>
      <c r="B1257" s="79" t="s">
        <v>8553</v>
      </c>
      <c r="C1257" s="79" t="s">
        <v>7311</v>
      </c>
      <c r="D1257" s="79" t="s">
        <v>7312</v>
      </c>
      <c r="E1257" s="79">
        <v>2000</v>
      </c>
      <c r="F1257" s="79" t="s">
        <v>7349</v>
      </c>
      <c r="G1257" s="79" t="s">
        <v>7329</v>
      </c>
      <c r="H1257" s="80">
        <v>4750000</v>
      </c>
    </row>
    <row r="1258" spans="1:8" x14ac:dyDescent="0.2">
      <c r="A1258" s="79" t="s">
        <v>8540</v>
      </c>
      <c r="B1258" s="79" t="s">
        <v>8553</v>
      </c>
      <c r="C1258" s="79" t="s">
        <v>7311</v>
      </c>
      <c r="D1258" s="79" t="s">
        <v>7312</v>
      </c>
      <c r="E1258" s="79">
        <v>2000</v>
      </c>
      <c r="G1258" s="79" t="s">
        <v>7329</v>
      </c>
      <c r="H1258" s="80">
        <v>4400000</v>
      </c>
    </row>
    <row r="1259" spans="1:8" x14ac:dyDescent="0.2">
      <c r="A1259" s="79" t="s">
        <v>8540</v>
      </c>
      <c r="B1259" s="79" t="s">
        <v>8553</v>
      </c>
      <c r="C1259" s="79" t="s">
        <v>7311</v>
      </c>
      <c r="D1259" s="79" t="s">
        <v>7312</v>
      </c>
      <c r="E1259" s="79">
        <v>2000</v>
      </c>
      <c r="F1259" s="79" t="s">
        <v>7349</v>
      </c>
      <c r="G1259" s="79" t="s">
        <v>7329</v>
      </c>
      <c r="H1259" s="80">
        <v>4750000</v>
      </c>
    </row>
    <row r="1260" spans="1:8" x14ac:dyDescent="0.2">
      <c r="A1260" s="79" t="s">
        <v>8540</v>
      </c>
      <c r="B1260" s="79" t="s">
        <v>8554</v>
      </c>
      <c r="C1260" s="79" t="s">
        <v>7311</v>
      </c>
      <c r="D1260" s="79" t="s">
        <v>7312</v>
      </c>
      <c r="E1260" s="79">
        <v>3000</v>
      </c>
      <c r="G1260" s="79" t="s">
        <v>7329</v>
      </c>
      <c r="H1260" s="80">
        <v>5390550</v>
      </c>
    </row>
    <row r="1261" spans="1:8" x14ac:dyDescent="0.2">
      <c r="A1261" s="79" t="s">
        <v>8540</v>
      </c>
      <c r="B1261" s="79" t="s">
        <v>8555</v>
      </c>
      <c r="C1261" s="79" t="s">
        <v>7311</v>
      </c>
      <c r="D1261" s="79" t="s">
        <v>7312</v>
      </c>
      <c r="E1261" s="79">
        <v>1796</v>
      </c>
      <c r="G1261" s="79" t="s">
        <v>7329</v>
      </c>
      <c r="H1261" s="80">
        <v>2450000</v>
      </c>
    </row>
    <row r="1262" spans="1:8" x14ac:dyDescent="0.2">
      <c r="A1262" s="79" t="s">
        <v>8540</v>
      </c>
      <c r="B1262" s="79" t="s">
        <v>8555</v>
      </c>
      <c r="C1262" s="79" t="s">
        <v>7335</v>
      </c>
      <c r="D1262" s="79" t="s">
        <v>7312</v>
      </c>
      <c r="E1262" s="79">
        <v>1796</v>
      </c>
      <c r="G1262" s="79" t="s">
        <v>7329</v>
      </c>
      <c r="H1262" s="80">
        <v>2550000</v>
      </c>
    </row>
    <row r="1263" spans="1:8" x14ac:dyDescent="0.2">
      <c r="A1263" s="79" t="s">
        <v>8540</v>
      </c>
      <c r="B1263" s="79">
        <v>504</v>
      </c>
      <c r="C1263" s="79" t="s">
        <v>8095</v>
      </c>
      <c r="D1263" s="79" t="s">
        <v>7312</v>
      </c>
      <c r="E1263" s="79">
        <v>1796</v>
      </c>
      <c r="G1263" s="79" t="s">
        <v>7329</v>
      </c>
      <c r="H1263" s="80">
        <v>1895000</v>
      </c>
    </row>
    <row r="1264" spans="1:8" x14ac:dyDescent="0.2">
      <c r="A1264" s="79" t="s">
        <v>8540</v>
      </c>
      <c r="B1264" s="79">
        <v>505</v>
      </c>
      <c r="C1264" s="79" t="s">
        <v>7311</v>
      </c>
      <c r="D1264" s="79" t="s">
        <v>7312</v>
      </c>
      <c r="E1264" s="79">
        <v>1971</v>
      </c>
      <c r="G1264" s="79" t="s">
        <v>7329</v>
      </c>
      <c r="H1264" s="80">
        <v>2750000</v>
      </c>
    </row>
    <row r="1265" spans="1:8" x14ac:dyDescent="0.2">
      <c r="A1265" s="79" t="s">
        <v>8540</v>
      </c>
      <c r="B1265" s="79" t="s">
        <v>8556</v>
      </c>
      <c r="C1265" s="79" t="s">
        <v>7311</v>
      </c>
      <c r="D1265" s="79" t="s">
        <v>7312</v>
      </c>
      <c r="E1265" s="79">
        <v>1598</v>
      </c>
      <c r="G1265" s="79" t="s">
        <v>7329</v>
      </c>
      <c r="H1265" s="80">
        <v>5499000</v>
      </c>
    </row>
    <row r="1266" spans="1:8" x14ac:dyDescent="0.2">
      <c r="A1266" s="79" t="s">
        <v>8540</v>
      </c>
      <c r="B1266" s="79" t="s">
        <v>8557</v>
      </c>
      <c r="C1266" s="79" t="s">
        <v>7311</v>
      </c>
      <c r="D1266" s="79" t="s">
        <v>7312</v>
      </c>
      <c r="E1266" s="79">
        <v>1598</v>
      </c>
      <c r="G1266" s="79" t="s">
        <v>7329</v>
      </c>
      <c r="H1266" s="80">
        <v>5999000</v>
      </c>
    </row>
    <row r="1267" spans="1:8" x14ac:dyDescent="0.2">
      <c r="A1267" s="79" t="s">
        <v>8540</v>
      </c>
      <c r="B1267" s="79">
        <v>3008</v>
      </c>
      <c r="C1267" s="79" t="s">
        <v>7335</v>
      </c>
      <c r="D1267" s="79" t="s">
        <v>7312</v>
      </c>
      <c r="E1267" s="79">
        <v>1598</v>
      </c>
      <c r="F1267" s="79" t="s">
        <v>7349</v>
      </c>
      <c r="G1267" s="79" t="s">
        <v>7329</v>
      </c>
      <c r="H1267" s="80">
        <v>5499000</v>
      </c>
    </row>
    <row r="1268" spans="1:8" x14ac:dyDescent="0.2">
      <c r="A1268" s="79" t="s">
        <v>8540</v>
      </c>
      <c r="B1268" s="79">
        <v>4008</v>
      </c>
      <c r="C1268" s="79" t="s">
        <v>7335</v>
      </c>
      <c r="D1268" s="79" t="s">
        <v>7312</v>
      </c>
      <c r="E1268" s="79">
        <v>2000</v>
      </c>
      <c r="F1268" s="79" t="s">
        <v>7349</v>
      </c>
      <c r="G1268" s="79" t="s">
        <v>7313</v>
      </c>
      <c r="H1268" s="80">
        <v>5699000</v>
      </c>
    </row>
    <row r="1269" spans="1:8" x14ac:dyDescent="0.2">
      <c r="A1269" s="79" t="s">
        <v>8540</v>
      </c>
      <c r="B1269" s="79" t="s">
        <v>8558</v>
      </c>
      <c r="C1269" s="79" t="s">
        <v>7335</v>
      </c>
      <c r="D1269" s="79" t="s">
        <v>7312</v>
      </c>
      <c r="E1269" s="79">
        <v>1598</v>
      </c>
      <c r="F1269" s="79" t="s">
        <v>7349</v>
      </c>
      <c r="G1269" s="79" t="s">
        <v>7329</v>
      </c>
      <c r="H1269" s="80">
        <v>4549000</v>
      </c>
    </row>
    <row r="1270" spans="1:8" x14ac:dyDescent="0.2">
      <c r="A1270" s="79" t="s">
        <v>8540</v>
      </c>
      <c r="B1270" s="79" t="s">
        <v>8559</v>
      </c>
      <c r="C1270" s="79" t="s">
        <v>7327</v>
      </c>
      <c r="D1270" s="79" t="s">
        <v>7328</v>
      </c>
      <c r="E1270" s="79">
        <v>1868</v>
      </c>
      <c r="G1270" s="79" t="s">
        <v>7329</v>
      </c>
      <c r="H1270" s="80">
        <v>1700000</v>
      </c>
    </row>
    <row r="1271" spans="1:8" x14ac:dyDescent="0.2">
      <c r="A1271" s="79" t="s">
        <v>8540</v>
      </c>
      <c r="B1271" s="79" t="s">
        <v>8560</v>
      </c>
      <c r="C1271" s="79" t="s">
        <v>7327</v>
      </c>
      <c r="D1271" s="79" t="s">
        <v>7328</v>
      </c>
      <c r="E1271" s="79">
        <v>1868</v>
      </c>
      <c r="G1271" s="79" t="s">
        <v>7329</v>
      </c>
      <c r="H1271" s="80">
        <v>1500000</v>
      </c>
    </row>
    <row r="1272" spans="1:8" x14ac:dyDescent="0.2">
      <c r="A1272" s="79" t="s">
        <v>8540</v>
      </c>
      <c r="B1272" s="79" t="s">
        <v>8561</v>
      </c>
      <c r="C1272" s="79" t="s">
        <v>7327</v>
      </c>
      <c r="D1272" s="79" t="s">
        <v>7312</v>
      </c>
      <c r="E1272" s="79">
        <v>1560</v>
      </c>
      <c r="G1272" s="79" t="s">
        <v>7329</v>
      </c>
      <c r="H1272" s="80">
        <v>3249000</v>
      </c>
    </row>
    <row r="1273" spans="1:8" x14ac:dyDescent="0.2">
      <c r="A1273" s="79" t="s">
        <v>8540</v>
      </c>
      <c r="B1273" s="79" t="s">
        <v>8562</v>
      </c>
      <c r="C1273" s="79" t="s">
        <v>7327</v>
      </c>
      <c r="D1273" s="79" t="s">
        <v>7328</v>
      </c>
      <c r="E1273" s="79">
        <v>1587</v>
      </c>
      <c r="G1273" s="79" t="s">
        <v>7329</v>
      </c>
      <c r="H1273" s="80">
        <v>3299000</v>
      </c>
    </row>
    <row r="1274" spans="1:8" x14ac:dyDescent="0.2">
      <c r="A1274" s="79" t="s">
        <v>8540</v>
      </c>
      <c r="B1274" s="79" t="s">
        <v>7930</v>
      </c>
      <c r="C1274" s="79" t="s">
        <v>7327</v>
      </c>
      <c r="D1274" s="79" t="s">
        <v>7312</v>
      </c>
      <c r="E1274" s="79">
        <v>1587</v>
      </c>
      <c r="G1274" s="79" t="s">
        <v>7329</v>
      </c>
      <c r="H1274" s="80">
        <v>2549000</v>
      </c>
    </row>
    <row r="1275" spans="1:8" x14ac:dyDescent="0.2">
      <c r="A1275" s="79" t="s">
        <v>8540</v>
      </c>
      <c r="B1275" s="79" t="s">
        <v>8563</v>
      </c>
      <c r="C1275" s="79" t="s">
        <v>7327</v>
      </c>
      <c r="D1275" s="79" t="s">
        <v>7328</v>
      </c>
      <c r="E1275" s="79">
        <v>1560</v>
      </c>
      <c r="G1275" s="79" t="s">
        <v>7329</v>
      </c>
      <c r="H1275" s="80">
        <v>2599000</v>
      </c>
    </row>
    <row r="1276" spans="1:8" x14ac:dyDescent="0.2">
      <c r="A1276" s="79" t="s">
        <v>8540</v>
      </c>
      <c r="B1276" s="79" t="s">
        <v>8564</v>
      </c>
      <c r="C1276" s="79" t="s">
        <v>7327</v>
      </c>
      <c r="D1276" s="79" t="s">
        <v>7328</v>
      </c>
      <c r="E1276" s="79">
        <v>1560</v>
      </c>
      <c r="G1276" s="79" t="s">
        <v>7329</v>
      </c>
      <c r="H1276" s="80">
        <v>2925000</v>
      </c>
    </row>
    <row r="1277" spans="1:8" x14ac:dyDescent="0.2">
      <c r="A1277" s="79" t="s">
        <v>8540</v>
      </c>
      <c r="B1277" s="79" t="s">
        <v>8565</v>
      </c>
      <c r="C1277" s="79" t="s">
        <v>7327</v>
      </c>
      <c r="D1277" s="79" t="s">
        <v>7328</v>
      </c>
      <c r="E1277" s="79">
        <v>1560</v>
      </c>
      <c r="G1277" s="79" t="s">
        <v>7329</v>
      </c>
      <c r="H1277" s="80">
        <v>4299000</v>
      </c>
    </row>
    <row r="1278" spans="1:8" x14ac:dyDescent="0.2">
      <c r="A1278" s="79" t="s">
        <v>8540</v>
      </c>
      <c r="B1278" s="79" t="s">
        <v>8566</v>
      </c>
      <c r="C1278" s="79" t="s">
        <v>7327</v>
      </c>
      <c r="D1278" s="79" t="s">
        <v>7328</v>
      </c>
      <c r="E1278" s="79">
        <v>2198</v>
      </c>
      <c r="G1278" s="79" t="s">
        <v>7329</v>
      </c>
      <c r="H1278" s="80">
        <v>4299000</v>
      </c>
    </row>
    <row r="1279" spans="1:8" x14ac:dyDescent="0.2">
      <c r="A1279" s="79" t="s">
        <v>8540</v>
      </c>
      <c r="B1279" s="79" t="s">
        <v>8567</v>
      </c>
      <c r="C1279" s="79" t="s">
        <v>7327</v>
      </c>
      <c r="D1279" s="79" t="s">
        <v>7328</v>
      </c>
      <c r="E1279" s="79">
        <v>2800</v>
      </c>
      <c r="G1279" s="79" t="s">
        <v>7329</v>
      </c>
      <c r="H1279" s="80">
        <v>2764522</v>
      </c>
    </row>
    <row r="1280" spans="1:8" x14ac:dyDescent="0.2">
      <c r="A1280" s="79" t="s">
        <v>8540</v>
      </c>
      <c r="B1280" s="79" t="s">
        <v>8568</v>
      </c>
      <c r="C1280" s="79" t="s">
        <v>7327</v>
      </c>
      <c r="D1280" s="79" t="s">
        <v>7328</v>
      </c>
      <c r="E1280" s="79">
        <v>2198</v>
      </c>
      <c r="G1280" s="79" t="s">
        <v>7329</v>
      </c>
      <c r="H1280" s="80">
        <v>4849000</v>
      </c>
    </row>
    <row r="1281" spans="1:8" x14ac:dyDescent="0.2">
      <c r="A1281" s="79" t="s">
        <v>8540</v>
      </c>
      <c r="B1281" s="79" t="s">
        <v>8569</v>
      </c>
      <c r="C1281" s="79" t="s">
        <v>7327</v>
      </c>
      <c r="D1281" s="79" t="s">
        <v>7328</v>
      </c>
      <c r="E1281" s="79">
        <v>2198</v>
      </c>
      <c r="G1281" s="79" t="s">
        <v>7329</v>
      </c>
      <c r="H1281" s="80">
        <v>12699000</v>
      </c>
    </row>
    <row r="1282" spans="1:8" x14ac:dyDescent="0.2">
      <c r="A1282" s="79" t="s">
        <v>8540</v>
      </c>
      <c r="B1282" s="79">
        <v>607</v>
      </c>
      <c r="C1282" s="79" t="s">
        <v>7335</v>
      </c>
      <c r="D1282" s="79" t="s">
        <v>7312</v>
      </c>
      <c r="E1282" s="79">
        <v>2000</v>
      </c>
      <c r="G1282" s="79" t="s">
        <v>7329</v>
      </c>
      <c r="H1282" s="80">
        <v>5300000</v>
      </c>
    </row>
    <row r="1283" spans="1:8" x14ac:dyDescent="0.2">
      <c r="A1283" s="79" t="s">
        <v>8540</v>
      </c>
      <c r="B1283" s="79">
        <v>607</v>
      </c>
      <c r="C1283" s="79" t="s">
        <v>7335</v>
      </c>
      <c r="D1283" s="79" t="s">
        <v>7312</v>
      </c>
      <c r="E1283" s="79">
        <v>2000</v>
      </c>
      <c r="G1283" s="79" t="s">
        <v>7329</v>
      </c>
      <c r="H1283" s="80">
        <v>5400000</v>
      </c>
    </row>
    <row r="1284" spans="1:8" x14ac:dyDescent="0.2">
      <c r="A1284" s="79" t="s">
        <v>8570</v>
      </c>
      <c r="B1284" s="79" t="s">
        <v>8571</v>
      </c>
      <c r="C1284" s="79" t="s">
        <v>8572</v>
      </c>
      <c r="D1284" s="79" t="s">
        <v>7312</v>
      </c>
      <c r="E1284" s="79">
        <v>1988</v>
      </c>
      <c r="G1284" s="79" t="s">
        <v>7329</v>
      </c>
      <c r="H1284" s="80">
        <v>10253332.800000001</v>
      </c>
    </row>
    <row r="1285" spans="1:8" x14ac:dyDescent="0.2">
      <c r="A1285" s="79" t="s">
        <v>8570</v>
      </c>
      <c r="B1285" s="79" t="s">
        <v>8573</v>
      </c>
      <c r="C1285" s="79" t="s">
        <v>7407</v>
      </c>
      <c r="D1285" s="79" t="s">
        <v>7312</v>
      </c>
      <c r="E1285" s="79">
        <v>2893</v>
      </c>
      <c r="G1285" s="79" t="s">
        <v>7329</v>
      </c>
      <c r="H1285" s="80">
        <v>7721077</v>
      </c>
    </row>
    <row r="1286" spans="1:8" x14ac:dyDescent="0.2">
      <c r="A1286" s="79" t="s">
        <v>8570</v>
      </c>
      <c r="B1286" s="79" t="s">
        <v>8574</v>
      </c>
      <c r="C1286" s="79" t="s">
        <v>7407</v>
      </c>
      <c r="D1286" s="79" t="s">
        <v>7312</v>
      </c>
      <c r="E1286" s="79">
        <v>3436</v>
      </c>
      <c r="G1286" s="79" t="s">
        <v>7329</v>
      </c>
      <c r="H1286" s="80">
        <v>10192665.119999999</v>
      </c>
    </row>
    <row r="1287" spans="1:8" x14ac:dyDescent="0.2">
      <c r="A1287" s="79" t="s">
        <v>8570</v>
      </c>
      <c r="B1287" s="79" t="s">
        <v>8575</v>
      </c>
      <c r="C1287" s="79" t="s">
        <v>7407</v>
      </c>
      <c r="D1287" s="79" t="s">
        <v>7312</v>
      </c>
      <c r="E1287" s="79">
        <v>3436</v>
      </c>
      <c r="G1287" s="79" t="s">
        <v>7329</v>
      </c>
      <c r="H1287" s="80">
        <v>10755019.060000001</v>
      </c>
    </row>
    <row r="1288" spans="1:8" x14ac:dyDescent="0.2">
      <c r="A1288" s="79" t="s">
        <v>8570</v>
      </c>
      <c r="B1288" s="79" t="s">
        <v>8576</v>
      </c>
      <c r="C1288" s="79" t="s">
        <v>7320</v>
      </c>
      <c r="D1288" s="79" t="s">
        <v>7312</v>
      </c>
      <c r="E1288" s="79">
        <v>1988</v>
      </c>
      <c r="G1288" s="79" t="s">
        <v>7329</v>
      </c>
      <c r="H1288" s="80">
        <v>9909676.8000000007</v>
      </c>
    </row>
    <row r="1289" spans="1:8" x14ac:dyDescent="0.2">
      <c r="A1289" s="79" t="s">
        <v>8570</v>
      </c>
      <c r="B1289" s="79" t="s">
        <v>8577</v>
      </c>
      <c r="C1289" s="79" t="s">
        <v>7407</v>
      </c>
      <c r="D1289" s="79" t="s">
        <v>7312</v>
      </c>
      <c r="E1289" s="79">
        <v>2893</v>
      </c>
      <c r="G1289" s="79" t="s">
        <v>7329</v>
      </c>
      <c r="H1289" s="80">
        <v>8337466</v>
      </c>
    </row>
    <row r="1290" spans="1:8" x14ac:dyDescent="0.2">
      <c r="A1290" s="79" t="s">
        <v>8570</v>
      </c>
      <c r="B1290" s="79" t="s">
        <v>8578</v>
      </c>
      <c r="C1290" s="79" t="s">
        <v>7407</v>
      </c>
      <c r="D1290" s="79" t="s">
        <v>7312</v>
      </c>
      <c r="E1290" s="79">
        <v>3436</v>
      </c>
      <c r="G1290" s="79" t="s">
        <v>7329</v>
      </c>
      <c r="H1290" s="80">
        <v>10807739.470000001</v>
      </c>
    </row>
    <row r="1291" spans="1:8" x14ac:dyDescent="0.2">
      <c r="A1291" s="79" t="s">
        <v>8570</v>
      </c>
      <c r="B1291" s="79" t="s">
        <v>8579</v>
      </c>
      <c r="C1291" s="79" t="s">
        <v>7407</v>
      </c>
      <c r="D1291" s="79" t="s">
        <v>7312</v>
      </c>
      <c r="E1291" s="79">
        <v>3436</v>
      </c>
      <c r="G1291" s="79" t="s">
        <v>7329</v>
      </c>
      <c r="H1291" s="80">
        <v>11651270.369999999</v>
      </c>
    </row>
    <row r="1292" spans="1:8" x14ac:dyDescent="0.2">
      <c r="A1292" s="79" t="s">
        <v>8570</v>
      </c>
      <c r="B1292" s="79" t="s">
        <v>8580</v>
      </c>
      <c r="C1292" s="79" t="s">
        <v>7320</v>
      </c>
      <c r="D1292" s="79" t="s">
        <v>7312</v>
      </c>
      <c r="E1292" s="79">
        <v>2981</v>
      </c>
      <c r="G1292" s="79" t="s">
        <v>7329</v>
      </c>
      <c r="H1292" s="80">
        <v>15837588</v>
      </c>
    </row>
    <row r="1293" spans="1:8" x14ac:dyDescent="0.2">
      <c r="A1293" s="79" t="s">
        <v>8570</v>
      </c>
      <c r="B1293" s="79" t="s">
        <v>8581</v>
      </c>
      <c r="C1293" s="79" t="s">
        <v>7407</v>
      </c>
      <c r="D1293" s="79" t="s">
        <v>7312</v>
      </c>
      <c r="E1293" s="79">
        <v>3800</v>
      </c>
      <c r="G1293" s="79" t="s">
        <v>7329</v>
      </c>
      <c r="H1293" s="80">
        <v>18483887.399999999</v>
      </c>
    </row>
    <row r="1294" spans="1:8" x14ac:dyDescent="0.2">
      <c r="A1294" s="79" t="s">
        <v>8570</v>
      </c>
      <c r="B1294" s="79" t="s">
        <v>8582</v>
      </c>
      <c r="C1294" s="79" t="s">
        <v>7407</v>
      </c>
      <c r="D1294" s="79" t="s">
        <v>7312</v>
      </c>
      <c r="E1294" s="79">
        <v>3614</v>
      </c>
      <c r="G1294" s="79" t="s">
        <v>7329</v>
      </c>
      <c r="H1294" s="80">
        <v>18371863.84</v>
      </c>
    </row>
    <row r="1295" spans="1:8" x14ac:dyDescent="0.2">
      <c r="A1295" s="79" t="s">
        <v>8570</v>
      </c>
      <c r="B1295" s="79" t="s">
        <v>8583</v>
      </c>
      <c r="C1295" s="79" t="s">
        <v>7407</v>
      </c>
      <c r="D1295" s="79" t="s">
        <v>7312</v>
      </c>
      <c r="E1295" s="79">
        <v>3800</v>
      </c>
      <c r="G1295" s="79" t="s">
        <v>7329</v>
      </c>
      <c r="H1295" s="80">
        <v>20552514.460000001</v>
      </c>
    </row>
    <row r="1296" spans="1:8" x14ac:dyDescent="0.2">
      <c r="A1296" s="79" t="s">
        <v>8570</v>
      </c>
      <c r="B1296" s="79" t="s">
        <v>8584</v>
      </c>
      <c r="C1296" s="79" t="s">
        <v>7407</v>
      </c>
      <c r="D1296" s="79" t="s">
        <v>7312</v>
      </c>
      <c r="E1296" s="79">
        <v>3614</v>
      </c>
      <c r="G1296" s="79" t="s">
        <v>7329</v>
      </c>
      <c r="H1296" s="80">
        <v>18085755.670000002</v>
      </c>
    </row>
    <row r="1297" spans="1:8" x14ac:dyDescent="0.2">
      <c r="A1297" s="79" t="s">
        <v>8570</v>
      </c>
      <c r="B1297" s="79" t="s">
        <v>8585</v>
      </c>
      <c r="C1297" s="79" t="s">
        <v>7407</v>
      </c>
      <c r="D1297" s="79" t="s">
        <v>7312</v>
      </c>
      <c r="E1297" s="79">
        <v>3800</v>
      </c>
      <c r="G1297" s="79" t="s">
        <v>7329</v>
      </c>
      <c r="H1297" s="80">
        <v>20077422.539999999</v>
      </c>
    </row>
    <row r="1298" spans="1:8" x14ac:dyDescent="0.2">
      <c r="A1298" s="79" t="s">
        <v>8206</v>
      </c>
      <c r="B1298" s="79" t="s">
        <v>8586</v>
      </c>
      <c r="C1298" s="79" t="s">
        <v>7311</v>
      </c>
      <c r="D1298" s="79" t="s">
        <v>7312</v>
      </c>
      <c r="E1298" s="79">
        <v>3200</v>
      </c>
      <c r="F1298" s="79" t="s">
        <v>7349</v>
      </c>
      <c r="G1298" s="79" t="s">
        <v>7329</v>
      </c>
      <c r="H1298" s="80">
        <v>9865521.6600000001</v>
      </c>
    </row>
    <row r="1299" spans="1:8" x14ac:dyDescent="0.2">
      <c r="A1299" s="79" t="s">
        <v>8206</v>
      </c>
      <c r="B1299" s="79" t="s">
        <v>8587</v>
      </c>
      <c r="C1299" s="79" t="s">
        <v>7311</v>
      </c>
      <c r="D1299" s="79" t="s">
        <v>7312</v>
      </c>
      <c r="E1299" s="79">
        <v>3500</v>
      </c>
      <c r="F1299" s="79" t="s">
        <v>7349</v>
      </c>
      <c r="G1299" s="79" t="s">
        <v>7329</v>
      </c>
      <c r="H1299" s="80">
        <v>10292300</v>
      </c>
    </row>
    <row r="1300" spans="1:8" x14ac:dyDescent="0.2">
      <c r="A1300" s="79" t="s">
        <v>8206</v>
      </c>
      <c r="B1300" s="79" t="s">
        <v>8588</v>
      </c>
      <c r="C1300" s="79" t="s">
        <v>7311</v>
      </c>
      <c r="D1300" s="79" t="s">
        <v>7328</v>
      </c>
      <c r="E1300" s="79">
        <v>3000</v>
      </c>
      <c r="F1300" s="79" t="s">
        <v>7349</v>
      </c>
      <c r="G1300" s="79" t="s">
        <v>7329</v>
      </c>
      <c r="H1300" s="80">
        <v>10130796.48</v>
      </c>
    </row>
    <row r="1301" spans="1:8" x14ac:dyDescent="0.2">
      <c r="A1301" s="79" t="s">
        <v>8206</v>
      </c>
      <c r="B1301" s="79" t="s">
        <v>8589</v>
      </c>
      <c r="C1301" s="79" t="s">
        <v>7311</v>
      </c>
      <c r="D1301" s="79" t="s">
        <v>7312</v>
      </c>
      <c r="E1301" s="79">
        <v>5461</v>
      </c>
      <c r="G1301" s="79" t="s">
        <v>7329</v>
      </c>
      <c r="H1301" s="80">
        <v>17009380</v>
      </c>
    </row>
    <row r="1302" spans="1:8" x14ac:dyDescent="0.2">
      <c r="A1302" s="79" t="s">
        <v>8206</v>
      </c>
      <c r="B1302" s="79" t="s">
        <v>8590</v>
      </c>
      <c r="C1302" s="79" t="s">
        <v>7320</v>
      </c>
      <c r="D1302" s="79" t="s">
        <v>7328</v>
      </c>
      <c r="E1302" s="79">
        <v>3500</v>
      </c>
      <c r="G1302" s="79" t="s">
        <v>7329</v>
      </c>
      <c r="H1302" s="80">
        <v>18688650</v>
      </c>
    </row>
    <row r="1303" spans="1:8" x14ac:dyDescent="0.2">
      <c r="A1303" s="79" t="s">
        <v>8206</v>
      </c>
      <c r="B1303" s="79" t="s">
        <v>8591</v>
      </c>
      <c r="C1303" s="79" t="s">
        <v>7311</v>
      </c>
      <c r="D1303" s="79" t="s">
        <v>7312</v>
      </c>
      <c r="E1303" s="79">
        <v>5500</v>
      </c>
      <c r="F1303" s="79" t="s">
        <v>7349</v>
      </c>
      <c r="G1303" s="79" t="s">
        <v>7313</v>
      </c>
      <c r="H1303" s="80">
        <v>15600960</v>
      </c>
    </row>
    <row r="1304" spans="1:8" x14ac:dyDescent="0.2">
      <c r="A1304" s="79" t="s">
        <v>8206</v>
      </c>
      <c r="B1304" s="79" t="s">
        <v>8592</v>
      </c>
      <c r="C1304" s="79" t="s">
        <v>7335</v>
      </c>
      <c r="D1304" s="79" t="s">
        <v>7312</v>
      </c>
      <c r="E1304" s="79">
        <v>5500</v>
      </c>
      <c r="F1304" s="79" t="s">
        <v>7349</v>
      </c>
      <c r="G1304" s="79" t="s">
        <v>7313</v>
      </c>
      <c r="H1304" s="80">
        <v>13174144</v>
      </c>
    </row>
    <row r="1305" spans="1:8" x14ac:dyDescent="0.2">
      <c r="A1305" s="79" t="s">
        <v>8206</v>
      </c>
      <c r="B1305" s="79" t="s">
        <v>8593</v>
      </c>
      <c r="C1305" s="79" t="s">
        <v>7311</v>
      </c>
      <c r="D1305" s="79" t="s">
        <v>7312</v>
      </c>
      <c r="E1305" s="79">
        <v>6200</v>
      </c>
      <c r="F1305" s="79" t="s">
        <v>7349</v>
      </c>
      <c r="G1305" s="79" t="s">
        <v>7313</v>
      </c>
      <c r="H1305" s="80">
        <v>17585748.800000001</v>
      </c>
    </row>
    <row r="1306" spans="1:8" x14ac:dyDescent="0.2">
      <c r="A1306" s="79" t="s">
        <v>8206</v>
      </c>
      <c r="B1306" s="79" t="s">
        <v>8594</v>
      </c>
      <c r="C1306" s="79" t="s">
        <v>7335</v>
      </c>
      <c r="D1306" s="79" t="s">
        <v>7328</v>
      </c>
      <c r="E1306" s="79">
        <v>2987</v>
      </c>
      <c r="G1306" s="79" t="s">
        <v>7313</v>
      </c>
      <c r="H1306" s="80">
        <v>21996000</v>
      </c>
    </row>
    <row r="1307" spans="1:8" x14ac:dyDescent="0.2">
      <c r="A1307" s="79" t="s">
        <v>8206</v>
      </c>
      <c r="B1307" s="79" t="s">
        <v>8595</v>
      </c>
      <c r="C1307" s="79" t="s">
        <v>7335</v>
      </c>
      <c r="D1307" s="79" t="s">
        <v>7328</v>
      </c>
      <c r="E1307" s="79">
        <v>2987</v>
      </c>
      <c r="G1307" s="79" t="s">
        <v>7313</v>
      </c>
      <c r="H1307" s="80">
        <v>10736385.66</v>
      </c>
    </row>
    <row r="1308" spans="1:8" x14ac:dyDescent="0.2">
      <c r="A1308" s="79" t="s">
        <v>8206</v>
      </c>
      <c r="B1308" s="79" t="s">
        <v>8596</v>
      </c>
      <c r="C1308" s="79" t="s">
        <v>7335</v>
      </c>
      <c r="D1308" s="79" t="s">
        <v>7328</v>
      </c>
      <c r="E1308" s="79">
        <v>3000</v>
      </c>
      <c r="G1308" s="79" t="s">
        <v>7313</v>
      </c>
      <c r="H1308" s="80">
        <v>17862523.91</v>
      </c>
    </row>
    <row r="1309" spans="1:8" x14ac:dyDescent="0.2">
      <c r="A1309" s="79" t="s">
        <v>8206</v>
      </c>
      <c r="B1309" s="79" t="s">
        <v>8597</v>
      </c>
      <c r="C1309" s="79" t="s">
        <v>7335</v>
      </c>
      <c r="D1309" s="79" t="s">
        <v>7328</v>
      </c>
      <c r="E1309" s="79">
        <v>4000</v>
      </c>
      <c r="G1309" s="79" t="s">
        <v>7313</v>
      </c>
      <c r="H1309" s="80">
        <v>14376718</v>
      </c>
    </row>
    <row r="1310" spans="1:8" x14ac:dyDescent="0.2">
      <c r="A1310" s="79" t="s">
        <v>8206</v>
      </c>
      <c r="B1310" s="79" t="s">
        <v>8598</v>
      </c>
      <c r="C1310" s="79" t="s">
        <v>7335</v>
      </c>
      <c r="D1310" s="79" t="s">
        <v>7328</v>
      </c>
      <c r="E1310" s="79">
        <v>4600</v>
      </c>
      <c r="G1310" s="79" t="s">
        <v>7313</v>
      </c>
      <c r="H1310" s="80">
        <v>15059260</v>
      </c>
    </row>
    <row r="1311" spans="1:8" x14ac:dyDescent="0.2">
      <c r="A1311" s="79" t="s">
        <v>8206</v>
      </c>
      <c r="B1311" s="79" t="s">
        <v>8599</v>
      </c>
      <c r="C1311" s="79" t="s">
        <v>7335</v>
      </c>
      <c r="D1311" s="79" t="s">
        <v>7328</v>
      </c>
      <c r="E1311" s="79">
        <v>5500</v>
      </c>
      <c r="G1311" s="79" t="s">
        <v>7313</v>
      </c>
      <c r="H1311" s="80">
        <v>15808573.029999999</v>
      </c>
    </row>
    <row r="1312" spans="1:8" x14ac:dyDescent="0.2">
      <c r="A1312" s="79" t="s">
        <v>8206</v>
      </c>
      <c r="B1312" s="79" t="s">
        <v>8600</v>
      </c>
      <c r="C1312" s="79" t="s">
        <v>7311</v>
      </c>
      <c r="D1312" s="79" t="s">
        <v>7328</v>
      </c>
      <c r="E1312" s="79">
        <v>2143</v>
      </c>
      <c r="G1312" s="79" t="s">
        <v>7313</v>
      </c>
      <c r="H1312" s="80">
        <v>7846814</v>
      </c>
    </row>
    <row r="1313" spans="1:8" x14ac:dyDescent="0.2">
      <c r="A1313" s="79" t="s">
        <v>8206</v>
      </c>
      <c r="B1313" s="79" t="s">
        <v>8601</v>
      </c>
      <c r="C1313" s="79" t="s">
        <v>7335</v>
      </c>
      <c r="D1313" s="79" t="s">
        <v>7312</v>
      </c>
      <c r="E1313" s="79">
        <v>1991</v>
      </c>
      <c r="G1313" s="79" t="s">
        <v>7313</v>
      </c>
      <c r="H1313" s="80">
        <v>7895666</v>
      </c>
    </row>
    <row r="1314" spans="1:8" x14ac:dyDescent="0.2">
      <c r="A1314" s="79" t="s">
        <v>8206</v>
      </c>
      <c r="B1314" s="79" t="s">
        <v>8602</v>
      </c>
      <c r="C1314" s="79" t="s">
        <v>7335</v>
      </c>
      <c r="D1314" s="79" t="s">
        <v>7312</v>
      </c>
      <c r="E1314" s="79">
        <v>1991</v>
      </c>
      <c r="G1314" s="79" t="s">
        <v>7313</v>
      </c>
      <c r="H1314" s="80">
        <v>10301615</v>
      </c>
    </row>
    <row r="1315" spans="1:8" x14ac:dyDescent="0.2">
      <c r="A1315" s="79" t="s">
        <v>8206</v>
      </c>
      <c r="B1315" s="79" t="s">
        <v>8603</v>
      </c>
      <c r="C1315" s="79" t="s">
        <v>7320</v>
      </c>
      <c r="D1315" s="79" t="s">
        <v>7312</v>
      </c>
      <c r="E1315" s="79">
        <v>1991</v>
      </c>
      <c r="G1315" s="79" t="s">
        <v>7313</v>
      </c>
      <c r="H1315" s="80">
        <v>10518300</v>
      </c>
    </row>
    <row r="1316" spans="1:8" x14ac:dyDescent="0.2">
      <c r="A1316" s="79" t="s">
        <v>8206</v>
      </c>
      <c r="B1316" s="79" t="s">
        <v>8604</v>
      </c>
      <c r="C1316" s="79" t="s">
        <v>7335</v>
      </c>
      <c r="D1316" s="79" t="s">
        <v>7312</v>
      </c>
      <c r="E1316" s="79">
        <v>2996</v>
      </c>
      <c r="G1316" s="79" t="s">
        <v>7313</v>
      </c>
      <c r="H1316" s="80">
        <v>14800500</v>
      </c>
    </row>
    <row r="1317" spans="1:8" x14ac:dyDescent="0.2">
      <c r="A1317" s="79" t="s">
        <v>8206</v>
      </c>
      <c r="B1317" s="79" t="s">
        <v>8605</v>
      </c>
      <c r="C1317" s="79" t="s">
        <v>7320</v>
      </c>
      <c r="D1317" s="79" t="s">
        <v>7312</v>
      </c>
      <c r="E1317" s="79">
        <v>2996</v>
      </c>
      <c r="G1317" s="79" t="s">
        <v>7313</v>
      </c>
      <c r="H1317" s="80">
        <v>14180400</v>
      </c>
    </row>
    <row r="1318" spans="1:8" x14ac:dyDescent="0.2">
      <c r="A1318" s="79" t="s">
        <v>8206</v>
      </c>
      <c r="B1318" s="79" t="s">
        <v>8606</v>
      </c>
      <c r="C1318" s="79" t="s">
        <v>7335</v>
      </c>
      <c r="D1318" s="79" t="s">
        <v>7328</v>
      </c>
      <c r="E1318" s="79">
        <v>2987</v>
      </c>
      <c r="G1318" s="79" t="s">
        <v>7313</v>
      </c>
      <c r="H1318" s="80">
        <v>18954000</v>
      </c>
    </row>
    <row r="1319" spans="1:8" x14ac:dyDescent="0.2">
      <c r="A1319" s="79" t="s">
        <v>8206</v>
      </c>
      <c r="B1319" s="79" t="s">
        <v>8607</v>
      </c>
      <c r="C1319" s="79" t="s">
        <v>7335</v>
      </c>
      <c r="D1319" s="79" t="s">
        <v>7312</v>
      </c>
      <c r="E1319" s="79">
        <v>4663</v>
      </c>
      <c r="G1319" s="79" t="s">
        <v>7313</v>
      </c>
      <c r="H1319" s="80">
        <v>22230000</v>
      </c>
    </row>
    <row r="1320" spans="1:8" x14ac:dyDescent="0.2">
      <c r="A1320" s="79" t="s">
        <v>8206</v>
      </c>
      <c r="B1320" s="79" t="s">
        <v>8608</v>
      </c>
      <c r="C1320" s="79" t="s">
        <v>7311</v>
      </c>
      <c r="D1320" s="79" t="s">
        <v>7312</v>
      </c>
      <c r="E1320" s="79">
        <v>2800</v>
      </c>
      <c r="G1320" s="79" t="s">
        <v>7329</v>
      </c>
      <c r="H1320" s="80">
        <v>8288977</v>
      </c>
    </row>
    <row r="1321" spans="1:8" x14ac:dyDescent="0.2">
      <c r="A1321" s="79" t="s">
        <v>8206</v>
      </c>
      <c r="B1321" s="79" t="s">
        <v>8609</v>
      </c>
      <c r="C1321" s="79" t="s">
        <v>7311</v>
      </c>
      <c r="D1321" s="79" t="s">
        <v>7312</v>
      </c>
      <c r="E1321" s="79">
        <v>3200</v>
      </c>
      <c r="F1321" s="79" t="s">
        <v>7336</v>
      </c>
      <c r="G1321" s="79" t="s">
        <v>7329</v>
      </c>
      <c r="H1321" s="80">
        <v>11451843.52</v>
      </c>
    </row>
    <row r="1322" spans="1:8" x14ac:dyDescent="0.2">
      <c r="A1322" s="79" t="s">
        <v>8206</v>
      </c>
      <c r="B1322" s="79" t="s">
        <v>8609</v>
      </c>
      <c r="C1322" s="79" t="s">
        <v>7311</v>
      </c>
      <c r="D1322" s="79" t="s">
        <v>7312</v>
      </c>
      <c r="E1322" s="79">
        <v>3200</v>
      </c>
      <c r="F1322" s="79" t="s">
        <v>7349</v>
      </c>
      <c r="G1322" s="79" t="s">
        <v>7329</v>
      </c>
      <c r="H1322" s="80">
        <v>11820529.960000001</v>
      </c>
    </row>
    <row r="1323" spans="1:8" x14ac:dyDescent="0.2">
      <c r="A1323" s="79" t="s">
        <v>8206</v>
      </c>
      <c r="B1323" s="79" t="s">
        <v>8610</v>
      </c>
      <c r="C1323" s="79" t="s">
        <v>7311</v>
      </c>
      <c r="D1323" s="79" t="s">
        <v>7312</v>
      </c>
      <c r="E1323" s="79">
        <v>3200</v>
      </c>
      <c r="G1323" s="79" t="s">
        <v>7329</v>
      </c>
      <c r="H1323" s="80">
        <v>12230588.189999999</v>
      </c>
    </row>
    <row r="1324" spans="1:8" x14ac:dyDescent="0.2">
      <c r="A1324" s="79" t="s">
        <v>8206</v>
      </c>
      <c r="B1324" s="79" t="s">
        <v>8611</v>
      </c>
      <c r="C1324" s="79" t="s">
        <v>7311</v>
      </c>
      <c r="D1324" s="79" t="s">
        <v>7312</v>
      </c>
      <c r="E1324" s="79">
        <v>3499</v>
      </c>
      <c r="G1324" s="79" t="s">
        <v>7329</v>
      </c>
      <c r="H1324" s="80">
        <v>14316350.949999999</v>
      </c>
    </row>
    <row r="1325" spans="1:8" x14ac:dyDescent="0.2">
      <c r="A1325" s="79" t="s">
        <v>8206</v>
      </c>
      <c r="B1325" s="79" t="s">
        <v>8611</v>
      </c>
      <c r="C1325" s="79" t="s">
        <v>7311</v>
      </c>
      <c r="D1325" s="79" t="s">
        <v>7312</v>
      </c>
      <c r="E1325" s="79">
        <v>3724</v>
      </c>
      <c r="G1325" s="79" t="s">
        <v>7329</v>
      </c>
      <c r="H1325" s="80">
        <v>15134428.460000001</v>
      </c>
    </row>
    <row r="1326" spans="1:8" x14ac:dyDescent="0.2">
      <c r="A1326" s="79" t="s">
        <v>8206</v>
      </c>
      <c r="B1326" s="79" t="s">
        <v>8612</v>
      </c>
      <c r="C1326" s="79" t="s">
        <v>7311</v>
      </c>
      <c r="D1326" s="79" t="s">
        <v>7328</v>
      </c>
      <c r="E1326" s="79">
        <v>3000</v>
      </c>
      <c r="G1326" s="79" t="s">
        <v>7329</v>
      </c>
      <c r="H1326" s="80">
        <v>15831834</v>
      </c>
    </row>
    <row r="1327" spans="1:8" x14ac:dyDescent="0.2">
      <c r="A1327" s="79" t="s">
        <v>8206</v>
      </c>
      <c r="B1327" s="79" t="s">
        <v>8613</v>
      </c>
      <c r="C1327" s="79" t="s">
        <v>7311</v>
      </c>
      <c r="D1327" s="79" t="s">
        <v>7312</v>
      </c>
      <c r="E1327" s="79">
        <v>3500</v>
      </c>
      <c r="G1327" s="79" t="s">
        <v>7329</v>
      </c>
      <c r="H1327" s="80">
        <v>17022479.390000001</v>
      </c>
    </row>
    <row r="1328" spans="1:8" x14ac:dyDescent="0.2">
      <c r="A1328" s="79" t="s">
        <v>8206</v>
      </c>
      <c r="B1328" s="79" t="s">
        <v>8614</v>
      </c>
      <c r="C1328" s="79" t="s">
        <v>7311</v>
      </c>
      <c r="D1328" s="79" t="s">
        <v>7312</v>
      </c>
      <c r="E1328" s="79">
        <v>4200</v>
      </c>
      <c r="G1328" s="79" t="s">
        <v>7329</v>
      </c>
      <c r="H1328" s="80">
        <v>14661343.43</v>
      </c>
    </row>
    <row r="1329" spans="1:8" x14ac:dyDescent="0.2">
      <c r="A1329" s="79" t="s">
        <v>8206</v>
      </c>
      <c r="B1329" s="79" t="s">
        <v>8615</v>
      </c>
      <c r="C1329" s="79" t="s">
        <v>7311</v>
      </c>
      <c r="D1329" s="79" t="s">
        <v>7312</v>
      </c>
      <c r="E1329" s="79">
        <v>5000</v>
      </c>
      <c r="F1329" s="79" t="s">
        <v>7349</v>
      </c>
      <c r="G1329" s="79" t="s">
        <v>7329</v>
      </c>
      <c r="H1329" s="80">
        <v>16259214.34</v>
      </c>
    </row>
    <row r="1330" spans="1:8" x14ac:dyDescent="0.2">
      <c r="A1330" s="79" t="s">
        <v>8206</v>
      </c>
      <c r="B1330" s="79" t="s">
        <v>8616</v>
      </c>
      <c r="C1330" s="79" t="s">
        <v>7311</v>
      </c>
      <c r="D1330" s="79" t="s">
        <v>7312</v>
      </c>
      <c r="E1330" s="79">
        <v>4600</v>
      </c>
      <c r="G1330" s="79" t="s">
        <v>7329</v>
      </c>
      <c r="H1330" s="80">
        <v>17513600.859999999</v>
      </c>
    </row>
    <row r="1331" spans="1:8" x14ac:dyDescent="0.2">
      <c r="A1331" s="79" t="s">
        <v>8206</v>
      </c>
      <c r="B1331" s="79" t="s">
        <v>8617</v>
      </c>
      <c r="C1331" s="79" t="s">
        <v>7311</v>
      </c>
      <c r="D1331" s="79" t="s">
        <v>7312</v>
      </c>
      <c r="E1331" s="79">
        <v>5500</v>
      </c>
      <c r="G1331" s="79" t="s">
        <v>7329</v>
      </c>
      <c r="H1331" s="80">
        <v>29559993.710000001</v>
      </c>
    </row>
    <row r="1332" spans="1:8" x14ac:dyDescent="0.2">
      <c r="A1332" s="79" t="s">
        <v>8206</v>
      </c>
      <c r="B1332" s="79" t="s">
        <v>8618</v>
      </c>
      <c r="C1332" s="79" t="s">
        <v>7311</v>
      </c>
      <c r="D1332" s="79" t="s">
        <v>7312</v>
      </c>
      <c r="E1332" s="79">
        <v>5500</v>
      </c>
      <c r="G1332" s="79" t="s">
        <v>7329</v>
      </c>
      <c r="H1332" s="80">
        <v>25816345.100000001</v>
      </c>
    </row>
    <row r="1333" spans="1:8" x14ac:dyDescent="0.2">
      <c r="A1333" s="79" t="s">
        <v>8206</v>
      </c>
      <c r="B1333" s="79" t="s">
        <v>8619</v>
      </c>
      <c r="C1333" s="79" t="s">
        <v>7311</v>
      </c>
      <c r="D1333" s="79" t="s">
        <v>7312</v>
      </c>
      <c r="E1333" s="79">
        <v>6000</v>
      </c>
      <c r="G1333" s="79" t="s">
        <v>7329</v>
      </c>
      <c r="H1333" s="80">
        <v>39085909.560000002</v>
      </c>
    </row>
    <row r="1334" spans="1:8" x14ac:dyDescent="0.2">
      <c r="A1334" s="79" t="s">
        <v>8206</v>
      </c>
      <c r="B1334" s="79" t="s">
        <v>8620</v>
      </c>
      <c r="C1334" s="79" t="s">
        <v>7320</v>
      </c>
      <c r="D1334" s="79" t="s">
        <v>7312</v>
      </c>
      <c r="E1334" s="79">
        <v>4200</v>
      </c>
      <c r="G1334" s="79" t="s">
        <v>7329</v>
      </c>
      <c r="H1334" s="80">
        <v>17696346.609999999</v>
      </c>
    </row>
    <row r="1335" spans="1:8" x14ac:dyDescent="0.2">
      <c r="A1335" s="79" t="s">
        <v>8206</v>
      </c>
      <c r="B1335" s="79" t="s">
        <v>8621</v>
      </c>
      <c r="C1335" s="79" t="s">
        <v>7320</v>
      </c>
      <c r="D1335" s="79" t="s">
        <v>7312</v>
      </c>
      <c r="E1335" s="79">
        <v>5000</v>
      </c>
      <c r="G1335" s="79" t="s">
        <v>7329</v>
      </c>
      <c r="H1335" s="80">
        <v>18356396.140000001</v>
      </c>
    </row>
    <row r="1336" spans="1:8" x14ac:dyDescent="0.2">
      <c r="A1336" s="79" t="s">
        <v>8206</v>
      </c>
      <c r="B1336" s="79" t="s">
        <v>8622</v>
      </c>
      <c r="C1336" s="79" t="s">
        <v>7320</v>
      </c>
      <c r="D1336" s="79" t="s">
        <v>7312</v>
      </c>
      <c r="E1336" s="79">
        <v>6000</v>
      </c>
      <c r="G1336" s="79" t="s">
        <v>7329</v>
      </c>
      <c r="H1336" s="80">
        <v>23563937</v>
      </c>
    </row>
    <row r="1337" spans="1:8" x14ac:dyDescent="0.2">
      <c r="A1337" s="79" t="s">
        <v>8206</v>
      </c>
      <c r="B1337" s="79" t="s">
        <v>8623</v>
      </c>
      <c r="C1337" s="79" t="s">
        <v>7320</v>
      </c>
      <c r="D1337" s="79" t="s">
        <v>7312</v>
      </c>
      <c r="E1337" s="79">
        <v>2300</v>
      </c>
      <c r="G1337" s="79" t="s">
        <v>7329</v>
      </c>
      <c r="H1337" s="80">
        <v>5880149</v>
      </c>
    </row>
    <row r="1338" spans="1:8" x14ac:dyDescent="0.2">
      <c r="A1338" s="79" t="s">
        <v>8206</v>
      </c>
      <c r="B1338" s="79" t="s">
        <v>8624</v>
      </c>
      <c r="C1338" s="79" t="s">
        <v>7320</v>
      </c>
      <c r="D1338" s="79" t="s">
        <v>7312</v>
      </c>
      <c r="E1338" s="79">
        <v>3200</v>
      </c>
      <c r="G1338" s="79" t="s">
        <v>7329</v>
      </c>
      <c r="H1338" s="80">
        <v>8853798.3200000003</v>
      </c>
    </row>
    <row r="1339" spans="1:8" x14ac:dyDescent="0.2">
      <c r="A1339" s="79" t="s">
        <v>8206</v>
      </c>
      <c r="B1339" s="79" t="s">
        <v>8625</v>
      </c>
      <c r="C1339" s="79" t="s">
        <v>8626</v>
      </c>
      <c r="D1339" s="79" t="s">
        <v>7328</v>
      </c>
      <c r="E1339" s="79">
        <v>2500</v>
      </c>
      <c r="F1339" s="79" t="s">
        <v>7349</v>
      </c>
      <c r="G1339" s="79" t="s">
        <v>7329</v>
      </c>
      <c r="H1339" s="80">
        <v>9141000</v>
      </c>
    </row>
    <row r="1340" spans="1:8" x14ac:dyDescent="0.2">
      <c r="A1340" s="79" t="s">
        <v>8206</v>
      </c>
      <c r="B1340" s="79" t="s">
        <v>8627</v>
      </c>
      <c r="C1340" s="79" t="s">
        <v>7320</v>
      </c>
      <c r="D1340" s="79" t="s">
        <v>7328</v>
      </c>
      <c r="E1340" s="79">
        <v>2987</v>
      </c>
      <c r="G1340" s="79" t="s">
        <v>7329</v>
      </c>
      <c r="H1340" s="80">
        <v>10629064.060000001</v>
      </c>
    </row>
    <row r="1341" spans="1:8" x14ac:dyDescent="0.2">
      <c r="A1341" s="79" t="s">
        <v>8206</v>
      </c>
      <c r="B1341" s="79" t="s">
        <v>8628</v>
      </c>
      <c r="C1341" s="79" t="s">
        <v>7320</v>
      </c>
      <c r="D1341" s="79" t="s">
        <v>7328</v>
      </c>
      <c r="E1341" s="79">
        <v>3500</v>
      </c>
      <c r="G1341" s="79" t="s">
        <v>7329</v>
      </c>
      <c r="H1341" s="80">
        <v>11478623</v>
      </c>
    </row>
    <row r="1342" spans="1:8" x14ac:dyDescent="0.2">
      <c r="A1342" s="79" t="s">
        <v>8206</v>
      </c>
      <c r="B1342" s="79" t="s">
        <v>8629</v>
      </c>
      <c r="C1342" s="79" t="s">
        <v>7320</v>
      </c>
      <c r="D1342" s="79" t="s">
        <v>7312</v>
      </c>
      <c r="E1342" s="79">
        <v>3500</v>
      </c>
      <c r="G1342" s="79" t="s">
        <v>7329</v>
      </c>
      <c r="H1342" s="80">
        <v>13383140.529999999</v>
      </c>
    </row>
    <row r="1343" spans="1:8" x14ac:dyDescent="0.2">
      <c r="A1343" s="79" t="s">
        <v>8206</v>
      </c>
      <c r="B1343" s="79" t="s">
        <v>8630</v>
      </c>
      <c r="C1343" s="79" t="s">
        <v>7320</v>
      </c>
      <c r="D1343" s="79" t="s">
        <v>7312</v>
      </c>
      <c r="E1343" s="79">
        <v>4995</v>
      </c>
      <c r="G1343" s="79" t="s">
        <v>7329</v>
      </c>
      <c r="H1343" s="80">
        <v>14077406</v>
      </c>
    </row>
    <row r="1344" spans="1:8" x14ac:dyDescent="0.2">
      <c r="A1344" s="79" t="s">
        <v>8206</v>
      </c>
      <c r="B1344" s="79" t="s">
        <v>8631</v>
      </c>
      <c r="C1344" s="79" t="s">
        <v>7320</v>
      </c>
      <c r="D1344" s="79" t="s">
        <v>7312</v>
      </c>
      <c r="E1344" s="79">
        <v>5500</v>
      </c>
      <c r="F1344" s="79" t="s">
        <v>7349</v>
      </c>
      <c r="G1344" s="79" t="s">
        <v>7329</v>
      </c>
      <c r="H1344" s="80">
        <v>18317368.82</v>
      </c>
    </row>
    <row r="1345" spans="1:8" x14ac:dyDescent="0.2">
      <c r="A1345" s="79" t="s">
        <v>8206</v>
      </c>
      <c r="B1345" s="79" t="s">
        <v>8632</v>
      </c>
      <c r="C1345" s="79" t="s">
        <v>7335</v>
      </c>
      <c r="D1345" s="79" t="s">
        <v>7328</v>
      </c>
      <c r="E1345" s="79">
        <v>2100</v>
      </c>
      <c r="G1345" s="79" t="s">
        <v>7329</v>
      </c>
      <c r="H1345" s="80">
        <v>9118693</v>
      </c>
    </row>
    <row r="1346" spans="1:8" x14ac:dyDescent="0.2">
      <c r="A1346" s="79" t="s">
        <v>8206</v>
      </c>
      <c r="B1346" s="79" t="s">
        <v>8633</v>
      </c>
      <c r="C1346" s="79" t="s">
        <v>7335</v>
      </c>
      <c r="D1346" s="79" t="s">
        <v>7328</v>
      </c>
      <c r="E1346" s="79">
        <v>2700</v>
      </c>
      <c r="G1346" s="79" t="s">
        <v>7329</v>
      </c>
      <c r="H1346" s="80">
        <v>12910773.789999999</v>
      </c>
    </row>
    <row r="1347" spans="1:8" x14ac:dyDescent="0.2">
      <c r="A1347" s="79" t="s">
        <v>8206</v>
      </c>
      <c r="B1347" s="79" t="s">
        <v>8634</v>
      </c>
      <c r="C1347" s="79" t="s">
        <v>7335</v>
      </c>
      <c r="D1347" s="79" t="s">
        <v>7328</v>
      </c>
      <c r="E1347" s="79">
        <v>3000</v>
      </c>
      <c r="G1347" s="79" t="s">
        <v>7313</v>
      </c>
      <c r="H1347" s="80">
        <v>13388950.800000001</v>
      </c>
    </row>
    <row r="1348" spans="1:8" x14ac:dyDescent="0.2">
      <c r="A1348" s="79" t="s">
        <v>8206</v>
      </c>
      <c r="B1348" s="79" t="s">
        <v>8635</v>
      </c>
      <c r="C1348" s="79" t="s">
        <v>7335</v>
      </c>
      <c r="D1348" s="79" t="s">
        <v>7328</v>
      </c>
      <c r="E1348" s="79">
        <v>3000</v>
      </c>
      <c r="F1348" s="79" t="s">
        <v>7349</v>
      </c>
      <c r="G1348" s="79" t="s">
        <v>7313</v>
      </c>
      <c r="H1348" s="80">
        <v>12172979.48</v>
      </c>
    </row>
    <row r="1349" spans="1:8" x14ac:dyDescent="0.2">
      <c r="A1349" s="79" t="s">
        <v>8206</v>
      </c>
      <c r="B1349" s="79" t="s">
        <v>8636</v>
      </c>
      <c r="C1349" s="79" t="s">
        <v>7335</v>
      </c>
      <c r="D1349" s="79" t="s">
        <v>7328</v>
      </c>
      <c r="E1349" s="79">
        <v>3000</v>
      </c>
      <c r="G1349" s="79" t="s">
        <v>7313</v>
      </c>
      <c r="H1349" s="80">
        <v>13255581.01</v>
      </c>
    </row>
    <row r="1350" spans="1:8" x14ac:dyDescent="0.2">
      <c r="A1350" s="79" t="s">
        <v>8206</v>
      </c>
      <c r="B1350" s="79" t="s">
        <v>8637</v>
      </c>
      <c r="C1350" s="79" t="s">
        <v>7335</v>
      </c>
      <c r="D1350" s="79" t="s">
        <v>7328</v>
      </c>
      <c r="E1350" s="79">
        <v>3499</v>
      </c>
      <c r="G1350" s="79" t="s">
        <v>7313</v>
      </c>
      <c r="H1350" s="80">
        <v>13496129.4</v>
      </c>
    </row>
    <row r="1351" spans="1:8" x14ac:dyDescent="0.2">
      <c r="A1351" s="79" t="s">
        <v>8206</v>
      </c>
      <c r="B1351" s="79" t="s">
        <v>8638</v>
      </c>
      <c r="C1351" s="79" t="s">
        <v>7335</v>
      </c>
      <c r="D1351" s="79" t="s">
        <v>7328</v>
      </c>
      <c r="E1351" s="79">
        <v>3500</v>
      </c>
      <c r="G1351" s="79" t="s">
        <v>7313</v>
      </c>
      <c r="H1351" s="80">
        <v>15216224.08</v>
      </c>
    </row>
    <row r="1352" spans="1:8" x14ac:dyDescent="0.2">
      <c r="A1352" s="79" t="s">
        <v>8206</v>
      </c>
      <c r="B1352" s="79" t="s">
        <v>8639</v>
      </c>
      <c r="C1352" s="79" t="s">
        <v>7335</v>
      </c>
      <c r="D1352" s="79" t="s">
        <v>7312</v>
      </c>
      <c r="E1352" s="79">
        <v>3500</v>
      </c>
      <c r="G1352" s="79" t="s">
        <v>7313</v>
      </c>
      <c r="H1352" s="80">
        <v>13496129.4</v>
      </c>
    </row>
    <row r="1353" spans="1:8" x14ac:dyDescent="0.2">
      <c r="A1353" s="79" t="s">
        <v>8206</v>
      </c>
      <c r="B1353" s="79" t="s">
        <v>8640</v>
      </c>
      <c r="C1353" s="79" t="s">
        <v>7335</v>
      </c>
      <c r="D1353" s="79" t="s">
        <v>7328</v>
      </c>
      <c r="E1353" s="79">
        <v>3500</v>
      </c>
      <c r="G1353" s="79" t="s">
        <v>7313</v>
      </c>
      <c r="H1353" s="80">
        <v>15613168.83</v>
      </c>
    </row>
    <row r="1354" spans="1:8" x14ac:dyDescent="0.2">
      <c r="A1354" s="79" t="s">
        <v>8206</v>
      </c>
      <c r="B1354" s="79" t="s">
        <v>8641</v>
      </c>
      <c r="C1354" s="79" t="s">
        <v>7335</v>
      </c>
      <c r="D1354" s="79" t="s">
        <v>7328</v>
      </c>
      <c r="E1354" s="79">
        <v>4260</v>
      </c>
      <c r="G1354" s="79" t="s">
        <v>7313</v>
      </c>
      <c r="H1354" s="80">
        <v>16824777.309999999</v>
      </c>
    </row>
    <row r="1355" spans="1:8" x14ac:dyDescent="0.2">
      <c r="A1355" s="79" t="s">
        <v>8206</v>
      </c>
      <c r="B1355" s="79" t="s">
        <v>8642</v>
      </c>
      <c r="C1355" s="79" t="s">
        <v>7335</v>
      </c>
      <c r="D1355" s="79" t="s">
        <v>7328</v>
      </c>
      <c r="E1355" s="79">
        <v>5000</v>
      </c>
      <c r="G1355" s="79" t="s">
        <v>7313</v>
      </c>
      <c r="H1355" s="80">
        <v>14701738</v>
      </c>
    </row>
    <row r="1356" spans="1:8" x14ac:dyDescent="0.2">
      <c r="A1356" s="79" t="s">
        <v>8206</v>
      </c>
      <c r="B1356" s="79" t="s">
        <v>8643</v>
      </c>
      <c r="C1356" s="79" t="s">
        <v>7335</v>
      </c>
      <c r="D1356" s="79" t="s">
        <v>7328</v>
      </c>
      <c r="E1356" s="79">
        <v>4600</v>
      </c>
      <c r="G1356" s="79" t="s">
        <v>7313</v>
      </c>
      <c r="H1356" s="80">
        <v>10673103.18</v>
      </c>
    </row>
    <row r="1357" spans="1:8" x14ac:dyDescent="0.2">
      <c r="A1357" s="79" t="s">
        <v>8206</v>
      </c>
      <c r="B1357" s="79" t="s">
        <v>8644</v>
      </c>
      <c r="C1357" s="79" t="s">
        <v>7335</v>
      </c>
      <c r="D1357" s="79" t="s">
        <v>7328</v>
      </c>
      <c r="E1357" s="79">
        <v>3000</v>
      </c>
      <c r="G1357" s="79" t="s">
        <v>7313</v>
      </c>
      <c r="H1357" s="80">
        <v>14840198.689999999</v>
      </c>
    </row>
    <row r="1358" spans="1:8" x14ac:dyDescent="0.2">
      <c r="A1358" s="79" t="s">
        <v>8206</v>
      </c>
      <c r="B1358" s="79" t="s">
        <v>8645</v>
      </c>
      <c r="C1358" s="79" t="s">
        <v>7311</v>
      </c>
      <c r="D1358" s="79" t="s">
        <v>7328</v>
      </c>
      <c r="E1358" s="79">
        <v>3200</v>
      </c>
      <c r="G1358" s="79" t="s">
        <v>7313</v>
      </c>
      <c r="H1358" s="80">
        <v>14593515.01</v>
      </c>
    </row>
    <row r="1359" spans="1:8" x14ac:dyDescent="0.2">
      <c r="A1359" s="79" t="s">
        <v>8206</v>
      </c>
      <c r="B1359" s="79" t="s">
        <v>8646</v>
      </c>
      <c r="C1359" s="79" t="s">
        <v>7320</v>
      </c>
      <c r="D1359" s="79" t="s">
        <v>7328</v>
      </c>
      <c r="E1359" s="79">
        <v>5000</v>
      </c>
      <c r="G1359" s="79" t="s">
        <v>7313</v>
      </c>
      <c r="H1359" s="80">
        <v>17920589.82</v>
      </c>
    </row>
    <row r="1360" spans="1:8" x14ac:dyDescent="0.2">
      <c r="A1360" s="79" t="s">
        <v>8206</v>
      </c>
      <c r="B1360" s="79" t="s">
        <v>8646</v>
      </c>
      <c r="C1360" s="79" t="s">
        <v>7320</v>
      </c>
      <c r="D1360" s="79" t="s">
        <v>7312</v>
      </c>
      <c r="E1360" s="79">
        <v>4600</v>
      </c>
      <c r="G1360" s="79" t="s">
        <v>7313</v>
      </c>
      <c r="H1360" s="80">
        <v>18417800</v>
      </c>
    </row>
    <row r="1361" spans="1:8" x14ac:dyDescent="0.2">
      <c r="A1361" s="79" t="s">
        <v>8206</v>
      </c>
      <c r="B1361" s="79" t="s">
        <v>8647</v>
      </c>
      <c r="C1361" s="79" t="s">
        <v>7320</v>
      </c>
      <c r="D1361" s="79" t="s">
        <v>7312</v>
      </c>
      <c r="E1361" s="79">
        <v>4600</v>
      </c>
      <c r="F1361" s="79" t="s">
        <v>7349</v>
      </c>
      <c r="G1361" s="79" t="s">
        <v>7313</v>
      </c>
      <c r="H1361" s="80">
        <v>19552221.640000001</v>
      </c>
    </row>
    <row r="1362" spans="1:8" x14ac:dyDescent="0.2">
      <c r="A1362" s="79" t="s">
        <v>8206</v>
      </c>
      <c r="B1362" s="79" t="s">
        <v>8648</v>
      </c>
      <c r="C1362" s="79" t="s">
        <v>7311</v>
      </c>
      <c r="D1362" s="79" t="s">
        <v>7328</v>
      </c>
      <c r="E1362" s="79">
        <v>6000</v>
      </c>
      <c r="G1362" s="79" t="s">
        <v>7313</v>
      </c>
      <c r="H1362" s="80">
        <v>22852755.32</v>
      </c>
    </row>
    <row r="1363" spans="1:8" x14ac:dyDescent="0.2">
      <c r="A1363" s="79" t="s">
        <v>8206</v>
      </c>
      <c r="B1363" s="79" t="s">
        <v>8649</v>
      </c>
      <c r="C1363" s="79" t="s">
        <v>7311</v>
      </c>
      <c r="D1363" s="79" t="s">
        <v>7312</v>
      </c>
      <c r="E1363" s="79">
        <v>2199</v>
      </c>
      <c r="G1363" s="79" t="s">
        <v>7329</v>
      </c>
      <c r="H1363" s="80">
        <v>6632273.0599999996</v>
      </c>
    </row>
    <row r="1364" spans="1:8" x14ac:dyDescent="0.2">
      <c r="A1364" s="79" t="s">
        <v>8206</v>
      </c>
      <c r="B1364" s="79" t="s">
        <v>8649</v>
      </c>
      <c r="C1364" s="79" t="s">
        <v>7320</v>
      </c>
      <c r="D1364" s="79" t="s">
        <v>7312</v>
      </c>
      <c r="E1364" s="79">
        <v>2000</v>
      </c>
      <c r="G1364" s="79" t="s">
        <v>7329</v>
      </c>
      <c r="H1364" s="80">
        <v>6032081</v>
      </c>
    </row>
    <row r="1365" spans="1:8" x14ac:dyDescent="0.2">
      <c r="A1365" s="79" t="s">
        <v>8206</v>
      </c>
      <c r="B1365" s="79" t="s">
        <v>8650</v>
      </c>
      <c r="C1365" s="79" t="s">
        <v>7320</v>
      </c>
      <c r="D1365" s="79" t="s">
        <v>7312</v>
      </c>
      <c r="E1365" s="79">
        <v>2300</v>
      </c>
      <c r="G1365" s="79" t="s">
        <v>7329</v>
      </c>
      <c r="H1365" s="80">
        <v>7238221</v>
      </c>
    </row>
    <row r="1366" spans="1:8" x14ac:dyDescent="0.2">
      <c r="A1366" s="79" t="s">
        <v>8206</v>
      </c>
      <c r="B1366" s="79" t="s">
        <v>8651</v>
      </c>
      <c r="C1366" s="79" t="s">
        <v>7320</v>
      </c>
      <c r="D1366" s="79" t="s">
        <v>7312</v>
      </c>
      <c r="E1366" s="79">
        <v>1800</v>
      </c>
      <c r="G1366" s="79" t="s">
        <v>7329</v>
      </c>
      <c r="H1366" s="80">
        <v>7270856</v>
      </c>
    </row>
    <row r="1367" spans="1:8" x14ac:dyDescent="0.2">
      <c r="A1367" s="79" t="s">
        <v>8206</v>
      </c>
      <c r="B1367" s="79" t="s">
        <v>8652</v>
      </c>
      <c r="C1367" s="79" t="s">
        <v>7320</v>
      </c>
      <c r="D1367" s="79" t="s">
        <v>7312</v>
      </c>
      <c r="E1367" s="79">
        <v>6300</v>
      </c>
      <c r="G1367" s="79" t="s">
        <v>7329</v>
      </c>
      <c r="H1367" s="80">
        <v>7877245.3899999997</v>
      </c>
    </row>
    <row r="1368" spans="1:8" x14ac:dyDescent="0.2">
      <c r="A1368" s="79" t="s">
        <v>8206</v>
      </c>
      <c r="B1368" s="79" t="s">
        <v>8653</v>
      </c>
      <c r="C1368" s="79" t="s">
        <v>7327</v>
      </c>
      <c r="D1368" s="79" t="s">
        <v>7328</v>
      </c>
      <c r="E1368" s="79">
        <v>2148</v>
      </c>
      <c r="G1368" s="79" t="s">
        <v>7329</v>
      </c>
      <c r="H1368" s="80">
        <v>3387780</v>
      </c>
    </row>
    <row r="1369" spans="1:8" x14ac:dyDescent="0.2">
      <c r="A1369" s="79" t="s">
        <v>8206</v>
      </c>
      <c r="B1369" s="79" t="s">
        <v>8654</v>
      </c>
      <c r="C1369" s="79" t="s">
        <v>7327</v>
      </c>
      <c r="D1369" s="79" t="s">
        <v>7328</v>
      </c>
      <c r="E1369" s="79">
        <v>2148</v>
      </c>
      <c r="G1369" s="79" t="s">
        <v>7329</v>
      </c>
      <c r="H1369" s="80">
        <v>3852000</v>
      </c>
    </row>
    <row r="1370" spans="1:8" x14ac:dyDescent="0.2">
      <c r="A1370" s="79" t="s">
        <v>8206</v>
      </c>
      <c r="B1370" s="79" t="s">
        <v>8655</v>
      </c>
      <c r="C1370" s="79" t="s">
        <v>8656</v>
      </c>
      <c r="D1370" s="79" t="s">
        <v>7328</v>
      </c>
      <c r="E1370" s="79">
        <v>2148</v>
      </c>
      <c r="G1370" s="79" t="s">
        <v>7329</v>
      </c>
      <c r="H1370" s="80">
        <v>3772755</v>
      </c>
    </row>
    <row r="1371" spans="1:8" x14ac:dyDescent="0.2">
      <c r="A1371" s="79" t="s">
        <v>8206</v>
      </c>
      <c r="B1371" s="79" t="s">
        <v>8657</v>
      </c>
      <c r="C1371" s="79" t="s">
        <v>8656</v>
      </c>
      <c r="D1371" s="79" t="s">
        <v>7328</v>
      </c>
      <c r="E1371" s="79">
        <v>5300</v>
      </c>
      <c r="G1371" s="79" t="s">
        <v>7329</v>
      </c>
      <c r="H1371" s="80">
        <v>6650000</v>
      </c>
    </row>
    <row r="1372" spans="1:8" x14ac:dyDescent="0.2">
      <c r="A1372" s="79" t="s">
        <v>8206</v>
      </c>
      <c r="B1372" s="79" t="s">
        <v>8658</v>
      </c>
      <c r="C1372" s="79" t="s">
        <v>8656</v>
      </c>
      <c r="D1372" s="79" t="s">
        <v>7328</v>
      </c>
      <c r="E1372" s="79">
        <v>2200</v>
      </c>
      <c r="G1372" s="79" t="s">
        <v>7329</v>
      </c>
      <c r="H1372" s="80">
        <v>2752750</v>
      </c>
    </row>
    <row r="1373" spans="1:8" x14ac:dyDescent="0.2">
      <c r="A1373" s="79" t="s">
        <v>8659</v>
      </c>
      <c r="B1373" s="79" t="s">
        <v>8660</v>
      </c>
      <c r="C1373" s="79" t="s">
        <v>7340</v>
      </c>
      <c r="D1373" s="79" t="s">
        <v>7312</v>
      </c>
      <c r="E1373" s="79">
        <v>1397</v>
      </c>
      <c r="G1373" s="79" t="s">
        <v>7329</v>
      </c>
      <c r="H1373" s="80">
        <v>4575520</v>
      </c>
    </row>
    <row r="1374" spans="1:8" x14ac:dyDescent="0.2">
      <c r="A1374" s="79" t="s">
        <v>8661</v>
      </c>
      <c r="B1374" s="79" t="s">
        <v>8662</v>
      </c>
      <c r="C1374" s="79" t="s">
        <v>7335</v>
      </c>
      <c r="D1374" s="79" t="s">
        <v>7312</v>
      </c>
      <c r="E1374" s="79">
        <v>2000</v>
      </c>
      <c r="G1374" s="79" t="s">
        <v>7329</v>
      </c>
      <c r="H1374" s="80">
        <v>2732750</v>
      </c>
    </row>
    <row r="1375" spans="1:8" x14ac:dyDescent="0.2">
      <c r="A1375" s="79" t="s">
        <v>8661</v>
      </c>
      <c r="B1375" s="79" t="s">
        <v>8663</v>
      </c>
      <c r="C1375" s="79" t="s">
        <v>7335</v>
      </c>
      <c r="D1375" s="79" t="s">
        <v>7312</v>
      </c>
      <c r="E1375" s="79">
        <v>2400</v>
      </c>
      <c r="G1375" s="79" t="s">
        <v>7329</v>
      </c>
      <c r="H1375" s="80">
        <v>3309900</v>
      </c>
    </row>
    <row r="1376" spans="1:8" x14ac:dyDescent="0.2">
      <c r="A1376" s="79" t="s">
        <v>8661</v>
      </c>
      <c r="B1376" s="79" t="s">
        <v>8664</v>
      </c>
      <c r="C1376" s="79" t="s">
        <v>7335</v>
      </c>
      <c r="D1376" s="79" t="s">
        <v>7312</v>
      </c>
      <c r="E1376" s="79">
        <v>2000</v>
      </c>
      <c r="G1376" s="79" t="s">
        <v>7329</v>
      </c>
      <c r="H1376" s="80">
        <v>4067000</v>
      </c>
    </row>
    <row r="1377" spans="1:8" x14ac:dyDescent="0.2">
      <c r="A1377" s="79" t="s">
        <v>8661</v>
      </c>
      <c r="B1377" s="79" t="s">
        <v>8665</v>
      </c>
      <c r="C1377" s="79" t="s">
        <v>7335</v>
      </c>
      <c r="D1377" s="79" t="s">
        <v>7312</v>
      </c>
      <c r="E1377" s="79">
        <v>1830</v>
      </c>
      <c r="G1377" s="79" t="s">
        <v>7329</v>
      </c>
      <c r="H1377" s="80">
        <v>1978380</v>
      </c>
    </row>
    <row r="1378" spans="1:8" x14ac:dyDescent="0.2">
      <c r="A1378" s="79" t="s">
        <v>8661</v>
      </c>
      <c r="B1378" s="79" t="s">
        <v>8666</v>
      </c>
      <c r="C1378" s="79" t="s">
        <v>7335</v>
      </c>
      <c r="D1378" s="79" t="s">
        <v>7312</v>
      </c>
      <c r="E1378" s="79">
        <v>1300</v>
      </c>
      <c r="G1378" s="79" t="s">
        <v>7329</v>
      </c>
      <c r="H1378" s="80">
        <v>1600000</v>
      </c>
    </row>
    <row r="1379" spans="1:8" x14ac:dyDescent="0.2">
      <c r="A1379" s="79" t="s">
        <v>8661</v>
      </c>
      <c r="B1379" s="79" t="s">
        <v>8667</v>
      </c>
      <c r="C1379" s="79" t="s">
        <v>7335</v>
      </c>
      <c r="D1379" s="79" t="s">
        <v>7312</v>
      </c>
      <c r="E1379" s="79">
        <v>1500</v>
      </c>
      <c r="G1379" s="79" t="s">
        <v>7329</v>
      </c>
      <c r="H1379" s="80">
        <v>1998800</v>
      </c>
    </row>
    <row r="1380" spans="1:8" x14ac:dyDescent="0.2">
      <c r="A1380" s="79" t="s">
        <v>8661</v>
      </c>
      <c r="B1380" s="79" t="s">
        <v>8668</v>
      </c>
      <c r="C1380" s="79" t="s">
        <v>7335</v>
      </c>
      <c r="D1380" s="79" t="s">
        <v>7312</v>
      </c>
      <c r="E1380" s="79">
        <v>1500</v>
      </c>
      <c r="G1380" s="79" t="s">
        <v>7329</v>
      </c>
      <c r="H1380" s="80">
        <v>2046826</v>
      </c>
    </row>
    <row r="1381" spans="1:8" x14ac:dyDescent="0.2">
      <c r="A1381" s="79" t="s">
        <v>8661</v>
      </c>
      <c r="B1381" s="79" t="s">
        <v>8669</v>
      </c>
      <c r="C1381" s="79" t="s">
        <v>7370</v>
      </c>
      <c r="D1381" s="79" t="s">
        <v>7328</v>
      </c>
      <c r="E1381" s="79">
        <v>3568</v>
      </c>
      <c r="G1381" s="79" t="s">
        <v>7329</v>
      </c>
      <c r="H1381" s="80">
        <v>2174520</v>
      </c>
    </row>
    <row r="1382" spans="1:8" x14ac:dyDescent="0.2">
      <c r="A1382" s="79" t="s">
        <v>8661</v>
      </c>
      <c r="B1382" s="79" t="s">
        <v>8670</v>
      </c>
      <c r="C1382" s="79" t="s">
        <v>7370</v>
      </c>
      <c r="D1382" s="79" t="s">
        <v>7328</v>
      </c>
      <c r="E1382" s="79">
        <v>3567</v>
      </c>
      <c r="G1382" s="79" t="s">
        <v>7329</v>
      </c>
      <c r="H1382" s="80">
        <v>2658000</v>
      </c>
    </row>
    <row r="1383" spans="1:8" x14ac:dyDescent="0.2">
      <c r="A1383" s="79" t="s">
        <v>8661</v>
      </c>
      <c r="B1383" s="79" t="s">
        <v>8671</v>
      </c>
      <c r="C1383" s="79" t="s">
        <v>7370</v>
      </c>
      <c r="D1383" s="79" t="s">
        <v>7328</v>
      </c>
      <c r="E1383" s="79">
        <v>3907</v>
      </c>
      <c r="G1383" s="79" t="s">
        <v>7329</v>
      </c>
      <c r="H1383" s="80">
        <v>3191600</v>
      </c>
    </row>
    <row r="1384" spans="1:8" x14ac:dyDescent="0.2">
      <c r="A1384" s="79" t="s">
        <v>8661</v>
      </c>
      <c r="B1384" s="79" t="s">
        <v>8672</v>
      </c>
      <c r="C1384" s="79" t="s">
        <v>7370</v>
      </c>
      <c r="D1384" s="79" t="s">
        <v>7328</v>
      </c>
      <c r="E1384" s="79">
        <v>3907</v>
      </c>
      <c r="G1384" s="79" t="s">
        <v>7329</v>
      </c>
      <c r="H1384" s="80">
        <v>3422000</v>
      </c>
    </row>
    <row r="1385" spans="1:8" x14ac:dyDescent="0.2">
      <c r="A1385" s="79" t="s">
        <v>8661</v>
      </c>
      <c r="B1385" s="79" t="s">
        <v>8673</v>
      </c>
      <c r="C1385" s="79" t="s">
        <v>7370</v>
      </c>
      <c r="D1385" s="79" t="s">
        <v>7328</v>
      </c>
      <c r="E1385" s="79">
        <v>3907</v>
      </c>
      <c r="G1385" s="79" t="s">
        <v>7329</v>
      </c>
      <c r="H1385" s="80">
        <v>4060000</v>
      </c>
    </row>
    <row r="1386" spans="1:8" x14ac:dyDescent="0.2">
      <c r="A1386" s="79" t="s">
        <v>8661</v>
      </c>
      <c r="B1386" s="79" t="s">
        <v>8674</v>
      </c>
      <c r="C1386" s="79" t="s">
        <v>7370</v>
      </c>
      <c r="D1386" s="79" t="s">
        <v>7328</v>
      </c>
      <c r="E1386" s="79">
        <v>6557</v>
      </c>
      <c r="G1386" s="79" t="s">
        <v>7329</v>
      </c>
      <c r="H1386" s="80">
        <v>5162000</v>
      </c>
    </row>
    <row r="1387" spans="1:8" x14ac:dyDescent="0.2">
      <c r="A1387" s="79" t="s">
        <v>8661</v>
      </c>
      <c r="B1387" s="79" t="s">
        <v>8675</v>
      </c>
      <c r="C1387" s="79" t="s">
        <v>7370</v>
      </c>
      <c r="D1387" s="79" t="s">
        <v>7328</v>
      </c>
      <c r="E1387" s="79">
        <v>4890</v>
      </c>
      <c r="G1387" s="79" t="s">
        <v>7329</v>
      </c>
      <c r="H1387" s="80">
        <v>3633382</v>
      </c>
    </row>
    <row r="1388" spans="1:8" x14ac:dyDescent="0.2">
      <c r="A1388" s="79" t="s">
        <v>8661</v>
      </c>
      <c r="B1388" s="79" t="s">
        <v>8676</v>
      </c>
      <c r="C1388" s="79" t="s">
        <v>7335</v>
      </c>
      <c r="D1388" s="79" t="s">
        <v>7328</v>
      </c>
      <c r="E1388" s="79">
        <v>2835</v>
      </c>
      <c r="F1388" s="79" t="s">
        <v>7349</v>
      </c>
      <c r="G1388" s="79" t="s">
        <v>7313</v>
      </c>
      <c r="H1388" s="80">
        <v>3897000</v>
      </c>
    </row>
    <row r="1389" spans="1:8" x14ac:dyDescent="0.2">
      <c r="A1389" s="79" t="s">
        <v>8661</v>
      </c>
      <c r="B1389" s="79" t="s">
        <v>8677</v>
      </c>
      <c r="C1389" s="79" t="s">
        <v>7335</v>
      </c>
      <c r="D1389" s="79" t="s">
        <v>7312</v>
      </c>
      <c r="E1389" s="79">
        <v>2400</v>
      </c>
      <c r="G1389" s="79" t="s">
        <v>7329</v>
      </c>
      <c r="H1389" s="80">
        <v>3478840</v>
      </c>
    </row>
    <row r="1390" spans="1:8" x14ac:dyDescent="0.2">
      <c r="A1390" s="79" t="s">
        <v>8661</v>
      </c>
      <c r="B1390" s="79" t="s">
        <v>8678</v>
      </c>
      <c r="C1390" s="79" t="s">
        <v>7327</v>
      </c>
      <c r="D1390" s="79" t="s">
        <v>7312</v>
      </c>
      <c r="E1390" s="79">
        <v>1300</v>
      </c>
      <c r="G1390" s="79" t="s">
        <v>7329</v>
      </c>
      <c r="H1390" s="80">
        <v>2204800</v>
      </c>
    </row>
    <row r="1391" spans="1:8" x14ac:dyDescent="0.2">
      <c r="A1391" s="79" t="s">
        <v>8661</v>
      </c>
      <c r="B1391" s="79" t="s">
        <v>8678</v>
      </c>
      <c r="C1391" s="79" t="s">
        <v>7327</v>
      </c>
      <c r="D1391" s="79" t="s">
        <v>7312</v>
      </c>
      <c r="E1391" s="79">
        <v>1300</v>
      </c>
      <c r="G1391" s="79" t="s">
        <v>7329</v>
      </c>
      <c r="H1391" s="80">
        <v>2310800</v>
      </c>
    </row>
    <row r="1392" spans="1:8" x14ac:dyDescent="0.2">
      <c r="A1392" s="79" t="s">
        <v>8661</v>
      </c>
      <c r="B1392" s="79" t="s">
        <v>8678</v>
      </c>
      <c r="C1392" s="79" t="s">
        <v>7327</v>
      </c>
      <c r="D1392" s="79" t="s">
        <v>7312</v>
      </c>
      <c r="E1392" s="79">
        <v>1600</v>
      </c>
      <c r="G1392" s="79" t="s">
        <v>7329</v>
      </c>
      <c r="H1392" s="80">
        <v>2628800</v>
      </c>
    </row>
    <row r="1393" spans="1:8" x14ac:dyDescent="0.2">
      <c r="A1393" s="79" t="s">
        <v>8661</v>
      </c>
      <c r="B1393" s="79" t="s">
        <v>8678</v>
      </c>
      <c r="C1393" s="79" t="s">
        <v>7327</v>
      </c>
      <c r="D1393" s="79" t="s">
        <v>7312</v>
      </c>
      <c r="E1393" s="79">
        <v>1600</v>
      </c>
      <c r="G1393" s="79" t="s">
        <v>7329</v>
      </c>
      <c r="H1393" s="80">
        <v>2734800</v>
      </c>
    </row>
    <row r="1394" spans="1:8" x14ac:dyDescent="0.2">
      <c r="A1394" s="79" t="s">
        <v>8661</v>
      </c>
      <c r="B1394" s="79" t="s">
        <v>8678</v>
      </c>
      <c r="C1394" s="79" t="s">
        <v>7327</v>
      </c>
      <c r="D1394" s="79" t="s">
        <v>7312</v>
      </c>
      <c r="E1394" s="79">
        <v>2000</v>
      </c>
      <c r="G1394" s="79" t="s">
        <v>7329</v>
      </c>
      <c r="H1394" s="80">
        <v>3052800</v>
      </c>
    </row>
    <row r="1395" spans="1:8" x14ac:dyDescent="0.2">
      <c r="A1395" s="79" t="s">
        <v>8661</v>
      </c>
      <c r="B1395" s="79" t="s">
        <v>8678</v>
      </c>
      <c r="C1395" s="79" t="s">
        <v>7327</v>
      </c>
      <c r="D1395" s="79" t="s">
        <v>7312</v>
      </c>
      <c r="E1395" s="79">
        <v>2400</v>
      </c>
      <c r="G1395" s="79" t="s">
        <v>7313</v>
      </c>
      <c r="H1395" s="80">
        <v>3688800</v>
      </c>
    </row>
    <row r="1396" spans="1:8" x14ac:dyDescent="0.2">
      <c r="A1396" s="79" t="s">
        <v>8661</v>
      </c>
      <c r="B1396" s="79" t="s">
        <v>8678</v>
      </c>
      <c r="C1396" s="79" t="s">
        <v>7327</v>
      </c>
      <c r="D1396" s="79" t="s">
        <v>7328</v>
      </c>
      <c r="E1396" s="79">
        <v>2300</v>
      </c>
      <c r="G1396" s="79" t="s">
        <v>7313</v>
      </c>
      <c r="H1396" s="80">
        <v>4430800</v>
      </c>
    </row>
    <row r="1397" spans="1:8" x14ac:dyDescent="0.2">
      <c r="A1397" s="79" t="s">
        <v>8661</v>
      </c>
      <c r="B1397" s="79" t="s">
        <v>8679</v>
      </c>
      <c r="C1397" s="79" t="s">
        <v>7327</v>
      </c>
      <c r="D1397" s="79" t="s">
        <v>7312</v>
      </c>
      <c r="E1397" s="79">
        <v>2000</v>
      </c>
      <c r="G1397" s="79" t="s">
        <v>7313</v>
      </c>
      <c r="H1397" s="80">
        <v>3891123</v>
      </c>
    </row>
    <row r="1398" spans="1:8" x14ac:dyDescent="0.2">
      <c r="A1398" s="79" t="s">
        <v>8661</v>
      </c>
      <c r="B1398" s="79" t="s">
        <v>8680</v>
      </c>
      <c r="C1398" s="79" t="s">
        <v>7311</v>
      </c>
      <c r="D1398" s="79" t="s">
        <v>7312</v>
      </c>
      <c r="E1398" s="79">
        <v>2000</v>
      </c>
      <c r="G1398" s="79" t="s">
        <v>7329</v>
      </c>
      <c r="H1398" s="80">
        <v>2338560</v>
      </c>
    </row>
    <row r="1399" spans="1:8" x14ac:dyDescent="0.2">
      <c r="A1399" s="79" t="s">
        <v>8661</v>
      </c>
      <c r="B1399" s="79" t="s">
        <v>8680</v>
      </c>
      <c r="C1399" s="79" t="s">
        <v>7311</v>
      </c>
      <c r="D1399" s="79" t="s">
        <v>7312</v>
      </c>
      <c r="E1399" s="79">
        <v>2500</v>
      </c>
      <c r="G1399" s="79" t="s">
        <v>7329</v>
      </c>
      <c r="H1399" s="80">
        <v>2923200</v>
      </c>
    </row>
    <row r="1400" spans="1:8" x14ac:dyDescent="0.2">
      <c r="A1400" s="79" t="s">
        <v>8661</v>
      </c>
      <c r="B1400" s="79" t="s">
        <v>8680</v>
      </c>
      <c r="C1400" s="79" t="s">
        <v>7311</v>
      </c>
      <c r="D1400" s="79" t="s">
        <v>7312</v>
      </c>
      <c r="E1400" s="79">
        <v>3000</v>
      </c>
      <c r="G1400" s="79" t="s">
        <v>7329</v>
      </c>
      <c r="H1400" s="80">
        <v>3507840</v>
      </c>
    </row>
    <row r="1401" spans="1:8" x14ac:dyDescent="0.2">
      <c r="A1401" s="79" t="s">
        <v>8661</v>
      </c>
      <c r="B1401" s="79" t="s">
        <v>8681</v>
      </c>
      <c r="C1401" s="79" t="s">
        <v>7335</v>
      </c>
      <c r="D1401" s="79" t="s">
        <v>7312</v>
      </c>
      <c r="E1401" s="79">
        <v>2000</v>
      </c>
      <c r="G1401" s="79" t="s">
        <v>7329</v>
      </c>
      <c r="H1401" s="80">
        <v>2925590</v>
      </c>
    </row>
    <row r="1402" spans="1:8" x14ac:dyDescent="0.2">
      <c r="A1402" s="79" t="s">
        <v>8661</v>
      </c>
      <c r="B1402" s="79" t="s">
        <v>8682</v>
      </c>
      <c r="C1402" s="79" t="s">
        <v>7335</v>
      </c>
      <c r="D1402" s="79" t="s">
        <v>7312</v>
      </c>
      <c r="E1402" s="79">
        <v>660</v>
      </c>
      <c r="G1402" s="79" t="s">
        <v>7329</v>
      </c>
      <c r="H1402" s="80">
        <v>1666412</v>
      </c>
    </row>
    <row r="1403" spans="1:8" x14ac:dyDescent="0.2">
      <c r="A1403" s="79" t="s">
        <v>8661</v>
      </c>
      <c r="B1403" s="79" t="s">
        <v>8683</v>
      </c>
      <c r="C1403" s="79" t="s">
        <v>7335</v>
      </c>
      <c r="D1403" s="79" t="s">
        <v>7312</v>
      </c>
      <c r="E1403" s="79">
        <v>660</v>
      </c>
      <c r="G1403" s="79" t="s">
        <v>7329</v>
      </c>
      <c r="H1403" s="80">
        <v>1799512</v>
      </c>
    </row>
    <row r="1404" spans="1:8" x14ac:dyDescent="0.2">
      <c r="A1404" s="79" t="s">
        <v>8661</v>
      </c>
      <c r="B1404" s="79" t="s">
        <v>8684</v>
      </c>
      <c r="C1404" s="79" t="s">
        <v>7335</v>
      </c>
      <c r="D1404" s="79" t="s">
        <v>7312</v>
      </c>
      <c r="E1404" s="79">
        <v>650</v>
      </c>
      <c r="G1404" s="79" t="s">
        <v>7329</v>
      </c>
      <c r="H1404" s="80">
        <v>1666412</v>
      </c>
    </row>
    <row r="1405" spans="1:8" x14ac:dyDescent="0.2">
      <c r="A1405" s="79" t="s">
        <v>8661</v>
      </c>
      <c r="B1405" s="79" t="s">
        <v>8685</v>
      </c>
      <c r="C1405" s="79" t="s">
        <v>7379</v>
      </c>
      <c r="D1405" s="79" t="s">
        <v>7328</v>
      </c>
      <c r="E1405" s="79">
        <v>7545</v>
      </c>
      <c r="G1405" s="79" t="s">
        <v>7329</v>
      </c>
      <c r="H1405" s="80">
        <v>9860000</v>
      </c>
    </row>
    <row r="1406" spans="1:8" x14ac:dyDescent="0.2">
      <c r="A1406" s="79" t="s">
        <v>8661</v>
      </c>
      <c r="B1406" s="79" t="s">
        <v>8686</v>
      </c>
      <c r="C1406" s="79" t="s">
        <v>7370</v>
      </c>
      <c r="D1406" s="79" t="s">
        <v>7328</v>
      </c>
      <c r="E1406" s="79">
        <v>6557</v>
      </c>
      <c r="G1406" s="79" t="s">
        <v>7329</v>
      </c>
      <c r="H1406" s="80">
        <v>4872000</v>
      </c>
    </row>
    <row r="1407" spans="1:8" x14ac:dyDescent="0.2">
      <c r="A1407" s="79" t="s">
        <v>8661</v>
      </c>
      <c r="B1407" s="79" t="s">
        <v>8687</v>
      </c>
      <c r="C1407" s="79" t="s">
        <v>7370</v>
      </c>
      <c r="D1407" s="79" t="s">
        <v>7328</v>
      </c>
      <c r="E1407" s="79">
        <v>6373</v>
      </c>
      <c r="G1407" s="79" t="s">
        <v>7376</v>
      </c>
      <c r="H1407" s="80">
        <v>9280000</v>
      </c>
    </row>
    <row r="1408" spans="1:8" x14ac:dyDescent="0.2">
      <c r="A1408" s="79" t="s">
        <v>8661</v>
      </c>
      <c r="B1408" s="79" t="s">
        <v>8688</v>
      </c>
      <c r="C1408" s="79" t="s">
        <v>7379</v>
      </c>
      <c r="D1408" s="79" t="s">
        <v>7328</v>
      </c>
      <c r="E1408" s="79">
        <v>6557</v>
      </c>
      <c r="G1408" s="79" t="s">
        <v>7329</v>
      </c>
      <c r="H1408" s="80">
        <v>6294200</v>
      </c>
    </row>
    <row r="1409" spans="1:8" x14ac:dyDescent="0.2">
      <c r="A1409" s="79" t="s">
        <v>8661</v>
      </c>
      <c r="B1409" s="79" t="s">
        <v>8689</v>
      </c>
      <c r="C1409" s="79" t="s">
        <v>7379</v>
      </c>
      <c r="D1409" s="79" t="s">
        <v>7328</v>
      </c>
      <c r="E1409" s="79">
        <v>6557</v>
      </c>
      <c r="G1409" s="79" t="s">
        <v>7329</v>
      </c>
      <c r="H1409" s="80">
        <v>8584000</v>
      </c>
    </row>
    <row r="1410" spans="1:8" x14ac:dyDescent="0.2">
      <c r="A1410" s="79" t="s">
        <v>8661</v>
      </c>
      <c r="B1410" s="79" t="s">
        <v>8689</v>
      </c>
      <c r="C1410" s="79" t="s">
        <v>7370</v>
      </c>
      <c r="D1410" s="79" t="s">
        <v>7328</v>
      </c>
      <c r="E1410" s="79">
        <v>6557</v>
      </c>
      <c r="G1410" s="79" t="s">
        <v>7329</v>
      </c>
      <c r="H1410" s="80">
        <v>6958840</v>
      </c>
    </row>
    <row r="1411" spans="1:8" x14ac:dyDescent="0.2">
      <c r="A1411" s="79" t="s">
        <v>8661</v>
      </c>
      <c r="B1411" s="79" t="s">
        <v>8690</v>
      </c>
      <c r="C1411" s="79" t="s">
        <v>7370</v>
      </c>
      <c r="D1411" s="79" t="s">
        <v>7328</v>
      </c>
      <c r="E1411" s="79">
        <v>7545</v>
      </c>
      <c r="G1411" s="79" t="s">
        <v>7329</v>
      </c>
      <c r="H1411" s="80">
        <v>6728000</v>
      </c>
    </row>
    <row r="1412" spans="1:8" x14ac:dyDescent="0.2">
      <c r="A1412" s="79" t="s">
        <v>8661</v>
      </c>
      <c r="B1412" s="79" t="s">
        <v>8691</v>
      </c>
      <c r="C1412" s="79" t="s">
        <v>7370</v>
      </c>
      <c r="D1412" s="79" t="s">
        <v>7328</v>
      </c>
      <c r="E1412" s="79">
        <v>7545</v>
      </c>
      <c r="G1412" s="79" t="s">
        <v>7329</v>
      </c>
      <c r="H1412" s="80">
        <v>10440000</v>
      </c>
    </row>
    <row r="1413" spans="1:8" x14ac:dyDescent="0.2">
      <c r="A1413" s="79" t="s">
        <v>8661</v>
      </c>
      <c r="B1413" s="79" t="s">
        <v>8692</v>
      </c>
      <c r="C1413" s="79" t="s">
        <v>7370</v>
      </c>
      <c r="D1413" s="79" t="s">
        <v>7328</v>
      </c>
      <c r="E1413" s="79">
        <v>7545</v>
      </c>
      <c r="G1413" s="79" t="s">
        <v>7329</v>
      </c>
      <c r="H1413" s="80">
        <v>7714000</v>
      </c>
    </row>
    <row r="1414" spans="1:8" x14ac:dyDescent="0.2">
      <c r="A1414" s="79" t="s">
        <v>8661</v>
      </c>
      <c r="B1414" s="79" t="s">
        <v>8693</v>
      </c>
      <c r="C1414" s="79" t="s">
        <v>7370</v>
      </c>
      <c r="D1414" s="79" t="s">
        <v>7328</v>
      </c>
      <c r="E1414" s="79">
        <v>7545</v>
      </c>
      <c r="G1414" s="79" t="s">
        <v>7329</v>
      </c>
      <c r="H1414" s="80">
        <v>7482000</v>
      </c>
    </row>
    <row r="1415" spans="1:8" x14ac:dyDescent="0.2">
      <c r="A1415" s="79" t="s">
        <v>8661</v>
      </c>
      <c r="B1415" s="79" t="s">
        <v>8694</v>
      </c>
      <c r="C1415" s="79" t="s">
        <v>7370</v>
      </c>
      <c r="D1415" s="79" t="s">
        <v>7328</v>
      </c>
      <c r="E1415" s="79">
        <v>7545</v>
      </c>
      <c r="G1415" s="79" t="s">
        <v>8017</v>
      </c>
      <c r="H1415" s="80">
        <v>9280000</v>
      </c>
    </row>
    <row r="1416" spans="1:8" x14ac:dyDescent="0.2">
      <c r="A1416" s="79" t="s">
        <v>8661</v>
      </c>
      <c r="B1416" s="79" t="s">
        <v>8695</v>
      </c>
      <c r="C1416" s="79" t="s">
        <v>7370</v>
      </c>
      <c r="D1416" s="79" t="s">
        <v>7328</v>
      </c>
      <c r="E1416" s="79">
        <v>7545</v>
      </c>
      <c r="G1416" s="79" t="s">
        <v>7329</v>
      </c>
      <c r="H1416" s="80">
        <v>7273200</v>
      </c>
    </row>
    <row r="1417" spans="1:8" x14ac:dyDescent="0.2">
      <c r="A1417" s="79" t="s">
        <v>8661</v>
      </c>
      <c r="B1417" s="79" t="s">
        <v>8696</v>
      </c>
      <c r="C1417" s="79" t="s">
        <v>7370</v>
      </c>
      <c r="D1417" s="79" t="s">
        <v>7328</v>
      </c>
      <c r="E1417" s="79">
        <v>7545</v>
      </c>
      <c r="H1417" s="80">
        <v>6871400</v>
      </c>
    </row>
    <row r="1418" spans="1:8" x14ac:dyDescent="0.2">
      <c r="A1418" s="79" t="s">
        <v>8661</v>
      </c>
      <c r="B1418" s="79" t="s">
        <v>8697</v>
      </c>
      <c r="C1418" s="79" t="s">
        <v>7370</v>
      </c>
      <c r="D1418" s="79" t="s">
        <v>7328</v>
      </c>
      <c r="E1418" s="79">
        <v>8200</v>
      </c>
      <c r="H1418" s="80">
        <v>7200000</v>
      </c>
    </row>
    <row r="1419" spans="1:8" x14ac:dyDescent="0.2">
      <c r="A1419" s="79" t="s">
        <v>8661</v>
      </c>
      <c r="B1419" s="79" t="s">
        <v>8698</v>
      </c>
      <c r="C1419" s="79" t="s">
        <v>7370</v>
      </c>
      <c r="D1419" s="79" t="s">
        <v>7328</v>
      </c>
      <c r="E1419" s="79">
        <v>7545</v>
      </c>
      <c r="G1419" s="79" t="s">
        <v>8278</v>
      </c>
      <c r="H1419" s="80">
        <v>8750000</v>
      </c>
    </row>
    <row r="1420" spans="1:8" x14ac:dyDescent="0.2">
      <c r="A1420" s="79" t="s">
        <v>8661</v>
      </c>
      <c r="B1420" s="79" t="s">
        <v>8699</v>
      </c>
      <c r="C1420" s="79" t="s">
        <v>7438</v>
      </c>
      <c r="D1420" s="79" t="s">
        <v>7328</v>
      </c>
      <c r="E1420" s="79">
        <v>16031</v>
      </c>
      <c r="H1420" s="80">
        <v>7760000</v>
      </c>
    </row>
    <row r="1421" spans="1:8" x14ac:dyDescent="0.2">
      <c r="A1421" s="79" t="s">
        <v>8661</v>
      </c>
      <c r="B1421" s="79" t="s">
        <v>8700</v>
      </c>
      <c r="C1421" s="79" t="s">
        <v>7438</v>
      </c>
      <c r="D1421" s="79" t="s">
        <v>7328</v>
      </c>
      <c r="E1421" s="79">
        <v>11945</v>
      </c>
      <c r="G1421" s="79" t="s">
        <v>8278</v>
      </c>
      <c r="H1421" s="80">
        <v>13166000</v>
      </c>
    </row>
    <row r="1422" spans="1:8" x14ac:dyDescent="0.2">
      <c r="A1422" s="79" t="s">
        <v>8661</v>
      </c>
      <c r="B1422" s="79" t="s">
        <v>8701</v>
      </c>
      <c r="C1422" s="79" t="s">
        <v>7374</v>
      </c>
      <c r="D1422" s="79" t="s">
        <v>7328</v>
      </c>
      <c r="E1422" s="79">
        <v>3907</v>
      </c>
      <c r="G1422" s="79" t="s">
        <v>7329</v>
      </c>
      <c r="H1422" s="80">
        <v>6635021</v>
      </c>
    </row>
    <row r="1423" spans="1:8" x14ac:dyDescent="0.2">
      <c r="A1423" s="79" t="s">
        <v>8661</v>
      </c>
      <c r="B1423" s="79" t="s">
        <v>8702</v>
      </c>
      <c r="C1423" s="79" t="s">
        <v>7374</v>
      </c>
      <c r="D1423" s="79" t="s">
        <v>7328</v>
      </c>
      <c r="E1423" s="79">
        <v>6373</v>
      </c>
      <c r="G1423" s="79" t="s">
        <v>7329</v>
      </c>
      <c r="H1423" s="80">
        <v>10555716</v>
      </c>
    </row>
    <row r="1424" spans="1:8" x14ac:dyDescent="0.2">
      <c r="A1424" s="79" t="s">
        <v>8661</v>
      </c>
      <c r="B1424" s="79" t="s">
        <v>8703</v>
      </c>
      <c r="C1424" s="79" t="s">
        <v>7374</v>
      </c>
      <c r="D1424" s="79" t="s">
        <v>7328</v>
      </c>
      <c r="E1424" s="79">
        <v>6373</v>
      </c>
      <c r="G1424" s="79" t="s">
        <v>7869</v>
      </c>
      <c r="H1424" s="80">
        <v>10254124</v>
      </c>
    </row>
    <row r="1425" spans="1:8" x14ac:dyDescent="0.2">
      <c r="A1425" s="79" t="s">
        <v>8661</v>
      </c>
      <c r="B1425" s="79" t="s">
        <v>8704</v>
      </c>
      <c r="C1425" s="79" t="s">
        <v>7438</v>
      </c>
      <c r="D1425" s="79" t="s">
        <v>7328</v>
      </c>
      <c r="E1425" s="79">
        <v>6370</v>
      </c>
      <c r="G1425" s="79" t="s">
        <v>8705</v>
      </c>
      <c r="H1425" s="80">
        <v>8806483</v>
      </c>
    </row>
    <row r="1426" spans="1:8" x14ac:dyDescent="0.2">
      <c r="A1426" s="79" t="s">
        <v>8661</v>
      </c>
      <c r="B1426" s="79" t="s">
        <v>8706</v>
      </c>
      <c r="C1426" s="79" t="s">
        <v>7370</v>
      </c>
      <c r="D1426" s="79" t="s">
        <v>7328</v>
      </c>
      <c r="H1426" s="80">
        <v>10205869</v>
      </c>
    </row>
    <row r="1427" spans="1:8" x14ac:dyDescent="0.2">
      <c r="A1427" s="79" t="s">
        <v>8661</v>
      </c>
      <c r="B1427" s="79" t="s">
        <v>8707</v>
      </c>
      <c r="C1427" s="79" t="s">
        <v>7311</v>
      </c>
      <c r="D1427" s="79" t="s">
        <v>7312</v>
      </c>
      <c r="E1427" s="79">
        <v>1997</v>
      </c>
      <c r="G1427" s="79" t="s">
        <v>7329</v>
      </c>
      <c r="H1427" s="80">
        <v>2586800</v>
      </c>
    </row>
    <row r="1428" spans="1:8" x14ac:dyDescent="0.2">
      <c r="A1428" s="79" t="s">
        <v>8661</v>
      </c>
      <c r="B1428" s="79" t="s">
        <v>8708</v>
      </c>
      <c r="C1428" s="79" t="s">
        <v>7311</v>
      </c>
      <c r="D1428" s="79" t="s">
        <v>7312</v>
      </c>
      <c r="E1428" s="79">
        <v>1997</v>
      </c>
      <c r="F1428" s="79" t="s">
        <v>7349</v>
      </c>
      <c r="G1428" s="79" t="s">
        <v>7329</v>
      </c>
      <c r="H1428" s="80">
        <v>2586800</v>
      </c>
    </row>
    <row r="1429" spans="1:8" x14ac:dyDescent="0.2">
      <c r="A1429" s="79" t="s">
        <v>8661</v>
      </c>
      <c r="B1429" s="79" t="s">
        <v>8709</v>
      </c>
      <c r="C1429" s="79" t="s">
        <v>7311</v>
      </c>
      <c r="D1429" s="79" t="s">
        <v>7312</v>
      </c>
      <c r="E1429" s="79">
        <v>1800</v>
      </c>
      <c r="G1429" s="79" t="s">
        <v>7329</v>
      </c>
      <c r="H1429" s="80">
        <v>3036400</v>
      </c>
    </row>
    <row r="1430" spans="1:8" x14ac:dyDescent="0.2">
      <c r="A1430" s="79" t="s">
        <v>8661</v>
      </c>
      <c r="B1430" s="79" t="s">
        <v>8709</v>
      </c>
      <c r="C1430" s="79" t="s">
        <v>7311</v>
      </c>
      <c r="D1430" s="79" t="s">
        <v>7312</v>
      </c>
      <c r="E1430" s="79">
        <v>1800</v>
      </c>
      <c r="G1430" s="79" t="s">
        <v>7313</v>
      </c>
      <c r="H1430" s="80">
        <v>3236400</v>
      </c>
    </row>
    <row r="1431" spans="1:8" x14ac:dyDescent="0.2">
      <c r="A1431" s="79" t="s">
        <v>8661</v>
      </c>
      <c r="B1431" s="79" t="s">
        <v>8710</v>
      </c>
      <c r="C1431" s="79" t="s">
        <v>7311</v>
      </c>
      <c r="D1431" s="79" t="s">
        <v>7312</v>
      </c>
      <c r="E1431" s="79">
        <v>1997</v>
      </c>
      <c r="G1431" s="79" t="s">
        <v>7313</v>
      </c>
      <c r="H1431" s="80">
        <v>3596000</v>
      </c>
    </row>
    <row r="1432" spans="1:8" x14ac:dyDescent="0.2">
      <c r="A1432" s="79" t="s">
        <v>8661</v>
      </c>
      <c r="B1432" s="79" t="s">
        <v>8711</v>
      </c>
      <c r="C1432" s="79" t="s">
        <v>7311</v>
      </c>
      <c r="D1432" s="79" t="s">
        <v>7312</v>
      </c>
      <c r="E1432" s="79">
        <v>2970</v>
      </c>
      <c r="G1432" s="79" t="s">
        <v>7329</v>
      </c>
      <c r="H1432" s="80">
        <v>3847168</v>
      </c>
    </row>
    <row r="1433" spans="1:8" x14ac:dyDescent="0.2">
      <c r="A1433" s="79" t="s">
        <v>8661</v>
      </c>
      <c r="B1433" s="79" t="s">
        <v>8712</v>
      </c>
      <c r="C1433" s="79" t="s">
        <v>7619</v>
      </c>
      <c r="D1433" s="79" t="s">
        <v>7328</v>
      </c>
      <c r="E1433" s="79">
        <v>2477</v>
      </c>
      <c r="G1433" s="79" t="s">
        <v>7329</v>
      </c>
      <c r="H1433" s="80">
        <v>1461600</v>
      </c>
    </row>
    <row r="1434" spans="1:8" x14ac:dyDescent="0.2">
      <c r="A1434" s="79" t="s">
        <v>8661</v>
      </c>
      <c r="B1434" s="79" t="s">
        <v>8713</v>
      </c>
      <c r="C1434" s="79" t="s">
        <v>7619</v>
      </c>
      <c r="D1434" s="79" t="s">
        <v>7328</v>
      </c>
      <c r="E1434" s="79">
        <v>2477</v>
      </c>
      <c r="G1434" s="79" t="s">
        <v>7313</v>
      </c>
      <c r="H1434" s="80">
        <v>1705200</v>
      </c>
    </row>
    <row r="1435" spans="1:8" x14ac:dyDescent="0.2">
      <c r="A1435" s="79" t="s">
        <v>8661</v>
      </c>
      <c r="B1435" s="79" t="s">
        <v>8714</v>
      </c>
      <c r="C1435" s="79" t="s">
        <v>8200</v>
      </c>
      <c r="D1435" s="79" t="s">
        <v>7328</v>
      </c>
      <c r="E1435" s="79">
        <v>2477</v>
      </c>
      <c r="G1435" s="79" t="s">
        <v>7313</v>
      </c>
      <c r="H1435" s="80">
        <v>2737600</v>
      </c>
    </row>
    <row r="1436" spans="1:8" x14ac:dyDescent="0.2">
      <c r="A1436" s="79" t="s">
        <v>8661</v>
      </c>
      <c r="B1436" s="79" t="s">
        <v>8715</v>
      </c>
      <c r="C1436" s="79" t="s">
        <v>7619</v>
      </c>
      <c r="D1436" s="79" t="s">
        <v>7328</v>
      </c>
      <c r="E1436" s="79">
        <v>2477</v>
      </c>
      <c r="G1436" s="79" t="s">
        <v>7329</v>
      </c>
      <c r="H1436" s="80">
        <v>2233000</v>
      </c>
    </row>
    <row r="1437" spans="1:8" x14ac:dyDescent="0.2">
      <c r="A1437" s="79" t="s">
        <v>8661</v>
      </c>
      <c r="B1437" s="79" t="s">
        <v>8716</v>
      </c>
      <c r="C1437" s="79" t="s">
        <v>7619</v>
      </c>
      <c r="D1437" s="79" t="s">
        <v>7328</v>
      </c>
      <c r="E1437" s="79">
        <v>2477</v>
      </c>
      <c r="G1437" s="79" t="s">
        <v>7329</v>
      </c>
      <c r="H1437" s="80">
        <v>2494000</v>
      </c>
    </row>
    <row r="1438" spans="1:8" x14ac:dyDescent="0.2">
      <c r="A1438" s="79" t="s">
        <v>8661</v>
      </c>
      <c r="B1438" s="79" t="s">
        <v>8717</v>
      </c>
      <c r="C1438" s="79" t="s">
        <v>7619</v>
      </c>
      <c r="D1438" s="79" t="s">
        <v>7328</v>
      </c>
      <c r="E1438" s="79">
        <v>2800</v>
      </c>
      <c r="G1438" s="79" t="s">
        <v>7313</v>
      </c>
      <c r="H1438" s="80">
        <v>2726000</v>
      </c>
    </row>
    <row r="1439" spans="1:8" x14ac:dyDescent="0.2">
      <c r="A1439" s="79" t="s">
        <v>8661</v>
      </c>
      <c r="B1439" s="79" t="s">
        <v>8718</v>
      </c>
      <c r="C1439" s="79" t="s">
        <v>8200</v>
      </c>
      <c r="D1439" s="79" t="s">
        <v>7328</v>
      </c>
      <c r="E1439" s="79">
        <v>2500</v>
      </c>
      <c r="G1439" s="79" t="s">
        <v>7313</v>
      </c>
      <c r="H1439" s="80">
        <v>3958500</v>
      </c>
    </row>
    <row r="1440" spans="1:8" x14ac:dyDescent="0.2">
      <c r="A1440" s="79" t="s">
        <v>8661</v>
      </c>
      <c r="B1440" s="79" t="s">
        <v>8719</v>
      </c>
      <c r="C1440" s="79" t="s">
        <v>8200</v>
      </c>
      <c r="D1440" s="79" t="s">
        <v>7328</v>
      </c>
      <c r="E1440" s="79">
        <v>2835</v>
      </c>
      <c r="G1440" s="79" t="s">
        <v>7313</v>
      </c>
      <c r="H1440" s="80">
        <v>3506000</v>
      </c>
    </row>
    <row r="1441" spans="1:8" x14ac:dyDescent="0.2">
      <c r="A1441" s="79" t="s">
        <v>8661</v>
      </c>
      <c r="B1441" s="79" t="s">
        <v>8720</v>
      </c>
      <c r="C1441" s="79" t="s">
        <v>8200</v>
      </c>
      <c r="D1441" s="79" t="s">
        <v>7328</v>
      </c>
      <c r="E1441" s="79">
        <v>3200</v>
      </c>
      <c r="G1441" s="79" t="s">
        <v>7313</v>
      </c>
      <c r="H1441" s="80">
        <v>4745400</v>
      </c>
    </row>
    <row r="1442" spans="1:8" x14ac:dyDescent="0.2">
      <c r="A1442" s="79" t="s">
        <v>8661</v>
      </c>
      <c r="B1442" s="79" t="s">
        <v>8721</v>
      </c>
      <c r="C1442" s="79" t="s">
        <v>8200</v>
      </c>
      <c r="D1442" s="79" t="s">
        <v>7328</v>
      </c>
      <c r="E1442" s="79">
        <v>2500</v>
      </c>
      <c r="G1442" s="79" t="s">
        <v>7313</v>
      </c>
      <c r="H1442" s="80">
        <v>5336000</v>
      </c>
    </row>
    <row r="1443" spans="1:8" x14ac:dyDescent="0.2">
      <c r="A1443" s="79" t="s">
        <v>8661</v>
      </c>
      <c r="B1443" s="79" t="s">
        <v>8722</v>
      </c>
      <c r="C1443" s="79" t="s">
        <v>7327</v>
      </c>
      <c r="D1443" s="79" t="s">
        <v>7312</v>
      </c>
      <c r="E1443" s="79">
        <v>2351</v>
      </c>
      <c r="F1443" s="79" t="s">
        <v>7336</v>
      </c>
      <c r="G1443" s="79" t="s">
        <v>7313</v>
      </c>
      <c r="H1443" s="80">
        <v>4597000</v>
      </c>
    </row>
    <row r="1444" spans="1:8" x14ac:dyDescent="0.2">
      <c r="A1444" s="79" t="s">
        <v>8661</v>
      </c>
      <c r="B1444" s="79" t="s">
        <v>8723</v>
      </c>
      <c r="C1444" s="79" t="s">
        <v>7311</v>
      </c>
      <c r="D1444" s="79" t="s">
        <v>7312</v>
      </c>
      <c r="E1444" s="79">
        <v>1299</v>
      </c>
      <c r="G1444" s="79" t="s">
        <v>7329</v>
      </c>
      <c r="H1444" s="80">
        <v>1075000</v>
      </c>
    </row>
    <row r="1445" spans="1:8" x14ac:dyDescent="0.2">
      <c r="A1445" s="79" t="s">
        <v>8661</v>
      </c>
      <c r="B1445" s="79" t="s">
        <v>8724</v>
      </c>
      <c r="C1445" s="79" t="s">
        <v>7311</v>
      </c>
      <c r="D1445" s="79" t="s">
        <v>7312</v>
      </c>
      <c r="E1445" s="79">
        <v>1299</v>
      </c>
      <c r="G1445" s="79" t="s">
        <v>7329</v>
      </c>
      <c r="H1445" s="80">
        <v>1600000</v>
      </c>
    </row>
    <row r="1446" spans="1:8" x14ac:dyDescent="0.2">
      <c r="A1446" s="79" t="s">
        <v>8661</v>
      </c>
      <c r="B1446" s="79" t="s">
        <v>8725</v>
      </c>
      <c r="C1446" s="79" t="s">
        <v>7311</v>
      </c>
      <c r="D1446" s="79" t="s">
        <v>7312</v>
      </c>
      <c r="E1446" s="79">
        <v>1500</v>
      </c>
      <c r="G1446" s="79" t="s">
        <v>7329</v>
      </c>
      <c r="H1446" s="80">
        <v>1698000</v>
      </c>
    </row>
    <row r="1447" spans="1:8" x14ac:dyDescent="0.2">
      <c r="A1447" s="79" t="s">
        <v>8661</v>
      </c>
      <c r="B1447" s="79" t="s">
        <v>8726</v>
      </c>
      <c r="C1447" s="79" t="s">
        <v>7311</v>
      </c>
      <c r="D1447" s="79" t="s">
        <v>7312</v>
      </c>
      <c r="E1447" s="79">
        <v>1684</v>
      </c>
      <c r="G1447" s="79" t="s">
        <v>7329</v>
      </c>
      <c r="H1447" s="80">
        <v>1954600</v>
      </c>
    </row>
    <row r="1448" spans="1:8" x14ac:dyDescent="0.2">
      <c r="A1448" s="79" t="s">
        <v>8661</v>
      </c>
      <c r="B1448" s="79" t="s">
        <v>8727</v>
      </c>
      <c r="C1448" s="79" t="s">
        <v>7311</v>
      </c>
      <c r="D1448" s="79" t="s">
        <v>7312</v>
      </c>
      <c r="E1448" s="79">
        <v>1584</v>
      </c>
      <c r="G1448" s="79" t="s">
        <v>7329</v>
      </c>
      <c r="H1448" s="80">
        <v>2140200</v>
      </c>
    </row>
    <row r="1449" spans="1:8" x14ac:dyDescent="0.2">
      <c r="A1449" s="79" t="s">
        <v>8661</v>
      </c>
      <c r="B1449" s="79" t="s">
        <v>8727</v>
      </c>
      <c r="C1449" s="79" t="s">
        <v>7311</v>
      </c>
      <c r="D1449" s="79" t="s">
        <v>7312</v>
      </c>
      <c r="E1449" s="79">
        <v>1830</v>
      </c>
      <c r="G1449" s="79" t="s">
        <v>7329</v>
      </c>
      <c r="H1449" s="80">
        <v>2472579.5499999998</v>
      </c>
    </row>
    <row r="1450" spans="1:8" x14ac:dyDescent="0.2">
      <c r="A1450" s="79" t="s">
        <v>8661</v>
      </c>
      <c r="B1450" s="79" t="s">
        <v>8728</v>
      </c>
      <c r="C1450" s="79" t="s">
        <v>7335</v>
      </c>
      <c r="D1450" s="79" t="s">
        <v>7312</v>
      </c>
      <c r="E1450" s="79">
        <v>1830</v>
      </c>
      <c r="G1450" s="79" t="s">
        <v>7329</v>
      </c>
      <c r="H1450" s="80">
        <v>3506000</v>
      </c>
    </row>
    <row r="1451" spans="1:8" x14ac:dyDescent="0.2">
      <c r="A1451" s="79" t="s">
        <v>8661</v>
      </c>
      <c r="B1451" s="79" t="s">
        <v>8729</v>
      </c>
      <c r="C1451" s="79" t="s">
        <v>7311</v>
      </c>
      <c r="D1451" s="79" t="s">
        <v>7312</v>
      </c>
      <c r="E1451" s="79">
        <v>1800</v>
      </c>
      <c r="G1451" s="79" t="s">
        <v>7329</v>
      </c>
      <c r="H1451" s="80">
        <v>2813000</v>
      </c>
    </row>
    <row r="1452" spans="1:8" x14ac:dyDescent="0.2">
      <c r="A1452" s="79" t="s">
        <v>8661</v>
      </c>
      <c r="B1452" s="79" t="s">
        <v>8730</v>
      </c>
      <c r="C1452" s="79" t="s">
        <v>7311</v>
      </c>
      <c r="D1452" s="79" t="s">
        <v>7312</v>
      </c>
      <c r="E1452" s="79">
        <v>1600</v>
      </c>
      <c r="F1452" s="79" t="s">
        <v>8731</v>
      </c>
      <c r="G1452" s="79" t="s">
        <v>7329</v>
      </c>
      <c r="H1452" s="80">
        <v>2842000</v>
      </c>
    </row>
    <row r="1453" spans="1:8" x14ac:dyDescent="0.2">
      <c r="A1453" s="79" t="s">
        <v>8661</v>
      </c>
      <c r="B1453" s="79" t="s">
        <v>8732</v>
      </c>
      <c r="C1453" s="79" t="s">
        <v>7311</v>
      </c>
      <c r="D1453" s="79" t="s">
        <v>7312</v>
      </c>
      <c r="E1453" s="79">
        <v>1600</v>
      </c>
      <c r="F1453" s="79" t="s">
        <v>7349</v>
      </c>
      <c r="G1453" s="79" t="s">
        <v>7329</v>
      </c>
      <c r="H1453" s="80">
        <v>3074000</v>
      </c>
    </row>
    <row r="1454" spans="1:8" x14ac:dyDescent="0.2">
      <c r="A1454" s="79" t="s">
        <v>8661</v>
      </c>
      <c r="B1454" s="79" t="s">
        <v>8733</v>
      </c>
      <c r="C1454" s="79" t="s">
        <v>7311</v>
      </c>
      <c r="D1454" s="79" t="s">
        <v>7312</v>
      </c>
      <c r="E1454" s="79">
        <v>1499</v>
      </c>
      <c r="F1454" s="79" t="s">
        <v>7336</v>
      </c>
      <c r="G1454" s="79" t="s">
        <v>7329</v>
      </c>
      <c r="H1454" s="80">
        <v>2215600</v>
      </c>
    </row>
    <row r="1455" spans="1:8" x14ac:dyDescent="0.2">
      <c r="A1455" s="79" t="s">
        <v>8661</v>
      </c>
      <c r="B1455" s="79" t="s">
        <v>8733</v>
      </c>
      <c r="C1455" s="79" t="s">
        <v>7311</v>
      </c>
      <c r="D1455" s="79" t="s">
        <v>7312</v>
      </c>
      <c r="E1455" s="79">
        <v>1499</v>
      </c>
      <c r="F1455" s="79" t="s">
        <v>7349</v>
      </c>
      <c r="G1455" s="79" t="s">
        <v>7329</v>
      </c>
      <c r="H1455" s="80">
        <v>2447600</v>
      </c>
    </row>
    <row r="1456" spans="1:8" x14ac:dyDescent="0.2">
      <c r="A1456" s="79" t="s">
        <v>8661</v>
      </c>
      <c r="B1456" s="79" t="s">
        <v>8734</v>
      </c>
      <c r="C1456" s="79" t="s">
        <v>7311</v>
      </c>
      <c r="D1456" s="79" t="s">
        <v>7312</v>
      </c>
      <c r="E1456" s="79">
        <v>1468</v>
      </c>
      <c r="G1456" s="79" t="s">
        <v>7329</v>
      </c>
      <c r="H1456" s="80">
        <v>2169780.39</v>
      </c>
    </row>
    <row r="1457" spans="1:8" x14ac:dyDescent="0.2">
      <c r="A1457" s="79" t="s">
        <v>8661</v>
      </c>
      <c r="B1457" s="79" t="s">
        <v>8735</v>
      </c>
      <c r="C1457" s="79" t="s">
        <v>7311</v>
      </c>
      <c r="D1457" s="79" t="s">
        <v>7312</v>
      </c>
      <c r="E1457" s="79">
        <v>1499</v>
      </c>
      <c r="G1457" s="79" t="s">
        <v>7329</v>
      </c>
      <c r="H1457" s="80">
        <v>2025353</v>
      </c>
    </row>
    <row r="1458" spans="1:8" x14ac:dyDescent="0.2">
      <c r="A1458" s="79" t="s">
        <v>8661</v>
      </c>
      <c r="B1458" s="79" t="s">
        <v>8736</v>
      </c>
      <c r="C1458" s="79" t="s">
        <v>7311</v>
      </c>
      <c r="D1458" s="79" t="s">
        <v>7312</v>
      </c>
      <c r="E1458" s="79">
        <v>2000</v>
      </c>
      <c r="F1458" s="79" t="s">
        <v>7349</v>
      </c>
      <c r="G1458" s="79" t="s">
        <v>7329</v>
      </c>
      <c r="H1458" s="80">
        <v>3596000</v>
      </c>
    </row>
    <row r="1459" spans="1:8" x14ac:dyDescent="0.2">
      <c r="A1459" s="79" t="s">
        <v>8661</v>
      </c>
      <c r="B1459" s="79" t="s">
        <v>8737</v>
      </c>
      <c r="C1459" s="79" t="s">
        <v>7311</v>
      </c>
      <c r="D1459" s="79" t="s">
        <v>7312</v>
      </c>
      <c r="E1459" s="79">
        <v>2000</v>
      </c>
      <c r="F1459" s="79" t="s">
        <v>7349</v>
      </c>
      <c r="G1459" s="79" t="s">
        <v>7313</v>
      </c>
      <c r="H1459" s="80">
        <v>4187600</v>
      </c>
    </row>
    <row r="1460" spans="1:8" x14ac:dyDescent="0.2">
      <c r="A1460" s="79" t="s">
        <v>8661</v>
      </c>
      <c r="B1460" s="79" t="s">
        <v>8738</v>
      </c>
      <c r="C1460" s="79" t="s">
        <v>7335</v>
      </c>
      <c r="D1460" s="79" t="s">
        <v>7312</v>
      </c>
      <c r="E1460" s="79">
        <v>2000</v>
      </c>
      <c r="G1460" s="79" t="s">
        <v>7313</v>
      </c>
      <c r="H1460" s="80">
        <v>4161000</v>
      </c>
    </row>
    <row r="1461" spans="1:8" x14ac:dyDescent="0.2">
      <c r="A1461" s="79" t="s">
        <v>8661</v>
      </c>
      <c r="B1461" s="79" t="s">
        <v>8739</v>
      </c>
      <c r="C1461" s="79" t="s">
        <v>7335</v>
      </c>
      <c r="D1461" s="79" t="s">
        <v>7312</v>
      </c>
      <c r="E1461" s="79">
        <v>2000</v>
      </c>
      <c r="G1461" s="79" t="s">
        <v>7313</v>
      </c>
      <c r="H1461" s="80">
        <v>4272000</v>
      </c>
    </row>
    <row r="1462" spans="1:8" x14ac:dyDescent="0.2">
      <c r="A1462" s="79" t="s">
        <v>8661</v>
      </c>
      <c r="B1462" s="79" t="s">
        <v>8740</v>
      </c>
      <c r="C1462" s="79" t="s">
        <v>7311</v>
      </c>
      <c r="D1462" s="79" t="s">
        <v>7312</v>
      </c>
      <c r="E1462" s="79">
        <v>2000</v>
      </c>
      <c r="G1462" s="79" t="s">
        <v>7313</v>
      </c>
      <c r="H1462" s="80">
        <v>4399625</v>
      </c>
    </row>
    <row r="1463" spans="1:8" x14ac:dyDescent="0.2">
      <c r="A1463" s="79" t="s">
        <v>8661</v>
      </c>
      <c r="B1463" s="79" t="s">
        <v>8741</v>
      </c>
      <c r="C1463" s="79" t="s">
        <v>7311</v>
      </c>
      <c r="D1463" s="79" t="s">
        <v>7312</v>
      </c>
      <c r="E1463" s="79">
        <v>2000</v>
      </c>
      <c r="G1463" s="79" t="s">
        <v>7313</v>
      </c>
      <c r="H1463" s="80">
        <v>4479000</v>
      </c>
    </row>
    <row r="1464" spans="1:8" x14ac:dyDescent="0.2">
      <c r="A1464" s="79" t="s">
        <v>8661</v>
      </c>
      <c r="B1464" s="79" t="s">
        <v>8742</v>
      </c>
      <c r="C1464" s="79" t="s">
        <v>7311</v>
      </c>
      <c r="D1464" s="79" t="s">
        <v>7312</v>
      </c>
      <c r="E1464" s="79">
        <v>2000</v>
      </c>
      <c r="G1464" s="79" t="s">
        <v>7313</v>
      </c>
      <c r="H1464" s="80">
        <v>4726000</v>
      </c>
    </row>
    <row r="1465" spans="1:8" x14ac:dyDescent="0.2">
      <c r="A1465" s="79" t="s">
        <v>8661</v>
      </c>
      <c r="B1465" s="79" t="s">
        <v>8743</v>
      </c>
      <c r="C1465" s="79" t="s">
        <v>7311</v>
      </c>
      <c r="D1465" s="79" t="s">
        <v>7312</v>
      </c>
      <c r="E1465" s="79">
        <v>2000</v>
      </c>
      <c r="G1465" s="79" t="s">
        <v>7313</v>
      </c>
      <c r="H1465" s="80">
        <v>4661000</v>
      </c>
    </row>
    <row r="1466" spans="1:8" x14ac:dyDescent="0.2">
      <c r="A1466" s="79" t="s">
        <v>8661</v>
      </c>
      <c r="B1466" s="79" t="s">
        <v>8744</v>
      </c>
      <c r="C1466" s="79" t="s">
        <v>7335</v>
      </c>
      <c r="D1466" s="79" t="s">
        <v>7312</v>
      </c>
      <c r="E1466" s="79">
        <v>1200</v>
      </c>
      <c r="F1466" s="79" t="s">
        <v>7349</v>
      </c>
      <c r="G1466" s="79" t="s">
        <v>7329</v>
      </c>
      <c r="H1466" s="80">
        <v>2766060</v>
      </c>
    </row>
    <row r="1467" spans="1:8" x14ac:dyDescent="0.2">
      <c r="A1467" s="79" t="s">
        <v>8661</v>
      </c>
      <c r="B1467" s="79" t="s">
        <v>8744</v>
      </c>
      <c r="C1467" s="79" t="s">
        <v>7335</v>
      </c>
      <c r="D1467" s="79" t="s">
        <v>7312</v>
      </c>
      <c r="E1467" s="79">
        <v>1500</v>
      </c>
      <c r="F1467" s="79" t="s">
        <v>7349</v>
      </c>
      <c r="G1467" s="79" t="s">
        <v>7329</v>
      </c>
      <c r="H1467" s="80">
        <v>2806898</v>
      </c>
    </row>
    <row r="1468" spans="1:8" x14ac:dyDescent="0.2">
      <c r="A1468" s="79" t="s">
        <v>8661</v>
      </c>
      <c r="B1468" s="79" t="s">
        <v>8744</v>
      </c>
      <c r="C1468" s="79" t="s">
        <v>7335</v>
      </c>
      <c r="D1468" s="79" t="s">
        <v>7312</v>
      </c>
      <c r="E1468" s="79">
        <v>1600</v>
      </c>
      <c r="F1468" s="79" t="s">
        <v>7349</v>
      </c>
      <c r="G1468" s="79" t="s">
        <v>7313</v>
      </c>
      <c r="H1468" s="80">
        <v>3351398</v>
      </c>
    </row>
    <row r="1469" spans="1:8" x14ac:dyDescent="0.2">
      <c r="A1469" s="79" t="s">
        <v>8661</v>
      </c>
      <c r="B1469" s="79" t="s">
        <v>8744</v>
      </c>
      <c r="C1469" s="79" t="s">
        <v>7335</v>
      </c>
      <c r="D1469" s="79" t="s">
        <v>7312</v>
      </c>
      <c r="E1469" s="79">
        <v>1800</v>
      </c>
      <c r="F1469" s="79" t="s">
        <v>7349</v>
      </c>
      <c r="G1469" s="79" t="s">
        <v>7329</v>
      </c>
      <c r="H1469" s="80">
        <v>3625648</v>
      </c>
    </row>
    <row r="1470" spans="1:8" x14ac:dyDescent="0.2">
      <c r="A1470" s="79" t="s">
        <v>8661</v>
      </c>
      <c r="B1470" s="79" t="s">
        <v>8745</v>
      </c>
      <c r="C1470" s="79" t="s">
        <v>7335</v>
      </c>
      <c r="D1470" s="79" t="s">
        <v>7312</v>
      </c>
      <c r="E1470" s="79">
        <v>660</v>
      </c>
      <c r="F1470" s="79" t="s">
        <v>7349</v>
      </c>
      <c r="G1470" s="79" t="s">
        <v>7329</v>
      </c>
      <c r="H1470" s="80">
        <v>1533312</v>
      </c>
    </row>
    <row r="1471" spans="1:8" x14ac:dyDescent="0.2">
      <c r="A1471" s="79" t="s">
        <v>8661</v>
      </c>
      <c r="B1471" s="79" t="s">
        <v>8746</v>
      </c>
      <c r="C1471" s="79" t="s">
        <v>7335</v>
      </c>
      <c r="D1471" s="79" t="s">
        <v>7312</v>
      </c>
      <c r="E1471" s="79">
        <v>660</v>
      </c>
      <c r="G1471" s="79" t="s">
        <v>7313</v>
      </c>
      <c r="H1471" s="80">
        <v>1666412</v>
      </c>
    </row>
    <row r="1472" spans="1:8" x14ac:dyDescent="0.2">
      <c r="A1472" s="79" t="s">
        <v>8661</v>
      </c>
      <c r="B1472" s="79" t="s">
        <v>8746</v>
      </c>
      <c r="C1472" s="79" t="s">
        <v>7335</v>
      </c>
      <c r="D1472" s="79" t="s">
        <v>7312</v>
      </c>
      <c r="E1472" s="79">
        <v>660</v>
      </c>
      <c r="G1472" s="79" t="s">
        <v>7329</v>
      </c>
      <c r="H1472" s="80">
        <v>1559932</v>
      </c>
    </row>
    <row r="1473" spans="1:8" x14ac:dyDescent="0.2">
      <c r="A1473" s="79" t="s">
        <v>8661</v>
      </c>
      <c r="B1473" s="79" t="s">
        <v>8747</v>
      </c>
      <c r="C1473" s="79" t="s">
        <v>7335</v>
      </c>
      <c r="D1473" s="79" t="s">
        <v>7312</v>
      </c>
      <c r="E1473" s="79">
        <v>660</v>
      </c>
      <c r="G1473" s="79" t="s">
        <v>7329</v>
      </c>
      <c r="H1473" s="80">
        <v>1693032</v>
      </c>
    </row>
    <row r="1474" spans="1:8" x14ac:dyDescent="0.2">
      <c r="A1474" s="79" t="s">
        <v>8661</v>
      </c>
      <c r="B1474" s="79" t="s">
        <v>8748</v>
      </c>
      <c r="C1474" s="79" t="s">
        <v>7335</v>
      </c>
      <c r="D1474" s="79" t="s">
        <v>7328</v>
      </c>
      <c r="E1474" s="79">
        <v>2835</v>
      </c>
      <c r="F1474" s="79" t="s">
        <v>7349</v>
      </c>
      <c r="G1474" s="79" t="s">
        <v>7313</v>
      </c>
      <c r="H1474" s="80">
        <v>4848800</v>
      </c>
    </row>
    <row r="1475" spans="1:8" x14ac:dyDescent="0.2">
      <c r="A1475" s="79" t="s">
        <v>8661</v>
      </c>
      <c r="B1475" s="79" t="s">
        <v>8749</v>
      </c>
      <c r="C1475" s="79" t="s">
        <v>7335</v>
      </c>
      <c r="D1475" s="79" t="s">
        <v>7312</v>
      </c>
      <c r="E1475" s="79">
        <v>2351</v>
      </c>
      <c r="G1475" s="79" t="s">
        <v>7313</v>
      </c>
      <c r="H1475" s="80">
        <v>4282000</v>
      </c>
    </row>
    <row r="1476" spans="1:8" x14ac:dyDescent="0.2">
      <c r="A1476" s="79" t="s">
        <v>8661</v>
      </c>
      <c r="B1476" s="79" t="s">
        <v>8750</v>
      </c>
      <c r="C1476" s="79" t="s">
        <v>7335</v>
      </c>
      <c r="D1476" s="79" t="s">
        <v>7312</v>
      </c>
      <c r="E1476" s="79">
        <v>2400</v>
      </c>
      <c r="G1476" s="79" t="s">
        <v>7313</v>
      </c>
      <c r="H1476" s="80">
        <v>4688000</v>
      </c>
    </row>
    <row r="1477" spans="1:8" x14ac:dyDescent="0.2">
      <c r="A1477" s="79" t="s">
        <v>8661</v>
      </c>
      <c r="B1477" s="79" t="s">
        <v>8751</v>
      </c>
      <c r="C1477" s="79" t="s">
        <v>7335</v>
      </c>
      <c r="D1477" s="79" t="s">
        <v>7312</v>
      </c>
      <c r="E1477" s="79">
        <v>2400</v>
      </c>
      <c r="G1477" s="79" t="s">
        <v>7313</v>
      </c>
      <c r="H1477" s="80">
        <v>4831400</v>
      </c>
    </row>
    <row r="1478" spans="1:8" x14ac:dyDescent="0.2">
      <c r="A1478" s="79" t="s">
        <v>8661</v>
      </c>
      <c r="B1478" s="79" t="s">
        <v>8752</v>
      </c>
      <c r="C1478" s="79" t="s">
        <v>7335</v>
      </c>
      <c r="D1478" s="79" t="s">
        <v>7312</v>
      </c>
      <c r="E1478" s="79">
        <v>650</v>
      </c>
      <c r="G1478" s="79" t="s">
        <v>7313</v>
      </c>
      <c r="H1478" s="80">
        <v>938325</v>
      </c>
    </row>
    <row r="1479" spans="1:8" x14ac:dyDescent="0.2">
      <c r="A1479" s="79" t="s">
        <v>8661</v>
      </c>
      <c r="B1479" s="79" t="s">
        <v>8753</v>
      </c>
      <c r="C1479" s="79" t="s">
        <v>7335</v>
      </c>
      <c r="D1479" s="79" t="s">
        <v>7312</v>
      </c>
      <c r="E1479" s="79">
        <v>2350</v>
      </c>
      <c r="G1479" s="79" t="s">
        <v>7313</v>
      </c>
      <c r="H1479" s="80">
        <v>3196960</v>
      </c>
    </row>
    <row r="1480" spans="1:8" x14ac:dyDescent="0.2">
      <c r="A1480" s="79" t="s">
        <v>8661</v>
      </c>
      <c r="B1480" s="79" t="s">
        <v>8754</v>
      </c>
      <c r="C1480" s="79" t="s">
        <v>7335</v>
      </c>
      <c r="D1480" s="79" t="s">
        <v>7312</v>
      </c>
      <c r="E1480" s="79">
        <v>2350</v>
      </c>
      <c r="G1480" s="79" t="s">
        <v>7313</v>
      </c>
      <c r="H1480" s="80">
        <v>3140700</v>
      </c>
    </row>
    <row r="1481" spans="1:8" x14ac:dyDescent="0.2">
      <c r="A1481" s="79" t="s">
        <v>8661</v>
      </c>
      <c r="B1481" s="79" t="s">
        <v>8755</v>
      </c>
      <c r="C1481" s="79" t="s">
        <v>7335</v>
      </c>
      <c r="D1481" s="79" t="s">
        <v>7312</v>
      </c>
      <c r="E1481" s="79">
        <v>2400</v>
      </c>
      <c r="G1481" s="79" t="s">
        <v>7313</v>
      </c>
      <c r="H1481" s="80">
        <v>2861720</v>
      </c>
    </row>
    <row r="1482" spans="1:8" x14ac:dyDescent="0.2">
      <c r="A1482" s="79" t="s">
        <v>8661</v>
      </c>
      <c r="B1482" s="79" t="s">
        <v>8756</v>
      </c>
      <c r="C1482" s="79" t="s">
        <v>7335</v>
      </c>
      <c r="D1482" s="79" t="s">
        <v>7328</v>
      </c>
      <c r="E1482" s="79">
        <v>2800</v>
      </c>
      <c r="G1482" s="79" t="s">
        <v>7313</v>
      </c>
      <c r="H1482" s="80">
        <v>3195800</v>
      </c>
    </row>
    <row r="1483" spans="1:8" x14ac:dyDescent="0.2">
      <c r="A1483" s="79" t="s">
        <v>8661</v>
      </c>
      <c r="B1483" s="79" t="s">
        <v>8757</v>
      </c>
      <c r="C1483" s="79" t="s">
        <v>7335</v>
      </c>
      <c r="D1483" s="79" t="s">
        <v>7312</v>
      </c>
      <c r="E1483" s="79">
        <v>2476</v>
      </c>
      <c r="G1483" s="79" t="s">
        <v>7313</v>
      </c>
      <c r="H1483" s="80">
        <v>3951120</v>
      </c>
    </row>
    <row r="1484" spans="1:8" x14ac:dyDescent="0.2">
      <c r="A1484" s="79" t="s">
        <v>8661</v>
      </c>
      <c r="B1484" s="79" t="s">
        <v>8758</v>
      </c>
      <c r="C1484" s="79" t="s">
        <v>7335</v>
      </c>
      <c r="D1484" s="79" t="s">
        <v>7312</v>
      </c>
      <c r="E1484" s="79">
        <v>2835</v>
      </c>
      <c r="G1484" s="79" t="s">
        <v>7313</v>
      </c>
      <c r="H1484" s="80">
        <v>4524000</v>
      </c>
    </row>
    <row r="1485" spans="1:8" x14ac:dyDescent="0.2">
      <c r="A1485" s="79" t="s">
        <v>8661</v>
      </c>
      <c r="B1485" s="79" t="s">
        <v>8758</v>
      </c>
      <c r="C1485" s="79" t="s">
        <v>7335</v>
      </c>
      <c r="D1485" s="79" t="s">
        <v>7328</v>
      </c>
      <c r="E1485" s="79">
        <v>2835</v>
      </c>
      <c r="G1485" s="79" t="s">
        <v>7313</v>
      </c>
      <c r="H1485" s="80">
        <v>4901301.5999999996</v>
      </c>
    </row>
    <row r="1486" spans="1:8" x14ac:dyDescent="0.2">
      <c r="A1486" s="79" t="s">
        <v>8661</v>
      </c>
      <c r="B1486" s="79" t="s">
        <v>8759</v>
      </c>
      <c r="C1486" s="79" t="s">
        <v>7335</v>
      </c>
      <c r="D1486" s="79" t="s">
        <v>7312</v>
      </c>
      <c r="E1486" s="79">
        <v>3500</v>
      </c>
      <c r="G1486" s="79" t="s">
        <v>7313</v>
      </c>
      <c r="H1486" s="80">
        <v>6442572.4400000004</v>
      </c>
    </row>
    <row r="1487" spans="1:8" x14ac:dyDescent="0.2">
      <c r="A1487" s="79" t="s">
        <v>8661</v>
      </c>
      <c r="B1487" s="79" t="s">
        <v>8760</v>
      </c>
      <c r="C1487" s="79" t="s">
        <v>7335</v>
      </c>
      <c r="D1487" s="79" t="s">
        <v>7328</v>
      </c>
      <c r="E1487" s="79">
        <v>2972</v>
      </c>
      <c r="G1487" s="79" t="s">
        <v>7313</v>
      </c>
      <c r="H1487" s="80">
        <v>5781022.4000000004</v>
      </c>
    </row>
    <row r="1488" spans="1:8" x14ac:dyDescent="0.2">
      <c r="A1488" s="79" t="s">
        <v>8661</v>
      </c>
      <c r="B1488" s="79" t="s">
        <v>8761</v>
      </c>
      <c r="C1488" s="79" t="s">
        <v>7335</v>
      </c>
      <c r="D1488" s="79" t="s">
        <v>7312</v>
      </c>
      <c r="E1488" s="79">
        <v>2972</v>
      </c>
      <c r="G1488" s="79" t="s">
        <v>7313</v>
      </c>
      <c r="H1488" s="80">
        <v>5781022.4000000004</v>
      </c>
    </row>
    <row r="1489" spans="1:8" x14ac:dyDescent="0.2">
      <c r="A1489" s="79" t="s">
        <v>8661</v>
      </c>
      <c r="B1489" s="79" t="s">
        <v>8762</v>
      </c>
      <c r="C1489" s="79" t="s">
        <v>7335</v>
      </c>
      <c r="D1489" s="79" t="s">
        <v>7312</v>
      </c>
      <c r="E1489" s="79">
        <v>3500</v>
      </c>
      <c r="G1489" s="79" t="s">
        <v>7313</v>
      </c>
      <c r="H1489" s="80">
        <v>6817836.2000000002</v>
      </c>
    </row>
    <row r="1490" spans="1:8" x14ac:dyDescent="0.2">
      <c r="A1490" s="79" t="s">
        <v>8661</v>
      </c>
      <c r="B1490" s="79" t="s">
        <v>8763</v>
      </c>
      <c r="C1490" s="79" t="s">
        <v>7335</v>
      </c>
      <c r="D1490" s="79" t="s">
        <v>7328</v>
      </c>
      <c r="E1490" s="79">
        <v>2835</v>
      </c>
      <c r="G1490" s="79" t="s">
        <v>7313</v>
      </c>
      <c r="H1490" s="80">
        <v>4474008.6399999997</v>
      </c>
    </row>
    <row r="1491" spans="1:8" x14ac:dyDescent="0.2">
      <c r="A1491" s="79" t="s">
        <v>8661</v>
      </c>
      <c r="B1491" s="79" t="s">
        <v>8764</v>
      </c>
      <c r="C1491" s="79" t="s">
        <v>7335</v>
      </c>
      <c r="D1491" s="79" t="s">
        <v>7328</v>
      </c>
      <c r="E1491" s="79">
        <v>3200</v>
      </c>
      <c r="G1491" s="79" t="s">
        <v>7313</v>
      </c>
      <c r="H1491" s="80">
        <v>6095208.4000000004</v>
      </c>
    </row>
    <row r="1492" spans="1:8" x14ac:dyDescent="0.2">
      <c r="A1492" s="79" t="s">
        <v>8661</v>
      </c>
      <c r="B1492" s="79" t="s">
        <v>8765</v>
      </c>
      <c r="C1492" s="79" t="s">
        <v>7335</v>
      </c>
      <c r="D1492" s="79" t="s">
        <v>7328</v>
      </c>
      <c r="E1492" s="79">
        <v>2970</v>
      </c>
      <c r="G1492" s="79" t="s">
        <v>7313</v>
      </c>
      <c r="H1492" s="80">
        <v>7239278.7999999998</v>
      </c>
    </row>
    <row r="1493" spans="1:8" x14ac:dyDescent="0.2">
      <c r="A1493" s="79" t="s">
        <v>8661</v>
      </c>
      <c r="B1493" s="79" t="s">
        <v>8765</v>
      </c>
      <c r="C1493" s="79" t="s">
        <v>7335</v>
      </c>
      <c r="D1493" s="79" t="s">
        <v>7312</v>
      </c>
      <c r="E1493" s="79">
        <v>2970</v>
      </c>
      <c r="G1493" s="79" t="s">
        <v>7313</v>
      </c>
      <c r="H1493" s="80">
        <v>6195000</v>
      </c>
    </row>
    <row r="1494" spans="1:8" x14ac:dyDescent="0.2">
      <c r="A1494" s="79" t="s">
        <v>8661</v>
      </c>
      <c r="B1494" s="79" t="s">
        <v>8766</v>
      </c>
      <c r="C1494" s="79" t="s">
        <v>7335</v>
      </c>
      <c r="D1494" s="79" t="s">
        <v>7328</v>
      </c>
      <c r="E1494" s="79">
        <v>3200</v>
      </c>
      <c r="G1494" s="79" t="s">
        <v>7313</v>
      </c>
      <c r="H1494" s="80">
        <v>7138522.5999999996</v>
      </c>
    </row>
    <row r="1495" spans="1:8" x14ac:dyDescent="0.2">
      <c r="A1495" s="79" t="s">
        <v>8661</v>
      </c>
      <c r="B1495" s="79" t="s">
        <v>8767</v>
      </c>
      <c r="C1495" s="79" t="s">
        <v>7335</v>
      </c>
      <c r="D1495" s="79" t="s">
        <v>7328</v>
      </c>
      <c r="E1495" s="79">
        <v>3000</v>
      </c>
      <c r="G1495" s="79" t="s">
        <v>7313</v>
      </c>
      <c r="H1495" s="80">
        <v>8043161.5999999996</v>
      </c>
    </row>
    <row r="1496" spans="1:8" x14ac:dyDescent="0.2">
      <c r="A1496" s="79" t="s">
        <v>8661</v>
      </c>
      <c r="B1496" s="79" t="s">
        <v>8767</v>
      </c>
      <c r="C1496" s="79" t="s">
        <v>7335</v>
      </c>
      <c r="D1496" s="79" t="s">
        <v>7312</v>
      </c>
      <c r="E1496" s="79">
        <v>3000</v>
      </c>
      <c r="G1496" s="79" t="s">
        <v>7313</v>
      </c>
      <c r="H1496" s="80">
        <v>6670000</v>
      </c>
    </row>
    <row r="1497" spans="1:8" x14ac:dyDescent="0.2">
      <c r="A1497" s="79" t="s">
        <v>8661</v>
      </c>
      <c r="B1497" s="79" t="s">
        <v>8768</v>
      </c>
      <c r="C1497" s="79" t="s">
        <v>7335</v>
      </c>
      <c r="D1497" s="79" t="s">
        <v>7328</v>
      </c>
      <c r="E1497" s="79">
        <v>2800</v>
      </c>
      <c r="G1497" s="79" t="s">
        <v>7313</v>
      </c>
      <c r="H1497" s="80">
        <v>7791812.7999999998</v>
      </c>
    </row>
    <row r="1498" spans="1:8" x14ac:dyDescent="0.2">
      <c r="A1498" s="79" t="s">
        <v>8661</v>
      </c>
      <c r="B1498" s="79" t="s">
        <v>8769</v>
      </c>
      <c r="C1498" s="79" t="s">
        <v>7335</v>
      </c>
      <c r="D1498" s="79" t="s">
        <v>7328</v>
      </c>
      <c r="E1498" s="79">
        <v>2800</v>
      </c>
      <c r="G1498" s="79" t="s">
        <v>7313</v>
      </c>
      <c r="H1498" s="80">
        <v>6249159.54</v>
      </c>
    </row>
    <row r="1499" spans="1:8" x14ac:dyDescent="0.2">
      <c r="A1499" s="79" t="s">
        <v>8661</v>
      </c>
      <c r="B1499" s="79" t="s">
        <v>8770</v>
      </c>
      <c r="C1499" s="79" t="s">
        <v>7335</v>
      </c>
      <c r="D1499" s="79" t="s">
        <v>7328</v>
      </c>
      <c r="E1499" s="79">
        <v>2800</v>
      </c>
      <c r="G1499" s="79" t="s">
        <v>7313</v>
      </c>
      <c r="H1499" s="80">
        <v>7685206.2400000002</v>
      </c>
    </row>
    <row r="1500" spans="1:8" x14ac:dyDescent="0.2">
      <c r="A1500" s="79" t="s">
        <v>8661</v>
      </c>
      <c r="B1500" s="79" t="s">
        <v>8771</v>
      </c>
      <c r="C1500" s="79" t="s">
        <v>7335</v>
      </c>
      <c r="D1500" s="79" t="s">
        <v>7328</v>
      </c>
      <c r="E1500" s="79">
        <v>2800</v>
      </c>
      <c r="G1500" s="79" t="s">
        <v>7313</v>
      </c>
      <c r="H1500" s="80">
        <v>5969534</v>
      </c>
    </row>
    <row r="1501" spans="1:8" x14ac:dyDescent="0.2">
      <c r="A1501" s="79" t="s">
        <v>8661</v>
      </c>
      <c r="B1501" s="79" t="s">
        <v>8772</v>
      </c>
      <c r="C1501" s="79" t="s">
        <v>7335</v>
      </c>
      <c r="D1501" s="79" t="s">
        <v>7328</v>
      </c>
      <c r="E1501" s="79">
        <v>3800</v>
      </c>
      <c r="G1501" s="79" t="s">
        <v>7313</v>
      </c>
      <c r="H1501" s="80">
        <v>9513172.8900000006</v>
      </c>
    </row>
    <row r="1502" spans="1:8" x14ac:dyDescent="0.2">
      <c r="A1502" s="79" t="s">
        <v>8661</v>
      </c>
      <c r="B1502" s="79" t="s">
        <v>8773</v>
      </c>
      <c r="C1502" s="79" t="s">
        <v>7335</v>
      </c>
      <c r="D1502" s="79" t="s">
        <v>7328</v>
      </c>
      <c r="E1502" s="79">
        <v>3200</v>
      </c>
      <c r="G1502" s="79" t="s">
        <v>7313</v>
      </c>
      <c r="H1502" s="80">
        <v>7746310</v>
      </c>
    </row>
    <row r="1503" spans="1:8" x14ac:dyDescent="0.2">
      <c r="A1503" s="79" t="s">
        <v>8661</v>
      </c>
      <c r="B1503" s="79" t="s">
        <v>8774</v>
      </c>
      <c r="C1503" s="79" t="s">
        <v>7335</v>
      </c>
      <c r="D1503" s="79" t="s">
        <v>7328</v>
      </c>
      <c r="E1503" s="79">
        <v>3200</v>
      </c>
      <c r="F1503" s="79" t="s">
        <v>7349</v>
      </c>
      <c r="G1503" s="79" t="s">
        <v>7313</v>
      </c>
      <c r="H1503" s="80">
        <v>7666138.4000000004</v>
      </c>
    </row>
    <row r="1504" spans="1:8" x14ac:dyDescent="0.2">
      <c r="A1504" s="79" t="s">
        <v>8661</v>
      </c>
      <c r="B1504" s="79" t="s">
        <v>8775</v>
      </c>
      <c r="C1504" s="79" t="s">
        <v>7335</v>
      </c>
      <c r="D1504" s="79" t="s">
        <v>7312</v>
      </c>
      <c r="E1504" s="79">
        <v>1830</v>
      </c>
      <c r="G1504" s="79" t="s">
        <v>7313</v>
      </c>
      <c r="H1504" s="80">
        <v>2308110</v>
      </c>
    </row>
    <row r="1505" spans="1:8" x14ac:dyDescent="0.2">
      <c r="A1505" s="79" t="s">
        <v>8661</v>
      </c>
      <c r="B1505" s="79" t="s">
        <v>8775</v>
      </c>
      <c r="C1505" s="79" t="s">
        <v>7335</v>
      </c>
      <c r="D1505" s="79" t="s">
        <v>7312</v>
      </c>
      <c r="E1505" s="79">
        <v>2000</v>
      </c>
      <c r="G1505" s="79" t="s">
        <v>7313</v>
      </c>
      <c r="H1505" s="80">
        <v>2501408</v>
      </c>
    </row>
    <row r="1506" spans="1:8" x14ac:dyDescent="0.2">
      <c r="A1506" s="79" t="s">
        <v>8661</v>
      </c>
      <c r="B1506" s="79" t="s">
        <v>8776</v>
      </c>
      <c r="C1506" s="79" t="s">
        <v>7335</v>
      </c>
      <c r="D1506" s="79" t="s">
        <v>7328</v>
      </c>
      <c r="E1506" s="79">
        <v>2500</v>
      </c>
      <c r="G1506" s="79" t="s">
        <v>7313</v>
      </c>
      <c r="H1506" s="80">
        <v>4814000</v>
      </c>
    </row>
    <row r="1507" spans="1:8" x14ac:dyDescent="0.2">
      <c r="A1507" s="79" t="s">
        <v>8661</v>
      </c>
      <c r="B1507" s="79" t="s">
        <v>8777</v>
      </c>
      <c r="C1507" s="79" t="s">
        <v>7335</v>
      </c>
      <c r="D1507" s="79" t="s">
        <v>7328</v>
      </c>
      <c r="E1507" s="79">
        <v>2500</v>
      </c>
      <c r="G1507" s="79" t="s">
        <v>7313</v>
      </c>
      <c r="H1507" s="80">
        <v>5104000</v>
      </c>
    </row>
    <row r="1508" spans="1:8" x14ac:dyDescent="0.2">
      <c r="A1508" s="79" t="s">
        <v>8661</v>
      </c>
      <c r="B1508" s="79" t="s">
        <v>8777</v>
      </c>
      <c r="C1508" s="79" t="s">
        <v>7335</v>
      </c>
      <c r="D1508" s="79" t="s">
        <v>7328</v>
      </c>
      <c r="E1508" s="79">
        <v>2500</v>
      </c>
      <c r="G1508" s="79" t="s">
        <v>7313</v>
      </c>
      <c r="H1508" s="80">
        <v>5452000</v>
      </c>
    </row>
    <row r="1509" spans="1:8" x14ac:dyDescent="0.2">
      <c r="A1509" s="79" t="s">
        <v>8661</v>
      </c>
      <c r="B1509" s="79" t="s">
        <v>8778</v>
      </c>
      <c r="C1509" s="79" t="s">
        <v>7335</v>
      </c>
      <c r="D1509" s="79" t="s">
        <v>7312</v>
      </c>
      <c r="E1509" s="79">
        <v>2000</v>
      </c>
      <c r="G1509" s="79" t="s">
        <v>7329</v>
      </c>
      <c r="H1509" s="80">
        <v>3885000</v>
      </c>
    </row>
    <row r="1510" spans="1:8" x14ac:dyDescent="0.2">
      <c r="A1510" s="79" t="s">
        <v>8661</v>
      </c>
      <c r="B1510" s="79" t="s">
        <v>8778</v>
      </c>
      <c r="C1510" s="79" t="s">
        <v>7335</v>
      </c>
      <c r="D1510" s="79" t="s">
        <v>7312</v>
      </c>
      <c r="E1510" s="79">
        <v>2000</v>
      </c>
      <c r="G1510" s="79" t="s">
        <v>7313</v>
      </c>
      <c r="H1510" s="80">
        <v>4400000</v>
      </c>
    </row>
    <row r="1511" spans="1:8" x14ac:dyDescent="0.2">
      <c r="A1511" s="79" t="s">
        <v>8661</v>
      </c>
      <c r="B1511" s="79" t="s">
        <v>8778</v>
      </c>
      <c r="C1511" s="79" t="s">
        <v>7335</v>
      </c>
      <c r="D1511" s="79" t="s">
        <v>7312</v>
      </c>
      <c r="E1511" s="79">
        <v>2400</v>
      </c>
      <c r="G1511" s="79" t="s">
        <v>7313</v>
      </c>
      <c r="H1511" s="80">
        <v>4550000</v>
      </c>
    </row>
    <row r="1512" spans="1:8" x14ac:dyDescent="0.2">
      <c r="A1512" s="79" t="s">
        <v>8661</v>
      </c>
      <c r="B1512" s="79" t="s">
        <v>8779</v>
      </c>
      <c r="C1512" s="79" t="s">
        <v>7335</v>
      </c>
      <c r="D1512" s="79" t="s">
        <v>7312</v>
      </c>
      <c r="E1512" s="79">
        <v>2400</v>
      </c>
      <c r="G1512" s="79" t="s">
        <v>7313</v>
      </c>
      <c r="H1512" s="80">
        <v>4800000</v>
      </c>
    </row>
    <row r="1513" spans="1:8" x14ac:dyDescent="0.2">
      <c r="A1513" s="79" t="s">
        <v>8482</v>
      </c>
      <c r="B1513" s="79" t="s">
        <v>8780</v>
      </c>
      <c r="C1513" s="79" t="s">
        <v>7335</v>
      </c>
      <c r="D1513" s="79" t="s">
        <v>7312</v>
      </c>
      <c r="E1513" s="79">
        <v>1300</v>
      </c>
      <c r="G1513" s="79" t="s">
        <v>7329</v>
      </c>
      <c r="H1513" s="80">
        <v>1941000</v>
      </c>
    </row>
    <row r="1514" spans="1:8" x14ac:dyDescent="0.2">
      <c r="A1514" s="79" t="s">
        <v>8482</v>
      </c>
      <c r="B1514" s="79" t="s">
        <v>8780</v>
      </c>
      <c r="C1514" s="79" t="s">
        <v>7335</v>
      </c>
      <c r="D1514" s="79" t="s">
        <v>7312</v>
      </c>
      <c r="E1514" s="79">
        <v>1490</v>
      </c>
      <c r="G1514" s="79" t="s">
        <v>7329</v>
      </c>
      <c r="H1514" s="80">
        <v>2340000</v>
      </c>
    </row>
    <row r="1515" spans="1:8" x14ac:dyDescent="0.2">
      <c r="A1515" s="79" t="s">
        <v>8482</v>
      </c>
      <c r="B1515" s="79" t="s">
        <v>8780</v>
      </c>
      <c r="C1515" s="79" t="s">
        <v>7335</v>
      </c>
      <c r="D1515" s="79" t="s">
        <v>7312</v>
      </c>
      <c r="E1515" s="79">
        <v>1600</v>
      </c>
      <c r="G1515" s="79" t="s">
        <v>7329</v>
      </c>
      <c r="H1515" s="80">
        <v>2635000</v>
      </c>
    </row>
    <row r="1516" spans="1:8" x14ac:dyDescent="0.2">
      <c r="A1516" s="79" t="s">
        <v>8482</v>
      </c>
      <c r="B1516" s="79" t="s">
        <v>8780</v>
      </c>
      <c r="C1516" s="79" t="s">
        <v>7335</v>
      </c>
      <c r="D1516" s="79" t="s">
        <v>7312</v>
      </c>
      <c r="E1516" s="79">
        <v>1760</v>
      </c>
      <c r="G1516" s="79" t="s">
        <v>7329</v>
      </c>
      <c r="H1516" s="80">
        <v>2964375</v>
      </c>
    </row>
    <row r="1517" spans="1:8" x14ac:dyDescent="0.2">
      <c r="A1517" s="79" t="s">
        <v>8482</v>
      </c>
      <c r="B1517" s="79" t="s">
        <v>8781</v>
      </c>
      <c r="C1517" s="79" t="s">
        <v>7311</v>
      </c>
      <c r="D1517" s="79" t="s">
        <v>7312</v>
      </c>
      <c r="E1517" s="79">
        <v>1500</v>
      </c>
      <c r="F1517" s="79" t="s">
        <v>7336</v>
      </c>
      <c r="G1517" s="79" t="s">
        <v>7329</v>
      </c>
      <c r="H1517" s="80">
        <v>3771354</v>
      </c>
    </row>
    <row r="1518" spans="1:8" x14ac:dyDescent="0.2">
      <c r="A1518" s="79" t="s">
        <v>8482</v>
      </c>
      <c r="B1518" s="79" t="s">
        <v>8782</v>
      </c>
      <c r="C1518" s="79" t="s">
        <v>7311</v>
      </c>
      <c r="D1518" s="79" t="s">
        <v>7312</v>
      </c>
      <c r="E1518" s="79">
        <v>1500</v>
      </c>
      <c r="F1518" s="79" t="s">
        <v>8783</v>
      </c>
      <c r="G1518" s="79" t="s">
        <v>7329</v>
      </c>
      <c r="H1518" s="80">
        <v>3772498</v>
      </c>
    </row>
    <row r="1519" spans="1:8" x14ac:dyDescent="0.2">
      <c r="A1519" s="79" t="s">
        <v>8482</v>
      </c>
      <c r="B1519" s="79" t="s">
        <v>8784</v>
      </c>
      <c r="C1519" s="79" t="s">
        <v>7335</v>
      </c>
      <c r="D1519" s="79" t="s">
        <v>7312</v>
      </c>
      <c r="E1519" s="79">
        <v>1998</v>
      </c>
      <c r="G1519" s="79" t="s">
        <v>7329</v>
      </c>
      <c r="H1519" s="80">
        <v>3294500</v>
      </c>
    </row>
    <row r="1520" spans="1:8" x14ac:dyDescent="0.2">
      <c r="A1520" s="79" t="s">
        <v>8482</v>
      </c>
      <c r="B1520" s="79" t="s">
        <v>8785</v>
      </c>
      <c r="C1520" s="79" t="s">
        <v>7311</v>
      </c>
      <c r="D1520" s="79" t="s">
        <v>7312</v>
      </c>
      <c r="E1520" s="79">
        <v>1330</v>
      </c>
      <c r="G1520" s="79" t="s">
        <v>7329</v>
      </c>
      <c r="H1520" s="80">
        <v>1471500</v>
      </c>
    </row>
    <row r="1521" spans="1:8" x14ac:dyDescent="0.2">
      <c r="A1521" s="79" t="s">
        <v>8482</v>
      </c>
      <c r="B1521" s="79" t="s">
        <v>8786</v>
      </c>
      <c r="C1521" s="79" t="s">
        <v>7311</v>
      </c>
      <c r="D1521" s="79" t="s">
        <v>7312</v>
      </c>
      <c r="E1521" s="79">
        <v>1490</v>
      </c>
      <c r="G1521" s="79" t="s">
        <v>7329</v>
      </c>
      <c r="H1521" s="80">
        <v>1525500</v>
      </c>
    </row>
    <row r="1522" spans="1:8" x14ac:dyDescent="0.2">
      <c r="A1522" s="79" t="s">
        <v>8482</v>
      </c>
      <c r="B1522" s="79" t="s">
        <v>8787</v>
      </c>
      <c r="C1522" s="79" t="s">
        <v>7311</v>
      </c>
      <c r="D1522" s="79" t="s">
        <v>7312</v>
      </c>
      <c r="E1522" s="79">
        <v>1600</v>
      </c>
      <c r="G1522" s="79" t="s">
        <v>7329</v>
      </c>
      <c r="H1522" s="80">
        <v>1782000</v>
      </c>
    </row>
    <row r="1523" spans="1:8" x14ac:dyDescent="0.2">
      <c r="A1523" s="79" t="s">
        <v>8482</v>
      </c>
      <c r="B1523" s="79" t="s">
        <v>8788</v>
      </c>
      <c r="C1523" s="79" t="s">
        <v>7311</v>
      </c>
      <c r="D1523" s="79" t="s">
        <v>7312</v>
      </c>
      <c r="E1523" s="79">
        <v>1800</v>
      </c>
      <c r="G1523" s="79" t="s">
        <v>7329</v>
      </c>
      <c r="H1523" s="80">
        <v>1960200</v>
      </c>
    </row>
    <row r="1524" spans="1:8" x14ac:dyDescent="0.2">
      <c r="A1524" s="79" t="s">
        <v>8482</v>
      </c>
      <c r="B1524" s="79" t="s">
        <v>8789</v>
      </c>
      <c r="C1524" s="79" t="s">
        <v>7311</v>
      </c>
      <c r="D1524" s="79" t="s">
        <v>7312</v>
      </c>
      <c r="E1524" s="79">
        <v>1500</v>
      </c>
      <c r="G1524" s="79" t="s">
        <v>7329</v>
      </c>
      <c r="H1524" s="80">
        <v>2311750</v>
      </c>
    </row>
    <row r="1525" spans="1:8" x14ac:dyDescent="0.2">
      <c r="A1525" s="79" t="s">
        <v>8482</v>
      </c>
      <c r="B1525" s="79" t="s">
        <v>8789</v>
      </c>
      <c r="C1525" s="79" t="s">
        <v>7311</v>
      </c>
      <c r="D1525" s="79" t="s">
        <v>7312</v>
      </c>
      <c r="E1525" s="79">
        <v>1800</v>
      </c>
      <c r="G1525" s="79" t="s">
        <v>7329</v>
      </c>
      <c r="H1525" s="80">
        <v>2774100</v>
      </c>
    </row>
    <row r="1526" spans="1:8" x14ac:dyDescent="0.2">
      <c r="A1526" s="79" t="s">
        <v>8482</v>
      </c>
      <c r="B1526" s="79" t="s">
        <v>8790</v>
      </c>
      <c r="C1526" s="79" t="s">
        <v>8325</v>
      </c>
      <c r="D1526" s="79" t="s">
        <v>7328</v>
      </c>
      <c r="E1526" s="79">
        <v>3150</v>
      </c>
      <c r="G1526" s="79" t="s">
        <v>7329</v>
      </c>
      <c r="H1526" s="80">
        <v>3176276</v>
      </c>
    </row>
    <row r="1527" spans="1:8" x14ac:dyDescent="0.2">
      <c r="A1527" s="79" t="s">
        <v>8482</v>
      </c>
      <c r="B1527" s="79" t="s">
        <v>8791</v>
      </c>
      <c r="C1527" s="79" t="s">
        <v>8325</v>
      </c>
      <c r="D1527" s="79" t="s">
        <v>7328</v>
      </c>
      <c r="E1527" s="79">
        <v>2380</v>
      </c>
      <c r="G1527" s="79" t="s">
        <v>7329</v>
      </c>
      <c r="H1527" s="80">
        <v>4105500</v>
      </c>
    </row>
    <row r="1528" spans="1:8" x14ac:dyDescent="0.2">
      <c r="A1528" s="79" t="s">
        <v>8482</v>
      </c>
      <c r="B1528" s="79" t="s">
        <v>8792</v>
      </c>
      <c r="C1528" s="79" t="s">
        <v>8325</v>
      </c>
      <c r="D1528" s="79" t="s">
        <v>7328</v>
      </c>
      <c r="E1528" s="79">
        <v>2950</v>
      </c>
      <c r="G1528" s="79" t="s">
        <v>7329</v>
      </c>
      <c r="H1528" s="80">
        <v>5088750</v>
      </c>
    </row>
    <row r="1529" spans="1:8" x14ac:dyDescent="0.2">
      <c r="A1529" s="79" t="s">
        <v>8482</v>
      </c>
      <c r="B1529" s="79" t="s">
        <v>8793</v>
      </c>
      <c r="C1529" s="79" t="s">
        <v>8325</v>
      </c>
      <c r="D1529" s="79" t="s">
        <v>7328</v>
      </c>
      <c r="E1529" s="79">
        <v>2500</v>
      </c>
      <c r="G1529" s="79" t="s">
        <v>7329</v>
      </c>
      <c r="H1529" s="80">
        <v>5955400</v>
      </c>
    </row>
    <row r="1530" spans="1:8" x14ac:dyDescent="0.2">
      <c r="A1530" s="79" t="s">
        <v>8482</v>
      </c>
      <c r="B1530" s="79" t="s">
        <v>8794</v>
      </c>
      <c r="C1530" s="79" t="s">
        <v>8325</v>
      </c>
      <c r="D1530" s="79" t="s">
        <v>7328</v>
      </c>
      <c r="E1530" s="79">
        <v>2500</v>
      </c>
      <c r="G1530" s="79" t="s">
        <v>7329</v>
      </c>
      <c r="H1530" s="80">
        <v>7895467</v>
      </c>
    </row>
    <row r="1531" spans="1:8" x14ac:dyDescent="0.2">
      <c r="A1531" s="79" t="s">
        <v>8482</v>
      </c>
      <c r="B1531" s="79" t="s">
        <v>8795</v>
      </c>
      <c r="C1531" s="79" t="s">
        <v>8325</v>
      </c>
      <c r="D1531" s="79" t="s">
        <v>7328</v>
      </c>
      <c r="E1531" s="79">
        <v>2500</v>
      </c>
      <c r="G1531" s="79" t="s">
        <v>7329</v>
      </c>
      <c r="H1531" s="80">
        <v>8078295</v>
      </c>
    </row>
    <row r="1532" spans="1:8" x14ac:dyDescent="0.2">
      <c r="A1532" s="79" t="s">
        <v>8482</v>
      </c>
      <c r="B1532" s="79" t="s">
        <v>8796</v>
      </c>
      <c r="C1532" s="79" t="s">
        <v>8325</v>
      </c>
      <c r="D1532" s="79" t="s">
        <v>7328</v>
      </c>
      <c r="E1532" s="79">
        <v>2500</v>
      </c>
      <c r="G1532" s="79" t="s">
        <v>7329</v>
      </c>
      <c r="H1532" s="80">
        <v>6304726</v>
      </c>
    </row>
    <row r="1533" spans="1:8" x14ac:dyDescent="0.2">
      <c r="A1533" s="79" t="s">
        <v>8482</v>
      </c>
      <c r="B1533" s="79" t="s">
        <v>8797</v>
      </c>
      <c r="C1533" s="79" t="s">
        <v>8325</v>
      </c>
      <c r="D1533" s="79" t="s">
        <v>7312</v>
      </c>
      <c r="E1533" s="79">
        <v>2000</v>
      </c>
      <c r="G1533" s="79" t="s">
        <v>7329</v>
      </c>
      <c r="H1533" s="80">
        <v>4217032</v>
      </c>
    </row>
    <row r="1534" spans="1:8" x14ac:dyDescent="0.2">
      <c r="A1534" s="79" t="s">
        <v>8482</v>
      </c>
      <c r="B1534" s="79" t="s">
        <v>8797</v>
      </c>
      <c r="C1534" s="79" t="s">
        <v>8325</v>
      </c>
      <c r="D1534" s="79" t="s">
        <v>7328</v>
      </c>
      <c r="E1534" s="79">
        <v>2500</v>
      </c>
      <c r="G1534" s="79" t="s">
        <v>7313</v>
      </c>
      <c r="H1534" s="80">
        <v>5777932</v>
      </c>
    </row>
    <row r="1535" spans="1:8" x14ac:dyDescent="0.2">
      <c r="A1535" s="79" t="s">
        <v>8482</v>
      </c>
      <c r="B1535" s="79" t="s">
        <v>8798</v>
      </c>
      <c r="C1535" s="79" t="s">
        <v>8325</v>
      </c>
      <c r="D1535" s="79" t="s">
        <v>7312</v>
      </c>
      <c r="E1535" s="79">
        <v>2000</v>
      </c>
      <c r="G1535" s="79" t="s">
        <v>7329</v>
      </c>
      <c r="H1535" s="80">
        <v>3450000</v>
      </c>
    </row>
    <row r="1536" spans="1:8" x14ac:dyDescent="0.2">
      <c r="A1536" s="79" t="s">
        <v>8482</v>
      </c>
      <c r="B1536" s="79" t="s">
        <v>8799</v>
      </c>
      <c r="C1536" s="79" t="s">
        <v>7950</v>
      </c>
      <c r="D1536" s="79" t="s">
        <v>7328</v>
      </c>
      <c r="E1536" s="79">
        <v>4200</v>
      </c>
      <c r="G1536" s="79" t="s">
        <v>7329</v>
      </c>
      <c r="H1536" s="80">
        <v>6765000</v>
      </c>
    </row>
    <row r="1537" spans="1:8" x14ac:dyDescent="0.2">
      <c r="A1537" s="79" t="s">
        <v>8482</v>
      </c>
      <c r="B1537" s="79" t="s">
        <v>8800</v>
      </c>
      <c r="C1537" s="79" t="s">
        <v>7950</v>
      </c>
      <c r="D1537" s="79" t="s">
        <v>7328</v>
      </c>
      <c r="E1537" s="79">
        <v>4200</v>
      </c>
      <c r="G1537" s="79" t="s">
        <v>7329</v>
      </c>
      <c r="H1537" s="80">
        <v>9802000</v>
      </c>
    </row>
    <row r="1538" spans="1:8" x14ac:dyDescent="0.2">
      <c r="A1538" s="79" t="s">
        <v>8482</v>
      </c>
      <c r="B1538" s="79" t="s">
        <v>8801</v>
      </c>
      <c r="C1538" s="79" t="s">
        <v>7311</v>
      </c>
      <c r="D1538" s="79" t="s">
        <v>7312</v>
      </c>
      <c r="E1538" s="79">
        <v>2000</v>
      </c>
      <c r="G1538" s="79" t="s">
        <v>7329</v>
      </c>
      <c r="H1538" s="80">
        <v>2487515</v>
      </c>
    </row>
    <row r="1539" spans="1:8" x14ac:dyDescent="0.2">
      <c r="A1539" s="79" t="s">
        <v>8482</v>
      </c>
      <c r="B1539" s="79" t="s">
        <v>8802</v>
      </c>
      <c r="C1539" s="79" t="s">
        <v>8325</v>
      </c>
      <c r="D1539" s="79" t="s">
        <v>7312</v>
      </c>
      <c r="E1539" s="79">
        <v>1380</v>
      </c>
      <c r="G1539" s="79" t="s">
        <v>7329</v>
      </c>
      <c r="H1539" s="80">
        <v>1835400</v>
      </c>
    </row>
    <row r="1540" spans="1:8" x14ac:dyDescent="0.2">
      <c r="A1540" s="79" t="s">
        <v>8482</v>
      </c>
      <c r="B1540" s="79" t="s">
        <v>8803</v>
      </c>
      <c r="C1540" s="79" t="s">
        <v>7728</v>
      </c>
      <c r="D1540" s="79" t="s">
        <v>7312</v>
      </c>
      <c r="E1540" s="79">
        <v>1197</v>
      </c>
      <c r="G1540" s="79" t="s">
        <v>7329</v>
      </c>
      <c r="H1540" s="80">
        <v>990000</v>
      </c>
    </row>
    <row r="1541" spans="1:8" x14ac:dyDescent="0.2">
      <c r="A1541" s="79" t="s">
        <v>8482</v>
      </c>
      <c r="B1541" s="79" t="s">
        <v>8804</v>
      </c>
      <c r="C1541" s="79" t="s">
        <v>7335</v>
      </c>
      <c r="D1541" s="79" t="s">
        <v>7312</v>
      </c>
      <c r="E1541" s="79">
        <v>2000</v>
      </c>
      <c r="G1541" s="79" t="s">
        <v>7313</v>
      </c>
      <c r="H1541" s="80">
        <v>3600000</v>
      </c>
    </row>
    <row r="1542" spans="1:8" x14ac:dyDescent="0.2">
      <c r="A1542" s="79" t="s">
        <v>8482</v>
      </c>
      <c r="B1542" s="79" t="s">
        <v>8805</v>
      </c>
      <c r="C1542" s="79" t="s">
        <v>7335</v>
      </c>
      <c r="D1542" s="79" t="s">
        <v>7312</v>
      </c>
      <c r="E1542" s="79">
        <v>2000</v>
      </c>
      <c r="G1542" s="79" t="s">
        <v>7313</v>
      </c>
      <c r="H1542" s="80">
        <v>4400000</v>
      </c>
    </row>
    <row r="1543" spans="1:8" x14ac:dyDescent="0.2">
      <c r="A1543" s="79" t="s">
        <v>8482</v>
      </c>
      <c r="B1543" s="79" t="s">
        <v>8806</v>
      </c>
      <c r="C1543" s="79" t="s">
        <v>7335</v>
      </c>
      <c r="D1543" s="79" t="s">
        <v>7312</v>
      </c>
      <c r="E1543" s="79">
        <v>2000</v>
      </c>
      <c r="G1543" s="79" t="s">
        <v>7313</v>
      </c>
      <c r="H1543" s="80">
        <v>4175000</v>
      </c>
    </row>
    <row r="1544" spans="1:8" x14ac:dyDescent="0.2">
      <c r="A1544" s="79" t="s">
        <v>8482</v>
      </c>
      <c r="B1544" s="79" t="s">
        <v>8806</v>
      </c>
      <c r="C1544" s="79" t="s">
        <v>7335</v>
      </c>
      <c r="D1544" s="79" t="s">
        <v>7328</v>
      </c>
      <c r="E1544" s="79">
        <v>2000</v>
      </c>
      <c r="G1544" s="79" t="s">
        <v>7313</v>
      </c>
      <c r="H1544" s="80">
        <v>3949271</v>
      </c>
    </row>
    <row r="1545" spans="1:8" x14ac:dyDescent="0.2">
      <c r="A1545" s="79" t="s">
        <v>8482</v>
      </c>
      <c r="B1545" s="79" t="s">
        <v>8806</v>
      </c>
      <c r="C1545" s="79" t="s">
        <v>7335</v>
      </c>
      <c r="D1545" s="79" t="s">
        <v>7328</v>
      </c>
      <c r="E1545" s="79">
        <v>1600</v>
      </c>
      <c r="G1545" s="79" t="s">
        <v>7313</v>
      </c>
      <c r="H1545" s="80">
        <v>3004417</v>
      </c>
    </row>
    <row r="1546" spans="1:8" x14ac:dyDescent="0.2">
      <c r="A1546" s="79" t="s">
        <v>8482</v>
      </c>
      <c r="B1546" s="79" t="s">
        <v>8807</v>
      </c>
      <c r="C1546" s="79" t="s">
        <v>7335</v>
      </c>
      <c r="D1546" s="79" t="s">
        <v>7328</v>
      </c>
      <c r="E1546" s="79">
        <v>2500</v>
      </c>
      <c r="G1546" s="79" t="s">
        <v>7329</v>
      </c>
      <c r="H1546" s="80">
        <v>3213000</v>
      </c>
    </row>
    <row r="1547" spans="1:8" x14ac:dyDescent="0.2">
      <c r="A1547" s="79" t="s">
        <v>8482</v>
      </c>
      <c r="B1547" s="79" t="s">
        <v>8808</v>
      </c>
      <c r="C1547" s="79" t="s">
        <v>8325</v>
      </c>
      <c r="D1547" s="79" t="s">
        <v>7312</v>
      </c>
      <c r="E1547" s="79">
        <v>1500</v>
      </c>
      <c r="G1547" s="79" t="s">
        <v>7329</v>
      </c>
      <c r="H1547" s="80">
        <v>2598000</v>
      </c>
    </row>
    <row r="1548" spans="1:8" x14ac:dyDescent="0.2">
      <c r="A1548" s="79" t="s">
        <v>8482</v>
      </c>
      <c r="B1548" s="79" t="s">
        <v>8809</v>
      </c>
      <c r="C1548" s="79" t="s">
        <v>7335</v>
      </c>
      <c r="D1548" s="79" t="s">
        <v>7312</v>
      </c>
      <c r="E1548" s="79">
        <v>1800</v>
      </c>
      <c r="G1548" s="79" t="s">
        <v>7329</v>
      </c>
      <c r="H1548" s="80">
        <v>2968018</v>
      </c>
    </row>
    <row r="1549" spans="1:8" x14ac:dyDescent="0.2">
      <c r="A1549" s="79" t="s">
        <v>8482</v>
      </c>
      <c r="B1549" s="79" t="s">
        <v>8810</v>
      </c>
      <c r="C1549" s="79" t="s">
        <v>7407</v>
      </c>
      <c r="D1549" s="79" t="s">
        <v>7312</v>
      </c>
      <c r="E1549" s="79">
        <v>3700</v>
      </c>
      <c r="F1549" s="79" t="s">
        <v>7336</v>
      </c>
      <c r="G1549" s="79" t="s">
        <v>7329</v>
      </c>
      <c r="H1549" s="80">
        <v>6339009.1500000004</v>
      </c>
    </row>
    <row r="1550" spans="1:8" x14ac:dyDescent="0.2">
      <c r="A1550" s="79" t="s">
        <v>8482</v>
      </c>
      <c r="B1550" s="79" t="s">
        <v>8811</v>
      </c>
      <c r="C1550" s="79" t="s">
        <v>7407</v>
      </c>
      <c r="D1550" s="79" t="s">
        <v>7312</v>
      </c>
      <c r="E1550" s="79">
        <v>3700</v>
      </c>
      <c r="F1550" s="79" t="s">
        <v>7349</v>
      </c>
      <c r="G1550" s="79" t="s">
        <v>7329</v>
      </c>
      <c r="H1550" s="80">
        <v>6465840.6200000001</v>
      </c>
    </row>
    <row r="1551" spans="1:8" x14ac:dyDescent="0.2">
      <c r="A1551" s="79" t="s">
        <v>8482</v>
      </c>
      <c r="B1551" s="79" t="s">
        <v>8812</v>
      </c>
      <c r="C1551" s="79" t="s">
        <v>7407</v>
      </c>
      <c r="D1551" s="79" t="s">
        <v>7312</v>
      </c>
      <c r="E1551" s="79">
        <v>3700</v>
      </c>
      <c r="F1551" s="79" t="s">
        <v>7336</v>
      </c>
      <c r="G1551" s="79" t="s">
        <v>7329</v>
      </c>
      <c r="H1551" s="80">
        <v>7353855.9299999997</v>
      </c>
    </row>
    <row r="1552" spans="1:8" x14ac:dyDescent="0.2">
      <c r="A1552" s="79" t="s">
        <v>8482</v>
      </c>
      <c r="B1552" s="79" t="s">
        <v>8812</v>
      </c>
      <c r="C1552" s="79" t="s">
        <v>7407</v>
      </c>
      <c r="D1552" s="79" t="s">
        <v>7312</v>
      </c>
      <c r="E1552" s="79">
        <v>3700</v>
      </c>
      <c r="F1552" s="79" t="s">
        <v>7349</v>
      </c>
      <c r="G1552" s="79" t="s">
        <v>7329</v>
      </c>
      <c r="H1552" s="80">
        <v>8114642.1699999999</v>
      </c>
    </row>
    <row r="1553" spans="1:8" x14ac:dyDescent="0.2">
      <c r="A1553" s="79" t="s">
        <v>8482</v>
      </c>
      <c r="B1553" s="79" t="s">
        <v>8813</v>
      </c>
      <c r="C1553" s="79" t="s">
        <v>7311</v>
      </c>
      <c r="D1553" s="79" t="s">
        <v>7312</v>
      </c>
      <c r="E1553" s="79">
        <v>3490</v>
      </c>
      <c r="G1553" s="79" t="s">
        <v>7329</v>
      </c>
      <c r="H1553" s="80">
        <v>5821121.2000000002</v>
      </c>
    </row>
    <row r="1554" spans="1:8" x14ac:dyDescent="0.2">
      <c r="A1554" s="79" t="s">
        <v>8482</v>
      </c>
      <c r="B1554" s="79" t="s">
        <v>8814</v>
      </c>
      <c r="C1554" s="79" t="s">
        <v>7311</v>
      </c>
      <c r="D1554" s="79" t="s">
        <v>7312</v>
      </c>
      <c r="E1554" s="79">
        <v>3700</v>
      </c>
      <c r="G1554" s="79" t="s">
        <v>7329</v>
      </c>
      <c r="H1554" s="80">
        <v>6153756.4199999999</v>
      </c>
    </row>
    <row r="1555" spans="1:8" x14ac:dyDescent="0.2">
      <c r="A1555" s="79" t="s">
        <v>8482</v>
      </c>
      <c r="B1555" s="79" t="s">
        <v>8814</v>
      </c>
      <c r="C1555" s="79" t="s">
        <v>7311</v>
      </c>
      <c r="D1555" s="79" t="s">
        <v>7312</v>
      </c>
      <c r="E1555" s="79">
        <v>3700</v>
      </c>
      <c r="G1555" s="79" t="s">
        <v>7313</v>
      </c>
      <c r="H1555" s="80">
        <v>6469874.1200000001</v>
      </c>
    </row>
    <row r="1556" spans="1:8" x14ac:dyDescent="0.2">
      <c r="A1556" s="79" t="s">
        <v>8482</v>
      </c>
      <c r="B1556" s="79" t="s">
        <v>8815</v>
      </c>
      <c r="C1556" s="79" t="s">
        <v>7311</v>
      </c>
      <c r="D1556" s="79" t="s">
        <v>7312</v>
      </c>
      <c r="E1556" s="79">
        <v>2500</v>
      </c>
      <c r="G1556" s="79" t="s">
        <v>7329</v>
      </c>
      <c r="H1556" s="80">
        <v>5290997</v>
      </c>
    </row>
    <row r="1557" spans="1:8" x14ac:dyDescent="0.2">
      <c r="A1557" s="79" t="s">
        <v>8482</v>
      </c>
      <c r="B1557" s="79" t="s">
        <v>8816</v>
      </c>
      <c r="C1557" s="79" t="s">
        <v>7619</v>
      </c>
      <c r="D1557" s="79" t="s">
        <v>7312</v>
      </c>
      <c r="E1557" s="79">
        <v>2000</v>
      </c>
      <c r="G1557" s="79" t="s">
        <v>7329</v>
      </c>
      <c r="H1557" s="80">
        <v>1495000</v>
      </c>
    </row>
    <row r="1558" spans="1:8" x14ac:dyDescent="0.2">
      <c r="A1558" s="79" t="s">
        <v>8482</v>
      </c>
      <c r="B1558" s="79" t="s">
        <v>8817</v>
      </c>
      <c r="C1558" s="79" t="s">
        <v>7619</v>
      </c>
      <c r="D1558" s="79" t="s">
        <v>7312</v>
      </c>
      <c r="E1558" s="79">
        <v>2400</v>
      </c>
      <c r="F1558" s="79" t="s">
        <v>7336</v>
      </c>
      <c r="G1558" s="79" t="s">
        <v>7329</v>
      </c>
      <c r="H1558" s="80">
        <v>1825000</v>
      </c>
    </row>
    <row r="1559" spans="1:8" x14ac:dyDescent="0.2">
      <c r="A1559" s="79" t="s">
        <v>8482</v>
      </c>
      <c r="B1559" s="79" t="s">
        <v>8818</v>
      </c>
      <c r="C1559" s="79" t="s">
        <v>7619</v>
      </c>
      <c r="D1559" s="79" t="s">
        <v>7312</v>
      </c>
      <c r="E1559" s="79">
        <v>2400</v>
      </c>
      <c r="G1559" s="79" t="s">
        <v>7329</v>
      </c>
      <c r="H1559" s="80">
        <v>1995000</v>
      </c>
    </row>
    <row r="1560" spans="1:8" x14ac:dyDescent="0.2">
      <c r="A1560" s="79" t="s">
        <v>8482</v>
      </c>
      <c r="B1560" s="79" t="s">
        <v>8819</v>
      </c>
      <c r="C1560" s="79" t="s">
        <v>7619</v>
      </c>
      <c r="D1560" s="79" t="s">
        <v>7328</v>
      </c>
      <c r="E1560" s="79">
        <v>2400</v>
      </c>
      <c r="G1560" s="79" t="s">
        <v>7329</v>
      </c>
      <c r="H1560" s="80">
        <v>1625000</v>
      </c>
    </row>
    <row r="1561" spans="1:8" x14ac:dyDescent="0.2">
      <c r="A1561" s="79" t="s">
        <v>8482</v>
      </c>
      <c r="B1561" s="79" t="s">
        <v>8820</v>
      </c>
      <c r="C1561" s="79" t="s">
        <v>7619</v>
      </c>
      <c r="D1561" s="79" t="s">
        <v>7312</v>
      </c>
      <c r="E1561" s="79">
        <v>2400</v>
      </c>
      <c r="G1561" s="79" t="s">
        <v>7329</v>
      </c>
      <c r="H1561" s="80">
        <v>2100000</v>
      </c>
    </row>
    <row r="1562" spans="1:8" x14ac:dyDescent="0.2">
      <c r="A1562" s="79" t="s">
        <v>8482</v>
      </c>
      <c r="B1562" s="79" t="s">
        <v>8821</v>
      </c>
      <c r="C1562" s="79" t="s">
        <v>8200</v>
      </c>
      <c r="D1562" s="79" t="s">
        <v>7312</v>
      </c>
      <c r="E1562" s="79">
        <v>2400</v>
      </c>
      <c r="G1562" s="79" t="s">
        <v>7329</v>
      </c>
      <c r="H1562" s="80">
        <v>2450000</v>
      </c>
    </row>
    <row r="1563" spans="1:8" x14ac:dyDescent="0.2">
      <c r="A1563" s="79" t="s">
        <v>8482</v>
      </c>
      <c r="B1563" s="79" t="s">
        <v>8822</v>
      </c>
      <c r="C1563" s="79" t="s">
        <v>8200</v>
      </c>
      <c r="D1563" s="79" t="s">
        <v>7312</v>
      </c>
      <c r="E1563" s="79">
        <v>2400</v>
      </c>
      <c r="G1563" s="79" t="s">
        <v>7329</v>
      </c>
      <c r="H1563" s="80">
        <v>2750000</v>
      </c>
    </row>
    <row r="1564" spans="1:8" x14ac:dyDescent="0.2">
      <c r="A1564" s="79" t="s">
        <v>8482</v>
      </c>
      <c r="B1564" s="79" t="s">
        <v>8823</v>
      </c>
      <c r="C1564" s="79" t="s">
        <v>8200</v>
      </c>
      <c r="D1564" s="79" t="s">
        <v>7328</v>
      </c>
      <c r="E1564" s="79">
        <v>2500</v>
      </c>
      <c r="G1564" s="79" t="s">
        <v>7313</v>
      </c>
      <c r="H1564" s="80">
        <v>3951375</v>
      </c>
    </row>
    <row r="1565" spans="1:8" x14ac:dyDescent="0.2">
      <c r="A1565" s="79" t="s">
        <v>8482</v>
      </c>
      <c r="B1565" s="79" t="s">
        <v>8824</v>
      </c>
      <c r="C1565" s="79" t="s">
        <v>8200</v>
      </c>
      <c r="D1565" s="79" t="s">
        <v>7328</v>
      </c>
      <c r="E1565" s="79">
        <v>2500</v>
      </c>
      <c r="G1565" s="79" t="s">
        <v>7313</v>
      </c>
      <c r="H1565" s="80">
        <v>3886000</v>
      </c>
    </row>
    <row r="1566" spans="1:8" x14ac:dyDescent="0.2">
      <c r="A1566" s="79" t="s">
        <v>8482</v>
      </c>
      <c r="B1566" s="79" t="s">
        <v>8825</v>
      </c>
      <c r="C1566" s="79" t="s">
        <v>7619</v>
      </c>
      <c r="D1566" s="79" t="s">
        <v>7328</v>
      </c>
      <c r="E1566" s="79">
        <v>2500</v>
      </c>
      <c r="G1566" s="79" t="s">
        <v>7329</v>
      </c>
      <c r="H1566" s="80">
        <v>2450000</v>
      </c>
    </row>
    <row r="1567" spans="1:8" x14ac:dyDescent="0.2">
      <c r="A1567" s="79" t="s">
        <v>8482</v>
      </c>
      <c r="B1567" s="79" t="s">
        <v>8826</v>
      </c>
      <c r="C1567" s="79" t="s">
        <v>8200</v>
      </c>
      <c r="D1567" s="79" t="s">
        <v>7328</v>
      </c>
      <c r="E1567" s="79">
        <v>2500</v>
      </c>
      <c r="G1567" s="79" t="s">
        <v>7313</v>
      </c>
      <c r="H1567" s="80">
        <v>2895000</v>
      </c>
    </row>
    <row r="1568" spans="1:8" x14ac:dyDescent="0.2">
      <c r="A1568" s="79" t="s">
        <v>8482</v>
      </c>
      <c r="B1568" s="79" t="s">
        <v>8827</v>
      </c>
      <c r="C1568" s="79" t="s">
        <v>8200</v>
      </c>
      <c r="D1568" s="79" t="s">
        <v>7328</v>
      </c>
      <c r="E1568" s="79">
        <v>2500</v>
      </c>
      <c r="G1568" s="79" t="s">
        <v>7329</v>
      </c>
      <c r="H1568" s="80">
        <v>3745000</v>
      </c>
    </row>
    <row r="1569" spans="1:8" x14ac:dyDescent="0.2">
      <c r="A1569" s="79" t="s">
        <v>8482</v>
      </c>
      <c r="B1569" s="79" t="s">
        <v>8828</v>
      </c>
      <c r="C1569" s="79" t="s">
        <v>8200</v>
      </c>
      <c r="D1569" s="79" t="s">
        <v>7328</v>
      </c>
      <c r="E1569" s="79">
        <v>2500</v>
      </c>
      <c r="G1569" s="79" t="s">
        <v>7313</v>
      </c>
      <c r="H1569" s="80">
        <v>3770000</v>
      </c>
    </row>
    <row r="1570" spans="1:8" x14ac:dyDescent="0.2">
      <c r="A1570" s="79" t="s">
        <v>8482</v>
      </c>
      <c r="B1570" s="79" t="s">
        <v>8829</v>
      </c>
      <c r="C1570" s="79" t="s">
        <v>8200</v>
      </c>
      <c r="D1570" s="79" t="s">
        <v>7328</v>
      </c>
      <c r="E1570" s="79">
        <v>2500</v>
      </c>
      <c r="G1570" s="79" t="s">
        <v>7313</v>
      </c>
      <c r="H1570" s="80">
        <v>3895000</v>
      </c>
    </row>
    <row r="1571" spans="1:8" x14ac:dyDescent="0.2">
      <c r="A1571" s="79" t="s">
        <v>8482</v>
      </c>
      <c r="B1571" s="79" t="s">
        <v>8830</v>
      </c>
      <c r="C1571" s="79" t="s">
        <v>8200</v>
      </c>
      <c r="D1571" s="79" t="s">
        <v>7328</v>
      </c>
      <c r="E1571" s="79">
        <v>2500</v>
      </c>
      <c r="G1571" s="79" t="s">
        <v>7313</v>
      </c>
      <c r="H1571" s="80">
        <v>3985000</v>
      </c>
    </row>
    <row r="1572" spans="1:8" x14ac:dyDescent="0.2">
      <c r="A1572" s="79" t="s">
        <v>8482</v>
      </c>
      <c r="B1572" s="79" t="s">
        <v>8831</v>
      </c>
      <c r="C1572" s="79" t="s">
        <v>8200</v>
      </c>
      <c r="D1572" s="79" t="s">
        <v>7328</v>
      </c>
      <c r="E1572" s="79">
        <v>2700</v>
      </c>
      <c r="G1572" s="79" t="s">
        <v>7329</v>
      </c>
      <c r="H1572" s="80">
        <v>2627245</v>
      </c>
    </row>
    <row r="1573" spans="1:8" x14ac:dyDescent="0.2">
      <c r="A1573" s="79" t="s">
        <v>8482</v>
      </c>
      <c r="B1573" s="79" t="s">
        <v>8832</v>
      </c>
      <c r="C1573" s="79" t="s">
        <v>7619</v>
      </c>
      <c r="D1573" s="79" t="s">
        <v>7328</v>
      </c>
      <c r="E1573" s="79">
        <v>2700</v>
      </c>
      <c r="F1573" s="79" t="s">
        <v>7336</v>
      </c>
      <c r="G1573" s="79" t="s">
        <v>7329</v>
      </c>
      <c r="H1573" s="80">
        <v>1975000</v>
      </c>
    </row>
    <row r="1574" spans="1:8" x14ac:dyDescent="0.2">
      <c r="A1574" s="79" t="s">
        <v>8482</v>
      </c>
      <c r="B1574" s="79" t="s">
        <v>8833</v>
      </c>
      <c r="C1574" s="79" t="s">
        <v>7619</v>
      </c>
      <c r="D1574" s="79" t="s">
        <v>7328</v>
      </c>
      <c r="E1574" s="79">
        <v>2700</v>
      </c>
      <c r="G1574" s="79" t="s">
        <v>7329</v>
      </c>
      <c r="H1574" s="80">
        <v>2032600</v>
      </c>
    </row>
    <row r="1575" spans="1:8" x14ac:dyDescent="0.2">
      <c r="A1575" s="79" t="s">
        <v>8482</v>
      </c>
      <c r="B1575" s="79" t="s">
        <v>8834</v>
      </c>
      <c r="C1575" s="79" t="s">
        <v>7619</v>
      </c>
      <c r="D1575" s="79" t="s">
        <v>7328</v>
      </c>
      <c r="E1575" s="79">
        <v>2700</v>
      </c>
      <c r="G1575" s="79" t="s">
        <v>7329</v>
      </c>
      <c r="H1575" s="80">
        <v>2650000</v>
      </c>
    </row>
    <row r="1576" spans="1:8" x14ac:dyDescent="0.2">
      <c r="A1576" s="79" t="s">
        <v>8482</v>
      </c>
      <c r="B1576" s="79" t="s">
        <v>8835</v>
      </c>
      <c r="C1576" s="79" t="s">
        <v>8200</v>
      </c>
      <c r="D1576" s="79" t="s">
        <v>7328</v>
      </c>
      <c r="E1576" s="79">
        <v>2700</v>
      </c>
      <c r="G1576" s="79" t="s">
        <v>7329</v>
      </c>
      <c r="H1576" s="80">
        <v>3204697.2</v>
      </c>
    </row>
    <row r="1577" spans="1:8" x14ac:dyDescent="0.2">
      <c r="A1577" s="79" t="s">
        <v>8482</v>
      </c>
      <c r="B1577" s="79" t="s">
        <v>8836</v>
      </c>
      <c r="C1577" s="79" t="s">
        <v>7619</v>
      </c>
      <c r="D1577" s="79" t="s">
        <v>7328</v>
      </c>
      <c r="E1577" s="79">
        <v>3000</v>
      </c>
      <c r="G1577" s="79" t="s">
        <v>7329</v>
      </c>
      <c r="H1577" s="80">
        <v>2475000</v>
      </c>
    </row>
    <row r="1578" spans="1:8" x14ac:dyDescent="0.2">
      <c r="A1578" s="79" t="s">
        <v>8482</v>
      </c>
      <c r="B1578" s="79" t="s">
        <v>8837</v>
      </c>
      <c r="C1578" s="79" t="s">
        <v>7619</v>
      </c>
      <c r="D1578" s="79" t="s">
        <v>7328</v>
      </c>
      <c r="E1578" s="79">
        <v>3000</v>
      </c>
      <c r="G1578" s="79" t="s">
        <v>7329</v>
      </c>
      <c r="H1578" s="80">
        <v>2475000</v>
      </c>
    </row>
    <row r="1579" spans="1:8" x14ac:dyDescent="0.2">
      <c r="A1579" s="79" t="s">
        <v>8482</v>
      </c>
      <c r="B1579" s="79" t="s">
        <v>8838</v>
      </c>
      <c r="C1579" s="79" t="s">
        <v>8200</v>
      </c>
      <c r="D1579" s="79" t="s">
        <v>7328</v>
      </c>
      <c r="E1579" s="79">
        <v>3000</v>
      </c>
      <c r="G1579" s="79" t="s">
        <v>7329</v>
      </c>
      <c r="H1579" s="80">
        <v>3006435</v>
      </c>
    </row>
    <row r="1580" spans="1:8" x14ac:dyDescent="0.2">
      <c r="A1580" s="79" t="s">
        <v>8482</v>
      </c>
      <c r="B1580" s="79" t="s">
        <v>8839</v>
      </c>
      <c r="C1580" s="79" t="s">
        <v>8200</v>
      </c>
      <c r="D1580" s="79" t="s">
        <v>7328</v>
      </c>
      <c r="E1580" s="79">
        <v>3000</v>
      </c>
      <c r="G1580" s="79" t="s">
        <v>7313</v>
      </c>
      <c r="H1580" s="80">
        <v>3228532</v>
      </c>
    </row>
    <row r="1581" spans="1:8" x14ac:dyDescent="0.2">
      <c r="A1581" s="79" t="s">
        <v>8482</v>
      </c>
      <c r="B1581" s="79" t="s">
        <v>8840</v>
      </c>
      <c r="C1581" s="79" t="s">
        <v>8200</v>
      </c>
      <c r="D1581" s="79" t="s">
        <v>7328</v>
      </c>
      <c r="E1581" s="79">
        <v>3000</v>
      </c>
      <c r="G1581" s="79" t="s">
        <v>7313</v>
      </c>
      <c r="H1581" s="80">
        <v>3878572</v>
      </c>
    </row>
    <row r="1582" spans="1:8" x14ac:dyDescent="0.2">
      <c r="A1582" s="79" t="s">
        <v>8482</v>
      </c>
      <c r="B1582" s="79" t="s">
        <v>8841</v>
      </c>
      <c r="C1582" s="79" t="s">
        <v>8200</v>
      </c>
      <c r="D1582" s="79" t="s">
        <v>7328</v>
      </c>
      <c r="E1582" s="79">
        <v>3000</v>
      </c>
      <c r="G1582" s="79" t="s">
        <v>7313</v>
      </c>
      <c r="H1582" s="80">
        <v>4176507</v>
      </c>
    </row>
    <row r="1583" spans="1:8" x14ac:dyDescent="0.2">
      <c r="A1583" s="79" t="s">
        <v>8482</v>
      </c>
      <c r="B1583" s="79" t="s">
        <v>8842</v>
      </c>
      <c r="C1583" s="79" t="s">
        <v>7619</v>
      </c>
      <c r="D1583" s="79" t="s">
        <v>7328</v>
      </c>
      <c r="E1583" s="79">
        <v>3200</v>
      </c>
      <c r="F1583" s="79" t="s">
        <v>7336</v>
      </c>
      <c r="G1583" s="79" t="s">
        <v>7313</v>
      </c>
      <c r="H1583" s="80">
        <v>2583909</v>
      </c>
    </row>
    <row r="1584" spans="1:8" x14ac:dyDescent="0.2">
      <c r="A1584" s="79" t="s">
        <v>8482</v>
      </c>
      <c r="B1584" s="79" t="s">
        <v>8843</v>
      </c>
      <c r="C1584" s="79" t="s">
        <v>7619</v>
      </c>
      <c r="D1584" s="79" t="s">
        <v>7328</v>
      </c>
      <c r="E1584" s="79">
        <v>3200</v>
      </c>
      <c r="G1584" s="79" t="s">
        <v>7313</v>
      </c>
      <c r="H1584" s="80">
        <v>3016185.6</v>
      </c>
    </row>
    <row r="1585" spans="1:8" x14ac:dyDescent="0.2">
      <c r="A1585" s="79" t="s">
        <v>8482</v>
      </c>
      <c r="B1585" s="79" t="s">
        <v>8844</v>
      </c>
      <c r="C1585" s="79" t="s">
        <v>8200</v>
      </c>
      <c r="D1585" s="79" t="s">
        <v>7328</v>
      </c>
      <c r="E1585" s="79">
        <v>3200</v>
      </c>
      <c r="G1585" s="79" t="s">
        <v>7313</v>
      </c>
      <c r="H1585" s="80">
        <v>3228532</v>
      </c>
    </row>
    <row r="1586" spans="1:8" x14ac:dyDescent="0.2">
      <c r="A1586" s="79" t="s">
        <v>8482</v>
      </c>
      <c r="B1586" s="79" t="s">
        <v>8845</v>
      </c>
      <c r="C1586" s="79" t="s">
        <v>8200</v>
      </c>
      <c r="D1586" s="79" t="s">
        <v>7328</v>
      </c>
      <c r="E1586" s="79">
        <v>3200</v>
      </c>
      <c r="G1586" s="79" t="s">
        <v>7313</v>
      </c>
      <c r="H1586" s="80">
        <v>3347706</v>
      </c>
    </row>
    <row r="1587" spans="1:8" x14ac:dyDescent="0.2">
      <c r="A1587" s="79" t="s">
        <v>8482</v>
      </c>
      <c r="B1587" s="79" t="s">
        <v>8846</v>
      </c>
      <c r="C1587" s="79" t="s">
        <v>8200</v>
      </c>
      <c r="D1587" s="79" t="s">
        <v>7328</v>
      </c>
      <c r="E1587" s="79">
        <v>3200</v>
      </c>
      <c r="F1587" s="79" t="s">
        <v>7336</v>
      </c>
      <c r="G1587" s="79" t="s">
        <v>7313</v>
      </c>
      <c r="H1587" s="80">
        <v>3456046</v>
      </c>
    </row>
    <row r="1588" spans="1:8" x14ac:dyDescent="0.2">
      <c r="A1588" s="79" t="s">
        <v>8482</v>
      </c>
      <c r="B1588" s="79" t="s">
        <v>8847</v>
      </c>
      <c r="C1588" s="79" t="s">
        <v>8200</v>
      </c>
      <c r="D1588" s="79" t="s">
        <v>7328</v>
      </c>
      <c r="E1588" s="79">
        <v>3200</v>
      </c>
      <c r="G1588" s="79" t="s">
        <v>7313</v>
      </c>
      <c r="H1588" s="80">
        <v>3347706</v>
      </c>
    </row>
    <row r="1589" spans="1:8" x14ac:dyDescent="0.2">
      <c r="A1589" s="79" t="s">
        <v>8482</v>
      </c>
      <c r="B1589" s="79" t="s">
        <v>8848</v>
      </c>
      <c r="C1589" s="79" t="s">
        <v>8200</v>
      </c>
      <c r="D1589" s="79" t="s">
        <v>7328</v>
      </c>
      <c r="E1589" s="79">
        <v>3200</v>
      </c>
      <c r="G1589" s="79" t="s">
        <v>7313</v>
      </c>
      <c r="H1589" s="80">
        <v>3581720.4</v>
      </c>
    </row>
    <row r="1590" spans="1:8" x14ac:dyDescent="0.2">
      <c r="A1590" s="79" t="s">
        <v>8482</v>
      </c>
      <c r="B1590" s="79" t="s">
        <v>8849</v>
      </c>
      <c r="C1590" s="79" t="s">
        <v>8200</v>
      </c>
      <c r="D1590" s="79" t="s">
        <v>7328</v>
      </c>
      <c r="E1590" s="79">
        <v>3200</v>
      </c>
      <c r="G1590" s="79" t="s">
        <v>7313</v>
      </c>
      <c r="H1590" s="80">
        <v>3992329</v>
      </c>
    </row>
    <row r="1591" spans="1:8" x14ac:dyDescent="0.2">
      <c r="A1591" s="79" t="s">
        <v>8482</v>
      </c>
      <c r="B1591" s="79" t="s">
        <v>8850</v>
      </c>
      <c r="C1591" s="79" t="s">
        <v>8200</v>
      </c>
      <c r="D1591" s="79" t="s">
        <v>7328</v>
      </c>
      <c r="E1591" s="79">
        <v>3200</v>
      </c>
      <c r="G1591" s="79" t="s">
        <v>7313</v>
      </c>
      <c r="H1591" s="80">
        <v>3757231.2</v>
      </c>
    </row>
    <row r="1592" spans="1:8" x14ac:dyDescent="0.2">
      <c r="A1592" s="79" t="s">
        <v>8482</v>
      </c>
      <c r="B1592" s="79" t="s">
        <v>8851</v>
      </c>
      <c r="C1592" s="79" t="s">
        <v>8200</v>
      </c>
      <c r="D1592" s="79" t="s">
        <v>7312</v>
      </c>
      <c r="E1592" s="79">
        <v>3300</v>
      </c>
      <c r="G1592" s="79" t="s">
        <v>7313</v>
      </c>
      <c r="H1592" s="80">
        <v>3196030</v>
      </c>
    </row>
    <row r="1593" spans="1:8" x14ac:dyDescent="0.2">
      <c r="A1593" s="79" t="s">
        <v>8482</v>
      </c>
      <c r="B1593" s="79" t="s">
        <v>8852</v>
      </c>
      <c r="C1593" s="79" t="s">
        <v>8095</v>
      </c>
      <c r="D1593" s="79" t="s">
        <v>7328</v>
      </c>
      <c r="E1593" s="79">
        <v>2500</v>
      </c>
      <c r="G1593" s="79" t="s">
        <v>7329</v>
      </c>
      <c r="H1593" s="80">
        <v>3497842</v>
      </c>
    </row>
    <row r="1594" spans="1:8" x14ac:dyDescent="0.2">
      <c r="A1594" s="79" t="s">
        <v>8482</v>
      </c>
      <c r="B1594" s="79" t="s">
        <v>8853</v>
      </c>
      <c r="C1594" s="79" t="s">
        <v>8095</v>
      </c>
      <c r="D1594" s="79" t="s">
        <v>7328</v>
      </c>
      <c r="E1594" s="79">
        <v>2500</v>
      </c>
      <c r="G1594" s="79" t="s">
        <v>7313</v>
      </c>
      <c r="H1594" s="80">
        <v>3935878</v>
      </c>
    </row>
    <row r="1595" spans="1:8" x14ac:dyDescent="0.2">
      <c r="A1595" s="79" t="s">
        <v>8482</v>
      </c>
      <c r="B1595" s="79" t="s">
        <v>8852</v>
      </c>
      <c r="C1595" s="79" t="s">
        <v>8200</v>
      </c>
      <c r="D1595" s="79" t="s">
        <v>7328</v>
      </c>
      <c r="E1595" s="79">
        <v>2500</v>
      </c>
      <c r="G1595" s="79" t="s">
        <v>7313</v>
      </c>
      <c r="H1595" s="80">
        <v>4676026</v>
      </c>
    </row>
    <row r="1596" spans="1:8" x14ac:dyDescent="0.2">
      <c r="A1596" s="79" t="s">
        <v>8482</v>
      </c>
      <c r="B1596" s="79" t="s">
        <v>8854</v>
      </c>
      <c r="C1596" s="79" t="s">
        <v>7728</v>
      </c>
      <c r="D1596" s="79" t="s">
        <v>7328</v>
      </c>
      <c r="E1596" s="79">
        <v>2700</v>
      </c>
      <c r="G1596" s="79" t="s">
        <v>7329</v>
      </c>
      <c r="H1596" s="80">
        <v>1600000</v>
      </c>
    </row>
    <row r="1597" spans="1:8" x14ac:dyDescent="0.2">
      <c r="A1597" s="79" t="s">
        <v>8482</v>
      </c>
      <c r="B1597" s="79" t="s">
        <v>8855</v>
      </c>
      <c r="C1597" s="79" t="s">
        <v>7335</v>
      </c>
      <c r="D1597" s="79" t="s">
        <v>7312</v>
      </c>
      <c r="E1597" s="79">
        <v>1500</v>
      </c>
      <c r="G1597" s="79" t="s">
        <v>7329</v>
      </c>
      <c r="H1597" s="80">
        <v>3151665</v>
      </c>
    </row>
    <row r="1598" spans="1:8" x14ac:dyDescent="0.2">
      <c r="A1598" s="79" t="s">
        <v>8482</v>
      </c>
      <c r="B1598" s="79" t="s">
        <v>8855</v>
      </c>
      <c r="C1598" s="79" t="s">
        <v>7335</v>
      </c>
      <c r="D1598" s="79" t="s">
        <v>7312</v>
      </c>
      <c r="E1598" s="79">
        <v>1600</v>
      </c>
      <c r="G1598" s="79" t="s">
        <v>7329</v>
      </c>
      <c r="H1598" s="80">
        <v>4140977</v>
      </c>
    </row>
    <row r="1599" spans="1:8" x14ac:dyDescent="0.2">
      <c r="A1599" s="79" t="s">
        <v>8482</v>
      </c>
      <c r="B1599" s="79" t="s">
        <v>8855</v>
      </c>
      <c r="C1599" s="79" t="s">
        <v>7335</v>
      </c>
      <c r="D1599" s="79" t="s">
        <v>7312</v>
      </c>
      <c r="E1599" s="79">
        <v>1600</v>
      </c>
      <c r="G1599" s="79" t="s">
        <v>7313</v>
      </c>
      <c r="H1599" s="80">
        <v>4423638</v>
      </c>
    </row>
    <row r="1600" spans="1:8" x14ac:dyDescent="0.2">
      <c r="A1600" s="79" t="s">
        <v>8482</v>
      </c>
      <c r="B1600" s="79" t="s">
        <v>8856</v>
      </c>
      <c r="C1600" s="79" t="s">
        <v>7335</v>
      </c>
      <c r="D1600" s="79" t="s">
        <v>8857</v>
      </c>
      <c r="H1600" s="80">
        <v>4810550</v>
      </c>
    </row>
    <row r="1601" spans="1:8" x14ac:dyDescent="0.2">
      <c r="A1601" s="79" t="s">
        <v>8482</v>
      </c>
      <c r="B1601" s="79" t="s">
        <v>8858</v>
      </c>
      <c r="C1601" s="79" t="s">
        <v>7335</v>
      </c>
      <c r="D1601" s="79" t="s">
        <v>7312</v>
      </c>
      <c r="E1601" s="79">
        <v>1998</v>
      </c>
      <c r="G1601" s="79" t="s">
        <v>7329</v>
      </c>
      <c r="H1601" s="80">
        <v>2350000</v>
      </c>
    </row>
    <row r="1602" spans="1:8" x14ac:dyDescent="0.2">
      <c r="A1602" s="79" t="s">
        <v>8482</v>
      </c>
      <c r="B1602" s="79" t="s">
        <v>8859</v>
      </c>
      <c r="C1602" s="79" t="s">
        <v>7335</v>
      </c>
      <c r="D1602" s="79" t="s">
        <v>7312</v>
      </c>
      <c r="E1602" s="79">
        <v>990</v>
      </c>
      <c r="G1602" s="79" t="s">
        <v>7329</v>
      </c>
      <c r="H1602" s="80">
        <v>1219450</v>
      </c>
    </row>
    <row r="1603" spans="1:8" x14ac:dyDescent="0.2">
      <c r="A1603" s="79" t="s">
        <v>8482</v>
      </c>
      <c r="B1603" s="79" t="s">
        <v>8860</v>
      </c>
      <c r="C1603" s="79" t="s">
        <v>7311</v>
      </c>
      <c r="D1603" s="79" t="s">
        <v>7312</v>
      </c>
      <c r="E1603" s="79">
        <v>2000</v>
      </c>
      <c r="G1603" s="79" t="s">
        <v>7329</v>
      </c>
      <c r="H1603" s="80">
        <v>2167164</v>
      </c>
    </row>
    <row r="1604" spans="1:8" x14ac:dyDescent="0.2">
      <c r="A1604" s="79" t="s">
        <v>8482</v>
      </c>
      <c r="B1604" s="79" t="s">
        <v>8861</v>
      </c>
      <c r="C1604" s="79" t="s">
        <v>7379</v>
      </c>
      <c r="D1604" s="79" t="s">
        <v>7312</v>
      </c>
      <c r="E1604" s="79">
        <v>2400</v>
      </c>
      <c r="G1604" s="79" t="s">
        <v>7329</v>
      </c>
      <c r="H1604" s="80">
        <v>3225000</v>
      </c>
    </row>
    <row r="1605" spans="1:8" x14ac:dyDescent="0.2">
      <c r="A1605" s="79" t="s">
        <v>8482</v>
      </c>
      <c r="B1605" s="79" t="s">
        <v>8862</v>
      </c>
      <c r="C1605" s="79" t="s">
        <v>7335</v>
      </c>
      <c r="D1605" s="79" t="s">
        <v>7312</v>
      </c>
      <c r="E1605" s="79">
        <v>2400</v>
      </c>
      <c r="G1605" s="79" t="s">
        <v>7313</v>
      </c>
      <c r="H1605" s="80">
        <v>3880000</v>
      </c>
    </row>
    <row r="1606" spans="1:8" x14ac:dyDescent="0.2">
      <c r="A1606" s="79" t="s">
        <v>8482</v>
      </c>
      <c r="B1606" s="79" t="s">
        <v>8862</v>
      </c>
      <c r="C1606" s="79" t="s">
        <v>7335</v>
      </c>
      <c r="D1606" s="79" t="s">
        <v>7312</v>
      </c>
      <c r="E1606" s="79">
        <v>2700</v>
      </c>
      <c r="G1606" s="79" t="s">
        <v>7313</v>
      </c>
      <c r="H1606" s="80">
        <v>3995000</v>
      </c>
    </row>
    <row r="1607" spans="1:8" x14ac:dyDescent="0.2">
      <c r="A1607" s="79" t="s">
        <v>8482</v>
      </c>
      <c r="B1607" s="79" t="s">
        <v>8863</v>
      </c>
      <c r="C1607" s="79" t="s">
        <v>7335</v>
      </c>
      <c r="D1607" s="79" t="s">
        <v>7312</v>
      </c>
      <c r="E1607" s="79">
        <v>2500</v>
      </c>
      <c r="G1607" s="79" t="s">
        <v>7329</v>
      </c>
      <c r="H1607" s="80">
        <v>4125000</v>
      </c>
    </row>
    <row r="1608" spans="1:8" x14ac:dyDescent="0.2">
      <c r="A1608" s="79" t="s">
        <v>8482</v>
      </c>
      <c r="B1608" s="79" t="s">
        <v>8864</v>
      </c>
      <c r="C1608" s="79" t="s">
        <v>7335</v>
      </c>
      <c r="D1608" s="79" t="s">
        <v>7312</v>
      </c>
      <c r="E1608" s="79">
        <v>2500</v>
      </c>
      <c r="G1608" s="79" t="s">
        <v>7329</v>
      </c>
      <c r="H1608" s="80">
        <v>4533750</v>
      </c>
    </row>
    <row r="1609" spans="1:8" x14ac:dyDescent="0.2">
      <c r="A1609" s="79" t="s">
        <v>8482</v>
      </c>
      <c r="B1609" s="79" t="s">
        <v>8863</v>
      </c>
      <c r="C1609" s="79" t="s">
        <v>7335</v>
      </c>
      <c r="D1609" s="79" t="s">
        <v>7312</v>
      </c>
      <c r="E1609" s="79">
        <v>3500</v>
      </c>
      <c r="G1609" s="79" t="s">
        <v>7329</v>
      </c>
      <c r="H1609" s="80">
        <v>6256635</v>
      </c>
    </row>
    <row r="1610" spans="1:8" x14ac:dyDescent="0.2">
      <c r="A1610" s="79" t="s">
        <v>8482</v>
      </c>
      <c r="B1610" s="79" t="s">
        <v>8863</v>
      </c>
      <c r="C1610" s="79" t="s">
        <v>7335</v>
      </c>
      <c r="D1610" s="79" t="s">
        <v>7328</v>
      </c>
      <c r="E1610" s="79">
        <v>3500</v>
      </c>
      <c r="G1610" s="79" t="s">
        <v>7329</v>
      </c>
      <c r="H1610" s="80">
        <v>5573934.8200000003</v>
      </c>
    </row>
    <row r="1611" spans="1:8" x14ac:dyDescent="0.2">
      <c r="A1611" s="79" t="s">
        <v>8482</v>
      </c>
      <c r="B1611" s="79" t="s">
        <v>8865</v>
      </c>
      <c r="C1611" s="79" t="s">
        <v>7335</v>
      </c>
      <c r="D1611" s="79" t="s">
        <v>7312</v>
      </c>
      <c r="E1611" s="79">
        <v>3500</v>
      </c>
      <c r="G1611" s="79" t="s">
        <v>7313</v>
      </c>
      <c r="H1611" s="80">
        <v>9642260</v>
      </c>
    </row>
    <row r="1612" spans="1:8" x14ac:dyDescent="0.2">
      <c r="A1612" s="79" t="s">
        <v>8482</v>
      </c>
      <c r="B1612" s="79" t="s">
        <v>8866</v>
      </c>
      <c r="C1612" s="79" t="s">
        <v>7619</v>
      </c>
      <c r="D1612" s="79" t="s">
        <v>7328</v>
      </c>
      <c r="E1612" s="79">
        <v>2500</v>
      </c>
      <c r="G1612" s="79" t="s">
        <v>7329</v>
      </c>
      <c r="H1612" s="80">
        <v>2199400</v>
      </c>
    </row>
    <row r="1613" spans="1:8" x14ac:dyDescent="0.2">
      <c r="A1613" s="79" t="s">
        <v>8482</v>
      </c>
      <c r="B1613" s="79" t="s">
        <v>8866</v>
      </c>
      <c r="C1613" s="79" t="s">
        <v>7619</v>
      </c>
      <c r="D1613" s="79" t="s">
        <v>7328</v>
      </c>
      <c r="E1613" s="79">
        <v>2500</v>
      </c>
      <c r="G1613" s="79" t="s">
        <v>7313</v>
      </c>
      <c r="H1613" s="80">
        <v>2700000</v>
      </c>
    </row>
    <row r="1614" spans="1:8" x14ac:dyDescent="0.2">
      <c r="A1614" s="79" t="s">
        <v>8482</v>
      </c>
      <c r="B1614" s="79" t="s">
        <v>8867</v>
      </c>
      <c r="C1614" s="79" t="s">
        <v>8200</v>
      </c>
      <c r="D1614" s="79" t="s">
        <v>7328</v>
      </c>
      <c r="E1614" s="79">
        <v>2500</v>
      </c>
      <c r="G1614" s="79" t="s">
        <v>7313</v>
      </c>
      <c r="H1614" s="80">
        <v>5864090</v>
      </c>
    </row>
    <row r="1615" spans="1:8" x14ac:dyDescent="0.2">
      <c r="A1615" s="79" t="s">
        <v>8482</v>
      </c>
      <c r="B1615" s="79" t="s">
        <v>8868</v>
      </c>
      <c r="C1615" s="79" t="s">
        <v>8200</v>
      </c>
      <c r="D1615" s="79" t="s">
        <v>7328</v>
      </c>
      <c r="E1615" s="79">
        <v>2500</v>
      </c>
      <c r="G1615" s="79" t="s">
        <v>7313</v>
      </c>
      <c r="H1615" s="80">
        <v>6945349</v>
      </c>
    </row>
    <row r="1616" spans="1:8" x14ac:dyDescent="0.2">
      <c r="A1616" s="79" t="s">
        <v>8482</v>
      </c>
      <c r="B1616" s="79" t="s">
        <v>8869</v>
      </c>
      <c r="C1616" s="79" t="s">
        <v>8200</v>
      </c>
      <c r="D1616" s="79" t="s">
        <v>7328</v>
      </c>
      <c r="E1616" s="79">
        <v>2500</v>
      </c>
      <c r="G1616" s="79" t="s">
        <v>7313</v>
      </c>
      <c r="H1616" s="80">
        <v>7240077</v>
      </c>
    </row>
    <row r="1617" spans="1:8" x14ac:dyDescent="0.2">
      <c r="A1617" s="79" t="s">
        <v>8482</v>
      </c>
      <c r="B1617" s="79" t="s">
        <v>8870</v>
      </c>
      <c r="C1617" s="79" t="s">
        <v>7340</v>
      </c>
      <c r="D1617" s="79" t="s">
        <v>7312</v>
      </c>
      <c r="E1617" s="79">
        <v>1500</v>
      </c>
      <c r="G1617" s="79" t="s">
        <v>7329</v>
      </c>
      <c r="H1617" s="80">
        <v>1900000</v>
      </c>
    </row>
    <row r="1618" spans="1:8" x14ac:dyDescent="0.2">
      <c r="A1618" s="79" t="s">
        <v>8482</v>
      </c>
      <c r="B1618" s="79" t="s">
        <v>8871</v>
      </c>
      <c r="C1618" s="79" t="s">
        <v>7619</v>
      </c>
      <c r="D1618" s="79" t="s">
        <v>7312</v>
      </c>
      <c r="E1618" s="79">
        <v>1600</v>
      </c>
      <c r="G1618" s="79" t="s">
        <v>7329</v>
      </c>
      <c r="H1618" s="80">
        <v>2683336</v>
      </c>
    </row>
    <row r="1619" spans="1:8" x14ac:dyDescent="0.2">
      <c r="A1619" s="79" t="s">
        <v>8482</v>
      </c>
      <c r="B1619" s="79" t="s">
        <v>8872</v>
      </c>
      <c r="C1619" s="79" t="s">
        <v>7335</v>
      </c>
      <c r="D1619" s="79" t="s">
        <v>7328</v>
      </c>
      <c r="E1619" s="79">
        <v>2500</v>
      </c>
      <c r="G1619" s="79" t="s">
        <v>7313</v>
      </c>
      <c r="H1619" s="80">
        <v>9449914</v>
      </c>
    </row>
    <row r="1620" spans="1:8" x14ac:dyDescent="0.2">
      <c r="A1620" s="79" t="s">
        <v>8482</v>
      </c>
      <c r="B1620" s="79" t="s">
        <v>8873</v>
      </c>
      <c r="C1620" s="79" t="s">
        <v>7335</v>
      </c>
      <c r="D1620" s="79" t="s">
        <v>7328</v>
      </c>
      <c r="E1620" s="79">
        <v>2500</v>
      </c>
      <c r="G1620" s="79" t="s">
        <v>7313</v>
      </c>
      <c r="H1620" s="80">
        <v>11503650</v>
      </c>
    </row>
    <row r="1621" spans="1:8" x14ac:dyDescent="0.2">
      <c r="A1621" s="79" t="s">
        <v>8482</v>
      </c>
      <c r="B1621" s="79" t="s">
        <v>8874</v>
      </c>
      <c r="C1621" s="79" t="s">
        <v>7335</v>
      </c>
      <c r="D1621" s="79" t="s">
        <v>7328</v>
      </c>
      <c r="E1621" s="79">
        <v>3000</v>
      </c>
      <c r="G1621" s="79" t="s">
        <v>7313</v>
      </c>
      <c r="H1621" s="80">
        <v>6961500</v>
      </c>
    </row>
    <row r="1622" spans="1:8" x14ac:dyDescent="0.2">
      <c r="A1622" s="79" t="s">
        <v>8482</v>
      </c>
      <c r="B1622" s="79" t="s">
        <v>8875</v>
      </c>
      <c r="C1622" s="79" t="s">
        <v>7335</v>
      </c>
      <c r="D1622" s="79" t="s">
        <v>7328</v>
      </c>
      <c r="E1622" s="79">
        <v>3000</v>
      </c>
      <c r="G1622" s="79" t="s">
        <v>7313</v>
      </c>
      <c r="H1622" s="80">
        <v>8353800</v>
      </c>
    </row>
    <row r="1623" spans="1:8" x14ac:dyDescent="0.2">
      <c r="A1623" s="79" t="s">
        <v>8482</v>
      </c>
      <c r="B1623" s="79" t="s">
        <v>8876</v>
      </c>
      <c r="C1623" s="79" t="s">
        <v>7335</v>
      </c>
      <c r="D1623" s="79" t="s">
        <v>7328</v>
      </c>
      <c r="E1623" s="79">
        <v>3000</v>
      </c>
      <c r="F1623" s="79" t="s">
        <v>7349</v>
      </c>
      <c r="G1623" s="79" t="s">
        <v>7313</v>
      </c>
      <c r="H1623" s="80">
        <v>11233931.689999999</v>
      </c>
    </row>
    <row r="1624" spans="1:8" x14ac:dyDescent="0.2">
      <c r="A1624" s="79" t="s">
        <v>8482</v>
      </c>
      <c r="B1624" s="79" t="s">
        <v>8877</v>
      </c>
      <c r="C1624" s="79" t="s">
        <v>7335</v>
      </c>
      <c r="D1624" s="79" t="s">
        <v>7328</v>
      </c>
      <c r="E1624" s="79">
        <v>3000</v>
      </c>
      <c r="G1624" s="79" t="s">
        <v>7313</v>
      </c>
      <c r="H1624" s="80">
        <v>7204610</v>
      </c>
    </row>
    <row r="1625" spans="1:8" x14ac:dyDescent="0.2">
      <c r="A1625" s="79" t="s">
        <v>8482</v>
      </c>
      <c r="B1625" s="79" t="s">
        <v>8877</v>
      </c>
      <c r="C1625" s="79" t="s">
        <v>7335</v>
      </c>
      <c r="D1625" s="79" t="s">
        <v>7328</v>
      </c>
      <c r="E1625" s="79">
        <v>4200</v>
      </c>
      <c r="G1625" s="79" t="s">
        <v>7313</v>
      </c>
      <c r="H1625" s="80">
        <v>7529630</v>
      </c>
    </row>
    <row r="1626" spans="1:8" x14ac:dyDescent="0.2">
      <c r="A1626" s="79" t="s">
        <v>8482</v>
      </c>
      <c r="B1626" s="79" t="s">
        <v>8878</v>
      </c>
      <c r="C1626" s="79" t="s">
        <v>7335</v>
      </c>
      <c r="D1626" s="79" t="s">
        <v>7328</v>
      </c>
      <c r="E1626" s="79">
        <v>4200</v>
      </c>
      <c r="G1626" s="79" t="s">
        <v>7313</v>
      </c>
      <c r="H1626" s="80">
        <v>9384952.5</v>
      </c>
    </row>
    <row r="1627" spans="1:8" x14ac:dyDescent="0.2">
      <c r="A1627" s="79" t="s">
        <v>8482</v>
      </c>
      <c r="B1627" s="79" t="s">
        <v>8879</v>
      </c>
      <c r="C1627" s="79" t="s">
        <v>7335</v>
      </c>
      <c r="D1627" s="79" t="s">
        <v>7328</v>
      </c>
      <c r="E1627" s="79">
        <v>4200</v>
      </c>
      <c r="G1627" s="79" t="s">
        <v>7313</v>
      </c>
      <c r="H1627" s="80">
        <v>11347260.75</v>
      </c>
    </row>
    <row r="1628" spans="1:8" x14ac:dyDescent="0.2">
      <c r="A1628" s="79" t="s">
        <v>8482</v>
      </c>
      <c r="B1628" s="79" t="s">
        <v>8880</v>
      </c>
      <c r="C1628" s="79" t="s">
        <v>7335</v>
      </c>
      <c r="D1628" s="79" t="s">
        <v>7312</v>
      </c>
      <c r="E1628" s="79">
        <v>4800</v>
      </c>
      <c r="F1628" s="79" t="s">
        <v>7349</v>
      </c>
      <c r="G1628" s="79" t="s">
        <v>7313</v>
      </c>
      <c r="H1628" s="80">
        <v>12342634.5</v>
      </c>
    </row>
    <row r="1629" spans="1:8" x14ac:dyDescent="0.2">
      <c r="A1629" s="79" t="s">
        <v>8482</v>
      </c>
      <c r="B1629" s="79" t="s">
        <v>8881</v>
      </c>
      <c r="C1629" s="79" t="s">
        <v>7619</v>
      </c>
      <c r="D1629" s="79" t="s">
        <v>7328</v>
      </c>
      <c r="E1629" s="79">
        <v>4200</v>
      </c>
      <c r="G1629" s="79" t="s">
        <v>7313</v>
      </c>
      <c r="H1629" s="80">
        <v>7526731.9100000001</v>
      </c>
    </row>
    <row r="1630" spans="1:8" x14ac:dyDescent="0.2">
      <c r="A1630" s="79" t="s">
        <v>8482</v>
      </c>
      <c r="B1630" s="79" t="s">
        <v>8882</v>
      </c>
      <c r="C1630" s="79" t="s">
        <v>7619</v>
      </c>
      <c r="D1630" s="79" t="s">
        <v>7328</v>
      </c>
      <c r="E1630" s="79">
        <v>4200</v>
      </c>
      <c r="G1630" s="79" t="s">
        <v>7313</v>
      </c>
      <c r="H1630" s="80">
        <v>7392540.9000000004</v>
      </c>
    </row>
    <row r="1631" spans="1:8" x14ac:dyDescent="0.2">
      <c r="A1631" s="79" t="s">
        <v>8482</v>
      </c>
      <c r="B1631" s="79" t="s">
        <v>8883</v>
      </c>
      <c r="C1631" s="79" t="s">
        <v>7335</v>
      </c>
      <c r="D1631" s="79" t="s">
        <v>7312</v>
      </c>
      <c r="E1631" s="79">
        <v>5600</v>
      </c>
      <c r="G1631" s="79" t="s">
        <v>7313</v>
      </c>
      <c r="H1631" s="80">
        <v>16184338.4</v>
      </c>
    </row>
    <row r="1632" spans="1:8" x14ac:dyDescent="0.2">
      <c r="A1632" s="79" t="s">
        <v>8482</v>
      </c>
      <c r="B1632" s="79" t="s">
        <v>8884</v>
      </c>
      <c r="C1632" s="79" t="s">
        <v>7335</v>
      </c>
      <c r="D1632" s="79" t="s">
        <v>7312</v>
      </c>
      <c r="E1632" s="79">
        <v>5600</v>
      </c>
      <c r="G1632" s="79" t="s">
        <v>7313</v>
      </c>
      <c r="H1632" s="80">
        <v>14950920</v>
      </c>
    </row>
    <row r="1633" spans="1:8" x14ac:dyDescent="0.2">
      <c r="A1633" s="79" t="s">
        <v>8482</v>
      </c>
      <c r="B1633" s="79" t="s">
        <v>8885</v>
      </c>
      <c r="C1633" s="79" t="s">
        <v>7327</v>
      </c>
      <c r="D1633" s="79" t="s">
        <v>7312</v>
      </c>
      <c r="E1633" s="79">
        <v>650</v>
      </c>
      <c r="G1633" s="79" t="s">
        <v>7329</v>
      </c>
      <c r="H1633" s="80">
        <v>964048</v>
      </c>
    </row>
    <row r="1634" spans="1:8" x14ac:dyDescent="0.2">
      <c r="A1634" s="79" t="s">
        <v>8482</v>
      </c>
      <c r="B1634" s="79" t="s">
        <v>8886</v>
      </c>
      <c r="C1634" s="79" t="s">
        <v>7335</v>
      </c>
      <c r="D1634" s="79" t="s">
        <v>7312</v>
      </c>
      <c r="E1634" s="79">
        <v>660</v>
      </c>
      <c r="G1634" s="79" t="s">
        <v>7313</v>
      </c>
      <c r="H1634" s="80">
        <v>1963680</v>
      </c>
    </row>
    <row r="1635" spans="1:8" x14ac:dyDescent="0.2">
      <c r="A1635" s="79" t="s">
        <v>8482</v>
      </c>
      <c r="B1635" s="79" t="s">
        <v>8887</v>
      </c>
      <c r="C1635" s="79" t="s">
        <v>7335</v>
      </c>
      <c r="D1635" s="79" t="s">
        <v>7312</v>
      </c>
      <c r="E1635" s="79">
        <v>1997</v>
      </c>
      <c r="G1635" s="79" t="s">
        <v>7329</v>
      </c>
      <c r="H1635" s="80">
        <v>2995000</v>
      </c>
    </row>
    <row r="1636" spans="1:8" x14ac:dyDescent="0.2">
      <c r="A1636" s="79" t="s">
        <v>8482</v>
      </c>
      <c r="B1636" s="79" t="s">
        <v>8888</v>
      </c>
      <c r="C1636" s="79" t="s">
        <v>7335</v>
      </c>
      <c r="D1636" s="79" t="s">
        <v>7312</v>
      </c>
      <c r="E1636" s="79">
        <v>1490</v>
      </c>
      <c r="G1636" s="79" t="s">
        <v>7329</v>
      </c>
      <c r="H1636" s="80">
        <v>1525500</v>
      </c>
    </row>
    <row r="1637" spans="1:8" x14ac:dyDescent="0.2">
      <c r="A1637" s="79" t="s">
        <v>8482</v>
      </c>
      <c r="B1637" s="79" t="s">
        <v>8889</v>
      </c>
      <c r="C1637" s="79" t="s">
        <v>7335</v>
      </c>
      <c r="D1637" s="79" t="s">
        <v>7312</v>
      </c>
      <c r="E1637" s="79">
        <v>2480</v>
      </c>
      <c r="G1637" s="79" t="s">
        <v>7329</v>
      </c>
      <c r="H1637" s="80">
        <v>3213000</v>
      </c>
    </row>
    <row r="1638" spans="1:8" x14ac:dyDescent="0.2">
      <c r="A1638" s="79" t="s">
        <v>8482</v>
      </c>
      <c r="B1638" s="79" t="s">
        <v>8890</v>
      </c>
      <c r="C1638" s="79" t="s">
        <v>7311</v>
      </c>
      <c r="D1638" s="79" t="s">
        <v>7312</v>
      </c>
      <c r="E1638" s="79">
        <v>1830</v>
      </c>
      <c r="G1638" s="79" t="s">
        <v>7329</v>
      </c>
      <c r="H1638" s="80">
        <v>2395800</v>
      </c>
    </row>
    <row r="1639" spans="1:8" x14ac:dyDescent="0.2">
      <c r="A1639" s="79" t="s">
        <v>8482</v>
      </c>
      <c r="B1639" s="79" t="s">
        <v>8890</v>
      </c>
      <c r="C1639" s="79" t="s">
        <v>7311</v>
      </c>
      <c r="D1639" s="79" t="s">
        <v>7312</v>
      </c>
      <c r="E1639" s="79">
        <v>2000</v>
      </c>
      <c r="G1639" s="79" t="s">
        <v>7329</v>
      </c>
      <c r="H1639" s="80">
        <v>2618360</v>
      </c>
    </row>
    <row r="1640" spans="1:8" x14ac:dyDescent="0.2">
      <c r="A1640" s="79" t="s">
        <v>8482</v>
      </c>
      <c r="B1640" s="79" t="s">
        <v>8890</v>
      </c>
      <c r="C1640" s="79" t="s">
        <v>7311</v>
      </c>
      <c r="D1640" s="79" t="s">
        <v>7312</v>
      </c>
      <c r="E1640" s="79">
        <v>1497</v>
      </c>
      <c r="G1640" s="79" t="s">
        <v>7329</v>
      </c>
      <c r="H1640" s="80">
        <v>2145000</v>
      </c>
    </row>
    <row r="1641" spans="1:8" x14ac:dyDescent="0.2">
      <c r="A1641" s="79" t="s">
        <v>8482</v>
      </c>
      <c r="B1641" s="79" t="s">
        <v>8890</v>
      </c>
      <c r="C1641" s="79" t="s">
        <v>7335</v>
      </c>
      <c r="D1641" s="79" t="s">
        <v>7312</v>
      </c>
      <c r="E1641" s="79">
        <v>2000</v>
      </c>
      <c r="G1641" s="79" t="s">
        <v>7329</v>
      </c>
      <c r="H1641" s="80">
        <v>2856700</v>
      </c>
    </row>
    <row r="1642" spans="1:8" x14ac:dyDescent="0.2">
      <c r="A1642" s="79" t="s">
        <v>8482</v>
      </c>
      <c r="B1642" s="79" t="s">
        <v>8891</v>
      </c>
      <c r="C1642" s="79" t="s">
        <v>7327</v>
      </c>
      <c r="D1642" s="79" t="s">
        <v>7312</v>
      </c>
      <c r="E1642" s="79">
        <v>2000</v>
      </c>
      <c r="G1642" s="79" t="s">
        <v>7329</v>
      </c>
      <c r="H1642" s="80">
        <v>2904000</v>
      </c>
    </row>
    <row r="1643" spans="1:8" x14ac:dyDescent="0.2">
      <c r="A1643" s="79" t="s">
        <v>8482</v>
      </c>
      <c r="B1643" s="79" t="s">
        <v>8892</v>
      </c>
      <c r="C1643" s="79" t="s">
        <v>7340</v>
      </c>
      <c r="D1643" s="79" t="s">
        <v>7312</v>
      </c>
      <c r="E1643" s="79">
        <v>1997</v>
      </c>
      <c r="G1643" s="79" t="s">
        <v>7329</v>
      </c>
      <c r="H1643" s="80">
        <v>5605969</v>
      </c>
    </row>
    <row r="1644" spans="1:8" x14ac:dyDescent="0.2">
      <c r="A1644" s="79" t="s">
        <v>8482</v>
      </c>
      <c r="B1644" s="79" t="s">
        <v>8893</v>
      </c>
      <c r="C1644" s="79" t="s">
        <v>7340</v>
      </c>
      <c r="D1644" s="79" t="s">
        <v>7312</v>
      </c>
      <c r="E1644" s="79">
        <v>1997</v>
      </c>
      <c r="G1644" s="79" t="s">
        <v>7329</v>
      </c>
      <c r="H1644" s="80">
        <v>6177954</v>
      </c>
    </row>
    <row r="1645" spans="1:8" x14ac:dyDescent="0.2">
      <c r="A1645" s="79" t="s">
        <v>8482</v>
      </c>
      <c r="B1645" s="79" t="s">
        <v>8893</v>
      </c>
      <c r="C1645" s="79" t="s">
        <v>7340</v>
      </c>
      <c r="D1645" s="79" t="s">
        <v>7312</v>
      </c>
      <c r="E1645" s="79">
        <v>1997</v>
      </c>
      <c r="G1645" s="79" t="s">
        <v>7313</v>
      </c>
      <c r="H1645" s="80">
        <v>6527696</v>
      </c>
    </row>
    <row r="1646" spans="1:8" x14ac:dyDescent="0.2">
      <c r="A1646" s="79" t="s">
        <v>8482</v>
      </c>
      <c r="B1646" s="79" t="s">
        <v>8894</v>
      </c>
      <c r="C1646" s="79" t="s">
        <v>7311</v>
      </c>
      <c r="D1646" s="79" t="s">
        <v>7312</v>
      </c>
      <c r="E1646" s="79">
        <v>1295</v>
      </c>
      <c r="G1646" s="79" t="s">
        <v>7329</v>
      </c>
      <c r="H1646" s="80">
        <v>1695000</v>
      </c>
    </row>
    <row r="1647" spans="1:8" x14ac:dyDescent="0.2">
      <c r="A1647" s="79" t="s">
        <v>8482</v>
      </c>
      <c r="B1647" s="79" t="s">
        <v>8895</v>
      </c>
      <c r="C1647" s="79" t="s">
        <v>7311</v>
      </c>
      <c r="D1647" s="79" t="s">
        <v>7312</v>
      </c>
      <c r="E1647" s="79">
        <v>1295</v>
      </c>
      <c r="G1647" s="79" t="s">
        <v>7329</v>
      </c>
      <c r="H1647" s="80">
        <v>1795000</v>
      </c>
    </row>
    <row r="1648" spans="1:8" x14ac:dyDescent="0.2">
      <c r="A1648" s="79" t="s">
        <v>8482</v>
      </c>
      <c r="B1648" s="79" t="s">
        <v>8896</v>
      </c>
      <c r="C1648" s="79" t="s">
        <v>7311</v>
      </c>
      <c r="D1648" s="79" t="s">
        <v>7312</v>
      </c>
      <c r="E1648" s="79">
        <v>1295</v>
      </c>
      <c r="G1648" s="79" t="s">
        <v>7329</v>
      </c>
      <c r="H1648" s="80">
        <v>2992500</v>
      </c>
    </row>
    <row r="1649" spans="1:8" x14ac:dyDescent="0.2">
      <c r="A1649" s="79" t="s">
        <v>8482</v>
      </c>
      <c r="B1649" s="79" t="s">
        <v>8897</v>
      </c>
      <c r="C1649" s="79" t="s">
        <v>7311</v>
      </c>
      <c r="D1649" s="79" t="s">
        <v>7312</v>
      </c>
      <c r="E1649" s="79">
        <v>1600</v>
      </c>
      <c r="G1649" s="79" t="s">
        <v>7329</v>
      </c>
      <c r="H1649" s="80">
        <v>1995000</v>
      </c>
    </row>
    <row r="1650" spans="1:8" x14ac:dyDescent="0.2">
      <c r="A1650" s="79" t="s">
        <v>8482</v>
      </c>
      <c r="B1650" s="79" t="s">
        <v>8898</v>
      </c>
      <c r="C1650" s="79" t="s">
        <v>7311</v>
      </c>
      <c r="D1650" s="79" t="s">
        <v>7312</v>
      </c>
      <c r="E1650" s="79">
        <v>2490</v>
      </c>
      <c r="G1650" s="79" t="s">
        <v>7329</v>
      </c>
      <c r="H1650" s="80">
        <v>4859600</v>
      </c>
    </row>
    <row r="1651" spans="1:8" x14ac:dyDescent="0.2">
      <c r="A1651" s="79" t="s">
        <v>8482</v>
      </c>
      <c r="B1651" s="79" t="s">
        <v>8898</v>
      </c>
      <c r="C1651" s="79" t="s">
        <v>7311</v>
      </c>
      <c r="D1651" s="79" t="s">
        <v>7312</v>
      </c>
      <c r="E1651" s="79">
        <v>3500</v>
      </c>
      <c r="G1651" s="79" t="s">
        <v>7329</v>
      </c>
      <c r="H1651" s="80">
        <v>6507592.6900000004</v>
      </c>
    </row>
    <row r="1652" spans="1:8" x14ac:dyDescent="0.2">
      <c r="A1652" s="79" t="s">
        <v>8482</v>
      </c>
      <c r="B1652" s="79" t="s">
        <v>8899</v>
      </c>
      <c r="C1652" s="79" t="s">
        <v>7407</v>
      </c>
      <c r="D1652" s="79" t="s">
        <v>7312</v>
      </c>
      <c r="E1652" s="79">
        <v>3800</v>
      </c>
      <c r="G1652" s="79" t="s">
        <v>7313</v>
      </c>
      <c r="H1652" s="80">
        <v>14924918.4</v>
      </c>
    </row>
    <row r="1653" spans="1:8" x14ac:dyDescent="0.2">
      <c r="A1653" s="79" t="s">
        <v>8570</v>
      </c>
      <c r="B1653" s="79" t="s">
        <v>8900</v>
      </c>
      <c r="C1653" s="79" t="s">
        <v>7407</v>
      </c>
      <c r="D1653" s="79" t="s">
        <v>7312</v>
      </c>
      <c r="E1653" s="79">
        <v>3614</v>
      </c>
      <c r="G1653" s="79" t="s">
        <v>7329</v>
      </c>
      <c r="H1653" s="80">
        <v>19511031.420000002</v>
      </c>
    </row>
    <row r="1654" spans="1:8" x14ac:dyDescent="0.2">
      <c r="A1654" s="79" t="s">
        <v>8570</v>
      </c>
      <c r="B1654" s="79" t="s">
        <v>8901</v>
      </c>
      <c r="C1654" s="79" t="s">
        <v>7407</v>
      </c>
      <c r="D1654" s="79" t="s">
        <v>7312</v>
      </c>
      <c r="E1654" s="79">
        <v>3800</v>
      </c>
      <c r="G1654" s="79" t="s">
        <v>7329</v>
      </c>
      <c r="H1654" s="80">
        <v>21614721.850000001</v>
      </c>
    </row>
    <row r="1655" spans="1:8" x14ac:dyDescent="0.2">
      <c r="A1655" s="79" t="s">
        <v>8570</v>
      </c>
      <c r="B1655" s="79" t="s">
        <v>8902</v>
      </c>
      <c r="C1655" s="79" t="s">
        <v>7407</v>
      </c>
      <c r="D1655" s="79" t="s">
        <v>7312</v>
      </c>
      <c r="E1655" s="79">
        <v>3800</v>
      </c>
      <c r="G1655" s="79" t="s">
        <v>7329</v>
      </c>
      <c r="H1655" s="80">
        <v>21233393.66</v>
      </c>
    </row>
    <row r="1656" spans="1:8" x14ac:dyDescent="0.2">
      <c r="A1656" s="79" t="s">
        <v>8570</v>
      </c>
      <c r="B1656" s="79" t="s">
        <v>8903</v>
      </c>
      <c r="C1656" s="79" t="s">
        <v>7407</v>
      </c>
      <c r="D1656" s="79" t="s">
        <v>7312</v>
      </c>
      <c r="E1656" s="79">
        <v>3800</v>
      </c>
      <c r="G1656" s="79" t="s">
        <v>7329</v>
      </c>
      <c r="H1656" s="80">
        <v>22322598.73</v>
      </c>
    </row>
    <row r="1657" spans="1:8" x14ac:dyDescent="0.2">
      <c r="A1657" s="79" t="s">
        <v>8570</v>
      </c>
      <c r="B1657" s="79" t="s">
        <v>8904</v>
      </c>
      <c r="C1657" s="79" t="s">
        <v>7407</v>
      </c>
      <c r="D1657" s="79" t="s">
        <v>7312</v>
      </c>
      <c r="E1657" s="79">
        <v>3800</v>
      </c>
      <c r="G1657" s="79" t="s">
        <v>7329</v>
      </c>
      <c r="H1657" s="80">
        <v>23608853.25</v>
      </c>
    </row>
    <row r="1658" spans="1:8" x14ac:dyDescent="0.2">
      <c r="A1658" s="79" t="s">
        <v>8570</v>
      </c>
      <c r="B1658" s="79" t="s">
        <v>8905</v>
      </c>
      <c r="C1658" s="79" t="s">
        <v>7335</v>
      </c>
      <c r="D1658" s="79" t="s">
        <v>7312</v>
      </c>
      <c r="E1658" s="79">
        <v>3598</v>
      </c>
      <c r="G1658" s="79" t="s">
        <v>7313</v>
      </c>
      <c r="H1658" s="80">
        <v>12532992.210000001</v>
      </c>
    </row>
    <row r="1659" spans="1:8" x14ac:dyDescent="0.2">
      <c r="A1659" s="79" t="s">
        <v>8570</v>
      </c>
      <c r="B1659" s="79" t="s">
        <v>8906</v>
      </c>
      <c r="C1659" s="79" t="s">
        <v>7335</v>
      </c>
      <c r="D1659" s="79" t="s">
        <v>7312</v>
      </c>
      <c r="E1659" s="79">
        <v>3604</v>
      </c>
      <c r="G1659" s="79" t="s">
        <v>7313</v>
      </c>
      <c r="H1659" s="80">
        <v>14549093.869999999</v>
      </c>
    </row>
    <row r="1660" spans="1:8" x14ac:dyDescent="0.2">
      <c r="A1660" s="79" t="s">
        <v>8570</v>
      </c>
      <c r="B1660" s="79" t="s">
        <v>8907</v>
      </c>
      <c r="C1660" s="79" t="s">
        <v>7335</v>
      </c>
      <c r="D1660" s="79" t="s">
        <v>7312</v>
      </c>
      <c r="E1660" s="79">
        <v>2995</v>
      </c>
      <c r="G1660" s="79" t="s">
        <v>7313</v>
      </c>
      <c r="H1660" s="80">
        <v>16418088</v>
      </c>
    </row>
    <row r="1661" spans="1:8" x14ac:dyDescent="0.2">
      <c r="A1661" s="79" t="s">
        <v>8570</v>
      </c>
      <c r="B1661" s="79" t="s">
        <v>8908</v>
      </c>
      <c r="C1661" s="79" t="s">
        <v>7335</v>
      </c>
      <c r="D1661" s="79" t="s">
        <v>7312</v>
      </c>
      <c r="E1661" s="79">
        <v>4806</v>
      </c>
      <c r="G1661" s="79" t="s">
        <v>7313</v>
      </c>
      <c r="H1661" s="80">
        <v>20092255.370000001</v>
      </c>
    </row>
    <row r="1662" spans="1:8" x14ac:dyDescent="0.2">
      <c r="A1662" s="79" t="s">
        <v>8570</v>
      </c>
      <c r="B1662" s="79" t="s">
        <v>8909</v>
      </c>
      <c r="C1662" s="79" t="s">
        <v>7335</v>
      </c>
      <c r="D1662" s="79" t="s">
        <v>7312</v>
      </c>
      <c r="E1662" s="79">
        <v>3598</v>
      </c>
      <c r="G1662" s="79" t="s">
        <v>7313</v>
      </c>
      <c r="H1662" s="80">
        <v>8174350.5099999998</v>
      </c>
    </row>
    <row r="1663" spans="1:8" x14ac:dyDescent="0.2">
      <c r="A1663" s="79" t="s">
        <v>8570</v>
      </c>
      <c r="B1663" s="79" t="s">
        <v>8910</v>
      </c>
      <c r="C1663" s="79" t="s">
        <v>7335</v>
      </c>
      <c r="D1663" s="79" t="s">
        <v>7312</v>
      </c>
      <c r="E1663" s="79">
        <v>3598</v>
      </c>
      <c r="G1663" s="79" t="s">
        <v>7313</v>
      </c>
      <c r="H1663" s="80">
        <v>8412372.4000000004</v>
      </c>
    </row>
    <row r="1664" spans="1:8" x14ac:dyDescent="0.2">
      <c r="A1664" s="79" t="s">
        <v>8570</v>
      </c>
      <c r="B1664" s="79" t="s">
        <v>8911</v>
      </c>
      <c r="C1664" s="79" t="s">
        <v>7335</v>
      </c>
      <c r="D1664" s="79" t="s">
        <v>7312</v>
      </c>
      <c r="E1664" s="79">
        <v>2967</v>
      </c>
      <c r="G1664" s="79" t="s">
        <v>7313</v>
      </c>
      <c r="H1664" s="80">
        <v>7545090</v>
      </c>
    </row>
    <row r="1665" spans="1:8" x14ac:dyDescent="0.2">
      <c r="A1665" s="79" t="s">
        <v>8570</v>
      </c>
      <c r="B1665" s="79" t="s">
        <v>8912</v>
      </c>
      <c r="C1665" s="79" t="s">
        <v>7335</v>
      </c>
      <c r="D1665" s="79" t="s">
        <v>7312</v>
      </c>
      <c r="E1665" s="79">
        <v>4806</v>
      </c>
      <c r="G1665" s="79" t="s">
        <v>7313</v>
      </c>
      <c r="H1665" s="80">
        <v>11194358.34</v>
      </c>
    </row>
    <row r="1666" spans="1:8" x14ac:dyDescent="0.2">
      <c r="A1666" s="79" t="s">
        <v>8570</v>
      </c>
      <c r="B1666" s="79" t="s">
        <v>8913</v>
      </c>
      <c r="C1666" s="79" t="s">
        <v>7335</v>
      </c>
      <c r="D1666" s="79" t="s">
        <v>7312</v>
      </c>
      <c r="E1666" s="79">
        <v>2995</v>
      </c>
      <c r="G1666" s="79" t="s">
        <v>7313</v>
      </c>
      <c r="H1666" s="80">
        <v>10981448</v>
      </c>
    </row>
    <row r="1667" spans="1:8" x14ac:dyDescent="0.2">
      <c r="A1667" s="79" t="s">
        <v>8570</v>
      </c>
      <c r="B1667" s="79" t="s">
        <v>8914</v>
      </c>
      <c r="C1667" s="79" t="s">
        <v>7335</v>
      </c>
      <c r="D1667" s="79" t="s">
        <v>7312</v>
      </c>
      <c r="E1667" s="79">
        <v>4806</v>
      </c>
      <c r="G1667" s="79" t="s">
        <v>7313</v>
      </c>
      <c r="H1667" s="80">
        <v>18417091.460000001</v>
      </c>
    </row>
    <row r="1668" spans="1:8" x14ac:dyDescent="0.2">
      <c r="A1668" s="79" t="s">
        <v>8570</v>
      </c>
      <c r="B1668" s="79" t="s">
        <v>8915</v>
      </c>
      <c r="C1668" s="79" t="s">
        <v>7340</v>
      </c>
      <c r="D1668" s="79" t="s">
        <v>7312</v>
      </c>
      <c r="E1668" s="79">
        <v>1984</v>
      </c>
      <c r="G1668" s="79" t="s">
        <v>7313</v>
      </c>
      <c r="H1668" s="80">
        <v>10549929.6</v>
      </c>
    </row>
    <row r="1669" spans="1:8" x14ac:dyDescent="0.2">
      <c r="A1669" s="79" t="s">
        <v>8570</v>
      </c>
      <c r="B1669" s="79" t="s">
        <v>8916</v>
      </c>
      <c r="C1669" s="79" t="s">
        <v>7340</v>
      </c>
      <c r="D1669" s="79" t="s">
        <v>7312</v>
      </c>
      <c r="E1669" s="79">
        <v>2997</v>
      </c>
      <c r="G1669" s="79" t="s">
        <v>7313</v>
      </c>
      <c r="H1669" s="80">
        <v>12993808.800000001</v>
      </c>
    </row>
    <row r="1670" spans="1:8" x14ac:dyDescent="0.2">
      <c r="A1670" s="79" t="s">
        <v>8570</v>
      </c>
      <c r="B1670" s="79" t="s">
        <v>8917</v>
      </c>
      <c r="C1670" s="79" t="s">
        <v>7340</v>
      </c>
      <c r="D1670" s="79" t="s">
        <v>7312</v>
      </c>
      <c r="E1670" s="79">
        <v>3604</v>
      </c>
      <c r="G1670" s="79" t="s">
        <v>7313</v>
      </c>
      <c r="H1670" s="80">
        <v>16847507.91</v>
      </c>
    </row>
    <row r="1671" spans="1:8" x14ac:dyDescent="0.2">
      <c r="A1671" s="79" t="s">
        <v>8570</v>
      </c>
      <c r="B1671" s="79" t="s">
        <v>8918</v>
      </c>
      <c r="C1671" s="79" t="s">
        <v>7340</v>
      </c>
      <c r="D1671" s="79" t="s">
        <v>7312</v>
      </c>
      <c r="E1671" s="79">
        <v>2997</v>
      </c>
      <c r="G1671" s="79" t="s">
        <v>7313</v>
      </c>
      <c r="H1671" s="80">
        <v>14660076</v>
      </c>
    </row>
    <row r="1672" spans="1:8" x14ac:dyDescent="0.2">
      <c r="A1672" s="79" t="s">
        <v>8570</v>
      </c>
      <c r="B1672" s="79" t="s">
        <v>8919</v>
      </c>
      <c r="C1672" s="79" t="s">
        <v>7335</v>
      </c>
      <c r="D1672" s="79" t="s">
        <v>7312</v>
      </c>
      <c r="E1672" s="79">
        <v>3605</v>
      </c>
      <c r="G1672" s="79" t="s">
        <v>7329</v>
      </c>
      <c r="H1672" s="80">
        <v>13074761.550000001</v>
      </c>
    </row>
    <row r="1673" spans="1:8" x14ac:dyDescent="0.2">
      <c r="A1673" s="79" t="s">
        <v>8570</v>
      </c>
      <c r="B1673" s="79" t="s">
        <v>8920</v>
      </c>
      <c r="C1673" s="79" t="s">
        <v>7335</v>
      </c>
      <c r="D1673" s="79" t="s">
        <v>7312</v>
      </c>
      <c r="E1673" s="79">
        <v>3605</v>
      </c>
      <c r="G1673" s="79" t="s">
        <v>7329</v>
      </c>
      <c r="H1673" s="80">
        <v>13865539.539999999</v>
      </c>
    </row>
    <row r="1674" spans="1:8" x14ac:dyDescent="0.2">
      <c r="A1674" s="79" t="s">
        <v>8570</v>
      </c>
      <c r="B1674" s="79" t="s">
        <v>8921</v>
      </c>
      <c r="C1674" s="79" t="s">
        <v>7335</v>
      </c>
      <c r="D1674" s="79" t="s">
        <v>7312</v>
      </c>
      <c r="E1674" s="79">
        <v>4806</v>
      </c>
      <c r="G1674" s="79" t="s">
        <v>7329</v>
      </c>
      <c r="H1674" s="80">
        <v>15781057.92</v>
      </c>
    </row>
    <row r="1675" spans="1:8" x14ac:dyDescent="0.2">
      <c r="A1675" s="79" t="s">
        <v>8570</v>
      </c>
      <c r="B1675" s="79" t="s">
        <v>8922</v>
      </c>
      <c r="C1675" s="79" t="s">
        <v>7335</v>
      </c>
      <c r="D1675" s="79" t="s">
        <v>7312</v>
      </c>
      <c r="E1675" s="79">
        <v>4806</v>
      </c>
      <c r="G1675" s="79" t="s">
        <v>7313</v>
      </c>
      <c r="H1675" s="80">
        <v>16642161.57</v>
      </c>
    </row>
    <row r="1676" spans="1:8" x14ac:dyDescent="0.2">
      <c r="A1676" s="79" t="s">
        <v>8570</v>
      </c>
      <c r="B1676" s="79" t="s">
        <v>8923</v>
      </c>
      <c r="C1676" s="79" t="s">
        <v>7335</v>
      </c>
      <c r="D1676" s="79" t="s">
        <v>7312</v>
      </c>
      <c r="E1676" s="79">
        <v>4806</v>
      </c>
      <c r="G1676" s="79" t="s">
        <v>7313</v>
      </c>
      <c r="H1676" s="80">
        <v>23777027.699999999</v>
      </c>
    </row>
    <row r="1677" spans="1:8" x14ac:dyDescent="0.2">
      <c r="A1677" s="79" t="s">
        <v>8570</v>
      </c>
      <c r="B1677" s="79" t="s">
        <v>8924</v>
      </c>
      <c r="C1677" s="79" t="s">
        <v>7407</v>
      </c>
      <c r="D1677" s="79" t="s">
        <v>7312</v>
      </c>
      <c r="E1677" s="79">
        <v>3614</v>
      </c>
      <c r="G1677" s="79" t="s">
        <v>7329</v>
      </c>
      <c r="H1677" s="80">
        <v>16185249.539999999</v>
      </c>
    </row>
    <row r="1678" spans="1:8" x14ac:dyDescent="0.2">
      <c r="A1678" s="79" t="s">
        <v>8570</v>
      </c>
      <c r="B1678" s="79" t="s">
        <v>8925</v>
      </c>
      <c r="C1678" s="79" t="s">
        <v>7407</v>
      </c>
      <c r="D1678" s="79" t="s">
        <v>7312</v>
      </c>
      <c r="E1678" s="79">
        <v>3800</v>
      </c>
      <c r="G1678" s="79" t="s">
        <v>7329</v>
      </c>
      <c r="H1678" s="80">
        <v>18417091.460000001</v>
      </c>
    </row>
    <row r="1679" spans="1:8" x14ac:dyDescent="0.2">
      <c r="A1679" s="79" t="s">
        <v>8570</v>
      </c>
      <c r="B1679" s="79" t="s">
        <v>8926</v>
      </c>
      <c r="C1679" s="79" t="s">
        <v>7407</v>
      </c>
      <c r="D1679" s="79" t="s">
        <v>7312</v>
      </c>
      <c r="E1679" s="79">
        <v>3800</v>
      </c>
      <c r="G1679" s="79" t="s">
        <v>7329</v>
      </c>
      <c r="H1679" s="80">
        <v>23812174.27</v>
      </c>
    </row>
    <row r="1680" spans="1:8" x14ac:dyDescent="0.2">
      <c r="A1680" s="79" t="s">
        <v>8570</v>
      </c>
      <c r="B1680" s="79" t="s">
        <v>8927</v>
      </c>
      <c r="C1680" s="79" t="s">
        <v>7407</v>
      </c>
      <c r="D1680" s="79" t="s">
        <v>7312</v>
      </c>
      <c r="E1680" s="79">
        <v>3800</v>
      </c>
      <c r="G1680" s="79" t="s">
        <v>7329</v>
      </c>
      <c r="H1680" s="80">
        <v>28240711.530000001</v>
      </c>
    </row>
    <row r="1681" spans="1:8" x14ac:dyDescent="0.2">
      <c r="A1681" s="79" t="s">
        <v>8570</v>
      </c>
      <c r="B1681" s="79" t="s">
        <v>8928</v>
      </c>
      <c r="C1681" s="79" t="s">
        <v>7407</v>
      </c>
      <c r="D1681" s="79" t="s">
        <v>7312</v>
      </c>
      <c r="E1681" s="79">
        <v>3800</v>
      </c>
      <c r="G1681" s="79" t="s">
        <v>7329</v>
      </c>
      <c r="H1681" s="80">
        <v>25797986.890000001</v>
      </c>
    </row>
    <row r="1682" spans="1:8" x14ac:dyDescent="0.2">
      <c r="A1682" s="79" t="s">
        <v>8570</v>
      </c>
      <c r="B1682" s="79" t="s">
        <v>8929</v>
      </c>
      <c r="C1682" s="79" t="s">
        <v>7407</v>
      </c>
      <c r="D1682" s="79" t="s">
        <v>7312</v>
      </c>
      <c r="E1682" s="79">
        <v>3800</v>
      </c>
      <c r="G1682" s="79" t="s">
        <v>7329</v>
      </c>
      <c r="H1682" s="80">
        <v>30244097.98</v>
      </c>
    </row>
    <row r="1683" spans="1:8" x14ac:dyDescent="0.2">
      <c r="A1683" s="79" t="s">
        <v>8570</v>
      </c>
      <c r="B1683" s="79" t="s">
        <v>8930</v>
      </c>
      <c r="C1683" s="79" t="s">
        <v>7407</v>
      </c>
      <c r="D1683" s="79" t="s">
        <v>7312</v>
      </c>
      <c r="E1683" s="79">
        <v>3797</v>
      </c>
      <c r="G1683" s="79" t="s">
        <v>7329</v>
      </c>
      <c r="H1683" s="80">
        <v>20332609.829999998</v>
      </c>
    </row>
    <row r="1684" spans="1:8" x14ac:dyDescent="0.2">
      <c r="A1684" s="79" t="s">
        <v>8570</v>
      </c>
      <c r="B1684" s="79" t="s">
        <v>8931</v>
      </c>
      <c r="C1684" s="79" t="s">
        <v>7407</v>
      </c>
      <c r="D1684" s="79" t="s">
        <v>7312</v>
      </c>
      <c r="E1684" s="79">
        <v>3797</v>
      </c>
      <c r="G1684" s="79" t="s">
        <v>7329</v>
      </c>
      <c r="H1684" s="80">
        <v>23812174.27</v>
      </c>
    </row>
    <row r="1685" spans="1:8" x14ac:dyDescent="0.2">
      <c r="A1685" s="79" t="s">
        <v>8570</v>
      </c>
      <c r="B1685" s="79" t="s">
        <v>8932</v>
      </c>
      <c r="C1685" s="79" t="s">
        <v>7407</v>
      </c>
      <c r="D1685" s="79" t="s">
        <v>7312</v>
      </c>
      <c r="E1685" s="79">
        <v>3600</v>
      </c>
      <c r="G1685" s="79" t="s">
        <v>7329</v>
      </c>
      <c r="H1685" s="80">
        <v>43055223.890000001</v>
      </c>
    </row>
    <row r="1686" spans="1:8" x14ac:dyDescent="0.2">
      <c r="A1686" s="79" t="s">
        <v>8933</v>
      </c>
      <c r="B1686" s="79" t="s">
        <v>8934</v>
      </c>
      <c r="C1686" s="79" t="s">
        <v>7311</v>
      </c>
      <c r="D1686" s="79" t="s">
        <v>7312</v>
      </c>
      <c r="E1686" s="79">
        <v>1600</v>
      </c>
      <c r="F1686" s="79" t="s">
        <v>7336</v>
      </c>
      <c r="G1686" s="79" t="s">
        <v>7329</v>
      </c>
      <c r="H1686" s="80">
        <v>3378832</v>
      </c>
    </row>
    <row r="1687" spans="1:8" x14ac:dyDescent="0.2">
      <c r="A1687" s="79" t="s">
        <v>8933</v>
      </c>
      <c r="B1687" s="79" t="s">
        <v>8935</v>
      </c>
      <c r="C1687" s="79" t="s">
        <v>7335</v>
      </c>
      <c r="D1687" s="79" t="s">
        <v>7312</v>
      </c>
      <c r="E1687" s="79">
        <v>2500</v>
      </c>
      <c r="G1687" s="79" t="s">
        <v>7329</v>
      </c>
      <c r="H1687" s="80">
        <v>5595969</v>
      </c>
    </row>
    <row r="1688" spans="1:8" x14ac:dyDescent="0.2">
      <c r="A1688" s="79" t="s">
        <v>8933</v>
      </c>
      <c r="B1688" s="79" t="s">
        <v>8936</v>
      </c>
      <c r="C1688" s="79" t="s">
        <v>7335</v>
      </c>
      <c r="D1688" s="79" t="s">
        <v>7312</v>
      </c>
      <c r="E1688" s="79">
        <v>1600</v>
      </c>
      <c r="G1688" s="79" t="s">
        <v>7329</v>
      </c>
      <c r="H1688" s="80">
        <v>2826319</v>
      </c>
    </row>
    <row r="1689" spans="1:8" x14ac:dyDescent="0.2">
      <c r="A1689" s="79" t="s">
        <v>8933</v>
      </c>
      <c r="B1689" s="79" t="s">
        <v>8936</v>
      </c>
      <c r="C1689" s="79" t="s">
        <v>7335</v>
      </c>
      <c r="D1689" s="79" t="s">
        <v>7328</v>
      </c>
      <c r="E1689" s="79">
        <v>1500</v>
      </c>
      <c r="G1689" s="79" t="s">
        <v>7313</v>
      </c>
      <c r="H1689" s="80">
        <v>3683423</v>
      </c>
    </row>
    <row r="1690" spans="1:8" x14ac:dyDescent="0.2">
      <c r="A1690" s="79" t="s">
        <v>8933</v>
      </c>
      <c r="B1690" s="79" t="s">
        <v>8937</v>
      </c>
      <c r="C1690" s="79" t="s">
        <v>7340</v>
      </c>
      <c r="D1690" s="79" t="s">
        <v>7312</v>
      </c>
      <c r="E1690" s="79">
        <v>1600</v>
      </c>
      <c r="G1690" s="79" t="s">
        <v>7329</v>
      </c>
      <c r="H1690" s="80">
        <v>3031740</v>
      </c>
    </row>
    <row r="1691" spans="1:8" x14ac:dyDescent="0.2">
      <c r="A1691" s="79" t="s">
        <v>8933</v>
      </c>
      <c r="B1691" s="79" t="s">
        <v>8938</v>
      </c>
      <c r="C1691" s="79" t="s">
        <v>7335</v>
      </c>
      <c r="D1691" s="79" t="s">
        <v>7312</v>
      </c>
      <c r="E1691" s="79">
        <v>800</v>
      </c>
      <c r="G1691" s="79" t="s">
        <v>7329</v>
      </c>
      <c r="H1691" s="80">
        <v>1234567</v>
      </c>
    </row>
    <row r="1692" spans="1:8" x14ac:dyDescent="0.2">
      <c r="A1692" s="79" t="s">
        <v>8933</v>
      </c>
      <c r="B1692" s="79" t="s">
        <v>8939</v>
      </c>
      <c r="C1692" s="79" t="s">
        <v>7327</v>
      </c>
      <c r="D1692" s="79" t="s">
        <v>7312</v>
      </c>
      <c r="E1692" s="79">
        <v>1390</v>
      </c>
      <c r="F1692" s="79" t="s">
        <v>7336</v>
      </c>
      <c r="G1692" s="79" t="s">
        <v>7329</v>
      </c>
      <c r="H1692" s="80">
        <v>1885000</v>
      </c>
    </row>
    <row r="1693" spans="1:8" x14ac:dyDescent="0.2">
      <c r="A1693" s="79" t="s">
        <v>8933</v>
      </c>
      <c r="B1693" s="79" t="s">
        <v>8940</v>
      </c>
      <c r="C1693" s="79" t="s">
        <v>7327</v>
      </c>
      <c r="D1693" s="79" t="s">
        <v>7312</v>
      </c>
      <c r="E1693" s="79">
        <v>1390</v>
      </c>
      <c r="F1693" s="79" t="s">
        <v>7336</v>
      </c>
      <c r="G1693" s="79" t="s">
        <v>7329</v>
      </c>
      <c r="H1693" s="80">
        <v>1450000</v>
      </c>
    </row>
    <row r="1694" spans="1:8" x14ac:dyDescent="0.2">
      <c r="A1694" s="79" t="s">
        <v>8933</v>
      </c>
      <c r="B1694" s="79" t="s">
        <v>8941</v>
      </c>
      <c r="C1694" s="79" t="s">
        <v>7327</v>
      </c>
      <c r="D1694" s="79" t="s">
        <v>7312</v>
      </c>
      <c r="E1694" s="79">
        <v>1390</v>
      </c>
      <c r="F1694" s="79" t="s">
        <v>7336</v>
      </c>
      <c r="G1694" s="79" t="s">
        <v>7329</v>
      </c>
      <c r="H1694" s="80">
        <v>1540000</v>
      </c>
    </row>
    <row r="1695" spans="1:8" x14ac:dyDescent="0.2">
      <c r="A1695" s="79" t="s">
        <v>8933</v>
      </c>
      <c r="B1695" s="79" t="s">
        <v>8942</v>
      </c>
      <c r="C1695" s="79" t="s">
        <v>7335</v>
      </c>
      <c r="D1695" s="79" t="s">
        <v>7312</v>
      </c>
      <c r="E1695" s="79">
        <v>1998</v>
      </c>
      <c r="G1695" s="79" t="s">
        <v>7329</v>
      </c>
      <c r="H1695" s="80">
        <v>2295000</v>
      </c>
    </row>
    <row r="1696" spans="1:8" x14ac:dyDescent="0.2">
      <c r="A1696" s="79" t="s">
        <v>8933</v>
      </c>
      <c r="B1696" s="79" t="s">
        <v>8943</v>
      </c>
      <c r="C1696" s="79" t="s">
        <v>7311</v>
      </c>
      <c r="D1696" s="79" t="s">
        <v>7312</v>
      </c>
      <c r="E1696" s="79">
        <v>1998</v>
      </c>
      <c r="G1696" s="79" t="s">
        <v>7329</v>
      </c>
      <c r="H1696" s="80">
        <v>2070000</v>
      </c>
    </row>
    <row r="1697" spans="1:8" x14ac:dyDescent="0.2">
      <c r="A1697" s="79" t="s">
        <v>8933</v>
      </c>
      <c r="B1697" s="79" t="s">
        <v>8944</v>
      </c>
      <c r="C1697" s="79" t="s">
        <v>7311</v>
      </c>
      <c r="D1697" s="79" t="s">
        <v>7312</v>
      </c>
      <c r="E1697" s="79">
        <v>1598</v>
      </c>
      <c r="G1697" s="79" t="s">
        <v>7329</v>
      </c>
      <c r="H1697" s="80">
        <v>2425000</v>
      </c>
    </row>
    <row r="1698" spans="1:8" x14ac:dyDescent="0.2">
      <c r="A1698" s="79" t="s">
        <v>8933</v>
      </c>
      <c r="B1698" s="79" t="s">
        <v>8944</v>
      </c>
      <c r="C1698" s="79" t="s">
        <v>7340</v>
      </c>
      <c r="D1698" s="79" t="s">
        <v>7312</v>
      </c>
      <c r="E1698" s="79">
        <v>1599</v>
      </c>
      <c r="G1698" s="79" t="s">
        <v>7329</v>
      </c>
      <c r="H1698" s="80">
        <v>2450000</v>
      </c>
    </row>
    <row r="1699" spans="1:8" x14ac:dyDescent="0.2">
      <c r="A1699" s="79" t="s">
        <v>8933</v>
      </c>
      <c r="B1699" s="79" t="s">
        <v>8945</v>
      </c>
      <c r="C1699" s="79" t="s">
        <v>7335</v>
      </c>
      <c r="D1699" s="79" t="s">
        <v>7312</v>
      </c>
      <c r="E1699" s="79">
        <v>1599</v>
      </c>
      <c r="G1699" s="79" t="s">
        <v>7329</v>
      </c>
      <c r="H1699" s="80">
        <v>1485000</v>
      </c>
    </row>
    <row r="1700" spans="1:8" x14ac:dyDescent="0.2">
      <c r="A1700" s="79" t="s">
        <v>8933</v>
      </c>
      <c r="B1700" s="79" t="s">
        <v>8946</v>
      </c>
      <c r="C1700" s="79" t="s">
        <v>7438</v>
      </c>
      <c r="D1700" s="79" t="s">
        <v>7328</v>
      </c>
      <c r="E1700" s="79">
        <v>11000</v>
      </c>
      <c r="G1700" s="79" t="s">
        <v>8278</v>
      </c>
      <c r="H1700" s="80">
        <v>7200000</v>
      </c>
    </row>
    <row r="1701" spans="1:8" x14ac:dyDescent="0.2">
      <c r="A1701" s="79" t="s">
        <v>8933</v>
      </c>
      <c r="B1701" s="79" t="s">
        <v>8946</v>
      </c>
      <c r="C1701" s="79" t="s">
        <v>7438</v>
      </c>
      <c r="D1701" s="79" t="s">
        <v>7328</v>
      </c>
      <c r="E1701" s="79">
        <v>11000</v>
      </c>
      <c r="G1701" s="79" t="s">
        <v>8017</v>
      </c>
      <c r="H1701" s="80">
        <v>6300000</v>
      </c>
    </row>
    <row r="1702" spans="1:8" x14ac:dyDescent="0.2">
      <c r="A1702" s="79" t="s">
        <v>8933</v>
      </c>
      <c r="B1702" s="79" t="s">
        <v>8947</v>
      </c>
      <c r="C1702" s="79" t="s">
        <v>7379</v>
      </c>
      <c r="D1702" s="79" t="s">
        <v>7328</v>
      </c>
      <c r="E1702" s="79">
        <v>2464</v>
      </c>
      <c r="G1702" s="79" t="s">
        <v>7329</v>
      </c>
      <c r="H1702" s="80">
        <v>4535000</v>
      </c>
    </row>
    <row r="1703" spans="1:8" x14ac:dyDescent="0.2">
      <c r="A1703" s="79" t="s">
        <v>8948</v>
      </c>
      <c r="B1703" s="79" t="s">
        <v>8949</v>
      </c>
      <c r="C1703" s="79" t="s">
        <v>7340</v>
      </c>
      <c r="D1703" s="79" t="s">
        <v>7312</v>
      </c>
      <c r="E1703" s="79">
        <v>1400</v>
      </c>
      <c r="F1703" s="79" t="s">
        <v>7349</v>
      </c>
      <c r="G1703" s="79" t="s">
        <v>7329</v>
      </c>
      <c r="H1703" s="80">
        <v>1702152</v>
      </c>
    </row>
    <row r="1704" spans="1:8" x14ac:dyDescent="0.2">
      <c r="A1704" s="79" t="s">
        <v>8950</v>
      </c>
      <c r="B1704" s="79" t="s">
        <v>8951</v>
      </c>
      <c r="C1704" s="79" t="s">
        <v>7311</v>
      </c>
      <c r="D1704" s="79" t="s">
        <v>7312</v>
      </c>
      <c r="E1704" s="79">
        <v>1985</v>
      </c>
      <c r="G1704" s="79" t="s">
        <v>7329</v>
      </c>
      <c r="H1704" s="80">
        <v>3050000</v>
      </c>
    </row>
    <row r="1705" spans="1:8" x14ac:dyDescent="0.2">
      <c r="A1705" s="79" t="s">
        <v>8952</v>
      </c>
      <c r="B1705" s="79" t="s">
        <v>8953</v>
      </c>
      <c r="C1705" s="79" t="s">
        <v>7728</v>
      </c>
      <c r="D1705" s="79" t="s">
        <v>7328</v>
      </c>
      <c r="E1705" s="79">
        <v>2800</v>
      </c>
      <c r="G1705" s="79" t="s">
        <v>7329</v>
      </c>
      <c r="H1705" s="80">
        <v>1395000</v>
      </c>
    </row>
    <row r="1706" spans="1:8" x14ac:dyDescent="0.2">
      <c r="A1706" s="79" t="s">
        <v>8954</v>
      </c>
      <c r="B1706" s="79" t="s">
        <v>8955</v>
      </c>
      <c r="C1706" s="79" t="s">
        <v>7370</v>
      </c>
      <c r="D1706" s="79" t="s">
        <v>7328</v>
      </c>
      <c r="E1706" s="79">
        <v>9000</v>
      </c>
      <c r="G1706" s="79" t="s">
        <v>7329</v>
      </c>
      <c r="H1706" s="80">
        <v>9992000</v>
      </c>
    </row>
    <row r="1707" spans="1:8" x14ac:dyDescent="0.2">
      <c r="A1707" s="79" t="s">
        <v>8954</v>
      </c>
      <c r="B1707" s="79" t="s">
        <v>8956</v>
      </c>
      <c r="C1707" s="79" t="s">
        <v>7438</v>
      </c>
      <c r="D1707" s="79" t="s">
        <v>7328</v>
      </c>
      <c r="E1707" s="79">
        <v>11000</v>
      </c>
      <c r="G1707" s="79" t="s">
        <v>7329</v>
      </c>
      <c r="H1707" s="80">
        <v>7200000</v>
      </c>
    </row>
    <row r="1708" spans="1:8" x14ac:dyDescent="0.2">
      <c r="A1708" s="79" t="s">
        <v>8954</v>
      </c>
      <c r="B1708" s="79" t="s">
        <v>8957</v>
      </c>
      <c r="C1708" s="79" t="s">
        <v>7438</v>
      </c>
      <c r="D1708" s="79" t="s">
        <v>7328</v>
      </c>
      <c r="E1708" s="79">
        <v>11000</v>
      </c>
      <c r="G1708" s="79" t="s">
        <v>7329</v>
      </c>
      <c r="H1708" s="80">
        <v>8000000</v>
      </c>
    </row>
    <row r="1709" spans="1:8" x14ac:dyDescent="0.2">
      <c r="A1709" s="79" t="s">
        <v>8954</v>
      </c>
      <c r="B1709" s="79" t="s">
        <v>8957</v>
      </c>
      <c r="C1709" s="79" t="s">
        <v>7438</v>
      </c>
      <c r="D1709" s="79" t="s">
        <v>7328</v>
      </c>
      <c r="E1709" s="79">
        <v>11000</v>
      </c>
      <c r="G1709" s="79" t="s">
        <v>7869</v>
      </c>
      <c r="H1709" s="80">
        <v>8600000</v>
      </c>
    </row>
    <row r="1710" spans="1:8" x14ac:dyDescent="0.2">
      <c r="A1710" s="79" t="s">
        <v>8954</v>
      </c>
      <c r="B1710" s="79" t="s">
        <v>8956</v>
      </c>
      <c r="C1710" s="79" t="s">
        <v>7438</v>
      </c>
      <c r="D1710" s="79" t="s">
        <v>7328</v>
      </c>
      <c r="E1710" s="79">
        <v>11000</v>
      </c>
      <c r="G1710" s="79" t="s">
        <v>7869</v>
      </c>
      <c r="H1710" s="80">
        <v>7400000</v>
      </c>
    </row>
    <row r="1711" spans="1:8" x14ac:dyDescent="0.2">
      <c r="A1711" s="79" t="s">
        <v>8954</v>
      </c>
      <c r="B1711" s="79" t="s">
        <v>8958</v>
      </c>
      <c r="C1711" s="79" t="s">
        <v>7438</v>
      </c>
      <c r="D1711" s="79" t="s">
        <v>7328</v>
      </c>
      <c r="E1711" s="79">
        <v>11000</v>
      </c>
      <c r="G1711" s="79" t="s">
        <v>7376</v>
      </c>
      <c r="H1711" s="80">
        <v>15456584</v>
      </c>
    </row>
    <row r="1712" spans="1:8" x14ac:dyDescent="0.2">
      <c r="A1712" s="79" t="s">
        <v>8954</v>
      </c>
      <c r="B1712" s="79" t="s">
        <v>8959</v>
      </c>
      <c r="C1712" s="79" t="s">
        <v>7438</v>
      </c>
      <c r="D1712" s="79" t="s">
        <v>7328</v>
      </c>
      <c r="E1712" s="79">
        <v>11000</v>
      </c>
      <c r="G1712" s="79" t="s">
        <v>7376</v>
      </c>
      <c r="H1712" s="80">
        <v>16059768</v>
      </c>
    </row>
    <row r="1713" spans="1:8" x14ac:dyDescent="0.2">
      <c r="A1713" s="79" t="s">
        <v>8960</v>
      </c>
      <c r="B1713" s="79" t="s">
        <v>8961</v>
      </c>
      <c r="C1713" s="79" t="s">
        <v>7311</v>
      </c>
      <c r="D1713" s="79" t="s">
        <v>7312</v>
      </c>
      <c r="E1713" s="79">
        <v>2500</v>
      </c>
      <c r="F1713" s="79" t="s">
        <v>7336</v>
      </c>
      <c r="G1713" s="79" t="s">
        <v>7329</v>
      </c>
      <c r="H1713" s="80">
        <v>4299809</v>
      </c>
    </row>
    <row r="1714" spans="1:8" x14ac:dyDescent="0.2">
      <c r="A1714" s="79" t="s">
        <v>8960</v>
      </c>
      <c r="B1714" s="79" t="s">
        <v>8962</v>
      </c>
      <c r="C1714" s="79" t="s">
        <v>7311</v>
      </c>
      <c r="D1714" s="79" t="s">
        <v>7312</v>
      </c>
      <c r="E1714" s="79">
        <v>2500</v>
      </c>
      <c r="G1714" s="79" t="s">
        <v>7329</v>
      </c>
      <c r="H1714" s="80">
        <v>5819416</v>
      </c>
    </row>
    <row r="1715" spans="1:8" x14ac:dyDescent="0.2">
      <c r="A1715" s="79" t="s">
        <v>8960</v>
      </c>
      <c r="B1715" s="79" t="s">
        <v>8963</v>
      </c>
      <c r="C1715" s="79" t="s">
        <v>7311</v>
      </c>
      <c r="D1715" s="79" t="s">
        <v>7312</v>
      </c>
      <c r="E1715" s="79">
        <v>1500</v>
      </c>
      <c r="G1715" s="79" t="s">
        <v>7329</v>
      </c>
      <c r="H1715" s="80">
        <v>3156000</v>
      </c>
    </row>
    <row r="1716" spans="1:8" x14ac:dyDescent="0.2">
      <c r="A1716" s="79" t="s">
        <v>8960</v>
      </c>
      <c r="B1716" s="79" t="s">
        <v>8963</v>
      </c>
      <c r="C1716" s="79" t="s">
        <v>7311</v>
      </c>
      <c r="D1716" s="79" t="s">
        <v>7312</v>
      </c>
      <c r="E1716" s="79">
        <v>1500</v>
      </c>
      <c r="G1716" s="79" t="s">
        <v>7313</v>
      </c>
      <c r="H1716" s="80">
        <v>3206000</v>
      </c>
    </row>
    <row r="1717" spans="1:8" x14ac:dyDescent="0.2">
      <c r="A1717" s="79" t="s">
        <v>8960</v>
      </c>
      <c r="B1717" s="79" t="s">
        <v>8964</v>
      </c>
      <c r="C1717" s="79" t="s">
        <v>7311</v>
      </c>
      <c r="D1717" s="79" t="s">
        <v>7312</v>
      </c>
      <c r="E1717" s="79">
        <v>2000</v>
      </c>
      <c r="G1717" s="79" t="s">
        <v>7329</v>
      </c>
      <c r="H1717" s="80">
        <v>4208000</v>
      </c>
    </row>
    <row r="1718" spans="1:8" x14ac:dyDescent="0.2">
      <c r="A1718" s="79" t="s">
        <v>8960</v>
      </c>
      <c r="B1718" s="79" t="s">
        <v>8964</v>
      </c>
      <c r="C1718" s="79" t="s">
        <v>7311</v>
      </c>
      <c r="D1718" s="79" t="s">
        <v>7312</v>
      </c>
      <c r="E1718" s="79">
        <v>2000</v>
      </c>
      <c r="G1718" s="79" t="s">
        <v>7313</v>
      </c>
      <c r="H1718" s="80">
        <v>4274700</v>
      </c>
    </row>
    <row r="1719" spans="1:8" x14ac:dyDescent="0.2">
      <c r="A1719" s="79" t="s">
        <v>8960</v>
      </c>
      <c r="B1719" s="79" t="s">
        <v>8965</v>
      </c>
      <c r="C1719" s="79" t="s">
        <v>7311</v>
      </c>
      <c r="D1719" s="79" t="s">
        <v>7312</v>
      </c>
      <c r="E1719" s="79">
        <v>1600</v>
      </c>
      <c r="G1719" s="79" t="s">
        <v>7313</v>
      </c>
      <c r="H1719" s="80">
        <v>4076000</v>
      </c>
    </row>
    <row r="1720" spans="1:8" x14ac:dyDescent="0.2">
      <c r="A1720" s="79" t="s">
        <v>8960</v>
      </c>
      <c r="B1720" s="79" t="s">
        <v>8966</v>
      </c>
      <c r="C1720" s="79" t="s">
        <v>7311</v>
      </c>
      <c r="D1720" s="79" t="s">
        <v>7312</v>
      </c>
      <c r="E1720" s="79">
        <v>2000</v>
      </c>
      <c r="G1720" s="79" t="s">
        <v>7313</v>
      </c>
      <c r="H1720" s="80">
        <v>5105000</v>
      </c>
    </row>
    <row r="1721" spans="1:8" x14ac:dyDescent="0.2">
      <c r="A1721" s="79" t="s">
        <v>8960</v>
      </c>
      <c r="B1721" s="79" t="s">
        <v>8967</v>
      </c>
      <c r="C1721" s="79" t="s">
        <v>7340</v>
      </c>
      <c r="D1721" s="79" t="s">
        <v>7312</v>
      </c>
      <c r="E1721" s="79">
        <v>2000</v>
      </c>
      <c r="G1721" s="79" t="s">
        <v>7313</v>
      </c>
      <c r="H1721" s="80">
        <v>5095000</v>
      </c>
    </row>
    <row r="1722" spans="1:8" x14ac:dyDescent="0.2">
      <c r="A1722" s="79" t="s">
        <v>8960</v>
      </c>
      <c r="B1722" s="79" t="s">
        <v>8968</v>
      </c>
      <c r="C1722" s="79" t="s">
        <v>7311</v>
      </c>
      <c r="D1722" s="79" t="s">
        <v>7312</v>
      </c>
      <c r="E1722" s="79">
        <v>2000</v>
      </c>
      <c r="F1722" s="79" t="s">
        <v>7336</v>
      </c>
      <c r="G1722" s="79" t="s">
        <v>7313</v>
      </c>
      <c r="H1722" s="80">
        <v>3200000</v>
      </c>
    </row>
    <row r="1723" spans="1:8" x14ac:dyDescent="0.2">
      <c r="A1723" s="79" t="s">
        <v>8960</v>
      </c>
      <c r="B1723" s="79" t="s">
        <v>8969</v>
      </c>
      <c r="C1723" s="79" t="s">
        <v>7311</v>
      </c>
      <c r="D1723" s="79" t="s">
        <v>7312</v>
      </c>
      <c r="E1723" s="79">
        <v>2000</v>
      </c>
      <c r="F1723" s="79" t="s">
        <v>7349</v>
      </c>
      <c r="G1723" s="79" t="s">
        <v>7313</v>
      </c>
      <c r="H1723" s="80">
        <v>3450000</v>
      </c>
    </row>
    <row r="1724" spans="1:8" x14ac:dyDescent="0.2">
      <c r="A1724" s="79" t="s">
        <v>8960</v>
      </c>
      <c r="B1724" s="79" t="s">
        <v>8970</v>
      </c>
      <c r="C1724" s="79" t="s">
        <v>7311</v>
      </c>
      <c r="D1724" s="79" t="s">
        <v>7312</v>
      </c>
      <c r="E1724" s="79">
        <v>2000</v>
      </c>
      <c r="G1724" s="79" t="s">
        <v>7313</v>
      </c>
      <c r="H1724" s="80">
        <v>3365000</v>
      </c>
    </row>
    <row r="1725" spans="1:8" x14ac:dyDescent="0.2">
      <c r="A1725" s="79" t="s">
        <v>8960</v>
      </c>
      <c r="B1725" s="79" t="s">
        <v>8971</v>
      </c>
      <c r="C1725" s="79" t="s">
        <v>7311</v>
      </c>
      <c r="D1725" s="79" t="s">
        <v>7312</v>
      </c>
      <c r="E1725" s="79">
        <v>2000</v>
      </c>
      <c r="G1725" s="79" t="s">
        <v>7313</v>
      </c>
      <c r="H1725" s="80">
        <v>4950000</v>
      </c>
    </row>
    <row r="1726" spans="1:8" x14ac:dyDescent="0.2">
      <c r="A1726" s="79" t="s">
        <v>8960</v>
      </c>
      <c r="B1726" s="79" t="s">
        <v>8972</v>
      </c>
      <c r="C1726" s="79" t="s">
        <v>7311</v>
      </c>
      <c r="D1726" s="79" t="s">
        <v>7312</v>
      </c>
      <c r="E1726" s="79">
        <v>2000</v>
      </c>
      <c r="G1726" s="79" t="s">
        <v>7313</v>
      </c>
      <c r="H1726" s="80">
        <v>5250000</v>
      </c>
    </row>
    <row r="1727" spans="1:8" x14ac:dyDescent="0.2">
      <c r="A1727" s="79" t="s">
        <v>8960</v>
      </c>
      <c r="B1727" s="79" t="s">
        <v>8972</v>
      </c>
      <c r="C1727" s="79" t="s">
        <v>7311</v>
      </c>
      <c r="D1727" s="79" t="s">
        <v>7312</v>
      </c>
      <c r="E1727" s="79">
        <v>2500</v>
      </c>
      <c r="G1727" s="79" t="s">
        <v>7313</v>
      </c>
      <c r="H1727" s="80">
        <v>5850000</v>
      </c>
    </row>
    <row r="1728" spans="1:8" x14ac:dyDescent="0.2">
      <c r="A1728" s="79" t="s">
        <v>8960</v>
      </c>
      <c r="B1728" s="79" t="s">
        <v>8973</v>
      </c>
      <c r="C1728" s="79" t="s">
        <v>7311</v>
      </c>
      <c r="D1728" s="79" t="s">
        <v>7312</v>
      </c>
      <c r="E1728" s="79">
        <v>2000</v>
      </c>
      <c r="G1728" s="79" t="s">
        <v>7313</v>
      </c>
      <c r="H1728" s="80">
        <v>3235000</v>
      </c>
    </row>
    <row r="1729" spans="1:8" x14ac:dyDescent="0.2">
      <c r="A1729" s="79" t="s">
        <v>8960</v>
      </c>
      <c r="B1729" s="79" t="s">
        <v>8974</v>
      </c>
      <c r="C1729" s="79" t="s">
        <v>7335</v>
      </c>
      <c r="D1729" s="79" t="s">
        <v>7312</v>
      </c>
      <c r="E1729" s="79">
        <v>2500</v>
      </c>
      <c r="G1729" s="79" t="s">
        <v>7313</v>
      </c>
      <c r="H1729" s="80">
        <v>4322540</v>
      </c>
    </row>
    <row r="1730" spans="1:8" x14ac:dyDescent="0.2">
      <c r="A1730" s="79" t="s">
        <v>8960</v>
      </c>
      <c r="B1730" s="79" t="s">
        <v>8975</v>
      </c>
      <c r="C1730" s="79" t="s">
        <v>7335</v>
      </c>
      <c r="D1730" s="79" t="s">
        <v>7312</v>
      </c>
      <c r="E1730" s="79">
        <v>2500</v>
      </c>
      <c r="G1730" s="79" t="s">
        <v>7313</v>
      </c>
      <c r="H1730" s="80">
        <v>4455800</v>
      </c>
    </row>
    <row r="1731" spans="1:8" x14ac:dyDescent="0.2">
      <c r="A1731" s="79" t="s">
        <v>8960</v>
      </c>
      <c r="B1731" s="79" t="s">
        <v>8976</v>
      </c>
      <c r="C1731" s="79" t="s">
        <v>7335</v>
      </c>
      <c r="D1731" s="79" t="s">
        <v>7312</v>
      </c>
      <c r="E1731" s="79">
        <v>2500</v>
      </c>
      <c r="G1731" s="79" t="s">
        <v>7313</v>
      </c>
      <c r="H1731" s="80">
        <v>5038000</v>
      </c>
    </row>
    <row r="1732" spans="1:8" x14ac:dyDescent="0.2">
      <c r="A1732" s="79" t="s">
        <v>8960</v>
      </c>
      <c r="B1732" s="79" t="s">
        <v>8977</v>
      </c>
      <c r="C1732" s="79" t="s">
        <v>7311</v>
      </c>
      <c r="D1732" s="79" t="s">
        <v>7312</v>
      </c>
      <c r="E1732" s="79">
        <v>2000</v>
      </c>
      <c r="F1732" s="79" t="s">
        <v>7349</v>
      </c>
      <c r="G1732" s="79" t="s">
        <v>7313</v>
      </c>
      <c r="H1732" s="80">
        <v>4787526</v>
      </c>
    </row>
    <row r="1733" spans="1:8" x14ac:dyDescent="0.2">
      <c r="A1733" s="79" t="s">
        <v>8960</v>
      </c>
      <c r="B1733" s="79" t="s">
        <v>8977</v>
      </c>
      <c r="C1733" s="79" t="s">
        <v>7311</v>
      </c>
      <c r="D1733" s="79" t="s">
        <v>7312</v>
      </c>
      <c r="E1733" s="79">
        <v>2000</v>
      </c>
      <c r="F1733" s="79" t="s">
        <v>7336</v>
      </c>
      <c r="G1733" s="79" t="s">
        <v>7313</v>
      </c>
      <c r="H1733" s="80">
        <v>4489183</v>
      </c>
    </row>
    <row r="1734" spans="1:8" x14ac:dyDescent="0.2">
      <c r="A1734" s="79" t="s">
        <v>8960</v>
      </c>
      <c r="B1734" s="79" t="s">
        <v>8978</v>
      </c>
      <c r="C1734" s="79" t="s">
        <v>7311</v>
      </c>
      <c r="D1734" s="79" t="s">
        <v>7312</v>
      </c>
      <c r="E1734" s="79">
        <v>2500</v>
      </c>
      <c r="F1734" s="79" t="s">
        <v>7349</v>
      </c>
      <c r="G1734" s="79" t="s">
        <v>7313</v>
      </c>
      <c r="H1734" s="80">
        <v>5197907</v>
      </c>
    </row>
    <row r="1735" spans="1:8" x14ac:dyDescent="0.2">
      <c r="A1735" s="79" t="s">
        <v>8960</v>
      </c>
      <c r="B1735" s="79" t="s">
        <v>8979</v>
      </c>
      <c r="C1735" s="79" t="s">
        <v>7311</v>
      </c>
      <c r="D1735" s="79" t="s">
        <v>7312</v>
      </c>
      <c r="E1735" s="79">
        <v>3000</v>
      </c>
      <c r="F1735" s="79" t="s">
        <v>7349</v>
      </c>
      <c r="G1735" s="79" t="s">
        <v>7313</v>
      </c>
      <c r="H1735" s="80">
        <v>6404238</v>
      </c>
    </row>
    <row r="1736" spans="1:8" x14ac:dyDescent="0.2">
      <c r="A1736" s="79" t="s">
        <v>8960</v>
      </c>
      <c r="B1736" s="79" t="s">
        <v>8979</v>
      </c>
      <c r="C1736" s="79" t="s">
        <v>7311</v>
      </c>
      <c r="D1736" s="79" t="s">
        <v>7312</v>
      </c>
      <c r="E1736" s="79">
        <v>3000</v>
      </c>
      <c r="F1736" s="79" t="s">
        <v>7336</v>
      </c>
      <c r="G1736" s="79" t="s">
        <v>7313</v>
      </c>
      <c r="H1736" s="80">
        <v>5984238</v>
      </c>
    </row>
    <row r="1737" spans="1:8" x14ac:dyDescent="0.2">
      <c r="A1737" s="79" t="s">
        <v>8960</v>
      </c>
      <c r="B1737" s="79" t="s">
        <v>8980</v>
      </c>
      <c r="C1737" s="79" t="s">
        <v>7335</v>
      </c>
      <c r="D1737" s="79" t="s">
        <v>7312</v>
      </c>
      <c r="E1737" s="79">
        <v>2000</v>
      </c>
      <c r="F1737" s="79" t="s">
        <v>7336</v>
      </c>
      <c r="G1737" s="79" t="s">
        <v>7313</v>
      </c>
      <c r="H1737" s="80">
        <v>3450000</v>
      </c>
    </row>
    <row r="1738" spans="1:8" x14ac:dyDescent="0.2">
      <c r="A1738" s="79" t="s">
        <v>8960</v>
      </c>
      <c r="B1738" s="79" t="s">
        <v>8980</v>
      </c>
      <c r="C1738" s="79" t="s">
        <v>7335</v>
      </c>
      <c r="D1738" s="79" t="s">
        <v>7312</v>
      </c>
      <c r="E1738" s="79">
        <v>2000</v>
      </c>
      <c r="F1738" s="79" t="s">
        <v>7349</v>
      </c>
      <c r="G1738" s="79" t="s">
        <v>7313</v>
      </c>
      <c r="H1738" s="80">
        <v>3550000</v>
      </c>
    </row>
    <row r="1739" spans="1:8" x14ac:dyDescent="0.2">
      <c r="A1739" s="79" t="s">
        <v>8960</v>
      </c>
      <c r="B1739" s="79" t="s">
        <v>8981</v>
      </c>
      <c r="C1739" s="79" t="s">
        <v>7335</v>
      </c>
      <c r="D1739" s="79" t="s">
        <v>7312</v>
      </c>
      <c r="E1739" s="79">
        <v>2500</v>
      </c>
      <c r="F1739" s="79" t="s">
        <v>7349</v>
      </c>
      <c r="G1739" s="79" t="s">
        <v>7313</v>
      </c>
      <c r="H1739" s="80">
        <v>4881250</v>
      </c>
    </row>
    <row r="1740" spans="1:8" x14ac:dyDescent="0.2">
      <c r="A1740" s="79" t="s">
        <v>8960</v>
      </c>
      <c r="B1740" s="79" t="s">
        <v>8981</v>
      </c>
      <c r="C1740" s="79" t="s">
        <v>7335</v>
      </c>
      <c r="D1740" s="79" t="s">
        <v>7312</v>
      </c>
      <c r="E1740" s="79">
        <v>2500</v>
      </c>
      <c r="F1740" s="79" t="s">
        <v>7336</v>
      </c>
      <c r="G1740" s="79" t="s">
        <v>7313</v>
      </c>
      <c r="H1740" s="80">
        <v>4981300</v>
      </c>
    </row>
    <row r="1741" spans="1:8" x14ac:dyDescent="0.2">
      <c r="A1741" s="79" t="s">
        <v>8960</v>
      </c>
      <c r="B1741" s="79" t="s">
        <v>8982</v>
      </c>
      <c r="C1741" s="79" t="s">
        <v>7335</v>
      </c>
      <c r="D1741" s="79" t="s">
        <v>7312</v>
      </c>
      <c r="E1741" s="79">
        <v>3000</v>
      </c>
      <c r="F1741" s="79" t="s">
        <v>7349</v>
      </c>
      <c r="G1741" s="79" t="s">
        <v>7313</v>
      </c>
      <c r="H1741" s="80">
        <v>7077852.2000000002</v>
      </c>
    </row>
    <row r="1742" spans="1:8" x14ac:dyDescent="0.2">
      <c r="A1742" s="79" t="s">
        <v>8960</v>
      </c>
      <c r="B1742" s="79" t="s">
        <v>8982</v>
      </c>
      <c r="C1742" s="79" t="s">
        <v>7335</v>
      </c>
      <c r="D1742" s="79" t="s">
        <v>7312</v>
      </c>
      <c r="E1742" s="79">
        <v>3000</v>
      </c>
      <c r="F1742" s="79" t="s">
        <v>7336</v>
      </c>
      <c r="G1742" s="79" t="s">
        <v>7313</v>
      </c>
      <c r="H1742" s="80">
        <v>6807694.4900000002</v>
      </c>
    </row>
    <row r="1743" spans="1:8" x14ac:dyDescent="0.2">
      <c r="A1743" s="79" t="s">
        <v>8960</v>
      </c>
      <c r="B1743" s="79" t="s">
        <v>8983</v>
      </c>
      <c r="C1743" s="79" t="s">
        <v>7335</v>
      </c>
      <c r="D1743" s="79" t="s">
        <v>7312</v>
      </c>
      <c r="E1743" s="79">
        <v>2000</v>
      </c>
      <c r="F1743" s="79" t="s">
        <v>7336</v>
      </c>
      <c r="G1743" s="79" t="s">
        <v>7313</v>
      </c>
      <c r="H1743" s="80">
        <v>4975000</v>
      </c>
    </row>
    <row r="1744" spans="1:8" x14ac:dyDescent="0.2">
      <c r="A1744" s="79" t="s">
        <v>8960</v>
      </c>
      <c r="B1744" s="79" t="s">
        <v>8984</v>
      </c>
      <c r="C1744" s="79" t="s">
        <v>7335</v>
      </c>
      <c r="D1744" s="79" t="s">
        <v>7312</v>
      </c>
      <c r="E1744" s="79">
        <v>2000</v>
      </c>
      <c r="F1744" s="79" t="s">
        <v>7349</v>
      </c>
      <c r="G1744" s="79" t="s">
        <v>7313</v>
      </c>
      <c r="H1744" s="80">
        <v>5235000</v>
      </c>
    </row>
    <row r="1745" spans="1:8" x14ac:dyDescent="0.2">
      <c r="A1745" s="79" t="s">
        <v>8960</v>
      </c>
      <c r="B1745" s="79" t="s">
        <v>8985</v>
      </c>
      <c r="C1745" s="79" t="s">
        <v>7311</v>
      </c>
      <c r="D1745" s="79" t="s">
        <v>7312</v>
      </c>
      <c r="E1745" s="79">
        <v>2500</v>
      </c>
      <c r="F1745" s="79" t="s">
        <v>7349</v>
      </c>
      <c r="G1745" s="79" t="s">
        <v>7313</v>
      </c>
      <c r="H1745" s="80">
        <v>5066000</v>
      </c>
    </row>
    <row r="1746" spans="1:8" x14ac:dyDescent="0.2">
      <c r="A1746" s="79" t="s">
        <v>8960</v>
      </c>
      <c r="B1746" s="79" t="s">
        <v>8986</v>
      </c>
      <c r="C1746" s="79" t="s">
        <v>7311</v>
      </c>
      <c r="D1746" s="79" t="s">
        <v>7312</v>
      </c>
      <c r="E1746" s="79">
        <v>2500</v>
      </c>
      <c r="F1746" s="79" t="s">
        <v>7336</v>
      </c>
      <c r="G1746" s="79" t="s">
        <v>7313</v>
      </c>
      <c r="H1746" s="80">
        <v>5329000</v>
      </c>
    </row>
    <row r="1747" spans="1:8" x14ac:dyDescent="0.2">
      <c r="A1747" s="79" t="s">
        <v>8960</v>
      </c>
      <c r="B1747" s="79" t="s">
        <v>8987</v>
      </c>
      <c r="C1747" s="79" t="s">
        <v>7335</v>
      </c>
      <c r="D1747" s="79" t="s">
        <v>7312</v>
      </c>
      <c r="E1747" s="79">
        <v>2500</v>
      </c>
      <c r="F1747" s="79" t="s">
        <v>7336</v>
      </c>
      <c r="G1747" s="79" t="s">
        <v>7313</v>
      </c>
      <c r="H1747" s="80">
        <v>5250000</v>
      </c>
    </row>
    <row r="1748" spans="1:8" x14ac:dyDescent="0.2">
      <c r="A1748" s="79" t="s">
        <v>8960</v>
      </c>
      <c r="B1748" s="79" t="s">
        <v>8988</v>
      </c>
      <c r="C1748" s="79" t="s">
        <v>7335</v>
      </c>
      <c r="D1748" s="79" t="s">
        <v>7312</v>
      </c>
      <c r="E1748" s="79">
        <v>2500</v>
      </c>
      <c r="F1748" s="79" t="s">
        <v>7349</v>
      </c>
      <c r="G1748" s="79" t="s">
        <v>7313</v>
      </c>
      <c r="H1748" s="80">
        <v>5425000</v>
      </c>
    </row>
    <row r="1749" spans="1:8" x14ac:dyDescent="0.2">
      <c r="A1749" s="79" t="s">
        <v>8960</v>
      </c>
      <c r="B1749" s="79" t="s">
        <v>8989</v>
      </c>
      <c r="C1749" s="79" t="s">
        <v>7335</v>
      </c>
      <c r="D1749" s="79" t="s">
        <v>7312</v>
      </c>
      <c r="E1749" s="79">
        <v>2000</v>
      </c>
      <c r="F1749" s="79" t="s">
        <v>7349</v>
      </c>
      <c r="G1749" s="79" t="s">
        <v>7313</v>
      </c>
      <c r="H1749" s="80">
        <v>5250000</v>
      </c>
    </row>
    <row r="1750" spans="1:8" x14ac:dyDescent="0.2">
      <c r="A1750" s="79" t="s">
        <v>8960</v>
      </c>
      <c r="B1750" s="79" t="s">
        <v>8990</v>
      </c>
      <c r="C1750" s="79" t="s">
        <v>7335</v>
      </c>
      <c r="D1750" s="79" t="s">
        <v>7312</v>
      </c>
      <c r="E1750" s="79">
        <v>2500</v>
      </c>
      <c r="F1750" s="79" t="s">
        <v>7336</v>
      </c>
      <c r="G1750" s="79" t="s">
        <v>7313</v>
      </c>
      <c r="H1750" s="80">
        <v>5454825</v>
      </c>
    </row>
    <row r="1751" spans="1:8" x14ac:dyDescent="0.2">
      <c r="A1751" s="79" t="s">
        <v>8960</v>
      </c>
      <c r="B1751" s="79" t="s">
        <v>8991</v>
      </c>
      <c r="C1751" s="79" t="s">
        <v>7335</v>
      </c>
      <c r="D1751" s="79" t="s">
        <v>7312</v>
      </c>
      <c r="E1751" s="79">
        <v>2500</v>
      </c>
      <c r="F1751" s="79" t="s">
        <v>7349</v>
      </c>
      <c r="G1751" s="79" t="s">
        <v>7313</v>
      </c>
      <c r="H1751" s="80">
        <v>5625000</v>
      </c>
    </row>
    <row r="1752" spans="1:8" x14ac:dyDescent="0.2">
      <c r="A1752" s="79" t="s">
        <v>8960</v>
      </c>
      <c r="B1752" s="79" t="s">
        <v>8992</v>
      </c>
      <c r="C1752" s="79" t="s">
        <v>7335</v>
      </c>
      <c r="D1752" s="79" t="s">
        <v>7312</v>
      </c>
      <c r="E1752" s="79">
        <v>2500</v>
      </c>
      <c r="F1752" s="79" t="s">
        <v>7349</v>
      </c>
      <c r="G1752" s="79" t="s">
        <v>7313</v>
      </c>
      <c r="H1752" s="80">
        <v>6124485</v>
      </c>
    </row>
    <row r="1753" spans="1:8" x14ac:dyDescent="0.2">
      <c r="A1753" s="79" t="s">
        <v>8960</v>
      </c>
      <c r="B1753" s="79" t="s">
        <v>8993</v>
      </c>
      <c r="C1753" s="79" t="s">
        <v>7335</v>
      </c>
      <c r="D1753" s="79" t="s">
        <v>7312</v>
      </c>
      <c r="E1753" s="79">
        <v>2500</v>
      </c>
      <c r="F1753" s="79" t="s">
        <v>7336</v>
      </c>
      <c r="G1753" s="79" t="s">
        <v>7313</v>
      </c>
      <c r="H1753" s="80">
        <v>6215000</v>
      </c>
    </row>
    <row r="1754" spans="1:8" x14ac:dyDescent="0.2">
      <c r="A1754" s="79" t="s">
        <v>8960</v>
      </c>
      <c r="B1754" s="79" t="s">
        <v>8994</v>
      </c>
      <c r="C1754" s="79" t="s">
        <v>7335</v>
      </c>
      <c r="D1754" s="79" t="s">
        <v>7312</v>
      </c>
      <c r="E1754" s="79">
        <v>2500</v>
      </c>
      <c r="F1754" s="79" t="s">
        <v>7349</v>
      </c>
      <c r="G1754" s="79" t="s">
        <v>7313</v>
      </c>
      <c r="H1754" s="80">
        <v>6475000</v>
      </c>
    </row>
    <row r="1755" spans="1:8" x14ac:dyDescent="0.2">
      <c r="A1755" s="79" t="s">
        <v>8960</v>
      </c>
      <c r="B1755" s="79" t="s">
        <v>8995</v>
      </c>
      <c r="C1755" s="79" t="s">
        <v>7335</v>
      </c>
      <c r="D1755" s="79" t="s">
        <v>7312</v>
      </c>
      <c r="E1755" s="79">
        <v>3000</v>
      </c>
      <c r="F1755" s="79" t="s">
        <v>7349</v>
      </c>
      <c r="G1755" s="79" t="s">
        <v>7313</v>
      </c>
      <c r="H1755" s="80">
        <v>6756845</v>
      </c>
    </row>
    <row r="1756" spans="1:8" x14ac:dyDescent="0.2">
      <c r="A1756" s="79" t="s">
        <v>8960</v>
      </c>
      <c r="B1756" s="79" t="s">
        <v>8996</v>
      </c>
      <c r="C1756" s="79" t="s">
        <v>7335</v>
      </c>
      <c r="D1756" s="79" t="s">
        <v>7312</v>
      </c>
      <c r="E1756" s="79">
        <v>3000</v>
      </c>
      <c r="F1756" s="79" t="s">
        <v>7349</v>
      </c>
      <c r="G1756" s="79" t="s">
        <v>7313</v>
      </c>
      <c r="H1756" s="80">
        <v>6651976</v>
      </c>
    </row>
    <row r="1757" spans="1:8" x14ac:dyDescent="0.2">
      <c r="A1757" s="79" t="s">
        <v>8960</v>
      </c>
      <c r="B1757" s="79" t="s">
        <v>8997</v>
      </c>
      <c r="C1757" s="79" t="s">
        <v>7335</v>
      </c>
      <c r="D1757" s="79" t="s">
        <v>7312</v>
      </c>
      <c r="E1757" s="79">
        <v>3630</v>
      </c>
      <c r="F1757" s="79" t="s">
        <v>7349</v>
      </c>
      <c r="G1757" s="79" t="s">
        <v>7313</v>
      </c>
      <c r="H1757" s="80">
        <v>8315095</v>
      </c>
    </row>
    <row r="1758" spans="1:8" x14ac:dyDescent="0.2">
      <c r="A1758" s="79" t="s">
        <v>8960</v>
      </c>
      <c r="B1758" s="79" t="s">
        <v>8998</v>
      </c>
      <c r="C1758" s="79" t="s">
        <v>7335</v>
      </c>
      <c r="D1758" s="79" t="s">
        <v>7312</v>
      </c>
      <c r="E1758" s="79">
        <v>3630</v>
      </c>
      <c r="F1758" s="79" t="s">
        <v>7349</v>
      </c>
      <c r="G1758" s="79" t="s">
        <v>7313</v>
      </c>
      <c r="H1758" s="80">
        <v>8557473.25</v>
      </c>
    </row>
    <row r="1759" spans="1:8" x14ac:dyDescent="0.2">
      <c r="A1759" s="79" t="s">
        <v>8960</v>
      </c>
      <c r="B1759" s="79" t="s">
        <v>8999</v>
      </c>
      <c r="C1759" s="79" t="s">
        <v>7335</v>
      </c>
      <c r="D1759" s="79" t="s">
        <v>7312</v>
      </c>
      <c r="E1759" s="79">
        <v>2500</v>
      </c>
      <c r="G1759" s="79" t="s">
        <v>7313</v>
      </c>
      <c r="H1759" s="80">
        <v>6100000</v>
      </c>
    </row>
    <row r="1760" spans="1:8" x14ac:dyDescent="0.2">
      <c r="A1760" s="79" t="s">
        <v>8960</v>
      </c>
      <c r="B1760" s="79" t="s">
        <v>9000</v>
      </c>
      <c r="C1760" s="79" t="s">
        <v>7335</v>
      </c>
      <c r="D1760" s="79" t="s">
        <v>7312</v>
      </c>
      <c r="E1760" s="79">
        <v>2500</v>
      </c>
      <c r="G1760" s="79" t="s">
        <v>7313</v>
      </c>
      <c r="H1760" s="80">
        <v>6475000</v>
      </c>
    </row>
    <row r="1761" spans="1:8" x14ac:dyDescent="0.2">
      <c r="A1761" s="79" t="s">
        <v>8960</v>
      </c>
      <c r="B1761" s="79" t="s">
        <v>9001</v>
      </c>
      <c r="C1761" s="79" t="s">
        <v>7335</v>
      </c>
      <c r="D1761" s="79" t="s">
        <v>7312</v>
      </c>
      <c r="E1761" s="79">
        <v>660</v>
      </c>
      <c r="G1761" s="79" t="s">
        <v>7329</v>
      </c>
      <c r="H1761" s="80">
        <v>1759582</v>
      </c>
    </row>
    <row r="1762" spans="1:8" x14ac:dyDescent="0.2">
      <c r="A1762" s="79" t="s">
        <v>8960</v>
      </c>
      <c r="B1762" s="79" t="s">
        <v>9001</v>
      </c>
      <c r="C1762" s="79" t="s">
        <v>7335</v>
      </c>
      <c r="D1762" s="79" t="s">
        <v>7312</v>
      </c>
      <c r="E1762" s="79">
        <v>660</v>
      </c>
      <c r="G1762" s="79" t="s">
        <v>7329</v>
      </c>
      <c r="H1762" s="80">
        <v>2025782</v>
      </c>
    </row>
    <row r="1763" spans="1:8" x14ac:dyDescent="0.2">
      <c r="A1763" s="79" t="s">
        <v>8960</v>
      </c>
      <c r="B1763" s="79" t="s">
        <v>9002</v>
      </c>
      <c r="C1763" s="79" t="s">
        <v>7335</v>
      </c>
      <c r="D1763" s="79" t="s">
        <v>7312</v>
      </c>
      <c r="E1763" s="79">
        <v>1320</v>
      </c>
      <c r="G1763" s="79" t="s">
        <v>7329</v>
      </c>
      <c r="H1763" s="80">
        <v>2090000</v>
      </c>
    </row>
    <row r="1764" spans="1:8" x14ac:dyDescent="0.2">
      <c r="A1764" s="79" t="s">
        <v>8960</v>
      </c>
      <c r="B1764" s="79" t="s">
        <v>9002</v>
      </c>
      <c r="C1764" s="79" t="s">
        <v>7335</v>
      </c>
      <c r="D1764" s="79" t="s">
        <v>7312</v>
      </c>
      <c r="E1764" s="79">
        <v>1320</v>
      </c>
      <c r="G1764" s="79" t="s">
        <v>7313</v>
      </c>
      <c r="H1764" s="80">
        <v>2190000</v>
      </c>
    </row>
    <row r="1765" spans="1:8" x14ac:dyDescent="0.2">
      <c r="A1765" s="79" t="s">
        <v>8960</v>
      </c>
      <c r="B1765" s="79" t="s">
        <v>9002</v>
      </c>
      <c r="C1765" s="79" t="s">
        <v>7335</v>
      </c>
      <c r="D1765" s="79" t="s">
        <v>7312</v>
      </c>
      <c r="E1765" s="79">
        <v>1500</v>
      </c>
      <c r="G1765" s="79" t="s">
        <v>7329</v>
      </c>
      <c r="H1765" s="80">
        <v>2295500</v>
      </c>
    </row>
    <row r="1766" spans="1:8" x14ac:dyDescent="0.2">
      <c r="A1766" s="79" t="s">
        <v>8960</v>
      </c>
      <c r="B1766" s="79" t="s">
        <v>9002</v>
      </c>
      <c r="C1766" s="79" t="s">
        <v>7335</v>
      </c>
      <c r="D1766" s="79" t="s">
        <v>7312</v>
      </c>
      <c r="E1766" s="79">
        <v>1500</v>
      </c>
      <c r="G1766" s="79" t="s">
        <v>7313</v>
      </c>
      <c r="H1766" s="80">
        <v>2395500</v>
      </c>
    </row>
    <row r="1767" spans="1:8" x14ac:dyDescent="0.2">
      <c r="A1767" s="79" t="s">
        <v>8960</v>
      </c>
      <c r="B1767" s="79" t="s">
        <v>9003</v>
      </c>
      <c r="C1767" s="79" t="s">
        <v>7335</v>
      </c>
      <c r="D1767" s="79" t="s">
        <v>7312</v>
      </c>
      <c r="E1767" s="79">
        <v>1300</v>
      </c>
      <c r="G1767" s="79" t="s">
        <v>7329</v>
      </c>
      <c r="H1767" s="80">
        <v>2042500</v>
      </c>
    </row>
    <row r="1768" spans="1:8" x14ac:dyDescent="0.2">
      <c r="A1768" s="79" t="s">
        <v>8960</v>
      </c>
      <c r="B1768" s="79" t="s">
        <v>9004</v>
      </c>
      <c r="C1768" s="79" t="s">
        <v>7335</v>
      </c>
      <c r="D1768" s="79" t="s">
        <v>7312</v>
      </c>
      <c r="E1768" s="79">
        <v>3000</v>
      </c>
      <c r="G1768" s="79" t="s">
        <v>7313</v>
      </c>
      <c r="H1768" s="80">
        <v>6150000</v>
      </c>
    </row>
    <row r="1769" spans="1:8" x14ac:dyDescent="0.2">
      <c r="A1769" s="79" t="s">
        <v>8960</v>
      </c>
      <c r="B1769" s="79" t="s">
        <v>9005</v>
      </c>
      <c r="C1769" s="79" t="s">
        <v>7335</v>
      </c>
      <c r="D1769" s="79" t="s">
        <v>7312</v>
      </c>
      <c r="E1769" s="79">
        <v>3600</v>
      </c>
      <c r="G1769" s="79" t="s">
        <v>7313</v>
      </c>
      <c r="H1769" s="80">
        <v>8150000</v>
      </c>
    </row>
    <row r="1770" spans="1:8" x14ac:dyDescent="0.2">
      <c r="A1770" s="79" t="s">
        <v>9006</v>
      </c>
      <c r="B1770" s="79" t="s">
        <v>9007</v>
      </c>
      <c r="C1770" s="79" t="s">
        <v>7327</v>
      </c>
      <c r="D1770" s="79" t="s">
        <v>7312</v>
      </c>
      <c r="E1770" s="79">
        <v>796</v>
      </c>
      <c r="G1770" s="79" t="s">
        <v>7329</v>
      </c>
      <c r="H1770" s="80">
        <v>925000</v>
      </c>
    </row>
    <row r="1771" spans="1:8" x14ac:dyDescent="0.2">
      <c r="A1771" s="79" t="s">
        <v>9006</v>
      </c>
      <c r="B1771" s="79" t="s">
        <v>9008</v>
      </c>
      <c r="C1771" s="79" t="s">
        <v>7327</v>
      </c>
      <c r="D1771" s="79" t="s">
        <v>7312</v>
      </c>
      <c r="E1771" s="79">
        <v>796</v>
      </c>
      <c r="G1771" s="79" t="s">
        <v>7329</v>
      </c>
      <c r="H1771" s="80">
        <v>995000</v>
      </c>
    </row>
    <row r="1772" spans="1:8" x14ac:dyDescent="0.2">
      <c r="A1772" s="79" t="s">
        <v>9006</v>
      </c>
      <c r="B1772" s="79" t="s">
        <v>9009</v>
      </c>
      <c r="C1772" s="79" t="s">
        <v>7956</v>
      </c>
      <c r="D1772" s="79" t="s">
        <v>7312</v>
      </c>
      <c r="E1772" s="79">
        <v>800</v>
      </c>
      <c r="G1772" s="79" t="s">
        <v>7329</v>
      </c>
      <c r="H1772" s="80">
        <v>1495000</v>
      </c>
    </row>
    <row r="1773" spans="1:8" x14ac:dyDescent="0.2">
      <c r="A1773" s="79" t="s">
        <v>9006</v>
      </c>
      <c r="B1773" s="79" t="s">
        <v>9010</v>
      </c>
      <c r="C1773" s="79" t="s">
        <v>7311</v>
      </c>
      <c r="D1773" s="79" t="s">
        <v>7312</v>
      </c>
      <c r="E1773" s="79">
        <v>1500</v>
      </c>
      <c r="G1773" s="79" t="s">
        <v>7329</v>
      </c>
      <c r="H1773" s="80">
        <v>2195243</v>
      </c>
    </row>
    <row r="1774" spans="1:8" x14ac:dyDescent="0.2">
      <c r="A1774" s="79" t="s">
        <v>9011</v>
      </c>
      <c r="B1774" s="79" t="s">
        <v>9012</v>
      </c>
      <c r="C1774" s="79" t="s">
        <v>7327</v>
      </c>
      <c r="D1774" s="79" t="s">
        <v>7312</v>
      </c>
      <c r="E1774" s="79">
        <v>2500</v>
      </c>
      <c r="G1774" s="79" t="s">
        <v>7329</v>
      </c>
      <c r="H1774" s="80">
        <v>11682462</v>
      </c>
    </row>
    <row r="1775" spans="1:8" x14ac:dyDescent="0.2">
      <c r="A1775" s="79" t="s">
        <v>9011</v>
      </c>
      <c r="B1775" s="79" t="s">
        <v>9013</v>
      </c>
      <c r="C1775" s="79" t="s">
        <v>7327</v>
      </c>
      <c r="D1775" s="79" t="s">
        <v>7312</v>
      </c>
      <c r="E1775" s="79">
        <v>2500</v>
      </c>
      <c r="G1775" s="79" t="s">
        <v>7313</v>
      </c>
      <c r="H1775" s="80">
        <v>11999059</v>
      </c>
    </row>
    <row r="1776" spans="1:8" x14ac:dyDescent="0.2">
      <c r="A1776" s="79" t="s">
        <v>9011</v>
      </c>
      <c r="B1776" s="79" t="s">
        <v>9014</v>
      </c>
      <c r="C1776" s="79" t="s">
        <v>7327</v>
      </c>
      <c r="D1776" s="79" t="s">
        <v>7312</v>
      </c>
      <c r="E1776" s="79">
        <v>2500</v>
      </c>
      <c r="G1776" s="79" t="s">
        <v>7329</v>
      </c>
      <c r="H1776" s="80">
        <v>12315658</v>
      </c>
    </row>
    <row r="1777" spans="1:8" x14ac:dyDescent="0.2">
      <c r="A1777" s="79" t="s">
        <v>9011</v>
      </c>
      <c r="B1777" s="79" t="s">
        <v>9014</v>
      </c>
      <c r="C1777" s="79" t="s">
        <v>7327</v>
      </c>
      <c r="D1777" s="79" t="s">
        <v>7312</v>
      </c>
      <c r="E1777" s="79">
        <v>2500</v>
      </c>
      <c r="G1777" s="79" t="s">
        <v>7313</v>
      </c>
      <c r="H1777" s="80">
        <v>12553478</v>
      </c>
    </row>
    <row r="1778" spans="1:8" x14ac:dyDescent="0.2">
      <c r="A1778" s="79" t="s">
        <v>9011</v>
      </c>
      <c r="B1778" s="79" t="s">
        <v>9015</v>
      </c>
      <c r="C1778" s="79" t="s">
        <v>7340</v>
      </c>
      <c r="D1778" s="79" t="s">
        <v>7312</v>
      </c>
      <c r="E1778" s="79">
        <v>1800</v>
      </c>
      <c r="G1778" s="79" t="s">
        <v>7329</v>
      </c>
      <c r="H1778" s="80">
        <v>3894000</v>
      </c>
    </row>
    <row r="1779" spans="1:8" x14ac:dyDescent="0.2">
      <c r="A1779" s="79" t="s">
        <v>9011</v>
      </c>
      <c r="B1779" s="79" t="s">
        <v>9015</v>
      </c>
      <c r="C1779" s="79" t="s">
        <v>7340</v>
      </c>
      <c r="D1779" s="79" t="s">
        <v>7312</v>
      </c>
      <c r="E1779" s="79">
        <v>1800</v>
      </c>
      <c r="G1779" s="79" t="s">
        <v>7313</v>
      </c>
      <c r="H1779" s="80">
        <v>4186050</v>
      </c>
    </row>
    <row r="1780" spans="1:8" x14ac:dyDescent="0.2">
      <c r="A1780" s="79" t="s">
        <v>9011</v>
      </c>
      <c r="B1780" s="79" t="s">
        <v>9016</v>
      </c>
      <c r="C1780" s="79" t="s">
        <v>7335</v>
      </c>
      <c r="D1780" s="79" t="s">
        <v>7312</v>
      </c>
      <c r="E1780" s="79">
        <v>1500</v>
      </c>
      <c r="G1780" s="79" t="s">
        <v>7329</v>
      </c>
      <c r="H1780" s="80">
        <v>2658700</v>
      </c>
    </row>
    <row r="1781" spans="1:8" x14ac:dyDescent="0.2">
      <c r="A1781" s="79" t="s">
        <v>9011</v>
      </c>
      <c r="B1781" s="79" t="s">
        <v>9017</v>
      </c>
      <c r="C1781" s="79" t="s">
        <v>7335</v>
      </c>
      <c r="D1781" s="79" t="s">
        <v>7312</v>
      </c>
      <c r="E1781" s="79">
        <v>1500</v>
      </c>
      <c r="G1781" s="79" t="s">
        <v>7329</v>
      </c>
      <c r="H1781" s="80">
        <v>2308900</v>
      </c>
    </row>
    <row r="1782" spans="1:8" x14ac:dyDescent="0.2">
      <c r="A1782" s="79" t="s">
        <v>9011</v>
      </c>
      <c r="B1782" s="79" t="s">
        <v>9018</v>
      </c>
      <c r="C1782" s="79" t="s">
        <v>7335</v>
      </c>
      <c r="D1782" s="79" t="s">
        <v>7312</v>
      </c>
      <c r="E1782" s="79">
        <v>1500</v>
      </c>
      <c r="G1782" s="79" t="s">
        <v>7329</v>
      </c>
      <c r="H1782" s="80">
        <v>2735860</v>
      </c>
    </row>
    <row r="1783" spans="1:8" x14ac:dyDescent="0.2">
      <c r="A1783" s="79" t="s">
        <v>9011</v>
      </c>
      <c r="B1783" s="79" t="s">
        <v>9019</v>
      </c>
      <c r="C1783" s="79" t="s">
        <v>7335</v>
      </c>
      <c r="D1783" s="79" t="s">
        <v>7312</v>
      </c>
      <c r="E1783" s="79">
        <v>1500</v>
      </c>
      <c r="F1783" s="79" t="s">
        <v>7643</v>
      </c>
      <c r="G1783" s="79" t="s">
        <v>7329</v>
      </c>
      <c r="H1783" s="80">
        <v>3202500</v>
      </c>
    </row>
    <row r="1784" spans="1:8" x14ac:dyDescent="0.2">
      <c r="A1784" s="79" t="s">
        <v>9011</v>
      </c>
      <c r="B1784" s="79" t="s">
        <v>9020</v>
      </c>
      <c r="C1784" s="79" t="s">
        <v>7335</v>
      </c>
      <c r="D1784" s="79" t="s">
        <v>7312</v>
      </c>
      <c r="E1784" s="79">
        <v>1500</v>
      </c>
      <c r="G1784" s="79" t="s">
        <v>7329</v>
      </c>
      <c r="H1784" s="80">
        <v>3171000</v>
      </c>
    </row>
    <row r="1785" spans="1:8" x14ac:dyDescent="0.2">
      <c r="A1785" s="79" t="s">
        <v>9011</v>
      </c>
      <c r="B1785" s="79" t="s">
        <v>9021</v>
      </c>
      <c r="C1785" s="79" t="s">
        <v>7340</v>
      </c>
      <c r="D1785" s="79" t="s">
        <v>7312</v>
      </c>
      <c r="E1785" s="79">
        <v>1800</v>
      </c>
      <c r="G1785" s="79" t="s">
        <v>7329</v>
      </c>
      <c r="H1785" s="80">
        <v>2894000</v>
      </c>
    </row>
    <row r="1786" spans="1:8" x14ac:dyDescent="0.2">
      <c r="A1786" s="79" t="s">
        <v>9011</v>
      </c>
      <c r="B1786" s="79" t="s">
        <v>9022</v>
      </c>
      <c r="C1786" s="79" t="s">
        <v>7335</v>
      </c>
      <c r="D1786" s="79" t="s">
        <v>7312</v>
      </c>
      <c r="E1786" s="79">
        <v>1800</v>
      </c>
      <c r="G1786" s="79" t="s">
        <v>7329</v>
      </c>
      <c r="H1786" s="80">
        <v>3904000</v>
      </c>
    </row>
    <row r="1787" spans="1:8" x14ac:dyDescent="0.2">
      <c r="A1787" s="79" t="s">
        <v>9011</v>
      </c>
      <c r="B1787" s="79" t="s">
        <v>9023</v>
      </c>
      <c r="C1787" s="79" t="s">
        <v>7311</v>
      </c>
      <c r="D1787" s="79" t="s">
        <v>7312</v>
      </c>
      <c r="E1787" s="79">
        <v>1800</v>
      </c>
      <c r="G1787" s="79" t="s">
        <v>7329</v>
      </c>
      <c r="H1787" s="80">
        <v>3394640</v>
      </c>
    </row>
    <row r="1788" spans="1:8" x14ac:dyDescent="0.2">
      <c r="A1788" s="79" t="s">
        <v>9011</v>
      </c>
      <c r="B1788" s="79" t="s">
        <v>9022</v>
      </c>
      <c r="C1788" s="79" t="s">
        <v>7335</v>
      </c>
      <c r="D1788" s="79" t="s">
        <v>7312</v>
      </c>
      <c r="E1788" s="79">
        <v>2000</v>
      </c>
      <c r="G1788" s="79" t="s">
        <v>7329</v>
      </c>
      <c r="H1788" s="80">
        <v>4207024</v>
      </c>
    </row>
    <row r="1789" spans="1:8" x14ac:dyDescent="0.2">
      <c r="A1789" s="79" t="s">
        <v>9011</v>
      </c>
      <c r="B1789" s="79" t="s">
        <v>9023</v>
      </c>
      <c r="C1789" s="79" t="s">
        <v>7311</v>
      </c>
      <c r="D1789" s="79" t="s">
        <v>7312</v>
      </c>
      <c r="E1789" s="79">
        <v>2000</v>
      </c>
      <c r="G1789" s="79" t="s">
        <v>7329</v>
      </c>
      <c r="H1789" s="80">
        <v>3549600</v>
      </c>
    </row>
    <row r="1790" spans="1:8" x14ac:dyDescent="0.2">
      <c r="A1790" s="79" t="s">
        <v>9011</v>
      </c>
      <c r="B1790" s="79" t="s">
        <v>9024</v>
      </c>
      <c r="C1790" s="79" t="s">
        <v>7311</v>
      </c>
      <c r="D1790" s="79" t="s">
        <v>7328</v>
      </c>
      <c r="E1790" s="79">
        <v>2000</v>
      </c>
      <c r="G1790" s="79" t="s">
        <v>7329</v>
      </c>
      <c r="H1790" s="80">
        <v>3980418</v>
      </c>
    </row>
    <row r="1791" spans="1:8" x14ac:dyDescent="0.2">
      <c r="A1791" s="79" t="s">
        <v>9011</v>
      </c>
      <c r="B1791" s="79" t="s">
        <v>9024</v>
      </c>
      <c r="C1791" s="79" t="s">
        <v>7311</v>
      </c>
      <c r="D1791" s="79" t="s">
        <v>7328</v>
      </c>
      <c r="E1791" s="79">
        <v>2200</v>
      </c>
      <c r="G1791" s="79" t="s">
        <v>7329</v>
      </c>
      <c r="H1791" s="80">
        <v>4278459</v>
      </c>
    </row>
    <row r="1792" spans="1:8" x14ac:dyDescent="0.2">
      <c r="A1792" s="79" t="s">
        <v>9011</v>
      </c>
      <c r="B1792" s="79" t="s">
        <v>9023</v>
      </c>
      <c r="C1792" s="79" t="s">
        <v>7311</v>
      </c>
      <c r="D1792" s="79" t="s">
        <v>7312</v>
      </c>
      <c r="E1792" s="79">
        <v>2400</v>
      </c>
      <c r="G1792" s="79" t="s">
        <v>7329</v>
      </c>
      <c r="H1792" s="80">
        <v>4359000</v>
      </c>
    </row>
    <row r="1793" spans="1:8" x14ac:dyDescent="0.2">
      <c r="A1793" s="79" t="s">
        <v>9011</v>
      </c>
      <c r="B1793" s="79" t="s">
        <v>9025</v>
      </c>
      <c r="C1793" s="79" t="s">
        <v>7311</v>
      </c>
      <c r="D1793" s="79" t="s">
        <v>7312</v>
      </c>
      <c r="E1793" s="79">
        <v>1490</v>
      </c>
      <c r="G1793" s="79" t="s">
        <v>7329</v>
      </c>
      <c r="H1793" s="80">
        <v>2195000</v>
      </c>
    </row>
    <row r="1794" spans="1:8" x14ac:dyDescent="0.2">
      <c r="A1794" s="79" t="s">
        <v>9011</v>
      </c>
      <c r="B1794" s="79" t="s">
        <v>9025</v>
      </c>
      <c r="C1794" s="79" t="s">
        <v>7311</v>
      </c>
      <c r="D1794" s="79" t="s">
        <v>7312</v>
      </c>
      <c r="E1794" s="79">
        <v>1000</v>
      </c>
      <c r="G1794" s="79" t="s">
        <v>7329</v>
      </c>
      <c r="H1794" s="80">
        <v>1473154</v>
      </c>
    </row>
    <row r="1795" spans="1:8" x14ac:dyDescent="0.2">
      <c r="A1795" s="79" t="s">
        <v>9011</v>
      </c>
      <c r="B1795" s="79" t="s">
        <v>9026</v>
      </c>
      <c r="C1795" s="79" t="s">
        <v>7340</v>
      </c>
      <c r="D1795" s="79" t="s">
        <v>7312</v>
      </c>
      <c r="E1795" s="79">
        <v>2360</v>
      </c>
      <c r="G1795" s="79" t="s">
        <v>7329</v>
      </c>
      <c r="H1795" s="80">
        <v>3140938</v>
      </c>
    </row>
    <row r="1796" spans="1:8" x14ac:dyDescent="0.2">
      <c r="A1796" s="79" t="s">
        <v>9011</v>
      </c>
      <c r="B1796" s="79" t="s">
        <v>9027</v>
      </c>
      <c r="C1796" s="79" t="s">
        <v>7335</v>
      </c>
      <c r="D1796" s="79" t="s">
        <v>7312</v>
      </c>
      <c r="E1796" s="79">
        <v>1500</v>
      </c>
      <c r="G1796" s="79" t="s">
        <v>7329</v>
      </c>
      <c r="H1796" s="80">
        <v>2095644</v>
      </c>
    </row>
    <row r="1797" spans="1:8" x14ac:dyDescent="0.2">
      <c r="A1797" s="79" t="s">
        <v>9011</v>
      </c>
      <c r="B1797" s="79" t="s">
        <v>9027</v>
      </c>
      <c r="C1797" s="79" t="s">
        <v>7335</v>
      </c>
      <c r="D1797" s="79" t="s">
        <v>7312</v>
      </c>
      <c r="E1797" s="79">
        <v>1600</v>
      </c>
      <c r="G1797" s="79" t="s">
        <v>7329</v>
      </c>
      <c r="H1797" s="80">
        <v>2235353</v>
      </c>
    </row>
    <row r="1798" spans="1:8" x14ac:dyDescent="0.2">
      <c r="A1798" s="79" t="s">
        <v>9011</v>
      </c>
      <c r="B1798" s="79" t="s">
        <v>9028</v>
      </c>
      <c r="C1798" s="79" t="s">
        <v>7335</v>
      </c>
      <c r="D1798" s="79" t="s">
        <v>7312</v>
      </c>
      <c r="E1798" s="79">
        <v>1800</v>
      </c>
      <c r="G1798" s="79" t="s">
        <v>7329</v>
      </c>
      <c r="H1798" s="80">
        <v>2514772</v>
      </c>
    </row>
    <row r="1799" spans="1:8" x14ac:dyDescent="0.2">
      <c r="A1799" s="79" t="s">
        <v>9011</v>
      </c>
      <c r="B1799" s="79" t="s">
        <v>9029</v>
      </c>
      <c r="C1799" s="79" t="s">
        <v>7335</v>
      </c>
      <c r="D1799" s="79" t="s">
        <v>7312</v>
      </c>
      <c r="E1799" s="79">
        <v>2000</v>
      </c>
      <c r="G1799" s="79" t="s">
        <v>7329</v>
      </c>
      <c r="H1799" s="80">
        <v>2784629</v>
      </c>
    </row>
    <row r="1800" spans="1:8" x14ac:dyDescent="0.2">
      <c r="A1800" s="79" t="s">
        <v>9011</v>
      </c>
      <c r="B1800" s="79" t="s">
        <v>9030</v>
      </c>
      <c r="C1800" s="79" t="s">
        <v>7335</v>
      </c>
      <c r="D1800" s="79" t="s">
        <v>7312</v>
      </c>
      <c r="E1800" s="79">
        <v>2000</v>
      </c>
      <c r="G1800" s="79" t="s">
        <v>7329</v>
      </c>
      <c r="H1800" s="80">
        <v>2884629</v>
      </c>
    </row>
    <row r="1801" spans="1:8" x14ac:dyDescent="0.2">
      <c r="A1801" s="79" t="s">
        <v>9011</v>
      </c>
      <c r="B1801" s="79" t="s">
        <v>9031</v>
      </c>
      <c r="C1801" s="79" t="s">
        <v>7335</v>
      </c>
      <c r="D1801" s="79" t="s">
        <v>7312</v>
      </c>
      <c r="E1801" s="79">
        <v>1300</v>
      </c>
      <c r="G1801" s="79" t="s">
        <v>7329</v>
      </c>
      <c r="H1801" s="80">
        <v>1471500</v>
      </c>
    </row>
    <row r="1802" spans="1:8" x14ac:dyDescent="0.2">
      <c r="A1802" s="79" t="s">
        <v>9011</v>
      </c>
      <c r="B1802" s="79" t="s">
        <v>9031</v>
      </c>
      <c r="C1802" s="79" t="s">
        <v>7335</v>
      </c>
      <c r="D1802" s="79" t="s">
        <v>7312</v>
      </c>
      <c r="E1802" s="79">
        <v>1762</v>
      </c>
      <c r="G1802" s="79" t="s">
        <v>7329</v>
      </c>
      <c r="H1802" s="80">
        <v>2364604</v>
      </c>
    </row>
    <row r="1803" spans="1:8" x14ac:dyDescent="0.2">
      <c r="A1803" s="79" t="s">
        <v>9011</v>
      </c>
      <c r="B1803" s="79" t="s">
        <v>9032</v>
      </c>
      <c r="C1803" s="79" t="s">
        <v>7335</v>
      </c>
      <c r="D1803" s="79" t="s">
        <v>7312</v>
      </c>
      <c r="E1803" s="79">
        <v>2000</v>
      </c>
      <c r="G1803" s="79" t="s">
        <v>7329</v>
      </c>
      <c r="H1803" s="80">
        <v>2583171</v>
      </c>
    </row>
    <row r="1804" spans="1:8" x14ac:dyDescent="0.2">
      <c r="A1804" s="79" t="s">
        <v>9011</v>
      </c>
      <c r="B1804" s="79" t="s">
        <v>9033</v>
      </c>
      <c r="C1804" s="79" t="s">
        <v>7335</v>
      </c>
      <c r="D1804" s="79" t="s">
        <v>7312</v>
      </c>
      <c r="E1804" s="79">
        <v>2362</v>
      </c>
      <c r="G1804" s="79" t="s">
        <v>7329</v>
      </c>
      <c r="H1804" s="80">
        <v>3036595</v>
      </c>
    </row>
    <row r="1805" spans="1:8" x14ac:dyDescent="0.2">
      <c r="A1805" s="79" t="s">
        <v>9011</v>
      </c>
      <c r="B1805" s="79" t="s">
        <v>9034</v>
      </c>
      <c r="C1805" s="79" t="s">
        <v>7335</v>
      </c>
      <c r="D1805" s="79" t="s">
        <v>7312</v>
      </c>
      <c r="E1805" s="79">
        <v>2362</v>
      </c>
      <c r="G1805" s="79" t="s">
        <v>7329</v>
      </c>
      <c r="H1805" s="80">
        <v>4480000</v>
      </c>
    </row>
    <row r="1806" spans="1:8" x14ac:dyDescent="0.2">
      <c r="A1806" s="79" t="s">
        <v>9011</v>
      </c>
      <c r="B1806" s="79" t="s">
        <v>9035</v>
      </c>
      <c r="C1806" s="79" t="s">
        <v>7311</v>
      </c>
      <c r="D1806" s="79" t="s">
        <v>7312</v>
      </c>
      <c r="E1806" s="79">
        <v>2000</v>
      </c>
      <c r="G1806" s="79" t="s">
        <v>7329</v>
      </c>
      <c r="H1806" s="80">
        <v>3895300</v>
      </c>
    </row>
    <row r="1807" spans="1:8" x14ac:dyDescent="0.2">
      <c r="A1807" s="79" t="s">
        <v>9011</v>
      </c>
      <c r="B1807" s="79" t="s">
        <v>9035</v>
      </c>
      <c r="C1807" s="79" t="s">
        <v>7311</v>
      </c>
      <c r="D1807" s="79" t="s">
        <v>7312</v>
      </c>
      <c r="E1807" s="79">
        <v>2400</v>
      </c>
      <c r="G1807" s="79" t="s">
        <v>7329</v>
      </c>
      <c r="H1807" s="80">
        <v>5218000</v>
      </c>
    </row>
    <row r="1808" spans="1:8" x14ac:dyDescent="0.2">
      <c r="A1808" s="79" t="s">
        <v>9011</v>
      </c>
      <c r="B1808" s="79" t="s">
        <v>9036</v>
      </c>
      <c r="C1808" s="79" t="s">
        <v>7311</v>
      </c>
      <c r="D1808" s="79" t="s">
        <v>7312</v>
      </c>
      <c r="E1808" s="79">
        <v>2400</v>
      </c>
      <c r="G1808" s="79" t="s">
        <v>7329</v>
      </c>
      <c r="H1808" s="80">
        <v>8503060</v>
      </c>
    </row>
    <row r="1809" spans="1:8" x14ac:dyDescent="0.2">
      <c r="A1809" s="79" t="s">
        <v>9011</v>
      </c>
      <c r="B1809" s="79" t="s">
        <v>9037</v>
      </c>
      <c r="C1809" s="79" t="s">
        <v>7311</v>
      </c>
      <c r="D1809" s="79" t="s">
        <v>7312</v>
      </c>
      <c r="E1809" s="79">
        <v>1590</v>
      </c>
      <c r="G1809" s="79" t="s">
        <v>7329</v>
      </c>
      <c r="H1809" s="80">
        <v>1964035.46</v>
      </c>
    </row>
    <row r="1810" spans="1:8" x14ac:dyDescent="0.2">
      <c r="A1810" s="79" t="s">
        <v>9011</v>
      </c>
      <c r="B1810" s="79" t="s">
        <v>9037</v>
      </c>
      <c r="C1810" s="79" t="s">
        <v>7311</v>
      </c>
      <c r="D1810" s="79" t="s">
        <v>7312</v>
      </c>
      <c r="E1810" s="79">
        <v>1760</v>
      </c>
      <c r="G1810" s="79" t="s">
        <v>7329</v>
      </c>
      <c r="H1810" s="80">
        <v>2307545</v>
      </c>
    </row>
    <row r="1811" spans="1:8" x14ac:dyDescent="0.2">
      <c r="A1811" s="79" t="s">
        <v>9011</v>
      </c>
      <c r="B1811" s="79" t="s">
        <v>9038</v>
      </c>
      <c r="C1811" s="79" t="s">
        <v>7407</v>
      </c>
      <c r="D1811" s="79" t="s">
        <v>7312</v>
      </c>
      <c r="E1811" s="79">
        <v>2000</v>
      </c>
      <c r="G1811" s="79" t="s">
        <v>7329</v>
      </c>
      <c r="H1811" s="80">
        <v>2609100</v>
      </c>
    </row>
    <row r="1812" spans="1:8" x14ac:dyDescent="0.2">
      <c r="A1812" s="79" t="s">
        <v>9011</v>
      </c>
      <c r="B1812" s="79" t="s">
        <v>9038</v>
      </c>
      <c r="C1812" s="79" t="s">
        <v>7407</v>
      </c>
      <c r="D1812" s="79" t="s">
        <v>7312</v>
      </c>
      <c r="E1812" s="79">
        <v>1400</v>
      </c>
      <c r="G1812" s="79" t="s">
        <v>7329</v>
      </c>
      <c r="H1812" s="80">
        <v>1826370</v>
      </c>
    </row>
    <row r="1813" spans="1:8" x14ac:dyDescent="0.2">
      <c r="A1813" s="79" t="s">
        <v>9011</v>
      </c>
      <c r="B1813" s="79" t="s">
        <v>9038</v>
      </c>
      <c r="C1813" s="79" t="s">
        <v>7407</v>
      </c>
      <c r="D1813" s="79" t="s">
        <v>7312</v>
      </c>
      <c r="E1813" s="79">
        <v>1600</v>
      </c>
      <c r="G1813" s="79" t="s">
        <v>7329</v>
      </c>
      <c r="H1813" s="80">
        <v>2087280</v>
      </c>
    </row>
    <row r="1814" spans="1:8" x14ac:dyDescent="0.2">
      <c r="A1814" s="79" t="s">
        <v>9011</v>
      </c>
      <c r="B1814" s="79" t="s">
        <v>9038</v>
      </c>
      <c r="C1814" s="79" t="s">
        <v>7407</v>
      </c>
      <c r="D1814" s="79" t="s">
        <v>7312</v>
      </c>
      <c r="E1814" s="79">
        <v>1900</v>
      </c>
      <c r="G1814" s="79" t="s">
        <v>7329</v>
      </c>
      <c r="H1814" s="80">
        <v>2478645</v>
      </c>
    </row>
    <row r="1815" spans="1:8" x14ac:dyDescent="0.2">
      <c r="A1815" s="79" t="s">
        <v>9011</v>
      </c>
      <c r="B1815" s="79" t="s">
        <v>9038</v>
      </c>
      <c r="C1815" s="79" t="s">
        <v>7407</v>
      </c>
      <c r="D1815" s="79" t="s">
        <v>7312</v>
      </c>
      <c r="E1815" s="79">
        <v>2200</v>
      </c>
      <c r="G1815" s="79" t="s">
        <v>7329</v>
      </c>
      <c r="H1815" s="80">
        <v>2870010</v>
      </c>
    </row>
    <row r="1816" spans="1:8" x14ac:dyDescent="0.2">
      <c r="A1816" s="79" t="s">
        <v>9011</v>
      </c>
      <c r="B1816" s="79" t="s">
        <v>9039</v>
      </c>
      <c r="C1816" s="79" t="s">
        <v>7311</v>
      </c>
      <c r="D1816" s="79" t="s">
        <v>7312</v>
      </c>
      <c r="E1816" s="79">
        <v>1988</v>
      </c>
      <c r="G1816" s="79" t="s">
        <v>7329</v>
      </c>
      <c r="H1816" s="80">
        <v>2539800</v>
      </c>
    </row>
    <row r="1817" spans="1:8" x14ac:dyDescent="0.2">
      <c r="A1817" s="79" t="s">
        <v>9011</v>
      </c>
      <c r="B1817" s="79" t="s">
        <v>9040</v>
      </c>
      <c r="C1817" s="79" t="s">
        <v>7340</v>
      </c>
      <c r="D1817" s="79" t="s">
        <v>7312</v>
      </c>
      <c r="E1817" s="79">
        <v>1200</v>
      </c>
      <c r="G1817" s="79" t="s">
        <v>7313</v>
      </c>
      <c r="H1817" s="80">
        <v>4685588</v>
      </c>
    </row>
    <row r="1818" spans="1:8" x14ac:dyDescent="0.2">
      <c r="A1818" s="79" t="s">
        <v>9011</v>
      </c>
      <c r="B1818" s="79" t="s">
        <v>9041</v>
      </c>
      <c r="C1818" s="79" t="s">
        <v>7379</v>
      </c>
      <c r="D1818" s="79" t="s">
        <v>7328</v>
      </c>
      <c r="E1818" s="79">
        <v>4200</v>
      </c>
      <c r="G1818" s="79" t="s">
        <v>7329</v>
      </c>
      <c r="H1818" s="80">
        <v>6583500</v>
      </c>
    </row>
    <row r="1819" spans="1:8" x14ac:dyDescent="0.2">
      <c r="A1819" s="79" t="s">
        <v>9011</v>
      </c>
      <c r="B1819" s="79" t="s">
        <v>9042</v>
      </c>
      <c r="C1819" s="79" t="s">
        <v>7335</v>
      </c>
      <c r="D1819" s="79" t="s">
        <v>7328</v>
      </c>
      <c r="E1819" s="79">
        <v>3000</v>
      </c>
      <c r="G1819" s="79" t="s">
        <v>7329</v>
      </c>
      <c r="H1819" s="80">
        <v>1855000</v>
      </c>
    </row>
    <row r="1820" spans="1:8" x14ac:dyDescent="0.2">
      <c r="A1820" s="79" t="s">
        <v>9011</v>
      </c>
      <c r="B1820" s="79" t="s">
        <v>9043</v>
      </c>
      <c r="C1820" s="79" t="s">
        <v>7335</v>
      </c>
      <c r="D1820" s="79" t="s">
        <v>7328</v>
      </c>
      <c r="E1820" s="79">
        <v>3000</v>
      </c>
      <c r="G1820" s="79" t="s">
        <v>7329</v>
      </c>
      <c r="H1820" s="80">
        <v>2677000</v>
      </c>
    </row>
    <row r="1821" spans="1:8" x14ac:dyDescent="0.2">
      <c r="A1821" s="79" t="s">
        <v>9011</v>
      </c>
      <c r="B1821" s="79" t="s">
        <v>9044</v>
      </c>
      <c r="C1821" s="79" t="s">
        <v>7311</v>
      </c>
      <c r="D1821" s="79" t="s">
        <v>7312</v>
      </c>
      <c r="E1821" s="79">
        <v>1500</v>
      </c>
      <c r="G1821" s="79" t="s">
        <v>7313</v>
      </c>
      <c r="H1821" s="80">
        <v>3093849</v>
      </c>
    </row>
    <row r="1822" spans="1:8" x14ac:dyDescent="0.2">
      <c r="A1822" s="79" t="s">
        <v>9011</v>
      </c>
      <c r="B1822" s="79" t="s">
        <v>9045</v>
      </c>
      <c r="C1822" s="79" t="s">
        <v>7311</v>
      </c>
      <c r="D1822" s="79" t="s">
        <v>7312</v>
      </c>
      <c r="E1822" s="79">
        <v>1500</v>
      </c>
      <c r="G1822" s="79" t="s">
        <v>7329</v>
      </c>
      <c r="H1822" s="80">
        <v>2851600</v>
      </c>
    </row>
    <row r="1823" spans="1:8" x14ac:dyDescent="0.2">
      <c r="A1823" s="79" t="s">
        <v>9011</v>
      </c>
      <c r="B1823" s="79" t="s">
        <v>9046</v>
      </c>
      <c r="C1823" s="79" t="s">
        <v>7311</v>
      </c>
      <c r="D1823" s="79" t="s">
        <v>7312</v>
      </c>
      <c r="E1823" s="79">
        <v>1500</v>
      </c>
      <c r="G1823" s="79" t="s">
        <v>7329</v>
      </c>
      <c r="H1823" s="80">
        <v>2767061</v>
      </c>
    </row>
    <row r="1824" spans="1:8" x14ac:dyDescent="0.2">
      <c r="A1824" s="79" t="s">
        <v>9011</v>
      </c>
      <c r="B1824" s="79" t="s">
        <v>9047</v>
      </c>
      <c r="C1824" s="79" t="s">
        <v>7311</v>
      </c>
      <c r="D1824" s="79" t="s">
        <v>7312</v>
      </c>
      <c r="E1824" s="79">
        <v>1500</v>
      </c>
      <c r="G1824" s="79" t="s">
        <v>7329</v>
      </c>
      <c r="H1824" s="80">
        <v>3369074</v>
      </c>
    </row>
    <row r="1825" spans="1:8" x14ac:dyDescent="0.2">
      <c r="A1825" s="79" t="s">
        <v>9011</v>
      </c>
      <c r="B1825" s="79" t="s">
        <v>9048</v>
      </c>
      <c r="C1825" s="79" t="s">
        <v>7311</v>
      </c>
      <c r="D1825" s="79" t="s">
        <v>7312</v>
      </c>
      <c r="E1825" s="79">
        <v>1800</v>
      </c>
      <c r="G1825" s="79" t="s">
        <v>7329</v>
      </c>
      <c r="H1825" s="80">
        <v>3729074</v>
      </c>
    </row>
    <row r="1826" spans="1:8" x14ac:dyDescent="0.2">
      <c r="A1826" s="79" t="s">
        <v>9011</v>
      </c>
      <c r="B1826" s="79" t="s">
        <v>9049</v>
      </c>
      <c r="C1826" s="79" t="s">
        <v>7311</v>
      </c>
      <c r="D1826" s="79" t="s">
        <v>7312</v>
      </c>
      <c r="E1826" s="79">
        <v>1800</v>
      </c>
      <c r="G1826" s="79" t="s">
        <v>7313</v>
      </c>
      <c r="H1826" s="80">
        <v>3919070</v>
      </c>
    </row>
    <row r="1827" spans="1:8" x14ac:dyDescent="0.2">
      <c r="A1827" s="79" t="s">
        <v>9011</v>
      </c>
      <c r="B1827" s="79" t="s">
        <v>9050</v>
      </c>
      <c r="C1827" s="79" t="s">
        <v>7311</v>
      </c>
      <c r="D1827" s="79" t="s">
        <v>7312</v>
      </c>
      <c r="E1827" s="79">
        <v>1500</v>
      </c>
      <c r="G1827" s="79" t="s">
        <v>7329</v>
      </c>
      <c r="H1827" s="80">
        <v>2834099</v>
      </c>
    </row>
    <row r="1828" spans="1:8" x14ac:dyDescent="0.2">
      <c r="A1828" s="79" t="s">
        <v>9011</v>
      </c>
      <c r="B1828" s="79" t="s">
        <v>9051</v>
      </c>
      <c r="C1828" s="79" t="s">
        <v>7311</v>
      </c>
      <c r="D1828" s="79" t="s">
        <v>7312</v>
      </c>
      <c r="E1828" s="79">
        <v>1500</v>
      </c>
      <c r="G1828" s="79" t="s">
        <v>7313</v>
      </c>
      <c r="H1828" s="80">
        <v>3072718</v>
      </c>
    </row>
    <row r="1829" spans="1:8" x14ac:dyDescent="0.2">
      <c r="A1829" s="79" t="s">
        <v>9011</v>
      </c>
      <c r="B1829" s="79" t="s">
        <v>9052</v>
      </c>
      <c r="C1829" s="79" t="s">
        <v>7335</v>
      </c>
      <c r="D1829" s="79" t="s">
        <v>7312</v>
      </c>
      <c r="E1829" s="79">
        <v>1500</v>
      </c>
      <c r="G1829" s="79" t="s">
        <v>7329</v>
      </c>
      <c r="H1829" s="80">
        <v>2704600</v>
      </c>
    </row>
    <row r="1830" spans="1:8" x14ac:dyDescent="0.2">
      <c r="A1830" s="79" t="s">
        <v>9011</v>
      </c>
      <c r="B1830" s="79" t="s">
        <v>9053</v>
      </c>
      <c r="C1830" s="79" t="s">
        <v>7311</v>
      </c>
      <c r="D1830" s="79" t="s">
        <v>7312</v>
      </c>
      <c r="E1830" s="79">
        <v>1800</v>
      </c>
      <c r="G1830" s="79" t="s">
        <v>7329</v>
      </c>
      <c r="H1830" s="80">
        <v>3250400</v>
      </c>
    </row>
    <row r="1831" spans="1:8" x14ac:dyDescent="0.2">
      <c r="A1831" s="79" t="s">
        <v>9011</v>
      </c>
      <c r="B1831" s="79" t="s">
        <v>9054</v>
      </c>
      <c r="C1831" s="79" t="s">
        <v>7311</v>
      </c>
      <c r="D1831" s="79" t="s">
        <v>7312</v>
      </c>
      <c r="E1831" s="79">
        <v>1800</v>
      </c>
      <c r="G1831" s="79" t="s">
        <v>7329</v>
      </c>
      <c r="H1831" s="80">
        <v>3050400</v>
      </c>
    </row>
    <row r="1832" spans="1:8" x14ac:dyDescent="0.2">
      <c r="A1832" s="79" t="s">
        <v>9006</v>
      </c>
      <c r="B1832" s="79" t="s">
        <v>9010</v>
      </c>
      <c r="C1832" s="79" t="s">
        <v>7311</v>
      </c>
      <c r="D1832" s="79" t="s">
        <v>7312</v>
      </c>
      <c r="E1832" s="79">
        <v>1500</v>
      </c>
      <c r="G1832" s="79" t="s">
        <v>7313</v>
      </c>
      <c r="H1832" s="80">
        <v>2443293</v>
      </c>
    </row>
    <row r="1833" spans="1:8" x14ac:dyDescent="0.2">
      <c r="A1833" s="79" t="s">
        <v>9006</v>
      </c>
      <c r="B1833" s="79" t="s">
        <v>9010</v>
      </c>
      <c r="C1833" s="79" t="s">
        <v>7311</v>
      </c>
      <c r="D1833" s="79" t="s">
        <v>7312</v>
      </c>
      <c r="E1833" s="79">
        <v>1800</v>
      </c>
      <c r="G1833" s="79" t="s">
        <v>7329</v>
      </c>
      <c r="H1833" s="80">
        <v>2269658</v>
      </c>
    </row>
    <row r="1834" spans="1:8" x14ac:dyDescent="0.2">
      <c r="A1834" s="79" t="s">
        <v>9006</v>
      </c>
      <c r="B1834" s="79" t="s">
        <v>9010</v>
      </c>
      <c r="C1834" s="79" t="s">
        <v>7311</v>
      </c>
      <c r="D1834" s="79" t="s">
        <v>7312</v>
      </c>
      <c r="E1834" s="79">
        <v>1800</v>
      </c>
      <c r="G1834" s="79" t="s">
        <v>7313</v>
      </c>
      <c r="H1834" s="80">
        <v>2530110</v>
      </c>
    </row>
    <row r="1835" spans="1:8" x14ac:dyDescent="0.2">
      <c r="A1835" s="79" t="s">
        <v>9006</v>
      </c>
      <c r="B1835" s="79" t="s">
        <v>9055</v>
      </c>
      <c r="C1835" s="79" t="s">
        <v>7311</v>
      </c>
      <c r="D1835" s="79" t="s">
        <v>7312</v>
      </c>
      <c r="E1835" s="79">
        <v>1400</v>
      </c>
      <c r="G1835" s="79" t="s">
        <v>7329</v>
      </c>
      <c r="H1835" s="80">
        <v>2395000</v>
      </c>
    </row>
    <row r="1836" spans="1:8" x14ac:dyDescent="0.2">
      <c r="A1836" s="79" t="s">
        <v>9006</v>
      </c>
      <c r="B1836" s="79" t="s">
        <v>9056</v>
      </c>
      <c r="C1836" s="79" t="s">
        <v>7327</v>
      </c>
      <c r="D1836" s="79" t="s">
        <v>7312</v>
      </c>
      <c r="E1836" s="79">
        <v>660</v>
      </c>
      <c r="G1836" s="79" t="s">
        <v>7329</v>
      </c>
      <c r="H1836" s="80">
        <v>1561270</v>
      </c>
    </row>
    <row r="1837" spans="1:8" x14ac:dyDescent="0.2">
      <c r="A1837" s="79" t="s">
        <v>9006</v>
      </c>
      <c r="B1837" s="79" t="s">
        <v>9056</v>
      </c>
      <c r="C1837" s="79" t="s">
        <v>7327</v>
      </c>
      <c r="D1837" s="79" t="s">
        <v>7312</v>
      </c>
      <c r="E1837" s="79">
        <v>660</v>
      </c>
      <c r="G1837" s="79" t="s">
        <v>7313</v>
      </c>
      <c r="H1837" s="80">
        <v>1808698</v>
      </c>
    </row>
    <row r="1838" spans="1:8" x14ac:dyDescent="0.2">
      <c r="A1838" s="79" t="s">
        <v>9006</v>
      </c>
      <c r="B1838" s="79" t="s">
        <v>9057</v>
      </c>
      <c r="C1838" s="79" t="s">
        <v>7327</v>
      </c>
      <c r="D1838" s="79" t="s">
        <v>7312</v>
      </c>
      <c r="E1838" s="79">
        <v>1960</v>
      </c>
      <c r="G1838" s="79" t="s">
        <v>7329</v>
      </c>
      <c r="H1838" s="80">
        <v>3800000</v>
      </c>
    </row>
    <row r="1839" spans="1:8" x14ac:dyDescent="0.2">
      <c r="A1839" s="79" t="s">
        <v>9006</v>
      </c>
      <c r="B1839" s="79" t="s">
        <v>9057</v>
      </c>
      <c r="C1839" s="79" t="s">
        <v>7327</v>
      </c>
      <c r="D1839" s="79" t="s">
        <v>7312</v>
      </c>
      <c r="E1839" s="79">
        <v>1960</v>
      </c>
      <c r="G1839" s="79" t="s">
        <v>7313</v>
      </c>
      <c r="H1839" s="80">
        <v>4100000</v>
      </c>
    </row>
    <row r="1840" spans="1:8" x14ac:dyDescent="0.2">
      <c r="A1840" s="79" t="s">
        <v>9006</v>
      </c>
      <c r="B1840" s="79" t="s">
        <v>9058</v>
      </c>
      <c r="C1840" s="79" t="s">
        <v>7335</v>
      </c>
      <c r="D1840" s="79" t="s">
        <v>7312</v>
      </c>
      <c r="E1840" s="79">
        <v>1600</v>
      </c>
      <c r="G1840" s="79" t="s">
        <v>7313</v>
      </c>
      <c r="H1840" s="80">
        <v>3799000</v>
      </c>
    </row>
    <row r="1841" spans="1:8" x14ac:dyDescent="0.2">
      <c r="A1841" s="79" t="s">
        <v>9006</v>
      </c>
      <c r="B1841" s="79" t="s">
        <v>9059</v>
      </c>
      <c r="C1841" s="79" t="s">
        <v>7335</v>
      </c>
      <c r="D1841" s="79" t="s">
        <v>7312</v>
      </c>
      <c r="E1841" s="79">
        <v>2000</v>
      </c>
      <c r="G1841" s="79" t="s">
        <v>7313</v>
      </c>
      <c r="H1841" s="80">
        <v>3795000</v>
      </c>
    </row>
    <row r="1842" spans="1:8" x14ac:dyDescent="0.2">
      <c r="A1842" s="79" t="s">
        <v>9006</v>
      </c>
      <c r="B1842" s="79" t="s">
        <v>9060</v>
      </c>
      <c r="C1842" s="79" t="s">
        <v>7335</v>
      </c>
      <c r="D1842" s="79" t="s">
        <v>7312</v>
      </c>
      <c r="E1842" s="79">
        <v>2000</v>
      </c>
      <c r="G1842" s="79" t="s">
        <v>7313</v>
      </c>
      <c r="H1842" s="80">
        <v>4600000</v>
      </c>
    </row>
    <row r="1843" spans="1:8" x14ac:dyDescent="0.2">
      <c r="A1843" s="79" t="s">
        <v>9006</v>
      </c>
      <c r="B1843" s="79" t="s">
        <v>9061</v>
      </c>
      <c r="C1843" s="79" t="s">
        <v>7335</v>
      </c>
      <c r="D1843" s="79" t="s">
        <v>7312</v>
      </c>
      <c r="E1843" s="79">
        <v>2400</v>
      </c>
      <c r="G1843" s="79" t="s">
        <v>7313</v>
      </c>
      <c r="H1843" s="80">
        <v>3995000</v>
      </c>
    </row>
    <row r="1844" spans="1:8" x14ac:dyDescent="0.2">
      <c r="A1844" s="79" t="s">
        <v>9006</v>
      </c>
      <c r="B1844" s="79" t="s">
        <v>9062</v>
      </c>
      <c r="C1844" s="79" t="s">
        <v>7335</v>
      </c>
      <c r="D1844" s="79" t="s">
        <v>7312</v>
      </c>
      <c r="E1844" s="79">
        <v>1300</v>
      </c>
      <c r="G1844" s="79" t="s">
        <v>7313</v>
      </c>
      <c r="H1844" s="80">
        <v>1795000</v>
      </c>
    </row>
    <row r="1845" spans="1:8" x14ac:dyDescent="0.2">
      <c r="A1845" s="79" t="s">
        <v>9006</v>
      </c>
      <c r="B1845" s="79" t="s">
        <v>9063</v>
      </c>
      <c r="C1845" s="79" t="s">
        <v>7335</v>
      </c>
      <c r="D1845" s="79" t="s">
        <v>7312</v>
      </c>
      <c r="E1845" s="79">
        <v>1300</v>
      </c>
      <c r="G1845" s="79" t="s">
        <v>7313</v>
      </c>
      <c r="H1845" s="80">
        <v>1895000</v>
      </c>
    </row>
    <row r="1846" spans="1:8" x14ac:dyDescent="0.2">
      <c r="A1846" s="79" t="s">
        <v>9006</v>
      </c>
      <c r="B1846" s="79" t="s">
        <v>9064</v>
      </c>
      <c r="C1846" s="79" t="s">
        <v>7335</v>
      </c>
      <c r="D1846" s="79" t="s">
        <v>7312</v>
      </c>
      <c r="E1846" s="79">
        <v>1327</v>
      </c>
      <c r="G1846" s="79" t="s">
        <v>7329</v>
      </c>
      <c r="H1846" s="80">
        <v>2450000</v>
      </c>
    </row>
    <row r="1847" spans="1:8" x14ac:dyDescent="0.2">
      <c r="A1847" s="79" t="s">
        <v>9006</v>
      </c>
      <c r="B1847" s="79" t="s">
        <v>9065</v>
      </c>
      <c r="C1847" s="79" t="s">
        <v>7335</v>
      </c>
      <c r="D1847" s="79" t="s">
        <v>7312</v>
      </c>
      <c r="E1847" s="79">
        <v>1600</v>
      </c>
      <c r="G1847" s="79" t="s">
        <v>7329</v>
      </c>
      <c r="H1847" s="80">
        <v>2495000</v>
      </c>
    </row>
    <row r="1848" spans="1:8" x14ac:dyDescent="0.2">
      <c r="A1848" s="79" t="s">
        <v>9006</v>
      </c>
      <c r="B1848" s="79" t="s">
        <v>9066</v>
      </c>
      <c r="C1848" s="79" t="s">
        <v>7335</v>
      </c>
      <c r="D1848" s="79" t="s">
        <v>7312</v>
      </c>
      <c r="E1848" s="79">
        <v>1327</v>
      </c>
      <c r="G1848" s="79" t="s">
        <v>7329</v>
      </c>
      <c r="H1848" s="80">
        <v>2800000</v>
      </c>
    </row>
    <row r="1849" spans="1:8" x14ac:dyDescent="0.2">
      <c r="A1849" s="79" t="s">
        <v>9006</v>
      </c>
      <c r="B1849" s="79" t="s">
        <v>9067</v>
      </c>
      <c r="C1849" s="79" t="s">
        <v>7335</v>
      </c>
      <c r="D1849" s="79" t="s">
        <v>7312</v>
      </c>
      <c r="E1849" s="79">
        <v>2000</v>
      </c>
      <c r="G1849" s="79" t="s">
        <v>7313</v>
      </c>
      <c r="H1849" s="80">
        <v>3745833</v>
      </c>
    </row>
    <row r="1850" spans="1:8" x14ac:dyDescent="0.2">
      <c r="A1850" s="79" t="s">
        <v>9006</v>
      </c>
      <c r="B1850" s="79" t="s">
        <v>9068</v>
      </c>
      <c r="C1850" s="79" t="s">
        <v>7335</v>
      </c>
      <c r="D1850" s="79" t="s">
        <v>7312</v>
      </c>
      <c r="E1850" s="79">
        <v>2400</v>
      </c>
      <c r="G1850" s="79" t="s">
        <v>7313</v>
      </c>
      <c r="H1850" s="80">
        <v>4437417</v>
      </c>
    </row>
    <row r="1851" spans="1:8" x14ac:dyDescent="0.2">
      <c r="A1851" s="79" t="s">
        <v>9006</v>
      </c>
      <c r="B1851" s="79" t="s">
        <v>9069</v>
      </c>
      <c r="C1851" s="79" t="s">
        <v>7335</v>
      </c>
      <c r="D1851" s="79" t="s">
        <v>7312</v>
      </c>
      <c r="E1851" s="79">
        <v>2400</v>
      </c>
      <c r="G1851" s="79" t="s">
        <v>7313</v>
      </c>
      <c r="H1851" s="80">
        <v>4700000</v>
      </c>
    </row>
    <row r="1852" spans="1:8" x14ac:dyDescent="0.2">
      <c r="A1852" s="79" t="s">
        <v>9006</v>
      </c>
      <c r="B1852" s="79" t="s">
        <v>9070</v>
      </c>
      <c r="C1852" s="79" t="s">
        <v>7335</v>
      </c>
      <c r="D1852" s="79" t="s">
        <v>7312</v>
      </c>
      <c r="E1852" s="79">
        <v>3190</v>
      </c>
      <c r="G1852" s="79" t="s">
        <v>7313</v>
      </c>
      <c r="H1852" s="80">
        <v>5900000</v>
      </c>
    </row>
    <row r="1853" spans="1:8" x14ac:dyDescent="0.2">
      <c r="A1853" s="79" t="s">
        <v>9006</v>
      </c>
      <c r="B1853" s="79" t="s">
        <v>9071</v>
      </c>
      <c r="C1853" s="79" t="s">
        <v>7335</v>
      </c>
      <c r="D1853" s="79" t="s">
        <v>7312</v>
      </c>
      <c r="E1853" s="79">
        <v>3190</v>
      </c>
      <c r="G1853" s="79" t="s">
        <v>7313</v>
      </c>
      <c r="H1853" s="80">
        <v>6248000</v>
      </c>
    </row>
    <row r="1854" spans="1:8" x14ac:dyDescent="0.2">
      <c r="A1854" s="79" t="s">
        <v>9006</v>
      </c>
      <c r="B1854" s="79" t="s">
        <v>9072</v>
      </c>
      <c r="C1854" s="79" t="s">
        <v>7335</v>
      </c>
      <c r="D1854" s="79" t="s">
        <v>7312</v>
      </c>
      <c r="E1854" s="79">
        <v>1320</v>
      </c>
      <c r="G1854" s="79" t="s">
        <v>7329</v>
      </c>
      <c r="H1854" s="80">
        <v>1700000</v>
      </c>
    </row>
    <row r="1855" spans="1:8" x14ac:dyDescent="0.2">
      <c r="A1855" s="79" t="s">
        <v>9006</v>
      </c>
      <c r="B1855" s="79" t="s">
        <v>9073</v>
      </c>
      <c r="C1855" s="79" t="s">
        <v>7335</v>
      </c>
      <c r="D1855" s="79" t="s">
        <v>7312</v>
      </c>
      <c r="E1855" s="79">
        <v>1600</v>
      </c>
      <c r="G1855" s="79" t="s">
        <v>7329</v>
      </c>
      <c r="H1855" s="80">
        <v>2399000</v>
      </c>
    </row>
    <row r="1856" spans="1:8" x14ac:dyDescent="0.2">
      <c r="A1856" s="79" t="s">
        <v>9006</v>
      </c>
      <c r="B1856" s="79" t="s">
        <v>9074</v>
      </c>
      <c r="C1856" s="79" t="s">
        <v>7335</v>
      </c>
      <c r="D1856" s="79" t="s">
        <v>7312</v>
      </c>
      <c r="E1856" s="79">
        <v>650</v>
      </c>
      <c r="G1856" s="79" t="s">
        <v>7329</v>
      </c>
      <c r="H1856" s="80">
        <v>1357000</v>
      </c>
    </row>
    <row r="1857" spans="1:8" x14ac:dyDescent="0.2">
      <c r="A1857" s="79" t="s">
        <v>9006</v>
      </c>
      <c r="B1857" s="79" t="s">
        <v>9075</v>
      </c>
      <c r="C1857" s="79" t="s">
        <v>7335</v>
      </c>
      <c r="D1857" s="79" t="s">
        <v>7312</v>
      </c>
      <c r="E1857" s="79">
        <v>1300</v>
      </c>
      <c r="G1857" s="79" t="s">
        <v>7329</v>
      </c>
      <c r="H1857" s="80">
        <v>2156000</v>
      </c>
    </row>
    <row r="1858" spans="1:8" x14ac:dyDescent="0.2">
      <c r="A1858" s="79" t="s">
        <v>9006</v>
      </c>
      <c r="B1858" s="79" t="s">
        <v>9076</v>
      </c>
      <c r="C1858" s="79" t="s">
        <v>7340</v>
      </c>
      <c r="D1858" s="79" t="s">
        <v>7312</v>
      </c>
      <c r="E1858" s="79">
        <v>1240</v>
      </c>
      <c r="G1858" s="79" t="s">
        <v>7329</v>
      </c>
      <c r="H1858" s="80">
        <v>1596970</v>
      </c>
    </row>
    <row r="1859" spans="1:8" x14ac:dyDescent="0.2">
      <c r="A1859" s="79" t="s">
        <v>9006</v>
      </c>
      <c r="B1859" s="79" t="s">
        <v>9077</v>
      </c>
      <c r="C1859" s="79" t="s">
        <v>7335</v>
      </c>
      <c r="D1859" s="79" t="s">
        <v>7312</v>
      </c>
      <c r="E1859" s="79">
        <v>1300</v>
      </c>
      <c r="G1859" s="79" t="s">
        <v>7313</v>
      </c>
      <c r="H1859" s="80">
        <v>2155950</v>
      </c>
    </row>
    <row r="1860" spans="1:8" x14ac:dyDescent="0.2">
      <c r="A1860" s="79" t="s">
        <v>9078</v>
      </c>
      <c r="B1860" s="79" t="s">
        <v>9079</v>
      </c>
      <c r="C1860" s="79" t="s">
        <v>8200</v>
      </c>
      <c r="D1860" s="79" t="s">
        <v>9080</v>
      </c>
      <c r="E1860" s="79">
        <v>2874</v>
      </c>
      <c r="G1860" s="79" t="s">
        <v>7313</v>
      </c>
      <c r="H1860" s="80">
        <v>3596888</v>
      </c>
    </row>
    <row r="1861" spans="1:8" x14ac:dyDescent="0.2">
      <c r="A1861" s="79" t="s">
        <v>9078</v>
      </c>
      <c r="B1861" s="79" t="s">
        <v>9081</v>
      </c>
      <c r="C1861" s="79" t="s">
        <v>8200</v>
      </c>
      <c r="D1861" s="79" t="s">
        <v>9080</v>
      </c>
      <c r="E1861" s="79">
        <v>2874</v>
      </c>
      <c r="G1861" s="79" t="s">
        <v>7313</v>
      </c>
      <c r="H1861" s="80">
        <v>3956576.8</v>
      </c>
    </row>
    <row r="1862" spans="1:8" x14ac:dyDescent="0.2">
      <c r="A1862" s="79" t="s">
        <v>9078</v>
      </c>
      <c r="B1862" s="79" t="s">
        <v>9082</v>
      </c>
      <c r="C1862" s="79" t="s">
        <v>7335</v>
      </c>
      <c r="D1862" s="79" t="s">
        <v>9080</v>
      </c>
      <c r="E1862" s="79">
        <v>2900</v>
      </c>
      <c r="G1862" s="79" t="s">
        <v>7313</v>
      </c>
      <c r="H1862" s="80">
        <v>3506965.8</v>
      </c>
    </row>
    <row r="1863" spans="1:8" x14ac:dyDescent="0.2">
      <c r="A1863" s="79" t="s">
        <v>9078</v>
      </c>
      <c r="B1863" s="79" t="s">
        <v>9083</v>
      </c>
      <c r="C1863" s="79" t="s">
        <v>7335</v>
      </c>
      <c r="D1863" s="79" t="s">
        <v>9080</v>
      </c>
      <c r="E1863" s="79">
        <v>2900</v>
      </c>
      <c r="G1863" s="79" t="s">
        <v>7313</v>
      </c>
      <c r="H1863" s="80">
        <v>4316265.5999999996</v>
      </c>
    </row>
    <row r="1864" spans="1:8" x14ac:dyDescent="0.2">
      <c r="A1864" s="79" t="s">
        <v>9078</v>
      </c>
      <c r="B1864" s="79" t="s">
        <v>9084</v>
      </c>
      <c r="C1864" s="79" t="s">
        <v>7335</v>
      </c>
      <c r="D1864" s="79" t="s">
        <v>9080</v>
      </c>
      <c r="E1864" s="79">
        <v>2900</v>
      </c>
      <c r="G1864" s="79" t="s">
        <v>7313</v>
      </c>
      <c r="H1864" s="80">
        <v>4496110</v>
      </c>
    </row>
    <row r="1865" spans="1:8" x14ac:dyDescent="0.2">
      <c r="A1865" s="79" t="s">
        <v>9078</v>
      </c>
      <c r="B1865" s="79" t="s">
        <v>9085</v>
      </c>
      <c r="C1865" s="79" t="s">
        <v>7335</v>
      </c>
      <c r="D1865" s="79" t="s">
        <v>7328</v>
      </c>
      <c r="E1865" s="79">
        <v>2874</v>
      </c>
      <c r="G1865" s="79" t="s">
        <v>7313</v>
      </c>
      <c r="H1865" s="80">
        <v>2600160</v>
      </c>
    </row>
    <row r="1866" spans="1:8" x14ac:dyDescent="0.2">
      <c r="A1866" s="79" t="s">
        <v>9078</v>
      </c>
      <c r="B1866" s="79" t="s">
        <v>9086</v>
      </c>
      <c r="C1866" s="79" t="s">
        <v>7335</v>
      </c>
      <c r="D1866" s="79" t="s">
        <v>7328</v>
      </c>
      <c r="E1866" s="79">
        <v>2874</v>
      </c>
      <c r="G1866" s="79" t="s">
        <v>7313</v>
      </c>
      <c r="H1866" s="80">
        <v>2600160</v>
      </c>
    </row>
    <row r="1867" spans="1:8" x14ac:dyDescent="0.2">
      <c r="A1867" s="79" t="s">
        <v>9078</v>
      </c>
      <c r="B1867" s="79" t="s">
        <v>9087</v>
      </c>
      <c r="C1867" s="79" t="s">
        <v>7335</v>
      </c>
      <c r="D1867" s="79" t="s">
        <v>7328</v>
      </c>
      <c r="E1867" s="79">
        <v>2700</v>
      </c>
      <c r="G1867" s="79" t="s">
        <v>7313</v>
      </c>
      <c r="H1867" s="80">
        <v>4046499</v>
      </c>
    </row>
    <row r="1868" spans="1:8" x14ac:dyDescent="0.2">
      <c r="A1868" s="79" t="s">
        <v>9078</v>
      </c>
      <c r="B1868" s="79" t="s">
        <v>9088</v>
      </c>
      <c r="C1868" s="79" t="s">
        <v>7335</v>
      </c>
      <c r="D1868" s="79" t="s">
        <v>7328</v>
      </c>
      <c r="E1868" s="79">
        <v>2700</v>
      </c>
      <c r="G1868" s="79" t="s">
        <v>7313</v>
      </c>
      <c r="H1868" s="80">
        <v>4945721</v>
      </c>
    </row>
    <row r="1869" spans="1:8" x14ac:dyDescent="0.2">
      <c r="A1869" s="79" t="s">
        <v>9078</v>
      </c>
      <c r="B1869" s="79" t="s">
        <v>9089</v>
      </c>
      <c r="C1869" s="79" t="s">
        <v>7335</v>
      </c>
      <c r="D1869" s="79" t="s">
        <v>7328</v>
      </c>
      <c r="E1869" s="79">
        <v>2700</v>
      </c>
      <c r="G1869" s="79" t="s">
        <v>7313</v>
      </c>
      <c r="H1869" s="80">
        <v>5125565.4000000004</v>
      </c>
    </row>
    <row r="1870" spans="1:8" x14ac:dyDescent="0.2">
      <c r="A1870" s="79" t="s">
        <v>9090</v>
      </c>
      <c r="B1870" s="79" t="s">
        <v>9091</v>
      </c>
      <c r="C1870" s="79" t="s">
        <v>7619</v>
      </c>
      <c r="D1870" s="79" t="s">
        <v>7328</v>
      </c>
      <c r="E1870" s="79">
        <v>700</v>
      </c>
      <c r="G1870" s="79" t="s">
        <v>7329</v>
      </c>
      <c r="H1870" s="80">
        <v>1183250</v>
      </c>
    </row>
    <row r="1871" spans="1:8" x14ac:dyDescent="0.2">
      <c r="A1871" s="79" t="s">
        <v>9090</v>
      </c>
      <c r="B1871" s="79" t="s">
        <v>9092</v>
      </c>
      <c r="C1871" s="79" t="s">
        <v>7619</v>
      </c>
      <c r="D1871" s="79" t="s">
        <v>7328</v>
      </c>
      <c r="E1871" s="79">
        <v>800</v>
      </c>
      <c r="G1871" s="79" t="s">
        <v>7329</v>
      </c>
      <c r="H1871" s="80">
        <v>1467375</v>
      </c>
    </row>
    <row r="1872" spans="1:8" x14ac:dyDescent="0.2">
      <c r="A1872" s="79" t="s">
        <v>9090</v>
      </c>
      <c r="B1872" s="79" t="s">
        <v>9093</v>
      </c>
      <c r="C1872" s="79" t="s">
        <v>7619</v>
      </c>
      <c r="D1872" s="79" t="s">
        <v>7328</v>
      </c>
      <c r="E1872" s="79">
        <v>800</v>
      </c>
      <c r="G1872" s="79" t="s">
        <v>7329</v>
      </c>
      <c r="H1872" s="80">
        <v>1350000</v>
      </c>
    </row>
    <row r="1873" spans="1:8" x14ac:dyDescent="0.2">
      <c r="A1873" s="79" t="s">
        <v>9090</v>
      </c>
      <c r="B1873" s="79" t="s">
        <v>9094</v>
      </c>
      <c r="C1873" s="79" t="s">
        <v>7379</v>
      </c>
      <c r="D1873" s="79" t="s">
        <v>7328</v>
      </c>
      <c r="E1873" s="79">
        <v>11051</v>
      </c>
      <c r="H1873" s="80">
        <v>10300000</v>
      </c>
    </row>
    <row r="1874" spans="1:8" x14ac:dyDescent="0.2">
      <c r="A1874" s="79" t="s">
        <v>9090</v>
      </c>
      <c r="B1874" s="79" t="s">
        <v>9095</v>
      </c>
      <c r="C1874" s="79" t="s">
        <v>7619</v>
      </c>
      <c r="D1874" s="79" t="s">
        <v>7328</v>
      </c>
      <c r="E1874" s="79">
        <v>1405</v>
      </c>
      <c r="G1874" s="79" t="s">
        <v>7329</v>
      </c>
      <c r="H1874" s="80">
        <v>1858533.96</v>
      </c>
    </row>
    <row r="1875" spans="1:8" x14ac:dyDescent="0.2">
      <c r="A1875" s="79" t="s">
        <v>9090</v>
      </c>
      <c r="B1875" s="79" t="s">
        <v>9096</v>
      </c>
      <c r="C1875" s="79" t="s">
        <v>7619</v>
      </c>
      <c r="D1875" s="79" t="s">
        <v>7328</v>
      </c>
      <c r="E1875" s="79">
        <v>1405</v>
      </c>
      <c r="G1875" s="79" t="s">
        <v>7329</v>
      </c>
      <c r="H1875" s="80">
        <v>1962531.16</v>
      </c>
    </row>
    <row r="1876" spans="1:8" x14ac:dyDescent="0.2">
      <c r="A1876" s="79" t="s">
        <v>9090</v>
      </c>
      <c r="B1876" s="79" t="s">
        <v>9097</v>
      </c>
      <c r="C1876" s="79" t="s">
        <v>7335</v>
      </c>
      <c r="D1876" s="79" t="s">
        <v>7328</v>
      </c>
      <c r="E1876" s="79">
        <v>1948</v>
      </c>
      <c r="G1876" s="79" t="s">
        <v>7329</v>
      </c>
      <c r="H1876" s="80">
        <v>1600000</v>
      </c>
    </row>
    <row r="1877" spans="1:8" x14ac:dyDescent="0.2">
      <c r="A1877" s="79" t="s">
        <v>9090</v>
      </c>
      <c r="B1877" s="79" t="s">
        <v>9098</v>
      </c>
      <c r="C1877" s="79" t="s">
        <v>7619</v>
      </c>
      <c r="D1877" s="79" t="s">
        <v>7328</v>
      </c>
      <c r="E1877" s="79">
        <v>2200</v>
      </c>
      <c r="G1877" s="79" t="s">
        <v>7313</v>
      </c>
      <c r="H1877" s="80">
        <v>2079000</v>
      </c>
    </row>
    <row r="1878" spans="1:8" x14ac:dyDescent="0.2">
      <c r="A1878" s="79" t="s">
        <v>9090</v>
      </c>
      <c r="B1878" s="79" t="s">
        <v>9099</v>
      </c>
      <c r="C1878" s="79" t="s">
        <v>7619</v>
      </c>
      <c r="D1878" s="79" t="s">
        <v>7328</v>
      </c>
      <c r="E1878" s="79">
        <v>2956</v>
      </c>
      <c r="G1878" s="79" t="s">
        <v>7329</v>
      </c>
      <c r="H1878" s="80">
        <v>1695000</v>
      </c>
    </row>
    <row r="1879" spans="1:8" x14ac:dyDescent="0.2">
      <c r="A1879" s="79" t="s">
        <v>9090</v>
      </c>
      <c r="B1879" s="79" t="s">
        <v>9100</v>
      </c>
      <c r="C1879" s="79" t="s">
        <v>7619</v>
      </c>
      <c r="D1879" s="79" t="s">
        <v>7328</v>
      </c>
      <c r="E1879" s="79">
        <v>2956</v>
      </c>
      <c r="G1879" s="79" t="s">
        <v>7329</v>
      </c>
      <c r="H1879" s="80">
        <v>1980000</v>
      </c>
    </row>
    <row r="1880" spans="1:8" x14ac:dyDescent="0.2">
      <c r="A1880" s="79" t="s">
        <v>9090</v>
      </c>
      <c r="B1880" s="79" t="s">
        <v>9100</v>
      </c>
      <c r="C1880" s="79" t="s">
        <v>7619</v>
      </c>
      <c r="D1880" s="79" t="s">
        <v>7328</v>
      </c>
      <c r="E1880" s="79">
        <v>2956</v>
      </c>
      <c r="G1880" s="79" t="s">
        <v>7313</v>
      </c>
      <c r="H1880" s="80">
        <v>2298500</v>
      </c>
    </row>
    <row r="1881" spans="1:8" x14ac:dyDescent="0.2">
      <c r="A1881" s="79" t="s">
        <v>9090</v>
      </c>
      <c r="B1881" s="79" t="s">
        <v>9101</v>
      </c>
      <c r="C1881" s="79" t="s">
        <v>8200</v>
      </c>
      <c r="D1881" s="79" t="s">
        <v>7328</v>
      </c>
      <c r="E1881" s="79">
        <v>2200</v>
      </c>
      <c r="G1881" s="79" t="s">
        <v>7329</v>
      </c>
      <c r="H1881" s="80">
        <v>2572000</v>
      </c>
    </row>
    <row r="1882" spans="1:8" x14ac:dyDescent="0.2">
      <c r="A1882" s="79" t="s">
        <v>9090</v>
      </c>
      <c r="B1882" s="79" t="s">
        <v>9101</v>
      </c>
      <c r="C1882" s="79" t="s">
        <v>8200</v>
      </c>
      <c r="D1882" s="79" t="s">
        <v>7328</v>
      </c>
      <c r="E1882" s="79">
        <v>2200</v>
      </c>
      <c r="G1882" s="79" t="s">
        <v>7313</v>
      </c>
      <c r="H1882" s="80">
        <v>3601500</v>
      </c>
    </row>
    <row r="1883" spans="1:8" x14ac:dyDescent="0.2">
      <c r="A1883" s="79" t="s">
        <v>9090</v>
      </c>
      <c r="B1883" s="79" t="s">
        <v>9102</v>
      </c>
      <c r="C1883" s="79" t="s">
        <v>7619</v>
      </c>
      <c r="D1883" s="79" t="s">
        <v>7328</v>
      </c>
      <c r="E1883" s="79">
        <v>2200</v>
      </c>
      <c r="G1883" s="79" t="s">
        <v>7313</v>
      </c>
      <c r="H1883" s="80">
        <v>2240000</v>
      </c>
    </row>
    <row r="1884" spans="1:8" x14ac:dyDescent="0.2">
      <c r="A1884" s="79" t="s">
        <v>9090</v>
      </c>
      <c r="B1884" s="79" t="s">
        <v>9103</v>
      </c>
      <c r="C1884" s="79" t="s">
        <v>7619</v>
      </c>
      <c r="D1884" s="79" t="s">
        <v>7328</v>
      </c>
      <c r="E1884" s="79">
        <v>2200</v>
      </c>
      <c r="G1884" s="79" t="s">
        <v>7313</v>
      </c>
      <c r="H1884" s="80">
        <v>3424627.8</v>
      </c>
    </row>
    <row r="1885" spans="1:8" x14ac:dyDescent="0.2">
      <c r="A1885" s="79" t="s">
        <v>9090</v>
      </c>
      <c r="B1885" s="79" t="s">
        <v>9104</v>
      </c>
      <c r="C1885" s="79" t="s">
        <v>8200</v>
      </c>
      <c r="D1885" s="79" t="s">
        <v>7328</v>
      </c>
      <c r="E1885" s="79">
        <v>2179</v>
      </c>
      <c r="G1885" s="79" t="s">
        <v>7313</v>
      </c>
      <c r="H1885" s="80">
        <v>3601500</v>
      </c>
    </row>
    <row r="1886" spans="1:8" x14ac:dyDescent="0.2">
      <c r="A1886" s="79" t="s">
        <v>9090</v>
      </c>
      <c r="B1886" s="79" t="s">
        <v>9105</v>
      </c>
      <c r="C1886" s="79" t="s">
        <v>7619</v>
      </c>
      <c r="D1886" s="79" t="s">
        <v>7328</v>
      </c>
      <c r="E1886" s="79">
        <v>2956</v>
      </c>
      <c r="G1886" s="79" t="s">
        <v>7313</v>
      </c>
      <c r="H1886" s="80">
        <v>2193240</v>
      </c>
    </row>
    <row r="1887" spans="1:8" x14ac:dyDescent="0.2">
      <c r="A1887" s="79" t="s">
        <v>9090</v>
      </c>
      <c r="B1887" s="79" t="s">
        <v>9106</v>
      </c>
      <c r="C1887" s="79" t="s">
        <v>7619</v>
      </c>
      <c r="D1887" s="79" t="s">
        <v>7328</v>
      </c>
      <c r="E1887" s="79">
        <v>2956</v>
      </c>
      <c r="G1887" s="79" t="s">
        <v>7313</v>
      </c>
      <c r="H1887" s="80">
        <v>3901865.1</v>
      </c>
    </row>
    <row r="1888" spans="1:8" x14ac:dyDescent="0.2">
      <c r="A1888" s="79" t="s">
        <v>9090</v>
      </c>
      <c r="B1888" s="79" t="s">
        <v>9107</v>
      </c>
      <c r="C1888" s="79" t="s">
        <v>7619</v>
      </c>
      <c r="D1888" s="79" t="s">
        <v>7328</v>
      </c>
      <c r="E1888" s="79">
        <v>2956</v>
      </c>
      <c r="G1888" s="79" t="s">
        <v>7329</v>
      </c>
      <c r="H1888" s="80">
        <v>2049600</v>
      </c>
    </row>
    <row r="1889" spans="1:8" x14ac:dyDescent="0.2">
      <c r="A1889" s="79" t="s">
        <v>9090</v>
      </c>
      <c r="B1889" s="79" t="s">
        <v>9108</v>
      </c>
      <c r="C1889" s="79" t="s">
        <v>8200</v>
      </c>
      <c r="D1889" s="79" t="s">
        <v>7328</v>
      </c>
      <c r="E1889" s="79">
        <v>2956</v>
      </c>
      <c r="G1889" s="79" t="s">
        <v>7329</v>
      </c>
      <c r="H1889" s="80">
        <v>2782856</v>
      </c>
    </row>
    <row r="1890" spans="1:8" x14ac:dyDescent="0.2">
      <c r="A1890" s="79" t="s">
        <v>9090</v>
      </c>
      <c r="B1890" s="79" t="s">
        <v>9109</v>
      </c>
      <c r="C1890" s="79" t="s">
        <v>7728</v>
      </c>
      <c r="D1890" s="79" t="s">
        <v>7328</v>
      </c>
      <c r="E1890" s="79">
        <v>2956</v>
      </c>
      <c r="G1890" s="79" t="s">
        <v>7329</v>
      </c>
      <c r="H1890" s="80">
        <v>2703927.2</v>
      </c>
    </row>
    <row r="1891" spans="1:8" x14ac:dyDescent="0.2">
      <c r="A1891" s="79" t="s">
        <v>9090</v>
      </c>
      <c r="B1891" s="79">
        <v>407</v>
      </c>
      <c r="C1891" s="79" t="s">
        <v>7728</v>
      </c>
      <c r="D1891" s="79" t="s">
        <v>7328</v>
      </c>
      <c r="E1891" s="79">
        <v>2956</v>
      </c>
      <c r="G1891" s="79" t="s">
        <v>7313</v>
      </c>
      <c r="H1891" s="80">
        <v>3567103.96</v>
      </c>
    </row>
    <row r="1892" spans="1:8" x14ac:dyDescent="0.2">
      <c r="A1892" s="79" t="s">
        <v>9090</v>
      </c>
      <c r="B1892" s="79" t="s">
        <v>9110</v>
      </c>
      <c r="C1892" s="79" t="s">
        <v>8200</v>
      </c>
      <c r="D1892" s="79" t="s">
        <v>7328</v>
      </c>
      <c r="E1892" s="79">
        <v>2956</v>
      </c>
      <c r="G1892" s="79" t="s">
        <v>7329</v>
      </c>
      <c r="H1892" s="80">
        <v>1765942</v>
      </c>
    </row>
    <row r="1893" spans="1:8" x14ac:dyDescent="0.2">
      <c r="A1893" s="79" t="s">
        <v>9090</v>
      </c>
      <c r="B1893" s="79" t="s">
        <v>9111</v>
      </c>
      <c r="C1893" s="79" t="s">
        <v>8200</v>
      </c>
      <c r="D1893" s="79" t="s">
        <v>7328</v>
      </c>
      <c r="E1893" s="79">
        <v>5675</v>
      </c>
      <c r="G1893" s="79" t="s">
        <v>7329</v>
      </c>
      <c r="H1893" s="80">
        <v>3266451</v>
      </c>
    </row>
    <row r="1894" spans="1:8" x14ac:dyDescent="0.2">
      <c r="A1894" s="79" t="s">
        <v>9090</v>
      </c>
      <c r="B1894" s="79" t="s">
        <v>9112</v>
      </c>
      <c r="C1894" s="79" t="s">
        <v>9113</v>
      </c>
      <c r="D1894" s="79" t="s">
        <v>7328</v>
      </c>
      <c r="E1894" s="79">
        <v>5883</v>
      </c>
      <c r="G1894" s="79" t="s">
        <v>8278</v>
      </c>
      <c r="H1894" s="80">
        <v>8575609.1099999994</v>
      </c>
    </row>
    <row r="1895" spans="1:8" x14ac:dyDescent="0.2">
      <c r="A1895" s="79" t="s">
        <v>9090</v>
      </c>
      <c r="B1895" s="79" t="s">
        <v>9114</v>
      </c>
      <c r="C1895" s="79" t="s">
        <v>9113</v>
      </c>
      <c r="D1895" s="79" t="s">
        <v>7328</v>
      </c>
      <c r="E1895" s="79">
        <v>5883</v>
      </c>
      <c r="G1895" s="79" t="s">
        <v>8278</v>
      </c>
      <c r="H1895" s="80">
        <v>10033545.859999999</v>
      </c>
    </row>
    <row r="1896" spans="1:8" x14ac:dyDescent="0.2">
      <c r="A1896" s="79" t="s">
        <v>9090</v>
      </c>
      <c r="B1896" s="79" t="s">
        <v>9115</v>
      </c>
      <c r="C1896" s="79" t="s">
        <v>9113</v>
      </c>
      <c r="D1896" s="79" t="s">
        <v>7328</v>
      </c>
      <c r="E1896" s="79">
        <v>5883</v>
      </c>
      <c r="G1896" s="79" t="s">
        <v>8278</v>
      </c>
      <c r="H1896" s="80">
        <v>9604661.4100000001</v>
      </c>
    </row>
    <row r="1897" spans="1:8" x14ac:dyDescent="0.2">
      <c r="A1897" s="79" t="s">
        <v>9090</v>
      </c>
      <c r="B1897" s="79" t="s">
        <v>9116</v>
      </c>
      <c r="C1897" s="79" t="s">
        <v>9113</v>
      </c>
      <c r="D1897" s="79" t="s">
        <v>7328</v>
      </c>
      <c r="E1897" s="79">
        <v>5883</v>
      </c>
      <c r="G1897" s="79" t="s">
        <v>7376</v>
      </c>
      <c r="H1897" s="80">
        <v>8163750</v>
      </c>
    </row>
    <row r="1898" spans="1:8" x14ac:dyDescent="0.2">
      <c r="A1898" s="79" t="s">
        <v>9090</v>
      </c>
      <c r="B1898" s="79" t="s">
        <v>9117</v>
      </c>
      <c r="C1898" s="79" t="s">
        <v>7370</v>
      </c>
      <c r="D1898" s="79" t="s">
        <v>7328</v>
      </c>
      <c r="E1898" s="79">
        <v>3754</v>
      </c>
      <c r="G1898" s="79" t="s">
        <v>7329</v>
      </c>
      <c r="H1898" s="80">
        <v>1650000</v>
      </c>
    </row>
    <row r="1899" spans="1:8" x14ac:dyDescent="0.2">
      <c r="A1899" s="79" t="s">
        <v>9090</v>
      </c>
      <c r="B1899" s="79" t="s">
        <v>9118</v>
      </c>
      <c r="C1899" s="79" t="s">
        <v>7370</v>
      </c>
      <c r="D1899" s="79" t="s">
        <v>7328</v>
      </c>
      <c r="E1899" s="79">
        <v>3783</v>
      </c>
      <c r="G1899" s="79" t="s">
        <v>7329</v>
      </c>
      <c r="H1899" s="80">
        <v>1811000</v>
      </c>
    </row>
    <row r="1900" spans="1:8" x14ac:dyDescent="0.2">
      <c r="A1900" s="79" t="s">
        <v>9090</v>
      </c>
      <c r="B1900" s="79" t="s">
        <v>9119</v>
      </c>
      <c r="C1900" s="79" t="s">
        <v>7370</v>
      </c>
      <c r="D1900" s="79" t="s">
        <v>7328</v>
      </c>
      <c r="E1900" s="79">
        <v>3783</v>
      </c>
      <c r="G1900" s="79" t="s">
        <v>7329</v>
      </c>
      <c r="H1900" s="80">
        <v>2475000</v>
      </c>
    </row>
    <row r="1901" spans="1:8" x14ac:dyDescent="0.2">
      <c r="A1901" s="79" t="s">
        <v>9090</v>
      </c>
      <c r="B1901" s="79" t="s">
        <v>9120</v>
      </c>
      <c r="C1901" s="79" t="s">
        <v>7370</v>
      </c>
      <c r="D1901" s="79" t="s">
        <v>7328</v>
      </c>
      <c r="E1901" s="79">
        <v>3783</v>
      </c>
      <c r="G1901" s="79" t="s">
        <v>7329</v>
      </c>
      <c r="H1901" s="80">
        <v>2559000</v>
      </c>
    </row>
    <row r="1902" spans="1:8" x14ac:dyDescent="0.2">
      <c r="A1902" s="79" t="s">
        <v>9090</v>
      </c>
      <c r="B1902" s="79" t="s">
        <v>9121</v>
      </c>
      <c r="C1902" s="79" t="s">
        <v>7370</v>
      </c>
      <c r="D1902" s="79" t="s">
        <v>7328</v>
      </c>
      <c r="E1902" s="79">
        <v>3783</v>
      </c>
      <c r="G1902" s="79" t="s">
        <v>7329</v>
      </c>
      <c r="H1902" s="80">
        <v>3299520</v>
      </c>
    </row>
    <row r="1903" spans="1:8" x14ac:dyDescent="0.2">
      <c r="A1903" s="79" t="s">
        <v>9090</v>
      </c>
      <c r="B1903" s="79" t="s">
        <v>9122</v>
      </c>
      <c r="C1903" s="79" t="s">
        <v>7370</v>
      </c>
      <c r="D1903" s="79" t="s">
        <v>7328</v>
      </c>
      <c r="E1903" s="79">
        <v>5883</v>
      </c>
      <c r="G1903" s="79" t="s">
        <v>7313</v>
      </c>
      <c r="H1903" s="80">
        <v>5236259.0199999996</v>
      </c>
    </row>
    <row r="1904" spans="1:8" x14ac:dyDescent="0.2">
      <c r="A1904" s="79" t="s">
        <v>9090</v>
      </c>
      <c r="B1904" s="79" t="s">
        <v>9123</v>
      </c>
      <c r="C1904" s="79" t="s">
        <v>7370</v>
      </c>
      <c r="D1904" s="79" t="s">
        <v>7328</v>
      </c>
      <c r="E1904" s="79">
        <v>5675</v>
      </c>
      <c r="G1904" s="79" t="s">
        <v>7329</v>
      </c>
      <c r="H1904" s="80">
        <v>2682000</v>
      </c>
    </row>
    <row r="1905" spans="1:8" x14ac:dyDescent="0.2">
      <c r="A1905" s="79" t="s">
        <v>9090</v>
      </c>
      <c r="B1905" s="79" t="s">
        <v>9124</v>
      </c>
      <c r="C1905" s="79" t="s">
        <v>7370</v>
      </c>
      <c r="D1905" s="79" t="s">
        <v>7328</v>
      </c>
      <c r="E1905" s="79">
        <v>5676</v>
      </c>
      <c r="G1905" s="79" t="s">
        <v>7329</v>
      </c>
      <c r="H1905" s="80">
        <v>2931000</v>
      </c>
    </row>
    <row r="1906" spans="1:8" x14ac:dyDescent="0.2">
      <c r="A1906" s="79" t="s">
        <v>9090</v>
      </c>
      <c r="B1906" s="79" t="s">
        <v>9125</v>
      </c>
      <c r="C1906" s="79" t="s">
        <v>7370</v>
      </c>
      <c r="D1906" s="79" t="s">
        <v>7328</v>
      </c>
      <c r="E1906" s="79">
        <v>5675</v>
      </c>
      <c r="G1906" s="79" t="s">
        <v>7329</v>
      </c>
      <c r="H1906" s="80">
        <v>3462066.79</v>
      </c>
    </row>
    <row r="1907" spans="1:8" x14ac:dyDescent="0.2">
      <c r="A1907" s="79" t="s">
        <v>9090</v>
      </c>
      <c r="B1907" s="79" t="s">
        <v>9126</v>
      </c>
      <c r="C1907" s="79" t="s">
        <v>7370</v>
      </c>
      <c r="D1907" s="79" t="s">
        <v>7328</v>
      </c>
      <c r="E1907" s="79">
        <v>5675</v>
      </c>
      <c r="G1907" s="79" t="s">
        <v>7313</v>
      </c>
      <c r="H1907" s="80">
        <v>4121000</v>
      </c>
    </row>
    <row r="1908" spans="1:8" x14ac:dyDescent="0.2">
      <c r="A1908" s="79" t="s">
        <v>9090</v>
      </c>
      <c r="B1908" s="79" t="s">
        <v>9127</v>
      </c>
      <c r="C1908" s="79" t="s">
        <v>7370</v>
      </c>
      <c r="D1908" s="79" t="s">
        <v>7328</v>
      </c>
      <c r="E1908" s="79">
        <v>5675</v>
      </c>
      <c r="H1908" s="80">
        <v>2668000</v>
      </c>
    </row>
    <row r="1909" spans="1:8" x14ac:dyDescent="0.2">
      <c r="A1909" s="79" t="s">
        <v>9090</v>
      </c>
      <c r="B1909" s="79" t="s">
        <v>9128</v>
      </c>
      <c r="C1909" s="79" t="s">
        <v>7370</v>
      </c>
      <c r="D1909" s="79" t="s">
        <v>7328</v>
      </c>
      <c r="E1909" s="79">
        <v>5675</v>
      </c>
      <c r="H1909" s="80">
        <v>3910294.72</v>
      </c>
    </row>
    <row r="1910" spans="1:8" x14ac:dyDescent="0.2">
      <c r="A1910" s="79" t="s">
        <v>9090</v>
      </c>
      <c r="B1910" s="79" t="s">
        <v>9129</v>
      </c>
      <c r="C1910" s="79" t="s">
        <v>7370</v>
      </c>
      <c r="D1910" s="79" t="s">
        <v>7328</v>
      </c>
      <c r="E1910" s="79">
        <v>5883</v>
      </c>
      <c r="G1910" s="79" t="s">
        <v>7329</v>
      </c>
      <c r="H1910" s="80">
        <v>6044955</v>
      </c>
    </row>
    <row r="1911" spans="1:8" x14ac:dyDescent="0.2">
      <c r="A1911" s="79" t="s">
        <v>9090</v>
      </c>
      <c r="B1911" s="79" t="s">
        <v>9130</v>
      </c>
      <c r="C1911" s="79" t="s">
        <v>7370</v>
      </c>
      <c r="D1911" s="79" t="s">
        <v>7328</v>
      </c>
      <c r="E1911" s="79">
        <v>5883</v>
      </c>
      <c r="G1911" s="79" t="s">
        <v>7329</v>
      </c>
      <c r="H1911" s="80">
        <v>4644000</v>
      </c>
    </row>
    <row r="1912" spans="1:8" x14ac:dyDescent="0.2">
      <c r="A1912" s="79" t="s">
        <v>9090</v>
      </c>
      <c r="B1912" s="79" t="s">
        <v>9131</v>
      </c>
      <c r="C1912" s="79" t="s">
        <v>7370</v>
      </c>
      <c r="D1912" s="79" t="s">
        <v>7328</v>
      </c>
      <c r="E1912" s="79">
        <v>5884</v>
      </c>
      <c r="G1912" s="79" t="s">
        <v>7329</v>
      </c>
      <c r="H1912" s="80">
        <v>3900000</v>
      </c>
    </row>
    <row r="1913" spans="1:8" x14ac:dyDescent="0.2">
      <c r="A1913" s="79" t="s">
        <v>9090</v>
      </c>
      <c r="B1913" s="79" t="s">
        <v>9132</v>
      </c>
      <c r="C1913" s="79" t="s">
        <v>7370</v>
      </c>
      <c r="D1913" s="79" t="s">
        <v>7328</v>
      </c>
      <c r="E1913" s="79">
        <v>5883</v>
      </c>
      <c r="G1913" s="79" t="s">
        <v>7329</v>
      </c>
      <c r="H1913" s="80">
        <v>3695000</v>
      </c>
    </row>
    <row r="1914" spans="1:8" x14ac:dyDescent="0.2">
      <c r="A1914" s="79" t="s">
        <v>9090</v>
      </c>
      <c r="B1914" s="79" t="s">
        <v>9133</v>
      </c>
      <c r="C1914" s="79" t="s">
        <v>7370</v>
      </c>
      <c r="D1914" s="79" t="s">
        <v>7328</v>
      </c>
      <c r="E1914" s="79">
        <v>5883</v>
      </c>
      <c r="H1914" s="80">
        <v>5500000</v>
      </c>
    </row>
    <row r="1915" spans="1:8" x14ac:dyDescent="0.2">
      <c r="A1915" s="79" t="s">
        <v>9090</v>
      </c>
      <c r="B1915" s="79" t="s">
        <v>9134</v>
      </c>
      <c r="C1915" s="79" t="s">
        <v>7370</v>
      </c>
      <c r="D1915" s="79" t="s">
        <v>7328</v>
      </c>
      <c r="E1915" s="79">
        <v>5883</v>
      </c>
      <c r="H1915" s="80">
        <v>5625000</v>
      </c>
    </row>
    <row r="1916" spans="1:8" x14ac:dyDescent="0.2">
      <c r="A1916" s="79" t="s">
        <v>9090</v>
      </c>
      <c r="B1916" s="79" t="s">
        <v>9135</v>
      </c>
      <c r="C1916" s="79" t="s">
        <v>7379</v>
      </c>
      <c r="D1916" s="79" t="s">
        <v>7328</v>
      </c>
      <c r="E1916" s="79">
        <v>5883</v>
      </c>
      <c r="H1916" s="80">
        <v>9584000</v>
      </c>
    </row>
    <row r="1917" spans="1:8" x14ac:dyDescent="0.2">
      <c r="A1917" s="79" t="s">
        <v>9090</v>
      </c>
      <c r="B1917" s="79" t="s">
        <v>9136</v>
      </c>
      <c r="C1917" s="79" t="s">
        <v>7370</v>
      </c>
      <c r="D1917" s="79" t="s">
        <v>7328</v>
      </c>
      <c r="E1917" s="79">
        <v>5883</v>
      </c>
      <c r="G1917" s="79" t="s">
        <v>7313</v>
      </c>
      <c r="H1917" s="80">
        <v>4675000</v>
      </c>
    </row>
    <row r="1918" spans="1:8" x14ac:dyDescent="0.2">
      <c r="A1918" s="79" t="s">
        <v>9090</v>
      </c>
      <c r="B1918" s="79" t="s">
        <v>9137</v>
      </c>
      <c r="C1918" s="79" t="s">
        <v>8200</v>
      </c>
      <c r="D1918" s="79" t="s">
        <v>7328</v>
      </c>
      <c r="E1918" s="79">
        <v>2596</v>
      </c>
      <c r="G1918" s="79" t="s">
        <v>7313</v>
      </c>
      <c r="H1918" s="80">
        <v>3087690</v>
      </c>
    </row>
    <row r="1919" spans="1:8" x14ac:dyDescent="0.2">
      <c r="A1919" s="79" t="s">
        <v>9090</v>
      </c>
      <c r="B1919" s="79" t="s">
        <v>9138</v>
      </c>
      <c r="C1919" s="79" t="s">
        <v>7379</v>
      </c>
      <c r="D1919" s="79" t="s">
        <v>7328</v>
      </c>
      <c r="E1919" s="79">
        <v>3783</v>
      </c>
      <c r="H1919" s="80">
        <v>2668000</v>
      </c>
    </row>
    <row r="1920" spans="1:8" x14ac:dyDescent="0.2">
      <c r="A1920" s="79" t="s">
        <v>9090</v>
      </c>
      <c r="B1920" s="79" t="s">
        <v>9139</v>
      </c>
      <c r="C1920" s="79" t="s">
        <v>7379</v>
      </c>
      <c r="D1920" s="79" t="s">
        <v>7328</v>
      </c>
      <c r="E1920" s="79">
        <v>5675</v>
      </c>
      <c r="H1920" s="80">
        <v>2273000</v>
      </c>
    </row>
    <row r="1921" spans="1:8" x14ac:dyDescent="0.2">
      <c r="A1921" s="79" t="s">
        <v>9090</v>
      </c>
      <c r="B1921" s="79" t="s">
        <v>9140</v>
      </c>
      <c r="C1921" s="79" t="s">
        <v>7379</v>
      </c>
      <c r="D1921" s="79" t="s">
        <v>7328</v>
      </c>
      <c r="E1921" s="79">
        <v>3783</v>
      </c>
      <c r="H1921" s="80">
        <v>4118000</v>
      </c>
    </row>
    <row r="1922" spans="1:8" x14ac:dyDescent="0.2">
      <c r="A1922" s="79" t="s">
        <v>9090</v>
      </c>
      <c r="B1922" s="79" t="s">
        <v>9141</v>
      </c>
      <c r="C1922" s="79" t="s">
        <v>7379</v>
      </c>
      <c r="D1922" s="79" t="s">
        <v>7328</v>
      </c>
      <c r="E1922" s="79">
        <v>3783</v>
      </c>
      <c r="H1922" s="80">
        <v>3219000</v>
      </c>
    </row>
    <row r="1923" spans="1:8" x14ac:dyDescent="0.2">
      <c r="A1923" s="79" t="s">
        <v>9090</v>
      </c>
      <c r="B1923" s="79" t="s">
        <v>9142</v>
      </c>
      <c r="C1923" s="79" t="s">
        <v>7379</v>
      </c>
      <c r="D1923" s="79" t="s">
        <v>7328</v>
      </c>
      <c r="E1923" s="79">
        <v>3783</v>
      </c>
      <c r="H1923" s="80">
        <v>6315750</v>
      </c>
    </row>
    <row r="1924" spans="1:8" x14ac:dyDescent="0.2">
      <c r="A1924" s="79" t="s">
        <v>9090</v>
      </c>
      <c r="B1924" s="79" t="s">
        <v>9143</v>
      </c>
      <c r="C1924" s="79" t="s">
        <v>7379</v>
      </c>
      <c r="D1924" s="79" t="s">
        <v>7328</v>
      </c>
      <c r="E1924" s="79">
        <v>5883</v>
      </c>
      <c r="H1924" s="80">
        <v>4357500</v>
      </c>
    </row>
    <row r="1925" spans="1:8" x14ac:dyDescent="0.2">
      <c r="A1925" s="79" t="s">
        <v>9090</v>
      </c>
      <c r="B1925" s="79" t="s">
        <v>9144</v>
      </c>
      <c r="C1925" s="79" t="s">
        <v>7379</v>
      </c>
      <c r="D1925" s="79" t="s">
        <v>7328</v>
      </c>
      <c r="E1925" s="79">
        <v>5883</v>
      </c>
      <c r="H1925" s="80">
        <v>4905547.92</v>
      </c>
    </row>
    <row r="1926" spans="1:8" x14ac:dyDescent="0.2">
      <c r="A1926" s="79" t="s">
        <v>9090</v>
      </c>
      <c r="B1926" s="79" t="s">
        <v>9145</v>
      </c>
      <c r="C1926" s="79" t="s">
        <v>7379</v>
      </c>
      <c r="D1926" s="79" t="s">
        <v>7328</v>
      </c>
      <c r="E1926" s="79">
        <v>5883</v>
      </c>
      <c r="H1926" s="80">
        <v>6128000</v>
      </c>
    </row>
    <row r="1927" spans="1:8" x14ac:dyDescent="0.2">
      <c r="A1927" s="79" t="s">
        <v>9090</v>
      </c>
      <c r="B1927" s="79" t="s">
        <v>9146</v>
      </c>
      <c r="C1927" s="79" t="s">
        <v>7379</v>
      </c>
      <c r="D1927" s="79" t="s">
        <v>7328</v>
      </c>
      <c r="E1927" s="79">
        <v>5883</v>
      </c>
      <c r="H1927" s="80">
        <v>7286250</v>
      </c>
    </row>
    <row r="1928" spans="1:8" x14ac:dyDescent="0.2">
      <c r="A1928" s="79" t="s">
        <v>9090</v>
      </c>
      <c r="B1928" s="79" t="s">
        <v>9147</v>
      </c>
      <c r="C1928" s="79" t="s">
        <v>7379</v>
      </c>
      <c r="D1928" s="79" t="s">
        <v>7328</v>
      </c>
      <c r="E1928" s="79">
        <v>5883</v>
      </c>
      <c r="H1928" s="80">
        <v>3093000</v>
      </c>
    </row>
    <row r="1929" spans="1:8" x14ac:dyDescent="0.2">
      <c r="A1929" s="79" t="s">
        <v>9090</v>
      </c>
      <c r="B1929" s="79" t="s">
        <v>9148</v>
      </c>
      <c r="C1929" s="79" t="s">
        <v>7379</v>
      </c>
      <c r="D1929" s="79" t="s">
        <v>7328</v>
      </c>
      <c r="E1929" s="79">
        <v>5883</v>
      </c>
      <c r="H1929" s="80">
        <v>6650000</v>
      </c>
    </row>
    <row r="1930" spans="1:8" x14ac:dyDescent="0.2">
      <c r="A1930" s="79" t="s">
        <v>9090</v>
      </c>
      <c r="B1930" s="79" t="s">
        <v>9149</v>
      </c>
      <c r="C1930" s="79" t="s">
        <v>7379</v>
      </c>
      <c r="D1930" s="79" t="s">
        <v>7328</v>
      </c>
      <c r="E1930" s="79">
        <v>5883</v>
      </c>
      <c r="H1930" s="80">
        <v>3285000</v>
      </c>
    </row>
    <row r="1931" spans="1:8" x14ac:dyDescent="0.2">
      <c r="A1931" s="79" t="s">
        <v>9090</v>
      </c>
      <c r="B1931" s="79" t="s">
        <v>9150</v>
      </c>
      <c r="C1931" s="79" t="s">
        <v>7438</v>
      </c>
      <c r="D1931" s="79" t="s">
        <v>7328</v>
      </c>
      <c r="E1931" s="79" t="s">
        <v>9151</v>
      </c>
      <c r="G1931" s="79" t="s">
        <v>9152</v>
      </c>
      <c r="H1931" s="80">
        <v>8740000</v>
      </c>
    </row>
    <row r="1932" spans="1:8" x14ac:dyDescent="0.2">
      <c r="A1932" s="79" t="s">
        <v>9090</v>
      </c>
      <c r="B1932" s="79" t="s">
        <v>9153</v>
      </c>
      <c r="C1932" s="79" t="s">
        <v>7438</v>
      </c>
      <c r="D1932" s="79" t="s">
        <v>7328</v>
      </c>
      <c r="E1932" s="79">
        <v>6700</v>
      </c>
      <c r="G1932" s="79" t="s">
        <v>7329</v>
      </c>
      <c r="H1932" s="80">
        <v>3775800</v>
      </c>
    </row>
    <row r="1933" spans="1:8" x14ac:dyDescent="0.2">
      <c r="A1933" s="79" t="s">
        <v>9090</v>
      </c>
      <c r="B1933" s="79" t="s">
        <v>9154</v>
      </c>
      <c r="C1933" s="79" t="s">
        <v>7438</v>
      </c>
      <c r="D1933" s="79" t="s">
        <v>7328</v>
      </c>
      <c r="E1933" s="79">
        <v>6700</v>
      </c>
      <c r="G1933" s="79" t="s">
        <v>7329</v>
      </c>
      <c r="H1933" s="80">
        <v>4872000</v>
      </c>
    </row>
    <row r="1934" spans="1:8" x14ac:dyDescent="0.2">
      <c r="A1934" s="79" t="s">
        <v>9090</v>
      </c>
      <c r="B1934" s="79" t="s">
        <v>9155</v>
      </c>
      <c r="C1934" s="79" t="s">
        <v>7438</v>
      </c>
      <c r="D1934" s="79" t="s">
        <v>7328</v>
      </c>
      <c r="E1934" s="79">
        <v>6700</v>
      </c>
      <c r="G1934" s="79" t="s">
        <v>7376</v>
      </c>
      <c r="H1934" s="80">
        <v>6380000</v>
      </c>
    </row>
    <row r="1935" spans="1:8" x14ac:dyDescent="0.2">
      <c r="A1935" s="79" t="s">
        <v>9090</v>
      </c>
      <c r="B1935" s="79" t="s">
        <v>9156</v>
      </c>
      <c r="C1935" s="79" t="s">
        <v>7438</v>
      </c>
      <c r="D1935" s="79" t="s">
        <v>7328</v>
      </c>
      <c r="E1935" s="79">
        <v>8898</v>
      </c>
      <c r="G1935" s="79" t="s">
        <v>7376</v>
      </c>
      <c r="H1935" s="80">
        <v>8400000</v>
      </c>
    </row>
    <row r="1936" spans="1:8" x14ac:dyDescent="0.2">
      <c r="A1936" s="79" t="s">
        <v>9090</v>
      </c>
      <c r="B1936" s="79" t="s">
        <v>9157</v>
      </c>
      <c r="C1936" s="79" t="s">
        <v>7438</v>
      </c>
      <c r="D1936" s="79" t="s">
        <v>7328</v>
      </c>
      <c r="E1936" s="79">
        <v>6700</v>
      </c>
      <c r="G1936" s="79" t="s">
        <v>7376</v>
      </c>
      <c r="H1936" s="80">
        <v>7770000</v>
      </c>
    </row>
    <row r="1937" spans="1:8" x14ac:dyDescent="0.2">
      <c r="A1937" s="79" t="s">
        <v>9090</v>
      </c>
      <c r="B1937" s="79" t="s">
        <v>9158</v>
      </c>
      <c r="C1937" s="79" t="s">
        <v>7438</v>
      </c>
      <c r="D1937" s="79" t="s">
        <v>7328</v>
      </c>
      <c r="E1937" s="79" t="s">
        <v>9151</v>
      </c>
      <c r="H1937" s="80">
        <v>10463250</v>
      </c>
    </row>
    <row r="1938" spans="1:8" x14ac:dyDescent="0.2">
      <c r="A1938" s="79" t="s">
        <v>9090</v>
      </c>
      <c r="B1938" s="79" t="s">
        <v>9159</v>
      </c>
      <c r="C1938" s="79" t="s">
        <v>7438</v>
      </c>
      <c r="D1938" s="79" t="s">
        <v>7328</v>
      </c>
      <c r="E1938" s="79" t="s">
        <v>9151</v>
      </c>
      <c r="H1938" s="80">
        <v>8400000</v>
      </c>
    </row>
    <row r="1939" spans="1:8" x14ac:dyDescent="0.2">
      <c r="A1939" s="79" t="s">
        <v>9090</v>
      </c>
      <c r="B1939" s="79" t="s">
        <v>9160</v>
      </c>
      <c r="C1939" s="79" t="s">
        <v>7438</v>
      </c>
      <c r="D1939" s="79" t="s">
        <v>7328</v>
      </c>
      <c r="E1939" s="79" t="s">
        <v>9151</v>
      </c>
      <c r="H1939" s="80">
        <v>10275000</v>
      </c>
    </row>
    <row r="1940" spans="1:8" x14ac:dyDescent="0.2">
      <c r="A1940" s="79" t="s">
        <v>9161</v>
      </c>
      <c r="B1940" s="79" t="s">
        <v>9161</v>
      </c>
      <c r="C1940" s="79" t="s">
        <v>7335</v>
      </c>
      <c r="D1940" s="79" t="s">
        <v>7312</v>
      </c>
      <c r="E1940" s="79">
        <v>2000</v>
      </c>
      <c r="G1940" s="79" t="s">
        <v>7329</v>
      </c>
      <c r="H1940" s="80">
        <v>1734607</v>
      </c>
    </row>
    <row r="1941" spans="1:8" x14ac:dyDescent="0.2">
      <c r="A1941" s="79" t="s">
        <v>9161</v>
      </c>
      <c r="B1941" s="79" t="s">
        <v>9162</v>
      </c>
      <c r="C1941" s="79" t="s">
        <v>7340</v>
      </c>
      <c r="D1941" s="79" t="s">
        <v>7312</v>
      </c>
      <c r="E1941" s="79">
        <v>800</v>
      </c>
      <c r="G1941" s="79" t="s">
        <v>7329</v>
      </c>
      <c r="H1941" s="80">
        <v>662856</v>
      </c>
    </row>
    <row r="1942" spans="1:8" x14ac:dyDescent="0.2">
      <c r="A1942" s="79" t="s">
        <v>9161</v>
      </c>
      <c r="B1942" s="79" t="s">
        <v>9163</v>
      </c>
      <c r="C1942" s="79" t="s">
        <v>9164</v>
      </c>
      <c r="D1942" s="79" t="s">
        <v>7312</v>
      </c>
      <c r="E1942" s="79">
        <v>2200</v>
      </c>
      <c r="G1942" s="79" t="s">
        <v>7329</v>
      </c>
      <c r="H1942" s="80">
        <v>1259920</v>
      </c>
    </row>
    <row r="1943" spans="1:8" x14ac:dyDescent="0.2">
      <c r="A1943" s="79" t="s">
        <v>9011</v>
      </c>
      <c r="B1943" s="79" t="s">
        <v>9165</v>
      </c>
      <c r="C1943" s="79" t="s">
        <v>7335</v>
      </c>
      <c r="D1943" s="79" t="s">
        <v>7328</v>
      </c>
      <c r="E1943" s="79">
        <v>4200</v>
      </c>
      <c r="G1943" s="79" t="s">
        <v>7313</v>
      </c>
      <c r="H1943" s="80">
        <v>9313500</v>
      </c>
    </row>
    <row r="1944" spans="1:8" x14ac:dyDescent="0.2">
      <c r="A1944" s="79" t="s">
        <v>9011</v>
      </c>
      <c r="B1944" s="79" t="s">
        <v>9166</v>
      </c>
      <c r="C1944" s="79" t="s">
        <v>7335</v>
      </c>
      <c r="D1944" s="79" t="s">
        <v>7328</v>
      </c>
      <c r="E1944" s="79">
        <v>4200</v>
      </c>
      <c r="G1944" s="79" t="s">
        <v>7313</v>
      </c>
      <c r="H1944" s="80">
        <v>13282500</v>
      </c>
    </row>
    <row r="1945" spans="1:8" x14ac:dyDescent="0.2">
      <c r="A1945" s="79" t="s">
        <v>9011</v>
      </c>
      <c r="B1945" s="79" t="s">
        <v>9167</v>
      </c>
      <c r="C1945" s="79" t="s">
        <v>7327</v>
      </c>
      <c r="D1945" s="79" t="s">
        <v>9080</v>
      </c>
      <c r="E1945" s="79">
        <v>2500</v>
      </c>
      <c r="G1945" s="79" t="s">
        <v>7329</v>
      </c>
      <c r="H1945" s="80">
        <v>6709500</v>
      </c>
    </row>
    <row r="1946" spans="1:8" x14ac:dyDescent="0.2">
      <c r="A1946" s="79" t="s">
        <v>9011</v>
      </c>
      <c r="B1946" s="79" t="s">
        <v>9168</v>
      </c>
      <c r="C1946" s="79" t="s">
        <v>7335</v>
      </c>
      <c r="D1946" s="79" t="s">
        <v>7312</v>
      </c>
      <c r="E1946" s="79">
        <v>1490</v>
      </c>
      <c r="G1946" s="79" t="s">
        <v>7329</v>
      </c>
      <c r="H1946" s="80">
        <v>1950000</v>
      </c>
    </row>
    <row r="1947" spans="1:8" x14ac:dyDescent="0.2">
      <c r="A1947" s="79" t="s">
        <v>9011</v>
      </c>
      <c r="B1947" s="79" t="s">
        <v>9169</v>
      </c>
      <c r="C1947" s="79" t="s">
        <v>7335</v>
      </c>
      <c r="D1947" s="79" t="s">
        <v>7312</v>
      </c>
      <c r="E1947" s="79">
        <v>1300</v>
      </c>
      <c r="G1947" s="79" t="s">
        <v>7329</v>
      </c>
      <c r="H1947" s="80">
        <v>1878000</v>
      </c>
    </row>
    <row r="1948" spans="1:8" x14ac:dyDescent="0.2">
      <c r="A1948" s="79" t="s">
        <v>9011</v>
      </c>
      <c r="B1948" s="79" t="s">
        <v>9169</v>
      </c>
      <c r="C1948" s="79" t="s">
        <v>7335</v>
      </c>
      <c r="D1948" s="79" t="s">
        <v>7312</v>
      </c>
      <c r="E1948" s="79">
        <v>1500</v>
      </c>
      <c r="G1948" s="79" t="s">
        <v>7329</v>
      </c>
      <c r="H1948" s="80">
        <v>2166923</v>
      </c>
    </row>
    <row r="1949" spans="1:8" x14ac:dyDescent="0.2">
      <c r="A1949" s="79" t="s">
        <v>9011</v>
      </c>
      <c r="B1949" s="79" t="s">
        <v>9169</v>
      </c>
      <c r="C1949" s="79" t="s">
        <v>7335</v>
      </c>
      <c r="D1949" s="79" t="s">
        <v>7312</v>
      </c>
      <c r="E1949" s="79">
        <v>1800</v>
      </c>
      <c r="G1949" s="79" t="s">
        <v>7329</v>
      </c>
      <c r="H1949" s="80">
        <v>2355704</v>
      </c>
    </row>
    <row r="1950" spans="1:8" x14ac:dyDescent="0.2">
      <c r="A1950" s="79" t="s">
        <v>9011</v>
      </c>
      <c r="B1950" s="79" t="s">
        <v>9170</v>
      </c>
      <c r="C1950" s="79" t="s">
        <v>7327</v>
      </c>
      <c r="D1950" s="79" t="s">
        <v>7312</v>
      </c>
      <c r="E1950" s="79">
        <v>2500</v>
      </c>
      <c r="G1950" s="79" t="s">
        <v>7329</v>
      </c>
      <c r="H1950" s="80">
        <v>5541850</v>
      </c>
    </row>
    <row r="1951" spans="1:8" x14ac:dyDescent="0.2">
      <c r="A1951" s="79" t="s">
        <v>9011</v>
      </c>
      <c r="B1951" s="79" t="s">
        <v>9170</v>
      </c>
      <c r="C1951" s="79" t="s">
        <v>7327</v>
      </c>
      <c r="D1951" s="79" t="s">
        <v>7312</v>
      </c>
      <c r="E1951" s="79">
        <v>2500</v>
      </c>
      <c r="G1951" s="79" t="s">
        <v>7329</v>
      </c>
      <c r="H1951" s="80">
        <v>5441850</v>
      </c>
    </row>
    <row r="1952" spans="1:8" x14ac:dyDescent="0.2">
      <c r="A1952" s="79" t="s">
        <v>9011</v>
      </c>
      <c r="B1952" s="79" t="s">
        <v>9170</v>
      </c>
      <c r="C1952" s="79" t="s">
        <v>7327</v>
      </c>
      <c r="D1952" s="79" t="s">
        <v>7312</v>
      </c>
      <c r="E1952" s="79">
        <v>2500</v>
      </c>
      <c r="G1952" s="79" t="s">
        <v>7313</v>
      </c>
      <c r="H1952" s="80">
        <v>5741850</v>
      </c>
    </row>
    <row r="1953" spans="1:8" x14ac:dyDescent="0.2">
      <c r="A1953" s="79" t="s">
        <v>9011</v>
      </c>
      <c r="B1953" s="79" t="s">
        <v>9170</v>
      </c>
      <c r="C1953" s="79" t="s">
        <v>7327</v>
      </c>
      <c r="D1953" s="79" t="s">
        <v>7312</v>
      </c>
      <c r="E1953" s="79">
        <v>2500</v>
      </c>
      <c r="G1953" s="79" t="s">
        <v>7313</v>
      </c>
      <c r="H1953" s="80">
        <v>5641850</v>
      </c>
    </row>
    <row r="1954" spans="1:8" x14ac:dyDescent="0.2">
      <c r="A1954" s="79" t="s">
        <v>9011</v>
      </c>
      <c r="B1954" s="79" t="s">
        <v>9170</v>
      </c>
      <c r="C1954" s="79" t="s">
        <v>7327</v>
      </c>
      <c r="D1954" s="79" t="s">
        <v>7312</v>
      </c>
      <c r="E1954" s="79">
        <v>3500</v>
      </c>
      <c r="G1954" s="79" t="s">
        <v>7329</v>
      </c>
      <c r="H1954" s="80">
        <v>8105457.0999999996</v>
      </c>
    </row>
    <row r="1955" spans="1:8" x14ac:dyDescent="0.2">
      <c r="A1955" s="79" t="s">
        <v>9011</v>
      </c>
      <c r="B1955" s="79" t="s">
        <v>9170</v>
      </c>
      <c r="C1955" s="79" t="s">
        <v>7327</v>
      </c>
      <c r="D1955" s="79" t="s">
        <v>7312</v>
      </c>
      <c r="E1955" s="79">
        <v>3500</v>
      </c>
      <c r="G1955" s="79" t="s">
        <v>7313</v>
      </c>
      <c r="H1955" s="80">
        <v>8322137.0999999996</v>
      </c>
    </row>
    <row r="1956" spans="1:8" x14ac:dyDescent="0.2">
      <c r="A1956" s="79" t="s">
        <v>8954</v>
      </c>
      <c r="B1956" s="79" t="s">
        <v>9171</v>
      </c>
      <c r="C1956" s="79" t="s">
        <v>7438</v>
      </c>
      <c r="D1956" s="79" t="s">
        <v>7328</v>
      </c>
      <c r="E1956" s="79">
        <v>12740</v>
      </c>
      <c r="G1956" s="79" t="s">
        <v>7869</v>
      </c>
      <c r="H1956" s="80">
        <v>19708250</v>
      </c>
    </row>
    <row r="1957" spans="1:8" x14ac:dyDescent="0.2">
      <c r="A1957" s="79" t="s">
        <v>8954</v>
      </c>
      <c r="B1957" s="79" t="s">
        <v>9172</v>
      </c>
      <c r="C1957" s="79" t="s">
        <v>7438</v>
      </c>
      <c r="D1957" s="79" t="s">
        <v>7328</v>
      </c>
      <c r="E1957" s="79">
        <v>11000</v>
      </c>
      <c r="G1957" s="79" t="s">
        <v>7376</v>
      </c>
      <c r="H1957" s="80">
        <v>16361359</v>
      </c>
    </row>
    <row r="1958" spans="1:8" x14ac:dyDescent="0.2">
      <c r="A1958" s="79" t="s">
        <v>8954</v>
      </c>
      <c r="B1958" s="79" t="s">
        <v>9173</v>
      </c>
      <c r="C1958" s="79" t="s">
        <v>7438</v>
      </c>
      <c r="D1958" s="79" t="s">
        <v>7328</v>
      </c>
      <c r="E1958" s="79">
        <v>11000</v>
      </c>
      <c r="G1958" s="79" t="s">
        <v>8278</v>
      </c>
      <c r="H1958" s="80">
        <v>17016542</v>
      </c>
    </row>
    <row r="1959" spans="1:8" x14ac:dyDescent="0.2">
      <c r="A1959" s="79" t="s">
        <v>8954</v>
      </c>
      <c r="B1959" s="79" t="s">
        <v>9174</v>
      </c>
      <c r="C1959" s="79" t="s">
        <v>7438</v>
      </c>
      <c r="D1959" s="79" t="s">
        <v>7328</v>
      </c>
      <c r="E1959" s="79">
        <v>11000</v>
      </c>
      <c r="G1959" s="79" t="s">
        <v>7869</v>
      </c>
      <c r="H1959" s="80">
        <v>16135166</v>
      </c>
    </row>
    <row r="1960" spans="1:8" x14ac:dyDescent="0.2">
      <c r="A1960" s="79" t="s">
        <v>8954</v>
      </c>
      <c r="B1960" s="79" t="s">
        <v>9175</v>
      </c>
      <c r="C1960" s="79" t="s">
        <v>7438</v>
      </c>
      <c r="D1960" s="79" t="s">
        <v>7328</v>
      </c>
      <c r="E1960" s="79">
        <v>11000</v>
      </c>
      <c r="G1960" s="79" t="s">
        <v>7376</v>
      </c>
      <c r="H1960" s="80">
        <v>16889145</v>
      </c>
    </row>
    <row r="1961" spans="1:8" x14ac:dyDescent="0.2">
      <c r="A1961" s="79" t="s">
        <v>8954</v>
      </c>
      <c r="B1961" s="79" t="s">
        <v>9176</v>
      </c>
      <c r="C1961" s="79" t="s">
        <v>7374</v>
      </c>
      <c r="D1961" s="79" t="s">
        <v>7328</v>
      </c>
      <c r="E1961" s="79">
        <v>11700</v>
      </c>
      <c r="G1961" s="79" t="s">
        <v>7376</v>
      </c>
      <c r="H1961" s="80">
        <v>15230390</v>
      </c>
    </row>
    <row r="1962" spans="1:8" x14ac:dyDescent="0.2">
      <c r="A1962" s="79" t="s">
        <v>8954</v>
      </c>
      <c r="B1962" s="79" t="s">
        <v>9177</v>
      </c>
      <c r="C1962" s="79" t="s">
        <v>7438</v>
      </c>
      <c r="D1962" s="79" t="s">
        <v>7328</v>
      </c>
      <c r="E1962" s="79">
        <v>11700</v>
      </c>
      <c r="G1962" s="79" t="s">
        <v>7376</v>
      </c>
      <c r="H1962" s="80">
        <v>12906840</v>
      </c>
    </row>
    <row r="1963" spans="1:8" x14ac:dyDescent="0.2">
      <c r="A1963" s="79" t="s">
        <v>8954</v>
      </c>
      <c r="B1963" s="79" t="s">
        <v>9178</v>
      </c>
      <c r="C1963" s="79" t="s">
        <v>7438</v>
      </c>
      <c r="D1963" s="79" t="s">
        <v>7328</v>
      </c>
      <c r="E1963" s="79">
        <v>11700</v>
      </c>
      <c r="G1963" s="79" t="s">
        <v>7329</v>
      </c>
      <c r="H1963" s="80">
        <v>7000000</v>
      </c>
    </row>
    <row r="1964" spans="1:8" x14ac:dyDescent="0.2">
      <c r="A1964" s="79" t="s">
        <v>8954</v>
      </c>
      <c r="B1964" s="79" t="s">
        <v>9179</v>
      </c>
      <c r="C1964" s="79" t="s">
        <v>7438</v>
      </c>
      <c r="D1964" s="79" t="s">
        <v>7328</v>
      </c>
      <c r="E1964" s="79">
        <v>11700</v>
      </c>
      <c r="G1964" s="79" t="s">
        <v>7329</v>
      </c>
      <c r="H1964" s="80">
        <v>7600000</v>
      </c>
    </row>
    <row r="1965" spans="1:8" x14ac:dyDescent="0.2">
      <c r="A1965" s="79" t="s">
        <v>8954</v>
      </c>
      <c r="B1965" s="79" t="s">
        <v>9180</v>
      </c>
      <c r="C1965" s="79" t="s">
        <v>7438</v>
      </c>
      <c r="D1965" s="79" t="s">
        <v>7328</v>
      </c>
      <c r="E1965" s="79">
        <v>11700</v>
      </c>
      <c r="G1965" s="79" t="s">
        <v>7376</v>
      </c>
      <c r="H1965" s="80">
        <v>11847360</v>
      </c>
    </row>
    <row r="1966" spans="1:8" x14ac:dyDescent="0.2">
      <c r="A1966" s="79" t="s">
        <v>8954</v>
      </c>
      <c r="B1966" s="79" t="s">
        <v>9181</v>
      </c>
      <c r="C1966" s="79" t="s">
        <v>7438</v>
      </c>
      <c r="D1966" s="79" t="s">
        <v>7328</v>
      </c>
      <c r="E1966" s="79">
        <v>11700</v>
      </c>
      <c r="G1966" s="79" t="s">
        <v>7376</v>
      </c>
      <c r="H1966" s="80">
        <v>10000000</v>
      </c>
    </row>
    <row r="1967" spans="1:8" x14ac:dyDescent="0.2">
      <c r="A1967" s="79" t="s">
        <v>8954</v>
      </c>
      <c r="B1967" s="79" t="s">
        <v>9182</v>
      </c>
      <c r="C1967" s="79" t="s">
        <v>7438</v>
      </c>
      <c r="D1967" s="79" t="s">
        <v>7328</v>
      </c>
      <c r="E1967" s="79">
        <v>11700</v>
      </c>
      <c r="G1967" s="79" t="s">
        <v>7376</v>
      </c>
      <c r="H1967" s="80">
        <v>12112800</v>
      </c>
    </row>
    <row r="1968" spans="1:8" x14ac:dyDescent="0.2">
      <c r="A1968" s="79" t="s">
        <v>8954</v>
      </c>
      <c r="B1968" s="79" t="s">
        <v>9183</v>
      </c>
      <c r="C1968" s="79" t="s">
        <v>7438</v>
      </c>
      <c r="D1968" s="79" t="s">
        <v>7328</v>
      </c>
      <c r="E1968" s="79">
        <v>11700</v>
      </c>
      <c r="G1968" s="79" t="s">
        <v>7376</v>
      </c>
      <c r="H1968" s="80">
        <v>9200000</v>
      </c>
    </row>
    <row r="1969" spans="1:8" x14ac:dyDescent="0.2">
      <c r="A1969" s="79" t="s">
        <v>8954</v>
      </c>
      <c r="B1969" s="79" t="s">
        <v>9184</v>
      </c>
      <c r="C1969" s="79" t="s">
        <v>7438</v>
      </c>
      <c r="D1969" s="79" t="s">
        <v>7328</v>
      </c>
      <c r="E1969" s="79">
        <v>11700</v>
      </c>
      <c r="G1969" s="79" t="s">
        <v>7376</v>
      </c>
      <c r="H1969" s="80">
        <v>8600000</v>
      </c>
    </row>
    <row r="1970" spans="1:8" x14ac:dyDescent="0.2">
      <c r="A1970" s="79" t="s">
        <v>8954</v>
      </c>
      <c r="B1970" s="79" t="s">
        <v>9183</v>
      </c>
      <c r="C1970" s="79" t="s">
        <v>7438</v>
      </c>
      <c r="D1970" s="79" t="s">
        <v>7328</v>
      </c>
      <c r="E1970" s="79">
        <v>11700</v>
      </c>
      <c r="G1970" s="79" t="s">
        <v>7376</v>
      </c>
      <c r="H1970" s="80">
        <v>12588800</v>
      </c>
    </row>
    <row r="1971" spans="1:8" x14ac:dyDescent="0.2">
      <c r="A1971" s="79" t="s">
        <v>8954</v>
      </c>
      <c r="B1971" s="79" t="s">
        <v>9185</v>
      </c>
      <c r="C1971" s="79" t="s">
        <v>7438</v>
      </c>
      <c r="D1971" s="79" t="s">
        <v>7328</v>
      </c>
      <c r="E1971" s="79">
        <v>11700</v>
      </c>
      <c r="G1971" s="79" t="s">
        <v>7376</v>
      </c>
      <c r="H1971" s="80">
        <v>9200000</v>
      </c>
    </row>
    <row r="1972" spans="1:8" x14ac:dyDescent="0.2">
      <c r="A1972" s="79" t="s">
        <v>8954</v>
      </c>
      <c r="B1972" s="79" t="s">
        <v>9186</v>
      </c>
      <c r="C1972" s="79" t="s">
        <v>7438</v>
      </c>
      <c r="D1972" s="79" t="s">
        <v>7328</v>
      </c>
      <c r="E1972" s="79">
        <v>11700</v>
      </c>
      <c r="G1972" s="79" t="s">
        <v>7376</v>
      </c>
      <c r="H1972" s="80">
        <v>9200000</v>
      </c>
    </row>
    <row r="1973" spans="1:8" x14ac:dyDescent="0.2">
      <c r="A1973" s="79" t="s">
        <v>8954</v>
      </c>
      <c r="B1973" s="79" t="s">
        <v>9187</v>
      </c>
      <c r="C1973" s="79" t="s">
        <v>7438</v>
      </c>
      <c r="D1973" s="79" t="s">
        <v>7328</v>
      </c>
      <c r="E1973" s="79">
        <v>11000</v>
      </c>
      <c r="G1973" s="79" t="s">
        <v>7869</v>
      </c>
      <c r="H1973" s="80">
        <v>9200000</v>
      </c>
    </row>
    <row r="1974" spans="1:8" x14ac:dyDescent="0.2">
      <c r="A1974" s="79" t="s">
        <v>8954</v>
      </c>
      <c r="B1974" s="79" t="s">
        <v>9188</v>
      </c>
      <c r="C1974" s="79" t="s">
        <v>7438</v>
      </c>
      <c r="D1974" s="79" t="s">
        <v>7328</v>
      </c>
      <c r="E1974" s="79">
        <v>11000</v>
      </c>
      <c r="G1974" s="79" t="s">
        <v>7869</v>
      </c>
      <c r="H1974" s="80">
        <v>8600000</v>
      </c>
    </row>
    <row r="1975" spans="1:8" x14ac:dyDescent="0.2">
      <c r="A1975" s="79" t="s">
        <v>8954</v>
      </c>
      <c r="B1975" s="79" t="s">
        <v>9189</v>
      </c>
      <c r="C1975" s="79" t="s">
        <v>7438</v>
      </c>
      <c r="D1975" s="79" t="s">
        <v>7328</v>
      </c>
      <c r="E1975" s="79">
        <v>11000</v>
      </c>
      <c r="G1975" s="79" t="s">
        <v>7376</v>
      </c>
      <c r="H1975" s="80">
        <v>10000000</v>
      </c>
    </row>
    <row r="1976" spans="1:8" x14ac:dyDescent="0.2">
      <c r="A1976" s="79" t="s">
        <v>8954</v>
      </c>
      <c r="B1976" s="79" t="s">
        <v>9188</v>
      </c>
      <c r="C1976" s="79" t="s">
        <v>7438</v>
      </c>
      <c r="D1976" s="79" t="s">
        <v>7328</v>
      </c>
      <c r="E1976" s="79">
        <v>11000</v>
      </c>
      <c r="G1976" s="79" t="s">
        <v>7376</v>
      </c>
      <c r="H1976" s="80">
        <v>9200000</v>
      </c>
    </row>
    <row r="1977" spans="1:8" x14ac:dyDescent="0.2">
      <c r="A1977" s="79" t="s">
        <v>8954</v>
      </c>
      <c r="B1977" s="79" t="s">
        <v>9190</v>
      </c>
      <c r="C1977" s="79" t="s">
        <v>7438</v>
      </c>
      <c r="D1977" s="79" t="s">
        <v>7328</v>
      </c>
      <c r="E1977" s="79">
        <v>11700</v>
      </c>
      <c r="G1977" s="79" t="s">
        <v>7869</v>
      </c>
      <c r="H1977" s="80">
        <v>9200000</v>
      </c>
    </row>
    <row r="1978" spans="1:8" x14ac:dyDescent="0.2">
      <c r="A1978" s="79" t="s">
        <v>8954</v>
      </c>
      <c r="B1978" s="79" t="s">
        <v>9191</v>
      </c>
      <c r="C1978" s="79" t="s">
        <v>7438</v>
      </c>
      <c r="D1978" s="79" t="s">
        <v>7328</v>
      </c>
      <c r="E1978" s="79">
        <v>11700</v>
      </c>
      <c r="G1978" s="79" t="s">
        <v>7869</v>
      </c>
      <c r="H1978" s="80">
        <v>8600000</v>
      </c>
    </row>
    <row r="1979" spans="1:8" x14ac:dyDescent="0.2">
      <c r="A1979" s="79" t="s">
        <v>8954</v>
      </c>
      <c r="B1979" s="79" t="s">
        <v>9190</v>
      </c>
      <c r="C1979" s="79" t="s">
        <v>7438</v>
      </c>
      <c r="D1979" s="79" t="s">
        <v>7328</v>
      </c>
      <c r="E1979" s="79">
        <v>11700</v>
      </c>
      <c r="G1979" s="79" t="s">
        <v>9192</v>
      </c>
      <c r="H1979" s="80">
        <v>9200000</v>
      </c>
    </row>
    <row r="1980" spans="1:8" x14ac:dyDescent="0.2">
      <c r="A1980" s="79" t="s">
        <v>8954</v>
      </c>
      <c r="B1980" s="79" t="s">
        <v>9191</v>
      </c>
      <c r="C1980" s="79" t="s">
        <v>7438</v>
      </c>
      <c r="D1980" s="79" t="s">
        <v>7328</v>
      </c>
      <c r="E1980" s="79">
        <v>11700</v>
      </c>
      <c r="G1980" s="79" t="s">
        <v>9192</v>
      </c>
      <c r="H1980" s="80">
        <v>8600000</v>
      </c>
    </row>
    <row r="1981" spans="1:8" x14ac:dyDescent="0.2">
      <c r="A1981" s="79" t="s">
        <v>8954</v>
      </c>
      <c r="B1981" s="79" t="s">
        <v>9193</v>
      </c>
      <c r="C1981" s="79" t="s">
        <v>7438</v>
      </c>
      <c r="D1981" s="79" t="s">
        <v>7328</v>
      </c>
      <c r="E1981" s="79">
        <v>11700</v>
      </c>
      <c r="G1981" s="79" t="s">
        <v>7376</v>
      </c>
      <c r="H1981" s="80">
        <v>10000000</v>
      </c>
    </row>
    <row r="1982" spans="1:8" x14ac:dyDescent="0.2">
      <c r="A1982" s="79" t="s">
        <v>9194</v>
      </c>
      <c r="B1982" s="79" t="s">
        <v>9195</v>
      </c>
      <c r="C1982" s="79" t="s">
        <v>9196</v>
      </c>
      <c r="D1982" s="79" t="s">
        <v>7328</v>
      </c>
      <c r="E1982" s="79" t="s">
        <v>9197</v>
      </c>
      <c r="G1982" s="79" t="s">
        <v>7376</v>
      </c>
      <c r="H1982" s="80">
        <v>3750000</v>
      </c>
    </row>
    <row r="1983" spans="1:8" x14ac:dyDescent="0.2">
      <c r="A1983" s="79" t="s">
        <v>9198</v>
      </c>
      <c r="B1983" s="79" t="s">
        <v>9199</v>
      </c>
      <c r="C1983" s="79" t="s">
        <v>7311</v>
      </c>
      <c r="D1983" s="79" t="s">
        <v>7312</v>
      </c>
      <c r="E1983" s="79">
        <v>1400</v>
      </c>
      <c r="F1983" s="79" t="s">
        <v>7336</v>
      </c>
      <c r="G1983" s="79" t="s">
        <v>7329</v>
      </c>
      <c r="H1983" s="80">
        <v>1895000</v>
      </c>
    </row>
    <row r="1984" spans="1:8" x14ac:dyDescent="0.2">
      <c r="A1984" s="79" t="s">
        <v>9198</v>
      </c>
      <c r="B1984" s="79" t="s">
        <v>9200</v>
      </c>
      <c r="C1984" s="79" t="s">
        <v>7311</v>
      </c>
      <c r="D1984" s="79" t="s">
        <v>7312</v>
      </c>
      <c r="E1984" s="79">
        <v>1400</v>
      </c>
      <c r="F1984" s="79" t="s">
        <v>7336</v>
      </c>
      <c r="G1984" s="79" t="s">
        <v>7329</v>
      </c>
      <c r="H1984" s="80">
        <v>1995000</v>
      </c>
    </row>
    <row r="1985" spans="1:8" x14ac:dyDescent="0.2">
      <c r="A1985" s="79" t="s">
        <v>9198</v>
      </c>
      <c r="B1985" s="79" t="s">
        <v>9201</v>
      </c>
      <c r="C1985" s="79" t="s">
        <v>7311</v>
      </c>
      <c r="D1985" s="79" t="s">
        <v>7312</v>
      </c>
      <c r="E1985" s="79">
        <v>1600</v>
      </c>
      <c r="F1985" s="79" t="s">
        <v>7349</v>
      </c>
      <c r="G1985" s="79" t="s">
        <v>7329</v>
      </c>
      <c r="H1985" s="80">
        <v>2750000</v>
      </c>
    </row>
    <row r="1986" spans="1:8" x14ac:dyDescent="0.2">
      <c r="A1986" s="79" t="s">
        <v>9198</v>
      </c>
      <c r="B1986" s="79" t="s">
        <v>9201</v>
      </c>
      <c r="C1986" s="79" t="s">
        <v>7311</v>
      </c>
      <c r="D1986" s="79" t="s">
        <v>7312</v>
      </c>
      <c r="E1986" s="79">
        <v>1600</v>
      </c>
      <c r="F1986" s="79" t="s">
        <v>7336</v>
      </c>
      <c r="G1986" s="79" t="s">
        <v>7329</v>
      </c>
      <c r="H1986" s="80">
        <v>2545000</v>
      </c>
    </row>
    <row r="1987" spans="1:8" x14ac:dyDescent="0.2">
      <c r="A1987" s="79" t="s">
        <v>9198</v>
      </c>
      <c r="B1987" s="79" t="s">
        <v>9202</v>
      </c>
      <c r="C1987" s="79" t="s">
        <v>7311</v>
      </c>
      <c r="D1987" s="79" t="s">
        <v>7312</v>
      </c>
      <c r="E1987" s="79">
        <v>1600</v>
      </c>
      <c r="F1987" s="79" t="s">
        <v>7349</v>
      </c>
      <c r="G1987" s="79" t="s">
        <v>7329</v>
      </c>
      <c r="H1987" s="80">
        <v>2895000</v>
      </c>
    </row>
    <row r="1988" spans="1:8" x14ac:dyDescent="0.2">
      <c r="A1988" s="79" t="s">
        <v>9198</v>
      </c>
      <c r="B1988" s="79" t="s">
        <v>9202</v>
      </c>
      <c r="C1988" s="79" t="s">
        <v>7311</v>
      </c>
      <c r="D1988" s="79" t="s">
        <v>7312</v>
      </c>
      <c r="E1988" s="79">
        <v>1600</v>
      </c>
      <c r="F1988" s="79" t="s">
        <v>7336</v>
      </c>
      <c r="G1988" s="79" t="s">
        <v>7329</v>
      </c>
      <c r="H1988" s="80">
        <v>2795000</v>
      </c>
    </row>
    <row r="1989" spans="1:8" x14ac:dyDescent="0.2">
      <c r="A1989" s="79" t="s">
        <v>9198</v>
      </c>
      <c r="B1989" s="79" t="s">
        <v>9202</v>
      </c>
      <c r="C1989" s="79" t="s">
        <v>7335</v>
      </c>
      <c r="D1989" s="79" t="s">
        <v>7328</v>
      </c>
      <c r="E1989" s="79">
        <v>1900</v>
      </c>
      <c r="F1989" s="79" t="s">
        <v>7336</v>
      </c>
      <c r="G1989" s="79" t="s">
        <v>7329</v>
      </c>
      <c r="H1989" s="80">
        <v>2958327</v>
      </c>
    </row>
    <row r="1990" spans="1:8" x14ac:dyDescent="0.2">
      <c r="A1990" s="79" t="s">
        <v>9198</v>
      </c>
      <c r="B1990" s="79" t="s">
        <v>9203</v>
      </c>
      <c r="C1990" s="79" t="s">
        <v>7311</v>
      </c>
      <c r="D1990" s="79" t="s">
        <v>7312</v>
      </c>
      <c r="E1990" s="79">
        <v>1800</v>
      </c>
      <c r="F1990" s="79" t="s">
        <v>7336</v>
      </c>
      <c r="G1990" s="79" t="s">
        <v>7329</v>
      </c>
      <c r="H1990" s="80">
        <v>3850000</v>
      </c>
    </row>
    <row r="1991" spans="1:8" x14ac:dyDescent="0.2">
      <c r="A1991" s="79" t="s">
        <v>9198</v>
      </c>
      <c r="B1991" s="79" t="s">
        <v>9204</v>
      </c>
      <c r="C1991" s="79" t="s">
        <v>7340</v>
      </c>
      <c r="D1991" s="79" t="s">
        <v>7328</v>
      </c>
      <c r="E1991" s="79">
        <v>1900</v>
      </c>
      <c r="F1991" s="79" t="s">
        <v>7336</v>
      </c>
      <c r="G1991" s="79" t="s">
        <v>7329</v>
      </c>
      <c r="H1991" s="80">
        <v>3398025</v>
      </c>
    </row>
    <row r="1992" spans="1:8" x14ac:dyDescent="0.2">
      <c r="A1992" s="79" t="s">
        <v>9205</v>
      </c>
      <c r="B1992" s="79" t="s">
        <v>9206</v>
      </c>
      <c r="C1992" s="79" t="s">
        <v>7340</v>
      </c>
      <c r="D1992" s="79" t="s">
        <v>7312</v>
      </c>
      <c r="E1992" s="79">
        <v>999</v>
      </c>
      <c r="G1992" s="79" t="s">
        <v>7329</v>
      </c>
      <c r="H1992" s="80">
        <v>1226280</v>
      </c>
    </row>
    <row r="1993" spans="1:8" x14ac:dyDescent="0.2">
      <c r="A1993" s="79" t="s">
        <v>9205</v>
      </c>
      <c r="B1993" s="79" t="s">
        <v>9206</v>
      </c>
      <c r="C1993" s="79" t="s">
        <v>7340</v>
      </c>
      <c r="D1993" s="79" t="s">
        <v>7312</v>
      </c>
      <c r="E1993" s="79">
        <v>698</v>
      </c>
      <c r="G1993" s="79" t="s">
        <v>7329</v>
      </c>
      <c r="H1993" s="80">
        <v>856800</v>
      </c>
    </row>
    <row r="1994" spans="1:8" x14ac:dyDescent="0.2">
      <c r="A1994" s="79" t="s">
        <v>9205</v>
      </c>
      <c r="B1994" s="79" t="s">
        <v>9206</v>
      </c>
      <c r="C1994" s="79" t="s">
        <v>7340</v>
      </c>
      <c r="D1994" s="79" t="s">
        <v>7328</v>
      </c>
      <c r="E1994" s="79">
        <v>799</v>
      </c>
      <c r="G1994" s="79" t="s">
        <v>7329</v>
      </c>
      <c r="H1994" s="80">
        <v>1384690</v>
      </c>
    </row>
    <row r="1995" spans="1:8" x14ac:dyDescent="0.2">
      <c r="A1995" s="79" t="s">
        <v>8960</v>
      </c>
      <c r="B1995" s="79" t="s">
        <v>9207</v>
      </c>
      <c r="C1995" s="79" t="s">
        <v>7335</v>
      </c>
      <c r="D1995" s="79" t="s">
        <v>7312</v>
      </c>
      <c r="E1995" s="79">
        <v>2000</v>
      </c>
      <c r="G1995" s="79" t="s">
        <v>7313</v>
      </c>
      <c r="H1995" s="80">
        <v>5242136</v>
      </c>
    </row>
    <row r="1996" spans="1:8" x14ac:dyDescent="0.2">
      <c r="A1996" s="79" t="s">
        <v>8960</v>
      </c>
      <c r="B1996" s="79" t="s">
        <v>9208</v>
      </c>
      <c r="C1996" s="79" t="s">
        <v>7335</v>
      </c>
      <c r="D1996" s="79" t="s">
        <v>7312</v>
      </c>
      <c r="E1996" s="79">
        <v>2000</v>
      </c>
      <c r="G1996" s="79" t="s">
        <v>7313</v>
      </c>
      <c r="H1996" s="80">
        <v>5974822</v>
      </c>
    </row>
    <row r="1997" spans="1:8" x14ac:dyDescent="0.2">
      <c r="A1997" s="79" t="s">
        <v>8960</v>
      </c>
      <c r="B1997" s="79" t="s">
        <v>9209</v>
      </c>
      <c r="C1997" s="79" t="s">
        <v>7311</v>
      </c>
      <c r="D1997" s="79" t="s">
        <v>7312</v>
      </c>
      <c r="E1997" s="79">
        <v>2500</v>
      </c>
      <c r="G1997" s="79" t="s">
        <v>7313</v>
      </c>
      <c r="H1997" s="80">
        <v>5841789</v>
      </c>
    </row>
    <row r="1998" spans="1:8" x14ac:dyDescent="0.2">
      <c r="A1998" s="79" t="s">
        <v>8960</v>
      </c>
      <c r="B1998" s="79" t="s">
        <v>9210</v>
      </c>
      <c r="C1998" s="79" t="s">
        <v>7335</v>
      </c>
      <c r="D1998" s="79" t="s">
        <v>7312</v>
      </c>
      <c r="E1998" s="79">
        <v>2500</v>
      </c>
      <c r="G1998" s="79" t="s">
        <v>7313</v>
      </c>
      <c r="H1998" s="80">
        <v>6150000</v>
      </c>
    </row>
    <row r="1999" spans="1:8" x14ac:dyDescent="0.2">
      <c r="A1999" s="79" t="s">
        <v>8960</v>
      </c>
      <c r="B1999" s="79" t="s">
        <v>9211</v>
      </c>
      <c r="C1999" s="79" t="s">
        <v>7335</v>
      </c>
      <c r="D1999" s="79" t="s">
        <v>7312</v>
      </c>
      <c r="E1999" s="79">
        <v>2000</v>
      </c>
      <c r="F1999" s="79" t="s">
        <v>7336</v>
      </c>
      <c r="G1999" s="79" t="s">
        <v>7313</v>
      </c>
      <c r="H1999" s="80">
        <v>3078078</v>
      </c>
    </row>
    <row r="2000" spans="1:8" x14ac:dyDescent="0.2">
      <c r="A2000" s="79" t="s">
        <v>8960</v>
      </c>
      <c r="B2000" s="79" t="s">
        <v>9211</v>
      </c>
      <c r="C2000" s="79" t="s">
        <v>7335</v>
      </c>
      <c r="D2000" s="79" t="s">
        <v>7312</v>
      </c>
      <c r="E2000" s="79">
        <v>2000</v>
      </c>
      <c r="F2000" s="79" t="s">
        <v>7349</v>
      </c>
      <c r="G2000" s="79" t="s">
        <v>7313</v>
      </c>
      <c r="H2000" s="80">
        <v>3227860</v>
      </c>
    </row>
    <row r="2001" spans="1:8" x14ac:dyDescent="0.2">
      <c r="A2001" s="79" t="s">
        <v>8960</v>
      </c>
      <c r="B2001" s="79" t="s">
        <v>9212</v>
      </c>
      <c r="C2001" s="79" t="s">
        <v>7335</v>
      </c>
      <c r="D2001" s="79" t="s">
        <v>7312</v>
      </c>
      <c r="E2001" s="79">
        <v>2000</v>
      </c>
      <c r="F2001" s="79" t="s">
        <v>7336</v>
      </c>
      <c r="G2001" s="79" t="s">
        <v>7313</v>
      </c>
      <c r="H2001" s="80">
        <v>3322691</v>
      </c>
    </row>
    <row r="2002" spans="1:8" x14ac:dyDescent="0.2">
      <c r="A2002" s="79" t="s">
        <v>8960</v>
      </c>
      <c r="B2002" s="79" t="s">
        <v>9212</v>
      </c>
      <c r="C2002" s="79" t="s">
        <v>7335</v>
      </c>
      <c r="D2002" s="79" t="s">
        <v>7312</v>
      </c>
      <c r="E2002" s="79">
        <v>2000</v>
      </c>
      <c r="F2002" s="79" t="s">
        <v>7349</v>
      </c>
      <c r="G2002" s="79" t="s">
        <v>7313</v>
      </c>
      <c r="H2002" s="80">
        <v>3477448</v>
      </c>
    </row>
    <row r="2003" spans="1:8" x14ac:dyDescent="0.2">
      <c r="A2003" s="79" t="s">
        <v>8960</v>
      </c>
      <c r="B2003" s="79" t="s">
        <v>9213</v>
      </c>
      <c r="C2003" s="79" t="s">
        <v>7335</v>
      </c>
      <c r="D2003" s="79" t="s">
        <v>7312</v>
      </c>
      <c r="E2003" s="79">
        <v>2000</v>
      </c>
      <c r="F2003" s="79" t="s">
        <v>7336</v>
      </c>
      <c r="G2003" s="79" t="s">
        <v>7313</v>
      </c>
      <c r="H2003" s="80">
        <v>3250000</v>
      </c>
    </row>
    <row r="2004" spans="1:8" x14ac:dyDescent="0.2">
      <c r="A2004" s="79" t="s">
        <v>8960</v>
      </c>
      <c r="B2004" s="79" t="s">
        <v>9213</v>
      </c>
      <c r="C2004" s="79" t="s">
        <v>7335</v>
      </c>
      <c r="D2004" s="79" t="s">
        <v>7312</v>
      </c>
      <c r="E2004" s="79">
        <v>2000</v>
      </c>
      <c r="F2004" s="79" t="s">
        <v>7349</v>
      </c>
      <c r="G2004" s="79" t="s">
        <v>7313</v>
      </c>
      <c r="H2004" s="80">
        <v>3410000</v>
      </c>
    </row>
    <row r="2005" spans="1:8" x14ac:dyDescent="0.2">
      <c r="A2005" s="79" t="s">
        <v>8960</v>
      </c>
      <c r="B2005" s="79" t="s">
        <v>9214</v>
      </c>
      <c r="C2005" s="79" t="s">
        <v>7335</v>
      </c>
      <c r="D2005" s="79" t="s">
        <v>7312</v>
      </c>
      <c r="E2005" s="79">
        <v>2000</v>
      </c>
      <c r="F2005" s="79" t="s">
        <v>7336</v>
      </c>
      <c r="G2005" s="79" t="s">
        <v>7313</v>
      </c>
      <c r="H2005" s="80">
        <v>4140000</v>
      </c>
    </row>
    <row r="2006" spans="1:8" x14ac:dyDescent="0.2">
      <c r="A2006" s="79" t="s">
        <v>8960</v>
      </c>
      <c r="B2006" s="79" t="s">
        <v>9214</v>
      </c>
      <c r="C2006" s="79" t="s">
        <v>7335</v>
      </c>
      <c r="D2006" s="79" t="s">
        <v>7312</v>
      </c>
      <c r="E2006" s="79">
        <v>2000</v>
      </c>
      <c r="F2006" s="79" t="s">
        <v>7349</v>
      </c>
      <c r="G2006" s="79" t="s">
        <v>7313</v>
      </c>
      <c r="H2006" s="80">
        <v>4170000</v>
      </c>
    </row>
    <row r="2007" spans="1:8" x14ac:dyDescent="0.2">
      <c r="A2007" s="79" t="s">
        <v>8960</v>
      </c>
      <c r="B2007" s="79" t="s">
        <v>9215</v>
      </c>
      <c r="C2007" s="79" t="s">
        <v>7335</v>
      </c>
      <c r="D2007" s="79" t="s">
        <v>7312</v>
      </c>
      <c r="E2007" s="79">
        <v>2500</v>
      </c>
      <c r="F2007" s="79" t="s">
        <v>7349</v>
      </c>
      <c r="G2007" s="79" t="s">
        <v>7313</v>
      </c>
      <c r="H2007" s="80">
        <v>4176173</v>
      </c>
    </row>
    <row r="2008" spans="1:8" x14ac:dyDescent="0.2">
      <c r="A2008" s="79" t="s">
        <v>8960</v>
      </c>
      <c r="B2008" s="79" t="s">
        <v>9216</v>
      </c>
      <c r="C2008" s="79" t="s">
        <v>7335</v>
      </c>
      <c r="D2008" s="79" t="s">
        <v>7312</v>
      </c>
      <c r="E2008" s="79">
        <v>2000</v>
      </c>
      <c r="F2008" s="79" t="s">
        <v>7349</v>
      </c>
      <c r="G2008" s="79" t="s">
        <v>7313</v>
      </c>
      <c r="H2008" s="80">
        <v>3575000</v>
      </c>
    </row>
    <row r="2009" spans="1:8" x14ac:dyDescent="0.2">
      <c r="A2009" s="79" t="s">
        <v>8960</v>
      </c>
      <c r="B2009" s="79" t="s">
        <v>9217</v>
      </c>
      <c r="C2009" s="79" t="s">
        <v>7335</v>
      </c>
      <c r="D2009" s="79" t="s">
        <v>7312</v>
      </c>
      <c r="E2009" s="79">
        <v>2000</v>
      </c>
      <c r="F2009" s="79" t="s">
        <v>7336</v>
      </c>
      <c r="G2009" s="79" t="s">
        <v>7313</v>
      </c>
      <c r="H2009" s="80">
        <v>3355000</v>
      </c>
    </row>
    <row r="2010" spans="1:8" x14ac:dyDescent="0.2">
      <c r="A2010" s="79" t="s">
        <v>8960</v>
      </c>
      <c r="B2010" s="79" t="s">
        <v>9218</v>
      </c>
      <c r="C2010" s="79" t="s">
        <v>7335</v>
      </c>
      <c r="D2010" s="79" t="s">
        <v>7312</v>
      </c>
      <c r="E2010" s="79">
        <v>2000</v>
      </c>
      <c r="G2010" s="79" t="s">
        <v>7313</v>
      </c>
      <c r="H2010" s="80">
        <v>3587548</v>
      </c>
    </row>
    <row r="2011" spans="1:8" x14ac:dyDescent="0.2">
      <c r="A2011" s="79" t="s">
        <v>8960</v>
      </c>
      <c r="B2011" s="79" t="s">
        <v>9219</v>
      </c>
      <c r="C2011" s="79" t="s">
        <v>7335</v>
      </c>
      <c r="D2011" s="79" t="s">
        <v>7312</v>
      </c>
      <c r="E2011" s="79">
        <v>2000</v>
      </c>
      <c r="G2011" s="79" t="s">
        <v>7313</v>
      </c>
      <c r="H2011" s="80">
        <v>3708356</v>
      </c>
    </row>
    <row r="2012" spans="1:8" x14ac:dyDescent="0.2">
      <c r="A2012" s="79" t="s">
        <v>8960</v>
      </c>
      <c r="B2012" s="79" t="s">
        <v>9220</v>
      </c>
      <c r="C2012" s="79" t="s">
        <v>7335</v>
      </c>
      <c r="D2012" s="79" t="s">
        <v>7312</v>
      </c>
      <c r="E2012" s="79">
        <v>2000</v>
      </c>
      <c r="F2012" s="79" t="s">
        <v>7336</v>
      </c>
      <c r="G2012" s="79" t="s">
        <v>7313</v>
      </c>
      <c r="H2012" s="80">
        <v>3452970</v>
      </c>
    </row>
    <row r="2013" spans="1:8" x14ac:dyDescent="0.2">
      <c r="A2013" s="79" t="s">
        <v>8960</v>
      </c>
      <c r="B2013" s="79" t="s">
        <v>9220</v>
      </c>
      <c r="C2013" s="79" t="s">
        <v>7335</v>
      </c>
      <c r="D2013" s="79" t="s">
        <v>7312</v>
      </c>
      <c r="E2013" s="79">
        <v>2000</v>
      </c>
      <c r="F2013" s="79" t="s">
        <v>7349</v>
      </c>
      <c r="G2013" s="79" t="s">
        <v>7313</v>
      </c>
      <c r="H2013" s="80">
        <v>3573779</v>
      </c>
    </row>
    <row r="2014" spans="1:8" x14ac:dyDescent="0.2">
      <c r="A2014" s="79" t="s">
        <v>8960</v>
      </c>
      <c r="B2014" s="79" t="s">
        <v>9221</v>
      </c>
      <c r="C2014" s="79" t="s">
        <v>7335</v>
      </c>
      <c r="D2014" s="79" t="s">
        <v>7312</v>
      </c>
      <c r="E2014" s="79">
        <v>2000</v>
      </c>
      <c r="F2014" s="79" t="s">
        <v>7336</v>
      </c>
      <c r="G2014" s="79" t="s">
        <v>7313</v>
      </c>
      <c r="H2014" s="80">
        <v>3612420</v>
      </c>
    </row>
    <row r="2015" spans="1:8" x14ac:dyDescent="0.2">
      <c r="A2015" s="79" t="s">
        <v>8960</v>
      </c>
      <c r="B2015" s="79" t="s">
        <v>9221</v>
      </c>
      <c r="C2015" s="79" t="s">
        <v>7335</v>
      </c>
      <c r="D2015" s="79" t="s">
        <v>7312</v>
      </c>
      <c r="E2015" s="79">
        <v>2000</v>
      </c>
      <c r="F2015" s="79" t="s">
        <v>7349</v>
      </c>
      <c r="G2015" s="79" t="s">
        <v>7313</v>
      </c>
      <c r="H2015" s="80">
        <v>3962262</v>
      </c>
    </row>
    <row r="2016" spans="1:8" x14ac:dyDescent="0.2">
      <c r="A2016" s="79" t="s">
        <v>8960</v>
      </c>
      <c r="B2016" s="79" t="s">
        <v>9222</v>
      </c>
      <c r="C2016" s="79" t="s">
        <v>7335</v>
      </c>
      <c r="D2016" s="79" t="s">
        <v>7312</v>
      </c>
      <c r="E2016" s="79">
        <v>2000</v>
      </c>
      <c r="G2016" s="79" t="s">
        <v>7313</v>
      </c>
      <c r="H2016" s="80">
        <v>5400000</v>
      </c>
    </row>
    <row r="2017" spans="1:8" x14ac:dyDescent="0.2">
      <c r="A2017" s="79" t="s">
        <v>8960</v>
      </c>
      <c r="B2017" s="79" t="s">
        <v>9223</v>
      </c>
      <c r="C2017" s="79" t="s">
        <v>7335</v>
      </c>
      <c r="D2017" s="79" t="s">
        <v>7312</v>
      </c>
      <c r="E2017" s="79">
        <v>2000</v>
      </c>
      <c r="G2017" s="79" t="s">
        <v>7313</v>
      </c>
      <c r="H2017" s="80">
        <v>5625000</v>
      </c>
    </row>
    <row r="2018" spans="1:8" x14ac:dyDescent="0.2">
      <c r="A2018" s="79" t="s">
        <v>8960</v>
      </c>
      <c r="B2018" s="79" t="s">
        <v>9224</v>
      </c>
      <c r="C2018" s="79" t="s">
        <v>7335</v>
      </c>
      <c r="D2018" s="79" t="s">
        <v>7312</v>
      </c>
      <c r="E2018" s="79">
        <v>2000</v>
      </c>
      <c r="G2018" s="79" t="s">
        <v>7313</v>
      </c>
      <c r="H2018" s="80">
        <v>5900000</v>
      </c>
    </row>
    <row r="2019" spans="1:8" x14ac:dyDescent="0.2">
      <c r="A2019" s="79" t="s">
        <v>8960</v>
      </c>
      <c r="B2019" s="79" t="s">
        <v>9225</v>
      </c>
      <c r="C2019" s="79" t="s">
        <v>7335</v>
      </c>
      <c r="D2019" s="79" t="s">
        <v>7312</v>
      </c>
      <c r="E2019" s="79">
        <v>2000</v>
      </c>
      <c r="G2019" s="79" t="s">
        <v>7313</v>
      </c>
      <c r="H2019" s="80">
        <v>4086000</v>
      </c>
    </row>
    <row r="2020" spans="1:8" x14ac:dyDescent="0.2">
      <c r="A2020" s="79" t="s">
        <v>8960</v>
      </c>
      <c r="B2020" s="79" t="s">
        <v>9226</v>
      </c>
      <c r="C2020" s="79" t="s">
        <v>7335</v>
      </c>
      <c r="D2020" s="79" t="s">
        <v>7312</v>
      </c>
      <c r="E2020" s="79">
        <v>2000</v>
      </c>
      <c r="G2020" s="79" t="s">
        <v>7313</v>
      </c>
      <c r="H2020" s="80">
        <v>4225000</v>
      </c>
    </row>
    <row r="2021" spans="1:8" x14ac:dyDescent="0.2">
      <c r="A2021" s="79" t="s">
        <v>8960</v>
      </c>
      <c r="B2021" s="79" t="s">
        <v>9227</v>
      </c>
      <c r="C2021" s="79" t="s">
        <v>7335</v>
      </c>
      <c r="D2021" s="79" t="s">
        <v>7312</v>
      </c>
      <c r="E2021" s="79">
        <v>2000</v>
      </c>
      <c r="G2021" s="79" t="s">
        <v>7313</v>
      </c>
      <c r="H2021" s="80">
        <v>6285750</v>
      </c>
    </row>
    <row r="2022" spans="1:8" x14ac:dyDescent="0.2">
      <c r="A2022" s="79" t="s">
        <v>8960</v>
      </c>
      <c r="B2022" s="79" t="s">
        <v>9228</v>
      </c>
      <c r="C2022" s="79" t="s">
        <v>7335</v>
      </c>
      <c r="D2022" s="79" t="s">
        <v>7312</v>
      </c>
      <c r="E2022" s="79">
        <v>2000</v>
      </c>
      <c r="G2022" s="79" t="s">
        <v>7313</v>
      </c>
      <c r="H2022" s="80">
        <v>7395000</v>
      </c>
    </row>
    <row r="2023" spans="1:8" x14ac:dyDescent="0.2">
      <c r="A2023" s="79" t="s">
        <v>8960</v>
      </c>
      <c r="B2023" s="79" t="s">
        <v>9229</v>
      </c>
      <c r="C2023" s="79" t="s">
        <v>7335</v>
      </c>
      <c r="D2023" s="79" t="s">
        <v>7312</v>
      </c>
      <c r="E2023" s="79">
        <v>2000</v>
      </c>
      <c r="G2023" s="79" t="s">
        <v>7313</v>
      </c>
      <c r="H2023" s="80">
        <v>7241000</v>
      </c>
    </row>
    <row r="2024" spans="1:8" x14ac:dyDescent="0.2">
      <c r="A2024" s="79" t="s">
        <v>8960</v>
      </c>
      <c r="B2024" s="79" t="s">
        <v>9230</v>
      </c>
      <c r="C2024" s="79" t="s">
        <v>7335</v>
      </c>
      <c r="D2024" s="79" t="s">
        <v>7312</v>
      </c>
      <c r="E2024" s="79">
        <v>2500</v>
      </c>
      <c r="F2024" s="79" t="s">
        <v>7336</v>
      </c>
      <c r="G2024" s="79" t="s">
        <v>7313</v>
      </c>
      <c r="H2024" s="80">
        <v>5093000</v>
      </c>
    </row>
    <row r="2025" spans="1:8" x14ac:dyDescent="0.2">
      <c r="A2025" s="79" t="s">
        <v>8960</v>
      </c>
      <c r="B2025" s="79" t="s">
        <v>9231</v>
      </c>
      <c r="C2025" s="79" t="s">
        <v>7335</v>
      </c>
      <c r="D2025" s="79" t="s">
        <v>7312</v>
      </c>
      <c r="E2025" s="79">
        <v>2500</v>
      </c>
      <c r="F2025" s="79" t="s">
        <v>7349</v>
      </c>
      <c r="G2025" s="79" t="s">
        <v>7313</v>
      </c>
      <c r="H2025" s="80">
        <v>5127000</v>
      </c>
    </row>
    <row r="2026" spans="1:8" x14ac:dyDescent="0.2">
      <c r="A2026" s="79" t="s">
        <v>8960</v>
      </c>
      <c r="B2026" s="79" t="s">
        <v>9232</v>
      </c>
      <c r="C2026" s="79" t="s">
        <v>7335</v>
      </c>
      <c r="D2026" s="79" t="s">
        <v>7312</v>
      </c>
      <c r="E2026" s="79">
        <v>2000</v>
      </c>
      <c r="G2026" s="79" t="s">
        <v>7313</v>
      </c>
      <c r="H2026" s="80">
        <v>4890817</v>
      </c>
    </row>
    <row r="2027" spans="1:8" x14ac:dyDescent="0.2">
      <c r="A2027" s="79" t="s">
        <v>8960</v>
      </c>
      <c r="B2027" s="79" t="s">
        <v>9233</v>
      </c>
      <c r="C2027" s="79" t="s">
        <v>7335</v>
      </c>
      <c r="D2027" s="79" t="s">
        <v>7312</v>
      </c>
      <c r="E2027" s="79">
        <v>2000</v>
      </c>
      <c r="F2027" s="79" t="s">
        <v>7336</v>
      </c>
      <c r="G2027" s="79" t="s">
        <v>7313</v>
      </c>
      <c r="H2027" s="80">
        <v>5255000</v>
      </c>
    </row>
    <row r="2028" spans="1:8" x14ac:dyDescent="0.2">
      <c r="A2028" s="79" t="s">
        <v>8960</v>
      </c>
      <c r="B2028" s="79" t="s">
        <v>9233</v>
      </c>
      <c r="C2028" s="79" t="s">
        <v>7335</v>
      </c>
      <c r="D2028" s="79" t="s">
        <v>7312</v>
      </c>
      <c r="E2028" s="79">
        <v>2000</v>
      </c>
      <c r="F2028" s="79" t="s">
        <v>7349</v>
      </c>
      <c r="G2028" s="79" t="s">
        <v>7313</v>
      </c>
      <c r="H2028" s="80">
        <v>5375000</v>
      </c>
    </row>
    <row r="2029" spans="1:8" x14ac:dyDescent="0.2">
      <c r="A2029" s="79" t="s">
        <v>8960</v>
      </c>
      <c r="B2029" s="79" t="s">
        <v>9234</v>
      </c>
      <c r="C2029" s="79" t="s">
        <v>7335</v>
      </c>
      <c r="D2029" s="79" t="s">
        <v>7312</v>
      </c>
      <c r="E2029" s="79">
        <v>2000</v>
      </c>
      <c r="F2029" s="79" t="s">
        <v>7349</v>
      </c>
      <c r="G2029" s="79" t="s">
        <v>7313</v>
      </c>
      <c r="H2029" s="80">
        <v>5975000</v>
      </c>
    </row>
    <row r="2030" spans="1:8" x14ac:dyDescent="0.2">
      <c r="A2030" s="79" t="s">
        <v>8960</v>
      </c>
      <c r="B2030" s="79" t="s">
        <v>9235</v>
      </c>
      <c r="C2030" s="79" t="s">
        <v>7335</v>
      </c>
      <c r="D2030" s="79" t="s">
        <v>7312</v>
      </c>
      <c r="E2030" s="79">
        <v>2000</v>
      </c>
      <c r="G2030" s="79" t="s">
        <v>7313</v>
      </c>
      <c r="H2030" s="80">
        <v>5220000</v>
      </c>
    </row>
    <row r="2031" spans="1:8" x14ac:dyDescent="0.2">
      <c r="A2031" s="79" t="s">
        <v>8960</v>
      </c>
      <c r="B2031" s="79" t="s">
        <v>9236</v>
      </c>
      <c r="C2031" s="79" t="s">
        <v>7335</v>
      </c>
      <c r="D2031" s="79" t="s">
        <v>7312</v>
      </c>
      <c r="E2031" s="79">
        <v>2000</v>
      </c>
      <c r="G2031" s="79" t="s">
        <v>7313</v>
      </c>
      <c r="H2031" s="80">
        <v>5594264</v>
      </c>
    </row>
    <row r="2032" spans="1:8" x14ac:dyDescent="0.2">
      <c r="A2032" s="79" t="s">
        <v>8960</v>
      </c>
      <c r="B2032" s="79" t="s">
        <v>9237</v>
      </c>
      <c r="C2032" s="79" t="s">
        <v>7335</v>
      </c>
      <c r="D2032" s="79" t="s">
        <v>7312</v>
      </c>
      <c r="E2032" s="79">
        <v>2500</v>
      </c>
      <c r="F2032" s="79" t="s">
        <v>7336</v>
      </c>
      <c r="G2032" s="79" t="s">
        <v>7313</v>
      </c>
      <c r="H2032" s="80">
        <v>6395000</v>
      </c>
    </row>
    <row r="2033" spans="1:8" x14ac:dyDescent="0.2">
      <c r="A2033" s="79" t="s">
        <v>8960</v>
      </c>
      <c r="B2033" s="79" t="s">
        <v>9238</v>
      </c>
      <c r="C2033" s="79" t="s">
        <v>7335</v>
      </c>
      <c r="D2033" s="79" t="s">
        <v>7312</v>
      </c>
      <c r="E2033" s="79">
        <v>2500</v>
      </c>
      <c r="F2033" s="79" t="s">
        <v>7349</v>
      </c>
      <c r="G2033" s="79" t="s">
        <v>7313</v>
      </c>
      <c r="H2033" s="80">
        <v>6525000</v>
      </c>
    </row>
    <row r="2034" spans="1:8" x14ac:dyDescent="0.2">
      <c r="A2034" s="79" t="s">
        <v>8960</v>
      </c>
      <c r="B2034" s="79" t="s">
        <v>9239</v>
      </c>
      <c r="C2034" s="79" t="s">
        <v>7335</v>
      </c>
      <c r="D2034" s="79" t="s">
        <v>7312</v>
      </c>
      <c r="E2034" s="79">
        <v>2500</v>
      </c>
      <c r="F2034" s="79" t="s">
        <v>7349</v>
      </c>
      <c r="G2034" s="79" t="s">
        <v>7313</v>
      </c>
      <c r="H2034" s="80">
        <v>6520000</v>
      </c>
    </row>
    <row r="2035" spans="1:8" x14ac:dyDescent="0.2">
      <c r="A2035" s="79" t="s">
        <v>8960</v>
      </c>
      <c r="B2035" s="79" t="s">
        <v>9240</v>
      </c>
      <c r="C2035" s="79" t="s">
        <v>7340</v>
      </c>
      <c r="D2035" s="79" t="s">
        <v>7312</v>
      </c>
      <c r="E2035" s="79">
        <v>1500</v>
      </c>
      <c r="F2035" s="79" t="s">
        <v>7336</v>
      </c>
      <c r="G2035" s="79" t="s">
        <v>7329</v>
      </c>
      <c r="H2035" s="80">
        <v>2825000</v>
      </c>
    </row>
    <row r="2036" spans="1:8" x14ac:dyDescent="0.2">
      <c r="A2036" s="79" t="s">
        <v>8960</v>
      </c>
      <c r="B2036" s="79" t="s">
        <v>9240</v>
      </c>
      <c r="C2036" s="79" t="s">
        <v>7340</v>
      </c>
      <c r="D2036" s="79" t="s">
        <v>7312</v>
      </c>
      <c r="E2036" s="79">
        <v>1500</v>
      </c>
      <c r="F2036" s="79" t="s">
        <v>7349</v>
      </c>
      <c r="G2036" s="79" t="s">
        <v>7329</v>
      </c>
      <c r="H2036" s="80">
        <v>3000000</v>
      </c>
    </row>
    <row r="2037" spans="1:8" x14ac:dyDescent="0.2">
      <c r="A2037" s="79" t="s">
        <v>8960</v>
      </c>
      <c r="B2037" s="79" t="s">
        <v>9241</v>
      </c>
      <c r="C2037" s="79" t="s">
        <v>7340</v>
      </c>
      <c r="D2037" s="79" t="s">
        <v>7312</v>
      </c>
      <c r="E2037" s="79">
        <v>1500</v>
      </c>
      <c r="F2037" s="79" t="s">
        <v>7336</v>
      </c>
      <c r="G2037" s="79" t="s">
        <v>7329</v>
      </c>
      <c r="H2037" s="80">
        <v>3300000</v>
      </c>
    </row>
    <row r="2038" spans="1:8" x14ac:dyDescent="0.2">
      <c r="A2038" s="79" t="s">
        <v>8960</v>
      </c>
      <c r="B2038" s="79" t="s">
        <v>9242</v>
      </c>
      <c r="C2038" s="79" t="s">
        <v>7340</v>
      </c>
      <c r="D2038" s="79" t="s">
        <v>7312</v>
      </c>
      <c r="E2038" s="79">
        <v>1500</v>
      </c>
      <c r="F2038" s="79" t="s">
        <v>7349</v>
      </c>
      <c r="G2038" s="79" t="s">
        <v>7329</v>
      </c>
      <c r="H2038" s="80">
        <v>3400000</v>
      </c>
    </row>
    <row r="2039" spans="1:8" x14ac:dyDescent="0.2">
      <c r="A2039" s="79" t="s">
        <v>8960</v>
      </c>
      <c r="B2039" s="79" t="s">
        <v>9243</v>
      </c>
      <c r="C2039" s="79" t="s">
        <v>7340</v>
      </c>
      <c r="D2039" s="79" t="s">
        <v>7312</v>
      </c>
      <c r="E2039" s="79">
        <v>1500</v>
      </c>
      <c r="F2039" s="79" t="s">
        <v>7336</v>
      </c>
      <c r="G2039" s="79" t="s">
        <v>7313</v>
      </c>
      <c r="H2039" s="80">
        <v>3107500</v>
      </c>
    </row>
    <row r="2040" spans="1:8" x14ac:dyDescent="0.2">
      <c r="A2040" s="79" t="s">
        <v>8960</v>
      </c>
      <c r="B2040" s="79" t="s">
        <v>9243</v>
      </c>
      <c r="C2040" s="79" t="s">
        <v>7340</v>
      </c>
      <c r="D2040" s="79" t="s">
        <v>7312</v>
      </c>
      <c r="E2040" s="79">
        <v>1500</v>
      </c>
      <c r="F2040" s="79" t="s">
        <v>7349</v>
      </c>
      <c r="G2040" s="79" t="s">
        <v>7329</v>
      </c>
      <c r="H2040" s="80">
        <v>3300000</v>
      </c>
    </row>
    <row r="2041" spans="1:8" x14ac:dyDescent="0.2">
      <c r="A2041" s="79" t="s">
        <v>8960</v>
      </c>
      <c r="B2041" s="79" t="s">
        <v>9244</v>
      </c>
      <c r="C2041" s="79" t="s">
        <v>7340</v>
      </c>
      <c r="D2041" s="79" t="s">
        <v>7312</v>
      </c>
      <c r="E2041" s="79">
        <v>1600</v>
      </c>
      <c r="F2041" s="79" t="s">
        <v>7349</v>
      </c>
      <c r="G2041" s="79" t="s">
        <v>7329</v>
      </c>
      <c r="H2041" s="80">
        <v>3716753</v>
      </c>
    </row>
    <row r="2042" spans="1:8" x14ac:dyDescent="0.2">
      <c r="A2042" s="79" t="s">
        <v>8960</v>
      </c>
      <c r="B2042" s="79" t="s">
        <v>9244</v>
      </c>
      <c r="C2042" s="79" t="s">
        <v>7340</v>
      </c>
      <c r="D2042" s="79" t="s">
        <v>7312</v>
      </c>
      <c r="E2042" s="79">
        <v>1600</v>
      </c>
      <c r="F2042" s="79" t="s">
        <v>7349</v>
      </c>
      <c r="G2042" s="79" t="s">
        <v>7313</v>
      </c>
      <c r="H2042" s="80">
        <v>4260668</v>
      </c>
    </row>
    <row r="2043" spans="1:8" x14ac:dyDescent="0.2">
      <c r="A2043" s="79" t="s">
        <v>8960</v>
      </c>
      <c r="B2043" s="79" t="s">
        <v>9244</v>
      </c>
      <c r="C2043" s="79" t="s">
        <v>7340</v>
      </c>
      <c r="D2043" s="79" t="s">
        <v>7312</v>
      </c>
      <c r="E2043" s="79">
        <v>2000</v>
      </c>
      <c r="F2043" s="79" t="s">
        <v>7336</v>
      </c>
      <c r="G2043" s="79" t="s">
        <v>7329</v>
      </c>
      <c r="H2043" s="80">
        <v>4441193</v>
      </c>
    </row>
    <row r="2044" spans="1:8" x14ac:dyDescent="0.2">
      <c r="A2044" s="79" t="s">
        <v>8960</v>
      </c>
      <c r="B2044" s="79" t="s">
        <v>9244</v>
      </c>
      <c r="C2044" s="79" t="s">
        <v>7340</v>
      </c>
      <c r="D2044" s="79" t="s">
        <v>7312</v>
      </c>
      <c r="E2044" s="79">
        <v>2000</v>
      </c>
      <c r="F2044" s="79" t="s">
        <v>7349</v>
      </c>
      <c r="G2044" s="79" t="s">
        <v>7313</v>
      </c>
      <c r="H2044" s="80">
        <v>4985888</v>
      </c>
    </row>
    <row r="2045" spans="1:8" x14ac:dyDescent="0.2">
      <c r="A2045" s="79" t="s">
        <v>8960</v>
      </c>
      <c r="B2045" s="79" t="s">
        <v>9245</v>
      </c>
      <c r="C2045" s="79" t="s">
        <v>7340</v>
      </c>
      <c r="D2045" s="79" t="s">
        <v>7312</v>
      </c>
      <c r="E2045" s="79">
        <v>1500</v>
      </c>
      <c r="F2045" s="79" t="s">
        <v>7336</v>
      </c>
      <c r="G2045" s="79" t="s">
        <v>7329</v>
      </c>
      <c r="H2045" s="80">
        <v>3630000</v>
      </c>
    </row>
    <row r="2046" spans="1:8" x14ac:dyDescent="0.2">
      <c r="A2046" s="79" t="s">
        <v>8960</v>
      </c>
      <c r="B2046" s="79" t="s">
        <v>9246</v>
      </c>
      <c r="C2046" s="79" t="s">
        <v>7340</v>
      </c>
      <c r="D2046" s="79" t="s">
        <v>7312</v>
      </c>
      <c r="E2046" s="79">
        <v>1500</v>
      </c>
      <c r="F2046" s="79" t="s">
        <v>7349</v>
      </c>
      <c r="G2046" s="79" t="s">
        <v>7329</v>
      </c>
      <c r="H2046" s="80">
        <v>3700000</v>
      </c>
    </row>
    <row r="2047" spans="1:8" x14ac:dyDescent="0.2">
      <c r="A2047" s="79" t="s">
        <v>8960</v>
      </c>
      <c r="B2047" s="79" t="s">
        <v>9247</v>
      </c>
      <c r="C2047" s="79" t="s">
        <v>7335</v>
      </c>
      <c r="D2047" s="79" t="s">
        <v>7312</v>
      </c>
      <c r="E2047" s="79">
        <v>1500</v>
      </c>
      <c r="F2047" s="79" t="s">
        <v>7336</v>
      </c>
      <c r="G2047" s="79" t="s">
        <v>7329</v>
      </c>
      <c r="H2047" s="80">
        <v>2274800</v>
      </c>
    </row>
    <row r="2048" spans="1:8" x14ac:dyDescent="0.2">
      <c r="A2048" s="79" t="s">
        <v>8960</v>
      </c>
      <c r="B2048" s="79" t="s">
        <v>9247</v>
      </c>
      <c r="C2048" s="79" t="s">
        <v>7335</v>
      </c>
      <c r="D2048" s="79" t="s">
        <v>7312</v>
      </c>
      <c r="E2048" s="79">
        <v>1500</v>
      </c>
      <c r="F2048" s="79" t="s">
        <v>7349</v>
      </c>
      <c r="G2048" s="79" t="s">
        <v>7329</v>
      </c>
      <c r="H2048" s="80">
        <v>2374800</v>
      </c>
    </row>
    <row r="2049" spans="1:8" x14ac:dyDescent="0.2">
      <c r="A2049" s="79" t="s">
        <v>8960</v>
      </c>
      <c r="B2049" s="79" t="s">
        <v>9248</v>
      </c>
      <c r="C2049" s="79" t="s">
        <v>7335</v>
      </c>
      <c r="D2049" s="79" t="s">
        <v>7312</v>
      </c>
      <c r="E2049" s="79">
        <v>1500</v>
      </c>
      <c r="F2049" s="79" t="s">
        <v>7336</v>
      </c>
      <c r="G2049" s="79" t="s">
        <v>7313</v>
      </c>
      <c r="H2049" s="80">
        <v>2474800</v>
      </c>
    </row>
    <row r="2050" spans="1:8" x14ac:dyDescent="0.2">
      <c r="A2050" s="79" t="s">
        <v>8960</v>
      </c>
      <c r="B2050" s="79" t="s">
        <v>9248</v>
      </c>
      <c r="C2050" s="79" t="s">
        <v>7335</v>
      </c>
      <c r="D2050" s="79" t="s">
        <v>7312</v>
      </c>
      <c r="E2050" s="79">
        <v>1500</v>
      </c>
      <c r="F2050" s="79" t="s">
        <v>7349</v>
      </c>
      <c r="G2050" s="79" t="s">
        <v>7313</v>
      </c>
      <c r="H2050" s="80">
        <v>2574800</v>
      </c>
    </row>
    <row r="2051" spans="1:8" x14ac:dyDescent="0.2">
      <c r="A2051" s="79" t="s">
        <v>8960</v>
      </c>
      <c r="B2051" s="79" t="s">
        <v>9249</v>
      </c>
      <c r="C2051" s="79" t="s">
        <v>7335</v>
      </c>
      <c r="D2051" s="79" t="s">
        <v>7312</v>
      </c>
      <c r="E2051" s="79">
        <v>1500</v>
      </c>
      <c r="F2051" s="79" t="s">
        <v>7349</v>
      </c>
      <c r="G2051" s="79" t="s">
        <v>7329</v>
      </c>
      <c r="H2051" s="80">
        <v>2585000</v>
      </c>
    </row>
    <row r="2052" spans="1:8" x14ac:dyDescent="0.2">
      <c r="A2052" s="79" t="s">
        <v>8960</v>
      </c>
      <c r="B2052" s="79" t="s">
        <v>9250</v>
      </c>
      <c r="C2052" s="79" t="s">
        <v>7335</v>
      </c>
      <c r="D2052" s="79" t="s">
        <v>7312</v>
      </c>
      <c r="E2052" s="79">
        <v>1500</v>
      </c>
      <c r="F2052" s="79" t="s">
        <v>7349</v>
      </c>
      <c r="G2052" s="79" t="s">
        <v>7313</v>
      </c>
      <c r="H2052" s="80">
        <v>2685000</v>
      </c>
    </row>
    <row r="2053" spans="1:8" x14ac:dyDescent="0.2">
      <c r="A2053" s="79" t="s">
        <v>8960</v>
      </c>
      <c r="B2053" s="79" t="s">
        <v>9250</v>
      </c>
      <c r="C2053" s="79" t="s">
        <v>7311</v>
      </c>
      <c r="D2053" s="79" t="s">
        <v>7312</v>
      </c>
      <c r="E2053" s="79">
        <v>1500</v>
      </c>
      <c r="F2053" s="79" t="s">
        <v>7349</v>
      </c>
      <c r="G2053" s="79" t="s">
        <v>7313</v>
      </c>
      <c r="H2053" s="80">
        <v>2758240</v>
      </c>
    </row>
    <row r="2054" spans="1:8" x14ac:dyDescent="0.2">
      <c r="A2054" s="79" t="s">
        <v>8960</v>
      </c>
      <c r="B2054" s="79" t="s">
        <v>9251</v>
      </c>
      <c r="C2054" s="79" t="s">
        <v>7311</v>
      </c>
      <c r="D2054" s="79" t="s">
        <v>7312</v>
      </c>
      <c r="E2054" s="79">
        <v>1500</v>
      </c>
      <c r="F2054" s="79" t="s">
        <v>7336</v>
      </c>
      <c r="G2054" s="79" t="s">
        <v>7329</v>
      </c>
      <c r="H2054" s="80">
        <v>3400000</v>
      </c>
    </row>
    <row r="2055" spans="1:8" x14ac:dyDescent="0.2">
      <c r="A2055" s="79" t="s">
        <v>8960</v>
      </c>
      <c r="B2055" s="79" t="s">
        <v>9251</v>
      </c>
      <c r="C2055" s="79" t="s">
        <v>7311</v>
      </c>
      <c r="D2055" s="79" t="s">
        <v>7312</v>
      </c>
      <c r="E2055" s="79">
        <v>1500</v>
      </c>
      <c r="F2055" s="79" t="s">
        <v>7349</v>
      </c>
      <c r="G2055" s="79" t="s">
        <v>7329</v>
      </c>
      <c r="H2055" s="80">
        <v>3500000</v>
      </c>
    </row>
    <row r="2056" spans="1:8" x14ac:dyDescent="0.2">
      <c r="A2056" s="79" t="s">
        <v>8960</v>
      </c>
      <c r="B2056" s="79" t="s">
        <v>9252</v>
      </c>
      <c r="C2056" s="79" t="s">
        <v>7311</v>
      </c>
      <c r="D2056" s="79" t="s">
        <v>7312</v>
      </c>
      <c r="E2056" s="79">
        <v>1600</v>
      </c>
      <c r="F2056" s="79" t="s">
        <v>7336</v>
      </c>
      <c r="G2056" s="79" t="s">
        <v>7329</v>
      </c>
      <c r="H2056" s="80">
        <v>3700000</v>
      </c>
    </row>
    <row r="2057" spans="1:8" x14ac:dyDescent="0.2">
      <c r="A2057" s="79" t="s">
        <v>8960</v>
      </c>
      <c r="B2057" s="79" t="s">
        <v>9252</v>
      </c>
      <c r="C2057" s="79" t="s">
        <v>7311</v>
      </c>
      <c r="D2057" s="79" t="s">
        <v>7312</v>
      </c>
      <c r="E2057" s="79">
        <v>1600</v>
      </c>
      <c r="F2057" s="79" t="s">
        <v>7349</v>
      </c>
      <c r="G2057" s="79" t="s">
        <v>7329</v>
      </c>
      <c r="H2057" s="80">
        <v>3850000</v>
      </c>
    </row>
    <row r="2058" spans="1:8" x14ac:dyDescent="0.2">
      <c r="A2058" s="79" t="s">
        <v>8960</v>
      </c>
      <c r="B2058" s="79" t="s">
        <v>9253</v>
      </c>
      <c r="C2058" s="79" t="s">
        <v>7311</v>
      </c>
      <c r="D2058" s="79" t="s">
        <v>7312</v>
      </c>
      <c r="E2058" s="79">
        <v>1600</v>
      </c>
      <c r="G2058" s="79" t="s">
        <v>7329</v>
      </c>
      <c r="H2058" s="80">
        <v>3950000</v>
      </c>
    </row>
    <row r="2059" spans="1:8" x14ac:dyDescent="0.2">
      <c r="A2059" s="79" t="s">
        <v>8960</v>
      </c>
      <c r="B2059" s="79" t="s">
        <v>9254</v>
      </c>
      <c r="C2059" s="79" t="s">
        <v>7311</v>
      </c>
      <c r="D2059" s="79" t="s">
        <v>7312</v>
      </c>
      <c r="E2059" s="79">
        <v>2000</v>
      </c>
      <c r="G2059" s="79" t="s">
        <v>7329</v>
      </c>
      <c r="H2059" s="80">
        <v>5095000</v>
      </c>
    </row>
    <row r="2060" spans="1:8" x14ac:dyDescent="0.2">
      <c r="A2060" s="79" t="s">
        <v>8960</v>
      </c>
      <c r="B2060" s="79" t="s">
        <v>9255</v>
      </c>
      <c r="C2060" s="79" t="s">
        <v>7340</v>
      </c>
      <c r="D2060" s="79" t="s">
        <v>7312</v>
      </c>
      <c r="E2060" s="79">
        <v>2000</v>
      </c>
      <c r="F2060" s="79" t="s">
        <v>7349</v>
      </c>
      <c r="G2060" s="79" t="s">
        <v>7329</v>
      </c>
      <c r="H2060" s="80">
        <v>4250000</v>
      </c>
    </row>
    <row r="2061" spans="1:8" x14ac:dyDescent="0.2">
      <c r="A2061" s="79" t="s">
        <v>8960</v>
      </c>
      <c r="B2061" s="79" t="s">
        <v>9256</v>
      </c>
      <c r="C2061" s="79" t="s">
        <v>7340</v>
      </c>
      <c r="D2061" s="79" t="s">
        <v>7312</v>
      </c>
      <c r="E2061" s="79">
        <v>2000</v>
      </c>
      <c r="G2061" s="79" t="s">
        <v>7329</v>
      </c>
      <c r="H2061" s="80">
        <v>4500000</v>
      </c>
    </row>
    <row r="2062" spans="1:8" x14ac:dyDescent="0.2">
      <c r="A2062" s="79" t="s">
        <v>8960</v>
      </c>
      <c r="B2062" s="79" t="s">
        <v>9257</v>
      </c>
      <c r="C2062" s="79" t="s">
        <v>7340</v>
      </c>
      <c r="D2062" s="79" t="s">
        <v>7312</v>
      </c>
      <c r="E2062" s="79">
        <v>2000</v>
      </c>
      <c r="F2062" s="79" t="s">
        <v>7349</v>
      </c>
      <c r="G2062" s="79" t="s">
        <v>7329</v>
      </c>
      <c r="H2062" s="80">
        <v>4750000</v>
      </c>
    </row>
    <row r="2063" spans="1:8" x14ac:dyDescent="0.2">
      <c r="A2063" s="79" t="s">
        <v>8960</v>
      </c>
      <c r="B2063" s="79" t="s">
        <v>9258</v>
      </c>
      <c r="C2063" s="79" t="s">
        <v>7340</v>
      </c>
      <c r="D2063" s="79" t="s">
        <v>7312</v>
      </c>
      <c r="E2063" s="79">
        <v>1600</v>
      </c>
      <c r="F2063" s="79" t="s">
        <v>7349</v>
      </c>
      <c r="G2063" s="79" t="s">
        <v>7313</v>
      </c>
      <c r="H2063" s="80">
        <v>3988000</v>
      </c>
    </row>
    <row r="2064" spans="1:8" x14ac:dyDescent="0.2">
      <c r="A2064" s="79" t="s">
        <v>8960</v>
      </c>
      <c r="B2064" s="79" t="s">
        <v>9259</v>
      </c>
      <c r="C2064" s="79" t="s">
        <v>7340</v>
      </c>
      <c r="D2064" s="79" t="s">
        <v>7312</v>
      </c>
      <c r="E2064" s="79">
        <v>2000</v>
      </c>
      <c r="F2064" s="79" t="s">
        <v>7349</v>
      </c>
      <c r="G2064" s="79" t="s">
        <v>7329</v>
      </c>
      <c r="H2064" s="80">
        <v>4985000</v>
      </c>
    </row>
    <row r="2065" spans="1:8" x14ac:dyDescent="0.2">
      <c r="A2065" s="79" t="s">
        <v>8960</v>
      </c>
      <c r="B2065" s="79" t="s">
        <v>9260</v>
      </c>
      <c r="C2065" s="79" t="s">
        <v>7335</v>
      </c>
      <c r="D2065" s="79" t="s">
        <v>7312</v>
      </c>
      <c r="E2065" s="79">
        <v>1600</v>
      </c>
      <c r="F2065" s="79" t="s">
        <v>7349</v>
      </c>
      <c r="G2065" s="79" t="s">
        <v>7329</v>
      </c>
      <c r="H2065" s="80">
        <v>2360000</v>
      </c>
    </row>
    <row r="2066" spans="1:8" x14ac:dyDescent="0.2">
      <c r="A2066" s="79" t="s">
        <v>8960</v>
      </c>
      <c r="B2066" s="79" t="s">
        <v>9260</v>
      </c>
      <c r="C2066" s="79" t="s">
        <v>7335</v>
      </c>
      <c r="D2066" s="79" t="s">
        <v>7312</v>
      </c>
      <c r="E2066" s="79">
        <v>1600</v>
      </c>
      <c r="F2066" s="79" t="s">
        <v>7336</v>
      </c>
      <c r="G2066" s="79" t="s">
        <v>7329</v>
      </c>
      <c r="H2066" s="80">
        <v>2245000</v>
      </c>
    </row>
    <row r="2067" spans="1:8" x14ac:dyDescent="0.2">
      <c r="A2067" s="79" t="s">
        <v>8960</v>
      </c>
      <c r="B2067" s="79" t="s">
        <v>9260</v>
      </c>
      <c r="C2067" s="79" t="s">
        <v>7311</v>
      </c>
      <c r="D2067" s="79" t="s">
        <v>7312</v>
      </c>
      <c r="E2067" s="79">
        <v>1600</v>
      </c>
      <c r="F2067" s="79" t="s">
        <v>7349</v>
      </c>
      <c r="G2067" s="79" t="s">
        <v>7329</v>
      </c>
      <c r="H2067" s="80">
        <v>2221400</v>
      </c>
    </row>
    <row r="2068" spans="1:8" x14ac:dyDescent="0.2">
      <c r="A2068" s="79" t="s">
        <v>8960</v>
      </c>
      <c r="B2068" s="79" t="s">
        <v>9260</v>
      </c>
      <c r="C2068" s="79" t="s">
        <v>7311</v>
      </c>
      <c r="D2068" s="79" t="s">
        <v>7312</v>
      </c>
      <c r="E2068" s="79">
        <v>1600</v>
      </c>
      <c r="F2068" s="79" t="s">
        <v>7336</v>
      </c>
      <c r="G2068" s="79" t="s">
        <v>7329</v>
      </c>
      <c r="H2068" s="80">
        <v>2135000</v>
      </c>
    </row>
    <row r="2069" spans="1:8" x14ac:dyDescent="0.2">
      <c r="A2069" s="79" t="s">
        <v>8960</v>
      </c>
      <c r="B2069" s="79" t="s">
        <v>9261</v>
      </c>
      <c r="C2069" s="79" t="s">
        <v>7335</v>
      </c>
      <c r="D2069" s="79" t="s">
        <v>7312</v>
      </c>
      <c r="E2069" s="79">
        <v>2000</v>
      </c>
      <c r="G2069" s="79" t="s">
        <v>7313</v>
      </c>
      <c r="H2069" s="80">
        <v>2500000</v>
      </c>
    </row>
    <row r="2070" spans="1:8" x14ac:dyDescent="0.2">
      <c r="A2070" s="79" t="s">
        <v>8960</v>
      </c>
      <c r="B2070" s="79" t="s">
        <v>9261</v>
      </c>
      <c r="C2070" s="79" t="s">
        <v>7311</v>
      </c>
      <c r="D2070" s="79" t="s">
        <v>7312</v>
      </c>
      <c r="E2070" s="79">
        <v>2000</v>
      </c>
      <c r="G2070" s="79" t="s">
        <v>7329</v>
      </c>
      <c r="H2070" s="80">
        <v>2410000</v>
      </c>
    </row>
    <row r="2071" spans="1:8" x14ac:dyDescent="0.2">
      <c r="A2071" s="79" t="s">
        <v>9262</v>
      </c>
      <c r="B2071" s="79" t="s">
        <v>9263</v>
      </c>
      <c r="C2071" s="79" t="s">
        <v>7340</v>
      </c>
      <c r="D2071" s="79" t="s">
        <v>7312</v>
      </c>
      <c r="E2071" s="79">
        <v>2000</v>
      </c>
      <c r="G2071" s="79" t="s">
        <v>7329</v>
      </c>
      <c r="H2071" s="80">
        <v>5176864</v>
      </c>
    </row>
    <row r="2072" spans="1:8" x14ac:dyDescent="0.2">
      <c r="A2072" s="79" t="s">
        <v>9262</v>
      </c>
      <c r="B2072" s="79" t="s">
        <v>9264</v>
      </c>
      <c r="C2072" s="79" t="s">
        <v>7340</v>
      </c>
      <c r="D2072" s="79" t="s">
        <v>7312</v>
      </c>
      <c r="E2072" s="79">
        <v>2000</v>
      </c>
      <c r="G2072" s="79" t="s">
        <v>7329</v>
      </c>
      <c r="H2072" s="80">
        <v>6446563</v>
      </c>
    </row>
    <row r="2073" spans="1:8" x14ac:dyDescent="0.2">
      <c r="A2073" s="79" t="s">
        <v>9262</v>
      </c>
      <c r="B2073" s="79" t="s">
        <v>9265</v>
      </c>
      <c r="C2073" s="79" t="s">
        <v>7340</v>
      </c>
      <c r="D2073" s="79" t="s">
        <v>7312</v>
      </c>
      <c r="E2073" s="79">
        <v>3200</v>
      </c>
      <c r="G2073" s="79" t="s">
        <v>7329</v>
      </c>
      <c r="H2073" s="80">
        <v>11174729.300000001</v>
      </c>
    </row>
    <row r="2074" spans="1:8" x14ac:dyDescent="0.2">
      <c r="A2074" s="79" t="s">
        <v>9262</v>
      </c>
      <c r="B2074" s="79" t="s">
        <v>9266</v>
      </c>
      <c r="C2074" s="79" t="s">
        <v>7335</v>
      </c>
      <c r="D2074" s="79" t="s">
        <v>7312</v>
      </c>
      <c r="E2074" s="79">
        <v>1380</v>
      </c>
      <c r="G2074" s="79" t="s">
        <v>7329</v>
      </c>
      <c r="H2074" s="80">
        <v>3287125</v>
      </c>
    </row>
    <row r="2075" spans="1:8" x14ac:dyDescent="0.2">
      <c r="A2075" s="79" t="s">
        <v>9262</v>
      </c>
      <c r="B2075" s="79" t="s">
        <v>9266</v>
      </c>
      <c r="C2075" s="79" t="s">
        <v>7335</v>
      </c>
      <c r="D2075" s="79" t="s">
        <v>7312</v>
      </c>
      <c r="E2075" s="79">
        <v>1980</v>
      </c>
      <c r="G2075" s="79" t="s">
        <v>7329</v>
      </c>
      <c r="H2075" s="80">
        <v>4716310</v>
      </c>
    </row>
    <row r="2076" spans="1:8" x14ac:dyDescent="0.2">
      <c r="A2076" s="79" t="s">
        <v>9262</v>
      </c>
      <c r="B2076" s="79" t="s">
        <v>9267</v>
      </c>
      <c r="C2076" s="79" t="s">
        <v>7311</v>
      </c>
      <c r="D2076" s="79" t="s">
        <v>7312</v>
      </c>
      <c r="E2076" s="79">
        <v>1595</v>
      </c>
      <c r="F2076" s="79" t="s">
        <v>7349</v>
      </c>
      <c r="G2076" s="79" t="s">
        <v>7329</v>
      </c>
      <c r="H2076" s="80">
        <v>4450000</v>
      </c>
    </row>
    <row r="2077" spans="1:8" x14ac:dyDescent="0.2">
      <c r="A2077" s="79" t="s">
        <v>9262</v>
      </c>
      <c r="B2077" s="79" t="s">
        <v>9268</v>
      </c>
      <c r="C2077" s="79" t="s">
        <v>7311</v>
      </c>
      <c r="D2077" s="79" t="s">
        <v>7312</v>
      </c>
      <c r="E2077" s="79">
        <v>1595</v>
      </c>
      <c r="G2077" s="79" t="s">
        <v>7329</v>
      </c>
      <c r="H2077" s="80">
        <v>4450000</v>
      </c>
    </row>
    <row r="2078" spans="1:8" x14ac:dyDescent="0.2">
      <c r="A2078" s="79" t="s">
        <v>9262</v>
      </c>
      <c r="B2078" s="79" t="s">
        <v>9269</v>
      </c>
      <c r="C2078" s="79" t="s">
        <v>7311</v>
      </c>
      <c r="D2078" s="79" t="s">
        <v>7312</v>
      </c>
      <c r="E2078" s="79">
        <v>1595</v>
      </c>
      <c r="F2078" s="79" t="s">
        <v>7349</v>
      </c>
      <c r="G2078" s="79" t="s">
        <v>7329</v>
      </c>
      <c r="H2078" s="80">
        <v>2625000</v>
      </c>
    </row>
    <row r="2079" spans="1:8" x14ac:dyDescent="0.2">
      <c r="A2079" s="79" t="s">
        <v>9262</v>
      </c>
      <c r="B2079" s="79" t="s">
        <v>9270</v>
      </c>
      <c r="C2079" s="79" t="s">
        <v>7311</v>
      </c>
      <c r="D2079" s="79" t="s">
        <v>7312</v>
      </c>
      <c r="E2079" s="79">
        <v>1595</v>
      </c>
      <c r="F2079" s="79" t="s">
        <v>7349</v>
      </c>
      <c r="G2079" s="79" t="s">
        <v>7329</v>
      </c>
      <c r="H2079" s="80">
        <v>2800000</v>
      </c>
    </row>
    <row r="2080" spans="1:8" x14ac:dyDescent="0.2">
      <c r="A2080" s="79" t="s">
        <v>9262</v>
      </c>
      <c r="B2080" s="79" t="s">
        <v>9271</v>
      </c>
      <c r="C2080" s="79" t="s">
        <v>7311</v>
      </c>
      <c r="D2080" s="79" t="s">
        <v>7328</v>
      </c>
      <c r="E2080" s="79">
        <v>1900</v>
      </c>
      <c r="F2080" s="79" t="s">
        <v>7349</v>
      </c>
      <c r="G2080" s="79" t="s">
        <v>7329</v>
      </c>
      <c r="H2080" s="80">
        <v>2825000</v>
      </c>
    </row>
    <row r="2081" spans="1:8" x14ac:dyDescent="0.2">
      <c r="A2081" s="79" t="s">
        <v>9262</v>
      </c>
      <c r="B2081" s="79" t="s">
        <v>9272</v>
      </c>
      <c r="C2081" s="79" t="s">
        <v>7311</v>
      </c>
      <c r="D2081" s="79" t="s">
        <v>7328</v>
      </c>
      <c r="E2081" s="79">
        <v>1900</v>
      </c>
      <c r="G2081" s="79" t="s">
        <v>7329</v>
      </c>
      <c r="H2081" s="80">
        <v>2695000</v>
      </c>
    </row>
    <row r="2082" spans="1:8" x14ac:dyDescent="0.2">
      <c r="A2082" s="79" t="s">
        <v>9262</v>
      </c>
      <c r="B2082" s="79" t="s">
        <v>9273</v>
      </c>
      <c r="C2082" s="79" t="s">
        <v>7311</v>
      </c>
      <c r="D2082" s="79" t="s">
        <v>7312</v>
      </c>
      <c r="E2082" s="79">
        <v>2000</v>
      </c>
      <c r="G2082" s="79" t="s">
        <v>7329</v>
      </c>
      <c r="H2082" s="80">
        <v>2650000</v>
      </c>
    </row>
    <row r="2083" spans="1:8" x14ac:dyDescent="0.2">
      <c r="A2083" s="79" t="s">
        <v>9262</v>
      </c>
      <c r="B2083" s="79" t="s">
        <v>9274</v>
      </c>
      <c r="C2083" s="79" t="s">
        <v>7311</v>
      </c>
      <c r="D2083" s="79" t="s">
        <v>7328</v>
      </c>
      <c r="E2083" s="79">
        <v>1968</v>
      </c>
      <c r="F2083" s="79" t="s">
        <v>7349</v>
      </c>
      <c r="G2083" s="79" t="s">
        <v>7329</v>
      </c>
      <c r="H2083" s="80">
        <v>2980000</v>
      </c>
    </row>
    <row r="2084" spans="1:8" x14ac:dyDescent="0.2">
      <c r="A2084" s="79" t="s">
        <v>9262</v>
      </c>
      <c r="B2084" s="79" t="s">
        <v>9275</v>
      </c>
      <c r="C2084" s="79" t="s">
        <v>7311</v>
      </c>
      <c r="D2084" s="79" t="s">
        <v>7312</v>
      </c>
      <c r="E2084" s="79">
        <v>1968</v>
      </c>
      <c r="F2084" s="79" t="s">
        <v>7349</v>
      </c>
      <c r="G2084" s="79" t="s">
        <v>7329</v>
      </c>
      <c r="H2084" s="80">
        <v>3058000</v>
      </c>
    </row>
    <row r="2085" spans="1:8" x14ac:dyDescent="0.2">
      <c r="A2085" s="79" t="s">
        <v>9262</v>
      </c>
      <c r="B2085" s="79" t="s">
        <v>9276</v>
      </c>
      <c r="C2085" s="79" t="s">
        <v>7335</v>
      </c>
      <c r="D2085" s="79" t="s">
        <v>7312</v>
      </c>
      <c r="E2085" s="79">
        <v>1600</v>
      </c>
      <c r="G2085" s="79" t="s">
        <v>7329</v>
      </c>
      <c r="H2085" s="80">
        <v>3120000</v>
      </c>
    </row>
    <row r="2086" spans="1:8" x14ac:dyDescent="0.2">
      <c r="A2086" s="79" t="s">
        <v>9262</v>
      </c>
      <c r="B2086" s="79" t="s">
        <v>9276</v>
      </c>
      <c r="C2086" s="79" t="s">
        <v>7335</v>
      </c>
      <c r="D2086" s="79" t="s">
        <v>7312</v>
      </c>
      <c r="E2086" s="79">
        <v>2000</v>
      </c>
      <c r="G2086" s="79" t="s">
        <v>7329</v>
      </c>
      <c r="H2086" s="80">
        <v>3890000</v>
      </c>
    </row>
    <row r="2087" spans="1:8" x14ac:dyDescent="0.2">
      <c r="A2087" s="79" t="s">
        <v>9262</v>
      </c>
      <c r="B2087" s="79" t="s">
        <v>9276</v>
      </c>
      <c r="C2087" s="79" t="s">
        <v>7335</v>
      </c>
      <c r="D2087" s="79" t="s">
        <v>7328</v>
      </c>
      <c r="E2087" s="79">
        <v>2000</v>
      </c>
      <c r="G2087" s="79" t="s">
        <v>7329</v>
      </c>
      <c r="H2087" s="80">
        <v>3949000</v>
      </c>
    </row>
    <row r="2088" spans="1:8" x14ac:dyDescent="0.2">
      <c r="A2088" s="79" t="s">
        <v>9262</v>
      </c>
      <c r="B2088" s="79" t="s">
        <v>9277</v>
      </c>
      <c r="C2088" s="79" t="s">
        <v>7335</v>
      </c>
      <c r="D2088" s="79" t="s">
        <v>7328</v>
      </c>
      <c r="E2088" s="79">
        <v>2460</v>
      </c>
      <c r="F2088" s="79" t="s">
        <v>7336</v>
      </c>
      <c r="G2088" s="79" t="s">
        <v>7329</v>
      </c>
      <c r="H2088" s="80">
        <v>9500000</v>
      </c>
    </row>
    <row r="2089" spans="1:8" x14ac:dyDescent="0.2">
      <c r="A2089" s="79" t="s">
        <v>9262</v>
      </c>
      <c r="B2089" s="79" t="s">
        <v>9277</v>
      </c>
      <c r="C2089" s="79" t="s">
        <v>7335</v>
      </c>
      <c r="D2089" s="79" t="s">
        <v>7328</v>
      </c>
      <c r="E2089" s="79">
        <v>2460</v>
      </c>
      <c r="F2089" s="79" t="s">
        <v>7349</v>
      </c>
      <c r="G2089" s="79" t="s">
        <v>7329</v>
      </c>
      <c r="H2089" s="80">
        <v>10800000</v>
      </c>
    </row>
    <row r="2090" spans="1:8" x14ac:dyDescent="0.2">
      <c r="A2090" s="79" t="s">
        <v>9262</v>
      </c>
      <c r="B2090" s="79" t="s">
        <v>9278</v>
      </c>
      <c r="C2090" s="79" t="s">
        <v>7311</v>
      </c>
      <c r="D2090" s="79" t="s">
        <v>7312</v>
      </c>
      <c r="E2090" s="79">
        <v>1800</v>
      </c>
      <c r="F2090" s="79" t="s">
        <v>7349</v>
      </c>
      <c r="G2090" s="79" t="s">
        <v>7329</v>
      </c>
      <c r="H2090" s="80">
        <v>5975000</v>
      </c>
    </row>
    <row r="2091" spans="1:8" x14ac:dyDescent="0.2">
      <c r="A2091" s="79" t="s">
        <v>9262</v>
      </c>
      <c r="B2091" s="79" t="s">
        <v>9279</v>
      </c>
      <c r="C2091" s="79" t="s">
        <v>7311</v>
      </c>
      <c r="D2091" s="79" t="s">
        <v>7312</v>
      </c>
      <c r="E2091" s="79">
        <v>1800</v>
      </c>
      <c r="F2091" s="79" t="s">
        <v>7349</v>
      </c>
      <c r="G2091" s="79" t="s">
        <v>7329</v>
      </c>
      <c r="H2091" s="80">
        <v>6141368</v>
      </c>
    </row>
    <row r="2092" spans="1:8" x14ac:dyDescent="0.2">
      <c r="A2092" s="79" t="s">
        <v>9262</v>
      </c>
      <c r="B2092" s="79" t="s">
        <v>9280</v>
      </c>
      <c r="C2092" s="79" t="s">
        <v>7407</v>
      </c>
      <c r="D2092" s="79" t="s">
        <v>7312</v>
      </c>
      <c r="E2092" s="79">
        <v>1800</v>
      </c>
      <c r="G2092" s="79" t="s">
        <v>7329</v>
      </c>
      <c r="H2092" s="80">
        <v>5750000</v>
      </c>
    </row>
    <row r="2093" spans="1:8" x14ac:dyDescent="0.2">
      <c r="A2093" s="79" t="s">
        <v>9262</v>
      </c>
      <c r="B2093" s="79" t="s">
        <v>9281</v>
      </c>
      <c r="C2093" s="79" t="s">
        <v>7311</v>
      </c>
      <c r="D2093" s="79" t="s">
        <v>7312</v>
      </c>
      <c r="E2093" s="79">
        <v>1800</v>
      </c>
      <c r="F2093" s="79" t="s">
        <v>7349</v>
      </c>
      <c r="G2093" s="79" t="s">
        <v>7329</v>
      </c>
      <c r="H2093" s="80">
        <v>6850000</v>
      </c>
    </row>
    <row r="2094" spans="1:8" x14ac:dyDescent="0.2">
      <c r="A2094" s="79" t="s">
        <v>9262</v>
      </c>
      <c r="B2094" s="79" t="s">
        <v>9282</v>
      </c>
      <c r="C2094" s="79" t="s">
        <v>7407</v>
      </c>
      <c r="D2094" s="79" t="s">
        <v>7312</v>
      </c>
      <c r="E2094" s="79">
        <v>1800</v>
      </c>
      <c r="F2094" s="79" t="s">
        <v>7349</v>
      </c>
      <c r="G2094" s="79" t="s">
        <v>7329</v>
      </c>
      <c r="H2094" s="80">
        <v>5850000</v>
      </c>
    </row>
    <row r="2095" spans="1:8" x14ac:dyDescent="0.2">
      <c r="A2095" s="79" t="s">
        <v>9262</v>
      </c>
      <c r="B2095" s="79" t="s">
        <v>9283</v>
      </c>
      <c r="C2095" s="79" t="s">
        <v>7311</v>
      </c>
      <c r="D2095" s="79" t="s">
        <v>7312</v>
      </c>
      <c r="E2095" s="79">
        <v>1984</v>
      </c>
      <c r="F2095" s="79" t="s">
        <v>7349</v>
      </c>
      <c r="G2095" s="79" t="s">
        <v>7329</v>
      </c>
      <c r="H2095" s="80">
        <v>6769153</v>
      </c>
    </row>
    <row r="2096" spans="1:8" x14ac:dyDescent="0.2">
      <c r="A2096" s="79" t="s">
        <v>9262</v>
      </c>
      <c r="B2096" s="79" t="s">
        <v>9284</v>
      </c>
      <c r="C2096" s="79" t="s">
        <v>7335</v>
      </c>
      <c r="D2096" s="79" t="s">
        <v>7312</v>
      </c>
      <c r="E2096" s="79">
        <v>1800</v>
      </c>
      <c r="F2096" s="79" t="s">
        <v>7349</v>
      </c>
      <c r="G2096" s="79" t="s">
        <v>7329</v>
      </c>
      <c r="H2096" s="80">
        <v>6200000</v>
      </c>
    </row>
    <row r="2097" spans="1:8" x14ac:dyDescent="0.2">
      <c r="A2097" s="79" t="s">
        <v>9262</v>
      </c>
      <c r="B2097" s="79" t="s">
        <v>9282</v>
      </c>
      <c r="C2097" s="79" t="s">
        <v>7407</v>
      </c>
      <c r="D2097" s="79" t="s">
        <v>7312</v>
      </c>
      <c r="E2097" s="79">
        <v>3590</v>
      </c>
      <c r="F2097" s="79" t="s">
        <v>7349</v>
      </c>
      <c r="G2097" s="79" t="s">
        <v>7329</v>
      </c>
      <c r="H2097" s="80">
        <v>10155671.34</v>
      </c>
    </row>
    <row r="2098" spans="1:8" x14ac:dyDescent="0.2">
      <c r="A2098" s="79" t="s">
        <v>9262</v>
      </c>
      <c r="B2098" s="79" t="s">
        <v>9285</v>
      </c>
      <c r="C2098" s="79" t="s">
        <v>7311</v>
      </c>
      <c r="D2098" s="79" t="s">
        <v>7328</v>
      </c>
      <c r="E2098" s="79">
        <v>1984</v>
      </c>
      <c r="F2098" s="79" t="s">
        <v>7349</v>
      </c>
      <c r="G2098" s="79" t="s">
        <v>7329</v>
      </c>
      <c r="H2098" s="80">
        <v>6932000</v>
      </c>
    </row>
    <row r="2099" spans="1:8" x14ac:dyDescent="0.2">
      <c r="A2099" s="79" t="s">
        <v>9262</v>
      </c>
      <c r="B2099" s="79" t="s">
        <v>9285</v>
      </c>
      <c r="C2099" s="79" t="s">
        <v>7311</v>
      </c>
      <c r="D2099" s="79" t="s">
        <v>7328</v>
      </c>
      <c r="E2099" s="79">
        <v>1984</v>
      </c>
      <c r="F2099" s="79" t="s">
        <v>7336</v>
      </c>
      <c r="G2099" s="79" t="s">
        <v>7329</v>
      </c>
      <c r="H2099" s="80">
        <v>6030840</v>
      </c>
    </row>
    <row r="2100" spans="1:8" x14ac:dyDescent="0.2">
      <c r="A2100" s="79" t="s">
        <v>9262</v>
      </c>
      <c r="B2100" s="79" t="s">
        <v>9286</v>
      </c>
      <c r="C2100" s="79" t="s">
        <v>7340</v>
      </c>
      <c r="D2100" s="79" t="s">
        <v>7312</v>
      </c>
      <c r="E2100" s="79">
        <v>1198</v>
      </c>
      <c r="G2100" s="79" t="s">
        <v>7329</v>
      </c>
      <c r="H2100" s="80">
        <v>2183227</v>
      </c>
    </row>
    <row r="2101" spans="1:8" x14ac:dyDescent="0.2">
      <c r="A2101" s="79" t="s">
        <v>9262</v>
      </c>
      <c r="B2101" s="79" t="s">
        <v>9287</v>
      </c>
      <c r="C2101" s="79" t="s">
        <v>7340</v>
      </c>
      <c r="D2101" s="79" t="s">
        <v>7312</v>
      </c>
      <c r="E2101" s="79">
        <v>1198</v>
      </c>
      <c r="G2101" s="79" t="s">
        <v>7329</v>
      </c>
      <c r="H2101" s="80">
        <v>2153606</v>
      </c>
    </row>
    <row r="2102" spans="1:8" x14ac:dyDescent="0.2">
      <c r="A2102" s="79" t="s">
        <v>9262</v>
      </c>
      <c r="B2102" s="79" t="s">
        <v>9288</v>
      </c>
      <c r="C2102" s="79" t="s">
        <v>7340</v>
      </c>
      <c r="D2102" s="79" t="s">
        <v>7312</v>
      </c>
      <c r="E2102" s="79">
        <v>1198</v>
      </c>
      <c r="G2102" s="79" t="s">
        <v>7329</v>
      </c>
      <c r="H2102" s="80">
        <v>1957586</v>
      </c>
    </row>
    <row r="2103" spans="1:8" x14ac:dyDescent="0.2">
      <c r="A2103" s="79" t="s">
        <v>9262</v>
      </c>
      <c r="B2103" s="79" t="s">
        <v>9289</v>
      </c>
      <c r="C2103" s="79" t="s">
        <v>7340</v>
      </c>
      <c r="D2103" s="79" t="s">
        <v>7312</v>
      </c>
      <c r="E2103" s="79">
        <v>1198</v>
      </c>
      <c r="G2103" s="79" t="s">
        <v>7329</v>
      </c>
      <c r="H2103" s="80">
        <v>2335687</v>
      </c>
    </row>
    <row r="2104" spans="1:8" x14ac:dyDescent="0.2">
      <c r="A2104" s="79" t="s">
        <v>9262</v>
      </c>
      <c r="B2104" s="79" t="s">
        <v>9290</v>
      </c>
      <c r="C2104" s="79" t="s">
        <v>7340</v>
      </c>
      <c r="D2104" s="79" t="s">
        <v>7312</v>
      </c>
      <c r="E2104" s="79">
        <v>1198</v>
      </c>
      <c r="G2104" s="79" t="s">
        <v>7329</v>
      </c>
      <c r="H2104" s="80">
        <v>2306066</v>
      </c>
    </row>
    <row r="2105" spans="1:8" x14ac:dyDescent="0.2">
      <c r="A2105" s="79" t="s">
        <v>9262</v>
      </c>
      <c r="B2105" s="79" t="s">
        <v>9291</v>
      </c>
      <c r="C2105" s="79" t="s">
        <v>7340</v>
      </c>
      <c r="D2105" s="79" t="s">
        <v>7312</v>
      </c>
      <c r="E2105" s="79">
        <v>1198</v>
      </c>
      <c r="G2105" s="79" t="s">
        <v>7329</v>
      </c>
      <c r="H2105" s="80">
        <v>2075198</v>
      </c>
    </row>
    <row r="2106" spans="1:8" x14ac:dyDescent="0.2">
      <c r="A2106" s="79" t="s">
        <v>9262</v>
      </c>
      <c r="B2106" s="79" t="s">
        <v>9292</v>
      </c>
      <c r="C2106" s="79" t="s">
        <v>7340</v>
      </c>
      <c r="D2106" s="79" t="s">
        <v>7312</v>
      </c>
      <c r="E2106" s="79">
        <v>1198</v>
      </c>
      <c r="G2106" s="79" t="s">
        <v>7329</v>
      </c>
      <c r="H2106" s="80">
        <v>2839241</v>
      </c>
    </row>
    <row r="2107" spans="1:8" x14ac:dyDescent="0.2">
      <c r="A2107" s="79" t="s">
        <v>9262</v>
      </c>
      <c r="B2107" s="79" t="s">
        <v>9293</v>
      </c>
      <c r="C2107" s="79" t="s">
        <v>7340</v>
      </c>
      <c r="D2107" s="79" t="s">
        <v>7312</v>
      </c>
      <c r="E2107" s="79">
        <v>1198</v>
      </c>
      <c r="G2107" s="79" t="s">
        <v>7329</v>
      </c>
      <c r="H2107" s="80">
        <v>2773030</v>
      </c>
    </row>
    <row r="2108" spans="1:8" x14ac:dyDescent="0.2">
      <c r="A2108" s="79" t="s">
        <v>9262</v>
      </c>
      <c r="B2108" s="79" t="s">
        <v>9294</v>
      </c>
      <c r="C2108" s="79" t="s">
        <v>7340</v>
      </c>
      <c r="D2108" s="79" t="s">
        <v>7328</v>
      </c>
      <c r="E2108" s="79">
        <v>1198</v>
      </c>
      <c r="G2108" s="79" t="s">
        <v>7329</v>
      </c>
      <c r="H2108" s="80">
        <v>2570040</v>
      </c>
    </row>
    <row r="2109" spans="1:8" x14ac:dyDescent="0.2">
      <c r="A2109" s="79" t="s">
        <v>9262</v>
      </c>
      <c r="B2109" s="79" t="s">
        <v>9295</v>
      </c>
      <c r="C2109" s="79" t="s">
        <v>7340</v>
      </c>
      <c r="D2109" s="79" t="s">
        <v>7328</v>
      </c>
      <c r="E2109" s="79">
        <v>1198</v>
      </c>
      <c r="G2109" s="79" t="s">
        <v>7329</v>
      </c>
      <c r="H2109" s="80">
        <v>2808749</v>
      </c>
    </row>
    <row r="2110" spans="1:8" x14ac:dyDescent="0.2">
      <c r="A2110" s="79" t="s">
        <v>9262</v>
      </c>
      <c r="B2110" s="79" t="s">
        <v>9296</v>
      </c>
      <c r="C2110" s="79" t="s">
        <v>7340</v>
      </c>
      <c r="D2110" s="79" t="s">
        <v>7312</v>
      </c>
      <c r="E2110" s="79">
        <v>1198</v>
      </c>
      <c r="G2110" s="79" t="s">
        <v>7329</v>
      </c>
      <c r="H2110" s="80">
        <v>2991595</v>
      </c>
    </row>
    <row r="2111" spans="1:8" x14ac:dyDescent="0.2">
      <c r="A2111" s="79" t="s">
        <v>9262</v>
      </c>
      <c r="B2111" s="79" t="s">
        <v>9297</v>
      </c>
      <c r="C2111" s="79" t="s">
        <v>7340</v>
      </c>
      <c r="D2111" s="79" t="s">
        <v>7312</v>
      </c>
      <c r="E2111" s="79">
        <v>1390</v>
      </c>
      <c r="G2111" s="79" t="s">
        <v>7329</v>
      </c>
      <c r="H2111" s="80">
        <v>3494383</v>
      </c>
    </row>
    <row r="2112" spans="1:8" x14ac:dyDescent="0.2">
      <c r="A2112" s="79" t="s">
        <v>9262</v>
      </c>
      <c r="B2112" s="79" t="s">
        <v>9298</v>
      </c>
      <c r="C2112" s="79" t="s">
        <v>7340</v>
      </c>
      <c r="D2112" s="79" t="s">
        <v>7312</v>
      </c>
      <c r="E2112" s="79">
        <v>1390</v>
      </c>
      <c r="G2112" s="79" t="s">
        <v>7329</v>
      </c>
      <c r="H2112" s="80">
        <v>3139805</v>
      </c>
    </row>
    <row r="2113" spans="1:8" x14ac:dyDescent="0.2">
      <c r="A2113" s="79" t="s">
        <v>9262</v>
      </c>
      <c r="B2113" s="79" t="s">
        <v>9299</v>
      </c>
      <c r="C2113" s="79" t="s">
        <v>7340</v>
      </c>
      <c r="D2113" s="79" t="s">
        <v>7312</v>
      </c>
      <c r="E2113" s="79">
        <v>1390</v>
      </c>
      <c r="G2113" s="79" t="s">
        <v>7329</v>
      </c>
      <c r="H2113" s="80">
        <v>2750000</v>
      </c>
    </row>
    <row r="2114" spans="1:8" x14ac:dyDescent="0.2">
      <c r="A2114" s="79" t="s">
        <v>9262</v>
      </c>
      <c r="B2114" s="79" t="s">
        <v>9300</v>
      </c>
      <c r="C2114" s="79" t="s">
        <v>7340</v>
      </c>
      <c r="D2114" s="79" t="s">
        <v>7312</v>
      </c>
      <c r="E2114" s="79">
        <v>1390</v>
      </c>
      <c r="G2114" s="79" t="s">
        <v>7329</v>
      </c>
      <c r="H2114" s="80">
        <v>2995000</v>
      </c>
    </row>
    <row r="2115" spans="1:8" x14ac:dyDescent="0.2">
      <c r="A2115" s="79" t="s">
        <v>9262</v>
      </c>
      <c r="B2115" s="79" t="s">
        <v>9301</v>
      </c>
      <c r="C2115" s="79" t="s">
        <v>7340</v>
      </c>
      <c r="D2115" s="79" t="s">
        <v>7312</v>
      </c>
      <c r="E2115" s="79">
        <v>1390</v>
      </c>
      <c r="G2115" s="79" t="s">
        <v>7329</v>
      </c>
      <c r="H2115" s="80">
        <v>2412353</v>
      </c>
    </row>
    <row r="2116" spans="1:8" x14ac:dyDescent="0.2">
      <c r="A2116" s="79" t="s">
        <v>9262</v>
      </c>
      <c r="B2116" s="79" t="s">
        <v>9302</v>
      </c>
      <c r="C2116" s="79" t="s">
        <v>7340</v>
      </c>
      <c r="D2116" s="79" t="s">
        <v>7328</v>
      </c>
      <c r="E2116" s="79">
        <v>1600</v>
      </c>
      <c r="G2116" s="79" t="s">
        <v>7329</v>
      </c>
      <c r="H2116" s="80">
        <v>2808749</v>
      </c>
    </row>
    <row r="2117" spans="1:8" x14ac:dyDescent="0.2">
      <c r="A2117" s="79" t="s">
        <v>9262</v>
      </c>
      <c r="B2117" s="79" t="s">
        <v>9303</v>
      </c>
      <c r="C2117" s="79" t="s">
        <v>7340</v>
      </c>
      <c r="D2117" s="79" t="s">
        <v>7312</v>
      </c>
      <c r="E2117" s="79">
        <v>1400</v>
      </c>
      <c r="G2117" s="79" t="s">
        <v>7329</v>
      </c>
      <c r="H2117" s="80">
        <v>3150000</v>
      </c>
    </row>
    <row r="2118" spans="1:8" x14ac:dyDescent="0.2">
      <c r="A2118" s="79" t="s">
        <v>9262</v>
      </c>
      <c r="B2118" s="79" t="s">
        <v>9304</v>
      </c>
      <c r="C2118" s="79" t="s">
        <v>7340</v>
      </c>
      <c r="D2118" s="79" t="s">
        <v>7312</v>
      </c>
      <c r="E2118" s="79">
        <v>1600</v>
      </c>
      <c r="G2118" s="79" t="s">
        <v>7329</v>
      </c>
      <c r="H2118" s="80">
        <v>3900000</v>
      </c>
    </row>
    <row r="2119" spans="1:8" x14ac:dyDescent="0.2">
      <c r="A2119" s="79" t="s">
        <v>9262</v>
      </c>
      <c r="B2119" s="79" t="s">
        <v>9305</v>
      </c>
      <c r="C2119" s="79" t="s">
        <v>7340</v>
      </c>
      <c r="D2119" s="79" t="s">
        <v>7328</v>
      </c>
      <c r="E2119" s="79">
        <v>1900</v>
      </c>
      <c r="G2119" s="79" t="s">
        <v>7329</v>
      </c>
      <c r="H2119" s="80">
        <v>3200000</v>
      </c>
    </row>
    <row r="2120" spans="1:8" x14ac:dyDescent="0.2">
      <c r="A2120" s="79" t="s">
        <v>9262</v>
      </c>
      <c r="B2120" s="79" t="s">
        <v>9306</v>
      </c>
      <c r="C2120" s="79" t="s">
        <v>7340</v>
      </c>
      <c r="D2120" s="79" t="s">
        <v>7312</v>
      </c>
      <c r="E2120" s="79">
        <v>1400</v>
      </c>
      <c r="G2120" s="79" t="s">
        <v>7329</v>
      </c>
      <c r="H2120" s="80">
        <v>1650000</v>
      </c>
    </row>
    <row r="2121" spans="1:8" x14ac:dyDescent="0.2">
      <c r="A2121" s="79" t="s">
        <v>9262</v>
      </c>
      <c r="B2121" s="79" t="s">
        <v>9307</v>
      </c>
      <c r="C2121" s="79" t="s">
        <v>7340</v>
      </c>
      <c r="D2121" s="79" t="s">
        <v>7312</v>
      </c>
      <c r="E2121" s="79">
        <v>1400</v>
      </c>
      <c r="G2121" s="79" t="s">
        <v>7329</v>
      </c>
      <c r="H2121" s="80">
        <v>1850000</v>
      </c>
    </row>
    <row r="2122" spans="1:8" x14ac:dyDescent="0.2">
      <c r="A2122" s="79" t="s">
        <v>9262</v>
      </c>
      <c r="B2122" s="79" t="s">
        <v>9307</v>
      </c>
      <c r="C2122" s="79" t="s">
        <v>7340</v>
      </c>
      <c r="D2122" s="79" t="s">
        <v>7312</v>
      </c>
      <c r="E2122" s="79">
        <v>1600</v>
      </c>
      <c r="G2122" s="79" t="s">
        <v>7329</v>
      </c>
      <c r="H2122" s="80">
        <v>1890000</v>
      </c>
    </row>
    <row r="2123" spans="1:8" x14ac:dyDescent="0.2">
      <c r="A2123" s="79" t="s">
        <v>9262</v>
      </c>
      <c r="B2123" s="79" t="s">
        <v>9308</v>
      </c>
      <c r="C2123" s="79" t="s">
        <v>7340</v>
      </c>
      <c r="D2123" s="79" t="s">
        <v>7312</v>
      </c>
      <c r="E2123" s="79">
        <v>1600</v>
      </c>
      <c r="G2123" s="79" t="s">
        <v>7329</v>
      </c>
      <c r="H2123" s="80">
        <v>1690000</v>
      </c>
    </row>
    <row r="2124" spans="1:8" x14ac:dyDescent="0.2">
      <c r="A2124" s="79" t="s">
        <v>9262</v>
      </c>
      <c r="B2124" s="79" t="s">
        <v>9309</v>
      </c>
      <c r="C2124" s="79" t="s">
        <v>7335</v>
      </c>
      <c r="D2124" s="79" t="s">
        <v>7312</v>
      </c>
      <c r="E2124" s="79">
        <v>2000</v>
      </c>
      <c r="G2124" s="79" t="s">
        <v>7329</v>
      </c>
      <c r="H2124" s="80">
        <v>4678689</v>
      </c>
    </row>
    <row r="2125" spans="1:8" x14ac:dyDescent="0.2">
      <c r="A2125" s="79" t="s">
        <v>9262</v>
      </c>
      <c r="B2125" s="79" t="s">
        <v>9310</v>
      </c>
      <c r="C2125" s="79" t="s">
        <v>7335</v>
      </c>
      <c r="D2125" s="79" t="s">
        <v>7312</v>
      </c>
      <c r="E2125" s="79">
        <v>2000</v>
      </c>
      <c r="G2125" s="79" t="s">
        <v>7329</v>
      </c>
      <c r="H2125" s="80">
        <v>4936275</v>
      </c>
    </row>
    <row r="2126" spans="1:8" x14ac:dyDescent="0.2">
      <c r="A2126" s="79" t="s">
        <v>9262</v>
      </c>
      <c r="B2126" s="79" t="s">
        <v>9311</v>
      </c>
      <c r="C2126" s="79" t="s">
        <v>7335</v>
      </c>
      <c r="D2126" s="79" t="s">
        <v>7312</v>
      </c>
      <c r="E2126" s="79">
        <v>1400</v>
      </c>
      <c r="G2126" s="79" t="s">
        <v>7329</v>
      </c>
      <c r="H2126" s="80">
        <v>4409732</v>
      </c>
    </row>
    <row r="2127" spans="1:8" x14ac:dyDescent="0.2">
      <c r="A2127" s="79" t="s">
        <v>9262</v>
      </c>
      <c r="B2127" s="79" t="s">
        <v>9312</v>
      </c>
      <c r="C2127" s="79" t="s">
        <v>7335</v>
      </c>
      <c r="D2127" s="79" t="s">
        <v>7312</v>
      </c>
      <c r="E2127" s="79">
        <v>2000</v>
      </c>
      <c r="G2127" s="79" t="s">
        <v>9313</v>
      </c>
      <c r="H2127" s="80">
        <v>4250000</v>
      </c>
    </row>
    <row r="2128" spans="1:8" x14ac:dyDescent="0.2">
      <c r="A2128" s="79" t="s">
        <v>9262</v>
      </c>
      <c r="B2128" s="79" t="s">
        <v>9314</v>
      </c>
      <c r="C2128" s="79" t="s">
        <v>7335</v>
      </c>
      <c r="D2128" s="79" t="s">
        <v>7312</v>
      </c>
      <c r="E2128" s="79">
        <v>2000</v>
      </c>
      <c r="G2128" s="79" t="s">
        <v>9313</v>
      </c>
      <c r="H2128" s="80">
        <v>4650000</v>
      </c>
    </row>
    <row r="2129" spans="1:8" x14ac:dyDescent="0.2">
      <c r="A2129" s="79" t="s">
        <v>9262</v>
      </c>
      <c r="B2129" s="79" t="s">
        <v>9315</v>
      </c>
      <c r="C2129" s="79" t="s">
        <v>7335</v>
      </c>
      <c r="D2129" s="79" t="s">
        <v>7312</v>
      </c>
      <c r="E2129" s="79">
        <v>2000</v>
      </c>
      <c r="G2129" s="79" t="s">
        <v>9313</v>
      </c>
      <c r="H2129" s="80">
        <v>5250000</v>
      </c>
    </row>
    <row r="2130" spans="1:8" x14ac:dyDescent="0.2">
      <c r="A2130" s="79" t="s">
        <v>9262</v>
      </c>
      <c r="B2130" s="79" t="s">
        <v>9316</v>
      </c>
      <c r="C2130" s="79" t="s">
        <v>7335</v>
      </c>
      <c r="D2130" s="79" t="s">
        <v>7312</v>
      </c>
      <c r="E2130" s="79">
        <v>2000</v>
      </c>
      <c r="G2130" s="79" t="s">
        <v>9313</v>
      </c>
      <c r="H2130" s="80">
        <v>5850000</v>
      </c>
    </row>
    <row r="2131" spans="1:8" x14ac:dyDescent="0.2">
      <c r="A2131" s="79" t="s">
        <v>9262</v>
      </c>
      <c r="B2131" s="79" t="s">
        <v>9317</v>
      </c>
      <c r="C2131" s="79" t="s">
        <v>7335</v>
      </c>
      <c r="D2131" s="79" t="s">
        <v>7312</v>
      </c>
      <c r="E2131" s="79">
        <v>2000</v>
      </c>
      <c r="F2131" s="79" t="s">
        <v>7349</v>
      </c>
      <c r="G2131" s="79" t="s">
        <v>7329</v>
      </c>
      <c r="H2131" s="80">
        <v>6800000</v>
      </c>
    </row>
    <row r="2132" spans="1:8" x14ac:dyDescent="0.2">
      <c r="A2132" s="79" t="s">
        <v>9262</v>
      </c>
      <c r="B2132" s="79" t="s">
        <v>9318</v>
      </c>
      <c r="C2132" s="79" t="s">
        <v>7335</v>
      </c>
      <c r="D2132" s="79" t="s">
        <v>7328</v>
      </c>
      <c r="E2132" s="79">
        <v>2000</v>
      </c>
      <c r="F2132" s="79" t="s">
        <v>7349</v>
      </c>
      <c r="G2132" s="79" t="s">
        <v>7313</v>
      </c>
      <c r="H2132" s="80">
        <v>5950000</v>
      </c>
    </row>
    <row r="2133" spans="1:8" x14ac:dyDescent="0.2">
      <c r="A2133" s="79" t="s">
        <v>9262</v>
      </c>
      <c r="B2133" s="79" t="s">
        <v>9319</v>
      </c>
      <c r="C2133" s="79" t="s">
        <v>7335</v>
      </c>
      <c r="D2133" s="79" t="s">
        <v>7328</v>
      </c>
      <c r="E2133" s="79">
        <v>2000</v>
      </c>
      <c r="G2133" s="79" t="s">
        <v>7313</v>
      </c>
      <c r="H2133" s="80">
        <v>6975000</v>
      </c>
    </row>
    <row r="2134" spans="1:8" x14ac:dyDescent="0.2">
      <c r="A2134" s="79" t="s">
        <v>9262</v>
      </c>
      <c r="B2134" s="79" t="s">
        <v>9320</v>
      </c>
      <c r="C2134" s="79" t="s">
        <v>7335</v>
      </c>
      <c r="D2134" s="79" t="s">
        <v>7328</v>
      </c>
      <c r="E2134" s="79">
        <v>2000</v>
      </c>
      <c r="G2134" s="79" t="s">
        <v>7313</v>
      </c>
      <c r="H2134" s="80">
        <v>7250000</v>
      </c>
    </row>
    <row r="2135" spans="1:8" x14ac:dyDescent="0.2">
      <c r="A2135" s="79" t="s">
        <v>9262</v>
      </c>
      <c r="B2135" s="79" t="s">
        <v>9321</v>
      </c>
      <c r="C2135" s="79" t="s">
        <v>7335</v>
      </c>
      <c r="D2135" s="79" t="s">
        <v>7328</v>
      </c>
      <c r="E2135" s="79">
        <v>2460</v>
      </c>
      <c r="F2135" s="79" t="s">
        <v>7349</v>
      </c>
      <c r="G2135" s="79" t="s">
        <v>7313</v>
      </c>
      <c r="H2135" s="80">
        <v>7318500</v>
      </c>
    </row>
    <row r="2136" spans="1:8" x14ac:dyDescent="0.2">
      <c r="A2136" s="79" t="s">
        <v>9262</v>
      </c>
      <c r="B2136" s="79" t="s">
        <v>9322</v>
      </c>
      <c r="C2136" s="79" t="s">
        <v>7335</v>
      </c>
      <c r="D2136" s="79" t="s">
        <v>7328</v>
      </c>
      <c r="E2136" s="79">
        <v>2460</v>
      </c>
      <c r="F2136" s="79" t="s">
        <v>7349</v>
      </c>
      <c r="G2136" s="79" t="s">
        <v>7313</v>
      </c>
      <c r="H2136" s="80">
        <v>8370000</v>
      </c>
    </row>
    <row r="2137" spans="1:8" x14ac:dyDescent="0.2">
      <c r="A2137" s="79" t="s">
        <v>9262</v>
      </c>
      <c r="B2137" s="79" t="s">
        <v>9323</v>
      </c>
      <c r="C2137" s="79" t="s">
        <v>7335</v>
      </c>
      <c r="D2137" s="79" t="s">
        <v>7328</v>
      </c>
      <c r="E2137" s="79">
        <v>2967</v>
      </c>
      <c r="F2137" s="79" t="s">
        <v>7349</v>
      </c>
      <c r="G2137" s="79" t="s">
        <v>7313</v>
      </c>
      <c r="H2137" s="80">
        <v>11550000</v>
      </c>
    </row>
    <row r="2138" spans="1:8" x14ac:dyDescent="0.2">
      <c r="A2138" s="79" t="s">
        <v>9262</v>
      </c>
      <c r="B2138" s="79" t="s">
        <v>9324</v>
      </c>
      <c r="C2138" s="79" t="s">
        <v>7335</v>
      </c>
      <c r="D2138" s="79" t="s">
        <v>7312</v>
      </c>
      <c r="E2138" s="79">
        <v>3200</v>
      </c>
      <c r="F2138" s="79" t="s">
        <v>7349</v>
      </c>
      <c r="G2138" s="79" t="s">
        <v>7313</v>
      </c>
      <c r="H2138" s="80">
        <v>9605337</v>
      </c>
    </row>
    <row r="2139" spans="1:8" x14ac:dyDescent="0.2">
      <c r="A2139" s="79" t="s">
        <v>9262</v>
      </c>
      <c r="B2139" s="79" t="s">
        <v>9325</v>
      </c>
      <c r="C2139" s="79" t="s">
        <v>7335</v>
      </c>
      <c r="D2139" s="79" t="s">
        <v>7312</v>
      </c>
      <c r="E2139" s="79">
        <v>3598</v>
      </c>
      <c r="F2139" s="79" t="s">
        <v>7349</v>
      </c>
      <c r="G2139" s="79" t="s">
        <v>7313</v>
      </c>
      <c r="H2139" s="80">
        <v>10800000</v>
      </c>
    </row>
    <row r="2140" spans="1:8" x14ac:dyDescent="0.2">
      <c r="A2140" s="79" t="s">
        <v>9262</v>
      </c>
      <c r="B2140" s="79" t="s">
        <v>9326</v>
      </c>
      <c r="C2140" s="79" t="s">
        <v>7335</v>
      </c>
      <c r="D2140" s="79" t="s">
        <v>7328</v>
      </c>
      <c r="E2140" s="79">
        <v>4200</v>
      </c>
      <c r="G2140" s="79" t="s">
        <v>7313</v>
      </c>
      <c r="H2140" s="80">
        <v>12807375</v>
      </c>
    </row>
    <row r="2141" spans="1:8" x14ac:dyDescent="0.2">
      <c r="A2141" s="79" t="s">
        <v>9262</v>
      </c>
      <c r="B2141" s="79" t="s">
        <v>9327</v>
      </c>
      <c r="C2141" s="79" t="s">
        <v>7335</v>
      </c>
      <c r="D2141" s="79" t="s">
        <v>7328</v>
      </c>
      <c r="E2141" s="79">
        <v>4200</v>
      </c>
      <c r="G2141" s="79" t="s">
        <v>7313</v>
      </c>
      <c r="H2141" s="80">
        <v>14290244</v>
      </c>
    </row>
    <row r="2142" spans="1:8" x14ac:dyDescent="0.2">
      <c r="A2142" s="79" t="s">
        <v>9262</v>
      </c>
      <c r="B2142" s="79" t="s">
        <v>9328</v>
      </c>
      <c r="C2142" s="79" t="s">
        <v>8095</v>
      </c>
      <c r="D2142" s="79" t="s">
        <v>7328</v>
      </c>
      <c r="E2142" s="79">
        <v>2000</v>
      </c>
      <c r="G2142" s="79" t="s">
        <v>7329</v>
      </c>
      <c r="H2142" s="80">
        <v>4950000</v>
      </c>
    </row>
    <row r="2143" spans="1:8" x14ac:dyDescent="0.2">
      <c r="A2143" s="79" t="s">
        <v>9262</v>
      </c>
      <c r="B2143" s="79" t="s">
        <v>9328</v>
      </c>
      <c r="C2143" s="79" t="s">
        <v>8095</v>
      </c>
      <c r="D2143" s="79" t="s">
        <v>7328</v>
      </c>
      <c r="E2143" s="79">
        <v>2000</v>
      </c>
      <c r="G2143" s="79" t="s">
        <v>7313</v>
      </c>
      <c r="H2143" s="80">
        <v>5900000</v>
      </c>
    </row>
    <row r="2144" spans="1:8" x14ac:dyDescent="0.2">
      <c r="A2144" s="79" t="s">
        <v>9262</v>
      </c>
      <c r="B2144" s="79" t="s">
        <v>9329</v>
      </c>
      <c r="C2144" s="79" t="s">
        <v>9330</v>
      </c>
      <c r="D2144" s="79" t="s">
        <v>7328</v>
      </c>
      <c r="E2144" s="79">
        <v>2000</v>
      </c>
      <c r="G2144" s="79" t="s">
        <v>7329</v>
      </c>
      <c r="H2144" s="80">
        <v>4300000</v>
      </c>
    </row>
    <row r="2145" spans="1:8" x14ac:dyDescent="0.2">
      <c r="A2145" s="79" t="s">
        <v>9262</v>
      </c>
      <c r="B2145" s="79" t="s">
        <v>9328</v>
      </c>
      <c r="C2145" s="79" t="s">
        <v>9330</v>
      </c>
      <c r="D2145" s="79" t="s">
        <v>7328</v>
      </c>
      <c r="E2145" s="79">
        <v>2000</v>
      </c>
      <c r="G2145" s="79" t="s">
        <v>7329</v>
      </c>
      <c r="H2145" s="80">
        <v>5550000</v>
      </c>
    </row>
    <row r="2146" spans="1:8" x14ac:dyDescent="0.2">
      <c r="A2146" s="79" t="s">
        <v>9262</v>
      </c>
      <c r="B2146" s="79" t="s">
        <v>9328</v>
      </c>
      <c r="C2146" s="79" t="s">
        <v>9330</v>
      </c>
      <c r="D2146" s="79" t="s">
        <v>7328</v>
      </c>
      <c r="E2146" s="79">
        <v>2000</v>
      </c>
      <c r="G2146" s="79" t="s">
        <v>7313</v>
      </c>
      <c r="H2146" s="80">
        <v>5985000</v>
      </c>
    </row>
    <row r="2147" spans="1:8" x14ac:dyDescent="0.2">
      <c r="A2147" s="79" t="s">
        <v>9262</v>
      </c>
      <c r="B2147" s="79" t="s">
        <v>9331</v>
      </c>
      <c r="C2147" s="79" t="s">
        <v>7327</v>
      </c>
      <c r="D2147" s="79" t="s">
        <v>7312</v>
      </c>
      <c r="E2147" s="79">
        <v>2000</v>
      </c>
      <c r="G2147" s="79" t="s">
        <v>7329</v>
      </c>
      <c r="H2147" s="80">
        <v>5300000</v>
      </c>
    </row>
    <row r="2148" spans="1:8" x14ac:dyDescent="0.2">
      <c r="A2148" s="79" t="s">
        <v>9262</v>
      </c>
      <c r="B2148" s="79" t="s">
        <v>9332</v>
      </c>
      <c r="C2148" s="79" t="s">
        <v>7327</v>
      </c>
      <c r="D2148" s="79" t="s">
        <v>7312</v>
      </c>
      <c r="E2148" s="79">
        <v>2000</v>
      </c>
      <c r="G2148" s="79" t="s">
        <v>7329</v>
      </c>
      <c r="H2148" s="80">
        <v>5850000</v>
      </c>
    </row>
    <row r="2149" spans="1:8" x14ac:dyDescent="0.2">
      <c r="A2149" s="79" t="s">
        <v>9262</v>
      </c>
      <c r="B2149" s="79" t="s">
        <v>9333</v>
      </c>
      <c r="C2149" s="79" t="s">
        <v>7335</v>
      </c>
      <c r="D2149" s="79" t="s">
        <v>7328</v>
      </c>
      <c r="E2149" s="79">
        <v>2460</v>
      </c>
      <c r="G2149" s="79" t="s">
        <v>7329</v>
      </c>
      <c r="H2149" s="80">
        <v>4495000</v>
      </c>
    </row>
    <row r="2150" spans="1:8" x14ac:dyDescent="0.2">
      <c r="A2150" s="79" t="s">
        <v>9262</v>
      </c>
      <c r="B2150" s="79" t="s">
        <v>9334</v>
      </c>
      <c r="C2150" s="79" t="s">
        <v>7327</v>
      </c>
      <c r="D2150" s="79" t="s">
        <v>7328</v>
      </c>
      <c r="E2150" s="79">
        <v>2460</v>
      </c>
      <c r="F2150" s="79" t="s">
        <v>7336</v>
      </c>
      <c r="G2150" s="79" t="s">
        <v>7329</v>
      </c>
      <c r="H2150" s="80">
        <v>3995000</v>
      </c>
    </row>
    <row r="2151" spans="1:8" x14ac:dyDescent="0.2">
      <c r="A2151" s="79" t="s">
        <v>9262</v>
      </c>
      <c r="B2151" s="79" t="s">
        <v>9335</v>
      </c>
      <c r="C2151" s="79" t="s">
        <v>7311</v>
      </c>
      <c r="D2151" s="79" t="s">
        <v>7312</v>
      </c>
      <c r="E2151" s="79">
        <v>1400</v>
      </c>
      <c r="G2151" s="79" t="s">
        <v>7329</v>
      </c>
      <c r="H2151" s="80">
        <v>2295000</v>
      </c>
    </row>
    <row r="2152" spans="1:8" x14ac:dyDescent="0.2">
      <c r="A2152" s="79" t="s">
        <v>9262</v>
      </c>
      <c r="B2152" s="79" t="s">
        <v>9336</v>
      </c>
      <c r="C2152" s="79" t="s">
        <v>7311</v>
      </c>
      <c r="D2152" s="79" t="s">
        <v>7312</v>
      </c>
      <c r="E2152" s="79">
        <v>1600</v>
      </c>
      <c r="G2152" s="79" t="s">
        <v>7329</v>
      </c>
      <c r="H2152" s="80">
        <v>2850000</v>
      </c>
    </row>
    <row r="2153" spans="1:8" x14ac:dyDescent="0.2">
      <c r="A2153" s="79" t="s">
        <v>9262</v>
      </c>
      <c r="B2153" s="79" t="s">
        <v>8294</v>
      </c>
      <c r="C2153" s="79" t="s">
        <v>7438</v>
      </c>
      <c r="D2153" s="79" t="s">
        <v>7328</v>
      </c>
      <c r="E2153" s="79" t="s">
        <v>8295</v>
      </c>
      <c r="G2153" s="79" t="s">
        <v>7329</v>
      </c>
      <c r="H2153" s="80">
        <v>10222242</v>
      </c>
    </row>
    <row r="2154" spans="1:8" x14ac:dyDescent="0.2">
      <c r="A2154" s="79" t="s">
        <v>9337</v>
      </c>
      <c r="B2154" s="79" t="s">
        <v>9338</v>
      </c>
      <c r="C2154" s="79" t="s">
        <v>7311</v>
      </c>
      <c r="D2154" s="79" t="s">
        <v>7312</v>
      </c>
      <c r="E2154" s="79">
        <v>2300</v>
      </c>
      <c r="G2154" s="79" t="s">
        <v>7329</v>
      </c>
      <c r="H2154" s="80">
        <v>1621349</v>
      </c>
    </row>
    <row r="2155" spans="1:8" x14ac:dyDescent="0.2">
      <c r="A2155" s="79" t="s">
        <v>9337</v>
      </c>
      <c r="B2155" s="79" t="s">
        <v>9338</v>
      </c>
      <c r="C2155" s="79" t="s">
        <v>7311</v>
      </c>
      <c r="D2155" s="79" t="s">
        <v>7312</v>
      </c>
      <c r="E2155" s="79">
        <v>1886</v>
      </c>
      <c r="G2155" s="79" t="s">
        <v>7329</v>
      </c>
      <c r="H2155" s="80">
        <v>1400000</v>
      </c>
    </row>
    <row r="2156" spans="1:8" x14ac:dyDescent="0.2">
      <c r="A2156" s="79" t="s">
        <v>9337</v>
      </c>
      <c r="B2156" s="79" t="s">
        <v>9339</v>
      </c>
      <c r="C2156" s="79" t="s">
        <v>7311</v>
      </c>
      <c r="D2156" s="79" t="s">
        <v>7312</v>
      </c>
      <c r="E2156" s="79">
        <v>1983</v>
      </c>
      <c r="G2156" s="79" t="s">
        <v>7329</v>
      </c>
      <c r="H2156" s="80">
        <v>4300000</v>
      </c>
    </row>
    <row r="2157" spans="1:8" x14ac:dyDescent="0.2">
      <c r="A2157" s="79" t="s">
        <v>9337</v>
      </c>
      <c r="B2157" s="79" t="s">
        <v>9340</v>
      </c>
      <c r="C2157" s="79" t="s">
        <v>7311</v>
      </c>
      <c r="D2157" s="79" t="s">
        <v>7312</v>
      </c>
      <c r="E2157" s="79">
        <v>1983</v>
      </c>
      <c r="G2157" s="79" t="s">
        <v>7329</v>
      </c>
      <c r="H2157" s="80">
        <v>4300000</v>
      </c>
    </row>
    <row r="2158" spans="1:8" x14ac:dyDescent="0.2">
      <c r="A2158" s="79" t="s">
        <v>9337</v>
      </c>
      <c r="B2158" s="79" t="s">
        <v>9341</v>
      </c>
      <c r="C2158" s="79" t="s">
        <v>7340</v>
      </c>
      <c r="D2158" s="79" t="s">
        <v>7312</v>
      </c>
      <c r="E2158" s="79">
        <v>1600</v>
      </c>
      <c r="F2158" s="79" t="s">
        <v>7336</v>
      </c>
      <c r="G2158" s="79" t="s">
        <v>7329</v>
      </c>
      <c r="H2158" s="80">
        <v>3453670</v>
      </c>
    </row>
    <row r="2159" spans="1:8" x14ac:dyDescent="0.2">
      <c r="A2159" s="79" t="s">
        <v>9337</v>
      </c>
      <c r="B2159" s="79" t="s">
        <v>9342</v>
      </c>
      <c r="C2159" s="79" t="s">
        <v>7340</v>
      </c>
      <c r="D2159" s="79" t="s">
        <v>7328</v>
      </c>
      <c r="E2159" s="79">
        <v>1600</v>
      </c>
      <c r="F2159" s="79" t="s">
        <v>7336</v>
      </c>
      <c r="G2159" s="79" t="s">
        <v>7329</v>
      </c>
      <c r="H2159" s="80">
        <v>3759410</v>
      </c>
    </row>
    <row r="2160" spans="1:8" x14ac:dyDescent="0.2">
      <c r="A2160" s="79" t="s">
        <v>9337</v>
      </c>
      <c r="B2160" s="79" t="s">
        <v>9341</v>
      </c>
      <c r="C2160" s="79" t="s">
        <v>7340</v>
      </c>
      <c r="D2160" s="79" t="s">
        <v>7312</v>
      </c>
      <c r="E2160" s="79">
        <v>2000</v>
      </c>
      <c r="F2160" s="79" t="s">
        <v>7336</v>
      </c>
      <c r="G2160" s="79" t="s">
        <v>7329</v>
      </c>
      <c r="H2160" s="80">
        <v>3894470</v>
      </c>
    </row>
    <row r="2161" spans="1:8" x14ac:dyDescent="0.2">
      <c r="A2161" s="79" t="s">
        <v>9337</v>
      </c>
      <c r="B2161" s="79" t="s">
        <v>9343</v>
      </c>
      <c r="C2161" s="79" t="s">
        <v>7340</v>
      </c>
      <c r="D2161" s="79" t="s">
        <v>7312</v>
      </c>
      <c r="E2161" s="79">
        <v>2000</v>
      </c>
      <c r="G2161" s="79" t="s">
        <v>7329</v>
      </c>
      <c r="H2161" s="80">
        <v>4127490</v>
      </c>
    </row>
    <row r="2162" spans="1:8" x14ac:dyDescent="0.2">
      <c r="A2162" s="79" t="s">
        <v>9337</v>
      </c>
      <c r="B2162" s="79" t="s">
        <v>9344</v>
      </c>
      <c r="C2162" s="79" t="s">
        <v>7340</v>
      </c>
      <c r="D2162" s="79" t="s">
        <v>7312</v>
      </c>
      <c r="E2162" s="79">
        <v>2521</v>
      </c>
      <c r="F2162" s="79" t="s">
        <v>7336</v>
      </c>
      <c r="G2162" s="79" t="s">
        <v>7329</v>
      </c>
      <c r="H2162" s="80">
        <v>4897760</v>
      </c>
    </row>
    <row r="2163" spans="1:8" x14ac:dyDescent="0.2">
      <c r="A2163" s="79" t="s">
        <v>9337</v>
      </c>
      <c r="B2163" s="79" t="s">
        <v>9345</v>
      </c>
      <c r="C2163" s="79" t="s">
        <v>7340</v>
      </c>
      <c r="D2163" s="79" t="s">
        <v>7312</v>
      </c>
      <c r="E2163" s="79">
        <v>2521</v>
      </c>
      <c r="G2163" s="79" t="s">
        <v>7329</v>
      </c>
      <c r="H2163" s="80">
        <v>5086250</v>
      </c>
    </row>
    <row r="2164" spans="1:8" x14ac:dyDescent="0.2">
      <c r="A2164" s="79" t="s">
        <v>9337</v>
      </c>
      <c r="B2164" s="79" t="s">
        <v>9346</v>
      </c>
      <c r="C2164" s="79" t="s">
        <v>7320</v>
      </c>
      <c r="D2164" s="79" t="s">
        <v>7312</v>
      </c>
      <c r="E2164" s="79">
        <v>2521</v>
      </c>
      <c r="G2164" s="79" t="s">
        <v>7329</v>
      </c>
      <c r="H2164" s="80">
        <v>5612480</v>
      </c>
    </row>
    <row r="2165" spans="1:8" x14ac:dyDescent="0.2">
      <c r="A2165" s="79" t="s">
        <v>9337</v>
      </c>
      <c r="B2165" s="79" t="s">
        <v>9347</v>
      </c>
      <c r="C2165" s="79" t="s">
        <v>7311</v>
      </c>
      <c r="D2165" s="79" t="s">
        <v>7312</v>
      </c>
      <c r="E2165" s="79">
        <v>1600</v>
      </c>
      <c r="F2165" s="79" t="s">
        <v>7336</v>
      </c>
      <c r="G2165" s="79" t="s">
        <v>7329</v>
      </c>
      <c r="H2165" s="80">
        <v>4362117.63</v>
      </c>
    </row>
    <row r="2166" spans="1:8" x14ac:dyDescent="0.2">
      <c r="A2166" s="79" t="s">
        <v>9337</v>
      </c>
      <c r="B2166" s="79" t="s">
        <v>9348</v>
      </c>
      <c r="C2166" s="79" t="s">
        <v>7311</v>
      </c>
      <c r="D2166" s="79" t="s">
        <v>7312</v>
      </c>
      <c r="E2166" s="79">
        <v>2000</v>
      </c>
      <c r="F2166" s="79" t="s">
        <v>7336</v>
      </c>
      <c r="G2166" s="79" t="s">
        <v>7329</v>
      </c>
      <c r="H2166" s="80">
        <v>4001553.53</v>
      </c>
    </row>
    <row r="2167" spans="1:8" x14ac:dyDescent="0.2">
      <c r="A2167" s="79" t="s">
        <v>9337</v>
      </c>
      <c r="B2167" s="79" t="s">
        <v>9349</v>
      </c>
      <c r="C2167" s="79" t="s">
        <v>7311</v>
      </c>
      <c r="D2167" s="79" t="s">
        <v>7312</v>
      </c>
      <c r="E2167" s="79">
        <v>2000</v>
      </c>
      <c r="G2167" s="79" t="s">
        <v>7329</v>
      </c>
      <c r="H2167" s="80">
        <v>4243429.84</v>
      </c>
    </row>
    <row r="2168" spans="1:8" x14ac:dyDescent="0.2">
      <c r="A2168" s="79" t="s">
        <v>9337</v>
      </c>
      <c r="B2168" s="79" t="s">
        <v>9350</v>
      </c>
      <c r="C2168" s="79" t="s">
        <v>7311</v>
      </c>
      <c r="D2168" s="79" t="s">
        <v>7312</v>
      </c>
      <c r="E2168" s="79">
        <v>2500</v>
      </c>
      <c r="G2168" s="79" t="s">
        <v>7329</v>
      </c>
      <c r="H2168" s="80">
        <v>4921694.91</v>
      </c>
    </row>
    <row r="2169" spans="1:8" x14ac:dyDescent="0.2">
      <c r="A2169" s="79" t="s">
        <v>9337</v>
      </c>
      <c r="B2169" s="79" t="s">
        <v>9351</v>
      </c>
      <c r="C2169" s="79" t="s">
        <v>7311</v>
      </c>
      <c r="D2169" s="79" t="s">
        <v>7312</v>
      </c>
      <c r="E2169" s="79">
        <v>2000</v>
      </c>
      <c r="F2169" s="79" t="s">
        <v>7336</v>
      </c>
      <c r="G2169" s="79" t="s">
        <v>7313</v>
      </c>
      <c r="H2169" s="80">
        <v>4374466.82</v>
      </c>
    </row>
    <row r="2170" spans="1:8" x14ac:dyDescent="0.2">
      <c r="A2170" s="79" t="s">
        <v>9337</v>
      </c>
      <c r="B2170" s="79" t="s">
        <v>9352</v>
      </c>
      <c r="C2170" s="79" t="s">
        <v>7311</v>
      </c>
      <c r="D2170" s="79" t="s">
        <v>7312</v>
      </c>
      <c r="E2170" s="79">
        <v>2000</v>
      </c>
      <c r="G2170" s="79" t="s">
        <v>7313</v>
      </c>
      <c r="H2170" s="80">
        <v>4616474.62</v>
      </c>
    </row>
    <row r="2171" spans="1:8" x14ac:dyDescent="0.2">
      <c r="A2171" s="79" t="s">
        <v>9337</v>
      </c>
      <c r="B2171" s="79" t="s">
        <v>9353</v>
      </c>
      <c r="C2171" s="79" t="s">
        <v>7311</v>
      </c>
      <c r="D2171" s="79" t="s">
        <v>7312</v>
      </c>
      <c r="E2171" s="79">
        <v>2500</v>
      </c>
      <c r="F2171" s="79" t="s">
        <v>7349</v>
      </c>
      <c r="G2171" s="79" t="s">
        <v>7313</v>
      </c>
      <c r="H2171" s="80">
        <v>5194550.4000000004</v>
      </c>
    </row>
    <row r="2172" spans="1:8" x14ac:dyDescent="0.2">
      <c r="A2172" s="79" t="s">
        <v>9337</v>
      </c>
      <c r="B2172" s="79" t="s">
        <v>9354</v>
      </c>
      <c r="C2172" s="79" t="s">
        <v>7311</v>
      </c>
      <c r="D2172" s="79" t="s">
        <v>7312</v>
      </c>
      <c r="E2172" s="79">
        <v>1600</v>
      </c>
      <c r="F2172" s="79" t="s">
        <v>7336</v>
      </c>
      <c r="G2172" s="79" t="s">
        <v>7329</v>
      </c>
      <c r="H2172" s="80">
        <v>3830100</v>
      </c>
    </row>
    <row r="2173" spans="1:8" x14ac:dyDescent="0.2">
      <c r="A2173" s="79" t="s">
        <v>9337</v>
      </c>
      <c r="B2173" s="79" t="s">
        <v>9355</v>
      </c>
      <c r="C2173" s="79" t="s">
        <v>7311</v>
      </c>
      <c r="D2173" s="79" t="s">
        <v>7312</v>
      </c>
      <c r="E2173" s="79">
        <v>1600</v>
      </c>
      <c r="F2173" s="79" t="s">
        <v>7336</v>
      </c>
      <c r="G2173" s="79" t="s">
        <v>7329</v>
      </c>
      <c r="H2173" s="80">
        <v>4133430</v>
      </c>
    </row>
    <row r="2174" spans="1:8" x14ac:dyDescent="0.2">
      <c r="A2174" s="79" t="s">
        <v>9337</v>
      </c>
      <c r="B2174" s="79" t="s">
        <v>9356</v>
      </c>
      <c r="C2174" s="79" t="s">
        <v>7311</v>
      </c>
      <c r="D2174" s="79" t="s">
        <v>7312</v>
      </c>
      <c r="E2174" s="79">
        <v>1600</v>
      </c>
      <c r="G2174" s="79" t="s">
        <v>7329</v>
      </c>
      <c r="H2174" s="80">
        <v>4357590</v>
      </c>
    </row>
    <row r="2175" spans="1:8" x14ac:dyDescent="0.2">
      <c r="A2175" s="79" t="s">
        <v>9337</v>
      </c>
      <c r="B2175" s="79" t="s">
        <v>9357</v>
      </c>
      <c r="C2175" s="79" t="s">
        <v>7311</v>
      </c>
      <c r="D2175" s="79" t="s">
        <v>7312</v>
      </c>
      <c r="E2175" s="79">
        <v>2000</v>
      </c>
      <c r="F2175" s="79" t="s">
        <v>7336</v>
      </c>
      <c r="G2175" s="79" t="s">
        <v>7329</v>
      </c>
      <c r="H2175" s="80">
        <v>4791470</v>
      </c>
    </row>
    <row r="2176" spans="1:8" x14ac:dyDescent="0.2">
      <c r="A2176" s="79" t="s">
        <v>9337</v>
      </c>
      <c r="B2176" s="79" t="s">
        <v>9357</v>
      </c>
      <c r="C2176" s="79" t="s">
        <v>7311</v>
      </c>
      <c r="D2176" s="79" t="s">
        <v>7312</v>
      </c>
      <c r="E2176" s="79">
        <v>2000</v>
      </c>
      <c r="F2176" s="79" t="s">
        <v>7336</v>
      </c>
      <c r="G2176" s="79" t="s">
        <v>7329</v>
      </c>
      <c r="H2176" s="80">
        <v>4791470</v>
      </c>
    </row>
    <row r="2177" spans="1:8" x14ac:dyDescent="0.2">
      <c r="A2177" s="79" t="s">
        <v>9337</v>
      </c>
      <c r="B2177" s="79" t="s">
        <v>9358</v>
      </c>
      <c r="C2177" s="79" t="s">
        <v>7311</v>
      </c>
      <c r="D2177" s="79" t="s">
        <v>7312</v>
      </c>
      <c r="E2177" s="79">
        <v>2000</v>
      </c>
      <c r="G2177" s="79" t="s">
        <v>7329</v>
      </c>
      <c r="H2177" s="80">
        <v>5015620</v>
      </c>
    </row>
    <row r="2178" spans="1:8" x14ac:dyDescent="0.2">
      <c r="A2178" s="79" t="s">
        <v>9337</v>
      </c>
      <c r="B2178" s="79" t="s">
        <v>9359</v>
      </c>
      <c r="C2178" s="79" t="s">
        <v>7311</v>
      </c>
      <c r="D2178" s="79" t="s">
        <v>7312</v>
      </c>
      <c r="E2178" s="79">
        <v>3000</v>
      </c>
      <c r="G2178" s="79" t="s">
        <v>7329</v>
      </c>
      <c r="H2178" s="80">
        <v>5951330</v>
      </c>
    </row>
    <row r="2179" spans="1:8" x14ac:dyDescent="0.2">
      <c r="A2179" s="79" t="s">
        <v>9337</v>
      </c>
      <c r="B2179" s="79" t="s">
        <v>9360</v>
      </c>
      <c r="C2179" s="79" t="s">
        <v>7311</v>
      </c>
      <c r="D2179" s="79" t="s">
        <v>7328</v>
      </c>
      <c r="E2179" s="79">
        <v>2000</v>
      </c>
      <c r="F2179" s="79" t="s">
        <v>7336</v>
      </c>
      <c r="G2179" s="79" t="s">
        <v>7329</v>
      </c>
      <c r="H2179" s="80">
        <v>4447250</v>
      </c>
    </row>
    <row r="2180" spans="1:8" x14ac:dyDescent="0.2">
      <c r="A2180" s="79" t="s">
        <v>9337</v>
      </c>
      <c r="B2180" s="79" t="s">
        <v>9361</v>
      </c>
      <c r="C2180" s="79" t="s">
        <v>7311</v>
      </c>
      <c r="D2180" s="79" t="s">
        <v>7328</v>
      </c>
      <c r="E2180" s="79">
        <v>2000</v>
      </c>
      <c r="G2180" s="79" t="s">
        <v>7329</v>
      </c>
      <c r="H2180" s="80">
        <v>4628040</v>
      </c>
    </row>
    <row r="2181" spans="1:8" x14ac:dyDescent="0.2">
      <c r="A2181" s="79" t="s">
        <v>9337</v>
      </c>
      <c r="B2181" s="79" t="s">
        <v>9362</v>
      </c>
      <c r="C2181" s="79" t="s">
        <v>7311</v>
      </c>
      <c r="D2181" s="79" t="s">
        <v>7312</v>
      </c>
      <c r="E2181" s="79">
        <v>3000</v>
      </c>
      <c r="G2181" s="79" t="s">
        <v>7329</v>
      </c>
      <c r="H2181" s="80">
        <v>6312890</v>
      </c>
    </row>
    <row r="2182" spans="1:8" x14ac:dyDescent="0.2">
      <c r="A2182" s="79" t="s">
        <v>9337</v>
      </c>
      <c r="B2182" s="79" t="s">
        <v>9363</v>
      </c>
      <c r="C2182" s="79" t="s">
        <v>7311</v>
      </c>
      <c r="D2182" s="79" t="s">
        <v>7312</v>
      </c>
      <c r="E2182" s="79">
        <v>2000</v>
      </c>
      <c r="F2182" s="79" t="s">
        <v>7336</v>
      </c>
      <c r="G2182" s="79" t="s">
        <v>7329</v>
      </c>
      <c r="H2182" s="80">
        <v>5211774.54</v>
      </c>
    </row>
    <row r="2183" spans="1:8" x14ac:dyDescent="0.2">
      <c r="A2183" s="79" t="s">
        <v>9337</v>
      </c>
      <c r="B2183" s="79" t="s">
        <v>9364</v>
      </c>
      <c r="C2183" s="79" t="s">
        <v>7311</v>
      </c>
      <c r="D2183" s="79" t="s">
        <v>7312</v>
      </c>
      <c r="E2183" s="79">
        <v>2000</v>
      </c>
      <c r="G2183" s="79" t="s">
        <v>7329</v>
      </c>
      <c r="H2183" s="80">
        <v>5438479.8499999996</v>
      </c>
    </row>
    <row r="2184" spans="1:8" x14ac:dyDescent="0.2">
      <c r="A2184" s="79" t="s">
        <v>9337</v>
      </c>
      <c r="B2184" s="79" t="s">
        <v>9365</v>
      </c>
      <c r="C2184" s="79" t="s">
        <v>7311</v>
      </c>
      <c r="D2184" s="79" t="s">
        <v>7328</v>
      </c>
      <c r="E2184" s="79">
        <v>2400</v>
      </c>
      <c r="G2184" s="79" t="s">
        <v>7329</v>
      </c>
      <c r="H2184" s="80">
        <v>5646191.0700000003</v>
      </c>
    </row>
    <row r="2185" spans="1:8" x14ac:dyDescent="0.2">
      <c r="A2185" s="79" t="s">
        <v>9337</v>
      </c>
      <c r="B2185" s="79" t="s">
        <v>9366</v>
      </c>
      <c r="C2185" s="79" t="s">
        <v>7311</v>
      </c>
      <c r="D2185" s="79" t="s">
        <v>7328</v>
      </c>
      <c r="E2185" s="79">
        <v>2000</v>
      </c>
      <c r="G2185" s="79" t="s">
        <v>7329</v>
      </c>
      <c r="H2185" s="80">
        <v>5698743.4100000001</v>
      </c>
    </row>
    <row r="2186" spans="1:8" x14ac:dyDescent="0.2">
      <c r="A2186" s="79" t="s">
        <v>9337</v>
      </c>
      <c r="B2186" s="79" t="s">
        <v>9367</v>
      </c>
      <c r="C2186" s="79" t="s">
        <v>7311</v>
      </c>
      <c r="D2186" s="79" t="s">
        <v>7328</v>
      </c>
      <c r="E2186" s="79">
        <v>2400</v>
      </c>
      <c r="G2186" s="79" t="s">
        <v>7329</v>
      </c>
      <c r="H2186" s="80">
        <v>7197941.6299999999</v>
      </c>
    </row>
    <row r="2187" spans="1:8" x14ac:dyDescent="0.2">
      <c r="A2187" s="79" t="s">
        <v>9011</v>
      </c>
      <c r="B2187" s="79" t="s">
        <v>9368</v>
      </c>
      <c r="C2187" s="79" t="s">
        <v>7335</v>
      </c>
      <c r="D2187" s="79" t="s">
        <v>7312</v>
      </c>
      <c r="E2187" s="79">
        <v>1800</v>
      </c>
      <c r="G2187" s="79" t="s">
        <v>7329</v>
      </c>
      <c r="H2187" s="80">
        <v>3100400</v>
      </c>
    </row>
    <row r="2188" spans="1:8" x14ac:dyDescent="0.2">
      <c r="A2188" s="79" t="s">
        <v>9011</v>
      </c>
      <c r="B2188" s="79" t="s">
        <v>9369</v>
      </c>
      <c r="C2188" s="79" t="s">
        <v>7311</v>
      </c>
      <c r="D2188" s="79" t="s">
        <v>7312</v>
      </c>
      <c r="E2188" s="79">
        <v>1800</v>
      </c>
      <c r="G2188" s="79" t="s">
        <v>7313</v>
      </c>
      <c r="H2188" s="80">
        <v>3170050</v>
      </c>
    </row>
    <row r="2189" spans="1:8" x14ac:dyDescent="0.2">
      <c r="A2189" s="79" t="s">
        <v>9011</v>
      </c>
      <c r="B2189" s="79" t="s">
        <v>9370</v>
      </c>
      <c r="C2189" s="79" t="s">
        <v>7311</v>
      </c>
      <c r="D2189" s="79" t="s">
        <v>7312</v>
      </c>
      <c r="E2189" s="79">
        <v>1300</v>
      </c>
      <c r="G2189" s="79" t="s">
        <v>7329</v>
      </c>
      <c r="H2189" s="80">
        <v>2580661</v>
      </c>
    </row>
    <row r="2190" spans="1:8" x14ac:dyDescent="0.2">
      <c r="A2190" s="79" t="s">
        <v>9011</v>
      </c>
      <c r="B2190" s="79" t="s">
        <v>9371</v>
      </c>
      <c r="C2190" s="79" t="s">
        <v>7311</v>
      </c>
      <c r="D2190" s="79" t="s">
        <v>7312</v>
      </c>
      <c r="E2190" s="79">
        <v>1300</v>
      </c>
      <c r="G2190" s="79" t="s">
        <v>7329</v>
      </c>
      <c r="H2190" s="80">
        <v>1895000</v>
      </c>
    </row>
    <row r="2191" spans="1:8" x14ac:dyDescent="0.2">
      <c r="A2191" s="79" t="s">
        <v>9011</v>
      </c>
      <c r="B2191" s="79" t="s">
        <v>9372</v>
      </c>
      <c r="C2191" s="79" t="s">
        <v>7311</v>
      </c>
      <c r="D2191" s="79" t="s">
        <v>7312</v>
      </c>
      <c r="E2191" s="79">
        <v>1300</v>
      </c>
      <c r="G2191" s="79" t="s">
        <v>7329</v>
      </c>
      <c r="H2191" s="80">
        <v>1995000</v>
      </c>
    </row>
    <row r="2192" spans="1:8" x14ac:dyDescent="0.2">
      <c r="A2192" s="79" t="s">
        <v>9011</v>
      </c>
      <c r="B2192" s="79" t="s">
        <v>9373</v>
      </c>
      <c r="C2192" s="79" t="s">
        <v>7311</v>
      </c>
      <c r="D2192" s="79" t="s">
        <v>7312</v>
      </c>
      <c r="E2192" s="79">
        <v>1300</v>
      </c>
      <c r="G2192" s="79" t="s">
        <v>7329</v>
      </c>
      <c r="H2192" s="80">
        <v>2150000</v>
      </c>
    </row>
    <row r="2193" spans="1:8" x14ac:dyDescent="0.2">
      <c r="A2193" s="79" t="s">
        <v>9011</v>
      </c>
      <c r="B2193" s="79" t="s">
        <v>9374</v>
      </c>
      <c r="C2193" s="79" t="s">
        <v>7311</v>
      </c>
      <c r="D2193" s="79" t="s">
        <v>7312</v>
      </c>
      <c r="E2193" s="79">
        <v>1490</v>
      </c>
      <c r="G2193" s="79" t="s">
        <v>7329</v>
      </c>
      <c r="H2193" s="80">
        <v>2421000</v>
      </c>
    </row>
    <row r="2194" spans="1:8" x14ac:dyDescent="0.2">
      <c r="A2194" s="79" t="s">
        <v>9011</v>
      </c>
      <c r="B2194" s="79" t="s">
        <v>9375</v>
      </c>
      <c r="C2194" s="79" t="s">
        <v>7311</v>
      </c>
      <c r="D2194" s="79" t="s">
        <v>7312</v>
      </c>
      <c r="E2194" s="79">
        <v>1490</v>
      </c>
      <c r="G2194" s="79" t="s">
        <v>7313</v>
      </c>
      <c r="H2194" s="80">
        <v>2528500</v>
      </c>
    </row>
    <row r="2195" spans="1:8" x14ac:dyDescent="0.2">
      <c r="A2195" s="79" t="s">
        <v>9011</v>
      </c>
      <c r="B2195" s="79" t="s">
        <v>9376</v>
      </c>
      <c r="C2195" s="79" t="s">
        <v>7311</v>
      </c>
      <c r="D2195" s="79" t="s">
        <v>7312</v>
      </c>
      <c r="E2195" s="79">
        <v>1329</v>
      </c>
      <c r="G2195" s="79" t="s">
        <v>7329</v>
      </c>
      <c r="H2195" s="80">
        <v>2788500</v>
      </c>
    </row>
    <row r="2196" spans="1:8" x14ac:dyDescent="0.2">
      <c r="A2196" s="79" t="s">
        <v>9011</v>
      </c>
      <c r="B2196" s="79" t="s">
        <v>9377</v>
      </c>
      <c r="C2196" s="79" t="s">
        <v>7311</v>
      </c>
      <c r="D2196" s="79" t="s">
        <v>7312</v>
      </c>
      <c r="E2196" s="79">
        <v>1329</v>
      </c>
      <c r="G2196" s="79" t="s">
        <v>7329</v>
      </c>
      <c r="H2196" s="80">
        <v>2788500</v>
      </c>
    </row>
    <row r="2197" spans="1:8" x14ac:dyDescent="0.2">
      <c r="A2197" s="79" t="s">
        <v>9011</v>
      </c>
      <c r="B2197" s="79" t="s">
        <v>9378</v>
      </c>
      <c r="C2197" s="79" t="s">
        <v>7311</v>
      </c>
      <c r="D2197" s="79" t="s">
        <v>7312</v>
      </c>
      <c r="E2197" s="79">
        <v>1329</v>
      </c>
      <c r="G2197" s="79" t="s">
        <v>7329</v>
      </c>
      <c r="H2197" s="80">
        <v>2886804</v>
      </c>
    </row>
    <row r="2198" spans="1:8" x14ac:dyDescent="0.2">
      <c r="A2198" s="79" t="s">
        <v>9011</v>
      </c>
      <c r="B2198" s="79" t="s">
        <v>9379</v>
      </c>
      <c r="C2198" s="79" t="s">
        <v>7311</v>
      </c>
      <c r="D2198" s="79" t="s">
        <v>7312</v>
      </c>
      <c r="E2198" s="79">
        <v>1598</v>
      </c>
      <c r="F2198" s="79" t="s">
        <v>7738</v>
      </c>
      <c r="G2198" s="79" t="s">
        <v>7329</v>
      </c>
      <c r="H2198" s="80">
        <v>2934152</v>
      </c>
    </row>
    <row r="2199" spans="1:8" x14ac:dyDescent="0.2">
      <c r="A2199" s="79" t="s">
        <v>9011</v>
      </c>
      <c r="B2199" s="79" t="s">
        <v>9379</v>
      </c>
      <c r="C2199" s="79" t="s">
        <v>7311</v>
      </c>
      <c r="D2199" s="79" t="s">
        <v>7312</v>
      </c>
      <c r="E2199" s="79">
        <v>1598</v>
      </c>
      <c r="F2199" s="79" t="s">
        <v>7643</v>
      </c>
      <c r="G2199" s="79" t="s">
        <v>7329</v>
      </c>
      <c r="H2199" s="80">
        <v>3047093</v>
      </c>
    </row>
    <row r="2200" spans="1:8" x14ac:dyDescent="0.2">
      <c r="A2200" s="79" t="s">
        <v>9011</v>
      </c>
      <c r="B2200" s="79" t="s">
        <v>9380</v>
      </c>
      <c r="C2200" s="79" t="s">
        <v>7311</v>
      </c>
      <c r="D2200" s="79" t="s">
        <v>7312</v>
      </c>
      <c r="E2200" s="79">
        <v>1798</v>
      </c>
      <c r="F2200" s="79" t="s">
        <v>7738</v>
      </c>
      <c r="G2200" s="79" t="s">
        <v>7329</v>
      </c>
      <c r="H2200" s="80">
        <v>3555194</v>
      </c>
    </row>
    <row r="2201" spans="1:8" x14ac:dyDescent="0.2">
      <c r="A2201" s="79" t="s">
        <v>9011</v>
      </c>
      <c r="B2201" s="79" t="s">
        <v>9381</v>
      </c>
      <c r="C2201" s="79" t="s">
        <v>7311</v>
      </c>
      <c r="D2201" s="79" t="s">
        <v>7312</v>
      </c>
      <c r="E2201" s="79">
        <v>1798</v>
      </c>
      <c r="F2201" s="79" t="s">
        <v>7643</v>
      </c>
      <c r="G2201" s="79" t="s">
        <v>7329</v>
      </c>
      <c r="H2201" s="80">
        <v>3220020</v>
      </c>
    </row>
    <row r="2202" spans="1:8" x14ac:dyDescent="0.2">
      <c r="A2202" s="79" t="s">
        <v>9011</v>
      </c>
      <c r="B2202" s="79" t="s">
        <v>9382</v>
      </c>
      <c r="C2202" s="79" t="s">
        <v>7311</v>
      </c>
      <c r="D2202" s="79" t="s">
        <v>7312</v>
      </c>
      <c r="E2202" s="79">
        <v>1598</v>
      </c>
      <c r="G2202" s="79" t="s">
        <v>7329</v>
      </c>
      <c r="H2202" s="80">
        <v>4095000</v>
      </c>
    </row>
    <row r="2203" spans="1:8" x14ac:dyDescent="0.2">
      <c r="A2203" s="79" t="s">
        <v>9011</v>
      </c>
      <c r="B2203" s="79" t="s">
        <v>9383</v>
      </c>
      <c r="C2203" s="79" t="s">
        <v>7311</v>
      </c>
      <c r="D2203" s="79" t="s">
        <v>7312</v>
      </c>
      <c r="E2203" s="79">
        <v>1798</v>
      </c>
      <c r="G2203" s="79" t="s">
        <v>7329</v>
      </c>
      <c r="H2203" s="80">
        <v>4368000</v>
      </c>
    </row>
    <row r="2204" spans="1:8" x14ac:dyDescent="0.2">
      <c r="A2204" s="79" t="s">
        <v>9011</v>
      </c>
      <c r="B2204" s="79" t="s">
        <v>9384</v>
      </c>
      <c r="C2204" s="79" t="s">
        <v>7311</v>
      </c>
      <c r="D2204" s="79" t="s">
        <v>7312</v>
      </c>
      <c r="E2204" s="79">
        <v>1798</v>
      </c>
      <c r="G2204" s="79" t="s">
        <v>7329</v>
      </c>
      <c r="H2204" s="80">
        <v>4620000</v>
      </c>
    </row>
    <row r="2205" spans="1:8" x14ac:dyDescent="0.2">
      <c r="A2205" s="79" t="s">
        <v>9011</v>
      </c>
      <c r="B2205" s="79" t="s">
        <v>9385</v>
      </c>
      <c r="C2205" s="79" t="s">
        <v>7311</v>
      </c>
      <c r="D2205" s="79" t="s">
        <v>7312</v>
      </c>
      <c r="E2205" s="79">
        <v>1800</v>
      </c>
      <c r="G2205" s="79" t="s">
        <v>7329</v>
      </c>
      <c r="H2205" s="80">
        <v>2833900</v>
      </c>
    </row>
    <row r="2206" spans="1:8" x14ac:dyDescent="0.2">
      <c r="A2206" s="79" t="s">
        <v>9011</v>
      </c>
      <c r="B2206" s="79" t="s">
        <v>9386</v>
      </c>
      <c r="C2206" s="79" t="s">
        <v>7311</v>
      </c>
      <c r="D2206" s="79" t="s">
        <v>7312</v>
      </c>
      <c r="E2206" s="79">
        <v>1600</v>
      </c>
      <c r="G2206" s="79" t="s">
        <v>7329</v>
      </c>
      <c r="H2206" s="80">
        <v>2571985</v>
      </c>
    </row>
    <row r="2207" spans="1:8" x14ac:dyDescent="0.2">
      <c r="A2207" s="79" t="s">
        <v>9011</v>
      </c>
      <c r="B2207" s="79" t="s">
        <v>9387</v>
      </c>
      <c r="C2207" s="79" t="s">
        <v>7311</v>
      </c>
      <c r="D2207" s="79" t="s">
        <v>7312</v>
      </c>
      <c r="E2207" s="79">
        <v>1398</v>
      </c>
      <c r="G2207" s="79" t="s">
        <v>7329</v>
      </c>
      <c r="H2207" s="80">
        <v>2513000</v>
      </c>
    </row>
    <row r="2208" spans="1:8" x14ac:dyDescent="0.2">
      <c r="A2208" s="79" t="s">
        <v>9011</v>
      </c>
      <c r="B2208" s="79" t="s">
        <v>9388</v>
      </c>
      <c r="C2208" s="79" t="s">
        <v>7311</v>
      </c>
      <c r="D2208" s="79" t="s">
        <v>7312</v>
      </c>
      <c r="E2208" s="79">
        <v>1398</v>
      </c>
      <c r="G2208" s="79" t="s">
        <v>7329</v>
      </c>
      <c r="H2208" s="80">
        <v>2357000</v>
      </c>
    </row>
    <row r="2209" spans="1:8" x14ac:dyDescent="0.2">
      <c r="A2209" s="79" t="s">
        <v>9011</v>
      </c>
      <c r="B2209" s="79" t="s">
        <v>9389</v>
      </c>
      <c r="C2209" s="79" t="s">
        <v>7311</v>
      </c>
      <c r="D2209" s="79" t="s">
        <v>7312</v>
      </c>
      <c r="E2209" s="79">
        <v>1398</v>
      </c>
      <c r="G2209" s="79" t="s">
        <v>7329</v>
      </c>
      <c r="H2209" s="80">
        <v>2628000</v>
      </c>
    </row>
    <row r="2210" spans="1:8" x14ac:dyDescent="0.2">
      <c r="A2210" s="79" t="s">
        <v>9011</v>
      </c>
      <c r="B2210" s="79" t="s">
        <v>9390</v>
      </c>
      <c r="C2210" s="79" t="s">
        <v>7335</v>
      </c>
      <c r="D2210" s="79" t="s">
        <v>7312</v>
      </c>
      <c r="E2210" s="79">
        <v>1490</v>
      </c>
      <c r="G2210" s="79" t="s">
        <v>7329</v>
      </c>
      <c r="H2210" s="80">
        <v>2450000</v>
      </c>
    </row>
    <row r="2211" spans="1:8" x14ac:dyDescent="0.2">
      <c r="A2211" s="79" t="s">
        <v>9011</v>
      </c>
      <c r="B2211" s="79" t="s">
        <v>9391</v>
      </c>
      <c r="C2211" s="79" t="s">
        <v>7335</v>
      </c>
      <c r="D2211" s="79" t="s">
        <v>7312</v>
      </c>
      <c r="E2211" s="79">
        <v>1490</v>
      </c>
      <c r="G2211" s="79" t="s">
        <v>7313</v>
      </c>
      <c r="H2211" s="80">
        <v>2650000</v>
      </c>
    </row>
    <row r="2212" spans="1:8" x14ac:dyDescent="0.2">
      <c r="A2212" s="79" t="s">
        <v>9011</v>
      </c>
      <c r="B2212" s="79" t="s">
        <v>9392</v>
      </c>
      <c r="C2212" s="79" t="s">
        <v>7335</v>
      </c>
      <c r="D2212" s="79" t="s">
        <v>7312</v>
      </c>
      <c r="E2212" s="79">
        <v>1490</v>
      </c>
      <c r="G2212" s="79" t="s">
        <v>7329</v>
      </c>
      <c r="H2212" s="80">
        <v>2748106</v>
      </c>
    </row>
    <row r="2213" spans="1:8" x14ac:dyDescent="0.2">
      <c r="A2213" s="79" t="s">
        <v>9011</v>
      </c>
      <c r="B2213" s="79" t="s">
        <v>9392</v>
      </c>
      <c r="C2213" s="79" t="s">
        <v>7335</v>
      </c>
      <c r="D2213" s="79" t="s">
        <v>7312</v>
      </c>
      <c r="E2213" s="79">
        <v>1300</v>
      </c>
      <c r="G2213" s="79" t="s">
        <v>7329</v>
      </c>
      <c r="H2213" s="80">
        <v>2381691</v>
      </c>
    </row>
    <row r="2214" spans="1:8" x14ac:dyDescent="0.2">
      <c r="A2214" s="79" t="s">
        <v>9011</v>
      </c>
      <c r="B2214" s="79" t="s">
        <v>9393</v>
      </c>
      <c r="C2214" s="79" t="s">
        <v>7335</v>
      </c>
      <c r="D2214" s="79" t="s">
        <v>7312</v>
      </c>
      <c r="E2214" s="79">
        <v>1490</v>
      </c>
      <c r="G2214" s="79" t="s">
        <v>7329</v>
      </c>
      <c r="H2214" s="80">
        <v>1950000</v>
      </c>
    </row>
    <row r="2215" spans="1:8" x14ac:dyDescent="0.2">
      <c r="A2215" s="79" t="s">
        <v>9011</v>
      </c>
      <c r="B2215" s="79" t="s">
        <v>9394</v>
      </c>
      <c r="C2215" s="79" t="s">
        <v>7311</v>
      </c>
      <c r="D2215" s="79" t="s">
        <v>7312</v>
      </c>
      <c r="E2215" s="79">
        <v>1490</v>
      </c>
      <c r="G2215" s="79" t="s">
        <v>7329</v>
      </c>
      <c r="H2215" s="80">
        <v>1746000</v>
      </c>
    </row>
    <row r="2216" spans="1:8" x14ac:dyDescent="0.2">
      <c r="A2216" s="79" t="s">
        <v>9011</v>
      </c>
      <c r="B2216" s="79" t="s">
        <v>9394</v>
      </c>
      <c r="C2216" s="79" t="s">
        <v>7311</v>
      </c>
      <c r="D2216" s="79" t="s">
        <v>7312</v>
      </c>
      <c r="E2216" s="79">
        <v>1580</v>
      </c>
      <c r="G2216" s="79" t="s">
        <v>7329</v>
      </c>
      <c r="H2216" s="80">
        <v>2013800</v>
      </c>
    </row>
    <row r="2217" spans="1:8" x14ac:dyDescent="0.2">
      <c r="A2217" s="79" t="s">
        <v>9011</v>
      </c>
      <c r="B2217" s="79" t="s">
        <v>9395</v>
      </c>
      <c r="C2217" s="79" t="s">
        <v>7311</v>
      </c>
      <c r="D2217" s="79" t="s">
        <v>7312</v>
      </c>
      <c r="E2217" s="79">
        <v>1974</v>
      </c>
      <c r="G2217" s="79" t="s">
        <v>7329</v>
      </c>
      <c r="H2217" s="80">
        <v>1950000</v>
      </c>
    </row>
    <row r="2218" spans="1:8" x14ac:dyDescent="0.2">
      <c r="A2218" s="79" t="s">
        <v>9011</v>
      </c>
      <c r="B2218" s="79" t="s">
        <v>9395</v>
      </c>
      <c r="C2218" s="79" t="s">
        <v>7311</v>
      </c>
      <c r="D2218" s="79" t="s">
        <v>7312</v>
      </c>
      <c r="E2218" s="79">
        <v>2180</v>
      </c>
      <c r="G2218" s="79" t="s">
        <v>7329</v>
      </c>
      <c r="H2218" s="80">
        <v>2335600</v>
      </c>
    </row>
    <row r="2219" spans="1:8" x14ac:dyDescent="0.2">
      <c r="A2219" s="79" t="s">
        <v>9011</v>
      </c>
      <c r="B2219" s="79" t="s">
        <v>9396</v>
      </c>
      <c r="C2219" s="79" t="s">
        <v>7340</v>
      </c>
      <c r="D2219" s="79" t="s">
        <v>7312</v>
      </c>
      <c r="E2219" s="79">
        <v>1330</v>
      </c>
      <c r="G2219" s="79" t="s">
        <v>7329</v>
      </c>
      <c r="H2219" s="80">
        <v>1471500</v>
      </c>
    </row>
    <row r="2220" spans="1:8" x14ac:dyDescent="0.2">
      <c r="A2220" s="79" t="s">
        <v>9011</v>
      </c>
      <c r="B2220" s="79" t="s">
        <v>9397</v>
      </c>
      <c r="C2220" s="79" t="s">
        <v>7311</v>
      </c>
      <c r="D2220" s="79" t="s">
        <v>7312</v>
      </c>
      <c r="E2220" s="79">
        <v>1580</v>
      </c>
      <c r="G2220" s="79" t="s">
        <v>7329</v>
      </c>
      <c r="H2220" s="80">
        <v>1885680</v>
      </c>
    </row>
    <row r="2221" spans="1:8" x14ac:dyDescent="0.2">
      <c r="A2221" s="79" t="s">
        <v>9011</v>
      </c>
      <c r="B2221" s="79" t="s">
        <v>9398</v>
      </c>
      <c r="C2221" s="79" t="s">
        <v>7311</v>
      </c>
      <c r="D2221" s="79" t="s">
        <v>7312</v>
      </c>
      <c r="E2221" s="79">
        <v>1762</v>
      </c>
      <c r="G2221" s="79" t="s">
        <v>7329</v>
      </c>
      <c r="H2221" s="80">
        <v>2284629</v>
      </c>
    </row>
    <row r="2222" spans="1:8" x14ac:dyDescent="0.2">
      <c r="A2222" s="79" t="s">
        <v>9011</v>
      </c>
      <c r="B2222" s="79" t="s">
        <v>9397</v>
      </c>
      <c r="C2222" s="79" t="s">
        <v>7311</v>
      </c>
      <c r="D2222" s="79" t="s">
        <v>7312</v>
      </c>
      <c r="E2222" s="79">
        <v>2000</v>
      </c>
      <c r="G2222" s="79" t="s">
        <v>7329</v>
      </c>
      <c r="H2222" s="80">
        <v>2590629</v>
      </c>
    </row>
    <row r="2223" spans="1:8" x14ac:dyDescent="0.2">
      <c r="A2223" s="79" t="s">
        <v>9011</v>
      </c>
      <c r="B2223" s="79" t="s">
        <v>9399</v>
      </c>
      <c r="C2223" s="79" t="s">
        <v>7311</v>
      </c>
      <c r="D2223" s="79" t="s">
        <v>7312</v>
      </c>
      <c r="E2223" s="79">
        <v>1330</v>
      </c>
      <c r="G2223" s="79" t="s">
        <v>7329</v>
      </c>
      <c r="H2223" s="80">
        <v>1471500</v>
      </c>
    </row>
    <row r="2224" spans="1:8" x14ac:dyDescent="0.2">
      <c r="A2224" s="79" t="s">
        <v>9011</v>
      </c>
      <c r="B2224" s="79" t="s">
        <v>9400</v>
      </c>
      <c r="C2224" s="79" t="s">
        <v>7311</v>
      </c>
      <c r="D2224" s="79" t="s">
        <v>7312</v>
      </c>
      <c r="E2224" s="79">
        <v>2500</v>
      </c>
      <c r="G2224" s="79" t="s">
        <v>7329</v>
      </c>
      <c r="H2224" s="80">
        <v>4071428</v>
      </c>
    </row>
    <row r="2225" spans="1:8" x14ac:dyDescent="0.2">
      <c r="A2225" s="79" t="s">
        <v>9011</v>
      </c>
      <c r="B2225" s="79" t="s">
        <v>9401</v>
      </c>
      <c r="C2225" s="79" t="s">
        <v>7311</v>
      </c>
      <c r="D2225" s="79" t="s">
        <v>7312</v>
      </c>
      <c r="E2225" s="79">
        <v>2500</v>
      </c>
      <c r="G2225" s="79" t="s">
        <v>7329</v>
      </c>
      <c r="H2225" s="80">
        <v>4800000</v>
      </c>
    </row>
    <row r="2226" spans="1:8" x14ac:dyDescent="0.2">
      <c r="A2226" s="79" t="s">
        <v>9011</v>
      </c>
      <c r="B2226" s="79" t="s">
        <v>9401</v>
      </c>
      <c r="C2226" s="79" t="s">
        <v>7311</v>
      </c>
      <c r="D2226" s="79" t="s">
        <v>7312</v>
      </c>
      <c r="E2226" s="79">
        <v>3500</v>
      </c>
      <c r="G2226" s="79" t="s">
        <v>7329</v>
      </c>
      <c r="H2226" s="80">
        <v>6175380</v>
      </c>
    </row>
    <row r="2227" spans="1:8" x14ac:dyDescent="0.2">
      <c r="A2227" s="79" t="s">
        <v>9011</v>
      </c>
      <c r="B2227" s="79" t="s">
        <v>9402</v>
      </c>
      <c r="C2227" s="79" t="s">
        <v>7340</v>
      </c>
      <c r="D2227" s="79" t="s">
        <v>7312</v>
      </c>
      <c r="E2227" s="79">
        <v>990</v>
      </c>
      <c r="G2227" s="79" t="s">
        <v>7329</v>
      </c>
      <c r="H2227" s="80">
        <v>1084000</v>
      </c>
    </row>
    <row r="2228" spans="1:8" x14ac:dyDescent="0.2">
      <c r="A2228" s="79" t="s">
        <v>9011</v>
      </c>
      <c r="B2228" s="79" t="s">
        <v>9403</v>
      </c>
      <c r="C2228" s="79" t="s">
        <v>7327</v>
      </c>
      <c r="D2228" s="79" t="s">
        <v>7312</v>
      </c>
      <c r="E2228" s="79">
        <v>2438</v>
      </c>
      <c r="G2228" s="79" t="s">
        <v>7329</v>
      </c>
      <c r="H2228" s="80">
        <v>2952000</v>
      </c>
    </row>
    <row r="2229" spans="1:8" x14ac:dyDescent="0.2">
      <c r="A2229" s="79" t="s">
        <v>9011</v>
      </c>
      <c r="B2229" s="79" t="s">
        <v>9404</v>
      </c>
      <c r="C2229" s="79" t="s">
        <v>7311</v>
      </c>
      <c r="D2229" s="79" t="s">
        <v>7312</v>
      </c>
      <c r="E2229" s="79">
        <v>1500</v>
      </c>
      <c r="G2229" s="79" t="s">
        <v>7329</v>
      </c>
      <c r="H2229" s="80">
        <v>2472000</v>
      </c>
    </row>
    <row r="2230" spans="1:8" x14ac:dyDescent="0.2">
      <c r="A2230" s="79" t="s">
        <v>9011</v>
      </c>
      <c r="B2230" s="79" t="s">
        <v>9405</v>
      </c>
      <c r="C2230" s="79" t="s">
        <v>7419</v>
      </c>
      <c r="D2230" s="79" t="s">
        <v>7312</v>
      </c>
      <c r="E2230" s="79">
        <v>1290</v>
      </c>
      <c r="G2230" s="79" t="s">
        <v>7329</v>
      </c>
      <c r="H2230" s="80">
        <v>1535000</v>
      </c>
    </row>
    <row r="2231" spans="1:8" x14ac:dyDescent="0.2">
      <c r="A2231" s="79" t="s">
        <v>9011</v>
      </c>
      <c r="B2231" s="79" t="s">
        <v>9405</v>
      </c>
      <c r="C2231" s="79" t="s">
        <v>7419</v>
      </c>
      <c r="D2231" s="79" t="s">
        <v>7312</v>
      </c>
      <c r="E2231" s="79">
        <v>1490</v>
      </c>
      <c r="G2231" s="79" t="s">
        <v>7329</v>
      </c>
      <c r="H2231" s="80">
        <v>1772984</v>
      </c>
    </row>
    <row r="2232" spans="1:8" x14ac:dyDescent="0.2">
      <c r="A2232" s="79" t="s">
        <v>9011</v>
      </c>
      <c r="B2232" s="79" t="s">
        <v>9406</v>
      </c>
      <c r="C2232" s="79" t="s">
        <v>7335</v>
      </c>
      <c r="D2232" s="79" t="s">
        <v>7328</v>
      </c>
      <c r="E2232" s="79">
        <v>2982</v>
      </c>
      <c r="F2232" s="79" t="s">
        <v>7643</v>
      </c>
      <c r="G2232" s="79" t="s">
        <v>7313</v>
      </c>
      <c r="H2232" s="80">
        <v>6475481.7999999998</v>
      </c>
    </row>
    <row r="2233" spans="1:8" x14ac:dyDescent="0.2">
      <c r="A2233" s="79" t="s">
        <v>9011</v>
      </c>
      <c r="B2233" s="79" t="s">
        <v>9407</v>
      </c>
      <c r="C2233" s="79" t="s">
        <v>7335</v>
      </c>
      <c r="D2233" s="79" t="s">
        <v>7328</v>
      </c>
      <c r="E2233" s="79">
        <v>2982</v>
      </c>
      <c r="F2233" s="79" t="s">
        <v>7738</v>
      </c>
      <c r="G2233" s="79" t="s">
        <v>7313</v>
      </c>
      <c r="H2233" s="80">
        <v>6382309.4000000004</v>
      </c>
    </row>
    <row r="2234" spans="1:8" x14ac:dyDescent="0.2">
      <c r="A2234" s="79" t="s">
        <v>9011</v>
      </c>
      <c r="B2234" s="79" t="s">
        <v>9408</v>
      </c>
      <c r="C2234" s="79" t="s">
        <v>7335</v>
      </c>
      <c r="D2234" s="79" t="s">
        <v>7312</v>
      </c>
      <c r="E2234" s="79">
        <v>2986</v>
      </c>
      <c r="G2234" s="79" t="s">
        <v>7313</v>
      </c>
      <c r="H2234" s="80">
        <v>5991218.25</v>
      </c>
    </row>
    <row r="2235" spans="1:8" x14ac:dyDescent="0.2">
      <c r="A2235" s="79" t="s">
        <v>9011</v>
      </c>
      <c r="B2235" s="79" t="s">
        <v>9409</v>
      </c>
      <c r="C2235" s="79" t="s">
        <v>7335</v>
      </c>
      <c r="D2235" s="79" t="s">
        <v>7312</v>
      </c>
      <c r="E2235" s="79">
        <v>2986</v>
      </c>
      <c r="G2235" s="79" t="s">
        <v>7313</v>
      </c>
      <c r="H2235" s="80">
        <v>5232713.66</v>
      </c>
    </row>
    <row r="2236" spans="1:8" x14ac:dyDescent="0.2">
      <c r="A2236" s="79" t="s">
        <v>9011</v>
      </c>
      <c r="B2236" s="79" t="s">
        <v>9410</v>
      </c>
      <c r="C2236" s="79" t="s">
        <v>7335</v>
      </c>
      <c r="D2236" s="79" t="s">
        <v>7312</v>
      </c>
      <c r="E2236" s="79">
        <v>2700</v>
      </c>
      <c r="F2236" s="79" t="s">
        <v>7738</v>
      </c>
      <c r="G2236" s="79" t="s">
        <v>7313</v>
      </c>
      <c r="H2236" s="80">
        <v>5390998.4000000004</v>
      </c>
    </row>
    <row r="2237" spans="1:8" x14ac:dyDescent="0.2">
      <c r="A2237" s="79" t="s">
        <v>9011</v>
      </c>
      <c r="B2237" s="79" t="s">
        <v>9410</v>
      </c>
      <c r="C2237" s="79" t="s">
        <v>7335</v>
      </c>
      <c r="D2237" s="79" t="s">
        <v>7312</v>
      </c>
      <c r="E2237" s="79">
        <v>2700</v>
      </c>
      <c r="F2237" s="79" t="s">
        <v>7643</v>
      </c>
      <c r="G2237" s="79" t="s">
        <v>7313</v>
      </c>
      <c r="H2237" s="80">
        <v>5499338.4000000004</v>
      </c>
    </row>
    <row r="2238" spans="1:8" x14ac:dyDescent="0.2">
      <c r="A2238" s="79" t="s">
        <v>9011</v>
      </c>
      <c r="B2238" s="79" t="s">
        <v>9411</v>
      </c>
      <c r="C2238" s="79" t="s">
        <v>7335</v>
      </c>
      <c r="D2238" s="79" t="s">
        <v>9080</v>
      </c>
      <c r="E2238" s="79">
        <v>2986</v>
      </c>
      <c r="G2238" s="79" t="s">
        <v>7313</v>
      </c>
      <c r="H2238" s="80">
        <v>7576216.2000000002</v>
      </c>
    </row>
    <row r="2239" spans="1:8" x14ac:dyDescent="0.2">
      <c r="A2239" s="79" t="s">
        <v>9011</v>
      </c>
      <c r="B2239" s="79" t="s">
        <v>9412</v>
      </c>
      <c r="C2239" s="79" t="s">
        <v>7335</v>
      </c>
      <c r="D2239" s="79" t="s">
        <v>9080</v>
      </c>
      <c r="E2239" s="79">
        <v>2986</v>
      </c>
      <c r="G2239" s="79" t="s">
        <v>7313</v>
      </c>
      <c r="H2239" s="80">
        <v>7564840.5</v>
      </c>
    </row>
    <row r="2240" spans="1:8" x14ac:dyDescent="0.2">
      <c r="A2240" s="79" t="s">
        <v>9011</v>
      </c>
      <c r="B2240" s="79" t="s">
        <v>9413</v>
      </c>
      <c r="C2240" s="79" t="s">
        <v>7335</v>
      </c>
      <c r="D2240" s="79" t="s">
        <v>9080</v>
      </c>
      <c r="E2240" s="79">
        <v>2800</v>
      </c>
      <c r="G2240" s="79" t="s">
        <v>7313</v>
      </c>
      <c r="H2240" s="80">
        <v>7529000</v>
      </c>
    </row>
    <row r="2241" spans="1:8" x14ac:dyDescent="0.2">
      <c r="A2241" s="79" t="s">
        <v>9011</v>
      </c>
      <c r="B2241" s="79" t="s">
        <v>9414</v>
      </c>
      <c r="C2241" s="79" t="s">
        <v>7335</v>
      </c>
      <c r="D2241" s="79" t="s">
        <v>9080</v>
      </c>
      <c r="E2241" s="79">
        <v>2800</v>
      </c>
      <c r="G2241" s="79" t="s">
        <v>7313</v>
      </c>
      <c r="H2241" s="80">
        <v>7592000</v>
      </c>
    </row>
    <row r="2242" spans="1:8" x14ac:dyDescent="0.2">
      <c r="A2242" s="79" t="s">
        <v>9011</v>
      </c>
      <c r="B2242" s="79" t="s">
        <v>9415</v>
      </c>
      <c r="C2242" s="79" t="s">
        <v>7335</v>
      </c>
      <c r="D2242" s="79" t="s">
        <v>7312</v>
      </c>
      <c r="E2242" s="79">
        <v>1990</v>
      </c>
      <c r="G2242" s="79" t="s">
        <v>7329</v>
      </c>
      <c r="H2242" s="80">
        <v>2350000</v>
      </c>
    </row>
    <row r="2243" spans="1:8" x14ac:dyDescent="0.2">
      <c r="A2243" s="79" t="s">
        <v>9011</v>
      </c>
      <c r="B2243" s="79" t="s">
        <v>9416</v>
      </c>
      <c r="C2243" s="79" t="s">
        <v>7340</v>
      </c>
      <c r="D2243" s="79" t="s">
        <v>7312</v>
      </c>
      <c r="E2243" s="79">
        <v>2400</v>
      </c>
      <c r="G2243" s="79" t="s">
        <v>7329</v>
      </c>
      <c r="H2243" s="80">
        <v>5157000</v>
      </c>
    </row>
    <row r="2244" spans="1:8" x14ac:dyDescent="0.2">
      <c r="A2244" s="79" t="s">
        <v>9011</v>
      </c>
      <c r="B2244" s="79" t="s">
        <v>9417</v>
      </c>
      <c r="C2244" s="79" t="s">
        <v>7340</v>
      </c>
      <c r="D2244" s="79" t="s">
        <v>7312</v>
      </c>
      <c r="E2244" s="79">
        <v>2400</v>
      </c>
      <c r="G2244" s="79" t="s">
        <v>7313</v>
      </c>
      <c r="H2244" s="80">
        <v>5430000</v>
      </c>
    </row>
    <row r="2245" spans="1:8" x14ac:dyDescent="0.2">
      <c r="A2245" s="79" t="s">
        <v>9011</v>
      </c>
      <c r="B2245" s="79" t="s">
        <v>9418</v>
      </c>
      <c r="C2245" s="79" t="s">
        <v>7340</v>
      </c>
      <c r="D2245" s="79" t="s">
        <v>7312</v>
      </c>
      <c r="E2245" s="79">
        <v>2400</v>
      </c>
      <c r="G2245" s="79" t="s">
        <v>7329</v>
      </c>
      <c r="H2245" s="80">
        <v>5157000</v>
      </c>
    </row>
    <row r="2246" spans="1:8" x14ac:dyDescent="0.2">
      <c r="A2246" s="79" t="s">
        <v>9011</v>
      </c>
      <c r="B2246" s="79" t="s">
        <v>9419</v>
      </c>
      <c r="C2246" s="79" t="s">
        <v>7340</v>
      </c>
      <c r="D2246" s="79" t="s">
        <v>7312</v>
      </c>
      <c r="E2246" s="79">
        <v>2400</v>
      </c>
      <c r="G2246" s="79" t="s">
        <v>7313</v>
      </c>
      <c r="H2246" s="80">
        <v>5430000</v>
      </c>
    </row>
    <row r="2247" spans="1:8" x14ac:dyDescent="0.2">
      <c r="A2247" s="79" t="s">
        <v>9011</v>
      </c>
      <c r="B2247" s="79" t="s">
        <v>9420</v>
      </c>
      <c r="C2247" s="79" t="s">
        <v>7340</v>
      </c>
      <c r="D2247" s="79" t="s">
        <v>7312</v>
      </c>
      <c r="E2247" s="79">
        <v>3500</v>
      </c>
      <c r="G2247" s="79" t="s">
        <v>7329</v>
      </c>
      <c r="H2247" s="80">
        <v>7520625</v>
      </c>
    </row>
    <row r="2248" spans="1:8" x14ac:dyDescent="0.2">
      <c r="A2248" s="79" t="s">
        <v>9011</v>
      </c>
      <c r="B2248" s="79" t="s">
        <v>9421</v>
      </c>
      <c r="C2248" s="79" t="s">
        <v>7340</v>
      </c>
      <c r="D2248" s="79" t="s">
        <v>7312</v>
      </c>
      <c r="E2248" s="79">
        <v>3500</v>
      </c>
      <c r="G2248" s="79" t="s">
        <v>7329</v>
      </c>
      <c r="H2248" s="80">
        <v>7918750</v>
      </c>
    </row>
    <row r="2249" spans="1:8" x14ac:dyDescent="0.2">
      <c r="A2249" s="79" t="s">
        <v>9011</v>
      </c>
      <c r="B2249" s="79" t="s">
        <v>9422</v>
      </c>
      <c r="C2249" s="79" t="s">
        <v>7335</v>
      </c>
      <c r="D2249" s="79" t="s">
        <v>7312</v>
      </c>
      <c r="E2249" s="79">
        <v>2200</v>
      </c>
      <c r="G2249" s="79" t="s">
        <v>7329</v>
      </c>
      <c r="H2249" s="80">
        <v>4360340</v>
      </c>
    </row>
    <row r="2250" spans="1:8" x14ac:dyDescent="0.2">
      <c r="A2250" s="79" t="s">
        <v>9011</v>
      </c>
      <c r="B2250" s="79" t="s">
        <v>9423</v>
      </c>
      <c r="C2250" s="79" t="s">
        <v>7335</v>
      </c>
      <c r="D2250" s="79" t="s">
        <v>7312</v>
      </c>
      <c r="E2250" s="79">
        <v>2200</v>
      </c>
      <c r="G2250" s="79" t="s">
        <v>7329</v>
      </c>
      <c r="H2250" s="80">
        <v>4760300</v>
      </c>
    </row>
    <row r="2251" spans="1:8" x14ac:dyDescent="0.2">
      <c r="A2251" s="79" t="s">
        <v>9011</v>
      </c>
      <c r="B2251" s="79" t="s">
        <v>9424</v>
      </c>
      <c r="C2251" s="79" t="s">
        <v>7335</v>
      </c>
      <c r="D2251" s="79" t="s">
        <v>7312</v>
      </c>
      <c r="E2251" s="79">
        <v>2990</v>
      </c>
      <c r="G2251" s="79" t="s">
        <v>7313</v>
      </c>
      <c r="H2251" s="80">
        <v>4926099</v>
      </c>
    </row>
    <row r="2252" spans="1:8" x14ac:dyDescent="0.2">
      <c r="A2252" s="79" t="s">
        <v>9011</v>
      </c>
      <c r="B2252" s="79" t="s">
        <v>9425</v>
      </c>
      <c r="C2252" s="79" t="s">
        <v>7335</v>
      </c>
      <c r="D2252" s="79" t="s">
        <v>7312</v>
      </c>
      <c r="E2252" s="79">
        <v>1986</v>
      </c>
      <c r="G2252" s="79" t="s">
        <v>7329</v>
      </c>
      <c r="H2252" s="80">
        <v>5506050</v>
      </c>
    </row>
    <row r="2253" spans="1:8" x14ac:dyDescent="0.2">
      <c r="A2253" s="79" t="s">
        <v>9011</v>
      </c>
      <c r="B2253" s="79" t="s">
        <v>9425</v>
      </c>
      <c r="C2253" s="79" t="s">
        <v>7335</v>
      </c>
      <c r="D2253" s="79" t="s">
        <v>7312</v>
      </c>
      <c r="E2253" s="79">
        <v>1986</v>
      </c>
      <c r="G2253" s="79" t="s">
        <v>7313</v>
      </c>
      <c r="H2253" s="80">
        <v>5970623</v>
      </c>
    </row>
    <row r="2254" spans="1:8" x14ac:dyDescent="0.2">
      <c r="A2254" s="79" t="s">
        <v>9011</v>
      </c>
      <c r="B2254" s="79" t="s">
        <v>9425</v>
      </c>
      <c r="C2254" s="79" t="s">
        <v>7335</v>
      </c>
      <c r="D2254" s="79" t="s">
        <v>7312</v>
      </c>
      <c r="E2254" s="79">
        <v>2400</v>
      </c>
      <c r="G2254" s="79" t="s">
        <v>7329</v>
      </c>
      <c r="H2254" s="80">
        <v>6653838</v>
      </c>
    </row>
    <row r="2255" spans="1:8" x14ac:dyDescent="0.2">
      <c r="A2255" s="79" t="s">
        <v>9011</v>
      </c>
      <c r="B2255" s="79" t="s">
        <v>9425</v>
      </c>
      <c r="C2255" s="79" t="s">
        <v>7335</v>
      </c>
      <c r="D2255" s="79" t="s">
        <v>7312</v>
      </c>
      <c r="E2255" s="79">
        <v>2400</v>
      </c>
      <c r="G2255" s="79" t="s">
        <v>7313</v>
      </c>
      <c r="H2255" s="80">
        <v>7258732</v>
      </c>
    </row>
    <row r="2256" spans="1:8" x14ac:dyDescent="0.2">
      <c r="A2256" s="79" t="s">
        <v>9011</v>
      </c>
      <c r="B2256" s="79" t="s">
        <v>9426</v>
      </c>
      <c r="C2256" s="79" t="s">
        <v>7335</v>
      </c>
      <c r="D2256" s="79" t="s">
        <v>7312</v>
      </c>
      <c r="E2256" s="79">
        <v>2493</v>
      </c>
      <c r="G2256" s="79" t="s">
        <v>7329</v>
      </c>
      <c r="H2256" s="80">
        <v>7281916</v>
      </c>
    </row>
    <row r="2257" spans="1:8" x14ac:dyDescent="0.2">
      <c r="A2257" s="79" t="s">
        <v>9011</v>
      </c>
      <c r="B2257" s="79" t="s">
        <v>9427</v>
      </c>
      <c r="C2257" s="79" t="s">
        <v>7335</v>
      </c>
      <c r="D2257" s="79" t="s">
        <v>7312</v>
      </c>
      <c r="E2257" s="79">
        <v>2493</v>
      </c>
      <c r="G2257" s="79" t="s">
        <v>7313</v>
      </c>
      <c r="H2257" s="80">
        <v>7457296</v>
      </c>
    </row>
    <row r="2258" spans="1:8" x14ac:dyDescent="0.2">
      <c r="A2258" s="79" t="s">
        <v>9011</v>
      </c>
      <c r="B2258" s="79" t="s">
        <v>9426</v>
      </c>
      <c r="C2258" s="79" t="s">
        <v>7335</v>
      </c>
      <c r="D2258" s="79" t="s">
        <v>7312</v>
      </c>
      <c r="E2258" s="79">
        <v>2000</v>
      </c>
      <c r="G2258" s="79" t="s">
        <v>7329</v>
      </c>
      <c r="H2258" s="80">
        <v>5506050</v>
      </c>
    </row>
    <row r="2259" spans="1:8" x14ac:dyDescent="0.2">
      <c r="A2259" s="79" t="s">
        <v>9011</v>
      </c>
      <c r="B2259" s="79" t="s">
        <v>9427</v>
      </c>
      <c r="C2259" s="79" t="s">
        <v>7335</v>
      </c>
      <c r="D2259" s="79" t="s">
        <v>7312</v>
      </c>
      <c r="E2259" s="79">
        <v>2000</v>
      </c>
      <c r="G2259" s="79" t="s">
        <v>7313</v>
      </c>
      <c r="H2259" s="80">
        <v>5970623</v>
      </c>
    </row>
    <row r="2260" spans="1:8" x14ac:dyDescent="0.2">
      <c r="A2260" s="79" t="s">
        <v>9011</v>
      </c>
      <c r="B2260" s="79" t="s">
        <v>9428</v>
      </c>
      <c r="C2260" s="79" t="s">
        <v>7335</v>
      </c>
      <c r="D2260" s="79" t="s">
        <v>7312</v>
      </c>
      <c r="E2260" s="79">
        <v>3300</v>
      </c>
      <c r="G2260" s="79" t="s">
        <v>7313</v>
      </c>
      <c r="H2260" s="80">
        <v>9612129</v>
      </c>
    </row>
    <row r="2261" spans="1:8" x14ac:dyDescent="0.2">
      <c r="A2261" s="79" t="s">
        <v>9011</v>
      </c>
      <c r="B2261" s="79" t="s">
        <v>9429</v>
      </c>
      <c r="C2261" s="79" t="s">
        <v>7335</v>
      </c>
      <c r="D2261" s="79" t="s">
        <v>7312</v>
      </c>
      <c r="E2261" s="79">
        <v>4500</v>
      </c>
      <c r="G2261" s="79" t="s">
        <v>7313</v>
      </c>
      <c r="H2261" s="80">
        <v>9208900</v>
      </c>
    </row>
    <row r="2262" spans="1:8" x14ac:dyDescent="0.2">
      <c r="A2262" s="79" t="s">
        <v>9011</v>
      </c>
      <c r="B2262" s="79" t="s">
        <v>9430</v>
      </c>
      <c r="C2262" s="79" t="s">
        <v>7327</v>
      </c>
      <c r="D2262" s="79" t="s">
        <v>7328</v>
      </c>
      <c r="E2262" s="79">
        <v>2770</v>
      </c>
      <c r="G2262" s="79" t="s">
        <v>7329</v>
      </c>
      <c r="H2262" s="80">
        <v>2496101</v>
      </c>
    </row>
    <row r="2263" spans="1:8" x14ac:dyDescent="0.2">
      <c r="A2263" s="79" t="s">
        <v>9011</v>
      </c>
      <c r="B2263" s="79" t="s">
        <v>9431</v>
      </c>
      <c r="C2263" s="79" t="s">
        <v>7327</v>
      </c>
      <c r="D2263" s="79" t="s">
        <v>7328</v>
      </c>
      <c r="E2263" s="79">
        <v>2980</v>
      </c>
      <c r="G2263" s="79" t="s">
        <v>7329</v>
      </c>
      <c r="H2263" s="80">
        <v>2635740</v>
      </c>
    </row>
    <row r="2264" spans="1:8" x14ac:dyDescent="0.2">
      <c r="A2264" s="79" t="s">
        <v>9011</v>
      </c>
      <c r="B2264" s="79" t="s">
        <v>9432</v>
      </c>
      <c r="C2264" s="79" t="s">
        <v>7327</v>
      </c>
      <c r="D2264" s="79" t="s">
        <v>7328</v>
      </c>
      <c r="E2264" s="79">
        <v>2400</v>
      </c>
      <c r="G2264" s="79" t="s">
        <v>7329</v>
      </c>
      <c r="H2264" s="80">
        <v>2197500</v>
      </c>
    </row>
    <row r="2265" spans="1:8" x14ac:dyDescent="0.2">
      <c r="A2265" s="79" t="s">
        <v>9011</v>
      </c>
      <c r="B2265" s="79" t="s">
        <v>9433</v>
      </c>
      <c r="C2265" s="79" t="s">
        <v>7327</v>
      </c>
      <c r="D2265" s="79" t="s">
        <v>7312</v>
      </c>
      <c r="E2265" s="79">
        <v>2986</v>
      </c>
      <c r="G2265" s="79" t="s">
        <v>7329</v>
      </c>
      <c r="H2265" s="80">
        <v>2734057</v>
      </c>
    </row>
    <row r="2266" spans="1:8" x14ac:dyDescent="0.2">
      <c r="A2266" s="79" t="s">
        <v>9011</v>
      </c>
      <c r="B2266" s="79" t="s">
        <v>9434</v>
      </c>
      <c r="C2266" s="79" t="s">
        <v>7327</v>
      </c>
      <c r="D2266" s="79" t="s">
        <v>7328</v>
      </c>
      <c r="E2266" s="79">
        <v>3000</v>
      </c>
      <c r="G2266" s="79" t="s">
        <v>7329</v>
      </c>
      <c r="H2266" s="80">
        <v>2734056</v>
      </c>
    </row>
    <row r="2267" spans="1:8" x14ac:dyDescent="0.2">
      <c r="A2267" s="79" t="s">
        <v>9011</v>
      </c>
      <c r="B2267" s="79" t="s">
        <v>9435</v>
      </c>
      <c r="C2267" s="79" t="s">
        <v>7327</v>
      </c>
      <c r="D2267" s="79" t="s">
        <v>7328</v>
      </c>
      <c r="E2267" s="79">
        <v>2500</v>
      </c>
      <c r="G2267" s="79" t="s">
        <v>7329</v>
      </c>
      <c r="H2267" s="80">
        <v>4357500</v>
      </c>
    </row>
    <row r="2268" spans="1:8" x14ac:dyDescent="0.2">
      <c r="A2268" s="79" t="s">
        <v>9011</v>
      </c>
      <c r="B2268" s="79" t="s">
        <v>9436</v>
      </c>
      <c r="C2268" s="79" t="s">
        <v>7327</v>
      </c>
      <c r="D2268" s="79" t="s">
        <v>7328</v>
      </c>
      <c r="E2268" s="79">
        <v>2500</v>
      </c>
      <c r="G2268" s="79" t="s">
        <v>7329</v>
      </c>
      <c r="H2268" s="80">
        <v>4599000</v>
      </c>
    </row>
    <row r="2269" spans="1:8" x14ac:dyDescent="0.2">
      <c r="A2269" s="79" t="s">
        <v>9011</v>
      </c>
      <c r="B2269" s="79" t="s">
        <v>9436</v>
      </c>
      <c r="C2269" s="79" t="s">
        <v>7327</v>
      </c>
      <c r="D2269" s="79" t="s">
        <v>7328</v>
      </c>
      <c r="E2269" s="79">
        <v>2500</v>
      </c>
      <c r="G2269" s="79" t="s">
        <v>7329</v>
      </c>
      <c r="H2269" s="80">
        <v>4620000</v>
      </c>
    </row>
    <row r="2270" spans="1:8" x14ac:dyDescent="0.2">
      <c r="A2270" s="79" t="s">
        <v>9011</v>
      </c>
      <c r="B2270" s="79" t="s">
        <v>9437</v>
      </c>
      <c r="C2270" s="79" t="s">
        <v>7327</v>
      </c>
      <c r="D2270" s="79" t="s">
        <v>9080</v>
      </c>
      <c r="E2270" s="79">
        <v>2500</v>
      </c>
      <c r="G2270" s="79" t="s">
        <v>7329</v>
      </c>
      <c r="H2270" s="80">
        <v>4305000</v>
      </c>
    </row>
    <row r="2271" spans="1:8" x14ac:dyDescent="0.2">
      <c r="A2271" s="79" t="s">
        <v>9011</v>
      </c>
      <c r="B2271" s="79" t="s">
        <v>9438</v>
      </c>
      <c r="C2271" s="79" t="s">
        <v>7327</v>
      </c>
      <c r="D2271" s="79" t="s">
        <v>7328</v>
      </c>
      <c r="E2271" s="79">
        <v>4200</v>
      </c>
      <c r="G2271" s="79" t="s">
        <v>7313</v>
      </c>
      <c r="H2271" s="80">
        <v>10532500</v>
      </c>
    </row>
    <row r="2272" spans="1:8" x14ac:dyDescent="0.2">
      <c r="A2272" s="79" t="s">
        <v>9011</v>
      </c>
      <c r="B2272" s="79" t="s">
        <v>9439</v>
      </c>
      <c r="C2272" s="79" t="s">
        <v>7327</v>
      </c>
      <c r="D2272" s="79" t="s">
        <v>7312</v>
      </c>
      <c r="E2272" s="79">
        <v>2000</v>
      </c>
      <c r="G2272" s="79" t="s">
        <v>7329</v>
      </c>
      <c r="H2272" s="80">
        <v>2055000</v>
      </c>
    </row>
    <row r="2273" spans="1:8" x14ac:dyDescent="0.2">
      <c r="A2273" s="79" t="s">
        <v>9011</v>
      </c>
      <c r="B2273" s="79" t="s">
        <v>9440</v>
      </c>
      <c r="C2273" s="79" t="s">
        <v>7327</v>
      </c>
      <c r="D2273" s="79" t="s">
        <v>7328</v>
      </c>
      <c r="E2273" s="79">
        <v>3661</v>
      </c>
      <c r="G2273" s="79" t="s">
        <v>7313</v>
      </c>
      <c r="H2273" s="80">
        <v>7843000</v>
      </c>
    </row>
    <row r="2274" spans="1:8" x14ac:dyDescent="0.2">
      <c r="A2274" s="79" t="s">
        <v>9011</v>
      </c>
      <c r="B2274" s="79" t="s">
        <v>9441</v>
      </c>
      <c r="C2274" s="79" t="s">
        <v>7327</v>
      </c>
      <c r="D2274" s="79" t="s">
        <v>7328</v>
      </c>
      <c r="E2274" s="79">
        <v>2490</v>
      </c>
      <c r="G2274" s="79" t="s">
        <v>7313</v>
      </c>
      <c r="H2274" s="80">
        <v>5490720</v>
      </c>
    </row>
    <row r="2275" spans="1:8" x14ac:dyDescent="0.2">
      <c r="A2275" s="79" t="s">
        <v>9011</v>
      </c>
      <c r="B2275" s="79" t="s">
        <v>9442</v>
      </c>
      <c r="C2275" s="79" t="s">
        <v>7327</v>
      </c>
      <c r="D2275" s="79" t="s">
        <v>7328</v>
      </c>
      <c r="E2275" s="79">
        <v>2980</v>
      </c>
      <c r="G2275" s="79" t="s">
        <v>7329</v>
      </c>
      <c r="H2275" s="80">
        <v>6581230</v>
      </c>
    </row>
    <row r="2276" spans="1:8" x14ac:dyDescent="0.2">
      <c r="A2276" s="79" t="s">
        <v>9011</v>
      </c>
      <c r="B2276" s="79" t="s">
        <v>9443</v>
      </c>
      <c r="C2276" s="79" t="s">
        <v>7327</v>
      </c>
      <c r="D2276" s="79" t="s">
        <v>7328</v>
      </c>
      <c r="E2276" s="79">
        <v>2490</v>
      </c>
      <c r="G2276" s="79" t="s">
        <v>7329</v>
      </c>
      <c r="H2276" s="80">
        <v>5500000</v>
      </c>
    </row>
    <row r="2277" spans="1:8" x14ac:dyDescent="0.2">
      <c r="A2277" s="79" t="s">
        <v>9011</v>
      </c>
      <c r="B2277" s="79" t="s">
        <v>9444</v>
      </c>
      <c r="C2277" s="79" t="s">
        <v>7327</v>
      </c>
      <c r="D2277" s="79" t="s">
        <v>7328</v>
      </c>
      <c r="E2277" s="79">
        <v>2494</v>
      </c>
      <c r="G2277" s="79" t="s">
        <v>7329</v>
      </c>
      <c r="H2277" s="80">
        <v>5618570</v>
      </c>
    </row>
    <row r="2278" spans="1:8" x14ac:dyDescent="0.2">
      <c r="A2278" s="79" t="s">
        <v>9011</v>
      </c>
      <c r="B2278" s="79" t="s">
        <v>9445</v>
      </c>
      <c r="C2278" s="79" t="s">
        <v>7327</v>
      </c>
      <c r="D2278" s="79" t="s">
        <v>7328</v>
      </c>
      <c r="E2278" s="79">
        <v>2494</v>
      </c>
      <c r="G2278" s="79" t="s">
        <v>7329</v>
      </c>
      <c r="H2278" s="80">
        <v>6049330</v>
      </c>
    </row>
    <row r="2279" spans="1:8" x14ac:dyDescent="0.2">
      <c r="A2279" s="79" t="s">
        <v>9011</v>
      </c>
      <c r="B2279" s="79" t="s">
        <v>9446</v>
      </c>
      <c r="C2279" s="79" t="s">
        <v>7327</v>
      </c>
      <c r="D2279" s="79" t="s">
        <v>7328</v>
      </c>
      <c r="E2279" s="79">
        <v>3000</v>
      </c>
      <c r="G2279" s="79" t="s">
        <v>7329</v>
      </c>
      <c r="H2279" s="80">
        <v>7277000</v>
      </c>
    </row>
    <row r="2280" spans="1:8" x14ac:dyDescent="0.2">
      <c r="A2280" s="79" t="s">
        <v>9011</v>
      </c>
      <c r="B2280" s="79" t="s">
        <v>9447</v>
      </c>
      <c r="C2280" s="79" t="s">
        <v>7327</v>
      </c>
      <c r="D2280" s="79" t="s">
        <v>7328</v>
      </c>
      <c r="E2280" s="79">
        <v>3000</v>
      </c>
      <c r="G2280" s="79" t="s">
        <v>7329</v>
      </c>
      <c r="H2280" s="80">
        <v>6582329</v>
      </c>
    </row>
    <row r="2281" spans="1:8" x14ac:dyDescent="0.2">
      <c r="A2281" s="79" t="s">
        <v>9011</v>
      </c>
      <c r="B2281" s="79" t="s">
        <v>9448</v>
      </c>
      <c r="C2281" s="79" t="s">
        <v>7327</v>
      </c>
      <c r="D2281" s="79" t="s">
        <v>7312</v>
      </c>
      <c r="E2281" s="79">
        <v>2693</v>
      </c>
      <c r="G2281" s="79" t="s">
        <v>7329</v>
      </c>
      <c r="H2281" s="80">
        <v>4726701</v>
      </c>
    </row>
    <row r="2282" spans="1:8" x14ac:dyDescent="0.2">
      <c r="A2282" s="79" t="s">
        <v>9011</v>
      </c>
      <c r="B2282" s="79" t="s">
        <v>9449</v>
      </c>
      <c r="C2282" s="79" t="s">
        <v>7327</v>
      </c>
      <c r="D2282" s="79" t="s">
        <v>7312</v>
      </c>
      <c r="E2282" s="79">
        <v>2000</v>
      </c>
      <c r="G2282" s="79" t="s">
        <v>7329</v>
      </c>
      <c r="H2282" s="80">
        <v>2638693</v>
      </c>
    </row>
    <row r="2283" spans="1:8" x14ac:dyDescent="0.2">
      <c r="A2283" s="79" t="s">
        <v>9011</v>
      </c>
      <c r="B2283" s="79" t="s">
        <v>9450</v>
      </c>
      <c r="C2283" s="79" t="s">
        <v>7327</v>
      </c>
      <c r="D2283" s="79" t="s">
        <v>7312</v>
      </c>
      <c r="E2283" s="79">
        <v>2000</v>
      </c>
      <c r="G2283" s="79" t="s">
        <v>7329</v>
      </c>
      <c r="H2283" s="80">
        <v>5328130</v>
      </c>
    </row>
    <row r="2284" spans="1:8" x14ac:dyDescent="0.2">
      <c r="A2284" s="79" t="s">
        <v>9011</v>
      </c>
      <c r="B2284" s="79" t="s">
        <v>9451</v>
      </c>
      <c r="C2284" s="79" t="s">
        <v>7327</v>
      </c>
      <c r="D2284" s="79" t="s">
        <v>7312</v>
      </c>
      <c r="E2284" s="79">
        <v>2700</v>
      </c>
      <c r="G2284" s="79" t="s">
        <v>7329</v>
      </c>
      <c r="H2284" s="80">
        <v>7192975.5</v>
      </c>
    </row>
    <row r="2285" spans="1:8" x14ac:dyDescent="0.2">
      <c r="A2285" s="79" t="s">
        <v>9011</v>
      </c>
      <c r="B2285" s="79" t="s">
        <v>9452</v>
      </c>
      <c r="C2285" s="79" t="s">
        <v>7619</v>
      </c>
      <c r="D2285" s="79" t="s">
        <v>7312</v>
      </c>
      <c r="E2285" s="79">
        <v>1812</v>
      </c>
      <c r="G2285" s="79" t="s">
        <v>7313</v>
      </c>
      <c r="H2285" s="80">
        <v>1766800</v>
      </c>
    </row>
    <row r="2286" spans="1:8" x14ac:dyDescent="0.2">
      <c r="A2286" s="79" t="s">
        <v>9011</v>
      </c>
      <c r="B2286" s="79" t="s">
        <v>9453</v>
      </c>
      <c r="C2286" s="79" t="s">
        <v>7619</v>
      </c>
      <c r="D2286" s="79" t="s">
        <v>7328</v>
      </c>
      <c r="E2286" s="79">
        <v>2446</v>
      </c>
      <c r="G2286" s="79" t="s">
        <v>7313</v>
      </c>
      <c r="H2286" s="80">
        <v>1584804</v>
      </c>
    </row>
    <row r="2287" spans="1:8" x14ac:dyDescent="0.2">
      <c r="A2287" s="79" t="s">
        <v>9011</v>
      </c>
      <c r="B2287" s="79" t="s">
        <v>9454</v>
      </c>
      <c r="C2287" s="79" t="s">
        <v>7619</v>
      </c>
      <c r="D2287" s="79" t="s">
        <v>7328</v>
      </c>
      <c r="E2287" s="79">
        <v>2980</v>
      </c>
      <c r="G2287" s="79" t="s">
        <v>7313</v>
      </c>
      <c r="H2287" s="80">
        <v>1899000</v>
      </c>
    </row>
    <row r="2288" spans="1:8" x14ac:dyDescent="0.2">
      <c r="A2288" s="79" t="s">
        <v>9011</v>
      </c>
      <c r="B2288" s="79" t="s">
        <v>9455</v>
      </c>
      <c r="C2288" s="79" t="s">
        <v>8200</v>
      </c>
      <c r="D2288" s="79" t="s">
        <v>7312</v>
      </c>
      <c r="E2288" s="79">
        <v>2779</v>
      </c>
      <c r="G2288" s="79" t="s">
        <v>7313</v>
      </c>
      <c r="H2288" s="80">
        <v>2433000</v>
      </c>
    </row>
    <row r="2289" spans="1:8" x14ac:dyDescent="0.2">
      <c r="A2289" s="79" t="s">
        <v>9011</v>
      </c>
      <c r="B2289" s="79" t="s">
        <v>9456</v>
      </c>
      <c r="C2289" s="79" t="s">
        <v>8200</v>
      </c>
      <c r="D2289" s="79" t="s">
        <v>7328</v>
      </c>
      <c r="E2289" s="79">
        <v>2980</v>
      </c>
      <c r="G2289" s="79" t="s">
        <v>7313</v>
      </c>
      <c r="H2289" s="80">
        <v>2925180</v>
      </c>
    </row>
    <row r="2290" spans="1:8" x14ac:dyDescent="0.2">
      <c r="A2290" s="79" t="s">
        <v>9011</v>
      </c>
      <c r="B2290" s="79" t="s">
        <v>9457</v>
      </c>
      <c r="C2290" s="79" t="s">
        <v>9330</v>
      </c>
      <c r="D2290" s="79" t="s">
        <v>7328</v>
      </c>
      <c r="E2290" s="79">
        <v>2800</v>
      </c>
      <c r="G2290" s="79" t="s">
        <v>7313</v>
      </c>
      <c r="H2290" s="80">
        <v>6975579.2400000002</v>
      </c>
    </row>
    <row r="2291" spans="1:8" x14ac:dyDescent="0.2">
      <c r="A2291" s="79" t="s">
        <v>9011</v>
      </c>
      <c r="B2291" s="79" t="s">
        <v>9458</v>
      </c>
      <c r="C2291" s="79" t="s">
        <v>9330</v>
      </c>
      <c r="D2291" s="79" t="s">
        <v>7328</v>
      </c>
      <c r="E2291" s="79">
        <v>2800</v>
      </c>
      <c r="G2291" s="79" t="s">
        <v>7313</v>
      </c>
      <c r="H2291" s="80">
        <v>7291823.7000000002</v>
      </c>
    </row>
    <row r="2292" spans="1:8" x14ac:dyDescent="0.2">
      <c r="A2292" s="79" t="s">
        <v>9011</v>
      </c>
      <c r="B2292" s="79" t="s">
        <v>9459</v>
      </c>
      <c r="C2292" s="79" t="s">
        <v>9330</v>
      </c>
      <c r="D2292" s="79" t="s">
        <v>7328</v>
      </c>
      <c r="E2292" s="79">
        <v>2800</v>
      </c>
      <c r="G2292" s="79" t="s">
        <v>7313</v>
      </c>
      <c r="H2292" s="80">
        <v>6495524.7000000002</v>
      </c>
    </row>
    <row r="2293" spans="1:8" x14ac:dyDescent="0.2">
      <c r="A2293" s="79" t="s">
        <v>9011</v>
      </c>
      <c r="B2293" s="79" t="s">
        <v>9460</v>
      </c>
      <c r="C2293" s="79" t="s">
        <v>8095</v>
      </c>
      <c r="D2293" s="79" t="s">
        <v>7328</v>
      </c>
      <c r="E2293" s="79">
        <v>2400</v>
      </c>
      <c r="G2293" s="79" t="s">
        <v>7313</v>
      </c>
      <c r="H2293" s="80">
        <v>4823838.5</v>
      </c>
    </row>
    <row r="2294" spans="1:8" x14ac:dyDescent="0.2">
      <c r="A2294" s="79" t="s">
        <v>9011</v>
      </c>
      <c r="B2294" s="79" t="s">
        <v>9461</v>
      </c>
      <c r="C2294" s="79" t="s">
        <v>8095</v>
      </c>
      <c r="D2294" s="79" t="s">
        <v>7328</v>
      </c>
      <c r="E2294" s="79">
        <v>2500</v>
      </c>
      <c r="G2294" s="79" t="s">
        <v>7329</v>
      </c>
      <c r="H2294" s="80">
        <v>3400000</v>
      </c>
    </row>
    <row r="2295" spans="1:8" x14ac:dyDescent="0.2">
      <c r="A2295" s="79" t="s">
        <v>9011</v>
      </c>
      <c r="B2295" s="79" t="s">
        <v>9462</v>
      </c>
      <c r="C2295" s="79" t="s">
        <v>8095</v>
      </c>
      <c r="D2295" s="79" t="s">
        <v>7328</v>
      </c>
      <c r="E2295" s="79">
        <v>2400</v>
      </c>
      <c r="G2295" s="79" t="s">
        <v>7313</v>
      </c>
      <c r="H2295" s="80">
        <v>4462500</v>
      </c>
    </row>
    <row r="2296" spans="1:8" x14ac:dyDescent="0.2">
      <c r="A2296" s="79" t="s">
        <v>9011</v>
      </c>
      <c r="B2296" s="79" t="s">
        <v>9463</v>
      </c>
      <c r="C2296" s="79" t="s">
        <v>9330</v>
      </c>
      <c r="D2296" s="79" t="s">
        <v>7328</v>
      </c>
      <c r="E2296" s="79">
        <v>2400</v>
      </c>
      <c r="G2296" s="79" t="s">
        <v>7313</v>
      </c>
      <c r="H2296" s="80">
        <v>5240000</v>
      </c>
    </row>
    <row r="2297" spans="1:8" x14ac:dyDescent="0.2">
      <c r="A2297" s="79" t="s">
        <v>9011</v>
      </c>
      <c r="B2297" s="79" t="s">
        <v>9464</v>
      </c>
      <c r="C2297" s="79" t="s">
        <v>9330</v>
      </c>
      <c r="D2297" s="79" t="s">
        <v>7328</v>
      </c>
      <c r="E2297" s="79">
        <v>2400</v>
      </c>
      <c r="G2297" s="79" t="s">
        <v>7313</v>
      </c>
      <c r="H2297" s="80">
        <v>5712000</v>
      </c>
    </row>
    <row r="2298" spans="1:8" x14ac:dyDescent="0.2">
      <c r="A2298" s="79" t="s">
        <v>9011</v>
      </c>
      <c r="B2298" s="79" t="s">
        <v>9465</v>
      </c>
      <c r="C2298" s="79" t="s">
        <v>9330</v>
      </c>
      <c r="D2298" s="79" t="s">
        <v>7328</v>
      </c>
      <c r="E2298" s="79">
        <v>2800</v>
      </c>
      <c r="F2298" s="79" t="s">
        <v>7643</v>
      </c>
      <c r="G2298" s="79" t="s">
        <v>7313</v>
      </c>
      <c r="H2298" s="80">
        <v>6195000</v>
      </c>
    </row>
    <row r="2299" spans="1:8" x14ac:dyDescent="0.2">
      <c r="A2299" s="79" t="s">
        <v>9011</v>
      </c>
      <c r="B2299" s="79" t="s">
        <v>9466</v>
      </c>
      <c r="C2299" s="79" t="s">
        <v>9330</v>
      </c>
      <c r="D2299" s="79" t="s">
        <v>7328</v>
      </c>
      <c r="E2299" s="79">
        <v>2800</v>
      </c>
      <c r="F2299" s="79" t="s">
        <v>7738</v>
      </c>
      <c r="G2299" s="79" t="s">
        <v>7313</v>
      </c>
      <c r="H2299" s="80">
        <v>6589000</v>
      </c>
    </row>
    <row r="2300" spans="1:8" x14ac:dyDescent="0.2">
      <c r="A2300" s="79" t="s">
        <v>9011</v>
      </c>
      <c r="B2300" s="79" t="s">
        <v>9467</v>
      </c>
      <c r="C2300" s="79" t="s">
        <v>9330</v>
      </c>
      <c r="D2300" s="79" t="s">
        <v>7328</v>
      </c>
      <c r="E2300" s="79">
        <v>2800</v>
      </c>
      <c r="F2300" s="79" t="s">
        <v>7643</v>
      </c>
      <c r="G2300" s="79" t="s">
        <v>7313</v>
      </c>
      <c r="H2300" s="80">
        <v>6951000</v>
      </c>
    </row>
    <row r="2301" spans="1:8" x14ac:dyDescent="0.2">
      <c r="A2301" s="79" t="s">
        <v>9011</v>
      </c>
      <c r="B2301" s="79" t="s">
        <v>9468</v>
      </c>
      <c r="C2301" s="79" t="s">
        <v>7619</v>
      </c>
      <c r="D2301" s="79" t="s">
        <v>7328</v>
      </c>
      <c r="E2301" s="79">
        <v>2500</v>
      </c>
      <c r="G2301" s="79" t="s">
        <v>7329</v>
      </c>
      <c r="H2301" s="80">
        <v>2821300</v>
      </c>
    </row>
    <row r="2302" spans="1:8" x14ac:dyDescent="0.2">
      <c r="A2302" s="79" t="s">
        <v>9011</v>
      </c>
      <c r="B2302" s="79" t="s">
        <v>9469</v>
      </c>
      <c r="C2302" s="79" t="s">
        <v>7619</v>
      </c>
      <c r="D2302" s="79" t="s">
        <v>7328</v>
      </c>
      <c r="E2302" s="79">
        <v>3000</v>
      </c>
      <c r="G2302" s="79" t="s">
        <v>7329</v>
      </c>
      <c r="H2302" s="80">
        <v>4257762</v>
      </c>
    </row>
    <row r="2303" spans="1:8" x14ac:dyDescent="0.2">
      <c r="A2303" s="79" t="s">
        <v>9011</v>
      </c>
      <c r="B2303" s="79" t="s">
        <v>9470</v>
      </c>
      <c r="C2303" s="79" t="s">
        <v>7619</v>
      </c>
      <c r="D2303" s="79" t="s">
        <v>7328</v>
      </c>
      <c r="E2303" s="79">
        <v>2500</v>
      </c>
      <c r="G2303" s="79" t="s">
        <v>7329</v>
      </c>
      <c r="H2303" s="80">
        <v>3438604</v>
      </c>
    </row>
    <row r="2304" spans="1:8" x14ac:dyDescent="0.2">
      <c r="A2304" s="79" t="s">
        <v>9011</v>
      </c>
      <c r="B2304" s="79" t="s">
        <v>9471</v>
      </c>
      <c r="C2304" s="79" t="s">
        <v>9472</v>
      </c>
      <c r="D2304" s="79" t="s">
        <v>7328</v>
      </c>
      <c r="E2304" s="79">
        <v>2500</v>
      </c>
      <c r="G2304" s="79" t="s">
        <v>7313</v>
      </c>
      <c r="H2304" s="80">
        <v>4573344</v>
      </c>
    </row>
    <row r="2305" spans="1:8" x14ac:dyDescent="0.2">
      <c r="A2305" s="79" t="s">
        <v>9011</v>
      </c>
      <c r="B2305" s="79" t="s">
        <v>9473</v>
      </c>
      <c r="C2305" s="79" t="s">
        <v>8200</v>
      </c>
      <c r="D2305" s="79" t="s">
        <v>7328</v>
      </c>
      <c r="E2305" s="79">
        <v>2500</v>
      </c>
      <c r="G2305" s="79" t="s">
        <v>7313</v>
      </c>
      <c r="H2305" s="80">
        <v>4716110</v>
      </c>
    </row>
    <row r="2306" spans="1:8" x14ac:dyDescent="0.2">
      <c r="A2306" s="79" t="s">
        <v>9011</v>
      </c>
      <c r="B2306" s="79" t="s">
        <v>9474</v>
      </c>
      <c r="C2306" s="79" t="s">
        <v>8200</v>
      </c>
      <c r="D2306" s="79" t="s">
        <v>7328</v>
      </c>
      <c r="E2306" s="79">
        <v>2500</v>
      </c>
      <c r="G2306" s="79" t="s">
        <v>7313</v>
      </c>
      <c r="H2306" s="80">
        <v>4212103</v>
      </c>
    </row>
    <row r="2307" spans="1:8" x14ac:dyDescent="0.2">
      <c r="A2307" s="79" t="s">
        <v>9011</v>
      </c>
      <c r="B2307" s="79" t="s">
        <v>9475</v>
      </c>
      <c r="C2307" s="79" t="s">
        <v>8200</v>
      </c>
      <c r="D2307" s="79" t="s">
        <v>7328</v>
      </c>
      <c r="E2307" s="79">
        <v>2500</v>
      </c>
      <c r="G2307" s="79" t="s">
        <v>7329</v>
      </c>
      <c r="H2307" s="80">
        <v>3842575</v>
      </c>
    </row>
    <row r="2308" spans="1:8" x14ac:dyDescent="0.2">
      <c r="A2308" s="79" t="s">
        <v>9011</v>
      </c>
      <c r="B2308" s="79" t="s">
        <v>9476</v>
      </c>
      <c r="C2308" s="79" t="s">
        <v>8200</v>
      </c>
      <c r="D2308" s="79" t="s">
        <v>7328</v>
      </c>
      <c r="E2308" s="79">
        <v>3000</v>
      </c>
      <c r="F2308" s="79" t="s">
        <v>7643</v>
      </c>
      <c r="G2308" s="79" t="s">
        <v>7313</v>
      </c>
      <c r="H2308" s="80">
        <v>5869861.2000000002</v>
      </c>
    </row>
    <row r="2309" spans="1:8" x14ac:dyDescent="0.2">
      <c r="A2309" s="79" t="s">
        <v>9011</v>
      </c>
      <c r="B2309" s="79" t="s">
        <v>9477</v>
      </c>
      <c r="C2309" s="79" t="s">
        <v>8200</v>
      </c>
      <c r="D2309" s="79" t="s">
        <v>7328</v>
      </c>
      <c r="E2309" s="79">
        <v>3000</v>
      </c>
      <c r="F2309" s="79" t="s">
        <v>7738</v>
      </c>
      <c r="G2309" s="79" t="s">
        <v>7313</v>
      </c>
      <c r="H2309" s="80">
        <v>5403999.2000000002</v>
      </c>
    </row>
    <row r="2310" spans="1:8" x14ac:dyDescent="0.2">
      <c r="A2310" s="79" t="s">
        <v>9011</v>
      </c>
      <c r="B2310" s="79" t="s">
        <v>9478</v>
      </c>
      <c r="C2310" s="79" t="s">
        <v>8200</v>
      </c>
      <c r="D2310" s="79" t="s">
        <v>7328</v>
      </c>
      <c r="E2310" s="79">
        <v>3000</v>
      </c>
      <c r="F2310" s="79" t="s">
        <v>7738</v>
      </c>
      <c r="G2310" s="79" t="s">
        <v>7313</v>
      </c>
      <c r="H2310" s="80">
        <v>6625207.6799999997</v>
      </c>
    </row>
    <row r="2311" spans="1:8" x14ac:dyDescent="0.2">
      <c r="A2311" s="79" t="s">
        <v>9011</v>
      </c>
      <c r="B2311" s="79" t="s">
        <v>9479</v>
      </c>
      <c r="C2311" s="79" t="s">
        <v>8200</v>
      </c>
      <c r="D2311" s="79" t="s">
        <v>7328</v>
      </c>
      <c r="E2311" s="79">
        <v>3000</v>
      </c>
      <c r="G2311" s="79" t="s">
        <v>7313</v>
      </c>
      <c r="H2311" s="80">
        <v>7007431.2000000002</v>
      </c>
    </row>
    <row r="2312" spans="1:8" x14ac:dyDescent="0.2">
      <c r="A2312" s="79" t="s">
        <v>9011</v>
      </c>
      <c r="B2312" s="79" t="s">
        <v>9480</v>
      </c>
      <c r="C2312" s="79" t="s">
        <v>8200</v>
      </c>
      <c r="D2312" s="79" t="s">
        <v>7328</v>
      </c>
      <c r="E2312" s="79">
        <v>2500</v>
      </c>
      <c r="G2312" s="79" t="s">
        <v>7313</v>
      </c>
      <c r="H2312" s="80">
        <v>5607000</v>
      </c>
    </row>
    <row r="2313" spans="1:8" x14ac:dyDescent="0.2">
      <c r="A2313" s="79" t="s">
        <v>9011</v>
      </c>
      <c r="B2313" s="79" t="s">
        <v>9481</v>
      </c>
      <c r="C2313" s="79" t="s">
        <v>8095</v>
      </c>
      <c r="D2313" s="79" t="s">
        <v>7328</v>
      </c>
      <c r="E2313" s="79">
        <v>2500</v>
      </c>
      <c r="G2313" s="79" t="s">
        <v>7313</v>
      </c>
      <c r="H2313" s="80">
        <v>4384800</v>
      </c>
    </row>
    <row r="2314" spans="1:8" x14ac:dyDescent="0.2">
      <c r="A2314" s="79" t="s">
        <v>9011</v>
      </c>
      <c r="B2314" s="79" t="s">
        <v>9482</v>
      </c>
      <c r="C2314" s="79" t="s">
        <v>8095</v>
      </c>
      <c r="D2314" s="79" t="s">
        <v>7328</v>
      </c>
      <c r="E2314" s="79">
        <v>2500</v>
      </c>
      <c r="G2314" s="79" t="s">
        <v>7329</v>
      </c>
      <c r="H2314" s="80">
        <v>3294400</v>
      </c>
    </row>
    <row r="2315" spans="1:8" x14ac:dyDescent="0.2">
      <c r="A2315" s="79" t="s">
        <v>9011</v>
      </c>
      <c r="B2315" s="79" t="s">
        <v>9483</v>
      </c>
      <c r="C2315" s="79" t="s">
        <v>8095</v>
      </c>
      <c r="D2315" s="79" t="s">
        <v>7312</v>
      </c>
      <c r="E2315" s="79">
        <v>1998</v>
      </c>
      <c r="G2315" s="79" t="s">
        <v>7329</v>
      </c>
      <c r="H2315" s="80">
        <v>2844262</v>
      </c>
    </row>
    <row r="2316" spans="1:8" x14ac:dyDescent="0.2">
      <c r="A2316" s="79" t="s">
        <v>9011</v>
      </c>
      <c r="B2316" s="79" t="s">
        <v>9484</v>
      </c>
      <c r="C2316" s="79" t="s">
        <v>8200</v>
      </c>
      <c r="D2316" s="79" t="s">
        <v>7328</v>
      </c>
      <c r="E2316" s="79">
        <v>2700</v>
      </c>
      <c r="F2316" s="79" t="s">
        <v>7738</v>
      </c>
      <c r="G2316" s="79" t="s">
        <v>7313</v>
      </c>
      <c r="H2316" s="80">
        <v>5282658.4000000004</v>
      </c>
    </row>
    <row r="2317" spans="1:8" x14ac:dyDescent="0.2">
      <c r="A2317" s="79" t="s">
        <v>9011</v>
      </c>
      <c r="B2317" s="79" t="s">
        <v>9484</v>
      </c>
      <c r="C2317" s="79" t="s">
        <v>8200</v>
      </c>
      <c r="D2317" s="79" t="s">
        <v>7312</v>
      </c>
      <c r="E2317" s="79">
        <v>2700</v>
      </c>
      <c r="F2317" s="79" t="s">
        <v>7643</v>
      </c>
      <c r="G2317" s="79" t="s">
        <v>7313</v>
      </c>
      <c r="H2317" s="80">
        <v>5026000</v>
      </c>
    </row>
    <row r="2318" spans="1:8" x14ac:dyDescent="0.2">
      <c r="A2318" s="79" t="s">
        <v>9011</v>
      </c>
      <c r="B2318" s="79" t="s">
        <v>9485</v>
      </c>
      <c r="C2318" s="79" t="s">
        <v>7335</v>
      </c>
      <c r="D2318" s="79" t="s">
        <v>7328</v>
      </c>
      <c r="E2318" s="79">
        <v>2990</v>
      </c>
      <c r="G2318" s="79" t="s">
        <v>7313</v>
      </c>
      <c r="H2318" s="80">
        <v>5146150</v>
      </c>
    </row>
    <row r="2319" spans="1:8" x14ac:dyDescent="0.2">
      <c r="A2319" s="79" t="s">
        <v>9011</v>
      </c>
      <c r="B2319" s="79" t="s">
        <v>9485</v>
      </c>
      <c r="C2319" s="79" t="s">
        <v>7335</v>
      </c>
      <c r="D2319" s="79" t="s">
        <v>7312</v>
      </c>
      <c r="E2319" s="79">
        <v>2690</v>
      </c>
      <c r="G2319" s="79" t="s">
        <v>7313</v>
      </c>
      <c r="H2319" s="80">
        <v>4350000</v>
      </c>
    </row>
    <row r="2320" spans="1:8" x14ac:dyDescent="0.2">
      <c r="A2320" s="79" t="s">
        <v>9011</v>
      </c>
      <c r="B2320" s="79" t="s">
        <v>9486</v>
      </c>
      <c r="C2320" s="79" t="s">
        <v>7335</v>
      </c>
      <c r="D2320" s="79" t="s">
        <v>7312</v>
      </c>
      <c r="E2320" s="79">
        <v>1491</v>
      </c>
      <c r="G2320" s="79" t="s">
        <v>7329</v>
      </c>
      <c r="H2320" s="80">
        <v>3159000</v>
      </c>
    </row>
    <row r="2321" spans="1:8" x14ac:dyDescent="0.2">
      <c r="A2321" s="79" t="s">
        <v>9011</v>
      </c>
      <c r="B2321" s="79" t="s">
        <v>9486</v>
      </c>
      <c r="C2321" s="79" t="s">
        <v>7335</v>
      </c>
      <c r="D2321" s="79" t="s">
        <v>7312</v>
      </c>
      <c r="E2321" s="79">
        <v>1998</v>
      </c>
      <c r="G2321" s="79" t="s">
        <v>7329</v>
      </c>
      <c r="H2321" s="80">
        <v>3990450</v>
      </c>
    </row>
    <row r="2322" spans="1:8" x14ac:dyDescent="0.2">
      <c r="A2322" s="79" t="s">
        <v>9011</v>
      </c>
      <c r="B2322" s="79" t="s">
        <v>9486</v>
      </c>
      <c r="C2322" s="79" t="s">
        <v>7335</v>
      </c>
      <c r="D2322" s="79" t="s">
        <v>7328</v>
      </c>
      <c r="E2322" s="79">
        <v>2500</v>
      </c>
      <c r="G2322" s="79" t="s">
        <v>7329</v>
      </c>
      <c r="H2322" s="80">
        <v>4993055.5599999996</v>
      </c>
    </row>
    <row r="2323" spans="1:8" x14ac:dyDescent="0.2">
      <c r="A2323" s="79" t="s">
        <v>9011</v>
      </c>
      <c r="B2323" s="79" t="s">
        <v>9487</v>
      </c>
      <c r="C2323" s="79" t="s">
        <v>7335</v>
      </c>
      <c r="D2323" s="79" t="s">
        <v>7312</v>
      </c>
      <c r="E2323" s="79">
        <v>2400</v>
      </c>
      <c r="G2323" s="79" t="s">
        <v>7329</v>
      </c>
      <c r="H2323" s="80">
        <v>3300000</v>
      </c>
    </row>
    <row r="2324" spans="1:8" x14ac:dyDescent="0.2">
      <c r="A2324" s="79" t="s">
        <v>9011</v>
      </c>
      <c r="B2324" s="79" t="s">
        <v>9488</v>
      </c>
      <c r="C2324" s="79" t="s">
        <v>7335</v>
      </c>
      <c r="D2324" s="79" t="s">
        <v>7312</v>
      </c>
      <c r="E2324" s="79">
        <v>1990</v>
      </c>
      <c r="G2324" s="79" t="s">
        <v>7329</v>
      </c>
      <c r="H2324" s="80">
        <v>2350000</v>
      </c>
    </row>
    <row r="2325" spans="1:8" x14ac:dyDescent="0.2">
      <c r="A2325" s="79" t="s">
        <v>9011</v>
      </c>
      <c r="B2325" s="79" t="s">
        <v>9489</v>
      </c>
      <c r="C2325" s="79" t="s">
        <v>7340</v>
      </c>
      <c r="D2325" s="79" t="s">
        <v>7312</v>
      </c>
      <c r="E2325" s="79">
        <v>997</v>
      </c>
      <c r="G2325" s="79" t="s">
        <v>9490</v>
      </c>
      <c r="H2325" s="80">
        <v>1408836</v>
      </c>
    </row>
    <row r="2326" spans="1:8" x14ac:dyDescent="0.2">
      <c r="A2326" s="79" t="s">
        <v>9011</v>
      </c>
      <c r="B2326" s="79" t="s">
        <v>9489</v>
      </c>
      <c r="C2326" s="79" t="s">
        <v>7340</v>
      </c>
      <c r="D2326" s="79" t="s">
        <v>7312</v>
      </c>
      <c r="E2326" s="79">
        <v>1300</v>
      </c>
      <c r="G2326" s="79" t="s">
        <v>9490</v>
      </c>
      <c r="H2326" s="80">
        <v>1837000</v>
      </c>
    </row>
    <row r="2327" spans="1:8" x14ac:dyDescent="0.2">
      <c r="A2327" s="79" t="s">
        <v>9011</v>
      </c>
      <c r="B2327" s="79" t="s">
        <v>9491</v>
      </c>
      <c r="C2327" s="79" t="s">
        <v>7335</v>
      </c>
      <c r="D2327" s="79" t="s">
        <v>7312</v>
      </c>
      <c r="E2327" s="79">
        <v>2400</v>
      </c>
      <c r="G2327" s="79" t="s">
        <v>7313</v>
      </c>
      <c r="H2327" s="80">
        <v>4817055</v>
      </c>
    </row>
    <row r="2328" spans="1:8" x14ac:dyDescent="0.2">
      <c r="A2328" s="79" t="s">
        <v>9011</v>
      </c>
      <c r="B2328" s="79" t="s">
        <v>9491</v>
      </c>
      <c r="C2328" s="79" t="s">
        <v>7335</v>
      </c>
      <c r="D2328" s="79" t="s">
        <v>7312</v>
      </c>
      <c r="E2328" s="79">
        <v>2400</v>
      </c>
      <c r="G2328" s="79" t="s">
        <v>7329</v>
      </c>
      <c r="H2328" s="80">
        <v>4480982</v>
      </c>
    </row>
    <row r="2329" spans="1:8" x14ac:dyDescent="0.2">
      <c r="A2329" s="79" t="s">
        <v>9011</v>
      </c>
      <c r="B2329" s="79" t="s">
        <v>9492</v>
      </c>
      <c r="C2329" s="79" t="s">
        <v>7335</v>
      </c>
      <c r="D2329" s="79" t="s">
        <v>7312</v>
      </c>
      <c r="E2329" s="79">
        <v>4700</v>
      </c>
      <c r="G2329" s="79" t="s">
        <v>7313</v>
      </c>
      <c r="H2329" s="80">
        <v>10476478</v>
      </c>
    </row>
    <row r="2330" spans="1:8" x14ac:dyDescent="0.2">
      <c r="A2330" s="81" t="s">
        <v>9011</v>
      </c>
      <c r="B2330" s="81" t="s">
        <v>9493</v>
      </c>
      <c r="C2330" s="81" t="s">
        <v>7335</v>
      </c>
      <c r="D2330" s="81" t="s">
        <v>7328</v>
      </c>
      <c r="E2330" s="81">
        <v>2750</v>
      </c>
      <c r="F2330" s="81"/>
      <c r="G2330" s="81" t="s">
        <v>7313</v>
      </c>
      <c r="H2330" s="82">
        <v>9095658.6999999993</v>
      </c>
    </row>
    <row r="2331" spans="1:8" x14ac:dyDescent="0.2">
      <c r="A2331" s="79" t="s">
        <v>9011</v>
      </c>
      <c r="B2331" s="79" t="s">
        <v>9494</v>
      </c>
      <c r="C2331" s="79" t="s">
        <v>7335</v>
      </c>
      <c r="D2331" s="79" t="s">
        <v>7328</v>
      </c>
      <c r="E2331" s="79">
        <v>4200</v>
      </c>
      <c r="G2331" s="79" t="s">
        <v>7313</v>
      </c>
      <c r="H2331" s="80">
        <v>8965135</v>
      </c>
    </row>
    <row r="2332" spans="1:8" x14ac:dyDescent="0.2">
      <c r="A2332" s="79" t="s">
        <v>9011</v>
      </c>
      <c r="B2332" s="79" t="s">
        <v>9495</v>
      </c>
      <c r="C2332" s="79" t="s">
        <v>7335</v>
      </c>
      <c r="D2332" s="79" t="s">
        <v>7328</v>
      </c>
      <c r="E2332" s="79">
        <v>4200</v>
      </c>
      <c r="G2332" s="79" t="s">
        <v>7313</v>
      </c>
      <c r="H2332" s="80">
        <v>6184047.2000000002</v>
      </c>
    </row>
    <row r="2333" spans="1:8" x14ac:dyDescent="0.2">
      <c r="A2333" s="79" t="s">
        <v>9011</v>
      </c>
      <c r="B2333" s="79" t="s">
        <v>9496</v>
      </c>
      <c r="C2333" s="79" t="s">
        <v>7335</v>
      </c>
      <c r="D2333" s="79" t="s">
        <v>7328</v>
      </c>
      <c r="E2333" s="79">
        <v>2982</v>
      </c>
      <c r="G2333" s="79" t="s">
        <v>7313</v>
      </c>
      <c r="H2333" s="80">
        <v>5152650.4000000004</v>
      </c>
    </row>
    <row r="2334" spans="1:8" x14ac:dyDescent="0.2">
      <c r="A2334" s="79" t="s">
        <v>9011</v>
      </c>
      <c r="B2334" s="79" t="s">
        <v>9497</v>
      </c>
      <c r="C2334" s="79" t="s">
        <v>7335</v>
      </c>
      <c r="D2334" s="79" t="s">
        <v>7328</v>
      </c>
      <c r="E2334" s="79">
        <v>2982</v>
      </c>
      <c r="G2334" s="79" t="s">
        <v>7313</v>
      </c>
      <c r="H2334" s="80">
        <v>6152628.5999999996</v>
      </c>
    </row>
    <row r="2335" spans="1:8" x14ac:dyDescent="0.2">
      <c r="A2335" s="79" t="s">
        <v>9011</v>
      </c>
      <c r="B2335" s="79" t="s">
        <v>9498</v>
      </c>
      <c r="C2335" s="79" t="s">
        <v>7335</v>
      </c>
      <c r="D2335" s="79" t="s">
        <v>7328</v>
      </c>
      <c r="E2335" s="79">
        <v>2982</v>
      </c>
      <c r="G2335" s="79" t="s">
        <v>7313</v>
      </c>
      <c r="H2335" s="80">
        <v>6798335</v>
      </c>
    </row>
    <row r="2336" spans="1:8" x14ac:dyDescent="0.2">
      <c r="A2336" s="79" t="s">
        <v>9011</v>
      </c>
      <c r="B2336" s="79" t="s">
        <v>9499</v>
      </c>
      <c r="C2336" s="79" t="s">
        <v>7335</v>
      </c>
      <c r="D2336" s="79" t="s">
        <v>7328</v>
      </c>
      <c r="E2336" s="79">
        <v>2982</v>
      </c>
      <c r="F2336" s="79" t="s">
        <v>7643</v>
      </c>
      <c r="G2336" s="79" t="s">
        <v>7313</v>
      </c>
      <c r="H2336" s="80">
        <v>6718141.7300000004</v>
      </c>
    </row>
    <row r="2337" spans="1:8" x14ac:dyDescent="0.2">
      <c r="A2337" s="79" t="s">
        <v>9011</v>
      </c>
      <c r="B2337" s="79" t="s">
        <v>9500</v>
      </c>
      <c r="C2337" s="79" t="s">
        <v>7335</v>
      </c>
      <c r="D2337" s="79" t="s">
        <v>7328</v>
      </c>
      <c r="E2337" s="79">
        <v>2982</v>
      </c>
      <c r="G2337" s="79" t="s">
        <v>7313</v>
      </c>
      <c r="H2337" s="80">
        <v>11587103.84</v>
      </c>
    </row>
    <row r="2338" spans="1:8" x14ac:dyDescent="0.2">
      <c r="A2338" s="79" t="s">
        <v>9011</v>
      </c>
      <c r="B2338" s="79" t="s">
        <v>9501</v>
      </c>
      <c r="C2338" s="79" t="s">
        <v>7335</v>
      </c>
      <c r="D2338" s="79" t="s">
        <v>7328</v>
      </c>
      <c r="E2338" s="79">
        <v>2982</v>
      </c>
      <c r="G2338" s="79" t="s">
        <v>7313</v>
      </c>
      <c r="H2338" s="80">
        <v>13597000</v>
      </c>
    </row>
    <row r="2339" spans="1:8" x14ac:dyDescent="0.2">
      <c r="A2339" s="79" t="s">
        <v>9011</v>
      </c>
      <c r="B2339" s="79" t="s">
        <v>9502</v>
      </c>
      <c r="C2339" s="79" t="s">
        <v>7335</v>
      </c>
      <c r="D2339" s="79" t="s">
        <v>7328</v>
      </c>
      <c r="E2339" s="79">
        <v>2982</v>
      </c>
      <c r="G2339" s="79" t="s">
        <v>7313</v>
      </c>
      <c r="H2339" s="80">
        <v>10395000</v>
      </c>
    </row>
    <row r="2340" spans="1:8" x14ac:dyDescent="0.2">
      <c r="A2340" s="79" t="s">
        <v>9011</v>
      </c>
      <c r="B2340" s="79" t="s">
        <v>9503</v>
      </c>
      <c r="C2340" s="79" t="s">
        <v>7335</v>
      </c>
      <c r="D2340" s="79" t="s">
        <v>7328</v>
      </c>
      <c r="E2340" s="79">
        <v>2982</v>
      </c>
      <c r="G2340" s="79" t="s">
        <v>7313</v>
      </c>
      <c r="H2340" s="80">
        <v>9786000</v>
      </c>
    </row>
    <row r="2341" spans="1:8" x14ac:dyDescent="0.2">
      <c r="A2341" s="79" t="s">
        <v>9011</v>
      </c>
      <c r="B2341" s="79" t="s">
        <v>9504</v>
      </c>
      <c r="C2341" s="79" t="s">
        <v>7335</v>
      </c>
      <c r="D2341" s="79" t="s">
        <v>7328</v>
      </c>
      <c r="E2341" s="79">
        <v>2982</v>
      </c>
      <c r="G2341" s="79" t="s">
        <v>7313</v>
      </c>
      <c r="H2341" s="80">
        <v>9366000</v>
      </c>
    </row>
    <row r="2342" spans="1:8" x14ac:dyDescent="0.2">
      <c r="A2342" s="79" t="s">
        <v>9011</v>
      </c>
      <c r="B2342" s="79" t="s">
        <v>9505</v>
      </c>
      <c r="C2342" s="79" t="s">
        <v>7335</v>
      </c>
      <c r="D2342" s="79" t="s">
        <v>7328</v>
      </c>
      <c r="E2342" s="79">
        <v>3000</v>
      </c>
      <c r="F2342" s="79" t="s">
        <v>7738</v>
      </c>
      <c r="G2342" s="79" t="s">
        <v>7313</v>
      </c>
      <c r="H2342" s="80">
        <v>5868679</v>
      </c>
    </row>
    <row r="2343" spans="1:8" x14ac:dyDescent="0.2">
      <c r="A2343" s="79" t="s">
        <v>9011</v>
      </c>
      <c r="B2343" s="79" t="s">
        <v>9506</v>
      </c>
      <c r="C2343" s="79" t="s">
        <v>7335</v>
      </c>
      <c r="D2343" s="79" t="s">
        <v>7328</v>
      </c>
      <c r="E2343" s="79">
        <v>3000</v>
      </c>
      <c r="F2343" s="79" t="s">
        <v>7643</v>
      </c>
      <c r="G2343" s="79" t="s">
        <v>7313</v>
      </c>
      <c r="H2343" s="80">
        <v>7286945</v>
      </c>
    </row>
    <row r="2344" spans="1:8" x14ac:dyDescent="0.2">
      <c r="A2344" s="79" t="s">
        <v>9011</v>
      </c>
      <c r="B2344" s="79" t="s">
        <v>9507</v>
      </c>
      <c r="C2344" s="79" t="s">
        <v>7335</v>
      </c>
      <c r="D2344" s="79" t="s">
        <v>7312</v>
      </c>
      <c r="E2344" s="79">
        <v>3400</v>
      </c>
      <c r="G2344" s="79" t="s">
        <v>7313</v>
      </c>
      <c r="H2344" s="80">
        <v>5874919.5899999999</v>
      </c>
    </row>
    <row r="2345" spans="1:8" x14ac:dyDescent="0.2">
      <c r="A2345" s="79" t="s">
        <v>9011</v>
      </c>
      <c r="B2345" s="79" t="s">
        <v>9508</v>
      </c>
      <c r="C2345" s="79" t="s">
        <v>7335</v>
      </c>
      <c r="D2345" s="79" t="s">
        <v>7312</v>
      </c>
      <c r="E2345" s="79">
        <v>2690</v>
      </c>
      <c r="G2345" s="79" t="s">
        <v>7313</v>
      </c>
      <c r="H2345" s="80">
        <v>4641871.72</v>
      </c>
    </row>
    <row r="2346" spans="1:8" x14ac:dyDescent="0.2">
      <c r="A2346" s="79" t="s">
        <v>9011</v>
      </c>
      <c r="B2346" s="79" t="s">
        <v>9509</v>
      </c>
      <c r="C2346" s="79" t="s">
        <v>8200</v>
      </c>
      <c r="D2346" s="79" t="s">
        <v>7328</v>
      </c>
      <c r="E2346" s="79">
        <v>4000</v>
      </c>
      <c r="G2346" s="79" t="s">
        <v>7313</v>
      </c>
      <c r="H2346" s="80">
        <v>9585381.5</v>
      </c>
    </row>
    <row r="2347" spans="1:8" x14ac:dyDescent="0.2">
      <c r="A2347" s="79" t="s">
        <v>9011</v>
      </c>
      <c r="B2347" s="79" t="s">
        <v>9510</v>
      </c>
      <c r="C2347" s="79" t="s">
        <v>7335</v>
      </c>
      <c r="D2347" s="79" t="s">
        <v>7328</v>
      </c>
      <c r="E2347" s="79">
        <v>4164</v>
      </c>
      <c r="G2347" s="79" t="s">
        <v>7313</v>
      </c>
      <c r="H2347" s="80">
        <v>10135748.699999999</v>
      </c>
    </row>
    <row r="2348" spans="1:8" x14ac:dyDescent="0.2">
      <c r="A2348" s="79" t="s">
        <v>9011</v>
      </c>
      <c r="B2348" s="79" t="s">
        <v>9511</v>
      </c>
      <c r="C2348" s="79" t="s">
        <v>7335</v>
      </c>
      <c r="D2348" s="79" t="s">
        <v>7328</v>
      </c>
      <c r="E2348" s="79">
        <v>4164</v>
      </c>
      <c r="G2348" s="79" t="s">
        <v>7313</v>
      </c>
      <c r="H2348" s="80">
        <v>8175575.8300000001</v>
      </c>
    </row>
    <row r="2349" spans="1:8" x14ac:dyDescent="0.2">
      <c r="A2349" s="79" t="s">
        <v>9011</v>
      </c>
      <c r="B2349" s="79" t="s">
        <v>9512</v>
      </c>
      <c r="C2349" s="79" t="s">
        <v>7335</v>
      </c>
      <c r="D2349" s="79" t="s">
        <v>7328</v>
      </c>
      <c r="E2349" s="79">
        <v>4164</v>
      </c>
      <c r="G2349" s="79" t="s">
        <v>7313</v>
      </c>
      <c r="H2349" s="80">
        <v>9450000</v>
      </c>
    </row>
    <row r="2350" spans="1:8" x14ac:dyDescent="0.2">
      <c r="A2350" s="79" t="s">
        <v>9011</v>
      </c>
      <c r="B2350" s="79" t="s">
        <v>9513</v>
      </c>
      <c r="C2350" s="79" t="s">
        <v>7619</v>
      </c>
      <c r="D2350" s="79" t="s">
        <v>7328</v>
      </c>
      <c r="E2350" s="79">
        <v>4164</v>
      </c>
      <c r="G2350" s="79" t="s">
        <v>7313</v>
      </c>
      <c r="H2350" s="80">
        <v>4872000</v>
      </c>
    </row>
    <row r="2351" spans="1:8" x14ac:dyDescent="0.2">
      <c r="A2351" s="79" t="s">
        <v>9011</v>
      </c>
      <c r="B2351" s="79" t="s">
        <v>9514</v>
      </c>
      <c r="C2351" s="79" t="s">
        <v>9330</v>
      </c>
      <c r="D2351" s="79" t="s">
        <v>9080</v>
      </c>
      <c r="E2351" s="79">
        <v>4200</v>
      </c>
      <c r="G2351" s="79" t="s">
        <v>7313</v>
      </c>
      <c r="H2351" s="80">
        <v>9660000</v>
      </c>
    </row>
    <row r="2352" spans="1:8" x14ac:dyDescent="0.2">
      <c r="A2352" s="79" t="s">
        <v>9011</v>
      </c>
      <c r="B2352" s="79" t="s">
        <v>9515</v>
      </c>
      <c r="C2352" s="79" t="s">
        <v>9330</v>
      </c>
      <c r="D2352" s="79" t="s">
        <v>9080</v>
      </c>
      <c r="E2352" s="79">
        <v>4200</v>
      </c>
      <c r="G2352" s="79" t="s">
        <v>7313</v>
      </c>
      <c r="H2352" s="80">
        <v>9555000</v>
      </c>
    </row>
    <row r="2353" spans="1:8" x14ac:dyDescent="0.2">
      <c r="A2353" s="79" t="s">
        <v>9011</v>
      </c>
      <c r="B2353" s="79" t="s">
        <v>9516</v>
      </c>
      <c r="C2353" s="79" t="s">
        <v>8200</v>
      </c>
      <c r="D2353" s="79" t="s">
        <v>7328</v>
      </c>
      <c r="E2353" s="79">
        <v>4164</v>
      </c>
      <c r="G2353" s="79" t="s">
        <v>7313</v>
      </c>
      <c r="H2353" s="80">
        <v>7602122.46</v>
      </c>
    </row>
    <row r="2354" spans="1:8" x14ac:dyDescent="0.2">
      <c r="A2354" s="79" t="s">
        <v>9011</v>
      </c>
      <c r="B2354" s="79" t="s">
        <v>9517</v>
      </c>
      <c r="C2354" s="79" t="s">
        <v>7335</v>
      </c>
      <c r="D2354" s="79" t="s">
        <v>7328</v>
      </c>
      <c r="E2354" s="79">
        <v>4164</v>
      </c>
      <c r="G2354" s="79" t="s">
        <v>7313</v>
      </c>
      <c r="H2354" s="80">
        <v>6184047.2000000002</v>
      </c>
    </row>
    <row r="2355" spans="1:8" x14ac:dyDescent="0.2">
      <c r="A2355" s="79" t="s">
        <v>9011</v>
      </c>
      <c r="B2355" s="79" t="s">
        <v>9518</v>
      </c>
      <c r="C2355" s="79" t="s">
        <v>7335</v>
      </c>
      <c r="D2355" s="79" t="s">
        <v>7328</v>
      </c>
      <c r="E2355" s="79">
        <v>4164</v>
      </c>
      <c r="G2355" s="79" t="s">
        <v>7313</v>
      </c>
      <c r="H2355" s="80">
        <v>5667265.4000000004</v>
      </c>
    </row>
    <row r="2356" spans="1:8" x14ac:dyDescent="0.2">
      <c r="A2356" s="79" t="s">
        <v>9011</v>
      </c>
      <c r="B2356" s="79" t="s">
        <v>9519</v>
      </c>
      <c r="C2356" s="79" t="s">
        <v>7335</v>
      </c>
      <c r="D2356" s="79" t="s">
        <v>7328</v>
      </c>
      <c r="E2356" s="79">
        <v>2446</v>
      </c>
      <c r="G2356" s="79" t="s">
        <v>7313</v>
      </c>
      <c r="H2356" s="80">
        <v>4436523</v>
      </c>
    </row>
    <row r="2357" spans="1:8" x14ac:dyDescent="0.2">
      <c r="A2357" s="79" t="s">
        <v>9011</v>
      </c>
      <c r="B2357" s="79" t="s">
        <v>9520</v>
      </c>
      <c r="C2357" s="79" t="s">
        <v>7335</v>
      </c>
      <c r="D2357" s="79" t="s">
        <v>7328</v>
      </c>
      <c r="E2357" s="79">
        <v>2800</v>
      </c>
      <c r="G2357" s="79" t="s">
        <v>7313</v>
      </c>
      <c r="H2357" s="80">
        <v>5078603.26</v>
      </c>
    </row>
    <row r="2358" spans="1:8" x14ac:dyDescent="0.2">
      <c r="A2358" s="79" t="s">
        <v>9011</v>
      </c>
      <c r="B2358" s="79" t="s">
        <v>9521</v>
      </c>
      <c r="C2358" s="79" t="s">
        <v>7335</v>
      </c>
      <c r="D2358" s="79" t="s">
        <v>7328</v>
      </c>
      <c r="E2358" s="79">
        <v>3000</v>
      </c>
      <c r="G2358" s="79" t="s">
        <v>7313</v>
      </c>
      <c r="H2358" s="80">
        <v>5467919.7999999998</v>
      </c>
    </row>
    <row r="2359" spans="1:8" x14ac:dyDescent="0.2">
      <c r="A2359" s="79" t="s">
        <v>9011</v>
      </c>
      <c r="B2359" s="79" t="s">
        <v>9522</v>
      </c>
      <c r="C2359" s="79" t="s">
        <v>7335</v>
      </c>
      <c r="D2359" s="79" t="s">
        <v>7328</v>
      </c>
      <c r="E2359" s="79">
        <v>3000</v>
      </c>
      <c r="G2359" s="79" t="s">
        <v>7313</v>
      </c>
      <c r="H2359" s="80">
        <v>5703017.5999999996</v>
      </c>
    </row>
    <row r="2360" spans="1:8" x14ac:dyDescent="0.2">
      <c r="A2360" s="79" t="s">
        <v>9011</v>
      </c>
      <c r="B2360" s="79" t="s">
        <v>9523</v>
      </c>
      <c r="C2360" s="79" t="s">
        <v>7335</v>
      </c>
      <c r="D2360" s="79" t="s">
        <v>7328</v>
      </c>
      <c r="E2360" s="79">
        <v>2986</v>
      </c>
      <c r="G2360" s="79" t="s">
        <v>7313</v>
      </c>
      <c r="H2360" s="80">
        <v>7757101.75</v>
      </c>
    </row>
    <row r="2361" spans="1:8" x14ac:dyDescent="0.2">
      <c r="A2361" s="79" t="s">
        <v>9011</v>
      </c>
      <c r="B2361" s="79" t="s">
        <v>9524</v>
      </c>
      <c r="C2361" s="79" t="s">
        <v>7335</v>
      </c>
      <c r="D2361" s="79" t="s">
        <v>7328</v>
      </c>
      <c r="E2361" s="79">
        <v>2986</v>
      </c>
      <c r="G2361" s="79" t="s">
        <v>7313</v>
      </c>
      <c r="H2361" s="80">
        <v>9703472.0999999996</v>
      </c>
    </row>
    <row r="2362" spans="1:8" x14ac:dyDescent="0.2">
      <c r="A2362" s="79" t="s">
        <v>9011</v>
      </c>
      <c r="B2362" s="79" t="s">
        <v>9525</v>
      </c>
      <c r="C2362" s="79" t="s">
        <v>7335</v>
      </c>
      <c r="D2362" s="79" t="s">
        <v>7312</v>
      </c>
      <c r="E2362" s="79">
        <v>2694</v>
      </c>
      <c r="G2362" s="79" t="s">
        <v>7313</v>
      </c>
      <c r="H2362" s="80">
        <v>4900000</v>
      </c>
    </row>
    <row r="2363" spans="1:8" x14ac:dyDescent="0.2">
      <c r="A2363" s="79" t="s">
        <v>9011</v>
      </c>
      <c r="B2363" s="79" t="s">
        <v>9526</v>
      </c>
      <c r="C2363" s="79" t="s">
        <v>7335</v>
      </c>
      <c r="D2363" s="79" t="s">
        <v>7312</v>
      </c>
      <c r="E2363" s="79">
        <v>2694</v>
      </c>
      <c r="G2363" s="79" t="s">
        <v>7313</v>
      </c>
      <c r="H2363" s="80">
        <v>5236000</v>
      </c>
    </row>
    <row r="2364" spans="1:8" x14ac:dyDescent="0.2">
      <c r="A2364" s="79" t="s">
        <v>9011</v>
      </c>
      <c r="B2364" s="79" t="s">
        <v>9527</v>
      </c>
      <c r="C2364" s="79" t="s">
        <v>7335</v>
      </c>
      <c r="D2364" s="79" t="s">
        <v>7312</v>
      </c>
      <c r="E2364" s="79">
        <v>2694</v>
      </c>
      <c r="G2364" s="79" t="s">
        <v>7313</v>
      </c>
      <c r="H2364" s="80">
        <v>4974200</v>
      </c>
    </row>
    <row r="2365" spans="1:8" x14ac:dyDescent="0.2">
      <c r="A2365" s="79" t="s">
        <v>9011</v>
      </c>
      <c r="B2365" s="79" t="s">
        <v>9528</v>
      </c>
      <c r="C2365" s="79" t="s">
        <v>7335</v>
      </c>
      <c r="D2365" s="79" t="s">
        <v>7312</v>
      </c>
      <c r="E2365" s="79">
        <v>2695</v>
      </c>
      <c r="G2365" s="79" t="s">
        <v>7313</v>
      </c>
      <c r="H2365" s="80">
        <v>7741800</v>
      </c>
    </row>
    <row r="2366" spans="1:8" x14ac:dyDescent="0.2">
      <c r="A2366" s="79" t="s">
        <v>9011</v>
      </c>
      <c r="B2366" s="79" t="s">
        <v>9529</v>
      </c>
      <c r="C2366" s="79" t="s">
        <v>7335</v>
      </c>
      <c r="D2366" s="79" t="s">
        <v>7312</v>
      </c>
      <c r="E2366" s="79">
        <v>4600</v>
      </c>
      <c r="G2366" s="79" t="s">
        <v>7313</v>
      </c>
      <c r="H2366" s="80">
        <v>14400000</v>
      </c>
    </row>
    <row r="2367" spans="1:8" x14ac:dyDescent="0.2">
      <c r="A2367" s="79" t="s">
        <v>9011</v>
      </c>
      <c r="B2367" s="79" t="s">
        <v>9530</v>
      </c>
      <c r="C2367" s="79" t="s">
        <v>7335</v>
      </c>
      <c r="D2367" s="79" t="s">
        <v>7312</v>
      </c>
      <c r="E2367" s="79">
        <v>5663</v>
      </c>
      <c r="G2367" s="79" t="s">
        <v>7313</v>
      </c>
      <c r="H2367" s="80">
        <v>24570000</v>
      </c>
    </row>
    <row r="2368" spans="1:8" x14ac:dyDescent="0.2">
      <c r="A2368" s="79" t="s">
        <v>9011</v>
      </c>
      <c r="B2368" s="79" t="s">
        <v>9531</v>
      </c>
      <c r="C2368" s="79" t="s">
        <v>7335</v>
      </c>
      <c r="D2368" s="79" t="s">
        <v>7312</v>
      </c>
      <c r="E2368" s="79">
        <v>4600</v>
      </c>
      <c r="G2368" s="79" t="s">
        <v>7313</v>
      </c>
      <c r="H2368" s="80">
        <v>16193250</v>
      </c>
    </row>
    <row r="2369" spans="1:8" x14ac:dyDescent="0.2">
      <c r="A2369" s="79" t="s">
        <v>9011</v>
      </c>
      <c r="B2369" s="79" t="s">
        <v>9532</v>
      </c>
      <c r="C2369" s="79" t="s">
        <v>7335</v>
      </c>
      <c r="D2369" s="79" t="s">
        <v>7312</v>
      </c>
      <c r="E2369" s="79">
        <v>4608</v>
      </c>
      <c r="G2369" s="79" t="s">
        <v>7313</v>
      </c>
      <c r="H2369" s="80">
        <v>18324900</v>
      </c>
    </row>
    <row r="2370" spans="1:8" x14ac:dyDescent="0.2">
      <c r="A2370" s="79" t="s">
        <v>9011</v>
      </c>
      <c r="B2370" s="79" t="s">
        <v>9533</v>
      </c>
      <c r="C2370" s="79" t="s">
        <v>7335</v>
      </c>
      <c r="D2370" s="79" t="s">
        <v>7312</v>
      </c>
      <c r="E2370" s="79">
        <v>4000</v>
      </c>
      <c r="G2370" s="79" t="s">
        <v>7313</v>
      </c>
      <c r="H2370" s="80">
        <v>8645824.5199999996</v>
      </c>
    </row>
    <row r="2371" spans="1:8" x14ac:dyDescent="0.2">
      <c r="A2371" s="79" t="s">
        <v>9011</v>
      </c>
      <c r="B2371" s="79" t="s">
        <v>9533</v>
      </c>
      <c r="C2371" s="79" t="s">
        <v>7335</v>
      </c>
      <c r="D2371" s="79" t="s">
        <v>7328</v>
      </c>
      <c r="E2371" s="79">
        <v>4000</v>
      </c>
      <c r="G2371" s="79" t="s">
        <v>7313</v>
      </c>
      <c r="H2371" s="80">
        <v>9669724.1899999995</v>
      </c>
    </row>
    <row r="2372" spans="1:8" x14ac:dyDescent="0.2">
      <c r="A2372" s="79" t="s">
        <v>9011</v>
      </c>
      <c r="B2372" s="79" t="s">
        <v>9534</v>
      </c>
      <c r="C2372" s="79" t="s">
        <v>7335</v>
      </c>
      <c r="D2372" s="79" t="s">
        <v>7312</v>
      </c>
      <c r="E2372" s="79">
        <v>3950</v>
      </c>
      <c r="G2372" s="79" t="s">
        <v>7313</v>
      </c>
      <c r="H2372" s="80">
        <v>10021450</v>
      </c>
    </row>
    <row r="2373" spans="1:8" x14ac:dyDescent="0.2">
      <c r="A2373" s="79" t="s">
        <v>9011</v>
      </c>
      <c r="B2373" s="79" t="s">
        <v>9535</v>
      </c>
      <c r="C2373" s="79" t="s">
        <v>7335</v>
      </c>
      <c r="D2373" s="79" t="s">
        <v>7312</v>
      </c>
      <c r="E2373" s="79">
        <v>3950</v>
      </c>
      <c r="G2373" s="79" t="s">
        <v>7313</v>
      </c>
      <c r="H2373" s="80">
        <v>10374638.4</v>
      </c>
    </row>
    <row r="2374" spans="1:8" x14ac:dyDescent="0.2">
      <c r="A2374" s="79" t="s">
        <v>9011</v>
      </c>
      <c r="B2374" s="79" t="s">
        <v>9536</v>
      </c>
      <c r="C2374" s="79" t="s">
        <v>7335</v>
      </c>
      <c r="D2374" s="79" t="s">
        <v>9537</v>
      </c>
      <c r="E2374" s="79">
        <v>4700</v>
      </c>
      <c r="G2374" s="79" t="s">
        <v>7313</v>
      </c>
      <c r="H2374" s="80">
        <v>19486574.100000001</v>
      </c>
    </row>
    <row r="2375" spans="1:8" x14ac:dyDescent="0.2">
      <c r="A2375" s="79" t="s">
        <v>9011</v>
      </c>
      <c r="B2375" s="79" t="s">
        <v>9538</v>
      </c>
      <c r="C2375" s="79" t="s">
        <v>7335</v>
      </c>
      <c r="D2375" s="79" t="s">
        <v>7328</v>
      </c>
      <c r="E2375" s="79">
        <v>4500</v>
      </c>
      <c r="G2375" s="79" t="s">
        <v>7313</v>
      </c>
      <c r="H2375" s="80">
        <v>11519792.199999999</v>
      </c>
    </row>
    <row r="2376" spans="1:8" x14ac:dyDescent="0.2">
      <c r="A2376" s="79" t="s">
        <v>9011</v>
      </c>
      <c r="B2376" s="79" t="s">
        <v>9539</v>
      </c>
      <c r="C2376" s="79" t="s">
        <v>7335</v>
      </c>
      <c r="D2376" s="79" t="s">
        <v>7328</v>
      </c>
      <c r="E2376" s="79">
        <v>4500</v>
      </c>
      <c r="F2376" s="79" t="s">
        <v>7738</v>
      </c>
      <c r="G2376" s="79" t="s">
        <v>7313</v>
      </c>
      <c r="H2376" s="80">
        <v>14698132.439999999</v>
      </c>
    </row>
    <row r="2377" spans="1:8" x14ac:dyDescent="0.2">
      <c r="A2377" s="79" t="s">
        <v>9011</v>
      </c>
      <c r="B2377" s="79" t="s">
        <v>9540</v>
      </c>
      <c r="C2377" s="79" t="s">
        <v>7619</v>
      </c>
      <c r="D2377" s="79" t="s">
        <v>7328</v>
      </c>
      <c r="E2377" s="79">
        <v>4500</v>
      </c>
      <c r="F2377" s="79" t="s">
        <v>7738</v>
      </c>
      <c r="G2377" s="79" t="s">
        <v>7313</v>
      </c>
      <c r="H2377" s="80">
        <v>6439507.5</v>
      </c>
    </row>
    <row r="2378" spans="1:8" x14ac:dyDescent="0.2">
      <c r="A2378" s="79" t="s">
        <v>9011</v>
      </c>
      <c r="B2378" s="79" t="s">
        <v>9541</v>
      </c>
      <c r="C2378" s="79" t="s">
        <v>7335</v>
      </c>
      <c r="D2378" s="79" t="s">
        <v>7328</v>
      </c>
      <c r="E2378" s="79">
        <v>4500</v>
      </c>
      <c r="G2378" s="79" t="s">
        <v>7313</v>
      </c>
      <c r="H2378" s="80">
        <v>11519792.199999999</v>
      </c>
    </row>
    <row r="2379" spans="1:8" x14ac:dyDescent="0.2">
      <c r="A2379" s="79" t="s">
        <v>9011</v>
      </c>
      <c r="B2379" s="79" t="s">
        <v>9542</v>
      </c>
      <c r="C2379" s="79" t="s">
        <v>7335</v>
      </c>
      <c r="D2379" s="79" t="s">
        <v>7312</v>
      </c>
      <c r="E2379" s="79">
        <v>4461</v>
      </c>
      <c r="F2379" s="79" t="s">
        <v>7738</v>
      </c>
      <c r="G2379" s="79" t="s">
        <v>7313</v>
      </c>
      <c r="H2379" s="80">
        <v>13746391.550000001</v>
      </c>
    </row>
    <row r="2380" spans="1:8" x14ac:dyDescent="0.2">
      <c r="A2380" s="79" t="s">
        <v>9011</v>
      </c>
      <c r="B2380" s="79" t="s">
        <v>9543</v>
      </c>
      <c r="C2380" s="79" t="s">
        <v>7335</v>
      </c>
      <c r="D2380" s="79" t="s">
        <v>7328</v>
      </c>
      <c r="E2380" s="79">
        <v>4461</v>
      </c>
      <c r="F2380" s="79" t="s">
        <v>7643</v>
      </c>
      <c r="G2380" s="79" t="s">
        <v>7313</v>
      </c>
      <c r="H2380" s="80">
        <v>14843825.91</v>
      </c>
    </row>
    <row r="2381" spans="1:8" x14ac:dyDescent="0.2">
      <c r="A2381" s="79" t="s">
        <v>9011</v>
      </c>
      <c r="B2381" s="79" t="s">
        <v>9544</v>
      </c>
      <c r="C2381" s="79" t="s">
        <v>7335</v>
      </c>
      <c r="D2381" s="79" t="s">
        <v>7328</v>
      </c>
      <c r="E2381" s="79">
        <v>4500</v>
      </c>
      <c r="F2381" s="79" t="s">
        <v>7643</v>
      </c>
      <c r="G2381" s="79" t="s">
        <v>7313</v>
      </c>
      <c r="H2381" s="80">
        <v>18356838.170000002</v>
      </c>
    </row>
    <row r="2382" spans="1:8" x14ac:dyDescent="0.2">
      <c r="A2382" s="79" t="s">
        <v>9011</v>
      </c>
      <c r="B2382" s="79" t="s">
        <v>9544</v>
      </c>
      <c r="C2382" s="79" t="s">
        <v>7335</v>
      </c>
      <c r="D2382" s="79" t="s">
        <v>7328</v>
      </c>
      <c r="E2382" s="79">
        <v>4500</v>
      </c>
      <c r="F2382" s="79" t="s">
        <v>7738</v>
      </c>
      <c r="G2382" s="79" t="s">
        <v>7313</v>
      </c>
      <c r="H2382" s="80">
        <v>16349416.060000001</v>
      </c>
    </row>
    <row r="2383" spans="1:8" x14ac:dyDescent="0.2">
      <c r="A2383" s="79" t="s">
        <v>9011</v>
      </c>
      <c r="B2383" s="79" t="s">
        <v>9545</v>
      </c>
      <c r="C2383" s="79" t="s">
        <v>7335</v>
      </c>
      <c r="D2383" s="79" t="s">
        <v>9080</v>
      </c>
      <c r="E2383" s="79">
        <v>4500</v>
      </c>
      <c r="G2383" s="79" t="s">
        <v>7313</v>
      </c>
      <c r="H2383" s="80">
        <v>15582500</v>
      </c>
    </row>
    <row r="2384" spans="1:8" x14ac:dyDescent="0.2">
      <c r="A2384" s="79" t="s">
        <v>9011</v>
      </c>
      <c r="B2384" s="79" t="s">
        <v>9546</v>
      </c>
      <c r="C2384" s="79" t="s">
        <v>7335</v>
      </c>
      <c r="D2384" s="79" t="s">
        <v>7328</v>
      </c>
      <c r="E2384" s="79">
        <v>4500</v>
      </c>
      <c r="G2384" s="79" t="s">
        <v>7313</v>
      </c>
      <c r="H2384" s="80">
        <v>20160000</v>
      </c>
    </row>
    <row r="2385" spans="1:8" x14ac:dyDescent="0.2">
      <c r="A2385" s="79" t="s">
        <v>9011</v>
      </c>
      <c r="B2385" s="79" t="s">
        <v>9547</v>
      </c>
      <c r="C2385" s="79" t="s">
        <v>7335</v>
      </c>
      <c r="D2385" s="79" t="s">
        <v>7312</v>
      </c>
      <c r="E2385" s="79">
        <v>3956</v>
      </c>
      <c r="G2385" s="79" t="s">
        <v>7313</v>
      </c>
      <c r="H2385" s="80">
        <v>5158067.4000000004</v>
      </c>
    </row>
    <row r="2386" spans="1:8" x14ac:dyDescent="0.2">
      <c r="A2386" s="79" t="s">
        <v>9011</v>
      </c>
      <c r="B2386" s="79" t="s">
        <v>9548</v>
      </c>
      <c r="C2386" s="79" t="s">
        <v>7311</v>
      </c>
      <c r="D2386" s="79" t="s">
        <v>7312</v>
      </c>
      <c r="E2386" s="79">
        <v>1590</v>
      </c>
      <c r="G2386" s="79" t="s">
        <v>7329</v>
      </c>
      <c r="H2386" s="80">
        <v>1665000</v>
      </c>
    </row>
    <row r="2387" spans="1:8" x14ac:dyDescent="0.2">
      <c r="A2387" s="79" t="s">
        <v>9011</v>
      </c>
      <c r="B2387" s="79" t="s">
        <v>9549</v>
      </c>
      <c r="C2387" s="79" t="s">
        <v>7311</v>
      </c>
      <c r="D2387" s="79" t="s">
        <v>7312</v>
      </c>
      <c r="E2387" s="79">
        <v>1800</v>
      </c>
      <c r="G2387" s="79" t="s">
        <v>7329</v>
      </c>
      <c r="H2387" s="80">
        <v>2342976</v>
      </c>
    </row>
    <row r="2388" spans="1:8" x14ac:dyDescent="0.2">
      <c r="A2388" s="79" t="s">
        <v>9011</v>
      </c>
      <c r="B2388" s="79" t="s">
        <v>9549</v>
      </c>
      <c r="C2388" s="79" t="s">
        <v>7311</v>
      </c>
      <c r="D2388" s="79" t="s">
        <v>7312</v>
      </c>
      <c r="E2388" s="79">
        <v>2000</v>
      </c>
      <c r="G2388" s="79" t="s">
        <v>7329</v>
      </c>
      <c r="H2388" s="80">
        <v>2609100</v>
      </c>
    </row>
    <row r="2389" spans="1:8" x14ac:dyDescent="0.2">
      <c r="A2389" s="79" t="s">
        <v>9011</v>
      </c>
      <c r="B2389" s="79" t="s">
        <v>9550</v>
      </c>
      <c r="C2389" s="79" t="s">
        <v>7335</v>
      </c>
      <c r="D2389" s="79" t="s">
        <v>7312</v>
      </c>
      <c r="E2389" s="79">
        <v>2000</v>
      </c>
      <c r="G2389" s="79" t="s">
        <v>7329</v>
      </c>
      <c r="H2389" s="80">
        <v>3147210</v>
      </c>
    </row>
    <row r="2390" spans="1:8" x14ac:dyDescent="0.2">
      <c r="A2390" s="79" t="s">
        <v>9011</v>
      </c>
      <c r="B2390" s="79" t="s">
        <v>9551</v>
      </c>
      <c r="C2390" s="79" t="s">
        <v>7335</v>
      </c>
      <c r="D2390" s="79" t="s">
        <v>7312</v>
      </c>
      <c r="E2390" s="79">
        <v>2400</v>
      </c>
      <c r="G2390" s="79" t="s">
        <v>7329</v>
      </c>
      <c r="H2390" s="80">
        <v>3985740</v>
      </c>
    </row>
    <row r="2391" spans="1:8" x14ac:dyDescent="0.2">
      <c r="A2391" s="79" t="s">
        <v>9011</v>
      </c>
      <c r="B2391" s="79" t="s">
        <v>9552</v>
      </c>
      <c r="C2391" s="79" t="s">
        <v>7311</v>
      </c>
      <c r="D2391" s="79" t="s">
        <v>7312</v>
      </c>
      <c r="E2391" s="79">
        <v>2500</v>
      </c>
      <c r="F2391" s="79" t="s">
        <v>7643</v>
      </c>
      <c r="G2391" s="79" t="s">
        <v>7329</v>
      </c>
      <c r="H2391" s="80">
        <v>4290457</v>
      </c>
    </row>
    <row r="2392" spans="1:8" x14ac:dyDescent="0.2">
      <c r="A2392" s="79" t="s">
        <v>9011</v>
      </c>
      <c r="B2392" s="79" t="s">
        <v>9552</v>
      </c>
      <c r="C2392" s="79" t="s">
        <v>7311</v>
      </c>
      <c r="D2392" s="79" t="s">
        <v>7312</v>
      </c>
      <c r="E2392" s="79">
        <v>2500</v>
      </c>
      <c r="F2392" s="79" t="s">
        <v>7643</v>
      </c>
      <c r="G2392" s="79" t="s">
        <v>7313</v>
      </c>
      <c r="H2392" s="80">
        <v>4704342</v>
      </c>
    </row>
    <row r="2393" spans="1:8" x14ac:dyDescent="0.2">
      <c r="A2393" s="79" t="s">
        <v>9011</v>
      </c>
      <c r="B2393" s="79" t="s">
        <v>9552</v>
      </c>
      <c r="C2393" s="79" t="s">
        <v>7311</v>
      </c>
      <c r="D2393" s="79" t="s">
        <v>7312</v>
      </c>
      <c r="E2393" s="79">
        <v>3500</v>
      </c>
      <c r="F2393" s="79" t="s">
        <v>7643</v>
      </c>
      <c r="G2393" s="79" t="s">
        <v>7313</v>
      </c>
      <c r="H2393" s="80">
        <v>6142310.2999999998</v>
      </c>
    </row>
    <row r="2394" spans="1:8" x14ac:dyDescent="0.2">
      <c r="A2394" s="79" t="s">
        <v>9011</v>
      </c>
      <c r="B2394" s="79" t="s">
        <v>9553</v>
      </c>
      <c r="C2394" s="79" t="s">
        <v>7335</v>
      </c>
      <c r="D2394" s="79" t="s">
        <v>7312</v>
      </c>
      <c r="E2394" s="79">
        <v>2400</v>
      </c>
      <c r="F2394" s="79" t="s">
        <v>7643</v>
      </c>
      <c r="G2394" s="79" t="s">
        <v>7329</v>
      </c>
      <c r="H2394" s="80">
        <v>4283819</v>
      </c>
    </row>
    <row r="2395" spans="1:8" x14ac:dyDescent="0.2">
      <c r="A2395" s="79" t="s">
        <v>9011</v>
      </c>
      <c r="B2395" s="79" t="s">
        <v>9554</v>
      </c>
      <c r="C2395" s="79" t="s">
        <v>7335</v>
      </c>
      <c r="D2395" s="79" t="s">
        <v>7312</v>
      </c>
      <c r="E2395" s="79">
        <v>2400</v>
      </c>
      <c r="F2395" s="79" t="s">
        <v>7643</v>
      </c>
      <c r="G2395" s="79" t="s">
        <v>7313</v>
      </c>
      <c r="H2395" s="80">
        <v>4697449</v>
      </c>
    </row>
    <row r="2396" spans="1:8" x14ac:dyDescent="0.2">
      <c r="A2396" s="79" t="s">
        <v>9011</v>
      </c>
      <c r="B2396" s="79" t="s">
        <v>9555</v>
      </c>
      <c r="C2396" s="79" t="s">
        <v>7335</v>
      </c>
      <c r="D2396" s="79" t="s">
        <v>7312</v>
      </c>
      <c r="E2396" s="79">
        <v>3500</v>
      </c>
      <c r="F2396" s="79" t="s">
        <v>7643</v>
      </c>
      <c r="G2396" s="79" t="s">
        <v>7329</v>
      </c>
      <c r="H2396" s="80">
        <v>5985467.5599999996</v>
      </c>
    </row>
    <row r="2397" spans="1:8" x14ac:dyDescent="0.2">
      <c r="A2397" s="79" t="s">
        <v>9011</v>
      </c>
      <c r="B2397" s="79" t="s">
        <v>9556</v>
      </c>
      <c r="C2397" s="79" t="s">
        <v>7311</v>
      </c>
      <c r="D2397" s="79" t="s">
        <v>7312</v>
      </c>
      <c r="E2397" s="79">
        <v>1990</v>
      </c>
      <c r="G2397" s="79" t="s">
        <v>7329</v>
      </c>
      <c r="H2397" s="80">
        <v>2609100</v>
      </c>
    </row>
    <row r="2398" spans="1:8" x14ac:dyDescent="0.2">
      <c r="A2398" s="79" t="s">
        <v>9011</v>
      </c>
      <c r="B2398" s="79" t="s">
        <v>9557</v>
      </c>
      <c r="C2398" s="79" t="s">
        <v>7340</v>
      </c>
      <c r="D2398" s="79" t="s">
        <v>7312</v>
      </c>
      <c r="E2398" s="79">
        <v>1790</v>
      </c>
      <c r="G2398" s="79" t="s">
        <v>7329</v>
      </c>
      <c r="H2398" s="80">
        <v>3380617</v>
      </c>
    </row>
    <row r="2399" spans="1:8" x14ac:dyDescent="0.2">
      <c r="A2399" s="79" t="s">
        <v>9011</v>
      </c>
      <c r="B2399" s="79" t="s">
        <v>9558</v>
      </c>
      <c r="C2399" s="79" t="s">
        <v>7335</v>
      </c>
      <c r="D2399" s="79" t="s">
        <v>7312</v>
      </c>
      <c r="E2399" s="79">
        <v>1990</v>
      </c>
      <c r="G2399" s="79" t="s">
        <v>7329</v>
      </c>
      <c r="H2399" s="80">
        <v>2350000</v>
      </c>
    </row>
    <row r="2400" spans="1:8" x14ac:dyDescent="0.2">
      <c r="A2400" s="79" t="s">
        <v>9011</v>
      </c>
      <c r="B2400" s="79" t="s">
        <v>9559</v>
      </c>
      <c r="C2400" s="79" t="s">
        <v>7327</v>
      </c>
      <c r="D2400" s="79" t="s">
        <v>7312</v>
      </c>
      <c r="E2400" s="79">
        <v>2000</v>
      </c>
      <c r="G2400" s="79" t="s">
        <v>7329</v>
      </c>
      <c r="H2400" s="80">
        <v>4353480</v>
      </c>
    </row>
    <row r="2401" spans="1:8" x14ac:dyDescent="0.2">
      <c r="A2401" s="79" t="s">
        <v>9011</v>
      </c>
      <c r="B2401" s="79" t="s">
        <v>9559</v>
      </c>
      <c r="C2401" s="79" t="s">
        <v>7327</v>
      </c>
      <c r="D2401" s="79" t="s">
        <v>7312</v>
      </c>
      <c r="E2401" s="79">
        <v>2000</v>
      </c>
      <c r="G2401" s="79" t="s">
        <v>7313</v>
      </c>
      <c r="H2401" s="80">
        <v>4666680</v>
      </c>
    </row>
    <row r="2402" spans="1:8" x14ac:dyDescent="0.2">
      <c r="A2402" s="79" t="s">
        <v>9011</v>
      </c>
      <c r="B2402" s="79" t="s">
        <v>9560</v>
      </c>
      <c r="C2402" s="79" t="s">
        <v>7335</v>
      </c>
      <c r="D2402" s="79" t="s">
        <v>7312</v>
      </c>
      <c r="E2402" s="79">
        <v>1790</v>
      </c>
      <c r="G2402" s="79" t="s">
        <v>7329</v>
      </c>
      <c r="H2402" s="80">
        <v>2600000</v>
      </c>
    </row>
    <row r="2403" spans="1:8" x14ac:dyDescent="0.2">
      <c r="A2403" s="79" t="s">
        <v>9011</v>
      </c>
      <c r="B2403" s="79" t="s">
        <v>9561</v>
      </c>
      <c r="C2403" s="79" t="s">
        <v>7335</v>
      </c>
      <c r="D2403" s="79" t="s">
        <v>7312</v>
      </c>
      <c r="E2403" s="79">
        <v>1500</v>
      </c>
      <c r="F2403" s="79" t="s">
        <v>7643</v>
      </c>
      <c r="G2403" s="79" t="s">
        <v>7329</v>
      </c>
      <c r="H2403" s="80">
        <v>2680150</v>
      </c>
    </row>
    <row r="2404" spans="1:8" x14ac:dyDescent="0.2">
      <c r="A2404" s="79" t="s">
        <v>9011</v>
      </c>
      <c r="B2404" s="79" t="s">
        <v>9561</v>
      </c>
      <c r="C2404" s="79" t="s">
        <v>7335</v>
      </c>
      <c r="D2404" s="79" t="s">
        <v>7312</v>
      </c>
      <c r="E2404" s="79">
        <v>1500</v>
      </c>
      <c r="F2404" s="79" t="s">
        <v>7738</v>
      </c>
      <c r="G2404" s="79" t="s">
        <v>7313</v>
      </c>
      <c r="H2404" s="80">
        <v>2838963</v>
      </c>
    </row>
    <row r="2405" spans="1:8" x14ac:dyDescent="0.2">
      <c r="A2405" s="79" t="s">
        <v>9011</v>
      </c>
      <c r="B2405" s="79" t="s">
        <v>9561</v>
      </c>
      <c r="C2405" s="79" t="s">
        <v>7335</v>
      </c>
      <c r="D2405" s="79" t="s">
        <v>7312</v>
      </c>
      <c r="E2405" s="79">
        <v>1500</v>
      </c>
      <c r="F2405" s="79" t="s">
        <v>7643</v>
      </c>
      <c r="G2405" s="79" t="s">
        <v>7313</v>
      </c>
      <c r="H2405" s="80">
        <v>2902793</v>
      </c>
    </row>
    <row r="2406" spans="1:8" x14ac:dyDescent="0.2">
      <c r="A2406" s="79" t="s">
        <v>9011</v>
      </c>
      <c r="B2406" s="79" t="s">
        <v>9562</v>
      </c>
      <c r="C2406" s="79" t="s">
        <v>7335</v>
      </c>
      <c r="D2406" s="79" t="s">
        <v>7312</v>
      </c>
      <c r="E2406" s="79">
        <v>1500</v>
      </c>
      <c r="G2406" s="79" t="s">
        <v>7313</v>
      </c>
      <c r="H2406" s="80">
        <v>3045000</v>
      </c>
    </row>
    <row r="2407" spans="1:8" x14ac:dyDescent="0.2">
      <c r="A2407" s="79" t="s">
        <v>9011</v>
      </c>
      <c r="B2407" s="79" t="s">
        <v>9563</v>
      </c>
      <c r="C2407" s="79" t="s">
        <v>7335</v>
      </c>
      <c r="D2407" s="79" t="s">
        <v>7312</v>
      </c>
      <c r="E2407" s="79">
        <v>1500</v>
      </c>
      <c r="G2407" s="79" t="s">
        <v>7313</v>
      </c>
      <c r="H2407" s="80">
        <v>3276000</v>
      </c>
    </row>
    <row r="2408" spans="1:8" x14ac:dyDescent="0.2">
      <c r="A2408" s="79" t="s">
        <v>9011</v>
      </c>
      <c r="B2408" s="79" t="s">
        <v>9564</v>
      </c>
      <c r="C2408" s="79" t="s">
        <v>7335</v>
      </c>
      <c r="D2408" s="79" t="s">
        <v>7312</v>
      </c>
      <c r="E2408" s="79">
        <v>2000</v>
      </c>
      <c r="F2408" s="79" t="s">
        <v>7738</v>
      </c>
      <c r="G2408" s="79" t="s">
        <v>7313</v>
      </c>
      <c r="H2408" s="80">
        <v>3280000</v>
      </c>
    </row>
    <row r="2409" spans="1:8" x14ac:dyDescent="0.2">
      <c r="A2409" s="79" t="s">
        <v>9011</v>
      </c>
      <c r="B2409" s="79" t="s">
        <v>9564</v>
      </c>
      <c r="C2409" s="79" t="s">
        <v>7335</v>
      </c>
      <c r="D2409" s="79" t="s">
        <v>7312</v>
      </c>
      <c r="E2409" s="79">
        <v>2000</v>
      </c>
      <c r="F2409" s="79" t="s">
        <v>7643</v>
      </c>
      <c r="G2409" s="79" t="s">
        <v>7313</v>
      </c>
      <c r="H2409" s="80">
        <v>3500000</v>
      </c>
    </row>
    <row r="2410" spans="1:8" x14ac:dyDescent="0.2">
      <c r="A2410" s="79" t="s">
        <v>9011</v>
      </c>
      <c r="B2410" s="79" t="s">
        <v>9565</v>
      </c>
      <c r="C2410" s="79" t="s">
        <v>7335</v>
      </c>
      <c r="D2410" s="79" t="s">
        <v>7312</v>
      </c>
      <c r="E2410" s="79">
        <v>2000</v>
      </c>
      <c r="F2410" s="79" t="s">
        <v>7738</v>
      </c>
      <c r="G2410" s="79" t="s">
        <v>7313</v>
      </c>
      <c r="H2410" s="80">
        <v>5091690</v>
      </c>
    </row>
    <row r="2411" spans="1:8" x14ac:dyDescent="0.2">
      <c r="A2411" s="79" t="s">
        <v>9011</v>
      </c>
      <c r="B2411" s="79" t="s">
        <v>9565</v>
      </c>
      <c r="C2411" s="79" t="s">
        <v>7335</v>
      </c>
      <c r="D2411" s="79" t="s">
        <v>7312</v>
      </c>
      <c r="E2411" s="79">
        <v>2000</v>
      </c>
      <c r="F2411" s="79" t="s">
        <v>7643</v>
      </c>
      <c r="G2411" s="79" t="s">
        <v>7313</v>
      </c>
      <c r="H2411" s="80">
        <v>5280459</v>
      </c>
    </row>
    <row r="2412" spans="1:8" x14ac:dyDescent="0.2">
      <c r="A2412" s="79" t="s">
        <v>9011</v>
      </c>
      <c r="B2412" s="79" t="s">
        <v>9566</v>
      </c>
      <c r="C2412" s="79" t="s">
        <v>7335</v>
      </c>
      <c r="D2412" s="79" t="s">
        <v>7312</v>
      </c>
      <c r="E2412" s="79">
        <v>2400</v>
      </c>
      <c r="F2412" s="79" t="s">
        <v>7643</v>
      </c>
      <c r="G2412" s="79" t="s">
        <v>7313</v>
      </c>
      <c r="H2412" s="80">
        <v>5430000</v>
      </c>
    </row>
    <row r="2413" spans="1:8" x14ac:dyDescent="0.2">
      <c r="A2413" s="79" t="s">
        <v>9011</v>
      </c>
      <c r="B2413" s="79" t="s">
        <v>9566</v>
      </c>
      <c r="C2413" s="79" t="s">
        <v>7335</v>
      </c>
      <c r="D2413" s="79" t="s">
        <v>7312</v>
      </c>
      <c r="E2413" s="79">
        <v>2400</v>
      </c>
      <c r="F2413" s="79" t="s">
        <v>7738</v>
      </c>
      <c r="G2413" s="79" t="s">
        <v>7313</v>
      </c>
      <c r="H2413" s="80">
        <v>5157000</v>
      </c>
    </row>
    <row r="2414" spans="1:8" x14ac:dyDescent="0.2">
      <c r="A2414" s="79" t="s">
        <v>9011</v>
      </c>
      <c r="B2414" s="79" t="s">
        <v>9567</v>
      </c>
      <c r="C2414" s="79" t="s">
        <v>7335</v>
      </c>
      <c r="D2414" s="79" t="s">
        <v>7312</v>
      </c>
      <c r="E2414" s="79">
        <v>2000</v>
      </c>
      <c r="G2414" s="79" t="s">
        <v>7329</v>
      </c>
      <c r="H2414" s="80">
        <v>4063000</v>
      </c>
    </row>
    <row r="2415" spans="1:8" x14ac:dyDescent="0.2">
      <c r="A2415" s="79" t="s">
        <v>9011</v>
      </c>
      <c r="B2415" s="79" t="s">
        <v>9568</v>
      </c>
      <c r="C2415" s="79" t="s">
        <v>7335</v>
      </c>
      <c r="D2415" s="79" t="s">
        <v>7312</v>
      </c>
      <c r="E2415" s="79">
        <v>2000</v>
      </c>
      <c r="G2415" s="79" t="s">
        <v>7329</v>
      </c>
      <c r="H2415" s="80">
        <v>4858000</v>
      </c>
    </row>
    <row r="2416" spans="1:8" x14ac:dyDescent="0.2">
      <c r="A2416" s="79" t="s">
        <v>9011</v>
      </c>
      <c r="B2416" s="79" t="s">
        <v>9569</v>
      </c>
      <c r="C2416" s="79" t="s">
        <v>7335</v>
      </c>
      <c r="D2416" s="79" t="s">
        <v>7312</v>
      </c>
      <c r="E2416" s="79">
        <v>2400</v>
      </c>
      <c r="G2416" s="79" t="s">
        <v>7313</v>
      </c>
      <c r="H2416" s="80">
        <v>5319000</v>
      </c>
    </row>
    <row r="2417" spans="1:8" x14ac:dyDescent="0.2">
      <c r="A2417" s="79" t="s">
        <v>9011</v>
      </c>
      <c r="B2417" s="79" t="s">
        <v>9570</v>
      </c>
      <c r="C2417" s="79" t="s">
        <v>7335</v>
      </c>
      <c r="D2417" s="79" t="s">
        <v>7312</v>
      </c>
      <c r="E2417" s="79">
        <v>2400</v>
      </c>
      <c r="F2417" s="79" t="s">
        <v>7643</v>
      </c>
      <c r="G2417" s="79" t="s">
        <v>7313</v>
      </c>
      <c r="H2417" s="80">
        <v>5580000</v>
      </c>
    </row>
    <row r="2418" spans="1:8" x14ac:dyDescent="0.2">
      <c r="A2418" s="79" t="s">
        <v>9011</v>
      </c>
      <c r="B2418" s="79" t="s">
        <v>9571</v>
      </c>
      <c r="C2418" s="79" t="s">
        <v>7335</v>
      </c>
      <c r="D2418" s="79" t="s">
        <v>7312</v>
      </c>
      <c r="E2418" s="79">
        <v>2000</v>
      </c>
      <c r="G2418" s="79" t="s">
        <v>7329</v>
      </c>
      <c r="H2418" s="80">
        <v>4200000</v>
      </c>
    </row>
    <row r="2419" spans="1:8" x14ac:dyDescent="0.2">
      <c r="A2419" s="79" t="s">
        <v>9011</v>
      </c>
      <c r="B2419" s="79" t="s">
        <v>9572</v>
      </c>
      <c r="C2419" s="79" t="s">
        <v>7335</v>
      </c>
      <c r="D2419" s="79" t="s">
        <v>7312</v>
      </c>
      <c r="E2419" s="79">
        <v>2000</v>
      </c>
      <c r="G2419" s="79" t="s">
        <v>7329</v>
      </c>
      <c r="H2419" s="80">
        <v>5691000</v>
      </c>
    </row>
    <row r="2420" spans="1:8" x14ac:dyDescent="0.2">
      <c r="A2420" s="79" t="s">
        <v>9011</v>
      </c>
      <c r="B2420" s="79" t="s">
        <v>9573</v>
      </c>
      <c r="C2420" s="79" t="s">
        <v>7335</v>
      </c>
      <c r="D2420" s="79" t="s">
        <v>7312</v>
      </c>
      <c r="E2420" s="79">
        <v>2000</v>
      </c>
      <c r="G2420" s="79" t="s">
        <v>7313</v>
      </c>
      <c r="H2420" s="80">
        <v>5302500</v>
      </c>
    </row>
    <row r="2421" spans="1:8" x14ac:dyDescent="0.2">
      <c r="A2421" s="79" t="s">
        <v>9011</v>
      </c>
      <c r="B2421" s="79" t="s">
        <v>9572</v>
      </c>
      <c r="C2421" s="79" t="s">
        <v>7335</v>
      </c>
      <c r="D2421" s="79" t="s">
        <v>7312</v>
      </c>
      <c r="E2421" s="79">
        <v>2000</v>
      </c>
      <c r="G2421" s="79" t="s">
        <v>7313</v>
      </c>
      <c r="H2421" s="80">
        <v>6384000</v>
      </c>
    </row>
    <row r="2422" spans="1:8" x14ac:dyDescent="0.2">
      <c r="A2422" s="79" t="s">
        <v>9011</v>
      </c>
      <c r="B2422" s="79" t="s">
        <v>9574</v>
      </c>
      <c r="C2422" s="79" t="s">
        <v>7335</v>
      </c>
      <c r="D2422" s="79" t="s">
        <v>7312</v>
      </c>
      <c r="E2422" s="79">
        <v>1490</v>
      </c>
      <c r="G2422" s="79" t="s">
        <v>7329</v>
      </c>
      <c r="H2422" s="80">
        <v>1772989</v>
      </c>
    </row>
    <row r="2423" spans="1:8" x14ac:dyDescent="0.2">
      <c r="A2423" s="79" t="s">
        <v>9011</v>
      </c>
      <c r="B2423" s="79" t="s">
        <v>9575</v>
      </c>
      <c r="C2423" s="79" t="s">
        <v>7327</v>
      </c>
      <c r="D2423" s="79" t="s">
        <v>7312</v>
      </c>
      <c r="E2423" s="79">
        <v>1500</v>
      </c>
      <c r="G2423" s="79" t="s">
        <v>7329</v>
      </c>
      <c r="H2423" s="80">
        <v>3241620</v>
      </c>
    </row>
    <row r="2424" spans="1:8" x14ac:dyDescent="0.2">
      <c r="A2424" s="79" t="s">
        <v>9011</v>
      </c>
      <c r="B2424" s="79" t="s">
        <v>9575</v>
      </c>
      <c r="C2424" s="79" t="s">
        <v>7327</v>
      </c>
      <c r="D2424" s="79" t="s">
        <v>7312</v>
      </c>
      <c r="E2424" s="79">
        <v>1500</v>
      </c>
      <c r="G2424" s="79" t="s">
        <v>7313</v>
      </c>
      <c r="H2424" s="80">
        <v>3554820</v>
      </c>
    </row>
    <row r="2425" spans="1:8" x14ac:dyDescent="0.2">
      <c r="A2425" s="79" t="s">
        <v>9011</v>
      </c>
      <c r="B2425" s="79" t="s">
        <v>9576</v>
      </c>
      <c r="C2425" s="79" t="s">
        <v>7327</v>
      </c>
      <c r="D2425" s="79" t="s">
        <v>7312</v>
      </c>
      <c r="E2425" s="79">
        <v>1780</v>
      </c>
      <c r="G2425" s="79" t="s">
        <v>7329</v>
      </c>
      <c r="H2425" s="80">
        <v>3846723</v>
      </c>
    </row>
    <row r="2426" spans="1:8" x14ac:dyDescent="0.2">
      <c r="A2426" s="79" t="s">
        <v>9011</v>
      </c>
      <c r="B2426" s="79" t="s">
        <v>9576</v>
      </c>
      <c r="C2426" s="79" t="s">
        <v>7327</v>
      </c>
      <c r="D2426" s="79" t="s">
        <v>7312</v>
      </c>
      <c r="E2426" s="79">
        <v>2000</v>
      </c>
      <c r="G2426" s="79" t="s">
        <v>7329</v>
      </c>
      <c r="H2426" s="80">
        <v>4322160</v>
      </c>
    </row>
    <row r="2427" spans="1:8" x14ac:dyDescent="0.2">
      <c r="A2427" s="79" t="s">
        <v>9011</v>
      </c>
      <c r="B2427" s="79" t="s">
        <v>9576</v>
      </c>
      <c r="C2427" s="79" t="s">
        <v>7327</v>
      </c>
      <c r="D2427" s="79" t="s">
        <v>7312</v>
      </c>
      <c r="E2427" s="79">
        <v>2000</v>
      </c>
      <c r="G2427" s="79" t="s">
        <v>7329</v>
      </c>
      <c r="H2427" s="80">
        <v>4739760</v>
      </c>
    </row>
    <row r="2428" spans="1:8" x14ac:dyDescent="0.2">
      <c r="A2428" s="79" t="s">
        <v>9011</v>
      </c>
      <c r="B2428" s="79" t="s">
        <v>9576</v>
      </c>
      <c r="C2428" s="79" t="s">
        <v>7327</v>
      </c>
      <c r="D2428" s="79" t="s">
        <v>7312</v>
      </c>
      <c r="E2428" s="79">
        <v>2180</v>
      </c>
      <c r="G2428" s="79" t="s">
        <v>7329</v>
      </c>
      <c r="H2428" s="80">
        <v>4711154</v>
      </c>
    </row>
    <row r="2429" spans="1:8" x14ac:dyDescent="0.2">
      <c r="A2429" s="79" t="s">
        <v>9011</v>
      </c>
      <c r="B2429" s="79" t="s">
        <v>9576</v>
      </c>
      <c r="C2429" s="79" t="s">
        <v>7327</v>
      </c>
      <c r="D2429" s="79" t="s">
        <v>7312</v>
      </c>
      <c r="E2429" s="79">
        <v>2180</v>
      </c>
      <c r="G2429" s="79" t="s">
        <v>7329</v>
      </c>
      <c r="H2429" s="80">
        <v>5166339</v>
      </c>
    </row>
    <row r="2430" spans="1:8" x14ac:dyDescent="0.2">
      <c r="A2430" s="79" t="s">
        <v>9011</v>
      </c>
      <c r="B2430" s="79" t="s">
        <v>9577</v>
      </c>
      <c r="C2430" s="79" t="s">
        <v>7327</v>
      </c>
      <c r="D2430" s="79" t="s">
        <v>7312</v>
      </c>
      <c r="E2430" s="79">
        <v>1780</v>
      </c>
      <c r="G2430" s="79" t="s">
        <v>7329</v>
      </c>
      <c r="H2430" s="80">
        <v>3529103.12</v>
      </c>
    </row>
    <row r="2431" spans="1:8" x14ac:dyDescent="0.2">
      <c r="A2431" s="79" t="s">
        <v>9011</v>
      </c>
      <c r="B2431" s="79" t="s">
        <v>9578</v>
      </c>
      <c r="C2431" s="79" t="s">
        <v>7335</v>
      </c>
      <c r="D2431" s="79" t="s">
        <v>7312</v>
      </c>
      <c r="E2431" s="79">
        <v>1490</v>
      </c>
      <c r="G2431" s="79" t="s">
        <v>7329</v>
      </c>
      <c r="H2431" s="80">
        <v>1929225</v>
      </c>
    </row>
    <row r="2432" spans="1:8" x14ac:dyDescent="0.2">
      <c r="A2432" s="79" t="s">
        <v>9011</v>
      </c>
      <c r="B2432" s="79" t="s">
        <v>9578</v>
      </c>
      <c r="C2432" s="79" t="s">
        <v>7335</v>
      </c>
      <c r="D2432" s="79" t="s">
        <v>7312</v>
      </c>
      <c r="E2432" s="79">
        <v>1600</v>
      </c>
      <c r="G2432" s="79" t="s">
        <v>7329</v>
      </c>
      <c r="H2432" s="80">
        <v>2057722</v>
      </c>
    </row>
    <row r="2433" spans="1:8" x14ac:dyDescent="0.2">
      <c r="A2433" s="79" t="s">
        <v>9011</v>
      </c>
      <c r="B2433" s="79" t="s">
        <v>9578</v>
      </c>
      <c r="C2433" s="79" t="s">
        <v>7335</v>
      </c>
      <c r="D2433" s="79" t="s">
        <v>7312</v>
      </c>
      <c r="E2433" s="79">
        <v>1880</v>
      </c>
      <c r="G2433" s="79" t="s">
        <v>7329</v>
      </c>
      <c r="H2433" s="80">
        <v>2417824</v>
      </c>
    </row>
    <row r="2434" spans="1:8" x14ac:dyDescent="0.2">
      <c r="A2434" s="79" t="s">
        <v>9011</v>
      </c>
      <c r="B2434" s="79" t="s">
        <v>9579</v>
      </c>
      <c r="C2434" s="79" t="s">
        <v>7340</v>
      </c>
      <c r="D2434" s="79" t="s">
        <v>7312</v>
      </c>
      <c r="E2434" s="79">
        <v>1000</v>
      </c>
      <c r="G2434" s="79" t="s">
        <v>7329</v>
      </c>
      <c r="H2434" s="80">
        <v>1408037</v>
      </c>
    </row>
    <row r="2435" spans="1:8" x14ac:dyDescent="0.2">
      <c r="A2435" s="79" t="s">
        <v>9011</v>
      </c>
      <c r="B2435" s="79" t="s">
        <v>9579</v>
      </c>
      <c r="C2435" s="79" t="s">
        <v>7340</v>
      </c>
      <c r="D2435" s="79" t="s">
        <v>7312</v>
      </c>
      <c r="E2435" s="79">
        <v>1300</v>
      </c>
      <c r="G2435" s="79" t="s">
        <v>7329</v>
      </c>
      <c r="H2435" s="80">
        <v>1837000</v>
      </c>
    </row>
    <row r="2436" spans="1:8" x14ac:dyDescent="0.2">
      <c r="A2436" s="79" t="s">
        <v>9011</v>
      </c>
      <c r="B2436" s="79" t="s">
        <v>9580</v>
      </c>
      <c r="C2436" s="79" t="s">
        <v>7340</v>
      </c>
      <c r="D2436" s="79" t="s">
        <v>7312</v>
      </c>
      <c r="E2436" s="79">
        <v>997</v>
      </c>
      <c r="G2436" s="79" t="s">
        <v>7329</v>
      </c>
      <c r="H2436" s="80">
        <v>1408836</v>
      </c>
    </row>
    <row r="2437" spans="1:8" x14ac:dyDescent="0.2">
      <c r="A2437" s="79" t="s">
        <v>9011</v>
      </c>
      <c r="B2437" s="79" t="s">
        <v>9580</v>
      </c>
      <c r="C2437" s="79" t="s">
        <v>7340</v>
      </c>
      <c r="D2437" s="79" t="s">
        <v>7312</v>
      </c>
      <c r="E2437" s="79">
        <v>1300</v>
      </c>
      <c r="G2437" s="79" t="s">
        <v>7329</v>
      </c>
      <c r="H2437" s="80">
        <v>1637000</v>
      </c>
    </row>
    <row r="2438" spans="1:8" x14ac:dyDescent="0.2">
      <c r="A2438" s="79" t="s">
        <v>9011</v>
      </c>
      <c r="B2438" s="79" t="s">
        <v>9581</v>
      </c>
      <c r="C2438" s="79" t="s">
        <v>7335</v>
      </c>
      <c r="D2438" s="79" t="s">
        <v>7312</v>
      </c>
      <c r="E2438" s="79">
        <v>1490</v>
      </c>
      <c r="G2438" s="79" t="s">
        <v>7329</v>
      </c>
      <c r="H2438" s="80">
        <v>1772984</v>
      </c>
    </row>
    <row r="2439" spans="1:8" x14ac:dyDescent="0.2">
      <c r="A2439" s="79" t="s">
        <v>9011</v>
      </c>
      <c r="B2439" s="79" t="s">
        <v>9582</v>
      </c>
      <c r="C2439" s="79" t="s">
        <v>7340</v>
      </c>
      <c r="D2439" s="79" t="s">
        <v>7312</v>
      </c>
      <c r="E2439" s="79">
        <v>1500</v>
      </c>
      <c r="G2439" s="79" t="s">
        <v>7329</v>
      </c>
      <c r="H2439" s="80">
        <v>3828425</v>
      </c>
    </row>
    <row r="2440" spans="1:8" x14ac:dyDescent="0.2">
      <c r="A2440" s="79" t="s">
        <v>9011</v>
      </c>
      <c r="B2440" s="79" t="s">
        <v>9582</v>
      </c>
      <c r="C2440" s="79" t="s">
        <v>7340</v>
      </c>
      <c r="D2440" s="79" t="s">
        <v>7312</v>
      </c>
      <c r="E2440" s="79">
        <v>1800</v>
      </c>
      <c r="G2440" s="79" t="s">
        <v>7329</v>
      </c>
      <c r="H2440" s="80">
        <v>4594110</v>
      </c>
    </row>
    <row r="2441" spans="1:8" x14ac:dyDescent="0.2">
      <c r="A2441" s="79" t="s">
        <v>9011</v>
      </c>
      <c r="B2441" s="79" t="s">
        <v>9582</v>
      </c>
      <c r="C2441" s="79" t="s">
        <v>7340</v>
      </c>
      <c r="D2441" s="79" t="s">
        <v>7312</v>
      </c>
      <c r="E2441" s="79">
        <v>1800</v>
      </c>
      <c r="G2441" s="79" t="s">
        <v>7313</v>
      </c>
      <c r="H2441" s="80">
        <v>4938828</v>
      </c>
    </row>
    <row r="2442" spans="1:8" x14ac:dyDescent="0.2">
      <c r="A2442" s="79" t="s">
        <v>9011</v>
      </c>
      <c r="B2442" s="79" t="s">
        <v>9583</v>
      </c>
      <c r="C2442" s="79" t="s">
        <v>7335</v>
      </c>
      <c r="D2442" s="79" t="s">
        <v>7312</v>
      </c>
      <c r="E2442" s="79">
        <v>1490</v>
      </c>
      <c r="G2442" s="79" t="s">
        <v>7329</v>
      </c>
      <c r="H2442" s="80">
        <v>1755000</v>
      </c>
    </row>
    <row r="2443" spans="1:8" x14ac:dyDescent="0.2">
      <c r="A2443" s="79" t="s">
        <v>9011</v>
      </c>
      <c r="B2443" s="79" t="s">
        <v>9583</v>
      </c>
      <c r="C2443" s="79" t="s">
        <v>7335</v>
      </c>
      <c r="D2443" s="79" t="s">
        <v>7312</v>
      </c>
      <c r="E2443" s="79">
        <v>1360</v>
      </c>
      <c r="G2443" s="79" t="s">
        <v>7329</v>
      </c>
      <c r="H2443" s="80">
        <v>1601879.19</v>
      </c>
    </row>
    <row r="2444" spans="1:8" x14ac:dyDescent="0.2">
      <c r="A2444" s="79" t="s">
        <v>9011</v>
      </c>
      <c r="B2444" s="79" t="s">
        <v>9583</v>
      </c>
      <c r="C2444" s="79" t="s">
        <v>7335</v>
      </c>
      <c r="D2444" s="79" t="s">
        <v>7312</v>
      </c>
      <c r="E2444" s="79">
        <v>1290</v>
      </c>
      <c r="G2444" s="79" t="s">
        <v>7329</v>
      </c>
      <c r="H2444" s="80">
        <v>1519429.53</v>
      </c>
    </row>
    <row r="2445" spans="1:8" x14ac:dyDescent="0.2">
      <c r="A2445" s="79" t="s">
        <v>9011</v>
      </c>
      <c r="B2445" s="79" t="s">
        <v>9584</v>
      </c>
      <c r="C2445" s="79" t="s">
        <v>7311</v>
      </c>
      <c r="D2445" s="79" t="s">
        <v>7312</v>
      </c>
      <c r="E2445" s="79">
        <v>1490</v>
      </c>
      <c r="G2445" s="79" t="s">
        <v>7329</v>
      </c>
      <c r="H2445" s="80">
        <v>2704600</v>
      </c>
    </row>
    <row r="2446" spans="1:8" x14ac:dyDescent="0.2">
      <c r="A2446" s="79" t="s">
        <v>9011</v>
      </c>
      <c r="B2446" s="79" t="s">
        <v>9584</v>
      </c>
      <c r="C2446" s="79" t="s">
        <v>7311</v>
      </c>
      <c r="D2446" s="79" t="s">
        <v>7312</v>
      </c>
      <c r="E2446" s="79">
        <v>1800</v>
      </c>
      <c r="G2446" s="79" t="s">
        <v>7329</v>
      </c>
      <c r="H2446" s="80">
        <v>3269700</v>
      </c>
    </row>
    <row r="2447" spans="1:8" x14ac:dyDescent="0.2">
      <c r="A2447" s="79" t="s">
        <v>9011</v>
      </c>
      <c r="B2447" s="79" t="s">
        <v>9584</v>
      </c>
      <c r="C2447" s="79" t="s">
        <v>7311</v>
      </c>
      <c r="D2447" s="79" t="s">
        <v>7312</v>
      </c>
      <c r="E2447" s="79">
        <v>2000</v>
      </c>
      <c r="G2447" s="79" t="s">
        <v>7329</v>
      </c>
      <c r="H2447" s="80">
        <v>3633000</v>
      </c>
    </row>
    <row r="2448" spans="1:8" x14ac:dyDescent="0.2">
      <c r="A2448" s="79" t="s">
        <v>9011</v>
      </c>
      <c r="B2448" s="79" t="s">
        <v>9585</v>
      </c>
      <c r="C2448" s="79" t="s">
        <v>7311</v>
      </c>
      <c r="D2448" s="79" t="s">
        <v>7312</v>
      </c>
      <c r="E2448" s="79">
        <v>1490</v>
      </c>
      <c r="G2448" s="79" t="s">
        <v>7329</v>
      </c>
      <c r="H2448" s="80">
        <v>3366900</v>
      </c>
    </row>
    <row r="2449" spans="1:8" x14ac:dyDescent="0.2">
      <c r="A2449" s="79" t="s">
        <v>9011</v>
      </c>
      <c r="B2449" s="79" t="s">
        <v>9585</v>
      </c>
      <c r="C2449" s="79" t="s">
        <v>7311</v>
      </c>
      <c r="D2449" s="79" t="s">
        <v>7312</v>
      </c>
      <c r="E2449" s="79">
        <v>1800</v>
      </c>
      <c r="G2449" s="79" t="s">
        <v>7329</v>
      </c>
      <c r="H2449" s="80">
        <v>3680100</v>
      </c>
    </row>
    <row r="2450" spans="1:8" x14ac:dyDescent="0.2">
      <c r="A2450" s="79" t="s">
        <v>9011</v>
      </c>
      <c r="B2450" s="79" t="s">
        <v>9585</v>
      </c>
      <c r="C2450" s="79" t="s">
        <v>7311</v>
      </c>
      <c r="D2450" s="79" t="s">
        <v>7312</v>
      </c>
      <c r="E2450" s="79">
        <v>1800</v>
      </c>
      <c r="G2450" s="79" t="s">
        <v>7329</v>
      </c>
      <c r="H2450" s="80">
        <v>3993300</v>
      </c>
    </row>
    <row r="2451" spans="1:8" x14ac:dyDescent="0.2">
      <c r="A2451" s="79" t="s">
        <v>9011</v>
      </c>
      <c r="B2451" s="79" t="s">
        <v>9585</v>
      </c>
      <c r="C2451" s="79" t="s">
        <v>7311</v>
      </c>
      <c r="D2451" s="79" t="s">
        <v>7312</v>
      </c>
      <c r="E2451" s="79">
        <v>2000</v>
      </c>
      <c r="G2451" s="79" t="s">
        <v>7329</v>
      </c>
      <c r="H2451" s="80">
        <v>4149900</v>
      </c>
    </row>
    <row r="2452" spans="1:8" x14ac:dyDescent="0.2">
      <c r="A2452" s="79" t="s">
        <v>9011</v>
      </c>
      <c r="B2452" s="79" t="s">
        <v>9586</v>
      </c>
      <c r="C2452" s="79" t="s">
        <v>7340</v>
      </c>
      <c r="D2452" s="79" t="s">
        <v>7312</v>
      </c>
      <c r="E2452" s="79">
        <v>997</v>
      </c>
      <c r="G2452" s="79" t="s">
        <v>7329</v>
      </c>
      <c r="H2452" s="80">
        <v>1408836</v>
      </c>
    </row>
    <row r="2453" spans="1:8" x14ac:dyDescent="0.2">
      <c r="A2453" s="79" t="s">
        <v>9011</v>
      </c>
      <c r="B2453" s="79" t="s">
        <v>9586</v>
      </c>
      <c r="C2453" s="79" t="s">
        <v>7340</v>
      </c>
      <c r="D2453" s="79" t="s">
        <v>7312</v>
      </c>
      <c r="E2453" s="79">
        <v>1300</v>
      </c>
      <c r="G2453" s="79" t="s">
        <v>7329</v>
      </c>
      <c r="H2453" s="80">
        <v>1837000</v>
      </c>
    </row>
    <row r="2454" spans="1:8" x14ac:dyDescent="0.2">
      <c r="A2454" s="79" t="s">
        <v>9011</v>
      </c>
      <c r="B2454" s="79" t="s">
        <v>9586</v>
      </c>
      <c r="C2454" s="79" t="s">
        <v>7340</v>
      </c>
      <c r="D2454" s="79" t="s">
        <v>7312</v>
      </c>
      <c r="E2454" s="79">
        <v>1490</v>
      </c>
      <c r="G2454" s="79" t="s">
        <v>7329</v>
      </c>
      <c r="H2454" s="80">
        <v>2105485</v>
      </c>
    </row>
    <row r="2455" spans="1:8" x14ac:dyDescent="0.2">
      <c r="A2455" s="79" t="s">
        <v>9011</v>
      </c>
      <c r="B2455" s="79" t="s">
        <v>9587</v>
      </c>
      <c r="C2455" s="79" t="s">
        <v>7335</v>
      </c>
      <c r="D2455" s="79" t="s">
        <v>7312</v>
      </c>
      <c r="E2455" s="79">
        <v>1290</v>
      </c>
      <c r="G2455" s="79" t="s">
        <v>7329</v>
      </c>
      <c r="H2455" s="80">
        <v>1750000</v>
      </c>
    </row>
    <row r="2456" spans="1:8" x14ac:dyDescent="0.2">
      <c r="A2456" s="79" t="s">
        <v>9011</v>
      </c>
      <c r="B2456" s="79" t="s">
        <v>9587</v>
      </c>
      <c r="C2456" s="79" t="s">
        <v>7335</v>
      </c>
      <c r="D2456" s="79" t="s">
        <v>7312</v>
      </c>
      <c r="E2456" s="79">
        <v>1490</v>
      </c>
      <c r="G2456" s="79" t="s">
        <v>7329</v>
      </c>
      <c r="H2456" s="80">
        <v>1950000</v>
      </c>
    </row>
    <row r="2457" spans="1:8" x14ac:dyDescent="0.2">
      <c r="A2457" s="79" t="s">
        <v>9011</v>
      </c>
      <c r="B2457" s="79" t="s">
        <v>9588</v>
      </c>
      <c r="C2457" s="79" t="s">
        <v>7335</v>
      </c>
      <c r="D2457" s="79" t="s">
        <v>7312</v>
      </c>
      <c r="E2457" s="79">
        <v>1490</v>
      </c>
      <c r="G2457" s="79" t="s">
        <v>7329</v>
      </c>
      <c r="H2457" s="80">
        <v>1950000</v>
      </c>
    </row>
    <row r="2458" spans="1:8" x14ac:dyDescent="0.2">
      <c r="A2458" s="79" t="s">
        <v>9011</v>
      </c>
      <c r="B2458" s="79" t="s">
        <v>9589</v>
      </c>
      <c r="C2458" s="79" t="s">
        <v>7340</v>
      </c>
      <c r="D2458" s="79" t="s">
        <v>7312</v>
      </c>
      <c r="E2458" s="79">
        <v>997</v>
      </c>
      <c r="G2458" s="79" t="s">
        <v>7329</v>
      </c>
      <c r="H2458" s="80">
        <v>1408836</v>
      </c>
    </row>
    <row r="2459" spans="1:8" x14ac:dyDescent="0.2">
      <c r="A2459" s="79" t="s">
        <v>9011</v>
      </c>
      <c r="B2459" s="79" t="s">
        <v>9589</v>
      </c>
      <c r="C2459" s="79" t="s">
        <v>7340</v>
      </c>
      <c r="D2459" s="79" t="s">
        <v>7312</v>
      </c>
      <c r="E2459" s="79">
        <v>1300</v>
      </c>
      <c r="G2459" s="79" t="s">
        <v>7329</v>
      </c>
      <c r="H2459" s="80">
        <v>1637000</v>
      </c>
    </row>
    <row r="2460" spans="1:8" x14ac:dyDescent="0.2">
      <c r="A2460" s="79" t="s">
        <v>9011</v>
      </c>
      <c r="B2460" s="79" t="s">
        <v>9590</v>
      </c>
      <c r="C2460" s="79" t="s">
        <v>7340</v>
      </c>
      <c r="D2460" s="79" t="s">
        <v>7312</v>
      </c>
      <c r="E2460" s="79">
        <v>1300</v>
      </c>
      <c r="G2460" s="79" t="s">
        <v>7329</v>
      </c>
      <c r="H2460" s="80">
        <v>1837000</v>
      </c>
    </row>
    <row r="2461" spans="1:8" x14ac:dyDescent="0.2">
      <c r="A2461" s="79" t="s">
        <v>9011</v>
      </c>
      <c r="B2461" s="79" t="s">
        <v>9591</v>
      </c>
      <c r="C2461" s="79" t="s">
        <v>7311</v>
      </c>
      <c r="D2461" s="79" t="s">
        <v>7312</v>
      </c>
      <c r="E2461" s="79">
        <v>1590</v>
      </c>
      <c r="G2461" s="79" t="s">
        <v>7329</v>
      </c>
      <c r="H2461" s="80">
        <v>1865500</v>
      </c>
    </row>
    <row r="2462" spans="1:8" x14ac:dyDescent="0.2">
      <c r="A2462" s="79" t="s">
        <v>9011</v>
      </c>
      <c r="B2462" s="79" t="s">
        <v>9591</v>
      </c>
      <c r="C2462" s="79" t="s">
        <v>7311</v>
      </c>
      <c r="D2462" s="79" t="s">
        <v>7312</v>
      </c>
      <c r="E2462" s="79">
        <v>1490</v>
      </c>
      <c r="G2462" s="79" t="s">
        <v>7329</v>
      </c>
      <c r="H2462" s="80">
        <v>1750000</v>
      </c>
    </row>
    <row r="2463" spans="1:8" x14ac:dyDescent="0.2">
      <c r="A2463" s="79" t="s">
        <v>9011</v>
      </c>
      <c r="B2463" s="79" t="s">
        <v>9591</v>
      </c>
      <c r="C2463" s="79" t="s">
        <v>7311</v>
      </c>
      <c r="D2463" s="79" t="s">
        <v>7312</v>
      </c>
      <c r="E2463" s="79">
        <v>1300</v>
      </c>
      <c r="G2463" s="79" t="s">
        <v>7329</v>
      </c>
      <c r="H2463" s="80">
        <v>1562080.54</v>
      </c>
    </row>
    <row r="2464" spans="1:8" x14ac:dyDescent="0.2">
      <c r="A2464" s="79" t="s">
        <v>9011</v>
      </c>
      <c r="B2464" s="79" t="s">
        <v>9592</v>
      </c>
      <c r="C2464" s="79" t="s">
        <v>7335</v>
      </c>
      <c r="D2464" s="79" t="s">
        <v>7312</v>
      </c>
      <c r="E2464" s="79">
        <v>1990</v>
      </c>
      <c r="G2464" s="79" t="s">
        <v>7329</v>
      </c>
      <c r="H2464" s="80">
        <v>2350000</v>
      </c>
    </row>
    <row r="2465" spans="1:8" x14ac:dyDescent="0.2">
      <c r="A2465" s="79" t="s">
        <v>9011</v>
      </c>
      <c r="B2465" s="79" t="s">
        <v>9592</v>
      </c>
      <c r="C2465" s="79" t="s">
        <v>7335</v>
      </c>
      <c r="D2465" s="79" t="s">
        <v>7312</v>
      </c>
      <c r="E2465" s="79">
        <v>1490</v>
      </c>
      <c r="G2465" s="79" t="s">
        <v>7329</v>
      </c>
      <c r="H2465" s="80">
        <v>1759547.74</v>
      </c>
    </row>
    <row r="2466" spans="1:8" x14ac:dyDescent="0.2">
      <c r="A2466" s="79" t="s">
        <v>9011</v>
      </c>
      <c r="B2466" s="79" t="s">
        <v>9593</v>
      </c>
      <c r="C2466" s="79" t="s">
        <v>7335</v>
      </c>
      <c r="D2466" s="79" t="s">
        <v>7312</v>
      </c>
      <c r="E2466" s="79">
        <v>1300</v>
      </c>
      <c r="G2466" s="79" t="s">
        <v>7329</v>
      </c>
      <c r="H2466" s="80">
        <v>1837000</v>
      </c>
    </row>
    <row r="2467" spans="1:8" x14ac:dyDescent="0.2">
      <c r="A2467" s="79" t="s">
        <v>9011</v>
      </c>
      <c r="B2467" s="79" t="s">
        <v>9594</v>
      </c>
      <c r="C2467" s="79" t="s">
        <v>7311</v>
      </c>
      <c r="D2467" s="79" t="s">
        <v>7312</v>
      </c>
      <c r="E2467" s="79">
        <v>1490</v>
      </c>
      <c r="G2467" s="79" t="s">
        <v>7329</v>
      </c>
      <c r="H2467" s="80">
        <v>2195000</v>
      </c>
    </row>
    <row r="2468" spans="1:8" x14ac:dyDescent="0.2">
      <c r="A2468" s="79" t="s">
        <v>9011</v>
      </c>
      <c r="B2468" s="79" t="s">
        <v>9595</v>
      </c>
      <c r="C2468" s="79" t="s">
        <v>7311</v>
      </c>
      <c r="D2468" s="79" t="s">
        <v>7312</v>
      </c>
      <c r="E2468" s="79">
        <v>1998</v>
      </c>
      <c r="G2468" s="79" t="s">
        <v>7329</v>
      </c>
      <c r="H2468" s="80">
        <v>2850000</v>
      </c>
    </row>
    <row r="2469" spans="1:8" x14ac:dyDescent="0.2">
      <c r="A2469" s="79" t="s">
        <v>9011</v>
      </c>
      <c r="B2469" s="79" t="s">
        <v>9595</v>
      </c>
      <c r="C2469" s="79" t="s">
        <v>7335</v>
      </c>
      <c r="D2469" s="79" t="s">
        <v>7312</v>
      </c>
      <c r="E2469" s="79">
        <v>1999</v>
      </c>
      <c r="G2469" s="79" t="s">
        <v>7329</v>
      </c>
      <c r="H2469" s="80">
        <v>2850000</v>
      </c>
    </row>
    <row r="2470" spans="1:8" x14ac:dyDescent="0.2">
      <c r="A2470" s="79" t="s">
        <v>9011</v>
      </c>
      <c r="B2470" s="79" t="s">
        <v>9596</v>
      </c>
      <c r="C2470" s="79" t="s">
        <v>7311</v>
      </c>
      <c r="D2470" s="79" t="s">
        <v>7312</v>
      </c>
      <c r="E2470" s="79">
        <v>2000</v>
      </c>
      <c r="G2470" s="79" t="s">
        <v>7329</v>
      </c>
      <c r="H2470" s="80">
        <v>2950000</v>
      </c>
    </row>
    <row r="2471" spans="1:8" x14ac:dyDescent="0.2">
      <c r="A2471" s="79" t="s">
        <v>9011</v>
      </c>
      <c r="B2471" s="79" t="s">
        <v>9597</v>
      </c>
      <c r="C2471" s="79" t="s">
        <v>7340</v>
      </c>
      <c r="D2471" s="79" t="s">
        <v>7312</v>
      </c>
      <c r="E2471" s="79">
        <v>1000</v>
      </c>
      <c r="G2471" s="79" t="s">
        <v>7329</v>
      </c>
      <c r="H2471" s="80">
        <v>1655700</v>
      </c>
    </row>
    <row r="2472" spans="1:8" x14ac:dyDescent="0.2">
      <c r="A2472" s="79" t="s">
        <v>9011</v>
      </c>
      <c r="B2472" s="79" t="s">
        <v>9597</v>
      </c>
      <c r="C2472" s="79" t="s">
        <v>7340</v>
      </c>
      <c r="D2472" s="79" t="s">
        <v>7312</v>
      </c>
      <c r="E2472" s="79">
        <v>1300</v>
      </c>
      <c r="G2472" s="79" t="s">
        <v>7329</v>
      </c>
      <c r="H2472" s="80">
        <v>1846304</v>
      </c>
    </row>
    <row r="2473" spans="1:8" x14ac:dyDescent="0.2">
      <c r="A2473" s="79" t="s">
        <v>9011</v>
      </c>
      <c r="B2473" s="79" t="s">
        <v>9598</v>
      </c>
      <c r="C2473" s="79" t="s">
        <v>7340</v>
      </c>
      <c r="D2473" s="79" t="s">
        <v>7312</v>
      </c>
      <c r="E2473" s="79">
        <v>1500</v>
      </c>
      <c r="G2473" s="79" t="s">
        <v>7329</v>
      </c>
      <c r="H2473" s="80">
        <v>2160000</v>
      </c>
    </row>
    <row r="2474" spans="1:8" x14ac:dyDescent="0.2">
      <c r="A2474" s="79" t="s">
        <v>9011</v>
      </c>
      <c r="B2474" s="79" t="s">
        <v>9599</v>
      </c>
      <c r="C2474" s="79" t="s">
        <v>7340</v>
      </c>
      <c r="D2474" s="79" t="s">
        <v>7312</v>
      </c>
      <c r="E2474" s="79">
        <v>1300</v>
      </c>
      <c r="G2474" s="79" t="s">
        <v>7329</v>
      </c>
      <c r="H2474" s="80">
        <v>1872000</v>
      </c>
    </row>
    <row r="2475" spans="1:8" x14ac:dyDescent="0.2">
      <c r="A2475" s="79" t="s">
        <v>9011</v>
      </c>
      <c r="B2475" s="79" t="s">
        <v>9599</v>
      </c>
      <c r="C2475" s="79" t="s">
        <v>7340</v>
      </c>
      <c r="D2475" s="79" t="s">
        <v>7312</v>
      </c>
      <c r="E2475" s="79">
        <v>990</v>
      </c>
      <c r="G2475" s="79" t="s">
        <v>7329</v>
      </c>
      <c r="H2475" s="80">
        <v>1639143</v>
      </c>
    </row>
    <row r="2476" spans="1:8" x14ac:dyDescent="0.2">
      <c r="A2476" s="79" t="s">
        <v>9011</v>
      </c>
      <c r="B2476" s="79" t="s">
        <v>9600</v>
      </c>
      <c r="C2476" s="79" t="s">
        <v>7335</v>
      </c>
      <c r="D2476" s="79" t="s">
        <v>7312</v>
      </c>
      <c r="E2476" s="79">
        <v>1800</v>
      </c>
      <c r="G2476" s="79" t="s">
        <v>7329</v>
      </c>
      <c r="H2476" s="80">
        <v>2600000</v>
      </c>
    </row>
    <row r="2477" spans="1:8" x14ac:dyDescent="0.2">
      <c r="A2477" s="79" t="s">
        <v>9011</v>
      </c>
      <c r="B2477" s="79" t="s">
        <v>9601</v>
      </c>
      <c r="C2477" s="79" t="s">
        <v>7335</v>
      </c>
      <c r="D2477" s="79" t="s">
        <v>7312</v>
      </c>
      <c r="E2477" s="79">
        <v>1800</v>
      </c>
      <c r="G2477" s="79" t="s">
        <v>7329</v>
      </c>
      <c r="H2477" s="80">
        <v>3871441</v>
      </c>
    </row>
    <row r="2478" spans="1:8" x14ac:dyDescent="0.2">
      <c r="A2478" s="79" t="s">
        <v>9011</v>
      </c>
      <c r="B2478" s="79" t="s">
        <v>9601</v>
      </c>
      <c r="C2478" s="79" t="s">
        <v>7335</v>
      </c>
      <c r="D2478" s="79" t="s">
        <v>7312</v>
      </c>
      <c r="E2478" s="79">
        <v>2000</v>
      </c>
      <c r="G2478" s="79" t="s">
        <v>7329</v>
      </c>
      <c r="H2478" s="80">
        <v>4301171</v>
      </c>
    </row>
    <row r="2479" spans="1:8" x14ac:dyDescent="0.2">
      <c r="A2479" s="79" t="s">
        <v>9011</v>
      </c>
      <c r="B2479" s="79" t="s">
        <v>9602</v>
      </c>
      <c r="C2479" s="79" t="s">
        <v>7335</v>
      </c>
      <c r="D2479" s="79" t="s">
        <v>7312</v>
      </c>
      <c r="E2479" s="79">
        <v>1800</v>
      </c>
      <c r="G2479" s="79" t="s">
        <v>7329</v>
      </c>
      <c r="H2479" s="80">
        <v>4078241</v>
      </c>
    </row>
    <row r="2480" spans="1:8" x14ac:dyDescent="0.2">
      <c r="A2480" s="79" t="s">
        <v>9011</v>
      </c>
      <c r="B2480" s="79" t="s">
        <v>9603</v>
      </c>
      <c r="C2480" s="79" t="s">
        <v>7340</v>
      </c>
      <c r="D2480" s="79" t="s">
        <v>7312</v>
      </c>
      <c r="E2480" s="79">
        <v>1300</v>
      </c>
      <c r="G2480" s="79" t="s">
        <v>7329</v>
      </c>
      <c r="H2480" s="80">
        <v>1469000</v>
      </c>
    </row>
    <row r="2481" spans="1:8" x14ac:dyDescent="0.2">
      <c r="A2481" s="79" t="s">
        <v>9011</v>
      </c>
      <c r="B2481" s="79" t="s">
        <v>9604</v>
      </c>
      <c r="C2481" s="79" t="s">
        <v>7340</v>
      </c>
      <c r="D2481" s="79" t="s">
        <v>7312</v>
      </c>
      <c r="E2481" s="79">
        <v>1500</v>
      </c>
      <c r="G2481" s="79" t="s">
        <v>7329</v>
      </c>
      <c r="H2481" s="80">
        <v>1952368</v>
      </c>
    </row>
    <row r="2482" spans="1:8" x14ac:dyDescent="0.2">
      <c r="A2482" s="79" t="s">
        <v>9011</v>
      </c>
      <c r="B2482" s="79" t="s">
        <v>9605</v>
      </c>
      <c r="C2482" s="79" t="s">
        <v>7311</v>
      </c>
      <c r="D2482" s="79" t="s">
        <v>7312</v>
      </c>
      <c r="E2482" s="79">
        <v>1490</v>
      </c>
      <c r="G2482" s="79" t="s">
        <v>7329</v>
      </c>
      <c r="H2482" s="80">
        <v>2195000</v>
      </c>
    </row>
    <row r="2483" spans="1:8" x14ac:dyDescent="0.2">
      <c r="A2483" s="79" t="s">
        <v>9011</v>
      </c>
      <c r="B2483" s="79" t="s">
        <v>9606</v>
      </c>
      <c r="C2483" s="79" t="s">
        <v>7311</v>
      </c>
      <c r="D2483" s="79" t="s">
        <v>7312</v>
      </c>
      <c r="E2483" s="79">
        <v>2360</v>
      </c>
      <c r="G2483" s="79" t="s">
        <v>7329</v>
      </c>
      <c r="H2483" s="80">
        <v>5500000</v>
      </c>
    </row>
    <row r="2484" spans="1:8" x14ac:dyDescent="0.2">
      <c r="A2484" s="79" t="s">
        <v>9607</v>
      </c>
      <c r="B2484" s="79" t="s">
        <v>9608</v>
      </c>
      <c r="C2484" s="79" t="s">
        <v>7340</v>
      </c>
      <c r="D2484" s="79" t="s">
        <v>7312</v>
      </c>
      <c r="E2484" s="79">
        <v>1800</v>
      </c>
      <c r="G2484" s="79" t="s">
        <v>7313</v>
      </c>
      <c r="H2484" s="80">
        <v>7332344</v>
      </c>
    </row>
    <row r="2485" spans="1:8" x14ac:dyDescent="0.2">
      <c r="A2485" s="79" t="s">
        <v>9607</v>
      </c>
      <c r="B2485" s="79" t="s">
        <v>9609</v>
      </c>
      <c r="C2485" s="79" t="s">
        <v>7335</v>
      </c>
      <c r="D2485" s="79" t="s">
        <v>7328</v>
      </c>
      <c r="E2485" s="79">
        <v>4500</v>
      </c>
      <c r="G2485" s="79" t="s">
        <v>7313</v>
      </c>
      <c r="H2485" s="80">
        <v>21659332.800000001</v>
      </c>
    </row>
    <row r="2486" spans="1:8" x14ac:dyDescent="0.2">
      <c r="A2486" s="79" t="s">
        <v>9607</v>
      </c>
      <c r="B2486" s="79" t="s">
        <v>9610</v>
      </c>
      <c r="C2486" s="79" t="s">
        <v>7335</v>
      </c>
      <c r="D2486" s="79" t="s">
        <v>7312</v>
      </c>
      <c r="E2486" s="79">
        <v>4600</v>
      </c>
      <c r="G2486" s="79" t="s">
        <v>7313</v>
      </c>
      <c r="H2486" s="80">
        <v>19071966.670000002</v>
      </c>
    </row>
    <row r="2487" spans="1:8" x14ac:dyDescent="0.2">
      <c r="A2487" s="79" t="s">
        <v>9607</v>
      </c>
      <c r="B2487" s="79" t="s">
        <v>9611</v>
      </c>
      <c r="C2487" s="79" t="s">
        <v>7335</v>
      </c>
      <c r="D2487" s="79" t="s">
        <v>7312</v>
      </c>
      <c r="E2487" s="79">
        <v>4700</v>
      </c>
      <c r="G2487" s="79" t="s">
        <v>7313</v>
      </c>
      <c r="H2487" s="80">
        <v>19486574.100000001</v>
      </c>
    </row>
    <row r="2488" spans="1:8" x14ac:dyDescent="0.2">
      <c r="A2488" s="79" t="s">
        <v>9607</v>
      </c>
      <c r="B2488" s="79" t="s">
        <v>9612</v>
      </c>
      <c r="C2488" s="79" t="s">
        <v>7335</v>
      </c>
      <c r="D2488" s="79" t="s">
        <v>7312</v>
      </c>
      <c r="E2488" s="79">
        <v>5700</v>
      </c>
      <c r="G2488" s="79" t="s">
        <v>7313</v>
      </c>
      <c r="H2488" s="80">
        <v>24570000</v>
      </c>
    </row>
    <row r="2489" spans="1:8" x14ac:dyDescent="0.2">
      <c r="A2489" s="79" t="s">
        <v>9607</v>
      </c>
      <c r="B2489" s="79" t="s">
        <v>9613</v>
      </c>
      <c r="C2489" s="79" t="s">
        <v>7335</v>
      </c>
      <c r="D2489" s="79" t="s">
        <v>7312</v>
      </c>
      <c r="E2489" s="79">
        <v>4600</v>
      </c>
      <c r="G2489" s="79" t="s">
        <v>7313</v>
      </c>
      <c r="H2489" s="80">
        <v>19488740.899999999</v>
      </c>
    </row>
    <row r="2490" spans="1:8" x14ac:dyDescent="0.2">
      <c r="A2490" s="79" t="s">
        <v>9607</v>
      </c>
      <c r="B2490" s="79" t="s">
        <v>9614</v>
      </c>
      <c r="C2490" s="79" t="s">
        <v>7335</v>
      </c>
      <c r="D2490" s="79" t="s">
        <v>7312</v>
      </c>
      <c r="E2490" s="79">
        <v>2000</v>
      </c>
      <c r="G2490" s="79" t="s">
        <v>7313</v>
      </c>
      <c r="H2490" s="80">
        <v>7543173</v>
      </c>
    </row>
    <row r="2491" spans="1:8" x14ac:dyDescent="0.2">
      <c r="A2491" s="79" t="s">
        <v>9607</v>
      </c>
      <c r="B2491" s="79" t="s">
        <v>9615</v>
      </c>
      <c r="C2491" s="79" t="s">
        <v>7335</v>
      </c>
      <c r="D2491" s="79" t="s">
        <v>7312</v>
      </c>
      <c r="E2491" s="79">
        <v>2500</v>
      </c>
      <c r="G2491" s="79" t="s">
        <v>7313</v>
      </c>
      <c r="H2491" s="80">
        <v>9183058</v>
      </c>
    </row>
    <row r="2492" spans="1:8" x14ac:dyDescent="0.2">
      <c r="A2492" s="79" t="s">
        <v>9607</v>
      </c>
      <c r="B2492" s="79" t="s">
        <v>9616</v>
      </c>
      <c r="C2492" s="79" t="s">
        <v>7311</v>
      </c>
      <c r="D2492" s="79" t="s">
        <v>7312</v>
      </c>
      <c r="E2492" s="79">
        <v>2000</v>
      </c>
      <c r="G2492" s="79" t="s">
        <v>9490</v>
      </c>
      <c r="H2492" s="80">
        <v>7108698</v>
      </c>
    </row>
    <row r="2493" spans="1:8" x14ac:dyDescent="0.2">
      <c r="A2493" s="79" t="s">
        <v>9607</v>
      </c>
      <c r="B2493" s="79" t="s">
        <v>9617</v>
      </c>
      <c r="C2493" s="79" t="s">
        <v>7311</v>
      </c>
      <c r="D2493" s="79" t="s">
        <v>7328</v>
      </c>
      <c r="E2493" s="79">
        <v>2200</v>
      </c>
      <c r="G2493" s="79" t="s">
        <v>9490</v>
      </c>
      <c r="H2493" s="80">
        <v>7748481</v>
      </c>
    </row>
    <row r="2494" spans="1:8" x14ac:dyDescent="0.2">
      <c r="A2494" s="79" t="s">
        <v>9607</v>
      </c>
      <c r="B2494" s="79" t="s">
        <v>9618</v>
      </c>
      <c r="C2494" s="79" t="s">
        <v>7311</v>
      </c>
      <c r="D2494" s="79" t="s">
        <v>7312</v>
      </c>
      <c r="E2494" s="79">
        <v>2500</v>
      </c>
      <c r="G2494" s="79" t="s">
        <v>9490</v>
      </c>
      <c r="H2494" s="80">
        <v>8885873</v>
      </c>
    </row>
    <row r="2495" spans="1:8" x14ac:dyDescent="0.2">
      <c r="A2495" s="79" t="s">
        <v>9607</v>
      </c>
      <c r="B2495" s="79" t="s">
        <v>9619</v>
      </c>
      <c r="C2495" s="79" t="s">
        <v>7335</v>
      </c>
      <c r="D2495" s="79" t="s">
        <v>7312</v>
      </c>
      <c r="E2495" s="79">
        <v>3000</v>
      </c>
      <c r="G2495" s="79" t="s">
        <v>9490</v>
      </c>
      <c r="H2495" s="80">
        <v>10663047</v>
      </c>
    </row>
    <row r="2496" spans="1:8" x14ac:dyDescent="0.2">
      <c r="A2496" s="79" t="s">
        <v>9607</v>
      </c>
      <c r="B2496" s="79" t="s">
        <v>9620</v>
      </c>
      <c r="C2496" s="79" t="s">
        <v>7311</v>
      </c>
      <c r="D2496" s="79" t="s">
        <v>7312</v>
      </c>
      <c r="E2496" s="79">
        <v>3000</v>
      </c>
      <c r="G2496" s="79" t="s">
        <v>9490</v>
      </c>
      <c r="H2496" s="80">
        <v>7871140</v>
      </c>
    </row>
    <row r="2497" spans="1:8" x14ac:dyDescent="0.2">
      <c r="A2497" s="79" t="s">
        <v>9607</v>
      </c>
      <c r="B2497" s="79" t="s">
        <v>9621</v>
      </c>
      <c r="C2497" s="79" t="s">
        <v>7311</v>
      </c>
      <c r="D2497" s="79" t="s">
        <v>7312</v>
      </c>
      <c r="E2497" s="79">
        <v>3500</v>
      </c>
      <c r="G2497" s="79" t="s">
        <v>9490</v>
      </c>
      <c r="H2497" s="80">
        <v>9948857.8699999992</v>
      </c>
    </row>
    <row r="2498" spans="1:8" x14ac:dyDescent="0.2">
      <c r="A2498" s="79" t="s">
        <v>9607</v>
      </c>
      <c r="B2498" s="79" t="s">
        <v>9622</v>
      </c>
      <c r="C2498" s="79" t="s">
        <v>7311</v>
      </c>
      <c r="D2498" s="79" t="s">
        <v>7312</v>
      </c>
      <c r="E2498" s="79">
        <v>3500</v>
      </c>
      <c r="G2498" s="79" t="s">
        <v>9490</v>
      </c>
      <c r="H2498" s="80">
        <v>12080760.470000001</v>
      </c>
    </row>
    <row r="2499" spans="1:8" x14ac:dyDescent="0.2">
      <c r="A2499" s="79" t="s">
        <v>9607</v>
      </c>
      <c r="B2499" s="79" t="s">
        <v>9622</v>
      </c>
      <c r="C2499" s="79" t="s">
        <v>7311</v>
      </c>
      <c r="D2499" s="79" t="s">
        <v>7312</v>
      </c>
      <c r="E2499" s="79">
        <v>3500</v>
      </c>
      <c r="G2499" s="79" t="s">
        <v>7313</v>
      </c>
      <c r="H2499" s="80">
        <v>12436115.67</v>
      </c>
    </row>
    <row r="2500" spans="1:8" x14ac:dyDescent="0.2">
      <c r="A2500" s="79" t="s">
        <v>9607</v>
      </c>
      <c r="B2500" s="79" t="s">
        <v>9623</v>
      </c>
      <c r="C2500" s="79" t="s">
        <v>7311</v>
      </c>
      <c r="D2500" s="79" t="s">
        <v>7312</v>
      </c>
      <c r="E2500" s="79">
        <v>5000</v>
      </c>
      <c r="G2500" s="79" t="s">
        <v>9490</v>
      </c>
      <c r="H2500" s="80">
        <v>14212654.4</v>
      </c>
    </row>
    <row r="2501" spans="1:8" x14ac:dyDescent="0.2">
      <c r="A2501" s="79" t="s">
        <v>9607</v>
      </c>
      <c r="B2501" s="79" t="s">
        <v>9624</v>
      </c>
      <c r="C2501" s="79" t="s">
        <v>7311</v>
      </c>
      <c r="D2501" s="79" t="s">
        <v>7312</v>
      </c>
      <c r="E2501" s="79">
        <v>3500</v>
      </c>
      <c r="G2501" s="79" t="s">
        <v>9490</v>
      </c>
      <c r="H2501" s="80">
        <v>14009589.49</v>
      </c>
    </row>
    <row r="2502" spans="1:8" x14ac:dyDescent="0.2">
      <c r="A2502" s="79" t="s">
        <v>9607</v>
      </c>
      <c r="B2502" s="79" t="s">
        <v>9625</v>
      </c>
      <c r="C2502" s="79" t="s">
        <v>7335</v>
      </c>
      <c r="D2502" s="79" t="s">
        <v>7312</v>
      </c>
      <c r="E2502" s="79">
        <v>2670</v>
      </c>
      <c r="G2502" s="79" t="s">
        <v>7313</v>
      </c>
      <c r="H2502" s="80">
        <v>8430454</v>
      </c>
    </row>
    <row r="2503" spans="1:8" x14ac:dyDescent="0.2">
      <c r="A2503" s="79" t="s">
        <v>9607</v>
      </c>
      <c r="B2503" s="79" t="s">
        <v>9626</v>
      </c>
      <c r="C2503" s="79" t="s">
        <v>7335</v>
      </c>
      <c r="D2503" s="79" t="s">
        <v>7312</v>
      </c>
      <c r="E2503" s="79">
        <v>3000</v>
      </c>
      <c r="G2503" s="79" t="s">
        <v>7313</v>
      </c>
      <c r="H2503" s="80">
        <v>9472420</v>
      </c>
    </row>
    <row r="2504" spans="1:8" x14ac:dyDescent="0.2">
      <c r="A2504" s="79" t="s">
        <v>9607</v>
      </c>
      <c r="B2504" s="79" t="s">
        <v>9627</v>
      </c>
      <c r="C2504" s="79" t="s">
        <v>7335</v>
      </c>
      <c r="D2504" s="79" t="s">
        <v>7312</v>
      </c>
      <c r="E2504" s="79">
        <v>3500</v>
      </c>
      <c r="G2504" s="79" t="s">
        <v>7313</v>
      </c>
      <c r="H2504" s="80">
        <v>11972823.49</v>
      </c>
    </row>
    <row r="2505" spans="1:8" x14ac:dyDescent="0.2">
      <c r="A2505" s="79" t="s">
        <v>9607</v>
      </c>
      <c r="B2505" s="79" t="s">
        <v>9628</v>
      </c>
      <c r="C2505" s="79" t="s">
        <v>7335</v>
      </c>
      <c r="D2505" s="79" t="s">
        <v>7312</v>
      </c>
      <c r="E2505" s="79">
        <v>3300</v>
      </c>
      <c r="G2505" s="79" t="s">
        <v>9629</v>
      </c>
      <c r="H2505" s="80">
        <v>11773065.119999999</v>
      </c>
    </row>
    <row r="2506" spans="1:8" x14ac:dyDescent="0.2">
      <c r="A2506" s="79" t="s">
        <v>9607</v>
      </c>
      <c r="B2506" s="79" t="s">
        <v>9630</v>
      </c>
      <c r="C2506" s="79" t="s">
        <v>7335</v>
      </c>
      <c r="D2506" s="79" t="s">
        <v>7312</v>
      </c>
      <c r="E2506" s="79">
        <v>3500</v>
      </c>
      <c r="G2506" s="79" t="s">
        <v>7313</v>
      </c>
      <c r="H2506" s="80">
        <v>12486583.689999999</v>
      </c>
    </row>
    <row r="2507" spans="1:8" x14ac:dyDescent="0.2">
      <c r="A2507" s="79" t="s">
        <v>9631</v>
      </c>
      <c r="B2507" s="79" t="s">
        <v>9632</v>
      </c>
      <c r="C2507" s="79" t="s">
        <v>9330</v>
      </c>
      <c r="D2507" s="79" t="s">
        <v>7312</v>
      </c>
      <c r="E2507" s="79">
        <v>2499</v>
      </c>
      <c r="G2507" s="79" t="s">
        <v>7313</v>
      </c>
      <c r="H2507" s="80">
        <v>2920716</v>
      </c>
    </row>
    <row r="2508" spans="1:8" x14ac:dyDescent="0.2">
      <c r="A2508" s="79" t="s">
        <v>9631</v>
      </c>
      <c r="B2508" s="79" t="s">
        <v>9633</v>
      </c>
      <c r="C2508" s="79" t="s">
        <v>7335</v>
      </c>
      <c r="D2508" s="79" t="s">
        <v>7312</v>
      </c>
      <c r="E2508" s="79">
        <v>1910</v>
      </c>
      <c r="F2508" s="79" t="s">
        <v>7349</v>
      </c>
      <c r="G2508" s="79" t="s">
        <v>7329</v>
      </c>
      <c r="H2508" s="80">
        <v>2686945</v>
      </c>
    </row>
    <row r="2509" spans="1:8" x14ac:dyDescent="0.2">
      <c r="A2509" s="79" t="s">
        <v>9631</v>
      </c>
      <c r="B2509" s="79" t="s">
        <v>9634</v>
      </c>
      <c r="C2509" s="79" t="s">
        <v>7335</v>
      </c>
      <c r="D2509" s="79" t="s">
        <v>7312</v>
      </c>
      <c r="E2509" s="79">
        <v>2000</v>
      </c>
      <c r="H2509" s="80">
        <v>3366296</v>
      </c>
    </row>
    <row r="2510" spans="1:8" x14ac:dyDescent="0.2">
      <c r="A2510" s="79" t="s">
        <v>9631</v>
      </c>
      <c r="B2510" s="79" t="s">
        <v>9635</v>
      </c>
      <c r="C2510" s="79" t="s">
        <v>7335</v>
      </c>
      <c r="D2510" s="79" t="s">
        <v>7312</v>
      </c>
      <c r="E2510" s="79">
        <v>1686</v>
      </c>
      <c r="H2510" s="80">
        <v>2565000</v>
      </c>
    </row>
    <row r="2511" spans="1:8" x14ac:dyDescent="0.2">
      <c r="A2511" s="79" t="s">
        <v>9262</v>
      </c>
      <c r="B2511" s="79" t="s">
        <v>9636</v>
      </c>
      <c r="C2511" s="79" t="s">
        <v>8200</v>
      </c>
      <c r="D2511" s="79" t="s">
        <v>7328</v>
      </c>
      <c r="E2511" s="79">
        <v>2000</v>
      </c>
      <c r="F2511" s="79" t="s">
        <v>7336</v>
      </c>
      <c r="G2511" s="79" t="s">
        <v>7329</v>
      </c>
      <c r="H2511" s="80">
        <v>5900000</v>
      </c>
    </row>
    <row r="2512" spans="1:8" x14ac:dyDescent="0.2">
      <c r="A2512" s="79" t="s">
        <v>9262</v>
      </c>
      <c r="B2512" s="79" t="s">
        <v>9636</v>
      </c>
      <c r="C2512" s="79" t="s">
        <v>8200</v>
      </c>
      <c r="D2512" s="79" t="s">
        <v>7328</v>
      </c>
      <c r="E2512" s="79">
        <v>2000</v>
      </c>
      <c r="F2512" s="79" t="s">
        <v>7336</v>
      </c>
      <c r="G2512" s="79" t="s">
        <v>7313</v>
      </c>
      <c r="H2512" s="80">
        <v>6185000</v>
      </c>
    </row>
    <row r="2513" spans="1:8" x14ac:dyDescent="0.2">
      <c r="A2513" s="79" t="s">
        <v>9262</v>
      </c>
      <c r="B2513" s="79" t="s">
        <v>9637</v>
      </c>
      <c r="C2513" s="79" t="s">
        <v>8200</v>
      </c>
      <c r="D2513" s="79" t="s">
        <v>7328</v>
      </c>
      <c r="E2513" s="79">
        <v>2000</v>
      </c>
      <c r="G2513" s="79" t="s">
        <v>7313</v>
      </c>
      <c r="H2513" s="80">
        <v>6550000</v>
      </c>
    </row>
    <row r="2514" spans="1:8" x14ac:dyDescent="0.2">
      <c r="A2514" s="79" t="s">
        <v>9262</v>
      </c>
      <c r="B2514" s="79" t="s">
        <v>9638</v>
      </c>
      <c r="C2514" s="79" t="s">
        <v>8200</v>
      </c>
      <c r="D2514" s="79" t="s">
        <v>7328</v>
      </c>
      <c r="E2514" s="79">
        <v>2000</v>
      </c>
      <c r="G2514" s="79" t="s">
        <v>7313</v>
      </c>
      <c r="H2514" s="80">
        <v>6990000</v>
      </c>
    </row>
    <row r="2515" spans="1:8" x14ac:dyDescent="0.2">
      <c r="A2515" s="79" t="s">
        <v>9262</v>
      </c>
      <c r="B2515" s="79" t="s">
        <v>9639</v>
      </c>
      <c r="C2515" s="79" t="s">
        <v>7327</v>
      </c>
      <c r="D2515" s="79" t="s">
        <v>7328</v>
      </c>
      <c r="E2515" s="79">
        <v>2000</v>
      </c>
      <c r="G2515" s="79" t="s">
        <v>7329</v>
      </c>
      <c r="H2515" s="80">
        <v>8590000</v>
      </c>
    </row>
    <row r="2516" spans="1:8" x14ac:dyDescent="0.2">
      <c r="A2516" s="79" t="s">
        <v>9262</v>
      </c>
      <c r="B2516" s="79" t="s">
        <v>9640</v>
      </c>
      <c r="C2516" s="79" t="s">
        <v>7311</v>
      </c>
      <c r="D2516" s="79" t="s">
        <v>7312</v>
      </c>
      <c r="E2516" s="79">
        <v>1984</v>
      </c>
      <c r="G2516" s="79" t="s">
        <v>7329</v>
      </c>
      <c r="H2516" s="80">
        <v>3000000</v>
      </c>
    </row>
    <row r="2517" spans="1:8" x14ac:dyDescent="0.2">
      <c r="A2517" s="79" t="s">
        <v>9262</v>
      </c>
      <c r="B2517" s="79" t="s">
        <v>9641</v>
      </c>
      <c r="C2517" s="79" t="s">
        <v>7335</v>
      </c>
      <c r="D2517" s="79" t="s">
        <v>7312</v>
      </c>
      <c r="E2517" s="79">
        <v>1598</v>
      </c>
      <c r="G2517" s="79" t="s">
        <v>7329</v>
      </c>
      <c r="H2517" s="80">
        <v>3150000</v>
      </c>
    </row>
    <row r="2518" spans="1:8" x14ac:dyDescent="0.2">
      <c r="A2518" s="79" t="s">
        <v>9262</v>
      </c>
      <c r="B2518" s="79" t="s">
        <v>9641</v>
      </c>
      <c r="C2518" s="79" t="s">
        <v>7335</v>
      </c>
      <c r="D2518" s="79" t="s">
        <v>7312</v>
      </c>
      <c r="E2518" s="79">
        <v>1598</v>
      </c>
      <c r="G2518" s="79" t="s">
        <v>7329</v>
      </c>
      <c r="H2518" s="80">
        <v>3175000</v>
      </c>
    </row>
    <row r="2519" spans="1:8" x14ac:dyDescent="0.2">
      <c r="A2519" s="79" t="s">
        <v>9262</v>
      </c>
      <c r="B2519" s="79" t="s">
        <v>9642</v>
      </c>
      <c r="C2519" s="79" t="s">
        <v>7327</v>
      </c>
      <c r="D2519" s="79" t="s">
        <v>7312</v>
      </c>
      <c r="E2519" s="79">
        <v>1400</v>
      </c>
      <c r="G2519" s="79" t="s">
        <v>7329</v>
      </c>
      <c r="H2519" s="80">
        <v>1305000</v>
      </c>
    </row>
    <row r="2520" spans="1:8" x14ac:dyDescent="0.2">
      <c r="A2520" s="79" t="s">
        <v>9262</v>
      </c>
      <c r="B2520" s="79" t="s">
        <v>9643</v>
      </c>
      <c r="C2520" s="79" t="s">
        <v>7327</v>
      </c>
      <c r="D2520" s="79" t="s">
        <v>7312</v>
      </c>
      <c r="E2520" s="79">
        <v>1595</v>
      </c>
      <c r="F2520" s="79" t="s">
        <v>7336</v>
      </c>
      <c r="G2520" s="79" t="s">
        <v>7329</v>
      </c>
      <c r="H2520" s="80">
        <v>1900000</v>
      </c>
    </row>
    <row r="2521" spans="1:8" x14ac:dyDescent="0.2">
      <c r="A2521" s="79" t="s">
        <v>9262</v>
      </c>
      <c r="B2521" s="79" t="s">
        <v>9644</v>
      </c>
      <c r="C2521" s="79" t="s">
        <v>7327</v>
      </c>
      <c r="D2521" s="79" t="s">
        <v>7328</v>
      </c>
      <c r="E2521" s="79">
        <v>2000</v>
      </c>
      <c r="F2521" s="79" t="s">
        <v>7336</v>
      </c>
      <c r="G2521" s="79" t="s">
        <v>7329</v>
      </c>
      <c r="H2521" s="80">
        <v>2450000</v>
      </c>
    </row>
    <row r="2522" spans="1:8" x14ac:dyDescent="0.2">
      <c r="A2522" s="79" t="s">
        <v>9262</v>
      </c>
      <c r="B2522" s="79" t="s">
        <v>9645</v>
      </c>
      <c r="C2522" s="79" t="s">
        <v>7327</v>
      </c>
      <c r="D2522" s="79" t="s">
        <v>7328</v>
      </c>
      <c r="E2522" s="79">
        <v>2000</v>
      </c>
      <c r="F2522" s="79" t="s">
        <v>7336</v>
      </c>
      <c r="G2522" s="79" t="s">
        <v>7329</v>
      </c>
      <c r="H2522" s="80">
        <v>2650000</v>
      </c>
    </row>
    <row r="2523" spans="1:8" x14ac:dyDescent="0.2">
      <c r="A2523" s="79" t="s">
        <v>9262</v>
      </c>
      <c r="B2523" s="79" t="s">
        <v>9646</v>
      </c>
      <c r="C2523" s="79" t="s">
        <v>7340</v>
      </c>
      <c r="D2523" s="79" t="s">
        <v>7312</v>
      </c>
      <c r="E2523" s="79">
        <v>1800</v>
      </c>
      <c r="G2523" s="79" t="s">
        <v>7329</v>
      </c>
      <c r="H2523" s="80">
        <v>5175000</v>
      </c>
    </row>
    <row r="2524" spans="1:8" x14ac:dyDescent="0.2">
      <c r="A2524" s="79" t="s">
        <v>9262</v>
      </c>
      <c r="B2524" s="79" t="s">
        <v>9647</v>
      </c>
      <c r="C2524" s="79" t="s">
        <v>7340</v>
      </c>
      <c r="D2524" s="79" t="s">
        <v>7312</v>
      </c>
      <c r="E2524" s="79">
        <v>1423</v>
      </c>
      <c r="G2524" s="79" t="s">
        <v>7329</v>
      </c>
      <c r="H2524" s="80">
        <v>1012500</v>
      </c>
    </row>
    <row r="2525" spans="1:8" x14ac:dyDescent="0.2">
      <c r="A2525" s="79" t="s">
        <v>9262</v>
      </c>
      <c r="B2525" s="79" t="s">
        <v>9648</v>
      </c>
      <c r="C2525" s="79" t="s">
        <v>7340</v>
      </c>
      <c r="D2525" s="79" t="s">
        <v>7312</v>
      </c>
      <c r="E2525" s="79">
        <v>1400</v>
      </c>
      <c r="G2525" s="79" t="s">
        <v>7329</v>
      </c>
      <c r="H2525" s="80">
        <v>1147500</v>
      </c>
    </row>
    <row r="2526" spans="1:8" x14ac:dyDescent="0.2">
      <c r="A2526" s="79" t="s">
        <v>9262</v>
      </c>
      <c r="B2526" s="79" t="s">
        <v>9649</v>
      </c>
      <c r="C2526" s="79" t="s">
        <v>7327</v>
      </c>
      <c r="D2526" s="79" t="s">
        <v>7328</v>
      </c>
      <c r="E2526" s="79">
        <v>2000</v>
      </c>
      <c r="G2526" s="79" t="s">
        <v>7329</v>
      </c>
      <c r="H2526" s="80">
        <v>7300000</v>
      </c>
    </row>
    <row r="2527" spans="1:8" x14ac:dyDescent="0.2">
      <c r="A2527" s="79" t="s">
        <v>9262</v>
      </c>
      <c r="B2527" s="79" t="s">
        <v>9650</v>
      </c>
      <c r="C2527" s="79" t="s">
        <v>7311</v>
      </c>
      <c r="D2527" s="79" t="s">
        <v>7312</v>
      </c>
      <c r="E2527" s="79">
        <v>1595</v>
      </c>
      <c r="F2527" s="79" t="s">
        <v>7336</v>
      </c>
      <c r="G2527" s="79" t="s">
        <v>7329</v>
      </c>
      <c r="H2527" s="80">
        <v>2500000</v>
      </c>
    </row>
    <row r="2528" spans="1:8" x14ac:dyDescent="0.2">
      <c r="A2528" s="79" t="s">
        <v>9262</v>
      </c>
      <c r="B2528" s="79" t="s">
        <v>9650</v>
      </c>
      <c r="C2528" s="79" t="s">
        <v>7340</v>
      </c>
      <c r="D2528" s="79" t="s">
        <v>7312</v>
      </c>
      <c r="E2528" s="79">
        <v>1595</v>
      </c>
      <c r="F2528" s="79" t="s">
        <v>7349</v>
      </c>
      <c r="G2528" s="79" t="s">
        <v>7329</v>
      </c>
      <c r="H2528" s="80">
        <v>2600000</v>
      </c>
    </row>
    <row r="2529" spans="1:8" x14ac:dyDescent="0.2">
      <c r="A2529" s="79" t="s">
        <v>9262</v>
      </c>
      <c r="B2529" s="79" t="s">
        <v>9650</v>
      </c>
      <c r="C2529" s="79" t="s">
        <v>7340</v>
      </c>
      <c r="D2529" s="79" t="s">
        <v>7312</v>
      </c>
      <c r="E2529" s="79">
        <v>2000</v>
      </c>
      <c r="F2529" s="79" t="s">
        <v>7349</v>
      </c>
      <c r="G2529" s="79" t="s">
        <v>7329</v>
      </c>
      <c r="H2529" s="80">
        <v>3260188</v>
      </c>
    </row>
    <row r="2530" spans="1:8" x14ac:dyDescent="0.2">
      <c r="A2530" s="79" t="s">
        <v>9262</v>
      </c>
      <c r="B2530" s="79" t="s">
        <v>9651</v>
      </c>
      <c r="C2530" s="79" t="s">
        <v>7340</v>
      </c>
      <c r="D2530" s="79" t="s">
        <v>7312</v>
      </c>
      <c r="E2530" s="79">
        <v>1600</v>
      </c>
      <c r="F2530" s="79" t="s">
        <v>7336</v>
      </c>
      <c r="G2530" s="79" t="s">
        <v>7329</v>
      </c>
      <c r="H2530" s="80">
        <v>2935000</v>
      </c>
    </row>
    <row r="2531" spans="1:8" x14ac:dyDescent="0.2">
      <c r="A2531" s="79" t="s">
        <v>9262</v>
      </c>
      <c r="B2531" s="79" t="s">
        <v>9651</v>
      </c>
      <c r="C2531" s="79" t="s">
        <v>7340</v>
      </c>
      <c r="D2531" s="79" t="s">
        <v>7312</v>
      </c>
      <c r="E2531" s="79">
        <v>1600</v>
      </c>
      <c r="F2531" s="79" t="s">
        <v>7349</v>
      </c>
      <c r="G2531" s="79" t="s">
        <v>7329</v>
      </c>
      <c r="H2531" s="80">
        <v>3000000</v>
      </c>
    </row>
    <row r="2532" spans="1:8" x14ac:dyDescent="0.2">
      <c r="A2532" s="79" t="s">
        <v>9262</v>
      </c>
      <c r="B2532" s="79" t="s">
        <v>9652</v>
      </c>
      <c r="C2532" s="79" t="s">
        <v>7340</v>
      </c>
      <c r="D2532" s="79" t="s">
        <v>7312</v>
      </c>
      <c r="E2532" s="79">
        <v>2000</v>
      </c>
      <c r="G2532" s="79" t="s">
        <v>7329</v>
      </c>
      <c r="H2532" s="80">
        <v>3750000</v>
      </c>
    </row>
    <row r="2533" spans="1:8" x14ac:dyDescent="0.2">
      <c r="A2533" s="79" t="s">
        <v>9262</v>
      </c>
      <c r="B2533" s="79" t="s">
        <v>9653</v>
      </c>
      <c r="C2533" s="79" t="s">
        <v>7340</v>
      </c>
      <c r="D2533" s="79" t="s">
        <v>7312</v>
      </c>
      <c r="E2533" s="79">
        <v>2000</v>
      </c>
      <c r="G2533" s="79" t="s">
        <v>7329</v>
      </c>
      <c r="H2533" s="80">
        <v>4400000</v>
      </c>
    </row>
    <row r="2534" spans="1:8" x14ac:dyDescent="0.2">
      <c r="A2534" s="79" t="s">
        <v>9262</v>
      </c>
      <c r="B2534" s="79" t="s">
        <v>9654</v>
      </c>
      <c r="C2534" s="79" t="s">
        <v>7340</v>
      </c>
      <c r="D2534" s="79" t="s">
        <v>7312</v>
      </c>
      <c r="E2534" s="79">
        <v>1600</v>
      </c>
      <c r="F2534" s="79" t="s">
        <v>7336</v>
      </c>
      <c r="G2534" s="79" t="s">
        <v>7329</v>
      </c>
      <c r="H2534" s="80">
        <v>3595000</v>
      </c>
    </row>
    <row r="2535" spans="1:8" x14ac:dyDescent="0.2">
      <c r="A2535" s="79" t="s">
        <v>9262</v>
      </c>
      <c r="B2535" s="79" t="s">
        <v>9655</v>
      </c>
      <c r="C2535" s="79" t="s">
        <v>7340</v>
      </c>
      <c r="D2535" s="79" t="s">
        <v>7312</v>
      </c>
      <c r="E2535" s="79">
        <v>1600</v>
      </c>
      <c r="G2535" s="79" t="s">
        <v>7329</v>
      </c>
      <c r="H2535" s="80">
        <v>3795000</v>
      </c>
    </row>
    <row r="2536" spans="1:8" x14ac:dyDescent="0.2">
      <c r="A2536" s="79" t="s">
        <v>9262</v>
      </c>
      <c r="B2536" s="79" t="s">
        <v>9656</v>
      </c>
      <c r="C2536" s="79" t="s">
        <v>7340</v>
      </c>
      <c r="D2536" s="79" t="s">
        <v>7312</v>
      </c>
      <c r="E2536" s="79">
        <v>1800</v>
      </c>
      <c r="G2536" s="79" t="s">
        <v>7329</v>
      </c>
      <c r="H2536" s="80">
        <v>4380000</v>
      </c>
    </row>
    <row r="2537" spans="1:8" x14ac:dyDescent="0.2">
      <c r="A2537" s="79" t="s">
        <v>9262</v>
      </c>
      <c r="B2537" s="79" t="s">
        <v>9657</v>
      </c>
      <c r="C2537" s="79" t="s">
        <v>7311</v>
      </c>
      <c r="D2537" s="79" t="s">
        <v>7312</v>
      </c>
      <c r="E2537" s="79">
        <v>1800</v>
      </c>
      <c r="G2537" s="79" t="s">
        <v>7329</v>
      </c>
      <c r="H2537" s="80">
        <v>4659178</v>
      </c>
    </row>
    <row r="2538" spans="1:8" x14ac:dyDescent="0.2">
      <c r="A2538" s="79" t="s">
        <v>9337</v>
      </c>
      <c r="B2538" s="79" t="s">
        <v>9658</v>
      </c>
      <c r="C2538" s="79" t="s">
        <v>7311</v>
      </c>
      <c r="D2538" s="79" t="s">
        <v>7312</v>
      </c>
      <c r="E2538" s="79">
        <v>2500</v>
      </c>
      <c r="G2538" s="79" t="s">
        <v>7329</v>
      </c>
      <c r="H2538" s="80">
        <v>6009759.0300000003</v>
      </c>
    </row>
    <row r="2539" spans="1:8" x14ac:dyDescent="0.2">
      <c r="A2539" s="79" t="s">
        <v>9337</v>
      </c>
      <c r="B2539" s="79" t="s">
        <v>9659</v>
      </c>
      <c r="C2539" s="79" t="s">
        <v>7311</v>
      </c>
      <c r="D2539" s="79" t="s">
        <v>7312</v>
      </c>
      <c r="E2539" s="79">
        <v>2923</v>
      </c>
      <c r="G2539" s="79" t="s">
        <v>7329</v>
      </c>
      <c r="H2539" s="80">
        <v>7880191.6200000001</v>
      </c>
    </row>
    <row r="2540" spans="1:8" x14ac:dyDescent="0.2">
      <c r="A2540" s="79" t="s">
        <v>9337</v>
      </c>
      <c r="B2540" s="79" t="s">
        <v>9660</v>
      </c>
      <c r="C2540" s="79" t="s">
        <v>7335</v>
      </c>
      <c r="D2540" s="79" t="s">
        <v>7312</v>
      </c>
      <c r="E2540" s="79">
        <v>2000</v>
      </c>
      <c r="G2540" s="79" t="s">
        <v>7329</v>
      </c>
      <c r="H2540" s="80">
        <v>6500000</v>
      </c>
    </row>
    <row r="2541" spans="1:8" x14ac:dyDescent="0.2">
      <c r="A2541" s="79" t="s">
        <v>9337</v>
      </c>
      <c r="B2541" s="79" t="s">
        <v>9661</v>
      </c>
      <c r="C2541" s="79" t="s">
        <v>7335</v>
      </c>
      <c r="D2541" s="79" t="s">
        <v>7312</v>
      </c>
      <c r="E2541" s="79">
        <v>2000</v>
      </c>
      <c r="G2541" s="79" t="s">
        <v>7329</v>
      </c>
      <c r="H2541" s="80">
        <v>6750000</v>
      </c>
    </row>
    <row r="2542" spans="1:8" x14ac:dyDescent="0.2">
      <c r="A2542" s="79" t="s">
        <v>9337</v>
      </c>
      <c r="B2542" s="79" t="s">
        <v>9662</v>
      </c>
      <c r="C2542" s="79" t="s">
        <v>7335</v>
      </c>
      <c r="D2542" s="79" t="s">
        <v>7312</v>
      </c>
      <c r="E2542" s="79">
        <v>2500</v>
      </c>
      <c r="F2542" s="79" t="s">
        <v>7349</v>
      </c>
      <c r="G2542" s="79" t="s">
        <v>7329</v>
      </c>
      <c r="H2542" s="80">
        <v>7012690</v>
      </c>
    </row>
    <row r="2543" spans="1:8" x14ac:dyDescent="0.2">
      <c r="A2543" s="79" t="s">
        <v>9337</v>
      </c>
      <c r="B2543" s="79" t="s">
        <v>9663</v>
      </c>
      <c r="C2543" s="79" t="s">
        <v>7335</v>
      </c>
      <c r="D2543" s="79" t="s">
        <v>7312</v>
      </c>
      <c r="E2543" s="79">
        <v>3000</v>
      </c>
      <c r="G2543" s="79" t="s">
        <v>7329</v>
      </c>
      <c r="H2543" s="80">
        <v>9000000</v>
      </c>
    </row>
    <row r="2544" spans="1:8" x14ac:dyDescent="0.2">
      <c r="A2544" s="79" t="s">
        <v>9337</v>
      </c>
      <c r="B2544" s="79" t="s">
        <v>9664</v>
      </c>
      <c r="C2544" s="79" t="s">
        <v>7335</v>
      </c>
      <c r="D2544" s="79" t="s">
        <v>7312</v>
      </c>
      <c r="E2544" s="79">
        <v>2000</v>
      </c>
      <c r="F2544" s="79" t="s">
        <v>7336</v>
      </c>
      <c r="G2544" s="79" t="s">
        <v>7329</v>
      </c>
      <c r="H2544" s="80">
        <v>6000000</v>
      </c>
    </row>
    <row r="2545" spans="1:8" x14ac:dyDescent="0.2">
      <c r="A2545" s="79" t="s">
        <v>9337</v>
      </c>
      <c r="B2545" s="79" t="s">
        <v>9665</v>
      </c>
      <c r="C2545" s="79" t="s">
        <v>7335</v>
      </c>
      <c r="D2545" s="79" t="s">
        <v>7312</v>
      </c>
      <c r="E2545" s="79">
        <v>1600</v>
      </c>
      <c r="F2545" s="79" t="s">
        <v>7336</v>
      </c>
      <c r="G2545" s="79" t="s">
        <v>7329</v>
      </c>
      <c r="H2545" s="80">
        <v>5100000</v>
      </c>
    </row>
    <row r="2546" spans="1:8" x14ac:dyDescent="0.2">
      <c r="A2546" s="79" t="s">
        <v>9337</v>
      </c>
      <c r="B2546" s="79" t="s">
        <v>9666</v>
      </c>
      <c r="C2546" s="79" t="s">
        <v>7335</v>
      </c>
      <c r="D2546" s="79" t="s">
        <v>7312</v>
      </c>
      <c r="E2546" s="79">
        <v>1600</v>
      </c>
      <c r="F2546" s="79" t="s">
        <v>7336</v>
      </c>
      <c r="G2546" s="79" t="s">
        <v>7329</v>
      </c>
      <c r="H2546" s="80">
        <v>4800000</v>
      </c>
    </row>
    <row r="2547" spans="1:8" x14ac:dyDescent="0.2">
      <c r="A2547" s="79" t="s">
        <v>9337</v>
      </c>
      <c r="B2547" s="79" t="s">
        <v>9667</v>
      </c>
      <c r="C2547" s="79" t="s">
        <v>7335</v>
      </c>
      <c r="D2547" s="79" t="s">
        <v>7328</v>
      </c>
      <c r="E2547" s="79">
        <v>2400</v>
      </c>
      <c r="G2547" s="79" t="s">
        <v>7329</v>
      </c>
      <c r="H2547" s="80">
        <v>6300000</v>
      </c>
    </row>
    <row r="2548" spans="1:8" x14ac:dyDescent="0.2">
      <c r="A2548" s="79" t="s">
        <v>9337</v>
      </c>
      <c r="B2548" s="79" t="s">
        <v>9668</v>
      </c>
      <c r="C2548" s="79" t="s">
        <v>7335</v>
      </c>
      <c r="D2548" s="79" t="s">
        <v>7328</v>
      </c>
      <c r="E2548" s="79">
        <v>1984</v>
      </c>
      <c r="F2548" s="79" t="s">
        <v>7336</v>
      </c>
      <c r="G2548" s="79" t="s">
        <v>7329</v>
      </c>
      <c r="H2548" s="80">
        <v>5208000</v>
      </c>
    </row>
    <row r="2549" spans="1:8" x14ac:dyDescent="0.2">
      <c r="A2549" s="79" t="s">
        <v>9337</v>
      </c>
      <c r="B2549" s="79" t="s">
        <v>9669</v>
      </c>
      <c r="C2549" s="79" t="s">
        <v>7335</v>
      </c>
      <c r="D2549" s="79" t="s">
        <v>7312</v>
      </c>
      <c r="E2549" s="79">
        <v>2500</v>
      </c>
      <c r="G2549" s="79" t="s">
        <v>7329</v>
      </c>
      <c r="H2549" s="80">
        <v>7500000</v>
      </c>
    </row>
    <row r="2550" spans="1:8" x14ac:dyDescent="0.2">
      <c r="A2550" s="79" t="s">
        <v>9337</v>
      </c>
      <c r="B2550" s="79" t="s">
        <v>9670</v>
      </c>
      <c r="C2550" s="79" t="s">
        <v>7335</v>
      </c>
      <c r="D2550" s="79" t="s">
        <v>7312</v>
      </c>
      <c r="E2550" s="79">
        <v>1600</v>
      </c>
      <c r="G2550" s="79" t="s">
        <v>7329</v>
      </c>
      <c r="H2550" s="80">
        <v>4553555.42</v>
      </c>
    </row>
    <row r="2551" spans="1:8" x14ac:dyDescent="0.2">
      <c r="A2551" s="79" t="s">
        <v>9337</v>
      </c>
      <c r="B2551" s="79" t="s">
        <v>9671</v>
      </c>
      <c r="C2551" s="79" t="s">
        <v>7335</v>
      </c>
      <c r="D2551" s="79" t="s">
        <v>7312</v>
      </c>
      <c r="E2551" s="79">
        <v>2000</v>
      </c>
      <c r="G2551" s="79" t="s">
        <v>7329</v>
      </c>
      <c r="H2551" s="80">
        <v>5219066.74</v>
      </c>
    </row>
    <row r="2552" spans="1:8" x14ac:dyDescent="0.2">
      <c r="A2552" s="79" t="s">
        <v>9337</v>
      </c>
      <c r="B2552" s="79" t="s">
        <v>9672</v>
      </c>
      <c r="C2552" s="79" t="s">
        <v>7335</v>
      </c>
      <c r="D2552" s="79" t="s">
        <v>7328</v>
      </c>
      <c r="E2552" s="79">
        <v>1984</v>
      </c>
      <c r="G2552" s="79" t="s">
        <v>7329</v>
      </c>
      <c r="H2552" s="80">
        <v>4827068.32</v>
      </c>
    </row>
    <row r="2553" spans="1:8" x14ac:dyDescent="0.2">
      <c r="A2553" s="79" t="s">
        <v>9337</v>
      </c>
      <c r="B2553" s="79" t="s">
        <v>9673</v>
      </c>
      <c r="C2553" s="79" t="s">
        <v>7335</v>
      </c>
      <c r="D2553" s="79" t="s">
        <v>7312</v>
      </c>
      <c r="E2553" s="79">
        <v>3000</v>
      </c>
      <c r="G2553" s="79" t="s">
        <v>7329</v>
      </c>
      <c r="H2553" s="80">
        <v>6531125.6100000003</v>
      </c>
    </row>
    <row r="2554" spans="1:8" x14ac:dyDescent="0.2">
      <c r="A2554" s="79" t="s">
        <v>9337</v>
      </c>
      <c r="B2554" s="79" t="s">
        <v>9674</v>
      </c>
      <c r="C2554" s="79" t="s">
        <v>7335</v>
      </c>
      <c r="D2554" s="79" t="s">
        <v>7312</v>
      </c>
      <c r="E2554" s="79">
        <v>2000</v>
      </c>
      <c r="F2554" s="79" t="s">
        <v>7336</v>
      </c>
      <c r="G2554" s="79" t="s">
        <v>7329</v>
      </c>
      <c r="H2554" s="80">
        <v>5358043.21</v>
      </c>
    </row>
    <row r="2555" spans="1:8" x14ac:dyDescent="0.2">
      <c r="A2555" s="79" t="s">
        <v>9337</v>
      </c>
      <c r="B2555" s="79" t="s">
        <v>9675</v>
      </c>
      <c r="C2555" s="79" t="s">
        <v>7335</v>
      </c>
      <c r="D2555" s="79" t="s">
        <v>7312</v>
      </c>
      <c r="E2555" s="79">
        <v>2000</v>
      </c>
      <c r="G2555" s="79" t="s">
        <v>7329</v>
      </c>
      <c r="H2555" s="80">
        <v>5584748.5199999996</v>
      </c>
    </row>
    <row r="2556" spans="1:8" x14ac:dyDescent="0.2">
      <c r="A2556" s="79" t="s">
        <v>9337</v>
      </c>
      <c r="B2556" s="79" t="s">
        <v>9676</v>
      </c>
      <c r="C2556" s="79" t="s">
        <v>7335</v>
      </c>
      <c r="D2556" s="79" t="s">
        <v>7328</v>
      </c>
      <c r="E2556" s="79">
        <v>2400</v>
      </c>
      <c r="G2556" s="79" t="s">
        <v>7329</v>
      </c>
      <c r="H2556" s="80">
        <v>5792459.7400000002</v>
      </c>
    </row>
    <row r="2557" spans="1:8" x14ac:dyDescent="0.2">
      <c r="A2557" s="79" t="s">
        <v>9337</v>
      </c>
      <c r="B2557" s="79" t="s">
        <v>9677</v>
      </c>
      <c r="C2557" s="79" t="s">
        <v>7311</v>
      </c>
      <c r="D2557" s="79" t="s">
        <v>7312</v>
      </c>
      <c r="E2557" s="79">
        <v>1948</v>
      </c>
      <c r="F2557" s="79" t="s">
        <v>7336</v>
      </c>
      <c r="G2557" s="79" t="s">
        <v>7329</v>
      </c>
      <c r="H2557" s="80">
        <v>4587464</v>
      </c>
    </row>
    <row r="2558" spans="1:8" x14ac:dyDescent="0.2">
      <c r="A2558" s="79" t="s">
        <v>9337</v>
      </c>
      <c r="B2558" s="79" t="s">
        <v>9678</v>
      </c>
      <c r="C2558" s="79" t="s">
        <v>7335</v>
      </c>
      <c r="D2558" s="79" t="s">
        <v>7312</v>
      </c>
      <c r="E2558" s="79">
        <v>1948</v>
      </c>
      <c r="F2558" s="79" t="s">
        <v>7349</v>
      </c>
      <c r="G2558" s="79" t="s">
        <v>7329</v>
      </c>
      <c r="H2558" s="80">
        <v>4728534</v>
      </c>
    </row>
    <row r="2559" spans="1:8" x14ac:dyDescent="0.2">
      <c r="A2559" s="79" t="s">
        <v>9337</v>
      </c>
      <c r="B2559" s="79" t="s">
        <v>9677</v>
      </c>
      <c r="C2559" s="79" t="s">
        <v>7335</v>
      </c>
      <c r="D2559" s="79" t="s">
        <v>7312</v>
      </c>
      <c r="E2559" s="79">
        <v>2521</v>
      </c>
      <c r="F2559" s="79" t="s">
        <v>7336</v>
      </c>
      <c r="G2559" s="79" t="s">
        <v>7329</v>
      </c>
      <c r="H2559" s="80">
        <v>5889180</v>
      </c>
    </row>
    <row r="2560" spans="1:8" x14ac:dyDescent="0.2">
      <c r="A2560" s="79" t="s">
        <v>9337</v>
      </c>
      <c r="B2560" s="79" t="s">
        <v>9679</v>
      </c>
      <c r="C2560" s="79" t="s">
        <v>7335</v>
      </c>
      <c r="D2560" s="79" t="s">
        <v>7312</v>
      </c>
      <c r="E2560" s="79">
        <v>2521</v>
      </c>
      <c r="G2560" s="79" t="s">
        <v>7329</v>
      </c>
      <c r="H2560" s="80">
        <v>6020027</v>
      </c>
    </row>
    <row r="2561" spans="1:8" x14ac:dyDescent="0.2">
      <c r="A2561" s="79" t="s">
        <v>9337</v>
      </c>
      <c r="B2561" s="79" t="s">
        <v>9680</v>
      </c>
      <c r="C2561" s="79" t="s">
        <v>7335</v>
      </c>
      <c r="D2561" s="79" t="s">
        <v>7312</v>
      </c>
      <c r="E2561" s="79">
        <v>2319</v>
      </c>
      <c r="F2561" s="79" t="s">
        <v>7336</v>
      </c>
      <c r="G2561" s="79" t="s">
        <v>7329</v>
      </c>
      <c r="H2561" s="80">
        <v>6459754</v>
      </c>
    </row>
    <row r="2562" spans="1:8" x14ac:dyDescent="0.2">
      <c r="A2562" s="79" t="s">
        <v>9337</v>
      </c>
      <c r="B2562" s="79" t="s">
        <v>9679</v>
      </c>
      <c r="C2562" s="79" t="s">
        <v>7311</v>
      </c>
      <c r="D2562" s="79" t="s">
        <v>7312</v>
      </c>
      <c r="E2562" s="79">
        <v>2319</v>
      </c>
      <c r="G2562" s="79" t="s">
        <v>7329</v>
      </c>
      <c r="H2562" s="80">
        <v>6609933</v>
      </c>
    </row>
    <row r="2563" spans="1:8" x14ac:dyDescent="0.2">
      <c r="A2563" s="79" t="s">
        <v>9337</v>
      </c>
      <c r="B2563" s="79" t="s">
        <v>9681</v>
      </c>
      <c r="C2563" s="79" t="s">
        <v>7335</v>
      </c>
      <c r="D2563" s="79" t="s">
        <v>7312</v>
      </c>
      <c r="E2563" s="79">
        <v>2000</v>
      </c>
      <c r="G2563" s="79" t="s">
        <v>7313</v>
      </c>
      <c r="H2563" s="80">
        <v>13200000</v>
      </c>
    </row>
    <row r="2564" spans="1:8" x14ac:dyDescent="0.2">
      <c r="A2564" s="79" t="s">
        <v>9337</v>
      </c>
      <c r="B2564" s="79" t="s">
        <v>9682</v>
      </c>
      <c r="C2564" s="79" t="s">
        <v>7335</v>
      </c>
      <c r="D2564" s="79" t="s">
        <v>7312</v>
      </c>
      <c r="E2564" s="79">
        <v>2000</v>
      </c>
      <c r="G2564" s="79" t="s">
        <v>7313</v>
      </c>
      <c r="H2564" s="80">
        <v>14200000</v>
      </c>
    </row>
    <row r="2565" spans="1:8" x14ac:dyDescent="0.2">
      <c r="A2565" s="79" t="s">
        <v>9337</v>
      </c>
      <c r="B2565" s="79" t="s">
        <v>9683</v>
      </c>
      <c r="C2565" s="79" t="s">
        <v>7335</v>
      </c>
      <c r="D2565" s="79" t="s">
        <v>7328</v>
      </c>
      <c r="E2565" s="79">
        <v>2000</v>
      </c>
      <c r="G2565" s="79" t="s">
        <v>7313</v>
      </c>
      <c r="H2565" s="80">
        <v>10299000</v>
      </c>
    </row>
    <row r="2566" spans="1:8" x14ac:dyDescent="0.2">
      <c r="A2566" s="79" t="s">
        <v>9337</v>
      </c>
      <c r="B2566" s="79" t="s">
        <v>9684</v>
      </c>
      <c r="C2566" s="79" t="s">
        <v>7335</v>
      </c>
      <c r="D2566" s="79" t="s">
        <v>7312</v>
      </c>
      <c r="E2566" s="79">
        <v>2000</v>
      </c>
      <c r="G2566" s="79" t="s">
        <v>7313</v>
      </c>
      <c r="H2566" s="80">
        <v>14000000</v>
      </c>
    </row>
    <row r="2567" spans="1:8" x14ac:dyDescent="0.2">
      <c r="A2567" s="79" t="s">
        <v>9337</v>
      </c>
      <c r="B2567" s="79" t="s">
        <v>9685</v>
      </c>
      <c r="C2567" s="79" t="s">
        <v>7335</v>
      </c>
      <c r="D2567" s="79" t="s">
        <v>7312</v>
      </c>
      <c r="E2567" s="79">
        <v>2000</v>
      </c>
      <c r="G2567" s="79" t="s">
        <v>7313</v>
      </c>
      <c r="H2567" s="80">
        <v>15000000</v>
      </c>
    </row>
    <row r="2568" spans="1:8" x14ac:dyDescent="0.2">
      <c r="A2568" s="79" t="s">
        <v>9337</v>
      </c>
      <c r="B2568" s="79" t="s">
        <v>9686</v>
      </c>
      <c r="C2568" s="79" t="s">
        <v>7335</v>
      </c>
      <c r="D2568" s="79" t="s">
        <v>7312</v>
      </c>
      <c r="E2568" s="79">
        <v>2000</v>
      </c>
      <c r="G2568" s="79" t="s">
        <v>7313</v>
      </c>
      <c r="H2568" s="80">
        <v>14800000</v>
      </c>
    </row>
    <row r="2569" spans="1:8" x14ac:dyDescent="0.2">
      <c r="A2569" s="79" t="s">
        <v>9337</v>
      </c>
      <c r="B2569" s="79" t="s">
        <v>9687</v>
      </c>
      <c r="C2569" s="79" t="s">
        <v>7335</v>
      </c>
      <c r="D2569" s="79" t="s">
        <v>7312</v>
      </c>
      <c r="E2569" s="79">
        <v>2000</v>
      </c>
      <c r="G2569" s="79" t="s">
        <v>7313</v>
      </c>
      <c r="H2569" s="80">
        <v>15800000</v>
      </c>
    </row>
    <row r="2570" spans="1:8" x14ac:dyDescent="0.2">
      <c r="A2570" s="79" t="s">
        <v>9337</v>
      </c>
      <c r="B2570" s="79" t="s">
        <v>9688</v>
      </c>
      <c r="C2570" s="79" t="s">
        <v>7335</v>
      </c>
      <c r="D2570" s="79" t="s">
        <v>7312</v>
      </c>
      <c r="E2570" s="79">
        <v>2000</v>
      </c>
      <c r="G2570" s="79" t="s">
        <v>7313</v>
      </c>
      <c r="H2570" s="80">
        <v>9200000</v>
      </c>
    </row>
    <row r="2571" spans="1:8" x14ac:dyDescent="0.2">
      <c r="A2571" s="79" t="s">
        <v>9337</v>
      </c>
      <c r="B2571" s="79" t="s">
        <v>9689</v>
      </c>
      <c r="C2571" s="79" t="s">
        <v>7335</v>
      </c>
      <c r="D2571" s="79" t="s">
        <v>7312</v>
      </c>
      <c r="E2571" s="79">
        <v>2000</v>
      </c>
      <c r="G2571" s="79" t="s">
        <v>7313</v>
      </c>
      <c r="H2571" s="80">
        <v>9700000</v>
      </c>
    </row>
    <row r="2572" spans="1:8" x14ac:dyDescent="0.2">
      <c r="A2572" s="79" t="s">
        <v>9337</v>
      </c>
      <c r="B2572" s="79" t="s">
        <v>9690</v>
      </c>
      <c r="C2572" s="79" t="s">
        <v>7335</v>
      </c>
      <c r="D2572" s="79" t="s">
        <v>7312</v>
      </c>
      <c r="E2572" s="79">
        <v>2000</v>
      </c>
      <c r="G2572" s="79" t="s">
        <v>7313</v>
      </c>
      <c r="H2572" s="80">
        <v>10100000</v>
      </c>
    </row>
    <row r="2573" spans="1:8" x14ac:dyDescent="0.2">
      <c r="A2573" s="79" t="s">
        <v>9337</v>
      </c>
      <c r="B2573" s="79" t="s">
        <v>9691</v>
      </c>
      <c r="C2573" s="79" t="s">
        <v>7335</v>
      </c>
      <c r="D2573" s="79" t="s">
        <v>7312</v>
      </c>
      <c r="E2573" s="79">
        <v>2400</v>
      </c>
      <c r="G2573" s="79" t="s">
        <v>7329</v>
      </c>
      <c r="H2573" s="80">
        <v>5800459.9100000001</v>
      </c>
    </row>
    <row r="2574" spans="1:8" x14ac:dyDescent="0.2">
      <c r="A2574" s="79" t="s">
        <v>9337</v>
      </c>
      <c r="B2574" s="79" t="s">
        <v>9692</v>
      </c>
      <c r="C2574" s="79" t="s">
        <v>7335</v>
      </c>
      <c r="D2574" s="79" t="s">
        <v>7328</v>
      </c>
      <c r="E2574" s="79">
        <v>2000</v>
      </c>
      <c r="F2574" s="79" t="s">
        <v>7336</v>
      </c>
      <c r="G2574" s="79" t="s">
        <v>7329</v>
      </c>
      <c r="H2574" s="80">
        <v>5681256.3099999996</v>
      </c>
    </row>
    <row r="2575" spans="1:8" x14ac:dyDescent="0.2">
      <c r="A2575" s="79" t="s">
        <v>9337</v>
      </c>
      <c r="B2575" s="79" t="s">
        <v>9693</v>
      </c>
      <c r="C2575" s="79" t="s">
        <v>7335</v>
      </c>
      <c r="D2575" s="79" t="s">
        <v>7328</v>
      </c>
      <c r="E2575" s="79">
        <v>2000</v>
      </c>
      <c r="G2575" s="79" t="s">
        <v>7313</v>
      </c>
      <c r="H2575" s="80">
        <v>5860769.6900000004</v>
      </c>
    </row>
    <row r="2576" spans="1:8" x14ac:dyDescent="0.2">
      <c r="A2576" s="79" t="s">
        <v>9337</v>
      </c>
      <c r="B2576" s="79" t="s">
        <v>9694</v>
      </c>
      <c r="C2576" s="79" t="s">
        <v>7335</v>
      </c>
      <c r="D2576" s="79" t="s">
        <v>7328</v>
      </c>
      <c r="E2576" s="79">
        <v>2400</v>
      </c>
      <c r="G2576" s="79" t="s">
        <v>7313</v>
      </c>
      <c r="H2576" s="80">
        <v>6657813.5800000001</v>
      </c>
    </row>
    <row r="2577" spans="1:8" x14ac:dyDescent="0.2">
      <c r="A2577" s="79" t="s">
        <v>9337</v>
      </c>
      <c r="B2577" s="79" t="s">
        <v>9695</v>
      </c>
      <c r="C2577" s="79" t="s">
        <v>7335</v>
      </c>
      <c r="D2577" s="79" t="s">
        <v>7312</v>
      </c>
      <c r="E2577" s="79">
        <v>3000</v>
      </c>
      <c r="G2577" s="79" t="s">
        <v>7313</v>
      </c>
      <c r="H2577" s="80">
        <v>7163331.5300000003</v>
      </c>
    </row>
    <row r="2578" spans="1:8" x14ac:dyDescent="0.2">
      <c r="A2578" s="79" t="s">
        <v>9337</v>
      </c>
      <c r="B2578" s="79" t="s">
        <v>9696</v>
      </c>
      <c r="C2578" s="79" t="s">
        <v>7335</v>
      </c>
      <c r="D2578" s="79" t="s">
        <v>7328</v>
      </c>
      <c r="E2578" s="79">
        <v>2400</v>
      </c>
      <c r="G2578" s="79" t="s">
        <v>7313</v>
      </c>
      <c r="H2578" s="80">
        <v>7199226.1100000003</v>
      </c>
    </row>
    <row r="2579" spans="1:8" x14ac:dyDescent="0.2">
      <c r="A2579" s="79" t="s">
        <v>9337</v>
      </c>
      <c r="B2579" s="79" t="s">
        <v>9697</v>
      </c>
      <c r="C2579" s="79" t="s">
        <v>7335</v>
      </c>
      <c r="D2579" s="79" t="s">
        <v>7312</v>
      </c>
      <c r="E2579" s="79">
        <v>3000</v>
      </c>
      <c r="G2579" s="79" t="s">
        <v>7313</v>
      </c>
      <c r="H2579" s="80">
        <v>7704744.0599999996</v>
      </c>
    </row>
    <row r="2580" spans="1:8" x14ac:dyDescent="0.2">
      <c r="A2580" s="79" t="s">
        <v>9337</v>
      </c>
      <c r="B2580" s="79" t="s">
        <v>9698</v>
      </c>
      <c r="C2580" s="79" t="s">
        <v>7335</v>
      </c>
      <c r="D2580" s="79" t="s">
        <v>7328</v>
      </c>
      <c r="E2580" s="79">
        <v>2400</v>
      </c>
      <c r="G2580" s="79" t="s">
        <v>7313</v>
      </c>
      <c r="H2580" s="80">
        <v>6424180.1799999997</v>
      </c>
    </row>
    <row r="2581" spans="1:8" x14ac:dyDescent="0.2">
      <c r="A2581" s="79" t="s">
        <v>9337</v>
      </c>
      <c r="B2581" s="79" t="s">
        <v>9699</v>
      </c>
      <c r="C2581" s="79" t="s">
        <v>7335</v>
      </c>
      <c r="D2581" s="79" t="s">
        <v>7328</v>
      </c>
      <c r="E2581" s="79">
        <v>2400</v>
      </c>
      <c r="G2581" s="79" t="s">
        <v>7313</v>
      </c>
      <c r="H2581" s="80">
        <v>6618065.5599999996</v>
      </c>
    </row>
    <row r="2582" spans="1:8" x14ac:dyDescent="0.2">
      <c r="A2582" s="79" t="s">
        <v>9337</v>
      </c>
      <c r="B2582" s="79" t="s">
        <v>9700</v>
      </c>
      <c r="C2582" s="79" t="s">
        <v>7335</v>
      </c>
      <c r="D2582" s="79" t="s">
        <v>7312</v>
      </c>
      <c r="E2582" s="79">
        <v>2521</v>
      </c>
      <c r="G2582" s="79" t="s">
        <v>7313</v>
      </c>
      <c r="H2582" s="80">
        <v>6527990</v>
      </c>
    </row>
    <row r="2583" spans="1:8" x14ac:dyDescent="0.2">
      <c r="A2583" s="79" t="s">
        <v>9337</v>
      </c>
      <c r="B2583" s="79" t="s">
        <v>9701</v>
      </c>
      <c r="C2583" s="79" t="s">
        <v>7335</v>
      </c>
      <c r="D2583" s="79" t="s">
        <v>7328</v>
      </c>
      <c r="E2583" s="79">
        <v>2400</v>
      </c>
      <c r="G2583" s="79" t="s">
        <v>7313</v>
      </c>
      <c r="H2583" s="80">
        <v>6832860</v>
      </c>
    </row>
    <row r="2584" spans="1:8" x14ac:dyDescent="0.2">
      <c r="A2584" s="79" t="s">
        <v>9337</v>
      </c>
      <c r="B2584" s="79" t="s">
        <v>9702</v>
      </c>
      <c r="C2584" s="79" t="s">
        <v>7335</v>
      </c>
      <c r="D2584" s="79" t="s">
        <v>7328</v>
      </c>
      <c r="E2584" s="79">
        <v>2400</v>
      </c>
      <c r="G2584" s="79" t="s">
        <v>7313</v>
      </c>
      <c r="H2584" s="80">
        <v>7794880</v>
      </c>
    </row>
    <row r="2585" spans="1:8" x14ac:dyDescent="0.2">
      <c r="A2585" s="79" t="s">
        <v>9337</v>
      </c>
      <c r="B2585" s="79" t="s">
        <v>9703</v>
      </c>
      <c r="C2585" s="79" t="s">
        <v>7335</v>
      </c>
      <c r="D2585" s="79" t="s">
        <v>7328</v>
      </c>
      <c r="E2585" s="79">
        <v>2521</v>
      </c>
      <c r="G2585" s="79" t="s">
        <v>7313</v>
      </c>
      <c r="H2585" s="80">
        <v>6993340</v>
      </c>
    </row>
    <row r="2586" spans="1:8" x14ac:dyDescent="0.2">
      <c r="A2586" s="79" t="s">
        <v>9337</v>
      </c>
      <c r="B2586" s="79" t="s">
        <v>9704</v>
      </c>
      <c r="C2586" s="79" t="s">
        <v>7335</v>
      </c>
      <c r="D2586" s="79" t="s">
        <v>7328</v>
      </c>
      <c r="E2586" s="79">
        <v>2400</v>
      </c>
      <c r="G2586" s="79" t="s">
        <v>7313</v>
      </c>
      <c r="H2586" s="80">
        <v>7298220</v>
      </c>
    </row>
    <row r="2587" spans="1:8" x14ac:dyDescent="0.2">
      <c r="A2587" s="79" t="s">
        <v>9337</v>
      </c>
      <c r="B2587" s="79" t="s">
        <v>9705</v>
      </c>
      <c r="C2587" s="79" t="s">
        <v>7335</v>
      </c>
      <c r="D2587" s="79" t="s">
        <v>7312</v>
      </c>
      <c r="E2587" s="79">
        <v>2521</v>
      </c>
      <c r="G2587" s="79" t="s">
        <v>7313</v>
      </c>
      <c r="H2587" s="80">
        <v>7208800</v>
      </c>
    </row>
    <row r="2588" spans="1:8" x14ac:dyDescent="0.2">
      <c r="A2588" s="79" t="s">
        <v>9337</v>
      </c>
      <c r="B2588" s="79" t="s">
        <v>9706</v>
      </c>
      <c r="C2588" s="79" t="s">
        <v>7335</v>
      </c>
      <c r="D2588" s="79" t="s">
        <v>7328</v>
      </c>
      <c r="E2588" s="79">
        <v>2400</v>
      </c>
      <c r="G2588" s="79" t="s">
        <v>7313</v>
      </c>
      <c r="H2588" s="80">
        <v>7513680</v>
      </c>
    </row>
    <row r="2589" spans="1:8" x14ac:dyDescent="0.2">
      <c r="A2589" s="79" t="s">
        <v>9337</v>
      </c>
      <c r="B2589" s="79" t="s">
        <v>9705</v>
      </c>
      <c r="C2589" s="79" t="s">
        <v>7335</v>
      </c>
      <c r="D2589" s="79" t="s">
        <v>7312</v>
      </c>
      <c r="E2589" s="79">
        <v>3200</v>
      </c>
      <c r="G2589" s="79" t="s">
        <v>7313</v>
      </c>
      <c r="H2589" s="80">
        <v>10000000</v>
      </c>
    </row>
    <row r="2590" spans="1:8" x14ac:dyDescent="0.2">
      <c r="A2590" s="79" t="s">
        <v>9337</v>
      </c>
      <c r="B2590" s="79" t="s">
        <v>9707</v>
      </c>
      <c r="C2590" s="79" t="s">
        <v>7438</v>
      </c>
      <c r="D2590" s="79" t="s">
        <v>7328</v>
      </c>
      <c r="E2590" s="79">
        <v>12000</v>
      </c>
      <c r="H2590" s="80">
        <v>9240774</v>
      </c>
    </row>
    <row r="2591" spans="1:8" x14ac:dyDescent="0.2">
      <c r="A2591" s="79" t="s">
        <v>9337</v>
      </c>
      <c r="B2591" s="79" t="s">
        <v>9708</v>
      </c>
      <c r="C2591" s="79" t="s">
        <v>7438</v>
      </c>
      <c r="D2591" s="79" t="s">
        <v>7328</v>
      </c>
      <c r="E2591" s="79">
        <v>11000</v>
      </c>
      <c r="H2591" s="80">
        <v>7830420</v>
      </c>
    </row>
    <row r="2592" spans="1:8" x14ac:dyDescent="0.2">
      <c r="A2592" s="79" t="s">
        <v>9337</v>
      </c>
      <c r="B2592" s="79" t="s">
        <v>9709</v>
      </c>
      <c r="C2592" s="79" t="s">
        <v>7438</v>
      </c>
      <c r="D2592" s="79" t="s">
        <v>7328</v>
      </c>
      <c r="E2592" s="79">
        <v>11000</v>
      </c>
      <c r="H2592" s="80">
        <v>7830420</v>
      </c>
    </row>
    <row r="2593" spans="1:8" x14ac:dyDescent="0.2">
      <c r="A2593" s="79" t="s">
        <v>9337</v>
      </c>
      <c r="B2593" s="79" t="s">
        <v>9710</v>
      </c>
      <c r="C2593" s="79" t="s">
        <v>7438</v>
      </c>
      <c r="D2593" s="79" t="s">
        <v>9080</v>
      </c>
      <c r="E2593" s="79">
        <v>12800</v>
      </c>
      <c r="G2593" s="79" t="s">
        <v>8278</v>
      </c>
      <c r="H2593" s="80">
        <v>11069744</v>
      </c>
    </row>
    <row r="2594" spans="1:8" x14ac:dyDescent="0.2">
      <c r="A2594" s="79" t="s">
        <v>9337</v>
      </c>
      <c r="B2594" s="79" t="s">
        <v>9711</v>
      </c>
      <c r="C2594" s="79" t="s">
        <v>7438</v>
      </c>
      <c r="D2594" s="79" t="s">
        <v>9080</v>
      </c>
      <c r="E2594" s="79">
        <v>12800</v>
      </c>
      <c r="G2594" s="79" t="s">
        <v>8278</v>
      </c>
      <c r="H2594" s="80">
        <v>12964860</v>
      </c>
    </row>
    <row r="2595" spans="1:8" x14ac:dyDescent="0.2">
      <c r="A2595" s="79" t="s">
        <v>9337</v>
      </c>
      <c r="B2595" s="79" t="s">
        <v>9712</v>
      </c>
      <c r="C2595" s="79" t="s">
        <v>7438</v>
      </c>
      <c r="D2595" s="79" t="s">
        <v>9080</v>
      </c>
      <c r="E2595" s="79">
        <v>12800</v>
      </c>
      <c r="G2595" s="79" t="s">
        <v>8278</v>
      </c>
      <c r="H2595" s="80">
        <v>10610586</v>
      </c>
    </row>
    <row r="2596" spans="1:8" x14ac:dyDescent="0.2">
      <c r="A2596" s="79" t="s">
        <v>9337</v>
      </c>
      <c r="B2596" s="79" t="s">
        <v>9713</v>
      </c>
      <c r="C2596" s="79" t="s">
        <v>7438</v>
      </c>
      <c r="D2596" s="79" t="s">
        <v>9080</v>
      </c>
      <c r="E2596" s="79">
        <v>12800</v>
      </c>
      <c r="G2596" s="79" t="s">
        <v>8278</v>
      </c>
      <c r="H2596" s="80">
        <v>10886883</v>
      </c>
    </row>
    <row r="2597" spans="1:8" x14ac:dyDescent="0.2">
      <c r="A2597" s="79" t="s">
        <v>9337</v>
      </c>
      <c r="B2597" s="79" t="s">
        <v>9714</v>
      </c>
      <c r="C2597" s="79" t="s">
        <v>7438</v>
      </c>
      <c r="D2597" s="79" t="s">
        <v>9080</v>
      </c>
      <c r="E2597" s="79">
        <v>12800</v>
      </c>
      <c r="G2597" s="79" t="s">
        <v>7329</v>
      </c>
      <c r="H2597" s="80">
        <v>9503626</v>
      </c>
    </row>
    <row r="2598" spans="1:8" x14ac:dyDescent="0.2">
      <c r="A2598" s="79" t="s">
        <v>9337</v>
      </c>
      <c r="B2598" s="79" t="s">
        <v>9715</v>
      </c>
      <c r="C2598" s="79" t="s">
        <v>7438</v>
      </c>
      <c r="D2598" s="79" t="s">
        <v>9080</v>
      </c>
      <c r="E2598" s="79">
        <v>12800</v>
      </c>
      <c r="G2598" s="79" t="s">
        <v>8278</v>
      </c>
      <c r="H2598" s="80">
        <v>10622265</v>
      </c>
    </row>
    <row r="2599" spans="1:8" x14ac:dyDescent="0.2">
      <c r="A2599" s="79" t="s">
        <v>9337</v>
      </c>
      <c r="B2599" s="79" t="s">
        <v>9716</v>
      </c>
      <c r="C2599" s="79" t="s">
        <v>7438</v>
      </c>
      <c r="D2599" s="79" t="s">
        <v>9080</v>
      </c>
      <c r="E2599" s="79">
        <v>12800</v>
      </c>
      <c r="G2599" s="79" t="s">
        <v>8278</v>
      </c>
      <c r="H2599" s="80">
        <v>11056413</v>
      </c>
    </row>
    <row r="2600" spans="1:8" x14ac:dyDescent="0.2">
      <c r="A2600" s="79" t="s">
        <v>9337</v>
      </c>
      <c r="B2600" s="79" t="s">
        <v>9717</v>
      </c>
      <c r="C2600" s="79" t="s">
        <v>7438</v>
      </c>
      <c r="D2600" s="79" t="s">
        <v>9080</v>
      </c>
      <c r="E2600" s="79">
        <v>12800</v>
      </c>
      <c r="G2600" s="79" t="s">
        <v>8278</v>
      </c>
      <c r="H2600" s="80">
        <v>10281671</v>
      </c>
    </row>
    <row r="2601" spans="1:8" x14ac:dyDescent="0.2">
      <c r="A2601" s="79" t="s">
        <v>9337</v>
      </c>
      <c r="B2601" s="79" t="s">
        <v>9717</v>
      </c>
      <c r="C2601" s="79" t="s">
        <v>7438</v>
      </c>
      <c r="D2601" s="79" t="s">
        <v>9080</v>
      </c>
      <c r="E2601" s="79">
        <v>12800</v>
      </c>
      <c r="G2601" s="79" t="s">
        <v>8278</v>
      </c>
      <c r="H2601" s="80">
        <v>10308216</v>
      </c>
    </row>
    <row r="2602" spans="1:8" x14ac:dyDescent="0.2">
      <c r="A2602" s="79" t="s">
        <v>9337</v>
      </c>
      <c r="B2602" s="79" t="s">
        <v>9718</v>
      </c>
      <c r="C2602" s="79" t="s">
        <v>7438</v>
      </c>
      <c r="D2602" s="79" t="s">
        <v>9080</v>
      </c>
      <c r="E2602" s="79" t="s">
        <v>9719</v>
      </c>
      <c r="G2602" s="79" t="s">
        <v>8017</v>
      </c>
      <c r="H2602" s="80">
        <v>10281303</v>
      </c>
    </row>
    <row r="2603" spans="1:8" x14ac:dyDescent="0.2">
      <c r="A2603" s="79" t="s">
        <v>9337</v>
      </c>
      <c r="B2603" s="79" t="s">
        <v>9720</v>
      </c>
      <c r="C2603" s="79" t="s">
        <v>7438</v>
      </c>
      <c r="D2603" s="79" t="s">
        <v>9080</v>
      </c>
      <c r="E2603" s="79" t="s">
        <v>9719</v>
      </c>
      <c r="G2603" s="79" t="s">
        <v>7329</v>
      </c>
      <c r="H2603" s="80">
        <v>9422788</v>
      </c>
    </row>
    <row r="2604" spans="1:8" x14ac:dyDescent="0.2">
      <c r="A2604" s="79" t="s">
        <v>9337</v>
      </c>
      <c r="B2604" s="79" t="s">
        <v>9721</v>
      </c>
      <c r="C2604" s="79" t="s">
        <v>7438</v>
      </c>
      <c r="D2604" s="79" t="s">
        <v>9080</v>
      </c>
      <c r="E2604" s="79" t="s">
        <v>9722</v>
      </c>
      <c r="G2604" s="79" t="s">
        <v>8278</v>
      </c>
      <c r="H2604" s="80">
        <v>11975000</v>
      </c>
    </row>
    <row r="2605" spans="1:8" x14ac:dyDescent="0.2">
      <c r="A2605" s="79" t="s">
        <v>9723</v>
      </c>
      <c r="B2605" s="79" t="s">
        <v>9724</v>
      </c>
      <c r="C2605" s="79" t="s">
        <v>7370</v>
      </c>
      <c r="D2605" s="79" t="s">
        <v>7328</v>
      </c>
      <c r="E2605" s="79">
        <v>5400</v>
      </c>
      <c r="F2605" s="79" t="s">
        <v>7738</v>
      </c>
      <c r="G2605" s="79" t="s">
        <v>7313</v>
      </c>
      <c r="H2605" s="80">
        <v>3887088</v>
      </c>
    </row>
    <row r="2606" spans="1:8" x14ac:dyDescent="0.2">
      <c r="A2606" s="79" t="s">
        <v>9723</v>
      </c>
      <c r="B2606" s="79" t="s">
        <v>9724</v>
      </c>
      <c r="C2606" s="79" t="s">
        <v>7370</v>
      </c>
      <c r="D2606" s="79" t="s">
        <v>7328</v>
      </c>
      <c r="E2606" s="79">
        <v>4520</v>
      </c>
      <c r="F2606" s="79" t="s">
        <v>7738</v>
      </c>
      <c r="G2606" s="79" t="s">
        <v>7313</v>
      </c>
      <c r="H2606" s="80">
        <v>3253637</v>
      </c>
    </row>
    <row r="2607" spans="1:8" x14ac:dyDescent="0.2">
      <c r="A2607" s="79" t="s">
        <v>7436</v>
      </c>
      <c r="B2607" s="79" t="s">
        <v>9725</v>
      </c>
      <c r="C2607" s="79" t="s">
        <v>9726</v>
      </c>
      <c r="D2607" s="79" t="s">
        <v>7328</v>
      </c>
      <c r="E2607" s="79">
        <v>8500</v>
      </c>
      <c r="F2607" s="79" t="s">
        <v>7738</v>
      </c>
      <c r="G2607" s="79" t="s">
        <v>9727</v>
      </c>
      <c r="H2607" s="80">
        <v>7534158</v>
      </c>
    </row>
    <row r="2608" spans="1:8" x14ac:dyDescent="0.2">
      <c r="A2608" s="79" t="s">
        <v>7365</v>
      </c>
      <c r="B2608" s="79" t="s">
        <v>9728</v>
      </c>
      <c r="C2608" s="79" t="s">
        <v>7335</v>
      </c>
      <c r="D2608" s="79" t="s">
        <v>7312</v>
      </c>
      <c r="E2608" s="79">
        <v>2000</v>
      </c>
      <c r="F2608" s="79" t="s">
        <v>7738</v>
      </c>
      <c r="G2608" s="79" t="s">
        <v>7313</v>
      </c>
      <c r="H2608" s="80">
        <v>4466500</v>
      </c>
    </row>
    <row r="2609" spans="1:8" x14ac:dyDescent="0.2">
      <c r="A2609" s="79" t="s">
        <v>7368</v>
      </c>
      <c r="B2609" s="79" t="s">
        <v>9729</v>
      </c>
      <c r="C2609" s="79" t="s">
        <v>7374</v>
      </c>
      <c r="D2609" s="79" t="s">
        <v>7328</v>
      </c>
      <c r="E2609" s="79" t="s">
        <v>9730</v>
      </c>
      <c r="F2609" s="79" t="s">
        <v>7738</v>
      </c>
      <c r="G2609" s="79" t="s">
        <v>7376</v>
      </c>
      <c r="H2609" s="80">
        <v>9399000</v>
      </c>
    </row>
    <row r="2610" spans="1:8" x14ac:dyDescent="0.2">
      <c r="A2610" s="79" t="s">
        <v>7368</v>
      </c>
      <c r="B2610" s="79" t="s">
        <v>9731</v>
      </c>
      <c r="C2610" s="79" t="s">
        <v>7379</v>
      </c>
      <c r="D2610" s="79" t="s">
        <v>7328</v>
      </c>
      <c r="E2610" s="79">
        <v>3300</v>
      </c>
      <c r="F2610" s="79" t="s">
        <v>7738</v>
      </c>
      <c r="G2610" s="79" t="s">
        <v>7329</v>
      </c>
      <c r="H2610" s="80">
        <v>2025000</v>
      </c>
    </row>
    <row r="2611" spans="1:8" x14ac:dyDescent="0.2">
      <c r="A2611" s="79" t="s">
        <v>7391</v>
      </c>
      <c r="B2611" s="79" t="s">
        <v>9732</v>
      </c>
      <c r="C2611" s="79" t="s">
        <v>7370</v>
      </c>
      <c r="D2611" s="79" t="s">
        <v>7328</v>
      </c>
      <c r="E2611" s="79">
        <v>7700</v>
      </c>
      <c r="F2611" s="79" t="s">
        <v>7738</v>
      </c>
      <c r="G2611" s="79" t="s">
        <v>7876</v>
      </c>
      <c r="H2611" s="80">
        <v>8426814</v>
      </c>
    </row>
    <row r="2612" spans="1:8" x14ac:dyDescent="0.2">
      <c r="A2612" s="79" t="s">
        <v>7391</v>
      </c>
      <c r="B2612" s="79" t="s">
        <v>9733</v>
      </c>
      <c r="C2612" s="79" t="s">
        <v>7370</v>
      </c>
      <c r="D2612" s="79" t="s">
        <v>7328</v>
      </c>
      <c r="E2612" s="79">
        <v>8600</v>
      </c>
      <c r="F2612" s="79" t="s">
        <v>7738</v>
      </c>
      <c r="G2612" s="79" t="s">
        <v>7376</v>
      </c>
      <c r="H2612" s="80">
        <v>5300344</v>
      </c>
    </row>
    <row r="2613" spans="1:8" x14ac:dyDescent="0.2">
      <c r="A2613" s="79" t="s">
        <v>7391</v>
      </c>
      <c r="B2613" s="79" t="s">
        <v>9734</v>
      </c>
      <c r="C2613" s="79" t="s">
        <v>7370</v>
      </c>
      <c r="D2613" s="79" t="s">
        <v>7328</v>
      </c>
      <c r="E2613" s="79">
        <v>8600</v>
      </c>
      <c r="F2613" s="79" t="s">
        <v>7738</v>
      </c>
      <c r="G2613" s="79" t="s">
        <v>7876</v>
      </c>
      <c r="H2613" s="80">
        <v>10295723</v>
      </c>
    </row>
    <row r="2614" spans="1:8" x14ac:dyDescent="0.2">
      <c r="A2614" s="79" t="s">
        <v>7391</v>
      </c>
      <c r="B2614" s="79" t="s">
        <v>9735</v>
      </c>
      <c r="C2614" s="79" t="s">
        <v>7370</v>
      </c>
      <c r="D2614" s="79" t="s">
        <v>7328</v>
      </c>
      <c r="E2614" s="79">
        <v>7100</v>
      </c>
      <c r="F2614" s="79" t="s">
        <v>7738</v>
      </c>
      <c r="G2614" s="79" t="s">
        <v>7329</v>
      </c>
      <c r="H2614" s="80">
        <v>4274471</v>
      </c>
    </row>
    <row r="2615" spans="1:8" x14ac:dyDescent="0.2">
      <c r="A2615" s="79" t="s">
        <v>7391</v>
      </c>
      <c r="B2615" s="79" t="s">
        <v>9736</v>
      </c>
      <c r="C2615" s="79" t="s">
        <v>7327</v>
      </c>
      <c r="D2615" s="79" t="s">
        <v>7312</v>
      </c>
      <c r="E2615" s="79">
        <v>1100</v>
      </c>
      <c r="F2615" s="79" t="s">
        <v>7738</v>
      </c>
      <c r="G2615" s="79" t="s">
        <v>7329</v>
      </c>
      <c r="H2615" s="80">
        <v>900000</v>
      </c>
    </row>
    <row r="2616" spans="1:8" x14ac:dyDescent="0.2">
      <c r="A2616" s="79" t="s">
        <v>7391</v>
      </c>
      <c r="B2616" s="79" t="s">
        <v>9737</v>
      </c>
      <c r="C2616" s="79" t="s">
        <v>8095</v>
      </c>
      <c r="D2616" s="79" t="s">
        <v>7312</v>
      </c>
      <c r="E2616" s="79">
        <v>970</v>
      </c>
      <c r="F2616" s="79" t="s">
        <v>7738</v>
      </c>
      <c r="G2616" s="79" t="s">
        <v>7329</v>
      </c>
      <c r="H2616" s="80">
        <v>700000</v>
      </c>
    </row>
    <row r="2617" spans="1:8" x14ac:dyDescent="0.2">
      <c r="A2617" s="79" t="s">
        <v>7391</v>
      </c>
      <c r="B2617" s="79" t="s">
        <v>9738</v>
      </c>
      <c r="C2617" s="79" t="s">
        <v>8095</v>
      </c>
      <c r="D2617" s="79" t="s">
        <v>7312</v>
      </c>
      <c r="E2617" s="79">
        <v>1997</v>
      </c>
      <c r="F2617" s="79" t="s">
        <v>7738</v>
      </c>
      <c r="G2617" s="79" t="s">
        <v>7329</v>
      </c>
      <c r="H2617" s="80">
        <v>2119350</v>
      </c>
    </row>
    <row r="2618" spans="1:8" x14ac:dyDescent="0.2">
      <c r="A2618" s="79" t="s">
        <v>7391</v>
      </c>
      <c r="B2618" s="79" t="s">
        <v>9738</v>
      </c>
      <c r="C2618" s="79" t="s">
        <v>7614</v>
      </c>
      <c r="D2618" s="79" t="s">
        <v>7312</v>
      </c>
      <c r="E2618" s="79">
        <v>2237</v>
      </c>
      <c r="F2618" s="79" t="s">
        <v>7738</v>
      </c>
      <c r="G2618" s="79" t="s">
        <v>7329</v>
      </c>
      <c r="H2618" s="80">
        <v>2457650</v>
      </c>
    </row>
    <row r="2619" spans="1:8" x14ac:dyDescent="0.2">
      <c r="A2619" s="79" t="s">
        <v>7391</v>
      </c>
      <c r="B2619" s="79" t="s">
        <v>9739</v>
      </c>
      <c r="C2619" s="79" t="s">
        <v>7614</v>
      </c>
      <c r="D2619" s="79" t="s">
        <v>7312</v>
      </c>
      <c r="E2619" s="79">
        <v>2237</v>
      </c>
      <c r="F2619" s="79" t="s">
        <v>7738</v>
      </c>
      <c r="G2619" s="79" t="s">
        <v>7313</v>
      </c>
      <c r="H2619" s="80">
        <v>3303000</v>
      </c>
    </row>
    <row r="2620" spans="1:8" x14ac:dyDescent="0.2">
      <c r="A2620" s="79" t="s">
        <v>7391</v>
      </c>
      <c r="B2620" s="79" t="s">
        <v>9740</v>
      </c>
      <c r="C2620" s="79" t="s">
        <v>7374</v>
      </c>
      <c r="D2620" s="79" t="s">
        <v>7328</v>
      </c>
      <c r="E2620" s="79">
        <v>8000</v>
      </c>
      <c r="F2620" s="79" t="s">
        <v>7738</v>
      </c>
      <c r="G2620" s="79" t="s">
        <v>7376</v>
      </c>
      <c r="H2620" s="80">
        <v>5800000</v>
      </c>
    </row>
    <row r="2621" spans="1:8" x14ac:dyDescent="0.2">
      <c r="A2621" s="79" t="s">
        <v>7391</v>
      </c>
      <c r="B2621" s="79" t="s">
        <v>9741</v>
      </c>
      <c r="C2621" s="79" t="s">
        <v>7374</v>
      </c>
      <c r="D2621" s="79" t="s">
        <v>7328</v>
      </c>
      <c r="E2621" s="79">
        <v>9726</v>
      </c>
      <c r="F2621" s="79" t="s">
        <v>7738</v>
      </c>
      <c r="G2621" s="79" t="s">
        <v>7376</v>
      </c>
      <c r="H2621" s="80">
        <v>6200000</v>
      </c>
    </row>
    <row r="2622" spans="1:8" x14ac:dyDescent="0.2">
      <c r="A2622" s="79" t="s">
        <v>7391</v>
      </c>
      <c r="B2622" s="79" t="s">
        <v>9742</v>
      </c>
      <c r="C2622" s="79" t="s">
        <v>7374</v>
      </c>
      <c r="D2622" s="79" t="s">
        <v>7328</v>
      </c>
      <c r="E2622" s="79">
        <v>6557</v>
      </c>
      <c r="F2622" s="79" t="s">
        <v>7738</v>
      </c>
      <c r="G2622" s="79" t="s">
        <v>7376</v>
      </c>
      <c r="H2622" s="80">
        <v>5200000</v>
      </c>
    </row>
    <row r="2623" spans="1:8" x14ac:dyDescent="0.2">
      <c r="A2623" s="79" t="s">
        <v>7391</v>
      </c>
      <c r="B2623" s="79" t="s">
        <v>9743</v>
      </c>
      <c r="C2623" s="79" t="s">
        <v>7370</v>
      </c>
      <c r="D2623" s="79" t="s">
        <v>7328</v>
      </c>
      <c r="E2623" s="79">
        <v>3168</v>
      </c>
      <c r="F2623" s="79" t="s">
        <v>7738</v>
      </c>
      <c r="G2623" s="79" t="s">
        <v>7376</v>
      </c>
      <c r="H2623" s="80">
        <v>1400000</v>
      </c>
    </row>
    <row r="2624" spans="1:8" x14ac:dyDescent="0.2">
      <c r="A2624" s="79" t="s">
        <v>7391</v>
      </c>
      <c r="B2624" s="79" t="s">
        <v>9744</v>
      </c>
      <c r="C2624" s="79" t="s">
        <v>7379</v>
      </c>
      <c r="D2624" s="79" t="s">
        <v>7328</v>
      </c>
      <c r="E2624" s="79">
        <v>6842</v>
      </c>
      <c r="F2624" s="79" t="s">
        <v>7738</v>
      </c>
      <c r="G2624" s="79" t="s">
        <v>7329</v>
      </c>
      <c r="H2624" s="80">
        <v>7636094</v>
      </c>
    </row>
    <row r="2625" spans="1:8" x14ac:dyDescent="0.2">
      <c r="A2625" s="79" t="s">
        <v>7391</v>
      </c>
      <c r="B2625" s="79" t="s">
        <v>9745</v>
      </c>
      <c r="C2625" s="79" t="s">
        <v>7370</v>
      </c>
      <c r="D2625" s="79" t="s">
        <v>7328</v>
      </c>
      <c r="E2625" s="79" t="s">
        <v>7758</v>
      </c>
      <c r="F2625" s="79" t="s">
        <v>7738</v>
      </c>
      <c r="G2625" s="79" t="s">
        <v>7876</v>
      </c>
      <c r="H2625" s="80">
        <v>8839762</v>
      </c>
    </row>
    <row r="2626" spans="1:8" x14ac:dyDescent="0.2">
      <c r="A2626" s="79" t="s">
        <v>7391</v>
      </c>
      <c r="B2626" s="79" t="s">
        <v>9742</v>
      </c>
      <c r="C2626" s="79" t="s">
        <v>7374</v>
      </c>
      <c r="D2626" s="79" t="s">
        <v>7328</v>
      </c>
      <c r="E2626" s="79" t="s">
        <v>9730</v>
      </c>
      <c r="F2626" s="79" t="s">
        <v>7738</v>
      </c>
      <c r="G2626" s="79" t="s">
        <v>7376</v>
      </c>
      <c r="H2626" s="80">
        <v>7695793</v>
      </c>
    </row>
    <row r="2627" spans="1:8" x14ac:dyDescent="0.2">
      <c r="A2627" s="79" t="s">
        <v>7391</v>
      </c>
      <c r="B2627" s="79" t="s">
        <v>9746</v>
      </c>
      <c r="C2627" s="79" t="s">
        <v>7374</v>
      </c>
      <c r="D2627" s="79" t="s">
        <v>7328</v>
      </c>
      <c r="E2627" s="79" t="s">
        <v>8187</v>
      </c>
      <c r="F2627" s="79" t="s">
        <v>7738</v>
      </c>
      <c r="G2627" s="79" t="s">
        <v>7329</v>
      </c>
      <c r="H2627" s="80">
        <v>4367882</v>
      </c>
    </row>
    <row r="2628" spans="1:8" x14ac:dyDescent="0.2">
      <c r="A2628" s="79" t="s">
        <v>7391</v>
      </c>
      <c r="B2628" s="79" t="s">
        <v>9747</v>
      </c>
      <c r="C2628" s="79" t="s">
        <v>7374</v>
      </c>
      <c r="D2628" s="79" t="s">
        <v>7328</v>
      </c>
      <c r="E2628" s="79" t="s">
        <v>9748</v>
      </c>
      <c r="F2628" s="79" t="s">
        <v>7738</v>
      </c>
      <c r="G2628" s="79" t="s">
        <v>7329</v>
      </c>
      <c r="H2628" s="80">
        <v>5875842</v>
      </c>
    </row>
    <row r="2629" spans="1:8" x14ac:dyDescent="0.2">
      <c r="A2629" s="79" t="s">
        <v>7391</v>
      </c>
      <c r="B2629" s="79" t="s">
        <v>9741</v>
      </c>
      <c r="C2629" s="79" t="s">
        <v>7374</v>
      </c>
      <c r="D2629" s="79" t="s">
        <v>7328</v>
      </c>
      <c r="E2629" s="79" t="s">
        <v>9749</v>
      </c>
      <c r="F2629" s="79" t="s">
        <v>7738</v>
      </c>
      <c r="G2629" s="79" t="s">
        <v>7376</v>
      </c>
      <c r="H2629" s="80">
        <v>8943759</v>
      </c>
    </row>
    <row r="2630" spans="1:8" x14ac:dyDescent="0.2">
      <c r="A2630" s="79" t="s">
        <v>7826</v>
      </c>
      <c r="B2630" s="79" t="s">
        <v>9750</v>
      </c>
      <c r="C2630" s="79" t="s">
        <v>7379</v>
      </c>
      <c r="D2630" s="79" t="s">
        <v>7328</v>
      </c>
      <c r="E2630" s="79" t="s">
        <v>9751</v>
      </c>
      <c r="F2630" s="79" t="s">
        <v>7738</v>
      </c>
      <c r="G2630" s="79" t="s">
        <v>7329</v>
      </c>
      <c r="H2630" s="80">
        <v>6670400</v>
      </c>
    </row>
    <row r="2631" spans="1:8" x14ac:dyDescent="0.2">
      <c r="A2631" s="79" t="s">
        <v>7826</v>
      </c>
      <c r="B2631" s="79" t="s">
        <v>9752</v>
      </c>
      <c r="C2631" s="79" t="s">
        <v>7379</v>
      </c>
      <c r="D2631" s="79" t="s">
        <v>7328</v>
      </c>
      <c r="E2631" s="79" t="s">
        <v>9753</v>
      </c>
      <c r="F2631" s="79" t="s">
        <v>7738</v>
      </c>
      <c r="G2631" s="79" t="s">
        <v>7329</v>
      </c>
      <c r="H2631" s="80">
        <v>8360000</v>
      </c>
    </row>
    <row r="2632" spans="1:8" x14ac:dyDescent="0.2">
      <c r="A2632" s="79" t="s">
        <v>7826</v>
      </c>
      <c r="B2632" s="79" t="s">
        <v>9754</v>
      </c>
      <c r="C2632" s="79" t="s">
        <v>7379</v>
      </c>
      <c r="D2632" s="79" t="s">
        <v>7328</v>
      </c>
      <c r="E2632" s="79" t="s">
        <v>9753</v>
      </c>
      <c r="F2632" s="79" t="s">
        <v>7738</v>
      </c>
      <c r="G2632" s="79" t="s">
        <v>7329</v>
      </c>
      <c r="H2632" s="80">
        <v>8870400</v>
      </c>
    </row>
    <row r="2633" spans="1:8" x14ac:dyDescent="0.2">
      <c r="A2633" s="79" t="s">
        <v>7855</v>
      </c>
      <c r="B2633" s="79" t="s">
        <v>9755</v>
      </c>
      <c r="C2633" s="79" t="s">
        <v>7379</v>
      </c>
      <c r="D2633" s="79" t="s">
        <v>7328</v>
      </c>
      <c r="E2633" s="79">
        <v>4009</v>
      </c>
      <c r="F2633" s="79" t="s">
        <v>7738</v>
      </c>
      <c r="G2633" s="79" t="s">
        <v>7329</v>
      </c>
      <c r="H2633" s="80">
        <v>5126787</v>
      </c>
    </row>
    <row r="2634" spans="1:8" x14ac:dyDescent="0.2">
      <c r="A2634" s="79" t="s">
        <v>7855</v>
      </c>
      <c r="B2634" s="79" t="s">
        <v>9756</v>
      </c>
      <c r="C2634" s="79" t="s">
        <v>7379</v>
      </c>
      <c r="D2634" s="79" t="s">
        <v>7328</v>
      </c>
      <c r="E2634" s="79">
        <v>4009</v>
      </c>
      <c r="F2634" s="79" t="s">
        <v>7738</v>
      </c>
      <c r="G2634" s="79" t="s">
        <v>7329</v>
      </c>
      <c r="H2634" s="80">
        <v>6243272</v>
      </c>
    </row>
    <row r="2635" spans="1:8" x14ac:dyDescent="0.2">
      <c r="A2635" s="79" t="s">
        <v>7855</v>
      </c>
      <c r="B2635" s="79" t="s">
        <v>9757</v>
      </c>
      <c r="C2635" s="79" t="s">
        <v>7379</v>
      </c>
      <c r="D2635" s="79" t="s">
        <v>7328</v>
      </c>
      <c r="E2635" s="79">
        <v>4009</v>
      </c>
      <c r="F2635" s="79" t="s">
        <v>7738</v>
      </c>
      <c r="G2635" s="79" t="s">
        <v>7329</v>
      </c>
      <c r="H2635" s="80">
        <v>6243272</v>
      </c>
    </row>
    <row r="2636" spans="1:8" x14ac:dyDescent="0.2">
      <c r="A2636" s="79" t="s">
        <v>7855</v>
      </c>
      <c r="B2636" s="79" t="s">
        <v>9758</v>
      </c>
      <c r="C2636" s="79" t="s">
        <v>7370</v>
      </c>
      <c r="D2636" s="79" t="s">
        <v>7328</v>
      </c>
      <c r="E2636" s="79">
        <v>6634</v>
      </c>
      <c r="F2636" s="79" t="s">
        <v>7738</v>
      </c>
      <c r="G2636" s="79" t="s">
        <v>7329</v>
      </c>
      <c r="H2636" s="80">
        <v>4698000</v>
      </c>
    </row>
    <row r="2637" spans="1:8" x14ac:dyDescent="0.2">
      <c r="A2637" s="79" t="s">
        <v>7855</v>
      </c>
      <c r="B2637" s="79" t="s">
        <v>9759</v>
      </c>
      <c r="C2637" s="79" t="s">
        <v>7370</v>
      </c>
      <c r="D2637" s="79" t="s">
        <v>7328</v>
      </c>
      <c r="E2637" s="79">
        <v>6634</v>
      </c>
      <c r="F2637" s="79" t="s">
        <v>7738</v>
      </c>
      <c r="G2637" s="79" t="s">
        <v>7329</v>
      </c>
      <c r="H2637" s="80">
        <v>4990000</v>
      </c>
    </row>
    <row r="2638" spans="1:8" x14ac:dyDescent="0.2">
      <c r="A2638" s="79" t="s">
        <v>7855</v>
      </c>
      <c r="B2638" s="79" t="s">
        <v>9760</v>
      </c>
      <c r="C2638" s="79" t="s">
        <v>7370</v>
      </c>
      <c r="D2638" s="79" t="s">
        <v>7328</v>
      </c>
      <c r="E2638" s="79">
        <v>7962</v>
      </c>
      <c r="F2638" s="79" t="s">
        <v>7738</v>
      </c>
      <c r="G2638" s="79" t="s">
        <v>7329</v>
      </c>
      <c r="H2638" s="80">
        <v>10500000</v>
      </c>
    </row>
    <row r="2639" spans="1:8" x14ac:dyDescent="0.2">
      <c r="A2639" s="79" t="s">
        <v>7855</v>
      </c>
      <c r="B2639" s="79" t="s">
        <v>9761</v>
      </c>
      <c r="C2639" s="79" t="s">
        <v>7379</v>
      </c>
      <c r="D2639" s="79" t="s">
        <v>7328</v>
      </c>
      <c r="E2639" s="79">
        <v>4006</v>
      </c>
      <c r="F2639" s="79" t="s">
        <v>7738</v>
      </c>
      <c r="G2639" s="79" t="s">
        <v>7329</v>
      </c>
      <c r="H2639" s="80">
        <v>4600000</v>
      </c>
    </row>
    <row r="2640" spans="1:8" x14ac:dyDescent="0.2">
      <c r="A2640" s="79" t="s">
        <v>7855</v>
      </c>
      <c r="B2640" s="79" t="s">
        <v>9758</v>
      </c>
      <c r="C2640" s="79" t="s">
        <v>7370</v>
      </c>
      <c r="D2640" s="79" t="s">
        <v>7328</v>
      </c>
      <c r="E2640" s="79">
        <v>6634</v>
      </c>
      <c r="F2640" s="79" t="s">
        <v>7738</v>
      </c>
      <c r="G2640" s="79" t="s">
        <v>7329</v>
      </c>
      <c r="H2640" s="80">
        <v>4698000</v>
      </c>
    </row>
    <row r="2641" spans="1:8" x14ac:dyDescent="0.2">
      <c r="A2641" s="79" t="s">
        <v>7855</v>
      </c>
      <c r="B2641" s="79" t="s">
        <v>9759</v>
      </c>
      <c r="C2641" s="79" t="s">
        <v>7370</v>
      </c>
      <c r="D2641" s="79" t="s">
        <v>7328</v>
      </c>
      <c r="E2641" s="79">
        <v>6634</v>
      </c>
      <c r="F2641" s="79" t="s">
        <v>7738</v>
      </c>
      <c r="G2641" s="79" t="s">
        <v>7329</v>
      </c>
      <c r="H2641" s="80">
        <v>4990000</v>
      </c>
    </row>
    <row r="2642" spans="1:8" x14ac:dyDescent="0.2">
      <c r="A2642" s="79" t="s">
        <v>7855</v>
      </c>
      <c r="B2642" s="79" t="s">
        <v>9760</v>
      </c>
      <c r="C2642" s="79" t="s">
        <v>7370</v>
      </c>
      <c r="D2642" s="79" t="s">
        <v>7328</v>
      </c>
      <c r="E2642" s="79">
        <v>7962</v>
      </c>
      <c r="F2642" s="79" t="s">
        <v>7738</v>
      </c>
      <c r="G2642" s="79" t="s">
        <v>7329</v>
      </c>
      <c r="H2642" s="80">
        <v>10500000</v>
      </c>
    </row>
    <row r="2643" spans="1:8" x14ac:dyDescent="0.2">
      <c r="A2643" s="79" t="s">
        <v>7855</v>
      </c>
      <c r="B2643" s="79" t="s">
        <v>9761</v>
      </c>
      <c r="C2643" s="79" t="s">
        <v>7379</v>
      </c>
      <c r="D2643" s="79" t="s">
        <v>7328</v>
      </c>
      <c r="E2643" s="79">
        <v>4006</v>
      </c>
      <c r="F2643" s="79" t="s">
        <v>7738</v>
      </c>
      <c r="G2643" s="79" t="s">
        <v>7329</v>
      </c>
      <c r="H2643" s="80">
        <v>4600000</v>
      </c>
    </row>
    <row r="2644" spans="1:8" x14ac:dyDescent="0.2">
      <c r="A2644" s="79" t="s">
        <v>8272</v>
      </c>
      <c r="B2644" s="79" t="s">
        <v>9762</v>
      </c>
      <c r="C2644" s="79" t="s">
        <v>7379</v>
      </c>
      <c r="D2644" s="79" t="s">
        <v>7328</v>
      </c>
      <c r="E2644" s="79">
        <v>6900</v>
      </c>
      <c r="F2644" s="79" t="s">
        <v>7738</v>
      </c>
      <c r="G2644" s="79" t="s">
        <v>7329</v>
      </c>
      <c r="H2644" s="80">
        <v>9415000</v>
      </c>
    </row>
    <row r="2645" spans="1:8" x14ac:dyDescent="0.2">
      <c r="A2645" s="79" t="s">
        <v>8272</v>
      </c>
      <c r="B2645" s="79" t="s">
        <v>9763</v>
      </c>
      <c r="C2645" s="79" t="s">
        <v>7379</v>
      </c>
      <c r="D2645" s="79" t="s">
        <v>7328</v>
      </c>
      <c r="E2645" s="79">
        <v>6900</v>
      </c>
      <c r="F2645" s="79" t="s">
        <v>7738</v>
      </c>
      <c r="G2645" s="79" t="s">
        <v>7329</v>
      </c>
      <c r="H2645" s="80">
        <v>10846000</v>
      </c>
    </row>
    <row r="2646" spans="1:8" x14ac:dyDescent="0.2">
      <c r="A2646" s="79" t="s">
        <v>8272</v>
      </c>
      <c r="B2646" s="79" t="s">
        <v>9764</v>
      </c>
      <c r="C2646" s="79" t="s">
        <v>7379</v>
      </c>
      <c r="D2646" s="79" t="s">
        <v>7328</v>
      </c>
      <c r="E2646" s="79">
        <v>6900</v>
      </c>
      <c r="F2646" s="79" t="s">
        <v>7738</v>
      </c>
      <c r="G2646" s="79" t="s">
        <v>7329</v>
      </c>
      <c r="H2646" s="80">
        <v>8410000</v>
      </c>
    </row>
    <row r="2647" spans="1:8" x14ac:dyDescent="0.2">
      <c r="A2647" s="79" t="s">
        <v>8504</v>
      </c>
      <c r="B2647" s="79" t="s">
        <v>8531</v>
      </c>
      <c r="C2647" s="79" t="s">
        <v>7370</v>
      </c>
      <c r="D2647" s="79" t="s">
        <v>7328</v>
      </c>
      <c r="E2647" s="79">
        <v>6925</v>
      </c>
      <c r="F2647" s="79" t="s">
        <v>7738</v>
      </c>
      <c r="G2647" s="79" t="s">
        <v>7329</v>
      </c>
      <c r="H2647" s="80">
        <v>7192000</v>
      </c>
    </row>
    <row r="2648" spans="1:8" x14ac:dyDescent="0.2">
      <c r="A2648" s="79" t="s">
        <v>9090</v>
      </c>
      <c r="B2648" s="79" t="s">
        <v>9765</v>
      </c>
      <c r="C2648" s="79" t="s">
        <v>7370</v>
      </c>
      <c r="D2648" s="79" t="s">
        <v>7328</v>
      </c>
      <c r="E2648" s="79">
        <v>5883</v>
      </c>
      <c r="F2648" s="79" t="s">
        <v>7738</v>
      </c>
      <c r="G2648" s="79" t="s">
        <v>7329</v>
      </c>
      <c r="H2648" s="80">
        <v>5355855.8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03"/>
  <sheetViews>
    <sheetView topLeftCell="A19" workbookViewId="0">
      <selection activeCell="B28" sqref="B28:C28"/>
    </sheetView>
  </sheetViews>
  <sheetFormatPr defaultRowHeight="12" x14ac:dyDescent="0.2"/>
  <cols>
    <col min="1" max="1" width="3" style="19" customWidth="1"/>
    <col min="2" max="2" width="36.1640625" style="19" customWidth="1"/>
    <col min="3" max="3" width="30" style="19" customWidth="1"/>
    <col min="4" max="4" width="40" style="19" customWidth="1"/>
    <col min="5" max="5" width="2.5" style="19" hidden="1" customWidth="1"/>
    <col min="6" max="6" width="6.33203125" style="19" bestFit="1" customWidth="1"/>
    <col min="7" max="7" width="14.1640625" style="19" bestFit="1" customWidth="1"/>
    <col min="8" max="8" width="0.5" style="19" customWidth="1"/>
    <col min="9" max="9" width="21" style="19" customWidth="1"/>
    <col min="10" max="10" width="21.1640625" style="19" customWidth="1"/>
    <col min="11" max="11" width="37.83203125" style="19" customWidth="1"/>
    <col min="12" max="12" width="6" style="19" customWidth="1"/>
    <col min="13" max="13" width="16.33203125" style="19" customWidth="1"/>
    <col min="14" max="14" width="20.83203125" style="19" customWidth="1"/>
    <col min="15" max="15" width="9.33203125" style="19"/>
    <col min="16" max="17" width="9.33203125" style="20"/>
    <col min="18" max="256" width="9.33203125" style="21"/>
    <col min="257" max="257" width="3" style="21" customWidth="1"/>
    <col min="258" max="258" width="36.1640625" style="21" customWidth="1"/>
    <col min="259" max="259" width="30" style="21" customWidth="1"/>
    <col min="260" max="260" width="40" style="21" customWidth="1"/>
    <col min="261" max="261" width="0" style="21" hidden="1" customWidth="1"/>
    <col min="262" max="262" width="6.33203125" style="21" bestFit="1" customWidth="1"/>
    <col min="263" max="263" width="14.1640625" style="21" bestFit="1" customWidth="1"/>
    <col min="264" max="264" width="0.5" style="21" customWidth="1"/>
    <col min="265" max="265" width="21" style="21" customWidth="1"/>
    <col min="266" max="266" width="21.1640625" style="21" customWidth="1"/>
    <col min="267" max="267" width="37.83203125" style="21" customWidth="1"/>
    <col min="268" max="268" width="6" style="21" customWidth="1"/>
    <col min="269" max="269" width="16.33203125" style="21" customWidth="1"/>
    <col min="270" max="270" width="20.83203125" style="21" customWidth="1"/>
    <col min="271" max="512" width="9.33203125" style="21"/>
    <col min="513" max="513" width="3" style="21" customWidth="1"/>
    <col min="514" max="514" width="36.1640625" style="21" customWidth="1"/>
    <col min="515" max="515" width="30" style="21" customWidth="1"/>
    <col min="516" max="516" width="40" style="21" customWidth="1"/>
    <col min="517" max="517" width="0" style="21" hidden="1" customWidth="1"/>
    <col min="518" max="518" width="6.33203125" style="21" bestFit="1" customWidth="1"/>
    <col min="519" max="519" width="14.1640625" style="21" bestFit="1" customWidth="1"/>
    <col min="520" max="520" width="0.5" style="21" customWidth="1"/>
    <col min="521" max="521" width="21" style="21" customWidth="1"/>
    <col min="522" max="522" width="21.1640625" style="21" customWidth="1"/>
    <col min="523" max="523" width="37.83203125" style="21" customWidth="1"/>
    <col min="524" max="524" width="6" style="21" customWidth="1"/>
    <col min="525" max="525" width="16.33203125" style="21" customWidth="1"/>
    <col min="526" max="526" width="20.83203125" style="21" customWidth="1"/>
    <col min="527" max="768" width="9.33203125" style="21"/>
    <col min="769" max="769" width="3" style="21" customWidth="1"/>
    <col min="770" max="770" width="36.1640625" style="21" customWidth="1"/>
    <col min="771" max="771" width="30" style="21" customWidth="1"/>
    <col min="772" max="772" width="40" style="21" customWidth="1"/>
    <col min="773" max="773" width="0" style="21" hidden="1" customWidth="1"/>
    <col min="774" max="774" width="6.33203125" style="21" bestFit="1" customWidth="1"/>
    <col min="775" max="775" width="14.1640625" style="21" bestFit="1" customWidth="1"/>
    <col min="776" max="776" width="0.5" style="21" customWidth="1"/>
    <col min="777" max="777" width="21" style="21" customWidth="1"/>
    <col min="778" max="778" width="21.1640625" style="21" customWidth="1"/>
    <col min="779" max="779" width="37.83203125" style="21" customWidth="1"/>
    <col min="780" max="780" width="6" style="21" customWidth="1"/>
    <col min="781" max="781" width="16.33203125" style="21" customWidth="1"/>
    <col min="782" max="782" width="20.83203125" style="21" customWidth="1"/>
    <col min="783" max="1024" width="9.33203125" style="21"/>
    <col min="1025" max="1025" width="3" style="21" customWidth="1"/>
    <col min="1026" max="1026" width="36.1640625" style="21" customWidth="1"/>
    <col min="1027" max="1027" width="30" style="21" customWidth="1"/>
    <col min="1028" max="1028" width="40" style="21" customWidth="1"/>
    <col min="1029" max="1029" width="0" style="21" hidden="1" customWidth="1"/>
    <col min="1030" max="1030" width="6.33203125" style="21" bestFit="1" customWidth="1"/>
    <col min="1031" max="1031" width="14.1640625" style="21" bestFit="1" customWidth="1"/>
    <col min="1032" max="1032" width="0.5" style="21" customWidth="1"/>
    <col min="1033" max="1033" width="21" style="21" customWidth="1"/>
    <col min="1034" max="1034" width="21.1640625" style="21" customWidth="1"/>
    <col min="1035" max="1035" width="37.83203125" style="21" customWidth="1"/>
    <col min="1036" max="1036" width="6" style="21" customWidth="1"/>
    <col min="1037" max="1037" width="16.33203125" style="21" customWidth="1"/>
    <col min="1038" max="1038" width="20.83203125" style="21" customWidth="1"/>
    <col min="1039" max="1280" width="9.33203125" style="21"/>
    <col min="1281" max="1281" width="3" style="21" customWidth="1"/>
    <col min="1282" max="1282" width="36.1640625" style="21" customWidth="1"/>
    <col min="1283" max="1283" width="30" style="21" customWidth="1"/>
    <col min="1284" max="1284" width="40" style="21" customWidth="1"/>
    <col min="1285" max="1285" width="0" style="21" hidden="1" customWidth="1"/>
    <col min="1286" max="1286" width="6.33203125" style="21" bestFit="1" customWidth="1"/>
    <col min="1287" max="1287" width="14.1640625" style="21" bestFit="1" customWidth="1"/>
    <col min="1288" max="1288" width="0.5" style="21" customWidth="1"/>
    <col min="1289" max="1289" width="21" style="21" customWidth="1"/>
    <col min="1290" max="1290" width="21.1640625" style="21" customWidth="1"/>
    <col min="1291" max="1291" width="37.83203125" style="21" customWidth="1"/>
    <col min="1292" max="1292" width="6" style="21" customWidth="1"/>
    <col min="1293" max="1293" width="16.33203125" style="21" customWidth="1"/>
    <col min="1294" max="1294" width="20.83203125" style="21" customWidth="1"/>
    <col min="1295" max="1536" width="9.33203125" style="21"/>
    <col min="1537" max="1537" width="3" style="21" customWidth="1"/>
    <col min="1538" max="1538" width="36.1640625" style="21" customWidth="1"/>
    <col min="1539" max="1539" width="30" style="21" customWidth="1"/>
    <col min="1540" max="1540" width="40" style="21" customWidth="1"/>
    <col min="1541" max="1541" width="0" style="21" hidden="1" customWidth="1"/>
    <col min="1542" max="1542" width="6.33203125" style="21" bestFit="1" customWidth="1"/>
    <col min="1543" max="1543" width="14.1640625" style="21" bestFit="1" customWidth="1"/>
    <col min="1544" max="1544" width="0.5" style="21" customWidth="1"/>
    <col min="1545" max="1545" width="21" style="21" customWidth="1"/>
    <col min="1546" max="1546" width="21.1640625" style="21" customWidth="1"/>
    <col min="1547" max="1547" width="37.83203125" style="21" customWidth="1"/>
    <col min="1548" max="1548" width="6" style="21" customWidth="1"/>
    <col min="1549" max="1549" width="16.33203125" style="21" customWidth="1"/>
    <col min="1550" max="1550" width="20.83203125" style="21" customWidth="1"/>
    <col min="1551" max="1792" width="9.33203125" style="21"/>
    <col min="1793" max="1793" width="3" style="21" customWidth="1"/>
    <col min="1794" max="1794" width="36.1640625" style="21" customWidth="1"/>
    <col min="1795" max="1795" width="30" style="21" customWidth="1"/>
    <col min="1796" max="1796" width="40" style="21" customWidth="1"/>
    <col min="1797" max="1797" width="0" style="21" hidden="1" customWidth="1"/>
    <col min="1798" max="1798" width="6.33203125" style="21" bestFit="1" customWidth="1"/>
    <col min="1799" max="1799" width="14.1640625" style="21" bestFit="1" customWidth="1"/>
    <col min="1800" max="1800" width="0.5" style="21" customWidth="1"/>
    <col min="1801" max="1801" width="21" style="21" customWidth="1"/>
    <col min="1802" max="1802" width="21.1640625" style="21" customWidth="1"/>
    <col min="1803" max="1803" width="37.83203125" style="21" customWidth="1"/>
    <col min="1804" max="1804" width="6" style="21" customWidth="1"/>
    <col min="1805" max="1805" width="16.33203125" style="21" customWidth="1"/>
    <col min="1806" max="1806" width="20.83203125" style="21" customWidth="1"/>
    <col min="1807" max="2048" width="9.33203125" style="21"/>
    <col min="2049" max="2049" width="3" style="21" customWidth="1"/>
    <col min="2050" max="2050" width="36.1640625" style="21" customWidth="1"/>
    <col min="2051" max="2051" width="30" style="21" customWidth="1"/>
    <col min="2052" max="2052" width="40" style="21" customWidth="1"/>
    <col min="2053" max="2053" width="0" style="21" hidden="1" customWidth="1"/>
    <col min="2054" max="2054" width="6.33203125" style="21" bestFit="1" customWidth="1"/>
    <col min="2055" max="2055" width="14.1640625" style="21" bestFit="1" customWidth="1"/>
    <col min="2056" max="2056" width="0.5" style="21" customWidth="1"/>
    <col min="2057" max="2057" width="21" style="21" customWidth="1"/>
    <col min="2058" max="2058" width="21.1640625" style="21" customWidth="1"/>
    <col min="2059" max="2059" width="37.83203125" style="21" customWidth="1"/>
    <col min="2060" max="2060" width="6" style="21" customWidth="1"/>
    <col min="2061" max="2061" width="16.33203125" style="21" customWidth="1"/>
    <col min="2062" max="2062" width="20.83203125" style="21" customWidth="1"/>
    <col min="2063" max="2304" width="9.33203125" style="21"/>
    <col min="2305" max="2305" width="3" style="21" customWidth="1"/>
    <col min="2306" max="2306" width="36.1640625" style="21" customWidth="1"/>
    <col min="2307" max="2307" width="30" style="21" customWidth="1"/>
    <col min="2308" max="2308" width="40" style="21" customWidth="1"/>
    <col min="2309" max="2309" width="0" style="21" hidden="1" customWidth="1"/>
    <col min="2310" max="2310" width="6.33203125" style="21" bestFit="1" customWidth="1"/>
    <col min="2311" max="2311" width="14.1640625" style="21" bestFit="1" customWidth="1"/>
    <col min="2312" max="2312" width="0.5" style="21" customWidth="1"/>
    <col min="2313" max="2313" width="21" style="21" customWidth="1"/>
    <col min="2314" max="2314" width="21.1640625" style="21" customWidth="1"/>
    <col min="2315" max="2315" width="37.83203125" style="21" customWidth="1"/>
    <col min="2316" max="2316" width="6" style="21" customWidth="1"/>
    <col min="2317" max="2317" width="16.33203125" style="21" customWidth="1"/>
    <col min="2318" max="2318" width="20.83203125" style="21" customWidth="1"/>
    <col min="2319" max="2560" width="9.33203125" style="21"/>
    <col min="2561" max="2561" width="3" style="21" customWidth="1"/>
    <col min="2562" max="2562" width="36.1640625" style="21" customWidth="1"/>
    <col min="2563" max="2563" width="30" style="21" customWidth="1"/>
    <col min="2564" max="2564" width="40" style="21" customWidth="1"/>
    <col min="2565" max="2565" width="0" style="21" hidden="1" customWidth="1"/>
    <col min="2566" max="2566" width="6.33203125" style="21" bestFit="1" customWidth="1"/>
    <col min="2567" max="2567" width="14.1640625" style="21" bestFit="1" customWidth="1"/>
    <col min="2568" max="2568" width="0.5" style="21" customWidth="1"/>
    <col min="2569" max="2569" width="21" style="21" customWidth="1"/>
    <col min="2570" max="2570" width="21.1640625" style="21" customWidth="1"/>
    <col min="2571" max="2571" width="37.83203125" style="21" customWidth="1"/>
    <col min="2572" max="2572" width="6" style="21" customWidth="1"/>
    <col min="2573" max="2573" width="16.33203125" style="21" customWidth="1"/>
    <col min="2574" max="2574" width="20.83203125" style="21" customWidth="1"/>
    <col min="2575" max="2816" width="9.33203125" style="21"/>
    <col min="2817" max="2817" width="3" style="21" customWidth="1"/>
    <col min="2818" max="2818" width="36.1640625" style="21" customWidth="1"/>
    <col min="2819" max="2819" width="30" style="21" customWidth="1"/>
    <col min="2820" max="2820" width="40" style="21" customWidth="1"/>
    <col min="2821" max="2821" width="0" style="21" hidden="1" customWidth="1"/>
    <col min="2822" max="2822" width="6.33203125" style="21" bestFit="1" customWidth="1"/>
    <col min="2823" max="2823" width="14.1640625" style="21" bestFit="1" customWidth="1"/>
    <col min="2824" max="2824" width="0.5" style="21" customWidth="1"/>
    <col min="2825" max="2825" width="21" style="21" customWidth="1"/>
    <col min="2826" max="2826" width="21.1640625" style="21" customWidth="1"/>
    <col min="2827" max="2827" width="37.83203125" style="21" customWidth="1"/>
    <col min="2828" max="2828" width="6" style="21" customWidth="1"/>
    <col min="2829" max="2829" width="16.33203125" style="21" customWidth="1"/>
    <col min="2830" max="2830" width="20.83203125" style="21" customWidth="1"/>
    <col min="2831" max="3072" width="9.33203125" style="21"/>
    <col min="3073" max="3073" width="3" style="21" customWidth="1"/>
    <col min="3074" max="3074" width="36.1640625" style="21" customWidth="1"/>
    <col min="3075" max="3075" width="30" style="21" customWidth="1"/>
    <col min="3076" max="3076" width="40" style="21" customWidth="1"/>
    <col min="3077" max="3077" width="0" style="21" hidden="1" customWidth="1"/>
    <col min="3078" max="3078" width="6.33203125" style="21" bestFit="1" customWidth="1"/>
    <col min="3079" max="3079" width="14.1640625" style="21" bestFit="1" customWidth="1"/>
    <col min="3080" max="3080" width="0.5" style="21" customWidth="1"/>
    <col min="3081" max="3081" width="21" style="21" customWidth="1"/>
    <col min="3082" max="3082" width="21.1640625" style="21" customWidth="1"/>
    <col min="3083" max="3083" width="37.83203125" style="21" customWidth="1"/>
    <col min="3084" max="3084" width="6" style="21" customWidth="1"/>
    <col min="3085" max="3085" width="16.33203125" style="21" customWidth="1"/>
    <col min="3086" max="3086" width="20.83203125" style="21" customWidth="1"/>
    <col min="3087" max="3328" width="9.33203125" style="21"/>
    <col min="3329" max="3329" width="3" style="21" customWidth="1"/>
    <col min="3330" max="3330" width="36.1640625" style="21" customWidth="1"/>
    <col min="3331" max="3331" width="30" style="21" customWidth="1"/>
    <col min="3332" max="3332" width="40" style="21" customWidth="1"/>
    <col min="3333" max="3333" width="0" style="21" hidden="1" customWidth="1"/>
    <col min="3334" max="3334" width="6.33203125" style="21" bestFit="1" customWidth="1"/>
    <col min="3335" max="3335" width="14.1640625" style="21" bestFit="1" customWidth="1"/>
    <col min="3336" max="3336" width="0.5" style="21" customWidth="1"/>
    <col min="3337" max="3337" width="21" style="21" customWidth="1"/>
    <col min="3338" max="3338" width="21.1640625" style="21" customWidth="1"/>
    <col min="3339" max="3339" width="37.83203125" style="21" customWidth="1"/>
    <col min="3340" max="3340" width="6" style="21" customWidth="1"/>
    <col min="3341" max="3341" width="16.33203125" style="21" customWidth="1"/>
    <col min="3342" max="3342" width="20.83203125" style="21" customWidth="1"/>
    <col min="3343" max="3584" width="9.33203125" style="21"/>
    <col min="3585" max="3585" width="3" style="21" customWidth="1"/>
    <col min="3586" max="3586" width="36.1640625" style="21" customWidth="1"/>
    <col min="3587" max="3587" width="30" style="21" customWidth="1"/>
    <col min="3588" max="3588" width="40" style="21" customWidth="1"/>
    <col min="3589" max="3589" width="0" style="21" hidden="1" customWidth="1"/>
    <col min="3590" max="3590" width="6.33203125" style="21" bestFit="1" customWidth="1"/>
    <col min="3591" max="3591" width="14.1640625" style="21" bestFit="1" customWidth="1"/>
    <col min="3592" max="3592" width="0.5" style="21" customWidth="1"/>
    <col min="3593" max="3593" width="21" style="21" customWidth="1"/>
    <col min="3594" max="3594" width="21.1640625" style="21" customWidth="1"/>
    <col min="3595" max="3595" width="37.83203125" style="21" customWidth="1"/>
    <col min="3596" max="3596" width="6" style="21" customWidth="1"/>
    <col min="3597" max="3597" width="16.33203125" style="21" customWidth="1"/>
    <col min="3598" max="3598" width="20.83203125" style="21" customWidth="1"/>
    <col min="3599" max="3840" width="9.33203125" style="21"/>
    <col min="3841" max="3841" width="3" style="21" customWidth="1"/>
    <col min="3842" max="3842" width="36.1640625" style="21" customWidth="1"/>
    <col min="3843" max="3843" width="30" style="21" customWidth="1"/>
    <col min="3844" max="3844" width="40" style="21" customWidth="1"/>
    <col min="3845" max="3845" width="0" style="21" hidden="1" customWidth="1"/>
    <col min="3846" max="3846" width="6.33203125" style="21" bestFit="1" customWidth="1"/>
    <col min="3847" max="3847" width="14.1640625" style="21" bestFit="1" customWidth="1"/>
    <col min="3848" max="3848" width="0.5" style="21" customWidth="1"/>
    <col min="3849" max="3849" width="21" style="21" customWidth="1"/>
    <col min="3850" max="3850" width="21.1640625" style="21" customWidth="1"/>
    <col min="3851" max="3851" width="37.83203125" style="21" customWidth="1"/>
    <col min="3852" max="3852" width="6" style="21" customWidth="1"/>
    <col min="3853" max="3853" width="16.33203125" style="21" customWidth="1"/>
    <col min="3854" max="3854" width="20.83203125" style="21" customWidth="1"/>
    <col min="3855" max="4096" width="9.33203125" style="21"/>
    <col min="4097" max="4097" width="3" style="21" customWidth="1"/>
    <col min="4098" max="4098" width="36.1640625" style="21" customWidth="1"/>
    <col min="4099" max="4099" width="30" style="21" customWidth="1"/>
    <col min="4100" max="4100" width="40" style="21" customWidth="1"/>
    <col min="4101" max="4101" width="0" style="21" hidden="1" customWidth="1"/>
    <col min="4102" max="4102" width="6.33203125" style="21" bestFit="1" customWidth="1"/>
    <col min="4103" max="4103" width="14.1640625" style="21" bestFit="1" customWidth="1"/>
    <col min="4104" max="4104" width="0.5" style="21" customWidth="1"/>
    <col min="4105" max="4105" width="21" style="21" customWidth="1"/>
    <col min="4106" max="4106" width="21.1640625" style="21" customWidth="1"/>
    <col min="4107" max="4107" width="37.83203125" style="21" customWidth="1"/>
    <col min="4108" max="4108" width="6" style="21" customWidth="1"/>
    <col min="4109" max="4109" width="16.33203125" style="21" customWidth="1"/>
    <col min="4110" max="4110" width="20.83203125" style="21" customWidth="1"/>
    <col min="4111" max="4352" width="9.33203125" style="21"/>
    <col min="4353" max="4353" width="3" style="21" customWidth="1"/>
    <col min="4354" max="4354" width="36.1640625" style="21" customWidth="1"/>
    <col min="4355" max="4355" width="30" style="21" customWidth="1"/>
    <col min="4356" max="4356" width="40" style="21" customWidth="1"/>
    <col min="4357" max="4357" width="0" style="21" hidden="1" customWidth="1"/>
    <col min="4358" max="4358" width="6.33203125" style="21" bestFit="1" customWidth="1"/>
    <col min="4359" max="4359" width="14.1640625" style="21" bestFit="1" customWidth="1"/>
    <col min="4360" max="4360" width="0.5" style="21" customWidth="1"/>
    <col min="4361" max="4361" width="21" style="21" customWidth="1"/>
    <col min="4362" max="4362" width="21.1640625" style="21" customWidth="1"/>
    <col min="4363" max="4363" width="37.83203125" style="21" customWidth="1"/>
    <col min="4364" max="4364" width="6" style="21" customWidth="1"/>
    <col min="4365" max="4365" width="16.33203125" style="21" customWidth="1"/>
    <col min="4366" max="4366" width="20.83203125" style="21" customWidth="1"/>
    <col min="4367" max="4608" width="9.33203125" style="21"/>
    <col min="4609" max="4609" width="3" style="21" customWidth="1"/>
    <col min="4610" max="4610" width="36.1640625" style="21" customWidth="1"/>
    <col min="4611" max="4611" width="30" style="21" customWidth="1"/>
    <col min="4612" max="4612" width="40" style="21" customWidth="1"/>
    <col min="4613" max="4613" width="0" style="21" hidden="1" customWidth="1"/>
    <col min="4614" max="4614" width="6.33203125" style="21" bestFit="1" customWidth="1"/>
    <col min="4615" max="4615" width="14.1640625" style="21" bestFit="1" customWidth="1"/>
    <col min="4616" max="4616" width="0.5" style="21" customWidth="1"/>
    <col min="4617" max="4617" width="21" style="21" customWidth="1"/>
    <col min="4618" max="4618" width="21.1640625" style="21" customWidth="1"/>
    <col min="4619" max="4619" width="37.83203125" style="21" customWidth="1"/>
    <col min="4620" max="4620" width="6" style="21" customWidth="1"/>
    <col min="4621" max="4621" width="16.33203125" style="21" customWidth="1"/>
    <col min="4622" max="4622" width="20.83203125" style="21" customWidth="1"/>
    <col min="4623" max="4864" width="9.33203125" style="21"/>
    <col min="4865" max="4865" width="3" style="21" customWidth="1"/>
    <col min="4866" max="4866" width="36.1640625" style="21" customWidth="1"/>
    <col min="4867" max="4867" width="30" style="21" customWidth="1"/>
    <col min="4868" max="4868" width="40" style="21" customWidth="1"/>
    <col min="4869" max="4869" width="0" style="21" hidden="1" customWidth="1"/>
    <col min="4870" max="4870" width="6.33203125" style="21" bestFit="1" customWidth="1"/>
    <col min="4871" max="4871" width="14.1640625" style="21" bestFit="1" customWidth="1"/>
    <col min="4872" max="4872" width="0.5" style="21" customWidth="1"/>
    <col min="4873" max="4873" width="21" style="21" customWidth="1"/>
    <col min="4874" max="4874" width="21.1640625" style="21" customWidth="1"/>
    <col min="4875" max="4875" width="37.83203125" style="21" customWidth="1"/>
    <col min="4876" max="4876" width="6" style="21" customWidth="1"/>
    <col min="4877" max="4877" width="16.33203125" style="21" customWidth="1"/>
    <col min="4878" max="4878" width="20.83203125" style="21" customWidth="1"/>
    <col min="4879" max="5120" width="9.33203125" style="21"/>
    <col min="5121" max="5121" width="3" style="21" customWidth="1"/>
    <col min="5122" max="5122" width="36.1640625" style="21" customWidth="1"/>
    <col min="5123" max="5123" width="30" style="21" customWidth="1"/>
    <col min="5124" max="5124" width="40" style="21" customWidth="1"/>
    <col min="5125" max="5125" width="0" style="21" hidden="1" customWidth="1"/>
    <col min="5126" max="5126" width="6.33203125" style="21" bestFit="1" customWidth="1"/>
    <col min="5127" max="5127" width="14.1640625" style="21" bestFit="1" customWidth="1"/>
    <col min="5128" max="5128" width="0.5" style="21" customWidth="1"/>
    <col min="5129" max="5129" width="21" style="21" customWidth="1"/>
    <col min="5130" max="5130" width="21.1640625" style="21" customWidth="1"/>
    <col min="5131" max="5131" width="37.83203125" style="21" customWidth="1"/>
    <col min="5132" max="5132" width="6" style="21" customWidth="1"/>
    <col min="5133" max="5133" width="16.33203125" style="21" customWidth="1"/>
    <col min="5134" max="5134" width="20.83203125" style="21" customWidth="1"/>
    <col min="5135" max="5376" width="9.33203125" style="21"/>
    <col min="5377" max="5377" width="3" style="21" customWidth="1"/>
    <col min="5378" max="5378" width="36.1640625" style="21" customWidth="1"/>
    <col min="5379" max="5379" width="30" style="21" customWidth="1"/>
    <col min="5380" max="5380" width="40" style="21" customWidth="1"/>
    <col min="5381" max="5381" width="0" style="21" hidden="1" customWidth="1"/>
    <col min="5382" max="5382" width="6.33203125" style="21" bestFit="1" customWidth="1"/>
    <col min="5383" max="5383" width="14.1640625" style="21" bestFit="1" customWidth="1"/>
    <col min="5384" max="5384" width="0.5" style="21" customWidth="1"/>
    <col min="5385" max="5385" width="21" style="21" customWidth="1"/>
    <col min="5386" max="5386" width="21.1640625" style="21" customWidth="1"/>
    <col min="5387" max="5387" width="37.83203125" style="21" customWidth="1"/>
    <col min="5388" max="5388" width="6" style="21" customWidth="1"/>
    <col min="5389" max="5389" width="16.33203125" style="21" customWidth="1"/>
    <col min="5390" max="5390" width="20.83203125" style="21" customWidth="1"/>
    <col min="5391" max="5632" width="9.33203125" style="21"/>
    <col min="5633" max="5633" width="3" style="21" customWidth="1"/>
    <col min="5634" max="5634" width="36.1640625" style="21" customWidth="1"/>
    <col min="5635" max="5635" width="30" style="21" customWidth="1"/>
    <col min="5636" max="5636" width="40" style="21" customWidth="1"/>
    <col min="5637" max="5637" width="0" style="21" hidden="1" customWidth="1"/>
    <col min="5638" max="5638" width="6.33203125" style="21" bestFit="1" customWidth="1"/>
    <col min="5639" max="5639" width="14.1640625" style="21" bestFit="1" customWidth="1"/>
    <col min="5640" max="5640" width="0.5" style="21" customWidth="1"/>
    <col min="5641" max="5641" width="21" style="21" customWidth="1"/>
    <col min="5642" max="5642" width="21.1640625" style="21" customWidth="1"/>
    <col min="5643" max="5643" width="37.83203125" style="21" customWidth="1"/>
    <col min="5644" max="5644" width="6" style="21" customWidth="1"/>
    <col min="5645" max="5645" width="16.33203125" style="21" customWidth="1"/>
    <col min="5646" max="5646" width="20.83203125" style="21" customWidth="1"/>
    <col min="5647" max="5888" width="9.33203125" style="21"/>
    <col min="5889" max="5889" width="3" style="21" customWidth="1"/>
    <col min="5890" max="5890" width="36.1640625" style="21" customWidth="1"/>
    <col min="5891" max="5891" width="30" style="21" customWidth="1"/>
    <col min="5892" max="5892" width="40" style="21" customWidth="1"/>
    <col min="5893" max="5893" width="0" style="21" hidden="1" customWidth="1"/>
    <col min="5894" max="5894" width="6.33203125" style="21" bestFit="1" customWidth="1"/>
    <col min="5895" max="5895" width="14.1640625" style="21" bestFit="1" customWidth="1"/>
    <col min="5896" max="5896" width="0.5" style="21" customWidth="1"/>
    <col min="5897" max="5897" width="21" style="21" customWidth="1"/>
    <col min="5898" max="5898" width="21.1640625" style="21" customWidth="1"/>
    <col min="5899" max="5899" width="37.83203125" style="21" customWidth="1"/>
    <col min="5900" max="5900" width="6" style="21" customWidth="1"/>
    <col min="5901" max="5901" width="16.33203125" style="21" customWidth="1"/>
    <col min="5902" max="5902" width="20.83203125" style="21" customWidth="1"/>
    <col min="5903" max="6144" width="9.33203125" style="21"/>
    <col min="6145" max="6145" width="3" style="21" customWidth="1"/>
    <col min="6146" max="6146" width="36.1640625" style="21" customWidth="1"/>
    <col min="6147" max="6147" width="30" style="21" customWidth="1"/>
    <col min="6148" max="6148" width="40" style="21" customWidth="1"/>
    <col min="6149" max="6149" width="0" style="21" hidden="1" customWidth="1"/>
    <col min="6150" max="6150" width="6.33203125" style="21" bestFit="1" customWidth="1"/>
    <col min="6151" max="6151" width="14.1640625" style="21" bestFit="1" customWidth="1"/>
    <col min="6152" max="6152" width="0.5" style="21" customWidth="1"/>
    <col min="6153" max="6153" width="21" style="21" customWidth="1"/>
    <col min="6154" max="6154" width="21.1640625" style="21" customWidth="1"/>
    <col min="6155" max="6155" width="37.83203125" style="21" customWidth="1"/>
    <col min="6156" max="6156" width="6" style="21" customWidth="1"/>
    <col min="6157" max="6157" width="16.33203125" style="21" customWidth="1"/>
    <col min="6158" max="6158" width="20.83203125" style="21" customWidth="1"/>
    <col min="6159" max="6400" width="9.33203125" style="21"/>
    <col min="6401" max="6401" width="3" style="21" customWidth="1"/>
    <col min="6402" max="6402" width="36.1640625" style="21" customWidth="1"/>
    <col min="6403" max="6403" width="30" style="21" customWidth="1"/>
    <col min="6404" max="6404" width="40" style="21" customWidth="1"/>
    <col min="6405" max="6405" width="0" style="21" hidden="1" customWidth="1"/>
    <col min="6406" max="6406" width="6.33203125" style="21" bestFit="1" customWidth="1"/>
    <col min="6407" max="6407" width="14.1640625" style="21" bestFit="1" customWidth="1"/>
    <col min="6408" max="6408" width="0.5" style="21" customWidth="1"/>
    <col min="6409" max="6409" width="21" style="21" customWidth="1"/>
    <col min="6410" max="6410" width="21.1640625" style="21" customWidth="1"/>
    <col min="6411" max="6411" width="37.83203125" style="21" customWidth="1"/>
    <col min="6412" max="6412" width="6" style="21" customWidth="1"/>
    <col min="6413" max="6413" width="16.33203125" style="21" customWidth="1"/>
    <col min="6414" max="6414" width="20.83203125" style="21" customWidth="1"/>
    <col min="6415" max="6656" width="9.33203125" style="21"/>
    <col min="6657" max="6657" width="3" style="21" customWidth="1"/>
    <col min="6658" max="6658" width="36.1640625" style="21" customWidth="1"/>
    <col min="6659" max="6659" width="30" style="21" customWidth="1"/>
    <col min="6660" max="6660" width="40" style="21" customWidth="1"/>
    <col min="6661" max="6661" width="0" style="21" hidden="1" customWidth="1"/>
    <col min="6662" max="6662" width="6.33203125" style="21" bestFit="1" customWidth="1"/>
    <col min="6663" max="6663" width="14.1640625" style="21" bestFit="1" customWidth="1"/>
    <col min="6664" max="6664" width="0.5" style="21" customWidth="1"/>
    <col min="6665" max="6665" width="21" style="21" customWidth="1"/>
    <col min="6666" max="6666" width="21.1640625" style="21" customWidth="1"/>
    <col min="6667" max="6667" width="37.83203125" style="21" customWidth="1"/>
    <col min="6668" max="6668" width="6" style="21" customWidth="1"/>
    <col min="6669" max="6669" width="16.33203125" style="21" customWidth="1"/>
    <col min="6670" max="6670" width="20.83203125" style="21" customWidth="1"/>
    <col min="6671" max="6912" width="9.33203125" style="21"/>
    <col min="6913" max="6913" width="3" style="21" customWidth="1"/>
    <col min="6914" max="6914" width="36.1640625" style="21" customWidth="1"/>
    <col min="6915" max="6915" width="30" style="21" customWidth="1"/>
    <col min="6916" max="6916" width="40" style="21" customWidth="1"/>
    <col min="6917" max="6917" width="0" style="21" hidden="1" customWidth="1"/>
    <col min="6918" max="6918" width="6.33203125" style="21" bestFit="1" customWidth="1"/>
    <col min="6919" max="6919" width="14.1640625" style="21" bestFit="1" customWidth="1"/>
    <col min="6920" max="6920" width="0.5" style="21" customWidth="1"/>
    <col min="6921" max="6921" width="21" style="21" customWidth="1"/>
    <col min="6922" max="6922" width="21.1640625" style="21" customWidth="1"/>
    <col min="6923" max="6923" width="37.83203125" style="21" customWidth="1"/>
    <col min="6924" max="6924" width="6" style="21" customWidth="1"/>
    <col min="6925" max="6925" width="16.33203125" style="21" customWidth="1"/>
    <col min="6926" max="6926" width="20.83203125" style="21" customWidth="1"/>
    <col min="6927" max="7168" width="9.33203125" style="21"/>
    <col min="7169" max="7169" width="3" style="21" customWidth="1"/>
    <col min="7170" max="7170" width="36.1640625" style="21" customWidth="1"/>
    <col min="7171" max="7171" width="30" style="21" customWidth="1"/>
    <col min="7172" max="7172" width="40" style="21" customWidth="1"/>
    <col min="7173" max="7173" width="0" style="21" hidden="1" customWidth="1"/>
    <col min="7174" max="7174" width="6.33203125" style="21" bestFit="1" customWidth="1"/>
    <col min="7175" max="7175" width="14.1640625" style="21" bestFit="1" customWidth="1"/>
    <col min="7176" max="7176" width="0.5" style="21" customWidth="1"/>
    <col min="7177" max="7177" width="21" style="21" customWidth="1"/>
    <col min="7178" max="7178" width="21.1640625" style="21" customWidth="1"/>
    <col min="7179" max="7179" width="37.83203125" style="21" customWidth="1"/>
    <col min="7180" max="7180" width="6" style="21" customWidth="1"/>
    <col min="7181" max="7181" width="16.33203125" style="21" customWidth="1"/>
    <col min="7182" max="7182" width="20.83203125" style="21" customWidth="1"/>
    <col min="7183" max="7424" width="9.33203125" style="21"/>
    <col min="7425" max="7425" width="3" style="21" customWidth="1"/>
    <col min="7426" max="7426" width="36.1640625" style="21" customWidth="1"/>
    <col min="7427" max="7427" width="30" style="21" customWidth="1"/>
    <col min="7428" max="7428" width="40" style="21" customWidth="1"/>
    <col min="7429" max="7429" width="0" style="21" hidden="1" customWidth="1"/>
    <col min="7430" max="7430" width="6.33203125" style="21" bestFit="1" customWidth="1"/>
    <col min="7431" max="7431" width="14.1640625" style="21" bestFit="1" customWidth="1"/>
    <col min="7432" max="7432" width="0.5" style="21" customWidth="1"/>
    <col min="7433" max="7433" width="21" style="21" customWidth="1"/>
    <col min="7434" max="7434" width="21.1640625" style="21" customWidth="1"/>
    <col min="7435" max="7435" width="37.83203125" style="21" customWidth="1"/>
    <col min="7436" max="7436" width="6" style="21" customWidth="1"/>
    <col min="7437" max="7437" width="16.33203125" style="21" customWidth="1"/>
    <col min="7438" max="7438" width="20.83203125" style="21" customWidth="1"/>
    <col min="7439" max="7680" width="9.33203125" style="21"/>
    <col min="7681" max="7681" width="3" style="21" customWidth="1"/>
    <col min="7682" max="7682" width="36.1640625" style="21" customWidth="1"/>
    <col min="7683" max="7683" width="30" style="21" customWidth="1"/>
    <col min="7684" max="7684" width="40" style="21" customWidth="1"/>
    <col min="7685" max="7685" width="0" style="21" hidden="1" customWidth="1"/>
    <col min="7686" max="7686" width="6.33203125" style="21" bestFit="1" customWidth="1"/>
    <col min="7687" max="7687" width="14.1640625" style="21" bestFit="1" customWidth="1"/>
    <col min="7688" max="7688" width="0.5" style="21" customWidth="1"/>
    <col min="7689" max="7689" width="21" style="21" customWidth="1"/>
    <col min="7690" max="7690" width="21.1640625" style="21" customWidth="1"/>
    <col min="7691" max="7691" width="37.83203125" style="21" customWidth="1"/>
    <col min="7692" max="7692" width="6" style="21" customWidth="1"/>
    <col min="7693" max="7693" width="16.33203125" style="21" customWidth="1"/>
    <col min="7694" max="7694" width="20.83203125" style="21" customWidth="1"/>
    <col min="7695" max="7936" width="9.33203125" style="21"/>
    <col min="7937" max="7937" width="3" style="21" customWidth="1"/>
    <col min="7938" max="7938" width="36.1640625" style="21" customWidth="1"/>
    <col min="7939" max="7939" width="30" style="21" customWidth="1"/>
    <col min="7940" max="7940" width="40" style="21" customWidth="1"/>
    <col min="7941" max="7941" width="0" style="21" hidden="1" customWidth="1"/>
    <col min="7942" max="7942" width="6.33203125" style="21" bestFit="1" customWidth="1"/>
    <col min="7943" max="7943" width="14.1640625" style="21" bestFit="1" customWidth="1"/>
    <col min="7944" max="7944" width="0.5" style="21" customWidth="1"/>
    <col min="7945" max="7945" width="21" style="21" customWidth="1"/>
    <col min="7946" max="7946" width="21.1640625" style="21" customWidth="1"/>
    <col min="7947" max="7947" width="37.83203125" style="21" customWidth="1"/>
    <col min="7948" max="7948" width="6" style="21" customWidth="1"/>
    <col min="7949" max="7949" width="16.33203125" style="21" customWidth="1"/>
    <col min="7950" max="7950" width="20.83203125" style="21" customWidth="1"/>
    <col min="7951" max="8192" width="9.33203125" style="21"/>
    <col min="8193" max="8193" width="3" style="21" customWidth="1"/>
    <col min="8194" max="8194" width="36.1640625" style="21" customWidth="1"/>
    <col min="8195" max="8195" width="30" style="21" customWidth="1"/>
    <col min="8196" max="8196" width="40" style="21" customWidth="1"/>
    <col min="8197" max="8197" width="0" style="21" hidden="1" customWidth="1"/>
    <col min="8198" max="8198" width="6.33203125" style="21" bestFit="1" customWidth="1"/>
    <col min="8199" max="8199" width="14.1640625" style="21" bestFit="1" customWidth="1"/>
    <col min="8200" max="8200" width="0.5" style="21" customWidth="1"/>
    <col min="8201" max="8201" width="21" style="21" customWidth="1"/>
    <col min="8202" max="8202" width="21.1640625" style="21" customWidth="1"/>
    <col min="8203" max="8203" width="37.83203125" style="21" customWidth="1"/>
    <col min="8204" max="8204" width="6" style="21" customWidth="1"/>
    <col min="8205" max="8205" width="16.33203125" style="21" customWidth="1"/>
    <col min="8206" max="8206" width="20.83203125" style="21" customWidth="1"/>
    <col min="8207" max="8448" width="9.33203125" style="21"/>
    <col min="8449" max="8449" width="3" style="21" customWidth="1"/>
    <col min="8450" max="8450" width="36.1640625" style="21" customWidth="1"/>
    <col min="8451" max="8451" width="30" style="21" customWidth="1"/>
    <col min="8452" max="8452" width="40" style="21" customWidth="1"/>
    <col min="8453" max="8453" width="0" style="21" hidden="1" customWidth="1"/>
    <col min="8454" max="8454" width="6.33203125" style="21" bestFit="1" customWidth="1"/>
    <col min="8455" max="8455" width="14.1640625" style="21" bestFit="1" customWidth="1"/>
    <col min="8456" max="8456" width="0.5" style="21" customWidth="1"/>
    <col min="8457" max="8457" width="21" style="21" customWidth="1"/>
    <col min="8458" max="8458" width="21.1640625" style="21" customWidth="1"/>
    <col min="8459" max="8459" width="37.83203125" style="21" customWidth="1"/>
    <col min="8460" max="8460" width="6" style="21" customWidth="1"/>
    <col min="8461" max="8461" width="16.33203125" style="21" customWidth="1"/>
    <col min="8462" max="8462" width="20.83203125" style="21" customWidth="1"/>
    <col min="8463" max="8704" width="9.33203125" style="21"/>
    <col min="8705" max="8705" width="3" style="21" customWidth="1"/>
    <col min="8706" max="8706" width="36.1640625" style="21" customWidth="1"/>
    <col min="8707" max="8707" width="30" style="21" customWidth="1"/>
    <col min="8708" max="8708" width="40" style="21" customWidth="1"/>
    <col min="8709" max="8709" width="0" style="21" hidden="1" customWidth="1"/>
    <col min="8710" max="8710" width="6.33203125" style="21" bestFit="1" customWidth="1"/>
    <col min="8711" max="8711" width="14.1640625" style="21" bestFit="1" customWidth="1"/>
    <col min="8712" max="8712" width="0.5" style="21" customWidth="1"/>
    <col min="8713" max="8713" width="21" style="21" customWidth="1"/>
    <col min="8714" max="8714" width="21.1640625" style="21" customWidth="1"/>
    <col min="8715" max="8715" width="37.83203125" style="21" customWidth="1"/>
    <col min="8716" max="8716" width="6" style="21" customWidth="1"/>
    <col min="8717" max="8717" width="16.33203125" style="21" customWidth="1"/>
    <col min="8718" max="8718" width="20.83203125" style="21" customWidth="1"/>
    <col min="8719" max="8960" width="9.33203125" style="21"/>
    <col min="8961" max="8961" width="3" style="21" customWidth="1"/>
    <col min="8962" max="8962" width="36.1640625" style="21" customWidth="1"/>
    <col min="8963" max="8963" width="30" style="21" customWidth="1"/>
    <col min="8964" max="8964" width="40" style="21" customWidth="1"/>
    <col min="8965" max="8965" width="0" style="21" hidden="1" customWidth="1"/>
    <col min="8966" max="8966" width="6.33203125" style="21" bestFit="1" customWidth="1"/>
    <col min="8967" max="8967" width="14.1640625" style="21" bestFit="1" customWidth="1"/>
    <col min="8968" max="8968" width="0.5" style="21" customWidth="1"/>
    <col min="8969" max="8969" width="21" style="21" customWidth="1"/>
    <col min="8970" max="8970" width="21.1640625" style="21" customWidth="1"/>
    <col min="8971" max="8971" width="37.83203125" style="21" customWidth="1"/>
    <col min="8972" max="8972" width="6" style="21" customWidth="1"/>
    <col min="8973" max="8973" width="16.33203125" style="21" customWidth="1"/>
    <col min="8974" max="8974" width="20.83203125" style="21" customWidth="1"/>
    <col min="8975" max="9216" width="9.33203125" style="21"/>
    <col min="9217" max="9217" width="3" style="21" customWidth="1"/>
    <col min="9218" max="9218" width="36.1640625" style="21" customWidth="1"/>
    <col min="9219" max="9219" width="30" style="21" customWidth="1"/>
    <col min="9220" max="9220" width="40" style="21" customWidth="1"/>
    <col min="9221" max="9221" width="0" style="21" hidden="1" customWidth="1"/>
    <col min="9222" max="9222" width="6.33203125" style="21" bestFit="1" customWidth="1"/>
    <col min="9223" max="9223" width="14.1640625" style="21" bestFit="1" customWidth="1"/>
    <col min="9224" max="9224" width="0.5" style="21" customWidth="1"/>
    <col min="9225" max="9225" width="21" style="21" customWidth="1"/>
    <col min="9226" max="9226" width="21.1640625" style="21" customWidth="1"/>
    <col min="9227" max="9227" width="37.83203125" style="21" customWidth="1"/>
    <col min="9228" max="9228" width="6" style="21" customWidth="1"/>
    <col min="9229" max="9229" width="16.33203125" style="21" customWidth="1"/>
    <col min="9230" max="9230" width="20.83203125" style="21" customWidth="1"/>
    <col min="9231" max="9472" width="9.33203125" style="21"/>
    <col min="9473" max="9473" width="3" style="21" customWidth="1"/>
    <col min="9474" max="9474" width="36.1640625" style="21" customWidth="1"/>
    <col min="9475" max="9475" width="30" style="21" customWidth="1"/>
    <col min="9476" max="9476" width="40" style="21" customWidth="1"/>
    <col min="9477" max="9477" width="0" style="21" hidden="1" customWidth="1"/>
    <col min="9478" max="9478" width="6.33203125" style="21" bestFit="1" customWidth="1"/>
    <col min="9479" max="9479" width="14.1640625" style="21" bestFit="1" customWidth="1"/>
    <col min="9480" max="9480" width="0.5" style="21" customWidth="1"/>
    <col min="9481" max="9481" width="21" style="21" customWidth="1"/>
    <col min="9482" max="9482" width="21.1640625" style="21" customWidth="1"/>
    <col min="9483" max="9483" width="37.83203125" style="21" customWidth="1"/>
    <col min="9484" max="9484" width="6" style="21" customWidth="1"/>
    <col min="9485" max="9485" width="16.33203125" style="21" customWidth="1"/>
    <col min="9486" max="9486" width="20.83203125" style="21" customWidth="1"/>
    <col min="9487" max="9728" width="9.33203125" style="21"/>
    <col min="9729" max="9729" width="3" style="21" customWidth="1"/>
    <col min="9730" max="9730" width="36.1640625" style="21" customWidth="1"/>
    <col min="9731" max="9731" width="30" style="21" customWidth="1"/>
    <col min="9732" max="9732" width="40" style="21" customWidth="1"/>
    <col min="9733" max="9733" width="0" style="21" hidden="1" customWidth="1"/>
    <col min="9734" max="9734" width="6.33203125" style="21" bestFit="1" customWidth="1"/>
    <col min="9735" max="9735" width="14.1640625" style="21" bestFit="1" customWidth="1"/>
    <col min="9736" max="9736" width="0.5" style="21" customWidth="1"/>
    <col min="9737" max="9737" width="21" style="21" customWidth="1"/>
    <col min="9738" max="9738" width="21.1640625" style="21" customWidth="1"/>
    <col min="9739" max="9739" width="37.83203125" style="21" customWidth="1"/>
    <col min="9740" max="9740" width="6" style="21" customWidth="1"/>
    <col min="9741" max="9741" width="16.33203125" style="21" customWidth="1"/>
    <col min="9742" max="9742" width="20.83203125" style="21" customWidth="1"/>
    <col min="9743" max="9984" width="9.33203125" style="21"/>
    <col min="9985" max="9985" width="3" style="21" customWidth="1"/>
    <col min="9986" max="9986" width="36.1640625" style="21" customWidth="1"/>
    <col min="9987" max="9987" width="30" style="21" customWidth="1"/>
    <col min="9988" max="9988" width="40" style="21" customWidth="1"/>
    <col min="9989" max="9989" width="0" style="21" hidden="1" customWidth="1"/>
    <col min="9990" max="9990" width="6.33203125" style="21" bestFit="1" customWidth="1"/>
    <col min="9991" max="9991" width="14.1640625" style="21" bestFit="1" customWidth="1"/>
    <col min="9992" max="9992" width="0.5" style="21" customWidth="1"/>
    <col min="9993" max="9993" width="21" style="21" customWidth="1"/>
    <col min="9994" max="9994" width="21.1640625" style="21" customWidth="1"/>
    <col min="9995" max="9995" width="37.83203125" style="21" customWidth="1"/>
    <col min="9996" max="9996" width="6" style="21" customWidth="1"/>
    <col min="9997" max="9997" width="16.33203125" style="21" customWidth="1"/>
    <col min="9998" max="9998" width="20.83203125" style="21" customWidth="1"/>
    <col min="9999" max="10240" width="9.33203125" style="21"/>
    <col min="10241" max="10241" width="3" style="21" customWidth="1"/>
    <col min="10242" max="10242" width="36.1640625" style="21" customWidth="1"/>
    <col min="10243" max="10243" width="30" style="21" customWidth="1"/>
    <col min="10244" max="10244" width="40" style="21" customWidth="1"/>
    <col min="10245" max="10245" width="0" style="21" hidden="1" customWidth="1"/>
    <col min="10246" max="10246" width="6.33203125" style="21" bestFit="1" customWidth="1"/>
    <col min="10247" max="10247" width="14.1640625" style="21" bestFit="1" customWidth="1"/>
    <col min="10248" max="10248" width="0.5" style="21" customWidth="1"/>
    <col min="10249" max="10249" width="21" style="21" customWidth="1"/>
    <col min="10250" max="10250" width="21.1640625" style="21" customWidth="1"/>
    <col min="10251" max="10251" width="37.83203125" style="21" customWidth="1"/>
    <col min="10252" max="10252" width="6" style="21" customWidth="1"/>
    <col min="10253" max="10253" width="16.33203125" style="21" customWidth="1"/>
    <col min="10254" max="10254" width="20.83203125" style="21" customWidth="1"/>
    <col min="10255" max="10496" width="9.33203125" style="21"/>
    <col min="10497" max="10497" width="3" style="21" customWidth="1"/>
    <col min="10498" max="10498" width="36.1640625" style="21" customWidth="1"/>
    <col min="10499" max="10499" width="30" style="21" customWidth="1"/>
    <col min="10500" max="10500" width="40" style="21" customWidth="1"/>
    <col min="10501" max="10501" width="0" style="21" hidden="1" customWidth="1"/>
    <col min="10502" max="10502" width="6.33203125" style="21" bestFit="1" customWidth="1"/>
    <col min="10503" max="10503" width="14.1640625" style="21" bestFit="1" customWidth="1"/>
    <col min="10504" max="10504" width="0.5" style="21" customWidth="1"/>
    <col min="10505" max="10505" width="21" style="21" customWidth="1"/>
    <col min="10506" max="10506" width="21.1640625" style="21" customWidth="1"/>
    <col min="10507" max="10507" width="37.83203125" style="21" customWidth="1"/>
    <col min="10508" max="10508" width="6" style="21" customWidth="1"/>
    <col min="10509" max="10509" width="16.33203125" style="21" customWidth="1"/>
    <col min="10510" max="10510" width="20.83203125" style="21" customWidth="1"/>
    <col min="10511" max="10752" width="9.33203125" style="21"/>
    <col min="10753" max="10753" width="3" style="21" customWidth="1"/>
    <col min="10754" max="10754" width="36.1640625" style="21" customWidth="1"/>
    <col min="10755" max="10755" width="30" style="21" customWidth="1"/>
    <col min="10756" max="10756" width="40" style="21" customWidth="1"/>
    <col min="10757" max="10757" width="0" style="21" hidden="1" customWidth="1"/>
    <col min="10758" max="10758" width="6.33203125" style="21" bestFit="1" customWidth="1"/>
    <col min="10759" max="10759" width="14.1640625" style="21" bestFit="1" customWidth="1"/>
    <col min="10760" max="10760" width="0.5" style="21" customWidth="1"/>
    <col min="10761" max="10761" width="21" style="21" customWidth="1"/>
    <col min="10762" max="10762" width="21.1640625" style="21" customWidth="1"/>
    <col min="10763" max="10763" width="37.83203125" style="21" customWidth="1"/>
    <col min="10764" max="10764" width="6" style="21" customWidth="1"/>
    <col min="10765" max="10765" width="16.33203125" style="21" customWidth="1"/>
    <col min="10766" max="10766" width="20.83203125" style="21" customWidth="1"/>
    <col min="10767" max="11008" width="9.33203125" style="21"/>
    <col min="11009" max="11009" width="3" style="21" customWidth="1"/>
    <col min="11010" max="11010" width="36.1640625" style="21" customWidth="1"/>
    <col min="11011" max="11011" width="30" style="21" customWidth="1"/>
    <col min="11012" max="11012" width="40" style="21" customWidth="1"/>
    <col min="11013" max="11013" width="0" style="21" hidden="1" customWidth="1"/>
    <col min="11014" max="11014" width="6.33203125" style="21" bestFit="1" customWidth="1"/>
    <col min="11015" max="11015" width="14.1640625" style="21" bestFit="1" customWidth="1"/>
    <col min="11016" max="11016" width="0.5" style="21" customWidth="1"/>
    <col min="11017" max="11017" width="21" style="21" customWidth="1"/>
    <col min="11018" max="11018" width="21.1640625" style="21" customWidth="1"/>
    <col min="11019" max="11019" width="37.83203125" style="21" customWidth="1"/>
    <col min="11020" max="11020" width="6" style="21" customWidth="1"/>
    <col min="11021" max="11021" width="16.33203125" style="21" customWidth="1"/>
    <col min="11022" max="11022" width="20.83203125" style="21" customWidth="1"/>
    <col min="11023" max="11264" width="9.33203125" style="21"/>
    <col min="11265" max="11265" width="3" style="21" customWidth="1"/>
    <col min="11266" max="11266" width="36.1640625" style="21" customWidth="1"/>
    <col min="11267" max="11267" width="30" style="21" customWidth="1"/>
    <col min="11268" max="11268" width="40" style="21" customWidth="1"/>
    <col min="11269" max="11269" width="0" style="21" hidden="1" customWidth="1"/>
    <col min="11270" max="11270" width="6.33203125" style="21" bestFit="1" customWidth="1"/>
    <col min="11271" max="11271" width="14.1640625" style="21" bestFit="1" customWidth="1"/>
    <col min="11272" max="11272" width="0.5" style="21" customWidth="1"/>
    <col min="11273" max="11273" width="21" style="21" customWidth="1"/>
    <col min="11274" max="11274" width="21.1640625" style="21" customWidth="1"/>
    <col min="11275" max="11275" width="37.83203125" style="21" customWidth="1"/>
    <col min="11276" max="11276" width="6" style="21" customWidth="1"/>
    <col min="11277" max="11277" width="16.33203125" style="21" customWidth="1"/>
    <col min="11278" max="11278" width="20.83203125" style="21" customWidth="1"/>
    <col min="11279" max="11520" width="9.33203125" style="21"/>
    <col min="11521" max="11521" width="3" style="21" customWidth="1"/>
    <col min="11522" max="11522" width="36.1640625" style="21" customWidth="1"/>
    <col min="11523" max="11523" width="30" style="21" customWidth="1"/>
    <col min="11524" max="11524" width="40" style="21" customWidth="1"/>
    <col min="11525" max="11525" width="0" style="21" hidden="1" customWidth="1"/>
    <col min="11526" max="11526" width="6.33203125" style="21" bestFit="1" customWidth="1"/>
    <col min="11527" max="11527" width="14.1640625" style="21" bestFit="1" customWidth="1"/>
    <col min="11528" max="11528" width="0.5" style="21" customWidth="1"/>
    <col min="11529" max="11529" width="21" style="21" customWidth="1"/>
    <col min="11530" max="11530" width="21.1640625" style="21" customWidth="1"/>
    <col min="11531" max="11531" width="37.83203125" style="21" customWidth="1"/>
    <col min="11532" max="11532" width="6" style="21" customWidth="1"/>
    <col min="11533" max="11533" width="16.33203125" style="21" customWidth="1"/>
    <col min="11534" max="11534" width="20.83203125" style="21" customWidth="1"/>
    <col min="11535" max="11776" width="9.33203125" style="21"/>
    <col min="11777" max="11777" width="3" style="21" customWidth="1"/>
    <col min="11778" max="11778" width="36.1640625" style="21" customWidth="1"/>
    <col min="11779" max="11779" width="30" style="21" customWidth="1"/>
    <col min="11780" max="11780" width="40" style="21" customWidth="1"/>
    <col min="11781" max="11781" width="0" style="21" hidden="1" customWidth="1"/>
    <col min="11782" max="11782" width="6.33203125" style="21" bestFit="1" customWidth="1"/>
    <col min="11783" max="11783" width="14.1640625" style="21" bestFit="1" customWidth="1"/>
    <col min="11784" max="11784" width="0.5" style="21" customWidth="1"/>
    <col min="11785" max="11785" width="21" style="21" customWidth="1"/>
    <col min="11786" max="11786" width="21.1640625" style="21" customWidth="1"/>
    <col min="11787" max="11787" width="37.83203125" style="21" customWidth="1"/>
    <col min="11788" max="11788" width="6" style="21" customWidth="1"/>
    <col min="11789" max="11789" width="16.33203125" style="21" customWidth="1"/>
    <col min="11790" max="11790" width="20.83203125" style="21" customWidth="1"/>
    <col min="11791" max="12032" width="9.33203125" style="21"/>
    <col min="12033" max="12033" width="3" style="21" customWidth="1"/>
    <col min="12034" max="12034" width="36.1640625" style="21" customWidth="1"/>
    <col min="12035" max="12035" width="30" style="21" customWidth="1"/>
    <col min="12036" max="12036" width="40" style="21" customWidth="1"/>
    <col min="12037" max="12037" width="0" style="21" hidden="1" customWidth="1"/>
    <col min="12038" max="12038" width="6.33203125" style="21" bestFit="1" customWidth="1"/>
    <col min="12039" max="12039" width="14.1640625" style="21" bestFit="1" customWidth="1"/>
    <col min="12040" max="12040" width="0.5" style="21" customWidth="1"/>
    <col min="12041" max="12041" width="21" style="21" customWidth="1"/>
    <col min="12042" max="12042" width="21.1640625" style="21" customWidth="1"/>
    <col min="12043" max="12043" width="37.83203125" style="21" customWidth="1"/>
    <col min="12044" max="12044" width="6" style="21" customWidth="1"/>
    <col min="12045" max="12045" width="16.33203125" style="21" customWidth="1"/>
    <col min="12046" max="12046" width="20.83203125" style="21" customWidth="1"/>
    <col min="12047" max="12288" width="9.33203125" style="21"/>
    <col min="12289" max="12289" width="3" style="21" customWidth="1"/>
    <col min="12290" max="12290" width="36.1640625" style="21" customWidth="1"/>
    <col min="12291" max="12291" width="30" style="21" customWidth="1"/>
    <col min="12292" max="12292" width="40" style="21" customWidth="1"/>
    <col min="12293" max="12293" width="0" style="21" hidden="1" customWidth="1"/>
    <col min="12294" max="12294" width="6.33203125" style="21" bestFit="1" customWidth="1"/>
    <col min="12295" max="12295" width="14.1640625" style="21" bestFit="1" customWidth="1"/>
    <col min="12296" max="12296" width="0.5" style="21" customWidth="1"/>
    <col min="12297" max="12297" width="21" style="21" customWidth="1"/>
    <col min="12298" max="12298" width="21.1640625" style="21" customWidth="1"/>
    <col min="12299" max="12299" width="37.83203125" style="21" customWidth="1"/>
    <col min="12300" max="12300" width="6" style="21" customWidth="1"/>
    <col min="12301" max="12301" width="16.33203125" style="21" customWidth="1"/>
    <col min="12302" max="12302" width="20.83203125" style="21" customWidth="1"/>
    <col min="12303" max="12544" width="9.33203125" style="21"/>
    <col min="12545" max="12545" width="3" style="21" customWidth="1"/>
    <col min="12546" max="12546" width="36.1640625" style="21" customWidth="1"/>
    <col min="12547" max="12547" width="30" style="21" customWidth="1"/>
    <col min="12548" max="12548" width="40" style="21" customWidth="1"/>
    <col min="12549" max="12549" width="0" style="21" hidden="1" customWidth="1"/>
    <col min="12550" max="12550" width="6.33203125" style="21" bestFit="1" customWidth="1"/>
    <col min="12551" max="12551" width="14.1640625" style="21" bestFit="1" customWidth="1"/>
    <col min="12552" max="12552" width="0.5" style="21" customWidth="1"/>
    <col min="12553" max="12553" width="21" style="21" customWidth="1"/>
    <col min="12554" max="12554" width="21.1640625" style="21" customWidth="1"/>
    <col min="12555" max="12555" width="37.83203125" style="21" customWidth="1"/>
    <col min="12556" max="12556" width="6" style="21" customWidth="1"/>
    <col min="12557" max="12557" width="16.33203125" style="21" customWidth="1"/>
    <col min="12558" max="12558" width="20.83203125" style="21" customWidth="1"/>
    <col min="12559" max="12800" width="9.33203125" style="21"/>
    <col min="12801" max="12801" width="3" style="21" customWidth="1"/>
    <col min="12802" max="12802" width="36.1640625" style="21" customWidth="1"/>
    <col min="12803" max="12803" width="30" style="21" customWidth="1"/>
    <col min="12804" max="12804" width="40" style="21" customWidth="1"/>
    <col min="12805" max="12805" width="0" style="21" hidden="1" customWidth="1"/>
    <col min="12806" max="12806" width="6.33203125" style="21" bestFit="1" customWidth="1"/>
    <col min="12807" max="12807" width="14.1640625" style="21" bestFit="1" customWidth="1"/>
    <col min="12808" max="12808" width="0.5" style="21" customWidth="1"/>
    <col min="12809" max="12809" width="21" style="21" customWidth="1"/>
    <col min="12810" max="12810" width="21.1640625" style="21" customWidth="1"/>
    <col min="12811" max="12811" width="37.83203125" style="21" customWidth="1"/>
    <col min="12812" max="12812" width="6" style="21" customWidth="1"/>
    <col min="12813" max="12813" width="16.33203125" style="21" customWidth="1"/>
    <col min="12814" max="12814" width="20.83203125" style="21" customWidth="1"/>
    <col min="12815" max="13056" width="9.33203125" style="21"/>
    <col min="13057" max="13057" width="3" style="21" customWidth="1"/>
    <col min="13058" max="13058" width="36.1640625" style="21" customWidth="1"/>
    <col min="13059" max="13059" width="30" style="21" customWidth="1"/>
    <col min="13060" max="13060" width="40" style="21" customWidth="1"/>
    <col min="13061" max="13061" width="0" style="21" hidden="1" customWidth="1"/>
    <col min="13062" max="13062" width="6.33203125" style="21" bestFit="1" customWidth="1"/>
    <col min="13063" max="13063" width="14.1640625" style="21" bestFit="1" customWidth="1"/>
    <col min="13064" max="13064" width="0.5" style="21" customWidth="1"/>
    <col min="13065" max="13065" width="21" style="21" customWidth="1"/>
    <col min="13066" max="13066" width="21.1640625" style="21" customWidth="1"/>
    <col min="13067" max="13067" width="37.83203125" style="21" customWidth="1"/>
    <col min="13068" max="13068" width="6" style="21" customWidth="1"/>
    <col min="13069" max="13069" width="16.33203125" style="21" customWidth="1"/>
    <col min="13070" max="13070" width="20.83203125" style="21" customWidth="1"/>
    <col min="13071" max="13312" width="9.33203125" style="21"/>
    <col min="13313" max="13313" width="3" style="21" customWidth="1"/>
    <col min="13314" max="13314" width="36.1640625" style="21" customWidth="1"/>
    <col min="13315" max="13315" width="30" style="21" customWidth="1"/>
    <col min="13316" max="13316" width="40" style="21" customWidth="1"/>
    <col min="13317" max="13317" width="0" style="21" hidden="1" customWidth="1"/>
    <col min="13318" max="13318" width="6.33203125" style="21" bestFit="1" customWidth="1"/>
    <col min="13319" max="13319" width="14.1640625" style="21" bestFit="1" customWidth="1"/>
    <col min="13320" max="13320" width="0.5" style="21" customWidth="1"/>
    <col min="13321" max="13321" width="21" style="21" customWidth="1"/>
    <col min="13322" max="13322" width="21.1640625" style="21" customWidth="1"/>
    <col min="13323" max="13323" width="37.83203125" style="21" customWidth="1"/>
    <col min="13324" max="13324" width="6" style="21" customWidth="1"/>
    <col min="13325" max="13325" width="16.33203125" style="21" customWidth="1"/>
    <col min="13326" max="13326" width="20.83203125" style="21" customWidth="1"/>
    <col min="13327" max="13568" width="9.33203125" style="21"/>
    <col min="13569" max="13569" width="3" style="21" customWidth="1"/>
    <col min="13570" max="13570" width="36.1640625" style="21" customWidth="1"/>
    <col min="13571" max="13571" width="30" style="21" customWidth="1"/>
    <col min="13572" max="13572" width="40" style="21" customWidth="1"/>
    <col min="13573" max="13573" width="0" style="21" hidden="1" customWidth="1"/>
    <col min="13574" max="13574" width="6.33203125" style="21" bestFit="1" customWidth="1"/>
    <col min="13575" max="13575" width="14.1640625" style="21" bestFit="1" customWidth="1"/>
    <col min="13576" max="13576" width="0.5" style="21" customWidth="1"/>
    <col min="13577" max="13577" width="21" style="21" customWidth="1"/>
    <col min="13578" max="13578" width="21.1640625" style="21" customWidth="1"/>
    <col min="13579" max="13579" width="37.83203125" style="21" customWidth="1"/>
    <col min="13580" max="13580" width="6" style="21" customWidth="1"/>
    <col min="13581" max="13581" width="16.33203125" style="21" customWidth="1"/>
    <col min="13582" max="13582" width="20.83203125" style="21" customWidth="1"/>
    <col min="13583" max="13824" width="9.33203125" style="21"/>
    <col min="13825" max="13825" width="3" style="21" customWidth="1"/>
    <col min="13826" max="13826" width="36.1640625" style="21" customWidth="1"/>
    <col min="13827" max="13827" width="30" style="21" customWidth="1"/>
    <col min="13828" max="13828" width="40" style="21" customWidth="1"/>
    <col min="13829" max="13829" width="0" style="21" hidden="1" customWidth="1"/>
    <col min="13830" max="13830" width="6.33203125" style="21" bestFit="1" customWidth="1"/>
    <col min="13831" max="13831" width="14.1640625" style="21" bestFit="1" customWidth="1"/>
    <col min="13832" max="13832" width="0.5" style="21" customWidth="1"/>
    <col min="13833" max="13833" width="21" style="21" customWidth="1"/>
    <col min="13834" max="13834" width="21.1640625" style="21" customWidth="1"/>
    <col min="13835" max="13835" width="37.83203125" style="21" customWidth="1"/>
    <col min="13836" max="13836" width="6" style="21" customWidth="1"/>
    <col min="13837" max="13837" width="16.33203125" style="21" customWidth="1"/>
    <col min="13838" max="13838" width="20.83203125" style="21" customWidth="1"/>
    <col min="13839" max="14080" width="9.33203125" style="21"/>
    <col min="14081" max="14081" width="3" style="21" customWidth="1"/>
    <col min="14082" max="14082" width="36.1640625" style="21" customWidth="1"/>
    <col min="14083" max="14083" width="30" style="21" customWidth="1"/>
    <col min="14084" max="14084" width="40" style="21" customWidth="1"/>
    <col min="14085" max="14085" width="0" style="21" hidden="1" customWidth="1"/>
    <col min="14086" max="14086" width="6.33203125" style="21" bestFit="1" customWidth="1"/>
    <col min="14087" max="14087" width="14.1640625" style="21" bestFit="1" customWidth="1"/>
    <col min="14088" max="14088" width="0.5" style="21" customWidth="1"/>
    <col min="14089" max="14089" width="21" style="21" customWidth="1"/>
    <col min="14090" max="14090" width="21.1640625" style="21" customWidth="1"/>
    <col min="14091" max="14091" width="37.83203125" style="21" customWidth="1"/>
    <col min="14092" max="14092" width="6" style="21" customWidth="1"/>
    <col min="14093" max="14093" width="16.33203125" style="21" customWidth="1"/>
    <col min="14094" max="14094" width="20.83203125" style="21" customWidth="1"/>
    <col min="14095" max="14336" width="9.33203125" style="21"/>
    <col min="14337" max="14337" width="3" style="21" customWidth="1"/>
    <col min="14338" max="14338" width="36.1640625" style="21" customWidth="1"/>
    <col min="14339" max="14339" width="30" style="21" customWidth="1"/>
    <col min="14340" max="14340" width="40" style="21" customWidth="1"/>
    <col min="14341" max="14341" width="0" style="21" hidden="1" customWidth="1"/>
    <col min="14342" max="14342" width="6.33203125" style="21" bestFit="1" customWidth="1"/>
    <col min="14343" max="14343" width="14.1640625" style="21" bestFit="1" customWidth="1"/>
    <col min="14344" max="14344" width="0.5" style="21" customWidth="1"/>
    <col min="14345" max="14345" width="21" style="21" customWidth="1"/>
    <col min="14346" max="14346" width="21.1640625" style="21" customWidth="1"/>
    <col min="14347" max="14347" width="37.83203125" style="21" customWidth="1"/>
    <col min="14348" max="14348" width="6" style="21" customWidth="1"/>
    <col min="14349" max="14349" width="16.33203125" style="21" customWidth="1"/>
    <col min="14350" max="14350" width="20.83203125" style="21" customWidth="1"/>
    <col min="14351" max="14592" width="9.33203125" style="21"/>
    <col min="14593" max="14593" width="3" style="21" customWidth="1"/>
    <col min="14594" max="14594" width="36.1640625" style="21" customWidth="1"/>
    <col min="14595" max="14595" width="30" style="21" customWidth="1"/>
    <col min="14596" max="14596" width="40" style="21" customWidth="1"/>
    <col min="14597" max="14597" width="0" style="21" hidden="1" customWidth="1"/>
    <col min="14598" max="14598" width="6.33203125" style="21" bestFit="1" customWidth="1"/>
    <col min="14599" max="14599" width="14.1640625" style="21" bestFit="1" customWidth="1"/>
    <col min="14600" max="14600" width="0.5" style="21" customWidth="1"/>
    <col min="14601" max="14601" width="21" style="21" customWidth="1"/>
    <col min="14602" max="14602" width="21.1640625" style="21" customWidth="1"/>
    <col min="14603" max="14603" width="37.83203125" style="21" customWidth="1"/>
    <col min="14604" max="14604" width="6" style="21" customWidth="1"/>
    <col min="14605" max="14605" width="16.33203125" style="21" customWidth="1"/>
    <col min="14606" max="14606" width="20.83203125" style="21" customWidth="1"/>
    <col min="14607" max="14848" width="9.33203125" style="21"/>
    <col min="14849" max="14849" width="3" style="21" customWidth="1"/>
    <col min="14850" max="14850" width="36.1640625" style="21" customWidth="1"/>
    <col min="14851" max="14851" width="30" style="21" customWidth="1"/>
    <col min="14852" max="14852" width="40" style="21" customWidth="1"/>
    <col min="14853" max="14853" width="0" style="21" hidden="1" customWidth="1"/>
    <col min="14854" max="14854" width="6.33203125" style="21" bestFit="1" customWidth="1"/>
    <col min="14855" max="14855" width="14.1640625" style="21" bestFit="1" customWidth="1"/>
    <col min="14856" max="14856" width="0.5" style="21" customWidth="1"/>
    <col min="14857" max="14857" width="21" style="21" customWidth="1"/>
    <col min="14858" max="14858" width="21.1640625" style="21" customWidth="1"/>
    <col min="14859" max="14859" width="37.83203125" style="21" customWidth="1"/>
    <col min="14860" max="14860" width="6" style="21" customWidth="1"/>
    <col min="14861" max="14861" width="16.33203125" style="21" customWidth="1"/>
    <col min="14862" max="14862" width="20.83203125" style="21" customWidth="1"/>
    <col min="14863" max="15104" width="9.33203125" style="21"/>
    <col min="15105" max="15105" width="3" style="21" customWidth="1"/>
    <col min="15106" max="15106" width="36.1640625" style="21" customWidth="1"/>
    <col min="15107" max="15107" width="30" style="21" customWidth="1"/>
    <col min="15108" max="15108" width="40" style="21" customWidth="1"/>
    <col min="15109" max="15109" width="0" style="21" hidden="1" customWidth="1"/>
    <col min="15110" max="15110" width="6.33203125" style="21" bestFit="1" customWidth="1"/>
    <col min="15111" max="15111" width="14.1640625" style="21" bestFit="1" customWidth="1"/>
    <col min="15112" max="15112" width="0.5" style="21" customWidth="1"/>
    <col min="15113" max="15113" width="21" style="21" customWidth="1"/>
    <col min="15114" max="15114" width="21.1640625" style="21" customWidth="1"/>
    <col min="15115" max="15115" width="37.83203125" style="21" customWidth="1"/>
    <col min="15116" max="15116" width="6" style="21" customWidth="1"/>
    <col min="15117" max="15117" width="16.33203125" style="21" customWidth="1"/>
    <col min="15118" max="15118" width="20.83203125" style="21" customWidth="1"/>
    <col min="15119" max="15360" width="9.33203125" style="21"/>
    <col min="15361" max="15361" width="3" style="21" customWidth="1"/>
    <col min="15362" max="15362" width="36.1640625" style="21" customWidth="1"/>
    <col min="15363" max="15363" width="30" style="21" customWidth="1"/>
    <col min="15364" max="15364" width="40" style="21" customWidth="1"/>
    <col min="15365" max="15365" width="0" style="21" hidden="1" customWidth="1"/>
    <col min="15366" max="15366" width="6.33203125" style="21" bestFit="1" customWidth="1"/>
    <col min="15367" max="15367" width="14.1640625" style="21" bestFit="1" customWidth="1"/>
    <col min="15368" max="15368" width="0.5" style="21" customWidth="1"/>
    <col min="15369" max="15369" width="21" style="21" customWidth="1"/>
    <col min="15370" max="15370" width="21.1640625" style="21" customWidth="1"/>
    <col min="15371" max="15371" width="37.83203125" style="21" customWidth="1"/>
    <col min="15372" max="15372" width="6" style="21" customWidth="1"/>
    <col min="15373" max="15373" width="16.33203125" style="21" customWidth="1"/>
    <col min="15374" max="15374" width="20.83203125" style="21" customWidth="1"/>
    <col min="15375" max="15616" width="9.33203125" style="21"/>
    <col min="15617" max="15617" width="3" style="21" customWidth="1"/>
    <col min="15618" max="15618" width="36.1640625" style="21" customWidth="1"/>
    <col min="15619" max="15619" width="30" style="21" customWidth="1"/>
    <col min="15620" max="15620" width="40" style="21" customWidth="1"/>
    <col min="15621" max="15621" width="0" style="21" hidden="1" customWidth="1"/>
    <col min="15622" max="15622" width="6.33203125" style="21" bestFit="1" customWidth="1"/>
    <col min="15623" max="15623" width="14.1640625" style="21" bestFit="1" customWidth="1"/>
    <col min="15624" max="15624" width="0.5" style="21" customWidth="1"/>
    <col min="15625" max="15625" width="21" style="21" customWidth="1"/>
    <col min="15626" max="15626" width="21.1640625" style="21" customWidth="1"/>
    <col min="15627" max="15627" width="37.83203125" style="21" customWidth="1"/>
    <col min="15628" max="15628" width="6" style="21" customWidth="1"/>
    <col min="15629" max="15629" width="16.33203125" style="21" customWidth="1"/>
    <col min="15630" max="15630" width="20.83203125" style="21" customWidth="1"/>
    <col min="15631" max="15872" width="9.33203125" style="21"/>
    <col min="15873" max="15873" width="3" style="21" customWidth="1"/>
    <col min="15874" max="15874" width="36.1640625" style="21" customWidth="1"/>
    <col min="15875" max="15875" width="30" style="21" customWidth="1"/>
    <col min="15876" max="15876" width="40" style="21" customWidth="1"/>
    <col min="15877" max="15877" width="0" style="21" hidden="1" customWidth="1"/>
    <col min="15878" max="15878" width="6.33203125" style="21" bestFit="1" customWidth="1"/>
    <col min="15879" max="15879" width="14.1640625" style="21" bestFit="1" customWidth="1"/>
    <col min="15880" max="15880" width="0.5" style="21" customWidth="1"/>
    <col min="15881" max="15881" width="21" style="21" customWidth="1"/>
    <col min="15882" max="15882" width="21.1640625" style="21" customWidth="1"/>
    <col min="15883" max="15883" width="37.83203125" style="21" customWidth="1"/>
    <col min="15884" max="15884" width="6" style="21" customWidth="1"/>
    <col min="15885" max="15885" width="16.33203125" style="21" customWidth="1"/>
    <col min="15886" max="15886" width="20.83203125" style="21" customWidth="1"/>
    <col min="15887" max="16128" width="9.33203125" style="21"/>
    <col min="16129" max="16129" width="3" style="21" customWidth="1"/>
    <col min="16130" max="16130" width="36.1640625" style="21" customWidth="1"/>
    <col min="16131" max="16131" width="30" style="21" customWidth="1"/>
    <col min="16132" max="16132" width="40" style="21" customWidth="1"/>
    <col min="16133" max="16133" width="0" style="21" hidden="1" customWidth="1"/>
    <col min="16134" max="16134" width="6.33203125" style="21" bestFit="1" customWidth="1"/>
    <col min="16135" max="16135" width="14.1640625" style="21" bestFit="1" customWidth="1"/>
    <col min="16136" max="16136" width="0.5" style="21" customWidth="1"/>
    <col min="16137" max="16137" width="21" style="21" customWidth="1"/>
    <col min="16138" max="16138" width="21.1640625" style="21" customWidth="1"/>
    <col min="16139" max="16139" width="37.83203125" style="21" customWidth="1"/>
    <col min="16140" max="16140" width="6" style="21" customWidth="1"/>
    <col min="16141" max="16141" width="16.33203125" style="21" customWidth="1"/>
    <col min="16142" max="16142" width="20.83203125" style="21" customWidth="1"/>
    <col min="16143" max="16384" width="9.33203125" style="21"/>
  </cols>
  <sheetData>
    <row r="1" spans="1:14" ht="13.5" thickTop="1" thickBot="1" x14ac:dyDescent="0.25">
      <c r="A1" s="154"/>
      <c r="B1" s="155" t="s">
        <v>7216</v>
      </c>
      <c r="C1" s="156"/>
      <c r="D1" s="156"/>
      <c r="E1" s="156"/>
      <c r="F1" s="156"/>
      <c r="G1" s="157"/>
      <c r="H1" s="158"/>
      <c r="I1" s="155" t="s">
        <v>7217</v>
      </c>
      <c r="J1" s="156"/>
      <c r="K1" s="156"/>
      <c r="L1" s="156"/>
      <c r="M1" s="156"/>
      <c r="N1" s="157"/>
    </row>
    <row r="2" spans="1:14" x14ac:dyDescent="0.2">
      <c r="A2" s="154"/>
      <c r="B2" s="161" t="s">
        <v>7218</v>
      </c>
      <c r="C2" s="162"/>
      <c r="D2" s="163"/>
      <c r="E2" s="163"/>
      <c r="F2" s="163"/>
      <c r="G2" s="163"/>
      <c r="H2" s="159"/>
      <c r="I2" s="164" t="s">
        <v>7219</v>
      </c>
      <c r="J2" s="164"/>
      <c r="K2" s="163"/>
      <c r="L2" s="163"/>
      <c r="M2" s="163"/>
      <c r="N2" s="163"/>
    </row>
    <row r="3" spans="1:14" x14ac:dyDescent="0.2">
      <c r="A3" s="154"/>
      <c r="B3" s="22" t="s">
        <v>7220</v>
      </c>
      <c r="C3" s="23">
        <v>0.05</v>
      </c>
      <c r="D3" s="163"/>
      <c r="E3" s="163"/>
      <c r="F3" s="163"/>
      <c r="G3" s="163"/>
      <c r="H3" s="159"/>
      <c r="I3" s="22" t="s">
        <v>7221</v>
      </c>
      <c r="J3" s="24">
        <v>0.2</v>
      </c>
      <c r="K3" s="163"/>
      <c r="L3" s="163"/>
      <c r="M3" s="163"/>
      <c r="N3" s="163"/>
    </row>
    <row r="4" spans="1:14" x14ac:dyDescent="0.2">
      <c r="A4" s="154"/>
      <c r="B4" s="22" t="s">
        <v>7222</v>
      </c>
      <c r="C4" s="23">
        <v>0.1</v>
      </c>
      <c r="D4" s="163"/>
      <c r="E4" s="163"/>
      <c r="F4" s="163"/>
      <c r="G4" s="163"/>
      <c r="H4" s="159"/>
      <c r="I4" s="25" t="s">
        <v>7223</v>
      </c>
      <c r="J4" s="26">
        <v>0.35</v>
      </c>
      <c r="K4" s="163"/>
      <c r="L4" s="163"/>
      <c r="M4" s="163"/>
      <c r="N4" s="163"/>
    </row>
    <row r="5" spans="1:14" x14ac:dyDescent="0.2">
      <c r="A5" s="154"/>
      <c r="B5" s="25" t="s">
        <v>7224</v>
      </c>
      <c r="C5" s="23">
        <v>0.15</v>
      </c>
      <c r="D5" s="163"/>
      <c r="E5" s="163"/>
      <c r="F5" s="163"/>
      <c r="G5" s="163"/>
      <c r="H5" s="159"/>
      <c r="I5" s="25" t="s">
        <v>7225</v>
      </c>
      <c r="J5" s="26">
        <v>0.5</v>
      </c>
      <c r="K5" s="163"/>
      <c r="L5" s="163"/>
      <c r="M5" s="163"/>
      <c r="N5" s="163"/>
    </row>
    <row r="6" spans="1:14" x14ac:dyDescent="0.2">
      <c r="A6" s="154"/>
      <c r="B6" s="25" t="s">
        <v>7226</v>
      </c>
      <c r="C6" s="23">
        <v>0.2</v>
      </c>
      <c r="D6" s="163"/>
      <c r="E6" s="163"/>
      <c r="F6" s="163"/>
      <c r="G6" s="163"/>
      <c r="H6" s="159"/>
      <c r="I6" s="25" t="s">
        <v>7227</v>
      </c>
      <c r="J6" s="26">
        <v>0.6</v>
      </c>
      <c r="K6" s="163"/>
      <c r="L6" s="163"/>
      <c r="M6" s="163"/>
      <c r="N6" s="163"/>
    </row>
    <row r="7" spans="1:14" x14ac:dyDescent="0.2">
      <c r="A7" s="154"/>
      <c r="B7" s="25" t="s">
        <v>7228</v>
      </c>
      <c r="C7" s="23">
        <v>0.3</v>
      </c>
      <c r="D7" s="163"/>
      <c r="E7" s="163"/>
      <c r="F7" s="163"/>
      <c r="G7" s="163"/>
      <c r="H7" s="159"/>
      <c r="I7" s="25" t="s">
        <v>7229</v>
      </c>
      <c r="J7" s="26">
        <v>0.7</v>
      </c>
      <c r="K7" s="163"/>
      <c r="L7" s="163"/>
      <c r="M7" s="163"/>
      <c r="N7" s="163"/>
    </row>
    <row r="8" spans="1:14" x14ac:dyDescent="0.2">
      <c r="A8" s="154"/>
      <c r="B8" s="25" t="s">
        <v>7230</v>
      </c>
      <c r="C8" s="23">
        <v>0.4</v>
      </c>
      <c r="D8" s="163"/>
      <c r="E8" s="163"/>
      <c r="F8" s="163"/>
      <c r="G8" s="163"/>
      <c r="H8" s="159"/>
      <c r="I8" s="25" t="s">
        <v>7231</v>
      </c>
      <c r="J8" s="26">
        <v>0.75</v>
      </c>
      <c r="K8" s="163"/>
      <c r="L8" s="163"/>
      <c r="M8" s="163"/>
      <c r="N8" s="163"/>
    </row>
    <row r="9" spans="1:14" x14ac:dyDescent="0.2">
      <c r="A9" s="154"/>
      <c r="B9" s="25" t="s">
        <v>7232</v>
      </c>
      <c r="C9" s="23">
        <v>0.5</v>
      </c>
      <c r="D9" s="163"/>
      <c r="E9" s="163"/>
      <c r="F9" s="163"/>
      <c r="G9" s="163"/>
      <c r="H9" s="159"/>
      <c r="I9" s="25" t="s">
        <v>7233</v>
      </c>
      <c r="J9" s="26">
        <v>0.8</v>
      </c>
      <c r="K9" s="163"/>
      <c r="L9" s="163"/>
      <c r="M9" s="163"/>
      <c r="N9" s="163"/>
    </row>
    <row r="10" spans="1:14" x14ac:dyDescent="0.2">
      <c r="A10" s="154"/>
      <c r="B10" s="25" t="s">
        <v>7234</v>
      </c>
      <c r="C10" s="23">
        <v>0.6</v>
      </c>
      <c r="D10" s="163"/>
      <c r="E10" s="163"/>
      <c r="F10" s="163"/>
      <c r="G10" s="163"/>
      <c r="H10" s="159"/>
      <c r="I10" s="25" t="s">
        <v>7235</v>
      </c>
      <c r="J10" s="26">
        <v>0.83</v>
      </c>
      <c r="K10" s="163"/>
      <c r="L10" s="163"/>
      <c r="M10" s="163"/>
      <c r="N10" s="163"/>
    </row>
    <row r="11" spans="1:14" x14ac:dyDescent="0.2">
      <c r="A11" s="154"/>
      <c r="B11" s="25" t="s">
        <v>7236</v>
      </c>
      <c r="C11" s="23">
        <v>0.7</v>
      </c>
      <c r="D11" s="163"/>
      <c r="E11" s="163"/>
      <c r="F11" s="163"/>
      <c r="G11" s="163"/>
      <c r="H11" s="159"/>
      <c r="I11" s="25" t="s">
        <v>7237</v>
      </c>
      <c r="J11" s="26">
        <v>0.86</v>
      </c>
      <c r="K11" s="163"/>
      <c r="L11" s="163"/>
      <c r="M11" s="163"/>
      <c r="N11" s="163"/>
    </row>
    <row r="12" spans="1:14" x14ac:dyDescent="0.2">
      <c r="A12" s="154"/>
      <c r="D12" s="163"/>
      <c r="E12" s="163"/>
      <c r="F12" s="163"/>
      <c r="G12" s="163"/>
      <c r="H12" s="159"/>
      <c r="I12" s="25" t="s">
        <v>7238</v>
      </c>
      <c r="J12" s="26">
        <v>0.89</v>
      </c>
      <c r="K12" s="163"/>
      <c r="L12" s="163"/>
      <c r="M12" s="163"/>
      <c r="N12" s="163"/>
    </row>
    <row r="13" spans="1:14" x14ac:dyDescent="0.2">
      <c r="A13" s="154"/>
      <c r="B13" s="27" t="s">
        <v>7239</v>
      </c>
      <c r="C13" s="28"/>
      <c r="D13" s="163"/>
      <c r="E13" s="163"/>
      <c r="F13" s="163"/>
      <c r="G13" s="163"/>
      <c r="H13" s="159"/>
      <c r="I13" s="25" t="s">
        <v>7240</v>
      </c>
      <c r="J13" s="26">
        <v>0.9</v>
      </c>
      <c r="K13" s="163"/>
      <c r="L13" s="163"/>
      <c r="M13" s="163"/>
      <c r="N13" s="163"/>
    </row>
    <row r="14" spans="1:14" x14ac:dyDescent="0.2">
      <c r="A14" s="154"/>
      <c r="B14" s="165" t="s">
        <v>7241</v>
      </c>
      <c r="C14" s="165"/>
      <c r="D14" s="163"/>
      <c r="E14" s="163"/>
      <c r="F14" s="163"/>
      <c r="G14" s="163"/>
      <c r="H14" s="159"/>
      <c r="I14" s="25" t="s">
        <v>7242</v>
      </c>
      <c r="J14" s="26">
        <v>0.91</v>
      </c>
      <c r="K14" s="163"/>
      <c r="L14" s="163"/>
      <c r="M14" s="163"/>
      <c r="N14" s="163"/>
    </row>
    <row r="15" spans="1:14" x14ac:dyDescent="0.2">
      <c r="A15" s="154"/>
      <c r="B15" s="165" t="s">
        <v>7243</v>
      </c>
      <c r="C15" s="165"/>
      <c r="D15" s="163"/>
      <c r="E15" s="163"/>
      <c r="F15" s="163"/>
      <c r="G15" s="163"/>
      <c r="H15" s="159"/>
      <c r="I15" s="25" t="s">
        <v>7244</v>
      </c>
      <c r="J15" s="26">
        <v>0.92</v>
      </c>
      <c r="K15" s="163"/>
      <c r="L15" s="163"/>
      <c r="M15" s="163"/>
      <c r="N15" s="163"/>
    </row>
    <row r="16" spans="1:14" x14ac:dyDescent="0.2">
      <c r="A16" s="154"/>
      <c r="D16" s="163"/>
      <c r="E16" s="163"/>
      <c r="F16" s="163"/>
      <c r="G16" s="163"/>
      <c r="H16" s="159"/>
      <c r="I16" s="25" t="s">
        <v>7245</v>
      </c>
      <c r="J16" s="26">
        <v>0.93</v>
      </c>
      <c r="K16" s="163"/>
      <c r="L16" s="163"/>
      <c r="M16" s="163"/>
      <c r="N16" s="163"/>
    </row>
    <row r="17" spans="1:14" x14ac:dyDescent="0.2">
      <c r="A17" s="154"/>
      <c r="B17" s="29"/>
      <c r="C17" s="29"/>
      <c r="D17" s="163"/>
      <c r="E17" s="163"/>
      <c r="F17" s="163"/>
      <c r="G17" s="163"/>
      <c r="H17" s="159"/>
      <c r="I17" s="25" t="s">
        <v>7246</v>
      </c>
      <c r="J17" s="26">
        <v>0.94</v>
      </c>
      <c r="K17" s="163"/>
      <c r="L17" s="163"/>
      <c r="M17" s="163"/>
      <c r="N17" s="163"/>
    </row>
    <row r="18" spans="1:14" x14ac:dyDescent="0.2">
      <c r="A18" s="154"/>
      <c r="B18" s="29"/>
      <c r="C18" s="29"/>
      <c r="D18" s="163"/>
      <c r="E18" s="163"/>
      <c r="F18" s="163"/>
      <c r="G18" s="163"/>
      <c r="H18" s="159"/>
      <c r="I18" s="25" t="s">
        <v>7247</v>
      </c>
      <c r="J18" s="26">
        <v>0.95</v>
      </c>
      <c r="K18" s="163"/>
      <c r="L18" s="163"/>
      <c r="M18" s="163"/>
      <c r="N18" s="163"/>
    </row>
    <row r="19" spans="1:14" x14ac:dyDescent="0.2">
      <c r="A19" s="154"/>
      <c r="B19" s="29"/>
      <c r="C19" s="29"/>
      <c r="D19" s="163"/>
      <c r="E19" s="163"/>
      <c r="F19" s="163"/>
      <c r="G19" s="163"/>
      <c r="H19" s="159"/>
      <c r="I19" s="25"/>
      <c r="J19" s="26"/>
      <c r="K19" s="163"/>
      <c r="L19" s="163"/>
      <c r="M19" s="163"/>
      <c r="N19" s="163"/>
    </row>
    <row r="20" spans="1:14" x14ac:dyDescent="0.2">
      <c r="A20" s="154"/>
      <c r="B20" s="29"/>
      <c r="C20" s="29"/>
      <c r="D20" s="163"/>
      <c r="E20" s="163"/>
      <c r="F20" s="163"/>
      <c r="G20" s="163"/>
      <c r="H20" s="159"/>
      <c r="I20" s="25"/>
      <c r="J20" s="26"/>
      <c r="K20" s="30"/>
      <c r="L20" s="30"/>
    </row>
    <row r="21" spans="1:14" ht="12.75" thickBot="1" x14ac:dyDescent="0.25">
      <c r="A21" s="154"/>
      <c r="B21" s="29"/>
      <c r="C21" s="29"/>
      <c r="D21" s="163"/>
      <c r="E21" s="163"/>
      <c r="F21" s="163"/>
      <c r="G21" s="163"/>
      <c r="H21" s="159"/>
      <c r="I21" s="25"/>
      <c r="J21" s="26"/>
      <c r="K21" s="30"/>
      <c r="L21" s="30"/>
    </row>
    <row r="22" spans="1:14" ht="70.5" customHeight="1" thickBot="1" x14ac:dyDescent="0.25">
      <c r="A22" s="154"/>
      <c r="B22" s="149" t="s">
        <v>7248</v>
      </c>
      <c r="C22" s="150"/>
      <c r="D22" s="151"/>
      <c r="E22" s="31"/>
      <c r="F22" s="152" t="s">
        <v>7249</v>
      </c>
      <c r="G22" s="152"/>
      <c r="H22" s="160"/>
      <c r="I22" s="149" t="s">
        <v>7250</v>
      </c>
      <c r="J22" s="150"/>
      <c r="K22" s="151"/>
      <c r="L22" s="30"/>
      <c r="M22" s="152" t="s">
        <v>7249</v>
      </c>
      <c r="N22" s="152"/>
    </row>
    <row r="23" spans="1:14" ht="15" customHeight="1" x14ac:dyDescent="0.2">
      <c r="A23" s="154"/>
      <c r="B23" s="153" t="s">
        <v>7251</v>
      </c>
      <c r="C23" s="153"/>
      <c r="D23" s="153"/>
      <c r="E23" s="31"/>
      <c r="F23" s="32">
        <v>2023</v>
      </c>
      <c r="G23" s="33" t="s">
        <v>7252</v>
      </c>
      <c r="H23" s="160"/>
      <c r="I23" s="153" t="s">
        <v>7251</v>
      </c>
      <c r="J23" s="153"/>
      <c r="K23" s="153"/>
      <c r="L23" s="30"/>
      <c r="M23" s="32">
        <v>2023</v>
      </c>
      <c r="N23" s="33" t="s">
        <v>7253</v>
      </c>
    </row>
    <row r="24" spans="1:14" x14ac:dyDescent="0.2">
      <c r="A24" s="154"/>
      <c r="B24" s="167" t="s">
        <v>7254</v>
      </c>
      <c r="C24" s="167"/>
      <c r="D24" s="34">
        <v>2600000</v>
      </c>
      <c r="E24" s="35"/>
      <c r="F24" s="36">
        <v>0</v>
      </c>
      <c r="G24" s="33" t="s">
        <v>7255</v>
      </c>
      <c r="H24" s="160"/>
      <c r="I24" s="167" t="s">
        <v>7254</v>
      </c>
      <c r="J24" s="167"/>
      <c r="K24" s="34">
        <v>1000</v>
      </c>
      <c r="L24" s="30"/>
      <c r="M24" s="36">
        <v>0</v>
      </c>
      <c r="N24" s="33" t="s">
        <v>7255</v>
      </c>
    </row>
    <row r="25" spans="1:14" x14ac:dyDescent="0.2">
      <c r="A25" s="154"/>
      <c r="B25" s="166" t="s">
        <v>7256</v>
      </c>
      <c r="C25" s="168"/>
      <c r="D25" s="37">
        <v>0</v>
      </c>
      <c r="E25" s="38"/>
      <c r="F25" s="39">
        <f>F23-F24</f>
        <v>2023</v>
      </c>
      <c r="G25" s="33" t="s">
        <v>7257</v>
      </c>
      <c r="H25" s="160"/>
      <c r="I25" s="166" t="s">
        <v>7256</v>
      </c>
      <c r="J25" s="168"/>
      <c r="K25" s="37">
        <v>0</v>
      </c>
      <c r="M25" s="39">
        <f>M23-M24</f>
        <v>2023</v>
      </c>
      <c r="N25" s="33" t="s">
        <v>7257</v>
      </c>
    </row>
    <row r="26" spans="1:14" x14ac:dyDescent="0.2">
      <c r="A26" s="154"/>
      <c r="B26" s="166" t="s">
        <v>7258</v>
      </c>
      <c r="C26" s="168"/>
      <c r="D26" s="40">
        <v>0</v>
      </c>
      <c r="E26" s="41"/>
      <c r="F26" s="33"/>
      <c r="G26" s="33"/>
      <c r="H26" s="160"/>
      <c r="I26" s="166" t="s">
        <v>7258</v>
      </c>
      <c r="J26" s="168"/>
      <c r="K26" s="40">
        <v>0</v>
      </c>
      <c r="M26" s="33"/>
      <c r="N26" s="33"/>
    </row>
    <row r="27" spans="1:14" ht="15" customHeight="1" x14ac:dyDescent="0.2">
      <c r="A27" s="154"/>
      <c r="B27" s="166" t="s">
        <v>7259</v>
      </c>
      <c r="C27" s="166"/>
      <c r="D27" s="42">
        <f>((D24/1.25)*(100%-D25)/1.25/1.2/1.16)*(100%-D26)</f>
        <v>1195402.2988505748</v>
      </c>
      <c r="E27" s="35"/>
      <c r="F27" s="33"/>
      <c r="G27" s="33"/>
      <c r="H27" s="160"/>
      <c r="I27" s="166" t="s">
        <v>7259</v>
      </c>
      <c r="J27" s="166"/>
      <c r="K27" s="42">
        <f>((K24/1.25)*(100%-K25)/1.25/1.2/1.16)*(100%-K26)</f>
        <v>459.77011494252878</v>
      </c>
      <c r="L27" s="43"/>
      <c r="N27" s="33"/>
    </row>
    <row r="28" spans="1:14" x14ac:dyDescent="0.2">
      <c r="A28" s="154"/>
      <c r="B28" s="167" t="s">
        <v>7260</v>
      </c>
      <c r="C28" s="166"/>
      <c r="D28" s="44">
        <f>D27*35%</f>
        <v>418390.80459770112</v>
      </c>
      <c r="E28" s="38"/>
      <c r="F28" s="45"/>
      <c r="G28" s="46"/>
      <c r="H28" s="160"/>
      <c r="I28" s="167" t="s">
        <v>7260</v>
      </c>
      <c r="J28" s="166"/>
      <c r="K28" s="44">
        <f>K27*35%</f>
        <v>160.91954022988506</v>
      </c>
      <c r="N28" s="33"/>
    </row>
    <row r="29" spans="1:14" ht="15" customHeight="1" x14ac:dyDescent="0.2">
      <c r="A29" s="154"/>
      <c r="B29" s="166" t="s">
        <v>7261</v>
      </c>
      <c r="C29" s="166"/>
      <c r="D29" s="47">
        <f>D27+D28</f>
        <v>1613793.1034482759</v>
      </c>
      <c r="E29" s="35"/>
      <c r="F29" s="33"/>
      <c r="G29" s="46"/>
      <c r="H29" s="160"/>
      <c r="I29" s="166" t="s">
        <v>7261</v>
      </c>
      <c r="J29" s="166"/>
      <c r="K29" s="47">
        <f>K27+K28</f>
        <v>620.68965517241384</v>
      </c>
      <c r="M29" s="48"/>
      <c r="N29" s="33"/>
    </row>
    <row r="30" spans="1:14" x14ac:dyDescent="0.2">
      <c r="A30" s="154"/>
      <c r="B30" s="167" t="s">
        <v>7262</v>
      </c>
      <c r="C30" s="166"/>
      <c r="D30" s="44">
        <f>D29*20%</f>
        <v>322758.62068965519</v>
      </c>
      <c r="E30" s="35"/>
      <c r="F30" s="45"/>
      <c r="G30" s="46"/>
      <c r="H30" s="160"/>
      <c r="I30" s="167" t="s">
        <v>7262</v>
      </c>
      <c r="J30" s="166"/>
      <c r="K30" s="44">
        <f>K29*20%</f>
        <v>124.13793103448278</v>
      </c>
      <c r="M30" s="48"/>
      <c r="N30" s="33"/>
    </row>
    <row r="31" spans="1:14" ht="15" customHeight="1" x14ac:dyDescent="0.2">
      <c r="A31" s="154"/>
      <c r="B31" s="166" t="s">
        <v>7263</v>
      </c>
      <c r="C31" s="166"/>
      <c r="D31" s="49">
        <f>D27+D28+D30</f>
        <v>1936551.7241379311</v>
      </c>
      <c r="E31" s="35"/>
      <c r="F31" s="33"/>
      <c r="G31" s="33"/>
      <c r="H31" s="160"/>
      <c r="I31" s="166" t="s">
        <v>7263</v>
      </c>
      <c r="J31" s="166"/>
      <c r="K31" s="49">
        <f>K27+K28+K30</f>
        <v>744.82758620689663</v>
      </c>
    </row>
    <row r="32" spans="1:14" x14ac:dyDescent="0.2">
      <c r="A32" s="154"/>
      <c r="B32" s="167" t="s">
        <v>7300</v>
      </c>
      <c r="C32" s="166"/>
      <c r="D32" s="44">
        <f>D31*16%</f>
        <v>309848.27586206899</v>
      </c>
      <c r="E32" s="35"/>
      <c r="F32" s="45"/>
      <c r="G32" s="46"/>
      <c r="H32" s="160"/>
      <c r="I32" s="167" t="s">
        <v>7300</v>
      </c>
      <c r="J32" s="166"/>
      <c r="K32" s="44">
        <f>K31*16%</f>
        <v>119.17241379310346</v>
      </c>
    </row>
    <row r="33" spans="1:17" x14ac:dyDescent="0.2">
      <c r="A33" s="154"/>
      <c r="B33" s="167" t="s">
        <v>7264</v>
      </c>
      <c r="C33" s="167"/>
      <c r="D33" s="44">
        <f>D27*2%</f>
        <v>23908.045977011494</v>
      </c>
      <c r="E33" s="50"/>
      <c r="F33" s="45"/>
      <c r="G33" s="46"/>
      <c r="H33" s="160"/>
      <c r="I33" s="169" t="s">
        <v>7265</v>
      </c>
      <c r="J33" s="169"/>
      <c r="K33" s="51">
        <f>K28+K30+K32</f>
        <v>404.22988505747128</v>
      </c>
    </row>
    <row r="34" spans="1:17" x14ac:dyDescent="0.2">
      <c r="A34" s="154"/>
      <c r="B34" s="167" t="s">
        <v>7266</v>
      </c>
      <c r="C34" s="167"/>
      <c r="D34" s="44">
        <f>D27*3.5%</f>
        <v>41839.080459770121</v>
      </c>
      <c r="E34" s="50"/>
      <c r="F34" s="45"/>
      <c r="G34" s="46"/>
      <c r="H34" s="159"/>
      <c r="I34" s="167"/>
      <c r="J34" s="167"/>
      <c r="K34" s="44"/>
    </row>
    <row r="35" spans="1:17" s="19" customFormat="1" x14ac:dyDescent="0.2">
      <c r="A35" s="154"/>
      <c r="B35" s="169" t="s">
        <v>7265</v>
      </c>
      <c r="C35" s="169"/>
      <c r="D35" s="51">
        <f>D28+D30+D32+D33+D34</f>
        <v>1116744.8275862071</v>
      </c>
      <c r="E35" s="52"/>
      <c r="F35" s="53"/>
      <c r="G35" s="54"/>
      <c r="H35" s="159"/>
      <c r="I35" s="169"/>
      <c r="J35" s="169"/>
      <c r="K35" s="51"/>
      <c r="P35" s="20"/>
      <c r="Q35" s="20"/>
    </row>
    <row r="36" spans="1:17" s="19" customFormat="1" x14ac:dyDescent="0.2">
      <c r="A36" s="154"/>
      <c r="B36" s="55"/>
      <c r="C36" s="55"/>
      <c r="D36" s="49"/>
      <c r="E36" s="52"/>
      <c r="F36" s="53"/>
      <c r="G36" s="54"/>
      <c r="H36" s="159"/>
      <c r="P36" s="20"/>
      <c r="Q36" s="20"/>
    </row>
    <row r="37" spans="1:17" s="19" customFormat="1" x14ac:dyDescent="0.2">
      <c r="A37" s="154"/>
      <c r="B37" s="55"/>
      <c r="C37" s="55"/>
      <c r="D37" s="49"/>
      <c r="E37" s="52"/>
      <c r="F37" s="53"/>
      <c r="G37" s="54"/>
      <c r="H37" s="159"/>
      <c r="P37" s="20"/>
      <c r="Q37" s="20"/>
    </row>
    <row r="38" spans="1:17" s="19" customFormat="1" ht="12.75" thickBot="1" x14ac:dyDescent="0.25">
      <c r="A38" s="154"/>
      <c r="B38" s="55"/>
      <c r="C38" s="55"/>
      <c r="D38" s="49"/>
      <c r="E38" s="52"/>
      <c r="F38" s="53"/>
      <c r="G38" s="54"/>
      <c r="H38" s="159"/>
      <c r="P38" s="20"/>
      <c r="Q38" s="20"/>
    </row>
    <row r="39" spans="1:17" s="19" customFormat="1" ht="69.75" customHeight="1" thickBot="1" x14ac:dyDescent="0.25">
      <c r="A39" s="154"/>
      <c r="B39" s="149" t="s">
        <v>7267</v>
      </c>
      <c r="C39" s="150"/>
      <c r="D39" s="151"/>
      <c r="E39" s="56"/>
      <c r="F39" s="57"/>
      <c r="G39" s="58"/>
      <c r="H39" s="160"/>
      <c r="I39" s="149" t="s">
        <v>7268</v>
      </c>
      <c r="J39" s="150"/>
      <c r="K39" s="151"/>
      <c r="P39" s="20"/>
      <c r="Q39" s="20"/>
    </row>
    <row r="40" spans="1:17" s="19" customFormat="1" x14ac:dyDescent="0.2">
      <c r="A40" s="154"/>
      <c r="B40" s="153" t="s">
        <v>7251</v>
      </c>
      <c r="C40" s="153"/>
      <c r="D40" s="153"/>
      <c r="E40" s="56"/>
      <c r="F40" s="57"/>
      <c r="G40" s="58"/>
      <c r="H40" s="159"/>
      <c r="I40" s="153" t="s">
        <v>7251</v>
      </c>
      <c r="J40" s="153"/>
      <c r="K40" s="153"/>
      <c r="P40" s="20"/>
      <c r="Q40" s="20"/>
    </row>
    <row r="41" spans="1:17" s="19" customFormat="1" x14ac:dyDescent="0.2">
      <c r="A41" s="154"/>
      <c r="B41" s="167" t="s">
        <v>7254</v>
      </c>
      <c r="C41" s="167"/>
      <c r="D41" s="34">
        <v>13062466</v>
      </c>
      <c r="E41" s="56"/>
      <c r="F41" s="57"/>
      <c r="G41" s="58"/>
      <c r="H41" s="159"/>
      <c r="I41" s="167" t="s">
        <v>7254</v>
      </c>
      <c r="J41" s="167"/>
      <c r="K41" s="34">
        <v>5361593</v>
      </c>
      <c r="P41" s="20"/>
      <c r="Q41" s="20"/>
    </row>
    <row r="42" spans="1:17" s="19" customFormat="1" x14ac:dyDescent="0.2">
      <c r="A42" s="154"/>
      <c r="B42" s="166" t="s">
        <v>7256</v>
      </c>
      <c r="C42" s="166"/>
      <c r="D42" s="37">
        <v>0.65</v>
      </c>
      <c r="E42" s="56"/>
      <c r="F42" s="57"/>
      <c r="G42" s="58"/>
      <c r="H42" s="159"/>
      <c r="I42" s="166" t="s">
        <v>7256</v>
      </c>
      <c r="J42" s="166"/>
      <c r="K42" s="37">
        <v>0.95</v>
      </c>
      <c r="P42" s="20"/>
      <c r="Q42" s="20"/>
    </row>
    <row r="43" spans="1:17" s="19" customFormat="1" x14ac:dyDescent="0.2">
      <c r="A43" s="154"/>
      <c r="B43" s="166" t="s">
        <v>7258</v>
      </c>
      <c r="C43" s="166"/>
      <c r="D43" s="40">
        <v>0</v>
      </c>
      <c r="E43" s="56"/>
      <c r="F43" s="57"/>
      <c r="G43" s="58"/>
      <c r="H43" s="159"/>
      <c r="I43" s="166" t="s">
        <v>7258</v>
      </c>
      <c r="J43" s="166"/>
      <c r="K43" s="40">
        <v>0</v>
      </c>
      <c r="P43" s="20"/>
      <c r="Q43" s="20"/>
    </row>
    <row r="44" spans="1:17" s="19" customFormat="1" x14ac:dyDescent="0.2">
      <c r="A44" s="154"/>
      <c r="B44" s="166" t="s">
        <v>7259</v>
      </c>
      <c r="C44" s="166"/>
      <c r="D44" s="42">
        <f>((D41/1.25)*(100%-D42)/1.25/1.2/1.16)*(100%-D43)</f>
        <v>2102006.0229885061</v>
      </c>
      <c r="E44" s="56"/>
      <c r="F44" s="57"/>
      <c r="G44" s="58"/>
      <c r="H44" s="159"/>
      <c r="I44" s="166" t="s">
        <v>7259</v>
      </c>
      <c r="J44" s="166"/>
      <c r="K44" s="42">
        <f>((K41/1.25)*(100%-K42)/1.25/1.2/1.16)*(100%-K43)</f>
        <v>123255.01149425301</v>
      </c>
      <c r="P44" s="20"/>
      <c r="Q44" s="20"/>
    </row>
    <row r="45" spans="1:17" s="19" customFormat="1" x14ac:dyDescent="0.2">
      <c r="A45" s="154"/>
      <c r="B45" s="167" t="s">
        <v>7260</v>
      </c>
      <c r="C45" s="167"/>
      <c r="D45" s="44">
        <f>D44*35%</f>
        <v>735702.10804597707</v>
      </c>
      <c r="E45" s="56"/>
      <c r="F45" s="59"/>
      <c r="G45" s="60"/>
      <c r="H45" s="159"/>
      <c r="I45" s="167" t="s">
        <v>7260</v>
      </c>
      <c r="J45" s="167"/>
      <c r="K45" s="61">
        <f>K44*35%</f>
        <v>43139.254022988549</v>
      </c>
      <c r="P45" s="20"/>
      <c r="Q45" s="20"/>
    </row>
    <row r="46" spans="1:17" s="19" customFormat="1" x14ac:dyDescent="0.2">
      <c r="A46" s="154"/>
      <c r="B46" s="166" t="s">
        <v>7261</v>
      </c>
      <c r="C46" s="166"/>
      <c r="D46" s="47">
        <f>D44+D45</f>
        <v>2837708.1310344832</v>
      </c>
      <c r="E46" s="56"/>
      <c r="F46" s="57"/>
      <c r="G46" s="60"/>
      <c r="H46" s="159"/>
      <c r="I46" s="166" t="s">
        <v>7261</v>
      </c>
      <c r="J46" s="166"/>
      <c r="K46" s="49">
        <f>K44+K45</f>
        <v>166394.26551724155</v>
      </c>
      <c r="P46" s="20"/>
      <c r="Q46" s="20"/>
    </row>
    <row r="47" spans="1:17" s="19" customFormat="1" x14ac:dyDescent="0.2">
      <c r="A47" s="154"/>
      <c r="B47" s="167" t="s">
        <v>7269</v>
      </c>
      <c r="C47" s="167"/>
      <c r="D47" s="62">
        <f>D46*25%</f>
        <v>709427.0327586208</v>
      </c>
      <c r="E47" s="56"/>
      <c r="F47" s="59"/>
      <c r="G47" s="60"/>
      <c r="H47" s="159"/>
      <c r="I47" s="167" t="s">
        <v>7269</v>
      </c>
      <c r="J47" s="166"/>
      <c r="K47" s="63">
        <f>K46*25%</f>
        <v>41598.566379310389</v>
      </c>
      <c r="P47" s="20"/>
      <c r="Q47" s="20"/>
    </row>
    <row r="48" spans="1:17" s="19" customFormat="1" x14ac:dyDescent="0.2">
      <c r="A48" s="154"/>
      <c r="B48" s="166" t="s">
        <v>7263</v>
      </c>
      <c r="C48" s="166"/>
      <c r="D48" s="49">
        <f>D44+D45+D47</f>
        <v>3547135.1637931038</v>
      </c>
      <c r="E48" s="56"/>
      <c r="F48" s="57"/>
      <c r="G48" s="58"/>
      <c r="H48" s="159"/>
      <c r="I48" s="166" t="s">
        <v>7263</v>
      </c>
      <c r="J48" s="166"/>
      <c r="K48" s="49">
        <f>K44+K45+K47</f>
        <v>207992.83189655194</v>
      </c>
      <c r="P48" s="20"/>
      <c r="Q48" s="20"/>
    </row>
    <row r="49" spans="1:17" s="19" customFormat="1" x14ac:dyDescent="0.2">
      <c r="A49" s="154"/>
      <c r="B49" s="167" t="s">
        <v>7300</v>
      </c>
      <c r="C49" s="167"/>
      <c r="D49" s="44">
        <f>D48*16%</f>
        <v>567541.62620689662</v>
      </c>
      <c r="E49" s="56"/>
      <c r="F49" s="59"/>
      <c r="G49" s="60"/>
      <c r="H49" s="159"/>
      <c r="I49" s="167" t="s">
        <v>7300</v>
      </c>
      <c r="J49" s="166"/>
      <c r="K49" s="44">
        <f>K48*16%</f>
        <v>33278.853103448309</v>
      </c>
      <c r="P49" s="20"/>
      <c r="Q49" s="20"/>
    </row>
    <row r="50" spans="1:17" s="19" customFormat="1" x14ac:dyDescent="0.2">
      <c r="A50" s="154"/>
      <c r="B50" s="167" t="s">
        <v>7264</v>
      </c>
      <c r="C50" s="167"/>
      <c r="D50" s="44">
        <f>D44*1.5%</f>
        <v>31530.090344827589</v>
      </c>
      <c r="E50" s="56"/>
      <c r="F50" s="59"/>
      <c r="G50" s="60"/>
      <c r="H50" s="159"/>
      <c r="I50" s="169" t="s">
        <v>7265</v>
      </c>
      <c r="J50" s="169"/>
      <c r="K50" s="51">
        <f>K45+K47+K49</f>
        <v>118016.67350574725</v>
      </c>
      <c r="P50" s="20"/>
      <c r="Q50" s="20"/>
    </row>
    <row r="51" spans="1:17" s="19" customFormat="1" x14ac:dyDescent="0.2">
      <c r="A51" s="154"/>
      <c r="B51" s="167" t="s">
        <v>7266</v>
      </c>
      <c r="C51" s="167"/>
      <c r="D51" s="44">
        <f>D44*2.5%</f>
        <v>52550.150574712658</v>
      </c>
      <c r="E51" s="56"/>
      <c r="F51" s="59"/>
      <c r="G51" s="60"/>
      <c r="H51" s="159"/>
      <c r="I51" s="33"/>
      <c r="J51" s="33"/>
      <c r="K51" s="33"/>
      <c r="P51" s="20"/>
      <c r="Q51" s="20"/>
    </row>
    <row r="52" spans="1:17" s="19" customFormat="1" x14ac:dyDescent="0.2">
      <c r="A52" s="154"/>
      <c r="B52" s="169" t="s">
        <v>7265</v>
      </c>
      <c r="C52" s="169"/>
      <c r="D52" s="51">
        <f>D45+D47+D49+D51+D50</f>
        <v>2096751.0079310345</v>
      </c>
      <c r="E52" s="56"/>
      <c r="F52" s="57"/>
      <c r="G52" s="60"/>
      <c r="H52" s="159"/>
      <c r="I52" s="33"/>
      <c r="J52" s="33"/>
      <c r="K52" s="33"/>
      <c r="P52" s="20"/>
      <c r="Q52" s="20"/>
    </row>
    <row r="53" spans="1:17" s="19" customFormat="1" x14ac:dyDescent="0.2">
      <c r="A53" s="154"/>
      <c r="B53" s="55"/>
      <c r="C53" s="64"/>
      <c r="D53" s="44"/>
      <c r="E53" s="56"/>
      <c r="F53" s="57"/>
      <c r="G53" s="65"/>
      <c r="H53" s="159"/>
      <c r="I53" s="33"/>
      <c r="J53" s="33"/>
      <c r="K53" s="33"/>
      <c r="P53" s="20"/>
      <c r="Q53" s="20"/>
    </row>
    <row r="54" spans="1:17" s="19" customFormat="1" x14ac:dyDescent="0.2">
      <c r="A54" s="154"/>
      <c r="B54" s="55"/>
      <c r="C54" s="64"/>
      <c r="D54" s="44"/>
      <c r="E54" s="56"/>
      <c r="F54" s="57"/>
      <c r="G54" s="65"/>
      <c r="H54" s="159"/>
      <c r="I54" s="33"/>
      <c r="J54" s="33"/>
      <c r="K54" s="33"/>
      <c r="P54" s="20"/>
      <c r="Q54" s="20"/>
    </row>
    <row r="55" spans="1:17" s="19" customFormat="1" ht="12.75" thickBot="1" x14ac:dyDescent="0.25">
      <c r="A55" s="154"/>
      <c r="B55" s="55"/>
      <c r="C55" s="64"/>
      <c r="D55" s="44"/>
      <c r="E55" s="56"/>
      <c r="F55" s="57"/>
      <c r="G55" s="65"/>
      <c r="H55" s="159"/>
      <c r="I55" s="33"/>
      <c r="J55" s="33"/>
      <c r="K55" s="33"/>
      <c r="P55" s="20"/>
      <c r="Q55" s="20"/>
    </row>
    <row r="56" spans="1:17" s="19" customFormat="1" ht="62.25" customHeight="1" thickBot="1" x14ac:dyDescent="0.25">
      <c r="A56" s="154"/>
      <c r="B56" s="149" t="s">
        <v>7270</v>
      </c>
      <c r="C56" s="150"/>
      <c r="D56" s="151"/>
      <c r="E56" s="56"/>
      <c r="F56" s="57"/>
      <c r="G56" s="65"/>
      <c r="H56" s="160"/>
      <c r="I56" s="149" t="s">
        <v>7271</v>
      </c>
      <c r="J56" s="150"/>
      <c r="K56" s="151"/>
      <c r="P56" s="20"/>
      <c r="Q56" s="20"/>
    </row>
    <row r="57" spans="1:17" s="19" customFormat="1" x14ac:dyDescent="0.2">
      <c r="A57" s="154"/>
      <c r="B57" s="153" t="s">
        <v>7251</v>
      </c>
      <c r="C57" s="153"/>
      <c r="D57" s="153"/>
      <c r="E57" s="56"/>
      <c r="F57" s="57"/>
      <c r="G57" s="58"/>
      <c r="H57" s="159"/>
      <c r="I57" s="153" t="s">
        <v>7251</v>
      </c>
      <c r="J57" s="153"/>
      <c r="K57" s="153"/>
      <c r="P57" s="20"/>
      <c r="Q57" s="20"/>
    </row>
    <row r="58" spans="1:17" s="19" customFormat="1" x14ac:dyDescent="0.2">
      <c r="A58" s="154"/>
      <c r="B58" s="167" t="s">
        <v>7254</v>
      </c>
      <c r="C58" s="167"/>
      <c r="D58" s="34">
        <v>9095658.6999999993</v>
      </c>
      <c r="E58" s="56"/>
      <c r="F58" s="57"/>
      <c r="G58" s="58"/>
      <c r="H58" s="159"/>
      <c r="I58" s="167" t="s">
        <v>7254</v>
      </c>
      <c r="J58" s="167"/>
      <c r="K58" s="34">
        <v>5361593</v>
      </c>
      <c r="P58" s="20"/>
      <c r="Q58" s="20"/>
    </row>
    <row r="59" spans="1:17" s="19" customFormat="1" x14ac:dyDescent="0.2">
      <c r="A59" s="154"/>
      <c r="B59" s="166" t="s">
        <v>7256</v>
      </c>
      <c r="C59" s="166"/>
      <c r="D59" s="37">
        <v>0.65</v>
      </c>
      <c r="E59" s="56"/>
      <c r="F59" s="57"/>
      <c r="G59" s="58"/>
      <c r="H59" s="159"/>
      <c r="I59" s="166" t="s">
        <v>7256</v>
      </c>
      <c r="J59" s="166"/>
      <c r="K59" s="37">
        <v>0.95</v>
      </c>
      <c r="P59" s="20"/>
      <c r="Q59" s="20"/>
    </row>
    <row r="60" spans="1:17" s="19" customFormat="1" x14ac:dyDescent="0.2">
      <c r="A60" s="154"/>
      <c r="B60" s="166" t="s">
        <v>7258</v>
      </c>
      <c r="C60" s="166"/>
      <c r="D60" s="40">
        <v>0</v>
      </c>
      <c r="E60" s="56"/>
      <c r="F60" s="57"/>
      <c r="G60" s="58"/>
      <c r="H60" s="159"/>
      <c r="I60" s="166" t="s">
        <v>7258</v>
      </c>
      <c r="J60" s="166"/>
      <c r="K60" s="40">
        <v>0</v>
      </c>
      <c r="P60" s="20"/>
      <c r="Q60" s="20"/>
    </row>
    <row r="61" spans="1:17" s="19" customFormat="1" x14ac:dyDescent="0.2">
      <c r="A61" s="154"/>
      <c r="B61" s="166" t="s">
        <v>7259</v>
      </c>
      <c r="C61" s="166"/>
      <c r="D61" s="42">
        <f>((D58/1.25)*(100%-D59)/1.25/1.3/1.16)*(100%-D60)</f>
        <v>1351079.2763925726</v>
      </c>
      <c r="E61" s="56"/>
      <c r="F61" s="57"/>
      <c r="G61" s="58"/>
      <c r="H61" s="159"/>
      <c r="I61" s="166" t="s">
        <v>7259</v>
      </c>
      <c r="J61" s="166"/>
      <c r="K61" s="42">
        <f>((K58/1.25)*(100%-K59)/1.25/1.3/1.16)*(100%-K60)</f>
        <v>113773.85676392585</v>
      </c>
      <c r="P61" s="20"/>
      <c r="Q61" s="20"/>
    </row>
    <row r="62" spans="1:17" s="19" customFormat="1" x14ac:dyDescent="0.2">
      <c r="A62" s="154"/>
      <c r="B62" s="167" t="s">
        <v>7260</v>
      </c>
      <c r="C62" s="167"/>
      <c r="D62" s="61">
        <f>D61*35%</f>
        <v>472877.74673740036</v>
      </c>
      <c r="E62" s="56"/>
      <c r="F62" s="59"/>
      <c r="G62" s="60"/>
      <c r="H62" s="159"/>
      <c r="I62" s="167" t="s">
        <v>7260</v>
      </c>
      <c r="J62" s="167"/>
      <c r="K62" s="44">
        <f>K61*35%</f>
        <v>39820.849867374047</v>
      </c>
      <c r="P62" s="20"/>
      <c r="Q62" s="20"/>
    </row>
    <row r="63" spans="1:17" s="19" customFormat="1" x14ac:dyDescent="0.2">
      <c r="A63" s="154"/>
      <c r="B63" s="166" t="s">
        <v>7261</v>
      </c>
      <c r="C63" s="166"/>
      <c r="D63" s="47">
        <f>D61+D62</f>
        <v>1823957.0231299729</v>
      </c>
      <c r="E63" s="56"/>
      <c r="F63" s="57"/>
      <c r="G63" s="60"/>
      <c r="H63" s="159"/>
      <c r="I63" s="166" t="s">
        <v>7261</v>
      </c>
      <c r="J63" s="166"/>
      <c r="K63" s="49">
        <f>K61+K62</f>
        <v>153594.70663129989</v>
      </c>
      <c r="P63" s="20"/>
      <c r="Q63" s="20"/>
    </row>
    <row r="64" spans="1:17" s="19" customFormat="1" x14ac:dyDescent="0.2">
      <c r="A64" s="154"/>
      <c r="B64" s="167" t="s">
        <v>7272</v>
      </c>
      <c r="C64" s="167"/>
      <c r="D64" s="63">
        <f>D63*35%</f>
        <v>638384.95809549047</v>
      </c>
      <c r="E64" s="56"/>
      <c r="F64" s="59"/>
      <c r="G64" s="60"/>
      <c r="H64" s="159"/>
      <c r="I64" s="167" t="s">
        <v>7272</v>
      </c>
      <c r="J64" s="166"/>
      <c r="K64" s="63">
        <f>K63*35%</f>
        <v>53758.147320954959</v>
      </c>
      <c r="P64" s="20"/>
      <c r="Q64" s="20"/>
    </row>
    <row r="65" spans="1:17" s="19" customFormat="1" x14ac:dyDescent="0.2">
      <c r="A65" s="154"/>
      <c r="B65" s="166" t="s">
        <v>7263</v>
      </c>
      <c r="C65" s="166"/>
      <c r="D65" s="49">
        <f>D61+D62+D64</f>
        <v>2462341.9812254636</v>
      </c>
      <c r="E65" s="56"/>
      <c r="F65" s="57"/>
      <c r="G65" s="58"/>
      <c r="H65" s="159"/>
      <c r="I65" s="166" t="s">
        <v>7263</v>
      </c>
      <c r="J65" s="166"/>
      <c r="K65" s="49">
        <f>K61+K62+K64</f>
        <v>207352.85395225487</v>
      </c>
      <c r="P65" s="20"/>
      <c r="Q65" s="20"/>
    </row>
    <row r="66" spans="1:17" s="19" customFormat="1" x14ac:dyDescent="0.2">
      <c r="A66" s="154"/>
      <c r="B66" s="167" t="s">
        <v>7300</v>
      </c>
      <c r="C66" s="167"/>
      <c r="D66" s="44">
        <f>D65*16%</f>
        <v>393974.71699607419</v>
      </c>
      <c r="E66" s="56"/>
      <c r="F66" s="59"/>
      <c r="G66" s="60"/>
      <c r="H66" s="159"/>
      <c r="I66" s="167" t="s">
        <v>7300</v>
      </c>
      <c r="J66" s="166"/>
      <c r="K66" s="44">
        <f>K65*16%</f>
        <v>33176.45663236078</v>
      </c>
      <c r="P66" s="20"/>
      <c r="Q66" s="20"/>
    </row>
    <row r="67" spans="1:17" s="19" customFormat="1" x14ac:dyDescent="0.2">
      <c r="A67" s="154"/>
      <c r="B67" s="167" t="s">
        <v>7264</v>
      </c>
      <c r="C67" s="167"/>
      <c r="D67" s="44">
        <f>D61*1.5%</f>
        <v>20266.189145888588</v>
      </c>
      <c r="E67" s="56"/>
      <c r="F67" s="59"/>
      <c r="G67" s="60"/>
      <c r="H67" s="159"/>
      <c r="I67" s="169" t="s">
        <v>7265</v>
      </c>
      <c r="J67" s="169"/>
      <c r="K67" s="51">
        <f>K62+K64+K66</f>
        <v>126755.45382068979</v>
      </c>
      <c r="P67" s="20"/>
      <c r="Q67" s="20"/>
    </row>
    <row r="68" spans="1:17" s="19" customFormat="1" x14ac:dyDescent="0.2">
      <c r="A68" s="154"/>
      <c r="B68" s="167" t="s">
        <v>7266</v>
      </c>
      <c r="C68" s="167"/>
      <c r="D68" s="44">
        <f>D61*2.5%</f>
        <v>33776.981909814313</v>
      </c>
      <c r="E68" s="56"/>
      <c r="F68" s="59"/>
      <c r="G68" s="60"/>
      <c r="H68" s="159"/>
      <c r="I68" s="33"/>
      <c r="J68" s="33"/>
      <c r="K68" s="33"/>
      <c r="P68" s="20"/>
      <c r="Q68" s="20"/>
    </row>
    <row r="69" spans="1:17" s="19" customFormat="1" x14ac:dyDescent="0.2">
      <c r="A69" s="154"/>
      <c r="B69" s="169" t="s">
        <v>7265</v>
      </c>
      <c r="C69" s="169"/>
      <c r="D69" s="51">
        <f>D62+D64+D66+D68+D67</f>
        <v>1559280.5928846679</v>
      </c>
      <c r="E69" s="56"/>
      <c r="F69" s="57"/>
      <c r="G69" s="60"/>
      <c r="H69" s="159"/>
      <c r="I69" s="33"/>
      <c r="J69" s="33"/>
      <c r="K69" s="33"/>
      <c r="P69" s="20"/>
      <c r="Q69" s="20"/>
    </row>
    <row r="70" spans="1:17" s="19" customFormat="1" x14ac:dyDescent="0.2">
      <c r="A70" s="154"/>
      <c r="B70" s="55"/>
      <c r="C70" s="64"/>
      <c r="D70" s="44"/>
      <c r="E70" s="56"/>
      <c r="F70" s="57"/>
      <c r="G70" s="65"/>
      <c r="H70" s="159"/>
      <c r="I70" s="33"/>
      <c r="J70" s="33"/>
      <c r="K70" s="33"/>
      <c r="P70" s="20"/>
      <c r="Q70" s="20"/>
    </row>
    <row r="71" spans="1:17" s="19" customFormat="1" ht="12.75" thickBot="1" x14ac:dyDescent="0.25">
      <c r="A71" s="154"/>
      <c r="B71" s="55"/>
      <c r="C71" s="64"/>
      <c r="D71" s="44"/>
      <c r="E71" s="56"/>
      <c r="F71" s="57"/>
      <c r="G71" s="65"/>
      <c r="H71" s="159"/>
      <c r="I71" s="33"/>
      <c r="J71" s="33"/>
      <c r="K71" s="33"/>
      <c r="P71" s="20"/>
      <c r="Q71" s="20"/>
    </row>
    <row r="72" spans="1:17" s="19" customFormat="1" ht="85.5" customHeight="1" thickBot="1" x14ac:dyDescent="0.25">
      <c r="A72" s="154"/>
      <c r="B72" s="149" t="s">
        <v>7273</v>
      </c>
      <c r="C72" s="150"/>
      <c r="D72" s="151"/>
      <c r="E72" s="56"/>
      <c r="F72" s="57"/>
      <c r="G72" s="58"/>
      <c r="H72" s="160"/>
      <c r="I72" s="149" t="s">
        <v>7274</v>
      </c>
      <c r="J72" s="150"/>
      <c r="K72" s="151"/>
      <c r="P72" s="20"/>
      <c r="Q72" s="20"/>
    </row>
    <row r="73" spans="1:17" s="19" customFormat="1" x14ac:dyDescent="0.2">
      <c r="A73" s="154"/>
      <c r="B73" s="153" t="s">
        <v>7251</v>
      </c>
      <c r="C73" s="153"/>
      <c r="D73" s="153"/>
      <c r="E73" s="56"/>
      <c r="F73" s="57"/>
      <c r="G73" s="58"/>
      <c r="H73" s="159"/>
      <c r="I73" s="153" t="s">
        <v>7251</v>
      </c>
      <c r="J73" s="153"/>
      <c r="K73" s="153"/>
      <c r="P73" s="20"/>
      <c r="Q73" s="20"/>
    </row>
    <row r="74" spans="1:17" s="19" customFormat="1" x14ac:dyDescent="0.2">
      <c r="A74" s="154"/>
      <c r="B74" s="167" t="s">
        <v>7254</v>
      </c>
      <c r="C74" s="167"/>
      <c r="D74" s="34">
        <v>1000</v>
      </c>
      <c r="E74" s="56"/>
      <c r="F74" s="57"/>
      <c r="G74" s="58"/>
      <c r="H74" s="160"/>
      <c r="I74" s="167" t="s">
        <v>7254</v>
      </c>
      <c r="J74" s="167"/>
      <c r="K74" s="34">
        <v>1000</v>
      </c>
      <c r="P74" s="20"/>
      <c r="Q74" s="20"/>
    </row>
    <row r="75" spans="1:17" s="19" customFormat="1" x14ac:dyDescent="0.2">
      <c r="A75" s="154"/>
      <c r="B75" s="166" t="s">
        <v>7256</v>
      </c>
      <c r="C75" s="166"/>
      <c r="D75" s="37">
        <v>0</v>
      </c>
      <c r="E75" s="56"/>
      <c r="F75" s="57"/>
      <c r="G75" s="58"/>
      <c r="H75" s="160"/>
      <c r="I75" s="166" t="s">
        <v>7256</v>
      </c>
      <c r="J75" s="166"/>
      <c r="K75" s="37">
        <v>0</v>
      </c>
      <c r="P75" s="20"/>
      <c r="Q75" s="20"/>
    </row>
    <row r="76" spans="1:17" s="19" customFormat="1" x14ac:dyDescent="0.2">
      <c r="A76" s="154"/>
      <c r="B76" s="166" t="s">
        <v>7258</v>
      </c>
      <c r="C76" s="166"/>
      <c r="D76" s="40">
        <v>0</v>
      </c>
      <c r="E76" s="56"/>
      <c r="F76" s="57"/>
      <c r="G76" s="58"/>
      <c r="H76" s="160"/>
      <c r="I76" s="166" t="s">
        <v>7258</v>
      </c>
      <c r="J76" s="166"/>
      <c r="K76" s="40">
        <v>0</v>
      </c>
      <c r="P76" s="20"/>
      <c r="Q76" s="20"/>
    </row>
    <row r="77" spans="1:17" s="19" customFormat="1" x14ac:dyDescent="0.2">
      <c r="A77" s="154"/>
      <c r="B77" s="166" t="s">
        <v>7259</v>
      </c>
      <c r="C77" s="166"/>
      <c r="D77" s="42">
        <f>((D74/1.25)*(100%-D75)/1.25/1.2/1.16)*(100%-D76)</f>
        <v>459.77011494252878</v>
      </c>
      <c r="E77" s="56"/>
      <c r="F77" s="57"/>
      <c r="G77" s="58"/>
      <c r="H77" s="160"/>
      <c r="I77" s="166" t="s">
        <v>7259</v>
      </c>
      <c r="J77" s="166"/>
      <c r="K77" s="42">
        <f>((K74/1.25)*(100%-K75)/1.25/1.2/1.16)*(100%-K76)</f>
        <v>459.77011494252878</v>
      </c>
      <c r="P77" s="20"/>
      <c r="Q77" s="20"/>
    </row>
    <row r="78" spans="1:17" s="19" customFormat="1" x14ac:dyDescent="0.2">
      <c r="A78" s="154"/>
      <c r="B78" s="167" t="s">
        <v>7260</v>
      </c>
      <c r="C78" s="167"/>
      <c r="D78" s="44">
        <f>D77*35%</f>
        <v>160.91954022988506</v>
      </c>
      <c r="E78" s="56"/>
      <c r="F78" s="59"/>
      <c r="G78" s="60"/>
      <c r="H78" s="160"/>
      <c r="I78" s="167" t="s">
        <v>7260</v>
      </c>
      <c r="J78" s="167"/>
      <c r="K78" s="44">
        <f>K77*25%</f>
        <v>114.94252873563219</v>
      </c>
      <c r="P78" s="20"/>
      <c r="Q78" s="20"/>
    </row>
    <row r="79" spans="1:17" s="19" customFormat="1" x14ac:dyDescent="0.2">
      <c r="A79" s="154"/>
      <c r="B79" s="166" t="s">
        <v>7261</v>
      </c>
      <c r="C79" s="166"/>
      <c r="D79" s="47">
        <f>D77+D78</f>
        <v>620.68965517241384</v>
      </c>
      <c r="E79" s="56"/>
      <c r="F79" s="57"/>
      <c r="G79" s="60"/>
      <c r="H79" s="160"/>
      <c r="I79" s="166" t="s">
        <v>7261</v>
      </c>
      <c r="J79" s="166"/>
      <c r="K79" s="49">
        <f>K77+K78</f>
        <v>574.71264367816093</v>
      </c>
      <c r="P79" s="20"/>
      <c r="Q79" s="20"/>
    </row>
    <row r="80" spans="1:17" s="19" customFormat="1" x14ac:dyDescent="0.2">
      <c r="A80" s="154"/>
      <c r="B80" s="170" t="s">
        <v>7269</v>
      </c>
      <c r="C80" s="170"/>
      <c r="D80" s="62">
        <f>D79*25%</f>
        <v>155.17241379310346</v>
      </c>
      <c r="E80" s="56"/>
      <c r="F80" s="59"/>
      <c r="G80" s="60"/>
      <c r="H80" s="160"/>
      <c r="I80" s="170" t="s">
        <v>7269</v>
      </c>
      <c r="J80" s="171"/>
      <c r="K80" s="62">
        <f>K79*25%</f>
        <v>143.67816091954023</v>
      </c>
      <c r="P80" s="20"/>
      <c r="Q80" s="20"/>
    </row>
    <row r="81" spans="1:17" s="19" customFormat="1" x14ac:dyDescent="0.2">
      <c r="A81" s="154"/>
      <c r="B81" s="166" t="s">
        <v>7263</v>
      </c>
      <c r="C81" s="166"/>
      <c r="D81" s="49">
        <f>D77+D78+D80</f>
        <v>775.86206896551732</v>
      </c>
      <c r="E81" s="56"/>
      <c r="F81" s="57"/>
      <c r="G81" s="58"/>
      <c r="H81" s="160"/>
      <c r="I81" s="166" t="s">
        <v>7263</v>
      </c>
      <c r="J81" s="166"/>
      <c r="K81" s="49">
        <f>K77+K78+K80</f>
        <v>718.39080459770116</v>
      </c>
      <c r="P81" s="20"/>
      <c r="Q81" s="20"/>
    </row>
    <row r="82" spans="1:17" s="19" customFormat="1" x14ac:dyDescent="0.2">
      <c r="A82" s="154"/>
      <c r="B82" s="167" t="s">
        <v>7300</v>
      </c>
      <c r="C82" s="167"/>
      <c r="D82" s="44">
        <f>D81*16%</f>
        <v>124.13793103448278</v>
      </c>
      <c r="E82" s="56"/>
      <c r="F82" s="59"/>
      <c r="G82" s="60"/>
      <c r="H82" s="160"/>
      <c r="I82" s="167" t="s">
        <v>7300</v>
      </c>
      <c r="J82" s="166"/>
      <c r="K82" s="44">
        <f>K81*16%</f>
        <v>114.94252873563219</v>
      </c>
      <c r="P82" s="20"/>
      <c r="Q82" s="20"/>
    </row>
    <row r="83" spans="1:17" s="19" customFormat="1" x14ac:dyDescent="0.2">
      <c r="A83" s="154"/>
      <c r="B83" s="167" t="s">
        <v>7264</v>
      </c>
      <c r="C83" s="167"/>
      <c r="D83" s="44">
        <f>D77*1.5%</f>
        <v>6.8965517241379315</v>
      </c>
      <c r="E83" s="56"/>
      <c r="F83" s="59"/>
      <c r="G83" s="60"/>
      <c r="H83" s="160"/>
      <c r="I83" s="169" t="s">
        <v>7265</v>
      </c>
      <c r="J83" s="169"/>
      <c r="K83" s="51">
        <f>K78+K80+K82</f>
        <v>373.56321839080465</v>
      </c>
      <c r="P83" s="20"/>
      <c r="Q83" s="20"/>
    </row>
    <row r="84" spans="1:17" s="19" customFormat="1" x14ac:dyDescent="0.2">
      <c r="A84" s="154"/>
      <c r="B84" s="167" t="s">
        <v>7266</v>
      </c>
      <c r="C84" s="167"/>
      <c r="D84" s="44">
        <f>D77*2.5%</f>
        <v>11.494252873563219</v>
      </c>
      <c r="E84" s="56"/>
      <c r="F84" s="59"/>
      <c r="G84" s="60"/>
      <c r="H84" s="159"/>
      <c r="I84" s="33"/>
      <c r="J84" s="33"/>
      <c r="K84" s="33"/>
      <c r="P84" s="20"/>
      <c r="Q84" s="20"/>
    </row>
    <row r="85" spans="1:17" s="19" customFormat="1" x14ac:dyDescent="0.2">
      <c r="A85" s="154"/>
      <c r="B85" s="169" t="s">
        <v>7265</v>
      </c>
      <c r="C85" s="169"/>
      <c r="D85" s="51">
        <f>D78+D80+D82+D84+D83</f>
        <v>458.62068965517238</v>
      </c>
      <c r="E85" s="56"/>
      <c r="F85" s="57"/>
      <c r="G85" s="60"/>
      <c r="H85" s="159"/>
      <c r="I85" s="33"/>
      <c r="J85" s="33"/>
      <c r="K85" s="33"/>
      <c r="P85" s="20"/>
      <c r="Q85" s="20"/>
    </row>
    <row r="86" spans="1:17" s="19" customFormat="1" x14ac:dyDescent="0.2">
      <c r="A86" s="154"/>
      <c r="B86" s="55"/>
      <c r="C86" s="64"/>
      <c r="D86" s="44"/>
      <c r="E86" s="56"/>
      <c r="F86" s="57"/>
      <c r="G86" s="65"/>
      <c r="H86" s="159"/>
      <c r="I86" s="33"/>
      <c r="J86" s="33"/>
      <c r="K86" s="33"/>
      <c r="P86" s="20"/>
      <c r="Q86" s="20"/>
    </row>
    <row r="87" spans="1:17" s="19" customFormat="1" ht="12.75" thickBot="1" x14ac:dyDescent="0.25">
      <c r="A87" s="154"/>
      <c r="B87" s="33"/>
      <c r="C87" s="33"/>
      <c r="D87" s="33"/>
      <c r="E87" s="56"/>
      <c r="F87" s="57"/>
      <c r="G87" s="58"/>
      <c r="H87" s="160"/>
      <c r="I87" s="33"/>
      <c r="J87" s="33"/>
      <c r="K87" s="33"/>
      <c r="P87" s="20"/>
      <c r="Q87" s="20"/>
    </row>
    <row r="88" spans="1:17" s="19" customFormat="1" ht="39" customHeight="1" thickBot="1" x14ac:dyDescent="0.25">
      <c r="A88" s="154"/>
      <c r="B88" s="149" t="s">
        <v>7275</v>
      </c>
      <c r="C88" s="150"/>
      <c r="D88" s="151"/>
      <c r="E88" s="35"/>
      <c r="F88" s="33"/>
      <c r="G88" s="33"/>
      <c r="H88" s="160"/>
      <c r="I88" s="149" t="s">
        <v>7276</v>
      </c>
      <c r="J88" s="150"/>
      <c r="K88" s="151"/>
      <c r="L88" s="33"/>
      <c r="P88" s="20"/>
      <c r="Q88" s="20"/>
    </row>
    <row r="89" spans="1:17" s="19" customFormat="1" x14ac:dyDescent="0.2">
      <c r="A89" s="154"/>
      <c r="B89" s="153" t="s">
        <v>7251</v>
      </c>
      <c r="C89" s="153"/>
      <c r="D89" s="153"/>
      <c r="E89" s="35"/>
      <c r="F89" s="33"/>
      <c r="G89" s="33"/>
      <c r="H89" s="159"/>
      <c r="I89" s="153" t="s">
        <v>7251</v>
      </c>
      <c r="J89" s="172"/>
      <c r="K89" s="172"/>
      <c r="L89" s="33"/>
      <c r="P89" s="20"/>
      <c r="Q89" s="20"/>
    </row>
    <row r="90" spans="1:17" s="19" customFormat="1" x14ac:dyDescent="0.2">
      <c r="A90" s="154"/>
      <c r="B90" s="167" t="s">
        <v>7277</v>
      </c>
      <c r="C90" s="167"/>
      <c r="D90" s="34">
        <v>1000</v>
      </c>
      <c r="E90" s="35"/>
      <c r="F90" s="33"/>
      <c r="G90" s="33"/>
      <c r="H90" s="160"/>
      <c r="I90" s="167" t="s">
        <v>7277</v>
      </c>
      <c r="J90" s="167"/>
      <c r="K90" s="34">
        <v>1000</v>
      </c>
      <c r="L90" s="33"/>
      <c r="P90" s="20"/>
      <c r="Q90" s="20"/>
    </row>
    <row r="91" spans="1:17" s="19" customFormat="1" x14ac:dyDescent="0.2">
      <c r="A91" s="154"/>
      <c r="B91" s="166" t="s">
        <v>7256</v>
      </c>
      <c r="C91" s="166"/>
      <c r="D91" s="37">
        <v>0</v>
      </c>
      <c r="E91" s="35"/>
      <c r="F91" s="33"/>
      <c r="G91" s="33"/>
      <c r="H91" s="160"/>
      <c r="I91" s="166" t="s">
        <v>7256</v>
      </c>
      <c r="J91" s="168"/>
      <c r="K91" s="37">
        <v>0</v>
      </c>
      <c r="L91" s="43"/>
      <c r="P91" s="20"/>
      <c r="Q91" s="20"/>
    </row>
    <row r="92" spans="1:17" s="19" customFormat="1" x14ac:dyDescent="0.2">
      <c r="A92" s="154"/>
      <c r="B92" s="166" t="s">
        <v>7258</v>
      </c>
      <c r="C92" s="166"/>
      <c r="D92" s="40">
        <v>0</v>
      </c>
      <c r="E92" s="35"/>
      <c r="F92" s="33"/>
      <c r="G92" s="33"/>
      <c r="H92" s="160"/>
      <c r="I92" s="166" t="s">
        <v>7258</v>
      </c>
      <c r="J92" s="168"/>
      <c r="K92" s="40">
        <v>0</v>
      </c>
      <c r="L92" s="173"/>
      <c r="P92" s="20"/>
      <c r="Q92" s="20"/>
    </row>
    <row r="93" spans="1:17" s="19" customFormat="1" x14ac:dyDescent="0.2">
      <c r="A93" s="154"/>
      <c r="B93" s="166" t="s">
        <v>7259</v>
      </c>
      <c r="C93" s="166"/>
      <c r="D93" s="42">
        <f>((D90/1.25)*(100%-D91)/1.25/1.2/1.16)*(100%-D92)</f>
        <v>459.77011494252878</v>
      </c>
      <c r="E93" s="35"/>
      <c r="F93" s="33"/>
      <c r="G93" s="33"/>
      <c r="H93" s="160"/>
      <c r="I93" s="167" t="s">
        <v>7259</v>
      </c>
      <c r="J93" s="166"/>
      <c r="K93" s="42">
        <f>((K90/1.25)*(100%-K91)/1.25/1.2/1.16)*(100%-K92)</f>
        <v>459.77011494252878</v>
      </c>
      <c r="L93" s="173"/>
      <c r="P93" s="20"/>
      <c r="Q93" s="20"/>
    </row>
    <row r="94" spans="1:17" s="19" customFormat="1" x14ac:dyDescent="0.2">
      <c r="A94" s="154"/>
      <c r="B94" s="167" t="s">
        <v>7278</v>
      </c>
      <c r="C94" s="167"/>
      <c r="D94" s="44">
        <f>D93*35%</f>
        <v>160.91954022988506</v>
      </c>
      <c r="E94" s="35"/>
      <c r="F94" s="33"/>
      <c r="G94" s="33"/>
      <c r="H94" s="160"/>
      <c r="I94" s="167" t="s">
        <v>7260</v>
      </c>
      <c r="J94" s="166"/>
      <c r="K94" s="44">
        <f>K93*35%</f>
        <v>160.91954022988506</v>
      </c>
      <c r="L94" s="173"/>
      <c r="P94" s="20"/>
      <c r="Q94" s="20"/>
    </row>
    <row r="95" spans="1:17" s="19" customFormat="1" x14ac:dyDescent="0.2">
      <c r="A95" s="154"/>
      <c r="B95" s="166" t="s">
        <v>7261</v>
      </c>
      <c r="C95" s="166"/>
      <c r="D95" s="49">
        <f>D93+D94</f>
        <v>620.68965517241384</v>
      </c>
      <c r="E95" s="35"/>
      <c r="F95" s="33"/>
      <c r="G95" s="33"/>
      <c r="H95" s="160"/>
      <c r="I95" s="167" t="s">
        <v>7261</v>
      </c>
      <c r="J95" s="166"/>
      <c r="K95" s="49">
        <f>K93+K94</f>
        <v>620.68965517241384</v>
      </c>
      <c r="L95" s="173"/>
      <c r="M95" s="19" t="s">
        <v>7279</v>
      </c>
      <c r="P95" s="20"/>
      <c r="Q95" s="20"/>
    </row>
    <row r="96" spans="1:17" s="19" customFormat="1" x14ac:dyDescent="0.2">
      <c r="A96" s="154"/>
      <c r="B96" s="167" t="s">
        <v>7269</v>
      </c>
      <c r="C96" s="167"/>
      <c r="D96" s="44">
        <f>D95*25%</f>
        <v>155.17241379310346</v>
      </c>
      <c r="E96" s="35"/>
      <c r="F96" s="33"/>
      <c r="G96" s="33"/>
      <c r="H96" s="160"/>
      <c r="I96" s="167" t="s">
        <v>7269</v>
      </c>
      <c r="J96" s="166"/>
      <c r="K96" s="44">
        <f>K95*25%</f>
        <v>155.17241379310346</v>
      </c>
      <c r="L96" s="173"/>
      <c r="P96" s="20"/>
      <c r="Q96" s="20"/>
    </row>
    <row r="97" spans="1:17" s="19" customFormat="1" x14ac:dyDescent="0.2">
      <c r="A97" s="154"/>
      <c r="B97" s="166" t="s">
        <v>7263</v>
      </c>
      <c r="C97" s="166"/>
      <c r="D97" s="49">
        <f>D93+D94+D96</f>
        <v>775.86206896551732</v>
      </c>
      <c r="E97" s="35"/>
      <c r="F97" s="33"/>
      <c r="G97" s="33"/>
      <c r="H97" s="160"/>
      <c r="I97" s="167" t="s">
        <v>7263</v>
      </c>
      <c r="J97" s="166"/>
      <c r="K97" s="49">
        <f>K93+K94+K96</f>
        <v>775.86206896551732</v>
      </c>
      <c r="L97" s="173"/>
      <c r="M97" s="30"/>
      <c r="P97" s="20"/>
      <c r="Q97" s="20"/>
    </row>
    <row r="98" spans="1:17" s="19" customFormat="1" x14ac:dyDescent="0.2">
      <c r="A98" s="154"/>
      <c r="B98" s="167" t="s">
        <v>7280</v>
      </c>
      <c r="C98" s="167"/>
      <c r="D98" s="44">
        <f>16%*D97</f>
        <v>124.13793103448278</v>
      </c>
      <c r="E98" s="35"/>
      <c r="F98" s="33"/>
      <c r="G98" s="33"/>
      <c r="H98" s="160"/>
      <c r="I98" s="167" t="s">
        <v>7280</v>
      </c>
      <c r="J98" s="166"/>
      <c r="K98" s="44">
        <f>16%*K97</f>
        <v>124.13793103448278</v>
      </c>
      <c r="L98" s="173"/>
      <c r="P98" s="20"/>
      <c r="Q98" s="20"/>
    </row>
    <row r="99" spans="1:17" s="19" customFormat="1" x14ac:dyDescent="0.2">
      <c r="A99" s="154"/>
      <c r="B99" s="167" t="s">
        <v>7264</v>
      </c>
      <c r="C99" s="167"/>
      <c r="D99" s="44">
        <f>D93*1.5%</f>
        <v>6.8965517241379315</v>
      </c>
      <c r="E99" s="35"/>
      <c r="F99" s="33"/>
      <c r="G99" s="33"/>
      <c r="H99" s="160"/>
      <c r="I99" s="174" t="s">
        <v>7281</v>
      </c>
      <c r="J99" s="175"/>
      <c r="K99" s="34">
        <f>K94+K96+K98</f>
        <v>440.22988505747128</v>
      </c>
      <c r="L99" s="173"/>
      <c r="P99" s="20"/>
      <c r="Q99" s="20"/>
    </row>
    <row r="100" spans="1:17" s="19" customFormat="1" x14ac:dyDescent="0.2">
      <c r="A100" s="154"/>
      <c r="B100" s="167" t="s">
        <v>7266</v>
      </c>
      <c r="C100" s="167"/>
      <c r="D100" s="44">
        <f>D93*2.5%</f>
        <v>11.494252873563219</v>
      </c>
      <c r="E100" s="35"/>
      <c r="F100" s="33"/>
      <c r="G100" s="33"/>
      <c r="H100" s="159"/>
      <c r="I100" s="33"/>
      <c r="J100" s="33"/>
      <c r="K100" s="33"/>
      <c r="L100" s="173"/>
      <c r="P100" s="20"/>
      <c r="Q100" s="20"/>
    </row>
    <row r="101" spans="1:17" s="19" customFormat="1" x14ac:dyDescent="0.2">
      <c r="A101" s="154"/>
      <c r="B101" s="169" t="s">
        <v>7265</v>
      </c>
      <c r="C101" s="176"/>
      <c r="D101" s="34">
        <f>D94+D96+D98+D100+D99</f>
        <v>458.62068965517238</v>
      </c>
      <c r="E101" s="35"/>
      <c r="F101" s="33"/>
      <c r="G101" s="33"/>
      <c r="H101" s="159"/>
      <c r="I101" s="33"/>
      <c r="J101" s="33"/>
      <c r="K101" s="33"/>
      <c r="L101" s="173"/>
      <c r="P101" s="20"/>
      <c r="Q101" s="20"/>
    </row>
    <row r="102" spans="1:17" s="19" customFormat="1" x14ac:dyDescent="0.2">
      <c r="A102" s="154"/>
      <c r="B102" s="167"/>
      <c r="C102" s="166"/>
      <c r="D102" s="44"/>
      <c r="E102" s="50"/>
      <c r="F102" s="33"/>
      <c r="G102" s="33"/>
      <c r="H102" s="159"/>
      <c r="L102" s="173"/>
      <c r="P102" s="20"/>
      <c r="Q102" s="20"/>
    </row>
    <row r="103" spans="1:17" s="19" customFormat="1" x14ac:dyDescent="0.2">
      <c r="A103" s="154"/>
      <c r="B103" s="33"/>
      <c r="C103" s="33"/>
      <c r="D103" s="33"/>
      <c r="E103" s="35"/>
      <c r="H103" s="159"/>
      <c r="I103" s="66"/>
      <c r="J103" s="66"/>
      <c r="K103" s="66"/>
      <c r="L103" s="66"/>
      <c r="M103" s="66"/>
      <c r="P103" s="20"/>
      <c r="Q103" s="20"/>
    </row>
    <row r="104" spans="1:17" s="19" customFormat="1" x14ac:dyDescent="0.2">
      <c r="A104" s="154"/>
      <c r="B104" s="167"/>
      <c r="C104" s="166"/>
      <c r="D104" s="44"/>
      <c r="E104" s="35"/>
      <c r="H104" s="159"/>
      <c r="I104" s="58"/>
      <c r="J104" s="58"/>
      <c r="K104" s="58"/>
      <c r="L104" s="29"/>
      <c r="P104" s="20"/>
      <c r="Q104" s="20"/>
    </row>
    <row r="105" spans="1:17" s="19" customFormat="1" ht="12.75" thickBot="1" x14ac:dyDescent="0.25">
      <c r="A105" s="154"/>
      <c r="B105" s="29"/>
      <c r="D105" s="30"/>
      <c r="E105" s="35"/>
      <c r="H105" s="159"/>
      <c r="I105" s="58"/>
      <c r="J105" s="58"/>
      <c r="K105" s="58"/>
      <c r="L105" s="29"/>
      <c r="P105" s="20"/>
      <c r="Q105" s="20"/>
    </row>
    <row r="106" spans="1:17" s="19" customFormat="1" ht="52.5" customHeight="1" thickBot="1" x14ac:dyDescent="0.25">
      <c r="A106" s="154"/>
      <c r="B106" s="149" t="s">
        <v>7282</v>
      </c>
      <c r="C106" s="150"/>
      <c r="D106" s="151"/>
      <c r="E106" s="35"/>
      <c r="H106" s="160"/>
      <c r="I106" s="177" t="s">
        <v>7283</v>
      </c>
      <c r="J106" s="178"/>
      <c r="K106" s="179"/>
      <c r="L106" s="29"/>
      <c r="P106" s="20"/>
      <c r="Q106" s="20"/>
    </row>
    <row r="107" spans="1:17" s="19" customFormat="1" x14ac:dyDescent="0.2">
      <c r="A107" s="154"/>
      <c r="B107" s="153" t="s">
        <v>7251</v>
      </c>
      <c r="C107" s="153"/>
      <c r="D107" s="153"/>
      <c r="E107" s="35"/>
      <c r="H107" s="159"/>
      <c r="I107" s="153" t="s">
        <v>7251</v>
      </c>
      <c r="J107" s="172"/>
      <c r="K107" s="172"/>
      <c r="L107" s="29"/>
      <c r="P107" s="20"/>
      <c r="Q107" s="20"/>
    </row>
    <row r="108" spans="1:17" s="19" customFormat="1" x14ac:dyDescent="0.2">
      <c r="A108" s="154"/>
      <c r="B108" s="180" t="s">
        <v>7277</v>
      </c>
      <c r="C108" s="180"/>
      <c r="D108" s="34">
        <v>1000</v>
      </c>
      <c r="E108" s="35"/>
      <c r="H108" s="159"/>
      <c r="I108" s="181" t="s">
        <v>7277</v>
      </c>
      <c r="J108" s="167"/>
      <c r="K108" s="34">
        <v>1000</v>
      </c>
      <c r="L108" s="29"/>
      <c r="P108" s="20"/>
      <c r="Q108" s="20"/>
    </row>
    <row r="109" spans="1:17" s="19" customFormat="1" x14ac:dyDescent="0.2">
      <c r="A109" s="154"/>
      <c r="B109" s="166" t="s">
        <v>7256</v>
      </c>
      <c r="C109" s="168"/>
      <c r="D109" s="37">
        <v>0</v>
      </c>
      <c r="E109" s="35"/>
      <c r="H109" s="159"/>
      <c r="I109" s="166" t="s">
        <v>7256</v>
      </c>
      <c r="J109" s="168"/>
      <c r="K109" s="37">
        <v>0</v>
      </c>
      <c r="L109" s="29"/>
      <c r="P109" s="20"/>
      <c r="Q109" s="20"/>
    </row>
    <row r="110" spans="1:17" s="19" customFormat="1" x14ac:dyDescent="0.2">
      <c r="A110" s="154"/>
      <c r="B110" s="166" t="s">
        <v>7258</v>
      </c>
      <c r="C110" s="168"/>
      <c r="D110" s="40">
        <v>0</v>
      </c>
      <c r="E110" s="35"/>
      <c r="H110" s="159"/>
      <c r="I110" s="166" t="s">
        <v>7258</v>
      </c>
      <c r="J110" s="168"/>
      <c r="K110" s="40">
        <v>0</v>
      </c>
      <c r="L110" s="29"/>
      <c r="P110" s="20"/>
      <c r="Q110" s="20"/>
    </row>
    <row r="111" spans="1:17" s="19" customFormat="1" x14ac:dyDescent="0.2">
      <c r="A111" s="154"/>
      <c r="B111" s="166" t="s">
        <v>7259</v>
      </c>
      <c r="C111" s="166"/>
      <c r="D111" s="42">
        <f>((D108/1.25)*(100%-D109)/1.1/1.16)*(100%-D110)</f>
        <v>626.95924764890287</v>
      </c>
      <c r="E111" s="35"/>
      <c r="H111" s="159"/>
      <c r="I111" s="166" t="s">
        <v>7259</v>
      </c>
      <c r="J111" s="166"/>
      <c r="K111" s="42">
        <f>((K108/1.25)*(100%-K109)/1.1/1.16)*(100%-K110)</f>
        <v>626.95924764890287</v>
      </c>
      <c r="L111" s="29"/>
      <c r="P111" s="20"/>
      <c r="Q111" s="20"/>
    </row>
    <row r="112" spans="1:17" s="19" customFormat="1" x14ac:dyDescent="0.2">
      <c r="A112" s="154"/>
      <c r="B112" s="167" t="s">
        <v>7284</v>
      </c>
      <c r="C112" s="166"/>
      <c r="D112" s="44">
        <f>D111*25%</f>
        <v>156.73981191222572</v>
      </c>
      <c r="E112" s="35"/>
      <c r="H112" s="159"/>
      <c r="I112" s="167" t="s">
        <v>7284</v>
      </c>
      <c r="J112" s="166"/>
      <c r="K112" s="44">
        <f>K111*25%</f>
        <v>156.73981191222572</v>
      </c>
      <c r="L112" s="29"/>
      <c r="P112" s="20"/>
      <c r="Q112" s="20"/>
    </row>
    <row r="113" spans="1:17" s="19" customFormat="1" x14ac:dyDescent="0.2">
      <c r="A113" s="154"/>
      <c r="B113" s="166" t="s">
        <v>7261</v>
      </c>
      <c r="C113" s="166"/>
      <c r="D113" s="49">
        <v>0</v>
      </c>
      <c r="E113" s="35"/>
      <c r="H113" s="159"/>
      <c r="I113" s="166" t="s">
        <v>7261</v>
      </c>
      <c r="J113" s="166"/>
      <c r="K113" s="49">
        <v>0</v>
      </c>
      <c r="L113" s="29"/>
      <c r="P113" s="20"/>
      <c r="Q113" s="20"/>
    </row>
    <row r="114" spans="1:17" s="19" customFormat="1" x14ac:dyDescent="0.2">
      <c r="A114" s="154"/>
      <c r="B114" s="167" t="s">
        <v>7285</v>
      </c>
      <c r="C114" s="166"/>
      <c r="D114" s="44">
        <v>0</v>
      </c>
      <c r="E114" s="35"/>
      <c r="H114" s="159"/>
      <c r="I114" s="167" t="s">
        <v>7285</v>
      </c>
      <c r="J114" s="166"/>
      <c r="K114" s="44">
        <v>0</v>
      </c>
      <c r="L114" s="29"/>
      <c r="P114" s="20"/>
      <c r="Q114" s="20"/>
    </row>
    <row r="115" spans="1:17" s="19" customFormat="1" x14ac:dyDescent="0.2">
      <c r="A115" s="154"/>
      <c r="B115" s="166" t="s">
        <v>7263</v>
      </c>
      <c r="C115" s="166"/>
      <c r="D115" s="49">
        <f>D111+D112</f>
        <v>783.69905956112859</v>
      </c>
      <c r="E115" s="35"/>
      <c r="H115" s="159"/>
      <c r="I115" s="166" t="s">
        <v>7263</v>
      </c>
      <c r="J115" s="166"/>
      <c r="K115" s="49">
        <f>K111+K112</f>
        <v>783.69905956112859</v>
      </c>
      <c r="L115" s="29"/>
      <c r="P115" s="20"/>
      <c r="Q115" s="20"/>
    </row>
    <row r="116" spans="1:17" s="19" customFormat="1" x14ac:dyDescent="0.2">
      <c r="A116" s="154"/>
      <c r="B116" s="167" t="s">
        <v>7280</v>
      </c>
      <c r="C116" s="166"/>
      <c r="D116" s="44">
        <f>16%*D115</f>
        <v>125.39184952978057</v>
      </c>
      <c r="E116" s="35"/>
      <c r="H116" s="159"/>
      <c r="I116" s="167" t="s">
        <v>7280</v>
      </c>
      <c r="J116" s="166"/>
      <c r="K116" s="44">
        <f>16%*K115</f>
        <v>125.39184952978057</v>
      </c>
      <c r="L116" s="29"/>
      <c r="P116" s="20"/>
      <c r="Q116" s="20"/>
    </row>
    <row r="117" spans="1:17" s="19" customFormat="1" x14ac:dyDescent="0.2">
      <c r="A117" s="154"/>
      <c r="B117" s="167" t="s">
        <v>7264</v>
      </c>
      <c r="C117" s="167"/>
      <c r="D117" s="44">
        <f>D111*1.5%</f>
        <v>9.4043887147335425</v>
      </c>
      <c r="E117" s="35"/>
      <c r="H117" s="159"/>
      <c r="I117" s="174" t="s">
        <v>7281</v>
      </c>
      <c r="J117" s="175"/>
      <c r="K117" s="34">
        <f>K112+K116</f>
        <v>282.1316614420063</v>
      </c>
      <c r="L117" s="29"/>
      <c r="P117" s="20"/>
      <c r="Q117" s="20"/>
    </row>
    <row r="118" spans="1:17" s="19" customFormat="1" x14ac:dyDescent="0.2">
      <c r="A118" s="154"/>
      <c r="B118" s="167" t="s">
        <v>7266</v>
      </c>
      <c r="C118" s="167"/>
      <c r="D118" s="49">
        <f>D111*2.5%</f>
        <v>15.673981191222573</v>
      </c>
      <c r="E118" s="35"/>
      <c r="H118" s="159"/>
      <c r="I118" s="58"/>
      <c r="J118" s="58"/>
      <c r="K118" s="58"/>
      <c r="L118" s="29"/>
      <c r="P118" s="20"/>
      <c r="Q118" s="20"/>
    </row>
    <row r="119" spans="1:17" s="19" customFormat="1" x14ac:dyDescent="0.2">
      <c r="A119" s="154"/>
      <c r="B119" s="169" t="s">
        <v>7265</v>
      </c>
      <c r="C119" s="176"/>
      <c r="D119" s="34">
        <f>D112+D116+D118+D117</f>
        <v>307.21003134796246</v>
      </c>
      <c r="E119" s="35"/>
      <c r="H119" s="159"/>
      <c r="I119" s="58"/>
      <c r="J119" s="58"/>
      <c r="K119" s="58"/>
      <c r="P119" s="20"/>
      <c r="Q119" s="20"/>
    </row>
    <row r="120" spans="1:17" s="19" customFormat="1" x14ac:dyDescent="0.2">
      <c r="A120" s="154"/>
      <c r="B120" s="29"/>
      <c r="D120" s="30"/>
      <c r="E120" s="35"/>
      <c r="H120" s="159"/>
      <c r="I120" s="58"/>
      <c r="J120" s="58"/>
      <c r="K120" s="58"/>
      <c r="P120" s="20"/>
      <c r="Q120" s="20"/>
    </row>
    <row r="121" spans="1:17" s="19" customFormat="1" ht="12.75" thickBot="1" x14ac:dyDescent="0.25">
      <c r="A121" s="154"/>
      <c r="B121" s="29"/>
      <c r="D121" s="30"/>
      <c r="E121" s="35"/>
      <c r="H121" s="159"/>
      <c r="I121" s="29"/>
      <c r="K121" s="30"/>
      <c r="L121" s="58"/>
      <c r="P121" s="20"/>
      <c r="Q121" s="20"/>
    </row>
    <row r="122" spans="1:17" s="19" customFormat="1" ht="37.5" customHeight="1" thickBot="1" x14ac:dyDescent="0.25">
      <c r="A122" s="154"/>
      <c r="B122" s="182" t="s">
        <v>7286</v>
      </c>
      <c r="C122" s="183"/>
      <c r="D122" s="184"/>
      <c r="E122" s="35"/>
      <c r="H122" s="160"/>
      <c r="I122" s="185" t="s">
        <v>7287</v>
      </c>
      <c r="J122" s="186"/>
      <c r="K122" s="187"/>
      <c r="L122" s="58"/>
      <c r="P122" s="20"/>
      <c r="Q122" s="20"/>
    </row>
    <row r="123" spans="1:17" s="19" customFormat="1" x14ac:dyDescent="0.2">
      <c r="A123" s="154"/>
      <c r="B123" s="153" t="s">
        <v>7251</v>
      </c>
      <c r="C123" s="153"/>
      <c r="D123" s="153"/>
      <c r="E123" s="35"/>
      <c r="G123" s="67"/>
      <c r="H123" s="159"/>
      <c r="I123" s="188" t="s">
        <v>7251</v>
      </c>
      <c r="J123" s="188"/>
      <c r="K123" s="188"/>
      <c r="P123" s="20"/>
      <c r="Q123" s="20"/>
    </row>
    <row r="124" spans="1:17" s="19" customFormat="1" x14ac:dyDescent="0.2">
      <c r="A124" s="154"/>
      <c r="B124" s="55" t="s">
        <v>7277</v>
      </c>
      <c r="C124" s="64"/>
      <c r="D124" s="34">
        <v>1000</v>
      </c>
      <c r="E124" s="35"/>
      <c r="H124" s="159"/>
      <c r="I124" s="181" t="s">
        <v>7277</v>
      </c>
      <c r="J124" s="167"/>
      <c r="K124" s="34">
        <v>1000</v>
      </c>
      <c r="P124" s="20"/>
      <c r="Q124" s="20"/>
    </row>
    <row r="125" spans="1:17" s="19" customFormat="1" x14ac:dyDescent="0.2">
      <c r="A125" s="154"/>
      <c r="B125" s="166" t="s">
        <v>7256</v>
      </c>
      <c r="C125" s="168"/>
      <c r="D125" s="37">
        <v>0</v>
      </c>
      <c r="E125" s="35"/>
      <c r="H125" s="159"/>
      <c r="I125" s="166" t="s">
        <v>7256</v>
      </c>
      <c r="J125" s="168"/>
      <c r="K125" s="37">
        <v>0</v>
      </c>
      <c r="L125" s="67"/>
      <c r="M125" s="67"/>
      <c r="N125" s="67"/>
      <c r="P125" s="20"/>
      <c r="Q125" s="20"/>
    </row>
    <row r="126" spans="1:17" s="19" customFormat="1" x14ac:dyDescent="0.2">
      <c r="A126" s="154"/>
      <c r="B126" s="166" t="s">
        <v>7258</v>
      </c>
      <c r="C126" s="168"/>
      <c r="D126" s="40">
        <v>0</v>
      </c>
      <c r="E126" s="35"/>
      <c r="H126" s="159"/>
      <c r="I126" s="166" t="s">
        <v>7258</v>
      </c>
      <c r="J126" s="168"/>
      <c r="K126" s="40">
        <v>0</v>
      </c>
      <c r="P126" s="20"/>
      <c r="Q126" s="20"/>
    </row>
    <row r="127" spans="1:17" s="19" customFormat="1" x14ac:dyDescent="0.2">
      <c r="A127" s="154"/>
      <c r="B127" s="167" t="s">
        <v>7259</v>
      </c>
      <c r="C127" s="166"/>
      <c r="D127" s="42">
        <f>((D124/1.25)*(100%-D125)/1.1/1.16*(100%-D126))</f>
        <v>626.95924764890287</v>
      </c>
      <c r="E127" s="35"/>
      <c r="H127" s="159"/>
      <c r="I127" s="167" t="s">
        <v>7259</v>
      </c>
      <c r="J127" s="166"/>
      <c r="K127" s="42">
        <f>((K124/1.25)*(100%-K125)/1.1/1.16*(100%-K126))</f>
        <v>626.95924764890287</v>
      </c>
      <c r="P127" s="20"/>
      <c r="Q127" s="20"/>
    </row>
    <row r="128" spans="1:17" s="19" customFormat="1" x14ac:dyDescent="0.2">
      <c r="A128" s="154"/>
      <c r="B128" s="167" t="s">
        <v>7260</v>
      </c>
      <c r="C128" s="166"/>
      <c r="D128" s="44">
        <f>D127*35%</f>
        <v>219.43573667711598</v>
      </c>
      <c r="E128" s="35"/>
      <c r="H128" s="159"/>
      <c r="I128" s="167" t="s">
        <v>7288</v>
      </c>
      <c r="J128" s="166"/>
      <c r="K128" s="68">
        <f>K127*35%</f>
        <v>219.43573667711598</v>
      </c>
      <c r="P128" s="20"/>
      <c r="Q128" s="20"/>
    </row>
    <row r="129" spans="1:17" s="19" customFormat="1" x14ac:dyDescent="0.2">
      <c r="A129" s="154"/>
      <c r="B129" s="167" t="s">
        <v>7261</v>
      </c>
      <c r="C129" s="166"/>
      <c r="D129" s="49">
        <v>0</v>
      </c>
      <c r="E129" s="35"/>
      <c r="H129" s="159"/>
      <c r="I129" s="167" t="s">
        <v>7261</v>
      </c>
      <c r="J129" s="166"/>
      <c r="K129" s="49">
        <v>0</v>
      </c>
      <c r="P129" s="20"/>
      <c r="Q129" s="20"/>
    </row>
    <row r="130" spans="1:17" s="19" customFormat="1" x14ac:dyDescent="0.2">
      <c r="A130" s="154"/>
      <c r="B130" s="167" t="s">
        <v>7285</v>
      </c>
      <c r="C130" s="166"/>
      <c r="D130" s="44">
        <v>0</v>
      </c>
      <c r="E130" s="35"/>
      <c r="H130" s="159"/>
      <c r="I130" s="167" t="s">
        <v>7285</v>
      </c>
      <c r="J130" s="166"/>
      <c r="K130" s="44">
        <v>0</v>
      </c>
      <c r="P130" s="20"/>
      <c r="Q130" s="20"/>
    </row>
    <row r="131" spans="1:17" s="19" customFormat="1" x14ac:dyDescent="0.2">
      <c r="A131" s="154"/>
      <c r="B131" s="167" t="s">
        <v>7263</v>
      </c>
      <c r="C131" s="166"/>
      <c r="D131" s="49">
        <f>D127+D128</f>
        <v>846.39498432601886</v>
      </c>
      <c r="E131" s="35"/>
      <c r="H131" s="159"/>
      <c r="I131" s="167" t="s">
        <v>7263</v>
      </c>
      <c r="J131" s="166"/>
      <c r="K131" s="49">
        <f>K127+K128</f>
        <v>846.39498432601886</v>
      </c>
      <c r="P131" s="20"/>
      <c r="Q131" s="20"/>
    </row>
    <row r="132" spans="1:17" s="19" customFormat="1" x14ac:dyDescent="0.2">
      <c r="A132" s="154"/>
      <c r="B132" s="167" t="s">
        <v>7280</v>
      </c>
      <c r="C132" s="166"/>
      <c r="D132" s="44">
        <f>16%*D131</f>
        <v>135.42319749216301</v>
      </c>
      <c r="E132" s="35"/>
      <c r="H132" s="159"/>
      <c r="I132" s="167" t="s">
        <v>7280</v>
      </c>
      <c r="J132" s="166"/>
      <c r="K132" s="44">
        <f>16%*K131</f>
        <v>135.42319749216301</v>
      </c>
      <c r="P132" s="20"/>
      <c r="Q132" s="20"/>
    </row>
    <row r="133" spans="1:17" s="19" customFormat="1" x14ac:dyDescent="0.2">
      <c r="A133" s="154"/>
      <c r="B133" s="167" t="s">
        <v>7264</v>
      </c>
      <c r="C133" s="167"/>
      <c r="D133" s="44">
        <f>D127*1.5%</f>
        <v>9.4043887147335425</v>
      </c>
      <c r="E133" s="35"/>
      <c r="H133" s="159"/>
      <c r="I133" s="174" t="s">
        <v>7281</v>
      </c>
      <c r="J133" s="175"/>
      <c r="K133" s="34">
        <f>K128+K132</f>
        <v>354.858934169279</v>
      </c>
      <c r="P133" s="20"/>
      <c r="Q133" s="20"/>
    </row>
    <row r="134" spans="1:17" s="19" customFormat="1" x14ac:dyDescent="0.2">
      <c r="A134" s="154"/>
      <c r="B134" s="188" t="s">
        <v>7266</v>
      </c>
      <c r="C134" s="188"/>
      <c r="D134" s="69">
        <f>D127*2.5%</f>
        <v>15.673981191222573</v>
      </c>
      <c r="E134" s="35"/>
      <c r="H134" s="159"/>
      <c r="J134" s="29"/>
      <c r="P134" s="20"/>
      <c r="Q134" s="20"/>
    </row>
    <row r="135" spans="1:17" s="19" customFormat="1" x14ac:dyDescent="0.2">
      <c r="A135" s="154"/>
      <c r="B135" s="169" t="s">
        <v>7281</v>
      </c>
      <c r="C135" s="176"/>
      <c r="D135" s="34">
        <f>D128+D132+D134+D133</f>
        <v>379.93730407523515</v>
      </c>
      <c r="E135" s="35"/>
      <c r="H135" s="159"/>
      <c r="J135" s="29"/>
      <c r="P135" s="20"/>
      <c r="Q135" s="20"/>
    </row>
    <row r="136" spans="1:17" s="19" customFormat="1" x14ac:dyDescent="0.2">
      <c r="A136" s="154"/>
      <c r="B136" s="29"/>
      <c r="D136" s="30"/>
      <c r="E136" s="35"/>
      <c r="H136" s="159"/>
      <c r="J136" s="29"/>
      <c r="P136" s="20"/>
      <c r="Q136" s="20"/>
    </row>
    <row r="137" spans="1:17" s="19" customFormat="1" ht="12.75" thickBot="1" x14ac:dyDescent="0.25">
      <c r="A137" s="154"/>
      <c r="B137" s="29"/>
      <c r="D137" s="30"/>
      <c r="E137" s="35"/>
      <c r="H137" s="159"/>
      <c r="J137" s="29"/>
      <c r="P137" s="20"/>
      <c r="Q137" s="20"/>
    </row>
    <row r="138" spans="1:17" s="19" customFormat="1" ht="45.75" customHeight="1" thickBot="1" x14ac:dyDescent="0.25">
      <c r="A138" s="154"/>
      <c r="B138" s="182" t="s">
        <v>7289</v>
      </c>
      <c r="C138" s="183"/>
      <c r="D138" s="184"/>
      <c r="E138" s="67"/>
      <c r="F138" s="67"/>
      <c r="H138" s="160"/>
      <c r="I138" s="185" t="s">
        <v>7290</v>
      </c>
      <c r="J138" s="186"/>
      <c r="K138" s="187"/>
      <c r="P138" s="20"/>
      <c r="Q138" s="20"/>
    </row>
    <row r="139" spans="1:17" s="19" customFormat="1" x14ac:dyDescent="0.2">
      <c r="A139" s="154"/>
      <c r="B139" s="153" t="s">
        <v>7251</v>
      </c>
      <c r="C139" s="153"/>
      <c r="D139" s="153"/>
      <c r="E139" s="67"/>
      <c r="F139" s="67"/>
      <c r="H139" s="159"/>
      <c r="I139" s="188" t="s">
        <v>7251</v>
      </c>
      <c r="J139" s="188"/>
      <c r="K139" s="188"/>
      <c r="P139" s="20"/>
      <c r="Q139" s="20"/>
    </row>
    <row r="140" spans="1:17" s="19" customFormat="1" x14ac:dyDescent="0.2">
      <c r="A140" s="154"/>
      <c r="B140" s="167" t="s">
        <v>7277</v>
      </c>
      <c r="C140" s="167"/>
      <c r="D140" s="34">
        <v>1000</v>
      </c>
      <c r="E140" s="67"/>
      <c r="F140" s="67"/>
      <c r="H140" s="159"/>
      <c r="I140" s="167" t="s">
        <v>7277</v>
      </c>
      <c r="J140" s="167"/>
      <c r="K140" s="34">
        <v>1000</v>
      </c>
      <c r="P140" s="20"/>
      <c r="Q140" s="20"/>
    </row>
    <row r="141" spans="1:17" s="19" customFormat="1" x14ac:dyDescent="0.2">
      <c r="A141" s="154"/>
      <c r="B141" s="166" t="s">
        <v>7256</v>
      </c>
      <c r="C141" s="166"/>
      <c r="D141" s="37">
        <v>0</v>
      </c>
      <c r="E141" s="67"/>
      <c r="F141" s="67"/>
      <c r="H141" s="159"/>
      <c r="I141" s="166" t="s">
        <v>7256</v>
      </c>
      <c r="J141" s="168"/>
      <c r="K141" s="37">
        <v>0</v>
      </c>
      <c r="P141" s="20"/>
      <c r="Q141" s="20"/>
    </row>
    <row r="142" spans="1:17" s="19" customFormat="1" x14ac:dyDescent="0.2">
      <c r="A142" s="154"/>
      <c r="B142" s="166" t="s">
        <v>7258</v>
      </c>
      <c r="C142" s="166"/>
      <c r="D142" s="40">
        <v>0</v>
      </c>
      <c r="E142" s="67"/>
      <c r="F142" s="67"/>
      <c r="H142" s="159"/>
      <c r="I142" s="166" t="s">
        <v>7258</v>
      </c>
      <c r="J142" s="168"/>
      <c r="K142" s="40">
        <v>0</v>
      </c>
      <c r="P142" s="20"/>
      <c r="Q142" s="20"/>
    </row>
    <row r="143" spans="1:17" s="19" customFormat="1" x14ac:dyDescent="0.2">
      <c r="A143" s="154"/>
      <c r="B143" s="167" t="s">
        <v>7259</v>
      </c>
      <c r="C143" s="167"/>
      <c r="D143" s="42">
        <f>((D140/1.25)*(100%-D141)/1.2/1.16*(100%-D142))</f>
        <v>574.71264367816104</v>
      </c>
      <c r="E143" s="67"/>
      <c r="F143" s="67"/>
      <c r="H143" s="159"/>
      <c r="I143" s="167" t="s">
        <v>7259</v>
      </c>
      <c r="J143" s="166"/>
      <c r="K143" s="42">
        <f>((K140/1.25)*(100%-K141)/1.2/1.16*(100%-K142))</f>
        <v>574.71264367816104</v>
      </c>
      <c r="P143" s="20"/>
      <c r="Q143" s="20"/>
    </row>
    <row r="144" spans="1:17" s="19" customFormat="1" x14ac:dyDescent="0.2">
      <c r="A144" s="154"/>
      <c r="B144" s="167" t="s">
        <v>7291</v>
      </c>
      <c r="C144" s="167"/>
      <c r="D144" s="44">
        <f>D143*0%</f>
        <v>0</v>
      </c>
      <c r="E144" s="67"/>
      <c r="F144" s="67"/>
      <c r="H144" s="159"/>
      <c r="I144" s="167" t="s">
        <v>7291</v>
      </c>
      <c r="J144" s="166"/>
      <c r="K144" s="44">
        <f>K143*0%</f>
        <v>0</v>
      </c>
      <c r="P144" s="20"/>
      <c r="Q144" s="20"/>
    </row>
    <row r="145" spans="1:17" s="19" customFormat="1" x14ac:dyDescent="0.2">
      <c r="A145" s="154"/>
      <c r="B145" s="167" t="s">
        <v>7261</v>
      </c>
      <c r="C145" s="167"/>
      <c r="D145" s="49">
        <f>D143+D144</f>
        <v>574.71264367816104</v>
      </c>
      <c r="E145" s="67"/>
      <c r="F145" s="67"/>
      <c r="H145" s="159"/>
      <c r="I145" s="167" t="s">
        <v>7261</v>
      </c>
      <c r="J145" s="166"/>
      <c r="K145" s="49">
        <f>K143+K144</f>
        <v>574.71264367816104</v>
      </c>
      <c r="P145" s="20"/>
      <c r="Q145" s="20"/>
    </row>
    <row r="146" spans="1:17" s="19" customFormat="1" x14ac:dyDescent="0.2">
      <c r="A146" s="154"/>
      <c r="B146" s="167" t="s">
        <v>7269</v>
      </c>
      <c r="C146" s="167"/>
      <c r="D146" s="44">
        <f>D145*25%</f>
        <v>143.67816091954026</v>
      </c>
      <c r="E146" s="67"/>
      <c r="F146" s="67"/>
      <c r="H146" s="159"/>
      <c r="I146" s="167" t="s">
        <v>7269</v>
      </c>
      <c r="J146" s="166"/>
      <c r="K146" s="44">
        <f>K145*25%</f>
        <v>143.67816091954026</v>
      </c>
      <c r="P146" s="20"/>
      <c r="Q146" s="20"/>
    </row>
    <row r="147" spans="1:17" s="19" customFormat="1" x14ac:dyDescent="0.2">
      <c r="A147" s="154"/>
      <c r="B147" s="167" t="s">
        <v>7263</v>
      </c>
      <c r="C147" s="167"/>
      <c r="D147" s="49">
        <f>D145+D146</f>
        <v>718.39080459770128</v>
      </c>
      <c r="E147" s="67"/>
      <c r="F147" s="67"/>
      <c r="H147" s="159"/>
      <c r="I147" s="167" t="s">
        <v>7263</v>
      </c>
      <c r="J147" s="166"/>
      <c r="K147" s="49">
        <f>K143+K144+K146</f>
        <v>718.39080459770128</v>
      </c>
      <c r="P147" s="20"/>
      <c r="Q147" s="20"/>
    </row>
    <row r="148" spans="1:17" s="19" customFormat="1" x14ac:dyDescent="0.2">
      <c r="A148" s="154"/>
      <c r="B148" s="167" t="s">
        <v>7280</v>
      </c>
      <c r="C148" s="167"/>
      <c r="D148" s="44">
        <f>D147*16%</f>
        <v>114.94252873563221</v>
      </c>
      <c r="E148" s="67"/>
      <c r="F148" s="67"/>
      <c r="H148" s="159"/>
      <c r="I148" s="167" t="s">
        <v>7280</v>
      </c>
      <c r="J148" s="166"/>
      <c r="K148" s="30">
        <f>K147*16%</f>
        <v>114.94252873563221</v>
      </c>
      <c r="P148" s="20"/>
      <c r="Q148" s="20"/>
    </row>
    <row r="149" spans="1:17" s="19" customFormat="1" x14ac:dyDescent="0.2">
      <c r="A149" s="154"/>
      <c r="B149" s="188" t="s">
        <v>7264</v>
      </c>
      <c r="C149" s="188"/>
      <c r="D149" s="30">
        <f>D143*1.5%</f>
        <v>8.6206896551724146</v>
      </c>
      <c r="E149" s="67"/>
      <c r="F149" s="67"/>
      <c r="H149" s="159"/>
      <c r="I149" s="174" t="s">
        <v>7281</v>
      </c>
      <c r="J149" s="175"/>
      <c r="K149" s="34">
        <f>K144+K148+K146</f>
        <v>258.62068965517244</v>
      </c>
      <c r="P149" s="20"/>
      <c r="Q149" s="20"/>
    </row>
    <row r="150" spans="1:17" s="19" customFormat="1" x14ac:dyDescent="0.2">
      <c r="A150" s="154"/>
      <c r="B150" s="188" t="s">
        <v>7292</v>
      </c>
      <c r="C150" s="188"/>
      <c r="D150" s="30">
        <f>D143*2.5%</f>
        <v>14.367816091954026</v>
      </c>
      <c r="E150" s="67"/>
      <c r="F150" s="67"/>
      <c r="H150" s="159"/>
      <c r="J150" s="29"/>
      <c r="P150" s="20"/>
      <c r="Q150" s="20"/>
    </row>
    <row r="151" spans="1:17" s="19" customFormat="1" x14ac:dyDescent="0.2">
      <c r="A151" s="154"/>
      <c r="B151" s="174" t="s">
        <v>7281</v>
      </c>
      <c r="C151" s="174"/>
      <c r="D151" s="34">
        <f>D144+D146+D148+D149+D150</f>
        <v>281.60919540229889</v>
      </c>
      <c r="E151" s="67"/>
      <c r="F151" s="67"/>
      <c r="H151" s="159"/>
      <c r="J151" s="29"/>
      <c r="P151" s="20"/>
      <c r="Q151" s="20"/>
    </row>
    <row r="152" spans="1:17" s="19" customFormat="1" x14ac:dyDescent="0.2">
      <c r="A152" s="154"/>
      <c r="B152" s="29"/>
      <c r="D152" s="30"/>
      <c r="E152" s="67"/>
      <c r="F152" s="67"/>
      <c r="H152" s="159"/>
      <c r="J152" s="29"/>
      <c r="P152" s="20"/>
      <c r="Q152" s="20"/>
    </row>
    <row r="153" spans="1:17" s="19" customFormat="1" ht="12.75" thickBot="1" x14ac:dyDescent="0.25">
      <c r="A153" s="154"/>
      <c r="B153" s="29"/>
      <c r="D153" s="30"/>
      <c r="E153" s="67"/>
      <c r="F153" s="67"/>
      <c r="H153" s="159"/>
      <c r="J153" s="29"/>
      <c r="P153" s="20"/>
      <c r="Q153" s="20"/>
    </row>
    <row r="154" spans="1:17" s="19" customFormat="1" ht="30.75" customHeight="1" thickBot="1" x14ac:dyDescent="0.25">
      <c r="A154" s="154"/>
      <c r="B154" s="182" t="s">
        <v>7293</v>
      </c>
      <c r="C154" s="183"/>
      <c r="D154" s="184"/>
      <c r="E154" s="35"/>
      <c r="H154" s="160"/>
      <c r="I154" s="185" t="s">
        <v>7294</v>
      </c>
      <c r="J154" s="186"/>
      <c r="K154" s="187"/>
      <c r="P154" s="20"/>
      <c r="Q154" s="20"/>
    </row>
    <row r="155" spans="1:17" s="19" customFormat="1" x14ac:dyDescent="0.2">
      <c r="A155" s="154"/>
      <c r="B155" s="153" t="s">
        <v>7251</v>
      </c>
      <c r="C155" s="153"/>
      <c r="D155" s="153"/>
      <c r="E155" s="35"/>
      <c r="H155" s="159"/>
      <c r="I155" s="188" t="s">
        <v>7251</v>
      </c>
      <c r="J155" s="188"/>
      <c r="K155" s="188"/>
      <c r="P155" s="20"/>
      <c r="Q155" s="20"/>
    </row>
    <row r="156" spans="1:17" s="19" customFormat="1" x14ac:dyDescent="0.2">
      <c r="B156" s="167" t="s">
        <v>7277</v>
      </c>
      <c r="C156" s="167"/>
      <c r="D156" s="34">
        <v>1000</v>
      </c>
      <c r="E156" s="35"/>
      <c r="H156" s="70"/>
      <c r="I156" s="167" t="s">
        <v>7277</v>
      </c>
      <c r="J156" s="167"/>
      <c r="K156" s="34">
        <v>1000</v>
      </c>
      <c r="P156" s="20"/>
      <c r="Q156" s="20"/>
    </row>
    <row r="157" spans="1:17" s="19" customFormat="1" x14ac:dyDescent="0.2">
      <c r="B157" s="166" t="s">
        <v>7256</v>
      </c>
      <c r="C157" s="168"/>
      <c r="D157" s="37">
        <v>0</v>
      </c>
      <c r="E157" s="35"/>
      <c r="H157" s="70"/>
      <c r="I157" s="166" t="s">
        <v>7256</v>
      </c>
      <c r="J157" s="168"/>
      <c r="K157" s="37">
        <v>0</v>
      </c>
      <c r="P157" s="20"/>
      <c r="Q157" s="20"/>
    </row>
    <row r="158" spans="1:17" s="19" customFormat="1" x14ac:dyDescent="0.2">
      <c r="B158" s="166" t="s">
        <v>7258</v>
      </c>
      <c r="C158" s="168"/>
      <c r="D158" s="40">
        <v>0</v>
      </c>
      <c r="E158" s="35"/>
      <c r="H158" s="70"/>
      <c r="I158" s="166" t="s">
        <v>7258</v>
      </c>
      <c r="J158" s="168"/>
      <c r="K158" s="40">
        <v>0</v>
      </c>
      <c r="P158" s="20"/>
      <c r="Q158" s="20"/>
    </row>
    <row r="159" spans="1:17" s="19" customFormat="1" x14ac:dyDescent="0.2">
      <c r="B159" s="167" t="s">
        <v>7259</v>
      </c>
      <c r="C159" s="166"/>
      <c r="D159" s="42">
        <f>((D156/1.25)*(100%-D157)/1.35/1.16*(100%-D158))</f>
        <v>510.8556832694764</v>
      </c>
      <c r="E159" s="35"/>
      <c r="H159" s="70"/>
      <c r="I159" s="167" t="s">
        <v>7259</v>
      </c>
      <c r="J159" s="166"/>
      <c r="K159" s="42">
        <f>((K156/1.25)*(100%-K157)/1.25/1.16*(100%-K158))</f>
        <v>551.72413793103453</v>
      </c>
      <c r="P159" s="20"/>
      <c r="Q159" s="20"/>
    </row>
    <row r="160" spans="1:17" s="19" customFormat="1" x14ac:dyDescent="0.2">
      <c r="B160" s="167" t="s">
        <v>7284</v>
      </c>
      <c r="C160" s="166"/>
      <c r="D160" s="44">
        <f>D159*25%</f>
        <v>127.7139208173691</v>
      </c>
      <c r="E160" s="35"/>
      <c r="H160" s="70"/>
      <c r="I160" s="167" t="s">
        <v>7284</v>
      </c>
      <c r="J160" s="166"/>
      <c r="K160" s="44">
        <f>K159*25%</f>
        <v>137.93103448275863</v>
      </c>
      <c r="P160" s="20"/>
      <c r="Q160" s="20"/>
    </row>
    <row r="161" spans="2:17" s="19" customFormat="1" x14ac:dyDescent="0.2">
      <c r="B161" s="167" t="s">
        <v>7261</v>
      </c>
      <c r="C161" s="166"/>
      <c r="D161" s="49">
        <v>0</v>
      </c>
      <c r="E161" s="35"/>
      <c r="H161" s="70"/>
      <c r="I161" s="167" t="s">
        <v>7261</v>
      </c>
      <c r="J161" s="166"/>
      <c r="K161" s="49">
        <v>0</v>
      </c>
      <c r="P161" s="20"/>
      <c r="Q161" s="20"/>
    </row>
    <row r="162" spans="2:17" s="19" customFormat="1" x14ac:dyDescent="0.2">
      <c r="B162" s="167" t="s">
        <v>7295</v>
      </c>
      <c r="C162" s="166"/>
      <c r="D162" s="44">
        <v>12953</v>
      </c>
      <c r="E162" s="35"/>
      <c r="H162" s="70"/>
      <c r="I162" s="167" t="s">
        <v>7295</v>
      </c>
      <c r="J162" s="166"/>
      <c r="K162" s="44">
        <v>12953</v>
      </c>
      <c r="P162" s="20"/>
      <c r="Q162" s="20"/>
    </row>
    <row r="163" spans="2:17" s="19" customFormat="1" x14ac:dyDescent="0.2">
      <c r="B163" s="167" t="s">
        <v>7263</v>
      </c>
      <c r="C163" s="166"/>
      <c r="D163" s="49">
        <f>D159+D160+D162</f>
        <v>13591.569604086846</v>
      </c>
      <c r="E163" s="35"/>
      <c r="H163" s="70"/>
      <c r="I163" s="167" t="s">
        <v>7263</v>
      </c>
      <c r="J163" s="166"/>
      <c r="K163" s="49">
        <f>K159+K160+K162</f>
        <v>13642.655172413793</v>
      </c>
      <c r="P163" s="20"/>
      <c r="Q163" s="20"/>
    </row>
    <row r="164" spans="2:17" s="19" customFormat="1" x14ac:dyDescent="0.2">
      <c r="B164" s="167" t="s">
        <v>7280</v>
      </c>
      <c r="C164" s="166"/>
      <c r="D164" s="44">
        <f>D163*16%</f>
        <v>2174.6511366538953</v>
      </c>
      <c r="E164" s="35"/>
      <c r="H164" s="70"/>
      <c r="I164" s="167" t="s">
        <v>7280</v>
      </c>
      <c r="J164" s="166"/>
      <c r="K164" s="30">
        <f>K163*16%</f>
        <v>2182.824827586207</v>
      </c>
      <c r="P164" s="20"/>
      <c r="Q164" s="20"/>
    </row>
    <row r="165" spans="2:17" s="19" customFormat="1" x14ac:dyDescent="0.2">
      <c r="B165" s="188" t="s">
        <v>7264</v>
      </c>
      <c r="C165" s="188"/>
      <c r="D165" s="30">
        <f>D159*1.5%</f>
        <v>7.6628352490421454</v>
      </c>
      <c r="E165" s="35"/>
      <c r="H165" s="70"/>
      <c r="I165" s="174" t="s">
        <v>7281</v>
      </c>
      <c r="J165" s="175"/>
      <c r="K165" s="34">
        <f>K160+K164+K162</f>
        <v>15273.755862068965</v>
      </c>
      <c r="P165" s="20"/>
      <c r="Q165" s="20"/>
    </row>
    <row r="166" spans="2:17" s="19" customFormat="1" x14ac:dyDescent="0.2">
      <c r="B166" s="188" t="s">
        <v>7292</v>
      </c>
      <c r="C166" s="188"/>
      <c r="D166" s="30">
        <f>D159*2.5%</f>
        <v>12.771392081736911</v>
      </c>
      <c r="E166" s="35"/>
      <c r="H166" s="70"/>
      <c r="P166" s="20"/>
      <c r="Q166" s="20"/>
    </row>
    <row r="167" spans="2:17" s="19" customFormat="1" x14ac:dyDescent="0.2">
      <c r="B167" s="174" t="s">
        <v>7281</v>
      </c>
      <c r="C167" s="175"/>
      <c r="D167" s="34">
        <f>D160+D162+D164+D165+D166</f>
        <v>15275.799284802042</v>
      </c>
      <c r="E167" s="35"/>
      <c r="H167" s="70"/>
      <c r="P167" s="20"/>
      <c r="Q167" s="20"/>
    </row>
    <row r="168" spans="2:17" s="19" customFormat="1" x14ac:dyDescent="0.2">
      <c r="B168" s="29"/>
      <c r="D168" s="30"/>
      <c r="E168" s="35"/>
      <c r="H168" s="70"/>
      <c r="J168" s="29"/>
      <c r="P168" s="20"/>
      <c r="Q168" s="20"/>
    </row>
    <row r="169" spans="2:17" s="19" customFormat="1" ht="12.75" thickBot="1" x14ac:dyDescent="0.25">
      <c r="B169" s="71"/>
      <c r="C169" s="67"/>
      <c r="D169" s="72"/>
      <c r="E169" s="35"/>
      <c r="H169" s="70"/>
      <c r="J169" s="29"/>
      <c r="P169" s="20"/>
      <c r="Q169" s="20"/>
    </row>
    <row r="170" spans="2:17" s="19" customFormat="1" ht="37.5" customHeight="1" thickBot="1" x14ac:dyDescent="0.25">
      <c r="B170" s="177" t="s">
        <v>7296</v>
      </c>
      <c r="C170" s="178"/>
      <c r="D170" s="179"/>
      <c r="E170" s="35"/>
      <c r="H170" s="73"/>
      <c r="I170" s="177" t="s">
        <v>7297</v>
      </c>
      <c r="J170" s="178"/>
      <c r="K170" s="179"/>
      <c r="P170" s="20"/>
      <c r="Q170" s="20"/>
    </row>
    <row r="171" spans="2:17" s="19" customFormat="1" x14ac:dyDescent="0.2">
      <c r="B171" s="153" t="s">
        <v>7251</v>
      </c>
      <c r="C171" s="153"/>
      <c r="D171" s="153"/>
      <c r="E171" s="35"/>
      <c r="H171" s="70"/>
      <c r="I171" s="189" t="s">
        <v>7251</v>
      </c>
      <c r="J171" s="188"/>
      <c r="K171" s="188"/>
      <c r="P171" s="20"/>
      <c r="Q171" s="20"/>
    </row>
    <row r="172" spans="2:17" s="19" customFormat="1" x14ac:dyDescent="0.2">
      <c r="B172" s="180" t="s">
        <v>7277</v>
      </c>
      <c r="C172" s="180"/>
      <c r="D172" s="34">
        <v>1000</v>
      </c>
      <c r="E172" s="35"/>
      <c r="H172" s="70"/>
      <c r="I172" s="181" t="s">
        <v>7277</v>
      </c>
      <c r="J172" s="167"/>
      <c r="K172" s="34">
        <v>1000</v>
      </c>
      <c r="P172" s="20"/>
      <c r="Q172" s="20"/>
    </row>
    <row r="173" spans="2:17" s="19" customFormat="1" x14ac:dyDescent="0.2">
      <c r="B173" s="166" t="s">
        <v>7256</v>
      </c>
      <c r="C173" s="168"/>
      <c r="D173" s="37">
        <v>0</v>
      </c>
      <c r="E173" s="35"/>
      <c r="H173" s="70"/>
      <c r="I173" s="190" t="s">
        <v>7256</v>
      </c>
      <c r="J173" s="166"/>
      <c r="K173" s="37">
        <v>0</v>
      </c>
      <c r="P173" s="20"/>
      <c r="Q173" s="20"/>
    </row>
    <row r="174" spans="2:17" s="19" customFormat="1" x14ac:dyDescent="0.2">
      <c r="B174" s="166" t="s">
        <v>7258</v>
      </c>
      <c r="C174" s="168"/>
      <c r="D174" s="40">
        <v>0</v>
      </c>
      <c r="E174" s="35"/>
      <c r="H174" s="70"/>
      <c r="I174" s="190" t="s">
        <v>7258</v>
      </c>
      <c r="J174" s="166"/>
      <c r="K174" s="40">
        <v>0</v>
      </c>
      <c r="P174" s="20"/>
      <c r="Q174" s="20"/>
    </row>
    <row r="175" spans="2:17" s="19" customFormat="1" x14ac:dyDescent="0.2">
      <c r="B175" s="166" t="s">
        <v>7259</v>
      </c>
      <c r="C175" s="166"/>
      <c r="D175" s="42">
        <f>((D172/1.25)*(100%-D173)/1.16)*(100%-D174)</f>
        <v>689.65517241379314</v>
      </c>
      <c r="E175" s="35"/>
      <c r="H175" s="70"/>
      <c r="I175" s="190" t="s">
        <v>7259</v>
      </c>
      <c r="J175" s="166"/>
      <c r="K175" s="42">
        <f>((K172/1.25)*(100%-K173)/1.16)*(100%-K174)</f>
        <v>689.65517241379314</v>
      </c>
      <c r="P175" s="20"/>
      <c r="Q175" s="20"/>
    </row>
    <row r="176" spans="2:17" s="19" customFormat="1" x14ac:dyDescent="0.2">
      <c r="B176" s="167" t="s">
        <v>7291</v>
      </c>
      <c r="C176" s="166"/>
      <c r="D176" s="44">
        <v>0</v>
      </c>
      <c r="E176" s="35"/>
      <c r="H176" s="70"/>
      <c r="I176" s="181" t="s">
        <v>7291</v>
      </c>
      <c r="J176" s="167"/>
      <c r="K176" s="44"/>
      <c r="P176" s="20"/>
      <c r="Q176" s="20"/>
    </row>
    <row r="177" spans="2:17" s="19" customFormat="1" x14ac:dyDescent="0.2">
      <c r="B177" s="166" t="s">
        <v>7261</v>
      </c>
      <c r="C177" s="166"/>
      <c r="D177" s="49">
        <v>0</v>
      </c>
      <c r="E177" s="35"/>
      <c r="H177" s="70"/>
      <c r="I177" s="190" t="s">
        <v>7261</v>
      </c>
      <c r="J177" s="166"/>
      <c r="K177" s="49">
        <v>0</v>
      </c>
      <c r="P177" s="20"/>
      <c r="Q177" s="20"/>
    </row>
    <row r="178" spans="2:17" s="19" customFormat="1" x14ac:dyDescent="0.2">
      <c r="B178" s="167" t="s">
        <v>7285</v>
      </c>
      <c r="C178" s="166"/>
      <c r="D178" s="44">
        <v>0</v>
      </c>
      <c r="E178" s="35"/>
      <c r="H178" s="70"/>
      <c r="I178" s="181" t="s">
        <v>7285</v>
      </c>
      <c r="J178" s="167"/>
      <c r="K178" s="44">
        <v>0</v>
      </c>
      <c r="P178" s="20"/>
      <c r="Q178" s="20"/>
    </row>
    <row r="179" spans="2:17" s="19" customFormat="1" x14ac:dyDescent="0.2">
      <c r="B179" s="166" t="s">
        <v>7263</v>
      </c>
      <c r="C179" s="166"/>
      <c r="D179" s="44">
        <f>D175+D178</f>
        <v>689.65517241379314</v>
      </c>
      <c r="E179" s="35"/>
      <c r="H179" s="70"/>
      <c r="I179" s="190" t="s">
        <v>7263</v>
      </c>
      <c r="J179" s="166"/>
      <c r="K179" s="49">
        <v>0</v>
      </c>
      <c r="P179" s="20"/>
      <c r="Q179" s="20"/>
    </row>
    <row r="180" spans="2:17" s="19" customFormat="1" x14ac:dyDescent="0.2">
      <c r="B180" s="167" t="s">
        <v>7280</v>
      </c>
      <c r="C180" s="166"/>
      <c r="D180" s="44">
        <f>D179*16%</f>
        <v>110.3448275862069</v>
      </c>
      <c r="E180" s="35"/>
      <c r="H180" s="70"/>
      <c r="I180" s="181" t="s">
        <v>7280</v>
      </c>
      <c r="J180" s="167"/>
      <c r="K180" s="44">
        <f>16/100*K175</f>
        <v>110.3448275862069</v>
      </c>
      <c r="P180" s="20"/>
      <c r="Q180" s="20"/>
    </row>
    <row r="181" spans="2:17" s="19" customFormat="1" x14ac:dyDescent="0.2">
      <c r="B181" s="167" t="s">
        <v>7266</v>
      </c>
      <c r="C181" s="167"/>
      <c r="D181" s="44">
        <f>D175*2.5%</f>
        <v>17.241379310344829</v>
      </c>
      <c r="E181" s="35"/>
      <c r="H181" s="70"/>
      <c r="I181" s="191" t="s">
        <v>7281</v>
      </c>
      <c r="J181" s="174"/>
      <c r="K181" s="34">
        <f>K180</f>
        <v>110.3448275862069</v>
      </c>
      <c r="P181" s="20"/>
      <c r="Q181" s="20"/>
    </row>
    <row r="182" spans="2:17" s="19" customFormat="1" x14ac:dyDescent="0.2">
      <c r="B182" s="167" t="s">
        <v>7264</v>
      </c>
      <c r="C182" s="167"/>
      <c r="D182" s="44">
        <f>D175*1.5%</f>
        <v>10.344827586206897</v>
      </c>
      <c r="E182" s="35"/>
      <c r="H182" s="70"/>
      <c r="J182" s="29"/>
      <c r="P182" s="20"/>
      <c r="Q182" s="20"/>
    </row>
    <row r="183" spans="2:17" s="19" customFormat="1" x14ac:dyDescent="0.2">
      <c r="B183" s="174" t="s">
        <v>7281</v>
      </c>
      <c r="C183" s="175"/>
      <c r="D183" s="34">
        <f>D178+D180+D181+D182</f>
        <v>137.93103448275863</v>
      </c>
      <c r="E183" s="35"/>
      <c r="H183" s="70"/>
      <c r="J183" s="29"/>
      <c r="P183" s="20"/>
      <c r="Q183" s="20"/>
    </row>
    <row r="184" spans="2:17" s="19" customFormat="1" x14ac:dyDescent="0.2">
      <c r="B184" s="71"/>
      <c r="C184" s="67"/>
      <c r="D184" s="72"/>
      <c r="E184" s="35"/>
      <c r="H184" s="70"/>
      <c r="J184" s="29"/>
      <c r="P184" s="20"/>
      <c r="Q184" s="20"/>
    </row>
    <row r="185" spans="2:17" s="19" customFormat="1" x14ac:dyDescent="0.2">
      <c r="B185" s="71"/>
      <c r="C185" s="67"/>
      <c r="D185" s="72"/>
      <c r="E185" s="35"/>
      <c r="H185" s="70"/>
      <c r="J185" s="29"/>
      <c r="P185" s="20"/>
      <c r="Q185" s="20"/>
    </row>
    <row r="186" spans="2:17" s="19" customFormat="1" ht="12.75" thickBot="1" x14ac:dyDescent="0.25">
      <c r="B186" s="71"/>
      <c r="C186" s="67"/>
      <c r="D186" s="72"/>
      <c r="E186" s="35"/>
      <c r="H186" s="70"/>
      <c r="J186" s="29"/>
      <c r="P186" s="20"/>
      <c r="Q186" s="20"/>
    </row>
    <row r="187" spans="2:17" s="19" customFormat="1" ht="39.75" customHeight="1" thickBot="1" x14ac:dyDescent="0.25">
      <c r="B187" s="177" t="s">
        <v>7298</v>
      </c>
      <c r="C187" s="178"/>
      <c r="D187" s="179"/>
      <c r="E187" s="35"/>
      <c r="H187" s="73"/>
      <c r="I187" s="177" t="s">
        <v>7299</v>
      </c>
      <c r="J187" s="178"/>
      <c r="K187" s="179"/>
      <c r="P187" s="20"/>
      <c r="Q187" s="20"/>
    </row>
    <row r="188" spans="2:17" s="19" customFormat="1" x14ac:dyDescent="0.2">
      <c r="B188" s="153" t="s">
        <v>7251</v>
      </c>
      <c r="C188" s="153"/>
      <c r="D188" s="153"/>
      <c r="E188" s="35"/>
      <c r="H188" s="70"/>
      <c r="I188" s="189" t="s">
        <v>7251</v>
      </c>
      <c r="J188" s="188"/>
      <c r="K188" s="188"/>
      <c r="P188" s="20"/>
      <c r="Q188" s="20"/>
    </row>
    <row r="189" spans="2:17" s="19" customFormat="1" x14ac:dyDescent="0.2">
      <c r="B189" s="180" t="s">
        <v>7277</v>
      </c>
      <c r="C189" s="180"/>
      <c r="D189" s="34">
        <v>1000</v>
      </c>
      <c r="E189" s="35"/>
      <c r="H189" s="70"/>
      <c r="I189" s="181" t="s">
        <v>7277</v>
      </c>
      <c r="J189" s="167"/>
      <c r="K189" s="34">
        <v>1000</v>
      </c>
      <c r="P189" s="20"/>
      <c r="Q189" s="20"/>
    </row>
    <row r="190" spans="2:17" s="19" customFormat="1" x14ac:dyDescent="0.2">
      <c r="B190" s="166" t="s">
        <v>7256</v>
      </c>
      <c r="C190" s="168"/>
      <c r="D190" s="37">
        <v>0</v>
      </c>
      <c r="E190" s="35"/>
      <c r="H190" s="70"/>
      <c r="I190" s="190" t="s">
        <v>7256</v>
      </c>
      <c r="J190" s="166"/>
      <c r="K190" s="37">
        <v>0</v>
      </c>
      <c r="P190" s="20"/>
      <c r="Q190" s="20"/>
    </row>
    <row r="191" spans="2:17" s="19" customFormat="1" x14ac:dyDescent="0.2">
      <c r="B191" s="166" t="s">
        <v>7258</v>
      </c>
      <c r="C191" s="168"/>
      <c r="D191" s="40">
        <v>0</v>
      </c>
      <c r="E191" s="35"/>
      <c r="H191" s="70"/>
      <c r="I191" s="190" t="s">
        <v>7258</v>
      </c>
      <c r="J191" s="166"/>
      <c r="K191" s="40">
        <v>0</v>
      </c>
      <c r="P191" s="20"/>
      <c r="Q191" s="20"/>
    </row>
    <row r="192" spans="2:17" s="19" customFormat="1" x14ac:dyDescent="0.2">
      <c r="B192" s="166" t="s">
        <v>7259</v>
      </c>
      <c r="C192" s="166"/>
      <c r="D192" s="42">
        <f>((D189/1.25)*(100%-D190)/1.16)*(100%-D191)</f>
        <v>689.65517241379314</v>
      </c>
      <c r="E192" s="35"/>
      <c r="H192" s="70"/>
      <c r="I192" s="190" t="s">
        <v>7259</v>
      </c>
      <c r="J192" s="166"/>
      <c r="K192" s="42">
        <f>((K189/1.25)*(100%-K190))*(100%-K191)</f>
        <v>800</v>
      </c>
      <c r="P192" s="20"/>
      <c r="Q192" s="20"/>
    </row>
    <row r="193" spans="2:17" s="19" customFormat="1" x14ac:dyDescent="0.2">
      <c r="B193" s="167" t="s">
        <v>7291</v>
      </c>
      <c r="C193" s="166"/>
      <c r="D193" s="44">
        <v>0</v>
      </c>
      <c r="E193" s="35"/>
      <c r="H193" s="70"/>
      <c r="I193" s="181" t="s">
        <v>7291</v>
      </c>
      <c r="J193" s="167"/>
      <c r="K193" s="44"/>
      <c r="P193" s="20"/>
      <c r="Q193" s="20"/>
    </row>
    <row r="194" spans="2:17" s="19" customFormat="1" x14ac:dyDescent="0.2">
      <c r="B194" s="166" t="s">
        <v>7261</v>
      </c>
      <c r="C194" s="166"/>
      <c r="D194" s="49">
        <v>0</v>
      </c>
      <c r="E194" s="35"/>
      <c r="H194" s="70"/>
      <c r="I194" s="190" t="s">
        <v>7261</v>
      </c>
      <c r="J194" s="166"/>
      <c r="K194" s="49">
        <v>0</v>
      </c>
      <c r="P194" s="20"/>
      <c r="Q194" s="20"/>
    </row>
    <row r="195" spans="2:17" s="19" customFormat="1" x14ac:dyDescent="0.2">
      <c r="B195" s="167" t="s">
        <v>7285</v>
      </c>
      <c r="C195" s="166"/>
      <c r="D195" s="44">
        <v>0</v>
      </c>
      <c r="E195" s="35"/>
      <c r="H195" s="70"/>
      <c r="I195" s="181" t="s">
        <v>7285</v>
      </c>
      <c r="J195" s="167"/>
      <c r="K195" s="44">
        <v>0</v>
      </c>
      <c r="P195" s="20"/>
      <c r="Q195" s="20"/>
    </row>
    <row r="196" spans="2:17" s="19" customFormat="1" x14ac:dyDescent="0.2">
      <c r="B196" s="166" t="s">
        <v>7263</v>
      </c>
      <c r="C196" s="166"/>
      <c r="D196" s="44">
        <f>D192+D195</f>
        <v>689.65517241379314</v>
      </c>
      <c r="E196" s="35"/>
      <c r="H196" s="70"/>
      <c r="I196" s="190" t="s">
        <v>7263</v>
      </c>
      <c r="J196" s="166"/>
      <c r="K196" s="44">
        <f>K195*16%</f>
        <v>0</v>
      </c>
      <c r="P196" s="20"/>
      <c r="Q196" s="20"/>
    </row>
    <row r="197" spans="2:17" s="19" customFormat="1" x14ac:dyDescent="0.2">
      <c r="B197" s="167" t="s">
        <v>7280</v>
      </c>
      <c r="C197" s="166"/>
      <c r="D197" s="44">
        <f>D196*16%</f>
        <v>110.3448275862069</v>
      </c>
      <c r="E197" s="35"/>
      <c r="H197" s="70"/>
      <c r="I197" s="181" t="s">
        <v>7280</v>
      </c>
      <c r="J197" s="167"/>
      <c r="K197" s="44">
        <f>K196*16%</f>
        <v>0</v>
      </c>
      <c r="P197" s="20"/>
      <c r="Q197" s="20"/>
    </row>
    <row r="198" spans="2:17" s="19" customFormat="1" x14ac:dyDescent="0.2">
      <c r="B198" s="167" t="s">
        <v>7266</v>
      </c>
      <c r="C198" s="167"/>
      <c r="D198" s="44">
        <f>D192*2.5%</f>
        <v>17.241379310344829</v>
      </c>
      <c r="E198" s="35"/>
      <c r="H198" s="70"/>
      <c r="I198" s="191" t="s">
        <v>7281</v>
      </c>
      <c r="J198" s="174"/>
      <c r="K198" s="34">
        <f>K197</f>
        <v>0</v>
      </c>
      <c r="P198" s="20"/>
      <c r="Q198" s="20"/>
    </row>
    <row r="199" spans="2:17" s="19" customFormat="1" x14ac:dyDescent="0.2">
      <c r="B199" s="167" t="s">
        <v>7264</v>
      </c>
      <c r="C199" s="167"/>
      <c r="D199" s="44">
        <f>D192*1.5%</f>
        <v>10.344827586206897</v>
      </c>
      <c r="E199" s="35"/>
      <c r="H199" s="70"/>
      <c r="J199" s="29"/>
      <c r="P199" s="20"/>
      <c r="Q199" s="20"/>
    </row>
    <row r="200" spans="2:17" s="19" customFormat="1" ht="24.75" customHeight="1" x14ac:dyDescent="0.2">
      <c r="B200" s="174" t="s">
        <v>7281</v>
      </c>
      <c r="C200" s="175"/>
      <c r="D200" s="34">
        <f>D195+D197+D198+D199</f>
        <v>137.93103448275863</v>
      </c>
      <c r="E200" s="35"/>
      <c r="H200" s="70"/>
      <c r="J200" s="29"/>
      <c r="P200" s="20"/>
      <c r="Q200" s="20"/>
    </row>
    <row r="201" spans="2:17" s="19" customFormat="1" ht="24.75" customHeight="1" x14ac:dyDescent="0.2">
      <c r="B201" s="74"/>
      <c r="C201" s="75"/>
      <c r="D201" s="34"/>
      <c r="E201" s="35"/>
      <c r="H201" s="70"/>
      <c r="J201" s="29"/>
      <c r="P201" s="20"/>
      <c r="Q201" s="20"/>
    </row>
    <row r="202" spans="2:17" s="19" customFormat="1" x14ac:dyDescent="0.2">
      <c r="B202" s="55"/>
      <c r="C202" s="64"/>
      <c r="D202" s="44"/>
      <c r="E202" s="35"/>
      <c r="H202" s="67"/>
      <c r="J202" s="29"/>
      <c r="P202" s="20"/>
      <c r="Q202" s="20"/>
    </row>
    <row r="203" spans="2:17" s="19" customFormat="1" x14ac:dyDescent="0.2">
      <c r="B203" s="55"/>
      <c r="C203" s="64"/>
      <c r="D203" s="44"/>
      <c r="E203" s="35"/>
      <c r="H203" s="67"/>
      <c r="J203" s="29"/>
      <c r="P203" s="20"/>
      <c r="Q203" s="20"/>
    </row>
  </sheetData>
  <mergeCells count="302">
    <mergeCell ref="B198:C198"/>
    <mergeCell ref="I198:J198"/>
    <mergeCell ref="B199:C199"/>
    <mergeCell ref="B200:C200"/>
    <mergeCell ref="B195:C195"/>
    <mergeCell ref="I195:J195"/>
    <mergeCell ref="B196:C196"/>
    <mergeCell ref="I196:J196"/>
    <mergeCell ref="B197:C197"/>
    <mergeCell ref="I197:J197"/>
    <mergeCell ref="B192:C192"/>
    <mergeCell ref="I192:J192"/>
    <mergeCell ref="B193:C193"/>
    <mergeCell ref="I193:J193"/>
    <mergeCell ref="B194:C194"/>
    <mergeCell ref="I194:J194"/>
    <mergeCell ref="B189:C189"/>
    <mergeCell ref="I189:J189"/>
    <mergeCell ref="B190:C190"/>
    <mergeCell ref="I190:J190"/>
    <mergeCell ref="B191:C191"/>
    <mergeCell ref="I191:J191"/>
    <mergeCell ref="B182:C182"/>
    <mergeCell ref="B183:C183"/>
    <mergeCell ref="B187:D187"/>
    <mergeCell ref="I187:K187"/>
    <mergeCell ref="B188:D188"/>
    <mergeCell ref="I188:K188"/>
    <mergeCell ref="B179:C179"/>
    <mergeCell ref="I179:J179"/>
    <mergeCell ref="B180:C180"/>
    <mergeCell ref="I180:J180"/>
    <mergeCell ref="B181:C181"/>
    <mergeCell ref="I181:J181"/>
    <mergeCell ref="B176:C176"/>
    <mergeCell ref="I176:J176"/>
    <mergeCell ref="B177:C177"/>
    <mergeCell ref="I177:J177"/>
    <mergeCell ref="B178:C178"/>
    <mergeCell ref="I178:J178"/>
    <mergeCell ref="B173:C173"/>
    <mergeCell ref="I173:J173"/>
    <mergeCell ref="B174:C174"/>
    <mergeCell ref="I174:J174"/>
    <mergeCell ref="B175:C175"/>
    <mergeCell ref="I175:J175"/>
    <mergeCell ref="B170:D170"/>
    <mergeCell ref="I170:K170"/>
    <mergeCell ref="B171:D171"/>
    <mergeCell ref="I171:K171"/>
    <mergeCell ref="B172:C172"/>
    <mergeCell ref="I172:J172"/>
    <mergeCell ref="B164:C164"/>
    <mergeCell ref="I164:J164"/>
    <mergeCell ref="B165:C165"/>
    <mergeCell ref="I165:J165"/>
    <mergeCell ref="B166:C166"/>
    <mergeCell ref="B167:C167"/>
    <mergeCell ref="B161:C161"/>
    <mergeCell ref="I161:J161"/>
    <mergeCell ref="B162:C162"/>
    <mergeCell ref="I162:J162"/>
    <mergeCell ref="B163:C163"/>
    <mergeCell ref="I163:J163"/>
    <mergeCell ref="B158:C158"/>
    <mergeCell ref="I158:J158"/>
    <mergeCell ref="B159:C159"/>
    <mergeCell ref="I159:J159"/>
    <mergeCell ref="B160:C160"/>
    <mergeCell ref="I160:J160"/>
    <mergeCell ref="B155:D155"/>
    <mergeCell ref="I155:K155"/>
    <mergeCell ref="B156:C156"/>
    <mergeCell ref="I156:J156"/>
    <mergeCell ref="B157:C157"/>
    <mergeCell ref="I157:J157"/>
    <mergeCell ref="B149:C149"/>
    <mergeCell ref="I149:J149"/>
    <mergeCell ref="B150:C150"/>
    <mergeCell ref="B151:C151"/>
    <mergeCell ref="B154:D154"/>
    <mergeCell ref="I154:K154"/>
    <mergeCell ref="B146:C146"/>
    <mergeCell ref="I146:J146"/>
    <mergeCell ref="B147:C147"/>
    <mergeCell ref="I147:J147"/>
    <mergeCell ref="B148:C148"/>
    <mergeCell ref="I148:J148"/>
    <mergeCell ref="B143:C143"/>
    <mergeCell ref="I143:J143"/>
    <mergeCell ref="B144:C144"/>
    <mergeCell ref="I144:J144"/>
    <mergeCell ref="B145:C145"/>
    <mergeCell ref="I145:J145"/>
    <mergeCell ref="B140:C140"/>
    <mergeCell ref="I140:J140"/>
    <mergeCell ref="B141:C141"/>
    <mergeCell ref="I141:J141"/>
    <mergeCell ref="B142:C142"/>
    <mergeCell ref="I142:J142"/>
    <mergeCell ref="B134:C134"/>
    <mergeCell ref="B135:C135"/>
    <mergeCell ref="B138:D138"/>
    <mergeCell ref="I138:K138"/>
    <mergeCell ref="B139:D139"/>
    <mergeCell ref="I139:K139"/>
    <mergeCell ref="B131:C131"/>
    <mergeCell ref="I131:J131"/>
    <mergeCell ref="B132:C132"/>
    <mergeCell ref="I132:J132"/>
    <mergeCell ref="B133:C133"/>
    <mergeCell ref="I133:J133"/>
    <mergeCell ref="B128:C128"/>
    <mergeCell ref="I128:J128"/>
    <mergeCell ref="B129:C129"/>
    <mergeCell ref="I129:J129"/>
    <mergeCell ref="B130:C130"/>
    <mergeCell ref="I130:J130"/>
    <mergeCell ref="I124:J124"/>
    <mergeCell ref="B125:C125"/>
    <mergeCell ref="I125:J125"/>
    <mergeCell ref="B126:C126"/>
    <mergeCell ref="I126:J126"/>
    <mergeCell ref="B127:C127"/>
    <mergeCell ref="I127:J127"/>
    <mergeCell ref="B118:C118"/>
    <mergeCell ref="B119:C119"/>
    <mergeCell ref="B122:D122"/>
    <mergeCell ref="I122:K122"/>
    <mergeCell ref="B123:D123"/>
    <mergeCell ref="I123:K123"/>
    <mergeCell ref="B115:C115"/>
    <mergeCell ref="I115:J115"/>
    <mergeCell ref="B116:C116"/>
    <mergeCell ref="I116:J116"/>
    <mergeCell ref="B117:C117"/>
    <mergeCell ref="I117:J117"/>
    <mergeCell ref="B112:C112"/>
    <mergeCell ref="I112:J112"/>
    <mergeCell ref="B113:C113"/>
    <mergeCell ref="I113:J113"/>
    <mergeCell ref="B114:C114"/>
    <mergeCell ref="I114:J114"/>
    <mergeCell ref="B110:C110"/>
    <mergeCell ref="I110:J110"/>
    <mergeCell ref="B111:C111"/>
    <mergeCell ref="I111:J111"/>
    <mergeCell ref="B106:D106"/>
    <mergeCell ref="I106:K106"/>
    <mergeCell ref="B107:D107"/>
    <mergeCell ref="I107:K107"/>
    <mergeCell ref="B108:C108"/>
    <mergeCell ref="I108:J108"/>
    <mergeCell ref="B104:C104"/>
    <mergeCell ref="I95:J95"/>
    <mergeCell ref="B96:C96"/>
    <mergeCell ref="I96:J96"/>
    <mergeCell ref="B97:C97"/>
    <mergeCell ref="I97:J97"/>
    <mergeCell ref="B98:C98"/>
    <mergeCell ref="I98:J98"/>
    <mergeCell ref="B109:C109"/>
    <mergeCell ref="I109:J109"/>
    <mergeCell ref="B91:C91"/>
    <mergeCell ref="I91:J91"/>
    <mergeCell ref="B92:C92"/>
    <mergeCell ref="I92:J92"/>
    <mergeCell ref="L92:L102"/>
    <mergeCell ref="B93:C93"/>
    <mergeCell ref="I93:J93"/>
    <mergeCell ref="B94:C94"/>
    <mergeCell ref="I94:J94"/>
    <mergeCell ref="B95:C95"/>
    <mergeCell ref="B99:C99"/>
    <mergeCell ref="I99:J99"/>
    <mergeCell ref="B100:C100"/>
    <mergeCell ref="B101:C101"/>
    <mergeCell ref="B102:C102"/>
    <mergeCell ref="B88:D88"/>
    <mergeCell ref="I88:K88"/>
    <mergeCell ref="B89:D89"/>
    <mergeCell ref="I89:K89"/>
    <mergeCell ref="B90:C90"/>
    <mergeCell ref="I90:J90"/>
    <mergeCell ref="B82:C82"/>
    <mergeCell ref="I82:J82"/>
    <mergeCell ref="B83:C83"/>
    <mergeCell ref="I83:J83"/>
    <mergeCell ref="B84:C84"/>
    <mergeCell ref="B85:C85"/>
    <mergeCell ref="B79:C79"/>
    <mergeCell ref="I79:J79"/>
    <mergeCell ref="B80:C80"/>
    <mergeCell ref="I80:J80"/>
    <mergeCell ref="B81:C81"/>
    <mergeCell ref="I81:J81"/>
    <mergeCell ref="B76:C76"/>
    <mergeCell ref="I76:J76"/>
    <mergeCell ref="B77:C77"/>
    <mergeCell ref="I77:J77"/>
    <mergeCell ref="B78:C78"/>
    <mergeCell ref="I78:J78"/>
    <mergeCell ref="B73:D73"/>
    <mergeCell ref="I73:K73"/>
    <mergeCell ref="B74:C74"/>
    <mergeCell ref="I74:J74"/>
    <mergeCell ref="B75:C75"/>
    <mergeCell ref="I75:J75"/>
    <mergeCell ref="B67:C67"/>
    <mergeCell ref="I67:J67"/>
    <mergeCell ref="B68:C68"/>
    <mergeCell ref="B69:C69"/>
    <mergeCell ref="B72:D72"/>
    <mergeCell ref="I72:K72"/>
    <mergeCell ref="B64:C64"/>
    <mergeCell ref="I64:J64"/>
    <mergeCell ref="B65:C65"/>
    <mergeCell ref="I65:J65"/>
    <mergeCell ref="B66:C66"/>
    <mergeCell ref="I66:J66"/>
    <mergeCell ref="B61:C61"/>
    <mergeCell ref="I61:J61"/>
    <mergeCell ref="B62:C62"/>
    <mergeCell ref="I62:J62"/>
    <mergeCell ref="B63:C63"/>
    <mergeCell ref="I63:J63"/>
    <mergeCell ref="B58:C58"/>
    <mergeCell ref="I58:J58"/>
    <mergeCell ref="B59:C59"/>
    <mergeCell ref="I59:J59"/>
    <mergeCell ref="B60:C60"/>
    <mergeCell ref="I60:J60"/>
    <mergeCell ref="B51:C51"/>
    <mergeCell ref="B52:C52"/>
    <mergeCell ref="B56:D56"/>
    <mergeCell ref="I56:K56"/>
    <mergeCell ref="B57:D57"/>
    <mergeCell ref="I57:K57"/>
    <mergeCell ref="B48:C48"/>
    <mergeCell ref="I48:J48"/>
    <mergeCell ref="B49:C49"/>
    <mergeCell ref="I49:J49"/>
    <mergeCell ref="B50:C50"/>
    <mergeCell ref="I50:J50"/>
    <mergeCell ref="B45:C45"/>
    <mergeCell ref="I45:J45"/>
    <mergeCell ref="B46:C46"/>
    <mergeCell ref="I46:J46"/>
    <mergeCell ref="B47:C47"/>
    <mergeCell ref="I47:J47"/>
    <mergeCell ref="B42:C42"/>
    <mergeCell ref="I42:J42"/>
    <mergeCell ref="B43:C43"/>
    <mergeCell ref="I43:J43"/>
    <mergeCell ref="B44:C44"/>
    <mergeCell ref="I44:J44"/>
    <mergeCell ref="B39:D39"/>
    <mergeCell ref="I39:K39"/>
    <mergeCell ref="B40:D40"/>
    <mergeCell ref="I40:K40"/>
    <mergeCell ref="B41:C41"/>
    <mergeCell ref="I41:J41"/>
    <mergeCell ref="B25:C25"/>
    <mergeCell ref="I25:J25"/>
    <mergeCell ref="B26:C26"/>
    <mergeCell ref="I26:J26"/>
    <mergeCell ref="B33:C33"/>
    <mergeCell ref="I33:J33"/>
    <mergeCell ref="B34:C34"/>
    <mergeCell ref="I34:J34"/>
    <mergeCell ref="B35:C35"/>
    <mergeCell ref="I35:J35"/>
    <mergeCell ref="B30:C30"/>
    <mergeCell ref="I30:J30"/>
    <mergeCell ref="B31:C31"/>
    <mergeCell ref="I31:J31"/>
    <mergeCell ref="B32:C32"/>
    <mergeCell ref="I32:J32"/>
    <mergeCell ref="B22:D22"/>
    <mergeCell ref="F22:G22"/>
    <mergeCell ref="I22:K22"/>
    <mergeCell ref="M22:N22"/>
    <mergeCell ref="B23:D23"/>
    <mergeCell ref="I23:K23"/>
    <mergeCell ref="A1:A155"/>
    <mergeCell ref="B1:G1"/>
    <mergeCell ref="H1:H155"/>
    <mergeCell ref="I1:N1"/>
    <mergeCell ref="B2:C2"/>
    <mergeCell ref="D2:G21"/>
    <mergeCell ref="I2:J2"/>
    <mergeCell ref="K2:N19"/>
    <mergeCell ref="B14:C14"/>
    <mergeCell ref="B15:C15"/>
    <mergeCell ref="B27:C27"/>
    <mergeCell ref="I27:J27"/>
    <mergeCell ref="B28:C28"/>
    <mergeCell ref="I28:J28"/>
    <mergeCell ref="B29:C29"/>
    <mergeCell ref="I29:J29"/>
    <mergeCell ref="B24:C24"/>
    <mergeCell ref="I24:J2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1"/>
  <sheetViews>
    <sheetView tabSelected="1" workbookViewId="0">
      <selection activeCell="F26" sqref="F26"/>
    </sheetView>
  </sheetViews>
  <sheetFormatPr defaultRowHeight="12.75" x14ac:dyDescent="0.2"/>
  <cols>
    <col min="1" max="1" width="39.1640625" style="18" customWidth="1"/>
    <col min="2" max="2" width="8.6640625" style="18" customWidth="1"/>
    <col min="3" max="3" width="6.5" style="18" customWidth="1"/>
    <col min="4" max="4" width="0.33203125" style="18" hidden="1" customWidth="1"/>
    <col min="5" max="5" width="29.83203125" style="18" customWidth="1"/>
    <col min="6" max="6" width="27.83203125" style="18" customWidth="1"/>
    <col min="7" max="16384" width="9.33203125" style="18"/>
  </cols>
  <sheetData>
    <row r="2" spans="1:6" s="76" customFormat="1" ht="15" x14ac:dyDescent="0.25">
      <c r="A2" s="76" t="s">
        <v>9766</v>
      </c>
      <c r="B2" s="76" t="s">
        <v>9767</v>
      </c>
      <c r="C2" s="76" t="s">
        <v>7307</v>
      </c>
      <c r="E2" s="76" t="s">
        <v>9768</v>
      </c>
      <c r="F2" s="76" t="s">
        <v>9769</v>
      </c>
    </row>
    <row r="3" spans="1:6" s="76" customFormat="1" ht="15" x14ac:dyDescent="0.25">
      <c r="A3" s="76" t="s">
        <v>7394</v>
      </c>
      <c r="B3" s="76">
        <v>1360</v>
      </c>
      <c r="E3" s="76">
        <v>2187900</v>
      </c>
      <c r="F3" s="76" t="s">
        <v>9770</v>
      </c>
    </row>
    <row r="4" spans="1:6" s="76" customFormat="1" ht="15" x14ac:dyDescent="0.25"/>
    <row r="5" spans="1:6" s="83" customFormat="1" x14ac:dyDescent="0.2">
      <c r="A5" s="83" t="s">
        <v>9771</v>
      </c>
      <c r="B5" s="83">
        <v>4000</v>
      </c>
      <c r="E5" s="83" t="s">
        <v>9772</v>
      </c>
    </row>
    <row r="6" spans="1:6" s="83" customFormat="1" x14ac:dyDescent="0.2">
      <c r="A6" s="83" t="s">
        <v>9773</v>
      </c>
      <c r="B6" s="83">
        <v>2990</v>
      </c>
      <c r="E6" s="83">
        <v>16474486</v>
      </c>
    </row>
    <row r="7" spans="1:6" s="83" customFormat="1" x14ac:dyDescent="0.2">
      <c r="A7" s="83" t="s">
        <v>9774</v>
      </c>
      <c r="B7" s="83">
        <v>1980</v>
      </c>
      <c r="E7" s="83">
        <v>6192120</v>
      </c>
    </row>
    <row r="8" spans="1:6" s="83" customFormat="1" x14ac:dyDescent="0.2">
      <c r="A8" s="83" t="s">
        <v>9775</v>
      </c>
      <c r="B8" s="83">
        <v>2990</v>
      </c>
      <c r="E8" s="83">
        <v>14261900</v>
      </c>
    </row>
    <row r="9" spans="1:6" s="83" customFormat="1" x14ac:dyDescent="0.2">
      <c r="A9" s="83" t="s">
        <v>9776</v>
      </c>
      <c r="E9" s="83">
        <v>11032386</v>
      </c>
    </row>
    <row r="10" spans="1:6" s="83" customFormat="1" x14ac:dyDescent="0.2"/>
    <row r="11" spans="1:6" s="83" customFormat="1" x14ac:dyDescent="0.2">
      <c r="A11" s="83" t="s">
        <v>9777</v>
      </c>
      <c r="B11" s="83">
        <v>3000</v>
      </c>
      <c r="E11" s="83">
        <v>13214430</v>
      </c>
    </row>
    <row r="12" spans="1:6" s="83" customFormat="1" x14ac:dyDescent="0.2">
      <c r="A12" s="83" t="s">
        <v>9778</v>
      </c>
      <c r="B12" s="83">
        <v>1990</v>
      </c>
      <c r="E12" s="83">
        <v>8670101</v>
      </c>
    </row>
    <row r="13" spans="1:6" s="83" customFormat="1" x14ac:dyDescent="0.2">
      <c r="A13" s="83" t="s">
        <v>9779</v>
      </c>
      <c r="B13" s="83">
        <v>2990</v>
      </c>
      <c r="E13" s="83">
        <v>10369700</v>
      </c>
    </row>
    <row r="14" spans="1:6" s="83" customFormat="1" x14ac:dyDescent="0.2">
      <c r="A14" s="83" t="s">
        <v>9780</v>
      </c>
      <c r="B14" s="83">
        <v>1400</v>
      </c>
      <c r="E14" s="83" t="s">
        <v>9781</v>
      </c>
    </row>
    <row r="15" spans="1:6" s="83" customFormat="1" x14ac:dyDescent="0.2">
      <c r="A15" s="83" t="s">
        <v>9782</v>
      </c>
      <c r="E15" s="83">
        <v>7056365</v>
      </c>
    </row>
    <row r="16" spans="1:6" s="83" customFormat="1" x14ac:dyDescent="0.2">
      <c r="A16" s="83" t="s">
        <v>9783</v>
      </c>
      <c r="E16" s="83">
        <v>11234100</v>
      </c>
      <c r="F16" s="83">
        <v>7515738</v>
      </c>
    </row>
    <row r="17" spans="1:6" s="83" customFormat="1" ht="15" x14ac:dyDescent="0.25">
      <c r="A17" s="83" t="s">
        <v>9784</v>
      </c>
      <c r="B17" s="83">
        <v>1499</v>
      </c>
      <c r="E17" s="84">
        <v>6158761.4000000004</v>
      </c>
    </row>
    <row r="18" spans="1:6" s="83" customFormat="1" x14ac:dyDescent="0.2"/>
    <row r="19" spans="1:6" s="83" customFormat="1" x14ac:dyDescent="0.2">
      <c r="A19" s="83" t="s">
        <v>9785</v>
      </c>
      <c r="E19" s="83">
        <v>3243000</v>
      </c>
    </row>
    <row r="20" spans="1:6" s="83" customFormat="1" x14ac:dyDescent="0.2"/>
    <row r="21" spans="1:6" s="83" customFormat="1" x14ac:dyDescent="0.2">
      <c r="A21" s="83" t="s">
        <v>9786</v>
      </c>
    </row>
    <row r="22" spans="1:6" s="83" customFormat="1" x14ac:dyDescent="0.2"/>
    <row r="23" spans="1:6" s="83" customFormat="1" x14ac:dyDescent="0.2">
      <c r="A23" s="83" t="s">
        <v>9787</v>
      </c>
      <c r="E23" s="83">
        <v>4610788</v>
      </c>
      <c r="F23" s="83" t="s">
        <v>9788</v>
      </c>
    </row>
    <row r="24" spans="1:6" s="83" customFormat="1" x14ac:dyDescent="0.2"/>
    <row r="25" spans="1:6" s="83" customFormat="1" x14ac:dyDescent="0.2">
      <c r="A25" s="83" t="s">
        <v>9789</v>
      </c>
      <c r="B25" s="83">
        <v>1600</v>
      </c>
      <c r="E25" s="83">
        <v>2817910</v>
      </c>
    </row>
    <row r="26" spans="1:6" s="83" customFormat="1" x14ac:dyDescent="0.2"/>
    <row r="27" spans="1:6" s="83" customFormat="1" x14ac:dyDescent="0.2">
      <c r="A27" s="83" t="s">
        <v>9790</v>
      </c>
      <c r="B27" s="83">
        <v>1996</v>
      </c>
      <c r="E27" s="83">
        <v>6717080</v>
      </c>
    </row>
    <row r="28" spans="1:6" s="83" customFormat="1" x14ac:dyDescent="0.2"/>
    <row r="29" spans="1:6" s="83" customFormat="1" x14ac:dyDescent="0.2">
      <c r="A29" s="83" t="s">
        <v>9791</v>
      </c>
      <c r="E29" s="83">
        <v>4525529</v>
      </c>
    </row>
    <row r="30" spans="1:6" s="83" customFormat="1" x14ac:dyDescent="0.2"/>
    <row r="31" spans="1:6" s="83" customFormat="1" x14ac:dyDescent="0.2">
      <c r="A31" s="83" t="s">
        <v>9792</v>
      </c>
      <c r="E31" s="83">
        <v>3693433</v>
      </c>
      <c r="F31" s="83" t="s">
        <v>9793</v>
      </c>
    </row>
    <row r="32" spans="1:6" s="83" customFormat="1" x14ac:dyDescent="0.2">
      <c r="A32" s="83" t="s">
        <v>9794</v>
      </c>
      <c r="B32" s="83">
        <v>1490</v>
      </c>
      <c r="E32" s="83">
        <v>3922068</v>
      </c>
    </row>
    <row r="33" spans="1:6" s="83" customFormat="1" x14ac:dyDescent="0.2">
      <c r="A33" s="83" t="s">
        <v>9794</v>
      </c>
      <c r="B33" s="83">
        <v>1490</v>
      </c>
      <c r="E33" s="83">
        <v>3457200</v>
      </c>
      <c r="F33" s="83" t="s">
        <v>9795</v>
      </c>
    </row>
    <row r="34" spans="1:6" s="83" customFormat="1" x14ac:dyDescent="0.2">
      <c r="A34" s="83" t="s">
        <v>9796</v>
      </c>
      <c r="B34" s="83">
        <v>1490</v>
      </c>
      <c r="E34" s="83">
        <v>3463177</v>
      </c>
    </row>
    <row r="35" spans="1:6" s="83" customFormat="1" x14ac:dyDescent="0.2">
      <c r="A35" s="83" t="s">
        <v>9797</v>
      </c>
      <c r="B35" s="83">
        <v>1490</v>
      </c>
      <c r="E35" s="83">
        <v>3080674</v>
      </c>
    </row>
    <row r="36" spans="1:6" s="83" customFormat="1" x14ac:dyDescent="0.2">
      <c r="A36" s="83" t="s">
        <v>9798</v>
      </c>
      <c r="B36" s="83">
        <v>1490</v>
      </c>
      <c r="E36" s="83">
        <v>3440089</v>
      </c>
      <c r="F36" s="83" t="s">
        <v>9799</v>
      </c>
    </row>
    <row r="37" spans="1:6" s="83" customFormat="1" x14ac:dyDescent="0.2">
      <c r="A37" s="83" t="s">
        <v>9800</v>
      </c>
      <c r="B37" s="83">
        <v>1490</v>
      </c>
      <c r="E37" s="83">
        <v>4096672</v>
      </c>
      <c r="F37" s="83" t="s">
        <v>9801</v>
      </c>
    </row>
    <row r="38" spans="1:6" s="83" customFormat="1" x14ac:dyDescent="0.2">
      <c r="A38" s="83" t="s">
        <v>9802</v>
      </c>
      <c r="B38" s="83">
        <v>1490</v>
      </c>
      <c r="E38" s="83">
        <v>5900000</v>
      </c>
      <c r="F38" s="83" t="s">
        <v>9803</v>
      </c>
    </row>
    <row r="39" spans="1:6" s="83" customFormat="1" x14ac:dyDescent="0.2"/>
    <row r="40" spans="1:6" s="83" customFormat="1" x14ac:dyDescent="0.2">
      <c r="A40" s="83" t="s">
        <v>9804</v>
      </c>
      <c r="B40" s="83">
        <v>3000</v>
      </c>
      <c r="E40" s="83">
        <v>6392060</v>
      </c>
    </row>
    <row r="41" spans="1:6" s="83" customFormat="1" x14ac:dyDescent="0.2">
      <c r="A41" s="83" t="s">
        <v>9805</v>
      </c>
      <c r="E41" s="83">
        <v>8297510</v>
      </c>
      <c r="F41" s="83">
        <v>7465754</v>
      </c>
    </row>
    <row r="42" spans="1:6" s="83" customFormat="1" x14ac:dyDescent="0.2"/>
    <row r="43" spans="1:6" s="83" customFormat="1" x14ac:dyDescent="0.2">
      <c r="A43" s="83" t="s">
        <v>9806</v>
      </c>
      <c r="E43" s="83">
        <v>15216521</v>
      </c>
    </row>
    <row r="44" spans="1:6" s="83" customFormat="1" x14ac:dyDescent="0.2">
      <c r="A44" s="83" t="s">
        <v>9807</v>
      </c>
      <c r="E44" s="83">
        <v>11202831</v>
      </c>
      <c r="F44" s="83" t="s">
        <v>9808</v>
      </c>
    </row>
    <row r="45" spans="1:6" s="83" customFormat="1" x14ac:dyDescent="0.2"/>
    <row r="46" spans="1:6" s="83" customFormat="1" x14ac:dyDescent="0.2">
      <c r="A46" s="83" t="s">
        <v>9809</v>
      </c>
      <c r="E46" s="83">
        <v>2463766</v>
      </c>
    </row>
    <row r="47" spans="1:6" s="83" customFormat="1" x14ac:dyDescent="0.2">
      <c r="A47" s="83" t="s">
        <v>9810</v>
      </c>
      <c r="B47" s="83">
        <v>1500</v>
      </c>
      <c r="E47" s="83">
        <v>3348775</v>
      </c>
    </row>
    <row r="48" spans="1:6" s="83" customFormat="1" x14ac:dyDescent="0.2">
      <c r="A48" s="83" t="s">
        <v>9811</v>
      </c>
      <c r="B48" s="83">
        <v>2180</v>
      </c>
      <c r="E48" s="83">
        <v>4889491</v>
      </c>
    </row>
    <row r="49" spans="1:6" s="83" customFormat="1" x14ac:dyDescent="0.2">
      <c r="A49" s="83" t="s">
        <v>9812</v>
      </c>
      <c r="B49" s="83">
        <v>2180</v>
      </c>
      <c r="E49" s="83">
        <v>5192245</v>
      </c>
    </row>
    <row r="50" spans="1:6" s="83" customFormat="1" ht="15" x14ac:dyDescent="0.25">
      <c r="A50" s="83" t="s">
        <v>9813</v>
      </c>
      <c r="B50" s="83">
        <v>2180</v>
      </c>
      <c r="E50" s="85">
        <v>7118000</v>
      </c>
      <c r="F50" s="86" t="s">
        <v>9814</v>
      </c>
    </row>
    <row r="51" spans="1:6" s="83" customFormat="1" x14ac:dyDescent="0.2">
      <c r="A51" s="83" t="s">
        <v>9815</v>
      </c>
      <c r="E51" s="83">
        <v>10792556</v>
      </c>
    </row>
    <row r="52" spans="1:6" s="83" customFormat="1" x14ac:dyDescent="0.2">
      <c r="A52" s="83" t="s">
        <v>9816</v>
      </c>
      <c r="E52" s="83">
        <v>4261599</v>
      </c>
    </row>
    <row r="53" spans="1:6" s="83" customFormat="1" x14ac:dyDescent="0.2">
      <c r="A53" s="83" t="s">
        <v>9817</v>
      </c>
      <c r="B53" s="83">
        <v>1998</v>
      </c>
      <c r="E53" s="83">
        <v>4265000</v>
      </c>
    </row>
    <row r="54" spans="1:6" s="83" customFormat="1" x14ac:dyDescent="0.2">
      <c r="A54" s="83" t="s">
        <v>9818</v>
      </c>
      <c r="B54" s="83">
        <v>650</v>
      </c>
      <c r="E54" s="83">
        <v>964048</v>
      </c>
    </row>
    <row r="55" spans="1:6" s="83" customFormat="1" x14ac:dyDescent="0.2">
      <c r="A55" s="83" t="s">
        <v>9819</v>
      </c>
      <c r="B55" s="83">
        <v>1500</v>
      </c>
      <c r="E55" s="83">
        <v>1751714</v>
      </c>
    </row>
    <row r="56" spans="1:6" s="83" customFormat="1" x14ac:dyDescent="0.2">
      <c r="A56" s="83" t="s">
        <v>9820</v>
      </c>
      <c r="E56" s="83">
        <v>1479810</v>
      </c>
      <c r="F56" s="83" t="s">
        <v>9821</v>
      </c>
    </row>
    <row r="57" spans="1:6" s="83" customFormat="1" x14ac:dyDescent="0.2">
      <c r="A57" s="83" t="s">
        <v>9822</v>
      </c>
      <c r="B57" s="83">
        <v>1500</v>
      </c>
      <c r="E57" s="83">
        <v>4023283</v>
      </c>
      <c r="F57" s="83" t="s">
        <v>9823</v>
      </c>
    </row>
    <row r="58" spans="1:6" s="83" customFormat="1" x14ac:dyDescent="0.2">
      <c r="A58" s="83" t="s">
        <v>9824</v>
      </c>
      <c r="B58" s="83">
        <v>2180</v>
      </c>
      <c r="E58" s="83">
        <v>5985016</v>
      </c>
    </row>
    <row r="59" spans="1:6" s="83" customFormat="1" x14ac:dyDescent="0.2">
      <c r="A59" s="83" t="s">
        <v>9825</v>
      </c>
      <c r="B59" s="83">
        <v>2180</v>
      </c>
      <c r="E59" s="83">
        <v>5199110</v>
      </c>
    </row>
    <row r="60" spans="1:6" s="83" customFormat="1" x14ac:dyDescent="0.2"/>
    <row r="61" spans="1:6" s="83" customFormat="1" x14ac:dyDescent="0.2">
      <c r="A61" s="83" t="s">
        <v>9826</v>
      </c>
      <c r="B61" s="83">
        <v>1998</v>
      </c>
      <c r="E61" s="83">
        <v>10059052</v>
      </c>
      <c r="F61" s="83" t="s">
        <v>9827</v>
      </c>
    </row>
    <row r="62" spans="1:6" s="83" customFormat="1" x14ac:dyDescent="0.2">
      <c r="A62" s="18" t="s">
        <v>9828</v>
      </c>
      <c r="E62" s="83">
        <v>16144326</v>
      </c>
      <c r="F62" s="83">
        <v>403159627</v>
      </c>
    </row>
    <row r="63" spans="1:6" s="83" customFormat="1" x14ac:dyDescent="0.2">
      <c r="A63" s="18" t="s">
        <v>9829</v>
      </c>
      <c r="B63" s="18">
        <v>3000</v>
      </c>
      <c r="C63" s="18"/>
      <c r="D63" s="18"/>
      <c r="E63" s="18">
        <v>16427253</v>
      </c>
    </row>
    <row r="64" spans="1:6" s="83" customFormat="1" x14ac:dyDescent="0.2">
      <c r="A64" s="18" t="s">
        <v>9830</v>
      </c>
      <c r="B64" s="18">
        <v>3000</v>
      </c>
      <c r="C64" s="18"/>
      <c r="D64" s="18"/>
      <c r="E64" s="18">
        <v>16144326</v>
      </c>
    </row>
    <row r="65" spans="1:6" s="83" customFormat="1" x14ac:dyDescent="0.2">
      <c r="A65" s="18" t="s">
        <v>9831</v>
      </c>
      <c r="B65" s="18">
        <v>3000</v>
      </c>
      <c r="C65" s="18"/>
      <c r="D65" s="18"/>
      <c r="E65" s="18">
        <v>18806681</v>
      </c>
    </row>
    <row r="66" spans="1:6" s="83" customFormat="1" x14ac:dyDescent="0.2">
      <c r="A66" s="18" t="s">
        <v>9832</v>
      </c>
      <c r="B66" s="18">
        <v>1590</v>
      </c>
      <c r="C66" s="18"/>
      <c r="D66" s="18"/>
      <c r="E66" s="18">
        <v>2984409</v>
      </c>
      <c r="F66" s="18"/>
    </row>
    <row r="67" spans="1:6" s="83" customFormat="1" x14ac:dyDescent="0.2">
      <c r="A67" s="18" t="s">
        <v>9833</v>
      </c>
      <c r="B67" s="18">
        <v>1590</v>
      </c>
      <c r="C67" s="18"/>
      <c r="D67" s="18"/>
      <c r="E67" s="18" t="s">
        <v>9834</v>
      </c>
      <c r="F67" s="18" t="s">
        <v>9835</v>
      </c>
    </row>
    <row r="68" spans="1:6" s="83" customFormat="1" x14ac:dyDescent="0.2">
      <c r="A68" s="18" t="s">
        <v>9836</v>
      </c>
      <c r="B68" s="18"/>
      <c r="C68" s="18"/>
      <c r="D68" s="18"/>
      <c r="E68" s="18">
        <v>21996000</v>
      </c>
      <c r="F68" s="18" t="s">
        <v>9837</v>
      </c>
    </row>
    <row r="69" spans="1:6" s="83" customFormat="1" x14ac:dyDescent="0.2">
      <c r="A69" s="18" t="s">
        <v>9838</v>
      </c>
      <c r="B69" s="18"/>
      <c r="C69" s="18"/>
      <c r="D69" s="18"/>
      <c r="E69" s="18">
        <v>22781000</v>
      </c>
      <c r="F69" s="18"/>
    </row>
    <row r="70" spans="1:6" s="83" customFormat="1" x14ac:dyDescent="0.2">
      <c r="A70" s="18" t="s">
        <v>9839</v>
      </c>
      <c r="B70" s="18">
        <v>2143</v>
      </c>
      <c r="C70" s="18"/>
      <c r="D70" s="18"/>
      <c r="E70" s="18">
        <v>12196290</v>
      </c>
      <c r="F70" s="18"/>
    </row>
    <row r="71" spans="1:6" s="83" customFormat="1" x14ac:dyDescent="0.2">
      <c r="A71" s="18" t="s">
        <v>9840</v>
      </c>
      <c r="B71" s="18"/>
      <c r="C71" s="18"/>
      <c r="D71" s="18"/>
      <c r="E71" s="18">
        <v>18954000</v>
      </c>
      <c r="F71" s="18"/>
    </row>
    <row r="72" spans="1:6" s="83" customFormat="1" x14ac:dyDescent="0.2">
      <c r="A72" s="18" t="s">
        <v>9841</v>
      </c>
      <c r="B72" s="18"/>
      <c r="C72" s="18"/>
      <c r="D72" s="18"/>
      <c r="E72" s="18">
        <v>7275450</v>
      </c>
      <c r="F72" s="18"/>
    </row>
    <row r="73" spans="1:6" s="83" customFormat="1" x14ac:dyDescent="0.2">
      <c r="A73" s="18" t="s">
        <v>9842</v>
      </c>
      <c r="B73" s="18"/>
      <c r="C73" s="18"/>
      <c r="D73" s="18"/>
      <c r="E73" s="18">
        <v>7967612</v>
      </c>
      <c r="F73" s="18"/>
    </row>
    <row r="74" spans="1:6" s="83" customFormat="1" x14ac:dyDescent="0.2">
      <c r="A74" s="18" t="s">
        <v>9843</v>
      </c>
      <c r="B74" s="18"/>
      <c r="C74" s="18"/>
      <c r="D74" s="18"/>
      <c r="E74" s="18">
        <v>16144326</v>
      </c>
      <c r="F74" s="18" t="s">
        <v>9844</v>
      </c>
    </row>
    <row r="75" spans="1:6" s="83" customFormat="1" x14ac:dyDescent="0.2">
      <c r="A75" s="18" t="s">
        <v>9845</v>
      </c>
      <c r="B75" s="18">
        <v>3000</v>
      </c>
      <c r="C75" s="18"/>
      <c r="D75" s="18"/>
      <c r="E75" s="18">
        <v>19276957</v>
      </c>
      <c r="F75" s="18" t="s">
        <v>9846</v>
      </c>
    </row>
    <row r="76" spans="1:6" s="83" customFormat="1" x14ac:dyDescent="0.2">
      <c r="A76" s="18" t="s">
        <v>9847</v>
      </c>
      <c r="B76" s="18">
        <v>2987</v>
      </c>
      <c r="C76" s="18"/>
      <c r="D76" s="18"/>
      <c r="E76" s="18" t="s">
        <v>9848</v>
      </c>
      <c r="F76" s="18"/>
    </row>
    <row r="77" spans="1:6" s="83" customFormat="1" x14ac:dyDescent="0.2">
      <c r="A77" s="18" t="s">
        <v>9849</v>
      </c>
      <c r="B77" s="18"/>
      <c r="C77" s="18"/>
      <c r="D77" s="18"/>
      <c r="E77" s="18">
        <v>2752750</v>
      </c>
      <c r="F77" s="18" t="s">
        <v>9850</v>
      </c>
    </row>
    <row r="78" spans="1:6" s="83" customFormat="1" x14ac:dyDescent="0.2">
      <c r="A78" s="18"/>
      <c r="B78" s="18"/>
      <c r="C78" s="18"/>
      <c r="D78" s="18"/>
      <c r="E78" s="18"/>
      <c r="F78" s="18"/>
    </row>
    <row r="79" spans="1:6" s="83" customFormat="1" x14ac:dyDescent="0.2">
      <c r="A79" s="18"/>
      <c r="B79" s="18"/>
      <c r="C79" s="18"/>
      <c r="D79" s="18"/>
      <c r="E79" s="18"/>
      <c r="F79" s="18"/>
    </row>
    <row r="80" spans="1:6" s="83" customFormat="1" x14ac:dyDescent="0.2">
      <c r="A80" s="18" t="s">
        <v>9851</v>
      </c>
      <c r="B80" s="18"/>
      <c r="C80" s="18"/>
      <c r="D80" s="18"/>
      <c r="E80" s="18">
        <v>3142000</v>
      </c>
      <c r="F80" s="18">
        <v>7539501</v>
      </c>
    </row>
    <row r="81" spans="1:6" s="83" customFormat="1" x14ac:dyDescent="0.2">
      <c r="A81" s="18" t="s">
        <v>9852</v>
      </c>
      <c r="B81" s="18">
        <v>1490</v>
      </c>
      <c r="C81" s="18"/>
      <c r="D81" s="18"/>
      <c r="E81" s="18">
        <v>2806898</v>
      </c>
      <c r="F81" s="18" t="s">
        <v>9853</v>
      </c>
    </row>
    <row r="82" spans="1:6" s="83" customFormat="1" x14ac:dyDescent="0.2">
      <c r="A82" s="18" t="s">
        <v>9854</v>
      </c>
      <c r="B82" s="18"/>
      <c r="C82" s="18"/>
      <c r="D82" s="18"/>
      <c r="E82" s="18">
        <v>5973828</v>
      </c>
      <c r="F82" s="18"/>
    </row>
    <row r="83" spans="1:6" s="83" customFormat="1" x14ac:dyDescent="0.2">
      <c r="A83" s="18" t="s">
        <v>9855</v>
      </c>
      <c r="B83" s="18">
        <v>1990</v>
      </c>
      <c r="C83" s="18"/>
      <c r="D83" s="18"/>
      <c r="E83" s="18">
        <v>2609100</v>
      </c>
      <c r="F83" s="18"/>
    </row>
    <row r="84" spans="1:6" s="83" customFormat="1" x14ac:dyDescent="0.2">
      <c r="A84" s="18" t="s">
        <v>9856</v>
      </c>
      <c r="B84" s="18">
        <v>1193</v>
      </c>
      <c r="C84" s="18"/>
      <c r="D84" s="18"/>
      <c r="E84" s="18">
        <v>1479923</v>
      </c>
      <c r="F84" s="18"/>
    </row>
    <row r="85" spans="1:6" s="83" customFormat="1" x14ac:dyDescent="0.2">
      <c r="A85" s="18" t="s">
        <v>9857</v>
      </c>
      <c r="B85" s="18">
        <v>2350</v>
      </c>
      <c r="C85" s="18"/>
      <c r="D85" s="18"/>
      <c r="E85" s="18">
        <v>4999934</v>
      </c>
      <c r="F85" s="18" t="s">
        <v>9858</v>
      </c>
    </row>
    <row r="86" spans="1:6" s="83" customFormat="1" x14ac:dyDescent="0.2">
      <c r="A86" s="18" t="s">
        <v>9859</v>
      </c>
      <c r="B86" s="18"/>
      <c r="C86" s="18"/>
      <c r="D86" s="18"/>
      <c r="E86" s="18">
        <v>4831400</v>
      </c>
      <c r="F86" s="18" t="s">
        <v>9860</v>
      </c>
    </row>
    <row r="87" spans="1:6" s="83" customFormat="1" x14ac:dyDescent="0.2">
      <c r="A87" s="18" t="s">
        <v>9861</v>
      </c>
      <c r="B87" s="18"/>
      <c r="C87" s="18"/>
      <c r="D87" s="18"/>
      <c r="E87" s="18">
        <v>3503906</v>
      </c>
      <c r="F87" s="18"/>
    </row>
    <row r="88" spans="1:6" s="83" customFormat="1" x14ac:dyDescent="0.2"/>
    <row r="89" spans="1:6" s="83" customFormat="1" x14ac:dyDescent="0.2">
      <c r="A89" s="83" t="s">
        <v>9862</v>
      </c>
      <c r="B89" s="83">
        <v>1490</v>
      </c>
      <c r="E89" s="18">
        <v>2806898</v>
      </c>
      <c r="F89" s="18" t="s">
        <v>9853</v>
      </c>
    </row>
    <row r="90" spans="1:6" s="83" customFormat="1" x14ac:dyDescent="0.2">
      <c r="A90" s="83" t="s">
        <v>9863</v>
      </c>
      <c r="B90" s="83">
        <v>1990</v>
      </c>
      <c r="E90" s="18"/>
      <c r="F90" s="18">
        <v>7492832</v>
      </c>
    </row>
    <row r="91" spans="1:6" s="83" customFormat="1" x14ac:dyDescent="0.2">
      <c r="A91" s="83" t="s">
        <v>9864</v>
      </c>
      <c r="B91" s="83">
        <v>1990</v>
      </c>
      <c r="E91" s="18">
        <v>4830893</v>
      </c>
      <c r="F91" s="18">
        <v>7526047</v>
      </c>
    </row>
    <row r="92" spans="1:6" s="83" customFormat="1" x14ac:dyDescent="0.2">
      <c r="A92" s="83" t="s">
        <v>9865</v>
      </c>
      <c r="B92" s="83">
        <v>650</v>
      </c>
      <c r="E92" s="83">
        <v>964048</v>
      </c>
    </row>
    <row r="93" spans="1:6" s="83" customFormat="1" x14ac:dyDescent="0.2">
      <c r="A93" s="83" t="s">
        <v>9866</v>
      </c>
      <c r="E93" s="83">
        <v>1537615</v>
      </c>
    </row>
    <row r="94" spans="1:6" s="83" customFormat="1" x14ac:dyDescent="0.2">
      <c r="A94" s="83" t="s">
        <v>9867</v>
      </c>
      <c r="B94" s="83">
        <v>2000</v>
      </c>
      <c r="E94" s="83">
        <v>5208448</v>
      </c>
    </row>
    <row r="95" spans="1:6" s="83" customFormat="1" x14ac:dyDescent="0.2">
      <c r="A95" s="83" t="s">
        <v>9868</v>
      </c>
      <c r="E95" s="83">
        <v>5238755</v>
      </c>
    </row>
    <row r="96" spans="1:6" s="83" customFormat="1" x14ac:dyDescent="0.2">
      <c r="A96" s="83" t="s">
        <v>9869</v>
      </c>
      <c r="B96" s="83">
        <v>1590</v>
      </c>
      <c r="C96" s="83" t="s">
        <v>9629</v>
      </c>
      <c r="E96" s="83">
        <v>3693811</v>
      </c>
      <c r="F96" s="83" t="s">
        <v>9870</v>
      </c>
    </row>
    <row r="97" spans="1:6" s="83" customFormat="1" x14ac:dyDescent="0.2">
      <c r="A97" s="83" t="s">
        <v>9871</v>
      </c>
      <c r="B97" s="83">
        <v>660</v>
      </c>
      <c r="E97" s="83">
        <v>964048</v>
      </c>
      <c r="F97" s="83">
        <v>-7051848</v>
      </c>
    </row>
    <row r="98" spans="1:6" s="83" customFormat="1" x14ac:dyDescent="0.2">
      <c r="A98" s="83" t="s">
        <v>9872</v>
      </c>
      <c r="B98" s="83">
        <v>1991</v>
      </c>
      <c r="E98" s="83">
        <v>3311386</v>
      </c>
      <c r="F98" s="83" t="s">
        <v>9873</v>
      </c>
    </row>
    <row r="99" spans="1:6" s="83" customFormat="1" x14ac:dyDescent="0.2"/>
    <row r="100" spans="1:6" s="83" customFormat="1" x14ac:dyDescent="0.2"/>
    <row r="101" spans="1:6" s="83" customFormat="1" x14ac:dyDescent="0.2">
      <c r="A101" s="18" t="s">
        <v>9874</v>
      </c>
      <c r="B101" s="18"/>
      <c r="C101" s="18"/>
      <c r="D101" s="18"/>
      <c r="E101" s="18">
        <v>4095000</v>
      </c>
    </row>
    <row r="102" spans="1:6" s="83" customFormat="1" x14ac:dyDescent="0.2">
      <c r="A102" s="18" t="s">
        <v>9875</v>
      </c>
      <c r="B102" s="18">
        <v>1590</v>
      </c>
      <c r="C102" s="18"/>
      <c r="D102" s="18"/>
      <c r="E102" s="18">
        <v>4549000</v>
      </c>
      <c r="F102" s="83" t="s">
        <v>9876</v>
      </c>
    </row>
    <row r="103" spans="1:6" s="83" customFormat="1" x14ac:dyDescent="0.2">
      <c r="A103" s="18"/>
      <c r="B103" s="18"/>
      <c r="C103" s="18"/>
      <c r="D103" s="18"/>
      <c r="E103" s="18"/>
    </row>
    <row r="104" spans="1:6" s="83" customFormat="1" x14ac:dyDescent="0.2">
      <c r="A104" s="18" t="s">
        <v>9877</v>
      </c>
      <c r="B104" s="18">
        <v>2967</v>
      </c>
      <c r="C104" s="18"/>
      <c r="D104" s="18"/>
      <c r="E104" s="18">
        <v>7545090</v>
      </c>
      <c r="F104" s="83">
        <v>7537253</v>
      </c>
    </row>
    <row r="105" spans="1:6" s="83" customFormat="1" x14ac:dyDescent="0.2">
      <c r="A105" s="18"/>
      <c r="B105" s="18"/>
      <c r="C105" s="18"/>
      <c r="D105" s="18"/>
      <c r="E105" s="18"/>
    </row>
    <row r="106" spans="1:6" s="83" customFormat="1" x14ac:dyDescent="0.2">
      <c r="A106" s="18" t="s">
        <v>9878</v>
      </c>
      <c r="B106" s="18"/>
      <c r="C106" s="18"/>
      <c r="D106" s="18"/>
      <c r="E106" s="18"/>
      <c r="F106" s="83">
        <v>403337275</v>
      </c>
    </row>
    <row r="107" spans="1:6" s="83" customFormat="1" x14ac:dyDescent="0.2">
      <c r="A107" s="18"/>
      <c r="B107" s="18"/>
      <c r="C107" s="18"/>
      <c r="D107" s="18"/>
      <c r="E107" s="18"/>
    </row>
    <row r="108" spans="1:6" s="83" customFormat="1" x14ac:dyDescent="0.2">
      <c r="A108" s="18" t="s">
        <v>9879</v>
      </c>
      <c r="B108" s="18">
        <v>1990</v>
      </c>
      <c r="C108" s="18"/>
      <c r="D108" s="18"/>
      <c r="E108" s="18">
        <v>5250000</v>
      </c>
    </row>
    <row r="109" spans="1:6" s="83" customFormat="1" x14ac:dyDescent="0.2">
      <c r="A109" s="18" t="s">
        <v>9879</v>
      </c>
      <c r="B109" s="18">
        <v>1590</v>
      </c>
      <c r="C109" s="18"/>
      <c r="D109" s="18"/>
      <c r="E109" s="18">
        <v>4188000</v>
      </c>
    </row>
    <row r="110" spans="1:6" s="83" customFormat="1" x14ac:dyDescent="0.2">
      <c r="A110" s="18" t="s">
        <v>9880</v>
      </c>
      <c r="B110" s="18"/>
      <c r="C110" s="18"/>
      <c r="D110" s="18"/>
      <c r="E110" s="18">
        <v>6475000</v>
      </c>
    </row>
    <row r="111" spans="1:6" s="83" customFormat="1" x14ac:dyDescent="0.2">
      <c r="A111" s="18" t="s">
        <v>9881</v>
      </c>
      <c r="B111" s="18">
        <v>2490</v>
      </c>
      <c r="C111" s="18"/>
      <c r="D111" s="18"/>
      <c r="E111" s="18">
        <v>6475000</v>
      </c>
      <c r="F111" s="83">
        <v>7484217</v>
      </c>
    </row>
    <row r="112" spans="1:6" s="83" customFormat="1" x14ac:dyDescent="0.2">
      <c r="A112" s="18" t="s">
        <v>9882</v>
      </c>
      <c r="B112" s="18">
        <v>2000</v>
      </c>
      <c r="C112" s="18" t="s">
        <v>7313</v>
      </c>
      <c r="D112" s="18"/>
      <c r="E112" s="18">
        <v>7603050</v>
      </c>
    </row>
    <row r="113" spans="1:6" s="83" customFormat="1" x14ac:dyDescent="0.2">
      <c r="A113" s="18" t="s">
        <v>9883</v>
      </c>
      <c r="B113" s="18">
        <v>1590</v>
      </c>
      <c r="C113" s="18"/>
      <c r="D113" s="18"/>
      <c r="E113" s="18">
        <v>4669357</v>
      </c>
    </row>
    <row r="114" spans="1:6" s="83" customFormat="1" x14ac:dyDescent="0.2">
      <c r="A114" s="18" t="s">
        <v>9884</v>
      </c>
      <c r="B114" s="18">
        <v>1990</v>
      </c>
      <c r="C114" s="18"/>
      <c r="D114" s="18"/>
      <c r="E114" s="18">
        <v>483093</v>
      </c>
    </row>
    <row r="115" spans="1:6" s="83" customFormat="1" x14ac:dyDescent="0.2">
      <c r="A115" s="18" t="s">
        <v>9885</v>
      </c>
      <c r="B115" s="18">
        <v>2000</v>
      </c>
      <c r="C115" s="18"/>
      <c r="D115" s="18"/>
      <c r="E115" s="18">
        <v>5235000</v>
      </c>
    </row>
    <row r="116" spans="1:6" s="83" customFormat="1" x14ac:dyDescent="0.2">
      <c r="A116" s="18" t="s">
        <v>9886</v>
      </c>
      <c r="B116" s="18"/>
      <c r="C116" s="18"/>
      <c r="D116" s="18"/>
      <c r="E116" s="18">
        <v>6944552</v>
      </c>
    </row>
    <row r="117" spans="1:6" s="83" customFormat="1" x14ac:dyDescent="0.2">
      <c r="A117" s="18" t="s">
        <v>9887</v>
      </c>
      <c r="B117" s="18"/>
      <c r="C117" s="18"/>
      <c r="D117" s="18"/>
      <c r="E117" s="18">
        <v>6345497</v>
      </c>
    </row>
    <row r="118" spans="1:6" s="83" customFormat="1" x14ac:dyDescent="0.2">
      <c r="A118" s="18" t="s">
        <v>9888</v>
      </c>
      <c r="B118" s="18"/>
      <c r="C118" s="18"/>
      <c r="D118" s="18"/>
      <c r="E118" s="18">
        <v>7912998</v>
      </c>
    </row>
    <row r="119" spans="1:6" s="83" customFormat="1" x14ac:dyDescent="0.2">
      <c r="A119" s="18" t="s">
        <v>9889</v>
      </c>
      <c r="B119" s="18"/>
      <c r="C119" s="18"/>
      <c r="D119" s="18"/>
      <c r="E119" s="18"/>
      <c r="F119" s="83">
        <v>7508199</v>
      </c>
    </row>
    <row r="120" spans="1:6" s="83" customFormat="1" x14ac:dyDescent="0.2">
      <c r="A120" s="18" t="s">
        <v>9890</v>
      </c>
      <c r="B120" s="18"/>
      <c r="C120" s="18"/>
      <c r="D120" s="18"/>
      <c r="E120" s="18">
        <v>1537967</v>
      </c>
    </row>
    <row r="121" spans="1:6" s="83" customFormat="1" x14ac:dyDescent="0.2">
      <c r="A121" s="18"/>
      <c r="B121" s="18"/>
      <c r="C121" s="18"/>
      <c r="D121" s="18"/>
      <c r="E121" s="18"/>
    </row>
    <row r="122" spans="1:6" s="83" customFormat="1" x14ac:dyDescent="0.2">
      <c r="A122" s="18" t="s">
        <v>9891</v>
      </c>
      <c r="B122" s="18">
        <v>1200</v>
      </c>
      <c r="C122" s="18"/>
      <c r="D122" s="18"/>
      <c r="E122" s="18">
        <v>1700000</v>
      </c>
      <c r="F122" s="83" t="s">
        <v>9892</v>
      </c>
    </row>
    <row r="123" spans="1:6" s="83" customFormat="1" x14ac:dyDescent="0.2">
      <c r="A123" s="18" t="s">
        <v>9893</v>
      </c>
      <c r="B123" s="18">
        <v>650</v>
      </c>
      <c r="C123" s="18"/>
      <c r="D123" s="18"/>
      <c r="E123" s="18">
        <v>1357000</v>
      </c>
    </row>
    <row r="124" spans="1:6" s="83" customFormat="1" x14ac:dyDescent="0.2">
      <c r="A124" s="18"/>
      <c r="B124" s="18"/>
      <c r="C124" s="18"/>
      <c r="D124" s="18"/>
      <c r="E124" s="18"/>
    </row>
    <row r="125" spans="1:6" s="83" customFormat="1" x14ac:dyDescent="0.2">
      <c r="A125" s="83" t="s">
        <v>9894</v>
      </c>
      <c r="E125" s="83">
        <v>4095000</v>
      </c>
      <c r="F125" s="83">
        <v>7498221</v>
      </c>
    </row>
    <row r="126" spans="1:6" x14ac:dyDescent="0.2">
      <c r="A126" s="18" t="s">
        <v>9895</v>
      </c>
      <c r="B126" s="18">
        <v>1490</v>
      </c>
      <c r="E126" s="18">
        <v>3064776</v>
      </c>
    </row>
    <row r="127" spans="1:6" x14ac:dyDescent="0.2">
      <c r="A127" s="18" t="s">
        <v>9896</v>
      </c>
      <c r="B127" s="18">
        <v>1490</v>
      </c>
      <c r="E127" s="18">
        <v>3148311</v>
      </c>
    </row>
    <row r="128" spans="1:6" x14ac:dyDescent="0.2">
      <c r="A128" s="18" t="s">
        <v>9897</v>
      </c>
      <c r="B128" s="18">
        <v>1800</v>
      </c>
      <c r="E128" s="18">
        <v>4250000</v>
      </c>
    </row>
    <row r="129" spans="1:6" x14ac:dyDescent="0.2">
      <c r="A129" s="18" t="s">
        <v>9897</v>
      </c>
      <c r="B129" s="18">
        <v>1500</v>
      </c>
      <c r="E129" s="18">
        <v>3220000</v>
      </c>
    </row>
    <row r="130" spans="1:6" x14ac:dyDescent="0.2">
      <c r="A130" s="18" t="s">
        <v>9898</v>
      </c>
      <c r="E130" s="18">
        <v>6475482</v>
      </c>
      <c r="F130" s="18">
        <v>7479752</v>
      </c>
    </row>
    <row r="131" spans="1:6" x14ac:dyDescent="0.2">
      <c r="A131" s="18" t="s">
        <v>9899</v>
      </c>
      <c r="B131" s="18">
        <v>1500</v>
      </c>
      <c r="D131" s="18" t="s">
        <v>7312</v>
      </c>
      <c r="E131" s="18">
        <v>3220213</v>
      </c>
    </row>
    <row r="132" spans="1:6" x14ac:dyDescent="0.2">
      <c r="A132" s="18" t="s">
        <v>9900</v>
      </c>
      <c r="B132" s="18">
        <v>2000</v>
      </c>
      <c r="C132" s="18" t="s">
        <v>7329</v>
      </c>
      <c r="E132" s="18">
        <v>2609100</v>
      </c>
    </row>
    <row r="133" spans="1:6" x14ac:dyDescent="0.2">
      <c r="A133" s="18" t="s">
        <v>9901</v>
      </c>
      <c r="B133" s="18">
        <v>1990</v>
      </c>
      <c r="E133" s="18">
        <v>8238590</v>
      </c>
      <c r="F133" s="18" t="s">
        <v>9902</v>
      </c>
    </row>
    <row r="134" spans="1:6" x14ac:dyDescent="0.2">
      <c r="A134" s="18" t="s">
        <v>9903</v>
      </c>
      <c r="B134" s="18">
        <v>3000</v>
      </c>
      <c r="E134" s="18">
        <v>7277000</v>
      </c>
    </row>
    <row r="135" spans="1:6" x14ac:dyDescent="0.2">
      <c r="A135" s="18" t="s">
        <v>9904</v>
      </c>
      <c r="B135" s="18">
        <v>2400</v>
      </c>
      <c r="E135" s="18">
        <v>4462500</v>
      </c>
      <c r="F135" s="18" t="s">
        <v>9905</v>
      </c>
    </row>
    <row r="136" spans="1:6" x14ac:dyDescent="0.2">
      <c r="A136" s="18" t="s">
        <v>9906</v>
      </c>
      <c r="E136" s="18">
        <v>5627812</v>
      </c>
      <c r="F136" s="18">
        <v>404073269</v>
      </c>
    </row>
    <row r="137" spans="1:6" x14ac:dyDescent="0.2">
      <c r="A137" s="18" t="s">
        <v>9907</v>
      </c>
      <c r="B137" s="18">
        <v>2755</v>
      </c>
      <c r="E137" s="18" t="s">
        <v>9908</v>
      </c>
    </row>
    <row r="138" spans="1:6" ht="15" x14ac:dyDescent="0.25">
      <c r="A138" s="18" t="s">
        <v>9909</v>
      </c>
      <c r="B138" s="18">
        <v>2393</v>
      </c>
      <c r="E138" s="18">
        <v>5712000</v>
      </c>
      <c r="F138" s="87" t="s">
        <v>9910</v>
      </c>
    </row>
    <row r="139" spans="1:6" x14ac:dyDescent="0.2">
      <c r="A139" s="18" t="s">
        <v>9911</v>
      </c>
      <c r="E139" s="18">
        <v>5869861</v>
      </c>
    </row>
    <row r="140" spans="1:6" x14ac:dyDescent="0.2">
      <c r="A140" s="18" t="s">
        <v>9912</v>
      </c>
      <c r="B140" s="18">
        <v>1000</v>
      </c>
      <c r="E140" s="18">
        <v>2032812</v>
      </c>
    </row>
    <row r="141" spans="1:6" x14ac:dyDescent="0.2">
      <c r="A141" s="18" t="s">
        <v>9913</v>
      </c>
      <c r="B141" s="18">
        <v>1000</v>
      </c>
      <c r="E141" s="18">
        <v>2032812</v>
      </c>
    </row>
    <row r="142" spans="1:6" x14ac:dyDescent="0.2">
      <c r="A142" s="18" t="s">
        <v>9914</v>
      </c>
      <c r="B142" s="18">
        <v>1500</v>
      </c>
      <c r="E142" s="18">
        <v>2160000</v>
      </c>
    </row>
    <row r="143" spans="1:6" x14ac:dyDescent="0.2">
      <c r="A143" s="18" t="s">
        <v>9915</v>
      </c>
      <c r="B143" s="18">
        <v>1500</v>
      </c>
      <c r="E143" s="18">
        <v>2092127</v>
      </c>
    </row>
    <row r="144" spans="1:6" x14ac:dyDescent="0.2">
      <c r="A144" s="18" t="s">
        <v>9916</v>
      </c>
      <c r="E144" s="18">
        <v>6387500</v>
      </c>
    </row>
    <row r="145" spans="1:6" x14ac:dyDescent="0.2">
      <c r="A145" s="18" t="s">
        <v>9917</v>
      </c>
      <c r="E145" s="18">
        <v>5930000</v>
      </c>
    </row>
    <row r="146" spans="1:6" x14ac:dyDescent="0.2">
      <c r="A146" s="18" t="s">
        <v>9918</v>
      </c>
      <c r="B146" s="18">
        <v>1980</v>
      </c>
      <c r="E146" s="18">
        <v>6025862</v>
      </c>
      <c r="F146" s="18" t="s">
        <v>9919</v>
      </c>
    </row>
    <row r="147" spans="1:6" x14ac:dyDescent="0.2">
      <c r="A147" s="18" t="s">
        <v>9920</v>
      </c>
      <c r="F147" s="18">
        <v>7468337</v>
      </c>
    </row>
    <row r="148" spans="1:6" x14ac:dyDescent="0.2">
      <c r="A148" s="18" t="s">
        <v>9921</v>
      </c>
      <c r="B148" s="18">
        <v>1790</v>
      </c>
      <c r="E148" s="18">
        <v>4513125</v>
      </c>
      <c r="F148" s="18" t="s">
        <v>9922</v>
      </c>
    </row>
    <row r="149" spans="1:6" x14ac:dyDescent="0.2">
      <c r="A149" s="18" t="s">
        <v>9923</v>
      </c>
      <c r="E149" s="18">
        <v>5224176</v>
      </c>
    </row>
    <row r="150" spans="1:6" x14ac:dyDescent="0.2">
      <c r="A150" s="18" t="s">
        <v>9924</v>
      </c>
      <c r="B150" s="18">
        <v>4461</v>
      </c>
      <c r="E150" s="18">
        <v>11280000</v>
      </c>
      <c r="F150" s="18" t="s">
        <v>9925</v>
      </c>
    </row>
    <row r="151" spans="1:6" x14ac:dyDescent="0.2">
      <c r="A151" s="18" t="s">
        <v>9926</v>
      </c>
      <c r="E151" s="18">
        <v>11034194</v>
      </c>
    </row>
    <row r="152" spans="1:6" x14ac:dyDescent="0.2">
      <c r="A152" s="18" t="s">
        <v>9927</v>
      </c>
      <c r="B152" s="18">
        <v>2750</v>
      </c>
      <c r="E152" s="18">
        <v>13114391</v>
      </c>
    </row>
    <row r="153" spans="1:6" x14ac:dyDescent="0.2">
      <c r="A153" s="18" t="s">
        <v>9928</v>
      </c>
      <c r="B153" s="18">
        <v>1790</v>
      </c>
      <c r="E153" s="18">
        <v>8749538</v>
      </c>
    </row>
    <row r="154" spans="1:6" x14ac:dyDescent="0.2">
      <c r="A154" s="18" t="s">
        <v>9929</v>
      </c>
      <c r="E154" s="18">
        <v>17846852</v>
      </c>
    </row>
    <row r="155" spans="1:6" x14ac:dyDescent="0.2">
      <c r="A155" s="18" t="s">
        <v>9930</v>
      </c>
    </row>
    <row r="157" spans="1:6" x14ac:dyDescent="0.2">
      <c r="A157" s="18" t="s">
        <v>9931</v>
      </c>
      <c r="E157" s="18">
        <v>7920332</v>
      </c>
    </row>
    <row r="158" spans="1:6" x14ac:dyDescent="0.2">
      <c r="A158" s="18" t="s">
        <v>9932</v>
      </c>
      <c r="B158" s="18">
        <v>2000</v>
      </c>
      <c r="E158" s="18">
        <v>7543173</v>
      </c>
    </row>
    <row r="159" spans="1:6" x14ac:dyDescent="0.2">
      <c r="A159" s="18" t="s">
        <v>9933</v>
      </c>
      <c r="E159" s="18">
        <v>12080700</v>
      </c>
    </row>
    <row r="160" spans="1:6" x14ac:dyDescent="0.2">
      <c r="A160" s="18" t="s">
        <v>9934</v>
      </c>
      <c r="E160" s="18">
        <v>22000000</v>
      </c>
    </row>
    <row r="162" spans="1:6" x14ac:dyDescent="0.2">
      <c r="A162" s="18" t="s">
        <v>9935</v>
      </c>
      <c r="B162" s="18">
        <v>990</v>
      </c>
      <c r="E162" s="18">
        <v>1804200</v>
      </c>
    </row>
    <row r="163" spans="1:6" x14ac:dyDescent="0.2">
      <c r="A163" s="18" t="s">
        <v>9936</v>
      </c>
      <c r="B163" s="18">
        <v>1190</v>
      </c>
      <c r="E163" s="18">
        <v>3539211</v>
      </c>
      <c r="F163" s="18">
        <v>402066534</v>
      </c>
    </row>
    <row r="164" spans="1:6" x14ac:dyDescent="0.2">
      <c r="A164" s="18" t="s">
        <v>9937</v>
      </c>
      <c r="B164" s="18">
        <v>1190</v>
      </c>
      <c r="E164" s="18">
        <v>2991595</v>
      </c>
    </row>
    <row r="165" spans="1:6" x14ac:dyDescent="0.2">
      <c r="A165" s="18" t="s">
        <v>9938</v>
      </c>
      <c r="B165" s="18">
        <v>1190</v>
      </c>
      <c r="E165" s="18">
        <v>3640855</v>
      </c>
      <c r="F165" s="18" t="s">
        <v>9939</v>
      </c>
    </row>
    <row r="166" spans="1:6" x14ac:dyDescent="0.2">
      <c r="A166" s="18" t="s">
        <v>9940</v>
      </c>
      <c r="F166" s="18">
        <v>7527139</v>
      </c>
    </row>
    <row r="167" spans="1:6" x14ac:dyDescent="0.2">
      <c r="A167" s="18" t="s">
        <v>9941</v>
      </c>
      <c r="B167" s="18">
        <v>1800</v>
      </c>
      <c r="E167" s="18">
        <v>5175000</v>
      </c>
    </row>
    <row r="168" spans="1:6" x14ac:dyDescent="0.2">
      <c r="A168" s="18" t="s">
        <v>9942</v>
      </c>
      <c r="B168" s="18">
        <v>1390</v>
      </c>
      <c r="E168" s="18">
        <v>4753339</v>
      </c>
    </row>
    <row r="170" spans="1:6" x14ac:dyDescent="0.2">
      <c r="A170" s="18" t="s">
        <v>9943</v>
      </c>
      <c r="E170" s="18">
        <v>6960552</v>
      </c>
    </row>
    <row r="171" spans="1:6" x14ac:dyDescent="0.2">
      <c r="A171" s="18" t="s">
        <v>9944</v>
      </c>
      <c r="B171" s="18">
        <v>2000</v>
      </c>
      <c r="F171" s="18" t="s">
        <v>9945</v>
      </c>
    </row>
    <row r="172" spans="1:6" x14ac:dyDescent="0.2">
      <c r="A172" s="18" t="s">
        <v>9946</v>
      </c>
      <c r="B172" s="18">
        <v>1590</v>
      </c>
      <c r="E172" s="18">
        <v>4728534</v>
      </c>
      <c r="F172" s="18">
        <v>7537967</v>
      </c>
    </row>
    <row r="173" spans="1:6" x14ac:dyDescent="0.2">
      <c r="A173" s="18" t="s">
        <v>9947</v>
      </c>
      <c r="E173" s="18" t="s">
        <v>9948</v>
      </c>
    </row>
    <row r="191" spans="1:5" x14ac:dyDescent="0.2">
      <c r="A191" s="18" t="s">
        <v>9874</v>
      </c>
      <c r="E191" s="18">
        <v>4095000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CRSP 2025</vt:lpstr>
      <vt:lpstr>CRSP 2020</vt:lpstr>
      <vt:lpstr>VALUATION TEMPLATE</vt:lpstr>
      <vt:lpstr>VALUATION RULINGS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Ntabo</dc:creator>
  <cp:lastModifiedBy>HP</cp:lastModifiedBy>
  <dcterms:created xsi:type="dcterms:W3CDTF">2025-05-24T08:59:27Z</dcterms:created>
  <dcterms:modified xsi:type="dcterms:W3CDTF">2026-01-16T06:05:02Z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2025-05-24T00:00:00Z</vt:filetime>
  </property>
  <property fmtid="{D5CDD505-2E9C-101B-9397-08002B2CF9AE}" pid="3" name="Creator">
    <vt:lpwstr>Microsoft Excel</vt:lpwstr>
  </property>
  <property fmtid="{D5CDD505-2E9C-101B-9397-08002B2CF9AE}" pid="4" name="LastSaved">
    <vt:filetime>2025-05-24T00:00:00Z</vt:filetime>
  </property>
  <property fmtid="{D5CDD505-2E9C-101B-9397-08002B2CF9AE}" pid="5" name="Producer">
    <vt:lpwstr>Aspose.Cells for Java v25.1.0</vt:lpwstr>
  </property>
</Properties>
</file>